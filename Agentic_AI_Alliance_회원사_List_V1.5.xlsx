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현황" sheetId="1" state="visible" r:id="rId3"/>
    <sheet name="종합" sheetId="2" state="visible" r:id="rId4"/>
    <sheet name="기술분과" sheetId="3" state="visible" r:id="rId5"/>
    <sheet name="산업분과" sheetId="4" state="visible" r:id="rId6"/>
    <sheet name="생태계분과" sheetId="5" state="visible" r:id="rId7"/>
    <sheet name="안전신뢰분과" sheetId="6" state="visible" r:id="rId8"/>
    <sheet name="Log"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2" authorId="0">
      <text>
        <r>
          <rPr>
            <sz val="10"/>
            <rFont val="WenQuanYi Zen Hei"/>
            <family val="2"/>
          </rPr>
          <t xml:space="preserve">자동 번호</t>
        </r>
        <r>
          <rPr>
            <sz val="10"/>
            <rFont val="Arial"/>
            <family val="2"/>
          </rPr>
          <t xml:space="preserve">(</t>
        </r>
        <r>
          <rPr>
            <sz val="10"/>
            <rFont val="WenQuanYi Zen Hei"/>
            <family val="2"/>
          </rPr>
          <t xml:space="preserve">수식</t>
        </r>
        <r>
          <rPr>
            <sz val="10"/>
            <rFont val="Arial"/>
            <family val="2"/>
          </rPr>
          <t xml:space="preserve">). </t>
        </r>
        <r>
          <rPr>
            <sz val="10"/>
            <rFont val="WenQuanYi Zen Hei"/>
            <family val="2"/>
          </rPr>
          <t xml:space="preserve">회사명이 있는 행만 번호가 붙습니다</t>
        </r>
        <r>
          <rPr>
            <sz val="10"/>
            <rFont val="Arial"/>
            <family val="2"/>
          </rPr>
          <t xml:space="preserve">.</t>
        </r>
      </text>
    </comment>
    <comment ref="C2" authorId="0">
      <text>
        <r>
          <rPr>
            <sz val="10"/>
            <rFont val="WenQuanYi Zen Hei"/>
            <family val="2"/>
          </rPr>
          <t xml:space="preserve">소속 분과에 </t>
        </r>
        <r>
          <rPr>
            <sz val="10"/>
            <rFont val="Arial"/>
            <family val="2"/>
          </rPr>
          <t xml:space="preserve">O </t>
        </r>
        <r>
          <rPr>
            <sz val="10"/>
            <rFont val="WenQuanYi Zen Hei"/>
            <family val="2"/>
          </rPr>
          <t xml:space="preserve">표시</t>
        </r>
        <r>
          <rPr>
            <sz val="10"/>
            <rFont val="Arial"/>
            <family val="2"/>
          </rPr>
          <t xml:space="preserve">(</t>
        </r>
        <r>
          <rPr>
            <sz val="10"/>
            <rFont val="WenQuanYi Zen Hei"/>
            <family val="2"/>
          </rPr>
          <t xml:space="preserve">드롭다운</t>
        </r>
        <r>
          <rPr>
            <sz val="10"/>
            <rFont val="Arial"/>
            <family val="2"/>
          </rPr>
          <t xml:space="preserve">). </t>
        </r>
        <r>
          <rPr>
            <sz val="10"/>
            <rFont val="WenQuanYi Zen Hei"/>
            <family val="2"/>
          </rPr>
          <t xml:space="preserve">이 시트에만 입력하면 분과 시트</t>
        </r>
        <r>
          <rPr>
            <sz val="10"/>
            <rFont val="Arial"/>
            <family val="2"/>
          </rPr>
          <t xml:space="preserve">·</t>
        </r>
        <r>
          <rPr>
            <sz val="10"/>
            <rFont val="WenQuanYi Zen Hei"/>
            <family val="2"/>
          </rPr>
          <t xml:space="preserve">현황 시트에 자동 반영됩니다</t>
        </r>
        <r>
          <rPr>
            <sz val="10"/>
            <rFont val="Arial"/>
            <family val="2"/>
          </rPr>
          <t xml:space="preserve">.</t>
        </r>
      </text>
    </comment>
    <comment ref="E273" authorId="0">
      <text>
        <r>
          <rPr>
            <sz val="10"/>
            <rFont val="Arial"/>
            <family val="2"/>
          </rPr>
          <t xml:space="preserve">※ 2026.08.20 </t>
        </r>
        <r>
          <rPr>
            <sz val="10"/>
            <rFont val="WenQuanYi Zen Hei"/>
            <family val="2"/>
          </rPr>
          <t xml:space="preserve">산업분과에서 생태계분과로 이관</t>
        </r>
        <r>
          <rPr>
            <sz val="10"/>
            <rFont val="Arial"/>
            <family val="2"/>
          </rPr>
          <t xml:space="preserve">(</t>
        </r>
        <r>
          <rPr>
            <sz val="10"/>
            <rFont val="WenQuanYi Zen Hei"/>
            <family val="2"/>
          </rPr>
          <t xml:space="preserve">협회 요청</t>
        </r>
        <r>
          <rPr>
            <sz val="10"/>
            <rFont val="Arial"/>
            <family val="2"/>
          </rPr>
          <t xml:space="preserve">).
</t>
        </r>
        <r>
          <rPr>
            <sz val="10"/>
            <rFont val="WenQuanYi Zen Hei"/>
            <family val="2"/>
          </rPr>
          <t xml:space="preserve">산업분과 잔류</t>
        </r>
        <r>
          <rPr>
            <sz val="10"/>
            <rFont val="Arial"/>
            <family val="2"/>
          </rPr>
          <t xml:space="preserve">(</t>
        </r>
        <r>
          <rPr>
            <sz val="10"/>
            <rFont val="WenQuanYi Zen Hei"/>
            <family val="2"/>
          </rPr>
          <t xml:space="preserve">부분과</t>
        </r>
        <r>
          <rPr>
            <sz val="10"/>
            <rFont val="Arial"/>
            <family val="2"/>
          </rPr>
          <t xml:space="preserve">) </t>
        </r>
        <r>
          <rPr>
            <sz val="10"/>
            <rFont val="WenQuanYi Zen Hei"/>
            <family val="2"/>
          </rPr>
          <t xml:space="preserve">여부는 미확정이라 비워 둠 — 확인 필요</t>
        </r>
        <r>
          <rPr>
            <sz val="10"/>
            <rFont val="Arial"/>
            <family val="2"/>
          </rPr>
          <t xml:space="preserve">.</t>
        </r>
      </text>
    </comment>
    <comment ref="G2" authorId="0">
      <text>
        <r>
          <rPr>
            <sz val="10"/>
            <rFont val="WenQuanYi Zen Hei"/>
            <family val="2"/>
          </rPr>
          <t xml:space="preserve">기업유형 </t>
        </r>
        <r>
          <rPr>
            <sz val="10"/>
            <rFont val="Arial"/>
            <family val="2"/>
          </rPr>
          <t xml:space="preserve">6</t>
        </r>
        <r>
          <rPr>
            <sz val="10"/>
            <rFont val="WenQuanYi Zen Hei"/>
            <family val="2"/>
          </rPr>
          <t xml:space="preserve">종</t>
        </r>
        <r>
          <rPr>
            <sz val="10"/>
            <rFont val="Arial"/>
            <family val="2"/>
          </rPr>
          <t xml:space="preserve">(</t>
        </r>
        <r>
          <rPr>
            <sz val="10"/>
            <rFont val="WenQuanYi Zen Hei"/>
            <family val="2"/>
          </rPr>
          <t xml:space="preserve">드롭다운</t>
        </r>
        <r>
          <rPr>
            <sz val="10"/>
            <rFont val="Arial"/>
            <family val="2"/>
          </rPr>
          <t xml:space="preserve">). </t>
        </r>
        <r>
          <rPr>
            <sz val="10"/>
            <rFont val="WenQuanYi Zen Hei"/>
            <family val="2"/>
          </rPr>
          <t xml:space="preserve">분류 기준은 현황 시트 하단 참조</t>
        </r>
        <r>
          <rPr>
            <sz val="10"/>
            <rFont val="Arial"/>
            <family val="2"/>
          </rPr>
          <t xml:space="preserve">.
</t>
        </r>
        <r>
          <rPr>
            <sz val="10"/>
            <rFont val="WenQuanYi Zen Hei"/>
            <family val="2"/>
          </rPr>
          <t xml:space="preserve">빨간 글씨 </t>
        </r>
        <r>
          <rPr>
            <sz val="10"/>
            <rFont val="Arial"/>
            <family val="2"/>
          </rPr>
          <t xml:space="preserve">= </t>
        </r>
        <r>
          <rPr>
            <sz val="10"/>
            <rFont val="WenQuanYi Zen Hei"/>
            <family val="2"/>
          </rPr>
          <t xml:space="preserve">추정 분류</t>
        </r>
        <r>
          <rPr>
            <sz val="10"/>
            <rFont val="Arial"/>
            <family val="2"/>
          </rPr>
          <t xml:space="preserve">(</t>
        </r>
        <r>
          <rPr>
            <sz val="10"/>
            <rFont val="WenQuanYi Zen Hei"/>
            <family val="2"/>
          </rPr>
          <t xml:space="preserve">메모에 근거</t>
        </r>
        <r>
          <rPr>
            <sz val="10"/>
            <rFont val="Arial"/>
            <family val="2"/>
          </rPr>
          <t xml:space="preserve">), </t>
        </r>
        <r>
          <rPr>
            <sz val="10"/>
            <rFont val="WenQuanYi Zen Hei"/>
            <family val="2"/>
          </rPr>
          <t xml:space="preserve">확인 후 검정으로 바꾸면 됩니다</t>
        </r>
        <r>
          <rPr>
            <sz val="10"/>
            <rFont val="Arial"/>
            <family val="2"/>
          </rPr>
          <t xml:space="preserve">.</t>
        </r>
      </text>
    </comment>
    <comment ref="G23" authorId="0">
      <text>
        <r>
          <rPr>
            <sz val="10"/>
            <rFont val="WenQuanYi Zen Hei"/>
            <family val="2"/>
          </rPr>
          <t xml:space="preserve">※ 협회</t>
        </r>
        <r>
          <rPr>
            <sz val="10"/>
            <rFont val="Arial"/>
            <family val="2"/>
          </rPr>
          <t xml:space="preserve">·</t>
        </r>
        <r>
          <rPr>
            <sz val="10"/>
            <rFont val="WenQuanYi Zen Hei"/>
            <family val="2"/>
          </rPr>
          <t xml:space="preserve">단체 분류</t>
        </r>
        <r>
          <rPr>
            <sz val="10"/>
            <rFont val="Arial"/>
            <family val="2"/>
          </rPr>
          <t xml:space="preserve">, Co.,LTD </t>
        </r>
        <r>
          <rPr>
            <sz val="10"/>
            <rFont val="WenQuanYi Zen Hei"/>
            <family val="2"/>
          </rPr>
          <t xml:space="preserve">병기</t>
        </r>
        <r>
          <rPr>
            <sz val="10"/>
            <rFont val="Arial"/>
            <family val="2"/>
          </rPr>
          <t xml:space="preserve">, </t>
        </r>
        <r>
          <rPr>
            <sz val="10"/>
            <rFont val="WenQuanYi Zen Hei"/>
            <family val="2"/>
          </rPr>
          <t xml:space="preserve">법인 성격 확인</t>
        </r>
      </text>
    </comment>
    <comment ref="G32" authorId="0">
      <text>
        <r>
          <rPr>
            <sz val="10"/>
            <rFont val="WenQuanYi Zen Hei"/>
            <family val="2"/>
          </rPr>
          <t xml:space="preserve">※ 중견기업 추정</t>
        </r>
        <r>
          <rPr>
            <sz val="10"/>
            <rFont val="Arial"/>
            <family val="2"/>
          </rPr>
          <t xml:space="preserve">(</t>
        </r>
        <r>
          <rPr>
            <sz val="10"/>
            <rFont val="WenQuanYi Zen Hei"/>
            <family val="2"/>
          </rPr>
          <t xml:space="preserve">아이티센 계열</t>
        </r>
        <r>
          <rPr>
            <sz val="10"/>
            <rFont val="Arial"/>
            <family val="2"/>
          </rPr>
          <t xml:space="preserve">), </t>
        </r>
        <r>
          <rPr>
            <sz val="10"/>
            <rFont val="WenQuanYi Zen Hei"/>
            <family val="2"/>
          </rPr>
          <t xml:space="preserve">확인 필요</t>
        </r>
      </text>
    </comment>
    <comment ref="G93" authorId="0">
      <text>
        <r>
          <rPr>
            <sz val="10"/>
            <rFont val="WenQuanYi Zen Hei"/>
            <family val="2"/>
          </rPr>
          <t xml:space="preserve">※ 중견기업 추정</t>
        </r>
        <r>
          <rPr>
            <sz val="10"/>
            <rFont val="Arial"/>
            <family val="2"/>
          </rPr>
          <t xml:space="preserve">(SPC </t>
        </r>
        <r>
          <rPr>
            <sz val="10"/>
            <rFont val="WenQuanYi Zen Hei"/>
            <family val="2"/>
          </rPr>
          <t xml:space="preserve">계열</t>
        </r>
        <r>
          <rPr>
            <sz val="10"/>
            <rFont val="Arial"/>
            <family val="2"/>
          </rPr>
          <t xml:space="preserve">), </t>
        </r>
        <r>
          <rPr>
            <sz val="10"/>
            <rFont val="WenQuanYi Zen Hei"/>
            <family val="2"/>
          </rPr>
          <t xml:space="preserve">확인 필요</t>
        </r>
      </text>
    </comment>
    <comment ref="G101" authorId="0">
      <text>
        <r>
          <rPr>
            <sz val="10"/>
            <rFont val="WenQuanYi Zen Hei"/>
            <family val="2"/>
          </rPr>
          <t xml:space="preserve">※ 중견기업 추정</t>
        </r>
        <r>
          <rPr>
            <sz val="10"/>
            <rFont val="Arial"/>
            <family val="2"/>
          </rPr>
          <t xml:space="preserve">(</t>
        </r>
        <r>
          <rPr>
            <sz val="10"/>
            <rFont val="WenQuanYi Zen Hei"/>
            <family val="2"/>
          </rPr>
          <t xml:space="preserve">베스핀글로벌</t>
        </r>
        <r>
          <rPr>
            <sz val="10"/>
            <rFont val="Arial"/>
            <family val="2"/>
          </rPr>
          <t xml:space="preserve">), </t>
        </r>
        <r>
          <rPr>
            <sz val="10"/>
            <rFont val="WenQuanYi Zen Hei"/>
            <family val="2"/>
          </rPr>
          <t xml:space="preserve">확인 필요</t>
        </r>
      </text>
    </comment>
    <comment ref="G184" authorId="0">
      <text>
        <r>
          <rPr>
            <sz val="10"/>
            <rFont val="WenQuanYi Zen Hei"/>
            <family val="2"/>
          </rPr>
          <t xml:space="preserve">※ 중견기업 추정</t>
        </r>
        <r>
          <rPr>
            <sz val="10"/>
            <rFont val="Arial"/>
            <family val="2"/>
          </rPr>
          <t xml:space="preserve">(NHN </t>
        </r>
        <r>
          <rPr>
            <sz val="10"/>
            <rFont val="WenQuanYi Zen Hei"/>
            <family val="2"/>
          </rPr>
          <t xml:space="preserve">계열</t>
        </r>
        <r>
          <rPr>
            <sz val="10"/>
            <rFont val="Arial"/>
            <family val="2"/>
          </rPr>
          <t xml:space="preserve">), </t>
        </r>
        <r>
          <rPr>
            <sz val="10"/>
            <rFont val="WenQuanYi Zen Hei"/>
            <family val="2"/>
          </rPr>
          <t xml:space="preserve">확인 필요</t>
        </r>
      </text>
    </comment>
    <comment ref="G203" authorId="0">
      <text>
        <r>
          <rPr>
            <sz val="10"/>
            <rFont val="WenQuanYi Zen Hei"/>
            <family val="2"/>
          </rPr>
          <t xml:space="preserve">※ 중견기업 추정</t>
        </r>
        <r>
          <rPr>
            <sz val="10"/>
            <rFont val="Arial"/>
            <family val="2"/>
          </rPr>
          <t xml:space="preserve">(</t>
        </r>
        <r>
          <rPr>
            <sz val="10"/>
            <rFont val="WenQuanYi Zen Hei"/>
            <family val="2"/>
          </rPr>
          <t xml:space="preserve">펜타시스템</t>
        </r>
        <r>
          <rPr>
            <sz val="10"/>
            <rFont val="Arial"/>
            <family val="2"/>
          </rPr>
          <t xml:space="preserve">), </t>
        </r>
        <r>
          <rPr>
            <sz val="10"/>
            <rFont val="WenQuanYi Zen Hei"/>
            <family val="2"/>
          </rPr>
          <t xml:space="preserve">확인 필요</t>
        </r>
      </text>
    </comment>
    <comment ref="G204" authorId="0">
      <text>
        <r>
          <rPr>
            <sz val="10"/>
            <rFont val="WenQuanYi Zen Hei"/>
            <family val="2"/>
          </rPr>
          <t xml:space="preserve">※ 중견기업 추정</t>
        </r>
        <r>
          <rPr>
            <sz val="10"/>
            <rFont val="Arial"/>
            <family val="2"/>
          </rPr>
          <t xml:space="preserve">(</t>
        </r>
        <r>
          <rPr>
            <sz val="10"/>
            <rFont val="WenQuanYi Zen Hei"/>
            <family val="2"/>
          </rPr>
          <t xml:space="preserve">한솔 계열</t>
        </r>
        <r>
          <rPr>
            <sz val="10"/>
            <rFont val="Arial"/>
            <family val="2"/>
          </rPr>
          <t xml:space="preserve">), </t>
        </r>
        <r>
          <rPr>
            <sz val="10"/>
            <rFont val="WenQuanYi Zen Hei"/>
            <family val="2"/>
          </rPr>
          <t xml:space="preserve">확인 필요</t>
        </r>
      </text>
    </comment>
    <comment ref="G216" authorId="0">
      <text>
        <r>
          <rPr>
            <sz val="10"/>
            <rFont val="WenQuanYi Zen Hei"/>
            <family val="2"/>
          </rPr>
          <t xml:space="preserve">※ 중견기업 추정</t>
        </r>
        <r>
          <rPr>
            <sz val="10"/>
            <rFont val="Arial"/>
            <family val="2"/>
          </rPr>
          <t xml:space="preserve">(</t>
        </r>
        <r>
          <rPr>
            <sz val="10"/>
            <rFont val="WenQuanYi Zen Hei"/>
            <family val="2"/>
          </rPr>
          <t xml:space="preserve">안랩 계열</t>
        </r>
        <r>
          <rPr>
            <sz val="10"/>
            <rFont val="Arial"/>
            <family val="2"/>
          </rPr>
          <t xml:space="preserve">), </t>
        </r>
        <r>
          <rPr>
            <sz val="10"/>
            <rFont val="WenQuanYi Zen Hei"/>
            <family val="2"/>
          </rPr>
          <t xml:space="preserve">확인 필요</t>
        </r>
      </text>
    </comment>
    <comment ref="G223" authorId="0">
      <text>
        <r>
          <rPr>
            <sz val="10"/>
            <rFont val="WenQuanYi Zen Hei"/>
            <family val="2"/>
          </rPr>
          <t xml:space="preserve">※ 중견기업 추정</t>
        </r>
        <r>
          <rPr>
            <sz val="10"/>
            <rFont val="Arial"/>
            <family val="2"/>
          </rPr>
          <t xml:space="preserve">(</t>
        </r>
        <r>
          <rPr>
            <sz val="10"/>
            <rFont val="WenQuanYi Zen Hei"/>
            <family val="2"/>
          </rPr>
          <t xml:space="preserve">삼보컴퓨터</t>
        </r>
        <r>
          <rPr>
            <sz val="10"/>
            <rFont val="Arial"/>
            <family val="2"/>
          </rPr>
          <t xml:space="preserve">), </t>
        </r>
        <r>
          <rPr>
            <sz val="10"/>
            <rFont val="WenQuanYi Zen Hei"/>
            <family val="2"/>
          </rPr>
          <t xml:space="preserve">확인 필요</t>
        </r>
      </text>
    </comment>
    <comment ref="G245" authorId="0">
      <text>
        <r>
          <rPr>
            <sz val="10"/>
            <rFont val="WenQuanYi Zen Hei"/>
            <family val="2"/>
          </rPr>
          <t xml:space="preserve">※ 중견기업 추정</t>
        </r>
        <r>
          <rPr>
            <sz val="10"/>
            <rFont val="Arial"/>
            <family val="2"/>
          </rPr>
          <t xml:space="preserve">(</t>
        </r>
        <r>
          <rPr>
            <sz val="10"/>
            <rFont val="WenQuanYi Zen Hei"/>
            <family val="2"/>
          </rPr>
          <t xml:space="preserve">이글루코퍼레이션</t>
        </r>
        <r>
          <rPr>
            <sz val="10"/>
            <rFont val="Arial"/>
            <family val="2"/>
          </rPr>
          <t xml:space="preserve">), </t>
        </r>
        <r>
          <rPr>
            <sz val="10"/>
            <rFont val="WenQuanYi Zen Hei"/>
            <family val="2"/>
          </rPr>
          <t xml:space="preserve">확인 필요</t>
        </r>
      </text>
    </comment>
    <comment ref="G250" authorId="0">
      <text>
        <r>
          <rPr>
            <sz val="10"/>
            <rFont val="WenQuanYi Zen Hei"/>
            <family val="2"/>
          </rPr>
          <t xml:space="preserve">※ 중견기업 추정</t>
        </r>
        <r>
          <rPr>
            <sz val="10"/>
            <rFont val="Arial"/>
            <family val="2"/>
          </rPr>
          <t xml:space="preserve">(</t>
        </r>
        <r>
          <rPr>
            <sz val="10"/>
            <rFont val="WenQuanYi Zen Hei"/>
            <family val="2"/>
          </rPr>
          <t xml:space="preserve">아이티센 계열</t>
        </r>
        <r>
          <rPr>
            <sz val="10"/>
            <rFont val="Arial"/>
            <family val="2"/>
          </rPr>
          <t xml:space="preserve">), </t>
        </r>
        <r>
          <rPr>
            <sz val="10"/>
            <rFont val="WenQuanYi Zen Hei"/>
            <family val="2"/>
          </rPr>
          <t xml:space="preserve">확인 필요</t>
        </r>
      </text>
    </comment>
    <comment ref="G253" authorId="0">
      <text>
        <r>
          <rPr>
            <sz val="10"/>
            <rFont val="WenQuanYi Zen Hei"/>
            <family val="2"/>
          </rPr>
          <t xml:space="preserve">※ 중견기업 추정</t>
        </r>
        <r>
          <rPr>
            <sz val="10"/>
            <rFont val="Arial"/>
            <family val="2"/>
          </rPr>
          <t xml:space="preserve">(</t>
        </r>
        <r>
          <rPr>
            <sz val="10"/>
            <rFont val="WenQuanYi Zen Hei"/>
            <family val="2"/>
          </rPr>
          <t xml:space="preserve">티맥스 계열</t>
        </r>
        <r>
          <rPr>
            <sz val="10"/>
            <rFont val="Arial"/>
            <family val="2"/>
          </rPr>
          <t xml:space="preserve">), </t>
        </r>
        <r>
          <rPr>
            <sz val="10"/>
            <rFont val="WenQuanYi Zen Hei"/>
            <family val="2"/>
          </rPr>
          <t xml:space="preserve">확인 필요</t>
        </r>
      </text>
    </comment>
    <comment ref="G255" authorId="0">
      <text>
        <r>
          <rPr>
            <sz val="10"/>
            <rFont val="WenQuanYi Zen Hei"/>
            <family val="2"/>
          </rPr>
          <t xml:space="preserve">※ 중소기업 추정</t>
        </r>
        <r>
          <rPr>
            <sz val="10"/>
            <rFont val="Arial"/>
            <family val="2"/>
          </rPr>
          <t xml:space="preserve">, </t>
        </r>
        <r>
          <rPr>
            <sz val="10"/>
            <rFont val="WenQuanYi Zen Hei"/>
            <family val="2"/>
          </rPr>
          <t xml:space="preserve">폴라리스오피스</t>
        </r>
        <r>
          <rPr>
            <sz val="10"/>
            <rFont val="Arial"/>
            <family val="2"/>
          </rPr>
          <t xml:space="preserve">(</t>
        </r>
        <r>
          <rPr>
            <sz val="10"/>
            <rFont val="WenQuanYi Zen Hei"/>
            <family val="2"/>
          </rPr>
          <t xml:space="preserve">관계기업 합산 시 중견 가능</t>
        </r>
        <r>
          <rPr>
            <sz val="10"/>
            <rFont val="Arial"/>
            <family val="2"/>
          </rPr>
          <t xml:space="preserve">)</t>
        </r>
      </text>
    </comment>
    <comment ref="G259" authorId="0">
      <text>
        <r>
          <rPr>
            <sz val="10"/>
            <rFont val="WenQuanYi Zen Hei"/>
            <family val="2"/>
          </rPr>
          <t xml:space="preserve">※ 중견기업 추정</t>
        </r>
        <r>
          <rPr>
            <sz val="10"/>
            <rFont val="Arial"/>
            <family val="2"/>
          </rPr>
          <t xml:space="preserve">(</t>
        </r>
        <r>
          <rPr>
            <sz val="10"/>
            <rFont val="WenQuanYi Zen Hei"/>
            <family val="2"/>
          </rPr>
          <t xml:space="preserve">야놀자</t>
        </r>
        <r>
          <rPr>
            <sz val="10"/>
            <rFont val="Arial"/>
            <family val="2"/>
          </rPr>
          <t xml:space="preserve">), </t>
        </r>
        <r>
          <rPr>
            <sz val="10"/>
            <rFont val="WenQuanYi Zen Hei"/>
            <family val="2"/>
          </rPr>
          <t xml:space="preserve">확인 필요</t>
        </r>
      </text>
    </comment>
    <comment ref="G262" authorId="0">
      <text>
        <r>
          <rPr>
            <sz val="10"/>
            <rFont val="WenQuanYi Zen Hei"/>
            <family val="2"/>
          </rPr>
          <t xml:space="preserve">※ 중견기업 추정</t>
        </r>
        <r>
          <rPr>
            <sz val="10"/>
            <rFont val="Arial"/>
            <family val="2"/>
          </rPr>
          <t xml:space="preserve">(</t>
        </r>
        <r>
          <rPr>
            <sz val="10"/>
            <rFont val="WenQuanYi Zen Hei"/>
            <family val="2"/>
          </rPr>
          <t xml:space="preserve">매경미디어 계열</t>
        </r>
        <r>
          <rPr>
            <sz val="10"/>
            <rFont val="Arial"/>
            <family val="2"/>
          </rPr>
          <t xml:space="preserve">), </t>
        </r>
        <r>
          <rPr>
            <sz val="10"/>
            <rFont val="WenQuanYi Zen Hei"/>
            <family val="2"/>
          </rPr>
          <t xml:space="preserve">확인 필요</t>
        </r>
      </text>
    </comment>
    <comment ref="G264" authorId="0">
      <text>
        <r>
          <rPr>
            <sz val="10"/>
            <rFont val="WenQuanYi Zen Hei"/>
            <family val="2"/>
          </rPr>
          <t xml:space="preserve">※ 협회</t>
        </r>
        <r>
          <rPr>
            <sz val="10"/>
            <rFont val="Arial"/>
            <family val="2"/>
          </rPr>
          <t xml:space="preserve">·</t>
        </r>
        <r>
          <rPr>
            <sz val="10"/>
            <rFont val="WenQuanYi Zen Hei"/>
            <family val="2"/>
          </rPr>
          <t xml:space="preserve">단체 분류</t>
        </r>
        <r>
          <rPr>
            <sz val="10"/>
            <rFont val="Arial"/>
            <family val="2"/>
          </rPr>
          <t xml:space="preserve">, </t>
        </r>
        <r>
          <rPr>
            <sz val="10"/>
            <rFont val="WenQuanYi Zen Hei"/>
            <family val="2"/>
          </rPr>
          <t xml:space="preserve">비영리 사단법인</t>
        </r>
        <r>
          <rPr>
            <sz val="10"/>
            <rFont val="Arial"/>
            <family val="2"/>
          </rPr>
          <t xml:space="preserve">(</t>
        </r>
        <r>
          <rPr>
            <sz val="10"/>
            <rFont val="WenQuanYi Zen Hei"/>
            <family val="2"/>
          </rPr>
          <t xml:space="preserve">금융유관기관</t>
        </r>
        <r>
          <rPr>
            <sz val="10"/>
            <rFont val="Arial"/>
            <family val="2"/>
          </rPr>
          <t xml:space="preserve">)</t>
        </r>
      </text>
    </comment>
    <comment ref="G266" authorId="0">
      <text>
        <r>
          <rPr>
            <sz val="10"/>
            <rFont val="WenQuanYi Zen Hei"/>
            <family val="2"/>
          </rPr>
          <t xml:space="preserve">※ 중견기업 추정</t>
        </r>
        <r>
          <rPr>
            <sz val="10"/>
            <rFont val="Arial"/>
            <family val="2"/>
          </rPr>
          <t xml:space="preserve">(</t>
        </r>
        <r>
          <rPr>
            <sz val="10"/>
            <rFont val="WenQuanYi Zen Hei"/>
            <family val="2"/>
          </rPr>
          <t xml:space="preserve">한솔 계열</t>
        </r>
        <r>
          <rPr>
            <sz val="10"/>
            <rFont val="Arial"/>
            <family val="2"/>
          </rPr>
          <t xml:space="preserve">), </t>
        </r>
        <r>
          <rPr>
            <sz val="10"/>
            <rFont val="WenQuanYi Zen Hei"/>
            <family val="2"/>
          </rPr>
          <t xml:space="preserve">확인 필요</t>
        </r>
      </text>
    </comment>
    <comment ref="G267" authorId="0">
      <text>
        <r>
          <rPr>
            <sz val="10"/>
            <rFont val="WenQuanYi Zen Hei"/>
            <family val="2"/>
          </rPr>
          <t xml:space="preserve">※ 중견기업 추정</t>
        </r>
        <r>
          <rPr>
            <sz val="10"/>
            <rFont val="Arial"/>
            <family val="2"/>
          </rPr>
          <t xml:space="preserve">(NICE </t>
        </r>
        <r>
          <rPr>
            <sz val="10"/>
            <rFont val="WenQuanYi Zen Hei"/>
            <family val="2"/>
          </rPr>
          <t xml:space="preserve">계열</t>
        </r>
        <r>
          <rPr>
            <sz val="10"/>
            <rFont val="Arial"/>
            <family val="2"/>
          </rPr>
          <t xml:space="preserve">), </t>
        </r>
        <r>
          <rPr>
            <sz val="10"/>
            <rFont val="WenQuanYi Zen Hei"/>
            <family val="2"/>
          </rPr>
          <t xml:space="preserve">확인 필요</t>
        </r>
      </text>
    </comment>
    <comment ref="G286" authorId="0">
      <text>
        <r>
          <rPr>
            <sz val="10"/>
            <rFont val="WenQuanYi Zen Hei"/>
            <family val="2"/>
          </rPr>
          <t xml:space="preserve">※ 중소기업 추정</t>
        </r>
        <r>
          <rPr>
            <sz val="10"/>
            <rFont val="Arial"/>
            <family val="2"/>
          </rPr>
          <t xml:space="preserve">, </t>
        </r>
        <r>
          <rPr>
            <sz val="10"/>
            <rFont val="WenQuanYi Zen Hei"/>
            <family val="2"/>
          </rPr>
          <t xml:space="preserve">휴심정</t>
        </r>
        <r>
          <rPr>
            <sz val="10"/>
            <rFont val="Arial"/>
            <family val="2"/>
          </rPr>
          <t xml:space="preserve">AX(</t>
        </r>
        <r>
          <rPr>
            <sz val="10"/>
            <rFont val="WenQuanYi Zen Hei"/>
            <family val="2"/>
          </rPr>
          <t xml:space="preserve">법인 정보 미확인</t>
        </r>
        <r>
          <rPr>
            <sz val="10"/>
            <rFont val="Arial"/>
            <family val="2"/>
          </rPr>
          <t xml:space="preserve">)</t>
        </r>
      </text>
    </comment>
    <comment ref="G301" authorId="0">
      <text>
        <r>
          <rPr>
            <sz val="10"/>
            <rFont val="WenQuanYi Zen Hei"/>
            <family val="2"/>
          </rPr>
          <t xml:space="preserve">※ 협회</t>
        </r>
        <r>
          <rPr>
            <sz val="10"/>
            <rFont val="Arial"/>
            <family val="2"/>
          </rPr>
          <t xml:space="preserve">·</t>
        </r>
        <r>
          <rPr>
            <sz val="10"/>
            <rFont val="WenQuanYi Zen Hei"/>
            <family val="2"/>
          </rPr>
          <t xml:space="preserve">단체 분류</t>
        </r>
        <r>
          <rPr>
            <sz val="10"/>
            <rFont val="Arial"/>
            <family val="2"/>
          </rPr>
          <t xml:space="preserve">, </t>
        </r>
        <r>
          <rPr>
            <sz val="10"/>
            <rFont val="WenQuanYi Zen Hei"/>
            <family val="2"/>
          </rPr>
          <t xml:space="preserve">비영리 사단법인</t>
        </r>
        <r>
          <rPr>
            <sz val="10"/>
            <rFont val="Arial"/>
            <family val="2"/>
          </rPr>
          <t xml:space="preserve">(</t>
        </r>
        <r>
          <rPr>
            <sz val="10"/>
            <rFont val="WenQuanYi Zen Hei"/>
            <family val="2"/>
          </rPr>
          <t xml:space="preserve">금융유관기관</t>
        </r>
        <r>
          <rPr>
            <sz val="10"/>
            <rFont val="Arial"/>
            <family val="2"/>
          </rPr>
          <t xml:space="preserve">)</t>
        </r>
      </text>
    </comment>
    <comment ref="J124" authorId="0">
      <text>
        <r>
          <rPr>
            <sz val="10"/>
            <rFont val="WenQuanYi Zen Hei"/>
            <family val="2"/>
          </rPr>
          <t xml:space="preserve">※ 자릿수 이상으로 형식 통일 불가</t>
        </r>
        <r>
          <rPr>
            <sz val="10"/>
            <rFont val="Arial"/>
            <family val="2"/>
          </rPr>
          <t xml:space="preserve">(10262389494). </t>
        </r>
        <r>
          <rPr>
            <sz val="10"/>
            <rFont val="WenQuanYi Zen Hei"/>
            <family val="2"/>
          </rPr>
          <t xml:space="preserve">웹 검색으로도 확인되지 않아 원본 유지</t>
        </r>
        <r>
          <rPr>
            <sz val="10"/>
            <rFont val="Arial"/>
            <family val="2"/>
          </rPr>
          <t xml:space="preserve">. </t>
        </r>
        <r>
          <rPr>
            <sz val="10"/>
            <rFont val="WenQuanYi Zen Hei"/>
            <family val="2"/>
          </rPr>
          <t xml:space="preserve">회원사 확인 필요</t>
        </r>
        <r>
          <rPr>
            <sz val="10"/>
            <rFont val="Arial"/>
            <family val="2"/>
          </rPr>
          <t xml:space="preserve">.</t>
        </r>
      </text>
    </comment>
    <comment ref="J185" authorId="0">
      <text>
        <r>
          <rPr>
            <sz val="10"/>
            <rFont val="WenQuanYi Zen Hei"/>
            <family val="2"/>
          </rPr>
          <t xml:space="preserve">※ 자릿수 이상으로 형식 통일 불가</t>
        </r>
        <r>
          <rPr>
            <sz val="10"/>
            <rFont val="Arial"/>
            <family val="2"/>
          </rPr>
          <t xml:space="preserve">(03-830-0858). </t>
        </r>
        <r>
          <rPr>
            <sz val="10"/>
            <rFont val="WenQuanYi Zen Hei"/>
            <family val="2"/>
          </rPr>
          <t xml:space="preserve">웹 검색으로도 확인되지 않아 원본 유지</t>
        </r>
        <r>
          <rPr>
            <sz val="10"/>
            <rFont val="Arial"/>
            <family val="2"/>
          </rPr>
          <t xml:space="preserve">. </t>
        </r>
        <r>
          <rPr>
            <sz val="10"/>
            <rFont val="WenQuanYi Zen Hei"/>
            <family val="2"/>
          </rPr>
          <t xml:space="preserve">회원사 확인 필요</t>
        </r>
        <r>
          <rPr>
            <sz val="10"/>
            <rFont val="Arial"/>
            <family val="2"/>
          </rPr>
          <t xml:space="preserve">.</t>
        </r>
      </text>
    </comment>
    <comment ref="J212" authorId="0">
      <text>
        <r>
          <rPr>
            <sz val="10"/>
            <rFont val="WenQuanYi Zen Hei"/>
            <family val="2"/>
          </rPr>
          <t xml:space="preserve">※ 형식 이상</t>
        </r>
        <r>
          <rPr>
            <sz val="10"/>
            <rFont val="Arial"/>
            <family val="2"/>
          </rPr>
          <t xml:space="preserve">(1533-)</t>
        </r>
        <r>
          <rPr>
            <sz val="10"/>
            <rFont val="WenQuanYi Zen Hei"/>
            <family val="2"/>
          </rPr>
          <t xml:space="preserve">을 웹 검색으로 확인해 정정</t>
        </r>
        <r>
          <rPr>
            <sz val="10"/>
            <rFont val="Arial"/>
            <family val="2"/>
          </rPr>
          <t xml:space="preserve">: 1533-1614 (</t>
        </r>
        <r>
          <rPr>
            <sz val="10"/>
            <rFont val="WenQuanYi Zen Hei"/>
            <family val="2"/>
          </rPr>
          <t xml:space="preserve">공식 홈페이지 확인</t>
        </r>
        <r>
          <rPr>
            <sz val="10"/>
            <rFont val="Arial"/>
            <family val="2"/>
          </rPr>
          <t xml:space="preserve">)</t>
        </r>
      </text>
    </comment>
    <comment ref="J279" authorId="0">
      <text>
        <r>
          <rPr>
            <sz val="10"/>
            <rFont val="WenQuanYi Zen Hei"/>
            <family val="2"/>
          </rPr>
          <t xml:space="preserve">※ 형식 이상</t>
        </r>
        <r>
          <rPr>
            <sz val="10"/>
            <rFont val="Arial"/>
            <family val="2"/>
          </rPr>
          <t xml:space="preserve">(03-697-8961)</t>
        </r>
        <r>
          <rPr>
            <sz val="10"/>
            <rFont val="WenQuanYi Zen Hei"/>
            <family val="2"/>
          </rPr>
          <t xml:space="preserve">을 웹 검색으로 확인해 정정</t>
        </r>
        <r>
          <rPr>
            <sz val="10"/>
            <rFont val="Arial"/>
            <family val="2"/>
          </rPr>
          <t xml:space="preserve">: 031-697-8961 (</t>
        </r>
        <r>
          <rPr>
            <sz val="10"/>
            <rFont val="WenQuanYi Zen Hei"/>
            <family val="2"/>
          </rPr>
          <t xml:space="preserve">기업정보 확인</t>
        </r>
        <r>
          <rPr>
            <sz val="10"/>
            <rFont val="Arial"/>
            <family val="2"/>
          </rPr>
          <t xml:space="preserve">(</t>
        </r>
        <r>
          <rPr>
            <sz val="10"/>
            <rFont val="WenQuanYi Zen Hei"/>
            <family val="2"/>
          </rPr>
          <t xml:space="preserve">성남 판교</t>
        </r>
        <r>
          <rPr>
            <sz val="10"/>
            <rFont val="Arial"/>
            <family val="2"/>
          </rPr>
          <t xml:space="preserve">))</t>
        </r>
      </text>
    </comment>
    <comment ref="R124" authorId="0">
      <text>
        <r>
          <rPr>
            <sz val="10"/>
            <rFont val="WenQuanYi Zen Hei"/>
            <family val="2"/>
          </rPr>
          <t xml:space="preserve">※ 자릿수 이상으로 형식 통일 불가</t>
        </r>
        <r>
          <rPr>
            <sz val="10"/>
            <rFont val="Arial"/>
            <family val="2"/>
          </rPr>
          <t xml:space="preserve">(010262389494). </t>
        </r>
        <r>
          <rPr>
            <sz val="10"/>
            <rFont val="WenQuanYi Zen Hei"/>
            <family val="2"/>
          </rPr>
          <t xml:space="preserve">웹 검색으로도 확인되지 않아 원본 유지</t>
        </r>
        <r>
          <rPr>
            <sz val="10"/>
            <rFont val="Arial"/>
            <family val="2"/>
          </rPr>
          <t xml:space="preserve">. </t>
        </r>
        <r>
          <rPr>
            <sz val="10"/>
            <rFont val="WenQuanYi Zen Hei"/>
            <family val="2"/>
          </rPr>
          <t xml:space="preserve">회원사 확인 필요</t>
        </r>
        <r>
          <rPr>
            <sz val="10"/>
            <rFont val="Arial"/>
            <family val="2"/>
          </rPr>
          <t xml:space="preserve">.</t>
        </r>
      </text>
    </comment>
    <comment ref="T124" authorId="0">
      <text>
        <r>
          <rPr>
            <sz val="10"/>
            <rFont val="WenQuanYi Zen Hei"/>
            <family val="2"/>
          </rPr>
          <t xml:space="preserve">※ 자릿수 이상으로 형식 통일 불가</t>
        </r>
        <r>
          <rPr>
            <sz val="10"/>
            <rFont val="Arial"/>
            <family val="2"/>
          </rPr>
          <t xml:space="preserve">(010-2623-89494). </t>
        </r>
        <r>
          <rPr>
            <sz val="10"/>
            <rFont val="WenQuanYi Zen Hei"/>
            <family val="2"/>
          </rPr>
          <t xml:space="preserve">웹 검색으로도 확인되지 않아 원본 유지</t>
        </r>
        <r>
          <rPr>
            <sz val="10"/>
            <rFont val="Arial"/>
            <family val="2"/>
          </rPr>
          <t xml:space="preserve">. </t>
        </r>
        <r>
          <rPr>
            <sz val="10"/>
            <rFont val="WenQuanYi Zen Hei"/>
            <family val="2"/>
          </rPr>
          <t xml:space="preserve">회원사 확인 필요</t>
        </r>
        <r>
          <rPr>
            <sz val="10"/>
            <rFont val="Arial"/>
            <family val="2"/>
          </rPr>
          <t xml:space="preserve">.</t>
        </r>
      </text>
    </comment>
    <comment ref="T264" authorId="0">
      <text>
        <r>
          <rPr>
            <sz val="10"/>
            <rFont val="WenQuanYi Zen Hei"/>
            <family val="2"/>
          </rPr>
          <t xml:space="preserve">※ 자릿수 이상으로 형식 통일 불가</t>
        </r>
        <r>
          <rPr>
            <sz val="10"/>
            <rFont val="Arial"/>
            <family val="2"/>
          </rPr>
          <t xml:space="preserve">(</t>
        </r>
        <r>
          <rPr>
            <sz val="10"/>
            <rFont val="WenQuanYi Zen Hei"/>
            <family val="2"/>
          </rPr>
          <t xml:space="preserve">해당없음</t>
        </r>
        <r>
          <rPr>
            <sz val="10"/>
            <rFont val="Arial"/>
            <family val="2"/>
          </rPr>
          <t xml:space="preserve">). </t>
        </r>
        <r>
          <rPr>
            <sz val="10"/>
            <rFont val="WenQuanYi Zen Hei"/>
            <family val="2"/>
          </rPr>
          <t xml:space="preserve">웹 검색으로도 확인되지 않아 원본 유지</t>
        </r>
        <r>
          <rPr>
            <sz val="10"/>
            <rFont val="Arial"/>
            <family val="2"/>
          </rPr>
          <t xml:space="preserve">. </t>
        </r>
        <r>
          <rPr>
            <sz val="10"/>
            <rFont val="WenQuanYi Zen Hei"/>
            <family val="2"/>
          </rPr>
          <t xml:space="preserve">회원사 확인 필요</t>
        </r>
        <r>
          <rPr>
            <sz val="10"/>
            <rFont val="Arial"/>
            <family val="2"/>
          </rPr>
          <t xml:space="preserve">.</t>
        </r>
      </text>
    </comment>
    <comment ref="T292" authorId="0">
      <text>
        <r>
          <rPr>
            <sz val="10"/>
            <rFont val="WenQuanYi Zen Hei"/>
            <family val="2"/>
          </rPr>
          <t xml:space="preserve">※ 자릿수 이상으로 형식 통일 불가</t>
        </r>
        <r>
          <rPr>
            <sz val="10"/>
            <rFont val="Arial"/>
            <family val="2"/>
          </rPr>
          <t xml:space="preserve">(010202815964). </t>
        </r>
        <r>
          <rPr>
            <sz val="10"/>
            <rFont val="WenQuanYi Zen Hei"/>
            <family val="2"/>
          </rPr>
          <t xml:space="preserve">웹 검색으로도 확인되지 않아 원본 유지</t>
        </r>
        <r>
          <rPr>
            <sz val="10"/>
            <rFont val="Arial"/>
            <family val="2"/>
          </rPr>
          <t xml:space="preserve">. </t>
        </r>
        <r>
          <rPr>
            <sz val="10"/>
            <rFont val="WenQuanYi Zen Hei"/>
            <family val="2"/>
          </rPr>
          <t xml:space="preserve">회원사 확인 필요</t>
        </r>
        <r>
          <rPr>
            <sz val="10"/>
            <rFont val="Arial"/>
            <family val="2"/>
          </rPr>
          <t xml:space="preserve">.</t>
        </r>
      </text>
    </comment>
    <comment ref="X133" authorId="0">
      <text>
        <r>
          <rPr>
            <sz val="10"/>
            <rFont val="WenQuanYi Zen Hei"/>
            <family val="2"/>
          </rPr>
          <t xml:space="preserve">※ 형식 이상</t>
        </r>
        <r>
          <rPr>
            <sz val="10"/>
            <rFont val="Arial"/>
            <family val="2"/>
          </rPr>
          <t xml:space="preserve">(02-34773-3477)</t>
        </r>
        <r>
          <rPr>
            <sz val="10"/>
            <rFont val="WenQuanYi Zen Hei"/>
            <family val="2"/>
          </rPr>
          <t xml:space="preserve">을 웹 검색으로 확인해 정정</t>
        </r>
        <r>
          <rPr>
            <sz val="10"/>
            <rFont val="Arial"/>
            <family val="2"/>
          </rPr>
          <t xml:space="preserve">: 02-3473-3477 (</t>
        </r>
        <r>
          <rPr>
            <sz val="10"/>
            <rFont val="WenQuanYi Zen Hei"/>
            <family val="2"/>
          </rPr>
          <t xml:space="preserve">공식 홈페이지 확인</t>
        </r>
        <r>
          <rPr>
            <sz val="10"/>
            <rFont val="Arial"/>
            <family val="2"/>
          </rPr>
          <t xml:space="preserve">)</t>
        </r>
      </text>
    </comment>
    <comment ref="X291" authorId="0">
      <text>
        <r>
          <rPr>
            <sz val="10"/>
            <rFont val="WenQuanYi Zen Hei"/>
            <family val="2"/>
          </rPr>
          <t xml:space="preserve">※ 자릿수 이상으로 형식 통일 불가</t>
        </r>
        <r>
          <rPr>
            <sz val="10"/>
            <rFont val="Arial"/>
            <family val="2"/>
          </rPr>
          <t xml:space="preserve">(</t>
        </r>
        <r>
          <rPr>
            <sz val="10"/>
            <rFont val="WenQuanYi Zen Hei"/>
            <family val="2"/>
          </rPr>
          <t xml:space="preserve">이상의 참여자 정보와 동일</t>
        </r>
        <r>
          <rPr>
            <sz val="10"/>
            <rFont val="Arial"/>
            <family val="2"/>
          </rPr>
          <t xml:space="preserve">). </t>
        </r>
        <r>
          <rPr>
            <sz val="10"/>
            <rFont val="WenQuanYi Zen Hei"/>
            <family val="2"/>
          </rPr>
          <t xml:space="preserve">웹 검색으로도 확인되지 않아 원본 유지</t>
        </r>
        <r>
          <rPr>
            <sz val="10"/>
            <rFont val="Arial"/>
            <family val="2"/>
          </rPr>
          <t xml:space="preserve">. </t>
        </r>
        <r>
          <rPr>
            <sz val="10"/>
            <rFont val="WenQuanYi Zen Hei"/>
            <family val="2"/>
          </rPr>
          <t xml:space="preserve">회원사 확인 필요</t>
        </r>
        <r>
          <rPr>
            <sz val="10"/>
            <rFont val="Arial"/>
            <family val="2"/>
          </rPr>
          <t xml:space="preserve">.</t>
        </r>
      </text>
    </comment>
    <comment ref="X298" authorId="0">
      <text>
        <r>
          <rPr>
            <sz val="10"/>
            <rFont val="WenQuanYi Zen Hei"/>
            <family val="2"/>
          </rPr>
          <t xml:space="preserve">※ 자릿수 이상으로 형식 통일 불가</t>
        </r>
        <r>
          <rPr>
            <sz val="10"/>
            <rFont val="Arial"/>
            <family val="2"/>
          </rPr>
          <t xml:space="preserve">(</t>
        </r>
        <r>
          <rPr>
            <sz val="10"/>
            <rFont val="WenQuanYi Zen Hei"/>
            <family val="2"/>
          </rPr>
          <t xml:space="preserve">정혜정</t>
        </r>
        <r>
          <rPr>
            <sz val="10"/>
            <rFont val="Arial"/>
            <family val="2"/>
          </rPr>
          <t xml:space="preserve">). </t>
        </r>
        <r>
          <rPr>
            <sz val="10"/>
            <rFont val="WenQuanYi Zen Hei"/>
            <family val="2"/>
          </rPr>
          <t xml:space="preserve">웹 검색으로도 확인되지 않아 원본 유지</t>
        </r>
        <r>
          <rPr>
            <sz val="10"/>
            <rFont val="Arial"/>
            <family val="2"/>
          </rPr>
          <t xml:space="preserve">. </t>
        </r>
        <r>
          <rPr>
            <sz val="10"/>
            <rFont val="WenQuanYi Zen Hei"/>
            <family val="2"/>
          </rPr>
          <t xml:space="preserve">회원사 확인 필요</t>
        </r>
        <r>
          <rPr>
            <sz val="10"/>
            <rFont val="Arial"/>
            <family val="2"/>
          </rPr>
          <t xml:space="preserve">.</t>
        </r>
      </text>
    </comment>
    <comment ref="Z46" authorId="0">
      <text>
        <r>
          <rPr>
            <sz val="10"/>
            <rFont val="WenQuanYi Zen Hei"/>
            <family val="2"/>
          </rPr>
          <t xml:space="preserve">※ 자릿수 이상으로 형식 통일 불가</t>
        </r>
        <r>
          <rPr>
            <sz val="10"/>
            <rFont val="Arial"/>
            <family val="2"/>
          </rPr>
          <t xml:space="preserve">(010148414524). </t>
        </r>
        <r>
          <rPr>
            <sz val="10"/>
            <rFont val="WenQuanYi Zen Hei"/>
            <family val="2"/>
          </rPr>
          <t xml:space="preserve">웹 검색으로도 확인되지 않아 원본 유지</t>
        </r>
        <r>
          <rPr>
            <sz val="10"/>
            <rFont val="Arial"/>
            <family val="2"/>
          </rPr>
          <t xml:space="preserve">. </t>
        </r>
        <r>
          <rPr>
            <sz val="10"/>
            <rFont val="WenQuanYi Zen Hei"/>
            <family val="2"/>
          </rPr>
          <t xml:space="preserve">회원사 확인 필요</t>
        </r>
        <r>
          <rPr>
            <sz val="10"/>
            <rFont val="Arial"/>
            <family val="2"/>
          </rPr>
          <t xml:space="preserve">.</t>
        </r>
      </text>
    </comment>
    <comment ref="Z291" authorId="0">
      <text>
        <r>
          <rPr>
            <sz val="10"/>
            <rFont val="WenQuanYi Zen Hei"/>
            <family val="2"/>
          </rPr>
          <t xml:space="preserve">※ 자릿수 이상으로 형식 통일 불가</t>
        </r>
        <r>
          <rPr>
            <sz val="10"/>
            <rFont val="Arial"/>
            <family val="2"/>
          </rPr>
          <t xml:space="preserve">(</t>
        </r>
        <r>
          <rPr>
            <sz val="10"/>
            <rFont val="WenQuanYi Zen Hei"/>
            <family val="2"/>
          </rPr>
          <t xml:space="preserve">이상의 참여자 정보와 동일</t>
        </r>
        <r>
          <rPr>
            <sz val="10"/>
            <rFont val="Arial"/>
            <family val="2"/>
          </rPr>
          <t xml:space="preserve">). </t>
        </r>
        <r>
          <rPr>
            <sz val="10"/>
            <rFont val="WenQuanYi Zen Hei"/>
            <family val="2"/>
          </rPr>
          <t xml:space="preserve">웹 검색으로도 확인되지 않아 원본 유지</t>
        </r>
        <r>
          <rPr>
            <sz val="10"/>
            <rFont val="Arial"/>
            <family val="2"/>
          </rPr>
          <t xml:space="preserve">. </t>
        </r>
        <r>
          <rPr>
            <sz val="10"/>
            <rFont val="WenQuanYi Zen Hei"/>
            <family val="2"/>
          </rPr>
          <t xml:space="preserve">회원사 확인 필요</t>
        </r>
        <r>
          <rPr>
            <sz val="10"/>
            <rFont val="Arial"/>
            <family val="2"/>
          </rPr>
          <t xml:space="preserve">.</t>
        </r>
      </text>
    </comment>
    <comment ref="AA2" authorId="0">
      <text>
        <r>
          <rPr>
            <sz val="10"/>
            <rFont val="Arial"/>
            <family val="2"/>
          </rPr>
          <t xml:space="preserve">"2</t>
        </r>
        <r>
          <rPr>
            <sz val="10"/>
            <rFont val="WenQuanYi Zen Hei"/>
            <family val="2"/>
          </rPr>
          <t xml:space="preserve">지망 생태계 신청</t>
        </r>
        <r>
          <rPr>
            <sz val="10"/>
            <rFont val="Arial"/>
            <family val="2"/>
          </rPr>
          <t xml:space="preserve">" = </t>
        </r>
        <r>
          <rPr>
            <sz val="10"/>
            <rFont val="WenQuanYi Zen Hei"/>
            <family val="2"/>
          </rPr>
          <t xml:space="preserve">설문 없이 원본 </t>
        </r>
        <r>
          <rPr>
            <sz val="10"/>
            <rFont val="Arial"/>
            <family val="2"/>
          </rPr>
          <t xml:space="preserve">2</t>
        </r>
        <r>
          <rPr>
            <sz val="10"/>
            <rFont val="WenQuanYi Zen Hei"/>
            <family val="2"/>
          </rPr>
          <t xml:space="preserve">지망만으로 생태계 배치</t>
        </r>
        <r>
          <rPr>
            <sz val="10"/>
            <rFont val="Arial"/>
            <family val="2"/>
          </rPr>
          <t xml:space="preserve">. "※ </t>
        </r>
        <r>
          <rPr>
            <sz val="10"/>
            <rFont val="WenQuanYi Zen Hei"/>
            <family val="2"/>
          </rPr>
          <t xml:space="preserve">유형 확인</t>
        </r>
        <r>
          <rPr>
            <sz val="10"/>
            <rFont val="Arial"/>
            <family val="2"/>
          </rPr>
          <t xml:space="preserve">" = </t>
        </r>
        <r>
          <rPr>
            <sz val="10"/>
            <rFont val="WenQuanYi Zen Hei"/>
            <family val="2"/>
          </rPr>
          <t xml:space="preserve">기업유형 추정</t>
        </r>
        <r>
          <rPr>
            <sz val="10"/>
            <rFont val="Arial"/>
            <family val="2"/>
          </rPr>
          <t xml:space="preserv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2" authorId="0">
      <text>
        <r>
          <rPr>
            <sz val="10"/>
            <rFont val="WenQuanYi Zen Hei"/>
            <family val="2"/>
          </rPr>
          <t xml:space="preserve">이 시트는 종합 시트에서 자동으로 불러옵니다</t>
        </r>
        <r>
          <rPr>
            <sz val="10"/>
            <rFont val="Arial"/>
            <family val="2"/>
          </rPr>
          <t xml:space="preserve">. </t>
        </r>
        <r>
          <rPr>
            <sz val="10"/>
            <rFont val="WenQuanYi Zen Hei"/>
            <family val="2"/>
          </rPr>
          <t xml:space="preserve">직접 입력하지 마세요</t>
        </r>
        <r>
          <rPr>
            <sz val="10"/>
            <rFont val="Arial"/>
            <family val="2"/>
          </rPr>
          <t xml:space="preserv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2" authorId="0">
      <text>
        <r>
          <rPr>
            <sz val="10"/>
            <rFont val="WenQuanYi Zen Hei"/>
            <family val="2"/>
          </rPr>
          <t xml:space="preserve">이 시트는 종합 시트에서 자동으로 불러옵니다</t>
        </r>
        <r>
          <rPr>
            <sz val="10"/>
            <rFont val="Arial"/>
            <family val="2"/>
          </rPr>
          <t xml:space="preserve">. </t>
        </r>
        <r>
          <rPr>
            <sz val="10"/>
            <rFont val="WenQuanYi Zen Hei"/>
            <family val="2"/>
          </rPr>
          <t xml:space="preserve">직접 입력하지 마세요</t>
        </r>
        <r>
          <rPr>
            <sz val="10"/>
            <rFont val="Arial"/>
            <family val="2"/>
          </rPr>
          <t xml:space="preserv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WenQuanYi Zen Hei"/>
            <family val="2"/>
          </rPr>
          <t xml:space="preserve">이 시트는 종합 시트에서 자동으로 불러옵니다</t>
        </r>
        <r>
          <rPr>
            <sz val="10"/>
            <rFont val="Arial"/>
            <family val="2"/>
          </rPr>
          <t xml:space="preserve">. </t>
        </r>
        <r>
          <rPr>
            <sz val="10"/>
            <rFont val="WenQuanYi Zen Hei"/>
            <family val="2"/>
          </rPr>
          <t xml:space="preserve">직접 입력하지 마세요</t>
        </r>
        <r>
          <rPr>
            <sz val="10"/>
            <rFont val="Arial"/>
            <family val="2"/>
          </rPr>
          <t xml:space="preserv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2" authorId="0">
      <text>
        <r>
          <rPr>
            <sz val="10"/>
            <rFont val="WenQuanYi Zen Hei"/>
            <family val="2"/>
          </rPr>
          <t xml:space="preserve">이 시트는 종합 시트에서 자동으로 불러옵니다</t>
        </r>
        <r>
          <rPr>
            <sz val="10"/>
            <rFont val="Arial"/>
            <family val="2"/>
          </rPr>
          <t xml:space="preserve">. </t>
        </r>
        <r>
          <rPr>
            <sz val="10"/>
            <rFont val="WenQuanYi Zen Hei"/>
            <family val="2"/>
          </rPr>
          <t xml:space="preserve">직접 입력하지 마세요</t>
        </r>
        <r>
          <rPr>
            <sz val="10"/>
            <rFont val="Arial"/>
            <family val="2"/>
          </rPr>
          <t xml:space="preserve">.</t>
        </r>
      </text>
    </comment>
  </commentList>
</comments>
</file>

<file path=xl/sharedStrings.xml><?xml version="1.0" encoding="utf-8"?>
<sst xmlns="http://schemas.openxmlformats.org/spreadsheetml/2006/main" count="7182" uniqueCount="4415">
  <si>
    <r>
      <rPr>
        <b val="true"/>
        <sz val="14"/>
        <rFont val="HY견고딕"/>
        <family val="1"/>
        <charset val="129"/>
      </rPr>
      <t xml:space="preserve">AAIA </t>
    </r>
    <r>
      <rPr>
        <b val="true"/>
        <sz val="14"/>
        <rFont val="WenQuanYi Zen Hei"/>
        <family val="2"/>
      </rPr>
      <t xml:space="preserve">회원사 현황</t>
    </r>
  </si>
  <si>
    <t xml:space="preserve">모든 숫자는 종합 시트에서 자동 계산됩니다. 이 시트에는 입력하지 마세요.</t>
  </si>
  <si>
    <t xml:space="preserve">전체 회원사 수</t>
  </si>
  <si>
    <t xml:space="preserve">분과</t>
  </si>
  <si>
    <t xml:space="preserve">회원사 수</t>
  </si>
  <si>
    <t xml:space="preserve">분과 시트 표시</t>
  </si>
  <si>
    <t xml:space="preserve">기술</t>
  </si>
  <si>
    <t xml:space="preserve">산업</t>
  </si>
  <si>
    <t xml:space="preserve">생태계</t>
  </si>
  <si>
    <t xml:space="preserve">안전·신뢰</t>
  </si>
  <si>
    <t xml:space="preserve">기업유형</t>
  </si>
  <si>
    <t xml:space="preserve">대기업</t>
  </si>
  <si>
    <t xml:space="preserve">중견기업</t>
  </si>
  <si>
    <t xml:space="preserve">중소기업</t>
  </si>
  <si>
    <t xml:space="preserve">공공기관</t>
  </si>
  <si>
    <t xml:space="preserve">대학</t>
  </si>
  <si>
    <t xml:space="preserve">협회·단체</t>
  </si>
  <si>
    <t xml:space="preserve">합계</t>
  </si>
  <si>
    <t xml:space="preserve">유형 미입력</t>
  </si>
  <si>
    <t xml:space="preserve">※ 유형 확인 필요(추정 분류)</t>
  </si>
  <si>
    <t xml:space="preserve">기업유형 분류 기준</t>
  </si>
  <si>
    <t xml:space="preserve">공정거래위원회 공시대상기업집단(자산총액 5조 원 이상, 2026.5.1 기준 102개 집단) 소속 회사. 상호출자제한기업집단(12조 원 이상) 포함.  [출처: https://www.gnnnews.kr/167337]</t>
  </si>
  <si>
    <t xml:space="preserve">「중견기업 성장촉진 및 경쟁력 강화에 관한 특별법」 제2조: 중소기업이 아니면서 상호출자제한기업집단·공공기관이 아닌 기업(공개 매출·자산 규모로 판정, 추정 시 ※).  [출처: https://www.law.go.kr/LSW/lsInfoP.do?lsiSeq=195180]</t>
  </si>
  <si>
    <t xml:space="preserve">「중소기업기본법」 시행령 별표1: 업종별 3년 평균매출액 400~1,500억 원 이하이고 자산총액 5천억 원 미만. 스타트업·벤처 포함. 위 기준에 해당하지 않는 영리법인은 기본값으로 중소기업 분류.  [출처: https://www.mss.go.kr/site/smba/contents/view.do?menuCd=20103040000002024122824&amp;siteCd=smba]</t>
  </si>
  <si>
    <t xml:space="preserve">「공공기관의 운영에 관한 법률」 지정기관(공기업·준정부기관·기타공공기관, 정부출연연구기관 포함), 지자체 출연기관, 국가행정기관.  [출처: https://www.law.go.kr/LSW/lsInfoP.do?lsId=010375&amp;ancYnChk=0]</t>
  </si>
  <si>
    <t xml:space="preserve">고등교육법상 대학 및 산학협력단.</t>
  </si>
  <si>
    <t xml:space="preserve">비영리 사단·재단법인, 협회·연합회·진흥원 등 회원제 단체(영리 주식회사 형태는 제외).</t>
  </si>
  <si>
    <t xml:space="preserve">기업(기관) 정보</t>
  </si>
  <si>
    <t xml:space="preserve">활동 임원</t>
  </si>
  <si>
    <t xml:space="preserve">활동 실무</t>
  </si>
  <si>
    <r>
      <rPr>
        <b val="true"/>
        <sz val="9"/>
        <color rgb="FF808080"/>
        <rFont val="Arial"/>
        <family val="2"/>
        <charset val="1"/>
      </rPr>
      <t xml:space="preserve">[</t>
    </r>
    <r>
      <rPr>
        <b val="true"/>
        <sz val="9"/>
        <color rgb="FF808080"/>
        <rFont val="WenQuanYi Zen Hei"/>
        <family val="2"/>
      </rPr>
      <t xml:space="preserve">자동</t>
    </r>
    <r>
      <rPr>
        <b val="true"/>
        <sz val="9"/>
        <color rgb="FF808080"/>
        <rFont val="Arial"/>
        <family val="2"/>
        <charset val="1"/>
      </rPr>
      <t xml:space="preserve">] </t>
    </r>
    <r>
      <rPr>
        <b val="true"/>
        <sz val="9"/>
        <color rgb="FF808080"/>
        <rFont val="WenQuanYi Zen Hei"/>
        <family val="2"/>
      </rPr>
      <t xml:space="preserve">분과 시트 연동용 — 수정 금지</t>
    </r>
  </si>
  <si>
    <t xml:space="preserve">No</t>
  </si>
  <si>
    <t xml:space="preserve">회사(기관, 대학)명</t>
  </si>
  <si>
    <t xml:space="preserve">사업자등록번호</t>
  </si>
  <si>
    <t xml:space="preserve">대표자</t>
  </si>
  <si>
    <t xml:space="preserve">대표전화</t>
  </si>
  <si>
    <t xml:space="preserve">홈페이지</t>
  </si>
  <si>
    <t xml:space="preserve">이메일 주소</t>
  </si>
  <si>
    <t xml:space="preserve">주소</t>
  </si>
  <si>
    <r>
      <rPr>
        <b val="true"/>
        <sz val="10"/>
        <color rgb="FFFFFFFF"/>
        <rFont val="Arial"/>
        <family val="2"/>
        <charset val="1"/>
      </rPr>
      <t xml:space="preserve">AI </t>
    </r>
    <r>
      <rPr>
        <b val="true"/>
        <sz val="10"/>
        <color rgb="FFFFFFFF"/>
        <rFont val="WenQuanYi Zen Hei"/>
        <family val="2"/>
      </rPr>
      <t xml:space="preserve">전문 분야 및 보유기술</t>
    </r>
    <r>
      <rPr>
        <b val="true"/>
        <sz val="10"/>
        <color rgb="FFFFFFFF"/>
        <rFont val="Arial"/>
        <family val="2"/>
        <charset val="1"/>
      </rPr>
      <t xml:space="preserve">·</t>
    </r>
    <r>
      <rPr>
        <b val="true"/>
        <sz val="10"/>
        <color rgb="FFFFFFFF"/>
        <rFont val="WenQuanYi Zen Hei"/>
        <family val="2"/>
      </rPr>
      <t xml:space="preserve">서비스</t>
    </r>
    <r>
      <rPr>
        <b val="true"/>
        <sz val="10"/>
        <color rgb="FFFFFFFF"/>
        <rFont val="Arial"/>
        <family val="2"/>
        <charset val="1"/>
      </rPr>
      <t xml:space="preserve">(</t>
    </r>
    <r>
      <rPr>
        <b val="true"/>
        <sz val="10"/>
        <color rgb="FFFFFFFF"/>
        <rFont val="WenQuanYi Zen Hei"/>
        <family val="2"/>
      </rPr>
      <t xml:space="preserve">솔루션</t>
    </r>
    <r>
      <rPr>
        <b val="true"/>
        <sz val="10"/>
        <color rgb="FFFFFFFF"/>
        <rFont val="Arial"/>
        <family val="2"/>
        <charset val="1"/>
      </rPr>
      <t xml:space="preserve">)</t>
    </r>
  </si>
  <si>
    <t xml:space="preserve">성명</t>
  </si>
  <si>
    <t xml:space="preserve">부서</t>
  </si>
  <si>
    <t xml:space="preserve">직위/직책</t>
  </si>
  <si>
    <t xml:space="preserve">전화번호</t>
  </si>
  <si>
    <t xml:space="preserve">이메일</t>
  </si>
  <si>
    <t xml:space="preserve">휴대전화 번호</t>
  </si>
  <si>
    <t xml:space="preserve">성명 2</t>
  </si>
  <si>
    <t xml:space="preserve">부서 2</t>
  </si>
  <si>
    <t xml:space="preserve">직위/직책 2</t>
  </si>
  <si>
    <t xml:space="preserve">전화번호 2</t>
  </si>
  <si>
    <t xml:space="preserve">이메일 2</t>
  </si>
  <si>
    <t xml:space="preserve">휴대전화 번호 2</t>
  </si>
  <si>
    <t xml:space="preserve">비고</t>
  </si>
  <si>
    <t xml:space="preserve">주식회사 케이솔루션즈</t>
  </si>
  <si>
    <t xml:space="preserve">O</t>
  </si>
  <si>
    <t xml:space="preserve">134-87-20969</t>
  </si>
  <si>
    <t xml:space="preserve">김민수</t>
  </si>
  <si>
    <t xml:space="preserve">02-6415-2236</t>
  </si>
  <si>
    <t xml:space="preserve">https://www.ksolution.kr</t>
  </si>
  <si>
    <t xml:space="preserve">kangwoongkim@gmail.com</t>
  </si>
  <si>
    <t xml:space="preserve">서울특별시 금천구 가산디지털1로 225, 418, 419호</t>
  </si>
  <si>
    <r>
      <rPr>
        <sz val="10"/>
        <rFont val="Arial"/>
        <family val="2"/>
        <charset val="1"/>
      </rPr>
      <t xml:space="preserve">Agentic AI MES, Agentic AI ERP, AI </t>
    </r>
    <r>
      <rPr>
        <sz val="10"/>
        <rFont val="WenQuanYi Zen Hei"/>
        <family val="2"/>
      </rPr>
      <t xml:space="preserve">기반 산업안전 솔루션</t>
    </r>
  </si>
  <si>
    <t xml:space="preserve">-</t>
  </si>
  <si>
    <t xml:space="preserve">대표이사</t>
  </si>
  <si>
    <t xml:space="preserve">mskim@ksolution.kr</t>
  </si>
  <si>
    <t xml:space="preserve">010-2236-3656</t>
  </si>
  <si>
    <t xml:space="preserve">김강웅</t>
  </si>
  <si>
    <r>
      <rPr>
        <sz val="10"/>
        <rFont val="Arial"/>
        <family val="2"/>
        <charset val="1"/>
      </rPr>
      <t xml:space="preserve">AX</t>
    </r>
    <r>
      <rPr>
        <sz val="10"/>
        <rFont val="WenQuanYi Zen Hei"/>
        <family val="2"/>
      </rPr>
      <t xml:space="preserve">사업부</t>
    </r>
  </si>
  <si>
    <t xml:space="preserve">이사</t>
  </si>
  <si>
    <t xml:space="preserve">kwkim@ksolution.kr</t>
  </si>
  <si>
    <t xml:space="preserve">010-4526-3280</t>
  </si>
  <si>
    <t xml:space="preserve">농업회사법인 (주)온팜</t>
  </si>
  <si>
    <t xml:space="preserve">291-88-01904</t>
  </si>
  <si>
    <t xml:space="preserve">정원기</t>
  </si>
  <si>
    <t xml:space="preserve">063-714-4977</t>
  </si>
  <si>
    <t xml:space="preserve">beeonfarm.com</t>
  </si>
  <si>
    <t xml:space="preserve">magiclub72@gmail.com</t>
  </si>
  <si>
    <t xml:space="preserve">전북 전주시 덕진구 오공로 43-32 대동빌딩 301호</t>
  </si>
  <si>
    <t xml:space="preserve">디지털 양봉 시스템/ GIS기반 전국 밀원분포 및 꿀벌 폐사위험 지도</t>
  </si>
  <si>
    <t xml:space="preserve">대표</t>
  </si>
  <si>
    <t xml:space="preserve">onfarm@onfarm.co.kr</t>
  </si>
  <si>
    <t xml:space="preserve">010-8760-9001</t>
  </si>
  <si>
    <t xml:space="preserve">김은환</t>
  </si>
  <si>
    <t xml:space="preserve">비온팜</t>
  </si>
  <si>
    <t xml:space="preserve">매니저</t>
  </si>
  <si>
    <t xml:space="preserve">before00@onfarm.co.kr</t>
  </si>
  <si>
    <t xml:space="preserve">010-5481-0716</t>
  </si>
  <si>
    <r>
      <rPr>
        <sz val="10"/>
        <rFont val="Arial"/>
        <family val="2"/>
        <charset val="1"/>
      </rPr>
      <t xml:space="preserve">2</t>
    </r>
    <r>
      <rPr>
        <sz val="10"/>
        <rFont val="WenQuanYi Zen Hei"/>
        <family val="2"/>
      </rPr>
      <t xml:space="preserve">지망 생태계 신청</t>
    </r>
  </si>
  <si>
    <t xml:space="preserve">에스큐케이 주식회사</t>
  </si>
  <si>
    <t xml:space="preserve">316-87-02767</t>
  </si>
  <si>
    <t xml:space="preserve">손영제</t>
  </si>
  <si>
    <t xml:space="preserve">010-2989-1979</t>
  </si>
  <si>
    <t xml:space="preserve">www.sqkcloud.com</t>
  </si>
  <si>
    <t xml:space="preserve">branki@gmail.com</t>
  </si>
  <si>
    <t xml:space="preserve">서울시 강서구 마곡중앙8로 14</t>
  </si>
  <si>
    <r>
      <rPr>
        <sz val="10"/>
        <rFont val="Arial"/>
        <family val="2"/>
        <charset val="1"/>
      </rPr>
      <t xml:space="preserve">AI </t>
    </r>
    <r>
      <rPr>
        <sz val="10"/>
        <rFont val="WenQuanYi Zen Hei"/>
        <family val="2"/>
      </rPr>
      <t xml:space="preserve">모델 리파인먼트 </t>
    </r>
    <r>
      <rPr>
        <sz val="10"/>
        <rFont val="Arial"/>
        <family val="2"/>
        <charset val="1"/>
      </rPr>
      <t xml:space="preserve">&amp; </t>
    </r>
    <r>
      <rPr>
        <sz val="10"/>
        <rFont val="WenQuanYi Zen Hei"/>
        <family val="2"/>
      </rPr>
      <t xml:space="preserve">파인튜닝</t>
    </r>
  </si>
  <si>
    <t xml:space="preserve">연구소</t>
  </si>
  <si>
    <t xml:space="preserve">branki@sqkcloud.com</t>
  </si>
  <si>
    <t xml:space="preserve">맨인블록 주식회사</t>
  </si>
  <si>
    <t xml:space="preserve">731-86-02727</t>
  </si>
  <si>
    <t xml:space="preserve">박종형</t>
  </si>
  <si>
    <t xml:space="preserve">070-4012-1591</t>
  </si>
  <si>
    <t xml:space="preserve">www.meninblox.com</t>
  </si>
  <si>
    <t xml:space="preserve">azuspark@gmail.com</t>
  </si>
  <si>
    <t xml:space="preserve">광주광역시 북구 첨단과기로 339, 2층 214호</t>
  </si>
  <si>
    <t xml:space="preserve">의료, 헬스케어</t>
  </si>
  <si>
    <t xml:space="preserve">개발실</t>
  </si>
  <si>
    <t xml:space="preserve">benjamin@meninblox.com</t>
  </si>
  <si>
    <t xml:space="preserve">010-2474-4797</t>
  </si>
  <si>
    <t xml:space="preserve">김은실</t>
  </si>
  <si>
    <t xml:space="preserve">경영젼략실</t>
  </si>
  <si>
    <t xml:space="preserve">lucy@meninblox.com</t>
  </si>
  <si>
    <t xml:space="preserve">010-9371-4756</t>
  </si>
  <si>
    <t xml:space="preserve">주식회사 에스에이티정보</t>
  </si>
  <si>
    <t xml:space="preserve">119-86-26690</t>
  </si>
  <si>
    <t xml:space="preserve">오세용</t>
  </si>
  <si>
    <t xml:space="preserve">010-9005-5197</t>
  </si>
  <si>
    <t xml:space="preserve">www.satu.co.kr</t>
  </si>
  <si>
    <t xml:space="preserve">a90055197@gmail.com</t>
  </si>
  <si>
    <t xml:space="preserve">서울 구로구 디지털로 30길 28, 마리오타워 1401호</t>
  </si>
  <si>
    <t xml:space="preserve">문서 전처리(정제) 솔루션, 개인정보 비식별솔루션, RAG 플랫폼 등</t>
  </si>
  <si>
    <t xml:space="preserve">경영</t>
  </si>
  <si>
    <t xml:space="preserve">02-857-3051</t>
  </si>
  <si>
    <t xml:space="preserve">ohsy@satu.co.kr</t>
  </si>
  <si>
    <t xml:space="preserve">주식회사 씨에스리</t>
  </si>
  <si>
    <t xml:space="preserve">105-87-86298</t>
  </si>
  <si>
    <t xml:space="preserve">이춘식</t>
  </si>
  <si>
    <t xml:space="preserve">02-307-0182</t>
  </si>
  <si>
    <t xml:space="preserve">www.cslee.co.kr</t>
  </si>
  <si>
    <t xml:space="preserve">brightenhome@gmail.com</t>
  </si>
  <si>
    <t xml:space="preserve">서울특별시 마포구 월드컵북로 396 누리꿈스퀘어 비즈니스타워 8층</t>
  </si>
  <si>
    <t xml:space="preserve">생성형 AI, 제조AI, RAG, CSMinwon, CSAufit, CSAIQ, CSBuzz</t>
  </si>
  <si>
    <t xml:space="preserve">윤희우</t>
  </si>
  <si>
    <r>
      <rPr>
        <sz val="10"/>
        <rFont val="Arial"/>
        <family val="2"/>
        <charset val="1"/>
      </rPr>
      <t xml:space="preserve">AX</t>
    </r>
    <r>
      <rPr>
        <sz val="10"/>
        <rFont val="WenQuanYi Zen Hei"/>
        <family val="2"/>
      </rPr>
      <t xml:space="preserve">사업부문</t>
    </r>
  </si>
  <si>
    <t xml:space="preserve">이사/부문장</t>
  </si>
  <si>
    <t xml:space="preserve">010-5645-9912</t>
  </si>
  <si>
    <t xml:space="preserve">hwyoon@cslee.co.kr</t>
  </si>
  <si>
    <t xml:space="preserve">정두현</t>
  </si>
  <si>
    <r>
      <rPr>
        <sz val="10"/>
        <rFont val="Arial"/>
        <family val="2"/>
        <charset val="1"/>
      </rPr>
      <t xml:space="preserve">AIOps</t>
    </r>
    <r>
      <rPr>
        <sz val="10"/>
        <rFont val="WenQuanYi Zen Hei"/>
        <family val="2"/>
      </rPr>
      <t xml:space="preserve">사업부</t>
    </r>
  </si>
  <si>
    <t xml:space="preserve">기술이사/사업부장</t>
  </si>
  <si>
    <t xml:space="preserve">02-6356-4608</t>
  </si>
  <si>
    <t xml:space="preserve">chungpe@cslee.co.kr</t>
  </si>
  <si>
    <t xml:space="preserve">010-7362-6878</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</si>
  <si>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사이냅소프트</t>
    </r>
  </si>
  <si>
    <t xml:space="preserve">214-86-64984</t>
  </si>
  <si>
    <t xml:space="preserve">전경헌</t>
  </si>
  <si>
    <t xml:space="preserve">02-2039-3780</t>
  </si>
  <si>
    <t xml:space="preserve">https://www.synapsoft.co.kr/</t>
  </si>
  <si>
    <t xml:space="preserve">synapsoft@gmail.com</t>
  </si>
  <si>
    <t xml:space="preserve">서울 강서구 마곡중앙4로 62 사이냅소프트</t>
  </si>
  <si>
    <t xml:space="preserve">사이냅 어시스턴트, 사이냅 도큐애널라이저 , 사이냅 OCR, 보이스애널라이저 등</t>
  </si>
  <si>
    <t xml:space="preserve">정진남</t>
  </si>
  <si>
    <t xml:space="preserve">공공영업팀</t>
  </si>
  <si>
    <t xml:space="preserve">010-8759-7923</t>
  </si>
  <si>
    <t xml:space="preserve">jjn0802@synapsoft.co.kr</t>
  </si>
  <si>
    <t xml:space="preserve">김윤서</t>
  </si>
  <si>
    <t xml:space="preserve">마케팅</t>
  </si>
  <si>
    <t xml:space="preserve">사원</t>
  </si>
  <si>
    <t xml:space="preserve">010-3012-9110</t>
  </si>
  <si>
    <t xml:space="preserve">rdyun25@synapsoft.co.kr</t>
  </si>
  <si>
    <t xml:space="preserve">주식회사 데이터누리</t>
  </si>
  <si>
    <t xml:space="preserve">199-81-01308</t>
  </si>
  <si>
    <t xml:space="preserve">강태원</t>
  </si>
  <si>
    <t xml:space="preserve">02-6953-5313</t>
  </si>
  <si>
    <t xml:space="preserve">www.datanuri.net</t>
  </si>
  <si>
    <t xml:space="preserve">naraerhee88@gmail.com</t>
  </si>
  <si>
    <t xml:space="preserve">서울시 강서구 마곡중앙2로 39, 호디빌딩 3층</t>
  </si>
  <si>
    <t xml:space="preserve">Metis DPP(Data Pipeline Platform)</t>
  </si>
  <si>
    <t xml:space="preserve">02-6953-5017</t>
  </si>
  <si>
    <t xml:space="preserve">twkang@datanuri.net</t>
  </si>
  <si>
    <t xml:space="preserve">010-2981-5084</t>
  </si>
  <si>
    <t xml:space="preserve">우형제</t>
  </si>
  <si>
    <t xml:space="preserve">부사장</t>
  </si>
  <si>
    <t xml:space="preserve">02-6953-5413</t>
  </si>
  <si>
    <t xml:space="preserve">hjwoo@datanuri.net</t>
  </si>
  <si>
    <t xml:space="preserve">010-6400-5413</t>
  </si>
  <si>
    <t xml:space="preserve">주식회사 와탭랩스</t>
  </si>
  <si>
    <t xml:space="preserve">851-88-00084</t>
  </si>
  <si>
    <t xml:space="preserve">이동인</t>
  </si>
  <si>
    <t xml:space="preserve">02-565-1803</t>
  </si>
  <si>
    <t xml:space="preserve">https://whatap.io/ko</t>
  </si>
  <si>
    <t xml:space="preserve">yiseo@whatap.io</t>
  </si>
  <si>
    <t xml:space="preserve">서울특별시 서초구 서초대로77길 17, 13층 1303호</t>
  </si>
  <si>
    <t xml:space="preserve">통합 Observability 서비스</t>
  </si>
  <si>
    <t xml:space="preserve">서영일</t>
  </si>
  <si>
    <t xml:space="preserve">COO</t>
  </si>
  <si>
    <t xml:space="preserve">010-3255-6480</t>
  </si>
  <si>
    <t xml:space="preserve">트래시스(주)</t>
  </si>
  <si>
    <t xml:space="preserve">538-88-01948</t>
  </si>
  <si>
    <t xml:space="preserve">양국승</t>
  </si>
  <si>
    <t xml:space="preserve">062-653-5555</t>
  </si>
  <si>
    <t xml:space="preserve">www.trasys.net</t>
  </si>
  <si>
    <t xml:space="preserve">trasys21@gmail.com</t>
  </si>
  <si>
    <t xml:space="preserve">광주광역시 북구 오룡동 1013 AICA 302호</t>
  </si>
  <si>
    <t xml:space="preserve">안전+지능(위험성평가), 리;본톡(트라우마상담)</t>
  </si>
  <si>
    <t xml:space="preserve">trasys21@nate.com</t>
  </si>
  <si>
    <t xml:space="preserve">010-8833-8019</t>
  </si>
  <si>
    <t xml:space="preserve">정재창</t>
  </si>
  <si>
    <t xml:space="preserve">연구소장</t>
  </si>
  <si>
    <t xml:space="preserve">010-9942-9247</t>
  </si>
  <si>
    <t xml:space="preserve">주식회사 케파스</t>
  </si>
  <si>
    <t xml:space="preserve">105-87-39024</t>
  </si>
  <si>
    <t xml:space="preserve">주성돈</t>
  </si>
  <si>
    <t xml:space="preserve">010-3720-0580</t>
  </si>
  <si>
    <t xml:space="preserve">www.kephas.kr</t>
  </si>
  <si>
    <t xml:space="preserve">ksksdjoo@gmail.com</t>
  </si>
  <si>
    <t xml:space="preserve">강남구 논현로38길 16</t>
  </si>
  <si>
    <t xml:space="preserve">FAROS-AI, FAROS-IOMS</t>
  </si>
  <si>
    <t xml:space="preserve">arnoldjoo@kephas.kr</t>
  </si>
  <si>
    <t xml:space="preserve">안광모</t>
  </si>
  <si>
    <t xml:space="preserve">부설연구소</t>
  </si>
  <si>
    <t xml:space="preserve">소장</t>
  </si>
  <si>
    <t xml:space="preserve">010-2439-2727</t>
  </si>
  <si>
    <t xml:space="preserve">gmahn@kephas.kr</t>
  </si>
  <si>
    <t xml:space="preserve">주식회사 랭코드</t>
  </si>
  <si>
    <t xml:space="preserve">567-81-01670</t>
  </si>
  <si>
    <t xml:space="preserve">김민준</t>
  </si>
  <si>
    <t xml:space="preserve">010-5511-4898</t>
  </si>
  <si>
    <t xml:space="preserve">https://langcode.io/cxp</t>
  </si>
  <si>
    <t xml:space="preserve">marketjustice@gmail.com</t>
  </si>
  <si>
    <t xml:space="preserve">서울특별시 서초구 서초대로50길 35, 8층</t>
  </si>
  <si>
    <t xml:space="preserve">기업용 AI 에이전트 플랫폼 및 통합 에이전트 허브 (랭코드 CXP)</t>
  </si>
  <si>
    <t xml:space="preserve">C-Level</t>
  </si>
  <si>
    <t xml:space="preserve">admin@langcode.io</t>
  </si>
  <si>
    <t xml:space="preserve">손준희</t>
  </si>
  <si>
    <t xml:space="preserve">경영관리</t>
  </si>
  <si>
    <t xml:space="preserve">010-9555-3581</t>
  </si>
  <si>
    <t xml:space="preserve">jhson@langcode.io</t>
  </si>
  <si>
    <t xml:space="preserve">주식회사 베슬에이아이코리아</t>
  </si>
  <si>
    <t xml:space="preserve">884-81-01731</t>
  </si>
  <si>
    <t xml:space="preserve">안재만</t>
  </si>
  <si>
    <t xml:space="preserve">010-2274-3161</t>
  </si>
  <si>
    <t xml:space="preserve">https://vessl.ai</t>
  </si>
  <si>
    <t xml:space="preserve">jaden@vessl.ai</t>
  </si>
  <si>
    <t xml:space="preserve">서울특별시 강남구 테헤란로5길 7, 13층(KG타워)</t>
  </si>
  <si>
    <r>
      <rPr>
        <sz val="10"/>
        <rFont val="Arial"/>
        <family val="2"/>
        <charset val="1"/>
      </rPr>
      <t xml:space="preserve">GPUaaS/Orchstration </t>
    </r>
    <r>
      <rPr>
        <sz val="10"/>
        <rFont val="WenQuanYi Zen Hei"/>
        <family val="2"/>
      </rPr>
      <t xml:space="preserve">을 메인으로 하고</t>
    </r>
    <r>
      <rPr>
        <sz val="10"/>
        <rFont val="Arial"/>
        <family val="2"/>
        <charset val="1"/>
      </rPr>
      <t xml:space="preserve">, AI Agent Builder</t>
    </r>
    <r>
      <rPr>
        <sz val="10"/>
        <rFont val="WenQuanYi Zen Hei"/>
        <family val="2"/>
      </rPr>
      <t xml:space="preserve">를 활용한 업무용 </t>
    </r>
    <r>
      <rPr>
        <sz val="10"/>
        <rFont val="Arial"/>
        <family val="2"/>
        <charset val="1"/>
      </rPr>
      <t xml:space="preserve">AI Agent</t>
    </r>
    <r>
      <rPr>
        <sz val="10"/>
        <rFont val="WenQuanYi Zen Hei"/>
        <family val="2"/>
      </rPr>
      <t xml:space="preserve">를 엔터프라이즈 및 공공을 대상으로 병행함</t>
    </r>
    <r>
      <rPr>
        <sz val="10"/>
        <rFont val="Arial"/>
        <family val="2"/>
        <charset val="1"/>
      </rPr>
      <t xml:space="preserve">.</t>
    </r>
  </si>
  <si>
    <t xml:space="preserve">박준우</t>
  </si>
  <si>
    <t xml:space="preserve">사업부서</t>
  </si>
  <si>
    <t xml:space="preserve">본부장</t>
  </si>
  <si>
    <t xml:space="preserve">010-9680-9607</t>
  </si>
  <si>
    <t xml:space="preserve">박용규</t>
  </si>
  <si>
    <t xml:space="preserve">사업</t>
  </si>
  <si>
    <t xml:space="preserve">010-4095-3234</t>
  </si>
  <si>
    <t xml:space="preserve">mark@vessl.ai</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</si>
  <si>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시즐</t>
    </r>
  </si>
  <si>
    <t xml:space="preserve">204-88-00482</t>
  </si>
  <si>
    <t xml:space="preserve">이지현</t>
  </si>
  <si>
    <t xml:space="preserve">032-458-5520</t>
  </si>
  <si>
    <t xml:space="preserve">www.sizl.co.kr</t>
  </si>
  <si>
    <t xml:space="preserve">hanmanju88@gmail.com</t>
  </si>
  <si>
    <t xml:space="preserve">인천광역시 연수구 갯벌로12, 미추홀타워 1804호</t>
  </si>
  <si>
    <t xml:space="preserve">Agentic AI Brain</t>
  </si>
  <si>
    <t xml:space="preserve">김현영</t>
  </si>
  <si>
    <r>
      <rPr>
        <sz val="10"/>
        <rFont val="Arial"/>
        <family val="2"/>
        <charset val="1"/>
      </rPr>
      <t xml:space="preserve">SDx </t>
    </r>
    <r>
      <rPr>
        <sz val="10"/>
        <rFont val="WenQuanYi Zen Hei"/>
        <family val="2"/>
      </rPr>
      <t xml:space="preserve">본부</t>
    </r>
  </si>
  <si>
    <t xml:space="preserve">부사장/본부장</t>
  </si>
  <si>
    <t xml:space="preserve">010-9044-4536</t>
  </si>
  <si>
    <t xml:space="preserve">khy@sizl.co.kr</t>
  </si>
  <si>
    <t xml:space="preserve">한만주</t>
  </si>
  <si>
    <t xml:space="preserve">컨설팅팀</t>
  </si>
  <si>
    <t xml:space="preserve">과장/팀장</t>
  </si>
  <si>
    <t xml:space="preserve">010-7187-3416</t>
  </si>
  <si>
    <t xml:space="preserve">hmj@sizl.co.kr</t>
  </si>
  <si>
    <t xml:space="preserve">주식회사 바이트사이즈</t>
  </si>
  <si>
    <t xml:space="preserve">350-86-03129</t>
  </si>
  <si>
    <t xml:space="preserve">위영량</t>
  </si>
  <si>
    <t xml:space="preserve">051-717-0454</t>
  </si>
  <si>
    <t xml:space="preserve">https://www.thebytesize.ai/</t>
  </si>
  <si>
    <t xml:space="preserve">cleanupkorea@gmail.com</t>
  </si>
  <si>
    <t xml:space="preserve">부산시 진구 엄광로 176 </t>
  </si>
  <si>
    <t xml:space="preserve">신발·패션 제조산업을 중심으로 생성형 AI 및 Agentic AI 기반 디자인·품질·제조 업무 자동화 솔루션을 </t>
  </si>
  <si>
    <t xml:space="preserve">bytesize@thebytesize.co.kr</t>
  </si>
  <si>
    <t xml:space="preserve">010-3069-5885</t>
  </si>
  <si>
    <t xml:space="preserve">정기철</t>
  </si>
  <si>
    <t xml:space="preserve">전략기획</t>
  </si>
  <si>
    <t xml:space="preserve">부장</t>
  </si>
  <si>
    <t xml:space="preserve">roy.jung@thebytesize.ai</t>
  </si>
  <si>
    <t xml:space="preserve">010-2205-9719</t>
  </si>
  <si>
    <t xml:space="preserve">주식회사 씨더스 농업회사법인</t>
  </si>
  <si>
    <t xml:space="preserve">314-86-15920</t>
  </si>
  <si>
    <t xml:space="preserve">조성환</t>
  </si>
  <si>
    <t xml:space="preserve">042-710-4035</t>
  </si>
  <si>
    <t xml:space="preserve">www.seeders.co.kr</t>
  </si>
  <si>
    <t xml:space="preserve">jhl9627@seeders.co.kr</t>
  </si>
  <si>
    <t xml:space="preserve">대전시 중구 중앙로 118, 5층</t>
  </si>
  <si>
    <r>
      <rPr>
        <sz val="10"/>
        <rFont val="Arial"/>
        <family val="2"/>
        <charset val="1"/>
      </rPr>
      <t xml:space="preserve">AI </t>
    </r>
    <r>
      <rPr>
        <sz val="10"/>
        <rFont val="WenQuanYi Zen Hei"/>
        <family val="2"/>
      </rPr>
      <t xml:space="preserve">육종 시뮬레이션 플랫폼</t>
    </r>
    <r>
      <rPr>
        <sz val="10"/>
        <rFont val="Arial"/>
        <family val="2"/>
        <charset val="1"/>
      </rPr>
      <t xml:space="preserve">,  AI </t>
    </r>
    <r>
      <rPr>
        <sz val="10"/>
        <rFont val="WenQuanYi Zen Hei"/>
        <family val="2"/>
      </rPr>
      <t xml:space="preserve">재배관리 에이전트 플랫폼</t>
    </r>
  </si>
  <si>
    <t xml:space="preserve">경영총괄</t>
  </si>
  <si>
    <t xml:space="preserve">CEO</t>
  </si>
  <si>
    <t xml:space="preserve">010-6417-0614</t>
  </si>
  <si>
    <t xml:space="preserve">shjo@seeders.co.kr</t>
  </si>
  <si>
    <t xml:space="preserve">정혜리</t>
  </si>
  <si>
    <t xml:space="preserve">010-3484-9645</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</si>
  <si>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엘리스그룹</t>
    </r>
  </si>
  <si>
    <t xml:space="preserve">581-88-00303</t>
  </si>
  <si>
    <t xml:space="preserve">김재원</t>
  </si>
  <si>
    <t xml:space="preserve">1833-2677</t>
  </si>
  <si>
    <t xml:space="preserve">https://elice.io/ko</t>
  </si>
  <si>
    <t xml:space="preserve">dahye.elice@gmail.com</t>
  </si>
  <si>
    <t xml:space="preserve">서울시 강남구 선릉로 433, 신관 6</t>
  </si>
  <si>
    <r>
      <rPr>
        <sz val="10"/>
        <rFont val="Arial"/>
        <family val="2"/>
        <charset val="1"/>
      </rPr>
      <t xml:space="preserve">AI</t>
    </r>
    <r>
      <rPr>
        <sz val="10"/>
        <rFont val="WenQuanYi Zen Hei"/>
        <family val="2"/>
      </rPr>
      <t xml:space="preserve">교육 플랫폼</t>
    </r>
    <r>
      <rPr>
        <sz val="10"/>
        <rFont val="Arial"/>
        <family val="2"/>
        <charset val="1"/>
      </rPr>
      <t xml:space="preserve">, AI</t>
    </r>
    <r>
      <rPr>
        <sz val="10"/>
        <rFont val="WenQuanYi Zen Hei"/>
        <family val="2"/>
      </rPr>
      <t xml:space="preserve">솔루션</t>
    </r>
    <r>
      <rPr>
        <sz val="10"/>
        <rFont val="Arial"/>
        <family val="2"/>
        <charset val="1"/>
      </rPr>
      <t xml:space="preserve">, GPU </t>
    </r>
    <r>
      <rPr>
        <sz val="10"/>
        <rFont val="WenQuanYi Zen Hei"/>
        <family val="2"/>
      </rPr>
      <t xml:space="preserve">클라우드 등</t>
    </r>
  </si>
  <si>
    <t xml:space="preserve">김수인</t>
  </si>
  <si>
    <r>
      <rPr>
        <sz val="10"/>
        <rFont val="Arial"/>
        <family val="2"/>
        <charset val="1"/>
      </rPr>
      <t xml:space="preserve">CRO</t>
    </r>
    <r>
      <rPr>
        <sz val="10"/>
        <rFont val="WenQuanYi Zen Hei"/>
        <family val="2"/>
      </rPr>
      <t xml:space="preserve">디비전</t>
    </r>
  </si>
  <si>
    <r>
      <rPr>
        <sz val="10"/>
        <rFont val="Arial"/>
        <family val="2"/>
        <charset val="1"/>
      </rPr>
      <t xml:space="preserve">CRO(</t>
    </r>
    <r>
      <rPr>
        <sz val="10"/>
        <rFont val="WenQuanYi Zen Hei"/>
        <family val="2"/>
      </rPr>
      <t xml:space="preserve">사내이사</t>
    </r>
    <r>
      <rPr>
        <sz val="10"/>
        <rFont val="Arial"/>
        <family val="2"/>
        <charset val="1"/>
      </rPr>
      <t xml:space="preserve">)</t>
    </r>
  </si>
  <si>
    <t xml:space="preserve">suin@elicer.com</t>
  </si>
  <si>
    <t xml:space="preserve">010-5186-7109</t>
  </si>
  <si>
    <t xml:space="preserve">홍다혜</t>
  </si>
  <si>
    <t xml:space="preserve">공공사업AX팀</t>
  </si>
  <si>
    <t xml:space="preserve">팀장</t>
  </si>
  <si>
    <t xml:space="preserve">dh@elicer.com</t>
  </si>
  <si>
    <t xml:space="preserve">010-9641-3299</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</si>
  <si>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데이터사이언스랩</t>
    </r>
  </si>
  <si>
    <t xml:space="preserve">274-87-00470</t>
  </si>
  <si>
    <t xml:space="preserve">유희경</t>
  </si>
  <si>
    <t xml:space="preserve">02-565-1123</t>
  </si>
  <si>
    <t xml:space="preserve">www.dataslab.co.kr</t>
  </si>
  <si>
    <t xml:space="preserve">gis.hkyoo@gmail.com</t>
  </si>
  <si>
    <t xml:space="preserve">서울시 송파구 법원로 8길 8, 문정역2차 SK V1 604호 </t>
  </si>
  <si>
    <r>
      <rPr>
        <sz val="10"/>
        <rFont val="Arial"/>
        <family val="2"/>
        <charset val="1"/>
      </rPr>
      <t xml:space="preserve">Agentic Datascientist (</t>
    </r>
    <r>
      <rPr>
        <sz val="10"/>
        <rFont val="WenQuanYi Zen Hei"/>
        <family val="2"/>
      </rPr>
      <t xml:space="preserve">분석가 에이전트</t>
    </r>
    <r>
      <rPr>
        <sz val="10"/>
        <rFont val="Arial"/>
        <family val="2"/>
        <charset val="1"/>
      </rPr>
      <t xml:space="preserve">), ToR-RAG</t>
    </r>
  </si>
  <si>
    <t xml:space="preserve">010-4424-4479</t>
  </si>
  <si>
    <t xml:space="preserve">hkyoo@dataslab.co.kr</t>
  </si>
  <si>
    <t xml:space="preserve">김원배</t>
  </si>
  <si>
    <t xml:space="preserve">기업부설연구소</t>
  </si>
  <si>
    <t xml:space="preserve">wonkim@dataslab.co.kr</t>
  </si>
  <si>
    <t xml:space="preserve">010-3400-4527</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</si>
  <si>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미소정보기술</t>
    </r>
  </si>
  <si>
    <t xml:space="preserve">220-87-25270</t>
  </si>
  <si>
    <t xml:space="preserve">남상도</t>
  </si>
  <si>
    <t xml:space="preserve">02-2205-0551</t>
  </si>
  <si>
    <t xml:space="preserve">www.misoinfo.co.kr</t>
  </si>
  <si>
    <t xml:space="preserve">jaeminet@gmail.com</t>
  </si>
  <si>
    <t xml:space="preserve">경기도 과천시 과천대로 12길 117, 과천펜타원 G동 1402호</t>
  </si>
  <si>
    <r>
      <rPr>
        <sz val="10"/>
        <rFont val="Arial"/>
        <family val="2"/>
        <charset val="1"/>
      </rPr>
      <t xml:space="preserve">SmartBIG, Daxi, SmartTA, SmartMDQ(</t>
    </r>
    <r>
      <rPr>
        <sz val="10"/>
        <rFont val="WenQuanYi Zen Hei"/>
        <family val="2"/>
      </rPr>
      <t xml:space="preserve">조달혁신제품</t>
    </r>
    <r>
      <rPr>
        <sz val="10"/>
        <rFont val="Arial"/>
        <family val="2"/>
        <charset val="1"/>
      </rPr>
      <t xml:space="preserve">) Ai</t>
    </r>
    <r>
      <rPr>
        <sz val="10"/>
        <rFont val="WenQuanYi Zen Hei"/>
        <family val="2"/>
      </rPr>
      <t xml:space="preserve">멀티모달데이터플랫폼 외</t>
    </r>
  </si>
  <si>
    <t xml:space="preserve">박준욱</t>
  </si>
  <si>
    <t xml:space="preserve">강원지사</t>
  </si>
  <si>
    <t xml:space="preserve">지사장/ 상무이사</t>
  </si>
  <si>
    <t xml:space="preserve">033-764-0553</t>
  </si>
  <si>
    <t xml:space="preserve">tony@misoinfo.co.kr</t>
  </si>
  <si>
    <t xml:space="preserve">010-7731-7367</t>
  </si>
  <si>
    <t xml:space="preserve">김성우</t>
  </si>
  <si>
    <t xml:space="preserve">팀장(공학박사)/ 부장</t>
  </si>
  <si>
    <t xml:space="preserve">kimsw0912@misoinfo.co.kr</t>
  </si>
  <si>
    <t xml:space="preserve">010-8436-2772</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</si>
  <si>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비아이매트릭스</t>
    </r>
  </si>
  <si>
    <t xml:space="preserve">120-86-79936</t>
  </si>
  <si>
    <t xml:space="preserve">배영근</t>
  </si>
  <si>
    <t xml:space="preserve">02-561-4475</t>
  </si>
  <si>
    <t xml:space="preserve">www.bimatrix.co.kr</t>
  </si>
  <si>
    <t xml:space="preserve">bimatrixkorea@gmail.com</t>
  </si>
  <si>
    <t xml:space="preserve">서울 강남구 선릉로 433  (역삼동) 세방빌딩 신관 17층</t>
  </si>
  <si>
    <t xml:space="preserve">온톨로지 기반 Agentic AI 개발 플랫폼 TRINITY/말로 하는 DB 데이터 분석 AI 솔루션 G-MATRIX/업무시스템 구축 AI 솔루션 AUD플랫폼</t>
  </si>
  <si>
    <t xml:space="preserve">bae@bimatrix.co.kr</t>
  </si>
  <si>
    <t xml:space="preserve">010-9132-4361</t>
  </si>
  <si>
    <t xml:space="preserve">정해선</t>
  </si>
  <si>
    <t xml:space="preserve">마테팅</t>
  </si>
  <si>
    <t xml:space="preserve">차장</t>
  </si>
  <si>
    <t xml:space="preserve">070-4338-5415</t>
  </si>
  <si>
    <t xml:space="preserve">mktg@bimatrix.co.kr</t>
  </si>
  <si>
    <t xml:space="preserve">010-9959-9529</t>
  </si>
  <si>
    <t xml:space="preserve">국제드론표준산업협회 Ko-Biz Alliance Co.,LTD</t>
  </si>
  <si>
    <t xml:space="preserve">619-82-62882</t>
  </si>
  <si>
    <t xml:space="preserve">박종민</t>
  </si>
  <si>
    <t xml:space="preserve">010-9279-3437</t>
  </si>
  <si>
    <t xml:space="preserve">www.idsia.co.kr</t>
  </si>
  <si>
    <t xml:space="preserve">idssaceo@gmail.com</t>
  </si>
  <si>
    <t xml:space="preserve">경기도 김포시 김포한강2로72번길10, 113호(라베니체)</t>
  </si>
  <si>
    <r>
      <rPr>
        <sz val="10"/>
        <rFont val="Arial"/>
        <family val="2"/>
        <charset val="1"/>
      </rPr>
      <t xml:space="preserve">ICT</t>
    </r>
    <r>
      <rPr>
        <sz val="10"/>
        <rFont val="WenQuanYi Zen Hei"/>
        <family val="2"/>
      </rPr>
      <t xml:space="preserve">국제표준전문가</t>
    </r>
    <r>
      <rPr>
        <sz val="10"/>
        <rFont val="Arial"/>
        <family val="2"/>
        <charset val="1"/>
      </rPr>
      <t xml:space="preserve">, ICT</t>
    </r>
    <r>
      <rPr>
        <sz val="10"/>
        <rFont val="WenQuanYi Zen Hei"/>
        <family val="2"/>
      </rPr>
      <t xml:space="preserve">기술표준자문전문가</t>
    </r>
    <r>
      <rPr>
        <sz val="10"/>
        <rFont val="Arial"/>
        <family val="2"/>
        <charset val="1"/>
      </rPr>
      <t xml:space="preserve">, </t>
    </r>
    <r>
      <rPr>
        <sz val="10"/>
        <rFont val="WenQuanYi Zen Hei"/>
        <family val="2"/>
      </rPr>
      <t xml:space="preserve">한국드론시스템 국가표준위원</t>
    </r>
    <r>
      <rPr>
        <sz val="10"/>
        <rFont val="Arial"/>
        <family val="2"/>
        <charset val="1"/>
      </rPr>
      <t xml:space="preserve">, </t>
    </r>
    <r>
      <rPr>
        <sz val="10"/>
        <rFont val="WenQuanYi Zen Hei"/>
        <family val="2"/>
      </rPr>
      <t xml:space="preserve">피지컬</t>
    </r>
    <r>
      <rPr>
        <sz val="10"/>
        <rFont val="Arial"/>
        <family val="2"/>
        <charset val="1"/>
      </rPr>
      <t xml:space="preserve">AI</t>
    </r>
    <r>
      <rPr>
        <sz val="10"/>
        <rFont val="WenQuanYi Zen Hei"/>
        <family val="2"/>
      </rPr>
      <t xml:space="preserve">드론기술시스템</t>
    </r>
    <r>
      <rPr>
        <sz val="10"/>
        <rFont val="Arial"/>
        <family val="2"/>
        <charset val="1"/>
      </rPr>
      <t xml:space="preserve">(AI</t>
    </r>
    <r>
      <rPr>
        <sz val="10"/>
        <rFont val="WenQuanYi Zen Hei"/>
        <family val="2"/>
      </rPr>
      <t xml:space="preserve">민군드론통합시스템 </t>
    </r>
    <r>
      <rPr>
        <sz val="10"/>
        <rFont val="Arial"/>
        <family val="2"/>
        <charset val="1"/>
      </rPr>
      <t xml:space="preserve">: </t>
    </r>
    <r>
      <rPr>
        <sz val="10"/>
        <rFont val="WenQuanYi Zen Hei"/>
        <family val="2"/>
      </rPr>
      <t xml:space="preserve">물류배송</t>
    </r>
    <r>
      <rPr>
        <sz val="10"/>
        <rFont val="Arial"/>
        <family val="2"/>
        <charset val="1"/>
      </rPr>
      <t xml:space="preserve">, </t>
    </r>
    <r>
      <rPr>
        <sz val="10"/>
        <rFont val="WenQuanYi Zen Hei"/>
        <family val="2"/>
      </rPr>
      <t xml:space="preserve">농업</t>
    </r>
    <r>
      <rPr>
        <sz val="10"/>
        <rFont val="Arial"/>
        <family val="2"/>
        <charset val="1"/>
      </rPr>
      <t xml:space="preserve">, </t>
    </r>
    <r>
      <rPr>
        <sz val="10"/>
        <rFont val="WenQuanYi Zen Hei"/>
        <family val="2"/>
      </rPr>
      <t xml:space="preserve">감시정찰</t>
    </r>
    <r>
      <rPr>
        <sz val="10"/>
        <rFont val="Arial"/>
        <family val="2"/>
        <charset val="1"/>
      </rPr>
      <t xml:space="preserve">, </t>
    </r>
    <r>
      <rPr>
        <sz val="10"/>
        <rFont val="WenQuanYi Zen Hei"/>
        <family val="2"/>
      </rPr>
      <t xml:space="preserve">인스팩션</t>
    </r>
    <r>
      <rPr>
        <sz val="10"/>
        <rFont val="Arial"/>
        <family val="2"/>
        <charset val="1"/>
      </rPr>
      <t xml:space="preserve">, </t>
    </r>
    <r>
      <rPr>
        <sz val="10"/>
        <rFont val="WenQuanYi Zen Hei"/>
        <family val="2"/>
      </rPr>
      <t xml:space="preserve">드론항공안전 등</t>
    </r>
    <r>
      <rPr>
        <sz val="10"/>
        <rFont val="Arial"/>
        <family val="2"/>
        <charset val="1"/>
      </rPr>
      <t xml:space="preserve">)</t>
    </r>
  </si>
  <si>
    <r>
      <rPr>
        <sz val="10"/>
        <rFont val="Arial"/>
        <family val="2"/>
        <charset val="1"/>
      </rPr>
      <t xml:space="preserve">ICT</t>
    </r>
    <r>
      <rPr>
        <sz val="10"/>
        <rFont val="WenQuanYi Zen Hei"/>
        <family val="2"/>
      </rPr>
      <t xml:space="preserve">국제표준화본부</t>
    </r>
  </si>
  <si>
    <t xml:space="preserve">대표/대표</t>
  </si>
  <si>
    <t xml:space="preserve">dronesquare@naver.com</t>
  </si>
  <si>
    <t xml:space="preserve">김용진</t>
  </si>
  <si>
    <t xml:space="preserve">이사/부회장</t>
  </si>
  <si>
    <t xml:space="preserve">010-5074-2224</t>
  </si>
  <si>
    <t xml:space="preserve">kim292224@naver.com</t>
  </si>
  <si>
    <t xml:space="preserve">주식회사 비에이치에스엔</t>
  </si>
  <si>
    <t xml:space="preserve">266-87-01764</t>
  </si>
  <si>
    <t xml:space="preserve">임정근</t>
  </si>
  <si>
    <t xml:space="preserve">02-521-2999</t>
  </si>
  <si>
    <t xml:space="preserve">https://bhsn.ai/</t>
  </si>
  <si>
    <t xml:space="preserve">hjjeon@bhsn.ai</t>
  </si>
  <si>
    <t xml:space="preserve">서울특별시 강남구 삼성로 570, 5층 (06163)</t>
  </si>
  <si>
    <t xml:space="preserve">리걸 특화 LLM 및 에이전트(법령, 판례 검색 및 업무 자동화 서비스)</t>
  </si>
  <si>
    <t xml:space="preserve">jklim@bhsn.ai</t>
  </si>
  <si>
    <t xml:space="preserve">010-9153-5280</t>
  </si>
  <si>
    <t xml:space="preserve">전혜주</t>
  </si>
  <si>
    <t xml:space="preserve">비즈니스팀</t>
  </si>
  <si>
    <t xml:space="preserve">PM</t>
  </si>
  <si>
    <t xml:space="preserve">010-8525-7309</t>
  </si>
  <si>
    <t xml:space="preserve">주식회사 데이원컴퍼니</t>
  </si>
  <si>
    <t xml:space="preserve">810-86-00658</t>
  </si>
  <si>
    <t xml:space="preserve">이강민</t>
  </si>
  <si>
    <t xml:space="preserve">010-9158-5979</t>
  </si>
  <si>
    <t xml:space="preserve">https://day1company.co.kr/</t>
  </si>
  <si>
    <t xml:space="preserve">sunyoung.chae@day1company.co.kr</t>
  </si>
  <si>
    <t xml:space="preserve">서울 강남구 테헤란로 231, 센터필드 WEST 6~7층</t>
  </si>
  <si>
    <r>
      <rPr>
        <sz val="10"/>
        <rFont val="Arial"/>
        <family val="2"/>
        <charset val="1"/>
      </rPr>
      <t xml:space="preserve">AI</t>
    </r>
    <r>
      <rPr>
        <sz val="10"/>
        <rFont val="WenQuanYi Zen Hei"/>
        <family val="2"/>
      </rPr>
      <t xml:space="preserve">기반 교육서비스 </t>
    </r>
    <r>
      <rPr>
        <sz val="10"/>
        <rFont val="Arial"/>
        <family val="2"/>
        <charset val="1"/>
      </rPr>
      <t xml:space="preserve">/ </t>
    </r>
    <r>
      <rPr>
        <sz val="10"/>
        <rFont val="WenQuanYi Zen Hei"/>
        <family val="2"/>
      </rPr>
      <t xml:space="preserve">스킬플로</t>
    </r>
    <r>
      <rPr>
        <sz val="10"/>
        <rFont val="Arial"/>
        <family val="2"/>
        <charset val="1"/>
      </rPr>
      <t xml:space="preserve">(</t>
    </r>
    <r>
      <rPr>
        <sz val="10"/>
        <rFont val="WenQuanYi Zen Hei"/>
        <family val="2"/>
      </rPr>
      <t xml:space="preserve">자연어검색</t>
    </r>
    <r>
      <rPr>
        <sz val="10"/>
        <rFont val="Arial"/>
        <family val="2"/>
        <charset val="1"/>
      </rPr>
      <t xml:space="preserve">, </t>
    </r>
    <r>
      <rPr>
        <sz val="10"/>
        <rFont val="WenQuanYi Zen Hei"/>
        <family val="2"/>
      </rPr>
      <t xml:space="preserve">개인맞춤형 큐레이션</t>
    </r>
    <r>
      <rPr>
        <sz val="10"/>
        <rFont val="Arial"/>
        <family val="2"/>
        <charset val="1"/>
      </rPr>
      <t xml:space="preserve">), </t>
    </r>
    <r>
      <rPr>
        <sz val="10"/>
        <rFont val="WenQuanYi Zen Hei"/>
        <family val="2"/>
      </rPr>
      <t xml:space="preserve">스킬매치</t>
    </r>
    <r>
      <rPr>
        <sz val="10"/>
        <rFont val="Arial"/>
        <family val="2"/>
        <charset val="1"/>
      </rPr>
      <t xml:space="preserve">(AI</t>
    </r>
    <r>
      <rPr>
        <sz val="10"/>
        <rFont val="WenQuanYi Zen Hei"/>
        <family val="2"/>
      </rPr>
      <t xml:space="preserve">직무스킬진단</t>
    </r>
    <r>
      <rPr>
        <sz val="10"/>
        <rFont val="Arial"/>
        <family val="2"/>
        <charset val="1"/>
      </rPr>
      <t xml:space="preserve">), AI</t>
    </r>
    <r>
      <rPr>
        <sz val="10"/>
        <rFont val="WenQuanYi Zen Hei"/>
        <family val="2"/>
      </rPr>
      <t xml:space="preserve">튜터</t>
    </r>
    <r>
      <rPr>
        <sz val="10"/>
        <rFont val="Arial"/>
        <family val="2"/>
        <charset val="1"/>
      </rPr>
      <t xml:space="preserve">(</t>
    </r>
    <r>
      <rPr>
        <sz val="10"/>
        <rFont val="WenQuanYi Zen Hei"/>
        <family val="2"/>
      </rPr>
      <t xml:space="preserve">온라인</t>
    </r>
    <r>
      <rPr>
        <sz val="10"/>
        <rFont val="Arial"/>
        <family val="2"/>
        <charset val="1"/>
      </rPr>
      <t xml:space="preserve">AI</t>
    </r>
    <r>
      <rPr>
        <sz val="10"/>
        <rFont val="WenQuanYi Zen Hei"/>
        <family val="2"/>
      </rPr>
      <t xml:space="preserve">강사</t>
    </r>
    <r>
      <rPr>
        <sz val="10"/>
        <rFont val="Arial"/>
        <family val="2"/>
        <charset val="1"/>
      </rPr>
      <t xml:space="preserve">), </t>
    </r>
  </si>
  <si>
    <t xml:space="preserve">신해동</t>
  </si>
  <si>
    <t xml:space="preserve">패스트캠퍼스</t>
  </si>
  <si>
    <t xml:space="preserve">010-8875-5896</t>
  </si>
  <si>
    <t xml:space="preserve">haedong@day1company.co.kr</t>
  </si>
  <si>
    <t xml:space="preserve">김지훈</t>
  </si>
  <si>
    <r>
      <rPr>
        <sz val="10"/>
        <rFont val="Arial"/>
        <family val="2"/>
        <charset val="1"/>
      </rPr>
      <t xml:space="preserve">B2G</t>
    </r>
    <r>
      <rPr>
        <sz val="10"/>
        <rFont val="WenQuanYi Zen Hei"/>
        <family val="2"/>
      </rPr>
      <t xml:space="preserve">부문</t>
    </r>
  </si>
  <si>
    <t xml:space="preserve">부문대표</t>
  </si>
  <si>
    <t xml:space="preserve">010-9064-8413</t>
  </si>
  <si>
    <t xml:space="preserve">jhkim@day1company.co.kr</t>
  </si>
  <si>
    <t xml:space="preserve">㈜이큐포올</t>
  </si>
  <si>
    <t xml:space="preserve">161-81-00885</t>
  </si>
  <si>
    <t xml:space="preserve">이인구</t>
  </si>
  <si>
    <t xml:space="preserve">02-6207-7897</t>
  </si>
  <si>
    <t xml:space="preserve">https://www.eq4all.co.kr/</t>
  </si>
  <si>
    <t xml:space="preserve">edenlee@eq4all.co.kr</t>
  </si>
  <si>
    <t xml:space="preserve">서울특별시 강남구 논현로76길 11, 4층(역삼동, 코람벤처빌딩)</t>
  </si>
  <si>
    <t xml:space="preserve">정보 접근성 (수어/쉬운 정보), 3D 수어 아바타 번역 기술, 쉬운 정보 변환 기술</t>
  </si>
  <si>
    <r>
      <rPr>
        <sz val="10"/>
        <rFont val="Arial"/>
        <family val="2"/>
        <charset val="1"/>
      </rPr>
      <t xml:space="preserve">(</t>
    </r>
    <r>
      <rPr>
        <sz val="10"/>
        <rFont val="WenQuanYi Zen Hei"/>
        <family val="2"/>
      </rPr>
      <t xml:space="preserve">공란</t>
    </r>
    <r>
      <rPr>
        <sz val="10"/>
        <rFont val="Arial"/>
        <family val="2"/>
        <charset val="1"/>
      </rPr>
      <t xml:space="preserve">)</t>
    </r>
  </si>
  <si>
    <t xml:space="preserve">kevinlee@eq4all.co.kr</t>
  </si>
  <si>
    <t xml:space="preserve">010-4227-3841</t>
  </si>
  <si>
    <t xml:space="preserve">주소현</t>
  </si>
  <si>
    <t xml:space="preserve">마케팅실</t>
  </si>
  <si>
    <t xml:space="preserve">josephinejoo@eq4all.co.kr</t>
  </si>
  <si>
    <t xml:space="preserve">010-3490-6723</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</si>
  <si>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오픈네트웍시스템</t>
    </r>
  </si>
  <si>
    <t xml:space="preserve">107-81-69444</t>
  </si>
  <si>
    <t xml:space="preserve">박봉균</t>
  </si>
  <si>
    <t xml:space="preserve">1544-0357</t>
  </si>
  <si>
    <t xml:space="preserve">https://open-network.co.kr/</t>
  </si>
  <si>
    <t xml:space="preserve">parksujin0906@gmail.com</t>
  </si>
  <si>
    <t xml:space="preserve">경기도 의왕시 이미로 40, B동 907호 인덕원 IT밸리</t>
  </si>
  <si>
    <r>
      <rPr>
        <sz val="10"/>
        <rFont val="Arial"/>
        <family val="2"/>
        <charset val="1"/>
      </rPr>
      <t xml:space="preserve">LLMOps </t>
    </r>
    <r>
      <rPr>
        <sz val="10"/>
        <rFont val="WenQuanYi Zen Hei"/>
        <family val="2"/>
      </rPr>
      <t xml:space="preserve">플랫폼 및 </t>
    </r>
    <r>
      <rPr>
        <sz val="10"/>
        <rFont val="Arial"/>
        <family val="2"/>
        <charset val="1"/>
      </rPr>
      <t xml:space="preserve">ONS AX Foundry </t>
    </r>
    <r>
      <rPr>
        <sz val="10"/>
        <rFont val="WenQuanYi Zen Hei"/>
        <family val="2"/>
      </rPr>
      <t xml:space="preserve">서비스</t>
    </r>
  </si>
  <si>
    <t xml:space="preserve">박종일</t>
  </si>
  <si>
    <r>
      <rPr>
        <sz val="10"/>
        <rFont val="Arial"/>
        <family val="2"/>
        <charset val="1"/>
      </rPr>
      <t xml:space="preserve">S/W </t>
    </r>
    <r>
      <rPr>
        <sz val="10"/>
        <rFont val="WenQuanYi Zen Hei"/>
        <family val="2"/>
      </rPr>
      <t xml:space="preserve">개발부</t>
    </r>
  </si>
  <si>
    <t xml:space="preserve">010-5348-5208</t>
  </si>
  <si>
    <t xml:space="preserve">jongpark@open-network.co.kr</t>
  </si>
  <si>
    <t xml:space="preserve">박수진</t>
  </si>
  <si>
    <t xml:space="preserve">영업부</t>
  </si>
  <si>
    <t xml:space="preserve">010-8817-5208</t>
  </si>
  <si>
    <t xml:space="preserve">sujin@open-network.co.kr</t>
  </si>
  <si>
    <t xml:space="preserve">바운드포 주식회사</t>
  </si>
  <si>
    <t xml:space="preserve">617-87-01415</t>
  </si>
  <si>
    <t xml:space="preserve">황인호</t>
  </si>
  <si>
    <t xml:space="preserve">010-9996-2707</t>
  </si>
  <si>
    <t xml:space="preserve">www.bound4.co.kr</t>
  </si>
  <si>
    <t xml:space="preserve">inhovation@bound4.co.kr</t>
  </si>
  <si>
    <t xml:space="preserve">서울시 강남구 언주로 617 3층</t>
  </si>
  <si>
    <t xml:space="preserve">드로파이(DROPAI) - GPDataOps</t>
  </si>
  <si>
    <t xml:space="preserve">경영전략팀</t>
  </si>
  <si>
    <t xml:space="preserve">럽디(주)</t>
  </si>
  <si>
    <t xml:space="preserve">651-81-00409</t>
  </si>
  <si>
    <t xml:space="preserve">김나라</t>
  </si>
  <si>
    <t xml:space="preserve">02-752-0719</t>
  </si>
  <si>
    <t xml:space="preserve">https://luvd.co.kr</t>
  </si>
  <si>
    <t xml:space="preserve">geoluck0725@gmail.com</t>
  </si>
  <si>
    <t xml:space="preserve">서울 관악구 남부순환로 1698</t>
  </si>
  <si>
    <r>
      <rPr>
        <sz val="10"/>
        <rFont val="Arial"/>
        <family val="2"/>
        <charset val="1"/>
      </rPr>
      <t xml:space="preserve">AEO(Answer Engine Optimization)/ </t>
    </r>
    <r>
      <rPr>
        <sz val="10"/>
        <rFont val="WenQuanYi Zen Hei"/>
        <family val="2"/>
      </rPr>
      <t xml:space="preserve">및 </t>
    </r>
    <r>
      <rPr>
        <sz val="10"/>
        <rFont val="Arial"/>
        <family val="2"/>
        <charset val="1"/>
      </rPr>
      <t xml:space="preserve">GEO</t>
    </r>
    <r>
      <rPr>
        <sz val="10"/>
        <rFont val="WenQuanYi Zen Hei"/>
        <family val="2"/>
      </rPr>
      <t xml:space="preserve">를 위한 분석</t>
    </r>
    <r>
      <rPr>
        <sz val="10"/>
        <rFont val="Arial"/>
        <family val="2"/>
        <charset val="1"/>
      </rPr>
      <t xml:space="preserve">/</t>
    </r>
    <r>
      <rPr>
        <sz val="10"/>
        <rFont val="WenQuanYi Zen Hei"/>
        <family val="2"/>
      </rPr>
      <t xml:space="preserve">실행 기술</t>
    </r>
  </si>
  <si>
    <t xml:space="preserve">이장원</t>
  </si>
  <si>
    <t xml:space="preserve">상무/CTO</t>
  </si>
  <si>
    <t xml:space="preserve">010-9501-8096</t>
  </si>
  <si>
    <t xml:space="preserve">jwlee@luvd.co.kr</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</si>
  <si>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가온아이</t>
    </r>
  </si>
  <si>
    <t xml:space="preserve">211-86-97088</t>
  </si>
  <si>
    <t xml:space="preserve">조창제</t>
  </si>
  <si>
    <t xml:space="preserve">02-2140-5700</t>
  </si>
  <si>
    <t xml:space="preserve">https://www.kaoni.com</t>
  </si>
  <si>
    <t xml:space="preserve">mjang3030@gmail.com</t>
  </si>
  <si>
    <t xml:space="preserve">경기도 과천시 과천대로 12길 117 과천펜타원 D동 1~4층, 10~15층</t>
  </si>
  <si>
    <r>
      <rPr>
        <sz val="10"/>
        <rFont val="Arial"/>
        <family val="2"/>
        <charset val="1"/>
      </rPr>
      <t xml:space="preserve">KAON AI(</t>
    </r>
    <r>
      <rPr>
        <sz val="10"/>
        <rFont val="WenQuanYi Zen Hei"/>
        <family val="2"/>
      </rPr>
      <t xml:space="preserve">일반 기업 협업 </t>
    </r>
    <r>
      <rPr>
        <sz val="10"/>
        <rFont val="Arial"/>
        <family val="2"/>
        <charset val="1"/>
      </rPr>
      <t xml:space="preserve">Agent, </t>
    </r>
    <r>
      <rPr>
        <sz val="10"/>
        <rFont val="WenQuanYi Zen Hei"/>
        <family val="2"/>
      </rPr>
      <t xml:space="preserve">기록관리 </t>
    </r>
    <r>
      <rPr>
        <sz val="10"/>
        <rFont val="Arial"/>
        <family val="2"/>
        <charset val="1"/>
      </rPr>
      <t xml:space="preserve">Agent, CCTV</t>
    </r>
    <r>
      <rPr>
        <sz val="10"/>
        <rFont val="WenQuanYi Zen Hei"/>
        <family val="2"/>
      </rPr>
      <t xml:space="preserve">관제 및 안전 </t>
    </r>
    <r>
      <rPr>
        <sz val="10"/>
        <rFont val="Arial"/>
        <family val="2"/>
        <charset val="1"/>
      </rPr>
      <t xml:space="preserve">Agent)</t>
    </r>
  </si>
  <si>
    <t xml:space="preserve">cjcho@kaoni.com</t>
  </si>
  <si>
    <t xml:space="preserve">010-2546-9499</t>
  </si>
  <si>
    <t xml:space="preserve">전일권</t>
  </si>
  <si>
    <t xml:space="preserve">지식관리연구소</t>
  </si>
  <si>
    <t xml:space="preserve">전무/소장</t>
  </si>
  <si>
    <t xml:space="preserve">02-2140-5729</t>
  </si>
  <si>
    <t xml:space="preserve">ikjun@kaoni.com</t>
  </si>
  <si>
    <t xml:space="preserve">010-9166-3636</t>
  </si>
  <si>
    <t xml:space="preserve">코코넛사일로 주식회사</t>
  </si>
  <si>
    <t xml:space="preserve">677-88-01506</t>
  </si>
  <si>
    <t xml:space="preserve">김승용</t>
  </si>
  <si>
    <t xml:space="preserve">02-564-0309</t>
  </si>
  <si>
    <t xml:space="preserve">https://www.coconutsilo.com</t>
  </si>
  <si>
    <t xml:space="preserve">hr@coconutsilo.com</t>
  </si>
  <si>
    <t xml:space="preserve">서울특별시 구로구 디지털로31길 62, 제1712-1715호(구로동, 아티스포럼)</t>
  </si>
  <si>
    <r>
      <rPr>
        <sz val="10"/>
        <rFont val="Arial"/>
        <family val="2"/>
        <charset val="1"/>
      </rPr>
      <t xml:space="preserve"> AI </t>
    </r>
    <r>
      <rPr>
        <sz val="10"/>
        <rFont val="WenQuanYi Zen Hei"/>
        <family val="2"/>
      </rPr>
      <t xml:space="preserve">기반 </t>
    </r>
    <r>
      <rPr>
        <sz val="10"/>
        <rFont val="Arial"/>
        <family val="2"/>
        <charset val="1"/>
      </rPr>
      <t xml:space="preserve">SW </t>
    </r>
    <r>
      <rPr>
        <sz val="10"/>
        <rFont val="WenQuanYi Zen Hei"/>
        <family val="2"/>
      </rPr>
      <t xml:space="preserve">물류 포워딩 플랫폼</t>
    </r>
  </si>
  <si>
    <r>
      <rPr>
        <sz val="10"/>
        <rFont val="Arial"/>
        <family val="2"/>
        <charset val="1"/>
      </rPr>
      <t xml:space="preserve">CEO</t>
    </r>
    <r>
      <rPr>
        <sz val="10"/>
        <rFont val="WenQuanYi Zen Hei"/>
        <family val="2"/>
      </rPr>
      <t xml:space="preserve">실</t>
    </r>
  </si>
  <si>
    <t xml:space="preserve">seungyong@coconutsilo.com</t>
  </si>
  <si>
    <t xml:space="preserve">010-2334-9342</t>
  </si>
  <si>
    <t xml:space="preserve">권성일</t>
  </si>
  <si>
    <r>
      <rPr>
        <sz val="10"/>
        <rFont val="Arial"/>
        <family val="2"/>
        <charset val="1"/>
      </rPr>
      <t xml:space="preserve">CTO</t>
    </r>
    <r>
      <rPr>
        <sz val="10"/>
        <rFont val="WenQuanYi Zen Hei"/>
        <family val="2"/>
      </rPr>
      <t xml:space="preserve">실</t>
    </r>
  </si>
  <si>
    <t xml:space="preserve">samuel@coconutsilo.com</t>
  </si>
  <si>
    <t xml:space="preserve">010-5544-8108</t>
  </si>
  <si>
    <t xml:space="preserve">주식회사 아이티센클로잇</t>
  </si>
  <si>
    <t xml:space="preserve">116-81-33315</t>
  </si>
  <si>
    <t xml:space="preserve">김우성</t>
  </si>
  <si>
    <t xml:space="preserve">010-7522-0966</t>
  </si>
  <si>
    <t xml:space="preserve">https://itcencloit.com/</t>
  </si>
  <si>
    <t xml:space="preserve">bschang@itcen.com</t>
  </si>
  <si>
    <t xml:space="preserve">경기도 과천시 과천대로 12길 117, 과천펜타원 E동 (아이티센타워)</t>
  </si>
  <si>
    <r>
      <rPr>
        <sz val="10"/>
        <rFont val="Arial"/>
        <family val="2"/>
        <charset val="1"/>
      </rPr>
      <t xml:space="preserve">AI </t>
    </r>
    <r>
      <rPr>
        <sz val="10"/>
        <rFont val="WenQuanYi Zen Hei"/>
        <family val="2"/>
      </rPr>
      <t xml:space="preserve">자체 솔루션</t>
    </r>
    <r>
      <rPr>
        <sz val="10"/>
        <rFont val="Arial"/>
        <family val="2"/>
        <charset val="1"/>
      </rPr>
      <t xml:space="preserve">(Agentic AI </t>
    </r>
    <r>
      <rPr>
        <sz val="10"/>
        <rFont val="WenQuanYi Zen Hei"/>
        <family val="2"/>
      </rPr>
      <t xml:space="preserve">플랫폼</t>
    </r>
    <r>
      <rPr>
        <sz val="10"/>
        <rFont val="Arial"/>
        <family val="2"/>
        <charset val="1"/>
      </rPr>
      <t xml:space="preserve">) </t>
    </r>
    <r>
      <rPr>
        <sz val="10"/>
        <rFont val="WenQuanYi Zen Hei"/>
        <family val="2"/>
      </rPr>
      <t xml:space="preserve">및 </t>
    </r>
    <r>
      <rPr>
        <sz val="10"/>
        <rFont val="Arial"/>
        <family val="2"/>
        <charset val="1"/>
      </rPr>
      <t xml:space="preserve">AI </t>
    </r>
    <r>
      <rPr>
        <sz val="10"/>
        <rFont val="WenQuanYi Zen Hei"/>
        <family val="2"/>
      </rPr>
      <t xml:space="preserve">기술 표준 </t>
    </r>
    <r>
      <rPr>
        <sz val="10"/>
        <rFont val="Arial"/>
        <family val="2"/>
        <charset val="1"/>
      </rPr>
      <t xml:space="preserve">(AgentGo)</t>
    </r>
  </si>
  <si>
    <t xml:space="preserve">이규진</t>
  </si>
  <si>
    <r>
      <rPr>
        <sz val="10"/>
        <rFont val="Arial"/>
        <family val="2"/>
        <charset val="1"/>
      </rPr>
      <t xml:space="preserve">AX</t>
    </r>
    <r>
      <rPr>
        <sz val="10"/>
        <rFont val="WenQuanYi Zen Hei"/>
        <family val="2"/>
      </rPr>
      <t xml:space="preserve">사업본부</t>
    </r>
  </si>
  <si>
    <t xml:space="preserve">전무 / 본부장</t>
  </si>
  <si>
    <t xml:space="preserve">010-3664-6546</t>
  </si>
  <si>
    <t xml:space="preserve">kjlee@itcen.com</t>
  </si>
  <si>
    <t xml:space="preserve">신기호</t>
  </si>
  <si>
    <t xml:space="preserve">상무 / 사업부장</t>
  </si>
  <si>
    <t xml:space="preserve">010-3509-7466</t>
  </si>
  <si>
    <t xml:space="preserve">ghshin@itcen.com</t>
  </si>
  <si>
    <r>
      <rPr>
        <sz val="10"/>
        <color rgb="FFC00000"/>
        <rFont val="Arial"/>
        <family val="2"/>
        <charset val="1"/>
      </rPr>
      <t xml:space="preserve">2</t>
    </r>
    <r>
      <rPr>
        <sz val="10"/>
        <color rgb="FFC00000"/>
        <rFont val="WenQuanYi Zen Hei"/>
        <family val="2"/>
      </rPr>
      <t xml:space="preserve">지망 생태계 신청</t>
    </r>
  </si>
  <si>
    <t xml:space="preserve">주식회사 에이테크</t>
  </si>
  <si>
    <t xml:space="preserve">685-86-00969</t>
  </si>
  <si>
    <t xml:space="preserve">김정완</t>
  </si>
  <si>
    <t xml:space="preserve">010-9591-3114</t>
  </si>
  <si>
    <t xml:space="preserve">https://atech1221.com/</t>
  </si>
  <si>
    <t xml:space="preserve">kikong1414@gmail.com</t>
  </si>
  <si>
    <t xml:space="preserve">울산광역시 중구 종가로 655 혁신센트럴시티 307호</t>
  </si>
  <si>
    <t xml:space="preserve">제조 AI 통합 운영 관리 솔루션, AI Agent 기반 사무 자동화 지원 솔루션, 제조 데이터 기반 제조 KPI AI 예측 솔루션, 피지컬 AI 기반 로봇암 품질 개선 자동화 지원 솔루션</t>
  </si>
  <si>
    <t xml:space="preserve">서보경</t>
  </si>
  <si>
    <t xml:space="preserve">사업제안팀</t>
  </si>
  <si>
    <t xml:space="preserve">수석/팀장</t>
  </si>
  <si>
    <t xml:space="preserve">010-3908-8301</t>
  </si>
  <si>
    <t xml:space="preserve">sbgalex@atech1221.com</t>
  </si>
  <si>
    <t xml:space="preserve">권기광</t>
  </si>
  <si>
    <r>
      <rPr>
        <sz val="10"/>
        <rFont val="Arial"/>
        <family val="2"/>
        <charset val="1"/>
      </rPr>
      <t xml:space="preserve">AI </t>
    </r>
    <r>
      <rPr>
        <sz val="10"/>
        <rFont val="WenQuanYi Zen Hei"/>
        <family val="2"/>
      </rPr>
      <t xml:space="preserve">개발팀</t>
    </r>
  </si>
  <si>
    <t xml:space="preserve">책임/팀장</t>
  </si>
  <si>
    <t xml:space="preserve">010-8807-0689</t>
  </si>
  <si>
    <t xml:space="preserve">kk.kwon@atech1221.com</t>
  </si>
  <si>
    <t xml:space="preserve">앵글컴퍼니 주식회사</t>
  </si>
  <si>
    <t xml:space="preserve">172-88-02621</t>
  </si>
  <si>
    <t xml:space="preserve">박재범</t>
  </si>
  <si>
    <t xml:space="preserve">010-4717-8478</t>
  </si>
  <si>
    <t xml:space="preserve">https://www.angle.im</t>
  </si>
  <si>
    <t xml:space="preserve">pjb@angle.im</t>
  </si>
  <si>
    <t xml:space="preserve">서울시 강남구 테헤란로 79길 6, 3층</t>
  </si>
  <si>
    <t xml:space="preserve">헬스케어, 보험, 커머스, 제조 분야의 에이전틱 AI 에이전트 솔루션</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</si>
  <si>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컴퓨터메이트</t>
    </r>
  </si>
  <si>
    <t xml:space="preserve">515-81-31630</t>
  </si>
  <si>
    <t xml:space="preserve">서상인,김성호</t>
  </si>
  <si>
    <t xml:space="preserve">053-813-3008</t>
  </si>
  <si>
    <t xml:space="preserve">https://www.computermate.co.kr/kor</t>
  </si>
  <si>
    <t xml:space="preserve">yuhyun.kim65@gmail.com</t>
  </si>
  <si>
    <t xml:space="preserve">대구시 수성구 알파시티1로 35길 23 (대흥동)</t>
  </si>
  <si>
    <t xml:space="preserve">제조분야 AI 솔루션(ADUP(이상탐지범용플랫폼) AD(설비이상탐지) QP(품질예측) OPC(최적공정조건))  TMS(시험관리시스템)  CPS(가상물리시스템)</t>
  </si>
  <si>
    <t xml:space="preserve">김유현</t>
  </si>
  <si>
    <t xml:space="preserve">yuhyun@computermate.co.kr</t>
  </si>
  <si>
    <t xml:space="preserve">010-2253-4115</t>
  </si>
  <si>
    <t xml:space="preserve">사단법인 한국인공지능클라우드산업협회</t>
  </si>
  <si>
    <t xml:space="preserve">214-82-11607</t>
  </si>
  <si>
    <t xml:space="preserve">최지웅</t>
  </si>
  <si>
    <t xml:space="preserve">02-6354-0423</t>
  </si>
  <si>
    <t xml:space="preserve">https://kcloud.or.kr</t>
  </si>
  <si>
    <t xml:space="preserve">skawn83@gmail.com</t>
  </si>
  <si>
    <t xml:space="preserve">서울시 서초구 서초대로4길 4, 대진빌딩 2층, 3층</t>
  </si>
  <si>
    <r>
      <rPr>
        <sz val="10"/>
        <rFont val="Arial"/>
        <family val="2"/>
        <charset val="1"/>
      </rPr>
      <t xml:space="preserve">AI </t>
    </r>
    <r>
      <rPr>
        <sz val="10"/>
        <rFont val="WenQuanYi Zen Hei"/>
        <family val="2"/>
      </rPr>
      <t xml:space="preserve">클라우드 산업 지원 등</t>
    </r>
  </si>
  <si>
    <t xml:space="preserve">함재춘</t>
  </si>
  <si>
    <t xml:space="preserve">사무국</t>
  </si>
  <si>
    <t xml:space="preserve">사무국장</t>
  </si>
  <si>
    <t xml:space="preserve">02-6354-0422</t>
  </si>
  <si>
    <t xml:space="preserve">jcham@kcloud.or.kr</t>
  </si>
  <si>
    <t xml:space="preserve">010-3392-0043</t>
  </si>
  <si>
    <t xml:space="preserve">김남주</t>
  </si>
  <si>
    <t xml:space="preserve">클라우드융합팀</t>
  </si>
  <si>
    <t xml:space="preserve">수석팀장</t>
  </si>
  <si>
    <t xml:space="preserve">skawn83@kcloud.or.kr</t>
  </si>
  <si>
    <t xml:space="preserve">010-8804-4324</t>
  </si>
  <si>
    <t xml:space="preserve">인프라닉스 주식회사</t>
  </si>
  <si>
    <t xml:space="preserve">220-81-92632</t>
  </si>
  <si>
    <t xml:space="preserve">송 영 선</t>
  </si>
  <si>
    <t xml:space="preserve">02-598-3223</t>
  </si>
  <si>
    <t xml:space="preserve">www.infranics.com</t>
  </si>
  <si>
    <t xml:space="preserve">young.song@infranicsmail.com</t>
  </si>
  <si>
    <t xml:space="preserve">서울시 서초구 서추중앙로 66 서초빌딩 3층,5층</t>
  </si>
  <si>
    <t xml:space="preserve">SysMaster Suite AI Manager/PHM,EO,PCF</t>
  </si>
  <si>
    <t xml:space="preserve">송영선</t>
  </si>
  <si>
    <t xml:space="preserve">임원실</t>
  </si>
  <si>
    <t xml:space="preserve">010-5330-9905</t>
  </si>
  <si>
    <t xml:space="preserve">심재승</t>
  </si>
  <si>
    <t xml:space="preserve">기술연구소/AI사업부</t>
  </si>
  <si>
    <t xml:space="preserve">jae.shim@infranicsmail.com</t>
  </si>
  <si>
    <t xml:space="preserve">010-8871-7702</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</si>
  <si>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소울인포테크</t>
    </r>
  </si>
  <si>
    <t xml:space="preserve">123-86-18919</t>
  </si>
  <si>
    <t xml:space="preserve">황철연</t>
  </si>
  <si>
    <t xml:space="preserve">070-4280-4422</t>
  </si>
  <si>
    <t xml:space="preserve">www.soulinfotech.com</t>
  </si>
  <si>
    <t xml:space="preserve">innsup@gmail.com</t>
  </si>
  <si>
    <t xml:space="preserve">경기도 안양시 동안구 엘에스로116번길 25-32, 520호</t>
  </si>
  <si>
    <t xml:space="preserve">교통부문 시뮬레이션 및 AI 데이터 분석</t>
  </si>
  <si>
    <t xml:space="preserve">신인섭</t>
  </si>
  <si>
    <t xml:space="preserve">상무/연구소장</t>
  </si>
  <si>
    <t xml:space="preserve">innsup@soulint.com</t>
  </si>
  <si>
    <t xml:space="preserve">010-8915-5829</t>
  </si>
  <si>
    <t xml:space="preserve">김영광</t>
  </si>
  <si>
    <t xml:space="preserve">과장/연구원</t>
  </si>
  <si>
    <t xml:space="preserve">kimyk@soulint.com</t>
  </si>
  <si>
    <t xml:space="preserve">010-5040-3389</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</si>
  <si>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제이에스시스템</t>
    </r>
  </si>
  <si>
    <t xml:space="preserve">503-81-66460</t>
  </si>
  <si>
    <t xml:space="preserve">이상도</t>
  </si>
  <si>
    <t xml:space="preserve">053-943-0154</t>
  </si>
  <si>
    <t xml:space="preserve">http://js-system.co.kr/</t>
  </si>
  <si>
    <t xml:space="preserve">leoyh23@gmail.com</t>
  </si>
  <si>
    <t xml:space="preserve">대구광역시 수성구 알파시티1로 31길 39(대흥동, JSS빌딩)</t>
  </si>
  <si>
    <t xml:space="preserve">제조 AI: 1. 생산관리/지시 최적화 솔루션; 2. 제조 LLM; 3. 설비고장예측 솔루션; 4. 통합품질관리솔루션</t>
  </si>
  <si>
    <t xml:space="preserve">이문용</t>
  </si>
  <si>
    <t xml:space="preserve">기획관리</t>
  </si>
  <si>
    <t xml:space="preserve">상무</t>
  </si>
  <si>
    <t xml:space="preserve">my@js-system.co.kr</t>
  </si>
  <si>
    <t xml:space="preserve">010-6575-9686</t>
  </si>
  <si>
    <t xml:space="preserve">주리오</t>
  </si>
  <si>
    <t xml:space="preserve">과장/ 경기지사장</t>
  </si>
  <si>
    <t xml:space="preserve">leo@js-system.co.kr</t>
  </si>
  <si>
    <t xml:space="preserve">010-6313-9303</t>
  </si>
  <si>
    <t xml:space="preserve">주식회사 인사이트온</t>
  </si>
  <si>
    <t xml:space="preserve">522-88-00100</t>
  </si>
  <si>
    <t xml:space="preserve">박승래</t>
  </si>
  <si>
    <t xml:space="preserve">010-8686-5188</t>
  </si>
  <si>
    <t xml:space="preserve">insighton.co.kr</t>
  </si>
  <si>
    <t xml:space="preserve">sr.victor.park@gmail.com</t>
  </si>
  <si>
    <t xml:space="preserve">울산 중구 종가5길 21</t>
  </si>
  <si>
    <t xml:space="preserve">Thingsflow(Low Code) &amp; Neuroflow(Agentic AI)</t>
  </si>
  <si>
    <t xml:space="preserve">victor.park@insighton.kr</t>
  </si>
  <si>
    <t xml:space="preserve">성령재</t>
  </si>
  <si>
    <t xml:space="preserve">010-4520-3331</t>
  </si>
  <si>
    <t xml:space="preserve">rjseong@insighton.kr</t>
  </si>
  <si>
    <t xml:space="preserve">주식회사 유니버스에이아이</t>
  </si>
  <si>
    <t xml:space="preserve">422-87-03381</t>
  </si>
  <si>
    <t xml:space="preserve">추의민</t>
  </si>
  <si>
    <t xml:space="preserve">070-4149-2963</t>
  </si>
  <si>
    <t xml:space="preserve">https://univs.ai/</t>
  </si>
  <si>
    <t xml:space="preserve">cem@univs.ai</t>
  </si>
  <si>
    <t xml:space="preserve">서울시 강남구 테헤란로33길 13-3, 2층</t>
  </si>
  <si>
    <r>
      <rPr>
        <sz val="10"/>
        <rFont val="Arial"/>
        <family val="2"/>
        <charset val="1"/>
      </rPr>
      <t xml:space="preserve">AI</t>
    </r>
    <r>
      <rPr>
        <sz val="10"/>
        <rFont val="WenQuanYi Zen Hei"/>
        <family val="2"/>
      </rPr>
      <t xml:space="preserve">생체인식 알고리즘 및 실시간 감지 보안솔루션</t>
    </r>
  </si>
  <si>
    <t xml:space="preserve">총괄</t>
  </si>
  <si>
    <t xml:space="preserve">070-4895-3906</t>
  </si>
  <si>
    <t xml:space="preserve">010-5083-9383</t>
  </si>
  <si>
    <t xml:space="preserve">이소담</t>
  </si>
  <si>
    <t xml:space="preserve">영업팀</t>
  </si>
  <si>
    <t xml:space="preserve">lsd@univs.ai</t>
  </si>
  <si>
    <t xml:space="preserve">010-9977-9287</t>
  </si>
  <si>
    <t xml:space="preserve">플렉스 주식회사</t>
  </si>
  <si>
    <t xml:space="preserve">460-81-01554</t>
  </si>
  <si>
    <t xml:space="preserve">장해남</t>
  </si>
  <si>
    <t xml:space="preserve">070-4949-1554</t>
  </si>
  <si>
    <t xml:space="preserve">flex.team</t>
  </si>
  <si>
    <t xml:space="preserve">jihyun.song@flex.team</t>
  </si>
  <si>
    <t xml:space="preserve">경기도 성남시 분당구 황새울로359번길 11 미래에셋플레이스 7, 8층</t>
  </si>
  <si>
    <r>
      <rPr>
        <sz val="10"/>
        <rFont val="Arial"/>
        <family val="2"/>
        <charset val="1"/>
      </rPr>
      <t xml:space="preserve">flex AI(HR </t>
    </r>
    <r>
      <rPr>
        <sz val="10"/>
        <rFont val="WenQuanYi Zen Hei"/>
        <family val="2"/>
      </rPr>
      <t xml:space="preserve">기반 </t>
    </r>
    <r>
      <rPr>
        <sz val="10"/>
        <rFont val="Arial"/>
        <family val="2"/>
        <charset val="1"/>
      </rPr>
      <t xml:space="preserve">AI </t>
    </r>
    <r>
      <rPr>
        <sz val="10"/>
        <rFont val="WenQuanYi Zen Hei"/>
        <family val="2"/>
      </rPr>
      <t xml:space="preserve">플랫폼</t>
    </r>
    <r>
      <rPr>
        <sz val="10"/>
        <rFont val="Arial"/>
        <family val="2"/>
        <charset val="1"/>
      </rPr>
      <t xml:space="preserve">, HR </t>
    </r>
    <r>
      <rPr>
        <sz val="10"/>
        <rFont val="WenQuanYi Zen Hei"/>
        <family val="2"/>
      </rPr>
      <t xml:space="preserve">특화 </t>
    </r>
    <r>
      <rPr>
        <sz val="10"/>
        <rFont val="Arial"/>
        <family val="2"/>
        <charset val="1"/>
      </rPr>
      <t xml:space="preserve">Agentic AI)</t>
    </r>
  </si>
  <si>
    <t xml:space="preserve">없음</t>
  </si>
  <si>
    <t xml:space="preserve">대표이사(CEO)</t>
  </si>
  <si>
    <t xml:space="preserve">haenam@flex.team</t>
  </si>
  <si>
    <t xml:space="preserve">010-9762-7574</t>
  </si>
  <si>
    <t xml:space="preserve">송지현</t>
  </si>
  <si>
    <t xml:space="preserve">Corporate Communications</t>
  </si>
  <si>
    <t xml:space="preserve">Head of Corporate Communications</t>
  </si>
  <si>
    <t xml:space="preserve">010-4170-9410</t>
  </si>
  <si>
    <t xml:space="preserve">클루피 주식회사</t>
  </si>
  <si>
    <t xml:space="preserve">614-87-00644</t>
  </si>
  <si>
    <t xml:space="preserve">김기환</t>
  </si>
  <si>
    <t xml:space="preserve">053-357-0307</t>
  </si>
  <si>
    <t xml:space="preserve">https://clupea.co.kr</t>
  </si>
  <si>
    <t xml:space="preserve">kimgihwan@clupea.co.kr</t>
  </si>
  <si>
    <t xml:space="preserve">대구광역시 북구 호암로51, 벤처오피스 215호</t>
  </si>
  <si>
    <t xml:space="preserve">임상시험데이터 최적화 (자동화) 솔루션 MediLake 플랫폼</t>
  </si>
  <si>
    <t xml:space="preserve">010-3527-8909</t>
  </si>
  <si>
    <t xml:space="preserve">이민철</t>
  </si>
  <si>
    <t xml:space="preserve">경영기획</t>
  </si>
  <si>
    <t xml:space="preserve">mclee@clupea.co.kr</t>
  </si>
  <si>
    <t xml:space="preserve">010-2040-4696</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</si>
  <si>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와이즈넛</t>
    </r>
  </si>
  <si>
    <t xml:space="preserve">211-86-98485</t>
  </si>
  <si>
    <t xml:space="preserve">강용성</t>
  </si>
  <si>
    <t xml:space="preserve">02-3404-6100</t>
  </si>
  <si>
    <t xml:space="preserve">www.wisenut.com</t>
  </si>
  <si>
    <t xml:space="preserve">alsgur316@gmail.com</t>
  </si>
  <si>
    <t xml:space="preserve">경기도 성남시 분당구 대왕판교로 644번길 49, DTC타워 5,6층</t>
  </si>
  <si>
    <r>
      <rPr>
        <sz val="10"/>
        <rFont val="Arial"/>
        <family val="2"/>
        <charset val="1"/>
      </rPr>
      <t xml:space="preserve">AI </t>
    </r>
    <r>
      <rPr>
        <sz val="10"/>
        <rFont val="WenQuanYi Zen Hei"/>
        <family val="2"/>
      </rPr>
      <t xml:space="preserve">에이전트</t>
    </r>
    <r>
      <rPr>
        <sz val="10"/>
        <rFont val="Arial"/>
        <family val="2"/>
        <charset val="1"/>
      </rPr>
      <t xml:space="preserve">, LLM, RAG, AI </t>
    </r>
    <r>
      <rPr>
        <sz val="10"/>
        <rFont val="WenQuanYi Zen Hei"/>
        <family val="2"/>
      </rPr>
      <t xml:space="preserve">검색 등</t>
    </r>
  </si>
  <si>
    <t xml:space="preserve">02-3404-6170</t>
  </si>
  <si>
    <t xml:space="preserve">scott@wisenut.co.kr</t>
  </si>
  <si>
    <t xml:space="preserve">010-9164-3659</t>
  </si>
  <si>
    <t xml:space="preserve">김보령</t>
  </si>
  <si>
    <t xml:space="preserve">전략마케팅부</t>
  </si>
  <si>
    <t xml:space="preserve">02-3404-6147</t>
  </si>
  <si>
    <t xml:space="preserve">brkim@wisenut.co.kr</t>
  </si>
  <si>
    <t xml:space="preserve">010-6566-5426</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</si>
  <si>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랩큐</t>
    </r>
  </si>
  <si>
    <t xml:space="preserve">813-87-01366</t>
  </si>
  <si>
    <t xml:space="preserve">김한수</t>
  </si>
  <si>
    <t xml:space="preserve">010-2359-8053</t>
  </si>
  <si>
    <t xml:space="preserve">www.labq.kr</t>
  </si>
  <si>
    <t xml:space="preserve">khs@labq.kr</t>
  </si>
  <si>
    <t xml:space="preserve">서울 영등포구 양평로21길 26, 2301호</t>
  </si>
  <si>
    <r>
      <rPr>
        <sz val="10"/>
        <rFont val="Arial"/>
        <family val="2"/>
        <charset val="1"/>
      </rPr>
      <t xml:space="preserve">DeepQ AI </t>
    </r>
    <r>
      <rPr>
        <sz val="10"/>
        <rFont val="WenQuanYi Zen Hei"/>
        <family val="2"/>
      </rPr>
      <t xml:space="preserve">어시스턴트</t>
    </r>
    <r>
      <rPr>
        <sz val="10"/>
        <rFont val="Arial"/>
        <family val="2"/>
        <charset val="1"/>
      </rPr>
      <t xml:space="preserve">, </t>
    </r>
  </si>
  <si>
    <t xml:space="preserve">박정우</t>
  </si>
  <si>
    <r>
      <rPr>
        <sz val="10"/>
        <rFont val="Arial"/>
        <family val="2"/>
        <charset val="1"/>
      </rPr>
      <t xml:space="preserve">AI</t>
    </r>
    <r>
      <rPr>
        <sz val="10"/>
        <rFont val="WenQuanYi Zen Hei"/>
        <family val="2"/>
      </rPr>
      <t xml:space="preserve">전략사업부</t>
    </r>
  </si>
  <si>
    <t xml:space="preserve">02-6259-8053</t>
  </si>
  <si>
    <t xml:space="preserve">friendship.park@labq.kr</t>
  </si>
  <si>
    <t xml:space="preserve">010-7293-8533</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</si>
  <si>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팀플백</t>
    </r>
  </si>
  <si>
    <t xml:space="preserve">894-86-00807</t>
  </si>
  <si>
    <t xml:space="preserve">이진희</t>
  </si>
  <si>
    <t xml:space="preserve">010-4841-4524</t>
  </si>
  <si>
    <t xml:space="preserve">www.jajakjajak.com</t>
  </si>
  <si>
    <t xml:space="preserve">teampl100@teampl100.com</t>
  </si>
  <si>
    <t xml:space="preserve">경남 창원시 의창구 평산로 33, 신화더플렉스시티 701호,702호</t>
  </si>
  <si>
    <t xml:space="preserve">학습자를 위한 사고력 및 사회 정서 역량 강화 AI 솔루션</t>
  </si>
  <si>
    <t xml:space="preserve">경영 총괄</t>
  </si>
  <si>
    <t xml:space="preserve">070-7931-4524</t>
  </si>
  <si>
    <t xml:space="preserve">010148414524</t>
  </si>
  <si>
    <t xml:space="preserve">주식회사 에스엘즈</t>
  </si>
  <si>
    <t xml:space="preserve">135-88-01642</t>
  </si>
  <si>
    <t xml:space="preserve">이유미, 정재헌</t>
  </si>
  <si>
    <t xml:space="preserve">031-5176-2435</t>
  </si>
  <si>
    <t xml:space="preserve">slz.kr</t>
  </si>
  <si>
    <t xml:space="preserve">jh.jung@slz.kr</t>
  </si>
  <si>
    <t xml:space="preserve">경기도 시흥시 서울대학로173, 교육협력동608호(배곧동, 서울대학교시흥캠퍼스)</t>
  </si>
  <si>
    <t xml:space="preserve">건설엔지니어링 자동화(스마트라우팅AI, 에이전트 Probee)</t>
  </si>
  <si>
    <t xml:space="preserve">정재헌</t>
  </si>
  <si>
    <t xml:space="preserve">본부</t>
  </si>
  <si>
    <t xml:space="preserve">010-5633-7756</t>
  </si>
  <si>
    <t xml:space="preserve">신민희</t>
  </si>
  <si>
    <t xml:space="preserve">Exclusive Office</t>
  </si>
  <si>
    <t xml:space="preserve">010-6263-0402</t>
  </si>
  <si>
    <t xml:space="preserve">minhee.shin@slz.kr</t>
  </si>
  <si>
    <t xml:space="preserve">디지털로그 테크놀로지스 주식회사</t>
  </si>
  <si>
    <t xml:space="preserve">759-86-02818</t>
  </si>
  <si>
    <t xml:space="preserve">손동규</t>
  </si>
  <si>
    <t xml:space="preserve">070-4106-4243</t>
  </si>
  <si>
    <t xml:space="preserve">www.digitalog.ai</t>
  </si>
  <si>
    <t xml:space="preserve">alexson@digitalog.ai</t>
  </si>
  <si>
    <t xml:space="preserve">서울특별시 강남구 역삼동 696-4, 세영빌딩 401호</t>
  </si>
  <si>
    <r>
      <rPr>
        <sz val="10"/>
        <rFont val="Arial"/>
        <family val="2"/>
        <charset val="1"/>
      </rPr>
      <t xml:space="preserve">AI </t>
    </r>
    <r>
      <rPr>
        <sz val="10"/>
        <rFont val="WenQuanYi Zen Hei"/>
        <family val="2"/>
      </rPr>
      <t xml:space="preserve">기반의 소셜미디어 운영 자동화 및 데이터 분석 솔루션 </t>
    </r>
    <r>
      <rPr>
        <sz val="10"/>
        <rFont val="Arial"/>
        <family val="2"/>
        <charset val="1"/>
      </rPr>
      <t xml:space="preserve">(</t>
    </r>
    <r>
      <rPr>
        <sz val="10"/>
        <rFont val="WenQuanYi Zen Hei"/>
        <family val="2"/>
      </rPr>
      <t xml:space="preserve">콘마</t>
    </r>
    <r>
      <rPr>
        <sz val="10"/>
        <rFont val="Arial"/>
        <family val="2"/>
        <charset val="1"/>
      </rPr>
      <t xml:space="preserve">, Conma)</t>
    </r>
  </si>
  <si>
    <t xml:space="preserve">대표실</t>
  </si>
  <si>
    <t xml:space="preserve">010-8645-4243</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</si>
  <si>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나스카랩</t>
    </r>
  </si>
  <si>
    <t xml:space="preserve">674-88-00677</t>
  </si>
  <si>
    <t xml:space="preserve">이원로</t>
  </si>
  <si>
    <t xml:space="preserve">1877-1171</t>
  </si>
  <si>
    <t xml:space="preserve">http://www.nascalab.com</t>
  </si>
  <si>
    <t xml:space="preserve">nascalab@gmail.com</t>
  </si>
  <si>
    <t xml:space="preserve">경기도 성남시 수정구 청계산로 686 판교반도아이비밸리 732ㅎ</t>
  </si>
  <si>
    <r>
      <rPr>
        <sz val="10"/>
        <rFont val="Arial"/>
        <family val="2"/>
        <charset val="1"/>
      </rPr>
      <t xml:space="preserve">AICC</t>
    </r>
    <r>
      <rPr>
        <sz val="10"/>
        <rFont val="WenQuanYi Zen Hei"/>
        <family val="2"/>
      </rPr>
      <t xml:space="preserve">솔루션</t>
    </r>
    <r>
      <rPr>
        <sz val="10"/>
        <rFont val="Arial"/>
        <family val="2"/>
        <charset val="1"/>
      </rPr>
      <t xml:space="preserve">(STT, </t>
    </r>
    <r>
      <rPr>
        <sz val="10"/>
        <rFont val="WenQuanYi Zen Hei"/>
        <family val="2"/>
      </rPr>
      <t xml:space="preserve">쳇봇</t>
    </r>
    <r>
      <rPr>
        <sz val="10"/>
        <rFont val="Arial"/>
        <family val="2"/>
        <charset val="1"/>
      </rPr>
      <t xml:space="preserve">, </t>
    </r>
    <r>
      <rPr>
        <sz val="10"/>
        <rFont val="WenQuanYi Zen Hei"/>
        <family val="2"/>
      </rPr>
      <t xml:space="preserve">콜봇</t>
    </r>
    <r>
      <rPr>
        <sz val="10"/>
        <rFont val="Arial"/>
        <family val="2"/>
        <charset val="1"/>
      </rPr>
      <t xml:space="preserve">) </t>
    </r>
  </si>
  <si>
    <t xml:space="preserve">010-3940-4114</t>
  </si>
  <si>
    <t xml:space="preserve">philip@nascalab.com</t>
  </si>
  <si>
    <t xml:space="preserve">이율</t>
  </si>
  <si>
    <t xml:space="preserve">연구소 </t>
  </si>
  <si>
    <t xml:space="preserve">010-5500-4385</t>
  </si>
  <si>
    <t xml:space="preserve">yool.lee@nascalab.com</t>
  </si>
  <si>
    <t xml:space="preserve"> 010-3325-5897</t>
  </si>
  <si>
    <t xml:space="preserve">주식회사 한국기업보안</t>
  </si>
  <si>
    <t xml:space="preserve">211-88-20394</t>
  </si>
  <si>
    <t xml:space="preserve">전귀선</t>
  </si>
  <si>
    <t xml:space="preserve">02-518-0030</t>
  </si>
  <si>
    <t xml:space="preserve">www.korsec.co.kr</t>
  </si>
  <si>
    <t xml:space="preserve">jgs@korsec.co.kr</t>
  </si>
  <si>
    <t xml:space="preserve">서울시 서초구 강남대로99길 53 삼우빌딩 4층</t>
  </si>
  <si>
    <t xml:space="preserve">디지털서명, CLM</t>
  </si>
  <si>
    <t xml:space="preserve">010-7766-5902</t>
  </si>
  <si>
    <t xml:space="preserve">전귀서</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</si>
  <si>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유아이티</t>
    </r>
  </si>
  <si>
    <t xml:space="preserve">105-81-90922</t>
  </si>
  <si>
    <t xml:space="preserve">김성태</t>
  </si>
  <si>
    <t xml:space="preserve">02-2051-2316</t>
  </si>
  <si>
    <t xml:space="preserve">www.uitsolutions.com</t>
  </si>
  <si>
    <t xml:space="preserve">paul.moon@uitsolutions.com</t>
  </si>
  <si>
    <t xml:space="preserve">서울특별시 서초구 사임당로 171, 10층</t>
  </si>
  <si>
    <t xml:space="preserve">모델 예측 제어(MPC)기반의 지능형 자율생산 시스템 및 제어기술 &amp; CFD 해석용 매쉬 워크플로우 자동화 에이전트</t>
  </si>
  <si>
    <t xml:space="preserve">문건혁</t>
  </si>
  <si>
    <t xml:space="preserve">010-9076-6982</t>
  </si>
  <si>
    <t xml:space="preserve">오정현</t>
  </si>
  <si>
    <t xml:space="preserve">프로</t>
  </si>
  <si>
    <t xml:space="preserve">02-2051-2318</t>
  </si>
  <si>
    <t xml:space="preserve">Owen.oh@uitsolutions.com</t>
  </si>
  <si>
    <t xml:space="preserve">010-9986-0545</t>
  </si>
  <si>
    <t xml:space="preserve">하나시스(주)</t>
  </si>
  <si>
    <t xml:space="preserve">138-81-37683</t>
  </si>
  <si>
    <t xml:space="preserve">이정용</t>
  </si>
  <si>
    <t xml:space="preserve">1800-1185</t>
  </si>
  <si>
    <t xml:space="preserve">https://www.hanasis.com</t>
  </si>
  <si>
    <t xml:space="preserve">kgy@hanasis.com</t>
  </si>
  <si>
    <t xml:space="preserve">경기도 수원시 권선구 산업로155번길 17</t>
  </si>
  <si>
    <t xml:space="preserve">HanaSSOS</t>
  </si>
  <si>
    <t xml:space="preserve">070-4732-5251</t>
  </si>
  <si>
    <t xml:space="preserve">jylee@hanasis.com</t>
  </si>
  <si>
    <t xml:space="preserve">010-5284-5892</t>
  </si>
  <si>
    <t xml:space="preserve">강규영</t>
  </si>
  <si>
    <t xml:space="preserve">010-3437-8554</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</si>
  <si>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필라테크</t>
    </r>
  </si>
  <si>
    <t xml:space="preserve">211-87-13620</t>
  </si>
  <si>
    <t xml:space="preserve">박동현</t>
  </si>
  <si>
    <t xml:space="preserve">02-3654-3654</t>
  </si>
  <si>
    <t xml:space="preserve">https://www.feelatech.com/</t>
  </si>
  <si>
    <t xml:space="preserve">choisw3421@gmail.com</t>
  </si>
  <si>
    <r>
      <rPr>
        <sz val="10"/>
        <rFont val="Arial"/>
        <family val="2"/>
        <charset val="1"/>
      </rPr>
      <t xml:space="preserve">(06099) </t>
    </r>
    <r>
      <rPr>
        <sz val="10"/>
        <rFont val="WenQuanYi Zen Hei"/>
        <family val="2"/>
      </rPr>
      <t xml:space="preserve">서울시 강남구 선릉로</t>
    </r>
    <r>
      <rPr>
        <sz val="10"/>
        <rFont val="Arial"/>
        <family val="2"/>
        <charset val="1"/>
      </rPr>
      <t xml:space="preserve">125</t>
    </r>
    <r>
      <rPr>
        <sz val="10"/>
        <rFont val="WenQuanYi Zen Hei"/>
        <family val="2"/>
      </rPr>
      <t xml:space="preserve">길 </t>
    </r>
    <r>
      <rPr>
        <sz val="10"/>
        <rFont val="Arial"/>
        <family val="2"/>
        <charset val="1"/>
      </rPr>
      <t xml:space="preserve">10, 3~5</t>
    </r>
    <r>
      <rPr>
        <sz val="10"/>
        <rFont val="WenQuanYi Zen Hei"/>
        <family val="2"/>
      </rPr>
      <t xml:space="preserve">층 </t>
    </r>
    <r>
      <rPr>
        <sz val="10"/>
        <rFont val="Arial"/>
        <family val="2"/>
        <charset val="1"/>
      </rPr>
      <t xml:space="preserve">(</t>
    </r>
    <r>
      <rPr>
        <sz val="10"/>
        <rFont val="WenQuanYi Zen Hei"/>
        <family val="2"/>
      </rPr>
      <t xml:space="preserve">논현동 </t>
    </r>
    <r>
      <rPr>
        <sz val="10"/>
        <rFont val="Arial"/>
        <family val="2"/>
        <charset val="1"/>
      </rPr>
      <t xml:space="preserve">242-43 </t>
    </r>
    <r>
      <rPr>
        <sz val="10"/>
        <rFont val="WenQuanYi Zen Hei"/>
        <family val="2"/>
      </rPr>
      <t xml:space="preserve">수창빌딩</t>
    </r>
    <r>
      <rPr>
        <sz val="10"/>
        <rFont val="Arial"/>
        <family val="2"/>
        <charset val="1"/>
      </rPr>
      <t xml:space="preserve">) </t>
    </r>
  </si>
  <si>
    <r>
      <rPr>
        <sz val="10"/>
        <rFont val="Arial"/>
        <family val="2"/>
        <charset val="1"/>
      </rPr>
      <t xml:space="preserve">HPE Private Cloud AI, AI </t>
    </r>
    <r>
      <rPr>
        <sz val="10"/>
        <rFont val="WenQuanYi Zen Hei"/>
        <family val="2"/>
      </rPr>
      <t xml:space="preserve">인프라 설계 및 구축</t>
    </r>
  </si>
  <si>
    <t xml:space="preserve">최성원</t>
  </si>
  <si>
    <t xml:space="preserve">인프라사업본부</t>
  </si>
  <si>
    <t xml:space="preserve">이사 / 본부장</t>
  </si>
  <si>
    <t xml:space="preserve">swchoi@feelatech.com</t>
  </si>
  <si>
    <t xml:space="preserve">010-2500-3421</t>
  </si>
  <si>
    <t xml:space="preserve">신민철</t>
  </si>
  <si>
    <t xml:space="preserve">인프라사업본부/시스템사업팀</t>
  </si>
  <si>
    <t xml:space="preserve">부장/팀장</t>
  </si>
  <si>
    <t xml:space="preserve">shinmc@feelatech.com</t>
  </si>
  <si>
    <t xml:space="preserve">010-2898-6521</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</si>
  <si>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스틸리언</t>
    </r>
  </si>
  <si>
    <t xml:space="preserve">217-81-45017</t>
  </si>
  <si>
    <t xml:space="preserve">박찬암</t>
  </si>
  <si>
    <t xml:space="preserve">02-2038-4792</t>
  </si>
  <si>
    <t xml:space="preserve">http://www.stealien.com/</t>
  </si>
  <si>
    <t xml:space="preserve">yycho@stealien.com</t>
  </si>
  <si>
    <t xml:space="preserve">서울 용산구 원효로90길 11 더프라임타워 업무동 12층</t>
  </si>
  <si>
    <t xml:space="preserve">모바일 앱 보안 솔루션 보유(앱수트)</t>
  </si>
  <si>
    <t xml:space="preserve">손주환</t>
  </si>
  <si>
    <t xml:space="preserve">jhson@stealien.com</t>
  </si>
  <si>
    <t xml:space="preserve">010-2006-1673</t>
  </si>
  <si>
    <t xml:space="preserve">신현종</t>
  </si>
  <si>
    <t xml:space="preserve">연구과제팀</t>
  </si>
  <si>
    <t xml:space="preserve">책임연구</t>
  </si>
  <si>
    <t xml:space="preserve">hjshin2@stealien.com</t>
  </si>
  <si>
    <t xml:space="preserve">010-9853-7712</t>
  </si>
  <si>
    <t xml:space="preserve">엘에스웨어(주)</t>
  </si>
  <si>
    <t xml:space="preserve">113-81-96801</t>
  </si>
  <si>
    <t xml:space="preserve">김민수 대표이사</t>
  </si>
  <si>
    <t xml:space="preserve">02-6919-0321</t>
  </si>
  <si>
    <t xml:space="preserve">www.lsware.co.kr</t>
  </si>
  <si>
    <t xml:space="preserve">klaatu73@gmail.com</t>
  </si>
  <si>
    <t xml:space="preserve">서울시 금천구 서부샛길 606 대성디폴리스A동18층 엘에스웨어</t>
  </si>
  <si>
    <t xml:space="preserve">보안솔루션/오픈소스컴플라이언스/블록체인/저작권보호</t>
  </si>
  <si>
    <t xml:space="preserve">신동명</t>
  </si>
  <si>
    <t xml:space="preserve">연구개발본부</t>
  </si>
  <si>
    <t xml:space="preserve">전무/본부장</t>
  </si>
  <si>
    <t xml:space="preserve">roland@lsware.co.kr</t>
  </si>
  <si>
    <t xml:space="preserve">010-2466-4983</t>
  </si>
  <si>
    <t xml:space="preserve">조용준</t>
  </si>
  <si>
    <t xml:space="preserve">이사/수석</t>
  </si>
  <si>
    <t xml:space="preserve">eugene@lsware.co.kr</t>
  </si>
  <si>
    <t xml:space="preserve">010-9587-7283</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</si>
  <si>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글로비트</t>
    </r>
  </si>
  <si>
    <t xml:space="preserve">616-81-92018</t>
  </si>
  <si>
    <t xml:space="preserve">김형수</t>
  </si>
  <si>
    <t xml:space="preserve">064-727-9106</t>
  </si>
  <si>
    <t xml:space="preserve">https://www.globit.co.kr/</t>
  </si>
  <si>
    <t xml:space="preserve">ekstasis00@gmail.com</t>
  </si>
  <si>
    <t xml:space="preserve">제주특별자치도 제주시 중앙로 175, 3층</t>
  </si>
  <si>
    <r>
      <rPr>
        <sz val="10"/>
        <rFont val="Arial"/>
        <family val="2"/>
        <charset val="1"/>
      </rPr>
      <t xml:space="preserve">AI </t>
    </r>
    <r>
      <rPr>
        <sz val="10"/>
        <rFont val="WenQuanYi Zen Hei"/>
        <family val="2"/>
      </rPr>
      <t xml:space="preserve">지능형 스마트양식 플랫폼</t>
    </r>
  </si>
  <si>
    <t xml:space="preserve">hskim@gbit.kr</t>
  </si>
  <si>
    <t xml:space="preserve">010-8713-9872</t>
  </si>
  <si>
    <t xml:space="preserve">지동우</t>
  </si>
  <si>
    <t xml:space="preserve">혁신본부</t>
  </si>
  <si>
    <t xml:space="preserve">이사/본부장</t>
  </si>
  <si>
    <t xml:space="preserve">dwjee@gbit.kr</t>
  </si>
  <si>
    <t xml:space="preserve">010-2981-6386</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</si>
  <si>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디윅스</t>
    </r>
  </si>
  <si>
    <t xml:space="preserve">815-87-02319</t>
  </si>
  <si>
    <t xml:space="preserve">안준형</t>
  </si>
  <si>
    <t xml:space="preserve">02-6265-6900</t>
  </si>
  <si>
    <t xml:space="preserve">https://www.dweax.co.kr/</t>
  </si>
  <si>
    <t xml:space="preserve">dweaxspx@gmail.com</t>
  </si>
  <si>
    <t xml:space="preserve">서울시 강남구 선릉로94길 12 세웅타워 7층</t>
  </si>
  <si>
    <t xml:space="preserve">온톨로지 기반 기업형 Agentic AI, 제품[WEA Flow v2.0]</t>
  </si>
  <si>
    <t xml:space="preserve">ahnjunhyung@dweax.com</t>
  </si>
  <si>
    <t xml:space="preserve">010-9075-6900</t>
  </si>
  <si>
    <t xml:space="preserve">신재홍</t>
  </si>
  <si>
    <r>
      <rPr>
        <sz val="10"/>
        <rFont val="Arial"/>
        <family val="2"/>
        <charset val="1"/>
      </rPr>
      <t xml:space="preserve">SPX</t>
    </r>
    <r>
      <rPr>
        <sz val="10"/>
        <rFont val="WenQuanYi Zen Hei"/>
        <family val="2"/>
      </rPr>
      <t xml:space="preserve">본부</t>
    </r>
  </si>
  <si>
    <t xml:space="preserve">tilip@dweax.com</t>
  </si>
  <si>
    <t xml:space="preserve">010-8437-9937</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</si>
  <si>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제이앤피메디</t>
    </r>
  </si>
  <si>
    <t xml:space="preserve">258-86-01830</t>
  </si>
  <si>
    <t xml:space="preserve">정권호</t>
  </si>
  <si>
    <t xml:space="preserve">1668-0774</t>
  </si>
  <si>
    <t xml:space="preserve">www.jnpmedi.com</t>
  </si>
  <si>
    <t xml:space="preserve">jh.park@jnpmedi.com</t>
  </si>
  <si>
    <t xml:space="preserve">인천시 연수구 컨벤시아대로 165, 포스코타워 31층</t>
  </si>
  <si>
    <t xml:space="preserve">Maven Clinical Cloud</t>
  </si>
  <si>
    <t xml:space="preserve">이재현</t>
  </si>
  <si>
    <t xml:space="preserve">CEO Office</t>
  </si>
  <si>
    <t xml:space="preserve">Chief of Staff</t>
  </si>
  <si>
    <t xml:space="preserve">010-4641-5928</t>
  </si>
  <si>
    <t xml:space="preserve">jh.lee@jnpmedi.com</t>
  </si>
  <si>
    <t xml:space="preserve">박종현</t>
  </si>
  <si>
    <t xml:space="preserve">CEO Staff</t>
  </si>
  <si>
    <t xml:space="preserve">010-4586-2460</t>
  </si>
  <si>
    <t xml:space="preserve">아이디비(주)</t>
  </si>
  <si>
    <t xml:space="preserve">521-88-01858</t>
  </si>
  <si>
    <t xml:space="preserve">민보경</t>
  </si>
  <si>
    <t xml:space="preserve">070-4388-7030</t>
  </si>
  <si>
    <t xml:space="preserve">https://idb.ai</t>
  </si>
  <si>
    <t xml:space="preserve">bkmin77@gmail.com</t>
  </si>
  <si>
    <t xml:space="preserve">서울시 강남구 테헤란로 33길 35 펠릭스 빌딩 2층 </t>
  </si>
  <si>
    <r>
      <rPr>
        <sz val="10"/>
        <rFont val="Arial"/>
        <family val="2"/>
        <charset val="1"/>
      </rPr>
      <t xml:space="preserve">Protect Go AI (AIOps, </t>
    </r>
    <r>
      <rPr>
        <sz val="10"/>
        <rFont val="WenQuanYi Zen Hei"/>
        <family val="2"/>
      </rPr>
      <t xml:space="preserve">설비 예지보전</t>
    </r>
    <r>
      <rPr>
        <sz val="10"/>
        <rFont val="Arial"/>
        <family val="2"/>
        <charset val="1"/>
      </rPr>
      <t xml:space="preserve">, </t>
    </r>
    <r>
      <rPr>
        <sz val="10"/>
        <rFont val="WenQuanYi Zen Hei"/>
        <family val="2"/>
      </rPr>
      <t xml:space="preserve">공정분석</t>
    </r>
    <r>
      <rPr>
        <sz val="10"/>
        <rFont val="Arial"/>
        <family val="2"/>
        <charset val="1"/>
      </rPr>
      <t xml:space="preserve">, </t>
    </r>
    <r>
      <rPr>
        <sz val="10"/>
        <rFont val="WenQuanYi Zen Hei"/>
        <family val="2"/>
      </rPr>
      <t xml:space="preserve">운영 최적화</t>
    </r>
    <r>
      <rPr>
        <sz val="10"/>
        <rFont val="Arial"/>
        <family val="2"/>
        <charset val="1"/>
      </rPr>
      <t xml:space="preserve">, </t>
    </r>
    <r>
      <rPr>
        <sz val="10"/>
        <rFont val="WenQuanYi Zen Hei"/>
        <family val="2"/>
      </rPr>
      <t xml:space="preserve">안전 위험 탐지</t>
    </r>
    <r>
      <rPr>
        <sz val="10"/>
        <rFont val="Arial"/>
        <family val="2"/>
        <charset val="1"/>
      </rPr>
      <t xml:space="preserve">)</t>
    </r>
  </si>
  <si>
    <r>
      <rPr>
        <sz val="10"/>
        <rFont val="Arial"/>
        <family val="2"/>
        <charset val="1"/>
      </rPr>
      <t xml:space="preserve">AI</t>
    </r>
    <r>
      <rPr>
        <sz val="10"/>
        <rFont val="WenQuanYi Zen Hei"/>
        <family val="2"/>
      </rPr>
      <t xml:space="preserve">팀</t>
    </r>
  </si>
  <si>
    <t xml:space="preserve">bkmin@idb.ai</t>
  </si>
  <si>
    <t xml:space="preserve">010-7255-7030</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</si>
  <si>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메사쿠어컴퍼니</t>
    </r>
  </si>
  <si>
    <t xml:space="preserve">179-88-01680</t>
  </si>
  <si>
    <t xml:space="preserve">이지훈</t>
  </si>
  <si>
    <t xml:space="preserve">02-6743-0011</t>
  </si>
  <si>
    <t xml:space="preserve">www.metsakuur.com</t>
  </si>
  <si>
    <t xml:space="preserve">dhkang@metsakuur.com</t>
  </si>
  <si>
    <t xml:space="preserve">서울시 강남구 언주로136길 15-3</t>
  </si>
  <si>
    <r>
      <rPr>
        <sz val="10"/>
        <rFont val="Arial"/>
        <family val="2"/>
        <charset val="1"/>
      </rPr>
      <t xml:space="preserve">Vision AI </t>
    </r>
    <r>
      <rPr>
        <sz val="10"/>
        <rFont val="WenQuanYi Zen Hei"/>
        <family val="2"/>
      </rPr>
      <t xml:space="preserve">기반 안면인식</t>
    </r>
    <r>
      <rPr>
        <sz val="10"/>
        <rFont val="Arial"/>
        <family val="2"/>
        <charset val="1"/>
      </rPr>
      <t xml:space="preserve">, </t>
    </r>
    <r>
      <rPr>
        <sz val="10"/>
        <rFont val="WenQuanYi Zen Hei"/>
        <family val="2"/>
      </rPr>
      <t xml:space="preserve">사물인식 솔루션</t>
    </r>
    <r>
      <rPr>
        <sz val="10"/>
        <rFont val="Arial"/>
        <family val="2"/>
        <charset val="1"/>
      </rPr>
      <t xml:space="preserve">(UFACE)</t>
    </r>
  </si>
  <si>
    <t xml:space="preserve">윤호식</t>
  </si>
  <si>
    <t xml:space="preserve">010-5698-4381</t>
  </si>
  <si>
    <t xml:space="preserve">hsyoon@metsakuur.com</t>
  </si>
  <si>
    <t xml:space="preserve">지승훈</t>
  </si>
  <si>
    <t xml:space="preserve">기술위원회</t>
  </si>
  <si>
    <t xml:space="preserve">010-7655-1340</t>
  </si>
  <si>
    <t xml:space="preserve">shjee@metsakuur.com</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</si>
  <si>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라온로드</t>
    </r>
  </si>
  <si>
    <t xml:space="preserve">288-81-02683</t>
  </si>
  <si>
    <t xml:space="preserve">이석중</t>
  </si>
  <si>
    <t xml:space="preserve">02-507-8207</t>
  </si>
  <si>
    <t xml:space="preserve">https://www.laonroad.com/</t>
  </si>
  <si>
    <t xml:space="preserve">laonload0903@gmail.com</t>
  </si>
  <si>
    <t xml:space="preserve">경기도 과천시 과천대로7나길 60, C동 5층 505호(갈현동, 과천어반허브)</t>
  </si>
  <si>
    <r>
      <rPr>
        <sz val="10"/>
        <rFont val="Arial"/>
        <family val="2"/>
        <charset val="1"/>
      </rPr>
      <t xml:space="preserve">AI</t>
    </r>
    <r>
      <rPr>
        <sz val="10"/>
        <rFont val="WenQuanYi Zen Hei"/>
        <family val="2"/>
      </rPr>
      <t xml:space="preserve">영상분석</t>
    </r>
    <r>
      <rPr>
        <sz val="10"/>
        <rFont val="Arial"/>
        <family val="2"/>
        <charset val="1"/>
      </rPr>
      <t xml:space="preserve">, AI </t>
    </r>
    <r>
      <rPr>
        <sz val="10"/>
        <rFont val="WenQuanYi Zen Hei"/>
        <family val="2"/>
      </rPr>
      <t xml:space="preserve">교통관제시스템</t>
    </r>
    <r>
      <rPr>
        <sz val="10"/>
        <rFont val="Arial"/>
        <family val="2"/>
        <charset val="1"/>
      </rPr>
      <t xml:space="preserve">, </t>
    </r>
    <r>
      <rPr>
        <sz val="10"/>
        <rFont val="WenQuanYi Zen Hei"/>
        <family val="2"/>
      </rPr>
      <t xml:space="preserve">온디바이스 </t>
    </r>
    <r>
      <rPr>
        <sz val="10"/>
        <rFont val="Arial"/>
        <family val="2"/>
        <charset val="1"/>
      </rPr>
      <t xml:space="preserve">AI </t>
    </r>
    <r>
      <rPr>
        <sz val="10"/>
        <rFont val="WenQuanYi Zen Hei"/>
        <family val="2"/>
      </rPr>
      <t xml:space="preserve">솔루션 등</t>
    </r>
  </si>
  <si>
    <t xml:space="preserve">강병기</t>
  </si>
  <si>
    <t xml:space="preserve">라온로드</t>
  </si>
  <si>
    <r>
      <rPr>
        <sz val="10"/>
        <rFont val="Arial"/>
        <family val="2"/>
        <charset val="1"/>
      </rPr>
      <t xml:space="preserve">COO/</t>
    </r>
    <r>
      <rPr>
        <sz val="10"/>
        <rFont val="WenQuanYi Zen Hei"/>
        <family val="2"/>
      </rPr>
      <t xml:space="preserve">부사장</t>
    </r>
  </si>
  <si>
    <t xml:space="preserve">010-8998-4507</t>
  </si>
  <si>
    <t xml:space="preserve">bk.kang@laonroad.com</t>
  </si>
  <si>
    <t xml:space="preserve">함재식</t>
  </si>
  <si>
    <r>
      <rPr>
        <sz val="10"/>
        <rFont val="Arial"/>
        <family val="2"/>
        <charset val="1"/>
      </rPr>
      <t xml:space="preserve">AI</t>
    </r>
    <r>
      <rPr>
        <sz val="10"/>
        <rFont val="WenQuanYi Zen Hei"/>
        <family val="2"/>
      </rPr>
      <t xml:space="preserve">사업팀</t>
    </r>
  </si>
  <si>
    <t xml:space="preserve">010-3066-4604</t>
  </si>
  <si>
    <t xml:space="preserve">jsham@laonroad.com</t>
  </si>
  <si>
    <t xml:space="preserve">퍼스널에이아이 주식회사</t>
  </si>
  <si>
    <t xml:space="preserve">889-87-01698</t>
  </si>
  <si>
    <t xml:space="preserve">이재영</t>
  </si>
  <si>
    <t xml:space="preserve">02-2038-2511</t>
  </si>
  <si>
    <t xml:space="preserve">www.personalai.so</t>
  </si>
  <si>
    <t xml:space="preserve">chungampark@personalai.so</t>
  </si>
  <si>
    <t xml:space="preserve">서울특별시 송파구 중대로 135, 서관 10층 1003호 (IT벤처타워)</t>
  </si>
  <si>
    <t xml:space="preserve">마이디 : 온디바이스 연합학습 기반으로 데이터 유출 없이 초개인화 인공지능 서비스를 구현하는 통합 마이데이터 플랫폼</t>
  </si>
  <si>
    <t xml:space="preserve">010-2158-2235</t>
  </si>
  <si>
    <t xml:space="preserve">michael.lee@personalai.so</t>
  </si>
  <si>
    <t xml:space="preserve">010-6856-2235</t>
  </si>
  <si>
    <t xml:space="preserve">오정암</t>
  </si>
  <si>
    <t xml:space="preserve">경영기획실</t>
  </si>
  <si>
    <t xml:space="preserve">david@personalai.so</t>
  </si>
  <si>
    <t xml:space="preserve">010-8905-5499</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</si>
  <si>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에이알테크놀로지</t>
    </r>
  </si>
  <si>
    <t xml:space="preserve">314-81-32827</t>
  </si>
  <si>
    <t xml:space="preserve">박광량</t>
  </si>
  <si>
    <t xml:space="preserve">042-863-6030</t>
  </si>
  <si>
    <t xml:space="preserve">www.i-art.co.kr</t>
  </si>
  <si>
    <t xml:space="preserve">hnyear65@gmail.com</t>
  </si>
  <si>
    <t xml:space="preserve">대전시 서구 한밭대로 745, 12층 에이알테크놀로지</t>
  </si>
  <si>
    <t xml:space="preserve">응용소프트웨어 개발 </t>
  </si>
  <si>
    <t xml:space="preserve">이수열</t>
  </si>
  <si>
    <t xml:space="preserve">joseph@i-art.co.kr</t>
  </si>
  <si>
    <t xml:space="preserve">010-4417-4155</t>
  </si>
  <si>
    <t xml:space="preserve">유지호</t>
  </si>
  <si>
    <t xml:space="preserve">개발</t>
  </si>
  <si>
    <t xml:space="preserve">yjh8903@i-art.co.kr</t>
  </si>
  <si>
    <t xml:space="preserve">010-3435-8903</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</si>
  <si>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인텔리빅스</t>
    </r>
  </si>
  <si>
    <t xml:space="preserve">114-81-99927</t>
  </si>
  <si>
    <t xml:space="preserve">장정훈,최은수</t>
  </si>
  <si>
    <t xml:space="preserve">02-581-3883</t>
  </si>
  <si>
    <t xml:space="preserve">www.intellivix.ai</t>
  </si>
  <si>
    <t xml:space="preserve">hyunji5340@gmail.com</t>
  </si>
  <si>
    <t xml:space="preserve">서울시 서초구 효령로 34길4, 6층</t>
  </si>
  <si>
    <r>
      <rPr>
        <sz val="10"/>
        <rFont val="Arial"/>
        <family val="2"/>
        <charset val="1"/>
      </rPr>
      <t xml:space="preserve">Vision AI </t>
    </r>
    <r>
      <rPr>
        <sz val="10"/>
        <rFont val="WenQuanYi Zen Hei"/>
        <family val="2"/>
      </rPr>
      <t xml:space="preserve">영상분석 </t>
    </r>
    <r>
      <rPr>
        <sz val="10"/>
        <rFont val="Arial"/>
        <family val="2"/>
        <charset val="1"/>
      </rPr>
      <t xml:space="preserve">SW</t>
    </r>
    <r>
      <rPr>
        <sz val="10"/>
        <rFont val="WenQuanYi Zen Hei"/>
        <family val="2"/>
      </rPr>
      <t xml:space="preserve">솔루션</t>
    </r>
    <r>
      <rPr>
        <sz val="10"/>
        <rFont val="Arial"/>
        <family val="2"/>
        <charset val="1"/>
      </rPr>
      <t xml:space="preserve">, </t>
    </r>
    <r>
      <rPr>
        <sz val="10"/>
        <rFont val="WenQuanYi Zen Hei"/>
        <family val="2"/>
      </rPr>
      <t xml:space="preserve">생성형</t>
    </r>
    <r>
      <rPr>
        <sz val="10"/>
        <rFont val="Arial"/>
        <family val="2"/>
        <charset val="1"/>
      </rPr>
      <t xml:space="preserve">AI</t>
    </r>
    <r>
      <rPr>
        <sz val="10"/>
        <rFont val="WenQuanYi Zen Hei"/>
        <family val="2"/>
      </rPr>
      <t xml:space="preserve">기반 영상관제 플랫폼</t>
    </r>
    <r>
      <rPr>
        <sz val="10"/>
        <rFont val="Arial"/>
        <family val="2"/>
        <charset val="1"/>
      </rPr>
      <t xml:space="preserve">, GenAMS, VIXallcam, VIXONE </t>
    </r>
    <r>
      <rPr>
        <sz val="10"/>
        <rFont val="WenQuanYi Zen Hei"/>
        <family val="2"/>
      </rPr>
      <t xml:space="preserve">등</t>
    </r>
  </si>
  <si>
    <t xml:space="preserve">최은수</t>
  </si>
  <si>
    <t xml:space="preserve">ceo@intellivix.ai</t>
  </si>
  <si>
    <t xml:space="preserve">010-5273-0209</t>
  </si>
  <si>
    <t xml:space="preserve">최준호</t>
  </si>
  <si>
    <r>
      <rPr>
        <sz val="10"/>
        <rFont val="Arial"/>
        <family val="2"/>
        <charset val="1"/>
      </rPr>
      <t xml:space="preserve">AI</t>
    </r>
    <r>
      <rPr>
        <sz val="10"/>
        <rFont val="WenQuanYi Zen Hei"/>
        <family val="2"/>
      </rPr>
      <t xml:space="preserve">연구소</t>
    </r>
  </si>
  <si>
    <t xml:space="preserve">jhchoi@intellivix.ai</t>
  </si>
  <si>
    <t xml:space="preserve">010-4763-9808</t>
  </si>
  <si>
    <t xml:space="preserve">메타빌드(주)</t>
  </si>
  <si>
    <t xml:space="preserve">214-86-27387</t>
  </si>
  <si>
    <t xml:space="preserve">조풍연</t>
  </si>
  <si>
    <t xml:space="preserve">02-598-3327</t>
  </si>
  <si>
    <t xml:space="preserve">https://www.metabuild.co.kr</t>
  </si>
  <si>
    <t xml:space="preserve">kangtak.oh@gmail.com</t>
  </si>
  <si>
    <t xml:space="preserve">서울특별시 서초구 서초중앙로 62 메타빌드 빌딩</t>
  </si>
  <si>
    <r>
      <rPr>
        <sz val="10"/>
        <rFont val="Arial"/>
        <family val="2"/>
        <charset val="1"/>
      </rPr>
      <t xml:space="preserve">AX</t>
    </r>
    <r>
      <rPr>
        <sz val="10"/>
        <rFont val="WenQuanYi Zen Hei"/>
        <family val="2"/>
      </rPr>
      <t xml:space="preserve">플랫폼</t>
    </r>
    <r>
      <rPr>
        <sz val="10"/>
        <rFont val="Arial"/>
        <family val="2"/>
        <charset val="1"/>
      </rPr>
      <t xml:space="preserve">, AI</t>
    </r>
    <r>
      <rPr>
        <sz val="10"/>
        <rFont val="WenQuanYi Zen Hei"/>
        <family val="2"/>
      </rPr>
      <t xml:space="preserve">연계미들웨어</t>
    </r>
    <r>
      <rPr>
        <sz val="10"/>
        <rFont val="Arial"/>
        <family val="2"/>
        <charset val="1"/>
      </rPr>
      <t xml:space="preserve">, </t>
    </r>
    <r>
      <rPr>
        <sz val="10"/>
        <rFont val="WenQuanYi Zen Hei"/>
        <family val="2"/>
      </rPr>
      <t xml:space="preserve">디지턹트윈</t>
    </r>
    <r>
      <rPr>
        <sz val="10"/>
        <rFont val="Arial"/>
        <family val="2"/>
        <charset val="1"/>
      </rPr>
      <t xml:space="preserve">/</t>
    </r>
    <r>
      <rPr>
        <sz val="10"/>
        <rFont val="WenQuanYi Zen Hei"/>
        <family val="2"/>
      </rPr>
      <t xml:space="preserve">휴먼</t>
    </r>
  </si>
  <si>
    <t xml:space="preserve">오강탁</t>
  </si>
  <si>
    <t xml:space="preserve">사업전략/제안본부</t>
  </si>
  <si>
    <t xml:space="preserve">전무/총괄 본부장</t>
  </si>
  <si>
    <t xml:space="preserve">010-2742-5050</t>
  </si>
  <si>
    <t xml:space="preserve">okt@metabuild.co.kr</t>
  </si>
  <si>
    <t xml:space="preserve">이지선</t>
  </si>
  <si>
    <t xml:space="preserve">매니저/팀장</t>
  </si>
  <si>
    <t xml:space="preserve">010-5155-8299</t>
  </si>
  <si>
    <t xml:space="preserve">jisun7lee@metabuild.co.kr</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</si>
  <si>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비인텍</t>
    </r>
  </si>
  <si>
    <t xml:space="preserve">211-87-29587</t>
  </si>
  <si>
    <t xml:space="preserve">장성학</t>
  </si>
  <si>
    <t xml:space="preserve">02-2109-6450</t>
  </si>
  <si>
    <t xml:space="preserve">https://www.beintech.co.kr/</t>
  </si>
  <si>
    <t xml:space="preserve">dudal3144@gmail.com</t>
  </si>
  <si>
    <t xml:space="preserve">서울 구로구 디지털로 273 에이스트윈타원 2차 1301호</t>
  </si>
  <si>
    <t xml:space="preserve">법제 업무 도메인, 솔루션 바로룰</t>
  </si>
  <si>
    <t xml:space="preserve">송일형</t>
  </si>
  <si>
    <t xml:space="preserve">경영지원부</t>
  </si>
  <si>
    <t xml:space="preserve">전무</t>
  </si>
  <si>
    <t xml:space="preserve">010-5273-1469</t>
  </si>
  <si>
    <t xml:space="preserve">ihsong@beintech.co.kr</t>
  </si>
  <si>
    <t xml:space="preserve">김영미</t>
  </si>
  <si>
    <t xml:space="preserve">사업개발팀</t>
  </si>
  <si>
    <t xml:space="preserve">010-9316-3144</t>
  </si>
  <si>
    <t xml:space="preserve">ymkim@beintech.co.kr</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</si>
  <si>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데이콘인피니티</t>
    </r>
  </si>
  <si>
    <t xml:space="preserve">803-81-01557</t>
  </si>
  <si>
    <t xml:space="preserve">이장호</t>
  </si>
  <si>
    <t xml:space="preserve">02-780-1813</t>
  </si>
  <si>
    <t xml:space="preserve">www.dacon.kr</t>
  </si>
  <si>
    <t xml:space="preserve">daconinfinity@gmail.com</t>
  </si>
  <si>
    <t xml:space="preserve">서울특별시 영등포구 문래북로 116, 703,704호</t>
  </si>
  <si>
    <t xml:space="preserve">데이터 생명주기 기반 AI·데이터 플랫폼(Dflex,Mflex,Aflex)과 데이터 통합·거버넌스·AI분석·예측·추천 기술을 기반으로 빅데이터·AI 플랫폼 구축 서비스를 제공</t>
  </si>
  <si>
    <t xml:space="preserve">조현오</t>
  </si>
  <si>
    <t xml:space="preserve">솔루션본부</t>
  </si>
  <si>
    <t xml:space="preserve">mis@dacon.kr</t>
  </si>
  <si>
    <t xml:space="preserve">010-5521-5941</t>
  </si>
  <si>
    <t xml:space="preserve">이삼희</t>
  </si>
  <si>
    <t xml:space="preserve">선임</t>
  </si>
  <si>
    <t xml:space="preserve">sh.lee@dacon.kr</t>
  </si>
  <si>
    <t xml:space="preserve">010-8353-1932</t>
  </si>
  <si>
    <t xml:space="preserve">주식회사 매쓰에이아이</t>
  </si>
  <si>
    <t xml:space="preserve">789-86-01654</t>
  </si>
  <si>
    <t xml:space="preserve">허준</t>
  </si>
  <si>
    <t xml:space="preserve">070-7772-4643</t>
  </si>
  <si>
    <t xml:space="preserve">https://mathaix.com/</t>
  </si>
  <si>
    <t xml:space="preserve">sebbang@maiclass.com</t>
  </si>
  <si>
    <t xml:space="preserve">경기도 성남시 수정구 달래내로 46, A동 404호</t>
  </si>
  <si>
    <t xml:space="preserve">산업현장 다국어 번역 서비스, 청소년 대상 생성형AI</t>
  </si>
  <si>
    <t xml:space="preserve">경영관리팀</t>
  </si>
  <si>
    <t xml:space="preserve">heojoon@maiclass.com</t>
  </si>
  <si>
    <t xml:space="preserve">010-3543-4643</t>
  </si>
  <si>
    <t xml:space="preserve">박세영</t>
  </si>
  <si>
    <t xml:space="preserve">운영지원팀</t>
  </si>
  <si>
    <t xml:space="preserve">010-8810-9348</t>
  </si>
  <si>
    <t xml:space="preserve">주식회사 로이드케이</t>
  </si>
  <si>
    <t xml:space="preserve">120-87-67951</t>
  </si>
  <si>
    <t xml:space="preserve">김대훈</t>
  </si>
  <si>
    <t xml:space="preserve">031-8039-5171</t>
  </si>
  <si>
    <t xml:space="preserve">https://lloydk.co.kr</t>
  </si>
  <si>
    <t xml:space="preserve">yooksy8@gmail.com</t>
  </si>
  <si>
    <t xml:space="preserve">경기도 성남시 수정구 위례서일로 6 우대빌딩 4층</t>
  </si>
  <si>
    <t xml:space="preserve">DO Solution</t>
  </si>
  <si>
    <t xml:space="preserve">010-8978-1954</t>
  </si>
  <si>
    <t xml:space="preserve">david@lloydk.co.kr</t>
  </si>
  <si>
    <t xml:space="preserve">황광태</t>
  </si>
  <si>
    <t xml:space="preserve">커뮤니케이션팀</t>
  </si>
  <si>
    <t xml:space="preserve">010-7623-2507</t>
  </si>
  <si>
    <t xml:space="preserve">simon.hwang@lloydk.co.kr</t>
  </si>
  <si>
    <t xml:space="preserve">㈜다비오</t>
  </si>
  <si>
    <t xml:space="preserve">105-87-68437</t>
  </si>
  <si>
    <t xml:space="preserve">박주흠</t>
  </si>
  <si>
    <t xml:space="preserve">02-6376-0101</t>
  </si>
  <si>
    <t xml:space="preserve">https://dabeeo.com/</t>
  </si>
  <si>
    <t xml:space="preserve">joohyeon.kim@dabeeo.com</t>
  </si>
  <si>
    <t xml:space="preserve">서울시 마포구 마포대로 144, 8층 (공덕동, 마포T타운)</t>
  </si>
  <si>
    <r>
      <rPr>
        <sz val="10"/>
        <rFont val="Arial"/>
        <family val="2"/>
        <charset val="1"/>
      </rPr>
      <t xml:space="preserve">Dabeeo Eartheye(</t>
    </r>
    <r>
      <rPr>
        <sz val="10"/>
        <rFont val="WenQuanYi Zen Hei"/>
        <family val="2"/>
      </rPr>
      <t xml:space="preserve">다비오 어스아이</t>
    </r>
    <r>
      <rPr>
        <sz val="10"/>
        <rFont val="Arial"/>
        <family val="2"/>
        <charset val="1"/>
      </rPr>
      <t xml:space="preserve">)</t>
    </r>
  </si>
  <si>
    <t xml:space="preserve">박인준</t>
  </si>
  <si>
    <t xml:space="preserve">사업전략그룹</t>
  </si>
  <si>
    <t xml:space="preserve">이사/사업전략그룹장</t>
  </si>
  <si>
    <t xml:space="preserve">injun.park@dabeeo.com</t>
  </si>
  <si>
    <t xml:space="preserve">010-5185-3980</t>
  </si>
  <si>
    <t xml:space="preserve">김주현</t>
  </si>
  <si>
    <t xml:space="preserve">사업기획팀</t>
  </si>
  <si>
    <t xml:space="preserve">책임</t>
  </si>
  <si>
    <t xml:space="preserve">team_biz-plan@dabeeo.com</t>
  </si>
  <si>
    <t xml:space="preserve">010-9974-6385</t>
  </si>
  <si>
    <t xml:space="preserve">주식회사 라피치</t>
  </si>
  <si>
    <t xml:space="preserve">220-87-18861</t>
  </si>
  <si>
    <t xml:space="preserve">김경회</t>
  </si>
  <si>
    <t xml:space="preserve">02-3420-9114</t>
  </si>
  <si>
    <t xml:space="preserve">www.rapeech.com</t>
  </si>
  <si>
    <t xml:space="preserve">uin.choi@rapeech.com</t>
  </si>
  <si>
    <t xml:space="preserve">서울특별시 강남구 도곡로8길 6 지호빌딩 3층</t>
  </si>
  <si>
    <t xml:space="preserve">Conversatioanl AI Service</t>
  </si>
  <si>
    <t xml:space="preserve">대효이사</t>
  </si>
  <si>
    <t xml:space="preserve">kyunghoi.kim@rapeech.com</t>
  </si>
  <si>
    <t xml:space="preserve">010-5540-2408</t>
  </si>
  <si>
    <t xml:space="preserve">최우인</t>
  </si>
  <si>
    <t xml:space="preserve">경영관리실</t>
  </si>
  <si>
    <t xml:space="preserve">과장</t>
  </si>
  <si>
    <t xml:space="preserve">010-9915-0294</t>
  </si>
  <si>
    <t xml:space="preserve">주식회사 씨앤에이아이</t>
  </si>
  <si>
    <t xml:space="preserve">231-81-10834</t>
  </si>
  <si>
    <t xml:space="preserve">장광호</t>
  </si>
  <si>
    <t xml:space="preserve">02-2088-1216</t>
  </si>
  <si>
    <t xml:space="preserve">https://www.cnai.ai/</t>
  </si>
  <si>
    <t xml:space="preserve">iy9290@gmail.com</t>
  </si>
  <si>
    <t xml:space="preserve">서울 강서구 마곡중앙14로 38 4층</t>
  </si>
  <si>
    <r>
      <rPr>
        <sz val="10"/>
        <rFont val="Arial"/>
        <family val="2"/>
        <charset val="1"/>
      </rPr>
      <t xml:space="preserve">AI Human (</t>
    </r>
    <r>
      <rPr>
        <sz val="10"/>
        <rFont val="WenQuanYi Zen Hei"/>
        <family val="2"/>
      </rPr>
      <t xml:space="preserve">솔루션</t>
    </r>
    <r>
      <rPr>
        <sz val="10"/>
        <rFont val="Arial"/>
        <family val="2"/>
        <charset val="1"/>
      </rPr>
      <t xml:space="preserve">_ Pola)</t>
    </r>
  </si>
  <si>
    <t xml:space="preserve">pathfinder@cnai.ai</t>
  </si>
  <si>
    <t xml:space="preserve">010-9763-0306</t>
  </si>
  <si>
    <t xml:space="preserve">이창희</t>
  </si>
  <si>
    <t xml:space="preserve">전략팀</t>
  </si>
  <si>
    <t xml:space="preserve">t</t>
  </si>
  <si>
    <t xml:space="preserve">010-3057-7541</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</si>
  <si>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워트인텔리전스</t>
    </r>
  </si>
  <si>
    <t xml:space="preserve">675-86-00133</t>
  </si>
  <si>
    <t xml:space="preserve">윤정호</t>
  </si>
  <si>
    <t xml:space="preserve">02-521-0110</t>
  </si>
  <si>
    <t xml:space="preserve">https://www.wertcorp.com/kr/main</t>
  </si>
  <si>
    <t xml:space="preserve">jhkang@wert.co.kr</t>
  </si>
  <si>
    <t xml:space="preserve">서울시 강남구 강남대로 464 6층</t>
  </si>
  <si>
    <r>
      <rPr>
        <sz val="10"/>
        <rFont val="Arial"/>
        <family val="2"/>
        <charset val="1"/>
      </rPr>
      <t xml:space="preserve">AI </t>
    </r>
    <r>
      <rPr>
        <sz val="10"/>
        <rFont val="WenQuanYi Zen Hei"/>
        <family val="2"/>
      </rPr>
      <t xml:space="preserve">전문 분야</t>
    </r>
    <r>
      <rPr>
        <sz val="10"/>
        <rFont val="Arial"/>
        <family val="2"/>
        <charset val="1"/>
      </rPr>
      <t xml:space="preserve">: </t>
    </r>
    <r>
      <rPr>
        <sz val="10"/>
        <rFont val="WenQuanYi Zen Hei"/>
        <family val="2"/>
      </rPr>
      <t xml:space="preserve">기술문서 분석 및 인사이트 창출에 특화된  빅데이터분석</t>
    </r>
    <r>
      <rPr>
        <sz val="10"/>
        <rFont val="Arial"/>
        <family val="2"/>
        <charset val="1"/>
      </rPr>
      <t xml:space="preserve">, AX </t>
    </r>
    <r>
      <rPr>
        <sz val="10"/>
        <rFont val="WenQuanYi Zen Hei"/>
        <family val="2"/>
      </rPr>
      <t xml:space="preserve">종합컨설팅 </t>
    </r>
    <r>
      <rPr>
        <sz val="10"/>
        <rFont val="Arial"/>
        <family val="2"/>
        <charset val="1"/>
      </rPr>
      <t xml:space="preserve">/ </t>
    </r>
    <r>
      <rPr>
        <sz val="10"/>
        <rFont val="WenQuanYi Zen Hei"/>
        <family val="2"/>
      </rPr>
      <t xml:space="preserve">보유서비스</t>
    </r>
    <r>
      <rPr>
        <sz val="10"/>
        <rFont val="Arial"/>
        <family val="2"/>
        <charset val="1"/>
      </rPr>
      <t xml:space="preserve">: </t>
    </r>
    <r>
      <rPr>
        <sz val="10"/>
        <rFont val="WenQuanYi Zen Hei"/>
        <family val="2"/>
      </rPr>
      <t xml:space="preserve">대화형 </t>
    </r>
    <r>
      <rPr>
        <sz val="10"/>
        <rFont val="Arial"/>
        <family val="2"/>
        <charset val="1"/>
      </rPr>
      <t xml:space="preserve">LLM </t>
    </r>
    <r>
      <rPr>
        <sz val="10"/>
        <rFont val="WenQuanYi Zen Hei"/>
        <family val="2"/>
      </rPr>
      <t xml:space="preserve">솔루션 </t>
    </r>
    <r>
      <rPr>
        <sz val="10"/>
        <rFont val="Arial"/>
        <family val="2"/>
        <charset val="1"/>
      </rPr>
      <t xml:space="preserve">keywert insight  </t>
    </r>
    <r>
      <rPr>
        <sz val="10"/>
        <rFont val="WenQuanYi Zen Hei"/>
        <family val="2"/>
      </rPr>
      <t xml:space="preserve">및 자체 언어 모델 </t>
    </r>
    <r>
      <rPr>
        <sz val="10"/>
        <rFont val="Arial"/>
        <family val="2"/>
        <charset val="1"/>
      </rPr>
      <t xml:space="preserve">Pluto LM </t>
    </r>
  </si>
  <si>
    <t xml:space="preserve">류제택</t>
  </si>
  <si>
    <r>
      <rPr>
        <sz val="10"/>
        <rFont val="Arial"/>
        <family val="2"/>
        <charset val="1"/>
      </rPr>
      <t xml:space="preserve">AX</t>
    </r>
    <r>
      <rPr>
        <sz val="10"/>
        <rFont val="WenQuanYi Zen Hei"/>
        <family val="2"/>
      </rPr>
      <t xml:space="preserve">전략팀</t>
    </r>
  </si>
  <si>
    <t xml:space="preserve">010-9757-1410</t>
  </si>
  <si>
    <t xml:space="preserve">jtryu@wert.co.kr</t>
  </si>
  <si>
    <t xml:space="preserve">강지훈</t>
  </si>
  <si>
    <t xml:space="preserve">수석컨설턴트</t>
  </si>
  <si>
    <t xml:space="preserve">010-5053-0474</t>
  </si>
  <si>
    <t xml:space="preserve">디포커스(주)</t>
  </si>
  <si>
    <t xml:space="preserve">109-81-70175</t>
  </si>
  <si>
    <t xml:space="preserve">선은두</t>
  </si>
  <si>
    <t xml:space="preserve">010-8540-0841</t>
  </si>
  <si>
    <t xml:space="preserve">www.dfocus.net</t>
  </si>
  <si>
    <t xml:space="preserve">edsun67@gmail.com</t>
  </si>
  <si>
    <t xml:space="preserve">서울특별시 구로구 디지털로 34길 55, 405호</t>
  </si>
  <si>
    <t xml:space="preserve">챗봇(DfocusGPT), 플랫폼(SeedAI)</t>
  </si>
  <si>
    <t xml:space="preserve">sun@dfocus.net</t>
  </si>
  <si>
    <t xml:space="preserve">이정호</t>
  </si>
  <si>
    <t xml:space="preserve">AI</t>
  </si>
  <si>
    <t xml:space="preserve">010-5508-2822</t>
  </si>
  <si>
    <t xml:space="preserve">jhlee@dfocus.net</t>
  </si>
  <si>
    <t xml:space="preserve">주식회사 타임리</t>
  </si>
  <si>
    <t xml:space="preserve">229-88-01044</t>
  </si>
  <si>
    <t xml:space="preserve">김대환</t>
  </si>
  <si>
    <t xml:space="preserve">053-325-4958</t>
  </si>
  <si>
    <t xml:space="preserve">www.timelygpt.co.kr</t>
  </si>
  <si>
    <t xml:space="preserve">jueunji116@gmail.com</t>
  </si>
  <si>
    <t xml:space="preserve">대구광역시 수성구 알파시티1로 160, 315호</t>
  </si>
  <si>
    <r>
      <rPr>
        <sz val="10"/>
        <rFont val="Arial"/>
        <family val="2"/>
        <charset val="1"/>
      </rPr>
      <t xml:space="preserve">Agentic AI </t>
    </r>
    <r>
      <rPr>
        <sz val="10"/>
        <rFont val="WenQuanYi Zen Hei"/>
        <family val="2"/>
      </rPr>
      <t xml:space="preserve">및 </t>
    </r>
    <r>
      <rPr>
        <sz val="10"/>
        <rFont val="Arial"/>
        <family val="2"/>
        <charset val="1"/>
      </rPr>
      <t xml:space="preserve">AI Assistant </t>
    </r>
    <r>
      <rPr>
        <sz val="10"/>
        <rFont val="WenQuanYi Zen Hei"/>
        <family val="2"/>
      </rPr>
      <t xml:space="preserve">플랫폼</t>
    </r>
  </si>
  <si>
    <t xml:space="preserve">경영지원</t>
  </si>
  <si>
    <t xml:space="preserve">dhkim@timely.kr</t>
  </si>
  <si>
    <t xml:space="preserve">010-7999-4807</t>
  </si>
  <si>
    <t xml:space="preserve">주은지</t>
  </si>
  <si>
    <t xml:space="preserve">대리</t>
  </si>
  <si>
    <t xml:space="preserve">jkkim@timely.kr</t>
  </si>
  <si>
    <t xml:space="preserve">010-6666-3691</t>
  </si>
  <si>
    <t xml:space="preserve">주식회사 알프레드</t>
  </si>
  <si>
    <t xml:space="preserve">807-81-00564</t>
  </si>
  <si>
    <t xml:space="preserve">옥형석</t>
  </si>
  <si>
    <t xml:space="preserve">010-8708-8394</t>
  </si>
  <si>
    <t xml:space="preserve">https://www.heum.ai/ko/home</t>
  </si>
  <si>
    <t xml:space="preserve">ilgu.gim@heumlabs.io</t>
  </si>
  <si>
    <t xml:space="preserve">서울 강남구 테헤란로86길 13 지하2층, 2~4층</t>
  </si>
  <si>
    <t xml:space="preserve">사업자를 위한  금융 에이전트 - Heum은 초격차 기술을 기반으로   사업자를 위한 경리/급여/세무 에이전트를 개발합니다.</t>
  </si>
  <si>
    <t xml:space="preserve">hs.ohk@heumlabs.io</t>
  </si>
  <si>
    <t xml:space="preserve">김태호</t>
  </si>
  <si>
    <t xml:space="preserve">전략제휴팀</t>
  </si>
  <si>
    <t xml:space="preserve">010-7149-2684</t>
  </si>
  <si>
    <t xml:space="preserve">taeho.kim@heumlabs.io</t>
  </si>
  <si>
    <t xml:space="preserve">주식회사 모티버</t>
  </si>
  <si>
    <t xml:space="preserve">828-81-01240</t>
  </si>
  <si>
    <t xml:space="preserve">황성원</t>
  </si>
  <si>
    <t xml:space="preserve">010-5504-2406</t>
  </si>
  <si>
    <t xml:space="preserve">www.motivr.co.kr</t>
  </si>
  <si>
    <t xml:space="preserve">motivr@motivr.co.kr</t>
  </si>
  <si>
    <t xml:space="preserve">대구 수성구 알파시티1로35길 17 2층</t>
  </si>
  <si>
    <r>
      <rPr>
        <sz val="10"/>
        <rFont val="Arial"/>
        <family val="2"/>
        <charset val="1"/>
      </rPr>
      <t xml:space="preserve">3D </t>
    </r>
    <r>
      <rPr>
        <sz val="10"/>
        <rFont val="WenQuanYi Zen Hei"/>
        <family val="2"/>
      </rPr>
      <t xml:space="preserve">디지털트윈시스템 </t>
    </r>
    <r>
      <rPr>
        <sz val="10"/>
        <rFont val="Arial"/>
        <family val="2"/>
        <charset val="1"/>
      </rPr>
      <t xml:space="preserve">, </t>
    </r>
    <r>
      <rPr>
        <sz val="10"/>
        <rFont val="WenQuanYi Zen Hei"/>
        <family val="2"/>
      </rPr>
      <t xml:space="preserve">실감형 사격시뮬레이션 </t>
    </r>
    <r>
      <rPr>
        <sz val="10"/>
        <rFont val="Arial"/>
        <family val="2"/>
        <charset val="1"/>
      </rPr>
      <t xml:space="preserve">, </t>
    </r>
    <r>
      <rPr>
        <sz val="10"/>
        <rFont val="WenQuanYi Zen Hei"/>
        <family val="2"/>
      </rPr>
      <t xml:space="preserve">맞춤형 </t>
    </r>
    <r>
      <rPr>
        <sz val="10"/>
        <rFont val="Arial"/>
        <family val="2"/>
        <charset val="1"/>
      </rPr>
      <t xml:space="preserve">AI Agent </t>
    </r>
    <r>
      <rPr>
        <sz val="10"/>
        <rFont val="WenQuanYi Zen Hei"/>
        <family val="2"/>
      </rPr>
      <t xml:space="preserve">학습</t>
    </r>
  </si>
  <si>
    <t xml:space="preserve">권혁규</t>
  </si>
  <si>
    <t xml:space="preserve">책임연구원</t>
  </si>
  <si>
    <t xml:space="preserve">010-4002-7519</t>
  </si>
  <si>
    <t xml:space="preserve">크리니티 주식회사</t>
  </si>
  <si>
    <t xml:space="preserve">229-81-34605</t>
  </si>
  <si>
    <t xml:space="preserve">유병선</t>
  </si>
  <si>
    <t xml:space="preserve">070-7018-0030</t>
  </si>
  <si>
    <t xml:space="preserve">https://www.crinity.com/</t>
  </si>
  <si>
    <t xml:space="preserve">lhj20561@gmail.com</t>
  </si>
  <si>
    <t xml:space="preserve">서울시 금천구 벚꽃로 244 807~810호, 901호(가산동, 벽산디지털밸리5차)</t>
  </si>
  <si>
    <t xml:space="preserve">써팀(AI기반 소통 협업툴), G-CLD(공공 SaaS 웹메일)</t>
  </si>
  <si>
    <t xml:space="preserve">최훈</t>
  </si>
  <si>
    <r>
      <rPr>
        <sz val="10"/>
        <rFont val="Arial"/>
        <family val="2"/>
        <charset val="1"/>
      </rPr>
      <t xml:space="preserve">DT</t>
    </r>
    <r>
      <rPr>
        <sz val="10"/>
        <rFont val="WenQuanYi Zen Hei"/>
        <family val="2"/>
      </rPr>
      <t xml:space="preserve">유니트</t>
    </r>
  </si>
  <si>
    <t xml:space="preserve">이사/유니트장</t>
  </si>
  <si>
    <t xml:space="preserve">070-7018-9267</t>
  </si>
  <si>
    <t xml:space="preserve">ch197cm@crinity.com</t>
  </si>
  <si>
    <t xml:space="preserve">010-9052-7905</t>
  </si>
  <si>
    <t xml:space="preserve">이희준</t>
  </si>
  <si>
    <t xml:space="preserve">기획마케팅팀</t>
  </si>
  <si>
    <t xml:space="preserve">과장/팀원</t>
  </si>
  <si>
    <t xml:space="preserve">070-7018-9296</t>
  </si>
  <si>
    <t xml:space="preserve">lhj@crinity.com</t>
  </si>
  <si>
    <t xml:space="preserve">010-2507-6734</t>
  </si>
  <si>
    <t xml:space="preserve">코데이터솔루션 주식회사</t>
  </si>
  <si>
    <t xml:space="preserve">575-86-02791</t>
  </si>
  <si>
    <t xml:space="preserve">문경록</t>
  </si>
  <si>
    <t xml:space="preserve">02-780-9871</t>
  </si>
  <si>
    <t xml:space="preserve">www.kodatasolution.co.kr</t>
  </si>
  <si>
    <t xml:space="preserve">cihbox21@gmail.com</t>
  </si>
  <si>
    <t xml:space="preserve">서울특별시 영등포구 의사당대로 21, 3층(여의도동, 한국평가데이터 빌딩)</t>
  </si>
  <si>
    <r>
      <rPr>
        <sz val="10"/>
        <rFont val="Arial"/>
        <family val="2"/>
        <charset val="1"/>
      </rPr>
      <t xml:space="preserve">AI · </t>
    </r>
    <r>
      <rPr>
        <sz val="10"/>
        <rFont val="WenQuanYi Zen Hei"/>
        <family val="2"/>
      </rPr>
      <t xml:space="preserve">빅데이터 플랫폼 구축 등</t>
    </r>
  </si>
  <si>
    <t xml:space="preserve">안영재</t>
  </si>
  <si>
    <t xml:space="preserve">데이터플랫폼본부</t>
  </si>
  <si>
    <t xml:space="preserve">02-780-9870</t>
  </si>
  <si>
    <t xml:space="preserve">yjan@kodatasolution.co.kr</t>
  </si>
  <si>
    <t xml:space="preserve">010-2010-0058</t>
  </si>
  <si>
    <t xml:space="preserve">차일환</t>
  </si>
  <si>
    <t xml:space="preserve">데이터플랫폼본부 AI테크팀</t>
  </si>
  <si>
    <t xml:space="preserve">02-780-9830</t>
  </si>
  <si>
    <t xml:space="preserve">ihcha@kodatasolution.co.kr</t>
  </si>
  <si>
    <t xml:space="preserve">010-2028-6145</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</si>
  <si>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비큐에이아이</t>
    </r>
  </si>
  <si>
    <t xml:space="preserve">221-81-13339</t>
  </si>
  <si>
    <t xml:space="preserve">임경환</t>
  </si>
  <si>
    <t xml:space="preserve">02-3487-0215</t>
  </si>
  <si>
    <t xml:space="preserve">https://becuai.com/</t>
  </si>
  <si>
    <t xml:space="preserve">kangseok0126@gmail.com</t>
  </si>
  <si>
    <t xml:space="preserve">서울특별시 중구 퇴계로 385 준타워 5,6,9층</t>
  </si>
  <si>
    <r>
      <rPr>
        <sz val="10"/>
        <rFont val="Arial"/>
        <family val="2"/>
        <charset val="1"/>
      </rPr>
      <t xml:space="preserve">AI</t>
    </r>
    <r>
      <rPr>
        <sz val="10"/>
        <rFont val="WenQuanYi Zen Hei"/>
        <family val="2"/>
      </rPr>
      <t xml:space="preserve">기반 멀티모달 데이터 유통</t>
    </r>
    <r>
      <rPr>
        <sz val="10"/>
        <rFont val="Arial"/>
        <family val="2"/>
        <charset val="1"/>
      </rPr>
      <t xml:space="preserve">, </t>
    </r>
    <r>
      <rPr>
        <sz val="10"/>
        <rFont val="WenQuanYi Zen Hei"/>
        <family val="2"/>
      </rPr>
      <t xml:space="preserve">가공 및 서비스 </t>
    </r>
    <r>
      <rPr>
        <sz val="10"/>
        <rFont val="Arial"/>
        <family val="2"/>
        <charset val="1"/>
      </rPr>
      <t xml:space="preserve">/ </t>
    </r>
    <r>
      <rPr>
        <sz val="10"/>
        <rFont val="WenQuanYi Zen Hei"/>
        <family val="2"/>
      </rPr>
      <t xml:space="preserve">뉴스 기반 추론 모델  </t>
    </r>
    <r>
      <rPr>
        <sz val="10"/>
        <rFont val="Arial"/>
        <family val="2"/>
        <charset val="1"/>
      </rPr>
      <t xml:space="preserve">RDP-N1</t>
    </r>
  </si>
  <si>
    <t xml:space="preserve">김규태</t>
  </si>
  <si>
    <r>
      <rPr>
        <sz val="10"/>
        <rFont val="Arial"/>
        <family val="2"/>
        <charset val="1"/>
      </rPr>
      <t xml:space="preserve">AI</t>
    </r>
    <r>
      <rPr>
        <sz val="10"/>
        <rFont val="WenQuanYi Zen Hei"/>
        <family val="2"/>
      </rPr>
      <t xml:space="preserve">사업전략실</t>
    </r>
  </si>
  <si>
    <r>
      <rPr>
        <sz val="10"/>
        <rFont val="Arial"/>
        <family val="2"/>
        <charset val="1"/>
      </rPr>
      <t xml:space="preserve">CDO/</t>
    </r>
    <r>
      <rPr>
        <sz val="10"/>
        <rFont val="WenQuanYi Zen Hei"/>
        <family val="2"/>
      </rPr>
      <t xml:space="preserve">이사</t>
    </r>
  </si>
  <si>
    <t xml:space="preserve">070-7091-8044</t>
  </si>
  <si>
    <t xml:space="preserve">tony@becuai.com</t>
  </si>
  <si>
    <t xml:space="preserve">010-9268-9311</t>
  </si>
  <si>
    <t xml:space="preserve">김강석</t>
  </si>
  <si>
    <t xml:space="preserve">070-4469-7556</t>
  </si>
  <si>
    <t xml:space="preserve">kskim@becuai.com</t>
  </si>
  <si>
    <t xml:space="preserve">010-5532-7196</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</si>
  <si>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퍼즐시스템즈</t>
    </r>
  </si>
  <si>
    <t xml:space="preserve">410-88-00976</t>
  </si>
  <si>
    <t xml:space="preserve">김영일</t>
  </si>
  <si>
    <t xml:space="preserve">02-2135-1338</t>
  </si>
  <si>
    <t xml:space="preserve">www.puzzlesystems.co.kr</t>
  </si>
  <si>
    <t xml:space="preserve">heinem10@gmail.com</t>
  </si>
  <si>
    <r>
      <rPr>
        <sz val="10"/>
        <rFont val="Arial"/>
        <family val="2"/>
        <charset val="1"/>
      </rPr>
      <t xml:space="preserve">07207 </t>
    </r>
    <r>
      <rPr>
        <sz val="10"/>
        <rFont val="WenQuanYi Zen Hei"/>
        <family val="2"/>
      </rPr>
      <t xml:space="preserve">서울특별시 영등포구 양평로</t>
    </r>
    <r>
      <rPr>
        <sz val="10"/>
        <rFont val="Arial"/>
        <family val="2"/>
        <charset val="1"/>
      </rPr>
      <t xml:space="preserve">21</t>
    </r>
    <r>
      <rPr>
        <sz val="10"/>
        <rFont val="WenQuanYi Zen Hei"/>
        <family val="2"/>
      </rPr>
      <t xml:space="preserve">길 </t>
    </r>
    <r>
      <rPr>
        <sz val="10"/>
        <rFont val="Arial"/>
        <family val="2"/>
        <charset val="1"/>
      </rPr>
      <t xml:space="preserve">26, 2406</t>
    </r>
    <r>
      <rPr>
        <sz val="10"/>
        <rFont val="WenQuanYi Zen Hei"/>
        <family val="2"/>
      </rPr>
      <t xml:space="preserve">호 </t>
    </r>
    <r>
      <rPr>
        <sz val="10"/>
        <rFont val="Arial"/>
        <family val="2"/>
        <charset val="1"/>
      </rPr>
      <t xml:space="preserve">2407</t>
    </r>
    <r>
      <rPr>
        <sz val="10"/>
        <rFont val="WenQuanYi Zen Hei"/>
        <family val="2"/>
      </rPr>
      <t xml:space="preserve">호</t>
    </r>
  </si>
  <si>
    <r>
      <rPr>
        <sz val="10"/>
        <rFont val="Arial"/>
        <family val="2"/>
        <charset val="1"/>
      </rPr>
      <t xml:space="preserve">SaaS Multi-Agent </t>
    </r>
    <r>
      <rPr>
        <sz val="10"/>
        <rFont val="WenQuanYi Zen Hei"/>
        <family val="2"/>
      </rPr>
      <t xml:space="preserve">자동화</t>
    </r>
  </si>
  <si>
    <t xml:space="preserve">정준수</t>
  </si>
  <si>
    <t xml:space="preserve">jsjeong@puzzlesystems.co.kr</t>
  </si>
  <si>
    <t xml:space="preserve">010-5359-3644</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</si>
  <si>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유라클</t>
    </r>
  </si>
  <si>
    <t xml:space="preserve">220-86-04415</t>
  </si>
  <si>
    <t xml:space="preserve">조준희, 권태일</t>
  </si>
  <si>
    <t xml:space="preserve">02-3479-4400</t>
  </si>
  <si>
    <t xml:space="preserve">https://uracle.co.kr/</t>
  </si>
  <si>
    <t xml:space="preserve">jamsiluknow@gmail.com</t>
  </si>
  <si>
    <t xml:space="preserve">서울특별시 서초구 방배로 231</t>
  </si>
  <si>
    <r>
      <rPr>
        <sz val="10"/>
        <rFont val="Arial"/>
        <family val="2"/>
        <charset val="1"/>
      </rPr>
      <t xml:space="preserve">AI</t>
    </r>
    <r>
      <rPr>
        <sz val="10"/>
        <rFont val="WenQuanYi Zen Hei"/>
        <family val="2"/>
      </rPr>
      <t xml:space="preserve">플랫폼</t>
    </r>
    <r>
      <rPr>
        <sz val="10"/>
        <rFont val="Arial"/>
        <family val="2"/>
        <charset val="1"/>
      </rPr>
      <t xml:space="preserve">, AI</t>
    </r>
    <r>
      <rPr>
        <sz val="10"/>
        <rFont val="WenQuanYi Zen Hei"/>
        <family val="2"/>
      </rPr>
      <t xml:space="preserve">인프라관리 솔루션</t>
    </r>
    <r>
      <rPr>
        <sz val="10"/>
        <rFont val="Arial"/>
        <family val="2"/>
        <charset val="1"/>
      </rPr>
      <t xml:space="preserve">, </t>
    </r>
    <r>
      <rPr>
        <sz val="10"/>
        <rFont val="WenQuanYi Zen Hei"/>
        <family val="2"/>
      </rPr>
      <t xml:space="preserve">코드어시스턴트 등 보유</t>
    </r>
  </si>
  <si>
    <t xml:space="preserve">유웅진</t>
  </si>
  <si>
    <t xml:space="preserve">기획관리부문</t>
  </si>
  <si>
    <t xml:space="preserve">02-3479-4432</t>
  </si>
  <si>
    <t xml:space="preserve">ungjin.yu@uracle.co.kr</t>
  </si>
  <si>
    <t xml:space="preserve">010-2015-0109</t>
  </si>
  <si>
    <t xml:space="preserve">윤서준</t>
  </si>
  <si>
    <t xml:space="preserve">010-6545-1261</t>
  </si>
  <si>
    <t xml:space="preserve">wsyt@uracle.co.kr</t>
  </si>
  <si>
    <t xml:space="preserve">주식회사 아이들</t>
  </si>
  <si>
    <t xml:space="preserve">820-81-02056</t>
  </si>
  <si>
    <t xml:space="preserve">허명구</t>
  </si>
  <si>
    <t xml:space="preserve">1551-1911</t>
  </si>
  <si>
    <t xml:space="preserve">yoaida.com</t>
  </si>
  <si>
    <t xml:space="preserve">supernine09@gmail.com</t>
  </si>
  <si>
    <t xml:space="preserve">강원특별자치도 춘천시 강원대학길 1, 보듬관 604호</t>
  </si>
  <si>
    <t xml:space="preserve">멀티 LLM, 다양한 AI 에이전트 (문서, 멀티모달 포함), RAG 기반 에이전트 등. AI에이전트 서비스 '요기 AI 다 있다' 요아이다 Saas형 솔루션</t>
  </si>
  <si>
    <t xml:space="preserve">supernine@idl.land</t>
  </si>
  <si>
    <t xml:space="preserve">010-4409-7909</t>
  </si>
  <si>
    <t xml:space="preserve">용환준</t>
  </si>
  <si>
    <t xml:space="preserve">기획팀</t>
  </si>
  <si>
    <t xml:space="preserve">yongpd@idl.land</t>
  </si>
  <si>
    <t xml:space="preserve">010-4444-5451</t>
  </si>
  <si>
    <t xml:space="preserve">데이콘랩(주)</t>
  </si>
  <si>
    <t xml:space="preserve">726-81-03414</t>
  </si>
  <si>
    <t xml:space="preserve">이상옥</t>
  </si>
  <si>
    <t xml:space="preserve">070-4350-2236</t>
  </si>
  <si>
    <t xml:space="preserve">joseonjooya@gmail.com</t>
  </si>
  <si>
    <t xml:space="preserve">대전광역시 유성구 궁동로18번길 47, 3층 301-Q03호(궁동)</t>
  </si>
  <si>
    <r>
      <rPr>
        <sz val="10"/>
        <rFont val="Arial"/>
        <family val="2"/>
        <charset val="1"/>
      </rPr>
      <t xml:space="preserve">AIDE </t>
    </r>
    <r>
      <rPr>
        <sz val="10"/>
        <rFont val="WenQuanYi Zen Hei"/>
        <family val="2"/>
      </rPr>
      <t xml:space="preserve">기반 도메인 특화 </t>
    </r>
    <r>
      <rPr>
        <sz val="10"/>
        <rFont val="Arial"/>
        <family val="2"/>
        <charset val="1"/>
      </rPr>
      <t xml:space="preserve">LLM·</t>
    </r>
    <r>
      <rPr>
        <sz val="10"/>
        <rFont val="WenQuanYi Zen Hei"/>
        <family val="2"/>
      </rPr>
      <t xml:space="preserve">문서지능</t>
    </r>
    <r>
      <rPr>
        <sz val="10"/>
        <rFont val="Arial"/>
        <family val="2"/>
        <charset val="1"/>
      </rPr>
      <t xml:space="preserve">·RAG </t>
    </r>
    <r>
      <rPr>
        <sz val="10"/>
        <rFont val="WenQuanYi Zen Hei"/>
        <family val="2"/>
      </rPr>
      <t xml:space="preserve">생성형 </t>
    </r>
    <r>
      <rPr>
        <sz val="10"/>
        <rFont val="Arial"/>
        <family val="2"/>
        <charset val="1"/>
      </rPr>
      <t xml:space="preserve">AI </t>
    </r>
    <r>
      <rPr>
        <sz val="10"/>
        <rFont val="WenQuanYi Zen Hei"/>
        <family val="2"/>
      </rPr>
      <t xml:space="preserve">기술을 활용한 비정형 문서 이해 및 연구</t>
    </r>
    <r>
      <rPr>
        <sz val="10"/>
        <rFont val="Arial"/>
        <family val="2"/>
        <charset val="1"/>
      </rPr>
      <t xml:space="preserve">·</t>
    </r>
    <r>
      <rPr>
        <sz val="10"/>
        <rFont val="WenQuanYi Zen Hei"/>
        <family val="2"/>
      </rPr>
      <t xml:space="preserve">공공 데이터 </t>
    </r>
    <r>
      <rPr>
        <sz val="10"/>
        <rFont val="Arial"/>
        <family val="2"/>
        <charset val="1"/>
      </rPr>
      <t xml:space="preserve">AI </t>
    </r>
    <r>
      <rPr>
        <sz val="10"/>
        <rFont val="WenQuanYi Zen Hei"/>
        <family val="2"/>
      </rPr>
      <t xml:space="preserve">플랫폼 개발</t>
    </r>
  </si>
  <si>
    <t xml:space="preserve">데이터본부</t>
  </si>
  <si>
    <t xml:space="preserve">soklee@dacon.ai</t>
  </si>
  <si>
    <t xml:space="preserve">조선주</t>
  </si>
  <si>
    <t xml:space="preserve">경영기획팀</t>
  </si>
  <si>
    <t xml:space="preserve">csj24@dacon.ai</t>
  </si>
  <si>
    <t xml:space="preserve">010-2350-0221</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</si>
  <si>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드림시큐리티</t>
    </r>
  </si>
  <si>
    <t xml:space="preserve">107-88-22434</t>
  </si>
  <si>
    <t xml:space="preserve">오석주</t>
  </si>
  <si>
    <t xml:space="preserve">02-2233-5533</t>
  </si>
  <si>
    <t xml:space="preserve">www.dreamsecurity.com</t>
  </si>
  <si>
    <t xml:space="preserve">jsdsecu@gmail.com</t>
  </si>
  <si>
    <t xml:space="preserve">서울특별시 성동구 아차산로 126 10층</t>
  </si>
  <si>
    <t xml:space="preserve">얼굴인증, 이상탐지, 양자내성암호, 사설인증체계 </t>
  </si>
  <si>
    <t xml:space="preserve">김봉필</t>
  </si>
  <si>
    <t xml:space="preserve">보안컨설팅실</t>
  </si>
  <si>
    <t xml:space="preserve">실장 </t>
  </si>
  <si>
    <t xml:space="preserve">02-2146-2883</t>
  </si>
  <si>
    <t xml:space="preserve">bpkim@dreamsecurity.com</t>
  </si>
  <si>
    <t xml:space="preserve">010-7417-0055</t>
  </si>
  <si>
    <t xml:space="preserve">김주섭</t>
  </si>
  <si>
    <t xml:space="preserve">02-2146-9556</t>
  </si>
  <si>
    <t xml:space="preserve">jooseob@dreamsecurity.com</t>
  </si>
  <si>
    <t xml:space="preserve">010-5064-8080</t>
  </si>
  <si>
    <t xml:space="preserve">롯데 이노베이트㈜</t>
  </si>
  <si>
    <t xml:space="preserve">687-81-00785</t>
  </si>
  <si>
    <t xml:space="preserve">김경엽</t>
  </si>
  <si>
    <t xml:space="preserve">02-2626-4000</t>
  </si>
  <si>
    <t xml:space="preserve">https://www.lotteinnovate.com/</t>
  </si>
  <si>
    <t xml:space="preserve">jo2nyluv@gmail.com</t>
  </si>
  <si>
    <t xml:space="preserve">서울시 금천구 가산디지털2로 179 롯데센터</t>
  </si>
  <si>
    <t xml:space="preserve">자체 파운데이션 모델 및 AI 서비스 플랫폼</t>
  </si>
  <si>
    <t xml:space="preserve">오현식</t>
  </si>
  <si>
    <r>
      <rPr>
        <sz val="10"/>
        <rFont val="Arial"/>
        <family val="2"/>
        <charset val="1"/>
      </rPr>
      <t xml:space="preserve">AI</t>
    </r>
    <r>
      <rPr>
        <sz val="10"/>
        <rFont val="WenQuanYi Zen Hei"/>
        <family val="2"/>
      </rPr>
      <t xml:space="preserve">혁신센터</t>
    </r>
  </si>
  <si>
    <t xml:space="preserve">상무/AI혁신센터장</t>
  </si>
  <si>
    <t xml:space="preserve">010-2079-5727</t>
  </si>
  <si>
    <t xml:space="preserve">hyunsikoh@lotte.net</t>
  </si>
  <si>
    <t xml:space="preserve">장지성</t>
  </si>
  <si>
    <t xml:space="preserve">프로/AI혁신팀 매니저</t>
  </si>
  <si>
    <t xml:space="preserve">010-7644-2364</t>
  </si>
  <si>
    <t xml:space="preserve">js_jang@lotte.net</t>
  </si>
  <si>
    <r>
      <rPr>
        <sz val="10"/>
        <rFont val="Arial"/>
        <family val="2"/>
        <charset val="1"/>
      </rPr>
      <t xml:space="preserve">NC AI(</t>
    </r>
    <r>
      <rPr>
        <sz val="10"/>
        <rFont val="WenQuanYi Zen Hei"/>
        <family val="2"/>
      </rPr>
      <t xml:space="preserve">주식회사 엔씨에이아이</t>
    </r>
    <r>
      <rPr>
        <sz val="10"/>
        <rFont val="Arial"/>
        <family val="2"/>
        <charset val="1"/>
      </rPr>
      <t xml:space="preserve">)</t>
    </r>
  </si>
  <si>
    <t xml:space="preserve">444-88-03744</t>
  </si>
  <si>
    <t xml:space="preserve">이연수</t>
  </si>
  <si>
    <t xml:space="preserve">02-6201-0099</t>
  </si>
  <si>
    <t xml:space="preserve">https://nc-ai.com/ko</t>
  </si>
  <si>
    <t xml:space="preserve">jonghotab@gmail.com</t>
  </si>
  <si>
    <t xml:space="preserve">경기도 성남시 분당구 대왕판교로644번길 12, N타워 6층(삼평동, 엔씨소프트 판교R&amp;D센터)</t>
  </si>
  <si>
    <t xml:space="preserve">산업 특화 AI - VAETKI(배키), VARCO(바르코), 피지컬AI</t>
  </si>
  <si>
    <t xml:space="preserve">김근교</t>
  </si>
  <si>
    <t xml:space="preserve">글로벌사업실</t>
  </si>
  <si>
    <t xml:space="preserve">실장</t>
  </si>
  <si>
    <t xml:space="preserve">010-8229-7240</t>
  </si>
  <si>
    <t xml:space="preserve">keunkyo@ncsoft.com</t>
  </si>
  <si>
    <t xml:space="preserve">김종호</t>
  </si>
  <si>
    <t xml:space="preserve">010-4664-8687</t>
  </si>
  <si>
    <t xml:space="preserve">jhkim8687@ncsoft.com</t>
  </si>
  <si>
    <t xml:space="preserve">사단법인 한국디지털인증협회</t>
  </si>
  <si>
    <t xml:space="preserve">894-82-00089</t>
  </si>
  <si>
    <t xml:space="preserve">이기혁</t>
  </si>
  <si>
    <t xml:space="preserve">02-761-1060</t>
  </si>
  <si>
    <t xml:space="preserve">https://opendid.org/</t>
  </si>
  <si>
    <t xml:space="preserve">ldh3741@gmail.com</t>
  </si>
  <si>
    <t xml:space="preserve">서울시 영등포구 여의대로 108, 파크원빌딩 타워2 48층</t>
  </si>
  <si>
    <r>
      <rPr>
        <sz val="10"/>
        <rFont val="Arial"/>
        <family val="2"/>
        <charset val="1"/>
      </rPr>
      <t xml:space="preserve">AAM(Agentic AI Management), </t>
    </r>
    <r>
      <rPr>
        <sz val="10"/>
        <rFont val="WenQuanYi Zen Hei"/>
        <family val="2"/>
      </rPr>
      <t xml:space="preserve">데이터 라벨링</t>
    </r>
    <r>
      <rPr>
        <sz val="10"/>
        <rFont val="Arial"/>
        <family val="2"/>
        <charset val="1"/>
      </rPr>
      <t xml:space="preserve">, Open DID, MainNet </t>
    </r>
    <r>
      <rPr>
        <sz val="10"/>
        <rFont val="WenQuanYi Zen Hei"/>
        <family val="2"/>
      </rPr>
      <t xml:space="preserve">등 </t>
    </r>
  </si>
  <si>
    <t xml:space="preserve">임도현</t>
  </si>
  <si>
    <t xml:space="preserve">상근부회장/COO</t>
  </si>
  <si>
    <t xml:space="preserve">david.lim@opendid.org</t>
  </si>
  <si>
    <t xml:space="preserve">010-5512-3330</t>
  </si>
  <si>
    <t xml:space="preserve">유호종</t>
  </si>
  <si>
    <t xml:space="preserve">차장/기획팀</t>
  </si>
  <si>
    <t xml:space="preserve">hjyoo@opendid.org</t>
  </si>
  <si>
    <t xml:space="preserve">010-3715-8070</t>
  </si>
  <si>
    <t xml:space="preserve">주식회사 퓨리오사에이아이</t>
  </si>
  <si>
    <t xml:space="preserve">860-87-00780</t>
  </si>
  <si>
    <t xml:space="preserve">백준호 대표</t>
  </si>
  <si>
    <t xml:space="preserve">furiosa.ai</t>
  </si>
  <si>
    <t xml:space="preserve">jinsu.kim@furiosa.ai</t>
  </si>
  <si>
    <t xml:space="preserve">서울시 강남구 도산대로 145, 6층</t>
  </si>
  <si>
    <r>
      <rPr>
        <sz val="10"/>
        <rFont val="Arial"/>
        <family val="2"/>
        <charset val="1"/>
      </rPr>
      <t xml:space="preserve">AI</t>
    </r>
    <r>
      <rPr>
        <sz val="10"/>
        <rFont val="WenQuanYi Zen Hei"/>
        <family val="2"/>
      </rPr>
      <t xml:space="preserve">반도체</t>
    </r>
  </si>
  <si>
    <t xml:space="preserve">김진수</t>
  </si>
  <si>
    <t xml:space="preserve">비즈니스</t>
  </si>
  <si>
    <t xml:space="preserve">010-2888-8284</t>
  </si>
  <si>
    <t xml:space="preserve">김진호</t>
  </si>
  <si>
    <t xml:space="preserve">010-2527-0940</t>
  </si>
  <si>
    <t xml:space="preserve">jinho.kim@furiosa.ai</t>
  </si>
  <si>
    <t xml:space="preserve">삼도회계법인</t>
  </si>
  <si>
    <t xml:space="preserve">575-81-00046</t>
  </si>
  <si>
    <t xml:space="preserve">오준석, 방찬식</t>
  </si>
  <si>
    <t xml:space="preserve">02-511-2460</t>
  </si>
  <si>
    <t xml:space="preserve">http://www.samdoacc.com/</t>
  </si>
  <si>
    <t xml:space="preserve">namcw77@gmail.com</t>
  </si>
  <si>
    <t xml:space="preserve">서울시 서초구 사평대로 361, 3층 (반포동, 청원빌딩)</t>
  </si>
  <si>
    <t xml:space="preserve">디지털 감사 및 AI 감사, AX 컨설팅 및 자문</t>
  </si>
  <si>
    <t xml:space="preserve">남철우</t>
  </si>
  <si>
    <r>
      <rPr>
        <sz val="10"/>
        <rFont val="Arial"/>
        <family val="2"/>
        <charset val="1"/>
      </rPr>
      <t xml:space="preserve">4</t>
    </r>
    <r>
      <rPr>
        <sz val="10"/>
        <rFont val="WenQuanYi Zen Hei"/>
        <family val="2"/>
      </rPr>
      <t xml:space="preserve">본부</t>
    </r>
  </si>
  <si>
    <r>
      <rPr>
        <sz val="10"/>
        <rFont val="Arial"/>
        <family val="2"/>
        <charset val="1"/>
      </rPr>
      <t xml:space="preserve">IT</t>
    </r>
    <r>
      <rPr>
        <sz val="10"/>
        <rFont val="WenQuanYi Zen Hei"/>
        <family val="2"/>
      </rPr>
      <t xml:space="preserve">상무</t>
    </r>
  </si>
  <si>
    <t xml:space="preserve">77ncw@samdoacc.com / 77ncw@hanmail.net</t>
  </si>
  <si>
    <t xml:space="preserve">010-5382-5680</t>
  </si>
  <si>
    <r>
      <rPr>
        <sz val="10"/>
        <rFont val="Arial"/>
        <family val="2"/>
        <charset val="1"/>
      </rPr>
      <t xml:space="preserve">(</t>
    </r>
    <r>
      <rPr>
        <sz val="10"/>
        <rFont val="WenQuanYi Zen Hei"/>
        <family val="2"/>
      </rPr>
      <t xml:space="preserve">주</t>
    </r>
    <r>
      <rPr>
        <sz val="10"/>
        <rFont val="Arial"/>
        <family val="2"/>
        <charset val="1"/>
      </rPr>
      <t xml:space="preserve">) </t>
    </r>
    <r>
      <rPr>
        <sz val="10"/>
        <rFont val="WenQuanYi Zen Hei"/>
        <family val="2"/>
      </rPr>
      <t xml:space="preserve">엘지씨엔에스</t>
    </r>
  </si>
  <si>
    <t xml:space="preserve">116-81-19477</t>
  </si>
  <si>
    <t xml:space="preserve">현신균</t>
  </si>
  <si>
    <t xml:space="preserve">02-2099-1097</t>
  </si>
  <si>
    <t xml:space="preserve">www.lgcns.com</t>
  </si>
  <si>
    <t xml:space="preserve">psb0807@gmail.com</t>
  </si>
  <si>
    <t xml:space="preserve">서울특별시 강서구 마곡중앙8로 71 E13</t>
  </si>
  <si>
    <t xml:space="preserve">에이전틱웍스, 에이엑스씽크</t>
  </si>
  <si>
    <t xml:space="preserve">임은영 </t>
  </si>
  <si>
    <r>
      <rPr>
        <sz val="10"/>
        <rFont val="Arial"/>
        <family val="2"/>
        <charset val="1"/>
      </rPr>
      <t xml:space="preserve">AI</t>
    </r>
    <r>
      <rPr>
        <sz val="10"/>
        <rFont val="WenQuanYi Zen Hei"/>
        <family val="2"/>
      </rPr>
      <t xml:space="preserve">클라우드사업부 </t>
    </r>
    <r>
      <rPr>
        <sz val="10"/>
        <rFont val="Arial"/>
        <family val="2"/>
        <charset val="1"/>
      </rPr>
      <t xml:space="preserve">AI</t>
    </r>
    <r>
      <rPr>
        <sz val="10"/>
        <rFont val="WenQuanYi Zen Hei"/>
        <family val="2"/>
      </rPr>
      <t xml:space="preserve">센터 </t>
    </r>
    <r>
      <rPr>
        <sz val="10"/>
        <rFont val="Arial"/>
        <family val="2"/>
        <charset val="1"/>
      </rPr>
      <t xml:space="preserve">Agentic AI</t>
    </r>
    <r>
      <rPr>
        <sz val="10"/>
        <rFont val="WenQuanYi Zen Hei"/>
        <family val="2"/>
      </rPr>
      <t xml:space="preserve">사업담당</t>
    </r>
  </si>
  <si>
    <t xml:space="preserve">담당</t>
  </si>
  <si>
    <t xml:space="preserve">010-7132-8937</t>
  </si>
  <si>
    <t xml:space="preserve">eylim@lgcns.com</t>
  </si>
  <si>
    <t xml:space="preserve">이승아</t>
  </si>
  <si>
    <r>
      <rPr>
        <sz val="10"/>
        <rFont val="Arial"/>
        <family val="2"/>
        <charset val="1"/>
      </rPr>
      <t xml:space="preserve">AI</t>
    </r>
    <r>
      <rPr>
        <sz val="10"/>
        <rFont val="WenQuanYi Zen Hei"/>
        <family val="2"/>
      </rPr>
      <t xml:space="preserve">클라우드사업부 </t>
    </r>
    <r>
      <rPr>
        <sz val="10"/>
        <rFont val="Arial"/>
        <family val="2"/>
        <charset val="1"/>
      </rPr>
      <t xml:space="preserve">AI</t>
    </r>
    <r>
      <rPr>
        <sz val="10"/>
        <rFont val="WenQuanYi Zen Hei"/>
        <family val="2"/>
      </rPr>
      <t xml:space="preserve">센터 </t>
    </r>
    <r>
      <rPr>
        <sz val="10"/>
        <rFont val="Arial"/>
        <family val="2"/>
        <charset val="1"/>
      </rPr>
      <t xml:space="preserve">AI</t>
    </r>
    <r>
      <rPr>
        <sz val="10"/>
        <rFont val="WenQuanYi Zen Hei"/>
        <family val="2"/>
      </rPr>
      <t xml:space="preserve">전략</t>
    </r>
    <r>
      <rPr>
        <sz val="10"/>
        <rFont val="Arial"/>
        <family val="2"/>
        <charset val="1"/>
      </rPr>
      <t xml:space="preserve">/Alliance</t>
    </r>
    <r>
      <rPr>
        <sz val="10"/>
        <rFont val="WenQuanYi Zen Hei"/>
        <family val="2"/>
      </rPr>
      <t xml:space="preserve">팀</t>
    </r>
  </si>
  <si>
    <t xml:space="preserve"> 팀장 </t>
  </si>
  <si>
    <t xml:space="preserve">010-3349-8729</t>
  </si>
  <si>
    <t xml:space="preserve">chirosiro@lgcns.com</t>
  </si>
  <si>
    <r>
      <rPr>
        <sz val="10"/>
        <rFont val="Arial"/>
        <family val="2"/>
        <charset val="1"/>
      </rPr>
      <t xml:space="preserve">SK</t>
    </r>
    <r>
      <rPr>
        <sz val="10"/>
        <rFont val="WenQuanYi Zen Hei"/>
        <family val="2"/>
      </rPr>
      <t xml:space="preserve">텔레콤</t>
    </r>
    <r>
      <rPr>
        <sz val="10"/>
        <rFont val="Arial"/>
        <family val="2"/>
        <charset val="1"/>
      </rPr>
      <t xml:space="preserve">(</t>
    </r>
    <r>
      <rPr>
        <sz val="10"/>
        <rFont val="WenQuanYi Zen Hei"/>
        <family val="2"/>
      </rPr>
      <t xml:space="preserve">주</t>
    </r>
    <r>
      <rPr>
        <sz val="10"/>
        <rFont val="Arial"/>
        <family val="2"/>
        <charset val="1"/>
      </rPr>
      <t xml:space="preserve">)</t>
    </r>
  </si>
  <si>
    <t xml:space="preserve">104-81-37225</t>
  </si>
  <si>
    <t xml:space="preserve">유영상</t>
  </si>
  <si>
    <t xml:space="preserve">02-6100-2114</t>
  </si>
  <si>
    <t xml:space="preserve">https://www.sktelecom.com</t>
  </si>
  <si>
    <t xml:space="preserve">jongkeun.jung@gmail.com</t>
  </si>
  <si>
    <t xml:space="preserve">서울특별시 중구 을지로 65 SKT타워</t>
  </si>
  <si>
    <r>
      <rPr>
        <sz val="10"/>
        <rFont val="Arial"/>
        <family val="2"/>
        <charset val="1"/>
      </rPr>
      <t xml:space="preserve">Foundation Model </t>
    </r>
    <r>
      <rPr>
        <sz val="10"/>
        <rFont val="WenQuanYi Zen Hei"/>
        <family val="2"/>
      </rPr>
      <t xml:space="preserve">및 서비스</t>
    </r>
  </si>
  <si>
    <r>
      <rPr>
        <sz val="10"/>
        <rFont val="Arial"/>
        <family val="2"/>
        <charset val="1"/>
      </rPr>
      <t xml:space="preserve">AI CIC </t>
    </r>
    <r>
      <rPr>
        <sz val="10"/>
        <rFont val="WenQuanYi Zen Hei"/>
        <family val="2"/>
      </rPr>
      <t xml:space="preserve">에이닷사업본부</t>
    </r>
  </si>
  <si>
    <t xml:space="preserve">담당(본부장)</t>
  </si>
  <si>
    <t xml:space="preserve">010-3129-1095</t>
  </si>
  <si>
    <t xml:space="preserve">jihoon.kim@sk.com</t>
  </si>
  <si>
    <t xml:space="preserve">이승훈</t>
  </si>
  <si>
    <r>
      <rPr>
        <sz val="10"/>
        <rFont val="Arial"/>
        <family val="2"/>
        <charset val="1"/>
      </rPr>
      <t xml:space="preserve">AI CIC </t>
    </r>
    <r>
      <rPr>
        <sz val="10"/>
        <rFont val="WenQuanYi Zen Hei"/>
        <family val="2"/>
      </rPr>
      <t xml:space="preserve">에이닷사업본부 에이닷사업전략팀</t>
    </r>
  </si>
  <si>
    <t xml:space="preserve">010-4129-0016</t>
  </si>
  <si>
    <t xml:space="preserve">seunghoon@sk.com</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</si>
  <si>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섹타나인</t>
    </r>
  </si>
  <si>
    <t xml:space="preserve">113-86-10017</t>
  </si>
  <si>
    <t xml:space="preserve">김대일</t>
  </si>
  <si>
    <t xml:space="preserve">02-2276-6800</t>
  </si>
  <si>
    <t xml:space="preserve">https://www.secta9ine.co.kr</t>
  </si>
  <si>
    <t xml:space="preserve">s9.ms2.kim@gmail.com</t>
  </si>
  <si>
    <t xml:space="preserve">서울시 강남구 논현로 201</t>
  </si>
  <si>
    <r>
      <rPr>
        <sz val="10"/>
        <rFont val="Arial"/>
        <family val="2"/>
        <charset val="1"/>
      </rPr>
      <t xml:space="preserve">  1. </t>
    </r>
    <r>
      <rPr>
        <sz val="10"/>
        <rFont val="WenQuanYi Zen Hei"/>
        <family val="2"/>
      </rPr>
      <t xml:space="preserve">그룹 자체 파운데이션 모델 구축 및 운영 </t>
    </r>
    <r>
      <rPr>
        <sz val="10"/>
        <rFont val="Arial"/>
        <family val="2"/>
        <charset val="1"/>
      </rPr>
      <t xml:space="preserve">2. </t>
    </r>
    <r>
      <rPr>
        <sz val="10"/>
        <rFont val="WenQuanYi Zen Hei"/>
        <family val="2"/>
      </rPr>
      <t xml:space="preserve">수십 년간의 식음료 고유 지적재산권 및 데이터를 특화한 다양한 </t>
    </r>
    <r>
      <rPr>
        <sz val="10"/>
        <rFont val="Arial"/>
        <family val="2"/>
        <charset val="1"/>
      </rPr>
      <t xml:space="preserve">AI NPD </t>
    </r>
    <r>
      <rPr>
        <sz val="10"/>
        <rFont val="WenQuanYi Zen Hei"/>
        <family val="2"/>
      </rPr>
      <t xml:space="preserve">솔루션들 존재</t>
    </r>
    <r>
      <rPr>
        <sz val="10"/>
        <rFont val="Arial"/>
        <family val="2"/>
        <charset val="1"/>
      </rPr>
      <t xml:space="preserve">. 3. AI RPA</t>
    </r>
    <r>
      <rPr>
        <sz val="10"/>
        <rFont val="WenQuanYi Zen Hei"/>
        <family val="2"/>
      </rPr>
      <t xml:space="preserve">도입 및 활용 진행 중</t>
    </r>
  </si>
  <si>
    <t xml:space="preserve">추연진</t>
  </si>
  <si>
    <r>
      <rPr>
        <sz val="10"/>
        <rFont val="Arial"/>
        <family val="2"/>
        <charset val="1"/>
      </rPr>
      <t xml:space="preserve">CPO / CAIO </t>
    </r>
    <r>
      <rPr>
        <sz val="10"/>
        <rFont val="WenQuanYi Zen Hei"/>
        <family val="2"/>
      </rPr>
      <t xml:space="preserve">본부</t>
    </r>
  </si>
  <si>
    <t xml:space="preserve">02-2276-6730</t>
  </si>
  <si>
    <t xml:space="preserve">andrew.chu@spc.co.kr</t>
  </si>
  <si>
    <t xml:space="preserve">010-3639-2210</t>
  </si>
  <si>
    <t xml:space="preserve">강성구</t>
  </si>
  <si>
    <t xml:space="preserve">Deep Sync</t>
  </si>
  <si>
    <t xml:space="preserve">010-3683-9079</t>
  </si>
  <si>
    <t xml:space="preserve">seonggoo.kang@spc.co.kr</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</si>
  <si>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현대퓨처넷</t>
    </r>
  </si>
  <si>
    <t xml:space="preserve">112-81-31178</t>
  </si>
  <si>
    <t xml:space="preserve">김성일</t>
  </si>
  <si>
    <t xml:space="preserve">02-3450-2233</t>
  </si>
  <si>
    <t xml:space="preserve">https://hyundaifuturenet.com</t>
  </si>
  <si>
    <t xml:space="preserve">서울시 강남구 테헤란로 98길 12. 6층 현대퓨처넷</t>
  </si>
  <si>
    <t xml:space="preserve">분야 : 벡터DB, 자연어쿼리, AI 에이전트, AI 모델 엔진/아키텍처 기술. 서비스 : AI카피라이터, AI TextEdit, AI Trend Brief, Vectocore, X Finder 등</t>
  </si>
  <si>
    <t xml:space="preserve">김석훈</t>
  </si>
  <si>
    <r>
      <rPr>
        <sz val="10"/>
        <rFont val="Arial"/>
        <family val="2"/>
        <charset val="1"/>
      </rPr>
      <t xml:space="preserve">IT</t>
    </r>
    <r>
      <rPr>
        <sz val="10"/>
        <rFont val="WenQuanYi Zen Hei"/>
        <family val="2"/>
      </rPr>
      <t xml:space="preserve">사업본부</t>
    </r>
  </si>
  <si>
    <t xml:space="preserve">상무/본부장</t>
  </si>
  <si>
    <t xml:space="preserve">02-6904-1710</t>
  </si>
  <si>
    <t xml:space="preserve">seoguny@hyundaifuturenet.co.kr</t>
  </si>
  <si>
    <t xml:space="preserve">010-3233-4212</t>
  </si>
  <si>
    <t xml:space="preserve">노시진
오숙</t>
  </si>
  <si>
    <t xml:space="preserve">AI Lab</t>
  </si>
  <si>
    <t xml:space="preserve">02-6904-1840</t>
  </si>
  <si>
    <t xml:space="preserve">sijin@hyundaifuturenet.co.kr
happiness0402@hyundaifuturenet.co.kr</t>
  </si>
  <si>
    <t xml:space="preserve">010-4772-3444</t>
  </si>
  <si>
    <t xml:space="preserve">한국도로공사</t>
  </si>
  <si>
    <t xml:space="preserve">12-82-00103</t>
  </si>
  <si>
    <t xml:space="preserve">이상재(사장 직무대행)</t>
  </si>
  <si>
    <t xml:space="preserve">1588-2504</t>
  </si>
  <si>
    <t xml:space="preserve">www.ex.co.kr</t>
  </si>
  <si>
    <t xml:space="preserve">경상북도 김천시 혁신8로 77(율곡로)</t>
  </si>
  <si>
    <t xml:space="preserve">공공서비스(도로교통분야)</t>
  </si>
  <si>
    <t xml:space="preserve">백상현</t>
  </si>
  <si>
    <r>
      <rPr>
        <sz val="10"/>
        <rFont val="Arial"/>
        <family val="2"/>
        <charset val="1"/>
      </rPr>
      <t xml:space="preserve">AX</t>
    </r>
    <r>
      <rPr>
        <sz val="10"/>
        <rFont val="WenQuanYi Zen Hei"/>
        <family val="2"/>
      </rPr>
      <t xml:space="preserve">현신처</t>
    </r>
  </si>
  <si>
    <t xml:space="preserve">처장</t>
  </si>
  <si>
    <t xml:space="preserve">054-811-4501</t>
  </si>
  <si>
    <t xml:space="preserve">peak@ex.co.kr</t>
  </si>
  <si>
    <t xml:space="preserve">010-3158-8288</t>
  </si>
  <si>
    <t xml:space="preserve">최은경</t>
  </si>
  <si>
    <t xml:space="preserve">054-811-4518</t>
  </si>
  <si>
    <t xml:space="preserve">ekchoi@ex.co.kr</t>
  </si>
  <si>
    <t xml:space="preserve">010-3439-1314</t>
  </si>
  <si>
    <t xml:space="preserve">주식회사 마키나락스</t>
  </si>
  <si>
    <t xml:space="preserve">441-86-01015</t>
  </si>
  <si>
    <t xml:space="preserve">윤성호</t>
  </si>
  <si>
    <t xml:space="preserve">02-6245-1221</t>
  </si>
  <si>
    <t xml:space="preserve">www.makinarocks.ai</t>
  </si>
  <si>
    <t xml:space="preserve">서울특별시 서초구 강남대로 343, 신덕빌링 12층</t>
  </si>
  <si>
    <t xml:space="preserve">제조 / 국방 산업 특화 AI</t>
  </si>
  <si>
    <t xml:space="preserve">심상우</t>
  </si>
  <si>
    <r>
      <rPr>
        <sz val="10"/>
        <rFont val="Arial"/>
        <family val="2"/>
        <charset val="1"/>
      </rPr>
      <t xml:space="preserve">FDE</t>
    </r>
    <r>
      <rPr>
        <sz val="10"/>
        <rFont val="WenQuanYi Zen Hei"/>
        <family val="2"/>
      </rPr>
      <t xml:space="preserve">본부</t>
    </r>
  </si>
  <si>
    <t xml:space="preserve">CTO</t>
  </si>
  <si>
    <t xml:space="preserve">sangwoo@makinarocks.ai</t>
  </si>
  <si>
    <t xml:space="preserve">010-2125-9520</t>
  </si>
  <si>
    <t xml:space="preserve">이주호</t>
  </si>
  <si>
    <t xml:space="preserve">사업화본부</t>
  </si>
  <si>
    <t xml:space="preserve">010-4877-1828</t>
  </si>
  <si>
    <t xml:space="preserve">juho.lee@makinarocks.ai</t>
  </si>
  <si>
    <t xml:space="preserve">주식회사 에이치엘엠코리아</t>
  </si>
  <si>
    <t xml:space="preserve">741-81-03238</t>
  </si>
  <si>
    <t xml:space="preserve">이주원</t>
  </si>
  <si>
    <t xml:space="preserve">1577-5211</t>
  </si>
  <si>
    <t xml:space="preserve">별도 없음(전문 유통판매 도매사)</t>
  </si>
  <si>
    <t xml:space="preserve">서울 송파구 송파대로 201, 테라타워2 비동 U20</t>
  </si>
  <si>
    <t xml:space="preserve">의료소프트웨어 전문 판매사 </t>
  </si>
  <si>
    <t xml:space="preserve">010-9326-6873</t>
  </si>
  <si>
    <t xml:space="preserve">juwon.lee@hlmkorea.com</t>
  </si>
  <si>
    <t xml:space="preserve">주식회사 시넥스</t>
  </si>
  <si>
    <t xml:space="preserve">744-87-03807</t>
  </si>
  <si>
    <t xml:space="preserve">이대은</t>
  </si>
  <si>
    <t xml:space="preserve">010-2450-0854</t>
  </si>
  <si>
    <t xml:space="preserve">https://synnex.kr/</t>
  </si>
  <si>
    <t xml:space="preserve">서울시 강남구 논현로 10길 30, 505-J11호</t>
  </si>
  <si>
    <t xml:space="preserve">에듀테크 / AI 교육용 솔루션(AI co-Learner) / 개인 맞춤형 AI 역량강화 솔루션</t>
  </si>
  <si>
    <t xml:space="preserve">daeeun.lee@synnex.kr</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</si>
  <si>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스위트케이</t>
    </r>
  </si>
  <si>
    <t xml:space="preserve">138-81-89385</t>
  </si>
  <si>
    <t xml:space="preserve">김민철</t>
  </si>
  <si>
    <t xml:space="preserve">010-2713-4421</t>
  </si>
  <si>
    <t xml:space="preserve">https://www.sweetk.co.kr/</t>
  </si>
  <si>
    <t xml:space="preserve">경기도 과천시 과천대로 7길 65, 상상자이타워 B동  1514-1515, 1501, 1519호</t>
  </si>
  <si>
    <t xml:space="preserve">스마트글라스-Physical AI 기반 실시간 설비 안전·운영 지원 AI 에이전트, 온프레미스 LLM/RAG 기반 AI 에이전트, 대규모 CCTV 객체추적·재식별 AI</t>
  </si>
  <si>
    <t xml:space="preserve">이준호</t>
  </si>
  <si>
    <r>
      <rPr>
        <sz val="10"/>
        <rFont val="Arial"/>
        <family val="2"/>
        <charset val="1"/>
      </rPr>
      <t xml:space="preserve">AI</t>
    </r>
    <r>
      <rPr>
        <sz val="10"/>
        <rFont val="WenQuanYi Zen Hei"/>
        <family val="2"/>
      </rPr>
      <t xml:space="preserve">연구본부</t>
    </r>
  </si>
  <si>
    <t xml:space="preserve">02-3434-3120</t>
  </si>
  <si>
    <t xml:space="preserve">jh.lee@sweetk.co.kr</t>
  </si>
  <si>
    <t xml:space="preserve">010-4937-9962</t>
  </si>
  <si>
    <t xml:space="preserve">이종혁</t>
  </si>
  <si>
    <t xml:space="preserve">차장/팀장</t>
  </si>
  <si>
    <t xml:space="preserve">jhlee@sweetk.co.kr</t>
  </si>
  <si>
    <t xml:space="preserve">010-2677-2872</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</si>
  <si>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모비루스</t>
    </r>
  </si>
  <si>
    <t xml:space="preserve">504-81-60421</t>
  </si>
  <si>
    <t xml:space="preserve">조병호</t>
  </si>
  <si>
    <t xml:space="preserve">031-759-0744</t>
  </si>
  <si>
    <t xml:space="preserve">https://www.mobilus.ai</t>
  </si>
  <si>
    <t xml:space="preserve">경기도 성남시 수정구 창업로 43, A-311(판교글로벌비지니스센터)</t>
  </si>
  <si>
    <t xml:space="preserve">자율주행/자율작업 농기계 솔루션</t>
  </si>
  <si>
    <t xml:space="preserve">김재철</t>
  </si>
  <si>
    <t xml:space="preserve">사업개발본부</t>
  </si>
  <si>
    <t xml:space="preserve">ratm1024@mobilus.ai</t>
  </si>
  <si>
    <t xml:space="preserve">010-8829-1459</t>
  </si>
  <si>
    <t xml:space="preserve">조승헌</t>
  </si>
  <si>
    <t xml:space="preserve">이사/기획실장</t>
  </si>
  <si>
    <t xml:space="preserve">sh.cho@mobilus.ai</t>
  </si>
  <si>
    <t xml:space="preserve">010-9132-0830</t>
  </si>
  <si>
    <t xml:space="preserve">베스핀글로벌 주식회사</t>
  </si>
  <si>
    <t xml:space="preserve">638-87-00223</t>
  </si>
  <si>
    <t xml:space="preserve">허양호, KIM SUNNY(김써니)</t>
  </si>
  <si>
    <t xml:space="preserve">02-1668-1280</t>
  </si>
  <si>
    <t xml:space="preserve">https://www.bespinglobal.com/</t>
  </si>
  <si>
    <t xml:space="preserve">서울특별시 서초구 강남대로 327, 13, 14, 15, 16층(서초동, 대륭서초타워)</t>
  </si>
  <si>
    <t xml:space="preserve">HelpNow Agentic AI Platform</t>
  </si>
  <si>
    <t xml:space="preserve">박영진</t>
  </si>
  <si>
    <t xml:space="preserve">공공사업부</t>
  </si>
  <si>
    <t xml:space="preserve">010-3741-3977</t>
  </si>
  <si>
    <t xml:space="preserve">youngjin.park@bespinglobal.com</t>
  </si>
  <si>
    <t xml:space="preserve">최다혜</t>
  </si>
  <si>
    <t xml:space="preserve">010-8114-3809</t>
  </si>
  <si>
    <t xml:space="preserve">dahye.choi@bespinglobal.com</t>
  </si>
  <si>
    <t xml:space="preserve">주식회사 뷰텔</t>
  </si>
  <si>
    <t xml:space="preserve">214-87-56744</t>
  </si>
  <si>
    <t xml:space="preserve">윤지현</t>
  </si>
  <si>
    <t xml:space="preserve">031-707-0314</t>
  </si>
  <si>
    <t xml:space="preserve">www.view-tel.co.kr</t>
  </si>
  <si>
    <t xml:space="preserve">dmjang@view-tel.co.kr</t>
  </si>
  <si>
    <t xml:space="preserve">경기도 성남시 수정구 산성대로75 에지오빌딩A동201호</t>
  </si>
  <si>
    <t xml:space="preserve">의료및 진단, 오픈클로</t>
  </si>
  <si>
    <t xml:space="preserve">장동만</t>
  </si>
  <si>
    <t xml:space="preserve">수석</t>
  </si>
  <si>
    <t xml:space="preserve">010-5388-8376</t>
  </si>
  <si>
    <t xml:space="preserve">dmjang@nate.com</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</si>
  <si>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디토닉</t>
    </r>
  </si>
  <si>
    <t xml:space="preserve">264-81-37380</t>
  </si>
  <si>
    <t xml:space="preserve">전용주</t>
  </si>
  <si>
    <t xml:space="preserve">031-689-4770</t>
  </si>
  <si>
    <t xml:space="preserve">www.dtonic.io</t>
  </si>
  <si>
    <t xml:space="preserve">richard@dtonic.io</t>
  </si>
  <si>
    <t xml:space="preserve">경기도 성남시 분당구 서현로 200, 7층(서현동, 에스디바이오센서주식회사 분당빌딩)</t>
  </si>
  <si>
    <r>
      <rPr>
        <sz val="10"/>
        <rFont val="Arial"/>
        <family val="2"/>
        <charset val="1"/>
      </rPr>
      <t xml:space="preserve">D.Hub : </t>
    </r>
    <r>
      <rPr>
        <sz val="10"/>
        <rFont val="WenQuanYi Zen Hei"/>
        <family val="2"/>
      </rPr>
      <t xml:space="preserve">다양한 도메인의 데이터를 수집 및 체계적으로 관리하며 요구되는 스마트 융합 응용 서비스에 전달하는
디지털 전환</t>
    </r>
    <r>
      <rPr>
        <sz val="10"/>
        <rFont val="Arial"/>
        <family val="2"/>
        <charset val="1"/>
      </rPr>
      <t xml:space="preserve">(DX) </t>
    </r>
    <r>
      <rPr>
        <sz val="10"/>
        <rFont val="WenQuanYi Zen Hei"/>
        <family val="2"/>
      </rPr>
      <t xml:space="preserve">실현이 가능한 핵심 플랫폼
</t>
    </r>
    <r>
      <rPr>
        <sz val="10"/>
        <rFont val="Arial"/>
        <family val="2"/>
        <charset val="1"/>
      </rPr>
      <t xml:space="preserve">D.Eview : AI/</t>
    </r>
    <r>
      <rPr>
        <sz val="10"/>
        <rFont val="WenQuanYi Zen Hei"/>
        <family val="2"/>
      </rPr>
      <t xml:space="preserve">데이터 전환</t>
    </r>
    <r>
      <rPr>
        <sz val="10"/>
        <rFont val="Arial"/>
        <family val="2"/>
        <charset val="1"/>
      </rPr>
      <t xml:space="preserve">(AX/DX)</t>
    </r>
    <r>
      <rPr>
        <sz val="10"/>
        <rFont val="WenQuanYi Zen Hei"/>
        <family val="2"/>
      </rPr>
      <t xml:space="preserve">을 희망하는 고객사들을 위해 </t>
    </r>
    <r>
      <rPr>
        <sz val="10"/>
        <rFont val="Arial"/>
        <family val="2"/>
        <charset val="1"/>
      </rPr>
      <t xml:space="preserve">ESL Display </t>
    </r>
    <r>
      <rPr>
        <sz val="10"/>
        <rFont val="WenQuanYi Zen Hei"/>
        <family val="2"/>
      </rPr>
      <t xml:space="preserve">및 기능을 활용하여 지능형 서비스를 제공하는 </t>
    </r>
    <r>
      <rPr>
        <sz val="10"/>
        <rFont val="Arial"/>
        <family val="2"/>
        <charset val="1"/>
      </rPr>
      <t xml:space="preserve">D.Eview
D.Edge : </t>
    </r>
    <r>
      <rPr>
        <sz val="10"/>
        <rFont val="WenQuanYi Zen Hei"/>
        <family val="2"/>
      </rPr>
      <t xml:space="preserve">다양한 도메인에서 발생하는 대용량 데이터를 현장에서 수집</t>
    </r>
    <r>
      <rPr>
        <sz val="10"/>
        <rFont val="Arial"/>
        <family val="2"/>
        <charset val="1"/>
      </rPr>
      <t xml:space="preserve">·</t>
    </r>
    <r>
      <rPr>
        <sz val="10"/>
        <rFont val="WenQuanYi Zen Hei"/>
        <family val="2"/>
      </rPr>
      <t xml:space="preserve">분석하여 실시간 분석 서비스를 가능케하는 </t>
    </r>
    <r>
      <rPr>
        <sz val="10"/>
        <rFont val="Arial"/>
        <family val="2"/>
        <charset val="1"/>
      </rPr>
      <t xml:space="preserve">D.Edge </t>
    </r>
    <r>
      <rPr>
        <sz val="10"/>
        <rFont val="WenQuanYi Zen Hei"/>
        <family val="2"/>
      </rPr>
      <t xml:space="preserve">엣지 컴퓨팅 기반 </t>
    </r>
    <r>
      <rPr>
        <sz val="10"/>
        <rFont val="Arial"/>
        <family val="2"/>
        <charset val="1"/>
      </rPr>
      <t xml:space="preserve">AIoT </t>
    </r>
    <r>
      <rPr>
        <sz val="10"/>
        <rFont val="WenQuanYi Zen Hei"/>
        <family val="2"/>
      </rPr>
      <t xml:space="preserve">플랫폼</t>
    </r>
  </si>
  <si>
    <t xml:space="preserve">김선영</t>
  </si>
  <si>
    <t xml:space="preserve">국방사업개발</t>
  </si>
  <si>
    <t xml:space="preserve">nandakim@dtonic.io</t>
  </si>
  <si>
    <t xml:space="preserve">010-5819-6781</t>
  </si>
  <si>
    <t xml:space="preserve">유원주</t>
  </si>
  <si>
    <t xml:space="preserve">기술총괄</t>
  </si>
  <si>
    <t xml:space="preserve">wonzoo.you@dtonic.io</t>
  </si>
  <si>
    <t xml:space="preserve">010-8990-6844</t>
  </si>
  <si>
    <t xml:space="preserve">주식회사 마크노바</t>
  </si>
  <si>
    <t xml:space="preserve">459-81-02382</t>
  </si>
  <si>
    <t xml:space="preserve">최혁</t>
  </si>
  <si>
    <t xml:space="preserve">1551-1564</t>
  </si>
  <si>
    <t xml:space="preserve">www.marknova.co.kr</t>
  </si>
  <si>
    <t xml:space="preserve">hello@marknova.co.kr</t>
  </si>
  <si>
    <t xml:space="preserve">경기도 성남시 분당구 성남대로 331번길 8, 킨스타워(정자동) 21층 2101호</t>
  </si>
  <si>
    <r>
      <rPr>
        <sz val="10"/>
        <rFont val="Arial"/>
        <family val="2"/>
        <charset val="1"/>
      </rPr>
      <t xml:space="preserve">AI </t>
    </r>
    <r>
      <rPr>
        <sz val="10"/>
        <rFont val="WenQuanYi Zen Hei"/>
        <family val="2"/>
      </rPr>
      <t xml:space="preserve">시니어 홈 케어 서비스</t>
    </r>
  </si>
  <si>
    <t xml:space="preserve">최창호</t>
  </si>
  <si>
    <t xml:space="preserve">전략기술팀</t>
  </si>
  <si>
    <t xml:space="preserve">070-8671-3038</t>
  </si>
  <si>
    <t xml:space="preserve">chchoi@marknova.co.kr</t>
  </si>
  <si>
    <t xml:space="preserve">010-2718-0264</t>
  </si>
  <si>
    <t xml:space="preserve">이수빙</t>
  </si>
  <si>
    <t xml:space="preserve">헬스케어사업본부</t>
  </si>
  <si>
    <t xml:space="preserve">being@marknova.co.kr</t>
  </si>
  <si>
    <t xml:space="preserve">010-9289-7568</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</si>
  <si>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더존비즈온</t>
    </r>
  </si>
  <si>
    <t xml:space="preserve">134-81-08473</t>
  </si>
  <si>
    <t xml:space="preserve">이강수, 지용구</t>
  </si>
  <si>
    <t xml:space="preserve">02-6233-3000</t>
  </si>
  <si>
    <t xml:space="preserve">www.douzone.com</t>
  </si>
  <si>
    <t xml:space="preserve">강원도 춘천시 남산면 수동리 749</t>
  </si>
  <si>
    <t xml:space="preserve">더존비즈온의 통합 업무 플랫폼에 내재화되어 기업의 데이터를 기반으로 사용자의 업무를 이해하고 맞춤형으로 지원함으로써 업무 효율성과 생산성을 향상시키는 기업용 통합 AI 솔루션, ONE AI</t>
  </si>
  <si>
    <t xml:space="preserve">이민우</t>
  </si>
  <si>
    <r>
      <rPr>
        <sz val="10"/>
        <rFont val="Arial"/>
        <family val="2"/>
        <charset val="1"/>
      </rPr>
      <t xml:space="preserve">AX</t>
    </r>
    <r>
      <rPr>
        <sz val="10"/>
        <rFont val="WenQuanYi Zen Hei"/>
        <family val="2"/>
      </rPr>
      <t xml:space="preserve">사업부문 </t>
    </r>
    <r>
      <rPr>
        <sz val="10"/>
        <rFont val="Arial"/>
        <family val="2"/>
        <charset val="1"/>
      </rPr>
      <t xml:space="preserve">AX</t>
    </r>
    <r>
      <rPr>
        <sz val="10"/>
        <rFont val="WenQuanYi Zen Hei"/>
        <family val="2"/>
      </rPr>
      <t xml:space="preserve">신사업본부</t>
    </r>
  </si>
  <si>
    <t xml:space="preserve">mwlee1@douzone.com</t>
  </si>
  <si>
    <t xml:space="preserve">010-7119-7746</t>
  </si>
  <si>
    <t xml:space="preserve">김민상</t>
  </si>
  <si>
    <r>
      <rPr>
        <sz val="10"/>
        <rFont val="Arial"/>
        <family val="2"/>
        <charset val="1"/>
      </rPr>
      <t xml:space="preserve">AX</t>
    </r>
    <r>
      <rPr>
        <sz val="10"/>
        <rFont val="WenQuanYi Zen Hei"/>
        <family val="2"/>
      </rPr>
      <t xml:space="preserve">사업부문 사업기획본부 사업기획</t>
    </r>
    <r>
      <rPr>
        <sz val="10"/>
        <rFont val="Arial"/>
        <family val="2"/>
        <charset val="1"/>
      </rPr>
      <t xml:space="preserve">Unit</t>
    </r>
  </si>
  <si>
    <t xml:space="preserve">02-6233-2572</t>
  </si>
  <si>
    <t xml:space="preserve">kims8@douzone.com</t>
  </si>
  <si>
    <t xml:space="preserve">010-6323-7648</t>
  </si>
  <si>
    <r>
      <rPr>
        <sz val="10"/>
        <rFont val="Arial"/>
        <family val="2"/>
        <charset val="1"/>
      </rPr>
      <t xml:space="preserve">(</t>
    </r>
    <r>
      <rPr>
        <sz val="10"/>
        <rFont val="WenQuanYi Zen Hei"/>
        <family val="2"/>
      </rPr>
      <t xml:space="preserve">주</t>
    </r>
    <r>
      <rPr>
        <sz val="10"/>
        <rFont val="Arial"/>
        <family val="2"/>
        <charset val="1"/>
      </rPr>
      <t xml:space="preserve">) </t>
    </r>
    <r>
      <rPr>
        <sz val="10"/>
        <rFont val="WenQuanYi Zen Hei"/>
        <family val="2"/>
      </rPr>
      <t xml:space="preserve">에이아이웍스</t>
    </r>
  </si>
  <si>
    <t xml:space="preserve">517-88-00087</t>
  </si>
  <si>
    <t xml:space="preserve">윤석원</t>
  </si>
  <si>
    <t xml:space="preserve">02-423-5178</t>
  </si>
  <si>
    <t xml:space="preserve">https://aiworkx.ai/</t>
  </si>
  <si>
    <t xml:space="preserve">fireashedsoul@gmail.com</t>
  </si>
  <si>
    <t xml:space="preserve">경기도 화성시 삼성1로5길 6, 813호·814호 (석우동, 원희동탄캐슬)</t>
  </si>
  <si>
    <r>
      <rPr>
        <sz val="10"/>
        <rFont val="Arial"/>
        <family val="2"/>
        <charset val="1"/>
      </rPr>
      <t xml:space="preserve">AI Agent </t>
    </r>
    <r>
      <rPr>
        <sz val="10"/>
        <rFont val="WenQuanYi Zen Hei"/>
        <family val="2"/>
      </rPr>
      <t xml:space="preserve">개발 및 검증 서비스</t>
    </r>
  </si>
  <si>
    <t xml:space="preserve">김형복</t>
  </si>
  <si>
    <r>
      <rPr>
        <sz val="10"/>
        <rFont val="Arial"/>
        <family val="2"/>
        <charset val="1"/>
      </rPr>
      <t xml:space="preserve">AI </t>
    </r>
    <r>
      <rPr>
        <sz val="10"/>
        <rFont val="WenQuanYi Zen Hei"/>
        <family val="2"/>
      </rPr>
      <t xml:space="preserve">개발본부</t>
    </r>
  </si>
  <si>
    <t xml:space="preserve">kimhyeongbok@aiworkx.ai</t>
  </si>
  <si>
    <t xml:space="preserve">010-9102-8135</t>
  </si>
  <si>
    <t xml:space="preserve">안상훈</t>
  </si>
  <si>
    <t xml:space="preserve">책임연구원 / 팀장</t>
  </si>
  <si>
    <t xml:space="preserve">shahn@aiworkx.ai</t>
  </si>
  <si>
    <t xml:space="preserve">010-4720-7721</t>
  </si>
  <si>
    <t xml:space="preserve">㈜한글과컴퓨터</t>
  </si>
  <si>
    <t xml:space="preserve">107-81-52230</t>
  </si>
  <si>
    <t xml:space="preserve">변성준, 김연수</t>
  </si>
  <si>
    <t xml:space="preserve">031-627-7600</t>
  </si>
  <si>
    <t xml:space="preserve">www.hancom.com</t>
  </si>
  <si>
    <t xml:space="preserve">jaimeyoon@hancom.com</t>
  </si>
  <si>
    <t xml:space="preserve">경기도 성남시 분당구 대왕판교로 644번길 49, 한컴타워10층</t>
  </si>
  <si>
    <t xml:space="preserve">AgenticOS</t>
  </si>
  <si>
    <t xml:space="preserve">김병후</t>
  </si>
  <si>
    <r>
      <rPr>
        <sz val="10"/>
        <rFont val="Arial"/>
        <family val="2"/>
        <charset val="1"/>
      </rPr>
      <t xml:space="preserve">AX</t>
    </r>
    <r>
      <rPr>
        <sz val="10"/>
        <rFont val="WenQuanYi Zen Hei"/>
        <family val="2"/>
      </rPr>
      <t xml:space="preserve">사업기획실</t>
    </r>
  </si>
  <si>
    <t xml:space="preserve">실장/부장</t>
  </si>
  <si>
    <t xml:space="preserve">010-5259-5850</t>
  </si>
  <si>
    <t xml:space="preserve">bhkim@hancom.com</t>
  </si>
  <si>
    <t xml:space="preserve">알서포트 주식회사</t>
  </si>
  <si>
    <t xml:space="preserve">114-86-82265</t>
  </si>
  <si>
    <t xml:space="preserve">서형수</t>
  </si>
  <si>
    <t xml:space="preserve">070-7011-3900</t>
  </si>
  <si>
    <t xml:space="preserve">https://www.rsupport.com/ko-kr/</t>
  </si>
  <si>
    <t xml:space="preserve">donghyung.shin@gmail.com</t>
  </si>
  <si>
    <t xml:space="preserve">서울특별시 강동구 고덕비즈밸리로2가길 12 (고덕동)</t>
  </si>
  <si>
    <r>
      <rPr>
        <sz val="10"/>
        <rFont val="Arial"/>
        <family val="2"/>
        <charset val="1"/>
      </rPr>
      <t xml:space="preserve">AI </t>
    </r>
    <r>
      <rPr>
        <sz val="10"/>
        <rFont val="WenQuanYi Zen Hei"/>
        <family val="2"/>
      </rPr>
      <t xml:space="preserve">리포</t>
    </r>
    <r>
      <rPr>
        <sz val="10"/>
        <rFont val="Arial"/>
        <family val="2"/>
        <charset val="1"/>
      </rPr>
      <t xml:space="preserve">(AI:REPOTO) </t>
    </r>
    <r>
      <rPr>
        <sz val="10"/>
        <rFont val="WenQuanYi Zen Hei"/>
        <family val="2"/>
      </rPr>
      <t xml:space="preserve">및 </t>
    </r>
    <r>
      <rPr>
        <sz val="10"/>
        <rFont val="Arial"/>
        <family val="2"/>
        <charset val="1"/>
      </rPr>
      <t xml:space="preserve">AI Agents</t>
    </r>
  </si>
  <si>
    <t xml:space="preserve">신동형</t>
  </si>
  <si>
    <t xml:space="preserve">전략기획팀</t>
  </si>
  <si>
    <t xml:space="preserve">CSO</t>
  </si>
  <si>
    <t xml:space="preserve">010-2202-8761</t>
  </si>
  <si>
    <t xml:space="preserve">dhshin@rsupport.com</t>
  </si>
  <si>
    <t xml:space="preserve">하승호</t>
  </si>
  <si>
    <t xml:space="preserve">연구기획팀</t>
  </si>
  <si>
    <t xml:space="preserve">010-4142-1220</t>
  </si>
  <si>
    <t xml:space="preserve">shha@rsupport.com</t>
  </si>
  <si>
    <t xml:space="preserve">라크㈜</t>
  </si>
  <si>
    <t xml:space="preserve">729-81-01545</t>
  </si>
  <si>
    <t xml:space="preserve">이재구</t>
  </si>
  <si>
    <t xml:space="preserve">02-2088-4244</t>
  </si>
  <si>
    <t xml:space="preserve">www.lacin.co.kr</t>
  </si>
  <si>
    <t xml:space="preserve">jklee25@hanmail.net</t>
  </si>
  <si>
    <t xml:space="preserve">서울특별시 금천구 서부샛길 606, 대성디폴리스 B동 1509호</t>
  </si>
  <si>
    <t xml:space="preserve">병리영상 AI분석, 대규모 영상분석, 산업장비 AI분석</t>
  </si>
  <si>
    <t xml:space="preserve">010-3253-7424</t>
  </si>
  <si>
    <t xml:space="preserve">임원</t>
  </si>
  <si>
    <t xml:space="preserve">주식회사 인핸스</t>
  </si>
  <si>
    <t xml:space="preserve">165-86-02221</t>
  </si>
  <si>
    <t xml:space="preserve">이승현</t>
  </si>
  <si>
    <t xml:space="preserve">070-8676-0191</t>
  </si>
  <si>
    <t xml:space="preserve">www.enhans.ai</t>
  </si>
  <si>
    <t xml:space="preserve">jaeyoon@enhans.ai</t>
  </si>
  <si>
    <t xml:space="preserve">서울특별시 서초구 서초중앙로8길 89-17</t>
  </si>
  <si>
    <r>
      <rPr>
        <sz val="10"/>
        <rFont val="Arial"/>
        <family val="2"/>
        <charset val="1"/>
      </rPr>
      <t xml:space="preserve">AgentOS: </t>
    </r>
    <r>
      <rPr>
        <sz val="10"/>
        <rFont val="WenQuanYi Zen Hei"/>
        <family val="2"/>
      </rPr>
      <t xml:space="preserve">온톨로지 기반 엔터프라이즈 </t>
    </r>
    <r>
      <rPr>
        <sz val="10"/>
        <rFont val="Arial"/>
        <family val="2"/>
        <charset val="1"/>
      </rPr>
      <t xml:space="preserve">AI Agent </t>
    </r>
    <r>
      <rPr>
        <sz val="10"/>
        <rFont val="WenQuanYi Zen Hei"/>
        <family val="2"/>
      </rPr>
      <t xml:space="preserve">운영체제</t>
    </r>
  </si>
  <si>
    <t xml:space="preserve">김도균</t>
  </si>
  <si>
    <t xml:space="preserve">CAIO</t>
  </si>
  <si>
    <t xml:space="preserve">010-5603-1572</t>
  </si>
  <si>
    <t xml:space="preserve">dokyun@enhans.ai</t>
  </si>
  <si>
    <t xml:space="preserve">심재윤</t>
  </si>
  <si>
    <t xml:space="preserve">Growth</t>
  </si>
  <si>
    <t xml:space="preserve">manager</t>
  </si>
  <si>
    <t xml:space="preserve">010-9550-4254</t>
  </si>
  <si>
    <t xml:space="preserve">디밀리언</t>
  </si>
  <si>
    <t xml:space="preserve">704-87-02815</t>
  </si>
  <si>
    <t xml:space="preserve">한요한</t>
  </si>
  <si>
    <t xml:space="preserve">02-6914-6560</t>
  </si>
  <si>
    <t xml:space="preserve">www.dmillion.co.kr</t>
  </si>
  <si>
    <t xml:space="preserve">john@dmillions.co.kr</t>
  </si>
  <si>
    <t xml:space="preserve">경기도 광명시 일직로 43, GIDC A동 1612, 1613호</t>
  </si>
  <si>
    <t xml:space="preserve">사출성형공정 특화 AI Agent 자율운영솔루션</t>
  </si>
  <si>
    <t xml:space="preserve">경영본부</t>
  </si>
  <si>
    <t xml:space="preserve">010-5514-4279</t>
  </si>
  <si>
    <t xml:space="preserve">김웅섭</t>
  </si>
  <si>
    <t xml:space="preserve">uskim@dmillions.co.kr</t>
  </si>
  <si>
    <t xml:space="preserve">010-2375-9958</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</si>
  <si>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윌로그</t>
    </r>
  </si>
  <si>
    <t xml:space="preserve">286-88-02459</t>
  </si>
  <si>
    <t xml:space="preserve">배성훈, 윤지현</t>
  </si>
  <si>
    <t xml:space="preserve">02-6959-0966</t>
  </si>
  <si>
    <t xml:space="preserve">willog.io</t>
  </si>
  <si>
    <t xml:space="preserve">rdp@willog.io</t>
  </si>
  <si>
    <t xml:space="preserve">서울시 강남구 삼성로 507 9층</t>
  </si>
  <si>
    <r>
      <rPr>
        <sz val="10"/>
        <rFont val="Arial"/>
        <family val="2"/>
        <charset val="1"/>
      </rPr>
      <t xml:space="preserve">AIoT </t>
    </r>
    <r>
      <rPr>
        <sz val="10"/>
        <rFont val="WenQuanYi Zen Hei"/>
        <family val="2"/>
      </rPr>
      <t xml:space="preserve">공급망 인텔리전스</t>
    </r>
  </si>
  <si>
    <t xml:space="preserve">배성훈</t>
  </si>
  <si>
    <t xml:space="preserve">010-6314-4447</t>
  </si>
  <si>
    <t xml:space="preserve">허범호</t>
  </si>
  <si>
    <t xml:space="preserve">연구기획</t>
  </si>
  <si>
    <t xml:space="preserve">010-2549-4494</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</si>
  <si>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오토마타</t>
    </r>
  </si>
  <si>
    <t xml:space="preserve">590-88-00990</t>
  </si>
  <si>
    <t xml:space="preserve">이민규</t>
  </si>
  <si>
    <t xml:space="preserve">010-9517-1322</t>
  </si>
  <si>
    <t xml:space="preserve">www.automata.ooo</t>
  </si>
  <si>
    <t xml:space="preserve">jakelee4096@gmail.com</t>
  </si>
  <si>
    <t xml:space="preserve">서울특별시 강남구 테헤란로7길 22 (역삼동) 한국과학기술회관 2관 9층 914호</t>
  </si>
  <si>
    <t xml:space="preserve">AI-SDLC Agent Workflow  (Zenith EX)</t>
  </si>
  <si>
    <t xml:space="preserve">010-4491-8810</t>
  </si>
  <si>
    <t xml:space="preserve">kenneth.lee@automata.ooo</t>
  </si>
  <si>
    <t xml:space="preserve">이재혁</t>
  </si>
  <si>
    <t xml:space="preserve">Operation</t>
  </si>
  <si>
    <t xml:space="preserve">수석연구원</t>
  </si>
  <si>
    <t xml:space="preserve">jake.lee@automata.ooo</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</si>
  <si>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한국인공지능검증원</t>
    </r>
  </si>
  <si>
    <t xml:space="preserve">880-81-02140</t>
  </si>
  <si>
    <t xml:space="preserve">강문정</t>
  </si>
  <si>
    <t xml:space="preserve">02-2135-4264</t>
  </si>
  <si>
    <t xml:space="preserve">https://www.aicerti.com</t>
  </si>
  <si>
    <t xml:space="preserve">consultant.gang@gmail.com</t>
  </si>
  <si>
    <t xml:space="preserve">서울 성동구 왕십리로 58. 서울숲포휴 416호</t>
  </si>
  <si>
    <t xml:space="preserve">공인시험기관</t>
  </si>
  <si>
    <t xml:space="preserve">ai@aicerti.com</t>
  </si>
  <si>
    <t xml:space="preserve">010-4234-1134</t>
  </si>
  <si>
    <t xml:space="preserve">이종현</t>
  </si>
  <si>
    <t xml:space="preserve">시험사업부</t>
  </si>
  <si>
    <t xml:space="preserve">기술책임</t>
  </si>
  <si>
    <t xml:space="preserve">jhlee@aicerti.com</t>
  </si>
  <si>
    <t xml:space="preserve">010-9557-1287</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</si>
  <si>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이지스</t>
    </r>
  </si>
  <si>
    <t xml:space="preserve">503-81-49156</t>
  </si>
  <si>
    <t xml:space="preserve">김성호</t>
  </si>
  <si>
    <t xml:space="preserve">053-476-2395</t>
  </si>
  <si>
    <t xml:space="preserve">egis@egiskorea.com</t>
  </si>
  <si>
    <t xml:space="preserve">hyoeun2359@gmail.com</t>
  </si>
  <si>
    <t xml:space="preserve">대구광역시 수성구 알파시티 1로 31길 2, 401호</t>
  </si>
  <si>
    <t xml:space="preserve">디지털트윈클라우드</t>
  </si>
  <si>
    <t xml:space="preserve">hcpark@egiskorea.com</t>
  </si>
  <si>
    <t xml:space="preserve">박현철</t>
  </si>
  <si>
    <t xml:space="preserve">전략영업</t>
  </si>
  <si>
    <t xml:space="preserve">070-8802-1293</t>
  </si>
  <si>
    <t xml:space="preserve">010-9904-1147</t>
  </si>
  <si>
    <t xml:space="preserve">칵테일아이오(주)</t>
  </si>
  <si>
    <t xml:space="preserve">759-88-00454</t>
  </si>
  <si>
    <t xml:space="preserve">이영수</t>
  </si>
  <si>
    <t xml:space="preserve">02-554-3301</t>
  </si>
  <si>
    <t xml:space="preserve">https://cocktail.io.kr/solution</t>
  </si>
  <si>
    <t xml:space="preserve">jskang@cocktail.io.kr</t>
  </si>
  <si>
    <t xml:space="preserve">서울 강남구 테헤란로70길 14-6,B동 5층</t>
  </si>
  <si>
    <r>
      <rPr>
        <sz val="10"/>
        <rFont val="Arial"/>
        <family val="2"/>
        <charset val="1"/>
      </rPr>
      <t xml:space="preserve">AI</t>
    </r>
    <r>
      <rPr>
        <sz val="10"/>
        <rFont val="WenQuanYi Zen Hei"/>
        <family val="2"/>
      </rPr>
      <t xml:space="preserve">기반 클라우드 운영 자동화</t>
    </r>
    <r>
      <rPr>
        <sz val="10"/>
        <rFont val="Arial"/>
        <family val="2"/>
        <charset val="1"/>
      </rPr>
      <t xml:space="preserve">(Cocktail Cloud) / Low code Solution(Out Systems) / AI Cloud MSP </t>
    </r>
    <r>
      <rPr>
        <sz val="10"/>
        <rFont val="WenQuanYi Zen Hei"/>
        <family val="2"/>
      </rPr>
      <t xml:space="preserve">및 컨설팅</t>
    </r>
  </si>
  <si>
    <t xml:space="preserve">김동혁 </t>
  </si>
  <si>
    <r>
      <rPr>
        <sz val="10"/>
        <rFont val="Arial"/>
        <family val="2"/>
        <charset val="1"/>
      </rPr>
      <t xml:space="preserve">AX</t>
    </r>
    <r>
      <rPr>
        <sz val="10"/>
        <rFont val="WenQuanYi Zen Hei"/>
        <family val="2"/>
      </rPr>
      <t xml:space="preserve">센터</t>
    </r>
  </si>
  <si>
    <t xml:space="preserve">전무/센터장</t>
  </si>
  <si>
    <t xml:space="preserve">02-554-0301</t>
  </si>
  <si>
    <t xml:space="preserve">kdhyuk@cocktail.io.kr</t>
  </si>
  <si>
    <t xml:space="preserve">010-3895-5556</t>
  </si>
  <si>
    <t xml:space="preserve">강종성</t>
  </si>
  <si>
    <t xml:space="preserve">이사/컨설턵트</t>
  </si>
  <si>
    <t xml:space="preserve">010-8337-6611</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</si>
  <si>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브로드웨이브</t>
    </r>
  </si>
  <si>
    <t xml:space="preserve">105-86-66766</t>
  </si>
  <si>
    <t xml:space="preserve">이태진</t>
  </si>
  <si>
    <t xml:space="preserve">02-395-5651</t>
  </si>
  <si>
    <t xml:space="preserve">www.broadwave.co.kr</t>
  </si>
  <si>
    <t xml:space="preserve">broadwave.tj@gmail.com</t>
  </si>
  <si>
    <t xml:space="preserve">서울시 강서구 마곡중앙로 161-8 두산더랜드파크 B동 620호</t>
  </si>
  <si>
    <r>
      <rPr>
        <sz val="10"/>
        <rFont val="Arial"/>
        <family val="2"/>
        <charset val="1"/>
      </rPr>
      <t xml:space="preserve">AI</t>
    </r>
    <r>
      <rPr>
        <sz val="10"/>
        <rFont val="WenQuanYi Zen Hei"/>
        <family val="2"/>
      </rPr>
      <t xml:space="preserve">기반 시설물 안전진단기술</t>
    </r>
    <r>
      <rPr>
        <sz val="10"/>
        <rFont val="Arial"/>
        <family val="2"/>
        <charset val="1"/>
      </rPr>
      <t xml:space="preserve">, </t>
    </r>
    <r>
      <rPr>
        <sz val="10"/>
        <rFont val="WenQuanYi Zen Hei"/>
        <family val="2"/>
      </rPr>
      <t xml:space="preserve">맨홀 수위 측정을 이용한 침수예측기술</t>
    </r>
  </si>
  <si>
    <t xml:space="preserve">LTJ@Broadwave.co.kr</t>
  </si>
  <si>
    <t xml:space="preserve">010-8960-0651</t>
  </si>
  <si>
    <t xml:space="preserve">이광연</t>
  </si>
  <si>
    <t xml:space="preserve">sirdky@broadwave.co.kr</t>
  </si>
  <si>
    <t xml:space="preserve">010-2357-2799</t>
  </si>
  <si>
    <t xml:space="preserve">주식회사 레아비전</t>
  </si>
  <si>
    <t xml:space="preserve">330-81-03120</t>
  </si>
  <si>
    <t xml:space="preserve">강경희</t>
  </si>
  <si>
    <t xml:space="preserve">010-5888-8403</t>
  </si>
  <si>
    <t xml:space="preserve">topcodingplace.com</t>
  </si>
  <si>
    <t xml:space="preserve">hyin2510@gmail.com</t>
  </si>
  <si>
    <t xml:space="preserve">고양시 덕양구 향동로218, 현대테라타워 1149</t>
  </si>
  <si>
    <r>
      <rPr>
        <sz val="10"/>
        <rFont val="Arial"/>
        <family val="2"/>
        <charset val="1"/>
      </rPr>
      <t xml:space="preserve">AI </t>
    </r>
    <r>
      <rPr>
        <sz val="10"/>
        <rFont val="WenQuanYi Zen Hei"/>
        <family val="2"/>
      </rPr>
      <t xml:space="preserve">기반 안면인식을 통한 건강체크</t>
    </r>
  </si>
  <si>
    <t xml:space="preserve">장용석</t>
  </si>
  <si>
    <t xml:space="preserve">개발부</t>
  </si>
  <si>
    <t xml:space="preserve">master@rheavision.co.kr</t>
  </si>
  <si>
    <t xml:space="preserve">오민혁</t>
  </si>
  <si>
    <t xml:space="preserve">개발팀</t>
  </si>
  <si>
    <t xml:space="preserve">망고클라우드 주식회사</t>
  </si>
  <si>
    <t xml:space="preserve">541-87-01291</t>
  </si>
  <si>
    <t xml:space="preserve">백진성</t>
  </si>
  <si>
    <t xml:space="preserve">051-501-2248</t>
  </si>
  <si>
    <t xml:space="preserve">www.mangocloud.io</t>
  </si>
  <si>
    <t xml:space="preserve">sdfjkl369@gmail.com</t>
  </si>
  <si>
    <t xml:space="preserve">부산광역시 북구 만덕3로16번길 1, 404호</t>
  </si>
  <si>
    <t xml:space="preserve">헤이망고</t>
  </si>
  <si>
    <t xml:space="preserve">윤용수</t>
  </si>
  <si>
    <t xml:space="preserve">운영팀</t>
  </si>
  <si>
    <t xml:space="preserve">soo@mangocloud.io</t>
  </si>
  <si>
    <t xml:space="preserve">010-2557-3926</t>
  </si>
  <si>
    <t xml:space="preserve">최현명</t>
  </si>
  <si>
    <t xml:space="preserve">010-2785-4684</t>
  </si>
  <si>
    <t xml:space="preserve">hmchoi@mangocloud.io</t>
  </si>
  <si>
    <t xml:space="preserve">주식회사 데이터메이커</t>
  </si>
  <si>
    <t xml:space="preserve">568-81-01159</t>
  </si>
  <si>
    <t xml:space="preserve">이에녹</t>
  </si>
  <si>
    <t xml:space="preserve">070-7139-9784</t>
  </si>
  <si>
    <t xml:space="preserve">https://www.datamaker.io/</t>
  </si>
  <si>
    <t xml:space="preserve">kyungeun.jung@datamaker.io</t>
  </si>
  <si>
    <t xml:space="preserve">대전광역시 유성구 유성대로 871, 4,5층(죽동, CU빌딩)</t>
  </si>
  <si>
    <t xml:space="preserve">데이터메이커 시냅스 (데이터 파이프라인 구축 특화 플랫폼)</t>
  </si>
  <si>
    <t xml:space="preserve">오석일</t>
  </si>
  <si>
    <t xml:space="preserve">부대표</t>
  </si>
  <si>
    <t xml:space="preserve">seokil.oh@datamaker.io</t>
  </si>
  <si>
    <t xml:space="preserve">010-4651-6782</t>
  </si>
  <si>
    <t xml:space="preserve">임규태</t>
  </si>
  <si>
    <t xml:space="preserve">070-8833-9784</t>
  </si>
  <si>
    <t xml:space="preserve">gyutae.lim@datamaker.io</t>
  </si>
  <si>
    <t xml:space="preserve">010-9413-0411</t>
  </si>
  <si>
    <t xml:space="preserve">주식회사 이노포스트 </t>
  </si>
  <si>
    <t xml:space="preserve">114-86-86878</t>
  </si>
  <si>
    <t xml:space="preserve">정종민</t>
  </si>
  <si>
    <t xml:space="preserve">070-7727-9922</t>
  </si>
  <si>
    <t xml:space="preserve">https://innopost21.com/</t>
  </si>
  <si>
    <t xml:space="preserve">innop.developer@gmail.com</t>
  </si>
  <si>
    <t xml:space="preserve">서울 서초구 동광로2, 5층</t>
  </si>
  <si>
    <t xml:space="preserve">수질오염 예측 플랫폼</t>
  </si>
  <si>
    <t xml:space="preserve">이노포스트</t>
  </si>
  <si>
    <t xml:space="preserve">대표 이사 </t>
  </si>
  <si>
    <t xml:space="preserve">jjm3826@innopost21.com</t>
  </si>
  <si>
    <t xml:space="preserve">010-8610-1544</t>
  </si>
  <si>
    <t xml:space="preserve">김민성 </t>
  </si>
  <si>
    <t xml:space="preserve">AI&amp;Data Lab</t>
  </si>
  <si>
    <t xml:space="preserve">책임 연구원 / 팀장 </t>
  </si>
  <si>
    <t xml:space="preserve">lazy-giant@innopost21.com</t>
  </si>
  <si>
    <t xml:space="preserve">010-9328-2760</t>
  </si>
  <si>
    <t xml:space="preserve">PPS</t>
  </si>
  <si>
    <t xml:space="preserve">294-87-00597</t>
  </si>
  <si>
    <t xml:space="preserve">권영준</t>
  </si>
  <si>
    <t xml:space="preserve">070-7771-6307</t>
  </si>
  <si>
    <t xml:space="preserve">https://www.ppsystem.co.kr/</t>
  </si>
  <si>
    <t xml:space="preserve">suhyeon9937@gmail.com</t>
  </si>
  <si>
    <t xml:space="preserve">서울특별시 광진구 자양로131 K&amp;S빌딩 4층</t>
  </si>
  <si>
    <t xml:space="preserve">영상탐지, 음성인식(화자분리), LLM(RAG), AiAgent 개발</t>
  </si>
  <si>
    <t xml:space="preserve">박석준</t>
  </si>
  <si>
    <t xml:space="preserve">고문</t>
  </si>
  <si>
    <t xml:space="preserve">parksj@ppsystem.co.kr</t>
  </si>
  <si>
    <t xml:space="preserve">010-7640-1565</t>
  </si>
  <si>
    <t xml:space="preserve">김수현</t>
  </si>
  <si>
    <r>
      <rPr>
        <sz val="10"/>
        <rFont val="Arial"/>
        <family val="2"/>
        <charset val="1"/>
      </rPr>
      <t xml:space="preserve">AI</t>
    </r>
    <r>
      <rPr>
        <sz val="10"/>
        <rFont val="WenQuanYi Zen Hei"/>
        <family val="2"/>
      </rPr>
      <t xml:space="preserve">기획</t>
    </r>
  </si>
  <si>
    <t xml:space="preserve">010-4349-9937</t>
  </si>
  <si>
    <t xml:space="preserve">suhyeon9937@ppsystem.co.kr</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</si>
  <si>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에브리존 </t>
    </r>
    <r>
      <rPr>
        <sz val="10"/>
        <rFont val="Arial"/>
        <family val="2"/>
        <charset val="1"/>
      </rPr>
      <t xml:space="preserve">| </t>
    </r>
    <r>
      <rPr>
        <sz val="10"/>
        <rFont val="WenQuanYi Zen Hei"/>
        <family val="2"/>
      </rPr>
      <t xml:space="preserve">화이트디펜더</t>
    </r>
  </si>
  <si>
    <t xml:space="preserve">220-81-67981</t>
  </si>
  <si>
    <t xml:space="preserve">홍승균</t>
  </si>
  <si>
    <t xml:space="preserve">010-4750-0360</t>
  </si>
  <si>
    <t xml:space="preserve">www.whitedefender.com</t>
  </si>
  <si>
    <t xml:space="preserve">snslab@gmail.com</t>
  </si>
  <si>
    <t xml:space="preserve">서울시 마포구 마포대로 136, 지방재정빌딩 9층</t>
  </si>
  <si>
    <t xml:space="preserve">엔드포인트 보안 에이전트 보유 (행위탐지로 랜섬웨어 차단 알고리즘 보유)</t>
  </si>
  <si>
    <t xml:space="preserve">02-3274-2700</t>
  </si>
  <si>
    <t xml:space="preserve">skhong@everyzone.com</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</si>
  <si>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헥토</t>
    </r>
  </si>
  <si>
    <t xml:space="preserve">732-86-01395</t>
  </si>
  <si>
    <t xml:space="preserve">도형동</t>
  </si>
  <si>
    <t xml:space="preserve">hecto.co.kr</t>
  </si>
  <si>
    <t xml:space="preserve">itleading@gmail.com</t>
  </si>
  <si>
    <t xml:space="preserve">서울시 강남구 테헤란로 223 큰길타워 3F</t>
  </si>
  <si>
    <r>
      <rPr>
        <sz val="10"/>
        <rFont val="Arial"/>
        <family val="2"/>
        <charset val="1"/>
      </rPr>
      <t xml:space="preserve">Agent, XAI, sLLM </t>
    </r>
    <r>
      <rPr>
        <sz val="10"/>
        <rFont val="WenQuanYi Zen Hei"/>
        <family val="2"/>
      </rPr>
      <t xml:space="preserve">등</t>
    </r>
  </si>
  <si>
    <t xml:space="preserve">김정근</t>
  </si>
  <si>
    <r>
      <rPr>
        <sz val="10"/>
        <rFont val="Arial"/>
        <family val="2"/>
        <charset val="1"/>
      </rPr>
      <t xml:space="preserve">HAI</t>
    </r>
    <r>
      <rPr>
        <sz val="10"/>
        <rFont val="WenQuanYi Zen Hei"/>
        <family val="2"/>
      </rPr>
      <t xml:space="preserve">본부</t>
    </r>
  </si>
  <si>
    <t xml:space="preserve">010262389494</t>
  </si>
  <si>
    <t xml:space="preserve">jkkim@hecto.co.kr</t>
  </si>
  <si>
    <t xml:space="preserve">010-2623-89494</t>
  </si>
  <si>
    <t xml:space="preserve">이대현</t>
  </si>
  <si>
    <t xml:space="preserve">010-4748-4097</t>
  </si>
  <si>
    <t xml:space="preserve">terry.yi@hecto.co.kr</t>
  </si>
  <si>
    <t xml:space="preserve">OPEN TS</t>
  </si>
  <si>
    <t xml:space="preserve">608-17-46545</t>
  </si>
  <si>
    <t xml:space="preserve">김재규</t>
  </si>
  <si>
    <t xml:space="preserve">010-3882-1081</t>
  </si>
  <si>
    <t xml:space="preserve">www.opents.co.kr</t>
  </si>
  <si>
    <t xml:space="preserve">o118821081@gmail.com</t>
  </si>
  <si>
    <t xml:space="preserve">경남 창원시 성산구 마디미로56번길8, 리더스빌딩 802호</t>
  </si>
  <si>
    <r>
      <rPr>
        <sz val="10"/>
        <rFont val="Arial"/>
        <family val="2"/>
        <charset val="1"/>
      </rPr>
      <t xml:space="preserve">MES</t>
    </r>
    <r>
      <rPr>
        <sz val="10"/>
        <rFont val="WenQuanYi Zen Hei"/>
        <family val="2"/>
      </rPr>
      <t xml:space="preserve">전용 </t>
    </r>
    <r>
      <rPr>
        <sz val="10"/>
        <rFont val="Arial"/>
        <family val="2"/>
        <charset val="1"/>
      </rPr>
      <t xml:space="preserve">LLM AI Agent</t>
    </r>
  </si>
  <si>
    <t xml:space="preserve">개발관리</t>
  </si>
  <si>
    <t xml:space="preserve">055-715-1081</t>
  </si>
  <si>
    <t xml:space="preserve">jk.kim@opents.co.kr</t>
  </si>
  <si>
    <t xml:space="preserve">김수연</t>
  </si>
  <si>
    <t xml:space="preserve">su.kim@opents.co.kr</t>
  </si>
  <si>
    <t xml:space="preserve">010-4844-4050</t>
  </si>
  <si>
    <t xml:space="preserve"> ㈜이든티앤에스</t>
  </si>
  <si>
    <t xml:space="preserve">113-86-29442</t>
  </si>
  <si>
    <t xml:space="preserve">김연기</t>
  </si>
  <si>
    <t xml:space="preserve">02-785-0700 </t>
  </si>
  <si>
    <t xml:space="preserve">https://edentns.com/</t>
  </si>
  <si>
    <t xml:space="preserve">ggyong042701@gmail.com</t>
  </si>
  <si>
    <t xml:space="preserve">서울특별시 영등포구 여의도동 국회대로 62길 14 한국스카우트연맹 4층</t>
  </si>
  <si>
    <t xml:space="preserve">LLM, OCR, RPA</t>
  </si>
  <si>
    <t xml:space="preserve">최효석</t>
  </si>
  <si>
    <r>
      <rPr>
        <sz val="10"/>
        <rFont val="Arial"/>
        <family val="2"/>
        <charset val="1"/>
      </rPr>
      <t xml:space="preserve">AI</t>
    </r>
    <r>
      <rPr>
        <sz val="10"/>
        <rFont val="WenQuanYi Zen Hei"/>
        <family val="2"/>
      </rPr>
      <t xml:space="preserve">전략기술부</t>
    </r>
  </si>
  <si>
    <t xml:space="preserve">02-785-0700</t>
  </si>
  <si>
    <t xml:space="preserve">hschoi@edentns.com</t>
  </si>
  <si>
    <t xml:space="preserve">010-4213-0892</t>
  </si>
  <si>
    <t xml:space="preserve">윤지용</t>
  </si>
  <si>
    <t xml:space="preserve">jyyoon@edentns.com</t>
  </si>
  <si>
    <t xml:space="preserve">010-3379-7559</t>
  </si>
  <si>
    <t xml:space="preserve">주식회사 시선에이아이</t>
  </si>
  <si>
    <t xml:space="preserve">120-87-55359</t>
  </si>
  <si>
    <t xml:space="preserve">남운성</t>
  </si>
  <si>
    <t xml:space="preserve">02-6277-7800</t>
  </si>
  <si>
    <t xml:space="preserve">secern.ai</t>
  </si>
  <si>
    <t xml:space="preserve">ryan@cubox.ai</t>
  </si>
  <si>
    <t xml:space="preserve">서울 강남구 테헤란로22길 12</t>
  </si>
  <si>
    <t xml:space="preserve">얼굴인식기반의 출입통제 시스템, 사용자 지속인증 솔루션 (PC+VDI 환경), 얼굴 및 객채인식 융합한 CCTV 영상보안 솔루션</t>
  </si>
  <si>
    <t xml:space="preserve">황현상</t>
  </si>
  <si>
    <t xml:space="preserve">그룹장</t>
  </si>
  <si>
    <t xml:space="preserve">010-7355-8155</t>
  </si>
  <si>
    <t xml:space="preserve">hshwang@secern.ai</t>
  </si>
  <si>
    <t xml:space="preserve">한상훈</t>
  </si>
  <si>
    <t xml:space="preserve">신사업팀</t>
  </si>
  <si>
    <t xml:space="preserve">010-9159-2403</t>
  </si>
  <si>
    <t xml:space="preserve">shhan@secern.ai</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</si>
  <si>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비온</t>
    </r>
  </si>
  <si>
    <t xml:space="preserve">517-81-03595</t>
  </si>
  <si>
    <t xml:space="preserve">박지현</t>
  </si>
  <si>
    <t xml:space="preserve">010-4692-2623</t>
  </si>
  <si>
    <t xml:space="preserve">beon.kr / triving.kr</t>
  </si>
  <si>
    <t xml:space="preserve">bpjh@beon.kr</t>
  </si>
  <si>
    <t xml:space="preserve">제주특별자치도 제주시 관덕로15길 23, 402호</t>
  </si>
  <si>
    <t xml:space="preserve">triving (RAG, LLM)</t>
  </si>
  <si>
    <t xml:space="preserve">김정민</t>
  </si>
  <si>
    <t xml:space="preserve">제품기획팀</t>
  </si>
  <si>
    <t xml:space="preserve">010-5026-8115</t>
  </si>
  <si>
    <t xml:space="preserve">contact@beon.kr</t>
  </si>
  <si>
    <t xml:space="preserve">지식시스템 ㈜ KSTEC</t>
  </si>
  <si>
    <t xml:space="preserve">120-81-83022</t>
  </si>
  <si>
    <t xml:space="preserve">이승도</t>
  </si>
  <si>
    <t xml:space="preserve">031-8018-6777</t>
  </si>
  <si>
    <t xml:space="preserve">https://www.kstec.co.kr</t>
  </si>
  <si>
    <t xml:space="preserve">yoonsunchoi@kstec.co.kr</t>
  </si>
  <si>
    <t xml:space="preserve">경기도 성남시 분당구 판교로 255, 503 (삼평동, 이노밸리E동)</t>
  </si>
  <si>
    <r>
      <rPr>
        <sz val="10"/>
        <rFont val="Arial"/>
        <family val="2"/>
        <charset val="1"/>
      </rPr>
      <t xml:space="preserve">AI </t>
    </r>
    <r>
      <rPr>
        <sz val="10"/>
        <rFont val="WenQuanYi Zen Hei"/>
        <family val="2"/>
      </rPr>
      <t xml:space="preserve">및 최적화 기반 생산계획 및 스케줄링 솔루션 </t>
    </r>
    <r>
      <rPr>
        <sz val="10"/>
        <rFont val="Arial"/>
        <family val="2"/>
        <charset val="1"/>
      </rPr>
      <t xml:space="preserve">SyncPlan APS</t>
    </r>
  </si>
  <si>
    <r>
      <rPr>
        <sz val="10"/>
        <rFont val="Arial"/>
        <family val="2"/>
        <charset val="1"/>
      </rPr>
      <t xml:space="preserve">031-8018-6777(</t>
    </r>
    <r>
      <rPr>
        <sz val="10"/>
        <rFont val="WenQuanYi Zen Hei"/>
        <family val="2"/>
      </rPr>
      <t xml:space="preserve">내선 </t>
    </r>
    <r>
      <rPr>
        <sz val="10"/>
        <rFont val="Arial"/>
        <family val="2"/>
        <charset val="1"/>
      </rPr>
      <t xml:space="preserve">111)</t>
    </r>
  </si>
  <si>
    <t xml:space="preserve">sdlee@kstec.co.kr</t>
  </si>
  <si>
    <t xml:space="preserve">010-5203-1735</t>
  </si>
  <si>
    <t xml:space="preserve">최윤선</t>
  </si>
  <si>
    <t xml:space="preserve">마케팅 &amp; 커뮤니케이션즈</t>
  </si>
  <si>
    <t xml:space="preserve">수석/ 팀장</t>
  </si>
  <si>
    <r>
      <rPr>
        <sz val="10"/>
        <rFont val="Arial"/>
        <family val="2"/>
        <charset val="1"/>
      </rPr>
      <t xml:space="preserve">031-8018-6777(</t>
    </r>
    <r>
      <rPr>
        <sz val="10"/>
        <rFont val="WenQuanYi Zen Hei"/>
        <family val="2"/>
      </rPr>
      <t xml:space="preserve">내선 </t>
    </r>
    <r>
      <rPr>
        <sz val="10"/>
        <rFont val="Arial"/>
        <family val="2"/>
        <charset val="1"/>
      </rPr>
      <t xml:space="preserve">200)</t>
    </r>
  </si>
  <si>
    <t xml:space="preserve">010-9990-2142</t>
  </si>
  <si>
    <t xml:space="preserve">주식회사 티벨</t>
  </si>
  <si>
    <t xml:space="preserve">376-81-00089</t>
  </si>
  <si>
    <t xml:space="preserve">김종균</t>
  </si>
  <si>
    <t xml:space="preserve">070-7777-9113</t>
  </si>
  <si>
    <t xml:space="preserve">www.tbell.co.kr</t>
  </si>
  <si>
    <t xml:space="preserve">mupirang@gmail.com</t>
  </si>
  <si>
    <t xml:space="preserve">서울특별시 강남구 강남대로 354, 905호 (역삼동, 혜천빌딩)</t>
  </si>
  <si>
    <r>
      <rPr>
        <sz val="10"/>
        <rFont val="Arial"/>
        <family val="2"/>
        <charset val="1"/>
      </rPr>
      <t xml:space="preserve">LLM </t>
    </r>
    <r>
      <rPr>
        <sz val="10"/>
        <rFont val="WenQuanYi Zen Hei"/>
        <family val="2"/>
      </rPr>
      <t xml:space="preserve">신뢰성 평가 시스템</t>
    </r>
    <r>
      <rPr>
        <sz val="10"/>
        <rFont val="Arial"/>
        <family val="2"/>
        <charset val="1"/>
      </rPr>
      <t xml:space="preserve">(T-LENS), AI </t>
    </r>
    <r>
      <rPr>
        <sz val="10"/>
        <rFont val="WenQuanYi Zen Hei"/>
        <family val="2"/>
      </rPr>
      <t xml:space="preserve">기반 테스트 자동화 기술</t>
    </r>
  </si>
  <si>
    <t xml:space="preserve">티벨</t>
  </si>
  <si>
    <t xml:space="preserve">010-5749-8009</t>
  </si>
  <si>
    <t xml:space="preserve">jg.kim@tbell.co.kr</t>
  </si>
  <si>
    <t xml:space="preserve">이혜진</t>
  </si>
  <si>
    <t xml:space="preserve">개발연구소</t>
  </si>
  <si>
    <t xml:space="preserve">010-6218-3405</t>
  </si>
  <si>
    <t xml:space="preserve">hj.lee@tbell.co.kr</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</si>
  <si>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티티엠소프트</t>
    </r>
  </si>
  <si>
    <t xml:space="preserve">210-81-63047</t>
  </si>
  <si>
    <t xml:space="preserve">백민호</t>
  </si>
  <si>
    <t xml:space="preserve">010-7268-1068</t>
  </si>
  <si>
    <t xml:space="preserve">www.ttmsoft.co.kr</t>
  </si>
  <si>
    <t xml:space="preserve">mhbaek93@gmail.com</t>
  </si>
  <si>
    <t xml:space="preserve">서울시 금천구 벚꽃로36길 30, KS타워 8층 814호</t>
  </si>
  <si>
    <r>
      <rPr>
        <sz val="10"/>
        <rFont val="Arial"/>
        <family val="2"/>
        <charset val="1"/>
      </rPr>
      <t xml:space="preserve">LMS, AI</t>
    </r>
    <r>
      <rPr>
        <sz val="10"/>
        <rFont val="WenQuanYi Zen Hei"/>
        <family val="2"/>
      </rPr>
      <t xml:space="preserve">기반 교육 솔루션</t>
    </r>
    <r>
      <rPr>
        <sz val="10"/>
        <rFont val="Arial"/>
        <family val="2"/>
        <charset val="1"/>
      </rPr>
      <t xml:space="preserve">, </t>
    </r>
    <r>
      <rPr>
        <sz val="10"/>
        <rFont val="WenQuanYi Zen Hei"/>
        <family val="2"/>
      </rPr>
      <t xml:space="preserve">규제정보 검색 서비스</t>
    </r>
    <r>
      <rPr>
        <sz val="10"/>
        <rFont val="Arial"/>
        <family val="2"/>
        <charset val="1"/>
      </rPr>
      <t xml:space="preserve">, </t>
    </r>
    <r>
      <rPr>
        <sz val="10"/>
        <rFont val="WenQuanYi Zen Hei"/>
        <family val="2"/>
      </rPr>
      <t xml:space="preserve">기상</t>
    </r>
    <r>
      <rPr>
        <sz val="10"/>
        <rFont val="Arial"/>
        <family val="2"/>
        <charset val="1"/>
      </rPr>
      <t xml:space="preserve">/</t>
    </r>
    <r>
      <rPr>
        <sz val="10"/>
        <rFont val="WenQuanYi Zen Hei"/>
        <family val="2"/>
      </rPr>
      <t xml:space="preserve">기후 관제 통합시스템</t>
    </r>
  </si>
  <si>
    <t xml:space="preserve">신사업개발부</t>
  </si>
  <si>
    <t xml:space="preserve">mhbaek93@naver.com</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</si>
  <si>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빅데이터와미래연구소</t>
    </r>
  </si>
  <si>
    <t xml:space="preserve">340-81-01186</t>
  </si>
  <si>
    <t xml:space="preserve">강계화</t>
  </si>
  <si>
    <t xml:space="preserve">010-2419-1247</t>
  </si>
  <si>
    <t xml:space="preserve">없음 (현재 개편중)</t>
  </si>
  <si>
    <t xml:space="preserve">ajsg4688@gmail.com</t>
  </si>
  <si>
    <t xml:space="preserve">대전 서구 둔산중로 138, 1014호(주은, 둔산동)</t>
  </si>
  <si>
    <r>
      <rPr>
        <sz val="10"/>
        <rFont val="Arial"/>
        <family val="2"/>
        <charset val="1"/>
      </rPr>
      <t xml:space="preserve">AI</t>
    </r>
    <r>
      <rPr>
        <sz val="10"/>
        <rFont val="WenQuanYi Zen Hei"/>
        <family val="2"/>
      </rPr>
      <t xml:space="preserve">분석 </t>
    </r>
    <r>
      <rPr>
        <sz val="10"/>
        <rFont val="Arial"/>
        <family val="2"/>
        <charset val="1"/>
      </rPr>
      <t xml:space="preserve">(</t>
    </r>
    <r>
      <rPr>
        <sz val="10"/>
        <rFont val="WenQuanYi Zen Hei"/>
        <family val="2"/>
      </rPr>
      <t xml:space="preserve">데이터 과학분야</t>
    </r>
    <r>
      <rPr>
        <sz val="10"/>
        <rFont val="Arial"/>
        <family val="2"/>
        <charset val="1"/>
      </rPr>
      <t xml:space="preserve">) </t>
    </r>
    <r>
      <rPr>
        <sz val="10"/>
        <rFont val="WenQuanYi Zen Hei"/>
        <family val="2"/>
      </rPr>
      <t xml:space="preserve">및 </t>
    </r>
    <r>
      <rPr>
        <sz val="10"/>
        <rFont val="Arial"/>
        <family val="2"/>
        <charset val="1"/>
      </rPr>
      <t xml:space="preserve">Local LLM </t>
    </r>
    <r>
      <rPr>
        <sz val="10"/>
        <rFont val="WenQuanYi Zen Hei"/>
        <family val="2"/>
      </rPr>
      <t xml:space="preserve">개발 </t>
    </r>
  </si>
  <si>
    <t xml:space="preserve">소장 </t>
  </si>
  <si>
    <t xml:space="preserve">kgh090@hanmail.net</t>
  </si>
  <si>
    <t xml:space="preserve">대표이상</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</si>
  <si>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에스티이지</t>
    </r>
  </si>
  <si>
    <t xml:space="preserve">214-88-23105</t>
  </si>
  <si>
    <t xml:space="preserve">임현길</t>
  </si>
  <si>
    <t xml:space="preserve">02-3473-3477</t>
  </si>
  <si>
    <t xml:space="preserve">steg.co.kr</t>
  </si>
  <si>
    <t xml:space="preserve">dylee@steg.co.kr</t>
  </si>
  <si>
    <t xml:space="preserve">서울특별시 금천구 가산디지털1로 128, 1009호</t>
  </si>
  <si>
    <t xml:space="preserve">유니버셜 워크플로우, AISM (AI 포탈플랫폼)</t>
  </si>
  <si>
    <t xml:space="preserve">정한균</t>
  </si>
  <si>
    <t xml:space="preserve">경영진</t>
  </si>
  <si>
    <t xml:space="preserve">hankunch@steg.co.kr</t>
  </si>
  <si>
    <t xml:space="preserve">010-9526-0003</t>
  </si>
  <si>
    <t xml:space="preserve">조영준</t>
  </si>
  <si>
    <r>
      <rPr>
        <sz val="10"/>
        <rFont val="Arial"/>
        <family val="2"/>
        <charset val="1"/>
      </rPr>
      <t xml:space="preserve">AX</t>
    </r>
    <r>
      <rPr>
        <sz val="10"/>
        <rFont val="WenQuanYi Zen Hei"/>
        <family val="2"/>
      </rPr>
      <t xml:space="preserve">플랫폼개발팀</t>
    </r>
  </si>
  <si>
    <t xml:space="preserve">yjcho@steg.co.kr</t>
  </si>
  <si>
    <t xml:space="preserve">010-9365-0257</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</si>
  <si>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매지스</t>
    </r>
  </si>
  <si>
    <t xml:space="preserve">645-87-00497</t>
  </si>
  <si>
    <t xml:space="preserve">임삼호</t>
  </si>
  <si>
    <t xml:space="preserve">02-794-8001</t>
  </si>
  <si>
    <t xml:space="preserve">www.magis.co.kr</t>
  </si>
  <si>
    <t xml:space="preserve">poon1079@gmail.com</t>
  </si>
  <si>
    <t xml:space="preserve">서울시 용산구 한강대로 46길 11, 3층</t>
  </si>
  <si>
    <t xml:space="preserve">모바일 통신 빅데이터 기반 데이터 처리 및 공간 AI 솔루션 개발 'VMAP_AI'</t>
  </si>
  <si>
    <t xml:space="preserve">최진영</t>
  </si>
  <si>
    <t xml:space="preserve">데이터사업본부</t>
  </si>
  <si>
    <t xml:space="preserve">jychoi@magis.co.kr</t>
  </si>
  <si>
    <t xml:space="preserve">010-4384-2100</t>
  </si>
  <si>
    <t xml:space="preserve">강창식</t>
  </si>
  <si>
    <t xml:space="preserve">cskang@magis.co.kr</t>
  </si>
  <si>
    <t xml:space="preserve">010-6358-2329</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</si>
  <si>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나라지식정보</t>
    </r>
  </si>
  <si>
    <t xml:space="preserve">105-87-16808</t>
  </si>
  <si>
    <t xml:space="preserve">손영호</t>
  </si>
  <si>
    <t xml:space="preserve">02-3141-7644</t>
  </si>
  <si>
    <t xml:space="preserve">www.narainformation.com</t>
  </si>
  <si>
    <t xml:space="preserve">shinnanta88@gmail.com</t>
  </si>
  <si>
    <t xml:space="preserve">서울 종로구 삼봉로81, 409호(두산위브파빌리온)</t>
  </si>
  <si>
    <r>
      <rPr>
        <sz val="10"/>
        <rFont val="Arial"/>
        <family val="2"/>
        <charset val="1"/>
      </rPr>
      <t xml:space="preserve">NARA OCR(</t>
    </r>
    <r>
      <rPr>
        <sz val="10"/>
        <rFont val="WenQuanYi Zen Hei"/>
        <family val="2"/>
      </rPr>
      <t xml:space="preserve">비정형 강점 범용 </t>
    </r>
    <r>
      <rPr>
        <sz val="10"/>
        <rFont val="Arial"/>
        <family val="2"/>
        <charset val="1"/>
      </rPr>
      <t xml:space="preserve">OCR-RAG LLM), A Doc Cube(</t>
    </r>
    <r>
      <rPr>
        <sz val="10"/>
        <rFont val="WenQuanYi Zen Hei"/>
        <family val="2"/>
      </rPr>
      <t xml:space="preserve">고문헌</t>
    </r>
    <r>
      <rPr>
        <sz val="10"/>
        <rFont val="Arial"/>
        <family val="2"/>
        <charset val="1"/>
      </rPr>
      <t xml:space="preserve">/</t>
    </r>
    <r>
      <rPr>
        <sz val="10"/>
        <rFont val="WenQuanYi Zen Hei"/>
        <family val="2"/>
      </rPr>
      <t xml:space="preserve">훼손문서</t>
    </r>
    <r>
      <rPr>
        <sz val="10"/>
        <rFont val="Arial"/>
        <family val="2"/>
        <charset val="1"/>
      </rPr>
      <t xml:space="preserve">OCR). </t>
    </r>
    <r>
      <rPr>
        <sz val="10"/>
        <rFont val="WenQuanYi Zen Hei"/>
        <family val="2"/>
      </rPr>
      <t xml:space="preserve">주춧돌</t>
    </r>
    <r>
      <rPr>
        <sz val="10"/>
        <rFont val="Arial"/>
        <family val="2"/>
        <charset val="1"/>
      </rPr>
      <t xml:space="preserve">LM(</t>
    </r>
    <r>
      <rPr>
        <sz val="10"/>
        <rFont val="WenQuanYi Zen Hei"/>
        <family val="2"/>
      </rPr>
      <t xml:space="preserve">근대문서 연구 </t>
    </r>
    <r>
      <rPr>
        <sz val="10"/>
        <rFont val="Arial"/>
        <family val="2"/>
        <charset val="1"/>
      </rPr>
      <t xml:space="preserve">AI Agent), NA-LLM(NA-LLM </t>
    </r>
    <r>
      <rPr>
        <sz val="10"/>
        <rFont val="WenQuanYi Zen Hei"/>
        <family val="2"/>
      </rPr>
      <t xml:space="preserve">민원처리 </t>
    </r>
    <r>
      <rPr>
        <sz val="10"/>
        <rFont val="Arial"/>
        <family val="2"/>
        <charset val="1"/>
      </rPr>
      <t xml:space="preserve">RAG, NA-LLM-REF vLLM </t>
    </r>
    <r>
      <rPr>
        <sz val="10"/>
        <rFont val="WenQuanYi Zen Hei"/>
        <family val="2"/>
      </rPr>
      <t xml:space="preserve">기반 자연어 지식 검색 시스템</t>
    </r>
    <r>
      <rPr>
        <sz val="10"/>
        <rFont val="Arial"/>
        <family val="2"/>
        <charset val="1"/>
      </rPr>
      <t xml:space="preserve">-</t>
    </r>
    <r>
      <rPr>
        <sz val="10"/>
        <rFont val="WenQuanYi Zen Hei"/>
        <family val="2"/>
      </rPr>
      <t xml:space="preserve">근거제시 </t>
    </r>
    <r>
      <rPr>
        <sz val="10"/>
        <rFont val="Arial"/>
        <family val="2"/>
        <charset val="1"/>
      </rPr>
      <t xml:space="preserve">XAI), NARA READ VOICE(</t>
    </r>
    <r>
      <rPr>
        <sz val="10"/>
        <rFont val="WenQuanYi Zen Hei"/>
        <family val="2"/>
      </rPr>
      <t xml:space="preserve">스마트 키보드</t>
    </r>
    <r>
      <rPr>
        <sz val="10"/>
        <rFont val="Arial"/>
        <family val="2"/>
        <charset val="1"/>
      </rPr>
      <t xml:space="preserve">.</t>
    </r>
    <r>
      <rPr>
        <sz val="10"/>
        <rFont val="WenQuanYi Zen Hei"/>
        <family val="2"/>
      </rPr>
      <t xml:space="preserve">시각장애인 업무보조 스마트 기술 및 기기</t>
    </r>
    <r>
      <rPr>
        <sz val="10"/>
        <rFont val="Arial"/>
        <family val="2"/>
        <charset val="1"/>
      </rPr>
      <t xml:space="preserve">), Metaverse Blind(</t>
    </r>
    <r>
      <rPr>
        <sz val="10"/>
        <rFont val="WenQuanYi Zen Hei"/>
        <family val="2"/>
      </rPr>
      <t xml:space="preserve">시각장애인 접근성지원 메타버스콘텐츠</t>
    </r>
    <r>
      <rPr>
        <sz val="10"/>
        <rFont val="Arial"/>
        <family val="2"/>
        <charset val="1"/>
      </rPr>
      <t xml:space="preserve">),NARA Detection AI(</t>
    </r>
    <r>
      <rPr>
        <sz val="10"/>
        <rFont val="WenQuanYi Zen Hei"/>
        <family val="2"/>
      </rPr>
      <t xml:space="preserve">영상기반 쓰러짐 감지 </t>
    </r>
    <r>
      <rPr>
        <sz val="10"/>
        <rFont val="Arial"/>
        <family val="2"/>
        <charset val="1"/>
      </rPr>
      <t xml:space="preserve">AI)</t>
    </r>
  </si>
  <si>
    <t xml:space="preserve">김소정</t>
  </si>
  <si>
    <t xml:space="preserve">인문인공지능연구소</t>
  </si>
  <si>
    <t xml:space="preserve">sojung.kim@narainformation.com</t>
  </si>
  <si>
    <t xml:space="preserve">010-4634-8773</t>
  </si>
  <si>
    <t xml:space="preserve">신난타</t>
  </si>
  <si>
    <t xml:space="preserve">부장/브랜드혁신기술부장</t>
  </si>
  <si>
    <t xml:space="preserve">shinnanta88@narainformation.com</t>
  </si>
  <si>
    <t xml:space="preserve">010-6289-5425</t>
  </si>
  <si>
    <t xml:space="preserve">한국과학기술정보연구원</t>
  </si>
  <si>
    <t xml:space="preserve">205-82-04043</t>
  </si>
  <si>
    <t xml:space="preserve">이식</t>
  </si>
  <si>
    <t xml:space="preserve">02-3299-6114</t>
  </si>
  <si>
    <t xml:space="preserve">www.kisti.re.kr</t>
  </si>
  <si>
    <t xml:space="preserve">skim@kisti.re.kr</t>
  </si>
  <si>
    <t xml:space="preserve">서울특별시 동대문구 회기로 66</t>
  </si>
  <si>
    <t xml:space="preserve">에이전트응용연구 및 과학기술-산업현장 적용</t>
  </si>
  <si>
    <t xml:space="preserve">김소영</t>
  </si>
  <si>
    <t xml:space="preserve">에이전트응용연구센터</t>
  </si>
  <si>
    <t xml:space="preserve">센터장</t>
  </si>
  <si>
    <t xml:space="preserve">02-3299-6128</t>
  </si>
  <si>
    <t xml:space="preserve">010-2518-8171</t>
  </si>
  <si>
    <t xml:space="preserve">양혜영</t>
  </si>
  <si>
    <t xml:space="preserve">에이전트연구팀</t>
  </si>
  <si>
    <t xml:space="preserve">02-3299-6069</t>
  </si>
  <si>
    <t xml:space="preserve">hyyang@kisti.re.kr</t>
  </si>
  <si>
    <t xml:space="preserve">010-9265-5661</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</si>
  <si>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리스크제로</t>
    </r>
  </si>
  <si>
    <t xml:space="preserve">488-87-00079</t>
  </si>
  <si>
    <t xml:space="preserve">최영호</t>
  </si>
  <si>
    <t xml:space="preserve">070-4145-4354</t>
  </si>
  <si>
    <t xml:space="preserve">https://www.riskzero.ai/</t>
  </si>
  <si>
    <t xml:space="preserve">jwoo77e@gmail.com</t>
  </si>
  <si>
    <t xml:space="preserve">서울시 성동구 성수일로77 서울숲IT밸리 1605호</t>
  </si>
  <si>
    <t xml:space="preserve">근로자 사고 위험도 예측 솔루션, AI Agent 기반 안전보건솔루션</t>
  </si>
  <si>
    <t xml:space="preserve">기술연구소</t>
  </si>
  <si>
    <t xml:space="preserve">010-8593-9496</t>
  </si>
  <si>
    <t xml:space="preserve">bigone@riskzero.kr</t>
  </si>
  <si>
    <t xml:space="preserve">김재우</t>
  </si>
  <si>
    <t xml:space="preserve">010-2626-0711</t>
  </si>
  <si>
    <t xml:space="preserve">jaewoo.kim@riskzero.kr</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</si>
  <si>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시옷</t>
    </r>
  </si>
  <si>
    <t xml:space="preserve">264-81-47817</t>
  </si>
  <si>
    <t xml:space="preserve">박현주</t>
  </si>
  <si>
    <t xml:space="preserve">02-522-3107</t>
  </si>
  <si>
    <t xml:space="preserve">http://www.ciotsecurity.com</t>
  </si>
  <si>
    <t xml:space="preserve">susannapark106@gmail.com</t>
  </si>
  <si>
    <t xml:space="preserve">서울특별시 서초구 서초대로 74길 45, 엔데버빌딩 14층</t>
  </si>
  <si>
    <r>
      <rPr>
        <sz val="10"/>
        <rFont val="Arial"/>
        <family val="2"/>
        <charset val="1"/>
      </rPr>
      <t xml:space="preserve">AI</t>
    </r>
    <r>
      <rPr>
        <sz val="10"/>
        <rFont val="WenQuanYi Zen Hei"/>
        <family val="2"/>
      </rPr>
      <t xml:space="preserve">융합보안</t>
    </r>
    <r>
      <rPr>
        <sz val="10"/>
        <rFont val="Arial"/>
        <family val="2"/>
        <charset val="1"/>
      </rPr>
      <t xml:space="preserve">, </t>
    </r>
    <r>
      <rPr>
        <sz val="10"/>
        <rFont val="WenQuanYi Zen Hei"/>
        <family val="2"/>
      </rPr>
      <t xml:space="preserve">정보유출탐지솔루션</t>
    </r>
  </si>
  <si>
    <t xml:space="preserve">hjpark@ciotsecurity.com</t>
  </si>
  <si>
    <t xml:space="preserve">010-8645-5975</t>
  </si>
  <si>
    <t xml:space="preserve">이길용</t>
  </si>
  <si>
    <t xml:space="preserve">전략기획사업부</t>
  </si>
  <si>
    <t xml:space="preserve">gylee@ciotsecurity.com</t>
  </si>
  <si>
    <t xml:space="preserve">010-8679-0020</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</si>
  <si>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엑사이즈</t>
    </r>
  </si>
  <si>
    <t xml:space="preserve">309-88-00318</t>
  </si>
  <si>
    <t xml:space="preserve">홍미정</t>
  </si>
  <si>
    <t xml:space="preserve">02-567-8030</t>
  </si>
  <si>
    <t xml:space="preserve">exais.kr</t>
  </si>
  <si>
    <t xml:space="preserve">skynod73@gmail.com</t>
  </si>
  <si>
    <t xml:space="preserve">서울시 서초구 강남대로53길 8, 5층 2-3호</t>
  </si>
  <si>
    <t xml:space="preserve">빅데이터 수집 구조화 기술, ToT 추론 모델</t>
  </si>
  <si>
    <t xml:space="preserve">전주천</t>
  </si>
  <si>
    <t xml:space="preserve">010-5115-5781</t>
  </si>
  <si>
    <t xml:space="preserve">joujeon@exais.kr</t>
  </si>
  <si>
    <t xml:space="preserve">이선재</t>
  </si>
  <si>
    <t xml:space="preserve">010-4516-1080</t>
  </si>
  <si>
    <t xml:space="preserve">sjlee86@exais.kr</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</si>
  <si>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이즈파크</t>
    </r>
  </si>
  <si>
    <t xml:space="preserve">609-81-90161</t>
  </si>
  <si>
    <t xml:space="preserve">김갑산</t>
  </si>
  <si>
    <t xml:space="preserve">02-6430-1620</t>
  </si>
  <si>
    <t xml:space="preserve">https://www.ispark.kr/</t>
  </si>
  <si>
    <t xml:space="preserve">light519519@gmail.com</t>
  </si>
  <si>
    <t xml:space="preserve">서울시 금천구 가산디지털2로 43-14, 803~820호(가산동, 한화비즈메트로2차)</t>
  </si>
  <si>
    <r>
      <rPr>
        <sz val="10"/>
        <rFont val="Arial"/>
        <family val="2"/>
        <charset val="1"/>
      </rPr>
      <t xml:space="preserve">PA(People Analytics), RAG, TextToSQL, TeamAgent(</t>
    </r>
    <r>
      <rPr>
        <sz val="10"/>
        <rFont val="WenQuanYi Zen Hei"/>
        <family val="2"/>
      </rPr>
      <t xml:space="preserve">솔루션</t>
    </r>
    <r>
      <rPr>
        <sz val="10"/>
        <rFont val="Arial"/>
        <family val="2"/>
        <charset val="1"/>
      </rPr>
      <t xml:space="preserve">), </t>
    </r>
    <r>
      <rPr>
        <sz val="10"/>
        <rFont val="WenQuanYi Zen Hei"/>
        <family val="2"/>
      </rPr>
      <t xml:space="preserve">제조</t>
    </r>
    <r>
      <rPr>
        <sz val="10"/>
        <rFont val="Arial"/>
        <family val="2"/>
        <charset val="1"/>
      </rPr>
      <t xml:space="preserve">AI </t>
    </r>
    <r>
      <rPr>
        <sz val="10"/>
        <rFont val="WenQuanYi Zen Hei"/>
        <family val="2"/>
      </rPr>
      <t xml:space="preserve">등</t>
    </r>
  </si>
  <si>
    <t xml:space="preserve">홍덕기</t>
  </si>
  <si>
    <r>
      <rPr>
        <sz val="10"/>
        <rFont val="Arial"/>
        <family val="2"/>
        <charset val="1"/>
      </rPr>
      <t xml:space="preserve">AX</t>
    </r>
    <r>
      <rPr>
        <sz val="10"/>
        <rFont val="WenQuanYi Zen Hei"/>
        <family val="2"/>
      </rPr>
      <t xml:space="preserve">그룹</t>
    </r>
  </si>
  <si>
    <t xml:space="preserve">dkhong@ispark.kr</t>
  </si>
  <si>
    <t xml:space="preserve">010-2883-3556</t>
  </si>
  <si>
    <t xml:space="preserve">형광민</t>
  </si>
  <si>
    <t xml:space="preserve">융합AI사업부</t>
  </si>
  <si>
    <t xml:space="preserve">kmhyung@ispark.kr</t>
  </si>
  <si>
    <t xml:space="preserve">010-8759-7648</t>
  </si>
  <si>
    <t xml:space="preserve">주식회사 투비유니콘</t>
  </si>
  <si>
    <t xml:space="preserve">870-86-01815</t>
  </si>
  <si>
    <t xml:space="preserve">윤진욱</t>
  </si>
  <si>
    <t xml:space="preserve">1644-1013</t>
  </si>
  <si>
    <t xml:space="preserve">www.tobeunicorn.kr</t>
  </si>
  <si>
    <t xml:space="preserve">wjddms101@gmail.com</t>
  </si>
  <si>
    <t xml:space="preserve">충남 천안시 동남구 청수8로 56(청당동)</t>
  </si>
  <si>
    <t xml:space="preserve">미션크리티컬 AI</t>
  </si>
  <si>
    <t xml:space="preserve">sigmund@tobeunicorn.kr</t>
  </si>
  <si>
    <t xml:space="preserve">010-4417-5908</t>
  </si>
  <si>
    <t xml:space="preserve">김재수</t>
  </si>
  <si>
    <t xml:space="preserve">010-8184-4050</t>
  </si>
  <si>
    <t xml:space="preserve">jaesoo@tobeunicorn.kr</t>
  </si>
  <si>
    <t xml:space="preserve">디딤365 주식회사</t>
  </si>
  <si>
    <t xml:space="preserve">220-87-09625</t>
  </si>
  <si>
    <t xml:space="preserve">장민호</t>
  </si>
  <si>
    <t xml:space="preserve">02-853-0365</t>
  </si>
  <si>
    <t xml:space="preserve">www.didim365.com</t>
  </si>
  <si>
    <t xml:space="preserve">didimplan2025@gmail.com</t>
  </si>
  <si>
    <t xml:space="preserve">서울특별시 구로구 디지털로26길 43 R동 12층</t>
  </si>
  <si>
    <t xml:space="preserve">AI Agent, AI Cloud(MSP), AI Big data - DidimRAG,DidimT2SQL,DidimDP,DidimAgentBuilder</t>
  </si>
  <si>
    <t xml:space="preserve">010-3281-6722</t>
  </si>
  <si>
    <t xml:space="preserve">ykkim@didim365.com</t>
  </si>
  <si>
    <t xml:space="preserve">김용경</t>
  </si>
  <si>
    <t xml:space="preserve">상무-기업부설연구소장</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</si>
  <si>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카라멜라</t>
    </r>
  </si>
  <si>
    <t xml:space="preserve">405-86-01678</t>
  </si>
  <si>
    <t xml:space="preserve">박서연</t>
  </si>
  <si>
    <t xml:space="preserve">062-714-3626</t>
  </si>
  <si>
    <t xml:space="preserve">https://caramella.kr/ko-KR/</t>
  </si>
  <si>
    <t xml:space="preserve">wnsdhr7221@gmail.com</t>
  </si>
  <si>
    <t xml:space="preserve">광주광역시 남구 송암로24번 가길 46,503호 (광주실감콘텐츠큐브) 5층 503호 카라멜라</t>
  </si>
  <si>
    <r>
      <rPr>
        <sz val="10"/>
        <rFont val="Arial"/>
        <family val="2"/>
        <charset val="1"/>
      </rPr>
      <t xml:space="preserve">RAG/LLM </t>
    </r>
    <r>
      <rPr>
        <sz val="10"/>
        <rFont val="WenQuanYi Zen Hei"/>
        <family val="2"/>
      </rPr>
      <t xml:space="preserve">기반 전문 도메인 맞춤 </t>
    </r>
    <r>
      <rPr>
        <sz val="10"/>
        <rFont val="Arial"/>
        <family val="2"/>
        <charset val="1"/>
      </rPr>
      <t xml:space="preserve">AI Agent </t>
    </r>
    <r>
      <rPr>
        <sz val="10"/>
        <rFont val="WenQuanYi Zen Hei"/>
        <family val="2"/>
      </rPr>
      <t xml:space="preserve">서비스 </t>
    </r>
    <r>
      <rPr>
        <sz val="10"/>
        <rFont val="Arial"/>
        <family val="2"/>
        <charset val="1"/>
      </rPr>
      <t xml:space="preserve">(</t>
    </r>
    <r>
      <rPr>
        <sz val="10"/>
        <rFont val="WenQuanYi Zen Hei"/>
        <family val="2"/>
      </rPr>
      <t xml:space="preserve">사이트 바로가기 ▶ </t>
    </r>
    <r>
      <rPr>
        <sz val="10"/>
        <rFont val="Arial"/>
        <family val="2"/>
        <charset val="1"/>
      </rPr>
      <t xml:space="preserve">kimslab.ai / preview.kimslab.ai)</t>
    </r>
  </si>
  <si>
    <t xml:space="preserve">정 창용</t>
  </si>
  <si>
    <t xml:space="preserve">pm@caramella.kr</t>
  </si>
  <si>
    <t xml:space="preserve">010-7162-3636</t>
  </si>
  <si>
    <t xml:space="preserve">정준옥</t>
  </si>
  <si>
    <t xml:space="preserve">junok@caramella.kr</t>
  </si>
  <si>
    <t xml:space="preserve">010-7241-7221</t>
  </si>
  <si>
    <t xml:space="preserve">클로아이(주)</t>
  </si>
  <si>
    <t xml:space="preserve">519-88-02650</t>
  </si>
  <si>
    <t xml:space="preserve">김성룡</t>
  </si>
  <si>
    <t xml:space="preserve">070-8095-9212</t>
  </si>
  <si>
    <t xml:space="preserve">http://www.cloai.co.kr</t>
  </si>
  <si>
    <t xml:space="preserve">sedragons@gmail.com</t>
  </si>
  <si>
    <t xml:space="preserve">서울시 강남구 테헤란로 34길14, 정인빌딩 401호</t>
  </si>
  <si>
    <r>
      <rPr>
        <sz val="10"/>
        <rFont val="Arial"/>
        <family val="2"/>
        <charset val="1"/>
      </rPr>
      <t xml:space="preserve">AI </t>
    </r>
    <r>
      <rPr>
        <sz val="10"/>
        <rFont val="WenQuanYi Zen Hei"/>
        <family val="2"/>
      </rPr>
      <t xml:space="preserve">산업안전 도우미 </t>
    </r>
    <r>
      <rPr>
        <sz val="10"/>
        <rFont val="Arial"/>
        <family val="2"/>
        <charset val="1"/>
      </rPr>
      <t xml:space="preserve">LLM, </t>
    </r>
    <r>
      <rPr>
        <sz val="10"/>
        <rFont val="WenQuanYi Zen Hei"/>
        <family val="2"/>
      </rPr>
      <t xml:space="preserve">휴머노이드 로봇 행동인지 및 대화 시스템</t>
    </r>
  </si>
  <si>
    <t xml:space="preserve">010-4880-9949</t>
  </si>
  <si>
    <t xml:space="preserve">cloai@cloai.co.kr</t>
  </si>
  <si>
    <t xml:space="preserve">조세희</t>
  </si>
  <si>
    <r>
      <rPr>
        <sz val="10"/>
        <rFont val="Arial"/>
        <family val="2"/>
        <charset val="1"/>
      </rPr>
      <t xml:space="preserve">AI</t>
    </r>
    <r>
      <rPr>
        <sz val="10"/>
        <rFont val="WenQuanYi Zen Hei"/>
        <family val="2"/>
      </rPr>
      <t xml:space="preserve">사업부</t>
    </r>
  </si>
  <si>
    <t xml:space="preserve">010-7338-9133</t>
  </si>
  <si>
    <t xml:space="preserve">shjo@cloai.co.kr</t>
  </si>
  <si>
    <t xml:space="preserve">몬드리안에이아이 주식회사</t>
  </si>
  <si>
    <t xml:space="preserve">672-87-00994</t>
  </si>
  <si>
    <t xml:space="preserve">홍대의</t>
  </si>
  <si>
    <t xml:space="preserve">032-715-6065</t>
  </si>
  <si>
    <t xml:space="preserve">https://mondrian.ai/</t>
  </si>
  <si>
    <t xml:space="preserve">skkwak@mondrian.ai</t>
  </si>
  <si>
    <t xml:space="preserve">인천광역시 연수구 송도과학로 16번길 13-46, 701호, 702호</t>
  </si>
  <si>
    <t xml:space="preserve">RunyourAI(Agentic AI &amp; GPU Cloud), MonGPT(Industrial AI Solution), Yennefer(MLOps), AI Box(AI Appliance)</t>
  </si>
  <si>
    <t xml:space="preserve">소경호</t>
  </si>
  <si>
    <t xml:space="preserve">010-8464-3195</t>
  </si>
  <si>
    <t xml:space="preserve">khso@mondrian.ai</t>
  </si>
  <si>
    <t xml:space="preserve">곽상구</t>
  </si>
  <si>
    <t xml:space="preserve">010-3318-7003</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</si>
  <si>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아이에이클라우드</t>
    </r>
  </si>
  <si>
    <t xml:space="preserve">464-86-03210</t>
  </si>
  <si>
    <t xml:space="preserve">진승의</t>
  </si>
  <si>
    <t xml:space="preserve">031-607-3000</t>
  </si>
  <si>
    <t xml:space="preserve">https://iacloud.kr/</t>
  </si>
  <si>
    <t xml:space="preserve">seokelkel@gmail.com</t>
  </si>
  <si>
    <t xml:space="preserve">경기도 성남시 분당구 구미로 8, 2층</t>
  </si>
  <si>
    <r>
      <rPr>
        <sz val="10"/>
        <rFont val="Arial"/>
        <family val="2"/>
        <charset val="1"/>
      </rPr>
      <t xml:space="preserve">AI </t>
    </r>
    <r>
      <rPr>
        <sz val="10"/>
        <rFont val="WenQuanYi Zen Hei"/>
        <family val="2"/>
      </rPr>
      <t xml:space="preserve">인프라 클라우드 솔루션</t>
    </r>
  </si>
  <si>
    <t xml:space="preserve">양동희</t>
  </si>
  <si>
    <t xml:space="preserve">010-7108-3596</t>
  </si>
  <si>
    <t xml:space="preserve">dh.yang@iacloud.kr</t>
  </si>
  <si>
    <t xml:space="preserve">010-5120-3987</t>
  </si>
  <si>
    <t xml:space="preserve">서중원</t>
  </si>
  <si>
    <t xml:space="preserve">전략마케팅팀</t>
  </si>
  <si>
    <t xml:space="preserve">차장/전략마케팅팀팀원</t>
  </si>
  <si>
    <t xml:space="preserve">jayden.seo@iacloud.kr</t>
  </si>
  <si>
    <t xml:space="preserve">010-9601-1007</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</si>
  <si>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솔로몬텍</t>
    </r>
  </si>
  <si>
    <t xml:space="preserve">114-86-94266</t>
  </si>
  <si>
    <t xml:space="preserve">홍성진/홍지수</t>
  </si>
  <si>
    <t xml:space="preserve">02-508-6781</t>
  </si>
  <si>
    <t xml:space="preserve">https://www.solomontech.net/</t>
  </si>
  <si>
    <t xml:space="preserve">khjmaybeme@gmail.com</t>
  </si>
  <si>
    <t xml:space="preserve">서울시 금천구 디지털로 178 가산퍼블릭 A-719</t>
  </si>
  <si>
    <r>
      <rPr>
        <sz val="10"/>
        <rFont val="Arial"/>
        <family val="2"/>
        <charset val="1"/>
      </rPr>
      <t xml:space="preserve">AI</t>
    </r>
    <r>
      <rPr>
        <sz val="10"/>
        <rFont val="WenQuanYi Zen Hei"/>
        <family val="2"/>
      </rPr>
      <t xml:space="preserve">네이티브</t>
    </r>
    <r>
      <rPr>
        <sz val="10"/>
        <rFont val="Arial"/>
        <family val="2"/>
        <charset val="1"/>
      </rPr>
      <t xml:space="preserve">/Agentic AI </t>
    </r>
    <r>
      <rPr>
        <sz val="10"/>
        <rFont val="WenQuanYi Zen Hei"/>
        <family val="2"/>
      </rPr>
      <t xml:space="preserve">분야</t>
    </r>
    <r>
      <rPr>
        <sz val="10"/>
        <rFont val="Arial"/>
        <family val="2"/>
        <charset val="1"/>
      </rPr>
      <t xml:space="preserve">, </t>
    </r>
    <r>
      <rPr>
        <sz val="10"/>
        <rFont val="WenQuanYi Zen Hei"/>
        <family val="2"/>
      </rPr>
      <t xml:space="preserve">솔루션 </t>
    </r>
    <r>
      <rPr>
        <sz val="10"/>
        <rFont val="Arial"/>
        <family val="2"/>
        <charset val="1"/>
      </rPr>
      <t xml:space="preserve">2</t>
    </r>
    <r>
      <rPr>
        <sz val="10"/>
        <rFont val="WenQuanYi Zen Hei"/>
        <family val="2"/>
      </rPr>
      <t xml:space="preserve">종</t>
    </r>
    <r>
      <rPr>
        <sz val="10"/>
        <rFont val="Arial"/>
        <family val="2"/>
        <charset val="1"/>
      </rPr>
      <t xml:space="preserve">: </t>
    </r>
    <r>
      <rPr>
        <sz val="10"/>
        <rFont val="WenQuanYi Zen Hei"/>
        <family val="2"/>
      </rPr>
      <t xml:space="preserve">인텔리허브</t>
    </r>
    <r>
      <rPr>
        <sz val="10"/>
        <rFont val="Arial"/>
        <family val="2"/>
        <charset val="1"/>
      </rPr>
      <t xml:space="preserve">/</t>
    </r>
    <r>
      <rPr>
        <sz val="10"/>
        <rFont val="WenQuanYi Zen Hei"/>
        <family val="2"/>
      </rPr>
      <t xml:space="preserve">인텔리코어</t>
    </r>
  </si>
  <si>
    <t xml:space="preserve">김홍준</t>
  </si>
  <si>
    <r>
      <rPr>
        <sz val="10"/>
        <rFont val="Arial"/>
        <family val="2"/>
        <charset val="1"/>
      </rPr>
      <t xml:space="preserve">EIS</t>
    </r>
    <r>
      <rPr>
        <sz val="10"/>
        <rFont val="WenQuanYi Zen Hei"/>
        <family val="2"/>
      </rPr>
      <t xml:space="preserve">사업부</t>
    </r>
    <r>
      <rPr>
        <sz val="10"/>
        <rFont val="Arial"/>
        <family val="2"/>
        <charset val="1"/>
      </rPr>
      <t xml:space="preserve">/AI </t>
    </r>
    <r>
      <rPr>
        <sz val="10"/>
        <rFont val="WenQuanYi Zen Hei"/>
        <family val="2"/>
      </rPr>
      <t xml:space="preserve">네이티브 에듀센터</t>
    </r>
  </si>
  <si>
    <t xml:space="preserve">상무/센터장</t>
  </si>
  <si>
    <t xml:space="preserve">hj.kim7@solomontech.net</t>
  </si>
  <si>
    <t xml:space="preserve">010-7128-7687</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</si>
  <si>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티윈</t>
    </r>
  </si>
  <si>
    <t xml:space="preserve">651-81-00883</t>
  </si>
  <si>
    <t xml:space="preserve">조영현</t>
  </si>
  <si>
    <t xml:space="preserve">031-890-5800</t>
  </si>
  <si>
    <t xml:space="preserve">t.winbiz2020@gmail.com</t>
  </si>
  <si>
    <t xml:space="preserve">경기도 용인시 수지구 포은대로 59번길 37, 6층 610호</t>
  </si>
  <si>
    <r>
      <rPr>
        <sz val="10"/>
        <rFont val="Arial"/>
        <family val="2"/>
        <charset val="1"/>
      </rPr>
      <t xml:space="preserve">sLLM, Agentic AI, Ai-den ( AI</t>
    </r>
    <r>
      <rPr>
        <sz val="10"/>
        <rFont val="WenQuanYi Zen Hei"/>
        <family val="2"/>
      </rPr>
      <t xml:space="preserve">기반 </t>
    </r>
    <r>
      <rPr>
        <sz val="10"/>
        <rFont val="Arial"/>
        <family val="2"/>
        <charset val="1"/>
      </rPr>
      <t xml:space="preserve">CMS</t>
    </r>
    <r>
      <rPr>
        <sz val="10"/>
        <rFont val="WenQuanYi Zen Hei"/>
        <family val="2"/>
      </rPr>
      <t xml:space="preserve">솔루션 </t>
    </r>
    <r>
      <rPr>
        <sz val="10"/>
        <rFont val="Arial"/>
        <family val="2"/>
        <charset val="1"/>
      </rPr>
      <t xml:space="preserve">)</t>
    </r>
  </si>
  <si>
    <t xml:space="preserve">황문상</t>
  </si>
  <si>
    <t xml:space="preserve">신사업추진팀</t>
  </si>
  <si>
    <t xml:space="preserve">분부장</t>
  </si>
  <si>
    <t xml:space="preserve">010-4059-3397</t>
  </si>
  <si>
    <t xml:space="preserve">강예슬</t>
  </si>
  <si>
    <r>
      <rPr>
        <sz val="10"/>
        <rFont val="Arial"/>
        <family val="2"/>
        <charset val="1"/>
      </rPr>
      <t xml:space="preserve">HR</t>
    </r>
    <r>
      <rPr>
        <sz val="10"/>
        <rFont val="WenQuanYi Zen Hei"/>
        <family val="2"/>
      </rPr>
      <t xml:space="preserve">기획</t>
    </r>
  </si>
  <si>
    <t xml:space="preserve">yseul@t-win.kr</t>
  </si>
  <si>
    <t xml:space="preserve">010-9089-8007</t>
  </si>
  <si>
    <t xml:space="preserve">위인터랙트(주)</t>
  </si>
  <si>
    <t xml:space="preserve">255-88-01330</t>
  </si>
  <si>
    <t xml:space="preserve">김인수</t>
  </si>
  <si>
    <t xml:space="preserve">010-3245-0592</t>
  </si>
  <si>
    <t xml:space="preserve">www.weinteract.co</t>
  </si>
  <si>
    <t xml:space="preserve">keycosmos3@gmail.com</t>
  </si>
  <si>
    <t xml:space="preserve">서울 마포구 마포대로 122, 프론트원 11층</t>
  </si>
  <si>
    <t xml:space="preserve">학술, 연구자, 연구기관 데이터 기반 AI Agent(LLM), 생물의학데이터 기반 AI</t>
  </si>
  <si>
    <t xml:space="preserve">010-9189-8984</t>
  </si>
  <si>
    <t xml:space="preserve">insu@weinteract.co</t>
  </si>
  <si>
    <t xml:space="preserve">김대한</t>
  </si>
  <si>
    <t xml:space="preserve">연구</t>
  </si>
  <si>
    <t xml:space="preserve">dhkim@weinteract.co</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</si>
  <si>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한국키네티코엔지니어링</t>
    </r>
  </si>
  <si>
    <t xml:space="preserve">501-81-18337</t>
  </si>
  <si>
    <t xml:space="preserve">오재완</t>
  </si>
  <si>
    <t xml:space="preserve">053-255-2583</t>
  </si>
  <si>
    <t xml:space="preserve">https://osgloture.org</t>
  </si>
  <si>
    <t xml:space="preserve">mso@osgloture.org</t>
  </si>
  <si>
    <t xml:space="preserve">대구 수성구 알파시티1로 194 602호</t>
  </si>
  <si>
    <t xml:space="preserve">온디바이스 AI</t>
  </si>
  <si>
    <t xml:space="preserve">오민수</t>
  </si>
  <si>
    <t xml:space="preserve">영업마케팅</t>
  </si>
  <si>
    <t xml:space="preserve">010-8780-1771</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</si>
  <si>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에이쓰리</t>
    </r>
  </si>
  <si>
    <t xml:space="preserve">784-86-12788</t>
  </si>
  <si>
    <t xml:space="preserve">박의환</t>
  </si>
  <si>
    <t xml:space="preserve">010-3160-7849</t>
  </si>
  <si>
    <t xml:space="preserve">https://a3ai.net</t>
  </si>
  <si>
    <t xml:space="preserve">clemense.lee@gmail.com</t>
  </si>
  <si>
    <t xml:space="preserve">경상남도 창원시 마산회원구 봉암북7길21 4동 302호</t>
  </si>
  <si>
    <r>
      <rPr>
        <sz val="10"/>
        <rFont val="Arial"/>
        <family val="2"/>
        <charset val="1"/>
      </rPr>
      <t xml:space="preserve">A3 Safety CCTV, A3 Safety Gaurd Agent </t>
    </r>
    <r>
      <rPr>
        <sz val="10"/>
        <rFont val="WenQuanYi Zen Hei"/>
        <family val="2"/>
      </rPr>
      <t xml:space="preserve">등</t>
    </r>
  </si>
  <si>
    <t xml:space="preserve">이재용</t>
  </si>
  <si>
    <t xml:space="preserve">jaeyong.lee@a3ai.net</t>
  </si>
  <si>
    <t xml:space="preserve">김준호</t>
  </si>
  <si>
    <r>
      <rPr>
        <sz val="10"/>
        <rFont val="Arial"/>
        <family val="2"/>
        <charset val="1"/>
      </rPr>
      <t xml:space="preserve">AI</t>
    </r>
    <r>
      <rPr>
        <sz val="10"/>
        <rFont val="WenQuanYi Zen Hei"/>
        <family val="2"/>
      </rPr>
      <t xml:space="preserve">응용개발팀</t>
    </r>
  </si>
  <si>
    <t xml:space="preserve">010-6267-4217</t>
  </si>
  <si>
    <t xml:space="preserve">junho.kim@a3ai.net</t>
  </si>
  <si>
    <t xml:space="preserve">주식회사 제네시스랩</t>
  </si>
  <si>
    <t xml:space="preserve">421-88-00471</t>
  </si>
  <si>
    <t xml:space="preserve">이영복</t>
  </si>
  <si>
    <t xml:space="preserve">02-6402-0118</t>
  </si>
  <si>
    <t xml:space="preserve">www.genesislab.ai</t>
  </si>
  <si>
    <t xml:space="preserve">yb@genesislab.ai</t>
  </si>
  <si>
    <t xml:space="preserve">서울시 중구 명동길 73, 페이지명동 5층</t>
  </si>
  <si>
    <r>
      <rPr>
        <sz val="10"/>
        <rFont val="Arial"/>
        <family val="2"/>
        <charset val="1"/>
      </rPr>
      <t xml:space="preserve">AI</t>
    </r>
    <r>
      <rPr>
        <sz val="10"/>
        <rFont val="WenQuanYi Zen Hei"/>
        <family val="2"/>
      </rPr>
      <t xml:space="preserve">면접 뷰인터</t>
    </r>
    <r>
      <rPr>
        <sz val="10"/>
        <rFont val="Arial"/>
        <family val="2"/>
        <charset val="1"/>
      </rPr>
      <t xml:space="preserve">HR, AI Agent </t>
    </r>
    <r>
      <rPr>
        <sz val="10"/>
        <rFont val="WenQuanYi Zen Hei"/>
        <family val="2"/>
      </rPr>
      <t xml:space="preserve">빌더 </t>
    </r>
    <r>
      <rPr>
        <sz val="10"/>
        <rFont val="Arial"/>
        <family val="2"/>
        <charset val="1"/>
      </rPr>
      <t xml:space="preserve">Agentria</t>
    </r>
  </si>
  <si>
    <t xml:space="preserve">010-4446-2331</t>
  </si>
  <si>
    <t xml:space="preserve">육근식</t>
  </si>
  <si>
    <t xml:space="preserve">사업총괄</t>
  </si>
  <si>
    <t xml:space="preserve">010-8080-4724</t>
  </si>
  <si>
    <t xml:space="preserve">gs.yuk@genesislab.ai</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</si>
  <si>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페픽</t>
    </r>
  </si>
  <si>
    <t xml:space="preserve">268-86-02613</t>
  </si>
  <si>
    <t xml:space="preserve">유연수</t>
  </si>
  <si>
    <t xml:space="preserve">010-4454-1324</t>
  </si>
  <si>
    <t xml:space="preserve">https://pefic.ai</t>
  </si>
  <si>
    <t xml:space="preserve">kyungsan1117@gmail.com</t>
  </si>
  <si>
    <t xml:space="preserve">광주광역시 동구 동계천로 150, 506호</t>
  </si>
  <si>
    <t xml:space="preserve">생성형 AI 기반 챗봇, AI 에이전트, AI 영상 생성 기술 보유</t>
  </si>
  <si>
    <t xml:space="preserve">powinz@pefic.ai</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</si>
  <si>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한국인프라</t>
    </r>
  </si>
  <si>
    <t xml:space="preserve">229-81-06899</t>
  </si>
  <si>
    <t xml:space="preserve">김기영</t>
  </si>
  <si>
    <t xml:space="preserve">02-6204-5000</t>
  </si>
  <si>
    <t xml:space="preserve">http://www.krinfra.co.kr</t>
  </si>
  <si>
    <t xml:space="preserve">mhlee@krinfra.co.kr</t>
  </si>
  <si>
    <t xml:space="preserve">서울시 강남구 삼성로 150 극동교회빌딩 3층</t>
  </si>
  <si>
    <r>
      <rPr>
        <sz val="10"/>
        <rFont val="Arial"/>
        <family val="2"/>
        <charset val="1"/>
      </rPr>
      <t xml:space="preserve">physical AI </t>
    </r>
    <r>
      <rPr>
        <sz val="10"/>
        <rFont val="WenQuanYi Zen Hei"/>
        <family val="2"/>
      </rPr>
      <t xml:space="preserve">적용 디지털 트윈</t>
    </r>
  </si>
  <si>
    <t xml:space="preserve">경영지원팀</t>
  </si>
  <si>
    <t xml:space="preserve">02-6204-5001</t>
  </si>
  <si>
    <t xml:space="preserve">kykim@krinfra.co.kr</t>
  </si>
  <si>
    <t xml:space="preserve">010-6249-5491</t>
  </si>
  <si>
    <t xml:space="preserve">이문희</t>
  </si>
  <si>
    <r>
      <rPr>
        <sz val="10"/>
        <rFont val="Arial"/>
        <family val="2"/>
        <charset val="1"/>
      </rPr>
      <t xml:space="preserve">DT</t>
    </r>
    <r>
      <rPr>
        <sz val="10"/>
        <rFont val="WenQuanYi Zen Hei"/>
        <family val="2"/>
      </rPr>
      <t xml:space="preserve">사업팀</t>
    </r>
  </si>
  <si>
    <t xml:space="preserve">02-6204-5037</t>
  </si>
  <si>
    <t xml:space="preserve">010-4232-0128</t>
  </si>
  <si>
    <t xml:space="preserve">주식회사 아이컴시스</t>
  </si>
  <si>
    <t xml:space="preserve">239-81-01251</t>
  </si>
  <si>
    <t xml:space="preserve">정기택</t>
  </si>
  <si>
    <t xml:space="preserve">02-2022-9000</t>
  </si>
  <si>
    <t xml:space="preserve">www.icomsys.co.kr</t>
  </si>
  <si>
    <t xml:space="preserve">ktjeong9@gmail.com</t>
  </si>
  <si>
    <t xml:space="preserve">서울시 금천구 서부샛길 606, 대성디폴리스B동 2206호 2207호</t>
  </si>
  <si>
    <r>
      <rPr>
        <sz val="10"/>
        <rFont val="Arial"/>
        <family val="2"/>
        <charset val="1"/>
      </rPr>
      <t xml:space="preserve">AICC </t>
    </r>
    <r>
      <rPr>
        <sz val="10"/>
        <rFont val="WenQuanYi Zen Hei"/>
        <family val="2"/>
      </rPr>
      <t xml:space="preserve">음성봇 솔루션</t>
    </r>
    <r>
      <rPr>
        <sz val="10"/>
        <rFont val="Arial"/>
        <family val="2"/>
        <charset val="1"/>
      </rPr>
      <t xml:space="preserve">, </t>
    </r>
    <r>
      <rPr>
        <sz val="10"/>
        <rFont val="WenQuanYi Zen Hei"/>
        <family val="2"/>
      </rPr>
      <t xml:space="preserve">동시통역솔루션</t>
    </r>
  </si>
  <si>
    <t xml:space="preserve">010-7668-0016</t>
  </si>
  <si>
    <t xml:space="preserve">ktjeong@icomsys.co.kr</t>
  </si>
  <si>
    <t xml:space="preserve">타이아 주식회사</t>
  </si>
  <si>
    <t xml:space="preserve">410-86-17847</t>
  </si>
  <si>
    <t xml:space="preserve">진이진, 이성미</t>
  </si>
  <si>
    <t xml:space="preserve">062-973-0782</t>
  </si>
  <si>
    <t xml:space="preserve">www.tiasolution.net</t>
  </si>
  <si>
    <t xml:space="preserve">bhshs336@gmail.com</t>
  </si>
  <si>
    <t xml:space="preserve">광주광역시 광산구 신창로 127, 신창타워 7/8층</t>
  </si>
  <si>
    <r>
      <rPr>
        <sz val="10"/>
        <rFont val="Arial"/>
        <family val="2"/>
        <charset val="1"/>
      </rPr>
      <t xml:space="preserve">Digital Twin, AX/DX, </t>
    </r>
    <r>
      <rPr>
        <sz val="10"/>
        <rFont val="WenQuanYi Zen Hei"/>
        <family val="2"/>
      </rPr>
      <t xml:space="preserve">스마트팩토리</t>
    </r>
    <r>
      <rPr>
        <sz val="10"/>
        <rFont val="Arial"/>
        <family val="2"/>
        <charset val="1"/>
      </rPr>
      <t xml:space="preserve">, </t>
    </r>
    <r>
      <rPr>
        <sz val="10"/>
        <rFont val="WenQuanYi Zen Hei"/>
        <family val="2"/>
      </rPr>
      <t xml:space="preserve">예지보전</t>
    </r>
  </si>
  <si>
    <t xml:space="preserve">진이진</t>
  </si>
  <si>
    <t xml:space="preserve">leejin.jin@tiasolution.net</t>
  </si>
  <si>
    <t xml:space="preserve">010-2609-9558</t>
  </si>
  <si>
    <t xml:space="preserve">변혜선</t>
  </si>
  <si>
    <t xml:space="preserve">기획관리팀</t>
  </si>
  <si>
    <t xml:space="preserve">hyesun.b@tiasolution.net</t>
  </si>
  <si>
    <t xml:space="preserve">010-2548-1960</t>
  </si>
  <si>
    <r>
      <rPr>
        <sz val="10"/>
        <rFont val="Arial"/>
        <family val="2"/>
        <charset val="1"/>
      </rPr>
      <t xml:space="preserve">(</t>
    </r>
    <r>
      <rPr>
        <sz val="10"/>
        <rFont val="WenQuanYi Zen Hei"/>
        <family val="2"/>
      </rPr>
      <t xml:space="preserve">주</t>
    </r>
    <r>
      <rPr>
        <sz val="10"/>
        <rFont val="Arial"/>
        <family val="2"/>
        <charset val="1"/>
      </rPr>
      <t xml:space="preserve">) </t>
    </r>
    <r>
      <rPr>
        <sz val="10"/>
        <rFont val="WenQuanYi Zen Hei"/>
        <family val="2"/>
      </rPr>
      <t xml:space="preserve">스마티</t>
    </r>
  </si>
  <si>
    <t xml:space="preserve">247-88-00927</t>
  </si>
  <si>
    <t xml:space="preserve">031-703-0961</t>
  </si>
  <si>
    <t xml:space="preserve">https://www.smatii.com/</t>
  </si>
  <si>
    <t xml:space="preserve">hamsum@gmail.com</t>
  </si>
  <si>
    <t xml:space="preserve">경기 성남시 분당구 판교역로 221 투썬월드빌딩 107호</t>
  </si>
  <si>
    <t xml:space="preserve">드론정보 이해당사자간 연계기술  / 영상 기반 인파밀집.연기(조기산불) 탐지등 (스마티뷰)</t>
  </si>
  <si>
    <t xml:space="preserve">서연곤</t>
  </si>
  <si>
    <t xml:space="preserve">010-9502-2166</t>
  </si>
  <si>
    <t xml:space="preserve"> 이솔</t>
  </si>
  <si>
    <t xml:space="preserve">선임연구원</t>
  </si>
  <si>
    <t xml:space="preserve">010-2455-8625</t>
  </si>
  <si>
    <t xml:space="preserve">sol@twosun.com</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</si>
  <si>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오픈드래프트</t>
    </r>
  </si>
  <si>
    <t xml:space="preserve">209-81-49083</t>
  </si>
  <si>
    <t xml:space="preserve">한재섭</t>
  </si>
  <si>
    <t xml:space="preserve">02-942-0210</t>
  </si>
  <si>
    <t xml:space="preserve">www.opendraft.co.kr</t>
  </si>
  <si>
    <t xml:space="preserve">bizproceo@gmail.com</t>
  </si>
  <si>
    <t xml:space="preserve">서울시 구로구 디지털로 33길 48 대륭포스트타워7차 908호 </t>
  </si>
  <si>
    <t xml:space="preserve">아래한글 문서추출필터, 기관 고유보고서 초안생성 솔루션</t>
  </si>
  <si>
    <t xml:space="preserve">관리</t>
  </si>
  <si>
    <t xml:space="preserve">jshan@opendraft.co.kr</t>
  </si>
  <si>
    <t xml:space="preserve">010-3313-0647</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</si>
  <si>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네오스펙트라</t>
    </r>
  </si>
  <si>
    <t xml:space="preserve">789-88-01852</t>
  </si>
  <si>
    <t xml:space="preserve">박세규</t>
  </si>
  <si>
    <t xml:space="preserve">070-8807-4952</t>
  </si>
  <si>
    <t xml:space="preserve">http://neospectra.co.kr</t>
  </si>
  <si>
    <t xml:space="preserve">jkchoi228@gmail.com</t>
  </si>
  <si>
    <t xml:space="preserve">서울특별시 금천구 가산디지털1로 145, 에이스하이엔드3차 409호</t>
  </si>
  <si>
    <t xml:space="preserve">영상 및 라이다 분석 AI 기술(SIMMETA Recon Platform &amp; Solution)</t>
  </si>
  <si>
    <t xml:space="preserve">최정규</t>
  </si>
  <si>
    <t xml:space="preserve">jkchoi228@neospectra.co.kr</t>
  </si>
  <si>
    <t xml:space="preserve">010-8502-0853</t>
  </si>
  <si>
    <t xml:space="preserve">황도희</t>
  </si>
  <si>
    <t xml:space="preserve">연구원</t>
  </si>
  <si>
    <t xml:space="preserve">ellahdh@neospectra.co.kr</t>
  </si>
  <si>
    <t xml:space="preserve">010-9580-1733</t>
  </si>
  <si>
    <t xml:space="preserve">케이저 주식회사</t>
  </si>
  <si>
    <t xml:space="preserve">646-87-03556</t>
  </si>
  <si>
    <t xml:space="preserve">견두헌</t>
  </si>
  <si>
    <t xml:space="preserve">010-9960-0640</t>
  </si>
  <si>
    <t xml:space="preserve">https://keiser.kr</t>
  </si>
  <si>
    <t xml:space="preserve">metalfocus@naver.com</t>
  </si>
  <si>
    <t xml:space="preserve">인천시 남동구 호구포로 194 마크원 IT동 1006호</t>
  </si>
  <si>
    <r>
      <rPr>
        <sz val="10"/>
        <rFont val="Arial"/>
        <family val="2"/>
        <charset val="1"/>
      </rPr>
      <t xml:space="preserve">GCC </t>
    </r>
    <r>
      <rPr>
        <sz val="10"/>
        <rFont val="WenQuanYi Zen Hei"/>
        <family val="2"/>
      </rPr>
      <t xml:space="preserve">인공지능 음악성분 조합검색</t>
    </r>
  </si>
  <si>
    <t xml:space="preserve">김수경</t>
  </si>
  <si>
    <t xml:space="preserve">총무팀</t>
  </si>
  <si>
    <t xml:space="preserve">사원 / 헹정</t>
  </si>
  <si>
    <t xml:space="preserve">010-8859-1182</t>
  </si>
  <si>
    <t xml:space="preserve">kimkeiser@naver.com</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</si>
  <si>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스캐터엑스</t>
    </r>
  </si>
  <si>
    <t xml:space="preserve">135-86-23619</t>
  </si>
  <si>
    <t xml:space="preserve">강명수</t>
  </si>
  <si>
    <t xml:space="preserve">070-4258-5655</t>
  </si>
  <si>
    <t xml:space="preserve">scatterx.co.kr</t>
  </si>
  <si>
    <t xml:space="preserve">hbee.micha@gmail.com</t>
  </si>
  <si>
    <t xml:space="preserve">서울특별시 강남구 테헤란로82길 15, 10층</t>
  </si>
  <si>
    <r>
      <rPr>
        <sz val="10"/>
        <rFont val="Arial"/>
        <family val="2"/>
        <charset val="1"/>
      </rPr>
      <t xml:space="preserve">AI </t>
    </r>
    <r>
      <rPr>
        <sz val="10"/>
        <rFont val="WenQuanYi Zen Hei"/>
        <family val="2"/>
      </rPr>
      <t xml:space="preserve">어시스턴트 및 멀티 </t>
    </r>
    <r>
      <rPr>
        <sz val="10"/>
        <rFont val="Arial"/>
        <family val="2"/>
        <charset val="1"/>
      </rPr>
      <t xml:space="preserve">LLM </t>
    </r>
    <r>
      <rPr>
        <sz val="10"/>
        <rFont val="WenQuanYi Zen Hei"/>
        <family val="2"/>
      </rPr>
      <t xml:space="preserve">오케스트레이션</t>
    </r>
    <r>
      <rPr>
        <sz val="10"/>
        <rFont val="Arial"/>
        <family val="2"/>
        <charset val="1"/>
      </rPr>
      <t xml:space="preserve">, AI </t>
    </r>
    <r>
      <rPr>
        <sz val="10"/>
        <rFont val="WenQuanYi Zen Hei"/>
        <family val="2"/>
      </rPr>
      <t xml:space="preserve">에이전트 기반 자동화 기술</t>
    </r>
  </si>
  <si>
    <t xml:space="preserve">대표이사실</t>
  </si>
  <si>
    <t xml:space="preserve">010-9320-7402</t>
  </si>
  <si>
    <t xml:space="preserve">ceo@scatterx.io</t>
  </si>
  <si>
    <t xml:space="preserve">권용우</t>
  </si>
  <si>
    <t xml:space="preserve">010-9927-3585</t>
  </si>
  <si>
    <t xml:space="preserve">micha@scatterx.io</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</si>
  <si>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드위치</t>
    </r>
  </si>
  <si>
    <t xml:space="preserve">773-81-02328</t>
  </si>
  <si>
    <t xml:space="preserve">이태석</t>
  </si>
  <si>
    <t xml:space="preserve">010-4660-6772</t>
  </si>
  <si>
    <t xml:space="preserve">https://dwitch.co.kr</t>
  </si>
  <si>
    <t xml:space="preserve">tslee@dwitch.co.kr</t>
  </si>
  <si>
    <t xml:space="preserve">서울시 송파구 중대로300, 5층</t>
  </si>
  <si>
    <t xml:space="preserve">개인정보 가명처리, 비식별화 - PIANO v2.0 (비정형), FORTE v1.0 (정형)</t>
  </si>
  <si>
    <t xml:space="preserve">경영기획본부</t>
  </si>
  <si>
    <t xml:space="preserve">정종화</t>
  </si>
  <si>
    <t xml:space="preserve">경영지원본부</t>
  </si>
  <si>
    <t xml:space="preserve">010-3051-8689</t>
  </si>
  <si>
    <t xml:space="preserve">jhjung@dwitch.co.kr</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</si>
  <si>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이글로벌시스템</t>
    </r>
  </si>
  <si>
    <t xml:space="preserve">114-86-39394</t>
  </si>
  <si>
    <t xml:space="preserve">강희창</t>
  </si>
  <si>
    <t xml:space="preserve">02-6447-6988</t>
  </si>
  <si>
    <t xml:space="preserve">https://eglobalsys.co.kr/</t>
  </si>
  <si>
    <t xml:space="preserve">jungmin82@gmail.com</t>
  </si>
  <si>
    <t xml:space="preserve">서울특별시 강남구 선릉로93길 54, 4층</t>
  </si>
  <si>
    <r>
      <rPr>
        <sz val="10"/>
        <rFont val="Arial"/>
        <family val="2"/>
        <charset val="1"/>
      </rPr>
      <t xml:space="preserve">DB</t>
    </r>
    <r>
      <rPr>
        <sz val="10"/>
        <rFont val="WenQuanYi Zen Hei"/>
        <family val="2"/>
      </rPr>
      <t xml:space="preserve">암호화</t>
    </r>
  </si>
  <si>
    <t xml:space="preserve">jmkim@eglobalsys.co.kr</t>
  </si>
  <si>
    <t xml:space="preserve">010-2568-2883</t>
  </si>
  <si>
    <t xml:space="preserve">양희만</t>
  </si>
  <si>
    <t xml:space="preserve">yang10000@eglobalsys.co.kr</t>
  </si>
  <si>
    <t xml:space="preserve">010-2909-5674</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</si>
  <si>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왕별</t>
    </r>
  </si>
  <si>
    <t xml:space="preserve">331-86-01251</t>
  </si>
  <si>
    <t xml:space="preserve">구태회</t>
  </si>
  <si>
    <t xml:space="preserve">010-8979-6333</t>
  </si>
  <si>
    <t xml:space="preserve">https://wangbyul.com/</t>
  </si>
  <si>
    <t xml:space="preserve">zxczxc2823@gmail.com</t>
  </si>
  <si>
    <t xml:space="preserve">세종 보듬3로 8-27 새한빌딩 504,505호</t>
  </si>
  <si>
    <r>
      <rPr>
        <sz val="10"/>
        <rFont val="Arial"/>
        <family val="2"/>
        <charset val="1"/>
      </rPr>
      <t xml:space="preserve">ESB </t>
    </r>
    <r>
      <rPr>
        <sz val="10"/>
        <rFont val="WenQuanYi Zen Hei"/>
        <family val="2"/>
      </rPr>
      <t xml:space="preserve">연계솔루션</t>
    </r>
    <r>
      <rPr>
        <sz val="10"/>
        <rFont val="Arial"/>
        <family val="2"/>
        <charset val="1"/>
      </rPr>
      <t xml:space="preserve">, APIGW, APIGW MCP </t>
    </r>
    <r>
      <rPr>
        <sz val="10"/>
        <rFont val="WenQuanYi Zen Hei"/>
        <family val="2"/>
      </rPr>
      <t xml:space="preserve">등</t>
    </r>
  </si>
  <si>
    <t xml:space="preserve">김동현</t>
  </si>
  <si>
    <t xml:space="preserve">전략기획팀/연구개발부</t>
  </si>
  <si>
    <t xml:space="preserve">010-2605-5261</t>
  </si>
  <si>
    <t xml:space="preserve">fdsa8851@wangbyul.com</t>
  </si>
  <si>
    <t xml:space="preserve">이상성</t>
  </si>
  <si>
    <t xml:space="preserve">010-4551-9111</t>
  </si>
  <si>
    <t xml:space="preserve">leesangseong@wangbyul.com</t>
  </si>
  <si>
    <t xml:space="preserve">위데이터랩 주식회사</t>
  </si>
  <si>
    <t xml:space="preserve">121-88-01115</t>
  </si>
  <si>
    <t xml:space="preserve">권건우</t>
  </si>
  <si>
    <t xml:space="preserve">010-6400-9127</t>
  </si>
  <si>
    <t xml:space="preserve">https://wedatalab.com/</t>
  </si>
  <si>
    <t xml:space="preserve">jjina810@wedatalab.com</t>
  </si>
  <si>
    <t xml:space="preserve">서울시 종로구 삼일대로 457, 수운회관 1303호 </t>
  </si>
  <si>
    <r>
      <rPr>
        <sz val="10"/>
        <rFont val="Arial"/>
        <family val="2"/>
        <charset val="1"/>
      </rPr>
      <t xml:space="preserve">AI</t>
    </r>
    <r>
      <rPr>
        <sz val="10"/>
        <rFont val="WenQuanYi Zen Hei"/>
        <family val="2"/>
      </rPr>
      <t xml:space="preserve">기반 시스템통합 모니터링 솔루션 </t>
    </r>
  </si>
  <si>
    <t xml:space="preserve">redpine71@wedatalab.com</t>
  </si>
  <si>
    <t xml:space="preserve">신재솔</t>
  </si>
  <si>
    <t xml:space="preserve">인공지능연구소</t>
  </si>
  <si>
    <t xml:space="preserve">010-7196-8188</t>
  </si>
  <si>
    <t xml:space="preserve">ysys143@wedatalab.com</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</si>
  <si>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에이스이앤티</t>
    </r>
  </si>
  <si>
    <t xml:space="preserve">620-81-32697</t>
  </si>
  <si>
    <t xml:space="preserve">052-233-0014</t>
  </si>
  <si>
    <t xml:space="preserve">http://www.aceent.co.kr/</t>
  </si>
  <si>
    <t xml:space="preserve">aceent0014@gmail.com</t>
  </si>
  <si>
    <t xml:space="preserve">울산광역시 울주군 서생면 에너지산업5로 72</t>
  </si>
  <si>
    <t xml:space="preserve">장비,로봇 기업</t>
  </si>
  <si>
    <t xml:space="preserve">김병석</t>
  </si>
  <si>
    <t xml:space="preserve">연구본부</t>
  </si>
  <si>
    <t xml:space="preserve">010-4874-2436 </t>
  </si>
  <si>
    <t xml:space="preserve">bsk0077@aceent.co.kr </t>
  </si>
  <si>
    <t xml:space="preserve">이니그마(주)</t>
  </si>
  <si>
    <t xml:space="preserve">140-81-62619</t>
  </si>
  <si>
    <t xml:space="preserve">임현진</t>
  </si>
  <si>
    <t xml:space="preserve">031-8039-7370</t>
  </si>
  <si>
    <t xml:space="preserve">www.enigma.so</t>
  </si>
  <si>
    <t xml:space="preserve">hyunjin.lim72@gmail.com</t>
  </si>
  <si>
    <t xml:space="preserve">경기도 성남시 수정구 창업로 54, 기업성장센터 527호</t>
  </si>
  <si>
    <t xml:space="preserve">지능형메시지 AI Agent</t>
  </si>
  <si>
    <t xml:space="preserve">연구개발</t>
  </si>
  <si>
    <t xml:space="preserve">under_ground@daum.net</t>
  </si>
  <si>
    <t xml:space="preserve">010-9161-3635</t>
  </si>
  <si>
    <t xml:space="preserve">주식회사 이지서티</t>
  </si>
  <si>
    <t xml:space="preserve">715-86-03253</t>
  </si>
  <si>
    <t xml:space="preserve">김동례</t>
  </si>
  <si>
    <t xml:space="preserve">02-865-5577</t>
  </si>
  <si>
    <t xml:space="preserve">www.easycerti.com</t>
  </si>
  <si>
    <t xml:space="preserve">easycerti.cs@gmail.com</t>
  </si>
  <si>
    <t xml:space="preserve">서울특별시 서초구 반포대로28길 39, 이지빌딩 3층, 4층</t>
  </si>
  <si>
    <t xml:space="preserve">지능형 소명관제 시스템, 지능형 실시간 탐지 개인정보 필터링 솔루션, 지능형 자동 가명결합 솔루션, 개인정보 접속기록관리 솔루션</t>
  </si>
  <si>
    <t xml:space="preserve">drkim@easycerti.com</t>
  </si>
  <si>
    <t xml:space="preserve">010-7133-7282</t>
  </si>
  <si>
    <t xml:space="preserve">김선재</t>
  </si>
  <si>
    <t xml:space="preserve">sjkim@easycerti.com</t>
  </si>
  <si>
    <t xml:space="preserve">010-8603-1999</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</si>
  <si>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아이티스테이션</t>
    </r>
  </si>
  <si>
    <t xml:space="preserve">402-81-37774</t>
  </si>
  <si>
    <t xml:space="preserve">전석기</t>
  </si>
  <si>
    <t xml:space="preserve">010-4939-1550</t>
  </si>
  <si>
    <t xml:space="preserve">itst.co.kr</t>
  </si>
  <si>
    <t xml:space="preserve">junyoungso74@gmail.com</t>
  </si>
  <si>
    <t xml:space="preserve">전북 전주시 완산구 우전로 312 5층</t>
  </si>
  <si>
    <t xml:space="preserve">취약점 탐지 및 분석, 정보보호솔루션</t>
  </si>
  <si>
    <t xml:space="preserve">063-232-1550</t>
  </si>
  <si>
    <t xml:space="preserve">jsg@itst.co.kr</t>
  </si>
  <si>
    <t xml:space="preserve">소준영</t>
  </si>
  <si>
    <t xml:space="preserve">선행기술연구소</t>
  </si>
  <si>
    <t xml:space="preserve">sjy@itst.co.kr</t>
  </si>
  <si>
    <t xml:space="preserve">010-4633-3123</t>
  </si>
  <si>
    <t xml:space="preserve">㈜ 타임소프트</t>
  </si>
  <si>
    <t xml:space="preserve">106-86-18345</t>
  </si>
  <si>
    <t xml:space="preserve">김철희</t>
  </si>
  <si>
    <t xml:space="preserve">02-2029-5060</t>
  </si>
  <si>
    <t xml:space="preserve">www.timesoft.co.kr</t>
  </si>
  <si>
    <t xml:space="preserve">kimimseun@gmail.com</t>
  </si>
  <si>
    <t xml:space="preserve">서울 금천구 가산디지털1로 24, 대륭 13차 504호</t>
  </si>
  <si>
    <t xml:space="preserve">AI agent, AIoT, Bigdata, Blockchain(Mammoth data)</t>
  </si>
  <si>
    <t xml:space="preserve">양승환</t>
  </si>
  <si>
    <r>
      <rPr>
        <sz val="10"/>
        <rFont val="Arial"/>
        <family val="2"/>
        <charset val="1"/>
      </rPr>
      <t xml:space="preserve">AX </t>
    </r>
    <r>
      <rPr>
        <sz val="10"/>
        <rFont val="WenQuanYi Zen Hei"/>
        <family val="2"/>
      </rPr>
      <t xml:space="preserve">사업부</t>
    </r>
  </si>
  <si>
    <t xml:space="preserve">전무이사</t>
  </si>
  <si>
    <t xml:space="preserve">010-4486-8859</t>
  </si>
  <si>
    <t xml:space="preserve">swyang@timesoft.co.kr</t>
  </si>
  <si>
    <t xml:space="preserve">김임선</t>
  </si>
  <si>
    <t xml:space="preserve">010-6657-8158</t>
  </si>
  <si>
    <t xml:space="preserve">kimimseun@timesoft.co.kr</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</si>
  <si>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소프트보울</t>
    </r>
  </si>
  <si>
    <t xml:space="preserve">120-87-98250</t>
  </si>
  <si>
    <t xml:space="preserve">이태규</t>
  </si>
  <si>
    <t xml:space="preserve">02-2038-3320</t>
  </si>
  <si>
    <t xml:space="preserve">www.softbowl.co.kr</t>
  </si>
  <si>
    <t xml:space="preserve">tobt73@gmail.com</t>
  </si>
  <si>
    <t xml:space="preserve">경기도 과천시 과천대로7길65, B동 518~520호</t>
  </si>
  <si>
    <r>
      <rPr>
        <sz val="10"/>
        <rFont val="Arial"/>
        <family val="2"/>
        <charset val="1"/>
      </rPr>
      <t xml:space="preserve">UI/UX </t>
    </r>
    <r>
      <rPr>
        <sz val="10"/>
        <rFont val="WenQuanYi Zen Hei"/>
        <family val="2"/>
      </rPr>
      <t xml:space="preserve">툴</t>
    </r>
    <r>
      <rPr>
        <sz val="10"/>
        <rFont val="Arial"/>
        <family val="2"/>
        <charset val="1"/>
      </rPr>
      <t xml:space="preserve">_SBGrid / SBUx / SBChart / SBWrapDoc</t>
    </r>
  </si>
  <si>
    <t xml:space="preserve">손현성</t>
  </si>
  <si>
    <t xml:space="preserve"> hsson@softbowl.co.kr</t>
  </si>
  <si>
    <t xml:space="preserve">010-2033-5375</t>
  </si>
  <si>
    <t xml:space="preserve">노정환</t>
  </si>
  <si>
    <t xml:space="preserve"> companyofpotato@softbowl.co.kr</t>
  </si>
  <si>
    <t xml:space="preserve">010-4094-4499</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</si>
  <si>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한국플랫폼서비스기술</t>
    </r>
  </si>
  <si>
    <t xml:space="preserve">314-86-18913</t>
  </si>
  <si>
    <t xml:space="preserve">이준혁</t>
  </si>
  <si>
    <t xml:space="preserve">042-489-1722</t>
  </si>
  <si>
    <t xml:space="preserve">https://www.kpst.co.kr/</t>
  </si>
  <si>
    <t xml:space="preserve">dkf2115@kpst.co.kr</t>
  </si>
  <si>
    <t xml:space="preserve">대전 서구 청사로 148,508호</t>
  </si>
  <si>
    <r>
      <rPr>
        <sz val="10"/>
        <rFont val="Arial"/>
        <family val="2"/>
        <charset val="1"/>
      </rPr>
      <t xml:space="preserve">AI </t>
    </r>
    <r>
      <rPr>
        <sz val="10"/>
        <rFont val="WenQuanYi Zen Hei"/>
        <family val="2"/>
      </rPr>
      <t xml:space="preserve">워크플로우 및 통합 학습 솔루션 </t>
    </r>
    <r>
      <rPr>
        <sz val="10"/>
        <rFont val="Arial"/>
        <family val="2"/>
        <charset val="1"/>
      </rPr>
      <t xml:space="preserve">, </t>
    </r>
    <r>
      <rPr>
        <sz val="10"/>
        <rFont val="WenQuanYi Zen Hei"/>
        <family val="2"/>
      </rPr>
      <t xml:space="preserve">산업안전 통합 분석 솔루션 </t>
    </r>
    <r>
      <rPr>
        <sz val="10"/>
        <rFont val="Arial"/>
        <family val="2"/>
        <charset val="1"/>
      </rPr>
      <t xml:space="preserve">, </t>
    </r>
    <r>
      <rPr>
        <sz val="10"/>
        <rFont val="WenQuanYi Zen Hei"/>
        <family val="2"/>
      </rPr>
      <t xml:space="preserve">영상정보 개인정보 비식별화 솔루션</t>
    </r>
  </si>
  <si>
    <t xml:space="preserve">010-5406-1703</t>
  </si>
  <si>
    <t xml:space="preserve">jun@kpst.co.kr</t>
  </si>
  <si>
    <t xml:space="preserve">정혜진</t>
  </si>
  <si>
    <t xml:space="preserve">관리부</t>
  </si>
  <si>
    <t xml:space="preserve">010-5796-2428</t>
  </si>
  <si>
    <t xml:space="preserve">주식회사 파수 </t>
  </si>
  <si>
    <t xml:space="preserve">120-86-06582</t>
  </si>
  <si>
    <t xml:space="preserve">조규곤</t>
  </si>
  <si>
    <t xml:space="preserve">02-300-9300</t>
  </si>
  <si>
    <t xml:space="preserve">www.fasoo.com</t>
  </si>
  <si>
    <t xml:space="preserve">cwsgood20@gmail.com</t>
  </si>
  <si>
    <t xml:space="preserve">서울특별시 마포구 월드컵북로 396, 누리꿈스퀘어 비즈니스타워 17층, 03925</t>
  </si>
  <si>
    <t xml:space="preserve"> eLLM </t>
  </si>
  <si>
    <t xml:space="preserve">최우선</t>
  </si>
  <si>
    <t xml:space="preserve">사업전략팀</t>
  </si>
  <si>
    <t xml:space="preserve">02-300-9122</t>
  </si>
  <si>
    <t xml:space="preserve">cwsgood@fasoo.com</t>
  </si>
  <si>
    <t xml:space="preserve">010-8266-5929</t>
  </si>
  <si>
    <t xml:space="preserve">최재호</t>
  </si>
  <si>
    <t xml:space="preserve">02-300-9133</t>
  </si>
  <si>
    <t xml:space="preserve">jhchoi@fasoo.com</t>
  </si>
  <si>
    <t xml:space="preserve">010-9764-6767</t>
  </si>
  <si>
    <t xml:space="preserve">주식회사 인스웨이브시스템즈</t>
  </si>
  <si>
    <t xml:space="preserve">107-86-16054</t>
  </si>
  <si>
    <t xml:space="preserve">어세룡</t>
  </si>
  <si>
    <t xml:space="preserve">02-2082-1400</t>
  </si>
  <si>
    <t xml:space="preserve">https://www.inswave.com</t>
  </si>
  <si>
    <t xml:space="preserve">heyji@inswave.com</t>
  </si>
  <si>
    <t xml:space="preserve">서울특별시 영등포구 여의도동 국제금융로 39 앵커원 20층</t>
  </si>
  <si>
    <t xml:space="preserve">소프트웨어 개발 / 웹스퀘어AI(WebSquare AI)</t>
  </si>
  <si>
    <t xml:space="preserve">김욱래</t>
  </si>
  <si>
    <t xml:space="preserve">010-3791-6175</t>
  </si>
  <si>
    <t xml:space="preserve">wlkim@inswave.com</t>
  </si>
  <si>
    <t xml:space="preserve">윤성민</t>
  </si>
  <si>
    <t xml:space="preserve">마케팅프리세일즈</t>
  </si>
  <si>
    <t xml:space="preserve">010-7221-4625</t>
  </si>
  <si>
    <t xml:space="preserve">tjdals1502@inswave.com</t>
  </si>
  <si>
    <t xml:space="preserve">주식회사 아이브</t>
  </si>
  <si>
    <t xml:space="preserve">172-86-03136</t>
  </si>
  <si>
    <t xml:space="preserve">박세진</t>
  </si>
  <si>
    <t xml:space="preserve">053-285-0119</t>
  </si>
  <si>
    <t xml:space="preserve">www.aieev.com</t>
  </si>
  <si>
    <t xml:space="preserve">hellokimtty@gmail.com</t>
  </si>
  <si>
    <t xml:space="preserve">대구광역시 수성구 유니버시아드로 119, 1층 101호</t>
  </si>
  <si>
    <r>
      <rPr>
        <sz val="10"/>
        <rFont val="Arial"/>
        <family val="2"/>
        <charset val="1"/>
      </rPr>
      <t xml:space="preserve">AI </t>
    </r>
    <r>
      <rPr>
        <sz val="10"/>
        <rFont val="WenQuanYi Zen Hei"/>
        <family val="2"/>
      </rPr>
      <t xml:space="preserve">클라우드</t>
    </r>
  </si>
  <si>
    <t xml:space="preserve">HQ</t>
  </si>
  <si>
    <t xml:space="preserve">sejin@aieev.com</t>
  </si>
  <si>
    <t xml:space="preserve">010-2527-5012</t>
  </si>
  <si>
    <t xml:space="preserve">김현경</t>
  </si>
  <si>
    <t xml:space="preserve">사업전략</t>
  </si>
  <si>
    <t xml:space="preserve">리드</t>
  </si>
  <si>
    <t xml:space="preserve">hk.kim@aieev.com</t>
  </si>
  <si>
    <t xml:space="preserve">010-9888-4696</t>
  </si>
  <si>
    <t xml:space="preserve">소프트자이온</t>
  </si>
  <si>
    <t xml:space="preserve">107-87-70962</t>
  </si>
  <si>
    <t xml:space="preserve">02-6925-0503</t>
  </si>
  <si>
    <t xml:space="preserve">https://kr.softzion.com/</t>
  </si>
  <si>
    <t xml:space="preserve">stately@gmail.com</t>
  </si>
  <si>
    <t xml:space="preserve">서울시 영등포구 선유로33길 15, 에이스테크노타워 5층</t>
  </si>
  <si>
    <r>
      <rPr>
        <sz val="10"/>
        <rFont val="Arial"/>
        <family val="2"/>
        <charset val="1"/>
      </rPr>
      <t xml:space="preserve">AI Agent, AI CRM, AI VOC, </t>
    </r>
    <r>
      <rPr>
        <sz val="10"/>
        <rFont val="WenQuanYi Zen Hei"/>
        <family val="2"/>
      </rPr>
      <t xml:space="preserve">건설분야 전문 </t>
    </r>
    <r>
      <rPr>
        <sz val="10"/>
        <rFont val="Arial"/>
        <family val="2"/>
        <charset val="1"/>
      </rPr>
      <t xml:space="preserve">AI IT </t>
    </r>
    <r>
      <rPr>
        <sz val="10"/>
        <rFont val="WenQuanYi Zen Hei"/>
        <family val="2"/>
      </rPr>
      <t xml:space="preserve">솔루션</t>
    </r>
  </si>
  <si>
    <t xml:space="preserve">노병인</t>
  </si>
  <si>
    <t xml:space="preserve">rohbi@softzion.com</t>
  </si>
  <si>
    <t xml:space="preserve">010-3326-3669</t>
  </si>
  <si>
    <t xml:space="preserve">최원영</t>
  </si>
  <si>
    <t xml:space="preserve">stately@softzion.com</t>
  </si>
  <si>
    <t xml:space="preserve">010-7224-8319</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</si>
  <si>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소프트제국</t>
    </r>
  </si>
  <si>
    <t xml:space="preserve">620-88-00836</t>
  </si>
  <si>
    <t xml:space="preserve">최명수</t>
  </si>
  <si>
    <t xml:space="preserve">031-972-0409</t>
  </si>
  <si>
    <t xml:space="preserve">https://www.swempire.co.kr</t>
  </si>
  <si>
    <t xml:space="preserve">wkjung.swempire@gmail.com</t>
  </si>
  <si>
    <t xml:space="preserve">경기도 고양시 덕양구 서정로9(소프트제국빌딩)</t>
  </si>
  <si>
    <r>
      <rPr>
        <sz val="10"/>
        <rFont val="Arial"/>
        <family val="2"/>
        <charset val="1"/>
      </rPr>
      <t xml:space="preserve">AI</t>
    </r>
    <r>
      <rPr>
        <sz val="10"/>
        <rFont val="WenQuanYi Zen Hei"/>
        <family val="2"/>
      </rPr>
      <t xml:space="preserve">기반 서논술형 평가 플랫폼</t>
    </r>
  </si>
  <si>
    <t xml:space="preserve">cmsjjang@swempire.co.kr</t>
  </si>
  <si>
    <t xml:space="preserve">010-5315-6710</t>
  </si>
  <si>
    <t xml:space="preserve">정원근</t>
  </si>
  <si>
    <t xml:space="preserve">마케팅기획사업본부</t>
  </si>
  <si>
    <t xml:space="preserve">wkjung@swempire.co.kr</t>
  </si>
  <si>
    <t xml:space="preserve">010-8888-7653</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</si>
  <si>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위플랫</t>
    </r>
  </si>
  <si>
    <t xml:space="preserve">552-87-01613</t>
  </si>
  <si>
    <t xml:space="preserve">차상훈</t>
  </si>
  <si>
    <t xml:space="preserve">042-934-7905</t>
  </si>
  <si>
    <t xml:space="preserve">www.wiplat.com</t>
  </si>
  <si>
    <t xml:space="preserve">antoniojaesik@gmail.com</t>
  </si>
  <si>
    <t xml:space="preserve">대전시 유성구 테크노 2로 16, 402호</t>
  </si>
  <si>
    <t xml:space="preserve">인공지능 기반  에너지 절감서비스 및 관망관리서비스</t>
  </si>
  <si>
    <t xml:space="preserve">ceo@wiplat.com</t>
  </si>
  <si>
    <t xml:space="preserve">010-7933-1208</t>
  </si>
  <si>
    <t xml:space="preserve">황재식</t>
  </si>
  <si>
    <t xml:space="preserve">antonio@wiplat.com</t>
  </si>
  <si>
    <t xml:space="preserve">010-4740-1452</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</si>
  <si>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심스리얼리티</t>
    </r>
  </si>
  <si>
    <t xml:space="preserve">292-86-00919</t>
  </si>
  <si>
    <t xml:space="preserve">김명환</t>
  </si>
  <si>
    <t xml:space="preserve">042-934-1801</t>
  </si>
  <si>
    <t xml:space="preserve">http://www.simsreality.com</t>
  </si>
  <si>
    <t xml:space="preserve">wwwhunycom07@gmail.com</t>
  </si>
  <si>
    <t xml:space="preserve">대전광역시 유성구 테크노4로 43, 2층(관평동, 현광빌딩)</t>
  </si>
  <si>
    <t xml:space="preserve">보유기술: 초개인화 패션 도메인 특화 Agentic AI솔루션 및 가상 피팅 서비스 / 보유기술: 1. Agentic AI 오케스트레이션, 2. 멀티에이전트 협업, 3. 생성형AI기반 2D의류를 3D자동변환 및 제어기술</t>
  </si>
  <si>
    <t xml:space="preserve">oops@simsreality.com</t>
  </si>
  <si>
    <t xml:space="preserve">010-2365-6569</t>
  </si>
  <si>
    <t xml:space="preserve">허상훈</t>
  </si>
  <si>
    <t xml:space="preserve">전략기획실</t>
  </si>
  <si>
    <t xml:space="preserve">hunycom@simsreality.com</t>
  </si>
  <si>
    <t xml:space="preserve">010-6689-3508</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</si>
  <si>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스카이월드와이드</t>
    </r>
  </si>
  <si>
    <t xml:space="preserve">220-88-68408</t>
  </si>
  <si>
    <t xml:space="preserve">신재혁</t>
  </si>
  <si>
    <t xml:space="preserve"> 070-4800-3517</t>
  </si>
  <si>
    <t xml:space="preserve">www.skaiworldwide.com</t>
  </si>
  <si>
    <t xml:space="preserve">jerry.do@skaiworldwide.co.kr</t>
  </si>
  <si>
    <t xml:space="preserve">서울 강남구 테헤란로 516 정헌빌딩 516</t>
  </si>
  <si>
    <t xml:space="preserve">온토비아 (ONTOVIA)</t>
  </si>
  <si>
    <t xml:space="preserve">도윤석</t>
  </si>
  <si>
    <t xml:space="preserve">010-9111-3951</t>
  </si>
  <si>
    <t xml:space="preserve">jerry.do@skaiworldwide.com</t>
  </si>
  <si>
    <t xml:space="preserve">김랑하</t>
  </si>
  <si>
    <t xml:space="preserve">대리 / A.I Special List</t>
  </si>
  <si>
    <t xml:space="preserve">010-2661-3833</t>
  </si>
  <si>
    <t xml:space="preserve"> lh.kim@skaiworldwide.com</t>
  </si>
  <si>
    <t xml:space="preserve">주식회사 새움소프트</t>
  </si>
  <si>
    <t xml:space="preserve">138-81-25116</t>
  </si>
  <si>
    <t xml:space="preserve">최병진</t>
  </si>
  <si>
    <t xml:space="preserve">031-429-4216</t>
  </si>
  <si>
    <t xml:space="preserve">https://saeumsoft.com</t>
  </si>
  <si>
    <t xml:space="preserve">smarttools0@gmail.com</t>
  </si>
  <si>
    <t xml:space="preserve">경기도 안양시 만안구 안양천서로93 새움빌딩</t>
  </si>
  <si>
    <r>
      <rPr>
        <sz val="10"/>
        <rFont val="Arial"/>
        <family val="2"/>
        <charset val="1"/>
      </rPr>
      <t xml:space="preserve">AI</t>
    </r>
    <r>
      <rPr>
        <sz val="10"/>
        <rFont val="WenQuanYi Zen Hei"/>
        <family val="2"/>
      </rPr>
      <t xml:space="preserve">버스정류장키오스크</t>
    </r>
    <r>
      <rPr>
        <sz val="10"/>
        <rFont val="Arial"/>
        <family val="2"/>
        <charset val="1"/>
      </rPr>
      <t xml:space="preserve">, Ai</t>
    </r>
    <r>
      <rPr>
        <sz val="10"/>
        <rFont val="WenQuanYi Zen Hei"/>
        <family val="2"/>
      </rPr>
      <t xml:space="preserve">챗봇</t>
    </r>
    <r>
      <rPr>
        <sz val="10"/>
        <rFont val="Arial"/>
        <family val="2"/>
        <charset val="1"/>
      </rPr>
      <t xml:space="preserve">, AI</t>
    </r>
    <r>
      <rPr>
        <sz val="10"/>
        <rFont val="WenQuanYi Zen Hei"/>
        <family val="2"/>
      </rPr>
      <t xml:space="preserve">디지털휴먼</t>
    </r>
    <r>
      <rPr>
        <sz val="10"/>
        <rFont val="Arial"/>
        <family val="2"/>
        <charset val="1"/>
      </rPr>
      <t xml:space="preserve">, AI</t>
    </r>
    <r>
      <rPr>
        <sz val="10"/>
        <rFont val="WenQuanYi Zen Hei"/>
        <family val="2"/>
      </rPr>
      <t xml:space="preserve">실시간통역기</t>
    </r>
  </si>
  <si>
    <r>
      <rPr>
        <sz val="10"/>
        <rFont val="Arial"/>
        <family val="2"/>
        <charset val="1"/>
      </rPr>
      <t xml:space="preserve">Ai</t>
    </r>
    <r>
      <rPr>
        <sz val="10"/>
        <rFont val="WenQuanYi Zen Hei"/>
        <family val="2"/>
      </rPr>
      <t xml:space="preserve">연구소</t>
    </r>
  </si>
  <si>
    <t xml:space="preserve">대표이사/연구소장</t>
  </si>
  <si>
    <t xml:space="preserve">010-8210-0410</t>
  </si>
  <si>
    <t xml:space="preserve">xeos@saeumsoft.com</t>
  </si>
  <si>
    <t xml:space="preserve">최영환</t>
  </si>
  <si>
    <t xml:space="preserve">부장/비지니스팀장</t>
  </si>
  <si>
    <t xml:space="preserve">010-2787-9248</t>
  </si>
  <si>
    <t xml:space="preserve">ulaulaul@saeumsoft.com</t>
  </si>
  <si>
    <t xml:space="preserve">주식회사 탑코어시스템</t>
  </si>
  <si>
    <t xml:space="preserve">301-86-23424</t>
  </si>
  <si>
    <t xml:space="preserve">이상봉</t>
  </si>
  <si>
    <t xml:space="preserve">010-7180-6531</t>
  </si>
  <si>
    <t xml:space="preserve">topcore.co.kr</t>
  </si>
  <si>
    <t xml:space="preserve">topcoresystem@gmail.com</t>
  </si>
  <si>
    <t xml:space="preserve">충북 청주시 흥덕구 봉명로 31 티원타워 704~705호</t>
  </si>
  <si>
    <r>
      <rPr>
        <sz val="10"/>
        <rFont val="Arial"/>
        <family val="2"/>
        <charset val="1"/>
      </rPr>
      <t xml:space="preserve">AI</t>
    </r>
    <r>
      <rPr>
        <sz val="10"/>
        <rFont val="WenQuanYi Zen Hei"/>
        <family val="2"/>
      </rPr>
      <t xml:space="preserve">재고관리</t>
    </r>
    <r>
      <rPr>
        <sz val="10"/>
        <rFont val="Arial"/>
        <family val="2"/>
        <charset val="1"/>
      </rPr>
      <t xml:space="preserve">, AI</t>
    </r>
    <r>
      <rPr>
        <sz val="10"/>
        <rFont val="WenQuanYi Zen Hei"/>
        <family val="2"/>
      </rPr>
      <t xml:space="preserve">수요예측</t>
    </r>
    <r>
      <rPr>
        <sz val="10"/>
        <rFont val="Arial"/>
        <family val="2"/>
        <charset val="1"/>
      </rPr>
      <t xml:space="preserve">, AI</t>
    </r>
    <r>
      <rPr>
        <sz val="10"/>
        <rFont val="WenQuanYi Zen Hei"/>
        <family val="2"/>
      </rPr>
      <t xml:space="preserve">비전</t>
    </r>
    <r>
      <rPr>
        <sz val="10"/>
        <rFont val="Arial"/>
        <family val="2"/>
        <charset val="1"/>
      </rPr>
      <t xml:space="preserve">, AI</t>
    </r>
    <r>
      <rPr>
        <sz val="10"/>
        <rFont val="WenQuanYi Zen Hei"/>
        <family val="2"/>
      </rPr>
      <t xml:space="preserve">재난예방</t>
    </r>
    <r>
      <rPr>
        <sz val="10"/>
        <rFont val="Arial"/>
        <family val="2"/>
        <charset val="1"/>
      </rPr>
      <t xml:space="preserve">, AI </t>
    </r>
    <r>
      <rPr>
        <sz val="10"/>
        <rFont val="WenQuanYi Zen Hei"/>
        <family val="2"/>
      </rPr>
      <t xml:space="preserve">공정최적화</t>
    </r>
  </si>
  <si>
    <t xml:space="preserve">기획</t>
  </si>
  <si>
    <t xml:space="preserve">dagobong@naver.com</t>
  </si>
  <si>
    <t xml:space="preserve">오오아이</t>
  </si>
  <si>
    <t xml:space="preserve">304-10-47435</t>
  </si>
  <si>
    <t xml:space="preserve">임세한</t>
  </si>
  <si>
    <t xml:space="preserve">010-5160-6735</t>
  </si>
  <si>
    <t xml:space="preserve">www.ocean5i.com</t>
  </si>
  <si>
    <t xml:space="preserve">sehan.lim@ocean5i.com</t>
  </si>
  <si>
    <t xml:space="preserve">부산시 영도구 태종로 705 102동 802호</t>
  </si>
  <si>
    <r>
      <rPr>
        <sz val="10"/>
        <rFont val="Arial"/>
        <family val="2"/>
        <charset val="1"/>
      </rPr>
      <t xml:space="preserve">[</t>
    </r>
    <r>
      <rPr>
        <sz val="10"/>
        <rFont val="WenQuanYi Zen Hei"/>
        <family val="2"/>
      </rPr>
      <t xml:space="preserve">기술</t>
    </r>
    <r>
      <rPr>
        <sz val="10"/>
        <rFont val="Arial"/>
        <family val="2"/>
        <charset val="1"/>
      </rPr>
      <t xml:space="preserve">] LangGraph </t>
    </r>
    <r>
      <rPr>
        <sz val="10"/>
        <rFont val="WenQuanYi Zen Hei"/>
        <family val="2"/>
      </rPr>
      <t xml:space="preserve">기반 </t>
    </r>
    <r>
      <rPr>
        <sz val="10"/>
        <rFont val="Arial"/>
        <family val="2"/>
        <charset val="1"/>
      </rPr>
      <t xml:space="preserve">4</t>
    </r>
    <r>
      <rPr>
        <sz val="10"/>
        <rFont val="WenQuanYi Zen Hei"/>
        <family val="2"/>
      </rPr>
      <t xml:space="preserve">단계 멀티 에이전트 체계를 활용한 브랜드 최적화 </t>
    </r>
    <r>
      <rPr>
        <sz val="10"/>
        <rFont val="Arial"/>
        <family val="2"/>
        <charset val="1"/>
      </rPr>
      <t xml:space="preserve">Next.js </t>
    </r>
    <r>
      <rPr>
        <sz val="10"/>
        <rFont val="WenQuanYi Zen Hei"/>
        <family val="2"/>
      </rPr>
      <t xml:space="preserve">코드 자동 생성 및 실시간 연동 기술 제안  </t>
    </r>
    <r>
      <rPr>
        <sz val="10"/>
        <rFont val="Arial"/>
        <family val="2"/>
        <charset val="1"/>
      </rPr>
      <t xml:space="preserve">[</t>
    </r>
    <r>
      <rPr>
        <sz val="10"/>
        <rFont val="WenQuanYi Zen Hei"/>
        <family val="2"/>
      </rPr>
      <t xml:space="preserve">플랫폼</t>
    </r>
    <r>
      <rPr>
        <sz val="10"/>
        <rFont val="Arial"/>
        <family val="2"/>
        <charset val="1"/>
      </rPr>
      <t xml:space="preserve">] </t>
    </r>
    <r>
      <rPr>
        <sz val="10"/>
        <rFont val="WenQuanYi Zen Hei"/>
        <family val="2"/>
      </rPr>
      <t xml:space="preserve">해양 </t>
    </r>
    <r>
      <rPr>
        <sz val="10"/>
        <rFont val="Arial"/>
        <family val="2"/>
        <charset val="1"/>
      </rPr>
      <t xml:space="preserve">R&amp;D </t>
    </r>
    <r>
      <rPr>
        <sz val="10"/>
        <rFont val="WenQuanYi Zen Hei"/>
        <family val="2"/>
      </rPr>
      <t xml:space="preserve">전주기를 지원하는 </t>
    </r>
    <r>
      <rPr>
        <sz val="10"/>
        <rFont val="Arial"/>
        <family val="2"/>
        <charset val="1"/>
      </rPr>
      <t xml:space="preserve">12</t>
    </r>
    <r>
      <rPr>
        <sz val="10"/>
        <rFont val="WenQuanYi Zen Hei"/>
        <family val="2"/>
      </rPr>
      <t xml:space="preserve">단계 </t>
    </r>
    <r>
      <rPr>
        <sz val="10"/>
        <rFont val="Arial"/>
        <family val="2"/>
        <charset val="1"/>
      </rPr>
      <t xml:space="preserve">AI </t>
    </r>
    <r>
      <rPr>
        <sz val="10"/>
        <rFont val="WenQuanYi Zen Hei"/>
        <family val="2"/>
      </rPr>
      <t xml:space="preserve">파이프라인을 통한 컨소시엄 구성 및 제안서 자동 생성 프레임워크 공유  </t>
    </r>
    <r>
      <rPr>
        <sz val="10"/>
        <rFont val="Arial"/>
        <family val="2"/>
        <charset val="1"/>
      </rPr>
      <t xml:space="preserve">[</t>
    </r>
    <r>
      <rPr>
        <sz val="10"/>
        <rFont val="WenQuanYi Zen Hei"/>
        <family val="2"/>
      </rPr>
      <t xml:space="preserve">글로벌</t>
    </r>
    <r>
      <rPr>
        <sz val="10"/>
        <rFont val="Arial"/>
        <family val="2"/>
        <charset val="1"/>
      </rPr>
      <t xml:space="preserve">/</t>
    </r>
    <r>
      <rPr>
        <sz val="10"/>
        <rFont val="WenQuanYi Zen Hei"/>
        <family val="2"/>
      </rPr>
      <t xml:space="preserve">데이터</t>
    </r>
    <r>
      <rPr>
        <sz val="10"/>
        <rFont val="Arial"/>
        <family val="2"/>
        <charset val="1"/>
      </rPr>
      <t xml:space="preserve">] </t>
    </r>
    <r>
      <rPr>
        <sz val="10"/>
        <rFont val="WenQuanYi Zen Hei"/>
        <family val="2"/>
      </rPr>
      <t xml:space="preserve">인도태평양 해양 </t>
    </r>
    <r>
      <rPr>
        <sz val="10"/>
        <rFont val="Arial"/>
        <family val="2"/>
        <charset val="1"/>
      </rPr>
      <t xml:space="preserve">AI </t>
    </r>
    <r>
      <rPr>
        <sz val="10"/>
        <rFont val="WenQuanYi Zen Hei"/>
        <family val="2"/>
      </rPr>
      <t xml:space="preserve">정책 및 </t>
    </r>
    <r>
      <rPr>
        <sz val="10"/>
        <rFont val="Arial"/>
        <family val="2"/>
        <charset val="1"/>
      </rPr>
      <t xml:space="preserve">2</t>
    </r>
    <r>
      <rPr>
        <sz val="10"/>
        <rFont val="WenQuanYi Zen Hei"/>
        <family val="2"/>
      </rPr>
      <t xml:space="preserve">만 장 이상의 학습 데이터셋</t>
    </r>
    <r>
      <rPr>
        <sz val="10"/>
        <rFont val="Arial"/>
        <family val="2"/>
        <charset val="1"/>
      </rPr>
      <t xml:space="preserve">(MDImageNet) </t>
    </r>
    <r>
      <rPr>
        <sz val="10"/>
        <rFont val="WenQuanYi Zen Hei"/>
        <family val="2"/>
      </rPr>
      <t xml:space="preserve">기반 글로벌 규제 대응 전략 제공  </t>
    </r>
    <r>
      <rPr>
        <sz val="10"/>
        <rFont val="Arial"/>
        <family val="2"/>
        <charset val="1"/>
      </rPr>
      <t xml:space="preserve">[</t>
    </r>
    <r>
      <rPr>
        <sz val="10"/>
        <rFont val="WenQuanYi Zen Hei"/>
        <family val="2"/>
      </rPr>
      <t xml:space="preserve">인터페이스</t>
    </r>
    <r>
      <rPr>
        <sz val="10"/>
        <rFont val="Arial"/>
        <family val="2"/>
        <charset val="1"/>
      </rPr>
      <t xml:space="preserve">] </t>
    </r>
    <r>
      <rPr>
        <sz val="10"/>
        <rFont val="WenQuanYi Zen Hei"/>
        <family val="2"/>
      </rPr>
      <t xml:space="preserve">메신저 기반 </t>
    </r>
    <r>
      <rPr>
        <sz val="10"/>
        <rFont val="Arial"/>
        <family val="2"/>
        <charset val="1"/>
      </rPr>
      <t xml:space="preserve">Zero-UI </t>
    </r>
    <r>
      <rPr>
        <sz val="10"/>
        <rFont val="WenQuanYi Zen Hei"/>
        <family val="2"/>
      </rPr>
      <t xml:space="preserve">업무 자동화</t>
    </r>
    <r>
      <rPr>
        <sz val="10"/>
        <rFont val="Arial"/>
        <family val="2"/>
        <charset val="1"/>
      </rPr>
      <t xml:space="preserve">(OSEAN) </t>
    </r>
    <r>
      <rPr>
        <sz val="10"/>
        <rFont val="WenQuanYi Zen Hei"/>
        <family val="2"/>
      </rPr>
      <t xml:space="preserve">실증 사례를 바탕으로 공공 행정용 사용자 친화적 에이전트 인터페이스 전파</t>
    </r>
  </si>
  <si>
    <t xml:space="preserve">엔에이치엔인재아이엔씨(주)</t>
  </si>
  <si>
    <t xml:space="preserve">119-81-45810</t>
  </si>
  <si>
    <t xml:space="preserve">백세련</t>
  </si>
  <si>
    <t xml:space="preserve">02-2088-8148</t>
  </si>
  <si>
    <t xml:space="preserve">www.injeinc.co.kr</t>
  </si>
  <si>
    <t xml:space="preserve">1004sns1004@gmail.com</t>
  </si>
  <si>
    <t xml:space="preserve">서울 구로구 디지털로 300 14층</t>
  </si>
  <si>
    <t xml:space="preserve">프라이빗 클라우드 설계/구축/관리, MLOps, GPU 관리  </t>
  </si>
  <si>
    <t xml:space="preserve">현근주</t>
  </si>
  <si>
    <t xml:space="preserve">플랫폼기술전략실</t>
  </si>
  <si>
    <t xml:space="preserve">kjhyun@injeinc.co.kr</t>
  </si>
  <si>
    <t xml:space="preserve">010-6213-5368</t>
  </si>
  <si>
    <t xml:space="preserve">고정완</t>
  </si>
  <si>
    <t xml:space="preserve">개발본부</t>
  </si>
  <si>
    <t xml:space="preserve">roowe@injeinc.co.kr</t>
  </si>
  <si>
    <t xml:space="preserve">010-8904-8332</t>
  </si>
  <si>
    <t xml:space="preserve">주식회사 스마트코어</t>
  </si>
  <si>
    <t xml:space="preserve">119-86-51660</t>
  </si>
  <si>
    <t xml:space="preserve">한근석</t>
  </si>
  <si>
    <t xml:space="preserve">03-830-0858</t>
  </si>
  <si>
    <t xml:space="preserve">https://www.smcore.co.kr</t>
  </si>
  <si>
    <t xml:space="preserve">kcjeonpro@gmail.com</t>
  </si>
  <si>
    <t xml:space="preserve">서울특별시 금천구 벚꽃로298, 1607호</t>
  </si>
  <si>
    <t xml:space="preserve">연합학습 기반 품질관리(F@AI-PQC) 솔루션 및 온톨로지 기반 사용자 어시스턴트 서비스</t>
  </si>
  <si>
    <t xml:space="preserve">김재연</t>
  </si>
  <si>
    <t xml:space="preserve">070-4895-5227</t>
  </si>
  <si>
    <t xml:space="preserve">jykim@smcore.co.kr</t>
  </si>
  <si>
    <t xml:space="preserve">010-9395-8833</t>
  </si>
  <si>
    <t xml:space="preserve">전경찬</t>
  </si>
  <si>
    <t xml:space="preserve">사업/기획부</t>
  </si>
  <si>
    <t xml:space="preserve">070-4895-5246</t>
  </si>
  <si>
    <t xml:space="preserve">kcjeon@smcore.co.kr</t>
  </si>
  <si>
    <t xml:space="preserve">010-2753-6564</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</si>
  <si>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유비씨</t>
    </r>
  </si>
  <si>
    <t xml:space="preserve">220-87-99108</t>
  </si>
  <si>
    <t xml:space="preserve">조규종</t>
  </si>
  <si>
    <t xml:space="preserve">031-346-5497</t>
  </si>
  <si>
    <t xml:space="preserve">uvc.co.kr</t>
  </si>
  <si>
    <t xml:space="preserve">nkh@uvc.co.kr</t>
  </si>
  <si>
    <t xml:space="preserve">경기도 안양시 동안구 시민대로248번길 25, 1001호 (관양동)</t>
  </si>
  <si>
    <r>
      <rPr>
        <sz val="10"/>
        <rFont val="Arial"/>
        <family val="2"/>
        <charset val="1"/>
      </rPr>
      <t xml:space="preserve">AI </t>
    </r>
    <r>
      <rPr>
        <sz val="10"/>
        <rFont val="WenQuanYi Zen Hei"/>
        <family val="2"/>
      </rPr>
      <t xml:space="preserve">디지털 트윈 자율제조</t>
    </r>
  </si>
  <si>
    <t xml:space="preserve">정현석</t>
  </si>
  <si>
    <r>
      <rPr>
        <sz val="10"/>
        <rFont val="Arial"/>
        <family val="2"/>
        <charset val="1"/>
      </rPr>
      <t xml:space="preserve">AI</t>
    </r>
    <r>
      <rPr>
        <sz val="10"/>
        <rFont val="WenQuanYi Zen Hei"/>
        <family val="2"/>
      </rPr>
      <t xml:space="preserve">센터</t>
    </r>
  </si>
  <si>
    <t xml:space="preserve">hyunseok.jeong@uvc.co.kr</t>
  </si>
  <si>
    <t xml:space="preserve">010-2399-1090</t>
  </si>
  <si>
    <t xml:space="preserve">남경호</t>
  </si>
  <si>
    <t xml:space="preserve">010-5022-3280</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</si>
  <si>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시큐어월</t>
    </r>
  </si>
  <si>
    <t xml:space="preserve">603-81-55394</t>
  </si>
  <si>
    <t xml:space="preserve">우석규</t>
  </si>
  <si>
    <t xml:space="preserve">051-505-2321</t>
  </si>
  <si>
    <t xml:space="preserve">www.securewall.co.kr</t>
  </si>
  <si>
    <t xml:space="preserve">dev.securewall@gmail.com</t>
  </si>
  <si>
    <t xml:space="preserve">부산광역시 해운대구 센텀중앙로 66, 1001호(우동,센텀T타워) </t>
  </si>
  <si>
    <t xml:space="preserve">전산관리 AI관제</t>
  </si>
  <si>
    <t xml:space="preserve">010-4859-2101</t>
  </si>
  <si>
    <t xml:space="preserve">skwoo7@securewall.co.kr</t>
  </si>
  <si>
    <t xml:space="preserve">이정명</t>
  </si>
  <si>
    <t xml:space="preserve">정보보호기술연구소</t>
  </si>
  <si>
    <t xml:space="preserve">010-6760-6819</t>
  </si>
  <si>
    <t xml:space="preserve">jmlee@securewall.co.kr</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</si>
  <si>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심시스글로벌</t>
    </r>
  </si>
  <si>
    <t xml:space="preserve">344-81-00364</t>
  </si>
  <si>
    <t xml:space="preserve">김윤제</t>
  </si>
  <si>
    <t xml:space="preserve">02-6953-9251</t>
  </si>
  <si>
    <t xml:space="preserve">www.simsysglobal.com</t>
  </si>
  <si>
    <t xml:space="preserve">hskim515@gmail.com</t>
  </si>
  <si>
    <t xml:space="preserve">서울 서초구 동산로 23 베델회관 6층</t>
  </si>
  <si>
    <r>
      <rPr>
        <sz val="10"/>
        <rFont val="Arial"/>
        <family val="2"/>
        <charset val="1"/>
      </rPr>
      <t xml:space="preserve">Spatial AI, VLM, Agentic AI </t>
    </r>
    <r>
      <rPr>
        <sz val="10"/>
        <rFont val="WenQuanYi Zen Hei"/>
        <family val="2"/>
      </rPr>
      <t xml:space="preserve">서비스</t>
    </r>
    <r>
      <rPr>
        <sz val="10"/>
        <rFont val="Arial"/>
        <family val="2"/>
        <charset val="1"/>
      </rPr>
      <t xml:space="preserve">, AI DigitalTwin, </t>
    </r>
    <r>
      <rPr>
        <sz val="10"/>
        <rFont val="WenQuanYi Zen Hei"/>
        <family val="2"/>
      </rPr>
      <t xml:space="preserve">공간</t>
    </r>
    <r>
      <rPr>
        <sz val="10"/>
        <rFont val="Arial"/>
        <family val="2"/>
        <charset val="1"/>
      </rPr>
      <t xml:space="preserve">Ontology </t>
    </r>
    <r>
      <rPr>
        <sz val="10"/>
        <rFont val="WenQuanYi Zen Hei"/>
        <family val="2"/>
      </rPr>
      <t xml:space="preserve">등</t>
    </r>
  </si>
  <si>
    <t xml:space="preserve">김현수 </t>
  </si>
  <si>
    <t xml:space="preserve">사업부문</t>
  </si>
  <si>
    <t xml:space="preserve">부사장 / 사업부문 대표 / CGO</t>
  </si>
  <si>
    <t xml:space="preserve">hskim@simsysglobal.com</t>
  </si>
  <si>
    <t xml:space="preserve">010-5298-4859</t>
  </si>
  <si>
    <t xml:space="preserve">이지은</t>
  </si>
  <si>
    <r>
      <rPr>
        <sz val="10"/>
        <rFont val="Arial"/>
        <family val="2"/>
        <charset val="1"/>
      </rPr>
      <t xml:space="preserve">AI</t>
    </r>
    <r>
      <rPr>
        <sz val="10"/>
        <rFont val="WenQuanYi Zen Hei"/>
        <family val="2"/>
      </rPr>
      <t xml:space="preserve">개발본부</t>
    </r>
  </si>
  <si>
    <t xml:space="preserve">상무 / 본부장 / CTO</t>
  </si>
  <si>
    <t xml:space="preserve">jelee@simsysglobal.com</t>
  </si>
  <si>
    <t xml:space="preserve">010-2778-7183</t>
  </si>
  <si>
    <t xml:space="preserve">주식회사 코드제이</t>
  </si>
  <si>
    <t xml:space="preserve">259-87-01922</t>
  </si>
  <si>
    <t xml:space="preserve">김영민</t>
  </si>
  <si>
    <t xml:space="preserve">010-8822-2667</t>
  </si>
  <si>
    <t xml:space="preserve">www.codejone.com</t>
  </si>
  <si>
    <t xml:space="preserve">stirite2@gmail.com</t>
  </si>
  <si>
    <t xml:space="preserve">대전광역시 유성구 테크노9로 35, 아이티전용벤처타운 208호 </t>
  </si>
  <si>
    <t xml:space="preserve">지능형 네트워크 관리 시스템</t>
  </si>
  <si>
    <t xml:space="preserve">경영팀</t>
  </si>
  <si>
    <t xml:space="preserve">zeromin@codejone.com</t>
  </si>
  <si>
    <t xml:space="preserve">지능화연구팀</t>
  </si>
  <si>
    <t xml:space="preserve">010-9554-5043</t>
  </si>
  <si>
    <t xml:space="preserve">hskim24@codejone.com</t>
  </si>
  <si>
    <t xml:space="preserve">오브젠 주식회사</t>
  </si>
  <si>
    <t xml:space="preserve">120-86-04696</t>
  </si>
  <si>
    <t xml:space="preserve">전배문, 유용희</t>
  </si>
  <si>
    <t xml:space="preserve">02-3775-4600</t>
  </si>
  <si>
    <t xml:space="preserve">www.obzen.com</t>
  </si>
  <si>
    <t xml:space="preserve">yangwooko@gmail.com</t>
  </si>
  <si>
    <t xml:space="preserve">서울특별시 영등포구 여의대로 14, 12층 (여의도동, KT여의도타워)</t>
  </si>
  <si>
    <t xml:space="preserve">마케팅 및 업무용 에이전틱 AI</t>
  </si>
  <si>
    <t xml:space="preserve">고양우</t>
  </si>
  <si>
    <r>
      <rPr>
        <sz val="10"/>
        <rFont val="Arial"/>
        <family val="2"/>
        <charset val="1"/>
      </rPr>
      <t xml:space="preserve">AI</t>
    </r>
    <r>
      <rPr>
        <sz val="10"/>
        <rFont val="WenQuanYi Zen Hei"/>
        <family val="2"/>
      </rPr>
      <t xml:space="preserve">전략센터</t>
    </r>
  </si>
  <si>
    <t xml:space="preserve">010-5494-6405</t>
  </si>
  <si>
    <t xml:space="preserve">ywko@obzen.com</t>
  </si>
  <si>
    <t xml:space="preserve">최성은</t>
  </si>
  <si>
    <t xml:space="preserve">AI LAB</t>
  </si>
  <si>
    <t xml:space="preserve">010-9618-7194</t>
  </si>
  <si>
    <t xml:space="preserve">gracefully@obzen.com</t>
  </si>
  <si>
    <t xml:space="preserve">주식회사 쿼리시스템즈</t>
  </si>
  <si>
    <t xml:space="preserve">215-87-03537</t>
  </si>
  <si>
    <t xml:space="preserve">현원필</t>
  </si>
  <si>
    <t xml:space="preserve">02-421-8858</t>
  </si>
  <si>
    <t xml:space="preserve">https://quarry.kr/</t>
  </si>
  <si>
    <t xml:space="preserve">brianmoonkr@gmail.com</t>
  </si>
  <si>
    <t xml:space="preserve">서울시 강남구 영동대로85길 13 송석빌딩 4층</t>
  </si>
  <si>
    <r>
      <rPr>
        <sz val="10"/>
        <rFont val="Arial"/>
        <family val="2"/>
        <charset val="1"/>
      </rPr>
      <t xml:space="preserve">QTIE / AI Agent </t>
    </r>
    <r>
      <rPr>
        <sz val="10"/>
        <rFont val="WenQuanYi Zen Hei"/>
        <family val="2"/>
      </rPr>
      <t xml:space="preserve">기반 </t>
    </r>
    <r>
      <rPr>
        <sz val="10"/>
        <rFont val="Arial"/>
        <family val="2"/>
        <charset val="1"/>
      </rPr>
      <t xml:space="preserve">Smart Assistsant </t>
    </r>
    <r>
      <rPr>
        <sz val="10"/>
        <rFont val="WenQuanYi Zen Hei"/>
        <family val="2"/>
      </rPr>
      <t xml:space="preserve">솔루션</t>
    </r>
  </si>
  <si>
    <t xml:space="preserve">문승완</t>
  </si>
  <si>
    <t xml:space="preserve">010-2727-2783</t>
  </si>
  <si>
    <t xml:space="preserve">swmoon@quarry.kr</t>
  </si>
  <si>
    <t xml:space="preserve">주식회사 트위그팜</t>
  </si>
  <si>
    <t xml:space="preserve">556-81-00254</t>
  </si>
  <si>
    <t xml:space="preserve">백선호</t>
  </si>
  <si>
    <t xml:space="preserve">02-1833-5926</t>
  </si>
  <si>
    <t xml:space="preserve">https://www.twigfarm.net/ko</t>
  </si>
  <si>
    <t xml:space="preserve">cstellerws@gmail.com</t>
  </si>
  <si>
    <t xml:space="preserve">서울시 종로구 종로 6(서린동), 광화문우체국 6층</t>
  </si>
  <si>
    <t xml:space="preserve">자연어처리 기반의 ①AI 데이터, ②AI 모델(알고리즘), ③AI 서비스(API) 기술을 아우르는 AI 전주기 기술 경쟁력을 바탕으로, 미디어 인텔리전스 플랫폼  ‘레터웍스’ 서비스를 핵심 사업으로 영위</t>
  </si>
  <si>
    <t xml:space="preserve">010-8557-8240</t>
  </si>
  <si>
    <t xml:space="preserve">ceo@twigfarm.net</t>
  </si>
  <si>
    <t xml:space="preserve">쿼드마이너</t>
  </si>
  <si>
    <t xml:space="preserve">249-81-00810</t>
  </si>
  <si>
    <t xml:space="preserve">박범중,홍재완</t>
  </si>
  <si>
    <t xml:space="preserve">02-548-1124</t>
  </si>
  <si>
    <t xml:space="preserve">https://quadminers.com</t>
  </si>
  <si>
    <t xml:space="preserve">sonjidol4@gmail.com</t>
  </si>
  <si>
    <t xml:space="preserve">서울 서초구 서초대로51길 27 이산빌딩 2,4-5층</t>
  </si>
  <si>
    <t xml:space="preserve">전수 패킷 수집 및 장기 보존 기술을 기반으로 네트워크 트래픽의 메타데이터 및 콘텐츠를 정밀 분석하며, 자산별 정상 활동 모델을 수립하여 이를 벗어나는 이상행위를 탐지하는 기술</t>
  </si>
  <si>
    <t xml:space="preserve">홍재완</t>
  </si>
  <si>
    <t xml:space="preserve">CDO</t>
  </si>
  <si>
    <t xml:space="preserve">010-9980-9228</t>
  </si>
  <si>
    <t xml:space="preserve">jaewan@quadminers.com</t>
  </si>
  <si>
    <t xml:space="preserve">윤영조</t>
  </si>
  <si>
    <t xml:space="preserve">010-9243-1413</t>
  </si>
  <si>
    <t xml:space="preserve">dudwh33@quadminers.com</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</si>
  <si>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유엔파인</t>
    </r>
  </si>
  <si>
    <t xml:space="preserve">119-86-35919</t>
  </si>
  <si>
    <t xml:space="preserve">조기현</t>
  </si>
  <si>
    <t xml:space="preserve">02-2641-0019</t>
  </si>
  <si>
    <t xml:space="preserve">https://www.unfine.co.kr</t>
  </si>
  <si>
    <t xml:space="preserve">millyseon@gmail.com</t>
  </si>
  <si>
    <t xml:space="preserve">서울특별시 성동구 연무장5가길 25, 성수역SK V1타워 1009호</t>
  </si>
  <si>
    <r>
      <rPr>
        <sz val="10"/>
        <rFont val="Arial"/>
        <family val="2"/>
        <charset val="1"/>
      </rPr>
      <t xml:space="preserve">RAG </t>
    </r>
    <r>
      <rPr>
        <sz val="10"/>
        <rFont val="WenQuanYi Zen Hei"/>
        <family val="2"/>
      </rPr>
      <t xml:space="preserve">기반의 감사계획서 자동 생성 및 감사데이터 분석 솔루션 </t>
    </r>
    <r>
      <rPr>
        <sz val="10"/>
        <rFont val="Arial"/>
        <family val="2"/>
        <charset val="1"/>
      </rPr>
      <t xml:space="preserve">U-Audit</t>
    </r>
  </si>
  <si>
    <t xml:space="preserve">민계선</t>
  </si>
  <si>
    <t xml:space="preserve">전략사업부문</t>
  </si>
  <si>
    <t xml:space="preserve">전무/본부장/CTO</t>
  </si>
  <si>
    <t xml:space="preserve">gsmin@unfine.co.kr</t>
  </si>
  <si>
    <t xml:space="preserve">010-2005-0566</t>
  </si>
  <si>
    <t xml:space="preserve">이규선</t>
  </si>
  <si>
    <t xml:space="preserve">공공사업부문</t>
  </si>
  <si>
    <t xml:space="preserve">leekyusun@unfine.co.kr</t>
  </si>
  <si>
    <t xml:space="preserve">010-9293-7280</t>
  </si>
  <si>
    <t xml:space="preserve">주식회사 모바휠</t>
  </si>
  <si>
    <t xml:space="preserve">272-86-01874</t>
  </si>
  <si>
    <t xml:space="preserve">김민현</t>
  </si>
  <si>
    <t xml:space="preserve">070-5015-5978</t>
  </si>
  <si>
    <t xml:space="preserve">www.mv-w.com</t>
  </si>
  <si>
    <t xml:space="preserve">jpyun@mv-w.com</t>
  </si>
  <si>
    <t xml:space="preserve">대전광역시 유성구 유성대로821번길 4-3, 모바휠R&amp;D센터</t>
  </si>
  <si>
    <r>
      <rPr>
        <sz val="10"/>
        <rFont val="Arial"/>
        <family val="2"/>
        <charset val="1"/>
      </rPr>
      <t xml:space="preserve">Physical AI, </t>
    </r>
    <r>
      <rPr>
        <sz val="10"/>
        <rFont val="WenQuanYi Zen Hei"/>
        <family val="2"/>
      </rPr>
      <t xml:space="preserve">음파 기반 도로노면상태</t>
    </r>
    <r>
      <rPr>
        <sz val="10"/>
        <rFont val="Arial"/>
        <family val="2"/>
        <charset val="1"/>
      </rPr>
      <t xml:space="preserve">/</t>
    </r>
    <r>
      <rPr>
        <sz val="10"/>
        <rFont val="WenQuanYi Zen Hei"/>
        <family val="2"/>
      </rPr>
      <t xml:space="preserve">위험 감지 </t>
    </r>
    <r>
      <rPr>
        <sz val="10"/>
        <rFont val="Arial"/>
        <family val="2"/>
        <charset val="1"/>
      </rPr>
      <t xml:space="preserve">AI </t>
    </r>
    <r>
      <rPr>
        <sz val="10"/>
        <rFont val="WenQuanYi Zen Hei"/>
        <family val="2"/>
      </rPr>
      <t xml:space="preserve">솔루션</t>
    </r>
  </si>
  <si>
    <t xml:space="preserve">mhkim@mv-w.com</t>
  </si>
  <si>
    <t xml:space="preserve">010-9327-5443</t>
  </si>
  <si>
    <t xml:space="preserve">안요셉</t>
  </si>
  <si>
    <t xml:space="preserve">연구팀</t>
  </si>
  <si>
    <t xml:space="preserve">선임연구원/팀장</t>
  </si>
  <si>
    <t xml:space="preserve">ysan@mv-w.com</t>
  </si>
  <si>
    <t xml:space="preserve">010-2799-1691</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</si>
  <si>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드림아이디어소프트</t>
    </r>
  </si>
  <si>
    <t xml:space="preserve">115-86-00908</t>
  </si>
  <si>
    <t xml:space="preserve">이제환</t>
  </si>
  <si>
    <t xml:space="preserve">053-243-6047</t>
  </si>
  <si>
    <t xml:space="preserve">dreamideasoft.net</t>
  </si>
  <si>
    <t xml:space="preserve">hyunlae1216@gmail.com</t>
  </si>
  <si>
    <t xml:space="preserve">대구광역시 동구 동대구로 525, 더블유525타워 17층</t>
  </si>
  <si>
    <r>
      <rPr>
        <sz val="10"/>
        <rFont val="Arial"/>
        <family val="2"/>
        <charset val="1"/>
      </rPr>
      <t xml:space="preserve">AI </t>
    </r>
    <r>
      <rPr>
        <sz val="10"/>
        <rFont val="WenQuanYi Zen Hei"/>
        <family val="2"/>
      </rPr>
      <t xml:space="preserve">기반 어시스턴트</t>
    </r>
    <r>
      <rPr>
        <sz val="10"/>
        <rFont val="Arial"/>
        <family val="2"/>
        <charset val="1"/>
      </rPr>
      <t xml:space="preserve">(AI Agent), AI-XR </t>
    </r>
    <r>
      <rPr>
        <sz val="10"/>
        <rFont val="WenQuanYi Zen Hei"/>
        <family val="2"/>
      </rPr>
      <t xml:space="preserve">솔루션</t>
    </r>
    <r>
      <rPr>
        <sz val="10"/>
        <rFont val="Arial"/>
        <family val="2"/>
        <charset val="1"/>
      </rPr>
      <t xml:space="preserve">, AI </t>
    </r>
    <r>
      <rPr>
        <sz val="10"/>
        <rFont val="WenQuanYi Zen Hei"/>
        <family val="2"/>
      </rPr>
      <t xml:space="preserve">디지털 트윈</t>
    </r>
    <r>
      <rPr>
        <sz val="10"/>
        <rFont val="Arial"/>
        <family val="2"/>
        <charset val="1"/>
      </rPr>
      <t xml:space="preserve">, AI </t>
    </r>
    <r>
      <rPr>
        <sz val="10"/>
        <rFont val="WenQuanYi Zen Hei"/>
        <family val="2"/>
      </rPr>
      <t xml:space="preserve">영상 분석 및 시뮬레이션</t>
    </r>
  </si>
  <si>
    <t xml:space="preserve">jhlee@dreamideasoft.net</t>
  </si>
  <si>
    <t xml:space="preserve">010-4039-5711</t>
  </si>
  <si>
    <t xml:space="preserve">조현래</t>
  </si>
  <si>
    <t xml:space="preserve">시스템 사업부</t>
  </si>
  <si>
    <t xml:space="preserve">053-243-6044</t>
  </si>
  <si>
    <t xml:space="preserve">010-8550-0645</t>
  </si>
  <si>
    <t xml:space="preserve">이에스이 주식회사</t>
  </si>
  <si>
    <t xml:space="preserve">124-81-72075</t>
  </si>
  <si>
    <t xml:space="preserve">박경식</t>
  </si>
  <si>
    <t xml:space="preserve">031-622-3939</t>
  </si>
  <si>
    <t xml:space="preserve">http://www.eseict.com/main</t>
  </si>
  <si>
    <t xml:space="preserve">jh.oh.eseict@gmail.com</t>
  </si>
  <si>
    <t xml:space="preserve">경기도 성남시 분당구 판교로 228번길 15, 1단지 3동 501호(삼평동)</t>
  </si>
  <si>
    <t xml:space="preserve">스마트시티 플랫폼, 데이터허브</t>
  </si>
  <si>
    <t xml:space="preserve">한용호</t>
  </si>
  <si>
    <t xml:space="preserve">전략기획본부</t>
  </si>
  <si>
    <t xml:space="preserve">hanyh@eseict.com</t>
  </si>
  <si>
    <t xml:space="preserve">010-3584-8092</t>
  </si>
  <si>
    <t xml:space="preserve">서수경</t>
  </si>
  <si>
    <t xml:space="preserve"> seosk@eseict.com</t>
  </si>
  <si>
    <t xml:space="preserve">010-2722-2769</t>
  </si>
  <si>
    <t xml:space="preserve">주식회사 임팩시스</t>
  </si>
  <si>
    <t xml:space="preserve">221-81-40156</t>
  </si>
  <si>
    <t xml:space="preserve">신승렬</t>
  </si>
  <si>
    <t xml:space="preserve">070-7004-6500</t>
  </si>
  <si>
    <t xml:space="preserve">www.impacsys.co.kr</t>
  </si>
  <si>
    <t xml:space="preserve">ppory1225@naver.com</t>
  </si>
  <si>
    <t xml:space="preserve">강원 춘천시 동면 춘천순환로 609, 4층(서유빌딩)</t>
  </si>
  <si>
    <r>
      <rPr>
        <sz val="10"/>
        <rFont val="Arial"/>
        <family val="2"/>
        <charset val="1"/>
      </rPr>
      <t xml:space="preserve">AI </t>
    </r>
    <r>
      <rPr>
        <sz val="10"/>
        <rFont val="WenQuanYi Zen Hei"/>
        <family val="2"/>
      </rPr>
      <t xml:space="preserve">추천 서비스 및 예약 솔루션 </t>
    </r>
  </si>
  <si>
    <t xml:space="preserve">070-7004-6510</t>
  </si>
  <si>
    <t xml:space="preserve">jakeshin@imcorp.kr</t>
  </si>
  <si>
    <t xml:space="preserve">010-8570-2794</t>
  </si>
  <si>
    <t xml:space="preserve">변정인</t>
  </si>
  <si>
    <t xml:space="preserve">경영지원실</t>
  </si>
  <si>
    <t xml:space="preserve">bji@imcorp.kr</t>
  </si>
  <si>
    <t xml:space="preserve">010-9511-7620</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</si>
  <si>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시너지</t>
    </r>
  </si>
  <si>
    <t xml:space="preserve">855-86-01418</t>
  </si>
  <si>
    <t xml:space="preserve">장권영</t>
  </si>
  <si>
    <t xml:space="preserve">070-5226-1147</t>
  </si>
  <si>
    <t xml:space="preserve">www.sngy.io</t>
  </si>
  <si>
    <t xml:space="preserve">jycho@sngy.io</t>
  </si>
  <si>
    <t xml:space="preserve">울산광역시 울주군 언양읍 유니스트길 50, UNIST 산학협력관(251동) 307호</t>
  </si>
  <si>
    <r>
      <rPr>
        <sz val="10"/>
        <rFont val="Arial"/>
        <family val="2"/>
        <charset val="1"/>
      </rPr>
      <t xml:space="preserve">ML </t>
    </r>
    <r>
      <rPr>
        <sz val="10"/>
        <rFont val="WenQuanYi Zen Hei"/>
        <family val="2"/>
      </rPr>
      <t xml:space="preserve">기반 에너지 데이터 예측</t>
    </r>
    <r>
      <rPr>
        <sz val="10"/>
        <rFont val="Arial"/>
        <family val="2"/>
        <charset val="1"/>
      </rPr>
      <t xml:space="preserve">/</t>
    </r>
    <r>
      <rPr>
        <sz val="10"/>
        <rFont val="WenQuanYi Zen Hei"/>
        <family val="2"/>
      </rPr>
      <t xml:space="preserve">시계열 데이터 기반 전압</t>
    </r>
    <r>
      <rPr>
        <sz val="10"/>
        <rFont val="Arial"/>
        <family val="2"/>
        <charset val="1"/>
      </rPr>
      <t xml:space="preserve">,</t>
    </r>
    <r>
      <rPr>
        <sz val="10"/>
        <rFont val="WenQuanYi Zen Hei"/>
        <family val="2"/>
      </rPr>
      <t xml:space="preserve">전력 사용량 예측</t>
    </r>
  </si>
  <si>
    <t xml:space="preserve">010-2922-0500</t>
  </si>
  <si>
    <t xml:space="preserve">sh0487@sngy.io</t>
  </si>
  <si>
    <t xml:space="preserve">곽현이</t>
  </si>
  <si>
    <t xml:space="preserve">hyun@sngy.io</t>
  </si>
  <si>
    <t xml:space="preserve">010-9818-5667</t>
  </si>
  <si>
    <t xml:space="preserve">주식회사 에스이코리아</t>
  </si>
  <si>
    <t xml:space="preserve">514-81-62144</t>
  </si>
  <si>
    <t xml:space="preserve">윤봉훈</t>
  </si>
  <si>
    <t xml:space="preserve">053-474-1212</t>
  </si>
  <si>
    <t xml:space="preserve">sekorea.co.kr</t>
  </si>
  <si>
    <t xml:space="preserve">withhj84@gmail.com</t>
  </si>
  <si>
    <t xml:space="preserve">대구시 수성구 알파시티1로31길 16</t>
  </si>
  <si>
    <t xml:space="preserve">봇앤휴먼</t>
  </si>
  <si>
    <t xml:space="preserve">seceo@sekorea.co.kr</t>
  </si>
  <si>
    <t xml:space="preserve">010-6689-3256</t>
  </si>
  <si>
    <t xml:space="preserve">정동석</t>
  </si>
  <si>
    <t xml:space="preserve">시스템사업</t>
  </si>
  <si>
    <t xml:space="preserve">cds@sekorea.co.kr</t>
  </si>
  <si>
    <t xml:space="preserve">010-2503-7308</t>
  </si>
  <si>
    <t xml:space="preserve">한국전자기술연구원</t>
  </si>
  <si>
    <t xml:space="preserve">125-82-05237</t>
  </si>
  <si>
    <t xml:space="preserve">신희동</t>
  </si>
  <si>
    <t xml:space="preserve">031-789-7000</t>
  </si>
  <si>
    <t xml:space="preserve">https://www.keti.re.kr/</t>
  </si>
  <si>
    <t xml:space="preserve">llaewon@gmail.com</t>
  </si>
  <si>
    <r>
      <rPr>
        <sz val="10"/>
        <rFont val="Arial"/>
        <family val="2"/>
        <charset val="1"/>
      </rPr>
      <t xml:space="preserve">(13509) </t>
    </r>
    <r>
      <rPr>
        <sz val="10"/>
        <rFont val="WenQuanYi Zen Hei"/>
        <family val="2"/>
      </rPr>
      <t xml:space="preserve">경기도 성남시 분당구 새나리로 </t>
    </r>
    <r>
      <rPr>
        <sz val="10"/>
        <rFont val="Arial"/>
        <family val="2"/>
        <charset val="1"/>
      </rPr>
      <t xml:space="preserve">25 (</t>
    </r>
    <r>
      <rPr>
        <sz val="10"/>
        <rFont val="WenQuanYi Zen Hei"/>
        <family val="2"/>
      </rPr>
      <t xml:space="preserve">야탑동</t>
    </r>
    <r>
      <rPr>
        <sz val="10"/>
        <rFont val="Arial"/>
        <family val="2"/>
        <charset val="1"/>
      </rPr>
      <t xml:space="preserve">)</t>
    </r>
  </si>
  <si>
    <t xml:space="preserve">문맥 분석 기반의 도메인 특화 에이전트 기술, LLM 기반 관계형 데이터 검색 기술 (Graph RAG), 멀티모달 AI 인터랙션 및 추론 기술, 딥페이크 탐지 AI 기술, 음성/영상 생성 및 변형 기술 등</t>
  </si>
  <si>
    <t xml:space="preserve">임태범</t>
  </si>
  <si>
    <t xml:space="preserve">인공지능연구본부</t>
  </si>
  <si>
    <t xml:space="preserve">031-739-7470</t>
  </si>
  <si>
    <t xml:space="preserve">tblim@keti.re.kr</t>
  </si>
  <si>
    <t xml:space="preserve">010-3257-4460</t>
  </si>
  <si>
    <t xml:space="preserve">이영한</t>
  </si>
  <si>
    <t xml:space="preserve">복합지능연구센터</t>
  </si>
  <si>
    <t xml:space="preserve">031-739-7458</t>
  </si>
  <si>
    <t xml:space="preserve">yhlee@keti.re.kr</t>
  </si>
  <si>
    <t xml:space="preserve">010-2951-3880</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</si>
  <si>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메가투스</t>
    </r>
  </si>
  <si>
    <t xml:space="preserve">211-86-46124</t>
  </si>
  <si>
    <t xml:space="preserve">조창협</t>
  </si>
  <si>
    <t xml:space="preserve">02-563-0117</t>
  </si>
  <si>
    <t xml:space="preserve">www.megatus.com</t>
  </si>
  <si>
    <t xml:space="preserve">hjhj202501@gmail.com</t>
  </si>
  <si>
    <t xml:space="preserve">서울특별시 구로구 디지털로33길 27 (구로동) 705호</t>
  </si>
  <si>
    <t xml:space="preserve"> 에이전틱 워크플로우/AI </t>
  </si>
  <si>
    <t xml:space="preserve">조범진 </t>
  </si>
  <si>
    <t xml:space="preserve">클라우드본부</t>
  </si>
  <si>
    <t xml:space="preserve">beumjin.cho@megatus.com</t>
  </si>
  <si>
    <t xml:space="preserve">010-7106-3608</t>
  </si>
  <si>
    <t xml:space="preserve">조희정</t>
  </si>
  <si>
    <t xml:space="preserve">재무팀</t>
  </si>
  <si>
    <t xml:space="preserve">yeuci@megatus.com</t>
  </si>
  <si>
    <t xml:space="preserve">010-3704-4544</t>
  </si>
  <si>
    <t xml:space="preserve">펜타시스템테크놀러지(주)</t>
  </si>
  <si>
    <t xml:space="preserve">116-81-35346</t>
  </si>
  <si>
    <t xml:space="preserve">장종준</t>
  </si>
  <si>
    <t xml:space="preserve">02-769-9700</t>
  </si>
  <si>
    <t xml:space="preserve">www.penta.co.kr</t>
  </si>
  <si>
    <t xml:space="preserve">jukab2246@gmail.com</t>
  </si>
  <si>
    <t xml:space="preserve">서울특별시 영등포구 여의공원로 115 세우빌딩 10, 11</t>
  </si>
  <si>
    <t xml:space="preserve">학습데이터 생성을 위한 개인정보 비식별화 솔루션 및  AI Agent 포털 솔루션 보유</t>
  </si>
  <si>
    <t xml:space="preserve">김동한</t>
  </si>
  <si>
    <t xml:space="preserve">펜타 Lab5 고등기술연구소</t>
  </si>
  <si>
    <t xml:space="preserve">전문위원/연구소장</t>
  </si>
  <si>
    <t xml:space="preserve">02-769-9773</t>
  </si>
  <si>
    <t xml:space="preserve">picollo@penta.co.kr</t>
  </si>
  <si>
    <t xml:space="preserve">010-9188-1021</t>
  </si>
  <si>
    <t xml:space="preserve">정광용</t>
  </si>
  <si>
    <r>
      <rPr>
        <sz val="10"/>
        <rFont val="Arial"/>
        <family val="2"/>
        <charset val="1"/>
      </rPr>
      <t xml:space="preserve">DG</t>
    </r>
    <r>
      <rPr>
        <sz val="10"/>
        <rFont val="WenQuanYi Zen Hei"/>
        <family val="2"/>
      </rPr>
      <t xml:space="preserve">팀</t>
    </r>
  </si>
  <si>
    <t xml:space="preserve">기술위원/팀장</t>
  </si>
  <si>
    <t xml:space="preserve">02-769-9760</t>
  </si>
  <si>
    <t xml:space="preserve">kychung@penta.co.kr</t>
  </si>
  <si>
    <t xml:space="preserve">010-3264-5708</t>
  </si>
  <si>
    <t xml:space="preserve">한솔코에버㈜</t>
  </si>
  <si>
    <t xml:space="preserve">119-81-88750</t>
  </si>
  <si>
    <t xml:space="preserve">안상윤</t>
  </si>
  <si>
    <t xml:space="preserve">02-859-7788</t>
  </si>
  <si>
    <t xml:space="preserve">www.coever.co.kr</t>
  </si>
  <si>
    <t xml:space="preserve">kingjubi1020@gmail.com</t>
  </si>
  <si>
    <t xml:space="preserve">서울시 금천구 가산디지털1로 168, 우림라이온스밸리 C901, 902호</t>
  </si>
  <si>
    <t xml:space="preserve">제조AI(품질관리, 이상치탐지)</t>
  </si>
  <si>
    <t xml:space="preserve">최영식</t>
  </si>
  <si>
    <r>
      <rPr>
        <sz val="10"/>
        <rFont val="Arial"/>
        <family val="2"/>
        <charset val="1"/>
      </rPr>
      <t xml:space="preserve">DX</t>
    </r>
    <r>
      <rPr>
        <sz val="10"/>
        <rFont val="WenQuanYi Zen Hei"/>
        <family val="2"/>
      </rPr>
      <t xml:space="preserve">사업부문</t>
    </r>
  </si>
  <si>
    <t xml:space="preserve">부문장</t>
  </si>
  <si>
    <t xml:space="preserve"> ys.choi@hansol.com</t>
  </si>
  <si>
    <t xml:space="preserve">010-8816-7737</t>
  </si>
  <si>
    <t xml:space="preserve">김혜주</t>
  </si>
  <si>
    <r>
      <rPr>
        <sz val="10"/>
        <rFont val="Arial"/>
        <family val="2"/>
        <charset val="1"/>
      </rPr>
      <t xml:space="preserve">DX</t>
    </r>
    <r>
      <rPr>
        <sz val="10"/>
        <rFont val="WenQuanYi Zen Hei"/>
        <family val="2"/>
      </rPr>
      <t xml:space="preserve">사업부문 개발팀</t>
    </r>
  </si>
  <si>
    <t xml:space="preserve">hyejookim@hansol.com</t>
  </si>
  <si>
    <t xml:space="preserve">010-5529-3061</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</si>
  <si>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이튜</t>
    </r>
  </si>
  <si>
    <t xml:space="preserve">514-81-66515</t>
  </si>
  <si>
    <t xml:space="preserve">김광수</t>
  </si>
  <si>
    <t xml:space="preserve">053-623-1468</t>
  </si>
  <si>
    <t xml:space="preserve">https://www.eplatform.co.kr</t>
  </si>
  <si>
    <t xml:space="preserve">kphjey8690@eplatform.co.kr</t>
  </si>
  <si>
    <t xml:space="preserve">대구광역시 수성구 알파시티 1로 31길 12</t>
  </si>
  <si>
    <t xml:space="preserve">생성형 AI(RAG 기반 AI 대화 시스템)</t>
  </si>
  <si>
    <t xml:space="preserve">kkosoo@eplatform.co.kr</t>
  </si>
  <si>
    <t xml:space="preserve">010-6381-1376</t>
  </si>
  <si>
    <t xml:space="preserve">김평한</t>
  </si>
  <si>
    <t xml:space="preserve">010-4783-8604</t>
  </si>
  <si>
    <t xml:space="preserve">주식회사 마크애니</t>
  </si>
  <si>
    <t xml:space="preserve">101-81-47345</t>
  </si>
  <si>
    <t xml:space="preserve">최종욱, 최고</t>
  </si>
  <si>
    <t xml:space="preserve">02-2262-5222</t>
  </si>
  <si>
    <t xml:space="preserve">https://www.markany.com/</t>
  </si>
  <si>
    <t xml:space="preserve">mascreentracer@gmail.com</t>
  </si>
  <si>
    <t xml:space="preserve">서울특별시 중구 퇴계로 286 7.10.13층 (쌍림동, 쌍림빌딩)</t>
  </si>
  <si>
    <r>
      <rPr>
        <sz val="10"/>
        <rFont val="Arial"/>
        <family val="2"/>
        <charset val="1"/>
      </rPr>
      <t xml:space="preserve">AI </t>
    </r>
    <r>
      <rPr>
        <sz val="10"/>
        <rFont val="WenQuanYi Zen Hei"/>
        <family val="2"/>
      </rPr>
      <t xml:space="preserve">위변조 방지</t>
    </r>
    <r>
      <rPr>
        <sz val="10"/>
        <rFont val="Arial"/>
        <family val="2"/>
        <charset val="1"/>
      </rPr>
      <t xml:space="preserve">(</t>
    </r>
    <r>
      <rPr>
        <sz val="10"/>
        <rFont val="WenQuanYi Zen Hei"/>
        <family val="2"/>
      </rPr>
      <t xml:space="preserve">워터마킹</t>
    </r>
    <r>
      <rPr>
        <sz val="10"/>
        <rFont val="Arial"/>
        <family val="2"/>
        <charset val="1"/>
      </rPr>
      <t xml:space="preserve">), </t>
    </r>
    <r>
      <rPr>
        <sz val="10"/>
        <rFont val="WenQuanYi Zen Hei"/>
        <family val="2"/>
      </rPr>
      <t xml:space="preserve">컴퓨터 비전 기반 보안 시스템</t>
    </r>
    <r>
      <rPr>
        <sz val="10"/>
        <rFont val="Arial"/>
        <family val="2"/>
        <charset val="1"/>
      </rPr>
      <t xml:space="preserve">, </t>
    </r>
    <r>
      <rPr>
        <sz val="10"/>
        <rFont val="WenQuanYi Zen Hei"/>
        <family val="2"/>
      </rPr>
      <t xml:space="preserve">지능형 영상 관제 및 </t>
    </r>
    <r>
      <rPr>
        <sz val="10"/>
        <rFont val="Arial"/>
        <family val="2"/>
        <charset val="1"/>
      </rPr>
      <t xml:space="preserve">AI </t>
    </r>
    <r>
      <rPr>
        <sz val="10"/>
        <rFont val="WenQuanYi Zen Hei"/>
        <family val="2"/>
      </rPr>
      <t xml:space="preserve">응용 솔루션 제공</t>
    </r>
    <r>
      <rPr>
        <sz val="10"/>
        <rFont val="Arial"/>
        <family val="2"/>
        <charset val="1"/>
      </rPr>
      <t xml:space="preserve">, </t>
    </r>
    <r>
      <rPr>
        <sz val="10"/>
        <rFont val="WenQuanYi Zen Hei"/>
        <family val="2"/>
      </rPr>
      <t xml:space="preserve">개발</t>
    </r>
  </si>
  <si>
    <t xml:space="preserve">최고</t>
  </si>
  <si>
    <t xml:space="preserve">02-2262-5257</t>
  </si>
  <si>
    <t xml:space="preserve">gochoi@markany.com</t>
  </si>
  <si>
    <t xml:space="preserve">010-8582-7834</t>
  </si>
  <si>
    <t xml:space="preserve">노수아</t>
  </si>
  <si>
    <t xml:space="preserve">02-2262-5247</t>
  </si>
  <si>
    <t xml:space="preserve">marketing@markany.com</t>
  </si>
  <si>
    <t xml:space="preserve">010-2711-0567</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</si>
  <si>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비바이노베이션</t>
    </r>
  </si>
  <si>
    <t xml:space="preserve">210-88-00959</t>
  </si>
  <si>
    <t xml:space="preserve">박한</t>
  </si>
  <si>
    <t xml:space="preserve">02-1544-3154</t>
  </si>
  <si>
    <t xml:space="preserve">https://www.adoc.co.kr</t>
  </si>
  <si>
    <t xml:space="preserve">viva.cometrue@gmail.com</t>
  </si>
  <si>
    <t xml:space="preserve">서울시 강남구 언주로 563 원에디션 강남, B123~126호 비바이노베이션</t>
  </si>
  <si>
    <t xml:space="preserve">건강검진 추적관찰 AI 및 건강검진 도메인 생성형 FM 모델 운영</t>
  </si>
  <si>
    <r>
      <rPr>
        <sz val="10"/>
        <rFont val="Arial"/>
        <family val="2"/>
        <charset val="1"/>
      </rPr>
      <t xml:space="preserve">AI </t>
    </r>
    <r>
      <rPr>
        <sz val="10"/>
        <rFont val="WenQuanYi Zen Hei"/>
        <family val="2"/>
      </rPr>
      <t xml:space="preserve">연구팀</t>
    </r>
  </si>
  <si>
    <t xml:space="preserve">viva_master@adoc.co.kr</t>
  </si>
  <si>
    <t xml:space="preserve">010-8424-6129</t>
  </si>
  <si>
    <t xml:space="preserve">김근형</t>
  </si>
  <si>
    <t xml:space="preserve">mason@adoc.co.kr</t>
  </si>
  <si>
    <t xml:space="preserve">010-5408-0603</t>
  </si>
  <si>
    <t xml:space="preserve">지엔소프트㈜</t>
  </si>
  <si>
    <t xml:space="preserve">314-81-87147</t>
  </si>
  <si>
    <t xml:space="preserve">042-482-5400</t>
  </si>
  <si>
    <t xml:space="preserve">http://www.gn-soft.co.kr/gns/html/index.html</t>
  </si>
  <si>
    <t xml:space="preserve">hsh4330@gmail.com</t>
  </si>
  <si>
    <r>
      <rPr>
        <sz val="10"/>
        <rFont val="Arial"/>
        <family val="2"/>
        <charset val="1"/>
      </rPr>
      <t xml:space="preserve"> 34050 </t>
    </r>
    <r>
      <rPr>
        <sz val="10"/>
        <rFont val="WenQuanYi Zen Hei"/>
        <family val="2"/>
      </rPr>
      <t xml:space="preserve">대전광역시 유성구 문지로 </t>
    </r>
    <r>
      <rPr>
        <sz val="10"/>
        <rFont val="Arial"/>
        <family val="2"/>
        <charset val="1"/>
      </rPr>
      <t xml:space="preserve">272-16, </t>
    </r>
    <r>
      <rPr>
        <sz val="10"/>
        <rFont val="WenQuanYi Zen Hei"/>
        <family val="2"/>
      </rPr>
      <t xml:space="preserve">인공지능센터 </t>
    </r>
    <r>
      <rPr>
        <sz val="10"/>
        <rFont val="Arial"/>
        <family val="2"/>
        <charset val="1"/>
      </rPr>
      <t xml:space="preserve">2</t>
    </r>
    <r>
      <rPr>
        <sz val="10"/>
        <rFont val="WenQuanYi Zen Hei"/>
        <family val="2"/>
      </rPr>
      <t xml:space="preserve">층</t>
    </r>
    <r>
      <rPr>
        <sz val="10"/>
        <rFont val="Arial"/>
        <family val="2"/>
        <charset val="1"/>
      </rPr>
      <t xml:space="preserve">(201</t>
    </r>
    <r>
      <rPr>
        <sz val="10"/>
        <rFont val="WenQuanYi Zen Hei"/>
        <family val="2"/>
      </rPr>
      <t xml:space="preserve">호</t>
    </r>
    <r>
      <rPr>
        <sz val="10"/>
        <rFont val="Arial"/>
        <family val="2"/>
        <charset val="1"/>
      </rPr>
      <t xml:space="preserve">~205</t>
    </r>
    <r>
      <rPr>
        <sz val="10"/>
        <rFont val="WenQuanYi Zen Hei"/>
        <family val="2"/>
      </rPr>
      <t xml:space="preserve">호</t>
    </r>
    <r>
      <rPr>
        <sz val="10"/>
        <rFont val="Arial"/>
        <family val="2"/>
        <charset val="1"/>
      </rPr>
      <t xml:space="preserve">)</t>
    </r>
  </si>
  <si>
    <r>
      <rPr>
        <sz val="10"/>
        <rFont val="Arial"/>
        <family val="2"/>
        <charset val="1"/>
      </rPr>
      <t xml:space="preserve">AI</t>
    </r>
    <r>
      <rPr>
        <sz val="10"/>
        <rFont val="WenQuanYi Zen Hei"/>
        <family val="2"/>
      </rPr>
      <t xml:space="preserve">인공지능 영상처리 기술</t>
    </r>
  </si>
  <si>
    <t xml:space="preserve">jskim@gn-soft.co.kr</t>
  </si>
  <si>
    <t xml:space="preserve">010-6406-3621</t>
  </si>
  <si>
    <t xml:space="preserve">김현우</t>
  </si>
  <si>
    <t xml:space="preserve">이사/팀장</t>
  </si>
  <si>
    <t xml:space="preserve">topazkim87@gn-soft.co.kr</t>
  </si>
  <si>
    <t xml:space="preserve">010-7142-5690</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</si>
  <si>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에이데이타</t>
    </r>
  </si>
  <si>
    <t xml:space="preserve">480-86-01835</t>
  </si>
  <si>
    <t xml:space="preserve">이동혁</t>
  </si>
  <si>
    <t xml:space="preserve">02-2088-0971</t>
  </si>
  <si>
    <t xml:space="preserve">https://www.aedata.co.kr/</t>
  </si>
  <si>
    <t xml:space="preserve">ibiz3222@gmail.com</t>
  </si>
  <si>
    <t xml:space="preserve">서울특별시 동작구 보라매로5길 51 406호,407호 (신대방동, 롯데타워)</t>
  </si>
  <si>
    <r>
      <rPr>
        <sz val="10"/>
        <rFont val="Arial"/>
        <family val="2"/>
        <charset val="1"/>
      </rPr>
      <t xml:space="preserve">AI</t>
    </r>
    <r>
      <rPr>
        <sz val="10"/>
        <rFont val="WenQuanYi Zen Hei"/>
        <family val="2"/>
      </rPr>
      <t xml:space="preserve">기반 </t>
    </r>
    <r>
      <rPr>
        <sz val="10"/>
        <rFont val="Arial"/>
        <family val="2"/>
        <charset val="1"/>
      </rPr>
      <t xml:space="preserve">API/APIM  SCV </t>
    </r>
    <r>
      <rPr>
        <sz val="10"/>
        <rFont val="WenQuanYi Zen Hei"/>
        <family val="2"/>
      </rPr>
      <t xml:space="preserve">솔루션 </t>
    </r>
  </si>
  <si>
    <t xml:space="preserve">최선오</t>
  </si>
  <si>
    <t xml:space="preserve">sun2033@daum.net</t>
  </si>
  <si>
    <t xml:space="preserve">010-7132-0637</t>
  </si>
  <si>
    <t xml:space="preserve">마인드로직 주식회사</t>
  </si>
  <si>
    <t xml:space="preserve">331-81-01353</t>
  </si>
  <si>
    <t xml:space="preserve">김진욱, 김용우</t>
  </si>
  <si>
    <t xml:space="preserve">070-5102-6560</t>
  </si>
  <si>
    <t xml:space="preserve">https://mindlogic.ai/ko</t>
  </si>
  <si>
    <t xml:space="preserve">seogang.jung@mindlogic.ai</t>
  </si>
  <si>
    <t xml:space="preserve">서울시 강남구 봉은사로 331, 8층</t>
  </si>
  <si>
    <t xml:space="preserve">자연어처리, RAG 정보검색</t>
  </si>
  <si>
    <t xml:space="preserve">김진욱</t>
  </si>
  <si>
    <t xml:space="preserve">사업부</t>
  </si>
  <si>
    <t xml:space="preserve">공동대표</t>
  </si>
  <si>
    <t xml:space="preserve">jinwook@mindlogic.ai</t>
  </si>
  <si>
    <t xml:space="preserve">010-3010-0137</t>
  </si>
  <si>
    <t xml:space="preserve">정서강</t>
  </si>
  <si>
    <t xml:space="preserve">시니어 매니저</t>
  </si>
  <si>
    <t xml:space="preserve">010-9557-8891</t>
  </si>
  <si>
    <t xml:space="preserve">주식회사 플리토</t>
  </si>
  <si>
    <t xml:space="preserve">215-87-72878</t>
  </si>
  <si>
    <t xml:space="preserve">이정수</t>
  </si>
  <si>
    <t xml:space="preserve">02-512-0142</t>
  </si>
  <si>
    <t xml:space="preserve">https://www.flitto.com</t>
  </si>
  <si>
    <t xml:space="preserve">jin@flitto.com</t>
  </si>
  <si>
    <t xml:space="preserve">서울특별시 강남구 영동대로 96길 20, 6층</t>
  </si>
  <si>
    <r>
      <rPr>
        <sz val="10"/>
        <rFont val="Arial"/>
        <family val="2"/>
        <charset val="1"/>
      </rPr>
      <t xml:space="preserve">AI </t>
    </r>
    <r>
      <rPr>
        <sz val="10"/>
        <rFont val="WenQuanYi Zen Hei"/>
        <family val="2"/>
      </rPr>
      <t xml:space="preserve">모델 학습용 데이터셋 구축 및 실시간 </t>
    </r>
    <r>
      <rPr>
        <sz val="10"/>
        <rFont val="Arial"/>
        <family val="2"/>
        <charset val="1"/>
      </rPr>
      <t xml:space="preserve">AI </t>
    </r>
    <r>
      <rPr>
        <sz val="10"/>
        <rFont val="WenQuanYi Zen Hei"/>
        <family val="2"/>
      </rPr>
      <t xml:space="preserve">통번역 서비스</t>
    </r>
  </si>
  <si>
    <t xml:space="preserve">김진구</t>
  </si>
  <si>
    <t xml:space="preserve">010-9246-0637</t>
  </si>
  <si>
    <t xml:space="preserve">김재훈</t>
  </si>
  <si>
    <t xml:space="preserve">BD Sales1</t>
  </si>
  <si>
    <t xml:space="preserve">010-5037-8975</t>
  </si>
  <si>
    <t xml:space="preserve">jaehoon.kim@flitto.com</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</si>
  <si>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코난테크놀로지</t>
    </r>
  </si>
  <si>
    <t xml:space="preserve">229-81-37316</t>
  </si>
  <si>
    <t xml:space="preserve">김영섬</t>
  </si>
  <si>
    <t xml:space="preserve">1533-1614</t>
  </si>
  <si>
    <t xml:space="preserve">https://www.konantech.com/</t>
  </si>
  <si>
    <t xml:space="preserve">thdudfk898@gmail.com</t>
  </si>
  <si>
    <t xml:space="preserve">서울시 서초구 강남대로 327, 6,7,9층</t>
  </si>
  <si>
    <t xml:space="preserve">LLM, RAG-X, AIStation,Text AI, Vision AI</t>
  </si>
  <si>
    <t xml:space="preserve">이형주</t>
  </si>
  <si>
    <r>
      <rPr>
        <sz val="10"/>
        <rFont val="Arial"/>
        <family val="2"/>
        <charset val="1"/>
      </rPr>
      <t xml:space="preserve">AX</t>
    </r>
    <r>
      <rPr>
        <sz val="10"/>
        <rFont val="WenQuanYi Zen Hei"/>
        <family val="2"/>
      </rPr>
      <t xml:space="preserve">서비스 사업부</t>
    </r>
  </si>
  <si>
    <t xml:space="preserve">02-3469-8599</t>
  </si>
  <si>
    <t xml:space="preserve">hyungju.lee@konantech.com</t>
  </si>
  <si>
    <t xml:space="preserve">010-6224-0307</t>
  </si>
  <si>
    <t xml:space="preserve">김산</t>
  </si>
  <si>
    <t xml:space="preserve">02-3469-8789</t>
  </si>
  <si>
    <t xml:space="preserve">san.kim@konantech.com</t>
  </si>
  <si>
    <t xml:space="preserve">010-8630-9677</t>
  </si>
  <si>
    <t xml:space="preserve">라온시큐어(주)</t>
  </si>
  <si>
    <t xml:space="preserve">138-81-16484</t>
  </si>
  <si>
    <t xml:space="preserve">이순형·이정아</t>
  </si>
  <si>
    <t xml:space="preserve">02-561-4545</t>
  </si>
  <si>
    <t xml:space="preserve">https://www.raonsecure.com</t>
  </si>
  <si>
    <t xml:space="preserve">rehide00@gmail.com</t>
  </si>
  <si>
    <t xml:space="preserve">서울특별시 영등포구 여의대로 108, 파크원타워2 47-48(여의도동)</t>
  </si>
  <si>
    <r>
      <rPr>
        <sz val="10"/>
        <rFont val="Arial"/>
        <family val="2"/>
        <charset val="1"/>
      </rPr>
      <t xml:space="preserve">AAIM(Agentic Ai Identity Management), Web3·</t>
    </r>
    <r>
      <rPr>
        <sz val="10"/>
        <rFont val="WenQuanYi Zen Hei"/>
        <family val="2"/>
      </rPr>
      <t xml:space="preserve">블록체인 플랫폼</t>
    </r>
  </si>
  <si>
    <t xml:space="preserve">김태진</t>
  </si>
  <si>
    <t xml:space="preserve">서비스개발본부</t>
  </si>
  <si>
    <t xml:space="preserve">본부장/전무이사</t>
  </si>
  <si>
    <t xml:space="preserve">070-8240-3640</t>
  </si>
  <si>
    <t xml:space="preserve">tjkim1212@raoncorp.com</t>
  </si>
  <si>
    <t xml:space="preserve">010-9975-1773</t>
  </si>
  <si>
    <t xml:space="preserve">김태정</t>
  </si>
  <si>
    <t xml:space="preserve">070-8240-6946</t>
  </si>
  <si>
    <t xml:space="preserve">tjkim4352@raoncorp.com</t>
  </si>
  <si>
    <t xml:space="preserve">010-7770-4352</t>
  </si>
  <si>
    <t xml:space="preserve">주식회사 케이티</t>
  </si>
  <si>
    <t xml:space="preserve">102-81-42945</t>
  </si>
  <si>
    <t xml:space="preserve">김영섭</t>
  </si>
  <si>
    <t xml:space="preserve">02-3495-3219</t>
  </si>
  <si>
    <t xml:space="preserve">corp.kt.com</t>
  </si>
  <si>
    <t xml:space="preserve">hankyus@gmail.com</t>
  </si>
  <si>
    <t xml:space="preserve">경기도 성남시 분당구 불정로 90</t>
  </si>
  <si>
    <t xml:space="preserve">독자모델(믿:음), 오픈모델 기반 Vertical  AI 기술, RAG(Text 기반 RAG, Multi-Modal RAG, GraphRAG, Agentic RAG), Agent Orchestrator 기술(Multi-Agent, Memory, A2A/MCP), RAI 등</t>
  </si>
  <si>
    <t xml:space="preserve">윤경아</t>
  </si>
  <si>
    <t xml:space="preserve">Agentic AI Lab</t>
  </si>
  <si>
    <t xml:space="preserve">상무/Lab장</t>
  </si>
  <si>
    <t xml:space="preserve">010-9314-3948</t>
  </si>
  <si>
    <t xml:space="preserve">kyunga.yoon@kt.com</t>
  </si>
  <si>
    <t xml:space="preserve">성한규</t>
  </si>
  <si>
    <r>
      <rPr>
        <sz val="10"/>
        <rFont val="Arial"/>
        <family val="2"/>
        <charset val="1"/>
      </rPr>
      <t xml:space="preserve">Agentic AI Lab A-</t>
    </r>
    <r>
      <rPr>
        <sz val="10"/>
        <rFont val="WenQuanYi Zen Hei"/>
        <family val="2"/>
      </rPr>
      <t xml:space="preserve">기획팀</t>
    </r>
  </si>
  <si>
    <t xml:space="preserve">010-9851-2154</t>
  </si>
  <si>
    <t xml:space="preserve">hankyu.sung@kt.com</t>
  </si>
  <si>
    <r>
      <rPr>
        <sz val="10"/>
        <rFont val="Arial"/>
        <family val="2"/>
        <charset val="1"/>
      </rPr>
      <t xml:space="preserve">LG AI</t>
    </r>
    <r>
      <rPr>
        <sz val="10"/>
        <rFont val="WenQuanYi Zen Hei"/>
        <family val="2"/>
      </rPr>
      <t xml:space="preserve">연구원</t>
    </r>
  </si>
  <si>
    <t xml:space="preserve">추론 통합 하이브리드 모델 EXAONE 4.0(Agent 구현을 위한 MCP 및 Function Calling 등 지원) 및 K-EXAONE 모델(236B 규모, 에이전트 도구 사용 성능 우수)</t>
  </si>
  <si>
    <t xml:space="preserve">전기정</t>
  </si>
  <si>
    <t xml:space="preserve">서비스개발 부문</t>
  </si>
  <si>
    <t xml:space="preserve">010-3996-4842</t>
  </si>
  <si>
    <t xml:space="preserve">kj.jeon@lgresearch.ai</t>
  </si>
  <si>
    <t xml:space="preserve">이상은</t>
  </si>
  <si>
    <t xml:space="preserve">전략 부문</t>
  </si>
  <si>
    <t xml:space="preserve">정책 책임</t>
  </si>
  <si>
    <t xml:space="preserve">010-2932-3302</t>
  </si>
  <si>
    <t xml:space="preserve">sangeun.lee@lgresearch.ai</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</si>
  <si>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안랩클라우드메이트</t>
    </r>
  </si>
  <si>
    <t xml:space="preserve">789-81-01310</t>
  </si>
  <si>
    <t xml:space="preserve">김형준</t>
  </si>
  <si>
    <t xml:space="preserve">02-2069-1980</t>
  </si>
  <si>
    <t xml:space="preserve">https://ahnlabcloudmate.com/</t>
  </si>
  <si>
    <t xml:space="preserve">서울특별시 구로구 경인로662 타워동 29층</t>
  </si>
  <si>
    <r>
      <rPr>
        <sz val="10"/>
        <rFont val="Arial"/>
        <family val="2"/>
        <charset val="1"/>
      </rPr>
      <t xml:space="preserve">AI </t>
    </r>
    <r>
      <rPr>
        <sz val="10"/>
        <rFont val="WenQuanYi Zen Hei"/>
        <family val="2"/>
      </rPr>
      <t xml:space="preserve">보안 </t>
    </r>
    <r>
      <rPr>
        <sz val="10"/>
        <rFont val="Arial"/>
        <family val="2"/>
        <charset val="1"/>
      </rPr>
      <t xml:space="preserve">(Security for AI), RAG, </t>
    </r>
    <r>
      <rPr>
        <sz val="10"/>
        <rFont val="WenQuanYi Zen Hei"/>
        <family val="2"/>
      </rPr>
      <t xml:space="preserve">생성형 </t>
    </r>
    <r>
      <rPr>
        <sz val="10"/>
        <rFont val="Arial"/>
        <family val="2"/>
        <charset val="1"/>
      </rPr>
      <t xml:space="preserve">AI</t>
    </r>
  </si>
  <si>
    <t xml:space="preserve">최광호</t>
  </si>
  <si>
    <t xml:space="preserve">CTO Division</t>
  </si>
  <si>
    <t xml:space="preserve">kwangho.choi@ahnlabcloudmate.com</t>
  </si>
  <si>
    <t xml:space="preserve">010-5680-0608</t>
  </si>
  <si>
    <t xml:space="preserve">이상필</t>
  </si>
  <si>
    <t xml:space="preserve">sangpil.lee@ahnlabcloudmate.com</t>
  </si>
  <si>
    <t xml:space="preserve">010-2081-1551</t>
  </si>
  <si>
    <t xml:space="preserve">주식회사 액션파워</t>
  </si>
  <si>
    <t xml:space="preserve">139-81-44004</t>
  </si>
  <si>
    <t xml:space="preserve">조홍식, 이지화</t>
  </si>
  <si>
    <t xml:space="preserve">070-7775-0033</t>
  </si>
  <si>
    <t xml:space="preserve">https://actionpower.kr</t>
  </si>
  <si>
    <t xml:space="preserve">서울시 관악구 남부순환로 1838 봉천동 CS타워 9층</t>
  </si>
  <si>
    <t xml:space="preserve">세상 모든 AI를 한 번에, 다글로(daglo)</t>
  </si>
  <si>
    <t xml:space="preserve">조홍식</t>
  </si>
  <si>
    <t xml:space="preserve">010-8445-0485</t>
  </si>
  <si>
    <t xml:space="preserve">hongsik.jo@actionpower.kr</t>
  </si>
  <si>
    <t xml:space="preserve">고병석</t>
  </si>
  <si>
    <t xml:space="preserve">Enterprise</t>
  </si>
  <si>
    <t xml:space="preserve">010-4110-4722</t>
  </si>
  <si>
    <t xml:space="preserve">ryan.ko@actionpower.kr</t>
  </si>
  <si>
    <t xml:space="preserve">주식회사 씨피에스테크</t>
  </si>
  <si>
    <t xml:space="preserve">253-86-02566</t>
  </si>
  <si>
    <t xml:space="preserve">김홍석</t>
  </si>
  <si>
    <t xml:space="preserve">010-9885-5968</t>
  </si>
  <si>
    <t xml:space="preserve">www.cpstech.co.kr</t>
  </si>
  <si>
    <t xml:space="preserve">경기도 화성시 동탄역로 160 (오산동) 롯데백화점 동탄점 B3 KAIST-화성시 사이언스 허브 120호</t>
  </si>
  <si>
    <r>
      <rPr>
        <sz val="10"/>
        <rFont val="Arial"/>
        <family val="2"/>
        <charset val="1"/>
      </rPr>
      <t xml:space="preserve">AI </t>
    </r>
    <r>
      <rPr>
        <sz val="10"/>
        <rFont val="WenQuanYi Zen Hei"/>
        <family val="2"/>
      </rPr>
      <t xml:space="preserve">기반 전자 설계 자동화 소프트웨어 개발 </t>
    </r>
    <r>
      <rPr>
        <sz val="10"/>
        <rFont val="Arial"/>
        <family val="2"/>
        <charset val="1"/>
      </rPr>
      <t xml:space="preserve">/ AI/LLM </t>
    </r>
    <r>
      <rPr>
        <sz val="10"/>
        <rFont val="WenQuanYi Zen Hei"/>
        <family val="2"/>
      </rPr>
      <t xml:space="preserve">기반 업무 자동화 솔루션 개발</t>
    </r>
  </si>
  <si>
    <t xml:space="preserve">cpstech@cpstech.co.kr</t>
  </si>
  <si>
    <t xml:space="preserve">이재학</t>
  </si>
  <si>
    <t xml:space="preserve">영업경영지원본부</t>
  </si>
  <si>
    <t xml:space="preserve">010-3516-6774</t>
  </si>
  <si>
    <t xml:space="preserve">jhlee@cpstech.co.kr</t>
  </si>
  <si>
    <t xml:space="preserve">주식회사 뤼튼테크놀로지스</t>
  </si>
  <si>
    <t xml:space="preserve">202-81-67042</t>
  </si>
  <si>
    <t xml:space="preserve">이세영</t>
  </si>
  <si>
    <t xml:space="preserve">02-499-1885</t>
  </si>
  <si>
    <t xml:space="preserve">https://wrtn.io/</t>
  </si>
  <si>
    <t xml:space="preserve">서울특별시 강남구 서초대로 77길 17 BLOCK77 빌딩 14F</t>
  </si>
  <si>
    <r>
      <rPr>
        <sz val="10"/>
        <rFont val="Arial"/>
        <family val="2"/>
        <charset val="1"/>
      </rPr>
      <t xml:space="preserve">AI </t>
    </r>
    <r>
      <rPr>
        <sz val="10"/>
        <rFont val="WenQuanYi Zen Hei"/>
        <family val="2"/>
      </rPr>
      <t xml:space="preserve">에이전트 개발 및 구축</t>
    </r>
    <r>
      <rPr>
        <sz val="10"/>
        <rFont val="Arial"/>
        <family val="2"/>
        <charset val="1"/>
      </rPr>
      <t xml:space="preserve">, AI </t>
    </r>
    <r>
      <rPr>
        <sz val="10"/>
        <rFont val="WenQuanYi Zen Hei"/>
        <family val="2"/>
      </rPr>
      <t xml:space="preserve">오케스트레이션</t>
    </r>
    <r>
      <rPr>
        <sz val="10"/>
        <rFont val="Arial"/>
        <family val="2"/>
        <charset val="1"/>
      </rPr>
      <t xml:space="preserve">, AICC </t>
    </r>
    <r>
      <rPr>
        <sz val="10"/>
        <rFont val="WenQuanYi Zen Hei"/>
        <family val="2"/>
      </rPr>
      <t xml:space="preserve">등</t>
    </r>
  </si>
  <si>
    <t xml:space="preserve">이동규</t>
  </si>
  <si>
    <t xml:space="preserve">AX</t>
  </si>
  <si>
    <t xml:space="preserve">02-3453-9980</t>
  </si>
  <si>
    <t xml:space="preserve">damon@wrtn.io</t>
  </si>
  <si>
    <t xml:space="preserve">010-4784-8691</t>
  </si>
  <si>
    <t xml:space="preserve">강민수</t>
  </si>
  <si>
    <t xml:space="preserve">기업개발실</t>
  </si>
  <si>
    <t xml:space="preserve">blue@wrtn.io</t>
  </si>
  <si>
    <t xml:space="preserve">010-7613-7680</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</si>
  <si>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아크릴</t>
    </r>
  </si>
  <si>
    <t xml:space="preserve">214-88-74981</t>
  </si>
  <si>
    <t xml:space="preserve">박외진</t>
  </si>
  <si>
    <t xml:space="preserve">02-557-4958</t>
  </si>
  <si>
    <t xml:space="preserve">www.acryl.ai</t>
  </si>
  <si>
    <t xml:space="preserve">서울시 강남구 선릉로 704 청담빌딩 7층</t>
  </si>
  <si>
    <t xml:space="preserve">조나단(AI인프라), 나디아(HIS), 에스더(SaMD)</t>
  </si>
  <si>
    <t xml:space="preserve">노상익</t>
  </si>
  <si>
    <t xml:space="preserve">테크세일즈그룹</t>
  </si>
  <si>
    <t xml:space="preserve">010-9530-0330</t>
  </si>
  <si>
    <t xml:space="preserve">samuel@acryl.ai</t>
  </si>
  <si>
    <t xml:space="preserve">양재혁</t>
  </si>
  <si>
    <t xml:space="preserve">솔루션세일즈팀</t>
  </si>
  <si>
    <t xml:space="preserve">010-9949-0296</t>
  </si>
  <si>
    <t xml:space="preserve">jerry2@acryl.ai</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</si>
  <si>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코너스</t>
    </r>
  </si>
  <si>
    <t xml:space="preserve">220-88-92965</t>
  </si>
  <si>
    <t xml:space="preserve">김동오</t>
  </si>
  <si>
    <t xml:space="preserve">02-518-1047</t>
  </si>
  <si>
    <t xml:space="preserve">www.corners.co.kr</t>
  </si>
  <si>
    <t xml:space="preserve">서울시 성동구 상원1길 26, 806호 (성수동1가, 서울숲A타워)</t>
  </si>
  <si>
    <t xml:space="preserve">재난안전 관제 모니터링, 대피경로 안내 등</t>
  </si>
  <si>
    <t xml:space="preserve">정민하</t>
  </si>
  <si>
    <r>
      <rPr>
        <sz val="10"/>
        <rFont val="Arial"/>
        <family val="2"/>
        <charset val="1"/>
      </rPr>
      <t xml:space="preserve">AI</t>
    </r>
    <r>
      <rPr>
        <sz val="10"/>
        <rFont val="WenQuanYi Zen Hei"/>
        <family val="2"/>
      </rPr>
      <t xml:space="preserve">선행개발실</t>
    </r>
  </si>
  <si>
    <t xml:space="preserve">전무/실장</t>
  </si>
  <si>
    <t xml:space="preserve">010-6390-3363</t>
  </si>
  <si>
    <t xml:space="preserve">pariscuba@corners.co.kr</t>
  </si>
  <si>
    <t xml:space="preserve">유민명</t>
  </si>
  <si>
    <t xml:space="preserve">팀장/팀장</t>
  </si>
  <si>
    <t xml:space="preserve">010-3274-4885</t>
  </si>
  <si>
    <t xml:space="preserve">minyoung@corners.co.kr</t>
  </si>
  <si>
    <t xml:space="preserve">주식회사 유모스원</t>
  </si>
  <si>
    <t xml:space="preserve">220-87-34105</t>
  </si>
  <si>
    <t xml:space="preserve">임상석</t>
  </si>
  <si>
    <t xml:space="preserve">1566-6458</t>
  </si>
  <si>
    <t xml:space="preserve">www.umosone.ai</t>
  </si>
  <si>
    <t xml:space="preserve">서울 특별시 서초구 서초대로 77길 55. ㄱ층</t>
  </si>
  <si>
    <t xml:space="preserve">물류, 모빌리티 온톨리지 AI 시스템</t>
  </si>
  <si>
    <t xml:space="preserve">개발 그룹</t>
  </si>
  <si>
    <t xml:space="preserve">010-2208-7055</t>
  </si>
  <si>
    <t xml:space="preserve">sangseok.lim@umosone.ai</t>
  </si>
  <si>
    <t xml:space="preserve">이민식</t>
  </si>
  <si>
    <t xml:space="preserve">010-4680-3587</t>
  </si>
  <si>
    <t xml:space="preserve">minsik.lii@umosone.ai</t>
  </si>
  <si>
    <t xml:space="preserve">삼보컴퓨터</t>
  </si>
  <si>
    <t xml:space="preserve">134-87-00681</t>
  </si>
  <si>
    <t xml:space="preserve">지승현</t>
  </si>
  <si>
    <t xml:space="preserve">1666-3510</t>
  </si>
  <si>
    <t xml:space="preserve">https://www.trigem.co.kr/</t>
  </si>
  <si>
    <t xml:space="preserve">경기도 안산시 단원구 능안로 98-12(신길동)</t>
  </si>
  <si>
    <t xml:space="preserve">온디바이스 AI PC, TG AI Powered station</t>
  </si>
  <si>
    <t xml:space="preserve">정호섭</t>
  </si>
  <si>
    <t xml:space="preserve">제조혁신실</t>
  </si>
  <si>
    <t xml:space="preserve">031-489-3501</t>
  </si>
  <si>
    <t xml:space="preserve">hschung@trigem.co.kr</t>
  </si>
  <si>
    <t xml:space="preserve">010-2279-1340</t>
  </si>
  <si>
    <t xml:space="preserve">박재만</t>
  </si>
  <si>
    <r>
      <rPr>
        <sz val="10"/>
        <rFont val="Arial"/>
        <family val="2"/>
        <charset val="1"/>
      </rPr>
      <t xml:space="preserve">R&amp;D</t>
    </r>
    <r>
      <rPr>
        <sz val="10"/>
        <rFont val="WenQuanYi Zen Hei"/>
        <family val="2"/>
      </rPr>
      <t xml:space="preserve">팀</t>
    </r>
  </si>
  <si>
    <t xml:space="preserve">부장/책임연구원</t>
  </si>
  <si>
    <t xml:space="preserve">031-489-3092</t>
  </si>
  <si>
    <t xml:space="preserve">jmpark@trigem.co.kr</t>
  </si>
  <si>
    <t xml:space="preserve">010-4107-7235</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</si>
  <si>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시스원</t>
    </r>
  </si>
  <si>
    <t xml:space="preserve">106-81-17749</t>
  </si>
  <si>
    <t xml:space="preserve">김영주</t>
  </si>
  <si>
    <t xml:space="preserve">031-778-8624</t>
  </si>
  <si>
    <t xml:space="preserve">www.sysone.co.kr</t>
  </si>
  <si>
    <t xml:space="preserve">hspark@sysone.co.kr</t>
  </si>
  <si>
    <t xml:space="preserve">서울특별시 강서구 마곡중앙14로 26</t>
  </si>
  <si>
    <r>
      <rPr>
        <sz val="10"/>
        <rFont val="Arial"/>
        <family val="2"/>
        <charset val="1"/>
      </rPr>
      <t xml:space="preserve">AI</t>
    </r>
    <r>
      <rPr>
        <sz val="10"/>
        <rFont val="WenQuanYi Zen Hei"/>
        <family val="2"/>
      </rPr>
      <t xml:space="preserve">에이전트 플랫폼</t>
    </r>
  </si>
  <si>
    <t xml:space="preserve">노상록</t>
  </si>
  <si>
    <r>
      <rPr>
        <sz val="10"/>
        <rFont val="Arial"/>
        <family val="2"/>
        <charset val="1"/>
      </rPr>
      <t xml:space="preserve">AX</t>
    </r>
    <r>
      <rPr>
        <sz val="10"/>
        <rFont val="WenQuanYi Zen Hei"/>
        <family val="2"/>
      </rPr>
      <t xml:space="preserve">융합실</t>
    </r>
  </si>
  <si>
    <t xml:space="preserve">010-4735-1030</t>
  </si>
  <si>
    <t xml:space="preserve">sangrok@sysone.co.kr</t>
  </si>
  <si>
    <t xml:space="preserve">박희승</t>
  </si>
  <si>
    <t xml:space="preserve">010-4858-5028</t>
  </si>
  <si>
    <t xml:space="preserve">오픈랩스</t>
  </si>
  <si>
    <t xml:space="preserve">645-86-02159</t>
  </si>
  <si>
    <t xml:space="preserve">하창석</t>
  </si>
  <si>
    <t xml:space="preserve">070-4265-4030</t>
  </si>
  <si>
    <t xml:space="preserve">https://openlabs.co.kr</t>
  </si>
  <si>
    <t xml:space="preserve">sales@openlabs.co.kr</t>
  </si>
  <si>
    <t xml:space="preserve">경기 성남시 분당구 서현동 274-4 6층 601호</t>
  </si>
  <si>
    <t xml:space="preserve">개발의 전 과정을 자동화 하는 기업용 Agentic AI</t>
  </si>
  <si>
    <t xml:space="preserve">영업관리/대표이사</t>
  </si>
  <si>
    <t xml:space="preserve">010-3029-2933</t>
  </si>
  <si>
    <t xml:space="preserve">hacs@openlabs.co.kr</t>
  </si>
  <si>
    <t xml:space="preserve">박가연</t>
  </si>
  <si>
    <t xml:space="preserve">업스트림팀</t>
  </si>
  <si>
    <t xml:space="preserve">010-2736-8470</t>
  </si>
  <si>
    <t xml:space="preserve">bella8470@openlabs.co.kr</t>
  </si>
  <si>
    <r>
      <rPr>
        <sz val="10"/>
        <rFont val="Arial"/>
        <family val="2"/>
        <charset val="1"/>
      </rPr>
      <t xml:space="preserve">LG</t>
    </r>
    <r>
      <rPr>
        <sz val="10"/>
        <rFont val="WenQuanYi Zen Hei"/>
        <family val="2"/>
      </rPr>
      <t xml:space="preserve">유플러스</t>
    </r>
  </si>
  <si>
    <t xml:space="preserve">220-81-39938</t>
  </si>
  <si>
    <t xml:space="preserve">홍범식</t>
  </si>
  <si>
    <t xml:space="preserve">1544-0010</t>
  </si>
  <si>
    <t xml:space="preserve">https://www.lguplus.com</t>
  </si>
  <si>
    <t xml:space="preserve">chunsu@lguplus.co.kr</t>
  </si>
  <si>
    <t xml:space="preserve">서울특별시 용산구 한강대로 32</t>
  </si>
  <si>
    <r>
      <rPr>
        <sz val="10"/>
        <rFont val="Arial"/>
        <family val="2"/>
        <charset val="1"/>
      </rPr>
      <t xml:space="preserve">AI </t>
    </r>
    <r>
      <rPr>
        <sz val="10"/>
        <rFont val="WenQuanYi Zen Hei"/>
        <family val="2"/>
      </rPr>
      <t xml:space="preserve">콜 에이전트</t>
    </r>
    <r>
      <rPr>
        <sz val="10"/>
        <rFont val="Arial"/>
        <family val="2"/>
        <charset val="1"/>
      </rPr>
      <t xml:space="preserve">(ixi-O), AI </t>
    </r>
    <r>
      <rPr>
        <sz val="10"/>
        <rFont val="WenQuanYi Zen Hei"/>
        <family val="2"/>
      </rPr>
      <t xml:space="preserve">모델</t>
    </r>
    <r>
      <rPr>
        <sz val="10"/>
        <rFont val="Arial"/>
        <family val="2"/>
        <charset val="1"/>
      </rPr>
      <t xml:space="preserve">(ixi-GEN), AICC, AIDC</t>
    </r>
  </si>
  <si>
    <t xml:space="preserve">권기덕</t>
  </si>
  <si>
    <r>
      <rPr>
        <sz val="10"/>
        <rFont val="Arial"/>
        <family val="2"/>
        <charset val="1"/>
      </rPr>
      <t xml:space="preserve">AX</t>
    </r>
    <r>
      <rPr>
        <sz val="10"/>
        <rFont val="WenQuanYi Zen Hei"/>
        <family val="2"/>
      </rPr>
      <t xml:space="preserve">엔지니어링</t>
    </r>
    <r>
      <rPr>
        <sz val="10"/>
        <rFont val="Arial"/>
        <family val="2"/>
        <charset val="1"/>
      </rPr>
      <t xml:space="preserve">Lab</t>
    </r>
  </si>
  <si>
    <t xml:space="preserve">책임/담당</t>
  </si>
  <si>
    <t xml:space="preserve">010-4870-1810</t>
  </si>
  <si>
    <t xml:space="preserve">kwonkiduk@lguplus.co.kr</t>
  </si>
  <si>
    <t xml:space="preserve">안춘수</t>
  </si>
  <si>
    <t xml:space="preserve">Voice AI TF</t>
  </si>
  <si>
    <t xml:space="preserve">책임/팀원</t>
  </si>
  <si>
    <t xml:space="preserve">010-8080-1865</t>
  </si>
  <si>
    <t xml:space="preserve">주식회사 젠다이브</t>
  </si>
  <si>
    <t xml:space="preserve">449-87-02752</t>
  </si>
  <si>
    <t xml:space="preserve">함민혁</t>
  </si>
  <si>
    <t xml:space="preserve">070-4895-5550</t>
  </si>
  <si>
    <t xml:space="preserve">https://www.gendive.kr</t>
  </si>
  <si>
    <t xml:space="preserve">mh.ham@gendive.ai</t>
  </si>
  <si>
    <t xml:space="preserve">광주광역시 동구 금남로 193-22, 광주AI창업캠프 1호점 3층 308호</t>
  </si>
  <si>
    <r>
      <rPr>
        <sz val="10"/>
        <rFont val="Arial"/>
        <family val="2"/>
        <charset val="1"/>
      </rPr>
      <t xml:space="preserve">AI</t>
    </r>
    <r>
      <rPr>
        <sz val="10"/>
        <rFont val="WenQuanYi Zen Hei"/>
        <family val="2"/>
      </rPr>
      <t xml:space="preserve">로 일하는 기업을 만드는 </t>
    </r>
    <r>
      <rPr>
        <sz val="10"/>
        <rFont val="Arial"/>
        <family val="2"/>
        <charset val="1"/>
      </rPr>
      <t xml:space="preserve">AI WorkOS, </t>
    </r>
    <r>
      <rPr>
        <sz val="10"/>
        <rFont val="WenQuanYi Zen Hei"/>
        <family val="2"/>
      </rPr>
      <t xml:space="preserve">데브다이브</t>
    </r>
  </si>
  <si>
    <t xml:space="preserve">010-3047-6882</t>
  </si>
  <si>
    <t xml:space="preserve">주식회사 웨인힐스브라이언트 에이아이 </t>
  </si>
  <si>
    <t xml:space="preserve">547-87-01358</t>
  </si>
  <si>
    <t xml:space="preserve">이수민 </t>
  </si>
  <si>
    <t xml:space="preserve">010-4111-9003</t>
  </si>
  <si>
    <t xml:space="preserve">waynehills.co</t>
  </si>
  <si>
    <t xml:space="preserve">waynehills.ventures@gmail.com</t>
  </si>
  <si>
    <t xml:space="preserve">서울 강서구 공항대로 165.원그로브 A동 3층</t>
  </si>
  <si>
    <t xml:space="preserve">영상생성 합성 기술</t>
  </si>
  <si>
    <t xml:space="preserve">이수민</t>
  </si>
  <si>
    <t xml:space="preserve">상동</t>
  </si>
  <si>
    <t xml:space="preserve">ceo@waynehills.co</t>
  </si>
  <si>
    <t xml:space="preserve">쓰리알이노베이션(주)</t>
  </si>
  <si>
    <t xml:space="preserve">245-81-02274</t>
  </si>
  <si>
    <t xml:space="preserve">조광수</t>
  </si>
  <si>
    <t xml:space="preserve">070-8064-3336</t>
  </si>
  <si>
    <t xml:space="preserve">https://3rinnovation.com</t>
  </si>
  <si>
    <t xml:space="preserve">kc@focuspang.com</t>
  </si>
  <si>
    <t xml:space="preserve">대전 서구 둔지로 60</t>
  </si>
  <si>
    <t xml:space="preserve">Multimodal Timeseries Sensor Data Modeling; Specialized LLM; Digital Phenotyping</t>
  </si>
  <si>
    <t xml:space="preserve">010-6747-0322</t>
  </si>
  <si>
    <t xml:space="preserve">국가유산진흥원</t>
  </si>
  <si>
    <t xml:space="preserve">203-82-02904</t>
  </si>
  <si>
    <t xml:space="preserve">이귀영</t>
  </si>
  <si>
    <t xml:space="preserve">02-3011-2671</t>
  </si>
  <si>
    <t xml:space="preserve">https://www.kh.or.kr</t>
  </si>
  <si>
    <t xml:space="preserve">jungteck@gmail.com</t>
  </si>
  <si>
    <t xml:space="preserve">서울시 봉은사로 406, 국가유산진흥원 5층, AI데이터팀</t>
  </si>
  <si>
    <t xml:space="preserve">문화유산 AI, 소버린 AI, 데이터 분석</t>
  </si>
  <si>
    <t xml:space="preserve">심정택</t>
  </si>
  <si>
    <r>
      <rPr>
        <sz val="10"/>
        <rFont val="Arial"/>
        <family val="2"/>
        <charset val="1"/>
      </rPr>
      <t xml:space="preserve">AI</t>
    </r>
    <r>
      <rPr>
        <sz val="10"/>
        <rFont val="WenQuanYi Zen Hei"/>
        <family val="2"/>
      </rPr>
      <t xml:space="preserve">데이터팀</t>
    </r>
  </si>
  <si>
    <t xml:space="preserve">t@kh.or.kr</t>
  </si>
  <si>
    <t xml:space="preserve">010-4092-2440</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</si>
  <si>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테크트리이노베이션</t>
    </r>
  </si>
  <si>
    <t xml:space="preserve">364-86-01299</t>
  </si>
  <si>
    <t xml:space="preserve">최승엽</t>
  </si>
  <si>
    <t xml:space="preserve">02-6951-4420</t>
  </si>
  <si>
    <t xml:space="preserve">https:/tt-inno.com</t>
  </si>
  <si>
    <t xml:space="preserve">mpaperstory@gmail.com</t>
  </si>
  <si>
    <t xml:space="preserve">서울시 서초구 반포대로 28길 24 2층</t>
  </si>
  <si>
    <t xml:space="preserve">광역 공간 디지털 트윈 및 환경 합성 데이터셋 (AROUND)</t>
  </si>
  <si>
    <t xml:space="preserve">010-2271-6136</t>
  </si>
  <si>
    <t xml:space="preserve">csyrocker@naver.com</t>
  </si>
  <si>
    <t xml:space="preserve">주식회사 엘비에스테크</t>
  </si>
  <si>
    <t xml:space="preserve">865-86-01322</t>
  </si>
  <si>
    <t xml:space="preserve">이시완</t>
  </si>
  <si>
    <t xml:space="preserve">010-4610-0706</t>
  </si>
  <si>
    <t xml:space="preserve">https://www.lbstech.net/</t>
  </si>
  <si>
    <t xml:space="preserve">igyoo@lbstech.net</t>
  </si>
  <si>
    <t xml:space="preserve">인천광역시 남동구 남동대로215번길 30, 711호</t>
  </si>
  <si>
    <t xml:space="preserve">시각지능 기반 위치 측위(VPS), 멀티모달 인터페이스, AI 기반 배리어프리(Barrier-free) 도시 플랫폼</t>
  </si>
  <si>
    <t xml:space="preserve">070-8667-0706</t>
  </si>
  <si>
    <t xml:space="preserve">swlee@lbstech.net</t>
  </si>
  <si>
    <t xml:space="preserve">쿠도커뮤니케이션(주)</t>
  </si>
  <si>
    <t xml:space="preserve">104-81-57634</t>
  </si>
  <si>
    <t xml:space="preserve">김용식</t>
  </si>
  <si>
    <t xml:space="preserve">010-8853-0465</t>
  </si>
  <si>
    <t xml:space="preserve">https://www.cudo.co.kr</t>
  </si>
  <si>
    <t xml:space="preserve">hccheon85@gmail.com</t>
  </si>
  <si>
    <t xml:space="preserve">경기도 과천시 과천대로 7나길 9. DX타워 </t>
  </si>
  <si>
    <t xml:space="preserve">통합플랫폼(제품명: CUVIA), AI헬스케어(제품명: HEALLO)</t>
  </si>
  <si>
    <t xml:space="preserve">천효창</t>
  </si>
  <si>
    <r>
      <rPr>
        <sz val="10"/>
        <rFont val="Arial"/>
        <family val="2"/>
        <charset val="1"/>
      </rPr>
      <t xml:space="preserve">DX</t>
    </r>
    <r>
      <rPr>
        <sz val="10"/>
        <rFont val="WenQuanYi Zen Hei"/>
        <family val="2"/>
      </rPr>
      <t xml:space="preserve">사업부 </t>
    </r>
    <r>
      <rPr>
        <sz val="10"/>
        <rFont val="Arial"/>
        <family val="2"/>
        <charset val="1"/>
      </rPr>
      <t xml:space="preserve">AI-Agent</t>
    </r>
    <r>
      <rPr>
        <sz val="10"/>
        <rFont val="WenQuanYi Zen Hei"/>
        <family val="2"/>
      </rPr>
      <t xml:space="preserve">연구소</t>
    </r>
  </si>
  <si>
    <t xml:space="preserve">부장/연구소장</t>
  </si>
  <si>
    <t xml:space="preserve">hcc@cudo.co.kr</t>
  </si>
  <si>
    <t xml:space="preserve">에스큐아이소프트(주)</t>
  </si>
  <si>
    <t xml:space="preserve">107-81-74307</t>
  </si>
  <si>
    <t xml:space="preserve">조영준, 현재호</t>
  </si>
  <si>
    <t xml:space="preserve">02-2284-3333</t>
  </si>
  <si>
    <t xml:space="preserve">sqisoft.com</t>
  </si>
  <si>
    <t xml:space="preserve">my.you@sqisoft.com</t>
  </si>
  <si>
    <t xml:space="preserve">서울시 영등포구 선유로3길 10, 13층</t>
  </si>
  <si>
    <t xml:space="preserve">대화형 데이터 분석 서비스, 법률정보 제공 서비스, 의료 및 헬스케어 서비스</t>
  </si>
  <si>
    <t xml:space="preserve">송정학</t>
  </si>
  <si>
    <r>
      <rPr>
        <sz val="10"/>
        <rFont val="Arial"/>
        <family val="2"/>
        <charset val="1"/>
      </rPr>
      <t xml:space="preserve">GX</t>
    </r>
    <r>
      <rPr>
        <sz val="10"/>
        <rFont val="WenQuanYi Zen Hei"/>
        <family val="2"/>
      </rPr>
      <t xml:space="preserve">사업본부</t>
    </r>
  </si>
  <si>
    <t xml:space="preserve">031-795-0300</t>
  </si>
  <si>
    <t xml:space="preserve">asone@sqisoft.com</t>
  </si>
  <si>
    <t xml:space="preserve">010-2723-9814</t>
  </si>
  <si>
    <t xml:space="preserve">주식회사 디에이블</t>
  </si>
  <si>
    <t xml:space="preserve">122-87-02065</t>
  </si>
  <si>
    <t xml:space="preserve">소지영</t>
  </si>
  <si>
    <t xml:space="preserve">010-2065-7122</t>
  </si>
  <si>
    <t xml:space="preserve">https://aistudio.aivy.kr/</t>
  </si>
  <si>
    <t xml:space="preserve">healive.soh@gmail.com</t>
  </si>
  <si>
    <t xml:space="preserve">경기도 하남시 검단산로 239, 403호</t>
  </si>
  <si>
    <r>
      <rPr>
        <sz val="10"/>
        <rFont val="Arial"/>
        <family val="2"/>
        <charset val="1"/>
      </rPr>
      <t xml:space="preserve">AI </t>
    </r>
    <r>
      <rPr>
        <sz val="10"/>
        <rFont val="WenQuanYi Zen Hei"/>
        <family val="2"/>
      </rPr>
      <t xml:space="preserve">기반 자동 서비스 생성 솔루션 </t>
    </r>
    <r>
      <rPr>
        <sz val="10"/>
        <rFont val="Arial"/>
        <family val="2"/>
        <charset val="1"/>
      </rPr>
      <t xml:space="preserve">(</t>
    </r>
    <r>
      <rPr>
        <sz val="10"/>
        <rFont val="WenQuanYi Zen Hei"/>
        <family val="2"/>
      </rPr>
      <t xml:space="preserve">헬스케어</t>
    </r>
    <r>
      <rPr>
        <sz val="10"/>
        <rFont val="Arial"/>
        <family val="2"/>
        <charset val="1"/>
      </rPr>
      <t xml:space="preserve">, </t>
    </r>
    <r>
      <rPr>
        <sz val="10"/>
        <rFont val="WenQuanYi Zen Hei"/>
        <family val="2"/>
      </rPr>
      <t xml:space="preserve">에듀테크</t>
    </r>
    <r>
      <rPr>
        <sz val="10"/>
        <rFont val="Arial"/>
        <family val="2"/>
        <charset val="1"/>
      </rPr>
      <t xml:space="preserve">, </t>
    </r>
    <r>
      <rPr>
        <sz val="10"/>
        <rFont val="WenQuanYi Zen Hei"/>
        <family val="2"/>
      </rPr>
      <t xml:space="preserve">마케팅</t>
    </r>
    <r>
      <rPr>
        <sz val="10"/>
        <rFont val="Arial"/>
        <family val="2"/>
        <charset val="1"/>
      </rPr>
      <t xml:space="preserve">)</t>
    </r>
  </si>
  <si>
    <t xml:space="preserve">기술사업화부</t>
  </si>
  <si>
    <t xml:space="preserve">주식회사 새눈</t>
  </si>
  <si>
    <t xml:space="preserve">402-86-06811</t>
  </si>
  <si>
    <t xml:space="preserve">백청열</t>
  </si>
  <si>
    <t xml:space="preserve">063-715-6531</t>
  </si>
  <si>
    <t xml:space="preserve">www.saenoon.co.kr</t>
  </si>
  <si>
    <t xml:space="preserve">freeman1157@gmail.com</t>
  </si>
  <si>
    <t xml:space="preserve">전북특별자치도 완주군 삼례읍 테크노밸리로 96-70</t>
  </si>
  <si>
    <t xml:space="preserve">불법주정차 단속 솔루션, 전기차충전소 불법주정차 스마트대응관리솔루션</t>
  </si>
  <si>
    <t xml:space="preserve">최재원</t>
  </si>
  <si>
    <t xml:space="preserve">영업지원본부</t>
  </si>
  <si>
    <t xml:space="preserve">부장/본부장</t>
  </si>
  <si>
    <t xml:space="preserve">070-4035-2086</t>
  </si>
  <si>
    <t xml:space="preserve">cjw@saenoon.co.kr</t>
  </si>
  <si>
    <t xml:space="preserve">010-4728-9218</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</si>
  <si>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한국갈등관리디지털진흥원</t>
    </r>
  </si>
  <si>
    <t xml:space="preserve">217-86-01071</t>
  </si>
  <si>
    <t xml:space="preserve">지성현</t>
  </si>
  <si>
    <t xml:space="preserve">02-456-9110</t>
  </si>
  <si>
    <t xml:space="preserve">bounce9110.com</t>
  </si>
  <si>
    <t xml:space="preserve">bounce9110@gmail.com</t>
  </si>
  <si>
    <t xml:space="preserve">대전시 유성구 궁동로2번길 81 대전스타트업파크 306호</t>
  </si>
  <si>
    <t xml:space="preserve">자연어 처리 기반 AI 학습모델 구축 및 원천 기술 개발</t>
  </si>
  <si>
    <t xml:space="preserve">조정혜</t>
  </si>
  <si>
    <t xml:space="preserve">042-825-9115</t>
  </si>
  <si>
    <t xml:space="preserve">ceo@bounce9110.com</t>
  </si>
  <si>
    <t xml:space="preserve">010-4253-9753</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</si>
  <si>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구루미</t>
    </r>
  </si>
  <si>
    <t xml:space="preserve">165-87-00161</t>
  </si>
  <si>
    <t xml:space="preserve">이랑혁</t>
  </si>
  <si>
    <t xml:space="preserve">02-1833-9229</t>
  </si>
  <si>
    <t xml:space="preserve">https://gooroomee.com</t>
  </si>
  <si>
    <t xml:space="preserve">gene.park@gooroomee.com</t>
  </si>
  <si>
    <t xml:space="preserve">경기도 성남시 수정구 금토로 80번길 40, B동 스타트업스퀘어 11층</t>
  </si>
  <si>
    <t xml:space="preserve">영상음성 AI분석, AI챗봇, AI상담, AI산업매뉴얼 제공 기술</t>
  </si>
  <si>
    <t xml:space="preserve">비즈본부</t>
  </si>
  <si>
    <t xml:space="preserve">lucas.lee@gooroomee.com</t>
  </si>
  <si>
    <t xml:space="preserve">010-3392-7888</t>
  </si>
  <si>
    <t xml:space="preserve">주식회사 지오클로버랩스 </t>
  </si>
  <si>
    <t xml:space="preserve">715-88-03728</t>
  </si>
  <si>
    <t xml:space="preserve">최돈정 </t>
  </si>
  <si>
    <t xml:space="preserve">010-5021-7260</t>
  </si>
  <si>
    <t xml:space="preserve">없음 </t>
  </si>
  <si>
    <t xml:space="preserve">choidonjeong@gmail.com</t>
  </si>
  <si>
    <t xml:space="preserve">강원특별자치도 강릉시 성덕포남로 184 2층  </t>
  </si>
  <si>
    <t xml:space="preserve">공간, 행정 데이터 기반 AI, 시공간 AI 분석역량, GovTech AI</t>
  </si>
  <si>
    <t xml:space="preserve">기술 연구소 </t>
  </si>
  <si>
    <t xml:space="preserve">대표이사 </t>
  </si>
  <si>
    <t xml:space="preserve">033-823-0121</t>
  </si>
  <si>
    <t xml:space="preserve">사단법인 한국국어능력평가협회</t>
  </si>
  <si>
    <t xml:space="preserve">119-82-02574</t>
  </si>
  <si>
    <t xml:space="preserve">박귀수</t>
  </si>
  <si>
    <t xml:space="preserve">02-2064-0306</t>
  </si>
  <si>
    <t xml:space="preserve">https://www.klata.or.kr</t>
  </si>
  <si>
    <t xml:space="preserve">hopekbj33@gmail.com</t>
  </si>
  <si>
    <t xml:space="preserve">서울특별시 금천구 벚꽃로 298 대륭포스트타워 6차 1901호</t>
  </si>
  <si>
    <t xml:space="preserve">자연처처리/ 교육</t>
  </si>
  <si>
    <t xml:space="preserve">이사장실</t>
  </si>
  <si>
    <t xml:space="preserve">이사장</t>
  </si>
  <si>
    <t xml:space="preserve">guisu828@klata.or.kr</t>
  </si>
  <si>
    <t xml:space="preserve">010-7239-0001</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</si>
  <si>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일루넥스</t>
    </r>
  </si>
  <si>
    <t xml:space="preserve">638-88-01059</t>
  </si>
  <si>
    <t xml:space="preserve">박진혁</t>
  </si>
  <si>
    <t xml:space="preserve">070-4441-4580</t>
  </si>
  <si>
    <t xml:space="preserve">https://illunex.com/</t>
  </si>
  <si>
    <t xml:space="preserve">yslee@illunex.com</t>
  </si>
  <si>
    <t xml:space="preserve">경기도 고양시 덕양구 향기로 180, 10층 DMC마스터원 1005-1012호</t>
  </si>
  <si>
    <t xml:space="preserve">EM-GPT</t>
  </si>
  <si>
    <t xml:space="preserve">이양수</t>
  </si>
  <si>
    <t xml:space="preserve">이사 / CSO</t>
  </si>
  <si>
    <t xml:space="preserve">010-6878-8824</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</si>
  <si>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갈렙앤컴퍼니</t>
    </r>
  </si>
  <si>
    <t xml:space="preserve">220-81-40982</t>
  </si>
  <si>
    <t xml:space="preserve">김규영</t>
  </si>
  <si>
    <t xml:space="preserve">02-3775-2001</t>
  </si>
  <si>
    <t xml:space="preserve">www.calebglobal.com</t>
  </si>
  <si>
    <t xml:space="preserve">dsshin@calebglobal.com</t>
  </si>
  <si>
    <t xml:space="preserve">서울 성동구 연무장4가길 7, 511호</t>
  </si>
  <si>
    <r>
      <rPr>
        <sz val="10"/>
        <rFont val="Arial"/>
        <family val="2"/>
        <charset val="1"/>
      </rPr>
      <t xml:space="preserve">AX ISP </t>
    </r>
    <r>
      <rPr>
        <sz val="10"/>
        <rFont val="WenQuanYi Zen Hei"/>
        <family val="2"/>
      </rPr>
      <t xml:space="preserve">컨설팅</t>
    </r>
  </si>
  <si>
    <t xml:space="preserve">신덕순</t>
  </si>
  <si>
    <t xml:space="preserve">MNT</t>
  </si>
  <si>
    <t xml:space="preserve">010-7157-6294</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</si>
  <si>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타이거컴퍼니</t>
    </r>
  </si>
  <si>
    <t xml:space="preserve">105-87-55645</t>
  </si>
  <si>
    <t xml:space="preserve">김범진</t>
  </si>
  <si>
    <t xml:space="preserve">1668-3708</t>
  </si>
  <si>
    <t xml:space="preserve">https://tigris.cloud/</t>
  </si>
  <si>
    <t xml:space="preserve">spe2645@gmail.com</t>
  </si>
  <si>
    <t xml:space="preserve">서울시 송파구 법원로 128, B동 1707호~1710호(문정역 SKV1)</t>
  </si>
  <si>
    <t xml:space="preserve">티그리스 AI+</t>
  </si>
  <si>
    <t xml:space="preserve">한형주</t>
  </si>
  <si>
    <t xml:space="preserve">드림경영실</t>
  </si>
  <si>
    <t xml:space="preserve">상무이사</t>
  </si>
  <si>
    <t xml:space="preserve">010-6278-4413</t>
  </si>
  <si>
    <t xml:space="preserve">alexhan@tigrison.com</t>
  </si>
  <si>
    <t xml:space="preserve">주식회사 포티투마루</t>
  </si>
  <si>
    <t xml:space="preserve">562-88-00151</t>
  </si>
  <si>
    <t xml:space="preserve">김동환</t>
  </si>
  <si>
    <t xml:space="preserve">02-6952-9201</t>
  </si>
  <si>
    <t xml:space="preserve">www.42maur.ai</t>
  </si>
  <si>
    <t xml:space="preserve">gilje@42maru.ai</t>
  </si>
  <si>
    <t xml:space="preserve">서울시 서초구 신반포로 310</t>
  </si>
  <si>
    <t xml:space="preserve">다양한 분야에 특화된 산업용 Agentic AI 솔루션</t>
  </si>
  <si>
    <t xml:space="preserve">scissors@42maru.ai</t>
  </si>
  <si>
    <t xml:space="preserve">010-4569-7576</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</si>
  <si>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이글루코퍼레이션</t>
    </r>
  </si>
  <si>
    <t xml:space="preserve">107-81-72385</t>
  </si>
  <si>
    <t xml:space="preserve">이득춘</t>
  </si>
  <si>
    <t xml:space="preserve">02-3452-8815</t>
  </si>
  <si>
    <t xml:space="preserve">https://www.igloo.co.kr/</t>
  </si>
  <si>
    <t xml:space="preserve">dolgubooki@gmail.com</t>
  </si>
  <si>
    <t xml:space="preserve">서울시 송파구 정의로 8길 7 한스빌딩 6층(5-8층)</t>
  </si>
  <si>
    <r>
      <rPr>
        <sz val="10"/>
        <rFont val="Arial"/>
        <family val="2"/>
        <charset val="1"/>
      </rPr>
      <t xml:space="preserve">AI</t>
    </r>
    <r>
      <rPr>
        <sz val="10"/>
        <rFont val="WenQuanYi Zen Hei"/>
        <family val="2"/>
      </rPr>
      <t xml:space="preserve">기반 보안관제</t>
    </r>
    <r>
      <rPr>
        <sz val="10"/>
        <rFont val="Arial"/>
        <family val="2"/>
        <charset val="1"/>
      </rPr>
      <t xml:space="preserve">, AI</t>
    </r>
    <r>
      <rPr>
        <sz val="10"/>
        <rFont val="WenQuanYi Zen Hei"/>
        <family val="2"/>
      </rPr>
      <t xml:space="preserve">기반 통합보안관제솔루션</t>
    </r>
    <r>
      <rPr>
        <sz val="10"/>
        <rFont val="Arial"/>
        <family val="2"/>
        <charset val="1"/>
      </rPr>
      <t xml:space="preserve">, </t>
    </r>
    <r>
      <rPr>
        <sz val="10"/>
        <rFont val="WenQuanYi Zen Hei"/>
        <family val="2"/>
      </rPr>
      <t xml:space="preserve">보안특화 </t>
    </r>
    <r>
      <rPr>
        <sz val="10"/>
        <rFont val="Arial"/>
        <family val="2"/>
        <charset val="1"/>
      </rPr>
      <t xml:space="preserve">AI Agent</t>
    </r>
  </si>
  <si>
    <t xml:space="preserve">정일옥</t>
  </si>
  <si>
    <t xml:space="preserve">연구위원(이사)/AI연구실 실장</t>
  </si>
  <si>
    <t xml:space="preserve">010-8508-0150</t>
  </si>
  <si>
    <t xml:space="preserve">ilok.jung@igloo.co.kr</t>
  </si>
  <si>
    <t xml:space="preserve">아토랩 주식회사</t>
  </si>
  <si>
    <t xml:space="preserve">749-81-03440</t>
  </si>
  <si>
    <t xml:space="preserve">02-6093-1401</t>
  </si>
  <si>
    <t xml:space="preserve">https://www.atto-research.com</t>
  </si>
  <si>
    <t xml:space="preserve">taekyung.lee@atto-research.com</t>
  </si>
  <si>
    <r>
      <rPr>
        <sz val="10"/>
        <rFont val="Arial"/>
        <family val="2"/>
        <charset val="1"/>
      </rPr>
      <t xml:space="preserve">(06729) </t>
    </r>
    <r>
      <rPr>
        <sz val="10"/>
        <rFont val="WenQuanYi Zen Hei"/>
        <family val="2"/>
      </rPr>
      <t xml:space="preserve">서울특별시 서초구 강남대로 </t>
    </r>
    <r>
      <rPr>
        <sz val="10"/>
        <rFont val="Arial"/>
        <family val="2"/>
        <charset val="1"/>
      </rPr>
      <t xml:space="preserve">43</t>
    </r>
    <r>
      <rPr>
        <sz val="10"/>
        <rFont val="WenQuanYi Zen Hei"/>
        <family val="2"/>
      </rPr>
      <t xml:space="preserve">길 </t>
    </r>
    <r>
      <rPr>
        <sz val="10"/>
        <rFont val="Arial"/>
        <family val="2"/>
        <charset val="1"/>
      </rPr>
      <t xml:space="preserve">6, 2</t>
    </r>
    <r>
      <rPr>
        <sz val="10"/>
        <rFont val="WenQuanYi Zen Hei"/>
        <family val="2"/>
      </rPr>
      <t xml:space="preserve">층</t>
    </r>
  </si>
  <si>
    <r>
      <rPr>
        <sz val="10"/>
        <rFont val="Arial"/>
        <family val="2"/>
        <charset val="1"/>
      </rPr>
      <t xml:space="preserve">AI </t>
    </r>
    <r>
      <rPr>
        <sz val="10"/>
        <rFont val="WenQuanYi Zen Hei"/>
        <family val="2"/>
      </rPr>
      <t xml:space="preserve">인프라관리 기술 및 솔루션 </t>
    </r>
    <r>
      <rPr>
        <sz val="10"/>
        <rFont val="Arial"/>
        <family val="2"/>
        <charset val="1"/>
      </rPr>
      <t xml:space="preserve">(AI</t>
    </r>
    <r>
      <rPr>
        <sz val="10"/>
        <rFont val="WenQuanYi Zen Hei"/>
        <family val="2"/>
      </rPr>
      <t xml:space="preserve">클라우드</t>
    </r>
    <r>
      <rPr>
        <sz val="10"/>
        <rFont val="Arial"/>
        <family val="2"/>
        <charset val="1"/>
      </rPr>
      <t xml:space="preserve">, AI</t>
    </r>
    <r>
      <rPr>
        <sz val="10"/>
        <rFont val="WenQuanYi Zen Hei"/>
        <family val="2"/>
      </rPr>
      <t xml:space="preserve">네트워크</t>
    </r>
    <r>
      <rPr>
        <sz val="10"/>
        <rFont val="Arial"/>
        <family val="2"/>
        <charset val="1"/>
      </rPr>
      <t xml:space="preserve">)</t>
    </r>
  </si>
  <si>
    <t xml:space="preserve">이태경</t>
  </si>
  <si>
    <r>
      <rPr>
        <sz val="10"/>
        <rFont val="Arial"/>
        <family val="2"/>
        <charset val="1"/>
      </rPr>
      <t xml:space="preserve">AI</t>
    </r>
    <r>
      <rPr>
        <sz val="10"/>
        <rFont val="WenQuanYi Zen Hei"/>
        <family val="2"/>
      </rPr>
      <t xml:space="preserve">인프라개발팀</t>
    </r>
  </si>
  <si>
    <t xml:space="preserve">010-3595-0132</t>
  </si>
  <si>
    <t xml:space="preserve">한국정보통신기술협회</t>
  </si>
  <si>
    <t xml:space="preserve">102-82-07886</t>
  </si>
  <si>
    <t xml:space="preserve">손승현</t>
  </si>
  <si>
    <t xml:space="preserve">031-724-0114</t>
  </si>
  <si>
    <t xml:space="preserve">https://www.tta.or.kr</t>
  </si>
  <si>
    <t xml:space="preserve">jhko@tta.or.kr</t>
  </si>
  <si>
    <t xml:space="preserve">경기도 성남시 분당구 분당로 47</t>
  </si>
  <si>
    <t xml:space="preserve">표준</t>
  </si>
  <si>
    <t xml:space="preserve">김정헌</t>
  </si>
  <si>
    <r>
      <rPr>
        <sz val="10"/>
        <rFont val="Arial"/>
        <family val="2"/>
        <charset val="1"/>
      </rPr>
      <t xml:space="preserve">AI</t>
    </r>
    <r>
      <rPr>
        <sz val="10"/>
        <rFont val="WenQuanYi Zen Hei"/>
        <family val="2"/>
      </rPr>
      <t xml:space="preserve">융합표준단</t>
    </r>
  </si>
  <si>
    <t xml:space="preserve">010-5111-1075</t>
  </si>
  <si>
    <t xml:space="preserve">hun@tta.or.kr</t>
  </si>
  <si>
    <t xml:space="preserve">주식회사 업스테이지</t>
  </si>
  <si>
    <t xml:space="preserve">830-88-01918</t>
  </si>
  <si>
    <t xml:space="preserve">김성훈</t>
  </si>
  <si>
    <t xml:space="preserve">070-8098-3023</t>
  </si>
  <si>
    <t xml:space="preserve">https://www.upstage.ai/</t>
  </si>
  <si>
    <t xml:space="preserve">soonil.kwon@upstage.ai</t>
  </si>
  <si>
    <t xml:space="preserve">경기도 용인시 수지구 광교중앙로338 A동 815호 (우편번호: 16942) -&gt; 3월 변경 예정 : 서울 강남구 테헤란로7길 22 한국과학기술회관 2관, 스파크플러스 강남5호점 812~817호 </t>
  </si>
  <si>
    <t xml:space="preserve">Parser, LLM, Agent</t>
  </si>
  <si>
    <t xml:space="preserve">권순일</t>
  </si>
  <si>
    <t xml:space="preserve">전략부문</t>
  </si>
  <si>
    <r>
      <rPr>
        <sz val="10"/>
        <rFont val="Arial"/>
        <family val="2"/>
        <charset val="1"/>
      </rPr>
      <t xml:space="preserve">CSO, </t>
    </r>
    <r>
      <rPr>
        <sz val="10"/>
        <rFont val="WenQuanYi Zen Hei"/>
        <family val="2"/>
      </rPr>
      <t xml:space="preserve">부사장</t>
    </r>
  </si>
  <si>
    <t xml:space="preserve">010-4630-6008</t>
  </si>
  <si>
    <t xml:space="preserve">나무기술(주)</t>
  </si>
  <si>
    <t xml:space="preserve">638-81-00309</t>
  </si>
  <si>
    <t xml:space="preserve">정철</t>
  </si>
  <si>
    <t xml:space="preserve">02-3288-8110</t>
  </si>
  <si>
    <t xml:space="preserve">www.namutech.co.kr</t>
  </si>
  <si>
    <t xml:space="preserve">josh.ko@namutech.co.kr</t>
  </si>
  <si>
    <t xml:space="preserve">서울시 강서구 마곡중앙8로3길 41</t>
  </si>
  <si>
    <r>
      <rPr>
        <sz val="10"/>
        <rFont val="Arial"/>
        <family val="2"/>
        <charset val="1"/>
      </rPr>
      <t xml:space="preserve">NAA - </t>
    </r>
    <r>
      <rPr>
        <sz val="10"/>
        <rFont val="WenQuanYi Zen Hei"/>
        <family val="2"/>
      </rPr>
      <t xml:space="preserve">엔터프라이즈 </t>
    </r>
    <r>
      <rPr>
        <sz val="10"/>
        <rFont val="Arial"/>
        <family val="2"/>
        <charset val="1"/>
      </rPr>
      <t xml:space="preserve">AI Agent </t>
    </r>
    <r>
      <rPr>
        <sz val="10"/>
        <rFont val="WenQuanYi Zen Hei"/>
        <family val="2"/>
      </rPr>
      <t xml:space="preserve">플랫폼</t>
    </r>
    <r>
      <rPr>
        <sz val="10"/>
        <rFont val="Arial"/>
        <family val="2"/>
        <charset val="1"/>
      </rPr>
      <t xml:space="preserve">, LLMOps</t>
    </r>
  </si>
  <si>
    <t xml:space="preserve">고우주</t>
  </si>
  <si>
    <r>
      <rPr>
        <sz val="10"/>
        <rFont val="Arial"/>
        <family val="2"/>
        <charset val="1"/>
      </rPr>
      <t xml:space="preserve">AI</t>
    </r>
    <r>
      <rPr>
        <sz val="10"/>
        <rFont val="WenQuanYi Zen Hei"/>
        <family val="2"/>
      </rPr>
      <t xml:space="preserve">본부</t>
    </r>
  </si>
  <si>
    <t xml:space="preserve">상무/CAIO</t>
  </si>
  <si>
    <t xml:space="preserve">02-3288-7900</t>
  </si>
  <si>
    <t xml:space="preserve">010-4142-8313</t>
  </si>
  <si>
    <t xml:space="preserve">주식회사 아이티센글로벌</t>
  </si>
  <si>
    <t xml:space="preserve">120-86-81451</t>
  </si>
  <si>
    <t xml:space="preserve">강진모</t>
  </si>
  <si>
    <t xml:space="preserve">02-3497-8300</t>
  </si>
  <si>
    <t xml:space="preserve">https://itcenglobal.com</t>
  </si>
  <si>
    <t xml:space="preserve">nagskang@gmail.com</t>
  </si>
  <si>
    <t xml:space="preserve">경기도 과천시 과천대로 12길 117, 과천펜타원 E동(아이티센타워)</t>
  </si>
  <si>
    <t xml:space="preserve">Multi AI Agent Management Platform</t>
  </si>
  <si>
    <t xml:space="preserve">강기식</t>
  </si>
  <si>
    <r>
      <rPr>
        <sz val="10"/>
        <rFont val="Arial"/>
        <family val="2"/>
        <charset val="1"/>
      </rPr>
      <t xml:space="preserve">AI</t>
    </r>
    <r>
      <rPr>
        <sz val="10"/>
        <rFont val="WenQuanYi Zen Hei"/>
        <family val="2"/>
      </rPr>
      <t xml:space="preserve">이노베이션센터</t>
    </r>
  </si>
  <si>
    <t xml:space="preserve">전무/AI이노베이션센터장</t>
  </si>
  <si>
    <t xml:space="preserve">010-4740-3750</t>
  </si>
  <si>
    <t xml:space="preserve">gskang@itcen.com</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</si>
  <si>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한컴인스페이스</t>
    </r>
  </si>
  <si>
    <t xml:space="preserve">314-86-31838</t>
  </si>
  <si>
    <t xml:space="preserve">최명진</t>
  </si>
  <si>
    <t xml:space="preserve">042-862-2779</t>
  </si>
  <si>
    <t xml:space="preserve">https://www.inspace.co.kr/</t>
  </si>
  <si>
    <t xml:space="preserve">kmj@inspace.re.kr</t>
  </si>
  <si>
    <t xml:space="preserve">대전광역시 유성구 엑스포로 1, 12층</t>
  </si>
  <si>
    <r>
      <rPr>
        <sz val="10"/>
        <rFont val="Arial"/>
        <family val="2"/>
        <charset val="1"/>
      </rPr>
      <t xml:space="preserve">Multi-Intelligence </t>
    </r>
    <r>
      <rPr>
        <sz val="10"/>
        <rFont val="WenQuanYi Zen Hei"/>
        <family val="2"/>
      </rPr>
      <t xml:space="preserve">솔루션</t>
    </r>
    <r>
      <rPr>
        <sz val="10"/>
        <rFont val="Arial"/>
        <family val="2"/>
        <charset val="1"/>
      </rPr>
      <t xml:space="preserve">(</t>
    </r>
    <r>
      <rPr>
        <sz val="10"/>
        <rFont val="WenQuanYi Zen Hei"/>
        <family val="2"/>
      </rPr>
      <t xml:space="preserve">우주</t>
    </r>
    <r>
      <rPr>
        <sz val="10"/>
        <rFont val="Arial"/>
        <family val="2"/>
        <charset val="1"/>
      </rPr>
      <t xml:space="preserve">, </t>
    </r>
    <r>
      <rPr>
        <sz val="10"/>
        <rFont val="WenQuanYi Zen Hei"/>
        <family val="2"/>
      </rPr>
      <t xml:space="preserve">국방 등</t>
    </r>
    <r>
      <rPr>
        <sz val="10"/>
        <rFont val="Arial"/>
        <family val="2"/>
        <charset val="1"/>
      </rPr>
      <t xml:space="preserve">)</t>
    </r>
  </si>
  <si>
    <t xml:space="preserve">김민재</t>
  </si>
  <si>
    <t xml:space="preserve">다중정보융합사업단</t>
  </si>
  <si>
    <t xml:space="preserve">단장</t>
  </si>
  <si>
    <t xml:space="preserve">010-6680-4875</t>
  </si>
  <si>
    <t xml:space="preserve">한국표준협회</t>
  </si>
  <si>
    <t xml:space="preserve">105-82-00617</t>
  </si>
  <si>
    <t xml:space="preserve">문동민</t>
  </si>
  <si>
    <t xml:space="preserve">02-6240-4882</t>
  </si>
  <si>
    <t xml:space="preserve">www.ksa.or.kr</t>
  </si>
  <si>
    <t xml:space="preserve">lgs.gaby@gmail.com</t>
  </si>
  <si>
    <t xml:space="preserve">서울시 강남구 테헤란로69길 5 한국표준협회 DT센터</t>
  </si>
  <si>
    <r>
      <rPr>
        <sz val="10"/>
        <rFont val="Arial"/>
        <family val="2"/>
        <charset val="1"/>
      </rPr>
      <t xml:space="preserve">AI </t>
    </r>
    <r>
      <rPr>
        <sz val="10"/>
        <rFont val="WenQuanYi Zen Hei"/>
        <family val="2"/>
      </rPr>
      <t xml:space="preserve">교육 서비스</t>
    </r>
    <r>
      <rPr>
        <sz val="10"/>
        <rFont val="Arial"/>
        <family val="2"/>
        <charset val="1"/>
      </rPr>
      <t xml:space="preserve">, </t>
    </r>
    <r>
      <rPr>
        <sz val="10"/>
        <rFont val="WenQuanYi Zen Hei"/>
        <family val="2"/>
      </rPr>
      <t xml:space="preserve">인공지능 경영 시스템 인증 서비스</t>
    </r>
    <r>
      <rPr>
        <sz val="10"/>
        <rFont val="Arial"/>
        <family val="2"/>
        <charset val="1"/>
      </rPr>
      <t xml:space="preserve">(ISO/IEC 42001)</t>
    </r>
  </si>
  <si>
    <t xml:space="preserve">장경호</t>
  </si>
  <si>
    <r>
      <rPr>
        <sz val="10"/>
        <rFont val="Arial"/>
        <family val="2"/>
        <charset val="1"/>
      </rPr>
      <t xml:space="preserve">AX</t>
    </r>
    <r>
      <rPr>
        <sz val="10"/>
        <rFont val="WenQuanYi Zen Hei"/>
        <family val="2"/>
      </rPr>
      <t xml:space="preserve">역량개발센터</t>
    </r>
  </si>
  <si>
    <t xml:space="preserve">02-6240-4880</t>
  </si>
  <si>
    <t xml:space="preserve">kho@ksa.or.kr</t>
  </si>
  <si>
    <t xml:space="preserve">010-3350-6587</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</si>
  <si>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티맥스소프트</t>
    </r>
  </si>
  <si>
    <t xml:space="preserve">220-81-45181</t>
  </si>
  <si>
    <t xml:space="preserve">이형용</t>
  </si>
  <si>
    <t xml:space="preserve">031-8018-1000</t>
  </si>
  <si>
    <t xml:space="preserve">www.tmaxsoft.com</t>
  </si>
  <si>
    <t xml:space="preserve">iamyaw2@gmail.com</t>
  </si>
  <si>
    <t xml:space="preserve">경기도 성남시 분당구 정자일로 45, 티맥스소프트타워</t>
  </si>
  <si>
    <t xml:space="preserve">AI Business Framework</t>
  </si>
  <si>
    <t xml:space="preserve">박기은</t>
  </si>
  <si>
    <t xml:space="preserve">부사장/연구본부장/CTO/CISO</t>
  </si>
  <si>
    <t xml:space="preserve">010-8974-4319</t>
  </si>
  <si>
    <t xml:space="preserve">rnd@tmaxsoft.com</t>
  </si>
  <si>
    <t xml:space="preserve">주식회사 라이너</t>
  </si>
  <si>
    <t xml:space="preserve">105-87-77955</t>
  </si>
  <si>
    <t xml:space="preserve">김진우</t>
  </si>
  <si>
    <t xml:space="preserve">02-6232-1555</t>
  </si>
  <si>
    <t xml:space="preserve">https://liner.com/ko</t>
  </si>
  <si>
    <t xml:space="preserve">tommy@linercorp.com</t>
  </si>
  <si>
    <t xml:space="preserve">서울특별시 마포구 양화로 140, 8층(동교동)</t>
  </si>
  <si>
    <r>
      <rPr>
        <sz val="10"/>
        <rFont val="Arial"/>
        <family val="2"/>
        <charset val="1"/>
      </rPr>
      <t xml:space="preserve">AI </t>
    </r>
    <r>
      <rPr>
        <sz val="10"/>
        <rFont val="WenQuanYi Zen Hei"/>
        <family val="2"/>
      </rPr>
      <t xml:space="preserve">검색 서비스</t>
    </r>
    <r>
      <rPr>
        <sz val="10"/>
        <rFont val="Arial"/>
        <family val="2"/>
        <charset val="1"/>
      </rPr>
      <t xml:space="preserve">, </t>
    </r>
    <r>
      <rPr>
        <sz val="10"/>
        <rFont val="WenQuanYi Zen Hei"/>
        <family val="2"/>
      </rPr>
      <t xml:space="preserve">에이전트 서비스</t>
    </r>
  </si>
  <si>
    <t xml:space="preserve">박동민</t>
  </si>
  <si>
    <t xml:space="preserve">대외협력실</t>
  </si>
  <si>
    <t xml:space="preserve">010-9343-8384</t>
  </si>
  <si>
    <t xml:space="preserve">주식회사 폴라리스오피스</t>
  </si>
  <si>
    <t xml:space="preserve">220-81-43747</t>
  </si>
  <si>
    <t xml:space="preserve">지준경</t>
  </si>
  <si>
    <t xml:space="preserve">02-537-0538</t>
  </si>
  <si>
    <t xml:space="preserve">https://www.polarisoffice.com</t>
  </si>
  <si>
    <t xml:space="preserve">infradev5@gmail.com</t>
  </si>
  <si>
    <t xml:space="preserve">서울 구로구 디지털로31길 12 TP타워 11층</t>
  </si>
  <si>
    <r>
      <rPr>
        <sz val="10"/>
        <rFont val="Arial"/>
        <family val="2"/>
        <charset val="1"/>
      </rPr>
      <t xml:space="preserve">AI Agent(NOVA), RAG </t>
    </r>
    <r>
      <rPr>
        <sz val="10"/>
        <rFont val="WenQuanYi Zen Hei"/>
        <family val="2"/>
      </rPr>
      <t xml:space="preserve">문서 분석</t>
    </r>
    <r>
      <rPr>
        <sz val="10"/>
        <rFont val="Arial"/>
        <family val="2"/>
        <charset val="1"/>
      </rPr>
      <t xml:space="preserve">(Ask-Docs), </t>
    </r>
    <r>
      <rPr>
        <sz val="10"/>
        <rFont val="WenQuanYi Zen Hei"/>
        <family val="2"/>
      </rPr>
      <t xml:space="preserve">고성능 문서 파서</t>
    </r>
    <r>
      <rPr>
        <sz val="10"/>
        <rFont val="Arial"/>
        <family val="2"/>
        <charset val="1"/>
      </rPr>
      <t xml:space="preserve">(AI DataInsight) </t>
    </r>
    <r>
      <rPr>
        <sz val="10"/>
        <rFont val="WenQuanYi Zen Hei"/>
        <family val="2"/>
      </rPr>
      <t xml:space="preserve">및 온디바이스</t>
    </r>
    <r>
      <rPr>
        <sz val="10"/>
        <rFont val="Arial"/>
        <family val="2"/>
        <charset val="1"/>
      </rPr>
      <t xml:space="preserve">·</t>
    </r>
    <r>
      <rPr>
        <sz val="10"/>
        <rFont val="WenQuanYi Zen Hei"/>
        <family val="2"/>
      </rPr>
      <t xml:space="preserve">온프레미스 </t>
    </r>
    <r>
      <rPr>
        <sz val="10"/>
        <rFont val="Arial"/>
        <family val="2"/>
        <charset val="1"/>
      </rPr>
      <t xml:space="preserve">AI Add-on</t>
    </r>
  </si>
  <si>
    <t xml:space="preserve">엄태광</t>
  </si>
  <si>
    <r>
      <rPr>
        <sz val="10"/>
        <rFont val="Arial"/>
        <family val="2"/>
        <charset val="1"/>
      </rPr>
      <t xml:space="preserve">AI</t>
    </r>
    <r>
      <rPr>
        <sz val="10"/>
        <rFont val="WenQuanYi Zen Hei"/>
        <family val="2"/>
      </rPr>
      <t xml:space="preserve">신사업개발실</t>
    </r>
  </si>
  <si>
    <t xml:space="preserve">이사/실장</t>
  </si>
  <si>
    <t xml:space="preserve">010-4746-0901</t>
  </si>
  <si>
    <t xml:space="preserve">eternil@polarisoffice.com</t>
  </si>
  <si>
    <r>
      <rPr>
        <sz val="10"/>
        <rFont val="Arial"/>
        <family val="2"/>
        <charset val="1"/>
      </rPr>
      <t xml:space="preserve">(</t>
    </r>
    <r>
      <rPr>
        <sz val="10"/>
        <rFont val="WenQuanYi Zen Hei"/>
        <family val="2"/>
      </rPr>
      <t xml:space="preserve">사</t>
    </r>
    <r>
      <rPr>
        <sz val="10"/>
        <rFont val="Arial"/>
        <family val="2"/>
        <charset val="1"/>
      </rPr>
      <t xml:space="preserve">)</t>
    </r>
    <r>
      <rPr>
        <sz val="10"/>
        <rFont val="WenQuanYi Zen Hei"/>
        <family val="2"/>
      </rPr>
      <t xml:space="preserve">한국정보통신진흥협회</t>
    </r>
  </si>
  <si>
    <t xml:space="preserve">211-82-11990</t>
  </si>
  <si>
    <t xml:space="preserve">02-580-0580</t>
  </si>
  <si>
    <t xml:space="preserve">https://www.kait.or.kr/</t>
  </si>
  <si>
    <t xml:space="preserve">smheart1004@gmail.com</t>
  </si>
  <si>
    <t xml:space="preserve">서울특별시 강남구 역삼로 111</t>
  </si>
  <si>
    <t xml:space="preserve">통신업권 마이데이터 중계기관(공공, 금융)</t>
  </si>
  <si>
    <t xml:space="preserve">한문승</t>
  </si>
  <si>
    <r>
      <rPr>
        <sz val="10"/>
        <rFont val="Arial"/>
        <family val="2"/>
        <charset val="1"/>
      </rPr>
      <t xml:space="preserve">ICT</t>
    </r>
    <r>
      <rPr>
        <sz val="10"/>
        <rFont val="WenQuanYi Zen Hei"/>
        <family val="2"/>
      </rPr>
      <t xml:space="preserve">서비스사업본부</t>
    </r>
  </si>
  <si>
    <t xml:space="preserve">02-580-0550</t>
  </si>
  <si>
    <t xml:space="preserve">hans@kait.or.kr</t>
  </si>
  <si>
    <t xml:space="preserve">010-7757-2527</t>
  </si>
  <si>
    <t xml:space="preserve">사단법인 한국정보산업연합회</t>
  </si>
  <si>
    <t xml:space="preserve">116-82-01595</t>
  </si>
  <si>
    <t xml:space="preserve">정진섭, 유은종</t>
  </si>
  <si>
    <t xml:space="preserve">02-2046-1431</t>
  </si>
  <si>
    <t xml:space="preserve">https://www.fkii.org/</t>
  </si>
  <si>
    <t xml:space="preserve">choiduddns21@gmail.com</t>
  </si>
  <si>
    <t xml:space="preserve">서울시 강남구 테헤란로 222(역삼동, 도원빌딩3.4층)</t>
  </si>
  <si>
    <t xml:space="preserve">글로벌 AI 비즈 얼라이언스 (협의체) 운영</t>
  </si>
  <si>
    <t xml:space="preserve">문정현</t>
  </si>
  <si>
    <t xml:space="preserve">010-2523-7279</t>
  </si>
  <si>
    <t xml:space="preserve">jasonmoon@fkii.org</t>
  </si>
  <si>
    <r>
      <rPr>
        <sz val="10"/>
        <rFont val="Arial"/>
        <family val="2"/>
        <charset val="1"/>
      </rPr>
      <t xml:space="preserve">HFR  </t>
    </r>
    <r>
      <rPr>
        <sz val="10"/>
        <rFont val="WenQuanYi Zen Hei"/>
        <family val="2"/>
      </rPr>
      <t xml:space="preserve">모바일</t>
    </r>
  </si>
  <si>
    <t xml:space="preserve">347-87-01461</t>
  </si>
  <si>
    <t xml:space="preserve">이일영</t>
  </si>
  <si>
    <t xml:space="preserve">010-5430-0255</t>
  </si>
  <si>
    <t xml:space="preserve">www.hfr-mobile.com</t>
  </si>
  <si>
    <t xml:space="preserve">hkjung1234@gmail.com</t>
  </si>
  <si>
    <t xml:space="preserve">경기도 성남시 분당구 성남대로43번길 10 5층</t>
  </si>
  <si>
    <r>
      <rPr>
        <sz val="10"/>
        <rFont val="Arial"/>
        <family val="2"/>
        <charset val="1"/>
      </rPr>
      <t xml:space="preserve">5G </t>
    </r>
    <r>
      <rPr>
        <sz val="10"/>
        <rFont val="WenQuanYi Zen Hei"/>
        <family val="2"/>
      </rPr>
      <t xml:space="preserve">특화망</t>
    </r>
  </si>
  <si>
    <t xml:space="preserve">정해관</t>
  </si>
  <si>
    <t xml:space="preserve">공공기업사업본부</t>
  </si>
  <si>
    <t xml:space="preserve">hkjung@hfr-mobile.com</t>
  </si>
  <si>
    <t xml:space="preserve">주식회사 야놀자</t>
  </si>
  <si>
    <t xml:space="preserve">220-87-42885</t>
  </si>
  <si>
    <t xml:space="preserve">이수진</t>
  </si>
  <si>
    <t xml:space="preserve">02-1644-1346</t>
  </si>
  <si>
    <t xml:space="preserve">https://www.yanoljagroup.com/ko</t>
  </si>
  <si>
    <t xml:space="preserve">limsewon@yanolja.com</t>
  </si>
  <si>
    <t xml:space="preserve">서울특별시 강남구 테헤란로108길 42 엠디엠타워</t>
  </si>
  <si>
    <t xml:space="preserve">숙박·여행 산업에 특화된 B2B/엔터프라이즈 버티컬 AI, 숙박·여행 도메인에 최적화된 버티컬 AI와 sLLM 기반 서비스</t>
  </si>
  <si>
    <t xml:space="preserve">이준영</t>
  </si>
  <si>
    <t xml:space="preserve">Enterprise Solutions</t>
  </si>
  <si>
    <t xml:space="preserve">010-3709-3190</t>
  </si>
  <si>
    <t xml:space="preserve">junyoung@yanolja.com</t>
  </si>
  <si>
    <t xml:space="preserve">신한카드 주식회사</t>
  </si>
  <si>
    <t xml:space="preserve">202-81-48079</t>
  </si>
  <si>
    <t xml:space="preserve">박창훈</t>
  </si>
  <si>
    <t xml:space="preserve">1544-7000</t>
  </si>
  <si>
    <t xml:space="preserve">shinhancard.com</t>
  </si>
  <si>
    <t xml:space="preserve">didgurwls24@gmail.com</t>
  </si>
  <si>
    <t xml:space="preserve">서울특별시 중구 을지로100, 파인에비뉴(A동)</t>
  </si>
  <si>
    <t xml:space="preserve">금융업 특화 AI서비스 개발을 통해 대직원 업무 효율화, 대고객 경험 혁신, AI 기반 리스크 관리 고도화</t>
  </si>
  <si>
    <t xml:space="preserve">안성희</t>
  </si>
  <si>
    <r>
      <rPr>
        <sz val="10"/>
        <rFont val="Arial"/>
        <family val="2"/>
        <charset val="1"/>
      </rPr>
      <t xml:space="preserve">AX</t>
    </r>
    <r>
      <rPr>
        <sz val="10"/>
        <rFont val="WenQuanYi Zen Hei"/>
        <family val="2"/>
      </rPr>
      <t xml:space="preserve">연구소</t>
    </r>
  </si>
  <si>
    <t xml:space="preserve">상무/AX연구소장</t>
  </si>
  <si>
    <t xml:space="preserve">02-6950-7489</t>
  </si>
  <si>
    <t xml:space="preserve">moment91@shinhan.com</t>
  </si>
  <si>
    <t xml:space="preserve">010-8183-2022</t>
  </si>
  <si>
    <t xml:space="preserve">류석원</t>
  </si>
  <si>
    <r>
      <rPr>
        <sz val="10"/>
        <rFont val="Arial"/>
        <family val="2"/>
        <charset val="1"/>
      </rPr>
      <t xml:space="preserve">AX</t>
    </r>
    <r>
      <rPr>
        <sz val="10"/>
        <rFont val="WenQuanYi Zen Hei"/>
        <family val="2"/>
      </rPr>
      <t xml:space="preserve">기획부</t>
    </r>
  </si>
  <si>
    <t xml:space="preserve">02-6950-7558</t>
  </si>
  <si>
    <t xml:space="preserve">ringo@shinhan.com</t>
  </si>
  <si>
    <t xml:space="preserve">010-3491-2648</t>
  </si>
  <si>
    <t xml:space="preserve">래블업 주식회사</t>
  </si>
  <si>
    <t xml:space="preserve">864-88-00080</t>
  </si>
  <si>
    <t xml:space="preserve">신정규</t>
  </si>
  <si>
    <t xml:space="preserve">070-8200-2587</t>
  </si>
  <si>
    <t xml:space="preserve">www.lablup.com</t>
  </si>
  <si>
    <t xml:space="preserve">spicalong@gmail.com</t>
  </si>
  <si>
    <t xml:space="preserve">서울시 강남구 선릉로 577 CR타워 8층</t>
  </si>
  <si>
    <t xml:space="preserve">AI Infrastructure Operating Platform</t>
  </si>
  <si>
    <t xml:space="preserve">jshin@lablup.com</t>
  </si>
  <si>
    <t xml:space="preserve">010-2708-5605</t>
  </si>
  <si>
    <t xml:space="preserve">MBN</t>
  </si>
  <si>
    <t xml:space="preserve">203-81-53328</t>
  </si>
  <si>
    <t xml:space="preserve">이동원</t>
  </si>
  <si>
    <t xml:space="preserve">02-2000-3114</t>
  </si>
  <si>
    <t xml:space="preserve">https://www.mbn.co.kr/</t>
  </si>
  <si>
    <t xml:space="preserve">helloaisong@gmail.com</t>
  </si>
  <si>
    <t xml:space="preserve">서울시 중구 퇴계로 190</t>
  </si>
  <si>
    <r>
      <rPr>
        <sz val="10"/>
        <rFont val="Arial"/>
        <family val="2"/>
        <charset val="1"/>
      </rPr>
      <t xml:space="preserve">AI </t>
    </r>
    <r>
      <rPr>
        <sz val="10"/>
        <rFont val="WenQuanYi Zen Hei"/>
        <family val="2"/>
      </rPr>
      <t xml:space="preserve">활용 미디어 서비스</t>
    </r>
  </si>
  <si>
    <t xml:space="preserve">박대일</t>
  </si>
  <si>
    <t xml:space="preserve">디지털AI본부</t>
  </si>
  <si>
    <t xml:space="preserve">02-2000-3162</t>
  </si>
  <si>
    <t xml:space="preserve">park.daeil@mbn.co.kr</t>
  </si>
  <si>
    <t xml:space="preserve">010-8100-0284</t>
  </si>
  <si>
    <t xml:space="preserve">새솔테크 주식회사</t>
  </si>
  <si>
    <t xml:space="preserve">484-81-02321</t>
  </si>
  <si>
    <t xml:space="preserve">한준혁</t>
  </si>
  <si>
    <t xml:space="preserve">031-687-8286</t>
  </si>
  <si>
    <t xml:space="preserve">https://www.saesol.tech/</t>
  </si>
  <si>
    <t xml:space="preserve">jayden.yoo@saesol.tech</t>
  </si>
  <si>
    <t xml:space="preserve">경기도 안양시 동안구 부림로 146</t>
  </si>
  <si>
    <r>
      <rPr>
        <sz val="10"/>
        <rFont val="Arial"/>
        <family val="2"/>
        <charset val="1"/>
      </rPr>
      <t xml:space="preserve">V2X </t>
    </r>
    <r>
      <rPr>
        <sz val="10"/>
        <rFont val="WenQuanYi Zen Hei"/>
        <family val="2"/>
      </rPr>
      <t xml:space="preserve">보안 플랫폼</t>
    </r>
    <r>
      <rPr>
        <sz val="10"/>
        <rFont val="Arial"/>
        <family val="2"/>
        <charset val="1"/>
      </rPr>
      <t xml:space="preserve">, PKI </t>
    </r>
    <r>
      <rPr>
        <sz val="10"/>
        <rFont val="WenQuanYi Zen Hei"/>
        <family val="2"/>
      </rPr>
      <t xml:space="preserve">기반 보안 인증 서버</t>
    </r>
    <r>
      <rPr>
        <sz val="10"/>
        <rFont val="Arial"/>
        <family val="2"/>
        <charset val="1"/>
      </rPr>
      <t xml:space="preserve">, KCMVP </t>
    </r>
    <r>
      <rPr>
        <sz val="10"/>
        <rFont val="WenQuanYi Zen Hei"/>
        <family val="2"/>
      </rPr>
      <t xml:space="preserve">기반 구간암호화</t>
    </r>
  </si>
  <si>
    <t xml:space="preserve">앙연형</t>
  </si>
  <si>
    <t xml:space="preserve">선행기술그룹-선행2팀</t>
  </si>
  <si>
    <t xml:space="preserve">연구위원,이사/팀장</t>
  </si>
  <si>
    <t xml:space="preserve">010-8866-5946</t>
  </si>
  <si>
    <t xml:space="preserve"> eliot.yang@saesol.tech</t>
  </si>
  <si>
    <r>
      <rPr>
        <sz val="10"/>
        <rFont val="Arial"/>
        <family val="2"/>
        <charset val="1"/>
      </rPr>
      <t xml:space="preserve">(</t>
    </r>
    <r>
      <rPr>
        <sz val="10"/>
        <rFont val="WenQuanYi Zen Hei"/>
        <family val="2"/>
      </rPr>
      <t xml:space="preserve">사</t>
    </r>
    <r>
      <rPr>
        <sz val="10"/>
        <rFont val="Arial"/>
        <family val="2"/>
        <charset val="1"/>
      </rPr>
      <t xml:space="preserve">)</t>
    </r>
    <r>
      <rPr>
        <sz val="10"/>
        <rFont val="WenQuanYi Zen Hei"/>
        <family val="2"/>
      </rPr>
      <t xml:space="preserve">금융결제원</t>
    </r>
  </si>
  <si>
    <t xml:space="preserve">220-82-01439</t>
  </si>
  <si>
    <t xml:space="preserve">박종석</t>
  </si>
  <si>
    <t xml:space="preserve">1577-5500</t>
  </si>
  <si>
    <t xml:space="preserve">kftc.or.kr</t>
  </si>
  <si>
    <t xml:space="preserve">sjpark054@gmail.com</t>
  </si>
  <si>
    <t xml:space="preserve">서울시 중구 퇴계로 110(회현동 3가)</t>
  </si>
  <si>
    <t xml:space="preserve">금융 특화 llm/벤치마크, 오픈뱅킹 등 지급결제시스템, 에이전트 활용 환경, AI 기반 금융거래 분석</t>
  </si>
  <si>
    <t xml:space="preserve">류재수</t>
  </si>
  <si>
    <t xml:space="preserve">금융결제원</t>
  </si>
  <si>
    <t xml:space="preserve">02-531-1022</t>
  </si>
  <si>
    <t xml:space="preserve">해당없음</t>
  </si>
  <si>
    <t xml:space="preserve">임선규</t>
  </si>
  <si>
    <t xml:space="preserve">반장</t>
  </si>
  <si>
    <t xml:space="preserve">02-531-3250</t>
  </si>
  <si>
    <t xml:space="preserve">sklim@kftc.or.kr</t>
  </si>
  <si>
    <t xml:space="preserve">010-8603-3390</t>
  </si>
  <si>
    <t xml:space="preserve">주식회사 웰로</t>
  </si>
  <si>
    <t xml:space="preserve">705-86-02126</t>
  </si>
  <si>
    <t xml:space="preserve">김유리안나</t>
  </si>
  <si>
    <t xml:space="preserve">02-889-9269</t>
  </si>
  <si>
    <t xml:space="preserve">wello.info</t>
  </si>
  <si>
    <t xml:space="preserve">yuri@wello.info</t>
  </si>
  <si>
    <t xml:space="preserve">서울 관악구 남부순환로 1933, 8층</t>
  </si>
  <si>
    <r>
      <rPr>
        <sz val="10"/>
        <rFont val="Arial"/>
        <family val="2"/>
        <charset val="1"/>
      </rPr>
      <t xml:space="preserve">GovTech </t>
    </r>
    <r>
      <rPr>
        <sz val="10"/>
        <rFont val="WenQuanYi Zen Hei"/>
        <family val="2"/>
      </rPr>
      <t xml:space="preserve">분야 </t>
    </r>
    <r>
      <rPr>
        <sz val="10"/>
        <rFont val="Arial"/>
        <family val="2"/>
        <charset val="1"/>
      </rPr>
      <t xml:space="preserve">/ </t>
    </r>
    <r>
      <rPr>
        <sz val="10"/>
        <rFont val="WenQuanYi Zen Hei"/>
        <family val="2"/>
      </rPr>
      <t xml:space="preserve">공공 문서 및 규제데이터 해석 및 개인</t>
    </r>
    <r>
      <rPr>
        <sz val="10"/>
        <rFont val="Arial"/>
        <family val="2"/>
        <charset val="1"/>
      </rPr>
      <t xml:space="preserve">-</t>
    </r>
    <r>
      <rPr>
        <sz val="10"/>
        <rFont val="WenQuanYi Zen Hei"/>
        <family val="2"/>
      </rPr>
      <t xml:space="preserve">기업</t>
    </r>
    <r>
      <rPr>
        <sz val="10"/>
        <rFont val="Arial"/>
        <family val="2"/>
        <charset val="1"/>
      </rPr>
      <t xml:space="preserve">-</t>
    </r>
    <r>
      <rPr>
        <sz val="10"/>
        <rFont val="WenQuanYi Zen Hei"/>
        <family val="2"/>
      </rPr>
      <t xml:space="preserve">정부 추천서비스</t>
    </r>
  </si>
  <si>
    <t xml:space="preserve">02-889-9369</t>
  </si>
  <si>
    <t xml:space="preserve">010-8248-7729</t>
  </si>
  <si>
    <t xml:space="preserve">한솔피엔에스(주)</t>
  </si>
  <si>
    <t xml:space="preserve">206-85-29451</t>
  </si>
  <si>
    <t xml:space="preserve">02-6244-9700</t>
  </si>
  <si>
    <t xml:space="preserve">https://www.hansolpns.com</t>
  </si>
  <si>
    <t xml:space="preserve">brotherjinho@gmail.com</t>
  </si>
  <si>
    <t xml:space="preserve">서울특별시 강서구 양천로 570, NH서울타워 6층</t>
  </si>
  <si>
    <t xml:space="preserve">AI Atlas </t>
  </si>
  <si>
    <t xml:space="preserve">조선건</t>
  </si>
  <si>
    <t xml:space="preserve">개발부문</t>
  </si>
  <si>
    <t xml:space="preserve">02-6244-9837</t>
  </si>
  <si>
    <t xml:space="preserve">sungun.cho@hansol.com</t>
  </si>
  <si>
    <t xml:space="preserve">010-7461-1201</t>
  </si>
  <si>
    <t xml:space="preserve">나이스지니데이타(주)</t>
  </si>
  <si>
    <t xml:space="preserve">216-81-16917</t>
  </si>
  <si>
    <t xml:space="preserve">02-3215-2800</t>
  </si>
  <si>
    <t xml:space="preserve">www.nicezinidata.com</t>
  </si>
  <si>
    <t xml:space="preserve">nicezinidata.st@gmail.com</t>
  </si>
  <si>
    <t xml:space="preserve">서울특별시 영등포구 은행로 30, 7층(신관)</t>
  </si>
  <si>
    <t xml:space="preserve">상권분석 AI 챗봇 서비스, 소상공인 마케팅 AI 챗봇 서비스, 검색광고 키워드 AI 분석 솔루션, AI 학습데이터 생성/검증 솔루션</t>
  </si>
  <si>
    <t xml:space="preserve">송재익</t>
  </si>
  <si>
    <t xml:space="preserve">데이터사업본부 전략사업실</t>
  </si>
  <si>
    <t xml:space="preserve">02-3215-2880</t>
  </si>
  <si>
    <t xml:space="preserve">lovesong@nice.co.kr</t>
  </si>
  <si>
    <t xml:space="preserve">010-3800-7742</t>
  </si>
  <si>
    <t xml:space="preserve">올거나이즈코리아 주식회사</t>
  </si>
  <si>
    <t xml:space="preserve">733-81-01035</t>
  </si>
  <si>
    <t xml:space="preserve">이창수</t>
  </si>
  <si>
    <t xml:space="preserve">02-561-0103</t>
  </si>
  <si>
    <t xml:space="preserve">https://www.allganize.ai/ko/home</t>
  </si>
  <si>
    <t xml:space="preserve">wonkang.lee@allganize.io</t>
  </si>
  <si>
    <t xml:space="preserve">서울시 강남구 테헤란로20길 5, 4층, 5층(역삼동, 양화타워)</t>
  </si>
  <si>
    <t xml:space="preserve">업무용 올인원 LLM 플랫폼 솔루션(알리, Alli) / MCP 기반 AI Agent 빌더</t>
  </si>
  <si>
    <t xml:space="preserve">이원강</t>
  </si>
  <si>
    <t xml:space="preserve">전략경영실</t>
  </si>
  <si>
    <t xml:space="preserve">010-4873-6760</t>
  </si>
  <si>
    <t xml:space="preserve">wonkang.lee@allganize.ai</t>
  </si>
  <si>
    <t xml:space="preserve">카카오</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</si>
  <si>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바이브컴퍼니</t>
    </r>
  </si>
  <si>
    <t xml:space="preserve">120-86-08334</t>
  </si>
  <si>
    <t xml:space="preserve">김경서</t>
  </si>
  <si>
    <t xml:space="preserve">02-565-0531</t>
  </si>
  <si>
    <t xml:space="preserve">https://www.vaiv.kr/</t>
  </si>
  <si>
    <t xml:space="preserve">서울특별시 용산구 독서당로 97</t>
  </si>
  <si>
    <r>
      <rPr>
        <sz val="10"/>
        <rFont val="Arial"/>
        <family val="2"/>
        <charset val="1"/>
      </rPr>
      <t xml:space="preserve">MCP </t>
    </r>
    <r>
      <rPr>
        <sz val="10"/>
        <rFont val="WenQuanYi Zen Hei"/>
        <family val="2"/>
      </rPr>
      <t xml:space="preserve">서버 개발</t>
    </r>
    <r>
      <rPr>
        <sz val="10"/>
        <rFont val="Arial"/>
        <family val="2"/>
        <charset val="1"/>
      </rPr>
      <t xml:space="preserve">, AI agent </t>
    </r>
    <r>
      <rPr>
        <sz val="10"/>
        <rFont val="WenQuanYi Zen Hei"/>
        <family val="2"/>
      </rPr>
      <t xml:space="preserve">빌더</t>
    </r>
    <r>
      <rPr>
        <sz val="10"/>
        <rFont val="Arial"/>
        <family val="2"/>
        <charset val="1"/>
      </rPr>
      <t xml:space="preserve">, AI </t>
    </r>
    <r>
      <rPr>
        <sz val="10"/>
        <rFont val="WenQuanYi Zen Hei"/>
        <family val="2"/>
      </rPr>
      <t xml:space="preserve">검색</t>
    </r>
    <r>
      <rPr>
        <sz val="10"/>
        <rFont val="Arial"/>
        <family val="2"/>
        <charset val="1"/>
      </rPr>
      <t xml:space="preserve">, AI </t>
    </r>
    <r>
      <rPr>
        <sz val="10"/>
        <rFont val="WenQuanYi Zen Hei"/>
        <family val="2"/>
      </rPr>
      <t xml:space="preserve">챗봇</t>
    </r>
    <r>
      <rPr>
        <sz val="10"/>
        <rFont val="Arial"/>
        <family val="2"/>
        <charset val="1"/>
      </rPr>
      <t xml:space="preserve">, AI KMS </t>
    </r>
    <r>
      <rPr>
        <sz val="10"/>
        <rFont val="WenQuanYi Zen Hei"/>
        <family val="2"/>
      </rPr>
      <t xml:space="preserve">등 다수 보유</t>
    </r>
  </si>
  <si>
    <t xml:space="preserve">이호</t>
  </si>
  <si>
    <r>
      <rPr>
        <sz val="10"/>
        <rFont val="Arial"/>
        <family val="2"/>
        <charset val="1"/>
      </rPr>
      <t xml:space="preserve">AI</t>
    </r>
    <r>
      <rPr>
        <sz val="10"/>
        <rFont val="WenQuanYi Zen Hei"/>
        <family val="2"/>
      </rPr>
      <t xml:space="preserve">데이터부문</t>
    </r>
  </si>
  <si>
    <t xml:space="preserve">전무/부문장</t>
  </si>
  <si>
    <t xml:space="preserve">leeho@vaiv.kr</t>
  </si>
  <si>
    <t xml:space="preserve">010-2765-9771</t>
  </si>
  <si>
    <t xml:space="preserve">메가존(주)</t>
  </si>
  <si>
    <t xml:space="preserve">214-86-79342</t>
  </si>
  <si>
    <t xml:space="preserve">장지황</t>
  </si>
  <si>
    <t xml:space="preserve">02-2109-2500</t>
  </si>
  <si>
    <t xml:space="preserve">https://megazone.digital/</t>
  </si>
  <si>
    <t xml:space="preserve">서울시 강남구 논현로 85길 46, 10층</t>
  </si>
  <si>
    <t xml:space="preserve">AX/DX, Agentic AI, AI Governance</t>
  </si>
  <si>
    <t xml:space="preserve">이정미</t>
  </si>
  <si>
    <t xml:space="preserve">공공DX센터</t>
  </si>
  <si>
    <t xml:space="preserve">010-2259-4099</t>
  </si>
  <si>
    <t xml:space="preserve">jungmi.lee@mz.co.kr</t>
  </si>
  <si>
    <t xml:space="preserve">주식회사 큐빅</t>
  </si>
  <si>
    <t xml:space="preserve">133-81-45679</t>
  </si>
  <si>
    <t xml:space="preserve">배호, 정민찬</t>
  </si>
  <si>
    <t xml:space="preserve">02-582-1113</t>
  </si>
  <si>
    <t xml:space="preserve">www.cubig.ai</t>
  </si>
  <si>
    <t xml:space="preserve">ssun@cubig.ai</t>
  </si>
  <si>
    <t xml:space="preserve">경기도 성남시 분당구 정자일로 95 (정자동)경 4층</t>
  </si>
  <si>
    <r>
      <rPr>
        <sz val="10"/>
        <rFont val="Arial"/>
        <family val="2"/>
        <charset val="1"/>
      </rPr>
      <t xml:space="preserve">AI-Ready </t>
    </r>
    <r>
      <rPr>
        <sz val="10"/>
        <rFont val="WenQuanYi Zen Hei"/>
        <family val="2"/>
      </rPr>
      <t xml:space="preserve">데이터 구축을 위한 데이터 분석</t>
    </r>
    <r>
      <rPr>
        <sz val="10"/>
        <rFont val="Arial"/>
        <family val="2"/>
        <charset val="1"/>
      </rPr>
      <t xml:space="preserve">·</t>
    </r>
    <r>
      <rPr>
        <sz val="10"/>
        <rFont val="WenQuanYi Zen Hei"/>
        <family val="2"/>
      </rPr>
      <t xml:space="preserve">검증</t>
    </r>
    <r>
      <rPr>
        <sz val="10"/>
        <rFont val="Arial"/>
        <family val="2"/>
        <charset val="1"/>
      </rPr>
      <t xml:space="preserve">·</t>
    </r>
    <r>
      <rPr>
        <sz val="10"/>
        <rFont val="WenQuanYi Zen Hei"/>
        <family val="2"/>
      </rPr>
      <t xml:space="preserve">가공 및 합성데이터 생성</t>
    </r>
    <r>
      <rPr>
        <sz val="10"/>
        <rFont val="Arial"/>
        <family val="2"/>
        <charset val="1"/>
      </rPr>
      <t xml:space="preserve">·</t>
    </r>
    <r>
      <rPr>
        <sz val="10"/>
        <rFont val="WenQuanYi Zen Hei"/>
        <family val="2"/>
      </rPr>
      <t xml:space="preserve">평가기술과 개인정보 보호 기반 데이터 결합 기술을 보유하고</t>
    </r>
    <r>
      <rPr>
        <sz val="10"/>
        <rFont val="Arial"/>
        <family val="2"/>
        <charset val="1"/>
      </rPr>
      <t xml:space="preserve">, Agent </t>
    </r>
    <r>
      <rPr>
        <sz val="10"/>
        <rFont val="WenQuanYi Zen Hei"/>
        <family val="2"/>
      </rPr>
      <t xml:space="preserve">기반 </t>
    </r>
    <r>
      <rPr>
        <sz val="10"/>
        <rFont val="Arial"/>
        <family val="2"/>
        <charset val="1"/>
      </rPr>
      <t xml:space="preserve">AI </t>
    </r>
    <r>
      <rPr>
        <sz val="10"/>
        <rFont val="WenQuanYi Zen Hei"/>
        <family val="2"/>
      </rPr>
      <t xml:space="preserve">활용을 위한 데이터 처리</t>
    </r>
    <r>
      <rPr>
        <sz val="10"/>
        <rFont val="Arial"/>
        <family val="2"/>
        <charset val="1"/>
      </rPr>
      <t xml:space="preserve">·</t>
    </r>
    <r>
      <rPr>
        <sz val="10"/>
        <rFont val="WenQuanYi Zen Hei"/>
        <family val="2"/>
      </rPr>
      <t xml:space="preserve">운영 솔루션을 제공함</t>
    </r>
    <r>
      <rPr>
        <sz val="10"/>
        <rFont val="Arial"/>
        <family val="2"/>
        <charset val="1"/>
      </rPr>
      <t xml:space="preserve">. </t>
    </r>
    <r>
      <rPr>
        <sz val="10"/>
        <rFont val="WenQuanYi Zen Hei"/>
        <family val="2"/>
      </rPr>
      <t xml:space="preserve">차등 개인정보보호</t>
    </r>
    <r>
      <rPr>
        <sz val="10"/>
        <rFont val="Arial"/>
        <family val="2"/>
        <charset val="1"/>
      </rPr>
      <t xml:space="preserve">(DP) </t>
    </r>
    <r>
      <rPr>
        <sz val="10"/>
        <rFont val="WenQuanYi Zen Hei"/>
        <family val="2"/>
      </rPr>
      <t xml:space="preserve">및 </t>
    </r>
    <r>
      <rPr>
        <sz val="10"/>
        <rFont val="Arial"/>
        <family val="2"/>
        <charset val="1"/>
      </rPr>
      <t xml:space="preserve">PET </t>
    </r>
    <r>
      <rPr>
        <sz val="10"/>
        <rFont val="WenQuanYi Zen Hei"/>
        <family val="2"/>
      </rPr>
      <t xml:space="preserve">기반 보안 기술을 바탕으로 비정형</t>
    </r>
    <r>
      <rPr>
        <sz val="10"/>
        <rFont val="Arial"/>
        <family val="2"/>
        <charset val="1"/>
      </rPr>
      <t xml:space="preserve">·</t>
    </r>
    <r>
      <rPr>
        <sz val="10"/>
        <rFont val="WenQuanYi Zen Hei"/>
        <family val="2"/>
      </rPr>
      <t xml:space="preserve">시계열 데이터의 공공</t>
    </r>
    <r>
      <rPr>
        <sz val="10"/>
        <rFont val="Arial"/>
        <family val="2"/>
        <charset val="1"/>
      </rPr>
      <t xml:space="preserve">·</t>
    </r>
    <r>
      <rPr>
        <sz val="10"/>
        <rFont val="WenQuanYi Zen Hei"/>
        <family val="2"/>
      </rPr>
      <t xml:space="preserve">산업 분야 </t>
    </r>
    <r>
      <rPr>
        <sz val="10"/>
        <rFont val="Arial"/>
        <family val="2"/>
        <charset val="1"/>
      </rPr>
      <t xml:space="preserve">AI </t>
    </r>
    <r>
      <rPr>
        <sz val="10"/>
        <rFont val="WenQuanYi Zen Hei"/>
        <family val="2"/>
      </rPr>
      <t xml:space="preserve">적용을 지원함</t>
    </r>
    <r>
      <rPr>
        <sz val="10"/>
        <rFont val="Arial"/>
        <family val="2"/>
        <charset val="1"/>
      </rPr>
      <t xml:space="preserve">.</t>
    </r>
  </si>
  <si>
    <t xml:space="preserve">배호</t>
  </si>
  <si>
    <t xml:space="preserve">hobae@cubig.ai</t>
  </si>
  <si>
    <t xml:space="preserve">010-3779-2921</t>
  </si>
  <si>
    <t xml:space="preserve">신대우</t>
  </si>
  <si>
    <t xml:space="preserve">국내사업팀 </t>
  </si>
  <si>
    <t xml:space="preserve">dwshin@cubig.ai</t>
  </si>
  <si>
    <t xml:space="preserve">010-7488-0021</t>
  </si>
  <si>
    <t xml:space="preserve">사단법인 한국AI스마트홈산업협회</t>
  </si>
  <si>
    <t xml:space="preserve">114-82-07778</t>
  </si>
  <si>
    <t xml:space="preserve">최승범</t>
  </si>
  <si>
    <t xml:space="preserve">070-8233-3403</t>
  </si>
  <si>
    <t xml:space="preserve">www.kashi.or.kr</t>
  </si>
  <si>
    <t xml:space="preserve">서울시 금천구 가산디지털2로98, 2동 710호</t>
  </si>
  <si>
    <t xml:space="preserve">홈 내 허브, 단지서버, 클라우드를 이용한 외부 서비스망(에너지, 헬스케어, 쇼핑, 시티등) 접속</t>
  </si>
  <si>
    <t xml:space="preserve">최상만</t>
  </si>
  <si>
    <t xml:space="preserve">070-8233-3410</t>
  </si>
  <si>
    <t xml:space="preserve">smc@kashi.or.kr</t>
  </si>
  <si>
    <t xml:space="preserve">010-2275-6321</t>
  </si>
  <si>
    <t xml:space="preserve">이병헌</t>
  </si>
  <si>
    <t xml:space="preserve">융합표준본부</t>
  </si>
  <si>
    <t xml:space="preserve">bhlee@kashi.or.kr</t>
  </si>
  <si>
    <t xml:space="preserve">010-4198-2367</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</si>
  <si>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페르소나에이아이</t>
    </r>
  </si>
  <si>
    <t xml:space="preserve">696-86-00654</t>
  </si>
  <si>
    <t xml:space="preserve">유승재</t>
  </si>
  <si>
    <t xml:space="preserve">02-762-8713</t>
  </si>
  <si>
    <t xml:space="preserve">https://personaai.co.kr/</t>
  </si>
  <si>
    <t xml:space="preserve">prsnsjw@gmail.com</t>
  </si>
  <si>
    <r>
      <rPr>
        <sz val="10"/>
        <rFont val="Arial"/>
        <family val="2"/>
        <charset val="1"/>
      </rPr>
      <t xml:space="preserve">(06168) </t>
    </r>
    <r>
      <rPr>
        <sz val="10"/>
        <rFont val="WenQuanYi Zen Hei"/>
        <family val="2"/>
      </rPr>
      <t xml:space="preserve">서울특별시 강남구 테헤란로</t>
    </r>
    <r>
      <rPr>
        <sz val="10"/>
        <rFont val="Arial"/>
        <family val="2"/>
        <charset val="1"/>
      </rPr>
      <t xml:space="preserve">81</t>
    </r>
    <r>
      <rPr>
        <sz val="10"/>
        <rFont val="WenQuanYi Zen Hei"/>
        <family val="2"/>
      </rPr>
      <t xml:space="preserve">길 </t>
    </r>
    <r>
      <rPr>
        <sz val="10"/>
        <rFont val="Arial"/>
        <family val="2"/>
        <charset val="1"/>
      </rPr>
      <t xml:space="preserve">13, 2</t>
    </r>
    <r>
      <rPr>
        <sz val="10"/>
        <rFont val="WenQuanYi Zen Hei"/>
        <family val="2"/>
      </rPr>
      <t xml:space="preserve">층</t>
    </r>
    <r>
      <rPr>
        <sz val="10"/>
        <rFont val="Arial"/>
        <family val="2"/>
        <charset val="1"/>
      </rPr>
      <t xml:space="preserve">(</t>
    </r>
    <r>
      <rPr>
        <sz val="10"/>
        <rFont val="WenQuanYi Zen Hei"/>
        <family val="2"/>
      </rPr>
      <t xml:space="preserve">삼성동</t>
    </r>
    <r>
      <rPr>
        <sz val="10"/>
        <rFont val="Arial"/>
        <family val="2"/>
        <charset val="1"/>
      </rPr>
      <t xml:space="preserve">, </t>
    </r>
    <r>
      <rPr>
        <sz val="10"/>
        <rFont val="WenQuanYi Zen Hei"/>
        <family val="2"/>
      </rPr>
      <t xml:space="preserve">동원빌딩</t>
    </r>
    <r>
      <rPr>
        <sz val="10"/>
        <rFont val="Arial"/>
        <family val="2"/>
        <charset val="1"/>
      </rPr>
      <t xml:space="preserve">)</t>
    </r>
  </si>
  <si>
    <t xml:space="preserve">sLLM, Edge AI, AI Agent, AI Assistant, Gen AICC</t>
  </si>
  <si>
    <t xml:space="preserve">sungjaeq@personaai.co.kr</t>
  </si>
  <si>
    <t xml:space="preserve">010-8552-8763</t>
  </si>
  <si>
    <t xml:space="preserve">심병학</t>
  </si>
  <si>
    <t xml:space="preserve">신기술팀</t>
  </si>
  <si>
    <t xml:space="preserve">sbh0414@personaai.co.kr</t>
  </si>
  <si>
    <t xml:space="preserve">010-5360-3630</t>
  </si>
  <si>
    <t xml:space="preserve">동의대학교 산학협력단</t>
  </si>
  <si>
    <t xml:space="preserve">605-82-08254</t>
  </si>
  <si>
    <t xml:space="preserve">김성희</t>
  </si>
  <si>
    <t xml:space="preserve">051-890-2880</t>
  </si>
  <si>
    <t xml:space="preserve">www.cidi.re.kr</t>
  </si>
  <si>
    <t xml:space="preserve">dptmf307@gmail.com</t>
  </si>
  <si>
    <t xml:space="preserve">부산시 부산진구 엄광로 176</t>
  </si>
  <si>
    <r>
      <rPr>
        <sz val="10"/>
        <rFont val="Arial"/>
        <family val="2"/>
        <charset val="1"/>
      </rPr>
      <t xml:space="preserve">AI </t>
    </r>
    <r>
      <rPr>
        <sz val="10"/>
        <rFont val="WenQuanYi Zen Hei"/>
        <family val="2"/>
      </rPr>
      <t xml:space="preserve">시험인증</t>
    </r>
    <r>
      <rPr>
        <sz val="10"/>
        <rFont val="Arial"/>
        <family val="2"/>
        <charset val="1"/>
      </rPr>
      <t xml:space="preserve">(KOLAS </t>
    </r>
    <r>
      <rPr>
        <sz val="10"/>
        <rFont val="WenQuanYi Zen Hei"/>
        <family val="2"/>
      </rPr>
      <t xml:space="preserve">국제공인시험기관</t>
    </r>
    <r>
      <rPr>
        <sz val="10"/>
        <rFont val="Arial"/>
        <family val="2"/>
        <charset val="1"/>
      </rPr>
      <t xml:space="preserve">, </t>
    </r>
    <r>
      <rPr>
        <sz val="10"/>
        <rFont val="WenQuanYi Zen Hei"/>
        <family val="2"/>
      </rPr>
      <t xml:space="preserve">산업</t>
    </r>
    <r>
      <rPr>
        <sz val="10"/>
        <rFont val="Arial"/>
        <family val="2"/>
        <charset val="1"/>
      </rPr>
      <t xml:space="preserve">AI</t>
    </r>
    <r>
      <rPr>
        <sz val="10"/>
        <rFont val="WenQuanYi Zen Hei"/>
        <family val="2"/>
      </rPr>
      <t xml:space="preserve">국제시험평가기관</t>
    </r>
    <r>
      <rPr>
        <sz val="10"/>
        <rFont val="Arial"/>
        <family val="2"/>
        <charset val="1"/>
      </rPr>
      <t xml:space="preserve">, AI </t>
    </r>
    <r>
      <rPr>
        <sz val="10"/>
        <rFont val="WenQuanYi Zen Hei"/>
        <family val="2"/>
      </rPr>
      <t xml:space="preserve">전문인력양성</t>
    </r>
    <r>
      <rPr>
        <sz val="10"/>
        <rFont val="Arial"/>
        <family val="2"/>
        <charset val="1"/>
      </rPr>
      <t xml:space="preserve">, AI </t>
    </r>
    <r>
      <rPr>
        <sz val="10"/>
        <rFont val="WenQuanYi Zen Hei"/>
        <family val="2"/>
      </rPr>
      <t xml:space="preserve">기술개발</t>
    </r>
  </si>
  <si>
    <t xml:space="preserve">전영준</t>
  </si>
  <si>
    <t xml:space="preserve">부산IT융합부품연구소</t>
  </si>
  <si>
    <t xml:space="preserve">실장/연구교수</t>
  </si>
  <si>
    <t xml:space="preserve">051-890-2790</t>
  </si>
  <si>
    <t xml:space="preserve">biggood@deu.ac.kr</t>
  </si>
  <si>
    <t xml:space="preserve">010-2567-4362</t>
  </si>
  <si>
    <t xml:space="preserve">김예슬</t>
  </si>
  <si>
    <t xml:space="preserve">051-890-2762</t>
  </si>
  <si>
    <t xml:space="preserve">kys307@deu.ac.kr</t>
  </si>
  <si>
    <t xml:space="preserve">010-4841-1499</t>
  </si>
  <si>
    <t xml:space="preserve">주식회사 코너스</t>
  </si>
  <si>
    <t xml:space="preserve">jungho1cho@gmail.com</t>
  </si>
  <si>
    <t xml:space="preserve">서울특별시 성동구 상원1길 26, 서울숲A타워 806호</t>
  </si>
  <si>
    <t xml:space="preserve">안전·신뢰 / 인텔리가이드 &amp; 인텔리트윈</t>
  </si>
  <si>
    <t xml:space="preserve">유민영</t>
  </si>
  <si>
    <r>
      <rPr>
        <sz val="10"/>
        <rFont val="Arial"/>
        <family val="2"/>
        <charset val="1"/>
      </rPr>
      <t xml:space="preserve">AI</t>
    </r>
    <r>
      <rPr>
        <sz val="10"/>
        <rFont val="WenQuanYi Zen Hei"/>
        <family val="2"/>
      </rPr>
      <t xml:space="preserve">선행개발실 </t>
    </r>
    <r>
      <rPr>
        <sz val="10"/>
        <rFont val="Arial"/>
        <family val="2"/>
        <charset val="1"/>
      </rPr>
      <t xml:space="preserve">Generative AI</t>
    </r>
    <r>
      <rPr>
        <sz val="10"/>
        <rFont val="WenQuanYi Zen Hei"/>
        <family val="2"/>
      </rPr>
      <t xml:space="preserve">팀</t>
    </r>
  </si>
  <si>
    <t xml:space="preserve">이니넥스트 주식회사</t>
  </si>
  <si>
    <t xml:space="preserve">538-86-03729</t>
  </si>
  <si>
    <t xml:space="preserve">김철균</t>
  </si>
  <si>
    <t xml:space="preserve">02-6445-7096</t>
  </si>
  <si>
    <t xml:space="preserve">https://www.ininext.com/</t>
  </si>
  <si>
    <t xml:space="preserve">chcova82@gmail.com</t>
  </si>
  <si>
    <t xml:space="preserve">서울특별시 구로구 디지털로26길 61 에이스하이엔드타워 2차 11층</t>
  </si>
  <si>
    <r>
      <rPr>
        <sz val="10"/>
        <rFont val="Arial"/>
        <family val="2"/>
        <charset val="1"/>
      </rPr>
      <t xml:space="preserve">AI </t>
    </r>
    <r>
      <rPr>
        <sz val="10"/>
        <rFont val="WenQuanYi Zen Hei"/>
        <family val="2"/>
      </rPr>
      <t xml:space="preserve">보안</t>
    </r>
  </si>
  <si>
    <t xml:space="preserve">신영호</t>
  </si>
  <si>
    <r>
      <rPr>
        <sz val="10"/>
        <rFont val="Arial"/>
        <family val="2"/>
        <charset val="1"/>
      </rPr>
      <t xml:space="preserve">AX</t>
    </r>
    <r>
      <rPr>
        <sz val="10"/>
        <rFont val="WenQuanYi Zen Hei"/>
        <family val="2"/>
      </rPr>
      <t xml:space="preserve">사업실</t>
    </r>
  </si>
  <si>
    <t xml:space="preserve">02-6445-7215</t>
  </si>
  <si>
    <t xml:space="preserve">youngho.shin@ininext.com</t>
  </si>
  <si>
    <t xml:space="preserve">010-2502-0574</t>
  </si>
  <si>
    <t xml:space="preserve">이남수</t>
  </si>
  <si>
    <r>
      <rPr>
        <sz val="10"/>
        <rFont val="Arial"/>
        <family val="2"/>
        <charset val="1"/>
      </rPr>
      <t xml:space="preserve">AI</t>
    </r>
    <r>
      <rPr>
        <sz val="10"/>
        <rFont val="WenQuanYi Zen Hei"/>
        <family val="2"/>
      </rPr>
      <t xml:space="preserve">리드팀</t>
    </r>
  </si>
  <si>
    <t xml:space="preserve">namsu.yi@ininext.com</t>
  </si>
  <si>
    <t xml:space="preserve">010-9094-3053</t>
  </si>
  <si>
    <t xml:space="preserve">주식회사 오내피플</t>
  </si>
  <si>
    <t xml:space="preserve">463-87-00935</t>
  </si>
  <si>
    <t xml:space="preserve">조아영</t>
  </si>
  <si>
    <t xml:space="preserve">070-7776-8552</t>
  </si>
  <si>
    <t xml:space="preserve">https://www.catchsecu.com/</t>
  </si>
  <si>
    <t xml:space="preserve">jhnam@catchsecu.com</t>
  </si>
  <si>
    <t xml:space="preserve">서울특별시 중구 명동길 73, 페이지명동 6층 602호</t>
  </si>
  <si>
    <r>
      <rPr>
        <sz val="10"/>
        <rFont val="Arial"/>
        <family val="2"/>
        <charset val="1"/>
      </rPr>
      <t xml:space="preserve">AI </t>
    </r>
    <r>
      <rPr>
        <sz val="10"/>
        <rFont val="WenQuanYi Zen Hei"/>
        <family val="2"/>
      </rPr>
      <t xml:space="preserve">및 </t>
    </r>
    <r>
      <rPr>
        <sz val="10"/>
        <rFont val="Arial"/>
        <family val="2"/>
        <charset val="1"/>
      </rPr>
      <t xml:space="preserve">SaaS </t>
    </r>
    <r>
      <rPr>
        <sz val="10"/>
        <rFont val="WenQuanYi Zen Hei"/>
        <family val="2"/>
      </rPr>
      <t xml:space="preserve">기반 개인정보 컴플라이언스 자동화 서비스 </t>
    </r>
    <r>
      <rPr>
        <sz val="10"/>
        <rFont val="Arial"/>
        <family val="2"/>
        <charset val="1"/>
      </rPr>
      <t xml:space="preserve">"</t>
    </r>
    <r>
      <rPr>
        <sz val="10"/>
        <rFont val="WenQuanYi Zen Hei"/>
        <family val="2"/>
      </rPr>
      <t xml:space="preserve">캐치시큐</t>
    </r>
    <r>
      <rPr>
        <sz val="10"/>
        <rFont val="Arial"/>
        <family val="2"/>
        <charset val="1"/>
      </rPr>
      <t xml:space="preserve">"</t>
    </r>
  </si>
  <si>
    <t xml:space="preserve">남정효</t>
  </si>
  <si>
    <t xml:space="preserve">사업팀</t>
  </si>
  <si>
    <t xml:space="preserve">010-3283-7106</t>
  </si>
  <si>
    <t xml:space="preserve">주식회사 알체라</t>
  </si>
  <si>
    <t xml:space="preserve">643-87-00337</t>
  </si>
  <si>
    <t xml:space="preserve">황영규</t>
  </si>
  <si>
    <t xml:space="preserve">031-697-8961</t>
  </si>
  <si>
    <t xml:space="preserve">https://www.alchera.ai/</t>
  </si>
  <si>
    <t xml:space="preserve">ke.lee@alcherainc.com</t>
  </si>
  <si>
    <t xml:space="preserve">경기도 성남시 분당구 매화로 51, 302-648호</t>
  </si>
  <si>
    <t xml:space="preserve">비대면 인증 솔루션, 화재감지 솔루션, 인공지능학습용 데이터 구축 서비스</t>
  </si>
  <si>
    <t xml:space="preserve">이강의</t>
  </si>
  <si>
    <t xml:space="preserve">CRO</t>
  </si>
  <si>
    <t xml:space="preserve">010-7109-1937</t>
  </si>
  <si>
    <t xml:space="preserve">심현민</t>
  </si>
  <si>
    <t xml:space="preserve">DS</t>
  </si>
  <si>
    <t xml:space="preserve">010-2596-0498</t>
  </si>
  <si>
    <t xml:space="preserve">hm.sim@alcherainc.com</t>
  </si>
  <si>
    <t xml:space="preserve">주식회사 피앤피시큐어</t>
  </si>
  <si>
    <t xml:space="preserve">107-86-44093</t>
  </si>
  <si>
    <t xml:space="preserve">박천오</t>
  </si>
  <si>
    <t xml:space="preserve">02-6988-1100</t>
  </si>
  <si>
    <t xml:space="preserve">https://www.pnpsecure.com/</t>
  </si>
  <si>
    <t xml:space="preserve">julee@pnpsecure.com</t>
  </si>
  <si>
    <t xml:space="preserve">서울특별시 강서구 마곡서로 182(마곡동, 피앤피스테이션)</t>
  </si>
  <si>
    <t xml:space="preserve">통합 접근제어 및 보안 솔루션(DBSAFER, INFOSAFER, FaceLocker)</t>
  </si>
  <si>
    <t xml:space="preserve">진선태</t>
  </si>
  <si>
    <t xml:space="preserve">02-6988-1101</t>
  </si>
  <si>
    <t xml:space="preserve">zalhae@pnpsecure.com</t>
  </si>
  <si>
    <t xml:space="preserve">010-6327-4255</t>
  </si>
  <si>
    <t xml:space="preserve">이진욱</t>
  </si>
  <si>
    <t xml:space="preserve">정보보안기술연구소</t>
  </si>
  <si>
    <t xml:space="preserve">부장/수석연구원</t>
  </si>
  <si>
    <t xml:space="preserve">010-6988-1250</t>
  </si>
  <si>
    <t xml:space="preserve">010-9444-2078</t>
  </si>
  <si>
    <t xml:space="preserve">엔키아</t>
  </si>
  <si>
    <t xml:space="preserve">107-81-66898</t>
  </si>
  <si>
    <t xml:space="preserve">이일섭</t>
  </si>
  <si>
    <t xml:space="preserve">02-2057-8724</t>
  </si>
  <si>
    <t xml:space="preserve">https://www.nkia.co.kr/</t>
  </si>
  <si>
    <t xml:space="preserve">joyhunny@gmail.com</t>
  </si>
  <si>
    <t xml:space="preserve">경기도 성남시 분당구 대왕판교로 660 유스페이스1 B동 10층</t>
  </si>
  <si>
    <t xml:space="preserve">Agentic AI, Enterprise IT Monitoring Solution</t>
  </si>
  <si>
    <t xml:space="preserve">진원경</t>
  </si>
  <si>
    <r>
      <rPr>
        <sz val="10"/>
        <rFont val="Arial"/>
        <family val="2"/>
        <charset val="1"/>
      </rPr>
      <t xml:space="preserve">AI </t>
    </r>
    <r>
      <rPr>
        <sz val="10"/>
        <rFont val="WenQuanYi Zen Hei"/>
        <family val="2"/>
      </rPr>
      <t xml:space="preserve">연구소</t>
    </r>
  </si>
  <si>
    <t xml:space="preserve">010-6490-9169</t>
  </si>
  <si>
    <t xml:space="preserve">wjin@nkia.co.kr</t>
  </si>
  <si>
    <t xml:space="preserve">신기훈</t>
  </si>
  <si>
    <t xml:space="preserve">010-8755-2355</t>
  </si>
  <si>
    <t xml:space="preserve">joyhunny@nkia.co.kr</t>
  </si>
  <si>
    <t xml:space="preserve">디엑스웍스 주식회사</t>
  </si>
  <si>
    <t xml:space="preserve">323-88-02011</t>
  </si>
  <si>
    <t xml:space="preserve">장후규</t>
  </si>
  <si>
    <t xml:space="preserve">070-8656-0670</t>
  </si>
  <si>
    <t xml:space="preserve">dxworks.io</t>
  </si>
  <si>
    <t xml:space="preserve">danny.dxworks@gmail.com</t>
  </si>
  <si>
    <t xml:space="preserve">대구광역시 동구 경대로36, 무지개빌딩 6층</t>
  </si>
  <si>
    <r>
      <rPr>
        <sz val="10"/>
        <rFont val="Arial"/>
        <family val="2"/>
        <charset val="1"/>
      </rPr>
      <t xml:space="preserve">MLOps </t>
    </r>
    <r>
      <rPr>
        <sz val="10"/>
        <rFont val="WenQuanYi Zen Hei"/>
        <family val="2"/>
      </rPr>
      <t xml:space="preserve">플랫폼 </t>
    </r>
    <r>
      <rPr>
        <sz val="10"/>
        <rFont val="Arial"/>
        <family val="2"/>
        <charset val="1"/>
      </rPr>
      <t xml:space="preserve">'AX Nexus'</t>
    </r>
    <r>
      <rPr>
        <sz val="10"/>
        <rFont val="WenQuanYi Zen Hei"/>
        <family val="2"/>
      </rPr>
      <t xml:space="preserve">와 </t>
    </r>
    <r>
      <rPr>
        <sz val="10"/>
        <rFont val="Arial"/>
        <family val="2"/>
        <charset val="1"/>
      </rPr>
      <t xml:space="preserve">Agentic </t>
    </r>
    <r>
      <rPr>
        <sz val="10"/>
        <rFont val="WenQuanYi Zen Hei"/>
        <family val="2"/>
      </rPr>
      <t xml:space="preserve">블록체인 </t>
    </r>
    <r>
      <rPr>
        <sz val="10"/>
        <rFont val="Arial"/>
        <family val="2"/>
        <charset val="1"/>
      </rPr>
      <t xml:space="preserve">'DX Ledger Agentic'</t>
    </r>
  </si>
  <si>
    <t xml:space="preserve">디엑스웍스</t>
  </si>
  <si>
    <t xml:space="preserve">010-9176-6040</t>
  </si>
  <si>
    <t xml:space="preserve">eric.jang@dxworks.kr</t>
  </si>
  <si>
    <t xml:space="preserve">이강호</t>
  </si>
  <si>
    <t xml:space="preserve">Business Analyst Team</t>
  </si>
  <si>
    <t xml:space="preserve">010-7148-4120</t>
  </si>
  <si>
    <t xml:space="preserve">felix.lee@dxworks.kr</t>
  </si>
  <si>
    <t xml:space="preserve">주식회사 거비메타</t>
  </si>
  <si>
    <t xml:space="preserve">219-87-02578</t>
  </si>
  <si>
    <t xml:space="preserve">신대영</t>
  </si>
  <si>
    <t xml:space="preserve">032-833-0020</t>
  </si>
  <si>
    <t xml:space="preserve">http://www.gubimeta.com</t>
  </si>
  <si>
    <t xml:space="preserve">seyuncom@gmail.com</t>
  </si>
  <si>
    <t xml:space="preserve">인천광역시 연수구 갯벌로 12 갯벌타워 1609호</t>
  </si>
  <si>
    <r>
      <rPr>
        <sz val="10"/>
        <rFont val="Arial"/>
        <family val="2"/>
        <charset val="1"/>
      </rPr>
      <t xml:space="preserve">1. </t>
    </r>
    <r>
      <rPr>
        <sz val="10"/>
        <rFont val="WenQuanYi Zen Hei"/>
        <family val="2"/>
      </rPr>
      <t xml:space="preserve">전문 분야</t>
    </r>
    <r>
      <rPr>
        <sz val="10"/>
        <rFont val="Arial"/>
        <family val="2"/>
        <charset val="1"/>
      </rPr>
      <t xml:space="preserve">: </t>
    </r>
    <r>
      <rPr>
        <sz val="10"/>
        <rFont val="WenQuanYi Zen Hei"/>
        <family val="2"/>
      </rPr>
      <t xml:space="preserve">기계산업 도메인 특화 자율형 지식 에이전트 </t>
    </r>
    <r>
      <rPr>
        <sz val="10"/>
        <rFont val="Arial"/>
        <family val="2"/>
        <charset val="1"/>
      </rPr>
      <t xml:space="preserve">2. </t>
    </r>
    <r>
      <rPr>
        <sz val="10"/>
        <rFont val="WenQuanYi Zen Hei"/>
        <family val="2"/>
      </rPr>
      <t xml:space="preserve">보유 기술 및 서비스 </t>
    </r>
    <r>
      <rPr>
        <sz val="10"/>
        <rFont val="Arial"/>
        <family val="2"/>
        <charset val="1"/>
      </rPr>
      <t xml:space="preserve">(Current Core)  - </t>
    </r>
    <r>
      <rPr>
        <sz val="10"/>
        <rFont val="WenQuanYi Zen Hei"/>
        <family val="2"/>
      </rPr>
      <t xml:space="preserve">기계산업 도메인 지식</t>
    </r>
    <r>
      <rPr>
        <sz val="10"/>
        <rFont val="Arial"/>
        <family val="2"/>
        <charset val="1"/>
      </rPr>
      <t xml:space="preserve">(knowledge) </t>
    </r>
    <r>
      <rPr>
        <sz val="10"/>
        <rFont val="WenQuanYi Zen Hei"/>
        <family val="2"/>
      </rPr>
      <t xml:space="preserve">특화 지식 베이스</t>
    </r>
    <r>
      <rPr>
        <sz val="10"/>
        <rFont val="Arial"/>
        <family val="2"/>
        <charset val="1"/>
      </rPr>
      <t xml:space="preserve">: </t>
    </r>
    <r>
      <rPr>
        <sz val="10"/>
        <rFont val="WenQuanYi Zen Hei"/>
        <family val="2"/>
      </rPr>
      <t xml:space="preserve">문서</t>
    </r>
    <r>
      <rPr>
        <sz val="10"/>
        <rFont val="Arial"/>
        <family val="2"/>
        <charset val="1"/>
      </rPr>
      <t xml:space="preserve">(</t>
    </r>
    <r>
      <rPr>
        <sz val="10"/>
        <rFont val="WenQuanYi Zen Hei"/>
        <family val="2"/>
      </rPr>
      <t xml:space="preserve">매뉴얼</t>
    </r>
    <r>
      <rPr>
        <sz val="10"/>
        <rFont val="Arial"/>
        <family val="2"/>
        <charset val="1"/>
      </rPr>
      <t xml:space="preserve">, </t>
    </r>
    <r>
      <rPr>
        <sz val="10"/>
        <rFont val="WenQuanYi Zen Hei"/>
        <family val="2"/>
      </rPr>
      <t xml:space="preserve">카탈로그</t>
    </r>
    <r>
      <rPr>
        <sz val="10"/>
        <rFont val="Arial"/>
        <family val="2"/>
        <charset val="1"/>
      </rPr>
      <t xml:space="preserve">, etc.) </t>
    </r>
    <r>
      <rPr>
        <sz val="10"/>
        <rFont val="WenQuanYi Zen Hei"/>
        <family val="2"/>
      </rPr>
      <t xml:space="preserve">기반 마스터 데이터셋 구축 완료  </t>
    </r>
    <r>
      <rPr>
        <sz val="10"/>
        <rFont val="Arial"/>
        <family val="2"/>
        <charset val="1"/>
      </rPr>
      <t xml:space="preserve">- </t>
    </r>
    <r>
      <rPr>
        <sz val="10"/>
        <rFont val="WenQuanYi Zen Hei"/>
        <family val="2"/>
      </rPr>
      <t xml:space="preserve">지능형 지식 추출</t>
    </r>
    <r>
      <rPr>
        <sz val="10"/>
        <rFont val="Arial"/>
        <family val="2"/>
        <charset val="1"/>
      </rPr>
      <t xml:space="preserve">: LLM </t>
    </r>
    <r>
      <rPr>
        <sz val="10"/>
        <rFont val="WenQuanYi Zen Hei"/>
        <family val="2"/>
      </rPr>
      <t xml:space="preserve">및 </t>
    </r>
    <r>
      <rPr>
        <sz val="10"/>
        <rFont val="Arial"/>
        <family val="2"/>
        <charset val="1"/>
      </rPr>
      <t xml:space="preserve">RAG </t>
    </r>
    <r>
      <rPr>
        <sz val="10"/>
        <rFont val="WenQuanYi Zen Hei"/>
        <family val="2"/>
      </rPr>
      <t xml:space="preserve">기술을 활용한 도메인 맞춤형 질의응답 엔진 보유  </t>
    </r>
    <r>
      <rPr>
        <sz val="10"/>
        <rFont val="Arial"/>
        <family val="2"/>
        <charset val="1"/>
      </rPr>
      <t xml:space="preserve">- </t>
    </r>
    <r>
      <rPr>
        <sz val="10"/>
        <rFont val="WenQuanYi Zen Hei"/>
        <family val="2"/>
      </rPr>
      <t xml:space="preserve">멀티모달 가이드</t>
    </r>
    <r>
      <rPr>
        <sz val="10"/>
        <rFont val="Arial"/>
        <family val="2"/>
        <charset val="1"/>
      </rPr>
      <t xml:space="preserve">: </t>
    </r>
    <r>
      <rPr>
        <sz val="10"/>
        <rFont val="WenQuanYi Zen Hei"/>
        <family val="2"/>
      </rPr>
      <t xml:space="preserve">현장 작업자를 위한 음성 인터페이스 및 시각화 솔루션 운영 </t>
    </r>
    <r>
      <rPr>
        <sz val="10"/>
        <rFont val="Arial"/>
        <family val="2"/>
        <charset val="1"/>
      </rPr>
      <t xml:space="preserve">3. </t>
    </r>
    <r>
      <rPr>
        <sz val="10"/>
        <rFont val="WenQuanYi Zen Hei"/>
        <family val="2"/>
      </rPr>
      <t xml:space="preserve">기술 고도화 및 실증 계획 </t>
    </r>
    <r>
      <rPr>
        <sz val="10"/>
        <rFont val="Arial"/>
        <family val="2"/>
        <charset val="1"/>
      </rPr>
      <t xml:space="preserve">(Future Road-map)  - </t>
    </r>
    <r>
      <rPr>
        <sz val="10"/>
        <rFont val="WenQuanYi Zen Hei"/>
        <family val="2"/>
      </rPr>
      <t xml:space="preserve">시각 지능 확장</t>
    </r>
    <r>
      <rPr>
        <sz val="10"/>
        <rFont val="Arial"/>
        <family val="2"/>
        <charset val="1"/>
      </rPr>
      <t xml:space="preserve">: </t>
    </r>
    <r>
      <rPr>
        <sz val="10"/>
        <rFont val="WenQuanYi Zen Hei"/>
        <family val="2"/>
      </rPr>
      <t xml:space="preserve">실물 부품 및 회로도 인식을 통한 매칭 기술 고도화 진행 중  </t>
    </r>
    <r>
      <rPr>
        <sz val="10"/>
        <rFont val="Arial"/>
        <family val="2"/>
        <charset val="1"/>
      </rPr>
      <t xml:space="preserve">- </t>
    </r>
    <r>
      <rPr>
        <sz val="10"/>
        <rFont val="WenQuanYi Zen Hei"/>
        <family val="2"/>
      </rPr>
      <t xml:space="preserve">자율 실행 환경</t>
    </r>
    <r>
      <rPr>
        <sz val="10"/>
        <rFont val="Arial"/>
        <family val="2"/>
        <charset val="1"/>
      </rPr>
      <t xml:space="preserve">: </t>
    </r>
    <r>
      <rPr>
        <sz val="10"/>
        <rFont val="WenQuanYi Zen Hei"/>
        <family val="2"/>
      </rPr>
      <t xml:space="preserve">진단 결과에 따른 구매 연동 등 실행형</t>
    </r>
    <r>
      <rPr>
        <sz val="10"/>
        <rFont val="Arial"/>
        <family val="2"/>
        <charset val="1"/>
      </rPr>
      <t xml:space="preserve">(Actionable) </t>
    </r>
    <r>
      <rPr>
        <sz val="10"/>
        <rFont val="WenQuanYi Zen Hei"/>
        <family val="2"/>
      </rPr>
      <t xml:space="preserve">기능 실증 추진</t>
    </r>
  </si>
  <si>
    <t xml:space="preserve">daeyoung.shin@gubimeta.com</t>
  </si>
  <si>
    <t xml:space="preserve">010-9083-6313</t>
  </si>
  <si>
    <t xml:space="preserve">이세연</t>
  </si>
  <si>
    <t xml:space="preserve">연구개발팀</t>
  </si>
  <si>
    <t xml:space="preserve">seyuncom@gubimeta.com</t>
  </si>
  <si>
    <t xml:space="preserve">010-2089-8965</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</si>
  <si>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시스윌</t>
    </r>
  </si>
  <si>
    <t xml:space="preserve">671-88-01342</t>
  </si>
  <si>
    <t xml:space="preserve">차성웅</t>
  </si>
  <si>
    <t xml:space="preserve">070-4469-0409</t>
  </si>
  <si>
    <t xml:space="preserve">www.syswill.com</t>
  </si>
  <si>
    <t xml:space="preserve">newzest27@gmail.com</t>
  </si>
  <si>
    <t xml:space="preserve">서울시 마포구 매봉산로 37 DMC산학협력센터 1202호</t>
  </si>
  <si>
    <t xml:space="preserve">영상인식, 의사결정AI, LLM 데이터분석</t>
  </si>
  <si>
    <t xml:space="preserve">영업본부</t>
  </si>
  <si>
    <t xml:space="preserve">andrewcha69@syswill.com</t>
  </si>
  <si>
    <t xml:space="preserve">010-5047-5601</t>
  </si>
  <si>
    <t xml:space="preserve">현기호</t>
  </si>
  <si>
    <t xml:space="preserve">이사/연구소장</t>
  </si>
  <si>
    <t xml:space="preserve">kiho00@syswill.com</t>
  </si>
  <si>
    <t xml:space="preserve">010-3199-9685</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</si>
  <si>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씽크포비엘</t>
    </r>
  </si>
  <si>
    <t xml:space="preserve">120-87-26168</t>
  </si>
  <si>
    <t xml:space="preserve">박지환</t>
  </si>
  <si>
    <t xml:space="preserve">02-562-6545</t>
  </si>
  <si>
    <t xml:space="preserve">www.thinkforbl.com</t>
  </si>
  <si>
    <t xml:space="preserve">pmjdiana@gmail.com</t>
  </si>
  <si>
    <t xml:space="preserve">서울특별시 강남구 역삼동 746 PMK빌딩 8층</t>
  </si>
  <si>
    <r>
      <rPr>
        <sz val="10"/>
        <rFont val="Arial"/>
        <family val="2"/>
        <charset val="1"/>
      </rPr>
      <t xml:space="preserve">AI </t>
    </r>
    <r>
      <rPr>
        <sz val="10"/>
        <rFont val="WenQuanYi Zen Hei"/>
        <family val="2"/>
      </rPr>
      <t xml:space="preserve">신뢰성 확보 교육</t>
    </r>
    <r>
      <rPr>
        <sz val="10"/>
        <rFont val="Arial"/>
        <family val="2"/>
        <charset val="1"/>
      </rPr>
      <t xml:space="preserve">/</t>
    </r>
    <r>
      <rPr>
        <sz val="10"/>
        <rFont val="WenQuanYi Zen Hei"/>
        <family val="2"/>
      </rPr>
      <t xml:space="preserve">자격증 및 컨설팅 서비스</t>
    </r>
    <r>
      <rPr>
        <sz val="10"/>
        <rFont val="Arial"/>
        <family val="2"/>
        <charset val="1"/>
      </rPr>
      <t xml:space="preserve">, </t>
    </r>
    <r>
      <rPr>
        <sz val="10"/>
        <rFont val="WenQuanYi Zen Hei"/>
        <family val="2"/>
      </rPr>
      <t xml:space="preserve">데이터 편향</t>
    </r>
    <r>
      <rPr>
        <sz val="10"/>
        <rFont val="Arial"/>
        <family val="2"/>
        <charset val="1"/>
      </rPr>
      <t xml:space="preserve">(</t>
    </r>
    <r>
      <rPr>
        <sz val="10"/>
        <rFont val="WenQuanYi Zen Hei"/>
        <family val="2"/>
      </rPr>
      <t xml:space="preserve">충실도</t>
    </r>
    <r>
      <rPr>
        <sz val="10"/>
        <rFont val="Arial"/>
        <family val="2"/>
        <charset val="1"/>
      </rPr>
      <t xml:space="preserve">) </t>
    </r>
    <r>
      <rPr>
        <sz val="10"/>
        <rFont val="WenQuanYi Zen Hei"/>
        <family val="2"/>
      </rPr>
      <t xml:space="preserve">진단 도구 및 </t>
    </r>
    <r>
      <rPr>
        <sz val="10"/>
        <rFont val="Arial"/>
        <family val="2"/>
        <charset val="1"/>
      </rPr>
      <t xml:space="preserve">AI </t>
    </r>
    <r>
      <rPr>
        <sz val="10"/>
        <rFont val="WenQuanYi Zen Hei"/>
        <family val="2"/>
      </rPr>
      <t xml:space="preserve">견고성 평가 도구</t>
    </r>
    <r>
      <rPr>
        <sz val="10"/>
        <rFont val="Arial"/>
        <family val="2"/>
        <charset val="1"/>
      </rPr>
      <t xml:space="preserve">, AI </t>
    </r>
    <r>
      <rPr>
        <sz val="10"/>
        <rFont val="WenQuanYi Zen Hei"/>
        <family val="2"/>
      </rPr>
      <t xml:space="preserve">신뢰성 교육 도구</t>
    </r>
  </si>
  <si>
    <t xml:space="preserve">jihwan.park@thinkforbl.com</t>
  </si>
  <si>
    <t xml:space="preserve">010-4224-4081</t>
  </si>
  <si>
    <t xml:space="preserve">휴심정AX</t>
  </si>
  <si>
    <t xml:space="preserve">882-07-02898</t>
  </si>
  <si>
    <t xml:space="preserve">서근종</t>
  </si>
  <si>
    <t xml:space="preserve">010-4349-8021</t>
  </si>
  <si>
    <t xml:space="preserve">.</t>
  </si>
  <si>
    <t xml:space="preserve">loelinsi@gmail.com</t>
  </si>
  <si>
    <t xml:space="preserve">광주광역시 광산구 임방울대로 611-23, 1층</t>
  </si>
  <si>
    <r>
      <rPr>
        <sz val="10"/>
        <rFont val="Arial"/>
        <family val="2"/>
        <charset val="1"/>
      </rPr>
      <t xml:space="preserve">1)</t>
    </r>
    <r>
      <rPr>
        <sz val="10"/>
        <rFont val="WenQuanYi Zen Hei"/>
        <family val="2"/>
      </rPr>
      <t xml:space="preserve">저전력 </t>
    </r>
    <r>
      <rPr>
        <sz val="10"/>
        <rFont val="Arial"/>
        <family val="2"/>
        <charset val="1"/>
      </rPr>
      <t xml:space="preserve">Edge </t>
    </r>
    <r>
      <rPr>
        <sz val="10"/>
        <rFont val="WenQuanYi Zen Hei"/>
        <family val="2"/>
      </rPr>
      <t xml:space="preserve">단 기반</t>
    </r>
    <r>
      <rPr>
        <sz val="10"/>
        <rFont val="Arial"/>
        <family val="2"/>
        <charset val="1"/>
      </rPr>
      <t xml:space="preserve">, </t>
    </r>
    <r>
      <rPr>
        <sz val="10"/>
        <rFont val="WenQuanYi Zen Hei"/>
        <family val="2"/>
      </rPr>
      <t xml:space="preserve">사고예방솔루션 </t>
    </r>
    <r>
      <rPr>
        <sz val="10"/>
        <rFont val="Arial"/>
        <family val="2"/>
        <charset val="1"/>
      </rPr>
      <t xml:space="preserve">2)</t>
    </r>
    <r>
      <rPr>
        <sz val="10"/>
        <rFont val="WenQuanYi Zen Hei"/>
        <family val="2"/>
      </rPr>
      <t xml:space="preserve">주차 관리</t>
    </r>
    <r>
      <rPr>
        <sz val="10"/>
        <rFont val="Arial"/>
        <family val="2"/>
        <charset val="1"/>
      </rPr>
      <t xml:space="preserve">, </t>
    </r>
    <r>
      <rPr>
        <sz val="10"/>
        <rFont val="WenQuanYi Zen Hei"/>
        <family val="2"/>
      </rPr>
      <t xml:space="preserve">관제 솔루션 </t>
    </r>
    <r>
      <rPr>
        <sz val="10"/>
        <rFont val="Arial"/>
        <family val="2"/>
        <charset val="1"/>
      </rPr>
      <t xml:space="preserve">3)</t>
    </r>
    <r>
      <rPr>
        <sz val="10"/>
        <rFont val="WenQuanYi Zen Hei"/>
        <family val="2"/>
      </rPr>
      <t xml:space="preserve">생육환경 최적제어</t>
    </r>
  </si>
  <si>
    <t xml:space="preserve">hyusimjeong01@gmail.com</t>
  </si>
  <si>
    <t xml:space="preserve">박선양</t>
  </si>
  <si>
    <t xml:space="preserve">010-7310-1184</t>
  </si>
  <si>
    <t xml:space="preserve">hyusimjeong02@gmail.com</t>
  </si>
  <si>
    <t xml:space="preserve">주식회사 크랜베리</t>
  </si>
  <si>
    <t xml:space="preserve">192-87-02481</t>
  </si>
  <si>
    <t xml:space="preserve">이은혜</t>
  </si>
  <si>
    <t xml:space="preserve">02-854-8115</t>
  </si>
  <si>
    <t xml:space="preserve">https://www.cberry.co.kr/</t>
  </si>
  <si>
    <t xml:space="preserve">tyjtrheerg@gmail.com</t>
  </si>
  <si>
    <t xml:space="preserve">서울특별시 금천구 가산디지털1로 225 (우)08501</t>
  </si>
  <si>
    <t xml:space="preserve">멀티모달 기반 실시간 이상상황 인지 솔루션</t>
  </si>
  <si>
    <t xml:space="preserve">010-6361-9484</t>
  </si>
  <si>
    <t xml:space="preserve">hero2102@naver.com</t>
  </si>
  <si>
    <t xml:space="preserve">고현준</t>
  </si>
  <si>
    <t xml:space="preserve">미래전략</t>
  </si>
  <si>
    <t xml:space="preserve">010-7471-1618</t>
  </si>
  <si>
    <t xml:space="preserve">대구디지털혁신진흥원</t>
  </si>
  <si>
    <t xml:space="preserve">514-82-08846</t>
  </si>
  <si>
    <t xml:space="preserve">민정기</t>
  </si>
  <si>
    <t xml:space="preserve">053-655-6891</t>
  </si>
  <si>
    <t xml:space="preserve">www.dip.or.kr</t>
  </si>
  <si>
    <t xml:space="preserve">sunghhakim@gmail.com</t>
  </si>
  <si>
    <t xml:space="preserve">대구 수성구 알파시티1로 170</t>
  </si>
  <si>
    <r>
      <rPr>
        <sz val="10"/>
        <rFont val="Arial"/>
        <family val="2"/>
        <charset val="1"/>
      </rPr>
      <t xml:space="preserve">KOLAS </t>
    </r>
    <r>
      <rPr>
        <sz val="10"/>
        <rFont val="WenQuanYi Zen Hei"/>
        <family val="2"/>
      </rPr>
      <t xml:space="preserve">공인시험기관</t>
    </r>
    <r>
      <rPr>
        <sz val="10"/>
        <rFont val="Arial"/>
        <family val="2"/>
        <charset val="1"/>
      </rPr>
      <t xml:space="preserve">(ISO/IEC TS 4213</t>
    </r>
  </si>
  <si>
    <t xml:space="preserve">김성하</t>
  </si>
  <si>
    <r>
      <rPr>
        <sz val="10"/>
        <rFont val="Arial"/>
        <family val="2"/>
        <charset val="1"/>
      </rPr>
      <t xml:space="preserve">AI</t>
    </r>
    <r>
      <rPr>
        <sz val="10"/>
        <rFont val="WenQuanYi Zen Hei"/>
        <family val="2"/>
      </rPr>
      <t xml:space="preserve">품질역량센터</t>
    </r>
  </si>
  <si>
    <t xml:space="preserve">ksh@dip.or.kr</t>
  </si>
  <si>
    <t xml:space="preserve">010-2928-1738</t>
  </si>
  <si>
    <t xml:space="preserve">유지환</t>
  </si>
  <si>
    <t xml:space="preserve">전임</t>
  </si>
  <si>
    <t xml:space="preserve">053-655-5652</t>
  </si>
  <si>
    <t xml:space="preserve">zero@dip.or.kr</t>
  </si>
  <si>
    <t xml:space="preserve">010-2032-8965</t>
  </si>
  <si>
    <t xml:space="preserve">경찰청</t>
  </si>
  <si>
    <t xml:space="preserve">110-83-00902</t>
  </si>
  <si>
    <t xml:space="preserve">유재성</t>
  </si>
  <si>
    <t xml:space="preserve">https://www.police.go.kr/</t>
  </si>
  <si>
    <t xml:space="preserve">yuhi950104@gmail.com</t>
  </si>
  <si>
    <t xml:space="preserve">서울특별시 서대문구 통일로 97(미근동)</t>
  </si>
  <si>
    <r>
      <rPr>
        <sz val="10"/>
        <rFont val="Arial"/>
        <family val="2"/>
        <charset val="1"/>
      </rPr>
      <t xml:space="preserve">AI </t>
    </r>
    <r>
      <rPr>
        <sz val="10"/>
        <rFont val="WenQuanYi Zen Hei"/>
        <family val="2"/>
      </rPr>
      <t xml:space="preserve">기반 딥페이크 및 보이스피싱 범죄 수사 등</t>
    </r>
  </si>
  <si>
    <t xml:space="preserve">도준수</t>
  </si>
  <si>
    <t xml:space="preserve">미래치안정책국</t>
  </si>
  <si>
    <t xml:space="preserve">국장</t>
  </si>
  <si>
    <t xml:space="preserve">02-3150-2040</t>
  </si>
  <si>
    <t xml:space="preserve">djs014@police.go.kr</t>
  </si>
  <si>
    <t xml:space="preserve">010-6692-2400</t>
  </si>
  <si>
    <t xml:space="preserve">이치화</t>
  </si>
  <si>
    <t xml:space="preserve">미래치안정책과</t>
  </si>
  <si>
    <t xml:space="preserve">계장</t>
  </si>
  <si>
    <t xml:space="preserve">02-3150-1419</t>
  </si>
  <si>
    <t xml:space="preserve">chi0526@police.go.kr</t>
  </si>
  <si>
    <t xml:space="preserve">010-2782-8032</t>
  </si>
  <si>
    <t xml:space="preserve">주식회사 큐로드</t>
  </si>
  <si>
    <t xml:space="preserve">120-88-24018</t>
  </si>
  <si>
    <t xml:space="preserve">길호웅</t>
  </si>
  <si>
    <t xml:space="preserve">02-6205-6181</t>
  </si>
  <si>
    <t xml:space="preserve">https://qroad.net/ko</t>
  </si>
  <si>
    <t xml:space="preserve">서울특별시 영등포구 국회대로70길 18 한양빌딩 5층</t>
  </si>
  <si>
    <r>
      <rPr>
        <sz val="10"/>
        <rFont val="Arial"/>
        <family val="2"/>
        <charset val="1"/>
      </rPr>
      <t xml:space="preserve">1. AI</t>
    </r>
    <r>
      <rPr>
        <sz val="10"/>
        <rFont val="WenQuanYi Zen Hei"/>
        <family val="2"/>
      </rPr>
      <t xml:space="preserve">리스크 관리 표준을 위한 검증 도구</t>
    </r>
    <r>
      <rPr>
        <sz val="10"/>
        <rFont val="Arial"/>
        <family val="2"/>
        <charset val="1"/>
      </rPr>
      <t xml:space="preserve">(</t>
    </r>
    <r>
      <rPr>
        <sz val="10"/>
        <rFont val="WenQuanYi Zen Hei"/>
        <family val="2"/>
      </rPr>
      <t xml:space="preserve">제품명</t>
    </r>
    <r>
      <rPr>
        <sz val="10"/>
        <rFont val="Arial"/>
        <family val="2"/>
        <charset val="1"/>
      </rPr>
      <t xml:space="preserve">:TrustOps), 2. </t>
    </r>
    <r>
      <rPr>
        <sz val="10"/>
        <rFont val="WenQuanYi Zen Hei"/>
        <family val="2"/>
      </rPr>
      <t xml:space="preserve">온라인콘텐츠 마케팅</t>
    </r>
    <r>
      <rPr>
        <sz val="10"/>
        <rFont val="Arial"/>
        <family val="2"/>
        <charset val="1"/>
      </rPr>
      <t xml:space="preserve">, QA(Test), CS </t>
    </r>
    <r>
      <rPr>
        <sz val="10"/>
        <rFont val="WenQuanYi Zen Hei"/>
        <family val="2"/>
      </rPr>
      <t xml:space="preserve">업무 자동화를 위한 </t>
    </r>
    <r>
      <rPr>
        <sz val="10"/>
        <rFont val="Arial"/>
        <family val="2"/>
        <charset val="1"/>
      </rPr>
      <t xml:space="preserve">AI</t>
    </r>
    <r>
      <rPr>
        <sz val="10"/>
        <rFont val="WenQuanYi Zen Hei"/>
        <family val="2"/>
      </rPr>
      <t xml:space="preserve">솔루션</t>
    </r>
    <r>
      <rPr>
        <sz val="10"/>
        <rFont val="Arial"/>
        <family val="2"/>
        <charset val="1"/>
      </rPr>
      <t xml:space="preserve">(</t>
    </r>
    <r>
      <rPr>
        <sz val="10"/>
        <rFont val="WenQuanYi Zen Hei"/>
        <family val="2"/>
      </rPr>
      <t xml:space="preserve">제품명</t>
    </r>
    <r>
      <rPr>
        <sz val="10"/>
        <rFont val="Arial"/>
        <family val="2"/>
        <charset val="1"/>
      </rPr>
      <t xml:space="preserve">:reBots)</t>
    </r>
  </si>
  <si>
    <t xml:space="preserve">변남용</t>
  </si>
  <si>
    <t xml:space="preserve">010-2166-3013</t>
  </si>
  <si>
    <t xml:space="preserve">byunna@qroad.net</t>
  </si>
  <si>
    <t xml:space="preserve">서울대학교</t>
  </si>
  <si>
    <t xml:space="preserve">해당사항 없음</t>
  </si>
  <si>
    <t xml:space="preserve">02-880-9768</t>
  </si>
  <si>
    <t xml:space="preserve">https://gsds.snu.ac.kr/</t>
  </si>
  <si>
    <t xml:space="preserve">서울특별시 관악구 관악로 1 서울대학교 43동 </t>
  </si>
  <si>
    <r>
      <rPr>
        <sz val="10"/>
        <rFont val="Arial"/>
        <family val="2"/>
        <charset val="1"/>
      </rPr>
      <t xml:space="preserve">AI </t>
    </r>
    <r>
      <rPr>
        <sz val="10"/>
        <rFont val="WenQuanYi Zen Hei"/>
        <family val="2"/>
      </rPr>
      <t xml:space="preserve">전반 연구 및 교육 </t>
    </r>
  </si>
  <si>
    <t xml:space="preserve">김희진 </t>
  </si>
  <si>
    <t xml:space="preserve">데이터사이언스대학원 </t>
  </si>
  <si>
    <t xml:space="preserve">객원조교수</t>
  </si>
  <si>
    <t xml:space="preserve">010-2871-0193</t>
  </si>
  <si>
    <t xml:space="preserve">kheejin@snu.ac.kr </t>
  </si>
  <si>
    <t xml:space="preserve">이상의 참여자 정보와 동일 </t>
  </si>
  <si>
    <t xml:space="preserve">명지대학교</t>
  </si>
  <si>
    <t xml:space="preserve">110-82-00297</t>
  </si>
  <si>
    <t xml:space="preserve">신혜련</t>
  </si>
  <si>
    <t xml:space="preserve">02-300-0677</t>
  </si>
  <si>
    <t xml:space="preserve">www.mju.ac.kr</t>
  </si>
  <si>
    <t xml:space="preserve">서울시 서대문구 거북골로34 명지대학교 인문캠퍼스 종합관 1803호</t>
  </si>
  <si>
    <t xml:space="preserve">게임 도메인 관련 AI</t>
  </si>
  <si>
    <t xml:space="preserve"> 인공지능·소프트웨어융합대학 디지털콘텐츠디자인학과</t>
  </si>
  <si>
    <t xml:space="preserve">부교수/학과장</t>
  </si>
  <si>
    <t xml:space="preserve">magnolia@mju.ac.kr</t>
  </si>
  <si>
    <t xml:space="preserve">010202815964</t>
  </si>
  <si>
    <t xml:space="preserve">이유철</t>
  </si>
  <si>
    <t xml:space="preserve">인공지능·소프트웨어융합대학 디지털콘텐츠디자인학과</t>
  </si>
  <si>
    <t xml:space="preserve">yoochul69@mju.ac.kr</t>
  </si>
  <si>
    <t xml:space="preserve">010-5266-6700</t>
  </si>
  <si>
    <t xml:space="preserve">㈜야타브</t>
  </si>
  <si>
    <t xml:space="preserve">750-88-01121</t>
  </si>
  <si>
    <t xml:space="preserve">이성찬</t>
  </si>
  <si>
    <t xml:space="preserve">02-2039-0633</t>
  </si>
  <si>
    <t xml:space="preserve">https://www.yatavent.com/</t>
  </si>
  <si>
    <t xml:space="preserve">서울특별시 성동구 성수이로22길 37 아크밸리지식산업센터 305A</t>
  </si>
  <si>
    <r>
      <rPr>
        <sz val="10"/>
        <rFont val="Arial"/>
        <family val="2"/>
        <charset val="1"/>
      </rPr>
      <t xml:space="preserve">IEGIS, AI Guardrail SaaS, PALADIN, HalluRank, Research &amp; Safety Lab, Aegis Personal, HomiClaw, AI Studio</t>
    </r>
    <r>
      <rPr>
        <sz val="10"/>
        <rFont val="WenQuanYi Zen Hei"/>
        <family val="2"/>
      </rPr>
      <t xml:space="preserve">를 중심으로 </t>
    </r>
    <r>
      <rPr>
        <sz val="10"/>
        <rFont val="Arial"/>
        <family val="2"/>
        <charset val="1"/>
      </rPr>
      <t xml:space="preserve">AI </t>
    </r>
    <r>
      <rPr>
        <sz val="10"/>
        <rFont val="WenQuanYi Zen Hei"/>
        <family val="2"/>
      </rPr>
      <t xml:space="preserve">보안</t>
    </r>
    <r>
      <rPr>
        <sz val="10"/>
        <rFont val="Arial"/>
        <family val="2"/>
        <charset val="1"/>
      </rPr>
      <t xml:space="preserve">, </t>
    </r>
    <r>
      <rPr>
        <sz val="10"/>
        <rFont val="WenQuanYi Zen Hei"/>
        <family val="2"/>
      </rPr>
      <t xml:space="preserve">실시간 안전성 검증</t>
    </r>
    <r>
      <rPr>
        <sz val="10"/>
        <rFont val="Arial"/>
        <family val="2"/>
        <charset val="1"/>
      </rPr>
      <t xml:space="preserve">, </t>
    </r>
    <r>
      <rPr>
        <sz val="10"/>
        <rFont val="WenQuanYi Zen Hei"/>
        <family val="2"/>
      </rPr>
      <t xml:space="preserve">할루시네이션 방지</t>
    </r>
    <r>
      <rPr>
        <sz val="10"/>
        <rFont val="Arial"/>
        <family val="2"/>
        <charset val="1"/>
      </rPr>
      <t xml:space="preserve">, </t>
    </r>
    <r>
      <rPr>
        <sz val="10"/>
        <rFont val="WenQuanYi Zen Hei"/>
        <family val="2"/>
      </rPr>
      <t xml:space="preserve">개인정보 보호</t>
    </r>
    <r>
      <rPr>
        <sz val="10"/>
        <rFont val="Arial"/>
        <family val="2"/>
        <charset val="1"/>
      </rPr>
      <t xml:space="preserve">, </t>
    </r>
    <r>
      <rPr>
        <sz val="10"/>
        <rFont val="WenQuanYi Zen Hei"/>
        <family val="2"/>
      </rPr>
      <t xml:space="preserve">맞춤형 기업용 </t>
    </r>
    <r>
      <rPr>
        <sz val="10"/>
        <rFont val="Arial"/>
        <family val="2"/>
        <charset val="1"/>
      </rPr>
      <t xml:space="preserve">AI </t>
    </r>
    <r>
      <rPr>
        <sz val="10"/>
        <rFont val="WenQuanYi Zen Hei"/>
        <family val="2"/>
      </rPr>
      <t xml:space="preserve">개발</t>
    </r>
    <r>
      <rPr>
        <sz val="10"/>
        <rFont val="Arial"/>
        <family val="2"/>
        <charset val="1"/>
      </rPr>
      <t xml:space="preserve">, </t>
    </r>
    <r>
      <rPr>
        <sz val="10"/>
        <rFont val="WenQuanYi Zen Hei"/>
        <family val="2"/>
      </rPr>
      <t xml:space="preserve">업무 자동화 에이전트</t>
    </r>
    <r>
      <rPr>
        <sz val="10"/>
        <rFont val="Arial"/>
        <family val="2"/>
        <charset val="1"/>
      </rPr>
      <t xml:space="preserve">, AI </t>
    </r>
    <r>
      <rPr>
        <sz val="10"/>
        <rFont val="WenQuanYi Zen Hei"/>
        <family val="2"/>
      </rPr>
      <t xml:space="preserve">컨설팅을 제공하는 기업용 </t>
    </r>
    <r>
      <rPr>
        <sz val="10"/>
        <rFont val="Arial"/>
        <family val="2"/>
        <charset val="1"/>
      </rPr>
      <t xml:space="preserve">AI </t>
    </r>
    <r>
      <rPr>
        <sz val="10"/>
        <rFont val="WenQuanYi Zen Hei"/>
        <family val="2"/>
      </rPr>
      <t xml:space="preserve">전문 기업입니다</t>
    </r>
    <r>
      <rPr>
        <sz val="10"/>
        <rFont val="Arial"/>
        <family val="2"/>
        <charset val="1"/>
      </rPr>
      <t xml:space="preserve">.</t>
    </r>
  </si>
  <si>
    <t xml:space="preserve">김광일</t>
  </si>
  <si>
    <t xml:space="preserve">010-7739-1119</t>
  </si>
  <si>
    <t xml:space="preserve">cac.kikim@gmail.com</t>
  </si>
  <si>
    <t xml:space="preserve">강석주</t>
  </si>
  <si>
    <t xml:space="preserve">CISO</t>
  </si>
  <si>
    <t xml:space="preserve">010-2340-1511</t>
  </si>
  <si>
    <t xml:space="preserve">sjkang@yatavent.com</t>
  </si>
  <si>
    <t xml:space="preserve">최종욱,최고</t>
  </si>
  <si>
    <t xml:space="preserve">markany.com</t>
  </si>
  <si>
    <t xml:space="preserve">서울시 중구 퇴계로286, 쌍림빌딩13F</t>
  </si>
  <si>
    <r>
      <rPr>
        <sz val="10"/>
        <rFont val="Arial"/>
        <family val="2"/>
        <charset val="1"/>
      </rPr>
      <t xml:space="preserve">SmartEYE, SmartEYE(Finder), SaForus, ScreenTracer </t>
    </r>
    <r>
      <rPr>
        <sz val="10"/>
        <rFont val="WenQuanYi Zen Hei"/>
        <family val="2"/>
      </rPr>
      <t xml:space="preserve">등</t>
    </r>
  </si>
  <si>
    <t xml:space="preserve">김동호</t>
  </si>
  <si>
    <t xml:space="preserve">기반기술연구실</t>
  </si>
  <si>
    <t xml:space="preserve">02-2262-5278</t>
  </si>
  <si>
    <t xml:space="preserve">kimdh@markany.com</t>
  </si>
  <si>
    <t xml:space="preserve">010-3637-0505</t>
  </si>
  <si>
    <t xml:space="preserve">leaders@markany.com</t>
  </si>
  <si>
    <t xml:space="preserve">슈어소프트테크</t>
  </si>
  <si>
    <t xml:space="preserve">211-87-10133</t>
  </si>
  <si>
    <t xml:space="preserve">배현섭, 오승욱</t>
  </si>
  <si>
    <t xml:space="preserve">031-606-2000</t>
  </si>
  <si>
    <t xml:space="preserve">https://www.suresofttech.com/</t>
  </si>
  <si>
    <t xml:space="preserve">경기도 성남시 수정구 금토로 80번길 37 인피니티타워 E동 슈어소프트테크</t>
  </si>
  <si>
    <r>
      <rPr>
        <sz val="10"/>
        <rFont val="Arial"/>
        <family val="2"/>
        <charset val="1"/>
      </rPr>
      <t xml:space="preserve">AI(</t>
    </r>
    <r>
      <rPr>
        <sz val="10"/>
        <rFont val="WenQuanYi Zen Hei"/>
        <family val="2"/>
      </rPr>
      <t xml:space="preserve">에이전트</t>
    </r>
    <r>
      <rPr>
        <sz val="10"/>
        <rFont val="Arial"/>
        <family val="2"/>
        <charset val="1"/>
      </rPr>
      <t xml:space="preserve">, </t>
    </r>
    <r>
      <rPr>
        <sz val="10"/>
        <rFont val="WenQuanYi Zen Hei"/>
        <family val="2"/>
      </rPr>
      <t xml:space="preserve">비전 등 다양한 형태</t>
    </r>
    <r>
      <rPr>
        <sz val="10"/>
        <rFont val="Arial"/>
        <family val="2"/>
        <charset val="1"/>
      </rPr>
      <t xml:space="preserve">) </t>
    </r>
    <r>
      <rPr>
        <sz val="10"/>
        <rFont val="WenQuanYi Zen Hei"/>
        <family val="2"/>
      </rPr>
      <t xml:space="preserve">검증 솔루션</t>
    </r>
    <r>
      <rPr>
        <sz val="10"/>
        <rFont val="Arial"/>
        <family val="2"/>
        <charset val="1"/>
      </rPr>
      <t xml:space="preserve">/</t>
    </r>
    <r>
      <rPr>
        <sz val="10"/>
        <rFont val="WenQuanYi Zen Hei"/>
        <family val="2"/>
      </rPr>
      <t xml:space="preserve">서비스</t>
    </r>
    <r>
      <rPr>
        <sz val="10"/>
        <rFont val="Arial"/>
        <family val="2"/>
        <charset val="1"/>
      </rPr>
      <t xml:space="preserve">, AI </t>
    </r>
    <r>
      <rPr>
        <sz val="10"/>
        <rFont val="WenQuanYi Zen Hei"/>
        <family val="2"/>
      </rPr>
      <t xml:space="preserve">인증</t>
    </r>
    <r>
      <rPr>
        <sz val="10"/>
        <rFont val="Arial"/>
        <family val="2"/>
        <charset val="1"/>
      </rPr>
      <t xml:space="preserve">(AI-MASTER), AI </t>
    </r>
    <r>
      <rPr>
        <sz val="10"/>
        <rFont val="WenQuanYi Zen Hei"/>
        <family val="2"/>
      </rPr>
      <t xml:space="preserve">개발</t>
    </r>
  </si>
  <si>
    <t xml:space="preserve">심정민</t>
  </si>
  <si>
    <t xml:space="preserve">031-606-2569</t>
  </si>
  <si>
    <t xml:space="preserve">jmshim@suresofttech.com</t>
  </si>
  <si>
    <t xml:space="preserve">010-9540-3800</t>
  </si>
  <si>
    <t xml:space="preserve">우성빈</t>
  </si>
  <si>
    <r>
      <rPr>
        <sz val="10"/>
        <rFont val="Arial"/>
        <family val="2"/>
        <charset val="1"/>
      </rPr>
      <t xml:space="preserve">AX</t>
    </r>
    <r>
      <rPr>
        <sz val="10"/>
        <rFont val="WenQuanYi Zen Hei"/>
        <family val="2"/>
      </rPr>
      <t xml:space="preserve">센터 </t>
    </r>
    <r>
      <rPr>
        <sz val="10"/>
        <rFont val="Arial"/>
        <family val="2"/>
        <charset val="1"/>
      </rPr>
      <t xml:space="preserve">&gt; AX</t>
    </r>
    <r>
      <rPr>
        <sz val="10"/>
        <rFont val="WenQuanYi Zen Hei"/>
        <family val="2"/>
      </rPr>
      <t xml:space="preserve">안전신뢰실 </t>
    </r>
    <r>
      <rPr>
        <sz val="10"/>
        <rFont val="Arial"/>
        <family val="2"/>
        <charset val="1"/>
      </rPr>
      <t xml:space="preserve">&gt; AI</t>
    </r>
    <r>
      <rPr>
        <sz val="10"/>
        <rFont val="WenQuanYi Zen Hei"/>
        <family val="2"/>
      </rPr>
      <t xml:space="preserve">신뢰성</t>
    </r>
    <r>
      <rPr>
        <sz val="10"/>
        <rFont val="Arial"/>
        <family val="2"/>
        <charset val="1"/>
      </rPr>
      <t xml:space="preserve">2</t>
    </r>
    <r>
      <rPr>
        <sz val="10"/>
        <rFont val="WenQuanYi Zen Hei"/>
        <family val="2"/>
      </rPr>
      <t xml:space="preserve">팀</t>
    </r>
  </si>
  <si>
    <t xml:space="preserve">sbwoo@suresofttech.com</t>
  </si>
  <si>
    <t xml:space="preserve">010-7225-7011</t>
  </si>
  <si>
    <r>
      <rPr>
        <sz val="10"/>
        <rFont val="Arial"/>
        <family val="2"/>
        <charset val="1"/>
      </rPr>
      <t xml:space="preserve">(</t>
    </r>
    <r>
      <rPr>
        <sz val="10"/>
        <rFont val="WenQuanYi Zen Hei"/>
        <family val="2"/>
      </rPr>
      <t xml:space="preserve">주</t>
    </r>
    <r>
      <rPr>
        <sz val="10"/>
        <rFont val="Arial"/>
        <family val="2"/>
        <charset val="1"/>
      </rPr>
      <t xml:space="preserve">)</t>
    </r>
    <r>
      <rPr>
        <sz val="10"/>
        <rFont val="WenQuanYi Zen Hei"/>
        <family val="2"/>
      </rPr>
      <t xml:space="preserve">티냅스</t>
    </r>
  </si>
  <si>
    <t xml:space="preserve">576-86-03911</t>
  </si>
  <si>
    <t xml:space="preserve">강민승</t>
  </si>
  <si>
    <t xml:space="preserve">010-8375-5594</t>
  </si>
  <si>
    <t xml:space="preserve">https://www.tynapse.com/</t>
  </si>
  <si>
    <t xml:space="preserve">서울 강남 봉은사로 524, 웨스틴파르나스 B1층 스파크플러스 코엑스점</t>
  </si>
  <si>
    <r>
      <rPr>
        <sz val="10"/>
        <rFont val="Arial"/>
        <family val="2"/>
        <charset val="1"/>
      </rPr>
      <t xml:space="preserve">AI </t>
    </r>
    <r>
      <rPr>
        <sz val="10"/>
        <rFont val="WenQuanYi Zen Hei"/>
        <family val="2"/>
      </rPr>
      <t xml:space="preserve">런타임 </t>
    </r>
    <r>
      <rPr>
        <sz val="10"/>
        <rFont val="Arial"/>
        <family val="2"/>
        <charset val="1"/>
      </rPr>
      <t xml:space="preserve">Trust layer</t>
    </r>
  </si>
  <si>
    <t xml:space="preserve">minseung@tynapse.com</t>
  </si>
  <si>
    <t xml:space="preserve">최명섭</t>
  </si>
  <si>
    <t xml:space="preserve">Head of AI</t>
  </si>
  <si>
    <t xml:space="preserve">010-9999-8736</t>
  </si>
  <si>
    <t xml:space="preserve">myungsub@tynapse.com</t>
  </si>
  <si>
    <t xml:space="preserve">셀렉트스타 주식회사</t>
  </si>
  <si>
    <t xml:space="preserve">626-87-01194</t>
  </si>
  <si>
    <t xml:space="preserve">김세엽</t>
  </si>
  <si>
    <t xml:space="preserve">02-1666-3282</t>
  </si>
  <si>
    <t xml:space="preserve">https://selectstar.ai/</t>
  </si>
  <si>
    <t xml:space="preserve">sewoong.moh@selectstar.ai</t>
  </si>
  <si>
    <t xml:space="preserve">서울 강남구 테헤란로38길 8 오피스B 8-11층</t>
  </si>
  <si>
    <t xml:space="preserve">Datumo Platform</t>
  </si>
  <si>
    <t xml:space="preserve">김세엽 </t>
  </si>
  <si>
    <t xml:space="preserve">010-2412-4605</t>
  </si>
  <si>
    <t xml:space="preserve">david@selectstar.ai</t>
  </si>
  <si>
    <t xml:space="preserve">모세웅</t>
  </si>
  <si>
    <t xml:space="preserve">플랫폼사업본부</t>
  </si>
  <si>
    <t xml:space="preserve">사업전략 리더</t>
  </si>
  <si>
    <t xml:space="preserve">010-3810-9237</t>
  </si>
  <si>
    <t xml:space="preserve">평택대학교</t>
  </si>
  <si>
    <t xml:space="preserve">125-82-00950</t>
  </si>
  <si>
    <t xml:space="preserve">이동현</t>
  </si>
  <si>
    <t xml:space="preserve">031-659-8011</t>
  </si>
  <si>
    <t xml:space="preserve">www.ptu.ac.kr</t>
  </si>
  <si>
    <t xml:space="preserve">jhjung@ptu.ac.kr</t>
  </si>
  <si>
    <t xml:space="preserve">경기도 평택시 용이동 평택대학교</t>
  </si>
  <si>
    <r>
      <rPr>
        <sz val="10"/>
        <rFont val="Arial"/>
        <family val="2"/>
        <charset val="1"/>
      </rPr>
      <t xml:space="preserve">AI </t>
    </r>
    <r>
      <rPr>
        <sz val="10"/>
        <rFont val="WenQuanYi Zen Hei"/>
        <family val="2"/>
      </rPr>
      <t xml:space="preserve">프로그래밍</t>
    </r>
  </si>
  <si>
    <t xml:space="preserve">정혜정</t>
  </si>
  <si>
    <t xml:space="preserve">데이터정보학과</t>
  </si>
  <si>
    <t xml:space="preserve">교수</t>
  </si>
  <si>
    <t xml:space="preserve">010-7260-1300</t>
  </si>
  <si>
    <t xml:space="preserve">한국전자통신연구원</t>
  </si>
  <si>
    <t xml:space="preserve">314-82-04099</t>
  </si>
  <si>
    <t xml:space="preserve">박세웅</t>
  </si>
  <si>
    <t xml:space="preserve">1466-38</t>
  </si>
  <si>
    <t xml:space="preserve">https://etri.re.kr</t>
  </si>
  <si>
    <t xml:space="preserve">lifewsky@gmail.com</t>
  </si>
  <si>
    <r>
      <rPr>
        <sz val="10"/>
        <rFont val="Arial"/>
        <family val="2"/>
        <charset val="1"/>
      </rPr>
      <t xml:space="preserve">(34129) </t>
    </r>
    <r>
      <rPr>
        <sz val="10"/>
        <rFont val="WenQuanYi Zen Hei"/>
        <family val="2"/>
      </rPr>
      <t xml:space="preserve">대전광역시 유성구 가정로 </t>
    </r>
    <r>
      <rPr>
        <sz val="10"/>
        <rFont val="Arial"/>
        <family val="2"/>
        <charset val="1"/>
      </rPr>
      <t xml:space="preserve">218</t>
    </r>
  </si>
  <si>
    <r>
      <rPr>
        <sz val="10"/>
        <rFont val="Arial"/>
        <family val="2"/>
        <charset val="1"/>
      </rPr>
      <t xml:space="preserve">AI </t>
    </r>
    <r>
      <rPr>
        <sz val="10"/>
        <rFont val="WenQuanYi Zen Hei"/>
        <family val="2"/>
      </rPr>
      <t xml:space="preserve">보안</t>
    </r>
    <r>
      <rPr>
        <sz val="10"/>
        <rFont val="Arial"/>
        <family val="2"/>
        <charset val="1"/>
      </rPr>
      <t xml:space="preserve">, AI </t>
    </r>
    <r>
      <rPr>
        <sz val="10"/>
        <rFont val="WenQuanYi Zen Hei"/>
        <family val="2"/>
      </rPr>
      <t xml:space="preserve">로봇</t>
    </r>
    <r>
      <rPr>
        <sz val="10"/>
        <rFont val="Arial"/>
        <family val="2"/>
        <charset val="1"/>
      </rPr>
      <t xml:space="preserve">, AI </t>
    </r>
    <r>
      <rPr>
        <sz val="10"/>
        <rFont val="WenQuanYi Zen Hei"/>
        <family val="2"/>
      </rPr>
      <t xml:space="preserve">반도체 기술 등</t>
    </r>
  </si>
  <si>
    <t xml:space="preserve">김수형</t>
  </si>
  <si>
    <t xml:space="preserve">사이버보안연구본부 인공지능데이터보안연구실</t>
  </si>
  <si>
    <t xml:space="preserve">042-860-1520</t>
  </si>
  <si>
    <t xml:space="preserve">lifewsky@etri.re.kr</t>
  </si>
  <si>
    <t xml:space="preserve">010-4765-6338</t>
  </si>
  <si>
    <t xml:space="preserve">박철희</t>
  </si>
  <si>
    <t xml:space="preserve">선임연구</t>
  </si>
  <si>
    <t xml:space="preserve">042-860-6399</t>
  </si>
  <si>
    <t xml:space="preserve">chpark0528@etri.re.kr</t>
  </si>
  <si>
    <t xml:space="preserve">010-9657-3566</t>
  </si>
  <si>
    <t xml:space="preserve">주식회사 마인드에이아이</t>
  </si>
  <si>
    <t xml:space="preserve">833-87-00814</t>
  </si>
  <si>
    <t xml:space="preserve">이정환</t>
  </si>
  <si>
    <t xml:space="preserve">070-8622-8711</t>
  </si>
  <si>
    <t xml:space="preserve">https://www.wisdomgraph.ai</t>
  </si>
  <si>
    <t xml:space="preserve">dave@wisdomgraph.ai</t>
  </si>
  <si>
    <t xml:space="preserve">서울특별시 중구 명동길 65, 3층</t>
  </si>
  <si>
    <r>
      <rPr>
        <sz val="10"/>
        <rFont val="Arial"/>
        <family val="2"/>
        <charset val="1"/>
      </rPr>
      <t xml:space="preserve">Wisdom Graph (Knowledge Graph + </t>
    </r>
    <r>
      <rPr>
        <sz val="10"/>
        <rFont val="WenQuanYi Zen Hei"/>
        <family val="2"/>
      </rPr>
      <t xml:space="preserve">인과적 추론</t>
    </r>
    <r>
      <rPr>
        <sz val="10"/>
        <rFont val="Arial"/>
        <family val="2"/>
        <charset val="1"/>
      </rPr>
      <t xml:space="preserve">) </t>
    </r>
    <r>
      <rPr>
        <sz val="10"/>
        <rFont val="WenQuanYi Zen Hei"/>
        <family val="2"/>
      </rPr>
      <t xml:space="preserve">기반의 뉴로 심볼릭 </t>
    </r>
    <r>
      <rPr>
        <sz val="10"/>
        <rFont val="Arial"/>
        <family val="2"/>
        <charset val="1"/>
      </rPr>
      <t xml:space="preserve">AI, MEGA Code (AI Agent </t>
    </r>
    <r>
      <rPr>
        <sz val="10"/>
        <rFont val="WenQuanYi Zen Hei"/>
        <family val="2"/>
      </rPr>
      <t xml:space="preserve">서비스의 </t>
    </r>
    <r>
      <rPr>
        <sz val="10"/>
        <rFont val="Arial"/>
        <family val="2"/>
        <charset val="1"/>
      </rPr>
      <t xml:space="preserve">QA, </t>
    </r>
    <r>
      <rPr>
        <sz val="10"/>
        <rFont val="WenQuanYi Zen Hei"/>
        <family val="2"/>
      </rPr>
      <t xml:space="preserve">모니터링 및 운영</t>
    </r>
    <r>
      <rPr>
        <sz val="10"/>
        <rFont val="Arial"/>
        <family val="2"/>
        <charset val="1"/>
      </rPr>
      <t xml:space="preserve">, </t>
    </r>
    <r>
      <rPr>
        <sz val="10"/>
        <rFont val="WenQuanYi Zen Hei"/>
        <family val="2"/>
      </rPr>
      <t xml:space="preserve">최적화 솔루션</t>
    </r>
    <r>
      <rPr>
        <sz val="10"/>
        <rFont val="Arial"/>
        <family val="2"/>
        <charset val="1"/>
      </rPr>
      <t xml:space="preserve">)</t>
    </r>
  </si>
  <si>
    <t xml:space="preserve">이규호</t>
  </si>
  <si>
    <t xml:space="preserve">Product &amp; Technology</t>
  </si>
  <si>
    <t xml:space="preserve">010-6636-5864</t>
  </si>
  <si>
    <t xml:space="preserve">reeyan@wisdomgraph.ai</t>
  </si>
  <si>
    <t xml:space="preserve">이광남</t>
  </si>
  <si>
    <t xml:space="preserve">Business Development / GTM</t>
  </si>
  <si>
    <t xml:space="preserve">COO/FDE &amp; GTM</t>
  </si>
  <si>
    <t xml:space="preserve">010-3655-4844</t>
  </si>
  <si>
    <t xml:space="preserve">금융보안원</t>
  </si>
  <si>
    <t xml:space="preserve">658-82-00028</t>
  </si>
  <si>
    <t xml:space="preserve">박상원</t>
  </si>
  <si>
    <t xml:space="preserve">02-3495-9000</t>
  </si>
  <si>
    <t xml:space="preserve">www.fsec.or.kr</t>
  </si>
  <si>
    <t xml:space="preserve">aisafety@fsec.or.kr</t>
  </si>
  <si>
    <t xml:space="preserve">경기 용인시 수지구 대지로 132</t>
  </si>
  <si>
    <r>
      <rPr>
        <sz val="10"/>
        <rFont val="Arial"/>
        <family val="2"/>
        <charset val="1"/>
      </rPr>
      <t xml:space="preserve">AI </t>
    </r>
    <r>
      <rPr>
        <sz val="10"/>
        <rFont val="WenQuanYi Zen Hei"/>
        <family val="2"/>
      </rPr>
      <t xml:space="preserve">알고리즘 보안성 검증</t>
    </r>
    <r>
      <rPr>
        <sz val="10"/>
        <rFont val="Arial"/>
        <family val="2"/>
        <charset val="1"/>
      </rPr>
      <t xml:space="preserve">, AI </t>
    </r>
    <r>
      <rPr>
        <sz val="10"/>
        <rFont val="WenQuanYi Zen Hei"/>
        <family val="2"/>
      </rPr>
      <t xml:space="preserve">레드티밍 등</t>
    </r>
  </si>
  <si>
    <t xml:space="preserve">김성웅</t>
  </si>
  <si>
    <t xml:space="preserve">금융AI보안연구소</t>
  </si>
  <si>
    <t xml:space="preserve">02-3495-9040</t>
  </si>
  <si>
    <t xml:space="preserve">swkim@fsec.or.kr</t>
  </si>
  <si>
    <t xml:space="preserve">010-6865-9458</t>
  </si>
  <si>
    <t xml:space="preserve">유영목</t>
  </si>
  <si>
    <r>
      <rPr>
        <sz val="10"/>
        <rFont val="Arial"/>
        <family val="2"/>
        <charset val="1"/>
      </rPr>
      <t xml:space="preserve">AI</t>
    </r>
    <r>
      <rPr>
        <sz val="10"/>
        <rFont val="WenQuanYi Zen Hei"/>
        <family val="2"/>
      </rPr>
      <t xml:space="preserve">안전평가부</t>
    </r>
  </si>
  <si>
    <t xml:space="preserve">02-3495-9860</t>
  </si>
  <si>
    <t xml:space="preserve">cozyu@fsec.or.kr</t>
  </si>
  <si>
    <t xml:space="preserve">010-3355-0246</t>
  </si>
  <si>
    <t xml:space="preserve">버전</t>
  </si>
  <si>
    <t xml:space="preserve">날짜</t>
  </si>
  <si>
    <t xml:space="preserve">회사명</t>
  </si>
  <si>
    <t xml:space="preserve">추가/변경사항</t>
  </si>
  <si>
    <t xml:space="preserve">V4.1</t>
  </si>
  <si>
    <t xml:space="preserve">2026.07.21</t>
  </si>
  <si>
    <t xml:space="preserve">마크애니</t>
  </si>
  <si>
    <t xml:space="preserve">이메일 주소 변경(기존: kimdh@markany.com, 변경: leaders@markany.com)</t>
  </si>
  <si>
    <t xml:space="preserve">2026.07.22</t>
  </si>
  <si>
    <r>
      <rPr>
        <sz val="10"/>
        <rFont val="맑은 고딕"/>
        <family val="2"/>
        <charset val="129"/>
      </rPr>
      <t xml:space="preserve">(</t>
    </r>
    <r>
      <rPr>
        <sz val="10"/>
        <rFont val="WenQuanYi Zen Hei"/>
        <family val="2"/>
      </rPr>
      <t xml:space="preserve">주</t>
    </r>
    <r>
      <rPr>
        <sz val="10"/>
        <rFont val="맑은 고딕"/>
        <family val="2"/>
        <charset val="129"/>
      </rPr>
      <t xml:space="preserve">)</t>
    </r>
    <r>
      <rPr>
        <sz val="10"/>
        <rFont val="WenQuanYi Zen Hei"/>
        <family val="2"/>
      </rPr>
      <t xml:space="preserve">씨더스</t>
    </r>
  </si>
  <si>
    <t xml:space="preserve">사업자등록에 맞게 기업명 변경(기존:㈜씨더스 → 변경: 주식회사 씨더스 농업회사법인)</t>
  </si>
  <si>
    <t xml:space="preserve">미소정보기술</t>
  </si>
  <si>
    <t xml:space="preserve">사업자등록에 맞게 기업명 변경(기존: 미소정보기술 → 변경: ㈜미소정보기술)</t>
  </si>
  <si>
    <t xml:space="preserve">비아이매트릭스</t>
  </si>
  <si>
    <t xml:space="preserve">사업자등록에 맞게 기업명 변경(기존: 비아이매트릭스 → 변경: ㈜비아이매트릭스)</t>
  </si>
  <si>
    <t xml:space="preserve">아이티센 클로잇</t>
  </si>
  <si>
    <t xml:space="preserve">사업자등록에 맞게 기업명 변경(기존: 아이티센 클로잇 → 변경: 주식회사 아이티센클로잇)</t>
  </si>
  <si>
    <t xml:space="preserve">앵글컴퍼니</t>
  </si>
  <si>
    <t xml:space="preserve">사업자등록에 맞게 기업명 변경(기존: 앵글컴퍼니 → 변경: 앵글컴퍼니 주식회사)</t>
  </si>
  <si>
    <t xml:space="preserve">인사이트온</t>
  </si>
  <si>
    <t xml:space="preserve">사업자등록에 맞게 기업명 변경(기존: 인사이트온 → 변경: 주식회사 인사이트온)</t>
  </si>
  <si>
    <t xml:space="preserve">에스엘즈</t>
  </si>
  <si>
    <t xml:space="preserve">사업자등록에 맞게 기업명 변경(기존: 에스엘즈 → 변경: 주식회사 에스엘즈)</t>
  </si>
  <si>
    <t xml:space="preserve">한국기업보안</t>
  </si>
  <si>
    <t xml:space="preserve">사업자등록에 맞게 기업명 변경(기존: 한국기업보안 → 변경: 주식회사 한국기업보안)</t>
  </si>
  <si>
    <t xml:space="preserve">스틸리언</t>
  </si>
  <si>
    <t xml:space="preserve">사업자등록에 맞게 기업명 변경(기존: 스틸리언 → 변경: ㈜스틸리언)</t>
  </si>
  <si>
    <t xml:space="preserve">사업자등록에 맞게 기업명 변경(기존: 라온로드 → 변경: ㈜라온로드)</t>
  </si>
  <si>
    <t xml:space="preserve">V4.2</t>
  </si>
  <si>
    <t xml:space="preserve">신규 회원사 추가</t>
  </si>
  <si>
    <t xml:space="preserve">드림시큐리티</t>
  </si>
  <si>
    <t xml:space="preserve">사업자등록에 맞게 기업명 변경(기존: 드림시큐리티 → 변경: ㈜드림시큐리티)</t>
  </si>
  <si>
    <t xml:space="preserve">퓨리오사AI</t>
  </si>
  <si>
    <t xml:space="preserve">사업자등록에 맞게 기업명 변경(기존: 퓨리오사AI → 변경: 주식회사 퓨리오사에이아이)</t>
  </si>
  <si>
    <t xml:space="preserve">섹타나인</t>
  </si>
  <si>
    <t xml:space="preserve">사업자등록에 맞게 기업명 변경(기존: 섹타나인 → 변경: ㈜섹타나인)</t>
  </si>
  <si>
    <t xml:space="preserve">현대퓨처넷</t>
  </si>
  <si>
    <t xml:space="preserve">사업자등록에 맞게 기업명 변경(기존: 현대퓨처넷 → 변경: ㈜현대퓨처넷)</t>
  </si>
  <si>
    <t xml:space="preserve">마키나락스</t>
  </si>
  <si>
    <t xml:space="preserve">사업자등록에 맞게 기업명 변경(기존: 마키나락스 → 변경: 주식회사 마키나락스)</t>
  </si>
  <si>
    <t xml:space="preserve">더존비즈온</t>
  </si>
  <si>
    <t xml:space="preserve">사업자등록에 맞게 기업명 변경(기존: 더존비즈온 → 변경: ㈜더존비즈온)</t>
  </si>
  <si>
    <t xml:space="preserve">한컴</t>
  </si>
  <si>
    <t xml:space="preserve">사업자등록에 맞게 기업명 변경(기존: 한컴 → 변경: ㈜한글과컴퓨터)</t>
  </si>
  <si>
    <t xml:space="preserve">알서포트</t>
  </si>
  <si>
    <t xml:space="preserve">사업자등록에 맞게 기업명 변경(기존: 알서포트 → 변경: 알서포트 주식회사)</t>
  </si>
  <si>
    <t xml:space="preserve">KSTEC</t>
  </si>
  <si>
    <t xml:space="preserve">사업자등록에 맞게 기업명 변경(기존: KSTEC → 변경: 지식시스템 ㈜KSTEC)</t>
  </si>
  <si>
    <t xml:space="preserve">몬드리안에이아이</t>
  </si>
  <si>
    <t xml:space="preserve">사업자등록에 맞게 기업명 변경(기존: 몬드리안에이아이 → 변경: 몬드리안에이아이 주식회사)</t>
  </si>
  <si>
    <t xml:space="preserve">한국키네티코엔지니어링</t>
  </si>
  <si>
    <t xml:space="preserve">사업자등록에 맞게 기업명 변경(기존: 한국키네티코엔지니어링 → 변경: ㈜한국키네티코엔지니어링)</t>
  </si>
  <si>
    <t xml:space="preserve">제네시스랩</t>
  </si>
  <si>
    <t xml:space="preserve">사업자등록에 맞게 기업명 변경(기존: 제네시스랩 → 변경: 주식회사 제네시스랩)</t>
  </si>
  <si>
    <t xml:space="preserve">아이컴시스</t>
  </si>
  <si>
    <t xml:space="preserve">사업자등록에 맞게 기업명 변경(기존: 아이컴시스 → 변경: 주식회사 아이컴시스)</t>
  </si>
  <si>
    <t xml:space="preserve">인스웨이브</t>
  </si>
  <si>
    <t xml:space="preserve">사업자등록에 맞게 기업명 변경(기존: 인스웨이브 → 변경: 주식회사 인스웨이브시스템즈)</t>
  </si>
  <si>
    <t xml:space="preserve">스카이월드와이드</t>
  </si>
  <si>
    <t xml:space="preserve">사업자등록에 맞게 기업명 변경(기존: 스카이월드와이드 → 변경: ㈜스카이월드와이드)</t>
  </si>
  <si>
    <t xml:space="preserve">새움소프트</t>
  </si>
  <si>
    <t xml:space="preserve">사업자등록에 맞게 기업명 변경(기존: 새움소프트 → 변경: 주식회사 새움소프트)</t>
  </si>
  <si>
    <t xml:space="preserve">탑코어시스템</t>
  </si>
  <si>
    <t xml:space="preserve">사업자등록에 맞게 기업명 변경(기존: 탑코어시스템 → 변경: 주식회사 탑코어시스템)</t>
  </si>
  <si>
    <t xml:space="preserve">한솔코에버</t>
  </si>
  <si>
    <t xml:space="preserve">사업자등록에 맞게 기업명 변경(기존: 한솔코에버 → 변경: 한솔코에버(주))</t>
  </si>
  <si>
    <t xml:space="preserve">사업자등록에 맞게 기업명 변경(기존: 마크애니 → 변경: 주식회사 마크애니)</t>
  </si>
  <si>
    <t xml:space="preserve">플리토</t>
  </si>
  <si>
    <t xml:space="preserve">사업자등록에 맞게 기업명 변경(기존: 플리토 → 변경: 주식회사 플리토)</t>
  </si>
  <si>
    <t xml:space="preserve">안랩클라우드메이트</t>
  </si>
  <si>
    <t xml:space="preserve">사업자등록에 맞게 기업명 변경(기존: 안랩클라우드메이트 → 변경: ㈜안랩클라우드메이트)</t>
  </si>
  <si>
    <t xml:space="preserve">유모스원</t>
  </si>
  <si>
    <t xml:space="preserve">사업자등록에 맞게 기업명 변경(기존: 유모스원 → 변경: 주식회사 유모스원)</t>
  </si>
  <si>
    <t xml:space="preserve">웨인힐스브라이언트 에이아이</t>
  </si>
  <si>
    <t xml:space="preserve">사업자등록에 맞게 기업명 변경(기존: 웨인힐스브라이언트 에이아이 → 변경: 주식회사 웨인힐스브라이언트 에이아이)</t>
  </si>
  <si>
    <t xml:space="preserve">일루넥스</t>
  </si>
  <si>
    <t xml:space="preserve">사업자등록에 맞게 기업명 변경(기존: 일루넥스 → 변경: (주)일루넥스)</t>
  </si>
  <si>
    <t xml:space="preserve">갈렙앤컴퍼니</t>
  </si>
  <si>
    <t xml:space="preserve">사업자등록에 맞게 기업명 변경(기존: 갈렙앤컴퍼니 → 변경: (주)갈렙앤컴퍼니)</t>
  </si>
  <si>
    <t xml:space="preserve">아토랩</t>
  </si>
  <si>
    <t xml:space="preserve">사업자등록에 맞게 기업명 변경(기존: 아토랩 → 변경: 아토랩 주식회사)</t>
  </si>
  <si>
    <t xml:space="preserve">업스테이지</t>
  </si>
  <si>
    <t xml:space="preserve">사업자등록에 맞게 기업명 변경(기존: 업스테이지 → 변경: 주식회사 업스테이지)</t>
  </si>
  <si>
    <t xml:space="preserve">아이티센글로벌</t>
  </si>
  <si>
    <t xml:space="preserve">사업자등록에 맞게 기업명 변경(기존: 아이티센글로벌 → 변경: 주식회사 아이티센글로벌)</t>
  </si>
  <si>
    <t xml:space="preserve">한컴인스페이스</t>
  </si>
  <si>
    <t xml:space="preserve">사업자등록에 맞게 기업명 변경(기존: 한컴인스페이스 → 변경: ㈜한컴인스페이스)</t>
  </si>
  <si>
    <t xml:space="preserve">티맥스소프트</t>
  </si>
  <si>
    <t xml:space="preserve">사업자등록에 맞게 기업명 변경(기존: 티맥스소프트 → 변경: ㈜티맥스소프트)</t>
  </si>
  <si>
    <t xml:space="preserve">라이너</t>
  </si>
  <si>
    <t xml:space="preserve">사업자등록에 맞게 기업명 변경(기존: 라이너 → 변경: 주식회사 라이너)</t>
  </si>
  <si>
    <t xml:space="preserve">폴라리스오피스</t>
  </si>
  <si>
    <t xml:space="preserve">사업자등록에 맞게 기업명 변경(기존: 폴라리스오피스 → 변경: 주식회사 폴라리스오피스)</t>
  </si>
  <si>
    <t xml:space="preserve">신한카드</t>
  </si>
  <si>
    <t xml:space="preserve">사업자등록에 맞게 기업명 변경(기존: 신한카드 → 변경: 신한카드 주식회사)</t>
  </si>
  <si>
    <t xml:space="preserve">웰로</t>
  </si>
  <si>
    <t xml:space="preserve">사업자등록에 맞게 기업명 변경(기존: 웰로 → 변경: 주식회사 웰로)</t>
  </si>
  <si>
    <t xml:space="preserve">올거나이즈코리아</t>
  </si>
  <si>
    <t xml:space="preserve">사업자등록에 맞게 기업명 변경(기존: 올거나이즈코리아 → 변경: 올거나이즈코리아 주식회사)</t>
  </si>
  <si>
    <t xml:space="preserve">이니넥스트</t>
  </si>
  <si>
    <t xml:space="preserve">사업자등록에 맞게 기업명 변경(기존: 이니넥스트 → 변경: 이니넥스트 주식회사)</t>
  </si>
  <si>
    <t xml:space="preserve">알체라</t>
  </si>
  <si>
    <t xml:space="preserve">사업자등록에 맞게 기업명 변경(기존: 알체라 → 변경: 주식회사 알체라)</t>
  </si>
  <si>
    <t xml:space="preserve">피앤피시큐어</t>
  </si>
  <si>
    <t xml:space="preserve">사업자등록에 맞게 기업명 변경(기존: 피앤피시큐어 → 변경: 주식회사 피앤피시큐어)</t>
  </si>
  <si>
    <t xml:space="preserve">YATAV</t>
  </si>
  <si>
    <t xml:space="preserve">사업자등록에 맞게 기업명 변경(기존: YATAV → 변경: ㈜야타브)</t>
  </si>
  <si>
    <t xml:space="preserve">Mind AI</t>
  </si>
  <si>
    <t xml:space="preserve">사업자등록에 맞게 기업명 변경(기존: Mind AI → 변경: 주식회사 마인드에이아이)</t>
  </si>
  <si>
    <t xml:space="preserve">2026.07.23</t>
  </si>
  <si>
    <t xml:space="preserve">롯데 이노베이트</t>
  </si>
  <si>
    <t xml:space="preserve">사업자등록에 맞게 기업명 변경(기존: 롯데 이노베이트 → 변경: 롯데 이노베이트(주))</t>
  </si>
  <si>
    <t xml:space="preserve">㈜혜움</t>
  </si>
  <si>
    <t xml:space="preserve">사명 변경(기존: ㈜혜움 → 변경: 주식회사 알프레드)</t>
  </si>
  <si>
    <t xml:space="preserve">스위트케이</t>
  </si>
  <si>
    <t xml:space="preserve">사업자등록에 맞게 기업명 변경(기존: 스위트케이 → 변경: ㈜스위트케이)</t>
  </si>
  <si>
    <t xml:space="preserve">뷰텔</t>
  </si>
  <si>
    <t xml:space="preserve">사업자등록에 맞게 기업명 변경(기존: 뷰텔 → 변경: 주식회사 뷰텔)</t>
  </si>
  <si>
    <t xml:space="preserve">지엔소프트</t>
  </si>
  <si>
    <t xml:space="preserve">사업자등록에 맞게 기업명 변경(기존: 지엔소프트 → 변경: 지엔소프트(주))</t>
  </si>
  <si>
    <t xml:space="preserve">실무자 변경(기존 류재수 전무이사 → 변경: 임선규 반장)</t>
  </si>
  <si>
    <t xml:space="preserve">실무자 오기입으로 수정(기존: 알서포트 실무자 연락처가 기입되어 있었음)</t>
  </si>
  <si>
    <t xml:space="preserve">V4.2.1</t>
  </si>
  <si>
    <t xml:space="preserve">2026.07.27</t>
  </si>
  <si>
    <t xml:space="preserve">㈜윌로그</t>
  </si>
  <si>
    <t xml:space="preserve">담당자 변경(육소영 → 황광태 PM)</t>
  </si>
  <si>
    <t xml:space="preserve">V4.2.2</t>
  </si>
  <si>
    <t xml:space="preserve">2026.07.29</t>
  </si>
  <si>
    <t xml:space="preserve">전 분과</t>
  </si>
  <si>
    <t xml:space="preserve">모든 기업</t>
  </si>
  <si>
    <r>
      <rPr>
        <sz val="10"/>
        <rFont val="맑은 고딕"/>
        <family val="2"/>
        <charset val="129"/>
      </rPr>
      <t xml:space="preserve">NIA </t>
    </r>
    <r>
      <rPr>
        <sz val="10"/>
        <rFont val="WenQuanYi Zen Hei"/>
        <family val="2"/>
      </rPr>
      <t xml:space="preserve">요청에 따른 </t>
    </r>
    <r>
      <rPr>
        <sz val="10"/>
        <rFont val="맑은 고딕"/>
        <family val="2"/>
        <charset val="129"/>
      </rPr>
      <t xml:space="preserve">1</t>
    </r>
    <r>
      <rPr>
        <sz val="10"/>
        <rFont val="WenQuanYi Zen Hei"/>
        <family val="2"/>
      </rPr>
      <t xml:space="preserve">지망</t>
    </r>
    <r>
      <rPr>
        <sz val="10"/>
        <rFont val="맑은 고딕"/>
        <family val="2"/>
        <charset val="129"/>
      </rPr>
      <t xml:space="preserve">, 2</t>
    </r>
    <r>
      <rPr>
        <sz val="10"/>
        <rFont val="WenQuanYi Zen Hei"/>
        <family val="2"/>
      </rPr>
      <t xml:space="preserve">지망 기입</t>
    </r>
  </si>
  <si>
    <t xml:space="preserve">비큐에이아이</t>
  </si>
  <si>
    <t xml:space="preserve">담당 임원 변경에 따른 정보 수정(김규태 CDO 기입)</t>
  </si>
  <si>
    <t xml:space="preserve">V5.1</t>
  </si>
  <si>
    <t xml:space="preserve">2026.08.06</t>
  </si>
  <si>
    <t xml:space="preserve">㈜시스원</t>
  </si>
  <si>
    <t xml:space="preserve">V5.2</t>
  </si>
  <si>
    <t xml:space="preserve">2026.08.10</t>
  </si>
  <si>
    <r>
      <rPr>
        <sz val="10"/>
        <rFont val="맑은 고딕"/>
        <family val="2"/>
        <charset val="129"/>
      </rPr>
      <t xml:space="preserve">LG</t>
    </r>
    <r>
      <rPr>
        <sz val="10"/>
        <rFont val="WenQuanYi Zen Hei"/>
        <family val="2"/>
      </rPr>
      <t xml:space="preserve">유플러스</t>
    </r>
  </si>
  <si>
    <t xml:space="preserve">V6.0</t>
  </si>
  <si>
    <t xml:space="preserve">2026.08.20</t>
  </si>
  <si>
    <t xml:space="preserve">전체</t>
  </si>
  <si>
    <t xml:space="preserve">개정안: 주분과·부분과1~3 분류 체계 도입(중복분과 대응), 분과 시트는 종합 시트 입력 시 자동 반영되도록 수식 연동. 1지망·2지망 열은 개정안에서 제외(원본 V5.2에 보존). 부분과는 미입력 상태로 생성.</t>
  </si>
  <si>
    <t xml:space="preserve">V6.1</t>
  </si>
  <si>
    <r>
      <rPr>
        <sz val="10"/>
        <rFont val="맑은 고딕"/>
        <family val="2"/>
        <charset val="129"/>
      </rPr>
      <t xml:space="preserve">2</t>
    </r>
    <r>
      <rPr>
        <sz val="10"/>
        <rFont val="WenQuanYi Zen Hei"/>
        <family val="2"/>
      </rPr>
      <t xml:space="preserve">지망이 생태계인 </t>
    </r>
    <r>
      <rPr>
        <sz val="10"/>
        <rFont val="맑은 고딕"/>
        <family val="2"/>
        <charset val="129"/>
      </rPr>
      <t xml:space="preserve">89</t>
    </r>
    <r>
      <rPr>
        <sz val="10"/>
        <rFont val="WenQuanYi Zen Hei"/>
        <family val="2"/>
      </rPr>
      <t xml:space="preserve">개사 부분과</t>
    </r>
    <r>
      <rPr>
        <sz val="10"/>
        <rFont val="맑은 고딕"/>
        <family val="2"/>
        <charset val="129"/>
      </rPr>
      <t xml:space="preserve">1</t>
    </r>
    <r>
      <rPr>
        <sz val="10"/>
        <rFont val="WenQuanYi Zen Hei"/>
        <family val="2"/>
      </rPr>
      <t xml:space="preserve">에 생태계 입력</t>
    </r>
    <r>
      <rPr>
        <sz val="10"/>
        <rFont val="맑은 고딕"/>
        <family val="2"/>
        <charset val="129"/>
      </rPr>
      <t xml:space="preserve">(</t>
    </r>
    <r>
      <rPr>
        <sz val="10"/>
        <rFont val="WenQuanYi Zen Hei"/>
        <family val="2"/>
      </rPr>
      <t xml:space="preserve">주분과가 이미 생태계인 </t>
    </r>
    <r>
      <rPr>
        <sz val="10"/>
        <rFont val="맑은 고딕"/>
        <family val="2"/>
        <charset val="129"/>
      </rPr>
      <t xml:space="preserve">14</t>
    </r>
    <r>
      <rPr>
        <sz val="10"/>
        <rFont val="WenQuanYi Zen Hei"/>
        <family val="2"/>
      </rPr>
      <t xml:space="preserve">개사는 제외</t>
    </r>
    <r>
      <rPr>
        <sz val="10"/>
        <rFont val="맑은 고딕"/>
        <family val="2"/>
        <charset val="129"/>
      </rPr>
      <t xml:space="preserve">). </t>
    </r>
    <r>
      <rPr>
        <sz val="10"/>
        <rFont val="WenQuanYi Zen Hei"/>
        <family val="2"/>
      </rPr>
      <t xml:space="preserve">전화번호 하이픈 형식 통일</t>
    </r>
    <r>
      <rPr>
        <sz val="10"/>
        <rFont val="맑은 고딕"/>
        <family val="2"/>
        <charset val="129"/>
      </rPr>
      <t xml:space="preserve">(218</t>
    </r>
    <r>
      <rPr>
        <sz val="10"/>
        <rFont val="WenQuanYi Zen Hei"/>
        <family val="2"/>
      </rPr>
      <t xml:space="preserve">건 정리</t>
    </r>
    <r>
      <rPr>
        <sz val="10"/>
        <rFont val="맑은 고딕"/>
        <family val="2"/>
        <charset val="129"/>
      </rPr>
      <t xml:space="preserve">, </t>
    </r>
    <r>
      <rPr>
        <sz val="10"/>
        <rFont val="WenQuanYi Zen Hei"/>
        <family val="2"/>
      </rPr>
      <t xml:space="preserve">검색 확인 정정 </t>
    </r>
    <r>
      <rPr>
        <sz val="10"/>
        <rFont val="맑은 고딕"/>
        <family val="2"/>
        <charset val="129"/>
      </rPr>
      <t xml:space="preserve">3</t>
    </r>
    <r>
      <rPr>
        <sz val="10"/>
        <rFont val="WenQuanYi Zen Hei"/>
        <family val="2"/>
      </rPr>
      <t xml:space="preserve">건</t>
    </r>
    <r>
      <rPr>
        <sz val="10"/>
        <rFont val="맑은 고딕"/>
        <family val="2"/>
        <charset val="129"/>
      </rPr>
      <t xml:space="preserve">: </t>
    </r>
    <r>
      <rPr>
        <sz val="10"/>
        <rFont val="WenQuanYi Zen Hei"/>
        <family val="2"/>
      </rPr>
      <t xml:space="preserve">코난테크놀로지</t>
    </r>
    <r>
      <rPr>
        <sz val="10"/>
        <rFont val="맑은 고딕"/>
        <family val="2"/>
        <charset val="129"/>
      </rPr>
      <t xml:space="preserve">·</t>
    </r>
    <r>
      <rPr>
        <sz val="10"/>
        <rFont val="WenQuanYi Zen Hei"/>
        <family val="2"/>
      </rPr>
      <t xml:space="preserve">알체라</t>
    </r>
    <r>
      <rPr>
        <sz val="10"/>
        <rFont val="맑은 고딕"/>
        <family val="2"/>
        <charset val="129"/>
      </rPr>
      <t xml:space="preserve">·</t>
    </r>
    <r>
      <rPr>
        <sz val="10"/>
        <rFont val="WenQuanYi Zen Hei"/>
        <family val="2"/>
      </rPr>
      <t xml:space="preserve">에스티이지</t>
    </r>
    <r>
      <rPr>
        <sz val="10"/>
        <rFont val="맑은 고딕"/>
        <family val="2"/>
        <charset val="129"/>
      </rPr>
      <t xml:space="preserve">). </t>
    </r>
    <r>
      <rPr>
        <sz val="10"/>
        <rFont val="WenQuanYi Zen Hei"/>
        <family val="2"/>
      </rPr>
      <t xml:space="preserve">자릿수 이상 </t>
    </r>
    <r>
      <rPr>
        <sz val="10"/>
        <rFont val="맑은 고딕"/>
        <family val="2"/>
        <charset val="129"/>
      </rPr>
      <t xml:space="preserve">10</t>
    </r>
    <r>
      <rPr>
        <sz val="10"/>
        <rFont val="WenQuanYi Zen Hei"/>
        <family val="2"/>
      </rPr>
      <t xml:space="preserve">건은 빨간 글씨</t>
    </r>
    <r>
      <rPr>
        <sz val="10"/>
        <rFont val="맑은 고딕"/>
        <family val="2"/>
        <charset val="129"/>
      </rPr>
      <t xml:space="preserve">·</t>
    </r>
    <r>
      <rPr>
        <sz val="10"/>
        <rFont val="WenQuanYi Zen Hei"/>
        <family val="2"/>
      </rPr>
      <t xml:space="preserve">메모로 플래그</t>
    </r>
    <r>
      <rPr>
        <sz val="10"/>
        <rFont val="맑은 고딕"/>
        <family val="2"/>
        <charset val="129"/>
      </rPr>
      <t xml:space="preserve">. </t>
    </r>
    <r>
      <rPr>
        <sz val="10"/>
        <rFont val="WenQuanYi Zen Hei"/>
        <family val="2"/>
      </rPr>
      <t xml:space="preserve">열 너비 자동 조정</t>
    </r>
    <r>
      <rPr>
        <sz val="10"/>
        <rFont val="맑은 고딕"/>
        <family val="2"/>
        <charset val="129"/>
      </rPr>
      <t xml:space="preserve">, </t>
    </r>
    <r>
      <rPr>
        <sz val="10"/>
        <rFont val="WenQuanYi Zen Hei"/>
        <family val="2"/>
      </rPr>
      <t xml:space="preserve">설명란은 줄바꿈 표시</t>
    </r>
    <r>
      <rPr>
        <sz val="10"/>
        <rFont val="맑은 고딕"/>
        <family val="2"/>
        <charset val="129"/>
      </rPr>
      <t xml:space="preserve">.</t>
    </r>
  </si>
  <si>
    <t xml:space="preserve">V6.2</t>
  </si>
  <si>
    <t xml:space="preserve">산업, 생태계</t>
  </si>
  <si>
    <t xml:space="preserve">협회 요청으로 산업분과에서 생태계분과로 이관(주분과 변경). 종합 시트에서 해당 행을 생태계 블록 끝으로 재정렬. 부분과1의 생태계 표기는 중복이 되어 삭제. 산업분과 잔류(부분과) 여부는 미확정으로 비워 둠.</t>
  </si>
  <si>
    <t xml:space="preserve">V6.3</t>
  </si>
  <si>
    <t xml:space="preserve">종합 시트의 분과 연동용 계산열(Z~AC)을 숨김 처리. 기능은 그대로 동작하며, 열 머리글 X~AD 선택 후 숨기기 취소로 다시 볼 수 있음.</t>
  </si>
  <si>
    <t xml:space="preserve">V1.1</t>
  </si>
  <si>
    <t xml:space="preserve">2026.08.21</t>
  </si>
  <si>
    <t xml:space="preserve">분과 중복가입 설문(~8.17, 응답 45건) 반영: 추가 배정 36개사, 추가 희망 없음 6개사, 주분과만 선택 1개사. 2지망 기반 생태계 배치 88개사 유지. 비고 열 신설(G), 각 시트 맨 앞 자동 번호(No) 추가, 현황 시트 신설(분과별·전체 회원사 수 자동 집계). 미매칭(POOL에 없음): 부산IT융합부품연구소. 시스원은 2회 응답 중 최종(8.21 10:10, 산업) 적용.</t>
  </si>
  <si>
    <t xml:space="preserve">V1.2</t>
  </si>
  <si>
    <t xml:space="preserve">비고 간소화: 설문 기반 배치는 기본값이므로 표기 생략, 설문 없이 2지망만으로 생태계 배치한 경우만 "2지망 생태계 신청" 표기(설문·2지망 모두 생태계면 빈칸). 현황 시트 집계 항목 정리, 비고 열 폭 축소.</t>
  </si>
  <si>
    <t xml:space="preserve">V1.3</t>
  </si>
  <si>
    <t xml:space="preserve">분과 표기를 주분과·부분과1~3에서 분과별 O표(기술·산업·생태계·안전·신뢰 4열)로 변경(주분과 구분은 V1.2까지 보존). 기업유형 열 신설(대기업·중견기업·중소기업·공공기관·대학·협회·단체, 법령 기준은 현황 시트 참조): 대기업 10, 중견기업 18, 중소기업 249, 공공기관 7, 대학 4, 협회·단체 11. 추정 분류 20건은 빨간 글씨·메모·비고 "※ 유형 확인". 현황 시트를 전체·분과별·기업유형별(×분과) 회원사 수로 단순화.</t>
  </si>
  <si>
    <t xml:space="preserve">V1.4</t>
  </si>
  <si>
    <t xml:space="preserve">2026.08.24</t>
  </si>
  <si>
    <t xml:space="preserve">기술/산업/안전신뢰 &gt; 2지망 생태계 신청(H) 삭제, 종합/생태계 &gt; 2지망 생태계 신청 H열 AA열로 이동 (AA열 숨김), 현황 분과회원사수 합계 삭제</t>
  </si>
  <si>
    <t xml:space="preserve">V1.5</t>
  </si>
  <si>
    <t xml:space="preserve">중복가입 설문(~8.17)에서 생태계분과를 선택하지 않았는데 2지망 신청만으로 생태계분과에 중복 배치되어 있던 80개사를 생태계분과에서 제외(비고 "2지망 생태계 신청" 표기 기준, 설문 응답과 전수 대조 확인). 각사 주분과 소속은 유지. 생태계분과 145→65개사. 생태계분과 시트 비고(AA열) 깨진 참조 오류 복구.</t>
  </si>
</sst>
</file>

<file path=xl/styles.xml><?xml version="1.0" encoding="utf-8"?>
<styleSheet xmlns="http://schemas.openxmlformats.org/spreadsheetml/2006/main">
  <numFmts count="3">
    <numFmt numFmtId="164" formatCode="General"/>
    <numFmt numFmtId="165" formatCode="General"/>
    <numFmt numFmtId="166" formatCode="@"/>
  </numFmts>
  <fonts count="27">
    <font>
      <sz val="11"/>
      <color theme="1"/>
      <name val="맑은 고딕"/>
      <family val="2"/>
      <charset val="1"/>
    </font>
    <font>
      <sz val="10"/>
      <name val="Arial"/>
      <family val="0"/>
    </font>
    <font>
      <sz val="10"/>
      <name val="Arial"/>
      <family val="0"/>
    </font>
    <font>
      <sz val="10"/>
      <name val="Arial"/>
      <family val="0"/>
    </font>
    <font>
      <b val="true"/>
      <sz val="14"/>
      <name val="HY견고딕"/>
      <family val="1"/>
      <charset val="129"/>
    </font>
    <font>
      <b val="true"/>
      <sz val="14"/>
      <name val="WenQuanYi Zen Hei"/>
      <family val="2"/>
    </font>
    <font>
      <i val="true"/>
      <sz val="9"/>
      <color rgb="FF808080"/>
      <name val="WenQuanYi Zen Hei"/>
      <family val="2"/>
      <charset val="1"/>
    </font>
    <font>
      <b val="true"/>
      <sz val="10"/>
      <color rgb="FFFFFFFF"/>
      <name val="WenQuanYi Zen Hei"/>
      <family val="2"/>
      <charset val="1"/>
    </font>
    <font>
      <b val="true"/>
      <sz val="10"/>
      <name val="Arial"/>
      <family val="2"/>
      <charset val="1"/>
    </font>
    <font>
      <sz val="10"/>
      <name val="WenQuanYi Zen Hei"/>
      <family val="2"/>
      <charset val="1"/>
    </font>
    <font>
      <b val="true"/>
      <sz val="10"/>
      <name val="WenQuanYi Zen Hei"/>
      <family val="2"/>
      <charset val="1"/>
    </font>
    <font>
      <sz val="9"/>
      <name val="WenQuanYi Zen Hei"/>
      <family val="2"/>
      <charset val="1"/>
    </font>
    <font>
      <b val="true"/>
      <sz val="12"/>
      <name val="WenQuanYi Zen Hei"/>
      <family val="2"/>
      <charset val="1"/>
    </font>
    <font>
      <b val="true"/>
      <sz val="9"/>
      <color rgb="FF808080"/>
      <name val="Arial"/>
      <family val="2"/>
      <charset val="1"/>
    </font>
    <font>
      <b val="true"/>
      <sz val="9"/>
      <color rgb="FF808080"/>
      <name val="WenQuanYi Zen Hei"/>
      <family val="2"/>
    </font>
    <font>
      <b val="true"/>
      <sz val="10"/>
      <color rgb="FFFFFFFF"/>
      <name val="Arial"/>
      <family val="2"/>
      <charset val="1"/>
    </font>
    <font>
      <b val="true"/>
      <sz val="10"/>
      <color rgb="FFFFFFFF"/>
      <name val="WenQuanYi Zen Hei"/>
      <family val="2"/>
    </font>
    <font>
      <b val="true"/>
      <sz val="9"/>
      <color rgb="FF808080"/>
      <name val="WenQuanYi Zen Hei"/>
      <family val="2"/>
      <charset val="1"/>
    </font>
    <font>
      <sz val="10"/>
      <name val="Arial"/>
      <family val="2"/>
      <charset val="1"/>
    </font>
    <font>
      <sz val="10"/>
      <name val="WenQuanYi Zen Hei"/>
      <family val="2"/>
    </font>
    <font>
      <sz val="9"/>
      <color rgb="FF808080"/>
      <name val="Arial"/>
      <family val="2"/>
      <charset val="1"/>
    </font>
    <font>
      <sz val="10"/>
      <color rgb="FFC00000"/>
      <name val="WenQuanYi Zen Hei"/>
      <family val="2"/>
      <charset val="1"/>
    </font>
    <font>
      <sz val="10"/>
      <color rgb="FFC00000"/>
      <name val="Arial"/>
      <family val="2"/>
      <charset val="1"/>
    </font>
    <font>
      <sz val="10"/>
      <color rgb="FFC00000"/>
      <name val="WenQuanYi Zen Hei"/>
      <family val="2"/>
    </font>
    <font>
      <sz val="10"/>
      <name val="Arial"/>
      <family val="2"/>
    </font>
    <font>
      <b val="true"/>
      <sz val="12"/>
      <name val="HY견고딕"/>
      <family val="3"/>
      <charset val="129"/>
    </font>
    <font>
      <sz val="10"/>
      <name val="맑은 고딕"/>
      <family val="2"/>
      <charset val="129"/>
    </font>
  </fonts>
  <fills count="5">
    <fill>
      <patternFill patternType="none"/>
    </fill>
    <fill>
      <patternFill patternType="gray125"/>
    </fill>
    <fill>
      <patternFill patternType="solid">
        <fgColor rgb="FF5B3F86"/>
        <bgColor rgb="FF7030A0"/>
      </patternFill>
    </fill>
    <fill>
      <patternFill patternType="solid">
        <fgColor rgb="FFD9D9D9"/>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5" fontId="8" fillId="3"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center" vertical="center" textRotation="0" wrapText="true" indent="0" shrinkToFit="false"/>
      <protection locked="true" hidden="false"/>
    </xf>
    <xf numFmtId="164" fontId="15" fillId="2" borderId="0" xfId="0" applyFont="true" applyBorder="fals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17" fillId="4" borderId="0" xfId="0" applyFont="true" applyBorder="false" applyAlignment="true" applyProtection="false">
      <alignment horizontal="center" vertical="center" textRotation="0" wrapText="tru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6" fontId="9"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left" vertical="center" textRotation="0" wrapText="true" indent="0" shrinkToFit="false"/>
      <protection locked="true" hidden="false"/>
    </xf>
    <xf numFmtId="164" fontId="18" fillId="0" borderId="0" xfId="0" applyFont="true" applyBorder="false" applyAlignment="true" applyProtection="false">
      <alignment horizontal="left" vertical="center" textRotation="0" wrapText="true" indent="0" shrinkToFit="false"/>
      <protection locked="true" hidden="false"/>
    </xf>
    <xf numFmtId="164" fontId="20" fillId="4"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left"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6" fontId="22" fillId="0" borderId="0" xfId="0" applyFont="true" applyBorder="false" applyAlignment="true" applyProtection="false">
      <alignment horizontal="center" vertical="center" textRotation="0" wrapText="false" indent="0" shrinkToFit="false"/>
      <protection locked="true" hidden="false"/>
    </xf>
    <xf numFmtId="166" fontId="9" fillId="0" borderId="0" xfId="0" applyFont="true" applyBorder="false" applyAlignment="true" applyProtection="false">
      <alignment horizontal="center" vertical="center" textRotation="0" wrapText="true" indent="0" shrinkToFit="false"/>
      <protection locked="true" hidden="false"/>
    </xf>
    <xf numFmtId="166" fontId="18" fillId="0" borderId="0" xfId="0" applyFont="true" applyBorder="false" applyAlignment="true" applyProtection="false">
      <alignment horizontal="center" vertical="center" textRotation="0" wrapText="true" indent="0" shrinkToFit="false"/>
      <protection locked="true" hidden="false"/>
    </xf>
    <xf numFmtId="166" fontId="21" fillId="0" borderId="0" xfId="0" applyFont="true" applyBorder="fals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true" indent="0" shrinkToFit="false"/>
      <protection locked="true" hidden="false"/>
    </xf>
    <xf numFmtId="164" fontId="10" fillId="3" borderId="0" xfId="0" applyFont="true" applyBorder="false" applyAlignment="true" applyProtection="false">
      <alignment horizontal="center" vertical="center" textRotation="0" wrapText="tru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26"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26"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000"/>
      <rgbColor rgb="FFFF9900"/>
      <rgbColor rgb="FFFF6600"/>
      <rgbColor rgb="FF666699"/>
      <rgbColor rgb="FF70AD47"/>
      <rgbColor rgb="FF003366"/>
      <rgbColor rgb="FF339966"/>
      <rgbColor rgb="FF003300"/>
      <rgbColor rgb="FF333300"/>
      <rgbColor rgb="FF993300"/>
      <rgbColor rgb="FF993366"/>
      <rgbColor rgb="FF5B3F8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83203125" defaultRowHeight="16.5" zeroHeight="false" outlineLevelRow="0" outlineLevelCol="0"/>
  <cols>
    <col collapsed="false" customWidth="true" hidden="false" outlineLevel="0" max="1" min="1" style="1" width="28"/>
    <col collapsed="false" customWidth="true" hidden="false" outlineLevel="0" max="6" min="2" style="1" width="16"/>
  </cols>
  <sheetData>
    <row r="1" customFormat="false" ht="18.75" hidden="false" customHeight="true" outlineLevel="0" collapsed="false">
      <c r="A1" s="2" t="s">
        <v>0</v>
      </c>
    </row>
    <row r="2" customFormat="false" ht="16.5" hidden="true" customHeight="true" outlineLevel="0" collapsed="false">
      <c r="A2" s="3" t="s">
        <v>1</v>
      </c>
    </row>
    <row r="4" customFormat="false" ht="19.5" hidden="false" customHeight="true" outlineLevel="0" collapsed="false">
      <c r="A4" s="4" t="s">
        <v>2</v>
      </c>
      <c r="B4" s="5" t="n">
        <f aca="false">COUNTIF(종합!$B$3:$B$501,"?*")</f>
        <v>299</v>
      </c>
    </row>
    <row r="5" customFormat="false" ht="19.5" hidden="false" customHeight="true" outlineLevel="0" collapsed="false"/>
    <row r="6" customFormat="false" ht="19.5" hidden="false" customHeight="true" outlineLevel="0" collapsed="false">
      <c r="A6" s="4" t="s">
        <v>3</v>
      </c>
      <c r="B6" s="4" t="s">
        <v>4</v>
      </c>
      <c r="C6" s="4" t="s">
        <v>5</v>
      </c>
    </row>
    <row r="7" customFormat="false" ht="19.5" hidden="false" customHeight="true" outlineLevel="0" collapsed="false">
      <c r="A7" s="6" t="s">
        <v>6</v>
      </c>
      <c r="B7" s="6" t="n">
        <f aca="false">COUNTIF(종합!$C$3:$C$501,"?*")</f>
        <v>129</v>
      </c>
      <c r="C7" s="6" t="n">
        <f aca="false">COUNTIF(기술분과!$B$3:$B$452,"?*")</f>
        <v>129</v>
      </c>
    </row>
    <row r="8" customFormat="false" ht="19.5" hidden="false" customHeight="true" outlineLevel="0" collapsed="false">
      <c r="A8" s="6" t="s">
        <v>7</v>
      </c>
      <c r="B8" s="6" t="n">
        <f aca="false">COUNTIF(종합!$D$3:$D$501,"?*")</f>
        <v>127</v>
      </c>
      <c r="C8" s="6" t="n">
        <f aca="false">COUNTIF(산업분과!$B$3:$B$452,"?*")</f>
        <v>127</v>
      </c>
    </row>
    <row r="9" customFormat="false" ht="19.5" hidden="false" customHeight="true" outlineLevel="0" collapsed="false">
      <c r="A9" s="6" t="s">
        <v>8</v>
      </c>
      <c r="B9" s="6" t="n">
        <f aca="false">COUNTIF(종합!$E$3:$E$501,"?*")</f>
        <v>65</v>
      </c>
      <c r="C9" s="6" t="n">
        <f aca="false">COUNTIF(생태계분과!$B$3:$B$452,"?*")</f>
        <v>65</v>
      </c>
    </row>
    <row r="10" customFormat="false" ht="19.5" hidden="false" customHeight="true" outlineLevel="0" collapsed="false">
      <c r="A10" s="6" t="s">
        <v>9</v>
      </c>
      <c r="B10" s="6" t="n">
        <f aca="false">COUNTIF(종합!$F$3:$F$501,"?*")</f>
        <v>35</v>
      </c>
      <c r="C10" s="6" t="n">
        <f aca="false">COUNTIF(안전신뢰분과!$B$3:$B$452,"?*")</f>
        <v>35</v>
      </c>
    </row>
    <row r="11" customFormat="false" ht="19.5" hidden="false" customHeight="true" outlineLevel="0" collapsed="false"/>
    <row r="12" customFormat="false" ht="19.5" hidden="false" customHeight="true" outlineLevel="0" collapsed="false">
      <c r="A12" s="4" t="s">
        <v>10</v>
      </c>
      <c r="B12" s="4" t="s">
        <v>4</v>
      </c>
      <c r="C12" s="4" t="s">
        <v>6</v>
      </c>
      <c r="D12" s="4" t="s">
        <v>7</v>
      </c>
      <c r="E12" s="4" t="s">
        <v>8</v>
      </c>
      <c r="F12" s="4" t="s">
        <v>9</v>
      </c>
    </row>
    <row r="13" customFormat="false" ht="19.5" hidden="false" customHeight="true" outlineLevel="0" collapsed="false">
      <c r="A13" s="6" t="s">
        <v>11</v>
      </c>
      <c r="B13" s="6" t="n">
        <f aca="false">COUNTIF(종합!$G$3:$G$501,"대기업")</f>
        <v>10</v>
      </c>
      <c r="C13" s="6" t="n">
        <f aca="false">COUNTIFS(종합!$G$3:$G$501,"대기업",종합!$C$3:$C$501,"?*")</f>
        <v>3</v>
      </c>
      <c r="D13" s="6" t="n">
        <f aca="false">COUNTIFS(종합!$G$3:$G$501,"대기업",종합!$D$3:$D$501,"?*")</f>
        <v>5</v>
      </c>
      <c r="E13" s="6" t="n">
        <f aca="false">COUNTIFS(종합!$G$3:$G$501,"대기업",종합!$E$3:$E$501,"?*")</f>
        <v>2</v>
      </c>
      <c r="F13" s="6" t="n">
        <f aca="false">COUNTIFS(종합!$G$3:$G$501,"대기업",종합!$F$3:$F$501,"?*")</f>
        <v>0</v>
      </c>
    </row>
    <row r="14" customFormat="false" ht="19.5" hidden="false" customHeight="true" outlineLevel="0" collapsed="false">
      <c r="A14" s="6" t="s">
        <v>12</v>
      </c>
      <c r="B14" s="6" t="n">
        <f aca="false">COUNTIF(종합!$G$3:$G$501,"중견기업")</f>
        <v>18</v>
      </c>
      <c r="C14" s="6" t="n">
        <f aca="false">COUNTIFS(종합!$G$3:$G$501,"중견기업",종합!$C$3:$C$501,"?*")</f>
        <v>7</v>
      </c>
      <c r="D14" s="6" t="n">
        <f aca="false">COUNTIFS(종합!$G$3:$G$501,"중견기업",종합!$D$3:$D$501,"?*")</f>
        <v>7</v>
      </c>
      <c r="E14" s="6" t="n">
        <f aca="false">COUNTIFS(종합!$G$3:$G$501,"중견기업",종합!$E$3:$E$501,"?*")</f>
        <v>9</v>
      </c>
      <c r="F14" s="6" t="n">
        <f aca="false">COUNTIFS(종합!$G$3:$G$501,"중견기업",종합!$F$3:$F$501,"?*")</f>
        <v>1</v>
      </c>
    </row>
    <row r="15" customFormat="false" ht="19.5" hidden="false" customHeight="true" outlineLevel="0" collapsed="false">
      <c r="A15" s="6" t="s">
        <v>13</v>
      </c>
      <c r="B15" s="6" t="n">
        <f aca="false">COUNTIF(종합!$G$3:$G$501,"중소기업")</f>
        <v>249</v>
      </c>
      <c r="C15" s="6" t="n">
        <f aca="false">COUNTIFS(종합!$G$3:$G$501,"중소기업",종합!$C$3:$C$501,"?*")</f>
        <v>115</v>
      </c>
      <c r="D15" s="6" t="n">
        <f aca="false">COUNTIFS(종합!$G$3:$G$501,"중소기업",종합!$D$3:$D$501,"?*")</f>
        <v>111</v>
      </c>
      <c r="E15" s="6" t="n">
        <f aca="false">COUNTIFS(종합!$G$3:$G$501,"중소기업",종합!$E$3:$E$501,"?*")</f>
        <v>45</v>
      </c>
      <c r="F15" s="6" t="n">
        <f aca="false">COUNTIFS(종합!$G$3:$G$501,"중소기업",종합!$F$3:$F$501,"?*")</f>
        <v>26</v>
      </c>
    </row>
    <row r="16" customFormat="false" ht="19.5" hidden="false" customHeight="true" outlineLevel="0" collapsed="false">
      <c r="A16" s="6" t="s">
        <v>14</v>
      </c>
      <c r="B16" s="6" t="n">
        <f aca="false">COUNTIF(종합!$G$3:$G$501,"공공기관")</f>
        <v>7</v>
      </c>
      <c r="C16" s="6" t="n">
        <f aca="false">COUNTIFS(종합!$G$3:$G$501,"공공기관",종합!$C$3:$C$501,"?*")</f>
        <v>2</v>
      </c>
      <c r="D16" s="6" t="n">
        <f aca="false">COUNTIFS(종합!$G$3:$G$501,"공공기관",종합!$D$3:$D$501,"?*")</f>
        <v>1</v>
      </c>
      <c r="E16" s="6" t="n">
        <f aca="false">COUNTIFS(종합!$G$3:$G$501,"공공기관",종합!$E$3:$E$501,"?*")</f>
        <v>1</v>
      </c>
      <c r="F16" s="6" t="n">
        <f aca="false">COUNTIFS(종합!$G$3:$G$501,"공공기관",종합!$F$3:$F$501,"?*")</f>
        <v>3</v>
      </c>
    </row>
    <row r="17" customFormat="false" ht="19.5" hidden="false" customHeight="true" outlineLevel="0" collapsed="false">
      <c r="A17" s="6" t="s">
        <v>15</v>
      </c>
      <c r="B17" s="6" t="n">
        <f aca="false">COUNTIF(종합!$G$3:$G$501,"대학")</f>
        <v>4</v>
      </c>
      <c r="C17" s="6" t="n">
        <f aca="false">COUNTIFS(종합!$G$3:$G$501,"대학",종합!$C$3:$C$501,"?*")</f>
        <v>0</v>
      </c>
      <c r="D17" s="6" t="n">
        <f aca="false">COUNTIFS(종합!$G$3:$G$501,"대학",종합!$D$3:$D$501,"?*")</f>
        <v>0</v>
      </c>
      <c r="E17" s="6" t="n">
        <f aca="false">COUNTIFS(종합!$G$3:$G$501,"대학",종합!$E$3:$E$501,"?*")</f>
        <v>0</v>
      </c>
      <c r="F17" s="6" t="n">
        <f aca="false">COUNTIFS(종합!$G$3:$G$501,"대학",종합!$F$3:$F$501,"?*")</f>
        <v>4</v>
      </c>
    </row>
    <row r="18" customFormat="false" ht="19.5" hidden="false" customHeight="true" outlineLevel="0" collapsed="false">
      <c r="A18" s="6" t="s">
        <v>16</v>
      </c>
      <c r="B18" s="6" t="n">
        <f aca="false">COUNTIF(종합!$G$3:$G$501,"협회·단체")</f>
        <v>11</v>
      </c>
      <c r="C18" s="6" t="n">
        <f aca="false">COUNTIFS(종합!$G$3:$G$501,"협회·단체",종합!$C$3:$C$501,"?*")</f>
        <v>2</v>
      </c>
      <c r="D18" s="6" t="n">
        <f aca="false">COUNTIFS(종합!$G$3:$G$501,"협회·단체",종합!$D$3:$D$501,"?*")</f>
        <v>3</v>
      </c>
      <c r="E18" s="6" t="n">
        <f aca="false">COUNTIFS(종합!$G$3:$G$501,"협회·단체",종합!$E$3:$E$501,"?*")</f>
        <v>8</v>
      </c>
      <c r="F18" s="6" t="n">
        <f aca="false">COUNTIFS(종합!$G$3:$G$501,"협회·단체",종합!$F$3:$F$501,"?*")</f>
        <v>1</v>
      </c>
    </row>
    <row r="19" customFormat="false" ht="19.5" hidden="false" customHeight="true" outlineLevel="0" collapsed="false">
      <c r="A19" s="7" t="s">
        <v>17</v>
      </c>
      <c r="B19" s="7" t="n">
        <f aca="false">SUM(B13:B18)</f>
        <v>299</v>
      </c>
      <c r="C19" s="7" t="n">
        <f aca="false">SUM(C13:C18)</f>
        <v>129</v>
      </c>
      <c r="D19" s="7" t="n">
        <f aca="false">SUM(D13:D18)</f>
        <v>127</v>
      </c>
      <c r="E19" s="7" t="n">
        <f aca="false">SUM(E13:E18)</f>
        <v>65</v>
      </c>
      <c r="F19" s="7" t="n">
        <f aca="false">SUM(F13:F18)</f>
        <v>35</v>
      </c>
    </row>
    <row r="20" customFormat="false" ht="19.5" hidden="true" customHeight="true" outlineLevel="0" collapsed="false">
      <c r="A20" s="8" t="s">
        <v>18</v>
      </c>
      <c r="B20" s="6" t="n">
        <f aca="false">B4-B19</f>
        <v>0</v>
      </c>
    </row>
    <row r="21" customFormat="false" ht="19.5" hidden="true" customHeight="true" outlineLevel="0" collapsed="false">
      <c r="A21" s="8" t="s">
        <v>19</v>
      </c>
      <c r="B21" s="6" t="n">
        <f aca="false">COUNTIF(종합!AA2:AA400,"*유형 확인*")</f>
        <v>0</v>
      </c>
    </row>
    <row r="23" customFormat="false" ht="16.5" hidden="false" customHeight="true" outlineLevel="0" collapsed="false">
      <c r="A23" s="9" t="s">
        <v>20</v>
      </c>
    </row>
    <row r="24" customFormat="false" ht="42" hidden="false" customHeight="true" outlineLevel="0" collapsed="false">
      <c r="A24" s="10" t="s">
        <v>11</v>
      </c>
      <c r="B24" s="11" t="s">
        <v>21</v>
      </c>
      <c r="C24" s="11"/>
      <c r="D24" s="11"/>
      <c r="E24" s="11"/>
      <c r="F24" s="11"/>
    </row>
    <row r="25" customFormat="false" ht="42" hidden="false" customHeight="true" outlineLevel="0" collapsed="false">
      <c r="A25" s="10" t="s">
        <v>12</v>
      </c>
      <c r="B25" s="11" t="s">
        <v>22</v>
      </c>
      <c r="C25" s="11"/>
      <c r="D25" s="11"/>
      <c r="E25" s="11"/>
      <c r="F25" s="11"/>
    </row>
    <row r="26" customFormat="false" ht="42" hidden="false" customHeight="true" outlineLevel="0" collapsed="false">
      <c r="A26" s="10" t="s">
        <v>13</v>
      </c>
      <c r="B26" s="11" t="s">
        <v>23</v>
      </c>
      <c r="C26" s="11"/>
      <c r="D26" s="11"/>
      <c r="E26" s="11"/>
      <c r="F26" s="11"/>
    </row>
    <row r="27" customFormat="false" ht="42" hidden="false" customHeight="true" outlineLevel="0" collapsed="false">
      <c r="A27" s="10" t="s">
        <v>14</v>
      </c>
      <c r="B27" s="11" t="s">
        <v>24</v>
      </c>
      <c r="C27" s="11"/>
      <c r="D27" s="11"/>
      <c r="E27" s="11"/>
      <c r="F27" s="11"/>
    </row>
    <row r="28" customFormat="false" ht="42" hidden="false" customHeight="true" outlineLevel="0" collapsed="false">
      <c r="A28" s="10" t="s">
        <v>15</v>
      </c>
      <c r="B28" s="11" t="s">
        <v>25</v>
      </c>
      <c r="C28" s="11"/>
      <c r="D28" s="11"/>
      <c r="E28" s="11"/>
      <c r="F28" s="11"/>
    </row>
    <row r="29" customFormat="false" ht="42" hidden="false" customHeight="true" outlineLevel="0" collapsed="false">
      <c r="A29" s="10" t="s">
        <v>16</v>
      </c>
      <c r="B29" s="11" t="s">
        <v>26</v>
      </c>
      <c r="C29" s="11"/>
      <c r="D29" s="11"/>
      <c r="E29" s="11"/>
      <c r="F29" s="11"/>
    </row>
  </sheetData>
  <mergeCells count="6">
    <mergeCell ref="B24:F24"/>
    <mergeCell ref="B25:F25"/>
    <mergeCell ref="B26:F26"/>
    <mergeCell ref="B27:F27"/>
    <mergeCell ref="B28:F28"/>
    <mergeCell ref="B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3" activeCellId="0" sqref="A3"/>
    </sheetView>
  </sheetViews>
  <sheetFormatPr defaultColWidth="8.83203125" defaultRowHeight="16.5" zeroHeight="false" outlineLevelRow="0" outlineLevelCol="0"/>
  <cols>
    <col collapsed="false" customWidth="true" hidden="false" outlineLevel="0" max="1" min="1" style="1" width="6"/>
    <col collapsed="false" customWidth="true" hidden="false" outlineLevel="0" max="2" min="2" style="1" width="47"/>
    <col collapsed="false" customWidth="true" hidden="false" outlineLevel="0" max="5" min="3" style="1" width="8"/>
    <col collapsed="false" customWidth="true" hidden="false" outlineLevel="0" max="6" min="6" style="1" width="10"/>
    <col collapsed="false" customWidth="true" hidden="false" outlineLevel="0" max="7" min="7" style="1" width="12"/>
    <col collapsed="false" customWidth="true" hidden="false" outlineLevel="0" max="8" min="8" style="1" width="16"/>
    <col collapsed="false" customWidth="true" hidden="false" outlineLevel="0" max="9" min="9" style="1" width="28"/>
    <col collapsed="false" customWidth="true" hidden="false" outlineLevel="0" max="10" min="10" style="1" width="17"/>
    <col collapsed="false" customWidth="true" hidden="false" outlineLevel="0" max="11" min="11" style="1" width="47"/>
    <col collapsed="false" customWidth="true" hidden="false" outlineLevel="0" max="12" min="12" style="1" width="34"/>
    <col collapsed="false" customWidth="true" hidden="false" outlineLevel="0" max="13" min="13" style="1" width="90"/>
    <col collapsed="false" customWidth="true" hidden="false" outlineLevel="0" max="14" min="14" style="1" width="60"/>
    <col collapsed="false" customWidth="true" hidden="false" outlineLevel="0" max="15" min="15" style="1" width="13"/>
    <col collapsed="false" customWidth="true" hidden="false" outlineLevel="0" max="16" min="16" style="1" width="54"/>
    <col collapsed="false" customWidth="true" hidden="false" outlineLevel="0" max="17" min="17" style="1" width="31"/>
    <col collapsed="false" customWidth="true" hidden="false" outlineLevel="0" max="18" min="18" style="1" width="26"/>
    <col collapsed="false" customWidth="true" hidden="false" outlineLevel="0" max="19" min="19" style="1" width="41"/>
    <col collapsed="false" customWidth="true" hidden="false" outlineLevel="0" max="20" min="20" style="1" width="17"/>
    <col collapsed="false" customWidth="true" hidden="false" outlineLevel="0" max="21" min="21" style="1" width="29"/>
    <col collapsed="false" customWidth="true" hidden="false" outlineLevel="0" max="22" min="22" style="1" width="53"/>
    <col collapsed="false" customWidth="true" hidden="false" outlineLevel="0" max="23" min="23" style="1" width="35"/>
    <col collapsed="false" customWidth="true" hidden="false" outlineLevel="0" max="24" min="24" style="1" width="29"/>
    <col collapsed="false" customWidth="true" hidden="false" outlineLevel="0" max="25" min="25" style="1" width="68"/>
    <col collapsed="false" customWidth="true" hidden="false" outlineLevel="0" max="26" min="26" style="1" width="29"/>
    <col collapsed="false" customWidth="true" hidden="true" outlineLevel="0" max="27" min="27" style="1" width="17.33"/>
    <col collapsed="false" customWidth="true" hidden="true" outlineLevel="0" max="31" min="28" style="1" width="13"/>
  </cols>
  <sheetData>
    <row r="1" customFormat="false" ht="20.25" hidden="false" customHeight="true" outlineLevel="0" collapsed="false">
      <c r="A1" s="12" t="s">
        <v>27</v>
      </c>
      <c r="B1" s="12"/>
      <c r="C1" s="12"/>
      <c r="D1" s="12"/>
      <c r="E1" s="12"/>
      <c r="F1" s="12"/>
      <c r="G1" s="12"/>
      <c r="H1" s="12"/>
      <c r="I1" s="12"/>
      <c r="J1" s="12"/>
      <c r="K1" s="12"/>
      <c r="L1" s="12"/>
      <c r="M1" s="12"/>
      <c r="N1" s="12"/>
      <c r="O1" s="12" t="s">
        <v>28</v>
      </c>
      <c r="P1" s="12"/>
      <c r="Q1" s="12"/>
      <c r="R1" s="12"/>
      <c r="S1" s="12"/>
      <c r="T1" s="12"/>
      <c r="U1" s="12" t="s">
        <v>29</v>
      </c>
      <c r="V1" s="12"/>
      <c r="W1" s="12"/>
      <c r="X1" s="12"/>
      <c r="Y1" s="12"/>
      <c r="Z1" s="12"/>
      <c r="AB1" s="13" t="s">
        <v>30</v>
      </c>
      <c r="AC1" s="13"/>
      <c r="AD1" s="13"/>
      <c r="AE1" s="13"/>
    </row>
    <row r="2" customFormat="false" ht="46.5" hidden="false" customHeight="true" outlineLevel="0" collapsed="false">
      <c r="A2" s="14" t="s">
        <v>31</v>
      </c>
      <c r="B2" s="15" t="s">
        <v>32</v>
      </c>
      <c r="C2" s="15" t="s">
        <v>6</v>
      </c>
      <c r="D2" s="15" t="s">
        <v>7</v>
      </c>
      <c r="E2" s="15" t="s">
        <v>8</v>
      </c>
      <c r="F2" s="15" t="s">
        <v>9</v>
      </c>
      <c r="G2" s="15" t="s">
        <v>10</v>
      </c>
      <c r="H2" s="15" t="s">
        <v>33</v>
      </c>
      <c r="I2" s="15" t="s">
        <v>34</v>
      </c>
      <c r="J2" s="15" t="s">
        <v>35</v>
      </c>
      <c r="K2" s="15" t="s">
        <v>36</v>
      </c>
      <c r="L2" s="15" t="s">
        <v>37</v>
      </c>
      <c r="M2" s="15" t="s">
        <v>38</v>
      </c>
      <c r="N2" s="14" t="s">
        <v>39</v>
      </c>
      <c r="O2" s="15" t="s">
        <v>40</v>
      </c>
      <c r="P2" s="15" t="s">
        <v>41</v>
      </c>
      <c r="Q2" s="15" t="s">
        <v>42</v>
      </c>
      <c r="R2" s="15" t="s">
        <v>43</v>
      </c>
      <c r="S2" s="15" t="s">
        <v>44</v>
      </c>
      <c r="T2" s="15" t="s">
        <v>45</v>
      </c>
      <c r="U2" s="15" t="s">
        <v>46</v>
      </c>
      <c r="V2" s="15" t="s">
        <v>47</v>
      </c>
      <c r="W2" s="15" t="s">
        <v>48</v>
      </c>
      <c r="X2" s="15" t="s">
        <v>49</v>
      </c>
      <c r="Y2" s="15" t="s">
        <v>50</v>
      </c>
      <c r="Z2" s="15" t="s">
        <v>51</v>
      </c>
      <c r="AA2" s="15" t="s">
        <v>52</v>
      </c>
      <c r="AB2" s="16" t="s">
        <v>6</v>
      </c>
      <c r="AC2" s="16" t="s">
        <v>7</v>
      </c>
      <c r="AD2" s="16" t="s">
        <v>8</v>
      </c>
      <c r="AE2" s="16" t="s">
        <v>9</v>
      </c>
    </row>
    <row r="3" customFormat="false" ht="22.5" hidden="false" customHeight="true" outlineLevel="0" collapsed="false">
      <c r="A3" s="17" t="n">
        <f aca="false">IF(B3="","",ROW()-2)</f>
        <v>1</v>
      </c>
      <c r="B3" s="18" t="s">
        <v>53</v>
      </c>
      <c r="C3" s="19"/>
      <c r="D3" s="19" t="s">
        <v>54</v>
      </c>
      <c r="E3" s="19"/>
      <c r="F3" s="19"/>
      <c r="G3" s="18" t="s">
        <v>13</v>
      </c>
      <c r="H3" s="20" t="s">
        <v>55</v>
      </c>
      <c r="I3" s="21" t="s">
        <v>56</v>
      </c>
      <c r="J3" s="20" t="s">
        <v>57</v>
      </c>
      <c r="K3" s="20" t="s">
        <v>58</v>
      </c>
      <c r="L3" s="20" t="s">
        <v>59</v>
      </c>
      <c r="M3" s="21" t="s">
        <v>60</v>
      </c>
      <c r="N3" s="22" t="s">
        <v>61</v>
      </c>
      <c r="O3" s="21" t="s">
        <v>56</v>
      </c>
      <c r="P3" s="20" t="s">
        <v>62</v>
      </c>
      <c r="Q3" s="21" t="s">
        <v>63</v>
      </c>
      <c r="R3" s="20" t="s">
        <v>62</v>
      </c>
      <c r="S3" s="20" t="s">
        <v>64</v>
      </c>
      <c r="T3" s="20" t="s">
        <v>65</v>
      </c>
      <c r="U3" s="21" t="s">
        <v>66</v>
      </c>
      <c r="V3" s="20" t="s">
        <v>67</v>
      </c>
      <c r="W3" s="21" t="s">
        <v>68</v>
      </c>
      <c r="X3" s="20" t="s">
        <v>62</v>
      </c>
      <c r="Y3" s="20" t="s">
        <v>69</v>
      </c>
      <c r="Z3" s="20" t="s">
        <v>70</v>
      </c>
      <c r="AA3" s="23"/>
      <c r="AB3" s="24" t="str">
        <f aca="false">IF(LEN($C3)&gt;0,COUNT(AB$1:AB2)+1,"")</f>
        <v/>
      </c>
      <c r="AC3" s="24" t="n">
        <f aca="false">IF(LEN($D3)&gt;0,COUNT(AC$1:AC2)+1,"")</f>
        <v>1</v>
      </c>
      <c r="AD3" s="24" t="str">
        <f aca="false">IF(LEN($E3)&gt;0,COUNT(AD$1:AD2)+1,"")</f>
        <v/>
      </c>
      <c r="AE3" s="24" t="str">
        <f aca="false">IF(LEN($F3)&gt;0,COUNT(AE$1:AE2)+1,"")</f>
        <v/>
      </c>
    </row>
    <row r="4" customFormat="false" ht="33.75" hidden="false" customHeight="true" outlineLevel="0" collapsed="false">
      <c r="A4" s="18" t="n">
        <f aca="false">IF(B4="","",ROW()-2)</f>
        <v>2</v>
      </c>
      <c r="B4" s="18" t="s">
        <v>71</v>
      </c>
      <c r="C4" s="19"/>
      <c r="D4" s="19" t="s">
        <v>54</v>
      </c>
      <c r="E4" s="19"/>
      <c r="F4" s="19"/>
      <c r="G4" s="18" t="s">
        <v>13</v>
      </c>
      <c r="H4" s="20" t="s">
        <v>72</v>
      </c>
      <c r="I4" s="21" t="s">
        <v>73</v>
      </c>
      <c r="J4" s="20" t="s">
        <v>74</v>
      </c>
      <c r="K4" s="20" t="s">
        <v>75</v>
      </c>
      <c r="L4" s="20" t="s">
        <v>76</v>
      </c>
      <c r="M4" s="21" t="s">
        <v>77</v>
      </c>
      <c r="N4" s="25" t="s">
        <v>78</v>
      </c>
      <c r="O4" s="21" t="s">
        <v>73</v>
      </c>
      <c r="P4" s="21" t="s">
        <v>79</v>
      </c>
      <c r="Q4" s="21" t="s">
        <v>79</v>
      </c>
      <c r="R4" s="20" t="s">
        <v>74</v>
      </c>
      <c r="S4" s="20" t="s">
        <v>80</v>
      </c>
      <c r="T4" s="20" t="s">
        <v>81</v>
      </c>
      <c r="U4" s="21" t="s">
        <v>82</v>
      </c>
      <c r="V4" s="21" t="s">
        <v>83</v>
      </c>
      <c r="W4" s="21" t="s">
        <v>84</v>
      </c>
      <c r="X4" s="20" t="s">
        <v>74</v>
      </c>
      <c r="Y4" s="20" t="s">
        <v>85</v>
      </c>
      <c r="Z4" s="20" t="s">
        <v>86</v>
      </c>
      <c r="AA4" s="23" t="s">
        <v>87</v>
      </c>
      <c r="AB4" s="24" t="str">
        <f aca="false">IF(LEN($C4)&gt;0,COUNT(AB$1:AB3)+1,"")</f>
        <v/>
      </c>
      <c r="AC4" s="24" t="n">
        <f aca="false">IF(LEN($D4)&gt;0,COUNT(AC$1:AC3)+1,"")</f>
        <v>2</v>
      </c>
      <c r="AD4" s="24" t="str">
        <f aca="false">IF(LEN($E4)&gt;0,COUNT(AD$1:AD3)+1,"")</f>
        <v/>
      </c>
      <c r="AE4" s="24" t="str">
        <f aca="false">IF(LEN($F4)&gt;0,COUNT(AE$1:AE3)+1,"")</f>
        <v/>
      </c>
    </row>
    <row r="5" customFormat="false" ht="22.5" hidden="false" customHeight="true" outlineLevel="0" collapsed="false">
      <c r="A5" s="18" t="n">
        <f aca="false">IF(B5="","",ROW()-2)</f>
        <v>3</v>
      </c>
      <c r="B5" s="18" t="s">
        <v>88</v>
      </c>
      <c r="C5" s="19"/>
      <c r="D5" s="19" t="s">
        <v>54</v>
      </c>
      <c r="E5" s="19"/>
      <c r="F5" s="19"/>
      <c r="G5" s="18" t="s">
        <v>13</v>
      </c>
      <c r="H5" s="20" t="s">
        <v>89</v>
      </c>
      <c r="I5" s="21" t="s">
        <v>90</v>
      </c>
      <c r="J5" s="20" t="s">
        <v>91</v>
      </c>
      <c r="K5" s="20" t="s">
        <v>92</v>
      </c>
      <c r="L5" s="20" t="s">
        <v>93</v>
      </c>
      <c r="M5" s="21" t="s">
        <v>94</v>
      </c>
      <c r="N5" s="22" t="s">
        <v>95</v>
      </c>
      <c r="O5" s="21" t="s">
        <v>90</v>
      </c>
      <c r="P5" s="21" t="s">
        <v>96</v>
      </c>
      <c r="Q5" s="21" t="s">
        <v>79</v>
      </c>
      <c r="R5" s="20" t="s">
        <v>91</v>
      </c>
      <c r="S5" s="20" t="s">
        <v>97</v>
      </c>
      <c r="T5" s="20" t="s">
        <v>91</v>
      </c>
      <c r="U5" s="21" t="s">
        <v>90</v>
      </c>
      <c r="V5" s="21" t="s">
        <v>96</v>
      </c>
      <c r="W5" s="21" t="s">
        <v>79</v>
      </c>
      <c r="X5" s="20" t="s">
        <v>91</v>
      </c>
      <c r="Y5" s="20" t="s">
        <v>97</v>
      </c>
      <c r="Z5" s="20" t="s">
        <v>91</v>
      </c>
      <c r="AA5" s="23"/>
      <c r="AB5" s="24" t="str">
        <f aca="false">IF(LEN($C5)&gt;0,COUNT(AB$1:AB4)+1,"")</f>
        <v/>
      </c>
      <c r="AC5" s="24" t="n">
        <f aca="false">IF(LEN($D5)&gt;0,COUNT(AC$1:AC4)+1,"")</f>
        <v>3</v>
      </c>
      <c r="AD5" s="24" t="str">
        <f aca="false">IF(LEN($E5)&gt;0,COUNT(AD$1:AD4)+1,"")</f>
        <v/>
      </c>
      <c r="AE5" s="24" t="str">
        <f aca="false">IF(LEN($F5)&gt;0,COUNT(AE$1:AE4)+1,"")</f>
        <v/>
      </c>
    </row>
    <row r="6" customFormat="false" ht="22.5" hidden="false" customHeight="true" outlineLevel="0" collapsed="false">
      <c r="A6" s="18" t="n">
        <f aca="false">IF(B6="","",ROW()-2)</f>
        <v>4</v>
      </c>
      <c r="B6" s="18" t="s">
        <v>98</v>
      </c>
      <c r="C6" s="19"/>
      <c r="D6" s="19" t="s">
        <v>54</v>
      </c>
      <c r="E6" s="19"/>
      <c r="F6" s="19"/>
      <c r="G6" s="18" t="s">
        <v>13</v>
      </c>
      <c r="H6" s="20" t="s">
        <v>99</v>
      </c>
      <c r="I6" s="21" t="s">
        <v>100</v>
      </c>
      <c r="J6" s="20" t="s">
        <v>101</v>
      </c>
      <c r="K6" s="20" t="s">
        <v>102</v>
      </c>
      <c r="L6" s="20" t="s">
        <v>103</v>
      </c>
      <c r="M6" s="21" t="s">
        <v>104</v>
      </c>
      <c r="N6" s="25" t="s">
        <v>105</v>
      </c>
      <c r="O6" s="21" t="s">
        <v>100</v>
      </c>
      <c r="P6" s="21" t="s">
        <v>106</v>
      </c>
      <c r="Q6" s="21" t="s">
        <v>63</v>
      </c>
      <c r="R6" s="20" t="s">
        <v>101</v>
      </c>
      <c r="S6" s="20" t="s">
        <v>107</v>
      </c>
      <c r="T6" s="20" t="s">
        <v>108</v>
      </c>
      <c r="U6" s="21" t="s">
        <v>109</v>
      </c>
      <c r="V6" s="21" t="s">
        <v>110</v>
      </c>
      <c r="W6" s="21" t="s">
        <v>68</v>
      </c>
      <c r="X6" s="20" t="s">
        <v>101</v>
      </c>
      <c r="Y6" s="20" t="s">
        <v>111</v>
      </c>
      <c r="Z6" s="20" t="s">
        <v>112</v>
      </c>
      <c r="AA6" s="23" t="s">
        <v>87</v>
      </c>
      <c r="AB6" s="24" t="str">
        <f aca="false">IF(LEN($C6)&gt;0,COUNT(AB$1:AB5)+1,"")</f>
        <v/>
      </c>
      <c r="AC6" s="24" t="n">
        <f aca="false">IF(LEN($D6)&gt;0,COUNT(AC$1:AC5)+1,"")</f>
        <v>4</v>
      </c>
      <c r="AD6" s="24" t="str">
        <f aca="false">IF(LEN($E6)&gt;0,COUNT(AD$1:AD5)+1,"")</f>
        <v/>
      </c>
      <c r="AE6" s="24" t="str">
        <f aca="false">IF(LEN($F6)&gt;0,COUNT(AE$1:AE5)+1,"")</f>
        <v/>
      </c>
    </row>
    <row r="7" customFormat="false" ht="33.75" hidden="false" customHeight="true" outlineLevel="0" collapsed="false">
      <c r="A7" s="18" t="n">
        <f aca="false">IF(B7="","",ROW()-2)</f>
        <v>5</v>
      </c>
      <c r="B7" s="18" t="s">
        <v>113</v>
      </c>
      <c r="C7" s="19"/>
      <c r="D7" s="19" t="s">
        <v>54</v>
      </c>
      <c r="E7" s="19"/>
      <c r="F7" s="19"/>
      <c r="G7" s="18" t="s">
        <v>13</v>
      </c>
      <c r="H7" s="20" t="s">
        <v>114</v>
      </c>
      <c r="I7" s="21" t="s">
        <v>115</v>
      </c>
      <c r="J7" s="20" t="s">
        <v>116</v>
      </c>
      <c r="K7" s="20" t="s">
        <v>117</v>
      </c>
      <c r="L7" s="20" t="s">
        <v>118</v>
      </c>
      <c r="M7" s="21" t="s">
        <v>119</v>
      </c>
      <c r="N7" s="25" t="s">
        <v>120</v>
      </c>
      <c r="O7" s="21" t="s">
        <v>115</v>
      </c>
      <c r="P7" s="21" t="s">
        <v>121</v>
      </c>
      <c r="Q7" s="21" t="s">
        <v>79</v>
      </c>
      <c r="R7" s="20" t="s">
        <v>122</v>
      </c>
      <c r="S7" s="20" t="s">
        <v>123</v>
      </c>
      <c r="T7" s="20" t="s">
        <v>116</v>
      </c>
      <c r="U7" s="21" t="s">
        <v>115</v>
      </c>
      <c r="V7" s="21" t="s">
        <v>121</v>
      </c>
      <c r="W7" s="21" t="s">
        <v>79</v>
      </c>
      <c r="X7" s="20" t="s">
        <v>122</v>
      </c>
      <c r="Y7" s="20" t="s">
        <v>123</v>
      </c>
      <c r="Z7" s="20" t="s">
        <v>116</v>
      </c>
      <c r="AA7" s="23" t="s">
        <v>87</v>
      </c>
      <c r="AB7" s="24" t="str">
        <f aca="false">IF(LEN($C7)&gt;0,COUNT(AB$1:AB6)+1,"")</f>
        <v/>
      </c>
      <c r="AC7" s="24" t="n">
        <f aca="false">IF(LEN($D7)&gt;0,COUNT(AC$1:AC6)+1,"")</f>
        <v>5</v>
      </c>
      <c r="AD7" s="24" t="str">
        <f aca="false">IF(LEN($E7)&gt;0,COUNT(AD$1:AD6)+1,"")</f>
        <v/>
      </c>
      <c r="AE7" s="24" t="str">
        <f aca="false">IF(LEN($F7)&gt;0,COUNT(AE$1:AE6)+1,"")</f>
        <v/>
      </c>
    </row>
    <row r="8" customFormat="false" ht="22.5" hidden="false" customHeight="true" outlineLevel="0" collapsed="false">
      <c r="A8" s="18" t="n">
        <f aca="false">IF(B8="","",ROW()-2)</f>
        <v>6</v>
      </c>
      <c r="B8" s="18" t="s">
        <v>124</v>
      </c>
      <c r="C8" s="19"/>
      <c r="D8" s="19" t="s">
        <v>54</v>
      </c>
      <c r="E8" s="19"/>
      <c r="F8" s="19"/>
      <c r="G8" s="18" t="s">
        <v>13</v>
      </c>
      <c r="H8" s="20" t="s">
        <v>125</v>
      </c>
      <c r="I8" s="21" t="s">
        <v>126</v>
      </c>
      <c r="J8" s="20" t="s">
        <v>127</v>
      </c>
      <c r="K8" s="20" t="s">
        <v>128</v>
      </c>
      <c r="L8" s="20" t="s">
        <v>129</v>
      </c>
      <c r="M8" s="21" t="s">
        <v>130</v>
      </c>
      <c r="N8" s="25" t="s">
        <v>131</v>
      </c>
      <c r="O8" s="21" t="s">
        <v>132</v>
      </c>
      <c r="P8" s="20" t="s">
        <v>133</v>
      </c>
      <c r="Q8" s="21" t="s">
        <v>134</v>
      </c>
      <c r="R8" s="20" t="s">
        <v>135</v>
      </c>
      <c r="S8" s="20" t="s">
        <v>136</v>
      </c>
      <c r="T8" s="20" t="s">
        <v>135</v>
      </c>
      <c r="U8" s="21" t="s">
        <v>137</v>
      </c>
      <c r="V8" s="20" t="s">
        <v>138</v>
      </c>
      <c r="W8" s="21" t="s">
        <v>139</v>
      </c>
      <c r="X8" s="20" t="s">
        <v>140</v>
      </c>
      <c r="Y8" s="20" t="s">
        <v>141</v>
      </c>
      <c r="Z8" s="20" t="s">
        <v>142</v>
      </c>
      <c r="AA8" s="23"/>
      <c r="AB8" s="24" t="str">
        <f aca="false">IF(LEN($C8)&gt;0,COUNT(AB$1:AB7)+1,"")</f>
        <v/>
      </c>
      <c r="AC8" s="24" t="n">
        <f aca="false">IF(LEN($D8)&gt;0,COUNT(AC$1:AC7)+1,"")</f>
        <v>6</v>
      </c>
      <c r="AD8" s="24" t="str">
        <f aca="false">IF(LEN($E8)&gt;0,COUNT(AD$1:AD7)+1,"")</f>
        <v/>
      </c>
      <c r="AE8" s="24" t="str">
        <f aca="false">IF(LEN($F8)&gt;0,COUNT(AE$1:AE7)+1,"")</f>
        <v/>
      </c>
    </row>
    <row r="9" customFormat="false" ht="33.75" hidden="false" customHeight="true" outlineLevel="0" collapsed="false">
      <c r="A9" s="18" t="n">
        <f aca="false">IF(B9="","",ROW()-2)</f>
        <v>7</v>
      </c>
      <c r="B9" s="17" t="s">
        <v>143</v>
      </c>
      <c r="C9" s="19"/>
      <c r="D9" s="19" t="s">
        <v>54</v>
      </c>
      <c r="E9" s="19" t="s">
        <v>54</v>
      </c>
      <c r="F9" s="19"/>
      <c r="G9" s="18" t="s">
        <v>13</v>
      </c>
      <c r="H9" s="20" t="s">
        <v>144</v>
      </c>
      <c r="I9" s="21" t="s">
        <v>145</v>
      </c>
      <c r="J9" s="20" t="s">
        <v>146</v>
      </c>
      <c r="K9" s="20" t="s">
        <v>147</v>
      </c>
      <c r="L9" s="20" t="s">
        <v>148</v>
      </c>
      <c r="M9" s="21" t="s">
        <v>149</v>
      </c>
      <c r="N9" s="25" t="s">
        <v>150</v>
      </c>
      <c r="O9" s="21" t="s">
        <v>151</v>
      </c>
      <c r="P9" s="21" t="s">
        <v>152</v>
      </c>
      <c r="Q9" s="21" t="s">
        <v>68</v>
      </c>
      <c r="R9" s="20" t="s">
        <v>153</v>
      </c>
      <c r="S9" s="20" t="s">
        <v>154</v>
      </c>
      <c r="T9" s="20" t="s">
        <v>153</v>
      </c>
      <c r="U9" s="21" t="s">
        <v>155</v>
      </c>
      <c r="V9" s="21" t="s">
        <v>156</v>
      </c>
      <c r="W9" s="21" t="s">
        <v>157</v>
      </c>
      <c r="X9" s="20" t="s">
        <v>158</v>
      </c>
      <c r="Y9" s="20" t="s">
        <v>159</v>
      </c>
      <c r="Z9" s="20" t="s">
        <v>158</v>
      </c>
      <c r="AA9" s="23"/>
      <c r="AB9" s="24" t="str">
        <f aca="false">IF(LEN($C9)&gt;0,COUNT(AB$1:AB8)+1,"")</f>
        <v/>
      </c>
      <c r="AC9" s="24" t="n">
        <f aca="false">IF(LEN($D9)&gt;0,COUNT(AC$1:AC8)+1,"")</f>
        <v>7</v>
      </c>
      <c r="AD9" s="24" t="n">
        <f aca="false">IF(LEN($E9)&gt;0,COUNT(AD$1:AD8)+1,"")</f>
        <v>1</v>
      </c>
      <c r="AE9" s="24" t="str">
        <f aca="false">IF(LEN($F9)&gt;0,COUNT(AE$1:AE8)+1,"")</f>
        <v/>
      </c>
    </row>
    <row r="10" customFormat="false" ht="22.5" hidden="false" customHeight="true" outlineLevel="0" collapsed="false">
      <c r="A10" s="18" t="n">
        <f aca="false">IF(B10="","",ROW()-2)</f>
        <v>8</v>
      </c>
      <c r="B10" s="18" t="s">
        <v>160</v>
      </c>
      <c r="C10" s="19"/>
      <c r="D10" s="19" t="s">
        <v>54</v>
      </c>
      <c r="E10" s="19"/>
      <c r="F10" s="19"/>
      <c r="G10" s="18" t="s">
        <v>13</v>
      </c>
      <c r="H10" s="20" t="s">
        <v>161</v>
      </c>
      <c r="I10" s="21" t="s">
        <v>162</v>
      </c>
      <c r="J10" s="20" t="s">
        <v>163</v>
      </c>
      <c r="K10" s="20" t="s">
        <v>164</v>
      </c>
      <c r="L10" s="20" t="s">
        <v>165</v>
      </c>
      <c r="M10" s="21" t="s">
        <v>166</v>
      </c>
      <c r="N10" s="22" t="s">
        <v>167</v>
      </c>
      <c r="O10" s="21" t="s">
        <v>162</v>
      </c>
      <c r="P10" s="20" t="s">
        <v>62</v>
      </c>
      <c r="Q10" s="21" t="s">
        <v>63</v>
      </c>
      <c r="R10" s="20" t="s">
        <v>168</v>
      </c>
      <c r="S10" s="20" t="s">
        <v>169</v>
      </c>
      <c r="T10" s="20" t="s">
        <v>170</v>
      </c>
      <c r="U10" s="21" t="s">
        <v>171</v>
      </c>
      <c r="V10" s="20" t="s">
        <v>62</v>
      </c>
      <c r="W10" s="21" t="s">
        <v>172</v>
      </c>
      <c r="X10" s="20" t="s">
        <v>173</v>
      </c>
      <c r="Y10" s="20" t="s">
        <v>174</v>
      </c>
      <c r="Z10" s="20" t="s">
        <v>175</v>
      </c>
      <c r="AA10" s="23"/>
      <c r="AB10" s="24" t="str">
        <f aca="false">IF(LEN($C10)&gt;0,COUNT(AB$1:AB9)+1,"")</f>
        <v/>
      </c>
      <c r="AC10" s="24" t="n">
        <f aca="false">IF(LEN($D10)&gt;0,COUNT(AC$1:AC9)+1,"")</f>
        <v>8</v>
      </c>
      <c r="AD10" s="24" t="str">
        <f aca="false">IF(LEN($E10)&gt;0,COUNT(AD$1:AD9)+1,"")</f>
        <v/>
      </c>
      <c r="AE10" s="24" t="str">
        <f aca="false">IF(LEN($F10)&gt;0,COUNT(AE$1:AE9)+1,"")</f>
        <v/>
      </c>
    </row>
    <row r="11" customFormat="false" ht="22.5" hidden="false" customHeight="true" outlineLevel="0" collapsed="false">
      <c r="A11" s="18" t="n">
        <f aca="false">IF(B11="","",ROW()-2)</f>
        <v>9</v>
      </c>
      <c r="B11" s="18" t="s">
        <v>176</v>
      </c>
      <c r="C11" s="19"/>
      <c r="D11" s="19" t="s">
        <v>54</v>
      </c>
      <c r="E11" s="19"/>
      <c r="F11" s="19"/>
      <c r="G11" s="18" t="s">
        <v>13</v>
      </c>
      <c r="H11" s="20" t="s">
        <v>177</v>
      </c>
      <c r="I11" s="21" t="s">
        <v>178</v>
      </c>
      <c r="J11" s="20" t="s">
        <v>179</v>
      </c>
      <c r="K11" s="20" t="s">
        <v>180</v>
      </c>
      <c r="L11" s="20" t="s">
        <v>181</v>
      </c>
      <c r="M11" s="21" t="s">
        <v>182</v>
      </c>
      <c r="N11" s="25" t="s">
        <v>183</v>
      </c>
      <c r="O11" s="21" t="s">
        <v>184</v>
      </c>
      <c r="P11" s="20" t="s">
        <v>185</v>
      </c>
      <c r="Q11" s="20" t="s">
        <v>185</v>
      </c>
      <c r="R11" s="20" t="s">
        <v>186</v>
      </c>
      <c r="S11" s="20" t="s">
        <v>181</v>
      </c>
      <c r="T11" s="20" t="s">
        <v>186</v>
      </c>
      <c r="U11" s="21" t="s">
        <v>184</v>
      </c>
      <c r="V11" s="20" t="s">
        <v>185</v>
      </c>
      <c r="W11" s="20" t="s">
        <v>185</v>
      </c>
      <c r="X11" s="20" t="s">
        <v>186</v>
      </c>
      <c r="Y11" s="20" t="s">
        <v>181</v>
      </c>
      <c r="Z11" s="20" t="s">
        <v>186</v>
      </c>
      <c r="AA11" s="23" t="s">
        <v>87</v>
      </c>
      <c r="AB11" s="24" t="str">
        <f aca="false">IF(LEN($C11)&gt;0,COUNT(AB$1:AB10)+1,"")</f>
        <v/>
      </c>
      <c r="AC11" s="24" t="n">
        <f aca="false">IF(LEN($D11)&gt;0,COUNT(AC$1:AC10)+1,"")</f>
        <v>9</v>
      </c>
      <c r="AD11" s="24" t="str">
        <f aca="false">IF(LEN($E11)&gt;0,COUNT(AD$1:AD10)+1,"")</f>
        <v/>
      </c>
      <c r="AE11" s="24" t="str">
        <f aca="false">IF(LEN($F11)&gt;0,COUNT(AE$1:AE10)+1,"")</f>
        <v/>
      </c>
    </row>
    <row r="12" customFormat="false" ht="22.5" hidden="false" customHeight="true" outlineLevel="0" collapsed="false">
      <c r="A12" s="18" t="n">
        <f aca="false">IF(B12="","",ROW()-2)</f>
        <v>10</v>
      </c>
      <c r="B12" s="18" t="s">
        <v>187</v>
      </c>
      <c r="C12" s="19"/>
      <c r="D12" s="19" t="s">
        <v>54</v>
      </c>
      <c r="E12" s="19"/>
      <c r="F12" s="19"/>
      <c r="G12" s="18" t="s">
        <v>13</v>
      </c>
      <c r="H12" s="20" t="s">
        <v>188</v>
      </c>
      <c r="I12" s="21" t="s">
        <v>189</v>
      </c>
      <c r="J12" s="20" t="s">
        <v>190</v>
      </c>
      <c r="K12" s="20" t="s">
        <v>191</v>
      </c>
      <c r="L12" s="20" t="s">
        <v>192</v>
      </c>
      <c r="M12" s="21" t="s">
        <v>193</v>
      </c>
      <c r="N12" s="25" t="s">
        <v>194</v>
      </c>
      <c r="O12" s="21" t="s">
        <v>189</v>
      </c>
      <c r="P12" s="21" t="s">
        <v>96</v>
      </c>
      <c r="Q12" s="21" t="s">
        <v>63</v>
      </c>
      <c r="R12" s="20" t="s">
        <v>190</v>
      </c>
      <c r="S12" s="20" t="s">
        <v>195</v>
      </c>
      <c r="T12" s="20" t="s">
        <v>196</v>
      </c>
      <c r="U12" s="21" t="s">
        <v>197</v>
      </c>
      <c r="V12" s="21" t="s">
        <v>96</v>
      </c>
      <c r="W12" s="21" t="s">
        <v>198</v>
      </c>
      <c r="X12" s="20" t="s">
        <v>190</v>
      </c>
      <c r="Y12" s="20" t="s">
        <v>195</v>
      </c>
      <c r="Z12" s="20" t="s">
        <v>199</v>
      </c>
      <c r="AA12" s="23"/>
      <c r="AB12" s="24" t="str">
        <f aca="false">IF(LEN($C12)&gt;0,COUNT(AB$1:AB11)+1,"")</f>
        <v/>
      </c>
      <c r="AC12" s="24" t="n">
        <f aca="false">IF(LEN($D12)&gt;0,COUNT(AC$1:AC11)+1,"")</f>
        <v>10</v>
      </c>
      <c r="AD12" s="24" t="str">
        <f aca="false">IF(LEN($E12)&gt;0,COUNT(AD$1:AD11)+1,"")</f>
        <v/>
      </c>
      <c r="AE12" s="24" t="str">
        <f aca="false">IF(LEN($F12)&gt;0,COUNT(AE$1:AE11)+1,"")</f>
        <v/>
      </c>
    </row>
    <row r="13" customFormat="false" ht="22.5" hidden="false" customHeight="true" outlineLevel="0" collapsed="false">
      <c r="A13" s="18" t="n">
        <f aca="false">IF(B13="","",ROW()-2)</f>
        <v>11</v>
      </c>
      <c r="B13" s="18" t="s">
        <v>200</v>
      </c>
      <c r="C13" s="19"/>
      <c r="D13" s="19" t="s">
        <v>54</v>
      </c>
      <c r="E13" s="19"/>
      <c r="F13" s="19"/>
      <c r="G13" s="18" t="s">
        <v>13</v>
      </c>
      <c r="H13" s="20" t="s">
        <v>201</v>
      </c>
      <c r="I13" s="21" t="s">
        <v>202</v>
      </c>
      <c r="J13" s="20" t="s">
        <v>203</v>
      </c>
      <c r="K13" s="20" t="s">
        <v>204</v>
      </c>
      <c r="L13" s="20" t="s">
        <v>205</v>
      </c>
      <c r="M13" s="21" t="s">
        <v>206</v>
      </c>
      <c r="N13" s="22" t="s">
        <v>207</v>
      </c>
      <c r="O13" s="21" t="s">
        <v>202</v>
      </c>
      <c r="P13" s="21" t="s">
        <v>121</v>
      </c>
      <c r="Q13" s="21" t="s">
        <v>79</v>
      </c>
      <c r="R13" s="20" t="s">
        <v>203</v>
      </c>
      <c r="S13" s="20" t="s">
        <v>208</v>
      </c>
      <c r="T13" s="20" t="s">
        <v>203</v>
      </c>
      <c r="U13" s="21" t="s">
        <v>209</v>
      </c>
      <c r="V13" s="21" t="s">
        <v>210</v>
      </c>
      <c r="W13" s="21" t="s">
        <v>211</v>
      </c>
      <c r="X13" s="20" t="s">
        <v>212</v>
      </c>
      <c r="Y13" s="20" t="s">
        <v>213</v>
      </c>
      <c r="Z13" s="20" t="s">
        <v>212</v>
      </c>
      <c r="AA13" s="23"/>
      <c r="AB13" s="24" t="str">
        <f aca="false">IF(LEN($C13)&gt;0,COUNT(AB$1:AB12)+1,"")</f>
        <v/>
      </c>
      <c r="AC13" s="24" t="n">
        <f aca="false">IF(LEN($D13)&gt;0,COUNT(AC$1:AC12)+1,"")</f>
        <v>11</v>
      </c>
      <c r="AD13" s="24" t="str">
        <f aca="false">IF(LEN($E13)&gt;0,COUNT(AD$1:AD12)+1,"")</f>
        <v/>
      </c>
      <c r="AE13" s="24" t="str">
        <f aca="false">IF(LEN($F13)&gt;0,COUNT(AE$1:AE12)+1,"")</f>
        <v/>
      </c>
    </row>
    <row r="14" customFormat="false" ht="33.75" hidden="false" customHeight="true" outlineLevel="0" collapsed="false">
      <c r="A14" s="18" t="n">
        <f aca="false">IF(B14="","",ROW()-2)</f>
        <v>12</v>
      </c>
      <c r="B14" s="18" t="s">
        <v>214</v>
      </c>
      <c r="C14" s="19"/>
      <c r="D14" s="19" t="s">
        <v>54</v>
      </c>
      <c r="E14" s="19"/>
      <c r="F14" s="19"/>
      <c r="G14" s="18" t="s">
        <v>13</v>
      </c>
      <c r="H14" s="20" t="s">
        <v>215</v>
      </c>
      <c r="I14" s="21" t="s">
        <v>216</v>
      </c>
      <c r="J14" s="20" t="s">
        <v>217</v>
      </c>
      <c r="K14" s="20" t="s">
        <v>218</v>
      </c>
      <c r="L14" s="20" t="s">
        <v>219</v>
      </c>
      <c r="M14" s="21" t="s">
        <v>220</v>
      </c>
      <c r="N14" s="25" t="s">
        <v>221</v>
      </c>
      <c r="O14" s="21" t="s">
        <v>216</v>
      </c>
      <c r="P14" s="20" t="s">
        <v>222</v>
      </c>
      <c r="Q14" s="21" t="s">
        <v>63</v>
      </c>
      <c r="R14" s="20" t="s">
        <v>217</v>
      </c>
      <c r="S14" s="20" t="s">
        <v>223</v>
      </c>
      <c r="T14" s="20" t="s">
        <v>217</v>
      </c>
      <c r="U14" s="21" t="s">
        <v>224</v>
      </c>
      <c r="V14" s="21" t="s">
        <v>225</v>
      </c>
      <c r="W14" s="21" t="s">
        <v>84</v>
      </c>
      <c r="X14" s="20" t="s">
        <v>226</v>
      </c>
      <c r="Y14" s="20" t="s">
        <v>227</v>
      </c>
      <c r="Z14" s="20" t="s">
        <v>226</v>
      </c>
      <c r="AA14" s="23"/>
      <c r="AB14" s="24" t="str">
        <f aca="false">IF(LEN($C14)&gt;0,COUNT(AB$1:AB13)+1,"")</f>
        <v/>
      </c>
      <c r="AC14" s="24" t="n">
        <f aca="false">IF(LEN($D14)&gt;0,COUNT(AC$1:AC13)+1,"")</f>
        <v>12</v>
      </c>
      <c r="AD14" s="24" t="str">
        <f aca="false">IF(LEN($E14)&gt;0,COUNT(AD$1:AD13)+1,"")</f>
        <v/>
      </c>
      <c r="AE14" s="24" t="str">
        <f aca="false">IF(LEN($F14)&gt;0,COUNT(AE$1:AE13)+1,"")</f>
        <v/>
      </c>
    </row>
    <row r="15" customFormat="false" ht="47.25" hidden="false" customHeight="true" outlineLevel="0" collapsed="false">
      <c r="A15" s="18" t="n">
        <f aca="false">IF(B15="","",ROW()-2)</f>
        <v>13</v>
      </c>
      <c r="B15" s="18" t="s">
        <v>228</v>
      </c>
      <c r="C15" s="19"/>
      <c r="D15" s="19" t="s">
        <v>54</v>
      </c>
      <c r="E15" s="19"/>
      <c r="F15" s="19"/>
      <c r="G15" s="18" t="s">
        <v>13</v>
      </c>
      <c r="H15" s="20" t="s">
        <v>229</v>
      </c>
      <c r="I15" s="21" t="s">
        <v>230</v>
      </c>
      <c r="J15" s="20" t="s">
        <v>231</v>
      </c>
      <c r="K15" s="20" t="s">
        <v>232</v>
      </c>
      <c r="L15" s="20" t="s">
        <v>233</v>
      </c>
      <c r="M15" s="21" t="s">
        <v>234</v>
      </c>
      <c r="N15" s="22" t="s">
        <v>235</v>
      </c>
      <c r="O15" s="21" t="s">
        <v>236</v>
      </c>
      <c r="P15" s="21" t="s">
        <v>237</v>
      </c>
      <c r="Q15" s="21" t="s">
        <v>238</v>
      </c>
      <c r="R15" s="20" t="s">
        <v>239</v>
      </c>
      <c r="S15" s="20" t="s">
        <v>233</v>
      </c>
      <c r="T15" s="20" t="s">
        <v>239</v>
      </c>
      <c r="U15" s="21" t="s">
        <v>240</v>
      </c>
      <c r="V15" s="21" t="s">
        <v>241</v>
      </c>
      <c r="W15" s="21" t="s">
        <v>68</v>
      </c>
      <c r="X15" s="20" t="s">
        <v>242</v>
      </c>
      <c r="Y15" s="20" t="s">
        <v>243</v>
      </c>
      <c r="Z15" s="20" t="s">
        <v>242</v>
      </c>
      <c r="AA15" s="23" t="s">
        <v>87</v>
      </c>
      <c r="AB15" s="24" t="str">
        <f aca="false">IF(LEN($C15)&gt;0,COUNT(AB$1:AB14)+1,"")</f>
        <v/>
      </c>
      <c r="AC15" s="24" t="n">
        <f aca="false">IF(LEN($D15)&gt;0,COUNT(AC$1:AC14)+1,"")</f>
        <v>13</v>
      </c>
      <c r="AD15" s="24" t="str">
        <f aca="false">IF(LEN($E15)&gt;0,COUNT(AD$1:AD14)+1,"")</f>
        <v/>
      </c>
      <c r="AE15" s="24" t="str">
        <f aca="false">IF(LEN($F15)&gt;0,COUNT(AE$1:AE14)+1,"")</f>
        <v/>
      </c>
    </row>
    <row r="16" customFormat="false" ht="22.5" hidden="false" customHeight="true" outlineLevel="0" collapsed="false">
      <c r="A16" s="18" t="n">
        <f aca="false">IF(B16="","",ROW()-2)</f>
        <v>14</v>
      </c>
      <c r="B16" s="17" t="s">
        <v>244</v>
      </c>
      <c r="C16" s="19"/>
      <c r="D16" s="19" t="s">
        <v>54</v>
      </c>
      <c r="E16" s="19"/>
      <c r="F16" s="19"/>
      <c r="G16" s="18" t="s">
        <v>13</v>
      </c>
      <c r="H16" s="20" t="s">
        <v>245</v>
      </c>
      <c r="I16" s="21" t="s">
        <v>246</v>
      </c>
      <c r="J16" s="20" t="s">
        <v>247</v>
      </c>
      <c r="K16" s="20" t="s">
        <v>248</v>
      </c>
      <c r="L16" s="20" t="s">
        <v>249</v>
      </c>
      <c r="M16" s="21" t="s">
        <v>250</v>
      </c>
      <c r="N16" s="22" t="s">
        <v>251</v>
      </c>
      <c r="O16" s="21" t="s">
        <v>252</v>
      </c>
      <c r="P16" s="20" t="s">
        <v>253</v>
      </c>
      <c r="Q16" s="21" t="s">
        <v>254</v>
      </c>
      <c r="R16" s="20" t="s">
        <v>255</v>
      </c>
      <c r="S16" s="20" t="s">
        <v>256</v>
      </c>
      <c r="T16" s="20" t="s">
        <v>255</v>
      </c>
      <c r="U16" s="21" t="s">
        <v>257</v>
      </c>
      <c r="V16" s="21" t="s">
        <v>258</v>
      </c>
      <c r="W16" s="21" t="s">
        <v>259</v>
      </c>
      <c r="X16" s="20" t="s">
        <v>260</v>
      </c>
      <c r="Y16" s="20" t="s">
        <v>261</v>
      </c>
      <c r="Z16" s="20" t="s">
        <v>260</v>
      </c>
      <c r="AA16" s="23"/>
      <c r="AB16" s="24" t="str">
        <f aca="false">IF(LEN($C16)&gt;0,COUNT(AB$1:AB15)+1,"")</f>
        <v/>
      </c>
      <c r="AC16" s="24" t="n">
        <f aca="false">IF(LEN($D16)&gt;0,COUNT(AC$1:AC15)+1,"")</f>
        <v>14</v>
      </c>
      <c r="AD16" s="24" t="str">
        <f aca="false">IF(LEN($E16)&gt;0,COUNT(AD$1:AD15)+1,"")</f>
        <v/>
      </c>
      <c r="AE16" s="24" t="str">
        <f aca="false">IF(LEN($F16)&gt;0,COUNT(AE$1:AE15)+1,"")</f>
        <v/>
      </c>
    </row>
    <row r="17" customFormat="false" ht="33.75" hidden="false" customHeight="true" outlineLevel="0" collapsed="false">
      <c r="A17" s="18" t="n">
        <f aca="false">IF(B17="","",ROW()-2)</f>
        <v>15</v>
      </c>
      <c r="B17" s="18" t="s">
        <v>262</v>
      </c>
      <c r="C17" s="19"/>
      <c r="D17" s="19" t="s">
        <v>54</v>
      </c>
      <c r="E17" s="19"/>
      <c r="F17" s="19"/>
      <c r="G17" s="18" t="s">
        <v>13</v>
      </c>
      <c r="H17" s="20" t="s">
        <v>263</v>
      </c>
      <c r="I17" s="21" t="s">
        <v>264</v>
      </c>
      <c r="J17" s="20" t="s">
        <v>265</v>
      </c>
      <c r="K17" s="20" t="s">
        <v>266</v>
      </c>
      <c r="L17" s="20" t="s">
        <v>267</v>
      </c>
      <c r="M17" s="21" t="s">
        <v>268</v>
      </c>
      <c r="N17" s="25" t="s">
        <v>269</v>
      </c>
      <c r="O17" s="21" t="s">
        <v>264</v>
      </c>
      <c r="P17" s="21" t="s">
        <v>79</v>
      </c>
      <c r="Q17" s="21" t="s">
        <v>79</v>
      </c>
      <c r="R17" s="20" t="s">
        <v>265</v>
      </c>
      <c r="S17" s="20" t="s">
        <v>270</v>
      </c>
      <c r="T17" s="20" t="s">
        <v>271</v>
      </c>
      <c r="U17" s="21" t="s">
        <v>272</v>
      </c>
      <c r="V17" s="21" t="s">
        <v>273</v>
      </c>
      <c r="W17" s="21" t="s">
        <v>274</v>
      </c>
      <c r="X17" s="20" t="s">
        <v>265</v>
      </c>
      <c r="Y17" s="20" t="s">
        <v>275</v>
      </c>
      <c r="Z17" s="20" t="s">
        <v>276</v>
      </c>
      <c r="AA17" s="23"/>
      <c r="AB17" s="24" t="str">
        <f aca="false">IF(LEN($C17)&gt;0,COUNT(AB$1:AB16)+1,"")</f>
        <v/>
      </c>
      <c r="AC17" s="24" t="n">
        <f aca="false">IF(LEN($D17)&gt;0,COUNT(AC$1:AC16)+1,"")</f>
        <v>15</v>
      </c>
      <c r="AD17" s="24" t="str">
        <f aca="false">IF(LEN($E17)&gt;0,COUNT(AD$1:AD16)+1,"")</f>
        <v/>
      </c>
      <c r="AE17" s="24" t="str">
        <f aca="false">IF(LEN($F17)&gt;0,COUNT(AE$1:AE16)+1,"")</f>
        <v/>
      </c>
    </row>
    <row r="18" customFormat="false" ht="22.5" hidden="false" customHeight="true" outlineLevel="0" collapsed="false">
      <c r="A18" s="18" t="n">
        <f aca="false">IF(B18="","",ROW()-2)</f>
        <v>16</v>
      </c>
      <c r="B18" s="18" t="s">
        <v>277</v>
      </c>
      <c r="C18" s="19"/>
      <c r="D18" s="19" t="s">
        <v>54</v>
      </c>
      <c r="E18" s="19"/>
      <c r="F18" s="19"/>
      <c r="G18" s="18" t="s">
        <v>13</v>
      </c>
      <c r="H18" s="20" t="s">
        <v>278</v>
      </c>
      <c r="I18" s="21" t="s">
        <v>279</v>
      </c>
      <c r="J18" s="20" t="s">
        <v>280</v>
      </c>
      <c r="K18" s="20" t="s">
        <v>281</v>
      </c>
      <c r="L18" s="20" t="s">
        <v>282</v>
      </c>
      <c r="M18" s="21" t="s">
        <v>283</v>
      </c>
      <c r="N18" s="22" t="s">
        <v>284</v>
      </c>
      <c r="O18" s="21" t="s">
        <v>279</v>
      </c>
      <c r="P18" s="21" t="s">
        <v>285</v>
      </c>
      <c r="Q18" s="20" t="s">
        <v>286</v>
      </c>
      <c r="R18" s="20" t="s">
        <v>287</v>
      </c>
      <c r="S18" s="20" t="s">
        <v>288</v>
      </c>
      <c r="T18" s="20" t="s">
        <v>287</v>
      </c>
      <c r="U18" s="21" t="s">
        <v>289</v>
      </c>
      <c r="V18" s="21" t="s">
        <v>121</v>
      </c>
      <c r="W18" s="21" t="s">
        <v>172</v>
      </c>
      <c r="X18" s="20" t="s">
        <v>290</v>
      </c>
      <c r="Y18" s="20" t="s">
        <v>282</v>
      </c>
      <c r="Z18" s="20" t="s">
        <v>290</v>
      </c>
      <c r="AA18" s="23"/>
      <c r="AB18" s="24" t="str">
        <f aca="false">IF(LEN($C18)&gt;0,COUNT(AB$1:AB17)+1,"")</f>
        <v/>
      </c>
      <c r="AC18" s="24" t="n">
        <f aca="false">IF(LEN($D18)&gt;0,COUNT(AC$1:AC17)+1,"")</f>
        <v>16</v>
      </c>
      <c r="AD18" s="24" t="str">
        <f aca="false">IF(LEN($E18)&gt;0,COUNT(AD$1:AD17)+1,"")</f>
        <v/>
      </c>
      <c r="AE18" s="24" t="str">
        <f aca="false">IF(LEN($F18)&gt;0,COUNT(AE$1:AE17)+1,"")</f>
        <v/>
      </c>
    </row>
    <row r="19" customFormat="false" ht="22.5" hidden="false" customHeight="true" outlineLevel="0" collapsed="false">
      <c r="A19" s="18" t="n">
        <f aca="false">IF(B19="","",ROW()-2)</f>
        <v>17</v>
      </c>
      <c r="B19" s="17" t="s">
        <v>291</v>
      </c>
      <c r="C19" s="19"/>
      <c r="D19" s="19" t="s">
        <v>54</v>
      </c>
      <c r="E19" s="19"/>
      <c r="F19" s="19"/>
      <c r="G19" s="18" t="s">
        <v>13</v>
      </c>
      <c r="H19" s="20" t="s">
        <v>292</v>
      </c>
      <c r="I19" s="21" t="s">
        <v>293</v>
      </c>
      <c r="J19" s="20" t="s">
        <v>294</v>
      </c>
      <c r="K19" s="20" t="s">
        <v>295</v>
      </c>
      <c r="L19" s="20" t="s">
        <v>296</v>
      </c>
      <c r="M19" s="21" t="s">
        <v>297</v>
      </c>
      <c r="N19" s="22" t="s">
        <v>298</v>
      </c>
      <c r="O19" s="21" t="s">
        <v>299</v>
      </c>
      <c r="P19" s="20" t="s">
        <v>300</v>
      </c>
      <c r="Q19" s="20" t="s">
        <v>301</v>
      </c>
      <c r="R19" s="20" t="s">
        <v>294</v>
      </c>
      <c r="S19" s="20" t="s">
        <v>302</v>
      </c>
      <c r="T19" s="20" t="s">
        <v>303</v>
      </c>
      <c r="U19" s="21" t="s">
        <v>304</v>
      </c>
      <c r="V19" s="21" t="s">
        <v>305</v>
      </c>
      <c r="W19" s="21" t="s">
        <v>306</v>
      </c>
      <c r="X19" s="20" t="s">
        <v>294</v>
      </c>
      <c r="Y19" s="20" t="s">
        <v>307</v>
      </c>
      <c r="Z19" s="20" t="s">
        <v>308</v>
      </c>
      <c r="AA19" s="23"/>
      <c r="AB19" s="24" t="str">
        <f aca="false">IF(LEN($C19)&gt;0,COUNT(AB$1:AB18)+1,"")</f>
        <v/>
      </c>
      <c r="AC19" s="24" t="n">
        <f aca="false">IF(LEN($D19)&gt;0,COUNT(AC$1:AC18)+1,"")</f>
        <v>17</v>
      </c>
      <c r="AD19" s="24" t="str">
        <f aca="false">IF(LEN($E19)&gt;0,COUNT(AD$1:AD18)+1,"")</f>
        <v/>
      </c>
      <c r="AE19" s="24" t="str">
        <f aca="false">IF(LEN($F19)&gt;0,COUNT(AE$1:AE18)+1,"")</f>
        <v/>
      </c>
    </row>
    <row r="20" customFormat="false" ht="22.5" hidden="false" customHeight="true" outlineLevel="0" collapsed="false">
      <c r="A20" s="18" t="n">
        <f aca="false">IF(B20="","",ROW()-2)</f>
        <v>18</v>
      </c>
      <c r="B20" s="17" t="s">
        <v>309</v>
      </c>
      <c r="C20" s="19"/>
      <c r="D20" s="19" t="s">
        <v>54</v>
      </c>
      <c r="E20" s="19"/>
      <c r="F20" s="19"/>
      <c r="G20" s="18" t="s">
        <v>13</v>
      </c>
      <c r="H20" s="20" t="s">
        <v>310</v>
      </c>
      <c r="I20" s="21" t="s">
        <v>311</v>
      </c>
      <c r="J20" s="20" t="s">
        <v>312</v>
      </c>
      <c r="K20" s="20" t="s">
        <v>313</v>
      </c>
      <c r="L20" s="20" t="s">
        <v>314</v>
      </c>
      <c r="M20" s="21" t="s">
        <v>315</v>
      </c>
      <c r="N20" s="22" t="s">
        <v>316</v>
      </c>
      <c r="O20" s="21" t="s">
        <v>311</v>
      </c>
      <c r="P20" s="21" t="s">
        <v>121</v>
      </c>
      <c r="Q20" s="21" t="s">
        <v>63</v>
      </c>
      <c r="R20" s="20" t="s">
        <v>317</v>
      </c>
      <c r="S20" s="20" t="s">
        <v>318</v>
      </c>
      <c r="T20" s="20" t="s">
        <v>317</v>
      </c>
      <c r="U20" s="21" t="s">
        <v>319</v>
      </c>
      <c r="V20" s="21" t="s">
        <v>320</v>
      </c>
      <c r="W20" s="21" t="s">
        <v>198</v>
      </c>
      <c r="X20" s="20" t="s">
        <v>312</v>
      </c>
      <c r="Y20" s="20" t="s">
        <v>321</v>
      </c>
      <c r="Z20" s="20" t="s">
        <v>322</v>
      </c>
      <c r="AA20" s="23"/>
      <c r="AB20" s="24" t="str">
        <f aca="false">IF(LEN($C20)&gt;0,COUNT(AB$1:AB19)+1,"")</f>
        <v/>
      </c>
      <c r="AC20" s="24" t="n">
        <f aca="false">IF(LEN($D20)&gt;0,COUNT(AC$1:AC19)+1,"")</f>
        <v>18</v>
      </c>
      <c r="AD20" s="24" t="str">
        <f aca="false">IF(LEN($E20)&gt;0,COUNT(AD$1:AD19)+1,"")</f>
        <v/>
      </c>
      <c r="AE20" s="24" t="str">
        <f aca="false">IF(LEN($F20)&gt;0,COUNT(AE$1:AE19)+1,"")</f>
        <v/>
      </c>
    </row>
    <row r="21" customFormat="false" ht="33.75" hidden="false" customHeight="true" outlineLevel="0" collapsed="false">
      <c r="A21" s="18" t="n">
        <f aca="false">IF(B21="","",ROW()-2)</f>
        <v>19</v>
      </c>
      <c r="B21" s="17" t="s">
        <v>323</v>
      </c>
      <c r="C21" s="19"/>
      <c r="D21" s="19" t="s">
        <v>54</v>
      </c>
      <c r="E21" s="19"/>
      <c r="F21" s="19"/>
      <c r="G21" s="18" t="s">
        <v>13</v>
      </c>
      <c r="H21" s="20" t="s">
        <v>324</v>
      </c>
      <c r="I21" s="21" t="s">
        <v>325</v>
      </c>
      <c r="J21" s="20" t="s">
        <v>326</v>
      </c>
      <c r="K21" s="20" t="s">
        <v>327</v>
      </c>
      <c r="L21" s="20" t="s">
        <v>328</v>
      </c>
      <c r="M21" s="21" t="s">
        <v>329</v>
      </c>
      <c r="N21" s="22" t="s">
        <v>330</v>
      </c>
      <c r="O21" s="21" t="s">
        <v>331</v>
      </c>
      <c r="P21" s="21" t="s">
        <v>332</v>
      </c>
      <c r="Q21" s="21" t="s">
        <v>333</v>
      </c>
      <c r="R21" s="20" t="s">
        <v>334</v>
      </c>
      <c r="S21" s="20" t="s">
        <v>335</v>
      </c>
      <c r="T21" s="20" t="s">
        <v>336</v>
      </c>
      <c r="U21" s="21" t="s">
        <v>337</v>
      </c>
      <c r="V21" s="21" t="s">
        <v>332</v>
      </c>
      <c r="W21" s="21" t="s">
        <v>338</v>
      </c>
      <c r="X21" s="20" t="s">
        <v>334</v>
      </c>
      <c r="Y21" s="20" t="s">
        <v>339</v>
      </c>
      <c r="Z21" s="20" t="s">
        <v>340</v>
      </c>
      <c r="AA21" s="23" t="s">
        <v>87</v>
      </c>
      <c r="AB21" s="24" t="str">
        <f aca="false">IF(LEN($C21)&gt;0,COUNT(AB$1:AB20)+1,"")</f>
        <v/>
      </c>
      <c r="AC21" s="24" t="n">
        <f aca="false">IF(LEN($D21)&gt;0,COUNT(AC$1:AC20)+1,"")</f>
        <v>19</v>
      </c>
      <c r="AD21" s="24" t="str">
        <f aca="false">IF(LEN($E21)&gt;0,COUNT(AD$1:AD20)+1,"")</f>
        <v/>
      </c>
      <c r="AE21" s="24" t="str">
        <f aca="false">IF(LEN($F21)&gt;0,COUNT(AE$1:AE20)+1,"")</f>
        <v/>
      </c>
    </row>
    <row r="22" customFormat="false" ht="47.25" hidden="false" customHeight="true" outlineLevel="0" collapsed="false">
      <c r="A22" s="18" t="n">
        <f aca="false">IF(B22="","",ROW()-2)</f>
        <v>20</v>
      </c>
      <c r="B22" s="17" t="s">
        <v>341</v>
      </c>
      <c r="C22" s="19"/>
      <c r="D22" s="19" t="s">
        <v>54</v>
      </c>
      <c r="E22" s="19"/>
      <c r="F22" s="19"/>
      <c r="G22" s="18" t="s">
        <v>13</v>
      </c>
      <c r="H22" s="20" t="s">
        <v>342</v>
      </c>
      <c r="I22" s="21" t="s">
        <v>343</v>
      </c>
      <c r="J22" s="20" t="s">
        <v>344</v>
      </c>
      <c r="K22" s="20" t="s">
        <v>345</v>
      </c>
      <c r="L22" s="20" t="s">
        <v>346</v>
      </c>
      <c r="M22" s="21" t="s">
        <v>347</v>
      </c>
      <c r="N22" s="25" t="s">
        <v>348</v>
      </c>
      <c r="O22" s="21" t="s">
        <v>343</v>
      </c>
      <c r="P22" s="21" t="s">
        <v>63</v>
      </c>
      <c r="Q22" s="21" t="s">
        <v>63</v>
      </c>
      <c r="R22" s="20" t="s">
        <v>344</v>
      </c>
      <c r="S22" s="20" t="s">
        <v>349</v>
      </c>
      <c r="T22" s="20" t="s">
        <v>350</v>
      </c>
      <c r="U22" s="21" t="s">
        <v>351</v>
      </c>
      <c r="V22" s="21" t="s">
        <v>352</v>
      </c>
      <c r="W22" s="21" t="s">
        <v>353</v>
      </c>
      <c r="X22" s="20" t="s">
        <v>354</v>
      </c>
      <c r="Y22" s="20" t="s">
        <v>355</v>
      </c>
      <c r="Z22" s="20" t="s">
        <v>356</v>
      </c>
      <c r="AA22" s="23"/>
      <c r="AB22" s="24" t="str">
        <f aca="false">IF(LEN($C22)&gt;0,COUNT(AB$1:AB21)+1,"")</f>
        <v/>
      </c>
      <c r="AC22" s="24" t="n">
        <f aca="false">IF(LEN($D22)&gt;0,COUNT(AC$1:AC21)+1,"")</f>
        <v>20</v>
      </c>
      <c r="AD22" s="24" t="str">
        <f aca="false">IF(LEN($E22)&gt;0,COUNT(AD$1:AD21)+1,"")</f>
        <v/>
      </c>
      <c r="AE22" s="24" t="str">
        <f aca="false">IF(LEN($F22)&gt;0,COUNT(AE$1:AE21)+1,"")</f>
        <v/>
      </c>
    </row>
    <row r="23" customFormat="false" ht="60.75" hidden="false" customHeight="true" outlineLevel="0" collapsed="false">
      <c r="A23" s="18" t="n">
        <f aca="false">IF(B23="","",ROW()-2)</f>
        <v>21</v>
      </c>
      <c r="B23" s="18" t="s">
        <v>357</v>
      </c>
      <c r="C23" s="19"/>
      <c r="D23" s="19" t="s">
        <v>54</v>
      </c>
      <c r="E23" s="19"/>
      <c r="F23" s="19"/>
      <c r="G23" s="26" t="s">
        <v>16</v>
      </c>
      <c r="H23" s="20" t="s">
        <v>358</v>
      </c>
      <c r="I23" s="21" t="s">
        <v>359</v>
      </c>
      <c r="J23" s="20" t="s">
        <v>360</v>
      </c>
      <c r="K23" s="20" t="s">
        <v>361</v>
      </c>
      <c r="L23" s="20" t="s">
        <v>362</v>
      </c>
      <c r="M23" s="21" t="s">
        <v>363</v>
      </c>
      <c r="N23" s="22" t="s">
        <v>364</v>
      </c>
      <c r="O23" s="21" t="s">
        <v>359</v>
      </c>
      <c r="P23" s="20" t="s">
        <v>365</v>
      </c>
      <c r="Q23" s="21" t="s">
        <v>366</v>
      </c>
      <c r="R23" s="20" t="s">
        <v>360</v>
      </c>
      <c r="S23" s="20" t="s">
        <v>367</v>
      </c>
      <c r="T23" s="20" t="s">
        <v>360</v>
      </c>
      <c r="U23" s="21" t="s">
        <v>368</v>
      </c>
      <c r="V23" s="20" t="s">
        <v>365</v>
      </c>
      <c r="W23" s="21" t="s">
        <v>369</v>
      </c>
      <c r="X23" s="20" t="s">
        <v>370</v>
      </c>
      <c r="Y23" s="20" t="s">
        <v>371</v>
      </c>
      <c r="Z23" s="20" t="s">
        <v>370</v>
      </c>
      <c r="AA23" s="23" t="s">
        <v>87</v>
      </c>
      <c r="AB23" s="24" t="str">
        <f aca="false">IF(LEN($C23)&gt;0,COUNT(AB$1:AB22)+1,"")</f>
        <v/>
      </c>
      <c r="AC23" s="24" t="n">
        <f aca="false">IF(LEN($D23)&gt;0,COUNT(AC$1:AC22)+1,"")</f>
        <v>21</v>
      </c>
      <c r="AD23" s="24" t="str">
        <f aca="false">IF(LEN($E23)&gt;0,COUNT(AD$1:AD22)+1,"")</f>
        <v/>
      </c>
      <c r="AE23" s="24" t="str">
        <f aca="false">IF(LEN($F23)&gt;0,COUNT(AE$1:AE22)+1,"")</f>
        <v/>
      </c>
    </row>
    <row r="24" customFormat="false" ht="33.75" hidden="false" customHeight="true" outlineLevel="0" collapsed="false">
      <c r="A24" s="18" t="n">
        <f aca="false">IF(B24="","",ROW()-2)</f>
        <v>22</v>
      </c>
      <c r="B24" s="18" t="s">
        <v>372</v>
      </c>
      <c r="C24" s="19"/>
      <c r="D24" s="19" t="s">
        <v>54</v>
      </c>
      <c r="E24" s="19"/>
      <c r="F24" s="19"/>
      <c r="G24" s="18" t="s">
        <v>13</v>
      </c>
      <c r="H24" s="20" t="s">
        <v>373</v>
      </c>
      <c r="I24" s="21" t="s">
        <v>374</v>
      </c>
      <c r="J24" s="20" t="s">
        <v>375</v>
      </c>
      <c r="K24" s="20" t="s">
        <v>376</v>
      </c>
      <c r="L24" s="20" t="s">
        <v>377</v>
      </c>
      <c r="M24" s="21" t="s">
        <v>378</v>
      </c>
      <c r="N24" s="25" t="s">
        <v>379</v>
      </c>
      <c r="O24" s="21" t="s">
        <v>374</v>
      </c>
      <c r="P24" s="20" t="s">
        <v>286</v>
      </c>
      <c r="Q24" s="20" t="s">
        <v>286</v>
      </c>
      <c r="R24" s="20" t="s">
        <v>375</v>
      </c>
      <c r="S24" s="20" t="s">
        <v>380</v>
      </c>
      <c r="T24" s="20" t="s">
        <v>381</v>
      </c>
      <c r="U24" s="21" t="s">
        <v>382</v>
      </c>
      <c r="V24" s="21" t="s">
        <v>383</v>
      </c>
      <c r="W24" s="20" t="s">
        <v>384</v>
      </c>
      <c r="X24" s="20" t="s">
        <v>385</v>
      </c>
      <c r="Y24" s="20" t="s">
        <v>377</v>
      </c>
      <c r="Z24" s="20" t="s">
        <v>385</v>
      </c>
      <c r="AA24" s="23" t="s">
        <v>87</v>
      </c>
      <c r="AB24" s="24" t="str">
        <f aca="false">IF(LEN($C24)&gt;0,COUNT(AB$1:AB23)+1,"")</f>
        <v/>
      </c>
      <c r="AC24" s="24" t="n">
        <f aca="false">IF(LEN($D24)&gt;0,COUNT(AC$1:AC23)+1,"")</f>
        <v>22</v>
      </c>
      <c r="AD24" s="24" t="str">
        <f aca="false">IF(LEN($E24)&gt;0,COUNT(AD$1:AD23)+1,"")</f>
        <v/>
      </c>
      <c r="AE24" s="24" t="str">
        <f aca="false">IF(LEN($F24)&gt;0,COUNT(AE$1:AE23)+1,"")</f>
        <v/>
      </c>
    </row>
    <row r="25" customFormat="false" ht="33.75" hidden="false" customHeight="true" outlineLevel="0" collapsed="false">
      <c r="A25" s="18" t="n">
        <f aca="false">IF(B25="","",ROW()-2)</f>
        <v>23</v>
      </c>
      <c r="B25" s="18" t="s">
        <v>386</v>
      </c>
      <c r="C25" s="19"/>
      <c r="D25" s="19" t="s">
        <v>54</v>
      </c>
      <c r="E25" s="19"/>
      <c r="F25" s="19"/>
      <c r="G25" s="18" t="s">
        <v>13</v>
      </c>
      <c r="H25" s="20" t="s">
        <v>387</v>
      </c>
      <c r="I25" s="21" t="s">
        <v>388</v>
      </c>
      <c r="J25" s="20" t="s">
        <v>389</v>
      </c>
      <c r="K25" s="20" t="s">
        <v>390</v>
      </c>
      <c r="L25" s="20" t="s">
        <v>391</v>
      </c>
      <c r="M25" s="21" t="s">
        <v>392</v>
      </c>
      <c r="N25" s="22" t="s">
        <v>393</v>
      </c>
      <c r="O25" s="21" t="s">
        <v>394</v>
      </c>
      <c r="P25" s="21" t="s">
        <v>395</v>
      </c>
      <c r="Q25" s="21" t="s">
        <v>79</v>
      </c>
      <c r="R25" s="20" t="s">
        <v>396</v>
      </c>
      <c r="S25" s="20" t="s">
        <v>397</v>
      </c>
      <c r="T25" s="20" t="s">
        <v>396</v>
      </c>
      <c r="U25" s="21" t="s">
        <v>398</v>
      </c>
      <c r="V25" s="20" t="s">
        <v>399</v>
      </c>
      <c r="W25" s="21" t="s">
        <v>400</v>
      </c>
      <c r="X25" s="20" t="s">
        <v>401</v>
      </c>
      <c r="Y25" s="20" t="s">
        <v>402</v>
      </c>
      <c r="Z25" s="20" t="s">
        <v>401</v>
      </c>
      <c r="AA25" s="23" t="s">
        <v>87</v>
      </c>
      <c r="AB25" s="24" t="str">
        <f aca="false">IF(LEN($C25)&gt;0,COUNT(AB$1:AB24)+1,"")</f>
        <v/>
      </c>
      <c r="AC25" s="24" t="n">
        <f aca="false">IF(LEN($D25)&gt;0,COUNT(AC$1:AC24)+1,"")</f>
        <v>23</v>
      </c>
      <c r="AD25" s="24" t="str">
        <f aca="false">IF(LEN($E25)&gt;0,COUNT(AD$1:AD24)+1,"")</f>
        <v/>
      </c>
      <c r="AE25" s="24" t="str">
        <f aca="false">IF(LEN($F25)&gt;0,COUNT(AE$1:AE24)+1,"")</f>
        <v/>
      </c>
    </row>
    <row r="26" customFormat="false" ht="33.75" hidden="false" customHeight="true" outlineLevel="0" collapsed="false">
      <c r="A26" s="18" t="n">
        <f aca="false">IF(B26="","",ROW()-2)</f>
        <v>24</v>
      </c>
      <c r="B26" s="18" t="s">
        <v>403</v>
      </c>
      <c r="C26" s="19"/>
      <c r="D26" s="19" t="s">
        <v>54</v>
      </c>
      <c r="E26" s="19"/>
      <c r="F26" s="19"/>
      <c r="G26" s="18" t="s">
        <v>13</v>
      </c>
      <c r="H26" s="20" t="s">
        <v>404</v>
      </c>
      <c r="I26" s="21" t="s">
        <v>405</v>
      </c>
      <c r="J26" s="20" t="s">
        <v>406</v>
      </c>
      <c r="K26" s="20" t="s">
        <v>407</v>
      </c>
      <c r="L26" s="20" t="s">
        <v>408</v>
      </c>
      <c r="M26" s="21" t="s">
        <v>409</v>
      </c>
      <c r="N26" s="25" t="s">
        <v>410</v>
      </c>
      <c r="O26" s="21" t="s">
        <v>405</v>
      </c>
      <c r="P26" s="20" t="s">
        <v>411</v>
      </c>
      <c r="Q26" s="21" t="s">
        <v>79</v>
      </c>
      <c r="R26" s="20" t="s">
        <v>406</v>
      </c>
      <c r="S26" s="20" t="s">
        <v>412</v>
      </c>
      <c r="T26" s="20" t="s">
        <v>413</v>
      </c>
      <c r="U26" s="21" t="s">
        <v>414</v>
      </c>
      <c r="V26" s="21" t="s">
        <v>68</v>
      </c>
      <c r="W26" s="21" t="s">
        <v>415</v>
      </c>
      <c r="X26" s="20" t="s">
        <v>406</v>
      </c>
      <c r="Y26" s="20" t="s">
        <v>416</v>
      </c>
      <c r="Z26" s="20" t="s">
        <v>417</v>
      </c>
      <c r="AA26" s="23" t="s">
        <v>87</v>
      </c>
      <c r="AB26" s="24" t="str">
        <f aca="false">IF(LEN($C26)&gt;0,COUNT(AB$1:AB25)+1,"")</f>
        <v/>
      </c>
      <c r="AC26" s="24" t="n">
        <f aca="false">IF(LEN($D26)&gt;0,COUNT(AC$1:AC25)+1,"")</f>
        <v>24</v>
      </c>
      <c r="AD26" s="24" t="str">
        <f aca="false">IF(LEN($E26)&gt;0,COUNT(AD$1:AD25)+1,"")</f>
        <v/>
      </c>
      <c r="AE26" s="24" t="str">
        <f aca="false">IF(LEN($F26)&gt;0,COUNT(AE$1:AE25)+1,"")</f>
        <v/>
      </c>
    </row>
    <row r="27" customFormat="false" ht="22.5" hidden="false" customHeight="true" outlineLevel="0" collapsed="false">
      <c r="A27" s="18" t="n">
        <f aca="false">IF(B27="","",ROW()-2)</f>
        <v>25</v>
      </c>
      <c r="B27" s="17" t="s">
        <v>418</v>
      </c>
      <c r="C27" s="19"/>
      <c r="D27" s="19" t="s">
        <v>54</v>
      </c>
      <c r="E27" s="19"/>
      <c r="F27" s="19"/>
      <c r="G27" s="18" t="s">
        <v>13</v>
      </c>
      <c r="H27" s="20" t="s">
        <v>419</v>
      </c>
      <c r="I27" s="21" t="s">
        <v>420</v>
      </c>
      <c r="J27" s="20" t="s">
        <v>421</v>
      </c>
      <c r="K27" s="20" t="s">
        <v>422</v>
      </c>
      <c r="L27" s="20" t="s">
        <v>423</v>
      </c>
      <c r="M27" s="21" t="s">
        <v>424</v>
      </c>
      <c r="N27" s="22" t="s">
        <v>425</v>
      </c>
      <c r="O27" s="21" t="s">
        <v>426</v>
      </c>
      <c r="P27" s="20" t="s">
        <v>427</v>
      </c>
      <c r="Q27" s="21" t="s">
        <v>84</v>
      </c>
      <c r="R27" s="20" t="s">
        <v>428</v>
      </c>
      <c r="S27" s="20" t="s">
        <v>429</v>
      </c>
      <c r="T27" s="20" t="s">
        <v>428</v>
      </c>
      <c r="U27" s="21" t="s">
        <v>430</v>
      </c>
      <c r="V27" s="21" t="s">
        <v>431</v>
      </c>
      <c r="W27" s="21" t="s">
        <v>84</v>
      </c>
      <c r="X27" s="20" t="s">
        <v>432</v>
      </c>
      <c r="Y27" s="20" t="s">
        <v>433</v>
      </c>
      <c r="Z27" s="20" t="s">
        <v>432</v>
      </c>
      <c r="AA27" s="23"/>
      <c r="AB27" s="24" t="str">
        <f aca="false">IF(LEN($C27)&gt;0,COUNT(AB$1:AB26)+1,"")</f>
        <v/>
      </c>
      <c r="AC27" s="24" t="n">
        <f aca="false">IF(LEN($D27)&gt;0,COUNT(AC$1:AC26)+1,"")</f>
        <v>25</v>
      </c>
      <c r="AD27" s="24" t="str">
        <f aca="false">IF(LEN($E27)&gt;0,COUNT(AD$1:AD26)+1,"")</f>
        <v/>
      </c>
      <c r="AE27" s="24" t="str">
        <f aca="false">IF(LEN($F27)&gt;0,COUNT(AE$1:AE26)+1,"")</f>
        <v/>
      </c>
    </row>
    <row r="28" customFormat="false" ht="22.5" hidden="false" customHeight="true" outlineLevel="0" collapsed="false">
      <c r="A28" s="18" t="n">
        <f aca="false">IF(B28="","",ROW()-2)</f>
        <v>26</v>
      </c>
      <c r="B28" s="18" t="s">
        <v>434</v>
      </c>
      <c r="C28" s="19"/>
      <c r="D28" s="19" t="s">
        <v>54</v>
      </c>
      <c r="E28" s="19"/>
      <c r="F28" s="19"/>
      <c r="G28" s="18" t="s">
        <v>13</v>
      </c>
      <c r="H28" s="20" t="s">
        <v>435</v>
      </c>
      <c r="I28" s="21" t="s">
        <v>436</v>
      </c>
      <c r="J28" s="20" t="s">
        <v>437</v>
      </c>
      <c r="K28" s="20" t="s">
        <v>438</v>
      </c>
      <c r="L28" s="20" t="s">
        <v>439</v>
      </c>
      <c r="M28" s="21" t="s">
        <v>440</v>
      </c>
      <c r="N28" s="25" t="s">
        <v>441</v>
      </c>
      <c r="O28" s="21" t="s">
        <v>436</v>
      </c>
      <c r="P28" s="21" t="s">
        <v>442</v>
      </c>
      <c r="Q28" s="21" t="s">
        <v>63</v>
      </c>
      <c r="R28" s="20" t="s">
        <v>437</v>
      </c>
      <c r="S28" s="20" t="s">
        <v>439</v>
      </c>
      <c r="T28" s="20" t="s">
        <v>437</v>
      </c>
      <c r="U28" s="21" t="s">
        <v>436</v>
      </c>
      <c r="V28" s="21" t="s">
        <v>442</v>
      </c>
      <c r="W28" s="21" t="s">
        <v>63</v>
      </c>
      <c r="X28" s="20" t="s">
        <v>437</v>
      </c>
      <c r="Y28" s="20" t="s">
        <v>439</v>
      </c>
      <c r="Z28" s="20" t="s">
        <v>437</v>
      </c>
      <c r="AA28" s="23"/>
      <c r="AB28" s="24" t="str">
        <f aca="false">IF(LEN($C28)&gt;0,COUNT(AB$1:AB27)+1,"")</f>
        <v/>
      </c>
      <c r="AC28" s="24" t="n">
        <f aca="false">IF(LEN($D28)&gt;0,COUNT(AC$1:AC27)+1,"")</f>
        <v>26</v>
      </c>
      <c r="AD28" s="24" t="str">
        <f aca="false">IF(LEN($E28)&gt;0,COUNT(AD$1:AD27)+1,"")</f>
        <v/>
      </c>
      <c r="AE28" s="24" t="str">
        <f aca="false">IF(LEN($F28)&gt;0,COUNT(AE$1:AE27)+1,"")</f>
        <v/>
      </c>
    </row>
    <row r="29" customFormat="false" ht="33.75" hidden="false" customHeight="true" outlineLevel="0" collapsed="false">
      <c r="A29" s="18" t="n">
        <f aca="false">IF(B29="","",ROW()-2)</f>
        <v>27</v>
      </c>
      <c r="B29" s="18" t="s">
        <v>443</v>
      </c>
      <c r="C29" s="19"/>
      <c r="D29" s="19" t="s">
        <v>54</v>
      </c>
      <c r="E29" s="19"/>
      <c r="F29" s="19"/>
      <c r="G29" s="18" t="s">
        <v>13</v>
      </c>
      <c r="H29" s="20" t="s">
        <v>444</v>
      </c>
      <c r="I29" s="21" t="s">
        <v>445</v>
      </c>
      <c r="J29" s="20" t="s">
        <v>446</v>
      </c>
      <c r="K29" s="20" t="s">
        <v>447</v>
      </c>
      <c r="L29" s="20" t="s">
        <v>448</v>
      </c>
      <c r="M29" s="21" t="s">
        <v>449</v>
      </c>
      <c r="N29" s="22" t="s">
        <v>450</v>
      </c>
      <c r="O29" s="21" t="s">
        <v>451</v>
      </c>
      <c r="P29" s="21" t="s">
        <v>320</v>
      </c>
      <c r="Q29" s="21" t="s">
        <v>452</v>
      </c>
      <c r="R29" s="20" t="s">
        <v>453</v>
      </c>
      <c r="S29" s="20" t="s">
        <v>454</v>
      </c>
      <c r="T29" s="20" t="s">
        <v>453</v>
      </c>
      <c r="U29" s="21" t="s">
        <v>451</v>
      </c>
      <c r="V29" s="21" t="s">
        <v>320</v>
      </c>
      <c r="W29" s="21" t="s">
        <v>452</v>
      </c>
      <c r="X29" s="20" t="s">
        <v>453</v>
      </c>
      <c r="Y29" s="20" t="s">
        <v>454</v>
      </c>
      <c r="Z29" s="20" t="s">
        <v>453</v>
      </c>
      <c r="AA29" s="23"/>
      <c r="AB29" s="24" t="str">
        <f aca="false">IF(LEN($C29)&gt;0,COUNT(AB$1:AB28)+1,"")</f>
        <v/>
      </c>
      <c r="AC29" s="24" t="n">
        <f aca="false">IF(LEN($D29)&gt;0,COUNT(AC$1:AC28)+1,"")</f>
        <v>27</v>
      </c>
      <c r="AD29" s="24" t="str">
        <f aca="false">IF(LEN($E29)&gt;0,COUNT(AD$1:AD28)+1,"")</f>
        <v/>
      </c>
      <c r="AE29" s="24" t="str">
        <f aca="false">IF(LEN($F29)&gt;0,COUNT(AE$1:AE28)+1,"")</f>
        <v/>
      </c>
    </row>
    <row r="30" customFormat="false" ht="33.75" hidden="false" customHeight="true" outlineLevel="0" collapsed="false">
      <c r="A30" s="18" t="n">
        <f aca="false">IF(B30="","",ROW()-2)</f>
        <v>28</v>
      </c>
      <c r="B30" s="17" t="s">
        <v>455</v>
      </c>
      <c r="C30" s="19"/>
      <c r="D30" s="19" t="s">
        <v>54</v>
      </c>
      <c r="E30" s="19"/>
      <c r="F30" s="19"/>
      <c r="G30" s="18" t="s">
        <v>13</v>
      </c>
      <c r="H30" s="20" t="s">
        <v>456</v>
      </c>
      <c r="I30" s="21" t="s">
        <v>457</v>
      </c>
      <c r="J30" s="20" t="s">
        <v>458</v>
      </c>
      <c r="K30" s="20" t="s">
        <v>459</v>
      </c>
      <c r="L30" s="20" t="s">
        <v>460</v>
      </c>
      <c r="M30" s="21" t="s">
        <v>461</v>
      </c>
      <c r="N30" s="22" t="s">
        <v>462</v>
      </c>
      <c r="O30" s="21" t="s">
        <v>457</v>
      </c>
      <c r="P30" s="20" t="s">
        <v>62</v>
      </c>
      <c r="Q30" s="21" t="s">
        <v>63</v>
      </c>
      <c r="R30" s="20" t="s">
        <v>458</v>
      </c>
      <c r="S30" s="20" t="s">
        <v>463</v>
      </c>
      <c r="T30" s="20" t="s">
        <v>464</v>
      </c>
      <c r="U30" s="21" t="s">
        <v>465</v>
      </c>
      <c r="V30" s="21" t="s">
        <v>466</v>
      </c>
      <c r="W30" s="21" t="s">
        <v>467</v>
      </c>
      <c r="X30" s="20" t="s">
        <v>468</v>
      </c>
      <c r="Y30" s="20" t="s">
        <v>469</v>
      </c>
      <c r="Z30" s="20" t="s">
        <v>470</v>
      </c>
      <c r="AA30" s="23" t="s">
        <v>87</v>
      </c>
      <c r="AB30" s="24" t="str">
        <f aca="false">IF(LEN($C30)&gt;0,COUNT(AB$1:AB29)+1,"")</f>
        <v/>
      </c>
      <c r="AC30" s="24" t="n">
        <f aca="false">IF(LEN($D30)&gt;0,COUNT(AC$1:AC29)+1,"")</f>
        <v>28</v>
      </c>
      <c r="AD30" s="24" t="str">
        <f aca="false">IF(LEN($E30)&gt;0,COUNT(AD$1:AD29)+1,"")</f>
        <v/>
      </c>
      <c r="AE30" s="24" t="str">
        <f aca="false">IF(LEN($F30)&gt;0,COUNT(AE$1:AE29)+1,"")</f>
        <v/>
      </c>
    </row>
    <row r="31" customFormat="false" ht="22.5" hidden="false" customHeight="true" outlineLevel="0" collapsed="false">
      <c r="A31" s="18" t="n">
        <f aca="false">IF(B31="","",ROW()-2)</f>
        <v>29</v>
      </c>
      <c r="B31" s="18" t="s">
        <v>471</v>
      </c>
      <c r="C31" s="19"/>
      <c r="D31" s="19" t="s">
        <v>54</v>
      </c>
      <c r="E31" s="19"/>
      <c r="F31" s="19"/>
      <c r="G31" s="18" t="s">
        <v>13</v>
      </c>
      <c r="H31" s="20" t="s">
        <v>472</v>
      </c>
      <c r="I31" s="21" t="s">
        <v>473</v>
      </c>
      <c r="J31" s="20" t="s">
        <v>474</v>
      </c>
      <c r="K31" s="20" t="s">
        <v>475</v>
      </c>
      <c r="L31" s="20" t="s">
        <v>476</v>
      </c>
      <c r="M31" s="21" t="s">
        <v>477</v>
      </c>
      <c r="N31" s="22" t="s">
        <v>478</v>
      </c>
      <c r="O31" s="21" t="s">
        <v>473</v>
      </c>
      <c r="P31" s="20" t="s">
        <v>479</v>
      </c>
      <c r="Q31" s="21" t="s">
        <v>63</v>
      </c>
      <c r="R31" s="20" t="s">
        <v>474</v>
      </c>
      <c r="S31" s="20" t="s">
        <v>480</v>
      </c>
      <c r="T31" s="20" t="s">
        <v>481</v>
      </c>
      <c r="U31" s="21" t="s">
        <v>482</v>
      </c>
      <c r="V31" s="20" t="s">
        <v>483</v>
      </c>
      <c r="W31" s="21" t="s">
        <v>68</v>
      </c>
      <c r="X31" s="20" t="s">
        <v>474</v>
      </c>
      <c r="Y31" s="20" t="s">
        <v>484</v>
      </c>
      <c r="Z31" s="20" t="s">
        <v>485</v>
      </c>
      <c r="AA31" s="23" t="s">
        <v>87</v>
      </c>
      <c r="AB31" s="24" t="str">
        <f aca="false">IF(LEN($C31)&gt;0,COUNT(AB$1:AB30)+1,"")</f>
        <v/>
      </c>
      <c r="AC31" s="24" t="n">
        <f aca="false">IF(LEN($D31)&gt;0,COUNT(AC$1:AC30)+1,"")</f>
        <v>29</v>
      </c>
      <c r="AD31" s="24" t="str">
        <f aca="false">IF(LEN($E31)&gt;0,COUNT(AD$1:AD30)+1,"")</f>
        <v/>
      </c>
      <c r="AE31" s="24" t="str">
        <f aca="false">IF(LEN($F31)&gt;0,COUNT(AE$1:AE30)+1,"")</f>
        <v/>
      </c>
    </row>
    <row r="32" customFormat="false" ht="33.75" hidden="false" customHeight="true" outlineLevel="0" collapsed="false">
      <c r="A32" s="18" t="n">
        <f aca="false">IF(B32="","",ROW()-2)</f>
        <v>30</v>
      </c>
      <c r="B32" s="18" t="s">
        <v>486</v>
      </c>
      <c r="C32" s="19"/>
      <c r="D32" s="19" t="s">
        <v>54</v>
      </c>
      <c r="E32" s="19"/>
      <c r="F32" s="19"/>
      <c r="G32" s="26" t="s">
        <v>12</v>
      </c>
      <c r="H32" s="20" t="s">
        <v>487</v>
      </c>
      <c r="I32" s="21" t="s">
        <v>488</v>
      </c>
      <c r="J32" s="20" t="s">
        <v>489</v>
      </c>
      <c r="K32" s="20" t="s">
        <v>490</v>
      </c>
      <c r="L32" s="20" t="s">
        <v>491</v>
      </c>
      <c r="M32" s="21" t="s">
        <v>492</v>
      </c>
      <c r="N32" s="22" t="s">
        <v>493</v>
      </c>
      <c r="O32" s="21" t="s">
        <v>494</v>
      </c>
      <c r="P32" s="20" t="s">
        <v>495</v>
      </c>
      <c r="Q32" s="21" t="s">
        <v>496</v>
      </c>
      <c r="R32" s="20" t="s">
        <v>497</v>
      </c>
      <c r="S32" s="20" t="s">
        <v>498</v>
      </c>
      <c r="T32" s="20" t="s">
        <v>497</v>
      </c>
      <c r="U32" s="21" t="s">
        <v>499</v>
      </c>
      <c r="V32" s="20" t="s">
        <v>67</v>
      </c>
      <c r="W32" s="21" t="s">
        <v>500</v>
      </c>
      <c r="X32" s="20" t="s">
        <v>501</v>
      </c>
      <c r="Y32" s="20" t="s">
        <v>502</v>
      </c>
      <c r="Z32" s="20" t="s">
        <v>501</v>
      </c>
      <c r="AA32" s="27" t="s">
        <v>503</v>
      </c>
      <c r="AB32" s="24" t="str">
        <f aca="false">IF(LEN($C32)&gt;0,COUNT(AB$1:AB31)+1,"")</f>
        <v/>
      </c>
      <c r="AC32" s="24" t="n">
        <f aca="false">IF(LEN($D32)&gt;0,COUNT(AC$1:AC31)+1,"")</f>
        <v>30</v>
      </c>
      <c r="AD32" s="24" t="str">
        <f aca="false">IF(LEN($E32)&gt;0,COUNT(AD$1:AD31)+1,"")</f>
        <v/>
      </c>
      <c r="AE32" s="24" t="str">
        <f aca="false">IF(LEN($F32)&gt;0,COUNT(AE$1:AE31)+1,"")</f>
        <v/>
      </c>
    </row>
    <row r="33" customFormat="false" ht="47.25" hidden="false" customHeight="true" outlineLevel="0" collapsed="false">
      <c r="A33" s="18" t="n">
        <f aca="false">IF(B33="","",ROW()-2)</f>
        <v>31</v>
      </c>
      <c r="B33" s="18" t="s">
        <v>504</v>
      </c>
      <c r="C33" s="19"/>
      <c r="D33" s="19" t="s">
        <v>54</v>
      </c>
      <c r="E33" s="19"/>
      <c r="F33" s="19"/>
      <c r="G33" s="18" t="s">
        <v>13</v>
      </c>
      <c r="H33" s="20" t="s">
        <v>505</v>
      </c>
      <c r="I33" s="21" t="s">
        <v>506</v>
      </c>
      <c r="J33" s="20" t="s">
        <v>507</v>
      </c>
      <c r="K33" s="20" t="s">
        <v>508</v>
      </c>
      <c r="L33" s="20" t="s">
        <v>509</v>
      </c>
      <c r="M33" s="21" t="s">
        <v>510</v>
      </c>
      <c r="N33" s="25" t="s">
        <v>511</v>
      </c>
      <c r="O33" s="21" t="s">
        <v>512</v>
      </c>
      <c r="P33" s="21" t="s">
        <v>513</v>
      </c>
      <c r="Q33" s="21" t="s">
        <v>514</v>
      </c>
      <c r="R33" s="20" t="s">
        <v>515</v>
      </c>
      <c r="S33" s="20" t="s">
        <v>516</v>
      </c>
      <c r="T33" s="20" t="s">
        <v>515</v>
      </c>
      <c r="U33" s="21" t="s">
        <v>517</v>
      </c>
      <c r="V33" s="20" t="s">
        <v>518</v>
      </c>
      <c r="W33" s="21" t="s">
        <v>519</v>
      </c>
      <c r="X33" s="20" t="s">
        <v>520</v>
      </c>
      <c r="Y33" s="20" t="s">
        <v>521</v>
      </c>
      <c r="Z33" s="20" t="s">
        <v>520</v>
      </c>
      <c r="AA33" s="23" t="s">
        <v>87</v>
      </c>
      <c r="AB33" s="24" t="str">
        <f aca="false">IF(LEN($C33)&gt;0,COUNT(AB$1:AB32)+1,"")</f>
        <v/>
      </c>
      <c r="AC33" s="24" t="n">
        <f aca="false">IF(LEN($D33)&gt;0,COUNT(AC$1:AC32)+1,"")</f>
        <v>31</v>
      </c>
      <c r="AD33" s="24" t="str">
        <f aca="false">IF(LEN($E33)&gt;0,COUNT(AD$1:AD32)+1,"")</f>
        <v/>
      </c>
      <c r="AE33" s="24" t="str">
        <f aca="false">IF(LEN($F33)&gt;0,COUNT(AE$1:AE32)+1,"")</f>
        <v/>
      </c>
    </row>
    <row r="34" customFormat="false" ht="33.75" hidden="false" customHeight="true" outlineLevel="0" collapsed="false">
      <c r="A34" s="18" t="n">
        <f aca="false">IF(B34="","",ROW()-2)</f>
        <v>32</v>
      </c>
      <c r="B34" s="18" t="s">
        <v>522</v>
      </c>
      <c r="C34" s="19" t="s">
        <v>54</v>
      </c>
      <c r="D34" s="19" t="s">
        <v>54</v>
      </c>
      <c r="E34" s="19" t="s">
        <v>54</v>
      </c>
      <c r="F34" s="19"/>
      <c r="G34" s="18" t="s">
        <v>13</v>
      </c>
      <c r="H34" s="20" t="s">
        <v>523</v>
      </c>
      <c r="I34" s="21" t="s">
        <v>524</v>
      </c>
      <c r="J34" s="20" t="s">
        <v>525</v>
      </c>
      <c r="K34" s="20" t="s">
        <v>526</v>
      </c>
      <c r="L34" s="20" t="s">
        <v>527</v>
      </c>
      <c r="M34" s="21" t="s">
        <v>528</v>
      </c>
      <c r="N34" s="25" t="s">
        <v>529</v>
      </c>
      <c r="O34" s="21" t="s">
        <v>524</v>
      </c>
      <c r="P34" s="21" t="s">
        <v>63</v>
      </c>
      <c r="Q34" s="21" t="s">
        <v>63</v>
      </c>
      <c r="R34" s="20" t="s">
        <v>525</v>
      </c>
      <c r="S34" s="20" t="s">
        <v>527</v>
      </c>
      <c r="T34" s="20" t="s">
        <v>525</v>
      </c>
      <c r="U34" s="21" t="s">
        <v>524</v>
      </c>
      <c r="V34" s="21" t="s">
        <v>63</v>
      </c>
      <c r="W34" s="21" t="s">
        <v>63</v>
      </c>
      <c r="X34" s="20" t="s">
        <v>525</v>
      </c>
      <c r="Y34" s="20" t="s">
        <v>527</v>
      </c>
      <c r="Z34" s="20" t="s">
        <v>525</v>
      </c>
      <c r="AA34" s="23"/>
      <c r="AB34" s="24" t="n">
        <f aca="false">IF(LEN($C34)&gt;0,COUNT(AB$1:AB33)+1,"")</f>
        <v>1</v>
      </c>
      <c r="AC34" s="24" t="n">
        <f aca="false">IF(LEN($D34)&gt;0,COUNT(AC$1:AC33)+1,"")</f>
        <v>32</v>
      </c>
      <c r="AD34" s="24" t="n">
        <f aca="false">IF(LEN($E34)&gt;0,COUNT(AD$1:AD33)+1,"")</f>
        <v>2</v>
      </c>
      <c r="AE34" s="24" t="str">
        <f aca="false">IF(LEN($F34)&gt;0,COUNT(AE$1:AE33)+1,"")</f>
        <v/>
      </c>
    </row>
    <row r="35" customFormat="false" ht="47.25" hidden="false" customHeight="true" outlineLevel="0" collapsed="false">
      <c r="A35" s="18" t="n">
        <f aca="false">IF(B35="","",ROW()-2)</f>
        <v>33</v>
      </c>
      <c r="B35" s="17" t="s">
        <v>530</v>
      </c>
      <c r="C35" s="19"/>
      <c r="D35" s="19" t="s">
        <v>54</v>
      </c>
      <c r="E35" s="19"/>
      <c r="F35" s="19"/>
      <c r="G35" s="18" t="s">
        <v>13</v>
      </c>
      <c r="H35" s="20" t="s">
        <v>531</v>
      </c>
      <c r="I35" s="21" t="s">
        <v>532</v>
      </c>
      <c r="J35" s="20" t="s">
        <v>533</v>
      </c>
      <c r="K35" s="20" t="s">
        <v>534</v>
      </c>
      <c r="L35" s="20" t="s">
        <v>535</v>
      </c>
      <c r="M35" s="21" t="s">
        <v>536</v>
      </c>
      <c r="N35" s="25" t="s">
        <v>537</v>
      </c>
      <c r="O35" s="21" t="s">
        <v>538</v>
      </c>
      <c r="P35" s="21" t="s">
        <v>172</v>
      </c>
      <c r="Q35" s="21" t="s">
        <v>172</v>
      </c>
      <c r="R35" s="20" t="s">
        <v>533</v>
      </c>
      <c r="S35" s="20" t="s">
        <v>539</v>
      </c>
      <c r="T35" s="20" t="s">
        <v>540</v>
      </c>
      <c r="U35" s="21" t="s">
        <v>538</v>
      </c>
      <c r="V35" s="21" t="s">
        <v>172</v>
      </c>
      <c r="W35" s="21" t="s">
        <v>172</v>
      </c>
      <c r="X35" s="20" t="s">
        <v>533</v>
      </c>
      <c r="Y35" s="20" t="s">
        <v>539</v>
      </c>
      <c r="Z35" s="20" t="s">
        <v>540</v>
      </c>
      <c r="AA35" s="23"/>
      <c r="AB35" s="24" t="str">
        <f aca="false">IF(LEN($C35)&gt;0,COUNT(AB$1:AB34)+1,"")</f>
        <v/>
      </c>
      <c r="AC35" s="24" t="n">
        <f aca="false">IF(LEN($D35)&gt;0,COUNT(AC$1:AC34)+1,"")</f>
        <v>33</v>
      </c>
      <c r="AD35" s="24" t="str">
        <f aca="false">IF(LEN($E35)&gt;0,COUNT(AD$1:AD34)+1,"")</f>
        <v/>
      </c>
      <c r="AE35" s="24" t="str">
        <f aca="false">IF(LEN($F35)&gt;0,COUNT(AE$1:AE34)+1,"")</f>
        <v/>
      </c>
    </row>
    <row r="36" customFormat="false" ht="22.5" hidden="false" customHeight="true" outlineLevel="0" collapsed="false">
      <c r="A36" s="18" t="n">
        <f aca="false">IF(B36="","",ROW()-2)</f>
        <v>34</v>
      </c>
      <c r="B36" s="18" t="s">
        <v>541</v>
      </c>
      <c r="C36" s="19"/>
      <c r="D36" s="19" t="s">
        <v>54</v>
      </c>
      <c r="E36" s="19"/>
      <c r="F36" s="19"/>
      <c r="G36" s="18" t="s">
        <v>16</v>
      </c>
      <c r="H36" s="20" t="s">
        <v>542</v>
      </c>
      <c r="I36" s="21" t="s">
        <v>543</v>
      </c>
      <c r="J36" s="20" t="s">
        <v>544</v>
      </c>
      <c r="K36" s="20" t="s">
        <v>545</v>
      </c>
      <c r="L36" s="20" t="s">
        <v>546</v>
      </c>
      <c r="M36" s="21" t="s">
        <v>547</v>
      </c>
      <c r="N36" s="22" t="s">
        <v>548</v>
      </c>
      <c r="O36" s="21" t="s">
        <v>549</v>
      </c>
      <c r="P36" s="21" t="s">
        <v>550</v>
      </c>
      <c r="Q36" s="21" t="s">
        <v>551</v>
      </c>
      <c r="R36" s="20" t="s">
        <v>552</v>
      </c>
      <c r="S36" s="20" t="s">
        <v>553</v>
      </c>
      <c r="T36" s="20" t="s">
        <v>554</v>
      </c>
      <c r="U36" s="21" t="s">
        <v>555</v>
      </c>
      <c r="V36" s="21" t="s">
        <v>556</v>
      </c>
      <c r="W36" s="21" t="s">
        <v>557</v>
      </c>
      <c r="X36" s="20" t="s">
        <v>544</v>
      </c>
      <c r="Y36" s="20" t="s">
        <v>558</v>
      </c>
      <c r="Z36" s="20" t="s">
        <v>559</v>
      </c>
      <c r="AA36" s="23"/>
      <c r="AB36" s="24" t="str">
        <f aca="false">IF(LEN($C36)&gt;0,COUNT(AB$1:AB35)+1,"")</f>
        <v/>
      </c>
      <c r="AC36" s="24" t="n">
        <f aca="false">IF(LEN($D36)&gt;0,COUNT(AC$1:AC35)+1,"")</f>
        <v>34</v>
      </c>
      <c r="AD36" s="24" t="str">
        <f aca="false">IF(LEN($E36)&gt;0,COUNT(AD$1:AD35)+1,"")</f>
        <v/>
      </c>
      <c r="AE36" s="24" t="str">
        <f aca="false">IF(LEN($F36)&gt;0,COUNT(AE$1:AE35)+1,"")</f>
        <v/>
      </c>
    </row>
    <row r="37" customFormat="false" ht="22.5" hidden="false" customHeight="true" outlineLevel="0" collapsed="false">
      <c r="A37" s="18" t="n">
        <f aca="false">IF(B37="","",ROW()-2)</f>
        <v>35</v>
      </c>
      <c r="B37" s="18" t="s">
        <v>560</v>
      </c>
      <c r="C37" s="19"/>
      <c r="D37" s="19" t="s">
        <v>54</v>
      </c>
      <c r="E37" s="19"/>
      <c r="F37" s="19"/>
      <c r="G37" s="18" t="s">
        <v>13</v>
      </c>
      <c r="H37" s="20" t="s">
        <v>561</v>
      </c>
      <c r="I37" s="21" t="s">
        <v>562</v>
      </c>
      <c r="J37" s="20" t="s">
        <v>563</v>
      </c>
      <c r="K37" s="20" t="s">
        <v>564</v>
      </c>
      <c r="L37" s="20" t="s">
        <v>565</v>
      </c>
      <c r="M37" s="21" t="s">
        <v>566</v>
      </c>
      <c r="N37" s="22" t="s">
        <v>567</v>
      </c>
      <c r="O37" s="21" t="s">
        <v>568</v>
      </c>
      <c r="P37" s="21" t="s">
        <v>569</v>
      </c>
      <c r="Q37" s="21" t="s">
        <v>79</v>
      </c>
      <c r="R37" s="20" t="s">
        <v>563</v>
      </c>
      <c r="S37" s="20" t="s">
        <v>565</v>
      </c>
      <c r="T37" s="20" t="s">
        <v>570</v>
      </c>
      <c r="U37" s="21" t="s">
        <v>571</v>
      </c>
      <c r="V37" s="21" t="s">
        <v>572</v>
      </c>
      <c r="W37" s="21" t="s">
        <v>172</v>
      </c>
      <c r="X37" s="20" t="s">
        <v>563</v>
      </c>
      <c r="Y37" s="20" t="s">
        <v>573</v>
      </c>
      <c r="Z37" s="20" t="s">
        <v>574</v>
      </c>
      <c r="AA37" s="23" t="s">
        <v>87</v>
      </c>
      <c r="AB37" s="24" t="str">
        <f aca="false">IF(LEN($C37)&gt;0,COUNT(AB$1:AB36)+1,"")</f>
        <v/>
      </c>
      <c r="AC37" s="24" t="n">
        <f aca="false">IF(LEN($D37)&gt;0,COUNT(AC$1:AC36)+1,"")</f>
        <v>35</v>
      </c>
      <c r="AD37" s="24" t="str">
        <f aca="false">IF(LEN($E37)&gt;0,COUNT(AD$1:AD36)+1,"")</f>
        <v/>
      </c>
      <c r="AE37" s="24" t="str">
        <f aca="false">IF(LEN($F37)&gt;0,COUNT(AE$1:AE36)+1,"")</f>
        <v/>
      </c>
    </row>
    <row r="38" customFormat="false" ht="22.5" hidden="false" customHeight="true" outlineLevel="0" collapsed="false">
      <c r="A38" s="18" t="n">
        <f aca="false">IF(B38="","",ROW()-2)</f>
        <v>36</v>
      </c>
      <c r="B38" s="17" t="s">
        <v>575</v>
      </c>
      <c r="C38" s="19"/>
      <c r="D38" s="19" t="s">
        <v>54</v>
      </c>
      <c r="E38" s="19"/>
      <c r="F38" s="19"/>
      <c r="G38" s="18" t="s">
        <v>13</v>
      </c>
      <c r="H38" s="20" t="s">
        <v>576</v>
      </c>
      <c r="I38" s="21" t="s">
        <v>577</v>
      </c>
      <c r="J38" s="20" t="s">
        <v>578</v>
      </c>
      <c r="K38" s="20" t="s">
        <v>579</v>
      </c>
      <c r="L38" s="20" t="s">
        <v>580</v>
      </c>
      <c r="M38" s="21" t="s">
        <v>581</v>
      </c>
      <c r="N38" s="25" t="s">
        <v>582</v>
      </c>
      <c r="O38" s="21" t="s">
        <v>583</v>
      </c>
      <c r="P38" s="21" t="s">
        <v>320</v>
      </c>
      <c r="Q38" s="21" t="s">
        <v>584</v>
      </c>
      <c r="R38" s="20" t="s">
        <v>578</v>
      </c>
      <c r="S38" s="20" t="s">
        <v>585</v>
      </c>
      <c r="T38" s="20" t="s">
        <v>586</v>
      </c>
      <c r="U38" s="21" t="s">
        <v>587</v>
      </c>
      <c r="V38" s="21" t="s">
        <v>320</v>
      </c>
      <c r="W38" s="21" t="s">
        <v>588</v>
      </c>
      <c r="X38" s="20" t="s">
        <v>578</v>
      </c>
      <c r="Y38" s="20" t="s">
        <v>589</v>
      </c>
      <c r="Z38" s="20" t="s">
        <v>590</v>
      </c>
      <c r="AA38" s="23" t="s">
        <v>87</v>
      </c>
      <c r="AB38" s="24" t="str">
        <f aca="false">IF(LEN($C38)&gt;0,COUNT(AB$1:AB37)+1,"")</f>
        <v/>
      </c>
      <c r="AC38" s="24" t="n">
        <f aca="false">IF(LEN($D38)&gt;0,COUNT(AC$1:AC37)+1,"")</f>
        <v>36</v>
      </c>
      <c r="AD38" s="24" t="str">
        <f aca="false">IF(LEN($E38)&gt;0,COUNT(AD$1:AD37)+1,"")</f>
        <v/>
      </c>
      <c r="AE38" s="24" t="str">
        <f aca="false">IF(LEN($F38)&gt;0,COUNT(AE$1:AE37)+1,"")</f>
        <v/>
      </c>
    </row>
    <row r="39" customFormat="false" ht="33.75" hidden="false" customHeight="true" outlineLevel="0" collapsed="false">
      <c r="A39" s="18" t="n">
        <f aca="false">IF(B39="","",ROW()-2)</f>
        <v>37</v>
      </c>
      <c r="B39" s="17" t="s">
        <v>591</v>
      </c>
      <c r="C39" s="19"/>
      <c r="D39" s="19" t="s">
        <v>54</v>
      </c>
      <c r="E39" s="19"/>
      <c r="F39" s="19"/>
      <c r="G39" s="18" t="s">
        <v>13</v>
      </c>
      <c r="H39" s="20" t="s">
        <v>592</v>
      </c>
      <c r="I39" s="21" t="s">
        <v>593</v>
      </c>
      <c r="J39" s="20" t="s">
        <v>594</v>
      </c>
      <c r="K39" s="20" t="s">
        <v>595</v>
      </c>
      <c r="L39" s="20" t="s">
        <v>596</v>
      </c>
      <c r="M39" s="21" t="s">
        <v>597</v>
      </c>
      <c r="N39" s="25" t="s">
        <v>598</v>
      </c>
      <c r="O39" s="21" t="s">
        <v>599</v>
      </c>
      <c r="P39" s="21" t="s">
        <v>600</v>
      </c>
      <c r="Q39" s="21" t="s">
        <v>601</v>
      </c>
      <c r="R39" s="20" t="s">
        <v>594</v>
      </c>
      <c r="S39" s="20" t="s">
        <v>602</v>
      </c>
      <c r="T39" s="20" t="s">
        <v>603</v>
      </c>
      <c r="U39" s="21" t="s">
        <v>604</v>
      </c>
      <c r="V39" s="21" t="s">
        <v>600</v>
      </c>
      <c r="W39" s="21" t="s">
        <v>605</v>
      </c>
      <c r="X39" s="20" t="s">
        <v>594</v>
      </c>
      <c r="Y39" s="20" t="s">
        <v>606</v>
      </c>
      <c r="Z39" s="20" t="s">
        <v>607</v>
      </c>
      <c r="AA39" s="23" t="s">
        <v>87</v>
      </c>
      <c r="AB39" s="24" t="str">
        <f aca="false">IF(LEN($C39)&gt;0,COUNT(AB$1:AB38)+1,"")</f>
        <v/>
      </c>
      <c r="AC39" s="24" t="n">
        <f aca="false">IF(LEN($D39)&gt;0,COUNT(AC$1:AC38)+1,"")</f>
        <v>37</v>
      </c>
      <c r="AD39" s="24" t="str">
        <f aca="false">IF(LEN($E39)&gt;0,COUNT(AD$1:AD38)+1,"")</f>
        <v/>
      </c>
      <c r="AE39" s="24" t="str">
        <f aca="false">IF(LEN($F39)&gt;0,COUNT(AE$1:AE38)+1,"")</f>
        <v/>
      </c>
    </row>
    <row r="40" customFormat="false" ht="22.5" hidden="false" customHeight="true" outlineLevel="0" collapsed="false">
      <c r="A40" s="18" t="n">
        <f aca="false">IF(B40="","",ROW()-2)</f>
        <v>38</v>
      </c>
      <c r="B40" s="18" t="s">
        <v>608</v>
      </c>
      <c r="C40" s="19"/>
      <c r="D40" s="19" t="s">
        <v>54</v>
      </c>
      <c r="E40" s="19"/>
      <c r="F40" s="19"/>
      <c r="G40" s="18" t="s">
        <v>13</v>
      </c>
      <c r="H40" s="20" t="s">
        <v>609</v>
      </c>
      <c r="I40" s="21" t="s">
        <v>610</v>
      </c>
      <c r="J40" s="20" t="s">
        <v>611</v>
      </c>
      <c r="K40" s="20" t="s">
        <v>612</v>
      </c>
      <c r="L40" s="20" t="s">
        <v>613</v>
      </c>
      <c r="M40" s="21" t="s">
        <v>614</v>
      </c>
      <c r="N40" s="22" t="s">
        <v>615</v>
      </c>
      <c r="O40" s="21" t="s">
        <v>610</v>
      </c>
      <c r="P40" s="21" t="s">
        <v>79</v>
      </c>
      <c r="Q40" s="21" t="s">
        <v>79</v>
      </c>
      <c r="R40" s="20" t="s">
        <v>611</v>
      </c>
      <c r="S40" s="20" t="s">
        <v>616</v>
      </c>
      <c r="T40" s="20" t="s">
        <v>611</v>
      </c>
      <c r="U40" s="21" t="s">
        <v>617</v>
      </c>
      <c r="V40" s="21" t="s">
        <v>96</v>
      </c>
      <c r="W40" s="21" t="s">
        <v>68</v>
      </c>
      <c r="X40" s="20" t="s">
        <v>618</v>
      </c>
      <c r="Y40" s="20" t="s">
        <v>619</v>
      </c>
      <c r="Z40" s="20" t="s">
        <v>618</v>
      </c>
      <c r="AA40" s="23"/>
      <c r="AB40" s="24" t="str">
        <f aca="false">IF(LEN($C40)&gt;0,COUNT(AB$1:AB39)+1,"")</f>
        <v/>
      </c>
      <c r="AC40" s="24" t="n">
        <f aca="false">IF(LEN($D40)&gt;0,COUNT(AC$1:AC39)+1,"")</f>
        <v>38</v>
      </c>
      <c r="AD40" s="24" t="str">
        <f aca="false">IF(LEN($E40)&gt;0,COUNT(AD$1:AD39)+1,"")</f>
        <v/>
      </c>
      <c r="AE40" s="24" t="str">
        <f aca="false">IF(LEN($F40)&gt;0,COUNT(AE$1:AE39)+1,"")</f>
        <v/>
      </c>
    </row>
    <row r="41" customFormat="false" ht="22.5" hidden="false" customHeight="true" outlineLevel="0" collapsed="false">
      <c r="A41" s="18" t="n">
        <f aca="false">IF(B41="","",ROW()-2)</f>
        <v>39</v>
      </c>
      <c r="B41" s="18" t="s">
        <v>620</v>
      </c>
      <c r="C41" s="19"/>
      <c r="D41" s="19" t="s">
        <v>54</v>
      </c>
      <c r="E41" s="19"/>
      <c r="F41" s="19"/>
      <c r="G41" s="18" t="s">
        <v>13</v>
      </c>
      <c r="H41" s="20" t="s">
        <v>621</v>
      </c>
      <c r="I41" s="21" t="s">
        <v>622</v>
      </c>
      <c r="J41" s="20" t="s">
        <v>623</v>
      </c>
      <c r="K41" s="20" t="s">
        <v>624</v>
      </c>
      <c r="L41" s="20" t="s">
        <v>625</v>
      </c>
      <c r="M41" s="21" t="s">
        <v>626</v>
      </c>
      <c r="N41" s="22" t="s">
        <v>627</v>
      </c>
      <c r="O41" s="21" t="s">
        <v>622</v>
      </c>
      <c r="P41" s="21" t="s">
        <v>628</v>
      </c>
      <c r="Q41" s="21" t="s">
        <v>63</v>
      </c>
      <c r="R41" s="20" t="s">
        <v>629</v>
      </c>
      <c r="S41" s="20" t="s">
        <v>625</v>
      </c>
      <c r="T41" s="20" t="s">
        <v>630</v>
      </c>
      <c r="U41" s="21" t="s">
        <v>631</v>
      </c>
      <c r="V41" s="21" t="s">
        <v>632</v>
      </c>
      <c r="W41" s="21" t="s">
        <v>84</v>
      </c>
      <c r="X41" s="20" t="s">
        <v>623</v>
      </c>
      <c r="Y41" s="20" t="s">
        <v>633</v>
      </c>
      <c r="Z41" s="20" t="s">
        <v>634</v>
      </c>
      <c r="AA41" s="23" t="s">
        <v>87</v>
      </c>
      <c r="AB41" s="24" t="str">
        <f aca="false">IF(LEN($C41)&gt;0,COUNT(AB$1:AB40)+1,"")</f>
        <v/>
      </c>
      <c r="AC41" s="24" t="n">
        <f aca="false">IF(LEN($D41)&gt;0,COUNT(AC$1:AC40)+1,"")</f>
        <v>39</v>
      </c>
      <c r="AD41" s="24" t="str">
        <f aca="false">IF(LEN($E41)&gt;0,COUNT(AD$1:AD40)+1,"")</f>
        <v/>
      </c>
      <c r="AE41" s="24" t="str">
        <f aca="false">IF(LEN($F41)&gt;0,COUNT(AE$1:AE40)+1,"")</f>
        <v/>
      </c>
    </row>
    <row r="42" customFormat="false" ht="22.5" hidden="false" customHeight="true" outlineLevel="0" collapsed="false">
      <c r="A42" s="18" t="n">
        <f aca="false">IF(B42="","",ROW()-2)</f>
        <v>40</v>
      </c>
      <c r="B42" s="18" t="s">
        <v>635</v>
      </c>
      <c r="C42" s="19"/>
      <c r="D42" s="19" t="s">
        <v>54</v>
      </c>
      <c r="E42" s="19"/>
      <c r="F42" s="19"/>
      <c r="G42" s="18" t="s">
        <v>13</v>
      </c>
      <c r="H42" s="20" t="s">
        <v>636</v>
      </c>
      <c r="I42" s="21" t="s">
        <v>637</v>
      </c>
      <c r="J42" s="20" t="s">
        <v>638</v>
      </c>
      <c r="K42" s="20" t="s">
        <v>639</v>
      </c>
      <c r="L42" s="20" t="s">
        <v>640</v>
      </c>
      <c r="M42" s="21" t="s">
        <v>641</v>
      </c>
      <c r="N42" s="22" t="s">
        <v>642</v>
      </c>
      <c r="O42" s="21" t="s">
        <v>637</v>
      </c>
      <c r="P42" s="21" t="s">
        <v>643</v>
      </c>
      <c r="Q42" s="21" t="s">
        <v>644</v>
      </c>
      <c r="R42" s="20" t="s">
        <v>638</v>
      </c>
      <c r="S42" s="20" t="s">
        <v>645</v>
      </c>
      <c r="T42" s="20" t="s">
        <v>646</v>
      </c>
      <c r="U42" s="21" t="s">
        <v>647</v>
      </c>
      <c r="V42" s="20" t="s">
        <v>648</v>
      </c>
      <c r="W42" s="20" t="s">
        <v>649</v>
      </c>
      <c r="X42" s="20" t="s">
        <v>638</v>
      </c>
      <c r="Y42" s="20" t="s">
        <v>640</v>
      </c>
      <c r="Z42" s="20" t="s">
        <v>650</v>
      </c>
      <c r="AA42" s="23" t="s">
        <v>87</v>
      </c>
      <c r="AB42" s="24" t="str">
        <f aca="false">IF(LEN($C42)&gt;0,COUNT(AB$1:AB41)+1,"")</f>
        <v/>
      </c>
      <c r="AC42" s="24" t="n">
        <f aca="false">IF(LEN($D42)&gt;0,COUNT(AC$1:AC41)+1,"")</f>
        <v>40</v>
      </c>
      <c r="AD42" s="24" t="str">
        <f aca="false">IF(LEN($E42)&gt;0,COUNT(AD$1:AD41)+1,"")</f>
        <v/>
      </c>
      <c r="AE42" s="24" t="str">
        <f aca="false">IF(LEN($F42)&gt;0,COUNT(AE$1:AE41)+1,"")</f>
        <v/>
      </c>
    </row>
    <row r="43" customFormat="false" ht="22.5" hidden="false" customHeight="true" outlineLevel="0" collapsed="false">
      <c r="A43" s="18" t="n">
        <f aca="false">IF(B43="","",ROW()-2)</f>
        <v>41</v>
      </c>
      <c r="B43" s="18" t="s">
        <v>651</v>
      </c>
      <c r="C43" s="19"/>
      <c r="D43" s="19" t="s">
        <v>54</v>
      </c>
      <c r="E43" s="19"/>
      <c r="F43" s="19"/>
      <c r="G43" s="18" t="s">
        <v>13</v>
      </c>
      <c r="H43" s="20" t="s">
        <v>652</v>
      </c>
      <c r="I43" s="21" t="s">
        <v>653</v>
      </c>
      <c r="J43" s="20" t="s">
        <v>654</v>
      </c>
      <c r="K43" s="20" t="s">
        <v>655</v>
      </c>
      <c r="L43" s="20" t="s">
        <v>656</v>
      </c>
      <c r="M43" s="21" t="s">
        <v>657</v>
      </c>
      <c r="N43" s="25" t="s">
        <v>658</v>
      </c>
      <c r="O43" s="21" t="s">
        <v>653</v>
      </c>
      <c r="P43" s="21" t="s">
        <v>121</v>
      </c>
      <c r="Q43" s="21" t="s">
        <v>63</v>
      </c>
      <c r="R43" s="20" t="s">
        <v>654</v>
      </c>
      <c r="S43" s="20" t="s">
        <v>656</v>
      </c>
      <c r="T43" s="20" t="s">
        <v>659</v>
      </c>
      <c r="U43" s="21" t="s">
        <v>660</v>
      </c>
      <c r="V43" s="21" t="s">
        <v>661</v>
      </c>
      <c r="W43" s="21" t="s">
        <v>68</v>
      </c>
      <c r="X43" s="20" t="s">
        <v>654</v>
      </c>
      <c r="Y43" s="20" t="s">
        <v>662</v>
      </c>
      <c r="Z43" s="20" t="s">
        <v>663</v>
      </c>
      <c r="AA43" s="23" t="s">
        <v>87</v>
      </c>
      <c r="AB43" s="24" t="str">
        <f aca="false">IF(LEN($C43)&gt;0,COUNT(AB$1:AB42)+1,"")</f>
        <v/>
      </c>
      <c r="AC43" s="24" t="n">
        <f aca="false">IF(LEN($D43)&gt;0,COUNT(AC$1:AC42)+1,"")</f>
        <v>41</v>
      </c>
      <c r="AD43" s="24" t="str">
        <f aca="false">IF(LEN($E43)&gt;0,COUNT(AD$1:AD42)+1,"")</f>
        <v/>
      </c>
      <c r="AE43" s="24" t="str">
        <f aca="false">IF(LEN($F43)&gt;0,COUNT(AE$1:AE42)+1,"")</f>
        <v/>
      </c>
    </row>
    <row r="44" customFormat="false" ht="22.5" hidden="false" customHeight="true" outlineLevel="0" collapsed="false">
      <c r="A44" s="18" t="n">
        <f aca="false">IF(B44="","",ROW()-2)</f>
        <v>42</v>
      </c>
      <c r="B44" s="17" t="s">
        <v>664</v>
      </c>
      <c r="C44" s="19"/>
      <c r="D44" s="19" t="s">
        <v>54</v>
      </c>
      <c r="E44" s="19"/>
      <c r="F44" s="19"/>
      <c r="G44" s="18" t="s">
        <v>13</v>
      </c>
      <c r="H44" s="20" t="s">
        <v>665</v>
      </c>
      <c r="I44" s="21" t="s">
        <v>666</v>
      </c>
      <c r="J44" s="20" t="s">
        <v>667</v>
      </c>
      <c r="K44" s="20" t="s">
        <v>668</v>
      </c>
      <c r="L44" s="20" t="s">
        <v>669</v>
      </c>
      <c r="M44" s="21" t="s">
        <v>670</v>
      </c>
      <c r="N44" s="22" t="s">
        <v>671</v>
      </c>
      <c r="O44" s="21" t="s">
        <v>666</v>
      </c>
      <c r="P44" s="20" t="s">
        <v>62</v>
      </c>
      <c r="Q44" s="21" t="s">
        <v>63</v>
      </c>
      <c r="R44" s="20" t="s">
        <v>672</v>
      </c>
      <c r="S44" s="20" t="s">
        <v>673</v>
      </c>
      <c r="T44" s="20" t="s">
        <v>674</v>
      </c>
      <c r="U44" s="21" t="s">
        <v>675</v>
      </c>
      <c r="V44" s="21" t="s">
        <v>676</v>
      </c>
      <c r="W44" s="21" t="s">
        <v>259</v>
      </c>
      <c r="X44" s="20" t="s">
        <v>677</v>
      </c>
      <c r="Y44" s="20" t="s">
        <v>678</v>
      </c>
      <c r="Z44" s="20" t="s">
        <v>679</v>
      </c>
      <c r="AA44" s="23" t="s">
        <v>87</v>
      </c>
      <c r="AB44" s="24" t="str">
        <f aca="false">IF(LEN($C44)&gt;0,COUNT(AB$1:AB43)+1,"")</f>
        <v/>
      </c>
      <c r="AC44" s="24" t="n">
        <f aca="false">IF(LEN($D44)&gt;0,COUNT(AC$1:AC43)+1,"")</f>
        <v>42</v>
      </c>
      <c r="AD44" s="24" t="str">
        <f aca="false">IF(LEN($E44)&gt;0,COUNT(AD$1:AD43)+1,"")</f>
        <v/>
      </c>
      <c r="AE44" s="24" t="str">
        <f aca="false">IF(LEN($F44)&gt;0,COUNT(AE$1:AE43)+1,"")</f>
        <v/>
      </c>
    </row>
    <row r="45" customFormat="false" ht="22.5" hidden="false" customHeight="true" outlineLevel="0" collapsed="false">
      <c r="A45" s="18" t="n">
        <f aca="false">IF(B45="","",ROW()-2)</f>
        <v>43</v>
      </c>
      <c r="B45" s="17" t="s">
        <v>680</v>
      </c>
      <c r="C45" s="19"/>
      <c r="D45" s="19" t="s">
        <v>54</v>
      </c>
      <c r="E45" s="19"/>
      <c r="F45" s="19"/>
      <c r="G45" s="18" t="s">
        <v>13</v>
      </c>
      <c r="H45" s="20" t="s">
        <v>681</v>
      </c>
      <c r="I45" s="21" t="s">
        <v>682</v>
      </c>
      <c r="J45" s="20" t="s">
        <v>683</v>
      </c>
      <c r="K45" s="20" t="s">
        <v>684</v>
      </c>
      <c r="L45" s="20" t="s">
        <v>685</v>
      </c>
      <c r="M45" s="21" t="s">
        <v>686</v>
      </c>
      <c r="N45" s="22" t="s">
        <v>687</v>
      </c>
      <c r="O45" s="21" t="s">
        <v>682</v>
      </c>
      <c r="P45" s="21" t="s">
        <v>79</v>
      </c>
      <c r="Q45" s="21" t="s">
        <v>79</v>
      </c>
      <c r="R45" s="20" t="s">
        <v>683</v>
      </c>
      <c r="S45" s="20" t="s">
        <v>685</v>
      </c>
      <c r="T45" s="20" t="s">
        <v>683</v>
      </c>
      <c r="U45" s="21" t="s">
        <v>688</v>
      </c>
      <c r="V45" s="20" t="s">
        <v>689</v>
      </c>
      <c r="W45" s="21" t="s">
        <v>306</v>
      </c>
      <c r="X45" s="20" t="s">
        <v>690</v>
      </c>
      <c r="Y45" s="20" t="s">
        <v>691</v>
      </c>
      <c r="Z45" s="20" t="s">
        <v>692</v>
      </c>
      <c r="AA45" s="23"/>
      <c r="AB45" s="24" t="str">
        <f aca="false">IF(LEN($C45)&gt;0,COUNT(AB$1:AB44)+1,"")</f>
        <v/>
      </c>
      <c r="AC45" s="24" t="n">
        <f aca="false">IF(LEN($D45)&gt;0,COUNT(AC$1:AC44)+1,"")</f>
        <v>43</v>
      </c>
      <c r="AD45" s="24" t="str">
        <f aca="false">IF(LEN($E45)&gt;0,COUNT(AD$1:AD44)+1,"")</f>
        <v/>
      </c>
      <c r="AE45" s="24" t="str">
        <f aca="false">IF(LEN($F45)&gt;0,COUNT(AE$1:AE44)+1,"")</f>
        <v/>
      </c>
    </row>
    <row r="46" customFormat="false" ht="22.5" hidden="false" customHeight="true" outlineLevel="0" collapsed="false">
      <c r="A46" s="18" t="n">
        <f aca="false">IF(B46="","",ROW()-2)</f>
        <v>44</v>
      </c>
      <c r="B46" s="17" t="s">
        <v>693</v>
      </c>
      <c r="C46" s="19"/>
      <c r="D46" s="19" t="s">
        <v>54</v>
      </c>
      <c r="E46" s="19"/>
      <c r="F46" s="19"/>
      <c r="G46" s="18" t="s">
        <v>13</v>
      </c>
      <c r="H46" s="20" t="s">
        <v>694</v>
      </c>
      <c r="I46" s="21" t="s">
        <v>695</v>
      </c>
      <c r="J46" s="20" t="s">
        <v>696</v>
      </c>
      <c r="K46" s="20" t="s">
        <v>697</v>
      </c>
      <c r="L46" s="20" t="s">
        <v>698</v>
      </c>
      <c r="M46" s="21" t="s">
        <v>699</v>
      </c>
      <c r="N46" s="25" t="s">
        <v>700</v>
      </c>
      <c r="O46" s="21" t="s">
        <v>695</v>
      </c>
      <c r="P46" s="21" t="s">
        <v>701</v>
      </c>
      <c r="Q46" s="21" t="s">
        <v>63</v>
      </c>
      <c r="R46" s="20" t="s">
        <v>696</v>
      </c>
      <c r="S46" s="20" t="s">
        <v>698</v>
      </c>
      <c r="T46" s="20" t="s">
        <v>702</v>
      </c>
      <c r="U46" s="21" t="s">
        <v>695</v>
      </c>
      <c r="V46" s="21" t="s">
        <v>661</v>
      </c>
      <c r="W46" s="21" t="s">
        <v>63</v>
      </c>
      <c r="X46" s="20" t="s">
        <v>702</v>
      </c>
      <c r="Y46" s="20" t="s">
        <v>698</v>
      </c>
      <c r="Z46" s="28" t="s">
        <v>703</v>
      </c>
      <c r="AA46" s="23" t="s">
        <v>87</v>
      </c>
      <c r="AB46" s="24" t="str">
        <f aca="false">IF(LEN($C46)&gt;0,COUNT(AB$1:AB45)+1,"")</f>
        <v/>
      </c>
      <c r="AC46" s="24" t="n">
        <f aca="false">IF(LEN($D46)&gt;0,COUNT(AC$1:AC45)+1,"")</f>
        <v>44</v>
      </c>
      <c r="AD46" s="24" t="str">
        <f aca="false">IF(LEN($E46)&gt;0,COUNT(AD$1:AD45)+1,"")</f>
        <v/>
      </c>
      <c r="AE46" s="24" t="str">
        <f aca="false">IF(LEN($F46)&gt;0,COUNT(AE$1:AE45)+1,"")</f>
        <v/>
      </c>
    </row>
    <row r="47" customFormat="false" ht="22.5" hidden="false" customHeight="true" outlineLevel="0" collapsed="false">
      <c r="A47" s="18" t="n">
        <f aca="false">IF(B47="","",ROW()-2)</f>
        <v>45</v>
      </c>
      <c r="B47" s="18" t="s">
        <v>704</v>
      </c>
      <c r="C47" s="19"/>
      <c r="D47" s="19" t="s">
        <v>54</v>
      </c>
      <c r="E47" s="19"/>
      <c r="F47" s="19"/>
      <c r="G47" s="18" t="s">
        <v>13</v>
      </c>
      <c r="H47" s="20" t="s">
        <v>705</v>
      </c>
      <c r="I47" s="21" t="s">
        <v>706</v>
      </c>
      <c r="J47" s="20" t="s">
        <v>707</v>
      </c>
      <c r="K47" s="20" t="s">
        <v>708</v>
      </c>
      <c r="L47" s="20" t="s">
        <v>709</v>
      </c>
      <c r="M47" s="21" t="s">
        <v>710</v>
      </c>
      <c r="N47" s="25" t="s">
        <v>711</v>
      </c>
      <c r="O47" s="21" t="s">
        <v>712</v>
      </c>
      <c r="P47" s="21" t="s">
        <v>713</v>
      </c>
      <c r="Q47" s="20" t="s">
        <v>286</v>
      </c>
      <c r="R47" s="20" t="s">
        <v>714</v>
      </c>
      <c r="S47" s="20" t="s">
        <v>709</v>
      </c>
      <c r="T47" s="20" t="s">
        <v>714</v>
      </c>
      <c r="U47" s="21" t="s">
        <v>715</v>
      </c>
      <c r="V47" s="20" t="s">
        <v>716</v>
      </c>
      <c r="W47" s="21" t="s">
        <v>238</v>
      </c>
      <c r="X47" s="20" t="s">
        <v>717</v>
      </c>
      <c r="Y47" s="20" t="s">
        <v>718</v>
      </c>
      <c r="Z47" s="20" t="s">
        <v>717</v>
      </c>
      <c r="AA47" s="23" t="s">
        <v>87</v>
      </c>
      <c r="AB47" s="24" t="str">
        <f aca="false">IF(LEN($C47)&gt;0,COUNT(AB$1:AB46)+1,"")</f>
        <v/>
      </c>
      <c r="AC47" s="24" t="n">
        <f aca="false">IF(LEN($D47)&gt;0,COUNT(AC$1:AC46)+1,"")</f>
        <v>45</v>
      </c>
      <c r="AD47" s="24" t="str">
        <f aca="false">IF(LEN($E47)&gt;0,COUNT(AD$1:AD46)+1,"")</f>
        <v/>
      </c>
      <c r="AE47" s="24" t="str">
        <f aca="false">IF(LEN($F47)&gt;0,COUNT(AE$1:AE46)+1,"")</f>
        <v/>
      </c>
    </row>
    <row r="48" customFormat="false" ht="33.75" hidden="false" customHeight="true" outlineLevel="0" collapsed="false">
      <c r="A48" s="18" t="n">
        <f aca="false">IF(B48="","",ROW()-2)</f>
        <v>46</v>
      </c>
      <c r="B48" s="18" t="s">
        <v>719</v>
      </c>
      <c r="C48" s="19"/>
      <c r="D48" s="19" t="s">
        <v>54</v>
      </c>
      <c r="E48" s="19"/>
      <c r="F48" s="19"/>
      <c r="G48" s="18" t="s">
        <v>13</v>
      </c>
      <c r="H48" s="20" t="s">
        <v>720</v>
      </c>
      <c r="I48" s="21" t="s">
        <v>721</v>
      </c>
      <c r="J48" s="20" t="s">
        <v>722</v>
      </c>
      <c r="K48" s="20" t="s">
        <v>723</v>
      </c>
      <c r="L48" s="20" t="s">
        <v>724</v>
      </c>
      <c r="M48" s="21" t="s">
        <v>725</v>
      </c>
      <c r="N48" s="22" t="s">
        <v>726</v>
      </c>
      <c r="O48" s="21" t="s">
        <v>721</v>
      </c>
      <c r="P48" s="21" t="s">
        <v>727</v>
      </c>
      <c r="Q48" s="21" t="s">
        <v>79</v>
      </c>
      <c r="R48" s="20" t="s">
        <v>728</v>
      </c>
      <c r="S48" s="20" t="s">
        <v>724</v>
      </c>
      <c r="T48" s="20" t="s">
        <v>728</v>
      </c>
      <c r="U48" s="21" t="s">
        <v>721</v>
      </c>
      <c r="V48" s="21" t="s">
        <v>727</v>
      </c>
      <c r="W48" s="21" t="s">
        <v>79</v>
      </c>
      <c r="X48" s="20" t="s">
        <v>728</v>
      </c>
      <c r="Y48" s="20" t="s">
        <v>724</v>
      </c>
      <c r="Z48" s="20" t="s">
        <v>728</v>
      </c>
      <c r="AA48" s="23" t="s">
        <v>87</v>
      </c>
      <c r="AB48" s="24" t="str">
        <f aca="false">IF(LEN($C48)&gt;0,COUNT(AB$1:AB47)+1,"")</f>
        <v/>
      </c>
      <c r="AC48" s="24" t="n">
        <f aca="false">IF(LEN($D48)&gt;0,COUNT(AC$1:AC47)+1,"")</f>
        <v>46</v>
      </c>
      <c r="AD48" s="24" t="str">
        <f aca="false">IF(LEN($E48)&gt;0,COUNT(AD$1:AD47)+1,"")</f>
        <v/>
      </c>
      <c r="AE48" s="24" t="str">
        <f aca="false">IF(LEN($F48)&gt;0,COUNT(AE$1:AE47)+1,"")</f>
        <v/>
      </c>
    </row>
    <row r="49" customFormat="false" ht="22.5" hidden="false" customHeight="true" outlineLevel="0" collapsed="false">
      <c r="A49" s="18" t="n">
        <f aca="false">IF(B49="","",ROW()-2)</f>
        <v>47</v>
      </c>
      <c r="B49" s="17" t="s">
        <v>729</v>
      </c>
      <c r="C49" s="19"/>
      <c r="D49" s="19" t="s">
        <v>54</v>
      </c>
      <c r="E49" s="19"/>
      <c r="F49" s="19"/>
      <c r="G49" s="18" t="s">
        <v>13</v>
      </c>
      <c r="H49" s="20" t="s">
        <v>730</v>
      </c>
      <c r="I49" s="21" t="s">
        <v>731</v>
      </c>
      <c r="J49" s="20" t="s">
        <v>732</v>
      </c>
      <c r="K49" s="20" t="s">
        <v>733</v>
      </c>
      <c r="L49" s="20" t="s">
        <v>734</v>
      </c>
      <c r="M49" s="21" t="s">
        <v>735</v>
      </c>
      <c r="N49" s="22" t="s">
        <v>736</v>
      </c>
      <c r="O49" s="21" t="s">
        <v>731</v>
      </c>
      <c r="P49" s="21" t="s">
        <v>63</v>
      </c>
      <c r="Q49" s="20" t="s">
        <v>286</v>
      </c>
      <c r="R49" s="20" t="s">
        <v>737</v>
      </c>
      <c r="S49" s="20" t="s">
        <v>738</v>
      </c>
      <c r="T49" s="20" t="s">
        <v>737</v>
      </c>
      <c r="U49" s="21" t="s">
        <v>739</v>
      </c>
      <c r="V49" s="21" t="s">
        <v>740</v>
      </c>
      <c r="W49" s="21" t="s">
        <v>274</v>
      </c>
      <c r="X49" s="20" t="s">
        <v>741</v>
      </c>
      <c r="Y49" s="20" t="s">
        <v>742</v>
      </c>
      <c r="Z49" s="20" t="s">
        <v>743</v>
      </c>
      <c r="AA49" s="23" t="s">
        <v>87</v>
      </c>
      <c r="AB49" s="24" t="str">
        <f aca="false">IF(LEN($C49)&gt;0,COUNT(AB$1:AB48)+1,"")</f>
        <v/>
      </c>
      <c r="AC49" s="24" t="n">
        <f aca="false">IF(LEN($D49)&gt;0,COUNT(AC$1:AC48)+1,"")</f>
        <v>47</v>
      </c>
      <c r="AD49" s="24" t="str">
        <f aca="false">IF(LEN($E49)&gt;0,COUNT(AD$1:AD48)+1,"")</f>
        <v/>
      </c>
      <c r="AE49" s="24" t="str">
        <f aca="false">IF(LEN($F49)&gt;0,COUNT(AE$1:AE48)+1,"")</f>
        <v/>
      </c>
    </row>
    <row r="50" customFormat="false" ht="22.5" hidden="false" customHeight="true" outlineLevel="0" collapsed="false">
      <c r="A50" s="18" t="n">
        <f aca="false">IF(B50="","",ROW()-2)</f>
        <v>48</v>
      </c>
      <c r="B50" s="18" t="s">
        <v>744</v>
      </c>
      <c r="C50" s="19"/>
      <c r="D50" s="19" t="s">
        <v>54</v>
      </c>
      <c r="E50" s="19"/>
      <c r="F50" s="19"/>
      <c r="G50" s="18" t="s">
        <v>13</v>
      </c>
      <c r="H50" s="20" t="s">
        <v>745</v>
      </c>
      <c r="I50" s="21" t="s">
        <v>746</v>
      </c>
      <c r="J50" s="20" t="s">
        <v>747</v>
      </c>
      <c r="K50" s="20" t="s">
        <v>748</v>
      </c>
      <c r="L50" s="20" t="s">
        <v>749</v>
      </c>
      <c r="M50" s="21" t="s">
        <v>750</v>
      </c>
      <c r="N50" s="25" t="s">
        <v>751</v>
      </c>
      <c r="O50" s="21" t="s">
        <v>746</v>
      </c>
      <c r="P50" s="21" t="s">
        <v>79</v>
      </c>
      <c r="Q50" s="21" t="s">
        <v>79</v>
      </c>
      <c r="R50" s="20" t="s">
        <v>752</v>
      </c>
      <c r="S50" s="20" t="s">
        <v>749</v>
      </c>
      <c r="T50" s="20" t="s">
        <v>752</v>
      </c>
      <c r="U50" s="21" t="s">
        <v>753</v>
      </c>
      <c r="V50" s="21" t="s">
        <v>79</v>
      </c>
      <c r="W50" s="21" t="s">
        <v>79</v>
      </c>
      <c r="X50" s="20" t="s">
        <v>747</v>
      </c>
      <c r="Y50" s="20" t="s">
        <v>749</v>
      </c>
      <c r="Z50" s="20" t="s">
        <v>752</v>
      </c>
      <c r="AA50" s="23" t="s">
        <v>87</v>
      </c>
      <c r="AB50" s="24" t="str">
        <f aca="false">IF(LEN($C50)&gt;0,COUNT(AB$1:AB49)+1,"")</f>
        <v/>
      </c>
      <c r="AC50" s="24" t="n">
        <f aca="false">IF(LEN($D50)&gt;0,COUNT(AC$1:AC49)+1,"")</f>
        <v>48</v>
      </c>
      <c r="AD50" s="24" t="str">
        <f aca="false">IF(LEN($E50)&gt;0,COUNT(AD$1:AD49)+1,"")</f>
        <v/>
      </c>
      <c r="AE50" s="24" t="str">
        <f aca="false">IF(LEN($F50)&gt;0,COUNT(AE$1:AE49)+1,"")</f>
        <v/>
      </c>
    </row>
    <row r="51" customFormat="false" ht="33.75" hidden="false" customHeight="true" outlineLevel="0" collapsed="false">
      <c r="A51" s="18" t="n">
        <f aca="false">IF(B51="","",ROW()-2)</f>
        <v>49</v>
      </c>
      <c r="B51" s="17" t="s">
        <v>754</v>
      </c>
      <c r="C51" s="19"/>
      <c r="D51" s="19" t="s">
        <v>54</v>
      </c>
      <c r="E51" s="19"/>
      <c r="F51" s="19"/>
      <c r="G51" s="18" t="s">
        <v>13</v>
      </c>
      <c r="H51" s="20" t="s">
        <v>755</v>
      </c>
      <c r="I51" s="21" t="s">
        <v>756</v>
      </c>
      <c r="J51" s="20" t="s">
        <v>757</v>
      </c>
      <c r="K51" s="20" t="s">
        <v>758</v>
      </c>
      <c r="L51" s="20" t="s">
        <v>759</v>
      </c>
      <c r="M51" s="21" t="s">
        <v>760</v>
      </c>
      <c r="N51" s="25" t="s">
        <v>761</v>
      </c>
      <c r="O51" s="21" t="s">
        <v>762</v>
      </c>
      <c r="P51" s="21" t="s">
        <v>320</v>
      </c>
      <c r="Q51" s="21" t="s">
        <v>198</v>
      </c>
      <c r="R51" s="20" t="s">
        <v>763</v>
      </c>
      <c r="S51" s="20" t="s">
        <v>759</v>
      </c>
      <c r="T51" s="20" t="s">
        <v>763</v>
      </c>
      <c r="U51" s="21" t="s">
        <v>764</v>
      </c>
      <c r="V51" s="21" t="s">
        <v>320</v>
      </c>
      <c r="W51" s="21" t="s">
        <v>765</v>
      </c>
      <c r="X51" s="20" t="s">
        <v>766</v>
      </c>
      <c r="Y51" s="20" t="s">
        <v>767</v>
      </c>
      <c r="Z51" s="20" t="s">
        <v>768</v>
      </c>
      <c r="AA51" s="23"/>
      <c r="AB51" s="24" t="str">
        <f aca="false">IF(LEN($C51)&gt;0,COUNT(AB$1:AB50)+1,"")</f>
        <v/>
      </c>
      <c r="AC51" s="24" t="n">
        <f aca="false">IF(LEN($D51)&gt;0,COUNT(AC$1:AC50)+1,"")</f>
        <v>49</v>
      </c>
      <c r="AD51" s="24" t="str">
        <f aca="false">IF(LEN($E51)&gt;0,COUNT(AD$1:AD50)+1,"")</f>
        <v/>
      </c>
      <c r="AE51" s="24" t="str">
        <f aca="false">IF(LEN($F51)&gt;0,COUNT(AE$1:AE50)+1,"")</f>
        <v/>
      </c>
    </row>
    <row r="52" customFormat="false" ht="22.5" hidden="false" customHeight="true" outlineLevel="0" collapsed="false">
      <c r="A52" s="18" t="n">
        <f aca="false">IF(B52="","",ROW()-2)</f>
        <v>50</v>
      </c>
      <c r="B52" s="18" t="s">
        <v>769</v>
      </c>
      <c r="C52" s="19"/>
      <c r="D52" s="19" t="s">
        <v>54</v>
      </c>
      <c r="E52" s="19"/>
      <c r="F52" s="19"/>
      <c r="G52" s="18" t="s">
        <v>13</v>
      </c>
      <c r="H52" s="20" t="s">
        <v>770</v>
      </c>
      <c r="I52" s="21" t="s">
        <v>771</v>
      </c>
      <c r="J52" s="20" t="s">
        <v>772</v>
      </c>
      <c r="K52" s="20" t="s">
        <v>773</v>
      </c>
      <c r="L52" s="20" t="s">
        <v>774</v>
      </c>
      <c r="M52" s="21" t="s">
        <v>775</v>
      </c>
      <c r="N52" s="22" t="s">
        <v>776</v>
      </c>
      <c r="O52" s="21" t="s">
        <v>771</v>
      </c>
      <c r="P52" s="21" t="s">
        <v>628</v>
      </c>
      <c r="Q52" s="21" t="s">
        <v>63</v>
      </c>
      <c r="R52" s="20" t="s">
        <v>777</v>
      </c>
      <c r="S52" s="20" t="s">
        <v>778</v>
      </c>
      <c r="T52" s="20" t="s">
        <v>779</v>
      </c>
      <c r="U52" s="21" t="s">
        <v>780</v>
      </c>
      <c r="V52" s="21" t="s">
        <v>96</v>
      </c>
      <c r="W52" s="21" t="s">
        <v>68</v>
      </c>
      <c r="X52" s="20" t="s">
        <v>781</v>
      </c>
      <c r="Y52" s="20" t="s">
        <v>774</v>
      </c>
      <c r="Z52" s="20" t="s">
        <v>781</v>
      </c>
      <c r="AA52" s="23"/>
      <c r="AB52" s="24" t="str">
        <f aca="false">IF(LEN($C52)&gt;0,COUNT(AB$1:AB51)+1,"")</f>
        <v/>
      </c>
      <c r="AC52" s="24" t="n">
        <f aca="false">IF(LEN($D52)&gt;0,COUNT(AC$1:AC51)+1,"")</f>
        <v>50</v>
      </c>
      <c r="AD52" s="24" t="str">
        <f aca="false">IF(LEN($E52)&gt;0,COUNT(AD$1:AD51)+1,"")</f>
        <v/>
      </c>
      <c r="AE52" s="24" t="str">
        <f aca="false">IF(LEN($F52)&gt;0,COUNT(AE$1:AE51)+1,"")</f>
        <v/>
      </c>
    </row>
    <row r="53" customFormat="false" ht="22.5" hidden="false" customHeight="true" outlineLevel="0" collapsed="false">
      <c r="A53" s="18" t="n">
        <f aca="false">IF(B53="","",ROW()-2)</f>
        <v>51</v>
      </c>
      <c r="B53" s="17" t="s">
        <v>782</v>
      </c>
      <c r="C53" s="19"/>
      <c r="D53" s="19" t="s">
        <v>54</v>
      </c>
      <c r="E53" s="19" t="s">
        <v>54</v>
      </c>
      <c r="F53" s="19"/>
      <c r="G53" s="18" t="s">
        <v>13</v>
      </c>
      <c r="H53" s="20" t="s">
        <v>783</v>
      </c>
      <c r="I53" s="21" t="s">
        <v>784</v>
      </c>
      <c r="J53" s="20" t="s">
        <v>785</v>
      </c>
      <c r="K53" s="20" t="s">
        <v>786</v>
      </c>
      <c r="L53" s="20" t="s">
        <v>787</v>
      </c>
      <c r="M53" s="20" t="s">
        <v>788</v>
      </c>
      <c r="N53" s="22" t="s">
        <v>789</v>
      </c>
      <c r="O53" s="21" t="s">
        <v>790</v>
      </c>
      <c r="P53" s="21" t="s">
        <v>791</v>
      </c>
      <c r="Q53" s="21" t="s">
        <v>792</v>
      </c>
      <c r="R53" s="20" t="s">
        <v>785</v>
      </c>
      <c r="S53" s="20" t="s">
        <v>793</v>
      </c>
      <c r="T53" s="20" t="s">
        <v>794</v>
      </c>
      <c r="U53" s="21" t="s">
        <v>795</v>
      </c>
      <c r="V53" s="21" t="s">
        <v>796</v>
      </c>
      <c r="W53" s="21" t="s">
        <v>797</v>
      </c>
      <c r="X53" s="20" t="s">
        <v>785</v>
      </c>
      <c r="Y53" s="20" t="s">
        <v>798</v>
      </c>
      <c r="Z53" s="20" t="s">
        <v>799</v>
      </c>
      <c r="AA53" s="23"/>
      <c r="AB53" s="24" t="str">
        <f aca="false">IF(LEN($C53)&gt;0,COUNT(AB$1:AB52)+1,"")</f>
        <v/>
      </c>
      <c r="AC53" s="24" t="n">
        <f aca="false">IF(LEN($D53)&gt;0,COUNT(AC$1:AC52)+1,"")</f>
        <v>51</v>
      </c>
      <c r="AD53" s="24" t="n">
        <f aca="false">IF(LEN($E53)&gt;0,COUNT(AD$1:AD52)+1,"")</f>
        <v>3</v>
      </c>
      <c r="AE53" s="24" t="str">
        <f aca="false">IF(LEN($F53)&gt;0,COUNT(AE$1:AE52)+1,"")</f>
        <v/>
      </c>
    </row>
    <row r="54" customFormat="false" ht="22.5" hidden="false" customHeight="true" outlineLevel="0" collapsed="false">
      <c r="A54" s="18" t="n">
        <f aca="false">IF(B54="","",ROW()-2)</f>
        <v>52</v>
      </c>
      <c r="B54" s="17" t="s">
        <v>800</v>
      </c>
      <c r="C54" s="19"/>
      <c r="D54" s="19" t="s">
        <v>54</v>
      </c>
      <c r="E54" s="19"/>
      <c r="F54" s="19"/>
      <c r="G54" s="18" t="s">
        <v>13</v>
      </c>
      <c r="H54" s="20" t="s">
        <v>801</v>
      </c>
      <c r="I54" s="21" t="s">
        <v>802</v>
      </c>
      <c r="J54" s="20" t="s">
        <v>803</v>
      </c>
      <c r="K54" s="20" t="s">
        <v>804</v>
      </c>
      <c r="L54" s="20" t="s">
        <v>805</v>
      </c>
      <c r="M54" s="21" t="s">
        <v>806</v>
      </c>
      <c r="N54" s="25" t="s">
        <v>807</v>
      </c>
      <c r="O54" s="21" t="s">
        <v>808</v>
      </c>
      <c r="P54" s="21" t="s">
        <v>96</v>
      </c>
      <c r="Q54" s="21" t="s">
        <v>198</v>
      </c>
      <c r="R54" s="20" t="s">
        <v>803</v>
      </c>
      <c r="S54" s="20" t="s">
        <v>809</v>
      </c>
      <c r="T54" s="20" t="s">
        <v>810</v>
      </c>
      <c r="U54" s="21" t="s">
        <v>811</v>
      </c>
      <c r="V54" s="21" t="s">
        <v>812</v>
      </c>
      <c r="W54" s="21" t="s">
        <v>813</v>
      </c>
      <c r="X54" s="20" t="s">
        <v>803</v>
      </c>
      <c r="Y54" s="20" t="s">
        <v>814</v>
      </c>
      <c r="Z54" s="20" t="s">
        <v>815</v>
      </c>
      <c r="AA54" s="23"/>
      <c r="AB54" s="24" t="str">
        <f aca="false">IF(LEN($C54)&gt;0,COUNT(AB$1:AB53)+1,"")</f>
        <v/>
      </c>
      <c r="AC54" s="24" t="n">
        <f aca="false">IF(LEN($D54)&gt;0,COUNT(AC$1:AC53)+1,"")</f>
        <v>52</v>
      </c>
      <c r="AD54" s="24" t="str">
        <f aca="false">IF(LEN($E54)&gt;0,COUNT(AD$1:AD53)+1,"")</f>
        <v/>
      </c>
      <c r="AE54" s="24" t="str">
        <f aca="false">IF(LEN($F54)&gt;0,COUNT(AE$1:AE53)+1,"")</f>
        <v/>
      </c>
    </row>
    <row r="55" customFormat="false" ht="22.5" hidden="false" customHeight="true" outlineLevel="0" collapsed="false">
      <c r="A55" s="18" t="n">
        <f aca="false">IF(B55="","",ROW()-2)</f>
        <v>53</v>
      </c>
      <c r="B55" s="18" t="s">
        <v>816</v>
      </c>
      <c r="C55" s="19"/>
      <c r="D55" s="19" t="s">
        <v>54</v>
      </c>
      <c r="E55" s="19"/>
      <c r="F55" s="19"/>
      <c r="G55" s="18" t="s">
        <v>13</v>
      </c>
      <c r="H55" s="20" t="s">
        <v>817</v>
      </c>
      <c r="I55" s="21" t="s">
        <v>818</v>
      </c>
      <c r="J55" s="20" t="s">
        <v>819</v>
      </c>
      <c r="K55" s="20" t="s">
        <v>820</v>
      </c>
      <c r="L55" s="20" t="s">
        <v>821</v>
      </c>
      <c r="M55" s="21" t="s">
        <v>822</v>
      </c>
      <c r="N55" s="25" t="s">
        <v>823</v>
      </c>
      <c r="O55" s="21" t="s">
        <v>824</v>
      </c>
      <c r="P55" s="21" t="s">
        <v>825</v>
      </c>
      <c r="Q55" s="21" t="s">
        <v>826</v>
      </c>
      <c r="R55" s="20" t="s">
        <v>819</v>
      </c>
      <c r="S55" s="20" t="s">
        <v>827</v>
      </c>
      <c r="T55" s="20" t="s">
        <v>828</v>
      </c>
      <c r="U55" s="21" t="s">
        <v>829</v>
      </c>
      <c r="V55" s="21" t="s">
        <v>825</v>
      </c>
      <c r="W55" s="21" t="s">
        <v>830</v>
      </c>
      <c r="X55" s="20" t="s">
        <v>819</v>
      </c>
      <c r="Y55" s="20" t="s">
        <v>831</v>
      </c>
      <c r="Z55" s="20" t="s">
        <v>832</v>
      </c>
      <c r="AA55" s="23"/>
      <c r="AB55" s="24" t="str">
        <f aca="false">IF(LEN($C55)&gt;0,COUNT(AB$1:AB54)+1,"")</f>
        <v/>
      </c>
      <c r="AC55" s="24" t="n">
        <f aca="false">IF(LEN($D55)&gt;0,COUNT(AC$1:AC54)+1,"")</f>
        <v>53</v>
      </c>
      <c r="AD55" s="24" t="str">
        <f aca="false">IF(LEN($E55)&gt;0,COUNT(AD$1:AD54)+1,"")</f>
        <v/>
      </c>
      <c r="AE55" s="24" t="str">
        <f aca="false">IF(LEN($F55)&gt;0,COUNT(AE$1:AE54)+1,"")</f>
        <v/>
      </c>
    </row>
    <row r="56" customFormat="false" ht="22.5" hidden="false" customHeight="true" outlineLevel="0" collapsed="false">
      <c r="A56" s="18" t="n">
        <f aca="false">IF(B56="","",ROW()-2)</f>
        <v>54</v>
      </c>
      <c r="B56" s="17" t="s">
        <v>833</v>
      </c>
      <c r="C56" s="19" t="s">
        <v>54</v>
      </c>
      <c r="D56" s="19" t="s">
        <v>54</v>
      </c>
      <c r="E56" s="19"/>
      <c r="F56" s="19"/>
      <c r="G56" s="18" t="s">
        <v>13</v>
      </c>
      <c r="H56" s="20" t="s">
        <v>834</v>
      </c>
      <c r="I56" s="21" t="s">
        <v>835</v>
      </c>
      <c r="J56" s="20" t="s">
        <v>836</v>
      </c>
      <c r="K56" s="20" t="s">
        <v>837</v>
      </c>
      <c r="L56" s="20" t="s">
        <v>838</v>
      </c>
      <c r="M56" s="21" t="s">
        <v>839</v>
      </c>
      <c r="N56" s="22" t="s">
        <v>840</v>
      </c>
      <c r="O56" s="21" t="s">
        <v>835</v>
      </c>
      <c r="P56" s="20" t="s">
        <v>286</v>
      </c>
      <c r="Q56" s="21" t="s">
        <v>63</v>
      </c>
      <c r="R56" s="20" t="s">
        <v>836</v>
      </c>
      <c r="S56" s="20" t="s">
        <v>841</v>
      </c>
      <c r="T56" s="20" t="s">
        <v>842</v>
      </c>
      <c r="U56" s="21" t="s">
        <v>843</v>
      </c>
      <c r="V56" s="21" t="s">
        <v>844</v>
      </c>
      <c r="W56" s="21" t="s">
        <v>845</v>
      </c>
      <c r="X56" s="20" t="s">
        <v>836</v>
      </c>
      <c r="Y56" s="20" t="s">
        <v>846</v>
      </c>
      <c r="Z56" s="20" t="s">
        <v>847</v>
      </c>
      <c r="AA56" s="23" t="s">
        <v>87</v>
      </c>
      <c r="AB56" s="24" t="n">
        <f aca="false">IF(LEN($C56)&gt;0,COUNT(AB$1:AB55)+1,"")</f>
        <v>2</v>
      </c>
      <c r="AC56" s="24" t="n">
        <f aca="false">IF(LEN($D56)&gt;0,COUNT(AC$1:AC55)+1,"")</f>
        <v>54</v>
      </c>
      <c r="AD56" s="24" t="str">
        <f aca="false">IF(LEN($E56)&gt;0,COUNT(AD$1:AD55)+1,"")</f>
        <v/>
      </c>
      <c r="AE56" s="24" t="str">
        <f aca="false">IF(LEN($F56)&gt;0,COUNT(AE$1:AE55)+1,"")</f>
        <v/>
      </c>
    </row>
    <row r="57" customFormat="false" ht="22.5" hidden="false" customHeight="true" outlineLevel="0" collapsed="false">
      <c r="A57" s="18" t="n">
        <f aca="false">IF(B57="","",ROW()-2)</f>
        <v>55</v>
      </c>
      <c r="B57" s="17" t="s">
        <v>848</v>
      </c>
      <c r="C57" s="19"/>
      <c r="D57" s="19" t="s">
        <v>54</v>
      </c>
      <c r="E57" s="19"/>
      <c r="F57" s="19"/>
      <c r="G57" s="18" t="s">
        <v>13</v>
      </c>
      <c r="H57" s="20" t="s">
        <v>849</v>
      </c>
      <c r="I57" s="21" t="s">
        <v>850</v>
      </c>
      <c r="J57" s="20" t="s">
        <v>851</v>
      </c>
      <c r="K57" s="20" t="s">
        <v>852</v>
      </c>
      <c r="L57" s="20" t="s">
        <v>853</v>
      </c>
      <c r="M57" s="21" t="s">
        <v>854</v>
      </c>
      <c r="N57" s="25" t="s">
        <v>855</v>
      </c>
      <c r="O57" s="21" t="s">
        <v>850</v>
      </c>
      <c r="P57" s="21" t="s">
        <v>79</v>
      </c>
      <c r="Q57" s="21" t="s">
        <v>79</v>
      </c>
      <c r="R57" s="20" t="s">
        <v>851</v>
      </c>
      <c r="S57" s="20" t="s">
        <v>856</v>
      </c>
      <c r="T57" s="20" t="s">
        <v>857</v>
      </c>
      <c r="U57" s="21" t="s">
        <v>858</v>
      </c>
      <c r="V57" s="20" t="s">
        <v>859</v>
      </c>
      <c r="W57" s="21" t="s">
        <v>68</v>
      </c>
      <c r="X57" s="20" t="s">
        <v>851</v>
      </c>
      <c r="Y57" s="20" t="s">
        <v>860</v>
      </c>
      <c r="Z57" s="20" t="s">
        <v>861</v>
      </c>
      <c r="AA57" s="23" t="s">
        <v>87</v>
      </c>
      <c r="AB57" s="24" t="str">
        <f aca="false">IF(LEN($C57)&gt;0,COUNT(AB$1:AB56)+1,"")</f>
        <v/>
      </c>
      <c r="AC57" s="24" t="n">
        <f aca="false">IF(LEN($D57)&gt;0,COUNT(AC$1:AC56)+1,"")</f>
        <v>55</v>
      </c>
      <c r="AD57" s="24" t="str">
        <f aca="false">IF(LEN($E57)&gt;0,COUNT(AD$1:AD56)+1,"")</f>
        <v/>
      </c>
      <c r="AE57" s="24" t="str">
        <f aca="false">IF(LEN($F57)&gt;0,COUNT(AE$1:AE56)+1,"")</f>
        <v/>
      </c>
    </row>
    <row r="58" customFormat="false" ht="22.5" hidden="false" customHeight="true" outlineLevel="0" collapsed="false">
      <c r="A58" s="18" t="n">
        <f aca="false">IF(B58="","",ROW()-2)</f>
        <v>56</v>
      </c>
      <c r="B58" s="17" t="s">
        <v>862</v>
      </c>
      <c r="C58" s="19"/>
      <c r="D58" s="19" t="s">
        <v>54</v>
      </c>
      <c r="E58" s="19"/>
      <c r="F58" s="19"/>
      <c r="G58" s="18" t="s">
        <v>13</v>
      </c>
      <c r="H58" s="20" t="s">
        <v>863</v>
      </c>
      <c r="I58" s="21" t="s">
        <v>864</v>
      </c>
      <c r="J58" s="20" t="s">
        <v>865</v>
      </c>
      <c r="K58" s="20" t="s">
        <v>866</v>
      </c>
      <c r="L58" s="20" t="s">
        <v>867</v>
      </c>
      <c r="M58" s="21" t="s">
        <v>868</v>
      </c>
      <c r="N58" s="22" t="s">
        <v>869</v>
      </c>
      <c r="O58" s="21" t="s">
        <v>870</v>
      </c>
      <c r="P58" s="20" t="s">
        <v>871</v>
      </c>
      <c r="Q58" s="20" t="s">
        <v>872</v>
      </c>
      <c r="R58" s="20" t="s">
        <v>873</v>
      </c>
      <c r="S58" s="20" t="s">
        <v>874</v>
      </c>
      <c r="T58" s="20" t="s">
        <v>873</v>
      </c>
      <c r="U58" s="21" t="s">
        <v>875</v>
      </c>
      <c r="V58" s="20" t="s">
        <v>871</v>
      </c>
      <c r="W58" s="20" t="s">
        <v>876</v>
      </c>
      <c r="X58" s="20" t="s">
        <v>877</v>
      </c>
      <c r="Y58" s="20" t="s">
        <v>867</v>
      </c>
      <c r="Z58" s="20" t="s">
        <v>877</v>
      </c>
      <c r="AA58" s="23"/>
      <c r="AB58" s="24" t="str">
        <f aca="false">IF(LEN($C58)&gt;0,COUNT(AB$1:AB57)+1,"")</f>
        <v/>
      </c>
      <c r="AC58" s="24" t="n">
        <f aca="false">IF(LEN($D58)&gt;0,COUNT(AC$1:AC57)+1,"")</f>
        <v>56</v>
      </c>
      <c r="AD58" s="24" t="str">
        <f aca="false">IF(LEN($E58)&gt;0,COUNT(AD$1:AD57)+1,"")</f>
        <v/>
      </c>
      <c r="AE58" s="24" t="str">
        <f aca="false">IF(LEN($F58)&gt;0,COUNT(AE$1:AE57)+1,"")</f>
        <v/>
      </c>
    </row>
    <row r="59" customFormat="false" ht="33.75" hidden="false" customHeight="true" outlineLevel="0" collapsed="false">
      <c r="A59" s="18" t="n">
        <f aca="false">IF(B59="","",ROW()-2)</f>
        <v>57</v>
      </c>
      <c r="B59" s="18" t="s">
        <v>878</v>
      </c>
      <c r="C59" s="19"/>
      <c r="D59" s="19" t="s">
        <v>54</v>
      </c>
      <c r="E59" s="19"/>
      <c r="F59" s="19"/>
      <c r="G59" s="18" t="s">
        <v>13</v>
      </c>
      <c r="H59" s="20" t="s">
        <v>879</v>
      </c>
      <c r="I59" s="21" t="s">
        <v>880</v>
      </c>
      <c r="J59" s="20" t="s">
        <v>881</v>
      </c>
      <c r="K59" s="20" t="s">
        <v>882</v>
      </c>
      <c r="L59" s="20" t="s">
        <v>883</v>
      </c>
      <c r="M59" s="21" t="s">
        <v>884</v>
      </c>
      <c r="N59" s="22" t="s">
        <v>885</v>
      </c>
      <c r="O59" s="21" t="s">
        <v>880</v>
      </c>
      <c r="P59" s="20" t="s">
        <v>886</v>
      </c>
      <c r="Q59" s="21" t="s">
        <v>79</v>
      </c>
      <c r="R59" s="20" t="s">
        <v>881</v>
      </c>
      <c r="S59" s="20" t="s">
        <v>887</v>
      </c>
      <c r="T59" s="20" t="s">
        <v>888</v>
      </c>
      <c r="U59" s="21" t="s">
        <v>880</v>
      </c>
      <c r="V59" s="20" t="s">
        <v>886</v>
      </c>
      <c r="W59" s="21" t="s">
        <v>79</v>
      </c>
      <c r="X59" s="20" t="s">
        <v>881</v>
      </c>
      <c r="Y59" s="20" t="s">
        <v>887</v>
      </c>
      <c r="Z59" s="20" t="s">
        <v>888</v>
      </c>
      <c r="AA59" s="23"/>
      <c r="AB59" s="24" t="str">
        <f aca="false">IF(LEN($C59)&gt;0,COUNT(AB$1:AB58)+1,"")</f>
        <v/>
      </c>
      <c r="AC59" s="24" t="n">
        <f aca="false">IF(LEN($D59)&gt;0,COUNT(AC$1:AC58)+1,"")</f>
        <v>57</v>
      </c>
      <c r="AD59" s="24" t="str">
        <f aca="false">IF(LEN($E59)&gt;0,COUNT(AD$1:AD58)+1,"")</f>
        <v/>
      </c>
      <c r="AE59" s="24" t="str">
        <f aca="false">IF(LEN($F59)&gt;0,COUNT(AE$1:AE58)+1,"")</f>
        <v/>
      </c>
    </row>
    <row r="60" customFormat="false" ht="22.5" hidden="false" customHeight="true" outlineLevel="0" collapsed="false">
      <c r="A60" s="18" t="n">
        <f aca="false">IF(B60="","",ROW()-2)</f>
        <v>58</v>
      </c>
      <c r="B60" s="17" t="s">
        <v>889</v>
      </c>
      <c r="C60" s="19"/>
      <c r="D60" s="19" t="s">
        <v>54</v>
      </c>
      <c r="E60" s="19"/>
      <c r="F60" s="19"/>
      <c r="G60" s="18" t="s">
        <v>13</v>
      </c>
      <c r="H60" s="20" t="s">
        <v>890</v>
      </c>
      <c r="I60" s="21" t="s">
        <v>891</v>
      </c>
      <c r="J60" s="20" t="s">
        <v>892</v>
      </c>
      <c r="K60" s="20" t="s">
        <v>893</v>
      </c>
      <c r="L60" s="20" t="s">
        <v>894</v>
      </c>
      <c r="M60" s="21" t="s">
        <v>895</v>
      </c>
      <c r="N60" s="22" t="s">
        <v>896</v>
      </c>
      <c r="O60" s="21" t="s">
        <v>897</v>
      </c>
      <c r="P60" s="21" t="s">
        <v>96</v>
      </c>
      <c r="Q60" s="21" t="s">
        <v>172</v>
      </c>
      <c r="R60" s="20" t="s">
        <v>898</v>
      </c>
      <c r="S60" s="20" t="s">
        <v>899</v>
      </c>
      <c r="T60" s="20" t="s">
        <v>898</v>
      </c>
      <c r="U60" s="21" t="s">
        <v>900</v>
      </c>
      <c r="V60" s="21" t="s">
        <v>901</v>
      </c>
      <c r="W60" s="21" t="s">
        <v>172</v>
      </c>
      <c r="X60" s="20" t="s">
        <v>902</v>
      </c>
      <c r="Y60" s="20" t="s">
        <v>903</v>
      </c>
      <c r="Z60" s="20" t="s">
        <v>902</v>
      </c>
      <c r="AA60" s="23"/>
      <c r="AB60" s="24" t="str">
        <f aca="false">IF(LEN($C60)&gt;0,COUNT(AB$1:AB59)+1,"")</f>
        <v/>
      </c>
      <c r="AC60" s="24" t="n">
        <f aca="false">IF(LEN($D60)&gt;0,COUNT(AC$1:AC59)+1,"")</f>
        <v>58</v>
      </c>
      <c r="AD60" s="24" t="str">
        <f aca="false">IF(LEN($E60)&gt;0,COUNT(AD$1:AD59)+1,"")</f>
        <v/>
      </c>
      <c r="AE60" s="24" t="str">
        <f aca="false">IF(LEN($F60)&gt;0,COUNT(AE$1:AE59)+1,"")</f>
        <v/>
      </c>
    </row>
    <row r="61" customFormat="false" ht="22.5" hidden="false" customHeight="true" outlineLevel="0" collapsed="false">
      <c r="A61" s="18" t="n">
        <f aca="false">IF(B61="","",ROW()-2)</f>
        <v>59</v>
      </c>
      <c r="B61" s="17" t="s">
        <v>904</v>
      </c>
      <c r="C61" s="19"/>
      <c r="D61" s="19" t="s">
        <v>54</v>
      </c>
      <c r="E61" s="19"/>
      <c r="F61" s="19"/>
      <c r="G61" s="18" t="s">
        <v>13</v>
      </c>
      <c r="H61" s="20" t="s">
        <v>905</v>
      </c>
      <c r="I61" s="21" t="s">
        <v>906</v>
      </c>
      <c r="J61" s="20" t="s">
        <v>907</v>
      </c>
      <c r="K61" s="20" t="s">
        <v>908</v>
      </c>
      <c r="L61" s="20" t="s">
        <v>909</v>
      </c>
      <c r="M61" s="21" t="s">
        <v>910</v>
      </c>
      <c r="N61" s="22" t="s">
        <v>911</v>
      </c>
      <c r="O61" s="21" t="s">
        <v>912</v>
      </c>
      <c r="P61" s="21" t="s">
        <v>913</v>
      </c>
      <c r="Q61" s="20" t="s">
        <v>914</v>
      </c>
      <c r="R61" s="20" t="s">
        <v>915</v>
      </c>
      <c r="S61" s="20" t="s">
        <v>916</v>
      </c>
      <c r="T61" s="20" t="s">
        <v>915</v>
      </c>
      <c r="U61" s="21" t="s">
        <v>917</v>
      </c>
      <c r="V61" s="20" t="s">
        <v>918</v>
      </c>
      <c r="W61" s="21" t="s">
        <v>84</v>
      </c>
      <c r="X61" s="20" t="s">
        <v>919</v>
      </c>
      <c r="Y61" s="20" t="s">
        <v>920</v>
      </c>
      <c r="Z61" s="20" t="s">
        <v>919</v>
      </c>
      <c r="AA61" s="23"/>
      <c r="AB61" s="24" t="str">
        <f aca="false">IF(LEN($C61)&gt;0,COUNT(AB$1:AB60)+1,"")</f>
        <v/>
      </c>
      <c r="AC61" s="24" t="n">
        <f aca="false">IF(LEN($D61)&gt;0,COUNT(AC$1:AC60)+1,"")</f>
        <v>59</v>
      </c>
      <c r="AD61" s="24" t="str">
        <f aca="false">IF(LEN($E61)&gt;0,COUNT(AD$1:AD60)+1,"")</f>
        <v/>
      </c>
      <c r="AE61" s="24" t="str">
        <f aca="false">IF(LEN($F61)&gt;0,COUNT(AE$1:AE60)+1,"")</f>
        <v/>
      </c>
    </row>
    <row r="62" customFormat="false" ht="47.25" hidden="false" customHeight="true" outlineLevel="0" collapsed="false">
      <c r="A62" s="18" t="n">
        <f aca="false">IF(B62="","",ROW()-2)</f>
        <v>60</v>
      </c>
      <c r="B62" s="18" t="s">
        <v>921</v>
      </c>
      <c r="C62" s="19"/>
      <c r="D62" s="19" t="s">
        <v>54</v>
      </c>
      <c r="E62" s="19"/>
      <c r="F62" s="19"/>
      <c r="G62" s="18" t="s">
        <v>13</v>
      </c>
      <c r="H62" s="20" t="s">
        <v>922</v>
      </c>
      <c r="I62" s="21" t="s">
        <v>923</v>
      </c>
      <c r="J62" s="20" t="s">
        <v>924</v>
      </c>
      <c r="K62" s="20" t="s">
        <v>925</v>
      </c>
      <c r="L62" s="20" t="s">
        <v>926</v>
      </c>
      <c r="M62" s="21" t="s">
        <v>927</v>
      </c>
      <c r="N62" s="25" t="s">
        <v>928</v>
      </c>
      <c r="O62" s="21" t="s">
        <v>923</v>
      </c>
      <c r="P62" s="20" t="s">
        <v>286</v>
      </c>
      <c r="Q62" s="21" t="s">
        <v>63</v>
      </c>
      <c r="R62" s="20" t="s">
        <v>929</v>
      </c>
      <c r="S62" s="20" t="s">
        <v>930</v>
      </c>
      <c r="T62" s="20" t="s">
        <v>931</v>
      </c>
      <c r="U62" s="21" t="s">
        <v>932</v>
      </c>
      <c r="V62" s="21" t="s">
        <v>933</v>
      </c>
      <c r="W62" s="21" t="s">
        <v>68</v>
      </c>
      <c r="X62" s="20" t="s">
        <v>929</v>
      </c>
      <c r="Y62" s="20" t="s">
        <v>934</v>
      </c>
      <c r="Z62" s="20" t="s">
        <v>935</v>
      </c>
      <c r="AA62" s="23" t="s">
        <v>87</v>
      </c>
      <c r="AB62" s="24" t="str">
        <f aca="false">IF(LEN($C62)&gt;0,COUNT(AB$1:AB61)+1,"")</f>
        <v/>
      </c>
      <c r="AC62" s="24" t="n">
        <f aca="false">IF(LEN($D62)&gt;0,COUNT(AC$1:AC61)+1,"")</f>
        <v>60</v>
      </c>
      <c r="AD62" s="24" t="str">
        <f aca="false">IF(LEN($E62)&gt;0,COUNT(AD$1:AD61)+1,"")</f>
        <v/>
      </c>
      <c r="AE62" s="24" t="str">
        <f aca="false">IF(LEN($F62)&gt;0,COUNT(AE$1:AE61)+1,"")</f>
        <v/>
      </c>
    </row>
    <row r="63" customFormat="false" ht="22.5" hidden="false" customHeight="true" outlineLevel="0" collapsed="false">
      <c r="A63" s="18" t="n">
        <f aca="false">IF(B63="","",ROW()-2)</f>
        <v>61</v>
      </c>
      <c r="B63" s="17" t="s">
        <v>936</v>
      </c>
      <c r="C63" s="19"/>
      <c r="D63" s="19" t="s">
        <v>54</v>
      </c>
      <c r="E63" s="19"/>
      <c r="F63" s="19"/>
      <c r="G63" s="18" t="s">
        <v>13</v>
      </c>
      <c r="H63" s="20" t="s">
        <v>937</v>
      </c>
      <c r="I63" s="21" t="s">
        <v>938</v>
      </c>
      <c r="J63" s="20" t="s">
        <v>939</v>
      </c>
      <c r="K63" s="20" t="s">
        <v>940</v>
      </c>
      <c r="L63" s="20" t="s">
        <v>941</v>
      </c>
      <c r="M63" s="21" t="s">
        <v>942</v>
      </c>
      <c r="N63" s="25" t="s">
        <v>943</v>
      </c>
      <c r="O63" s="21" t="s">
        <v>944</v>
      </c>
      <c r="P63" s="21" t="s">
        <v>320</v>
      </c>
      <c r="Q63" s="21" t="s">
        <v>198</v>
      </c>
      <c r="R63" s="20" t="s">
        <v>939</v>
      </c>
      <c r="S63" s="20" t="s">
        <v>945</v>
      </c>
      <c r="T63" s="20" t="s">
        <v>946</v>
      </c>
      <c r="U63" s="21" t="s">
        <v>947</v>
      </c>
      <c r="V63" s="21" t="s">
        <v>948</v>
      </c>
      <c r="W63" s="21" t="s">
        <v>353</v>
      </c>
      <c r="X63" s="20" t="s">
        <v>939</v>
      </c>
      <c r="Y63" s="20" t="s">
        <v>949</v>
      </c>
      <c r="Z63" s="20" t="s">
        <v>950</v>
      </c>
      <c r="AA63" s="23"/>
      <c r="AB63" s="24" t="str">
        <f aca="false">IF(LEN($C63)&gt;0,COUNT(AB$1:AB62)+1,"")</f>
        <v/>
      </c>
      <c r="AC63" s="24" t="n">
        <f aca="false">IF(LEN($D63)&gt;0,COUNT(AC$1:AC62)+1,"")</f>
        <v>61</v>
      </c>
      <c r="AD63" s="24" t="str">
        <f aca="false">IF(LEN($E63)&gt;0,COUNT(AD$1:AD62)+1,"")</f>
        <v/>
      </c>
      <c r="AE63" s="24" t="str">
        <f aca="false">IF(LEN($F63)&gt;0,COUNT(AE$1:AE62)+1,"")</f>
        <v/>
      </c>
    </row>
    <row r="64" customFormat="false" ht="33.75" hidden="false" customHeight="true" outlineLevel="0" collapsed="false">
      <c r="A64" s="18" t="n">
        <f aca="false">IF(B64="","",ROW()-2)</f>
        <v>62</v>
      </c>
      <c r="B64" s="17" t="s">
        <v>951</v>
      </c>
      <c r="C64" s="19"/>
      <c r="D64" s="19" t="s">
        <v>54</v>
      </c>
      <c r="E64" s="19"/>
      <c r="F64" s="19"/>
      <c r="G64" s="18" t="s">
        <v>13</v>
      </c>
      <c r="H64" s="20" t="s">
        <v>952</v>
      </c>
      <c r="I64" s="21" t="s">
        <v>953</v>
      </c>
      <c r="J64" s="20" t="s">
        <v>954</v>
      </c>
      <c r="K64" s="20" t="s">
        <v>955</v>
      </c>
      <c r="L64" s="20" t="s">
        <v>956</v>
      </c>
      <c r="M64" s="21" t="s">
        <v>957</v>
      </c>
      <c r="N64" s="22" t="s">
        <v>958</v>
      </c>
      <c r="O64" s="21" t="s">
        <v>959</v>
      </c>
      <c r="P64" s="20" t="s">
        <v>62</v>
      </c>
      <c r="Q64" s="20" t="s">
        <v>286</v>
      </c>
      <c r="R64" s="20" t="s">
        <v>954</v>
      </c>
      <c r="S64" s="20" t="s">
        <v>960</v>
      </c>
      <c r="T64" s="20" t="s">
        <v>961</v>
      </c>
      <c r="U64" s="21" t="s">
        <v>962</v>
      </c>
      <c r="V64" s="20" t="s">
        <v>963</v>
      </c>
      <c r="W64" s="21" t="s">
        <v>198</v>
      </c>
      <c r="X64" s="20" t="s">
        <v>954</v>
      </c>
      <c r="Y64" s="20" t="s">
        <v>964</v>
      </c>
      <c r="Z64" s="20" t="s">
        <v>965</v>
      </c>
      <c r="AA64" s="23" t="s">
        <v>87</v>
      </c>
      <c r="AB64" s="24" t="str">
        <f aca="false">IF(LEN($C64)&gt;0,COUNT(AB$1:AB63)+1,"")</f>
        <v/>
      </c>
      <c r="AC64" s="24" t="n">
        <f aca="false">IF(LEN($D64)&gt;0,COUNT(AC$1:AC63)+1,"")</f>
        <v>62</v>
      </c>
      <c r="AD64" s="24" t="str">
        <f aca="false">IF(LEN($E64)&gt;0,COUNT(AD$1:AD63)+1,"")</f>
        <v/>
      </c>
      <c r="AE64" s="24" t="str">
        <f aca="false">IF(LEN($F64)&gt;0,COUNT(AE$1:AE63)+1,"")</f>
        <v/>
      </c>
    </row>
    <row r="65" customFormat="false" ht="22.5" hidden="false" customHeight="true" outlineLevel="0" collapsed="false">
      <c r="A65" s="18" t="n">
        <f aca="false">IF(B65="","",ROW()-2)</f>
        <v>63</v>
      </c>
      <c r="B65" s="18" t="s">
        <v>966</v>
      </c>
      <c r="C65" s="19"/>
      <c r="D65" s="19" t="s">
        <v>54</v>
      </c>
      <c r="E65" s="19"/>
      <c r="F65" s="19"/>
      <c r="G65" s="18" t="s">
        <v>13</v>
      </c>
      <c r="H65" s="20" t="s">
        <v>967</v>
      </c>
      <c r="I65" s="21" t="s">
        <v>968</v>
      </c>
      <c r="J65" s="20" t="s">
        <v>969</v>
      </c>
      <c r="K65" s="20" t="s">
        <v>970</v>
      </c>
      <c r="L65" s="20" t="s">
        <v>971</v>
      </c>
      <c r="M65" s="21" t="s">
        <v>972</v>
      </c>
      <c r="N65" s="22" t="s">
        <v>973</v>
      </c>
      <c r="O65" s="21" t="s">
        <v>974</v>
      </c>
      <c r="P65" s="21" t="s">
        <v>975</v>
      </c>
      <c r="Q65" s="21" t="s">
        <v>976</v>
      </c>
      <c r="R65" s="20" t="s">
        <v>977</v>
      </c>
      <c r="S65" s="20" t="s">
        <v>978</v>
      </c>
      <c r="T65" s="20" t="s">
        <v>977</v>
      </c>
      <c r="U65" s="21" t="s">
        <v>979</v>
      </c>
      <c r="V65" s="21" t="s">
        <v>975</v>
      </c>
      <c r="W65" s="21" t="s">
        <v>980</v>
      </c>
      <c r="X65" s="20" t="s">
        <v>981</v>
      </c>
      <c r="Y65" s="20" t="s">
        <v>982</v>
      </c>
      <c r="Z65" s="20" t="s">
        <v>981</v>
      </c>
      <c r="AA65" s="23" t="s">
        <v>87</v>
      </c>
      <c r="AB65" s="24" t="str">
        <f aca="false">IF(LEN($C65)&gt;0,COUNT(AB$1:AB64)+1,"")</f>
        <v/>
      </c>
      <c r="AC65" s="24" t="n">
        <f aca="false">IF(LEN($D65)&gt;0,COUNT(AC$1:AC64)+1,"")</f>
        <v>63</v>
      </c>
      <c r="AD65" s="24" t="str">
        <f aca="false">IF(LEN($E65)&gt;0,COUNT(AD$1:AD64)+1,"")</f>
        <v/>
      </c>
      <c r="AE65" s="24" t="str">
        <f aca="false">IF(LEN($F65)&gt;0,COUNT(AE$1:AE64)+1,"")</f>
        <v/>
      </c>
    </row>
    <row r="66" customFormat="false" ht="22.5" hidden="false" customHeight="true" outlineLevel="0" collapsed="false">
      <c r="A66" s="18" t="n">
        <f aca="false">IF(B66="","",ROW()-2)</f>
        <v>64</v>
      </c>
      <c r="B66" s="17" t="s">
        <v>983</v>
      </c>
      <c r="C66" s="19"/>
      <c r="D66" s="19" t="s">
        <v>54</v>
      </c>
      <c r="E66" s="19"/>
      <c r="F66" s="19"/>
      <c r="G66" s="18" t="s">
        <v>13</v>
      </c>
      <c r="H66" s="20" t="s">
        <v>984</v>
      </c>
      <c r="I66" s="21" t="s">
        <v>985</v>
      </c>
      <c r="J66" s="20" t="s">
        <v>986</v>
      </c>
      <c r="K66" s="20" t="s">
        <v>987</v>
      </c>
      <c r="L66" s="20" t="s">
        <v>988</v>
      </c>
      <c r="M66" s="21" t="s">
        <v>989</v>
      </c>
      <c r="N66" s="25" t="s">
        <v>990</v>
      </c>
      <c r="O66" s="21" t="s">
        <v>991</v>
      </c>
      <c r="P66" s="21" t="s">
        <v>992</v>
      </c>
      <c r="Q66" s="21" t="s">
        <v>993</v>
      </c>
      <c r="R66" s="20" t="s">
        <v>994</v>
      </c>
      <c r="S66" s="20" t="s">
        <v>995</v>
      </c>
      <c r="T66" s="20" t="s">
        <v>994</v>
      </c>
      <c r="U66" s="21" t="s">
        <v>996</v>
      </c>
      <c r="V66" s="21" t="s">
        <v>997</v>
      </c>
      <c r="W66" s="21" t="s">
        <v>274</v>
      </c>
      <c r="X66" s="20" t="s">
        <v>998</v>
      </c>
      <c r="Y66" s="20" t="s">
        <v>999</v>
      </c>
      <c r="Z66" s="20" t="s">
        <v>998</v>
      </c>
      <c r="AA66" s="23"/>
      <c r="AB66" s="24" t="str">
        <f aca="false">IF(LEN($C66)&gt;0,COUNT(AB$1:AB65)+1,"")</f>
        <v/>
      </c>
      <c r="AC66" s="24" t="n">
        <f aca="false">IF(LEN($D66)&gt;0,COUNT(AC$1:AC65)+1,"")</f>
        <v>64</v>
      </c>
      <c r="AD66" s="24" t="str">
        <f aca="false">IF(LEN($E66)&gt;0,COUNT(AD$1:AD65)+1,"")</f>
        <v/>
      </c>
      <c r="AE66" s="24" t="str">
        <f aca="false">IF(LEN($F66)&gt;0,COUNT(AE$1:AE65)+1,"")</f>
        <v/>
      </c>
    </row>
    <row r="67" customFormat="false" ht="47.25" hidden="false" customHeight="true" outlineLevel="0" collapsed="false">
      <c r="A67" s="18" t="n">
        <f aca="false">IF(B67="","",ROW()-2)</f>
        <v>65</v>
      </c>
      <c r="B67" s="17" t="s">
        <v>1000</v>
      </c>
      <c r="C67" s="19"/>
      <c r="D67" s="19" t="s">
        <v>54</v>
      </c>
      <c r="E67" s="19"/>
      <c r="F67" s="19"/>
      <c r="G67" s="18" t="s">
        <v>13</v>
      </c>
      <c r="H67" s="20" t="s">
        <v>1001</v>
      </c>
      <c r="I67" s="21" t="s">
        <v>1002</v>
      </c>
      <c r="J67" s="20" t="s">
        <v>1003</v>
      </c>
      <c r="K67" s="20" t="s">
        <v>1004</v>
      </c>
      <c r="L67" s="20" t="s">
        <v>1005</v>
      </c>
      <c r="M67" s="21" t="s">
        <v>1006</v>
      </c>
      <c r="N67" s="25" t="s">
        <v>1007</v>
      </c>
      <c r="O67" s="21" t="s">
        <v>1008</v>
      </c>
      <c r="P67" s="21" t="s">
        <v>1009</v>
      </c>
      <c r="Q67" s="21" t="s">
        <v>68</v>
      </c>
      <c r="R67" s="20" t="s">
        <v>1003</v>
      </c>
      <c r="S67" s="20" t="s">
        <v>1010</v>
      </c>
      <c r="T67" s="20" t="s">
        <v>1011</v>
      </c>
      <c r="U67" s="21" t="s">
        <v>1012</v>
      </c>
      <c r="V67" s="21" t="s">
        <v>1009</v>
      </c>
      <c r="W67" s="21" t="s">
        <v>1013</v>
      </c>
      <c r="X67" s="20" t="s">
        <v>1003</v>
      </c>
      <c r="Y67" s="20" t="s">
        <v>1014</v>
      </c>
      <c r="Z67" s="20" t="s">
        <v>1015</v>
      </c>
      <c r="AA67" s="23"/>
      <c r="AB67" s="24" t="str">
        <f aca="false">IF(LEN($C67)&gt;0,COUNT(AB$1:AB66)+1,"")</f>
        <v/>
      </c>
      <c r="AC67" s="24" t="n">
        <f aca="false">IF(LEN($D67)&gt;0,COUNT(AC$1:AC66)+1,"")</f>
        <v>65</v>
      </c>
      <c r="AD67" s="24" t="str">
        <f aca="false">IF(LEN($E67)&gt;0,COUNT(AD$1:AD66)+1,"")</f>
        <v/>
      </c>
      <c r="AE67" s="24" t="str">
        <f aca="false">IF(LEN($F67)&gt;0,COUNT(AE$1:AE66)+1,"")</f>
        <v/>
      </c>
    </row>
    <row r="68" customFormat="false" ht="22.5" hidden="false" customHeight="true" outlineLevel="0" collapsed="false">
      <c r="A68" s="18" t="n">
        <f aca="false">IF(B68="","",ROW()-2)</f>
        <v>66</v>
      </c>
      <c r="B68" s="18" t="s">
        <v>1016</v>
      </c>
      <c r="C68" s="19"/>
      <c r="D68" s="19" t="s">
        <v>54</v>
      </c>
      <c r="E68" s="19"/>
      <c r="F68" s="19"/>
      <c r="G68" s="18" t="s">
        <v>13</v>
      </c>
      <c r="H68" s="20" t="s">
        <v>1017</v>
      </c>
      <c r="I68" s="21" t="s">
        <v>1018</v>
      </c>
      <c r="J68" s="20" t="s">
        <v>1019</v>
      </c>
      <c r="K68" s="20" t="s">
        <v>1020</v>
      </c>
      <c r="L68" s="20" t="s">
        <v>1021</v>
      </c>
      <c r="M68" s="21" t="s">
        <v>1022</v>
      </c>
      <c r="N68" s="25" t="s">
        <v>1023</v>
      </c>
      <c r="O68" s="21" t="s">
        <v>1018</v>
      </c>
      <c r="P68" s="21" t="s">
        <v>1024</v>
      </c>
      <c r="Q68" s="21" t="s">
        <v>63</v>
      </c>
      <c r="R68" s="20" t="s">
        <v>1019</v>
      </c>
      <c r="S68" s="20" t="s">
        <v>1025</v>
      </c>
      <c r="T68" s="20" t="s">
        <v>1026</v>
      </c>
      <c r="U68" s="21" t="s">
        <v>1027</v>
      </c>
      <c r="V68" s="21" t="s">
        <v>1028</v>
      </c>
      <c r="W68" s="21" t="s">
        <v>306</v>
      </c>
      <c r="X68" s="20" t="s">
        <v>1019</v>
      </c>
      <c r="Y68" s="20" t="s">
        <v>1021</v>
      </c>
      <c r="Z68" s="20" t="s">
        <v>1029</v>
      </c>
      <c r="AA68" s="23"/>
      <c r="AB68" s="24" t="str">
        <f aca="false">IF(LEN($C68)&gt;0,COUNT(AB$1:AB67)+1,"")</f>
        <v/>
      </c>
      <c r="AC68" s="24" t="n">
        <f aca="false">IF(LEN($D68)&gt;0,COUNT(AC$1:AC67)+1,"")</f>
        <v>66</v>
      </c>
      <c r="AD68" s="24" t="str">
        <f aca="false">IF(LEN($E68)&gt;0,COUNT(AD$1:AD67)+1,"")</f>
        <v/>
      </c>
      <c r="AE68" s="24" t="str">
        <f aca="false">IF(LEN($F68)&gt;0,COUNT(AE$1:AE67)+1,"")</f>
        <v/>
      </c>
    </row>
    <row r="69" customFormat="false" ht="22.5" hidden="false" customHeight="true" outlineLevel="0" collapsed="false">
      <c r="A69" s="18" t="n">
        <f aca="false">IF(B69="","",ROW()-2)</f>
        <v>67</v>
      </c>
      <c r="B69" s="18" t="s">
        <v>1030</v>
      </c>
      <c r="C69" s="19"/>
      <c r="D69" s="19" t="s">
        <v>54</v>
      </c>
      <c r="E69" s="19"/>
      <c r="F69" s="19"/>
      <c r="G69" s="18" t="s">
        <v>13</v>
      </c>
      <c r="H69" s="20" t="s">
        <v>1031</v>
      </c>
      <c r="I69" s="21" t="s">
        <v>1032</v>
      </c>
      <c r="J69" s="20" t="s">
        <v>1033</v>
      </c>
      <c r="K69" s="20" t="s">
        <v>1034</v>
      </c>
      <c r="L69" s="20" t="s">
        <v>1035</v>
      </c>
      <c r="M69" s="21" t="s">
        <v>1036</v>
      </c>
      <c r="N69" s="22" t="s">
        <v>1037</v>
      </c>
      <c r="O69" s="21" t="s">
        <v>1032</v>
      </c>
      <c r="P69" s="20" t="s">
        <v>286</v>
      </c>
      <c r="Q69" s="20" t="s">
        <v>286</v>
      </c>
      <c r="R69" s="20" t="s">
        <v>1038</v>
      </c>
      <c r="S69" s="20" t="s">
        <v>1039</v>
      </c>
      <c r="T69" s="20" t="s">
        <v>1038</v>
      </c>
      <c r="U69" s="21" t="s">
        <v>1040</v>
      </c>
      <c r="V69" s="21" t="s">
        <v>1041</v>
      </c>
      <c r="W69" s="20" t="s">
        <v>384</v>
      </c>
      <c r="X69" s="20" t="s">
        <v>1042</v>
      </c>
      <c r="Y69" s="20" t="s">
        <v>1043</v>
      </c>
      <c r="Z69" s="20" t="s">
        <v>1042</v>
      </c>
      <c r="AA69" s="23" t="s">
        <v>87</v>
      </c>
      <c r="AB69" s="24" t="str">
        <f aca="false">IF(LEN($C69)&gt;0,COUNT(AB$1:AB68)+1,"")</f>
        <v/>
      </c>
      <c r="AC69" s="24" t="n">
        <f aca="false">IF(LEN($D69)&gt;0,COUNT(AC$1:AC68)+1,"")</f>
        <v>67</v>
      </c>
      <c r="AD69" s="24" t="str">
        <f aca="false">IF(LEN($E69)&gt;0,COUNT(AD$1:AD68)+1,"")</f>
        <v/>
      </c>
      <c r="AE69" s="24" t="str">
        <f aca="false">IF(LEN($F69)&gt;0,COUNT(AE$1:AE68)+1,"")</f>
        <v/>
      </c>
    </row>
    <row r="70" customFormat="false" ht="22.5" hidden="false" customHeight="true" outlineLevel="0" collapsed="false">
      <c r="A70" s="18" t="n">
        <f aca="false">IF(B70="","",ROW()-2)</f>
        <v>68</v>
      </c>
      <c r="B70" s="18" t="s">
        <v>1044</v>
      </c>
      <c r="C70" s="19"/>
      <c r="D70" s="19" t="s">
        <v>54</v>
      </c>
      <c r="E70" s="19"/>
      <c r="F70" s="19"/>
      <c r="G70" s="18" t="s">
        <v>13</v>
      </c>
      <c r="H70" s="20" t="s">
        <v>1045</v>
      </c>
      <c r="I70" s="21" t="s">
        <v>1046</v>
      </c>
      <c r="J70" s="20" t="s">
        <v>1047</v>
      </c>
      <c r="K70" s="20" t="s">
        <v>1048</v>
      </c>
      <c r="L70" s="20" t="s">
        <v>1049</v>
      </c>
      <c r="M70" s="21" t="s">
        <v>1050</v>
      </c>
      <c r="N70" s="22" t="s">
        <v>1051</v>
      </c>
      <c r="O70" s="21" t="s">
        <v>1052</v>
      </c>
      <c r="P70" s="21" t="s">
        <v>1053</v>
      </c>
      <c r="Q70" s="21" t="s">
        <v>1054</v>
      </c>
      <c r="R70" s="20" t="s">
        <v>1047</v>
      </c>
      <c r="S70" s="20" t="s">
        <v>1055</v>
      </c>
      <c r="T70" s="20" t="s">
        <v>1056</v>
      </c>
      <c r="U70" s="21" t="s">
        <v>1057</v>
      </c>
      <c r="V70" s="21" t="s">
        <v>1058</v>
      </c>
      <c r="W70" s="21" t="s">
        <v>1059</v>
      </c>
      <c r="X70" s="20" t="s">
        <v>1047</v>
      </c>
      <c r="Y70" s="20" t="s">
        <v>1060</v>
      </c>
      <c r="Z70" s="20" t="s">
        <v>1061</v>
      </c>
      <c r="AA70" s="23"/>
      <c r="AB70" s="24" t="str">
        <f aca="false">IF(LEN($C70)&gt;0,COUNT(AB$1:AB69)+1,"")</f>
        <v/>
      </c>
      <c r="AC70" s="24" t="n">
        <f aca="false">IF(LEN($D70)&gt;0,COUNT(AC$1:AC69)+1,"")</f>
        <v>68</v>
      </c>
      <c r="AD70" s="24" t="str">
        <f aca="false">IF(LEN($E70)&gt;0,COUNT(AD$1:AD69)+1,"")</f>
        <v/>
      </c>
      <c r="AE70" s="24" t="str">
        <f aca="false">IF(LEN($F70)&gt;0,COUNT(AE$1:AE69)+1,"")</f>
        <v/>
      </c>
    </row>
    <row r="71" customFormat="false" ht="22.5" hidden="false" customHeight="true" outlineLevel="0" collapsed="false">
      <c r="A71" s="18" t="n">
        <f aca="false">IF(B71="","",ROW()-2)</f>
        <v>69</v>
      </c>
      <c r="B71" s="18" t="s">
        <v>1062</v>
      </c>
      <c r="C71" s="19"/>
      <c r="D71" s="19" t="s">
        <v>54</v>
      </c>
      <c r="E71" s="19"/>
      <c r="F71" s="19"/>
      <c r="G71" s="18" t="s">
        <v>13</v>
      </c>
      <c r="H71" s="20" t="s">
        <v>1063</v>
      </c>
      <c r="I71" s="21" t="s">
        <v>1064</v>
      </c>
      <c r="J71" s="20" t="s">
        <v>1065</v>
      </c>
      <c r="K71" s="20" t="s">
        <v>1066</v>
      </c>
      <c r="L71" s="20" t="s">
        <v>1067</v>
      </c>
      <c r="M71" s="21" t="s">
        <v>1068</v>
      </c>
      <c r="N71" s="22" t="s">
        <v>1069</v>
      </c>
      <c r="O71" s="21" t="s">
        <v>1064</v>
      </c>
      <c r="P71" s="20" t="s">
        <v>286</v>
      </c>
      <c r="Q71" s="21" t="s">
        <v>1070</v>
      </c>
      <c r="R71" s="20" t="s">
        <v>1065</v>
      </c>
      <c r="S71" s="20" t="s">
        <v>1071</v>
      </c>
      <c r="T71" s="20" t="s">
        <v>1072</v>
      </c>
      <c r="U71" s="21" t="s">
        <v>1073</v>
      </c>
      <c r="V71" s="21" t="s">
        <v>1074</v>
      </c>
      <c r="W71" s="21" t="s">
        <v>1075</v>
      </c>
      <c r="X71" s="20" t="s">
        <v>1065</v>
      </c>
      <c r="Y71" s="20" t="s">
        <v>1067</v>
      </c>
      <c r="Z71" s="20" t="s">
        <v>1076</v>
      </c>
      <c r="AA71" s="23"/>
      <c r="AB71" s="24" t="str">
        <f aca="false">IF(LEN($C71)&gt;0,COUNT(AB$1:AB70)+1,"")</f>
        <v/>
      </c>
      <c r="AC71" s="24" t="n">
        <f aca="false">IF(LEN($D71)&gt;0,COUNT(AC$1:AC70)+1,"")</f>
        <v>69</v>
      </c>
      <c r="AD71" s="24" t="str">
        <f aca="false">IF(LEN($E71)&gt;0,COUNT(AD$1:AD70)+1,"")</f>
        <v/>
      </c>
      <c r="AE71" s="24" t="str">
        <f aca="false">IF(LEN($F71)&gt;0,COUNT(AE$1:AE70)+1,"")</f>
        <v/>
      </c>
    </row>
    <row r="72" customFormat="false" ht="22.5" hidden="false" customHeight="true" outlineLevel="0" collapsed="false">
      <c r="A72" s="18" t="n">
        <f aca="false">IF(B72="","",ROW()-2)</f>
        <v>70</v>
      </c>
      <c r="B72" s="18" t="s">
        <v>1077</v>
      </c>
      <c r="C72" s="19"/>
      <c r="D72" s="19" t="s">
        <v>54</v>
      </c>
      <c r="E72" s="19"/>
      <c r="F72" s="19"/>
      <c r="G72" s="18" t="s">
        <v>13</v>
      </c>
      <c r="H72" s="20" t="s">
        <v>1078</v>
      </c>
      <c r="I72" s="21" t="s">
        <v>1079</v>
      </c>
      <c r="J72" s="20" t="s">
        <v>1080</v>
      </c>
      <c r="K72" s="20" t="s">
        <v>1081</v>
      </c>
      <c r="L72" s="20" t="s">
        <v>1082</v>
      </c>
      <c r="M72" s="21" t="s">
        <v>1083</v>
      </c>
      <c r="N72" s="22" t="s">
        <v>1084</v>
      </c>
      <c r="O72" s="21" t="s">
        <v>1079</v>
      </c>
      <c r="P72" s="21" t="s">
        <v>79</v>
      </c>
      <c r="Q72" s="21" t="s">
        <v>79</v>
      </c>
      <c r="R72" s="20" t="s">
        <v>1080</v>
      </c>
      <c r="S72" s="20" t="s">
        <v>1085</v>
      </c>
      <c r="T72" s="20" t="s">
        <v>1086</v>
      </c>
      <c r="U72" s="21" t="s">
        <v>1087</v>
      </c>
      <c r="V72" s="21" t="s">
        <v>1088</v>
      </c>
      <c r="W72" s="21" t="s">
        <v>306</v>
      </c>
      <c r="X72" s="20" t="s">
        <v>1080</v>
      </c>
      <c r="Y72" s="20" t="s">
        <v>1089</v>
      </c>
      <c r="Z72" s="20" t="s">
        <v>1090</v>
      </c>
      <c r="AA72" s="23" t="s">
        <v>87</v>
      </c>
      <c r="AB72" s="24" t="str">
        <f aca="false">IF(LEN($C72)&gt;0,COUNT(AB$1:AB71)+1,"")</f>
        <v/>
      </c>
      <c r="AC72" s="24" t="n">
        <f aca="false">IF(LEN($D72)&gt;0,COUNT(AC$1:AC71)+1,"")</f>
        <v>70</v>
      </c>
      <c r="AD72" s="24" t="str">
        <f aca="false">IF(LEN($E72)&gt;0,COUNT(AD$1:AD71)+1,"")</f>
        <v/>
      </c>
      <c r="AE72" s="24" t="str">
        <f aca="false">IF(LEN($F72)&gt;0,COUNT(AE$1:AE71)+1,"")</f>
        <v/>
      </c>
    </row>
    <row r="73" customFormat="false" ht="47.25" hidden="false" customHeight="true" outlineLevel="0" collapsed="false">
      <c r="A73" s="18" t="n">
        <f aca="false">IF(B73="","",ROW()-2)</f>
        <v>71</v>
      </c>
      <c r="B73" s="17" t="s">
        <v>1091</v>
      </c>
      <c r="C73" s="19"/>
      <c r="D73" s="19" t="s">
        <v>54</v>
      </c>
      <c r="E73" s="19"/>
      <c r="F73" s="19"/>
      <c r="G73" s="18" t="s">
        <v>13</v>
      </c>
      <c r="H73" s="20" t="s">
        <v>1092</v>
      </c>
      <c r="I73" s="21" t="s">
        <v>1093</v>
      </c>
      <c r="J73" s="20" t="s">
        <v>1094</v>
      </c>
      <c r="K73" s="20" t="s">
        <v>1095</v>
      </c>
      <c r="L73" s="20" t="s">
        <v>1096</v>
      </c>
      <c r="M73" s="21" t="s">
        <v>1097</v>
      </c>
      <c r="N73" s="22" t="s">
        <v>1098</v>
      </c>
      <c r="O73" s="21" t="s">
        <v>1099</v>
      </c>
      <c r="P73" s="20" t="s">
        <v>1100</v>
      </c>
      <c r="Q73" s="21" t="s">
        <v>306</v>
      </c>
      <c r="R73" s="20" t="s">
        <v>1101</v>
      </c>
      <c r="S73" s="20" t="s">
        <v>1102</v>
      </c>
      <c r="T73" s="20" t="s">
        <v>1101</v>
      </c>
      <c r="U73" s="21" t="s">
        <v>1103</v>
      </c>
      <c r="V73" s="20" t="s">
        <v>1100</v>
      </c>
      <c r="W73" s="21" t="s">
        <v>1104</v>
      </c>
      <c r="X73" s="20" t="s">
        <v>1105</v>
      </c>
      <c r="Y73" s="20" t="s">
        <v>1096</v>
      </c>
      <c r="Z73" s="20" t="s">
        <v>1105</v>
      </c>
      <c r="AA73" s="23"/>
      <c r="AB73" s="24" t="str">
        <f aca="false">IF(LEN($C73)&gt;0,COUNT(AB$1:AB72)+1,"")</f>
        <v/>
      </c>
      <c r="AC73" s="24" t="n">
        <f aca="false">IF(LEN($D73)&gt;0,COUNT(AC$1:AC72)+1,"")</f>
        <v>71</v>
      </c>
      <c r="AD73" s="24" t="str">
        <f aca="false">IF(LEN($E73)&gt;0,COUNT(AD$1:AD72)+1,"")</f>
        <v/>
      </c>
      <c r="AE73" s="24" t="str">
        <f aca="false">IF(LEN($F73)&gt;0,COUNT(AE$1:AE72)+1,"")</f>
        <v/>
      </c>
    </row>
    <row r="74" customFormat="false" ht="22.5" hidden="false" customHeight="true" outlineLevel="0" collapsed="false">
      <c r="A74" s="18" t="n">
        <f aca="false">IF(B74="","",ROW()-2)</f>
        <v>72</v>
      </c>
      <c r="B74" s="18" t="s">
        <v>1106</v>
      </c>
      <c r="C74" s="19"/>
      <c r="D74" s="19" t="s">
        <v>54</v>
      </c>
      <c r="E74" s="19"/>
      <c r="F74" s="19"/>
      <c r="G74" s="18" t="s">
        <v>13</v>
      </c>
      <c r="H74" s="20" t="s">
        <v>1107</v>
      </c>
      <c r="I74" s="21" t="s">
        <v>1108</v>
      </c>
      <c r="J74" s="20" t="s">
        <v>1109</v>
      </c>
      <c r="K74" s="20" t="s">
        <v>1110</v>
      </c>
      <c r="L74" s="20" t="s">
        <v>1111</v>
      </c>
      <c r="M74" s="21" t="s">
        <v>1112</v>
      </c>
      <c r="N74" s="25" t="s">
        <v>1113</v>
      </c>
      <c r="O74" s="21" t="s">
        <v>1108</v>
      </c>
      <c r="P74" s="21" t="s">
        <v>121</v>
      </c>
      <c r="Q74" s="21" t="s">
        <v>63</v>
      </c>
      <c r="R74" s="20" t="s">
        <v>1109</v>
      </c>
      <c r="S74" s="20" t="s">
        <v>1114</v>
      </c>
      <c r="T74" s="20" t="s">
        <v>1109</v>
      </c>
      <c r="U74" s="21" t="s">
        <v>1115</v>
      </c>
      <c r="V74" s="20" t="s">
        <v>1116</v>
      </c>
      <c r="W74" s="21" t="s">
        <v>601</v>
      </c>
      <c r="X74" s="20" t="s">
        <v>1117</v>
      </c>
      <c r="Y74" s="20" t="s">
        <v>1118</v>
      </c>
      <c r="Z74" s="20" t="s">
        <v>1117</v>
      </c>
      <c r="AA74" s="23"/>
      <c r="AB74" s="24" t="str">
        <f aca="false">IF(LEN($C74)&gt;0,COUNT(AB$1:AB73)+1,"")</f>
        <v/>
      </c>
      <c r="AC74" s="24" t="n">
        <f aca="false">IF(LEN($D74)&gt;0,COUNT(AC$1:AC73)+1,"")</f>
        <v>72</v>
      </c>
      <c r="AD74" s="24" t="str">
        <f aca="false">IF(LEN($E74)&gt;0,COUNT(AD$1:AD73)+1,"")</f>
        <v/>
      </c>
      <c r="AE74" s="24" t="str">
        <f aca="false">IF(LEN($F74)&gt;0,COUNT(AE$1:AE73)+1,"")</f>
        <v/>
      </c>
    </row>
    <row r="75" customFormat="false" ht="22.5" hidden="false" customHeight="true" outlineLevel="0" collapsed="false">
      <c r="A75" s="18" t="n">
        <f aca="false">IF(B75="","",ROW()-2)</f>
        <v>73</v>
      </c>
      <c r="B75" s="18" t="s">
        <v>1119</v>
      </c>
      <c r="C75" s="19"/>
      <c r="D75" s="19" t="s">
        <v>54</v>
      </c>
      <c r="E75" s="19"/>
      <c r="F75" s="19"/>
      <c r="G75" s="18" t="s">
        <v>13</v>
      </c>
      <c r="H75" s="20" t="s">
        <v>1120</v>
      </c>
      <c r="I75" s="21" t="s">
        <v>1121</v>
      </c>
      <c r="J75" s="20" t="s">
        <v>1122</v>
      </c>
      <c r="K75" s="20" t="s">
        <v>1123</v>
      </c>
      <c r="L75" s="20" t="s">
        <v>1124</v>
      </c>
      <c r="M75" s="21" t="s">
        <v>1125</v>
      </c>
      <c r="N75" s="22" t="s">
        <v>1126</v>
      </c>
      <c r="O75" s="21" t="s">
        <v>1121</v>
      </c>
      <c r="P75" s="21" t="s">
        <v>1127</v>
      </c>
      <c r="Q75" s="21" t="s">
        <v>63</v>
      </c>
      <c r="R75" s="20" t="s">
        <v>1122</v>
      </c>
      <c r="S75" s="20" t="s">
        <v>1128</v>
      </c>
      <c r="T75" s="20" t="s">
        <v>1129</v>
      </c>
      <c r="U75" s="21" t="s">
        <v>1130</v>
      </c>
      <c r="V75" s="21" t="s">
        <v>1127</v>
      </c>
      <c r="W75" s="21" t="s">
        <v>1131</v>
      </c>
      <c r="X75" s="20" t="s">
        <v>1122</v>
      </c>
      <c r="Y75" s="20" t="s">
        <v>1132</v>
      </c>
      <c r="Z75" s="20" t="s">
        <v>1133</v>
      </c>
      <c r="AA75" s="23" t="s">
        <v>87</v>
      </c>
      <c r="AB75" s="24" t="str">
        <f aca="false">IF(LEN($C75)&gt;0,COUNT(AB$1:AB74)+1,"")</f>
        <v/>
      </c>
      <c r="AC75" s="24" t="n">
        <f aca="false">IF(LEN($D75)&gt;0,COUNT(AC$1:AC74)+1,"")</f>
        <v>73</v>
      </c>
      <c r="AD75" s="24" t="str">
        <f aca="false">IF(LEN($E75)&gt;0,COUNT(AD$1:AD74)+1,"")</f>
        <v/>
      </c>
      <c r="AE75" s="24" t="str">
        <f aca="false">IF(LEN($F75)&gt;0,COUNT(AE$1:AE74)+1,"")</f>
        <v/>
      </c>
    </row>
    <row r="76" customFormat="false" ht="47.25" hidden="false" customHeight="true" outlineLevel="0" collapsed="false">
      <c r="A76" s="18" t="n">
        <f aca="false">IF(B76="","",ROW()-2)</f>
        <v>74</v>
      </c>
      <c r="B76" s="18" t="s">
        <v>1134</v>
      </c>
      <c r="C76" s="19"/>
      <c r="D76" s="19" t="s">
        <v>54</v>
      </c>
      <c r="E76" s="19"/>
      <c r="F76" s="19"/>
      <c r="G76" s="18" t="s">
        <v>13</v>
      </c>
      <c r="H76" s="20" t="s">
        <v>1135</v>
      </c>
      <c r="I76" s="21" t="s">
        <v>1136</v>
      </c>
      <c r="J76" s="20" t="s">
        <v>1137</v>
      </c>
      <c r="K76" s="20" t="s">
        <v>1138</v>
      </c>
      <c r="L76" s="20" t="s">
        <v>1139</v>
      </c>
      <c r="M76" s="21" t="s">
        <v>1140</v>
      </c>
      <c r="N76" s="25" t="s">
        <v>1141</v>
      </c>
      <c r="O76" s="21" t="s">
        <v>1136</v>
      </c>
      <c r="P76" s="21" t="s">
        <v>628</v>
      </c>
      <c r="Q76" s="21" t="s">
        <v>79</v>
      </c>
      <c r="R76" s="20" t="s">
        <v>1137</v>
      </c>
      <c r="S76" s="20" t="s">
        <v>1142</v>
      </c>
      <c r="T76" s="20" t="s">
        <v>1137</v>
      </c>
      <c r="U76" s="21" t="s">
        <v>1143</v>
      </c>
      <c r="V76" s="21" t="s">
        <v>1144</v>
      </c>
      <c r="W76" s="21" t="s">
        <v>84</v>
      </c>
      <c r="X76" s="20" t="s">
        <v>1145</v>
      </c>
      <c r="Y76" s="20" t="s">
        <v>1146</v>
      </c>
      <c r="Z76" s="20" t="s">
        <v>1145</v>
      </c>
      <c r="AA76" s="23"/>
      <c r="AB76" s="24" t="str">
        <f aca="false">IF(LEN($C76)&gt;0,COUNT(AB$1:AB75)+1,"")</f>
        <v/>
      </c>
      <c r="AC76" s="24" t="n">
        <f aca="false">IF(LEN($D76)&gt;0,COUNT(AC$1:AC75)+1,"")</f>
        <v>74</v>
      </c>
      <c r="AD76" s="24" t="str">
        <f aca="false">IF(LEN($E76)&gt;0,COUNT(AD$1:AD75)+1,"")</f>
        <v/>
      </c>
      <c r="AE76" s="24" t="str">
        <f aca="false">IF(LEN($F76)&gt;0,COUNT(AE$1:AE75)+1,"")</f>
        <v/>
      </c>
    </row>
    <row r="77" customFormat="false" ht="33.75" hidden="false" customHeight="true" outlineLevel="0" collapsed="false">
      <c r="A77" s="18" t="n">
        <f aca="false">IF(B77="","",ROW()-2)</f>
        <v>75</v>
      </c>
      <c r="B77" s="18" t="s">
        <v>1147</v>
      </c>
      <c r="C77" s="19"/>
      <c r="D77" s="19" t="s">
        <v>54</v>
      </c>
      <c r="E77" s="19"/>
      <c r="F77" s="19"/>
      <c r="G77" s="18" t="s">
        <v>13</v>
      </c>
      <c r="H77" s="20" t="s">
        <v>1148</v>
      </c>
      <c r="I77" s="21" t="s">
        <v>1149</v>
      </c>
      <c r="J77" s="20" t="s">
        <v>1150</v>
      </c>
      <c r="K77" s="20" t="s">
        <v>1151</v>
      </c>
      <c r="L77" s="20" t="s">
        <v>1152</v>
      </c>
      <c r="M77" s="21" t="s">
        <v>1153</v>
      </c>
      <c r="N77" s="22" t="s">
        <v>1154</v>
      </c>
      <c r="O77" s="21" t="s">
        <v>1149</v>
      </c>
      <c r="P77" s="21" t="s">
        <v>628</v>
      </c>
      <c r="Q77" s="21" t="s">
        <v>79</v>
      </c>
      <c r="R77" s="20" t="s">
        <v>1150</v>
      </c>
      <c r="S77" s="20" t="s">
        <v>1152</v>
      </c>
      <c r="T77" s="20" t="s">
        <v>1150</v>
      </c>
      <c r="U77" s="21" t="s">
        <v>1155</v>
      </c>
      <c r="V77" s="21" t="s">
        <v>948</v>
      </c>
      <c r="W77" s="21" t="s">
        <v>1156</v>
      </c>
      <c r="X77" s="20" t="s">
        <v>1150</v>
      </c>
      <c r="Y77" s="20" t="s">
        <v>1152</v>
      </c>
      <c r="Z77" s="20" t="s">
        <v>1157</v>
      </c>
      <c r="AA77" s="23"/>
      <c r="AB77" s="24" t="str">
        <f aca="false">IF(LEN($C77)&gt;0,COUNT(AB$1:AB76)+1,"")</f>
        <v/>
      </c>
      <c r="AC77" s="24" t="n">
        <f aca="false">IF(LEN($D77)&gt;0,COUNT(AC$1:AC76)+1,"")</f>
        <v>75</v>
      </c>
      <c r="AD77" s="24" t="str">
        <f aca="false">IF(LEN($E77)&gt;0,COUNT(AD$1:AD76)+1,"")</f>
        <v/>
      </c>
      <c r="AE77" s="24" t="str">
        <f aca="false">IF(LEN($F77)&gt;0,COUNT(AE$1:AE76)+1,"")</f>
        <v/>
      </c>
    </row>
    <row r="78" customFormat="false" ht="22.5" hidden="false" customHeight="true" outlineLevel="0" collapsed="false">
      <c r="A78" s="18" t="n">
        <f aca="false">IF(B78="","",ROW()-2)</f>
        <v>76</v>
      </c>
      <c r="B78" s="18" t="s">
        <v>1158</v>
      </c>
      <c r="C78" s="19"/>
      <c r="D78" s="19" t="s">
        <v>54</v>
      </c>
      <c r="E78" s="19"/>
      <c r="F78" s="19"/>
      <c r="G78" s="18" t="s">
        <v>13</v>
      </c>
      <c r="H78" s="20" t="s">
        <v>1159</v>
      </c>
      <c r="I78" s="21" t="s">
        <v>1160</v>
      </c>
      <c r="J78" s="20" t="s">
        <v>1161</v>
      </c>
      <c r="K78" s="20" t="s">
        <v>1162</v>
      </c>
      <c r="L78" s="20" t="s">
        <v>1163</v>
      </c>
      <c r="M78" s="21" t="s">
        <v>1164</v>
      </c>
      <c r="N78" s="25" t="s">
        <v>1165</v>
      </c>
      <c r="O78" s="21" t="s">
        <v>1166</v>
      </c>
      <c r="P78" s="20" t="s">
        <v>1167</v>
      </c>
      <c r="Q78" s="21" t="s">
        <v>1168</v>
      </c>
      <c r="R78" s="20" t="s">
        <v>1169</v>
      </c>
      <c r="S78" s="20" t="s">
        <v>1170</v>
      </c>
      <c r="T78" s="20" t="s">
        <v>1171</v>
      </c>
      <c r="U78" s="21" t="s">
        <v>1172</v>
      </c>
      <c r="V78" s="21" t="s">
        <v>1173</v>
      </c>
      <c r="W78" s="21" t="s">
        <v>1174</v>
      </c>
      <c r="X78" s="20" t="s">
        <v>1175</v>
      </c>
      <c r="Y78" s="20" t="s">
        <v>1176</v>
      </c>
      <c r="Z78" s="20" t="s">
        <v>1177</v>
      </c>
      <c r="AA78" s="23" t="s">
        <v>87</v>
      </c>
      <c r="AB78" s="24" t="str">
        <f aca="false">IF(LEN($C78)&gt;0,COUNT(AB$1:AB77)+1,"")</f>
        <v/>
      </c>
      <c r="AC78" s="24" t="n">
        <f aca="false">IF(LEN($D78)&gt;0,COUNT(AC$1:AC77)+1,"")</f>
        <v>76</v>
      </c>
      <c r="AD78" s="24" t="str">
        <f aca="false">IF(LEN($E78)&gt;0,COUNT(AD$1:AD77)+1,"")</f>
        <v/>
      </c>
      <c r="AE78" s="24" t="str">
        <f aca="false">IF(LEN($F78)&gt;0,COUNT(AE$1:AE77)+1,"")</f>
        <v/>
      </c>
    </row>
    <row r="79" customFormat="false" ht="22.5" hidden="false" customHeight="true" outlineLevel="0" collapsed="false">
      <c r="A79" s="18" t="n">
        <f aca="false">IF(B79="","",ROW()-2)</f>
        <v>77</v>
      </c>
      <c r="B79" s="18" t="s">
        <v>1178</v>
      </c>
      <c r="C79" s="19"/>
      <c r="D79" s="19" t="s">
        <v>54</v>
      </c>
      <c r="E79" s="19"/>
      <c r="F79" s="19"/>
      <c r="G79" s="18" t="s">
        <v>13</v>
      </c>
      <c r="H79" s="20" t="s">
        <v>1179</v>
      </c>
      <c r="I79" s="21" t="s">
        <v>1180</v>
      </c>
      <c r="J79" s="20" t="s">
        <v>1181</v>
      </c>
      <c r="K79" s="20" t="s">
        <v>1182</v>
      </c>
      <c r="L79" s="20" t="s">
        <v>1183</v>
      </c>
      <c r="M79" s="21" t="s">
        <v>1184</v>
      </c>
      <c r="N79" s="22" t="s">
        <v>1185</v>
      </c>
      <c r="O79" s="21" t="s">
        <v>1186</v>
      </c>
      <c r="P79" s="21" t="s">
        <v>1187</v>
      </c>
      <c r="Q79" s="21" t="s">
        <v>238</v>
      </c>
      <c r="R79" s="20" t="s">
        <v>1188</v>
      </c>
      <c r="S79" s="20" t="s">
        <v>1189</v>
      </c>
      <c r="T79" s="20" t="s">
        <v>1190</v>
      </c>
      <c r="U79" s="21" t="s">
        <v>1191</v>
      </c>
      <c r="V79" s="21" t="s">
        <v>1192</v>
      </c>
      <c r="W79" s="21" t="s">
        <v>306</v>
      </c>
      <c r="X79" s="20" t="s">
        <v>1193</v>
      </c>
      <c r="Y79" s="20" t="s">
        <v>1194</v>
      </c>
      <c r="Z79" s="20" t="s">
        <v>1195</v>
      </c>
      <c r="AA79" s="23" t="s">
        <v>87</v>
      </c>
      <c r="AB79" s="24" t="str">
        <f aca="false">IF(LEN($C79)&gt;0,COUNT(AB$1:AB78)+1,"")</f>
        <v/>
      </c>
      <c r="AC79" s="24" t="n">
        <f aca="false">IF(LEN($D79)&gt;0,COUNT(AC$1:AC78)+1,"")</f>
        <v>77</v>
      </c>
      <c r="AD79" s="24" t="str">
        <f aca="false">IF(LEN($E79)&gt;0,COUNT(AD$1:AD78)+1,"")</f>
        <v/>
      </c>
      <c r="AE79" s="24" t="str">
        <f aca="false">IF(LEN($F79)&gt;0,COUNT(AE$1:AE78)+1,"")</f>
        <v/>
      </c>
    </row>
    <row r="80" customFormat="false" ht="33.75" hidden="false" customHeight="true" outlineLevel="0" collapsed="false">
      <c r="A80" s="18" t="n">
        <f aca="false">IF(B80="","",ROW()-2)</f>
        <v>78</v>
      </c>
      <c r="B80" s="17" t="s">
        <v>1196</v>
      </c>
      <c r="C80" s="19"/>
      <c r="D80" s="19" t="s">
        <v>54</v>
      </c>
      <c r="E80" s="19"/>
      <c r="F80" s="19"/>
      <c r="G80" s="18" t="s">
        <v>13</v>
      </c>
      <c r="H80" s="20" t="s">
        <v>1197</v>
      </c>
      <c r="I80" s="21" t="s">
        <v>1198</v>
      </c>
      <c r="J80" s="20" t="s">
        <v>1199</v>
      </c>
      <c r="K80" s="20" t="s">
        <v>1200</v>
      </c>
      <c r="L80" s="20" t="s">
        <v>1201</v>
      </c>
      <c r="M80" s="21" t="s">
        <v>1202</v>
      </c>
      <c r="N80" s="22" t="s">
        <v>1203</v>
      </c>
      <c r="O80" s="21" t="s">
        <v>1204</v>
      </c>
      <c r="P80" s="20" t="s">
        <v>1205</v>
      </c>
      <c r="Q80" s="20" t="s">
        <v>1206</v>
      </c>
      <c r="R80" s="20" t="s">
        <v>1207</v>
      </c>
      <c r="S80" s="20" t="s">
        <v>1208</v>
      </c>
      <c r="T80" s="20" t="s">
        <v>1209</v>
      </c>
      <c r="U80" s="21" t="s">
        <v>1210</v>
      </c>
      <c r="V80" s="20" t="s">
        <v>1205</v>
      </c>
      <c r="W80" s="21" t="s">
        <v>306</v>
      </c>
      <c r="X80" s="20" t="s">
        <v>1211</v>
      </c>
      <c r="Y80" s="20" t="s">
        <v>1212</v>
      </c>
      <c r="Z80" s="20" t="s">
        <v>1213</v>
      </c>
      <c r="AA80" s="23" t="s">
        <v>87</v>
      </c>
      <c r="AB80" s="24" t="str">
        <f aca="false">IF(LEN($C80)&gt;0,COUNT(AB$1:AB79)+1,"")</f>
        <v/>
      </c>
      <c r="AC80" s="24" t="n">
        <f aca="false">IF(LEN($D80)&gt;0,COUNT(AC$1:AC79)+1,"")</f>
        <v>78</v>
      </c>
      <c r="AD80" s="24" t="str">
        <f aca="false">IF(LEN($E80)&gt;0,COUNT(AD$1:AD79)+1,"")</f>
        <v/>
      </c>
      <c r="AE80" s="24" t="str">
        <f aca="false">IF(LEN($F80)&gt;0,COUNT(AE$1:AE79)+1,"")</f>
        <v/>
      </c>
    </row>
    <row r="81" customFormat="false" ht="22.5" hidden="false" customHeight="true" outlineLevel="0" collapsed="false">
      <c r="A81" s="18" t="n">
        <f aca="false">IF(B81="","",ROW()-2)</f>
        <v>79</v>
      </c>
      <c r="B81" s="17" t="s">
        <v>1214</v>
      </c>
      <c r="C81" s="19"/>
      <c r="D81" s="19" t="s">
        <v>54</v>
      </c>
      <c r="E81" s="19"/>
      <c r="F81" s="19"/>
      <c r="G81" s="18" t="s">
        <v>13</v>
      </c>
      <c r="H81" s="20" t="s">
        <v>1215</v>
      </c>
      <c r="I81" s="21" t="s">
        <v>1216</v>
      </c>
      <c r="J81" s="20" t="s">
        <v>1217</v>
      </c>
      <c r="K81" s="20" t="s">
        <v>1218</v>
      </c>
      <c r="L81" s="20" t="s">
        <v>1219</v>
      </c>
      <c r="M81" s="20" t="s">
        <v>1220</v>
      </c>
      <c r="N81" s="22" t="s">
        <v>1221</v>
      </c>
      <c r="O81" s="21" t="s">
        <v>1222</v>
      </c>
      <c r="P81" s="21" t="s">
        <v>320</v>
      </c>
      <c r="Q81" s="21" t="s">
        <v>198</v>
      </c>
      <c r="R81" s="20" t="s">
        <v>1217</v>
      </c>
      <c r="S81" s="20" t="s">
        <v>1223</v>
      </c>
      <c r="T81" s="20" t="s">
        <v>1224</v>
      </c>
      <c r="U81" s="21" t="s">
        <v>1222</v>
      </c>
      <c r="V81" s="21" t="s">
        <v>320</v>
      </c>
      <c r="W81" s="21" t="s">
        <v>198</v>
      </c>
      <c r="X81" s="20" t="s">
        <v>1217</v>
      </c>
      <c r="Y81" s="20" t="s">
        <v>1223</v>
      </c>
      <c r="Z81" s="20" t="s">
        <v>1224</v>
      </c>
      <c r="AA81" s="23" t="s">
        <v>87</v>
      </c>
      <c r="AB81" s="24" t="str">
        <f aca="false">IF(LEN($C81)&gt;0,COUNT(AB$1:AB80)+1,"")</f>
        <v/>
      </c>
      <c r="AC81" s="24" t="n">
        <f aca="false">IF(LEN($D81)&gt;0,COUNT(AC$1:AC80)+1,"")</f>
        <v>79</v>
      </c>
      <c r="AD81" s="24" t="str">
        <f aca="false">IF(LEN($E81)&gt;0,COUNT(AD$1:AD80)+1,"")</f>
        <v/>
      </c>
      <c r="AE81" s="24" t="str">
        <f aca="false">IF(LEN($F81)&gt;0,COUNT(AE$1:AE80)+1,"")</f>
        <v/>
      </c>
    </row>
    <row r="82" customFormat="false" ht="22.5" hidden="false" customHeight="true" outlineLevel="0" collapsed="false">
      <c r="A82" s="18" t="n">
        <f aca="false">IF(B82="","",ROW()-2)</f>
        <v>80</v>
      </c>
      <c r="B82" s="17" t="s">
        <v>1225</v>
      </c>
      <c r="C82" s="19"/>
      <c r="D82" s="19" t="s">
        <v>54</v>
      </c>
      <c r="E82" s="19"/>
      <c r="F82" s="19"/>
      <c r="G82" s="18" t="s">
        <v>13</v>
      </c>
      <c r="H82" s="20" t="s">
        <v>1226</v>
      </c>
      <c r="I82" s="21" t="s">
        <v>1227</v>
      </c>
      <c r="J82" s="20" t="s">
        <v>1228</v>
      </c>
      <c r="K82" s="20" t="s">
        <v>1229</v>
      </c>
      <c r="L82" s="20" t="s">
        <v>1230</v>
      </c>
      <c r="M82" s="21" t="s">
        <v>1231</v>
      </c>
      <c r="N82" s="22" t="s">
        <v>1232</v>
      </c>
      <c r="O82" s="21" t="s">
        <v>1233</v>
      </c>
      <c r="P82" s="21" t="s">
        <v>1234</v>
      </c>
      <c r="Q82" s="21" t="s">
        <v>993</v>
      </c>
      <c r="R82" s="20" t="s">
        <v>1235</v>
      </c>
      <c r="S82" s="20" t="s">
        <v>1236</v>
      </c>
      <c r="T82" s="20" t="s">
        <v>1237</v>
      </c>
      <c r="U82" s="21" t="s">
        <v>1238</v>
      </c>
      <c r="V82" s="21" t="s">
        <v>258</v>
      </c>
      <c r="W82" s="21" t="s">
        <v>1075</v>
      </c>
      <c r="X82" s="20" t="s">
        <v>1239</v>
      </c>
      <c r="Y82" s="20" t="s">
        <v>1240</v>
      </c>
      <c r="Z82" s="20" t="s">
        <v>1239</v>
      </c>
      <c r="AA82" s="23" t="s">
        <v>87</v>
      </c>
      <c r="AB82" s="24" t="str">
        <f aca="false">IF(LEN($C82)&gt;0,COUNT(AB$1:AB81)+1,"")</f>
        <v/>
      </c>
      <c r="AC82" s="24" t="n">
        <f aca="false">IF(LEN($D82)&gt;0,COUNT(AC$1:AC81)+1,"")</f>
        <v>80</v>
      </c>
      <c r="AD82" s="24" t="str">
        <f aca="false">IF(LEN($E82)&gt;0,COUNT(AD$1:AD81)+1,"")</f>
        <v/>
      </c>
      <c r="AE82" s="24" t="str">
        <f aca="false">IF(LEN($F82)&gt;0,COUNT(AE$1:AE81)+1,"")</f>
        <v/>
      </c>
    </row>
    <row r="83" customFormat="false" ht="47.25" hidden="false" customHeight="true" outlineLevel="0" collapsed="false">
      <c r="A83" s="18" t="n">
        <f aca="false">IF(B83="","",ROW()-2)</f>
        <v>81</v>
      </c>
      <c r="B83" s="18" t="s">
        <v>1241</v>
      </c>
      <c r="C83" s="19"/>
      <c r="D83" s="19" t="s">
        <v>54</v>
      </c>
      <c r="E83" s="19" t="s">
        <v>54</v>
      </c>
      <c r="F83" s="19"/>
      <c r="G83" s="18" t="s">
        <v>13</v>
      </c>
      <c r="H83" s="20" t="s">
        <v>1242</v>
      </c>
      <c r="I83" s="21" t="s">
        <v>1243</v>
      </c>
      <c r="J83" s="20" t="s">
        <v>1244</v>
      </c>
      <c r="K83" s="20" t="s">
        <v>1245</v>
      </c>
      <c r="L83" s="20" t="s">
        <v>1246</v>
      </c>
      <c r="M83" s="21" t="s">
        <v>1247</v>
      </c>
      <c r="N83" s="25" t="s">
        <v>1248</v>
      </c>
      <c r="O83" s="21" t="s">
        <v>1243</v>
      </c>
      <c r="P83" s="21" t="s">
        <v>79</v>
      </c>
      <c r="Q83" s="21" t="s">
        <v>79</v>
      </c>
      <c r="R83" s="20" t="s">
        <v>1244</v>
      </c>
      <c r="S83" s="20" t="s">
        <v>1249</v>
      </c>
      <c r="T83" s="20" t="s">
        <v>1250</v>
      </c>
      <c r="U83" s="21" t="s">
        <v>1251</v>
      </c>
      <c r="V83" s="21" t="s">
        <v>1252</v>
      </c>
      <c r="W83" s="21" t="s">
        <v>306</v>
      </c>
      <c r="X83" s="20" t="s">
        <v>1244</v>
      </c>
      <c r="Y83" s="20" t="s">
        <v>1253</v>
      </c>
      <c r="Z83" s="20" t="s">
        <v>1254</v>
      </c>
      <c r="AA83" s="23"/>
      <c r="AB83" s="24" t="str">
        <f aca="false">IF(LEN($C83)&gt;0,COUNT(AB$1:AB82)+1,"")</f>
        <v/>
      </c>
      <c r="AC83" s="24" t="n">
        <f aca="false">IF(LEN($D83)&gt;0,COUNT(AC$1:AC82)+1,"")</f>
        <v>81</v>
      </c>
      <c r="AD83" s="24" t="n">
        <f aca="false">IF(LEN($E83)&gt;0,COUNT(AD$1:AD82)+1,"")</f>
        <v>4</v>
      </c>
      <c r="AE83" s="24" t="str">
        <f aca="false">IF(LEN($F83)&gt;0,COUNT(AE$1:AE82)+1,"")</f>
        <v/>
      </c>
    </row>
    <row r="84" customFormat="false" ht="47.25" hidden="false" customHeight="true" outlineLevel="0" collapsed="false">
      <c r="A84" s="18" t="n">
        <f aca="false">IF(B84="","",ROW()-2)</f>
        <v>82</v>
      </c>
      <c r="B84" s="18" t="s">
        <v>1255</v>
      </c>
      <c r="C84" s="19"/>
      <c r="D84" s="19" t="s">
        <v>54</v>
      </c>
      <c r="E84" s="19"/>
      <c r="F84" s="19"/>
      <c r="G84" s="18" t="s">
        <v>13</v>
      </c>
      <c r="H84" s="20" t="s">
        <v>1256</v>
      </c>
      <c r="I84" s="21" t="s">
        <v>1257</v>
      </c>
      <c r="J84" s="20" t="s">
        <v>1258</v>
      </c>
      <c r="K84" s="21" t="s">
        <v>643</v>
      </c>
      <c r="L84" s="20" t="s">
        <v>1259</v>
      </c>
      <c r="M84" s="21" t="s">
        <v>1260</v>
      </c>
      <c r="N84" s="22" t="s">
        <v>1261</v>
      </c>
      <c r="O84" s="21" t="s">
        <v>1257</v>
      </c>
      <c r="P84" s="21" t="s">
        <v>1262</v>
      </c>
      <c r="Q84" s="21" t="s">
        <v>63</v>
      </c>
      <c r="R84" s="20" t="s">
        <v>1258</v>
      </c>
      <c r="S84" s="20" t="s">
        <v>1263</v>
      </c>
      <c r="T84" s="20" t="s">
        <v>1258</v>
      </c>
      <c r="U84" s="21" t="s">
        <v>1264</v>
      </c>
      <c r="V84" s="21" t="s">
        <v>1265</v>
      </c>
      <c r="W84" s="21" t="s">
        <v>1059</v>
      </c>
      <c r="X84" s="20" t="s">
        <v>1258</v>
      </c>
      <c r="Y84" s="20" t="s">
        <v>1266</v>
      </c>
      <c r="Z84" s="20" t="s">
        <v>1267</v>
      </c>
      <c r="AA84" s="23" t="s">
        <v>87</v>
      </c>
      <c r="AB84" s="24" t="str">
        <f aca="false">IF(LEN($C84)&gt;0,COUNT(AB$1:AB83)+1,"")</f>
        <v/>
      </c>
      <c r="AC84" s="24" t="n">
        <f aca="false">IF(LEN($D84)&gt;0,COUNT(AC$1:AC83)+1,"")</f>
        <v>82</v>
      </c>
      <c r="AD84" s="24" t="str">
        <f aca="false">IF(LEN($E84)&gt;0,COUNT(AD$1:AD83)+1,"")</f>
        <v/>
      </c>
      <c r="AE84" s="24" t="str">
        <f aca="false">IF(LEN($F84)&gt;0,COUNT(AE$1:AE83)+1,"")</f>
        <v/>
      </c>
    </row>
    <row r="85" customFormat="false" ht="22.5" hidden="false" customHeight="true" outlineLevel="0" collapsed="false">
      <c r="A85" s="18" t="n">
        <f aca="false">IF(B85="","",ROW()-2)</f>
        <v>83</v>
      </c>
      <c r="B85" s="17" t="s">
        <v>1268</v>
      </c>
      <c r="C85" s="19"/>
      <c r="D85" s="19" t="s">
        <v>54</v>
      </c>
      <c r="E85" s="19"/>
      <c r="F85" s="19"/>
      <c r="G85" s="18" t="s">
        <v>13</v>
      </c>
      <c r="H85" s="20" t="s">
        <v>1269</v>
      </c>
      <c r="I85" s="21" t="s">
        <v>1270</v>
      </c>
      <c r="J85" s="20" t="s">
        <v>1271</v>
      </c>
      <c r="K85" s="20" t="s">
        <v>1272</v>
      </c>
      <c r="L85" s="20" t="s">
        <v>1273</v>
      </c>
      <c r="M85" s="21" t="s">
        <v>1274</v>
      </c>
      <c r="N85" s="25" t="s">
        <v>1275</v>
      </c>
      <c r="O85" s="21" t="s">
        <v>1276</v>
      </c>
      <c r="P85" s="21" t="s">
        <v>1277</v>
      </c>
      <c r="Q85" s="21" t="s">
        <v>1278</v>
      </c>
      <c r="R85" s="20" t="s">
        <v>1279</v>
      </c>
      <c r="S85" s="20" t="s">
        <v>1280</v>
      </c>
      <c r="T85" s="20" t="s">
        <v>1281</v>
      </c>
      <c r="U85" s="21" t="s">
        <v>1282</v>
      </c>
      <c r="V85" s="21" t="s">
        <v>1265</v>
      </c>
      <c r="W85" s="21" t="s">
        <v>519</v>
      </c>
      <c r="X85" s="20" t="s">
        <v>1283</v>
      </c>
      <c r="Y85" s="20" t="s">
        <v>1284</v>
      </c>
      <c r="Z85" s="20" t="s">
        <v>1285</v>
      </c>
      <c r="AA85" s="23"/>
      <c r="AB85" s="24" t="str">
        <f aca="false">IF(LEN($C85)&gt;0,COUNT(AB$1:AB84)+1,"")</f>
        <v/>
      </c>
      <c r="AC85" s="24" t="n">
        <f aca="false">IF(LEN($D85)&gt;0,COUNT(AC$1:AC84)+1,"")</f>
        <v>83</v>
      </c>
      <c r="AD85" s="24" t="str">
        <f aca="false">IF(LEN($E85)&gt;0,COUNT(AD$1:AD84)+1,"")</f>
        <v/>
      </c>
      <c r="AE85" s="24" t="str">
        <f aca="false">IF(LEN($F85)&gt;0,COUNT(AE$1:AE84)+1,"")</f>
        <v/>
      </c>
    </row>
    <row r="86" customFormat="false" ht="22.5" hidden="false" customHeight="true" outlineLevel="0" collapsed="false">
      <c r="A86" s="18" t="n">
        <f aca="false">IF(B86="","",ROW()-2)</f>
        <v>84</v>
      </c>
      <c r="B86" s="18" t="s">
        <v>1286</v>
      </c>
      <c r="C86" s="19"/>
      <c r="D86" s="19" t="s">
        <v>54</v>
      </c>
      <c r="E86" s="19"/>
      <c r="F86" s="19"/>
      <c r="G86" s="18" t="s">
        <v>11</v>
      </c>
      <c r="H86" s="20" t="s">
        <v>1287</v>
      </c>
      <c r="I86" s="21" t="s">
        <v>1288</v>
      </c>
      <c r="J86" s="20" t="s">
        <v>1289</v>
      </c>
      <c r="K86" s="20" t="s">
        <v>1290</v>
      </c>
      <c r="L86" s="20" t="s">
        <v>1291</v>
      </c>
      <c r="M86" s="21" t="s">
        <v>1292</v>
      </c>
      <c r="N86" s="25" t="s">
        <v>1293</v>
      </c>
      <c r="O86" s="21" t="s">
        <v>1294</v>
      </c>
      <c r="P86" s="20" t="s">
        <v>1295</v>
      </c>
      <c r="Q86" s="21" t="s">
        <v>1296</v>
      </c>
      <c r="R86" s="20" t="s">
        <v>1297</v>
      </c>
      <c r="S86" s="20" t="s">
        <v>1298</v>
      </c>
      <c r="T86" s="20" t="s">
        <v>1297</v>
      </c>
      <c r="U86" s="21" t="s">
        <v>1299</v>
      </c>
      <c r="V86" s="20" t="s">
        <v>1295</v>
      </c>
      <c r="W86" s="21" t="s">
        <v>1300</v>
      </c>
      <c r="X86" s="20" t="s">
        <v>1301</v>
      </c>
      <c r="Y86" s="20" t="s">
        <v>1302</v>
      </c>
      <c r="Z86" s="20" t="s">
        <v>1301</v>
      </c>
      <c r="AA86" s="23"/>
      <c r="AB86" s="24" t="str">
        <f aca="false">IF(LEN($C86)&gt;0,COUNT(AB$1:AB85)+1,"")</f>
        <v/>
      </c>
      <c r="AC86" s="24" t="n">
        <f aca="false">IF(LEN($D86)&gt;0,COUNT(AC$1:AC85)+1,"")</f>
        <v>84</v>
      </c>
      <c r="AD86" s="24" t="str">
        <f aca="false">IF(LEN($E86)&gt;0,COUNT(AD$1:AD85)+1,"")</f>
        <v/>
      </c>
      <c r="AE86" s="24" t="str">
        <f aca="false">IF(LEN($F86)&gt;0,COUNT(AE$1:AE85)+1,"")</f>
        <v/>
      </c>
    </row>
    <row r="87" customFormat="false" ht="22.5" hidden="false" customHeight="true" outlineLevel="0" collapsed="false">
      <c r="A87" s="18" t="n">
        <f aca="false">IF(B87="","",ROW()-2)</f>
        <v>85</v>
      </c>
      <c r="B87" s="17" t="s">
        <v>1303</v>
      </c>
      <c r="C87" s="19"/>
      <c r="D87" s="19" t="s">
        <v>54</v>
      </c>
      <c r="E87" s="19"/>
      <c r="F87" s="19"/>
      <c r="G87" s="18" t="s">
        <v>11</v>
      </c>
      <c r="H87" s="20" t="s">
        <v>1304</v>
      </c>
      <c r="I87" s="21" t="s">
        <v>1305</v>
      </c>
      <c r="J87" s="20" t="s">
        <v>1306</v>
      </c>
      <c r="K87" s="20" t="s">
        <v>1307</v>
      </c>
      <c r="L87" s="20" t="s">
        <v>1308</v>
      </c>
      <c r="M87" s="21" t="s">
        <v>1309</v>
      </c>
      <c r="N87" s="25" t="s">
        <v>1310</v>
      </c>
      <c r="O87" s="21" t="s">
        <v>1311</v>
      </c>
      <c r="P87" s="21" t="s">
        <v>1312</v>
      </c>
      <c r="Q87" s="21" t="s">
        <v>1313</v>
      </c>
      <c r="R87" s="20" t="s">
        <v>1314</v>
      </c>
      <c r="S87" s="20" t="s">
        <v>1315</v>
      </c>
      <c r="T87" s="20" t="s">
        <v>1314</v>
      </c>
      <c r="U87" s="21" t="s">
        <v>1316</v>
      </c>
      <c r="V87" s="21" t="s">
        <v>1312</v>
      </c>
      <c r="W87" s="21" t="s">
        <v>84</v>
      </c>
      <c r="X87" s="20" t="s">
        <v>1317</v>
      </c>
      <c r="Y87" s="20" t="s">
        <v>1318</v>
      </c>
      <c r="Z87" s="20" t="s">
        <v>1317</v>
      </c>
      <c r="AA87" s="23"/>
      <c r="AB87" s="24" t="str">
        <f aca="false">IF(LEN($C87)&gt;0,COUNT(AB$1:AB86)+1,"")</f>
        <v/>
      </c>
      <c r="AC87" s="24" t="n">
        <f aca="false">IF(LEN($D87)&gt;0,COUNT(AC$1:AC86)+1,"")</f>
        <v>85</v>
      </c>
      <c r="AD87" s="24" t="str">
        <f aca="false">IF(LEN($E87)&gt;0,COUNT(AD$1:AD86)+1,"")</f>
        <v/>
      </c>
      <c r="AE87" s="24" t="str">
        <f aca="false">IF(LEN($F87)&gt;0,COUNT(AE$1:AE86)+1,"")</f>
        <v/>
      </c>
    </row>
    <row r="88" customFormat="false" ht="33.75" hidden="false" customHeight="true" outlineLevel="0" collapsed="false">
      <c r="A88" s="18" t="n">
        <f aca="false">IF(B88="","",ROW()-2)</f>
        <v>86</v>
      </c>
      <c r="B88" s="18" t="s">
        <v>1319</v>
      </c>
      <c r="C88" s="19"/>
      <c r="D88" s="19" t="s">
        <v>54</v>
      </c>
      <c r="E88" s="19" t="s">
        <v>54</v>
      </c>
      <c r="F88" s="19"/>
      <c r="G88" s="18" t="s">
        <v>16</v>
      </c>
      <c r="H88" s="20" t="s">
        <v>1320</v>
      </c>
      <c r="I88" s="21" t="s">
        <v>1321</v>
      </c>
      <c r="J88" s="20" t="s">
        <v>1322</v>
      </c>
      <c r="K88" s="20" t="s">
        <v>1323</v>
      </c>
      <c r="L88" s="20" t="s">
        <v>1324</v>
      </c>
      <c r="M88" s="21" t="s">
        <v>1325</v>
      </c>
      <c r="N88" s="22" t="s">
        <v>1326</v>
      </c>
      <c r="O88" s="21" t="s">
        <v>1327</v>
      </c>
      <c r="P88" s="20" t="s">
        <v>185</v>
      </c>
      <c r="Q88" s="21" t="s">
        <v>1328</v>
      </c>
      <c r="R88" s="20" t="s">
        <v>1322</v>
      </c>
      <c r="S88" s="20" t="s">
        <v>1329</v>
      </c>
      <c r="T88" s="20" t="s">
        <v>1330</v>
      </c>
      <c r="U88" s="21" t="s">
        <v>1331</v>
      </c>
      <c r="V88" s="21" t="s">
        <v>550</v>
      </c>
      <c r="W88" s="21" t="s">
        <v>1332</v>
      </c>
      <c r="X88" s="20" t="s">
        <v>1322</v>
      </c>
      <c r="Y88" s="20" t="s">
        <v>1333</v>
      </c>
      <c r="Z88" s="20" t="s">
        <v>1334</v>
      </c>
      <c r="AA88" s="23"/>
      <c r="AB88" s="24" t="str">
        <f aca="false">IF(LEN($C88)&gt;0,COUNT(AB$1:AB87)+1,"")</f>
        <v/>
      </c>
      <c r="AC88" s="24" t="n">
        <f aca="false">IF(LEN($D88)&gt;0,COUNT(AC$1:AC87)+1,"")</f>
        <v>86</v>
      </c>
      <c r="AD88" s="24" t="n">
        <f aca="false">IF(LEN($E88)&gt;0,COUNT(AD$1:AD87)+1,"")</f>
        <v>5</v>
      </c>
      <c r="AE88" s="24" t="str">
        <f aca="false">IF(LEN($F88)&gt;0,COUNT(AE$1:AE87)+1,"")</f>
        <v/>
      </c>
    </row>
    <row r="89" customFormat="false" ht="22.5" hidden="false" customHeight="true" outlineLevel="0" collapsed="false">
      <c r="A89" s="18" t="n">
        <f aca="false">IF(B89="","",ROW()-2)</f>
        <v>87</v>
      </c>
      <c r="B89" s="18" t="s">
        <v>1335</v>
      </c>
      <c r="C89" s="19"/>
      <c r="D89" s="19" t="s">
        <v>54</v>
      </c>
      <c r="E89" s="19"/>
      <c r="F89" s="19"/>
      <c r="G89" s="18" t="s">
        <v>13</v>
      </c>
      <c r="H89" s="20" t="s">
        <v>1336</v>
      </c>
      <c r="I89" s="21" t="s">
        <v>1337</v>
      </c>
      <c r="J89" s="20" t="s">
        <v>62</v>
      </c>
      <c r="K89" s="20" t="s">
        <v>1338</v>
      </c>
      <c r="L89" s="20" t="s">
        <v>1339</v>
      </c>
      <c r="M89" s="21" t="s">
        <v>1340</v>
      </c>
      <c r="N89" s="22" t="s">
        <v>1341</v>
      </c>
      <c r="O89" s="21" t="s">
        <v>1342</v>
      </c>
      <c r="P89" s="21" t="s">
        <v>1343</v>
      </c>
      <c r="Q89" s="21" t="s">
        <v>68</v>
      </c>
      <c r="R89" s="20" t="s">
        <v>1344</v>
      </c>
      <c r="S89" s="20" t="s">
        <v>1339</v>
      </c>
      <c r="T89" s="20" t="s">
        <v>1344</v>
      </c>
      <c r="U89" s="21" t="s">
        <v>1345</v>
      </c>
      <c r="V89" s="21" t="s">
        <v>1343</v>
      </c>
      <c r="W89" s="21" t="s">
        <v>1131</v>
      </c>
      <c r="X89" s="20" t="s">
        <v>1346</v>
      </c>
      <c r="Y89" s="20" t="s">
        <v>1347</v>
      </c>
      <c r="Z89" s="20" t="s">
        <v>1346</v>
      </c>
      <c r="AA89" s="23" t="s">
        <v>87</v>
      </c>
      <c r="AB89" s="24" t="str">
        <f aca="false">IF(LEN($C89)&gt;0,COUNT(AB$1:AB88)+1,"")</f>
        <v/>
      </c>
      <c r="AC89" s="24" t="n">
        <f aca="false">IF(LEN($D89)&gt;0,COUNT(AC$1:AC88)+1,"")</f>
        <v>87</v>
      </c>
      <c r="AD89" s="24" t="str">
        <f aca="false">IF(LEN($E89)&gt;0,COUNT(AD$1:AD88)+1,"")</f>
        <v/>
      </c>
      <c r="AE89" s="24" t="str">
        <f aca="false">IF(LEN($F89)&gt;0,COUNT(AE$1:AE88)+1,"")</f>
        <v/>
      </c>
    </row>
    <row r="90" customFormat="false" ht="22.5" hidden="false" customHeight="true" outlineLevel="0" collapsed="false">
      <c r="A90" s="18" t="n">
        <f aca="false">IF(B90="","",ROW()-2)</f>
        <v>88</v>
      </c>
      <c r="B90" s="18" t="s">
        <v>1348</v>
      </c>
      <c r="C90" s="19"/>
      <c r="D90" s="19" t="s">
        <v>54</v>
      </c>
      <c r="E90" s="19"/>
      <c r="F90" s="19"/>
      <c r="G90" s="18" t="s">
        <v>13</v>
      </c>
      <c r="H90" s="20" t="s">
        <v>1349</v>
      </c>
      <c r="I90" s="21" t="s">
        <v>1350</v>
      </c>
      <c r="J90" s="20" t="s">
        <v>1351</v>
      </c>
      <c r="K90" s="20" t="s">
        <v>1352</v>
      </c>
      <c r="L90" s="20" t="s">
        <v>1353</v>
      </c>
      <c r="M90" s="21" t="s">
        <v>1354</v>
      </c>
      <c r="N90" s="25" t="s">
        <v>1355</v>
      </c>
      <c r="O90" s="21" t="s">
        <v>1356</v>
      </c>
      <c r="P90" s="20" t="s">
        <v>1357</v>
      </c>
      <c r="Q90" s="20" t="s">
        <v>1358</v>
      </c>
      <c r="R90" s="20" t="s">
        <v>1351</v>
      </c>
      <c r="S90" s="20" t="s">
        <v>1359</v>
      </c>
      <c r="T90" s="20" t="s">
        <v>1360</v>
      </c>
      <c r="U90" s="21" t="s">
        <v>1356</v>
      </c>
      <c r="V90" s="20" t="s">
        <v>1357</v>
      </c>
      <c r="W90" s="20" t="s">
        <v>1358</v>
      </c>
      <c r="X90" s="20" t="s">
        <v>1351</v>
      </c>
      <c r="Y90" s="20" t="s">
        <v>1359</v>
      </c>
      <c r="Z90" s="20" t="s">
        <v>1360</v>
      </c>
      <c r="AA90" s="23" t="s">
        <v>87</v>
      </c>
      <c r="AB90" s="24" t="str">
        <f aca="false">IF(LEN($C90)&gt;0,COUNT(AB$1:AB89)+1,"")</f>
        <v/>
      </c>
      <c r="AC90" s="24" t="n">
        <f aca="false">IF(LEN($D90)&gt;0,COUNT(AC$1:AC89)+1,"")</f>
        <v>88</v>
      </c>
      <c r="AD90" s="24" t="str">
        <f aca="false">IF(LEN($E90)&gt;0,COUNT(AD$1:AD89)+1,"")</f>
        <v/>
      </c>
      <c r="AE90" s="24" t="str">
        <f aca="false">IF(LEN($F90)&gt;0,COUNT(AE$1:AE89)+1,"")</f>
        <v/>
      </c>
    </row>
    <row r="91" customFormat="false" ht="22.5" hidden="false" customHeight="true" outlineLevel="0" collapsed="false">
      <c r="A91" s="18" t="n">
        <f aca="false">IF(B91="","",ROW()-2)</f>
        <v>89</v>
      </c>
      <c r="B91" s="17" t="s">
        <v>1361</v>
      </c>
      <c r="C91" s="19"/>
      <c r="D91" s="19" t="s">
        <v>54</v>
      </c>
      <c r="E91" s="19"/>
      <c r="F91" s="19"/>
      <c r="G91" s="18" t="s">
        <v>11</v>
      </c>
      <c r="H91" s="20" t="s">
        <v>1362</v>
      </c>
      <c r="I91" s="21" t="s">
        <v>1363</v>
      </c>
      <c r="J91" s="20" t="s">
        <v>1364</v>
      </c>
      <c r="K91" s="20" t="s">
        <v>1365</v>
      </c>
      <c r="L91" s="20" t="s">
        <v>1366</v>
      </c>
      <c r="M91" s="21" t="s">
        <v>1367</v>
      </c>
      <c r="N91" s="25" t="s">
        <v>1368</v>
      </c>
      <c r="O91" s="21" t="s">
        <v>1369</v>
      </c>
      <c r="P91" s="20" t="s">
        <v>1370</v>
      </c>
      <c r="Q91" s="21" t="s">
        <v>1371</v>
      </c>
      <c r="R91" s="20" t="s">
        <v>1372</v>
      </c>
      <c r="S91" s="20" t="s">
        <v>1373</v>
      </c>
      <c r="T91" s="20" t="s">
        <v>1372</v>
      </c>
      <c r="U91" s="21" t="s">
        <v>1374</v>
      </c>
      <c r="V91" s="20" t="s">
        <v>1375</v>
      </c>
      <c r="W91" s="21" t="s">
        <v>1376</v>
      </c>
      <c r="X91" s="20" t="s">
        <v>1377</v>
      </c>
      <c r="Y91" s="20" t="s">
        <v>1378</v>
      </c>
      <c r="Z91" s="20" t="s">
        <v>1377</v>
      </c>
      <c r="AA91" s="23" t="s">
        <v>87</v>
      </c>
      <c r="AB91" s="24" t="str">
        <f aca="false">IF(LEN($C91)&gt;0,COUNT(AB$1:AB90)+1,"")</f>
        <v/>
      </c>
      <c r="AC91" s="24" t="n">
        <f aca="false">IF(LEN($D91)&gt;0,COUNT(AC$1:AC90)+1,"")</f>
        <v>89</v>
      </c>
      <c r="AD91" s="24" t="str">
        <f aca="false">IF(LEN($E91)&gt;0,COUNT(AD$1:AD90)+1,"")</f>
        <v/>
      </c>
      <c r="AE91" s="24" t="str">
        <f aca="false">IF(LEN($F91)&gt;0,COUNT(AE$1:AE90)+1,"")</f>
        <v/>
      </c>
    </row>
    <row r="92" customFormat="false" ht="22.5" hidden="false" customHeight="true" outlineLevel="0" collapsed="false">
      <c r="A92" s="18" t="n">
        <f aca="false">IF(B92="","",ROW()-2)</f>
        <v>90</v>
      </c>
      <c r="B92" s="17" t="s">
        <v>1379</v>
      </c>
      <c r="C92" s="19"/>
      <c r="D92" s="19" t="s">
        <v>54</v>
      </c>
      <c r="E92" s="19"/>
      <c r="F92" s="19"/>
      <c r="G92" s="18" t="s">
        <v>11</v>
      </c>
      <c r="H92" s="20" t="s">
        <v>1380</v>
      </c>
      <c r="I92" s="21" t="s">
        <v>1381</v>
      </c>
      <c r="J92" s="20" t="s">
        <v>1382</v>
      </c>
      <c r="K92" s="20" t="s">
        <v>1383</v>
      </c>
      <c r="L92" s="20" t="s">
        <v>1384</v>
      </c>
      <c r="M92" s="21" t="s">
        <v>1385</v>
      </c>
      <c r="N92" s="22" t="s">
        <v>1386</v>
      </c>
      <c r="O92" s="21" t="s">
        <v>398</v>
      </c>
      <c r="P92" s="20" t="s">
        <v>1387</v>
      </c>
      <c r="Q92" s="21" t="s">
        <v>1388</v>
      </c>
      <c r="R92" s="20" t="s">
        <v>1389</v>
      </c>
      <c r="S92" s="20" t="s">
        <v>1390</v>
      </c>
      <c r="T92" s="20" t="s">
        <v>1389</v>
      </c>
      <c r="U92" s="21" t="s">
        <v>1391</v>
      </c>
      <c r="V92" s="20" t="s">
        <v>1392</v>
      </c>
      <c r="W92" s="21" t="s">
        <v>306</v>
      </c>
      <c r="X92" s="20" t="s">
        <v>1393</v>
      </c>
      <c r="Y92" s="20" t="s">
        <v>1394</v>
      </c>
      <c r="Z92" s="20" t="s">
        <v>1393</v>
      </c>
      <c r="AA92" s="23" t="s">
        <v>87</v>
      </c>
      <c r="AB92" s="24" t="str">
        <f aca="false">IF(LEN($C92)&gt;0,COUNT(AB$1:AB91)+1,"")</f>
        <v/>
      </c>
      <c r="AC92" s="24" t="n">
        <f aca="false">IF(LEN($D92)&gt;0,COUNT(AC$1:AC91)+1,"")</f>
        <v>90</v>
      </c>
      <c r="AD92" s="24" t="str">
        <f aca="false">IF(LEN($E92)&gt;0,COUNT(AD$1:AD91)+1,"")</f>
        <v/>
      </c>
      <c r="AE92" s="24" t="str">
        <f aca="false">IF(LEN($F92)&gt;0,COUNT(AE$1:AE91)+1,"")</f>
        <v/>
      </c>
    </row>
    <row r="93" customFormat="false" ht="47.25" hidden="false" customHeight="true" outlineLevel="0" collapsed="false">
      <c r="A93" s="18" t="n">
        <f aca="false">IF(B93="","",ROW()-2)</f>
        <v>91</v>
      </c>
      <c r="B93" s="17" t="s">
        <v>1395</v>
      </c>
      <c r="C93" s="19"/>
      <c r="D93" s="19" t="s">
        <v>54</v>
      </c>
      <c r="E93" s="19"/>
      <c r="F93" s="19"/>
      <c r="G93" s="26" t="s">
        <v>12</v>
      </c>
      <c r="H93" s="20" t="s">
        <v>1396</v>
      </c>
      <c r="I93" s="21" t="s">
        <v>1397</v>
      </c>
      <c r="J93" s="20" t="s">
        <v>1398</v>
      </c>
      <c r="K93" s="20" t="s">
        <v>1399</v>
      </c>
      <c r="L93" s="20" t="s">
        <v>1400</v>
      </c>
      <c r="M93" s="21" t="s">
        <v>1401</v>
      </c>
      <c r="N93" s="22" t="s">
        <v>1402</v>
      </c>
      <c r="O93" s="21" t="s">
        <v>1403</v>
      </c>
      <c r="P93" s="20" t="s">
        <v>1404</v>
      </c>
      <c r="Q93" s="21" t="s">
        <v>238</v>
      </c>
      <c r="R93" s="20" t="s">
        <v>1405</v>
      </c>
      <c r="S93" s="20" t="s">
        <v>1406</v>
      </c>
      <c r="T93" s="20" t="s">
        <v>1407</v>
      </c>
      <c r="U93" s="21" t="s">
        <v>1408</v>
      </c>
      <c r="V93" s="20" t="s">
        <v>1409</v>
      </c>
      <c r="W93" s="21" t="s">
        <v>1371</v>
      </c>
      <c r="X93" s="20" t="s">
        <v>1410</v>
      </c>
      <c r="Y93" s="20" t="s">
        <v>1411</v>
      </c>
      <c r="Z93" s="20" t="s">
        <v>1410</v>
      </c>
      <c r="AA93" s="27" t="s">
        <v>503</v>
      </c>
      <c r="AB93" s="24" t="str">
        <f aca="false">IF(LEN($C93)&gt;0,COUNT(AB$1:AB92)+1,"")</f>
        <v/>
      </c>
      <c r="AC93" s="24" t="n">
        <f aca="false">IF(LEN($D93)&gt;0,COUNT(AC$1:AC92)+1,"")</f>
        <v>91</v>
      </c>
      <c r="AD93" s="24" t="str">
        <f aca="false">IF(LEN($E93)&gt;0,COUNT(AD$1:AD92)+1,"")</f>
        <v/>
      </c>
      <c r="AE93" s="24" t="str">
        <f aca="false">IF(LEN($F93)&gt;0,COUNT(AE$1:AE92)+1,"")</f>
        <v/>
      </c>
    </row>
    <row r="94" customFormat="false" ht="47.25" hidden="false" customHeight="true" outlineLevel="0" collapsed="false">
      <c r="A94" s="18" t="n">
        <f aca="false">IF(B94="","",ROW()-2)</f>
        <v>92</v>
      </c>
      <c r="B94" s="17" t="s">
        <v>1412</v>
      </c>
      <c r="C94" s="19"/>
      <c r="D94" s="19" t="s">
        <v>54</v>
      </c>
      <c r="E94" s="19"/>
      <c r="F94" s="19"/>
      <c r="G94" s="18" t="s">
        <v>11</v>
      </c>
      <c r="H94" s="20" t="s">
        <v>1413</v>
      </c>
      <c r="I94" s="21" t="s">
        <v>1414</v>
      </c>
      <c r="J94" s="20" t="s">
        <v>1415</v>
      </c>
      <c r="K94" s="20" t="s">
        <v>1416</v>
      </c>
      <c r="L94" s="21"/>
      <c r="M94" s="21" t="s">
        <v>1417</v>
      </c>
      <c r="N94" s="25" t="s">
        <v>1418</v>
      </c>
      <c r="O94" s="21" t="s">
        <v>1419</v>
      </c>
      <c r="P94" s="20" t="s">
        <v>1420</v>
      </c>
      <c r="Q94" s="21" t="s">
        <v>1421</v>
      </c>
      <c r="R94" s="20" t="s">
        <v>1422</v>
      </c>
      <c r="S94" s="20" t="s">
        <v>1423</v>
      </c>
      <c r="T94" s="20" t="s">
        <v>1424</v>
      </c>
      <c r="U94" s="29" t="s">
        <v>1425</v>
      </c>
      <c r="V94" s="20" t="s">
        <v>1426</v>
      </c>
      <c r="W94" s="21" t="s">
        <v>519</v>
      </c>
      <c r="X94" s="20" t="s">
        <v>1427</v>
      </c>
      <c r="Y94" s="30" t="s">
        <v>1428</v>
      </c>
      <c r="Z94" s="20" t="s">
        <v>1429</v>
      </c>
      <c r="AA94" s="23"/>
      <c r="AB94" s="24" t="str">
        <f aca="false">IF(LEN($C94)&gt;0,COUNT(AB$1:AB93)+1,"")</f>
        <v/>
      </c>
      <c r="AC94" s="24" t="n">
        <f aca="false">IF(LEN($D94)&gt;0,COUNT(AC$1:AC93)+1,"")</f>
        <v>92</v>
      </c>
      <c r="AD94" s="24" t="str">
        <f aca="false">IF(LEN($E94)&gt;0,COUNT(AD$1:AD93)+1,"")</f>
        <v/>
      </c>
      <c r="AE94" s="24" t="str">
        <f aca="false">IF(LEN($F94)&gt;0,COUNT(AE$1:AE93)+1,"")</f>
        <v/>
      </c>
    </row>
    <row r="95" customFormat="false" ht="22.5" hidden="false" customHeight="true" outlineLevel="0" collapsed="false">
      <c r="A95" s="18" t="n">
        <f aca="false">IF(B95="","",ROW()-2)</f>
        <v>93</v>
      </c>
      <c r="B95" s="18" t="s">
        <v>1430</v>
      </c>
      <c r="C95" s="19"/>
      <c r="D95" s="19" t="s">
        <v>54</v>
      </c>
      <c r="E95" s="19"/>
      <c r="F95" s="19"/>
      <c r="G95" s="18" t="s">
        <v>14</v>
      </c>
      <c r="H95" s="20" t="s">
        <v>1431</v>
      </c>
      <c r="I95" s="21" t="s">
        <v>1432</v>
      </c>
      <c r="J95" s="20" t="s">
        <v>1433</v>
      </c>
      <c r="K95" s="20" t="s">
        <v>1434</v>
      </c>
      <c r="L95" s="21"/>
      <c r="M95" s="21" t="s">
        <v>1435</v>
      </c>
      <c r="N95" s="25" t="s">
        <v>1436</v>
      </c>
      <c r="O95" s="21" t="s">
        <v>1437</v>
      </c>
      <c r="P95" s="20" t="s">
        <v>1438</v>
      </c>
      <c r="Q95" s="21" t="s">
        <v>1439</v>
      </c>
      <c r="R95" s="20" t="s">
        <v>1440</v>
      </c>
      <c r="S95" s="20" t="s">
        <v>1441</v>
      </c>
      <c r="T95" s="20" t="s">
        <v>1442</v>
      </c>
      <c r="U95" s="21" t="s">
        <v>1443</v>
      </c>
      <c r="V95" s="20" t="s">
        <v>1438</v>
      </c>
      <c r="W95" s="21" t="s">
        <v>353</v>
      </c>
      <c r="X95" s="20" t="s">
        <v>1444</v>
      </c>
      <c r="Y95" s="20" t="s">
        <v>1445</v>
      </c>
      <c r="Z95" s="20" t="s">
        <v>1446</v>
      </c>
      <c r="AA95" s="23" t="s">
        <v>87</v>
      </c>
      <c r="AB95" s="24" t="str">
        <f aca="false">IF(LEN($C95)&gt;0,COUNT(AB$1:AB94)+1,"")</f>
        <v/>
      </c>
      <c r="AC95" s="24" t="n">
        <f aca="false">IF(LEN($D95)&gt;0,COUNT(AC$1:AC94)+1,"")</f>
        <v>93</v>
      </c>
      <c r="AD95" s="24" t="str">
        <f aca="false">IF(LEN($E95)&gt;0,COUNT(AD$1:AD94)+1,"")</f>
        <v/>
      </c>
      <c r="AE95" s="24" t="str">
        <f aca="false">IF(LEN($F95)&gt;0,COUNT(AE$1:AE94)+1,"")</f>
        <v/>
      </c>
    </row>
    <row r="96" customFormat="false" ht="22.5" hidden="false" customHeight="true" outlineLevel="0" collapsed="false">
      <c r="A96" s="18" t="n">
        <f aca="false">IF(B96="","",ROW()-2)</f>
        <v>94</v>
      </c>
      <c r="B96" s="18" t="s">
        <v>1447</v>
      </c>
      <c r="C96" s="19"/>
      <c r="D96" s="19" t="s">
        <v>54</v>
      </c>
      <c r="E96" s="19"/>
      <c r="F96" s="19"/>
      <c r="G96" s="18" t="s">
        <v>13</v>
      </c>
      <c r="H96" s="20" t="s">
        <v>1448</v>
      </c>
      <c r="I96" s="21" t="s">
        <v>1449</v>
      </c>
      <c r="J96" s="20" t="s">
        <v>1450</v>
      </c>
      <c r="K96" s="20" t="s">
        <v>1451</v>
      </c>
      <c r="L96" s="21"/>
      <c r="M96" s="21" t="s">
        <v>1452</v>
      </c>
      <c r="N96" s="25" t="s">
        <v>1453</v>
      </c>
      <c r="O96" s="21" t="s">
        <v>1454</v>
      </c>
      <c r="P96" s="20" t="s">
        <v>1455</v>
      </c>
      <c r="Q96" s="20" t="s">
        <v>1456</v>
      </c>
      <c r="R96" s="20" t="s">
        <v>1450</v>
      </c>
      <c r="S96" s="20" t="s">
        <v>1457</v>
      </c>
      <c r="T96" s="20" t="s">
        <v>1458</v>
      </c>
      <c r="U96" s="21" t="s">
        <v>1459</v>
      </c>
      <c r="V96" s="21" t="s">
        <v>1460</v>
      </c>
      <c r="W96" s="21" t="s">
        <v>84</v>
      </c>
      <c r="X96" s="20" t="s">
        <v>1461</v>
      </c>
      <c r="Y96" s="20" t="s">
        <v>1462</v>
      </c>
      <c r="Z96" s="20" t="s">
        <v>1461</v>
      </c>
      <c r="AA96" s="23"/>
      <c r="AB96" s="24" t="str">
        <f aca="false">IF(LEN($C96)&gt;0,COUNT(AB$1:AB95)+1,"")</f>
        <v/>
      </c>
      <c r="AC96" s="24" t="n">
        <f aca="false">IF(LEN($D96)&gt;0,COUNT(AC$1:AC95)+1,"")</f>
        <v>94</v>
      </c>
      <c r="AD96" s="24" t="str">
        <f aca="false">IF(LEN($E96)&gt;0,COUNT(AD$1:AD95)+1,"")</f>
        <v/>
      </c>
      <c r="AE96" s="24" t="str">
        <f aca="false">IF(LEN($F96)&gt;0,COUNT(AE$1:AE95)+1,"")</f>
        <v/>
      </c>
    </row>
    <row r="97" customFormat="false" ht="22.5" hidden="false" customHeight="true" outlineLevel="0" collapsed="false">
      <c r="A97" s="18" t="n">
        <f aca="false">IF(B97="","",ROW()-2)</f>
        <v>95</v>
      </c>
      <c r="B97" s="18" t="s">
        <v>1463</v>
      </c>
      <c r="C97" s="19"/>
      <c r="D97" s="19" t="s">
        <v>54</v>
      </c>
      <c r="E97" s="19"/>
      <c r="F97" s="19"/>
      <c r="G97" s="18" t="s">
        <v>13</v>
      </c>
      <c r="H97" s="20" t="s">
        <v>1464</v>
      </c>
      <c r="I97" s="21" t="s">
        <v>1465</v>
      </c>
      <c r="J97" s="20" t="s">
        <v>1466</v>
      </c>
      <c r="K97" s="21" t="s">
        <v>1467</v>
      </c>
      <c r="L97" s="21"/>
      <c r="M97" s="21" t="s">
        <v>1468</v>
      </c>
      <c r="N97" s="25" t="s">
        <v>1469</v>
      </c>
      <c r="O97" s="21" t="s">
        <v>1465</v>
      </c>
      <c r="P97" s="21" t="s">
        <v>63</v>
      </c>
      <c r="Q97" s="21" t="s">
        <v>63</v>
      </c>
      <c r="R97" s="20" t="s">
        <v>1470</v>
      </c>
      <c r="S97" s="20" t="s">
        <v>1471</v>
      </c>
      <c r="T97" s="20" t="s">
        <v>1470</v>
      </c>
      <c r="U97" s="21" t="s">
        <v>1465</v>
      </c>
      <c r="V97" s="21" t="s">
        <v>63</v>
      </c>
      <c r="W97" s="21" t="s">
        <v>63</v>
      </c>
      <c r="X97" s="20" t="s">
        <v>1470</v>
      </c>
      <c r="Y97" s="20" t="s">
        <v>1471</v>
      </c>
      <c r="Z97" s="20" t="s">
        <v>1470</v>
      </c>
      <c r="AA97" s="23"/>
      <c r="AB97" s="24" t="str">
        <f aca="false">IF(LEN($C97)&gt;0,COUNT(AB$1:AB96)+1,"")</f>
        <v/>
      </c>
      <c r="AC97" s="24" t="n">
        <f aca="false">IF(LEN($D97)&gt;0,COUNT(AC$1:AC96)+1,"")</f>
        <v>95</v>
      </c>
      <c r="AD97" s="24" t="str">
        <f aca="false">IF(LEN($E97)&gt;0,COUNT(AD$1:AD96)+1,"")</f>
        <v/>
      </c>
      <c r="AE97" s="24" t="str">
        <f aca="false">IF(LEN($F97)&gt;0,COUNT(AE$1:AE96)+1,"")</f>
        <v/>
      </c>
    </row>
    <row r="98" customFormat="false" ht="33.75" hidden="false" customHeight="true" outlineLevel="0" collapsed="false">
      <c r="A98" s="18" t="n">
        <f aca="false">IF(B98="","",ROW()-2)</f>
        <v>96</v>
      </c>
      <c r="B98" s="18" t="s">
        <v>1472</v>
      </c>
      <c r="C98" s="19" t="s">
        <v>54</v>
      </c>
      <c r="D98" s="19" t="s">
        <v>54</v>
      </c>
      <c r="E98" s="19" t="s">
        <v>54</v>
      </c>
      <c r="F98" s="19"/>
      <c r="G98" s="18" t="s">
        <v>13</v>
      </c>
      <c r="H98" s="20" t="s">
        <v>1473</v>
      </c>
      <c r="I98" s="21" t="s">
        <v>1474</v>
      </c>
      <c r="J98" s="20" t="s">
        <v>1475</v>
      </c>
      <c r="K98" s="20" t="s">
        <v>1476</v>
      </c>
      <c r="L98" s="21"/>
      <c r="M98" s="21" t="s">
        <v>1477</v>
      </c>
      <c r="N98" s="25" t="s">
        <v>1478</v>
      </c>
      <c r="O98" s="21" t="s">
        <v>1474</v>
      </c>
      <c r="P98" s="21" t="s">
        <v>569</v>
      </c>
      <c r="Q98" s="21" t="s">
        <v>63</v>
      </c>
      <c r="R98" s="20" t="s">
        <v>1475</v>
      </c>
      <c r="S98" s="20" t="s">
        <v>1479</v>
      </c>
      <c r="T98" s="20" t="s">
        <v>1475</v>
      </c>
      <c r="U98" s="21" t="s">
        <v>1474</v>
      </c>
      <c r="V98" s="21" t="s">
        <v>569</v>
      </c>
      <c r="W98" s="21" t="s">
        <v>63</v>
      </c>
      <c r="X98" s="20" t="s">
        <v>1475</v>
      </c>
      <c r="Y98" s="20" t="s">
        <v>1479</v>
      </c>
      <c r="Z98" s="20" t="s">
        <v>1475</v>
      </c>
      <c r="AA98" s="23"/>
      <c r="AB98" s="24" t="n">
        <f aca="false">IF(LEN($C98)&gt;0,COUNT(AB$1:AB97)+1,"")</f>
        <v>3</v>
      </c>
      <c r="AC98" s="24" t="n">
        <f aca="false">IF(LEN($D98)&gt;0,COUNT(AC$1:AC97)+1,"")</f>
        <v>96</v>
      </c>
      <c r="AD98" s="24" t="n">
        <f aca="false">IF(LEN($E98)&gt;0,COUNT(AD$1:AD97)+1,"")</f>
        <v>6</v>
      </c>
      <c r="AE98" s="24" t="str">
        <f aca="false">IF(LEN($F98)&gt;0,COUNT(AE$1:AE97)+1,"")</f>
        <v/>
      </c>
    </row>
    <row r="99" customFormat="false" ht="47.25" hidden="false" customHeight="true" outlineLevel="0" collapsed="false">
      <c r="A99" s="18" t="n">
        <f aca="false">IF(B99="","",ROW()-2)</f>
        <v>97</v>
      </c>
      <c r="B99" s="17" t="s">
        <v>1480</v>
      </c>
      <c r="C99" s="19"/>
      <c r="D99" s="19" t="s">
        <v>54</v>
      </c>
      <c r="E99" s="19"/>
      <c r="F99" s="19"/>
      <c r="G99" s="18" t="s">
        <v>13</v>
      </c>
      <c r="H99" s="20" t="s">
        <v>1481</v>
      </c>
      <c r="I99" s="21" t="s">
        <v>1482</v>
      </c>
      <c r="J99" s="20" t="s">
        <v>1483</v>
      </c>
      <c r="K99" s="20" t="s">
        <v>1484</v>
      </c>
      <c r="L99" s="21"/>
      <c r="M99" s="21" t="s">
        <v>1485</v>
      </c>
      <c r="N99" s="25" t="s">
        <v>1486</v>
      </c>
      <c r="O99" s="21" t="s">
        <v>1487</v>
      </c>
      <c r="P99" s="20" t="s">
        <v>1488</v>
      </c>
      <c r="Q99" s="21" t="s">
        <v>1421</v>
      </c>
      <c r="R99" s="20" t="s">
        <v>1489</v>
      </c>
      <c r="S99" s="20" t="s">
        <v>1490</v>
      </c>
      <c r="T99" s="20" t="s">
        <v>1491</v>
      </c>
      <c r="U99" s="21" t="s">
        <v>1492</v>
      </c>
      <c r="V99" s="20" t="s">
        <v>495</v>
      </c>
      <c r="W99" s="21" t="s">
        <v>1493</v>
      </c>
      <c r="X99" s="20" t="s">
        <v>1489</v>
      </c>
      <c r="Y99" s="20" t="s">
        <v>1494</v>
      </c>
      <c r="Z99" s="20" t="s">
        <v>1495</v>
      </c>
      <c r="AA99" s="23" t="s">
        <v>87</v>
      </c>
      <c r="AB99" s="24" t="str">
        <f aca="false">IF(LEN($C99)&gt;0,COUNT(AB$1:AB98)+1,"")</f>
        <v/>
      </c>
      <c r="AC99" s="24" t="n">
        <f aca="false">IF(LEN($D99)&gt;0,COUNT(AC$1:AC98)+1,"")</f>
        <v>97</v>
      </c>
      <c r="AD99" s="24" t="str">
        <f aca="false">IF(LEN($E99)&gt;0,COUNT(AD$1:AD98)+1,"")</f>
        <v/>
      </c>
      <c r="AE99" s="24" t="str">
        <f aca="false">IF(LEN($F99)&gt;0,COUNT(AE$1:AE98)+1,"")</f>
        <v/>
      </c>
    </row>
    <row r="100" customFormat="false" ht="22.5" hidden="false" customHeight="true" outlineLevel="0" collapsed="false">
      <c r="A100" s="18" t="n">
        <f aca="false">IF(B100="","",ROW()-2)</f>
        <v>98</v>
      </c>
      <c r="B100" s="17" t="s">
        <v>1496</v>
      </c>
      <c r="C100" s="19"/>
      <c r="D100" s="19" t="s">
        <v>54</v>
      </c>
      <c r="E100" s="19"/>
      <c r="F100" s="19"/>
      <c r="G100" s="18" t="s">
        <v>13</v>
      </c>
      <c r="H100" s="20" t="s">
        <v>1497</v>
      </c>
      <c r="I100" s="21" t="s">
        <v>1498</v>
      </c>
      <c r="J100" s="20" t="s">
        <v>1499</v>
      </c>
      <c r="K100" s="20" t="s">
        <v>1500</v>
      </c>
      <c r="L100" s="21"/>
      <c r="M100" s="21" t="s">
        <v>1501</v>
      </c>
      <c r="N100" s="25" t="s">
        <v>1502</v>
      </c>
      <c r="O100" s="21" t="s">
        <v>1503</v>
      </c>
      <c r="P100" s="21" t="s">
        <v>1504</v>
      </c>
      <c r="Q100" s="21" t="s">
        <v>1421</v>
      </c>
      <c r="R100" s="20" t="s">
        <v>1499</v>
      </c>
      <c r="S100" s="20" t="s">
        <v>1505</v>
      </c>
      <c r="T100" s="20" t="s">
        <v>1506</v>
      </c>
      <c r="U100" s="21" t="s">
        <v>1507</v>
      </c>
      <c r="V100" s="21" t="s">
        <v>1504</v>
      </c>
      <c r="W100" s="21" t="s">
        <v>1508</v>
      </c>
      <c r="X100" s="20" t="s">
        <v>1499</v>
      </c>
      <c r="Y100" s="20" t="s">
        <v>1509</v>
      </c>
      <c r="Z100" s="20" t="s">
        <v>1510</v>
      </c>
      <c r="AA100" s="23"/>
      <c r="AB100" s="24" t="str">
        <f aca="false">IF(LEN($C100)&gt;0,COUNT(AB$1:AB99)+1,"")</f>
        <v/>
      </c>
      <c r="AC100" s="24" t="n">
        <f aca="false">IF(LEN($D100)&gt;0,COUNT(AC$1:AC99)+1,"")</f>
        <v>98</v>
      </c>
      <c r="AD100" s="24" t="str">
        <f aca="false">IF(LEN($E100)&gt;0,COUNT(AD$1:AD99)+1,"")</f>
        <v/>
      </c>
      <c r="AE100" s="24" t="str">
        <f aca="false">IF(LEN($F100)&gt;0,COUNT(AE$1:AE99)+1,"")</f>
        <v/>
      </c>
    </row>
    <row r="101" customFormat="false" ht="33.75" hidden="false" customHeight="true" outlineLevel="0" collapsed="false">
      <c r="A101" s="18" t="n">
        <f aca="false">IF(B101="","",ROW()-2)</f>
        <v>99</v>
      </c>
      <c r="B101" s="18" t="s">
        <v>1511</v>
      </c>
      <c r="C101" s="19"/>
      <c r="D101" s="19" t="s">
        <v>54</v>
      </c>
      <c r="E101" s="19"/>
      <c r="F101" s="19"/>
      <c r="G101" s="26" t="s">
        <v>12</v>
      </c>
      <c r="H101" s="20" t="s">
        <v>1512</v>
      </c>
      <c r="I101" s="21" t="s">
        <v>1513</v>
      </c>
      <c r="J101" s="20" t="s">
        <v>1514</v>
      </c>
      <c r="K101" s="20" t="s">
        <v>1515</v>
      </c>
      <c r="L101" s="21"/>
      <c r="M101" s="21" t="s">
        <v>1516</v>
      </c>
      <c r="N101" s="22" t="s">
        <v>1517</v>
      </c>
      <c r="O101" s="21" t="s">
        <v>1518</v>
      </c>
      <c r="P101" s="21" t="s">
        <v>1519</v>
      </c>
      <c r="Q101" s="21" t="s">
        <v>601</v>
      </c>
      <c r="R101" s="20" t="s">
        <v>1520</v>
      </c>
      <c r="S101" s="20" t="s">
        <v>1521</v>
      </c>
      <c r="T101" s="20" t="s">
        <v>1520</v>
      </c>
      <c r="U101" s="21" t="s">
        <v>1522</v>
      </c>
      <c r="V101" s="21" t="s">
        <v>1519</v>
      </c>
      <c r="W101" s="21" t="s">
        <v>1131</v>
      </c>
      <c r="X101" s="20" t="s">
        <v>1523</v>
      </c>
      <c r="Y101" s="20" t="s">
        <v>1524</v>
      </c>
      <c r="Z101" s="20" t="s">
        <v>1523</v>
      </c>
      <c r="AA101" s="27" t="s">
        <v>503</v>
      </c>
      <c r="AB101" s="24" t="str">
        <f aca="false">IF(LEN($C101)&gt;0,COUNT(AB$1:AB100)+1,"")</f>
        <v/>
      </c>
      <c r="AC101" s="24" t="n">
        <f aca="false">IF(LEN($D101)&gt;0,COUNT(AC$1:AC100)+1,"")</f>
        <v>99</v>
      </c>
      <c r="AD101" s="24" t="str">
        <f aca="false">IF(LEN($E101)&gt;0,COUNT(AD$1:AD100)+1,"")</f>
        <v/>
      </c>
      <c r="AE101" s="24" t="str">
        <f aca="false">IF(LEN($F101)&gt;0,COUNT(AE$1:AE100)+1,"")</f>
        <v/>
      </c>
    </row>
    <row r="102" customFormat="false" ht="22.5" hidden="false" customHeight="true" outlineLevel="0" collapsed="false">
      <c r="A102" s="18" t="n">
        <f aca="false">IF(B102="","",ROW()-2)</f>
        <v>100</v>
      </c>
      <c r="B102" s="18" t="s">
        <v>1525</v>
      </c>
      <c r="C102" s="19"/>
      <c r="D102" s="19" t="s">
        <v>54</v>
      </c>
      <c r="E102" s="19"/>
      <c r="F102" s="19"/>
      <c r="G102" s="18" t="s">
        <v>13</v>
      </c>
      <c r="H102" s="20" t="s">
        <v>1526</v>
      </c>
      <c r="I102" s="21" t="s">
        <v>1527</v>
      </c>
      <c r="J102" s="20" t="s">
        <v>1528</v>
      </c>
      <c r="K102" s="20" t="s">
        <v>1529</v>
      </c>
      <c r="L102" s="20" t="s">
        <v>1530</v>
      </c>
      <c r="M102" s="21" t="s">
        <v>1531</v>
      </c>
      <c r="N102" s="25" t="s">
        <v>1532</v>
      </c>
      <c r="O102" s="21" t="s">
        <v>1533</v>
      </c>
      <c r="P102" s="21" t="s">
        <v>96</v>
      </c>
      <c r="Q102" s="21" t="s">
        <v>1534</v>
      </c>
      <c r="R102" s="20" t="s">
        <v>1535</v>
      </c>
      <c r="S102" s="20" t="s">
        <v>1536</v>
      </c>
      <c r="T102" s="20" t="s">
        <v>1535</v>
      </c>
      <c r="U102" s="21" t="s">
        <v>1533</v>
      </c>
      <c r="V102" s="21" t="s">
        <v>96</v>
      </c>
      <c r="W102" s="21" t="s">
        <v>1534</v>
      </c>
      <c r="X102" s="20" t="s">
        <v>1535</v>
      </c>
      <c r="Y102" s="20" t="s">
        <v>1536</v>
      </c>
      <c r="Z102" s="20" t="s">
        <v>1535</v>
      </c>
      <c r="AA102" s="23"/>
      <c r="AB102" s="24" t="str">
        <f aca="false">IF(LEN($C102)&gt;0,COUNT(AB$1:AB101)+1,"")</f>
        <v/>
      </c>
      <c r="AC102" s="24" t="n">
        <f aca="false">IF(LEN($D102)&gt;0,COUNT(AC$1:AC101)+1,"")</f>
        <v>100</v>
      </c>
      <c r="AD102" s="24" t="str">
        <f aca="false">IF(LEN($E102)&gt;0,COUNT(AD$1:AD101)+1,"")</f>
        <v/>
      </c>
      <c r="AE102" s="24" t="str">
        <f aca="false">IF(LEN($F102)&gt;0,COUNT(AE$1:AE101)+1,"")</f>
        <v/>
      </c>
    </row>
    <row r="103" customFormat="false" ht="114.75" hidden="false" customHeight="true" outlineLevel="0" collapsed="false">
      <c r="A103" s="18" t="n">
        <f aca="false">IF(B103="","",ROW()-2)</f>
        <v>101</v>
      </c>
      <c r="B103" s="17" t="s">
        <v>1537</v>
      </c>
      <c r="C103" s="19" t="s">
        <v>54</v>
      </c>
      <c r="D103" s="19" t="s">
        <v>54</v>
      </c>
      <c r="E103" s="19"/>
      <c r="F103" s="19"/>
      <c r="G103" s="18" t="s">
        <v>13</v>
      </c>
      <c r="H103" s="20" t="s">
        <v>1538</v>
      </c>
      <c r="I103" s="21" t="s">
        <v>1539</v>
      </c>
      <c r="J103" s="20" t="s">
        <v>1540</v>
      </c>
      <c r="K103" s="20" t="s">
        <v>1541</v>
      </c>
      <c r="L103" s="20" t="s">
        <v>1542</v>
      </c>
      <c r="M103" s="21" t="s">
        <v>1543</v>
      </c>
      <c r="N103" s="22" t="s">
        <v>1544</v>
      </c>
      <c r="O103" s="21" t="s">
        <v>1545</v>
      </c>
      <c r="P103" s="21" t="s">
        <v>1546</v>
      </c>
      <c r="Q103" s="21" t="s">
        <v>68</v>
      </c>
      <c r="R103" s="20" t="s">
        <v>1540</v>
      </c>
      <c r="S103" s="20" t="s">
        <v>1547</v>
      </c>
      <c r="T103" s="20" t="s">
        <v>1548</v>
      </c>
      <c r="U103" s="21" t="s">
        <v>1549</v>
      </c>
      <c r="V103" s="21" t="s">
        <v>1550</v>
      </c>
      <c r="W103" s="21" t="s">
        <v>68</v>
      </c>
      <c r="X103" s="20" t="s">
        <v>1540</v>
      </c>
      <c r="Y103" s="20" t="s">
        <v>1551</v>
      </c>
      <c r="Z103" s="20" t="s">
        <v>1552</v>
      </c>
      <c r="AA103" s="23"/>
      <c r="AB103" s="24" t="n">
        <f aca="false">IF(LEN($C103)&gt;0,COUNT(AB$1:AB102)+1,"")</f>
        <v>4</v>
      </c>
      <c r="AC103" s="24" t="n">
        <f aca="false">IF(LEN($D103)&gt;0,COUNT(AC$1:AC102)+1,"")</f>
        <v>101</v>
      </c>
      <c r="AD103" s="24" t="str">
        <f aca="false">IF(LEN($E103)&gt;0,COUNT(AD$1:AD102)+1,"")</f>
        <v/>
      </c>
      <c r="AE103" s="24" t="str">
        <f aca="false">IF(LEN($F103)&gt;0,COUNT(AE$1:AE102)+1,"")</f>
        <v/>
      </c>
    </row>
    <row r="104" customFormat="false" ht="22.5" hidden="false" customHeight="true" outlineLevel="0" collapsed="false">
      <c r="A104" s="18" t="n">
        <f aca="false">IF(B104="","",ROW()-2)</f>
        <v>102</v>
      </c>
      <c r="B104" s="18" t="s">
        <v>1553</v>
      </c>
      <c r="C104" s="19"/>
      <c r="D104" s="19" t="s">
        <v>54</v>
      </c>
      <c r="E104" s="19"/>
      <c r="F104" s="19"/>
      <c r="G104" s="18" t="s">
        <v>13</v>
      </c>
      <c r="H104" s="20" t="s">
        <v>1554</v>
      </c>
      <c r="I104" s="21" t="s">
        <v>1555</v>
      </c>
      <c r="J104" s="20" t="s">
        <v>1556</v>
      </c>
      <c r="K104" s="20" t="s">
        <v>1557</v>
      </c>
      <c r="L104" s="20" t="s">
        <v>1558</v>
      </c>
      <c r="M104" s="21" t="s">
        <v>1559</v>
      </c>
      <c r="N104" s="22" t="s">
        <v>1560</v>
      </c>
      <c r="O104" s="21" t="s">
        <v>1561</v>
      </c>
      <c r="P104" s="21" t="s">
        <v>1562</v>
      </c>
      <c r="Q104" s="21" t="s">
        <v>68</v>
      </c>
      <c r="R104" s="20" t="s">
        <v>1563</v>
      </c>
      <c r="S104" s="20" t="s">
        <v>1564</v>
      </c>
      <c r="T104" s="20" t="s">
        <v>1565</v>
      </c>
      <c r="U104" s="21" t="s">
        <v>1566</v>
      </c>
      <c r="V104" s="21" t="s">
        <v>1567</v>
      </c>
      <c r="W104" s="21" t="s">
        <v>274</v>
      </c>
      <c r="X104" s="20" t="s">
        <v>1563</v>
      </c>
      <c r="Y104" s="20" t="s">
        <v>1568</v>
      </c>
      <c r="Z104" s="20" t="s">
        <v>1569</v>
      </c>
      <c r="AA104" s="23" t="s">
        <v>87</v>
      </c>
      <c r="AB104" s="24" t="str">
        <f aca="false">IF(LEN($C104)&gt;0,COUNT(AB$1:AB103)+1,"")</f>
        <v/>
      </c>
      <c r="AC104" s="24" t="n">
        <f aca="false">IF(LEN($D104)&gt;0,COUNT(AC$1:AC103)+1,"")</f>
        <v>102</v>
      </c>
      <c r="AD104" s="24" t="str">
        <f aca="false">IF(LEN($E104)&gt;0,COUNT(AD$1:AD103)+1,"")</f>
        <v/>
      </c>
      <c r="AE104" s="24" t="str">
        <f aca="false">IF(LEN($F104)&gt;0,COUNT(AE$1:AE103)+1,"")</f>
        <v/>
      </c>
    </row>
    <row r="105" customFormat="false" ht="60.75" hidden="false" customHeight="true" outlineLevel="0" collapsed="false">
      <c r="A105" s="18" t="n">
        <f aca="false">IF(B105="","",ROW()-2)</f>
        <v>103</v>
      </c>
      <c r="B105" s="17" t="s">
        <v>1570</v>
      </c>
      <c r="C105" s="19"/>
      <c r="D105" s="19" t="s">
        <v>54</v>
      </c>
      <c r="E105" s="19"/>
      <c r="F105" s="19"/>
      <c r="G105" s="18" t="s">
        <v>12</v>
      </c>
      <c r="H105" s="20" t="s">
        <v>1571</v>
      </c>
      <c r="I105" s="21" t="s">
        <v>1572</v>
      </c>
      <c r="J105" s="20" t="s">
        <v>1573</v>
      </c>
      <c r="K105" s="20" t="s">
        <v>1574</v>
      </c>
      <c r="L105" s="21"/>
      <c r="M105" s="21" t="s">
        <v>1575</v>
      </c>
      <c r="N105" s="25" t="s">
        <v>1576</v>
      </c>
      <c r="O105" s="21" t="s">
        <v>1577</v>
      </c>
      <c r="P105" s="20" t="s">
        <v>1578</v>
      </c>
      <c r="Q105" s="21" t="s">
        <v>1421</v>
      </c>
      <c r="R105" s="21"/>
      <c r="S105" s="20" t="s">
        <v>1579</v>
      </c>
      <c r="T105" s="20" t="s">
        <v>1580</v>
      </c>
      <c r="U105" s="21" t="s">
        <v>1581</v>
      </c>
      <c r="V105" s="20" t="s">
        <v>1582</v>
      </c>
      <c r="W105" s="21" t="s">
        <v>353</v>
      </c>
      <c r="X105" s="20" t="s">
        <v>1583</v>
      </c>
      <c r="Y105" s="20" t="s">
        <v>1584</v>
      </c>
      <c r="Z105" s="20" t="s">
        <v>1585</v>
      </c>
      <c r="AA105" s="23"/>
      <c r="AB105" s="24" t="str">
        <f aca="false">IF(LEN($C105)&gt;0,COUNT(AB$1:AB104)+1,"")</f>
        <v/>
      </c>
      <c r="AC105" s="24" t="n">
        <f aca="false">IF(LEN($D105)&gt;0,COUNT(AC$1:AC104)+1,"")</f>
        <v>103</v>
      </c>
      <c r="AD105" s="24" t="str">
        <f aca="false">IF(LEN($E105)&gt;0,COUNT(AD$1:AD104)+1,"")</f>
        <v/>
      </c>
      <c r="AE105" s="24" t="str">
        <f aca="false">IF(LEN($F105)&gt;0,COUNT(AE$1:AE104)+1,"")</f>
        <v/>
      </c>
    </row>
    <row r="106" customFormat="false" ht="22.5" hidden="false" customHeight="true" outlineLevel="0" collapsed="false">
      <c r="A106" s="18" t="n">
        <f aca="false">IF(B106="","",ROW()-2)</f>
        <v>104</v>
      </c>
      <c r="B106" s="17" t="s">
        <v>1586</v>
      </c>
      <c r="C106" s="19" t="s">
        <v>54</v>
      </c>
      <c r="D106" s="19" t="s">
        <v>54</v>
      </c>
      <c r="E106" s="19" t="s">
        <v>54</v>
      </c>
      <c r="F106" s="19" t="s">
        <v>54</v>
      </c>
      <c r="G106" s="18" t="s">
        <v>13</v>
      </c>
      <c r="H106" s="20" t="s">
        <v>1587</v>
      </c>
      <c r="I106" s="21" t="s">
        <v>1588</v>
      </c>
      <c r="J106" s="20" t="s">
        <v>1589</v>
      </c>
      <c r="K106" s="20" t="s">
        <v>1590</v>
      </c>
      <c r="L106" s="20" t="s">
        <v>1591</v>
      </c>
      <c r="M106" s="21" t="s">
        <v>1592</v>
      </c>
      <c r="N106" s="22" t="s">
        <v>1593</v>
      </c>
      <c r="O106" s="21" t="s">
        <v>1594</v>
      </c>
      <c r="P106" s="20" t="s">
        <v>1595</v>
      </c>
      <c r="Q106" s="21" t="s">
        <v>792</v>
      </c>
      <c r="R106" s="20" t="s">
        <v>1589</v>
      </c>
      <c r="S106" s="20" t="s">
        <v>1596</v>
      </c>
      <c r="T106" s="20" t="s">
        <v>1597</v>
      </c>
      <c r="U106" s="21" t="s">
        <v>1598</v>
      </c>
      <c r="V106" s="20" t="s">
        <v>1595</v>
      </c>
      <c r="W106" s="21" t="s">
        <v>1599</v>
      </c>
      <c r="X106" s="20" t="s">
        <v>1589</v>
      </c>
      <c r="Y106" s="20" t="s">
        <v>1600</v>
      </c>
      <c r="Z106" s="20" t="s">
        <v>1601</v>
      </c>
      <c r="AA106" s="23"/>
      <c r="AB106" s="24" t="n">
        <f aca="false">IF(LEN($C106)&gt;0,COUNT(AB$1:AB105)+1,"")</f>
        <v>5</v>
      </c>
      <c r="AC106" s="24" t="n">
        <f aca="false">IF(LEN($D106)&gt;0,COUNT(AC$1:AC105)+1,"")</f>
        <v>104</v>
      </c>
      <c r="AD106" s="24" t="n">
        <f aca="false">IF(LEN($E106)&gt;0,COUNT(AD$1:AD105)+1,"")</f>
        <v>7</v>
      </c>
      <c r="AE106" s="24" t="n">
        <f aca="false">IF(LEN($F106)&gt;0,COUNT(AE$1:AE105)+1,"")</f>
        <v>1</v>
      </c>
    </row>
    <row r="107" customFormat="false" ht="22.5" hidden="false" customHeight="true" outlineLevel="0" collapsed="false">
      <c r="A107" s="18" t="n">
        <f aca="false">IF(B107="","",ROW()-2)</f>
        <v>105</v>
      </c>
      <c r="B107" s="18" t="s">
        <v>1602</v>
      </c>
      <c r="C107" s="19"/>
      <c r="D107" s="19" t="s">
        <v>54</v>
      </c>
      <c r="E107" s="19"/>
      <c r="F107" s="19"/>
      <c r="G107" s="18" t="s">
        <v>12</v>
      </c>
      <c r="H107" s="20" t="s">
        <v>1603</v>
      </c>
      <c r="I107" s="21" t="s">
        <v>1604</v>
      </c>
      <c r="J107" s="20" t="s">
        <v>1605</v>
      </c>
      <c r="K107" s="20" t="s">
        <v>1606</v>
      </c>
      <c r="L107" s="20" t="s">
        <v>1607</v>
      </c>
      <c r="M107" s="21" t="s">
        <v>1608</v>
      </c>
      <c r="N107" s="22" t="s">
        <v>1609</v>
      </c>
      <c r="O107" s="21" t="s">
        <v>1610</v>
      </c>
      <c r="P107" s="20" t="s">
        <v>1611</v>
      </c>
      <c r="Q107" s="21" t="s">
        <v>1612</v>
      </c>
      <c r="R107" s="20" t="s">
        <v>1613</v>
      </c>
      <c r="S107" s="20" t="s">
        <v>1614</v>
      </c>
      <c r="T107" s="20" t="s">
        <v>1613</v>
      </c>
      <c r="U107" s="21" t="s">
        <v>1610</v>
      </c>
      <c r="V107" s="20" t="s">
        <v>1611</v>
      </c>
      <c r="W107" s="21" t="s">
        <v>1612</v>
      </c>
      <c r="X107" s="20" t="s">
        <v>1613</v>
      </c>
      <c r="Y107" s="20" t="s">
        <v>1614</v>
      </c>
      <c r="Z107" s="20" t="s">
        <v>1613</v>
      </c>
      <c r="AA107" s="23"/>
      <c r="AB107" s="24" t="str">
        <f aca="false">IF(LEN($C107)&gt;0,COUNT(AB$1:AB106)+1,"")</f>
        <v/>
      </c>
      <c r="AC107" s="24" t="n">
        <f aca="false">IF(LEN($D107)&gt;0,COUNT(AC$1:AC106)+1,"")</f>
        <v>105</v>
      </c>
      <c r="AD107" s="24" t="str">
        <f aca="false">IF(LEN($E107)&gt;0,COUNT(AD$1:AD106)+1,"")</f>
        <v/>
      </c>
      <c r="AE107" s="24" t="str">
        <f aca="false">IF(LEN($F107)&gt;0,COUNT(AE$1:AE106)+1,"")</f>
        <v/>
      </c>
    </row>
    <row r="108" customFormat="false" ht="22.5" hidden="false" customHeight="true" outlineLevel="0" collapsed="false">
      <c r="A108" s="18" t="n">
        <f aca="false">IF(B108="","",ROW()-2)</f>
        <v>106</v>
      </c>
      <c r="B108" s="18" t="s">
        <v>1615</v>
      </c>
      <c r="C108" s="19" t="s">
        <v>54</v>
      </c>
      <c r="D108" s="19" t="s">
        <v>54</v>
      </c>
      <c r="E108" s="19" t="s">
        <v>54</v>
      </c>
      <c r="F108" s="19" t="s">
        <v>54</v>
      </c>
      <c r="G108" s="18" t="s">
        <v>13</v>
      </c>
      <c r="H108" s="20" t="s">
        <v>1616</v>
      </c>
      <c r="I108" s="21" t="s">
        <v>1617</v>
      </c>
      <c r="J108" s="20" t="s">
        <v>1618</v>
      </c>
      <c r="K108" s="20" t="s">
        <v>1619</v>
      </c>
      <c r="L108" s="20" t="s">
        <v>1620</v>
      </c>
      <c r="M108" s="21" t="s">
        <v>1621</v>
      </c>
      <c r="N108" s="22" t="s">
        <v>1622</v>
      </c>
      <c r="O108" s="21" t="s">
        <v>1623</v>
      </c>
      <c r="P108" s="21" t="s">
        <v>1624</v>
      </c>
      <c r="Q108" s="20" t="s">
        <v>1625</v>
      </c>
      <c r="R108" s="20" t="s">
        <v>1626</v>
      </c>
      <c r="S108" s="20" t="s">
        <v>1627</v>
      </c>
      <c r="T108" s="20" t="s">
        <v>1626</v>
      </c>
      <c r="U108" s="21" t="s">
        <v>1628</v>
      </c>
      <c r="V108" s="21" t="s">
        <v>1629</v>
      </c>
      <c r="W108" s="21" t="s">
        <v>1059</v>
      </c>
      <c r="X108" s="20" t="s">
        <v>1630</v>
      </c>
      <c r="Y108" s="20" t="s">
        <v>1631</v>
      </c>
      <c r="Z108" s="20" t="s">
        <v>1630</v>
      </c>
      <c r="AA108" s="23"/>
      <c r="AB108" s="24" t="n">
        <f aca="false">IF(LEN($C108)&gt;0,COUNT(AB$1:AB107)+1,"")</f>
        <v>6</v>
      </c>
      <c r="AC108" s="24" t="n">
        <f aca="false">IF(LEN($D108)&gt;0,COUNT(AC$1:AC107)+1,"")</f>
        <v>106</v>
      </c>
      <c r="AD108" s="24" t="n">
        <f aca="false">IF(LEN($E108)&gt;0,COUNT(AD$1:AD107)+1,"")</f>
        <v>8</v>
      </c>
      <c r="AE108" s="24" t="n">
        <f aca="false">IF(LEN($F108)&gt;0,COUNT(AE$1:AE107)+1,"")</f>
        <v>2</v>
      </c>
    </row>
    <row r="109" customFormat="false" ht="22.5" hidden="false" customHeight="true" outlineLevel="0" collapsed="false">
      <c r="A109" s="18" t="n">
        <f aca="false">IF(B109="","",ROW()-2)</f>
        <v>107</v>
      </c>
      <c r="B109" s="18" t="s">
        <v>1632</v>
      </c>
      <c r="C109" s="19"/>
      <c r="D109" s="19" t="s">
        <v>54</v>
      </c>
      <c r="E109" s="19"/>
      <c r="F109" s="19"/>
      <c r="G109" s="18" t="s">
        <v>13</v>
      </c>
      <c r="H109" s="20" t="s">
        <v>1633</v>
      </c>
      <c r="I109" s="21" t="s">
        <v>1634</v>
      </c>
      <c r="J109" s="20" t="s">
        <v>1635</v>
      </c>
      <c r="K109" s="20" t="s">
        <v>1636</v>
      </c>
      <c r="L109" s="20" t="s">
        <v>1637</v>
      </c>
      <c r="M109" s="21" t="s">
        <v>1638</v>
      </c>
      <c r="N109" s="25" t="s">
        <v>1639</v>
      </c>
      <c r="O109" s="21" t="s">
        <v>1634</v>
      </c>
      <c r="P109" s="21" t="s">
        <v>569</v>
      </c>
      <c r="Q109" s="21" t="s">
        <v>79</v>
      </c>
      <c r="R109" s="20" t="s">
        <v>1635</v>
      </c>
      <c r="S109" s="20" t="s">
        <v>1637</v>
      </c>
      <c r="T109" s="20" t="s">
        <v>1640</v>
      </c>
      <c r="U109" s="21" t="s">
        <v>1634</v>
      </c>
      <c r="V109" s="21" t="s">
        <v>1641</v>
      </c>
      <c r="W109" s="21" t="s">
        <v>79</v>
      </c>
      <c r="X109" s="20" t="s">
        <v>1635</v>
      </c>
      <c r="Y109" s="20" t="s">
        <v>1637</v>
      </c>
      <c r="Z109" s="20" t="s">
        <v>1640</v>
      </c>
      <c r="AA109" s="23"/>
      <c r="AB109" s="24" t="str">
        <f aca="false">IF(LEN($C109)&gt;0,COUNT(AB$1:AB108)+1,"")</f>
        <v/>
      </c>
      <c r="AC109" s="24" t="n">
        <f aca="false">IF(LEN($D109)&gt;0,COUNT(AC$1:AC108)+1,"")</f>
        <v>107</v>
      </c>
      <c r="AD109" s="24" t="str">
        <f aca="false">IF(LEN($E109)&gt;0,COUNT(AD$1:AD108)+1,"")</f>
        <v/>
      </c>
      <c r="AE109" s="24" t="str">
        <f aca="false">IF(LEN($F109)&gt;0,COUNT(AE$1:AE108)+1,"")</f>
        <v/>
      </c>
    </row>
    <row r="110" customFormat="false" ht="22.5" hidden="false" customHeight="true" outlineLevel="0" collapsed="false">
      <c r="A110" s="18" t="n">
        <f aca="false">IF(B110="","",ROW()-2)</f>
        <v>108</v>
      </c>
      <c r="B110" s="18" t="s">
        <v>1642</v>
      </c>
      <c r="C110" s="19"/>
      <c r="D110" s="19" t="s">
        <v>54</v>
      </c>
      <c r="E110" s="19"/>
      <c r="F110" s="19"/>
      <c r="G110" s="18" t="s">
        <v>13</v>
      </c>
      <c r="H110" s="20" t="s">
        <v>1643</v>
      </c>
      <c r="I110" s="21" t="s">
        <v>1644</v>
      </c>
      <c r="J110" s="20" t="s">
        <v>1645</v>
      </c>
      <c r="K110" s="20" t="s">
        <v>1646</v>
      </c>
      <c r="L110" s="20" t="s">
        <v>1647</v>
      </c>
      <c r="M110" s="21" t="s">
        <v>1648</v>
      </c>
      <c r="N110" s="22" t="s">
        <v>1649</v>
      </c>
      <c r="O110" s="21" t="s">
        <v>1650</v>
      </c>
      <c r="P110" s="20" t="s">
        <v>1116</v>
      </c>
      <c r="Q110" s="20" t="s">
        <v>1651</v>
      </c>
      <c r="R110" s="20" t="s">
        <v>1652</v>
      </c>
      <c r="S110" s="20" t="s">
        <v>1653</v>
      </c>
      <c r="T110" s="20" t="s">
        <v>1652</v>
      </c>
      <c r="U110" s="21" t="s">
        <v>1654</v>
      </c>
      <c r="V110" s="20" t="s">
        <v>1655</v>
      </c>
      <c r="W110" s="20" t="s">
        <v>1656</v>
      </c>
      <c r="X110" s="20" t="s">
        <v>1657</v>
      </c>
      <c r="Y110" s="20" t="s">
        <v>1647</v>
      </c>
      <c r="Z110" s="20" t="s">
        <v>1657</v>
      </c>
      <c r="AA110" s="23"/>
      <c r="AB110" s="24" t="str">
        <f aca="false">IF(LEN($C110)&gt;0,COUNT(AB$1:AB109)+1,"")</f>
        <v/>
      </c>
      <c r="AC110" s="24" t="n">
        <f aca="false">IF(LEN($D110)&gt;0,COUNT(AC$1:AC109)+1,"")</f>
        <v>108</v>
      </c>
      <c r="AD110" s="24" t="str">
        <f aca="false">IF(LEN($E110)&gt;0,COUNT(AD$1:AD109)+1,"")</f>
        <v/>
      </c>
      <c r="AE110" s="24" t="str">
        <f aca="false">IF(LEN($F110)&gt;0,COUNT(AE$1:AE109)+1,"")</f>
        <v/>
      </c>
    </row>
    <row r="111" customFormat="false" ht="22.5" hidden="false" customHeight="true" outlineLevel="0" collapsed="false">
      <c r="A111" s="18" t="n">
        <f aca="false">IF(B111="","",ROW()-2)</f>
        <v>109</v>
      </c>
      <c r="B111" s="18" t="s">
        <v>1658</v>
      </c>
      <c r="C111" s="19" t="s">
        <v>54</v>
      </c>
      <c r="D111" s="19" t="s">
        <v>54</v>
      </c>
      <c r="E111" s="19" t="s">
        <v>54</v>
      </c>
      <c r="F111" s="19"/>
      <c r="G111" s="18" t="s">
        <v>13</v>
      </c>
      <c r="H111" s="20" t="s">
        <v>1659</v>
      </c>
      <c r="I111" s="21" t="s">
        <v>1660</v>
      </c>
      <c r="J111" s="20" t="s">
        <v>1661</v>
      </c>
      <c r="K111" s="20" t="s">
        <v>1662</v>
      </c>
      <c r="L111" s="20" t="s">
        <v>1663</v>
      </c>
      <c r="M111" s="21" t="s">
        <v>1664</v>
      </c>
      <c r="N111" s="25" t="s">
        <v>1665</v>
      </c>
      <c r="O111" s="21" t="s">
        <v>1660</v>
      </c>
      <c r="P111" s="21" t="s">
        <v>1666</v>
      </c>
      <c r="Q111" s="21" t="s">
        <v>63</v>
      </c>
      <c r="R111" s="20" t="s">
        <v>1667</v>
      </c>
      <c r="S111" s="20" t="s">
        <v>1663</v>
      </c>
      <c r="T111" s="20" t="s">
        <v>1667</v>
      </c>
      <c r="U111" s="21" t="s">
        <v>1668</v>
      </c>
      <c r="V111" s="20" t="s">
        <v>495</v>
      </c>
      <c r="W111" s="21" t="s">
        <v>68</v>
      </c>
      <c r="X111" s="20" t="s">
        <v>1661</v>
      </c>
      <c r="Y111" s="20" t="s">
        <v>1669</v>
      </c>
      <c r="Z111" s="20" t="s">
        <v>1670</v>
      </c>
      <c r="AA111" s="23"/>
      <c r="AB111" s="24" t="n">
        <f aca="false">IF(LEN($C111)&gt;0,COUNT(AB$1:AB110)+1,"")</f>
        <v>7</v>
      </c>
      <c r="AC111" s="24" t="n">
        <f aca="false">IF(LEN($D111)&gt;0,COUNT(AC$1:AC110)+1,"")</f>
        <v>109</v>
      </c>
      <c r="AD111" s="24" t="n">
        <f aca="false">IF(LEN($E111)&gt;0,COUNT(AD$1:AD110)+1,"")</f>
        <v>9</v>
      </c>
      <c r="AE111" s="24" t="str">
        <f aca="false">IF(LEN($F111)&gt;0,COUNT(AE$1:AE110)+1,"")</f>
        <v/>
      </c>
    </row>
    <row r="112" customFormat="false" ht="22.5" hidden="false" customHeight="true" outlineLevel="0" collapsed="false">
      <c r="A112" s="18" t="n">
        <f aca="false">IF(B112="","",ROW()-2)</f>
        <v>110</v>
      </c>
      <c r="B112" s="17" t="s">
        <v>1671</v>
      </c>
      <c r="C112" s="19"/>
      <c r="D112" s="19" t="s">
        <v>54</v>
      </c>
      <c r="E112" s="19"/>
      <c r="F112" s="19"/>
      <c r="G112" s="18" t="s">
        <v>13</v>
      </c>
      <c r="H112" s="20" t="s">
        <v>1672</v>
      </c>
      <c r="I112" s="21" t="s">
        <v>1673</v>
      </c>
      <c r="J112" s="20" t="s">
        <v>1674</v>
      </c>
      <c r="K112" s="20" t="s">
        <v>1675</v>
      </c>
      <c r="L112" s="20" t="s">
        <v>1676</v>
      </c>
      <c r="M112" s="21" t="s">
        <v>1677</v>
      </c>
      <c r="N112" s="22" t="s">
        <v>1678</v>
      </c>
      <c r="O112" s="21" t="s">
        <v>1679</v>
      </c>
      <c r="P112" s="21" t="s">
        <v>63</v>
      </c>
      <c r="Q112" s="21" t="s">
        <v>63</v>
      </c>
      <c r="R112" s="20" t="s">
        <v>1674</v>
      </c>
      <c r="S112" s="20" t="s">
        <v>1676</v>
      </c>
      <c r="T112" s="20" t="s">
        <v>1680</v>
      </c>
      <c r="U112" s="21" t="s">
        <v>1681</v>
      </c>
      <c r="V112" s="21" t="s">
        <v>1682</v>
      </c>
      <c r="W112" s="21" t="s">
        <v>306</v>
      </c>
      <c r="X112" s="20" t="s">
        <v>1674</v>
      </c>
      <c r="Y112" s="20" t="s">
        <v>1676</v>
      </c>
      <c r="Z112" s="20" t="s">
        <v>1683</v>
      </c>
      <c r="AA112" s="23"/>
      <c r="AB112" s="24" t="str">
        <f aca="false">IF(LEN($C112)&gt;0,COUNT(AB$1:AB111)+1,"")</f>
        <v/>
      </c>
      <c r="AC112" s="24" t="n">
        <f aca="false">IF(LEN($D112)&gt;0,COUNT(AC$1:AC111)+1,"")</f>
        <v>110</v>
      </c>
      <c r="AD112" s="24" t="str">
        <f aca="false">IF(LEN($E112)&gt;0,COUNT(AD$1:AD111)+1,"")</f>
        <v/>
      </c>
      <c r="AE112" s="24" t="str">
        <f aca="false">IF(LEN($F112)&gt;0,COUNT(AE$1:AE111)+1,"")</f>
        <v/>
      </c>
    </row>
    <row r="113" customFormat="false" ht="22.5" hidden="false" customHeight="true" outlineLevel="0" collapsed="false">
      <c r="A113" s="18" t="n">
        <f aca="false">IF(B113="","",ROW()-2)</f>
        <v>111</v>
      </c>
      <c r="B113" s="17" t="s">
        <v>1684</v>
      </c>
      <c r="C113" s="19" t="s">
        <v>54</v>
      </c>
      <c r="D113" s="19"/>
      <c r="E113" s="19"/>
      <c r="F113" s="19"/>
      <c r="G113" s="18" t="s">
        <v>13</v>
      </c>
      <c r="H113" s="20" t="s">
        <v>1685</v>
      </c>
      <c r="I113" s="21" t="s">
        <v>1686</v>
      </c>
      <c r="J113" s="20" t="s">
        <v>1687</v>
      </c>
      <c r="K113" s="20" t="s">
        <v>1688</v>
      </c>
      <c r="L113" s="20" t="s">
        <v>1689</v>
      </c>
      <c r="M113" s="21" t="s">
        <v>1690</v>
      </c>
      <c r="N113" s="22" t="s">
        <v>1691</v>
      </c>
      <c r="O113" s="21" t="s">
        <v>1686</v>
      </c>
      <c r="P113" s="20" t="s">
        <v>286</v>
      </c>
      <c r="Q113" s="21" t="s">
        <v>63</v>
      </c>
      <c r="R113" s="20" t="s">
        <v>1692</v>
      </c>
      <c r="S113" s="20" t="s">
        <v>1693</v>
      </c>
      <c r="T113" s="20" t="s">
        <v>1692</v>
      </c>
      <c r="U113" s="21" t="s">
        <v>1694</v>
      </c>
      <c r="V113" s="20" t="s">
        <v>1695</v>
      </c>
      <c r="W113" s="21" t="s">
        <v>1696</v>
      </c>
      <c r="X113" s="20" t="s">
        <v>1687</v>
      </c>
      <c r="Y113" s="20" t="s">
        <v>1697</v>
      </c>
      <c r="Z113" s="20" t="s">
        <v>1687</v>
      </c>
      <c r="AA113" s="23"/>
      <c r="AB113" s="24" t="n">
        <f aca="false">IF(LEN($C113)&gt;0,COUNT(AB$1:AB112)+1,"")</f>
        <v>8</v>
      </c>
      <c r="AC113" s="24" t="str">
        <f aca="false">IF(LEN($D113)&gt;0,COUNT(AC$1:AC112)+1,"")</f>
        <v/>
      </c>
      <c r="AD113" s="24" t="str">
        <f aca="false">IF(LEN($E113)&gt;0,COUNT(AD$1:AD112)+1,"")</f>
        <v/>
      </c>
      <c r="AE113" s="24" t="str">
        <f aca="false">IF(LEN($F113)&gt;0,COUNT(AE$1:AE112)+1,"")</f>
        <v/>
      </c>
    </row>
    <row r="114" customFormat="false" ht="22.5" hidden="false" customHeight="true" outlineLevel="0" collapsed="false">
      <c r="A114" s="18" t="n">
        <f aca="false">IF(B114="","",ROW()-2)</f>
        <v>112</v>
      </c>
      <c r="B114" s="17" t="s">
        <v>1698</v>
      </c>
      <c r="C114" s="19" t="s">
        <v>54</v>
      </c>
      <c r="D114" s="19"/>
      <c r="E114" s="19"/>
      <c r="F114" s="19"/>
      <c r="G114" s="18" t="s">
        <v>13</v>
      </c>
      <c r="H114" s="20" t="s">
        <v>1699</v>
      </c>
      <c r="I114" s="21" t="s">
        <v>1700</v>
      </c>
      <c r="J114" s="20" t="s">
        <v>1701</v>
      </c>
      <c r="K114" s="20" t="s">
        <v>1702</v>
      </c>
      <c r="L114" s="20" t="s">
        <v>1703</v>
      </c>
      <c r="M114" s="21" t="s">
        <v>1704</v>
      </c>
      <c r="N114" s="25" t="s">
        <v>1705</v>
      </c>
      <c r="O114" s="21" t="s">
        <v>1700</v>
      </c>
      <c r="P114" s="21" t="s">
        <v>628</v>
      </c>
      <c r="Q114" s="21" t="s">
        <v>79</v>
      </c>
      <c r="R114" s="20" t="s">
        <v>1701</v>
      </c>
      <c r="S114" s="20" t="s">
        <v>1706</v>
      </c>
      <c r="T114" s="20" t="s">
        <v>1707</v>
      </c>
      <c r="U114" s="21" t="s">
        <v>1708</v>
      </c>
      <c r="V114" s="21" t="s">
        <v>1709</v>
      </c>
      <c r="W114" s="21" t="s">
        <v>1710</v>
      </c>
      <c r="X114" s="20" t="s">
        <v>1701</v>
      </c>
      <c r="Y114" s="20" t="s">
        <v>1711</v>
      </c>
      <c r="Z114" s="20" t="s">
        <v>1712</v>
      </c>
      <c r="AA114" s="23" t="s">
        <v>87</v>
      </c>
      <c r="AB114" s="24" t="n">
        <f aca="false">IF(LEN($C114)&gt;0,COUNT(AB$1:AB113)+1,"")</f>
        <v>9</v>
      </c>
      <c r="AC114" s="24" t="str">
        <f aca="false">IF(LEN($D114)&gt;0,COUNT(AC$1:AC113)+1,"")</f>
        <v/>
      </c>
      <c r="AD114" s="24" t="str">
        <f aca="false">IF(LEN($E114)&gt;0,COUNT(AD$1:AD113)+1,"")</f>
        <v/>
      </c>
      <c r="AE114" s="24" t="str">
        <f aca="false">IF(LEN($F114)&gt;0,COUNT(AE$1:AE113)+1,"")</f>
        <v/>
      </c>
    </row>
    <row r="115" customFormat="false" ht="22.5" hidden="false" customHeight="true" outlineLevel="0" collapsed="false">
      <c r="A115" s="18" t="n">
        <f aca="false">IF(B115="","",ROW()-2)</f>
        <v>113</v>
      </c>
      <c r="B115" s="17" t="s">
        <v>1713</v>
      </c>
      <c r="C115" s="19" t="s">
        <v>54</v>
      </c>
      <c r="D115" s="19"/>
      <c r="E115" s="19"/>
      <c r="F115" s="19"/>
      <c r="G115" s="18" t="s">
        <v>13</v>
      </c>
      <c r="H115" s="20" t="s">
        <v>1714</v>
      </c>
      <c r="I115" s="21" t="s">
        <v>1715</v>
      </c>
      <c r="J115" s="20" t="s">
        <v>1716</v>
      </c>
      <c r="K115" s="20" t="s">
        <v>1717</v>
      </c>
      <c r="L115" s="20" t="s">
        <v>1718</v>
      </c>
      <c r="M115" s="21" t="s">
        <v>1719</v>
      </c>
      <c r="N115" s="25" t="s">
        <v>1720</v>
      </c>
      <c r="O115" s="21" t="s">
        <v>1715</v>
      </c>
      <c r="P115" s="20" t="s">
        <v>286</v>
      </c>
      <c r="Q115" s="21" t="s">
        <v>63</v>
      </c>
      <c r="R115" s="20" t="s">
        <v>1716</v>
      </c>
      <c r="S115" s="20" t="s">
        <v>1721</v>
      </c>
      <c r="T115" s="20" t="s">
        <v>1716</v>
      </c>
      <c r="U115" s="21" t="s">
        <v>1722</v>
      </c>
      <c r="V115" s="21" t="s">
        <v>1723</v>
      </c>
      <c r="W115" s="21" t="s">
        <v>306</v>
      </c>
      <c r="X115" s="20" t="s">
        <v>1724</v>
      </c>
      <c r="Y115" s="20" t="s">
        <v>1721</v>
      </c>
      <c r="Z115" s="20" t="s">
        <v>1725</v>
      </c>
      <c r="AA115" s="23"/>
      <c r="AB115" s="24" t="n">
        <f aca="false">IF(LEN($C115)&gt;0,COUNT(AB$1:AB114)+1,"")</f>
        <v>10</v>
      </c>
      <c r="AC115" s="24" t="str">
        <f aca="false">IF(LEN($D115)&gt;0,COUNT(AC$1:AC114)+1,"")</f>
        <v/>
      </c>
      <c r="AD115" s="24" t="str">
        <f aca="false">IF(LEN($E115)&gt;0,COUNT(AD$1:AD114)+1,"")</f>
        <v/>
      </c>
      <c r="AE115" s="24" t="str">
        <f aca="false">IF(LEN($F115)&gt;0,COUNT(AE$1:AE114)+1,"")</f>
        <v/>
      </c>
    </row>
    <row r="116" customFormat="false" ht="33.75" hidden="false" customHeight="true" outlineLevel="0" collapsed="false">
      <c r="A116" s="18" t="n">
        <f aca="false">IF(B116="","",ROW()-2)</f>
        <v>114</v>
      </c>
      <c r="B116" s="18" t="s">
        <v>1726</v>
      </c>
      <c r="C116" s="19" t="s">
        <v>54</v>
      </c>
      <c r="D116" s="19"/>
      <c r="E116" s="19"/>
      <c r="F116" s="19"/>
      <c r="G116" s="18" t="s">
        <v>13</v>
      </c>
      <c r="H116" s="20" t="s">
        <v>1727</v>
      </c>
      <c r="I116" s="21" t="s">
        <v>1728</v>
      </c>
      <c r="J116" s="20" t="s">
        <v>1729</v>
      </c>
      <c r="K116" s="20" t="s">
        <v>1730</v>
      </c>
      <c r="L116" s="20" t="s">
        <v>1731</v>
      </c>
      <c r="M116" s="21" t="s">
        <v>1732</v>
      </c>
      <c r="N116" s="22" t="s">
        <v>1733</v>
      </c>
      <c r="O116" s="21" t="s">
        <v>1734</v>
      </c>
      <c r="P116" s="20" t="s">
        <v>1735</v>
      </c>
      <c r="Q116" s="21" t="s">
        <v>1736</v>
      </c>
      <c r="R116" s="20" t="s">
        <v>1737</v>
      </c>
      <c r="S116" s="20" t="s">
        <v>1738</v>
      </c>
      <c r="T116" s="20" t="s">
        <v>1739</v>
      </c>
      <c r="U116" s="21" t="s">
        <v>1740</v>
      </c>
      <c r="V116" s="20" t="s">
        <v>1735</v>
      </c>
      <c r="W116" s="21" t="s">
        <v>1741</v>
      </c>
      <c r="X116" s="20" t="s">
        <v>1737</v>
      </c>
      <c r="Y116" s="20" t="s">
        <v>1731</v>
      </c>
      <c r="Z116" s="20" t="s">
        <v>1742</v>
      </c>
      <c r="AA116" s="23" t="s">
        <v>87</v>
      </c>
      <c r="AB116" s="24" t="n">
        <f aca="false">IF(LEN($C116)&gt;0,COUNT(AB$1:AB115)+1,"")</f>
        <v>11</v>
      </c>
      <c r="AC116" s="24" t="str">
        <f aca="false">IF(LEN($D116)&gt;0,COUNT(AC$1:AC115)+1,"")</f>
        <v/>
      </c>
      <c r="AD116" s="24" t="str">
        <f aca="false">IF(LEN($E116)&gt;0,COUNT(AD$1:AD115)+1,"")</f>
        <v/>
      </c>
      <c r="AE116" s="24" t="str">
        <f aca="false">IF(LEN($F116)&gt;0,COUNT(AE$1:AE115)+1,"")</f>
        <v/>
      </c>
    </row>
    <row r="117" customFormat="false" ht="33.75" hidden="false" customHeight="true" outlineLevel="0" collapsed="false">
      <c r="A117" s="18" t="n">
        <f aca="false">IF(B117="","",ROW()-2)</f>
        <v>115</v>
      </c>
      <c r="B117" s="17" t="s">
        <v>1743</v>
      </c>
      <c r="C117" s="19" t="s">
        <v>54</v>
      </c>
      <c r="D117" s="19" t="s">
        <v>54</v>
      </c>
      <c r="E117" s="19" t="s">
        <v>54</v>
      </c>
      <c r="F117" s="19"/>
      <c r="G117" s="18" t="s">
        <v>13</v>
      </c>
      <c r="H117" s="20" t="s">
        <v>1744</v>
      </c>
      <c r="I117" s="21" t="s">
        <v>1745</v>
      </c>
      <c r="J117" s="20" t="s">
        <v>1746</v>
      </c>
      <c r="K117" s="20" t="s">
        <v>1747</v>
      </c>
      <c r="L117" s="20" t="s">
        <v>1748</v>
      </c>
      <c r="M117" s="21" t="s">
        <v>1749</v>
      </c>
      <c r="N117" s="22" t="s">
        <v>1750</v>
      </c>
      <c r="O117" s="21" t="s">
        <v>1745</v>
      </c>
      <c r="P117" s="21" t="s">
        <v>63</v>
      </c>
      <c r="Q117" s="21" t="s">
        <v>63</v>
      </c>
      <c r="R117" s="20" t="s">
        <v>1746</v>
      </c>
      <c r="S117" s="20" t="s">
        <v>1751</v>
      </c>
      <c r="T117" s="20" t="s">
        <v>1752</v>
      </c>
      <c r="U117" s="21" t="s">
        <v>1753</v>
      </c>
      <c r="V117" s="21" t="s">
        <v>997</v>
      </c>
      <c r="W117" s="21" t="s">
        <v>306</v>
      </c>
      <c r="X117" s="20" t="s">
        <v>1746</v>
      </c>
      <c r="Y117" s="20" t="s">
        <v>1754</v>
      </c>
      <c r="Z117" s="20" t="s">
        <v>1755</v>
      </c>
      <c r="AA117" s="23"/>
      <c r="AB117" s="24" t="n">
        <f aca="false">IF(LEN($C117)&gt;0,COUNT(AB$1:AB116)+1,"")</f>
        <v>12</v>
      </c>
      <c r="AC117" s="24" t="n">
        <f aca="false">IF(LEN($D117)&gt;0,COUNT(AC$1:AC116)+1,"")</f>
        <v>111</v>
      </c>
      <c r="AD117" s="24" t="n">
        <f aca="false">IF(LEN($E117)&gt;0,COUNT(AD$1:AD116)+1,"")</f>
        <v>10</v>
      </c>
      <c r="AE117" s="24" t="str">
        <f aca="false">IF(LEN($F117)&gt;0,COUNT(AE$1:AE116)+1,"")</f>
        <v/>
      </c>
    </row>
    <row r="118" customFormat="false" ht="22.5" hidden="false" customHeight="true" outlineLevel="0" collapsed="false">
      <c r="A118" s="18" t="n">
        <f aca="false">IF(B118="","",ROW()-2)</f>
        <v>116</v>
      </c>
      <c r="B118" s="18" t="s">
        <v>1756</v>
      </c>
      <c r="C118" s="19" t="s">
        <v>54</v>
      </c>
      <c r="D118" s="19"/>
      <c r="E118" s="19"/>
      <c r="F118" s="19"/>
      <c r="G118" s="18" t="s">
        <v>13</v>
      </c>
      <c r="H118" s="20" t="s">
        <v>1757</v>
      </c>
      <c r="I118" s="21" t="s">
        <v>1758</v>
      </c>
      <c r="J118" s="20" t="s">
        <v>1759</v>
      </c>
      <c r="K118" s="20" t="s">
        <v>1760</v>
      </c>
      <c r="L118" s="20" t="s">
        <v>1761</v>
      </c>
      <c r="M118" s="21" t="s">
        <v>1762</v>
      </c>
      <c r="N118" s="22" t="s">
        <v>1763</v>
      </c>
      <c r="O118" s="21" t="s">
        <v>1764</v>
      </c>
      <c r="P118" s="21" t="s">
        <v>1765</v>
      </c>
      <c r="Q118" s="21" t="s">
        <v>68</v>
      </c>
      <c r="R118" s="20" t="s">
        <v>1759</v>
      </c>
      <c r="S118" s="20" t="s">
        <v>1766</v>
      </c>
      <c r="T118" s="20" t="s">
        <v>1759</v>
      </c>
      <c r="U118" s="21" t="s">
        <v>1767</v>
      </c>
      <c r="V118" s="21" t="s">
        <v>1768</v>
      </c>
      <c r="W118" s="21" t="s">
        <v>238</v>
      </c>
      <c r="X118" s="20" t="s">
        <v>1759</v>
      </c>
      <c r="Y118" s="20" t="s">
        <v>1766</v>
      </c>
      <c r="Z118" s="20" t="s">
        <v>1759</v>
      </c>
      <c r="AA118" s="23" t="s">
        <v>87</v>
      </c>
      <c r="AB118" s="24" t="n">
        <f aca="false">IF(LEN($C118)&gt;0,COUNT(AB$1:AB117)+1,"")</f>
        <v>13</v>
      </c>
      <c r="AC118" s="24" t="str">
        <f aca="false">IF(LEN($D118)&gt;0,COUNT(AC$1:AC117)+1,"")</f>
        <v/>
      </c>
      <c r="AD118" s="24" t="str">
        <f aca="false">IF(LEN($E118)&gt;0,COUNT(AD$1:AD117)+1,"")</f>
        <v/>
      </c>
      <c r="AE118" s="24" t="str">
        <f aca="false">IF(LEN($F118)&gt;0,COUNT(AE$1:AE117)+1,"")</f>
        <v/>
      </c>
    </row>
    <row r="119" customFormat="false" ht="22.5" hidden="false" customHeight="true" outlineLevel="0" collapsed="false">
      <c r="A119" s="18" t="n">
        <f aca="false">IF(B119="","",ROW()-2)</f>
        <v>117</v>
      </c>
      <c r="B119" s="18" t="s">
        <v>1769</v>
      </c>
      <c r="C119" s="19" t="s">
        <v>54</v>
      </c>
      <c r="D119" s="19"/>
      <c r="E119" s="19"/>
      <c r="F119" s="19"/>
      <c r="G119" s="18" t="s">
        <v>13</v>
      </c>
      <c r="H119" s="20" t="s">
        <v>1770</v>
      </c>
      <c r="I119" s="21" t="s">
        <v>1771</v>
      </c>
      <c r="J119" s="20" t="s">
        <v>1772</v>
      </c>
      <c r="K119" s="20" t="s">
        <v>1773</v>
      </c>
      <c r="L119" s="20" t="s">
        <v>1774</v>
      </c>
      <c r="M119" s="21" t="s">
        <v>1775</v>
      </c>
      <c r="N119" s="25" t="s">
        <v>1776</v>
      </c>
      <c r="O119" s="21" t="s">
        <v>1777</v>
      </c>
      <c r="P119" s="21" t="s">
        <v>1778</v>
      </c>
      <c r="Q119" s="21" t="s">
        <v>306</v>
      </c>
      <c r="R119" s="20" t="s">
        <v>1772</v>
      </c>
      <c r="S119" s="20" t="s">
        <v>1779</v>
      </c>
      <c r="T119" s="20" t="s">
        <v>1780</v>
      </c>
      <c r="U119" s="21" t="s">
        <v>1781</v>
      </c>
      <c r="V119" s="21" t="s">
        <v>1778</v>
      </c>
      <c r="W119" s="21" t="s">
        <v>1131</v>
      </c>
      <c r="X119" s="20" t="s">
        <v>1782</v>
      </c>
      <c r="Y119" s="20" t="s">
        <v>1783</v>
      </c>
      <c r="Z119" s="20" t="s">
        <v>1782</v>
      </c>
      <c r="AA119" s="23" t="s">
        <v>87</v>
      </c>
      <c r="AB119" s="24" t="n">
        <f aca="false">IF(LEN($C119)&gt;0,COUNT(AB$1:AB118)+1,"")</f>
        <v>14</v>
      </c>
      <c r="AC119" s="24" t="str">
        <f aca="false">IF(LEN($D119)&gt;0,COUNT(AC$1:AC118)+1,"")</f>
        <v/>
      </c>
      <c r="AD119" s="24" t="str">
        <f aca="false">IF(LEN($E119)&gt;0,COUNT(AD$1:AD118)+1,"")</f>
        <v/>
      </c>
      <c r="AE119" s="24" t="str">
        <f aca="false">IF(LEN($F119)&gt;0,COUNT(AE$1:AE118)+1,"")</f>
        <v/>
      </c>
    </row>
    <row r="120" customFormat="false" ht="22.5" hidden="false" customHeight="true" outlineLevel="0" collapsed="false">
      <c r="A120" s="18" t="n">
        <f aca="false">IF(B120="","",ROW()-2)</f>
        <v>118</v>
      </c>
      <c r="B120" s="18" t="s">
        <v>1784</v>
      </c>
      <c r="C120" s="19" t="s">
        <v>54</v>
      </c>
      <c r="D120" s="19"/>
      <c r="E120" s="19"/>
      <c r="F120" s="19"/>
      <c r="G120" s="18" t="s">
        <v>13</v>
      </c>
      <c r="H120" s="20" t="s">
        <v>1785</v>
      </c>
      <c r="I120" s="21" t="s">
        <v>1786</v>
      </c>
      <c r="J120" s="20" t="s">
        <v>1787</v>
      </c>
      <c r="K120" s="20" t="s">
        <v>1788</v>
      </c>
      <c r="L120" s="20" t="s">
        <v>1789</v>
      </c>
      <c r="M120" s="21" t="s">
        <v>1790</v>
      </c>
      <c r="N120" s="25" t="s">
        <v>1791</v>
      </c>
      <c r="O120" s="21" t="s">
        <v>1792</v>
      </c>
      <c r="P120" s="21" t="s">
        <v>1793</v>
      </c>
      <c r="Q120" s="21" t="s">
        <v>1793</v>
      </c>
      <c r="R120" s="20" t="s">
        <v>1787</v>
      </c>
      <c r="S120" s="20" t="s">
        <v>1794</v>
      </c>
      <c r="T120" s="20" t="s">
        <v>1795</v>
      </c>
      <c r="U120" s="21" t="s">
        <v>1796</v>
      </c>
      <c r="V120" s="21" t="s">
        <v>442</v>
      </c>
      <c r="W120" s="21" t="s">
        <v>306</v>
      </c>
      <c r="X120" s="20" t="s">
        <v>1797</v>
      </c>
      <c r="Y120" s="20" t="s">
        <v>1798</v>
      </c>
      <c r="Z120" s="20" t="s">
        <v>1799</v>
      </c>
      <c r="AA120" s="23" t="s">
        <v>87</v>
      </c>
      <c r="AB120" s="24" t="n">
        <f aca="false">IF(LEN($C120)&gt;0,COUNT(AB$1:AB119)+1,"")</f>
        <v>15</v>
      </c>
      <c r="AC120" s="24" t="str">
        <f aca="false">IF(LEN($D120)&gt;0,COUNT(AC$1:AC119)+1,"")</f>
        <v/>
      </c>
      <c r="AD120" s="24" t="str">
        <f aca="false">IF(LEN($E120)&gt;0,COUNT(AD$1:AD119)+1,"")</f>
        <v/>
      </c>
      <c r="AE120" s="24" t="str">
        <f aca="false">IF(LEN($F120)&gt;0,COUNT(AE$1:AE119)+1,"")</f>
        <v/>
      </c>
    </row>
    <row r="121" customFormat="false" ht="22.5" hidden="false" customHeight="true" outlineLevel="0" collapsed="false">
      <c r="A121" s="18" t="n">
        <f aca="false">IF(B121="","",ROW()-2)</f>
        <v>119</v>
      </c>
      <c r="B121" s="18" t="s">
        <v>1800</v>
      </c>
      <c r="C121" s="19" t="s">
        <v>54</v>
      </c>
      <c r="D121" s="19"/>
      <c r="E121" s="19"/>
      <c r="F121" s="19"/>
      <c r="G121" s="18" t="s">
        <v>13</v>
      </c>
      <c r="H121" s="20" t="s">
        <v>1801</v>
      </c>
      <c r="I121" s="21" t="s">
        <v>1802</v>
      </c>
      <c r="J121" s="20" t="s">
        <v>1803</v>
      </c>
      <c r="K121" s="20" t="s">
        <v>1804</v>
      </c>
      <c r="L121" s="20" t="s">
        <v>1805</v>
      </c>
      <c r="M121" s="21" t="s">
        <v>1806</v>
      </c>
      <c r="N121" s="25" t="s">
        <v>1807</v>
      </c>
      <c r="O121" s="21" t="s">
        <v>1802</v>
      </c>
      <c r="P121" s="21" t="s">
        <v>1808</v>
      </c>
      <c r="Q121" s="21" t="s">
        <v>1809</v>
      </c>
      <c r="R121" s="20" t="s">
        <v>1803</v>
      </c>
      <c r="S121" s="20" t="s">
        <v>1810</v>
      </c>
      <c r="T121" s="20" t="s">
        <v>1811</v>
      </c>
      <c r="U121" s="21" t="s">
        <v>1812</v>
      </c>
      <c r="V121" s="20" t="s">
        <v>1813</v>
      </c>
      <c r="W121" s="21" t="s">
        <v>1814</v>
      </c>
      <c r="X121" s="20" t="s">
        <v>1803</v>
      </c>
      <c r="Y121" s="20" t="s">
        <v>1815</v>
      </c>
      <c r="Z121" s="20" t="s">
        <v>1816</v>
      </c>
      <c r="AA121" s="23"/>
      <c r="AB121" s="24" t="n">
        <f aca="false">IF(LEN($C121)&gt;0,COUNT(AB$1:AB120)+1,"")</f>
        <v>16</v>
      </c>
      <c r="AC121" s="24" t="str">
        <f aca="false">IF(LEN($D121)&gt;0,COUNT(AC$1:AC120)+1,"")</f>
        <v/>
      </c>
      <c r="AD121" s="24" t="str">
        <f aca="false">IF(LEN($E121)&gt;0,COUNT(AD$1:AD120)+1,"")</f>
        <v/>
      </c>
      <c r="AE121" s="24" t="str">
        <f aca="false">IF(LEN($F121)&gt;0,COUNT(AE$1:AE120)+1,"")</f>
        <v/>
      </c>
    </row>
    <row r="122" customFormat="false" ht="22.5" hidden="false" customHeight="true" outlineLevel="0" collapsed="false">
      <c r="A122" s="18" t="n">
        <f aca="false">IF(B122="","",ROW()-2)</f>
        <v>120</v>
      </c>
      <c r="B122" s="17" t="s">
        <v>1817</v>
      </c>
      <c r="C122" s="19" t="s">
        <v>54</v>
      </c>
      <c r="D122" s="19"/>
      <c r="E122" s="19"/>
      <c r="F122" s="19"/>
      <c r="G122" s="18" t="s">
        <v>13</v>
      </c>
      <c r="H122" s="20" t="s">
        <v>1818</v>
      </c>
      <c r="I122" s="21" t="s">
        <v>1819</v>
      </c>
      <c r="J122" s="20" t="s">
        <v>1820</v>
      </c>
      <c r="K122" s="20" t="s">
        <v>1821</v>
      </c>
      <c r="L122" s="20" t="s">
        <v>1822</v>
      </c>
      <c r="M122" s="21" t="s">
        <v>1823</v>
      </c>
      <c r="N122" s="25" t="s">
        <v>1824</v>
      </c>
      <c r="O122" s="21" t="s">
        <v>1825</v>
      </c>
      <c r="P122" s="21" t="s">
        <v>1641</v>
      </c>
      <c r="Q122" s="21" t="s">
        <v>1826</v>
      </c>
      <c r="R122" s="20" t="s">
        <v>1820</v>
      </c>
      <c r="S122" s="20" t="s">
        <v>1827</v>
      </c>
      <c r="T122" s="20" t="s">
        <v>1828</v>
      </c>
      <c r="U122" s="21" t="s">
        <v>1829</v>
      </c>
      <c r="V122" s="20" t="s">
        <v>1830</v>
      </c>
      <c r="W122" s="21" t="s">
        <v>306</v>
      </c>
      <c r="X122" s="20" t="s">
        <v>1831</v>
      </c>
      <c r="Y122" s="20" t="s">
        <v>1832</v>
      </c>
      <c r="Z122" s="20" t="s">
        <v>1831</v>
      </c>
      <c r="AA122" s="23"/>
      <c r="AB122" s="24" t="n">
        <f aca="false">IF(LEN($C122)&gt;0,COUNT(AB$1:AB121)+1,"")</f>
        <v>17</v>
      </c>
      <c r="AC122" s="24" t="str">
        <f aca="false">IF(LEN($D122)&gt;0,COUNT(AC$1:AC121)+1,"")</f>
        <v/>
      </c>
      <c r="AD122" s="24" t="str">
        <f aca="false">IF(LEN($E122)&gt;0,COUNT(AD$1:AD121)+1,"")</f>
        <v/>
      </c>
      <c r="AE122" s="24" t="str">
        <f aca="false">IF(LEN($F122)&gt;0,COUNT(AE$1:AE121)+1,"")</f>
        <v/>
      </c>
    </row>
    <row r="123" customFormat="false" ht="33.75" hidden="false" customHeight="true" outlineLevel="0" collapsed="false">
      <c r="A123" s="18" t="n">
        <f aca="false">IF(B123="","",ROW()-2)</f>
        <v>121</v>
      </c>
      <c r="B123" s="17" t="s">
        <v>1833</v>
      </c>
      <c r="C123" s="19" t="s">
        <v>54</v>
      </c>
      <c r="D123" s="19"/>
      <c r="E123" s="19"/>
      <c r="F123" s="19"/>
      <c r="G123" s="18" t="s">
        <v>13</v>
      </c>
      <c r="H123" s="20" t="s">
        <v>1834</v>
      </c>
      <c r="I123" s="21" t="s">
        <v>1835</v>
      </c>
      <c r="J123" s="20" t="s">
        <v>1836</v>
      </c>
      <c r="K123" s="20" t="s">
        <v>1837</v>
      </c>
      <c r="L123" s="20" t="s">
        <v>1838</v>
      </c>
      <c r="M123" s="21" t="s">
        <v>1839</v>
      </c>
      <c r="N123" s="25" t="s">
        <v>1840</v>
      </c>
      <c r="O123" s="21" t="s">
        <v>1835</v>
      </c>
      <c r="P123" s="21" t="s">
        <v>63</v>
      </c>
      <c r="Q123" s="21" t="s">
        <v>63</v>
      </c>
      <c r="R123" s="20" t="s">
        <v>1841</v>
      </c>
      <c r="S123" s="20" t="s">
        <v>1842</v>
      </c>
      <c r="T123" s="20" t="s">
        <v>1836</v>
      </c>
      <c r="U123" s="21" t="s">
        <v>1835</v>
      </c>
      <c r="V123" s="21" t="s">
        <v>63</v>
      </c>
      <c r="W123" s="21" t="s">
        <v>63</v>
      </c>
      <c r="X123" s="20" t="s">
        <v>1841</v>
      </c>
      <c r="Y123" s="20" t="s">
        <v>1842</v>
      </c>
      <c r="Z123" s="20" t="s">
        <v>1836</v>
      </c>
      <c r="AA123" s="23" t="s">
        <v>87</v>
      </c>
      <c r="AB123" s="24" t="n">
        <f aca="false">IF(LEN($C123)&gt;0,COUNT(AB$1:AB122)+1,"")</f>
        <v>18</v>
      </c>
      <c r="AC123" s="24" t="str">
        <f aca="false">IF(LEN($D123)&gt;0,COUNT(AC$1:AC122)+1,"")</f>
        <v/>
      </c>
      <c r="AD123" s="24" t="str">
        <f aca="false">IF(LEN($E123)&gt;0,COUNT(AD$1:AD122)+1,"")</f>
        <v/>
      </c>
      <c r="AE123" s="24" t="str">
        <f aca="false">IF(LEN($F123)&gt;0,COUNT(AE$1:AE122)+1,"")</f>
        <v/>
      </c>
    </row>
    <row r="124" customFormat="false" ht="22.5" hidden="false" customHeight="true" outlineLevel="0" collapsed="false">
      <c r="A124" s="18" t="n">
        <f aca="false">IF(B124="","",ROW()-2)</f>
        <v>122</v>
      </c>
      <c r="B124" s="17" t="s">
        <v>1843</v>
      </c>
      <c r="C124" s="19" t="s">
        <v>54</v>
      </c>
      <c r="D124" s="19"/>
      <c r="E124" s="19"/>
      <c r="F124" s="19"/>
      <c r="G124" s="18" t="s">
        <v>13</v>
      </c>
      <c r="H124" s="20" t="s">
        <v>1844</v>
      </c>
      <c r="I124" s="21" t="s">
        <v>1845</v>
      </c>
      <c r="J124" s="28" t="n">
        <v>10262389494</v>
      </c>
      <c r="K124" s="20" t="s">
        <v>1846</v>
      </c>
      <c r="L124" s="20" t="s">
        <v>1847</v>
      </c>
      <c r="M124" s="21" t="s">
        <v>1848</v>
      </c>
      <c r="N124" s="22" t="s">
        <v>1849</v>
      </c>
      <c r="O124" s="21" t="s">
        <v>1850</v>
      </c>
      <c r="P124" s="20" t="s">
        <v>1851</v>
      </c>
      <c r="Q124" s="21" t="s">
        <v>993</v>
      </c>
      <c r="R124" s="28" t="s">
        <v>1852</v>
      </c>
      <c r="S124" s="20" t="s">
        <v>1853</v>
      </c>
      <c r="T124" s="28" t="s">
        <v>1854</v>
      </c>
      <c r="U124" s="21" t="s">
        <v>1855</v>
      </c>
      <c r="V124" s="20" t="s">
        <v>1851</v>
      </c>
      <c r="W124" s="21" t="s">
        <v>601</v>
      </c>
      <c r="X124" s="20" t="s">
        <v>1856</v>
      </c>
      <c r="Y124" s="20" t="s">
        <v>1857</v>
      </c>
      <c r="Z124" s="20" t="s">
        <v>1856</v>
      </c>
      <c r="AA124" s="23"/>
      <c r="AB124" s="24" t="n">
        <f aca="false">IF(LEN($C124)&gt;0,COUNT(AB$1:AB123)+1,"")</f>
        <v>19</v>
      </c>
      <c r="AC124" s="24" t="str">
        <f aca="false">IF(LEN($D124)&gt;0,COUNT(AC$1:AC123)+1,"")</f>
        <v/>
      </c>
      <c r="AD124" s="24" t="str">
        <f aca="false">IF(LEN($E124)&gt;0,COUNT(AD$1:AD123)+1,"")</f>
        <v/>
      </c>
      <c r="AE124" s="24" t="str">
        <f aca="false">IF(LEN($F124)&gt;0,COUNT(AE$1:AE123)+1,"")</f>
        <v/>
      </c>
    </row>
    <row r="125" customFormat="false" ht="22.5" hidden="false" customHeight="true" outlineLevel="0" collapsed="false">
      <c r="A125" s="18" t="n">
        <f aca="false">IF(B125="","",ROW()-2)</f>
        <v>123</v>
      </c>
      <c r="B125" s="17" t="s">
        <v>1858</v>
      </c>
      <c r="C125" s="19" t="s">
        <v>54</v>
      </c>
      <c r="D125" s="19"/>
      <c r="E125" s="19"/>
      <c r="F125" s="19"/>
      <c r="G125" s="18" t="s">
        <v>13</v>
      </c>
      <c r="H125" s="20" t="s">
        <v>1859</v>
      </c>
      <c r="I125" s="21" t="s">
        <v>1860</v>
      </c>
      <c r="J125" s="20" t="s">
        <v>1861</v>
      </c>
      <c r="K125" s="20" t="s">
        <v>1862</v>
      </c>
      <c r="L125" s="20" t="s">
        <v>1863</v>
      </c>
      <c r="M125" s="21" t="s">
        <v>1864</v>
      </c>
      <c r="N125" s="22" t="s">
        <v>1865</v>
      </c>
      <c r="O125" s="21" t="s">
        <v>1860</v>
      </c>
      <c r="P125" s="21" t="s">
        <v>1866</v>
      </c>
      <c r="Q125" s="21" t="s">
        <v>79</v>
      </c>
      <c r="R125" s="20" t="s">
        <v>1867</v>
      </c>
      <c r="S125" s="20" t="s">
        <v>1868</v>
      </c>
      <c r="T125" s="20" t="s">
        <v>1861</v>
      </c>
      <c r="U125" s="21" t="s">
        <v>1869</v>
      </c>
      <c r="V125" s="21" t="s">
        <v>1768</v>
      </c>
      <c r="W125" s="21" t="s">
        <v>1493</v>
      </c>
      <c r="X125" s="20" t="s">
        <v>1867</v>
      </c>
      <c r="Y125" s="20" t="s">
        <v>1870</v>
      </c>
      <c r="Z125" s="20" t="s">
        <v>1871</v>
      </c>
      <c r="AA125" s="23"/>
      <c r="AB125" s="24" t="n">
        <f aca="false">IF(LEN($C125)&gt;0,COUNT(AB$1:AB124)+1,"")</f>
        <v>20</v>
      </c>
      <c r="AC125" s="24" t="str">
        <f aca="false">IF(LEN($D125)&gt;0,COUNT(AC$1:AC124)+1,"")</f>
        <v/>
      </c>
      <c r="AD125" s="24" t="str">
        <f aca="false">IF(LEN($E125)&gt;0,COUNT(AD$1:AD124)+1,"")</f>
        <v/>
      </c>
      <c r="AE125" s="24" t="str">
        <f aca="false">IF(LEN($F125)&gt;0,COUNT(AE$1:AE124)+1,"")</f>
        <v/>
      </c>
    </row>
    <row r="126" customFormat="false" ht="22.5" hidden="false" customHeight="true" outlineLevel="0" collapsed="false">
      <c r="A126" s="18" t="n">
        <f aca="false">IF(B126="","",ROW()-2)</f>
        <v>124</v>
      </c>
      <c r="B126" s="18" t="s">
        <v>1872</v>
      </c>
      <c r="C126" s="19" t="s">
        <v>54</v>
      </c>
      <c r="D126" s="19"/>
      <c r="E126" s="19"/>
      <c r="F126" s="19"/>
      <c r="G126" s="18" t="s">
        <v>13</v>
      </c>
      <c r="H126" s="20" t="s">
        <v>1873</v>
      </c>
      <c r="I126" s="21" t="s">
        <v>1874</v>
      </c>
      <c r="J126" s="20" t="s">
        <v>1875</v>
      </c>
      <c r="K126" s="20" t="s">
        <v>1876</v>
      </c>
      <c r="L126" s="20" t="s">
        <v>1877</v>
      </c>
      <c r="M126" s="21" t="s">
        <v>1878</v>
      </c>
      <c r="N126" s="22" t="s">
        <v>1879</v>
      </c>
      <c r="O126" s="21" t="s">
        <v>1880</v>
      </c>
      <c r="P126" s="20" t="s">
        <v>1881</v>
      </c>
      <c r="Q126" s="21" t="s">
        <v>601</v>
      </c>
      <c r="R126" s="20" t="s">
        <v>1882</v>
      </c>
      <c r="S126" s="20" t="s">
        <v>1883</v>
      </c>
      <c r="T126" s="20" t="s">
        <v>1884</v>
      </c>
      <c r="U126" s="21" t="s">
        <v>1885</v>
      </c>
      <c r="V126" s="20" t="s">
        <v>1881</v>
      </c>
      <c r="W126" s="21" t="s">
        <v>157</v>
      </c>
      <c r="X126" s="20" t="s">
        <v>1882</v>
      </c>
      <c r="Y126" s="20" t="s">
        <v>1886</v>
      </c>
      <c r="Z126" s="20" t="s">
        <v>1887</v>
      </c>
      <c r="AA126" s="23"/>
      <c r="AB126" s="24" t="n">
        <f aca="false">IF(LEN($C126)&gt;0,COUNT(AB$1:AB125)+1,"")</f>
        <v>21</v>
      </c>
      <c r="AC126" s="24" t="str">
        <f aca="false">IF(LEN($D126)&gt;0,COUNT(AC$1:AC125)+1,"")</f>
        <v/>
      </c>
      <c r="AD126" s="24" t="str">
        <f aca="false">IF(LEN($E126)&gt;0,COUNT(AD$1:AD125)+1,"")</f>
        <v/>
      </c>
      <c r="AE126" s="24" t="str">
        <f aca="false">IF(LEN($F126)&gt;0,COUNT(AE$1:AE125)+1,"")</f>
        <v/>
      </c>
    </row>
    <row r="127" customFormat="false" ht="47.25" hidden="false" customHeight="true" outlineLevel="0" collapsed="false">
      <c r="A127" s="18" t="n">
        <f aca="false">IF(B127="","",ROW()-2)</f>
        <v>125</v>
      </c>
      <c r="B127" s="18" t="s">
        <v>1888</v>
      </c>
      <c r="C127" s="19" t="s">
        <v>54</v>
      </c>
      <c r="D127" s="19"/>
      <c r="E127" s="19"/>
      <c r="F127" s="19"/>
      <c r="G127" s="18" t="s">
        <v>13</v>
      </c>
      <c r="H127" s="20" t="s">
        <v>1889</v>
      </c>
      <c r="I127" s="21" t="s">
        <v>1890</v>
      </c>
      <c r="J127" s="20" t="s">
        <v>1891</v>
      </c>
      <c r="K127" s="20" t="s">
        <v>1892</v>
      </c>
      <c r="L127" s="20" t="s">
        <v>1893</v>
      </c>
      <c r="M127" s="21" t="s">
        <v>1894</v>
      </c>
      <c r="N127" s="25" t="s">
        <v>1895</v>
      </c>
      <c r="O127" s="21" t="s">
        <v>1896</v>
      </c>
      <c r="P127" s="20" t="s">
        <v>1426</v>
      </c>
      <c r="Q127" s="21" t="s">
        <v>1897</v>
      </c>
      <c r="R127" s="20" t="s">
        <v>1898</v>
      </c>
      <c r="S127" s="20" t="s">
        <v>1899</v>
      </c>
      <c r="T127" s="20" t="s">
        <v>1898</v>
      </c>
      <c r="U127" s="21" t="s">
        <v>1900</v>
      </c>
      <c r="V127" s="21" t="s">
        <v>1901</v>
      </c>
      <c r="W127" s="21" t="s">
        <v>765</v>
      </c>
      <c r="X127" s="20" t="s">
        <v>1902</v>
      </c>
      <c r="Y127" s="20" t="s">
        <v>1903</v>
      </c>
      <c r="Z127" s="20" t="s">
        <v>1902</v>
      </c>
      <c r="AA127" s="23"/>
      <c r="AB127" s="24" t="n">
        <f aca="false">IF(LEN($C127)&gt;0,COUNT(AB$1:AB126)+1,"")</f>
        <v>22</v>
      </c>
      <c r="AC127" s="24" t="str">
        <f aca="false">IF(LEN($D127)&gt;0,COUNT(AC$1:AC126)+1,"")</f>
        <v/>
      </c>
      <c r="AD127" s="24" t="str">
        <f aca="false">IF(LEN($E127)&gt;0,COUNT(AD$1:AD126)+1,"")</f>
        <v/>
      </c>
      <c r="AE127" s="24" t="str">
        <f aca="false">IF(LEN($F127)&gt;0,COUNT(AE$1:AE126)+1,"")</f>
        <v/>
      </c>
    </row>
    <row r="128" customFormat="false" ht="22.5" hidden="false" customHeight="true" outlineLevel="0" collapsed="false">
      <c r="A128" s="18" t="n">
        <f aca="false">IF(B128="","",ROW()-2)</f>
        <v>126</v>
      </c>
      <c r="B128" s="17" t="s">
        <v>1904</v>
      </c>
      <c r="C128" s="19" t="s">
        <v>54</v>
      </c>
      <c r="D128" s="19"/>
      <c r="E128" s="19"/>
      <c r="F128" s="19"/>
      <c r="G128" s="18" t="s">
        <v>13</v>
      </c>
      <c r="H128" s="20" t="s">
        <v>1905</v>
      </c>
      <c r="I128" s="21" t="s">
        <v>1906</v>
      </c>
      <c r="J128" s="20" t="s">
        <v>1907</v>
      </c>
      <c r="K128" s="20" t="s">
        <v>1908</v>
      </c>
      <c r="L128" s="20" t="s">
        <v>1909</v>
      </c>
      <c r="M128" s="21" t="s">
        <v>1910</v>
      </c>
      <c r="N128" s="22" t="s">
        <v>1911</v>
      </c>
      <c r="O128" s="21" t="s">
        <v>1906</v>
      </c>
      <c r="P128" s="21" t="s">
        <v>121</v>
      </c>
      <c r="Q128" s="21" t="s">
        <v>79</v>
      </c>
      <c r="R128" s="20" t="s">
        <v>1907</v>
      </c>
      <c r="S128" s="20" t="s">
        <v>1909</v>
      </c>
      <c r="T128" s="20" t="s">
        <v>1907</v>
      </c>
      <c r="U128" s="21" t="s">
        <v>1912</v>
      </c>
      <c r="V128" s="21" t="s">
        <v>1913</v>
      </c>
      <c r="W128" s="21" t="s">
        <v>306</v>
      </c>
      <c r="X128" s="20" t="s">
        <v>1914</v>
      </c>
      <c r="Y128" s="20" t="s">
        <v>1915</v>
      </c>
      <c r="Z128" s="20" t="s">
        <v>1914</v>
      </c>
      <c r="AA128" s="23" t="s">
        <v>87</v>
      </c>
      <c r="AB128" s="24" t="n">
        <f aca="false">IF(LEN($C128)&gt;0,COUNT(AB$1:AB127)+1,"")</f>
        <v>23</v>
      </c>
      <c r="AC128" s="24" t="str">
        <f aca="false">IF(LEN($D128)&gt;0,COUNT(AC$1:AC127)+1,"")</f>
        <v/>
      </c>
      <c r="AD128" s="24" t="str">
        <f aca="false">IF(LEN($E128)&gt;0,COUNT(AD$1:AD127)+1,"")</f>
        <v/>
      </c>
      <c r="AE128" s="24" t="str">
        <f aca="false">IF(LEN($F128)&gt;0,COUNT(AE$1:AE127)+1,"")</f>
        <v/>
      </c>
    </row>
    <row r="129" customFormat="false" ht="33.75" hidden="false" customHeight="true" outlineLevel="0" collapsed="false">
      <c r="A129" s="18" t="n">
        <f aca="false">IF(B129="","",ROW()-2)</f>
        <v>127</v>
      </c>
      <c r="B129" s="18" t="s">
        <v>1916</v>
      </c>
      <c r="C129" s="19" t="s">
        <v>54</v>
      </c>
      <c r="D129" s="19"/>
      <c r="E129" s="19"/>
      <c r="F129" s="19"/>
      <c r="G129" s="18" t="s">
        <v>13</v>
      </c>
      <c r="H129" s="20" t="s">
        <v>1917</v>
      </c>
      <c r="I129" s="21" t="s">
        <v>1918</v>
      </c>
      <c r="J129" s="20" t="s">
        <v>1919</v>
      </c>
      <c r="K129" s="20" t="s">
        <v>1920</v>
      </c>
      <c r="L129" s="20" t="s">
        <v>1921</v>
      </c>
      <c r="M129" s="21" t="s">
        <v>1922</v>
      </c>
      <c r="N129" s="22" t="s">
        <v>1923</v>
      </c>
      <c r="O129" s="21" t="s">
        <v>1918</v>
      </c>
      <c r="P129" s="21" t="s">
        <v>63</v>
      </c>
      <c r="Q129" s="21" t="s">
        <v>63</v>
      </c>
      <c r="R129" s="20" t="s">
        <v>1924</v>
      </c>
      <c r="S129" s="20" t="s">
        <v>1925</v>
      </c>
      <c r="T129" s="20" t="s">
        <v>1926</v>
      </c>
      <c r="U129" s="21" t="s">
        <v>1927</v>
      </c>
      <c r="V129" s="21" t="s">
        <v>1928</v>
      </c>
      <c r="W129" s="21" t="s">
        <v>1929</v>
      </c>
      <c r="X129" s="20" t="s">
        <v>1930</v>
      </c>
      <c r="Y129" s="20" t="s">
        <v>1921</v>
      </c>
      <c r="Z129" s="20" t="s">
        <v>1931</v>
      </c>
      <c r="AA129" s="23"/>
      <c r="AB129" s="24" t="n">
        <f aca="false">IF(LEN($C129)&gt;0,COUNT(AB$1:AB128)+1,"")</f>
        <v>24</v>
      </c>
      <c r="AC129" s="24" t="str">
        <f aca="false">IF(LEN($D129)&gt;0,COUNT(AC$1:AC128)+1,"")</f>
        <v/>
      </c>
      <c r="AD129" s="24" t="str">
        <f aca="false">IF(LEN($E129)&gt;0,COUNT(AD$1:AD128)+1,"")</f>
        <v/>
      </c>
      <c r="AE129" s="24" t="str">
        <f aca="false">IF(LEN($F129)&gt;0,COUNT(AE$1:AE128)+1,"")</f>
        <v/>
      </c>
    </row>
    <row r="130" customFormat="false" ht="33.75" hidden="false" customHeight="true" outlineLevel="0" collapsed="false">
      <c r="A130" s="18" t="n">
        <f aca="false">IF(B130="","",ROW()-2)</f>
        <v>128</v>
      </c>
      <c r="B130" s="18" t="s">
        <v>1932</v>
      </c>
      <c r="C130" s="19" t="s">
        <v>54</v>
      </c>
      <c r="D130" s="19"/>
      <c r="E130" s="19"/>
      <c r="F130" s="19"/>
      <c r="G130" s="18" t="s">
        <v>13</v>
      </c>
      <c r="H130" s="20" t="s">
        <v>1933</v>
      </c>
      <c r="I130" s="21" t="s">
        <v>1934</v>
      </c>
      <c r="J130" s="20" t="s">
        <v>1935</v>
      </c>
      <c r="K130" s="20" t="s">
        <v>1936</v>
      </c>
      <c r="L130" s="20" t="s">
        <v>1937</v>
      </c>
      <c r="M130" s="21" t="s">
        <v>1938</v>
      </c>
      <c r="N130" s="22" t="s">
        <v>1939</v>
      </c>
      <c r="O130" s="21" t="s">
        <v>1934</v>
      </c>
      <c r="P130" s="21" t="s">
        <v>1940</v>
      </c>
      <c r="Q130" s="21" t="s">
        <v>63</v>
      </c>
      <c r="R130" s="20" t="s">
        <v>1941</v>
      </c>
      <c r="S130" s="20" t="s">
        <v>1942</v>
      </c>
      <c r="T130" s="20" t="s">
        <v>1941</v>
      </c>
      <c r="U130" s="21" t="s">
        <v>1943</v>
      </c>
      <c r="V130" s="21" t="s">
        <v>1944</v>
      </c>
      <c r="W130" s="21" t="s">
        <v>68</v>
      </c>
      <c r="X130" s="20" t="s">
        <v>1945</v>
      </c>
      <c r="Y130" s="20" t="s">
        <v>1946</v>
      </c>
      <c r="Z130" s="20" t="s">
        <v>1945</v>
      </c>
      <c r="AA130" s="23"/>
      <c r="AB130" s="24" t="n">
        <f aca="false">IF(LEN($C130)&gt;0,COUNT(AB$1:AB129)+1,"")</f>
        <v>25</v>
      </c>
      <c r="AC130" s="24" t="str">
        <f aca="false">IF(LEN($D130)&gt;0,COUNT(AC$1:AC129)+1,"")</f>
        <v/>
      </c>
      <c r="AD130" s="24" t="str">
        <f aca="false">IF(LEN($E130)&gt;0,COUNT(AD$1:AD129)+1,"")</f>
        <v/>
      </c>
      <c r="AE130" s="24" t="str">
        <f aca="false">IF(LEN($F130)&gt;0,COUNT(AE$1:AE129)+1,"")</f>
        <v/>
      </c>
    </row>
    <row r="131" customFormat="false" ht="33.75" hidden="false" customHeight="true" outlineLevel="0" collapsed="false">
      <c r="A131" s="18" t="n">
        <f aca="false">IF(B131="","",ROW()-2)</f>
        <v>129</v>
      </c>
      <c r="B131" s="17" t="s">
        <v>1947</v>
      </c>
      <c r="C131" s="19" t="s">
        <v>54</v>
      </c>
      <c r="D131" s="19"/>
      <c r="E131" s="19"/>
      <c r="F131" s="19"/>
      <c r="G131" s="18" t="s">
        <v>13</v>
      </c>
      <c r="H131" s="20" t="s">
        <v>1948</v>
      </c>
      <c r="I131" s="21" t="s">
        <v>1949</v>
      </c>
      <c r="J131" s="20" t="s">
        <v>1950</v>
      </c>
      <c r="K131" s="20" t="s">
        <v>1951</v>
      </c>
      <c r="L131" s="20" t="s">
        <v>1952</v>
      </c>
      <c r="M131" s="21" t="s">
        <v>1953</v>
      </c>
      <c r="N131" s="22" t="s">
        <v>1954</v>
      </c>
      <c r="O131" s="21" t="s">
        <v>1949</v>
      </c>
      <c r="P131" s="21" t="s">
        <v>1955</v>
      </c>
      <c r="Q131" s="21" t="s">
        <v>63</v>
      </c>
      <c r="R131" s="20" t="s">
        <v>1950</v>
      </c>
      <c r="S131" s="20" t="s">
        <v>1956</v>
      </c>
      <c r="T131" s="20" t="s">
        <v>1950</v>
      </c>
      <c r="U131" s="21" t="s">
        <v>1949</v>
      </c>
      <c r="V131" s="21" t="s">
        <v>1955</v>
      </c>
      <c r="W131" s="21" t="s">
        <v>63</v>
      </c>
      <c r="X131" s="20" t="s">
        <v>1950</v>
      </c>
      <c r="Y131" s="20" t="s">
        <v>1956</v>
      </c>
      <c r="Z131" s="20" t="s">
        <v>1950</v>
      </c>
      <c r="AA131" s="23" t="s">
        <v>87</v>
      </c>
      <c r="AB131" s="24" t="n">
        <f aca="false">IF(LEN($C131)&gt;0,COUNT(AB$1:AB130)+1,"")</f>
        <v>26</v>
      </c>
      <c r="AC131" s="24" t="str">
        <f aca="false">IF(LEN($D131)&gt;0,COUNT(AC$1:AC130)+1,"")</f>
        <v/>
      </c>
      <c r="AD131" s="24" t="str">
        <f aca="false">IF(LEN($E131)&gt;0,COUNT(AD$1:AD130)+1,"")</f>
        <v/>
      </c>
      <c r="AE131" s="24" t="str">
        <f aca="false">IF(LEN($F131)&gt;0,COUNT(AE$1:AE130)+1,"")</f>
        <v/>
      </c>
    </row>
    <row r="132" customFormat="false" ht="22.5" hidden="false" customHeight="true" outlineLevel="0" collapsed="false">
      <c r="A132" s="18" t="n">
        <f aca="false">IF(B132="","",ROW()-2)</f>
        <v>130</v>
      </c>
      <c r="B132" s="17" t="s">
        <v>1957</v>
      </c>
      <c r="C132" s="19" t="s">
        <v>54</v>
      </c>
      <c r="D132" s="19"/>
      <c r="E132" s="19"/>
      <c r="F132" s="19"/>
      <c r="G132" s="18" t="s">
        <v>13</v>
      </c>
      <c r="H132" s="20" t="s">
        <v>1958</v>
      </c>
      <c r="I132" s="21" t="s">
        <v>1959</v>
      </c>
      <c r="J132" s="20" t="s">
        <v>1960</v>
      </c>
      <c r="K132" s="21" t="s">
        <v>1961</v>
      </c>
      <c r="L132" s="20" t="s">
        <v>1962</v>
      </c>
      <c r="M132" s="21" t="s">
        <v>1963</v>
      </c>
      <c r="N132" s="22" t="s">
        <v>1964</v>
      </c>
      <c r="O132" s="21" t="s">
        <v>1959</v>
      </c>
      <c r="P132" s="21" t="s">
        <v>63</v>
      </c>
      <c r="Q132" s="21" t="s">
        <v>1965</v>
      </c>
      <c r="R132" s="20" t="s">
        <v>1960</v>
      </c>
      <c r="S132" s="20" t="s">
        <v>1966</v>
      </c>
      <c r="T132" s="20" t="s">
        <v>1960</v>
      </c>
      <c r="U132" s="21" t="s">
        <v>1959</v>
      </c>
      <c r="V132" s="21" t="s">
        <v>1967</v>
      </c>
      <c r="W132" s="21" t="s">
        <v>211</v>
      </c>
      <c r="X132" s="20" t="s">
        <v>1960</v>
      </c>
      <c r="Y132" s="20" t="s">
        <v>1966</v>
      </c>
      <c r="Z132" s="20" t="s">
        <v>1960</v>
      </c>
      <c r="AA132" s="23" t="s">
        <v>87</v>
      </c>
      <c r="AB132" s="24" t="n">
        <f aca="false">IF(LEN($C132)&gt;0,COUNT(AB$1:AB131)+1,"")</f>
        <v>27</v>
      </c>
      <c r="AC132" s="24" t="str">
        <f aca="false">IF(LEN($D132)&gt;0,COUNT(AC$1:AC131)+1,"")</f>
        <v/>
      </c>
      <c r="AD132" s="24" t="str">
        <f aca="false">IF(LEN($E132)&gt;0,COUNT(AD$1:AD131)+1,"")</f>
        <v/>
      </c>
      <c r="AE132" s="24" t="str">
        <f aca="false">IF(LEN($F132)&gt;0,COUNT(AE$1:AE131)+1,"")</f>
        <v/>
      </c>
    </row>
    <row r="133" customFormat="false" ht="22.5" hidden="false" customHeight="true" outlineLevel="0" collapsed="false">
      <c r="A133" s="18" t="n">
        <f aca="false">IF(B133="","",ROW()-2)</f>
        <v>131</v>
      </c>
      <c r="B133" s="17" t="s">
        <v>1968</v>
      </c>
      <c r="C133" s="19" t="s">
        <v>54</v>
      </c>
      <c r="D133" s="19"/>
      <c r="E133" s="19"/>
      <c r="F133" s="19"/>
      <c r="G133" s="18" t="s">
        <v>13</v>
      </c>
      <c r="H133" s="20" t="s">
        <v>1969</v>
      </c>
      <c r="I133" s="21" t="s">
        <v>1970</v>
      </c>
      <c r="J133" s="20" t="s">
        <v>1971</v>
      </c>
      <c r="K133" s="20" t="s">
        <v>1972</v>
      </c>
      <c r="L133" s="20" t="s">
        <v>1973</v>
      </c>
      <c r="M133" s="21" t="s">
        <v>1974</v>
      </c>
      <c r="N133" s="25" t="s">
        <v>1975</v>
      </c>
      <c r="O133" s="21" t="s">
        <v>1976</v>
      </c>
      <c r="P133" s="21" t="s">
        <v>1977</v>
      </c>
      <c r="Q133" s="21" t="s">
        <v>172</v>
      </c>
      <c r="R133" s="20" t="s">
        <v>1971</v>
      </c>
      <c r="S133" s="20" t="s">
        <v>1978</v>
      </c>
      <c r="T133" s="20" t="s">
        <v>1979</v>
      </c>
      <c r="U133" s="21" t="s">
        <v>1980</v>
      </c>
      <c r="V133" s="20" t="s">
        <v>1981</v>
      </c>
      <c r="W133" s="21" t="s">
        <v>306</v>
      </c>
      <c r="X133" s="20" t="s">
        <v>1971</v>
      </c>
      <c r="Y133" s="20" t="s">
        <v>1982</v>
      </c>
      <c r="Z133" s="20" t="s">
        <v>1983</v>
      </c>
      <c r="AA133" s="23"/>
      <c r="AB133" s="24" t="n">
        <f aca="false">IF(LEN($C133)&gt;0,COUNT(AB$1:AB132)+1,"")</f>
        <v>28</v>
      </c>
      <c r="AC133" s="24" t="str">
        <f aca="false">IF(LEN($D133)&gt;0,COUNT(AC$1:AC132)+1,"")</f>
        <v/>
      </c>
      <c r="AD133" s="24" t="str">
        <f aca="false">IF(LEN($E133)&gt;0,COUNT(AD$1:AD132)+1,"")</f>
        <v/>
      </c>
      <c r="AE133" s="24" t="str">
        <f aca="false">IF(LEN($F133)&gt;0,COUNT(AE$1:AE132)+1,"")</f>
        <v/>
      </c>
    </row>
    <row r="134" customFormat="false" ht="33.75" hidden="false" customHeight="true" outlineLevel="0" collapsed="false">
      <c r="A134" s="18" t="n">
        <f aca="false">IF(B134="","",ROW()-2)</f>
        <v>132</v>
      </c>
      <c r="B134" s="17" t="s">
        <v>1984</v>
      </c>
      <c r="C134" s="19" t="s">
        <v>54</v>
      </c>
      <c r="D134" s="19"/>
      <c r="E134" s="19"/>
      <c r="F134" s="19"/>
      <c r="G134" s="18" t="s">
        <v>13</v>
      </c>
      <c r="H134" s="20" t="s">
        <v>1985</v>
      </c>
      <c r="I134" s="21" t="s">
        <v>1986</v>
      </c>
      <c r="J134" s="20" t="s">
        <v>1987</v>
      </c>
      <c r="K134" s="20" t="s">
        <v>1988</v>
      </c>
      <c r="L134" s="20" t="s">
        <v>1989</v>
      </c>
      <c r="M134" s="21" t="s">
        <v>1990</v>
      </c>
      <c r="N134" s="25" t="s">
        <v>1991</v>
      </c>
      <c r="O134" s="21" t="s">
        <v>1992</v>
      </c>
      <c r="P134" s="21" t="s">
        <v>1993</v>
      </c>
      <c r="Q134" s="21" t="s">
        <v>68</v>
      </c>
      <c r="R134" s="20" t="s">
        <v>1987</v>
      </c>
      <c r="S134" s="20" t="s">
        <v>1994</v>
      </c>
      <c r="T134" s="20" t="s">
        <v>1995</v>
      </c>
      <c r="U134" s="21" t="s">
        <v>1996</v>
      </c>
      <c r="V134" s="21" t="s">
        <v>1993</v>
      </c>
      <c r="W134" s="21" t="s">
        <v>353</v>
      </c>
      <c r="X134" s="20" t="s">
        <v>1987</v>
      </c>
      <c r="Y134" s="20" t="s">
        <v>1997</v>
      </c>
      <c r="Z134" s="20" t="s">
        <v>1998</v>
      </c>
      <c r="AA134" s="23" t="s">
        <v>87</v>
      </c>
      <c r="AB134" s="24" t="n">
        <f aca="false">IF(LEN($C134)&gt;0,COUNT(AB$1:AB133)+1,"")</f>
        <v>29</v>
      </c>
      <c r="AC134" s="24" t="str">
        <f aca="false">IF(LEN($D134)&gt;0,COUNT(AC$1:AC133)+1,"")</f>
        <v/>
      </c>
      <c r="AD134" s="24" t="str">
        <f aca="false">IF(LEN($E134)&gt;0,COUNT(AD$1:AD133)+1,"")</f>
        <v/>
      </c>
      <c r="AE134" s="24" t="str">
        <f aca="false">IF(LEN($F134)&gt;0,COUNT(AE$1:AE133)+1,"")</f>
        <v/>
      </c>
    </row>
    <row r="135" customFormat="false" ht="101.25" hidden="false" customHeight="true" outlineLevel="0" collapsed="false">
      <c r="A135" s="18" t="n">
        <f aca="false">IF(B135="","",ROW()-2)</f>
        <v>133</v>
      </c>
      <c r="B135" s="17" t="s">
        <v>1999</v>
      </c>
      <c r="C135" s="19" t="s">
        <v>54</v>
      </c>
      <c r="D135" s="19"/>
      <c r="E135" s="19" t="s">
        <v>54</v>
      </c>
      <c r="F135" s="19" t="s">
        <v>54</v>
      </c>
      <c r="G135" s="18" t="s">
        <v>13</v>
      </c>
      <c r="H135" s="20" t="s">
        <v>2000</v>
      </c>
      <c r="I135" s="21" t="s">
        <v>2001</v>
      </c>
      <c r="J135" s="20" t="s">
        <v>2002</v>
      </c>
      <c r="K135" s="20" t="s">
        <v>2003</v>
      </c>
      <c r="L135" s="20" t="s">
        <v>2004</v>
      </c>
      <c r="M135" s="21" t="s">
        <v>2005</v>
      </c>
      <c r="N135" s="22" t="s">
        <v>2006</v>
      </c>
      <c r="O135" s="21" t="s">
        <v>2007</v>
      </c>
      <c r="P135" s="21" t="s">
        <v>2008</v>
      </c>
      <c r="Q135" s="21" t="s">
        <v>211</v>
      </c>
      <c r="R135" s="20" t="s">
        <v>2002</v>
      </c>
      <c r="S135" s="20" t="s">
        <v>2009</v>
      </c>
      <c r="T135" s="20" t="s">
        <v>2010</v>
      </c>
      <c r="U135" s="21" t="s">
        <v>2011</v>
      </c>
      <c r="V135" s="21" t="s">
        <v>933</v>
      </c>
      <c r="W135" s="21" t="s">
        <v>2012</v>
      </c>
      <c r="X135" s="20" t="s">
        <v>2002</v>
      </c>
      <c r="Y135" s="20" t="s">
        <v>2013</v>
      </c>
      <c r="Z135" s="20" t="s">
        <v>2014</v>
      </c>
      <c r="AA135" s="23"/>
      <c r="AB135" s="24" t="n">
        <f aca="false">IF(LEN($C135)&gt;0,COUNT(AB$1:AB134)+1,"")</f>
        <v>30</v>
      </c>
      <c r="AC135" s="24" t="str">
        <f aca="false">IF(LEN($D135)&gt;0,COUNT(AC$1:AC134)+1,"")</f>
        <v/>
      </c>
      <c r="AD135" s="24" t="n">
        <f aca="false">IF(LEN($E135)&gt;0,COUNT(AD$1:AD134)+1,"")</f>
        <v>11</v>
      </c>
      <c r="AE135" s="24" t="n">
        <f aca="false">IF(LEN($F135)&gt;0,COUNT(AE$1:AE134)+1,"")</f>
        <v>3</v>
      </c>
    </row>
    <row r="136" customFormat="false" ht="22.5" hidden="false" customHeight="true" outlineLevel="0" collapsed="false">
      <c r="A136" s="18" t="n">
        <f aca="false">IF(B136="","",ROW()-2)</f>
        <v>134</v>
      </c>
      <c r="B136" s="18" t="s">
        <v>2015</v>
      </c>
      <c r="C136" s="19" t="s">
        <v>54</v>
      </c>
      <c r="D136" s="19"/>
      <c r="E136" s="19"/>
      <c r="F136" s="19"/>
      <c r="G136" s="18" t="s">
        <v>14</v>
      </c>
      <c r="H136" s="20" t="s">
        <v>2016</v>
      </c>
      <c r="I136" s="21" t="s">
        <v>2017</v>
      </c>
      <c r="J136" s="20" t="s">
        <v>2018</v>
      </c>
      <c r="K136" s="20" t="s">
        <v>2019</v>
      </c>
      <c r="L136" s="20" t="s">
        <v>2020</v>
      </c>
      <c r="M136" s="21" t="s">
        <v>2021</v>
      </c>
      <c r="N136" s="25" t="s">
        <v>2022</v>
      </c>
      <c r="O136" s="21" t="s">
        <v>2023</v>
      </c>
      <c r="P136" s="21" t="s">
        <v>2024</v>
      </c>
      <c r="Q136" s="21" t="s">
        <v>2025</v>
      </c>
      <c r="R136" s="20" t="s">
        <v>2026</v>
      </c>
      <c r="S136" s="20" t="s">
        <v>2020</v>
      </c>
      <c r="T136" s="20" t="s">
        <v>2027</v>
      </c>
      <c r="U136" s="21" t="s">
        <v>2028</v>
      </c>
      <c r="V136" s="21" t="s">
        <v>2029</v>
      </c>
      <c r="W136" s="21" t="s">
        <v>306</v>
      </c>
      <c r="X136" s="20" t="s">
        <v>2030</v>
      </c>
      <c r="Y136" s="20" t="s">
        <v>2031</v>
      </c>
      <c r="Z136" s="20" t="s">
        <v>2032</v>
      </c>
      <c r="AA136" s="23"/>
      <c r="AB136" s="24" t="n">
        <f aca="false">IF(LEN($C136)&gt;0,COUNT(AB$1:AB135)+1,"")</f>
        <v>31</v>
      </c>
      <c r="AC136" s="24" t="str">
        <f aca="false">IF(LEN($D136)&gt;0,COUNT(AC$1:AC135)+1,"")</f>
        <v/>
      </c>
      <c r="AD136" s="24" t="str">
        <f aca="false">IF(LEN($E136)&gt;0,COUNT(AD$1:AD135)+1,"")</f>
        <v/>
      </c>
      <c r="AE136" s="24" t="str">
        <f aca="false">IF(LEN($F136)&gt;0,COUNT(AE$1:AE135)+1,"")</f>
        <v/>
      </c>
    </row>
    <row r="137" customFormat="false" ht="33.75" hidden="false" customHeight="true" outlineLevel="0" collapsed="false">
      <c r="A137" s="18" t="n">
        <f aca="false">IF(B137="","",ROW()-2)</f>
        <v>135</v>
      </c>
      <c r="B137" s="17" t="s">
        <v>2033</v>
      </c>
      <c r="C137" s="19" t="s">
        <v>54</v>
      </c>
      <c r="D137" s="19"/>
      <c r="E137" s="19"/>
      <c r="F137" s="19"/>
      <c r="G137" s="18" t="s">
        <v>13</v>
      </c>
      <c r="H137" s="20" t="s">
        <v>2034</v>
      </c>
      <c r="I137" s="21" t="s">
        <v>2035</v>
      </c>
      <c r="J137" s="20" t="s">
        <v>2036</v>
      </c>
      <c r="K137" s="20" t="s">
        <v>2037</v>
      </c>
      <c r="L137" s="20" t="s">
        <v>2038</v>
      </c>
      <c r="M137" s="21" t="s">
        <v>2039</v>
      </c>
      <c r="N137" s="25" t="s">
        <v>2040</v>
      </c>
      <c r="O137" s="21" t="s">
        <v>1397</v>
      </c>
      <c r="P137" s="21" t="s">
        <v>2041</v>
      </c>
      <c r="Q137" s="21" t="s">
        <v>198</v>
      </c>
      <c r="R137" s="20" t="s">
        <v>2042</v>
      </c>
      <c r="S137" s="20" t="s">
        <v>2043</v>
      </c>
      <c r="T137" s="20" t="s">
        <v>2042</v>
      </c>
      <c r="U137" s="21" t="s">
        <v>2044</v>
      </c>
      <c r="V137" s="21" t="s">
        <v>2041</v>
      </c>
      <c r="W137" s="21" t="s">
        <v>274</v>
      </c>
      <c r="X137" s="20" t="s">
        <v>2045</v>
      </c>
      <c r="Y137" s="20" t="s">
        <v>2046</v>
      </c>
      <c r="Z137" s="20" t="s">
        <v>2045</v>
      </c>
      <c r="AA137" s="23"/>
      <c r="AB137" s="24" t="n">
        <f aca="false">IF(LEN($C137)&gt;0,COUNT(AB$1:AB136)+1,"")</f>
        <v>32</v>
      </c>
      <c r="AC137" s="24" t="str">
        <f aca="false">IF(LEN($D137)&gt;0,COUNT(AC$1:AC136)+1,"")</f>
        <v/>
      </c>
      <c r="AD137" s="24" t="str">
        <f aca="false">IF(LEN($E137)&gt;0,COUNT(AD$1:AD136)+1,"")</f>
        <v/>
      </c>
      <c r="AE137" s="24" t="str">
        <f aca="false">IF(LEN($F137)&gt;0,COUNT(AE$1:AE136)+1,"")</f>
        <v/>
      </c>
    </row>
    <row r="138" customFormat="false" ht="22.5" hidden="false" customHeight="true" outlineLevel="0" collapsed="false">
      <c r="A138" s="18" t="n">
        <f aca="false">IF(B138="","",ROW()-2)</f>
        <v>136</v>
      </c>
      <c r="B138" s="17" t="s">
        <v>2047</v>
      </c>
      <c r="C138" s="19" t="s">
        <v>54</v>
      </c>
      <c r="D138" s="19" t="s">
        <v>54</v>
      </c>
      <c r="E138" s="19" t="s">
        <v>54</v>
      </c>
      <c r="F138" s="19"/>
      <c r="G138" s="18" t="s">
        <v>13</v>
      </c>
      <c r="H138" s="20" t="s">
        <v>2048</v>
      </c>
      <c r="I138" s="21" t="s">
        <v>2049</v>
      </c>
      <c r="J138" s="20" t="s">
        <v>2050</v>
      </c>
      <c r="K138" s="20" t="s">
        <v>2051</v>
      </c>
      <c r="L138" s="20" t="s">
        <v>2052</v>
      </c>
      <c r="M138" s="21" t="s">
        <v>2053</v>
      </c>
      <c r="N138" s="22" t="s">
        <v>2054</v>
      </c>
      <c r="O138" s="21" t="s">
        <v>2049</v>
      </c>
      <c r="P138" s="21" t="s">
        <v>569</v>
      </c>
      <c r="Q138" s="21" t="s">
        <v>63</v>
      </c>
      <c r="R138" s="20" t="s">
        <v>2050</v>
      </c>
      <c r="S138" s="20" t="s">
        <v>2055</v>
      </c>
      <c r="T138" s="20" t="s">
        <v>2056</v>
      </c>
      <c r="U138" s="21" t="s">
        <v>2057</v>
      </c>
      <c r="V138" s="21" t="s">
        <v>2058</v>
      </c>
      <c r="W138" s="21" t="s">
        <v>601</v>
      </c>
      <c r="X138" s="20" t="s">
        <v>2050</v>
      </c>
      <c r="Y138" s="20" t="s">
        <v>2059</v>
      </c>
      <c r="Z138" s="20" t="s">
        <v>2060</v>
      </c>
      <c r="AA138" s="23"/>
      <c r="AB138" s="24" t="n">
        <f aca="false">IF(LEN($C138)&gt;0,COUNT(AB$1:AB137)+1,"")</f>
        <v>33</v>
      </c>
      <c r="AC138" s="24" t="n">
        <f aca="false">IF(LEN($D138)&gt;0,COUNT(AC$1:AC137)+1,"")</f>
        <v>112</v>
      </c>
      <c r="AD138" s="24" t="n">
        <f aca="false">IF(LEN($E138)&gt;0,COUNT(AD$1:AD137)+1,"")</f>
        <v>12</v>
      </c>
      <c r="AE138" s="24" t="str">
        <f aca="false">IF(LEN($F138)&gt;0,COUNT(AE$1:AE137)+1,"")</f>
        <v/>
      </c>
    </row>
    <row r="139" customFormat="false" ht="22.5" hidden="false" customHeight="true" outlineLevel="0" collapsed="false">
      <c r="A139" s="18" t="n">
        <f aca="false">IF(B139="","",ROW()-2)</f>
        <v>137</v>
      </c>
      <c r="B139" s="17" t="s">
        <v>2061</v>
      </c>
      <c r="C139" s="19" t="s">
        <v>54</v>
      </c>
      <c r="D139" s="19"/>
      <c r="E139" s="19"/>
      <c r="F139" s="19"/>
      <c r="G139" s="18" t="s">
        <v>13</v>
      </c>
      <c r="H139" s="20" t="s">
        <v>2062</v>
      </c>
      <c r="I139" s="21" t="s">
        <v>2063</v>
      </c>
      <c r="J139" s="20" t="s">
        <v>2064</v>
      </c>
      <c r="K139" s="20" t="s">
        <v>2065</v>
      </c>
      <c r="L139" s="20" t="s">
        <v>2066</v>
      </c>
      <c r="M139" s="21" t="s">
        <v>2067</v>
      </c>
      <c r="N139" s="25" t="s">
        <v>2068</v>
      </c>
      <c r="O139" s="21" t="s">
        <v>2069</v>
      </c>
      <c r="P139" s="21" t="s">
        <v>1058</v>
      </c>
      <c r="Q139" s="21" t="s">
        <v>68</v>
      </c>
      <c r="R139" s="20" t="s">
        <v>2070</v>
      </c>
      <c r="S139" s="20" t="s">
        <v>2071</v>
      </c>
      <c r="T139" s="20" t="s">
        <v>2070</v>
      </c>
      <c r="U139" s="21" t="s">
        <v>2072</v>
      </c>
      <c r="V139" s="21" t="s">
        <v>1058</v>
      </c>
      <c r="W139" s="21" t="s">
        <v>306</v>
      </c>
      <c r="X139" s="20" t="s">
        <v>2073</v>
      </c>
      <c r="Y139" s="20" t="s">
        <v>2074</v>
      </c>
      <c r="Z139" s="20" t="s">
        <v>2073</v>
      </c>
      <c r="AA139" s="23" t="s">
        <v>87</v>
      </c>
      <c r="AB139" s="24" t="n">
        <f aca="false">IF(LEN($C139)&gt;0,COUNT(AB$1:AB138)+1,"")</f>
        <v>34</v>
      </c>
      <c r="AC139" s="24" t="str">
        <f aca="false">IF(LEN($D139)&gt;0,COUNT(AC$1:AC138)+1,"")</f>
        <v/>
      </c>
      <c r="AD139" s="24" t="str">
        <f aca="false">IF(LEN($E139)&gt;0,COUNT(AD$1:AD138)+1,"")</f>
        <v/>
      </c>
      <c r="AE139" s="24" t="str">
        <f aca="false">IF(LEN($F139)&gt;0,COUNT(AE$1:AE138)+1,"")</f>
        <v/>
      </c>
    </row>
    <row r="140" customFormat="false" ht="33.75" hidden="false" customHeight="true" outlineLevel="0" collapsed="false">
      <c r="A140" s="18" t="n">
        <f aca="false">IF(B140="","",ROW()-2)</f>
        <v>138</v>
      </c>
      <c r="B140" s="17" t="s">
        <v>2075</v>
      </c>
      <c r="C140" s="19" t="s">
        <v>54</v>
      </c>
      <c r="D140" s="19"/>
      <c r="E140" s="19"/>
      <c r="F140" s="19"/>
      <c r="G140" s="18" t="s">
        <v>13</v>
      </c>
      <c r="H140" s="20" t="s">
        <v>2076</v>
      </c>
      <c r="I140" s="21" t="s">
        <v>2077</v>
      </c>
      <c r="J140" s="20" t="s">
        <v>2078</v>
      </c>
      <c r="K140" s="20" t="s">
        <v>2079</v>
      </c>
      <c r="L140" s="20" t="s">
        <v>2080</v>
      </c>
      <c r="M140" s="21" t="s">
        <v>2081</v>
      </c>
      <c r="N140" s="22" t="s">
        <v>2082</v>
      </c>
      <c r="O140" s="21" t="s">
        <v>2083</v>
      </c>
      <c r="P140" s="20" t="s">
        <v>2084</v>
      </c>
      <c r="Q140" s="21" t="s">
        <v>993</v>
      </c>
      <c r="R140" s="20" t="s">
        <v>2078</v>
      </c>
      <c r="S140" s="20" t="s">
        <v>2085</v>
      </c>
      <c r="T140" s="20" t="s">
        <v>2086</v>
      </c>
      <c r="U140" s="21" t="s">
        <v>2087</v>
      </c>
      <c r="V140" s="21" t="s">
        <v>2088</v>
      </c>
      <c r="W140" s="21" t="s">
        <v>1534</v>
      </c>
      <c r="X140" s="20" t="s">
        <v>2078</v>
      </c>
      <c r="Y140" s="20" t="s">
        <v>2089</v>
      </c>
      <c r="Z140" s="20" t="s">
        <v>2090</v>
      </c>
      <c r="AA140" s="23"/>
      <c r="AB140" s="24" t="n">
        <f aca="false">IF(LEN($C140)&gt;0,COUNT(AB$1:AB139)+1,"")</f>
        <v>35</v>
      </c>
      <c r="AC140" s="24" t="str">
        <f aca="false">IF(LEN($D140)&gt;0,COUNT(AC$1:AC139)+1,"")</f>
        <v/>
      </c>
      <c r="AD140" s="24" t="str">
        <f aca="false">IF(LEN($E140)&gt;0,COUNT(AD$1:AD139)+1,"")</f>
        <v/>
      </c>
      <c r="AE140" s="24" t="str">
        <f aca="false">IF(LEN($F140)&gt;0,COUNT(AE$1:AE139)+1,"")</f>
        <v/>
      </c>
    </row>
    <row r="141" customFormat="false" ht="22.5" hidden="false" customHeight="true" outlineLevel="0" collapsed="false">
      <c r="A141" s="18" t="n">
        <f aca="false">IF(B141="","",ROW()-2)</f>
        <v>139</v>
      </c>
      <c r="B141" s="18" t="s">
        <v>2091</v>
      </c>
      <c r="C141" s="19" t="s">
        <v>54</v>
      </c>
      <c r="D141" s="19"/>
      <c r="E141" s="19"/>
      <c r="F141" s="19"/>
      <c r="G141" s="18" t="s">
        <v>13</v>
      </c>
      <c r="H141" s="20" t="s">
        <v>2092</v>
      </c>
      <c r="I141" s="21" t="s">
        <v>2093</v>
      </c>
      <c r="J141" s="20" t="s">
        <v>2094</v>
      </c>
      <c r="K141" s="20" t="s">
        <v>2095</v>
      </c>
      <c r="L141" s="20" t="s">
        <v>2096</v>
      </c>
      <c r="M141" s="21" t="s">
        <v>2097</v>
      </c>
      <c r="N141" s="25" t="s">
        <v>2098</v>
      </c>
      <c r="O141" s="21" t="s">
        <v>2093</v>
      </c>
      <c r="P141" s="20" t="s">
        <v>286</v>
      </c>
      <c r="Q141" s="20" t="s">
        <v>286</v>
      </c>
      <c r="R141" s="20" t="s">
        <v>2094</v>
      </c>
      <c r="S141" s="20" t="s">
        <v>2099</v>
      </c>
      <c r="T141" s="20" t="s">
        <v>2100</v>
      </c>
      <c r="U141" s="21" t="s">
        <v>2101</v>
      </c>
      <c r="V141" s="21" t="s">
        <v>320</v>
      </c>
      <c r="W141" s="20" t="s">
        <v>1651</v>
      </c>
      <c r="X141" s="20" t="s">
        <v>2102</v>
      </c>
      <c r="Y141" s="20" t="s">
        <v>2103</v>
      </c>
      <c r="Z141" s="20" t="s">
        <v>2102</v>
      </c>
      <c r="AA141" s="23"/>
      <c r="AB141" s="24" t="n">
        <f aca="false">IF(LEN($C141)&gt;0,COUNT(AB$1:AB140)+1,"")</f>
        <v>36</v>
      </c>
      <c r="AC141" s="24" t="str">
        <f aca="false">IF(LEN($D141)&gt;0,COUNT(AC$1:AC140)+1,"")</f>
        <v/>
      </c>
      <c r="AD141" s="24" t="str">
        <f aca="false">IF(LEN($E141)&gt;0,COUNT(AD$1:AD140)+1,"")</f>
        <v/>
      </c>
      <c r="AE141" s="24" t="str">
        <f aca="false">IF(LEN($F141)&gt;0,COUNT(AE$1:AE140)+1,"")</f>
        <v/>
      </c>
    </row>
    <row r="142" customFormat="false" ht="33.75" hidden="false" customHeight="true" outlineLevel="0" collapsed="false">
      <c r="A142" s="18" t="n">
        <f aca="false">IF(B142="","",ROW()-2)</f>
        <v>140</v>
      </c>
      <c r="B142" s="18" t="s">
        <v>2104</v>
      </c>
      <c r="C142" s="19" t="s">
        <v>54</v>
      </c>
      <c r="D142" s="19"/>
      <c r="E142" s="19"/>
      <c r="F142" s="19"/>
      <c r="G142" s="18" t="s">
        <v>13</v>
      </c>
      <c r="H142" s="20" t="s">
        <v>2105</v>
      </c>
      <c r="I142" s="21" t="s">
        <v>2106</v>
      </c>
      <c r="J142" s="20" t="s">
        <v>2107</v>
      </c>
      <c r="K142" s="20" t="s">
        <v>2108</v>
      </c>
      <c r="L142" s="20" t="s">
        <v>2109</v>
      </c>
      <c r="M142" s="21" t="s">
        <v>2110</v>
      </c>
      <c r="N142" s="22" t="s">
        <v>2111</v>
      </c>
      <c r="O142" s="21" t="s">
        <v>2106</v>
      </c>
      <c r="P142" s="21" t="s">
        <v>727</v>
      </c>
      <c r="Q142" s="21" t="s">
        <v>63</v>
      </c>
      <c r="R142" s="20" t="s">
        <v>2112</v>
      </c>
      <c r="S142" s="20" t="s">
        <v>2113</v>
      </c>
      <c r="T142" s="20" t="s">
        <v>2112</v>
      </c>
      <c r="U142" s="21" t="s">
        <v>2114</v>
      </c>
      <c r="V142" s="21" t="s">
        <v>320</v>
      </c>
      <c r="W142" s="21" t="s">
        <v>2115</v>
      </c>
      <c r="X142" s="20" t="s">
        <v>2112</v>
      </c>
      <c r="Y142" s="20" t="s">
        <v>2113</v>
      </c>
      <c r="Z142" s="20" t="s">
        <v>2112</v>
      </c>
      <c r="AA142" s="23"/>
      <c r="AB142" s="24" t="n">
        <f aca="false">IF(LEN($C142)&gt;0,COUNT(AB$1:AB141)+1,"")</f>
        <v>37</v>
      </c>
      <c r="AC142" s="24" t="str">
        <f aca="false">IF(LEN($D142)&gt;0,COUNT(AC$1:AC141)+1,"")</f>
        <v/>
      </c>
      <c r="AD142" s="24" t="str">
        <f aca="false">IF(LEN($E142)&gt;0,COUNT(AD$1:AD141)+1,"")</f>
        <v/>
      </c>
      <c r="AE142" s="24" t="str">
        <f aca="false">IF(LEN($F142)&gt;0,COUNT(AE$1:AE141)+1,"")</f>
        <v/>
      </c>
    </row>
    <row r="143" customFormat="false" ht="33.75" hidden="false" customHeight="true" outlineLevel="0" collapsed="false">
      <c r="A143" s="18" t="n">
        <f aca="false">IF(B143="","",ROW()-2)</f>
        <v>141</v>
      </c>
      <c r="B143" s="17" t="s">
        <v>2116</v>
      </c>
      <c r="C143" s="19" t="s">
        <v>54</v>
      </c>
      <c r="D143" s="19"/>
      <c r="E143" s="19"/>
      <c r="F143" s="19"/>
      <c r="G143" s="18" t="s">
        <v>13</v>
      </c>
      <c r="H143" s="20" t="s">
        <v>2117</v>
      </c>
      <c r="I143" s="21" t="s">
        <v>2118</v>
      </c>
      <c r="J143" s="20" t="s">
        <v>2119</v>
      </c>
      <c r="K143" s="20" t="s">
        <v>2120</v>
      </c>
      <c r="L143" s="20" t="s">
        <v>2121</v>
      </c>
      <c r="M143" s="21" t="s">
        <v>2122</v>
      </c>
      <c r="N143" s="22" t="s">
        <v>2123</v>
      </c>
      <c r="O143" s="21" t="s">
        <v>2124</v>
      </c>
      <c r="P143" s="21" t="s">
        <v>1252</v>
      </c>
      <c r="Q143" s="21" t="s">
        <v>68</v>
      </c>
      <c r="R143" s="20" t="s">
        <v>2119</v>
      </c>
      <c r="S143" s="20" t="s">
        <v>2125</v>
      </c>
      <c r="T143" s="20" t="s">
        <v>2126</v>
      </c>
      <c r="U143" s="21" t="s">
        <v>2127</v>
      </c>
      <c r="V143" s="21" t="s">
        <v>1252</v>
      </c>
      <c r="W143" s="21" t="s">
        <v>1131</v>
      </c>
      <c r="X143" s="20" t="s">
        <v>2119</v>
      </c>
      <c r="Y143" s="20" t="s">
        <v>2128</v>
      </c>
      <c r="Z143" s="20" t="s">
        <v>2129</v>
      </c>
      <c r="AA143" s="23"/>
      <c r="AB143" s="24" t="n">
        <f aca="false">IF(LEN($C143)&gt;0,COUNT(AB$1:AB142)+1,"")</f>
        <v>38</v>
      </c>
      <c r="AC143" s="24" t="str">
        <f aca="false">IF(LEN($D143)&gt;0,COUNT(AC$1:AC142)+1,"")</f>
        <v/>
      </c>
      <c r="AD143" s="24" t="str">
        <f aca="false">IF(LEN($E143)&gt;0,COUNT(AD$1:AD142)+1,"")</f>
        <v/>
      </c>
      <c r="AE143" s="24" t="str">
        <f aca="false">IF(LEN($F143)&gt;0,COUNT(AE$1:AE142)+1,"")</f>
        <v/>
      </c>
    </row>
    <row r="144" customFormat="false" ht="33.75" hidden="false" customHeight="true" outlineLevel="0" collapsed="false">
      <c r="A144" s="18" t="n">
        <f aca="false">IF(B144="","",ROW()-2)</f>
        <v>142</v>
      </c>
      <c r="B144" s="18" t="s">
        <v>2130</v>
      </c>
      <c r="C144" s="19" t="s">
        <v>54</v>
      </c>
      <c r="D144" s="19" t="s">
        <v>54</v>
      </c>
      <c r="E144" s="19" t="s">
        <v>54</v>
      </c>
      <c r="F144" s="19" t="s">
        <v>54</v>
      </c>
      <c r="G144" s="18" t="s">
        <v>13</v>
      </c>
      <c r="H144" s="20" t="s">
        <v>2131</v>
      </c>
      <c r="I144" s="21" t="s">
        <v>2132</v>
      </c>
      <c r="J144" s="20" t="s">
        <v>2133</v>
      </c>
      <c r="K144" s="20" t="s">
        <v>2134</v>
      </c>
      <c r="L144" s="20" t="s">
        <v>2135</v>
      </c>
      <c r="M144" s="21" t="s">
        <v>2136</v>
      </c>
      <c r="N144" s="22" t="s">
        <v>2137</v>
      </c>
      <c r="O144" s="21" t="s">
        <v>2132</v>
      </c>
      <c r="P144" s="21" t="s">
        <v>1666</v>
      </c>
      <c r="Q144" s="20" t="s">
        <v>286</v>
      </c>
      <c r="R144" s="20" t="s">
        <v>2138</v>
      </c>
      <c r="S144" s="20" t="s">
        <v>2139</v>
      </c>
      <c r="T144" s="20" t="s">
        <v>2138</v>
      </c>
      <c r="U144" s="21" t="s">
        <v>2140</v>
      </c>
      <c r="V144" s="20" t="s">
        <v>2141</v>
      </c>
      <c r="W144" s="21" t="s">
        <v>1131</v>
      </c>
      <c r="X144" s="20" t="s">
        <v>2142</v>
      </c>
      <c r="Y144" s="20" t="s">
        <v>2143</v>
      </c>
      <c r="Z144" s="20" t="s">
        <v>2142</v>
      </c>
      <c r="AA144" s="23"/>
      <c r="AB144" s="24" t="n">
        <f aca="false">IF(LEN($C144)&gt;0,COUNT(AB$1:AB143)+1,"")</f>
        <v>39</v>
      </c>
      <c r="AC144" s="24" t="n">
        <f aca="false">IF(LEN($D144)&gt;0,COUNT(AC$1:AC143)+1,"")</f>
        <v>113</v>
      </c>
      <c r="AD144" s="24" t="n">
        <f aca="false">IF(LEN($E144)&gt;0,COUNT(AD$1:AD143)+1,"")</f>
        <v>13</v>
      </c>
      <c r="AE144" s="24" t="n">
        <f aca="false">IF(LEN($F144)&gt;0,COUNT(AE$1:AE143)+1,"")</f>
        <v>4</v>
      </c>
    </row>
    <row r="145" customFormat="false" ht="33.75" hidden="false" customHeight="true" outlineLevel="0" collapsed="false">
      <c r="A145" s="18" t="n">
        <f aca="false">IF(B145="","",ROW()-2)</f>
        <v>143</v>
      </c>
      <c r="B145" s="18" t="s">
        <v>2144</v>
      </c>
      <c r="C145" s="19" t="s">
        <v>54</v>
      </c>
      <c r="D145" s="19"/>
      <c r="E145" s="19"/>
      <c r="F145" s="19"/>
      <c r="G145" s="18" t="s">
        <v>13</v>
      </c>
      <c r="H145" s="20" t="s">
        <v>2145</v>
      </c>
      <c r="I145" s="21" t="s">
        <v>2146</v>
      </c>
      <c r="J145" s="20" t="s">
        <v>2147</v>
      </c>
      <c r="K145" s="20" t="s">
        <v>2148</v>
      </c>
      <c r="L145" s="20" t="s">
        <v>2149</v>
      </c>
      <c r="M145" s="21" t="s">
        <v>2150</v>
      </c>
      <c r="N145" s="22" t="s">
        <v>2151</v>
      </c>
      <c r="O145" s="21" t="s">
        <v>2152</v>
      </c>
      <c r="P145" s="20" t="s">
        <v>2141</v>
      </c>
      <c r="Q145" s="21" t="s">
        <v>238</v>
      </c>
      <c r="R145" s="20" t="s">
        <v>2153</v>
      </c>
      <c r="S145" s="20" t="s">
        <v>2154</v>
      </c>
      <c r="T145" s="20" t="s">
        <v>2153</v>
      </c>
      <c r="U145" s="21" t="s">
        <v>2155</v>
      </c>
      <c r="V145" s="20" t="s">
        <v>2141</v>
      </c>
      <c r="W145" s="21" t="s">
        <v>306</v>
      </c>
      <c r="X145" s="20" t="s">
        <v>2156</v>
      </c>
      <c r="Y145" s="20" t="s">
        <v>2149</v>
      </c>
      <c r="Z145" s="20" t="s">
        <v>2156</v>
      </c>
      <c r="AA145" s="23" t="s">
        <v>87</v>
      </c>
      <c r="AB145" s="24" t="n">
        <f aca="false">IF(LEN($C145)&gt;0,COUNT(AB$1:AB144)+1,"")</f>
        <v>40</v>
      </c>
      <c r="AC145" s="24" t="str">
        <f aca="false">IF(LEN($D145)&gt;0,COUNT(AC$1:AC144)+1,"")</f>
        <v/>
      </c>
      <c r="AD145" s="24" t="str">
        <f aca="false">IF(LEN($E145)&gt;0,COUNT(AD$1:AD144)+1,"")</f>
        <v/>
      </c>
      <c r="AE145" s="24" t="str">
        <f aca="false">IF(LEN($F145)&gt;0,COUNT(AE$1:AE144)+1,"")</f>
        <v/>
      </c>
    </row>
    <row r="146" customFormat="false" ht="22.5" hidden="false" customHeight="true" outlineLevel="0" collapsed="false">
      <c r="A146" s="18" t="n">
        <f aca="false">IF(B146="","",ROW()-2)</f>
        <v>144</v>
      </c>
      <c r="B146" s="17" t="s">
        <v>2157</v>
      </c>
      <c r="C146" s="19" t="s">
        <v>54</v>
      </c>
      <c r="D146" s="19"/>
      <c r="E146" s="19"/>
      <c r="F146" s="19"/>
      <c r="G146" s="18" t="s">
        <v>13</v>
      </c>
      <c r="H146" s="20" t="s">
        <v>2158</v>
      </c>
      <c r="I146" s="21" t="s">
        <v>2159</v>
      </c>
      <c r="J146" s="20" t="s">
        <v>2160</v>
      </c>
      <c r="K146" s="20" t="s">
        <v>2161</v>
      </c>
      <c r="L146" s="20" t="s">
        <v>2162</v>
      </c>
      <c r="M146" s="21" t="s">
        <v>2163</v>
      </c>
      <c r="N146" s="22" t="s">
        <v>2164</v>
      </c>
      <c r="O146" s="21" t="s">
        <v>2165</v>
      </c>
      <c r="P146" s="20" t="s">
        <v>62</v>
      </c>
      <c r="Q146" s="20" t="s">
        <v>1456</v>
      </c>
      <c r="R146" s="20" t="s">
        <v>2166</v>
      </c>
      <c r="S146" s="20" t="s">
        <v>2167</v>
      </c>
      <c r="T146" s="20" t="s">
        <v>2168</v>
      </c>
      <c r="U146" s="21" t="s">
        <v>2169</v>
      </c>
      <c r="V146" s="21" t="s">
        <v>2170</v>
      </c>
      <c r="W146" s="21" t="s">
        <v>2171</v>
      </c>
      <c r="X146" s="20" t="s">
        <v>2160</v>
      </c>
      <c r="Y146" s="20" t="s">
        <v>2172</v>
      </c>
      <c r="Z146" s="20" t="s">
        <v>2173</v>
      </c>
      <c r="AA146" s="23" t="s">
        <v>87</v>
      </c>
      <c r="AB146" s="24" t="n">
        <f aca="false">IF(LEN($C146)&gt;0,COUNT(AB$1:AB145)+1,"")</f>
        <v>41</v>
      </c>
      <c r="AC146" s="24" t="str">
        <f aca="false">IF(LEN($D146)&gt;0,COUNT(AC$1:AC145)+1,"")</f>
        <v/>
      </c>
      <c r="AD146" s="24" t="str">
        <f aca="false">IF(LEN($E146)&gt;0,COUNT(AD$1:AD145)+1,"")</f>
        <v/>
      </c>
      <c r="AE146" s="24" t="str">
        <f aca="false">IF(LEN($F146)&gt;0,COUNT(AE$1:AE145)+1,"")</f>
        <v/>
      </c>
    </row>
    <row r="147" customFormat="false" ht="33.75" hidden="false" customHeight="true" outlineLevel="0" collapsed="false">
      <c r="A147" s="18" t="n">
        <f aca="false">IF(B147="","",ROW()-2)</f>
        <v>145</v>
      </c>
      <c r="B147" s="17" t="s">
        <v>2174</v>
      </c>
      <c r="C147" s="19" t="s">
        <v>54</v>
      </c>
      <c r="D147" s="19"/>
      <c r="E147" s="19"/>
      <c r="F147" s="19"/>
      <c r="G147" s="18" t="s">
        <v>13</v>
      </c>
      <c r="H147" s="20" t="s">
        <v>2175</v>
      </c>
      <c r="I147" s="21" t="s">
        <v>2176</v>
      </c>
      <c r="J147" s="20" t="s">
        <v>2177</v>
      </c>
      <c r="K147" s="20" t="s">
        <v>2178</v>
      </c>
      <c r="L147" s="20" t="s">
        <v>2179</v>
      </c>
      <c r="M147" s="21" t="s">
        <v>2180</v>
      </c>
      <c r="N147" s="22" t="s">
        <v>2181</v>
      </c>
      <c r="O147" s="21" t="s">
        <v>2182</v>
      </c>
      <c r="P147" s="20" t="s">
        <v>2183</v>
      </c>
      <c r="Q147" s="21" t="s">
        <v>2184</v>
      </c>
      <c r="R147" s="20" t="s">
        <v>2177</v>
      </c>
      <c r="S147" s="20" t="s">
        <v>2185</v>
      </c>
      <c r="T147" s="20" t="s">
        <v>2186</v>
      </c>
      <c r="U147" s="21" t="s">
        <v>2182</v>
      </c>
      <c r="V147" s="20" t="s">
        <v>2183</v>
      </c>
      <c r="W147" s="21" t="s">
        <v>2184</v>
      </c>
      <c r="X147" s="20" t="s">
        <v>2177</v>
      </c>
      <c r="Y147" s="20" t="s">
        <v>2185</v>
      </c>
      <c r="Z147" s="20" t="s">
        <v>2186</v>
      </c>
      <c r="AA147" s="23"/>
      <c r="AB147" s="24" t="n">
        <f aca="false">IF(LEN($C147)&gt;0,COUNT(AB$1:AB146)+1,"")</f>
        <v>42</v>
      </c>
      <c r="AC147" s="24" t="str">
        <f aca="false">IF(LEN($D147)&gt;0,COUNT(AC$1:AC146)+1,"")</f>
        <v/>
      </c>
      <c r="AD147" s="24" t="str">
        <f aca="false">IF(LEN($E147)&gt;0,COUNT(AD$1:AD146)+1,"")</f>
        <v/>
      </c>
      <c r="AE147" s="24" t="str">
        <f aca="false">IF(LEN($F147)&gt;0,COUNT(AE$1:AE146)+1,"")</f>
        <v/>
      </c>
    </row>
    <row r="148" customFormat="false" ht="22.5" hidden="false" customHeight="true" outlineLevel="0" collapsed="false">
      <c r="A148" s="18" t="n">
        <f aca="false">IF(B148="","",ROW()-2)</f>
        <v>146</v>
      </c>
      <c r="B148" s="17" t="s">
        <v>2187</v>
      </c>
      <c r="C148" s="19" t="s">
        <v>54</v>
      </c>
      <c r="D148" s="19"/>
      <c r="E148" s="19"/>
      <c r="F148" s="19"/>
      <c r="G148" s="18" t="s">
        <v>13</v>
      </c>
      <c r="H148" s="20" t="s">
        <v>2188</v>
      </c>
      <c r="I148" s="21" t="s">
        <v>2189</v>
      </c>
      <c r="J148" s="20" t="s">
        <v>2190</v>
      </c>
      <c r="K148" s="20" t="s">
        <v>2190</v>
      </c>
      <c r="L148" s="20" t="s">
        <v>2191</v>
      </c>
      <c r="M148" s="21" t="s">
        <v>2192</v>
      </c>
      <c r="N148" s="22" t="s">
        <v>2193</v>
      </c>
      <c r="O148" s="21" t="s">
        <v>2194</v>
      </c>
      <c r="P148" s="21" t="s">
        <v>2195</v>
      </c>
      <c r="Q148" s="21" t="s">
        <v>2196</v>
      </c>
      <c r="R148" s="20" t="s">
        <v>2197</v>
      </c>
      <c r="S148" s="20" t="s">
        <v>2191</v>
      </c>
      <c r="T148" s="20" t="s">
        <v>2197</v>
      </c>
      <c r="U148" s="21" t="s">
        <v>2198</v>
      </c>
      <c r="V148" s="20" t="s">
        <v>2199</v>
      </c>
      <c r="W148" s="21" t="s">
        <v>306</v>
      </c>
      <c r="X148" s="20" t="s">
        <v>2190</v>
      </c>
      <c r="Y148" s="20" t="s">
        <v>2200</v>
      </c>
      <c r="Z148" s="20" t="s">
        <v>2201</v>
      </c>
      <c r="AA148" s="23"/>
      <c r="AB148" s="24" t="n">
        <f aca="false">IF(LEN($C148)&gt;0,COUNT(AB$1:AB147)+1,"")</f>
        <v>43</v>
      </c>
      <c r="AC148" s="24" t="str">
        <f aca="false">IF(LEN($D148)&gt;0,COUNT(AC$1:AC147)+1,"")</f>
        <v/>
      </c>
      <c r="AD148" s="24" t="str">
        <f aca="false">IF(LEN($E148)&gt;0,COUNT(AD$1:AD147)+1,"")</f>
        <v/>
      </c>
      <c r="AE148" s="24" t="str">
        <f aca="false">IF(LEN($F148)&gt;0,COUNT(AE$1:AE147)+1,"")</f>
        <v/>
      </c>
    </row>
    <row r="149" customFormat="false" ht="33.75" hidden="false" customHeight="true" outlineLevel="0" collapsed="false">
      <c r="A149" s="18" t="n">
        <f aca="false">IF(B149="","",ROW()-2)</f>
        <v>147</v>
      </c>
      <c r="B149" s="18" t="s">
        <v>2202</v>
      </c>
      <c r="C149" s="19" t="s">
        <v>54</v>
      </c>
      <c r="D149" s="19"/>
      <c r="E149" s="19"/>
      <c r="F149" s="19"/>
      <c r="G149" s="18" t="s">
        <v>13</v>
      </c>
      <c r="H149" s="20" t="s">
        <v>2203</v>
      </c>
      <c r="I149" s="21" t="s">
        <v>2204</v>
      </c>
      <c r="J149" s="20" t="s">
        <v>2205</v>
      </c>
      <c r="K149" s="20" t="s">
        <v>2206</v>
      </c>
      <c r="L149" s="20" t="s">
        <v>2207</v>
      </c>
      <c r="M149" s="21" t="s">
        <v>2208</v>
      </c>
      <c r="N149" s="25" t="s">
        <v>2209</v>
      </c>
      <c r="O149" s="21" t="s">
        <v>2204</v>
      </c>
      <c r="P149" s="21" t="s">
        <v>79</v>
      </c>
      <c r="Q149" s="21" t="s">
        <v>79</v>
      </c>
      <c r="R149" s="20" t="s">
        <v>2210</v>
      </c>
      <c r="S149" s="20" t="s">
        <v>2211</v>
      </c>
      <c r="T149" s="20" t="s">
        <v>2210</v>
      </c>
      <c r="U149" s="21" t="s">
        <v>2212</v>
      </c>
      <c r="V149" s="21" t="s">
        <v>2213</v>
      </c>
      <c r="W149" s="21" t="s">
        <v>68</v>
      </c>
      <c r="X149" s="20" t="s">
        <v>2205</v>
      </c>
      <c r="Y149" s="20" t="s">
        <v>2214</v>
      </c>
      <c r="Z149" s="20" t="s">
        <v>2205</v>
      </c>
      <c r="AA149" s="23" t="s">
        <v>87</v>
      </c>
      <c r="AB149" s="24" t="n">
        <f aca="false">IF(LEN($C149)&gt;0,COUNT(AB$1:AB148)+1,"")</f>
        <v>44</v>
      </c>
      <c r="AC149" s="24" t="str">
        <f aca="false">IF(LEN($D149)&gt;0,COUNT(AC$1:AC148)+1,"")</f>
        <v/>
      </c>
      <c r="AD149" s="24" t="str">
        <f aca="false">IF(LEN($E149)&gt;0,COUNT(AD$1:AD148)+1,"")</f>
        <v/>
      </c>
      <c r="AE149" s="24" t="str">
        <f aca="false">IF(LEN($F149)&gt;0,COUNT(AE$1:AE148)+1,"")</f>
        <v/>
      </c>
    </row>
    <row r="150" customFormat="false" ht="22.5" hidden="false" customHeight="true" outlineLevel="0" collapsed="false">
      <c r="A150" s="18" t="n">
        <f aca="false">IF(B150="","",ROW()-2)</f>
        <v>148</v>
      </c>
      <c r="B150" s="17" t="s">
        <v>2215</v>
      </c>
      <c r="C150" s="19" t="s">
        <v>54</v>
      </c>
      <c r="D150" s="19" t="s">
        <v>54</v>
      </c>
      <c r="E150" s="19" t="s">
        <v>54</v>
      </c>
      <c r="F150" s="19" t="s">
        <v>54</v>
      </c>
      <c r="G150" s="18" t="s">
        <v>13</v>
      </c>
      <c r="H150" s="20" t="s">
        <v>2216</v>
      </c>
      <c r="I150" s="21" t="s">
        <v>2217</v>
      </c>
      <c r="J150" s="20" t="s">
        <v>2218</v>
      </c>
      <c r="K150" s="20" t="s">
        <v>2219</v>
      </c>
      <c r="L150" s="20" t="s">
        <v>2220</v>
      </c>
      <c r="M150" s="21" t="s">
        <v>2221</v>
      </c>
      <c r="N150" s="25" t="s">
        <v>2222</v>
      </c>
      <c r="O150" s="21" t="s">
        <v>2223</v>
      </c>
      <c r="P150" s="21" t="s">
        <v>2224</v>
      </c>
      <c r="Q150" s="21" t="s">
        <v>306</v>
      </c>
      <c r="R150" s="20" t="s">
        <v>2218</v>
      </c>
      <c r="S150" s="20" t="s">
        <v>2220</v>
      </c>
      <c r="T150" s="20" t="s">
        <v>2225</v>
      </c>
      <c r="U150" s="21" t="s">
        <v>2223</v>
      </c>
      <c r="V150" s="21" t="s">
        <v>2224</v>
      </c>
      <c r="W150" s="21" t="s">
        <v>306</v>
      </c>
      <c r="X150" s="20" t="s">
        <v>2218</v>
      </c>
      <c r="Y150" s="20" t="s">
        <v>2220</v>
      </c>
      <c r="Z150" s="20" t="s">
        <v>2225</v>
      </c>
      <c r="AA150" s="23"/>
      <c r="AB150" s="24" t="n">
        <f aca="false">IF(LEN($C150)&gt;0,COUNT(AB$1:AB149)+1,"")</f>
        <v>45</v>
      </c>
      <c r="AC150" s="24" t="n">
        <f aca="false">IF(LEN($D150)&gt;0,COUNT(AC$1:AC149)+1,"")</f>
        <v>114</v>
      </c>
      <c r="AD150" s="24" t="n">
        <f aca="false">IF(LEN($E150)&gt;0,COUNT(AD$1:AD149)+1,"")</f>
        <v>14</v>
      </c>
      <c r="AE150" s="24" t="n">
        <f aca="false">IF(LEN($F150)&gt;0,COUNT(AE$1:AE149)+1,"")</f>
        <v>5</v>
      </c>
    </row>
    <row r="151" customFormat="false" ht="22.5" hidden="false" customHeight="true" outlineLevel="0" collapsed="false">
      <c r="A151" s="18" t="n">
        <f aca="false">IF(B151="","",ROW()-2)</f>
        <v>149</v>
      </c>
      <c r="B151" s="17" t="s">
        <v>2226</v>
      </c>
      <c r="C151" s="19" t="s">
        <v>54</v>
      </c>
      <c r="D151" s="19"/>
      <c r="E151" s="19"/>
      <c r="F151" s="19"/>
      <c r="G151" s="18" t="s">
        <v>13</v>
      </c>
      <c r="H151" s="20" t="s">
        <v>2227</v>
      </c>
      <c r="I151" s="21" t="s">
        <v>2228</v>
      </c>
      <c r="J151" s="20" t="s">
        <v>2229</v>
      </c>
      <c r="K151" s="20" t="s">
        <v>2230</v>
      </c>
      <c r="L151" s="20" t="s">
        <v>2231</v>
      </c>
      <c r="M151" s="21" t="s">
        <v>2232</v>
      </c>
      <c r="N151" s="22" t="s">
        <v>2233</v>
      </c>
      <c r="O151" s="21" t="s">
        <v>2234</v>
      </c>
      <c r="P151" s="20" t="s">
        <v>2141</v>
      </c>
      <c r="Q151" s="21" t="s">
        <v>1793</v>
      </c>
      <c r="R151" s="20" t="s">
        <v>2229</v>
      </c>
      <c r="S151" s="20" t="s">
        <v>2235</v>
      </c>
      <c r="T151" s="20" t="s">
        <v>2229</v>
      </c>
      <c r="U151" s="21" t="s">
        <v>2236</v>
      </c>
      <c r="V151" s="20" t="s">
        <v>2237</v>
      </c>
      <c r="W151" s="21" t="s">
        <v>306</v>
      </c>
      <c r="X151" s="20" t="s">
        <v>2238</v>
      </c>
      <c r="Y151" s="20" t="s">
        <v>2239</v>
      </c>
      <c r="Z151" s="20" t="s">
        <v>2238</v>
      </c>
      <c r="AA151" s="23"/>
      <c r="AB151" s="24" t="n">
        <f aca="false">IF(LEN($C151)&gt;0,COUNT(AB$1:AB150)+1,"")</f>
        <v>46</v>
      </c>
      <c r="AC151" s="24" t="str">
        <f aca="false">IF(LEN($D151)&gt;0,COUNT(AC$1:AC150)+1,"")</f>
        <v/>
      </c>
      <c r="AD151" s="24" t="str">
        <f aca="false">IF(LEN($E151)&gt;0,COUNT(AD$1:AD150)+1,"")</f>
        <v/>
      </c>
      <c r="AE151" s="24" t="str">
        <f aca="false">IF(LEN($F151)&gt;0,COUNT(AE$1:AE150)+1,"")</f>
        <v/>
      </c>
    </row>
    <row r="152" customFormat="false" ht="22.5" hidden="false" customHeight="true" outlineLevel="0" collapsed="false">
      <c r="A152" s="18" t="n">
        <f aca="false">IF(B152="","",ROW()-2)</f>
        <v>150</v>
      </c>
      <c r="B152" s="18" t="s">
        <v>2240</v>
      </c>
      <c r="C152" s="19" t="s">
        <v>54</v>
      </c>
      <c r="D152" s="19"/>
      <c r="E152" s="19"/>
      <c r="F152" s="19"/>
      <c r="G152" s="18" t="s">
        <v>13</v>
      </c>
      <c r="H152" s="20" t="s">
        <v>2241</v>
      </c>
      <c r="I152" s="21" t="s">
        <v>2242</v>
      </c>
      <c r="J152" s="20" t="s">
        <v>2243</v>
      </c>
      <c r="K152" s="20" t="s">
        <v>2244</v>
      </c>
      <c r="L152" s="20" t="s">
        <v>2245</v>
      </c>
      <c r="M152" s="21" t="s">
        <v>2246</v>
      </c>
      <c r="N152" s="22" t="s">
        <v>2247</v>
      </c>
      <c r="O152" s="21" t="s">
        <v>2242</v>
      </c>
      <c r="P152" s="21" t="s">
        <v>79</v>
      </c>
      <c r="Q152" s="21" t="s">
        <v>63</v>
      </c>
      <c r="R152" s="20" t="s">
        <v>2248</v>
      </c>
      <c r="S152" s="20" t="s">
        <v>2245</v>
      </c>
      <c r="T152" s="20" t="s">
        <v>2248</v>
      </c>
      <c r="U152" s="21" t="s">
        <v>2249</v>
      </c>
      <c r="V152" s="21" t="s">
        <v>237</v>
      </c>
      <c r="W152" s="21" t="s">
        <v>2250</v>
      </c>
      <c r="X152" s="20" t="s">
        <v>2251</v>
      </c>
      <c r="Y152" s="20" t="s">
        <v>2252</v>
      </c>
      <c r="Z152" s="20" t="s">
        <v>2251</v>
      </c>
      <c r="AA152" s="23" t="s">
        <v>87</v>
      </c>
      <c r="AB152" s="24" t="n">
        <f aca="false">IF(LEN($C152)&gt;0,COUNT(AB$1:AB151)+1,"")</f>
        <v>47</v>
      </c>
      <c r="AC152" s="24" t="str">
        <f aca="false">IF(LEN($D152)&gt;0,COUNT(AC$1:AC151)+1,"")</f>
        <v/>
      </c>
      <c r="AD152" s="24" t="str">
        <f aca="false">IF(LEN($E152)&gt;0,COUNT(AD$1:AD151)+1,"")</f>
        <v/>
      </c>
      <c r="AE152" s="24" t="str">
        <f aca="false">IF(LEN($F152)&gt;0,COUNT(AE$1:AE151)+1,"")</f>
        <v/>
      </c>
    </row>
    <row r="153" customFormat="false" ht="22.5" hidden="false" customHeight="true" outlineLevel="0" collapsed="false">
      <c r="A153" s="18" t="n">
        <f aca="false">IF(B153="","",ROW()-2)</f>
        <v>151</v>
      </c>
      <c r="B153" s="17" t="s">
        <v>2253</v>
      </c>
      <c r="C153" s="19" t="s">
        <v>54</v>
      </c>
      <c r="D153" s="19" t="s">
        <v>54</v>
      </c>
      <c r="E153" s="19" t="s">
        <v>54</v>
      </c>
      <c r="F153" s="19"/>
      <c r="G153" s="18" t="s">
        <v>13</v>
      </c>
      <c r="H153" s="20" t="s">
        <v>2254</v>
      </c>
      <c r="I153" s="21" t="s">
        <v>2255</v>
      </c>
      <c r="J153" s="20" t="s">
        <v>2256</v>
      </c>
      <c r="K153" s="20" t="s">
        <v>2257</v>
      </c>
      <c r="L153" s="20" t="s">
        <v>2258</v>
      </c>
      <c r="M153" s="21" t="s">
        <v>2259</v>
      </c>
      <c r="N153" s="25" t="s">
        <v>2260</v>
      </c>
      <c r="O153" s="21" t="s">
        <v>2255</v>
      </c>
      <c r="P153" s="21" t="s">
        <v>1641</v>
      </c>
      <c r="Q153" s="21" t="s">
        <v>63</v>
      </c>
      <c r="R153" s="20" t="s">
        <v>2256</v>
      </c>
      <c r="S153" s="20" t="s">
        <v>2261</v>
      </c>
      <c r="T153" s="20" t="s">
        <v>2256</v>
      </c>
      <c r="U153" s="21" t="s">
        <v>2255</v>
      </c>
      <c r="V153" s="21" t="s">
        <v>1641</v>
      </c>
      <c r="W153" s="21" t="s">
        <v>63</v>
      </c>
      <c r="X153" s="20" t="s">
        <v>2256</v>
      </c>
      <c r="Y153" s="20" t="s">
        <v>2261</v>
      </c>
      <c r="Z153" s="20" t="s">
        <v>2256</v>
      </c>
      <c r="AA153" s="23"/>
      <c r="AB153" s="24" t="n">
        <f aca="false">IF(LEN($C153)&gt;0,COUNT(AB$1:AB152)+1,"")</f>
        <v>48</v>
      </c>
      <c r="AC153" s="24" t="n">
        <f aca="false">IF(LEN($D153)&gt;0,COUNT(AC$1:AC152)+1,"")</f>
        <v>115</v>
      </c>
      <c r="AD153" s="24" t="n">
        <f aca="false">IF(LEN($E153)&gt;0,COUNT(AD$1:AD152)+1,"")</f>
        <v>15</v>
      </c>
      <c r="AE153" s="24" t="str">
        <f aca="false">IF(LEN($F153)&gt;0,COUNT(AE$1:AE152)+1,"")</f>
        <v/>
      </c>
    </row>
    <row r="154" customFormat="false" ht="22.5" hidden="false" customHeight="true" outlineLevel="0" collapsed="false">
      <c r="A154" s="18" t="n">
        <f aca="false">IF(B154="","",ROW()-2)</f>
        <v>152</v>
      </c>
      <c r="B154" s="17" t="s">
        <v>2262</v>
      </c>
      <c r="C154" s="19" t="s">
        <v>54</v>
      </c>
      <c r="D154" s="19"/>
      <c r="E154" s="19"/>
      <c r="F154" s="19"/>
      <c r="G154" s="18" t="s">
        <v>13</v>
      </c>
      <c r="H154" s="20" t="s">
        <v>2263</v>
      </c>
      <c r="I154" s="21" t="s">
        <v>2264</v>
      </c>
      <c r="J154" s="20" t="s">
        <v>2265</v>
      </c>
      <c r="K154" s="20" t="s">
        <v>2266</v>
      </c>
      <c r="L154" s="20" t="s">
        <v>2267</v>
      </c>
      <c r="M154" s="21" t="s">
        <v>2268</v>
      </c>
      <c r="N154" s="22" t="s">
        <v>2269</v>
      </c>
      <c r="O154" s="21" t="s">
        <v>2264</v>
      </c>
      <c r="P154" s="21" t="s">
        <v>2270</v>
      </c>
      <c r="Q154" s="21" t="s">
        <v>63</v>
      </c>
      <c r="R154" s="20" t="s">
        <v>2271</v>
      </c>
      <c r="S154" s="20" t="s">
        <v>2272</v>
      </c>
      <c r="T154" s="20" t="s">
        <v>2273</v>
      </c>
      <c r="U154" s="21" t="s">
        <v>2274</v>
      </c>
      <c r="V154" s="20" t="s">
        <v>2275</v>
      </c>
      <c r="W154" s="21" t="s">
        <v>68</v>
      </c>
      <c r="X154" s="20" t="s">
        <v>2276</v>
      </c>
      <c r="Y154" s="20" t="s">
        <v>2267</v>
      </c>
      <c r="Z154" s="20" t="s">
        <v>2277</v>
      </c>
      <c r="AA154" s="23"/>
      <c r="AB154" s="24" t="n">
        <f aca="false">IF(LEN($C154)&gt;0,COUNT(AB$1:AB153)+1,"")</f>
        <v>49</v>
      </c>
      <c r="AC154" s="24" t="str">
        <f aca="false">IF(LEN($D154)&gt;0,COUNT(AC$1:AC153)+1,"")</f>
        <v/>
      </c>
      <c r="AD154" s="24" t="str">
        <f aca="false">IF(LEN($E154)&gt;0,COUNT(AD$1:AD153)+1,"")</f>
        <v/>
      </c>
      <c r="AE154" s="24" t="str">
        <f aca="false">IF(LEN($F154)&gt;0,COUNT(AE$1:AE153)+1,"")</f>
        <v/>
      </c>
    </row>
    <row r="155" customFormat="false" ht="22.5" hidden="false" customHeight="true" outlineLevel="0" collapsed="false">
      <c r="A155" s="18" t="n">
        <f aca="false">IF(B155="","",ROW()-2)</f>
        <v>153</v>
      </c>
      <c r="B155" s="18" t="s">
        <v>2278</v>
      </c>
      <c r="C155" s="19" t="s">
        <v>54</v>
      </c>
      <c r="D155" s="19"/>
      <c r="E155" s="19"/>
      <c r="F155" s="19"/>
      <c r="G155" s="18" t="s">
        <v>13</v>
      </c>
      <c r="H155" s="20" t="s">
        <v>2279</v>
      </c>
      <c r="I155" s="21" t="s">
        <v>2280</v>
      </c>
      <c r="J155" s="20" t="s">
        <v>2281</v>
      </c>
      <c r="K155" s="20" t="s">
        <v>2282</v>
      </c>
      <c r="L155" s="20" t="s">
        <v>2283</v>
      </c>
      <c r="M155" s="21" t="s">
        <v>2284</v>
      </c>
      <c r="N155" s="22" t="s">
        <v>2285</v>
      </c>
      <c r="O155" s="21" t="s">
        <v>2280</v>
      </c>
      <c r="P155" s="21" t="s">
        <v>121</v>
      </c>
      <c r="Q155" s="21" t="s">
        <v>63</v>
      </c>
      <c r="R155" s="20" t="s">
        <v>2286</v>
      </c>
      <c r="S155" s="20" t="s">
        <v>2287</v>
      </c>
      <c r="T155" s="20" t="s">
        <v>2286</v>
      </c>
      <c r="U155" s="21" t="s">
        <v>2280</v>
      </c>
      <c r="V155" s="21" t="s">
        <v>121</v>
      </c>
      <c r="W155" s="21" t="s">
        <v>63</v>
      </c>
      <c r="X155" s="20" t="s">
        <v>2281</v>
      </c>
      <c r="Y155" s="20" t="s">
        <v>2287</v>
      </c>
      <c r="Z155" s="20" t="s">
        <v>2286</v>
      </c>
      <c r="AA155" s="23"/>
      <c r="AB155" s="24" t="n">
        <f aca="false">IF(LEN($C155)&gt;0,COUNT(AB$1:AB154)+1,"")</f>
        <v>50</v>
      </c>
      <c r="AC155" s="24" t="str">
        <f aca="false">IF(LEN($D155)&gt;0,COUNT(AC$1:AC154)+1,"")</f>
        <v/>
      </c>
      <c r="AD155" s="24" t="str">
        <f aca="false">IF(LEN($E155)&gt;0,COUNT(AD$1:AD154)+1,"")</f>
        <v/>
      </c>
      <c r="AE155" s="24" t="str">
        <f aca="false">IF(LEN($F155)&gt;0,COUNT(AE$1:AE154)+1,"")</f>
        <v/>
      </c>
    </row>
    <row r="156" customFormat="false" ht="22.5" hidden="false" customHeight="true" outlineLevel="0" collapsed="false">
      <c r="A156" s="18" t="n">
        <f aca="false">IF(B156="","",ROW()-2)</f>
        <v>154</v>
      </c>
      <c r="B156" s="18" t="s">
        <v>2288</v>
      </c>
      <c r="C156" s="19" t="s">
        <v>54</v>
      </c>
      <c r="D156" s="19" t="s">
        <v>54</v>
      </c>
      <c r="E156" s="19"/>
      <c r="F156" s="19"/>
      <c r="G156" s="18" t="s">
        <v>13</v>
      </c>
      <c r="H156" s="20" t="s">
        <v>2289</v>
      </c>
      <c r="I156" s="21" t="s">
        <v>2290</v>
      </c>
      <c r="J156" s="20" t="s">
        <v>2291</v>
      </c>
      <c r="K156" s="20" t="s">
        <v>2292</v>
      </c>
      <c r="L156" s="20" t="s">
        <v>2293</v>
      </c>
      <c r="M156" s="21" t="s">
        <v>2294</v>
      </c>
      <c r="N156" s="22" t="s">
        <v>2295</v>
      </c>
      <c r="O156" s="21" t="s">
        <v>2296</v>
      </c>
      <c r="P156" s="20" t="s">
        <v>62</v>
      </c>
      <c r="Q156" s="21" t="s">
        <v>63</v>
      </c>
      <c r="R156" s="20" t="s">
        <v>2291</v>
      </c>
      <c r="S156" s="20" t="s">
        <v>2297</v>
      </c>
      <c r="T156" s="20" t="s">
        <v>2298</v>
      </c>
      <c r="U156" s="21" t="s">
        <v>2299</v>
      </c>
      <c r="V156" s="21" t="s">
        <v>2300</v>
      </c>
      <c r="W156" s="21" t="s">
        <v>353</v>
      </c>
      <c r="X156" s="20" t="s">
        <v>2291</v>
      </c>
      <c r="Y156" s="20" t="s">
        <v>2301</v>
      </c>
      <c r="Z156" s="20" t="s">
        <v>2302</v>
      </c>
      <c r="AA156" s="23"/>
      <c r="AB156" s="24" t="n">
        <f aca="false">IF(LEN($C156)&gt;0,COUNT(AB$1:AB155)+1,"")</f>
        <v>51</v>
      </c>
      <c r="AC156" s="24" t="n">
        <f aca="false">IF(LEN($D156)&gt;0,COUNT(AC$1:AC155)+1,"")</f>
        <v>116</v>
      </c>
      <c r="AD156" s="24" t="str">
        <f aca="false">IF(LEN($E156)&gt;0,COUNT(AD$1:AD155)+1,"")</f>
        <v/>
      </c>
      <c r="AE156" s="24" t="str">
        <f aca="false">IF(LEN($F156)&gt;0,COUNT(AE$1:AE155)+1,"")</f>
        <v/>
      </c>
    </row>
    <row r="157" customFormat="false" ht="33.75" hidden="false" customHeight="true" outlineLevel="0" collapsed="false">
      <c r="A157" s="18" t="n">
        <f aca="false">IF(B157="","",ROW()-2)</f>
        <v>155</v>
      </c>
      <c r="B157" s="17" t="s">
        <v>2303</v>
      </c>
      <c r="C157" s="19" t="s">
        <v>54</v>
      </c>
      <c r="D157" s="19"/>
      <c r="E157" s="19"/>
      <c r="F157" s="19"/>
      <c r="G157" s="18" t="s">
        <v>13</v>
      </c>
      <c r="H157" s="20" t="s">
        <v>2304</v>
      </c>
      <c r="I157" s="21" t="s">
        <v>1906</v>
      </c>
      <c r="J157" s="20" t="s">
        <v>2305</v>
      </c>
      <c r="K157" s="20" t="s">
        <v>2306</v>
      </c>
      <c r="L157" s="20" t="s">
        <v>2307</v>
      </c>
      <c r="M157" s="21" t="s">
        <v>2308</v>
      </c>
      <c r="N157" s="25" t="s">
        <v>2309</v>
      </c>
      <c r="O157" s="21" t="s">
        <v>2310</v>
      </c>
      <c r="P157" s="21" t="s">
        <v>96</v>
      </c>
      <c r="Q157" s="21" t="s">
        <v>198</v>
      </c>
      <c r="R157" s="20" t="s">
        <v>2311</v>
      </c>
      <c r="S157" s="20" t="s">
        <v>2307</v>
      </c>
      <c r="T157" s="20" t="s">
        <v>2311</v>
      </c>
      <c r="U157" s="21" t="s">
        <v>2312</v>
      </c>
      <c r="V157" s="21" t="s">
        <v>96</v>
      </c>
      <c r="W157" s="21" t="s">
        <v>2313</v>
      </c>
      <c r="X157" s="20" t="s">
        <v>2314</v>
      </c>
      <c r="Y157" s="20" t="s">
        <v>2315</v>
      </c>
      <c r="Z157" s="20" t="s">
        <v>2314</v>
      </c>
      <c r="AA157" s="23"/>
      <c r="AB157" s="24" t="n">
        <f aca="false">IF(LEN($C157)&gt;0,COUNT(AB$1:AB156)+1,"")</f>
        <v>52</v>
      </c>
      <c r="AC157" s="24" t="str">
        <f aca="false">IF(LEN($D157)&gt;0,COUNT(AC$1:AC156)+1,"")</f>
        <v/>
      </c>
      <c r="AD157" s="24" t="str">
        <f aca="false">IF(LEN($E157)&gt;0,COUNT(AD$1:AD156)+1,"")</f>
        <v/>
      </c>
      <c r="AE157" s="24" t="str">
        <f aca="false">IF(LEN($F157)&gt;0,COUNT(AE$1:AE156)+1,"")</f>
        <v/>
      </c>
    </row>
    <row r="158" customFormat="false" ht="22.5" hidden="false" customHeight="true" outlineLevel="0" collapsed="false">
      <c r="A158" s="18" t="n">
        <f aca="false">IF(B158="","",ROW()-2)</f>
        <v>156</v>
      </c>
      <c r="B158" s="17" t="s">
        <v>2316</v>
      </c>
      <c r="C158" s="19" t="s">
        <v>54</v>
      </c>
      <c r="D158" s="19"/>
      <c r="E158" s="19"/>
      <c r="F158" s="19"/>
      <c r="G158" s="18" t="s">
        <v>13</v>
      </c>
      <c r="H158" s="20" t="s">
        <v>2317</v>
      </c>
      <c r="I158" s="21" t="s">
        <v>2318</v>
      </c>
      <c r="J158" s="20" t="s">
        <v>2319</v>
      </c>
      <c r="K158" s="20" t="s">
        <v>2320</v>
      </c>
      <c r="L158" s="20" t="s">
        <v>2321</v>
      </c>
      <c r="M158" s="21" t="s">
        <v>2322</v>
      </c>
      <c r="N158" s="25" t="s">
        <v>2323</v>
      </c>
      <c r="O158" s="21" t="s">
        <v>2318</v>
      </c>
      <c r="P158" s="21" t="s">
        <v>2324</v>
      </c>
      <c r="Q158" s="21" t="s">
        <v>63</v>
      </c>
      <c r="R158" s="20" t="s">
        <v>2319</v>
      </c>
      <c r="S158" s="20" t="s">
        <v>2325</v>
      </c>
      <c r="T158" s="20" t="s">
        <v>2326</v>
      </c>
      <c r="U158" s="21" t="s">
        <v>2318</v>
      </c>
      <c r="V158" s="21" t="s">
        <v>2324</v>
      </c>
      <c r="W158" s="21" t="s">
        <v>63</v>
      </c>
      <c r="X158" s="20" t="s">
        <v>2319</v>
      </c>
      <c r="Y158" s="20" t="s">
        <v>2325</v>
      </c>
      <c r="Z158" s="20" t="s">
        <v>2326</v>
      </c>
      <c r="AA158" s="23"/>
      <c r="AB158" s="24" t="n">
        <f aca="false">IF(LEN($C158)&gt;0,COUNT(AB$1:AB157)+1,"")</f>
        <v>53</v>
      </c>
      <c r="AC158" s="24" t="str">
        <f aca="false">IF(LEN($D158)&gt;0,COUNT(AC$1:AC157)+1,"")</f>
        <v/>
      </c>
      <c r="AD158" s="24" t="str">
        <f aca="false">IF(LEN($E158)&gt;0,COUNT(AD$1:AD157)+1,"")</f>
        <v/>
      </c>
      <c r="AE158" s="24" t="str">
        <f aca="false">IF(LEN($F158)&gt;0,COUNT(AE$1:AE157)+1,"")</f>
        <v/>
      </c>
    </row>
    <row r="159" customFormat="false" ht="33.75" hidden="false" customHeight="true" outlineLevel="0" collapsed="false">
      <c r="A159" s="18" t="n">
        <f aca="false">IF(B159="","",ROW()-2)</f>
        <v>157</v>
      </c>
      <c r="B159" s="17" t="s">
        <v>2327</v>
      </c>
      <c r="C159" s="19" t="s">
        <v>54</v>
      </c>
      <c r="D159" s="19"/>
      <c r="E159" s="19"/>
      <c r="F159" s="19"/>
      <c r="G159" s="18" t="s">
        <v>13</v>
      </c>
      <c r="H159" s="20" t="s">
        <v>2328</v>
      </c>
      <c r="I159" s="21" t="s">
        <v>2329</v>
      </c>
      <c r="J159" s="20" t="s">
        <v>2330</v>
      </c>
      <c r="K159" s="20" t="s">
        <v>2331</v>
      </c>
      <c r="L159" s="20" t="s">
        <v>2332</v>
      </c>
      <c r="M159" s="21" t="s">
        <v>2333</v>
      </c>
      <c r="N159" s="25" t="s">
        <v>2334</v>
      </c>
      <c r="O159" s="21" t="s">
        <v>2335</v>
      </c>
      <c r="P159" s="21" t="s">
        <v>96</v>
      </c>
      <c r="Q159" s="21" t="s">
        <v>198</v>
      </c>
      <c r="R159" s="20" t="s">
        <v>2330</v>
      </c>
      <c r="S159" s="20" t="s">
        <v>2336</v>
      </c>
      <c r="T159" s="20" t="s">
        <v>2337</v>
      </c>
      <c r="U159" s="21" t="s">
        <v>2338</v>
      </c>
      <c r="V159" s="21" t="s">
        <v>96</v>
      </c>
      <c r="W159" s="21" t="s">
        <v>2339</v>
      </c>
      <c r="X159" s="20" t="s">
        <v>2330</v>
      </c>
      <c r="Y159" s="20" t="s">
        <v>2340</v>
      </c>
      <c r="Z159" s="20" t="s">
        <v>2341</v>
      </c>
      <c r="AA159" s="23"/>
      <c r="AB159" s="24" t="n">
        <f aca="false">IF(LEN($C159)&gt;0,COUNT(AB$1:AB158)+1,"")</f>
        <v>54</v>
      </c>
      <c r="AC159" s="24" t="str">
        <f aca="false">IF(LEN($D159)&gt;0,COUNT(AC$1:AC158)+1,"")</f>
        <v/>
      </c>
      <c r="AD159" s="24" t="str">
        <f aca="false">IF(LEN($E159)&gt;0,COUNT(AD$1:AD158)+1,"")</f>
        <v/>
      </c>
      <c r="AE159" s="24" t="str">
        <f aca="false">IF(LEN($F159)&gt;0,COUNT(AE$1:AE158)+1,"")</f>
        <v/>
      </c>
    </row>
    <row r="160" customFormat="false" ht="22.5" hidden="false" customHeight="true" outlineLevel="0" collapsed="false">
      <c r="A160" s="18" t="n">
        <f aca="false">IF(B160="","",ROW()-2)</f>
        <v>158</v>
      </c>
      <c r="B160" s="18" t="s">
        <v>2342</v>
      </c>
      <c r="C160" s="19" t="s">
        <v>54</v>
      </c>
      <c r="D160" s="19"/>
      <c r="E160" s="19"/>
      <c r="F160" s="19"/>
      <c r="G160" s="18" t="s">
        <v>13</v>
      </c>
      <c r="H160" s="20" t="s">
        <v>2343</v>
      </c>
      <c r="I160" s="21" t="s">
        <v>2344</v>
      </c>
      <c r="J160" s="20" t="s">
        <v>2345</v>
      </c>
      <c r="K160" s="20" t="s">
        <v>2346</v>
      </c>
      <c r="L160" s="20" t="s">
        <v>2347</v>
      </c>
      <c r="M160" s="21" t="s">
        <v>2348</v>
      </c>
      <c r="N160" s="22" t="s">
        <v>2349</v>
      </c>
      <c r="O160" s="21" t="s">
        <v>2344</v>
      </c>
      <c r="P160" s="21" t="s">
        <v>320</v>
      </c>
      <c r="Q160" s="21" t="s">
        <v>79</v>
      </c>
      <c r="R160" s="20" t="s">
        <v>2345</v>
      </c>
      <c r="S160" s="20" t="s">
        <v>2347</v>
      </c>
      <c r="T160" s="20" t="s">
        <v>2345</v>
      </c>
      <c r="U160" s="21" t="s">
        <v>2350</v>
      </c>
      <c r="V160" s="21" t="s">
        <v>2351</v>
      </c>
      <c r="W160" s="21" t="s">
        <v>2352</v>
      </c>
      <c r="X160" s="20" t="s">
        <v>2353</v>
      </c>
      <c r="Y160" s="20" t="s">
        <v>2354</v>
      </c>
      <c r="Z160" s="20" t="s">
        <v>2353</v>
      </c>
      <c r="AA160" s="23"/>
      <c r="AB160" s="24" t="n">
        <f aca="false">IF(LEN($C160)&gt;0,COUNT(AB$1:AB159)+1,"")</f>
        <v>55</v>
      </c>
      <c r="AC160" s="24" t="str">
        <f aca="false">IF(LEN($D160)&gt;0,COUNT(AC$1:AC159)+1,"")</f>
        <v/>
      </c>
      <c r="AD160" s="24" t="str">
        <f aca="false">IF(LEN($E160)&gt;0,COUNT(AD$1:AD159)+1,"")</f>
        <v/>
      </c>
      <c r="AE160" s="24" t="str">
        <f aca="false">IF(LEN($F160)&gt;0,COUNT(AE$1:AE159)+1,"")</f>
        <v/>
      </c>
    </row>
    <row r="161" customFormat="false" ht="33.75" hidden="false" customHeight="true" outlineLevel="0" collapsed="false">
      <c r="A161" s="18" t="n">
        <f aca="false">IF(B161="","",ROW()-2)</f>
        <v>159</v>
      </c>
      <c r="B161" s="17" t="s">
        <v>2355</v>
      </c>
      <c r="C161" s="19" t="s">
        <v>54</v>
      </c>
      <c r="D161" s="19"/>
      <c r="E161" s="19"/>
      <c r="F161" s="19"/>
      <c r="G161" s="18" t="s">
        <v>13</v>
      </c>
      <c r="H161" s="20" t="s">
        <v>2356</v>
      </c>
      <c r="I161" s="21" t="s">
        <v>2357</v>
      </c>
      <c r="J161" s="20" t="s">
        <v>2358</v>
      </c>
      <c r="K161" s="20" t="s">
        <v>2359</v>
      </c>
      <c r="L161" s="20" t="s">
        <v>2360</v>
      </c>
      <c r="M161" s="21" t="s">
        <v>2361</v>
      </c>
      <c r="N161" s="22" t="s">
        <v>2362</v>
      </c>
      <c r="O161" s="21" t="s">
        <v>2357</v>
      </c>
      <c r="P161" s="21" t="s">
        <v>2363</v>
      </c>
      <c r="Q161" s="21" t="s">
        <v>63</v>
      </c>
      <c r="R161" s="20" t="s">
        <v>2364</v>
      </c>
      <c r="S161" s="20" t="s">
        <v>2365</v>
      </c>
      <c r="T161" s="20" t="s">
        <v>2364</v>
      </c>
      <c r="U161" s="21" t="s">
        <v>2366</v>
      </c>
      <c r="V161" s="21" t="s">
        <v>1624</v>
      </c>
      <c r="W161" s="21" t="s">
        <v>353</v>
      </c>
      <c r="X161" s="20" t="s">
        <v>2367</v>
      </c>
      <c r="Y161" s="20" t="s">
        <v>2368</v>
      </c>
      <c r="Z161" s="20" t="s">
        <v>2367</v>
      </c>
      <c r="AA161" s="23"/>
      <c r="AB161" s="24" t="n">
        <f aca="false">IF(LEN($C161)&gt;0,COUNT(AB$1:AB160)+1,"")</f>
        <v>56</v>
      </c>
      <c r="AC161" s="24" t="str">
        <f aca="false">IF(LEN($D161)&gt;0,COUNT(AC$1:AC160)+1,"")</f>
        <v/>
      </c>
      <c r="AD161" s="24" t="str">
        <f aca="false">IF(LEN($E161)&gt;0,COUNT(AD$1:AD160)+1,"")</f>
        <v/>
      </c>
      <c r="AE161" s="24" t="str">
        <f aca="false">IF(LEN($F161)&gt;0,COUNT(AE$1:AE160)+1,"")</f>
        <v/>
      </c>
    </row>
    <row r="162" customFormat="false" ht="33.75" hidden="false" customHeight="true" outlineLevel="0" collapsed="false">
      <c r="A162" s="18" t="n">
        <f aca="false">IF(B162="","",ROW()-2)</f>
        <v>160</v>
      </c>
      <c r="B162" s="17" t="s">
        <v>2369</v>
      </c>
      <c r="C162" s="19" t="s">
        <v>54</v>
      </c>
      <c r="D162" s="19"/>
      <c r="E162" s="19"/>
      <c r="F162" s="19"/>
      <c r="G162" s="18" t="s">
        <v>13</v>
      </c>
      <c r="H162" s="20" t="s">
        <v>2370</v>
      </c>
      <c r="I162" s="21" t="s">
        <v>2371</v>
      </c>
      <c r="J162" s="20" t="s">
        <v>2372</v>
      </c>
      <c r="K162" s="20" t="s">
        <v>2373</v>
      </c>
      <c r="L162" s="20" t="s">
        <v>2374</v>
      </c>
      <c r="M162" s="21" t="s">
        <v>2375</v>
      </c>
      <c r="N162" s="25" t="s">
        <v>2376</v>
      </c>
      <c r="O162" s="21" t="s">
        <v>2371</v>
      </c>
      <c r="P162" s="21" t="s">
        <v>2377</v>
      </c>
      <c r="Q162" s="21" t="s">
        <v>79</v>
      </c>
      <c r="R162" s="20" t="s">
        <v>2372</v>
      </c>
      <c r="S162" s="20" t="s">
        <v>2374</v>
      </c>
      <c r="T162" s="20" t="s">
        <v>2372</v>
      </c>
      <c r="U162" s="21" t="s">
        <v>2378</v>
      </c>
      <c r="V162" s="21" t="s">
        <v>2379</v>
      </c>
      <c r="W162" s="21" t="s">
        <v>238</v>
      </c>
      <c r="X162" s="20" t="s">
        <v>2380</v>
      </c>
      <c r="Y162" s="20" t="s">
        <v>2381</v>
      </c>
      <c r="Z162" s="20" t="s">
        <v>2380</v>
      </c>
      <c r="AA162" s="23"/>
      <c r="AB162" s="24" t="n">
        <f aca="false">IF(LEN($C162)&gt;0,COUNT(AB$1:AB161)+1,"")</f>
        <v>57</v>
      </c>
      <c r="AC162" s="24" t="str">
        <f aca="false">IF(LEN($D162)&gt;0,COUNT(AC$1:AC161)+1,"")</f>
        <v/>
      </c>
      <c r="AD162" s="24" t="str">
        <f aca="false">IF(LEN($E162)&gt;0,COUNT(AD$1:AD161)+1,"")</f>
        <v/>
      </c>
      <c r="AE162" s="24" t="str">
        <f aca="false">IF(LEN($F162)&gt;0,COUNT(AE$1:AE161)+1,"")</f>
        <v/>
      </c>
    </row>
    <row r="163" customFormat="false" ht="22.5" hidden="false" customHeight="true" outlineLevel="0" collapsed="false">
      <c r="A163" s="18" t="n">
        <f aca="false">IF(B163="","",ROW()-2)</f>
        <v>161</v>
      </c>
      <c r="B163" s="17" t="s">
        <v>2382</v>
      </c>
      <c r="C163" s="19" t="s">
        <v>54</v>
      </c>
      <c r="D163" s="19"/>
      <c r="E163" s="19"/>
      <c r="F163" s="19"/>
      <c r="G163" s="18" t="s">
        <v>13</v>
      </c>
      <c r="H163" s="20" t="s">
        <v>2383</v>
      </c>
      <c r="I163" s="21" t="s">
        <v>2384</v>
      </c>
      <c r="J163" s="20" t="s">
        <v>2385</v>
      </c>
      <c r="K163" s="20" t="s">
        <v>2386</v>
      </c>
      <c r="L163" s="20" t="s">
        <v>2387</v>
      </c>
      <c r="M163" s="21" t="s">
        <v>2388</v>
      </c>
      <c r="N163" s="22" t="s">
        <v>2389</v>
      </c>
      <c r="O163" s="21" t="s">
        <v>1912</v>
      </c>
      <c r="P163" s="21" t="s">
        <v>96</v>
      </c>
      <c r="Q163" s="21" t="s">
        <v>1156</v>
      </c>
      <c r="R163" s="20" t="s">
        <v>2385</v>
      </c>
      <c r="S163" s="20" t="s">
        <v>2390</v>
      </c>
      <c r="T163" s="20" t="s">
        <v>2391</v>
      </c>
      <c r="U163" s="21" t="s">
        <v>2392</v>
      </c>
      <c r="V163" s="21" t="s">
        <v>96</v>
      </c>
      <c r="W163" s="21" t="s">
        <v>1156</v>
      </c>
      <c r="X163" s="20" t="s">
        <v>2385</v>
      </c>
      <c r="Y163" s="20" t="s">
        <v>2393</v>
      </c>
      <c r="Z163" s="20" t="s">
        <v>2394</v>
      </c>
      <c r="AA163" s="23" t="s">
        <v>87</v>
      </c>
      <c r="AB163" s="24" t="n">
        <f aca="false">IF(LEN($C163)&gt;0,COUNT(AB$1:AB162)+1,"")</f>
        <v>58</v>
      </c>
      <c r="AC163" s="24" t="str">
        <f aca="false">IF(LEN($D163)&gt;0,COUNT(AC$1:AC162)+1,"")</f>
        <v/>
      </c>
      <c r="AD163" s="24" t="str">
        <f aca="false">IF(LEN($E163)&gt;0,COUNT(AD$1:AD162)+1,"")</f>
        <v/>
      </c>
      <c r="AE163" s="24" t="str">
        <f aca="false">IF(LEN($F163)&gt;0,COUNT(AE$1:AE162)+1,"")</f>
        <v/>
      </c>
    </row>
    <row r="164" customFormat="false" ht="22.5" hidden="false" customHeight="true" outlineLevel="0" collapsed="false">
      <c r="A164" s="18" t="n">
        <f aca="false">IF(B164="","",ROW()-2)</f>
        <v>162</v>
      </c>
      <c r="B164" s="17" t="s">
        <v>2395</v>
      </c>
      <c r="C164" s="19" t="s">
        <v>54</v>
      </c>
      <c r="D164" s="19"/>
      <c r="E164" s="19"/>
      <c r="F164" s="19"/>
      <c r="G164" s="18" t="s">
        <v>13</v>
      </c>
      <c r="H164" s="20" t="s">
        <v>2396</v>
      </c>
      <c r="I164" s="21" t="s">
        <v>2397</v>
      </c>
      <c r="J164" s="20" t="s">
        <v>2398</v>
      </c>
      <c r="K164" s="20" t="s">
        <v>2399</v>
      </c>
      <c r="L164" s="20" t="s">
        <v>2400</v>
      </c>
      <c r="M164" s="21" t="s">
        <v>2401</v>
      </c>
      <c r="N164" s="22" t="s">
        <v>2402</v>
      </c>
      <c r="O164" s="21" t="s">
        <v>2403</v>
      </c>
      <c r="P164" s="21" t="s">
        <v>2404</v>
      </c>
      <c r="Q164" s="21" t="s">
        <v>1059</v>
      </c>
      <c r="R164" s="20" t="s">
        <v>2405</v>
      </c>
      <c r="S164" s="20" t="s">
        <v>2406</v>
      </c>
      <c r="T164" s="20" t="s">
        <v>2405</v>
      </c>
      <c r="U164" s="21" t="s">
        <v>2407</v>
      </c>
      <c r="V164" s="21" t="s">
        <v>2404</v>
      </c>
      <c r="W164" s="21" t="s">
        <v>1013</v>
      </c>
      <c r="X164" s="20" t="s">
        <v>2408</v>
      </c>
      <c r="Y164" s="20" t="s">
        <v>2409</v>
      </c>
      <c r="Z164" s="20" t="s">
        <v>2408</v>
      </c>
      <c r="AA164" s="23"/>
      <c r="AB164" s="24" t="n">
        <f aca="false">IF(LEN($C164)&gt;0,COUNT(AB$1:AB163)+1,"")</f>
        <v>59</v>
      </c>
      <c r="AC164" s="24" t="str">
        <f aca="false">IF(LEN($D164)&gt;0,COUNT(AC$1:AC163)+1,"")</f>
        <v/>
      </c>
      <c r="AD164" s="24" t="str">
        <f aca="false">IF(LEN($E164)&gt;0,COUNT(AD$1:AD163)+1,"")</f>
        <v/>
      </c>
      <c r="AE164" s="24" t="str">
        <f aca="false">IF(LEN($F164)&gt;0,COUNT(AE$1:AE163)+1,"")</f>
        <v/>
      </c>
    </row>
    <row r="165" customFormat="false" ht="22.5" hidden="false" customHeight="true" outlineLevel="0" collapsed="false">
      <c r="A165" s="18" t="n">
        <f aca="false">IF(B165="","",ROW()-2)</f>
        <v>163</v>
      </c>
      <c r="B165" s="18" t="s">
        <v>2410</v>
      </c>
      <c r="C165" s="19" t="s">
        <v>54</v>
      </c>
      <c r="D165" s="19"/>
      <c r="E165" s="19"/>
      <c r="F165" s="19"/>
      <c r="G165" s="18" t="s">
        <v>13</v>
      </c>
      <c r="H165" s="20" t="s">
        <v>2411</v>
      </c>
      <c r="I165" s="21" t="s">
        <v>2412</v>
      </c>
      <c r="J165" s="20" t="s">
        <v>2413</v>
      </c>
      <c r="K165" s="20" t="s">
        <v>2414</v>
      </c>
      <c r="L165" s="20" t="s">
        <v>2415</v>
      </c>
      <c r="M165" s="21" t="s">
        <v>2416</v>
      </c>
      <c r="N165" s="22" t="s">
        <v>2417</v>
      </c>
      <c r="O165" s="21" t="s">
        <v>2412</v>
      </c>
      <c r="P165" s="21" t="s">
        <v>63</v>
      </c>
      <c r="Q165" s="21" t="s">
        <v>63</v>
      </c>
      <c r="R165" s="20" t="s">
        <v>2413</v>
      </c>
      <c r="S165" s="20" t="s">
        <v>2418</v>
      </c>
      <c r="T165" s="20" t="s">
        <v>2413</v>
      </c>
      <c r="U165" s="21" t="s">
        <v>2419</v>
      </c>
      <c r="V165" s="21" t="s">
        <v>2420</v>
      </c>
      <c r="W165" s="21" t="s">
        <v>2313</v>
      </c>
      <c r="X165" s="20" t="s">
        <v>2421</v>
      </c>
      <c r="Y165" s="20" t="s">
        <v>2422</v>
      </c>
      <c r="Z165" s="20" t="s">
        <v>2421</v>
      </c>
      <c r="AA165" s="23"/>
      <c r="AB165" s="24" t="n">
        <f aca="false">IF(LEN($C165)&gt;0,COUNT(AB$1:AB164)+1,"")</f>
        <v>60</v>
      </c>
      <c r="AC165" s="24" t="str">
        <f aca="false">IF(LEN($D165)&gt;0,COUNT(AC$1:AC164)+1,"")</f>
        <v/>
      </c>
      <c r="AD165" s="24" t="str">
        <f aca="false">IF(LEN($E165)&gt;0,COUNT(AD$1:AD164)+1,"")</f>
        <v/>
      </c>
      <c r="AE165" s="24" t="str">
        <f aca="false">IF(LEN($F165)&gt;0,COUNT(AE$1:AE164)+1,"")</f>
        <v/>
      </c>
    </row>
    <row r="166" customFormat="false" ht="22.5" hidden="false" customHeight="true" outlineLevel="0" collapsed="false">
      <c r="A166" s="18" t="n">
        <f aca="false">IF(B166="","",ROW()-2)</f>
        <v>164</v>
      </c>
      <c r="B166" s="17" t="s">
        <v>2423</v>
      </c>
      <c r="C166" s="19" t="s">
        <v>54</v>
      </c>
      <c r="D166" s="19"/>
      <c r="E166" s="19"/>
      <c r="F166" s="19"/>
      <c r="G166" s="18" t="s">
        <v>13</v>
      </c>
      <c r="H166" s="20" t="s">
        <v>2424</v>
      </c>
      <c r="I166" s="21" t="s">
        <v>1121</v>
      </c>
      <c r="J166" s="20" t="s">
        <v>2425</v>
      </c>
      <c r="K166" s="20" t="s">
        <v>2426</v>
      </c>
      <c r="L166" s="20" t="s">
        <v>2427</v>
      </c>
      <c r="M166" s="21" t="s">
        <v>2428</v>
      </c>
      <c r="N166" s="25" t="s">
        <v>2429</v>
      </c>
      <c r="O166" s="21" t="s">
        <v>2430</v>
      </c>
      <c r="P166" s="21" t="s">
        <v>2431</v>
      </c>
      <c r="Q166" s="21" t="s">
        <v>845</v>
      </c>
      <c r="R166" s="20" t="s">
        <v>2432</v>
      </c>
      <c r="S166" s="20" t="s">
        <v>2433</v>
      </c>
      <c r="T166" s="20" t="s">
        <v>2432</v>
      </c>
      <c r="U166" s="21" t="s">
        <v>2430</v>
      </c>
      <c r="V166" s="21" t="s">
        <v>2431</v>
      </c>
      <c r="W166" s="21" t="s">
        <v>845</v>
      </c>
      <c r="X166" s="20" t="s">
        <v>2432</v>
      </c>
      <c r="Y166" s="20" t="s">
        <v>2433</v>
      </c>
      <c r="Z166" s="20" t="s">
        <v>2432</v>
      </c>
      <c r="AA166" s="23"/>
      <c r="AB166" s="24" t="n">
        <f aca="false">IF(LEN($C166)&gt;0,COUNT(AB$1:AB165)+1,"")</f>
        <v>61</v>
      </c>
      <c r="AC166" s="24" t="str">
        <f aca="false">IF(LEN($D166)&gt;0,COUNT(AC$1:AC165)+1,"")</f>
        <v/>
      </c>
      <c r="AD166" s="24" t="str">
        <f aca="false">IF(LEN($E166)&gt;0,COUNT(AD$1:AD165)+1,"")</f>
        <v/>
      </c>
      <c r="AE166" s="24" t="str">
        <f aca="false">IF(LEN($F166)&gt;0,COUNT(AE$1:AE165)+1,"")</f>
        <v/>
      </c>
    </row>
    <row r="167" customFormat="false" ht="22.5" hidden="false" customHeight="true" outlineLevel="0" collapsed="false">
      <c r="A167" s="18" t="n">
        <f aca="false">IF(B167="","",ROW()-2)</f>
        <v>165</v>
      </c>
      <c r="B167" s="18" t="s">
        <v>2434</v>
      </c>
      <c r="C167" s="19" t="s">
        <v>54</v>
      </c>
      <c r="D167" s="19"/>
      <c r="E167" s="19"/>
      <c r="F167" s="19"/>
      <c r="G167" s="18" t="s">
        <v>13</v>
      </c>
      <c r="H167" s="20" t="s">
        <v>2435</v>
      </c>
      <c r="I167" s="21" t="s">
        <v>2436</v>
      </c>
      <c r="J167" s="20" t="s">
        <v>2437</v>
      </c>
      <c r="K167" s="20" t="s">
        <v>2438</v>
      </c>
      <c r="L167" s="20" t="s">
        <v>2439</v>
      </c>
      <c r="M167" s="21" t="s">
        <v>2440</v>
      </c>
      <c r="N167" s="25" t="s">
        <v>2441</v>
      </c>
      <c r="O167" s="21" t="s">
        <v>2436</v>
      </c>
      <c r="P167" s="21" t="s">
        <v>2442</v>
      </c>
      <c r="Q167" s="21" t="s">
        <v>79</v>
      </c>
      <c r="R167" s="20" t="s">
        <v>2437</v>
      </c>
      <c r="S167" s="20" t="s">
        <v>2443</v>
      </c>
      <c r="T167" s="20" t="s">
        <v>2444</v>
      </c>
      <c r="U167" s="21" t="s">
        <v>2436</v>
      </c>
      <c r="V167" s="21" t="s">
        <v>2442</v>
      </c>
      <c r="W167" s="21" t="s">
        <v>79</v>
      </c>
      <c r="X167" s="20" t="s">
        <v>2437</v>
      </c>
      <c r="Y167" s="20" t="s">
        <v>2443</v>
      </c>
      <c r="Z167" s="20" t="s">
        <v>2444</v>
      </c>
      <c r="AA167" s="23"/>
      <c r="AB167" s="24" t="n">
        <f aca="false">IF(LEN($C167)&gt;0,COUNT(AB$1:AB166)+1,"")</f>
        <v>62</v>
      </c>
      <c r="AC167" s="24" t="str">
        <f aca="false">IF(LEN($D167)&gt;0,COUNT(AC$1:AC166)+1,"")</f>
        <v/>
      </c>
      <c r="AD167" s="24" t="str">
        <f aca="false">IF(LEN($E167)&gt;0,COUNT(AD$1:AD166)+1,"")</f>
        <v/>
      </c>
      <c r="AE167" s="24" t="str">
        <f aca="false">IF(LEN($F167)&gt;0,COUNT(AE$1:AE166)+1,"")</f>
        <v/>
      </c>
    </row>
    <row r="168" customFormat="false" ht="47.25" hidden="false" customHeight="true" outlineLevel="0" collapsed="false">
      <c r="A168" s="18" t="n">
        <f aca="false">IF(B168="","",ROW()-2)</f>
        <v>166</v>
      </c>
      <c r="B168" s="18" t="s">
        <v>2445</v>
      </c>
      <c r="C168" s="19" t="s">
        <v>54</v>
      </c>
      <c r="D168" s="19"/>
      <c r="E168" s="19"/>
      <c r="F168" s="19"/>
      <c r="G168" s="18" t="s">
        <v>13</v>
      </c>
      <c r="H168" s="20" t="s">
        <v>2446</v>
      </c>
      <c r="I168" s="21" t="s">
        <v>2447</v>
      </c>
      <c r="J168" s="20" t="s">
        <v>2448</v>
      </c>
      <c r="K168" s="20" t="s">
        <v>2449</v>
      </c>
      <c r="L168" s="20" t="s">
        <v>2450</v>
      </c>
      <c r="M168" s="21" t="s">
        <v>2451</v>
      </c>
      <c r="N168" s="25" t="s">
        <v>2452</v>
      </c>
      <c r="O168" s="21" t="s">
        <v>2447</v>
      </c>
      <c r="P168" s="21" t="s">
        <v>63</v>
      </c>
      <c r="Q168" s="21" t="s">
        <v>63</v>
      </c>
      <c r="R168" s="20" t="s">
        <v>2448</v>
      </c>
      <c r="S168" s="20" t="s">
        <v>2453</v>
      </c>
      <c r="T168" s="20" t="s">
        <v>2454</v>
      </c>
      <c r="U168" s="21" t="s">
        <v>2455</v>
      </c>
      <c r="V168" s="21" t="s">
        <v>1173</v>
      </c>
      <c r="W168" s="21" t="s">
        <v>84</v>
      </c>
      <c r="X168" s="20" t="s">
        <v>2448</v>
      </c>
      <c r="Y168" s="20" t="s">
        <v>2456</v>
      </c>
      <c r="Z168" s="20" t="s">
        <v>2457</v>
      </c>
      <c r="AA168" s="23"/>
      <c r="AB168" s="24" t="n">
        <f aca="false">IF(LEN($C168)&gt;0,COUNT(AB$1:AB167)+1,"")</f>
        <v>63</v>
      </c>
      <c r="AC168" s="24" t="str">
        <f aca="false">IF(LEN($D168)&gt;0,COUNT(AC$1:AC167)+1,"")</f>
        <v/>
      </c>
      <c r="AD168" s="24" t="str">
        <f aca="false">IF(LEN($E168)&gt;0,COUNT(AD$1:AD167)+1,"")</f>
        <v/>
      </c>
      <c r="AE168" s="24" t="str">
        <f aca="false">IF(LEN($F168)&gt;0,COUNT(AE$1:AE167)+1,"")</f>
        <v/>
      </c>
    </row>
    <row r="169" customFormat="false" ht="22.5" hidden="false" customHeight="true" outlineLevel="0" collapsed="false">
      <c r="A169" s="18" t="n">
        <f aca="false">IF(B169="","",ROW()-2)</f>
        <v>167</v>
      </c>
      <c r="B169" s="17" t="s">
        <v>2458</v>
      </c>
      <c r="C169" s="19" t="s">
        <v>54</v>
      </c>
      <c r="D169" s="19"/>
      <c r="E169" s="19"/>
      <c r="F169" s="19"/>
      <c r="G169" s="18" t="s">
        <v>13</v>
      </c>
      <c r="H169" s="20" t="s">
        <v>2459</v>
      </c>
      <c r="I169" s="21" t="s">
        <v>2460</v>
      </c>
      <c r="J169" s="20" t="s">
        <v>2461</v>
      </c>
      <c r="K169" s="20" t="s">
        <v>2462</v>
      </c>
      <c r="L169" s="20" t="s">
        <v>2463</v>
      </c>
      <c r="M169" s="21" t="s">
        <v>2464</v>
      </c>
      <c r="N169" s="25" t="s">
        <v>2465</v>
      </c>
      <c r="O169" s="21" t="s">
        <v>2460</v>
      </c>
      <c r="P169" s="21" t="s">
        <v>63</v>
      </c>
      <c r="Q169" s="21" t="s">
        <v>63</v>
      </c>
      <c r="R169" s="20" t="s">
        <v>2466</v>
      </c>
      <c r="S169" s="20" t="s">
        <v>2467</v>
      </c>
      <c r="T169" s="20" t="s">
        <v>2461</v>
      </c>
      <c r="U169" s="21" t="s">
        <v>2468</v>
      </c>
      <c r="V169" s="21" t="s">
        <v>2469</v>
      </c>
      <c r="W169" s="21" t="s">
        <v>68</v>
      </c>
      <c r="X169" s="20" t="s">
        <v>2466</v>
      </c>
      <c r="Y169" s="20" t="s">
        <v>2470</v>
      </c>
      <c r="Z169" s="20" t="s">
        <v>2471</v>
      </c>
      <c r="AA169" s="23"/>
      <c r="AB169" s="24" t="n">
        <f aca="false">IF(LEN($C169)&gt;0,COUNT(AB$1:AB168)+1,"")</f>
        <v>64</v>
      </c>
      <c r="AC169" s="24" t="str">
        <f aca="false">IF(LEN($D169)&gt;0,COUNT(AC$1:AC168)+1,"")</f>
        <v/>
      </c>
      <c r="AD169" s="24" t="str">
        <f aca="false">IF(LEN($E169)&gt;0,COUNT(AD$1:AD168)+1,"")</f>
        <v/>
      </c>
      <c r="AE169" s="24" t="str">
        <f aca="false">IF(LEN($F169)&gt;0,COUNT(AE$1:AE168)+1,"")</f>
        <v/>
      </c>
    </row>
    <row r="170" customFormat="false" ht="22.5" hidden="false" customHeight="true" outlineLevel="0" collapsed="false">
      <c r="A170" s="18" t="n">
        <f aca="false">IF(B170="","",ROW()-2)</f>
        <v>168</v>
      </c>
      <c r="B170" s="18" t="s">
        <v>2472</v>
      </c>
      <c r="C170" s="19" t="s">
        <v>54</v>
      </c>
      <c r="D170" s="19"/>
      <c r="E170" s="19"/>
      <c r="F170" s="19"/>
      <c r="G170" s="18" t="s">
        <v>13</v>
      </c>
      <c r="H170" s="20" t="s">
        <v>2473</v>
      </c>
      <c r="I170" s="21" t="s">
        <v>2474</v>
      </c>
      <c r="J170" s="20" t="s">
        <v>2475</v>
      </c>
      <c r="K170" s="20" t="s">
        <v>2476</v>
      </c>
      <c r="L170" s="20" t="s">
        <v>2477</v>
      </c>
      <c r="M170" s="21" t="s">
        <v>2478</v>
      </c>
      <c r="N170" s="22" t="s">
        <v>2479</v>
      </c>
      <c r="O170" s="21" t="s">
        <v>2480</v>
      </c>
      <c r="P170" s="20" t="s">
        <v>2481</v>
      </c>
      <c r="Q170" s="21" t="s">
        <v>2482</v>
      </c>
      <c r="R170" s="20" t="s">
        <v>2483</v>
      </c>
      <c r="S170" s="20" t="s">
        <v>2484</v>
      </c>
      <c r="T170" s="20" t="s">
        <v>2483</v>
      </c>
      <c r="U170" s="21" t="s">
        <v>2485</v>
      </c>
      <c r="V170" s="20" t="s">
        <v>2481</v>
      </c>
      <c r="W170" s="21" t="s">
        <v>1059</v>
      </c>
      <c r="X170" s="20" t="s">
        <v>2486</v>
      </c>
      <c r="Y170" s="20" t="s">
        <v>2487</v>
      </c>
      <c r="Z170" s="20" t="s">
        <v>2483</v>
      </c>
      <c r="AA170" s="23"/>
      <c r="AB170" s="24" t="n">
        <f aca="false">IF(LEN($C170)&gt;0,COUNT(AB$1:AB169)+1,"")</f>
        <v>65</v>
      </c>
      <c r="AC170" s="24" t="str">
        <f aca="false">IF(LEN($D170)&gt;0,COUNT(AC$1:AC169)+1,"")</f>
        <v/>
      </c>
      <c r="AD170" s="24" t="str">
        <f aca="false">IF(LEN($E170)&gt;0,COUNT(AD$1:AD169)+1,"")</f>
        <v/>
      </c>
      <c r="AE170" s="24" t="str">
        <f aca="false">IF(LEN($F170)&gt;0,COUNT(AE$1:AE169)+1,"")</f>
        <v/>
      </c>
    </row>
    <row r="171" customFormat="false" ht="22.5" hidden="false" customHeight="true" outlineLevel="0" collapsed="false">
      <c r="A171" s="18" t="n">
        <f aca="false">IF(B171="","",ROW()-2)</f>
        <v>169</v>
      </c>
      <c r="B171" s="17" t="s">
        <v>2488</v>
      </c>
      <c r="C171" s="19" t="s">
        <v>54</v>
      </c>
      <c r="D171" s="19"/>
      <c r="E171" s="19"/>
      <c r="F171" s="19"/>
      <c r="G171" s="18" t="s">
        <v>13</v>
      </c>
      <c r="H171" s="20" t="s">
        <v>2489</v>
      </c>
      <c r="I171" s="21" t="s">
        <v>2490</v>
      </c>
      <c r="J171" s="20" t="s">
        <v>2491</v>
      </c>
      <c r="K171" s="20" t="s">
        <v>2492</v>
      </c>
      <c r="L171" s="20" t="s">
        <v>2493</v>
      </c>
      <c r="M171" s="21" t="s">
        <v>2494</v>
      </c>
      <c r="N171" s="22" t="s">
        <v>2495</v>
      </c>
      <c r="O171" s="21" t="s">
        <v>2496</v>
      </c>
      <c r="P171" s="21" t="s">
        <v>2041</v>
      </c>
      <c r="Q171" s="21" t="s">
        <v>68</v>
      </c>
      <c r="R171" s="20" t="s">
        <v>2491</v>
      </c>
      <c r="S171" s="20" t="s">
        <v>2497</v>
      </c>
      <c r="T171" s="20" t="s">
        <v>2498</v>
      </c>
      <c r="U171" s="21" t="s">
        <v>2499</v>
      </c>
      <c r="V171" s="21" t="s">
        <v>2041</v>
      </c>
      <c r="W171" s="21" t="s">
        <v>157</v>
      </c>
      <c r="X171" s="20" t="s">
        <v>2491</v>
      </c>
      <c r="Y171" s="20" t="s">
        <v>2500</v>
      </c>
      <c r="Z171" s="20" t="s">
        <v>2501</v>
      </c>
      <c r="AA171" s="23"/>
      <c r="AB171" s="24" t="n">
        <f aca="false">IF(LEN($C171)&gt;0,COUNT(AB$1:AB170)+1,"")</f>
        <v>66</v>
      </c>
      <c r="AC171" s="24" t="str">
        <f aca="false">IF(LEN($D171)&gt;0,COUNT(AC$1:AC170)+1,"")</f>
        <v/>
      </c>
      <c r="AD171" s="24" t="str">
        <f aca="false">IF(LEN($E171)&gt;0,COUNT(AD$1:AD170)+1,"")</f>
        <v/>
      </c>
      <c r="AE171" s="24" t="str">
        <f aca="false">IF(LEN($F171)&gt;0,COUNT(AE$1:AE170)+1,"")</f>
        <v/>
      </c>
    </row>
    <row r="172" customFormat="false" ht="33.75" hidden="false" customHeight="true" outlineLevel="0" collapsed="false">
      <c r="A172" s="18" t="n">
        <f aca="false">IF(B172="","",ROW()-2)</f>
        <v>170</v>
      </c>
      <c r="B172" s="17" t="s">
        <v>2502</v>
      </c>
      <c r="C172" s="19" t="s">
        <v>54</v>
      </c>
      <c r="D172" s="19"/>
      <c r="E172" s="19"/>
      <c r="F172" s="19"/>
      <c r="G172" s="18" t="s">
        <v>13</v>
      </c>
      <c r="H172" s="20" t="s">
        <v>2503</v>
      </c>
      <c r="I172" s="21" t="s">
        <v>2504</v>
      </c>
      <c r="J172" s="20" t="s">
        <v>2505</v>
      </c>
      <c r="K172" s="20" t="s">
        <v>2506</v>
      </c>
      <c r="L172" s="20" t="s">
        <v>2507</v>
      </c>
      <c r="M172" s="21" t="s">
        <v>2508</v>
      </c>
      <c r="N172" s="22" t="s">
        <v>2509</v>
      </c>
      <c r="O172" s="21" t="s">
        <v>2504</v>
      </c>
      <c r="P172" s="21" t="s">
        <v>1765</v>
      </c>
      <c r="Q172" s="21" t="s">
        <v>63</v>
      </c>
      <c r="R172" s="20" t="s">
        <v>2510</v>
      </c>
      <c r="S172" s="20" t="s">
        <v>2511</v>
      </c>
      <c r="T172" s="20" t="s">
        <v>2510</v>
      </c>
      <c r="U172" s="21" t="s">
        <v>2512</v>
      </c>
      <c r="V172" s="21" t="s">
        <v>2513</v>
      </c>
      <c r="W172" s="21" t="s">
        <v>1131</v>
      </c>
      <c r="X172" s="20" t="s">
        <v>2505</v>
      </c>
      <c r="Y172" s="20" t="s">
        <v>2507</v>
      </c>
      <c r="Z172" s="20" t="s">
        <v>2514</v>
      </c>
      <c r="AA172" s="23" t="s">
        <v>87</v>
      </c>
      <c r="AB172" s="24" t="n">
        <f aca="false">IF(LEN($C172)&gt;0,COUNT(AB$1:AB171)+1,"")</f>
        <v>67</v>
      </c>
      <c r="AC172" s="24" t="str">
        <f aca="false">IF(LEN($D172)&gt;0,COUNT(AC$1:AC171)+1,"")</f>
        <v/>
      </c>
      <c r="AD172" s="24" t="str">
        <f aca="false">IF(LEN($E172)&gt;0,COUNT(AD$1:AD171)+1,"")</f>
        <v/>
      </c>
      <c r="AE172" s="24" t="str">
        <f aca="false">IF(LEN($F172)&gt;0,COUNT(AE$1:AE171)+1,"")</f>
        <v/>
      </c>
    </row>
    <row r="173" customFormat="false" ht="22.5" hidden="false" customHeight="true" outlineLevel="0" collapsed="false">
      <c r="A173" s="18" t="n">
        <f aca="false">IF(B173="","",ROW()-2)</f>
        <v>171</v>
      </c>
      <c r="B173" s="18" t="s">
        <v>2515</v>
      </c>
      <c r="C173" s="19" t="s">
        <v>54</v>
      </c>
      <c r="D173" s="19"/>
      <c r="E173" s="19"/>
      <c r="F173" s="19"/>
      <c r="G173" s="18" t="s">
        <v>13</v>
      </c>
      <c r="H173" s="20" t="s">
        <v>2516</v>
      </c>
      <c r="I173" s="21" t="s">
        <v>2517</v>
      </c>
      <c r="J173" s="20" t="s">
        <v>2518</v>
      </c>
      <c r="K173" s="20" t="s">
        <v>2519</v>
      </c>
      <c r="L173" s="20" t="s">
        <v>2520</v>
      </c>
      <c r="M173" s="21" t="s">
        <v>2521</v>
      </c>
      <c r="N173" s="22" t="s">
        <v>2522</v>
      </c>
      <c r="O173" s="21" t="s">
        <v>2523</v>
      </c>
      <c r="P173" s="21" t="s">
        <v>2524</v>
      </c>
      <c r="Q173" s="21" t="s">
        <v>306</v>
      </c>
      <c r="R173" s="20" t="s">
        <v>2525</v>
      </c>
      <c r="S173" s="20" t="s">
        <v>2526</v>
      </c>
      <c r="T173" s="20" t="s">
        <v>2527</v>
      </c>
      <c r="U173" s="21" t="s">
        <v>2528</v>
      </c>
      <c r="V173" s="21" t="s">
        <v>2524</v>
      </c>
      <c r="W173" s="21" t="s">
        <v>274</v>
      </c>
      <c r="X173" s="20" t="s">
        <v>2529</v>
      </c>
      <c r="Y173" s="20" t="s">
        <v>2530</v>
      </c>
      <c r="Z173" s="20" t="s">
        <v>2531</v>
      </c>
      <c r="AA173" s="23" t="s">
        <v>87</v>
      </c>
      <c r="AB173" s="24" t="n">
        <f aca="false">IF(LEN($C173)&gt;0,COUNT(AB$1:AB172)+1,"")</f>
        <v>68</v>
      </c>
      <c r="AC173" s="24" t="str">
        <f aca="false">IF(LEN($D173)&gt;0,COUNT(AC$1:AC172)+1,"")</f>
        <v/>
      </c>
      <c r="AD173" s="24" t="str">
        <f aca="false">IF(LEN($E173)&gt;0,COUNT(AD$1:AD172)+1,"")</f>
        <v/>
      </c>
      <c r="AE173" s="24" t="str">
        <f aca="false">IF(LEN($F173)&gt;0,COUNT(AE$1:AE172)+1,"")</f>
        <v/>
      </c>
    </row>
    <row r="174" customFormat="false" ht="22.5" hidden="false" customHeight="true" outlineLevel="0" collapsed="false">
      <c r="A174" s="18" t="n">
        <f aca="false">IF(B174="","",ROW()-2)</f>
        <v>172</v>
      </c>
      <c r="B174" s="18" t="s">
        <v>2532</v>
      </c>
      <c r="C174" s="19" t="s">
        <v>54</v>
      </c>
      <c r="D174" s="19"/>
      <c r="E174" s="19"/>
      <c r="F174" s="19"/>
      <c r="G174" s="18" t="s">
        <v>13</v>
      </c>
      <c r="H174" s="20" t="s">
        <v>2533</v>
      </c>
      <c r="I174" s="21" t="s">
        <v>2534</v>
      </c>
      <c r="J174" s="20" t="s">
        <v>2535</v>
      </c>
      <c r="K174" s="20" t="s">
        <v>2536</v>
      </c>
      <c r="L174" s="20" t="s">
        <v>2537</v>
      </c>
      <c r="M174" s="21" t="s">
        <v>2538</v>
      </c>
      <c r="N174" s="25" t="s">
        <v>2539</v>
      </c>
      <c r="O174" s="21" t="s">
        <v>2540</v>
      </c>
      <c r="P174" s="20" t="s">
        <v>1456</v>
      </c>
      <c r="Q174" s="21" t="s">
        <v>993</v>
      </c>
      <c r="R174" s="20" t="s">
        <v>2541</v>
      </c>
      <c r="S174" s="20" t="s">
        <v>2542</v>
      </c>
      <c r="T174" s="20" t="s">
        <v>2541</v>
      </c>
      <c r="U174" s="21" t="s">
        <v>2543</v>
      </c>
      <c r="V174" s="21" t="s">
        <v>2544</v>
      </c>
      <c r="W174" s="21" t="s">
        <v>765</v>
      </c>
      <c r="X174" s="20" t="s">
        <v>2545</v>
      </c>
      <c r="Y174" s="20" t="s">
        <v>2546</v>
      </c>
      <c r="Z174" s="20" t="s">
        <v>2545</v>
      </c>
      <c r="AA174" s="23"/>
      <c r="AB174" s="24" t="n">
        <f aca="false">IF(LEN($C174)&gt;0,COUNT(AB$1:AB173)+1,"")</f>
        <v>69</v>
      </c>
      <c r="AC174" s="24" t="str">
        <f aca="false">IF(LEN($D174)&gt;0,COUNT(AC$1:AC173)+1,"")</f>
        <v/>
      </c>
      <c r="AD174" s="24" t="str">
        <f aca="false">IF(LEN($E174)&gt;0,COUNT(AD$1:AD173)+1,"")</f>
        <v/>
      </c>
      <c r="AE174" s="24" t="str">
        <f aca="false">IF(LEN($F174)&gt;0,COUNT(AE$1:AE173)+1,"")</f>
        <v/>
      </c>
    </row>
    <row r="175" customFormat="false" ht="22.5" hidden="false" customHeight="true" outlineLevel="0" collapsed="false">
      <c r="A175" s="18" t="n">
        <f aca="false">IF(B175="","",ROW()-2)</f>
        <v>173</v>
      </c>
      <c r="B175" s="18" t="s">
        <v>2547</v>
      </c>
      <c r="C175" s="19" t="s">
        <v>54</v>
      </c>
      <c r="D175" s="19"/>
      <c r="E175" s="19"/>
      <c r="F175" s="19"/>
      <c r="G175" s="18" t="s">
        <v>13</v>
      </c>
      <c r="H175" s="20" t="s">
        <v>2548</v>
      </c>
      <c r="I175" s="21" t="s">
        <v>2549</v>
      </c>
      <c r="J175" s="20" t="s">
        <v>2550</v>
      </c>
      <c r="K175" s="20" t="s">
        <v>2551</v>
      </c>
      <c r="L175" s="20" t="s">
        <v>2552</v>
      </c>
      <c r="M175" s="21" t="s">
        <v>2553</v>
      </c>
      <c r="N175" s="22" t="s">
        <v>2554</v>
      </c>
      <c r="O175" s="21" t="s">
        <v>2549</v>
      </c>
      <c r="P175" s="20" t="s">
        <v>2555</v>
      </c>
      <c r="Q175" s="21" t="s">
        <v>79</v>
      </c>
      <c r="R175" s="20" t="s">
        <v>2550</v>
      </c>
      <c r="S175" s="20" t="s">
        <v>2556</v>
      </c>
      <c r="T175" s="20" t="s">
        <v>2557</v>
      </c>
      <c r="U175" s="21" t="s">
        <v>2558</v>
      </c>
      <c r="V175" s="21" t="s">
        <v>2559</v>
      </c>
      <c r="W175" s="21" t="s">
        <v>2560</v>
      </c>
      <c r="X175" s="20" t="s">
        <v>2550</v>
      </c>
      <c r="Y175" s="20" t="s">
        <v>2561</v>
      </c>
      <c r="Z175" s="20" t="s">
        <v>2562</v>
      </c>
      <c r="AA175" s="23"/>
      <c r="AB175" s="24" t="n">
        <f aca="false">IF(LEN($C175)&gt;0,COUNT(AB$1:AB174)+1,"")</f>
        <v>70</v>
      </c>
      <c r="AC175" s="24" t="str">
        <f aca="false">IF(LEN($D175)&gt;0,COUNT(AC$1:AC174)+1,"")</f>
        <v/>
      </c>
      <c r="AD175" s="24" t="str">
        <f aca="false">IF(LEN($E175)&gt;0,COUNT(AD$1:AD174)+1,"")</f>
        <v/>
      </c>
      <c r="AE175" s="24" t="str">
        <f aca="false">IF(LEN($F175)&gt;0,COUNT(AE$1:AE174)+1,"")</f>
        <v/>
      </c>
    </row>
    <row r="176" customFormat="false" ht="22.5" hidden="false" customHeight="true" outlineLevel="0" collapsed="false">
      <c r="A176" s="18" t="n">
        <f aca="false">IF(B176="","",ROW()-2)</f>
        <v>174</v>
      </c>
      <c r="B176" s="18" t="s">
        <v>2563</v>
      </c>
      <c r="C176" s="19" t="s">
        <v>54</v>
      </c>
      <c r="D176" s="19"/>
      <c r="E176" s="19"/>
      <c r="F176" s="19"/>
      <c r="G176" s="18" t="s">
        <v>13</v>
      </c>
      <c r="H176" s="20" t="s">
        <v>2564</v>
      </c>
      <c r="I176" s="21" t="s">
        <v>1487</v>
      </c>
      <c r="J176" s="20" t="s">
        <v>2565</v>
      </c>
      <c r="K176" s="20" t="s">
        <v>2566</v>
      </c>
      <c r="L176" s="20" t="s">
        <v>2567</v>
      </c>
      <c r="M176" s="21" t="s">
        <v>2568</v>
      </c>
      <c r="N176" s="22" t="s">
        <v>2569</v>
      </c>
      <c r="O176" s="21" t="s">
        <v>2570</v>
      </c>
      <c r="P176" s="21" t="s">
        <v>2041</v>
      </c>
      <c r="Q176" s="21" t="s">
        <v>211</v>
      </c>
      <c r="R176" s="20" t="s">
        <v>2565</v>
      </c>
      <c r="S176" s="20" t="s">
        <v>2571</v>
      </c>
      <c r="T176" s="20" t="s">
        <v>2572</v>
      </c>
      <c r="U176" s="21" t="s">
        <v>2573</v>
      </c>
      <c r="V176" s="21" t="s">
        <v>2041</v>
      </c>
      <c r="W176" s="21" t="s">
        <v>1534</v>
      </c>
      <c r="X176" s="20" t="s">
        <v>2565</v>
      </c>
      <c r="Y176" s="20" t="s">
        <v>2574</v>
      </c>
      <c r="Z176" s="20" t="s">
        <v>2575</v>
      </c>
      <c r="AA176" s="23"/>
      <c r="AB176" s="24" t="n">
        <f aca="false">IF(LEN($C176)&gt;0,COUNT(AB$1:AB175)+1,"")</f>
        <v>71</v>
      </c>
      <c r="AC176" s="24" t="str">
        <f aca="false">IF(LEN($D176)&gt;0,COUNT(AC$1:AC175)+1,"")</f>
        <v/>
      </c>
      <c r="AD176" s="24" t="str">
        <f aca="false">IF(LEN($E176)&gt;0,COUNT(AD$1:AD175)+1,"")</f>
        <v/>
      </c>
      <c r="AE176" s="24" t="str">
        <f aca="false">IF(LEN($F176)&gt;0,COUNT(AE$1:AE175)+1,"")</f>
        <v/>
      </c>
    </row>
    <row r="177" customFormat="false" ht="22.5" hidden="false" customHeight="true" outlineLevel="0" collapsed="false">
      <c r="A177" s="18" t="n">
        <f aca="false">IF(B177="","",ROW()-2)</f>
        <v>175</v>
      </c>
      <c r="B177" s="17" t="s">
        <v>2576</v>
      </c>
      <c r="C177" s="19" t="s">
        <v>54</v>
      </c>
      <c r="D177" s="19"/>
      <c r="E177" s="19"/>
      <c r="F177" s="19"/>
      <c r="G177" s="18" t="s">
        <v>13</v>
      </c>
      <c r="H177" s="20" t="s">
        <v>2577</v>
      </c>
      <c r="I177" s="21" t="s">
        <v>2578</v>
      </c>
      <c r="J177" s="20" t="s">
        <v>2579</v>
      </c>
      <c r="K177" s="20" t="s">
        <v>2580</v>
      </c>
      <c r="L177" s="20" t="s">
        <v>2581</v>
      </c>
      <c r="M177" s="21" t="s">
        <v>2582</v>
      </c>
      <c r="N177" s="22" t="s">
        <v>2583</v>
      </c>
      <c r="O177" s="21" t="s">
        <v>2578</v>
      </c>
      <c r="P177" s="21" t="s">
        <v>63</v>
      </c>
      <c r="Q177" s="21" t="s">
        <v>63</v>
      </c>
      <c r="R177" s="20" t="s">
        <v>2579</v>
      </c>
      <c r="S177" s="20" t="s">
        <v>2584</v>
      </c>
      <c r="T177" s="20" t="s">
        <v>2585</v>
      </c>
      <c r="U177" s="21" t="s">
        <v>2586</v>
      </c>
      <c r="V177" s="21" t="s">
        <v>2587</v>
      </c>
      <c r="W177" s="21" t="s">
        <v>238</v>
      </c>
      <c r="X177" s="20" t="s">
        <v>2579</v>
      </c>
      <c r="Y177" s="20" t="s">
        <v>2588</v>
      </c>
      <c r="Z177" s="20" t="s">
        <v>2589</v>
      </c>
      <c r="AA177" s="23"/>
      <c r="AB177" s="24" t="n">
        <f aca="false">IF(LEN($C177)&gt;0,COUNT(AB$1:AB176)+1,"")</f>
        <v>72</v>
      </c>
      <c r="AC177" s="24" t="str">
        <f aca="false">IF(LEN($D177)&gt;0,COUNT(AC$1:AC176)+1,"")</f>
        <v/>
      </c>
      <c r="AD177" s="24" t="str">
        <f aca="false">IF(LEN($E177)&gt;0,COUNT(AD$1:AD176)+1,"")</f>
        <v/>
      </c>
      <c r="AE177" s="24" t="str">
        <f aca="false">IF(LEN($F177)&gt;0,COUNT(AE$1:AE176)+1,"")</f>
        <v/>
      </c>
    </row>
    <row r="178" customFormat="false" ht="22.5" hidden="false" customHeight="true" outlineLevel="0" collapsed="false">
      <c r="A178" s="18" t="n">
        <f aca="false">IF(B178="","",ROW()-2)</f>
        <v>176</v>
      </c>
      <c r="B178" s="17" t="s">
        <v>2590</v>
      </c>
      <c r="C178" s="19" t="s">
        <v>54</v>
      </c>
      <c r="D178" s="19"/>
      <c r="E178" s="19"/>
      <c r="F178" s="19"/>
      <c r="G178" s="18" t="s">
        <v>13</v>
      </c>
      <c r="H178" s="20" t="s">
        <v>2591</v>
      </c>
      <c r="I178" s="21" t="s">
        <v>2592</v>
      </c>
      <c r="J178" s="20" t="s">
        <v>2593</v>
      </c>
      <c r="K178" s="20" t="s">
        <v>2594</v>
      </c>
      <c r="L178" s="20" t="s">
        <v>2595</v>
      </c>
      <c r="M178" s="21" t="s">
        <v>2596</v>
      </c>
      <c r="N178" s="25" t="s">
        <v>2597</v>
      </c>
      <c r="O178" s="21" t="s">
        <v>2592</v>
      </c>
      <c r="P178" s="21" t="s">
        <v>79</v>
      </c>
      <c r="Q178" s="21" t="s">
        <v>79</v>
      </c>
      <c r="R178" s="20" t="s">
        <v>2593</v>
      </c>
      <c r="S178" s="20" t="s">
        <v>2598</v>
      </c>
      <c r="T178" s="20" t="s">
        <v>2599</v>
      </c>
      <c r="U178" s="21" t="s">
        <v>2600</v>
      </c>
      <c r="V178" s="20" t="s">
        <v>963</v>
      </c>
      <c r="W178" s="21" t="s">
        <v>198</v>
      </c>
      <c r="X178" s="20" t="s">
        <v>2593</v>
      </c>
      <c r="Y178" s="20" t="s">
        <v>2601</v>
      </c>
      <c r="Z178" s="20" t="s">
        <v>2602</v>
      </c>
      <c r="AA178" s="23"/>
      <c r="AB178" s="24" t="n">
        <f aca="false">IF(LEN($C178)&gt;0,COUNT(AB$1:AB177)+1,"")</f>
        <v>73</v>
      </c>
      <c r="AC178" s="24" t="str">
        <f aca="false">IF(LEN($D178)&gt;0,COUNT(AC$1:AC177)+1,"")</f>
        <v/>
      </c>
      <c r="AD178" s="24" t="str">
        <f aca="false">IF(LEN($E178)&gt;0,COUNT(AD$1:AD177)+1,"")</f>
        <v/>
      </c>
      <c r="AE178" s="24" t="str">
        <f aca="false">IF(LEN($F178)&gt;0,COUNT(AE$1:AE177)+1,"")</f>
        <v/>
      </c>
    </row>
    <row r="179" customFormat="false" ht="60.75" hidden="false" customHeight="true" outlineLevel="0" collapsed="false">
      <c r="A179" s="18" t="n">
        <f aca="false">IF(B179="","",ROW()-2)</f>
        <v>177</v>
      </c>
      <c r="B179" s="17" t="s">
        <v>2603</v>
      </c>
      <c r="C179" s="19" t="s">
        <v>54</v>
      </c>
      <c r="D179" s="19"/>
      <c r="E179" s="19" t="s">
        <v>54</v>
      </c>
      <c r="F179" s="19"/>
      <c r="G179" s="18" t="s">
        <v>13</v>
      </c>
      <c r="H179" s="20" t="s">
        <v>2604</v>
      </c>
      <c r="I179" s="21" t="s">
        <v>2605</v>
      </c>
      <c r="J179" s="20" t="s">
        <v>2606</v>
      </c>
      <c r="K179" s="20" t="s">
        <v>2607</v>
      </c>
      <c r="L179" s="20" t="s">
        <v>2608</v>
      </c>
      <c r="M179" s="21" t="s">
        <v>2609</v>
      </c>
      <c r="N179" s="25" t="s">
        <v>2610</v>
      </c>
      <c r="O179" s="21" t="s">
        <v>2605</v>
      </c>
      <c r="P179" s="21" t="s">
        <v>121</v>
      </c>
      <c r="Q179" s="21" t="s">
        <v>63</v>
      </c>
      <c r="R179" s="20" t="s">
        <v>2606</v>
      </c>
      <c r="S179" s="20" t="s">
        <v>2611</v>
      </c>
      <c r="T179" s="20" t="s">
        <v>2612</v>
      </c>
      <c r="U179" s="21" t="s">
        <v>2613</v>
      </c>
      <c r="V179" s="21" t="s">
        <v>2614</v>
      </c>
      <c r="W179" s="20" t="s">
        <v>384</v>
      </c>
      <c r="X179" s="20" t="s">
        <v>2606</v>
      </c>
      <c r="Y179" s="20" t="s">
        <v>2615</v>
      </c>
      <c r="Z179" s="20" t="s">
        <v>2616</v>
      </c>
      <c r="AA179" s="23"/>
      <c r="AB179" s="24" t="n">
        <f aca="false">IF(LEN($C179)&gt;0,COUNT(AB$1:AB178)+1,"")</f>
        <v>74</v>
      </c>
      <c r="AC179" s="24" t="str">
        <f aca="false">IF(LEN($D179)&gt;0,COUNT(AC$1:AC178)+1,"")</f>
        <v/>
      </c>
      <c r="AD179" s="24" t="n">
        <f aca="false">IF(LEN($E179)&gt;0,COUNT(AD$1:AD178)+1,"")</f>
        <v>16</v>
      </c>
      <c r="AE179" s="24" t="str">
        <f aca="false">IF(LEN($F179)&gt;0,COUNT(AE$1:AE178)+1,"")</f>
        <v/>
      </c>
    </row>
    <row r="180" customFormat="false" ht="22.5" hidden="false" customHeight="true" outlineLevel="0" collapsed="false">
      <c r="A180" s="18" t="n">
        <f aca="false">IF(B180="","",ROW()-2)</f>
        <v>178</v>
      </c>
      <c r="B180" s="17" t="s">
        <v>2617</v>
      </c>
      <c r="C180" s="19" t="s">
        <v>54</v>
      </c>
      <c r="D180" s="19"/>
      <c r="E180" s="19"/>
      <c r="F180" s="19"/>
      <c r="G180" s="18" t="s">
        <v>13</v>
      </c>
      <c r="H180" s="20" t="s">
        <v>2618</v>
      </c>
      <c r="I180" s="21" t="s">
        <v>2619</v>
      </c>
      <c r="J180" s="20" t="s">
        <v>2620</v>
      </c>
      <c r="K180" s="20" t="s">
        <v>2621</v>
      </c>
      <c r="L180" s="20" t="s">
        <v>2622</v>
      </c>
      <c r="M180" s="21" t="s">
        <v>2623</v>
      </c>
      <c r="N180" s="25" t="s">
        <v>2624</v>
      </c>
      <c r="O180" s="21" t="s">
        <v>2625</v>
      </c>
      <c r="P180" s="21" t="s">
        <v>431</v>
      </c>
      <c r="Q180" s="21" t="s">
        <v>601</v>
      </c>
      <c r="R180" s="20" t="s">
        <v>2626</v>
      </c>
      <c r="S180" s="20" t="s">
        <v>2627</v>
      </c>
      <c r="T180" s="20" t="s">
        <v>2626</v>
      </c>
      <c r="U180" s="21" t="s">
        <v>2628</v>
      </c>
      <c r="V180" s="21" t="s">
        <v>431</v>
      </c>
      <c r="W180" s="21" t="s">
        <v>2629</v>
      </c>
      <c r="X180" s="20" t="s">
        <v>2630</v>
      </c>
      <c r="Y180" s="20" t="s">
        <v>2631</v>
      </c>
      <c r="Z180" s="20" t="s">
        <v>2630</v>
      </c>
      <c r="AA180" s="23"/>
      <c r="AB180" s="24" t="n">
        <f aca="false">IF(LEN($C180)&gt;0,COUNT(AB$1:AB179)+1,"")</f>
        <v>75</v>
      </c>
      <c r="AC180" s="24" t="str">
        <f aca="false">IF(LEN($D180)&gt;0,COUNT(AC$1:AC179)+1,"")</f>
        <v/>
      </c>
      <c r="AD180" s="24" t="str">
        <f aca="false">IF(LEN($E180)&gt;0,COUNT(AD$1:AD179)+1,"")</f>
        <v/>
      </c>
      <c r="AE180" s="24" t="str">
        <f aca="false">IF(LEN($F180)&gt;0,COUNT(AE$1:AE179)+1,"")</f>
        <v/>
      </c>
    </row>
    <row r="181" customFormat="false" ht="33.75" hidden="false" customHeight="true" outlineLevel="0" collapsed="false">
      <c r="A181" s="18" t="n">
        <f aca="false">IF(B181="","",ROW()-2)</f>
        <v>179</v>
      </c>
      <c r="B181" s="18" t="s">
        <v>2632</v>
      </c>
      <c r="C181" s="19" t="s">
        <v>54</v>
      </c>
      <c r="D181" s="19"/>
      <c r="E181" s="19"/>
      <c r="F181" s="19"/>
      <c r="G181" s="18" t="s">
        <v>13</v>
      </c>
      <c r="H181" s="20" t="s">
        <v>2633</v>
      </c>
      <c r="I181" s="21" t="s">
        <v>2634</v>
      </c>
      <c r="J181" s="20" t="s">
        <v>2635</v>
      </c>
      <c r="K181" s="20" t="s">
        <v>2636</v>
      </c>
      <c r="L181" s="20" t="s">
        <v>2637</v>
      </c>
      <c r="M181" s="21" t="s">
        <v>2638</v>
      </c>
      <c r="N181" s="22" t="s">
        <v>2639</v>
      </c>
      <c r="O181" s="21" t="s">
        <v>2634</v>
      </c>
      <c r="P181" s="20" t="s">
        <v>2640</v>
      </c>
      <c r="Q181" s="21" t="s">
        <v>2641</v>
      </c>
      <c r="R181" s="20" t="s">
        <v>2642</v>
      </c>
      <c r="S181" s="20" t="s">
        <v>2643</v>
      </c>
      <c r="T181" s="20" t="s">
        <v>2642</v>
      </c>
      <c r="U181" s="21" t="s">
        <v>2644</v>
      </c>
      <c r="V181" s="20" t="s">
        <v>2640</v>
      </c>
      <c r="W181" s="21" t="s">
        <v>2645</v>
      </c>
      <c r="X181" s="20" t="s">
        <v>2646</v>
      </c>
      <c r="Y181" s="20" t="s">
        <v>2647</v>
      </c>
      <c r="Z181" s="20" t="s">
        <v>2646</v>
      </c>
      <c r="AA181" s="23"/>
      <c r="AB181" s="24" t="n">
        <f aca="false">IF(LEN($C181)&gt;0,COUNT(AB$1:AB180)+1,"")</f>
        <v>76</v>
      </c>
      <c r="AC181" s="24" t="str">
        <f aca="false">IF(LEN($D181)&gt;0,COUNT(AC$1:AC180)+1,"")</f>
        <v/>
      </c>
      <c r="AD181" s="24" t="str">
        <f aca="false">IF(LEN($E181)&gt;0,COUNT(AD$1:AD180)+1,"")</f>
        <v/>
      </c>
      <c r="AE181" s="24" t="str">
        <f aca="false">IF(LEN($F181)&gt;0,COUNT(AE$1:AE180)+1,"")</f>
        <v/>
      </c>
    </row>
    <row r="182" customFormat="false" ht="33.75" hidden="false" customHeight="true" outlineLevel="0" collapsed="false">
      <c r="A182" s="18" t="n">
        <f aca="false">IF(B182="","",ROW()-2)</f>
        <v>180</v>
      </c>
      <c r="B182" s="18" t="s">
        <v>2648</v>
      </c>
      <c r="C182" s="19" t="s">
        <v>54</v>
      </c>
      <c r="D182" s="19"/>
      <c r="E182" s="19"/>
      <c r="F182" s="19"/>
      <c r="G182" s="18" t="s">
        <v>13</v>
      </c>
      <c r="H182" s="20" t="s">
        <v>2649</v>
      </c>
      <c r="I182" s="21" t="s">
        <v>2650</v>
      </c>
      <c r="J182" s="20" t="s">
        <v>2651</v>
      </c>
      <c r="K182" s="20" t="s">
        <v>2652</v>
      </c>
      <c r="L182" s="20" t="s">
        <v>2653</v>
      </c>
      <c r="M182" s="21" t="s">
        <v>2654</v>
      </c>
      <c r="N182" s="22" t="s">
        <v>2655</v>
      </c>
      <c r="O182" s="21" t="s">
        <v>2650</v>
      </c>
      <c r="P182" s="21" t="s">
        <v>2656</v>
      </c>
      <c r="Q182" s="21" t="s">
        <v>79</v>
      </c>
      <c r="R182" s="20" t="s">
        <v>2651</v>
      </c>
      <c r="S182" s="20" t="s">
        <v>2657</v>
      </c>
      <c r="T182" s="20" t="s">
        <v>2651</v>
      </c>
      <c r="U182" s="21" t="s">
        <v>2650</v>
      </c>
      <c r="V182" s="21" t="s">
        <v>2656</v>
      </c>
      <c r="W182" s="21" t="s">
        <v>79</v>
      </c>
      <c r="X182" s="20" t="s">
        <v>2651</v>
      </c>
      <c r="Y182" s="20" t="s">
        <v>2657</v>
      </c>
      <c r="Z182" s="20" t="s">
        <v>2651</v>
      </c>
      <c r="AA182" s="23" t="s">
        <v>87</v>
      </c>
      <c r="AB182" s="24" t="n">
        <f aca="false">IF(LEN($C182)&gt;0,COUNT(AB$1:AB181)+1,"")</f>
        <v>77</v>
      </c>
      <c r="AC182" s="24" t="str">
        <f aca="false">IF(LEN($D182)&gt;0,COUNT(AC$1:AC181)+1,"")</f>
        <v/>
      </c>
      <c r="AD182" s="24" t="str">
        <f aca="false">IF(LEN($E182)&gt;0,COUNT(AD$1:AD181)+1,"")</f>
        <v/>
      </c>
      <c r="AE182" s="24" t="str">
        <f aca="false">IF(LEN($F182)&gt;0,COUNT(AE$1:AE181)+1,"")</f>
        <v/>
      </c>
    </row>
    <row r="183" customFormat="false" ht="128.25" hidden="false" customHeight="true" outlineLevel="0" collapsed="false">
      <c r="A183" s="18" t="n">
        <f aca="false">IF(B183="","",ROW()-2)</f>
        <v>181</v>
      </c>
      <c r="B183" s="18" t="s">
        <v>2658</v>
      </c>
      <c r="C183" s="19" t="s">
        <v>54</v>
      </c>
      <c r="D183" s="19"/>
      <c r="E183" s="19"/>
      <c r="F183" s="19"/>
      <c r="G183" s="18" t="s">
        <v>13</v>
      </c>
      <c r="H183" s="20" t="s">
        <v>2659</v>
      </c>
      <c r="I183" s="21" t="s">
        <v>2660</v>
      </c>
      <c r="J183" s="20" t="s">
        <v>2661</v>
      </c>
      <c r="K183" s="20" t="s">
        <v>2662</v>
      </c>
      <c r="L183" s="20" t="s">
        <v>2663</v>
      </c>
      <c r="M183" s="21" t="s">
        <v>2664</v>
      </c>
      <c r="N183" s="22" t="s">
        <v>2665</v>
      </c>
      <c r="O183" s="21" t="s">
        <v>2660</v>
      </c>
      <c r="P183" s="21" t="s">
        <v>2658</v>
      </c>
      <c r="Q183" s="21" t="s">
        <v>79</v>
      </c>
      <c r="R183" s="20" t="s">
        <v>2661</v>
      </c>
      <c r="S183" s="20" t="s">
        <v>2663</v>
      </c>
      <c r="T183" s="20" t="s">
        <v>2661</v>
      </c>
      <c r="U183" s="21" t="s">
        <v>2660</v>
      </c>
      <c r="V183" s="21" t="s">
        <v>2658</v>
      </c>
      <c r="W183" s="21" t="s">
        <v>79</v>
      </c>
      <c r="X183" s="20" t="s">
        <v>2661</v>
      </c>
      <c r="Y183" s="20" t="s">
        <v>2663</v>
      </c>
      <c r="Z183" s="20" t="s">
        <v>2661</v>
      </c>
      <c r="AA183" s="23"/>
      <c r="AB183" s="24" t="n">
        <f aca="false">IF(LEN($C183)&gt;0,COUNT(AB$1:AB182)+1,"")</f>
        <v>78</v>
      </c>
      <c r="AC183" s="24" t="str">
        <f aca="false">IF(LEN($D183)&gt;0,COUNT(AC$1:AC182)+1,"")</f>
        <v/>
      </c>
      <c r="AD183" s="24" t="str">
        <f aca="false">IF(LEN($E183)&gt;0,COUNT(AD$1:AD182)+1,"")</f>
        <v/>
      </c>
      <c r="AE183" s="24" t="str">
        <f aca="false">IF(LEN($F183)&gt;0,COUNT(AE$1:AE182)+1,"")</f>
        <v/>
      </c>
    </row>
    <row r="184" customFormat="false" ht="33.75" hidden="false" customHeight="true" outlineLevel="0" collapsed="false">
      <c r="A184" s="18" t="n">
        <f aca="false">IF(B184="","",ROW()-2)</f>
        <v>182</v>
      </c>
      <c r="B184" s="18" t="s">
        <v>2666</v>
      </c>
      <c r="C184" s="19" t="s">
        <v>54</v>
      </c>
      <c r="D184" s="19"/>
      <c r="E184" s="19"/>
      <c r="F184" s="19"/>
      <c r="G184" s="26" t="s">
        <v>12</v>
      </c>
      <c r="H184" s="20" t="s">
        <v>2667</v>
      </c>
      <c r="I184" s="21" t="s">
        <v>2668</v>
      </c>
      <c r="J184" s="20" t="s">
        <v>2669</v>
      </c>
      <c r="K184" s="20" t="s">
        <v>2670</v>
      </c>
      <c r="L184" s="20" t="s">
        <v>2671</v>
      </c>
      <c r="M184" s="21" t="s">
        <v>2672</v>
      </c>
      <c r="N184" s="25" t="s">
        <v>2673</v>
      </c>
      <c r="O184" s="21" t="s">
        <v>2674</v>
      </c>
      <c r="P184" s="21" t="s">
        <v>2675</v>
      </c>
      <c r="Q184" s="21" t="s">
        <v>68</v>
      </c>
      <c r="R184" s="20" t="s">
        <v>2669</v>
      </c>
      <c r="S184" s="20" t="s">
        <v>2676</v>
      </c>
      <c r="T184" s="20" t="s">
        <v>2677</v>
      </c>
      <c r="U184" s="21" t="s">
        <v>2678</v>
      </c>
      <c r="V184" s="21" t="s">
        <v>2679</v>
      </c>
      <c r="W184" s="21" t="s">
        <v>1313</v>
      </c>
      <c r="X184" s="20" t="s">
        <v>2669</v>
      </c>
      <c r="Y184" s="20" t="s">
        <v>2680</v>
      </c>
      <c r="Z184" s="20" t="s">
        <v>2681</v>
      </c>
      <c r="AA184" s="27" t="s">
        <v>503</v>
      </c>
      <c r="AB184" s="24" t="n">
        <f aca="false">IF(LEN($C184)&gt;0,COUNT(AB$1:AB183)+1,"")</f>
        <v>79</v>
      </c>
      <c r="AC184" s="24" t="str">
        <f aca="false">IF(LEN($D184)&gt;0,COUNT(AC$1:AC183)+1,"")</f>
        <v/>
      </c>
      <c r="AD184" s="24" t="str">
        <f aca="false">IF(LEN($E184)&gt;0,COUNT(AD$1:AD183)+1,"")</f>
        <v/>
      </c>
      <c r="AE184" s="24" t="str">
        <f aca="false">IF(LEN($F184)&gt;0,COUNT(AE$1:AE183)+1,"")</f>
        <v/>
      </c>
    </row>
    <row r="185" customFormat="false" ht="33.75" hidden="false" customHeight="true" outlineLevel="0" collapsed="false">
      <c r="A185" s="18" t="n">
        <f aca="false">IF(B185="","",ROW()-2)</f>
        <v>183</v>
      </c>
      <c r="B185" s="18" t="s">
        <v>2682</v>
      </c>
      <c r="C185" s="19" t="s">
        <v>54</v>
      </c>
      <c r="D185" s="19"/>
      <c r="E185" s="19"/>
      <c r="F185" s="19"/>
      <c r="G185" s="18" t="s">
        <v>13</v>
      </c>
      <c r="H185" s="20" t="s">
        <v>2683</v>
      </c>
      <c r="I185" s="21" t="s">
        <v>2684</v>
      </c>
      <c r="J185" s="28" t="s">
        <v>2685</v>
      </c>
      <c r="K185" s="20" t="s">
        <v>2686</v>
      </c>
      <c r="L185" s="20" t="s">
        <v>2687</v>
      </c>
      <c r="M185" s="21" t="s">
        <v>2688</v>
      </c>
      <c r="N185" s="25" t="s">
        <v>2689</v>
      </c>
      <c r="O185" s="21" t="s">
        <v>2690</v>
      </c>
      <c r="P185" s="21" t="s">
        <v>628</v>
      </c>
      <c r="Q185" s="21" t="s">
        <v>601</v>
      </c>
      <c r="R185" s="20" t="s">
        <v>2691</v>
      </c>
      <c r="S185" s="20" t="s">
        <v>2692</v>
      </c>
      <c r="T185" s="20" t="s">
        <v>2693</v>
      </c>
      <c r="U185" s="21" t="s">
        <v>2694</v>
      </c>
      <c r="V185" s="21" t="s">
        <v>2695</v>
      </c>
      <c r="W185" s="21" t="s">
        <v>353</v>
      </c>
      <c r="X185" s="20" t="s">
        <v>2696</v>
      </c>
      <c r="Y185" s="20" t="s">
        <v>2697</v>
      </c>
      <c r="Z185" s="20" t="s">
        <v>2698</v>
      </c>
      <c r="AA185" s="23" t="s">
        <v>87</v>
      </c>
      <c r="AB185" s="24" t="n">
        <f aca="false">IF(LEN($C185)&gt;0,COUNT(AB$1:AB184)+1,"")</f>
        <v>80</v>
      </c>
      <c r="AC185" s="24" t="str">
        <f aca="false">IF(LEN($D185)&gt;0,COUNT(AC$1:AC184)+1,"")</f>
        <v/>
      </c>
      <c r="AD185" s="24" t="str">
        <f aca="false">IF(LEN($E185)&gt;0,COUNT(AD$1:AD184)+1,"")</f>
        <v/>
      </c>
      <c r="AE185" s="24" t="str">
        <f aca="false">IF(LEN($F185)&gt;0,COUNT(AE$1:AE184)+1,"")</f>
        <v/>
      </c>
    </row>
    <row r="186" customFormat="false" ht="22.5" hidden="false" customHeight="true" outlineLevel="0" collapsed="false">
      <c r="A186" s="18" t="n">
        <f aca="false">IF(B186="","",ROW()-2)</f>
        <v>184</v>
      </c>
      <c r="B186" s="17" t="s">
        <v>2699</v>
      </c>
      <c r="C186" s="19" t="s">
        <v>54</v>
      </c>
      <c r="D186" s="19"/>
      <c r="E186" s="19"/>
      <c r="F186" s="19"/>
      <c r="G186" s="18" t="s">
        <v>13</v>
      </c>
      <c r="H186" s="20" t="s">
        <v>2700</v>
      </c>
      <c r="I186" s="21" t="s">
        <v>2701</v>
      </c>
      <c r="J186" s="20" t="s">
        <v>2702</v>
      </c>
      <c r="K186" s="20" t="s">
        <v>2703</v>
      </c>
      <c r="L186" s="20" t="s">
        <v>2704</v>
      </c>
      <c r="M186" s="21" t="s">
        <v>2705</v>
      </c>
      <c r="N186" s="22" t="s">
        <v>2706</v>
      </c>
      <c r="O186" s="21" t="s">
        <v>2707</v>
      </c>
      <c r="P186" s="20" t="s">
        <v>2708</v>
      </c>
      <c r="Q186" s="21" t="s">
        <v>68</v>
      </c>
      <c r="R186" s="20" t="s">
        <v>2702</v>
      </c>
      <c r="S186" s="20" t="s">
        <v>2709</v>
      </c>
      <c r="T186" s="20" t="s">
        <v>2710</v>
      </c>
      <c r="U186" s="21" t="s">
        <v>2711</v>
      </c>
      <c r="V186" s="20" t="s">
        <v>2708</v>
      </c>
      <c r="W186" s="21" t="s">
        <v>306</v>
      </c>
      <c r="X186" s="20" t="s">
        <v>2702</v>
      </c>
      <c r="Y186" s="20" t="s">
        <v>2704</v>
      </c>
      <c r="Z186" s="20" t="s">
        <v>2712</v>
      </c>
      <c r="AA186" s="23"/>
      <c r="AB186" s="24" t="n">
        <f aca="false">IF(LEN($C186)&gt;0,COUNT(AB$1:AB185)+1,"")</f>
        <v>81</v>
      </c>
      <c r="AC186" s="24" t="str">
        <f aca="false">IF(LEN($D186)&gt;0,COUNT(AC$1:AC185)+1,"")</f>
        <v/>
      </c>
      <c r="AD186" s="24" t="str">
        <f aca="false">IF(LEN($E186)&gt;0,COUNT(AD$1:AD185)+1,"")</f>
        <v/>
      </c>
      <c r="AE186" s="24" t="str">
        <f aca="false">IF(LEN($F186)&gt;0,COUNT(AE$1:AE185)+1,"")</f>
        <v/>
      </c>
    </row>
    <row r="187" customFormat="false" ht="22.5" hidden="false" customHeight="true" outlineLevel="0" collapsed="false">
      <c r="A187" s="18" t="n">
        <f aca="false">IF(B187="","",ROW()-2)</f>
        <v>185</v>
      </c>
      <c r="B187" s="17" t="s">
        <v>2713</v>
      </c>
      <c r="C187" s="19" t="s">
        <v>54</v>
      </c>
      <c r="D187" s="19"/>
      <c r="E187" s="19"/>
      <c r="F187" s="19"/>
      <c r="G187" s="18" t="s">
        <v>13</v>
      </c>
      <c r="H187" s="20" t="s">
        <v>2714</v>
      </c>
      <c r="I187" s="21" t="s">
        <v>2715</v>
      </c>
      <c r="J187" s="20" t="s">
        <v>2716</v>
      </c>
      <c r="K187" s="20" t="s">
        <v>2717</v>
      </c>
      <c r="L187" s="20" t="s">
        <v>2718</v>
      </c>
      <c r="M187" s="21" t="s">
        <v>2719</v>
      </c>
      <c r="N187" s="25" t="s">
        <v>2720</v>
      </c>
      <c r="O187" s="21" t="s">
        <v>2715</v>
      </c>
      <c r="P187" s="21" t="s">
        <v>63</v>
      </c>
      <c r="Q187" s="21" t="s">
        <v>63</v>
      </c>
      <c r="R187" s="20" t="s">
        <v>2721</v>
      </c>
      <c r="S187" s="20" t="s">
        <v>2722</v>
      </c>
      <c r="T187" s="20" t="s">
        <v>2721</v>
      </c>
      <c r="U187" s="21" t="s">
        <v>2723</v>
      </c>
      <c r="V187" s="21" t="s">
        <v>2724</v>
      </c>
      <c r="W187" s="21" t="s">
        <v>2339</v>
      </c>
      <c r="X187" s="20" t="s">
        <v>2725</v>
      </c>
      <c r="Y187" s="20" t="s">
        <v>2726</v>
      </c>
      <c r="Z187" s="20" t="s">
        <v>2725</v>
      </c>
      <c r="AA187" s="23"/>
      <c r="AB187" s="24" t="n">
        <f aca="false">IF(LEN($C187)&gt;0,COUNT(AB$1:AB186)+1,"")</f>
        <v>82</v>
      </c>
      <c r="AC187" s="24" t="str">
        <f aca="false">IF(LEN($D187)&gt;0,COUNT(AC$1:AC186)+1,"")</f>
        <v/>
      </c>
      <c r="AD187" s="24" t="str">
        <f aca="false">IF(LEN($E187)&gt;0,COUNT(AD$1:AD186)+1,"")</f>
        <v/>
      </c>
      <c r="AE187" s="24" t="str">
        <f aca="false">IF(LEN($F187)&gt;0,COUNT(AE$1:AE186)+1,"")</f>
        <v/>
      </c>
    </row>
    <row r="188" customFormat="false" ht="33.75" hidden="false" customHeight="true" outlineLevel="0" collapsed="false">
      <c r="A188" s="18" t="n">
        <f aca="false">IF(B188="","",ROW()-2)</f>
        <v>186</v>
      </c>
      <c r="B188" s="17" t="s">
        <v>2727</v>
      </c>
      <c r="C188" s="19" t="s">
        <v>54</v>
      </c>
      <c r="D188" s="19"/>
      <c r="E188" s="19"/>
      <c r="F188" s="19"/>
      <c r="G188" s="18" t="s">
        <v>13</v>
      </c>
      <c r="H188" s="20" t="s">
        <v>2728</v>
      </c>
      <c r="I188" s="21" t="s">
        <v>2729</v>
      </c>
      <c r="J188" s="20" t="s">
        <v>2730</v>
      </c>
      <c r="K188" s="20" t="s">
        <v>2731</v>
      </c>
      <c r="L188" s="20" t="s">
        <v>2732</v>
      </c>
      <c r="M188" s="21" t="s">
        <v>2733</v>
      </c>
      <c r="N188" s="22" t="s">
        <v>2734</v>
      </c>
      <c r="O188" s="21" t="s">
        <v>2735</v>
      </c>
      <c r="P188" s="21" t="s">
        <v>2736</v>
      </c>
      <c r="Q188" s="21" t="s">
        <v>2737</v>
      </c>
      <c r="R188" s="20" t="s">
        <v>2730</v>
      </c>
      <c r="S188" s="20" t="s">
        <v>2738</v>
      </c>
      <c r="T188" s="20" t="s">
        <v>2739</v>
      </c>
      <c r="U188" s="21" t="s">
        <v>2740</v>
      </c>
      <c r="V188" s="20" t="s">
        <v>2741</v>
      </c>
      <c r="W188" s="21" t="s">
        <v>2742</v>
      </c>
      <c r="X188" s="20" t="s">
        <v>2730</v>
      </c>
      <c r="Y188" s="20" t="s">
        <v>2743</v>
      </c>
      <c r="Z188" s="20" t="s">
        <v>2744</v>
      </c>
      <c r="AA188" s="23"/>
      <c r="AB188" s="24" t="n">
        <f aca="false">IF(LEN($C188)&gt;0,COUNT(AB$1:AB187)+1,"")</f>
        <v>83</v>
      </c>
      <c r="AC188" s="24" t="str">
        <f aca="false">IF(LEN($D188)&gt;0,COUNT(AC$1:AC187)+1,"")</f>
        <v/>
      </c>
      <c r="AD188" s="24" t="str">
        <f aca="false">IF(LEN($E188)&gt;0,COUNT(AD$1:AD187)+1,"")</f>
        <v/>
      </c>
      <c r="AE188" s="24" t="str">
        <f aca="false">IF(LEN($F188)&gt;0,COUNT(AE$1:AE187)+1,"")</f>
        <v/>
      </c>
    </row>
    <row r="189" customFormat="false" ht="22.5" hidden="false" customHeight="true" outlineLevel="0" collapsed="false">
      <c r="A189" s="18" t="n">
        <f aca="false">IF(B189="","",ROW()-2)</f>
        <v>187</v>
      </c>
      <c r="B189" s="18" t="s">
        <v>2745</v>
      </c>
      <c r="C189" s="19" t="s">
        <v>54</v>
      </c>
      <c r="D189" s="19"/>
      <c r="E189" s="19"/>
      <c r="F189" s="19"/>
      <c r="G189" s="18" t="s">
        <v>13</v>
      </c>
      <c r="H189" s="20" t="s">
        <v>2746</v>
      </c>
      <c r="I189" s="21" t="s">
        <v>2747</v>
      </c>
      <c r="J189" s="20" t="s">
        <v>2748</v>
      </c>
      <c r="K189" s="20" t="s">
        <v>2749</v>
      </c>
      <c r="L189" s="20" t="s">
        <v>2750</v>
      </c>
      <c r="M189" s="21" t="s">
        <v>2751</v>
      </c>
      <c r="N189" s="25" t="s">
        <v>2752</v>
      </c>
      <c r="O189" s="21" t="s">
        <v>2747</v>
      </c>
      <c r="P189" s="21" t="s">
        <v>2753</v>
      </c>
      <c r="Q189" s="21" t="s">
        <v>63</v>
      </c>
      <c r="R189" s="20" t="s">
        <v>2748</v>
      </c>
      <c r="S189" s="20" t="s">
        <v>2754</v>
      </c>
      <c r="T189" s="20" t="s">
        <v>2748</v>
      </c>
      <c r="U189" s="21" t="s">
        <v>835</v>
      </c>
      <c r="V189" s="21" t="s">
        <v>2755</v>
      </c>
      <c r="W189" s="21" t="s">
        <v>1696</v>
      </c>
      <c r="X189" s="20" t="s">
        <v>2756</v>
      </c>
      <c r="Y189" s="20" t="s">
        <v>2757</v>
      </c>
      <c r="Z189" s="20" t="s">
        <v>2756</v>
      </c>
      <c r="AA189" s="23"/>
      <c r="AB189" s="24" t="n">
        <f aca="false">IF(LEN($C189)&gt;0,COUNT(AB$1:AB188)+1,"")</f>
        <v>84</v>
      </c>
      <c r="AC189" s="24" t="str">
        <f aca="false">IF(LEN($D189)&gt;0,COUNT(AC$1:AC188)+1,"")</f>
        <v/>
      </c>
      <c r="AD189" s="24" t="str">
        <f aca="false">IF(LEN($E189)&gt;0,COUNT(AD$1:AD188)+1,"")</f>
        <v/>
      </c>
      <c r="AE189" s="24" t="str">
        <f aca="false">IF(LEN($F189)&gt;0,COUNT(AE$1:AE188)+1,"")</f>
        <v/>
      </c>
    </row>
    <row r="190" customFormat="false" ht="22.5" hidden="false" customHeight="true" outlineLevel="0" collapsed="false">
      <c r="A190" s="18" t="n">
        <f aca="false">IF(B190="","",ROW()-2)</f>
        <v>188</v>
      </c>
      <c r="B190" s="18" t="s">
        <v>2758</v>
      </c>
      <c r="C190" s="19" t="s">
        <v>54</v>
      </c>
      <c r="D190" s="19"/>
      <c r="E190" s="19"/>
      <c r="F190" s="19"/>
      <c r="G190" s="18" t="s">
        <v>13</v>
      </c>
      <c r="H190" s="20" t="s">
        <v>2759</v>
      </c>
      <c r="I190" s="21" t="s">
        <v>2760</v>
      </c>
      <c r="J190" s="20" t="s">
        <v>2761</v>
      </c>
      <c r="K190" s="20" t="s">
        <v>2762</v>
      </c>
      <c r="L190" s="20" t="s">
        <v>2763</v>
      </c>
      <c r="M190" s="21" t="s">
        <v>2764</v>
      </c>
      <c r="N190" s="25" t="s">
        <v>2765</v>
      </c>
      <c r="O190" s="21" t="s">
        <v>2766</v>
      </c>
      <c r="P190" s="20" t="s">
        <v>2767</v>
      </c>
      <c r="Q190" s="21" t="s">
        <v>993</v>
      </c>
      <c r="R190" s="20" t="s">
        <v>2768</v>
      </c>
      <c r="S190" s="20" t="s">
        <v>2769</v>
      </c>
      <c r="T190" s="20" t="s">
        <v>2768</v>
      </c>
      <c r="U190" s="21" t="s">
        <v>2770</v>
      </c>
      <c r="V190" s="20" t="s">
        <v>2771</v>
      </c>
      <c r="W190" s="21" t="s">
        <v>1075</v>
      </c>
      <c r="X190" s="20" t="s">
        <v>2772</v>
      </c>
      <c r="Y190" s="20" t="s">
        <v>2773</v>
      </c>
      <c r="Z190" s="20" t="s">
        <v>2772</v>
      </c>
      <c r="AA190" s="23"/>
      <c r="AB190" s="24" t="n">
        <f aca="false">IF(LEN($C190)&gt;0,COUNT(AB$1:AB189)+1,"")</f>
        <v>85</v>
      </c>
      <c r="AC190" s="24" t="str">
        <f aca="false">IF(LEN($D190)&gt;0,COUNT(AC$1:AC189)+1,"")</f>
        <v/>
      </c>
      <c r="AD190" s="24" t="str">
        <f aca="false">IF(LEN($E190)&gt;0,COUNT(AD$1:AD189)+1,"")</f>
        <v/>
      </c>
      <c r="AE190" s="24" t="str">
        <f aca="false">IF(LEN($F190)&gt;0,COUNT(AE$1:AE189)+1,"")</f>
        <v/>
      </c>
    </row>
    <row r="191" customFormat="false" ht="22.5" hidden="false" customHeight="true" outlineLevel="0" collapsed="false">
      <c r="A191" s="18" t="n">
        <f aca="false">IF(B191="","",ROW()-2)</f>
        <v>189</v>
      </c>
      <c r="B191" s="18" t="s">
        <v>2774</v>
      </c>
      <c r="C191" s="19" t="s">
        <v>54</v>
      </c>
      <c r="D191" s="19"/>
      <c r="E191" s="19" t="s">
        <v>54</v>
      </c>
      <c r="F191" s="19"/>
      <c r="G191" s="18" t="s">
        <v>13</v>
      </c>
      <c r="H191" s="20" t="s">
        <v>2775</v>
      </c>
      <c r="I191" s="21" t="s">
        <v>2776</v>
      </c>
      <c r="J191" s="20" t="s">
        <v>2777</v>
      </c>
      <c r="K191" s="20" t="s">
        <v>2778</v>
      </c>
      <c r="L191" s="20" t="s">
        <v>2779</v>
      </c>
      <c r="M191" s="21" t="s">
        <v>2780</v>
      </c>
      <c r="N191" s="22" t="s">
        <v>2781</v>
      </c>
      <c r="O191" s="21" t="s">
        <v>2782</v>
      </c>
      <c r="P191" s="21" t="s">
        <v>2041</v>
      </c>
      <c r="Q191" s="21" t="s">
        <v>68</v>
      </c>
      <c r="R191" s="20" t="s">
        <v>2783</v>
      </c>
      <c r="S191" s="20" t="s">
        <v>2784</v>
      </c>
      <c r="T191" s="20" t="s">
        <v>2783</v>
      </c>
      <c r="U191" s="21" t="s">
        <v>2782</v>
      </c>
      <c r="V191" s="21" t="s">
        <v>2041</v>
      </c>
      <c r="W191" s="21" t="s">
        <v>68</v>
      </c>
      <c r="X191" s="20" t="s">
        <v>2783</v>
      </c>
      <c r="Y191" s="20" t="s">
        <v>2784</v>
      </c>
      <c r="Z191" s="20" t="s">
        <v>2783</v>
      </c>
      <c r="AA191" s="23"/>
      <c r="AB191" s="24" t="n">
        <f aca="false">IF(LEN($C191)&gt;0,COUNT(AB$1:AB190)+1,"")</f>
        <v>86</v>
      </c>
      <c r="AC191" s="24" t="str">
        <f aca="false">IF(LEN($D191)&gt;0,COUNT(AC$1:AC190)+1,"")</f>
        <v/>
      </c>
      <c r="AD191" s="24" t="n">
        <f aca="false">IF(LEN($E191)&gt;0,COUNT(AD$1:AD190)+1,"")</f>
        <v>17</v>
      </c>
      <c r="AE191" s="24" t="str">
        <f aca="false">IF(LEN($F191)&gt;0,COUNT(AE$1:AE190)+1,"")</f>
        <v/>
      </c>
    </row>
    <row r="192" customFormat="false" ht="60.75" hidden="false" customHeight="true" outlineLevel="0" collapsed="false">
      <c r="A192" s="18" t="n">
        <f aca="false">IF(B192="","",ROW()-2)</f>
        <v>190</v>
      </c>
      <c r="B192" s="18" t="s">
        <v>2785</v>
      </c>
      <c r="C192" s="19" t="s">
        <v>54</v>
      </c>
      <c r="D192" s="19"/>
      <c r="E192" s="19"/>
      <c r="F192" s="19"/>
      <c r="G192" s="18" t="s">
        <v>13</v>
      </c>
      <c r="H192" s="20" t="s">
        <v>2786</v>
      </c>
      <c r="I192" s="21" t="s">
        <v>2787</v>
      </c>
      <c r="J192" s="20" t="s">
        <v>2788</v>
      </c>
      <c r="K192" s="20" t="s">
        <v>2789</v>
      </c>
      <c r="L192" s="20" t="s">
        <v>2790</v>
      </c>
      <c r="M192" s="21" t="s">
        <v>2791</v>
      </c>
      <c r="N192" s="25" t="s">
        <v>2792</v>
      </c>
      <c r="O192" s="21" t="s">
        <v>2787</v>
      </c>
      <c r="P192" s="21" t="s">
        <v>285</v>
      </c>
      <c r="Q192" s="21" t="s">
        <v>644</v>
      </c>
      <c r="R192" s="20" t="s">
        <v>2793</v>
      </c>
      <c r="S192" s="20" t="s">
        <v>2794</v>
      </c>
      <c r="T192" s="20" t="s">
        <v>2793</v>
      </c>
      <c r="U192" s="21" t="s">
        <v>2787</v>
      </c>
      <c r="V192" s="21" t="s">
        <v>285</v>
      </c>
      <c r="W192" s="21" t="s">
        <v>644</v>
      </c>
      <c r="X192" s="20" t="s">
        <v>2793</v>
      </c>
      <c r="Y192" s="20" t="s">
        <v>2794</v>
      </c>
      <c r="Z192" s="20" t="s">
        <v>2793</v>
      </c>
      <c r="AA192" s="23"/>
      <c r="AB192" s="24" t="n">
        <f aca="false">IF(LEN($C192)&gt;0,COUNT(AB$1:AB191)+1,"")</f>
        <v>87</v>
      </c>
      <c r="AC192" s="24" t="str">
        <f aca="false">IF(LEN($D192)&gt;0,COUNT(AC$1:AC191)+1,"")</f>
        <v/>
      </c>
      <c r="AD192" s="24" t="str">
        <f aca="false">IF(LEN($E192)&gt;0,COUNT(AD$1:AD191)+1,"")</f>
        <v/>
      </c>
      <c r="AE192" s="24" t="str">
        <f aca="false">IF(LEN($F192)&gt;0,COUNT(AE$1:AE191)+1,"")</f>
        <v/>
      </c>
    </row>
    <row r="193" customFormat="false" ht="60.75" hidden="false" customHeight="true" outlineLevel="0" collapsed="false">
      <c r="A193" s="18" t="n">
        <f aca="false">IF(B193="","",ROW()-2)</f>
        <v>191</v>
      </c>
      <c r="B193" s="18" t="s">
        <v>2795</v>
      </c>
      <c r="C193" s="19" t="s">
        <v>54</v>
      </c>
      <c r="D193" s="19"/>
      <c r="E193" s="19"/>
      <c r="F193" s="19"/>
      <c r="G193" s="18" t="s">
        <v>13</v>
      </c>
      <c r="H193" s="20" t="s">
        <v>2796</v>
      </c>
      <c r="I193" s="21" t="s">
        <v>2797</v>
      </c>
      <c r="J193" s="20" t="s">
        <v>2798</v>
      </c>
      <c r="K193" s="20" t="s">
        <v>2799</v>
      </c>
      <c r="L193" s="20" t="s">
        <v>2800</v>
      </c>
      <c r="M193" s="21" t="s">
        <v>2801</v>
      </c>
      <c r="N193" s="25" t="s">
        <v>2802</v>
      </c>
      <c r="O193" s="21" t="s">
        <v>2803</v>
      </c>
      <c r="P193" s="21" t="s">
        <v>320</v>
      </c>
      <c r="Q193" s="20" t="s">
        <v>2804</v>
      </c>
      <c r="R193" s="20" t="s">
        <v>2805</v>
      </c>
      <c r="S193" s="20" t="s">
        <v>2806</v>
      </c>
      <c r="T193" s="20" t="s">
        <v>2805</v>
      </c>
      <c r="U193" s="21" t="s">
        <v>2807</v>
      </c>
      <c r="V193" s="21" t="s">
        <v>320</v>
      </c>
      <c r="W193" s="21" t="s">
        <v>306</v>
      </c>
      <c r="X193" s="20" t="s">
        <v>2808</v>
      </c>
      <c r="Y193" s="20" t="s">
        <v>2809</v>
      </c>
      <c r="Z193" s="20" t="s">
        <v>2808</v>
      </c>
      <c r="AA193" s="23"/>
      <c r="AB193" s="24" t="n">
        <f aca="false">IF(LEN($C193)&gt;0,COUNT(AB$1:AB192)+1,"")</f>
        <v>88</v>
      </c>
      <c r="AC193" s="24" t="str">
        <f aca="false">IF(LEN($D193)&gt;0,COUNT(AC$1:AC192)+1,"")</f>
        <v/>
      </c>
      <c r="AD193" s="24" t="str">
        <f aca="false">IF(LEN($E193)&gt;0,COUNT(AD$1:AD192)+1,"")</f>
        <v/>
      </c>
      <c r="AE193" s="24" t="str">
        <f aca="false">IF(LEN($F193)&gt;0,COUNT(AE$1:AE192)+1,"")</f>
        <v/>
      </c>
    </row>
    <row r="194" customFormat="false" ht="33.75" hidden="false" customHeight="true" outlineLevel="0" collapsed="false">
      <c r="A194" s="18" t="n">
        <f aca="false">IF(B194="","",ROW()-2)</f>
        <v>192</v>
      </c>
      <c r="B194" s="17" t="s">
        <v>2810</v>
      </c>
      <c r="C194" s="19" t="s">
        <v>54</v>
      </c>
      <c r="D194" s="19"/>
      <c r="E194" s="19"/>
      <c r="F194" s="19"/>
      <c r="G194" s="18" t="s">
        <v>13</v>
      </c>
      <c r="H194" s="20" t="s">
        <v>2811</v>
      </c>
      <c r="I194" s="21" t="s">
        <v>2812</v>
      </c>
      <c r="J194" s="20" t="s">
        <v>2813</v>
      </c>
      <c r="K194" s="20" t="s">
        <v>2814</v>
      </c>
      <c r="L194" s="20" t="s">
        <v>2815</v>
      </c>
      <c r="M194" s="21" t="s">
        <v>2816</v>
      </c>
      <c r="N194" s="22" t="s">
        <v>2817</v>
      </c>
      <c r="O194" s="21" t="s">
        <v>2818</v>
      </c>
      <c r="P194" s="21" t="s">
        <v>2819</v>
      </c>
      <c r="Q194" s="21" t="s">
        <v>2820</v>
      </c>
      <c r="R194" s="20" t="s">
        <v>2813</v>
      </c>
      <c r="S194" s="20" t="s">
        <v>2821</v>
      </c>
      <c r="T194" s="20" t="s">
        <v>2822</v>
      </c>
      <c r="U194" s="21" t="s">
        <v>2823</v>
      </c>
      <c r="V194" s="21" t="s">
        <v>2824</v>
      </c>
      <c r="W194" s="21" t="s">
        <v>68</v>
      </c>
      <c r="X194" s="20" t="s">
        <v>2813</v>
      </c>
      <c r="Y194" s="20" t="s">
        <v>2825</v>
      </c>
      <c r="Z194" s="20" t="s">
        <v>2826</v>
      </c>
      <c r="AA194" s="23" t="s">
        <v>87</v>
      </c>
      <c r="AB194" s="24" t="n">
        <f aca="false">IF(LEN($C194)&gt;0,COUNT(AB$1:AB193)+1,"")</f>
        <v>89</v>
      </c>
      <c r="AC194" s="24" t="str">
        <f aca="false">IF(LEN($D194)&gt;0,COUNT(AC$1:AC193)+1,"")</f>
        <v/>
      </c>
      <c r="AD194" s="24" t="str">
        <f aca="false">IF(LEN($E194)&gt;0,COUNT(AD$1:AD193)+1,"")</f>
        <v/>
      </c>
      <c r="AE194" s="24" t="str">
        <f aca="false">IF(LEN($F194)&gt;0,COUNT(AE$1:AE193)+1,"")</f>
        <v/>
      </c>
    </row>
    <row r="195" customFormat="false" ht="22.5" hidden="false" customHeight="true" outlineLevel="0" collapsed="false">
      <c r="A195" s="18" t="n">
        <f aca="false">IF(B195="","",ROW()-2)</f>
        <v>193</v>
      </c>
      <c r="B195" s="18" t="s">
        <v>2827</v>
      </c>
      <c r="C195" s="19" t="s">
        <v>54</v>
      </c>
      <c r="D195" s="19"/>
      <c r="E195" s="19"/>
      <c r="F195" s="19"/>
      <c r="G195" s="18" t="s">
        <v>13</v>
      </c>
      <c r="H195" s="20" t="s">
        <v>2828</v>
      </c>
      <c r="I195" s="21" t="s">
        <v>2829</v>
      </c>
      <c r="J195" s="20" t="s">
        <v>2830</v>
      </c>
      <c r="K195" s="20" t="s">
        <v>2831</v>
      </c>
      <c r="L195" s="20" t="s">
        <v>2832</v>
      </c>
      <c r="M195" s="21" t="s">
        <v>2833</v>
      </c>
      <c r="N195" s="22" t="s">
        <v>2834</v>
      </c>
      <c r="O195" s="21" t="s">
        <v>2829</v>
      </c>
      <c r="P195" s="21" t="s">
        <v>1977</v>
      </c>
      <c r="Q195" s="21" t="s">
        <v>63</v>
      </c>
      <c r="R195" s="20" t="s">
        <v>2830</v>
      </c>
      <c r="S195" s="20" t="s">
        <v>2835</v>
      </c>
      <c r="T195" s="20" t="s">
        <v>2836</v>
      </c>
      <c r="U195" s="21" t="s">
        <v>2837</v>
      </c>
      <c r="V195" s="21" t="s">
        <v>2838</v>
      </c>
      <c r="W195" s="21" t="s">
        <v>2839</v>
      </c>
      <c r="X195" s="20" t="s">
        <v>2830</v>
      </c>
      <c r="Y195" s="20" t="s">
        <v>2840</v>
      </c>
      <c r="Z195" s="20" t="s">
        <v>2841</v>
      </c>
      <c r="AA195" s="23"/>
      <c r="AB195" s="24" t="n">
        <f aca="false">IF(LEN($C195)&gt;0,COUNT(AB$1:AB194)+1,"")</f>
        <v>90</v>
      </c>
      <c r="AC195" s="24" t="str">
        <f aca="false">IF(LEN($D195)&gt;0,COUNT(AC$1:AC194)+1,"")</f>
        <v/>
      </c>
      <c r="AD195" s="24" t="str">
        <f aca="false">IF(LEN($E195)&gt;0,COUNT(AD$1:AD194)+1,"")</f>
        <v/>
      </c>
      <c r="AE195" s="24" t="str">
        <f aca="false">IF(LEN($F195)&gt;0,COUNT(AE$1:AE194)+1,"")</f>
        <v/>
      </c>
    </row>
    <row r="196" customFormat="false" ht="33.75" hidden="false" customHeight="true" outlineLevel="0" collapsed="false">
      <c r="A196" s="18" t="n">
        <f aca="false">IF(B196="","",ROW()-2)</f>
        <v>194</v>
      </c>
      <c r="B196" s="17" t="s">
        <v>2842</v>
      </c>
      <c r="C196" s="19" t="s">
        <v>54</v>
      </c>
      <c r="D196" s="19"/>
      <c r="E196" s="19"/>
      <c r="F196" s="19"/>
      <c r="G196" s="18" t="s">
        <v>13</v>
      </c>
      <c r="H196" s="20" t="s">
        <v>2843</v>
      </c>
      <c r="I196" s="21" t="s">
        <v>2844</v>
      </c>
      <c r="J196" s="20" t="s">
        <v>2845</v>
      </c>
      <c r="K196" s="20" t="s">
        <v>2846</v>
      </c>
      <c r="L196" s="20" t="s">
        <v>2847</v>
      </c>
      <c r="M196" s="21" t="s">
        <v>2848</v>
      </c>
      <c r="N196" s="22" t="s">
        <v>2849</v>
      </c>
      <c r="O196" s="21" t="s">
        <v>2844</v>
      </c>
      <c r="P196" s="20" t="s">
        <v>62</v>
      </c>
      <c r="Q196" s="21" t="s">
        <v>63</v>
      </c>
      <c r="R196" s="20" t="s">
        <v>2845</v>
      </c>
      <c r="S196" s="20" t="s">
        <v>2850</v>
      </c>
      <c r="T196" s="20" t="s">
        <v>2851</v>
      </c>
      <c r="U196" s="21" t="s">
        <v>2852</v>
      </c>
      <c r="V196" s="21" t="s">
        <v>2853</v>
      </c>
      <c r="W196" s="21" t="s">
        <v>1131</v>
      </c>
      <c r="X196" s="20" t="s">
        <v>2854</v>
      </c>
      <c r="Y196" s="20" t="s">
        <v>2847</v>
      </c>
      <c r="Z196" s="20" t="s">
        <v>2855</v>
      </c>
      <c r="AA196" s="23"/>
      <c r="AB196" s="24" t="n">
        <f aca="false">IF(LEN($C196)&gt;0,COUNT(AB$1:AB195)+1,"")</f>
        <v>91</v>
      </c>
      <c r="AC196" s="24" t="str">
        <f aca="false">IF(LEN($D196)&gt;0,COUNT(AC$1:AC195)+1,"")</f>
        <v/>
      </c>
      <c r="AD196" s="24" t="str">
        <f aca="false">IF(LEN($E196)&gt;0,COUNT(AD$1:AD195)+1,"")</f>
        <v/>
      </c>
      <c r="AE196" s="24" t="str">
        <f aca="false">IF(LEN($F196)&gt;0,COUNT(AE$1:AE195)+1,"")</f>
        <v/>
      </c>
    </row>
    <row r="197" customFormat="false" ht="22.5" hidden="false" customHeight="true" outlineLevel="0" collapsed="false">
      <c r="A197" s="18" t="n">
        <f aca="false">IF(B197="","",ROW()-2)</f>
        <v>195</v>
      </c>
      <c r="B197" s="18" t="s">
        <v>2856</v>
      </c>
      <c r="C197" s="19" t="s">
        <v>54</v>
      </c>
      <c r="D197" s="19"/>
      <c r="E197" s="19"/>
      <c r="F197" s="19"/>
      <c r="G197" s="18" t="s">
        <v>13</v>
      </c>
      <c r="H197" s="20" t="s">
        <v>2857</v>
      </c>
      <c r="I197" s="21" t="s">
        <v>2858</v>
      </c>
      <c r="J197" s="20" t="s">
        <v>2859</v>
      </c>
      <c r="K197" s="20" t="s">
        <v>2860</v>
      </c>
      <c r="L197" s="20" t="s">
        <v>2861</v>
      </c>
      <c r="M197" s="21" t="s">
        <v>2862</v>
      </c>
      <c r="N197" s="25" t="s">
        <v>2863</v>
      </c>
      <c r="O197" s="21" t="s">
        <v>2864</v>
      </c>
      <c r="P197" s="21" t="s">
        <v>2865</v>
      </c>
      <c r="Q197" s="21" t="s">
        <v>993</v>
      </c>
      <c r="R197" s="20" t="s">
        <v>2859</v>
      </c>
      <c r="S197" s="20" t="s">
        <v>2866</v>
      </c>
      <c r="T197" s="20" t="s">
        <v>2867</v>
      </c>
      <c r="U197" s="21" t="s">
        <v>2868</v>
      </c>
      <c r="V197" s="21" t="s">
        <v>2865</v>
      </c>
      <c r="W197" s="21" t="s">
        <v>274</v>
      </c>
      <c r="X197" s="20" t="s">
        <v>2859</v>
      </c>
      <c r="Y197" s="20" t="s">
        <v>2869</v>
      </c>
      <c r="Z197" s="20" t="s">
        <v>2870</v>
      </c>
      <c r="AA197" s="23"/>
      <c r="AB197" s="24" t="n">
        <f aca="false">IF(LEN($C197)&gt;0,COUNT(AB$1:AB196)+1,"")</f>
        <v>92</v>
      </c>
      <c r="AC197" s="24" t="str">
        <f aca="false">IF(LEN($D197)&gt;0,COUNT(AC$1:AC196)+1,"")</f>
        <v/>
      </c>
      <c r="AD197" s="24" t="str">
        <f aca="false">IF(LEN($E197)&gt;0,COUNT(AD$1:AD196)+1,"")</f>
        <v/>
      </c>
      <c r="AE197" s="24" t="str">
        <f aca="false">IF(LEN($F197)&gt;0,COUNT(AE$1:AE196)+1,"")</f>
        <v/>
      </c>
    </row>
    <row r="198" customFormat="false" ht="22.5" hidden="false" customHeight="true" outlineLevel="0" collapsed="false">
      <c r="A198" s="18" t="n">
        <f aca="false">IF(B198="","",ROW()-2)</f>
        <v>196</v>
      </c>
      <c r="B198" s="18" t="s">
        <v>2871</v>
      </c>
      <c r="C198" s="19" t="s">
        <v>54</v>
      </c>
      <c r="D198" s="19"/>
      <c r="E198" s="19"/>
      <c r="F198" s="19"/>
      <c r="G198" s="18" t="s">
        <v>13</v>
      </c>
      <c r="H198" s="20" t="s">
        <v>2872</v>
      </c>
      <c r="I198" s="21" t="s">
        <v>2873</v>
      </c>
      <c r="J198" s="20" t="s">
        <v>2874</v>
      </c>
      <c r="K198" s="20" t="s">
        <v>2875</v>
      </c>
      <c r="L198" s="20" t="s">
        <v>2876</v>
      </c>
      <c r="M198" s="21" t="s">
        <v>2877</v>
      </c>
      <c r="N198" s="22" t="s">
        <v>2878</v>
      </c>
      <c r="O198" s="21" t="s">
        <v>2873</v>
      </c>
      <c r="P198" s="21" t="s">
        <v>2614</v>
      </c>
      <c r="Q198" s="21" t="s">
        <v>63</v>
      </c>
      <c r="R198" s="20" t="s">
        <v>2879</v>
      </c>
      <c r="S198" s="20" t="s">
        <v>2880</v>
      </c>
      <c r="T198" s="20" t="s">
        <v>2881</v>
      </c>
      <c r="U198" s="21" t="s">
        <v>2882</v>
      </c>
      <c r="V198" s="21" t="s">
        <v>2883</v>
      </c>
      <c r="W198" s="21" t="s">
        <v>1313</v>
      </c>
      <c r="X198" s="20" t="s">
        <v>2874</v>
      </c>
      <c r="Y198" s="20" t="s">
        <v>2884</v>
      </c>
      <c r="Z198" s="20" t="s">
        <v>2885</v>
      </c>
      <c r="AA198" s="23"/>
      <c r="AB198" s="24" t="n">
        <f aca="false">IF(LEN($C198)&gt;0,COUNT(AB$1:AB197)+1,"")</f>
        <v>93</v>
      </c>
      <c r="AC198" s="24" t="str">
        <f aca="false">IF(LEN($D198)&gt;0,COUNT(AC$1:AC197)+1,"")</f>
        <v/>
      </c>
      <c r="AD198" s="24" t="str">
        <f aca="false">IF(LEN($E198)&gt;0,COUNT(AD$1:AD197)+1,"")</f>
        <v/>
      </c>
      <c r="AE198" s="24" t="str">
        <f aca="false">IF(LEN($F198)&gt;0,COUNT(AE$1:AE197)+1,"")</f>
        <v/>
      </c>
    </row>
    <row r="199" customFormat="false" ht="33.75" hidden="false" customHeight="true" outlineLevel="0" collapsed="false">
      <c r="A199" s="18" t="n">
        <f aca="false">IF(B199="","",ROW()-2)</f>
        <v>197</v>
      </c>
      <c r="B199" s="17" t="s">
        <v>2886</v>
      </c>
      <c r="C199" s="19" t="s">
        <v>54</v>
      </c>
      <c r="D199" s="19"/>
      <c r="E199" s="19"/>
      <c r="F199" s="19"/>
      <c r="G199" s="18" t="s">
        <v>13</v>
      </c>
      <c r="H199" s="20" t="s">
        <v>2887</v>
      </c>
      <c r="I199" s="21" t="s">
        <v>2888</v>
      </c>
      <c r="J199" s="20" t="s">
        <v>2889</v>
      </c>
      <c r="K199" s="20" t="s">
        <v>2890</v>
      </c>
      <c r="L199" s="20" t="s">
        <v>2891</v>
      </c>
      <c r="M199" s="21" t="s">
        <v>2892</v>
      </c>
      <c r="N199" s="22" t="s">
        <v>2893</v>
      </c>
      <c r="O199" s="21" t="s">
        <v>2888</v>
      </c>
      <c r="P199" s="21" t="s">
        <v>63</v>
      </c>
      <c r="Q199" s="21" t="s">
        <v>63</v>
      </c>
      <c r="R199" s="20" t="s">
        <v>2894</v>
      </c>
      <c r="S199" s="20" t="s">
        <v>2895</v>
      </c>
      <c r="T199" s="20" t="s">
        <v>2894</v>
      </c>
      <c r="U199" s="21" t="s">
        <v>2896</v>
      </c>
      <c r="V199" s="21" t="s">
        <v>1074</v>
      </c>
      <c r="W199" s="21" t="s">
        <v>84</v>
      </c>
      <c r="X199" s="20" t="s">
        <v>2889</v>
      </c>
      <c r="Y199" s="20" t="s">
        <v>2897</v>
      </c>
      <c r="Z199" s="20" t="s">
        <v>2898</v>
      </c>
      <c r="AA199" s="23"/>
      <c r="AB199" s="24" t="n">
        <f aca="false">IF(LEN($C199)&gt;0,COUNT(AB$1:AB198)+1,"")</f>
        <v>94</v>
      </c>
      <c r="AC199" s="24" t="str">
        <f aca="false">IF(LEN($D199)&gt;0,COUNT(AC$1:AC198)+1,"")</f>
        <v/>
      </c>
      <c r="AD199" s="24" t="str">
        <f aca="false">IF(LEN($E199)&gt;0,COUNT(AD$1:AD198)+1,"")</f>
        <v/>
      </c>
      <c r="AE199" s="24" t="str">
        <f aca="false">IF(LEN($F199)&gt;0,COUNT(AE$1:AE198)+1,"")</f>
        <v/>
      </c>
    </row>
    <row r="200" customFormat="false" ht="22.5" hidden="false" customHeight="true" outlineLevel="0" collapsed="false">
      <c r="A200" s="18" t="n">
        <f aca="false">IF(B200="","",ROW()-2)</f>
        <v>198</v>
      </c>
      <c r="B200" s="18" t="s">
        <v>2899</v>
      </c>
      <c r="C200" s="19" t="s">
        <v>54</v>
      </c>
      <c r="D200" s="19"/>
      <c r="E200" s="19"/>
      <c r="F200" s="19"/>
      <c r="G200" s="18" t="s">
        <v>13</v>
      </c>
      <c r="H200" s="20" t="s">
        <v>2900</v>
      </c>
      <c r="I200" s="21" t="s">
        <v>2901</v>
      </c>
      <c r="J200" s="20" t="s">
        <v>2902</v>
      </c>
      <c r="K200" s="20" t="s">
        <v>2903</v>
      </c>
      <c r="L200" s="20" t="s">
        <v>2904</v>
      </c>
      <c r="M200" s="21" t="s">
        <v>2905</v>
      </c>
      <c r="N200" s="25" t="s">
        <v>2906</v>
      </c>
      <c r="O200" s="21" t="s">
        <v>2901</v>
      </c>
      <c r="P200" s="21" t="s">
        <v>121</v>
      </c>
      <c r="Q200" s="21" t="s">
        <v>63</v>
      </c>
      <c r="R200" s="20" t="s">
        <v>2902</v>
      </c>
      <c r="S200" s="20" t="s">
        <v>2907</v>
      </c>
      <c r="T200" s="20" t="s">
        <v>2908</v>
      </c>
      <c r="U200" s="21" t="s">
        <v>2909</v>
      </c>
      <c r="V200" s="21" t="s">
        <v>2910</v>
      </c>
      <c r="W200" s="21" t="s">
        <v>68</v>
      </c>
      <c r="X200" s="20" t="s">
        <v>2902</v>
      </c>
      <c r="Y200" s="20" t="s">
        <v>2911</v>
      </c>
      <c r="Z200" s="20" t="s">
        <v>2912</v>
      </c>
      <c r="AA200" s="23"/>
      <c r="AB200" s="24" t="n">
        <f aca="false">IF(LEN($C200)&gt;0,COUNT(AB$1:AB199)+1,"")</f>
        <v>95</v>
      </c>
      <c r="AC200" s="24" t="str">
        <f aca="false">IF(LEN($D200)&gt;0,COUNT(AC$1:AC199)+1,"")</f>
        <v/>
      </c>
      <c r="AD200" s="24" t="str">
        <f aca="false">IF(LEN($E200)&gt;0,COUNT(AD$1:AD199)+1,"")</f>
        <v/>
      </c>
      <c r="AE200" s="24" t="str">
        <f aca="false">IF(LEN($F200)&gt;0,COUNT(AE$1:AE199)+1,"")</f>
        <v/>
      </c>
    </row>
    <row r="201" customFormat="false" ht="60.75" hidden="false" customHeight="true" outlineLevel="0" collapsed="false">
      <c r="A201" s="18" t="n">
        <f aca="false">IF(B201="","",ROW()-2)</f>
        <v>199</v>
      </c>
      <c r="B201" s="18" t="s">
        <v>2913</v>
      </c>
      <c r="C201" s="19" t="s">
        <v>54</v>
      </c>
      <c r="D201" s="19"/>
      <c r="E201" s="19"/>
      <c r="F201" s="19"/>
      <c r="G201" s="18" t="s">
        <v>14</v>
      </c>
      <c r="H201" s="20" t="s">
        <v>2914</v>
      </c>
      <c r="I201" s="21" t="s">
        <v>2915</v>
      </c>
      <c r="J201" s="20" t="s">
        <v>2916</v>
      </c>
      <c r="K201" s="20" t="s">
        <v>2917</v>
      </c>
      <c r="L201" s="20" t="s">
        <v>2918</v>
      </c>
      <c r="M201" s="20" t="s">
        <v>2919</v>
      </c>
      <c r="N201" s="25" t="s">
        <v>2920</v>
      </c>
      <c r="O201" s="21" t="s">
        <v>2921</v>
      </c>
      <c r="P201" s="21" t="s">
        <v>2922</v>
      </c>
      <c r="Q201" s="21" t="s">
        <v>238</v>
      </c>
      <c r="R201" s="20" t="s">
        <v>2923</v>
      </c>
      <c r="S201" s="20" t="s">
        <v>2924</v>
      </c>
      <c r="T201" s="20" t="s">
        <v>2925</v>
      </c>
      <c r="U201" s="21" t="s">
        <v>2926</v>
      </c>
      <c r="V201" s="21" t="s">
        <v>2927</v>
      </c>
      <c r="W201" s="21" t="s">
        <v>2025</v>
      </c>
      <c r="X201" s="20" t="s">
        <v>2928</v>
      </c>
      <c r="Y201" s="20" t="s">
        <v>2929</v>
      </c>
      <c r="Z201" s="20" t="s">
        <v>2930</v>
      </c>
      <c r="AA201" s="23"/>
      <c r="AB201" s="24" t="n">
        <f aca="false">IF(LEN($C201)&gt;0,COUNT(AB$1:AB200)+1,"")</f>
        <v>96</v>
      </c>
      <c r="AC201" s="24" t="str">
        <f aca="false">IF(LEN($D201)&gt;0,COUNT(AC$1:AC200)+1,"")</f>
        <v/>
      </c>
      <c r="AD201" s="24" t="str">
        <f aca="false">IF(LEN($E201)&gt;0,COUNT(AD$1:AD200)+1,"")</f>
        <v/>
      </c>
      <c r="AE201" s="24" t="str">
        <f aca="false">IF(LEN($F201)&gt;0,COUNT(AE$1:AE200)+1,"")</f>
        <v/>
      </c>
    </row>
    <row r="202" customFormat="false" ht="22.5" hidden="false" customHeight="true" outlineLevel="0" collapsed="false">
      <c r="A202" s="18" t="n">
        <f aca="false">IF(B202="","",ROW()-2)</f>
        <v>200</v>
      </c>
      <c r="B202" s="17" t="s">
        <v>2931</v>
      </c>
      <c r="C202" s="19" t="s">
        <v>54</v>
      </c>
      <c r="D202" s="19"/>
      <c r="E202" s="19"/>
      <c r="F202" s="19"/>
      <c r="G202" s="18" t="s">
        <v>13</v>
      </c>
      <c r="H202" s="20" t="s">
        <v>2932</v>
      </c>
      <c r="I202" s="21" t="s">
        <v>2933</v>
      </c>
      <c r="J202" s="20" t="s">
        <v>2934</v>
      </c>
      <c r="K202" s="20" t="s">
        <v>2935</v>
      </c>
      <c r="L202" s="20" t="s">
        <v>2936</v>
      </c>
      <c r="M202" s="21" t="s">
        <v>2937</v>
      </c>
      <c r="N202" s="25" t="s">
        <v>2938</v>
      </c>
      <c r="O202" s="21" t="s">
        <v>2939</v>
      </c>
      <c r="P202" s="21" t="s">
        <v>2940</v>
      </c>
      <c r="Q202" s="21" t="s">
        <v>601</v>
      </c>
      <c r="R202" s="20" t="s">
        <v>2934</v>
      </c>
      <c r="S202" s="20" t="s">
        <v>2941</v>
      </c>
      <c r="T202" s="20" t="s">
        <v>2942</v>
      </c>
      <c r="U202" s="21" t="s">
        <v>2943</v>
      </c>
      <c r="V202" s="21" t="s">
        <v>2944</v>
      </c>
      <c r="W202" s="21" t="s">
        <v>765</v>
      </c>
      <c r="X202" s="20" t="s">
        <v>2934</v>
      </c>
      <c r="Y202" s="20" t="s">
        <v>2945</v>
      </c>
      <c r="Z202" s="20" t="s">
        <v>2946</v>
      </c>
      <c r="AA202" s="23" t="s">
        <v>87</v>
      </c>
      <c r="AB202" s="24" t="n">
        <f aca="false">IF(LEN($C202)&gt;0,COUNT(AB$1:AB201)+1,"")</f>
        <v>97</v>
      </c>
      <c r="AC202" s="24" t="str">
        <f aca="false">IF(LEN($D202)&gt;0,COUNT(AC$1:AC201)+1,"")</f>
        <v/>
      </c>
      <c r="AD202" s="24" t="str">
        <f aca="false">IF(LEN($E202)&gt;0,COUNT(AD$1:AD201)+1,"")</f>
        <v/>
      </c>
      <c r="AE202" s="24" t="str">
        <f aca="false">IF(LEN($F202)&gt;0,COUNT(AE$1:AE201)+1,"")</f>
        <v/>
      </c>
    </row>
    <row r="203" customFormat="false" ht="33.75" hidden="false" customHeight="true" outlineLevel="0" collapsed="false">
      <c r="A203" s="18" t="n">
        <f aca="false">IF(B203="","",ROW()-2)</f>
        <v>201</v>
      </c>
      <c r="B203" s="18" t="s">
        <v>2947</v>
      </c>
      <c r="C203" s="19" t="s">
        <v>54</v>
      </c>
      <c r="D203" s="19" t="s">
        <v>54</v>
      </c>
      <c r="E203" s="19" t="s">
        <v>54</v>
      </c>
      <c r="F203" s="19" t="s">
        <v>54</v>
      </c>
      <c r="G203" s="26" t="s">
        <v>12</v>
      </c>
      <c r="H203" s="20" t="s">
        <v>2948</v>
      </c>
      <c r="I203" s="21" t="s">
        <v>2949</v>
      </c>
      <c r="J203" s="20" t="s">
        <v>2950</v>
      </c>
      <c r="K203" s="20" t="s">
        <v>2951</v>
      </c>
      <c r="L203" s="20" t="s">
        <v>2952</v>
      </c>
      <c r="M203" s="21" t="s">
        <v>2953</v>
      </c>
      <c r="N203" s="25" t="s">
        <v>2954</v>
      </c>
      <c r="O203" s="21" t="s">
        <v>2955</v>
      </c>
      <c r="P203" s="21" t="s">
        <v>2956</v>
      </c>
      <c r="Q203" s="21" t="s">
        <v>2957</v>
      </c>
      <c r="R203" s="20" t="s">
        <v>2958</v>
      </c>
      <c r="S203" s="20" t="s">
        <v>2959</v>
      </c>
      <c r="T203" s="20" t="s">
        <v>2960</v>
      </c>
      <c r="U203" s="21" t="s">
        <v>2961</v>
      </c>
      <c r="V203" s="20" t="s">
        <v>2962</v>
      </c>
      <c r="W203" s="21" t="s">
        <v>2963</v>
      </c>
      <c r="X203" s="20" t="s">
        <v>2964</v>
      </c>
      <c r="Y203" s="20" t="s">
        <v>2965</v>
      </c>
      <c r="Z203" s="20" t="s">
        <v>2966</v>
      </c>
      <c r="AA203" s="27"/>
      <c r="AB203" s="24" t="n">
        <f aca="false">IF(LEN($C203)&gt;0,COUNT(AB$1:AB202)+1,"")</f>
        <v>98</v>
      </c>
      <c r="AC203" s="24" t="n">
        <f aca="false">IF(LEN($D203)&gt;0,COUNT(AC$1:AC202)+1,"")</f>
        <v>117</v>
      </c>
      <c r="AD203" s="24" t="n">
        <f aca="false">IF(LEN($E203)&gt;0,COUNT(AD$1:AD202)+1,"")</f>
        <v>18</v>
      </c>
      <c r="AE203" s="24" t="n">
        <f aca="false">IF(LEN($F203)&gt;0,COUNT(AE$1:AE202)+1,"")</f>
        <v>6</v>
      </c>
    </row>
    <row r="204" customFormat="false" ht="22.5" hidden="false" customHeight="true" outlineLevel="0" collapsed="false">
      <c r="A204" s="18" t="n">
        <f aca="false">IF(B204="","",ROW()-2)</f>
        <v>202</v>
      </c>
      <c r="B204" s="18" t="s">
        <v>2967</v>
      </c>
      <c r="C204" s="19" t="s">
        <v>54</v>
      </c>
      <c r="D204" s="19"/>
      <c r="E204" s="19"/>
      <c r="F204" s="19"/>
      <c r="G204" s="26" t="s">
        <v>12</v>
      </c>
      <c r="H204" s="20" t="s">
        <v>2968</v>
      </c>
      <c r="I204" s="21" t="s">
        <v>2969</v>
      </c>
      <c r="J204" s="20" t="s">
        <v>2970</v>
      </c>
      <c r="K204" s="20" t="s">
        <v>2971</v>
      </c>
      <c r="L204" s="20" t="s">
        <v>2972</v>
      </c>
      <c r="M204" s="21" t="s">
        <v>2973</v>
      </c>
      <c r="N204" s="25" t="s">
        <v>2974</v>
      </c>
      <c r="O204" s="21" t="s">
        <v>2975</v>
      </c>
      <c r="P204" s="20" t="s">
        <v>2976</v>
      </c>
      <c r="Q204" s="21" t="s">
        <v>2977</v>
      </c>
      <c r="R204" s="20" t="s">
        <v>2970</v>
      </c>
      <c r="S204" s="20" t="s">
        <v>2978</v>
      </c>
      <c r="T204" s="20" t="s">
        <v>2979</v>
      </c>
      <c r="U204" s="21" t="s">
        <v>2980</v>
      </c>
      <c r="V204" s="20" t="s">
        <v>2981</v>
      </c>
      <c r="W204" s="21" t="s">
        <v>1131</v>
      </c>
      <c r="X204" s="20" t="s">
        <v>2970</v>
      </c>
      <c r="Y204" s="20" t="s">
        <v>2982</v>
      </c>
      <c r="Z204" s="20" t="s">
        <v>2983</v>
      </c>
      <c r="AA204" s="27"/>
      <c r="AB204" s="24" t="n">
        <f aca="false">IF(LEN($C204)&gt;0,COUNT(AB$1:AB203)+1,"")</f>
        <v>99</v>
      </c>
      <c r="AC204" s="24" t="str">
        <f aca="false">IF(LEN($D204)&gt;0,COUNT(AC$1:AC203)+1,"")</f>
        <v/>
      </c>
      <c r="AD204" s="24" t="str">
        <f aca="false">IF(LEN($E204)&gt;0,COUNT(AD$1:AD203)+1,"")</f>
        <v/>
      </c>
      <c r="AE204" s="24" t="str">
        <f aca="false">IF(LEN($F204)&gt;0,COUNT(AE$1:AE203)+1,"")</f>
        <v/>
      </c>
    </row>
    <row r="205" customFormat="false" ht="22.5" hidden="false" customHeight="true" outlineLevel="0" collapsed="false">
      <c r="A205" s="18" t="n">
        <f aca="false">IF(B205="","",ROW()-2)</f>
        <v>203</v>
      </c>
      <c r="B205" s="17" t="s">
        <v>2984</v>
      </c>
      <c r="C205" s="19" t="s">
        <v>54</v>
      </c>
      <c r="D205" s="19"/>
      <c r="E205" s="19"/>
      <c r="F205" s="19"/>
      <c r="G205" s="18" t="s">
        <v>13</v>
      </c>
      <c r="H205" s="20" t="s">
        <v>2985</v>
      </c>
      <c r="I205" s="21" t="s">
        <v>2986</v>
      </c>
      <c r="J205" s="20" t="s">
        <v>2987</v>
      </c>
      <c r="K205" s="20" t="s">
        <v>2988</v>
      </c>
      <c r="L205" s="20" t="s">
        <v>2989</v>
      </c>
      <c r="M205" s="21" t="s">
        <v>2990</v>
      </c>
      <c r="N205" s="25" t="s">
        <v>2991</v>
      </c>
      <c r="O205" s="21" t="s">
        <v>2986</v>
      </c>
      <c r="P205" s="21" t="s">
        <v>1127</v>
      </c>
      <c r="Q205" s="21" t="s">
        <v>63</v>
      </c>
      <c r="R205" s="20" t="s">
        <v>2987</v>
      </c>
      <c r="S205" s="20" t="s">
        <v>2992</v>
      </c>
      <c r="T205" s="20" t="s">
        <v>2993</v>
      </c>
      <c r="U205" s="21" t="s">
        <v>2994</v>
      </c>
      <c r="V205" s="21" t="s">
        <v>320</v>
      </c>
      <c r="W205" s="21" t="s">
        <v>353</v>
      </c>
      <c r="X205" s="20" t="s">
        <v>2987</v>
      </c>
      <c r="Y205" s="20" t="s">
        <v>2989</v>
      </c>
      <c r="Z205" s="20" t="s">
        <v>2995</v>
      </c>
      <c r="AA205" s="23" t="s">
        <v>87</v>
      </c>
      <c r="AB205" s="24" t="n">
        <f aca="false">IF(LEN($C205)&gt;0,COUNT(AB$1:AB204)+1,"")</f>
        <v>100</v>
      </c>
      <c r="AC205" s="24" t="str">
        <f aca="false">IF(LEN($D205)&gt;0,COUNT(AC$1:AC204)+1,"")</f>
        <v/>
      </c>
      <c r="AD205" s="24" t="str">
        <f aca="false">IF(LEN($E205)&gt;0,COUNT(AD$1:AD204)+1,"")</f>
        <v/>
      </c>
      <c r="AE205" s="24" t="str">
        <f aca="false">IF(LEN($F205)&gt;0,COUNT(AE$1:AE204)+1,"")</f>
        <v/>
      </c>
    </row>
    <row r="206" customFormat="false" ht="33.75" hidden="false" customHeight="true" outlineLevel="0" collapsed="false">
      <c r="A206" s="18" t="n">
        <f aca="false">IF(B206="","",ROW()-2)</f>
        <v>204</v>
      </c>
      <c r="B206" s="18" t="s">
        <v>2996</v>
      </c>
      <c r="C206" s="19" t="s">
        <v>54</v>
      </c>
      <c r="D206" s="19"/>
      <c r="E206" s="19"/>
      <c r="F206" s="19"/>
      <c r="G206" s="18" t="s">
        <v>13</v>
      </c>
      <c r="H206" s="20" t="s">
        <v>2997</v>
      </c>
      <c r="I206" s="21" t="s">
        <v>2998</v>
      </c>
      <c r="J206" s="20" t="s">
        <v>2999</v>
      </c>
      <c r="K206" s="20" t="s">
        <v>3000</v>
      </c>
      <c r="L206" s="20" t="s">
        <v>3001</v>
      </c>
      <c r="M206" s="21" t="s">
        <v>3002</v>
      </c>
      <c r="N206" s="22" t="s">
        <v>3003</v>
      </c>
      <c r="O206" s="21" t="s">
        <v>3004</v>
      </c>
      <c r="P206" s="20" t="s">
        <v>286</v>
      </c>
      <c r="Q206" s="21" t="s">
        <v>63</v>
      </c>
      <c r="R206" s="20" t="s">
        <v>3005</v>
      </c>
      <c r="S206" s="20" t="s">
        <v>3006</v>
      </c>
      <c r="T206" s="20" t="s">
        <v>3007</v>
      </c>
      <c r="U206" s="21" t="s">
        <v>3008</v>
      </c>
      <c r="V206" s="21" t="s">
        <v>156</v>
      </c>
      <c r="W206" s="21" t="s">
        <v>84</v>
      </c>
      <c r="X206" s="20" t="s">
        <v>3009</v>
      </c>
      <c r="Y206" s="20" t="s">
        <v>3010</v>
      </c>
      <c r="Z206" s="20" t="s">
        <v>3011</v>
      </c>
      <c r="AA206" s="23"/>
      <c r="AB206" s="24" t="n">
        <f aca="false">IF(LEN($C206)&gt;0,COUNT(AB$1:AB205)+1,"")</f>
        <v>101</v>
      </c>
      <c r="AC206" s="24" t="str">
        <f aca="false">IF(LEN($D206)&gt;0,COUNT(AC$1:AC205)+1,"")</f>
        <v/>
      </c>
      <c r="AD206" s="24" t="str">
        <f aca="false">IF(LEN($E206)&gt;0,COUNT(AD$1:AD205)+1,"")</f>
        <v/>
      </c>
      <c r="AE206" s="24" t="str">
        <f aca="false">IF(LEN($F206)&gt;0,COUNT(AE$1:AE205)+1,"")</f>
        <v/>
      </c>
    </row>
    <row r="207" customFormat="false" ht="33.75" hidden="false" customHeight="true" outlineLevel="0" collapsed="false">
      <c r="A207" s="18" t="n">
        <f aca="false">IF(B207="","",ROW()-2)</f>
        <v>205</v>
      </c>
      <c r="B207" s="17" t="s">
        <v>3012</v>
      </c>
      <c r="C207" s="19" t="s">
        <v>54</v>
      </c>
      <c r="D207" s="19"/>
      <c r="E207" s="19"/>
      <c r="F207" s="19"/>
      <c r="G207" s="18" t="s">
        <v>13</v>
      </c>
      <c r="H207" s="20" t="s">
        <v>3013</v>
      </c>
      <c r="I207" s="21" t="s">
        <v>3014</v>
      </c>
      <c r="J207" s="20" t="s">
        <v>3015</v>
      </c>
      <c r="K207" s="20" t="s">
        <v>3016</v>
      </c>
      <c r="L207" s="20" t="s">
        <v>3017</v>
      </c>
      <c r="M207" s="21" t="s">
        <v>3018</v>
      </c>
      <c r="N207" s="25" t="s">
        <v>3019</v>
      </c>
      <c r="O207" s="21" t="s">
        <v>756</v>
      </c>
      <c r="P207" s="20" t="s">
        <v>3020</v>
      </c>
      <c r="Q207" s="21" t="s">
        <v>68</v>
      </c>
      <c r="R207" s="20" t="s">
        <v>3015</v>
      </c>
      <c r="S207" s="20" t="s">
        <v>3021</v>
      </c>
      <c r="T207" s="20" t="s">
        <v>3022</v>
      </c>
      <c r="U207" s="21" t="s">
        <v>3023</v>
      </c>
      <c r="V207" s="20" t="s">
        <v>3020</v>
      </c>
      <c r="W207" s="21" t="s">
        <v>84</v>
      </c>
      <c r="X207" s="20" t="s">
        <v>3015</v>
      </c>
      <c r="Y207" s="20" t="s">
        <v>3024</v>
      </c>
      <c r="Z207" s="20" t="s">
        <v>3025</v>
      </c>
      <c r="AA207" s="23"/>
      <c r="AB207" s="24" t="n">
        <f aca="false">IF(LEN($C207)&gt;0,COUNT(AB$1:AB206)+1,"")</f>
        <v>102</v>
      </c>
      <c r="AC207" s="24" t="str">
        <f aca="false">IF(LEN($D207)&gt;0,COUNT(AC$1:AC206)+1,"")</f>
        <v/>
      </c>
      <c r="AD207" s="24" t="str">
        <f aca="false">IF(LEN($E207)&gt;0,COUNT(AD$1:AD206)+1,"")</f>
        <v/>
      </c>
      <c r="AE207" s="24" t="str">
        <f aca="false">IF(LEN($F207)&gt;0,COUNT(AE$1:AE206)+1,"")</f>
        <v/>
      </c>
    </row>
    <row r="208" customFormat="false" ht="22.5" hidden="false" customHeight="true" outlineLevel="0" collapsed="false">
      <c r="A208" s="18" t="n">
        <f aca="false">IF(B208="","",ROW()-2)</f>
        <v>206</v>
      </c>
      <c r="B208" s="18" t="s">
        <v>3026</v>
      </c>
      <c r="C208" s="19" t="s">
        <v>54</v>
      </c>
      <c r="D208" s="19"/>
      <c r="E208" s="19"/>
      <c r="F208" s="19"/>
      <c r="G208" s="18" t="s">
        <v>13</v>
      </c>
      <c r="H208" s="20" t="s">
        <v>3027</v>
      </c>
      <c r="I208" s="21" t="s">
        <v>1342</v>
      </c>
      <c r="J208" s="20" t="s">
        <v>3028</v>
      </c>
      <c r="K208" s="20" t="s">
        <v>3029</v>
      </c>
      <c r="L208" s="20" t="s">
        <v>3030</v>
      </c>
      <c r="M208" s="20" t="s">
        <v>3031</v>
      </c>
      <c r="N208" s="22" t="s">
        <v>3032</v>
      </c>
      <c r="O208" s="21" t="s">
        <v>1342</v>
      </c>
      <c r="P208" s="21" t="s">
        <v>1977</v>
      </c>
      <c r="Q208" s="21" t="s">
        <v>63</v>
      </c>
      <c r="R208" s="20" t="s">
        <v>3028</v>
      </c>
      <c r="S208" s="20" t="s">
        <v>3033</v>
      </c>
      <c r="T208" s="20" t="s">
        <v>3034</v>
      </c>
      <c r="U208" s="21" t="s">
        <v>3035</v>
      </c>
      <c r="V208" s="21" t="s">
        <v>2524</v>
      </c>
      <c r="W208" s="21" t="s">
        <v>3036</v>
      </c>
      <c r="X208" s="20" t="s">
        <v>3028</v>
      </c>
      <c r="Y208" s="20" t="s">
        <v>3037</v>
      </c>
      <c r="Z208" s="20" t="s">
        <v>3038</v>
      </c>
      <c r="AA208" s="23"/>
      <c r="AB208" s="24" t="n">
        <f aca="false">IF(LEN($C208)&gt;0,COUNT(AB$1:AB207)+1,"")</f>
        <v>103</v>
      </c>
      <c r="AC208" s="24" t="str">
        <f aca="false">IF(LEN($D208)&gt;0,COUNT(AC$1:AC207)+1,"")</f>
        <v/>
      </c>
      <c r="AD208" s="24" t="str">
        <f aca="false">IF(LEN($E208)&gt;0,COUNT(AD$1:AD207)+1,"")</f>
        <v/>
      </c>
      <c r="AE208" s="24" t="str">
        <f aca="false">IF(LEN($F208)&gt;0,COUNT(AE$1:AE207)+1,"")</f>
        <v/>
      </c>
    </row>
    <row r="209" customFormat="false" ht="22.5" hidden="false" customHeight="true" outlineLevel="0" collapsed="false">
      <c r="A209" s="18" t="n">
        <f aca="false">IF(B209="","",ROW()-2)</f>
        <v>207</v>
      </c>
      <c r="B209" s="17" t="s">
        <v>3039</v>
      </c>
      <c r="C209" s="19" t="s">
        <v>54</v>
      </c>
      <c r="D209" s="19"/>
      <c r="E209" s="19"/>
      <c r="F209" s="19"/>
      <c r="G209" s="18" t="s">
        <v>13</v>
      </c>
      <c r="H209" s="20" t="s">
        <v>3040</v>
      </c>
      <c r="I209" s="21" t="s">
        <v>3041</v>
      </c>
      <c r="J209" s="20" t="s">
        <v>3042</v>
      </c>
      <c r="K209" s="20" t="s">
        <v>3043</v>
      </c>
      <c r="L209" s="20" t="s">
        <v>3044</v>
      </c>
      <c r="M209" s="21" t="s">
        <v>3045</v>
      </c>
      <c r="N209" s="22" t="s">
        <v>3046</v>
      </c>
      <c r="O209" s="21" t="s">
        <v>3047</v>
      </c>
      <c r="P209" s="21" t="s">
        <v>320</v>
      </c>
      <c r="Q209" s="21" t="s">
        <v>584</v>
      </c>
      <c r="R209" s="20" t="s">
        <v>3042</v>
      </c>
      <c r="S209" s="20" t="s">
        <v>3048</v>
      </c>
      <c r="T209" s="20" t="s">
        <v>3049</v>
      </c>
      <c r="U209" s="21" t="s">
        <v>3047</v>
      </c>
      <c r="V209" s="21" t="s">
        <v>320</v>
      </c>
      <c r="W209" s="21" t="s">
        <v>584</v>
      </c>
      <c r="X209" s="20" t="s">
        <v>3042</v>
      </c>
      <c r="Y209" s="20" t="s">
        <v>3048</v>
      </c>
      <c r="Z209" s="20" t="s">
        <v>3049</v>
      </c>
      <c r="AA209" s="23"/>
      <c r="AB209" s="24" t="n">
        <f aca="false">IF(LEN($C209)&gt;0,COUNT(AB$1:AB208)+1,"")</f>
        <v>104</v>
      </c>
      <c r="AC209" s="24" t="str">
        <f aca="false">IF(LEN($D209)&gt;0,COUNT(AC$1:AC208)+1,"")</f>
        <v/>
      </c>
      <c r="AD209" s="24" t="str">
        <f aca="false">IF(LEN($E209)&gt;0,COUNT(AD$1:AD208)+1,"")</f>
        <v/>
      </c>
      <c r="AE209" s="24" t="str">
        <f aca="false">IF(LEN($F209)&gt;0,COUNT(AE$1:AE208)+1,"")</f>
        <v/>
      </c>
    </row>
    <row r="210" customFormat="false" ht="22.5" hidden="false" customHeight="true" outlineLevel="0" collapsed="false">
      <c r="A210" s="18" t="n">
        <f aca="false">IF(B210="","",ROW()-2)</f>
        <v>208</v>
      </c>
      <c r="B210" s="18" t="s">
        <v>3050</v>
      </c>
      <c r="C210" s="19" t="s">
        <v>54</v>
      </c>
      <c r="D210" s="19"/>
      <c r="E210" s="19"/>
      <c r="F210" s="19"/>
      <c r="G210" s="18" t="s">
        <v>13</v>
      </c>
      <c r="H210" s="20" t="s">
        <v>3051</v>
      </c>
      <c r="I210" s="21" t="s">
        <v>3052</v>
      </c>
      <c r="J210" s="20" t="s">
        <v>3053</v>
      </c>
      <c r="K210" s="20" t="s">
        <v>3054</v>
      </c>
      <c r="L210" s="20" t="s">
        <v>3055</v>
      </c>
      <c r="M210" s="21" t="s">
        <v>3056</v>
      </c>
      <c r="N210" s="25" t="s">
        <v>3057</v>
      </c>
      <c r="O210" s="21" t="s">
        <v>3058</v>
      </c>
      <c r="P210" s="21" t="s">
        <v>3059</v>
      </c>
      <c r="Q210" s="21" t="s">
        <v>3060</v>
      </c>
      <c r="R210" s="20" t="s">
        <v>3053</v>
      </c>
      <c r="S210" s="20" t="s">
        <v>3061</v>
      </c>
      <c r="T210" s="20" t="s">
        <v>3062</v>
      </c>
      <c r="U210" s="21" t="s">
        <v>3063</v>
      </c>
      <c r="V210" s="21" t="s">
        <v>3059</v>
      </c>
      <c r="W210" s="21" t="s">
        <v>3064</v>
      </c>
      <c r="X210" s="20" t="s">
        <v>3053</v>
      </c>
      <c r="Y210" s="20" t="s">
        <v>3055</v>
      </c>
      <c r="Z210" s="20" t="s">
        <v>3065</v>
      </c>
      <c r="AA210" s="23"/>
      <c r="AB210" s="24" t="n">
        <f aca="false">IF(LEN($C210)&gt;0,COUNT(AB$1:AB209)+1,"")</f>
        <v>105</v>
      </c>
      <c r="AC210" s="24" t="str">
        <f aca="false">IF(LEN($D210)&gt;0,COUNT(AC$1:AC209)+1,"")</f>
        <v/>
      </c>
      <c r="AD210" s="24" t="str">
        <f aca="false">IF(LEN($E210)&gt;0,COUNT(AD$1:AD209)+1,"")</f>
        <v/>
      </c>
      <c r="AE210" s="24" t="str">
        <f aca="false">IF(LEN($F210)&gt;0,COUNT(AE$1:AE209)+1,"")</f>
        <v/>
      </c>
    </row>
    <row r="211" customFormat="false" ht="22.5" hidden="false" customHeight="true" outlineLevel="0" collapsed="false">
      <c r="A211" s="18" t="n">
        <f aca="false">IF(B211="","",ROW()-2)</f>
        <v>209</v>
      </c>
      <c r="B211" s="18" t="s">
        <v>3066</v>
      </c>
      <c r="C211" s="19" t="s">
        <v>54</v>
      </c>
      <c r="D211" s="19"/>
      <c r="E211" s="19"/>
      <c r="F211" s="19"/>
      <c r="G211" s="18" t="s">
        <v>13</v>
      </c>
      <c r="H211" s="20" t="s">
        <v>3067</v>
      </c>
      <c r="I211" s="21" t="s">
        <v>3068</v>
      </c>
      <c r="J211" s="20" t="s">
        <v>3069</v>
      </c>
      <c r="K211" s="20" t="s">
        <v>3070</v>
      </c>
      <c r="L211" s="20" t="s">
        <v>3071</v>
      </c>
      <c r="M211" s="21" t="s">
        <v>3072</v>
      </c>
      <c r="N211" s="22" t="s">
        <v>3073</v>
      </c>
      <c r="O211" s="21" t="s">
        <v>3074</v>
      </c>
      <c r="P211" s="20" t="s">
        <v>2804</v>
      </c>
      <c r="Q211" s="20" t="s">
        <v>2804</v>
      </c>
      <c r="R211" s="20" t="s">
        <v>3075</v>
      </c>
      <c r="S211" s="20" t="s">
        <v>3071</v>
      </c>
      <c r="T211" s="20" t="s">
        <v>3075</v>
      </c>
      <c r="U211" s="21" t="s">
        <v>3076</v>
      </c>
      <c r="V211" s="20" t="s">
        <v>3077</v>
      </c>
      <c r="W211" s="21" t="s">
        <v>306</v>
      </c>
      <c r="X211" s="20" t="s">
        <v>3078</v>
      </c>
      <c r="Y211" s="20" t="s">
        <v>3079</v>
      </c>
      <c r="Z211" s="20" t="s">
        <v>3078</v>
      </c>
      <c r="AA211" s="23" t="s">
        <v>87</v>
      </c>
      <c r="AB211" s="24" t="n">
        <f aca="false">IF(LEN($C211)&gt;0,COUNT(AB$1:AB210)+1,"")</f>
        <v>106</v>
      </c>
      <c r="AC211" s="24" t="str">
        <f aca="false">IF(LEN($D211)&gt;0,COUNT(AC$1:AC210)+1,"")</f>
        <v/>
      </c>
      <c r="AD211" s="24" t="str">
        <f aca="false">IF(LEN($E211)&gt;0,COUNT(AD$1:AD210)+1,"")</f>
        <v/>
      </c>
      <c r="AE211" s="24" t="str">
        <f aca="false">IF(LEN($F211)&gt;0,COUNT(AE$1:AE210)+1,"")</f>
        <v/>
      </c>
    </row>
    <row r="212" customFormat="false" ht="22.5" hidden="false" customHeight="true" outlineLevel="0" collapsed="false">
      <c r="A212" s="18" t="n">
        <f aca="false">IF(B212="","",ROW()-2)</f>
        <v>210</v>
      </c>
      <c r="B212" s="17" t="s">
        <v>3080</v>
      </c>
      <c r="C212" s="19" t="s">
        <v>54</v>
      </c>
      <c r="D212" s="19" t="s">
        <v>54</v>
      </c>
      <c r="E212" s="19"/>
      <c r="F212" s="19" t="s">
        <v>54</v>
      </c>
      <c r="G212" s="18" t="s">
        <v>13</v>
      </c>
      <c r="H212" s="20" t="s">
        <v>3081</v>
      </c>
      <c r="I212" s="21" t="s">
        <v>3082</v>
      </c>
      <c r="J212" s="20" t="s">
        <v>3083</v>
      </c>
      <c r="K212" s="20" t="s">
        <v>3084</v>
      </c>
      <c r="L212" s="20" t="s">
        <v>3085</v>
      </c>
      <c r="M212" s="21" t="s">
        <v>3086</v>
      </c>
      <c r="N212" s="22" t="s">
        <v>3087</v>
      </c>
      <c r="O212" s="21" t="s">
        <v>3088</v>
      </c>
      <c r="P212" s="20" t="s">
        <v>3089</v>
      </c>
      <c r="Q212" s="21" t="s">
        <v>68</v>
      </c>
      <c r="R212" s="20" t="s">
        <v>3090</v>
      </c>
      <c r="S212" s="20" t="s">
        <v>3091</v>
      </c>
      <c r="T212" s="20" t="s">
        <v>3092</v>
      </c>
      <c r="U212" s="21" t="s">
        <v>3093</v>
      </c>
      <c r="V212" s="20" t="s">
        <v>3089</v>
      </c>
      <c r="W212" s="21" t="s">
        <v>274</v>
      </c>
      <c r="X212" s="20" t="s">
        <v>3094</v>
      </c>
      <c r="Y212" s="20" t="s">
        <v>3095</v>
      </c>
      <c r="Z212" s="20" t="s">
        <v>3096</v>
      </c>
      <c r="AA212" s="23" t="s">
        <v>87</v>
      </c>
      <c r="AB212" s="24" t="n">
        <f aca="false">IF(LEN($C212)&gt;0,COUNT(AB$1:AB211)+1,"")</f>
        <v>107</v>
      </c>
      <c r="AC212" s="24" t="n">
        <f aca="false">IF(LEN($D212)&gt;0,COUNT(AC$1:AC211)+1,"")</f>
        <v>118</v>
      </c>
      <c r="AD212" s="24" t="str">
        <f aca="false">IF(LEN($E212)&gt;0,COUNT(AD$1:AD211)+1,"")</f>
        <v/>
      </c>
      <c r="AE212" s="24" t="n">
        <f aca="false">IF(LEN($F212)&gt;0,COUNT(AE$1:AE211)+1,"")</f>
        <v>7</v>
      </c>
    </row>
    <row r="213" customFormat="false" ht="33.75" hidden="false" customHeight="true" outlineLevel="0" collapsed="false">
      <c r="A213" s="18" t="n">
        <f aca="false">IF(B213="","",ROW()-2)</f>
        <v>211</v>
      </c>
      <c r="B213" s="18" t="s">
        <v>3097</v>
      </c>
      <c r="C213" s="19" t="s">
        <v>54</v>
      </c>
      <c r="D213" s="19"/>
      <c r="E213" s="19"/>
      <c r="F213" s="19"/>
      <c r="G213" s="18" t="s">
        <v>13</v>
      </c>
      <c r="H213" s="20" t="s">
        <v>3098</v>
      </c>
      <c r="I213" s="21" t="s">
        <v>3099</v>
      </c>
      <c r="J213" s="20" t="s">
        <v>3100</v>
      </c>
      <c r="K213" s="20" t="s">
        <v>3101</v>
      </c>
      <c r="L213" s="20" t="s">
        <v>3102</v>
      </c>
      <c r="M213" s="21" t="s">
        <v>3103</v>
      </c>
      <c r="N213" s="22" t="s">
        <v>3104</v>
      </c>
      <c r="O213" s="21" t="s">
        <v>3105</v>
      </c>
      <c r="P213" s="21" t="s">
        <v>3106</v>
      </c>
      <c r="Q213" s="21" t="s">
        <v>3107</v>
      </c>
      <c r="R213" s="20" t="s">
        <v>3108</v>
      </c>
      <c r="S213" s="20" t="s">
        <v>3109</v>
      </c>
      <c r="T213" s="20" t="s">
        <v>3110</v>
      </c>
      <c r="U213" s="21" t="s">
        <v>3111</v>
      </c>
      <c r="V213" s="21" t="s">
        <v>1041</v>
      </c>
      <c r="W213" s="21" t="s">
        <v>765</v>
      </c>
      <c r="X213" s="20" t="s">
        <v>3112</v>
      </c>
      <c r="Y213" s="20" t="s">
        <v>3113</v>
      </c>
      <c r="Z213" s="20" t="s">
        <v>3114</v>
      </c>
      <c r="AA213" s="23" t="s">
        <v>87</v>
      </c>
      <c r="AB213" s="24" t="n">
        <f aca="false">IF(LEN($C213)&gt;0,COUNT(AB$1:AB212)+1,"")</f>
        <v>108</v>
      </c>
      <c r="AC213" s="24" t="str">
        <f aca="false">IF(LEN($D213)&gt;0,COUNT(AC$1:AC212)+1,"")</f>
        <v/>
      </c>
      <c r="AD213" s="24" t="str">
        <f aca="false">IF(LEN($E213)&gt;0,COUNT(AD$1:AD212)+1,"")</f>
        <v/>
      </c>
      <c r="AE213" s="24" t="str">
        <f aca="false">IF(LEN($F213)&gt;0,COUNT(AE$1:AE212)+1,"")</f>
        <v/>
      </c>
    </row>
    <row r="214" customFormat="false" ht="60.75" hidden="false" customHeight="true" outlineLevel="0" collapsed="false">
      <c r="A214" s="18" t="n">
        <f aca="false">IF(B214="","",ROW()-2)</f>
        <v>212</v>
      </c>
      <c r="B214" s="18" t="s">
        <v>3115</v>
      </c>
      <c r="C214" s="19" t="s">
        <v>54</v>
      </c>
      <c r="D214" s="19"/>
      <c r="E214" s="19"/>
      <c r="F214" s="19"/>
      <c r="G214" s="18" t="s">
        <v>11</v>
      </c>
      <c r="H214" s="20" t="s">
        <v>3116</v>
      </c>
      <c r="I214" s="21" t="s">
        <v>3117</v>
      </c>
      <c r="J214" s="20" t="s">
        <v>3118</v>
      </c>
      <c r="K214" s="20" t="s">
        <v>3119</v>
      </c>
      <c r="L214" s="20" t="s">
        <v>3120</v>
      </c>
      <c r="M214" s="21" t="s">
        <v>3121</v>
      </c>
      <c r="N214" s="25" t="s">
        <v>3122</v>
      </c>
      <c r="O214" s="21" t="s">
        <v>3123</v>
      </c>
      <c r="P214" s="20" t="s">
        <v>3124</v>
      </c>
      <c r="Q214" s="21" t="s">
        <v>3125</v>
      </c>
      <c r="R214" s="20" t="s">
        <v>3126</v>
      </c>
      <c r="S214" s="20" t="s">
        <v>3127</v>
      </c>
      <c r="T214" s="20" t="s">
        <v>3126</v>
      </c>
      <c r="U214" s="21" t="s">
        <v>3128</v>
      </c>
      <c r="V214" s="20" t="s">
        <v>3129</v>
      </c>
      <c r="W214" s="21" t="s">
        <v>519</v>
      </c>
      <c r="X214" s="20" t="s">
        <v>3130</v>
      </c>
      <c r="Y214" s="20" t="s">
        <v>3131</v>
      </c>
      <c r="Z214" s="20" t="s">
        <v>3130</v>
      </c>
      <c r="AA214" s="23"/>
      <c r="AB214" s="24" t="n">
        <f aca="false">IF(LEN($C214)&gt;0,COUNT(AB$1:AB213)+1,"")</f>
        <v>109</v>
      </c>
      <c r="AC214" s="24" t="str">
        <f aca="false">IF(LEN($D214)&gt;0,COUNT(AC$1:AC213)+1,"")</f>
        <v/>
      </c>
      <c r="AD214" s="24" t="str">
        <f aca="false">IF(LEN($E214)&gt;0,COUNT(AD$1:AD213)+1,"")</f>
        <v/>
      </c>
      <c r="AE214" s="24" t="str">
        <f aca="false">IF(LEN($F214)&gt;0,COUNT(AE$1:AE213)+1,"")</f>
        <v/>
      </c>
    </row>
    <row r="215" customFormat="false" ht="47.25" hidden="false" customHeight="true" outlineLevel="0" collapsed="false">
      <c r="A215" s="18" t="n">
        <f aca="false">IF(B215="","",ROW()-2)</f>
        <v>213</v>
      </c>
      <c r="B215" s="17" t="s">
        <v>3132</v>
      </c>
      <c r="C215" s="19" t="s">
        <v>54</v>
      </c>
      <c r="D215" s="19"/>
      <c r="E215" s="19"/>
      <c r="F215" s="19"/>
      <c r="G215" s="18" t="s">
        <v>11</v>
      </c>
      <c r="H215" s="21"/>
      <c r="I215" s="21"/>
      <c r="J215" s="21"/>
      <c r="K215" s="21"/>
      <c r="L215" s="21"/>
      <c r="M215" s="21"/>
      <c r="N215" s="25" t="s">
        <v>3133</v>
      </c>
      <c r="O215" s="21" t="s">
        <v>3134</v>
      </c>
      <c r="P215" s="21" t="s">
        <v>3135</v>
      </c>
      <c r="Q215" s="21" t="s">
        <v>2977</v>
      </c>
      <c r="R215" s="20" t="s">
        <v>3136</v>
      </c>
      <c r="S215" s="20" t="s">
        <v>3137</v>
      </c>
      <c r="T215" s="20" t="s">
        <v>3136</v>
      </c>
      <c r="U215" s="21" t="s">
        <v>3138</v>
      </c>
      <c r="V215" s="21" t="s">
        <v>3139</v>
      </c>
      <c r="W215" s="21" t="s">
        <v>3140</v>
      </c>
      <c r="X215" s="20" t="s">
        <v>3141</v>
      </c>
      <c r="Y215" s="20" t="s">
        <v>3142</v>
      </c>
      <c r="Z215" s="20" t="s">
        <v>3141</v>
      </c>
      <c r="AA215" s="23" t="s">
        <v>87</v>
      </c>
      <c r="AB215" s="24" t="n">
        <f aca="false">IF(LEN($C215)&gt;0,COUNT(AB$1:AB214)+1,"")</f>
        <v>110</v>
      </c>
      <c r="AC215" s="24" t="str">
        <f aca="false">IF(LEN($D215)&gt;0,COUNT(AC$1:AC214)+1,"")</f>
        <v/>
      </c>
      <c r="AD215" s="24" t="str">
        <f aca="false">IF(LEN($E215)&gt;0,COUNT(AD$1:AD214)+1,"")</f>
        <v/>
      </c>
      <c r="AE215" s="24" t="str">
        <f aca="false">IF(LEN($F215)&gt;0,COUNT(AE$1:AE214)+1,"")</f>
        <v/>
      </c>
    </row>
    <row r="216" customFormat="false" ht="22.5" hidden="false" customHeight="true" outlineLevel="0" collapsed="false">
      <c r="A216" s="18" t="n">
        <f aca="false">IF(B216="","",ROW()-2)</f>
        <v>214</v>
      </c>
      <c r="B216" s="17" t="s">
        <v>3143</v>
      </c>
      <c r="C216" s="19" t="s">
        <v>54</v>
      </c>
      <c r="D216" s="19"/>
      <c r="E216" s="19"/>
      <c r="F216" s="19"/>
      <c r="G216" s="26" t="s">
        <v>12</v>
      </c>
      <c r="H216" s="20" t="s">
        <v>3144</v>
      </c>
      <c r="I216" s="21" t="s">
        <v>3145</v>
      </c>
      <c r="J216" s="20" t="s">
        <v>3146</v>
      </c>
      <c r="K216" s="20" t="s">
        <v>3147</v>
      </c>
      <c r="L216" s="21"/>
      <c r="M216" s="21" t="s">
        <v>3148</v>
      </c>
      <c r="N216" s="22" t="s">
        <v>3149</v>
      </c>
      <c r="O216" s="21" t="s">
        <v>3150</v>
      </c>
      <c r="P216" s="20" t="s">
        <v>3151</v>
      </c>
      <c r="Q216" s="20" t="s">
        <v>1456</v>
      </c>
      <c r="R216" s="20" t="s">
        <v>3146</v>
      </c>
      <c r="S216" s="20" t="s">
        <v>3152</v>
      </c>
      <c r="T216" s="20" t="s">
        <v>3153</v>
      </c>
      <c r="U216" s="21" t="s">
        <v>3154</v>
      </c>
      <c r="V216" s="21" t="s">
        <v>1058</v>
      </c>
      <c r="W216" s="21" t="s">
        <v>306</v>
      </c>
      <c r="X216" s="20" t="s">
        <v>3146</v>
      </c>
      <c r="Y216" s="20" t="s">
        <v>3155</v>
      </c>
      <c r="Z216" s="20" t="s">
        <v>3156</v>
      </c>
      <c r="AA216" s="27"/>
      <c r="AB216" s="24" t="n">
        <f aca="false">IF(LEN($C216)&gt;0,COUNT(AB$1:AB215)+1,"")</f>
        <v>111</v>
      </c>
      <c r="AC216" s="24" t="str">
        <f aca="false">IF(LEN($D216)&gt;0,COUNT(AC$1:AC215)+1,"")</f>
        <v/>
      </c>
      <c r="AD216" s="24" t="str">
        <f aca="false">IF(LEN($E216)&gt;0,COUNT(AD$1:AD215)+1,"")</f>
        <v/>
      </c>
      <c r="AE216" s="24" t="str">
        <f aca="false">IF(LEN($F216)&gt;0,COUNT(AE$1:AE215)+1,"")</f>
        <v/>
      </c>
    </row>
    <row r="217" customFormat="false" ht="22.5" hidden="false" customHeight="true" outlineLevel="0" collapsed="false">
      <c r="A217" s="18" t="n">
        <f aca="false">IF(B217="","",ROW()-2)</f>
        <v>215</v>
      </c>
      <c r="B217" s="18" t="s">
        <v>3157</v>
      </c>
      <c r="C217" s="19" t="s">
        <v>54</v>
      </c>
      <c r="D217" s="19"/>
      <c r="E217" s="19"/>
      <c r="F217" s="19"/>
      <c r="G217" s="18" t="s">
        <v>13</v>
      </c>
      <c r="H217" s="20" t="s">
        <v>3158</v>
      </c>
      <c r="I217" s="21" t="s">
        <v>3159</v>
      </c>
      <c r="J217" s="20" t="s">
        <v>3160</v>
      </c>
      <c r="K217" s="20" t="s">
        <v>3161</v>
      </c>
      <c r="L217" s="21"/>
      <c r="M217" s="21" t="s">
        <v>3162</v>
      </c>
      <c r="N217" s="25" t="s">
        <v>3163</v>
      </c>
      <c r="O217" s="21" t="s">
        <v>3164</v>
      </c>
      <c r="P217" s="20" t="s">
        <v>286</v>
      </c>
      <c r="Q217" s="21" t="s">
        <v>3060</v>
      </c>
      <c r="R217" s="20" t="s">
        <v>3165</v>
      </c>
      <c r="S217" s="20" t="s">
        <v>3166</v>
      </c>
      <c r="T217" s="20" t="s">
        <v>3165</v>
      </c>
      <c r="U217" s="21" t="s">
        <v>3167</v>
      </c>
      <c r="V217" s="20" t="s">
        <v>3168</v>
      </c>
      <c r="W217" s="21" t="s">
        <v>1897</v>
      </c>
      <c r="X217" s="20" t="s">
        <v>3169</v>
      </c>
      <c r="Y217" s="20" t="s">
        <v>3170</v>
      </c>
      <c r="Z217" s="20" t="s">
        <v>3169</v>
      </c>
      <c r="AA217" s="23"/>
      <c r="AB217" s="24" t="n">
        <f aca="false">IF(LEN($C217)&gt;0,COUNT(AB$1:AB216)+1,"")</f>
        <v>112</v>
      </c>
      <c r="AC217" s="24" t="str">
        <f aca="false">IF(LEN($D217)&gt;0,COUNT(AC$1:AC216)+1,"")</f>
        <v/>
      </c>
      <c r="AD217" s="24" t="str">
        <f aca="false">IF(LEN($E217)&gt;0,COUNT(AD$1:AD216)+1,"")</f>
        <v/>
      </c>
      <c r="AE217" s="24" t="str">
        <f aca="false">IF(LEN($F217)&gt;0,COUNT(AE$1:AE216)+1,"")</f>
        <v/>
      </c>
    </row>
    <row r="218" customFormat="false" ht="33.75" hidden="false" customHeight="true" outlineLevel="0" collapsed="false">
      <c r="A218" s="18" t="n">
        <f aca="false">IF(B218="","",ROW()-2)</f>
        <v>216</v>
      </c>
      <c r="B218" s="18" t="s">
        <v>3171</v>
      </c>
      <c r="C218" s="19" t="s">
        <v>54</v>
      </c>
      <c r="D218" s="19"/>
      <c r="E218" s="19"/>
      <c r="F218" s="19"/>
      <c r="G218" s="18" t="s">
        <v>13</v>
      </c>
      <c r="H218" s="20" t="s">
        <v>3172</v>
      </c>
      <c r="I218" s="21" t="s">
        <v>3173</v>
      </c>
      <c r="J218" s="20" t="s">
        <v>3174</v>
      </c>
      <c r="K218" s="20" t="s">
        <v>3175</v>
      </c>
      <c r="L218" s="21"/>
      <c r="M218" s="21" t="s">
        <v>3176</v>
      </c>
      <c r="N218" s="22" t="s">
        <v>3177</v>
      </c>
      <c r="O218" s="21" t="s">
        <v>3173</v>
      </c>
      <c r="P218" s="21" t="s">
        <v>2513</v>
      </c>
      <c r="Q218" s="21" t="s">
        <v>63</v>
      </c>
      <c r="R218" s="20" t="s">
        <v>3174</v>
      </c>
      <c r="S218" s="20" t="s">
        <v>3178</v>
      </c>
      <c r="T218" s="20" t="s">
        <v>3174</v>
      </c>
      <c r="U218" s="21" t="s">
        <v>3179</v>
      </c>
      <c r="V218" s="21" t="s">
        <v>3180</v>
      </c>
      <c r="W218" s="21" t="s">
        <v>172</v>
      </c>
      <c r="X218" s="20" t="s">
        <v>3181</v>
      </c>
      <c r="Y218" s="20" t="s">
        <v>3182</v>
      </c>
      <c r="Z218" s="20" t="s">
        <v>3181</v>
      </c>
      <c r="AA218" s="23"/>
      <c r="AB218" s="24" t="n">
        <f aca="false">IF(LEN($C218)&gt;0,COUNT(AB$1:AB217)+1,"")</f>
        <v>113</v>
      </c>
      <c r="AC218" s="24" t="str">
        <f aca="false">IF(LEN($D218)&gt;0,COUNT(AC$1:AC217)+1,"")</f>
        <v/>
      </c>
      <c r="AD218" s="24" t="str">
        <f aca="false">IF(LEN($E218)&gt;0,COUNT(AD$1:AD217)+1,"")</f>
        <v/>
      </c>
      <c r="AE218" s="24" t="str">
        <f aca="false">IF(LEN($F218)&gt;0,COUNT(AE$1:AE217)+1,"")</f>
        <v/>
      </c>
    </row>
    <row r="219" customFormat="false" ht="22.5" hidden="false" customHeight="true" outlineLevel="0" collapsed="false">
      <c r="A219" s="18" t="n">
        <f aca="false">IF(B219="","",ROW()-2)</f>
        <v>217</v>
      </c>
      <c r="B219" s="18" t="s">
        <v>3183</v>
      </c>
      <c r="C219" s="19" t="s">
        <v>54</v>
      </c>
      <c r="D219" s="19"/>
      <c r="E219" s="19"/>
      <c r="F219" s="19"/>
      <c r="G219" s="18" t="s">
        <v>13</v>
      </c>
      <c r="H219" s="20" t="s">
        <v>3184</v>
      </c>
      <c r="I219" s="21" t="s">
        <v>3185</v>
      </c>
      <c r="J219" s="20" t="s">
        <v>3186</v>
      </c>
      <c r="K219" s="20" t="s">
        <v>3187</v>
      </c>
      <c r="L219" s="21"/>
      <c r="M219" s="21" t="s">
        <v>3188</v>
      </c>
      <c r="N219" s="22" t="s">
        <v>3189</v>
      </c>
      <c r="O219" s="21" t="s">
        <v>3190</v>
      </c>
      <c r="P219" s="20" t="s">
        <v>3191</v>
      </c>
      <c r="Q219" s="21" t="s">
        <v>2560</v>
      </c>
      <c r="R219" s="20" t="s">
        <v>3192</v>
      </c>
      <c r="S219" s="20" t="s">
        <v>3193</v>
      </c>
      <c r="T219" s="20" t="s">
        <v>3194</v>
      </c>
      <c r="U219" s="21" t="s">
        <v>3195</v>
      </c>
      <c r="V219" s="21" t="s">
        <v>3196</v>
      </c>
      <c r="W219" s="21" t="s">
        <v>84</v>
      </c>
      <c r="X219" s="20" t="s">
        <v>3192</v>
      </c>
      <c r="Y219" s="20" t="s">
        <v>3197</v>
      </c>
      <c r="Z219" s="20" t="s">
        <v>3198</v>
      </c>
      <c r="AA219" s="23"/>
      <c r="AB219" s="24" t="n">
        <f aca="false">IF(LEN($C219)&gt;0,COUNT(AB$1:AB218)+1,"")</f>
        <v>114</v>
      </c>
      <c r="AC219" s="24" t="str">
        <f aca="false">IF(LEN($D219)&gt;0,COUNT(AC$1:AC218)+1,"")</f>
        <v/>
      </c>
      <c r="AD219" s="24" t="str">
        <f aca="false">IF(LEN($E219)&gt;0,COUNT(AD$1:AD218)+1,"")</f>
        <v/>
      </c>
      <c r="AE219" s="24" t="str">
        <f aca="false">IF(LEN($F219)&gt;0,COUNT(AE$1:AE218)+1,"")</f>
        <v/>
      </c>
    </row>
    <row r="220" customFormat="false" ht="22.5" hidden="false" customHeight="true" outlineLevel="0" collapsed="false">
      <c r="A220" s="18" t="n">
        <f aca="false">IF(B220="","",ROW()-2)</f>
        <v>218</v>
      </c>
      <c r="B220" s="17" t="s">
        <v>3199</v>
      </c>
      <c r="C220" s="19" t="s">
        <v>54</v>
      </c>
      <c r="D220" s="19"/>
      <c r="E220" s="19"/>
      <c r="F220" s="19"/>
      <c r="G220" s="18" t="s">
        <v>13</v>
      </c>
      <c r="H220" s="20" t="s">
        <v>3200</v>
      </c>
      <c r="I220" s="21" t="s">
        <v>3201</v>
      </c>
      <c r="J220" s="20" t="s">
        <v>3202</v>
      </c>
      <c r="K220" s="20" t="s">
        <v>3203</v>
      </c>
      <c r="L220" s="21"/>
      <c r="M220" s="21" t="s">
        <v>3204</v>
      </c>
      <c r="N220" s="25" t="s">
        <v>3205</v>
      </c>
      <c r="O220" s="21" t="s">
        <v>3206</v>
      </c>
      <c r="P220" s="21" t="s">
        <v>3207</v>
      </c>
      <c r="Q220" s="21" t="s">
        <v>2482</v>
      </c>
      <c r="R220" s="20" t="s">
        <v>3208</v>
      </c>
      <c r="S220" s="20" t="s">
        <v>3209</v>
      </c>
      <c r="T220" s="20" t="s">
        <v>3208</v>
      </c>
      <c r="U220" s="21" t="s">
        <v>3210</v>
      </c>
      <c r="V220" s="21" t="s">
        <v>3211</v>
      </c>
      <c r="W220" s="21" t="s">
        <v>274</v>
      </c>
      <c r="X220" s="20" t="s">
        <v>3212</v>
      </c>
      <c r="Y220" s="20" t="s">
        <v>3213</v>
      </c>
      <c r="Z220" s="20" t="s">
        <v>3212</v>
      </c>
      <c r="AA220" s="23"/>
      <c r="AB220" s="24" t="n">
        <f aca="false">IF(LEN($C220)&gt;0,COUNT(AB$1:AB219)+1,"")</f>
        <v>115</v>
      </c>
      <c r="AC220" s="24" t="str">
        <f aca="false">IF(LEN($D220)&gt;0,COUNT(AC$1:AC219)+1,"")</f>
        <v/>
      </c>
      <c r="AD220" s="24" t="str">
        <f aca="false">IF(LEN($E220)&gt;0,COUNT(AD$1:AD219)+1,"")</f>
        <v/>
      </c>
      <c r="AE220" s="24" t="str">
        <f aca="false">IF(LEN($F220)&gt;0,COUNT(AE$1:AE219)+1,"")</f>
        <v/>
      </c>
    </row>
    <row r="221" customFormat="false" ht="22.5" hidden="false" customHeight="true" outlineLevel="0" collapsed="false">
      <c r="A221" s="18" t="n">
        <f aca="false">IF(B221="","",ROW()-2)</f>
        <v>219</v>
      </c>
      <c r="B221" s="17" t="s">
        <v>3214</v>
      </c>
      <c r="C221" s="19" t="s">
        <v>54</v>
      </c>
      <c r="D221" s="19"/>
      <c r="E221" s="19"/>
      <c r="F221" s="19"/>
      <c r="G221" s="18" t="s">
        <v>13</v>
      </c>
      <c r="H221" s="20" t="s">
        <v>3215</v>
      </c>
      <c r="I221" s="21" t="s">
        <v>3216</v>
      </c>
      <c r="J221" s="20" t="s">
        <v>3217</v>
      </c>
      <c r="K221" s="20" t="s">
        <v>3218</v>
      </c>
      <c r="L221" s="21"/>
      <c r="M221" s="21" t="s">
        <v>3219</v>
      </c>
      <c r="N221" s="25" t="s">
        <v>3220</v>
      </c>
      <c r="O221" s="21" t="s">
        <v>3221</v>
      </c>
      <c r="P221" s="20" t="s">
        <v>3222</v>
      </c>
      <c r="Q221" s="21" t="s">
        <v>3223</v>
      </c>
      <c r="R221" s="20" t="s">
        <v>3224</v>
      </c>
      <c r="S221" s="20" t="s">
        <v>3225</v>
      </c>
      <c r="T221" s="20" t="s">
        <v>3224</v>
      </c>
      <c r="U221" s="21" t="s">
        <v>3226</v>
      </c>
      <c r="V221" s="20" t="s">
        <v>3222</v>
      </c>
      <c r="W221" s="21" t="s">
        <v>3227</v>
      </c>
      <c r="X221" s="20" t="s">
        <v>3228</v>
      </c>
      <c r="Y221" s="20" t="s">
        <v>3229</v>
      </c>
      <c r="Z221" s="20" t="s">
        <v>3228</v>
      </c>
      <c r="AA221" s="23"/>
      <c r="AB221" s="24" t="n">
        <f aca="false">IF(LEN($C221)&gt;0,COUNT(AB$1:AB220)+1,"")</f>
        <v>116</v>
      </c>
      <c r="AC221" s="24" t="str">
        <f aca="false">IF(LEN($D221)&gt;0,COUNT(AC$1:AC220)+1,"")</f>
        <v/>
      </c>
      <c r="AD221" s="24" t="str">
        <f aca="false">IF(LEN($E221)&gt;0,COUNT(AD$1:AD220)+1,"")</f>
        <v/>
      </c>
      <c r="AE221" s="24" t="str">
        <f aca="false">IF(LEN($F221)&gt;0,COUNT(AE$1:AE220)+1,"")</f>
        <v/>
      </c>
    </row>
    <row r="222" customFormat="false" ht="22.5" hidden="false" customHeight="true" outlineLevel="0" collapsed="false">
      <c r="A222" s="18" t="n">
        <f aca="false">IF(B222="","",ROW()-2)</f>
        <v>220</v>
      </c>
      <c r="B222" s="18" t="s">
        <v>3230</v>
      </c>
      <c r="C222" s="19" t="s">
        <v>54</v>
      </c>
      <c r="D222" s="19"/>
      <c r="E222" s="19"/>
      <c r="F222" s="19"/>
      <c r="G222" s="18" t="s">
        <v>13</v>
      </c>
      <c r="H222" s="20" t="s">
        <v>3231</v>
      </c>
      <c r="I222" s="21" t="s">
        <v>3232</v>
      </c>
      <c r="J222" s="20" t="s">
        <v>3233</v>
      </c>
      <c r="K222" s="20" t="s">
        <v>3234</v>
      </c>
      <c r="L222" s="21"/>
      <c r="M222" s="21" t="s">
        <v>3235</v>
      </c>
      <c r="N222" s="25" t="s">
        <v>3236</v>
      </c>
      <c r="O222" s="21" t="s">
        <v>3232</v>
      </c>
      <c r="P222" s="21" t="s">
        <v>3237</v>
      </c>
      <c r="Q222" s="20" t="s">
        <v>1456</v>
      </c>
      <c r="R222" s="20" t="s">
        <v>3238</v>
      </c>
      <c r="S222" s="20" t="s">
        <v>3239</v>
      </c>
      <c r="T222" s="20" t="s">
        <v>3238</v>
      </c>
      <c r="U222" s="21" t="s">
        <v>3240</v>
      </c>
      <c r="V222" s="20" t="s">
        <v>518</v>
      </c>
      <c r="W222" s="21" t="s">
        <v>2339</v>
      </c>
      <c r="X222" s="20" t="s">
        <v>3241</v>
      </c>
      <c r="Y222" s="20" t="s">
        <v>3242</v>
      </c>
      <c r="Z222" s="20" t="s">
        <v>3241</v>
      </c>
      <c r="AA222" s="23"/>
      <c r="AB222" s="24" t="n">
        <f aca="false">IF(LEN($C222)&gt;0,COUNT(AB$1:AB221)+1,"")</f>
        <v>117</v>
      </c>
      <c r="AC222" s="24" t="str">
        <f aca="false">IF(LEN($D222)&gt;0,COUNT(AC$1:AC221)+1,"")</f>
        <v/>
      </c>
      <c r="AD222" s="24" t="str">
        <f aca="false">IF(LEN($E222)&gt;0,COUNT(AD$1:AD221)+1,"")</f>
        <v/>
      </c>
      <c r="AE222" s="24" t="str">
        <f aca="false">IF(LEN($F222)&gt;0,COUNT(AE$1:AE221)+1,"")</f>
        <v/>
      </c>
    </row>
    <row r="223" customFormat="false" ht="22.5" hidden="false" customHeight="true" outlineLevel="0" collapsed="false">
      <c r="A223" s="18" t="n">
        <f aca="false">IF(B223="","",ROW()-2)</f>
        <v>221</v>
      </c>
      <c r="B223" s="18" t="s">
        <v>3243</v>
      </c>
      <c r="C223" s="19" t="s">
        <v>54</v>
      </c>
      <c r="D223" s="19"/>
      <c r="E223" s="19"/>
      <c r="F223" s="19"/>
      <c r="G223" s="26" t="s">
        <v>12</v>
      </c>
      <c r="H223" s="20" t="s">
        <v>3244</v>
      </c>
      <c r="I223" s="21" t="s">
        <v>3245</v>
      </c>
      <c r="J223" s="20" t="s">
        <v>3246</v>
      </c>
      <c r="K223" s="20" t="s">
        <v>3247</v>
      </c>
      <c r="L223" s="21"/>
      <c r="M223" s="21" t="s">
        <v>3248</v>
      </c>
      <c r="N223" s="25" t="s">
        <v>3249</v>
      </c>
      <c r="O223" s="21" t="s">
        <v>3250</v>
      </c>
      <c r="P223" s="21" t="s">
        <v>3251</v>
      </c>
      <c r="Q223" s="21" t="s">
        <v>3223</v>
      </c>
      <c r="R223" s="20" t="s">
        <v>3252</v>
      </c>
      <c r="S223" s="20" t="s">
        <v>3253</v>
      </c>
      <c r="T223" s="20" t="s">
        <v>3254</v>
      </c>
      <c r="U223" s="21" t="s">
        <v>3255</v>
      </c>
      <c r="V223" s="20" t="s">
        <v>3256</v>
      </c>
      <c r="W223" s="21" t="s">
        <v>3257</v>
      </c>
      <c r="X223" s="20" t="s">
        <v>3258</v>
      </c>
      <c r="Y223" s="20" t="s">
        <v>3259</v>
      </c>
      <c r="Z223" s="20" t="s">
        <v>3260</v>
      </c>
      <c r="AA223" s="27"/>
      <c r="AB223" s="24" t="n">
        <f aca="false">IF(LEN($C223)&gt;0,COUNT(AB$1:AB222)+1,"")</f>
        <v>118</v>
      </c>
      <c r="AC223" s="24" t="str">
        <f aca="false">IF(LEN($D223)&gt;0,COUNT(AC$1:AC222)+1,"")</f>
        <v/>
      </c>
      <c r="AD223" s="24" t="str">
        <f aca="false">IF(LEN($E223)&gt;0,COUNT(AD$1:AD222)+1,"")</f>
        <v/>
      </c>
      <c r="AE223" s="24" t="str">
        <f aca="false">IF(LEN($F223)&gt;0,COUNT(AE$1:AE222)+1,"")</f>
        <v/>
      </c>
    </row>
    <row r="224" customFormat="false" ht="22.5" hidden="false" customHeight="true" outlineLevel="0" collapsed="false">
      <c r="A224" s="18" t="n">
        <f aca="false">IF(B224="","",ROW()-2)</f>
        <v>222</v>
      </c>
      <c r="B224" s="17" t="s">
        <v>3261</v>
      </c>
      <c r="C224" s="19" t="s">
        <v>54</v>
      </c>
      <c r="D224" s="19" t="s">
        <v>54</v>
      </c>
      <c r="E224" s="19"/>
      <c r="F224" s="19"/>
      <c r="G224" s="18" t="s">
        <v>13</v>
      </c>
      <c r="H224" s="20" t="s">
        <v>3262</v>
      </c>
      <c r="I224" s="21" t="s">
        <v>3263</v>
      </c>
      <c r="J224" s="20" t="s">
        <v>3264</v>
      </c>
      <c r="K224" s="20" t="s">
        <v>3265</v>
      </c>
      <c r="L224" s="20" t="s">
        <v>3266</v>
      </c>
      <c r="M224" s="21" t="s">
        <v>3267</v>
      </c>
      <c r="N224" s="22" t="s">
        <v>3268</v>
      </c>
      <c r="O224" s="21" t="s">
        <v>3269</v>
      </c>
      <c r="P224" s="20" t="s">
        <v>3270</v>
      </c>
      <c r="Q224" s="21" t="s">
        <v>68</v>
      </c>
      <c r="R224" s="20" t="s">
        <v>3271</v>
      </c>
      <c r="S224" s="20" t="s">
        <v>3272</v>
      </c>
      <c r="T224" s="20" t="s">
        <v>3271</v>
      </c>
      <c r="U224" s="21" t="s">
        <v>3273</v>
      </c>
      <c r="V224" s="20" t="s">
        <v>3270</v>
      </c>
      <c r="W224" s="21" t="s">
        <v>68</v>
      </c>
      <c r="X224" s="20" t="s">
        <v>3264</v>
      </c>
      <c r="Y224" s="20" t="s">
        <v>3266</v>
      </c>
      <c r="Z224" s="20" t="s">
        <v>3274</v>
      </c>
      <c r="AA224" s="23"/>
      <c r="AB224" s="24" t="n">
        <f aca="false">IF(LEN($C224)&gt;0,COUNT(AB$1:AB223)+1,"")</f>
        <v>119</v>
      </c>
      <c r="AC224" s="24" t="n">
        <f aca="false">IF(LEN($D224)&gt;0,COUNT(AC$1:AC223)+1,"")</f>
        <v>119</v>
      </c>
      <c r="AD224" s="24" t="str">
        <f aca="false">IF(LEN($E224)&gt;0,COUNT(AD$1:AD223)+1,"")</f>
        <v/>
      </c>
      <c r="AE224" s="24" t="str">
        <f aca="false">IF(LEN($F224)&gt;0,COUNT(AE$1:AE223)+1,"")</f>
        <v/>
      </c>
    </row>
    <row r="225" customFormat="false" ht="22.5" hidden="false" customHeight="true" outlineLevel="0" collapsed="false">
      <c r="A225" s="18" t="n">
        <f aca="false">IF(B225="","",ROW()-2)</f>
        <v>223</v>
      </c>
      <c r="B225" s="18" t="s">
        <v>3275</v>
      </c>
      <c r="C225" s="19" t="s">
        <v>54</v>
      </c>
      <c r="D225" s="19"/>
      <c r="E225" s="19"/>
      <c r="F225" s="19"/>
      <c r="G225" s="18" t="s">
        <v>13</v>
      </c>
      <c r="H225" s="20" t="s">
        <v>3276</v>
      </c>
      <c r="I225" s="21" t="s">
        <v>3277</v>
      </c>
      <c r="J225" s="20" t="s">
        <v>3278</v>
      </c>
      <c r="K225" s="20" t="s">
        <v>3279</v>
      </c>
      <c r="L225" s="20" t="s">
        <v>3280</v>
      </c>
      <c r="M225" s="21" t="s">
        <v>3281</v>
      </c>
      <c r="N225" s="25" t="s">
        <v>3282</v>
      </c>
      <c r="O225" s="21" t="s">
        <v>3277</v>
      </c>
      <c r="P225" s="21" t="s">
        <v>3283</v>
      </c>
      <c r="Q225" s="21" t="s">
        <v>63</v>
      </c>
      <c r="R225" s="20" t="s">
        <v>3284</v>
      </c>
      <c r="S225" s="20" t="s">
        <v>3285</v>
      </c>
      <c r="T225" s="20" t="s">
        <v>3284</v>
      </c>
      <c r="U225" s="21" t="s">
        <v>3286</v>
      </c>
      <c r="V225" s="21" t="s">
        <v>3287</v>
      </c>
      <c r="W225" s="21" t="s">
        <v>1534</v>
      </c>
      <c r="X225" s="20" t="s">
        <v>3288</v>
      </c>
      <c r="Y225" s="20" t="s">
        <v>3289</v>
      </c>
      <c r="Z225" s="20" t="s">
        <v>3288</v>
      </c>
      <c r="AA225" s="23"/>
      <c r="AB225" s="24" t="n">
        <f aca="false">IF(LEN($C225)&gt;0,COUNT(AB$1:AB224)+1,"")</f>
        <v>120</v>
      </c>
      <c r="AC225" s="24" t="str">
        <f aca="false">IF(LEN($D225)&gt;0,COUNT(AC$1:AC224)+1,"")</f>
        <v/>
      </c>
      <c r="AD225" s="24" t="str">
        <f aca="false">IF(LEN($E225)&gt;0,COUNT(AD$1:AD224)+1,"")</f>
        <v/>
      </c>
      <c r="AE225" s="24" t="str">
        <f aca="false">IF(LEN($F225)&gt;0,COUNT(AE$1:AE224)+1,"")</f>
        <v/>
      </c>
    </row>
    <row r="226" customFormat="false" ht="22.5" hidden="false" customHeight="true" outlineLevel="0" collapsed="false">
      <c r="A226" s="18" t="n">
        <f aca="false">IF(B226="","",ROW()-2)</f>
        <v>224</v>
      </c>
      <c r="B226" s="17" t="s">
        <v>3290</v>
      </c>
      <c r="C226" s="19" t="s">
        <v>54</v>
      </c>
      <c r="D226" s="19"/>
      <c r="E226" s="19"/>
      <c r="F226" s="19"/>
      <c r="G226" s="18" t="s">
        <v>11</v>
      </c>
      <c r="H226" s="20" t="s">
        <v>3291</v>
      </c>
      <c r="I226" s="21" t="s">
        <v>3292</v>
      </c>
      <c r="J226" s="20" t="s">
        <v>3293</v>
      </c>
      <c r="K226" s="20" t="s">
        <v>3294</v>
      </c>
      <c r="L226" s="20" t="s">
        <v>3295</v>
      </c>
      <c r="M226" s="21" t="s">
        <v>3296</v>
      </c>
      <c r="N226" s="22" t="s">
        <v>3297</v>
      </c>
      <c r="O226" s="21" t="s">
        <v>3298</v>
      </c>
      <c r="P226" s="20" t="s">
        <v>3299</v>
      </c>
      <c r="Q226" s="21" t="s">
        <v>3300</v>
      </c>
      <c r="R226" s="20" t="s">
        <v>3301</v>
      </c>
      <c r="S226" s="20" t="s">
        <v>3302</v>
      </c>
      <c r="T226" s="20" t="s">
        <v>3301</v>
      </c>
      <c r="U226" s="21" t="s">
        <v>3303</v>
      </c>
      <c r="V226" s="20" t="s">
        <v>3304</v>
      </c>
      <c r="W226" s="21" t="s">
        <v>3305</v>
      </c>
      <c r="X226" s="20" t="s">
        <v>3306</v>
      </c>
      <c r="Y226" s="20" t="s">
        <v>3295</v>
      </c>
      <c r="Z226" s="20" t="s">
        <v>3306</v>
      </c>
      <c r="AA226" s="23"/>
      <c r="AB226" s="24" t="n">
        <f aca="false">IF(LEN($C226)&gt;0,COUNT(AB$1:AB225)+1,"")</f>
        <v>121</v>
      </c>
      <c r="AC226" s="24" t="str">
        <f aca="false">IF(LEN($D226)&gt;0,COUNT(AC$1:AC225)+1,"")</f>
        <v/>
      </c>
      <c r="AD226" s="24" t="str">
        <f aca="false">IF(LEN($E226)&gt;0,COUNT(AD$1:AD225)+1,"")</f>
        <v/>
      </c>
      <c r="AE226" s="24" t="str">
        <f aca="false">IF(LEN($F226)&gt;0,COUNT(AE$1:AE225)+1,"")</f>
        <v/>
      </c>
    </row>
    <row r="227" customFormat="false" ht="22.5" hidden="false" customHeight="true" outlineLevel="0" collapsed="false">
      <c r="A227" s="18" t="n">
        <f aca="false">IF(B227="","",ROW()-2)</f>
        <v>225</v>
      </c>
      <c r="B227" s="18" t="s">
        <v>3307</v>
      </c>
      <c r="C227" s="19" t="s">
        <v>54</v>
      </c>
      <c r="D227" s="19" t="s">
        <v>54</v>
      </c>
      <c r="E227" s="19" t="s">
        <v>54</v>
      </c>
      <c r="F227" s="19"/>
      <c r="G227" s="18" t="s">
        <v>13</v>
      </c>
      <c r="H227" s="20" t="s">
        <v>3308</v>
      </c>
      <c r="I227" s="21" t="s">
        <v>3309</v>
      </c>
      <c r="J227" s="20" t="s">
        <v>3310</v>
      </c>
      <c r="K227" s="20" t="s">
        <v>3311</v>
      </c>
      <c r="L227" s="20" t="s">
        <v>3312</v>
      </c>
      <c r="M227" s="21" t="s">
        <v>3313</v>
      </c>
      <c r="N227" s="22" t="s">
        <v>3314</v>
      </c>
      <c r="O227" s="21" t="s">
        <v>3309</v>
      </c>
      <c r="P227" s="20" t="s">
        <v>2141</v>
      </c>
      <c r="Q227" s="21" t="s">
        <v>63</v>
      </c>
      <c r="R227" s="20" t="s">
        <v>3310</v>
      </c>
      <c r="S227" s="20" t="s">
        <v>3312</v>
      </c>
      <c r="T227" s="20" t="s">
        <v>3315</v>
      </c>
      <c r="U227" s="21" t="s">
        <v>3309</v>
      </c>
      <c r="V227" s="20" t="s">
        <v>2141</v>
      </c>
      <c r="W227" s="21" t="s">
        <v>63</v>
      </c>
      <c r="X227" s="20" t="s">
        <v>3310</v>
      </c>
      <c r="Y227" s="20" t="s">
        <v>3312</v>
      </c>
      <c r="Z227" s="20" t="s">
        <v>3315</v>
      </c>
      <c r="AA227" s="23"/>
      <c r="AB227" s="24" t="n">
        <f aca="false">IF(LEN($C227)&gt;0,COUNT(AB$1:AB226)+1,"")</f>
        <v>122</v>
      </c>
      <c r="AC227" s="24" t="n">
        <f aca="false">IF(LEN($D227)&gt;0,COUNT(AC$1:AC226)+1,"")</f>
        <v>120</v>
      </c>
      <c r="AD227" s="24" t="n">
        <f aca="false">IF(LEN($E227)&gt;0,COUNT(AD$1:AD226)+1,"")</f>
        <v>19</v>
      </c>
      <c r="AE227" s="24" t="str">
        <f aca="false">IF(LEN($F227)&gt;0,COUNT(AE$1:AE226)+1,"")</f>
        <v/>
      </c>
    </row>
    <row r="228" customFormat="false" ht="22.5" hidden="false" customHeight="true" outlineLevel="0" collapsed="false">
      <c r="A228" s="18" t="n">
        <f aca="false">IF(B228="","",ROW()-2)</f>
        <v>226</v>
      </c>
      <c r="B228" s="18" t="s">
        <v>3316</v>
      </c>
      <c r="C228" s="19"/>
      <c r="D228" s="19" t="s">
        <v>54</v>
      </c>
      <c r="E228" s="19" t="s">
        <v>54</v>
      </c>
      <c r="F228" s="19"/>
      <c r="G228" s="18" t="s">
        <v>13</v>
      </c>
      <c r="H228" s="20" t="s">
        <v>3317</v>
      </c>
      <c r="I228" s="21" t="s">
        <v>3318</v>
      </c>
      <c r="J228" s="20" t="s">
        <v>3319</v>
      </c>
      <c r="K228" s="20" t="s">
        <v>3320</v>
      </c>
      <c r="L228" s="20" t="s">
        <v>3321</v>
      </c>
      <c r="M228" s="21" t="s">
        <v>3322</v>
      </c>
      <c r="N228" s="25" t="s">
        <v>3323</v>
      </c>
      <c r="O228" s="21" t="s">
        <v>3324</v>
      </c>
      <c r="P228" s="21" t="s">
        <v>3325</v>
      </c>
      <c r="Q228" s="21" t="s">
        <v>79</v>
      </c>
      <c r="R228" s="20" t="s">
        <v>3319</v>
      </c>
      <c r="S228" s="20" t="s">
        <v>3326</v>
      </c>
      <c r="T228" s="20" t="s">
        <v>3319</v>
      </c>
      <c r="U228" s="21" t="s">
        <v>3324</v>
      </c>
      <c r="V228" s="21" t="s">
        <v>3325</v>
      </c>
      <c r="W228" s="21" t="s">
        <v>79</v>
      </c>
      <c r="X228" s="20" t="s">
        <v>3319</v>
      </c>
      <c r="Y228" s="20" t="s">
        <v>3326</v>
      </c>
      <c r="Z228" s="20" t="s">
        <v>3319</v>
      </c>
      <c r="AA228" s="23"/>
      <c r="AB228" s="24" t="str">
        <f aca="false">IF(LEN($C228)&gt;0,COUNT(AB$1:AB227)+1,"")</f>
        <v/>
      </c>
      <c r="AC228" s="24" t="n">
        <f aca="false">IF(LEN($D228)&gt;0,COUNT(AC$1:AC227)+1,"")</f>
        <v>121</v>
      </c>
      <c r="AD228" s="24" t="n">
        <f aca="false">IF(LEN($E228)&gt;0,COUNT(AD$1:AD227)+1,"")</f>
        <v>20</v>
      </c>
      <c r="AE228" s="24" t="str">
        <f aca="false">IF(LEN($F228)&gt;0,COUNT(AE$1:AE227)+1,"")</f>
        <v/>
      </c>
    </row>
    <row r="229" customFormat="false" ht="33.75" hidden="false" customHeight="true" outlineLevel="0" collapsed="false">
      <c r="A229" s="18" t="n">
        <f aca="false">IF(B229="","",ROW()-2)</f>
        <v>227</v>
      </c>
      <c r="B229" s="18" t="s">
        <v>3327</v>
      </c>
      <c r="C229" s="19"/>
      <c r="D229" s="19"/>
      <c r="E229" s="19" t="s">
        <v>54</v>
      </c>
      <c r="F229" s="19"/>
      <c r="G229" s="18" t="s">
        <v>13</v>
      </c>
      <c r="H229" s="20" t="s">
        <v>3328</v>
      </c>
      <c r="I229" s="21" t="s">
        <v>3329</v>
      </c>
      <c r="J229" s="20" t="s">
        <v>3330</v>
      </c>
      <c r="K229" s="20" t="s">
        <v>3331</v>
      </c>
      <c r="L229" s="20" t="s">
        <v>3332</v>
      </c>
      <c r="M229" s="21" t="s">
        <v>3333</v>
      </c>
      <c r="N229" s="22" t="s">
        <v>3334</v>
      </c>
      <c r="O229" s="21" t="s">
        <v>3329</v>
      </c>
      <c r="P229" s="21" t="s">
        <v>121</v>
      </c>
      <c r="Q229" s="21" t="s">
        <v>79</v>
      </c>
      <c r="R229" s="20" t="s">
        <v>3330</v>
      </c>
      <c r="S229" s="20" t="s">
        <v>3332</v>
      </c>
      <c r="T229" s="20" t="s">
        <v>3335</v>
      </c>
      <c r="U229" s="21" t="s">
        <v>3329</v>
      </c>
      <c r="V229" s="21" t="s">
        <v>121</v>
      </c>
      <c r="W229" s="21" t="s">
        <v>79</v>
      </c>
      <c r="X229" s="20" t="s">
        <v>3330</v>
      </c>
      <c r="Y229" s="20" t="s">
        <v>3332</v>
      </c>
      <c r="Z229" s="20" t="s">
        <v>3335</v>
      </c>
      <c r="AA229" s="23"/>
      <c r="AB229" s="24" t="str">
        <f aca="false">IF(LEN($C229)&gt;0,COUNT(AB$1:AB228)+1,"")</f>
        <v/>
      </c>
      <c r="AC229" s="24" t="str">
        <f aca="false">IF(LEN($D229)&gt;0,COUNT(AC$1:AC228)+1,"")</f>
        <v/>
      </c>
      <c r="AD229" s="24" t="n">
        <f aca="false">IF(LEN($E229)&gt;0,COUNT(AD$1:AD228)+1,"")</f>
        <v>21</v>
      </c>
      <c r="AE229" s="24" t="str">
        <f aca="false">IF(LEN($F229)&gt;0,COUNT(AE$1:AE228)+1,"")</f>
        <v/>
      </c>
    </row>
    <row r="230" customFormat="false" ht="22.5" hidden="false" customHeight="true" outlineLevel="0" collapsed="false">
      <c r="A230" s="18" t="n">
        <f aca="false">IF(B230="","",ROW()-2)</f>
        <v>228</v>
      </c>
      <c r="B230" s="18" t="s">
        <v>3336</v>
      </c>
      <c r="C230" s="19"/>
      <c r="D230" s="19"/>
      <c r="E230" s="19" t="s">
        <v>54</v>
      </c>
      <c r="F230" s="19"/>
      <c r="G230" s="18" t="s">
        <v>14</v>
      </c>
      <c r="H230" s="20" t="s">
        <v>3337</v>
      </c>
      <c r="I230" s="21" t="s">
        <v>3338</v>
      </c>
      <c r="J230" s="20" t="s">
        <v>3339</v>
      </c>
      <c r="K230" s="20" t="s">
        <v>3340</v>
      </c>
      <c r="L230" s="20" t="s">
        <v>3341</v>
      </c>
      <c r="M230" s="21" t="s">
        <v>3342</v>
      </c>
      <c r="N230" s="25" t="s">
        <v>3343</v>
      </c>
      <c r="O230" s="21" t="s">
        <v>3344</v>
      </c>
      <c r="P230" s="20" t="s">
        <v>3345</v>
      </c>
      <c r="Q230" s="21" t="s">
        <v>306</v>
      </c>
      <c r="R230" s="20" t="s">
        <v>3339</v>
      </c>
      <c r="S230" s="20" t="s">
        <v>3346</v>
      </c>
      <c r="T230" s="20" t="s">
        <v>3347</v>
      </c>
      <c r="U230" s="21" t="s">
        <v>3344</v>
      </c>
      <c r="V230" s="20" t="s">
        <v>3345</v>
      </c>
      <c r="W230" s="21" t="s">
        <v>306</v>
      </c>
      <c r="X230" s="20" t="s">
        <v>3339</v>
      </c>
      <c r="Y230" s="20" t="s">
        <v>3346</v>
      </c>
      <c r="Z230" s="20" t="s">
        <v>3347</v>
      </c>
      <c r="AA230" s="23"/>
      <c r="AB230" s="24" t="str">
        <f aca="false">IF(LEN($C230)&gt;0,COUNT(AB$1:AB229)+1,"")</f>
        <v/>
      </c>
      <c r="AC230" s="24" t="str">
        <f aca="false">IF(LEN($D230)&gt;0,COUNT(AC$1:AC229)+1,"")</f>
        <v/>
      </c>
      <c r="AD230" s="24" t="n">
        <f aca="false">IF(LEN($E230)&gt;0,COUNT(AD$1:AD229)+1,"")</f>
        <v>22</v>
      </c>
      <c r="AE230" s="24" t="str">
        <f aca="false">IF(LEN($F230)&gt;0,COUNT(AE$1:AE229)+1,"")</f>
        <v/>
      </c>
    </row>
    <row r="231" customFormat="false" ht="22.5" hidden="false" customHeight="true" outlineLevel="0" collapsed="false">
      <c r="A231" s="18" t="n">
        <f aca="false">IF(B231="","",ROW()-2)</f>
        <v>229</v>
      </c>
      <c r="B231" s="17" t="s">
        <v>3348</v>
      </c>
      <c r="C231" s="19"/>
      <c r="D231" s="19" t="s">
        <v>54</v>
      </c>
      <c r="E231" s="19" t="s">
        <v>54</v>
      </c>
      <c r="F231" s="19"/>
      <c r="G231" s="18" t="s">
        <v>13</v>
      </c>
      <c r="H231" s="20" t="s">
        <v>3349</v>
      </c>
      <c r="I231" s="21" t="s">
        <v>3350</v>
      </c>
      <c r="J231" s="20" t="s">
        <v>3351</v>
      </c>
      <c r="K231" s="20" t="s">
        <v>3352</v>
      </c>
      <c r="L231" s="20" t="s">
        <v>3353</v>
      </c>
      <c r="M231" s="21" t="s">
        <v>3354</v>
      </c>
      <c r="N231" s="25" t="s">
        <v>3355</v>
      </c>
      <c r="O231" s="21" t="s">
        <v>3350</v>
      </c>
      <c r="P231" s="21" t="s">
        <v>63</v>
      </c>
      <c r="Q231" s="21" t="s">
        <v>63</v>
      </c>
      <c r="R231" s="20" t="s">
        <v>3356</v>
      </c>
      <c r="S231" s="20" t="s">
        <v>3357</v>
      </c>
      <c r="T231" s="20" t="s">
        <v>3356</v>
      </c>
      <c r="U231" s="21" t="s">
        <v>3350</v>
      </c>
      <c r="V231" s="21" t="s">
        <v>63</v>
      </c>
      <c r="W231" s="21" t="s">
        <v>63</v>
      </c>
      <c r="X231" s="20" t="s">
        <v>3356</v>
      </c>
      <c r="Y231" s="20" t="s">
        <v>3357</v>
      </c>
      <c r="Z231" s="20" t="s">
        <v>3356</v>
      </c>
      <c r="AA231" s="23"/>
      <c r="AB231" s="24" t="str">
        <f aca="false">IF(LEN($C231)&gt;0,COUNT(AB$1:AB230)+1,"")</f>
        <v/>
      </c>
      <c r="AC231" s="24" t="n">
        <f aca="false">IF(LEN($D231)&gt;0,COUNT(AC$1:AC230)+1,"")</f>
        <v>122</v>
      </c>
      <c r="AD231" s="24" t="n">
        <f aca="false">IF(LEN($E231)&gt;0,COUNT(AD$1:AD230)+1,"")</f>
        <v>23</v>
      </c>
      <c r="AE231" s="24" t="str">
        <f aca="false">IF(LEN($F231)&gt;0,COUNT(AE$1:AE230)+1,"")</f>
        <v/>
      </c>
    </row>
    <row r="232" customFormat="false" ht="33.75" hidden="false" customHeight="true" outlineLevel="0" collapsed="false">
      <c r="A232" s="18" t="n">
        <f aca="false">IF(B232="","",ROW()-2)</f>
        <v>230</v>
      </c>
      <c r="B232" s="18" t="s">
        <v>3358</v>
      </c>
      <c r="C232" s="19"/>
      <c r="D232" s="19"/>
      <c r="E232" s="19" t="s">
        <v>54</v>
      </c>
      <c r="F232" s="19"/>
      <c r="G232" s="18" t="s">
        <v>13</v>
      </c>
      <c r="H232" s="20" t="s">
        <v>3359</v>
      </c>
      <c r="I232" s="21" t="s">
        <v>3360</v>
      </c>
      <c r="J232" s="20" t="s">
        <v>3361</v>
      </c>
      <c r="K232" s="20" t="s">
        <v>3362</v>
      </c>
      <c r="L232" s="20" t="s">
        <v>3363</v>
      </c>
      <c r="M232" s="21" t="s">
        <v>3364</v>
      </c>
      <c r="N232" s="25" t="s">
        <v>3365</v>
      </c>
      <c r="O232" s="21" t="s">
        <v>3360</v>
      </c>
      <c r="P232" s="21" t="s">
        <v>2250</v>
      </c>
      <c r="Q232" s="21" t="s">
        <v>79</v>
      </c>
      <c r="R232" s="20" t="s">
        <v>3366</v>
      </c>
      <c r="S232" s="20" t="s">
        <v>3367</v>
      </c>
      <c r="T232" s="20" t="s">
        <v>3361</v>
      </c>
      <c r="U232" s="21" t="s">
        <v>3360</v>
      </c>
      <c r="V232" s="21" t="s">
        <v>2250</v>
      </c>
      <c r="W232" s="21" t="s">
        <v>79</v>
      </c>
      <c r="X232" s="20" t="s">
        <v>3366</v>
      </c>
      <c r="Y232" s="20" t="s">
        <v>3367</v>
      </c>
      <c r="Z232" s="20" t="s">
        <v>3361</v>
      </c>
      <c r="AA232" s="23"/>
      <c r="AB232" s="24" t="str">
        <f aca="false">IF(LEN($C232)&gt;0,COUNT(AB$1:AB231)+1,"")</f>
        <v/>
      </c>
      <c r="AC232" s="24" t="str">
        <f aca="false">IF(LEN($D232)&gt;0,COUNT(AC$1:AC231)+1,"")</f>
        <v/>
      </c>
      <c r="AD232" s="24" t="n">
        <f aca="false">IF(LEN($E232)&gt;0,COUNT(AD$1:AD231)+1,"")</f>
        <v>24</v>
      </c>
      <c r="AE232" s="24" t="str">
        <f aca="false">IF(LEN($F232)&gt;0,COUNT(AE$1:AE231)+1,"")</f>
        <v/>
      </c>
    </row>
    <row r="233" customFormat="false" ht="22.5" hidden="false" customHeight="true" outlineLevel="0" collapsed="false">
      <c r="A233" s="18" t="n">
        <f aca="false">IF(B233="","",ROW()-2)</f>
        <v>231</v>
      </c>
      <c r="B233" s="18" t="s">
        <v>3368</v>
      </c>
      <c r="C233" s="19"/>
      <c r="D233" s="19"/>
      <c r="E233" s="19" t="s">
        <v>54</v>
      </c>
      <c r="F233" s="19"/>
      <c r="G233" s="18" t="s">
        <v>13</v>
      </c>
      <c r="H233" s="20" t="s">
        <v>3369</v>
      </c>
      <c r="I233" s="21" t="s">
        <v>3370</v>
      </c>
      <c r="J233" s="20" t="s">
        <v>3371</v>
      </c>
      <c r="K233" s="20" t="s">
        <v>3372</v>
      </c>
      <c r="L233" s="20" t="s">
        <v>3373</v>
      </c>
      <c r="M233" s="21" t="s">
        <v>3374</v>
      </c>
      <c r="N233" s="25" t="s">
        <v>3375</v>
      </c>
      <c r="O233" s="21" t="s">
        <v>3376</v>
      </c>
      <c r="P233" s="20" t="s">
        <v>3377</v>
      </c>
      <c r="Q233" s="21" t="s">
        <v>3378</v>
      </c>
      <c r="R233" s="20" t="s">
        <v>3371</v>
      </c>
      <c r="S233" s="20" t="s">
        <v>3379</v>
      </c>
      <c r="T233" s="20" t="s">
        <v>3371</v>
      </c>
      <c r="U233" s="21" t="s">
        <v>3376</v>
      </c>
      <c r="V233" s="20" t="s">
        <v>3377</v>
      </c>
      <c r="W233" s="21" t="s">
        <v>3378</v>
      </c>
      <c r="X233" s="20" t="s">
        <v>3371</v>
      </c>
      <c r="Y233" s="20" t="s">
        <v>3379</v>
      </c>
      <c r="Z233" s="20" t="s">
        <v>3371</v>
      </c>
      <c r="AA233" s="23"/>
      <c r="AB233" s="24" t="str">
        <f aca="false">IF(LEN($C233)&gt;0,COUNT(AB$1:AB232)+1,"")</f>
        <v/>
      </c>
      <c r="AC233" s="24" t="str">
        <f aca="false">IF(LEN($D233)&gt;0,COUNT(AC$1:AC232)+1,"")</f>
        <v/>
      </c>
      <c r="AD233" s="24" t="n">
        <f aca="false">IF(LEN($E233)&gt;0,COUNT(AD$1:AD232)+1,"")</f>
        <v>25</v>
      </c>
      <c r="AE233" s="24" t="str">
        <f aca="false">IF(LEN($F233)&gt;0,COUNT(AE$1:AE232)+1,"")</f>
        <v/>
      </c>
    </row>
    <row r="234" customFormat="false" ht="33.75" hidden="false" customHeight="true" outlineLevel="0" collapsed="false">
      <c r="A234" s="18" t="n">
        <f aca="false">IF(B234="","",ROW()-2)</f>
        <v>232</v>
      </c>
      <c r="B234" s="18" t="s">
        <v>3380</v>
      </c>
      <c r="C234" s="19" t="s">
        <v>54</v>
      </c>
      <c r="D234" s="19" t="s">
        <v>54</v>
      </c>
      <c r="E234" s="19" t="s">
        <v>54</v>
      </c>
      <c r="F234" s="19"/>
      <c r="G234" s="18" t="s">
        <v>13</v>
      </c>
      <c r="H234" s="20" t="s">
        <v>3381</v>
      </c>
      <c r="I234" s="21" t="s">
        <v>3382</v>
      </c>
      <c r="J234" s="20" t="s">
        <v>3383</v>
      </c>
      <c r="K234" s="20" t="s">
        <v>3384</v>
      </c>
      <c r="L234" s="20" t="s">
        <v>3385</v>
      </c>
      <c r="M234" s="21" t="s">
        <v>3386</v>
      </c>
      <c r="N234" s="25" t="s">
        <v>3387</v>
      </c>
      <c r="O234" s="21" t="s">
        <v>3388</v>
      </c>
      <c r="P234" s="20" t="s">
        <v>3389</v>
      </c>
      <c r="Q234" s="21" t="s">
        <v>993</v>
      </c>
      <c r="R234" s="20" t="s">
        <v>3390</v>
      </c>
      <c r="S234" s="20" t="s">
        <v>3391</v>
      </c>
      <c r="T234" s="20" t="s">
        <v>3392</v>
      </c>
      <c r="U234" s="21" t="s">
        <v>3388</v>
      </c>
      <c r="V234" s="20" t="s">
        <v>3389</v>
      </c>
      <c r="W234" s="21" t="s">
        <v>993</v>
      </c>
      <c r="X234" s="20" t="s">
        <v>3390</v>
      </c>
      <c r="Y234" s="20" t="s">
        <v>3391</v>
      </c>
      <c r="Z234" s="20" t="s">
        <v>3392</v>
      </c>
      <c r="AA234" s="23"/>
      <c r="AB234" s="24" t="n">
        <f aca="false">IF(LEN($C234)&gt;0,COUNT(AB$1:AB233)+1,"")</f>
        <v>123</v>
      </c>
      <c r="AC234" s="24" t="n">
        <f aca="false">IF(LEN($D234)&gt;0,COUNT(AC$1:AC233)+1,"")</f>
        <v>123</v>
      </c>
      <c r="AD234" s="24" t="n">
        <f aca="false">IF(LEN($E234)&gt;0,COUNT(AD$1:AD233)+1,"")</f>
        <v>26</v>
      </c>
      <c r="AE234" s="24" t="str">
        <f aca="false">IF(LEN($F234)&gt;0,COUNT(AE$1:AE233)+1,"")</f>
        <v/>
      </c>
    </row>
    <row r="235" customFormat="false" ht="33.75" hidden="false" customHeight="true" outlineLevel="0" collapsed="false">
      <c r="A235" s="18" t="n">
        <f aca="false">IF(B235="","",ROW()-2)</f>
        <v>233</v>
      </c>
      <c r="B235" s="18" t="s">
        <v>3393</v>
      </c>
      <c r="C235" s="19"/>
      <c r="D235" s="19" t="s">
        <v>54</v>
      </c>
      <c r="E235" s="19" t="s">
        <v>54</v>
      </c>
      <c r="F235" s="19"/>
      <c r="G235" s="18" t="s">
        <v>13</v>
      </c>
      <c r="H235" s="20" t="s">
        <v>3394</v>
      </c>
      <c r="I235" s="21" t="s">
        <v>3395</v>
      </c>
      <c r="J235" s="20" t="s">
        <v>3396</v>
      </c>
      <c r="K235" s="20" t="s">
        <v>3397</v>
      </c>
      <c r="L235" s="20" t="s">
        <v>3398</v>
      </c>
      <c r="M235" s="21" t="s">
        <v>3399</v>
      </c>
      <c r="N235" s="22" t="s">
        <v>3400</v>
      </c>
      <c r="O235" s="21" t="s">
        <v>3395</v>
      </c>
      <c r="P235" s="21" t="s">
        <v>3401</v>
      </c>
      <c r="Q235" s="21" t="s">
        <v>79</v>
      </c>
      <c r="R235" s="20" t="s">
        <v>3396</v>
      </c>
      <c r="S235" s="20" t="s">
        <v>3398</v>
      </c>
      <c r="T235" s="20" t="s">
        <v>3396</v>
      </c>
      <c r="U235" s="21" t="s">
        <v>3395</v>
      </c>
      <c r="V235" s="21" t="s">
        <v>3401</v>
      </c>
      <c r="W235" s="21" t="s">
        <v>79</v>
      </c>
      <c r="X235" s="20" t="s">
        <v>3396</v>
      </c>
      <c r="Y235" s="20" t="s">
        <v>3398</v>
      </c>
      <c r="Z235" s="20" t="s">
        <v>3396</v>
      </c>
      <c r="AA235" s="23"/>
      <c r="AB235" s="24" t="str">
        <f aca="false">IF(LEN($C235)&gt;0,COUNT(AB$1:AB234)+1,"")</f>
        <v/>
      </c>
      <c r="AC235" s="24" t="n">
        <f aca="false">IF(LEN($D235)&gt;0,COUNT(AC$1:AC234)+1,"")</f>
        <v>124</v>
      </c>
      <c r="AD235" s="24" t="n">
        <f aca="false">IF(LEN($E235)&gt;0,COUNT(AD$1:AD234)+1,"")</f>
        <v>27</v>
      </c>
      <c r="AE235" s="24" t="str">
        <f aca="false">IF(LEN($F235)&gt;0,COUNT(AE$1:AE234)+1,"")</f>
        <v/>
      </c>
    </row>
    <row r="236" customFormat="false" ht="33.75" hidden="false" customHeight="true" outlineLevel="0" collapsed="false">
      <c r="A236" s="18" t="n">
        <f aca="false">IF(B236="","",ROW()-2)</f>
        <v>234</v>
      </c>
      <c r="B236" s="18" t="s">
        <v>3402</v>
      </c>
      <c r="C236" s="19"/>
      <c r="D236" s="19"/>
      <c r="E236" s="19" t="s">
        <v>54</v>
      </c>
      <c r="F236" s="19"/>
      <c r="G236" s="18" t="s">
        <v>13</v>
      </c>
      <c r="H236" s="20" t="s">
        <v>3403</v>
      </c>
      <c r="I236" s="21" t="s">
        <v>3404</v>
      </c>
      <c r="J236" s="20" t="s">
        <v>3405</v>
      </c>
      <c r="K236" s="20" t="s">
        <v>3406</v>
      </c>
      <c r="L236" s="20" t="s">
        <v>3407</v>
      </c>
      <c r="M236" s="21" t="s">
        <v>3408</v>
      </c>
      <c r="N236" s="25" t="s">
        <v>3409</v>
      </c>
      <c r="O236" s="21" t="s">
        <v>3410</v>
      </c>
      <c r="P236" s="21" t="s">
        <v>3411</v>
      </c>
      <c r="Q236" s="21" t="s">
        <v>3412</v>
      </c>
      <c r="R236" s="20" t="s">
        <v>3413</v>
      </c>
      <c r="S236" s="20" t="s">
        <v>3414</v>
      </c>
      <c r="T236" s="20" t="s">
        <v>3415</v>
      </c>
      <c r="U236" s="21" t="s">
        <v>3410</v>
      </c>
      <c r="V236" s="21" t="s">
        <v>3411</v>
      </c>
      <c r="W236" s="21" t="s">
        <v>3412</v>
      </c>
      <c r="X236" s="20" t="s">
        <v>3413</v>
      </c>
      <c r="Y236" s="20" t="s">
        <v>3414</v>
      </c>
      <c r="Z236" s="20" t="s">
        <v>3415</v>
      </c>
      <c r="AA236" s="23"/>
      <c r="AB236" s="24" t="str">
        <f aca="false">IF(LEN($C236)&gt;0,COUNT(AB$1:AB235)+1,"")</f>
        <v/>
      </c>
      <c r="AC236" s="24" t="str">
        <f aca="false">IF(LEN($D236)&gt;0,COUNT(AC$1:AC235)+1,"")</f>
        <v/>
      </c>
      <c r="AD236" s="24" t="n">
        <f aca="false">IF(LEN($E236)&gt;0,COUNT(AD$1:AD235)+1,"")</f>
        <v>28</v>
      </c>
      <c r="AE236" s="24" t="str">
        <f aca="false">IF(LEN($F236)&gt;0,COUNT(AE$1:AE235)+1,"")</f>
        <v/>
      </c>
    </row>
    <row r="237" customFormat="false" ht="22.5" hidden="false" customHeight="true" outlineLevel="0" collapsed="false">
      <c r="A237" s="18" t="n">
        <f aca="false">IF(B237="","",ROW()-2)</f>
        <v>235</v>
      </c>
      <c r="B237" s="17" t="s">
        <v>3416</v>
      </c>
      <c r="C237" s="19"/>
      <c r="D237" s="19"/>
      <c r="E237" s="19" t="s">
        <v>54</v>
      </c>
      <c r="F237" s="19"/>
      <c r="G237" s="18" t="s">
        <v>13</v>
      </c>
      <c r="H237" s="20" t="s">
        <v>3417</v>
      </c>
      <c r="I237" s="21" t="s">
        <v>3418</v>
      </c>
      <c r="J237" s="20" t="s">
        <v>3419</v>
      </c>
      <c r="K237" s="20" t="s">
        <v>3420</v>
      </c>
      <c r="L237" s="20" t="s">
        <v>3421</v>
      </c>
      <c r="M237" s="21" t="s">
        <v>3422</v>
      </c>
      <c r="N237" s="25" t="s">
        <v>3423</v>
      </c>
      <c r="O237" s="21" t="s">
        <v>3424</v>
      </c>
      <c r="P237" s="21" t="s">
        <v>320</v>
      </c>
      <c r="Q237" s="21" t="s">
        <v>211</v>
      </c>
      <c r="R237" s="20" t="s">
        <v>3425</v>
      </c>
      <c r="S237" s="20" t="s">
        <v>3426</v>
      </c>
      <c r="T237" s="20" t="s">
        <v>3427</v>
      </c>
      <c r="U237" s="21" t="s">
        <v>3424</v>
      </c>
      <c r="V237" s="21" t="s">
        <v>320</v>
      </c>
      <c r="W237" s="21" t="s">
        <v>211</v>
      </c>
      <c r="X237" s="20" t="s">
        <v>3425</v>
      </c>
      <c r="Y237" s="20" t="s">
        <v>3426</v>
      </c>
      <c r="Z237" s="20" t="s">
        <v>3427</v>
      </c>
      <c r="AA237" s="23"/>
      <c r="AB237" s="24" t="str">
        <f aca="false">IF(LEN($C237)&gt;0,COUNT(AB$1:AB236)+1,"")</f>
        <v/>
      </c>
      <c r="AC237" s="24" t="str">
        <f aca="false">IF(LEN($D237)&gt;0,COUNT(AC$1:AC236)+1,"")</f>
        <v/>
      </c>
      <c r="AD237" s="24" t="n">
        <f aca="false">IF(LEN($E237)&gt;0,COUNT(AD$1:AD236)+1,"")</f>
        <v>29</v>
      </c>
      <c r="AE237" s="24" t="str">
        <f aca="false">IF(LEN($F237)&gt;0,COUNT(AE$1:AE236)+1,"")</f>
        <v/>
      </c>
    </row>
    <row r="238" customFormat="false" ht="22.5" hidden="false" customHeight="true" outlineLevel="0" collapsed="false">
      <c r="A238" s="18" t="n">
        <f aca="false">IF(B238="","",ROW()-2)</f>
        <v>236</v>
      </c>
      <c r="B238" s="17" t="s">
        <v>3428</v>
      </c>
      <c r="C238" s="19"/>
      <c r="D238" s="19"/>
      <c r="E238" s="19" t="s">
        <v>54</v>
      </c>
      <c r="F238" s="19"/>
      <c r="G238" s="18" t="s">
        <v>13</v>
      </c>
      <c r="H238" s="20" t="s">
        <v>3429</v>
      </c>
      <c r="I238" s="21" t="s">
        <v>3430</v>
      </c>
      <c r="J238" s="20" t="s">
        <v>3431</v>
      </c>
      <c r="K238" s="20" t="s">
        <v>3432</v>
      </c>
      <c r="L238" s="20" t="s">
        <v>3433</v>
      </c>
      <c r="M238" s="21" t="s">
        <v>3434</v>
      </c>
      <c r="N238" s="25" t="s">
        <v>3435</v>
      </c>
      <c r="O238" s="21" t="s">
        <v>3430</v>
      </c>
      <c r="P238" s="21" t="s">
        <v>3436</v>
      </c>
      <c r="Q238" s="21" t="s">
        <v>79</v>
      </c>
      <c r="R238" s="20" t="s">
        <v>3431</v>
      </c>
      <c r="S238" s="20" t="s">
        <v>3437</v>
      </c>
      <c r="T238" s="20" t="s">
        <v>3438</v>
      </c>
      <c r="U238" s="21" t="s">
        <v>3430</v>
      </c>
      <c r="V238" s="21" t="s">
        <v>3436</v>
      </c>
      <c r="W238" s="21" t="s">
        <v>79</v>
      </c>
      <c r="X238" s="20" t="s">
        <v>3431</v>
      </c>
      <c r="Y238" s="20" t="s">
        <v>3437</v>
      </c>
      <c r="Z238" s="20" t="s">
        <v>3438</v>
      </c>
      <c r="AA238" s="23"/>
      <c r="AB238" s="24" t="str">
        <f aca="false">IF(LEN($C238)&gt;0,COUNT(AB$1:AB237)+1,"")</f>
        <v/>
      </c>
      <c r="AC238" s="24" t="str">
        <f aca="false">IF(LEN($D238)&gt;0,COUNT(AC$1:AC237)+1,"")</f>
        <v/>
      </c>
      <c r="AD238" s="24" t="n">
        <f aca="false">IF(LEN($E238)&gt;0,COUNT(AD$1:AD237)+1,"")</f>
        <v>30</v>
      </c>
      <c r="AE238" s="24" t="str">
        <f aca="false">IF(LEN($F238)&gt;0,COUNT(AE$1:AE237)+1,"")</f>
        <v/>
      </c>
    </row>
    <row r="239" customFormat="false" ht="33.75" hidden="false" customHeight="true" outlineLevel="0" collapsed="false">
      <c r="A239" s="18" t="n">
        <f aca="false">IF(B239="","",ROW()-2)</f>
        <v>237</v>
      </c>
      <c r="B239" s="18" t="s">
        <v>3439</v>
      </c>
      <c r="C239" s="19"/>
      <c r="D239" s="19"/>
      <c r="E239" s="19" t="s">
        <v>54</v>
      </c>
      <c r="F239" s="19"/>
      <c r="G239" s="18" t="s">
        <v>13</v>
      </c>
      <c r="H239" s="20" t="s">
        <v>3440</v>
      </c>
      <c r="I239" s="21" t="s">
        <v>3441</v>
      </c>
      <c r="J239" s="20" t="s">
        <v>3442</v>
      </c>
      <c r="K239" s="21" t="s">
        <v>3443</v>
      </c>
      <c r="L239" s="20" t="s">
        <v>3444</v>
      </c>
      <c r="M239" s="21" t="s">
        <v>3445</v>
      </c>
      <c r="N239" s="25" t="s">
        <v>3446</v>
      </c>
      <c r="O239" s="21" t="s">
        <v>3441</v>
      </c>
      <c r="P239" s="21" t="s">
        <v>3447</v>
      </c>
      <c r="Q239" s="21" t="s">
        <v>3448</v>
      </c>
      <c r="R239" s="20" t="s">
        <v>3449</v>
      </c>
      <c r="S239" s="20" t="s">
        <v>3444</v>
      </c>
      <c r="T239" s="20" t="s">
        <v>3442</v>
      </c>
      <c r="U239" s="21" t="s">
        <v>3441</v>
      </c>
      <c r="V239" s="21" t="s">
        <v>3447</v>
      </c>
      <c r="W239" s="21" t="s">
        <v>3448</v>
      </c>
      <c r="X239" s="20" t="s">
        <v>3449</v>
      </c>
      <c r="Y239" s="20" t="s">
        <v>3444</v>
      </c>
      <c r="Z239" s="20" t="s">
        <v>3442</v>
      </c>
      <c r="AA239" s="23"/>
      <c r="AB239" s="24" t="str">
        <f aca="false">IF(LEN($C239)&gt;0,COUNT(AB$1:AB238)+1,"")</f>
        <v/>
      </c>
      <c r="AC239" s="24" t="str">
        <f aca="false">IF(LEN($D239)&gt;0,COUNT(AC$1:AC238)+1,"")</f>
        <v/>
      </c>
      <c r="AD239" s="24" t="n">
        <f aca="false">IF(LEN($E239)&gt;0,COUNT(AD$1:AD238)+1,"")</f>
        <v>31</v>
      </c>
      <c r="AE239" s="24" t="str">
        <f aca="false">IF(LEN($F239)&gt;0,COUNT(AE$1:AE238)+1,"")</f>
        <v/>
      </c>
    </row>
    <row r="240" customFormat="false" ht="22.5" hidden="false" customHeight="true" outlineLevel="0" collapsed="false">
      <c r="A240" s="18" t="n">
        <f aca="false">IF(B240="","",ROW()-2)</f>
        <v>238</v>
      </c>
      <c r="B240" s="18" t="s">
        <v>3450</v>
      </c>
      <c r="C240" s="19"/>
      <c r="D240" s="19"/>
      <c r="E240" s="19" t="s">
        <v>54</v>
      </c>
      <c r="F240" s="19"/>
      <c r="G240" s="18" t="s">
        <v>16</v>
      </c>
      <c r="H240" s="20" t="s">
        <v>3451</v>
      </c>
      <c r="I240" s="21" t="s">
        <v>3452</v>
      </c>
      <c r="J240" s="20" t="s">
        <v>3453</v>
      </c>
      <c r="K240" s="20" t="s">
        <v>3454</v>
      </c>
      <c r="L240" s="20" t="s">
        <v>3455</v>
      </c>
      <c r="M240" s="21" t="s">
        <v>3456</v>
      </c>
      <c r="N240" s="25" t="s">
        <v>3457</v>
      </c>
      <c r="O240" s="21" t="s">
        <v>3452</v>
      </c>
      <c r="P240" s="21" t="s">
        <v>3458</v>
      </c>
      <c r="Q240" s="21" t="s">
        <v>3459</v>
      </c>
      <c r="R240" s="20" t="s">
        <v>3453</v>
      </c>
      <c r="S240" s="20" t="s">
        <v>3460</v>
      </c>
      <c r="T240" s="20" t="s">
        <v>3461</v>
      </c>
      <c r="U240" s="21" t="s">
        <v>3452</v>
      </c>
      <c r="V240" s="21" t="s">
        <v>3458</v>
      </c>
      <c r="W240" s="21" t="s">
        <v>3459</v>
      </c>
      <c r="X240" s="20" t="s">
        <v>3453</v>
      </c>
      <c r="Y240" s="20" t="s">
        <v>3460</v>
      </c>
      <c r="Z240" s="20" t="s">
        <v>3461</v>
      </c>
      <c r="AA240" s="23"/>
      <c r="AB240" s="24" t="str">
        <f aca="false">IF(LEN($C240)&gt;0,COUNT(AB$1:AB239)+1,"")</f>
        <v/>
      </c>
      <c r="AC240" s="24" t="str">
        <f aca="false">IF(LEN($D240)&gt;0,COUNT(AC$1:AC239)+1,"")</f>
        <v/>
      </c>
      <c r="AD240" s="24" t="n">
        <f aca="false">IF(LEN($E240)&gt;0,COUNT(AD$1:AD239)+1,"")</f>
        <v>32</v>
      </c>
      <c r="AE240" s="24" t="str">
        <f aca="false">IF(LEN($F240)&gt;0,COUNT(AE$1:AE239)+1,"")</f>
        <v/>
      </c>
    </row>
    <row r="241" customFormat="false" ht="22.5" hidden="false" customHeight="true" outlineLevel="0" collapsed="false">
      <c r="A241" s="18" t="n">
        <f aca="false">IF(B241="","",ROW()-2)</f>
        <v>239</v>
      </c>
      <c r="B241" s="17" t="s">
        <v>3462</v>
      </c>
      <c r="C241" s="19"/>
      <c r="D241" s="19"/>
      <c r="E241" s="19" t="s">
        <v>54</v>
      </c>
      <c r="F241" s="19"/>
      <c r="G241" s="18" t="s">
        <v>13</v>
      </c>
      <c r="H241" s="20" t="s">
        <v>3463</v>
      </c>
      <c r="I241" s="21" t="s">
        <v>3464</v>
      </c>
      <c r="J241" s="20" t="s">
        <v>3465</v>
      </c>
      <c r="K241" s="20" t="s">
        <v>3466</v>
      </c>
      <c r="L241" s="20" t="s">
        <v>3467</v>
      </c>
      <c r="M241" s="21" t="s">
        <v>3468</v>
      </c>
      <c r="N241" s="22" t="s">
        <v>3469</v>
      </c>
      <c r="O241" s="21" t="s">
        <v>3470</v>
      </c>
      <c r="P241" s="21" t="s">
        <v>2865</v>
      </c>
      <c r="Q241" s="21" t="s">
        <v>3471</v>
      </c>
      <c r="R241" s="20" t="s">
        <v>3472</v>
      </c>
      <c r="S241" s="20" t="s">
        <v>3467</v>
      </c>
      <c r="T241" s="20" t="s">
        <v>3472</v>
      </c>
      <c r="U241" s="21" t="s">
        <v>3470</v>
      </c>
      <c r="V241" s="21" t="s">
        <v>2865</v>
      </c>
      <c r="W241" s="21" t="s">
        <v>3471</v>
      </c>
      <c r="X241" s="20" t="s">
        <v>3472</v>
      </c>
      <c r="Y241" s="20" t="s">
        <v>3467</v>
      </c>
      <c r="Z241" s="20" t="s">
        <v>3472</v>
      </c>
      <c r="AA241" s="23"/>
      <c r="AB241" s="24" t="str">
        <f aca="false">IF(LEN($C241)&gt;0,COUNT(AB$1:AB240)+1,"")</f>
        <v/>
      </c>
      <c r="AC241" s="24" t="str">
        <f aca="false">IF(LEN($D241)&gt;0,COUNT(AC$1:AC240)+1,"")</f>
        <v/>
      </c>
      <c r="AD241" s="24" t="n">
        <f aca="false">IF(LEN($E241)&gt;0,COUNT(AD$1:AD240)+1,"")</f>
        <v>33</v>
      </c>
      <c r="AE241" s="24" t="str">
        <f aca="false">IF(LEN($F241)&gt;0,COUNT(AE$1:AE240)+1,"")</f>
        <v/>
      </c>
    </row>
    <row r="242" customFormat="false" ht="22.5" hidden="false" customHeight="true" outlineLevel="0" collapsed="false">
      <c r="A242" s="18" t="n">
        <f aca="false">IF(B242="","",ROW()-2)</f>
        <v>240</v>
      </c>
      <c r="B242" s="17" t="s">
        <v>3473</v>
      </c>
      <c r="C242" s="19"/>
      <c r="D242" s="19"/>
      <c r="E242" s="19" t="s">
        <v>54</v>
      </c>
      <c r="F242" s="19"/>
      <c r="G242" s="18" t="s">
        <v>13</v>
      </c>
      <c r="H242" s="20" t="s">
        <v>3474</v>
      </c>
      <c r="I242" s="21" t="s">
        <v>3475</v>
      </c>
      <c r="J242" s="20" t="s">
        <v>3476</v>
      </c>
      <c r="K242" s="20" t="s">
        <v>3477</v>
      </c>
      <c r="L242" s="20" t="s">
        <v>3478</v>
      </c>
      <c r="M242" s="21" t="s">
        <v>3479</v>
      </c>
      <c r="N242" s="22" t="s">
        <v>3480</v>
      </c>
      <c r="O242" s="21" t="s">
        <v>3481</v>
      </c>
      <c r="P242" s="20" t="s">
        <v>3482</v>
      </c>
      <c r="Q242" s="21" t="s">
        <v>172</v>
      </c>
      <c r="R242" s="20" t="s">
        <v>3476</v>
      </c>
      <c r="S242" s="20" t="s">
        <v>3478</v>
      </c>
      <c r="T242" s="20" t="s">
        <v>3483</v>
      </c>
      <c r="U242" s="21" t="s">
        <v>3481</v>
      </c>
      <c r="V242" s="20" t="s">
        <v>3482</v>
      </c>
      <c r="W242" s="21" t="s">
        <v>172</v>
      </c>
      <c r="X242" s="20" t="s">
        <v>3476</v>
      </c>
      <c r="Y242" s="20" t="s">
        <v>3478</v>
      </c>
      <c r="Z242" s="20" t="s">
        <v>3483</v>
      </c>
      <c r="AA242" s="23"/>
      <c r="AB242" s="24" t="str">
        <f aca="false">IF(LEN($C242)&gt;0,COUNT(AB$1:AB241)+1,"")</f>
        <v/>
      </c>
      <c r="AC242" s="24" t="str">
        <f aca="false">IF(LEN($D242)&gt;0,COUNT(AC$1:AC241)+1,"")</f>
        <v/>
      </c>
      <c r="AD242" s="24" t="n">
        <f aca="false">IF(LEN($E242)&gt;0,COUNT(AD$1:AD241)+1,"")</f>
        <v>34</v>
      </c>
      <c r="AE242" s="24" t="str">
        <f aca="false">IF(LEN($F242)&gt;0,COUNT(AE$1:AE241)+1,"")</f>
        <v/>
      </c>
    </row>
    <row r="243" customFormat="false" ht="22.5" hidden="false" customHeight="true" outlineLevel="0" collapsed="false">
      <c r="A243" s="18" t="n">
        <f aca="false">IF(B243="","",ROW()-2)</f>
        <v>241</v>
      </c>
      <c r="B243" s="17" t="s">
        <v>3484</v>
      </c>
      <c r="C243" s="19"/>
      <c r="D243" s="19"/>
      <c r="E243" s="19" t="s">
        <v>54</v>
      </c>
      <c r="F243" s="19"/>
      <c r="G243" s="18" t="s">
        <v>13</v>
      </c>
      <c r="H243" s="20" t="s">
        <v>3485</v>
      </c>
      <c r="I243" s="21" t="s">
        <v>3486</v>
      </c>
      <c r="J243" s="20" t="s">
        <v>3487</v>
      </c>
      <c r="K243" s="20" t="s">
        <v>3488</v>
      </c>
      <c r="L243" s="20" t="s">
        <v>3489</v>
      </c>
      <c r="M243" s="21" t="s">
        <v>3490</v>
      </c>
      <c r="N243" s="25" t="s">
        <v>3491</v>
      </c>
      <c r="O243" s="21" t="s">
        <v>3492</v>
      </c>
      <c r="P243" s="21" t="s">
        <v>3493</v>
      </c>
      <c r="Q243" s="21" t="s">
        <v>3494</v>
      </c>
      <c r="R243" s="20" t="s">
        <v>3495</v>
      </c>
      <c r="S243" s="20" t="s">
        <v>3496</v>
      </c>
      <c r="T243" s="20" t="s">
        <v>3495</v>
      </c>
      <c r="U243" s="21" t="s">
        <v>3492</v>
      </c>
      <c r="V243" s="21" t="s">
        <v>3493</v>
      </c>
      <c r="W243" s="21" t="s">
        <v>3494</v>
      </c>
      <c r="X243" s="20" t="s">
        <v>3495</v>
      </c>
      <c r="Y243" s="20" t="s">
        <v>3496</v>
      </c>
      <c r="Z243" s="20" t="s">
        <v>3495</v>
      </c>
      <c r="AA243" s="23"/>
      <c r="AB243" s="24" t="str">
        <f aca="false">IF(LEN($C243)&gt;0,COUNT(AB$1:AB242)+1,"")</f>
        <v/>
      </c>
      <c r="AC243" s="24" t="str">
        <f aca="false">IF(LEN($D243)&gt;0,COUNT(AC$1:AC242)+1,"")</f>
        <v/>
      </c>
      <c r="AD243" s="24" t="n">
        <f aca="false">IF(LEN($E243)&gt;0,COUNT(AD$1:AD242)+1,"")</f>
        <v>35</v>
      </c>
      <c r="AE243" s="24" t="str">
        <f aca="false">IF(LEN($F243)&gt;0,COUNT(AE$1:AE242)+1,"")</f>
        <v/>
      </c>
    </row>
    <row r="244" customFormat="false" ht="22.5" hidden="false" customHeight="true" outlineLevel="0" collapsed="false">
      <c r="A244" s="18" t="n">
        <f aca="false">IF(B244="","",ROW()-2)</f>
        <v>242</v>
      </c>
      <c r="B244" s="18" t="s">
        <v>3497</v>
      </c>
      <c r="C244" s="19"/>
      <c r="D244" s="19" t="s">
        <v>54</v>
      </c>
      <c r="E244" s="19" t="s">
        <v>54</v>
      </c>
      <c r="F244" s="19"/>
      <c r="G244" s="18" t="s">
        <v>13</v>
      </c>
      <c r="H244" s="20" t="s">
        <v>3498</v>
      </c>
      <c r="I244" s="21" t="s">
        <v>3499</v>
      </c>
      <c r="J244" s="20" t="s">
        <v>3500</v>
      </c>
      <c r="K244" s="20" t="s">
        <v>3501</v>
      </c>
      <c r="L244" s="20" t="s">
        <v>3502</v>
      </c>
      <c r="M244" s="21" t="s">
        <v>3503</v>
      </c>
      <c r="N244" s="25" t="s">
        <v>3504</v>
      </c>
      <c r="O244" s="21" t="s">
        <v>3499</v>
      </c>
      <c r="P244" s="21" t="s">
        <v>63</v>
      </c>
      <c r="Q244" s="21" t="s">
        <v>63</v>
      </c>
      <c r="R244" s="20" t="s">
        <v>3500</v>
      </c>
      <c r="S244" s="20" t="s">
        <v>3505</v>
      </c>
      <c r="T244" s="20" t="s">
        <v>3506</v>
      </c>
      <c r="U244" s="21" t="s">
        <v>3499</v>
      </c>
      <c r="V244" s="21" t="s">
        <v>63</v>
      </c>
      <c r="W244" s="21" t="s">
        <v>63</v>
      </c>
      <c r="X244" s="20" t="s">
        <v>3500</v>
      </c>
      <c r="Y244" s="20" t="s">
        <v>3505</v>
      </c>
      <c r="Z244" s="20" t="s">
        <v>3506</v>
      </c>
      <c r="AA244" s="23"/>
      <c r="AB244" s="24" t="str">
        <f aca="false">IF(LEN($C244)&gt;0,COUNT(AB$1:AB243)+1,"")</f>
        <v/>
      </c>
      <c r="AC244" s="24" t="n">
        <f aca="false">IF(LEN($D244)&gt;0,COUNT(AC$1:AC243)+1,"")</f>
        <v>125</v>
      </c>
      <c r="AD244" s="24" t="n">
        <f aca="false">IF(LEN($E244)&gt;0,COUNT(AD$1:AD243)+1,"")</f>
        <v>36</v>
      </c>
      <c r="AE244" s="24" t="str">
        <f aca="false">IF(LEN($F244)&gt;0,COUNT(AE$1:AE243)+1,"")</f>
        <v/>
      </c>
    </row>
    <row r="245" customFormat="false" ht="33.75" hidden="false" customHeight="true" outlineLevel="0" collapsed="false">
      <c r="A245" s="18" t="n">
        <f aca="false">IF(B245="","",ROW()-2)</f>
        <v>243</v>
      </c>
      <c r="B245" s="17" t="s">
        <v>3507</v>
      </c>
      <c r="C245" s="19"/>
      <c r="D245" s="19"/>
      <c r="E245" s="19" t="s">
        <v>54</v>
      </c>
      <c r="F245" s="19"/>
      <c r="G245" s="26" t="s">
        <v>12</v>
      </c>
      <c r="H245" s="20" t="s">
        <v>3508</v>
      </c>
      <c r="I245" s="21" t="s">
        <v>3509</v>
      </c>
      <c r="J245" s="20" t="s">
        <v>3510</v>
      </c>
      <c r="K245" s="20" t="s">
        <v>3511</v>
      </c>
      <c r="L245" s="20" t="s">
        <v>3512</v>
      </c>
      <c r="M245" s="21" t="s">
        <v>3513</v>
      </c>
      <c r="N245" s="22" t="s">
        <v>3514</v>
      </c>
      <c r="O245" s="21" t="s">
        <v>3515</v>
      </c>
      <c r="P245" s="21" t="s">
        <v>825</v>
      </c>
      <c r="Q245" s="21" t="s">
        <v>3516</v>
      </c>
      <c r="R245" s="20" t="s">
        <v>3517</v>
      </c>
      <c r="S245" s="20" t="s">
        <v>3518</v>
      </c>
      <c r="T245" s="20" t="s">
        <v>3517</v>
      </c>
      <c r="U245" s="21" t="s">
        <v>3515</v>
      </c>
      <c r="V245" s="21" t="s">
        <v>825</v>
      </c>
      <c r="W245" s="21" t="s">
        <v>3516</v>
      </c>
      <c r="X245" s="20" t="s">
        <v>3517</v>
      </c>
      <c r="Y245" s="20" t="s">
        <v>3518</v>
      </c>
      <c r="Z245" s="20" t="s">
        <v>3517</v>
      </c>
      <c r="AA245" s="27"/>
      <c r="AB245" s="24" t="str">
        <f aca="false">IF(LEN($C245)&gt;0,COUNT(AB$1:AB244)+1,"")</f>
        <v/>
      </c>
      <c r="AC245" s="24" t="str">
        <f aca="false">IF(LEN($D245)&gt;0,COUNT(AC$1:AC244)+1,"")</f>
        <v/>
      </c>
      <c r="AD245" s="24" t="n">
        <f aca="false">IF(LEN($E245)&gt;0,COUNT(AD$1:AD244)+1,"")</f>
        <v>37</v>
      </c>
      <c r="AE245" s="24" t="str">
        <f aca="false">IF(LEN($F245)&gt;0,COUNT(AE$1:AE244)+1,"")</f>
        <v/>
      </c>
    </row>
    <row r="246" customFormat="false" ht="22.5" hidden="false" customHeight="true" outlineLevel="0" collapsed="false">
      <c r="A246" s="18" t="n">
        <f aca="false">IF(B246="","",ROW()-2)</f>
        <v>244</v>
      </c>
      <c r="B246" s="18" t="s">
        <v>3519</v>
      </c>
      <c r="C246" s="19"/>
      <c r="D246" s="19"/>
      <c r="E246" s="19" t="s">
        <v>54</v>
      </c>
      <c r="F246" s="19"/>
      <c r="G246" s="18" t="s">
        <v>13</v>
      </c>
      <c r="H246" s="20" t="s">
        <v>3520</v>
      </c>
      <c r="I246" s="21" t="s">
        <v>1825</v>
      </c>
      <c r="J246" s="20" t="s">
        <v>3521</v>
      </c>
      <c r="K246" s="20" t="s">
        <v>3522</v>
      </c>
      <c r="L246" s="20" t="s">
        <v>3523</v>
      </c>
      <c r="M246" s="20" t="s">
        <v>3524</v>
      </c>
      <c r="N246" s="22" t="s">
        <v>3525</v>
      </c>
      <c r="O246" s="21" t="s">
        <v>3526</v>
      </c>
      <c r="P246" s="20" t="s">
        <v>3527</v>
      </c>
      <c r="Q246" s="21" t="s">
        <v>1534</v>
      </c>
      <c r="R246" s="20" t="s">
        <v>3528</v>
      </c>
      <c r="S246" s="20" t="s">
        <v>3523</v>
      </c>
      <c r="T246" s="20" t="s">
        <v>3528</v>
      </c>
      <c r="U246" s="21" t="s">
        <v>3526</v>
      </c>
      <c r="V246" s="20" t="s">
        <v>3527</v>
      </c>
      <c r="W246" s="21" t="s">
        <v>1534</v>
      </c>
      <c r="X246" s="20" t="s">
        <v>3528</v>
      </c>
      <c r="Y246" s="20" t="s">
        <v>3523</v>
      </c>
      <c r="Z246" s="20" t="s">
        <v>3528</v>
      </c>
      <c r="AA246" s="23"/>
      <c r="AB246" s="24" t="str">
        <f aca="false">IF(LEN($C246)&gt;0,COUNT(AB$1:AB245)+1,"")</f>
        <v/>
      </c>
      <c r="AC246" s="24" t="str">
        <f aca="false">IF(LEN($D246)&gt;0,COUNT(AC$1:AC245)+1,"")</f>
        <v/>
      </c>
      <c r="AD246" s="24" t="n">
        <f aca="false">IF(LEN($E246)&gt;0,COUNT(AD$1:AD245)+1,"")</f>
        <v>38</v>
      </c>
      <c r="AE246" s="24" t="str">
        <f aca="false">IF(LEN($F246)&gt;0,COUNT(AE$1:AE245)+1,"")</f>
        <v/>
      </c>
    </row>
    <row r="247" customFormat="false" ht="22.5" hidden="false" customHeight="true" outlineLevel="0" collapsed="false">
      <c r="A247" s="18" t="n">
        <f aca="false">IF(B247="","",ROW()-2)</f>
        <v>245</v>
      </c>
      <c r="B247" s="18" t="s">
        <v>3529</v>
      </c>
      <c r="C247" s="19"/>
      <c r="D247" s="19"/>
      <c r="E247" s="19" t="s">
        <v>54</v>
      </c>
      <c r="F247" s="19"/>
      <c r="G247" s="18" t="s">
        <v>16</v>
      </c>
      <c r="H247" s="20" t="s">
        <v>3530</v>
      </c>
      <c r="I247" s="21" t="s">
        <v>3531</v>
      </c>
      <c r="J247" s="20" t="s">
        <v>3532</v>
      </c>
      <c r="K247" s="20" t="s">
        <v>3533</v>
      </c>
      <c r="L247" s="20" t="s">
        <v>3534</v>
      </c>
      <c r="M247" s="21" t="s">
        <v>3535</v>
      </c>
      <c r="N247" s="25" t="s">
        <v>3536</v>
      </c>
      <c r="O247" s="21" t="s">
        <v>3537</v>
      </c>
      <c r="P247" s="20" t="s">
        <v>3538</v>
      </c>
      <c r="Q247" s="21" t="s">
        <v>306</v>
      </c>
      <c r="R247" s="20" t="s">
        <v>3539</v>
      </c>
      <c r="S247" s="20" t="s">
        <v>3540</v>
      </c>
      <c r="T247" s="20" t="s">
        <v>3539</v>
      </c>
      <c r="U247" s="21" t="s">
        <v>3537</v>
      </c>
      <c r="V247" s="20" t="s">
        <v>3538</v>
      </c>
      <c r="W247" s="21" t="s">
        <v>306</v>
      </c>
      <c r="X247" s="20" t="s">
        <v>3539</v>
      </c>
      <c r="Y247" s="20" t="s">
        <v>3540</v>
      </c>
      <c r="Z247" s="20" t="s">
        <v>3539</v>
      </c>
      <c r="AA247" s="23"/>
      <c r="AB247" s="24" t="str">
        <f aca="false">IF(LEN($C247)&gt;0,COUNT(AB$1:AB246)+1,"")</f>
        <v/>
      </c>
      <c r="AC247" s="24" t="str">
        <f aca="false">IF(LEN($D247)&gt;0,COUNT(AC$1:AC246)+1,"")</f>
        <v/>
      </c>
      <c r="AD247" s="24" t="n">
        <f aca="false">IF(LEN($E247)&gt;0,COUNT(AD$1:AD246)+1,"")</f>
        <v>39</v>
      </c>
      <c r="AE247" s="24" t="str">
        <f aca="false">IF(LEN($F247)&gt;0,COUNT(AE$1:AE246)+1,"")</f>
        <v/>
      </c>
    </row>
    <row r="248" customFormat="false" ht="22.5" hidden="false" customHeight="true" outlineLevel="0" collapsed="false">
      <c r="A248" s="18" t="n">
        <f aca="false">IF(B248="","",ROW()-2)</f>
        <v>246</v>
      </c>
      <c r="B248" s="18" t="s">
        <v>3541</v>
      </c>
      <c r="C248" s="19"/>
      <c r="D248" s="19"/>
      <c r="E248" s="19" t="s">
        <v>54</v>
      </c>
      <c r="F248" s="19"/>
      <c r="G248" s="18" t="s">
        <v>13</v>
      </c>
      <c r="H248" s="20" t="s">
        <v>3542</v>
      </c>
      <c r="I248" s="21" t="s">
        <v>3543</v>
      </c>
      <c r="J248" s="20" t="s">
        <v>3544</v>
      </c>
      <c r="K248" s="20" t="s">
        <v>3545</v>
      </c>
      <c r="L248" s="20" t="s">
        <v>3546</v>
      </c>
      <c r="M248" s="21" t="s">
        <v>3547</v>
      </c>
      <c r="N248" s="22" t="s">
        <v>3548</v>
      </c>
      <c r="O248" s="21" t="s">
        <v>3549</v>
      </c>
      <c r="P248" s="21" t="s">
        <v>3550</v>
      </c>
      <c r="Q248" s="20" t="s">
        <v>3551</v>
      </c>
      <c r="R248" s="20" t="s">
        <v>3552</v>
      </c>
      <c r="S248" s="20" t="s">
        <v>3546</v>
      </c>
      <c r="T248" s="20" t="s">
        <v>3552</v>
      </c>
      <c r="U248" s="21" t="s">
        <v>3549</v>
      </c>
      <c r="V248" s="21" t="s">
        <v>3550</v>
      </c>
      <c r="W248" s="20" t="s">
        <v>3551</v>
      </c>
      <c r="X248" s="20" t="s">
        <v>3552</v>
      </c>
      <c r="Y248" s="20" t="s">
        <v>3546</v>
      </c>
      <c r="Z248" s="20" t="s">
        <v>3552</v>
      </c>
      <c r="AA248" s="23"/>
      <c r="AB248" s="24" t="str">
        <f aca="false">IF(LEN($C248)&gt;0,COUNT(AB$1:AB247)+1,"")</f>
        <v/>
      </c>
      <c r="AC248" s="24" t="str">
        <f aca="false">IF(LEN($D248)&gt;0,COUNT(AC$1:AC247)+1,"")</f>
        <v/>
      </c>
      <c r="AD248" s="24" t="n">
        <f aca="false">IF(LEN($E248)&gt;0,COUNT(AD$1:AD247)+1,"")</f>
        <v>40</v>
      </c>
      <c r="AE248" s="24" t="str">
        <f aca="false">IF(LEN($F248)&gt;0,COUNT(AE$1:AE247)+1,"")</f>
        <v/>
      </c>
    </row>
    <row r="249" customFormat="false" ht="22.5" hidden="false" customHeight="true" outlineLevel="0" collapsed="false">
      <c r="A249" s="18" t="n">
        <f aca="false">IF(B249="","",ROW()-2)</f>
        <v>247</v>
      </c>
      <c r="B249" s="18" t="s">
        <v>3553</v>
      </c>
      <c r="C249" s="19"/>
      <c r="D249" s="19"/>
      <c r="E249" s="19" t="s">
        <v>54</v>
      </c>
      <c r="F249" s="19"/>
      <c r="G249" s="18" t="s">
        <v>13</v>
      </c>
      <c r="H249" s="20" t="s">
        <v>3554</v>
      </c>
      <c r="I249" s="21" t="s">
        <v>3555</v>
      </c>
      <c r="J249" s="20" t="s">
        <v>3556</v>
      </c>
      <c r="K249" s="20" t="s">
        <v>3557</v>
      </c>
      <c r="L249" s="20" t="s">
        <v>3558</v>
      </c>
      <c r="M249" s="21" t="s">
        <v>3559</v>
      </c>
      <c r="N249" s="22" t="s">
        <v>3560</v>
      </c>
      <c r="O249" s="21" t="s">
        <v>3561</v>
      </c>
      <c r="P249" s="20" t="s">
        <v>3562</v>
      </c>
      <c r="Q249" s="21" t="s">
        <v>3563</v>
      </c>
      <c r="R249" s="20" t="s">
        <v>3564</v>
      </c>
      <c r="S249" s="20" t="s">
        <v>3558</v>
      </c>
      <c r="T249" s="20" t="s">
        <v>3565</v>
      </c>
      <c r="U249" s="21" t="s">
        <v>3561</v>
      </c>
      <c r="V249" s="20" t="s">
        <v>3562</v>
      </c>
      <c r="W249" s="21" t="s">
        <v>3563</v>
      </c>
      <c r="X249" s="20" t="s">
        <v>3564</v>
      </c>
      <c r="Y249" s="20" t="s">
        <v>3558</v>
      </c>
      <c r="Z249" s="20" t="s">
        <v>3565</v>
      </c>
      <c r="AA249" s="23"/>
      <c r="AB249" s="24" t="str">
        <f aca="false">IF(LEN($C249)&gt;0,COUNT(AB$1:AB248)+1,"")</f>
        <v/>
      </c>
      <c r="AC249" s="24" t="str">
        <f aca="false">IF(LEN($D249)&gt;0,COUNT(AC$1:AC248)+1,"")</f>
        <v/>
      </c>
      <c r="AD249" s="24" t="n">
        <f aca="false">IF(LEN($E249)&gt;0,COUNT(AD$1:AD248)+1,"")</f>
        <v>41</v>
      </c>
      <c r="AE249" s="24" t="str">
        <f aca="false">IF(LEN($F249)&gt;0,COUNT(AE$1:AE248)+1,"")</f>
        <v/>
      </c>
    </row>
    <row r="250" customFormat="false" ht="22.5" hidden="false" customHeight="true" outlineLevel="0" collapsed="false">
      <c r="A250" s="18" t="n">
        <f aca="false">IF(B250="","",ROW()-2)</f>
        <v>248</v>
      </c>
      <c r="B250" s="18" t="s">
        <v>3566</v>
      </c>
      <c r="C250" s="19"/>
      <c r="D250" s="19"/>
      <c r="E250" s="19" t="s">
        <v>54</v>
      </c>
      <c r="F250" s="19"/>
      <c r="G250" s="26" t="s">
        <v>12</v>
      </c>
      <c r="H250" s="20" t="s">
        <v>3567</v>
      </c>
      <c r="I250" s="21" t="s">
        <v>3568</v>
      </c>
      <c r="J250" s="20" t="s">
        <v>3569</v>
      </c>
      <c r="K250" s="20" t="s">
        <v>3570</v>
      </c>
      <c r="L250" s="20" t="s">
        <v>3571</v>
      </c>
      <c r="M250" s="21" t="s">
        <v>3572</v>
      </c>
      <c r="N250" s="22" t="s">
        <v>3573</v>
      </c>
      <c r="O250" s="21" t="s">
        <v>3574</v>
      </c>
      <c r="P250" s="20" t="s">
        <v>3575</v>
      </c>
      <c r="Q250" s="21" t="s">
        <v>3576</v>
      </c>
      <c r="R250" s="20" t="s">
        <v>3577</v>
      </c>
      <c r="S250" s="20" t="s">
        <v>3578</v>
      </c>
      <c r="T250" s="20" t="s">
        <v>3577</v>
      </c>
      <c r="U250" s="21" t="s">
        <v>3574</v>
      </c>
      <c r="V250" s="20" t="s">
        <v>3575</v>
      </c>
      <c r="W250" s="21" t="s">
        <v>3576</v>
      </c>
      <c r="X250" s="20" t="s">
        <v>3577</v>
      </c>
      <c r="Y250" s="20" t="s">
        <v>3578</v>
      </c>
      <c r="Z250" s="20" t="s">
        <v>3577</v>
      </c>
      <c r="AA250" s="27"/>
      <c r="AB250" s="24" t="str">
        <f aca="false">IF(LEN($C250)&gt;0,COUNT(AB$1:AB249)+1,"")</f>
        <v/>
      </c>
      <c r="AC250" s="24" t="str">
        <f aca="false">IF(LEN($D250)&gt;0,COUNT(AC$1:AC249)+1,"")</f>
        <v/>
      </c>
      <c r="AD250" s="24" t="n">
        <f aca="false">IF(LEN($E250)&gt;0,COUNT(AD$1:AD249)+1,"")</f>
        <v>42</v>
      </c>
      <c r="AE250" s="24" t="str">
        <f aca="false">IF(LEN($F250)&gt;0,COUNT(AE$1:AE249)+1,"")</f>
        <v/>
      </c>
    </row>
    <row r="251" customFormat="false" ht="22.5" hidden="false" customHeight="true" outlineLevel="0" collapsed="false">
      <c r="A251" s="18" t="n">
        <f aca="false">IF(B251="","",ROW()-2)</f>
        <v>249</v>
      </c>
      <c r="B251" s="17" t="s">
        <v>3579</v>
      </c>
      <c r="C251" s="19"/>
      <c r="D251" s="19"/>
      <c r="E251" s="19" t="s">
        <v>54</v>
      </c>
      <c r="F251" s="19"/>
      <c r="G251" s="18" t="s">
        <v>13</v>
      </c>
      <c r="H251" s="20" t="s">
        <v>3580</v>
      </c>
      <c r="I251" s="21" t="s">
        <v>3581</v>
      </c>
      <c r="J251" s="20" t="s">
        <v>3582</v>
      </c>
      <c r="K251" s="20" t="s">
        <v>3583</v>
      </c>
      <c r="L251" s="20" t="s">
        <v>3584</v>
      </c>
      <c r="M251" s="21" t="s">
        <v>3585</v>
      </c>
      <c r="N251" s="22" t="s">
        <v>3586</v>
      </c>
      <c r="O251" s="21" t="s">
        <v>3587</v>
      </c>
      <c r="P251" s="21" t="s">
        <v>3588</v>
      </c>
      <c r="Q251" s="21" t="s">
        <v>3589</v>
      </c>
      <c r="R251" s="20" t="s">
        <v>3590</v>
      </c>
      <c r="S251" s="20" t="s">
        <v>3584</v>
      </c>
      <c r="T251" s="20" t="s">
        <v>3590</v>
      </c>
      <c r="U251" s="21" t="s">
        <v>3587</v>
      </c>
      <c r="V251" s="21" t="s">
        <v>3588</v>
      </c>
      <c r="W251" s="21" t="s">
        <v>3589</v>
      </c>
      <c r="X251" s="20" t="s">
        <v>3590</v>
      </c>
      <c r="Y251" s="20" t="s">
        <v>3584</v>
      </c>
      <c r="Z251" s="20" t="s">
        <v>3590</v>
      </c>
      <c r="AA251" s="23"/>
      <c r="AB251" s="24" t="str">
        <f aca="false">IF(LEN($C251)&gt;0,COUNT(AB$1:AB250)+1,"")</f>
        <v/>
      </c>
      <c r="AC251" s="24" t="str">
        <f aca="false">IF(LEN($D251)&gt;0,COUNT(AC$1:AC250)+1,"")</f>
        <v/>
      </c>
      <c r="AD251" s="24" t="n">
        <f aca="false">IF(LEN($E251)&gt;0,COUNT(AD$1:AD250)+1,"")</f>
        <v>43</v>
      </c>
      <c r="AE251" s="24" t="str">
        <f aca="false">IF(LEN($F251)&gt;0,COUNT(AE$1:AE250)+1,"")</f>
        <v/>
      </c>
    </row>
    <row r="252" customFormat="false" ht="33.75" hidden="false" customHeight="true" outlineLevel="0" collapsed="false">
      <c r="A252" s="18" t="n">
        <f aca="false">IF(B252="","",ROW()-2)</f>
        <v>250</v>
      </c>
      <c r="B252" s="18" t="s">
        <v>3591</v>
      </c>
      <c r="C252" s="19"/>
      <c r="D252" s="19"/>
      <c r="E252" s="19" t="s">
        <v>54</v>
      </c>
      <c r="F252" s="19"/>
      <c r="G252" s="18" t="s">
        <v>16</v>
      </c>
      <c r="H252" s="20" t="s">
        <v>3592</v>
      </c>
      <c r="I252" s="21" t="s">
        <v>3593</v>
      </c>
      <c r="J252" s="20" t="s">
        <v>3594</v>
      </c>
      <c r="K252" s="20" t="s">
        <v>3595</v>
      </c>
      <c r="L252" s="20" t="s">
        <v>3596</v>
      </c>
      <c r="M252" s="21" t="s">
        <v>3597</v>
      </c>
      <c r="N252" s="22" t="s">
        <v>3598</v>
      </c>
      <c r="O252" s="21" t="s">
        <v>3599</v>
      </c>
      <c r="P252" s="20" t="s">
        <v>3600</v>
      </c>
      <c r="Q252" s="21" t="s">
        <v>2025</v>
      </c>
      <c r="R252" s="20" t="s">
        <v>3601</v>
      </c>
      <c r="S252" s="20" t="s">
        <v>3602</v>
      </c>
      <c r="T252" s="20" t="s">
        <v>3603</v>
      </c>
      <c r="U252" s="21" t="s">
        <v>3599</v>
      </c>
      <c r="V252" s="20" t="s">
        <v>3600</v>
      </c>
      <c r="W252" s="21" t="s">
        <v>2025</v>
      </c>
      <c r="X252" s="20" t="s">
        <v>3601</v>
      </c>
      <c r="Y252" s="20" t="s">
        <v>3602</v>
      </c>
      <c r="Z252" s="20" t="s">
        <v>3603</v>
      </c>
      <c r="AA252" s="23"/>
      <c r="AB252" s="24" t="str">
        <f aca="false">IF(LEN($C252)&gt;0,COUNT(AB$1:AB251)+1,"")</f>
        <v/>
      </c>
      <c r="AC252" s="24" t="str">
        <f aca="false">IF(LEN($D252)&gt;0,COUNT(AC$1:AC251)+1,"")</f>
        <v/>
      </c>
      <c r="AD252" s="24" t="n">
        <f aca="false">IF(LEN($E252)&gt;0,COUNT(AD$1:AD251)+1,"")</f>
        <v>44</v>
      </c>
      <c r="AE252" s="24" t="str">
        <f aca="false">IF(LEN($F252)&gt;0,COUNT(AE$1:AE251)+1,"")</f>
        <v/>
      </c>
    </row>
    <row r="253" customFormat="false" ht="22.5" hidden="false" customHeight="true" outlineLevel="0" collapsed="false">
      <c r="A253" s="18" t="n">
        <f aca="false">IF(B253="","",ROW()-2)</f>
        <v>251</v>
      </c>
      <c r="B253" s="17" t="s">
        <v>3604</v>
      </c>
      <c r="C253" s="19" t="s">
        <v>54</v>
      </c>
      <c r="D253" s="19"/>
      <c r="E253" s="19" t="s">
        <v>54</v>
      </c>
      <c r="F253" s="19"/>
      <c r="G253" s="26" t="s">
        <v>12</v>
      </c>
      <c r="H253" s="20" t="s">
        <v>3605</v>
      </c>
      <c r="I253" s="21" t="s">
        <v>3606</v>
      </c>
      <c r="J253" s="20" t="s">
        <v>3607</v>
      </c>
      <c r="K253" s="20" t="s">
        <v>3608</v>
      </c>
      <c r="L253" s="20" t="s">
        <v>3609</v>
      </c>
      <c r="M253" s="21" t="s">
        <v>3610</v>
      </c>
      <c r="N253" s="22" t="s">
        <v>3611</v>
      </c>
      <c r="O253" s="21" t="s">
        <v>3612</v>
      </c>
      <c r="P253" s="21" t="s">
        <v>2431</v>
      </c>
      <c r="Q253" s="21" t="s">
        <v>3613</v>
      </c>
      <c r="R253" s="20" t="s">
        <v>3614</v>
      </c>
      <c r="S253" s="20" t="s">
        <v>3615</v>
      </c>
      <c r="T253" s="20" t="s">
        <v>3614</v>
      </c>
      <c r="U253" s="21" t="s">
        <v>3612</v>
      </c>
      <c r="V253" s="21" t="s">
        <v>2431</v>
      </c>
      <c r="W253" s="21" t="s">
        <v>3613</v>
      </c>
      <c r="X253" s="20" t="s">
        <v>3614</v>
      </c>
      <c r="Y253" s="20" t="s">
        <v>3615</v>
      </c>
      <c r="Z253" s="20" t="s">
        <v>3614</v>
      </c>
      <c r="AA253" s="27"/>
      <c r="AB253" s="24" t="n">
        <f aca="false">IF(LEN($C253)&gt;0,COUNT(AB$1:AB252)+1,"")</f>
        <v>124</v>
      </c>
      <c r="AC253" s="24" t="str">
        <f aca="false">IF(LEN($D253)&gt;0,COUNT(AC$1:AC252)+1,"")</f>
        <v/>
      </c>
      <c r="AD253" s="24" t="n">
        <f aca="false">IF(LEN($E253)&gt;0,COUNT(AD$1:AD252)+1,"")</f>
        <v>45</v>
      </c>
      <c r="AE253" s="24" t="str">
        <f aca="false">IF(LEN($F253)&gt;0,COUNT(AE$1:AE252)+1,"")</f>
        <v/>
      </c>
    </row>
    <row r="254" customFormat="false" ht="22.5" hidden="false" customHeight="true" outlineLevel="0" collapsed="false">
      <c r="A254" s="18" t="n">
        <f aca="false">IF(B254="","",ROW()-2)</f>
        <v>252</v>
      </c>
      <c r="B254" s="18" t="s">
        <v>3616</v>
      </c>
      <c r="C254" s="19"/>
      <c r="D254" s="19"/>
      <c r="E254" s="19" t="s">
        <v>54</v>
      </c>
      <c r="F254" s="19"/>
      <c r="G254" s="18" t="s">
        <v>13</v>
      </c>
      <c r="H254" s="20" t="s">
        <v>3617</v>
      </c>
      <c r="I254" s="21" t="s">
        <v>3618</v>
      </c>
      <c r="J254" s="20" t="s">
        <v>3619</v>
      </c>
      <c r="K254" s="20" t="s">
        <v>3620</v>
      </c>
      <c r="L254" s="20" t="s">
        <v>3621</v>
      </c>
      <c r="M254" s="21" t="s">
        <v>3622</v>
      </c>
      <c r="N254" s="22" t="s">
        <v>3623</v>
      </c>
      <c r="O254" s="21" t="s">
        <v>3624</v>
      </c>
      <c r="P254" s="21" t="s">
        <v>3625</v>
      </c>
      <c r="Q254" s="21" t="s">
        <v>1313</v>
      </c>
      <c r="R254" s="20" t="s">
        <v>3626</v>
      </c>
      <c r="S254" s="20" t="s">
        <v>3621</v>
      </c>
      <c r="T254" s="20" t="s">
        <v>3626</v>
      </c>
      <c r="U254" s="21" t="s">
        <v>3624</v>
      </c>
      <c r="V254" s="21" t="s">
        <v>3625</v>
      </c>
      <c r="W254" s="21" t="s">
        <v>1313</v>
      </c>
      <c r="X254" s="20" t="s">
        <v>3626</v>
      </c>
      <c r="Y254" s="20" t="s">
        <v>3621</v>
      </c>
      <c r="Z254" s="20" t="s">
        <v>3626</v>
      </c>
      <c r="AA254" s="23"/>
      <c r="AB254" s="24" t="str">
        <f aca="false">IF(LEN($C254)&gt;0,COUNT(AB$1:AB253)+1,"")</f>
        <v/>
      </c>
      <c r="AC254" s="24" t="str">
        <f aca="false">IF(LEN($D254)&gt;0,COUNT(AC$1:AC253)+1,"")</f>
        <v/>
      </c>
      <c r="AD254" s="24" t="n">
        <f aca="false">IF(LEN($E254)&gt;0,COUNT(AD$1:AD253)+1,"")</f>
        <v>46</v>
      </c>
      <c r="AE254" s="24" t="str">
        <f aca="false">IF(LEN($F254)&gt;0,COUNT(AE$1:AE253)+1,"")</f>
        <v/>
      </c>
    </row>
    <row r="255" customFormat="false" ht="33.75" hidden="false" customHeight="true" outlineLevel="0" collapsed="false">
      <c r="A255" s="18" t="n">
        <f aca="false">IF(B255="","",ROW()-2)</f>
        <v>253</v>
      </c>
      <c r="B255" s="18" t="s">
        <v>3627</v>
      </c>
      <c r="C255" s="19"/>
      <c r="D255" s="19"/>
      <c r="E255" s="19" t="s">
        <v>54</v>
      </c>
      <c r="F255" s="19"/>
      <c r="G255" s="26" t="s">
        <v>13</v>
      </c>
      <c r="H255" s="20" t="s">
        <v>3628</v>
      </c>
      <c r="I255" s="21" t="s">
        <v>3629</v>
      </c>
      <c r="J255" s="20" t="s">
        <v>3630</v>
      </c>
      <c r="K255" s="20" t="s">
        <v>3631</v>
      </c>
      <c r="L255" s="20" t="s">
        <v>3632</v>
      </c>
      <c r="M255" s="21" t="s">
        <v>3633</v>
      </c>
      <c r="N255" s="22" t="s">
        <v>3634</v>
      </c>
      <c r="O255" s="21" t="s">
        <v>3635</v>
      </c>
      <c r="P255" s="20" t="s">
        <v>3636</v>
      </c>
      <c r="Q255" s="21" t="s">
        <v>3637</v>
      </c>
      <c r="R255" s="20" t="s">
        <v>3638</v>
      </c>
      <c r="S255" s="20" t="s">
        <v>3639</v>
      </c>
      <c r="T255" s="20" t="s">
        <v>3638</v>
      </c>
      <c r="U255" s="21" t="s">
        <v>3635</v>
      </c>
      <c r="V255" s="20" t="s">
        <v>3636</v>
      </c>
      <c r="W255" s="21" t="s">
        <v>3637</v>
      </c>
      <c r="X255" s="20" t="s">
        <v>3638</v>
      </c>
      <c r="Y255" s="20" t="s">
        <v>3639</v>
      </c>
      <c r="Z255" s="20" t="s">
        <v>3638</v>
      </c>
      <c r="AA255" s="27"/>
      <c r="AB255" s="24" t="str">
        <f aca="false">IF(LEN($C255)&gt;0,COUNT(AB$1:AB254)+1,"")</f>
        <v/>
      </c>
      <c r="AC255" s="24" t="str">
        <f aca="false">IF(LEN($D255)&gt;0,COUNT(AC$1:AC254)+1,"")</f>
        <v/>
      </c>
      <c r="AD255" s="24" t="n">
        <f aca="false">IF(LEN($E255)&gt;0,COUNT(AD$1:AD254)+1,"")</f>
        <v>47</v>
      </c>
      <c r="AE255" s="24" t="str">
        <f aca="false">IF(LEN($F255)&gt;0,COUNT(AE$1:AE254)+1,"")</f>
        <v/>
      </c>
    </row>
    <row r="256" customFormat="false" ht="22.5" hidden="false" customHeight="true" outlineLevel="0" collapsed="false">
      <c r="A256" s="18" t="n">
        <f aca="false">IF(B256="","",ROW()-2)</f>
        <v>254</v>
      </c>
      <c r="B256" s="17" t="s">
        <v>3640</v>
      </c>
      <c r="C256" s="19"/>
      <c r="D256" s="19"/>
      <c r="E256" s="19" t="s">
        <v>54</v>
      </c>
      <c r="F256" s="19"/>
      <c r="G256" s="18" t="s">
        <v>16</v>
      </c>
      <c r="H256" s="20" t="s">
        <v>3641</v>
      </c>
      <c r="I256" s="21" t="s">
        <v>1381</v>
      </c>
      <c r="J256" s="20" t="s">
        <v>3642</v>
      </c>
      <c r="K256" s="20" t="s">
        <v>3643</v>
      </c>
      <c r="L256" s="20" t="s">
        <v>3644</v>
      </c>
      <c r="M256" s="21" t="s">
        <v>3645</v>
      </c>
      <c r="N256" s="25" t="s">
        <v>3646</v>
      </c>
      <c r="O256" s="21" t="s">
        <v>3647</v>
      </c>
      <c r="P256" s="20" t="s">
        <v>3648</v>
      </c>
      <c r="Q256" s="21" t="s">
        <v>238</v>
      </c>
      <c r="R256" s="20" t="s">
        <v>3649</v>
      </c>
      <c r="S256" s="20" t="s">
        <v>3650</v>
      </c>
      <c r="T256" s="20" t="s">
        <v>3651</v>
      </c>
      <c r="U256" s="21" t="s">
        <v>3647</v>
      </c>
      <c r="V256" s="20" t="s">
        <v>3648</v>
      </c>
      <c r="W256" s="21" t="s">
        <v>238</v>
      </c>
      <c r="X256" s="20" t="s">
        <v>3649</v>
      </c>
      <c r="Y256" s="20" t="s">
        <v>3650</v>
      </c>
      <c r="Z256" s="20" t="s">
        <v>3651</v>
      </c>
      <c r="AA256" s="23"/>
      <c r="AB256" s="24" t="str">
        <f aca="false">IF(LEN($C256)&gt;0,COUNT(AB$1:AB255)+1,"")</f>
        <v/>
      </c>
      <c r="AC256" s="24" t="str">
        <f aca="false">IF(LEN($D256)&gt;0,COUNT(AC$1:AC255)+1,"")</f>
        <v/>
      </c>
      <c r="AD256" s="24" t="n">
        <f aca="false">IF(LEN($E256)&gt;0,COUNT(AD$1:AD255)+1,"")</f>
        <v>48</v>
      </c>
      <c r="AE256" s="24" t="str">
        <f aca="false">IF(LEN($F256)&gt;0,COUNT(AE$1:AE255)+1,"")</f>
        <v/>
      </c>
    </row>
    <row r="257" customFormat="false" ht="22.5" hidden="false" customHeight="true" outlineLevel="0" collapsed="false">
      <c r="A257" s="18" t="n">
        <f aca="false">IF(B257="","",ROW()-2)</f>
        <v>255</v>
      </c>
      <c r="B257" s="18" t="s">
        <v>3652</v>
      </c>
      <c r="C257" s="19"/>
      <c r="D257" s="19"/>
      <c r="E257" s="19" t="s">
        <v>54</v>
      </c>
      <c r="F257" s="19"/>
      <c r="G257" s="18" t="s">
        <v>16</v>
      </c>
      <c r="H257" s="20" t="s">
        <v>3653</v>
      </c>
      <c r="I257" s="21" t="s">
        <v>3654</v>
      </c>
      <c r="J257" s="20" t="s">
        <v>3655</v>
      </c>
      <c r="K257" s="20" t="s">
        <v>3656</v>
      </c>
      <c r="L257" s="20" t="s">
        <v>3657</v>
      </c>
      <c r="M257" s="21" t="s">
        <v>3658</v>
      </c>
      <c r="N257" s="25" t="s">
        <v>3659</v>
      </c>
      <c r="O257" s="21" t="s">
        <v>3660</v>
      </c>
      <c r="P257" s="21" t="s">
        <v>569</v>
      </c>
      <c r="Q257" s="21" t="s">
        <v>993</v>
      </c>
      <c r="R257" s="20" t="s">
        <v>3661</v>
      </c>
      <c r="S257" s="20" t="s">
        <v>3662</v>
      </c>
      <c r="T257" s="20" t="s">
        <v>3661</v>
      </c>
      <c r="U257" s="21" t="s">
        <v>3660</v>
      </c>
      <c r="V257" s="21" t="s">
        <v>569</v>
      </c>
      <c r="W257" s="21" t="s">
        <v>993</v>
      </c>
      <c r="X257" s="20" t="s">
        <v>3661</v>
      </c>
      <c r="Y257" s="20" t="s">
        <v>3662</v>
      </c>
      <c r="Z257" s="20" t="s">
        <v>3661</v>
      </c>
      <c r="AA257" s="23"/>
      <c r="AB257" s="24" t="str">
        <f aca="false">IF(LEN($C257)&gt;0,COUNT(AB$1:AB256)+1,"")</f>
        <v/>
      </c>
      <c r="AC257" s="24" t="str">
        <f aca="false">IF(LEN($D257)&gt;0,COUNT(AC$1:AC256)+1,"")</f>
        <v/>
      </c>
      <c r="AD257" s="24" t="n">
        <f aca="false">IF(LEN($E257)&gt;0,COUNT(AD$1:AD256)+1,"")</f>
        <v>49</v>
      </c>
      <c r="AE257" s="24" t="str">
        <f aca="false">IF(LEN($F257)&gt;0,COUNT(AE$1:AE256)+1,"")</f>
        <v/>
      </c>
    </row>
    <row r="258" customFormat="false" ht="22.5" hidden="false" customHeight="true" outlineLevel="0" collapsed="false">
      <c r="A258" s="18" t="n">
        <f aca="false">IF(B258="","",ROW()-2)</f>
        <v>256</v>
      </c>
      <c r="B258" s="17" t="s">
        <v>3663</v>
      </c>
      <c r="C258" s="19"/>
      <c r="D258" s="19"/>
      <c r="E258" s="19" t="s">
        <v>54</v>
      </c>
      <c r="F258" s="19"/>
      <c r="G258" s="18" t="s">
        <v>13</v>
      </c>
      <c r="H258" s="20" t="s">
        <v>3664</v>
      </c>
      <c r="I258" s="21" t="s">
        <v>3665</v>
      </c>
      <c r="J258" s="20" t="s">
        <v>3666</v>
      </c>
      <c r="K258" s="20" t="s">
        <v>3667</v>
      </c>
      <c r="L258" s="20" t="s">
        <v>3668</v>
      </c>
      <c r="M258" s="21" t="s">
        <v>3669</v>
      </c>
      <c r="N258" s="22" t="s">
        <v>3670</v>
      </c>
      <c r="O258" s="21" t="s">
        <v>3671</v>
      </c>
      <c r="P258" s="21" t="s">
        <v>3672</v>
      </c>
      <c r="Q258" s="21" t="s">
        <v>238</v>
      </c>
      <c r="R258" s="20" t="s">
        <v>3666</v>
      </c>
      <c r="S258" s="20" t="s">
        <v>3673</v>
      </c>
      <c r="T258" s="20" t="s">
        <v>3666</v>
      </c>
      <c r="U258" s="21" t="s">
        <v>3671</v>
      </c>
      <c r="V258" s="21" t="s">
        <v>3672</v>
      </c>
      <c r="W258" s="21" t="s">
        <v>238</v>
      </c>
      <c r="X258" s="20" t="s">
        <v>3666</v>
      </c>
      <c r="Y258" s="20" t="s">
        <v>3673</v>
      </c>
      <c r="Z258" s="20" t="s">
        <v>3666</v>
      </c>
      <c r="AA258" s="23"/>
      <c r="AB258" s="24" t="str">
        <f aca="false">IF(LEN($C258)&gt;0,COUNT(AB$1:AB257)+1,"")</f>
        <v/>
      </c>
      <c r="AC258" s="24" t="str">
        <f aca="false">IF(LEN($D258)&gt;0,COUNT(AC$1:AC257)+1,"")</f>
        <v/>
      </c>
      <c r="AD258" s="24" t="n">
        <f aca="false">IF(LEN($E258)&gt;0,COUNT(AD$1:AD257)+1,"")</f>
        <v>50</v>
      </c>
      <c r="AE258" s="24" t="str">
        <f aca="false">IF(LEN($F258)&gt;0,COUNT(AE$1:AE257)+1,"")</f>
        <v/>
      </c>
    </row>
    <row r="259" customFormat="false" ht="33.75" hidden="false" customHeight="true" outlineLevel="0" collapsed="false">
      <c r="A259" s="18" t="n">
        <f aca="false">IF(B259="","",ROW()-2)</f>
        <v>257</v>
      </c>
      <c r="B259" s="18" t="s">
        <v>3674</v>
      </c>
      <c r="C259" s="19"/>
      <c r="D259" s="19"/>
      <c r="E259" s="19" t="s">
        <v>54</v>
      </c>
      <c r="F259" s="19"/>
      <c r="G259" s="26" t="s">
        <v>12</v>
      </c>
      <c r="H259" s="20" t="s">
        <v>3675</v>
      </c>
      <c r="I259" s="21" t="s">
        <v>3676</v>
      </c>
      <c r="J259" s="20" t="s">
        <v>3677</v>
      </c>
      <c r="K259" s="20" t="s">
        <v>3678</v>
      </c>
      <c r="L259" s="20" t="s">
        <v>3679</v>
      </c>
      <c r="M259" s="21" t="s">
        <v>3680</v>
      </c>
      <c r="N259" s="25" t="s">
        <v>3681</v>
      </c>
      <c r="O259" s="21" t="s">
        <v>3682</v>
      </c>
      <c r="P259" s="20" t="s">
        <v>3683</v>
      </c>
      <c r="Q259" s="21" t="s">
        <v>79</v>
      </c>
      <c r="R259" s="20" t="s">
        <v>3684</v>
      </c>
      <c r="S259" s="20" t="s">
        <v>3685</v>
      </c>
      <c r="T259" s="20" t="s">
        <v>3684</v>
      </c>
      <c r="U259" s="21" t="s">
        <v>3682</v>
      </c>
      <c r="V259" s="20" t="s">
        <v>3683</v>
      </c>
      <c r="W259" s="21" t="s">
        <v>79</v>
      </c>
      <c r="X259" s="20" t="s">
        <v>3684</v>
      </c>
      <c r="Y259" s="20" t="s">
        <v>3685</v>
      </c>
      <c r="Z259" s="20" t="s">
        <v>3684</v>
      </c>
      <c r="AA259" s="27"/>
      <c r="AB259" s="24" t="str">
        <f aca="false">IF(LEN($C259)&gt;0,COUNT(AB$1:AB258)+1,"")</f>
        <v/>
      </c>
      <c r="AC259" s="24" t="str">
        <f aca="false">IF(LEN($D259)&gt;0,COUNT(AC$1:AC258)+1,"")</f>
        <v/>
      </c>
      <c r="AD259" s="24" t="n">
        <f aca="false">IF(LEN($E259)&gt;0,COUNT(AD$1:AD258)+1,"")</f>
        <v>51</v>
      </c>
      <c r="AE259" s="24" t="str">
        <f aca="false">IF(LEN($F259)&gt;0,COUNT(AE$1:AE258)+1,"")</f>
        <v/>
      </c>
    </row>
    <row r="260" customFormat="false" ht="33.75" hidden="false" customHeight="true" outlineLevel="0" collapsed="false">
      <c r="A260" s="18" t="n">
        <f aca="false">IF(B260="","",ROW()-2)</f>
        <v>258</v>
      </c>
      <c r="B260" s="18" t="s">
        <v>3686</v>
      </c>
      <c r="C260" s="19"/>
      <c r="D260" s="19"/>
      <c r="E260" s="19" t="s">
        <v>54</v>
      </c>
      <c r="F260" s="19"/>
      <c r="G260" s="18" t="s">
        <v>11</v>
      </c>
      <c r="H260" s="20" t="s">
        <v>3687</v>
      </c>
      <c r="I260" s="21" t="s">
        <v>3688</v>
      </c>
      <c r="J260" s="20" t="s">
        <v>3689</v>
      </c>
      <c r="K260" s="20" t="s">
        <v>3690</v>
      </c>
      <c r="L260" s="20" t="s">
        <v>3691</v>
      </c>
      <c r="M260" s="21" t="s">
        <v>3692</v>
      </c>
      <c r="N260" s="25" t="s">
        <v>3693</v>
      </c>
      <c r="O260" s="21" t="s">
        <v>3694</v>
      </c>
      <c r="P260" s="20" t="s">
        <v>3695</v>
      </c>
      <c r="Q260" s="21" t="s">
        <v>3696</v>
      </c>
      <c r="R260" s="20" t="s">
        <v>3697</v>
      </c>
      <c r="S260" s="20" t="s">
        <v>3698</v>
      </c>
      <c r="T260" s="20" t="s">
        <v>3699</v>
      </c>
      <c r="U260" s="21" t="s">
        <v>3700</v>
      </c>
      <c r="V260" s="20" t="s">
        <v>3701</v>
      </c>
      <c r="W260" s="21" t="s">
        <v>765</v>
      </c>
      <c r="X260" s="20" t="s">
        <v>3702</v>
      </c>
      <c r="Y260" s="20" t="s">
        <v>3703</v>
      </c>
      <c r="Z260" s="20" t="s">
        <v>3704</v>
      </c>
      <c r="AA260" s="23"/>
      <c r="AB260" s="24" t="str">
        <f aca="false">IF(LEN($C260)&gt;0,COUNT(AB$1:AB259)+1,"")</f>
        <v/>
      </c>
      <c r="AC260" s="24" t="str">
        <f aca="false">IF(LEN($D260)&gt;0,COUNT(AC$1:AC259)+1,"")</f>
        <v/>
      </c>
      <c r="AD260" s="24" t="n">
        <f aca="false">IF(LEN($E260)&gt;0,COUNT(AD$1:AD259)+1,"")</f>
        <v>52</v>
      </c>
      <c r="AE260" s="24" t="str">
        <f aca="false">IF(LEN($F260)&gt;0,COUNT(AE$1:AE259)+1,"")</f>
        <v/>
      </c>
    </row>
    <row r="261" customFormat="false" ht="22.5" hidden="false" customHeight="true" outlineLevel="0" collapsed="false">
      <c r="A261" s="18" t="n">
        <f aca="false">IF(B261="","",ROW()-2)</f>
        <v>259</v>
      </c>
      <c r="B261" s="18" t="s">
        <v>3705</v>
      </c>
      <c r="C261" s="19"/>
      <c r="D261" s="19"/>
      <c r="E261" s="19" t="s">
        <v>54</v>
      </c>
      <c r="F261" s="19"/>
      <c r="G261" s="18" t="s">
        <v>13</v>
      </c>
      <c r="H261" s="20" t="s">
        <v>3706</v>
      </c>
      <c r="I261" s="21" t="s">
        <v>3707</v>
      </c>
      <c r="J261" s="20" t="s">
        <v>3708</v>
      </c>
      <c r="K261" s="20" t="s">
        <v>3709</v>
      </c>
      <c r="L261" s="20" t="s">
        <v>3710</v>
      </c>
      <c r="M261" s="21" t="s">
        <v>3711</v>
      </c>
      <c r="N261" s="22" t="s">
        <v>3712</v>
      </c>
      <c r="O261" s="21" t="s">
        <v>3707</v>
      </c>
      <c r="P261" s="20" t="s">
        <v>62</v>
      </c>
      <c r="Q261" s="20" t="s">
        <v>286</v>
      </c>
      <c r="R261" s="20" t="s">
        <v>62</v>
      </c>
      <c r="S261" s="20" t="s">
        <v>3713</v>
      </c>
      <c r="T261" s="20" t="s">
        <v>3714</v>
      </c>
      <c r="U261" s="21" t="s">
        <v>3707</v>
      </c>
      <c r="V261" s="20" t="s">
        <v>62</v>
      </c>
      <c r="W261" s="20" t="s">
        <v>286</v>
      </c>
      <c r="X261" s="20" t="s">
        <v>62</v>
      </c>
      <c r="Y261" s="20" t="s">
        <v>3713</v>
      </c>
      <c r="Z261" s="20" t="s">
        <v>3714</v>
      </c>
      <c r="AA261" s="23"/>
      <c r="AB261" s="24" t="str">
        <f aca="false">IF(LEN($C261)&gt;0,COUNT(AB$1:AB260)+1,"")</f>
        <v/>
      </c>
      <c r="AC261" s="24" t="str">
        <f aca="false">IF(LEN($D261)&gt;0,COUNT(AC$1:AC260)+1,"")</f>
        <v/>
      </c>
      <c r="AD261" s="24" t="n">
        <f aca="false">IF(LEN($E261)&gt;0,COUNT(AD$1:AD260)+1,"")</f>
        <v>53</v>
      </c>
      <c r="AE261" s="24" t="str">
        <f aca="false">IF(LEN($F261)&gt;0,COUNT(AE$1:AE260)+1,"")</f>
        <v/>
      </c>
    </row>
    <row r="262" customFormat="false" ht="22.5" hidden="false" customHeight="true" outlineLevel="0" collapsed="false">
      <c r="A262" s="18" t="n">
        <f aca="false">IF(B262="","",ROW()-2)</f>
        <v>260</v>
      </c>
      <c r="B262" s="17" t="s">
        <v>3715</v>
      </c>
      <c r="C262" s="19"/>
      <c r="D262" s="19"/>
      <c r="E262" s="19" t="s">
        <v>54</v>
      </c>
      <c r="F262" s="19"/>
      <c r="G262" s="26" t="s">
        <v>12</v>
      </c>
      <c r="H262" s="20" t="s">
        <v>3716</v>
      </c>
      <c r="I262" s="21" t="s">
        <v>3717</v>
      </c>
      <c r="J262" s="20" t="s">
        <v>3718</v>
      </c>
      <c r="K262" s="20" t="s">
        <v>3719</v>
      </c>
      <c r="L262" s="20" t="s">
        <v>3720</v>
      </c>
      <c r="M262" s="21" t="s">
        <v>3721</v>
      </c>
      <c r="N262" s="22" t="s">
        <v>3722</v>
      </c>
      <c r="O262" s="21" t="s">
        <v>3723</v>
      </c>
      <c r="P262" s="21" t="s">
        <v>3724</v>
      </c>
      <c r="Q262" s="21" t="s">
        <v>238</v>
      </c>
      <c r="R262" s="20" t="s">
        <v>3725</v>
      </c>
      <c r="S262" s="20" t="s">
        <v>3726</v>
      </c>
      <c r="T262" s="20" t="s">
        <v>3727</v>
      </c>
      <c r="U262" s="21" t="s">
        <v>3723</v>
      </c>
      <c r="V262" s="21" t="s">
        <v>3724</v>
      </c>
      <c r="W262" s="21" t="s">
        <v>238</v>
      </c>
      <c r="X262" s="20" t="s">
        <v>3725</v>
      </c>
      <c r="Y262" s="20" t="s">
        <v>3726</v>
      </c>
      <c r="Z262" s="20" t="s">
        <v>3727</v>
      </c>
      <c r="AA262" s="27"/>
      <c r="AB262" s="24" t="str">
        <f aca="false">IF(LEN($C262)&gt;0,COUNT(AB$1:AB261)+1,"")</f>
        <v/>
      </c>
      <c r="AC262" s="24" t="str">
        <f aca="false">IF(LEN($D262)&gt;0,COUNT(AC$1:AC261)+1,"")</f>
        <v/>
      </c>
      <c r="AD262" s="24" t="n">
        <f aca="false">IF(LEN($E262)&gt;0,COUNT(AD$1:AD261)+1,"")</f>
        <v>54</v>
      </c>
      <c r="AE262" s="24" t="str">
        <f aca="false">IF(LEN($F262)&gt;0,COUNT(AE$1:AE261)+1,"")</f>
        <v/>
      </c>
    </row>
    <row r="263" customFormat="false" ht="33.75" hidden="false" customHeight="true" outlineLevel="0" collapsed="false">
      <c r="A263" s="18" t="n">
        <f aca="false">IF(B263="","",ROW()-2)</f>
        <v>261</v>
      </c>
      <c r="B263" s="18" t="s">
        <v>3728</v>
      </c>
      <c r="C263" s="19"/>
      <c r="D263" s="19"/>
      <c r="E263" s="19" t="s">
        <v>54</v>
      </c>
      <c r="F263" s="19"/>
      <c r="G263" s="18" t="s">
        <v>13</v>
      </c>
      <c r="H263" s="20" t="s">
        <v>3729</v>
      </c>
      <c r="I263" s="21" t="s">
        <v>3730</v>
      </c>
      <c r="J263" s="20" t="s">
        <v>3731</v>
      </c>
      <c r="K263" s="20" t="s">
        <v>3732</v>
      </c>
      <c r="L263" s="20" t="s">
        <v>3733</v>
      </c>
      <c r="M263" s="21" t="s">
        <v>3734</v>
      </c>
      <c r="N263" s="22" t="s">
        <v>3735</v>
      </c>
      <c r="O263" s="21" t="s">
        <v>3736</v>
      </c>
      <c r="P263" s="21" t="s">
        <v>3737</v>
      </c>
      <c r="Q263" s="21" t="s">
        <v>3738</v>
      </c>
      <c r="R263" s="20" t="s">
        <v>3739</v>
      </c>
      <c r="S263" s="20" t="s">
        <v>3740</v>
      </c>
      <c r="T263" s="20" t="s">
        <v>3739</v>
      </c>
      <c r="U263" s="21" t="s">
        <v>3736</v>
      </c>
      <c r="V263" s="21" t="s">
        <v>3737</v>
      </c>
      <c r="W263" s="21" t="s">
        <v>3738</v>
      </c>
      <c r="X263" s="20" t="s">
        <v>3739</v>
      </c>
      <c r="Y263" s="20" t="s">
        <v>3740</v>
      </c>
      <c r="Z263" s="20" t="s">
        <v>3739</v>
      </c>
      <c r="AA263" s="23"/>
      <c r="AB263" s="24" t="str">
        <f aca="false">IF(LEN($C263)&gt;0,COUNT(AB$1:AB262)+1,"")</f>
        <v/>
      </c>
      <c r="AC263" s="24" t="str">
        <f aca="false">IF(LEN($D263)&gt;0,COUNT(AC$1:AC262)+1,"")</f>
        <v/>
      </c>
      <c r="AD263" s="24" t="n">
        <f aca="false">IF(LEN($E263)&gt;0,COUNT(AD$1:AD262)+1,"")</f>
        <v>55</v>
      </c>
      <c r="AE263" s="24" t="str">
        <f aca="false">IF(LEN($F263)&gt;0,COUNT(AE$1:AE262)+1,"")</f>
        <v/>
      </c>
    </row>
    <row r="264" customFormat="false" ht="33.75" hidden="false" customHeight="true" outlineLevel="0" collapsed="false">
      <c r="A264" s="18" t="n">
        <f aca="false">IF(B264="","",ROW()-2)</f>
        <v>262</v>
      </c>
      <c r="B264" s="17" t="s">
        <v>3741</v>
      </c>
      <c r="C264" s="19"/>
      <c r="D264" s="19"/>
      <c r="E264" s="19" t="s">
        <v>54</v>
      </c>
      <c r="F264" s="19"/>
      <c r="G264" s="26" t="s">
        <v>16</v>
      </c>
      <c r="H264" s="20" t="s">
        <v>3742</v>
      </c>
      <c r="I264" s="21" t="s">
        <v>3743</v>
      </c>
      <c r="J264" s="20" t="s">
        <v>3744</v>
      </c>
      <c r="K264" s="20" t="s">
        <v>3745</v>
      </c>
      <c r="L264" s="20" t="s">
        <v>3746</v>
      </c>
      <c r="M264" s="21" t="s">
        <v>3747</v>
      </c>
      <c r="N264" s="25" t="s">
        <v>3748</v>
      </c>
      <c r="O264" s="21" t="s">
        <v>3749</v>
      </c>
      <c r="P264" s="21" t="s">
        <v>3750</v>
      </c>
      <c r="Q264" s="21" t="s">
        <v>2482</v>
      </c>
      <c r="R264" s="20" t="s">
        <v>3751</v>
      </c>
      <c r="S264" s="21" t="s">
        <v>3752</v>
      </c>
      <c r="T264" s="31" t="s">
        <v>3752</v>
      </c>
      <c r="U264" s="21" t="s">
        <v>3753</v>
      </c>
      <c r="V264" s="21" t="s">
        <v>3750</v>
      </c>
      <c r="W264" s="21" t="s">
        <v>3754</v>
      </c>
      <c r="X264" s="20" t="s">
        <v>3755</v>
      </c>
      <c r="Y264" s="20" t="s">
        <v>3756</v>
      </c>
      <c r="Z264" s="20" t="s">
        <v>3757</v>
      </c>
      <c r="AA264" s="27"/>
      <c r="AB264" s="24" t="str">
        <f aca="false">IF(LEN($C264)&gt;0,COUNT(AB$1:AB263)+1,"")</f>
        <v/>
      </c>
      <c r="AC264" s="24" t="str">
        <f aca="false">IF(LEN($D264)&gt;0,COUNT(AC$1:AC263)+1,"")</f>
        <v/>
      </c>
      <c r="AD264" s="24" t="n">
        <f aca="false">IF(LEN($E264)&gt;0,COUNT(AD$1:AD263)+1,"")</f>
        <v>56</v>
      </c>
      <c r="AE264" s="24" t="str">
        <f aca="false">IF(LEN($F264)&gt;0,COUNT(AE$1:AE263)+1,"")</f>
        <v/>
      </c>
    </row>
    <row r="265" customFormat="false" ht="33.75" hidden="false" customHeight="true" outlineLevel="0" collapsed="false">
      <c r="A265" s="18" t="n">
        <f aca="false">IF(B265="","",ROW()-2)</f>
        <v>263</v>
      </c>
      <c r="B265" s="18" t="s">
        <v>3758</v>
      </c>
      <c r="C265" s="19"/>
      <c r="D265" s="19"/>
      <c r="E265" s="19" t="s">
        <v>54</v>
      </c>
      <c r="F265" s="19"/>
      <c r="G265" s="18" t="s">
        <v>13</v>
      </c>
      <c r="H265" s="20" t="s">
        <v>3759</v>
      </c>
      <c r="I265" s="21" t="s">
        <v>3760</v>
      </c>
      <c r="J265" s="20" t="s">
        <v>3761</v>
      </c>
      <c r="K265" s="20" t="s">
        <v>3762</v>
      </c>
      <c r="L265" s="20" t="s">
        <v>3763</v>
      </c>
      <c r="M265" s="21" t="s">
        <v>3764</v>
      </c>
      <c r="N265" s="22" t="s">
        <v>3765</v>
      </c>
      <c r="O265" s="21" t="s">
        <v>3760</v>
      </c>
      <c r="P265" s="21" t="s">
        <v>121</v>
      </c>
      <c r="Q265" s="21" t="s">
        <v>79</v>
      </c>
      <c r="R265" s="20" t="s">
        <v>3766</v>
      </c>
      <c r="S265" s="20" t="s">
        <v>3763</v>
      </c>
      <c r="T265" s="20" t="s">
        <v>3767</v>
      </c>
      <c r="U265" s="21" t="s">
        <v>3760</v>
      </c>
      <c r="V265" s="21" t="s">
        <v>121</v>
      </c>
      <c r="W265" s="21" t="s">
        <v>79</v>
      </c>
      <c r="X265" s="20" t="s">
        <v>3766</v>
      </c>
      <c r="Y265" s="20" t="s">
        <v>3763</v>
      </c>
      <c r="Z265" s="20" t="s">
        <v>3767</v>
      </c>
      <c r="AA265" s="23"/>
      <c r="AB265" s="24" t="str">
        <f aca="false">IF(LEN($C265)&gt;0,COUNT(AB$1:AB264)+1,"")</f>
        <v/>
      </c>
      <c r="AC265" s="24" t="str">
        <f aca="false">IF(LEN($D265)&gt;0,COUNT(AC$1:AC264)+1,"")</f>
        <v/>
      </c>
      <c r="AD265" s="24" t="n">
        <f aca="false">IF(LEN($E265)&gt;0,COUNT(AD$1:AD264)+1,"")</f>
        <v>57</v>
      </c>
      <c r="AE265" s="24" t="str">
        <f aca="false">IF(LEN($F265)&gt;0,COUNT(AE$1:AE264)+1,"")</f>
        <v/>
      </c>
    </row>
    <row r="266" customFormat="false" ht="22.5" hidden="false" customHeight="true" outlineLevel="0" collapsed="false">
      <c r="A266" s="18" t="n">
        <f aca="false">IF(B266="","",ROW()-2)</f>
        <v>264</v>
      </c>
      <c r="B266" s="18" t="s">
        <v>3768</v>
      </c>
      <c r="C266" s="19"/>
      <c r="D266" s="19"/>
      <c r="E266" s="19" t="s">
        <v>54</v>
      </c>
      <c r="F266" s="19"/>
      <c r="G266" s="26" t="s">
        <v>12</v>
      </c>
      <c r="H266" s="20" t="s">
        <v>3769</v>
      </c>
      <c r="I266" s="21" t="s">
        <v>3145</v>
      </c>
      <c r="J266" s="20" t="s">
        <v>3770</v>
      </c>
      <c r="K266" s="20" t="s">
        <v>3771</v>
      </c>
      <c r="L266" s="20" t="s">
        <v>3772</v>
      </c>
      <c r="M266" s="21" t="s">
        <v>3773</v>
      </c>
      <c r="N266" s="22" t="s">
        <v>3774</v>
      </c>
      <c r="O266" s="21" t="s">
        <v>3775</v>
      </c>
      <c r="P266" s="21" t="s">
        <v>3776</v>
      </c>
      <c r="Q266" s="21" t="s">
        <v>2977</v>
      </c>
      <c r="R266" s="20" t="s">
        <v>3777</v>
      </c>
      <c r="S266" s="20" t="s">
        <v>3778</v>
      </c>
      <c r="T266" s="20" t="s">
        <v>3779</v>
      </c>
      <c r="U266" s="21" t="s">
        <v>3775</v>
      </c>
      <c r="V266" s="21" t="s">
        <v>3776</v>
      </c>
      <c r="W266" s="21" t="s">
        <v>2977</v>
      </c>
      <c r="X266" s="20" t="s">
        <v>3777</v>
      </c>
      <c r="Y266" s="20" t="s">
        <v>3778</v>
      </c>
      <c r="Z266" s="20" t="s">
        <v>3779</v>
      </c>
      <c r="AA266" s="27"/>
      <c r="AB266" s="24" t="str">
        <f aca="false">IF(LEN($C266)&gt;0,COUNT(AB$1:AB265)+1,"")</f>
        <v/>
      </c>
      <c r="AC266" s="24" t="str">
        <f aca="false">IF(LEN($D266)&gt;0,COUNT(AC$1:AC265)+1,"")</f>
        <v/>
      </c>
      <c r="AD266" s="24" t="n">
        <f aca="false">IF(LEN($E266)&gt;0,COUNT(AD$1:AD265)+1,"")</f>
        <v>58</v>
      </c>
      <c r="AE266" s="24" t="str">
        <f aca="false">IF(LEN($F266)&gt;0,COUNT(AE$1:AE265)+1,"")</f>
        <v/>
      </c>
    </row>
    <row r="267" customFormat="false" ht="47.25" hidden="false" customHeight="true" outlineLevel="0" collapsed="false">
      <c r="A267" s="18" t="n">
        <f aca="false">IF(B267="","",ROW()-2)</f>
        <v>265</v>
      </c>
      <c r="B267" s="18" t="s">
        <v>3780</v>
      </c>
      <c r="C267" s="19" t="s">
        <v>54</v>
      </c>
      <c r="D267" s="19" t="s">
        <v>54</v>
      </c>
      <c r="E267" s="19" t="s">
        <v>54</v>
      </c>
      <c r="F267" s="19"/>
      <c r="G267" s="26" t="s">
        <v>12</v>
      </c>
      <c r="H267" s="20" t="s">
        <v>3781</v>
      </c>
      <c r="I267" s="21" t="s">
        <v>56</v>
      </c>
      <c r="J267" s="20" t="s">
        <v>3782</v>
      </c>
      <c r="K267" s="20" t="s">
        <v>3783</v>
      </c>
      <c r="L267" s="20" t="s">
        <v>3784</v>
      </c>
      <c r="M267" s="21" t="s">
        <v>3785</v>
      </c>
      <c r="N267" s="25" t="s">
        <v>3786</v>
      </c>
      <c r="O267" s="21" t="s">
        <v>3787</v>
      </c>
      <c r="P267" s="21" t="s">
        <v>3788</v>
      </c>
      <c r="Q267" s="21" t="s">
        <v>1313</v>
      </c>
      <c r="R267" s="20" t="s">
        <v>3789</v>
      </c>
      <c r="S267" s="20" t="s">
        <v>3790</v>
      </c>
      <c r="T267" s="20" t="s">
        <v>3791</v>
      </c>
      <c r="U267" s="21" t="s">
        <v>3787</v>
      </c>
      <c r="V267" s="21" t="s">
        <v>3788</v>
      </c>
      <c r="W267" s="21" t="s">
        <v>1313</v>
      </c>
      <c r="X267" s="20" t="s">
        <v>3789</v>
      </c>
      <c r="Y267" s="20" t="s">
        <v>3790</v>
      </c>
      <c r="Z267" s="20" t="s">
        <v>3791</v>
      </c>
      <c r="AA267" s="27"/>
      <c r="AB267" s="24" t="n">
        <f aca="false">IF(LEN($C267)&gt;0,COUNT(AB$1:AB266)+1,"")</f>
        <v>125</v>
      </c>
      <c r="AC267" s="24" t="n">
        <f aca="false">IF(LEN($D267)&gt;0,COUNT(AC$1:AC266)+1,"")</f>
        <v>126</v>
      </c>
      <c r="AD267" s="24" t="n">
        <f aca="false">IF(LEN($E267)&gt;0,COUNT(AD$1:AD266)+1,"")</f>
        <v>59</v>
      </c>
      <c r="AE267" s="24" t="str">
        <f aca="false">IF(LEN($F267)&gt;0,COUNT(AE$1:AE266)+1,"")</f>
        <v/>
      </c>
    </row>
    <row r="268" customFormat="false" ht="33.75" hidden="false" customHeight="true" outlineLevel="0" collapsed="false">
      <c r="A268" s="18" t="n">
        <f aca="false">IF(B268="","",ROW()-2)</f>
        <v>266</v>
      </c>
      <c r="B268" s="18" t="s">
        <v>3792</v>
      </c>
      <c r="C268" s="19"/>
      <c r="D268" s="19"/>
      <c r="E268" s="19" t="s">
        <v>54</v>
      </c>
      <c r="F268" s="19"/>
      <c r="G268" s="18" t="s">
        <v>13</v>
      </c>
      <c r="H268" s="20" t="s">
        <v>3793</v>
      </c>
      <c r="I268" s="21" t="s">
        <v>3794</v>
      </c>
      <c r="J268" s="20" t="s">
        <v>3795</v>
      </c>
      <c r="K268" s="20" t="s">
        <v>3796</v>
      </c>
      <c r="L268" s="20" t="s">
        <v>3797</v>
      </c>
      <c r="M268" s="21" t="s">
        <v>3798</v>
      </c>
      <c r="N268" s="25" t="s">
        <v>3799</v>
      </c>
      <c r="O268" s="21" t="s">
        <v>3800</v>
      </c>
      <c r="P268" s="21" t="s">
        <v>3801</v>
      </c>
      <c r="Q268" s="21" t="s">
        <v>1793</v>
      </c>
      <c r="R268" s="20" t="s">
        <v>3802</v>
      </c>
      <c r="S268" s="20" t="s">
        <v>3803</v>
      </c>
      <c r="T268" s="20" t="s">
        <v>3802</v>
      </c>
      <c r="U268" s="21" t="s">
        <v>3800</v>
      </c>
      <c r="V268" s="21" t="s">
        <v>3801</v>
      </c>
      <c r="W268" s="21" t="s">
        <v>1793</v>
      </c>
      <c r="X268" s="20" t="s">
        <v>3802</v>
      </c>
      <c r="Y268" s="20" t="s">
        <v>3803</v>
      </c>
      <c r="Z268" s="20" t="s">
        <v>3802</v>
      </c>
      <c r="AA268" s="23"/>
      <c r="AB268" s="24" t="str">
        <f aca="false">IF(LEN($C268)&gt;0,COUNT(AB$1:AB267)+1,"")</f>
        <v/>
      </c>
      <c r="AC268" s="24" t="str">
        <f aca="false">IF(LEN($D268)&gt;0,COUNT(AC$1:AC267)+1,"")</f>
        <v/>
      </c>
      <c r="AD268" s="24" t="n">
        <f aca="false">IF(LEN($E268)&gt;0,COUNT(AD$1:AD267)+1,"")</f>
        <v>60</v>
      </c>
      <c r="AE268" s="24" t="str">
        <f aca="false">IF(LEN($F268)&gt;0,COUNT(AE$1:AE267)+1,"")</f>
        <v/>
      </c>
    </row>
    <row r="269" customFormat="false" ht="22.5" hidden="false" customHeight="true" outlineLevel="0" collapsed="false">
      <c r="A269" s="18" t="n">
        <f aca="false">IF(B269="","",ROW()-2)</f>
        <v>267</v>
      </c>
      <c r="B269" s="18" t="s">
        <v>3804</v>
      </c>
      <c r="C269" s="19"/>
      <c r="D269" s="19"/>
      <c r="E269" s="19" t="s">
        <v>54</v>
      </c>
      <c r="F269" s="19"/>
      <c r="G269" s="18" t="s">
        <v>11</v>
      </c>
      <c r="H269" s="21"/>
      <c r="I269" s="21"/>
      <c r="J269" s="21"/>
      <c r="K269" s="21"/>
      <c r="L269" s="21"/>
      <c r="M269" s="21"/>
      <c r="N269" s="25"/>
      <c r="O269" s="21"/>
      <c r="P269" s="21"/>
      <c r="Q269" s="21"/>
      <c r="R269" s="21"/>
      <c r="S269" s="21"/>
      <c r="T269" s="21"/>
      <c r="U269" s="21"/>
      <c r="V269" s="21"/>
      <c r="W269" s="21"/>
      <c r="X269" s="21"/>
      <c r="Y269" s="21"/>
      <c r="Z269" s="21"/>
      <c r="AA269" s="23"/>
      <c r="AB269" s="24" t="str">
        <f aca="false">IF(LEN($C269)&gt;0,COUNT(AB$1:AB268)+1,"")</f>
        <v/>
      </c>
      <c r="AC269" s="24" t="str">
        <f aca="false">IF(LEN($D269)&gt;0,COUNT(AC$1:AC268)+1,"")</f>
        <v/>
      </c>
      <c r="AD269" s="24" t="n">
        <f aca="false">IF(LEN($E269)&gt;0,COUNT(AD$1:AD268)+1,"")</f>
        <v>61</v>
      </c>
      <c r="AE269" s="24" t="str">
        <f aca="false">IF(LEN($F269)&gt;0,COUNT(AE$1:AE268)+1,"")</f>
        <v/>
      </c>
    </row>
    <row r="270" customFormat="false" ht="33.75" hidden="false" customHeight="true" outlineLevel="0" collapsed="false">
      <c r="A270" s="18" t="n">
        <f aca="false">IF(B270="","",ROW()-2)</f>
        <v>268</v>
      </c>
      <c r="B270" s="17" t="s">
        <v>3805</v>
      </c>
      <c r="C270" s="19"/>
      <c r="D270" s="19" t="s">
        <v>54</v>
      </c>
      <c r="E270" s="19" t="s">
        <v>54</v>
      </c>
      <c r="F270" s="19"/>
      <c r="G270" s="18" t="s">
        <v>13</v>
      </c>
      <c r="H270" s="20" t="s">
        <v>3806</v>
      </c>
      <c r="I270" s="21" t="s">
        <v>3807</v>
      </c>
      <c r="J270" s="20" t="s">
        <v>3808</v>
      </c>
      <c r="K270" s="20" t="s">
        <v>3809</v>
      </c>
      <c r="L270" s="21"/>
      <c r="M270" s="21" t="s">
        <v>3810</v>
      </c>
      <c r="N270" s="22" t="s">
        <v>3811</v>
      </c>
      <c r="O270" s="21" t="s">
        <v>3812</v>
      </c>
      <c r="P270" s="20" t="s">
        <v>3813</v>
      </c>
      <c r="Q270" s="21" t="s">
        <v>3814</v>
      </c>
      <c r="R270" s="20" t="s">
        <v>3808</v>
      </c>
      <c r="S270" s="20" t="s">
        <v>3815</v>
      </c>
      <c r="T270" s="20" t="s">
        <v>3816</v>
      </c>
      <c r="U270" s="21" t="s">
        <v>3812</v>
      </c>
      <c r="V270" s="20" t="s">
        <v>3813</v>
      </c>
      <c r="W270" s="21" t="s">
        <v>3814</v>
      </c>
      <c r="X270" s="20" t="s">
        <v>3808</v>
      </c>
      <c r="Y270" s="20" t="s">
        <v>3815</v>
      </c>
      <c r="Z270" s="20" t="s">
        <v>3816</v>
      </c>
      <c r="AA270" s="23"/>
      <c r="AB270" s="24" t="str">
        <f aca="false">IF(LEN($C270)&gt;0,COUNT(AB$1:AB269)+1,"")</f>
        <v/>
      </c>
      <c r="AC270" s="24" t="n">
        <f aca="false">IF(LEN($D270)&gt;0,COUNT(AC$1:AC269)+1,"")</f>
        <v>127</v>
      </c>
      <c r="AD270" s="24" t="n">
        <f aca="false">IF(LEN($E270)&gt;0,COUNT(AD$1:AD269)+1,"")</f>
        <v>62</v>
      </c>
      <c r="AE270" s="24" t="str">
        <f aca="false">IF(LEN($F270)&gt;0,COUNT(AE$1:AE269)+1,"")</f>
        <v/>
      </c>
    </row>
    <row r="271" customFormat="false" ht="22.5" hidden="false" customHeight="true" outlineLevel="0" collapsed="false">
      <c r="A271" s="18" t="n">
        <f aca="false">IF(B271="","",ROW()-2)</f>
        <v>269</v>
      </c>
      <c r="B271" s="18" t="s">
        <v>3817</v>
      </c>
      <c r="C271" s="19"/>
      <c r="D271" s="19"/>
      <c r="E271" s="19" t="s">
        <v>54</v>
      </c>
      <c r="F271" s="19"/>
      <c r="G271" s="18" t="s">
        <v>12</v>
      </c>
      <c r="H271" s="20" t="s">
        <v>3818</v>
      </c>
      <c r="I271" s="21" t="s">
        <v>3819</v>
      </c>
      <c r="J271" s="20" t="s">
        <v>3820</v>
      </c>
      <c r="K271" s="20" t="s">
        <v>3821</v>
      </c>
      <c r="L271" s="21"/>
      <c r="M271" s="21" t="s">
        <v>3822</v>
      </c>
      <c r="N271" s="22" t="s">
        <v>3823</v>
      </c>
      <c r="O271" s="21" t="s">
        <v>3824</v>
      </c>
      <c r="P271" s="21" t="s">
        <v>3825</v>
      </c>
      <c r="Q271" s="21" t="s">
        <v>601</v>
      </c>
      <c r="R271" s="20" t="s">
        <v>3826</v>
      </c>
      <c r="S271" s="20" t="s">
        <v>3827</v>
      </c>
      <c r="T271" s="20" t="s">
        <v>3826</v>
      </c>
      <c r="U271" s="21" t="s">
        <v>3824</v>
      </c>
      <c r="V271" s="21" t="s">
        <v>3825</v>
      </c>
      <c r="W271" s="21" t="s">
        <v>601</v>
      </c>
      <c r="X271" s="20" t="s">
        <v>3826</v>
      </c>
      <c r="Y271" s="20" t="s">
        <v>3827</v>
      </c>
      <c r="Z271" s="20" t="s">
        <v>3826</v>
      </c>
      <c r="AA271" s="23"/>
      <c r="AB271" s="24" t="str">
        <f aca="false">IF(LEN($C271)&gt;0,COUNT(AB$1:AB270)+1,"")</f>
        <v/>
      </c>
      <c r="AC271" s="24" t="str">
        <f aca="false">IF(LEN($D271)&gt;0,COUNT(AC$1:AC270)+1,"")</f>
        <v/>
      </c>
      <c r="AD271" s="24" t="n">
        <f aca="false">IF(LEN($E271)&gt;0,COUNT(AD$1:AD270)+1,"")</f>
        <v>63</v>
      </c>
      <c r="AE271" s="24" t="str">
        <f aca="false">IF(LEN($F271)&gt;0,COUNT(AE$1:AE270)+1,"")</f>
        <v/>
      </c>
    </row>
    <row r="272" customFormat="false" ht="87.75" hidden="false" customHeight="true" outlineLevel="0" collapsed="false">
      <c r="A272" s="18" t="n">
        <f aca="false">IF(B272="","",ROW()-2)</f>
        <v>270</v>
      </c>
      <c r="B272" s="18" t="s">
        <v>3828</v>
      </c>
      <c r="C272" s="19"/>
      <c r="D272" s="19"/>
      <c r="E272" s="19" t="s">
        <v>54</v>
      </c>
      <c r="F272" s="19"/>
      <c r="G272" s="18" t="s">
        <v>13</v>
      </c>
      <c r="H272" s="20" t="s">
        <v>3829</v>
      </c>
      <c r="I272" s="21" t="s">
        <v>3830</v>
      </c>
      <c r="J272" s="20" t="s">
        <v>3831</v>
      </c>
      <c r="K272" s="20" t="s">
        <v>3832</v>
      </c>
      <c r="L272" s="20" t="s">
        <v>3833</v>
      </c>
      <c r="M272" s="21" t="s">
        <v>3834</v>
      </c>
      <c r="N272" s="22" t="s">
        <v>3835</v>
      </c>
      <c r="O272" s="21" t="s">
        <v>3836</v>
      </c>
      <c r="P272" s="21" t="s">
        <v>628</v>
      </c>
      <c r="Q272" s="21" t="s">
        <v>79</v>
      </c>
      <c r="R272" s="20" t="s">
        <v>3831</v>
      </c>
      <c r="S272" s="20" t="s">
        <v>3837</v>
      </c>
      <c r="T272" s="20" t="s">
        <v>3838</v>
      </c>
      <c r="U272" s="21" t="s">
        <v>3839</v>
      </c>
      <c r="V272" s="21" t="s">
        <v>3840</v>
      </c>
      <c r="W272" s="21" t="s">
        <v>306</v>
      </c>
      <c r="X272" s="20" t="s">
        <v>3831</v>
      </c>
      <c r="Y272" s="20" t="s">
        <v>3841</v>
      </c>
      <c r="Z272" s="20" t="s">
        <v>3842</v>
      </c>
      <c r="AA272" s="23"/>
      <c r="AB272" s="24" t="str">
        <f aca="false">IF(LEN($C272)&gt;0,COUNT(AB$1:AB271)+1,"")</f>
        <v/>
      </c>
      <c r="AC272" s="24" t="str">
        <f aca="false">IF(LEN($D272)&gt;0,COUNT(AC$1:AC271)+1,"")</f>
        <v/>
      </c>
      <c r="AD272" s="24" t="n">
        <f aca="false">IF(LEN($E272)&gt;0,COUNT(AD$1:AD271)+1,"")</f>
        <v>64</v>
      </c>
      <c r="AE272" s="24" t="str">
        <f aca="false">IF(LEN($F272)&gt;0,COUNT(AE$1:AE271)+1,"")</f>
        <v/>
      </c>
    </row>
    <row r="273" customFormat="false" ht="33.75" hidden="false" customHeight="true" outlineLevel="0" collapsed="false">
      <c r="A273" s="18" t="n">
        <f aca="false">IF(B273="","",ROW()-2)</f>
        <v>271</v>
      </c>
      <c r="B273" s="18" t="s">
        <v>3843</v>
      </c>
      <c r="C273" s="19" t="s">
        <v>54</v>
      </c>
      <c r="D273" s="19"/>
      <c r="E273" s="19" t="s">
        <v>54</v>
      </c>
      <c r="F273" s="19"/>
      <c r="G273" s="18" t="s">
        <v>16</v>
      </c>
      <c r="H273" s="20" t="s">
        <v>3844</v>
      </c>
      <c r="I273" s="21" t="s">
        <v>3845</v>
      </c>
      <c r="J273" s="20" t="s">
        <v>3846</v>
      </c>
      <c r="K273" s="20" t="s">
        <v>3847</v>
      </c>
      <c r="L273" s="21"/>
      <c r="M273" s="21" t="s">
        <v>3848</v>
      </c>
      <c r="N273" s="25" t="s">
        <v>3849</v>
      </c>
      <c r="O273" s="21" t="s">
        <v>3850</v>
      </c>
      <c r="P273" s="21" t="s">
        <v>2377</v>
      </c>
      <c r="Q273" s="21" t="s">
        <v>238</v>
      </c>
      <c r="R273" s="20" t="s">
        <v>3851</v>
      </c>
      <c r="S273" s="20" t="s">
        <v>3852</v>
      </c>
      <c r="T273" s="20" t="s">
        <v>3853</v>
      </c>
      <c r="U273" s="21" t="s">
        <v>3854</v>
      </c>
      <c r="V273" s="21" t="s">
        <v>3855</v>
      </c>
      <c r="W273" s="21" t="s">
        <v>1493</v>
      </c>
      <c r="X273" s="20" t="s">
        <v>3846</v>
      </c>
      <c r="Y273" s="20" t="s">
        <v>3856</v>
      </c>
      <c r="Z273" s="20" t="s">
        <v>3857</v>
      </c>
      <c r="AA273" s="23"/>
      <c r="AB273" s="24" t="n">
        <f aca="false">IF(LEN($C273)&gt;0,COUNT(AB$1:AB272)+1,"")</f>
        <v>126</v>
      </c>
      <c r="AC273" s="24" t="str">
        <f aca="false">IF(LEN($D273)&gt;0,COUNT(AC$1:AC272)+1,"")</f>
        <v/>
      </c>
      <c r="AD273" s="24" t="n">
        <f aca="false">IF(LEN($E273)&gt;0,COUNT(AD$1:AD272)+1,"")</f>
        <v>65</v>
      </c>
      <c r="AE273" s="24" t="str">
        <f aca="false">IF(LEN($F273)&gt;0,COUNT(AE$1:AE272)+1,"")</f>
        <v/>
      </c>
    </row>
    <row r="274" customFormat="false" ht="22.5" hidden="false" customHeight="true" outlineLevel="0" collapsed="false">
      <c r="A274" s="18" t="n">
        <f aca="false">IF(B274="","",ROW()-2)</f>
        <v>272</v>
      </c>
      <c r="B274" s="17" t="s">
        <v>3858</v>
      </c>
      <c r="C274" s="19"/>
      <c r="D274" s="19"/>
      <c r="E274" s="19"/>
      <c r="F274" s="19" t="s">
        <v>54</v>
      </c>
      <c r="G274" s="18" t="s">
        <v>13</v>
      </c>
      <c r="H274" s="20" t="s">
        <v>3859</v>
      </c>
      <c r="I274" s="21" t="s">
        <v>3860</v>
      </c>
      <c r="J274" s="20" t="s">
        <v>3861</v>
      </c>
      <c r="K274" s="20" t="s">
        <v>3862</v>
      </c>
      <c r="L274" s="20" t="s">
        <v>3863</v>
      </c>
      <c r="M274" s="20" t="s">
        <v>3864</v>
      </c>
      <c r="N274" s="22" t="s">
        <v>3865</v>
      </c>
      <c r="O274" s="21" t="s">
        <v>3860</v>
      </c>
      <c r="P274" s="21" t="s">
        <v>628</v>
      </c>
      <c r="Q274" s="21" t="s">
        <v>79</v>
      </c>
      <c r="R274" s="20" t="s">
        <v>3861</v>
      </c>
      <c r="S274" s="20" t="s">
        <v>3866</v>
      </c>
      <c r="T274" s="20" t="s">
        <v>3867</v>
      </c>
      <c r="U274" s="21" t="s">
        <v>3868</v>
      </c>
      <c r="V274" s="21" t="s">
        <v>3869</v>
      </c>
      <c r="W274" s="21" t="s">
        <v>797</v>
      </c>
      <c r="X274" s="20" t="s">
        <v>3861</v>
      </c>
      <c r="Y274" s="20" t="s">
        <v>3870</v>
      </c>
      <c r="Z274" s="20" t="s">
        <v>3871</v>
      </c>
      <c r="AA274" s="23"/>
      <c r="AB274" s="24" t="str">
        <f aca="false">IF(LEN($C274)&gt;0,COUNT(AB$1:AB273)+1,"")</f>
        <v/>
      </c>
      <c r="AC274" s="24" t="str">
        <f aca="false">IF(LEN($D274)&gt;0,COUNT(AC$1:AC273)+1,"")</f>
        <v/>
      </c>
      <c r="AD274" s="24" t="str">
        <f aca="false">IF(LEN($E274)&gt;0,COUNT(AD$1:AD273)+1,"")</f>
        <v/>
      </c>
      <c r="AE274" s="24" t="n">
        <f aca="false">IF(LEN($F274)&gt;0,COUNT(AE$1:AE273)+1,"")</f>
        <v>8</v>
      </c>
    </row>
    <row r="275" customFormat="false" ht="33.75" hidden="false" customHeight="true" outlineLevel="0" collapsed="false">
      <c r="A275" s="18" t="n">
        <f aca="false">IF(B275="","",ROW()-2)</f>
        <v>273</v>
      </c>
      <c r="B275" s="18" t="s">
        <v>3872</v>
      </c>
      <c r="C275" s="19"/>
      <c r="D275" s="19"/>
      <c r="E275" s="19"/>
      <c r="F275" s="19" t="s">
        <v>54</v>
      </c>
      <c r="G275" s="18" t="s">
        <v>15</v>
      </c>
      <c r="H275" s="20" t="s">
        <v>3873</v>
      </c>
      <c r="I275" s="21" t="s">
        <v>3874</v>
      </c>
      <c r="J275" s="20" t="s">
        <v>3875</v>
      </c>
      <c r="K275" s="20" t="s">
        <v>3876</v>
      </c>
      <c r="L275" s="20" t="s">
        <v>3877</v>
      </c>
      <c r="M275" s="21" t="s">
        <v>3878</v>
      </c>
      <c r="N275" s="22" t="s">
        <v>3879</v>
      </c>
      <c r="O275" s="21" t="s">
        <v>3880</v>
      </c>
      <c r="P275" s="21" t="s">
        <v>3881</v>
      </c>
      <c r="Q275" s="21" t="s">
        <v>3882</v>
      </c>
      <c r="R275" s="20" t="s">
        <v>3883</v>
      </c>
      <c r="S275" s="20" t="s">
        <v>3884</v>
      </c>
      <c r="T275" s="20" t="s">
        <v>3885</v>
      </c>
      <c r="U275" s="21" t="s">
        <v>3886</v>
      </c>
      <c r="V275" s="21" t="s">
        <v>3881</v>
      </c>
      <c r="W275" s="21" t="s">
        <v>2313</v>
      </c>
      <c r="X275" s="20" t="s">
        <v>3887</v>
      </c>
      <c r="Y275" s="20" t="s">
        <v>3888</v>
      </c>
      <c r="Z275" s="20" t="s">
        <v>3889</v>
      </c>
      <c r="AA275" s="23"/>
      <c r="AB275" s="24" t="str">
        <f aca="false">IF(LEN($C275)&gt;0,COUNT(AB$1:AB274)+1,"")</f>
        <v/>
      </c>
      <c r="AC275" s="24" t="str">
        <f aca="false">IF(LEN($D275)&gt;0,COUNT(AC$1:AC274)+1,"")</f>
        <v/>
      </c>
      <c r="AD275" s="24" t="str">
        <f aca="false">IF(LEN($E275)&gt;0,COUNT(AD$1:AD274)+1,"")</f>
        <v/>
      </c>
      <c r="AE275" s="24" t="n">
        <f aca="false">IF(LEN($F275)&gt;0,COUNT(AE$1:AE274)+1,"")</f>
        <v>9</v>
      </c>
    </row>
    <row r="276" customFormat="false" ht="22.5" hidden="false" customHeight="true" outlineLevel="0" collapsed="false">
      <c r="A276" s="18" t="n">
        <f aca="false">IF(B276="","",ROW()-2)</f>
        <v>274</v>
      </c>
      <c r="B276" s="18" t="s">
        <v>3890</v>
      </c>
      <c r="C276" s="19"/>
      <c r="D276" s="19"/>
      <c r="E276" s="19"/>
      <c r="F276" s="19" t="s">
        <v>54</v>
      </c>
      <c r="G276" s="18" t="s">
        <v>13</v>
      </c>
      <c r="H276" s="20" t="s">
        <v>3215</v>
      </c>
      <c r="I276" s="21" t="s">
        <v>3216</v>
      </c>
      <c r="J276" s="20" t="s">
        <v>3217</v>
      </c>
      <c r="K276" s="20" t="s">
        <v>3218</v>
      </c>
      <c r="L276" s="20" t="s">
        <v>3891</v>
      </c>
      <c r="M276" s="21" t="s">
        <v>3892</v>
      </c>
      <c r="N276" s="25" t="s">
        <v>3893</v>
      </c>
      <c r="O276" s="21" t="s">
        <v>3221</v>
      </c>
      <c r="P276" s="20" t="s">
        <v>3222</v>
      </c>
      <c r="Q276" s="21" t="s">
        <v>2482</v>
      </c>
      <c r="R276" s="20" t="s">
        <v>3217</v>
      </c>
      <c r="S276" s="20" t="s">
        <v>3225</v>
      </c>
      <c r="T276" s="20" t="s">
        <v>3224</v>
      </c>
      <c r="U276" s="21" t="s">
        <v>3894</v>
      </c>
      <c r="V276" s="20" t="s">
        <v>3895</v>
      </c>
      <c r="W276" s="21" t="s">
        <v>306</v>
      </c>
      <c r="X276" s="20" t="s">
        <v>3217</v>
      </c>
      <c r="Y276" s="20" t="s">
        <v>3229</v>
      </c>
      <c r="Z276" s="20" t="s">
        <v>3228</v>
      </c>
      <c r="AA276" s="23"/>
      <c r="AB276" s="24" t="str">
        <f aca="false">IF(LEN($C276)&gt;0,COUNT(AB$1:AB275)+1,"")</f>
        <v/>
      </c>
      <c r="AC276" s="24" t="str">
        <f aca="false">IF(LEN($D276)&gt;0,COUNT(AC$1:AC275)+1,"")</f>
        <v/>
      </c>
      <c r="AD276" s="24" t="str">
        <f aca="false">IF(LEN($E276)&gt;0,COUNT(AD$1:AD275)+1,"")</f>
        <v/>
      </c>
      <c r="AE276" s="24" t="n">
        <f aca="false">IF(LEN($F276)&gt;0,COUNT(AE$1:AE275)+1,"")</f>
        <v>10</v>
      </c>
    </row>
    <row r="277" customFormat="false" ht="22.5" hidden="false" customHeight="true" outlineLevel="0" collapsed="false">
      <c r="A277" s="18" t="n">
        <f aca="false">IF(B277="","",ROW()-2)</f>
        <v>275</v>
      </c>
      <c r="B277" s="18" t="s">
        <v>3896</v>
      </c>
      <c r="C277" s="19"/>
      <c r="D277" s="19"/>
      <c r="E277" s="19"/>
      <c r="F277" s="19" t="s">
        <v>54</v>
      </c>
      <c r="G277" s="18" t="s">
        <v>13</v>
      </c>
      <c r="H277" s="20" t="s">
        <v>3897</v>
      </c>
      <c r="I277" s="21" t="s">
        <v>3898</v>
      </c>
      <c r="J277" s="20" t="s">
        <v>3899</v>
      </c>
      <c r="K277" s="20" t="s">
        <v>3900</v>
      </c>
      <c r="L277" s="20" t="s">
        <v>3901</v>
      </c>
      <c r="M277" s="21" t="s">
        <v>3902</v>
      </c>
      <c r="N277" s="22" t="s">
        <v>3903</v>
      </c>
      <c r="O277" s="21" t="s">
        <v>3904</v>
      </c>
      <c r="P277" s="20" t="s">
        <v>3905</v>
      </c>
      <c r="Q277" s="21" t="s">
        <v>172</v>
      </c>
      <c r="R277" s="20" t="s">
        <v>3906</v>
      </c>
      <c r="S277" s="20" t="s">
        <v>3907</v>
      </c>
      <c r="T277" s="20" t="s">
        <v>3908</v>
      </c>
      <c r="U277" s="21" t="s">
        <v>3909</v>
      </c>
      <c r="V277" s="20" t="s">
        <v>3910</v>
      </c>
      <c r="W277" s="21" t="s">
        <v>306</v>
      </c>
      <c r="X277" s="20" t="s">
        <v>3899</v>
      </c>
      <c r="Y277" s="20" t="s">
        <v>3911</v>
      </c>
      <c r="Z277" s="20" t="s">
        <v>3912</v>
      </c>
      <c r="AA277" s="23"/>
      <c r="AB277" s="24" t="str">
        <f aca="false">IF(LEN($C277)&gt;0,COUNT(AB$1:AB276)+1,"")</f>
        <v/>
      </c>
      <c r="AC277" s="24" t="str">
        <f aca="false">IF(LEN($D277)&gt;0,COUNT(AC$1:AC276)+1,"")</f>
        <v/>
      </c>
      <c r="AD277" s="24" t="str">
        <f aca="false">IF(LEN($E277)&gt;0,COUNT(AD$1:AD276)+1,"")</f>
        <v/>
      </c>
      <c r="AE277" s="24" t="n">
        <f aca="false">IF(LEN($F277)&gt;0,COUNT(AE$1:AE276)+1,"")</f>
        <v>11</v>
      </c>
    </row>
    <row r="278" customFormat="false" ht="33.75" hidden="false" customHeight="true" outlineLevel="0" collapsed="false">
      <c r="A278" s="18" t="n">
        <f aca="false">IF(B278="","",ROW()-2)</f>
        <v>276</v>
      </c>
      <c r="B278" s="18" t="s">
        <v>3913</v>
      </c>
      <c r="C278" s="19"/>
      <c r="D278" s="19"/>
      <c r="E278" s="19"/>
      <c r="F278" s="19" t="s">
        <v>54</v>
      </c>
      <c r="G278" s="18" t="s">
        <v>13</v>
      </c>
      <c r="H278" s="20" t="s">
        <v>3914</v>
      </c>
      <c r="I278" s="21" t="s">
        <v>3915</v>
      </c>
      <c r="J278" s="20" t="s">
        <v>3916</v>
      </c>
      <c r="K278" s="20" t="s">
        <v>3917</v>
      </c>
      <c r="L278" s="20" t="s">
        <v>3918</v>
      </c>
      <c r="M278" s="21" t="s">
        <v>3919</v>
      </c>
      <c r="N278" s="22" t="s">
        <v>3920</v>
      </c>
      <c r="O278" s="21" t="s">
        <v>3921</v>
      </c>
      <c r="P278" s="21" t="s">
        <v>3922</v>
      </c>
      <c r="Q278" s="21" t="s">
        <v>68</v>
      </c>
      <c r="R278" s="20" t="s">
        <v>3916</v>
      </c>
      <c r="S278" s="20" t="s">
        <v>3918</v>
      </c>
      <c r="T278" s="20" t="s">
        <v>3923</v>
      </c>
      <c r="U278" s="21" t="s">
        <v>3921</v>
      </c>
      <c r="V278" s="21" t="s">
        <v>3922</v>
      </c>
      <c r="W278" s="21" t="s">
        <v>68</v>
      </c>
      <c r="X278" s="20" t="s">
        <v>3916</v>
      </c>
      <c r="Y278" s="20" t="s">
        <v>3918</v>
      </c>
      <c r="Z278" s="20" t="s">
        <v>3923</v>
      </c>
      <c r="AA278" s="23" t="s">
        <v>87</v>
      </c>
      <c r="AB278" s="24" t="str">
        <f aca="false">IF(LEN($C278)&gt;0,COUNT(AB$1:AB277)+1,"")</f>
        <v/>
      </c>
      <c r="AC278" s="24" t="str">
        <f aca="false">IF(LEN($D278)&gt;0,COUNT(AC$1:AC277)+1,"")</f>
        <v/>
      </c>
      <c r="AD278" s="24" t="str">
        <f aca="false">IF(LEN($E278)&gt;0,COUNT(AD$1:AD277)+1,"")</f>
        <v/>
      </c>
      <c r="AE278" s="24" t="n">
        <f aca="false">IF(LEN($F278)&gt;0,COUNT(AE$1:AE277)+1,"")</f>
        <v>12</v>
      </c>
    </row>
    <row r="279" customFormat="false" ht="33.75" hidden="false" customHeight="true" outlineLevel="0" collapsed="false">
      <c r="A279" s="18" t="n">
        <f aca="false">IF(B279="","",ROW()-2)</f>
        <v>277</v>
      </c>
      <c r="B279" s="18" t="s">
        <v>3924</v>
      </c>
      <c r="C279" s="19"/>
      <c r="D279" s="19"/>
      <c r="E279" s="19"/>
      <c r="F279" s="19" t="s">
        <v>54</v>
      </c>
      <c r="G279" s="18" t="s">
        <v>13</v>
      </c>
      <c r="H279" s="20" t="s">
        <v>3925</v>
      </c>
      <c r="I279" s="21" t="s">
        <v>3926</v>
      </c>
      <c r="J279" s="20" t="s">
        <v>3927</v>
      </c>
      <c r="K279" s="20" t="s">
        <v>3928</v>
      </c>
      <c r="L279" s="20" t="s">
        <v>3929</v>
      </c>
      <c r="M279" s="21" t="s">
        <v>3930</v>
      </c>
      <c r="N279" s="25" t="s">
        <v>3931</v>
      </c>
      <c r="O279" s="21" t="s">
        <v>3932</v>
      </c>
      <c r="P279" s="20" t="s">
        <v>3933</v>
      </c>
      <c r="Q279" s="21" t="s">
        <v>1793</v>
      </c>
      <c r="R279" s="20" t="s">
        <v>3934</v>
      </c>
      <c r="S279" s="20" t="s">
        <v>3929</v>
      </c>
      <c r="T279" s="20" t="s">
        <v>3934</v>
      </c>
      <c r="U279" s="21" t="s">
        <v>3935</v>
      </c>
      <c r="V279" s="20" t="s">
        <v>3936</v>
      </c>
      <c r="W279" s="21" t="s">
        <v>2560</v>
      </c>
      <c r="X279" s="20" t="s">
        <v>3937</v>
      </c>
      <c r="Y279" s="20" t="s">
        <v>3938</v>
      </c>
      <c r="Z279" s="20" t="s">
        <v>3937</v>
      </c>
      <c r="AA279" s="23"/>
      <c r="AB279" s="24" t="str">
        <f aca="false">IF(LEN($C279)&gt;0,COUNT(AB$1:AB278)+1,"")</f>
        <v/>
      </c>
      <c r="AC279" s="24" t="str">
        <f aca="false">IF(LEN($D279)&gt;0,COUNT(AC$1:AC278)+1,"")</f>
        <v/>
      </c>
      <c r="AD279" s="24" t="str">
        <f aca="false">IF(LEN($E279)&gt;0,COUNT(AD$1:AD278)+1,"")</f>
        <v/>
      </c>
      <c r="AE279" s="24" t="n">
        <f aca="false">IF(LEN($F279)&gt;0,COUNT(AE$1:AE278)+1,"")</f>
        <v>13</v>
      </c>
    </row>
    <row r="280" customFormat="false" ht="33.75" hidden="false" customHeight="true" outlineLevel="0" collapsed="false">
      <c r="A280" s="18" t="n">
        <f aca="false">IF(B280="","",ROW()-2)</f>
        <v>278</v>
      </c>
      <c r="B280" s="18" t="s">
        <v>3939</v>
      </c>
      <c r="C280" s="19" t="s">
        <v>54</v>
      </c>
      <c r="D280" s="19"/>
      <c r="E280" s="19"/>
      <c r="F280" s="19" t="s">
        <v>54</v>
      </c>
      <c r="G280" s="18" t="s">
        <v>13</v>
      </c>
      <c r="H280" s="20" t="s">
        <v>3940</v>
      </c>
      <c r="I280" s="21" t="s">
        <v>3941</v>
      </c>
      <c r="J280" s="20" t="s">
        <v>3942</v>
      </c>
      <c r="K280" s="20" t="s">
        <v>3943</v>
      </c>
      <c r="L280" s="20" t="s">
        <v>3944</v>
      </c>
      <c r="M280" s="21" t="s">
        <v>3945</v>
      </c>
      <c r="N280" s="25" t="s">
        <v>3946</v>
      </c>
      <c r="O280" s="21" t="s">
        <v>3947</v>
      </c>
      <c r="P280" s="21" t="s">
        <v>569</v>
      </c>
      <c r="Q280" s="21" t="s">
        <v>172</v>
      </c>
      <c r="R280" s="20" t="s">
        <v>3948</v>
      </c>
      <c r="S280" s="20" t="s">
        <v>3949</v>
      </c>
      <c r="T280" s="20" t="s">
        <v>3950</v>
      </c>
      <c r="U280" s="21" t="s">
        <v>3951</v>
      </c>
      <c r="V280" s="21" t="s">
        <v>3952</v>
      </c>
      <c r="W280" s="21" t="s">
        <v>3953</v>
      </c>
      <c r="X280" s="20" t="s">
        <v>3954</v>
      </c>
      <c r="Y280" s="20" t="s">
        <v>3944</v>
      </c>
      <c r="Z280" s="20" t="s">
        <v>3955</v>
      </c>
      <c r="AA280" s="23"/>
      <c r="AB280" s="24" t="n">
        <f aca="false">IF(LEN($C280)&gt;0,COUNT(AB$1:AB279)+1,"")</f>
        <v>127</v>
      </c>
      <c r="AC280" s="24" t="str">
        <f aca="false">IF(LEN($D280)&gt;0,COUNT(AC$1:AC279)+1,"")</f>
        <v/>
      </c>
      <c r="AD280" s="24" t="str">
        <f aca="false">IF(LEN($E280)&gt;0,COUNT(AD$1:AD279)+1,"")</f>
        <v/>
      </c>
      <c r="AE280" s="24" t="n">
        <f aca="false">IF(LEN($F280)&gt;0,COUNT(AE$1:AE279)+1,"")</f>
        <v>14</v>
      </c>
    </row>
    <row r="281" customFormat="false" ht="22.5" hidden="false" customHeight="true" outlineLevel="0" collapsed="false">
      <c r="A281" s="18" t="n">
        <f aca="false">IF(B281="","",ROW()-2)</f>
        <v>279</v>
      </c>
      <c r="B281" s="18" t="s">
        <v>3956</v>
      </c>
      <c r="C281" s="19"/>
      <c r="D281" s="19"/>
      <c r="E281" s="19"/>
      <c r="F281" s="19" t="s">
        <v>54</v>
      </c>
      <c r="G281" s="18" t="s">
        <v>13</v>
      </c>
      <c r="H281" s="20" t="s">
        <v>3957</v>
      </c>
      <c r="I281" s="21" t="s">
        <v>3958</v>
      </c>
      <c r="J281" s="20" t="s">
        <v>3959</v>
      </c>
      <c r="K281" s="20" t="s">
        <v>3960</v>
      </c>
      <c r="L281" s="20" t="s">
        <v>3961</v>
      </c>
      <c r="M281" s="21" t="s">
        <v>3962</v>
      </c>
      <c r="N281" s="22" t="s">
        <v>3963</v>
      </c>
      <c r="O281" s="21" t="s">
        <v>3964</v>
      </c>
      <c r="P281" s="20" t="s">
        <v>3965</v>
      </c>
      <c r="Q281" s="21" t="s">
        <v>584</v>
      </c>
      <c r="R281" s="20" t="s">
        <v>3966</v>
      </c>
      <c r="S281" s="20" t="s">
        <v>3967</v>
      </c>
      <c r="T281" s="20" t="s">
        <v>3966</v>
      </c>
      <c r="U281" s="21" t="s">
        <v>3968</v>
      </c>
      <c r="V281" s="20" t="s">
        <v>3965</v>
      </c>
      <c r="W281" s="21" t="s">
        <v>797</v>
      </c>
      <c r="X281" s="20" t="s">
        <v>3969</v>
      </c>
      <c r="Y281" s="20" t="s">
        <v>3970</v>
      </c>
      <c r="Z281" s="20" t="s">
        <v>3969</v>
      </c>
      <c r="AA281" s="23"/>
      <c r="AB281" s="24" t="str">
        <f aca="false">IF(LEN($C281)&gt;0,COUNT(AB$1:AB280)+1,"")</f>
        <v/>
      </c>
      <c r="AC281" s="24" t="str">
        <f aca="false">IF(LEN($D281)&gt;0,COUNT(AC$1:AC280)+1,"")</f>
        <v/>
      </c>
      <c r="AD281" s="24" t="str">
        <f aca="false">IF(LEN($E281)&gt;0,COUNT(AD$1:AD280)+1,"")</f>
        <v/>
      </c>
      <c r="AE281" s="24" t="n">
        <f aca="false">IF(LEN($F281)&gt;0,COUNT(AE$1:AE280)+1,"")</f>
        <v>15</v>
      </c>
    </row>
    <row r="282" customFormat="false" ht="33.75" hidden="false" customHeight="true" outlineLevel="0" collapsed="false">
      <c r="A282" s="18" t="n">
        <f aca="false">IF(B282="","",ROW()-2)</f>
        <v>280</v>
      </c>
      <c r="B282" s="18" t="s">
        <v>3971</v>
      </c>
      <c r="C282" s="19"/>
      <c r="D282" s="19"/>
      <c r="E282" s="19"/>
      <c r="F282" s="19" t="s">
        <v>54</v>
      </c>
      <c r="G282" s="18" t="s">
        <v>13</v>
      </c>
      <c r="H282" s="20" t="s">
        <v>3972</v>
      </c>
      <c r="I282" s="21" t="s">
        <v>3973</v>
      </c>
      <c r="J282" s="20" t="s">
        <v>3974</v>
      </c>
      <c r="K282" s="20" t="s">
        <v>3975</v>
      </c>
      <c r="L282" s="20" t="s">
        <v>3976</v>
      </c>
      <c r="M282" s="21" t="s">
        <v>3977</v>
      </c>
      <c r="N282" s="22" t="s">
        <v>3978</v>
      </c>
      <c r="O282" s="21" t="s">
        <v>3973</v>
      </c>
      <c r="P282" s="21" t="s">
        <v>3979</v>
      </c>
      <c r="Q282" s="21" t="s">
        <v>63</v>
      </c>
      <c r="R282" s="20" t="s">
        <v>3980</v>
      </c>
      <c r="S282" s="20" t="s">
        <v>3981</v>
      </c>
      <c r="T282" s="20" t="s">
        <v>3980</v>
      </c>
      <c r="U282" s="21" t="s">
        <v>3982</v>
      </c>
      <c r="V282" s="20" t="s">
        <v>3983</v>
      </c>
      <c r="W282" s="21" t="s">
        <v>519</v>
      </c>
      <c r="X282" s="20" t="s">
        <v>3984</v>
      </c>
      <c r="Y282" s="20" t="s">
        <v>3985</v>
      </c>
      <c r="Z282" s="20" t="s">
        <v>3984</v>
      </c>
      <c r="AA282" s="23"/>
      <c r="AB282" s="24" t="str">
        <f aca="false">IF(LEN($C282)&gt;0,COUNT(AB$1:AB281)+1,"")</f>
        <v/>
      </c>
      <c r="AC282" s="24" t="str">
        <f aca="false">IF(LEN($D282)&gt;0,COUNT(AC$1:AC281)+1,"")</f>
        <v/>
      </c>
      <c r="AD282" s="24" t="str">
        <f aca="false">IF(LEN($E282)&gt;0,COUNT(AD$1:AD281)+1,"")</f>
        <v/>
      </c>
      <c r="AE282" s="24" t="n">
        <f aca="false">IF(LEN($F282)&gt;0,COUNT(AE$1:AE281)+1,"")</f>
        <v>16</v>
      </c>
    </row>
    <row r="283" customFormat="false" ht="155.25" hidden="false" customHeight="true" outlineLevel="0" collapsed="false">
      <c r="A283" s="18" t="n">
        <f aca="false">IF(B283="","",ROW()-2)</f>
        <v>281</v>
      </c>
      <c r="B283" s="18" t="s">
        <v>3986</v>
      </c>
      <c r="C283" s="19"/>
      <c r="D283" s="19"/>
      <c r="E283" s="19"/>
      <c r="F283" s="19" t="s">
        <v>54</v>
      </c>
      <c r="G283" s="18" t="s">
        <v>13</v>
      </c>
      <c r="H283" s="20" t="s">
        <v>3987</v>
      </c>
      <c r="I283" s="21" t="s">
        <v>3988</v>
      </c>
      <c r="J283" s="20" t="s">
        <v>3989</v>
      </c>
      <c r="K283" s="20" t="s">
        <v>3990</v>
      </c>
      <c r="L283" s="20" t="s">
        <v>3991</v>
      </c>
      <c r="M283" s="21" t="s">
        <v>3992</v>
      </c>
      <c r="N283" s="22" t="s">
        <v>3993</v>
      </c>
      <c r="O283" s="21" t="s">
        <v>3988</v>
      </c>
      <c r="P283" s="21" t="s">
        <v>225</v>
      </c>
      <c r="Q283" s="21" t="s">
        <v>79</v>
      </c>
      <c r="R283" s="20" t="s">
        <v>3989</v>
      </c>
      <c r="S283" s="20" t="s">
        <v>3994</v>
      </c>
      <c r="T283" s="20" t="s">
        <v>3995</v>
      </c>
      <c r="U283" s="21" t="s">
        <v>3996</v>
      </c>
      <c r="V283" s="21" t="s">
        <v>3997</v>
      </c>
      <c r="W283" s="21" t="s">
        <v>306</v>
      </c>
      <c r="X283" s="20" t="s">
        <v>3989</v>
      </c>
      <c r="Y283" s="20" t="s">
        <v>3998</v>
      </c>
      <c r="Z283" s="20" t="s">
        <v>3999</v>
      </c>
      <c r="AA283" s="23"/>
      <c r="AB283" s="24" t="str">
        <f aca="false">IF(LEN($C283)&gt;0,COUNT(AB$1:AB282)+1,"")</f>
        <v/>
      </c>
      <c r="AC283" s="24" t="str">
        <f aca="false">IF(LEN($D283)&gt;0,COUNT(AC$1:AC282)+1,"")</f>
        <v/>
      </c>
      <c r="AD283" s="24" t="str">
        <f aca="false">IF(LEN($E283)&gt;0,COUNT(AD$1:AD282)+1,"")</f>
        <v/>
      </c>
      <c r="AE283" s="24" t="n">
        <f aca="false">IF(LEN($F283)&gt;0,COUNT(AE$1:AE282)+1,"")</f>
        <v>17</v>
      </c>
    </row>
    <row r="284" customFormat="false" ht="22.5" hidden="false" customHeight="true" outlineLevel="0" collapsed="false">
      <c r="A284" s="18" t="n">
        <f aca="false">IF(B284="","",ROW()-2)</f>
        <v>282</v>
      </c>
      <c r="B284" s="17" t="s">
        <v>4000</v>
      </c>
      <c r="C284" s="19"/>
      <c r="D284" s="19"/>
      <c r="E284" s="19"/>
      <c r="F284" s="19" t="s">
        <v>54</v>
      </c>
      <c r="G284" s="18" t="s">
        <v>13</v>
      </c>
      <c r="H284" s="20" t="s">
        <v>4001</v>
      </c>
      <c r="I284" s="21" t="s">
        <v>4002</v>
      </c>
      <c r="J284" s="20" t="s">
        <v>4003</v>
      </c>
      <c r="K284" s="20" t="s">
        <v>4004</v>
      </c>
      <c r="L284" s="20" t="s">
        <v>4005</v>
      </c>
      <c r="M284" s="21" t="s">
        <v>4006</v>
      </c>
      <c r="N284" s="25" t="s">
        <v>4007</v>
      </c>
      <c r="O284" s="21" t="s">
        <v>4002</v>
      </c>
      <c r="P284" s="21" t="s">
        <v>4008</v>
      </c>
      <c r="Q284" s="21" t="s">
        <v>79</v>
      </c>
      <c r="R284" s="20" t="s">
        <v>4003</v>
      </c>
      <c r="S284" s="20" t="s">
        <v>4009</v>
      </c>
      <c r="T284" s="20" t="s">
        <v>4010</v>
      </c>
      <c r="U284" s="21" t="s">
        <v>4011</v>
      </c>
      <c r="V284" s="21" t="s">
        <v>2041</v>
      </c>
      <c r="W284" s="21" t="s">
        <v>4012</v>
      </c>
      <c r="X284" s="20" t="s">
        <v>4003</v>
      </c>
      <c r="Y284" s="20" t="s">
        <v>4013</v>
      </c>
      <c r="Z284" s="20" t="s">
        <v>4014</v>
      </c>
      <c r="AA284" s="23"/>
      <c r="AB284" s="24" t="str">
        <f aca="false">IF(LEN($C284)&gt;0,COUNT(AB$1:AB283)+1,"")</f>
        <v/>
      </c>
      <c r="AC284" s="24" t="str">
        <f aca="false">IF(LEN($D284)&gt;0,COUNT(AC$1:AC283)+1,"")</f>
        <v/>
      </c>
      <c r="AD284" s="24" t="str">
        <f aca="false">IF(LEN($E284)&gt;0,COUNT(AD$1:AD283)+1,"")</f>
        <v/>
      </c>
      <c r="AE284" s="24" t="n">
        <f aca="false">IF(LEN($F284)&gt;0,COUNT(AE$1:AE283)+1,"")</f>
        <v>18</v>
      </c>
    </row>
    <row r="285" customFormat="false" ht="47.25" hidden="false" customHeight="true" outlineLevel="0" collapsed="false">
      <c r="A285" s="18" t="n">
        <f aca="false">IF(B285="","",ROW()-2)</f>
        <v>283</v>
      </c>
      <c r="B285" s="17" t="s">
        <v>4015</v>
      </c>
      <c r="C285" s="19"/>
      <c r="D285" s="19"/>
      <c r="E285" s="19"/>
      <c r="F285" s="19" t="s">
        <v>54</v>
      </c>
      <c r="G285" s="18" t="s">
        <v>13</v>
      </c>
      <c r="H285" s="20" t="s">
        <v>4016</v>
      </c>
      <c r="I285" s="21" t="s">
        <v>4017</v>
      </c>
      <c r="J285" s="20" t="s">
        <v>4018</v>
      </c>
      <c r="K285" s="20" t="s">
        <v>4019</v>
      </c>
      <c r="L285" s="20" t="s">
        <v>4020</v>
      </c>
      <c r="M285" s="21" t="s">
        <v>4021</v>
      </c>
      <c r="N285" s="22" t="s">
        <v>4022</v>
      </c>
      <c r="O285" s="21" t="s">
        <v>4017</v>
      </c>
      <c r="P285" s="20" t="s">
        <v>62</v>
      </c>
      <c r="Q285" s="21" t="s">
        <v>63</v>
      </c>
      <c r="R285" s="20" t="s">
        <v>4018</v>
      </c>
      <c r="S285" s="20" t="s">
        <v>4023</v>
      </c>
      <c r="T285" s="20" t="s">
        <v>4024</v>
      </c>
      <c r="U285" s="21" t="s">
        <v>4017</v>
      </c>
      <c r="V285" s="20" t="s">
        <v>62</v>
      </c>
      <c r="W285" s="21" t="s">
        <v>63</v>
      </c>
      <c r="X285" s="20" t="s">
        <v>4018</v>
      </c>
      <c r="Y285" s="20" t="s">
        <v>4023</v>
      </c>
      <c r="Z285" s="20" t="s">
        <v>4024</v>
      </c>
      <c r="AA285" s="23" t="s">
        <v>87</v>
      </c>
      <c r="AB285" s="24" t="str">
        <f aca="false">IF(LEN($C285)&gt;0,COUNT(AB$1:AB284)+1,"")</f>
        <v/>
      </c>
      <c r="AC285" s="24" t="str">
        <f aca="false">IF(LEN($D285)&gt;0,COUNT(AC$1:AC284)+1,"")</f>
        <v/>
      </c>
      <c r="AD285" s="24" t="str">
        <f aca="false">IF(LEN($E285)&gt;0,COUNT(AD$1:AD284)+1,"")</f>
        <v/>
      </c>
      <c r="AE285" s="24" t="n">
        <f aca="false">IF(LEN($F285)&gt;0,COUNT(AE$1:AE284)+1,"")</f>
        <v>19</v>
      </c>
    </row>
    <row r="286" customFormat="false" ht="33.75" hidden="false" customHeight="true" outlineLevel="0" collapsed="false">
      <c r="A286" s="18" t="n">
        <f aca="false">IF(B286="","",ROW()-2)</f>
        <v>284</v>
      </c>
      <c r="B286" s="18" t="s">
        <v>4025</v>
      </c>
      <c r="C286" s="19"/>
      <c r="D286" s="19"/>
      <c r="E286" s="19"/>
      <c r="F286" s="19" t="s">
        <v>54</v>
      </c>
      <c r="G286" s="26" t="s">
        <v>13</v>
      </c>
      <c r="H286" s="20" t="s">
        <v>4026</v>
      </c>
      <c r="I286" s="21" t="s">
        <v>4027</v>
      </c>
      <c r="J286" s="20" t="s">
        <v>4028</v>
      </c>
      <c r="K286" s="20" t="s">
        <v>4029</v>
      </c>
      <c r="L286" s="20" t="s">
        <v>4030</v>
      </c>
      <c r="M286" s="21" t="s">
        <v>4031</v>
      </c>
      <c r="N286" s="22" t="s">
        <v>4032</v>
      </c>
      <c r="O286" s="21" t="s">
        <v>4027</v>
      </c>
      <c r="P286" s="21" t="s">
        <v>79</v>
      </c>
      <c r="Q286" s="21" t="s">
        <v>79</v>
      </c>
      <c r="R286" s="20" t="s">
        <v>4028</v>
      </c>
      <c r="S286" s="20" t="s">
        <v>4033</v>
      </c>
      <c r="T286" s="20" t="s">
        <v>4028</v>
      </c>
      <c r="U286" s="21" t="s">
        <v>4034</v>
      </c>
      <c r="V286" s="21" t="s">
        <v>210</v>
      </c>
      <c r="W286" s="21" t="s">
        <v>2313</v>
      </c>
      <c r="X286" s="20" t="s">
        <v>4035</v>
      </c>
      <c r="Y286" s="20" t="s">
        <v>4036</v>
      </c>
      <c r="Z286" s="20" t="s">
        <v>4035</v>
      </c>
      <c r="AA286" s="27"/>
      <c r="AB286" s="24" t="str">
        <f aca="false">IF(LEN($C286)&gt;0,COUNT(AB$1:AB285)+1,"")</f>
        <v/>
      </c>
      <c r="AC286" s="24" t="str">
        <f aca="false">IF(LEN($D286)&gt;0,COUNT(AC$1:AC285)+1,"")</f>
        <v/>
      </c>
      <c r="AD286" s="24" t="str">
        <f aca="false">IF(LEN($E286)&gt;0,COUNT(AD$1:AD285)+1,"")</f>
        <v/>
      </c>
      <c r="AE286" s="24" t="n">
        <f aca="false">IF(LEN($F286)&gt;0,COUNT(AE$1:AE285)+1,"")</f>
        <v>20</v>
      </c>
    </row>
    <row r="287" customFormat="false" ht="22.5" hidden="false" customHeight="true" outlineLevel="0" collapsed="false">
      <c r="A287" s="18" t="n">
        <f aca="false">IF(B287="","",ROW()-2)</f>
        <v>285</v>
      </c>
      <c r="B287" s="18" t="s">
        <v>4037</v>
      </c>
      <c r="C287" s="19" t="s">
        <v>54</v>
      </c>
      <c r="D287" s="19"/>
      <c r="E287" s="19"/>
      <c r="F287" s="19" t="s">
        <v>54</v>
      </c>
      <c r="G287" s="18" t="s">
        <v>13</v>
      </c>
      <c r="H287" s="20" t="s">
        <v>4038</v>
      </c>
      <c r="I287" s="21" t="s">
        <v>4039</v>
      </c>
      <c r="J287" s="20" t="s">
        <v>4040</v>
      </c>
      <c r="K287" s="20" t="s">
        <v>4041</v>
      </c>
      <c r="L287" s="20" t="s">
        <v>4042</v>
      </c>
      <c r="M287" s="21" t="s">
        <v>4043</v>
      </c>
      <c r="N287" s="25" t="s">
        <v>4044</v>
      </c>
      <c r="O287" s="21" t="s">
        <v>4039</v>
      </c>
      <c r="P287" s="21" t="s">
        <v>121</v>
      </c>
      <c r="Q287" s="21" t="s">
        <v>63</v>
      </c>
      <c r="R287" s="20" t="s">
        <v>4045</v>
      </c>
      <c r="S287" s="20" t="s">
        <v>4046</v>
      </c>
      <c r="T287" s="20" t="s">
        <v>4045</v>
      </c>
      <c r="U287" s="21" t="s">
        <v>4047</v>
      </c>
      <c r="V287" s="21" t="s">
        <v>4048</v>
      </c>
      <c r="W287" s="21" t="s">
        <v>601</v>
      </c>
      <c r="X287" s="20" t="s">
        <v>4049</v>
      </c>
      <c r="Y287" s="20" t="s">
        <v>4046</v>
      </c>
      <c r="Z287" s="20" t="s">
        <v>4049</v>
      </c>
      <c r="AA287" s="23"/>
      <c r="AB287" s="24" t="n">
        <f aca="false">IF(LEN($C287)&gt;0,COUNT(AB$1:AB286)+1,"")</f>
        <v>128</v>
      </c>
      <c r="AC287" s="24" t="str">
        <f aca="false">IF(LEN($D287)&gt;0,COUNT(AC$1:AC286)+1,"")</f>
        <v/>
      </c>
      <c r="AD287" s="24" t="str">
        <f aca="false">IF(LEN($E287)&gt;0,COUNT(AD$1:AD286)+1,"")</f>
        <v/>
      </c>
      <c r="AE287" s="24" t="n">
        <f aca="false">IF(LEN($F287)&gt;0,COUNT(AE$1:AE286)+1,"")</f>
        <v>21</v>
      </c>
    </row>
    <row r="288" customFormat="false" ht="22.5" hidden="false" customHeight="true" outlineLevel="0" collapsed="false">
      <c r="A288" s="18" t="n">
        <f aca="false">IF(B288="","",ROW()-2)</f>
        <v>286</v>
      </c>
      <c r="B288" s="18" t="s">
        <v>4050</v>
      </c>
      <c r="C288" s="19"/>
      <c r="D288" s="19"/>
      <c r="E288" s="19"/>
      <c r="F288" s="19" t="s">
        <v>54</v>
      </c>
      <c r="G288" s="18" t="s">
        <v>14</v>
      </c>
      <c r="H288" s="20" t="s">
        <v>4051</v>
      </c>
      <c r="I288" s="21" t="s">
        <v>4052</v>
      </c>
      <c r="J288" s="20" t="s">
        <v>4053</v>
      </c>
      <c r="K288" s="20" t="s">
        <v>4054</v>
      </c>
      <c r="L288" s="20" t="s">
        <v>4055</v>
      </c>
      <c r="M288" s="21" t="s">
        <v>4056</v>
      </c>
      <c r="N288" s="22" t="s">
        <v>4057</v>
      </c>
      <c r="O288" s="21" t="s">
        <v>4058</v>
      </c>
      <c r="P288" s="20" t="s">
        <v>4059</v>
      </c>
      <c r="Q288" s="21" t="s">
        <v>2025</v>
      </c>
      <c r="R288" s="20" t="s">
        <v>4053</v>
      </c>
      <c r="S288" s="20" t="s">
        <v>4060</v>
      </c>
      <c r="T288" s="20" t="s">
        <v>4061</v>
      </c>
      <c r="U288" s="21" t="s">
        <v>4062</v>
      </c>
      <c r="V288" s="20" t="s">
        <v>4059</v>
      </c>
      <c r="W288" s="21" t="s">
        <v>4063</v>
      </c>
      <c r="X288" s="20" t="s">
        <v>4064</v>
      </c>
      <c r="Y288" s="20" t="s">
        <v>4065</v>
      </c>
      <c r="Z288" s="20" t="s">
        <v>4066</v>
      </c>
      <c r="AA288" s="23"/>
      <c r="AB288" s="24" t="str">
        <f aca="false">IF(LEN($C288)&gt;0,COUNT(AB$1:AB287)+1,"")</f>
        <v/>
      </c>
      <c r="AC288" s="24" t="str">
        <f aca="false">IF(LEN($D288)&gt;0,COUNT(AC$1:AC287)+1,"")</f>
        <v/>
      </c>
      <c r="AD288" s="24" t="str">
        <f aca="false">IF(LEN($E288)&gt;0,COUNT(AD$1:AD287)+1,"")</f>
        <v/>
      </c>
      <c r="AE288" s="24" t="n">
        <f aca="false">IF(LEN($F288)&gt;0,COUNT(AE$1:AE287)+1,"")</f>
        <v>22</v>
      </c>
    </row>
    <row r="289" customFormat="false" ht="22.5" hidden="false" customHeight="true" outlineLevel="0" collapsed="false">
      <c r="A289" s="18" t="n">
        <f aca="false">IF(B289="","",ROW()-2)</f>
        <v>287</v>
      </c>
      <c r="B289" s="18" t="s">
        <v>4067</v>
      </c>
      <c r="C289" s="19"/>
      <c r="D289" s="19"/>
      <c r="E289" s="19"/>
      <c r="F289" s="19" t="s">
        <v>54</v>
      </c>
      <c r="G289" s="18" t="s">
        <v>14</v>
      </c>
      <c r="H289" s="20" t="s">
        <v>4068</v>
      </c>
      <c r="I289" s="21" t="s">
        <v>4069</v>
      </c>
      <c r="J289" s="21" t="n">
        <v>182</v>
      </c>
      <c r="K289" s="20" t="s">
        <v>4070</v>
      </c>
      <c r="L289" s="20" t="s">
        <v>4071</v>
      </c>
      <c r="M289" s="21" t="s">
        <v>4072</v>
      </c>
      <c r="N289" s="22" t="s">
        <v>4073</v>
      </c>
      <c r="O289" s="21" t="s">
        <v>4074</v>
      </c>
      <c r="P289" s="21" t="s">
        <v>4075</v>
      </c>
      <c r="Q289" s="21" t="s">
        <v>4076</v>
      </c>
      <c r="R289" s="20" t="s">
        <v>4077</v>
      </c>
      <c r="S289" s="20" t="s">
        <v>4078</v>
      </c>
      <c r="T289" s="20" t="s">
        <v>4079</v>
      </c>
      <c r="U289" s="21" t="s">
        <v>4080</v>
      </c>
      <c r="V289" s="21" t="s">
        <v>4081</v>
      </c>
      <c r="W289" s="21" t="s">
        <v>4082</v>
      </c>
      <c r="X289" s="20" t="s">
        <v>4083</v>
      </c>
      <c r="Y289" s="20" t="s">
        <v>4084</v>
      </c>
      <c r="Z289" s="20" t="s">
        <v>4085</v>
      </c>
      <c r="AA289" s="23"/>
      <c r="AB289" s="24" t="str">
        <f aca="false">IF(LEN($C289)&gt;0,COUNT(AB$1:AB288)+1,"")</f>
        <v/>
      </c>
      <c r="AC289" s="24" t="str">
        <f aca="false">IF(LEN($D289)&gt;0,COUNT(AC$1:AC288)+1,"")</f>
        <v/>
      </c>
      <c r="AD289" s="24" t="str">
        <f aca="false">IF(LEN($E289)&gt;0,COUNT(AD$1:AD288)+1,"")</f>
        <v/>
      </c>
      <c r="AE289" s="24" t="n">
        <f aca="false">IF(LEN($F289)&gt;0,COUNT(AE$1:AE288)+1,"")</f>
        <v>23</v>
      </c>
    </row>
    <row r="290" customFormat="false" ht="47.25" hidden="false" customHeight="true" outlineLevel="0" collapsed="false">
      <c r="A290" s="18" t="n">
        <f aca="false">IF(B290="","",ROW()-2)</f>
        <v>288</v>
      </c>
      <c r="B290" s="18" t="s">
        <v>4086</v>
      </c>
      <c r="C290" s="19"/>
      <c r="D290" s="19"/>
      <c r="E290" s="19"/>
      <c r="F290" s="19" t="s">
        <v>54</v>
      </c>
      <c r="G290" s="18" t="s">
        <v>13</v>
      </c>
      <c r="H290" s="20" t="s">
        <v>4087</v>
      </c>
      <c r="I290" s="21" t="s">
        <v>4088</v>
      </c>
      <c r="J290" s="20" t="s">
        <v>4089</v>
      </c>
      <c r="K290" s="20" t="s">
        <v>4090</v>
      </c>
      <c r="L290" s="21"/>
      <c r="M290" s="21" t="s">
        <v>4091</v>
      </c>
      <c r="N290" s="22" t="s">
        <v>4092</v>
      </c>
      <c r="O290" s="21" t="s">
        <v>4093</v>
      </c>
      <c r="P290" s="21" t="s">
        <v>1504</v>
      </c>
      <c r="Q290" s="21" t="s">
        <v>1313</v>
      </c>
      <c r="R290" s="20" t="s">
        <v>4094</v>
      </c>
      <c r="S290" s="20" t="s">
        <v>4095</v>
      </c>
      <c r="T290" s="20" t="s">
        <v>4094</v>
      </c>
      <c r="U290" s="21" t="s">
        <v>4093</v>
      </c>
      <c r="V290" s="21" t="s">
        <v>1504</v>
      </c>
      <c r="W290" s="21" t="s">
        <v>1313</v>
      </c>
      <c r="X290" s="20" t="s">
        <v>4094</v>
      </c>
      <c r="Y290" s="20" t="s">
        <v>4095</v>
      </c>
      <c r="Z290" s="20" t="s">
        <v>4094</v>
      </c>
      <c r="AA290" s="23"/>
      <c r="AB290" s="24" t="str">
        <f aca="false">IF(LEN($C290)&gt;0,COUNT(AB$1:AB289)+1,"")</f>
        <v/>
      </c>
      <c r="AC290" s="24" t="str">
        <f aca="false">IF(LEN($D290)&gt;0,COUNT(AC$1:AC289)+1,"")</f>
        <v/>
      </c>
      <c r="AD290" s="24" t="str">
        <f aca="false">IF(LEN($E290)&gt;0,COUNT(AD$1:AD289)+1,"")</f>
        <v/>
      </c>
      <c r="AE290" s="24" t="n">
        <f aca="false">IF(LEN($F290)&gt;0,COUNT(AE$1:AE289)+1,"")</f>
        <v>24</v>
      </c>
    </row>
    <row r="291" customFormat="false" ht="22.5" hidden="false" customHeight="true" outlineLevel="0" collapsed="false">
      <c r="A291" s="18" t="n">
        <f aca="false">IF(B291="","",ROW()-2)</f>
        <v>289</v>
      </c>
      <c r="B291" s="18" t="s">
        <v>4096</v>
      </c>
      <c r="C291" s="19"/>
      <c r="D291" s="19"/>
      <c r="E291" s="19"/>
      <c r="F291" s="19" t="s">
        <v>54</v>
      </c>
      <c r="G291" s="18" t="s">
        <v>15</v>
      </c>
      <c r="H291" s="21" t="s">
        <v>4097</v>
      </c>
      <c r="I291" s="21" t="s">
        <v>4097</v>
      </c>
      <c r="J291" s="20" t="s">
        <v>4098</v>
      </c>
      <c r="K291" s="20" t="s">
        <v>4099</v>
      </c>
      <c r="L291" s="21"/>
      <c r="M291" s="21" t="s">
        <v>4100</v>
      </c>
      <c r="N291" s="22" t="s">
        <v>4101</v>
      </c>
      <c r="O291" s="21" t="s">
        <v>4102</v>
      </c>
      <c r="P291" s="21" t="s">
        <v>4103</v>
      </c>
      <c r="Q291" s="21" t="s">
        <v>4104</v>
      </c>
      <c r="R291" s="20" t="s">
        <v>4105</v>
      </c>
      <c r="S291" s="20" t="s">
        <v>4106</v>
      </c>
      <c r="T291" s="20" t="s">
        <v>4105</v>
      </c>
      <c r="U291" s="21" t="s">
        <v>4107</v>
      </c>
      <c r="V291" s="21" t="s">
        <v>4107</v>
      </c>
      <c r="W291" s="21" t="s">
        <v>4107</v>
      </c>
      <c r="X291" s="31" t="s">
        <v>4107</v>
      </c>
      <c r="Y291" s="21" t="s">
        <v>4107</v>
      </c>
      <c r="Z291" s="31" t="s">
        <v>4107</v>
      </c>
      <c r="AA291" s="23"/>
      <c r="AB291" s="24" t="str">
        <f aca="false">IF(LEN($C291)&gt;0,COUNT(AB$1:AB290)+1,"")</f>
        <v/>
      </c>
      <c r="AC291" s="24" t="str">
        <f aca="false">IF(LEN($D291)&gt;0,COUNT(AC$1:AC290)+1,"")</f>
        <v/>
      </c>
      <c r="AD291" s="24" t="str">
        <f aca="false">IF(LEN($E291)&gt;0,COUNT(AD$1:AD290)+1,"")</f>
        <v/>
      </c>
      <c r="AE291" s="24" t="n">
        <f aca="false">IF(LEN($F291)&gt;0,COUNT(AE$1:AE290)+1,"")</f>
        <v>25</v>
      </c>
    </row>
    <row r="292" customFormat="false" ht="22.5" hidden="false" customHeight="true" outlineLevel="0" collapsed="false">
      <c r="A292" s="18" t="n">
        <f aca="false">IF(B292="","",ROW()-2)</f>
        <v>290</v>
      </c>
      <c r="B292" s="18" t="s">
        <v>4108</v>
      </c>
      <c r="C292" s="19"/>
      <c r="D292" s="19"/>
      <c r="E292" s="19"/>
      <c r="F292" s="19" t="s">
        <v>54</v>
      </c>
      <c r="G292" s="18" t="s">
        <v>15</v>
      </c>
      <c r="H292" s="20" t="s">
        <v>4109</v>
      </c>
      <c r="I292" s="21" t="s">
        <v>4110</v>
      </c>
      <c r="J292" s="20" t="s">
        <v>4111</v>
      </c>
      <c r="K292" s="20" t="s">
        <v>4112</v>
      </c>
      <c r="L292" s="21"/>
      <c r="M292" s="21" t="s">
        <v>4113</v>
      </c>
      <c r="N292" s="25" t="s">
        <v>4114</v>
      </c>
      <c r="O292" s="21" t="s">
        <v>4110</v>
      </c>
      <c r="P292" s="21" t="s">
        <v>4115</v>
      </c>
      <c r="Q292" s="21" t="s">
        <v>4116</v>
      </c>
      <c r="R292" s="20" t="s">
        <v>4111</v>
      </c>
      <c r="S292" s="20" t="s">
        <v>4117</v>
      </c>
      <c r="T292" s="28" t="s">
        <v>4118</v>
      </c>
      <c r="U292" s="21" t="s">
        <v>4119</v>
      </c>
      <c r="V292" s="21" t="s">
        <v>4120</v>
      </c>
      <c r="W292" s="21" t="s">
        <v>2339</v>
      </c>
      <c r="X292" s="20" t="s">
        <v>4111</v>
      </c>
      <c r="Y292" s="20" t="s">
        <v>4121</v>
      </c>
      <c r="Z292" s="20" t="s">
        <v>4122</v>
      </c>
      <c r="AA292" s="23"/>
      <c r="AB292" s="24" t="str">
        <f aca="false">IF(LEN($C292)&gt;0,COUNT(AB$1:AB291)+1,"")</f>
        <v/>
      </c>
      <c r="AC292" s="24" t="str">
        <f aca="false">IF(LEN($D292)&gt;0,COUNT(AC$1:AC291)+1,"")</f>
        <v/>
      </c>
      <c r="AD292" s="24" t="str">
        <f aca="false">IF(LEN($E292)&gt;0,COUNT(AD$1:AD291)+1,"")</f>
        <v/>
      </c>
      <c r="AE292" s="24" t="n">
        <f aca="false">IF(LEN($F292)&gt;0,COUNT(AE$1:AE291)+1,"")</f>
        <v>26</v>
      </c>
    </row>
    <row r="293" customFormat="false" ht="74.25" hidden="false" customHeight="true" outlineLevel="0" collapsed="false">
      <c r="A293" s="18" t="n">
        <f aca="false">IF(B293="","",ROW()-2)</f>
        <v>291</v>
      </c>
      <c r="B293" s="18" t="s">
        <v>4123</v>
      </c>
      <c r="C293" s="19"/>
      <c r="D293" s="19"/>
      <c r="E293" s="19"/>
      <c r="F293" s="19" t="s">
        <v>54</v>
      </c>
      <c r="G293" s="18" t="s">
        <v>13</v>
      </c>
      <c r="H293" s="20" t="s">
        <v>4124</v>
      </c>
      <c r="I293" s="21" t="s">
        <v>4125</v>
      </c>
      <c r="J293" s="20" t="s">
        <v>4126</v>
      </c>
      <c r="K293" s="20" t="s">
        <v>4127</v>
      </c>
      <c r="L293" s="21"/>
      <c r="M293" s="21" t="s">
        <v>4128</v>
      </c>
      <c r="N293" s="22" t="s">
        <v>4129</v>
      </c>
      <c r="O293" s="21" t="s">
        <v>4130</v>
      </c>
      <c r="P293" s="21" t="s">
        <v>2442</v>
      </c>
      <c r="Q293" s="20" t="s">
        <v>1456</v>
      </c>
      <c r="R293" s="20" t="s">
        <v>4131</v>
      </c>
      <c r="S293" s="20" t="s">
        <v>4132</v>
      </c>
      <c r="T293" s="20" t="s">
        <v>4131</v>
      </c>
      <c r="U293" s="21" t="s">
        <v>4133</v>
      </c>
      <c r="V293" s="21" t="s">
        <v>2442</v>
      </c>
      <c r="W293" s="20" t="s">
        <v>4134</v>
      </c>
      <c r="X293" s="20" t="s">
        <v>4135</v>
      </c>
      <c r="Y293" s="20" t="s">
        <v>4136</v>
      </c>
      <c r="Z293" s="20" t="s">
        <v>4135</v>
      </c>
      <c r="AA293" s="23" t="s">
        <v>87</v>
      </c>
      <c r="AB293" s="24" t="str">
        <f aca="false">IF(LEN($C293)&gt;0,COUNT(AB$1:AB292)+1,"")</f>
        <v/>
      </c>
      <c r="AC293" s="24" t="str">
        <f aca="false">IF(LEN($D293)&gt;0,COUNT(AC$1:AC292)+1,"")</f>
        <v/>
      </c>
      <c r="AD293" s="24" t="str">
        <f aca="false">IF(LEN($E293)&gt;0,COUNT(AD$1:AD292)+1,"")</f>
        <v/>
      </c>
      <c r="AE293" s="24" t="n">
        <f aca="false">IF(LEN($F293)&gt;0,COUNT(AE$1:AE292)+1,"")</f>
        <v>27</v>
      </c>
    </row>
    <row r="294" customFormat="false" ht="22.5" hidden="false" customHeight="true" outlineLevel="0" collapsed="false">
      <c r="A294" s="18" t="n">
        <f aca="false">IF(B294="","",ROW()-2)</f>
        <v>292</v>
      </c>
      <c r="B294" s="18" t="s">
        <v>2996</v>
      </c>
      <c r="C294" s="19"/>
      <c r="D294" s="19"/>
      <c r="E294" s="19"/>
      <c r="F294" s="19" t="s">
        <v>54</v>
      </c>
      <c r="G294" s="18" t="s">
        <v>13</v>
      </c>
      <c r="H294" s="20" t="s">
        <v>2997</v>
      </c>
      <c r="I294" s="21" t="s">
        <v>4137</v>
      </c>
      <c r="J294" s="20" t="s">
        <v>2999</v>
      </c>
      <c r="K294" s="20" t="s">
        <v>4138</v>
      </c>
      <c r="L294" s="21"/>
      <c r="M294" s="21" t="s">
        <v>4139</v>
      </c>
      <c r="N294" s="22" t="s">
        <v>4140</v>
      </c>
      <c r="O294" s="21" t="s">
        <v>4141</v>
      </c>
      <c r="P294" s="21" t="s">
        <v>4142</v>
      </c>
      <c r="Q294" s="21" t="s">
        <v>3637</v>
      </c>
      <c r="R294" s="20" t="s">
        <v>4143</v>
      </c>
      <c r="S294" s="20" t="s">
        <v>4144</v>
      </c>
      <c r="T294" s="20" t="s">
        <v>4145</v>
      </c>
      <c r="U294" s="21" t="s">
        <v>4141</v>
      </c>
      <c r="V294" s="21" t="s">
        <v>4142</v>
      </c>
      <c r="W294" s="21" t="s">
        <v>3637</v>
      </c>
      <c r="X294" s="20" t="s">
        <v>4143</v>
      </c>
      <c r="Y294" s="20" t="s">
        <v>4146</v>
      </c>
      <c r="Z294" s="20" t="s">
        <v>4145</v>
      </c>
      <c r="AA294" s="23"/>
      <c r="AB294" s="24" t="str">
        <f aca="false">IF(LEN($C294)&gt;0,COUNT(AB$1:AB293)+1,"")</f>
        <v/>
      </c>
      <c r="AC294" s="24" t="str">
        <f aca="false">IF(LEN($D294)&gt;0,COUNT(AC$1:AC293)+1,"")</f>
        <v/>
      </c>
      <c r="AD294" s="24" t="str">
        <f aca="false">IF(LEN($E294)&gt;0,COUNT(AD$1:AD293)+1,"")</f>
        <v/>
      </c>
      <c r="AE294" s="24" t="n">
        <f aca="false">IF(LEN($F294)&gt;0,COUNT(AE$1:AE293)+1,"")</f>
        <v>28</v>
      </c>
    </row>
    <row r="295" customFormat="false" ht="33.75" hidden="false" customHeight="true" outlineLevel="0" collapsed="false">
      <c r="A295" s="18" t="n">
        <f aca="false">IF(B295="","",ROW()-2)</f>
        <v>293</v>
      </c>
      <c r="B295" s="18" t="s">
        <v>4147</v>
      </c>
      <c r="C295" s="19"/>
      <c r="D295" s="19"/>
      <c r="E295" s="19"/>
      <c r="F295" s="19" t="s">
        <v>54</v>
      </c>
      <c r="G295" s="18" t="s">
        <v>13</v>
      </c>
      <c r="H295" s="20" t="s">
        <v>4148</v>
      </c>
      <c r="I295" s="21" t="s">
        <v>4149</v>
      </c>
      <c r="J295" s="20" t="s">
        <v>4150</v>
      </c>
      <c r="K295" s="20" t="s">
        <v>4151</v>
      </c>
      <c r="L295" s="21"/>
      <c r="M295" s="21" t="s">
        <v>4152</v>
      </c>
      <c r="N295" s="22" t="s">
        <v>4153</v>
      </c>
      <c r="O295" s="21" t="s">
        <v>4154</v>
      </c>
      <c r="P295" s="20" t="s">
        <v>1735</v>
      </c>
      <c r="Q295" s="21" t="s">
        <v>2184</v>
      </c>
      <c r="R295" s="20" t="s">
        <v>4155</v>
      </c>
      <c r="S295" s="20" t="s">
        <v>4156</v>
      </c>
      <c r="T295" s="20" t="s">
        <v>4157</v>
      </c>
      <c r="U295" s="21" t="s">
        <v>4158</v>
      </c>
      <c r="V295" s="20" t="s">
        <v>4159</v>
      </c>
      <c r="W295" s="21" t="s">
        <v>519</v>
      </c>
      <c r="X295" s="20" t="s">
        <v>4155</v>
      </c>
      <c r="Y295" s="20" t="s">
        <v>4160</v>
      </c>
      <c r="Z295" s="20" t="s">
        <v>4161</v>
      </c>
      <c r="AA295" s="23"/>
      <c r="AB295" s="24" t="str">
        <f aca="false">IF(LEN($C295)&gt;0,COUNT(AB$1:AB294)+1,"")</f>
        <v/>
      </c>
      <c r="AC295" s="24" t="str">
        <f aca="false">IF(LEN($D295)&gt;0,COUNT(AC$1:AC294)+1,"")</f>
        <v/>
      </c>
      <c r="AD295" s="24" t="str">
        <f aca="false">IF(LEN($E295)&gt;0,COUNT(AD$1:AD294)+1,"")</f>
        <v/>
      </c>
      <c r="AE295" s="24" t="n">
        <f aca="false">IF(LEN($F295)&gt;0,COUNT(AE$1:AE294)+1,"")</f>
        <v>29</v>
      </c>
    </row>
    <row r="296" customFormat="false" ht="22.5" hidden="false" customHeight="true" outlineLevel="0" collapsed="false">
      <c r="A296" s="18" t="n">
        <f aca="false">IF(B296="","",ROW()-2)</f>
        <v>294</v>
      </c>
      <c r="B296" s="17" t="s">
        <v>4162</v>
      </c>
      <c r="C296" s="19"/>
      <c r="D296" s="19"/>
      <c r="E296" s="19"/>
      <c r="F296" s="19" t="s">
        <v>54</v>
      </c>
      <c r="G296" s="18" t="s">
        <v>13</v>
      </c>
      <c r="H296" s="20" t="s">
        <v>4163</v>
      </c>
      <c r="I296" s="21" t="s">
        <v>4164</v>
      </c>
      <c r="J296" s="20" t="s">
        <v>4165</v>
      </c>
      <c r="K296" s="20" t="s">
        <v>4166</v>
      </c>
      <c r="L296" s="21"/>
      <c r="M296" s="21" t="s">
        <v>4167</v>
      </c>
      <c r="N296" s="22" t="s">
        <v>4168</v>
      </c>
      <c r="O296" s="21" t="s">
        <v>4164</v>
      </c>
      <c r="P296" s="21" t="s">
        <v>2753</v>
      </c>
      <c r="Q296" s="20" t="s">
        <v>286</v>
      </c>
      <c r="R296" s="20" t="s">
        <v>4165</v>
      </c>
      <c r="S296" s="20" t="s">
        <v>4169</v>
      </c>
      <c r="T296" s="20" t="s">
        <v>4165</v>
      </c>
      <c r="U296" s="21" t="s">
        <v>4170</v>
      </c>
      <c r="V296" s="20" t="s">
        <v>886</v>
      </c>
      <c r="W296" s="20" t="s">
        <v>4171</v>
      </c>
      <c r="X296" s="20" t="s">
        <v>4172</v>
      </c>
      <c r="Y296" s="20" t="s">
        <v>4173</v>
      </c>
      <c r="Z296" s="20" t="s">
        <v>4172</v>
      </c>
      <c r="AA296" s="23"/>
      <c r="AB296" s="24" t="str">
        <f aca="false">IF(LEN($C296)&gt;0,COUNT(AB$1:AB295)+1,"")</f>
        <v/>
      </c>
      <c r="AC296" s="24" t="str">
        <f aca="false">IF(LEN($D296)&gt;0,COUNT(AC$1:AC295)+1,"")</f>
        <v/>
      </c>
      <c r="AD296" s="24" t="str">
        <f aca="false">IF(LEN($E296)&gt;0,COUNT(AD$1:AD295)+1,"")</f>
        <v/>
      </c>
      <c r="AE296" s="24" t="n">
        <f aca="false">IF(LEN($F296)&gt;0,COUNT(AE$1:AE295)+1,"")</f>
        <v>30</v>
      </c>
    </row>
    <row r="297" customFormat="false" ht="22.5" hidden="false" customHeight="true" outlineLevel="0" collapsed="false">
      <c r="A297" s="18" t="n">
        <f aca="false">IF(B297="","",ROW()-2)</f>
        <v>295</v>
      </c>
      <c r="B297" s="18" t="s">
        <v>4174</v>
      </c>
      <c r="C297" s="19"/>
      <c r="D297" s="19"/>
      <c r="E297" s="19"/>
      <c r="F297" s="19" t="s">
        <v>54</v>
      </c>
      <c r="G297" s="18" t="s">
        <v>13</v>
      </c>
      <c r="H297" s="20" t="s">
        <v>4175</v>
      </c>
      <c r="I297" s="21" t="s">
        <v>4176</v>
      </c>
      <c r="J297" s="20" t="s">
        <v>4177</v>
      </c>
      <c r="K297" s="20" t="s">
        <v>4178</v>
      </c>
      <c r="L297" s="20" t="s">
        <v>4179</v>
      </c>
      <c r="M297" s="21" t="s">
        <v>4180</v>
      </c>
      <c r="N297" s="22" t="s">
        <v>4181</v>
      </c>
      <c r="O297" s="21" t="s">
        <v>4182</v>
      </c>
      <c r="P297" s="20" t="s">
        <v>62</v>
      </c>
      <c r="Q297" s="21" t="s">
        <v>79</v>
      </c>
      <c r="R297" s="20" t="s">
        <v>4183</v>
      </c>
      <c r="S297" s="20" t="s">
        <v>4184</v>
      </c>
      <c r="T297" s="20" t="s">
        <v>4183</v>
      </c>
      <c r="U297" s="21" t="s">
        <v>4185</v>
      </c>
      <c r="V297" s="21" t="s">
        <v>4186</v>
      </c>
      <c r="W297" s="21" t="s">
        <v>4187</v>
      </c>
      <c r="X297" s="20" t="s">
        <v>4188</v>
      </c>
      <c r="Y297" s="20" t="s">
        <v>4179</v>
      </c>
      <c r="Z297" s="20" t="s">
        <v>4188</v>
      </c>
      <c r="AA297" s="23"/>
      <c r="AB297" s="24" t="str">
        <f aca="false">IF(LEN($C297)&gt;0,COUNT(AB$1:AB296)+1,"")</f>
        <v/>
      </c>
      <c r="AC297" s="24" t="str">
        <f aca="false">IF(LEN($D297)&gt;0,COUNT(AC$1:AC296)+1,"")</f>
        <v/>
      </c>
      <c r="AD297" s="24" t="str">
        <f aca="false">IF(LEN($E297)&gt;0,COUNT(AD$1:AD296)+1,"")</f>
        <v/>
      </c>
      <c r="AE297" s="24" t="n">
        <f aca="false">IF(LEN($F297)&gt;0,COUNT(AE$1:AE296)+1,"")</f>
        <v>31</v>
      </c>
    </row>
    <row r="298" customFormat="false" ht="22.5" hidden="false" customHeight="true" outlineLevel="0" collapsed="false">
      <c r="A298" s="18" t="n">
        <f aca="false">IF(B298="","",ROW()-2)</f>
        <v>296</v>
      </c>
      <c r="B298" s="18" t="s">
        <v>4189</v>
      </c>
      <c r="C298" s="19"/>
      <c r="D298" s="19"/>
      <c r="E298" s="19"/>
      <c r="F298" s="19" t="s">
        <v>54</v>
      </c>
      <c r="G298" s="18" t="s">
        <v>15</v>
      </c>
      <c r="H298" s="20" t="s">
        <v>4190</v>
      </c>
      <c r="I298" s="21" t="s">
        <v>4191</v>
      </c>
      <c r="J298" s="20" t="s">
        <v>4192</v>
      </c>
      <c r="K298" s="20" t="s">
        <v>4193</v>
      </c>
      <c r="L298" s="20" t="s">
        <v>4194</v>
      </c>
      <c r="M298" s="21" t="s">
        <v>4195</v>
      </c>
      <c r="N298" s="22" t="s">
        <v>4196</v>
      </c>
      <c r="O298" s="21" t="s">
        <v>4197</v>
      </c>
      <c r="P298" s="21" t="s">
        <v>4198</v>
      </c>
      <c r="Q298" s="21" t="s">
        <v>4199</v>
      </c>
      <c r="R298" s="20" t="s">
        <v>4200</v>
      </c>
      <c r="S298" s="20" t="s">
        <v>4194</v>
      </c>
      <c r="T298" s="20" t="s">
        <v>4200</v>
      </c>
      <c r="U298" s="21" t="s">
        <v>4197</v>
      </c>
      <c r="V298" s="21" t="s">
        <v>4198</v>
      </c>
      <c r="W298" s="21" t="s">
        <v>4199</v>
      </c>
      <c r="X298" s="31" t="s">
        <v>4197</v>
      </c>
      <c r="Y298" s="20" t="s">
        <v>4194</v>
      </c>
      <c r="Z298" s="20" t="s">
        <v>4200</v>
      </c>
      <c r="AA298" s="23"/>
      <c r="AB298" s="24" t="str">
        <f aca="false">IF(LEN($C298)&gt;0,COUNT(AB$1:AB297)+1,"")</f>
        <v/>
      </c>
      <c r="AC298" s="24" t="str">
        <f aca="false">IF(LEN($D298)&gt;0,COUNT(AC$1:AC297)+1,"")</f>
        <v/>
      </c>
      <c r="AD298" s="24" t="str">
        <f aca="false">IF(LEN($E298)&gt;0,COUNT(AD$1:AD297)+1,"")</f>
        <v/>
      </c>
      <c r="AE298" s="24" t="n">
        <f aca="false">IF(LEN($F298)&gt;0,COUNT(AE$1:AE297)+1,"")</f>
        <v>32</v>
      </c>
    </row>
    <row r="299" customFormat="false" ht="22.5" hidden="false" customHeight="true" outlineLevel="0" collapsed="false">
      <c r="A299" s="18" t="n">
        <f aca="false">IF(B299="","",ROW()-2)</f>
        <v>297</v>
      </c>
      <c r="B299" s="18" t="s">
        <v>4201</v>
      </c>
      <c r="C299" s="19"/>
      <c r="D299" s="19"/>
      <c r="E299" s="19"/>
      <c r="F299" s="19" t="s">
        <v>54</v>
      </c>
      <c r="G299" s="18" t="s">
        <v>14</v>
      </c>
      <c r="H299" s="20" t="s">
        <v>4202</v>
      </c>
      <c r="I299" s="21" t="s">
        <v>4203</v>
      </c>
      <c r="J299" s="20" t="s">
        <v>4204</v>
      </c>
      <c r="K299" s="20" t="s">
        <v>4205</v>
      </c>
      <c r="L299" s="20" t="s">
        <v>4206</v>
      </c>
      <c r="M299" s="20" t="s">
        <v>4207</v>
      </c>
      <c r="N299" s="22" t="s">
        <v>4208</v>
      </c>
      <c r="O299" s="21" t="s">
        <v>4209</v>
      </c>
      <c r="P299" s="21" t="s">
        <v>4210</v>
      </c>
      <c r="Q299" s="21" t="s">
        <v>1313</v>
      </c>
      <c r="R299" s="20" t="s">
        <v>4211</v>
      </c>
      <c r="S299" s="20" t="s">
        <v>4212</v>
      </c>
      <c r="T299" s="20" t="s">
        <v>4213</v>
      </c>
      <c r="U299" s="21" t="s">
        <v>4214</v>
      </c>
      <c r="V299" s="21" t="s">
        <v>4210</v>
      </c>
      <c r="W299" s="21" t="s">
        <v>4215</v>
      </c>
      <c r="X299" s="20" t="s">
        <v>4216</v>
      </c>
      <c r="Y299" s="20" t="s">
        <v>4217</v>
      </c>
      <c r="Z299" s="20" t="s">
        <v>4218</v>
      </c>
      <c r="AA299" s="23"/>
      <c r="AB299" s="24" t="str">
        <f aca="false">IF(LEN($C299)&gt;0,COUNT(AB$1:AB298)+1,"")</f>
        <v/>
      </c>
      <c r="AC299" s="24" t="str">
        <f aca="false">IF(LEN($D299)&gt;0,COUNT(AC$1:AC298)+1,"")</f>
        <v/>
      </c>
      <c r="AD299" s="24" t="str">
        <f aca="false">IF(LEN($E299)&gt;0,COUNT(AD$1:AD298)+1,"")</f>
        <v/>
      </c>
      <c r="AE299" s="24" t="n">
        <f aca="false">IF(LEN($F299)&gt;0,COUNT(AE$1:AE298)+1,"")</f>
        <v>33</v>
      </c>
    </row>
    <row r="300" customFormat="false" ht="47.25" hidden="false" customHeight="true" outlineLevel="0" collapsed="false">
      <c r="A300" s="18" t="n">
        <f aca="false">IF(B300="","",ROW()-2)</f>
        <v>298</v>
      </c>
      <c r="B300" s="18" t="s">
        <v>4219</v>
      </c>
      <c r="C300" s="19"/>
      <c r="D300" s="19"/>
      <c r="E300" s="19"/>
      <c r="F300" s="19" t="s">
        <v>54</v>
      </c>
      <c r="G300" s="18" t="s">
        <v>13</v>
      </c>
      <c r="H300" s="20" t="s">
        <v>4220</v>
      </c>
      <c r="I300" s="21" t="s">
        <v>4221</v>
      </c>
      <c r="J300" s="20" t="s">
        <v>4222</v>
      </c>
      <c r="K300" s="20" t="s">
        <v>4223</v>
      </c>
      <c r="L300" s="20" t="s">
        <v>4224</v>
      </c>
      <c r="M300" s="21" t="s">
        <v>4225</v>
      </c>
      <c r="N300" s="22" t="s">
        <v>4226</v>
      </c>
      <c r="O300" s="21" t="s">
        <v>4227</v>
      </c>
      <c r="P300" s="20" t="s">
        <v>4228</v>
      </c>
      <c r="Q300" s="20" t="s">
        <v>1456</v>
      </c>
      <c r="R300" s="20" t="s">
        <v>4229</v>
      </c>
      <c r="S300" s="20" t="s">
        <v>4230</v>
      </c>
      <c r="T300" s="20" t="s">
        <v>4229</v>
      </c>
      <c r="U300" s="21" t="s">
        <v>4231</v>
      </c>
      <c r="V300" s="20" t="s">
        <v>4232</v>
      </c>
      <c r="W300" s="20" t="s">
        <v>4233</v>
      </c>
      <c r="X300" s="20" t="s">
        <v>4234</v>
      </c>
      <c r="Y300" s="20" t="s">
        <v>4224</v>
      </c>
      <c r="Z300" s="20" t="s">
        <v>4234</v>
      </c>
      <c r="AA300" s="23"/>
      <c r="AB300" s="24" t="str">
        <f aca="false">IF(LEN($C300)&gt;0,COUNT(AB$1:AB299)+1,"")</f>
        <v/>
      </c>
      <c r="AC300" s="24" t="str">
        <f aca="false">IF(LEN($D300)&gt;0,COUNT(AC$1:AC299)+1,"")</f>
        <v/>
      </c>
      <c r="AD300" s="24" t="str">
        <f aca="false">IF(LEN($E300)&gt;0,COUNT(AD$1:AD299)+1,"")</f>
        <v/>
      </c>
      <c r="AE300" s="24" t="n">
        <f aca="false">IF(LEN($F300)&gt;0,COUNT(AE$1:AE299)+1,"")</f>
        <v>34</v>
      </c>
    </row>
    <row r="301" customFormat="false" ht="22.5" hidden="false" customHeight="true" outlineLevel="0" collapsed="false">
      <c r="A301" s="18" t="n">
        <f aca="false">IF(B301="","",ROW()-2)</f>
        <v>299</v>
      </c>
      <c r="B301" s="18" t="s">
        <v>4235</v>
      </c>
      <c r="C301" s="19" t="s">
        <v>54</v>
      </c>
      <c r="D301" s="19"/>
      <c r="E301" s="19"/>
      <c r="F301" s="19" t="s">
        <v>54</v>
      </c>
      <c r="G301" s="26" t="s">
        <v>16</v>
      </c>
      <c r="H301" s="20" t="s">
        <v>4236</v>
      </c>
      <c r="I301" s="21" t="s">
        <v>4237</v>
      </c>
      <c r="J301" s="20" t="s">
        <v>4238</v>
      </c>
      <c r="K301" s="20" t="s">
        <v>4239</v>
      </c>
      <c r="L301" s="20" t="s">
        <v>4240</v>
      </c>
      <c r="M301" s="21" t="s">
        <v>4241</v>
      </c>
      <c r="N301" s="22" t="s">
        <v>4242</v>
      </c>
      <c r="O301" s="21" t="s">
        <v>4243</v>
      </c>
      <c r="P301" s="21" t="s">
        <v>4244</v>
      </c>
      <c r="Q301" s="21" t="s">
        <v>198</v>
      </c>
      <c r="R301" s="20" t="s">
        <v>4245</v>
      </c>
      <c r="S301" s="20" t="s">
        <v>4246</v>
      </c>
      <c r="T301" s="20" t="s">
        <v>4247</v>
      </c>
      <c r="U301" s="21" t="s">
        <v>4248</v>
      </c>
      <c r="V301" s="20" t="s">
        <v>4249</v>
      </c>
      <c r="W301" s="21" t="s">
        <v>306</v>
      </c>
      <c r="X301" s="20" t="s">
        <v>4250</v>
      </c>
      <c r="Y301" s="20" t="s">
        <v>4251</v>
      </c>
      <c r="Z301" s="20" t="s">
        <v>4252</v>
      </c>
      <c r="AA301" s="27"/>
      <c r="AB301" s="24" t="n">
        <f aca="false">IF(LEN($C301)&gt;0,COUNT(AB$1:AB300)+1,"")</f>
        <v>129</v>
      </c>
      <c r="AC301" s="24" t="str">
        <f aca="false">IF(LEN($D301)&gt;0,COUNT(AC$1:AC300)+1,"")</f>
        <v/>
      </c>
      <c r="AD301" s="24" t="str">
        <f aca="false">IF(LEN($E301)&gt;0,COUNT(AD$1:AD300)+1,"")</f>
        <v/>
      </c>
      <c r="AE301" s="24" t="n">
        <f aca="false">IF(LEN($F301)&gt;0,COUNT(AE$1:AE300)+1,"")</f>
        <v>35</v>
      </c>
    </row>
    <row r="302" customFormat="false" ht="16.5" hidden="false" customHeight="true" outlineLevel="0" collapsed="false">
      <c r="A302" s="18" t="str">
        <f aca="false">IF(B302="","",ROW()-2)</f>
        <v/>
      </c>
      <c r="B302" s="18"/>
      <c r="C302" s="19"/>
      <c r="D302" s="19"/>
      <c r="E302" s="19"/>
      <c r="F302" s="19"/>
      <c r="G302" s="18"/>
      <c r="H302" s="21"/>
      <c r="I302" s="21"/>
      <c r="J302" s="21"/>
      <c r="K302" s="21"/>
      <c r="L302" s="21"/>
      <c r="M302" s="21"/>
      <c r="N302" s="25"/>
      <c r="O302" s="21"/>
      <c r="P302" s="21"/>
      <c r="Q302" s="21"/>
      <c r="R302" s="21"/>
      <c r="S302" s="21"/>
      <c r="T302" s="21"/>
      <c r="U302" s="21"/>
      <c r="V302" s="21"/>
      <c r="W302" s="21"/>
      <c r="X302" s="21"/>
      <c r="Y302" s="21"/>
      <c r="Z302" s="21"/>
      <c r="AB302" s="24" t="str">
        <f aca="false">IF(LEN($C302)&gt;0,COUNT(AB$1:AB301)+1,"")</f>
        <v/>
      </c>
      <c r="AC302" s="24" t="str">
        <f aca="false">IF(LEN($D302)&gt;0,COUNT(AC$1:AC301)+1,"")</f>
        <v/>
      </c>
      <c r="AD302" s="24" t="str">
        <f aca="false">IF(LEN($E302)&gt;0,COUNT(AD$1:AD301)+1,"")</f>
        <v/>
      </c>
      <c r="AE302" s="24" t="str">
        <f aca="false">IF(LEN($F302)&gt;0,COUNT(AE$1:AE301)+1,"")</f>
        <v/>
      </c>
    </row>
    <row r="303" customFormat="false" ht="16.5" hidden="false" customHeight="true" outlineLevel="0" collapsed="false">
      <c r="A303" s="18" t="str">
        <f aca="false">IF(B303="","",ROW()-2)</f>
        <v/>
      </c>
      <c r="B303" s="18"/>
      <c r="C303" s="19"/>
      <c r="D303" s="19"/>
      <c r="E303" s="19"/>
      <c r="F303" s="19"/>
      <c r="G303" s="18"/>
      <c r="H303" s="21"/>
      <c r="I303" s="21"/>
      <c r="J303" s="21"/>
      <c r="K303" s="21"/>
      <c r="L303" s="21"/>
      <c r="M303" s="21"/>
      <c r="N303" s="25"/>
      <c r="O303" s="21"/>
      <c r="P303" s="21"/>
      <c r="Q303" s="21"/>
      <c r="R303" s="21"/>
      <c r="S303" s="21"/>
      <c r="T303" s="21"/>
      <c r="U303" s="21"/>
      <c r="V303" s="21"/>
      <c r="W303" s="21"/>
      <c r="X303" s="21"/>
      <c r="Y303" s="21"/>
      <c r="Z303" s="21"/>
      <c r="AB303" s="24" t="str">
        <f aca="false">IF(LEN($C303)&gt;0,COUNT(AB$1:AB302)+1,"")</f>
        <v/>
      </c>
      <c r="AC303" s="24" t="str">
        <f aca="false">IF(LEN($D303)&gt;0,COUNT(AC$1:AC302)+1,"")</f>
        <v/>
      </c>
      <c r="AD303" s="24" t="str">
        <f aca="false">IF(LEN($E303)&gt;0,COUNT(AD$1:AD302)+1,"")</f>
        <v/>
      </c>
      <c r="AE303" s="24" t="str">
        <f aca="false">IF(LEN($F303)&gt;0,COUNT(AE$1:AE302)+1,"")</f>
        <v/>
      </c>
    </row>
    <row r="304" customFormat="false" ht="16.5" hidden="false" customHeight="true" outlineLevel="0" collapsed="false">
      <c r="A304" s="18" t="str">
        <f aca="false">IF(B304="","",ROW()-2)</f>
        <v/>
      </c>
      <c r="B304" s="18"/>
      <c r="C304" s="19"/>
      <c r="D304" s="19"/>
      <c r="E304" s="19"/>
      <c r="F304" s="19"/>
      <c r="G304" s="18"/>
      <c r="H304" s="21"/>
      <c r="I304" s="21"/>
      <c r="J304" s="21"/>
      <c r="K304" s="21"/>
      <c r="L304" s="21"/>
      <c r="M304" s="21"/>
      <c r="N304" s="25"/>
      <c r="O304" s="21"/>
      <c r="P304" s="21"/>
      <c r="Q304" s="21"/>
      <c r="R304" s="21"/>
      <c r="S304" s="21"/>
      <c r="T304" s="21"/>
      <c r="U304" s="21"/>
      <c r="V304" s="21"/>
      <c r="W304" s="21"/>
      <c r="X304" s="21"/>
      <c r="Y304" s="21"/>
      <c r="Z304" s="21"/>
      <c r="AB304" s="24" t="str">
        <f aca="false">IF(LEN($C304)&gt;0,COUNT(AB$1:AB303)+1,"")</f>
        <v/>
      </c>
      <c r="AC304" s="24" t="str">
        <f aca="false">IF(LEN($D304)&gt;0,COUNT(AC$1:AC303)+1,"")</f>
        <v/>
      </c>
      <c r="AD304" s="24" t="str">
        <f aca="false">IF(LEN($E304)&gt;0,COUNT(AD$1:AD303)+1,"")</f>
        <v/>
      </c>
      <c r="AE304" s="24" t="str">
        <f aca="false">IF(LEN($F304)&gt;0,COUNT(AE$1:AE303)+1,"")</f>
        <v/>
      </c>
    </row>
    <row r="305" customFormat="false" ht="16.5" hidden="false" customHeight="true" outlineLevel="0" collapsed="false">
      <c r="A305" s="18" t="str">
        <f aca="false">IF(B305="","",ROW()-2)</f>
        <v/>
      </c>
      <c r="B305" s="18"/>
      <c r="C305" s="19"/>
      <c r="D305" s="19"/>
      <c r="E305" s="19"/>
      <c r="F305" s="19"/>
      <c r="G305" s="18"/>
      <c r="H305" s="21"/>
      <c r="I305" s="21"/>
      <c r="J305" s="21"/>
      <c r="K305" s="21"/>
      <c r="L305" s="21"/>
      <c r="M305" s="21"/>
      <c r="N305" s="25"/>
      <c r="O305" s="21"/>
      <c r="P305" s="21"/>
      <c r="Q305" s="21"/>
      <c r="R305" s="21"/>
      <c r="S305" s="21"/>
      <c r="T305" s="21"/>
      <c r="U305" s="21"/>
      <c r="V305" s="21"/>
      <c r="W305" s="21"/>
      <c r="X305" s="21"/>
      <c r="Y305" s="21"/>
      <c r="Z305" s="21"/>
      <c r="AB305" s="24" t="str">
        <f aca="false">IF(LEN($C305)&gt;0,COUNT(AB$1:AB304)+1,"")</f>
        <v/>
      </c>
      <c r="AC305" s="24" t="str">
        <f aca="false">IF(LEN($D305)&gt;0,COUNT(AC$1:AC304)+1,"")</f>
        <v/>
      </c>
      <c r="AD305" s="24" t="str">
        <f aca="false">IF(LEN($E305)&gt;0,COUNT(AD$1:AD304)+1,"")</f>
        <v/>
      </c>
      <c r="AE305" s="24" t="str">
        <f aca="false">IF(LEN($F305)&gt;0,COUNT(AE$1:AE304)+1,"")</f>
        <v/>
      </c>
    </row>
    <row r="306" customFormat="false" ht="16.5" hidden="false" customHeight="true" outlineLevel="0" collapsed="false">
      <c r="A306" s="18" t="str">
        <f aca="false">IF(B306="","",ROW()-2)</f>
        <v/>
      </c>
      <c r="B306" s="18"/>
      <c r="C306" s="19"/>
      <c r="D306" s="19"/>
      <c r="E306" s="19"/>
      <c r="F306" s="19"/>
      <c r="G306" s="18"/>
      <c r="H306" s="21"/>
      <c r="I306" s="21"/>
      <c r="J306" s="21"/>
      <c r="K306" s="21"/>
      <c r="L306" s="21"/>
      <c r="M306" s="21"/>
      <c r="N306" s="25"/>
      <c r="O306" s="21"/>
      <c r="P306" s="21"/>
      <c r="Q306" s="21"/>
      <c r="R306" s="21"/>
      <c r="S306" s="21"/>
      <c r="T306" s="21"/>
      <c r="U306" s="21"/>
      <c r="V306" s="21"/>
      <c r="W306" s="21"/>
      <c r="X306" s="21"/>
      <c r="Y306" s="21"/>
      <c r="Z306" s="21"/>
      <c r="AB306" s="24" t="str">
        <f aca="false">IF(LEN($C306)&gt;0,COUNT(AB$1:AB305)+1,"")</f>
        <v/>
      </c>
      <c r="AC306" s="24" t="str">
        <f aca="false">IF(LEN($D306)&gt;0,COUNT(AC$1:AC305)+1,"")</f>
        <v/>
      </c>
      <c r="AD306" s="24" t="str">
        <f aca="false">IF(LEN($E306)&gt;0,COUNT(AD$1:AD305)+1,"")</f>
        <v/>
      </c>
      <c r="AE306" s="24" t="str">
        <f aca="false">IF(LEN($F306)&gt;0,COUNT(AE$1:AE305)+1,"")</f>
        <v/>
      </c>
    </row>
    <row r="307" customFormat="false" ht="16.5" hidden="false" customHeight="true" outlineLevel="0" collapsed="false">
      <c r="A307" s="18" t="str">
        <f aca="false">IF(B307="","",ROW()-2)</f>
        <v/>
      </c>
      <c r="B307" s="18"/>
      <c r="C307" s="19"/>
      <c r="D307" s="19"/>
      <c r="E307" s="19"/>
      <c r="F307" s="19"/>
      <c r="G307" s="18"/>
      <c r="H307" s="21"/>
      <c r="I307" s="21"/>
      <c r="J307" s="21"/>
      <c r="K307" s="21"/>
      <c r="L307" s="21"/>
      <c r="M307" s="21"/>
      <c r="N307" s="25"/>
      <c r="O307" s="21"/>
      <c r="P307" s="21"/>
      <c r="Q307" s="21"/>
      <c r="R307" s="21"/>
      <c r="S307" s="21"/>
      <c r="T307" s="21"/>
      <c r="U307" s="21"/>
      <c r="V307" s="21"/>
      <c r="W307" s="21"/>
      <c r="X307" s="21"/>
      <c r="Y307" s="21"/>
      <c r="Z307" s="21"/>
      <c r="AB307" s="24" t="str">
        <f aca="false">IF(LEN($C307)&gt;0,COUNT(AB$1:AB306)+1,"")</f>
        <v/>
      </c>
      <c r="AC307" s="24" t="str">
        <f aca="false">IF(LEN($D307)&gt;0,COUNT(AC$1:AC306)+1,"")</f>
        <v/>
      </c>
      <c r="AD307" s="24" t="str">
        <f aca="false">IF(LEN($E307)&gt;0,COUNT(AD$1:AD306)+1,"")</f>
        <v/>
      </c>
      <c r="AE307" s="24" t="str">
        <f aca="false">IF(LEN($F307)&gt;0,COUNT(AE$1:AE306)+1,"")</f>
        <v/>
      </c>
    </row>
    <row r="308" customFormat="false" ht="16.5" hidden="false" customHeight="true" outlineLevel="0" collapsed="false">
      <c r="A308" s="18" t="str">
        <f aca="false">IF(B308="","",ROW()-2)</f>
        <v/>
      </c>
      <c r="B308" s="18"/>
      <c r="C308" s="19"/>
      <c r="D308" s="19"/>
      <c r="E308" s="19"/>
      <c r="F308" s="19"/>
      <c r="G308" s="18"/>
      <c r="H308" s="21"/>
      <c r="I308" s="21"/>
      <c r="J308" s="21"/>
      <c r="K308" s="21"/>
      <c r="L308" s="21"/>
      <c r="M308" s="21"/>
      <c r="N308" s="25"/>
      <c r="O308" s="21"/>
      <c r="P308" s="21"/>
      <c r="Q308" s="21"/>
      <c r="R308" s="21"/>
      <c r="S308" s="21"/>
      <c r="T308" s="21"/>
      <c r="U308" s="21"/>
      <c r="V308" s="21"/>
      <c r="W308" s="21"/>
      <c r="X308" s="21"/>
      <c r="Y308" s="21"/>
      <c r="Z308" s="21"/>
      <c r="AB308" s="24" t="str">
        <f aca="false">IF(LEN($C308)&gt;0,COUNT(AB$1:AB307)+1,"")</f>
        <v/>
      </c>
      <c r="AC308" s="24" t="str">
        <f aca="false">IF(LEN($D308)&gt;0,COUNT(AC$1:AC307)+1,"")</f>
        <v/>
      </c>
      <c r="AD308" s="24" t="str">
        <f aca="false">IF(LEN($E308)&gt;0,COUNT(AD$1:AD307)+1,"")</f>
        <v/>
      </c>
      <c r="AE308" s="24" t="str">
        <f aca="false">IF(LEN($F308)&gt;0,COUNT(AE$1:AE307)+1,"")</f>
        <v/>
      </c>
    </row>
    <row r="309" customFormat="false" ht="16.5" hidden="false" customHeight="true" outlineLevel="0" collapsed="false">
      <c r="A309" s="18" t="str">
        <f aca="false">IF(B309="","",ROW()-2)</f>
        <v/>
      </c>
      <c r="B309" s="18"/>
      <c r="C309" s="19"/>
      <c r="D309" s="19"/>
      <c r="E309" s="19"/>
      <c r="F309" s="19"/>
      <c r="G309" s="18"/>
      <c r="H309" s="21"/>
      <c r="I309" s="21"/>
      <c r="J309" s="21"/>
      <c r="K309" s="21"/>
      <c r="L309" s="21"/>
      <c r="M309" s="21"/>
      <c r="N309" s="25"/>
      <c r="O309" s="21"/>
      <c r="P309" s="21"/>
      <c r="Q309" s="21"/>
      <c r="R309" s="21"/>
      <c r="S309" s="21"/>
      <c r="T309" s="21"/>
      <c r="U309" s="21"/>
      <c r="V309" s="21"/>
      <c r="W309" s="21"/>
      <c r="X309" s="21"/>
      <c r="Y309" s="21"/>
      <c r="Z309" s="21"/>
      <c r="AB309" s="24" t="str">
        <f aca="false">IF(LEN($C309)&gt;0,COUNT(AB$1:AB308)+1,"")</f>
        <v/>
      </c>
      <c r="AC309" s="24" t="str">
        <f aca="false">IF(LEN($D309)&gt;0,COUNT(AC$1:AC308)+1,"")</f>
        <v/>
      </c>
      <c r="AD309" s="24" t="str">
        <f aca="false">IF(LEN($E309)&gt;0,COUNT(AD$1:AD308)+1,"")</f>
        <v/>
      </c>
      <c r="AE309" s="24" t="str">
        <f aca="false">IF(LEN($F309)&gt;0,COUNT(AE$1:AE308)+1,"")</f>
        <v/>
      </c>
    </row>
    <row r="310" customFormat="false" ht="16.5" hidden="false" customHeight="true" outlineLevel="0" collapsed="false">
      <c r="A310" s="18" t="str">
        <f aca="false">IF(B310="","",ROW()-2)</f>
        <v/>
      </c>
      <c r="B310" s="18"/>
      <c r="C310" s="19"/>
      <c r="D310" s="19"/>
      <c r="E310" s="19"/>
      <c r="F310" s="19"/>
      <c r="G310" s="18"/>
      <c r="H310" s="21"/>
      <c r="I310" s="21"/>
      <c r="J310" s="21"/>
      <c r="K310" s="21"/>
      <c r="L310" s="21"/>
      <c r="M310" s="21"/>
      <c r="N310" s="25"/>
      <c r="O310" s="21"/>
      <c r="P310" s="21"/>
      <c r="Q310" s="21"/>
      <c r="R310" s="21"/>
      <c r="S310" s="21"/>
      <c r="T310" s="21"/>
      <c r="U310" s="21"/>
      <c r="V310" s="21"/>
      <c r="W310" s="21"/>
      <c r="X310" s="21"/>
      <c r="Y310" s="21"/>
      <c r="Z310" s="21"/>
      <c r="AB310" s="24" t="str">
        <f aca="false">IF(LEN($C310)&gt;0,COUNT(AB$1:AB309)+1,"")</f>
        <v/>
      </c>
      <c r="AC310" s="24" t="str">
        <f aca="false">IF(LEN($D310)&gt;0,COUNT(AC$1:AC309)+1,"")</f>
        <v/>
      </c>
      <c r="AD310" s="24" t="str">
        <f aca="false">IF(LEN($E310)&gt;0,COUNT(AD$1:AD309)+1,"")</f>
        <v/>
      </c>
      <c r="AE310" s="24" t="str">
        <f aca="false">IF(LEN($F310)&gt;0,COUNT(AE$1:AE309)+1,"")</f>
        <v/>
      </c>
    </row>
    <row r="311" customFormat="false" ht="16.5" hidden="false" customHeight="true" outlineLevel="0" collapsed="false">
      <c r="A311" s="18" t="str">
        <f aca="false">IF(B311="","",ROW()-2)</f>
        <v/>
      </c>
      <c r="B311" s="18"/>
      <c r="C311" s="19"/>
      <c r="D311" s="19"/>
      <c r="E311" s="19"/>
      <c r="F311" s="19"/>
      <c r="G311" s="18"/>
      <c r="H311" s="21"/>
      <c r="I311" s="21"/>
      <c r="J311" s="21"/>
      <c r="K311" s="21"/>
      <c r="L311" s="21"/>
      <c r="M311" s="21"/>
      <c r="N311" s="25"/>
      <c r="O311" s="21"/>
      <c r="P311" s="21"/>
      <c r="Q311" s="21"/>
      <c r="R311" s="21"/>
      <c r="S311" s="21"/>
      <c r="T311" s="21"/>
      <c r="U311" s="21"/>
      <c r="V311" s="21"/>
      <c r="W311" s="21"/>
      <c r="X311" s="21"/>
      <c r="Y311" s="21"/>
      <c r="Z311" s="21"/>
      <c r="AB311" s="24" t="str">
        <f aca="false">IF(LEN($C311)&gt;0,COUNT(AB$1:AB310)+1,"")</f>
        <v/>
      </c>
      <c r="AC311" s="24" t="str">
        <f aca="false">IF(LEN($D311)&gt;0,COUNT(AC$1:AC310)+1,"")</f>
        <v/>
      </c>
      <c r="AD311" s="24" t="str">
        <f aca="false">IF(LEN($E311)&gt;0,COUNT(AD$1:AD310)+1,"")</f>
        <v/>
      </c>
      <c r="AE311" s="24" t="str">
        <f aca="false">IF(LEN($F311)&gt;0,COUNT(AE$1:AE310)+1,"")</f>
        <v/>
      </c>
    </row>
    <row r="312" customFormat="false" ht="16.5" hidden="false" customHeight="true" outlineLevel="0" collapsed="false">
      <c r="A312" s="18" t="str">
        <f aca="false">IF(B312="","",ROW()-2)</f>
        <v/>
      </c>
      <c r="B312" s="18"/>
      <c r="C312" s="19"/>
      <c r="D312" s="19"/>
      <c r="E312" s="19"/>
      <c r="F312" s="19"/>
      <c r="G312" s="18"/>
      <c r="H312" s="21"/>
      <c r="I312" s="21"/>
      <c r="J312" s="21"/>
      <c r="K312" s="21"/>
      <c r="L312" s="21"/>
      <c r="M312" s="21"/>
      <c r="N312" s="25"/>
      <c r="O312" s="21"/>
      <c r="P312" s="21"/>
      <c r="Q312" s="21"/>
      <c r="R312" s="21"/>
      <c r="S312" s="21"/>
      <c r="T312" s="21"/>
      <c r="U312" s="21"/>
      <c r="V312" s="21"/>
      <c r="W312" s="21"/>
      <c r="X312" s="21"/>
      <c r="Y312" s="21"/>
      <c r="Z312" s="21"/>
      <c r="AB312" s="24" t="str">
        <f aca="false">IF(LEN($C312)&gt;0,COUNT(AB$1:AB311)+1,"")</f>
        <v/>
      </c>
      <c r="AC312" s="24" t="str">
        <f aca="false">IF(LEN($D312)&gt;0,COUNT(AC$1:AC311)+1,"")</f>
        <v/>
      </c>
      <c r="AD312" s="24" t="str">
        <f aca="false">IF(LEN($E312)&gt;0,COUNT(AD$1:AD311)+1,"")</f>
        <v/>
      </c>
      <c r="AE312" s="24" t="str">
        <f aca="false">IF(LEN($F312)&gt;0,COUNT(AE$1:AE311)+1,"")</f>
        <v/>
      </c>
    </row>
    <row r="313" customFormat="false" ht="16.5" hidden="false" customHeight="true" outlineLevel="0" collapsed="false">
      <c r="A313" s="18" t="str">
        <f aca="false">IF(B313="","",ROW()-2)</f>
        <v/>
      </c>
      <c r="B313" s="18"/>
      <c r="C313" s="19"/>
      <c r="D313" s="19"/>
      <c r="E313" s="19"/>
      <c r="F313" s="19"/>
      <c r="G313" s="18"/>
      <c r="H313" s="21"/>
      <c r="I313" s="21"/>
      <c r="J313" s="21"/>
      <c r="K313" s="21"/>
      <c r="L313" s="21"/>
      <c r="M313" s="21"/>
      <c r="N313" s="25"/>
      <c r="O313" s="21"/>
      <c r="P313" s="21"/>
      <c r="Q313" s="21"/>
      <c r="R313" s="21"/>
      <c r="S313" s="21"/>
      <c r="T313" s="21"/>
      <c r="U313" s="21"/>
      <c r="V313" s="21"/>
      <c r="W313" s="21"/>
      <c r="X313" s="21"/>
      <c r="Y313" s="21"/>
      <c r="Z313" s="21"/>
      <c r="AB313" s="24" t="str">
        <f aca="false">IF(LEN($C313)&gt;0,COUNT(AB$1:AB312)+1,"")</f>
        <v/>
      </c>
      <c r="AC313" s="24" t="str">
        <f aca="false">IF(LEN($D313)&gt;0,COUNT(AC$1:AC312)+1,"")</f>
        <v/>
      </c>
      <c r="AD313" s="24" t="str">
        <f aca="false">IF(LEN($E313)&gt;0,COUNT(AD$1:AD312)+1,"")</f>
        <v/>
      </c>
      <c r="AE313" s="24" t="str">
        <f aca="false">IF(LEN($F313)&gt;0,COUNT(AE$1:AE312)+1,"")</f>
        <v/>
      </c>
    </row>
    <row r="314" customFormat="false" ht="16.5" hidden="false" customHeight="true" outlineLevel="0" collapsed="false">
      <c r="A314" s="18" t="str">
        <f aca="false">IF(B314="","",ROW()-2)</f>
        <v/>
      </c>
      <c r="B314" s="18"/>
      <c r="C314" s="19"/>
      <c r="D314" s="19"/>
      <c r="E314" s="19"/>
      <c r="F314" s="19"/>
      <c r="G314" s="18"/>
      <c r="H314" s="21"/>
      <c r="I314" s="21"/>
      <c r="J314" s="21"/>
      <c r="K314" s="21"/>
      <c r="L314" s="21"/>
      <c r="M314" s="21"/>
      <c r="N314" s="25"/>
      <c r="O314" s="21"/>
      <c r="P314" s="21"/>
      <c r="Q314" s="21"/>
      <c r="R314" s="21"/>
      <c r="S314" s="21"/>
      <c r="T314" s="21"/>
      <c r="U314" s="21"/>
      <c r="V314" s="21"/>
      <c r="W314" s="21"/>
      <c r="X314" s="21"/>
      <c r="Y314" s="21"/>
      <c r="Z314" s="21"/>
      <c r="AB314" s="24" t="str">
        <f aca="false">IF(LEN($C314)&gt;0,COUNT(AB$1:AB313)+1,"")</f>
        <v/>
      </c>
      <c r="AC314" s="24" t="str">
        <f aca="false">IF(LEN($D314)&gt;0,COUNT(AC$1:AC313)+1,"")</f>
        <v/>
      </c>
      <c r="AD314" s="24" t="str">
        <f aca="false">IF(LEN($E314)&gt;0,COUNT(AD$1:AD313)+1,"")</f>
        <v/>
      </c>
      <c r="AE314" s="24" t="str">
        <f aca="false">IF(LEN($F314)&gt;0,COUNT(AE$1:AE313)+1,"")</f>
        <v/>
      </c>
    </row>
    <row r="315" customFormat="false" ht="16.5" hidden="false" customHeight="true" outlineLevel="0" collapsed="false">
      <c r="A315" s="18" t="str">
        <f aca="false">IF(B315="","",ROW()-2)</f>
        <v/>
      </c>
      <c r="B315" s="18"/>
      <c r="C315" s="19"/>
      <c r="D315" s="19"/>
      <c r="E315" s="19"/>
      <c r="F315" s="19"/>
      <c r="G315" s="18"/>
      <c r="H315" s="21"/>
      <c r="I315" s="21"/>
      <c r="J315" s="21"/>
      <c r="K315" s="21"/>
      <c r="L315" s="21"/>
      <c r="M315" s="21"/>
      <c r="N315" s="25"/>
      <c r="O315" s="21"/>
      <c r="P315" s="21"/>
      <c r="Q315" s="21"/>
      <c r="R315" s="21"/>
      <c r="S315" s="21"/>
      <c r="T315" s="21"/>
      <c r="U315" s="21"/>
      <c r="V315" s="21"/>
      <c r="W315" s="21"/>
      <c r="X315" s="21"/>
      <c r="Y315" s="21"/>
      <c r="Z315" s="21"/>
      <c r="AB315" s="24" t="str">
        <f aca="false">IF(LEN($C315)&gt;0,COUNT(AB$1:AB314)+1,"")</f>
        <v/>
      </c>
      <c r="AC315" s="24" t="str">
        <f aca="false">IF(LEN($D315)&gt;0,COUNT(AC$1:AC314)+1,"")</f>
        <v/>
      </c>
      <c r="AD315" s="24" t="str">
        <f aca="false">IF(LEN($E315)&gt;0,COUNT(AD$1:AD314)+1,"")</f>
        <v/>
      </c>
      <c r="AE315" s="24" t="str">
        <f aca="false">IF(LEN($F315)&gt;0,COUNT(AE$1:AE314)+1,"")</f>
        <v/>
      </c>
    </row>
    <row r="316" customFormat="false" ht="16.5" hidden="false" customHeight="true" outlineLevel="0" collapsed="false">
      <c r="A316" s="18" t="str">
        <f aca="false">IF(B316="","",ROW()-2)</f>
        <v/>
      </c>
      <c r="B316" s="18"/>
      <c r="C316" s="19"/>
      <c r="D316" s="19"/>
      <c r="E316" s="19"/>
      <c r="F316" s="19"/>
      <c r="G316" s="18"/>
      <c r="H316" s="21"/>
      <c r="I316" s="21"/>
      <c r="J316" s="21"/>
      <c r="K316" s="21"/>
      <c r="L316" s="21"/>
      <c r="M316" s="21"/>
      <c r="N316" s="25"/>
      <c r="O316" s="21"/>
      <c r="P316" s="21"/>
      <c r="Q316" s="21"/>
      <c r="R316" s="21"/>
      <c r="S316" s="21"/>
      <c r="T316" s="21"/>
      <c r="U316" s="21"/>
      <c r="V316" s="21"/>
      <c r="W316" s="21"/>
      <c r="X316" s="21"/>
      <c r="Y316" s="21"/>
      <c r="Z316" s="21"/>
      <c r="AB316" s="24" t="str">
        <f aca="false">IF(LEN($C316)&gt;0,COUNT(AB$1:AB315)+1,"")</f>
        <v/>
      </c>
      <c r="AC316" s="24" t="str">
        <f aca="false">IF(LEN($D316)&gt;0,COUNT(AC$1:AC315)+1,"")</f>
        <v/>
      </c>
      <c r="AD316" s="24" t="str">
        <f aca="false">IF(LEN($E316)&gt;0,COUNT(AD$1:AD315)+1,"")</f>
        <v/>
      </c>
      <c r="AE316" s="24" t="str">
        <f aca="false">IF(LEN($F316)&gt;0,COUNT(AE$1:AE315)+1,"")</f>
        <v/>
      </c>
    </row>
    <row r="317" customFormat="false" ht="16.5" hidden="false" customHeight="true" outlineLevel="0" collapsed="false">
      <c r="A317" s="18" t="str">
        <f aca="false">IF(B317="","",ROW()-2)</f>
        <v/>
      </c>
      <c r="B317" s="18"/>
      <c r="C317" s="19"/>
      <c r="D317" s="19"/>
      <c r="E317" s="19"/>
      <c r="F317" s="19"/>
      <c r="G317" s="18"/>
      <c r="H317" s="21"/>
      <c r="I317" s="21"/>
      <c r="J317" s="21"/>
      <c r="K317" s="21"/>
      <c r="L317" s="21"/>
      <c r="M317" s="21"/>
      <c r="N317" s="25"/>
      <c r="O317" s="21"/>
      <c r="P317" s="21"/>
      <c r="Q317" s="21"/>
      <c r="R317" s="21"/>
      <c r="S317" s="21"/>
      <c r="T317" s="21"/>
      <c r="U317" s="21"/>
      <c r="V317" s="21"/>
      <c r="W317" s="21"/>
      <c r="X317" s="21"/>
      <c r="Y317" s="21"/>
      <c r="Z317" s="21"/>
      <c r="AB317" s="24" t="str">
        <f aca="false">IF(LEN($C317)&gt;0,COUNT(AB$1:AB316)+1,"")</f>
        <v/>
      </c>
      <c r="AC317" s="24" t="str">
        <f aca="false">IF(LEN($D317)&gt;0,COUNT(AC$1:AC316)+1,"")</f>
        <v/>
      </c>
      <c r="AD317" s="24" t="str">
        <f aca="false">IF(LEN($E317)&gt;0,COUNT(AD$1:AD316)+1,"")</f>
        <v/>
      </c>
      <c r="AE317" s="24" t="str">
        <f aca="false">IF(LEN($F317)&gt;0,COUNT(AE$1:AE316)+1,"")</f>
        <v/>
      </c>
    </row>
    <row r="318" customFormat="false" ht="16.5" hidden="false" customHeight="true" outlineLevel="0" collapsed="false">
      <c r="A318" s="18" t="str">
        <f aca="false">IF(B318="","",ROW()-2)</f>
        <v/>
      </c>
      <c r="B318" s="18"/>
      <c r="C318" s="19"/>
      <c r="D318" s="19"/>
      <c r="E318" s="19"/>
      <c r="F318" s="19"/>
      <c r="G318" s="18"/>
      <c r="H318" s="21"/>
      <c r="I318" s="21"/>
      <c r="J318" s="21"/>
      <c r="K318" s="21"/>
      <c r="L318" s="21"/>
      <c r="M318" s="21"/>
      <c r="N318" s="25"/>
      <c r="O318" s="21"/>
      <c r="P318" s="21"/>
      <c r="Q318" s="21"/>
      <c r="R318" s="21"/>
      <c r="S318" s="21"/>
      <c r="T318" s="21"/>
      <c r="U318" s="21"/>
      <c r="V318" s="21"/>
      <c r="W318" s="21"/>
      <c r="X318" s="21"/>
      <c r="Y318" s="21"/>
      <c r="Z318" s="21"/>
      <c r="AB318" s="24" t="str">
        <f aca="false">IF(LEN($C318)&gt;0,COUNT(AB$1:AB317)+1,"")</f>
        <v/>
      </c>
      <c r="AC318" s="24" t="str">
        <f aca="false">IF(LEN($D318)&gt;0,COUNT(AC$1:AC317)+1,"")</f>
        <v/>
      </c>
      <c r="AD318" s="24" t="str">
        <f aca="false">IF(LEN($E318)&gt;0,COUNT(AD$1:AD317)+1,"")</f>
        <v/>
      </c>
      <c r="AE318" s="24" t="str">
        <f aca="false">IF(LEN($F318)&gt;0,COUNT(AE$1:AE317)+1,"")</f>
        <v/>
      </c>
    </row>
    <row r="319" customFormat="false" ht="16.5" hidden="false" customHeight="true" outlineLevel="0" collapsed="false">
      <c r="A319" s="18" t="str">
        <f aca="false">IF(B319="","",ROW()-2)</f>
        <v/>
      </c>
      <c r="B319" s="18"/>
      <c r="C319" s="19"/>
      <c r="D319" s="19"/>
      <c r="E319" s="19"/>
      <c r="F319" s="19"/>
      <c r="G319" s="18"/>
      <c r="H319" s="21"/>
      <c r="I319" s="21"/>
      <c r="J319" s="21"/>
      <c r="K319" s="21"/>
      <c r="L319" s="21"/>
      <c r="M319" s="21"/>
      <c r="N319" s="25"/>
      <c r="O319" s="21"/>
      <c r="P319" s="21"/>
      <c r="Q319" s="21"/>
      <c r="R319" s="21"/>
      <c r="S319" s="21"/>
      <c r="T319" s="21"/>
      <c r="U319" s="21"/>
      <c r="V319" s="21"/>
      <c r="W319" s="21"/>
      <c r="X319" s="21"/>
      <c r="Y319" s="21"/>
      <c r="Z319" s="21"/>
      <c r="AB319" s="24" t="str">
        <f aca="false">IF(LEN($C319)&gt;0,COUNT(AB$1:AB318)+1,"")</f>
        <v/>
      </c>
      <c r="AC319" s="24" t="str">
        <f aca="false">IF(LEN($D319)&gt;0,COUNT(AC$1:AC318)+1,"")</f>
        <v/>
      </c>
      <c r="AD319" s="24" t="str">
        <f aca="false">IF(LEN($E319)&gt;0,COUNT(AD$1:AD318)+1,"")</f>
        <v/>
      </c>
      <c r="AE319" s="24" t="str">
        <f aca="false">IF(LEN($F319)&gt;0,COUNT(AE$1:AE318)+1,"")</f>
        <v/>
      </c>
    </row>
    <row r="320" customFormat="false" ht="16.5" hidden="false" customHeight="true" outlineLevel="0" collapsed="false">
      <c r="A320" s="18" t="str">
        <f aca="false">IF(B320="","",ROW()-2)</f>
        <v/>
      </c>
      <c r="B320" s="18"/>
      <c r="C320" s="19"/>
      <c r="D320" s="19"/>
      <c r="E320" s="19"/>
      <c r="F320" s="19"/>
      <c r="G320" s="18"/>
      <c r="H320" s="21"/>
      <c r="I320" s="21"/>
      <c r="J320" s="21"/>
      <c r="K320" s="21"/>
      <c r="L320" s="21"/>
      <c r="M320" s="21"/>
      <c r="N320" s="25"/>
      <c r="O320" s="21"/>
      <c r="P320" s="21"/>
      <c r="Q320" s="21"/>
      <c r="R320" s="21"/>
      <c r="S320" s="21"/>
      <c r="T320" s="21"/>
      <c r="U320" s="21"/>
      <c r="V320" s="21"/>
      <c r="W320" s="21"/>
      <c r="X320" s="21"/>
      <c r="Y320" s="21"/>
      <c r="Z320" s="21"/>
      <c r="AB320" s="24" t="str">
        <f aca="false">IF(LEN($C320)&gt;0,COUNT(AB$1:AB319)+1,"")</f>
        <v/>
      </c>
      <c r="AC320" s="24" t="str">
        <f aca="false">IF(LEN($D320)&gt;0,COUNT(AC$1:AC319)+1,"")</f>
        <v/>
      </c>
      <c r="AD320" s="24" t="str">
        <f aca="false">IF(LEN($E320)&gt;0,COUNT(AD$1:AD319)+1,"")</f>
        <v/>
      </c>
      <c r="AE320" s="24" t="str">
        <f aca="false">IF(LEN($F320)&gt;0,COUNT(AE$1:AE319)+1,"")</f>
        <v/>
      </c>
    </row>
    <row r="321" customFormat="false" ht="16.5" hidden="false" customHeight="true" outlineLevel="0" collapsed="false">
      <c r="A321" s="18" t="str">
        <f aca="false">IF(B321="","",ROW()-2)</f>
        <v/>
      </c>
      <c r="B321" s="18"/>
      <c r="C321" s="19"/>
      <c r="D321" s="19"/>
      <c r="E321" s="19"/>
      <c r="F321" s="19"/>
      <c r="G321" s="18"/>
      <c r="H321" s="21"/>
      <c r="I321" s="21"/>
      <c r="J321" s="21"/>
      <c r="K321" s="21"/>
      <c r="L321" s="21"/>
      <c r="M321" s="21"/>
      <c r="N321" s="25"/>
      <c r="O321" s="21"/>
      <c r="P321" s="21"/>
      <c r="Q321" s="21"/>
      <c r="R321" s="21"/>
      <c r="S321" s="21"/>
      <c r="T321" s="21"/>
      <c r="U321" s="21"/>
      <c r="V321" s="21"/>
      <c r="W321" s="21"/>
      <c r="X321" s="21"/>
      <c r="Y321" s="21"/>
      <c r="Z321" s="21"/>
      <c r="AB321" s="24" t="str">
        <f aca="false">IF(LEN($C321)&gt;0,COUNT(AB$1:AB320)+1,"")</f>
        <v/>
      </c>
      <c r="AC321" s="24" t="str">
        <f aca="false">IF(LEN($D321)&gt;0,COUNT(AC$1:AC320)+1,"")</f>
        <v/>
      </c>
      <c r="AD321" s="24" t="str">
        <f aca="false">IF(LEN($E321)&gt;0,COUNT(AD$1:AD320)+1,"")</f>
        <v/>
      </c>
      <c r="AE321" s="24" t="str">
        <f aca="false">IF(LEN($F321)&gt;0,COUNT(AE$1:AE320)+1,"")</f>
        <v/>
      </c>
    </row>
    <row r="322" customFormat="false" ht="16.5" hidden="false" customHeight="true" outlineLevel="0" collapsed="false">
      <c r="A322" s="18" t="str">
        <f aca="false">IF(B322="","",ROW()-2)</f>
        <v/>
      </c>
      <c r="B322" s="18"/>
      <c r="C322" s="19"/>
      <c r="D322" s="19"/>
      <c r="E322" s="19"/>
      <c r="F322" s="19"/>
      <c r="G322" s="18"/>
      <c r="H322" s="21"/>
      <c r="I322" s="21"/>
      <c r="J322" s="21"/>
      <c r="K322" s="21"/>
      <c r="L322" s="21"/>
      <c r="M322" s="21"/>
      <c r="N322" s="25"/>
      <c r="O322" s="21"/>
      <c r="P322" s="21"/>
      <c r="Q322" s="21"/>
      <c r="R322" s="21"/>
      <c r="S322" s="21"/>
      <c r="T322" s="21"/>
      <c r="U322" s="21"/>
      <c r="V322" s="21"/>
      <c r="W322" s="21"/>
      <c r="X322" s="21"/>
      <c r="Y322" s="21"/>
      <c r="Z322" s="21"/>
      <c r="AB322" s="24" t="str">
        <f aca="false">IF(LEN($C322)&gt;0,COUNT(AB$1:AB321)+1,"")</f>
        <v/>
      </c>
      <c r="AC322" s="24" t="str">
        <f aca="false">IF(LEN($D322)&gt;0,COUNT(AC$1:AC321)+1,"")</f>
        <v/>
      </c>
      <c r="AD322" s="24" t="str">
        <f aca="false">IF(LEN($E322)&gt;0,COUNT(AD$1:AD321)+1,"")</f>
        <v/>
      </c>
      <c r="AE322" s="24" t="str">
        <f aca="false">IF(LEN($F322)&gt;0,COUNT(AE$1:AE321)+1,"")</f>
        <v/>
      </c>
    </row>
    <row r="323" customFormat="false" ht="16.5" hidden="false" customHeight="true" outlineLevel="0" collapsed="false">
      <c r="A323" s="18" t="str">
        <f aca="false">IF(B323="","",ROW()-2)</f>
        <v/>
      </c>
      <c r="B323" s="18"/>
      <c r="C323" s="19"/>
      <c r="D323" s="19"/>
      <c r="E323" s="19"/>
      <c r="F323" s="19"/>
      <c r="G323" s="18"/>
      <c r="H323" s="21"/>
      <c r="I323" s="21"/>
      <c r="J323" s="21"/>
      <c r="K323" s="21"/>
      <c r="L323" s="21"/>
      <c r="M323" s="21"/>
      <c r="N323" s="25"/>
      <c r="O323" s="21"/>
      <c r="P323" s="21"/>
      <c r="Q323" s="21"/>
      <c r="R323" s="21"/>
      <c r="S323" s="21"/>
      <c r="T323" s="21"/>
      <c r="U323" s="21"/>
      <c r="V323" s="21"/>
      <c r="W323" s="21"/>
      <c r="X323" s="21"/>
      <c r="Y323" s="21"/>
      <c r="Z323" s="21"/>
      <c r="AB323" s="24" t="str">
        <f aca="false">IF(LEN($C323)&gt;0,COUNT(AB$1:AB322)+1,"")</f>
        <v/>
      </c>
      <c r="AC323" s="24" t="str">
        <f aca="false">IF(LEN($D323)&gt;0,COUNT(AC$1:AC322)+1,"")</f>
        <v/>
      </c>
      <c r="AD323" s="24" t="str">
        <f aca="false">IF(LEN($E323)&gt;0,COUNT(AD$1:AD322)+1,"")</f>
        <v/>
      </c>
      <c r="AE323" s="24" t="str">
        <f aca="false">IF(LEN($F323)&gt;0,COUNT(AE$1:AE322)+1,"")</f>
        <v/>
      </c>
    </row>
    <row r="324" customFormat="false" ht="16.5" hidden="false" customHeight="true" outlineLevel="0" collapsed="false">
      <c r="A324" s="18" t="str">
        <f aca="false">IF(B324="","",ROW()-2)</f>
        <v/>
      </c>
      <c r="B324" s="18"/>
      <c r="C324" s="19"/>
      <c r="D324" s="19"/>
      <c r="E324" s="19"/>
      <c r="F324" s="19"/>
      <c r="G324" s="18"/>
      <c r="H324" s="21"/>
      <c r="I324" s="21"/>
      <c r="J324" s="21"/>
      <c r="K324" s="21"/>
      <c r="L324" s="21"/>
      <c r="M324" s="21"/>
      <c r="N324" s="25"/>
      <c r="O324" s="21"/>
      <c r="P324" s="21"/>
      <c r="Q324" s="21"/>
      <c r="R324" s="21"/>
      <c r="S324" s="21"/>
      <c r="T324" s="21"/>
      <c r="U324" s="21"/>
      <c r="V324" s="21"/>
      <c r="W324" s="21"/>
      <c r="X324" s="21"/>
      <c r="Y324" s="21"/>
      <c r="Z324" s="21"/>
      <c r="AB324" s="24" t="str">
        <f aca="false">IF(LEN($C324)&gt;0,COUNT(AB$1:AB323)+1,"")</f>
        <v/>
      </c>
      <c r="AC324" s="24" t="str">
        <f aca="false">IF(LEN($D324)&gt;0,COUNT(AC$1:AC323)+1,"")</f>
        <v/>
      </c>
      <c r="AD324" s="24" t="str">
        <f aca="false">IF(LEN($E324)&gt;0,COUNT(AD$1:AD323)+1,"")</f>
        <v/>
      </c>
      <c r="AE324" s="24" t="str">
        <f aca="false">IF(LEN($F324)&gt;0,COUNT(AE$1:AE323)+1,"")</f>
        <v/>
      </c>
    </row>
    <row r="325" customFormat="false" ht="16.5" hidden="false" customHeight="true" outlineLevel="0" collapsed="false">
      <c r="A325" s="18" t="str">
        <f aca="false">IF(B325="","",ROW()-2)</f>
        <v/>
      </c>
      <c r="B325" s="18"/>
      <c r="C325" s="19"/>
      <c r="D325" s="19"/>
      <c r="E325" s="19"/>
      <c r="F325" s="19"/>
      <c r="G325" s="18"/>
      <c r="H325" s="21"/>
      <c r="I325" s="21"/>
      <c r="J325" s="21"/>
      <c r="K325" s="21"/>
      <c r="L325" s="21"/>
      <c r="M325" s="21"/>
      <c r="N325" s="25"/>
      <c r="O325" s="21"/>
      <c r="P325" s="21"/>
      <c r="Q325" s="21"/>
      <c r="R325" s="21"/>
      <c r="S325" s="21"/>
      <c r="T325" s="21"/>
      <c r="U325" s="21"/>
      <c r="V325" s="21"/>
      <c r="W325" s="21"/>
      <c r="X325" s="21"/>
      <c r="Y325" s="21"/>
      <c r="Z325" s="21"/>
      <c r="AB325" s="24" t="str">
        <f aca="false">IF(LEN($C325)&gt;0,COUNT(AB$1:AB324)+1,"")</f>
        <v/>
      </c>
      <c r="AC325" s="24" t="str">
        <f aca="false">IF(LEN($D325)&gt;0,COUNT(AC$1:AC324)+1,"")</f>
        <v/>
      </c>
      <c r="AD325" s="24" t="str">
        <f aca="false">IF(LEN($E325)&gt;0,COUNT(AD$1:AD324)+1,"")</f>
        <v/>
      </c>
      <c r="AE325" s="24" t="str">
        <f aca="false">IF(LEN($F325)&gt;0,COUNT(AE$1:AE324)+1,"")</f>
        <v/>
      </c>
    </row>
    <row r="326" customFormat="false" ht="16.5" hidden="false" customHeight="true" outlineLevel="0" collapsed="false">
      <c r="A326" s="18" t="str">
        <f aca="false">IF(B326="","",ROW()-2)</f>
        <v/>
      </c>
      <c r="B326" s="18"/>
      <c r="C326" s="19"/>
      <c r="D326" s="19"/>
      <c r="E326" s="19"/>
      <c r="F326" s="19"/>
      <c r="G326" s="18"/>
      <c r="H326" s="21"/>
      <c r="I326" s="21"/>
      <c r="J326" s="21"/>
      <c r="K326" s="21"/>
      <c r="L326" s="21"/>
      <c r="M326" s="21"/>
      <c r="N326" s="25"/>
      <c r="O326" s="21"/>
      <c r="P326" s="21"/>
      <c r="Q326" s="21"/>
      <c r="R326" s="21"/>
      <c r="S326" s="21"/>
      <c r="T326" s="21"/>
      <c r="U326" s="21"/>
      <c r="V326" s="21"/>
      <c r="W326" s="21"/>
      <c r="X326" s="21"/>
      <c r="Y326" s="21"/>
      <c r="Z326" s="21"/>
      <c r="AB326" s="24" t="str">
        <f aca="false">IF(LEN($C326)&gt;0,COUNT(AB$1:AB325)+1,"")</f>
        <v/>
      </c>
      <c r="AC326" s="24" t="str">
        <f aca="false">IF(LEN($D326)&gt;0,COUNT(AC$1:AC325)+1,"")</f>
        <v/>
      </c>
      <c r="AD326" s="24" t="str">
        <f aca="false">IF(LEN($E326)&gt;0,COUNT(AD$1:AD325)+1,"")</f>
        <v/>
      </c>
      <c r="AE326" s="24" t="str">
        <f aca="false">IF(LEN($F326)&gt;0,COUNT(AE$1:AE325)+1,"")</f>
        <v/>
      </c>
    </row>
    <row r="327" customFormat="false" ht="16.5" hidden="false" customHeight="true" outlineLevel="0" collapsed="false">
      <c r="A327" s="18" t="str">
        <f aca="false">IF(B327="","",ROW()-2)</f>
        <v/>
      </c>
      <c r="B327" s="18"/>
      <c r="C327" s="19"/>
      <c r="D327" s="19"/>
      <c r="E327" s="19"/>
      <c r="F327" s="19"/>
      <c r="G327" s="18"/>
      <c r="H327" s="21"/>
      <c r="I327" s="21"/>
      <c r="J327" s="21"/>
      <c r="K327" s="21"/>
      <c r="L327" s="21"/>
      <c r="M327" s="21"/>
      <c r="N327" s="25"/>
      <c r="O327" s="21"/>
      <c r="P327" s="21"/>
      <c r="Q327" s="21"/>
      <c r="R327" s="21"/>
      <c r="S327" s="21"/>
      <c r="T327" s="21"/>
      <c r="U327" s="21"/>
      <c r="V327" s="21"/>
      <c r="W327" s="21"/>
      <c r="X327" s="21"/>
      <c r="Y327" s="21"/>
      <c r="Z327" s="21"/>
      <c r="AB327" s="24" t="str">
        <f aca="false">IF(LEN($C327)&gt;0,COUNT(AB$1:AB326)+1,"")</f>
        <v/>
      </c>
      <c r="AC327" s="24" t="str">
        <f aca="false">IF(LEN($D327)&gt;0,COUNT(AC$1:AC326)+1,"")</f>
        <v/>
      </c>
      <c r="AD327" s="24" t="str">
        <f aca="false">IF(LEN($E327)&gt;0,COUNT(AD$1:AD326)+1,"")</f>
        <v/>
      </c>
      <c r="AE327" s="24" t="str">
        <f aca="false">IF(LEN($F327)&gt;0,COUNT(AE$1:AE326)+1,"")</f>
        <v/>
      </c>
    </row>
    <row r="328" customFormat="false" ht="16.5" hidden="false" customHeight="true" outlineLevel="0" collapsed="false">
      <c r="A328" s="18" t="str">
        <f aca="false">IF(B328="","",ROW()-2)</f>
        <v/>
      </c>
      <c r="B328" s="18"/>
      <c r="C328" s="19"/>
      <c r="D328" s="19"/>
      <c r="E328" s="19"/>
      <c r="F328" s="19"/>
      <c r="G328" s="18"/>
      <c r="H328" s="21"/>
      <c r="I328" s="21"/>
      <c r="J328" s="21"/>
      <c r="K328" s="21"/>
      <c r="L328" s="21"/>
      <c r="M328" s="21"/>
      <c r="N328" s="25"/>
      <c r="O328" s="21"/>
      <c r="P328" s="21"/>
      <c r="Q328" s="21"/>
      <c r="R328" s="21"/>
      <c r="S328" s="21"/>
      <c r="T328" s="21"/>
      <c r="U328" s="21"/>
      <c r="V328" s="21"/>
      <c r="W328" s="21"/>
      <c r="X328" s="21"/>
      <c r="Y328" s="21"/>
      <c r="Z328" s="21"/>
      <c r="AB328" s="24" t="str">
        <f aca="false">IF(LEN($C328)&gt;0,COUNT(AB$1:AB327)+1,"")</f>
        <v/>
      </c>
      <c r="AC328" s="24" t="str">
        <f aca="false">IF(LEN($D328)&gt;0,COUNT(AC$1:AC327)+1,"")</f>
        <v/>
      </c>
      <c r="AD328" s="24" t="str">
        <f aca="false">IF(LEN($E328)&gt;0,COUNT(AD$1:AD327)+1,"")</f>
        <v/>
      </c>
      <c r="AE328" s="24" t="str">
        <f aca="false">IF(LEN($F328)&gt;0,COUNT(AE$1:AE327)+1,"")</f>
        <v/>
      </c>
    </row>
    <row r="329" customFormat="false" ht="16.5" hidden="false" customHeight="true" outlineLevel="0" collapsed="false">
      <c r="A329" s="18" t="str">
        <f aca="false">IF(B329="","",ROW()-2)</f>
        <v/>
      </c>
      <c r="B329" s="18"/>
      <c r="C329" s="19"/>
      <c r="D329" s="19"/>
      <c r="E329" s="19"/>
      <c r="F329" s="19"/>
      <c r="G329" s="18"/>
      <c r="H329" s="21"/>
      <c r="I329" s="21"/>
      <c r="J329" s="21"/>
      <c r="K329" s="21"/>
      <c r="L329" s="21"/>
      <c r="M329" s="21"/>
      <c r="N329" s="25"/>
      <c r="O329" s="21"/>
      <c r="P329" s="21"/>
      <c r="Q329" s="21"/>
      <c r="R329" s="21"/>
      <c r="S329" s="21"/>
      <c r="T329" s="21"/>
      <c r="U329" s="21"/>
      <c r="V329" s="21"/>
      <c r="W329" s="21"/>
      <c r="X329" s="21"/>
      <c r="Y329" s="21"/>
      <c r="Z329" s="21"/>
      <c r="AB329" s="24" t="str">
        <f aca="false">IF(LEN($C329)&gt;0,COUNT(AB$1:AB328)+1,"")</f>
        <v/>
      </c>
      <c r="AC329" s="24" t="str">
        <f aca="false">IF(LEN($D329)&gt;0,COUNT(AC$1:AC328)+1,"")</f>
        <v/>
      </c>
      <c r="AD329" s="24" t="str">
        <f aca="false">IF(LEN($E329)&gt;0,COUNT(AD$1:AD328)+1,"")</f>
        <v/>
      </c>
      <c r="AE329" s="24" t="str">
        <f aca="false">IF(LEN($F329)&gt;0,COUNT(AE$1:AE328)+1,"")</f>
        <v/>
      </c>
    </row>
    <row r="330" customFormat="false" ht="16.5" hidden="false" customHeight="true" outlineLevel="0" collapsed="false">
      <c r="A330" s="18" t="str">
        <f aca="false">IF(B330="","",ROW()-2)</f>
        <v/>
      </c>
      <c r="B330" s="18"/>
      <c r="C330" s="19"/>
      <c r="D330" s="19"/>
      <c r="E330" s="19"/>
      <c r="F330" s="19"/>
      <c r="G330" s="18"/>
      <c r="H330" s="21"/>
      <c r="I330" s="21"/>
      <c r="J330" s="21"/>
      <c r="K330" s="21"/>
      <c r="L330" s="21"/>
      <c r="M330" s="21"/>
      <c r="N330" s="25"/>
      <c r="O330" s="21"/>
      <c r="P330" s="21"/>
      <c r="Q330" s="21"/>
      <c r="R330" s="21"/>
      <c r="S330" s="21"/>
      <c r="T330" s="21"/>
      <c r="U330" s="21"/>
      <c r="V330" s="21"/>
      <c r="W330" s="21"/>
      <c r="X330" s="21"/>
      <c r="Y330" s="21"/>
      <c r="Z330" s="21"/>
      <c r="AB330" s="24" t="str">
        <f aca="false">IF(LEN($C330)&gt;0,COUNT(AB$1:AB329)+1,"")</f>
        <v/>
      </c>
      <c r="AC330" s="24" t="str">
        <f aca="false">IF(LEN($D330)&gt;0,COUNT(AC$1:AC329)+1,"")</f>
        <v/>
      </c>
      <c r="AD330" s="24" t="str">
        <f aca="false">IF(LEN($E330)&gt;0,COUNT(AD$1:AD329)+1,"")</f>
        <v/>
      </c>
      <c r="AE330" s="24" t="str">
        <f aca="false">IF(LEN($F330)&gt;0,COUNT(AE$1:AE329)+1,"")</f>
        <v/>
      </c>
    </row>
    <row r="331" customFormat="false" ht="16.5" hidden="false" customHeight="true" outlineLevel="0" collapsed="false">
      <c r="A331" s="18" t="str">
        <f aca="false">IF(B331="","",ROW()-2)</f>
        <v/>
      </c>
      <c r="B331" s="18"/>
      <c r="C331" s="19"/>
      <c r="D331" s="19"/>
      <c r="E331" s="19"/>
      <c r="F331" s="19"/>
      <c r="G331" s="18"/>
      <c r="H331" s="21"/>
      <c r="I331" s="21"/>
      <c r="J331" s="21"/>
      <c r="K331" s="21"/>
      <c r="L331" s="21"/>
      <c r="M331" s="21"/>
      <c r="N331" s="25"/>
      <c r="O331" s="21"/>
      <c r="P331" s="21"/>
      <c r="Q331" s="21"/>
      <c r="R331" s="21"/>
      <c r="S331" s="21"/>
      <c r="T331" s="21"/>
      <c r="U331" s="21"/>
      <c r="V331" s="21"/>
      <c r="W331" s="21"/>
      <c r="X331" s="21"/>
      <c r="Y331" s="21"/>
      <c r="Z331" s="21"/>
      <c r="AB331" s="24" t="str">
        <f aca="false">IF(LEN($C331)&gt;0,COUNT(AB$1:AB330)+1,"")</f>
        <v/>
      </c>
      <c r="AC331" s="24" t="str">
        <f aca="false">IF(LEN($D331)&gt;0,COUNT(AC$1:AC330)+1,"")</f>
        <v/>
      </c>
      <c r="AD331" s="24" t="str">
        <f aca="false">IF(LEN($E331)&gt;0,COUNT(AD$1:AD330)+1,"")</f>
        <v/>
      </c>
      <c r="AE331" s="24" t="str">
        <f aca="false">IF(LEN($F331)&gt;0,COUNT(AE$1:AE330)+1,"")</f>
        <v/>
      </c>
    </row>
    <row r="332" customFormat="false" ht="16.5" hidden="false" customHeight="true" outlineLevel="0" collapsed="false">
      <c r="A332" s="18" t="str">
        <f aca="false">IF(B332="","",ROW()-2)</f>
        <v/>
      </c>
      <c r="B332" s="18"/>
      <c r="C332" s="19"/>
      <c r="D332" s="19"/>
      <c r="E332" s="19"/>
      <c r="F332" s="19"/>
      <c r="G332" s="18"/>
      <c r="H332" s="21"/>
      <c r="I332" s="21"/>
      <c r="J332" s="21"/>
      <c r="K332" s="21"/>
      <c r="L332" s="21"/>
      <c r="M332" s="21"/>
      <c r="N332" s="25"/>
      <c r="O332" s="21"/>
      <c r="P332" s="21"/>
      <c r="Q332" s="21"/>
      <c r="R332" s="21"/>
      <c r="S332" s="21"/>
      <c r="T332" s="21"/>
      <c r="U332" s="21"/>
      <c r="V332" s="21"/>
      <c r="W332" s="21"/>
      <c r="X332" s="21"/>
      <c r="Y332" s="21"/>
      <c r="Z332" s="21"/>
      <c r="AB332" s="24" t="str">
        <f aca="false">IF(LEN($C332)&gt;0,COUNT(AB$1:AB331)+1,"")</f>
        <v/>
      </c>
      <c r="AC332" s="24" t="str">
        <f aca="false">IF(LEN($D332)&gt;0,COUNT(AC$1:AC331)+1,"")</f>
        <v/>
      </c>
      <c r="AD332" s="24" t="str">
        <f aca="false">IF(LEN($E332)&gt;0,COUNT(AD$1:AD331)+1,"")</f>
        <v/>
      </c>
      <c r="AE332" s="24" t="str">
        <f aca="false">IF(LEN($F332)&gt;0,COUNT(AE$1:AE331)+1,"")</f>
        <v/>
      </c>
    </row>
    <row r="333" customFormat="false" ht="16.5" hidden="false" customHeight="true" outlineLevel="0" collapsed="false">
      <c r="A333" s="18" t="str">
        <f aca="false">IF(B333="","",ROW()-2)</f>
        <v/>
      </c>
      <c r="B333" s="18"/>
      <c r="C333" s="19"/>
      <c r="D333" s="19"/>
      <c r="E333" s="19"/>
      <c r="F333" s="19"/>
      <c r="G333" s="18"/>
      <c r="H333" s="21"/>
      <c r="I333" s="21"/>
      <c r="J333" s="21"/>
      <c r="K333" s="21"/>
      <c r="L333" s="21"/>
      <c r="M333" s="21"/>
      <c r="N333" s="25"/>
      <c r="O333" s="21"/>
      <c r="P333" s="21"/>
      <c r="Q333" s="21"/>
      <c r="R333" s="21"/>
      <c r="S333" s="21"/>
      <c r="T333" s="21"/>
      <c r="U333" s="21"/>
      <c r="V333" s="21"/>
      <c r="W333" s="21"/>
      <c r="X333" s="21"/>
      <c r="Y333" s="21"/>
      <c r="Z333" s="21"/>
      <c r="AB333" s="24" t="str">
        <f aca="false">IF(LEN($C333)&gt;0,COUNT(AB$1:AB332)+1,"")</f>
        <v/>
      </c>
      <c r="AC333" s="24" t="str">
        <f aca="false">IF(LEN($D333)&gt;0,COUNT(AC$1:AC332)+1,"")</f>
        <v/>
      </c>
      <c r="AD333" s="24" t="str">
        <f aca="false">IF(LEN($E333)&gt;0,COUNT(AD$1:AD332)+1,"")</f>
        <v/>
      </c>
      <c r="AE333" s="24" t="str">
        <f aca="false">IF(LEN($F333)&gt;0,COUNT(AE$1:AE332)+1,"")</f>
        <v/>
      </c>
    </row>
    <row r="334" customFormat="false" ht="16.5" hidden="false" customHeight="true" outlineLevel="0" collapsed="false">
      <c r="A334" s="18" t="str">
        <f aca="false">IF(B334="","",ROW()-2)</f>
        <v/>
      </c>
      <c r="B334" s="18"/>
      <c r="C334" s="19"/>
      <c r="D334" s="19"/>
      <c r="E334" s="19"/>
      <c r="F334" s="19"/>
      <c r="G334" s="18"/>
      <c r="H334" s="21"/>
      <c r="I334" s="21"/>
      <c r="J334" s="21"/>
      <c r="K334" s="21"/>
      <c r="L334" s="21"/>
      <c r="M334" s="21"/>
      <c r="N334" s="25"/>
      <c r="O334" s="21"/>
      <c r="P334" s="21"/>
      <c r="Q334" s="21"/>
      <c r="R334" s="21"/>
      <c r="S334" s="21"/>
      <c r="T334" s="21"/>
      <c r="U334" s="21"/>
      <c r="V334" s="21"/>
      <c r="W334" s="21"/>
      <c r="X334" s="21"/>
      <c r="Y334" s="21"/>
      <c r="Z334" s="21"/>
      <c r="AB334" s="24" t="str">
        <f aca="false">IF(LEN($C334)&gt;0,COUNT(AB$1:AB333)+1,"")</f>
        <v/>
      </c>
      <c r="AC334" s="24" t="str">
        <f aca="false">IF(LEN($D334)&gt;0,COUNT(AC$1:AC333)+1,"")</f>
        <v/>
      </c>
      <c r="AD334" s="24" t="str">
        <f aca="false">IF(LEN($E334)&gt;0,COUNT(AD$1:AD333)+1,"")</f>
        <v/>
      </c>
      <c r="AE334" s="24" t="str">
        <f aca="false">IF(LEN($F334)&gt;0,COUNT(AE$1:AE333)+1,"")</f>
        <v/>
      </c>
    </row>
    <row r="335" customFormat="false" ht="16.5" hidden="false" customHeight="true" outlineLevel="0" collapsed="false">
      <c r="A335" s="18" t="str">
        <f aca="false">IF(B335="","",ROW()-2)</f>
        <v/>
      </c>
      <c r="B335" s="18"/>
      <c r="C335" s="19"/>
      <c r="D335" s="19"/>
      <c r="E335" s="19"/>
      <c r="F335" s="19"/>
      <c r="G335" s="18"/>
      <c r="H335" s="21"/>
      <c r="I335" s="21"/>
      <c r="J335" s="21"/>
      <c r="K335" s="21"/>
      <c r="L335" s="21"/>
      <c r="M335" s="21"/>
      <c r="N335" s="25"/>
      <c r="O335" s="21"/>
      <c r="P335" s="21"/>
      <c r="Q335" s="21"/>
      <c r="R335" s="21"/>
      <c r="S335" s="21"/>
      <c r="T335" s="21"/>
      <c r="U335" s="21"/>
      <c r="V335" s="21"/>
      <c r="W335" s="21"/>
      <c r="X335" s="21"/>
      <c r="Y335" s="21"/>
      <c r="Z335" s="21"/>
      <c r="AB335" s="24" t="str">
        <f aca="false">IF(LEN($C335)&gt;0,COUNT(AB$1:AB334)+1,"")</f>
        <v/>
      </c>
      <c r="AC335" s="24" t="str">
        <f aca="false">IF(LEN($D335)&gt;0,COUNT(AC$1:AC334)+1,"")</f>
        <v/>
      </c>
      <c r="AD335" s="24" t="str">
        <f aca="false">IF(LEN($E335)&gt;0,COUNT(AD$1:AD334)+1,"")</f>
        <v/>
      </c>
      <c r="AE335" s="24" t="str">
        <f aca="false">IF(LEN($F335)&gt;0,COUNT(AE$1:AE334)+1,"")</f>
        <v/>
      </c>
    </row>
    <row r="336" customFormat="false" ht="16.5" hidden="false" customHeight="true" outlineLevel="0" collapsed="false">
      <c r="A336" s="18" t="str">
        <f aca="false">IF(B336="","",ROW()-2)</f>
        <v/>
      </c>
      <c r="B336" s="18"/>
      <c r="C336" s="19"/>
      <c r="D336" s="19"/>
      <c r="E336" s="19"/>
      <c r="F336" s="19"/>
      <c r="G336" s="18"/>
      <c r="H336" s="21"/>
      <c r="I336" s="21"/>
      <c r="J336" s="21"/>
      <c r="K336" s="21"/>
      <c r="L336" s="21"/>
      <c r="M336" s="21"/>
      <c r="N336" s="25"/>
      <c r="O336" s="21"/>
      <c r="P336" s="21"/>
      <c r="Q336" s="21"/>
      <c r="R336" s="21"/>
      <c r="S336" s="21"/>
      <c r="T336" s="21"/>
      <c r="U336" s="21"/>
      <c r="V336" s="21"/>
      <c r="W336" s="21"/>
      <c r="X336" s="21"/>
      <c r="Y336" s="21"/>
      <c r="Z336" s="21"/>
      <c r="AB336" s="24" t="str">
        <f aca="false">IF(LEN($C336)&gt;0,COUNT(AB$1:AB335)+1,"")</f>
        <v/>
      </c>
      <c r="AC336" s="24" t="str">
        <f aca="false">IF(LEN($D336)&gt;0,COUNT(AC$1:AC335)+1,"")</f>
        <v/>
      </c>
      <c r="AD336" s="24" t="str">
        <f aca="false">IF(LEN($E336)&gt;0,COUNT(AD$1:AD335)+1,"")</f>
        <v/>
      </c>
      <c r="AE336" s="24" t="str">
        <f aca="false">IF(LEN($F336)&gt;0,COUNT(AE$1:AE335)+1,"")</f>
        <v/>
      </c>
    </row>
    <row r="337" customFormat="false" ht="16.5" hidden="false" customHeight="true" outlineLevel="0" collapsed="false">
      <c r="A337" s="18" t="str">
        <f aca="false">IF(B337="","",ROW()-2)</f>
        <v/>
      </c>
      <c r="B337" s="18"/>
      <c r="C337" s="19"/>
      <c r="D337" s="19"/>
      <c r="E337" s="19"/>
      <c r="F337" s="19"/>
      <c r="G337" s="18"/>
      <c r="H337" s="21"/>
      <c r="I337" s="21"/>
      <c r="J337" s="21"/>
      <c r="K337" s="21"/>
      <c r="L337" s="21"/>
      <c r="M337" s="21"/>
      <c r="N337" s="25"/>
      <c r="O337" s="21"/>
      <c r="P337" s="21"/>
      <c r="Q337" s="21"/>
      <c r="R337" s="21"/>
      <c r="S337" s="21"/>
      <c r="T337" s="21"/>
      <c r="U337" s="21"/>
      <c r="V337" s="21"/>
      <c r="W337" s="21"/>
      <c r="X337" s="21"/>
      <c r="Y337" s="21"/>
      <c r="Z337" s="21"/>
      <c r="AB337" s="24" t="str">
        <f aca="false">IF(LEN($C337)&gt;0,COUNT(AB$1:AB336)+1,"")</f>
        <v/>
      </c>
      <c r="AC337" s="24" t="str">
        <f aca="false">IF(LEN($D337)&gt;0,COUNT(AC$1:AC336)+1,"")</f>
        <v/>
      </c>
      <c r="AD337" s="24" t="str">
        <f aca="false">IF(LEN($E337)&gt;0,COUNT(AD$1:AD336)+1,"")</f>
        <v/>
      </c>
      <c r="AE337" s="24" t="str">
        <f aca="false">IF(LEN($F337)&gt;0,COUNT(AE$1:AE336)+1,"")</f>
        <v/>
      </c>
    </row>
    <row r="338" customFormat="false" ht="16.5" hidden="false" customHeight="true" outlineLevel="0" collapsed="false">
      <c r="A338" s="18" t="str">
        <f aca="false">IF(B338="","",ROW()-2)</f>
        <v/>
      </c>
      <c r="B338" s="18"/>
      <c r="C338" s="19"/>
      <c r="D338" s="19"/>
      <c r="E338" s="19"/>
      <c r="F338" s="19"/>
      <c r="G338" s="18"/>
      <c r="H338" s="21"/>
      <c r="I338" s="21"/>
      <c r="J338" s="21"/>
      <c r="K338" s="21"/>
      <c r="L338" s="21"/>
      <c r="M338" s="21"/>
      <c r="N338" s="25"/>
      <c r="O338" s="21"/>
      <c r="P338" s="21"/>
      <c r="Q338" s="21"/>
      <c r="R338" s="21"/>
      <c r="S338" s="21"/>
      <c r="T338" s="21"/>
      <c r="U338" s="21"/>
      <c r="V338" s="21"/>
      <c r="W338" s="21"/>
      <c r="X338" s="21"/>
      <c r="Y338" s="21"/>
      <c r="Z338" s="21"/>
      <c r="AB338" s="24" t="str">
        <f aca="false">IF(LEN($C338)&gt;0,COUNT(AB$1:AB337)+1,"")</f>
        <v/>
      </c>
      <c r="AC338" s="24" t="str">
        <f aca="false">IF(LEN($D338)&gt;0,COUNT(AC$1:AC337)+1,"")</f>
        <v/>
      </c>
      <c r="AD338" s="24" t="str">
        <f aca="false">IF(LEN($E338)&gt;0,COUNT(AD$1:AD337)+1,"")</f>
        <v/>
      </c>
      <c r="AE338" s="24" t="str">
        <f aca="false">IF(LEN($F338)&gt;0,COUNT(AE$1:AE337)+1,"")</f>
        <v/>
      </c>
    </row>
    <row r="339" customFormat="false" ht="16.5" hidden="false" customHeight="true" outlineLevel="0" collapsed="false">
      <c r="A339" s="18" t="str">
        <f aca="false">IF(B339="","",ROW()-2)</f>
        <v/>
      </c>
      <c r="B339" s="18"/>
      <c r="C339" s="19"/>
      <c r="D339" s="19"/>
      <c r="E339" s="19"/>
      <c r="F339" s="19"/>
      <c r="G339" s="18"/>
      <c r="H339" s="21"/>
      <c r="I339" s="21"/>
      <c r="J339" s="21"/>
      <c r="K339" s="21"/>
      <c r="L339" s="21"/>
      <c r="M339" s="21"/>
      <c r="N339" s="25"/>
      <c r="O339" s="21"/>
      <c r="P339" s="21"/>
      <c r="Q339" s="21"/>
      <c r="R339" s="21"/>
      <c r="S339" s="21"/>
      <c r="T339" s="21"/>
      <c r="U339" s="21"/>
      <c r="V339" s="21"/>
      <c r="W339" s="21"/>
      <c r="X339" s="21"/>
      <c r="Y339" s="21"/>
      <c r="Z339" s="21"/>
      <c r="AB339" s="24" t="str">
        <f aca="false">IF(LEN($C339)&gt;0,COUNT(AB$1:AB338)+1,"")</f>
        <v/>
      </c>
      <c r="AC339" s="24" t="str">
        <f aca="false">IF(LEN($D339)&gt;0,COUNT(AC$1:AC338)+1,"")</f>
        <v/>
      </c>
      <c r="AD339" s="24" t="str">
        <f aca="false">IF(LEN($E339)&gt;0,COUNT(AD$1:AD338)+1,"")</f>
        <v/>
      </c>
      <c r="AE339" s="24" t="str">
        <f aca="false">IF(LEN($F339)&gt;0,COUNT(AE$1:AE338)+1,"")</f>
        <v/>
      </c>
    </row>
    <row r="340" customFormat="false" ht="16.5" hidden="false" customHeight="true" outlineLevel="0" collapsed="false">
      <c r="A340" s="18" t="str">
        <f aca="false">IF(B340="","",ROW()-2)</f>
        <v/>
      </c>
      <c r="B340" s="18"/>
      <c r="C340" s="19"/>
      <c r="D340" s="19"/>
      <c r="E340" s="19"/>
      <c r="F340" s="19"/>
      <c r="G340" s="18"/>
      <c r="H340" s="21"/>
      <c r="I340" s="21"/>
      <c r="J340" s="21"/>
      <c r="K340" s="21"/>
      <c r="L340" s="21"/>
      <c r="M340" s="21"/>
      <c r="N340" s="25"/>
      <c r="O340" s="21"/>
      <c r="P340" s="21"/>
      <c r="Q340" s="21"/>
      <c r="R340" s="21"/>
      <c r="S340" s="21"/>
      <c r="T340" s="21"/>
      <c r="U340" s="21"/>
      <c r="V340" s="21"/>
      <c r="W340" s="21"/>
      <c r="X340" s="21"/>
      <c r="Y340" s="21"/>
      <c r="Z340" s="21"/>
      <c r="AB340" s="24" t="str">
        <f aca="false">IF(LEN($C340)&gt;0,COUNT(AB$1:AB339)+1,"")</f>
        <v/>
      </c>
      <c r="AC340" s="24" t="str">
        <f aca="false">IF(LEN($D340)&gt;0,COUNT(AC$1:AC339)+1,"")</f>
        <v/>
      </c>
      <c r="AD340" s="24" t="str">
        <f aca="false">IF(LEN($E340)&gt;0,COUNT(AD$1:AD339)+1,"")</f>
        <v/>
      </c>
      <c r="AE340" s="24" t="str">
        <f aca="false">IF(LEN($F340)&gt;0,COUNT(AE$1:AE339)+1,"")</f>
        <v/>
      </c>
    </row>
    <row r="341" customFormat="false" ht="16.5" hidden="false" customHeight="true" outlineLevel="0" collapsed="false">
      <c r="A341" s="18" t="str">
        <f aca="false">IF(B341="","",ROW()-2)</f>
        <v/>
      </c>
      <c r="B341" s="18"/>
      <c r="C341" s="19"/>
      <c r="D341" s="19"/>
      <c r="E341" s="19"/>
      <c r="F341" s="19"/>
      <c r="G341" s="18"/>
      <c r="H341" s="21"/>
      <c r="I341" s="21"/>
      <c r="J341" s="21"/>
      <c r="K341" s="21"/>
      <c r="L341" s="21"/>
      <c r="M341" s="21"/>
      <c r="N341" s="25"/>
      <c r="O341" s="21"/>
      <c r="P341" s="21"/>
      <c r="Q341" s="21"/>
      <c r="R341" s="21"/>
      <c r="S341" s="21"/>
      <c r="T341" s="21"/>
      <c r="U341" s="21"/>
      <c r="V341" s="21"/>
      <c r="W341" s="21"/>
      <c r="X341" s="21"/>
      <c r="Y341" s="21"/>
      <c r="Z341" s="21"/>
      <c r="AB341" s="24" t="str">
        <f aca="false">IF(LEN($C341)&gt;0,COUNT(AB$1:AB340)+1,"")</f>
        <v/>
      </c>
      <c r="AC341" s="24" t="str">
        <f aca="false">IF(LEN($D341)&gt;0,COUNT(AC$1:AC340)+1,"")</f>
        <v/>
      </c>
      <c r="AD341" s="24" t="str">
        <f aca="false">IF(LEN($E341)&gt;0,COUNT(AD$1:AD340)+1,"")</f>
        <v/>
      </c>
      <c r="AE341" s="24" t="str">
        <f aca="false">IF(LEN($F341)&gt;0,COUNT(AE$1:AE340)+1,"")</f>
        <v/>
      </c>
    </row>
    <row r="342" customFormat="false" ht="16.5" hidden="false" customHeight="true" outlineLevel="0" collapsed="false">
      <c r="A342" s="18" t="str">
        <f aca="false">IF(B342="","",ROW()-2)</f>
        <v/>
      </c>
      <c r="B342" s="18"/>
      <c r="C342" s="19"/>
      <c r="D342" s="19"/>
      <c r="E342" s="19"/>
      <c r="F342" s="19"/>
      <c r="G342" s="18"/>
      <c r="H342" s="21"/>
      <c r="I342" s="21"/>
      <c r="J342" s="21"/>
      <c r="K342" s="21"/>
      <c r="L342" s="21"/>
      <c r="M342" s="21"/>
      <c r="N342" s="25"/>
      <c r="O342" s="21"/>
      <c r="P342" s="21"/>
      <c r="Q342" s="21"/>
      <c r="R342" s="21"/>
      <c r="S342" s="21"/>
      <c r="T342" s="21"/>
      <c r="U342" s="21"/>
      <c r="V342" s="21"/>
      <c r="W342" s="21"/>
      <c r="X342" s="21"/>
      <c r="Y342" s="21"/>
      <c r="Z342" s="21"/>
      <c r="AB342" s="24" t="str">
        <f aca="false">IF(LEN($C342)&gt;0,COUNT(AB$1:AB341)+1,"")</f>
        <v/>
      </c>
      <c r="AC342" s="24" t="str">
        <f aca="false">IF(LEN($D342)&gt;0,COUNT(AC$1:AC341)+1,"")</f>
        <v/>
      </c>
      <c r="AD342" s="24" t="str">
        <f aca="false">IF(LEN($E342)&gt;0,COUNT(AD$1:AD341)+1,"")</f>
        <v/>
      </c>
      <c r="AE342" s="24" t="str">
        <f aca="false">IF(LEN($F342)&gt;0,COUNT(AE$1:AE341)+1,"")</f>
        <v/>
      </c>
    </row>
    <row r="343" customFormat="false" ht="16.5" hidden="false" customHeight="true" outlineLevel="0" collapsed="false">
      <c r="A343" s="18" t="str">
        <f aca="false">IF(B343="","",ROW()-2)</f>
        <v/>
      </c>
      <c r="B343" s="18"/>
      <c r="C343" s="19"/>
      <c r="D343" s="19"/>
      <c r="E343" s="19"/>
      <c r="F343" s="19"/>
      <c r="G343" s="18"/>
      <c r="H343" s="21"/>
      <c r="I343" s="21"/>
      <c r="J343" s="21"/>
      <c r="K343" s="21"/>
      <c r="L343" s="21"/>
      <c r="M343" s="21"/>
      <c r="N343" s="25"/>
      <c r="O343" s="21"/>
      <c r="P343" s="21"/>
      <c r="Q343" s="21"/>
      <c r="R343" s="21"/>
      <c r="S343" s="21"/>
      <c r="T343" s="21"/>
      <c r="U343" s="21"/>
      <c r="V343" s="21"/>
      <c r="W343" s="21"/>
      <c r="X343" s="21"/>
      <c r="Y343" s="21"/>
      <c r="Z343" s="21"/>
      <c r="AB343" s="24" t="str">
        <f aca="false">IF(LEN($C343)&gt;0,COUNT(AB$1:AB342)+1,"")</f>
        <v/>
      </c>
      <c r="AC343" s="24" t="str">
        <f aca="false">IF(LEN($D343)&gt;0,COUNT(AC$1:AC342)+1,"")</f>
        <v/>
      </c>
      <c r="AD343" s="24" t="str">
        <f aca="false">IF(LEN($E343)&gt;0,COUNT(AD$1:AD342)+1,"")</f>
        <v/>
      </c>
      <c r="AE343" s="24" t="str">
        <f aca="false">IF(LEN($F343)&gt;0,COUNT(AE$1:AE342)+1,"")</f>
        <v/>
      </c>
    </row>
    <row r="344" customFormat="false" ht="16.5" hidden="false" customHeight="true" outlineLevel="0" collapsed="false">
      <c r="A344" s="18" t="str">
        <f aca="false">IF(B344="","",ROW()-2)</f>
        <v/>
      </c>
      <c r="B344" s="18"/>
      <c r="C344" s="19"/>
      <c r="D344" s="19"/>
      <c r="E344" s="19"/>
      <c r="F344" s="19"/>
      <c r="G344" s="18"/>
      <c r="H344" s="21"/>
      <c r="I344" s="21"/>
      <c r="J344" s="21"/>
      <c r="K344" s="21"/>
      <c r="L344" s="21"/>
      <c r="M344" s="21"/>
      <c r="N344" s="25"/>
      <c r="O344" s="21"/>
      <c r="P344" s="21"/>
      <c r="Q344" s="21"/>
      <c r="R344" s="21"/>
      <c r="S344" s="21"/>
      <c r="T344" s="21"/>
      <c r="U344" s="21"/>
      <c r="V344" s="21"/>
      <c r="W344" s="21"/>
      <c r="X344" s="21"/>
      <c r="Y344" s="21"/>
      <c r="Z344" s="21"/>
      <c r="AB344" s="24" t="str">
        <f aca="false">IF(LEN($C344)&gt;0,COUNT(AB$1:AB343)+1,"")</f>
        <v/>
      </c>
      <c r="AC344" s="24" t="str">
        <f aca="false">IF(LEN($D344)&gt;0,COUNT(AC$1:AC343)+1,"")</f>
        <v/>
      </c>
      <c r="AD344" s="24" t="str">
        <f aca="false">IF(LEN($E344)&gt;0,COUNT(AD$1:AD343)+1,"")</f>
        <v/>
      </c>
      <c r="AE344" s="24" t="str">
        <f aca="false">IF(LEN($F344)&gt;0,COUNT(AE$1:AE343)+1,"")</f>
        <v/>
      </c>
    </row>
    <row r="345" customFormat="false" ht="16.5" hidden="false" customHeight="true" outlineLevel="0" collapsed="false">
      <c r="A345" s="18" t="str">
        <f aca="false">IF(B345="","",ROW()-2)</f>
        <v/>
      </c>
      <c r="B345" s="18"/>
      <c r="C345" s="19"/>
      <c r="D345" s="19"/>
      <c r="E345" s="19"/>
      <c r="F345" s="19"/>
      <c r="G345" s="18"/>
      <c r="H345" s="21"/>
      <c r="I345" s="21"/>
      <c r="J345" s="21"/>
      <c r="K345" s="21"/>
      <c r="L345" s="21"/>
      <c r="M345" s="21"/>
      <c r="N345" s="25"/>
      <c r="O345" s="21"/>
      <c r="P345" s="21"/>
      <c r="Q345" s="21"/>
      <c r="R345" s="21"/>
      <c r="S345" s="21"/>
      <c r="T345" s="21"/>
      <c r="U345" s="21"/>
      <c r="V345" s="21"/>
      <c r="W345" s="21"/>
      <c r="X345" s="21"/>
      <c r="Y345" s="21"/>
      <c r="Z345" s="21"/>
      <c r="AB345" s="24" t="str">
        <f aca="false">IF(LEN($C345)&gt;0,COUNT(AB$1:AB344)+1,"")</f>
        <v/>
      </c>
      <c r="AC345" s="24" t="str">
        <f aca="false">IF(LEN($D345)&gt;0,COUNT(AC$1:AC344)+1,"")</f>
        <v/>
      </c>
      <c r="AD345" s="24" t="str">
        <f aca="false">IF(LEN($E345)&gt;0,COUNT(AD$1:AD344)+1,"")</f>
        <v/>
      </c>
      <c r="AE345" s="24" t="str">
        <f aca="false">IF(LEN($F345)&gt;0,COUNT(AE$1:AE344)+1,"")</f>
        <v/>
      </c>
    </row>
    <row r="346" customFormat="false" ht="16.5" hidden="false" customHeight="true" outlineLevel="0" collapsed="false">
      <c r="A346" s="18" t="str">
        <f aca="false">IF(B346="","",ROW()-2)</f>
        <v/>
      </c>
      <c r="B346" s="18"/>
      <c r="C346" s="19"/>
      <c r="D346" s="19"/>
      <c r="E346" s="19"/>
      <c r="F346" s="19"/>
      <c r="G346" s="18"/>
      <c r="H346" s="21"/>
      <c r="I346" s="21"/>
      <c r="J346" s="21"/>
      <c r="K346" s="21"/>
      <c r="L346" s="21"/>
      <c r="M346" s="21"/>
      <c r="N346" s="25"/>
      <c r="O346" s="21"/>
      <c r="P346" s="21"/>
      <c r="Q346" s="21"/>
      <c r="R346" s="21"/>
      <c r="S346" s="21"/>
      <c r="T346" s="21"/>
      <c r="U346" s="21"/>
      <c r="V346" s="21"/>
      <c r="W346" s="21"/>
      <c r="X346" s="21"/>
      <c r="Y346" s="21"/>
      <c r="Z346" s="21"/>
      <c r="AB346" s="24" t="str">
        <f aca="false">IF(LEN($C346)&gt;0,COUNT(AB$1:AB345)+1,"")</f>
        <v/>
      </c>
      <c r="AC346" s="24" t="str">
        <f aca="false">IF(LEN($D346)&gt;0,COUNT(AC$1:AC345)+1,"")</f>
        <v/>
      </c>
      <c r="AD346" s="24" t="str">
        <f aca="false">IF(LEN($E346)&gt;0,COUNT(AD$1:AD345)+1,"")</f>
        <v/>
      </c>
      <c r="AE346" s="24" t="str">
        <f aca="false">IF(LEN($F346)&gt;0,COUNT(AE$1:AE345)+1,"")</f>
        <v/>
      </c>
    </row>
    <row r="347" customFormat="false" ht="16.5" hidden="false" customHeight="true" outlineLevel="0" collapsed="false">
      <c r="A347" s="18" t="str">
        <f aca="false">IF(B347="","",ROW()-2)</f>
        <v/>
      </c>
      <c r="B347" s="18"/>
      <c r="C347" s="19"/>
      <c r="D347" s="19"/>
      <c r="E347" s="19"/>
      <c r="F347" s="19"/>
      <c r="G347" s="18"/>
      <c r="H347" s="21"/>
      <c r="I347" s="21"/>
      <c r="J347" s="21"/>
      <c r="K347" s="21"/>
      <c r="L347" s="21"/>
      <c r="M347" s="21"/>
      <c r="N347" s="25"/>
      <c r="O347" s="21"/>
      <c r="P347" s="21"/>
      <c r="Q347" s="21"/>
      <c r="R347" s="21"/>
      <c r="S347" s="21"/>
      <c r="T347" s="21"/>
      <c r="U347" s="21"/>
      <c r="V347" s="21"/>
      <c r="W347" s="21"/>
      <c r="X347" s="21"/>
      <c r="Y347" s="21"/>
      <c r="Z347" s="21"/>
      <c r="AB347" s="24" t="str">
        <f aca="false">IF(LEN($C347)&gt;0,COUNT(AB$1:AB346)+1,"")</f>
        <v/>
      </c>
      <c r="AC347" s="24" t="str">
        <f aca="false">IF(LEN($D347)&gt;0,COUNT(AC$1:AC346)+1,"")</f>
        <v/>
      </c>
      <c r="AD347" s="24" t="str">
        <f aca="false">IF(LEN($E347)&gt;0,COUNT(AD$1:AD346)+1,"")</f>
        <v/>
      </c>
      <c r="AE347" s="24" t="str">
        <f aca="false">IF(LEN($F347)&gt;0,COUNT(AE$1:AE346)+1,"")</f>
        <v/>
      </c>
    </row>
    <row r="348" customFormat="false" ht="16.5" hidden="false" customHeight="true" outlineLevel="0" collapsed="false">
      <c r="A348" s="18" t="str">
        <f aca="false">IF(B348="","",ROW()-2)</f>
        <v/>
      </c>
      <c r="B348" s="18"/>
      <c r="C348" s="19"/>
      <c r="D348" s="19"/>
      <c r="E348" s="19"/>
      <c r="F348" s="19"/>
      <c r="G348" s="18"/>
      <c r="H348" s="21"/>
      <c r="I348" s="21"/>
      <c r="J348" s="21"/>
      <c r="K348" s="21"/>
      <c r="L348" s="21"/>
      <c r="M348" s="21"/>
      <c r="N348" s="25"/>
      <c r="O348" s="21"/>
      <c r="P348" s="21"/>
      <c r="Q348" s="21"/>
      <c r="R348" s="21"/>
      <c r="S348" s="21"/>
      <c r="T348" s="21"/>
      <c r="U348" s="21"/>
      <c r="V348" s="21"/>
      <c r="W348" s="21"/>
      <c r="X348" s="21"/>
      <c r="Y348" s="21"/>
      <c r="Z348" s="21"/>
      <c r="AB348" s="24" t="str">
        <f aca="false">IF(LEN($C348)&gt;0,COUNT(AB$1:AB347)+1,"")</f>
        <v/>
      </c>
      <c r="AC348" s="24" t="str">
        <f aca="false">IF(LEN($D348)&gt;0,COUNT(AC$1:AC347)+1,"")</f>
        <v/>
      </c>
      <c r="AD348" s="24" t="str">
        <f aca="false">IF(LEN($E348)&gt;0,COUNT(AD$1:AD347)+1,"")</f>
        <v/>
      </c>
      <c r="AE348" s="24" t="str">
        <f aca="false">IF(LEN($F348)&gt;0,COUNT(AE$1:AE347)+1,"")</f>
        <v/>
      </c>
    </row>
    <row r="349" customFormat="false" ht="16.5" hidden="false" customHeight="true" outlineLevel="0" collapsed="false">
      <c r="A349" s="18" t="str">
        <f aca="false">IF(B349="","",ROW()-2)</f>
        <v/>
      </c>
      <c r="B349" s="18"/>
      <c r="C349" s="19"/>
      <c r="D349" s="19"/>
      <c r="E349" s="19"/>
      <c r="F349" s="19"/>
      <c r="G349" s="18"/>
      <c r="H349" s="21"/>
      <c r="I349" s="21"/>
      <c r="J349" s="21"/>
      <c r="K349" s="21"/>
      <c r="L349" s="21"/>
      <c r="M349" s="21"/>
      <c r="N349" s="25"/>
      <c r="O349" s="21"/>
      <c r="P349" s="21"/>
      <c r="Q349" s="21"/>
      <c r="R349" s="21"/>
      <c r="S349" s="21"/>
      <c r="T349" s="21"/>
      <c r="U349" s="21"/>
      <c r="V349" s="21"/>
      <c r="W349" s="21"/>
      <c r="X349" s="21"/>
      <c r="Y349" s="21"/>
      <c r="Z349" s="21"/>
      <c r="AB349" s="24" t="str">
        <f aca="false">IF(LEN($C349)&gt;0,COUNT(AB$1:AB348)+1,"")</f>
        <v/>
      </c>
      <c r="AC349" s="24" t="str">
        <f aca="false">IF(LEN($D349)&gt;0,COUNT(AC$1:AC348)+1,"")</f>
        <v/>
      </c>
      <c r="AD349" s="24" t="str">
        <f aca="false">IF(LEN($E349)&gt;0,COUNT(AD$1:AD348)+1,"")</f>
        <v/>
      </c>
      <c r="AE349" s="24" t="str">
        <f aca="false">IF(LEN($F349)&gt;0,COUNT(AE$1:AE348)+1,"")</f>
        <v/>
      </c>
    </row>
    <row r="350" customFormat="false" ht="16.5" hidden="false" customHeight="true" outlineLevel="0" collapsed="false">
      <c r="A350" s="18" t="str">
        <f aca="false">IF(B350="","",ROW()-2)</f>
        <v/>
      </c>
      <c r="B350" s="18"/>
      <c r="C350" s="19"/>
      <c r="D350" s="19"/>
      <c r="E350" s="19"/>
      <c r="F350" s="19"/>
      <c r="G350" s="18"/>
      <c r="H350" s="21"/>
      <c r="I350" s="21"/>
      <c r="J350" s="21"/>
      <c r="K350" s="21"/>
      <c r="L350" s="21"/>
      <c r="M350" s="21"/>
      <c r="N350" s="25"/>
      <c r="O350" s="21"/>
      <c r="P350" s="21"/>
      <c r="Q350" s="21"/>
      <c r="R350" s="21"/>
      <c r="S350" s="21"/>
      <c r="T350" s="21"/>
      <c r="U350" s="21"/>
      <c r="V350" s="21"/>
      <c r="W350" s="21"/>
      <c r="X350" s="21"/>
      <c r="Y350" s="21"/>
      <c r="Z350" s="21"/>
      <c r="AB350" s="24" t="str">
        <f aca="false">IF(LEN($C350)&gt;0,COUNT(AB$1:AB349)+1,"")</f>
        <v/>
      </c>
      <c r="AC350" s="24" t="str">
        <f aca="false">IF(LEN($D350)&gt;0,COUNT(AC$1:AC349)+1,"")</f>
        <v/>
      </c>
      <c r="AD350" s="24" t="str">
        <f aca="false">IF(LEN($E350)&gt;0,COUNT(AD$1:AD349)+1,"")</f>
        <v/>
      </c>
      <c r="AE350" s="24" t="str">
        <f aca="false">IF(LEN($F350)&gt;0,COUNT(AE$1:AE349)+1,"")</f>
        <v/>
      </c>
    </row>
    <row r="351" customFormat="false" ht="16.5" hidden="false" customHeight="true" outlineLevel="0" collapsed="false">
      <c r="A351" s="18" t="str">
        <f aca="false">IF(B351="","",ROW()-2)</f>
        <v/>
      </c>
      <c r="B351" s="18"/>
      <c r="C351" s="19"/>
      <c r="D351" s="19"/>
      <c r="E351" s="19"/>
      <c r="F351" s="19"/>
      <c r="G351" s="18"/>
      <c r="H351" s="21"/>
      <c r="I351" s="21"/>
      <c r="J351" s="21"/>
      <c r="K351" s="21"/>
      <c r="L351" s="21"/>
      <c r="M351" s="21"/>
      <c r="N351" s="25"/>
      <c r="O351" s="21"/>
      <c r="P351" s="21"/>
      <c r="Q351" s="21"/>
      <c r="R351" s="21"/>
      <c r="S351" s="21"/>
      <c r="T351" s="21"/>
      <c r="U351" s="21"/>
      <c r="V351" s="21"/>
      <c r="W351" s="21"/>
      <c r="X351" s="21"/>
      <c r="Y351" s="21"/>
      <c r="Z351" s="21"/>
      <c r="AB351" s="24" t="str">
        <f aca="false">IF(LEN($C351)&gt;0,COUNT(AB$1:AB350)+1,"")</f>
        <v/>
      </c>
      <c r="AC351" s="24" t="str">
        <f aca="false">IF(LEN($D351)&gt;0,COUNT(AC$1:AC350)+1,"")</f>
        <v/>
      </c>
      <c r="AD351" s="24" t="str">
        <f aca="false">IF(LEN($E351)&gt;0,COUNT(AD$1:AD350)+1,"")</f>
        <v/>
      </c>
      <c r="AE351" s="24" t="str">
        <f aca="false">IF(LEN($F351)&gt;0,COUNT(AE$1:AE350)+1,"")</f>
        <v/>
      </c>
    </row>
    <row r="352" customFormat="false" ht="16.5" hidden="false" customHeight="true" outlineLevel="0" collapsed="false">
      <c r="A352" s="18" t="str">
        <f aca="false">IF(B352="","",ROW()-2)</f>
        <v/>
      </c>
      <c r="B352" s="18"/>
      <c r="C352" s="19"/>
      <c r="D352" s="19"/>
      <c r="E352" s="19"/>
      <c r="F352" s="19"/>
      <c r="G352" s="18"/>
      <c r="H352" s="21"/>
      <c r="I352" s="21"/>
      <c r="J352" s="21"/>
      <c r="K352" s="21"/>
      <c r="L352" s="21"/>
      <c r="M352" s="21"/>
      <c r="N352" s="25"/>
      <c r="O352" s="21"/>
      <c r="P352" s="21"/>
      <c r="Q352" s="21"/>
      <c r="R352" s="21"/>
      <c r="S352" s="21"/>
      <c r="T352" s="21"/>
      <c r="U352" s="21"/>
      <c r="V352" s="21"/>
      <c r="W352" s="21"/>
      <c r="X352" s="21"/>
      <c r="Y352" s="21"/>
      <c r="Z352" s="21"/>
      <c r="AB352" s="24" t="str">
        <f aca="false">IF(LEN($C352)&gt;0,COUNT(AB$1:AB351)+1,"")</f>
        <v/>
      </c>
      <c r="AC352" s="24" t="str">
        <f aca="false">IF(LEN($D352)&gt;0,COUNT(AC$1:AC351)+1,"")</f>
        <v/>
      </c>
      <c r="AD352" s="24" t="str">
        <f aca="false">IF(LEN($E352)&gt;0,COUNT(AD$1:AD351)+1,"")</f>
        <v/>
      </c>
      <c r="AE352" s="24" t="str">
        <f aca="false">IF(LEN($F352)&gt;0,COUNT(AE$1:AE351)+1,"")</f>
        <v/>
      </c>
    </row>
    <row r="353" customFormat="false" ht="16.5" hidden="false" customHeight="true" outlineLevel="0" collapsed="false">
      <c r="A353" s="18" t="str">
        <f aca="false">IF(B353="","",ROW()-2)</f>
        <v/>
      </c>
      <c r="B353" s="18"/>
      <c r="C353" s="19"/>
      <c r="D353" s="19"/>
      <c r="E353" s="19"/>
      <c r="F353" s="19"/>
      <c r="G353" s="18"/>
      <c r="H353" s="21"/>
      <c r="I353" s="21"/>
      <c r="J353" s="21"/>
      <c r="K353" s="21"/>
      <c r="L353" s="21"/>
      <c r="M353" s="21"/>
      <c r="N353" s="25"/>
      <c r="O353" s="21"/>
      <c r="P353" s="21"/>
      <c r="Q353" s="21"/>
      <c r="R353" s="21"/>
      <c r="S353" s="21"/>
      <c r="T353" s="21"/>
      <c r="U353" s="21"/>
      <c r="V353" s="21"/>
      <c r="W353" s="21"/>
      <c r="X353" s="21"/>
      <c r="Y353" s="21"/>
      <c r="Z353" s="21"/>
      <c r="AB353" s="24" t="str">
        <f aca="false">IF(LEN($C353)&gt;0,COUNT(AB$1:AB352)+1,"")</f>
        <v/>
      </c>
      <c r="AC353" s="24" t="str">
        <f aca="false">IF(LEN($D353)&gt;0,COUNT(AC$1:AC352)+1,"")</f>
        <v/>
      </c>
      <c r="AD353" s="24" t="str">
        <f aca="false">IF(LEN($E353)&gt;0,COUNT(AD$1:AD352)+1,"")</f>
        <v/>
      </c>
      <c r="AE353" s="24" t="str">
        <f aca="false">IF(LEN($F353)&gt;0,COUNT(AE$1:AE352)+1,"")</f>
        <v/>
      </c>
    </row>
    <row r="354" customFormat="false" ht="16.5" hidden="false" customHeight="true" outlineLevel="0" collapsed="false">
      <c r="A354" s="18" t="str">
        <f aca="false">IF(B354="","",ROW()-2)</f>
        <v/>
      </c>
      <c r="B354" s="18"/>
      <c r="C354" s="19"/>
      <c r="D354" s="19"/>
      <c r="E354" s="19"/>
      <c r="F354" s="19"/>
      <c r="G354" s="18"/>
      <c r="H354" s="21"/>
      <c r="I354" s="21"/>
      <c r="J354" s="21"/>
      <c r="K354" s="21"/>
      <c r="L354" s="21"/>
      <c r="M354" s="21"/>
      <c r="N354" s="25"/>
      <c r="O354" s="21"/>
      <c r="P354" s="21"/>
      <c r="Q354" s="21"/>
      <c r="R354" s="21"/>
      <c r="S354" s="21"/>
      <c r="T354" s="21"/>
      <c r="U354" s="21"/>
      <c r="V354" s="21"/>
      <c r="W354" s="21"/>
      <c r="X354" s="21"/>
      <c r="Y354" s="21"/>
      <c r="Z354" s="21"/>
      <c r="AB354" s="24" t="str">
        <f aca="false">IF(LEN($C354)&gt;0,COUNT(AB$1:AB353)+1,"")</f>
        <v/>
      </c>
      <c r="AC354" s="24" t="str">
        <f aca="false">IF(LEN($D354)&gt;0,COUNT(AC$1:AC353)+1,"")</f>
        <v/>
      </c>
      <c r="AD354" s="24" t="str">
        <f aca="false">IF(LEN($E354)&gt;0,COUNT(AD$1:AD353)+1,"")</f>
        <v/>
      </c>
      <c r="AE354" s="24" t="str">
        <f aca="false">IF(LEN($F354)&gt;0,COUNT(AE$1:AE353)+1,"")</f>
        <v/>
      </c>
    </row>
    <row r="355" customFormat="false" ht="16.5" hidden="false" customHeight="true" outlineLevel="0" collapsed="false">
      <c r="A355" s="18" t="str">
        <f aca="false">IF(B355="","",ROW()-2)</f>
        <v/>
      </c>
      <c r="B355" s="18"/>
      <c r="C355" s="19"/>
      <c r="D355" s="19"/>
      <c r="E355" s="19"/>
      <c r="F355" s="19"/>
      <c r="G355" s="18"/>
      <c r="H355" s="21"/>
      <c r="I355" s="21"/>
      <c r="J355" s="21"/>
      <c r="K355" s="21"/>
      <c r="L355" s="21"/>
      <c r="M355" s="21"/>
      <c r="N355" s="25"/>
      <c r="O355" s="21"/>
      <c r="P355" s="21"/>
      <c r="Q355" s="21"/>
      <c r="R355" s="21"/>
      <c r="S355" s="21"/>
      <c r="T355" s="21"/>
      <c r="U355" s="21"/>
      <c r="V355" s="21"/>
      <c r="W355" s="21"/>
      <c r="X355" s="21"/>
      <c r="Y355" s="21"/>
      <c r="Z355" s="21"/>
      <c r="AB355" s="24" t="str">
        <f aca="false">IF(LEN($C355)&gt;0,COUNT(AB$1:AB354)+1,"")</f>
        <v/>
      </c>
      <c r="AC355" s="24" t="str">
        <f aca="false">IF(LEN($D355)&gt;0,COUNT(AC$1:AC354)+1,"")</f>
        <v/>
      </c>
      <c r="AD355" s="24" t="str">
        <f aca="false">IF(LEN($E355)&gt;0,COUNT(AD$1:AD354)+1,"")</f>
        <v/>
      </c>
      <c r="AE355" s="24" t="str">
        <f aca="false">IF(LEN($F355)&gt;0,COUNT(AE$1:AE354)+1,"")</f>
        <v/>
      </c>
    </row>
    <row r="356" customFormat="false" ht="16.5" hidden="false" customHeight="true" outlineLevel="0" collapsed="false">
      <c r="A356" s="18" t="str">
        <f aca="false">IF(B356="","",ROW()-2)</f>
        <v/>
      </c>
      <c r="B356" s="18"/>
      <c r="C356" s="19"/>
      <c r="D356" s="19"/>
      <c r="E356" s="19"/>
      <c r="F356" s="19"/>
      <c r="G356" s="18"/>
      <c r="H356" s="21"/>
      <c r="I356" s="21"/>
      <c r="J356" s="21"/>
      <c r="K356" s="21"/>
      <c r="L356" s="21"/>
      <c r="M356" s="21"/>
      <c r="N356" s="25"/>
      <c r="O356" s="21"/>
      <c r="P356" s="21"/>
      <c r="Q356" s="21"/>
      <c r="R356" s="21"/>
      <c r="S356" s="21"/>
      <c r="T356" s="21"/>
      <c r="U356" s="21"/>
      <c r="V356" s="21"/>
      <c r="W356" s="21"/>
      <c r="X356" s="21"/>
      <c r="Y356" s="21"/>
      <c r="Z356" s="21"/>
      <c r="AB356" s="24" t="str">
        <f aca="false">IF(LEN($C356)&gt;0,COUNT(AB$1:AB355)+1,"")</f>
        <v/>
      </c>
      <c r="AC356" s="24" t="str">
        <f aca="false">IF(LEN($D356)&gt;0,COUNT(AC$1:AC355)+1,"")</f>
        <v/>
      </c>
      <c r="AD356" s="24" t="str">
        <f aca="false">IF(LEN($E356)&gt;0,COUNT(AD$1:AD355)+1,"")</f>
        <v/>
      </c>
      <c r="AE356" s="24" t="str">
        <f aca="false">IF(LEN($F356)&gt;0,COUNT(AE$1:AE355)+1,"")</f>
        <v/>
      </c>
    </row>
    <row r="357" customFormat="false" ht="16.5" hidden="false" customHeight="true" outlineLevel="0" collapsed="false">
      <c r="A357" s="18" t="str">
        <f aca="false">IF(B357="","",ROW()-2)</f>
        <v/>
      </c>
      <c r="B357" s="18"/>
      <c r="C357" s="19"/>
      <c r="D357" s="19"/>
      <c r="E357" s="19"/>
      <c r="F357" s="19"/>
      <c r="G357" s="18"/>
      <c r="H357" s="21"/>
      <c r="I357" s="21"/>
      <c r="J357" s="21"/>
      <c r="K357" s="21"/>
      <c r="L357" s="21"/>
      <c r="M357" s="21"/>
      <c r="N357" s="25"/>
      <c r="O357" s="21"/>
      <c r="P357" s="21"/>
      <c r="Q357" s="21"/>
      <c r="R357" s="21"/>
      <c r="S357" s="21"/>
      <c r="T357" s="21"/>
      <c r="U357" s="21"/>
      <c r="V357" s="21"/>
      <c r="W357" s="21"/>
      <c r="X357" s="21"/>
      <c r="Y357" s="21"/>
      <c r="Z357" s="21"/>
      <c r="AB357" s="24" t="str">
        <f aca="false">IF(LEN($C357)&gt;0,COUNT(AB$1:AB356)+1,"")</f>
        <v/>
      </c>
      <c r="AC357" s="24" t="str">
        <f aca="false">IF(LEN($D357)&gt;0,COUNT(AC$1:AC356)+1,"")</f>
        <v/>
      </c>
      <c r="AD357" s="24" t="str">
        <f aca="false">IF(LEN($E357)&gt;0,COUNT(AD$1:AD356)+1,"")</f>
        <v/>
      </c>
      <c r="AE357" s="24" t="str">
        <f aca="false">IF(LEN($F357)&gt;0,COUNT(AE$1:AE356)+1,"")</f>
        <v/>
      </c>
    </row>
    <row r="358" customFormat="false" ht="16.5" hidden="false" customHeight="true" outlineLevel="0" collapsed="false">
      <c r="A358" s="18" t="str">
        <f aca="false">IF(B358="","",ROW()-2)</f>
        <v/>
      </c>
      <c r="B358" s="18"/>
      <c r="C358" s="19"/>
      <c r="D358" s="19"/>
      <c r="E358" s="19"/>
      <c r="F358" s="19"/>
      <c r="G358" s="18"/>
      <c r="H358" s="21"/>
      <c r="I358" s="21"/>
      <c r="J358" s="21"/>
      <c r="K358" s="21"/>
      <c r="L358" s="21"/>
      <c r="M358" s="21"/>
      <c r="N358" s="25"/>
      <c r="O358" s="21"/>
      <c r="P358" s="21"/>
      <c r="Q358" s="21"/>
      <c r="R358" s="21"/>
      <c r="S358" s="21"/>
      <c r="T358" s="21"/>
      <c r="U358" s="21"/>
      <c r="V358" s="21"/>
      <c r="W358" s="21"/>
      <c r="X358" s="21"/>
      <c r="Y358" s="21"/>
      <c r="Z358" s="21"/>
      <c r="AB358" s="24" t="str">
        <f aca="false">IF(LEN($C358)&gt;0,COUNT(AB$1:AB357)+1,"")</f>
        <v/>
      </c>
      <c r="AC358" s="24" t="str">
        <f aca="false">IF(LEN($D358)&gt;0,COUNT(AC$1:AC357)+1,"")</f>
        <v/>
      </c>
      <c r="AD358" s="24" t="str">
        <f aca="false">IF(LEN($E358)&gt;0,COUNT(AD$1:AD357)+1,"")</f>
        <v/>
      </c>
      <c r="AE358" s="24" t="str">
        <f aca="false">IF(LEN($F358)&gt;0,COUNT(AE$1:AE357)+1,"")</f>
        <v/>
      </c>
    </row>
    <row r="359" customFormat="false" ht="16.5" hidden="false" customHeight="true" outlineLevel="0" collapsed="false">
      <c r="A359" s="18" t="str">
        <f aca="false">IF(B359="","",ROW()-2)</f>
        <v/>
      </c>
      <c r="B359" s="18"/>
      <c r="C359" s="19"/>
      <c r="D359" s="19"/>
      <c r="E359" s="19"/>
      <c r="F359" s="19"/>
      <c r="G359" s="18"/>
      <c r="H359" s="21"/>
      <c r="I359" s="21"/>
      <c r="J359" s="21"/>
      <c r="K359" s="21"/>
      <c r="L359" s="21"/>
      <c r="M359" s="21"/>
      <c r="N359" s="25"/>
      <c r="O359" s="21"/>
      <c r="P359" s="21"/>
      <c r="Q359" s="21"/>
      <c r="R359" s="21"/>
      <c r="S359" s="21"/>
      <c r="T359" s="21"/>
      <c r="U359" s="21"/>
      <c r="V359" s="21"/>
      <c r="W359" s="21"/>
      <c r="X359" s="21"/>
      <c r="Y359" s="21"/>
      <c r="Z359" s="21"/>
      <c r="AB359" s="24" t="str">
        <f aca="false">IF(LEN($C359)&gt;0,COUNT(AB$1:AB358)+1,"")</f>
        <v/>
      </c>
      <c r="AC359" s="24" t="str">
        <f aca="false">IF(LEN($D359)&gt;0,COUNT(AC$1:AC358)+1,"")</f>
        <v/>
      </c>
      <c r="AD359" s="24" t="str">
        <f aca="false">IF(LEN($E359)&gt;0,COUNT(AD$1:AD358)+1,"")</f>
        <v/>
      </c>
      <c r="AE359" s="24" t="str">
        <f aca="false">IF(LEN($F359)&gt;0,COUNT(AE$1:AE358)+1,"")</f>
        <v/>
      </c>
    </row>
    <row r="360" customFormat="false" ht="16.5" hidden="false" customHeight="true" outlineLevel="0" collapsed="false">
      <c r="A360" s="18" t="str">
        <f aca="false">IF(B360="","",ROW()-2)</f>
        <v/>
      </c>
      <c r="B360" s="18"/>
      <c r="C360" s="19"/>
      <c r="D360" s="19"/>
      <c r="E360" s="19"/>
      <c r="F360" s="19"/>
      <c r="G360" s="18"/>
      <c r="H360" s="21"/>
      <c r="I360" s="21"/>
      <c r="J360" s="21"/>
      <c r="K360" s="21"/>
      <c r="L360" s="21"/>
      <c r="M360" s="21"/>
      <c r="N360" s="25"/>
      <c r="O360" s="21"/>
      <c r="P360" s="21"/>
      <c r="Q360" s="21"/>
      <c r="R360" s="21"/>
      <c r="S360" s="21"/>
      <c r="T360" s="21"/>
      <c r="U360" s="21"/>
      <c r="V360" s="21"/>
      <c r="W360" s="21"/>
      <c r="X360" s="21"/>
      <c r="Y360" s="21"/>
      <c r="Z360" s="21"/>
      <c r="AB360" s="24" t="str">
        <f aca="false">IF(LEN($C360)&gt;0,COUNT(AB$1:AB359)+1,"")</f>
        <v/>
      </c>
      <c r="AC360" s="24" t="str">
        <f aca="false">IF(LEN($D360)&gt;0,COUNT(AC$1:AC359)+1,"")</f>
        <v/>
      </c>
      <c r="AD360" s="24" t="str">
        <f aca="false">IF(LEN($E360)&gt;0,COUNT(AD$1:AD359)+1,"")</f>
        <v/>
      </c>
      <c r="AE360" s="24" t="str">
        <f aca="false">IF(LEN($F360)&gt;0,COUNT(AE$1:AE359)+1,"")</f>
        <v/>
      </c>
    </row>
    <row r="361" customFormat="false" ht="16.5" hidden="false" customHeight="true" outlineLevel="0" collapsed="false">
      <c r="A361" s="18" t="str">
        <f aca="false">IF(B361="","",ROW()-2)</f>
        <v/>
      </c>
      <c r="B361" s="18"/>
      <c r="C361" s="19"/>
      <c r="D361" s="19"/>
      <c r="E361" s="19"/>
      <c r="F361" s="19"/>
      <c r="G361" s="18"/>
      <c r="H361" s="21"/>
      <c r="I361" s="21"/>
      <c r="J361" s="21"/>
      <c r="K361" s="21"/>
      <c r="L361" s="21"/>
      <c r="M361" s="21"/>
      <c r="N361" s="25"/>
      <c r="O361" s="21"/>
      <c r="P361" s="21"/>
      <c r="Q361" s="21"/>
      <c r="R361" s="21"/>
      <c r="S361" s="21"/>
      <c r="T361" s="21"/>
      <c r="U361" s="21"/>
      <c r="V361" s="21"/>
      <c r="W361" s="21"/>
      <c r="X361" s="21"/>
      <c r="Y361" s="21"/>
      <c r="Z361" s="21"/>
      <c r="AB361" s="24" t="str">
        <f aca="false">IF(LEN($C361)&gt;0,COUNT(AB$1:AB360)+1,"")</f>
        <v/>
      </c>
      <c r="AC361" s="24" t="str">
        <f aca="false">IF(LEN($D361)&gt;0,COUNT(AC$1:AC360)+1,"")</f>
        <v/>
      </c>
      <c r="AD361" s="24" t="str">
        <f aca="false">IF(LEN($E361)&gt;0,COUNT(AD$1:AD360)+1,"")</f>
        <v/>
      </c>
      <c r="AE361" s="24" t="str">
        <f aca="false">IF(LEN($F361)&gt;0,COUNT(AE$1:AE360)+1,"")</f>
        <v/>
      </c>
    </row>
    <row r="362" customFormat="false" ht="16.5" hidden="false" customHeight="true" outlineLevel="0" collapsed="false">
      <c r="A362" s="18" t="str">
        <f aca="false">IF(B362="","",ROW()-2)</f>
        <v/>
      </c>
      <c r="B362" s="18"/>
      <c r="C362" s="19"/>
      <c r="D362" s="19"/>
      <c r="E362" s="19"/>
      <c r="F362" s="19"/>
      <c r="G362" s="18"/>
      <c r="H362" s="21"/>
      <c r="I362" s="21"/>
      <c r="J362" s="21"/>
      <c r="K362" s="21"/>
      <c r="L362" s="21"/>
      <c r="M362" s="21"/>
      <c r="N362" s="25"/>
      <c r="O362" s="21"/>
      <c r="P362" s="21"/>
      <c r="Q362" s="21"/>
      <c r="R362" s="21"/>
      <c r="S362" s="21"/>
      <c r="T362" s="21"/>
      <c r="U362" s="21"/>
      <c r="V362" s="21"/>
      <c r="W362" s="21"/>
      <c r="X362" s="21"/>
      <c r="Y362" s="21"/>
      <c r="Z362" s="21"/>
      <c r="AB362" s="24" t="str">
        <f aca="false">IF(LEN($C362)&gt;0,COUNT(AB$1:AB361)+1,"")</f>
        <v/>
      </c>
      <c r="AC362" s="24" t="str">
        <f aca="false">IF(LEN($D362)&gt;0,COUNT(AC$1:AC361)+1,"")</f>
        <v/>
      </c>
      <c r="AD362" s="24" t="str">
        <f aca="false">IF(LEN($E362)&gt;0,COUNT(AD$1:AD361)+1,"")</f>
        <v/>
      </c>
      <c r="AE362" s="24" t="str">
        <f aca="false">IF(LEN($F362)&gt;0,COUNT(AE$1:AE361)+1,"")</f>
        <v/>
      </c>
    </row>
    <row r="363" customFormat="false" ht="16.5" hidden="false" customHeight="true" outlineLevel="0" collapsed="false">
      <c r="A363" s="18" t="str">
        <f aca="false">IF(B363="","",ROW()-2)</f>
        <v/>
      </c>
      <c r="B363" s="18"/>
      <c r="C363" s="19"/>
      <c r="D363" s="19"/>
      <c r="E363" s="19"/>
      <c r="F363" s="19"/>
      <c r="G363" s="18"/>
      <c r="H363" s="21"/>
      <c r="I363" s="21"/>
      <c r="J363" s="21"/>
      <c r="K363" s="21"/>
      <c r="L363" s="21"/>
      <c r="M363" s="21"/>
      <c r="N363" s="25"/>
      <c r="O363" s="21"/>
      <c r="P363" s="21"/>
      <c r="Q363" s="21"/>
      <c r="R363" s="21"/>
      <c r="S363" s="21"/>
      <c r="T363" s="21"/>
      <c r="U363" s="21"/>
      <c r="V363" s="21"/>
      <c r="W363" s="21"/>
      <c r="X363" s="21"/>
      <c r="Y363" s="21"/>
      <c r="Z363" s="21"/>
      <c r="AB363" s="24" t="str">
        <f aca="false">IF(LEN($C363)&gt;0,COUNT(AB$1:AB362)+1,"")</f>
        <v/>
      </c>
      <c r="AC363" s="24" t="str">
        <f aca="false">IF(LEN($D363)&gt;0,COUNT(AC$1:AC362)+1,"")</f>
        <v/>
      </c>
      <c r="AD363" s="24" t="str">
        <f aca="false">IF(LEN($E363)&gt;0,COUNT(AD$1:AD362)+1,"")</f>
        <v/>
      </c>
      <c r="AE363" s="24" t="str">
        <f aca="false">IF(LEN($F363)&gt;0,COUNT(AE$1:AE362)+1,"")</f>
        <v/>
      </c>
    </row>
    <row r="364" customFormat="false" ht="16.5" hidden="false" customHeight="true" outlineLevel="0" collapsed="false">
      <c r="A364" s="18" t="str">
        <f aca="false">IF(B364="","",ROW()-2)</f>
        <v/>
      </c>
      <c r="B364" s="18"/>
      <c r="C364" s="19"/>
      <c r="D364" s="19"/>
      <c r="E364" s="19"/>
      <c r="F364" s="19"/>
      <c r="G364" s="18"/>
      <c r="H364" s="21"/>
      <c r="I364" s="21"/>
      <c r="J364" s="21"/>
      <c r="K364" s="21"/>
      <c r="L364" s="21"/>
      <c r="M364" s="21"/>
      <c r="N364" s="25"/>
      <c r="O364" s="21"/>
      <c r="P364" s="21"/>
      <c r="Q364" s="21"/>
      <c r="R364" s="21"/>
      <c r="S364" s="21"/>
      <c r="T364" s="21"/>
      <c r="U364" s="21"/>
      <c r="V364" s="21"/>
      <c r="W364" s="21"/>
      <c r="X364" s="21"/>
      <c r="Y364" s="21"/>
      <c r="Z364" s="21"/>
      <c r="AB364" s="24" t="str">
        <f aca="false">IF(LEN($C364)&gt;0,COUNT(AB$1:AB363)+1,"")</f>
        <v/>
      </c>
      <c r="AC364" s="24" t="str">
        <f aca="false">IF(LEN($D364)&gt;0,COUNT(AC$1:AC363)+1,"")</f>
        <v/>
      </c>
      <c r="AD364" s="24" t="str">
        <f aca="false">IF(LEN($E364)&gt;0,COUNT(AD$1:AD363)+1,"")</f>
        <v/>
      </c>
      <c r="AE364" s="24" t="str">
        <f aca="false">IF(LEN($F364)&gt;0,COUNT(AE$1:AE363)+1,"")</f>
        <v/>
      </c>
    </row>
    <row r="365" customFormat="false" ht="16.5" hidden="false" customHeight="true" outlineLevel="0" collapsed="false">
      <c r="A365" s="18" t="str">
        <f aca="false">IF(B365="","",ROW()-2)</f>
        <v/>
      </c>
      <c r="B365" s="18"/>
      <c r="C365" s="19"/>
      <c r="D365" s="19"/>
      <c r="E365" s="19"/>
      <c r="F365" s="19"/>
      <c r="G365" s="18"/>
      <c r="H365" s="21"/>
      <c r="I365" s="21"/>
      <c r="J365" s="21"/>
      <c r="K365" s="21"/>
      <c r="L365" s="21"/>
      <c r="M365" s="21"/>
      <c r="N365" s="25"/>
      <c r="O365" s="21"/>
      <c r="P365" s="21"/>
      <c r="Q365" s="21"/>
      <c r="R365" s="21"/>
      <c r="S365" s="21"/>
      <c r="T365" s="21"/>
      <c r="U365" s="21"/>
      <c r="V365" s="21"/>
      <c r="W365" s="21"/>
      <c r="X365" s="21"/>
      <c r="Y365" s="21"/>
      <c r="Z365" s="21"/>
      <c r="AB365" s="24" t="str">
        <f aca="false">IF(LEN($C365)&gt;0,COUNT(AB$1:AB364)+1,"")</f>
        <v/>
      </c>
      <c r="AC365" s="24" t="str">
        <f aca="false">IF(LEN($D365)&gt;0,COUNT(AC$1:AC364)+1,"")</f>
        <v/>
      </c>
      <c r="AD365" s="24" t="str">
        <f aca="false">IF(LEN($E365)&gt;0,COUNT(AD$1:AD364)+1,"")</f>
        <v/>
      </c>
      <c r="AE365" s="24" t="str">
        <f aca="false">IF(LEN($F365)&gt;0,COUNT(AE$1:AE364)+1,"")</f>
        <v/>
      </c>
    </row>
    <row r="366" customFormat="false" ht="16.5" hidden="false" customHeight="true" outlineLevel="0" collapsed="false">
      <c r="A366" s="18" t="str">
        <f aca="false">IF(B366="","",ROW()-2)</f>
        <v/>
      </c>
      <c r="B366" s="18"/>
      <c r="C366" s="19"/>
      <c r="D366" s="19"/>
      <c r="E366" s="19"/>
      <c r="F366" s="19"/>
      <c r="G366" s="18"/>
      <c r="H366" s="21"/>
      <c r="I366" s="21"/>
      <c r="J366" s="21"/>
      <c r="K366" s="21"/>
      <c r="L366" s="21"/>
      <c r="M366" s="21"/>
      <c r="N366" s="25"/>
      <c r="O366" s="21"/>
      <c r="P366" s="21"/>
      <c r="Q366" s="21"/>
      <c r="R366" s="21"/>
      <c r="S366" s="21"/>
      <c r="T366" s="21"/>
      <c r="U366" s="21"/>
      <c r="V366" s="21"/>
      <c r="W366" s="21"/>
      <c r="X366" s="21"/>
      <c r="Y366" s="21"/>
      <c r="Z366" s="21"/>
      <c r="AB366" s="24" t="str">
        <f aca="false">IF(LEN($C366)&gt;0,COUNT(AB$1:AB365)+1,"")</f>
        <v/>
      </c>
      <c r="AC366" s="24" t="str">
        <f aca="false">IF(LEN($D366)&gt;0,COUNT(AC$1:AC365)+1,"")</f>
        <v/>
      </c>
      <c r="AD366" s="24" t="str">
        <f aca="false">IF(LEN($E366)&gt;0,COUNT(AD$1:AD365)+1,"")</f>
        <v/>
      </c>
      <c r="AE366" s="24" t="str">
        <f aca="false">IF(LEN($F366)&gt;0,COUNT(AE$1:AE365)+1,"")</f>
        <v/>
      </c>
    </row>
    <row r="367" customFormat="false" ht="16.5" hidden="false" customHeight="true" outlineLevel="0" collapsed="false">
      <c r="A367" s="18" t="str">
        <f aca="false">IF(B367="","",ROW()-2)</f>
        <v/>
      </c>
      <c r="B367" s="18"/>
      <c r="C367" s="19"/>
      <c r="D367" s="19"/>
      <c r="E367" s="19"/>
      <c r="F367" s="19"/>
      <c r="G367" s="18"/>
      <c r="H367" s="21"/>
      <c r="I367" s="21"/>
      <c r="J367" s="21"/>
      <c r="K367" s="21"/>
      <c r="L367" s="21"/>
      <c r="M367" s="21"/>
      <c r="N367" s="25"/>
      <c r="O367" s="21"/>
      <c r="P367" s="21"/>
      <c r="Q367" s="21"/>
      <c r="R367" s="21"/>
      <c r="S367" s="21"/>
      <c r="T367" s="21"/>
      <c r="U367" s="21"/>
      <c r="V367" s="21"/>
      <c r="W367" s="21"/>
      <c r="X367" s="21"/>
      <c r="Y367" s="21"/>
      <c r="Z367" s="21"/>
      <c r="AB367" s="24" t="str">
        <f aca="false">IF(LEN($C367)&gt;0,COUNT(AB$1:AB366)+1,"")</f>
        <v/>
      </c>
      <c r="AC367" s="24" t="str">
        <f aca="false">IF(LEN($D367)&gt;0,COUNT(AC$1:AC366)+1,"")</f>
        <v/>
      </c>
      <c r="AD367" s="24" t="str">
        <f aca="false">IF(LEN($E367)&gt;0,COUNT(AD$1:AD366)+1,"")</f>
        <v/>
      </c>
      <c r="AE367" s="24" t="str">
        <f aca="false">IF(LEN($F367)&gt;0,COUNT(AE$1:AE366)+1,"")</f>
        <v/>
      </c>
    </row>
    <row r="368" customFormat="false" ht="16.5" hidden="false" customHeight="true" outlineLevel="0" collapsed="false">
      <c r="A368" s="18" t="str">
        <f aca="false">IF(B368="","",ROW()-2)</f>
        <v/>
      </c>
      <c r="B368" s="18"/>
      <c r="C368" s="19"/>
      <c r="D368" s="19"/>
      <c r="E368" s="19"/>
      <c r="F368" s="19"/>
      <c r="G368" s="18"/>
      <c r="H368" s="21"/>
      <c r="I368" s="21"/>
      <c r="J368" s="21"/>
      <c r="K368" s="21"/>
      <c r="L368" s="21"/>
      <c r="M368" s="21"/>
      <c r="N368" s="25"/>
      <c r="O368" s="21"/>
      <c r="P368" s="21"/>
      <c r="Q368" s="21"/>
      <c r="R368" s="21"/>
      <c r="S368" s="21"/>
      <c r="T368" s="21"/>
      <c r="U368" s="21"/>
      <c r="V368" s="21"/>
      <c r="W368" s="21"/>
      <c r="X368" s="21"/>
      <c r="Y368" s="21"/>
      <c r="Z368" s="21"/>
      <c r="AB368" s="24" t="str">
        <f aca="false">IF(LEN($C368)&gt;0,COUNT(AB$1:AB367)+1,"")</f>
        <v/>
      </c>
      <c r="AC368" s="24" t="str">
        <f aca="false">IF(LEN($D368)&gt;0,COUNT(AC$1:AC367)+1,"")</f>
        <v/>
      </c>
      <c r="AD368" s="24" t="str">
        <f aca="false">IF(LEN($E368)&gt;0,COUNT(AD$1:AD367)+1,"")</f>
        <v/>
      </c>
      <c r="AE368" s="24" t="str">
        <f aca="false">IF(LEN($F368)&gt;0,COUNT(AE$1:AE367)+1,"")</f>
        <v/>
      </c>
    </row>
    <row r="369" customFormat="false" ht="16.5" hidden="false" customHeight="true" outlineLevel="0" collapsed="false">
      <c r="A369" s="18" t="str">
        <f aca="false">IF(B369="","",ROW()-2)</f>
        <v/>
      </c>
      <c r="B369" s="18"/>
      <c r="C369" s="19"/>
      <c r="D369" s="19"/>
      <c r="E369" s="19"/>
      <c r="F369" s="19"/>
      <c r="G369" s="18"/>
      <c r="H369" s="21"/>
      <c r="I369" s="21"/>
      <c r="J369" s="21"/>
      <c r="K369" s="21"/>
      <c r="L369" s="21"/>
      <c r="M369" s="21"/>
      <c r="N369" s="25"/>
      <c r="O369" s="21"/>
      <c r="P369" s="21"/>
      <c r="Q369" s="21"/>
      <c r="R369" s="21"/>
      <c r="S369" s="21"/>
      <c r="T369" s="21"/>
      <c r="U369" s="21"/>
      <c r="V369" s="21"/>
      <c r="W369" s="21"/>
      <c r="X369" s="21"/>
      <c r="Y369" s="21"/>
      <c r="Z369" s="21"/>
      <c r="AB369" s="24" t="str">
        <f aca="false">IF(LEN($C369)&gt;0,COUNT(AB$1:AB368)+1,"")</f>
        <v/>
      </c>
      <c r="AC369" s="24" t="str">
        <f aca="false">IF(LEN($D369)&gt;0,COUNT(AC$1:AC368)+1,"")</f>
        <v/>
      </c>
      <c r="AD369" s="24" t="str">
        <f aca="false">IF(LEN($E369)&gt;0,COUNT(AD$1:AD368)+1,"")</f>
        <v/>
      </c>
      <c r="AE369" s="24" t="str">
        <f aca="false">IF(LEN($F369)&gt;0,COUNT(AE$1:AE368)+1,"")</f>
        <v/>
      </c>
    </row>
    <row r="370" customFormat="false" ht="16.5" hidden="false" customHeight="true" outlineLevel="0" collapsed="false">
      <c r="A370" s="18" t="str">
        <f aca="false">IF(B370="","",ROW()-2)</f>
        <v/>
      </c>
      <c r="B370" s="18"/>
      <c r="C370" s="19"/>
      <c r="D370" s="19"/>
      <c r="E370" s="19"/>
      <c r="F370" s="19"/>
      <c r="G370" s="18"/>
      <c r="H370" s="21"/>
      <c r="I370" s="21"/>
      <c r="J370" s="21"/>
      <c r="K370" s="21"/>
      <c r="L370" s="21"/>
      <c r="M370" s="21"/>
      <c r="N370" s="25"/>
      <c r="O370" s="21"/>
      <c r="P370" s="21"/>
      <c r="Q370" s="21"/>
      <c r="R370" s="21"/>
      <c r="S370" s="21"/>
      <c r="T370" s="21"/>
      <c r="U370" s="21"/>
      <c r="V370" s="21"/>
      <c r="W370" s="21"/>
      <c r="X370" s="21"/>
      <c r="Y370" s="21"/>
      <c r="Z370" s="21"/>
      <c r="AB370" s="24" t="str">
        <f aca="false">IF(LEN($C370)&gt;0,COUNT(AB$1:AB369)+1,"")</f>
        <v/>
      </c>
      <c r="AC370" s="24" t="str">
        <f aca="false">IF(LEN($D370)&gt;0,COUNT(AC$1:AC369)+1,"")</f>
        <v/>
      </c>
      <c r="AD370" s="24" t="str">
        <f aca="false">IF(LEN($E370)&gt;0,COUNT(AD$1:AD369)+1,"")</f>
        <v/>
      </c>
      <c r="AE370" s="24" t="str">
        <f aca="false">IF(LEN($F370)&gt;0,COUNT(AE$1:AE369)+1,"")</f>
        <v/>
      </c>
    </row>
    <row r="371" customFormat="false" ht="16.5" hidden="false" customHeight="true" outlineLevel="0" collapsed="false">
      <c r="A371" s="18" t="str">
        <f aca="false">IF(B371="","",ROW()-2)</f>
        <v/>
      </c>
      <c r="B371" s="18"/>
      <c r="C371" s="19"/>
      <c r="D371" s="19"/>
      <c r="E371" s="19"/>
      <c r="F371" s="19"/>
      <c r="G371" s="18"/>
      <c r="H371" s="21"/>
      <c r="I371" s="21"/>
      <c r="J371" s="21"/>
      <c r="K371" s="21"/>
      <c r="L371" s="21"/>
      <c r="M371" s="21"/>
      <c r="N371" s="25"/>
      <c r="O371" s="21"/>
      <c r="P371" s="21"/>
      <c r="Q371" s="21"/>
      <c r="R371" s="21"/>
      <c r="S371" s="21"/>
      <c r="T371" s="21"/>
      <c r="U371" s="21"/>
      <c r="V371" s="21"/>
      <c r="W371" s="21"/>
      <c r="X371" s="21"/>
      <c r="Y371" s="21"/>
      <c r="Z371" s="21"/>
      <c r="AB371" s="24" t="str">
        <f aca="false">IF(LEN($C371)&gt;0,COUNT(AB$1:AB370)+1,"")</f>
        <v/>
      </c>
      <c r="AC371" s="24" t="str">
        <f aca="false">IF(LEN($D371)&gt;0,COUNT(AC$1:AC370)+1,"")</f>
        <v/>
      </c>
      <c r="AD371" s="24" t="str">
        <f aca="false">IF(LEN($E371)&gt;0,COUNT(AD$1:AD370)+1,"")</f>
        <v/>
      </c>
      <c r="AE371" s="24" t="str">
        <f aca="false">IF(LEN($F371)&gt;0,COUNT(AE$1:AE370)+1,"")</f>
        <v/>
      </c>
    </row>
    <row r="372" customFormat="false" ht="16.5" hidden="false" customHeight="true" outlineLevel="0" collapsed="false">
      <c r="A372" s="18" t="str">
        <f aca="false">IF(B372="","",ROW()-2)</f>
        <v/>
      </c>
      <c r="B372" s="18"/>
      <c r="C372" s="19"/>
      <c r="D372" s="19"/>
      <c r="E372" s="19"/>
      <c r="F372" s="19"/>
      <c r="G372" s="18"/>
      <c r="H372" s="21"/>
      <c r="I372" s="21"/>
      <c r="J372" s="21"/>
      <c r="K372" s="21"/>
      <c r="L372" s="21"/>
      <c r="M372" s="21"/>
      <c r="N372" s="25"/>
      <c r="O372" s="21"/>
      <c r="P372" s="21"/>
      <c r="Q372" s="21"/>
      <c r="R372" s="21"/>
      <c r="S372" s="21"/>
      <c r="T372" s="21"/>
      <c r="U372" s="21"/>
      <c r="V372" s="21"/>
      <c r="W372" s="21"/>
      <c r="X372" s="21"/>
      <c r="Y372" s="21"/>
      <c r="Z372" s="21"/>
      <c r="AB372" s="24" t="str">
        <f aca="false">IF(LEN($C372)&gt;0,COUNT(AB$1:AB371)+1,"")</f>
        <v/>
      </c>
      <c r="AC372" s="24" t="str">
        <f aca="false">IF(LEN($D372)&gt;0,COUNT(AC$1:AC371)+1,"")</f>
        <v/>
      </c>
      <c r="AD372" s="24" t="str">
        <f aca="false">IF(LEN($E372)&gt;0,COUNT(AD$1:AD371)+1,"")</f>
        <v/>
      </c>
      <c r="AE372" s="24" t="str">
        <f aca="false">IF(LEN($F372)&gt;0,COUNT(AE$1:AE371)+1,"")</f>
        <v/>
      </c>
    </row>
    <row r="373" customFormat="false" ht="16.5" hidden="false" customHeight="true" outlineLevel="0" collapsed="false">
      <c r="A373" s="18" t="str">
        <f aca="false">IF(B373="","",ROW()-2)</f>
        <v/>
      </c>
      <c r="B373" s="18"/>
      <c r="C373" s="19"/>
      <c r="D373" s="19"/>
      <c r="E373" s="19"/>
      <c r="F373" s="19"/>
      <c r="G373" s="18"/>
      <c r="H373" s="21"/>
      <c r="I373" s="21"/>
      <c r="J373" s="21"/>
      <c r="K373" s="21"/>
      <c r="L373" s="21"/>
      <c r="M373" s="21"/>
      <c r="N373" s="25"/>
      <c r="O373" s="21"/>
      <c r="P373" s="21"/>
      <c r="Q373" s="21"/>
      <c r="R373" s="21"/>
      <c r="S373" s="21"/>
      <c r="T373" s="21"/>
      <c r="U373" s="21"/>
      <c r="V373" s="21"/>
      <c r="W373" s="21"/>
      <c r="X373" s="21"/>
      <c r="Y373" s="21"/>
      <c r="Z373" s="21"/>
      <c r="AB373" s="24" t="str">
        <f aca="false">IF(LEN($C373)&gt;0,COUNT(AB$1:AB372)+1,"")</f>
        <v/>
      </c>
      <c r="AC373" s="24" t="str">
        <f aca="false">IF(LEN($D373)&gt;0,COUNT(AC$1:AC372)+1,"")</f>
        <v/>
      </c>
      <c r="AD373" s="24" t="str">
        <f aca="false">IF(LEN($E373)&gt;0,COUNT(AD$1:AD372)+1,"")</f>
        <v/>
      </c>
      <c r="AE373" s="24" t="str">
        <f aca="false">IF(LEN($F373)&gt;0,COUNT(AE$1:AE372)+1,"")</f>
        <v/>
      </c>
    </row>
    <row r="374" customFormat="false" ht="16.5" hidden="false" customHeight="true" outlineLevel="0" collapsed="false">
      <c r="A374" s="18" t="str">
        <f aca="false">IF(B374="","",ROW()-2)</f>
        <v/>
      </c>
      <c r="B374" s="18"/>
      <c r="C374" s="19"/>
      <c r="D374" s="19"/>
      <c r="E374" s="19"/>
      <c r="F374" s="19"/>
      <c r="G374" s="18"/>
      <c r="H374" s="21"/>
      <c r="I374" s="21"/>
      <c r="J374" s="21"/>
      <c r="K374" s="21"/>
      <c r="L374" s="21"/>
      <c r="M374" s="21"/>
      <c r="N374" s="25"/>
      <c r="O374" s="21"/>
      <c r="P374" s="21"/>
      <c r="Q374" s="21"/>
      <c r="R374" s="21"/>
      <c r="S374" s="21"/>
      <c r="T374" s="21"/>
      <c r="U374" s="21"/>
      <c r="V374" s="21"/>
      <c r="W374" s="21"/>
      <c r="X374" s="21"/>
      <c r="Y374" s="21"/>
      <c r="Z374" s="21"/>
      <c r="AB374" s="24" t="str">
        <f aca="false">IF(LEN($C374)&gt;0,COUNT(AB$1:AB373)+1,"")</f>
        <v/>
      </c>
      <c r="AC374" s="24" t="str">
        <f aca="false">IF(LEN($D374)&gt;0,COUNT(AC$1:AC373)+1,"")</f>
        <v/>
      </c>
      <c r="AD374" s="24" t="str">
        <f aca="false">IF(LEN($E374)&gt;0,COUNT(AD$1:AD373)+1,"")</f>
        <v/>
      </c>
      <c r="AE374" s="24" t="str">
        <f aca="false">IF(LEN($F374)&gt;0,COUNT(AE$1:AE373)+1,"")</f>
        <v/>
      </c>
    </row>
    <row r="375" customFormat="false" ht="16.5" hidden="false" customHeight="true" outlineLevel="0" collapsed="false">
      <c r="A375" s="18" t="str">
        <f aca="false">IF(B375="","",ROW()-2)</f>
        <v/>
      </c>
      <c r="B375" s="18"/>
      <c r="C375" s="19"/>
      <c r="D375" s="19"/>
      <c r="E375" s="19"/>
      <c r="F375" s="19"/>
      <c r="G375" s="18"/>
      <c r="H375" s="21"/>
      <c r="I375" s="21"/>
      <c r="J375" s="21"/>
      <c r="K375" s="21"/>
      <c r="L375" s="21"/>
      <c r="M375" s="21"/>
      <c r="N375" s="25"/>
      <c r="O375" s="21"/>
      <c r="P375" s="21"/>
      <c r="Q375" s="21"/>
      <c r="R375" s="21"/>
      <c r="S375" s="21"/>
      <c r="T375" s="21"/>
      <c r="U375" s="21"/>
      <c r="V375" s="21"/>
      <c r="W375" s="21"/>
      <c r="X375" s="21"/>
      <c r="Y375" s="21"/>
      <c r="Z375" s="21"/>
      <c r="AB375" s="24" t="str">
        <f aca="false">IF(LEN($C375)&gt;0,COUNT(AB$1:AB374)+1,"")</f>
        <v/>
      </c>
      <c r="AC375" s="24" t="str">
        <f aca="false">IF(LEN($D375)&gt;0,COUNT(AC$1:AC374)+1,"")</f>
        <v/>
      </c>
      <c r="AD375" s="24" t="str">
        <f aca="false">IF(LEN($E375)&gt;0,COUNT(AD$1:AD374)+1,"")</f>
        <v/>
      </c>
      <c r="AE375" s="24" t="str">
        <f aca="false">IF(LEN($F375)&gt;0,COUNT(AE$1:AE374)+1,"")</f>
        <v/>
      </c>
    </row>
    <row r="376" customFormat="false" ht="16.5" hidden="false" customHeight="true" outlineLevel="0" collapsed="false">
      <c r="A376" s="18" t="str">
        <f aca="false">IF(B376="","",ROW()-2)</f>
        <v/>
      </c>
      <c r="B376" s="18"/>
      <c r="C376" s="19"/>
      <c r="D376" s="19"/>
      <c r="E376" s="19"/>
      <c r="F376" s="19"/>
      <c r="G376" s="18"/>
      <c r="H376" s="21"/>
      <c r="I376" s="21"/>
      <c r="J376" s="21"/>
      <c r="K376" s="21"/>
      <c r="L376" s="21"/>
      <c r="M376" s="21"/>
      <c r="N376" s="25"/>
      <c r="O376" s="21"/>
      <c r="P376" s="21"/>
      <c r="Q376" s="21"/>
      <c r="R376" s="21"/>
      <c r="S376" s="21"/>
      <c r="T376" s="21"/>
      <c r="U376" s="21"/>
      <c r="V376" s="21"/>
      <c r="W376" s="21"/>
      <c r="X376" s="21"/>
      <c r="Y376" s="21"/>
      <c r="Z376" s="21"/>
      <c r="AB376" s="24" t="str">
        <f aca="false">IF(LEN($C376)&gt;0,COUNT(AB$1:AB375)+1,"")</f>
        <v/>
      </c>
      <c r="AC376" s="24" t="str">
        <f aca="false">IF(LEN($D376)&gt;0,COUNT(AC$1:AC375)+1,"")</f>
        <v/>
      </c>
      <c r="AD376" s="24" t="str">
        <f aca="false">IF(LEN($E376)&gt;0,COUNT(AD$1:AD375)+1,"")</f>
        <v/>
      </c>
      <c r="AE376" s="24" t="str">
        <f aca="false">IF(LEN($F376)&gt;0,COUNT(AE$1:AE375)+1,"")</f>
        <v/>
      </c>
    </row>
    <row r="377" customFormat="false" ht="16.5" hidden="false" customHeight="true" outlineLevel="0" collapsed="false">
      <c r="A377" s="18" t="str">
        <f aca="false">IF(B377="","",ROW()-2)</f>
        <v/>
      </c>
      <c r="B377" s="18"/>
      <c r="C377" s="19"/>
      <c r="D377" s="19"/>
      <c r="E377" s="19"/>
      <c r="F377" s="19"/>
      <c r="G377" s="18"/>
      <c r="H377" s="21"/>
      <c r="I377" s="21"/>
      <c r="J377" s="21"/>
      <c r="K377" s="21"/>
      <c r="L377" s="21"/>
      <c r="M377" s="21"/>
      <c r="N377" s="25"/>
      <c r="O377" s="21"/>
      <c r="P377" s="21"/>
      <c r="Q377" s="21"/>
      <c r="R377" s="21"/>
      <c r="S377" s="21"/>
      <c r="T377" s="21"/>
      <c r="U377" s="21"/>
      <c r="V377" s="21"/>
      <c r="W377" s="21"/>
      <c r="X377" s="21"/>
      <c r="Y377" s="21"/>
      <c r="Z377" s="21"/>
      <c r="AB377" s="24" t="str">
        <f aca="false">IF(LEN($C377)&gt;0,COUNT(AB$1:AB376)+1,"")</f>
        <v/>
      </c>
      <c r="AC377" s="24" t="str">
        <f aca="false">IF(LEN($D377)&gt;0,COUNT(AC$1:AC376)+1,"")</f>
        <v/>
      </c>
      <c r="AD377" s="24" t="str">
        <f aca="false">IF(LEN($E377)&gt;0,COUNT(AD$1:AD376)+1,"")</f>
        <v/>
      </c>
      <c r="AE377" s="24" t="str">
        <f aca="false">IF(LEN($F377)&gt;0,COUNT(AE$1:AE376)+1,"")</f>
        <v/>
      </c>
    </row>
    <row r="378" customFormat="false" ht="16.5" hidden="false" customHeight="true" outlineLevel="0" collapsed="false">
      <c r="A378" s="18" t="str">
        <f aca="false">IF(B378="","",ROW()-2)</f>
        <v/>
      </c>
      <c r="B378" s="18"/>
      <c r="C378" s="19"/>
      <c r="D378" s="19"/>
      <c r="E378" s="19"/>
      <c r="F378" s="19"/>
      <c r="G378" s="18"/>
      <c r="H378" s="21"/>
      <c r="I378" s="21"/>
      <c r="J378" s="21"/>
      <c r="K378" s="21"/>
      <c r="L378" s="21"/>
      <c r="M378" s="21"/>
      <c r="N378" s="25"/>
      <c r="O378" s="21"/>
      <c r="P378" s="21"/>
      <c r="Q378" s="21"/>
      <c r="R378" s="21"/>
      <c r="S378" s="21"/>
      <c r="T378" s="21"/>
      <c r="U378" s="21"/>
      <c r="V378" s="21"/>
      <c r="W378" s="21"/>
      <c r="X378" s="21"/>
      <c r="Y378" s="21"/>
      <c r="Z378" s="21"/>
      <c r="AB378" s="24" t="str">
        <f aca="false">IF(LEN($C378)&gt;0,COUNT(AB$1:AB377)+1,"")</f>
        <v/>
      </c>
      <c r="AC378" s="24" t="str">
        <f aca="false">IF(LEN($D378)&gt;0,COUNT(AC$1:AC377)+1,"")</f>
        <v/>
      </c>
      <c r="AD378" s="24" t="str">
        <f aca="false">IF(LEN($E378)&gt;0,COUNT(AD$1:AD377)+1,"")</f>
        <v/>
      </c>
      <c r="AE378" s="24" t="str">
        <f aca="false">IF(LEN($F378)&gt;0,COUNT(AE$1:AE377)+1,"")</f>
        <v/>
      </c>
    </row>
    <row r="379" customFormat="false" ht="16.5" hidden="false" customHeight="true" outlineLevel="0" collapsed="false">
      <c r="A379" s="18" t="str">
        <f aca="false">IF(B379="","",ROW()-2)</f>
        <v/>
      </c>
      <c r="B379" s="18"/>
      <c r="C379" s="19"/>
      <c r="D379" s="19"/>
      <c r="E379" s="19"/>
      <c r="F379" s="19"/>
      <c r="G379" s="18"/>
      <c r="H379" s="21"/>
      <c r="I379" s="21"/>
      <c r="J379" s="21"/>
      <c r="K379" s="21"/>
      <c r="L379" s="21"/>
      <c r="M379" s="21"/>
      <c r="N379" s="25"/>
      <c r="O379" s="21"/>
      <c r="P379" s="21"/>
      <c r="Q379" s="21"/>
      <c r="R379" s="21"/>
      <c r="S379" s="21"/>
      <c r="T379" s="21"/>
      <c r="U379" s="21"/>
      <c r="V379" s="21"/>
      <c r="W379" s="21"/>
      <c r="X379" s="21"/>
      <c r="Y379" s="21"/>
      <c r="Z379" s="21"/>
      <c r="AB379" s="24" t="str">
        <f aca="false">IF(LEN($C379)&gt;0,COUNT(AB$1:AB378)+1,"")</f>
        <v/>
      </c>
      <c r="AC379" s="24" t="str">
        <f aca="false">IF(LEN($D379)&gt;0,COUNT(AC$1:AC378)+1,"")</f>
        <v/>
      </c>
      <c r="AD379" s="24" t="str">
        <f aca="false">IF(LEN($E379)&gt;0,COUNT(AD$1:AD378)+1,"")</f>
        <v/>
      </c>
      <c r="AE379" s="24" t="str">
        <f aca="false">IF(LEN($F379)&gt;0,COUNT(AE$1:AE378)+1,"")</f>
        <v/>
      </c>
    </row>
    <row r="380" customFormat="false" ht="16.5" hidden="false" customHeight="true" outlineLevel="0" collapsed="false">
      <c r="A380" s="18" t="str">
        <f aca="false">IF(B380="","",ROW()-2)</f>
        <v/>
      </c>
      <c r="B380" s="18"/>
      <c r="C380" s="19"/>
      <c r="D380" s="19"/>
      <c r="E380" s="19"/>
      <c r="F380" s="19"/>
      <c r="G380" s="18"/>
      <c r="H380" s="21"/>
      <c r="I380" s="21"/>
      <c r="J380" s="21"/>
      <c r="K380" s="21"/>
      <c r="L380" s="21"/>
      <c r="M380" s="21"/>
      <c r="N380" s="25"/>
      <c r="O380" s="21"/>
      <c r="P380" s="21"/>
      <c r="Q380" s="21"/>
      <c r="R380" s="21"/>
      <c r="S380" s="21"/>
      <c r="T380" s="21"/>
      <c r="U380" s="21"/>
      <c r="V380" s="21"/>
      <c r="W380" s="21"/>
      <c r="X380" s="21"/>
      <c r="Y380" s="21"/>
      <c r="Z380" s="21"/>
      <c r="AB380" s="24" t="str">
        <f aca="false">IF(LEN($C380)&gt;0,COUNT(AB$1:AB379)+1,"")</f>
        <v/>
      </c>
      <c r="AC380" s="24" t="str">
        <f aca="false">IF(LEN($D380)&gt;0,COUNT(AC$1:AC379)+1,"")</f>
        <v/>
      </c>
      <c r="AD380" s="24" t="str">
        <f aca="false">IF(LEN($E380)&gt;0,COUNT(AD$1:AD379)+1,"")</f>
        <v/>
      </c>
      <c r="AE380" s="24" t="str">
        <f aca="false">IF(LEN($F380)&gt;0,COUNT(AE$1:AE379)+1,"")</f>
        <v/>
      </c>
    </row>
    <row r="381" customFormat="false" ht="16.5" hidden="false" customHeight="true" outlineLevel="0" collapsed="false">
      <c r="A381" s="18" t="str">
        <f aca="false">IF(B381="","",ROW()-2)</f>
        <v/>
      </c>
      <c r="B381" s="18"/>
      <c r="C381" s="19"/>
      <c r="D381" s="19"/>
      <c r="E381" s="19"/>
      <c r="F381" s="19"/>
      <c r="G381" s="18"/>
      <c r="H381" s="21"/>
      <c r="I381" s="21"/>
      <c r="J381" s="21"/>
      <c r="K381" s="21"/>
      <c r="L381" s="21"/>
      <c r="M381" s="21"/>
      <c r="N381" s="25"/>
      <c r="O381" s="21"/>
      <c r="P381" s="21"/>
      <c r="Q381" s="21"/>
      <c r="R381" s="21"/>
      <c r="S381" s="21"/>
      <c r="T381" s="21"/>
      <c r="U381" s="21"/>
      <c r="V381" s="21"/>
      <c r="W381" s="21"/>
      <c r="X381" s="21"/>
      <c r="Y381" s="21"/>
      <c r="Z381" s="21"/>
      <c r="AB381" s="24" t="str">
        <f aca="false">IF(LEN($C381)&gt;0,COUNT(AB$1:AB380)+1,"")</f>
        <v/>
      </c>
      <c r="AC381" s="24" t="str">
        <f aca="false">IF(LEN($D381)&gt;0,COUNT(AC$1:AC380)+1,"")</f>
        <v/>
      </c>
      <c r="AD381" s="24" t="str">
        <f aca="false">IF(LEN($E381)&gt;0,COUNT(AD$1:AD380)+1,"")</f>
        <v/>
      </c>
      <c r="AE381" s="24" t="str">
        <f aca="false">IF(LEN($F381)&gt;0,COUNT(AE$1:AE380)+1,"")</f>
        <v/>
      </c>
    </row>
    <row r="382" customFormat="false" ht="16.5" hidden="false" customHeight="true" outlineLevel="0" collapsed="false">
      <c r="A382" s="18" t="str">
        <f aca="false">IF(B382="","",ROW()-2)</f>
        <v/>
      </c>
      <c r="B382" s="18"/>
      <c r="C382" s="19"/>
      <c r="D382" s="19"/>
      <c r="E382" s="19"/>
      <c r="F382" s="19"/>
      <c r="G382" s="18"/>
      <c r="H382" s="21"/>
      <c r="I382" s="21"/>
      <c r="J382" s="21"/>
      <c r="K382" s="21"/>
      <c r="L382" s="21"/>
      <c r="M382" s="21"/>
      <c r="N382" s="25"/>
      <c r="O382" s="21"/>
      <c r="P382" s="21"/>
      <c r="Q382" s="21"/>
      <c r="R382" s="21"/>
      <c r="S382" s="21"/>
      <c r="T382" s="21"/>
      <c r="U382" s="21"/>
      <c r="V382" s="21"/>
      <c r="W382" s="21"/>
      <c r="X382" s="21"/>
      <c r="Y382" s="21"/>
      <c r="Z382" s="21"/>
      <c r="AB382" s="24" t="str">
        <f aca="false">IF(LEN($C382)&gt;0,COUNT(AB$1:AB381)+1,"")</f>
        <v/>
      </c>
      <c r="AC382" s="24" t="str">
        <f aca="false">IF(LEN($D382)&gt;0,COUNT(AC$1:AC381)+1,"")</f>
        <v/>
      </c>
      <c r="AD382" s="24" t="str">
        <f aca="false">IF(LEN($E382)&gt;0,COUNT(AD$1:AD381)+1,"")</f>
        <v/>
      </c>
      <c r="AE382" s="24" t="str">
        <f aca="false">IF(LEN($F382)&gt;0,COUNT(AE$1:AE381)+1,"")</f>
        <v/>
      </c>
    </row>
    <row r="383" customFormat="false" ht="16.5" hidden="false" customHeight="true" outlineLevel="0" collapsed="false">
      <c r="A383" s="18" t="str">
        <f aca="false">IF(B383="","",ROW()-2)</f>
        <v/>
      </c>
      <c r="B383" s="18"/>
      <c r="C383" s="19"/>
      <c r="D383" s="19"/>
      <c r="E383" s="19"/>
      <c r="F383" s="19"/>
      <c r="G383" s="18"/>
      <c r="H383" s="21"/>
      <c r="I383" s="21"/>
      <c r="J383" s="21"/>
      <c r="K383" s="21"/>
      <c r="L383" s="21"/>
      <c r="M383" s="21"/>
      <c r="N383" s="25"/>
      <c r="O383" s="21"/>
      <c r="P383" s="21"/>
      <c r="Q383" s="21"/>
      <c r="R383" s="21"/>
      <c r="S383" s="21"/>
      <c r="T383" s="21"/>
      <c r="U383" s="21"/>
      <c r="V383" s="21"/>
      <c r="W383" s="21"/>
      <c r="X383" s="21"/>
      <c r="Y383" s="21"/>
      <c r="Z383" s="21"/>
      <c r="AB383" s="24" t="str">
        <f aca="false">IF(LEN($C383)&gt;0,COUNT(AB$1:AB382)+1,"")</f>
        <v/>
      </c>
      <c r="AC383" s="24" t="str">
        <f aca="false">IF(LEN($D383)&gt;0,COUNT(AC$1:AC382)+1,"")</f>
        <v/>
      </c>
      <c r="AD383" s="24" t="str">
        <f aca="false">IF(LEN($E383)&gt;0,COUNT(AD$1:AD382)+1,"")</f>
        <v/>
      </c>
      <c r="AE383" s="24" t="str">
        <f aca="false">IF(LEN($F383)&gt;0,COUNT(AE$1:AE382)+1,"")</f>
        <v/>
      </c>
    </row>
    <row r="384" customFormat="false" ht="16.5" hidden="false" customHeight="true" outlineLevel="0" collapsed="false">
      <c r="A384" s="18" t="str">
        <f aca="false">IF(B384="","",ROW()-2)</f>
        <v/>
      </c>
      <c r="B384" s="18"/>
      <c r="C384" s="19"/>
      <c r="D384" s="19"/>
      <c r="E384" s="19"/>
      <c r="F384" s="19"/>
      <c r="G384" s="18"/>
      <c r="H384" s="21"/>
      <c r="I384" s="21"/>
      <c r="J384" s="21"/>
      <c r="K384" s="21"/>
      <c r="L384" s="21"/>
      <c r="M384" s="21"/>
      <c r="N384" s="25"/>
      <c r="O384" s="21"/>
      <c r="P384" s="21"/>
      <c r="Q384" s="21"/>
      <c r="R384" s="21"/>
      <c r="S384" s="21"/>
      <c r="T384" s="21"/>
      <c r="U384" s="21"/>
      <c r="V384" s="21"/>
      <c r="W384" s="21"/>
      <c r="X384" s="21"/>
      <c r="Y384" s="21"/>
      <c r="Z384" s="21"/>
      <c r="AB384" s="24" t="str">
        <f aca="false">IF(LEN($C384)&gt;0,COUNT(AB$1:AB383)+1,"")</f>
        <v/>
      </c>
      <c r="AC384" s="24" t="str">
        <f aca="false">IF(LEN($D384)&gt;0,COUNT(AC$1:AC383)+1,"")</f>
        <v/>
      </c>
      <c r="AD384" s="24" t="str">
        <f aca="false">IF(LEN($E384)&gt;0,COUNT(AD$1:AD383)+1,"")</f>
        <v/>
      </c>
      <c r="AE384" s="24" t="str">
        <f aca="false">IF(LEN($F384)&gt;0,COUNT(AE$1:AE383)+1,"")</f>
        <v/>
      </c>
    </row>
    <row r="385" customFormat="false" ht="16.5" hidden="false" customHeight="true" outlineLevel="0" collapsed="false">
      <c r="A385" s="18" t="str">
        <f aca="false">IF(B385="","",ROW()-2)</f>
        <v/>
      </c>
      <c r="B385" s="18"/>
      <c r="C385" s="19"/>
      <c r="D385" s="19"/>
      <c r="E385" s="19"/>
      <c r="F385" s="19"/>
      <c r="G385" s="18"/>
      <c r="H385" s="21"/>
      <c r="I385" s="21"/>
      <c r="J385" s="21"/>
      <c r="K385" s="21"/>
      <c r="L385" s="21"/>
      <c r="M385" s="21"/>
      <c r="N385" s="25"/>
      <c r="O385" s="21"/>
      <c r="P385" s="21"/>
      <c r="Q385" s="21"/>
      <c r="R385" s="21"/>
      <c r="S385" s="21"/>
      <c r="T385" s="21"/>
      <c r="U385" s="21"/>
      <c r="V385" s="21"/>
      <c r="W385" s="21"/>
      <c r="X385" s="21"/>
      <c r="Y385" s="21"/>
      <c r="Z385" s="21"/>
      <c r="AB385" s="24" t="str">
        <f aca="false">IF(LEN($C385)&gt;0,COUNT(AB$1:AB384)+1,"")</f>
        <v/>
      </c>
      <c r="AC385" s="24" t="str">
        <f aca="false">IF(LEN($D385)&gt;0,COUNT(AC$1:AC384)+1,"")</f>
        <v/>
      </c>
      <c r="AD385" s="24" t="str">
        <f aca="false">IF(LEN($E385)&gt;0,COUNT(AD$1:AD384)+1,"")</f>
        <v/>
      </c>
      <c r="AE385" s="24" t="str">
        <f aca="false">IF(LEN($F385)&gt;0,COUNT(AE$1:AE384)+1,"")</f>
        <v/>
      </c>
    </row>
    <row r="386" customFormat="false" ht="16.5" hidden="false" customHeight="true" outlineLevel="0" collapsed="false">
      <c r="A386" s="18" t="str">
        <f aca="false">IF(B386="","",ROW()-2)</f>
        <v/>
      </c>
      <c r="B386" s="18"/>
      <c r="C386" s="19"/>
      <c r="D386" s="19"/>
      <c r="E386" s="19"/>
      <c r="F386" s="19"/>
      <c r="G386" s="18"/>
      <c r="H386" s="21"/>
      <c r="I386" s="21"/>
      <c r="J386" s="21"/>
      <c r="K386" s="21"/>
      <c r="L386" s="21"/>
      <c r="M386" s="21"/>
      <c r="N386" s="25"/>
      <c r="O386" s="21"/>
      <c r="P386" s="21"/>
      <c r="Q386" s="21"/>
      <c r="R386" s="21"/>
      <c r="S386" s="21"/>
      <c r="T386" s="21"/>
      <c r="U386" s="21"/>
      <c r="V386" s="21"/>
      <c r="W386" s="21"/>
      <c r="X386" s="21"/>
      <c r="Y386" s="21"/>
      <c r="Z386" s="21"/>
      <c r="AB386" s="24" t="str">
        <f aca="false">IF(LEN($C386)&gt;0,COUNT(AB$1:AB385)+1,"")</f>
        <v/>
      </c>
      <c r="AC386" s="24" t="str">
        <f aca="false">IF(LEN($D386)&gt;0,COUNT(AC$1:AC385)+1,"")</f>
        <v/>
      </c>
      <c r="AD386" s="24" t="str">
        <f aca="false">IF(LEN($E386)&gt;0,COUNT(AD$1:AD385)+1,"")</f>
        <v/>
      </c>
      <c r="AE386" s="24" t="str">
        <f aca="false">IF(LEN($F386)&gt;0,COUNT(AE$1:AE385)+1,"")</f>
        <v/>
      </c>
    </row>
    <row r="387" customFormat="false" ht="16.5" hidden="false" customHeight="true" outlineLevel="0" collapsed="false">
      <c r="A387" s="18" t="str">
        <f aca="false">IF(B387="","",ROW()-2)</f>
        <v/>
      </c>
      <c r="B387" s="18"/>
      <c r="C387" s="19"/>
      <c r="D387" s="19"/>
      <c r="E387" s="19"/>
      <c r="F387" s="19"/>
      <c r="G387" s="18"/>
      <c r="H387" s="21"/>
      <c r="I387" s="21"/>
      <c r="J387" s="21"/>
      <c r="K387" s="21"/>
      <c r="L387" s="21"/>
      <c r="M387" s="21"/>
      <c r="N387" s="25"/>
      <c r="O387" s="21"/>
      <c r="P387" s="21"/>
      <c r="Q387" s="21"/>
      <c r="R387" s="21"/>
      <c r="S387" s="21"/>
      <c r="T387" s="21"/>
      <c r="U387" s="21"/>
      <c r="V387" s="21"/>
      <c r="W387" s="21"/>
      <c r="X387" s="21"/>
      <c r="Y387" s="21"/>
      <c r="Z387" s="21"/>
      <c r="AB387" s="24" t="str">
        <f aca="false">IF(LEN($C387)&gt;0,COUNT(AB$1:AB386)+1,"")</f>
        <v/>
      </c>
      <c r="AC387" s="24" t="str">
        <f aca="false">IF(LEN($D387)&gt;0,COUNT(AC$1:AC386)+1,"")</f>
        <v/>
      </c>
      <c r="AD387" s="24" t="str">
        <f aca="false">IF(LEN($E387)&gt;0,COUNT(AD$1:AD386)+1,"")</f>
        <v/>
      </c>
      <c r="AE387" s="24" t="str">
        <f aca="false">IF(LEN($F387)&gt;0,COUNT(AE$1:AE386)+1,"")</f>
        <v/>
      </c>
    </row>
    <row r="388" customFormat="false" ht="16.5" hidden="false" customHeight="true" outlineLevel="0" collapsed="false">
      <c r="A388" s="18" t="str">
        <f aca="false">IF(B388="","",ROW()-2)</f>
        <v/>
      </c>
      <c r="B388" s="18"/>
      <c r="C388" s="19"/>
      <c r="D388" s="19"/>
      <c r="E388" s="19"/>
      <c r="F388" s="19"/>
      <c r="G388" s="18"/>
      <c r="H388" s="21"/>
      <c r="I388" s="21"/>
      <c r="J388" s="21"/>
      <c r="K388" s="21"/>
      <c r="L388" s="21"/>
      <c r="M388" s="21"/>
      <c r="N388" s="25"/>
      <c r="O388" s="21"/>
      <c r="P388" s="21"/>
      <c r="Q388" s="21"/>
      <c r="R388" s="21"/>
      <c r="S388" s="21"/>
      <c r="T388" s="21"/>
      <c r="U388" s="21"/>
      <c r="V388" s="21"/>
      <c r="W388" s="21"/>
      <c r="X388" s="21"/>
      <c r="Y388" s="21"/>
      <c r="Z388" s="21"/>
      <c r="AB388" s="24" t="str">
        <f aca="false">IF(LEN($C388)&gt;0,COUNT(AB$1:AB387)+1,"")</f>
        <v/>
      </c>
      <c r="AC388" s="24" t="str">
        <f aca="false">IF(LEN($D388)&gt;0,COUNT(AC$1:AC387)+1,"")</f>
        <v/>
      </c>
      <c r="AD388" s="24" t="str">
        <f aca="false">IF(LEN($E388)&gt;0,COUNT(AD$1:AD387)+1,"")</f>
        <v/>
      </c>
      <c r="AE388" s="24" t="str">
        <f aca="false">IF(LEN($F388)&gt;0,COUNT(AE$1:AE387)+1,"")</f>
        <v/>
      </c>
    </row>
    <row r="389" customFormat="false" ht="16.5" hidden="false" customHeight="true" outlineLevel="0" collapsed="false">
      <c r="A389" s="18" t="str">
        <f aca="false">IF(B389="","",ROW()-2)</f>
        <v/>
      </c>
      <c r="B389" s="18"/>
      <c r="C389" s="19"/>
      <c r="D389" s="19"/>
      <c r="E389" s="19"/>
      <c r="F389" s="19"/>
      <c r="G389" s="18"/>
      <c r="H389" s="21"/>
      <c r="I389" s="21"/>
      <c r="J389" s="21"/>
      <c r="K389" s="21"/>
      <c r="L389" s="21"/>
      <c r="M389" s="21"/>
      <c r="N389" s="25"/>
      <c r="O389" s="21"/>
      <c r="P389" s="21"/>
      <c r="Q389" s="21"/>
      <c r="R389" s="21"/>
      <c r="S389" s="21"/>
      <c r="T389" s="21"/>
      <c r="U389" s="21"/>
      <c r="V389" s="21"/>
      <c r="W389" s="21"/>
      <c r="X389" s="21"/>
      <c r="Y389" s="21"/>
      <c r="Z389" s="21"/>
      <c r="AB389" s="24" t="str">
        <f aca="false">IF(LEN($C389)&gt;0,COUNT(AB$1:AB388)+1,"")</f>
        <v/>
      </c>
      <c r="AC389" s="24" t="str">
        <f aca="false">IF(LEN($D389)&gt;0,COUNT(AC$1:AC388)+1,"")</f>
        <v/>
      </c>
      <c r="AD389" s="24" t="str">
        <f aca="false">IF(LEN($E389)&gt;0,COUNT(AD$1:AD388)+1,"")</f>
        <v/>
      </c>
      <c r="AE389" s="24" t="str">
        <f aca="false">IF(LEN($F389)&gt;0,COUNT(AE$1:AE388)+1,"")</f>
        <v/>
      </c>
    </row>
    <row r="390" customFormat="false" ht="16.5" hidden="false" customHeight="true" outlineLevel="0" collapsed="false">
      <c r="A390" s="18" t="str">
        <f aca="false">IF(B390="","",ROW()-2)</f>
        <v/>
      </c>
      <c r="B390" s="18"/>
      <c r="C390" s="19"/>
      <c r="D390" s="19"/>
      <c r="E390" s="19"/>
      <c r="F390" s="19"/>
      <c r="G390" s="18"/>
      <c r="H390" s="21"/>
      <c r="I390" s="21"/>
      <c r="J390" s="21"/>
      <c r="K390" s="21"/>
      <c r="L390" s="21"/>
      <c r="M390" s="21"/>
      <c r="N390" s="25"/>
      <c r="O390" s="21"/>
      <c r="P390" s="21"/>
      <c r="Q390" s="21"/>
      <c r="R390" s="21"/>
      <c r="S390" s="21"/>
      <c r="T390" s="21"/>
      <c r="U390" s="21"/>
      <c r="V390" s="21"/>
      <c r="W390" s="21"/>
      <c r="X390" s="21"/>
      <c r="Y390" s="21"/>
      <c r="Z390" s="21"/>
      <c r="AB390" s="24" t="str">
        <f aca="false">IF(LEN($C390)&gt;0,COUNT(AB$1:AB389)+1,"")</f>
        <v/>
      </c>
      <c r="AC390" s="24" t="str">
        <f aca="false">IF(LEN($D390)&gt;0,COUNT(AC$1:AC389)+1,"")</f>
        <v/>
      </c>
      <c r="AD390" s="24" t="str">
        <f aca="false">IF(LEN($E390)&gt;0,COUNT(AD$1:AD389)+1,"")</f>
        <v/>
      </c>
      <c r="AE390" s="24" t="str">
        <f aca="false">IF(LEN($F390)&gt;0,COUNT(AE$1:AE389)+1,"")</f>
        <v/>
      </c>
    </row>
    <row r="391" customFormat="false" ht="16.5" hidden="false" customHeight="true" outlineLevel="0" collapsed="false">
      <c r="A391" s="18" t="str">
        <f aca="false">IF(B391="","",ROW()-2)</f>
        <v/>
      </c>
      <c r="B391" s="18"/>
      <c r="C391" s="19"/>
      <c r="D391" s="19"/>
      <c r="E391" s="19"/>
      <c r="F391" s="19"/>
      <c r="G391" s="18"/>
      <c r="H391" s="21"/>
      <c r="I391" s="21"/>
      <c r="J391" s="21"/>
      <c r="K391" s="21"/>
      <c r="L391" s="21"/>
      <c r="M391" s="21"/>
      <c r="N391" s="25"/>
      <c r="O391" s="21"/>
      <c r="P391" s="21"/>
      <c r="Q391" s="21"/>
      <c r="R391" s="21"/>
      <c r="S391" s="21"/>
      <c r="T391" s="21"/>
      <c r="U391" s="21"/>
      <c r="V391" s="21"/>
      <c r="W391" s="21"/>
      <c r="X391" s="21"/>
      <c r="Y391" s="21"/>
      <c r="Z391" s="21"/>
      <c r="AB391" s="24" t="str">
        <f aca="false">IF(LEN($C391)&gt;0,COUNT(AB$1:AB390)+1,"")</f>
        <v/>
      </c>
      <c r="AC391" s="24" t="str">
        <f aca="false">IF(LEN($D391)&gt;0,COUNT(AC$1:AC390)+1,"")</f>
        <v/>
      </c>
      <c r="AD391" s="24" t="str">
        <f aca="false">IF(LEN($E391)&gt;0,COUNT(AD$1:AD390)+1,"")</f>
        <v/>
      </c>
      <c r="AE391" s="24" t="str">
        <f aca="false">IF(LEN($F391)&gt;0,COUNT(AE$1:AE390)+1,"")</f>
        <v/>
      </c>
    </row>
    <row r="392" customFormat="false" ht="16.5" hidden="false" customHeight="true" outlineLevel="0" collapsed="false">
      <c r="A392" s="18" t="str">
        <f aca="false">IF(B392="","",ROW()-2)</f>
        <v/>
      </c>
      <c r="B392" s="18"/>
      <c r="C392" s="19"/>
      <c r="D392" s="19"/>
      <c r="E392" s="19"/>
      <c r="F392" s="19"/>
      <c r="G392" s="18"/>
      <c r="H392" s="21"/>
      <c r="I392" s="21"/>
      <c r="J392" s="21"/>
      <c r="K392" s="21"/>
      <c r="L392" s="21"/>
      <c r="M392" s="21"/>
      <c r="N392" s="25"/>
      <c r="O392" s="21"/>
      <c r="P392" s="21"/>
      <c r="Q392" s="21"/>
      <c r="R392" s="21"/>
      <c r="S392" s="21"/>
      <c r="T392" s="21"/>
      <c r="U392" s="21"/>
      <c r="V392" s="21"/>
      <c r="W392" s="21"/>
      <c r="X392" s="21"/>
      <c r="Y392" s="21"/>
      <c r="Z392" s="21"/>
      <c r="AB392" s="24" t="str">
        <f aca="false">IF(LEN($C392)&gt;0,COUNT(AB$1:AB391)+1,"")</f>
        <v/>
      </c>
      <c r="AC392" s="24" t="str">
        <f aca="false">IF(LEN($D392)&gt;0,COUNT(AC$1:AC391)+1,"")</f>
        <v/>
      </c>
      <c r="AD392" s="24" t="str">
        <f aca="false">IF(LEN($E392)&gt;0,COUNT(AD$1:AD391)+1,"")</f>
        <v/>
      </c>
      <c r="AE392" s="24" t="str">
        <f aca="false">IF(LEN($F392)&gt;0,COUNT(AE$1:AE391)+1,"")</f>
        <v/>
      </c>
    </row>
    <row r="393" customFormat="false" ht="16.5" hidden="false" customHeight="true" outlineLevel="0" collapsed="false">
      <c r="A393" s="18" t="str">
        <f aca="false">IF(B393="","",ROW()-2)</f>
        <v/>
      </c>
      <c r="B393" s="18"/>
      <c r="C393" s="19"/>
      <c r="D393" s="19"/>
      <c r="E393" s="19"/>
      <c r="F393" s="19"/>
      <c r="G393" s="18"/>
      <c r="H393" s="21"/>
      <c r="I393" s="21"/>
      <c r="J393" s="21"/>
      <c r="K393" s="21"/>
      <c r="L393" s="21"/>
      <c r="M393" s="21"/>
      <c r="N393" s="25"/>
      <c r="O393" s="21"/>
      <c r="P393" s="21"/>
      <c r="Q393" s="21"/>
      <c r="R393" s="21"/>
      <c r="S393" s="21"/>
      <c r="T393" s="21"/>
      <c r="U393" s="21"/>
      <c r="V393" s="21"/>
      <c r="W393" s="21"/>
      <c r="X393" s="21"/>
      <c r="Y393" s="21"/>
      <c r="Z393" s="21"/>
      <c r="AB393" s="24" t="str">
        <f aca="false">IF(LEN($C393)&gt;0,COUNT(AB$1:AB392)+1,"")</f>
        <v/>
      </c>
      <c r="AC393" s="24" t="str">
        <f aca="false">IF(LEN($D393)&gt;0,COUNT(AC$1:AC392)+1,"")</f>
        <v/>
      </c>
      <c r="AD393" s="24" t="str">
        <f aca="false">IF(LEN($E393)&gt;0,COUNT(AD$1:AD392)+1,"")</f>
        <v/>
      </c>
      <c r="AE393" s="24" t="str">
        <f aca="false">IF(LEN($F393)&gt;0,COUNT(AE$1:AE392)+1,"")</f>
        <v/>
      </c>
    </row>
    <row r="394" customFormat="false" ht="16.5" hidden="false" customHeight="true" outlineLevel="0" collapsed="false">
      <c r="A394" s="18" t="str">
        <f aca="false">IF(B394="","",ROW()-2)</f>
        <v/>
      </c>
      <c r="B394" s="18"/>
      <c r="C394" s="19"/>
      <c r="D394" s="19"/>
      <c r="E394" s="19"/>
      <c r="F394" s="19"/>
      <c r="G394" s="18"/>
      <c r="H394" s="21"/>
      <c r="I394" s="21"/>
      <c r="J394" s="21"/>
      <c r="K394" s="21"/>
      <c r="L394" s="21"/>
      <c r="M394" s="21"/>
      <c r="N394" s="25"/>
      <c r="O394" s="21"/>
      <c r="P394" s="21"/>
      <c r="Q394" s="21"/>
      <c r="R394" s="21"/>
      <c r="S394" s="21"/>
      <c r="T394" s="21"/>
      <c r="U394" s="21"/>
      <c r="V394" s="21"/>
      <c r="W394" s="21"/>
      <c r="X394" s="21"/>
      <c r="Y394" s="21"/>
      <c r="Z394" s="21"/>
      <c r="AB394" s="24" t="str">
        <f aca="false">IF(LEN($C394)&gt;0,COUNT(AB$1:AB393)+1,"")</f>
        <v/>
      </c>
      <c r="AC394" s="24" t="str">
        <f aca="false">IF(LEN($D394)&gt;0,COUNT(AC$1:AC393)+1,"")</f>
        <v/>
      </c>
      <c r="AD394" s="24" t="str">
        <f aca="false">IF(LEN($E394)&gt;0,COUNT(AD$1:AD393)+1,"")</f>
        <v/>
      </c>
      <c r="AE394" s="24" t="str">
        <f aca="false">IF(LEN($F394)&gt;0,COUNT(AE$1:AE393)+1,"")</f>
        <v/>
      </c>
    </row>
    <row r="395" customFormat="false" ht="16.5" hidden="false" customHeight="true" outlineLevel="0" collapsed="false">
      <c r="A395" s="18" t="str">
        <f aca="false">IF(B395="","",ROW()-2)</f>
        <v/>
      </c>
      <c r="B395" s="18"/>
      <c r="C395" s="19"/>
      <c r="D395" s="19"/>
      <c r="E395" s="19"/>
      <c r="F395" s="19"/>
      <c r="G395" s="18"/>
      <c r="H395" s="21"/>
      <c r="I395" s="21"/>
      <c r="J395" s="21"/>
      <c r="K395" s="21"/>
      <c r="L395" s="21"/>
      <c r="M395" s="21"/>
      <c r="N395" s="25"/>
      <c r="O395" s="21"/>
      <c r="P395" s="21"/>
      <c r="Q395" s="21"/>
      <c r="R395" s="21"/>
      <c r="S395" s="21"/>
      <c r="T395" s="21"/>
      <c r="U395" s="21"/>
      <c r="V395" s="21"/>
      <c r="W395" s="21"/>
      <c r="X395" s="21"/>
      <c r="Y395" s="21"/>
      <c r="Z395" s="21"/>
      <c r="AB395" s="24" t="str">
        <f aca="false">IF(LEN($C395)&gt;0,COUNT(AB$1:AB394)+1,"")</f>
        <v/>
      </c>
      <c r="AC395" s="24" t="str">
        <f aca="false">IF(LEN($D395)&gt;0,COUNT(AC$1:AC394)+1,"")</f>
        <v/>
      </c>
      <c r="AD395" s="24" t="str">
        <f aca="false">IF(LEN($E395)&gt;0,COUNT(AD$1:AD394)+1,"")</f>
        <v/>
      </c>
      <c r="AE395" s="24" t="str">
        <f aca="false">IF(LEN($F395)&gt;0,COUNT(AE$1:AE394)+1,"")</f>
        <v/>
      </c>
    </row>
    <row r="396" customFormat="false" ht="16.5" hidden="false" customHeight="true" outlineLevel="0" collapsed="false">
      <c r="A396" s="18" t="str">
        <f aca="false">IF(B396="","",ROW()-2)</f>
        <v/>
      </c>
      <c r="B396" s="18"/>
      <c r="C396" s="19"/>
      <c r="D396" s="19"/>
      <c r="E396" s="19"/>
      <c r="F396" s="19"/>
      <c r="G396" s="18"/>
      <c r="H396" s="21"/>
      <c r="I396" s="21"/>
      <c r="J396" s="21"/>
      <c r="K396" s="21"/>
      <c r="L396" s="21"/>
      <c r="M396" s="21"/>
      <c r="N396" s="25"/>
      <c r="O396" s="21"/>
      <c r="P396" s="21"/>
      <c r="Q396" s="21"/>
      <c r="R396" s="21"/>
      <c r="S396" s="21"/>
      <c r="T396" s="21"/>
      <c r="U396" s="21"/>
      <c r="V396" s="21"/>
      <c r="W396" s="21"/>
      <c r="X396" s="21"/>
      <c r="Y396" s="21"/>
      <c r="Z396" s="21"/>
      <c r="AB396" s="24" t="str">
        <f aca="false">IF(LEN($C396)&gt;0,COUNT(AB$1:AB395)+1,"")</f>
        <v/>
      </c>
      <c r="AC396" s="24" t="str">
        <f aca="false">IF(LEN($D396)&gt;0,COUNT(AC$1:AC395)+1,"")</f>
        <v/>
      </c>
      <c r="AD396" s="24" t="str">
        <f aca="false">IF(LEN($E396)&gt;0,COUNT(AD$1:AD395)+1,"")</f>
        <v/>
      </c>
      <c r="AE396" s="24" t="str">
        <f aca="false">IF(LEN($F396)&gt;0,COUNT(AE$1:AE395)+1,"")</f>
        <v/>
      </c>
    </row>
    <row r="397" customFormat="false" ht="16.5" hidden="false" customHeight="true" outlineLevel="0" collapsed="false">
      <c r="A397" s="18" t="str">
        <f aca="false">IF(B397="","",ROW()-2)</f>
        <v/>
      </c>
      <c r="B397" s="18"/>
      <c r="C397" s="19"/>
      <c r="D397" s="19"/>
      <c r="E397" s="19"/>
      <c r="F397" s="19"/>
      <c r="G397" s="18"/>
      <c r="H397" s="21"/>
      <c r="I397" s="21"/>
      <c r="J397" s="21"/>
      <c r="K397" s="21"/>
      <c r="L397" s="21"/>
      <c r="M397" s="21"/>
      <c r="N397" s="25"/>
      <c r="O397" s="21"/>
      <c r="P397" s="21"/>
      <c r="Q397" s="21"/>
      <c r="R397" s="21"/>
      <c r="S397" s="21"/>
      <c r="T397" s="21"/>
      <c r="U397" s="21"/>
      <c r="V397" s="21"/>
      <c r="W397" s="21"/>
      <c r="X397" s="21"/>
      <c r="Y397" s="21"/>
      <c r="Z397" s="21"/>
      <c r="AB397" s="24" t="str">
        <f aca="false">IF(LEN($C397)&gt;0,COUNT(AB$1:AB396)+1,"")</f>
        <v/>
      </c>
      <c r="AC397" s="24" t="str">
        <f aca="false">IF(LEN($D397)&gt;0,COUNT(AC$1:AC396)+1,"")</f>
        <v/>
      </c>
      <c r="AD397" s="24" t="str">
        <f aca="false">IF(LEN($E397)&gt;0,COUNT(AD$1:AD396)+1,"")</f>
        <v/>
      </c>
      <c r="AE397" s="24" t="str">
        <f aca="false">IF(LEN($F397)&gt;0,COUNT(AE$1:AE396)+1,"")</f>
        <v/>
      </c>
    </row>
    <row r="398" customFormat="false" ht="16.5" hidden="false" customHeight="true" outlineLevel="0" collapsed="false">
      <c r="A398" s="18" t="str">
        <f aca="false">IF(B398="","",ROW()-2)</f>
        <v/>
      </c>
      <c r="B398" s="18"/>
      <c r="C398" s="19"/>
      <c r="D398" s="19"/>
      <c r="E398" s="19"/>
      <c r="F398" s="19"/>
      <c r="G398" s="18"/>
      <c r="H398" s="21"/>
      <c r="I398" s="21"/>
      <c r="J398" s="21"/>
      <c r="K398" s="21"/>
      <c r="L398" s="21"/>
      <c r="M398" s="21"/>
      <c r="N398" s="25"/>
      <c r="O398" s="21"/>
      <c r="P398" s="21"/>
      <c r="Q398" s="21"/>
      <c r="R398" s="21"/>
      <c r="S398" s="21"/>
      <c r="T398" s="21"/>
      <c r="U398" s="21"/>
      <c r="V398" s="21"/>
      <c r="W398" s="21"/>
      <c r="X398" s="21"/>
      <c r="Y398" s="21"/>
      <c r="Z398" s="21"/>
      <c r="AB398" s="24" t="str">
        <f aca="false">IF(LEN($C398)&gt;0,COUNT(AB$1:AB397)+1,"")</f>
        <v/>
      </c>
      <c r="AC398" s="24" t="str">
        <f aca="false">IF(LEN($D398)&gt;0,COUNT(AC$1:AC397)+1,"")</f>
        <v/>
      </c>
      <c r="AD398" s="24" t="str">
        <f aca="false">IF(LEN($E398)&gt;0,COUNT(AD$1:AD397)+1,"")</f>
        <v/>
      </c>
      <c r="AE398" s="24" t="str">
        <f aca="false">IF(LEN($F398)&gt;0,COUNT(AE$1:AE397)+1,"")</f>
        <v/>
      </c>
    </row>
    <row r="399" customFormat="false" ht="16.5" hidden="false" customHeight="true" outlineLevel="0" collapsed="false">
      <c r="A399" s="18" t="str">
        <f aca="false">IF(B399="","",ROW()-2)</f>
        <v/>
      </c>
      <c r="B399" s="18"/>
      <c r="C399" s="19"/>
      <c r="D399" s="19"/>
      <c r="E399" s="19"/>
      <c r="F399" s="19"/>
      <c r="G399" s="18"/>
      <c r="H399" s="21"/>
      <c r="I399" s="21"/>
      <c r="J399" s="21"/>
      <c r="K399" s="21"/>
      <c r="L399" s="21"/>
      <c r="M399" s="21"/>
      <c r="N399" s="25"/>
      <c r="O399" s="21"/>
      <c r="P399" s="21"/>
      <c r="Q399" s="21"/>
      <c r="R399" s="21"/>
      <c r="S399" s="21"/>
      <c r="T399" s="21"/>
      <c r="U399" s="21"/>
      <c r="V399" s="21"/>
      <c r="W399" s="21"/>
      <c r="X399" s="21"/>
      <c r="Y399" s="21"/>
      <c r="Z399" s="21"/>
      <c r="AB399" s="24" t="str">
        <f aca="false">IF(LEN($C399)&gt;0,COUNT(AB$1:AB398)+1,"")</f>
        <v/>
      </c>
      <c r="AC399" s="24" t="str">
        <f aca="false">IF(LEN($D399)&gt;0,COUNT(AC$1:AC398)+1,"")</f>
        <v/>
      </c>
      <c r="AD399" s="24" t="str">
        <f aca="false">IF(LEN($E399)&gt;0,COUNT(AD$1:AD398)+1,"")</f>
        <v/>
      </c>
      <c r="AE399" s="24" t="str">
        <f aca="false">IF(LEN($F399)&gt;0,COUNT(AE$1:AE398)+1,"")</f>
        <v/>
      </c>
    </row>
    <row r="400" customFormat="false" ht="16.5" hidden="false" customHeight="true" outlineLevel="0" collapsed="false">
      <c r="A400" s="18" t="str">
        <f aca="false">IF(B400="","",ROW()-2)</f>
        <v/>
      </c>
      <c r="B400" s="18"/>
      <c r="C400" s="19"/>
      <c r="D400" s="19"/>
      <c r="E400" s="19"/>
      <c r="F400" s="19"/>
      <c r="G400" s="18"/>
      <c r="H400" s="21"/>
      <c r="I400" s="21"/>
      <c r="J400" s="21"/>
      <c r="K400" s="21"/>
      <c r="L400" s="21"/>
      <c r="M400" s="21"/>
      <c r="N400" s="25"/>
      <c r="O400" s="21"/>
      <c r="P400" s="21"/>
      <c r="Q400" s="21"/>
      <c r="R400" s="21"/>
      <c r="S400" s="21"/>
      <c r="T400" s="21"/>
      <c r="U400" s="21"/>
      <c r="V400" s="21"/>
      <c r="W400" s="21"/>
      <c r="X400" s="21"/>
      <c r="Y400" s="21"/>
      <c r="Z400" s="21"/>
      <c r="AB400" s="24" t="str">
        <f aca="false">IF(LEN($C400)&gt;0,COUNT(AB$1:AB399)+1,"")</f>
        <v/>
      </c>
      <c r="AC400" s="24" t="str">
        <f aca="false">IF(LEN($D400)&gt;0,COUNT(AC$1:AC399)+1,"")</f>
        <v/>
      </c>
      <c r="AD400" s="24" t="str">
        <f aca="false">IF(LEN($E400)&gt;0,COUNT(AD$1:AD399)+1,"")</f>
        <v/>
      </c>
      <c r="AE400" s="24" t="str">
        <f aca="false">IF(LEN($F400)&gt;0,COUNT(AE$1:AE399)+1,"")</f>
        <v/>
      </c>
    </row>
    <row r="401" customFormat="false" ht="16.5" hidden="false" customHeight="true" outlineLevel="0" collapsed="false">
      <c r="A401" s="18" t="str">
        <f aca="false">IF(B401="","",ROW()-2)</f>
        <v/>
      </c>
      <c r="B401" s="18"/>
      <c r="C401" s="19"/>
      <c r="D401" s="19"/>
      <c r="E401" s="19"/>
      <c r="F401" s="19"/>
      <c r="G401" s="18"/>
      <c r="H401" s="21"/>
      <c r="I401" s="21"/>
      <c r="J401" s="21"/>
      <c r="K401" s="21"/>
      <c r="L401" s="21"/>
      <c r="M401" s="21"/>
      <c r="N401" s="25"/>
      <c r="O401" s="21"/>
      <c r="P401" s="21"/>
      <c r="Q401" s="21"/>
      <c r="R401" s="21"/>
      <c r="S401" s="21"/>
      <c r="T401" s="21"/>
      <c r="U401" s="21"/>
      <c r="V401" s="21"/>
      <c r="W401" s="21"/>
      <c r="X401" s="21"/>
      <c r="Y401" s="21"/>
      <c r="Z401" s="21"/>
      <c r="AB401" s="24" t="str">
        <f aca="false">IF(LEN($C401)&gt;0,COUNT(AB$1:AB400)+1,"")</f>
        <v/>
      </c>
      <c r="AC401" s="24" t="str">
        <f aca="false">IF(LEN($D401)&gt;0,COUNT(AC$1:AC400)+1,"")</f>
        <v/>
      </c>
      <c r="AD401" s="24" t="str">
        <f aca="false">IF(LEN($E401)&gt;0,COUNT(AD$1:AD400)+1,"")</f>
        <v/>
      </c>
      <c r="AE401" s="24" t="str">
        <f aca="false">IF(LEN($F401)&gt;0,COUNT(AE$1:AE400)+1,"")</f>
        <v/>
      </c>
    </row>
    <row r="402" customFormat="false" ht="16.5" hidden="false" customHeight="true" outlineLevel="0" collapsed="false">
      <c r="A402" s="18" t="str">
        <f aca="false">IF(B402="","",ROW()-2)</f>
        <v/>
      </c>
      <c r="B402" s="18"/>
      <c r="C402" s="19"/>
      <c r="D402" s="19"/>
      <c r="E402" s="19"/>
      <c r="F402" s="19"/>
      <c r="G402" s="18"/>
      <c r="H402" s="21"/>
      <c r="I402" s="21"/>
      <c r="J402" s="21"/>
      <c r="K402" s="21"/>
      <c r="L402" s="21"/>
      <c r="M402" s="21"/>
      <c r="N402" s="25"/>
      <c r="O402" s="21"/>
      <c r="P402" s="21"/>
      <c r="Q402" s="21"/>
      <c r="R402" s="21"/>
      <c r="S402" s="21"/>
      <c r="T402" s="21"/>
      <c r="U402" s="21"/>
      <c r="V402" s="21"/>
      <c r="W402" s="21"/>
      <c r="X402" s="21"/>
      <c r="Y402" s="21"/>
      <c r="Z402" s="21"/>
      <c r="AB402" s="24" t="str">
        <f aca="false">IF(LEN($C402)&gt;0,COUNT(AB$1:AB401)+1,"")</f>
        <v/>
      </c>
      <c r="AC402" s="24" t="str">
        <f aca="false">IF(LEN($D402)&gt;0,COUNT(AC$1:AC401)+1,"")</f>
        <v/>
      </c>
      <c r="AD402" s="24" t="str">
        <f aca="false">IF(LEN($E402)&gt;0,COUNT(AD$1:AD401)+1,"")</f>
        <v/>
      </c>
      <c r="AE402" s="24" t="str">
        <f aca="false">IF(LEN($F402)&gt;0,COUNT(AE$1:AE401)+1,"")</f>
        <v/>
      </c>
    </row>
    <row r="403" customFormat="false" ht="16.5" hidden="false" customHeight="true" outlineLevel="0" collapsed="false">
      <c r="A403" s="18" t="str">
        <f aca="false">IF(B403="","",ROW()-2)</f>
        <v/>
      </c>
      <c r="B403" s="18"/>
      <c r="C403" s="19"/>
      <c r="D403" s="19"/>
      <c r="E403" s="19"/>
      <c r="F403" s="19"/>
      <c r="G403" s="18"/>
      <c r="H403" s="21"/>
      <c r="I403" s="21"/>
      <c r="J403" s="21"/>
      <c r="K403" s="21"/>
      <c r="L403" s="21"/>
      <c r="M403" s="21"/>
      <c r="N403" s="25"/>
      <c r="O403" s="21"/>
      <c r="P403" s="21"/>
      <c r="Q403" s="21"/>
      <c r="R403" s="21"/>
      <c r="S403" s="21"/>
      <c r="T403" s="21"/>
      <c r="U403" s="21"/>
      <c r="V403" s="21"/>
      <c r="W403" s="21"/>
      <c r="X403" s="21"/>
      <c r="Y403" s="21"/>
      <c r="Z403" s="21"/>
      <c r="AB403" s="24" t="str">
        <f aca="false">IF(LEN($C403)&gt;0,COUNT(AB$1:AB402)+1,"")</f>
        <v/>
      </c>
      <c r="AC403" s="24" t="str">
        <f aca="false">IF(LEN($D403)&gt;0,COUNT(AC$1:AC402)+1,"")</f>
        <v/>
      </c>
      <c r="AD403" s="24" t="str">
        <f aca="false">IF(LEN($E403)&gt;0,COUNT(AD$1:AD402)+1,"")</f>
        <v/>
      </c>
      <c r="AE403" s="24" t="str">
        <f aca="false">IF(LEN($F403)&gt;0,COUNT(AE$1:AE402)+1,"")</f>
        <v/>
      </c>
    </row>
    <row r="404" customFormat="false" ht="16.5" hidden="false" customHeight="true" outlineLevel="0" collapsed="false">
      <c r="A404" s="18" t="str">
        <f aca="false">IF(B404="","",ROW()-2)</f>
        <v/>
      </c>
      <c r="B404" s="18"/>
      <c r="C404" s="19"/>
      <c r="D404" s="19"/>
      <c r="E404" s="19"/>
      <c r="F404" s="19"/>
      <c r="G404" s="18"/>
      <c r="H404" s="21"/>
      <c r="I404" s="21"/>
      <c r="J404" s="21"/>
      <c r="K404" s="21"/>
      <c r="L404" s="21"/>
      <c r="M404" s="21"/>
      <c r="N404" s="25"/>
      <c r="O404" s="21"/>
      <c r="P404" s="21"/>
      <c r="Q404" s="21"/>
      <c r="R404" s="21"/>
      <c r="S404" s="21"/>
      <c r="T404" s="21"/>
      <c r="U404" s="21"/>
      <c r="V404" s="21"/>
      <c r="W404" s="21"/>
      <c r="X404" s="21"/>
      <c r="Y404" s="21"/>
      <c r="Z404" s="21"/>
      <c r="AB404" s="24" t="str">
        <f aca="false">IF(LEN($C404)&gt;0,COUNT(AB$1:AB403)+1,"")</f>
        <v/>
      </c>
      <c r="AC404" s="24" t="str">
        <f aca="false">IF(LEN($D404)&gt;0,COUNT(AC$1:AC403)+1,"")</f>
        <v/>
      </c>
      <c r="AD404" s="24" t="str">
        <f aca="false">IF(LEN($E404)&gt;0,COUNT(AD$1:AD403)+1,"")</f>
        <v/>
      </c>
      <c r="AE404" s="24" t="str">
        <f aca="false">IF(LEN($F404)&gt;0,COUNT(AE$1:AE403)+1,"")</f>
        <v/>
      </c>
    </row>
    <row r="405" customFormat="false" ht="16.5" hidden="false" customHeight="true" outlineLevel="0" collapsed="false">
      <c r="A405" s="18" t="str">
        <f aca="false">IF(B405="","",ROW()-2)</f>
        <v/>
      </c>
      <c r="B405" s="18"/>
      <c r="C405" s="19"/>
      <c r="D405" s="19"/>
      <c r="E405" s="19"/>
      <c r="F405" s="19"/>
      <c r="G405" s="18"/>
      <c r="H405" s="21"/>
      <c r="I405" s="21"/>
      <c r="J405" s="21"/>
      <c r="K405" s="21"/>
      <c r="L405" s="21"/>
      <c r="M405" s="21"/>
      <c r="N405" s="25"/>
      <c r="O405" s="21"/>
      <c r="P405" s="21"/>
      <c r="Q405" s="21"/>
      <c r="R405" s="21"/>
      <c r="S405" s="21"/>
      <c r="T405" s="21"/>
      <c r="U405" s="21"/>
      <c r="V405" s="21"/>
      <c r="W405" s="21"/>
      <c r="X405" s="21"/>
      <c r="Y405" s="21"/>
      <c r="Z405" s="21"/>
      <c r="AB405" s="24" t="str">
        <f aca="false">IF(LEN($C405)&gt;0,COUNT(AB$1:AB404)+1,"")</f>
        <v/>
      </c>
      <c r="AC405" s="24" t="str">
        <f aca="false">IF(LEN($D405)&gt;0,COUNT(AC$1:AC404)+1,"")</f>
        <v/>
      </c>
      <c r="AD405" s="24" t="str">
        <f aca="false">IF(LEN($E405)&gt;0,COUNT(AD$1:AD404)+1,"")</f>
        <v/>
      </c>
      <c r="AE405" s="24" t="str">
        <f aca="false">IF(LEN($F405)&gt;0,COUNT(AE$1:AE404)+1,"")</f>
        <v/>
      </c>
    </row>
    <row r="406" customFormat="false" ht="16.5" hidden="false" customHeight="true" outlineLevel="0" collapsed="false">
      <c r="A406" s="18" t="str">
        <f aca="false">IF(B406="","",ROW()-2)</f>
        <v/>
      </c>
      <c r="B406" s="18"/>
      <c r="C406" s="19"/>
      <c r="D406" s="19"/>
      <c r="E406" s="19"/>
      <c r="F406" s="19"/>
      <c r="G406" s="18"/>
      <c r="H406" s="21"/>
      <c r="I406" s="21"/>
      <c r="J406" s="21"/>
      <c r="K406" s="21"/>
      <c r="L406" s="21"/>
      <c r="M406" s="21"/>
      <c r="N406" s="25"/>
      <c r="O406" s="21"/>
      <c r="P406" s="21"/>
      <c r="Q406" s="21"/>
      <c r="R406" s="21"/>
      <c r="S406" s="21"/>
      <c r="T406" s="21"/>
      <c r="U406" s="21"/>
      <c r="V406" s="21"/>
      <c r="W406" s="21"/>
      <c r="X406" s="21"/>
      <c r="Y406" s="21"/>
      <c r="Z406" s="21"/>
      <c r="AB406" s="24" t="str">
        <f aca="false">IF(LEN($C406)&gt;0,COUNT(AB$1:AB405)+1,"")</f>
        <v/>
      </c>
      <c r="AC406" s="24" t="str">
        <f aca="false">IF(LEN($D406)&gt;0,COUNT(AC$1:AC405)+1,"")</f>
        <v/>
      </c>
      <c r="AD406" s="24" t="str">
        <f aca="false">IF(LEN($E406)&gt;0,COUNT(AD$1:AD405)+1,"")</f>
        <v/>
      </c>
      <c r="AE406" s="24" t="str">
        <f aca="false">IF(LEN($F406)&gt;0,COUNT(AE$1:AE405)+1,"")</f>
        <v/>
      </c>
    </row>
    <row r="407" customFormat="false" ht="16.5" hidden="false" customHeight="true" outlineLevel="0" collapsed="false">
      <c r="A407" s="18" t="str">
        <f aca="false">IF(B407="","",ROW()-2)</f>
        <v/>
      </c>
      <c r="B407" s="18"/>
      <c r="C407" s="19"/>
      <c r="D407" s="19"/>
      <c r="E407" s="19"/>
      <c r="F407" s="19"/>
      <c r="G407" s="18"/>
      <c r="H407" s="21"/>
      <c r="I407" s="21"/>
      <c r="J407" s="21"/>
      <c r="K407" s="21"/>
      <c r="L407" s="21"/>
      <c r="M407" s="21"/>
      <c r="N407" s="25"/>
      <c r="O407" s="21"/>
      <c r="P407" s="21"/>
      <c r="Q407" s="21"/>
      <c r="R407" s="21"/>
      <c r="S407" s="21"/>
      <c r="T407" s="21"/>
      <c r="U407" s="21"/>
      <c r="V407" s="21"/>
      <c r="W407" s="21"/>
      <c r="X407" s="21"/>
      <c r="Y407" s="21"/>
      <c r="Z407" s="21"/>
      <c r="AB407" s="24" t="str">
        <f aca="false">IF(LEN($C407)&gt;0,COUNT(AB$1:AB406)+1,"")</f>
        <v/>
      </c>
      <c r="AC407" s="24" t="str">
        <f aca="false">IF(LEN($D407)&gt;0,COUNT(AC$1:AC406)+1,"")</f>
        <v/>
      </c>
      <c r="AD407" s="24" t="str">
        <f aca="false">IF(LEN($E407)&gt;0,COUNT(AD$1:AD406)+1,"")</f>
        <v/>
      </c>
      <c r="AE407" s="24" t="str">
        <f aca="false">IF(LEN($F407)&gt;0,COUNT(AE$1:AE406)+1,"")</f>
        <v/>
      </c>
    </row>
    <row r="408" customFormat="false" ht="16.5" hidden="false" customHeight="true" outlineLevel="0" collapsed="false">
      <c r="A408" s="18" t="str">
        <f aca="false">IF(B408="","",ROW()-2)</f>
        <v/>
      </c>
      <c r="B408" s="18"/>
      <c r="C408" s="19"/>
      <c r="D408" s="19"/>
      <c r="E408" s="19"/>
      <c r="F408" s="19"/>
      <c r="G408" s="18"/>
      <c r="H408" s="21"/>
      <c r="I408" s="21"/>
      <c r="J408" s="21"/>
      <c r="K408" s="21"/>
      <c r="L408" s="21"/>
      <c r="M408" s="21"/>
      <c r="N408" s="25"/>
      <c r="O408" s="21"/>
      <c r="P408" s="21"/>
      <c r="Q408" s="21"/>
      <c r="R408" s="21"/>
      <c r="S408" s="21"/>
      <c r="T408" s="21"/>
      <c r="U408" s="21"/>
      <c r="V408" s="21"/>
      <c r="W408" s="21"/>
      <c r="X408" s="21"/>
      <c r="Y408" s="21"/>
      <c r="Z408" s="21"/>
      <c r="AB408" s="24" t="str">
        <f aca="false">IF(LEN($C408)&gt;0,COUNT(AB$1:AB407)+1,"")</f>
        <v/>
      </c>
      <c r="AC408" s="24" t="str">
        <f aca="false">IF(LEN($D408)&gt;0,COUNT(AC$1:AC407)+1,"")</f>
        <v/>
      </c>
      <c r="AD408" s="24" t="str">
        <f aca="false">IF(LEN($E408)&gt;0,COUNT(AD$1:AD407)+1,"")</f>
        <v/>
      </c>
      <c r="AE408" s="24" t="str">
        <f aca="false">IF(LEN($F408)&gt;0,COUNT(AE$1:AE407)+1,"")</f>
        <v/>
      </c>
    </row>
    <row r="409" customFormat="false" ht="16.5" hidden="false" customHeight="true" outlineLevel="0" collapsed="false">
      <c r="A409" s="18" t="str">
        <f aca="false">IF(B409="","",ROW()-2)</f>
        <v/>
      </c>
      <c r="B409" s="18"/>
      <c r="C409" s="19"/>
      <c r="D409" s="19"/>
      <c r="E409" s="19"/>
      <c r="F409" s="19"/>
      <c r="G409" s="18"/>
      <c r="H409" s="21"/>
      <c r="I409" s="21"/>
      <c r="J409" s="21"/>
      <c r="K409" s="21"/>
      <c r="L409" s="21"/>
      <c r="M409" s="21"/>
      <c r="N409" s="25"/>
      <c r="O409" s="21"/>
      <c r="P409" s="21"/>
      <c r="Q409" s="21"/>
      <c r="R409" s="21"/>
      <c r="S409" s="21"/>
      <c r="T409" s="21"/>
      <c r="U409" s="21"/>
      <c r="V409" s="21"/>
      <c r="W409" s="21"/>
      <c r="X409" s="21"/>
      <c r="Y409" s="21"/>
      <c r="Z409" s="21"/>
      <c r="AB409" s="24" t="str">
        <f aca="false">IF(LEN($C409)&gt;0,COUNT(AB$1:AB408)+1,"")</f>
        <v/>
      </c>
      <c r="AC409" s="24" t="str">
        <f aca="false">IF(LEN($D409)&gt;0,COUNT(AC$1:AC408)+1,"")</f>
        <v/>
      </c>
      <c r="AD409" s="24" t="str">
        <f aca="false">IF(LEN($E409)&gt;0,COUNT(AD$1:AD408)+1,"")</f>
        <v/>
      </c>
      <c r="AE409" s="24" t="str">
        <f aca="false">IF(LEN($F409)&gt;0,COUNT(AE$1:AE408)+1,"")</f>
        <v/>
      </c>
    </row>
    <row r="410" customFormat="false" ht="16.5" hidden="false" customHeight="true" outlineLevel="0" collapsed="false">
      <c r="A410" s="18" t="str">
        <f aca="false">IF(B410="","",ROW()-2)</f>
        <v/>
      </c>
      <c r="B410" s="18"/>
      <c r="C410" s="19"/>
      <c r="D410" s="19"/>
      <c r="E410" s="19"/>
      <c r="F410" s="19"/>
      <c r="G410" s="18"/>
      <c r="H410" s="21"/>
      <c r="I410" s="21"/>
      <c r="J410" s="21"/>
      <c r="K410" s="21"/>
      <c r="L410" s="21"/>
      <c r="M410" s="21"/>
      <c r="N410" s="25"/>
      <c r="O410" s="21"/>
      <c r="P410" s="21"/>
      <c r="Q410" s="21"/>
      <c r="R410" s="21"/>
      <c r="S410" s="21"/>
      <c r="T410" s="21"/>
      <c r="U410" s="21"/>
      <c r="V410" s="21"/>
      <c r="W410" s="21"/>
      <c r="X410" s="21"/>
      <c r="Y410" s="21"/>
      <c r="Z410" s="21"/>
      <c r="AB410" s="24" t="str">
        <f aca="false">IF(LEN($C410)&gt;0,COUNT(AB$1:AB409)+1,"")</f>
        <v/>
      </c>
      <c r="AC410" s="24" t="str">
        <f aca="false">IF(LEN($D410)&gt;0,COUNT(AC$1:AC409)+1,"")</f>
        <v/>
      </c>
      <c r="AD410" s="24" t="str">
        <f aca="false">IF(LEN($E410)&gt;0,COUNT(AD$1:AD409)+1,"")</f>
        <v/>
      </c>
      <c r="AE410" s="24" t="str">
        <f aca="false">IF(LEN($F410)&gt;0,COUNT(AE$1:AE409)+1,"")</f>
        <v/>
      </c>
    </row>
    <row r="411" customFormat="false" ht="16.5" hidden="false" customHeight="true" outlineLevel="0" collapsed="false">
      <c r="A411" s="18" t="str">
        <f aca="false">IF(B411="","",ROW()-2)</f>
        <v/>
      </c>
      <c r="B411" s="18"/>
      <c r="C411" s="19"/>
      <c r="D411" s="19"/>
      <c r="E411" s="19"/>
      <c r="F411" s="19"/>
      <c r="G411" s="18"/>
      <c r="H411" s="21"/>
      <c r="I411" s="21"/>
      <c r="J411" s="21"/>
      <c r="K411" s="21"/>
      <c r="L411" s="21"/>
      <c r="M411" s="21"/>
      <c r="N411" s="25"/>
      <c r="O411" s="21"/>
      <c r="P411" s="21"/>
      <c r="Q411" s="21"/>
      <c r="R411" s="21"/>
      <c r="S411" s="21"/>
      <c r="T411" s="21"/>
      <c r="U411" s="21"/>
      <c r="V411" s="21"/>
      <c r="W411" s="21"/>
      <c r="X411" s="21"/>
      <c r="Y411" s="21"/>
      <c r="Z411" s="21"/>
      <c r="AB411" s="24" t="str">
        <f aca="false">IF(LEN($C411)&gt;0,COUNT(AB$1:AB410)+1,"")</f>
        <v/>
      </c>
      <c r="AC411" s="24" t="str">
        <f aca="false">IF(LEN($D411)&gt;0,COUNT(AC$1:AC410)+1,"")</f>
        <v/>
      </c>
      <c r="AD411" s="24" t="str">
        <f aca="false">IF(LEN($E411)&gt;0,COUNT(AD$1:AD410)+1,"")</f>
        <v/>
      </c>
      <c r="AE411" s="24" t="str">
        <f aca="false">IF(LEN($F411)&gt;0,COUNT(AE$1:AE410)+1,"")</f>
        <v/>
      </c>
    </row>
    <row r="412" customFormat="false" ht="16.5" hidden="false" customHeight="true" outlineLevel="0" collapsed="false">
      <c r="A412" s="18" t="str">
        <f aca="false">IF(B412="","",ROW()-2)</f>
        <v/>
      </c>
      <c r="B412" s="18"/>
      <c r="C412" s="19"/>
      <c r="D412" s="19"/>
      <c r="E412" s="19"/>
      <c r="F412" s="19"/>
      <c r="G412" s="18"/>
      <c r="H412" s="21"/>
      <c r="I412" s="21"/>
      <c r="J412" s="21"/>
      <c r="K412" s="21"/>
      <c r="L412" s="21"/>
      <c r="M412" s="21"/>
      <c r="N412" s="25"/>
      <c r="O412" s="21"/>
      <c r="P412" s="21"/>
      <c r="Q412" s="21"/>
      <c r="R412" s="21"/>
      <c r="S412" s="21"/>
      <c r="T412" s="21"/>
      <c r="U412" s="21"/>
      <c r="V412" s="21"/>
      <c r="W412" s="21"/>
      <c r="X412" s="21"/>
      <c r="Y412" s="21"/>
      <c r="Z412" s="21"/>
      <c r="AB412" s="24" t="str">
        <f aca="false">IF(LEN($C412)&gt;0,COUNT(AB$1:AB411)+1,"")</f>
        <v/>
      </c>
      <c r="AC412" s="24" t="str">
        <f aca="false">IF(LEN($D412)&gt;0,COUNT(AC$1:AC411)+1,"")</f>
        <v/>
      </c>
      <c r="AD412" s="24" t="str">
        <f aca="false">IF(LEN($E412)&gt;0,COUNT(AD$1:AD411)+1,"")</f>
        <v/>
      </c>
      <c r="AE412" s="24" t="str">
        <f aca="false">IF(LEN($F412)&gt;0,COUNT(AE$1:AE411)+1,"")</f>
        <v/>
      </c>
    </row>
    <row r="413" customFormat="false" ht="16.5" hidden="false" customHeight="true" outlineLevel="0" collapsed="false">
      <c r="A413" s="18" t="str">
        <f aca="false">IF(B413="","",ROW()-2)</f>
        <v/>
      </c>
      <c r="B413" s="18"/>
      <c r="C413" s="19"/>
      <c r="D413" s="19"/>
      <c r="E413" s="19"/>
      <c r="F413" s="19"/>
      <c r="G413" s="18"/>
      <c r="H413" s="21"/>
      <c r="I413" s="21"/>
      <c r="J413" s="21"/>
      <c r="K413" s="21"/>
      <c r="L413" s="21"/>
      <c r="M413" s="21"/>
      <c r="N413" s="25"/>
      <c r="O413" s="21"/>
      <c r="P413" s="21"/>
      <c r="Q413" s="21"/>
      <c r="R413" s="21"/>
      <c r="S413" s="21"/>
      <c r="T413" s="21"/>
      <c r="U413" s="21"/>
      <c r="V413" s="21"/>
      <c r="W413" s="21"/>
      <c r="X413" s="21"/>
      <c r="Y413" s="21"/>
      <c r="Z413" s="21"/>
      <c r="AB413" s="24" t="str">
        <f aca="false">IF(LEN($C413)&gt;0,COUNT(AB$1:AB412)+1,"")</f>
        <v/>
      </c>
      <c r="AC413" s="24" t="str">
        <f aca="false">IF(LEN($D413)&gt;0,COUNT(AC$1:AC412)+1,"")</f>
        <v/>
      </c>
      <c r="AD413" s="24" t="str">
        <f aca="false">IF(LEN($E413)&gt;0,COUNT(AD$1:AD412)+1,"")</f>
        <v/>
      </c>
      <c r="AE413" s="24" t="str">
        <f aca="false">IF(LEN($F413)&gt;0,COUNT(AE$1:AE412)+1,"")</f>
        <v/>
      </c>
    </row>
    <row r="414" customFormat="false" ht="16.5" hidden="false" customHeight="true" outlineLevel="0" collapsed="false">
      <c r="A414" s="18" t="str">
        <f aca="false">IF(B414="","",ROW()-2)</f>
        <v/>
      </c>
      <c r="B414" s="18"/>
      <c r="C414" s="19"/>
      <c r="D414" s="19"/>
      <c r="E414" s="19"/>
      <c r="F414" s="19"/>
      <c r="G414" s="18"/>
      <c r="H414" s="21"/>
      <c r="I414" s="21"/>
      <c r="J414" s="21"/>
      <c r="K414" s="21"/>
      <c r="L414" s="21"/>
      <c r="M414" s="21"/>
      <c r="N414" s="25"/>
      <c r="O414" s="21"/>
      <c r="P414" s="21"/>
      <c r="Q414" s="21"/>
      <c r="R414" s="21"/>
      <c r="S414" s="21"/>
      <c r="T414" s="21"/>
      <c r="U414" s="21"/>
      <c r="V414" s="21"/>
      <c r="W414" s="21"/>
      <c r="X414" s="21"/>
      <c r="Y414" s="21"/>
      <c r="Z414" s="21"/>
      <c r="AB414" s="24" t="str">
        <f aca="false">IF(LEN($C414)&gt;0,COUNT(AB$1:AB413)+1,"")</f>
        <v/>
      </c>
      <c r="AC414" s="24" t="str">
        <f aca="false">IF(LEN($D414)&gt;0,COUNT(AC$1:AC413)+1,"")</f>
        <v/>
      </c>
      <c r="AD414" s="24" t="str">
        <f aca="false">IF(LEN($E414)&gt;0,COUNT(AD$1:AD413)+1,"")</f>
        <v/>
      </c>
      <c r="AE414" s="24" t="str">
        <f aca="false">IF(LEN($F414)&gt;0,COUNT(AE$1:AE413)+1,"")</f>
        <v/>
      </c>
    </row>
    <row r="415" customFormat="false" ht="16.5" hidden="false" customHeight="true" outlineLevel="0" collapsed="false">
      <c r="A415" s="18" t="str">
        <f aca="false">IF(B415="","",ROW()-2)</f>
        <v/>
      </c>
      <c r="B415" s="18"/>
      <c r="C415" s="19"/>
      <c r="D415" s="19"/>
      <c r="E415" s="19"/>
      <c r="F415" s="19"/>
      <c r="G415" s="18"/>
      <c r="H415" s="21"/>
      <c r="I415" s="21"/>
      <c r="J415" s="21"/>
      <c r="K415" s="21"/>
      <c r="L415" s="21"/>
      <c r="M415" s="21"/>
      <c r="N415" s="25"/>
      <c r="O415" s="21"/>
      <c r="P415" s="21"/>
      <c r="Q415" s="21"/>
      <c r="R415" s="21"/>
      <c r="S415" s="21"/>
      <c r="T415" s="21"/>
      <c r="U415" s="21"/>
      <c r="V415" s="21"/>
      <c r="W415" s="21"/>
      <c r="X415" s="21"/>
      <c r="Y415" s="21"/>
      <c r="Z415" s="21"/>
      <c r="AB415" s="24" t="str">
        <f aca="false">IF(LEN($C415)&gt;0,COUNT(AB$1:AB414)+1,"")</f>
        <v/>
      </c>
      <c r="AC415" s="24" t="str">
        <f aca="false">IF(LEN($D415)&gt;0,COUNT(AC$1:AC414)+1,"")</f>
        <v/>
      </c>
      <c r="AD415" s="24" t="str">
        <f aca="false">IF(LEN($E415)&gt;0,COUNT(AD$1:AD414)+1,"")</f>
        <v/>
      </c>
      <c r="AE415" s="24" t="str">
        <f aca="false">IF(LEN($F415)&gt;0,COUNT(AE$1:AE414)+1,"")</f>
        <v/>
      </c>
    </row>
    <row r="416" customFormat="false" ht="16.5" hidden="false" customHeight="true" outlineLevel="0" collapsed="false">
      <c r="A416" s="18" t="str">
        <f aca="false">IF(B416="","",ROW()-2)</f>
        <v/>
      </c>
      <c r="B416" s="18"/>
      <c r="C416" s="19"/>
      <c r="D416" s="19"/>
      <c r="E416" s="19"/>
      <c r="F416" s="19"/>
      <c r="G416" s="18"/>
      <c r="H416" s="21"/>
      <c r="I416" s="21"/>
      <c r="J416" s="21"/>
      <c r="K416" s="21"/>
      <c r="L416" s="21"/>
      <c r="M416" s="21"/>
      <c r="N416" s="25"/>
      <c r="O416" s="21"/>
      <c r="P416" s="21"/>
      <c r="Q416" s="21"/>
      <c r="R416" s="21"/>
      <c r="S416" s="21"/>
      <c r="T416" s="21"/>
      <c r="U416" s="21"/>
      <c r="V416" s="21"/>
      <c r="W416" s="21"/>
      <c r="X416" s="21"/>
      <c r="Y416" s="21"/>
      <c r="Z416" s="21"/>
      <c r="AB416" s="24" t="str">
        <f aca="false">IF(LEN($C416)&gt;0,COUNT(AB$1:AB415)+1,"")</f>
        <v/>
      </c>
      <c r="AC416" s="24" t="str">
        <f aca="false">IF(LEN($D416)&gt;0,COUNT(AC$1:AC415)+1,"")</f>
        <v/>
      </c>
      <c r="AD416" s="24" t="str">
        <f aca="false">IF(LEN($E416)&gt;0,COUNT(AD$1:AD415)+1,"")</f>
        <v/>
      </c>
      <c r="AE416" s="24" t="str">
        <f aca="false">IF(LEN($F416)&gt;0,COUNT(AE$1:AE415)+1,"")</f>
        <v/>
      </c>
    </row>
    <row r="417" customFormat="false" ht="16.5" hidden="false" customHeight="true" outlineLevel="0" collapsed="false">
      <c r="A417" s="18" t="str">
        <f aca="false">IF(B417="","",ROW()-2)</f>
        <v/>
      </c>
      <c r="B417" s="18"/>
      <c r="C417" s="19"/>
      <c r="D417" s="19"/>
      <c r="E417" s="19"/>
      <c r="F417" s="19"/>
      <c r="G417" s="18"/>
      <c r="H417" s="21"/>
      <c r="I417" s="21"/>
      <c r="J417" s="21"/>
      <c r="K417" s="21"/>
      <c r="L417" s="21"/>
      <c r="M417" s="21"/>
      <c r="N417" s="25"/>
      <c r="O417" s="21"/>
      <c r="P417" s="21"/>
      <c r="Q417" s="21"/>
      <c r="R417" s="21"/>
      <c r="S417" s="21"/>
      <c r="T417" s="21"/>
      <c r="U417" s="21"/>
      <c r="V417" s="21"/>
      <c r="W417" s="21"/>
      <c r="X417" s="21"/>
      <c r="Y417" s="21"/>
      <c r="Z417" s="21"/>
      <c r="AB417" s="24" t="str">
        <f aca="false">IF(LEN($C417)&gt;0,COUNT(AB$1:AB416)+1,"")</f>
        <v/>
      </c>
      <c r="AC417" s="24" t="str">
        <f aca="false">IF(LEN($D417)&gt;0,COUNT(AC$1:AC416)+1,"")</f>
        <v/>
      </c>
      <c r="AD417" s="24" t="str">
        <f aca="false">IF(LEN($E417)&gt;0,COUNT(AD$1:AD416)+1,"")</f>
        <v/>
      </c>
      <c r="AE417" s="24" t="str">
        <f aca="false">IF(LEN($F417)&gt;0,COUNT(AE$1:AE416)+1,"")</f>
        <v/>
      </c>
    </row>
    <row r="418" customFormat="false" ht="16.5" hidden="false" customHeight="true" outlineLevel="0" collapsed="false">
      <c r="A418" s="18" t="str">
        <f aca="false">IF(B418="","",ROW()-2)</f>
        <v/>
      </c>
      <c r="B418" s="18"/>
      <c r="C418" s="19"/>
      <c r="D418" s="19"/>
      <c r="E418" s="19"/>
      <c r="F418" s="19"/>
      <c r="G418" s="18"/>
      <c r="H418" s="21"/>
      <c r="I418" s="21"/>
      <c r="J418" s="21"/>
      <c r="K418" s="21"/>
      <c r="L418" s="21"/>
      <c r="M418" s="21"/>
      <c r="N418" s="25"/>
      <c r="O418" s="21"/>
      <c r="P418" s="21"/>
      <c r="Q418" s="21"/>
      <c r="R418" s="21"/>
      <c r="S418" s="21"/>
      <c r="T418" s="21"/>
      <c r="U418" s="21"/>
      <c r="V418" s="21"/>
      <c r="W418" s="21"/>
      <c r="X418" s="21"/>
      <c r="Y418" s="21"/>
      <c r="Z418" s="21"/>
      <c r="AB418" s="24" t="str">
        <f aca="false">IF(LEN($C418)&gt;0,COUNT(AB$1:AB417)+1,"")</f>
        <v/>
      </c>
      <c r="AC418" s="24" t="str">
        <f aca="false">IF(LEN($D418)&gt;0,COUNT(AC$1:AC417)+1,"")</f>
        <v/>
      </c>
      <c r="AD418" s="24" t="str">
        <f aca="false">IF(LEN($E418)&gt;0,COUNT(AD$1:AD417)+1,"")</f>
        <v/>
      </c>
      <c r="AE418" s="24" t="str">
        <f aca="false">IF(LEN($F418)&gt;0,COUNT(AE$1:AE417)+1,"")</f>
        <v/>
      </c>
    </row>
    <row r="419" customFormat="false" ht="16.5" hidden="false" customHeight="true" outlineLevel="0" collapsed="false">
      <c r="A419" s="18" t="str">
        <f aca="false">IF(B419="","",ROW()-2)</f>
        <v/>
      </c>
      <c r="B419" s="18"/>
      <c r="C419" s="19"/>
      <c r="D419" s="19"/>
      <c r="E419" s="19"/>
      <c r="F419" s="19"/>
      <c r="G419" s="18"/>
      <c r="H419" s="21"/>
      <c r="I419" s="21"/>
      <c r="J419" s="21"/>
      <c r="K419" s="21"/>
      <c r="L419" s="21"/>
      <c r="M419" s="21"/>
      <c r="N419" s="25"/>
      <c r="O419" s="21"/>
      <c r="P419" s="21"/>
      <c r="Q419" s="21"/>
      <c r="R419" s="21"/>
      <c r="S419" s="21"/>
      <c r="T419" s="21"/>
      <c r="U419" s="21"/>
      <c r="V419" s="21"/>
      <c r="W419" s="21"/>
      <c r="X419" s="21"/>
      <c r="Y419" s="21"/>
      <c r="Z419" s="21"/>
      <c r="AB419" s="24" t="str">
        <f aca="false">IF(LEN($C419)&gt;0,COUNT(AB$1:AB418)+1,"")</f>
        <v/>
      </c>
      <c r="AC419" s="24" t="str">
        <f aca="false">IF(LEN($D419)&gt;0,COUNT(AC$1:AC418)+1,"")</f>
        <v/>
      </c>
      <c r="AD419" s="24" t="str">
        <f aca="false">IF(LEN($E419)&gt;0,COUNT(AD$1:AD418)+1,"")</f>
        <v/>
      </c>
      <c r="AE419" s="24" t="str">
        <f aca="false">IF(LEN($F419)&gt;0,COUNT(AE$1:AE418)+1,"")</f>
        <v/>
      </c>
    </row>
    <row r="420" customFormat="false" ht="16.5" hidden="false" customHeight="true" outlineLevel="0" collapsed="false">
      <c r="A420" s="18" t="str">
        <f aca="false">IF(B420="","",ROW()-2)</f>
        <v/>
      </c>
      <c r="B420" s="18"/>
      <c r="C420" s="19"/>
      <c r="D420" s="19"/>
      <c r="E420" s="19"/>
      <c r="F420" s="19"/>
      <c r="G420" s="18"/>
      <c r="H420" s="21"/>
      <c r="I420" s="21"/>
      <c r="J420" s="21"/>
      <c r="K420" s="21"/>
      <c r="L420" s="21"/>
      <c r="M420" s="21"/>
      <c r="N420" s="25"/>
      <c r="O420" s="21"/>
      <c r="P420" s="21"/>
      <c r="Q420" s="21"/>
      <c r="R420" s="21"/>
      <c r="S420" s="21"/>
      <c r="T420" s="21"/>
      <c r="U420" s="21"/>
      <c r="V420" s="21"/>
      <c r="W420" s="21"/>
      <c r="X420" s="21"/>
      <c r="Y420" s="21"/>
      <c r="Z420" s="21"/>
      <c r="AB420" s="24" t="str">
        <f aca="false">IF(LEN($C420)&gt;0,COUNT(AB$1:AB419)+1,"")</f>
        <v/>
      </c>
      <c r="AC420" s="24" t="str">
        <f aca="false">IF(LEN($D420)&gt;0,COUNT(AC$1:AC419)+1,"")</f>
        <v/>
      </c>
      <c r="AD420" s="24" t="str">
        <f aca="false">IF(LEN($E420)&gt;0,COUNT(AD$1:AD419)+1,"")</f>
        <v/>
      </c>
      <c r="AE420" s="24" t="str">
        <f aca="false">IF(LEN($F420)&gt;0,COUNT(AE$1:AE419)+1,"")</f>
        <v/>
      </c>
    </row>
    <row r="421" customFormat="false" ht="16.5" hidden="false" customHeight="true" outlineLevel="0" collapsed="false">
      <c r="A421" s="18" t="str">
        <f aca="false">IF(B421="","",ROW()-2)</f>
        <v/>
      </c>
      <c r="B421" s="18"/>
      <c r="C421" s="19"/>
      <c r="D421" s="19"/>
      <c r="E421" s="19"/>
      <c r="F421" s="19"/>
      <c r="G421" s="18"/>
      <c r="H421" s="21"/>
      <c r="I421" s="21"/>
      <c r="J421" s="21"/>
      <c r="K421" s="21"/>
      <c r="L421" s="21"/>
      <c r="M421" s="21"/>
      <c r="N421" s="25"/>
      <c r="O421" s="21"/>
      <c r="P421" s="21"/>
      <c r="Q421" s="21"/>
      <c r="R421" s="21"/>
      <c r="S421" s="21"/>
      <c r="T421" s="21"/>
      <c r="U421" s="21"/>
      <c r="V421" s="21"/>
      <c r="W421" s="21"/>
      <c r="X421" s="21"/>
      <c r="Y421" s="21"/>
      <c r="Z421" s="21"/>
      <c r="AB421" s="24" t="str">
        <f aca="false">IF(LEN($C421)&gt;0,COUNT(AB$1:AB420)+1,"")</f>
        <v/>
      </c>
      <c r="AC421" s="24" t="str">
        <f aca="false">IF(LEN($D421)&gt;0,COUNT(AC$1:AC420)+1,"")</f>
        <v/>
      </c>
      <c r="AD421" s="24" t="str">
        <f aca="false">IF(LEN($E421)&gt;0,COUNT(AD$1:AD420)+1,"")</f>
        <v/>
      </c>
      <c r="AE421" s="24" t="str">
        <f aca="false">IF(LEN($F421)&gt;0,COUNT(AE$1:AE420)+1,"")</f>
        <v/>
      </c>
    </row>
    <row r="422" customFormat="false" ht="16.5" hidden="false" customHeight="true" outlineLevel="0" collapsed="false">
      <c r="A422" s="18" t="str">
        <f aca="false">IF(B422="","",ROW()-2)</f>
        <v/>
      </c>
      <c r="B422" s="18"/>
      <c r="C422" s="19"/>
      <c r="D422" s="19"/>
      <c r="E422" s="19"/>
      <c r="F422" s="19"/>
      <c r="G422" s="18"/>
      <c r="H422" s="21"/>
      <c r="I422" s="21"/>
      <c r="J422" s="21"/>
      <c r="K422" s="21"/>
      <c r="L422" s="21"/>
      <c r="M422" s="21"/>
      <c r="N422" s="25"/>
      <c r="O422" s="21"/>
      <c r="P422" s="21"/>
      <c r="Q422" s="21"/>
      <c r="R422" s="21"/>
      <c r="S422" s="21"/>
      <c r="T422" s="21"/>
      <c r="U422" s="21"/>
      <c r="V422" s="21"/>
      <c r="W422" s="21"/>
      <c r="X422" s="21"/>
      <c r="Y422" s="21"/>
      <c r="Z422" s="21"/>
      <c r="AB422" s="24" t="str">
        <f aca="false">IF(LEN($C422)&gt;0,COUNT(AB$1:AB421)+1,"")</f>
        <v/>
      </c>
      <c r="AC422" s="24" t="str">
        <f aca="false">IF(LEN($D422)&gt;0,COUNT(AC$1:AC421)+1,"")</f>
        <v/>
      </c>
      <c r="AD422" s="24" t="str">
        <f aca="false">IF(LEN($E422)&gt;0,COUNT(AD$1:AD421)+1,"")</f>
        <v/>
      </c>
      <c r="AE422" s="24" t="str">
        <f aca="false">IF(LEN($F422)&gt;0,COUNT(AE$1:AE421)+1,"")</f>
        <v/>
      </c>
    </row>
    <row r="423" customFormat="false" ht="16.5" hidden="false" customHeight="true" outlineLevel="0" collapsed="false">
      <c r="A423" s="18" t="str">
        <f aca="false">IF(B423="","",ROW()-2)</f>
        <v/>
      </c>
      <c r="B423" s="18"/>
      <c r="C423" s="19"/>
      <c r="D423" s="19"/>
      <c r="E423" s="19"/>
      <c r="F423" s="19"/>
      <c r="G423" s="18"/>
      <c r="H423" s="21"/>
      <c r="I423" s="21"/>
      <c r="J423" s="21"/>
      <c r="K423" s="21"/>
      <c r="L423" s="21"/>
      <c r="M423" s="21"/>
      <c r="N423" s="25"/>
      <c r="O423" s="21"/>
      <c r="P423" s="21"/>
      <c r="Q423" s="21"/>
      <c r="R423" s="21"/>
      <c r="S423" s="21"/>
      <c r="T423" s="21"/>
      <c r="U423" s="21"/>
      <c r="V423" s="21"/>
      <c r="W423" s="21"/>
      <c r="X423" s="21"/>
      <c r="Y423" s="21"/>
      <c r="Z423" s="21"/>
      <c r="AB423" s="24" t="str">
        <f aca="false">IF(LEN($C423)&gt;0,COUNT(AB$1:AB422)+1,"")</f>
        <v/>
      </c>
      <c r="AC423" s="24" t="str">
        <f aca="false">IF(LEN($D423)&gt;0,COUNT(AC$1:AC422)+1,"")</f>
        <v/>
      </c>
      <c r="AD423" s="24" t="str">
        <f aca="false">IF(LEN($E423)&gt;0,COUNT(AD$1:AD422)+1,"")</f>
        <v/>
      </c>
      <c r="AE423" s="24" t="str">
        <f aca="false">IF(LEN($F423)&gt;0,COUNT(AE$1:AE422)+1,"")</f>
        <v/>
      </c>
    </row>
    <row r="424" customFormat="false" ht="16.5" hidden="false" customHeight="true" outlineLevel="0" collapsed="false">
      <c r="A424" s="18" t="str">
        <f aca="false">IF(B424="","",ROW()-2)</f>
        <v/>
      </c>
      <c r="B424" s="18"/>
      <c r="C424" s="19"/>
      <c r="D424" s="19"/>
      <c r="E424" s="19"/>
      <c r="F424" s="19"/>
      <c r="G424" s="18"/>
      <c r="H424" s="21"/>
      <c r="I424" s="21"/>
      <c r="J424" s="21"/>
      <c r="K424" s="21"/>
      <c r="L424" s="21"/>
      <c r="M424" s="21"/>
      <c r="N424" s="25"/>
      <c r="O424" s="21"/>
      <c r="P424" s="21"/>
      <c r="Q424" s="21"/>
      <c r="R424" s="21"/>
      <c r="S424" s="21"/>
      <c r="T424" s="21"/>
      <c r="U424" s="21"/>
      <c r="V424" s="21"/>
      <c r="W424" s="21"/>
      <c r="X424" s="21"/>
      <c r="Y424" s="21"/>
      <c r="Z424" s="21"/>
      <c r="AB424" s="24" t="str">
        <f aca="false">IF(LEN($C424)&gt;0,COUNT(AB$1:AB423)+1,"")</f>
        <v/>
      </c>
      <c r="AC424" s="24" t="str">
        <f aca="false">IF(LEN($D424)&gt;0,COUNT(AC$1:AC423)+1,"")</f>
        <v/>
      </c>
      <c r="AD424" s="24" t="str">
        <f aca="false">IF(LEN($E424)&gt;0,COUNT(AD$1:AD423)+1,"")</f>
        <v/>
      </c>
      <c r="AE424" s="24" t="str">
        <f aca="false">IF(LEN($F424)&gt;0,COUNT(AE$1:AE423)+1,"")</f>
        <v/>
      </c>
    </row>
    <row r="425" customFormat="false" ht="16.5" hidden="false" customHeight="true" outlineLevel="0" collapsed="false">
      <c r="A425" s="18" t="str">
        <f aca="false">IF(B425="","",ROW()-2)</f>
        <v/>
      </c>
      <c r="B425" s="18"/>
      <c r="C425" s="19"/>
      <c r="D425" s="19"/>
      <c r="E425" s="19"/>
      <c r="F425" s="19"/>
      <c r="G425" s="18"/>
      <c r="H425" s="21"/>
      <c r="I425" s="21"/>
      <c r="J425" s="21"/>
      <c r="K425" s="21"/>
      <c r="L425" s="21"/>
      <c r="M425" s="21"/>
      <c r="N425" s="25"/>
      <c r="O425" s="21"/>
      <c r="P425" s="21"/>
      <c r="Q425" s="21"/>
      <c r="R425" s="21"/>
      <c r="S425" s="21"/>
      <c r="T425" s="21"/>
      <c r="U425" s="21"/>
      <c r="V425" s="21"/>
      <c r="W425" s="21"/>
      <c r="X425" s="21"/>
      <c r="Y425" s="21"/>
      <c r="Z425" s="21"/>
      <c r="AB425" s="24" t="str">
        <f aca="false">IF(LEN($C425)&gt;0,COUNT(AB$1:AB424)+1,"")</f>
        <v/>
      </c>
      <c r="AC425" s="24" t="str">
        <f aca="false">IF(LEN($D425)&gt;0,COUNT(AC$1:AC424)+1,"")</f>
        <v/>
      </c>
      <c r="AD425" s="24" t="str">
        <f aca="false">IF(LEN($E425)&gt;0,COUNT(AD$1:AD424)+1,"")</f>
        <v/>
      </c>
      <c r="AE425" s="24" t="str">
        <f aca="false">IF(LEN($F425)&gt;0,COUNT(AE$1:AE424)+1,"")</f>
        <v/>
      </c>
    </row>
    <row r="426" customFormat="false" ht="16.5" hidden="false" customHeight="true" outlineLevel="0" collapsed="false">
      <c r="A426" s="18" t="str">
        <f aca="false">IF(B426="","",ROW()-2)</f>
        <v/>
      </c>
      <c r="B426" s="18"/>
      <c r="C426" s="19"/>
      <c r="D426" s="19"/>
      <c r="E426" s="19"/>
      <c r="F426" s="19"/>
      <c r="G426" s="18"/>
      <c r="H426" s="21"/>
      <c r="I426" s="21"/>
      <c r="J426" s="21"/>
      <c r="K426" s="21"/>
      <c r="L426" s="21"/>
      <c r="M426" s="21"/>
      <c r="N426" s="25"/>
      <c r="O426" s="21"/>
      <c r="P426" s="21"/>
      <c r="Q426" s="21"/>
      <c r="R426" s="21"/>
      <c r="S426" s="21"/>
      <c r="T426" s="21"/>
      <c r="U426" s="21"/>
      <c r="V426" s="21"/>
      <c r="W426" s="21"/>
      <c r="X426" s="21"/>
      <c r="Y426" s="21"/>
      <c r="Z426" s="21"/>
      <c r="AB426" s="24" t="str">
        <f aca="false">IF(LEN($C426)&gt;0,COUNT(AB$1:AB425)+1,"")</f>
        <v/>
      </c>
      <c r="AC426" s="24" t="str">
        <f aca="false">IF(LEN($D426)&gt;0,COUNT(AC$1:AC425)+1,"")</f>
        <v/>
      </c>
      <c r="AD426" s="24" t="str">
        <f aca="false">IF(LEN($E426)&gt;0,COUNT(AD$1:AD425)+1,"")</f>
        <v/>
      </c>
      <c r="AE426" s="24" t="str">
        <f aca="false">IF(LEN($F426)&gt;0,COUNT(AE$1:AE425)+1,"")</f>
        <v/>
      </c>
    </row>
    <row r="427" customFormat="false" ht="16.5" hidden="false" customHeight="true" outlineLevel="0" collapsed="false">
      <c r="A427" s="18" t="str">
        <f aca="false">IF(B427="","",ROW()-2)</f>
        <v/>
      </c>
      <c r="B427" s="18"/>
      <c r="C427" s="19"/>
      <c r="D427" s="19"/>
      <c r="E427" s="19"/>
      <c r="F427" s="19"/>
      <c r="G427" s="18"/>
      <c r="H427" s="21"/>
      <c r="I427" s="21"/>
      <c r="J427" s="21"/>
      <c r="K427" s="21"/>
      <c r="L427" s="21"/>
      <c r="M427" s="21"/>
      <c r="N427" s="25"/>
      <c r="O427" s="21"/>
      <c r="P427" s="21"/>
      <c r="Q427" s="21"/>
      <c r="R427" s="21"/>
      <c r="S427" s="21"/>
      <c r="T427" s="21"/>
      <c r="U427" s="21"/>
      <c r="V427" s="21"/>
      <c r="W427" s="21"/>
      <c r="X427" s="21"/>
      <c r="Y427" s="21"/>
      <c r="Z427" s="21"/>
      <c r="AB427" s="24" t="str">
        <f aca="false">IF(LEN($C427)&gt;0,COUNT(AB$1:AB426)+1,"")</f>
        <v/>
      </c>
      <c r="AC427" s="24" t="str">
        <f aca="false">IF(LEN($D427)&gt;0,COUNT(AC$1:AC426)+1,"")</f>
        <v/>
      </c>
      <c r="AD427" s="24" t="str">
        <f aca="false">IF(LEN($E427)&gt;0,COUNT(AD$1:AD426)+1,"")</f>
        <v/>
      </c>
      <c r="AE427" s="24" t="str">
        <f aca="false">IF(LEN($F427)&gt;0,COUNT(AE$1:AE426)+1,"")</f>
        <v/>
      </c>
    </row>
    <row r="428" customFormat="false" ht="16.5" hidden="false" customHeight="true" outlineLevel="0" collapsed="false">
      <c r="A428" s="18" t="str">
        <f aca="false">IF(B428="","",ROW()-2)</f>
        <v/>
      </c>
      <c r="B428" s="18"/>
      <c r="C428" s="19"/>
      <c r="D428" s="19"/>
      <c r="E428" s="19"/>
      <c r="F428" s="19"/>
      <c r="G428" s="18"/>
      <c r="H428" s="21"/>
      <c r="I428" s="21"/>
      <c r="J428" s="21"/>
      <c r="K428" s="21"/>
      <c r="L428" s="21"/>
      <c r="M428" s="21"/>
      <c r="N428" s="25"/>
      <c r="O428" s="21"/>
      <c r="P428" s="21"/>
      <c r="Q428" s="21"/>
      <c r="R428" s="21"/>
      <c r="S428" s="21"/>
      <c r="T428" s="21"/>
      <c r="U428" s="21"/>
      <c r="V428" s="21"/>
      <c r="W428" s="21"/>
      <c r="X428" s="21"/>
      <c r="Y428" s="21"/>
      <c r="Z428" s="21"/>
      <c r="AB428" s="24" t="str">
        <f aca="false">IF(LEN($C428)&gt;0,COUNT(AB$1:AB427)+1,"")</f>
        <v/>
      </c>
      <c r="AC428" s="24" t="str">
        <f aca="false">IF(LEN($D428)&gt;0,COUNT(AC$1:AC427)+1,"")</f>
        <v/>
      </c>
      <c r="AD428" s="24" t="str">
        <f aca="false">IF(LEN($E428)&gt;0,COUNT(AD$1:AD427)+1,"")</f>
        <v/>
      </c>
      <c r="AE428" s="24" t="str">
        <f aca="false">IF(LEN($F428)&gt;0,COUNT(AE$1:AE427)+1,"")</f>
        <v/>
      </c>
    </row>
    <row r="429" customFormat="false" ht="16.5" hidden="false" customHeight="true" outlineLevel="0" collapsed="false">
      <c r="A429" s="18" t="str">
        <f aca="false">IF(B429="","",ROW()-2)</f>
        <v/>
      </c>
      <c r="B429" s="18"/>
      <c r="C429" s="19"/>
      <c r="D429" s="19"/>
      <c r="E429" s="19"/>
      <c r="F429" s="19"/>
      <c r="G429" s="18"/>
      <c r="H429" s="21"/>
      <c r="I429" s="21"/>
      <c r="J429" s="21"/>
      <c r="K429" s="21"/>
      <c r="L429" s="21"/>
      <c r="M429" s="21"/>
      <c r="N429" s="25"/>
      <c r="O429" s="21"/>
      <c r="P429" s="21"/>
      <c r="Q429" s="21"/>
      <c r="R429" s="21"/>
      <c r="S429" s="21"/>
      <c r="T429" s="21"/>
      <c r="U429" s="21"/>
      <c r="V429" s="21"/>
      <c r="W429" s="21"/>
      <c r="X429" s="21"/>
      <c r="Y429" s="21"/>
      <c r="Z429" s="21"/>
      <c r="AB429" s="24" t="str">
        <f aca="false">IF(LEN($C429)&gt;0,COUNT(AB$1:AB428)+1,"")</f>
        <v/>
      </c>
      <c r="AC429" s="24" t="str">
        <f aca="false">IF(LEN($D429)&gt;0,COUNT(AC$1:AC428)+1,"")</f>
        <v/>
      </c>
      <c r="AD429" s="24" t="str">
        <f aca="false">IF(LEN($E429)&gt;0,COUNT(AD$1:AD428)+1,"")</f>
        <v/>
      </c>
      <c r="AE429" s="24" t="str">
        <f aca="false">IF(LEN($F429)&gt;0,COUNT(AE$1:AE428)+1,"")</f>
        <v/>
      </c>
    </row>
    <row r="430" customFormat="false" ht="16.5" hidden="false" customHeight="true" outlineLevel="0" collapsed="false">
      <c r="A430" s="18" t="str">
        <f aca="false">IF(B430="","",ROW()-2)</f>
        <v/>
      </c>
      <c r="B430" s="18"/>
      <c r="C430" s="19"/>
      <c r="D430" s="19"/>
      <c r="E430" s="19"/>
      <c r="F430" s="19"/>
      <c r="G430" s="18"/>
      <c r="H430" s="21"/>
      <c r="I430" s="21"/>
      <c r="J430" s="21"/>
      <c r="K430" s="21"/>
      <c r="L430" s="21"/>
      <c r="M430" s="21"/>
      <c r="N430" s="25"/>
      <c r="O430" s="21"/>
      <c r="P430" s="21"/>
      <c r="Q430" s="21"/>
      <c r="R430" s="21"/>
      <c r="S430" s="21"/>
      <c r="T430" s="21"/>
      <c r="U430" s="21"/>
      <c r="V430" s="21"/>
      <c r="W430" s="21"/>
      <c r="X430" s="21"/>
      <c r="Y430" s="21"/>
      <c r="Z430" s="21"/>
      <c r="AB430" s="24" t="str">
        <f aca="false">IF(LEN($C430)&gt;0,COUNT(AB$1:AB429)+1,"")</f>
        <v/>
      </c>
      <c r="AC430" s="24" t="str">
        <f aca="false">IF(LEN($D430)&gt;0,COUNT(AC$1:AC429)+1,"")</f>
        <v/>
      </c>
      <c r="AD430" s="24" t="str">
        <f aca="false">IF(LEN($E430)&gt;0,COUNT(AD$1:AD429)+1,"")</f>
        <v/>
      </c>
      <c r="AE430" s="24" t="str">
        <f aca="false">IF(LEN($F430)&gt;0,COUNT(AE$1:AE429)+1,"")</f>
        <v/>
      </c>
    </row>
    <row r="431" customFormat="false" ht="16.5" hidden="false" customHeight="true" outlineLevel="0" collapsed="false">
      <c r="A431" s="18" t="str">
        <f aca="false">IF(B431="","",ROW()-2)</f>
        <v/>
      </c>
      <c r="B431" s="18"/>
      <c r="C431" s="19"/>
      <c r="D431" s="19"/>
      <c r="E431" s="19"/>
      <c r="F431" s="19"/>
      <c r="G431" s="18"/>
      <c r="H431" s="21"/>
      <c r="I431" s="21"/>
      <c r="J431" s="21"/>
      <c r="K431" s="21"/>
      <c r="L431" s="21"/>
      <c r="M431" s="21"/>
      <c r="N431" s="25"/>
      <c r="O431" s="21"/>
      <c r="P431" s="21"/>
      <c r="Q431" s="21"/>
      <c r="R431" s="21"/>
      <c r="S431" s="21"/>
      <c r="T431" s="21"/>
      <c r="U431" s="21"/>
      <c r="V431" s="21"/>
      <c r="W431" s="21"/>
      <c r="X431" s="21"/>
      <c r="Y431" s="21"/>
      <c r="Z431" s="21"/>
      <c r="AB431" s="24" t="str">
        <f aca="false">IF(LEN($C431)&gt;0,COUNT(AB$1:AB430)+1,"")</f>
        <v/>
      </c>
      <c r="AC431" s="24" t="str">
        <f aca="false">IF(LEN($D431)&gt;0,COUNT(AC$1:AC430)+1,"")</f>
        <v/>
      </c>
      <c r="AD431" s="24" t="str">
        <f aca="false">IF(LEN($E431)&gt;0,COUNT(AD$1:AD430)+1,"")</f>
        <v/>
      </c>
      <c r="AE431" s="24" t="str">
        <f aca="false">IF(LEN($F431)&gt;0,COUNT(AE$1:AE430)+1,"")</f>
        <v/>
      </c>
    </row>
    <row r="432" customFormat="false" ht="16.5" hidden="false" customHeight="true" outlineLevel="0" collapsed="false">
      <c r="A432" s="18" t="str">
        <f aca="false">IF(B432="","",ROW()-2)</f>
        <v/>
      </c>
      <c r="B432" s="18"/>
      <c r="C432" s="19"/>
      <c r="D432" s="19"/>
      <c r="E432" s="19"/>
      <c r="F432" s="19"/>
      <c r="G432" s="18"/>
      <c r="H432" s="21"/>
      <c r="I432" s="21"/>
      <c r="J432" s="21"/>
      <c r="K432" s="21"/>
      <c r="L432" s="21"/>
      <c r="M432" s="21"/>
      <c r="N432" s="25"/>
      <c r="O432" s="21"/>
      <c r="P432" s="21"/>
      <c r="Q432" s="21"/>
      <c r="R432" s="21"/>
      <c r="S432" s="21"/>
      <c r="T432" s="21"/>
      <c r="U432" s="21"/>
      <c r="V432" s="21"/>
      <c r="W432" s="21"/>
      <c r="X432" s="21"/>
      <c r="Y432" s="21"/>
      <c r="Z432" s="21"/>
      <c r="AB432" s="24" t="str">
        <f aca="false">IF(LEN($C432)&gt;0,COUNT(AB$1:AB431)+1,"")</f>
        <v/>
      </c>
      <c r="AC432" s="24" t="str">
        <f aca="false">IF(LEN($D432)&gt;0,COUNT(AC$1:AC431)+1,"")</f>
        <v/>
      </c>
      <c r="AD432" s="24" t="str">
        <f aca="false">IF(LEN($E432)&gt;0,COUNT(AD$1:AD431)+1,"")</f>
        <v/>
      </c>
      <c r="AE432" s="24" t="str">
        <f aca="false">IF(LEN($F432)&gt;0,COUNT(AE$1:AE431)+1,"")</f>
        <v/>
      </c>
    </row>
    <row r="433" customFormat="false" ht="16.5" hidden="false" customHeight="true" outlineLevel="0" collapsed="false">
      <c r="A433" s="18" t="str">
        <f aca="false">IF(B433="","",ROW()-2)</f>
        <v/>
      </c>
      <c r="B433" s="18"/>
      <c r="C433" s="19"/>
      <c r="D433" s="19"/>
      <c r="E433" s="19"/>
      <c r="F433" s="19"/>
      <c r="G433" s="18"/>
      <c r="H433" s="21"/>
      <c r="I433" s="21"/>
      <c r="J433" s="21"/>
      <c r="K433" s="21"/>
      <c r="L433" s="21"/>
      <c r="M433" s="21"/>
      <c r="N433" s="25"/>
      <c r="O433" s="21"/>
      <c r="P433" s="21"/>
      <c r="Q433" s="21"/>
      <c r="R433" s="21"/>
      <c r="S433" s="21"/>
      <c r="T433" s="21"/>
      <c r="U433" s="21"/>
      <c r="V433" s="21"/>
      <c r="W433" s="21"/>
      <c r="X433" s="21"/>
      <c r="Y433" s="21"/>
      <c r="Z433" s="21"/>
      <c r="AB433" s="24" t="str">
        <f aca="false">IF(LEN($C433)&gt;0,COUNT(AB$1:AB432)+1,"")</f>
        <v/>
      </c>
      <c r="AC433" s="24" t="str">
        <f aca="false">IF(LEN($D433)&gt;0,COUNT(AC$1:AC432)+1,"")</f>
        <v/>
      </c>
      <c r="AD433" s="24" t="str">
        <f aca="false">IF(LEN($E433)&gt;0,COUNT(AD$1:AD432)+1,"")</f>
        <v/>
      </c>
      <c r="AE433" s="24" t="str">
        <f aca="false">IF(LEN($F433)&gt;0,COUNT(AE$1:AE432)+1,"")</f>
        <v/>
      </c>
    </row>
    <row r="434" customFormat="false" ht="16.5" hidden="false" customHeight="true" outlineLevel="0" collapsed="false">
      <c r="A434" s="18" t="str">
        <f aca="false">IF(B434="","",ROW()-2)</f>
        <v/>
      </c>
      <c r="B434" s="18"/>
      <c r="C434" s="19"/>
      <c r="D434" s="19"/>
      <c r="E434" s="19"/>
      <c r="F434" s="19"/>
      <c r="G434" s="18"/>
      <c r="H434" s="21"/>
      <c r="I434" s="21"/>
      <c r="J434" s="21"/>
      <c r="K434" s="21"/>
      <c r="L434" s="21"/>
      <c r="M434" s="21"/>
      <c r="N434" s="25"/>
      <c r="O434" s="21"/>
      <c r="P434" s="21"/>
      <c r="Q434" s="21"/>
      <c r="R434" s="21"/>
      <c r="S434" s="21"/>
      <c r="T434" s="21"/>
      <c r="U434" s="21"/>
      <c r="V434" s="21"/>
      <c r="W434" s="21"/>
      <c r="X434" s="21"/>
      <c r="Y434" s="21"/>
      <c r="Z434" s="21"/>
      <c r="AB434" s="24" t="str">
        <f aca="false">IF(LEN($C434)&gt;0,COUNT(AB$1:AB433)+1,"")</f>
        <v/>
      </c>
      <c r="AC434" s="24" t="str">
        <f aca="false">IF(LEN($D434)&gt;0,COUNT(AC$1:AC433)+1,"")</f>
        <v/>
      </c>
      <c r="AD434" s="24" t="str">
        <f aca="false">IF(LEN($E434)&gt;0,COUNT(AD$1:AD433)+1,"")</f>
        <v/>
      </c>
      <c r="AE434" s="24" t="str">
        <f aca="false">IF(LEN($F434)&gt;0,COUNT(AE$1:AE433)+1,"")</f>
        <v/>
      </c>
    </row>
    <row r="435" customFormat="false" ht="16.5" hidden="false" customHeight="true" outlineLevel="0" collapsed="false">
      <c r="A435" s="18" t="str">
        <f aca="false">IF(B435="","",ROW()-2)</f>
        <v/>
      </c>
      <c r="B435" s="18"/>
      <c r="C435" s="19"/>
      <c r="D435" s="19"/>
      <c r="E435" s="19"/>
      <c r="F435" s="19"/>
      <c r="G435" s="18"/>
      <c r="H435" s="21"/>
      <c r="I435" s="21"/>
      <c r="J435" s="21"/>
      <c r="K435" s="21"/>
      <c r="L435" s="21"/>
      <c r="M435" s="21"/>
      <c r="N435" s="25"/>
      <c r="O435" s="21"/>
      <c r="P435" s="21"/>
      <c r="Q435" s="21"/>
      <c r="R435" s="21"/>
      <c r="S435" s="21"/>
      <c r="T435" s="21"/>
      <c r="U435" s="21"/>
      <c r="V435" s="21"/>
      <c r="W435" s="21"/>
      <c r="X435" s="21"/>
      <c r="Y435" s="21"/>
      <c r="Z435" s="21"/>
      <c r="AB435" s="24" t="str">
        <f aca="false">IF(LEN($C435)&gt;0,COUNT(AB$1:AB434)+1,"")</f>
        <v/>
      </c>
      <c r="AC435" s="24" t="str">
        <f aca="false">IF(LEN($D435)&gt;0,COUNT(AC$1:AC434)+1,"")</f>
        <v/>
      </c>
      <c r="AD435" s="24" t="str">
        <f aca="false">IF(LEN($E435)&gt;0,COUNT(AD$1:AD434)+1,"")</f>
        <v/>
      </c>
      <c r="AE435" s="24" t="str">
        <f aca="false">IF(LEN($F435)&gt;0,COUNT(AE$1:AE434)+1,"")</f>
        <v/>
      </c>
    </row>
    <row r="436" customFormat="false" ht="16.5" hidden="false" customHeight="true" outlineLevel="0" collapsed="false">
      <c r="A436" s="18" t="str">
        <f aca="false">IF(B436="","",ROW()-2)</f>
        <v/>
      </c>
      <c r="B436" s="18"/>
      <c r="C436" s="19"/>
      <c r="D436" s="19"/>
      <c r="E436" s="19"/>
      <c r="F436" s="19"/>
      <c r="G436" s="18"/>
      <c r="H436" s="21"/>
      <c r="I436" s="21"/>
      <c r="J436" s="21"/>
      <c r="K436" s="21"/>
      <c r="L436" s="21"/>
      <c r="M436" s="21"/>
      <c r="N436" s="25"/>
      <c r="O436" s="21"/>
      <c r="P436" s="21"/>
      <c r="Q436" s="21"/>
      <c r="R436" s="21"/>
      <c r="S436" s="21"/>
      <c r="T436" s="21"/>
      <c r="U436" s="21"/>
      <c r="V436" s="21"/>
      <c r="W436" s="21"/>
      <c r="X436" s="21"/>
      <c r="Y436" s="21"/>
      <c r="Z436" s="21"/>
      <c r="AB436" s="24" t="str">
        <f aca="false">IF(LEN($C436)&gt;0,COUNT(AB$1:AB435)+1,"")</f>
        <v/>
      </c>
      <c r="AC436" s="24" t="str">
        <f aca="false">IF(LEN($D436)&gt;0,COUNT(AC$1:AC435)+1,"")</f>
        <v/>
      </c>
      <c r="AD436" s="24" t="str">
        <f aca="false">IF(LEN($E436)&gt;0,COUNT(AD$1:AD435)+1,"")</f>
        <v/>
      </c>
      <c r="AE436" s="24" t="str">
        <f aca="false">IF(LEN($F436)&gt;0,COUNT(AE$1:AE435)+1,"")</f>
        <v/>
      </c>
    </row>
    <row r="437" customFormat="false" ht="16.5" hidden="false" customHeight="true" outlineLevel="0" collapsed="false">
      <c r="A437" s="18" t="str">
        <f aca="false">IF(B437="","",ROW()-2)</f>
        <v/>
      </c>
      <c r="B437" s="18"/>
      <c r="C437" s="19"/>
      <c r="D437" s="19"/>
      <c r="E437" s="19"/>
      <c r="F437" s="19"/>
      <c r="G437" s="18"/>
      <c r="H437" s="21"/>
      <c r="I437" s="21"/>
      <c r="J437" s="21"/>
      <c r="K437" s="21"/>
      <c r="L437" s="21"/>
      <c r="M437" s="21"/>
      <c r="N437" s="25"/>
      <c r="O437" s="21"/>
      <c r="P437" s="21"/>
      <c r="Q437" s="21"/>
      <c r="R437" s="21"/>
      <c r="S437" s="21"/>
      <c r="T437" s="21"/>
      <c r="U437" s="21"/>
      <c r="V437" s="21"/>
      <c r="W437" s="21"/>
      <c r="X437" s="21"/>
      <c r="Y437" s="21"/>
      <c r="Z437" s="21"/>
      <c r="AB437" s="24" t="str">
        <f aca="false">IF(LEN($C437)&gt;0,COUNT(AB$1:AB436)+1,"")</f>
        <v/>
      </c>
      <c r="AC437" s="24" t="str">
        <f aca="false">IF(LEN($D437)&gt;0,COUNT(AC$1:AC436)+1,"")</f>
        <v/>
      </c>
      <c r="AD437" s="24" t="str">
        <f aca="false">IF(LEN($E437)&gt;0,COUNT(AD$1:AD436)+1,"")</f>
        <v/>
      </c>
      <c r="AE437" s="24" t="str">
        <f aca="false">IF(LEN($F437)&gt;0,COUNT(AE$1:AE436)+1,"")</f>
        <v/>
      </c>
    </row>
    <row r="438" customFormat="false" ht="16.5" hidden="false" customHeight="true" outlineLevel="0" collapsed="false">
      <c r="A438" s="18" t="str">
        <f aca="false">IF(B438="","",ROW()-2)</f>
        <v/>
      </c>
      <c r="B438" s="18"/>
      <c r="C438" s="19"/>
      <c r="D438" s="19"/>
      <c r="E438" s="19"/>
      <c r="F438" s="19"/>
      <c r="G438" s="18"/>
      <c r="H438" s="21"/>
      <c r="I438" s="21"/>
      <c r="J438" s="21"/>
      <c r="K438" s="21"/>
      <c r="L438" s="21"/>
      <c r="M438" s="21"/>
      <c r="N438" s="25"/>
      <c r="O438" s="21"/>
      <c r="P438" s="21"/>
      <c r="Q438" s="21"/>
      <c r="R438" s="21"/>
      <c r="S438" s="21"/>
      <c r="T438" s="21"/>
      <c r="U438" s="21"/>
      <c r="V438" s="21"/>
      <c r="W438" s="21"/>
      <c r="X438" s="21"/>
      <c r="Y438" s="21"/>
      <c r="Z438" s="21"/>
      <c r="AB438" s="24" t="str">
        <f aca="false">IF(LEN($C438)&gt;0,COUNT(AB$1:AB437)+1,"")</f>
        <v/>
      </c>
      <c r="AC438" s="24" t="str">
        <f aca="false">IF(LEN($D438)&gt;0,COUNT(AC$1:AC437)+1,"")</f>
        <v/>
      </c>
      <c r="AD438" s="24" t="str">
        <f aca="false">IF(LEN($E438)&gt;0,COUNT(AD$1:AD437)+1,"")</f>
        <v/>
      </c>
      <c r="AE438" s="24" t="str">
        <f aca="false">IF(LEN($F438)&gt;0,COUNT(AE$1:AE437)+1,"")</f>
        <v/>
      </c>
    </row>
    <row r="439" customFormat="false" ht="16.5" hidden="false" customHeight="true" outlineLevel="0" collapsed="false">
      <c r="A439" s="18" t="str">
        <f aca="false">IF(B439="","",ROW()-2)</f>
        <v/>
      </c>
      <c r="B439" s="18"/>
      <c r="C439" s="19"/>
      <c r="D439" s="19"/>
      <c r="E439" s="19"/>
      <c r="F439" s="19"/>
      <c r="G439" s="18"/>
      <c r="H439" s="21"/>
      <c r="I439" s="21"/>
      <c r="J439" s="21"/>
      <c r="K439" s="21"/>
      <c r="L439" s="21"/>
      <c r="M439" s="21"/>
      <c r="N439" s="25"/>
      <c r="O439" s="21"/>
      <c r="P439" s="21"/>
      <c r="Q439" s="21"/>
      <c r="R439" s="21"/>
      <c r="S439" s="21"/>
      <c r="T439" s="21"/>
      <c r="U439" s="21"/>
      <c r="V439" s="21"/>
      <c r="W439" s="21"/>
      <c r="X439" s="21"/>
      <c r="Y439" s="21"/>
      <c r="Z439" s="21"/>
      <c r="AB439" s="24" t="str">
        <f aca="false">IF(LEN($C439)&gt;0,COUNT(AB$1:AB438)+1,"")</f>
        <v/>
      </c>
      <c r="AC439" s="24" t="str">
        <f aca="false">IF(LEN($D439)&gt;0,COUNT(AC$1:AC438)+1,"")</f>
        <v/>
      </c>
      <c r="AD439" s="24" t="str">
        <f aca="false">IF(LEN($E439)&gt;0,COUNT(AD$1:AD438)+1,"")</f>
        <v/>
      </c>
      <c r="AE439" s="24" t="str">
        <f aca="false">IF(LEN($F439)&gt;0,COUNT(AE$1:AE438)+1,"")</f>
        <v/>
      </c>
    </row>
    <row r="440" customFormat="false" ht="16.5" hidden="false" customHeight="true" outlineLevel="0" collapsed="false">
      <c r="A440" s="18" t="str">
        <f aca="false">IF(B440="","",ROW()-2)</f>
        <v/>
      </c>
      <c r="B440" s="18"/>
      <c r="C440" s="19"/>
      <c r="D440" s="19"/>
      <c r="E440" s="19"/>
      <c r="F440" s="19"/>
      <c r="G440" s="18"/>
      <c r="H440" s="21"/>
      <c r="I440" s="21"/>
      <c r="J440" s="21"/>
      <c r="K440" s="21"/>
      <c r="L440" s="21"/>
      <c r="M440" s="21"/>
      <c r="N440" s="25"/>
      <c r="O440" s="21"/>
      <c r="P440" s="21"/>
      <c r="Q440" s="21"/>
      <c r="R440" s="21"/>
      <c r="S440" s="21"/>
      <c r="T440" s="21"/>
      <c r="U440" s="21"/>
      <c r="V440" s="21"/>
      <c r="W440" s="21"/>
      <c r="X440" s="21"/>
      <c r="Y440" s="21"/>
      <c r="Z440" s="21"/>
      <c r="AB440" s="24" t="str">
        <f aca="false">IF(LEN($C440)&gt;0,COUNT(AB$1:AB439)+1,"")</f>
        <v/>
      </c>
      <c r="AC440" s="24" t="str">
        <f aca="false">IF(LEN($D440)&gt;0,COUNT(AC$1:AC439)+1,"")</f>
        <v/>
      </c>
      <c r="AD440" s="24" t="str">
        <f aca="false">IF(LEN($E440)&gt;0,COUNT(AD$1:AD439)+1,"")</f>
        <v/>
      </c>
      <c r="AE440" s="24" t="str">
        <f aca="false">IF(LEN($F440)&gt;0,COUNT(AE$1:AE439)+1,"")</f>
        <v/>
      </c>
    </row>
    <row r="441" customFormat="false" ht="16.5" hidden="false" customHeight="true" outlineLevel="0" collapsed="false">
      <c r="A441" s="18" t="str">
        <f aca="false">IF(B441="","",ROW()-2)</f>
        <v/>
      </c>
      <c r="B441" s="18"/>
      <c r="C441" s="19"/>
      <c r="D441" s="19"/>
      <c r="E441" s="19"/>
      <c r="F441" s="19"/>
      <c r="G441" s="18"/>
      <c r="H441" s="21"/>
      <c r="I441" s="21"/>
      <c r="J441" s="21"/>
      <c r="K441" s="21"/>
      <c r="L441" s="21"/>
      <c r="M441" s="21"/>
      <c r="N441" s="25"/>
      <c r="O441" s="21"/>
      <c r="P441" s="21"/>
      <c r="Q441" s="21"/>
      <c r="R441" s="21"/>
      <c r="S441" s="21"/>
      <c r="T441" s="21"/>
      <c r="U441" s="21"/>
      <c r="V441" s="21"/>
      <c r="W441" s="21"/>
      <c r="X441" s="21"/>
      <c r="Y441" s="21"/>
      <c r="Z441" s="21"/>
      <c r="AB441" s="24" t="str">
        <f aca="false">IF(LEN($C441)&gt;0,COUNT(AB$1:AB440)+1,"")</f>
        <v/>
      </c>
      <c r="AC441" s="24" t="str">
        <f aca="false">IF(LEN($D441)&gt;0,COUNT(AC$1:AC440)+1,"")</f>
        <v/>
      </c>
      <c r="AD441" s="24" t="str">
        <f aca="false">IF(LEN($E441)&gt;0,COUNT(AD$1:AD440)+1,"")</f>
        <v/>
      </c>
      <c r="AE441" s="24" t="str">
        <f aca="false">IF(LEN($F441)&gt;0,COUNT(AE$1:AE440)+1,"")</f>
        <v/>
      </c>
    </row>
    <row r="442" customFormat="false" ht="16.5" hidden="false" customHeight="true" outlineLevel="0" collapsed="false">
      <c r="A442" s="18" t="str">
        <f aca="false">IF(B442="","",ROW()-2)</f>
        <v/>
      </c>
      <c r="B442" s="18"/>
      <c r="C442" s="19"/>
      <c r="D442" s="19"/>
      <c r="E442" s="19"/>
      <c r="F442" s="19"/>
      <c r="G442" s="18"/>
      <c r="H442" s="21"/>
      <c r="I442" s="21"/>
      <c r="J442" s="21"/>
      <c r="K442" s="21"/>
      <c r="L442" s="21"/>
      <c r="M442" s="21"/>
      <c r="N442" s="25"/>
      <c r="O442" s="21"/>
      <c r="P442" s="21"/>
      <c r="Q442" s="21"/>
      <c r="R442" s="21"/>
      <c r="S442" s="21"/>
      <c r="T442" s="21"/>
      <c r="U442" s="21"/>
      <c r="V442" s="21"/>
      <c r="W442" s="21"/>
      <c r="X442" s="21"/>
      <c r="Y442" s="21"/>
      <c r="Z442" s="21"/>
      <c r="AB442" s="24" t="str">
        <f aca="false">IF(LEN($C442)&gt;0,COUNT(AB$1:AB441)+1,"")</f>
        <v/>
      </c>
      <c r="AC442" s="24" t="str">
        <f aca="false">IF(LEN($D442)&gt;0,COUNT(AC$1:AC441)+1,"")</f>
        <v/>
      </c>
      <c r="AD442" s="24" t="str">
        <f aca="false">IF(LEN($E442)&gt;0,COUNT(AD$1:AD441)+1,"")</f>
        <v/>
      </c>
      <c r="AE442" s="24" t="str">
        <f aca="false">IF(LEN($F442)&gt;0,COUNT(AE$1:AE441)+1,"")</f>
        <v/>
      </c>
    </row>
    <row r="443" customFormat="false" ht="16.5" hidden="false" customHeight="true" outlineLevel="0" collapsed="false">
      <c r="A443" s="18" t="str">
        <f aca="false">IF(B443="","",ROW()-2)</f>
        <v/>
      </c>
      <c r="B443" s="18"/>
      <c r="C443" s="19"/>
      <c r="D443" s="19"/>
      <c r="E443" s="19"/>
      <c r="F443" s="19"/>
      <c r="G443" s="18"/>
      <c r="H443" s="21"/>
      <c r="I443" s="21"/>
      <c r="J443" s="21"/>
      <c r="K443" s="21"/>
      <c r="L443" s="21"/>
      <c r="M443" s="21"/>
      <c r="N443" s="25"/>
      <c r="O443" s="21"/>
      <c r="P443" s="21"/>
      <c r="Q443" s="21"/>
      <c r="R443" s="21"/>
      <c r="S443" s="21"/>
      <c r="T443" s="21"/>
      <c r="U443" s="21"/>
      <c r="V443" s="21"/>
      <c r="W443" s="21"/>
      <c r="X443" s="21"/>
      <c r="Y443" s="21"/>
      <c r="Z443" s="21"/>
      <c r="AB443" s="24" t="str">
        <f aca="false">IF(LEN($C443)&gt;0,COUNT(AB$1:AB442)+1,"")</f>
        <v/>
      </c>
      <c r="AC443" s="24" t="str">
        <f aca="false">IF(LEN($D443)&gt;0,COUNT(AC$1:AC442)+1,"")</f>
        <v/>
      </c>
      <c r="AD443" s="24" t="str">
        <f aca="false">IF(LEN($E443)&gt;0,COUNT(AD$1:AD442)+1,"")</f>
        <v/>
      </c>
      <c r="AE443" s="24" t="str">
        <f aca="false">IF(LEN($F443)&gt;0,COUNT(AE$1:AE442)+1,"")</f>
        <v/>
      </c>
    </row>
    <row r="444" customFormat="false" ht="16.5" hidden="false" customHeight="true" outlineLevel="0" collapsed="false">
      <c r="A444" s="18" t="str">
        <f aca="false">IF(B444="","",ROW()-2)</f>
        <v/>
      </c>
      <c r="B444" s="18"/>
      <c r="C444" s="19"/>
      <c r="D444" s="19"/>
      <c r="E444" s="19"/>
      <c r="F444" s="19"/>
      <c r="G444" s="18"/>
      <c r="H444" s="21"/>
      <c r="I444" s="21"/>
      <c r="J444" s="21"/>
      <c r="K444" s="21"/>
      <c r="L444" s="21"/>
      <c r="M444" s="21"/>
      <c r="N444" s="25"/>
      <c r="O444" s="21"/>
      <c r="P444" s="21"/>
      <c r="Q444" s="21"/>
      <c r="R444" s="21"/>
      <c r="S444" s="21"/>
      <c r="T444" s="21"/>
      <c r="U444" s="21"/>
      <c r="V444" s="21"/>
      <c r="W444" s="21"/>
      <c r="X444" s="21"/>
      <c r="Y444" s="21"/>
      <c r="Z444" s="21"/>
      <c r="AB444" s="24" t="str">
        <f aca="false">IF(LEN($C444)&gt;0,COUNT(AB$1:AB443)+1,"")</f>
        <v/>
      </c>
      <c r="AC444" s="24" t="str">
        <f aca="false">IF(LEN($D444)&gt;0,COUNT(AC$1:AC443)+1,"")</f>
        <v/>
      </c>
      <c r="AD444" s="24" t="str">
        <f aca="false">IF(LEN($E444)&gt;0,COUNT(AD$1:AD443)+1,"")</f>
        <v/>
      </c>
      <c r="AE444" s="24" t="str">
        <f aca="false">IF(LEN($F444)&gt;0,COUNT(AE$1:AE443)+1,"")</f>
        <v/>
      </c>
    </row>
    <row r="445" customFormat="false" ht="16.5" hidden="false" customHeight="true" outlineLevel="0" collapsed="false">
      <c r="A445" s="18" t="str">
        <f aca="false">IF(B445="","",ROW()-2)</f>
        <v/>
      </c>
      <c r="B445" s="18"/>
      <c r="C445" s="19"/>
      <c r="D445" s="19"/>
      <c r="E445" s="19"/>
      <c r="F445" s="19"/>
      <c r="G445" s="18"/>
      <c r="H445" s="21"/>
      <c r="I445" s="21"/>
      <c r="J445" s="21"/>
      <c r="K445" s="21"/>
      <c r="L445" s="21"/>
      <c r="M445" s="21"/>
      <c r="N445" s="25"/>
      <c r="O445" s="21"/>
      <c r="P445" s="21"/>
      <c r="Q445" s="21"/>
      <c r="R445" s="21"/>
      <c r="S445" s="21"/>
      <c r="T445" s="21"/>
      <c r="U445" s="21"/>
      <c r="V445" s="21"/>
      <c r="W445" s="21"/>
      <c r="X445" s="21"/>
      <c r="Y445" s="21"/>
      <c r="Z445" s="21"/>
      <c r="AB445" s="24" t="str">
        <f aca="false">IF(LEN($C445)&gt;0,COUNT(AB$1:AB444)+1,"")</f>
        <v/>
      </c>
      <c r="AC445" s="24" t="str">
        <f aca="false">IF(LEN($D445)&gt;0,COUNT(AC$1:AC444)+1,"")</f>
        <v/>
      </c>
      <c r="AD445" s="24" t="str">
        <f aca="false">IF(LEN($E445)&gt;0,COUNT(AD$1:AD444)+1,"")</f>
        <v/>
      </c>
      <c r="AE445" s="24" t="str">
        <f aca="false">IF(LEN($F445)&gt;0,COUNT(AE$1:AE444)+1,"")</f>
        <v/>
      </c>
    </row>
    <row r="446" customFormat="false" ht="16.5" hidden="false" customHeight="true" outlineLevel="0" collapsed="false">
      <c r="A446" s="18" t="str">
        <f aca="false">IF(B446="","",ROW()-2)</f>
        <v/>
      </c>
      <c r="B446" s="18"/>
      <c r="C446" s="19"/>
      <c r="D446" s="19"/>
      <c r="E446" s="19"/>
      <c r="F446" s="19"/>
      <c r="G446" s="18"/>
      <c r="H446" s="21"/>
      <c r="I446" s="21"/>
      <c r="J446" s="21"/>
      <c r="K446" s="21"/>
      <c r="L446" s="21"/>
      <c r="M446" s="21"/>
      <c r="N446" s="25"/>
      <c r="O446" s="21"/>
      <c r="P446" s="21"/>
      <c r="Q446" s="21"/>
      <c r="R446" s="21"/>
      <c r="S446" s="21"/>
      <c r="T446" s="21"/>
      <c r="U446" s="21"/>
      <c r="V446" s="21"/>
      <c r="W446" s="21"/>
      <c r="X446" s="21"/>
      <c r="Y446" s="21"/>
      <c r="Z446" s="21"/>
      <c r="AB446" s="24" t="str">
        <f aca="false">IF(LEN($C446)&gt;0,COUNT(AB$1:AB445)+1,"")</f>
        <v/>
      </c>
      <c r="AC446" s="24" t="str">
        <f aca="false">IF(LEN($D446)&gt;0,COUNT(AC$1:AC445)+1,"")</f>
        <v/>
      </c>
      <c r="AD446" s="24" t="str">
        <f aca="false">IF(LEN($E446)&gt;0,COUNT(AD$1:AD445)+1,"")</f>
        <v/>
      </c>
      <c r="AE446" s="24" t="str">
        <f aca="false">IF(LEN($F446)&gt;0,COUNT(AE$1:AE445)+1,"")</f>
        <v/>
      </c>
    </row>
    <row r="447" customFormat="false" ht="16.5" hidden="false" customHeight="true" outlineLevel="0" collapsed="false">
      <c r="A447" s="18" t="str">
        <f aca="false">IF(B447="","",ROW()-2)</f>
        <v/>
      </c>
      <c r="B447" s="18"/>
      <c r="C447" s="19"/>
      <c r="D447" s="19"/>
      <c r="E447" s="19"/>
      <c r="F447" s="19"/>
      <c r="G447" s="18"/>
      <c r="H447" s="21"/>
      <c r="I447" s="21"/>
      <c r="J447" s="21"/>
      <c r="K447" s="21"/>
      <c r="L447" s="21"/>
      <c r="M447" s="21"/>
      <c r="N447" s="25"/>
      <c r="O447" s="21"/>
      <c r="P447" s="21"/>
      <c r="Q447" s="21"/>
      <c r="R447" s="21"/>
      <c r="S447" s="21"/>
      <c r="T447" s="21"/>
      <c r="U447" s="21"/>
      <c r="V447" s="21"/>
      <c r="W447" s="21"/>
      <c r="X447" s="21"/>
      <c r="Y447" s="21"/>
      <c r="Z447" s="21"/>
      <c r="AB447" s="24" t="str">
        <f aca="false">IF(LEN($C447)&gt;0,COUNT(AB$1:AB446)+1,"")</f>
        <v/>
      </c>
      <c r="AC447" s="24" t="str">
        <f aca="false">IF(LEN($D447)&gt;0,COUNT(AC$1:AC446)+1,"")</f>
        <v/>
      </c>
      <c r="AD447" s="24" t="str">
        <f aca="false">IF(LEN($E447)&gt;0,COUNT(AD$1:AD446)+1,"")</f>
        <v/>
      </c>
      <c r="AE447" s="24" t="str">
        <f aca="false">IF(LEN($F447)&gt;0,COUNT(AE$1:AE446)+1,"")</f>
        <v/>
      </c>
    </row>
    <row r="448" customFormat="false" ht="16.5" hidden="false" customHeight="true" outlineLevel="0" collapsed="false">
      <c r="A448" s="18" t="str">
        <f aca="false">IF(B448="","",ROW()-2)</f>
        <v/>
      </c>
      <c r="B448" s="18"/>
      <c r="C448" s="19"/>
      <c r="D448" s="19"/>
      <c r="E448" s="19"/>
      <c r="F448" s="19"/>
      <c r="G448" s="18"/>
      <c r="H448" s="21"/>
      <c r="I448" s="21"/>
      <c r="J448" s="21"/>
      <c r="K448" s="21"/>
      <c r="L448" s="21"/>
      <c r="M448" s="21"/>
      <c r="N448" s="25"/>
      <c r="O448" s="21"/>
      <c r="P448" s="21"/>
      <c r="Q448" s="21"/>
      <c r="R448" s="21"/>
      <c r="S448" s="21"/>
      <c r="T448" s="21"/>
      <c r="U448" s="21"/>
      <c r="V448" s="21"/>
      <c r="W448" s="21"/>
      <c r="X448" s="21"/>
      <c r="Y448" s="21"/>
      <c r="Z448" s="21"/>
      <c r="AB448" s="24" t="str">
        <f aca="false">IF(LEN($C448)&gt;0,COUNT(AB$1:AB447)+1,"")</f>
        <v/>
      </c>
      <c r="AC448" s="24" t="str">
        <f aca="false">IF(LEN($D448)&gt;0,COUNT(AC$1:AC447)+1,"")</f>
        <v/>
      </c>
      <c r="AD448" s="24" t="str">
        <f aca="false">IF(LEN($E448)&gt;0,COUNT(AD$1:AD447)+1,"")</f>
        <v/>
      </c>
      <c r="AE448" s="24" t="str">
        <f aca="false">IF(LEN($F448)&gt;0,COUNT(AE$1:AE447)+1,"")</f>
        <v/>
      </c>
    </row>
    <row r="449" customFormat="false" ht="16.5" hidden="false" customHeight="true" outlineLevel="0" collapsed="false">
      <c r="A449" s="18" t="str">
        <f aca="false">IF(B449="","",ROW()-2)</f>
        <v/>
      </c>
      <c r="B449" s="18"/>
      <c r="C449" s="19"/>
      <c r="D449" s="19"/>
      <c r="E449" s="19"/>
      <c r="F449" s="19"/>
      <c r="G449" s="18"/>
      <c r="H449" s="21"/>
      <c r="I449" s="21"/>
      <c r="J449" s="21"/>
      <c r="K449" s="21"/>
      <c r="L449" s="21"/>
      <c r="M449" s="21"/>
      <c r="N449" s="25"/>
      <c r="O449" s="21"/>
      <c r="P449" s="21"/>
      <c r="Q449" s="21"/>
      <c r="R449" s="21"/>
      <c r="S449" s="21"/>
      <c r="T449" s="21"/>
      <c r="U449" s="21"/>
      <c r="V449" s="21"/>
      <c r="W449" s="21"/>
      <c r="X449" s="21"/>
      <c r="Y449" s="21"/>
      <c r="Z449" s="21"/>
      <c r="AB449" s="24" t="str">
        <f aca="false">IF(LEN($C449)&gt;0,COUNT(AB$1:AB448)+1,"")</f>
        <v/>
      </c>
      <c r="AC449" s="24" t="str">
        <f aca="false">IF(LEN($D449)&gt;0,COUNT(AC$1:AC448)+1,"")</f>
        <v/>
      </c>
      <c r="AD449" s="24" t="str">
        <f aca="false">IF(LEN($E449)&gt;0,COUNT(AD$1:AD448)+1,"")</f>
        <v/>
      </c>
      <c r="AE449" s="24" t="str">
        <f aca="false">IF(LEN($F449)&gt;0,COUNT(AE$1:AE448)+1,"")</f>
        <v/>
      </c>
    </row>
    <row r="450" customFormat="false" ht="16.5" hidden="false" customHeight="true" outlineLevel="0" collapsed="false">
      <c r="A450" s="18" t="str">
        <f aca="false">IF(B450="","",ROW()-2)</f>
        <v/>
      </c>
      <c r="B450" s="18"/>
      <c r="C450" s="19"/>
      <c r="D450" s="19"/>
      <c r="E450" s="19"/>
      <c r="F450" s="19"/>
      <c r="G450" s="18"/>
      <c r="H450" s="21"/>
      <c r="I450" s="21"/>
      <c r="J450" s="21"/>
      <c r="K450" s="21"/>
      <c r="L450" s="21"/>
      <c r="M450" s="21"/>
      <c r="N450" s="25"/>
      <c r="O450" s="21"/>
      <c r="P450" s="21"/>
      <c r="Q450" s="21"/>
      <c r="R450" s="21"/>
      <c r="S450" s="21"/>
      <c r="T450" s="21"/>
      <c r="U450" s="21"/>
      <c r="V450" s="21"/>
      <c r="W450" s="21"/>
      <c r="X450" s="21"/>
      <c r="Y450" s="21"/>
      <c r="Z450" s="21"/>
      <c r="AB450" s="24" t="str">
        <f aca="false">IF(LEN($C450)&gt;0,COUNT(AB$1:AB449)+1,"")</f>
        <v/>
      </c>
      <c r="AC450" s="24" t="str">
        <f aca="false">IF(LEN($D450)&gt;0,COUNT(AC$1:AC449)+1,"")</f>
        <v/>
      </c>
      <c r="AD450" s="24" t="str">
        <f aca="false">IF(LEN($E450)&gt;0,COUNT(AD$1:AD449)+1,"")</f>
        <v/>
      </c>
      <c r="AE450" s="24" t="str">
        <f aca="false">IF(LEN($F450)&gt;0,COUNT(AE$1:AE449)+1,"")</f>
        <v/>
      </c>
    </row>
    <row r="451" customFormat="false" ht="16.5" hidden="false" customHeight="true" outlineLevel="0" collapsed="false">
      <c r="A451" s="18" t="str">
        <f aca="false">IF(B451="","",ROW()-2)</f>
        <v/>
      </c>
      <c r="B451" s="18"/>
      <c r="C451" s="19"/>
      <c r="D451" s="19"/>
      <c r="E451" s="19"/>
      <c r="F451" s="19"/>
      <c r="G451" s="18"/>
      <c r="H451" s="21"/>
      <c r="I451" s="21"/>
      <c r="J451" s="21"/>
      <c r="K451" s="21"/>
      <c r="L451" s="21"/>
      <c r="M451" s="21"/>
      <c r="N451" s="25"/>
      <c r="O451" s="21"/>
      <c r="P451" s="21"/>
      <c r="Q451" s="21"/>
      <c r="R451" s="21"/>
      <c r="S451" s="21"/>
      <c r="T451" s="21"/>
      <c r="U451" s="21"/>
      <c r="V451" s="21"/>
      <c r="W451" s="21"/>
      <c r="X451" s="21"/>
      <c r="Y451" s="21"/>
      <c r="Z451" s="21"/>
      <c r="AB451" s="24" t="str">
        <f aca="false">IF(LEN($C451)&gt;0,COUNT(AB$1:AB450)+1,"")</f>
        <v/>
      </c>
      <c r="AC451" s="24" t="str">
        <f aca="false">IF(LEN($D451)&gt;0,COUNT(AC$1:AC450)+1,"")</f>
        <v/>
      </c>
      <c r="AD451" s="24" t="str">
        <f aca="false">IF(LEN($E451)&gt;0,COUNT(AD$1:AD450)+1,"")</f>
        <v/>
      </c>
      <c r="AE451" s="24" t="str">
        <f aca="false">IF(LEN($F451)&gt;0,COUNT(AE$1:AE450)+1,"")</f>
        <v/>
      </c>
    </row>
    <row r="452" customFormat="false" ht="16.5" hidden="false" customHeight="true" outlineLevel="0" collapsed="false">
      <c r="A452" s="18" t="str">
        <f aca="false">IF(B452="","",ROW()-2)</f>
        <v/>
      </c>
      <c r="B452" s="18"/>
      <c r="C452" s="19"/>
      <c r="D452" s="19"/>
      <c r="E452" s="19"/>
      <c r="F452" s="19"/>
      <c r="G452" s="18"/>
      <c r="H452" s="21"/>
      <c r="I452" s="21"/>
      <c r="J452" s="21"/>
      <c r="K452" s="21"/>
      <c r="L452" s="21"/>
      <c r="M452" s="21"/>
      <c r="N452" s="25"/>
      <c r="O452" s="21"/>
      <c r="P452" s="21"/>
      <c r="Q452" s="21"/>
      <c r="R452" s="21"/>
      <c r="S452" s="21"/>
      <c r="T452" s="21"/>
      <c r="U452" s="21"/>
      <c r="V452" s="21"/>
      <c r="W452" s="21"/>
      <c r="X452" s="21"/>
      <c r="Y452" s="21"/>
      <c r="Z452" s="21"/>
      <c r="AB452" s="24" t="str">
        <f aca="false">IF(LEN($C452)&gt;0,COUNT(AB$1:AB451)+1,"")</f>
        <v/>
      </c>
      <c r="AC452" s="24" t="str">
        <f aca="false">IF(LEN($D452)&gt;0,COUNT(AC$1:AC451)+1,"")</f>
        <v/>
      </c>
      <c r="AD452" s="24" t="str">
        <f aca="false">IF(LEN($E452)&gt;0,COUNT(AD$1:AD451)+1,"")</f>
        <v/>
      </c>
      <c r="AE452" s="24" t="str">
        <f aca="false">IF(LEN($F452)&gt;0,COUNT(AE$1:AE451)+1,"")</f>
        <v/>
      </c>
    </row>
    <row r="453" customFormat="false" ht="16.5" hidden="false" customHeight="true" outlineLevel="0" collapsed="false">
      <c r="A453" s="18" t="str">
        <f aca="false">IF(B453="","",ROW()-2)</f>
        <v/>
      </c>
      <c r="B453" s="18"/>
      <c r="C453" s="19"/>
      <c r="D453" s="19"/>
      <c r="E453" s="19"/>
      <c r="F453" s="19"/>
      <c r="G453" s="18"/>
      <c r="H453" s="21"/>
      <c r="I453" s="21"/>
      <c r="J453" s="21"/>
      <c r="K453" s="21"/>
      <c r="L453" s="21"/>
      <c r="M453" s="21"/>
      <c r="N453" s="25"/>
      <c r="O453" s="21"/>
      <c r="P453" s="21"/>
      <c r="Q453" s="21"/>
      <c r="R453" s="21"/>
      <c r="S453" s="21"/>
      <c r="T453" s="21"/>
      <c r="U453" s="21"/>
      <c r="V453" s="21"/>
      <c r="W453" s="21"/>
      <c r="X453" s="21"/>
      <c r="Y453" s="21"/>
      <c r="Z453" s="21"/>
      <c r="AB453" s="24" t="str">
        <f aca="false">IF(LEN($C453)&gt;0,COUNT(AB$1:AB452)+1,"")</f>
        <v/>
      </c>
      <c r="AC453" s="24" t="str">
        <f aca="false">IF(LEN($D453)&gt;0,COUNT(AC$1:AC452)+1,"")</f>
        <v/>
      </c>
      <c r="AD453" s="24" t="str">
        <f aca="false">IF(LEN($E453)&gt;0,COUNT(AD$1:AD452)+1,"")</f>
        <v/>
      </c>
      <c r="AE453" s="24" t="str">
        <f aca="false">IF(LEN($F453)&gt;0,COUNT(AE$1:AE452)+1,"")</f>
        <v/>
      </c>
    </row>
    <row r="454" customFormat="false" ht="16.5" hidden="false" customHeight="true" outlineLevel="0" collapsed="false">
      <c r="A454" s="18" t="str">
        <f aca="false">IF(B454="","",ROW()-2)</f>
        <v/>
      </c>
      <c r="B454" s="18"/>
      <c r="C454" s="19"/>
      <c r="D454" s="19"/>
      <c r="E454" s="19"/>
      <c r="F454" s="19"/>
      <c r="G454" s="18"/>
      <c r="H454" s="21"/>
      <c r="I454" s="21"/>
      <c r="J454" s="21"/>
      <c r="K454" s="21"/>
      <c r="L454" s="21"/>
      <c r="M454" s="21"/>
      <c r="N454" s="25"/>
      <c r="O454" s="21"/>
      <c r="P454" s="21"/>
      <c r="Q454" s="21"/>
      <c r="R454" s="21"/>
      <c r="S454" s="21"/>
      <c r="T454" s="21"/>
      <c r="U454" s="21"/>
      <c r="V454" s="21"/>
      <c r="W454" s="21"/>
      <c r="X454" s="21"/>
      <c r="Y454" s="21"/>
      <c r="Z454" s="21"/>
      <c r="AB454" s="24" t="str">
        <f aca="false">IF(LEN($C454)&gt;0,COUNT(AB$1:AB453)+1,"")</f>
        <v/>
      </c>
      <c r="AC454" s="24" t="str">
        <f aca="false">IF(LEN($D454)&gt;0,COUNT(AC$1:AC453)+1,"")</f>
        <v/>
      </c>
      <c r="AD454" s="24" t="str">
        <f aca="false">IF(LEN($E454)&gt;0,COUNT(AD$1:AD453)+1,"")</f>
        <v/>
      </c>
      <c r="AE454" s="24" t="str">
        <f aca="false">IF(LEN($F454)&gt;0,COUNT(AE$1:AE453)+1,"")</f>
        <v/>
      </c>
    </row>
    <row r="455" customFormat="false" ht="16.5" hidden="false" customHeight="true" outlineLevel="0" collapsed="false">
      <c r="A455" s="18" t="str">
        <f aca="false">IF(B455="","",ROW()-2)</f>
        <v/>
      </c>
      <c r="B455" s="18"/>
      <c r="C455" s="19"/>
      <c r="D455" s="19"/>
      <c r="E455" s="19"/>
      <c r="F455" s="19"/>
      <c r="G455" s="18"/>
      <c r="H455" s="21"/>
      <c r="I455" s="21"/>
      <c r="J455" s="21"/>
      <c r="K455" s="21"/>
      <c r="L455" s="21"/>
      <c r="M455" s="21"/>
      <c r="N455" s="25"/>
      <c r="O455" s="21"/>
      <c r="P455" s="21"/>
      <c r="Q455" s="21"/>
      <c r="R455" s="21"/>
      <c r="S455" s="21"/>
      <c r="T455" s="21"/>
      <c r="U455" s="21"/>
      <c r="V455" s="21"/>
      <c r="W455" s="21"/>
      <c r="X455" s="21"/>
      <c r="Y455" s="21"/>
      <c r="Z455" s="21"/>
      <c r="AB455" s="24" t="str">
        <f aca="false">IF(LEN($C455)&gt;0,COUNT(AB$1:AB454)+1,"")</f>
        <v/>
      </c>
      <c r="AC455" s="24" t="str">
        <f aca="false">IF(LEN($D455)&gt;0,COUNT(AC$1:AC454)+1,"")</f>
        <v/>
      </c>
      <c r="AD455" s="24" t="str">
        <f aca="false">IF(LEN($E455)&gt;0,COUNT(AD$1:AD454)+1,"")</f>
        <v/>
      </c>
      <c r="AE455" s="24" t="str">
        <f aca="false">IF(LEN($F455)&gt;0,COUNT(AE$1:AE454)+1,"")</f>
        <v/>
      </c>
    </row>
    <row r="456" customFormat="false" ht="16.5" hidden="false" customHeight="true" outlineLevel="0" collapsed="false">
      <c r="A456" s="18" t="str">
        <f aca="false">IF(B456="","",ROW()-2)</f>
        <v/>
      </c>
      <c r="B456" s="18"/>
      <c r="C456" s="19"/>
      <c r="D456" s="19"/>
      <c r="E456" s="19"/>
      <c r="F456" s="19"/>
      <c r="G456" s="18"/>
      <c r="H456" s="21"/>
      <c r="I456" s="21"/>
      <c r="J456" s="21"/>
      <c r="K456" s="21"/>
      <c r="L456" s="21"/>
      <c r="M456" s="21"/>
      <c r="N456" s="25"/>
      <c r="O456" s="21"/>
      <c r="P456" s="21"/>
      <c r="Q456" s="21"/>
      <c r="R456" s="21"/>
      <c r="S456" s="21"/>
      <c r="T456" s="21"/>
      <c r="U456" s="21"/>
      <c r="V456" s="21"/>
      <c r="W456" s="21"/>
      <c r="X456" s="21"/>
      <c r="Y456" s="21"/>
      <c r="Z456" s="21"/>
      <c r="AB456" s="24" t="str">
        <f aca="false">IF(LEN($C456)&gt;0,COUNT(AB$1:AB455)+1,"")</f>
        <v/>
      </c>
      <c r="AC456" s="24" t="str">
        <f aca="false">IF(LEN($D456)&gt;0,COUNT(AC$1:AC455)+1,"")</f>
        <v/>
      </c>
      <c r="AD456" s="24" t="str">
        <f aca="false">IF(LEN($E456)&gt;0,COUNT(AD$1:AD455)+1,"")</f>
        <v/>
      </c>
      <c r="AE456" s="24" t="str">
        <f aca="false">IF(LEN($F456)&gt;0,COUNT(AE$1:AE455)+1,"")</f>
        <v/>
      </c>
    </row>
    <row r="457" customFormat="false" ht="16.5" hidden="false" customHeight="true" outlineLevel="0" collapsed="false">
      <c r="A457" s="18" t="str">
        <f aca="false">IF(B457="","",ROW()-2)</f>
        <v/>
      </c>
      <c r="B457" s="18"/>
      <c r="C457" s="19"/>
      <c r="D457" s="19"/>
      <c r="E457" s="19"/>
      <c r="F457" s="19"/>
      <c r="G457" s="18"/>
      <c r="H457" s="21"/>
      <c r="I457" s="21"/>
      <c r="J457" s="21"/>
      <c r="K457" s="21"/>
      <c r="L457" s="21"/>
      <c r="M457" s="21"/>
      <c r="N457" s="25"/>
      <c r="O457" s="21"/>
      <c r="P457" s="21"/>
      <c r="Q457" s="21"/>
      <c r="R457" s="21"/>
      <c r="S457" s="21"/>
      <c r="T457" s="21"/>
      <c r="U457" s="21"/>
      <c r="V457" s="21"/>
      <c r="W457" s="21"/>
      <c r="X457" s="21"/>
      <c r="Y457" s="21"/>
      <c r="Z457" s="21"/>
      <c r="AB457" s="24" t="str">
        <f aca="false">IF(LEN($C457)&gt;0,COUNT(AB$1:AB456)+1,"")</f>
        <v/>
      </c>
      <c r="AC457" s="24" t="str">
        <f aca="false">IF(LEN($D457)&gt;0,COUNT(AC$1:AC456)+1,"")</f>
        <v/>
      </c>
      <c r="AD457" s="24" t="str">
        <f aca="false">IF(LEN($E457)&gt;0,COUNT(AD$1:AD456)+1,"")</f>
        <v/>
      </c>
      <c r="AE457" s="24" t="str">
        <f aca="false">IF(LEN($F457)&gt;0,COUNT(AE$1:AE456)+1,"")</f>
        <v/>
      </c>
    </row>
    <row r="458" customFormat="false" ht="16.5" hidden="false" customHeight="true" outlineLevel="0" collapsed="false">
      <c r="A458" s="18" t="str">
        <f aca="false">IF(B458="","",ROW()-2)</f>
        <v/>
      </c>
      <c r="B458" s="18"/>
      <c r="C458" s="19"/>
      <c r="D458" s="19"/>
      <c r="E458" s="19"/>
      <c r="F458" s="19"/>
      <c r="G458" s="18"/>
      <c r="H458" s="21"/>
      <c r="I458" s="21"/>
      <c r="J458" s="21"/>
      <c r="K458" s="21"/>
      <c r="L458" s="21"/>
      <c r="M458" s="21"/>
      <c r="N458" s="25"/>
      <c r="O458" s="21"/>
      <c r="P458" s="21"/>
      <c r="Q458" s="21"/>
      <c r="R458" s="21"/>
      <c r="S458" s="21"/>
      <c r="T458" s="21"/>
      <c r="U458" s="21"/>
      <c r="V458" s="21"/>
      <c r="W458" s="21"/>
      <c r="X458" s="21"/>
      <c r="Y458" s="21"/>
      <c r="Z458" s="21"/>
      <c r="AB458" s="24" t="str">
        <f aca="false">IF(LEN($C458)&gt;0,COUNT(AB$1:AB457)+1,"")</f>
        <v/>
      </c>
      <c r="AC458" s="24" t="str">
        <f aca="false">IF(LEN($D458)&gt;0,COUNT(AC$1:AC457)+1,"")</f>
        <v/>
      </c>
      <c r="AD458" s="24" t="str">
        <f aca="false">IF(LEN($E458)&gt;0,COUNT(AD$1:AD457)+1,"")</f>
        <v/>
      </c>
      <c r="AE458" s="24" t="str">
        <f aca="false">IF(LEN($F458)&gt;0,COUNT(AE$1:AE457)+1,"")</f>
        <v/>
      </c>
    </row>
    <row r="459" customFormat="false" ht="16.5" hidden="false" customHeight="true" outlineLevel="0" collapsed="false">
      <c r="A459" s="18" t="str">
        <f aca="false">IF(B459="","",ROW()-2)</f>
        <v/>
      </c>
      <c r="B459" s="18"/>
      <c r="C459" s="19"/>
      <c r="D459" s="19"/>
      <c r="E459" s="19"/>
      <c r="F459" s="19"/>
      <c r="G459" s="18"/>
      <c r="H459" s="21"/>
      <c r="I459" s="21"/>
      <c r="J459" s="21"/>
      <c r="K459" s="21"/>
      <c r="L459" s="21"/>
      <c r="M459" s="21"/>
      <c r="N459" s="25"/>
      <c r="O459" s="21"/>
      <c r="P459" s="21"/>
      <c r="Q459" s="21"/>
      <c r="R459" s="21"/>
      <c r="S459" s="21"/>
      <c r="T459" s="21"/>
      <c r="U459" s="21"/>
      <c r="V459" s="21"/>
      <c r="W459" s="21"/>
      <c r="X459" s="21"/>
      <c r="Y459" s="21"/>
      <c r="Z459" s="21"/>
      <c r="AB459" s="24" t="str">
        <f aca="false">IF(LEN($C459)&gt;0,COUNT(AB$1:AB458)+1,"")</f>
        <v/>
      </c>
      <c r="AC459" s="24" t="str">
        <f aca="false">IF(LEN($D459)&gt;0,COUNT(AC$1:AC458)+1,"")</f>
        <v/>
      </c>
      <c r="AD459" s="24" t="str">
        <f aca="false">IF(LEN($E459)&gt;0,COUNT(AD$1:AD458)+1,"")</f>
        <v/>
      </c>
      <c r="AE459" s="24" t="str">
        <f aca="false">IF(LEN($F459)&gt;0,COUNT(AE$1:AE458)+1,"")</f>
        <v/>
      </c>
    </row>
    <row r="460" customFormat="false" ht="16.5" hidden="false" customHeight="true" outlineLevel="0" collapsed="false">
      <c r="A460" s="18" t="str">
        <f aca="false">IF(B460="","",ROW()-2)</f>
        <v/>
      </c>
      <c r="B460" s="18"/>
      <c r="C460" s="19"/>
      <c r="D460" s="19"/>
      <c r="E460" s="19"/>
      <c r="F460" s="19"/>
      <c r="G460" s="18"/>
      <c r="H460" s="21"/>
      <c r="I460" s="21"/>
      <c r="J460" s="21"/>
      <c r="K460" s="21"/>
      <c r="L460" s="21"/>
      <c r="M460" s="21"/>
      <c r="N460" s="25"/>
      <c r="O460" s="21"/>
      <c r="P460" s="21"/>
      <c r="Q460" s="21"/>
      <c r="R460" s="21"/>
      <c r="S460" s="21"/>
      <c r="T460" s="21"/>
      <c r="U460" s="21"/>
      <c r="V460" s="21"/>
      <c r="W460" s="21"/>
      <c r="X460" s="21"/>
      <c r="Y460" s="21"/>
      <c r="Z460" s="21"/>
      <c r="AB460" s="24" t="str">
        <f aca="false">IF(LEN($C460)&gt;0,COUNT(AB$1:AB459)+1,"")</f>
        <v/>
      </c>
      <c r="AC460" s="24" t="str">
        <f aca="false">IF(LEN($D460)&gt;0,COUNT(AC$1:AC459)+1,"")</f>
        <v/>
      </c>
      <c r="AD460" s="24" t="str">
        <f aca="false">IF(LEN($E460)&gt;0,COUNT(AD$1:AD459)+1,"")</f>
        <v/>
      </c>
      <c r="AE460" s="24" t="str">
        <f aca="false">IF(LEN($F460)&gt;0,COUNT(AE$1:AE459)+1,"")</f>
        <v/>
      </c>
    </row>
    <row r="461" customFormat="false" ht="16.5" hidden="false" customHeight="true" outlineLevel="0" collapsed="false">
      <c r="A461" s="18" t="str">
        <f aca="false">IF(B461="","",ROW()-2)</f>
        <v/>
      </c>
      <c r="B461" s="18"/>
      <c r="C461" s="19"/>
      <c r="D461" s="19"/>
      <c r="E461" s="19"/>
      <c r="F461" s="19"/>
      <c r="G461" s="18"/>
      <c r="H461" s="21"/>
      <c r="I461" s="21"/>
      <c r="J461" s="21"/>
      <c r="K461" s="21"/>
      <c r="L461" s="21"/>
      <c r="M461" s="21"/>
      <c r="N461" s="25"/>
      <c r="O461" s="21"/>
      <c r="P461" s="21"/>
      <c r="Q461" s="21"/>
      <c r="R461" s="21"/>
      <c r="S461" s="21"/>
      <c r="T461" s="21"/>
      <c r="U461" s="21"/>
      <c r="V461" s="21"/>
      <c r="W461" s="21"/>
      <c r="X461" s="21"/>
      <c r="Y461" s="21"/>
      <c r="Z461" s="21"/>
      <c r="AB461" s="24" t="str">
        <f aca="false">IF(LEN($C461)&gt;0,COUNT(AB$1:AB460)+1,"")</f>
        <v/>
      </c>
      <c r="AC461" s="24" t="str">
        <f aca="false">IF(LEN($D461)&gt;0,COUNT(AC$1:AC460)+1,"")</f>
        <v/>
      </c>
      <c r="AD461" s="24" t="str">
        <f aca="false">IF(LEN($E461)&gt;0,COUNT(AD$1:AD460)+1,"")</f>
        <v/>
      </c>
      <c r="AE461" s="24" t="str">
        <f aca="false">IF(LEN($F461)&gt;0,COUNT(AE$1:AE460)+1,"")</f>
        <v/>
      </c>
    </row>
    <row r="462" customFormat="false" ht="16.5" hidden="false" customHeight="true" outlineLevel="0" collapsed="false">
      <c r="A462" s="18" t="str">
        <f aca="false">IF(B462="","",ROW()-2)</f>
        <v/>
      </c>
      <c r="B462" s="18"/>
      <c r="C462" s="19"/>
      <c r="D462" s="19"/>
      <c r="E462" s="19"/>
      <c r="F462" s="19"/>
      <c r="G462" s="18"/>
      <c r="H462" s="21"/>
      <c r="I462" s="21"/>
      <c r="J462" s="21"/>
      <c r="K462" s="21"/>
      <c r="L462" s="21"/>
      <c r="M462" s="21"/>
      <c r="N462" s="25"/>
      <c r="O462" s="21"/>
      <c r="P462" s="21"/>
      <c r="Q462" s="21"/>
      <c r="R462" s="21"/>
      <c r="S462" s="21"/>
      <c r="T462" s="21"/>
      <c r="U462" s="21"/>
      <c r="V462" s="21"/>
      <c r="W462" s="21"/>
      <c r="X462" s="21"/>
      <c r="Y462" s="21"/>
      <c r="Z462" s="21"/>
      <c r="AB462" s="24" t="str">
        <f aca="false">IF(LEN($C462)&gt;0,COUNT(AB$1:AB461)+1,"")</f>
        <v/>
      </c>
      <c r="AC462" s="24" t="str">
        <f aca="false">IF(LEN($D462)&gt;0,COUNT(AC$1:AC461)+1,"")</f>
        <v/>
      </c>
      <c r="AD462" s="24" t="str">
        <f aca="false">IF(LEN($E462)&gt;0,COUNT(AD$1:AD461)+1,"")</f>
        <v/>
      </c>
      <c r="AE462" s="24" t="str">
        <f aca="false">IF(LEN($F462)&gt;0,COUNT(AE$1:AE461)+1,"")</f>
        <v/>
      </c>
    </row>
    <row r="463" customFormat="false" ht="16.5" hidden="false" customHeight="true" outlineLevel="0" collapsed="false">
      <c r="A463" s="18" t="str">
        <f aca="false">IF(B463="","",ROW()-2)</f>
        <v/>
      </c>
      <c r="B463" s="18"/>
      <c r="C463" s="19"/>
      <c r="D463" s="19"/>
      <c r="E463" s="19"/>
      <c r="F463" s="19"/>
      <c r="G463" s="18"/>
      <c r="H463" s="21"/>
      <c r="I463" s="21"/>
      <c r="J463" s="21"/>
      <c r="K463" s="21"/>
      <c r="L463" s="21"/>
      <c r="M463" s="21"/>
      <c r="N463" s="25"/>
      <c r="O463" s="21"/>
      <c r="P463" s="21"/>
      <c r="Q463" s="21"/>
      <c r="R463" s="21"/>
      <c r="S463" s="21"/>
      <c r="T463" s="21"/>
      <c r="U463" s="21"/>
      <c r="V463" s="21"/>
      <c r="W463" s="21"/>
      <c r="X463" s="21"/>
      <c r="Y463" s="21"/>
      <c r="Z463" s="21"/>
      <c r="AB463" s="24" t="str">
        <f aca="false">IF(LEN($C463)&gt;0,COUNT(AB$1:AB462)+1,"")</f>
        <v/>
      </c>
      <c r="AC463" s="24" t="str">
        <f aca="false">IF(LEN($D463)&gt;0,COUNT(AC$1:AC462)+1,"")</f>
        <v/>
      </c>
      <c r="AD463" s="24" t="str">
        <f aca="false">IF(LEN($E463)&gt;0,COUNT(AD$1:AD462)+1,"")</f>
        <v/>
      </c>
      <c r="AE463" s="24" t="str">
        <f aca="false">IF(LEN($F463)&gt;0,COUNT(AE$1:AE462)+1,"")</f>
        <v/>
      </c>
    </row>
    <row r="464" customFormat="false" ht="16.5" hidden="false" customHeight="true" outlineLevel="0" collapsed="false">
      <c r="A464" s="18" t="str">
        <f aca="false">IF(B464="","",ROW()-2)</f>
        <v/>
      </c>
      <c r="B464" s="18"/>
      <c r="C464" s="19"/>
      <c r="D464" s="19"/>
      <c r="E464" s="19"/>
      <c r="F464" s="19"/>
      <c r="G464" s="18"/>
      <c r="H464" s="21"/>
      <c r="I464" s="21"/>
      <c r="J464" s="21"/>
      <c r="K464" s="21"/>
      <c r="L464" s="21"/>
      <c r="M464" s="21"/>
      <c r="N464" s="25"/>
      <c r="O464" s="21"/>
      <c r="P464" s="21"/>
      <c r="Q464" s="21"/>
      <c r="R464" s="21"/>
      <c r="S464" s="21"/>
      <c r="T464" s="21"/>
      <c r="U464" s="21"/>
      <c r="V464" s="21"/>
      <c r="W464" s="21"/>
      <c r="X464" s="21"/>
      <c r="Y464" s="21"/>
      <c r="Z464" s="21"/>
      <c r="AB464" s="24" t="str">
        <f aca="false">IF(LEN($C464)&gt;0,COUNT(AB$1:AB463)+1,"")</f>
        <v/>
      </c>
      <c r="AC464" s="24" t="str">
        <f aca="false">IF(LEN($D464)&gt;0,COUNT(AC$1:AC463)+1,"")</f>
        <v/>
      </c>
      <c r="AD464" s="24" t="str">
        <f aca="false">IF(LEN($E464)&gt;0,COUNT(AD$1:AD463)+1,"")</f>
        <v/>
      </c>
      <c r="AE464" s="24" t="str">
        <f aca="false">IF(LEN($F464)&gt;0,COUNT(AE$1:AE463)+1,"")</f>
        <v/>
      </c>
    </row>
    <row r="465" customFormat="false" ht="16.5" hidden="false" customHeight="true" outlineLevel="0" collapsed="false">
      <c r="A465" s="18" t="str">
        <f aca="false">IF(B465="","",ROW()-2)</f>
        <v/>
      </c>
      <c r="B465" s="18"/>
      <c r="C465" s="19"/>
      <c r="D465" s="19"/>
      <c r="E465" s="19"/>
      <c r="F465" s="19"/>
      <c r="G465" s="18"/>
      <c r="H465" s="21"/>
      <c r="I465" s="21"/>
      <c r="J465" s="21"/>
      <c r="K465" s="21"/>
      <c r="L465" s="21"/>
      <c r="M465" s="21"/>
      <c r="N465" s="25"/>
      <c r="O465" s="21"/>
      <c r="P465" s="21"/>
      <c r="Q465" s="21"/>
      <c r="R465" s="21"/>
      <c r="S465" s="21"/>
      <c r="T465" s="21"/>
      <c r="U465" s="21"/>
      <c r="V465" s="21"/>
      <c r="W465" s="21"/>
      <c r="X465" s="21"/>
      <c r="Y465" s="21"/>
      <c r="Z465" s="21"/>
      <c r="AB465" s="24" t="str">
        <f aca="false">IF(LEN($C465)&gt;0,COUNT(AB$1:AB464)+1,"")</f>
        <v/>
      </c>
      <c r="AC465" s="24" t="str">
        <f aca="false">IF(LEN($D465)&gt;0,COUNT(AC$1:AC464)+1,"")</f>
        <v/>
      </c>
      <c r="AD465" s="24" t="str">
        <f aca="false">IF(LEN($E465)&gt;0,COUNT(AD$1:AD464)+1,"")</f>
        <v/>
      </c>
      <c r="AE465" s="24" t="str">
        <f aca="false">IF(LEN($F465)&gt;0,COUNT(AE$1:AE464)+1,"")</f>
        <v/>
      </c>
    </row>
    <row r="466" customFormat="false" ht="16.5" hidden="false" customHeight="true" outlineLevel="0" collapsed="false">
      <c r="A466" s="18" t="str">
        <f aca="false">IF(B466="","",ROW()-2)</f>
        <v/>
      </c>
      <c r="B466" s="18"/>
      <c r="C466" s="19"/>
      <c r="D466" s="19"/>
      <c r="E466" s="19"/>
      <c r="F466" s="19"/>
      <c r="G466" s="18"/>
      <c r="H466" s="21"/>
      <c r="I466" s="21"/>
      <c r="J466" s="21"/>
      <c r="K466" s="21"/>
      <c r="L466" s="21"/>
      <c r="M466" s="21"/>
      <c r="N466" s="25"/>
      <c r="O466" s="21"/>
      <c r="P466" s="21"/>
      <c r="Q466" s="21"/>
      <c r="R466" s="21"/>
      <c r="S466" s="21"/>
      <c r="T466" s="21"/>
      <c r="U466" s="21"/>
      <c r="V466" s="21"/>
      <c r="W466" s="21"/>
      <c r="X466" s="21"/>
      <c r="Y466" s="21"/>
      <c r="Z466" s="21"/>
      <c r="AB466" s="24" t="str">
        <f aca="false">IF(LEN($C466)&gt;0,COUNT(AB$1:AB465)+1,"")</f>
        <v/>
      </c>
      <c r="AC466" s="24" t="str">
        <f aca="false">IF(LEN($D466)&gt;0,COUNT(AC$1:AC465)+1,"")</f>
        <v/>
      </c>
      <c r="AD466" s="24" t="str">
        <f aca="false">IF(LEN($E466)&gt;0,COUNT(AD$1:AD465)+1,"")</f>
        <v/>
      </c>
      <c r="AE466" s="24" t="str">
        <f aca="false">IF(LEN($F466)&gt;0,COUNT(AE$1:AE465)+1,"")</f>
        <v/>
      </c>
    </row>
    <row r="467" customFormat="false" ht="16.5" hidden="false" customHeight="true" outlineLevel="0" collapsed="false">
      <c r="A467" s="18" t="str">
        <f aca="false">IF(B467="","",ROW()-2)</f>
        <v/>
      </c>
      <c r="B467" s="18"/>
      <c r="C467" s="19"/>
      <c r="D467" s="19"/>
      <c r="E467" s="19"/>
      <c r="F467" s="19"/>
      <c r="G467" s="18"/>
      <c r="H467" s="21"/>
      <c r="I467" s="21"/>
      <c r="J467" s="21"/>
      <c r="K467" s="21"/>
      <c r="L467" s="21"/>
      <c r="M467" s="21"/>
      <c r="N467" s="25"/>
      <c r="O467" s="21"/>
      <c r="P467" s="21"/>
      <c r="Q467" s="21"/>
      <c r="R467" s="21"/>
      <c r="S467" s="21"/>
      <c r="T467" s="21"/>
      <c r="U467" s="21"/>
      <c r="V467" s="21"/>
      <c r="W467" s="21"/>
      <c r="X467" s="21"/>
      <c r="Y467" s="21"/>
      <c r="Z467" s="21"/>
      <c r="AB467" s="24" t="str">
        <f aca="false">IF(LEN($C467)&gt;0,COUNT(AB$1:AB466)+1,"")</f>
        <v/>
      </c>
      <c r="AC467" s="24" t="str">
        <f aca="false">IF(LEN($D467)&gt;0,COUNT(AC$1:AC466)+1,"")</f>
        <v/>
      </c>
      <c r="AD467" s="24" t="str">
        <f aca="false">IF(LEN($E467)&gt;0,COUNT(AD$1:AD466)+1,"")</f>
        <v/>
      </c>
      <c r="AE467" s="24" t="str">
        <f aca="false">IF(LEN($F467)&gt;0,COUNT(AE$1:AE466)+1,"")</f>
        <v/>
      </c>
    </row>
    <row r="468" customFormat="false" ht="16.5" hidden="false" customHeight="true" outlineLevel="0" collapsed="false">
      <c r="A468" s="18" t="str">
        <f aca="false">IF(B468="","",ROW()-2)</f>
        <v/>
      </c>
      <c r="B468" s="18"/>
      <c r="C468" s="19"/>
      <c r="D468" s="19"/>
      <c r="E468" s="19"/>
      <c r="F468" s="19"/>
      <c r="G468" s="18"/>
      <c r="H468" s="21"/>
      <c r="I468" s="21"/>
      <c r="J468" s="21"/>
      <c r="K468" s="21"/>
      <c r="L468" s="21"/>
      <c r="M468" s="21"/>
      <c r="N468" s="25"/>
      <c r="O468" s="21"/>
      <c r="P468" s="21"/>
      <c r="Q468" s="21"/>
      <c r="R468" s="21"/>
      <c r="S468" s="21"/>
      <c r="T468" s="21"/>
      <c r="U468" s="21"/>
      <c r="V468" s="21"/>
      <c r="W468" s="21"/>
      <c r="X468" s="21"/>
      <c r="Y468" s="21"/>
      <c r="Z468" s="21"/>
      <c r="AB468" s="24" t="str">
        <f aca="false">IF(LEN($C468)&gt;0,COUNT(AB$1:AB467)+1,"")</f>
        <v/>
      </c>
      <c r="AC468" s="24" t="str">
        <f aca="false">IF(LEN($D468)&gt;0,COUNT(AC$1:AC467)+1,"")</f>
        <v/>
      </c>
      <c r="AD468" s="24" t="str">
        <f aca="false">IF(LEN($E468)&gt;0,COUNT(AD$1:AD467)+1,"")</f>
        <v/>
      </c>
      <c r="AE468" s="24" t="str">
        <f aca="false">IF(LEN($F468)&gt;0,COUNT(AE$1:AE467)+1,"")</f>
        <v/>
      </c>
    </row>
    <row r="469" customFormat="false" ht="16.5" hidden="false" customHeight="true" outlineLevel="0" collapsed="false">
      <c r="A469" s="18" t="str">
        <f aca="false">IF(B469="","",ROW()-2)</f>
        <v/>
      </c>
      <c r="B469" s="18"/>
      <c r="C469" s="19"/>
      <c r="D469" s="19"/>
      <c r="E469" s="19"/>
      <c r="F469" s="19"/>
      <c r="G469" s="18"/>
      <c r="H469" s="21"/>
      <c r="I469" s="21"/>
      <c r="J469" s="21"/>
      <c r="K469" s="21"/>
      <c r="L469" s="21"/>
      <c r="M469" s="21"/>
      <c r="N469" s="25"/>
      <c r="O469" s="21"/>
      <c r="P469" s="21"/>
      <c r="Q469" s="21"/>
      <c r="R469" s="21"/>
      <c r="S469" s="21"/>
      <c r="T469" s="21"/>
      <c r="U469" s="21"/>
      <c r="V469" s="21"/>
      <c r="W469" s="21"/>
      <c r="X469" s="21"/>
      <c r="Y469" s="21"/>
      <c r="Z469" s="21"/>
      <c r="AB469" s="24" t="str">
        <f aca="false">IF(LEN($C469)&gt;0,COUNT(AB$1:AB468)+1,"")</f>
        <v/>
      </c>
      <c r="AC469" s="24" t="str">
        <f aca="false">IF(LEN($D469)&gt;0,COUNT(AC$1:AC468)+1,"")</f>
        <v/>
      </c>
      <c r="AD469" s="24" t="str">
        <f aca="false">IF(LEN($E469)&gt;0,COUNT(AD$1:AD468)+1,"")</f>
        <v/>
      </c>
      <c r="AE469" s="24" t="str">
        <f aca="false">IF(LEN($F469)&gt;0,COUNT(AE$1:AE468)+1,"")</f>
        <v/>
      </c>
    </row>
    <row r="470" customFormat="false" ht="16.5" hidden="false" customHeight="true" outlineLevel="0" collapsed="false">
      <c r="A470" s="18" t="str">
        <f aca="false">IF(B470="","",ROW()-2)</f>
        <v/>
      </c>
      <c r="B470" s="18"/>
      <c r="C470" s="19"/>
      <c r="D470" s="19"/>
      <c r="E470" s="19"/>
      <c r="F470" s="19"/>
      <c r="G470" s="18"/>
      <c r="H470" s="21"/>
      <c r="I470" s="21"/>
      <c r="J470" s="21"/>
      <c r="K470" s="21"/>
      <c r="L470" s="21"/>
      <c r="M470" s="21"/>
      <c r="N470" s="25"/>
      <c r="O470" s="21"/>
      <c r="P470" s="21"/>
      <c r="Q470" s="21"/>
      <c r="R470" s="21"/>
      <c r="S470" s="21"/>
      <c r="T470" s="21"/>
      <c r="U470" s="21"/>
      <c r="V470" s="21"/>
      <c r="W470" s="21"/>
      <c r="X470" s="21"/>
      <c r="Y470" s="21"/>
      <c r="Z470" s="21"/>
      <c r="AB470" s="24" t="str">
        <f aca="false">IF(LEN($C470)&gt;0,COUNT(AB$1:AB469)+1,"")</f>
        <v/>
      </c>
      <c r="AC470" s="24" t="str">
        <f aca="false">IF(LEN($D470)&gt;0,COUNT(AC$1:AC469)+1,"")</f>
        <v/>
      </c>
      <c r="AD470" s="24" t="str">
        <f aca="false">IF(LEN($E470)&gt;0,COUNT(AD$1:AD469)+1,"")</f>
        <v/>
      </c>
      <c r="AE470" s="24" t="str">
        <f aca="false">IF(LEN($F470)&gt;0,COUNT(AE$1:AE469)+1,"")</f>
        <v/>
      </c>
    </row>
    <row r="471" customFormat="false" ht="16.5" hidden="false" customHeight="true" outlineLevel="0" collapsed="false">
      <c r="A471" s="18" t="str">
        <f aca="false">IF(B471="","",ROW()-2)</f>
        <v/>
      </c>
      <c r="B471" s="18"/>
      <c r="C471" s="19"/>
      <c r="D471" s="19"/>
      <c r="E471" s="19"/>
      <c r="F471" s="19"/>
      <c r="G471" s="18"/>
      <c r="H471" s="21"/>
      <c r="I471" s="21"/>
      <c r="J471" s="21"/>
      <c r="K471" s="21"/>
      <c r="L471" s="21"/>
      <c r="M471" s="21"/>
      <c r="N471" s="25"/>
      <c r="O471" s="21"/>
      <c r="P471" s="21"/>
      <c r="Q471" s="21"/>
      <c r="R471" s="21"/>
      <c r="S471" s="21"/>
      <c r="T471" s="21"/>
      <c r="U471" s="21"/>
      <c r="V471" s="21"/>
      <c r="W471" s="21"/>
      <c r="X471" s="21"/>
      <c r="Y471" s="21"/>
      <c r="Z471" s="21"/>
      <c r="AB471" s="24" t="str">
        <f aca="false">IF(LEN($C471)&gt;0,COUNT(AB$1:AB470)+1,"")</f>
        <v/>
      </c>
      <c r="AC471" s="24" t="str">
        <f aca="false">IF(LEN($D471)&gt;0,COUNT(AC$1:AC470)+1,"")</f>
        <v/>
      </c>
      <c r="AD471" s="24" t="str">
        <f aca="false">IF(LEN($E471)&gt;0,COUNT(AD$1:AD470)+1,"")</f>
        <v/>
      </c>
      <c r="AE471" s="24" t="str">
        <f aca="false">IF(LEN($F471)&gt;0,COUNT(AE$1:AE470)+1,"")</f>
        <v/>
      </c>
    </row>
    <row r="472" customFormat="false" ht="16.5" hidden="false" customHeight="true" outlineLevel="0" collapsed="false">
      <c r="A472" s="18" t="str">
        <f aca="false">IF(B472="","",ROW()-2)</f>
        <v/>
      </c>
      <c r="B472" s="18"/>
      <c r="C472" s="19"/>
      <c r="D472" s="19"/>
      <c r="E472" s="19"/>
      <c r="F472" s="19"/>
      <c r="G472" s="18"/>
      <c r="H472" s="21"/>
      <c r="I472" s="21"/>
      <c r="J472" s="21"/>
      <c r="K472" s="21"/>
      <c r="L472" s="21"/>
      <c r="M472" s="21"/>
      <c r="N472" s="25"/>
      <c r="O472" s="21"/>
      <c r="P472" s="21"/>
      <c r="Q472" s="21"/>
      <c r="R472" s="21"/>
      <c r="S472" s="21"/>
      <c r="T472" s="21"/>
      <c r="U472" s="21"/>
      <c r="V472" s="21"/>
      <c r="W472" s="21"/>
      <c r="X472" s="21"/>
      <c r="Y472" s="21"/>
      <c r="Z472" s="21"/>
      <c r="AB472" s="24" t="str">
        <f aca="false">IF(LEN($C472)&gt;0,COUNT(AB$1:AB471)+1,"")</f>
        <v/>
      </c>
      <c r="AC472" s="24" t="str">
        <f aca="false">IF(LEN($D472)&gt;0,COUNT(AC$1:AC471)+1,"")</f>
        <v/>
      </c>
      <c r="AD472" s="24" t="str">
        <f aca="false">IF(LEN($E472)&gt;0,COUNT(AD$1:AD471)+1,"")</f>
        <v/>
      </c>
      <c r="AE472" s="24" t="str">
        <f aca="false">IF(LEN($F472)&gt;0,COUNT(AE$1:AE471)+1,"")</f>
        <v/>
      </c>
    </row>
    <row r="473" customFormat="false" ht="16.5" hidden="false" customHeight="true" outlineLevel="0" collapsed="false">
      <c r="A473" s="18" t="str">
        <f aca="false">IF(B473="","",ROW()-2)</f>
        <v/>
      </c>
      <c r="B473" s="18"/>
      <c r="C473" s="19"/>
      <c r="D473" s="19"/>
      <c r="E473" s="19"/>
      <c r="F473" s="19"/>
      <c r="G473" s="18"/>
      <c r="H473" s="21"/>
      <c r="I473" s="21"/>
      <c r="J473" s="21"/>
      <c r="K473" s="21"/>
      <c r="L473" s="21"/>
      <c r="M473" s="21"/>
      <c r="N473" s="25"/>
      <c r="O473" s="21"/>
      <c r="P473" s="21"/>
      <c r="Q473" s="21"/>
      <c r="R473" s="21"/>
      <c r="S473" s="21"/>
      <c r="T473" s="21"/>
      <c r="U473" s="21"/>
      <c r="V473" s="21"/>
      <c r="W473" s="21"/>
      <c r="X473" s="21"/>
      <c r="Y473" s="21"/>
      <c r="Z473" s="21"/>
      <c r="AB473" s="24" t="str">
        <f aca="false">IF(LEN($C473)&gt;0,COUNT(AB$1:AB472)+1,"")</f>
        <v/>
      </c>
      <c r="AC473" s="24" t="str">
        <f aca="false">IF(LEN($D473)&gt;0,COUNT(AC$1:AC472)+1,"")</f>
        <v/>
      </c>
      <c r="AD473" s="24" t="str">
        <f aca="false">IF(LEN($E473)&gt;0,COUNT(AD$1:AD472)+1,"")</f>
        <v/>
      </c>
      <c r="AE473" s="24" t="str">
        <f aca="false">IF(LEN($F473)&gt;0,COUNT(AE$1:AE472)+1,"")</f>
        <v/>
      </c>
    </row>
    <row r="474" customFormat="false" ht="16.5" hidden="false" customHeight="true" outlineLevel="0" collapsed="false">
      <c r="A474" s="18" t="str">
        <f aca="false">IF(B474="","",ROW()-2)</f>
        <v/>
      </c>
      <c r="B474" s="18"/>
      <c r="C474" s="19"/>
      <c r="D474" s="19"/>
      <c r="E474" s="19"/>
      <c r="F474" s="19"/>
      <c r="G474" s="18"/>
      <c r="H474" s="21"/>
      <c r="I474" s="21"/>
      <c r="J474" s="21"/>
      <c r="K474" s="21"/>
      <c r="L474" s="21"/>
      <c r="M474" s="21"/>
      <c r="N474" s="25"/>
      <c r="O474" s="21"/>
      <c r="P474" s="21"/>
      <c r="Q474" s="21"/>
      <c r="R474" s="21"/>
      <c r="S474" s="21"/>
      <c r="T474" s="21"/>
      <c r="U474" s="21"/>
      <c r="V474" s="21"/>
      <c r="W474" s="21"/>
      <c r="X474" s="21"/>
      <c r="Y474" s="21"/>
      <c r="Z474" s="21"/>
      <c r="AB474" s="24" t="str">
        <f aca="false">IF(LEN($C474)&gt;0,COUNT(AB$1:AB473)+1,"")</f>
        <v/>
      </c>
      <c r="AC474" s="24" t="str">
        <f aca="false">IF(LEN($D474)&gt;0,COUNT(AC$1:AC473)+1,"")</f>
        <v/>
      </c>
      <c r="AD474" s="24" t="str">
        <f aca="false">IF(LEN($E474)&gt;0,COUNT(AD$1:AD473)+1,"")</f>
        <v/>
      </c>
      <c r="AE474" s="24" t="str">
        <f aca="false">IF(LEN($F474)&gt;0,COUNT(AE$1:AE473)+1,"")</f>
        <v/>
      </c>
    </row>
    <row r="475" customFormat="false" ht="16.5" hidden="false" customHeight="true" outlineLevel="0" collapsed="false">
      <c r="A475" s="18" t="str">
        <f aca="false">IF(B475="","",ROW()-2)</f>
        <v/>
      </c>
      <c r="B475" s="18"/>
      <c r="C475" s="19"/>
      <c r="D475" s="19"/>
      <c r="E475" s="19"/>
      <c r="F475" s="19"/>
      <c r="G475" s="18"/>
      <c r="H475" s="21"/>
      <c r="I475" s="21"/>
      <c r="J475" s="21"/>
      <c r="K475" s="21"/>
      <c r="L475" s="21"/>
      <c r="M475" s="21"/>
      <c r="N475" s="25"/>
      <c r="O475" s="21"/>
      <c r="P475" s="21"/>
      <c r="Q475" s="21"/>
      <c r="R475" s="21"/>
      <c r="S475" s="21"/>
      <c r="T475" s="21"/>
      <c r="U475" s="21"/>
      <c r="V475" s="21"/>
      <c r="W475" s="21"/>
      <c r="X475" s="21"/>
      <c r="Y475" s="21"/>
      <c r="Z475" s="21"/>
      <c r="AB475" s="24" t="str">
        <f aca="false">IF(LEN($C475)&gt;0,COUNT(AB$1:AB474)+1,"")</f>
        <v/>
      </c>
      <c r="AC475" s="24" t="str">
        <f aca="false">IF(LEN($D475)&gt;0,COUNT(AC$1:AC474)+1,"")</f>
        <v/>
      </c>
      <c r="AD475" s="24" t="str">
        <f aca="false">IF(LEN($E475)&gt;0,COUNT(AD$1:AD474)+1,"")</f>
        <v/>
      </c>
      <c r="AE475" s="24" t="str">
        <f aca="false">IF(LEN($F475)&gt;0,COUNT(AE$1:AE474)+1,"")</f>
        <v/>
      </c>
    </row>
    <row r="476" customFormat="false" ht="16.5" hidden="false" customHeight="true" outlineLevel="0" collapsed="false">
      <c r="A476" s="18" t="str">
        <f aca="false">IF(B476="","",ROW()-2)</f>
        <v/>
      </c>
      <c r="B476" s="18"/>
      <c r="C476" s="19"/>
      <c r="D476" s="19"/>
      <c r="E476" s="19"/>
      <c r="F476" s="19"/>
      <c r="G476" s="18"/>
      <c r="H476" s="21"/>
      <c r="I476" s="21"/>
      <c r="J476" s="21"/>
      <c r="K476" s="21"/>
      <c r="L476" s="21"/>
      <c r="M476" s="21"/>
      <c r="N476" s="25"/>
      <c r="O476" s="21"/>
      <c r="P476" s="21"/>
      <c r="Q476" s="21"/>
      <c r="R476" s="21"/>
      <c r="S476" s="21"/>
      <c r="T476" s="21"/>
      <c r="U476" s="21"/>
      <c r="V476" s="21"/>
      <c r="W476" s="21"/>
      <c r="X476" s="21"/>
      <c r="Y476" s="21"/>
      <c r="Z476" s="21"/>
      <c r="AB476" s="24" t="str">
        <f aca="false">IF(LEN($C476)&gt;0,COUNT(AB$1:AB475)+1,"")</f>
        <v/>
      </c>
      <c r="AC476" s="24" t="str">
        <f aca="false">IF(LEN($D476)&gt;0,COUNT(AC$1:AC475)+1,"")</f>
        <v/>
      </c>
      <c r="AD476" s="24" t="str">
        <f aca="false">IF(LEN($E476)&gt;0,COUNT(AD$1:AD475)+1,"")</f>
        <v/>
      </c>
      <c r="AE476" s="24" t="str">
        <f aca="false">IF(LEN($F476)&gt;0,COUNT(AE$1:AE475)+1,"")</f>
        <v/>
      </c>
    </row>
    <row r="477" customFormat="false" ht="16.5" hidden="false" customHeight="true" outlineLevel="0" collapsed="false">
      <c r="A477" s="18" t="str">
        <f aca="false">IF(B477="","",ROW()-2)</f>
        <v/>
      </c>
      <c r="B477" s="18"/>
      <c r="C477" s="19"/>
      <c r="D477" s="19"/>
      <c r="E477" s="19"/>
      <c r="F477" s="19"/>
      <c r="G477" s="18"/>
      <c r="H477" s="21"/>
      <c r="I477" s="21"/>
      <c r="J477" s="21"/>
      <c r="K477" s="21"/>
      <c r="L477" s="21"/>
      <c r="M477" s="21"/>
      <c r="N477" s="25"/>
      <c r="O477" s="21"/>
      <c r="P477" s="21"/>
      <c r="Q477" s="21"/>
      <c r="R477" s="21"/>
      <c r="S477" s="21"/>
      <c r="T477" s="21"/>
      <c r="U477" s="21"/>
      <c r="V477" s="21"/>
      <c r="W477" s="21"/>
      <c r="X477" s="21"/>
      <c r="Y477" s="21"/>
      <c r="Z477" s="21"/>
      <c r="AB477" s="24" t="str">
        <f aca="false">IF(LEN($C477)&gt;0,COUNT(AB$1:AB476)+1,"")</f>
        <v/>
      </c>
      <c r="AC477" s="24" t="str">
        <f aca="false">IF(LEN($D477)&gt;0,COUNT(AC$1:AC476)+1,"")</f>
        <v/>
      </c>
      <c r="AD477" s="24" t="str">
        <f aca="false">IF(LEN($E477)&gt;0,COUNT(AD$1:AD476)+1,"")</f>
        <v/>
      </c>
      <c r="AE477" s="24" t="str">
        <f aca="false">IF(LEN($F477)&gt;0,COUNT(AE$1:AE476)+1,"")</f>
        <v/>
      </c>
    </row>
    <row r="478" customFormat="false" ht="16.5" hidden="false" customHeight="true" outlineLevel="0" collapsed="false">
      <c r="A478" s="18" t="str">
        <f aca="false">IF(B478="","",ROW()-2)</f>
        <v/>
      </c>
      <c r="B478" s="18"/>
      <c r="C478" s="19"/>
      <c r="D478" s="19"/>
      <c r="E478" s="19"/>
      <c r="F478" s="19"/>
      <c r="G478" s="18"/>
      <c r="H478" s="21"/>
      <c r="I478" s="21"/>
      <c r="J478" s="21"/>
      <c r="K478" s="21"/>
      <c r="L478" s="21"/>
      <c r="M478" s="21"/>
      <c r="N478" s="25"/>
      <c r="O478" s="21"/>
      <c r="P478" s="21"/>
      <c r="Q478" s="21"/>
      <c r="R478" s="21"/>
      <c r="S478" s="21"/>
      <c r="T478" s="21"/>
      <c r="U478" s="21"/>
      <c r="V478" s="21"/>
      <c r="W478" s="21"/>
      <c r="X478" s="21"/>
      <c r="Y478" s="21"/>
      <c r="Z478" s="21"/>
      <c r="AB478" s="24" t="str">
        <f aca="false">IF(LEN($C478)&gt;0,COUNT(AB$1:AB477)+1,"")</f>
        <v/>
      </c>
      <c r="AC478" s="24" t="str">
        <f aca="false">IF(LEN($D478)&gt;0,COUNT(AC$1:AC477)+1,"")</f>
        <v/>
      </c>
      <c r="AD478" s="24" t="str">
        <f aca="false">IF(LEN($E478)&gt;0,COUNT(AD$1:AD477)+1,"")</f>
        <v/>
      </c>
      <c r="AE478" s="24" t="str">
        <f aca="false">IF(LEN($F478)&gt;0,COUNT(AE$1:AE477)+1,"")</f>
        <v/>
      </c>
    </row>
    <row r="479" customFormat="false" ht="16.5" hidden="false" customHeight="true" outlineLevel="0" collapsed="false">
      <c r="A479" s="18" t="str">
        <f aca="false">IF(B479="","",ROW()-2)</f>
        <v/>
      </c>
      <c r="B479" s="18"/>
      <c r="C479" s="19"/>
      <c r="D479" s="19"/>
      <c r="E479" s="19"/>
      <c r="F479" s="19"/>
      <c r="G479" s="18"/>
      <c r="H479" s="21"/>
      <c r="I479" s="21"/>
      <c r="J479" s="21"/>
      <c r="K479" s="21"/>
      <c r="L479" s="21"/>
      <c r="M479" s="21"/>
      <c r="N479" s="25"/>
      <c r="O479" s="21"/>
      <c r="P479" s="21"/>
      <c r="Q479" s="21"/>
      <c r="R479" s="21"/>
      <c r="S479" s="21"/>
      <c r="T479" s="21"/>
      <c r="U479" s="21"/>
      <c r="V479" s="21"/>
      <c r="W479" s="21"/>
      <c r="X479" s="21"/>
      <c r="Y479" s="21"/>
      <c r="Z479" s="21"/>
      <c r="AB479" s="24" t="str">
        <f aca="false">IF(LEN($C479)&gt;0,COUNT(AB$1:AB478)+1,"")</f>
        <v/>
      </c>
      <c r="AC479" s="24" t="str">
        <f aca="false">IF(LEN($D479)&gt;0,COUNT(AC$1:AC478)+1,"")</f>
        <v/>
      </c>
      <c r="AD479" s="24" t="str">
        <f aca="false">IF(LEN($E479)&gt;0,COUNT(AD$1:AD478)+1,"")</f>
        <v/>
      </c>
      <c r="AE479" s="24" t="str">
        <f aca="false">IF(LEN($F479)&gt;0,COUNT(AE$1:AE478)+1,"")</f>
        <v/>
      </c>
    </row>
    <row r="480" customFormat="false" ht="16.5" hidden="false" customHeight="true" outlineLevel="0" collapsed="false">
      <c r="A480" s="18" t="str">
        <f aca="false">IF(B480="","",ROW()-2)</f>
        <v/>
      </c>
      <c r="B480" s="18"/>
      <c r="C480" s="19"/>
      <c r="D480" s="19"/>
      <c r="E480" s="19"/>
      <c r="F480" s="19"/>
      <c r="G480" s="18"/>
      <c r="H480" s="21"/>
      <c r="I480" s="21"/>
      <c r="J480" s="21"/>
      <c r="K480" s="21"/>
      <c r="L480" s="21"/>
      <c r="M480" s="21"/>
      <c r="N480" s="25"/>
      <c r="O480" s="21"/>
      <c r="P480" s="21"/>
      <c r="Q480" s="21"/>
      <c r="R480" s="21"/>
      <c r="S480" s="21"/>
      <c r="T480" s="21"/>
      <c r="U480" s="21"/>
      <c r="V480" s="21"/>
      <c r="W480" s="21"/>
      <c r="X480" s="21"/>
      <c r="Y480" s="21"/>
      <c r="Z480" s="21"/>
      <c r="AB480" s="24" t="str">
        <f aca="false">IF(LEN($C480)&gt;0,COUNT(AB$1:AB479)+1,"")</f>
        <v/>
      </c>
      <c r="AC480" s="24" t="str">
        <f aca="false">IF(LEN($D480)&gt;0,COUNT(AC$1:AC479)+1,"")</f>
        <v/>
      </c>
      <c r="AD480" s="24" t="str">
        <f aca="false">IF(LEN($E480)&gt;0,COUNT(AD$1:AD479)+1,"")</f>
        <v/>
      </c>
      <c r="AE480" s="24" t="str">
        <f aca="false">IF(LEN($F480)&gt;0,COUNT(AE$1:AE479)+1,"")</f>
        <v/>
      </c>
    </row>
    <row r="481" customFormat="false" ht="16.5" hidden="false" customHeight="true" outlineLevel="0" collapsed="false">
      <c r="A481" s="18" t="str">
        <f aca="false">IF(B481="","",ROW()-2)</f>
        <v/>
      </c>
      <c r="B481" s="18"/>
      <c r="C481" s="19"/>
      <c r="D481" s="19"/>
      <c r="E481" s="19"/>
      <c r="F481" s="19"/>
      <c r="G481" s="18"/>
      <c r="H481" s="21"/>
      <c r="I481" s="21"/>
      <c r="J481" s="21"/>
      <c r="K481" s="21"/>
      <c r="L481" s="21"/>
      <c r="M481" s="21"/>
      <c r="N481" s="25"/>
      <c r="O481" s="21"/>
      <c r="P481" s="21"/>
      <c r="Q481" s="21"/>
      <c r="R481" s="21"/>
      <c r="S481" s="21"/>
      <c r="T481" s="21"/>
      <c r="U481" s="21"/>
      <c r="V481" s="21"/>
      <c r="W481" s="21"/>
      <c r="X481" s="21"/>
      <c r="Y481" s="21"/>
      <c r="Z481" s="21"/>
      <c r="AB481" s="24" t="str">
        <f aca="false">IF(LEN($C481)&gt;0,COUNT(AB$1:AB480)+1,"")</f>
        <v/>
      </c>
      <c r="AC481" s="24" t="str">
        <f aca="false">IF(LEN($D481)&gt;0,COUNT(AC$1:AC480)+1,"")</f>
        <v/>
      </c>
      <c r="AD481" s="24" t="str">
        <f aca="false">IF(LEN($E481)&gt;0,COUNT(AD$1:AD480)+1,"")</f>
        <v/>
      </c>
      <c r="AE481" s="24" t="str">
        <f aca="false">IF(LEN($F481)&gt;0,COUNT(AE$1:AE480)+1,"")</f>
        <v/>
      </c>
    </row>
    <row r="482" customFormat="false" ht="16.5" hidden="false" customHeight="true" outlineLevel="0" collapsed="false">
      <c r="A482" s="18" t="str">
        <f aca="false">IF(B482="","",ROW()-2)</f>
        <v/>
      </c>
      <c r="B482" s="18"/>
      <c r="C482" s="19"/>
      <c r="D482" s="19"/>
      <c r="E482" s="19"/>
      <c r="F482" s="19"/>
      <c r="G482" s="18"/>
      <c r="H482" s="21"/>
      <c r="I482" s="21"/>
      <c r="J482" s="21"/>
      <c r="K482" s="21"/>
      <c r="L482" s="21"/>
      <c r="M482" s="21"/>
      <c r="N482" s="25"/>
      <c r="O482" s="21"/>
      <c r="P482" s="21"/>
      <c r="Q482" s="21"/>
      <c r="R482" s="21"/>
      <c r="S482" s="21"/>
      <c r="T482" s="21"/>
      <c r="U482" s="21"/>
      <c r="V482" s="21"/>
      <c r="W482" s="21"/>
      <c r="X482" s="21"/>
      <c r="Y482" s="21"/>
      <c r="Z482" s="21"/>
      <c r="AB482" s="24" t="str">
        <f aca="false">IF(LEN($C482)&gt;0,COUNT(AB$1:AB481)+1,"")</f>
        <v/>
      </c>
      <c r="AC482" s="24" t="str">
        <f aca="false">IF(LEN($D482)&gt;0,COUNT(AC$1:AC481)+1,"")</f>
        <v/>
      </c>
      <c r="AD482" s="24" t="str">
        <f aca="false">IF(LEN($E482)&gt;0,COUNT(AD$1:AD481)+1,"")</f>
        <v/>
      </c>
      <c r="AE482" s="24" t="str">
        <f aca="false">IF(LEN($F482)&gt;0,COUNT(AE$1:AE481)+1,"")</f>
        <v/>
      </c>
    </row>
    <row r="483" customFormat="false" ht="16.5" hidden="false" customHeight="true" outlineLevel="0" collapsed="false">
      <c r="A483" s="18" t="str">
        <f aca="false">IF(B483="","",ROW()-2)</f>
        <v/>
      </c>
      <c r="B483" s="18"/>
      <c r="C483" s="19"/>
      <c r="D483" s="19"/>
      <c r="E483" s="19"/>
      <c r="F483" s="19"/>
      <c r="G483" s="18"/>
      <c r="H483" s="21"/>
      <c r="I483" s="21"/>
      <c r="J483" s="21"/>
      <c r="K483" s="21"/>
      <c r="L483" s="21"/>
      <c r="M483" s="21"/>
      <c r="N483" s="25"/>
      <c r="O483" s="21"/>
      <c r="P483" s="21"/>
      <c r="Q483" s="21"/>
      <c r="R483" s="21"/>
      <c r="S483" s="21"/>
      <c r="T483" s="21"/>
      <c r="U483" s="21"/>
      <c r="V483" s="21"/>
      <c r="W483" s="21"/>
      <c r="X483" s="21"/>
      <c r="Y483" s="21"/>
      <c r="Z483" s="21"/>
      <c r="AB483" s="24" t="str">
        <f aca="false">IF(LEN($C483)&gt;0,COUNT(AB$1:AB482)+1,"")</f>
        <v/>
      </c>
      <c r="AC483" s="24" t="str">
        <f aca="false">IF(LEN($D483)&gt;0,COUNT(AC$1:AC482)+1,"")</f>
        <v/>
      </c>
      <c r="AD483" s="24" t="str">
        <f aca="false">IF(LEN($E483)&gt;0,COUNT(AD$1:AD482)+1,"")</f>
        <v/>
      </c>
      <c r="AE483" s="24" t="str">
        <f aca="false">IF(LEN($F483)&gt;0,COUNT(AE$1:AE482)+1,"")</f>
        <v/>
      </c>
    </row>
    <row r="484" customFormat="false" ht="16.5" hidden="false" customHeight="true" outlineLevel="0" collapsed="false">
      <c r="A484" s="18" t="str">
        <f aca="false">IF(B484="","",ROW()-2)</f>
        <v/>
      </c>
      <c r="B484" s="18"/>
      <c r="C484" s="19"/>
      <c r="D484" s="19"/>
      <c r="E484" s="19"/>
      <c r="F484" s="19"/>
      <c r="G484" s="18"/>
      <c r="H484" s="21"/>
      <c r="I484" s="21"/>
      <c r="J484" s="21"/>
      <c r="K484" s="21"/>
      <c r="L484" s="21"/>
      <c r="M484" s="21"/>
      <c r="N484" s="25"/>
      <c r="O484" s="21"/>
      <c r="P484" s="21"/>
      <c r="Q484" s="21"/>
      <c r="R484" s="21"/>
      <c r="S484" s="21"/>
      <c r="T484" s="21"/>
      <c r="U484" s="21"/>
      <c r="V484" s="21"/>
      <c r="W484" s="21"/>
      <c r="X484" s="21"/>
      <c r="Y484" s="21"/>
      <c r="Z484" s="21"/>
      <c r="AB484" s="24" t="str">
        <f aca="false">IF(LEN($C484)&gt;0,COUNT(AB$1:AB483)+1,"")</f>
        <v/>
      </c>
      <c r="AC484" s="24" t="str">
        <f aca="false">IF(LEN($D484)&gt;0,COUNT(AC$1:AC483)+1,"")</f>
        <v/>
      </c>
      <c r="AD484" s="24" t="str">
        <f aca="false">IF(LEN($E484)&gt;0,COUNT(AD$1:AD483)+1,"")</f>
        <v/>
      </c>
      <c r="AE484" s="24" t="str">
        <f aca="false">IF(LEN($F484)&gt;0,COUNT(AE$1:AE483)+1,"")</f>
        <v/>
      </c>
    </row>
    <row r="485" customFormat="false" ht="16.5" hidden="false" customHeight="true" outlineLevel="0" collapsed="false">
      <c r="A485" s="18" t="str">
        <f aca="false">IF(B485="","",ROW()-2)</f>
        <v/>
      </c>
      <c r="B485" s="18"/>
      <c r="C485" s="19"/>
      <c r="D485" s="19"/>
      <c r="E485" s="19"/>
      <c r="F485" s="19"/>
      <c r="G485" s="18"/>
      <c r="H485" s="21"/>
      <c r="I485" s="21"/>
      <c r="J485" s="21"/>
      <c r="K485" s="21"/>
      <c r="L485" s="21"/>
      <c r="M485" s="21"/>
      <c r="N485" s="25"/>
      <c r="O485" s="21"/>
      <c r="P485" s="21"/>
      <c r="Q485" s="21"/>
      <c r="R485" s="21"/>
      <c r="S485" s="21"/>
      <c r="T485" s="21"/>
      <c r="U485" s="21"/>
      <c r="V485" s="21"/>
      <c r="W485" s="21"/>
      <c r="X485" s="21"/>
      <c r="Y485" s="21"/>
      <c r="Z485" s="21"/>
      <c r="AB485" s="24" t="str">
        <f aca="false">IF(LEN($C485)&gt;0,COUNT(AB$1:AB484)+1,"")</f>
        <v/>
      </c>
      <c r="AC485" s="24" t="str">
        <f aca="false">IF(LEN($D485)&gt;0,COUNT(AC$1:AC484)+1,"")</f>
        <v/>
      </c>
      <c r="AD485" s="24" t="str">
        <f aca="false">IF(LEN($E485)&gt;0,COUNT(AD$1:AD484)+1,"")</f>
        <v/>
      </c>
      <c r="AE485" s="24" t="str">
        <f aca="false">IF(LEN($F485)&gt;0,COUNT(AE$1:AE484)+1,"")</f>
        <v/>
      </c>
    </row>
    <row r="486" customFormat="false" ht="16.5" hidden="false" customHeight="true" outlineLevel="0" collapsed="false">
      <c r="A486" s="18" t="str">
        <f aca="false">IF(B486="","",ROW()-2)</f>
        <v/>
      </c>
      <c r="B486" s="18"/>
      <c r="C486" s="19"/>
      <c r="D486" s="19"/>
      <c r="E486" s="19"/>
      <c r="F486" s="19"/>
      <c r="G486" s="18"/>
      <c r="H486" s="21"/>
      <c r="I486" s="21"/>
      <c r="J486" s="21"/>
      <c r="K486" s="21"/>
      <c r="L486" s="21"/>
      <c r="M486" s="21"/>
      <c r="N486" s="25"/>
      <c r="O486" s="21"/>
      <c r="P486" s="21"/>
      <c r="Q486" s="21"/>
      <c r="R486" s="21"/>
      <c r="S486" s="21"/>
      <c r="T486" s="21"/>
      <c r="U486" s="21"/>
      <c r="V486" s="21"/>
      <c r="W486" s="21"/>
      <c r="X486" s="21"/>
      <c r="Y486" s="21"/>
      <c r="Z486" s="21"/>
      <c r="AB486" s="24" t="str">
        <f aca="false">IF(LEN($C486)&gt;0,COUNT(AB$1:AB485)+1,"")</f>
        <v/>
      </c>
      <c r="AC486" s="24" t="str">
        <f aca="false">IF(LEN($D486)&gt;0,COUNT(AC$1:AC485)+1,"")</f>
        <v/>
      </c>
      <c r="AD486" s="24" t="str">
        <f aca="false">IF(LEN($E486)&gt;0,COUNT(AD$1:AD485)+1,"")</f>
        <v/>
      </c>
      <c r="AE486" s="24" t="str">
        <f aca="false">IF(LEN($F486)&gt;0,COUNT(AE$1:AE485)+1,"")</f>
        <v/>
      </c>
    </row>
    <row r="487" customFormat="false" ht="16.5" hidden="false" customHeight="true" outlineLevel="0" collapsed="false">
      <c r="A487" s="18" t="str">
        <f aca="false">IF(B487="","",ROW()-2)</f>
        <v/>
      </c>
      <c r="B487" s="18"/>
      <c r="C487" s="19"/>
      <c r="D487" s="19"/>
      <c r="E487" s="19"/>
      <c r="F487" s="19"/>
      <c r="G487" s="18"/>
      <c r="H487" s="21"/>
      <c r="I487" s="21"/>
      <c r="J487" s="21"/>
      <c r="K487" s="21"/>
      <c r="L487" s="21"/>
      <c r="M487" s="21"/>
      <c r="N487" s="25"/>
      <c r="O487" s="21"/>
      <c r="P487" s="21"/>
      <c r="Q487" s="21"/>
      <c r="R487" s="21"/>
      <c r="S487" s="21"/>
      <c r="T487" s="21"/>
      <c r="U487" s="21"/>
      <c r="V487" s="21"/>
      <c r="W487" s="21"/>
      <c r="X487" s="21"/>
      <c r="Y487" s="21"/>
      <c r="Z487" s="21"/>
      <c r="AB487" s="24" t="str">
        <f aca="false">IF(LEN($C487)&gt;0,COUNT(AB$1:AB486)+1,"")</f>
        <v/>
      </c>
      <c r="AC487" s="24" t="str">
        <f aca="false">IF(LEN($D487)&gt;0,COUNT(AC$1:AC486)+1,"")</f>
        <v/>
      </c>
      <c r="AD487" s="24" t="str">
        <f aca="false">IF(LEN($E487)&gt;0,COUNT(AD$1:AD486)+1,"")</f>
        <v/>
      </c>
      <c r="AE487" s="24" t="str">
        <f aca="false">IF(LEN($F487)&gt;0,COUNT(AE$1:AE486)+1,"")</f>
        <v/>
      </c>
    </row>
    <row r="488" customFormat="false" ht="16.5" hidden="false" customHeight="true" outlineLevel="0" collapsed="false">
      <c r="A488" s="18" t="str">
        <f aca="false">IF(B488="","",ROW()-2)</f>
        <v/>
      </c>
      <c r="B488" s="18"/>
      <c r="C488" s="19"/>
      <c r="D488" s="19"/>
      <c r="E488" s="19"/>
      <c r="F488" s="19"/>
      <c r="G488" s="18"/>
      <c r="H488" s="21"/>
      <c r="I488" s="21"/>
      <c r="J488" s="21"/>
      <c r="K488" s="21"/>
      <c r="L488" s="21"/>
      <c r="M488" s="21"/>
      <c r="N488" s="25"/>
      <c r="O488" s="21"/>
      <c r="P488" s="21"/>
      <c r="Q488" s="21"/>
      <c r="R488" s="21"/>
      <c r="S488" s="21"/>
      <c r="T488" s="21"/>
      <c r="U488" s="21"/>
      <c r="V488" s="21"/>
      <c r="W488" s="21"/>
      <c r="X488" s="21"/>
      <c r="Y488" s="21"/>
      <c r="Z488" s="21"/>
      <c r="AB488" s="24" t="str">
        <f aca="false">IF(LEN($C488)&gt;0,COUNT(AB$1:AB487)+1,"")</f>
        <v/>
      </c>
      <c r="AC488" s="24" t="str">
        <f aca="false">IF(LEN($D488)&gt;0,COUNT(AC$1:AC487)+1,"")</f>
        <v/>
      </c>
      <c r="AD488" s="24" t="str">
        <f aca="false">IF(LEN($E488)&gt;0,COUNT(AD$1:AD487)+1,"")</f>
        <v/>
      </c>
      <c r="AE488" s="24" t="str">
        <f aca="false">IF(LEN($F488)&gt;0,COUNT(AE$1:AE487)+1,"")</f>
        <v/>
      </c>
    </row>
    <row r="489" customFormat="false" ht="16.5" hidden="false" customHeight="true" outlineLevel="0" collapsed="false">
      <c r="A489" s="18" t="str">
        <f aca="false">IF(B489="","",ROW()-2)</f>
        <v/>
      </c>
      <c r="B489" s="18"/>
      <c r="C489" s="19"/>
      <c r="D489" s="19"/>
      <c r="E489" s="19"/>
      <c r="F489" s="19"/>
      <c r="G489" s="18"/>
      <c r="H489" s="21"/>
      <c r="I489" s="21"/>
      <c r="J489" s="21"/>
      <c r="K489" s="21"/>
      <c r="L489" s="21"/>
      <c r="M489" s="21"/>
      <c r="N489" s="25"/>
      <c r="O489" s="21"/>
      <c r="P489" s="21"/>
      <c r="Q489" s="21"/>
      <c r="R489" s="21"/>
      <c r="S489" s="21"/>
      <c r="T489" s="21"/>
      <c r="U489" s="21"/>
      <c r="V489" s="21"/>
      <c r="W489" s="21"/>
      <c r="X489" s="21"/>
      <c r="Y489" s="21"/>
      <c r="Z489" s="21"/>
      <c r="AB489" s="24" t="str">
        <f aca="false">IF(LEN($C489)&gt;0,COUNT(AB$1:AB488)+1,"")</f>
        <v/>
      </c>
      <c r="AC489" s="24" t="str">
        <f aca="false">IF(LEN($D489)&gt;0,COUNT(AC$1:AC488)+1,"")</f>
        <v/>
      </c>
      <c r="AD489" s="24" t="str">
        <f aca="false">IF(LEN($E489)&gt;0,COUNT(AD$1:AD488)+1,"")</f>
        <v/>
      </c>
      <c r="AE489" s="24" t="str">
        <f aca="false">IF(LEN($F489)&gt;0,COUNT(AE$1:AE488)+1,"")</f>
        <v/>
      </c>
    </row>
    <row r="490" customFormat="false" ht="16.5" hidden="false" customHeight="true" outlineLevel="0" collapsed="false">
      <c r="A490" s="18" t="str">
        <f aca="false">IF(B490="","",ROW()-2)</f>
        <v/>
      </c>
      <c r="B490" s="18"/>
      <c r="C490" s="19"/>
      <c r="D490" s="19"/>
      <c r="E490" s="19"/>
      <c r="F490" s="19"/>
      <c r="G490" s="18"/>
      <c r="H490" s="21"/>
      <c r="I490" s="21"/>
      <c r="J490" s="21"/>
      <c r="K490" s="21"/>
      <c r="L490" s="21"/>
      <c r="M490" s="21"/>
      <c r="N490" s="25"/>
      <c r="O490" s="21"/>
      <c r="P490" s="21"/>
      <c r="Q490" s="21"/>
      <c r="R490" s="21"/>
      <c r="S490" s="21"/>
      <c r="T490" s="21"/>
      <c r="U490" s="21"/>
      <c r="V490" s="21"/>
      <c r="W490" s="21"/>
      <c r="X490" s="21"/>
      <c r="Y490" s="21"/>
      <c r="Z490" s="21"/>
      <c r="AB490" s="24" t="str">
        <f aca="false">IF(LEN($C490)&gt;0,COUNT(AB$1:AB489)+1,"")</f>
        <v/>
      </c>
      <c r="AC490" s="24" t="str">
        <f aca="false">IF(LEN($D490)&gt;0,COUNT(AC$1:AC489)+1,"")</f>
        <v/>
      </c>
      <c r="AD490" s="24" t="str">
        <f aca="false">IF(LEN($E490)&gt;0,COUNT(AD$1:AD489)+1,"")</f>
        <v/>
      </c>
      <c r="AE490" s="24" t="str">
        <f aca="false">IF(LEN($F490)&gt;0,COUNT(AE$1:AE489)+1,"")</f>
        <v/>
      </c>
    </row>
    <row r="491" customFormat="false" ht="16.5" hidden="false" customHeight="true" outlineLevel="0" collapsed="false">
      <c r="A491" s="18" t="str">
        <f aca="false">IF(B491="","",ROW()-2)</f>
        <v/>
      </c>
      <c r="B491" s="18"/>
      <c r="C491" s="19"/>
      <c r="D491" s="19"/>
      <c r="E491" s="19"/>
      <c r="F491" s="19"/>
      <c r="G491" s="18"/>
      <c r="H491" s="21"/>
      <c r="I491" s="21"/>
      <c r="J491" s="21"/>
      <c r="K491" s="21"/>
      <c r="L491" s="21"/>
      <c r="M491" s="21"/>
      <c r="N491" s="25"/>
      <c r="O491" s="21"/>
      <c r="P491" s="21"/>
      <c r="Q491" s="21"/>
      <c r="R491" s="21"/>
      <c r="S491" s="21"/>
      <c r="T491" s="21"/>
      <c r="U491" s="21"/>
      <c r="V491" s="21"/>
      <c r="W491" s="21"/>
      <c r="X491" s="21"/>
      <c r="Y491" s="21"/>
      <c r="Z491" s="21"/>
      <c r="AB491" s="24" t="str">
        <f aca="false">IF(LEN($C491)&gt;0,COUNT(AB$1:AB490)+1,"")</f>
        <v/>
      </c>
      <c r="AC491" s="24" t="str">
        <f aca="false">IF(LEN($D491)&gt;0,COUNT(AC$1:AC490)+1,"")</f>
        <v/>
      </c>
      <c r="AD491" s="24" t="str">
        <f aca="false">IF(LEN($E491)&gt;0,COUNT(AD$1:AD490)+1,"")</f>
        <v/>
      </c>
      <c r="AE491" s="24" t="str">
        <f aca="false">IF(LEN($F491)&gt;0,COUNT(AE$1:AE490)+1,"")</f>
        <v/>
      </c>
    </row>
    <row r="492" customFormat="false" ht="16.5" hidden="false" customHeight="true" outlineLevel="0" collapsed="false">
      <c r="A492" s="18" t="str">
        <f aca="false">IF(B492="","",ROW()-2)</f>
        <v/>
      </c>
      <c r="B492" s="18"/>
      <c r="C492" s="19"/>
      <c r="D492" s="19"/>
      <c r="E492" s="19"/>
      <c r="F492" s="19"/>
      <c r="G492" s="18"/>
      <c r="H492" s="21"/>
      <c r="I492" s="21"/>
      <c r="J492" s="21"/>
      <c r="K492" s="21"/>
      <c r="L492" s="21"/>
      <c r="M492" s="21"/>
      <c r="N492" s="25"/>
      <c r="O492" s="21"/>
      <c r="P492" s="21"/>
      <c r="Q492" s="21"/>
      <c r="R492" s="21"/>
      <c r="S492" s="21"/>
      <c r="T492" s="21"/>
      <c r="U492" s="21"/>
      <c r="V492" s="21"/>
      <c r="W492" s="21"/>
      <c r="X492" s="21"/>
      <c r="Y492" s="21"/>
      <c r="Z492" s="21"/>
      <c r="AB492" s="24" t="str">
        <f aca="false">IF(LEN($C492)&gt;0,COUNT(AB$1:AB491)+1,"")</f>
        <v/>
      </c>
      <c r="AC492" s="24" t="str">
        <f aca="false">IF(LEN($D492)&gt;0,COUNT(AC$1:AC491)+1,"")</f>
        <v/>
      </c>
      <c r="AD492" s="24" t="str">
        <f aca="false">IF(LEN($E492)&gt;0,COUNT(AD$1:AD491)+1,"")</f>
        <v/>
      </c>
      <c r="AE492" s="24" t="str">
        <f aca="false">IF(LEN($F492)&gt;0,COUNT(AE$1:AE491)+1,"")</f>
        <v/>
      </c>
    </row>
    <row r="493" customFormat="false" ht="16.5" hidden="false" customHeight="true" outlineLevel="0" collapsed="false">
      <c r="A493" s="18" t="str">
        <f aca="false">IF(B493="","",ROW()-2)</f>
        <v/>
      </c>
      <c r="B493" s="18"/>
      <c r="C493" s="19"/>
      <c r="D493" s="19"/>
      <c r="E493" s="19"/>
      <c r="F493" s="19"/>
      <c r="G493" s="18"/>
      <c r="H493" s="21"/>
      <c r="I493" s="21"/>
      <c r="J493" s="21"/>
      <c r="K493" s="21"/>
      <c r="L493" s="21"/>
      <c r="M493" s="21"/>
      <c r="N493" s="25"/>
      <c r="O493" s="21"/>
      <c r="P493" s="21"/>
      <c r="Q493" s="21"/>
      <c r="R493" s="21"/>
      <c r="S493" s="21"/>
      <c r="T493" s="21"/>
      <c r="U493" s="21"/>
      <c r="V493" s="21"/>
      <c r="W493" s="21"/>
      <c r="X493" s="21"/>
      <c r="Y493" s="21"/>
      <c r="Z493" s="21"/>
      <c r="AB493" s="24" t="str">
        <f aca="false">IF(LEN($C493)&gt;0,COUNT(AB$1:AB492)+1,"")</f>
        <v/>
      </c>
      <c r="AC493" s="24" t="str">
        <f aca="false">IF(LEN($D493)&gt;0,COUNT(AC$1:AC492)+1,"")</f>
        <v/>
      </c>
      <c r="AD493" s="24" t="str">
        <f aca="false">IF(LEN($E493)&gt;0,COUNT(AD$1:AD492)+1,"")</f>
        <v/>
      </c>
      <c r="AE493" s="24" t="str">
        <f aca="false">IF(LEN($F493)&gt;0,COUNT(AE$1:AE492)+1,"")</f>
        <v/>
      </c>
    </row>
    <row r="494" customFormat="false" ht="16.5" hidden="false" customHeight="true" outlineLevel="0" collapsed="false">
      <c r="A494" s="18" t="str">
        <f aca="false">IF(B494="","",ROW()-2)</f>
        <v/>
      </c>
      <c r="B494" s="18"/>
      <c r="C494" s="19"/>
      <c r="D494" s="19"/>
      <c r="E494" s="19"/>
      <c r="F494" s="19"/>
      <c r="G494" s="18"/>
      <c r="H494" s="21"/>
      <c r="I494" s="21"/>
      <c r="J494" s="21"/>
      <c r="K494" s="21"/>
      <c r="L494" s="21"/>
      <c r="M494" s="21"/>
      <c r="N494" s="25"/>
      <c r="O494" s="21"/>
      <c r="P494" s="21"/>
      <c r="Q494" s="21"/>
      <c r="R494" s="21"/>
      <c r="S494" s="21"/>
      <c r="T494" s="21"/>
      <c r="U494" s="21"/>
      <c r="V494" s="21"/>
      <c r="W494" s="21"/>
      <c r="X494" s="21"/>
      <c r="Y494" s="21"/>
      <c r="Z494" s="21"/>
      <c r="AB494" s="24" t="str">
        <f aca="false">IF(LEN($C494)&gt;0,COUNT(AB$1:AB493)+1,"")</f>
        <v/>
      </c>
      <c r="AC494" s="24" t="str">
        <f aca="false">IF(LEN($D494)&gt;0,COUNT(AC$1:AC493)+1,"")</f>
        <v/>
      </c>
      <c r="AD494" s="24" t="str">
        <f aca="false">IF(LEN($E494)&gt;0,COUNT(AD$1:AD493)+1,"")</f>
        <v/>
      </c>
      <c r="AE494" s="24" t="str">
        <f aca="false">IF(LEN($F494)&gt;0,COUNT(AE$1:AE493)+1,"")</f>
        <v/>
      </c>
    </row>
    <row r="495" customFormat="false" ht="16.5" hidden="false" customHeight="true" outlineLevel="0" collapsed="false">
      <c r="A495" s="18" t="str">
        <f aca="false">IF(B495="","",ROW()-2)</f>
        <v/>
      </c>
      <c r="B495" s="18"/>
      <c r="C495" s="19"/>
      <c r="D495" s="19"/>
      <c r="E495" s="19"/>
      <c r="F495" s="19"/>
      <c r="G495" s="18"/>
      <c r="H495" s="21"/>
      <c r="I495" s="21"/>
      <c r="J495" s="21"/>
      <c r="K495" s="21"/>
      <c r="L495" s="21"/>
      <c r="M495" s="21"/>
      <c r="N495" s="25"/>
      <c r="O495" s="21"/>
      <c r="P495" s="21"/>
      <c r="Q495" s="21"/>
      <c r="R495" s="21"/>
      <c r="S495" s="21"/>
      <c r="T495" s="21"/>
      <c r="U495" s="21"/>
      <c r="V495" s="21"/>
      <c r="W495" s="21"/>
      <c r="X495" s="21"/>
      <c r="Y495" s="21"/>
      <c r="Z495" s="21"/>
      <c r="AB495" s="24" t="str">
        <f aca="false">IF(LEN($C495)&gt;0,COUNT(AB$1:AB494)+1,"")</f>
        <v/>
      </c>
      <c r="AC495" s="24" t="str">
        <f aca="false">IF(LEN($D495)&gt;0,COUNT(AC$1:AC494)+1,"")</f>
        <v/>
      </c>
      <c r="AD495" s="24" t="str">
        <f aca="false">IF(LEN($E495)&gt;0,COUNT(AD$1:AD494)+1,"")</f>
        <v/>
      </c>
      <c r="AE495" s="24" t="str">
        <f aca="false">IF(LEN($F495)&gt;0,COUNT(AE$1:AE494)+1,"")</f>
        <v/>
      </c>
    </row>
    <row r="496" customFormat="false" ht="16.5" hidden="false" customHeight="true" outlineLevel="0" collapsed="false">
      <c r="A496" s="18" t="str">
        <f aca="false">IF(B496="","",ROW()-2)</f>
        <v/>
      </c>
      <c r="B496" s="18"/>
      <c r="C496" s="19"/>
      <c r="D496" s="19"/>
      <c r="E496" s="19"/>
      <c r="F496" s="19"/>
      <c r="G496" s="18"/>
      <c r="H496" s="21"/>
      <c r="I496" s="21"/>
      <c r="J496" s="21"/>
      <c r="K496" s="21"/>
      <c r="L496" s="21"/>
      <c r="M496" s="21"/>
      <c r="N496" s="25"/>
      <c r="O496" s="21"/>
      <c r="P496" s="21"/>
      <c r="Q496" s="21"/>
      <c r="R496" s="21"/>
      <c r="S496" s="21"/>
      <c r="T496" s="21"/>
      <c r="U496" s="21"/>
      <c r="V496" s="21"/>
      <c r="W496" s="21"/>
      <c r="X496" s="21"/>
      <c r="Y496" s="21"/>
      <c r="Z496" s="21"/>
      <c r="AB496" s="24" t="str">
        <f aca="false">IF(LEN($C496)&gt;0,COUNT(AB$1:AB495)+1,"")</f>
        <v/>
      </c>
      <c r="AC496" s="24" t="str">
        <f aca="false">IF(LEN($D496)&gt;0,COUNT(AC$1:AC495)+1,"")</f>
        <v/>
      </c>
      <c r="AD496" s="24" t="str">
        <f aca="false">IF(LEN($E496)&gt;0,COUNT(AD$1:AD495)+1,"")</f>
        <v/>
      </c>
      <c r="AE496" s="24" t="str">
        <f aca="false">IF(LEN($F496)&gt;0,COUNT(AE$1:AE495)+1,"")</f>
        <v/>
      </c>
    </row>
    <row r="497" customFormat="false" ht="16.5" hidden="false" customHeight="true" outlineLevel="0" collapsed="false">
      <c r="A497" s="18" t="str">
        <f aca="false">IF(B497="","",ROW()-2)</f>
        <v/>
      </c>
      <c r="B497" s="18"/>
      <c r="C497" s="19"/>
      <c r="D497" s="19"/>
      <c r="E497" s="19"/>
      <c r="F497" s="19"/>
      <c r="G497" s="18"/>
      <c r="H497" s="21"/>
      <c r="I497" s="21"/>
      <c r="J497" s="21"/>
      <c r="K497" s="21"/>
      <c r="L497" s="21"/>
      <c r="M497" s="21"/>
      <c r="N497" s="25"/>
      <c r="O497" s="21"/>
      <c r="P497" s="21"/>
      <c r="Q497" s="21"/>
      <c r="R497" s="21"/>
      <c r="S497" s="21"/>
      <c r="T497" s="21"/>
      <c r="U497" s="21"/>
      <c r="V497" s="21"/>
      <c r="W497" s="21"/>
      <c r="X497" s="21"/>
      <c r="Y497" s="21"/>
      <c r="Z497" s="21"/>
      <c r="AB497" s="24" t="str">
        <f aca="false">IF(LEN($C497)&gt;0,COUNT(AB$1:AB496)+1,"")</f>
        <v/>
      </c>
      <c r="AC497" s="24" t="str">
        <f aca="false">IF(LEN($D497)&gt;0,COUNT(AC$1:AC496)+1,"")</f>
        <v/>
      </c>
      <c r="AD497" s="24" t="str">
        <f aca="false">IF(LEN($E497)&gt;0,COUNT(AD$1:AD496)+1,"")</f>
        <v/>
      </c>
      <c r="AE497" s="24" t="str">
        <f aca="false">IF(LEN($F497)&gt;0,COUNT(AE$1:AE496)+1,"")</f>
        <v/>
      </c>
    </row>
    <row r="498" customFormat="false" ht="16.5" hidden="false" customHeight="true" outlineLevel="0" collapsed="false">
      <c r="A498" s="18" t="str">
        <f aca="false">IF(B498="","",ROW()-2)</f>
        <v/>
      </c>
      <c r="B498" s="18"/>
      <c r="C498" s="19"/>
      <c r="D498" s="19"/>
      <c r="E498" s="19"/>
      <c r="F498" s="19"/>
      <c r="G498" s="18"/>
      <c r="H498" s="21"/>
      <c r="I498" s="21"/>
      <c r="J498" s="21"/>
      <c r="K498" s="21"/>
      <c r="L498" s="21"/>
      <c r="M498" s="21"/>
      <c r="N498" s="25"/>
      <c r="O498" s="21"/>
      <c r="P498" s="21"/>
      <c r="Q498" s="21"/>
      <c r="R498" s="21"/>
      <c r="S498" s="21"/>
      <c r="T498" s="21"/>
      <c r="U498" s="21"/>
      <c r="V498" s="21"/>
      <c r="W498" s="21"/>
      <c r="X498" s="21"/>
      <c r="Y498" s="21"/>
      <c r="Z498" s="21"/>
      <c r="AB498" s="24" t="str">
        <f aca="false">IF(LEN($C498)&gt;0,COUNT(AB$1:AB497)+1,"")</f>
        <v/>
      </c>
      <c r="AC498" s="24" t="str">
        <f aca="false">IF(LEN($D498)&gt;0,COUNT(AC$1:AC497)+1,"")</f>
        <v/>
      </c>
      <c r="AD498" s="24" t="str">
        <f aca="false">IF(LEN($E498)&gt;0,COUNT(AD$1:AD497)+1,"")</f>
        <v/>
      </c>
      <c r="AE498" s="24" t="str">
        <f aca="false">IF(LEN($F498)&gt;0,COUNT(AE$1:AE497)+1,"")</f>
        <v/>
      </c>
    </row>
    <row r="499" customFormat="false" ht="16.5" hidden="false" customHeight="true" outlineLevel="0" collapsed="false">
      <c r="A499" s="18" t="str">
        <f aca="false">IF(B499="","",ROW()-2)</f>
        <v/>
      </c>
      <c r="B499" s="18"/>
      <c r="C499" s="19"/>
      <c r="D499" s="19"/>
      <c r="E499" s="19"/>
      <c r="F499" s="19"/>
      <c r="G499" s="18"/>
      <c r="H499" s="21"/>
      <c r="I499" s="21"/>
      <c r="J499" s="21"/>
      <c r="K499" s="21"/>
      <c r="L499" s="21"/>
      <c r="M499" s="21"/>
      <c r="N499" s="25"/>
      <c r="O499" s="21"/>
      <c r="P499" s="21"/>
      <c r="Q499" s="21"/>
      <c r="R499" s="21"/>
      <c r="S499" s="21"/>
      <c r="T499" s="21"/>
      <c r="U499" s="21"/>
      <c r="V499" s="21"/>
      <c r="W499" s="21"/>
      <c r="X499" s="21"/>
      <c r="Y499" s="21"/>
      <c r="Z499" s="21"/>
      <c r="AB499" s="24" t="str">
        <f aca="false">IF(LEN($C499)&gt;0,COUNT(AB$1:AB498)+1,"")</f>
        <v/>
      </c>
      <c r="AC499" s="24" t="str">
        <f aca="false">IF(LEN($D499)&gt;0,COUNT(AC$1:AC498)+1,"")</f>
        <v/>
      </c>
      <c r="AD499" s="24" t="str">
        <f aca="false">IF(LEN($E499)&gt;0,COUNT(AD$1:AD498)+1,"")</f>
        <v/>
      </c>
      <c r="AE499" s="24" t="str">
        <f aca="false">IF(LEN($F499)&gt;0,COUNT(AE$1:AE498)+1,"")</f>
        <v/>
      </c>
    </row>
    <row r="500" customFormat="false" ht="16.5" hidden="false" customHeight="true" outlineLevel="0" collapsed="false">
      <c r="A500" s="18" t="str">
        <f aca="false">IF(B500="","",ROW()-2)</f>
        <v/>
      </c>
      <c r="B500" s="18"/>
      <c r="C500" s="19"/>
      <c r="D500" s="19"/>
      <c r="E500" s="19"/>
      <c r="F500" s="19"/>
      <c r="G500" s="18"/>
      <c r="H500" s="21"/>
      <c r="I500" s="21"/>
      <c r="J500" s="21"/>
      <c r="K500" s="21"/>
      <c r="L500" s="21"/>
      <c r="M500" s="21"/>
      <c r="N500" s="25"/>
      <c r="O500" s="21"/>
      <c r="P500" s="21"/>
      <c r="Q500" s="21"/>
      <c r="R500" s="21"/>
      <c r="S500" s="21"/>
      <c r="T500" s="21"/>
      <c r="U500" s="21"/>
      <c r="V500" s="21"/>
      <c r="W500" s="21"/>
      <c r="X500" s="21"/>
      <c r="Y500" s="21"/>
      <c r="Z500" s="21"/>
      <c r="AB500" s="24" t="str">
        <f aca="false">IF(LEN($C500)&gt;0,COUNT(AB$1:AB499)+1,"")</f>
        <v/>
      </c>
      <c r="AC500" s="24" t="str">
        <f aca="false">IF(LEN($D500)&gt;0,COUNT(AC$1:AC499)+1,"")</f>
        <v/>
      </c>
      <c r="AD500" s="24" t="str">
        <f aca="false">IF(LEN($E500)&gt;0,COUNT(AD$1:AD499)+1,"")</f>
        <v/>
      </c>
      <c r="AE500" s="24" t="str">
        <f aca="false">IF(LEN($F500)&gt;0,COUNT(AE$1:AE499)+1,"")</f>
        <v/>
      </c>
    </row>
    <row r="501" customFormat="false" ht="16.5" hidden="false" customHeight="true" outlineLevel="0" collapsed="false">
      <c r="A501" s="18" t="str">
        <f aca="false">IF(B501="","",ROW()-2)</f>
        <v/>
      </c>
      <c r="B501" s="18"/>
      <c r="C501" s="19"/>
      <c r="D501" s="19"/>
      <c r="E501" s="19"/>
      <c r="F501" s="19"/>
      <c r="G501" s="18"/>
      <c r="H501" s="21"/>
      <c r="I501" s="21"/>
      <c r="J501" s="21"/>
      <c r="K501" s="21"/>
      <c r="L501" s="21"/>
      <c r="M501" s="21"/>
      <c r="N501" s="25"/>
      <c r="O501" s="21"/>
      <c r="P501" s="21"/>
      <c r="Q501" s="21"/>
      <c r="R501" s="21"/>
      <c r="S501" s="21"/>
      <c r="T501" s="21"/>
      <c r="U501" s="21"/>
      <c r="V501" s="21"/>
      <c r="W501" s="21"/>
      <c r="X501" s="21"/>
      <c r="Y501" s="21"/>
      <c r="Z501" s="21"/>
      <c r="AB501" s="24" t="str">
        <f aca="false">IF(LEN($C501)&gt;0,COUNT(AB$1:AB500)+1,"")</f>
        <v/>
      </c>
      <c r="AC501" s="24" t="str">
        <f aca="false">IF(LEN($D501)&gt;0,COUNT(AC$1:AC500)+1,"")</f>
        <v/>
      </c>
      <c r="AD501" s="24" t="str">
        <f aca="false">IF(LEN($E501)&gt;0,COUNT(AD$1:AD500)+1,"")</f>
        <v/>
      </c>
      <c r="AE501" s="24" t="str">
        <f aca="false">IF(LEN($F501)&gt;0,COUNT(AE$1:AE500)+1,"")</f>
        <v/>
      </c>
    </row>
  </sheetData>
  <mergeCells count="4">
    <mergeCell ref="A1:N1"/>
    <mergeCell ref="O1:T1"/>
    <mergeCell ref="U1:Z1"/>
    <mergeCell ref="AB1:AE1"/>
  </mergeCells>
  <dataValidations count="2">
    <dataValidation allowBlank="true" error="소속 분과에는 O만 입력하세요(비우면 미소속)." errorStyle="stop" errorTitle="입력 확인" operator="between" showDropDown="false" showErrorMessage="true" showInputMessage="false" sqref="C3:F501" type="list">
      <formula1>"O"</formula1>
      <formula2>0</formula2>
    </dataValidation>
    <dataValidation allowBlank="true" error="대기업 / 중견기업 / 중소기업 / 공공기관 / 대학 / 협회·단체 중에서 선택하세요." errorStyle="stop" errorTitle="기업유형 확인" operator="between" showDropDown="false" showErrorMessage="true" showInputMessage="false" sqref="G3:G501" type="list">
      <formula1>"대기업,중견기업,중소기업,공공기관,대학,협회·단체"</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Z452"/>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3" activeCellId="0" sqref="A3"/>
    </sheetView>
  </sheetViews>
  <sheetFormatPr defaultColWidth="8.83203125" defaultRowHeight="16.5" zeroHeight="false" outlineLevelRow="0" outlineLevelCol="0"/>
  <cols>
    <col collapsed="false" customWidth="true" hidden="false" outlineLevel="0" max="1" min="1" style="1" width="6"/>
    <col collapsed="false" customWidth="true" hidden="false" outlineLevel="0" max="2" min="2" style="1" width="47"/>
    <col collapsed="false" customWidth="true" hidden="false" outlineLevel="0" max="5" min="3" style="1" width="8"/>
    <col collapsed="false" customWidth="true" hidden="false" outlineLevel="0" max="6" min="6" style="1" width="9.58"/>
    <col collapsed="false" customWidth="true" hidden="false" outlineLevel="0" max="7" min="7" style="1" width="12"/>
    <col collapsed="false" customWidth="true" hidden="false" outlineLevel="0" max="8" min="8" style="1" width="16"/>
    <col collapsed="false" customWidth="true" hidden="false" outlineLevel="0" max="9" min="9" style="1" width="28"/>
    <col collapsed="false" customWidth="true" hidden="false" outlineLevel="0" max="10" min="10" style="1" width="17"/>
    <col collapsed="false" customWidth="true" hidden="false" outlineLevel="0" max="11" min="11" style="1" width="47"/>
    <col collapsed="false" customWidth="true" hidden="false" outlineLevel="0" max="12" min="12" style="1" width="34"/>
    <col collapsed="false" customWidth="true" hidden="false" outlineLevel="0" max="13" min="13" style="1" width="90"/>
    <col collapsed="false" customWidth="true" hidden="false" outlineLevel="0" max="14" min="14" style="1" width="60"/>
    <col collapsed="false" customWidth="true" hidden="false" outlineLevel="0" max="15" min="15" style="1" width="13"/>
    <col collapsed="false" customWidth="true" hidden="false" outlineLevel="0" max="16" min="16" style="1" width="54"/>
    <col collapsed="false" customWidth="true" hidden="false" outlineLevel="0" max="17" min="17" style="1" width="31"/>
    <col collapsed="false" customWidth="true" hidden="false" outlineLevel="0" max="18" min="18" style="1" width="26"/>
    <col collapsed="false" customWidth="true" hidden="false" outlineLevel="0" max="19" min="19" style="1" width="41"/>
    <col collapsed="false" customWidth="true" hidden="false" outlineLevel="0" max="20" min="20" style="1" width="17"/>
    <col collapsed="false" customWidth="true" hidden="false" outlineLevel="0" max="21" min="21" style="1" width="29"/>
    <col collapsed="false" customWidth="true" hidden="false" outlineLevel="0" max="22" min="22" style="1" width="53"/>
    <col collapsed="false" customWidth="true" hidden="false" outlineLevel="0" max="23" min="23" style="1" width="35"/>
    <col collapsed="false" customWidth="true" hidden="false" outlineLevel="0" max="24" min="24" style="1" width="29"/>
    <col collapsed="false" customWidth="true" hidden="false" outlineLevel="0" max="25" min="25" style="1" width="68"/>
    <col collapsed="false" customWidth="true" hidden="false" outlineLevel="0" max="26" min="26" style="1" width="29"/>
  </cols>
  <sheetData>
    <row r="1" customFormat="false" ht="20.25" hidden="false" customHeight="true" outlineLevel="0" collapsed="false">
      <c r="A1" s="12" t="s">
        <v>27</v>
      </c>
      <c r="B1" s="12"/>
      <c r="C1" s="12"/>
      <c r="D1" s="12"/>
      <c r="E1" s="12"/>
      <c r="F1" s="12"/>
      <c r="G1" s="12"/>
      <c r="H1" s="12"/>
      <c r="I1" s="12"/>
      <c r="J1" s="12"/>
      <c r="K1" s="12"/>
      <c r="L1" s="12"/>
      <c r="M1" s="12"/>
      <c r="N1" s="12"/>
      <c r="O1" s="12" t="s">
        <v>28</v>
      </c>
      <c r="P1" s="12"/>
      <c r="Q1" s="12"/>
      <c r="R1" s="12"/>
      <c r="S1" s="12"/>
      <c r="T1" s="12"/>
      <c r="U1" s="12" t="s">
        <v>29</v>
      </c>
      <c r="V1" s="12"/>
      <c r="W1" s="12"/>
      <c r="X1" s="12"/>
      <c r="Y1" s="12"/>
      <c r="Z1" s="12"/>
    </row>
    <row r="2" customFormat="false" ht="46.5" hidden="false" customHeight="true" outlineLevel="0" collapsed="false">
      <c r="A2" s="14" t="s">
        <v>31</v>
      </c>
      <c r="B2" s="15" t="s">
        <v>32</v>
      </c>
      <c r="C2" s="15" t="s">
        <v>6</v>
      </c>
      <c r="D2" s="15" t="s">
        <v>7</v>
      </c>
      <c r="E2" s="15" t="s">
        <v>8</v>
      </c>
      <c r="F2" s="15" t="s">
        <v>9</v>
      </c>
      <c r="G2" s="15" t="s">
        <v>10</v>
      </c>
      <c r="H2" s="15" t="s">
        <v>33</v>
      </c>
      <c r="I2" s="15" t="s">
        <v>34</v>
      </c>
      <c r="J2" s="15" t="s">
        <v>35</v>
      </c>
      <c r="K2" s="15" t="s">
        <v>36</v>
      </c>
      <c r="L2" s="15" t="s">
        <v>37</v>
      </c>
      <c r="M2" s="15" t="s">
        <v>38</v>
      </c>
      <c r="N2" s="14" t="s">
        <v>39</v>
      </c>
      <c r="O2" s="15" t="s">
        <v>40</v>
      </c>
      <c r="P2" s="15" t="s">
        <v>41</v>
      </c>
      <c r="Q2" s="15" t="s">
        <v>42</v>
      </c>
      <c r="R2" s="15" t="s">
        <v>43</v>
      </c>
      <c r="S2" s="15" t="s">
        <v>44</v>
      </c>
      <c r="T2" s="15" t="s">
        <v>45</v>
      </c>
      <c r="U2" s="15" t="s">
        <v>46</v>
      </c>
      <c r="V2" s="15" t="s">
        <v>47</v>
      </c>
      <c r="W2" s="15" t="s">
        <v>48</v>
      </c>
      <c r="X2" s="15" t="s">
        <v>49</v>
      </c>
      <c r="Y2" s="15" t="s">
        <v>50</v>
      </c>
      <c r="Z2" s="15" t="s">
        <v>51</v>
      </c>
    </row>
    <row r="3" customFormat="false" ht="33.75" hidden="false" customHeight="true" outlineLevel="0" collapsed="false">
      <c r="A3" s="18" t="n">
        <f aca="false">IF(B3="","",ROW()-2)</f>
        <v>1</v>
      </c>
      <c r="B3" s="18" t="str">
        <f aca="false">IFERROR(INDEX(종합!B$3:B$501,MATCH(ROW()-2,종합!$AB$3:$AB$501,0))&amp;"","")</f>
        <v>앵글컴퍼니 주식회사</v>
      </c>
      <c r="C3" s="18" t="str">
        <f aca="false">IFERROR(INDEX(종합!C$3:C$501,MATCH(ROW()-2,종합!$AB$3:$AB$501,0))&amp;"","")</f>
        <v>O</v>
      </c>
      <c r="D3" s="18" t="str">
        <f aca="false">IFERROR(INDEX(종합!D$3:D$501,MATCH(ROW()-2,종합!$AB$3:$AB$501,0))&amp;"","")</f>
        <v>O</v>
      </c>
      <c r="E3" s="18" t="str">
        <f aca="false">IFERROR(INDEX(종합!E$3:E$501,MATCH(ROW()-2,종합!$AB$3:$AB$501,0))&amp;"","")</f>
        <v>O</v>
      </c>
      <c r="F3" s="18" t="str">
        <f aca="false">IFERROR(INDEX(종합!F$3:F$501,MATCH(ROW()-2,종합!$AB$3:$AB$501,0))&amp;"","")</f>
        <v/>
      </c>
      <c r="G3" s="18" t="str">
        <f aca="false">IFERROR(INDEX(종합!G$3:G$501,MATCH(ROW()-2,종합!$AB$3:$AB$501,0))&amp;"","")</f>
        <v>중소기업</v>
      </c>
      <c r="H3" s="21" t="str">
        <f aca="false">IFERROR(INDEX(종합!H$3:H$501,MATCH(ROW()-2,종합!$AB$3:$AB$501,0))&amp;"","")</f>
        <v>172-88-02621</v>
      </c>
      <c r="I3" s="21" t="str">
        <f aca="false">IFERROR(INDEX(종합!I$3:I$501,MATCH(ROW()-2,종합!$AB$3:$AB$501,0))&amp;"","")</f>
        <v>박재범</v>
      </c>
      <c r="J3" s="21" t="str">
        <f aca="false">IFERROR(INDEX(종합!J$3:J$501,MATCH(ROW()-2,종합!$AB$3:$AB$501,0))&amp;"","")</f>
        <v>010-4717-8478</v>
      </c>
      <c r="K3" s="21" t="str">
        <f aca="false">IFERROR(INDEX(종합!K$3:K$501,MATCH(ROW()-2,종합!$AB$3:$AB$501,0))&amp;"","")</f>
        <v>https://www.angle.im</v>
      </c>
      <c r="L3" s="21" t="str">
        <f aca="false">IFERROR(INDEX(종합!L$3:L$501,MATCH(ROW()-2,종합!$AB$3:$AB$501,0))&amp;"","")</f>
        <v>pjb@angle.im</v>
      </c>
      <c r="M3" s="21" t="str">
        <f aca="false">IFERROR(INDEX(종합!M$3:M$501,MATCH(ROW()-2,종합!$AB$3:$AB$501,0))&amp;"","")</f>
        <v>서울시 강남구 테헤란로 79길 6, 3층</v>
      </c>
      <c r="N3" s="25" t="str">
        <f aca="false">IFERROR(INDEX(종합!N$3:N$501,MATCH(ROW()-2,종합!$AB$3:$AB$501,0))&amp;"","")</f>
        <v>헬스케어, 보험, 커머스, 제조 분야의 에이전틱 AI 에이전트 솔루션</v>
      </c>
      <c r="O3" s="21" t="str">
        <f aca="false">IFERROR(INDEX(종합!O$3:O$501,MATCH(ROW()-2,종합!$AB$3:$AB$501,0))&amp;"","")</f>
        <v>박재범</v>
      </c>
      <c r="P3" s="21" t="str">
        <f aca="false">IFERROR(INDEX(종합!P$3:P$501,MATCH(ROW()-2,종합!$AB$3:$AB$501,0))&amp;"","")</f>
        <v>대표이사</v>
      </c>
      <c r="Q3" s="21" t="str">
        <f aca="false">IFERROR(INDEX(종합!Q$3:Q$501,MATCH(ROW()-2,종합!$AB$3:$AB$501,0))&amp;"","")</f>
        <v>대표이사</v>
      </c>
      <c r="R3" s="21" t="str">
        <f aca="false">IFERROR(INDEX(종합!R$3:R$501,MATCH(ROW()-2,종합!$AB$3:$AB$501,0))&amp;"","")</f>
        <v>010-4717-8478</v>
      </c>
      <c r="S3" s="21" t="str">
        <f aca="false">IFERROR(INDEX(종합!S$3:S$501,MATCH(ROW()-2,종합!$AB$3:$AB$501,0))&amp;"","")</f>
        <v>pjb@angle.im</v>
      </c>
      <c r="T3" s="21" t="str">
        <f aca="false">IFERROR(INDEX(종합!T$3:T$501,MATCH(ROW()-2,종합!$AB$3:$AB$501,0))&amp;"","")</f>
        <v>010-4717-8478</v>
      </c>
      <c r="U3" s="21" t="str">
        <f aca="false">IFERROR(INDEX(종합!U$3:U$501,MATCH(ROW()-2,종합!$AB$3:$AB$501,0))&amp;"","")</f>
        <v>박재범</v>
      </c>
      <c r="V3" s="21" t="str">
        <f aca="false">IFERROR(INDEX(종합!V$3:V$501,MATCH(ROW()-2,종합!$AB$3:$AB$501,0))&amp;"","")</f>
        <v>대표이사</v>
      </c>
      <c r="W3" s="21" t="str">
        <f aca="false">IFERROR(INDEX(종합!W$3:W$501,MATCH(ROW()-2,종합!$AB$3:$AB$501,0))&amp;"","")</f>
        <v>대표이사</v>
      </c>
      <c r="X3" s="21" t="str">
        <f aca="false">IFERROR(INDEX(종합!X$3:X$501,MATCH(ROW()-2,종합!$AB$3:$AB$501,0))&amp;"","")</f>
        <v>010-4717-8478</v>
      </c>
      <c r="Y3" s="21" t="str">
        <f aca="false">IFERROR(INDEX(종합!Y$3:Y$501,MATCH(ROW()-2,종합!$AB$3:$AB$501,0))&amp;"","")</f>
        <v>pjb@angle.im</v>
      </c>
      <c r="Z3" s="21" t="str">
        <f aca="false">IFERROR(INDEX(종합!Z$3:Z$501,MATCH(ROW()-2,종합!$AB$3:$AB$501,0))&amp;"","")</f>
        <v>010-4717-8478</v>
      </c>
    </row>
    <row r="4" customFormat="false" ht="22.5" hidden="false" customHeight="true" outlineLevel="0" collapsed="false">
      <c r="A4" s="18" t="n">
        <f aca="false">IF(B4="","",ROW()-2)</f>
        <v>2</v>
      </c>
      <c r="B4" s="18" t="str">
        <f aca="false">IFERROR(INDEX(종합!B$3:B$501,MATCH(ROW()-2,종합!$AB$3:$AB$501,0))&amp;"","")</f>
        <v>(주)글로비트</v>
      </c>
      <c r="C4" s="18" t="str">
        <f aca="false">IFERROR(INDEX(종합!C$3:C$501,MATCH(ROW()-2,종합!$AB$3:$AB$501,0))&amp;"","")</f>
        <v>O</v>
      </c>
      <c r="D4" s="18" t="str">
        <f aca="false">IFERROR(INDEX(종합!D$3:D$501,MATCH(ROW()-2,종합!$AB$3:$AB$501,0))&amp;"","")</f>
        <v>O</v>
      </c>
      <c r="E4" s="18" t="str">
        <f aca="false">IFERROR(INDEX(종합!E$3:E$501,MATCH(ROW()-2,종합!$AB$3:$AB$501,0))&amp;"","")</f>
        <v/>
      </c>
      <c r="F4" s="18" t="str">
        <f aca="false">IFERROR(INDEX(종합!F$3:F$501,MATCH(ROW()-2,종합!$AB$3:$AB$501,0))&amp;"","")</f>
        <v/>
      </c>
      <c r="G4" s="18" t="str">
        <f aca="false">IFERROR(INDEX(종합!G$3:G$501,MATCH(ROW()-2,종합!$AB$3:$AB$501,0))&amp;"","")</f>
        <v>중소기업</v>
      </c>
      <c r="H4" s="21" t="str">
        <f aca="false">IFERROR(INDEX(종합!H$3:H$501,MATCH(ROW()-2,종합!$AB$3:$AB$501,0))&amp;"","")</f>
        <v>616-81-92018</v>
      </c>
      <c r="I4" s="21" t="str">
        <f aca="false">IFERROR(INDEX(종합!I$3:I$501,MATCH(ROW()-2,종합!$AB$3:$AB$501,0))&amp;"","")</f>
        <v>김형수</v>
      </c>
      <c r="J4" s="21" t="str">
        <f aca="false">IFERROR(INDEX(종합!J$3:J$501,MATCH(ROW()-2,종합!$AB$3:$AB$501,0))&amp;"","")</f>
        <v>064-727-9106</v>
      </c>
      <c r="K4" s="21" t="str">
        <f aca="false">IFERROR(INDEX(종합!K$3:K$501,MATCH(ROW()-2,종합!$AB$3:$AB$501,0))&amp;"","")</f>
        <v>https://www.globit.co.kr/</v>
      </c>
      <c r="L4" s="21" t="str">
        <f aca="false">IFERROR(INDEX(종합!L$3:L$501,MATCH(ROW()-2,종합!$AB$3:$AB$501,0))&amp;"","")</f>
        <v>ekstasis00@gmail.com</v>
      </c>
      <c r="M4" s="21" t="str">
        <f aca="false">IFERROR(INDEX(종합!M$3:M$501,MATCH(ROW()-2,종합!$AB$3:$AB$501,0))&amp;"","")</f>
        <v>제주특별자치도 제주시 중앙로 175, 3층</v>
      </c>
      <c r="N4" s="25" t="str">
        <f aca="false">IFERROR(INDEX(종합!N$3:N$501,MATCH(ROW()-2,종합!$AB$3:$AB$501,0))&amp;"","")</f>
        <v>AI 지능형 스마트양식 플랫폼</v>
      </c>
      <c r="O4" s="21" t="str">
        <f aca="false">IFERROR(INDEX(종합!O$3:O$501,MATCH(ROW()-2,종합!$AB$3:$AB$501,0))&amp;"","")</f>
        <v>김형수</v>
      </c>
      <c r="P4" s="21" t="str">
        <f aca="false">IFERROR(INDEX(종합!P$3:P$501,MATCH(ROW()-2,종합!$AB$3:$AB$501,0))&amp;"","")</f>
        <v>CEO</v>
      </c>
      <c r="Q4" s="21" t="str">
        <f aca="false">IFERROR(INDEX(종합!Q$3:Q$501,MATCH(ROW()-2,종합!$AB$3:$AB$501,0))&amp;"","")</f>
        <v>대표이사</v>
      </c>
      <c r="R4" s="21" t="str">
        <f aca="false">IFERROR(INDEX(종합!R$3:R$501,MATCH(ROW()-2,종합!$AB$3:$AB$501,0))&amp;"","")</f>
        <v>064-727-9106</v>
      </c>
      <c r="S4" s="21" t="str">
        <f aca="false">IFERROR(INDEX(종합!S$3:S$501,MATCH(ROW()-2,종합!$AB$3:$AB$501,0))&amp;"","")</f>
        <v>hskim@gbit.kr</v>
      </c>
      <c r="T4" s="21" t="str">
        <f aca="false">IFERROR(INDEX(종합!T$3:T$501,MATCH(ROW()-2,종합!$AB$3:$AB$501,0))&amp;"","")</f>
        <v>010-8713-9872</v>
      </c>
      <c r="U4" s="21" t="str">
        <f aca="false">IFERROR(INDEX(종합!U$3:U$501,MATCH(ROW()-2,종합!$AB$3:$AB$501,0))&amp;"","")</f>
        <v>지동우</v>
      </c>
      <c r="V4" s="21" t="str">
        <f aca="false">IFERROR(INDEX(종합!V$3:V$501,MATCH(ROW()-2,종합!$AB$3:$AB$501,0))&amp;"","")</f>
        <v>혁신본부</v>
      </c>
      <c r="W4" s="21" t="str">
        <f aca="false">IFERROR(INDEX(종합!W$3:W$501,MATCH(ROW()-2,종합!$AB$3:$AB$501,0))&amp;"","")</f>
        <v>이사/본부장</v>
      </c>
      <c r="X4" s="21" t="str">
        <f aca="false">IFERROR(INDEX(종합!X$3:X$501,MATCH(ROW()-2,종합!$AB$3:$AB$501,0))&amp;"","")</f>
        <v>064-727-9106</v>
      </c>
      <c r="Y4" s="21" t="str">
        <f aca="false">IFERROR(INDEX(종합!Y$3:Y$501,MATCH(ROW()-2,종합!$AB$3:$AB$501,0))&amp;"","")</f>
        <v>dwjee@gbit.kr</v>
      </c>
      <c r="Z4" s="21" t="str">
        <f aca="false">IFERROR(INDEX(종합!Z$3:Z$501,MATCH(ROW()-2,종합!$AB$3:$AB$501,0))&amp;"","")</f>
        <v>010-2981-6386</v>
      </c>
    </row>
    <row r="5" customFormat="false" ht="33.75" hidden="false" customHeight="true" outlineLevel="0" collapsed="false">
      <c r="A5" s="18" t="n">
        <f aca="false">IF(B5="","",ROW()-2)</f>
        <v>3</v>
      </c>
      <c r="B5" s="18" t="str">
        <f aca="false">IFERROR(INDEX(종합!B$3:B$501,MATCH(ROW()-2,종합!$AB$3:$AB$501,0))&amp;"","")</f>
        <v>주식회사 시넥스</v>
      </c>
      <c r="C5" s="18" t="str">
        <f aca="false">IFERROR(INDEX(종합!C$3:C$501,MATCH(ROW()-2,종합!$AB$3:$AB$501,0))&amp;"","")</f>
        <v>O</v>
      </c>
      <c r="D5" s="18" t="str">
        <f aca="false">IFERROR(INDEX(종합!D$3:D$501,MATCH(ROW()-2,종합!$AB$3:$AB$501,0))&amp;"","")</f>
        <v>O</v>
      </c>
      <c r="E5" s="18" t="str">
        <f aca="false">IFERROR(INDEX(종합!E$3:E$501,MATCH(ROW()-2,종합!$AB$3:$AB$501,0))&amp;"","")</f>
        <v>O</v>
      </c>
      <c r="F5" s="18" t="str">
        <f aca="false">IFERROR(INDEX(종합!F$3:F$501,MATCH(ROW()-2,종합!$AB$3:$AB$501,0))&amp;"","")</f>
        <v/>
      </c>
      <c r="G5" s="18" t="str">
        <f aca="false">IFERROR(INDEX(종합!G$3:G$501,MATCH(ROW()-2,종합!$AB$3:$AB$501,0))&amp;"","")</f>
        <v>중소기업</v>
      </c>
      <c r="H5" s="21" t="str">
        <f aca="false">IFERROR(INDEX(종합!H$3:H$501,MATCH(ROW()-2,종합!$AB$3:$AB$501,0))&amp;"","")</f>
        <v>744-87-03807</v>
      </c>
      <c r="I5" s="21" t="str">
        <f aca="false">IFERROR(INDEX(종합!I$3:I$501,MATCH(ROW()-2,종합!$AB$3:$AB$501,0))&amp;"","")</f>
        <v>이대은</v>
      </c>
      <c r="J5" s="21" t="str">
        <f aca="false">IFERROR(INDEX(종합!J$3:J$501,MATCH(ROW()-2,종합!$AB$3:$AB$501,0))&amp;"","")</f>
        <v>010-2450-0854</v>
      </c>
      <c r="K5" s="21" t="str">
        <f aca="false">IFERROR(INDEX(종합!K$3:K$501,MATCH(ROW()-2,종합!$AB$3:$AB$501,0))&amp;"","")</f>
        <v>https://synnex.kr/</v>
      </c>
      <c r="L5" s="21" t="str">
        <f aca="false">IFERROR(INDEX(종합!L$3:L$501,MATCH(ROW()-2,종합!$AB$3:$AB$501,0))&amp;"","")</f>
        <v/>
      </c>
      <c r="M5" s="21" t="str">
        <f aca="false">IFERROR(INDEX(종합!M$3:M$501,MATCH(ROW()-2,종합!$AB$3:$AB$501,0))&amp;"","")</f>
        <v>서울시 강남구 논현로 10길 30, 505-J11호</v>
      </c>
      <c r="N5" s="25" t="str">
        <f aca="false">IFERROR(INDEX(종합!N$3:N$501,MATCH(ROW()-2,종합!$AB$3:$AB$501,0))&amp;"","")</f>
        <v>에듀테크 / AI 교육용 솔루션(AI co-Learner) / 개인 맞춤형 AI 역량강화 솔루션</v>
      </c>
      <c r="O5" s="21" t="str">
        <f aca="false">IFERROR(INDEX(종합!O$3:O$501,MATCH(ROW()-2,종합!$AB$3:$AB$501,0))&amp;"","")</f>
        <v>이대은</v>
      </c>
      <c r="P5" s="21" t="str">
        <f aca="false">IFERROR(INDEX(종합!P$3:P$501,MATCH(ROW()-2,종합!$AB$3:$AB$501,0))&amp;"","")</f>
        <v>임원실</v>
      </c>
      <c r="Q5" s="21" t="str">
        <f aca="false">IFERROR(INDEX(종합!Q$3:Q$501,MATCH(ROW()-2,종합!$AB$3:$AB$501,0))&amp;"","")</f>
        <v>대표이사</v>
      </c>
      <c r="R5" s="21" t="str">
        <f aca="false">IFERROR(INDEX(종합!R$3:R$501,MATCH(ROW()-2,종합!$AB$3:$AB$501,0))&amp;"","")</f>
        <v>010-2450-0854</v>
      </c>
      <c r="S5" s="21" t="str">
        <f aca="false">IFERROR(INDEX(종합!S$3:S$501,MATCH(ROW()-2,종합!$AB$3:$AB$501,0))&amp;"","")</f>
        <v>daeeun.lee@synnex.kr</v>
      </c>
      <c r="T5" s="21" t="str">
        <f aca="false">IFERROR(INDEX(종합!T$3:T$501,MATCH(ROW()-2,종합!$AB$3:$AB$501,0))&amp;"","")</f>
        <v>010-2450-0854</v>
      </c>
      <c r="U5" s="21" t="str">
        <f aca="false">IFERROR(INDEX(종합!U$3:U$501,MATCH(ROW()-2,종합!$AB$3:$AB$501,0))&amp;"","")</f>
        <v>이대은</v>
      </c>
      <c r="V5" s="21" t="str">
        <f aca="false">IFERROR(INDEX(종합!V$3:V$501,MATCH(ROW()-2,종합!$AB$3:$AB$501,0))&amp;"","")</f>
        <v>임원실</v>
      </c>
      <c r="W5" s="21" t="str">
        <f aca="false">IFERROR(INDEX(종합!W$3:W$501,MATCH(ROW()-2,종합!$AB$3:$AB$501,0))&amp;"","")</f>
        <v>대표이사</v>
      </c>
      <c r="X5" s="21" t="str">
        <f aca="false">IFERROR(INDEX(종합!X$3:X$501,MATCH(ROW()-2,종합!$AB$3:$AB$501,0))&amp;"","")</f>
        <v>010-2450-0854</v>
      </c>
      <c r="Y5" s="21" t="str">
        <f aca="false">IFERROR(INDEX(종합!Y$3:Y$501,MATCH(ROW()-2,종합!$AB$3:$AB$501,0))&amp;"","")</f>
        <v>daeeun.lee@synnex.kr</v>
      </c>
      <c r="Z5" s="21" t="str">
        <f aca="false">IFERROR(INDEX(종합!Z$3:Z$501,MATCH(ROW()-2,종합!$AB$3:$AB$501,0))&amp;"","")</f>
        <v>010-2450-0854</v>
      </c>
    </row>
    <row r="6" customFormat="false" ht="114.75" hidden="false" customHeight="true" outlineLevel="0" collapsed="false">
      <c r="A6" s="18" t="n">
        <f aca="false">IF(B6="","",ROW()-2)</f>
        <v>4</v>
      </c>
      <c r="B6" s="18" t="str">
        <f aca="false">IFERROR(INDEX(종합!B$3:B$501,MATCH(ROW()-2,종합!$AB$3:$AB$501,0))&amp;"","")</f>
        <v>(주)디토닉</v>
      </c>
      <c r="C6" s="18" t="str">
        <f aca="false">IFERROR(INDEX(종합!C$3:C$501,MATCH(ROW()-2,종합!$AB$3:$AB$501,0))&amp;"","")</f>
        <v>O</v>
      </c>
      <c r="D6" s="18" t="str">
        <f aca="false">IFERROR(INDEX(종합!D$3:D$501,MATCH(ROW()-2,종합!$AB$3:$AB$501,0))&amp;"","")</f>
        <v>O</v>
      </c>
      <c r="E6" s="18" t="str">
        <f aca="false">IFERROR(INDEX(종합!E$3:E$501,MATCH(ROW()-2,종합!$AB$3:$AB$501,0))&amp;"","")</f>
        <v/>
      </c>
      <c r="F6" s="18" t="str">
        <f aca="false">IFERROR(INDEX(종합!F$3:F$501,MATCH(ROW()-2,종합!$AB$3:$AB$501,0))&amp;"","")</f>
        <v/>
      </c>
      <c r="G6" s="18" t="str">
        <f aca="false">IFERROR(INDEX(종합!G$3:G$501,MATCH(ROW()-2,종합!$AB$3:$AB$501,0))&amp;"","")</f>
        <v>중소기업</v>
      </c>
      <c r="H6" s="21" t="str">
        <f aca="false">IFERROR(INDEX(종합!H$3:H$501,MATCH(ROW()-2,종합!$AB$3:$AB$501,0))&amp;"","")</f>
        <v>264-81-37380</v>
      </c>
      <c r="I6" s="21" t="str">
        <f aca="false">IFERROR(INDEX(종합!I$3:I$501,MATCH(ROW()-2,종합!$AB$3:$AB$501,0))&amp;"","")</f>
        <v>전용주</v>
      </c>
      <c r="J6" s="21" t="str">
        <f aca="false">IFERROR(INDEX(종합!J$3:J$501,MATCH(ROW()-2,종합!$AB$3:$AB$501,0))&amp;"","")</f>
        <v>031-689-4770</v>
      </c>
      <c r="K6" s="21" t="str">
        <f aca="false">IFERROR(INDEX(종합!K$3:K$501,MATCH(ROW()-2,종합!$AB$3:$AB$501,0))&amp;"","")</f>
        <v>www.dtonic.io</v>
      </c>
      <c r="L6" s="21" t="str">
        <f aca="false">IFERROR(INDEX(종합!L$3:L$501,MATCH(ROW()-2,종합!$AB$3:$AB$501,0))&amp;"","")</f>
        <v>richard@dtonic.io</v>
      </c>
      <c r="M6" s="21" t="str">
        <f aca="false">IFERROR(INDEX(종합!M$3:M$501,MATCH(ROW()-2,종합!$AB$3:$AB$501,0))&amp;"","")</f>
        <v>경기도 성남시 분당구 서현로 200, 7층(서현동, 에스디바이오센서주식회사 분당빌딩)</v>
      </c>
      <c r="N6" s="25" t="str">
        <f aca="false">IFERROR(INDEX(종합!N$3:N$501,MATCH(ROW()-2,종합!$AB$3:$AB$501,0))&amp;"","")</f>
        <v>D.Hub : 다양한 도메인의 데이터를 수집 및 체계적으로 관리하며 요구되는 스마트 융합 응용 서비스에 전달하는
디지털 전환(DX) 실현이 가능한 핵심 플랫폼
D.Eview : AI/데이터 전환(AX/DX)을 희망하는 고객사들을 위해 ESL Display 및 기능을 활용하여 지능형 서비스를 제공하는 D.Eview
D.Edge : 다양한 도메인에서 발생하는 대용량 데이터를 현장에서 수집·분석하여 실시간 분석 서비스를 가능케하는 D.Edge 엣지 컴퓨팅 기반 AIoT 플랫폼</v>
      </c>
      <c r="O6" s="21" t="str">
        <f aca="false">IFERROR(INDEX(종합!O$3:O$501,MATCH(ROW()-2,종합!$AB$3:$AB$501,0))&amp;"","")</f>
        <v>김선영</v>
      </c>
      <c r="P6" s="21" t="str">
        <f aca="false">IFERROR(INDEX(종합!P$3:P$501,MATCH(ROW()-2,종합!$AB$3:$AB$501,0))&amp;"","")</f>
        <v>국방사업개발</v>
      </c>
      <c r="Q6" s="21" t="str">
        <f aca="false">IFERROR(INDEX(종합!Q$3:Q$501,MATCH(ROW()-2,종합!$AB$3:$AB$501,0))&amp;"","")</f>
        <v>이사</v>
      </c>
      <c r="R6" s="21" t="str">
        <f aca="false">IFERROR(INDEX(종합!R$3:R$501,MATCH(ROW()-2,종합!$AB$3:$AB$501,0))&amp;"","")</f>
        <v>031-689-4770</v>
      </c>
      <c r="S6" s="21" t="str">
        <f aca="false">IFERROR(INDEX(종합!S$3:S$501,MATCH(ROW()-2,종합!$AB$3:$AB$501,0))&amp;"","")</f>
        <v>nandakim@dtonic.io</v>
      </c>
      <c r="T6" s="21" t="str">
        <f aca="false">IFERROR(INDEX(종합!T$3:T$501,MATCH(ROW()-2,종합!$AB$3:$AB$501,0))&amp;"","")</f>
        <v>010-5819-6781</v>
      </c>
      <c r="U6" s="21" t="str">
        <f aca="false">IFERROR(INDEX(종합!U$3:U$501,MATCH(ROW()-2,종합!$AB$3:$AB$501,0))&amp;"","")</f>
        <v>유원주</v>
      </c>
      <c r="V6" s="21" t="str">
        <f aca="false">IFERROR(INDEX(종합!V$3:V$501,MATCH(ROW()-2,종합!$AB$3:$AB$501,0))&amp;"","")</f>
        <v>기술총괄</v>
      </c>
      <c r="W6" s="21" t="str">
        <f aca="false">IFERROR(INDEX(종합!W$3:W$501,MATCH(ROW()-2,종합!$AB$3:$AB$501,0))&amp;"","")</f>
        <v>이사</v>
      </c>
      <c r="X6" s="21" t="str">
        <f aca="false">IFERROR(INDEX(종합!X$3:X$501,MATCH(ROW()-2,종합!$AB$3:$AB$501,0))&amp;"","")</f>
        <v>031-689-4770</v>
      </c>
      <c r="Y6" s="21" t="str">
        <f aca="false">IFERROR(INDEX(종합!Y$3:Y$501,MATCH(ROW()-2,종합!$AB$3:$AB$501,0))&amp;"","")</f>
        <v>wonzoo.you@dtonic.io</v>
      </c>
      <c r="Z6" s="21" t="str">
        <f aca="false">IFERROR(INDEX(종합!Z$3:Z$501,MATCH(ROW()-2,종합!$AB$3:$AB$501,0))&amp;"","")</f>
        <v>010-8990-6844</v>
      </c>
    </row>
    <row r="7" customFormat="false" ht="22.5" hidden="false" customHeight="true" outlineLevel="0" collapsed="false">
      <c r="A7" s="18" t="n">
        <f aca="false">IF(B7="","",ROW()-2)</f>
        <v>5</v>
      </c>
      <c r="B7" s="18" t="str">
        <f aca="false">IFERROR(INDEX(종합!B$3:B$501,MATCH(ROW()-2,종합!$AB$3:$AB$501,0))&amp;"","")</f>
        <v>(주) 에이아이웍스</v>
      </c>
      <c r="C7" s="18" t="str">
        <f aca="false">IFERROR(INDEX(종합!C$3:C$501,MATCH(ROW()-2,종합!$AB$3:$AB$501,0))&amp;"","")</f>
        <v>O</v>
      </c>
      <c r="D7" s="18" t="str">
        <f aca="false">IFERROR(INDEX(종합!D$3:D$501,MATCH(ROW()-2,종합!$AB$3:$AB$501,0))&amp;"","")</f>
        <v>O</v>
      </c>
      <c r="E7" s="18" t="str">
        <f aca="false">IFERROR(INDEX(종합!E$3:E$501,MATCH(ROW()-2,종합!$AB$3:$AB$501,0))&amp;"","")</f>
        <v>O</v>
      </c>
      <c r="F7" s="18" t="str">
        <f aca="false">IFERROR(INDEX(종합!F$3:F$501,MATCH(ROW()-2,종합!$AB$3:$AB$501,0))&amp;"","")</f>
        <v>O</v>
      </c>
      <c r="G7" s="18" t="str">
        <f aca="false">IFERROR(INDEX(종합!G$3:G$501,MATCH(ROW()-2,종합!$AB$3:$AB$501,0))&amp;"","")</f>
        <v>중소기업</v>
      </c>
      <c r="H7" s="21" t="str">
        <f aca="false">IFERROR(INDEX(종합!H$3:H$501,MATCH(ROW()-2,종합!$AB$3:$AB$501,0))&amp;"","")</f>
        <v>517-88-00087</v>
      </c>
      <c r="I7" s="21" t="str">
        <f aca="false">IFERROR(INDEX(종합!I$3:I$501,MATCH(ROW()-2,종합!$AB$3:$AB$501,0))&amp;"","")</f>
        <v>윤석원</v>
      </c>
      <c r="J7" s="21" t="str">
        <f aca="false">IFERROR(INDEX(종합!J$3:J$501,MATCH(ROW()-2,종합!$AB$3:$AB$501,0))&amp;"","")</f>
        <v>02-423-5178</v>
      </c>
      <c r="K7" s="21" t="str">
        <f aca="false">IFERROR(INDEX(종합!K$3:K$501,MATCH(ROW()-2,종합!$AB$3:$AB$501,0))&amp;"","")</f>
        <v>https://aiworkx.ai/</v>
      </c>
      <c r="L7" s="21" t="str">
        <f aca="false">IFERROR(INDEX(종합!L$3:L$501,MATCH(ROW()-2,종합!$AB$3:$AB$501,0))&amp;"","")</f>
        <v>fireashedsoul@gmail.com</v>
      </c>
      <c r="M7" s="21" t="str">
        <f aca="false">IFERROR(INDEX(종합!M$3:M$501,MATCH(ROW()-2,종합!$AB$3:$AB$501,0))&amp;"","")</f>
        <v>경기도 화성시 삼성1로5길 6, 813호·814호 (석우동, 원희동탄캐슬)</v>
      </c>
      <c r="N7" s="25" t="str">
        <f aca="false">IFERROR(INDEX(종합!N$3:N$501,MATCH(ROW()-2,종합!$AB$3:$AB$501,0))&amp;"","")</f>
        <v>AI Agent 개발 및 검증 서비스</v>
      </c>
      <c r="O7" s="21" t="str">
        <f aca="false">IFERROR(INDEX(종합!O$3:O$501,MATCH(ROW()-2,종합!$AB$3:$AB$501,0))&amp;"","")</f>
        <v>김형복</v>
      </c>
      <c r="P7" s="21" t="str">
        <f aca="false">IFERROR(INDEX(종합!P$3:P$501,MATCH(ROW()-2,종합!$AB$3:$AB$501,0))&amp;"","")</f>
        <v>AI 개발본부</v>
      </c>
      <c r="Q7" s="21" t="str">
        <f aca="false">IFERROR(INDEX(종합!Q$3:Q$501,MATCH(ROW()-2,종합!$AB$3:$AB$501,0))&amp;"","")</f>
        <v>이사 / 본부장</v>
      </c>
      <c r="R7" s="21" t="str">
        <f aca="false">IFERROR(INDEX(종합!R$3:R$501,MATCH(ROW()-2,종합!$AB$3:$AB$501,0))&amp;"","")</f>
        <v>02-423-5178</v>
      </c>
      <c r="S7" s="21" t="str">
        <f aca="false">IFERROR(INDEX(종합!S$3:S$501,MATCH(ROW()-2,종합!$AB$3:$AB$501,0))&amp;"","")</f>
        <v>kimhyeongbok@aiworkx.ai</v>
      </c>
      <c r="T7" s="21" t="str">
        <f aca="false">IFERROR(INDEX(종합!T$3:T$501,MATCH(ROW()-2,종합!$AB$3:$AB$501,0))&amp;"","")</f>
        <v>010-9102-8135</v>
      </c>
      <c r="U7" s="21" t="str">
        <f aca="false">IFERROR(INDEX(종합!U$3:U$501,MATCH(ROW()-2,종합!$AB$3:$AB$501,0))&amp;"","")</f>
        <v>안상훈</v>
      </c>
      <c r="V7" s="21" t="str">
        <f aca="false">IFERROR(INDEX(종합!V$3:V$501,MATCH(ROW()-2,종합!$AB$3:$AB$501,0))&amp;"","")</f>
        <v>AI 개발본부</v>
      </c>
      <c r="W7" s="21" t="str">
        <f aca="false">IFERROR(INDEX(종합!W$3:W$501,MATCH(ROW()-2,종합!$AB$3:$AB$501,0))&amp;"","")</f>
        <v>책임연구원 / 팀장</v>
      </c>
      <c r="X7" s="21" t="str">
        <f aca="false">IFERROR(INDEX(종합!X$3:X$501,MATCH(ROW()-2,종합!$AB$3:$AB$501,0))&amp;"","")</f>
        <v>02-423-5178</v>
      </c>
      <c r="Y7" s="21" t="str">
        <f aca="false">IFERROR(INDEX(종합!Y$3:Y$501,MATCH(ROW()-2,종합!$AB$3:$AB$501,0))&amp;"","")</f>
        <v>shahn@aiworkx.ai</v>
      </c>
      <c r="Z7" s="21" t="str">
        <f aca="false">IFERROR(INDEX(종합!Z$3:Z$501,MATCH(ROW()-2,종합!$AB$3:$AB$501,0))&amp;"","")</f>
        <v>010-4720-7721</v>
      </c>
    </row>
    <row r="8" customFormat="false" ht="22.5" hidden="false" customHeight="true" outlineLevel="0" collapsed="false">
      <c r="A8" s="18" t="n">
        <f aca="false">IF(B8="","",ROW()-2)</f>
        <v>6</v>
      </c>
      <c r="B8" s="18" t="str">
        <f aca="false">IFERROR(INDEX(종합!B$3:B$501,MATCH(ROW()-2,종합!$AB$3:$AB$501,0))&amp;"","")</f>
        <v>알서포트 주식회사</v>
      </c>
      <c r="C8" s="18" t="str">
        <f aca="false">IFERROR(INDEX(종합!C$3:C$501,MATCH(ROW()-2,종합!$AB$3:$AB$501,0))&amp;"","")</f>
        <v>O</v>
      </c>
      <c r="D8" s="18" t="str">
        <f aca="false">IFERROR(INDEX(종합!D$3:D$501,MATCH(ROW()-2,종합!$AB$3:$AB$501,0))&amp;"","")</f>
        <v>O</v>
      </c>
      <c r="E8" s="18" t="str">
        <f aca="false">IFERROR(INDEX(종합!E$3:E$501,MATCH(ROW()-2,종합!$AB$3:$AB$501,0))&amp;"","")</f>
        <v>O</v>
      </c>
      <c r="F8" s="18" t="str">
        <f aca="false">IFERROR(INDEX(종합!F$3:F$501,MATCH(ROW()-2,종합!$AB$3:$AB$501,0))&amp;"","")</f>
        <v>O</v>
      </c>
      <c r="G8" s="18" t="str">
        <f aca="false">IFERROR(INDEX(종합!G$3:G$501,MATCH(ROW()-2,종합!$AB$3:$AB$501,0))&amp;"","")</f>
        <v>중소기업</v>
      </c>
      <c r="H8" s="21" t="str">
        <f aca="false">IFERROR(INDEX(종합!H$3:H$501,MATCH(ROW()-2,종합!$AB$3:$AB$501,0))&amp;"","")</f>
        <v>114-86-82265</v>
      </c>
      <c r="I8" s="21" t="str">
        <f aca="false">IFERROR(INDEX(종합!I$3:I$501,MATCH(ROW()-2,종합!$AB$3:$AB$501,0))&amp;"","")</f>
        <v>서형수</v>
      </c>
      <c r="J8" s="21" t="str">
        <f aca="false">IFERROR(INDEX(종합!J$3:J$501,MATCH(ROW()-2,종합!$AB$3:$AB$501,0))&amp;"","")</f>
        <v>070-7011-3900</v>
      </c>
      <c r="K8" s="21" t="str">
        <f aca="false">IFERROR(INDEX(종합!K$3:K$501,MATCH(ROW()-2,종합!$AB$3:$AB$501,0))&amp;"","")</f>
        <v>https://www.rsupport.com/ko-kr/</v>
      </c>
      <c r="L8" s="21" t="str">
        <f aca="false">IFERROR(INDEX(종합!L$3:L$501,MATCH(ROW()-2,종합!$AB$3:$AB$501,0))&amp;"","")</f>
        <v>donghyung.shin@gmail.com</v>
      </c>
      <c r="M8" s="21" t="str">
        <f aca="false">IFERROR(INDEX(종합!M$3:M$501,MATCH(ROW()-2,종합!$AB$3:$AB$501,0))&amp;"","")</f>
        <v>서울특별시 강동구 고덕비즈밸리로2가길 12 (고덕동)</v>
      </c>
      <c r="N8" s="25" t="str">
        <f aca="false">IFERROR(INDEX(종합!N$3:N$501,MATCH(ROW()-2,종합!$AB$3:$AB$501,0))&amp;"","")</f>
        <v>AI 리포(AI:REPOTO) 및 AI Agents</v>
      </c>
      <c r="O8" s="21" t="str">
        <f aca="false">IFERROR(INDEX(종합!O$3:O$501,MATCH(ROW()-2,종합!$AB$3:$AB$501,0))&amp;"","")</f>
        <v>신동형</v>
      </c>
      <c r="P8" s="21" t="str">
        <f aca="false">IFERROR(INDEX(종합!P$3:P$501,MATCH(ROW()-2,종합!$AB$3:$AB$501,0))&amp;"","")</f>
        <v>전략기획팀</v>
      </c>
      <c r="Q8" s="21" t="str">
        <f aca="false">IFERROR(INDEX(종합!Q$3:Q$501,MATCH(ROW()-2,종합!$AB$3:$AB$501,0))&amp;"","")</f>
        <v>CSO</v>
      </c>
      <c r="R8" s="21" t="str">
        <f aca="false">IFERROR(INDEX(종합!R$3:R$501,MATCH(ROW()-2,종합!$AB$3:$AB$501,0))&amp;"","")</f>
        <v>010-2202-8761</v>
      </c>
      <c r="S8" s="21" t="str">
        <f aca="false">IFERROR(INDEX(종합!S$3:S$501,MATCH(ROW()-2,종합!$AB$3:$AB$501,0))&amp;"","")</f>
        <v>dhshin@rsupport.com</v>
      </c>
      <c r="T8" s="21" t="str">
        <f aca="false">IFERROR(INDEX(종합!T$3:T$501,MATCH(ROW()-2,종합!$AB$3:$AB$501,0))&amp;"","")</f>
        <v>010-2202-8761</v>
      </c>
      <c r="U8" s="21" t="str">
        <f aca="false">IFERROR(INDEX(종합!U$3:U$501,MATCH(ROW()-2,종합!$AB$3:$AB$501,0))&amp;"","")</f>
        <v>하승호</v>
      </c>
      <c r="V8" s="21" t="str">
        <f aca="false">IFERROR(INDEX(종합!V$3:V$501,MATCH(ROW()-2,종합!$AB$3:$AB$501,0))&amp;"","")</f>
        <v>연구기획팀</v>
      </c>
      <c r="W8" s="21" t="str">
        <f aca="false">IFERROR(INDEX(종합!W$3:W$501,MATCH(ROW()-2,종합!$AB$3:$AB$501,0))&amp;"","")</f>
        <v>책임</v>
      </c>
      <c r="X8" s="21" t="str">
        <f aca="false">IFERROR(INDEX(종합!X$3:X$501,MATCH(ROW()-2,종합!$AB$3:$AB$501,0))&amp;"","")</f>
        <v>010-4142-1220</v>
      </c>
      <c r="Y8" s="21" t="str">
        <f aca="false">IFERROR(INDEX(종합!Y$3:Y$501,MATCH(ROW()-2,종합!$AB$3:$AB$501,0))&amp;"","")</f>
        <v>shha@rsupport.com</v>
      </c>
      <c r="Z8" s="21" t="str">
        <f aca="false">IFERROR(INDEX(종합!Z$3:Z$501,MATCH(ROW()-2,종합!$AB$3:$AB$501,0))&amp;"","")</f>
        <v>010-4142-1220</v>
      </c>
    </row>
    <row r="9" customFormat="false" ht="22.5" hidden="false" customHeight="true" outlineLevel="0" collapsed="false">
      <c r="A9" s="18" t="n">
        <f aca="false">IF(B9="","",ROW()-2)</f>
        <v>7</v>
      </c>
      <c r="B9" s="18" t="str">
        <f aca="false">IFERROR(INDEX(종합!B$3:B$501,MATCH(ROW()-2,종합!$AB$3:$AB$501,0))&amp;"","")</f>
        <v>디밀리언</v>
      </c>
      <c r="C9" s="18" t="str">
        <f aca="false">IFERROR(INDEX(종합!C$3:C$501,MATCH(ROW()-2,종합!$AB$3:$AB$501,0))&amp;"","")</f>
        <v>O</v>
      </c>
      <c r="D9" s="18" t="str">
        <f aca="false">IFERROR(INDEX(종합!D$3:D$501,MATCH(ROW()-2,종합!$AB$3:$AB$501,0))&amp;"","")</f>
        <v>O</v>
      </c>
      <c r="E9" s="18" t="str">
        <f aca="false">IFERROR(INDEX(종합!E$3:E$501,MATCH(ROW()-2,종합!$AB$3:$AB$501,0))&amp;"","")</f>
        <v>O</v>
      </c>
      <c r="F9" s="18" t="str">
        <f aca="false">IFERROR(INDEX(종합!F$3:F$501,MATCH(ROW()-2,종합!$AB$3:$AB$501,0))&amp;"","")</f>
        <v/>
      </c>
      <c r="G9" s="18" t="str">
        <f aca="false">IFERROR(INDEX(종합!G$3:G$501,MATCH(ROW()-2,종합!$AB$3:$AB$501,0))&amp;"","")</f>
        <v>중소기업</v>
      </c>
      <c r="H9" s="21" t="str">
        <f aca="false">IFERROR(INDEX(종합!H$3:H$501,MATCH(ROW()-2,종합!$AB$3:$AB$501,0))&amp;"","")</f>
        <v>704-87-02815</v>
      </c>
      <c r="I9" s="21" t="str">
        <f aca="false">IFERROR(INDEX(종합!I$3:I$501,MATCH(ROW()-2,종합!$AB$3:$AB$501,0))&amp;"","")</f>
        <v>한요한</v>
      </c>
      <c r="J9" s="21" t="str">
        <f aca="false">IFERROR(INDEX(종합!J$3:J$501,MATCH(ROW()-2,종합!$AB$3:$AB$501,0))&amp;"","")</f>
        <v>02-6914-6560</v>
      </c>
      <c r="K9" s="21" t="str">
        <f aca="false">IFERROR(INDEX(종합!K$3:K$501,MATCH(ROW()-2,종합!$AB$3:$AB$501,0))&amp;"","")</f>
        <v>www.dmillion.co.kr</v>
      </c>
      <c r="L9" s="21" t="str">
        <f aca="false">IFERROR(INDEX(종합!L$3:L$501,MATCH(ROW()-2,종합!$AB$3:$AB$501,0))&amp;"","")</f>
        <v>john@dmillions.co.kr</v>
      </c>
      <c r="M9" s="21" t="str">
        <f aca="false">IFERROR(INDEX(종합!M$3:M$501,MATCH(ROW()-2,종합!$AB$3:$AB$501,0))&amp;"","")</f>
        <v>경기도 광명시 일직로 43, GIDC A동 1612, 1613호</v>
      </c>
      <c r="N9" s="25" t="str">
        <f aca="false">IFERROR(INDEX(종합!N$3:N$501,MATCH(ROW()-2,종합!$AB$3:$AB$501,0))&amp;"","")</f>
        <v>사출성형공정 특화 AI Agent 자율운영솔루션</v>
      </c>
      <c r="O9" s="21" t="str">
        <f aca="false">IFERROR(INDEX(종합!O$3:O$501,MATCH(ROW()-2,종합!$AB$3:$AB$501,0))&amp;"","")</f>
        <v>한요한</v>
      </c>
      <c r="P9" s="21" t="str">
        <f aca="false">IFERROR(INDEX(종합!P$3:P$501,MATCH(ROW()-2,종합!$AB$3:$AB$501,0))&amp;"","")</f>
        <v>경영본부</v>
      </c>
      <c r="Q9" s="21" t="str">
        <f aca="false">IFERROR(INDEX(종합!Q$3:Q$501,MATCH(ROW()-2,종합!$AB$3:$AB$501,0))&amp;"","")</f>
        <v>대표이사</v>
      </c>
      <c r="R9" s="21" t="str">
        <f aca="false">IFERROR(INDEX(종합!R$3:R$501,MATCH(ROW()-2,종합!$AB$3:$AB$501,0))&amp;"","")</f>
        <v>010-5514-4279</v>
      </c>
      <c r="S9" s="21" t="str">
        <f aca="false">IFERROR(INDEX(종합!S$3:S$501,MATCH(ROW()-2,종합!$AB$3:$AB$501,0))&amp;"","")</f>
        <v>john@dmillions.co.kr</v>
      </c>
      <c r="T9" s="21" t="str">
        <f aca="false">IFERROR(INDEX(종합!T$3:T$501,MATCH(ROW()-2,종합!$AB$3:$AB$501,0))&amp;"","")</f>
        <v>010-5514-4279</v>
      </c>
      <c r="U9" s="21" t="str">
        <f aca="false">IFERROR(INDEX(종합!U$3:U$501,MATCH(ROW()-2,종합!$AB$3:$AB$501,0))&amp;"","")</f>
        <v>김웅섭</v>
      </c>
      <c r="V9" s="21" t="str">
        <f aca="false">IFERROR(INDEX(종합!V$3:V$501,MATCH(ROW()-2,종합!$AB$3:$AB$501,0))&amp;"","")</f>
        <v>AX사업본부</v>
      </c>
      <c r="W9" s="21" t="str">
        <f aca="false">IFERROR(INDEX(종합!W$3:W$501,MATCH(ROW()-2,종합!$AB$3:$AB$501,0))&amp;"","")</f>
        <v>이사</v>
      </c>
      <c r="X9" s="21" t="str">
        <f aca="false">IFERROR(INDEX(종합!X$3:X$501,MATCH(ROW()-2,종합!$AB$3:$AB$501,0))&amp;"","")</f>
        <v>02-6914-6560</v>
      </c>
      <c r="Y9" s="21" t="str">
        <f aca="false">IFERROR(INDEX(종합!Y$3:Y$501,MATCH(ROW()-2,종합!$AB$3:$AB$501,0))&amp;"","")</f>
        <v>uskim@dmillions.co.kr</v>
      </c>
      <c r="Z9" s="21" t="str">
        <f aca="false">IFERROR(INDEX(종합!Z$3:Z$501,MATCH(ROW()-2,종합!$AB$3:$AB$501,0))&amp;"","")</f>
        <v>010-2375-9958</v>
      </c>
    </row>
    <row r="10" customFormat="false" ht="22.5" hidden="false" customHeight="true" outlineLevel="0" collapsed="false">
      <c r="A10" s="18" t="n">
        <f aca="false">IF(B10="","",ROW()-2)</f>
        <v>8</v>
      </c>
      <c r="B10" s="18" t="str">
        <f aca="false">IFERROR(INDEX(종합!B$3:B$501,MATCH(ROW()-2,종합!$AB$3:$AB$501,0))&amp;"","")</f>
        <v>(주)오토마타</v>
      </c>
      <c r="C10" s="18" t="str">
        <f aca="false">IFERROR(INDEX(종합!C$3:C$501,MATCH(ROW()-2,종합!$AB$3:$AB$501,0))&amp;"","")</f>
        <v>O</v>
      </c>
      <c r="D10" s="18" t="str">
        <f aca="false">IFERROR(INDEX(종합!D$3:D$501,MATCH(ROW()-2,종합!$AB$3:$AB$501,0))&amp;"","")</f>
        <v/>
      </c>
      <c r="E10" s="18" t="str">
        <f aca="false">IFERROR(INDEX(종합!E$3:E$501,MATCH(ROW()-2,종합!$AB$3:$AB$501,0))&amp;"","")</f>
        <v/>
      </c>
      <c r="F10" s="18" t="str">
        <f aca="false">IFERROR(INDEX(종합!F$3:F$501,MATCH(ROW()-2,종합!$AB$3:$AB$501,0))&amp;"","")</f>
        <v/>
      </c>
      <c r="G10" s="18" t="str">
        <f aca="false">IFERROR(INDEX(종합!G$3:G$501,MATCH(ROW()-2,종합!$AB$3:$AB$501,0))&amp;"","")</f>
        <v>중소기업</v>
      </c>
      <c r="H10" s="21" t="str">
        <f aca="false">IFERROR(INDEX(종합!H$3:H$501,MATCH(ROW()-2,종합!$AB$3:$AB$501,0))&amp;"","")</f>
        <v>590-88-00990</v>
      </c>
      <c r="I10" s="21" t="str">
        <f aca="false">IFERROR(INDEX(종합!I$3:I$501,MATCH(ROW()-2,종합!$AB$3:$AB$501,0))&amp;"","")</f>
        <v>이민규</v>
      </c>
      <c r="J10" s="21" t="str">
        <f aca="false">IFERROR(INDEX(종합!J$3:J$501,MATCH(ROW()-2,종합!$AB$3:$AB$501,0))&amp;"","")</f>
        <v>010-9517-1322</v>
      </c>
      <c r="K10" s="21" t="str">
        <f aca="false">IFERROR(INDEX(종합!K$3:K$501,MATCH(ROW()-2,종합!$AB$3:$AB$501,0))&amp;"","")</f>
        <v>www.automata.ooo</v>
      </c>
      <c r="L10" s="21" t="str">
        <f aca="false">IFERROR(INDEX(종합!L$3:L$501,MATCH(ROW()-2,종합!$AB$3:$AB$501,0))&amp;"","")</f>
        <v>jakelee4096@gmail.com</v>
      </c>
      <c r="M10" s="21" t="str">
        <f aca="false">IFERROR(INDEX(종합!M$3:M$501,MATCH(ROW()-2,종합!$AB$3:$AB$501,0))&amp;"","")</f>
        <v>서울특별시 강남구 테헤란로7길 22 (역삼동) 한국과학기술회관 2관 9층 914호</v>
      </c>
      <c r="N10" s="25" t="str">
        <f aca="false">IFERROR(INDEX(종합!N$3:N$501,MATCH(ROW()-2,종합!$AB$3:$AB$501,0))&amp;"","")</f>
        <v>AI-SDLC Agent Workflow  (Zenith EX)</v>
      </c>
      <c r="O10" s="21" t="str">
        <f aca="false">IFERROR(INDEX(종합!O$3:O$501,MATCH(ROW()-2,종합!$AB$3:$AB$501,0))&amp;"","")</f>
        <v>이민규</v>
      </c>
      <c r="P10" s="21" t="str">
        <f aca="false">IFERROR(INDEX(종합!P$3:P$501,MATCH(ROW()-2,종합!$AB$3:$AB$501,0))&amp;"","")</f>
        <v>CEO</v>
      </c>
      <c r="Q10" s="21" t="str">
        <f aca="false">IFERROR(INDEX(종합!Q$3:Q$501,MATCH(ROW()-2,종합!$AB$3:$AB$501,0))&amp;"","")</f>
        <v>대표이사</v>
      </c>
      <c r="R10" s="21" t="str">
        <f aca="false">IFERROR(INDEX(종합!R$3:R$501,MATCH(ROW()-2,종합!$AB$3:$AB$501,0))&amp;"","")</f>
        <v>010-4491-8810</v>
      </c>
      <c r="S10" s="21" t="str">
        <f aca="false">IFERROR(INDEX(종합!S$3:S$501,MATCH(ROW()-2,종합!$AB$3:$AB$501,0))&amp;"","")</f>
        <v>kenneth.lee@automata.ooo</v>
      </c>
      <c r="T10" s="21" t="str">
        <f aca="false">IFERROR(INDEX(종합!T$3:T$501,MATCH(ROW()-2,종합!$AB$3:$AB$501,0))&amp;"","")</f>
        <v>010-4491-8810</v>
      </c>
      <c r="U10" s="21" t="str">
        <f aca="false">IFERROR(INDEX(종합!U$3:U$501,MATCH(ROW()-2,종합!$AB$3:$AB$501,0))&amp;"","")</f>
        <v>이재혁</v>
      </c>
      <c r="V10" s="21" t="str">
        <f aca="false">IFERROR(INDEX(종합!V$3:V$501,MATCH(ROW()-2,종합!$AB$3:$AB$501,0))&amp;"","")</f>
        <v>Operation</v>
      </c>
      <c r="W10" s="21" t="str">
        <f aca="false">IFERROR(INDEX(종합!W$3:W$501,MATCH(ROW()-2,종합!$AB$3:$AB$501,0))&amp;"","")</f>
        <v>수석연구원</v>
      </c>
      <c r="X10" s="21" t="str">
        <f aca="false">IFERROR(INDEX(종합!X$3:X$501,MATCH(ROW()-2,종합!$AB$3:$AB$501,0))&amp;"","")</f>
        <v>010-9517-1322</v>
      </c>
      <c r="Y10" s="21" t="str">
        <f aca="false">IFERROR(INDEX(종합!Y$3:Y$501,MATCH(ROW()-2,종합!$AB$3:$AB$501,0))&amp;"","")</f>
        <v>jake.lee@automata.ooo</v>
      </c>
      <c r="Z10" s="21" t="str">
        <f aca="false">IFERROR(INDEX(종합!Z$3:Z$501,MATCH(ROW()-2,종합!$AB$3:$AB$501,0))&amp;"","")</f>
        <v>010-9517-1322</v>
      </c>
    </row>
    <row r="11" customFormat="false" ht="22.5" hidden="false" customHeight="true" outlineLevel="0" collapsed="false">
      <c r="A11" s="18" t="n">
        <f aca="false">IF(B11="","",ROW()-2)</f>
        <v>9</v>
      </c>
      <c r="B11" s="18" t="str">
        <f aca="false">IFERROR(INDEX(종합!B$3:B$501,MATCH(ROW()-2,종합!$AB$3:$AB$501,0))&amp;"","")</f>
        <v>(주)한국인공지능검증원</v>
      </c>
      <c r="C11" s="18" t="str">
        <f aca="false">IFERROR(INDEX(종합!C$3:C$501,MATCH(ROW()-2,종합!$AB$3:$AB$501,0))&amp;"","")</f>
        <v>O</v>
      </c>
      <c r="D11" s="18" t="str">
        <f aca="false">IFERROR(INDEX(종합!D$3:D$501,MATCH(ROW()-2,종합!$AB$3:$AB$501,0))&amp;"","")</f>
        <v/>
      </c>
      <c r="E11" s="18" t="str">
        <f aca="false">IFERROR(INDEX(종합!E$3:E$501,MATCH(ROW()-2,종합!$AB$3:$AB$501,0))&amp;"","")</f>
        <v/>
      </c>
      <c r="F11" s="18" t="str">
        <f aca="false">IFERROR(INDEX(종합!F$3:F$501,MATCH(ROW()-2,종합!$AB$3:$AB$501,0))&amp;"","")</f>
        <v/>
      </c>
      <c r="G11" s="18" t="str">
        <f aca="false">IFERROR(INDEX(종합!G$3:G$501,MATCH(ROW()-2,종합!$AB$3:$AB$501,0))&amp;"","")</f>
        <v>중소기업</v>
      </c>
      <c r="H11" s="21" t="str">
        <f aca="false">IFERROR(INDEX(종합!H$3:H$501,MATCH(ROW()-2,종합!$AB$3:$AB$501,0))&amp;"","")</f>
        <v>880-81-02140</v>
      </c>
      <c r="I11" s="21" t="str">
        <f aca="false">IFERROR(INDEX(종합!I$3:I$501,MATCH(ROW()-2,종합!$AB$3:$AB$501,0))&amp;"","")</f>
        <v>강문정</v>
      </c>
      <c r="J11" s="21" t="str">
        <f aca="false">IFERROR(INDEX(종합!J$3:J$501,MATCH(ROW()-2,종합!$AB$3:$AB$501,0))&amp;"","")</f>
        <v>02-2135-4264</v>
      </c>
      <c r="K11" s="21" t="str">
        <f aca="false">IFERROR(INDEX(종합!K$3:K$501,MATCH(ROW()-2,종합!$AB$3:$AB$501,0))&amp;"","")</f>
        <v>https://www.aicerti.com</v>
      </c>
      <c r="L11" s="21" t="str">
        <f aca="false">IFERROR(INDEX(종합!L$3:L$501,MATCH(ROW()-2,종합!$AB$3:$AB$501,0))&amp;"","")</f>
        <v>consultant.gang@gmail.com</v>
      </c>
      <c r="M11" s="21" t="str">
        <f aca="false">IFERROR(INDEX(종합!M$3:M$501,MATCH(ROW()-2,종합!$AB$3:$AB$501,0))&amp;"","")</f>
        <v>서울 성동구 왕십리로 58. 서울숲포휴 416호</v>
      </c>
      <c r="N11" s="25" t="str">
        <f aca="false">IFERROR(INDEX(종합!N$3:N$501,MATCH(ROW()-2,종합!$AB$3:$AB$501,0))&amp;"","")</f>
        <v>공인시험기관</v>
      </c>
      <c r="O11" s="21" t="str">
        <f aca="false">IFERROR(INDEX(종합!O$3:O$501,MATCH(ROW()-2,종합!$AB$3:$AB$501,0))&amp;"","")</f>
        <v>강문정</v>
      </c>
      <c r="P11" s="21" t="str">
        <f aca="false">IFERROR(INDEX(종합!P$3:P$501,MATCH(ROW()-2,종합!$AB$3:$AB$501,0))&amp;"","")</f>
        <v>총괄</v>
      </c>
      <c r="Q11" s="21" t="str">
        <f aca="false">IFERROR(INDEX(종합!Q$3:Q$501,MATCH(ROW()-2,종합!$AB$3:$AB$501,0))&amp;"","")</f>
        <v>대표</v>
      </c>
      <c r="R11" s="21" t="str">
        <f aca="false">IFERROR(INDEX(종합!R$3:R$501,MATCH(ROW()-2,종합!$AB$3:$AB$501,0))&amp;"","")</f>
        <v>02-2135-4264</v>
      </c>
      <c r="S11" s="21" t="str">
        <f aca="false">IFERROR(INDEX(종합!S$3:S$501,MATCH(ROW()-2,종합!$AB$3:$AB$501,0))&amp;"","")</f>
        <v>ai@aicerti.com</v>
      </c>
      <c r="T11" s="21" t="str">
        <f aca="false">IFERROR(INDEX(종합!T$3:T$501,MATCH(ROW()-2,종합!$AB$3:$AB$501,0))&amp;"","")</f>
        <v>010-4234-1134</v>
      </c>
      <c r="U11" s="21" t="str">
        <f aca="false">IFERROR(INDEX(종합!U$3:U$501,MATCH(ROW()-2,종합!$AB$3:$AB$501,0))&amp;"","")</f>
        <v>이종현</v>
      </c>
      <c r="V11" s="21" t="str">
        <f aca="false">IFERROR(INDEX(종합!V$3:V$501,MATCH(ROW()-2,종합!$AB$3:$AB$501,0))&amp;"","")</f>
        <v>시험사업부</v>
      </c>
      <c r="W11" s="21" t="str">
        <f aca="false">IFERROR(INDEX(종합!W$3:W$501,MATCH(ROW()-2,종합!$AB$3:$AB$501,0))&amp;"","")</f>
        <v>기술책임</v>
      </c>
      <c r="X11" s="21" t="str">
        <f aca="false">IFERROR(INDEX(종합!X$3:X$501,MATCH(ROW()-2,종합!$AB$3:$AB$501,0))&amp;"","")</f>
        <v>02-2135-4264</v>
      </c>
      <c r="Y11" s="21" t="str">
        <f aca="false">IFERROR(INDEX(종합!Y$3:Y$501,MATCH(ROW()-2,종합!$AB$3:$AB$501,0))&amp;"","")</f>
        <v>jhlee@aicerti.com</v>
      </c>
      <c r="Z11" s="21" t="str">
        <f aca="false">IFERROR(INDEX(종합!Z$3:Z$501,MATCH(ROW()-2,종합!$AB$3:$AB$501,0))&amp;"","")</f>
        <v>010-9557-1287</v>
      </c>
    </row>
    <row r="12" customFormat="false" ht="22.5" hidden="false" customHeight="true" outlineLevel="0" collapsed="false">
      <c r="A12" s="18" t="n">
        <f aca="false">IF(B12="","",ROW()-2)</f>
        <v>10</v>
      </c>
      <c r="B12" s="18" t="str">
        <f aca="false">IFERROR(INDEX(종합!B$3:B$501,MATCH(ROW()-2,종합!$AB$3:$AB$501,0))&amp;"","")</f>
        <v>(주)이지스</v>
      </c>
      <c r="C12" s="18" t="str">
        <f aca="false">IFERROR(INDEX(종합!C$3:C$501,MATCH(ROW()-2,종합!$AB$3:$AB$501,0))&amp;"","")</f>
        <v>O</v>
      </c>
      <c r="D12" s="18" t="str">
        <f aca="false">IFERROR(INDEX(종합!D$3:D$501,MATCH(ROW()-2,종합!$AB$3:$AB$501,0))&amp;"","")</f>
        <v/>
      </c>
      <c r="E12" s="18" t="str">
        <f aca="false">IFERROR(INDEX(종합!E$3:E$501,MATCH(ROW()-2,종합!$AB$3:$AB$501,0))&amp;"","")</f>
        <v/>
      </c>
      <c r="F12" s="18" t="str">
        <f aca="false">IFERROR(INDEX(종합!F$3:F$501,MATCH(ROW()-2,종합!$AB$3:$AB$501,0))&amp;"","")</f>
        <v/>
      </c>
      <c r="G12" s="18" t="str">
        <f aca="false">IFERROR(INDEX(종합!G$3:G$501,MATCH(ROW()-2,종합!$AB$3:$AB$501,0))&amp;"","")</f>
        <v>중소기업</v>
      </c>
      <c r="H12" s="21" t="str">
        <f aca="false">IFERROR(INDEX(종합!H$3:H$501,MATCH(ROW()-2,종합!$AB$3:$AB$501,0))&amp;"","")</f>
        <v>503-81-49156</v>
      </c>
      <c r="I12" s="21" t="str">
        <f aca="false">IFERROR(INDEX(종합!I$3:I$501,MATCH(ROW()-2,종합!$AB$3:$AB$501,0))&amp;"","")</f>
        <v>김성호</v>
      </c>
      <c r="J12" s="21" t="str">
        <f aca="false">IFERROR(INDEX(종합!J$3:J$501,MATCH(ROW()-2,종합!$AB$3:$AB$501,0))&amp;"","")</f>
        <v>053-476-2395</v>
      </c>
      <c r="K12" s="21" t="str">
        <f aca="false">IFERROR(INDEX(종합!K$3:K$501,MATCH(ROW()-2,종합!$AB$3:$AB$501,0))&amp;"","")</f>
        <v>egis@egiskorea.com</v>
      </c>
      <c r="L12" s="21" t="str">
        <f aca="false">IFERROR(INDEX(종합!L$3:L$501,MATCH(ROW()-2,종합!$AB$3:$AB$501,0))&amp;"","")</f>
        <v>hyoeun2359@gmail.com</v>
      </c>
      <c r="M12" s="21" t="str">
        <f aca="false">IFERROR(INDEX(종합!M$3:M$501,MATCH(ROW()-2,종합!$AB$3:$AB$501,0))&amp;"","")</f>
        <v>대구광역시 수성구 알파시티 1로 31길 2, 401호</v>
      </c>
      <c r="N12" s="25" t="str">
        <f aca="false">IFERROR(INDEX(종합!N$3:N$501,MATCH(ROW()-2,종합!$AB$3:$AB$501,0))&amp;"","")</f>
        <v>디지털트윈클라우드</v>
      </c>
      <c r="O12" s="21" t="str">
        <f aca="false">IFERROR(INDEX(종합!O$3:O$501,MATCH(ROW()-2,종합!$AB$3:$AB$501,0))&amp;"","")</f>
        <v>김성호</v>
      </c>
      <c r="P12" s="21" t="str">
        <f aca="false">IFERROR(INDEX(종합!P$3:P$501,MATCH(ROW()-2,종합!$AB$3:$AB$501,0))&amp;"","")</f>
        <v>CEO</v>
      </c>
      <c r="Q12" s="21" t="str">
        <f aca="false">IFERROR(INDEX(종합!Q$3:Q$501,MATCH(ROW()-2,종합!$AB$3:$AB$501,0))&amp;"","")</f>
        <v>대표이사</v>
      </c>
      <c r="R12" s="21" t="str">
        <f aca="false">IFERROR(INDEX(종합!R$3:R$501,MATCH(ROW()-2,종합!$AB$3:$AB$501,0))&amp;"","")</f>
        <v>053-476-2395</v>
      </c>
      <c r="S12" s="21" t="str">
        <f aca="false">IFERROR(INDEX(종합!S$3:S$501,MATCH(ROW()-2,종합!$AB$3:$AB$501,0))&amp;"","")</f>
        <v>hcpark@egiskorea.com</v>
      </c>
      <c r="T12" s="21" t="str">
        <f aca="false">IFERROR(INDEX(종합!T$3:T$501,MATCH(ROW()-2,종합!$AB$3:$AB$501,0))&amp;"","")</f>
        <v>053-476-2395</v>
      </c>
      <c r="U12" s="21" t="str">
        <f aca="false">IFERROR(INDEX(종합!U$3:U$501,MATCH(ROW()-2,종합!$AB$3:$AB$501,0))&amp;"","")</f>
        <v>박현철</v>
      </c>
      <c r="V12" s="21" t="str">
        <f aca="false">IFERROR(INDEX(종합!V$3:V$501,MATCH(ROW()-2,종합!$AB$3:$AB$501,0))&amp;"","")</f>
        <v>전략영업</v>
      </c>
      <c r="W12" s="21" t="str">
        <f aca="false">IFERROR(INDEX(종합!W$3:W$501,MATCH(ROW()-2,종합!$AB$3:$AB$501,0))&amp;"","")</f>
        <v>팀장</v>
      </c>
      <c r="X12" s="21" t="str">
        <f aca="false">IFERROR(INDEX(종합!X$3:X$501,MATCH(ROW()-2,종합!$AB$3:$AB$501,0))&amp;"","")</f>
        <v>070-8802-1293</v>
      </c>
      <c r="Y12" s="21" t="str">
        <f aca="false">IFERROR(INDEX(종합!Y$3:Y$501,MATCH(ROW()-2,종합!$AB$3:$AB$501,0))&amp;"","")</f>
        <v>hcpark@egiskorea.com</v>
      </c>
      <c r="Z12" s="21" t="str">
        <f aca="false">IFERROR(INDEX(종합!Z$3:Z$501,MATCH(ROW()-2,종합!$AB$3:$AB$501,0))&amp;"","")</f>
        <v>010-9904-1147</v>
      </c>
    </row>
    <row r="13" customFormat="false" ht="33.75" hidden="false" customHeight="true" outlineLevel="0" collapsed="false">
      <c r="A13" s="18" t="n">
        <f aca="false">IF(B13="","",ROW()-2)</f>
        <v>11</v>
      </c>
      <c r="B13" s="18" t="str">
        <f aca="false">IFERROR(INDEX(종합!B$3:B$501,MATCH(ROW()-2,종합!$AB$3:$AB$501,0))&amp;"","")</f>
        <v>칵테일아이오(주)</v>
      </c>
      <c r="C13" s="18" t="str">
        <f aca="false">IFERROR(INDEX(종합!C$3:C$501,MATCH(ROW()-2,종합!$AB$3:$AB$501,0))&amp;"","")</f>
        <v>O</v>
      </c>
      <c r="D13" s="18" t="str">
        <f aca="false">IFERROR(INDEX(종합!D$3:D$501,MATCH(ROW()-2,종합!$AB$3:$AB$501,0))&amp;"","")</f>
        <v/>
      </c>
      <c r="E13" s="18" t="str">
        <f aca="false">IFERROR(INDEX(종합!E$3:E$501,MATCH(ROW()-2,종합!$AB$3:$AB$501,0))&amp;"","")</f>
        <v/>
      </c>
      <c r="F13" s="18" t="str">
        <f aca="false">IFERROR(INDEX(종합!F$3:F$501,MATCH(ROW()-2,종합!$AB$3:$AB$501,0))&amp;"","")</f>
        <v/>
      </c>
      <c r="G13" s="18" t="str">
        <f aca="false">IFERROR(INDEX(종합!G$3:G$501,MATCH(ROW()-2,종합!$AB$3:$AB$501,0))&amp;"","")</f>
        <v>중소기업</v>
      </c>
      <c r="H13" s="21" t="str">
        <f aca="false">IFERROR(INDEX(종합!H$3:H$501,MATCH(ROW()-2,종합!$AB$3:$AB$501,0))&amp;"","")</f>
        <v>759-88-00454</v>
      </c>
      <c r="I13" s="21" t="str">
        <f aca="false">IFERROR(INDEX(종합!I$3:I$501,MATCH(ROW()-2,종합!$AB$3:$AB$501,0))&amp;"","")</f>
        <v>이영수</v>
      </c>
      <c r="J13" s="21" t="str">
        <f aca="false">IFERROR(INDEX(종합!J$3:J$501,MATCH(ROW()-2,종합!$AB$3:$AB$501,0))&amp;"","")</f>
        <v>02-554-3301</v>
      </c>
      <c r="K13" s="21" t="str">
        <f aca="false">IFERROR(INDEX(종합!K$3:K$501,MATCH(ROW()-2,종합!$AB$3:$AB$501,0))&amp;"","")</f>
        <v>https://cocktail.io.kr/solution</v>
      </c>
      <c r="L13" s="21" t="str">
        <f aca="false">IFERROR(INDEX(종합!L$3:L$501,MATCH(ROW()-2,종합!$AB$3:$AB$501,0))&amp;"","")</f>
        <v>jskang@cocktail.io.kr</v>
      </c>
      <c r="M13" s="21" t="str">
        <f aca="false">IFERROR(INDEX(종합!M$3:M$501,MATCH(ROW()-2,종합!$AB$3:$AB$501,0))&amp;"","")</f>
        <v>서울 강남구 테헤란로70길 14-6,B동 5층</v>
      </c>
      <c r="N13" s="25" t="str">
        <f aca="false">IFERROR(INDEX(종합!N$3:N$501,MATCH(ROW()-2,종합!$AB$3:$AB$501,0))&amp;"","")</f>
        <v>AI기반 클라우드 운영 자동화(Cocktail Cloud) / Low code Solution(Out Systems) / AI Cloud MSP 및 컨설팅</v>
      </c>
      <c r="O13" s="21" t="str">
        <f aca="false">IFERROR(INDEX(종합!O$3:O$501,MATCH(ROW()-2,종합!$AB$3:$AB$501,0))&amp;"","")</f>
        <v>김동혁 </v>
      </c>
      <c r="P13" s="21" t="str">
        <f aca="false">IFERROR(INDEX(종합!P$3:P$501,MATCH(ROW()-2,종합!$AB$3:$AB$501,0))&amp;"","")</f>
        <v>AX센터</v>
      </c>
      <c r="Q13" s="21" t="str">
        <f aca="false">IFERROR(INDEX(종합!Q$3:Q$501,MATCH(ROW()-2,종합!$AB$3:$AB$501,0))&amp;"","")</f>
        <v>전무/센터장</v>
      </c>
      <c r="R13" s="21" t="str">
        <f aca="false">IFERROR(INDEX(종합!R$3:R$501,MATCH(ROW()-2,종합!$AB$3:$AB$501,0))&amp;"","")</f>
        <v>02-554-0301</v>
      </c>
      <c r="S13" s="21" t="str">
        <f aca="false">IFERROR(INDEX(종합!S$3:S$501,MATCH(ROW()-2,종합!$AB$3:$AB$501,0))&amp;"","")</f>
        <v>kdhyuk@cocktail.io.kr</v>
      </c>
      <c r="T13" s="21" t="str">
        <f aca="false">IFERROR(INDEX(종합!T$3:T$501,MATCH(ROW()-2,종합!$AB$3:$AB$501,0))&amp;"","")</f>
        <v>010-3895-5556</v>
      </c>
      <c r="U13" s="21" t="str">
        <f aca="false">IFERROR(INDEX(종합!U$3:U$501,MATCH(ROW()-2,종합!$AB$3:$AB$501,0))&amp;"","")</f>
        <v>강종성</v>
      </c>
      <c r="V13" s="21" t="str">
        <f aca="false">IFERROR(INDEX(종합!V$3:V$501,MATCH(ROW()-2,종합!$AB$3:$AB$501,0))&amp;"","")</f>
        <v>AX센터</v>
      </c>
      <c r="W13" s="21" t="str">
        <f aca="false">IFERROR(INDEX(종합!W$3:W$501,MATCH(ROW()-2,종합!$AB$3:$AB$501,0))&amp;"","")</f>
        <v>이사/컨설턵트</v>
      </c>
      <c r="X13" s="21" t="str">
        <f aca="false">IFERROR(INDEX(종합!X$3:X$501,MATCH(ROW()-2,종합!$AB$3:$AB$501,0))&amp;"","")</f>
        <v>02-554-0301</v>
      </c>
      <c r="Y13" s="21" t="str">
        <f aca="false">IFERROR(INDEX(종합!Y$3:Y$501,MATCH(ROW()-2,종합!$AB$3:$AB$501,0))&amp;"","")</f>
        <v>jskang@cocktail.io.kr</v>
      </c>
      <c r="Z13" s="21" t="str">
        <f aca="false">IFERROR(INDEX(종합!Z$3:Z$501,MATCH(ROW()-2,종합!$AB$3:$AB$501,0))&amp;"","")</f>
        <v>010-8337-6611</v>
      </c>
    </row>
    <row r="14" customFormat="false" ht="33.75" hidden="false" customHeight="true" outlineLevel="0" collapsed="false">
      <c r="A14" s="18" t="n">
        <f aca="false">IF(B14="","",ROW()-2)</f>
        <v>12</v>
      </c>
      <c r="B14" s="18" t="str">
        <f aca="false">IFERROR(INDEX(종합!B$3:B$501,MATCH(ROW()-2,종합!$AB$3:$AB$501,0))&amp;"","")</f>
        <v>(주)브로드웨이브</v>
      </c>
      <c r="C14" s="18" t="str">
        <f aca="false">IFERROR(INDEX(종합!C$3:C$501,MATCH(ROW()-2,종합!$AB$3:$AB$501,0))&amp;"","")</f>
        <v>O</v>
      </c>
      <c r="D14" s="18" t="str">
        <f aca="false">IFERROR(INDEX(종합!D$3:D$501,MATCH(ROW()-2,종합!$AB$3:$AB$501,0))&amp;"","")</f>
        <v>O</v>
      </c>
      <c r="E14" s="18" t="str">
        <f aca="false">IFERROR(INDEX(종합!E$3:E$501,MATCH(ROW()-2,종합!$AB$3:$AB$501,0))&amp;"","")</f>
        <v>O</v>
      </c>
      <c r="F14" s="18" t="str">
        <f aca="false">IFERROR(INDEX(종합!F$3:F$501,MATCH(ROW()-2,종합!$AB$3:$AB$501,0))&amp;"","")</f>
        <v/>
      </c>
      <c r="G14" s="18" t="str">
        <f aca="false">IFERROR(INDEX(종합!G$3:G$501,MATCH(ROW()-2,종합!$AB$3:$AB$501,0))&amp;"","")</f>
        <v>중소기업</v>
      </c>
      <c r="H14" s="21" t="str">
        <f aca="false">IFERROR(INDEX(종합!H$3:H$501,MATCH(ROW()-2,종합!$AB$3:$AB$501,0))&amp;"","")</f>
        <v>105-86-66766</v>
      </c>
      <c r="I14" s="21" t="str">
        <f aca="false">IFERROR(INDEX(종합!I$3:I$501,MATCH(ROW()-2,종합!$AB$3:$AB$501,0))&amp;"","")</f>
        <v>이태진</v>
      </c>
      <c r="J14" s="21" t="str">
        <f aca="false">IFERROR(INDEX(종합!J$3:J$501,MATCH(ROW()-2,종합!$AB$3:$AB$501,0))&amp;"","")</f>
        <v>02-395-5651</v>
      </c>
      <c r="K14" s="21" t="str">
        <f aca="false">IFERROR(INDEX(종합!K$3:K$501,MATCH(ROW()-2,종합!$AB$3:$AB$501,0))&amp;"","")</f>
        <v>www.broadwave.co.kr</v>
      </c>
      <c r="L14" s="21" t="str">
        <f aca="false">IFERROR(INDEX(종합!L$3:L$501,MATCH(ROW()-2,종합!$AB$3:$AB$501,0))&amp;"","")</f>
        <v>broadwave.tj@gmail.com</v>
      </c>
      <c r="M14" s="21" t="str">
        <f aca="false">IFERROR(INDEX(종합!M$3:M$501,MATCH(ROW()-2,종합!$AB$3:$AB$501,0))&amp;"","")</f>
        <v>서울시 강서구 마곡중앙로 161-8 두산더랜드파크 B동 620호</v>
      </c>
      <c r="N14" s="25" t="str">
        <f aca="false">IFERROR(INDEX(종합!N$3:N$501,MATCH(ROW()-2,종합!$AB$3:$AB$501,0))&amp;"","")</f>
        <v>AI기반 시설물 안전진단기술, 맨홀 수위 측정을 이용한 침수예측기술</v>
      </c>
      <c r="O14" s="21" t="str">
        <f aca="false">IFERROR(INDEX(종합!O$3:O$501,MATCH(ROW()-2,종합!$AB$3:$AB$501,0))&amp;"","")</f>
        <v>이태진</v>
      </c>
      <c r="P14" s="21" t="str">
        <f aca="false">IFERROR(INDEX(종합!P$3:P$501,MATCH(ROW()-2,종합!$AB$3:$AB$501,0))&amp;"","")</f>
        <v>대표이사</v>
      </c>
      <c r="Q14" s="21" t="str">
        <f aca="false">IFERROR(INDEX(종합!Q$3:Q$501,MATCH(ROW()-2,종합!$AB$3:$AB$501,0))&amp;"","")</f>
        <v>대표이사</v>
      </c>
      <c r="R14" s="21" t="str">
        <f aca="false">IFERROR(INDEX(종합!R$3:R$501,MATCH(ROW()-2,종합!$AB$3:$AB$501,0))&amp;"","")</f>
        <v>02-395-5651</v>
      </c>
      <c r="S14" s="21" t="str">
        <f aca="false">IFERROR(INDEX(종합!S$3:S$501,MATCH(ROW()-2,종합!$AB$3:$AB$501,0))&amp;"","")</f>
        <v>LTJ@Broadwave.co.kr</v>
      </c>
      <c r="T14" s="21" t="str">
        <f aca="false">IFERROR(INDEX(종합!T$3:T$501,MATCH(ROW()-2,종합!$AB$3:$AB$501,0))&amp;"","")</f>
        <v>010-8960-0651</v>
      </c>
      <c r="U14" s="21" t="str">
        <f aca="false">IFERROR(INDEX(종합!U$3:U$501,MATCH(ROW()-2,종합!$AB$3:$AB$501,0))&amp;"","")</f>
        <v>이광연</v>
      </c>
      <c r="V14" s="21" t="str">
        <f aca="false">IFERROR(INDEX(종합!V$3:V$501,MATCH(ROW()-2,종합!$AB$3:$AB$501,0))&amp;"","")</f>
        <v>사업개발팀</v>
      </c>
      <c r="W14" s="21" t="str">
        <f aca="false">IFERROR(INDEX(종합!W$3:W$501,MATCH(ROW()-2,종합!$AB$3:$AB$501,0))&amp;"","")</f>
        <v>팀장</v>
      </c>
      <c r="X14" s="21" t="str">
        <f aca="false">IFERROR(INDEX(종합!X$3:X$501,MATCH(ROW()-2,종합!$AB$3:$AB$501,0))&amp;"","")</f>
        <v>02-395-5651</v>
      </c>
      <c r="Y14" s="21" t="str">
        <f aca="false">IFERROR(INDEX(종합!Y$3:Y$501,MATCH(ROW()-2,종합!$AB$3:$AB$501,0))&amp;"","")</f>
        <v>sirdky@broadwave.co.kr</v>
      </c>
      <c r="Z14" s="21" t="str">
        <f aca="false">IFERROR(INDEX(종합!Z$3:Z$501,MATCH(ROW()-2,종합!$AB$3:$AB$501,0))&amp;"","")</f>
        <v>010-2357-2799</v>
      </c>
    </row>
    <row r="15" customFormat="false" ht="22.5" hidden="false" customHeight="true" outlineLevel="0" collapsed="false">
      <c r="A15" s="18" t="n">
        <f aca="false">IF(B15="","",ROW()-2)</f>
        <v>13</v>
      </c>
      <c r="B15" s="18" t="str">
        <f aca="false">IFERROR(INDEX(종합!B$3:B$501,MATCH(ROW()-2,종합!$AB$3:$AB$501,0))&amp;"","")</f>
        <v>주식회사 레아비전</v>
      </c>
      <c r="C15" s="18" t="str">
        <f aca="false">IFERROR(INDEX(종합!C$3:C$501,MATCH(ROW()-2,종합!$AB$3:$AB$501,0))&amp;"","")</f>
        <v>O</v>
      </c>
      <c r="D15" s="18" t="str">
        <f aca="false">IFERROR(INDEX(종합!D$3:D$501,MATCH(ROW()-2,종합!$AB$3:$AB$501,0))&amp;"","")</f>
        <v/>
      </c>
      <c r="E15" s="18" t="str">
        <f aca="false">IFERROR(INDEX(종합!E$3:E$501,MATCH(ROW()-2,종합!$AB$3:$AB$501,0))&amp;"","")</f>
        <v/>
      </c>
      <c r="F15" s="18" t="str">
        <f aca="false">IFERROR(INDEX(종합!F$3:F$501,MATCH(ROW()-2,종합!$AB$3:$AB$501,0))&amp;"","")</f>
        <v/>
      </c>
      <c r="G15" s="18" t="str">
        <f aca="false">IFERROR(INDEX(종합!G$3:G$501,MATCH(ROW()-2,종합!$AB$3:$AB$501,0))&amp;"","")</f>
        <v>중소기업</v>
      </c>
      <c r="H15" s="21" t="str">
        <f aca="false">IFERROR(INDEX(종합!H$3:H$501,MATCH(ROW()-2,종합!$AB$3:$AB$501,0))&amp;"","")</f>
        <v>330-81-03120</v>
      </c>
      <c r="I15" s="21" t="str">
        <f aca="false">IFERROR(INDEX(종합!I$3:I$501,MATCH(ROW()-2,종합!$AB$3:$AB$501,0))&amp;"","")</f>
        <v>강경희</v>
      </c>
      <c r="J15" s="21" t="str">
        <f aca="false">IFERROR(INDEX(종합!J$3:J$501,MATCH(ROW()-2,종합!$AB$3:$AB$501,0))&amp;"","")</f>
        <v>010-5888-8403</v>
      </c>
      <c r="K15" s="21" t="str">
        <f aca="false">IFERROR(INDEX(종합!K$3:K$501,MATCH(ROW()-2,종합!$AB$3:$AB$501,0))&amp;"","")</f>
        <v>topcodingplace.com</v>
      </c>
      <c r="L15" s="21" t="str">
        <f aca="false">IFERROR(INDEX(종합!L$3:L$501,MATCH(ROW()-2,종합!$AB$3:$AB$501,0))&amp;"","")</f>
        <v>hyin2510@gmail.com</v>
      </c>
      <c r="M15" s="21" t="str">
        <f aca="false">IFERROR(INDEX(종합!M$3:M$501,MATCH(ROW()-2,종합!$AB$3:$AB$501,0))&amp;"","")</f>
        <v>고양시 덕양구 향동로218, 현대테라타워 1149</v>
      </c>
      <c r="N15" s="25" t="str">
        <f aca="false">IFERROR(INDEX(종합!N$3:N$501,MATCH(ROW()-2,종합!$AB$3:$AB$501,0))&amp;"","")</f>
        <v>AI 기반 안면인식을 통한 건강체크</v>
      </c>
      <c r="O15" s="21" t="str">
        <f aca="false">IFERROR(INDEX(종합!O$3:O$501,MATCH(ROW()-2,종합!$AB$3:$AB$501,0))&amp;"","")</f>
        <v>장용석</v>
      </c>
      <c r="P15" s="21" t="str">
        <f aca="false">IFERROR(INDEX(종합!P$3:P$501,MATCH(ROW()-2,종합!$AB$3:$AB$501,0))&amp;"","")</f>
        <v>개발부</v>
      </c>
      <c r="Q15" s="21" t="str">
        <f aca="false">IFERROR(INDEX(종합!Q$3:Q$501,MATCH(ROW()-2,종합!$AB$3:$AB$501,0))&amp;"","")</f>
        <v>이사</v>
      </c>
      <c r="R15" s="21" t="str">
        <f aca="false">IFERROR(INDEX(종합!R$3:R$501,MATCH(ROW()-2,종합!$AB$3:$AB$501,0))&amp;"","")</f>
        <v>010-5888-8403</v>
      </c>
      <c r="S15" s="21" t="str">
        <f aca="false">IFERROR(INDEX(종합!S$3:S$501,MATCH(ROW()-2,종합!$AB$3:$AB$501,0))&amp;"","")</f>
        <v>master@rheavision.co.kr</v>
      </c>
      <c r="T15" s="21" t="str">
        <f aca="false">IFERROR(INDEX(종합!T$3:T$501,MATCH(ROW()-2,종합!$AB$3:$AB$501,0))&amp;"","")</f>
        <v>010-5888-8403</v>
      </c>
      <c r="U15" s="21" t="str">
        <f aca="false">IFERROR(INDEX(종합!U$3:U$501,MATCH(ROW()-2,종합!$AB$3:$AB$501,0))&amp;"","")</f>
        <v>오민혁</v>
      </c>
      <c r="V15" s="21" t="str">
        <f aca="false">IFERROR(INDEX(종합!V$3:V$501,MATCH(ROW()-2,종합!$AB$3:$AB$501,0))&amp;"","")</f>
        <v>개발팀</v>
      </c>
      <c r="W15" s="21" t="str">
        <f aca="false">IFERROR(INDEX(종합!W$3:W$501,MATCH(ROW()-2,종합!$AB$3:$AB$501,0))&amp;"","")</f>
        <v>본부장</v>
      </c>
      <c r="X15" s="21" t="str">
        <f aca="false">IFERROR(INDEX(종합!X$3:X$501,MATCH(ROW()-2,종합!$AB$3:$AB$501,0))&amp;"","")</f>
        <v>010-5888-8403</v>
      </c>
      <c r="Y15" s="21" t="str">
        <f aca="false">IFERROR(INDEX(종합!Y$3:Y$501,MATCH(ROW()-2,종합!$AB$3:$AB$501,0))&amp;"","")</f>
        <v>master@rheavision.co.kr</v>
      </c>
      <c r="Z15" s="21" t="str">
        <f aca="false">IFERROR(INDEX(종합!Z$3:Z$501,MATCH(ROW()-2,종합!$AB$3:$AB$501,0))&amp;"","")</f>
        <v>010-5888-8403</v>
      </c>
    </row>
    <row r="16" customFormat="false" ht="22.5" hidden="false" customHeight="true" outlineLevel="0" collapsed="false">
      <c r="A16" s="18" t="n">
        <f aca="false">IF(B16="","",ROW()-2)</f>
        <v>14</v>
      </c>
      <c r="B16" s="18" t="str">
        <f aca="false">IFERROR(INDEX(종합!B$3:B$501,MATCH(ROW()-2,종합!$AB$3:$AB$501,0))&amp;"","")</f>
        <v>망고클라우드 주식회사</v>
      </c>
      <c r="C16" s="18" t="str">
        <f aca="false">IFERROR(INDEX(종합!C$3:C$501,MATCH(ROW()-2,종합!$AB$3:$AB$501,0))&amp;"","")</f>
        <v>O</v>
      </c>
      <c r="D16" s="18" t="str">
        <f aca="false">IFERROR(INDEX(종합!D$3:D$501,MATCH(ROW()-2,종합!$AB$3:$AB$501,0))&amp;"","")</f>
        <v/>
      </c>
      <c r="E16" s="18" t="str">
        <f aca="false">IFERROR(INDEX(종합!E$3:E$501,MATCH(ROW()-2,종합!$AB$3:$AB$501,0))&amp;"","")</f>
        <v/>
      </c>
      <c r="F16" s="18" t="str">
        <f aca="false">IFERROR(INDEX(종합!F$3:F$501,MATCH(ROW()-2,종합!$AB$3:$AB$501,0))&amp;"","")</f>
        <v/>
      </c>
      <c r="G16" s="18" t="str">
        <f aca="false">IFERROR(INDEX(종합!G$3:G$501,MATCH(ROW()-2,종합!$AB$3:$AB$501,0))&amp;"","")</f>
        <v>중소기업</v>
      </c>
      <c r="H16" s="21" t="str">
        <f aca="false">IFERROR(INDEX(종합!H$3:H$501,MATCH(ROW()-2,종합!$AB$3:$AB$501,0))&amp;"","")</f>
        <v>541-87-01291</v>
      </c>
      <c r="I16" s="21" t="str">
        <f aca="false">IFERROR(INDEX(종합!I$3:I$501,MATCH(ROW()-2,종합!$AB$3:$AB$501,0))&amp;"","")</f>
        <v>백진성</v>
      </c>
      <c r="J16" s="21" t="str">
        <f aca="false">IFERROR(INDEX(종합!J$3:J$501,MATCH(ROW()-2,종합!$AB$3:$AB$501,0))&amp;"","")</f>
        <v>051-501-2248</v>
      </c>
      <c r="K16" s="21" t="str">
        <f aca="false">IFERROR(INDEX(종합!K$3:K$501,MATCH(ROW()-2,종합!$AB$3:$AB$501,0))&amp;"","")</f>
        <v>www.mangocloud.io</v>
      </c>
      <c r="L16" s="21" t="str">
        <f aca="false">IFERROR(INDEX(종합!L$3:L$501,MATCH(ROW()-2,종합!$AB$3:$AB$501,0))&amp;"","")</f>
        <v>sdfjkl369@gmail.com</v>
      </c>
      <c r="M16" s="21" t="str">
        <f aca="false">IFERROR(INDEX(종합!M$3:M$501,MATCH(ROW()-2,종합!$AB$3:$AB$501,0))&amp;"","")</f>
        <v>부산광역시 북구 만덕3로16번길 1, 404호</v>
      </c>
      <c r="N16" s="25" t="str">
        <f aca="false">IFERROR(INDEX(종합!N$3:N$501,MATCH(ROW()-2,종합!$AB$3:$AB$501,0))&amp;"","")</f>
        <v>헤이망고</v>
      </c>
      <c r="O16" s="21" t="str">
        <f aca="false">IFERROR(INDEX(종합!O$3:O$501,MATCH(ROW()-2,종합!$AB$3:$AB$501,0))&amp;"","")</f>
        <v>윤용수</v>
      </c>
      <c r="P16" s="21" t="str">
        <f aca="false">IFERROR(INDEX(종합!P$3:P$501,MATCH(ROW()-2,종합!$AB$3:$AB$501,0))&amp;"","")</f>
        <v>운영팀</v>
      </c>
      <c r="Q16" s="21" t="str">
        <f aca="false">IFERROR(INDEX(종합!Q$3:Q$501,MATCH(ROW()-2,종합!$AB$3:$AB$501,0))&amp;"","")</f>
        <v>팀장</v>
      </c>
      <c r="R16" s="21" t="str">
        <f aca="false">IFERROR(INDEX(종합!R$3:R$501,MATCH(ROW()-2,종합!$AB$3:$AB$501,0))&amp;"","")</f>
        <v>051-501-2248</v>
      </c>
      <c r="S16" s="21" t="str">
        <f aca="false">IFERROR(INDEX(종합!S$3:S$501,MATCH(ROW()-2,종합!$AB$3:$AB$501,0))&amp;"","")</f>
        <v>soo@mangocloud.io</v>
      </c>
      <c r="T16" s="21" t="str">
        <f aca="false">IFERROR(INDEX(종합!T$3:T$501,MATCH(ROW()-2,종합!$AB$3:$AB$501,0))&amp;"","")</f>
        <v>010-2557-3926</v>
      </c>
      <c r="U16" s="21" t="str">
        <f aca="false">IFERROR(INDEX(종합!U$3:U$501,MATCH(ROW()-2,종합!$AB$3:$AB$501,0))&amp;"","")</f>
        <v>최현명</v>
      </c>
      <c r="V16" s="21" t="str">
        <f aca="false">IFERROR(INDEX(종합!V$3:V$501,MATCH(ROW()-2,종합!$AB$3:$AB$501,0))&amp;"","")</f>
        <v>운영팀</v>
      </c>
      <c r="W16" s="21" t="str">
        <f aca="false">IFERROR(INDEX(종합!W$3:W$501,MATCH(ROW()-2,종합!$AB$3:$AB$501,0))&amp;"","")</f>
        <v>대리</v>
      </c>
      <c r="X16" s="21" t="str">
        <f aca="false">IFERROR(INDEX(종합!X$3:X$501,MATCH(ROW()-2,종합!$AB$3:$AB$501,0))&amp;"","")</f>
        <v>010-2785-4684</v>
      </c>
      <c r="Y16" s="21" t="str">
        <f aca="false">IFERROR(INDEX(종합!Y$3:Y$501,MATCH(ROW()-2,종합!$AB$3:$AB$501,0))&amp;"","")</f>
        <v>hmchoi@mangocloud.io</v>
      </c>
      <c r="Z16" s="21" t="str">
        <f aca="false">IFERROR(INDEX(종합!Z$3:Z$501,MATCH(ROW()-2,종합!$AB$3:$AB$501,0))&amp;"","")</f>
        <v>010-2785-4684</v>
      </c>
    </row>
    <row r="17" customFormat="false" ht="22.5" hidden="false" customHeight="true" outlineLevel="0" collapsed="false">
      <c r="A17" s="18" t="n">
        <f aca="false">IF(B17="","",ROW()-2)</f>
        <v>15</v>
      </c>
      <c r="B17" s="18" t="str">
        <f aca="false">IFERROR(INDEX(종합!B$3:B$501,MATCH(ROW()-2,종합!$AB$3:$AB$501,0))&amp;"","")</f>
        <v>주식회사 데이터메이커</v>
      </c>
      <c r="C17" s="18" t="str">
        <f aca="false">IFERROR(INDEX(종합!C$3:C$501,MATCH(ROW()-2,종합!$AB$3:$AB$501,0))&amp;"","")</f>
        <v>O</v>
      </c>
      <c r="D17" s="18" t="str">
        <f aca="false">IFERROR(INDEX(종합!D$3:D$501,MATCH(ROW()-2,종합!$AB$3:$AB$501,0))&amp;"","")</f>
        <v/>
      </c>
      <c r="E17" s="18" t="str">
        <f aca="false">IFERROR(INDEX(종합!E$3:E$501,MATCH(ROW()-2,종합!$AB$3:$AB$501,0))&amp;"","")</f>
        <v/>
      </c>
      <c r="F17" s="18" t="str">
        <f aca="false">IFERROR(INDEX(종합!F$3:F$501,MATCH(ROW()-2,종합!$AB$3:$AB$501,0))&amp;"","")</f>
        <v/>
      </c>
      <c r="G17" s="18" t="str">
        <f aca="false">IFERROR(INDEX(종합!G$3:G$501,MATCH(ROW()-2,종합!$AB$3:$AB$501,0))&amp;"","")</f>
        <v>중소기업</v>
      </c>
      <c r="H17" s="21" t="str">
        <f aca="false">IFERROR(INDEX(종합!H$3:H$501,MATCH(ROW()-2,종합!$AB$3:$AB$501,0))&amp;"","")</f>
        <v>568-81-01159</v>
      </c>
      <c r="I17" s="21" t="str">
        <f aca="false">IFERROR(INDEX(종합!I$3:I$501,MATCH(ROW()-2,종합!$AB$3:$AB$501,0))&amp;"","")</f>
        <v>이에녹</v>
      </c>
      <c r="J17" s="21" t="str">
        <f aca="false">IFERROR(INDEX(종합!J$3:J$501,MATCH(ROW()-2,종합!$AB$3:$AB$501,0))&amp;"","")</f>
        <v>070-7139-9784</v>
      </c>
      <c r="K17" s="21" t="str">
        <f aca="false">IFERROR(INDEX(종합!K$3:K$501,MATCH(ROW()-2,종합!$AB$3:$AB$501,0))&amp;"","")</f>
        <v>https://www.datamaker.io/</v>
      </c>
      <c r="L17" s="21" t="str">
        <f aca="false">IFERROR(INDEX(종합!L$3:L$501,MATCH(ROW()-2,종합!$AB$3:$AB$501,0))&amp;"","")</f>
        <v>kyungeun.jung@datamaker.io</v>
      </c>
      <c r="M17" s="21" t="str">
        <f aca="false">IFERROR(INDEX(종합!M$3:M$501,MATCH(ROW()-2,종합!$AB$3:$AB$501,0))&amp;"","")</f>
        <v>대전광역시 유성구 유성대로 871, 4,5층(죽동, CU빌딩)</v>
      </c>
      <c r="N17" s="25" t="str">
        <f aca="false">IFERROR(INDEX(종합!N$3:N$501,MATCH(ROW()-2,종합!$AB$3:$AB$501,0))&amp;"","")</f>
        <v>데이터메이커 시냅스 (데이터 파이프라인 구축 특화 플랫폼)</v>
      </c>
      <c r="O17" s="21" t="str">
        <f aca="false">IFERROR(INDEX(종합!O$3:O$501,MATCH(ROW()-2,종합!$AB$3:$AB$501,0))&amp;"","")</f>
        <v>오석일</v>
      </c>
      <c r="P17" s="21" t="str">
        <f aca="false">IFERROR(INDEX(종합!P$3:P$501,MATCH(ROW()-2,종합!$AB$3:$AB$501,0))&amp;"","")</f>
        <v>부대표</v>
      </c>
      <c r="Q17" s="21" t="str">
        <f aca="false">IFERROR(INDEX(종합!Q$3:Q$501,MATCH(ROW()-2,종합!$AB$3:$AB$501,0))&amp;"","")</f>
        <v>부대표</v>
      </c>
      <c r="R17" s="21" t="str">
        <f aca="false">IFERROR(INDEX(종합!R$3:R$501,MATCH(ROW()-2,종합!$AB$3:$AB$501,0))&amp;"","")</f>
        <v>070-7139-9784</v>
      </c>
      <c r="S17" s="21" t="str">
        <f aca="false">IFERROR(INDEX(종합!S$3:S$501,MATCH(ROW()-2,종합!$AB$3:$AB$501,0))&amp;"","")</f>
        <v>seokil.oh@datamaker.io</v>
      </c>
      <c r="T17" s="21" t="str">
        <f aca="false">IFERROR(INDEX(종합!T$3:T$501,MATCH(ROW()-2,종합!$AB$3:$AB$501,0))&amp;"","")</f>
        <v>010-4651-6782</v>
      </c>
      <c r="U17" s="21" t="str">
        <f aca="false">IFERROR(INDEX(종합!U$3:U$501,MATCH(ROW()-2,종합!$AB$3:$AB$501,0))&amp;"","")</f>
        <v>임규태</v>
      </c>
      <c r="V17" s="21" t="str">
        <f aca="false">IFERROR(INDEX(종합!V$3:V$501,MATCH(ROW()-2,종합!$AB$3:$AB$501,0))&amp;"","")</f>
        <v>경영전략팀</v>
      </c>
      <c r="W17" s="21" t="str">
        <f aca="false">IFERROR(INDEX(종합!W$3:W$501,MATCH(ROW()-2,종합!$AB$3:$AB$501,0))&amp;"","")</f>
        <v>팀장</v>
      </c>
      <c r="X17" s="21" t="str">
        <f aca="false">IFERROR(INDEX(종합!X$3:X$501,MATCH(ROW()-2,종합!$AB$3:$AB$501,0))&amp;"","")</f>
        <v>070-8833-9784</v>
      </c>
      <c r="Y17" s="21" t="str">
        <f aca="false">IFERROR(INDEX(종합!Y$3:Y$501,MATCH(ROW()-2,종합!$AB$3:$AB$501,0))&amp;"","")</f>
        <v>gyutae.lim@datamaker.io</v>
      </c>
      <c r="Z17" s="21" t="str">
        <f aca="false">IFERROR(INDEX(종합!Z$3:Z$501,MATCH(ROW()-2,종합!$AB$3:$AB$501,0))&amp;"","")</f>
        <v>010-9413-0411</v>
      </c>
    </row>
    <row r="18" customFormat="false" ht="22.5" hidden="false" customHeight="true" outlineLevel="0" collapsed="false">
      <c r="A18" s="18" t="n">
        <f aca="false">IF(B18="","",ROW()-2)</f>
        <v>16</v>
      </c>
      <c r="B18" s="18" t="str">
        <f aca="false">IFERROR(INDEX(종합!B$3:B$501,MATCH(ROW()-2,종합!$AB$3:$AB$501,0))&amp;"","")</f>
        <v>주식회사 이노포스트 </v>
      </c>
      <c r="C18" s="18" t="str">
        <f aca="false">IFERROR(INDEX(종합!C$3:C$501,MATCH(ROW()-2,종합!$AB$3:$AB$501,0))&amp;"","")</f>
        <v>O</v>
      </c>
      <c r="D18" s="18" t="str">
        <f aca="false">IFERROR(INDEX(종합!D$3:D$501,MATCH(ROW()-2,종합!$AB$3:$AB$501,0))&amp;"","")</f>
        <v/>
      </c>
      <c r="E18" s="18" t="str">
        <f aca="false">IFERROR(INDEX(종합!E$3:E$501,MATCH(ROW()-2,종합!$AB$3:$AB$501,0))&amp;"","")</f>
        <v/>
      </c>
      <c r="F18" s="18" t="str">
        <f aca="false">IFERROR(INDEX(종합!F$3:F$501,MATCH(ROW()-2,종합!$AB$3:$AB$501,0))&amp;"","")</f>
        <v/>
      </c>
      <c r="G18" s="18" t="str">
        <f aca="false">IFERROR(INDEX(종합!G$3:G$501,MATCH(ROW()-2,종합!$AB$3:$AB$501,0))&amp;"","")</f>
        <v>중소기업</v>
      </c>
      <c r="H18" s="21" t="str">
        <f aca="false">IFERROR(INDEX(종합!H$3:H$501,MATCH(ROW()-2,종합!$AB$3:$AB$501,0))&amp;"","")</f>
        <v>114-86-86878</v>
      </c>
      <c r="I18" s="21" t="str">
        <f aca="false">IFERROR(INDEX(종합!I$3:I$501,MATCH(ROW()-2,종합!$AB$3:$AB$501,0))&amp;"","")</f>
        <v>정종민</v>
      </c>
      <c r="J18" s="21" t="str">
        <f aca="false">IFERROR(INDEX(종합!J$3:J$501,MATCH(ROW()-2,종합!$AB$3:$AB$501,0))&amp;"","")</f>
        <v>070-7727-9922</v>
      </c>
      <c r="K18" s="21" t="str">
        <f aca="false">IFERROR(INDEX(종합!K$3:K$501,MATCH(ROW()-2,종합!$AB$3:$AB$501,0))&amp;"","")</f>
        <v>https://innopost21.com/</v>
      </c>
      <c r="L18" s="21" t="str">
        <f aca="false">IFERROR(INDEX(종합!L$3:L$501,MATCH(ROW()-2,종합!$AB$3:$AB$501,0))&amp;"","")</f>
        <v>innop.developer@gmail.com</v>
      </c>
      <c r="M18" s="21" t="str">
        <f aca="false">IFERROR(INDEX(종합!M$3:M$501,MATCH(ROW()-2,종합!$AB$3:$AB$501,0))&amp;"","")</f>
        <v>서울 서초구 동광로2, 5층</v>
      </c>
      <c r="N18" s="25" t="str">
        <f aca="false">IFERROR(INDEX(종합!N$3:N$501,MATCH(ROW()-2,종합!$AB$3:$AB$501,0))&amp;"","")</f>
        <v>수질오염 예측 플랫폼</v>
      </c>
      <c r="O18" s="21" t="str">
        <f aca="false">IFERROR(INDEX(종합!O$3:O$501,MATCH(ROW()-2,종합!$AB$3:$AB$501,0))&amp;"","")</f>
        <v>정종민</v>
      </c>
      <c r="P18" s="21" t="str">
        <f aca="false">IFERROR(INDEX(종합!P$3:P$501,MATCH(ROW()-2,종합!$AB$3:$AB$501,0))&amp;"","")</f>
        <v>이노포스트</v>
      </c>
      <c r="Q18" s="21" t="str">
        <f aca="false">IFERROR(INDEX(종합!Q$3:Q$501,MATCH(ROW()-2,종합!$AB$3:$AB$501,0))&amp;"","")</f>
        <v>대표 이사 </v>
      </c>
      <c r="R18" s="21" t="str">
        <f aca="false">IFERROR(INDEX(종합!R$3:R$501,MATCH(ROW()-2,종합!$AB$3:$AB$501,0))&amp;"","")</f>
        <v>070-7727-9922</v>
      </c>
      <c r="S18" s="21" t="str">
        <f aca="false">IFERROR(INDEX(종합!S$3:S$501,MATCH(ROW()-2,종합!$AB$3:$AB$501,0))&amp;"","")</f>
        <v>jjm3826@innopost21.com</v>
      </c>
      <c r="T18" s="21" t="str">
        <f aca="false">IFERROR(INDEX(종합!T$3:T$501,MATCH(ROW()-2,종합!$AB$3:$AB$501,0))&amp;"","")</f>
        <v>010-8610-1544</v>
      </c>
      <c r="U18" s="21" t="str">
        <f aca="false">IFERROR(INDEX(종합!U$3:U$501,MATCH(ROW()-2,종합!$AB$3:$AB$501,0))&amp;"","")</f>
        <v>김민성 </v>
      </c>
      <c r="V18" s="21" t="str">
        <f aca="false">IFERROR(INDEX(종합!V$3:V$501,MATCH(ROW()-2,종합!$AB$3:$AB$501,0))&amp;"","")</f>
        <v>AI&amp;Data Lab</v>
      </c>
      <c r="W18" s="21" t="str">
        <f aca="false">IFERROR(INDEX(종합!W$3:W$501,MATCH(ROW()-2,종합!$AB$3:$AB$501,0))&amp;"","")</f>
        <v>책임 연구원 / 팀장 </v>
      </c>
      <c r="X18" s="21" t="str">
        <f aca="false">IFERROR(INDEX(종합!X$3:X$501,MATCH(ROW()-2,종합!$AB$3:$AB$501,0))&amp;"","")</f>
        <v>070-7727-9922</v>
      </c>
      <c r="Y18" s="21" t="str">
        <f aca="false">IFERROR(INDEX(종합!Y$3:Y$501,MATCH(ROW()-2,종합!$AB$3:$AB$501,0))&amp;"","")</f>
        <v>lazy-giant@innopost21.com</v>
      </c>
      <c r="Z18" s="21" t="str">
        <f aca="false">IFERROR(INDEX(종합!Z$3:Z$501,MATCH(ROW()-2,종합!$AB$3:$AB$501,0))&amp;"","")</f>
        <v>010-9328-2760</v>
      </c>
    </row>
    <row r="19" customFormat="false" ht="22.5" hidden="false" customHeight="true" outlineLevel="0" collapsed="false">
      <c r="A19" s="18" t="n">
        <f aca="false">IF(B19="","",ROW()-2)</f>
        <v>17</v>
      </c>
      <c r="B19" s="18" t="str">
        <f aca="false">IFERROR(INDEX(종합!B$3:B$501,MATCH(ROW()-2,종합!$AB$3:$AB$501,0))&amp;"","")</f>
        <v>PPS</v>
      </c>
      <c r="C19" s="18" t="str">
        <f aca="false">IFERROR(INDEX(종합!C$3:C$501,MATCH(ROW()-2,종합!$AB$3:$AB$501,0))&amp;"","")</f>
        <v>O</v>
      </c>
      <c r="D19" s="18" t="str">
        <f aca="false">IFERROR(INDEX(종합!D$3:D$501,MATCH(ROW()-2,종합!$AB$3:$AB$501,0))&amp;"","")</f>
        <v/>
      </c>
      <c r="E19" s="18" t="str">
        <f aca="false">IFERROR(INDEX(종합!E$3:E$501,MATCH(ROW()-2,종합!$AB$3:$AB$501,0))&amp;"","")</f>
        <v/>
      </c>
      <c r="F19" s="18" t="str">
        <f aca="false">IFERROR(INDEX(종합!F$3:F$501,MATCH(ROW()-2,종합!$AB$3:$AB$501,0))&amp;"","")</f>
        <v/>
      </c>
      <c r="G19" s="18" t="str">
        <f aca="false">IFERROR(INDEX(종합!G$3:G$501,MATCH(ROW()-2,종합!$AB$3:$AB$501,0))&amp;"","")</f>
        <v>중소기업</v>
      </c>
      <c r="H19" s="21" t="str">
        <f aca="false">IFERROR(INDEX(종합!H$3:H$501,MATCH(ROW()-2,종합!$AB$3:$AB$501,0))&amp;"","")</f>
        <v>294-87-00597</v>
      </c>
      <c r="I19" s="21" t="str">
        <f aca="false">IFERROR(INDEX(종합!I$3:I$501,MATCH(ROW()-2,종합!$AB$3:$AB$501,0))&amp;"","")</f>
        <v>권영준</v>
      </c>
      <c r="J19" s="21" t="str">
        <f aca="false">IFERROR(INDEX(종합!J$3:J$501,MATCH(ROW()-2,종합!$AB$3:$AB$501,0))&amp;"","")</f>
        <v>070-7771-6307</v>
      </c>
      <c r="K19" s="21" t="str">
        <f aca="false">IFERROR(INDEX(종합!K$3:K$501,MATCH(ROW()-2,종합!$AB$3:$AB$501,0))&amp;"","")</f>
        <v>https://www.ppsystem.co.kr/</v>
      </c>
      <c r="L19" s="21" t="str">
        <f aca="false">IFERROR(INDEX(종합!L$3:L$501,MATCH(ROW()-2,종합!$AB$3:$AB$501,0))&amp;"","")</f>
        <v>suhyeon9937@gmail.com</v>
      </c>
      <c r="M19" s="21" t="str">
        <f aca="false">IFERROR(INDEX(종합!M$3:M$501,MATCH(ROW()-2,종합!$AB$3:$AB$501,0))&amp;"","")</f>
        <v>서울특별시 광진구 자양로131 K&amp;S빌딩 4층</v>
      </c>
      <c r="N19" s="25" t="str">
        <f aca="false">IFERROR(INDEX(종합!N$3:N$501,MATCH(ROW()-2,종합!$AB$3:$AB$501,0))&amp;"","")</f>
        <v>영상탐지, 음성인식(화자분리), LLM(RAG), AiAgent 개발</v>
      </c>
      <c r="O19" s="21" t="str">
        <f aca="false">IFERROR(INDEX(종합!O$3:O$501,MATCH(ROW()-2,종합!$AB$3:$AB$501,0))&amp;"","")</f>
        <v>박석준</v>
      </c>
      <c r="P19" s="21" t="str">
        <f aca="false">IFERROR(INDEX(종합!P$3:P$501,MATCH(ROW()-2,종합!$AB$3:$AB$501,0))&amp;"","")</f>
        <v>임원</v>
      </c>
      <c r="Q19" s="21" t="str">
        <f aca="false">IFERROR(INDEX(종합!Q$3:Q$501,MATCH(ROW()-2,종합!$AB$3:$AB$501,0))&amp;"","")</f>
        <v>고문</v>
      </c>
      <c r="R19" s="21" t="str">
        <f aca="false">IFERROR(INDEX(종합!R$3:R$501,MATCH(ROW()-2,종합!$AB$3:$AB$501,0))&amp;"","")</f>
        <v>070-7771-6307</v>
      </c>
      <c r="S19" s="21" t="str">
        <f aca="false">IFERROR(INDEX(종합!S$3:S$501,MATCH(ROW()-2,종합!$AB$3:$AB$501,0))&amp;"","")</f>
        <v>parksj@ppsystem.co.kr</v>
      </c>
      <c r="T19" s="21" t="str">
        <f aca="false">IFERROR(INDEX(종합!T$3:T$501,MATCH(ROW()-2,종합!$AB$3:$AB$501,0))&amp;"","")</f>
        <v>010-7640-1565</v>
      </c>
      <c r="U19" s="21" t="str">
        <f aca="false">IFERROR(INDEX(종합!U$3:U$501,MATCH(ROW()-2,종합!$AB$3:$AB$501,0))&amp;"","")</f>
        <v>김수현</v>
      </c>
      <c r="V19" s="21" t="str">
        <f aca="false">IFERROR(INDEX(종합!V$3:V$501,MATCH(ROW()-2,종합!$AB$3:$AB$501,0))&amp;"","")</f>
        <v>AI기획</v>
      </c>
      <c r="W19" s="21" t="str">
        <f aca="false">IFERROR(INDEX(종합!W$3:W$501,MATCH(ROW()-2,종합!$AB$3:$AB$501,0))&amp;"","")</f>
        <v>팀장</v>
      </c>
      <c r="X19" s="21" t="str">
        <f aca="false">IFERROR(INDEX(종합!X$3:X$501,MATCH(ROW()-2,종합!$AB$3:$AB$501,0))&amp;"","")</f>
        <v>010-4349-9937</v>
      </c>
      <c r="Y19" s="21" t="str">
        <f aca="false">IFERROR(INDEX(종합!Y$3:Y$501,MATCH(ROW()-2,종합!$AB$3:$AB$501,0))&amp;"","")</f>
        <v>suhyeon9937@ppsystem.co.kr</v>
      </c>
      <c r="Z19" s="21" t="str">
        <f aca="false">IFERROR(INDEX(종합!Z$3:Z$501,MATCH(ROW()-2,종합!$AB$3:$AB$501,0))&amp;"","")</f>
        <v>010-4349-9937</v>
      </c>
    </row>
    <row r="20" customFormat="false" ht="33.75" hidden="false" customHeight="true" outlineLevel="0" collapsed="false">
      <c r="A20" s="18" t="n">
        <f aca="false">IF(B20="","",ROW()-2)</f>
        <v>18</v>
      </c>
      <c r="B20" s="18" t="str">
        <f aca="false">IFERROR(INDEX(종합!B$3:B$501,MATCH(ROW()-2,종합!$AB$3:$AB$501,0))&amp;"","")</f>
        <v>(주)에브리존 | 화이트디펜더</v>
      </c>
      <c r="C20" s="18" t="str">
        <f aca="false">IFERROR(INDEX(종합!C$3:C$501,MATCH(ROW()-2,종합!$AB$3:$AB$501,0))&amp;"","")</f>
        <v>O</v>
      </c>
      <c r="D20" s="18" t="str">
        <f aca="false">IFERROR(INDEX(종합!D$3:D$501,MATCH(ROW()-2,종합!$AB$3:$AB$501,0))&amp;"","")</f>
        <v/>
      </c>
      <c r="E20" s="18" t="str">
        <f aca="false">IFERROR(INDEX(종합!E$3:E$501,MATCH(ROW()-2,종합!$AB$3:$AB$501,0))&amp;"","")</f>
        <v/>
      </c>
      <c r="F20" s="18" t="str">
        <f aca="false">IFERROR(INDEX(종합!F$3:F$501,MATCH(ROW()-2,종합!$AB$3:$AB$501,0))&amp;"","")</f>
        <v/>
      </c>
      <c r="G20" s="18" t="str">
        <f aca="false">IFERROR(INDEX(종합!G$3:G$501,MATCH(ROW()-2,종합!$AB$3:$AB$501,0))&amp;"","")</f>
        <v>중소기업</v>
      </c>
      <c r="H20" s="21" t="str">
        <f aca="false">IFERROR(INDEX(종합!H$3:H$501,MATCH(ROW()-2,종합!$AB$3:$AB$501,0))&amp;"","")</f>
        <v>220-81-67981</v>
      </c>
      <c r="I20" s="21" t="str">
        <f aca="false">IFERROR(INDEX(종합!I$3:I$501,MATCH(ROW()-2,종합!$AB$3:$AB$501,0))&amp;"","")</f>
        <v>홍승균</v>
      </c>
      <c r="J20" s="21" t="str">
        <f aca="false">IFERROR(INDEX(종합!J$3:J$501,MATCH(ROW()-2,종합!$AB$3:$AB$501,0))&amp;"","")</f>
        <v>010-4750-0360</v>
      </c>
      <c r="K20" s="21" t="str">
        <f aca="false">IFERROR(INDEX(종합!K$3:K$501,MATCH(ROW()-2,종합!$AB$3:$AB$501,0))&amp;"","")</f>
        <v>www.whitedefender.com</v>
      </c>
      <c r="L20" s="21" t="str">
        <f aca="false">IFERROR(INDEX(종합!L$3:L$501,MATCH(ROW()-2,종합!$AB$3:$AB$501,0))&amp;"","")</f>
        <v>snslab@gmail.com</v>
      </c>
      <c r="M20" s="21" t="str">
        <f aca="false">IFERROR(INDEX(종합!M$3:M$501,MATCH(ROW()-2,종합!$AB$3:$AB$501,0))&amp;"","")</f>
        <v>서울시 마포구 마포대로 136, 지방재정빌딩 9층</v>
      </c>
      <c r="N20" s="25" t="str">
        <f aca="false">IFERROR(INDEX(종합!N$3:N$501,MATCH(ROW()-2,종합!$AB$3:$AB$501,0))&amp;"","")</f>
        <v>엔드포인트 보안 에이전트 보유 (행위탐지로 랜섬웨어 차단 알고리즘 보유)</v>
      </c>
      <c r="O20" s="21" t="str">
        <f aca="false">IFERROR(INDEX(종합!O$3:O$501,MATCH(ROW()-2,종합!$AB$3:$AB$501,0))&amp;"","")</f>
        <v>홍승균</v>
      </c>
      <c r="P20" s="21" t="str">
        <f aca="false">IFERROR(INDEX(종합!P$3:P$501,MATCH(ROW()-2,종합!$AB$3:$AB$501,0))&amp;"","")</f>
        <v>대표이사</v>
      </c>
      <c r="Q20" s="21" t="str">
        <f aca="false">IFERROR(INDEX(종합!Q$3:Q$501,MATCH(ROW()-2,종합!$AB$3:$AB$501,0))&amp;"","")</f>
        <v>대표이사</v>
      </c>
      <c r="R20" s="21" t="str">
        <f aca="false">IFERROR(INDEX(종합!R$3:R$501,MATCH(ROW()-2,종합!$AB$3:$AB$501,0))&amp;"","")</f>
        <v>02-3274-2700</v>
      </c>
      <c r="S20" s="21" t="str">
        <f aca="false">IFERROR(INDEX(종합!S$3:S$501,MATCH(ROW()-2,종합!$AB$3:$AB$501,0))&amp;"","")</f>
        <v>skhong@everyzone.com</v>
      </c>
      <c r="T20" s="21" t="str">
        <f aca="false">IFERROR(INDEX(종합!T$3:T$501,MATCH(ROW()-2,종합!$AB$3:$AB$501,0))&amp;"","")</f>
        <v>010-4750-0360</v>
      </c>
      <c r="U20" s="21" t="str">
        <f aca="false">IFERROR(INDEX(종합!U$3:U$501,MATCH(ROW()-2,종합!$AB$3:$AB$501,0))&amp;"","")</f>
        <v>홍승균</v>
      </c>
      <c r="V20" s="21" t="str">
        <f aca="false">IFERROR(INDEX(종합!V$3:V$501,MATCH(ROW()-2,종합!$AB$3:$AB$501,0))&amp;"","")</f>
        <v>대표이사</v>
      </c>
      <c r="W20" s="21" t="str">
        <f aca="false">IFERROR(INDEX(종합!W$3:W$501,MATCH(ROW()-2,종합!$AB$3:$AB$501,0))&amp;"","")</f>
        <v>대표이사</v>
      </c>
      <c r="X20" s="21" t="str">
        <f aca="false">IFERROR(INDEX(종합!X$3:X$501,MATCH(ROW()-2,종합!$AB$3:$AB$501,0))&amp;"","")</f>
        <v>02-3274-2700</v>
      </c>
      <c r="Y20" s="21" t="str">
        <f aca="false">IFERROR(INDEX(종합!Y$3:Y$501,MATCH(ROW()-2,종합!$AB$3:$AB$501,0))&amp;"","")</f>
        <v>skhong@everyzone.com</v>
      </c>
      <c r="Z20" s="21" t="str">
        <f aca="false">IFERROR(INDEX(종합!Z$3:Z$501,MATCH(ROW()-2,종합!$AB$3:$AB$501,0))&amp;"","")</f>
        <v>010-4750-0360</v>
      </c>
    </row>
    <row r="21" customFormat="false" ht="22.5" hidden="false" customHeight="true" outlineLevel="0" collapsed="false">
      <c r="A21" s="18" t="n">
        <f aca="false">IF(B21="","",ROW()-2)</f>
        <v>19</v>
      </c>
      <c r="B21" s="18" t="str">
        <f aca="false">IFERROR(INDEX(종합!B$3:B$501,MATCH(ROW()-2,종합!$AB$3:$AB$501,0))&amp;"","")</f>
        <v>(주)헥토</v>
      </c>
      <c r="C21" s="18" t="str">
        <f aca="false">IFERROR(INDEX(종합!C$3:C$501,MATCH(ROW()-2,종합!$AB$3:$AB$501,0))&amp;"","")</f>
        <v>O</v>
      </c>
      <c r="D21" s="18" t="str">
        <f aca="false">IFERROR(INDEX(종합!D$3:D$501,MATCH(ROW()-2,종합!$AB$3:$AB$501,0))&amp;"","")</f>
        <v/>
      </c>
      <c r="E21" s="18" t="str">
        <f aca="false">IFERROR(INDEX(종합!E$3:E$501,MATCH(ROW()-2,종합!$AB$3:$AB$501,0))&amp;"","")</f>
        <v/>
      </c>
      <c r="F21" s="18" t="str">
        <f aca="false">IFERROR(INDEX(종합!F$3:F$501,MATCH(ROW()-2,종합!$AB$3:$AB$501,0))&amp;"","")</f>
        <v/>
      </c>
      <c r="G21" s="18" t="str">
        <f aca="false">IFERROR(INDEX(종합!G$3:G$501,MATCH(ROW()-2,종합!$AB$3:$AB$501,0))&amp;"","")</f>
        <v>중소기업</v>
      </c>
      <c r="H21" s="21" t="str">
        <f aca="false">IFERROR(INDEX(종합!H$3:H$501,MATCH(ROW()-2,종합!$AB$3:$AB$501,0))&amp;"","")</f>
        <v>732-86-01395</v>
      </c>
      <c r="I21" s="21" t="str">
        <f aca="false">IFERROR(INDEX(종합!I$3:I$501,MATCH(ROW()-2,종합!$AB$3:$AB$501,0))&amp;"","")</f>
        <v>도형동</v>
      </c>
      <c r="J21" s="21" t="str">
        <f aca="false">IFERROR(INDEX(종합!J$3:J$501,MATCH(ROW()-2,종합!$AB$3:$AB$501,0))&amp;"","")</f>
        <v>10262389494</v>
      </c>
      <c r="K21" s="21" t="str">
        <f aca="false">IFERROR(INDEX(종합!K$3:K$501,MATCH(ROW()-2,종합!$AB$3:$AB$501,0))&amp;"","")</f>
        <v>hecto.co.kr</v>
      </c>
      <c r="L21" s="21" t="str">
        <f aca="false">IFERROR(INDEX(종합!L$3:L$501,MATCH(ROW()-2,종합!$AB$3:$AB$501,0))&amp;"","")</f>
        <v>itleading@gmail.com</v>
      </c>
      <c r="M21" s="21" t="str">
        <f aca="false">IFERROR(INDEX(종합!M$3:M$501,MATCH(ROW()-2,종합!$AB$3:$AB$501,0))&amp;"","")</f>
        <v>서울시 강남구 테헤란로 223 큰길타워 3F</v>
      </c>
      <c r="N21" s="25" t="str">
        <f aca="false">IFERROR(INDEX(종합!N$3:N$501,MATCH(ROW()-2,종합!$AB$3:$AB$501,0))&amp;"","")</f>
        <v>Agent, XAI, sLLM 등</v>
      </c>
      <c r="O21" s="21" t="str">
        <f aca="false">IFERROR(INDEX(종합!O$3:O$501,MATCH(ROW()-2,종합!$AB$3:$AB$501,0))&amp;"","")</f>
        <v>김정근</v>
      </c>
      <c r="P21" s="21" t="str">
        <f aca="false">IFERROR(INDEX(종합!P$3:P$501,MATCH(ROW()-2,종합!$AB$3:$AB$501,0))&amp;"","")</f>
        <v>HAI본부</v>
      </c>
      <c r="Q21" s="21" t="str">
        <f aca="false">IFERROR(INDEX(종합!Q$3:Q$501,MATCH(ROW()-2,종합!$AB$3:$AB$501,0))&amp;"","")</f>
        <v>전무</v>
      </c>
      <c r="R21" s="21" t="str">
        <f aca="false">IFERROR(INDEX(종합!R$3:R$501,MATCH(ROW()-2,종합!$AB$3:$AB$501,0))&amp;"","")</f>
        <v>010262389494</v>
      </c>
      <c r="S21" s="21" t="str">
        <f aca="false">IFERROR(INDEX(종합!S$3:S$501,MATCH(ROW()-2,종합!$AB$3:$AB$501,0))&amp;"","")</f>
        <v>jkkim@hecto.co.kr</v>
      </c>
      <c r="T21" s="21" t="str">
        <f aca="false">IFERROR(INDEX(종합!T$3:T$501,MATCH(ROW()-2,종합!$AB$3:$AB$501,0))&amp;"","")</f>
        <v>010-2623-89494</v>
      </c>
      <c r="U21" s="21" t="str">
        <f aca="false">IFERROR(INDEX(종합!U$3:U$501,MATCH(ROW()-2,종합!$AB$3:$AB$501,0))&amp;"","")</f>
        <v>이대현</v>
      </c>
      <c r="V21" s="21" t="str">
        <f aca="false">IFERROR(INDEX(종합!V$3:V$501,MATCH(ROW()-2,종합!$AB$3:$AB$501,0))&amp;"","")</f>
        <v>HAI본부</v>
      </c>
      <c r="W21" s="21" t="str">
        <f aca="false">IFERROR(INDEX(종합!W$3:W$501,MATCH(ROW()-2,종합!$AB$3:$AB$501,0))&amp;"","")</f>
        <v>상무</v>
      </c>
      <c r="X21" s="21" t="str">
        <f aca="false">IFERROR(INDEX(종합!X$3:X$501,MATCH(ROW()-2,종합!$AB$3:$AB$501,0))&amp;"","")</f>
        <v>010-4748-4097</v>
      </c>
      <c r="Y21" s="21" t="str">
        <f aca="false">IFERROR(INDEX(종합!Y$3:Y$501,MATCH(ROW()-2,종합!$AB$3:$AB$501,0))&amp;"","")</f>
        <v>terry.yi@hecto.co.kr</v>
      </c>
      <c r="Z21" s="21" t="str">
        <f aca="false">IFERROR(INDEX(종합!Z$3:Z$501,MATCH(ROW()-2,종합!$AB$3:$AB$501,0))&amp;"","")</f>
        <v>010-4748-4097</v>
      </c>
    </row>
    <row r="22" customFormat="false" ht="22.5" hidden="false" customHeight="true" outlineLevel="0" collapsed="false">
      <c r="A22" s="18" t="n">
        <f aca="false">IF(B22="","",ROW()-2)</f>
        <v>20</v>
      </c>
      <c r="B22" s="18" t="str">
        <f aca="false">IFERROR(INDEX(종합!B$3:B$501,MATCH(ROW()-2,종합!$AB$3:$AB$501,0))&amp;"","")</f>
        <v>OPEN TS</v>
      </c>
      <c r="C22" s="18" t="str">
        <f aca="false">IFERROR(INDEX(종합!C$3:C$501,MATCH(ROW()-2,종합!$AB$3:$AB$501,0))&amp;"","")</f>
        <v>O</v>
      </c>
      <c r="D22" s="18" t="str">
        <f aca="false">IFERROR(INDEX(종합!D$3:D$501,MATCH(ROW()-2,종합!$AB$3:$AB$501,0))&amp;"","")</f>
        <v/>
      </c>
      <c r="E22" s="18" t="str">
        <f aca="false">IFERROR(INDEX(종합!E$3:E$501,MATCH(ROW()-2,종합!$AB$3:$AB$501,0))&amp;"","")</f>
        <v/>
      </c>
      <c r="F22" s="18" t="str">
        <f aca="false">IFERROR(INDEX(종합!F$3:F$501,MATCH(ROW()-2,종합!$AB$3:$AB$501,0))&amp;"","")</f>
        <v/>
      </c>
      <c r="G22" s="18" t="str">
        <f aca="false">IFERROR(INDEX(종합!G$3:G$501,MATCH(ROW()-2,종합!$AB$3:$AB$501,0))&amp;"","")</f>
        <v>중소기업</v>
      </c>
      <c r="H22" s="21" t="str">
        <f aca="false">IFERROR(INDEX(종합!H$3:H$501,MATCH(ROW()-2,종합!$AB$3:$AB$501,0))&amp;"","")</f>
        <v>608-17-46545</v>
      </c>
      <c r="I22" s="21" t="str">
        <f aca="false">IFERROR(INDEX(종합!I$3:I$501,MATCH(ROW()-2,종합!$AB$3:$AB$501,0))&amp;"","")</f>
        <v>김재규</v>
      </c>
      <c r="J22" s="21" t="str">
        <f aca="false">IFERROR(INDEX(종합!J$3:J$501,MATCH(ROW()-2,종합!$AB$3:$AB$501,0))&amp;"","")</f>
        <v>010-3882-1081</v>
      </c>
      <c r="K22" s="21" t="str">
        <f aca="false">IFERROR(INDEX(종합!K$3:K$501,MATCH(ROW()-2,종합!$AB$3:$AB$501,0))&amp;"","")</f>
        <v>www.opents.co.kr</v>
      </c>
      <c r="L22" s="21" t="str">
        <f aca="false">IFERROR(INDEX(종합!L$3:L$501,MATCH(ROW()-2,종합!$AB$3:$AB$501,0))&amp;"","")</f>
        <v>o118821081@gmail.com</v>
      </c>
      <c r="M22" s="21" t="str">
        <f aca="false">IFERROR(INDEX(종합!M$3:M$501,MATCH(ROW()-2,종합!$AB$3:$AB$501,0))&amp;"","")</f>
        <v>경남 창원시 성산구 마디미로56번길8, 리더스빌딩 802호</v>
      </c>
      <c r="N22" s="25" t="str">
        <f aca="false">IFERROR(INDEX(종합!N$3:N$501,MATCH(ROW()-2,종합!$AB$3:$AB$501,0))&amp;"","")</f>
        <v>MES전용 LLM AI Agent</v>
      </c>
      <c r="O22" s="21" t="str">
        <f aca="false">IFERROR(INDEX(종합!O$3:O$501,MATCH(ROW()-2,종합!$AB$3:$AB$501,0))&amp;"","")</f>
        <v>김재규</v>
      </c>
      <c r="P22" s="21" t="str">
        <f aca="false">IFERROR(INDEX(종합!P$3:P$501,MATCH(ROW()-2,종합!$AB$3:$AB$501,0))&amp;"","")</f>
        <v>개발관리</v>
      </c>
      <c r="Q22" s="21" t="str">
        <f aca="false">IFERROR(INDEX(종합!Q$3:Q$501,MATCH(ROW()-2,종합!$AB$3:$AB$501,0))&amp;"","")</f>
        <v>대표</v>
      </c>
      <c r="R22" s="21" t="str">
        <f aca="false">IFERROR(INDEX(종합!R$3:R$501,MATCH(ROW()-2,종합!$AB$3:$AB$501,0))&amp;"","")</f>
        <v>055-715-1081</v>
      </c>
      <c r="S22" s="21" t="str">
        <f aca="false">IFERROR(INDEX(종합!S$3:S$501,MATCH(ROW()-2,종합!$AB$3:$AB$501,0))&amp;"","")</f>
        <v>jk.kim@opents.co.kr</v>
      </c>
      <c r="T22" s="21" t="str">
        <f aca="false">IFERROR(INDEX(종합!T$3:T$501,MATCH(ROW()-2,종합!$AB$3:$AB$501,0))&amp;"","")</f>
        <v>010-3882-1081</v>
      </c>
      <c r="U22" s="21" t="str">
        <f aca="false">IFERROR(INDEX(종합!U$3:U$501,MATCH(ROW()-2,종합!$AB$3:$AB$501,0))&amp;"","")</f>
        <v>김수연</v>
      </c>
      <c r="V22" s="21" t="str">
        <f aca="false">IFERROR(INDEX(종합!V$3:V$501,MATCH(ROW()-2,종합!$AB$3:$AB$501,0))&amp;"","")</f>
        <v>개발팀</v>
      </c>
      <c r="W22" s="21" t="str">
        <f aca="false">IFERROR(INDEX(종합!W$3:W$501,MATCH(ROW()-2,종합!$AB$3:$AB$501,0))&amp;"","")</f>
        <v>차장/팀장</v>
      </c>
      <c r="X22" s="21" t="str">
        <f aca="false">IFERROR(INDEX(종합!X$3:X$501,MATCH(ROW()-2,종합!$AB$3:$AB$501,0))&amp;"","")</f>
        <v>055-715-1081</v>
      </c>
      <c r="Y22" s="21" t="str">
        <f aca="false">IFERROR(INDEX(종합!Y$3:Y$501,MATCH(ROW()-2,종합!$AB$3:$AB$501,0))&amp;"","")</f>
        <v>su.kim@opents.co.kr</v>
      </c>
      <c r="Z22" s="21" t="str">
        <f aca="false">IFERROR(INDEX(종합!Z$3:Z$501,MATCH(ROW()-2,종합!$AB$3:$AB$501,0))&amp;"","")</f>
        <v>010-4844-4050</v>
      </c>
    </row>
    <row r="23" customFormat="false" ht="22.5" hidden="false" customHeight="true" outlineLevel="0" collapsed="false">
      <c r="A23" s="18" t="n">
        <f aca="false">IF(B23="","",ROW()-2)</f>
        <v>21</v>
      </c>
      <c r="B23" s="18" t="str">
        <f aca="false">IFERROR(INDEX(종합!B$3:B$501,MATCH(ROW()-2,종합!$AB$3:$AB$501,0))&amp;"","")</f>
        <v> ㈜이든티앤에스</v>
      </c>
      <c r="C23" s="18" t="str">
        <f aca="false">IFERROR(INDEX(종합!C$3:C$501,MATCH(ROW()-2,종합!$AB$3:$AB$501,0))&amp;"","")</f>
        <v>O</v>
      </c>
      <c r="D23" s="18" t="str">
        <f aca="false">IFERROR(INDEX(종합!D$3:D$501,MATCH(ROW()-2,종합!$AB$3:$AB$501,0))&amp;"","")</f>
        <v/>
      </c>
      <c r="E23" s="18" t="str">
        <f aca="false">IFERROR(INDEX(종합!E$3:E$501,MATCH(ROW()-2,종합!$AB$3:$AB$501,0))&amp;"","")</f>
        <v/>
      </c>
      <c r="F23" s="18" t="str">
        <f aca="false">IFERROR(INDEX(종합!F$3:F$501,MATCH(ROW()-2,종합!$AB$3:$AB$501,0))&amp;"","")</f>
        <v/>
      </c>
      <c r="G23" s="18" t="str">
        <f aca="false">IFERROR(INDEX(종합!G$3:G$501,MATCH(ROW()-2,종합!$AB$3:$AB$501,0))&amp;"","")</f>
        <v>중소기업</v>
      </c>
      <c r="H23" s="21" t="str">
        <f aca="false">IFERROR(INDEX(종합!H$3:H$501,MATCH(ROW()-2,종합!$AB$3:$AB$501,0))&amp;"","")</f>
        <v>113-86-29442</v>
      </c>
      <c r="I23" s="21" t="str">
        <f aca="false">IFERROR(INDEX(종합!I$3:I$501,MATCH(ROW()-2,종합!$AB$3:$AB$501,0))&amp;"","")</f>
        <v>김연기</v>
      </c>
      <c r="J23" s="21" t="str">
        <f aca="false">IFERROR(INDEX(종합!J$3:J$501,MATCH(ROW()-2,종합!$AB$3:$AB$501,0))&amp;"","")</f>
        <v>02-785-0700 </v>
      </c>
      <c r="K23" s="21" t="str">
        <f aca="false">IFERROR(INDEX(종합!K$3:K$501,MATCH(ROW()-2,종합!$AB$3:$AB$501,0))&amp;"","")</f>
        <v>https://edentns.com/</v>
      </c>
      <c r="L23" s="21" t="str">
        <f aca="false">IFERROR(INDEX(종합!L$3:L$501,MATCH(ROW()-2,종합!$AB$3:$AB$501,0))&amp;"","")</f>
        <v>ggyong042701@gmail.com</v>
      </c>
      <c r="M23" s="21" t="str">
        <f aca="false">IFERROR(INDEX(종합!M$3:M$501,MATCH(ROW()-2,종합!$AB$3:$AB$501,0))&amp;"","")</f>
        <v>서울특별시 영등포구 여의도동 국회대로 62길 14 한국스카우트연맹 4층</v>
      </c>
      <c r="N23" s="25" t="str">
        <f aca="false">IFERROR(INDEX(종합!N$3:N$501,MATCH(ROW()-2,종합!$AB$3:$AB$501,0))&amp;"","")</f>
        <v>LLM, OCR, RPA</v>
      </c>
      <c r="O23" s="21" t="str">
        <f aca="false">IFERROR(INDEX(종합!O$3:O$501,MATCH(ROW()-2,종합!$AB$3:$AB$501,0))&amp;"","")</f>
        <v>최효석</v>
      </c>
      <c r="P23" s="21" t="str">
        <f aca="false">IFERROR(INDEX(종합!P$3:P$501,MATCH(ROW()-2,종합!$AB$3:$AB$501,0))&amp;"","")</f>
        <v>AI전략기술부</v>
      </c>
      <c r="Q23" s="21" t="str">
        <f aca="false">IFERROR(INDEX(종합!Q$3:Q$501,MATCH(ROW()-2,종합!$AB$3:$AB$501,0))&amp;"","")</f>
        <v>상무</v>
      </c>
      <c r="R23" s="21" t="str">
        <f aca="false">IFERROR(INDEX(종합!R$3:R$501,MATCH(ROW()-2,종합!$AB$3:$AB$501,0))&amp;"","")</f>
        <v>02-785-0700</v>
      </c>
      <c r="S23" s="21" t="str">
        <f aca="false">IFERROR(INDEX(종합!S$3:S$501,MATCH(ROW()-2,종합!$AB$3:$AB$501,0))&amp;"","")</f>
        <v>hschoi@edentns.com</v>
      </c>
      <c r="T23" s="21" t="str">
        <f aca="false">IFERROR(INDEX(종합!T$3:T$501,MATCH(ROW()-2,종합!$AB$3:$AB$501,0))&amp;"","")</f>
        <v>010-4213-0892</v>
      </c>
      <c r="U23" s="21" t="str">
        <f aca="false">IFERROR(INDEX(종합!U$3:U$501,MATCH(ROW()-2,종합!$AB$3:$AB$501,0))&amp;"","")</f>
        <v>윤지용</v>
      </c>
      <c r="V23" s="21" t="str">
        <f aca="false">IFERROR(INDEX(종합!V$3:V$501,MATCH(ROW()-2,종합!$AB$3:$AB$501,0))&amp;"","")</f>
        <v>AI전략기술부</v>
      </c>
      <c r="W23" s="21" t="str">
        <f aca="false">IFERROR(INDEX(종합!W$3:W$501,MATCH(ROW()-2,종합!$AB$3:$AB$501,0))&amp;"","")</f>
        <v>사원</v>
      </c>
      <c r="X23" s="21" t="str">
        <f aca="false">IFERROR(INDEX(종합!X$3:X$501,MATCH(ROW()-2,종합!$AB$3:$AB$501,0))&amp;"","")</f>
        <v>02-785-0700</v>
      </c>
      <c r="Y23" s="21" t="str">
        <f aca="false">IFERROR(INDEX(종합!Y$3:Y$501,MATCH(ROW()-2,종합!$AB$3:$AB$501,0))&amp;"","")</f>
        <v>jyyoon@edentns.com</v>
      </c>
      <c r="Z23" s="21" t="str">
        <f aca="false">IFERROR(INDEX(종합!Z$3:Z$501,MATCH(ROW()-2,종합!$AB$3:$AB$501,0))&amp;"","")</f>
        <v>010-3379-7559</v>
      </c>
    </row>
    <row r="24" customFormat="false" ht="47.25" hidden="false" customHeight="true" outlineLevel="0" collapsed="false">
      <c r="A24" s="18" t="n">
        <f aca="false">IF(B24="","",ROW()-2)</f>
        <v>22</v>
      </c>
      <c r="B24" s="18" t="str">
        <f aca="false">IFERROR(INDEX(종합!B$3:B$501,MATCH(ROW()-2,종합!$AB$3:$AB$501,0))&amp;"","")</f>
        <v>주식회사 시선에이아이</v>
      </c>
      <c r="C24" s="18" t="str">
        <f aca="false">IFERROR(INDEX(종합!C$3:C$501,MATCH(ROW()-2,종합!$AB$3:$AB$501,0))&amp;"","")</f>
        <v>O</v>
      </c>
      <c r="D24" s="18" t="str">
        <f aca="false">IFERROR(INDEX(종합!D$3:D$501,MATCH(ROW()-2,종합!$AB$3:$AB$501,0))&amp;"","")</f>
        <v/>
      </c>
      <c r="E24" s="18" t="str">
        <f aca="false">IFERROR(INDEX(종합!E$3:E$501,MATCH(ROW()-2,종합!$AB$3:$AB$501,0))&amp;"","")</f>
        <v/>
      </c>
      <c r="F24" s="18" t="str">
        <f aca="false">IFERROR(INDEX(종합!F$3:F$501,MATCH(ROW()-2,종합!$AB$3:$AB$501,0))&amp;"","")</f>
        <v/>
      </c>
      <c r="G24" s="18" t="str">
        <f aca="false">IFERROR(INDEX(종합!G$3:G$501,MATCH(ROW()-2,종합!$AB$3:$AB$501,0))&amp;"","")</f>
        <v>중소기업</v>
      </c>
      <c r="H24" s="21" t="str">
        <f aca="false">IFERROR(INDEX(종합!H$3:H$501,MATCH(ROW()-2,종합!$AB$3:$AB$501,0))&amp;"","")</f>
        <v>120-87-55359</v>
      </c>
      <c r="I24" s="21" t="str">
        <f aca="false">IFERROR(INDEX(종합!I$3:I$501,MATCH(ROW()-2,종합!$AB$3:$AB$501,0))&amp;"","")</f>
        <v>남운성</v>
      </c>
      <c r="J24" s="21" t="str">
        <f aca="false">IFERROR(INDEX(종합!J$3:J$501,MATCH(ROW()-2,종합!$AB$3:$AB$501,0))&amp;"","")</f>
        <v>02-6277-7800</v>
      </c>
      <c r="K24" s="21" t="str">
        <f aca="false">IFERROR(INDEX(종합!K$3:K$501,MATCH(ROW()-2,종합!$AB$3:$AB$501,0))&amp;"","")</f>
        <v>secern.ai</v>
      </c>
      <c r="L24" s="21" t="str">
        <f aca="false">IFERROR(INDEX(종합!L$3:L$501,MATCH(ROW()-2,종합!$AB$3:$AB$501,0))&amp;"","")</f>
        <v>ryan@cubox.ai</v>
      </c>
      <c r="M24" s="21" t="str">
        <f aca="false">IFERROR(INDEX(종합!M$3:M$501,MATCH(ROW()-2,종합!$AB$3:$AB$501,0))&amp;"","")</f>
        <v>서울 강남구 테헤란로22길 12</v>
      </c>
      <c r="N24" s="25" t="str">
        <f aca="false">IFERROR(INDEX(종합!N$3:N$501,MATCH(ROW()-2,종합!$AB$3:$AB$501,0))&amp;"","")</f>
        <v>얼굴인식기반의 출입통제 시스템, 사용자 지속인증 솔루션 (PC+VDI 환경), 얼굴 및 객채인식 융합한 CCTV 영상보안 솔루션</v>
      </c>
      <c r="O24" s="21" t="str">
        <f aca="false">IFERROR(INDEX(종합!O$3:O$501,MATCH(ROW()-2,종합!$AB$3:$AB$501,0))&amp;"","")</f>
        <v>황현상</v>
      </c>
      <c r="P24" s="21" t="str">
        <f aca="false">IFERROR(INDEX(종합!P$3:P$501,MATCH(ROW()-2,종합!$AB$3:$AB$501,0))&amp;"","")</f>
        <v>AI Lab</v>
      </c>
      <c r="Q24" s="21" t="str">
        <f aca="false">IFERROR(INDEX(종합!Q$3:Q$501,MATCH(ROW()-2,종합!$AB$3:$AB$501,0))&amp;"","")</f>
        <v>그룹장</v>
      </c>
      <c r="R24" s="21" t="str">
        <f aca="false">IFERROR(INDEX(종합!R$3:R$501,MATCH(ROW()-2,종합!$AB$3:$AB$501,0))&amp;"","")</f>
        <v>010-7355-8155</v>
      </c>
      <c r="S24" s="21" t="str">
        <f aca="false">IFERROR(INDEX(종합!S$3:S$501,MATCH(ROW()-2,종합!$AB$3:$AB$501,0))&amp;"","")</f>
        <v>hshwang@secern.ai</v>
      </c>
      <c r="T24" s="21" t="str">
        <f aca="false">IFERROR(INDEX(종합!T$3:T$501,MATCH(ROW()-2,종합!$AB$3:$AB$501,0))&amp;"","")</f>
        <v>010-7355-8155</v>
      </c>
      <c r="U24" s="21" t="str">
        <f aca="false">IFERROR(INDEX(종합!U$3:U$501,MATCH(ROW()-2,종합!$AB$3:$AB$501,0))&amp;"","")</f>
        <v>한상훈</v>
      </c>
      <c r="V24" s="21" t="str">
        <f aca="false">IFERROR(INDEX(종합!V$3:V$501,MATCH(ROW()-2,종합!$AB$3:$AB$501,0))&amp;"","")</f>
        <v>신사업팀</v>
      </c>
      <c r="W24" s="21" t="str">
        <f aca="false">IFERROR(INDEX(종합!W$3:W$501,MATCH(ROW()-2,종합!$AB$3:$AB$501,0))&amp;"","")</f>
        <v>프로</v>
      </c>
      <c r="X24" s="21" t="str">
        <f aca="false">IFERROR(INDEX(종합!X$3:X$501,MATCH(ROW()-2,종합!$AB$3:$AB$501,0))&amp;"","")</f>
        <v>010-9159-2403</v>
      </c>
      <c r="Y24" s="21" t="str">
        <f aca="false">IFERROR(INDEX(종합!Y$3:Y$501,MATCH(ROW()-2,종합!$AB$3:$AB$501,0))&amp;"","")</f>
        <v>shhan@secern.ai</v>
      </c>
      <c r="Z24" s="21" t="str">
        <f aca="false">IFERROR(INDEX(종합!Z$3:Z$501,MATCH(ROW()-2,종합!$AB$3:$AB$501,0))&amp;"","")</f>
        <v>010-9159-2403</v>
      </c>
    </row>
    <row r="25" customFormat="false" ht="22.5" hidden="false" customHeight="true" outlineLevel="0" collapsed="false">
      <c r="A25" s="18" t="n">
        <f aca="false">IF(B25="","",ROW()-2)</f>
        <v>23</v>
      </c>
      <c r="B25" s="18" t="str">
        <f aca="false">IFERROR(INDEX(종합!B$3:B$501,MATCH(ROW()-2,종합!$AB$3:$AB$501,0))&amp;"","")</f>
        <v>(주)비온</v>
      </c>
      <c r="C25" s="18" t="str">
        <f aca="false">IFERROR(INDEX(종합!C$3:C$501,MATCH(ROW()-2,종합!$AB$3:$AB$501,0))&amp;"","")</f>
        <v>O</v>
      </c>
      <c r="D25" s="18" t="str">
        <f aca="false">IFERROR(INDEX(종합!D$3:D$501,MATCH(ROW()-2,종합!$AB$3:$AB$501,0))&amp;"","")</f>
        <v/>
      </c>
      <c r="E25" s="18" t="str">
        <f aca="false">IFERROR(INDEX(종합!E$3:E$501,MATCH(ROW()-2,종합!$AB$3:$AB$501,0))&amp;"","")</f>
        <v/>
      </c>
      <c r="F25" s="18" t="str">
        <f aca="false">IFERROR(INDEX(종합!F$3:F$501,MATCH(ROW()-2,종합!$AB$3:$AB$501,0))&amp;"","")</f>
        <v/>
      </c>
      <c r="G25" s="18" t="str">
        <f aca="false">IFERROR(INDEX(종합!G$3:G$501,MATCH(ROW()-2,종합!$AB$3:$AB$501,0))&amp;"","")</f>
        <v>중소기업</v>
      </c>
      <c r="H25" s="21" t="str">
        <f aca="false">IFERROR(INDEX(종합!H$3:H$501,MATCH(ROW()-2,종합!$AB$3:$AB$501,0))&amp;"","")</f>
        <v>517-81-03595</v>
      </c>
      <c r="I25" s="21" t="str">
        <f aca="false">IFERROR(INDEX(종합!I$3:I$501,MATCH(ROW()-2,종합!$AB$3:$AB$501,0))&amp;"","")</f>
        <v>박지현</v>
      </c>
      <c r="J25" s="21" t="str">
        <f aca="false">IFERROR(INDEX(종합!J$3:J$501,MATCH(ROW()-2,종합!$AB$3:$AB$501,0))&amp;"","")</f>
        <v>010-4692-2623</v>
      </c>
      <c r="K25" s="21" t="str">
        <f aca="false">IFERROR(INDEX(종합!K$3:K$501,MATCH(ROW()-2,종합!$AB$3:$AB$501,0))&amp;"","")</f>
        <v>beon.kr / triving.kr</v>
      </c>
      <c r="L25" s="21" t="str">
        <f aca="false">IFERROR(INDEX(종합!L$3:L$501,MATCH(ROW()-2,종합!$AB$3:$AB$501,0))&amp;"","")</f>
        <v>bpjh@beon.kr</v>
      </c>
      <c r="M25" s="21" t="str">
        <f aca="false">IFERROR(INDEX(종합!M$3:M$501,MATCH(ROW()-2,종합!$AB$3:$AB$501,0))&amp;"","")</f>
        <v>제주특별자치도 제주시 관덕로15길 23, 402호</v>
      </c>
      <c r="N25" s="25" t="str">
        <f aca="false">IFERROR(INDEX(종합!N$3:N$501,MATCH(ROW()-2,종합!$AB$3:$AB$501,0))&amp;"","")</f>
        <v>triving (RAG, LLM)</v>
      </c>
      <c r="O25" s="21" t="str">
        <f aca="false">IFERROR(INDEX(종합!O$3:O$501,MATCH(ROW()-2,종합!$AB$3:$AB$501,0))&amp;"","")</f>
        <v>박지현</v>
      </c>
      <c r="P25" s="21" t="str">
        <f aca="false">IFERROR(INDEX(종합!P$3:P$501,MATCH(ROW()-2,종합!$AB$3:$AB$501,0))&amp;"","")</f>
        <v>경영</v>
      </c>
      <c r="Q25" s="21" t="str">
        <f aca="false">IFERROR(INDEX(종합!Q$3:Q$501,MATCH(ROW()-2,종합!$AB$3:$AB$501,0))&amp;"","")</f>
        <v>대표</v>
      </c>
      <c r="R25" s="21" t="str">
        <f aca="false">IFERROR(INDEX(종합!R$3:R$501,MATCH(ROW()-2,종합!$AB$3:$AB$501,0))&amp;"","")</f>
        <v>010-4692-2623</v>
      </c>
      <c r="S25" s="21" t="str">
        <f aca="false">IFERROR(INDEX(종합!S$3:S$501,MATCH(ROW()-2,종합!$AB$3:$AB$501,0))&amp;"","")</f>
        <v>bpjh@beon.kr</v>
      </c>
      <c r="T25" s="21" t="str">
        <f aca="false">IFERROR(INDEX(종합!T$3:T$501,MATCH(ROW()-2,종합!$AB$3:$AB$501,0))&amp;"","")</f>
        <v>010-4692-2623</v>
      </c>
      <c r="U25" s="21" t="str">
        <f aca="false">IFERROR(INDEX(종합!U$3:U$501,MATCH(ROW()-2,종합!$AB$3:$AB$501,0))&amp;"","")</f>
        <v>김정민</v>
      </c>
      <c r="V25" s="21" t="str">
        <f aca="false">IFERROR(INDEX(종합!V$3:V$501,MATCH(ROW()-2,종합!$AB$3:$AB$501,0))&amp;"","")</f>
        <v>제품기획팀</v>
      </c>
      <c r="W25" s="21" t="str">
        <f aca="false">IFERROR(INDEX(종합!W$3:W$501,MATCH(ROW()-2,종합!$AB$3:$AB$501,0))&amp;"","")</f>
        <v>팀장</v>
      </c>
      <c r="X25" s="21" t="str">
        <f aca="false">IFERROR(INDEX(종합!X$3:X$501,MATCH(ROW()-2,종합!$AB$3:$AB$501,0))&amp;"","")</f>
        <v>010-5026-8115</v>
      </c>
      <c r="Y25" s="21" t="str">
        <f aca="false">IFERROR(INDEX(종합!Y$3:Y$501,MATCH(ROW()-2,종합!$AB$3:$AB$501,0))&amp;"","")</f>
        <v>contact@beon.kr</v>
      </c>
      <c r="Z25" s="21" t="str">
        <f aca="false">IFERROR(INDEX(종합!Z$3:Z$501,MATCH(ROW()-2,종합!$AB$3:$AB$501,0))&amp;"","")</f>
        <v>010-5026-8115</v>
      </c>
    </row>
    <row r="26" customFormat="false" ht="33.75" hidden="false" customHeight="true" outlineLevel="0" collapsed="false">
      <c r="A26" s="18" t="n">
        <f aca="false">IF(B26="","",ROW()-2)</f>
        <v>24</v>
      </c>
      <c r="B26" s="18" t="str">
        <f aca="false">IFERROR(INDEX(종합!B$3:B$501,MATCH(ROW()-2,종합!$AB$3:$AB$501,0))&amp;"","")</f>
        <v>지식시스템 ㈜ KSTEC</v>
      </c>
      <c r="C26" s="18" t="str">
        <f aca="false">IFERROR(INDEX(종합!C$3:C$501,MATCH(ROW()-2,종합!$AB$3:$AB$501,0))&amp;"","")</f>
        <v>O</v>
      </c>
      <c r="D26" s="18" t="str">
        <f aca="false">IFERROR(INDEX(종합!D$3:D$501,MATCH(ROW()-2,종합!$AB$3:$AB$501,0))&amp;"","")</f>
        <v/>
      </c>
      <c r="E26" s="18" t="str">
        <f aca="false">IFERROR(INDEX(종합!E$3:E$501,MATCH(ROW()-2,종합!$AB$3:$AB$501,0))&amp;"","")</f>
        <v/>
      </c>
      <c r="F26" s="18" t="str">
        <f aca="false">IFERROR(INDEX(종합!F$3:F$501,MATCH(ROW()-2,종합!$AB$3:$AB$501,0))&amp;"","")</f>
        <v/>
      </c>
      <c r="G26" s="18" t="str">
        <f aca="false">IFERROR(INDEX(종합!G$3:G$501,MATCH(ROW()-2,종합!$AB$3:$AB$501,0))&amp;"","")</f>
        <v>중소기업</v>
      </c>
      <c r="H26" s="21" t="str">
        <f aca="false">IFERROR(INDEX(종합!H$3:H$501,MATCH(ROW()-2,종합!$AB$3:$AB$501,0))&amp;"","")</f>
        <v>120-81-83022</v>
      </c>
      <c r="I26" s="21" t="str">
        <f aca="false">IFERROR(INDEX(종합!I$3:I$501,MATCH(ROW()-2,종합!$AB$3:$AB$501,0))&amp;"","")</f>
        <v>이승도</v>
      </c>
      <c r="J26" s="21" t="str">
        <f aca="false">IFERROR(INDEX(종합!J$3:J$501,MATCH(ROW()-2,종합!$AB$3:$AB$501,0))&amp;"","")</f>
        <v>031-8018-6777</v>
      </c>
      <c r="K26" s="21" t="str">
        <f aca="false">IFERROR(INDEX(종합!K$3:K$501,MATCH(ROW()-2,종합!$AB$3:$AB$501,0))&amp;"","")</f>
        <v>https://www.kstec.co.kr</v>
      </c>
      <c r="L26" s="21" t="str">
        <f aca="false">IFERROR(INDEX(종합!L$3:L$501,MATCH(ROW()-2,종합!$AB$3:$AB$501,0))&amp;"","")</f>
        <v>yoonsunchoi@kstec.co.kr</v>
      </c>
      <c r="M26" s="21" t="str">
        <f aca="false">IFERROR(INDEX(종합!M$3:M$501,MATCH(ROW()-2,종합!$AB$3:$AB$501,0))&amp;"","")</f>
        <v>경기도 성남시 분당구 판교로 255, 503 (삼평동, 이노밸리E동)</v>
      </c>
      <c r="N26" s="25" t="str">
        <f aca="false">IFERROR(INDEX(종합!N$3:N$501,MATCH(ROW()-2,종합!$AB$3:$AB$501,0))&amp;"","")</f>
        <v>AI 및 최적화 기반 생산계획 및 스케줄링 솔루션 SyncPlan APS</v>
      </c>
      <c r="O26" s="21" t="str">
        <f aca="false">IFERROR(INDEX(종합!O$3:O$501,MATCH(ROW()-2,종합!$AB$3:$AB$501,0))&amp;"","")</f>
        <v>이승도</v>
      </c>
      <c r="P26" s="21" t="str">
        <f aca="false">IFERROR(INDEX(종합!P$3:P$501,MATCH(ROW()-2,종합!$AB$3:$AB$501,0))&amp;"","")</f>
        <v>대표이사</v>
      </c>
      <c r="Q26" s="21" t="str">
        <f aca="false">IFERROR(INDEX(종합!Q$3:Q$501,MATCH(ROW()-2,종합!$AB$3:$AB$501,0))&amp;"","")</f>
        <v>대표이사</v>
      </c>
      <c r="R26" s="21" t="str">
        <f aca="false">IFERROR(INDEX(종합!R$3:R$501,MATCH(ROW()-2,종합!$AB$3:$AB$501,0))&amp;"","")</f>
        <v>031-8018-6777(내선 111)</v>
      </c>
      <c r="S26" s="21" t="str">
        <f aca="false">IFERROR(INDEX(종합!S$3:S$501,MATCH(ROW()-2,종합!$AB$3:$AB$501,0))&amp;"","")</f>
        <v>sdlee@kstec.co.kr</v>
      </c>
      <c r="T26" s="21" t="str">
        <f aca="false">IFERROR(INDEX(종합!T$3:T$501,MATCH(ROW()-2,종합!$AB$3:$AB$501,0))&amp;"","")</f>
        <v>010-5203-1735</v>
      </c>
      <c r="U26" s="21" t="str">
        <f aca="false">IFERROR(INDEX(종합!U$3:U$501,MATCH(ROW()-2,종합!$AB$3:$AB$501,0))&amp;"","")</f>
        <v>최윤선</v>
      </c>
      <c r="V26" s="21" t="str">
        <f aca="false">IFERROR(INDEX(종합!V$3:V$501,MATCH(ROW()-2,종합!$AB$3:$AB$501,0))&amp;"","")</f>
        <v>마케팅 &amp; 커뮤니케이션즈</v>
      </c>
      <c r="W26" s="21" t="str">
        <f aca="false">IFERROR(INDEX(종합!W$3:W$501,MATCH(ROW()-2,종합!$AB$3:$AB$501,0))&amp;"","")</f>
        <v>수석/ 팀장</v>
      </c>
      <c r="X26" s="21" t="str">
        <f aca="false">IFERROR(INDEX(종합!X$3:X$501,MATCH(ROW()-2,종합!$AB$3:$AB$501,0))&amp;"","")</f>
        <v>031-8018-6777(내선 200)</v>
      </c>
      <c r="Y26" s="21" t="str">
        <f aca="false">IFERROR(INDEX(종합!Y$3:Y$501,MATCH(ROW()-2,종합!$AB$3:$AB$501,0))&amp;"","")</f>
        <v>yoonsunchoi@kstec.co.kr</v>
      </c>
      <c r="Z26" s="21" t="str">
        <f aca="false">IFERROR(INDEX(종합!Z$3:Z$501,MATCH(ROW()-2,종합!$AB$3:$AB$501,0))&amp;"","")</f>
        <v>010-9990-2142</v>
      </c>
    </row>
    <row r="27" customFormat="false" ht="33.75" hidden="false" customHeight="true" outlineLevel="0" collapsed="false">
      <c r="A27" s="18" t="n">
        <f aca="false">IF(B27="","",ROW()-2)</f>
        <v>25</v>
      </c>
      <c r="B27" s="18" t="str">
        <f aca="false">IFERROR(INDEX(종합!B$3:B$501,MATCH(ROW()-2,종합!$AB$3:$AB$501,0))&amp;"","")</f>
        <v>주식회사 티벨</v>
      </c>
      <c r="C27" s="18" t="str">
        <f aca="false">IFERROR(INDEX(종합!C$3:C$501,MATCH(ROW()-2,종합!$AB$3:$AB$501,0))&amp;"","")</f>
        <v>O</v>
      </c>
      <c r="D27" s="18" t="str">
        <f aca="false">IFERROR(INDEX(종합!D$3:D$501,MATCH(ROW()-2,종합!$AB$3:$AB$501,0))&amp;"","")</f>
        <v/>
      </c>
      <c r="E27" s="18" t="str">
        <f aca="false">IFERROR(INDEX(종합!E$3:E$501,MATCH(ROW()-2,종합!$AB$3:$AB$501,0))&amp;"","")</f>
        <v/>
      </c>
      <c r="F27" s="18" t="str">
        <f aca="false">IFERROR(INDEX(종합!F$3:F$501,MATCH(ROW()-2,종합!$AB$3:$AB$501,0))&amp;"","")</f>
        <v/>
      </c>
      <c r="G27" s="18" t="str">
        <f aca="false">IFERROR(INDEX(종합!G$3:G$501,MATCH(ROW()-2,종합!$AB$3:$AB$501,0))&amp;"","")</f>
        <v>중소기업</v>
      </c>
      <c r="H27" s="21" t="str">
        <f aca="false">IFERROR(INDEX(종합!H$3:H$501,MATCH(ROW()-2,종합!$AB$3:$AB$501,0))&amp;"","")</f>
        <v>376-81-00089</v>
      </c>
      <c r="I27" s="21" t="str">
        <f aca="false">IFERROR(INDEX(종합!I$3:I$501,MATCH(ROW()-2,종합!$AB$3:$AB$501,0))&amp;"","")</f>
        <v>김종균</v>
      </c>
      <c r="J27" s="21" t="str">
        <f aca="false">IFERROR(INDEX(종합!J$3:J$501,MATCH(ROW()-2,종합!$AB$3:$AB$501,0))&amp;"","")</f>
        <v>070-7777-9113</v>
      </c>
      <c r="K27" s="21" t="str">
        <f aca="false">IFERROR(INDEX(종합!K$3:K$501,MATCH(ROW()-2,종합!$AB$3:$AB$501,0))&amp;"","")</f>
        <v>www.tbell.co.kr</v>
      </c>
      <c r="L27" s="21" t="str">
        <f aca="false">IFERROR(INDEX(종합!L$3:L$501,MATCH(ROW()-2,종합!$AB$3:$AB$501,0))&amp;"","")</f>
        <v>mupirang@gmail.com</v>
      </c>
      <c r="M27" s="21" t="str">
        <f aca="false">IFERROR(INDEX(종합!M$3:M$501,MATCH(ROW()-2,종합!$AB$3:$AB$501,0))&amp;"","")</f>
        <v>서울특별시 강남구 강남대로 354, 905호 (역삼동, 혜천빌딩)</v>
      </c>
      <c r="N27" s="25" t="str">
        <f aca="false">IFERROR(INDEX(종합!N$3:N$501,MATCH(ROW()-2,종합!$AB$3:$AB$501,0))&amp;"","")</f>
        <v>LLM 신뢰성 평가 시스템(T-LENS), AI 기반 테스트 자동화 기술</v>
      </c>
      <c r="O27" s="21" t="str">
        <f aca="false">IFERROR(INDEX(종합!O$3:O$501,MATCH(ROW()-2,종합!$AB$3:$AB$501,0))&amp;"","")</f>
        <v>김종균</v>
      </c>
      <c r="P27" s="21" t="str">
        <f aca="false">IFERROR(INDEX(종합!P$3:P$501,MATCH(ROW()-2,종합!$AB$3:$AB$501,0))&amp;"","")</f>
        <v>티벨</v>
      </c>
      <c r="Q27" s="21" t="str">
        <f aca="false">IFERROR(INDEX(종합!Q$3:Q$501,MATCH(ROW()-2,종합!$AB$3:$AB$501,0))&amp;"","")</f>
        <v>대표이사</v>
      </c>
      <c r="R27" s="21" t="str">
        <f aca="false">IFERROR(INDEX(종합!R$3:R$501,MATCH(ROW()-2,종합!$AB$3:$AB$501,0))&amp;"","")</f>
        <v>010-5749-8009</v>
      </c>
      <c r="S27" s="21" t="str">
        <f aca="false">IFERROR(INDEX(종합!S$3:S$501,MATCH(ROW()-2,종합!$AB$3:$AB$501,0))&amp;"","")</f>
        <v>jg.kim@tbell.co.kr</v>
      </c>
      <c r="T27" s="21" t="str">
        <f aca="false">IFERROR(INDEX(종합!T$3:T$501,MATCH(ROW()-2,종합!$AB$3:$AB$501,0))&amp;"","")</f>
        <v>010-5749-8009</v>
      </c>
      <c r="U27" s="21" t="str">
        <f aca="false">IFERROR(INDEX(종합!U$3:U$501,MATCH(ROW()-2,종합!$AB$3:$AB$501,0))&amp;"","")</f>
        <v>이혜진</v>
      </c>
      <c r="V27" s="21" t="str">
        <f aca="false">IFERROR(INDEX(종합!V$3:V$501,MATCH(ROW()-2,종합!$AB$3:$AB$501,0))&amp;"","")</f>
        <v>개발연구소</v>
      </c>
      <c r="W27" s="21" t="str">
        <f aca="false">IFERROR(INDEX(종합!W$3:W$501,MATCH(ROW()-2,종합!$AB$3:$AB$501,0))&amp;"","")</f>
        <v>이사</v>
      </c>
      <c r="X27" s="21" t="str">
        <f aca="false">IFERROR(INDEX(종합!X$3:X$501,MATCH(ROW()-2,종합!$AB$3:$AB$501,0))&amp;"","")</f>
        <v>010-6218-3405</v>
      </c>
      <c r="Y27" s="21" t="str">
        <f aca="false">IFERROR(INDEX(종합!Y$3:Y$501,MATCH(ROW()-2,종합!$AB$3:$AB$501,0))&amp;"","")</f>
        <v>hj.lee@tbell.co.kr</v>
      </c>
      <c r="Z27" s="21" t="str">
        <f aca="false">IFERROR(INDEX(종합!Z$3:Z$501,MATCH(ROW()-2,종합!$AB$3:$AB$501,0))&amp;"","")</f>
        <v>010-6218-3405</v>
      </c>
    </row>
    <row r="28" customFormat="false" ht="33.75" hidden="false" customHeight="true" outlineLevel="0" collapsed="false">
      <c r="A28" s="18" t="n">
        <f aca="false">IF(B28="","",ROW()-2)</f>
        <v>26</v>
      </c>
      <c r="B28" s="18" t="str">
        <f aca="false">IFERROR(INDEX(종합!B$3:B$501,MATCH(ROW()-2,종합!$AB$3:$AB$501,0))&amp;"","")</f>
        <v>(주)티티엠소프트</v>
      </c>
      <c r="C28" s="18" t="str">
        <f aca="false">IFERROR(INDEX(종합!C$3:C$501,MATCH(ROW()-2,종합!$AB$3:$AB$501,0))&amp;"","")</f>
        <v>O</v>
      </c>
      <c r="D28" s="18" t="str">
        <f aca="false">IFERROR(INDEX(종합!D$3:D$501,MATCH(ROW()-2,종합!$AB$3:$AB$501,0))&amp;"","")</f>
        <v/>
      </c>
      <c r="E28" s="18" t="str">
        <f aca="false">IFERROR(INDEX(종합!E$3:E$501,MATCH(ROW()-2,종합!$AB$3:$AB$501,0))&amp;"","")</f>
        <v/>
      </c>
      <c r="F28" s="18" t="str">
        <f aca="false">IFERROR(INDEX(종합!F$3:F$501,MATCH(ROW()-2,종합!$AB$3:$AB$501,0))&amp;"","")</f>
        <v/>
      </c>
      <c r="G28" s="18" t="str">
        <f aca="false">IFERROR(INDEX(종합!G$3:G$501,MATCH(ROW()-2,종합!$AB$3:$AB$501,0))&amp;"","")</f>
        <v>중소기업</v>
      </c>
      <c r="H28" s="21" t="str">
        <f aca="false">IFERROR(INDEX(종합!H$3:H$501,MATCH(ROW()-2,종합!$AB$3:$AB$501,0))&amp;"","")</f>
        <v>210-81-63047</v>
      </c>
      <c r="I28" s="21" t="str">
        <f aca="false">IFERROR(INDEX(종합!I$3:I$501,MATCH(ROW()-2,종합!$AB$3:$AB$501,0))&amp;"","")</f>
        <v>백민호</v>
      </c>
      <c r="J28" s="21" t="str">
        <f aca="false">IFERROR(INDEX(종합!J$3:J$501,MATCH(ROW()-2,종합!$AB$3:$AB$501,0))&amp;"","")</f>
        <v>010-7268-1068</v>
      </c>
      <c r="K28" s="21" t="str">
        <f aca="false">IFERROR(INDEX(종합!K$3:K$501,MATCH(ROW()-2,종합!$AB$3:$AB$501,0))&amp;"","")</f>
        <v>www.ttmsoft.co.kr</v>
      </c>
      <c r="L28" s="21" t="str">
        <f aca="false">IFERROR(INDEX(종합!L$3:L$501,MATCH(ROW()-2,종합!$AB$3:$AB$501,0))&amp;"","")</f>
        <v>mhbaek93@gmail.com</v>
      </c>
      <c r="M28" s="21" t="str">
        <f aca="false">IFERROR(INDEX(종합!M$3:M$501,MATCH(ROW()-2,종합!$AB$3:$AB$501,0))&amp;"","")</f>
        <v>서울시 금천구 벚꽃로36길 30, KS타워 8층 814호</v>
      </c>
      <c r="N28" s="25" t="str">
        <f aca="false">IFERROR(INDEX(종합!N$3:N$501,MATCH(ROW()-2,종합!$AB$3:$AB$501,0))&amp;"","")</f>
        <v>LMS, AI기반 교육 솔루션, 규제정보 검색 서비스, 기상/기후 관제 통합시스템</v>
      </c>
      <c r="O28" s="21" t="str">
        <f aca="false">IFERROR(INDEX(종합!O$3:O$501,MATCH(ROW()-2,종합!$AB$3:$AB$501,0))&amp;"","")</f>
        <v>백민호</v>
      </c>
      <c r="P28" s="21" t="str">
        <f aca="false">IFERROR(INDEX(종합!P$3:P$501,MATCH(ROW()-2,종합!$AB$3:$AB$501,0))&amp;"","")</f>
        <v>신사업개발부</v>
      </c>
      <c r="Q28" s="21" t="str">
        <f aca="false">IFERROR(INDEX(종합!Q$3:Q$501,MATCH(ROW()-2,종합!$AB$3:$AB$501,0))&amp;"","")</f>
        <v>대표이사</v>
      </c>
      <c r="R28" s="21" t="str">
        <f aca="false">IFERROR(INDEX(종합!R$3:R$501,MATCH(ROW()-2,종합!$AB$3:$AB$501,0))&amp;"","")</f>
        <v>010-7268-1068</v>
      </c>
      <c r="S28" s="21" t="str">
        <f aca="false">IFERROR(INDEX(종합!S$3:S$501,MATCH(ROW()-2,종합!$AB$3:$AB$501,0))&amp;"","")</f>
        <v>mhbaek93@naver.com</v>
      </c>
      <c r="T28" s="21" t="str">
        <f aca="false">IFERROR(INDEX(종합!T$3:T$501,MATCH(ROW()-2,종합!$AB$3:$AB$501,0))&amp;"","")</f>
        <v>010-7268-1068</v>
      </c>
      <c r="U28" s="21" t="str">
        <f aca="false">IFERROR(INDEX(종합!U$3:U$501,MATCH(ROW()-2,종합!$AB$3:$AB$501,0))&amp;"","")</f>
        <v>백민호</v>
      </c>
      <c r="V28" s="21" t="str">
        <f aca="false">IFERROR(INDEX(종합!V$3:V$501,MATCH(ROW()-2,종합!$AB$3:$AB$501,0))&amp;"","")</f>
        <v>신사업개발부</v>
      </c>
      <c r="W28" s="21" t="str">
        <f aca="false">IFERROR(INDEX(종합!W$3:W$501,MATCH(ROW()-2,종합!$AB$3:$AB$501,0))&amp;"","")</f>
        <v>대표이사</v>
      </c>
      <c r="X28" s="21" t="str">
        <f aca="false">IFERROR(INDEX(종합!X$3:X$501,MATCH(ROW()-2,종합!$AB$3:$AB$501,0))&amp;"","")</f>
        <v>010-7268-1068</v>
      </c>
      <c r="Y28" s="21" t="str">
        <f aca="false">IFERROR(INDEX(종합!Y$3:Y$501,MATCH(ROW()-2,종합!$AB$3:$AB$501,0))&amp;"","")</f>
        <v>mhbaek93@naver.com</v>
      </c>
      <c r="Z28" s="21" t="str">
        <f aca="false">IFERROR(INDEX(종합!Z$3:Z$501,MATCH(ROW()-2,종합!$AB$3:$AB$501,0))&amp;"","")</f>
        <v>010-7268-1068</v>
      </c>
    </row>
    <row r="29" customFormat="false" ht="22.5" hidden="false" customHeight="true" outlineLevel="0" collapsed="false">
      <c r="A29" s="18" t="n">
        <f aca="false">IF(B29="","",ROW()-2)</f>
        <v>27</v>
      </c>
      <c r="B29" s="18" t="str">
        <f aca="false">IFERROR(INDEX(종합!B$3:B$501,MATCH(ROW()-2,종합!$AB$3:$AB$501,0))&amp;"","")</f>
        <v>(주)빅데이터와미래연구소</v>
      </c>
      <c r="C29" s="18" t="str">
        <f aca="false">IFERROR(INDEX(종합!C$3:C$501,MATCH(ROW()-2,종합!$AB$3:$AB$501,0))&amp;"","")</f>
        <v>O</v>
      </c>
      <c r="D29" s="18" t="str">
        <f aca="false">IFERROR(INDEX(종합!D$3:D$501,MATCH(ROW()-2,종합!$AB$3:$AB$501,0))&amp;"","")</f>
        <v/>
      </c>
      <c r="E29" s="18" t="str">
        <f aca="false">IFERROR(INDEX(종합!E$3:E$501,MATCH(ROW()-2,종합!$AB$3:$AB$501,0))&amp;"","")</f>
        <v/>
      </c>
      <c r="F29" s="18" t="str">
        <f aca="false">IFERROR(INDEX(종합!F$3:F$501,MATCH(ROW()-2,종합!$AB$3:$AB$501,0))&amp;"","")</f>
        <v/>
      </c>
      <c r="G29" s="18" t="str">
        <f aca="false">IFERROR(INDEX(종합!G$3:G$501,MATCH(ROW()-2,종합!$AB$3:$AB$501,0))&amp;"","")</f>
        <v>중소기업</v>
      </c>
      <c r="H29" s="21" t="str">
        <f aca="false">IFERROR(INDEX(종합!H$3:H$501,MATCH(ROW()-2,종합!$AB$3:$AB$501,0))&amp;"","")</f>
        <v>340-81-01186</v>
      </c>
      <c r="I29" s="21" t="str">
        <f aca="false">IFERROR(INDEX(종합!I$3:I$501,MATCH(ROW()-2,종합!$AB$3:$AB$501,0))&amp;"","")</f>
        <v>강계화</v>
      </c>
      <c r="J29" s="21" t="str">
        <f aca="false">IFERROR(INDEX(종합!J$3:J$501,MATCH(ROW()-2,종합!$AB$3:$AB$501,0))&amp;"","")</f>
        <v>010-2419-1247</v>
      </c>
      <c r="K29" s="21" t="str">
        <f aca="false">IFERROR(INDEX(종합!K$3:K$501,MATCH(ROW()-2,종합!$AB$3:$AB$501,0))&amp;"","")</f>
        <v>없음 (현재 개편중)</v>
      </c>
      <c r="L29" s="21" t="str">
        <f aca="false">IFERROR(INDEX(종합!L$3:L$501,MATCH(ROW()-2,종합!$AB$3:$AB$501,0))&amp;"","")</f>
        <v>ajsg4688@gmail.com</v>
      </c>
      <c r="M29" s="21" t="str">
        <f aca="false">IFERROR(INDEX(종합!M$3:M$501,MATCH(ROW()-2,종합!$AB$3:$AB$501,0))&amp;"","")</f>
        <v>대전 서구 둔산중로 138, 1014호(주은, 둔산동)</v>
      </c>
      <c r="N29" s="25" t="str">
        <f aca="false">IFERROR(INDEX(종합!N$3:N$501,MATCH(ROW()-2,종합!$AB$3:$AB$501,0))&amp;"","")</f>
        <v>AI분석 (데이터 과학분야) 및 Local LLM 개발 </v>
      </c>
      <c r="O29" s="21" t="str">
        <f aca="false">IFERROR(INDEX(종합!O$3:O$501,MATCH(ROW()-2,종합!$AB$3:$AB$501,0))&amp;"","")</f>
        <v>강계화</v>
      </c>
      <c r="P29" s="21" t="str">
        <f aca="false">IFERROR(INDEX(종합!P$3:P$501,MATCH(ROW()-2,종합!$AB$3:$AB$501,0))&amp;"","")</f>
        <v>대표이사</v>
      </c>
      <c r="Q29" s="21" t="str">
        <f aca="false">IFERROR(INDEX(종합!Q$3:Q$501,MATCH(ROW()-2,종합!$AB$3:$AB$501,0))&amp;"","")</f>
        <v>소장 </v>
      </c>
      <c r="R29" s="21" t="str">
        <f aca="false">IFERROR(INDEX(종합!R$3:R$501,MATCH(ROW()-2,종합!$AB$3:$AB$501,0))&amp;"","")</f>
        <v>010-2419-1247</v>
      </c>
      <c r="S29" s="21" t="str">
        <f aca="false">IFERROR(INDEX(종합!S$3:S$501,MATCH(ROW()-2,종합!$AB$3:$AB$501,0))&amp;"","")</f>
        <v>kgh090@hanmail.net</v>
      </c>
      <c r="T29" s="21" t="str">
        <f aca="false">IFERROR(INDEX(종합!T$3:T$501,MATCH(ROW()-2,종합!$AB$3:$AB$501,0))&amp;"","")</f>
        <v>010-2419-1247</v>
      </c>
      <c r="U29" s="21" t="str">
        <f aca="false">IFERROR(INDEX(종합!U$3:U$501,MATCH(ROW()-2,종합!$AB$3:$AB$501,0))&amp;"","")</f>
        <v>강계화</v>
      </c>
      <c r="V29" s="21" t="str">
        <f aca="false">IFERROR(INDEX(종합!V$3:V$501,MATCH(ROW()-2,종합!$AB$3:$AB$501,0))&amp;"","")</f>
        <v>대표이상</v>
      </c>
      <c r="W29" s="21" t="str">
        <f aca="false">IFERROR(INDEX(종합!W$3:W$501,MATCH(ROW()-2,종합!$AB$3:$AB$501,0))&amp;"","")</f>
        <v>소장</v>
      </c>
      <c r="X29" s="21" t="str">
        <f aca="false">IFERROR(INDEX(종합!X$3:X$501,MATCH(ROW()-2,종합!$AB$3:$AB$501,0))&amp;"","")</f>
        <v>010-2419-1247</v>
      </c>
      <c r="Y29" s="21" t="str">
        <f aca="false">IFERROR(INDEX(종합!Y$3:Y$501,MATCH(ROW()-2,종합!$AB$3:$AB$501,0))&amp;"","")</f>
        <v>kgh090@hanmail.net</v>
      </c>
      <c r="Z29" s="21" t="str">
        <f aca="false">IFERROR(INDEX(종합!Z$3:Z$501,MATCH(ROW()-2,종합!$AB$3:$AB$501,0))&amp;"","")</f>
        <v>010-2419-1247</v>
      </c>
    </row>
    <row r="30" customFormat="false" ht="22.5" hidden="false" customHeight="true" outlineLevel="0" collapsed="false">
      <c r="A30" s="18" t="n">
        <f aca="false">IF(B30="","",ROW()-2)</f>
        <v>28</v>
      </c>
      <c r="B30" s="18" t="str">
        <f aca="false">IFERROR(INDEX(종합!B$3:B$501,MATCH(ROW()-2,종합!$AB$3:$AB$501,0))&amp;"","")</f>
        <v>(주)에스티이지</v>
      </c>
      <c r="C30" s="18" t="str">
        <f aca="false">IFERROR(INDEX(종합!C$3:C$501,MATCH(ROW()-2,종합!$AB$3:$AB$501,0))&amp;"","")</f>
        <v>O</v>
      </c>
      <c r="D30" s="18" t="str">
        <f aca="false">IFERROR(INDEX(종합!D$3:D$501,MATCH(ROW()-2,종합!$AB$3:$AB$501,0))&amp;"","")</f>
        <v/>
      </c>
      <c r="E30" s="18" t="str">
        <f aca="false">IFERROR(INDEX(종합!E$3:E$501,MATCH(ROW()-2,종합!$AB$3:$AB$501,0))&amp;"","")</f>
        <v/>
      </c>
      <c r="F30" s="18" t="str">
        <f aca="false">IFERROR(INDEX(종합!F$3:F$501,MATCH(ROW()-2,종합!$AB$3:$AB$501,0))&amp;"","")</f>
        <v/>
      </c>
      <c r="G30" s="18" t="str">
        <f aca="false">IFERROR(INDEX(종합!G$3:G$501,MATCH(ROW()-2,종합!$AB$3:$AB$501,0))&amp;"","")</f>
        <v>중소기업</v>
      </c>
      <c r="H30" s="21" t="str">
        <f aca="false">IFERROR(INDEX(종합!H$3:H$501,MATCH(ROW()-2,종합!$AB$3:$AB$501,0))&amp;"","")</f>
        <v>214-88-23105</v>
      </c>
      <c r="I30" s="21" t="str">
        <f aca="false">IFERROR(INDEX(종합!I$3:I$501,MATCH(ROW()-2,종합!$AB$3:$AB$501,0))&amp;"","")</f>
        <v>임현길</v>
      </c>
      <c r="J30" s="21" t="str">
        <f aca="false">IFERROR(INDEX(종합!J$3:J$501,MATCH(ROW()-2,종합!$AB$3:$AB$501,0))&amp;"","")</f>
        <v>02-3473-3477</v>
      </c>
      <c r="K30" s="21" t="str">
        <f aca="false">IFERROR(INDEX(종합!K$3:K$501,MATCH(ROW()-2,종합!$AB$3:$AB$501,0))&amp;"","")</f>
        <v>steg.co.kr</v>
      </c>
      <c r="L30" s="21" t="str">
        <f aca="false">IFERROR(INDEX(종합!L$3:L$501,MATCH(ROW()-2,종합!$AB$3:$AB$501,0))&amp;"","")</f>
        <v>dylee@steg.co.kr</v>
      </c>
      <c r="M30" s="21" t="str">
        <f aca="false">IFERROR(INDEX(종합!M$3:M$501,MATCH(ROW()-2,종합!$AB$3:$AB$501,0))&amp;"","")</f>
        <v>서울특별시 금천구 가산디지털1로 128, 1009호</v>
      </c>
      <c r="N30" s="25" t="str">
        <f aca="false">IFERROR(INDEX(종합!N$3:N$501,MATCH(ROW()-2,종합!$AB$3:$AB$501,0))&amp;"","")</f>
        <v>유니버셜 워크플로우, AISM (AI 포탈플랫폼)</v>
      </c>
      <c r="O30" s="21" t="str">
        <f aca="false">IFERROR(INDEX(종합!O$3:O$501,MATCH(ROW()-2,종합!$AB$3:$AB$501,0))&amp;"","")</f>
        <v>정한균</v>
      </c>
      <c r="P30" s="21" t="str">
        <f aca="false">IFERROR(INDEX(종합!P$3:P$501,MATCH(ROW()-2,종합!$AB$3:$AB$501,0))&amp;"","")</f>
        <v>경영진</v>
      </c>
      <c r="Q30" s="21" t="str">
        <f aca="false">IFERROR(INDEX(종합!Q$3:Q$501,MATCH(ROW()-2,종합!$AB$3:$AB$501,0))&amp;"","")</f>
        <v>부사장</v>
      </c>
      <c r="R30" s="21" t="str">
        <f aca="false">IFERROR(INDEX(종합!R$3:R$501,MATCH(ROW()-2,종합!$AB$3:$AB$501,0))&amp;"","")</f>
        <v>02-3473-3477</v>
      </c>
      <c r="S30" s="21" t="str">
        <f aca="false">IFERROR(INDEX(종합!S$3:S$501,MATCH(ROW()-2,종합!$AB$3:$AB$501,0))&amp;"","")</f>
        <v>hankunch@steg.co.kr</v>
      </c>
      <c r="T30" s="21" t="str">
        <f aca="false">IFERROR(INDEX(종합!T$3:T$501,MATCH(ROW()-2,종합!$AB$3:$AB$501,0))&amp;"","")</f>
        <v>010-9526-0003</v>
      </c>
      <c r="U30" s="21" t="str">
        <f aca="false">IFERROR(INDEX(종합!U$3:U$501,MATCH(ROW()-2,종합!$AB$3:$AB$501,0))&amp;"","")</f>
        <v>조영준</v>
      </c>
      <c r="V30" s="21" t="str">
        <f aca="false">IFERROR(INDEX(종합!V$3:V$501,MATCH(ROW()-2,종합!$AB$3:$AB$501,0))&amp;"","")</f>
        <v>AX플랫폼개발팀</v>
      </c>
      <c r="W30" s="21" t="str">
        <f aca="false">IFERROR(INDEX(종합!W$3:W$501,MATCH(ROW()-2,종합!$AB$3:$AB$501,0))&amp;"","")</f>
        <v>팀장</v>
      </c>
      <c r="X30" s="21" t="str">
        <f aca="false">IFERROR(INDEX(종합!X$3:X$501,MATCH(ROW()-2,종합!$AB$3:$AB$501,0))&amp;"","")</f>
        <v>02-3473-3477</v>
      </c>
      <c r="Y30" s="21" t="str">
        <f aca="false">IFERROR(INDEX(종합!Y$3:Y$501,MATCH(ROW()-2,종합!$AB$3:$AB$501,0))&amp;"","")</f>
        <v>yjcho@steg.co.kr</v>
      </c>
      <c r="Z30" s="21" t="str">
        <f aca="false">IFERROR(INDEX(종합!Z$3:Z$501,MATCH(ROW()-2,종합!$AB$3:$AB$501,0))&amp;"","")</f>
        <v>010-9365-0257</v>
      </c>
    </row>
    <row r="31" customFormat="false" ht="33.75" hidden="false" customHeight="true" outlineLevel="0" collapsed="false">
      <c r="A31" s="18" t="n">
        <f aca="false">IF(B31="","",ROW()-2)</f>
        <v>29</v>
      </c>
      <c r="B31" s="18" t="str">
        <f aca="false">IFERROR(INDEX(종합!B$3:B$501,MATCH(ROW()-2,종합!$AB$3:$AB$501,0))&amp;"","")</f>
        <v>(주)매지스</v>
      </c>
      <c r="C31" s="18" t="str">
        <f aca="false">IFERROR(INDEX(종합!C$3:C$501,MATCH(ROW()-2,종합!$AB$3:$AB$501,0))&amp;"","")</f>
        <v>O</v>
      </c>
      <c r="D31" s="18" t="str">
        <f aca="false">IFERROR(INDEX(종합!D$3:D$501,MATCH(ROW()-2,종합!$AB$3:$AB$501,0))&amp;"","")</f>
        <v/>
      </c>
      <c r="E31" s="18" t="str">
        <f aca="false">IFERROR(INDEX(종합!E$3:E$501,MATCH(ROW()-2,종합!$AB$3:$AB$501,0))&amp;"","")</f>
        <v/>
      </c>
      <c r="F31" s="18" t="str">
        <f aca="false">IFERROR(INDEX(종합!F$3:F$501,MATCH(ROW()-2,종합!$AB$3:$AB$501,0))&amp;"","")</f>
        <v/>
      </c>
      <c r="G31" s="18" t="str">
        <f aca="false">IFERROR(INDEX(종합!G$3:G$501,MATCH(ROW()-2,종합!$AB$3:$AB$501,0))&amp;"","")</f>
        <v>중소기업</v>
      </c>
      <c r="H31" s="21" t="str">
        <f aca="false">IFERROR(INDEX(종합!H$3:H$501,MATCH(ROW()-2,종합!$AB$3:$AB$501,0))&amp;"","")</f>
        <v>645-87-00497</v>
      </c>
      <c r="I31" s="21" t="str">
        <f aca="false">IFERROR(INDEX(종합!I$3:I$501,MATCH(ROW()-2,종합!$AB$3:$AB$501,0))&amp;"","")</f>
        <v>임삼호</v>
      </c>
      <c r="J31" s="21" t="str">
        <f aca="false">IFERROR(INDEX(종합!J$3:J$501,MATCH(ROW()-2,종합!$AB$3:$AB$501,0))&amp;"","")</f>
        <v>02-794-8001</v>
      </c>
      <c r="K31" s="21" t="str">
        <f aca="false">IFERROR(INDEX(종합!K$3:K$501,MATCH(ROW()-2,종합!$AB$3:$AB$501,0))&amp;"","")</f>
        <v>www.magis.co.kr</v>
      </c>
      <c r="L31" s="21" t="str">
        <f aca="false">IFERROR(INDEX(종합!L$3:L$501,MATCH(ROW()-2,종합!$AB$3:$AB$501,0))&amp;"","")</f>
        <v>poon1079@gmail.com</v>
      </c>
      <c r="M31" s="21" t="str">
        <f aca="false">IFERROR(INDEX(종합!M$3:M$501,MATCH(ROW()-2,종합!$AB$3:$AB$501,0))&amp;"","")</f>
        <v>서울시 용산구 한강대로 46길 11, 3층</v>
      </c>
      <c r="N31" s="25" t="str">
        <f aca="false">IFERROR(INDEX(종합!N$3:N$501,MATCH(ROW()-2,종합!$AB$3:$AB$501,0))&amp;"","")</f>
        <v>모바일 통신 빅데이터 기반 데이터 처리 및 공간 AI 솔루션 개발 'VMAP_AI'</v>
      </c>
      <c r="O31" s="21" t="str">
        <f aca="false">IFERROR(INDEX(종합!O$3:O$501,MATCH(ROW()-2,종합!$AB$3:$AB$501,0))&amp;"","")</f>
        <v>최진영</v>
      </c>
      <c r="P31" s="21" t="str">
        <f aca="false">IFERROR(INDEX(종합!P$3:P$501,MATCH(ROW()-2,종합!$AB$3:$AB$501,0))&amp;"","")</f>
        <v>데이터사업본부</v>
      </c>
      <c r="Q31" s="21" t="str">
        <f aca="false">IFERROR(INDEX(종합!Q$3:Q$501,MATCH(ROW()-2,종합!$AB$3:$AB$501,0))&amp;"","")</f>
        <v>이사</v>
      </c>
      <c r="R31" s="21" t="str">
        <f aca="false">IFERROR(INDEX(종합!R$3:R$501,MATCH(ROW()-2,종합!$AB$3:$AB$501,0))&amp;"","")</f>
        <v>02-794-8001</v>
      </c>
      <c r="S31" s="21" t="str">
        <f aca="false">IFERROR(INDEX(종합!S$3:S$501,MATCH(ROW()-2,종합!$AB$3:$AB$501,0))&amp;"","")</f>
        <v>jychoi@magis.co.kr</v>
      </c>
      <c r="T31" s="21" t="str">
        <f aca="false">IFERROR(INDEX(종합!T$3:T$501,MATCH(ROW()-2,종합!$AB$3:$AB$501,0))&amp;"","")</f>
        <v>010-4384-2100</v>
      </c>
      <c r="U31" s="21" t="str">
        <f aca="false">IFERROR(INDEX(종합!U$3:U$501,MATCH(ROW()-2,종합!$AB$3:$AB$501,0))&amp;"","")</f>
        <v>강창식</v>
      </c>
      <c r="V31" s="21" t="str">
        <f aca="false">IFERROR(INDEX(종합!V$3:V$501,MATCH(ROW()-2,종합!$AB$3:$AB$501,0))&amp;"","")</f>
        <v>데이터사업본부</v>
      </c>
      <c r="W31" s="21" t="str">
        <f aca="false">IFERROR(INDEX(종합!W$3:W$501,MATCH(ROW()-2,종합!$AB$3:$AB$501,0))&amp;"","")</f>
        <v>차장</v>
      </c>
      <c r="X31" s="21" t="str">
        <f aca="false">IFERROR(INDEX(종합!X$3:X$501,MATCH(ROW()-2,종합!$AB$3:$AB$501,0))&amp;"","")</f>
        <v>02-794-8001</v>
      </c>
      <c r="Y31" s="21" t="str">
        <f aca="false">IFERROR(INDEX(종합!Y$3:Y$501,MATCH(ROW()-2,종합!$AB$3:$AB$501,0))&amp;"","")</f>
        <v>cskang@magis.co.kr</v>
      </c>
      <c r="Z31" s="21" t="str">
        <f aca="false">IFERROR(INDEX(종합!Z$3:Z$501,MATCH(ROW()-2,종합!$AB$3:$AB$501,0))&amp;"","")</f>
        <v>010-6358-2329</v>
      </c>
    </row>
    <row r="32" customFormat="false" ht="101.25" hidden="false" customHeight="true" outlineLevel="0" collapsed="false">
      <c r="A32" s="18" t="n">
        <f aca="false">IF(B32="","",ROW()-2)</f>
        <v>30</v>
      </c>
      <c r="B32" s="18" t="str">
        <f aca="false">IFERROR(INDEX(종합!B$3:B$501,MATCH(ROW()-2,종합!$AB$3:$AB$501,0))&amp;"","")</f>
        <v>(주)나라지식정보</v>
      </c>
      <c r="C32" s="18" t="str">
        <f aca="false">IFERROR(INDEX(종합!C$3:C$501,MATCH(ROW()-2,종합!$AB$3:$AB$501,0))&amp;"","")</f>
        <v>O</v>
      </c>
      <c r="D32" s="18" t="str">
        <f aca="false">IFERROR(INDEX(종합!D$3:D$501,MATCH(ROW()-2,종합!$AB$3:$AB$501,0))&amp;"","")</f>
        <v/>
      </c>
      <c r="E32" s="18" t="str">
        <f aca="false">IFERROR(INDEX(종합!E$3:E$501,MATCH(ROW()-2,종합!$AB$3:$AB$501,0))&amp;"","")</f>
        <v>O</v>
      </c>
      <c r="F32" s="18" t="str">
        <f aca="false">IFERROR(INDEX(종합!F$3:F$501,MATCH(ROW()-2,종합!$AB$3:$AB$501,0))&amp;"","")</f>
        <v>O</v>
      </c>
      <c r="G32" s="18" t="str">
        <f aca="false">IFERROR(INDEX(종합!G$3:G$501,MATCH(ROW()-2,종합!$AB$3:$AB$501,0))&amp;"","")</f>
        <v>중소기업</v>
      </c>
      <c r="H32" s="21" t="str">
        <f aca="false">IFERROR(INDEX(종합!H$3:H$501,MATCH(ROW()-2,종합!$AB$3:$AB$501,0))&amp;"","")</f>
        <v>105-87-16808</v>
      </c>
      <c r="I32" s="21" t="str">
        <f aca="false">IFERROR(INDEX(종합!I$3:I$501,MATCH(ROW()-2,종합!$AB$3:$AB$501,0))&amp;"","")</f>
        <v>손영호</v>
      </c>
      <c r="J32" s="21" t="str">
        <f aca="false">IFERROR(INDEX(종합!J$3:J$501,MATCH(ROW()-2,종합!$AB$3:$AB$501,0))&amp;"","")</f>
        <v>02-3141-7644</v>
      </c>
      <c r="K32" s="21" t="str">
        <f aca="false">IFERROR(INDEX(종합!K$3:K$501,MATCH(ROW()-2,종합!$AB$3:$AB$501,0))&amp;"","")</f>
        <v>www.narainformation.com</v>
      </c>
      <c r="L32" s="21" t="str">
        <f aca="false">IFERROR(INDEX(종합!L$3:L$501,MATCH(ROW()-2,종합!$AB$3:$AB$501,0))&amp;"","")</f>
        <v>shinnanta88@gmail.com</v>
      </c>
      <c r="M32" s="21" t="str">
        <f aca="false">IFERROR(INDEX(종합!M$3:M$501,MATCH(ROW()-2,종합!$AB$3:$AB$501,0))&amp;"","")</f>
        <v>서울 종로구 삼봉로81, 409호(두산위브파빌리온)</v>
      </c>
      <c r="N32" s="25" t="str">
        <f aca="false">IFERROR(INDEX(종합!N$3:N$501,MATCH(ROW()-2,종합!$AB$3:$AB$501,0))&amp;"","")</f>
        <v>NARA OCR(비정형 강점 범용 OCR-RAG LLM), A Doc Cube(고문헌/훼손문서OCR). 주춧돌LM(근대문서 연구 AI Agent), NA-LLM(NA-LLM 민원처리 RAG, NA-LLM-REF vLLM 기반 자연어 지식 검색 시스템-근거제시 XAI), NARA READ VOICE(스마트 키보드.시각장애인 업무보조 스마트 기술 및 기기), Metaverse Blind(시각장애인 접근성지원 메타버스콘텐츠),NARA Detection AI(영상기반 쓰러짐 감지 AI)</v>
      </c>
      <c r="O32" s="21" t="str">
        <f aca="false">IFERROR(INDEX(종합!O$3:O$501,MATCH(ROW()-2,종합!$AB$3:$AB$501,0))&amp;"","")</f>
        <v>김소정</v>
      </c>
      <c r="P32" s="21" t="str">
        <f aca="false">IFERROR(INDEX(종합!P$3:P$501,MATCH(ROW()-2,종합!$AB$3:$AB$501,0))&amp;"","")</f>
        <v>인문인공지능연구소</v>
      </c>
      <c r="Q32" s="21" t="str">
        <f aca="false">IFERROR(INDEX(종합!Q$3:Q$501,MATCH(ROW()-2,종합!$AB$3:$AB$501,0))&amp;"","")</f>
        <v>소장</v>
      </c>
      <c r="R32" s="21" t="str">
        <f aca="false">IFERROR(INDEX(종합!R$3:R$501,MATCH(ROW()-2,종합!$AB$3:$AB$501,0))&amp;"","")</f>
        <v>02-3141-7644</v>
      </c>
      <c r="S32" s="21" t="str">
        <f aca="false">IFERROR(INDEX(종합!S$3:S$501,MATCH(ROW()-2,종합!$AB$3:$AB$501,0))&amp;"","")</f>
        <v>sojung.kim@narainformation.com</v>
      </c>
      <c r="T32" s="21" t="str">
        <f aca="false">IFERROR(INDEX(종합!T$3:T$501,MATCH(ROW()-2,종합!$AB$3:$AB$501,0))&amp;"","")</f>
        <v>010-4634-8773</v>
      </c>
      <c r="U32" s="21" t="str">
        <f aca="false">IFERROR(INDEX(종합!U$3:U$501,MATCH(ROW()-2,종합!$AB$3:$AB$501,0))&amp;"","")</f>
        <v>신난타</v>
      </c>
      <c r="V32" s="21" t="str">
        <f aca="false">IFERROR(INDEX(종합!V$3:V$501,MATCH(ROW()-2,종합!$AB$3:$AB$501,0))&amp;"","")</f>
        <v>경영기획실</v>
      </c>
      <c r="W32" s="21" t="str">
        <f aca="false">IFERROR(INDEX(종합!W$3:W$501,MATCH(ROW()-2,종합!$AB$3:$AB$501,0))&amp;"","")</f>
        <v>부장/브랜드혁신기술부장</v>
      </c>
      <c r="X32" s="21" t="str">
        <f aca="false">IFERROR(INDEX(종합!X$3:X$501,MATCH(ROW()-2,종합!$AB$3:$AB$501,0))&amp;"","")</f>
        <v>02-3141-7644</v>
      </c>
      <c r="Y32" s="21" t="str">
        <f aca="false">IFERROR(INDEX(종합!Y$3:Y$501,MATCH(ROW()-2,종합!$AB$3:$AB$501,0))&amp;"","")</f>
        <v>shinnanta88@narainformation.com</v>
      </c>
      <c r="Z32" s="21" t="str">
        <f aca="false">IFERROR(INDEX(종합!Z$3:Z$501,MATCH(ROW()-2,종합!$AB$3:$AB$501,0))&amp;"","")</f>
        <v>010-6289-5425</v>
      </c>
    </row>
    <row r="33" customFormat="false" ht="22.5" hidden="false" customHeight="true" outlineLevel="0" collapsed="false">
      <c r="A33" s="18" t="n">
        <f aca="false">IF(B33="","",ROW()-2)</f>
        <v>31</v>
      </c>
      <c r="B33" s="18" t="str">
        <f aca="false">IFERROR(INDEX(종합!B$3:B$501,MATCH(ROW()-2,종합!$AB$3:$AB$501,0))&amp;"","")</f>
        <v>한국과학기술정보연구원</v>
      </c>
      <c r="C33" s="18" t="str">
        <f aca="false">IFERROR(INDEX(종합!C$3:C$501,MATCH(ROW()-2,종합!$AB$3:$AB$501,0))&amp;"","")</f>
        <v>O</v>
      </c>
      <c r="D33" s="18" t="str">
        <f aca="false">IFERROR(INDEX(종합!D$3:D$501,MATCH(ROW()-2,종합!$AB$3:$AB$501,0))&amp;"","")</f>
        <v/>
      </c>
      <c r="E33" s="18" t="str">
        <f aca="false">IFERROR(INDEX(종합!E$3:E$501,MATCH(ROW()-2,종합!$AB$3:$AB$501,0))&amp;"","")</f>
        <v/>
      </c>
      <c r="F33" s="18" t="str">
        <f aca="false">IFERROR(INDEX(종합!F$3:F$501,MATCH(ROW()-2,종합!$AB$3:$AB$501,0))&amp;"","")</f>
        <v/>
      </c>
      <c r="G33" s="18" t="str">
        <f aca="false">IFERROR(INDEX(종합!G$3:G$501,MATCH(ROW()-2,종합!$AB$3:$AB$501,0))&amp;"","")</f>
        <v>공공기관</v>
      </c>
      <c r="H33" s="21" t="str">
        <f aca="false">IFERROR(INDEX(종합!H$3:H$501,MATCH(ROW()-2,종합!$AB$3:$AB$501,0))&amp;"","")</f>
        <v>205-82-04043</v>
      </c>
      <c r="I33" s="21" t="str">
        <f aca="false">IFERROR(INDEX(종합!I$3:I$501,MATCH(ROW()-2,종합!$AB$3:$AB$501,0))&amp;"","")</f>
        <v>이식</v>
      </c>
      <c r="J33" s="21" t="str">
        <f aca="false">IFERROR(INDEX(종합!J$3:J$501,MATCH(ROW()-2,종합!$AB$3:$AB$501,0))&amp;"","")</f>
        <v>02-3299-6114</v>
      </c>
      <c r="K33" s="21" t="str">
        <f aca="false">IFERROR(INDEX(종합!K$3:K$501,MATCH(ROW()-2,종합!$AB$3:$AB$501,0))&amp;"","")</f>
        <v>www.kisti.re.kr</v>
      </c>
      <c r="L33" s="21" t="str">
        <f aca="false">IFERROR(INDEX(종합!L$3:L$501,MATCH(ROW()-2,종합!$AB$3:$AB$501,0))&amp;"","")</f>
        <v>skim@kisti.re.kr</v>
      </c>
      <c r="M33" s="21" t="str">
        <f aca="false">IFERROR(INDEX(종합!M$3:M$501,MATCH(ROW()-2,종합!$AB$3:$AB$501,0))&amp;"","")</f>
        <v>서울특별시 동대문구 회기로 66</v>
      </c>
      <c r="N33" s="25" t="str">
        <f aca="false">IFERROR(INDEX(종합!N$3:N$501,MATCH(ROW()-2,종합!$AB$3:$AB$501,0))&amp;"","")</f>
        <v>에이전트응용연구 및 과학기술-산업현장 적용</v>
      </c>
      <c r="O33" s="21" t="str">
        <f aca="false">IFERROR(INDEX(종합!O$3:O$501,MATCH(ROW()-2,종합!$AB$3:$AB$501,0))&amp;"","")</f>
        <v>김소영</v>
      </c>
      <c r="P33" s="21" t="str">
        <f aca="false">IFERROR(INDEX(종합!P$3:P$501,MATCH(ROW()-2,종합!$AB$3:$AB$501,0))&amp;"","")</f>
        <v>에이전트응용연구센터</v>
      </c>
      <c r="Q33" s="21" t="str">
        <f aca="false">IFERROR(INDEX(종합!Q$3:Q$501,MATCH(ROW()-2,종합!$AB$3:$AB$501,0))&amp;"","")</f>
        <v>센터장</v>
      </c>
      <c r="R33" s="21" t="str">
        <f aca="false">IFERROR(INDEX(종합!R$3:R$501,MATCH(ROW()-2,종합!$AB$3:$AB$501,0))&amp;"","")</f>
        <v>02-3299-6128</v>
      </c>
      <c r="S33" s="21" t="str">
        <f aca="false">IFERROR(INDEX(종합!S$3:S$501,MATCH(ROW()-2,종합!$AB$3:$AB$501,0))&amp;"","")</f>
        <v>skim@kisti.re.kr</v>
      </c>
      <c r="T33" s="21" t="str">
        <f aca="false">IFERROR(INDEX(종합!T$3:T$501,MATCH(ROW()-2,종합!$AB$3:$AB$501,0))&amp;"","")</f>
        <v>010-2518-8171</v>
      </c>
      <c r="U33" s="21" t="str">
        <f aca="false">IFERROR(INDEX(종합!U$3:U$501,MATCH(ROW()-2,종합!$AB$3:$AB$501,0))&amp;"","")</f>
        <v>양혜영</v>
      </c>
      <c r="V33" s="21" t="str">
        <f aca="false">IFERROR(INDEX(종합!V$3:V$501,MATCH(ROW()-2,종합!$AB$3:$AB$501,0))&amp;"","")</f>
        <v>에이전트연구팀</v>
      </c>
      <c r="W33" s="21" t="str">
        <f aca="false">IFERROR(INDEX(종합!W$3:W$501,MATCH(ROW()-2,종합!$AB$3:$AB$501,0))&amp;"","")</f>
        <v>팀장</v>
      </c>
      <c r="X33" s="21" t="str">
        <f aca="false">IFERROR(INDEX(종합!X$3:X$501,MATCH(ROW()-2,종합!$AB$3:$AB$501,0))&amp;"","")</f>
        <v>02-3299-6069</v>
      </c>
      <c r="Y33" s="21" t="str">
        <f aca="false">IFERROR(INDEX(종합!Y$3:Y$501,MATCH(ROW()-2,종합!$AB$3:$AB$501,0))&amp;"","")</f>
        <v>hyyang@kisti.re.kr</v>
      </c>
      <c r="Z33" s="21" t="str">
        <f aca="false">IFERROR(INDEX(종합!Z$3:Z$501,MATCH(ROW()-2,종합!$AB$3:$AB$501,0))&amp;"","")</f>
        <v>010-9265-5661</v>
      </c>
    </row>
    <row r="34" customFormat="false" ht="33.75" hidden="false" customHeight="true" outlineLevel="0" collapsed="false">
      <c r="A34" s="18" t="n">
        <f aca="false">IF(B34="","",ROW()-2)</f>
        <v>32</v>
      </c>
      <c r="B34" s="18" t="str">
        <f aca="false">IFERROR(INDEX(종합!B$3:B$501,MATCH(ROW()-2,종합!$AB$3:$AB$501,0))&amp;"","")</f>
        <v>(주)리스크제로</v>
      </c>
      <c r="C34" s="18" t="str">
        <f aca="false">IFERROR(INDEX(종합!C$3:C$501,MATCH(ROW()-2,종합!$AB$3:$AB$501,0))&amp;"","")</f>
        <v>O</v>
      </c>
      <c r="D34" s="18" t="str">
        <f aca="false">IFERROR(INDEX(종합!D$3:D$501,MATCH(ROW()-2,종합!$AB$3:$AB$501,0))&amp;"","")</f>
        <v/>
      </c>
      <c r="E34" s="18" t="str">
        <f aca="false">IFERROR(INDEX(종합!E$3:E$501,MATCH(ROW()-2,종합!$AB$3:$AB$501,0))&amp;"","")</f>
        <v/>
      </c>
      <c r="F34" s="18" t="str">
        <f aca="false">IFERROR(INDEX(종합!F$3:F$501,MATCH(ROW()-2,종합!$AB$3:$AB$501,0))&amp;"","")</f>
        <v/>
      </c>
      <c r="G34" s="18" t="str">
        <f aca="false">IFERROR(INDEX(종합!G$3:G$501,MATCH(ROW()-2,종합!$AB$3:$AB$501,0))&amp;"","")</f>
        <v>중소기업</v>
      </c>
      <c r="H34" s="21" t="str">
        <f aca="false">IFERROR(INDEX(종합!H$3:H$501,MATCH(ROW()-2,종합!$AB$3:$AB$501,0))&amp;"","")</f>
        <v>488-87-00079</v>
      </c>
      <c r="I34" s="21" t="str">
        <f aca="false">IFERROR(INDEX(종합!I$3:I$501,MATCH(ROW()-2,종합!$AB$3:$AB$501,0))&amp;"","")</f>
        <v>최영호</v>
      </c>
      <c r="J34" s="21" t="str">
        <f aca="false">IFERROR(INDEX(종합!J$3:J$501,MATCH(ROW()-2,종합!$AB$3:$AB$501,0))&amp;"","")</f>
        <v>070-4145-4354</v>
      </c>
      <c r="K34" s="21" t="str">
        <f aca="false">IFERROR(INDEX(종합!K$3:K$501,MATCH(ROW()-2,종합!$AB$3:$AB$501,0))&amp;"","")</f>
        <v>https://www.riskzero.ai/</v>
      </c>
      <c r="L34" s="21" t="str">
        <f aca="false">IFERROR(INDEX(종합!L$3:L$501,MATCH(ROW()-2,종합!$AB$3:$AB$501,0))&amp;"","")</f>
        <v>jwoo77e@gmail.com</v>
      </c>
      <c r="M34" s="21" t="str">
        <f aca="false">IFERROR(INDEX(종합!M$3:M$501,MATCH(ROW()-2,종합!$AB$3:$AB$501,0))&amp;"","")</f>
        <v>서울시 성동구 성수일로77 서울숲IT밸리 1605호</v>
      </c>
      <c r="N34" s="25" t="str">
        <f aca="false">IFERROR(INDEX(종합!N$3:N$501,MATCH(ROW()-2,종합!$AB$3:$AB$501,0))&amp;"","")</f>
        <v>근로자 사고 위험도 예측 솔루션, AI Agent 기반 안전보건솔루션</v>
      </c>
      <c r="O34" s="21" t="str">
        <f aca="false">IFERROR(INDEX(종합!O$3:O$501,MATCH(ROW()-2,종합!$AB$3:$AB$501,0))&amp;"","")</f>
        <v>김대일</v>
      </c>
      <c r="P34" s="21" t="str">
        <f aca="false">IFERROR(INDEX(종합!P$3:P$501,MATCH(ROW()-2,종합!$AB$3:$AB$501,0))&amp;"","")</f>
        <v>기술연구소</v>
      </c>
      <c r="Q34" s="21" t="str">
        <f aca="false">IFERROR(INDEX(종합!Q$3:Q$501,MATCH(ROW()-2,종합!$AB$3:$AB$501,0))&amp;"","")</f>
        <v>연구소장</v>
      </c>
      <c r="R34" s="21" t="str">
        <f aca="false">IFERROR(INDEX(종합!R$3:R$501,MATCH(ROW()-2,종합!$AB$3:$AB$501,0))&amp;"","")</f>
        <v>010-8593-9496</v>
      </c>
      <c r="S34" s="21" t="str">
        <f aca="false">IFERROR(INDEX(종합!S$3:S$501,MATCH(ROW()-2,종합!$AB$3:$AB$501,0))&amp;"","")</f>
        <v>bigone@riskzero.kr</v>
      </c>
      <c r="T34" s="21" t="str">
        <f aca="false">IFERROR(INDEX(종합!T$3:T$501,MATCH(ROW()-2,종합!$AB$3:$AB$501,0))&amp;"","")</f>
        <v>010-8593-9496</v>
      </c>
      <c r="U34" s="21" t="str">
        <f aca="false">IFERROR(INDEX(종합!U$3:U$501,MATCH(ROW()-2,종합!$AB$3:$AB$501,0))&amp;"","")</f>
        <v>김재우</v>
      </c>
      <c r="V34" s="21" t="str">
        <f aca="false">IFERROR(INDEX(종합!V$3:V$501,MATCH(ROW()-2,종합!$AB$3:$AB$501,0))&amp;"","")</f>
        <v>기술연구소</v>
      </c>
      <c r="W34" s="21" t="str">
        <f aca="false">IFERROR(INDEX(종합!W$3:W$501,MATCH(ROW()-2,종합!$AB$3:$AB$501,0))&amp;"","")</f>
        <v>부장</v>
      </c>
      <c r="X34" s="21" t="str">
        <f aca="false">IFERROR(INDEX(종합!X$3:X$501,MATCH(ROW()-2,종합!$AB$3:$AB$501,0))&amp;"","")</f>
        <v>010-2626-0711</v>
      </c>
      <c r="Y34" s="21" t="str">
        <f aca="false">IFERROR(INDEX(종합!Y$3:Y$501,MATCH(ROW()-2,종합!$AB$3:$AB$501,0))&amp;"","")</f>
        <v>jaewoo.kim@riskzero.kr</v>
      </c>
      <c r="Z34" s="21" t="str">
        <f aca="false">IFERROR(INDEX(종합!Z$3:Z$501,MATCH(ROW()-2,종합!$AB$3:$AB$501,0))&amp;"","")</f>
        <v>010-2626-0711</v>
      </c>
    </row>
    <row r="35" customFormat="false" ht="22.5" hidden="false" customHeight="true" outlineLevel="0" collapsed="false">
      <c r="A35" s="18" t="n">
        <f aca="false">IF(B35="","",ROW()-2)</f>
        <v>33</v>
      </c>
      <c r="B35" s="18" t="str">
        <f aca="false">IFERROR(INDEX(종합!B$3:B$501,MATCH(ROW()-2,종합!$AB$3:$AB$501,0))&amp;"","")</f>
        <v>(주)시옷</v>
      </c>
      <c r="C35" s="18" t="str">
        <f aca="false">IFERROR(INDEX(종합!C$3:C$501,MATCH(ROW()-2,종합!$AB$3:$AB$501,0))&amp;"","")</f>
        <v>O</v>
      </c>
      <c r="D35" s="18" t="str">
        <f aca="false">IFERROR(INDEX(종합!D$3:D$501,MATCH(ROW()-2,종합!$AB$3:$AB$501,0))&amp;"","")</f>
        <v>O</v>
      </c>
      <c r="E35" s="18" t="str">
        <f aca="false">IFERROR(INDEX(종합!E$3:E$501,MATCH(ROW()-2,종합!$AB$3:$AB$501,0))&amp;"","")</f>
        <v>O</v>
      </c>
      <c r="F35" s="18" t="str">
        <f aca="false">IFERROR(INDEX(종합!F$3:F$501,MATCH(ROW()-2,종합!$AB$3:$AB$501,0))&amp;"","")</f>
        <v/>
      </c>
      <c r="G35" s="18" t="str">
        <f aca="false">IFERROR(INDEX(종합!G$3:G$501,MATCH(ROW()-2,종합!$AB$3:$AB$501,0))&amp;"","")</f>
        <v>중소기업</v>
      </c>
      <c r="H35" s="21" t="str">
        <f aca="false">IFERROR(INDEX(종합!H$3:H$501,MATCH(ROW()-2,종합!$AB$3:$AB$501,0))&amp;"","")</f>
        <v>264-81-47817</v>
      </c>
      <c r="I35" s="21" t="str">
        <f aca="false">IFERROR(INDEX(종합!I$3:I$501,MATCH(ROW()-2,종합!$AB$3:$AB$501,0))&amp;"","")</f>
        <v>박현주</v>
      </c>
      <c r="J35" s="21" t="str">
        <f aca="false">IFERROR(INDEX(종합!J$3:J$501,MATCH(ROW()-2,종합!$AB$3:$AB$501,0))&amp;"","")</f>
        <v>02-522-3107</v>
      </c>
      <c r="K35" s="21" t="str">
        <f aca="false">IFERROR(INDEX(종합!K$3:K$501,MATCH(ROW()-2,종합!$AB$3:$AB$501,0))&amp;"","")</f>
        <v>http://www.ciotsecurity.com</v>
      </c>
      <c r="L35" s="21" t="str">
        <f aca="false">IFERROR(INDEX(종합!L$3:L$501,MATCH(ROW()-2,종합!$AB$3:$AB$501,0))&amp;"","")</f>
        <v>susannapark106@gmail.com</v>
      </c>
      <c r="M35" s="21" t="str">
        <f aca="false">IFERROR(INDEX(종합!M$3:M$501,MATCH(ROW()-2,종합!$AB$3:$AB$501,0))&amp;"","")</f>
        <v>서울특별시 서초구 서초대로 74길 45, 엔데버빌딩 14층</v>
      </c>
      <c r="N35" s="25" t="str">
        <f aca="false">IFERROR(INDEX(종합!N$3:N$501,MATCH(ROW()-2,종합!$AB$3:$AB$501,0))&amp;"","")</f>
        <v>AI융합보안, 정보유출탐지솔루션</v>
      </c>
      <c r="O35" s="21" t="str">
        <f aca="false">IFERROR(INDEX(종합!O$3:O$501,MATCH(ROW()-2,종합!$AB$3:$AB$501,0))&amp;"","")</f>
        <v>박현주</v>
      </c>
      <c r="P35" s="21" t="str">
        <f aca="false">IFERROR(INDEX(종합!P$3:P$501,MATCH(ROW()-2,종합!$AB$3:$AB$501,0))&amp;"","")</f>
        <v>임원실</v>
      </c>
      <c r="Q35" s="21" t="str">
        <f aca="false">IFERROR(INDEX(종합!Q$3:Q$501,MATCH(ROW()-2,종합!$AB$3:$AB$501,0))&amp;"","")</f>
        <v>대표이사</v>
      </c>
      <c r="R35" s="21" t="str">
        <f aca="false">IFERROR(INDEX(종합!R$3:R$501,MATCH(ROW()-2,종합!$AB$3:$AB$501,0))&amp;"","")</f>
        <v>02-522-3107</v>
      </c>
      <c r="S35" s="21" t="str">
        <f aca="false">IFERROR(INDEX(종합!S$3:S$501,MATCH(ROW()-2,종합!$AB$3:$AB$501,0))&amp;"","")</f>
        <v>hjpark@ciotsecurity.com</v>
      </c>
      <c r="T35" s="21" t="str">
        <f aca="false">IFERROR(INDEX(종합!T$3:T$501,MATCH(ROW()-2,종합!$AB$3:$AB$501,0))&amp;"","")</f>
        <v>010-8645-5975</v>
      </c>
      <c r="U35" s="21" t="str">
        <f aca="false">IFERROR(INDEX(종합!U$3:U$501,MATCH(ROW()-2,종합!$AB$3:$AB$501,0))&amp;"","")</f>
        <v>이길용</v>
      </c>
      <c r="V35" s="21" t="str">
        <f aca="false">IFERROR(INDEX(종합!V$3:V$501,MATCH(ROW()-2,종합!$AB$3:$AB$501,0))&amp;"","")</f>
        <v>전략기획사업부</v>
      </c>
      <c r="W35" s="21" t="str">
        <f aca="false">IFERROR(INDEX(종합!W$3:W$501,MATCH(ROW()-2,종합!$AB$3:$AB$501,0))&amp;"","")</f>
        <v>상무</v>
      </c>
      <c r="X35" s="21" t="str">
        <f aca="false">IFERROR(INDEX(종합!X$3:X$501,MATCH(ROW()-2,종합!$AB$3:$AB$501,0))&amp;"","")</f>
        <v>02-522-3107</v>
      </c>
      <c r="Y35" s="21" t="str">
        <f aca="false">IFERROR(INDEX(종합!Y$3:Y$501,MATCH(ROW()-2,종합!$AB$3:$AB$501,0))&amp;"","")</f>
        <v>gylee@ciotsecurity.com</v>
      </c>
      <c r="Z35" s="21" t="str">
        <f aca="false">IFERROR(INDEX(종합!Z$3:Z$501,MATCH(ROW()-2,종합!$AB$3:$AB$501,0))&amp;"","")</f>
        <v>010-8679-0020</v>
      </c>
    </row>
    <row r="36" customFormat="false" ht="22.5" hidden="false" customHeight="true" outlineLevel="0" collapsed="false">
      <c r="A36" s="18" t="n">
        <f aca="false">IF(B36="","",ROW()-2)</f>
        <v>34</v>
      </c>
      <c r="B36" s="18" t="str">
        <f aca="false">IFERROR(INDEX(종합!B$3:B$501,MATCH(ROW()-2,종합!$AB$3:$AB$501,0))&amp;"","")</f>
        <v>(주)엑사이즈</v>
      </c>
      <c r="C36" s="18" t="str">
        <f aca="false">IFERROR(INDEX(종합!C$3:C$501,MATCH(ROW()-2,종합!$AB$3:$AB$501,0))&amp;"","")</f>
        <v>O</v>
      </c>
      <c r="D36" s="18" t="str">
        <f aca="false">IFERROR(INDEX(종합!D$3:D$501,MATCH(ROW()-2,종합!$AB$3:$AB$501,0))&amp;"","")</f>
        <v/>
      </c>
      <c r="E36" s="18" t="str">
        <f aca="false">IFERROR(INDEX(종합!E$3:E$501,MATCH(ROW()-2,종합!$AB$3:$AB$501,0))&amp;"","")</f>
        <v/>
      </c>
      <c r="F36" s="18" t="str">
        <f aca="false">IFERROR(INDEX(종합!F$3:F$501,MATCH(ROW()-2,종합!$AB$3:$AB$501,0))&amp;"","")</f>
        <v/>
      </c>
      <c r="G36" s="18" t="str">
        <f aca="false">IFERROR(INDEX(종합!G$3:G$501,MATCH(ROW()-2,종합!$AB$3:$AB$501,0))&amp;"","")</f>
        <v>중소기업</v>
      </c>
      <c r="H36" s="21" t="str">
        <f aca="false">IFERROR(INDEX(종합!H$3:H$501,MATCH(ROW()-2,종합!$AB$3:$AB$501,0))&amp;"","")</f>
        <v>309-88-00318</v>
      </c>
      <c r="I36" s="21" t="str">
        <f aca="false">IFERROR(INDEX(종합!I$3:I$501,MATCH(ROW()-2,종합!$AB$3:$AB$501,0))&amp;"","")</f>
        <v>홍미정</v>
      </c>
      <c r="J36" s="21" t="str">
        <f aca="false">IFERROR(INDEX(종합!J$3:J$501,MATCH(ROW()-2,종합!$AB$3:$AB$501,0))&amp;"","")</f>
        <v>02-567-8030</v>
      </c>
      <c r="K36" s="21" t="str">
        <f aca="false">IFERROR(INDEX(종합!K$3:K$501,MATCH(ROW()-2,종합!$AB$3:$AB$501,0))&amp;"","")</f>
        <v>exais.kr</v>
      </c>
      <c r="L36" s="21" t="str">
        <f aca="false">IFERROR(INDEX(종합!L$3:L$501,MATCH(ROW()-2,종합!$AB$3:$AB$501,0))&amp;"","")</f>
        <v>skynod73@gmail.com</v>
      </c>
      <c r="M36" s="21" t="str">
        <f aca="false">IFERROR(INDEX(종합!M$3:M$501,MATCH(ROW()-2,종합!$AB$3:$AB$501,0))&amp;"","")</f>
        <v>서울시 서초구 강남대로53길 8, 5층 2-3호</v>
      </c>
      <c r="N36" s="25" t="str">
        <f aca="false">IFERROR(INDEX(종합!N$3:N$501,MATCH(ROW()-2,종합!$AB$3:$AB$501,0))&amp;"","")</f>
        <v>빅데이터 수집 구조화 기술, ToT 추론 모델</v>
      </c>
      <c r="O36" s="21" t="str">
        <f aca="false">IFERROR(INDEX(종합!O$3:O$501,MATCH(ROW()-2,종합!$AB$3:$AB$501,0))&amp;"","")</f>
        <v>전주천</v>
      </c>
      <c r="P36" s="21" t="str">
        <f aca="false">IFERROR(INDEX(종합!P$3:P$501,MATCH(ROW()-2,종합!$AB$3:$AB$501,0))&amp;"","")</f>
        <v>사업기획팀</v>
      </c>
      <c r="Q36" s="21" t="str">
        <f aca="false">IFERROR(INDEX(종합!Q$3:Q$501,MATCH(ROW()-2,종합!$AB$3:$AB$501,0))&amp;"","")</f>
        <v>이사</v>
      </c>
      <c r="R36" s="21" t="str">
        <f aca="false">IFERROR(INDEX(종합!R$3:R$501,MATCH(ROW()-2,종합!$AB$3:$AB$501,0))&amp;"","")</f>
        <v>010-5115-5781</v>
      </c>
      <c r="S36" s="21" t="str">
        <f aca="false">IFERROR(INDEX(종합!S$3:S$501,MATCH(ROW()-2,종합!$AB$3:$AB$501,0))&amp;"","")</f>
        <v>joujeon@exais.kr</v>
      </c>
      <c r="T36" s="21" t="str">
        <f aca="false">IFERROR(INDEX(종합!T$3:T$501,MATCH(ROW()-2,종합!$AB$3:$AB$501,0))&amp;"","")</f>
        <v>010-5115-5781</v>
      </c>
      <c r="U36" s="21" t="str">
        <f aca="false">IFERROR(INDEX(종합!U$3:U$501,MATCH(ROW()-2,종합!$AB$3:$AB$501,0))&amp;"","")</f>
        <v>이선재</v>
      </c>
      <c r="V36" s="21" t="str">
        <f aca="false">IFERROR(INDEX(종합!V$3:V$501,MATCH(ROW()-2,종합!$AB$3:$AB$501,0))&amp;"","")</f>
        <v>사업기획팀</v>
      </c>
      <c r="W36" s="21" t="str">
        <f aca="false">IFERROR(INDEX(종합!W$3:W$501,MATCH(ROW()-2,종합!$AB$3:$AB$501,0))&amp;"","")</f>
        <v>팀장</v>
      </c>
      <c r="X36" s="21" t="str">
        <f aca="false">IFERROR(INDEX(종합!X$3:X$501,MATCH(ROW()-2,종합!$AB$3:$AB$501,0))&amp;"","")</f>
        <v>010-4516-1080</v>
      </c>
      <c r="Y36" s="21" t="str">
        <f aca="false">IFERROR(INDEX(종합!Y$3:Y$501,MATCH(ROW()-2,종합!$AB$3:$AB$501,0))&amp;"","")</f>
        <v>sjlee86@exais.kr</v>
      </c>
      <c r="Z36" s="21" t="str">
        <f aca="false">IFERROR(INDEX(종합!Z$3:Z$501,MATCH(ROW()-2,종합!$AB$3:$AB$501,0))&amp;"","")</f>
        <v>010-4516-1080</v>
      </c>
    </row>
    <row r="37" customFormat="false" ht="33.75" hidden="false" customHeight="true" outlineLevel="0" collapsed="false">
      <c r="A37" s="18" t="n">
        <f aca="false">IF(B37="","",ROW()-2)</f>
        <v>35</v>
      </c>
      <c r="B37" s="18" t="str">
        <f aca="false">IFERROR(INDEX(종합!B$3:B$501,MATCH(ROW()-2,종합!$AB$3:$AB$501,0))&amp;"","")</f>
        <v>(주)이즈파크</v>
      </c>
      <c r="C37" s="18" t="str">
        <f aca="false">IFERROR(INDEX(종합!C$3:C$501,MATCH(ROW()-2,종합!$AB$3:$AB$501,0))&amp;"","")</f>
        <v>O</v>
      </c>
      <c r="D37" s="18" t="str">
        <f aca="false">IFERROR(INDEX(종합!D$3:D$501,MATCH(ROW()-2,종합!$AB$3:$AB$501,0))&amp;"","")</f>
        <v/>
      </c>
      <c r="E37" s="18" t="str">
        <f aca="false">IFERROR(INDEX(종합!E$3:E$501,MATCH(ROW()-2,종합!$AB$3:$AB$501,0))&amp;"","")</f>
        <v/>
      </c>
      <c r="F37" s="18" t="str">
        <f aca="false">IFERROR(INDEX(종합!F$3:F$501,MATCH(ROW()-2,종합!$AB$3:$AB$501,0))&amp;"","")</f>
        <v/>
      </c>
      <c r="G37" s="18" t="str">
        <f aca="false">IFERROR(INDEX(종합!G$3:G$501,MATCH(ROW()-2,종합!$AB$3:$AB$501,0))&amp;"","")</f>
        <v>중소기업</v>
      </c>
      <c r="H37" s="21" t="str">
        <f aca="false">IFERROR(INDEX(종합!H$3:H$501,MATCH(ROW()-2,종합!$AB$3:$AB$501,0))&amp;"","")</f>
        <v>609-81-90161</v>
      </c>
      <c r="I37" s="21" t="str">
        <f aca="false">IFERROR(INDEX(종합!I$3:I$501,MATCH(ROW()-2,종합!$AB$3:$AB$501,0))&amp;"","")</f>
        <v>김갑산</v>
      </c>
      <c r="J37" s="21" t="str">
        <f aca="false">IFERROR(INDEX(종합!J$3:J$501,MATCH(ROW()-2,종합!$AB$3:$AB$501,0))&amp;"","")</f>
        <v>02-6430-1620</v>
      </c>
      <c r="K37" s="21" t="str">
        <f aca="false">IFERROR(INDEX(종합!K$3:K$501,MATCH(ROW()-2,종합!$AB$3:$AB$501,0))&amp;"","")</f>
        <v>https://www.ispark.kr/</v>
      </c>
      <c r="L37" s="21" t="str">
        <f aca="false">IFERROR(INDEX(종합!L$3:L$501,MATCH(ROW()-2,종합!$AB$3:$AB$501,0))&amp;"","")</f>
        <v>light519519@gmail.com</v>
      </c>
      <c r="M37" s="21" t="str">
        <f aca="false">IFERROR(INDEX(종합!M$3:M$501,MATCH(ROW()-2,종합!$AB$3:$AB$501,0))&amp;"","")</f>
        <v>서울시 금천구 가산디지털2로 43-14, 803~820호(가산동, 한화비즈메트로2차)</v>
      </c>
      <c r="N37" s="25" t="str">
        <f aca="false">IFERROR(INDEX(종합!N$3:N$501,MATCH(ROW()-2,종합!$AB$3:$AB$501,0))&amp;"","")</f>
        <v>PA(People Analytics), RAG, TextToSQL, TeamAgent(솔루션), 제조AI 등</v>
      </c>
      <c r="O37" s="21" t="str">
        <f aca="false">IFERROR(INDEX(종합!O$3:O$501,MATCH(ROW()-2,종합!$AB$3:$AB$501,0))&amp;"","")</f>
        <v>홍덕기</v>
      </c>
      <c r="P37" s="21" t="str">
        <f aca="false">IFERROR(INDEX(종합!P$3:P$501,MATCH(ROW()-2,종합!$AB$3:$AB$501,0))&amp;"","")</f>
        <v>AX그룹</v>
      </c>
      <c r="Q37" s="21" t="str">
        <f aca="false">IFERROR(INDEX(종합!Q$3:Q$501,MATCH(ROW()-2,종합!$AB$3:$AB$501,0))&amp;"","")</f>
        <v>전무</v>
      </c>
      <c r="R37" s="21" t="str">
        <f aca="false">IFERROR(INDEX(종합!R$3:R$501,MATCH(ROW()-2,종합!$AB$3:$AB$501,0))&amp;"","")</f>
        <v>02-6430-1620</v>
      </c>
      <c r="S37" s="21" t="str">
        <f aca="false">IFERROR(INDEX(종합!S$3:S$501,MATCH(ROW()-2,종합!$AB$3:$AB$501,0))&amp;"","")</f>
        <v>dkhong@ispark.kr</v>
      </c>
      <c r="T37" s="21" t="str">
        <f aca="false">IFERROR(INDEX(종합!T$3:T$501,MATCH(ROW()-2,종합!$AB$3:$AB$501,0))&amp;"","")</f>
        <v>010-2883-3556</v>
      </c>
      <c r="U37" s="21" t="str">
        <f aca="false">IFERROR(INDEX(종합!U$3:U$501,MATCH(ROW()-2,종합!$AB$3:$AB$501,0))&amp;"","")</f>
        <v>형광민</v>
      </c>
      <c r="V37" s="21" t="str">
        <f aca="false">IFERROR(INDEX(종합!V$3:V$501,MATCH(ROW()-2,종합!$AB$3:$AB$501,0))&amp;"","")</f>
        <v>융합AI사업부</v>
      </c>
      <c r="W37" s="21" t="str">
        <f aca="false">IFERROR(INDEX(종합!W$3:W$501,MATCH(ROW()-2,종합!$AB$3:$AB$501,0))&amp;"","")</f>
        <v>수석</v>
      </c>
      <c r="X37" s="21" t="str">
        <f aca="false">IFERROR(INDEX(종합!X$3:X$501,MATCH(ROW()-2,종합!$AB$3:$AB$501,0))&amp;"","")</f>
        <v>02-6430-1620</v>
      </c>
      <c r="Y37" s="21" t="str">
        <f aca="false">IFERROR(INDEX(종합!Y$3:Y$501,MATCH(ROW()-2,종합!$AB$3:$AB$501,0))&amp;"","")</f>
        <v>kmhyung@ispark.kr</v>
      </c>
      <c r="Z37" s="21" t="str">
        <f aca="false">IFERROR(INDEX(종합!Z$3:Z$501,MATCH(ROW()-2,종합!$AB$3:$AB$501,0))&amp;"","")</f>
        <v>010-8759-7648</v>
      </c>
    </row>
    <row r="38" customFormat="false" ht="22.5" hidden="false" customHeight="true" outlineLevel="0" collapsed="false">
      <c r="A38" s="18" t="n">
        <f aca="false">IF(B38="","",ROW()-2)</f>
        <v>36</v>
      </c>
      <c r="B38" s="18" t="str">
        <f aca="false">IFERROR(INDEX(종합!B$3:B$501,MATCH(ROW()-2,종합!$AB$3:$AB$501,0))&amp;"","")</f>
        <v>주식회사 투비유니콘</v>
      </c>
      <c r="C38" s="18" t="str">
        <f aca="false">IFERROR(INDEX(종합!C$3:C$501,MATCH(ROW()-2,종합!$AB$3:$AB$501,0))&amp;"","")</f>
        <v>O</v>
      </c>
      <c r="D38" s="18" t="str">
        <f aca="false">IFERROR(INDEX(종합!D$3:D$501,MATCH(ROW()-2,종합!$AB$3:$AB$501,0))&amp;"","")</f>
        <v/>
      </c>
      <c r="E38" s="18" t="str">
        <f aca="false">IFERROR(INDEX(종합!E$3:E$501,MATCH(ROW()-2,종합!$AB$3:$AB$501,0))&amp;"","")</f>
        <v/>
      </c>
      <c r="F38" s="18" t="str">
        <f aca="false">IFERROR(INDEX(종합!F$3:F$501,MATCH(ROW()-2,종합!$AB$3:$AB$501,0))&amp;"","")</f>
        <v/>
      </c>
      <c r="G38" s="18" t="str">
        <f aca="false">IFERROR(INDEX(종합!G$3:G$501,MATCH(ROW()-2,종합!$AB$3:$AB$501,0))&amp;"","")</f>
        <v>중소기업</v>
      </c>
      <c r="H38" s="21" t="str">
        <f aca="false">IFERROR(INDEX(종합!H$3:H$501,MATCH(ROW()-2,종합!$AB$3:$AB$501,0))&amp;"","")</f>
        <v>870-86-01815</v>
      </c>
      <c r="I38" s="21" t="str">
        <f aca="false">IFERROR(INDEX(종합!I$3:I$501,MATCH(ROW()-2,종합!$AB$3:$AB$501,0))&amp;"","")</f>
        <v>윤진욱</v>
      </c>
      <c r="J38" s="21" t="str">
        <f aca="false">IFERROR(INDEX(종합!J$3:J$501,MATCH(ROW()-2,종합!$AB$3:$AB$501,0))&amp;"","")</f>
        <v>1644-1013</v>
      </c>
      <c r="K38" s="21" t="str">
        <f aca="false">IFERROR(INDEX(종합!K$3:K$501,MATCH(ROW()-2,종합!$AB$3:$AB$501,0))&amp;"","")</f>
        <v>www.tobeunicorn.kr</v>
      </c>
      <c r="L38" s="21" t="str">
        <f aca="false">IFERROR(INDEX(종합!L$3:L$501,MATCH(ROW()-2,종합!$AB$3:$AB$501,0))&amp;"","")</f>
        <v>wjddms101@gmail.com</v>
      </c>
      <c r="M38" s="21" t="str">
        <f aca="false">IFERROR(INDEX(종합!M$3:M$501,MATCH(ROW()-2,종합!$AB$3:$AB$501,0))&amp;"","")</f>
        <v>충남 천안시 동남구 청수8로 56(청당동)</v>
      </c>
      <c r="N38" s="25" t="str">
        <f aca="false">IFERROR(INDEX(종합!N$3:N$501,MATCH(ROW()-2,종합!$AB$3:$AB$501,0))&amp;"","")</f>
        <v>미션크리티컬 AI</v>
      </c>
      <c r="O38" s="21" t="str">
        <f aca="false">IFERROR(INDEX(종합!O$3:O$501,MATCH(ROW()-2,종합!$AB$3:$AB$501,0))&amp;"","")</f>
        <v>윤진욱</v>
      </c>
      <c r="P38" s="21" t="str">
        <f aca="false">IFERROR(INDEX(종합!P$3:P$501,MATCH(ROW()-2,종합!$AB$3:$AB$501,0))&amp;"","")</f>
        <v>CEO</v>
      </c>
      <c r="Q38" s="21" t="str">
        <f aca="false">IFERROR(INDEX(종합!Q$3:Q$501,MATCH(ROW()-2,종합!$AB$3:$AB$501,0))&amp;"","")</f>
        <v>CEO</v>
      </c>
      <c r="R38" s="21" t="str">
        <f aca="false">IFERROR(INDEX(종합!R$3:R$501,MATCH(ROW()-2,종합!$AB$3:$AB$501,0))&amp;"","")</f>
        <v>1644-1013</v>
      </c>
      <c r="S38" s="21" t="str">
        <f aca="false">IFERROR(INDEX(종합!S$3:S$501,MATCH(ROW()-2,종합!$AB$3:$AB$501,0))&amp;"","")</f>
        <v>sigmund@tobeunicorn.kr</v>
      </c>
      <c r="T38" s="21" t="str">
        <f aca="false">IFERROR(INDEX(종합!T$3:T$501,MATCH(ROW()-2,종합!$AB$3:$AB$501,0))&amp;"","")</f>
        <v>010-4417-5908</v>
      </c>
      <c r="U38" s="21" t="str">
        <f aca="false">IFERROR(INDEX(종합!U$3:U$501,MATCH(ROW()-2,종합!$AB$3:$AB$501,0))&amp;"","")</f>
        <v>김재수</v>
      </c>
      <c r="V38" s="21" t="str">
        <f aca="false">IFERROR(INDEX(종합!V$3:V$501,MATCH(ROW()-2,종합!$AB$3:$AB$501,0))&amp;"","")</f>
        <v>기업부설연구소</v>
      </c>
      <c r="W38" s="21" t="str">
        <f aca="false">IFERROR(INDEX(종합!W$3:W$501,MATCH(ROW()-2,종합!$AB$3:$AB$501,0))&amp;"","")</f>
        <v>CAIO</v>
      </c>
      <c r="X38" s="21" t="str">
        <f aca="false">IFERROR(INDEX(종합!X$3:X$501,MATCH(ROW()-2,종합!$AB$3:$AB$501,0))&amp;"","")</f>
        <v>010-8184-4050</v>
      </c>
      <c r="Y38" s="21" t="str">
        <f aca="false">IFERROR(INDEX(종합!Y$3:Y$501,MATCH(ROW()-2,종합!$AB$3:$AB$501,0))&amp;"","")</f>
        <v>jaesoo@tobeunicorn.kr</v>
      </c>
      <c r="Z38" s="21" t="str">
        <f aca="false">IFERROR(INDEX(종합!Z$3:Z$501,MATCH(ROW()-2,종합!$AB$3:$AB$501,0))&amp;"","")</f>
        <v>010-8184-4050</v>
      </c>
    </row>
    <row r="39" customFormat="false" ht="33.75" hidden="false" customHeight="true" outlineLevel="0" collapsed="false">
      <c r="A39" s="18" t="n">
        <f aca="false">IF(B39="","",ROW()-2)</f>
        <v>37</v>
      </c>
      <c r="B39" s="18" t="str">
        <f aca="false">IFERROR(INDEX(종합!B$3:B$501,MATCH(ROW()-2,종합!$AB$3:$AB$501,0))&amp;"","")</f>
        <v>디딤365 주식회사</v>
      </c>
      <c r="C39" s="18" t="str">
        <f aca="false">IFERROR(INDEX(종합!C$3:C$501,MATCH(ROW()-2,종합!$AB$3:$AB$501,0))&amp;"","")</f>
        <v>O</v>
      </c>
      <c r="D39" s="18" t="str">
        <f aca="false">IFERROR(INDEX(종합!D$3:D$501,MATCH(ROW()-2,종합!$AB$3:$AB$501,0))&amp;"","")</f>
        <v/>
      </c>
      <c r="E39" s="18" t="str">
        <f aca="false">IFERROR(INDEX(종합!E$3:E$501,MATCH(ROW()-2,종합!$AB$3:$AB$501,0))&amp;"","")</f>
        <v/>
      </c>
      <c r="F39" s="18" t="str">
        <f aca="false">IFERROR(INDEX(종합!F$3:F$501,MATCH(ROW()-2,종합!$AB$3:$AB$501,0))&amp;"","")</f>
        <v/>
      </c>
      <c r="G39" s="18" t="str">
        <f aca="false">IFERROR(INDEX(종합!G$3:G$501,MATCH(ROW()-2,종합!$AB$3:$AB$501,0))&amp;"","")</f>
        <v>중소기업</v>
      </c>
      <c r="H39" s="21" t="str">
        <f aca="false">IFERROR(INDEX(종합!H$3:H$501,MATCH(ROW()-2,종합!$AB$3:$AB$501,0))&amp;"","")</f>
        <v>220-87-09625</v>
      </c>
      <c r="I39" s="21" t="str">
        <f aca="false">IFERROR(INDEX(종합!I$3:I$501,MATCH(ROW()-2,종합!$AB$3:$AB$501,0))&amp;"","")</f>
        <v>장민호</v>
      </c>
      <c r="J39" s="21" t="str">
        <f aca="false">IFERROR(INDEX(종합!J$3:J$501,MATCH(ROW()-2,종합!$AB$3:$AB$501,0))&amp;"","")</f>
        <v>02-853-0365</v>
      </c>
      <c r="K39" s="21" t="str">
        <f aca="false">IFERROR(INDEX(종합!K$3:K$501,MATCH(ROW()-2,종합!$AB$3:$AB$501,0))&amp;"","")</f>
        <v>www.didim365.com</v>
      </c>
      <c r="L39" s="21" t="str">
        <f aca="false">IFERROR(INDEX(종합!L$3:L$501,MATCH(ROW()-2,종합!$AB$3:$AB$501,0))&amp;"","")</f>
        <v>didimplan2025@gmail.com</v>
      </c>
      <c r="M39" s="21" t="str">
        <f aca="false">IFERROR(INDEX(종합!M$3:M$501,MATCH(ROW()-2,종합!$AB$3:$AB$501,0))&amp;"","")</f>
        <v>서울특별시 구로구 디지털로26길 43 R동 12층</v>
      </c>
      <c r="N39" s="25" t="str">
        <f aca="false">IFERROR(INDEX(종합!N$3:N$501,MATCH(ROW()-2,종합!$AB$3:$AB$501,0))&amp;"","")</f>
        <v>AI Agent, AI Cloud(MSP), AI Big data - DidimRAG,DidimT2SQL,DidimDP,DidimAgentBuilder</v>
      </c>
      <c r="O39" s="21" t="str">
        <f aca="false">IFERROR(INDEX(종합!O$3:O$501,MATCH(ROW()-2,종합!$AB$3:$AB$501,0))&amp;"","")</f>
        <v>장민호</v>
      </c>
      <c r="P39" s="21" t="str">
        <f aca="false">IFERROR(INDEX(종합!P$3:P$501,MATCH(ROW()-2,종합!$AB$3:$AB$501,0))&amp;"","")</f>
        <v>대표실</v>
      </c>
      <c r="Q39" s="21" t="str">
        <f aca="false">IFERROR(INDEX(종합!Q$3:Q$501,MATCH(ROW()-2,종합!$AB$3:$AB$501,0))&amp;"","")</f>
        <v>대표이사</v>
      </c>
      <c r="R39" s="21" t="str">
        <f aca="false">IFERROR(INDEX(종합!R$3:R$501,MATCH(ROW()-2,종합!$AB$3:$AB$501,0))&amp;"","")</f>
        <v>010-3281-6722</v>
      </c>
      <c r="S39" s="21" t="str">
        <f aca="false">IFERROR(INDEX(종합!S$3:S$501,MATCH(ROW()-2,종합!$AB$3:$AB$501,0))&amp;"","")</f>
        <v>ykkim@didim365.com</v>
      </c>
      <c r="T39" s="21" t="str">
        <f aca="false">IFERROR(INDEX(종합!T$3:T$501,MATCH(ROW()-2,종합!$AB$3:$AB$501,0))&amp;"","")</f>
        <v>010-3281-6722</v>
      </c>
      <c r="U39" s="21" t="str">
        <f aca="false">IFERROR(INDEX(종합!U$3:U$501,MATCH(ROW()-2,종합!$AB$3:$AB$501,0))&amp;"","")</f>
        <v>김용경</v>
      </c>
      <c r="V39" s="21" t="str">
        <f aca="false">IFERROR(INDEX(종합!V$3:V$501,MATCH(ROW()-2,종합!$AB$3:$AB$501,0))&amp;"","")</f>
        <v>기업부설연구소</v>
      </c>
      <c r="W39" s="21" t="str">
        <f aca="false">IFERROR(INDEX(종합!W$3:W$501,MATCH(ROW()-2,종합!$AB$3:$AB$501,0))&amp;"","")</f>
        <v>상무-기업부설연구소장</v>
      </c>
      <c r="X39" s="21" t="str">
        <f aca="false">IFERROR(INDEX(종합!X$3:X$501,MATCH(ROW()-2,종합!$AB$3:$AB$501,0))&amp;"","")</f>
        <v>010-3281-6722</v>
      </c>
      <c r="Y39" s="21" t="str">
        <f aca="false">IFERROR(INDEX(종합!Y$3:Y$501,MATCH(ROW()-2,종합!$AB$3:$AB$501,0))&amp;"","")</f>
        <v>ykkim@didim365.com</v>
      </c>
      <c r="Z39" s="21" t="str">
        <f aca="false">IFERROR(INDEX(종합!Z$3:Z$501,MATCH(ROW()-2,종합!$AB$3:$AB$501,0))&amp;"","")</f>
        <v>010-3281-6722</v>
      </c>
    </row>
    <row r="40" customFormat="false" ht="33.75" hidden="false" customHeight="true" outlineLevel="0" collapsed="false">
      <c r="A40" s="18" t="n">
        <f aca="false">IF(B40="","",ROW()-2)</f>
        <v>38</v>
      </c>
      <c r="B40" s="18" t="str">
        <f aca="false">IFERROR(INDEX(종합!B$3:B$501,MATCH(ROW()-2,종합!$AB$3:$AB$501,0))&amp;"","")</f>
        <v>(주)카라멜라</v>
      </c>
      <c r="C40" s="18" t="str">
        <f aca="false">IFERROR(INDEX(종합!C$3:C$501,MATCH(ROW()-2,종합!$AB$3:$AB$501,0))&amp;"","")</f>
        <v>O</v>
      </c>
      <c r="D40" s="18" t="str">
        <f aca="false">IFERROR(INDEX(종합!D$3:D$501,MATCH(ROW()-2,종합!$AB$3:$AB$501,0))&amp;"","")</f>
        <v/>
      </c>
      <c r="E40" s="18" t="str">
        <f aca="false">IFERROR(INDEX(종합!E$3:E$501,MATCH(ROW()-2,종합!$AB$3:$AB$501,0))&amp;"","")</f>
        <v/>
      </c>
      <c r="F40" s="18" t="str">
        <f aca="false">IFERROR(INDEX(종합!F$3:F$501,MATCH(ROW()-2,종합!$AB$3:$AB$501,0))&amp;"","")</f>
        <v/>
      </c>
      <c r="G40" s="18" t="str">
        <f aca="false">IFERROR(INDEX(종합!G$3:G$501,MATCH(ROW()-2,종합!$AB$3:$AB$501,0))&amp;"","")</f>
        <v>중소기업</v>
      </c>
      <c r="H40" s="21" t="str">
        <f aca="false">IFERROR(INDEX(종합!H$3:H$501,MATCH(ROW()-2,종합!$AB$3:$AB$501,0))&amp;"","")</f>
        <v>405-86-01678</v>
      </c>
      <c r="I40" s="21" t="str">
        <f aca="false">IFERROR(INDEX(종합!I$3:I$501,MATCH(ROW()-2,종합!$AB$3:$AB$501,0))&amp;"","")</f>
        <v>박서연</v>
      </c>
      <c r="J40" s="21" t="str">
        <f aca="false">IFERROR(INDEX(종합!J$3:J$501,MATCH(ROW()-2,종합!$AB$3:$AB$501,0))&amp;"","")</f>
        <v>062-714-3626</v>
      </c>
      <c r="K40" s="21" t="str">
        <f aca="false">IFERROR(INDEX(종합!K$3:K$501,MATCH(ROW()-2,종합!$AB$3:$AB$501,0))&amp;"","")</f>
        <v>https://caramella.kr/ko-KR/</v>
      </c>
      <c r="L40" s="21" t="str">
        <f aca="false">IFERROR(INDEX(종합!L$3:L$501,MATCH(ROW()-2,종합!$AB$3:$AB$501,0))&amp;"","")</f>
        <v>wnsdhr7221@gmail.com</v>
      </c>
      <c r="M40" s="21" t="str">
        <f aca="false">IFERROR(INDEX(종합!M$3:M$501,MATCH(ROW()-2,종합!$AB$3:$AB$501,0))&amp;"","")</f>
        <v>광주광역시 남구 송암로24번 가길 46,503호 (광주실감콘텐츠큐브) 5층 503호 카라멜라</v>
      </c>
      <c r="N40" s="25" t="str">
        <f aca="false">IFERROR(INDEX(종합!N$3:N$501,MATCH(ROW()-2,종합!$AB$3:$AB$501,0))&amp;"","")</f>
        <v>RAG/LLM 기반 전문 도메인 맞춤 AI Agent 서비스 (사이트 바로가기 ▶ kimslab.ai / preview.kimslab.ai)</v>
      </c>
      <c r="O40" s="21" t="str">
        <f aca="false">IFERROR(INDEX(종합!O$3:O$501,MATCH(ROW()-2,종합!$AB$3:$AB$501,0))&amp;"","")</f>
        <v>정 창용</v>
      </c>
      <c r="P40" s="21" t="str">
        <f aca="false">IFERROR(INDEX(종합!P$3:P$501,MATCH(ROW()-2,종합!$AB$3:$AB$501,0))&amp;"","")</f>
        <v>기획팀</v>
      </c>
      <c r="Q40" s="21" t="str">
        <f aca="false">IFERROR(INDEX(종합!Q$3:Q$501,MATCH(ROW()-2,종합!$AB$3:$AB$501,0))&amp;"","")</f>
        <v>이사</v>
      </c>
      <c r="R40" s="21" t="str">
        <f aca="false">IFERROR(INDEX(종합!R$3:R$501,MATCH(ROW()-2,종합!$AB$3:$AB$501,0))&amp;"","")</f>
        <v>062-714-3626</v>
      </c>
      <c r="S40" s="21" t="str">
        <f aca="false">IFERROR(INDEX(종합!S$3:S$501,MATCH(ROW()-2,종합!$AB$3:$AB$501,0))&amp;"","")</f>
        <v>pm@caramella.kr</v>
      </c>
      <c r="T40" s="21" t="str">
        <f aca="false">IFERROR(INDEX(종합!T$3:T$501,MATCH(ROW()-2,종합!$AB$3:$AB$501,0))&amp;"","")</f>
        <v>010-7162-3636</v>
      </c>
      <c r="U40" s="21" t="str">
        <f aca="false">IFERROR(INDEX(종합!U$3:U$501,MATCH(ROW()-2,종합!$AB$3:$AB$501,0))&amp;"","")</f>
        <v>정준옥</v>
      </c>
      <c r="V40" s="21" t="str">
        <f aca="false">IFERROR(INDEX(종합!V$3:V$501,MATCH(ROW()-2,종합!$AB$3:$AB$501,0))&amp;"","")</f>
        <v>기획팀</v>
      </c>
      <c r="W40" s="21" t="str">
        <f aca="false">IFERROR(INDEX(종합!W$3:W$501,MATCH(ROW()-2,종합!$AB$3:$AB$501,0))&amp;"","")</f>
        <v>대리</v>
      </c>
      <c r="X40" s="21" t="str">
        <f aca="false">IFERROR(INDEX(종합!X$3:X$501,MATCH(ROW()-2,종합!$AB$3:$AB$501,0))&amp;"","")</f>
        <v>062-714-3626</v>
      </c>
      <c r="Y40" s="21" t="str">
        <f aca="false">IFERROR(INDEX(종합!Y$3:Y$501,MATCH(ROW()-2,종합!$AB$3:$AB$501,0))&amp;"","")</f>
        <v>junok@caramella.kr</v>
      </c>
      <c r="Z40" s="21" t="str">
        <f aca="false">IFERROR(INDEX(종합!Z$3:Z$501,MATCH(ROW()-2,종합!$AB$3:$AB$501,0))&amp;"","")</f>
        <v>010-7241-7221</v>
      </c>
    </row>
    <row r="41" customFormat="false" ht="33.75" hidden="false" customHeight="true" outlineLevel="0" collapsed="false">
      <c r="A41" s="18" t="n">
        <f aca="false">IF(B41="","",ROW()-2)</f>
        <v>39</v>
      </c>
      <c r="B41" s="18" t="str">
        <f aca="false">IFERROR(INDEX(종합!B$3:B$501,MATCH(ROW()-2,종합!$AB$3:$AB$501,0))&amp;"","")</f>
        <v>클로아이(주)</v>
      </c>
      <c r="C41" s="18" t="str">
        <f aca="false">IFERROR(INDEX(종합!C$3:C$501,MATCH(ROW()-2,종합!$AB$3:$AB$501,0))&amp;"","")</f>
        <v>O</v>
      </c>
      <c r="D41" s="18" t="str">
        <f aca="false">IFERROR(INDEX(종합!D$3:D$501,MATCH(ROW()-2,종합!$AB$3:$AB$501,0))&amp;"","")</f>
        <v>O</v>
      </c>
      <c r="E41" s="18" t="str">
        <f aca="false">IFERROR(INDEX(종합!E$3:E$501,MATCH(ROW()-2,종합!$AB$3:$AB$501,0))&amp;"","")</f>
        <v>O</v>
      </c>
      <c r="F41" s="18" t="str">
        <f aca="false">IFERROR(INDEX(종합!F$3:F$501,MATCH(ROW()-2,종합!$AB$3:$AB$501,0))&amp;"","")</f>
        <v>O</v>
      </c>
      <c r="G41" s="18" t="str">
        <f aca="false">IFERROR(INDEX(종합!G$3:G$501,MATCH(ROW()-2,종합!$AB$3:$AB$501,0))&amp;"","")</f>
        <v>중소기업</v>
      </c>
      <c r="H41" s="21" t="str">
        <f aca="false">IFERROR(INDEX(종합!H$3:H$501,MATCH(ROW()-2,종합!$AB$3:$AB$501,0))&amp;"","")</f>
        <v>519-88-02650</v>
      </c>
      <c r="I41" s="21" t="str">
        <f aca="false">IFERROR(INDEX(종합!I$3:I$501,MATCH(ROW()-2,종합!$AB$3:$AB$501,0))&amp;"","")</f>
        <v>김성룡</v>
      </c>
      <c r="J41" s="21" t="str">
        <f aca="false">IFERROR(INDEX(종합!J$3:J$501,MATCH(ROW()-2,종합!$AB$3:$AB$501,0))&amp;"","")</f>
        <v>070-8095-9212</v>
      </c>
      <c r="K41" s="21" t="str">
        <f aca="false">IFERROR(INDEX(종합!K$3:K$501,MATCH(ROW()-2,종합!$AB$3:$AB$501,0))&amp;"","")</f>
        <v>http://www.cloai.co.kr</v>
      </c>
      <c r="L41" s="21" t="str">
        <f aca="false">IFERROR(INDEX(종합!L$3:L$501,MATCH(ROW()-2,종합!$AB$3:$AB$501,0))&amp;"","")</f>
        <v>sedragons@gmail.com</v>
      </c>
      <c r="M41" s="21" t="str">
        <f aca="false">IFERROR(INDEX(종합!M$3:M$501,MATCH(ROW()-2,종합!$AB$3:$AB$501,0))&amp;"","")</f>
        <v>서울시 강남구 테헤란로 34길14, 정인빌딩 401호</v>
      </c>
      <c r="N41" s="25" t="str">
        <f aca="false">IFERROR(INDEX(종합!N$3:N$501,MATCH(ROW()-2,종합!$AB$3:$AB$501,0))&amp;"","")</f>
        <v>AI 산업안전 도우미 LLM, 휴머노이드 로봇 행동인지 및 대화 시스템</v>
      </c>
      <c r="O41" s="21" t="str">
        <f aca="false">IFERROR(INDEX(종합!O$3:O$501,MATCH(ROW()-2,종합!$AB$3:$AB$501,0))&amp;"","")</f>
        <v>김성룡</v>
      </c>
      <c r="P41" s="21" t="str">
        <f aca="false">IFERROR(INDEX(종합!P$3:P$501,MATCH(ROW()-2,종합!$AB$3:$AB$501,0))&amp;"","")</f>
        <v>경영본부</v>
      </c>
      <c r="Q41" s="21" t="str">
        <f aca="false">IFERROR(INDEX(종합!Q$3:Q$501,MATCH(ROW()-2,종합!$AB$3:$AB$501,0))&amp;"","")</f>
        <v>CEO</v>
      </c>
      <c r="R41" s="21" t="str">
        <f aca="false">IFERROR(INDEX(종합!R$3:R$501,MATCH(ROW()-2,종합!$AB$3:$AB$501,0))&amp;"","")</f>
        <v>010-4880-9949</v>
      </c>
      <c r="S41" s="21" t="str">
        <f aca="false">IFERROR(INDEX(종합!S$3:S$501,MATCH(ROW()-2,종합!$AB$3:$AB$501,0))&amp;"","")</f>
        <v>cloai@cloai.co.kr</v>
      </c>
      <c r="T41" s="21" t="str">
        <f aca="false">IFERROR(INDEX(종합!T$3:T$501,MATCH(ROW()-2,종합!$AB$3:$AB$501,0))&amp;"","")</f>
        <v>010-4880-9949</v>
      </c>
      <c r="U41" s="21" t="str">
        <f aca="false">IFERROR(INDEX(종합!U$3:U$501,MATCH(ROW()-2,종합!$AB$3:$AB$501,0))&amp;"","")</f>
        <v>조세희</v>
      </c>
      <c r="V41" s="21" t="str">
        <f aca="false">IFERROR(INDEX(종합!V$3:V$501,MATCH(ROW()-2,종합!$AB$3:$AB$501,0))&amp;"","")</f>
        <v>AI사업부</v>
      </c>
      <c r="W41" s="21" t="str">
        <f aca="false">IFERROR(INDEX(종합!W$3:W$501,MATCH(ROW()-2,종합!$AB$3:$AB$501,0))&amp;"","")</f>
        <v>대리</v>
      </c>
      <c r="X41" s="21" t="str">
        <f aca="false">IFERROR(INDEX(종합!X$3:X$501,MATCH(ROW()-2,종합!$AB$3:$AB$501,0))&amp;"","")</f>
        <v>010-7338-9133</v>
      </c>
      <c r="Y41" s="21" t="str">
        <f aca="false">IFERROR(INDEX(종합!Y$3:Y$501,MATCH(ROW()-2,종합!$AB$3:$AB$501,0))&amp;"","")</f>
        <v>shjo@cloai.co.kr</v>
      </c>
      <c r="Z41" s="21" t="str">
        <f aca="false">IFERROR(INDEX(종합!Z$3:Z$501,MATCH(ROW()-2,종합!$AB$3:$AB$501,0))&amp;"","")</f>
        <v>010-7338-9133</v>
      </c>
    </row>
    <row r="42" customFormat="false" ht="33.75" hidden="false" customHeight="true" outlineLevel="0" collapsed="false">
      <c r="A42" s="18" t="n">
        <f aca="false">IF(B42="","",ROW()-2)</f>
        <v>40</v>
      </c>
      <c r="B42" s="18" t="str">
        <f aca="false">IFERROR(INDEX(종합!B$3:B$501,MATCH(ROW()-2,종합!$AB$3:$AB$501,0))&amp;"","")</f>
        <v>몬드리안에이아이 주식회사</v>
      </c>
      <c r="C42" s="18" t="str">
        <f aca="false">IFERROR(INDEX(종합!C$3:C$501,MATCH(ROW()-2,종합!$AB$3:$AB$501,0))&amp;"","")</f>
        <v>O</v>
      </c>
      <c r="D42" s="18" t="str">
        <f aca="false">IFERROR(INDEX(종합!D$3:D$501,MATCH(ROW()-2,종합!$AB$3:$AB$501,0))&amp;"","")</f>
        <v/>
      </c>
      <c r="E42" s="18" t="str">
        <f aca="false">IFERROR(INDEX(종합!E$3:E$501,MATCH(ROW()-2,종합!$AB$3:$AB$501,0))&amp;"","")</f>
        <v/>
      </c>
      <c r="F42" s="18" t="str">
        <f aca="false">IFERROR(INDEX(종합!F$3:F$501,MATCH(ROW()-2,종합!$AB$3:$AB$501,0))&amp;"","")</f>
        <v/>
      </c>
      <c r="G42" s="18" t="str">
        <f aca="false">IFERROR(INDEX(종합!G$3:G$501,MATCH(ROW()-2,종합!$AB$3:$AB$501,0))&amp;"","")</f>
        <v>중소기업</v>
      </c>
      <c r="H42" s="21" t="str">
        <f aca="false">IFERROR(INDEX(종합!H$3:H$501,MATCH(ROW()-2,종합!$AB$3:$AB$501,0))&amp;"","")</f>
        <v>672-87-00994</v>
      </c>
      <c r="I42" s="21" t="str">
        <f aca="false">IFERROR(INDEX(종합!I$3:I$501,MATCH(ROW()-2,종합!$AB$3:$AB$501,0))&amp;"","")</f>
        <v>홍대의</v>
      </c>
      <c r="J42" s="21" t="str">
        <f aca="false">IFERROR(INDEX(종합!J$3:J$501,MATCH(ROW()-2,종합!$AB$3:$AB$501,0))&amp;"","")</f>
        <v>032-715-6065</v>
      </c>
      <c r="K42" s="21" t="str">
        <f aca="false">IFERROR(INDEX(종합!K$3:K$501,MATCH(ROW()-2,종합!$AB$3:$AB$501,0))&amp;"","")</f>
        <v>https://mondrian.ai/</v>
      </c>
      <c r="L42" s="21" t="str">
        <f aca="false">IFERROR(INDEX(종합!L$3:L$501,MATCH(ROW()-2,종합!$AB$3:$AB$501,0))&amp;"","")</f>
        <v>skkwak@mondrian.ai</v>
      </c>
      <c r="M42" s="21" t="str">
        <f aca="false">IFERROR(INDEX(종합!M$3:M$501,MATCH(ROW()-2,종합!$AB$3:$AB$501,0))&amp;"","")</f>
        <v>인천광역시 연수구 송도과학로 16번길 13-46, 701호, 702호</v>
      </c>
      <c r="N42" s="25" t="str">
        <f aca="false">IFERROR(INDEX(종합!N$3:N$501,MATCH(ROW()-2,종합!$AB$3:$AB$501,0))&amp;"","")</f>
        <v>RunyourAI(Agentic AI &amp; GPU Cloud), MonGPT(Industrial AI Solution), Yennefer(MLOps), AI Box(AI Appliance)</v>
      </c>
      <c r="O42" s="21" t="str">
        <f aca="false">IFERROR(INDEX(종합!O$3:O$501,MATCH(ROW()-2,종합!$AB$3:$AB$501,0))&amp;"","")</f>
        <v>소경호</v>
      </c>
      <c r="P42" s="21" t="str">
        <f aca="false">IFERROR(INDEX(종합!P$3:P$501,MATCH(ROW()-2,종합!$AB$3:$AB$501,0))&amp;"","")</f>
        <v>AI사업부</v>
      </c>
      <c r="Q42" s="21" t="str">
        <f aca="false">IFERROR(INDEX(종합!Q$3:Q$501,MATCH(ROW()-2,종합!$AB$3:$AB$501,0))&amp;"","")</f>
        <v>본부장</v>
      </c>
      <c r="R42" s="21" t="str">
        <f aca="false">IFERROR(INDEX(종합!R$3:R$501,MATCH(ROW()-2,종합!$AB$3:$AB$501,0))&amp;"","")</f>
        <v>010-8464-3195</v>
      </c>
      <c r="S42" s="21" t="str">
        <f aca="false">IFERROR(INDEX(종합!S$3:S$501,MATCH(ROW()-2,종합!$AB$3:$AB$501,0))&amp;"","")</f>
        <v>khso@mondrian.ai</v>
      </c>
      <c r="T42" s="21" t="str">
        <f aca="false">IFERROR(INDEX(종합!T$3:T$501,MATCH(ROW()-2,종합!$AB$3:$AB$501,0))&amp;"","")</f>
        <v>010-8464-3195</v>
      </c>
      <c r="U42" s="21" t="str">
        <f aca="false">IFERROR(INDEX(종합!U$3:U$501,MATCH(ROW()-2,종합!$AB$3:$AB$501,0))&amp;"","")</f>
        <v>곽상구</v>
      </c>
      <c r="V42" s="21" t="str">
        <f aca="false">IFERROR(INDEX(종합!V$3:V$501,MATCH(ROW()-2,종합!$AB$3:$AB$501,0))&amp;"","")</f>
        <v>AI사업부</v>
      </c>
      <c r="W42" s="21" t="str">
        <f aca="false">IFERROR(INDEX(종합!W$3:W$501,MATCH(ROW()-2,종합!$AB$3:$AB$501,0))&amp;"","")</f>
        <v>팀장</v>
      </c>
      <c r="X42" s="21" t="str">
        <f aca="false">IFERROR(INDEX(종합!X$3:X$501,MATCH(ROW()-2,종합!$AB$3:$AB$501,0))&amp;"","")</f>
        <v>010-3318-7003</v>
      </c>
      <c r="Y42" s="21" t="str">
        <f aca="false">IFERROR(INDEX(종합!Y$3:Y$501,MATCH(ROW()-2,종합!$AB$3:$AB$501,0))&amp;"","")</f>
        <v>skkwak@mondrian.ai</v>
      </c>
      <c r="Z42" s="21" t="str">
        <f aca="false">IFERROR(INDEX(종합!Z$3:Z$501,MATCH(ROW()-2,종합!$AB$3:$AB$501,0))&amp;"","")</f>
        <v>010-3318-7003</v>
      </c>
    </row>
    <row r="43" customFormat="false" ht="22.5" hidden="false" customHeight="true" outlineLevel="0" collapsed="false">
      <c r="A43" s="18" t="n">
        <f aca="false">IF(B43="","",ROW()-2)</f>
        <v>41</v>
      </c>
      <c r="B43" s="18" t="str">
        <f aca="false">IFERROR(INDEX(종합!B$3:B$501,MATCH(ROW()-2,종합!$AB$3:$AB$501,0))&amp;"","")</f>
        <v>(주)아이에이클라우드</v>
      </c>
      <c r="C43" s="18" t="str">
        <f aca="false">IFERROR(INDEX(종합!C$3:C$501,MATCH(ROW()-2,종합!$AB$3:$AB$501,0))&amp;"","")</f>
        <v>O</v>
      </c>
      <c r="D43" s="18" t="str">
        <f aca="false">IFERROR(INDEX(종합!D$3:D$501,MATCH(ROW()-2,종합!$AB$3:$AB$501,0))&amp;"","")</f>
        <v/>
      </c>
      <c r="E43" s="18" t="str">
        <f aca="false">IFERROR(INDEX(종합!E$3:E$501,MATCH(ROW()-2,종합!$AB$3:$AB$501,0))&amp;"","")</f>
        <v/>
      </c>
      <c r="F43" s="18" t="str">
        <f aca="false">IFERROR(INDEX(종합!F$3:F$501,MATCH(ROW()-2,종합!$AB$3:$AB$501,0))&amp;"","")</f>
        <v/>
      </c>
      <c r="G43" s="18" t="str">
        <f aca="false">IFERROR(INDEX(종합!G$3:G$501,MATCH(ROW()-2,종합!$AB$3:$AB$501,0))&amp;"","")</f>
        <v>중소기업</v>
      </c>
      <c r="H43" s="21" t="str">
        <f aca="false">IFERROR(INDEX(종합!H$3:H$501,MATCH(ROW()-2,종합!$AB$3:$AB$501,0))&amp;"","")</f>
        <v>464-86-03210</v>
      </c>
      <c r="I43" s="21" t="str">
        <f aca="false">IFERROR(INDEX(종합!I$3:I$501,MATCH(ROW()-2,종합!$AB$3:$AB$501,0))&amp;"","")</f>
        <v>진승의</v>
      </c>
      <c r="J43" s="21" t="str">
        <f aca="false">IFERROR(INDEX(종합!J$3:J$501,MATCH(ROW()-2,종합!$AB$3:$AB$501,0))&amp;"","")</f>
        <v>031-607-3000</v>
      </c>
      <c r="K43" s="21" t="str">
        <f aca="false">IFERROR(INDEX(종합!K$3:K$501,MATCH(ROW()-2,종합!$AB$3:$AB$501,0))&amp;"","")</f>
        <v>https://iacloud.kr/</v>
      </c>
      <c r="L43" s="21" t="str">
        <f aca="false">IFERROR(INDEX(종합!L$3:L$501,MATCH(ROW()-2,종합!$AB$3:$AB$501,0))&amp;"","")</f>
        <v>seokelkel@gmail.com</v>
      </c>
      <c r="M43" s="21" t="str">
        <f aca="false">IFERROR(INDEX(종합!M$3:M$501,MATCH(ROW()-2,종합!$AB$3:$AB$501,0))&amp;"","")</f>
        <v>경기도 성남시 분당구 구미로 8, 2층</v>
      </c>
      <c r="N43" s="25" t="str">
        <f aca="false">IFERROR(INDEX(종합!N$3:N$501,MATCH(ROW()-2,종합!$AB$3:$AB$501,0))&amp;"","")</f>
        <v>AI 인프라 클라우드 솔루션</v>
      </c>
      <c r="O43" s="21" t="str">
        <f aca="false">IFERROR(INDEX(종합!O$3:O$501,MATCH(ROW()-2,종합!$AB$3:$AB$501,0))&amp;"","")</f>
        <v>양동희</v>
      </c>
      <c r="P43" s="21" t="str">
        <f aca="false">IFERROR(INDEX(종합!P$3:P$501,MATCH(ROW()-2,종합!$AB$3:$AB$501,0))&amp;"","")</f>
        <v>-</v>
      </c>
      <c r="Q43" s="21" t="str">
        <f aca="false">IFERROR(INDEX(종합!Q$3:Q$501,MATCH(ROW()-2,종합!$AB$3:$AB$501,0))&amp;"","")</f>
        <v>CTO</v>
      </c>
      <c r="R43" s="21" t="str">
        <f aca="false">IFERROR(INDEX(종합!R$3:R$501,MATCH(ROW()-2,종합!$AB$3:$AB$501,0))&amp;"","")</f>
        <v>010-7108-3596</v>
      </c>
      <c r="S43" s="21" t="str">
        <f aca="false">IFERROR(INDEX(종합!S$3:S$501,MATCH(ROW()-2,종합!$AB$3:$AB$501,0))&amp;"","")</f>
        <v>dh.yang@iacloud.kr</v>
      </c>
      <c r="T43" s="21" t="str">
        <f aca="false">IFERROR(INDEX(종합!T$3:T$501,MATCH(ROW()-2,종합!$AB$3:$AB$501,0))&amp;"","")</f>
        <v>010-5120-3987</v>
      </c>
      <c r="U43" s="21" t="str">
        <f aca="false">IFERROR(INDEX(종합!U$3:U$501,MATCH(ROW()-2,종합!$AB$3:$AB$501,0))&amp;"","")</f>
        <v>서중원</v>
      </c>
      <c r="V43" s="21" t="str">
        <f aca="false">IFERROR(INDEX(종합!V$3:V$501,MATCH(ROW()-2,종합!$AB$3:$AB$501,0))&amp;"","")</f>
        <v>전략마케팅팀</v>
      </c>
      <c r="W43" s="21" t="str">
        <f aca="false">IFERROR(INDEX(종합!W$3:W$501,MATCH(ROW()-2,종합!$AB$3:$AB$501,0))&amp;"","")</f>
        <v>차장/전략마케팅팀팀원</v>
      </c>
      <c r="X43" s="21" t="str">
        <f aca="false">IFERROR(INDEX(종합!X$3:X$501,MATCH(ROW()-2,종합!$AB$3:$AB$501,0))&amp;"","")</f>
        <v>031-607-3000</v>
      </c>
      <c r="Y43" s="21" t="str">
        <f aca="false">IFERROR(INDEX(종합!Y$3:Y$501,MATCH(ROW()-2,종합!$AB$3:$AB$501,0))&amp;"","")</f>
        <v>jayden.seo@iacloud.kr</v>
      </c>
      <c r="Z43" s="21" t="str">
        <f aca="false">IFERROR(INDEX(종합!Z$3:Z$501,MATCH(ROW()-2,종합!$AB$3:$AB$501,0))&amp;"","")</f>
        <v>010-9601-1007</v>
      </c>
    </row>
    <row r="44" customFormat="false" ht="33.75" hidden="false" customHeight="true" outlineLevel="0" collapsed="false">
      <c r="A44" s="18" t="n">
        <f aca="false">IF(B44="","",ROW()-2)</f>
        <v>42</v>
      </c>
      <c r="B44" s="18" t="str">
        <f aca="false">IFERROR(INDEX(종합!B$3:B$501,MATCH(ROW()-2,종합!$AB$3:$AB$501,0))&amp;"","")</f>
        <v>(주)솔로몬텍</v>
      </c>
      <c r="C44" s="18" t="str">
        <f aca="false">IFERROR(INDEX(종합!C$3:C$501,MATCH(ROW()-2,종합!$AB$3:$AB$501,0))&amp;"","")</f>
        <v>O</v>
      </c>
      <c r="D44" s="18" t="str">
        <f aca="false">IFERROR(INDEX(종합!D$3:D$501,MATCH(ROW()-2,종합!$AB$3:$AB$501,0))&amp;"","")</f>
        <v/>
      </c>
      <c r="E44" s="18" t="str">
        <f aca="false">IFERROR(INDEX(종합!E$3:E$501,MATCH(ROW()-2,종합!$AB$3:$AB$501,0))&amp;"","")</f>
        <v/>
      </c>
      <c r="F44" s="18" t="str">
        <f aca="false">IFERROR(INDEX(종합!F$3:F$501,MATCH(ROW()-2,종합!$AB$3:$AB$501,0))&amp;"","")</f>
        <v/>
      </c>
      <c r="G44" s="18" t="str">
        <f aca="false">IFERROR(INDEX(종합!G$3:G$501,MATCH(ROW()-2,종합!$AB$3:$AB$501,0))&amp;"","")</f>
        <v>중소기업</v>
      </c>
      <c r="H44" s="21" t="str">
        <f aca="false">IFERROR(INDEX(종합!H$3:H$501,MATCH(ROW()-2,종합!$AB$3:$AB$501,0))&amp;"","")</f>
        <v>114-86-94266</v>
      </c>
      <c r="I44" s="21" t="str">
        <f aca="false">IFERROR(INDEX(종합!I$3:I$501,MATCH(ROW()-2,종합!$AB$3:$AB$501,0))&amp;"","")</f>
        <v>홍성진/홍지수</v>
      </c>
      <c r="J44" s="21" t="str">
        <f aca="false">IFERROR(INDEX(종합!J$3:J$501,MATCH(ROW()-2,종합!$AB$3:$AB$501,0))&amp;"","")</f>
        <v>02-508-6781</v>
      </c>
      <c r="K44" s="21" t="str">
        <f aca="false">IFERROR(INDEX(종합!K$3:K$501,MATCH(ROW()-2,종합!$AB$3:$AB$501,0))&amp;"","")</f>
        <v>https://www.solomontech.net/</v>
      </c>
      <c r="L44" s="21" t="str">
        <f aca="false">IFERROR(INDEX(종합!L$3:L$501,MATCH(ROW()-2,종합!$AB$3:$AB$501,0))&amp;"","")</f>
        <v>khjmaybeme@gmail.com</v>
      </c>
      <c r="M44" s="21" t="str">
        <f aca="false">IFERROR(INDEX(종합!M$3:M$501,MATCH(ROW()-2,종합!$AB$3:$AB$501,0))&amp;"","")</f>
        <v>서울시 금천구 디지털로 178 가산퍼블릭 A-719</v>
      </c>
      <c r="N44" s="25" t="str">
        <f aca="false">IFERROR(INDEX(종합!N$3:N$501,MATCH(ROW()-2,종합!$AB$3:$AB$501,0))&amp;"","")</f>
        <v>AI네이티브/Agentic AI 분야, 솔루션 2종: 인텔리허브/인텔리코어</v>
      </c>
      <c r="O44" s="21" t="str">
        <f aca="false">IFERROR(INDEX(종합!O$3:O$501,MATCH(ROW()-2,종합!$AB$3:$AB$501,0))&amp;"","")</f>
        <v>김홍준</v>
      </c>
      <c r="P44" s="21" t="str">
        <f aca="false">IFERROR(INDEX(종합!P$3:P$501,MATCH(ROW()-2,종합!$AB$3:$AB$501,0))&amp;"","")</f>
        <v>EIS사업부/AI 네이티브 에듀센터</v>
      </c>
      <c r="Q44" s="21" t="str">
        <f aca="false">IFERROR(INDEX(종합!Q$3:Q$501,MATCH(ROW()-2,종합!$AB$3:$AB$501,0))&amp;"","")</f>
        <v>상무/센터장</v>
      </c>
      <c r="R44" s="21" t="str">
        <f aca="false">IFERROR(INDEX(종합!R$3:R$501,MATCH(ROW()-2,종합!$AB$3:$AB$501,0))&amp;"","")</f>
        <v>02-508-6781</v>
      </c>
      <c r="S44" s="21" t="str">
        <f aca="false">IFERROR(INDEX(종합!S$3:S$501,MATCH(ROW()-2,종합!$AB$3:$AB$501,0))&amp;"","")</f>
        <v>hj.kim7@solomontech.net</v>
      </c>
      <c r="T44" s="21" t="str">
        <f aca="false">IFERROR(INDEX(종합!T$3:T$501,MATCH(ROW()-2,종합!$AB$3:$AB$501,0))&amp;"","")</f>
        <v>010-7128-7687</v>
      </c>
      <c r="U44" s="21" t="str">
        <f aca="false">IFERROR(INDEX(종합!U$3:U$501,MATCH(ROW()-2,종합!$AB$3:$AB$501,0))&amp;"","")</f>
        <v>김홍준</v>
      </c>
      <c r="V44" s="21" t="str">
        <f aca="false">IFERROR(INDEX(종합!V$3:V$501,MATCH(ROW()-2,종합!$AB$3:$AB$501,0))&amp;"","")</f>
        <v>EIS사업부/AI 네이티브 에듀센터</v>
      </c>
      <c r="W44" s="21" t="str">
        <f aca="false">IFERROR(INDEX(종합!W$3:W$501,MATCH(ROW()-2,종합!$AB$3:$AB$501,0))&amp;"","")</f>
        <v>상무/센터장</v>
      </c>
      <c r="X44" s="21" t="str">
        <f aca="false">IFERROR(INDEX(종합!X$3:X$501,MATCH(ROW()-2,종합!$AB$3:$AB$501,0))&amp;"","")</f>
        <v>02-508-6781</v>
      </c>
      <c r="Y44" s="21" t="str">
        <f aca="false">IFERROR(INDEX(종합!Y$3:Y$501,MATCH(ROW()-2,종합!$AB$3:$AB$501,0))&amp;"","")</f>
        <v>hj.kim7@solomontech.net</v>
      </c>
      <c r="Z44" s="21" t="str">
        <f aca="false">IFERROR(INDEX(종합!Z$3:Z$501,MATCH(ROW()-2,종합!$AB$3:$AB$501,0))&amp;"","")</f>
        <v>010-7128-7687</v>
      </c>
    </row>
    <row r="45" customFormat="false" ht="22.5" hidden="false" customHeight="true" outlineLevel="0" collapsed="false">
      <c r="A45" s="18" t="n">
        <f aca="false">IF(B45="","",ROW()-2)</f>
        <v>43</v>
      </c>
      <c r="B45" s="18" t="str">
        <f aca="false">IFERROR(INDEX(종합!B$3:B$501,MATCH(ROW()-2,종합!$AB$3:$AB$501,0))&amp;"","")</f>
        <v>(주)티윈</v>
      </c>
      <c r="C45" s="18" t="str">
        <f aca="false">IFERROR(INDEX(종합!C$3:C$501,MATCH(ROW()-2,종합!$AB$3:$AB$501,0))&amp;"","")</f>
        <v>O</v>
      </c>
      <c r="D45" s="18" t="str">
        <f aca="false">IFERROR(INDEX(종합!D$3:D$501,MATCH(ROW()-2,종합!$AB$3:$AB$501,0))&amp;"","")</f>
        <v/>
      </c>
      <c r="E45" s="18" t="str">
        <f aca="false">IFERROR(INDEX(종합!E$3:E$501,MATCH(ROW()-2,종합!$AB$3:$AB$501,0))&amp;"","")</f>
        <v/>
      </c>
      <c r="F45" s="18" t="str">
        <f aca="false">IFERROR(INDEX(종합!F$3:F$501,MATCH(ROW()-2,종합!$AB$3:$AB$501,0))&amp;"","")</f>
        <v/>
      </c>
      <c r="G45" s="18" t="str">
        <f aca="false">IFERROR(INDEX(종합!G$3:G$501,MATCH(ROW()-2,종합!$AB$3:$AB$501,0))&amp;"","")</f>
        <v>중소기업</v>
      </c>
      <c r="H45" s="21" t="str">
        <f aca="false">IFERROR(INDEX(종합!H$3:H$501,MATCH(ROW()-2,종합!$AB$3:$AB$501,0))&amp;"","")</f>
        <v>651-81-00883</v>
      </c>
      <c r="I45" s="21" t="str">
        <f aca="false">IFERROR(INDEX(종합!I$3:I$501,MATCH(ROW()-2,종합!$AB$3:$AB$501,0))&amp;"","")</f>
        <v>조영현</v>
      </c>
      <c r="J45" s="21" t="str">
        <f aca="false">IFERROR(INDEX(종합!J$3:J$501,MATCH(ROW()-2,종합!$AB$3:$AB$501,0))&amp;"","")</f>
        <v>031-890-5800</v>
      </c>
      <c r="K45" s="21" t="str">
        <f aca="false">IFERROR(INDEX(종합!K$3:K$501,MATCH(ROW()-2,종합!$AB$3:$AB$501,0))&amp;"","")</f>
        <v>031-890-5800</v>
      </c>
      <c r="L45" s="21" t="str">
        <f aca="false">IFERROR(INDEX(종합!L$3:L$501,MATCH(ROW()-2,종합!$AB$3:$AB$501,0))&amp;"","")</f>
        <v>t.winbiz2020@gmail.com</v>
      </c>
      <c r="M45" s="21" t="str">
        <f aca="false">IFERROR(INDEX(종합!M$3:M$501,MATCH(ROW()-2,종합!$AB$3:$AB$501,0))&amp;"","")</f>
        <v>경기도 용인시 수지구 포은대로 59번길 37, 6층 610호</v>
      </c>
      <c r="N45" s="25" t="str">
        <f aca="false">IFERROR(INDEX(종합!N$3:N$501,MATCH(ROW()-2,종합!$AB$3:$AB$501,0))&amp;"","")</f>
        <v>sLLM, Agentic AI, Ai-den ( AI기반 CMS솔루션 )</v>
      </c>
      <c r="O45" s="21" t="str">
        <f aca="false">IFERROR(INDEX(종합!O$3:O$501,MATCH(ROW()-2,종합!$AB$3:$AB$501,0))&amp;"","")</f>
        <v>황문상</v>
      </c>
      <c r="P45" s="21" t="str">
        <f aca="false">IFERROR(INDEX(종합!P$3:P$501,MATCH(ROW()-2,종합!$AB$3:$AB$501,0))&amp;"","")</f>
        <v>신사업추진팀</v>
      </c>
      <c r="Q45" s="21" t="str">
        <f aca="false">IFERROR(INDEX(종합!Q$3:Q$501,MATCH(ROW()-2,종합!$AB$3:$AB$501,0))&amp;"","")</f>
        <v>분부장</v>
      </c>
      <c r="R45" s="21" t="str">
        <f aca="false">IFERROR(INDEX(종합!R$3:R$501,MATCH(ROW()-2,종합!$AB$3:$AB$501,0))&amp;"","")</f>
        <v>010-4059-3397</v>
      </c>
      <c r="S45" s="21" t="str">
        <f aca="false">IFERROR(INDEX(종합!S$3:S$501,MATCH(ROW()-2,종합!$AB$3:$AB$501,0))&amp;"","")</f>
        <v>t.winbiz2020@gmail.com</v>
      </c>
      <c r="T45" s="21" t="str">
        <f aca="false">IFERROR(INDEX(종합!T$3:T$501,MATCH(ROW()-2,종합!$AB$3:$AB$501,0))&amp;"","")</f>
        <v>010-4059-3397</v>
      </c>
      <c r="U45" s="21" t="str">
        <f aca="false">IFERROR(INDEX(종합!U$3:U$501,MATCH(ROW()-2,종합!$AB$3:$AB$501,0))&amp;"","")</f>
        <v>강예슬</v>
      </c>
      <c r="V45" s="21" t="str">
        <f aca="false">IFERROR(INDEX(종합!V$3:V$501,MATCH(ROW()-2,종합!$AB$3:$AB$501,0))&amp;"","")</f>
        <v>HR기획</v>
      </c>
      <c r="W45" s="21" t="str">
        <f aca="false">IFERROR(INDEX(종합!W$3:W$501,MATCH(ROW()-2,종합!$AB$3:$AB$501,0))&amp;"","")</f>
        <v>팀장</v>
      </c>
      <c r="X45" s="21" t="str">
        <f aca="false">IFERROR(INDEX(종합!X$3:X$501,MATCH(ROW()-2,종합!$AB$3:$AB$501,0))&amp;"","")</f>
        <v>031-890-5800</v>
      </c>
      <c r="Y45" s="21" t="str">
        <f aca="false">IFERROR(INDEX(종합!Y$3:Y$501,MATCH(ROW()-2,종합!$AB$3:$AB$501,0))&amp;"","")</f>
        <v>yseul@t-win.kr</v>
      </c>
      <c r="Z45" s="21" t="str">
        <f aca="false">IFERROR(INDEX(종합!Z$3:Z$501,MATCH(ROW()-2,종합!$AB$3:$AB$501,0))&amp;"","")</f>
        <v>010-9089-8007</v>
      </c>
    </row>
    <row r="46" customFormat="false" ht="33.75" hidden="false" customHeight="true" outlineLevel="0" collapsed="false">
      <c r="A46" s="18" t="n">
        <f aca="false">IF(B46="","",ROW()-2)</f>
        <v>44</v>
      </c>
      <c r="B46" s="18" t="str">
        <f aca="false">IFERROR(INDEX(종합!B$3:B$501,MATCH(ROW()-2,종합!$AB$3:$AB$501,0))&amp;"","")</f>
        <v>위인터랙트(주)</v>
      </c>
      <c r="C46" s="18" t="str">
        <f aca="false">IFERROR(INDEX(종합!C$3:C$501,MATCH(ROW()-2,종합!$AB$3:$AB$501,0))&amp;"","")</f>
        <v>O</v>
      </c>
      <c r="D46" s="18" t="str">
        <f aca="false">IFERROR(INDEX(종합!D$3:D$501,MATCH(ROW()-2,종합!$AB$3:$AB$501,0))&amp;"","")</f>
        <v/>
      </c>
      <c r="E46" s="18" t="str">
        <f aca="false">IFERROR(INDEX(종합!E$3:E$501,MATCH(ROW()-2,종합!$AB$3:$AB$501,0))&amp;"","")</f>
        <v/>
      </c>
      <c r="F46" s="18" t="str">
        <f aca="false">IFERROR(INDEX(종합!F$3:F$501,MATCH(ROW()-2,종합!$AB$3:$AB$501,0))&amp;"","")</f>
        <v/>
      </c>
      <c r="G46" s="18" t="str">
        <f aca="false">IFERROR(INDEX(종합!G$3:G$501,MATCH(ROW()-2,종합!$AB$3:$AB$501,0))&amp;"","")</f>
        <v>중소기업</v>
      </c>
      <c r="H46" s="21" t="str">
        <f aca="false">IFERROR(INDEX(종합!H$3:H$501,MATCH(ROW()-2,종합!$AB$3:$AB$501,0))&amp;"","")</f>
        <v>255-88-01330</v>
      </c>
      <c r="I46" s="21" t="str">
        <f aca="false">IFERROR(INDEX(종합!I$3:I$501,MATCH(ROW()-2,종합!$AB$3:$AB$501,0))&amp;"","")</f>
        <v>김인수</v>
      </c>
      <c r="J46" s="21" t="str">
        <f aca="false">IFERROR(INDEX(종합!J$3:J$501,MATCH(ROW()-2,종합!$AB$3:$AB$501,0))&amp;"","")</f>
        <v>010-3245-0592</v>
      </c>
      <c r="K46" s="21" t="str">
        <f aca="false">IFERROR(INDEX(종합!K$3:K$501,MATCH(ROW()-2,종합!$AB$3:$AB$501,0))&amp;"","")</f>
        <v>www.weinteract.co</v>
      </c>
      <c r="L46" s="21" t="str">
        <f aca="false">IFERROR(INDEX(종합!L$3:L$501,MATCH(ROW()-2,종합!$AB$3:$AB$501,0))&amp;"","")</f>
        <v>keycosmos3@gmail.com</v>
      </c>
      <c r="M46" s="21" t="str">
        <f aca="false">IFERROR(INDEX(종합!M$3:M$501,MATCH(ROW()-2,종합!$AB$3:$AB$501,0))&amp;"","")</f>
        <v>서울 마포구 마포대로 122, 프론트원 11층</v>
      </c>
      <c r="N46" s="25" t="str">
        <f aca="false">IFERROR(INDEX(종합!N$3:N$501,MATCH(ROW()-2,종합!$AB$3:$AB$501,0))&amp;"","")</f>
        <v>학술, 연구자, 연구기관 데이터 기반 AI Agent(LLM), 생물의학데이터 기반 AI</v>
      </c>
      <c r="O46" s="21" t="str">
        <f aca="false">IFERROR(INDEX(종합!O$3:O$501,MATCH(ROW()-2,종합!$AB$3:$AB$501,0))&amp;"","")</f>
        <v>김인수</v>
      </c>
      <c r="P46" s="21" t="str">
        <f aca="false">IFERROR(INDEX(종합!P$3:P$501,MATCH(ROW()-2,종합!$AB$3:$AB$501,0))&amp;"","")</f>
        <v>대표</v>
      </c>
      <c r="Q46" s="21" t="str">
        <f aca="false">IFERROR(INDEX(종합!Q$3:Q$501,MATCH(ROW()-2,종합!$AB$3:$AB$501,0))&amp;"","")</f>
        <v>대표</v>
      </c>
      <c r="R46" s="21" t="str">
        <f aca="false">IFERROR(INDEX(종합!R$3:R$501,MATCH(ROW()-2,종합!$AB$3:$AB$501,0))&amp;"","")</f>
        <v>010-9189-8984</v>
      </c>
      <c r="S46" s="21" t="str">
        <f aca="false">IFERROR(INDEX(종합!S$3:S$501,MATCH(ROW()-2,종합!$AB$3:$AB$501,0))&amp;"","")</f>
        <v>insu@weinteract.co</v>
      </c>
      <c r="T46" s="21" t="str">
        <f aca="false">IFERROR(INDEX(종합!T$3:T$501,MATCH(ROW()-2,종합!$AB$3:$AB$501,0))&amp;"","")</f>
        <v>010-9189-8984</v>
      </c>
      <c r="U46" s="21" t="str">
        <f aca="false">IFERROR(INDEX(종합!U$3:U$501,MATCH(ROW()-2,종합!$AB$3:$AB$501,0))&amp;"","")</f>
        <v>김대한</v>
      </c>
      <c r="V46" s="21" t="str">
        <f aca="false">IFERROR(INDEX(종합!V$3:V$501,MATCH(ROW()-2,종합!$AB$3:$AB$501,0))&amp;"","")</f>
        <v>연구</v>
      </c>
      <c r="W46" s="21" t="str">
        <f aca="false">IFERROR(INDEX(종합!W$3:W$501,MATCH(ROW()-2,종합!$AB$3:$AB$501,0))&amp;"","")</f>
        <v>이사</v>
      </c>
      <c r="X46" s="21" t="str">
        <f aca="false">IFERROR(INDEX(종합!X$3:X$501,MATCH(ROW()-2,종합!$AB$3:$AB$501,0))&amp;"","")</f>
        <v>010-3245-0592</v>
      </c>
      <c r="Y46" s="21" t="str">
        <f aca="false">IFERROR(INDEX(종합!Y$3:Y$501,MATCH(ROW()-2,종합!$AB$3:$AB$501,0))&amp;"","")</f>
        <v>dhkim@weinteract.co</v>
      </c>
      <c r="Z46" s="21" t="str">
        <f aca="false">IFERROR(INDEX(종합!Z$3:Z$501,MATCH(ROW()-2,종합!$AB$3:$AB$501,0))&amp;"","")</f>
        <v>010-3245-0592</v>
      </c>
    </row>
    <row r="47" customFormat="false" ht="22.5" hidden="false" customHeight="true" outlineLevel="0" collapsed="false">
      <c r="A47" s="18" t="n">
        <f aca="false">IF(B47="","",ROW()-2)</f>
        <v>45</v>
      </c>
      <c r="B47" s="18" t="str">
        <f aca="false">IFERROR(INDEX(종합!B$3:B$501,MATCH(ROW()-2,종합!$AB$3:$AB$501,0))&amp;"","")</f>
        <v>(주)한국키네티코엔지니어링</v>
      </c>
      <c r="C47" s="18" t="str">
        <f aca="false">IFERROR(INDEX(종합!C$3:C$501,MATCH(ROW()-2,종합!$AB$3:$AB$501,0))&amp;"","")</f>
        <v>O</v>
      </c>
      <c r="D47" s="18" t="str">
        <f aca="false">IFERROR(INDEX(종합!D$3:D$501,MATCH(ROW()-2,종합!$AB$3:$AB$501,0))&amp;"","")</f>
        <v>O</v>
      </c>
      <c r="E47" s="18" t="str">
        <f aca="false">IFERROR(INDEX(종합!E$3:E$501,MATCH(ROW()-2,종합!$AB$3:$AB$501,0))&amp;"","")</f>
        <v>O</v>
      </c>
      <c r="F47" s="18" t="str">
        <f aca="false">IFERROR(INDEX(종합!F$3:F$501,MATCH(ROW()-2,종합!$AB$3:$AB$501,0))&amp;"","")</f>
        <v>O</v>
      </c>
      <c r="G47" s="18" t="str">
        <f aca="false">IFERROR(INDEX(종합!G$3:G$501,MATCH(ROW()-2,종합!$AB$3:$AB$501,0))&amp;"","")</f>
        <v>중소기업</v>
      </c>
      <c r="H47" s="21" t="str">
        <f aca="false">IFERROR(INDEX(종합!H$3:H$501,MATCH(ROW()-2,종합!$AB$3:$AB$501,0))&amp;"","")</f>
        <v>501-81-18337</v>
      </c>
      <c r="I47" s="21" t="str">
        <f aca="false">IFERROR(INDEX(종합!I$3:I$501,MATCH(ROW()-2,종합!$AB$3:$AB$501,0))&amp;"","")</f>
        <v>오재완</v>
      </c>
      <c r="J47" s="21" t="str">
        <f aca="false">IFERROR(INDEX(종합!J$3:J$501,MATCH(ROW()-2,종합!$AB$3:$AB$501,0))&amp;"","")</f>
        <v>053-255-2583</v>
      </c>
      <c r="K47" s="21" t="str">
        <f aca="false">IFERROR(INDEX(종합!K$3:K$501,MATCH(ROW()-2,종합!$AB$3:$AB$501,0))&amp;"","")</f>
        <v>https://osgloture.org</v>
      </c>
      <c r="L47" s="21" t="str">
        <f aca="false">IFERROR(INDEX(종합!L$3:L$501,MATCH(ROW()-2,종합!$AB$3:$AB$501,0))&amp;"","")</f>
        <v>mso@osgloture.org</v>
      </c>
      <c r="M47" s="21" t="str">
        <f aca="false">IFERROR(INDEX(종합!M$3:M$501,MATCH(ROW()-2,종합!$AB$3:$AB$501,0))&amp;"","")</f>
        <v>대구 수성구 알파시티1로 194 602호</v>
      </c>
      <c r="N47" s="25" t="str">
        <f aca="false">IFERROR(INDEX(종합!N$3:N$501,MATCH(ROW()-2,종합!$AB$3:$AB$501,0))&amp;"","")</f>
        <v>온디바이스 AI</v>
      </c>
      <c r="O47" s="21" t="str">
        <f aca="false">IFERROR(INDEX(종합!O$3:O$501,MATCH(ROW()-2,종합!$AB$3:$AB$501,0))&amp;"","")</f>
        <v>오민수</v>
      </c>
      <c r="P47" s="21" t="str">
        <f aca="false">IFERROR(INDEX(종합!P$3:P$501,MATCH(ROW()-2,종합!$AB$3:$AB$501,0))&amp;"","")</f>
        <v>영업마케팅</v>
      </c>
      <c r="Q47" s="21" t="str">
        <f aca="false">IFERROR(INDEX(종합!Q$3:Q$501,MATCH(ROW()-2,종합!$AB$3:$AB$501,0))&amp;"","")</f>
        <v>팀장</v>
      </c>
      <c r="R47" s="21" t="str">
        <f aca="false">IFERROR(INDEX(종합!R$3:R$501,MATCH(ROW()-2,종합!$AB$3:$AB$501,0))&amp;"","")</f>
        <v>053-255-2583</v>
      </c>
      <c r="S47" s="21" t="str">
        <f aca="false">IFERROR(INDEX(종합!S$3:S$501,MATCH(ROW()-2,종합!$AB$3:$AB$501,0))&amp;"","")</f>
        <v>mso@osgloture.org</v>
      </c>
      <c r="T47" s="21" t="str">
        <f aca="false">IFERROR(INDEX(종합!T$3:T$501,MATCH(ROW()-2,종합!$AB$3:$AB$501,0))&amp;"","")</f>
        <v>010-8780-1771</v>
      </c>
      <c r="U47" s="21" t="str">
        <f aca="false">IFERROR(INDEX(종합!U$3:U$501,MATCH(ROW()-2,종합!$AB$3:$AB$501,0))&amp;"","")</f>
        <v>오민수</v>
      </c>
      <c r="V47" s="21" t="str">
        <f aca="false">IFERROR(INDEX(종합!V$3:V$501,MATCH(ROW()-2,종합!$AB$3:$AB$501,0))&amp;"","")</f>
        <v>영업마케팅</v>
      </c>
      <c r="W47" s="21" t="str">
        <f aca="false">IFERROR(INDEX(종합!W$3:W$501,MATCH(ROW()-2,종합!$AB$3:$AB$501,0))&amp;"","")</f>
        <v>팀장</v>
      </c>
      <c r="X47" s="21" t="str">
        <f aca="false">IFERROR(INDEX(종합!X$3:X$501,MATCH(ROW()-2,종합!$AB$3:$AB$501,0))&amp;"","")</f>
        <v>053-255-2583</v>
      </c>
      <c r="Y47" s="21" t="str">
        <f aca="false">IFERROR(INDEX(종합!Y$3:Y$501,MATCH(ROW()-2,종합!$AB$3:$AB$501,0))&amp;"","")</f>
        <v>mso@osgloture.org</v>
      </c>
      <c r="Z47" s="21" t="str">
        <f aca="false">IFERROR(INDEX(종합!Z$3:Z$501,MATCH(ROW()-2,종합!$AB$3:$AB$501,0))&amp;"","")</f>
        <v>010-8780-1771</v>
      </c>
    </row>
    <row r="48" customFormat="false" ht="22.5" hidden="false" customHeight="true" outlineLevel="0" collapsed="false">
      <c r="A48" s="18" t="n">
        <f aca="false">IF(B48="","",ROW()-2)</f>
        <v>46</v>
      </c>
      <c r="B48" s="18" t="str">
        <f aca="false">IFERROR(INDEX(종합!B$3:B$501,MATCH(ROW()-2,종합!$AB$3:$AB$501,0))&amp;"","")</f>
        <v>(주)에이쓰리</v>
      </c>
      <c r="C48" s="18" t="str">
        <f aca="false">IFERROR(INDEX(종합!C$3:C$501,MATCH(ROW()-2,종합!$AB$3:$AB$501,0))&amp;"","")</f>
        <v>O</v>
      </c>
      <c r="D48" s="18" t="str">
        <f aca="false">IFERROR(INDEX(종합!D$3:D$501,MATCH(ROW()-2,종합!$AB$3:$AB$501,0))&amp;"","")</f>
        <v/>
      </c>
      <c r="E48" s="18" t="str">
        <f aca="false">IFERROR(INDEX(종합!E$3:E$501,MATCH(ROW()-2,종합!$AB$3:$AB$501,0))&amp;"","")</f>
        <v/>
      </c>
      <c r="F48" s="18" t="str">
        <f aca="false">IFERROR(INDEX(종합!F$3:F$501,MATCH(ROW()-2,종합!$AB$3:$AB$501,0))&amp;"","")</f>
        <v/>
      </c>
      <c r="G48" s="18" t="str">
        <f aca="false">IFERROR(INDEX(종합!G$3:G$501,MATCH(ROW()-2,종합!$AB$3:$AB$501,0))&amp;"","")</f>
        <v>중소기업</v>
      </c>
      <c r="H48" s="21" t="str">
        <f aca="false">IFERROR(INDEX(종합!H$3:H$501,MATCH(ROW()-2,종합!$AB$3:$AB$501,0))&amp;"","")</f>
        <v>784-86-12788</v>
      </c>
      <c r="I48" s="21" t="str">
        <f aca="false">IFERROR(INDEX(종합!I$3:I$501,MATCH(ROW()-2,종합!$AB$3:$AB$501,0))&amp;"","")</f>
        <v>박의환</v>
      </c>
      <c r="J48" s="21" t="str">
        <f aca="false">IFERROR(INDEX(종합!J$3:J$501,MATCH(ROW()-2,종합!$AB$3:$AB$501,0))&amp;"","")</f>
        <v>010-3160-7849</v>
      </c>
      <c r="K48" s="21" t="str">
        <f aca="false">IFERROR(INDEX(종합!K$3:K$501,MATCH(ROW()-2,종합!$AB$3:$AB$501,0))&amp;"","")</f>
        <v>https://a3ai.net</v>
      </c>
      <c r="L48" s="21" t="str">
        <f aca="false">IFERROR(INDEX(종합!L$3:L$501,MATCH(ROW()-2,종합!$AB$3:$AB$501,0))&amp;"","")</f>
        <v>clemense.lee@gmail.com</v>
      </c>
      <c r="M48" s="21" t="str">
        <f aca="false">IFERROR(INDEX(종합!M$3:M$501,MATCH(ROW()-2,종합!$AB$3:$AB$501,0))&amp;"","")</f>
        <v>경상남도 창원시 마산회원구 봉암북7길21 4동 302호</v>
      </c>
      <c r="N48" s="25" t="str">
        <f aca="false">IFERROR(INDEX(종합!N$3:N$501,MATCH(ROW()-2,종합!$AB$3:$AB$501,0))&amp;"","")</f>
        <v>A3 Safety CCTV, A3 Safety Gaurd Agent 등</v>
      </c>
      <c r="O48" s="21" t="str">
        <f aca="false">IFERROR(INDEX(종합!O$3:O$501,MATCH(ROW()-2,종합!$AB$3:$AB$501,0))&amp;"","")</f>
        <v>이재용</v>
      </c>
      <c r="P48" s="21" t="str">
        <f aca="false">IFERROR(INDEX(종합!P$3:P$501,MATCH(ROW()-2,종합!$AB$3:$AB$501,0))&amp;"","")</f>
        <v>AI사업부</v>
      </c>
      <c r="Q48" s="21" t="str">
        <f aca="false">IFERROR(INDEX(종합!Q$3:Q$501,MATCH(ROW()-2,종합!$AB$3:$AB$501,0))&amp;"","")</f>
        <v>부대표</v>
      </c>
      <c r="R48" s="21" t="str">
        <f aca="false">IFERROR(INDEX(종합!R$3:R$501,MATCH(ROW()-2,종합!$AB$3:$AB$501,0))&amp;"","")</f>
        <v>010-3160-7849</v>
      </c>
      <c r="S48" s="21" t="str">
        <f aca="false">IFERROR(INDEX(종합!S$3:S$501,MATCH(ROW()-2,종합!$AB$3:$AB$501,0))&amp;"","")</f>
        <v>jaeyong.lee@a3ai.net</v>
      </c>
      <c r="T48" s="21" t="str">
        <f aca="false">IFERROR(INDEX(종합!T$3:T$501,MATCH(ROW()-2,종합!$AB$3:$AB$501,0))&amp;"","")</f>
        <v>010-3160-7849</v>
      </c>
      <c r="U48" s="21" t="str">
        <f aca="false">IFERROR(INDEX(종합!U$3:U$501,MATCH(ROW()-2,종합!$AB$3:$AB$501,0))&amp;"","")</f>
        <v>김준호</v>
      </c>
      <c r="V48" s="21" t="str">
        <f aca="false">IFERROR(INDEX(종합!V$3:V$501,MATCH(ROW()-2,종합!$AB$3:$AB$501,0))&amp;"","")</f>
        <v>AI응용개발팀</v>
      </c>
      <c r="W48" s="21" t="str">
        <f aca="false">IFERROR(INDEX(종합!W$3:W$501,MATCH(ROW()-2,종합!$AB$3:$AB$501,0))&amp;"","")</f>
        <v>팀장</v>
      </c>
      <c r="X48" s="21" t="str">
        <f aca="false">IFERROR(INDEX(종합!X$3:X$501,MATCH(ROW()-2,종합!$AB$3:$AB$501,0))&amp;"","")</f>
        <v>010-6267-4217</v>
      </c>
      <c r="Y48" s="21" t="str">
        <f aca="false">IFERROR(INDEX(종합!Y$3:Y$501,MATCH(ROW()-2,종합!$AB$3:$AB$501,0))&amp;"","")</f>
        <v>junho.kim@a3ai.net</v>
      </c>
      <c r="Z48" s="21" t="str">
        <f aca="false">IFERROR(INDEX(종합!Z$3:Z$501,MATCH(ROW()-2,종합!$AB$3:$AB$501,0))&amp;"","")</f>
        <v>010-6267-4217</v>
      </c>
    </row>
    <row r="49" customFormat="false" ht="22.5" hidden="false" customHeight="true" outlineLevel="0" collapsed="false">
      <c r="A49" s="18" t="n">
        <f aca="false">IF(B49="","",ROW()-2)</f>
        <v>47</v>
      </c>
      <c r="B49" s="18" t="str">
        <f aca="false">IFERROR(INDEX(종합!B$3:B$501,MATCH(ROW()-2,종합!$AB$3:$AB$501,0))&amp;"","")</f>
        <v>주식회사 제네시스랩</v>
      </c>
      <c r="C49" s="18" t="str">
        <f aca="false">IFERROR(INDEX(종합!C$3:C$501,MATCH(ROW()-2,종합!$AB$3:$AB$501,0))&amp;"","")</f>
        <v>O</v>
      </c>
      <c r="D49" s="18" t="str">
        <f aca="false">IFERROR(INDEX(종합!D$3:D$501,MATCH(ROW()-2,종합!$AB$3:$AB$501,0))&amp;"","")</f>
        <v/>
      </c>
      <c r="E49" s="18" t="str">
        <f aca="false">IFERROR(INDEX(종합!E$3:E$501,MATCH(ROW()-2,종합!$AB$3:$AB$501,0))&amp;"","")</f>
        <v/>
      </c>
      <c r="F49" s="18" t="str">
        <f aca="false">IFERROR(INDEX(종합!F$3:F$501,MATCH(ROW()-2,종합!$AB$3:$AB$501,0))&amp;"","")</f>
        <v/>
      </c>
      <c r="G49" s="18" t="str">
        <f aca="false">IFERROR(INDEX(종합!G$3:G$501,MATCH(ROW()-2,종합!$AB$3:$AB$501,0))&amp;"","")</f>
        <v>중소기업</v>
      </c>
      <c r="H49" s="21" t="str">
        <f aca="false">IFERROR(INDEX(종합!H$3:H$501,MATCH(ROW()-2,종합!$AB$3:$AB$501,0))&amp;"","")</f>
        <v>421-88-00471</v>
      </c>
      <c r="I49" s="21" t="str">
        <f aca="false">IFERROR(INDEX(종합!I$3:I$501,MATCH(ROW()-2,종합!$AB$3:$AB$501,0))&amp;"","")</f>
        <v>이영복</v>
      </c>
      <c r="J49" s="21" t="str">
        <f aca="false">IFERROR(INDEX(종합!J$3:J$501,MATCH(ROW()-2,종합!$AB$3:$AB$501,0))&amp;"","")</f>
        <v>02-6402-0118</v>
      </c>
      <c r="K49" s="21" t="str">
        <f aca="false">IFERROR(INDEX(종합!K$3:K$501,MATCH(ROW()-2,종합!$AB$3:$AB$501,0))&amp;"","")</f>
        <v>www.genesislab.ai</v>
      </c>
      <c r="L49" s="21" t="str">
        <f aca="false">IFERROR(INDEX(종합!L$3:L$501,MATCH(ROW()-2,종합!$AB$3:$AB$501,0))&amp;"","")</f>
        <v>yb@genesislab.ai</v>
      </c>
      <c r="M49" s="21" t="str">
        <f aca="false">IFERROR(INDEX(종합!M$3:M$501,MATCH(ROW()-2,종합!$AB$3:$AB$501,0))&amp;"","")</f>
        <v>서울시 중구 명동길 73, 페이지명동 5층</v>
      </c>
      <c r="N49" s="25" t="str">
        <f aca="false">IFERROR(INDEX(종합!N$3:N$501,MATCH(ROW()-2,종합!$AB$3:$AB$501,0))&amp;"","")</f>
        <v>AI면접 뷰인터HR, AI Agent 빌더 Agentria</v>
      </c>
      <c r="O49" s="21" t="str">
        <f aca="false">IFERROR(INDEX(종합!O$3:O$501,MATCH(ROW()-2,종합!$AB$3:$AB$501,0))&amp;"","")</f>
        <v>이영복</v>
      </c>
      <c r="P49" s="21" t="str">
        <f aca="false">IFERROR(INDEX(종합!P$3:P$501,MATCH(ROW()-2,종합!$AB$3:$AB$501,0))&amp;"","")</f>
        <v>대표</v>
      </c>
      <c r="Q49" s="21" t="str">
        <f aca="false">IFERROR(INDEX(종합!Q$3:Q$501,MATCH(ROW()-2,종합!$AB$3:$AB$501,0))&amp;"","")</f>
        <v>대표이사</v>
      </c>
      <c r="R49" s="21" t="str">
        <f aca="false">IFERROR(INDEX(종합!R$3:R$501,MATCH(ROW()-2,종합!$AB$3:$AB$501,0))&amp;"","")</f>
        <v>010-4446-2331</v>
      </c>
      <c r="S49" s="21" t="str">
        <f aca="false">IFERROR(INDEX(종합!S$3:S$501,MATCH(ROW()-2,종합!$AB$3:$AB$501,0))&amp;"","")</f>
        <v>yb@genesislab.ai</v>
      </c>
      <c r="T49" s="21" t="str">
        <f aca="false">IFERROR(INDEX(종합!T$3:T$501,MATCH(ROW()-2,종합!$AB$3:$AB$501,0))&amp;"","")</f>
        <v>010-4446-2331</v>
      </c>
      <c r="U49" s="21" t="str">
        <f aca="false">IFERROR(INDEX(종합!U$3:U$501,MATCH(ROW()-2,종합!$AB$3:$AB$501,0))&amp;"","")</f>
        <v>육근식</v>
      </c>
      <c r="V49" s="21" t="str">
        <f aca="false">IFERROR(INDEX(종합!V$3:V$501,MATCH(ROW()-2,종합!$AB$3:$AB$501,0))&amp;"","")</f>
        <v>사업부서</v>
      </c>
      <c r="W49" s="21" t="str">
        <f aca="false">IFERROR(INDEX(종합!W$3:W$501,MATCH(ROW()-2,종합!$AB$3:$AB$501,0))&amp;"","")</f>
        <v>사업총괄</v>
      </c>
      <c r="X49" s="21" t="str">
        <f aca="false">IFERROR(INDEX(종합!X$3:X$501,MATCH(ROW()-2,종합!$AB$3:$AB$501,0))&amp;"","")</f>
        <v>010-8080-4724</v>
      </c>
      <c r="Y49" s="21" t="str">
        <f aca="false">IFERROR(INDEX(종합!Y$3:Y$501,MATCH(ROW()-2,종합!$AB$3:$AB$501,0))&amp;"","")</f>
        <v>gs.yuk@genesislab.ai</v>
      </c>
      <c r="Z49" s="21" t="str">
        <f aca="false">IFERROR(INDEX(종합!Z$3:Z$501,MATCH(ROW()-2,종합!$AB$3:$AB$501,0))&amp;"","")</f>
        <v>010-8080-4724</v>
      </c>
    </row>
    <row r="50" customFormat="false" ht="22.5" hidden="false" customHeight="true" outlineLevel="0" collapsed="false">
      <c r="A50" s="18" t="n">
        <f aca="false">IF(B50="","",ROW()-2)</f>
        <v>48</v>
      </c>
      <c r="B50" s="18" t="str">
        <f aca="false">IFERROR(INDEX(종합!B$3:B$501,MATCH(ROW()-2,종합!$AB$3:$AB$501,0))&amp;"","")</f>
        <v>(주)페픽</v>
      </c>
      <c r="C50" s="18" t="str">
        <f aca="false">IFERROR(INDEX(종합!C$3:C$501,MATCH(ROW()-2,종합!$AB$3:$AB$501,0))&amp;"","")</f>
        <v>O</v>
      </c>
      <c r="D50" s="18" t="str">
        <f aca="false">IFERROR(INDEX(종합!D$3:D$501,MATCH(ROW()-2,종합!$AB$3:$AB$501,0))&amp;"","")</f>
        <v>O</v>
      </c>
      <c r="E50" s="18" t="str">
        <f aca="false">IFERROR(INDEX(종합!E$3:E$501,MATCH(ROW()-2,종합!$AB$3:$AB$501,0))&amp;"","")</f>
        <v>O</v>
      </c>
      <c r="F50" s="18" t="str">
        <f aca="false">IFERROR(INDEX(종합!F$3:F$501,MATCH(ROW()-2,종합!$AB$3:$AB$501,0))&amp;"","")</f>
        <v/>
      </c>
      <c r="G50" s="18" t="str">
        <f aca="false">IFERROR(INDEX(종합!G$3:G$501,MATCH(ROW()-2,종합!$AB$3:$AB$501,0))&amp;"","")</f>
        <v>중소기업</v>
      </c>
      <c r="H50" s="21" t="str">
        <f aca="false">IFERROR(INDEX(종합!H$3:H$501,MATCH(ROW()-2,종합!$AB$3:$AB$501,0))&amp;"","")</f>
        <v>268-86-02613</v>
      </c>
      <c r="I50" s="21" t="str">
        <f aca="false">IFERROR(INDEX(종합!I$3:I$501,MATCH(ROW()-2,종합!$AB$3:$AB$501,0))&amp;"","")</f>
        <v>유연수</v>
      </c>
      <c r="J50" s="21" t="str">
        <f aca="false">IFERROR(INDEX(종합!J$3:J$501,MATCH(ROW()-2,종합!$AB$3:$AB$501,0))&amp;"","")</f>
        <v>010-4454-1324</v>
      </c>
      <c r="K50" s="21" t="str">
        <f aca="false">IFERROR(INDEX(종합!K$3:K$501,MATCH(ROW()-2,종합!$AB$3:$AB$501,0))&amp;"","")</f>
        <v>https://pefic.ai</v>
      </c>
      <c r="L50" s="21" t="str">
        <f aca="false">IFERROR(INDEX(종합!L$3:L$501,MATCH(ROW()-2,종합!$AB$3:$AB$501,0))&amp;"","")</f>
        <v>kyungsan1117@gmail.com</v>
      </c>
      <c r="M50" s="21" t="str">
        <f aca="false">IFERROR(INDEX(종합!M$3:M$501,MATCH(ROW()-2,종합!$AB$3:$AB$501,0))&amp;"","")</f>
        <v>광주광역시 동구 동계천로 150, 506호</v>
      </c>
      <c r="N50" s="25" t="str">
        <f aca="false">IFERROR(INDEX(종합!N$3:N$501,MATCH(ROW()-2,종합!$AB$3:$AB$501,0))&amp;"","")</f>
        <v>생성형 AI 기반 챗봇, AI 에이전트, AI 영상 생성 기술 보유</v>
      </c>
      <c r="O50" s="21" t="str">
        <f aca="false">IFERROR(INDEX(종합!O$3:O$501,MATCH(ROW()-2,종합!$AB$3:$AB$501,0))&amp;"","")</f>
        <v>유연수</v>
      </c>
      <c r="P50" s="21" t="str">
        <f aca="false">IFERROR(INDEX(종합!P$3:P$501,MATCH(ROW()-2,종합!$AB$3:$AB$501,0))&amp;"","")</f>
        <v>임원</v>
      </c>
      <c r="Q50" s="21" t="str">
        <f aca="false">IFERROR(INDEX(종합!Q$3:Q$501,MATCH(ROW()-2,종합!$AB$3:$AB$501,0))&amp;"","")</f>
        <v>대표이사</v>
      </c>
      <c r="R50" s="21" t="str">
        <f aca="false">IFERROR(INDEX(종합!R$3:R$501,MATCH(ROW()-2,종합!$AB$3:$AB$501,0))&amp;"","")</f>
        <v>010-4454-1324</v>
      </c>
      <c r="S50" s="21" t="str">
        <f aca="false">IFERROR(INDEX(종합!S$3:S$501,MATCH(ROW()-2,종합!$AB$3:$AB$501,0))&amp;"","")</f>
        <v>powinz@pefic.ai</v>
      </c>
      <c r="T50" s="21" t="str">
        <f aca="false">IFERROR(INDEX(종합!T$3:T$501,MATCH(ROW()-2,종합!$AB$3:$AB$501,0))&amp;"","")</f>
        <v>010-4454-1324</v>
      </c>
      <c r="U50" s="21" t="str">
        <f aca="false">IFERROR(INDEX(종합!U$3:U$501,MATCH(ROW()-2,종합!$AB$3:$AB$501,0))&amp;"","")</f>
        <v>유연수</v>
      </c>
      <c r="V50" s="21" t="str">
        <f aca="false">IFERROR(INDEX(종합!V$3:V$501,MATCH(ROW()-2,종합!$AB$3:$AB$501,0))&amp;"","")</f>
        <v>임원</v>
      </c>
      <c r="W50" s="21" t="str">
        <f aca="false">IFERROR(INDEX(종합!W$3:W$501,MATCH(ROW()-2,종합!$AB$3:$AB$501,0))&amp;"","")</f>
        <v>대표이사</v>
      </c>
      <c r="X50" s="21" t="str">
        <f aca="false">IFERROR(INDEX(종합!X$3:X$501,MATCH(ROW()-2,종합!$AB$3:$AB$501,0))&amp;"","")</f>
        <v>010-4454-1324</v>
      </c>
      <c r="Y50" s="21" t="str">
        <f aca="false">IFERROR(INDEX(종합!Y$3:Y$501,MATCH(ROW()-2,종합!$AB$3:$AB$501,0))&amp;"","")</f>
        <v>powinz@pefic.ai</v>
      </c>
      <c r="Z50" s="21" t="str">
        <f aca="false">IFERROR(INDEX(종합!Z$3:Z$501,MATCH(ROW()-2,종합!$AB$3:$AB$501,0))&amp;"","")</f>
        <v>010-4454-1324</v>
      </c>
    </row>
    <row r="51" customFormat="false" ht="22.5" hidden="false" customHeight="true" outlineLevel="0" collapsed="false">
      <c r="A51" s="18" t="n">
        <f aca="false">IF(B51="","",ROW()-2)</f>
        <v>49</v>
      </c>
      <c r="B51" s="18" t="str">
        <f aca="false">IFERROR(INDEX(종합!B$3:B$501,MATCH(ROW()-2,종합!$AB$3:$AB$501,0))&amp;"","")</f>
        <v>(주)한국인프라</v>
      </c>
      <c r="C51" s="18" t="str">
        <f aca="false">IFERROR(INDEX(종합!C$3:C$501,MATCH(ROW()-2,종합!$AB$3:$AB$501,0))&amp;"","")</f>
        <v>O</v>
      </c>
      <c r="D51" s="18" t="str">
        <f aca="false">IFERROR(INDEX(종합!D$3:D$501,MATCH(ROW()-2,종합!$AB$3:$AB$501,0))&amp;"","")</f>
        <v/>
      </c>
      <c r="E51" s="18" t="str">
        <f aca="false">IFERROR(INDEX(종합!E$3:E$501,MATCH(ROW()-2,종합!$AB$3:$AB$501,0))&amp;"","")</f>
        <v/>
      </c>
      <c r="F51" s="18" t="str">
        <f aca="false">IFERROR(INDEX(종합!F$3:F$501,MATCH(ROW()-2,종합!$AB$3:$AB$501,0))&amp;"","")</f>
        <v/>
      </c>
      <c r="G51" s="18" t="str">
        <f aca="false">IFERROR(INDEX(종합!G$3:G$501,MATCH(ROW()-2,종합!$AB$3:$AB$501,0))&amp;"","")</f>
        <v>중소기업</v>
      </c>
      <c r="H51" s="21" t="str">
        <f aca="false">IFERROR(INDEX(종합!H$3:H$501,MATCH(ROW()-2,종합!$AB$3:$AB$501,0))&amp;"","")</f>
        <v>229-81-06899</v>
      </c>
      <c r="I51" s="21" t="str">
        <f aca="false">IFERROR(INDEX(종합!I$3:I$501,MATCH(ROW()-2,종합!$AB$3:$AB$501,0))&amp;"","")</f>
        <v>김기영</v>
      </c>
      <c r="J51" s="21" t="str">
        <f aca="false">IFERROR(INDEX(종합!J$3:J$501,MATCH(ROW()-2,종합!$AB$3:$AB$501,0))&amp;"","")</f>
        <v>02-6204-5000</v>
      </c>
      <c r="K51" s="21" t="str">
        <f aca="false">IFERROR(INDEX(종합!K$3:K$501,MATCH(ROW()-2,종합!$AB$3:$AB$501,0))&amp;"","")</f>
        <v>http://www.krinfra.co.kr</v>
      </c>
      <c r="L51" s="21" t="str">
        <f aca="false">IFERROR(INDEX(종합!L$3:L$501,MATCH(ROW()-2,종합!$AB$3:$AB$501,0))&amp;"","")</f>
        <v>mhlee@krinfra.co.kr</v>
      </c>
      <c r="M51" s="21" t="str">
        <f aca="false">IFERROR(INDEX(종합!M$3:M$501,MATCH(ROW()-2,종합!$AB$3:$AB$501,0))&amp;"","")</f>
        <v>서울시 강남구 삼성로 150 극동교회빌딩 3층</v>
      </c>
      <c r="N51" s="25" t="str">
        <f aca="false">IFERROR(INDEX(종합!N$3:N$501,MATCH(ROW()-2,종합!$AB$3:$AB$501,0))&amp;"","")</f>
        <v>physical AI 적용 디지털 트윈</v>
      </c>
      <c r="O51" s="21" t="str">
        <f aca="false">IFERROR(INDEX(종합!O$3:O$501,MATCH(ROW()-2,종합!$AB$3:$AB$501,0))&amp;"","")</f>
        <v>김기영</v>
      </c>
      <c r="P51" s="21" t="str">
        <f aca="false">IFERROR(INDEX(종합!P$3:P$501,MATCH(ROW()-2,종합!$AB$3:$AB$501,0))&amp;"","")</f>
        <v>경영지원팀</v>
      </c>
      <c r="Q51" s="21" t="str">
        <f aca="false">IFERROR(INDEX(종합!Q$3:Q$501,MATCH(ROW()-2,종합!$AB$3:$AB$501,0))&amp;"","")</f>
        <v>대표이사</v>
      </c>
      <c r="R51" s="21" t="str">
        <f aca="false">IFERROR(INDEX(종합!R$3:R$501,MATCH(ROW()-2,종합!$AB$3:$AB$501,0))&amp;"","")</f>
        <v>02-6204-5001</v>
      </c>
      <c r="S51" s="21" t="str">
        <f aca="false">IFERROR(INDEX(종합!S$3:S$501,MATCH(ROW()-2,종합!$AB$3:$AB$501,0))&amp;"","")</f>
        <v>kykim@krinfra.co.kr</v>
      </c>
      <c r="T51" s="21" t="str">
        <f aca="false">IFERROR(INDEX(종합!T$3:T$501,MATCH(ROW()-2,종합!$AB$3:$AB$501,0))&amp;"","")</f>
        <v>010-6249-5491</v>
      </c>
      <c r="U51" s="21" t="str">
        <f aca="false">IFERROR(INDEX(종합!U$3:U$501,MATCH(ROW()-2,종합!$AB$3:$AB$501,0))&amp;"","")</f>
        <v>이문희</v>
      </c>
      <c r="V51" s="21" t="str">
        <f aca="false">IFERROR(INDEX(종합!V$3:V$501,MATCH(ROW()-2,종합!$AB$3:$AB$501,0))&amp;"","")</f>
        <v>DT사업팀</v>
      </c>
      <c r="W51" s="21" t="str">
        <f aca="false">IFERROR(INDEX(종합!W$3:W$501,MATCH(ROW()-2,종합!$AB$3:$AB$501,0))&amp;"","")</f>
        <v>이사</v>
      </c>
      <c r="X51" s="21" t="str">
        <f aca="false">IFERROR(INDEX(종합!X$3:X$501,MATCH(ROW()-2,종합!$AB$3:$AB$501,0))&amp;"","")</f>
        <v>02-6204-5037</v>
      </c>
      <c r="Y51" s="21" t="str">
        <f aca="false">IFERROR(INDEX(종합!Y$3:Y$501,MATCH(ROW()-2,종합!$AB$3:$AB$501,0))&amp;"","")</f>
        <v>mhlee@krinfra.co.kr</v>
      </c>
      <c r="Z51" s="21" t="str">
        <f aca="false">IFERROR(INDEX(종합!Z$3:Z$501,MATCH(ROW()-2,종합!$AB$3:$AB$501,0))&amp;"","")</f>
        <v>010-4232-0128</v>
      </c>
    </row>
    <row r="52" customFormat="false" ht="22.5" hidden="false" customHeight="true" outlineLevel="0" collapsed="false">
      <c r="A52" s="18" t="n">
        <f aca="false">IF(B52="","",ROW()-2)</f>
        <v>50</v>
      </c>
      <c r="B52" s="18" t="str">
        <f aca="false">IFERROR(INDEX(종합!B$3:B$501,MATCH(ROW()-2,종합!$AB$3:$AB$501,0))&amp;"","")</f>
        <v>주식회사 아이컴시스</v>
      </c>
      <c r="C52" s="18" t="str">
        <f aca="false">IFERROR(INDEX(종합!C$3:C$501,MATCH(ROW()-2,종합!$AB$3:$AB$501,0))&amp;"","")</f>
        <v>O</v>
      </c>
      <c r="D52" s="18" t="str">
        <f aca="false">IFERROR(INDEX(종합!D$3:D$501,MATCH(ROW()-2,종합!$AB$3:$AB$501,0))&amp;"","")</f>
        <v/>
      </c>
      <c r="E52" s="18" t="str">
        <f aca="false">IFERROR(INDEX(종합!E$3:E$501,MATCH(ROW()-2,종합!$AB$3:$AB$501,0))&amp;"","")</f>
        <v/>
      </c>
      <c r="F52" s="18" t="str">
        <f aca="false">IFERROR(INDEX(종합!F$3:F$501,MATCH(ROW()-2,종합!$AB$3:$AB$501,0))&amp;"","")</f>
        <v/>
      </c>
      <c r="G52" s="18" t="str">
        <f aca="false">IFERROR(INDEX(종합!G$3:G$501,MATCH(ROW()-2,종합!$AB$3:$AB$501,0))&amp;"","")</f>
        <v>중소기업</v>
      </c>
      <c r="H52" s="21" t="str">
        <f aca="false">IFERROR(INDEX(종합!H$3:H$501,MATCH(ROW()-2,종합!$AB$3:$AB$501,0))&amp;"","")</f>
        <v>239-81-01251</v>
      </c>
      <c r="I52" s="21" t="str">
        <f aca="false">IFERROR(INDEX(종합!I$3:I$501,MATCH(ROW()-2,종합!$AB$3:$AB$501,0))&amp;"","")</f>
        <v>정기택</v>
      </c>
      <c r="J52" s="21" t="str">
        <f aca="false">IFERROR(INDEX(종합!J$3:J$501,MATCH(ROW()-2,종합!$AB$3:$AB$501,0))&amp;"","")</f>
        <v>02-2022-9000</v>
      </c>
      <c r="K52" s="21" t="str">
        <f aca="false">IFERROR(INDEX(종합!K$3:K$501,MATCH(ROW()-2,종합!$AB$3:$AB$501,0))&amp;"","")</f>
        <v>www.icomsys.co.kr</v>
      </c>
      <c r="L52" s="21" t="str">
        <f aca="false">IFERROR(INDEX(종합!L$3:L$501,MATCH(ROW()-2,종합!$AB$3:$AB$501,0))&amp;"","")</f>
        <v>ktjeong9@gmail.com</v>
      </c>
      <c r="M52" s="21" t="str">
        <f aca="false">IFERROR(INDEX(종합!M$3:M$501,MATCH(ROW()-2,종합!$AB$3:$AB$501,0))&amp;"","")</f>
        <v>서울시 금천구 서부샛길 606, 대성디폴리스B동 2206호 2207호</v>
      </c>
      <c r="N52" s="25" t="str">
        <f aca="false">IFERROR(INDEX(종합!N$3:N$501,MATCH(ROW()-2,종합!$AB$3:$AB$501,0))&amp;"","")</f>
        <v>AICC 음성봇 솔루션, 동시통역솔루션</v>
      </c>
      <c r="O52" s="21" t="str">
        <f aca="false">IFERROR(INDEX(종합!O$3:O$501,MATCH(ROW()-2,종합!$AB$3:$AB$501,0))&amp;"","")</f>
        <v>정기택</v>
      </c>
      <c r="P52" s="21" t="str">
        <f aca="false">IFERROR(INDEX(종합!P$3:P$501,MATCH(ROW()-2,종합!$AB$3:$AB$501,0))&amp;"","")</f>
        <v>경영</v>
      </c>
      <c r="Q52" s="21" t="str">
        <f aca="false">IFERROR(INDEX(종합!Q$3:Q$501,MATCH(ROW()-2,종합!$AB$3:$AB$501,0))&amp;"","")</f>
        <v>대표이사</v>
      </c>
      <c r="R52" s="21" t="str">
        <f aca="false">IFERROR(INDEX(종합!R$3:R$501,MATCH(ROW()-2,종합!$AB$3:$AB$501,0))&amp;"","")</f>
        <v>010-7668-0016</v>
      </c>
      <c r="S52" s="21" t="str">
        <f aca="false">IFERROR(INDEX(종합!S$3:S$501,MATCH(ROW()-2,종합!$AB$3:$AB$501,0))&amp;"","")</f>
        <v>ktjeong@icomsys.co.kr</v>
      </c>
      <c r="T52" s="21" t="str">
        <f aca="false">IFERROR(INDEX(종합!T$3:T$501,MATCH(ROW()-2,종합!$AB$3:$AB$501,0))&amp;"","")</f>
        <v>010-7668-0016</v>
      </c>
      <c r="U52" s="21" t="str">
        <f aca="false">IFERROR(INDEX(종합!U$3:U$501,MATCH(ROW()-2,종합!$AB$3:$AB$501,0))&amp;"","")</f>
        <v>정기택</v>
      </c>
      <c r="V52" s="21" t="str">
        <f aca="false">IFERROR(INDEX(종합!V$3:V$501,MATCH(ROW()-2,종합!$AB$3:$AB$501,0))&amp;"","")</f>
        <v>경영</v>
      </c>
      <c r="W52" s="21" t="str">
        <f aca="false">IFERROR(INDEX(종합!W$3:W$501,MATCH(ROW()-2,종합!$AB$3:$AB$501,0))&amp;"","")</f>
        <v>대표이사</v>
      </c>
      <c r="X52" s="21" t="str">
        <f aca="false">IFERROR(INDEX(종합!X$3:X$501,MATCH(ROW()-2,종합!$AB$3:$AB$501,0))&amp;"","")</f>
        <v>02-2022-9000</v>
      </c>
      <c r="Y52" s="21" t="str">
        <f aca="false">IFERROR(INDEX(종합!Y$3:Y$501,MATCH(ROW()-2,종합!$AB$3:$AB$501,0))&amp;"","")</f>
        <v>ktjeong@icomsys.co.kr</v>
      </c>
      <c r="Z52" s="21" t="str">
        <f aca="false">IFERROR(INDEX(종합!Z$3:Z$501,MATCH(ROW()-2,종합!$AB$3:$AB$501,0))&amp;"","")</f>
        <v>010-7668-0016</v>
      </c>
    </row>
    <row r="53" customFormat="false" ht="22.5" hidden="false" customHeight="true" outlineLevel="0" collapsed="false">
      <c r="A53" s="18" t="n">
        <f aca="false">IF(B53="","",ROW()-2)</f>
        <v>51</v>
      </c>
      <c r="B53" s="18" t="str">
        <f aca="false">IFERROR(INDEX(종합!B$3:B$501,MATCH(ROW()-2,종합!$AB$3:$AB$501,0))&amp;"","")</f>
        <v>타이아 주식회사</v>
      </c>
      <c r="C53" s="18" t="str">
        <f aca="false">IFERROR(INDEX(종합!C$3:C$501,MATCH(ROW()-2,종합!$AB$3:$AB$501,0))&amp;"","")</f>
        <v>O</v>
      </c>
      <c r="D53" s="18" t="str">
        <f aca="false">IFERROR(INDEX(종합!D$3:D$501,MATCH(ROW()-2,종합!$AB$3:$AB$501,0))&amp;"","")</f>
        <v>O</v>
      </c>
      <c r="E53" s="18" t="str">
        <f aca="false">IFERROR(INDEX(종합!E$3:E$501,MATCH(ROW()-2,종합!$AB$3:$AB$501,0))&amp;"","")</f>
        <v/>
      </c>
      <c r="F53" s="18" t="str">
        <f aca="false">IFERROR(INDEX(종합!F$3:F$501,MATCH(ROW()-2,종합!$AB$3:$AB$501,0))&amp;"","")</f>
        <v/>
      </c>
      <c r="G53" s="18" t="str">
        <f aca="false">IFERROR(INDEX(종합!G$3:G$501,MATCH(ROW()-2,종합!$AB$3:$AB$501,0))&amp;"","")</f>
        <v>중소기업</v>
      </c>
      <c r="H53" s="21" t="str">
        <f aca="false">IFERROR(INDEX(종합!H$3:H$501,MATCH(ROW()-2,종합!$AB$3:$AB$501,0))&amp;"","")</f>
        <v>410-86-17847</v>
      </c>
      <c r="I53" s="21" t="str">
        <f aca="false">IFERROR(INDEX(종합!I$3:I$501,MATCH(ROW()-2,종합!$AB$3:$AB$501,0))&amp;"","")</f>
        <v>진이진, 이성미</v>
      </c>
      <c r="J53" s="21" t="str">
        <f aca="false">IFERROR(INDEX(종합!J$3:J$501,MATCH(ROW()-2,종합!$AB$3:$AB$501,0))&amp;"","")</f>
        <v>062-973-0782</v>
      </c>
      <c r="K53" s="21" t="str">
        <f aca="false">IFERROR(INDEX(종합!K$3:K$501,MATCH(ROW()-2,종합!$AB$3:$AB$501,0))&amp;"","")</f>
        <v>www.tiasolution.net</v>
      </c>
      <c r="L53" s="21" t="str">
        <f aca="false">IFERROR(INDEX(종합!L$3:L$501,MATCH(ROW()-2,종합!$AB$3:$AB$501,0))&amp;"","")</f>
        <v>bhshs336@gmail.com</v>
      </c>
      <c r="M53" s="21" t="str">
        <f aca="false">IFERROR(INDEX(종합!M$3:M$501,MATCH(ROW()-2,종합!$AB$3:$AB$501,0))&amp;"","")</f>
        <v>광주광역시 광산구 신창로 127, 신창타워 7/8층</v>
      </c>
      <c r="N53" s="25" t="str">
        <f aca="false">IFERROR(INDEX(종합!N$3:N$501,MATCH(ROW()-2,종합!$AB$3:$AB$501,0))&amp;"","")</f>
        <v>Digital Twin, AX/DX, 스마트팩토리, 예지보전</v>
      </c>
      <c r="O53" s="21" t="str">
        <f aca="false">IFERROR(INDEX(종합!O$3:O$501,MATCH(ROW()-2,종합!$AB$3:$AB$501,0))&amp;"","")</f>
        <v>진이진</v>
      </c>
      <c r="P53" s="21" t="str">
        <f aca="false">IFERROR(INDEX(종합!P$3:P$501,MATCH(ROW()-2,종합!$AB$3:$AB$501,0))&amp;"","")</f>
        <v>-</v>
      </c>
      <c r="Q53" s="21" t="str">
        <f aca="false">IFERROR(INDEX(종합!Q$3:Q$501,MATCH(ROW()-2,종합!$AB$3:$AB$501,0))&amp;"","")</f>
        <v>대표이사</v>
      </c>
      <c r="R53" s="21" t="str">
        <f aca="false">IFERROR(INDEX(종합!R$3:R$501,MATCH(ROW()-2,종합!$AB$3:$AB$501,0))&amp;"","")</f>
        <v>062-973-0782</v>
      </c>
      <c r="S53" s="21" t="str">
        <f aca="false">IFERROR(INDEX(종합!S$3:S$501,MATCH(ROW()-2,종합!$AB$3:$AB$501,0))&amp;"","")</f>
        <v>leejin.jin@tiasolution.net</v>
      </c>
      <c r="T53" s="21" t="str">
        <f aca="false">IFERROR(INDEX(종합!T$3:T$501,MATCH(ROW()-2,종합!$AB$3:$AB$501,0))&amp;"","")</f>
        <v>010-2609-9558</v>
      </c>
      <c r="U53" s="21" t="str">
        <f aca="false">IFERROR(INDEX(종합!U$3:U$501,MATCH(ROW()-2,종합!$AB$3:$AB$501,0))&amp;"","")</f>
        <v>변혜선</v>
      </c>
      <c r="V53" s="21" t="str">
        <f aca="false">IFERROR(INDEX(종합!V$3:V$501,MATCH(ROW()-2,종합!$AB$3:$AB$501,0))&amp;"","")</f>
        <v>기획관리팀</v>
      </c>
      <c r="W53" s="21" t="str">
        <f aca="false">IFERROR(INDEX(종합!W$3:W$501,MATCH(ROW()-2,종합!$AB$3:$AB$501,0))&amp;"","")</f>
        <v>차장</v>
      </c>
      <c r="X53" s="21" t="str">
        <f aca="false">IFERROR(INDEX(종합!X$3:X$501,MATCH(ROW()-2,종합!$AB$3:$AB$501,0))&amp;"","")</f>
        <v>062-973-0782</v>
      </c>
      <c r="Y53" s="21" t="str">
        <f aca="false">IFERROR(INDEX(종합!Y$3:Y$501,MATCH(ROW()-2,종합!$AB$3:$AB$501,0))&amp;"","")</f>
        <v>hyesun.b@tiasolution.net</v>
      </c>
      <c r="Z53" s="21" t="str">
        <f aca="false">IFERROR(INDEX(종합!Z$3:Z$501,MATCH(ROW()-2,종합!$AB$3:$AB$501,0))&amp;"","")</f>
        <v>010-2548-1960</v>
      </c>
    </row>
    <row r="54" customFormat="false" ht="33.75" hidden="false" customHeight="true" outlineLevel="0" collapsed="false">
      <c r="A54" s="18" t="n">
        <f aca="false">IF(B54="","",ROW()-2)</f>
        <v>52</v>
      </c>
      <c r="B54" s="18" t="str">
        <f aca="false">IFERROR(INDEX(종합!B$3:B$501,MATCH(ROW()-2,종합!$AB$3:$AB$501,0))&amp;"","")</f>
        <v>(주) 스마티</v>
      </c>
      <c r="C54" s="18" t="str">
        <f aca="false">IFERROR(INDEX(종합!C$3:C$501,MATCH(ROW()-2,종합!$AB$3:$AB$501,0))&amp;"","")</f>
        <v>O</v>
      </c>
      <c r="D54" s="18" t="str">
        <f aca="false">IFERROR(INDEX(종합!D$3:D$501,MATCH(ROW()-2,종합!$AB$3:$AB$501,0))&amp;"","")</f>
        <v/>
      </c>
      <c r="E54" s="18" t="str">
        <f aca="false">IFERROR(INDEX(종합!E$3:E$501,MATCH(ROW()-2,종합!$AB$3:$AB$501,0))&amp;"","")</f>
        <v/>
      </c>
      <c r="F54" s="18" t="str">
        <f aca="false">IFERROR(INDEX(종합!F$3:F$501,MATCH(ROW()-2,종합!$AB$3:$AB$501,0))&amp;"","")</f>
        <v/>
      </c>
      <c r="G54" s="18" t="str">
        <f aca="false">IFERROR(INDEX(종합!G$3:G$501,MATCH(ROW()-2,종합!$AB$3:$AB$501,0))&amp;"","")</f>
        <v>중소기업</v>
      </c>
      <c r="H54" s="21" t="str">
        <f aca="false">IFERROR(INDEX(종합!H$3:H$501,MATCH(ROW()-2,종합!$AB$3:$AB$501,0))&amp;"","")</f>
        <v>247-88-00927</v>
      </c>
      <c r="I54" s="21" t="str">
        <f aca="false">IFERROR(INDEX(종합!I$3:I$501,MATCH(ROW()-2,종합!$AB$3:$AB$501,0))&amp;"","")</f>
        <v>박지현</v>
      </c>
      <c r="J54" s="21" t="str">
        <f aca="false">IFERROR(INDEX(종합!J$3:J$501,MATCH(ROW()-2,종합!$AB$3:$AB$501,0))&amp;"","")</f>
        <v>031-703-0961</v>
      </c>
      <c r="K54" s="21" t="str">
        <f aca="false">IFERROR(INDEX(종합!K$3:K$501,MATCH(ROW()-2,종합!$AB$3:$AB$501,0))&amp;"","")</f>
        <v>https://www.smatii.com/</v>
      </c>
      <c r="L54" s="21" t="str">
        <f aca="false">IFERROR(INDEX(종합!L$3:L$501,MATCH(ROW()-2,종합!$AB$3:$AB$501,0))&amp;"","")</f>
        <v>hamsum@gmail.com</v>
      </c>
      <c r="M54" s="21" t="str">
        <f aca="false">IFERROR(INDEX(종합!M$3:M$501,MATCH(ROW()-2,종합!$AB$3:$AB$501,0))&amp;"","")</f>
        <v>경기 성남시 분당구 판교역로 221 투썬월드빌딩 107호</v>
      </c>
      <c r="N54" s="25" t="str">
        <f aca="false">IFERROR(INDEX(종합!N$3:N$501,MATCH(ROW()-2,종합!$AB$3:$AB$501,0))&amp;"","")</f>
        <v>드론정보 이해당사자간 연계기술  / 영상 기반 인파밀집.연기(조기산불) 탐지등 (스마티뷰)</v>
      </c>
      <c r="O54" s="21" t="str">
        <f aca="false">IFERROR(INDEX(종합!O$3:O$501,MATCH(ROW()-2,종합!$AB$3:$AB$501,0))&amp;"","")</f>
        <v>서연곤</v>
      </c>
      <c r="P54" s="21" t="str">
        <f aca="false">IFERROR(INDEX(종합!P$3:P$501,MATCH(ROW()-2,종합!$AB$3:$AB$501,0))&amp;"","")</f>
        <v>연구소</v>
      </c>
      <c r="Q54" s="21" t="str">
        <f aca="false">IFERROR(INDEX(종합!Q$3:Q$501,MATCH(ROW()-2,종합!$AB$3:$AB$501,0))&amp;"","")</f>
        <v>연구소장</v>
      </c>
      <c r="R54" s="21" t="str">
        <f aca="false">IFERROR(INDEX(종합!R$3:R$501,MATCH(ROW()-2,종합!$AB$3:$AB$501,0))&amp;"","")</f>
        <v>010-9502-2166</v>
      </c>
      <c r="S54" s="21" t="str">
        <f aca="false">IFERROR(INDEX(종합!S$3:S$501,MATCH(ROW()-2,종합!$AB$3:$AB$501,0))&amp;"","")</f>
        <v>hamsum@gmail.com</v>
      </c>
      <c r="T54" s="21" t="str">
        <f aca="false">IFERROR(INDEX(종합!T$3:T$501,MATCH(ROW()-2,종합!$AB$3:$AB$501,0))&amp;"","")</f>
        <v>010-9502-2166</v>
      </c>
      <c r="U54" s="21" t="str">
        <f aca="false">IFERROR(INDEX(종합!U$3:U$501,MATCH(ROW()-2,종합!$AB$3:$AB$501,0))&amp;"","")</f>
        <v> 이솔</v>
      </c>
      <c r="V54" s="21" t="str">
        <f aca="false">IFERROR(INDEX(종합!V$3:V$501,MATCH(ROW()-2,종합!$AB$3:$AB$501,0))&amp;"","")</f>
        <v>연구소</v>
      </c>
      <c r="W54" s="21" t="str">
        <f aca="false">IFERROR(INDEX(종합!W$3:W$501,MATCH(ROW()-2,종합!$AB$3:$AB$501,0))&amp;"","")</f>
        <v>선임연구원</v>
      </c>
      <c r="X54" s="21" t="str">
        <f aca="false">IFERROR(INDEX(종합!X$3:X$501,MATCH(ROW()-2,종합!$AB$3:$AB$501,0))&amp;"","")</f>
        <v>010-2455-8625</v>
      </c>
      <c r="Y54" s="21" t="str">
        <f aca="false">IFERROR(INDEX(종합!Y$3:Y$501,MATCH(ROW()-2,종합!$AB$3:$AB$501,0))&amp;"","")</f>
        <v>sol@twosun.com</v>
      </c>
      <c r="Z54" s="21" t="str">
        <f aca="false">IFERROR(INDEX(종합!Z$3:Z$501,MATCH(ROW()-2,종합!$AB$3:$AB$501,0))&amp;"","")</f>
        <v>010-2455-8625</v>
      </c>
    </row>
    <row r="55" customFormat="false" ht="22.5" hidden="false" customHeight="true" outlineLevel="0" collapsed="false">
      <c r="A55" s="18" t="n">
        <f aca="false">IF(B55="","",ROW()-2)</f>
        <v>53</v>
      </c>
      <c r="B55" s="18" t="str">
        <f aca="false">IFERROR(INDEX(종합!B$3:B$501,MATCH(ROW()-2,종합!$AB$3:$AB$501,0))&amp;"","")</f>
        <v>(주)오픈드래프트</v>
      </c>
      <c r="C55" s="18" t="str">
        <f aca="false">IFERROR(INDEX(종합!C$3:C$501,MATCH(ROW()-2,종합!$AB$3:$AB$501,0))&amp;"","")</f>
        <v>O</v>
      </c>
      <c r="D55" s="18" t="str">
        <f aca="false">IFERROR(INDEX(종합!D$3:D$501,MATCH(ROW()-2,종합!$AB$3:$AB$501,0))&amp;"","")</f>
        <v/>
      </c>
      <c r="E55" s="18" t="str">
        <f aca="false">IFERROR(INDEX(종합!E$3:E$501,MATCH(ROW()-2,종합!$AB$3:$AB$501,0))&amp;"","")</f>
        <v/>
      </c>
      <c r="F55" s="18" t="str">
        <f aca="false">IFERROR(INDEX(종합!F$3:F$501,MATCH(ROW()-2,종합!$AB$3:$AB$501,0))&amp;"","")</f>
        <v/>
      </c>
      <c r="G55" s="18" t="str">
        <f aca="false">IFERROR(INDEX(종합!G$3:G$501,MATCH(ROW()-2,종합!$AB$3:$AB$501,0))&amp;"","")</f>
        <v>중소기업</v>
      </c>
      <c r="H55" s="21" t="str">
        <f aca="false">IFERROR(INDEX(종합!H$3:H$501,MATCH(ROW()-2,종합!$AB$3:$AB$501,0))&amp;"","")</f>
        <v>209-81-49083</v>
      </c>
      <c r="I55" s="21" t="str">
        <f aca="false">IFERROR(INDEX(종합!I$3:I$501,MATCH(ROW()-2,종합!$AB$3:$AB$501,0))&amp;"","")</f>
        <v>한재섭</v>
      </c>
      <c r="J55" s="21" t="str">
        <f aca="false">IFERROR(INDEX(종합!J$3:J$501,MATCH(ROW()-2,종합!$AB$3:$AB$501,0))&amp;"","")</f>
        <v>02-942-0210</v>
      </c>
      <c r="K55" s="21" t="str">
        <f aca="false">IFERROR(INDEX(종합!K$3:K$501,MATCH(ROW()-2,종합!$AB$3:$AB$501,0))&amp;"","")</f>
        <v>www.opendraft.co.kr</v>
      </c>
      <c r="L55" s="21" t="str">
        <f aca="false">IFERROR(INDEX(종합!L$3:L$501,MATCH(ROW()-2,종합!$AB$3:$AB$501,0))&amp;"","")</f>
        <v>bizproceo@gmail.com</v>
      </c>
      <c r="M55" s="21" t="str">
        <f aca="false">IFERROR(INDEX(종합!M$3:M$501,MATCH(ROW()-2,종합!$AB$3:$AB$501,0))&amp;"","")</f>
        <v>서울시 구로구 디지털로 33길 48 대륭포스트타워7차 908호 </v>
      </c>
      <c r="N55" s="25" t="str">
        <f aca="false">IFERROR(INDEX(종합!N$3:N$501,MATCH(ROW()-2,종합!$AB$3:$AB$501,0))&amp;"","")</f>
        <v>아래한글 문서추출필터, 기관 고유보고서 초안생성 솔루션</v>
      </c>
      <c r="O55" s="21" t="str">
        <f aca="false">IFERROR(INDEX(종합!O$3:O$501,MATCH(ROW()-2,종합!$AB$3:$AB$501,0))&amp;"","")</f>
        <v>한재섭</v>
      </c>
      <c r="P55" s="21" t="str">
        <f aca="false">IFERROR(INDEX(종합!P$3:P$501,MATCH(ROW()-2,종합!$AB$3:$AB$501,0))&amp;"","")</f>
        <v>관리</v>
      </c>
      <c r="Q55" s="21" t="str">
        <f aca="false">IFERROR(INDEX(종합!Q$3:Q$501,MATCH(ROW()-2,종합!$AB$3:$AB$501,0))&amp;"","")</f>
        <v>대표이사</v>
      </c>
      <c r="R55" s="21" t="str">
        <f aca="false">IFERROR(INDEX(종합!R$3:R$501,MATCH(ROW()-2,종합!$AB$3:$AB$501,0))&amp;"","")</f>
        <v>02-942-0210</v>
      </c>
      <c r="S55" s="21" t="str">
        <f aca="false">IFERROR(INDEX(종합!S$3:S$501,MATCH(ROW()-2,종합!$AB$3:$AB$501,0))&amp;"","")</f>
        <v>jshan@opendraft.co.kr</v>
      </c>
      <c r="T55" s="21" t="str">
        <f aca="false">IFERROR(INDEX(종합!T$3:T$501,MATCH(ROW()-2,종합!$AB$3:$AB$501,0))&amp;"","")</f>
        <v>010-3313-0647</v>
      </c>
      <c r="U55" s="21" t="str">
        <f aca="false">IFERROR(INDEX(종합!U$3:U$501,MATCH(ROW()-2,종합!$AB$3:$AB$501,0))&amp;"","")</f>
        <v>한재섭</v>
      </c>
      <c r="V55" s="21" t="str">
        <f aca="false">IFERROR(INDEX(종합!V$3:V$501,MATCH(ROW()-2,종합!$AB$3:$AB$501,0))&amp;"","")</f>
        <v>관리</v>
      </c>
      <c r="W55" s="21" t="str">
        <f aca="false">IFERROR(INDEX(종합!W$3:W$501,MATCH(ROW()-2,종합!$AB$3:$AB$501,0))&amp;"","")</f>
        <v>대표이사</v>
      </c>
      <c r="X55" s="21" t="str">
        <f aca="false">IFERROR(INDEX(종합!X$3:X$501,MATCH(ROW()-2,종합!$AB$3:$AB$501,0))&amp;"","")</f>
        <v>02-942-0210</v>
      </c>
      <c r="Y55" s="21" t="str">
        <f aca="false">IFERROR(INDEX(종합!Y$3:Y$501,MATCH(ROW()-2,종합!$AB$3:$AB$501,0))&amp;"","")</f>
        <v>jshan@opendraft.co.kr</v>
      </c>
      <c r="Z55" s="21" t="str">
        <f aca="false">IFERROR(INDEX(종합!Z$3:Z$501,MATCH(ROW()-2,종합!$AB$3:$AB$501,0))&amp;"","")</f>
        <v>010-3313-0647</v>
      </c>
    </row>
    <row r="56" customFormat="false" ht="33.75" hidden="false" customHeight="true" outlineLevel="0" collapsed="false">
      <c r="A56" s="18" t="n">
        <f aca="false">IF(B56="","",ROW()-2)</f>
        <v>54</v>
      </c>
      <c r="B56" s="18" t="str">
        <f aca="false">IFERROR(INDEX(종합!B$3:B$501,MATCH(ROW()-2,종합!$AB$3:$AB$501,0))&amp;"","")</f>
        <v>(주)네오스펙트라</v>
      </c>
      <c r="C56" s="18" t="str">
        <f aca="false">IFERROR(INDEX(종합!C$3:C$501,MATCH(ROW()-2,종합!$AB$3:$AB$501,0))&amp;"","")</f>
        <v>O</v>
      </c>
      <c r="D56" s="18" t="str">
        <f aca="false">IFERROR(INDEX(종합!D$3:D$501,MATCH(ROW()-2,종합!$AB$3:$AB$501,0))&amp;"","")</f>
        <v/>
      </c>
      <c r="E56" s="18" t="str">
        <f aca="false">IFERROR(INDEX(종합!E$3:E$501,MATCH(ROW()-2,종합!$AB$3:$AB$501,0))&amp;"","")</f>
        <v/>
      </c>
      <c r="F56" s="18" t="str">
        <f aca="false">IFERROR(INDEX(종합!F$3:F$501,MATCH(ROW()-2,종합!$AB$3:$AB$501,0))&amp;"","")</f>
        <v/>
      </c>
      <c r="G56" s="18" t="str">
        <f aca="false">IFERROR(INDEX(종합!G$3:G$501,MATCH(ROW()-2,종합!$AB$3:$AB$501,0))&amp;"","")</f>
        <v>중소기업</v>
      </c>
      <c r="H56" s="21" t="str">
        <f aca="false">IFERROR(INDEX(종합!H$3:H$501,MATCH(ROW()-2,종합!$AB$3:$AB$501,0))&amp;"","")</f>
        <v>789-88-01852</v>
      </c>
      <c r="I56" s="21" t="str">
        <f aca="false">IFERROR(INDEX(종합!I$3:I$501,MATCH(ROW()-2,종합!$AB$3:$AB$501,0))&amp;"","")</f>
        <v>박세규</v>
      </c>
      <c r="J56" s="21" t="str">
        <f aca="false">IFERROR(INDEX(종합!J$3:J$501,MATCH(ROW()-2,종합!$AB$3:$AB$501,0))&amp;"","")</f>
        <v>070-8807-4952</v>
      </c>
      <c r="K56" s="21" t="str">
        <f aca="false">IFERROR(INDEX(종합!K$3:K$501,MATCH(ROW()-2,종합!$AB$3:$AB$501,0))&amp;"","")</f>
        <v>http://neospectra.co.kr</v>
      </c>
      <c r="L56" s="21" t="str">
        <f aca="false">IFERROR(INDEX(종합!L$3:L$501,MATCH(ROW()-2,종합!$AB$3:$AB$501,0))&amp;"","")</f>
        <v>jkchoi228@gmail.com</v>
      </c>
      <c r="M56" s="21" t="str">
        <f aca="false">IFERROR(INDEX(종합!M$3:M$501,MATCH(ROW()-2,종합!$AB$3:$AB$501,0))&amp;"","")</f>
        <v>서울특별시 금천구 가산디지털1로 145, 에이스하이엔드3차 409호</v>
      </c>
      <c r="N56" s="25" t="str">
        <f aca="false">IFERROR(INDEX(종합!N$3:N$501,MATCH(ROW()-2,종합!$AB$3:$AB$501,0))&amp;"","")</f>
        <v>영상 및 라이다 분석 AI 기술(SIMMETA Recon Platform &amp; Solution)</v>
      </c>
      <c r="O56" s="21" t="str">
        <f aca="false">IFERROR(INDEX(종합!O$3:O$501,MATCH(ROW()-2,종합!$AB$3:$AB$501,0))&amp;"","")</f>
        <v>최정규</v>
      </c>
      <c r="P56" s="21" t="str">
        <f aca="false">IFERROR(INDEX(종합!P$3:P$501,MATCH(ROW()-2,종합!$AB$3:$AB$501,0))&amp;"","")</f>
        <v>연구소</v>
      </c>
      <c r="Q56" s="21" t="str">
        <f aca="false">IFERROR(INDEX(종합!Q$3:Q$501,MATCH(ROW()-2,종합!$AB$3:$AB$501,0))&amp;"","")</f>
        <v>연구소장</v>
      </c>
      <c r="R56" s="21" t="str">
        <f aca="false">IFERROR(INDEX(종합!R$3:R$501,MATCH(ROW()-2,종합!$AB$3:$AB$501,0))&amp;"","")</f>
        <v>070-8807-4952</v>
      </c>
      <c r="S56" s="21" t="str">
        <f aca="false">IFERROR(INDEX(종합!S$3:S$501,MATCH(ROW()-2,종합!$AB$3:$AB$501,0))&amp;"","")</f>
        <v>jkchoi228@neospectra.co.kr</v>
      </c>
      <c r="T56" s="21" t="str">
        <f aca="false">IFERROR(INDEX(종합!T$3:T$501,MATCH(ROW()-2,종합!$AB$3:$AB$501,0))&amp;"","")</f>
        <v>010-8502-0853</v>
      </c>
      <c r="U56" s="21" t="str">
        <f aca="false">IFERROR(INDEX(종합!U$3:U$501,MATCH(ROW()-2,종합!$AB$3:$AB$501,0))&amp;"","")</f>
        <v>황도희</v>
      </c>
      <c r="V56" s="21" t="str">
        <f aca="false">IFERROR(INDEX(종합!V$3:V$501,MATCH(ROW()-2,종합!$AB$3:$AB$501,0))&amp;"","")</f>
        <v>연구소</v>
      </c>
      <c r="W56" s="21" t="str">
        <f aca="false">IFERROR(INDEX(종합!W$3:W$501,MATCH(ROW()-2,종합!$AB$3:$AB$501,0))&amp;"","")</f>
        <v>연구원</v>
      </c>
      <c r="X56" s="21" t="str">
        <f aca="false">IFERROR(INDEX(종합!X$3:X$501,MATCH(ROW()-2,종합!$AB$3:$AB$501,0))&amp;"","")</f>
        <v>070-8807-4952</v>
      </c>
      <c r="Y56" s="21" t="str">
        <f aca="false">IFERROR(INDEX(종합!Y$3:Y$501,MATCH(ROW()-2,종합!$AB$3:$AB$501,0))&amp;"","")</f>
        <v>ellahdh@neospectra.co.kr</v>
      </c>
      <c r="Z56" s="21" t="str">
        <f aca="false">IFERROR(INDEX(종합!Z$3:Z$501,MATCH(ROW()-2,종합!$AB$3:$AB$501,0))&amp;"","")</f>
        <v>010-9580-1733</v>
      </c>
    </row>
    <row r="57" customFormat="false" ht="22.5" hidden="false" customHeight="true" outlineLevel="0" collapsed="false">
      <c r="A57" s="18" t="n">
        <f aca="false">IF(B57="","",ROW()-2)</f>
        <v>55</v>
      </c>
      <c r="B57" s="18" t="str">
        <f aca="false">IFERROR(INDEX(종합!B$3:B$501,MATCH(ROW()-2,종합!$AB$3:$AB$501,0))&amp;"","")</f>
        <v>케이저 주식회사</v>
      </c>
      <c r="C57" s="18" t="str">
        <f aca="false">IFERROR(INDEX(종합!C$3:C$501,MATCH(ROW()-2,종합!$AB$3:$AB$501,0))&amp;"","")</f>
        <v>O</v>
      </c>
      <c r="D57" s="18" t="str">
        <f aca="false">IFERROR(INDEX(종합!D$3:D$501,MATCH(ROW()-2,종합!$AB$3:$AB$501,0))&amp;"","")</f>
        <v/>
      </c>
      <c r="E57" s="18" t="str">
        <f aca="false">IFERROR(INDEX(종합!E$3:E$501,MATCH(ROW()-2,종합!$AB$3:$AB$501,0))&amp;"","")</f>
        <v/>
      </c>
      <c r="F57" s="18" t="str">
        <f aca="false">IFERROR(INDEX(종합!F$3:F$501,MATCH(ROW()-2,종합!$AB$3:$AB$501,0))&amp;"","")</f>
        <v/>
      </c>
      <c r="G57" s="18" t="str">
        <f aca="false">IFERROR(INDEX(종합!G$3:G$501,MATCH(ROW()-2,종합!$AB$3:$AB$501,0))&amp;"","")</f>
        <v>중소기업</v>
      </c>
      <c r="H57" s="21" t="str">
        <f aca="false">IFERROR(INDEX(종합!H$3:H$501,MATCH(ROW()-2,종합!$AB$3:$AB$501,0))&amp;"","")</f>
        <v>646-87-03556</v>
      </c>
      <c r="I57" s="21" t="str">
        <f aca="false">IFERROR(INDEX(종합!I$3:I$501,MATCH(ROW()-2,종합!$AB$3:$AB$501,0))&amp;"","")</f>
        <v>견두헌</v>
      </c>
      <c r="J57" s="21" t="str">
        <f aca="false">IFERROR(INDEX(종합!J$3:J$501,MATCH(ROW()-2,종합!$AB$3:$AB$501,0))&amp;"","")</f>
        <v>010-9960-0640</v>
      </c>
      <c r="K57" s="21" t="str">
        <f aca="false">IFERROR(INDEX(종합!K$3:K$501,MATCH(ROW()-2,종합!$AB$3:$AB$501,0))&amp;"","")</f>
        <v>https://keiser.kr</v>
      </c>
      <c r="L57" s="21" t="str">
        <f aca="false">IFERROR(INDEX(종합!L$3:L$501,MATCH(ROW()-2,종합!$AB$3:$AB$501,0))&amp;"","")</f>
        <v>metalfocus@naver.com</v>
      </c>
      <c r="M57" s="21" t="str">
        <f aca="false">IFERROR(INDEX(종합!M$3:M$501,MATCH(ROW()-2,종합!$AB$3:$AB$501,0))&amp;"","")</f>
        <v>인천시 남동구 호구포로 194 마크원 IT동 1006호</v>
      </c>
      <c r="N57" s="25" t="str">
        <f aca="false">IFERROR(INDEX(종합!N$3:N$501,MATCH(ROW()-2,종합!$AB$3:$AB$501,0))&amp;"","")</f>
        <v>GCC 인공지능 음악성분 조합검색</v>
      </c>
      <c r="O57" s="21" t="str">
        <f aca="false">IFERROR(INDEX(종합!O$3:O$501,MATCH(ROW()-2,종합!$AB$3:$AB$501,0))&amp;"","")</f>
        <v>견두헌</v>
      </c>
      <c r="P57" s="21" t="str">
        <f aca="false">IFERROR(INDEX(종합!P$3:P$501,MATCH(ROW()-2,종합!$AB$3:$AB$501,0))&amp;"","")</f>
        <v>기업부설연구소</v>
      </c>
      <c r="Q57" s="21" t="str">
        <f aca="false">IFERROR(INDEX(종합!Q$3:Q$501,MATCH(ROW()-2,종합!$AB$3:$AB$501,0))&amp;"","")</f>
        <v>대표</v>
      </c>
      <c r="R57" s="21" t="str">
        <f aca="false">IFERROR(INDEX(종합!R$3:R$501,MATCH(ROW()-2,종합!$AB$3:$AB$501,0))&amp;"","")</f>
        <v>010-9960-0640</v>
      </c>
      <c r="S57" s="21" t="str">
        <f aca="false">IFERROR(INDEX(종합!S$3:S$501,MATCH(ROW()-2,종합!$AB$3:$AB$501,0))&amp;"","")</f>
        <v>metalfocus@naver.com</v>
      </c>
      <c r="T57" s="21" t="str">
        <f aca="false">IFERROR(INDEX(종합!T$3:T$501,MATCH(ROW()-2,종합!$AB$3:$AB$501,0))&amp;"","")</f>
        <v>010-9960-0640</v>
      </c>
      <c r="U57" s="21" t="str">
        <f aca="false">IFERROR(INDEX(종합!U$3:U$501,MATCH(ROW()-2,종합!$AB$3:$AB$501,0))&amp;"","")</f>
        <v>김수경</v>
      </c>
      <c r="V57" s="21" t="str">
        <f aca="false">IFERROR(INDEX(종합!V$3:V$501,MATCH(ROW()-2,종합!$AB$3:$AB$501,0))&amp;"","")</f>
        <v>총무팀</v>
      </c>
      <c r="W57" s="21" t="str">
        <f aca="false">IFERROR(INDEX(종합!W$3:W$501,MATCH(ROW()-2,종합!$AB$3:$AB$501,0))&amp;"","")</f>
        <v>사원 / 헹정</v>
      </c>
      <c r="X57" s="21" t="str">
        <f aca="false">IFERROR(INDEX(종합!X$3:X$501,MATCH(ROW()-2,종합!$AB$3:$AB$501,0))&amp;"","")</f>
        <v>010-8859-1182</v>
      </c>
      <c r="Y57" s="21" t="str">
        <f aca="false">IFERROR(INDEX(종합!Y$3:Y$501,MATCH(ROW()-2,종합!$AB$3:$AB$501,0))&amp;"","")</f>
        <v>kimkeiser@naver.com</v>
      </c>
      <c r="Z57" s="21" t="str">
        <f aca="false">IFERROR(INDEX(종합!Z$3:Z$501,MATCH(ROW()-2,종합!$AB$3:$AB$501,0))&amp;"","")</f>
        <v>010-8859-1182</v>
      </c>
    </row>
    <row r="58" customFormat="false" ht="33.75" hidden="false" customHeight="true" outlineLevel="0" collapsed="false">
      <c r="A58" s="18" t="n">
        <f aca="false">IF(B58="","",ROW()-2)</f>
        <v>56</v>
      </c>
      <c r="B58" s="18" t="str">
        <f aca="false">IFERROR(INDEX(종합!B$3:B$501,MATCH(ROW()-2,종합!$AB$3:$AB$501,0))&amp;"","")</f>
        <v>(주)스캐터엑스</v>
      </c>
      <c r="C58" s="18" t="str">
        <f aca="false">IFERROR(INDEX(종합!C$3:C$501,MATCH(ROW()-2,종합!$AB$3:$AB$501,0))&amp;"","")</f>
        <v>O</v>
      </c>
      <c r="D58" s="18" t="str">
        <f aca="false">IFERROR(INDEX(종합!D$3:D$501,MATCH(ROW()-2,종합!$AB$3:$AB$501,0))&amp;"","")</f>
        <v/>
      </c>
      <c r="E58" s="18" t="str">
        <f aca="false">IFERROR(INDEX(종합!E$3:E$501,MATCH(ROW()-2,종합!$AB$3:$AB$501,0))&amp;"","")</f>
        <v/>
      </c>
      <c r="F58" s="18" t="str">
        <f aca="false">IFERROR(INDEX(종합!F$3:F$501,MATCH(ROW()-2,종합!$AB$3:$AB$501,0))&amp;"","")</f>
        <v/>
      </c>
      <c r="G58" s="18" t="str">
        <f aca="false">IFERROR(INDEX(종합!G$3:G$501,MATCH(ROW()-2,종합!$AB$3:$AB$501,0))&amp;"","")</f>
        <v>중소기업</v>
      </c>
      <c r="H58" s="21" t="str">
        <f aca="false">IFERROR(INDEX(종합!H$3:H$501,MATCH(ROW()-2,종합!$AB$3:$AB$501,0))&amp;"","")</f>
        <v>135-86-23619</v>
      </c>
      <c r="I58" s="21" t="str">
        <f aca="false">IFERROR(INDEX(종합!I$3:I$501,MATCH(ROW()-2,종합!$AB$3:$AB$501,0))&amp;"","")</f>
        <v>강명수</v>
      </c>
      <c r="J58" s="21" t="str">
        <f aca="false">IFERROR(INDEX(종합!J$3:J$501,MATCH(ROW()-2,종합!$AB$3:$AB$501,0))&amp;"","")</f>
        <v>070-4258-5655</v>
      </c>
      <c r="K58" s="21" t="str">
        <f aca="false">IFERROR(INDEX(종합!K$3:K$501,MATCH(ROW()-2,종합!$AB$3:$AB$501,0))&amp;"","")</f>
        <v>scatterx.co.kr</v>
      </c>
      <c r="L58" s="21" t="str">
        <f aca="false">IFERROR(INDEX(종합!L$3:L$501,MATCH(ROW()-2,종합!$AB$3:$AB$501,0))&amp;"","")</f>
        <v>hbee.micha@gmail.com</v>
      </c>
      <c r="M58" s="21" t="str">
        <f aca="false">IFERROR(INDEX(종합!M$3:M$501,MATCH(ROW()-2,종합!$AB$3:$AB$501,0))&amp;"","")</f>
        <v>서울특별시 강남구 테헤란로82길 15, 10층</v>
      </c>
      <c r="N58" s="25" t="str">
        <f aca="false">IFERROR(INDEX(종합!N$3:N$501,MATCH(ROW()-2,종합!$AB$3:$AB$501,0))&amp;"","")</f>
        <v>AI 어시스턴트 및 멀티 LLM 오케스트레이션, AI 에이전트 기반 자동화 기술</v>
      </c>
      <c r="O58" s="21" t="str">
        <f aca="false">IFERROR(INDEX(종합!O$3:O$501,MATCH(ROW()-2,종합!$AB$3:$AB$501,0))&amp;"","")</f>
        <v>강명수</v>
      </c>
      <c r="P58" s="21" t="str">
        <f aca="false">IFERROR(INDEX(종합!P$3:P$501,MATCH(ROW()-2,종합!$AB$3:$AB$501,0))&amp;"","")</f>
        <v>대표이사실</v>
      </c>
      <c r="Q58" s="21" t="str">
        <f aca="false">IFERROR(INDEX(종합!Q$3:Q$501,MATCH(ROW()-2,종합!$AB$3:$AB$501,0))&amp;"","")</f>
        <v>대표이사</v>
      </c>
      <c r="R58" s="21" t="str">
        <f aca="false">IFERROR(INDEX(종합!R$3:R$501,MATCH(ROW()-2,종합!$AB$3:$AB$501,0))&amp;"","")</f>
        <v>010-9320-7402</v>
      </c>
      <c r="S58" s="21" t="str">
        <f aca="false">IFERROR(INDEX(종합!S$3:S$501,MATCH(ROW()-2,종합!$AB$3:$AB$501,0))&amp;"","")</f>
        <v>ceo@scatterx.io</v>
      </c>
      <c r="T58" s="21" t="str">
        <f aca="false">IFERROR(INDEX(종합!T$3:T$501,MATCH(ROW()-2,종합!$AB$3:$AB$501,0))&amp;"","")</f>
        <v>010-9320-7402</v>
      </c>
      <c r="U58" s="21" t="str">
        <f aca="false">IFERROR(INDEX(종합!U$3:U$501,MATCH(ROW()-2,종합!$AB$3:$AB$501,0))&amp;"","")</f>
        <v>권용우</v>
      </c>
      <c r="V58" s="21" t="str">
        <f aca="false">IFERROR(INDEX(종합!V$3:V$501,MATCH(ROW()-2,종합!$AB$3:$AB$501,0))&amp;"","")</f>
        <v>전략기획팀</v>
      </c>
      <c r="W58" s="21" t="str">
        <f aca="false">IFERROR(INDEX(종합!W$3:W$501,MATCH(ROW()-2,종합!$AB$3:$AB$501,0))&amp;"","")</f>
        <v>차장</v>
      </c>
      <c r="X58" s="21" t="str">
        <f aca="false">IFERROR(INDEX(종합!X$3:X$501,MATCH(ROW()-2,종합!$AB$3:$AB$501,0))&amp;"","")</f>
        <v>010-9927-3585</v>
      </c>
      <c r="Y58" s="21" t="str">
        <f aca="false">IFERROR(INDEX(종합!Y$3:Y$501,MATCH(ROW()-2,종합!$AB$3:$AB$501,0))&amp;"","")</f>
        <v>micha@scatterx.io</v>
      </c>
      <c r="Z58" s="21" t="str">
        <f aca="false">IFERROR(INDEX(종합!Z$3:Z$501,MATCH(ROW()-2,종합!$AB$3:$AB$501,0))&amp;"","")</f>
        <v>010-9927-3585</v>
      </c>
    </row>
    <row r="59" customFormat="false" ht="33.75" hidden="false" customHeight="true" outlineLevel="0" collapsed="false">
      <c r="A59" s="18" t="n">
        <f aca="false">IF(B59="","",ROW()-2)</f>
        <v>57</v>
      </c>
      <c r="B59" s="18" t="str">
        <f aca="false">IFERROR(INDEX(종합!B$3:B$501,MATCH(ROW()-2,종합!$AB$3:$AB$501,0))&amp;"","")</f>
        <v>(주)드위치</v>
      </c>
      <c r="C59" s="18" t="str">
        <f aca="false">IFERROR(INDEX(종합!C$3:C$501,MATCH(ROW()-2,종합!$AB$3:$AB$501,0))&amp;"","")</f>
        <v>O</v>
      </c>
      <c r="D59" s="18" t="str">
        <f aca="false">IFERROR(INDEX(종합!D$3:D$501,MATCH(ROW()-2,종합!$AB$3:$AB$501,0))&amp;"","")</f>
        <v/>
      </c>
      <c r="E59" s="18" t="str">
        <f aca="false">IFERROR(INDEX(종합!E$3:E$501,MATCH(ROW()-2,종합!$AB$3:$AB$501,0))&amp;"","")</f>
        <v/>
      </c>
      <c r="F59" s="18" t="str">
        <f aca="false">IFERROR(INDEX(종합!F$3:F$501,MATCH(ROW()-2,종합!$AB$3:$AB$501,0))&amp;"","")</f>
        <v/>
      </c>
      <c r="G59" s="18" t="str">
        <f aca="false">IFERROR(INDEX(종합!G$3:G$501,MATCH(ROW()-2,종합!$AB$3:$AB$501,0))&amp;"","")</f>
        <v>중소기업</v>
      </c>
      <c r="H59" s="21" t="str">
        <f aca="false">IFERROR(INDEX(종합!H$3:H$501,MATCH(ROW()-2,종합!$AB$3:$AB$501,0))&amp;"","")</f>
        <v>773-81-02328</v>
      </c>
      <c r="I59" s="21" t="str">
        <f aca="false">IFERROR(INDEX(종합!I$3:I$501,MATCH(ROW()-2,종합!$AB$3:$AB$501,0))&amp;"","")</f>
        <v>이태석</v>
      </c>
      <c r="J59" s="21" t="str">
        <f aca="false">IFERROR(INDEX(종합!J$3:J$501,MATCH(ROW()-2,종합!$AB$3:$AB$501,0))&amp;"","")</f>
        <v>010-4660-6772</v>
      </c>
      <c r="K59" s="21" t="str">
        <f aca="false">IFERROR(INDEX(종합!K$3:K$501,MATCH(ROW()-2,종합!$AB$3:$AB$501,0))&amp;"","")</f>
        <v>https://dwitch.co.kr</v>
      </c>
      <c r="L59" s="21" t="str">
        <f aca="false">IFERROR(INDEX(종합!L$3:L$501,MATCH(ROW()-2,종합!$AB$3:$AB$501,0))&amp;"","")</f>
        <v>tslee@dwitch.co.kr</v>
      </c>
      <c r="M59" s="21" t="str">
        <f aca="false">IFERROR(INDEX(종합!M$3:M$501,MATCH(ROW()-2,종합!$AB$3:$AB$501,0))&amp;"","")</f>
        <v>서울시 송파구 중대로300, 5층</v>
      </c>
      <c r="N59" s="25" t="str">
        <f aca="false">IFERROR(INDEX(종합!N$3:N$501,MATCH(ROW()-2,종합!$AB$3:$AB$501,0))&amp;"","")</f>
        <v>개인정보 가명처리, 비식별화 - PIANO v2.0 (비정형), FORTE v1.0 (정형)</v>
      </c>
      <c r="O59" s="21" t="str">
        <f aca="false">IFERROR(INDEX(종합!O$3:O$501,MATCH(ROW()-2,종합!$AB$3:$AB$501,0))&amp;"","")</f>
        <v>이태석</v>
      </c>
      <c r="P59" s="21" t="str">
        <f aca="false">IFERROR(INDEX(종합!P$3:P$501,MATCH(ROW()-2,종합!$AB$3:$AB$501,0))&amp;"","")</f>
        <v>경영기획본부</v>
      </c>
      <c r="Q59" s="21" t="str">
        <f aca="false">IFERROR(INDEX(종합!Q$3:Q$501,MATCH(ROW()-2,종합!$AB$3:$AB$501,0))&amp;"","")</f>
        <v>대표</v>
      </c>
      <c r="R59" s="21" t="str">
        <f aca="false">IFERROR(INDEX(종합!R$3:R$501,MATCH(ROW()-2,종합!$AB$3:$AB$501,0))&amp;"","")</f>
        <v>010-4660-6772</v>
      </c>
      <c r="S59" s="21" t="str">
        <f aca="false">IFERROR(INDEX(종합!S$3:S$501,MATCH(ROW()-2,종합!$AB$3:$AB$501,0))&amp;"","")</f>
        <v>tslee@dwitch.co.kr</v>
      </c>
      <c r="T59" s="21" t="str">
        <f aca="false">IFERROR(INDEX(종합!T$3:T$501,MATCH(ROW()-2,종합!$AB$3:$AB$501,0))&amp;"","")</f>
        <v>010-4660-6772</v>
      </c>
      <c r="U59" s="21" t="str">
        <f aca="false">IFERROR(INDEX(종합!U$3:U$501,MATCH(ROW()-2,종합!$AB$3:$AB$501,0))&amp;"","")</f>
        <v>정종화</v>
      </c>
      <c r="V59" s="21" t="str">
        <f aca="false">IFERROR(INDEX(종합!V$3:V$501,MATCH(ROW()-2,종합!$AB$3:$AB$501,0))&amp;"","")</f>
        <v>경영지원본부</v>
      </c>
      <c r="W59" s="21" t="str">
        <f aca="false">IFERROR(INDEX(종합!W$3:W$501,MATCH(ROW()-2,종합!$AB$3:$AB$501,0))&amp;"","")</f>
        <v>본부장</v>
      </c>
      <c r="X59" s="21" t="str">
        <f aca="false">IFERROR(INDEX(종합!X$3:X$501,MATCH(ROW()-2,종합!$AB$3:$AB$501,0))&amp;"","")</f>
        <v>010-3051-8689</v>
      </c>
      <c r="Y59" s="21" t="str">
        <f aca="false">IFERROR(INDEX(종합!Y$3:Y$501,MATCH(ROW()-2,종합!$AB$3:$AB$501,0))&amp;"","")</f>
        <v>jhjung@dwitch.co.kr</v>
      </c>
      <c r="Z59" s="21" t="str">
        <f aca="false">IFERROR(INDEX(종합!Z$3:Z$501,MATCH(ROW()-2,종합!$AB$3:$AB$501,0))&amp;"","")</f>
        <v>010-3051-8689</v>
      </c>
    </row>
    <row r="60" customFormat="false" ht="22.5" hidden="false" customHeight="true" outlineLevel="0" collapsed="false">
      <c r="A60" s="18" t="n">
        <f aca="false">IF(B60="","",ROW()-2)</f>
        <v>58</v>
      </c>
      <c r="B60" s="18" t="str">
        <f aca="false">IFERROR(INDEX(종합!B$3:B$501,MATCH(ROW()-2,종합!$AB$3:$AB$501,0))&amp;"","")</f>
        <v>(주)이글로벌시스템</v>
      </c>
      <c r="C60" s="18" t="str">
        <f aca="false">IFERROR(INDEX(종합!C$3:C$501,MATCH(ROW()-2,종합!$AB$3:$AB$501,0))&amp;"","")</f>
        <v>O</v>
      </c>
      <c r="D60" s="18" t="str">
        <f aca="false">IFERROR(INDEX(종합!D$3:D$501,MATCH(ROW()-2,종합!$AB$3:$AB$501,0))&amp;"","")</f>
        <v/>
      </c>
      <c r="E60" s="18" t="str">
        <f aca="false">IFERROR(INDEX(종합!E$3:E$501,MATCH(ROW()-2,종합!$AB$3:$AB$501,0))&amp;"","")</f>
        <v/>
      </c>
      <c r="F60" s="18" t="str">
        <f aca="false">IFERROR(INDEX(종합!F$3:F$501,MATCH(ROW()-2,종합!$AB$3:$AB$501,0))&amp;"","")</f>
        <v/>
      </c>
      <c r="G60" s="18" t="str">
        <f aca="false">IFERROR(INDEX(종합!G$3:G$501,MATCH(ROW()-2,종합!$AB$3:$AB$501,0))&amp;"","")</f>
        <v>중소기업</v>
      </c>
      <c r="H60" s="21" t="str">
        <f aca="false">IFERROR(INDEX(종합!H$3:H$501,MATCH(ROW()-2,종합!$AB$3:$AB$501,0))&amp;"","")</f>
        <v>114-86-39394</v>
      </c>
      <c r="I60" s="21" t="str">
        <f aca="false">IFERROR(INDEX(종합!I$3:I$501,MATCH(ROW()-2,종합!$AB$3:$AB$501,0))&amp;"","")</f>
        <v>강희창</v>
      </c>
      <c r="J60" s="21" t="str">
        <f aca="false">IFERROR(INDEX(종합!J$3:J$501,MATCH(ROW()-2,종합!$AB$3:$AB$501,0))&amp;"","")</f>
        <v>02-6447-6988</v>
      </c>
      <c r="K60" s="21" t="str">
        <f aca="false">IFERROR(INDEX(종합!K$3:K$501,MATCH(ROW()-2,종합!$AB$3:$AB$501,0))&amp;"","")</f>
        <v>https://eglobalsys.co.kr/</v>
      </c>
      <c r="L60" s="21" t="str">
        <f aca="false">IFERROR(INDEX(종합!L$3:L$501,MATCH(ROW()-2,종합!$AB$3:$AB$501,0))&amp;"","")</f>
        <v>jungmin82@gmail.com</v>
      </c>
      <c r="M60" s="21" t="str">
        <f aca="false">IFERROR(INDEX(종합!M$3:M$501,MATCH(ROW()-2,종합!$AB$3:$AB$501,0))&amp;"","")</f>
        <v>서울특별시 강남구 선릉로93길 54, 4층</v>
      </c>
      <c r="N60" s="25" t="str">
        <f aca="false">IFERROR(INDEX(종합!N$3:N$501,MATCH(ROW()-2,종합!$AB$3:$AB$501,0))&amp;"","")</f>
        <v>DB암호화</v>
      </c>
      <c r="O60" s="21" t="str">
        <f aca="false">IFERROR(INDEX(종합!O$3:O$501,MATCH(ROW()-2,종합!$AB$3:$AB$501,0))&amp;"","")</f>
        <v>김정민</v>
      </c>
      <c r="P60" s="21" t="str">
        <f aca="false">IFERROR(INDEX(종합!P$3:P$501,MATCH(ROW()-2,종합!$AB$3:$AB$501,0))&amp;"","")</f>
        <v>연구소</v>
      </c>
      <c r="Q60" s="21" t="str">
        <f aca="false">IFERROR(INDEX(종합!Q$3:Q$501,MATCH(ROW()-2,종합!$AB$3:$AB$501,0))&amp;"","")</f>
        <v>책임연구원</v>
      </c>
      <c r="R60" s="21" t="str">
        <f aca="false">IFERROR(INDEX(종합!R$3:R$501,MATCH(ROW()-2,종합!$AB$3:$AB$501,0))&amp;"","")</f>
        <v>02-6447-6988</v>
      </c>
      <c r="S60" s="21" t="str">
        <f aca="false">IFERROR(INDEX(종합!S$3:S$501,MATCH(ROW()-2,종합!$AB$3:$AB$501,0))&amp;"","")</f>
        <v>jmkim@eglobalsys.co.kr</v>
      </c>
      <c r="T60" s="21" t="str">
        <f aca="false">IFERROR(INDEX(종합!T$3:T$501,MATCH(ROW()-2,종합!$AB$3:$AB$501,0))&amp;"","")</f>
        <v>010-2568-2883</v>
      </c>
      <c r="U60" s="21" t="str">
        <f aca="false">IFERROR(INDEX(종합!U$3:U$501,MATCH(ROW()-2,종합!$AB$3:$AB$501,0))&amp;"","")</f>
        <v>양희만</v>
      </c>
      <c r="V60" s="21" t="str">
        <f aca="false">IFERROR(INDEX(종합!V$3:V$501,MATCH(ROW()-2,종합!$AB$3:$AB$501,0))&amp;"","")</f>
        <v>연구소</v>
      </c>
      <c r="W60" s="21" t="str">
        <f aca="false">IFERROR(INDEX(종합!W$3:W$501,MATCH(ROW()-2,종합!$AB$3:$AB$501,0))&amp;"","")</f>
        <v>책임연구원</v>
      </c>
      <c r="X60" s="21" t="str">
        <f aca="false">IFERROR(INDEX(종합!X$3:X$501,MATCH(ROW()-2,종합!$AB$3:$AB$501,0))&amp;"","")</f>
        <v>02-6447-6988</v>
      </c>
      <c r="Y60" s="21" t="str">
        <f aca="false">IFERROR(INDEX(종합!Y$3:Y$501,MATCH(ROW()-2,종합!$AB$3:$AB$501,0))&amp;"","")</f>
        <v>yang10000@eglobalsys.co.kr</v>
      </c>
      <c r="Z60" s="21" t="str">
        <f aca="false">IFERROR(INDEX(종합!Z$3:Z$501,MATCH(ROW()-2,종합!$AB$3:$AB$501,0))&amp;"","")</f>
        <v>010-2909-5674</v>
      </c>
    </row>
    <row r="61" customFormat="false" ht="22.5" hidden="false" customHeight="true" outlineLevel="0" collapsed="false">
      <c r="A61" s="18" t="n">
        <f aca="false">IF(B61="","",ROW()-2)</f>
        <v>59</v>
      </c>
      <c r="B61" s="18" t="str">
        <f aca="false">IFERROR(INDEX(종합!B$3:B$501,MATCH(ROW()-2,종합!$AB$3:$AB$501,0))&amp;"","")</f>
        <v>(주)왕별</v>
      </c>
      <c r="C61" s="18" t="str">
        <f aca="false">IFERROR(INDEX(종합!C$3:C$501,MATCH(ROW()-2,종합!$AB$3:$AB$501,0))&amp;"","")</f>
        <v>O</v>
      </c>
      <c r="D61" s="18" t="str">
        <f aca="false">IFERROR(INDEX(종합!D$3:D$501,MATCH(ROW()-2,종합!$AB$3:$AB$501,0))&amp;"","")</f>
        <v/>
      </c>
      <c r="E61" s="18" t="str">
        <f aca="false">IFERROR(INDEX(종합!E$3:E$501,MATCH(ROW()-2,종합!$AB$3:$AB$501,0))&amp;"","")</f>
        <v/>
      </c>
      <c r="F61" s="18" t="str">
        <f aca="false">IFERROR(INDEX(종합!F$3:F$501,MATCH(ROW()-2,종합!$AB$3:$AB$501,0))&amp;"","")</f>
        <v/>
      </c>
      <c r="G61" s="18" t="str">
        <f aca="false">IFERROR(INDEX(종합!G$3:G$501,MATCH(ROW()-2,종합!$AB$3:$AB$501,0))&amp;"","")</f>
        <v>중소기업</v>
      </c>
      <c r="H61" s="21" t="str">
        <f aca="false">IFERROR(INDEX(종합!H$3:H$501,MATCH(ROW()-2,종합!$AB$3:$AB$501,0))&amp;"","")</f>
        <v>331-86-01251</v>
      </c>
      <c r="I61" s="21" t="str">
        <f aca="false">IFERROR(INDEX(종합!I$3:I$501,MATCH(ROW()-2,종합!$AB$3:$AB$501,0))&amp;"","")</f>
        <v>구태회</v>
      </c>
      <c r="J61" s="21" t="str">
        <f aca="false">IFERROR(INDEX(종합!J$3:J$501,MATCH(ROW()-2,종합!$AB$3:$AB$501,0))&amp;"","")</f>
        <v>010-8979-6333</v>
      </c>
      <c r="K61" s="21" t="str">
        <f aca="false">IFERROR(INDEX(종합!K$3:K$501,MATCH(ROW()-2,종합!$AB$3:$AB$501,0))&amp;"","")</f>
        <v>https://wangbyul.com/</v>
      </c>
      <c r="L61" s="21" t="str">
        <f aca="false">IFERROR(INDEX(종합!L$3:L$501,MATCH(ROW()-2,종합!$AB$3:$AB$501,0))&amp;"","")</f>
        <v>zxczxc2823@gmail.com</v>
      </c>
      <c r="M61" s="21" t="str">
        <f aca="false">IFERROR(INDEX(종합!M$3:M$501,MATCH(ROW()-2,종합!$AB$3:$AB$501,0))&amp;"","")</f>
        <v>세종 보듬3로 8-27 새한빌딩 504,505호</v>
      </c>
      <c r="N61" s="25" t="str">
        <f aca="false">IFERROR(INDEX(종합!N$3:N$501,MATCH(ROW()-2,종합!$AB$3:$AB$501,0))&amp;"","")</f>
        <v>ESB 연계솔루션, APIGW, APIGW MCP 등</v>
      </c>
      <c r="O61" s="21" t="str">
        <f aca="false">IFERROR(INDEX(종합!O$3:O$501,MATCH(ROW()-2,종합!$AB$3:$AB$501,0))&amp;"","")</f>
        <v>김동현</v>
      </c>
      <c r="P61" s="21" t="str">
        <f aca="false">IFERROR(INDEX(종합!P$3:P$501,MATCH(ROW()-2,종합!$AB$3:$AB$501,0))&amp;"","")</f>
        <v>전략기획팀/연구개발부</v>
      </c>
      <c r="Q61" s="21" t="str">
        <f aca="false">IFERROR(INDEX(종합!Q$3:Q$501,MATCH(ROW()-2,종합!$AB$3:$AB$501,0))&amp;"","")</f>
        <v>책임</v>
      </c>
      <c r="R61" s="21" t="str">
        <f aca="false">IFERROR(INDEX(종합!R$3:R$501,MATCH(ROW()-2,종합!$AB$3:$AB$501,0))&amp;"","")</f>
        <v>010-2605-5261</v>
      </c>
      <c r="S61" s="21" t="str">
        <f aca="false">IFERROR(INDEX(종합!S$3:S$501,MATCH(ROW()-2,종합!$AB$3:$AB$501,0))&amp;"","")</f>
        <v>fdsa8851@wangbyul.com</v>
      </c>
      <c r="T61" s="21" t="str">
        <f aca="false">IFERROR(INDEX(종합!T$3:T$501,MATCH(ROW()-2,종합!$AB$3:$AB$501,0))&amp;"","")</f>
        <v>010-2605-5261</v>
      </c>
      <c r="U61" s="21" t="str">
        <f aca="false">IFERROR(INDEX(종합!U$3:U$501,MATCH(ROW()-2,종합!$AB$3:$AB$501,0))&amp;"","")</f>
        <v>이상성</v>
      </c>
      <c r="V61" s="21" t="str">
        <f aca="false">IFERROR(INDEX(종합!V$3:V$501,MATCH(ROW()-2,종합!$AB$3:$AB$501,0))&amp;"","")</f>
        <v>전략기획팀/연구개발부</v>
      </c>
      <c r="W61" s="21" t="str">
        <f aca="false">IFERROR(INDEX(종합!W$3:W$501,MATCH(ROW()-2,종합!$AB$3:$AB$501,0))&amp;"","")</f>
        <v>선임</v>
      </c>
      <c r="X61" s="21" t="str">
        <f aca="false">IFERROR(INDEX(종합!X$3:X$501,MATCH(ROW()-2,종합!$AB$3:$AB$501,0))&amp;"","")</f>
        <v>010-4551-9111</v>
      </c>
      <c r="Y61" s="21" t="str">
        <f aca="false">IFERROR(INDEX(종합!Y$3:Y$501,MATCH(ROW()-2,종합!$AB$3:$AB$501,0))&amp;"","")</f>
        <v>leesangseong@wangbyul.com</v>
      </c>
      <c r="Z61" s="21" t="str">
        <f aca="false">IFERROR(INDEX(종합!Z$3:Z$501,MATCH(ROW()-2,종합!$AB$3:$AB$501,0))&amp;"","")</f>
        <v>010-4551-9111</v>
      </c>
    </row>
    <row r="62" customFormat="false" ht="22.5" hidden="false" customHeight="true" outlineLevel="0" collapsed="false">
      <c r="A62" s="18" t="n">
        <f aca="false">IF(B62="","",ROW()-2)</f>
        <v>60</v>
      </c>
      <c r="B62" s="18" t="str">
        <f aca="false">IFERROR(INDEX(종합!B$3:B$501,MATCH(ROW()-2,종합!$AB$3:$AB$501,0))&amp;"","")</f>
        <v>위데이터랩 주식회사</v>
      </c>
      <c r="C62" s="18" t="str">
        <f aca="false">IFERROR(INDEX(종합!C$3:C$501,MATCH(ROW()-2,종합!$AB$3:$AB$501,0))&amp;"","")</f>
        <v>O</v>
      </c>
      <c r="D62" s="18" t="str">
        <f aca="false">IFERROR(INDEX(종합!D$3:D$501,MATCH(ROW()-2,종합!$AB$3:$AB$501,0))&amp;"","")</f>
        <v/>
      </c>
      <c r="E62" s="18" t="str">
        <f aca="false">IFERROR(INDEX(종합!E$3:E$501,MATCH(ROW()-2,종합!$AB$3:$AB$501,0))&amp;"","")</f>
        <v/>
      </c>
      <c r="F62" s="18" t="str">
        <f aca="false">IFERROR(INDEX(종합!F$3:F$501,MATCH(ROW()-2,종합!$AB$3:$AB$501,0))&amp;"","")</f>
        <v/>
      </c>
      <c r="G62" s="18" t="str">
        <f aca="false">IFERROR(INDEX(종합!G$3:G$501,MATCH(ROW()-2,종합!$AB$3:$AB$501,0))&amp;"","")</f>
        <v>중소기업</v>
      </c>
      <c r="H62" s="21" t="str">
        <f aca="false">IFERROR(INDEX(종합!H$3:H$501,MATCH(ROW()-2,종합!$AB$3:$AB$501,0))&amp;"","")</f>
        <v>121-88-01115</v>
      </c>
      <c r="I62" s="21" t="str">
        <f aca="false">IFERROR(INDEX(종합!I$3:I$501,MATCH(ROW()-2,종합!$AB$3:$AB$501,0))&amp;"","")</f>
        <v>권건우</v>
      </c>
      <c r="J62" s="21" t="str">
        <f aca="false">IFERROR(INDEX(종합!J$3:J$501,MATCH(ROW()-2,종합!$AB$3:$AB$501,0))&amp;"","")</f>
        <v>010-6400-9127</v>
      </c>
      <c r="K62" s="21" t="str">
        <f aca="false">IFERROR(INDEX(종합!K$3:K$501,MATCH(ROW()-2,종합!$AB$3:$AB$501,0))&amp;"","")</f>
        <v>https://wedatalab.com/</v>
      </c>
      <c r="L62" s="21" t="str">
        <f aca="false">IFERROR(INDEX(종합!L$3:L$501,MATCH(ROW()-2,종합!$AB$3:$AB$501,0))&amp;"","")</f>
        <v>jjina810@wedatalab.com</v>
      </c>
      <c r="M62" s="21" t="str">
        <f aca="false">IFERROR(INDEX(종합!M$3:M$501,MATCH(ROW()-2,종합!$AB$3:$AB$501,0))&amp;"","")</f>
        <v>서울시 종로구 삼일대로 457, 수운회관 1303호 </v>
      </c>
      <c r="N62" s="25" t="str">
        <f aca="false">IFERROR(INDEX(종합!N$3:N$501,MATCH(ROW()-2,종합!$AB$3:$AB$501,0))&amp;"","")</f>
        <v>AI기반 시스템통합 모니터링 솔루션 </v>
      </c>
      <c r="O62" s="21" t="str">
        <f aca="false">IFERROR(INDEX(종합!O$3:O$501,MATCH(ROW()-2,종합!$AB$3:$AB$501,0))&amp;"","")</f>
        <v>권건우</v>
      </c>
      <c r="P62" s="21" t="str">
        <f aca="false">IFERROR(INDEX(종합!P$3:P$501,MATCH(ROW()-2,종합!$AB$3:$AB$501,0))&amp;"","")</f>
        <v>대표이사</v>
      </c>
      <c r="Q62" s="21" t="str">
        <f aca="false">IFERROR(INDEX(종합!Q$3:Q$501,MATCH(ROW()-2,종합!$AB$3:$AB$501,0))&amp;"","")</f>
        <v>대표이사</v>
      </c>
      <c r="R62" s="21" t="str">
        <f aca="false">IFERROR(INDEX(종합!R$3:R$501,MATCH(ROW()-2,종합!$AB$3:$AB$501,0))&amp;"","")</f>
        <v>010-6400-9127</v>
      </c>
      <c r="S62" s="21" t="str">
        <f aca="false">IFERROR(INDEX(종합!S$3:S$501,MATCH(ROW()-2,종합!$AB$3:$AB$501,0))&amp;"","")</f>
        <v>redpine71@wedatalab.com</v>
      </c>
      <c r="T62" s="21" t="str">
        <f aca="false">IFERROR(INDEX(종합!T$3:T$501,MATCH(ROW()-2,종합!$AB$3:$AB$501,0))&amp;"","")</f>
        <v>010-6400-9127</v>
      </c>
      <c r="U62" s="21" t="str">
        <f aca="false">IFERROR(INDEX(종합!U$3:U$501,MATCH(ROW()-2,종합!$AB$3:$AB$501,0))&amp;"","")</f>
        <v>신재솔</v>
      </c>
      <c r="V62" s="21" t="str">
        <f aca="false">IFERROR(INDEX(종합!V$3:V$501,MATCH(ROW()-2,종합!$AB$3:$AB$501,0))&amp;"","")</f>
        <v>인공지능연구소</v>
      </c>
      <c r="W62" s="21" t="str">
        <f aca="false">IFERROR(INDEX(종합!W$3:W$501,MATCH(ROW()-2,종합!$AB$3:$AB$501,0))&amp;"","")</f>
        <v>선임연구원</v>
      </c>
      <c r="X62" s="21" t="str">
        <f aca="false">IFERROR(INDEX(종합!X$3:X$501,MATCH(ROW()-2,종합!$AB$3:$AB$501,0))&amp;"","")</f>
        <v>010-7196-8188</v>
      </c>
      <c r="Y62" s="21" t="str">
        <f aca="false">IFERROR(INDEX(종합!Y$3:Y$501,MATCH(ROW()-2,종합!$AB$3:$AB$501,0))&amp;"","")</f>
        <v>ysys143@wedatalab.com</v>
      </c>
      <c r="Z62" s="21" t="str">
        <f aca="false">IFERROR(INDEX(종합!Z$3:Z$501,MATCH(ROW()-2,종합!$AB$3:$AB$501,0))&amp;"","")</f>
        <v>010-7196-8188</v>
      </c>
    </row>
    <row r="63" customFormat="false" ht="22.5" hidden="false" customHeight="true" outlineLevel="0" collapsed="false">
      <c r="A63" s="18" t="n">
        <f aca="false">IF(B63="","",ROW()-2)</f>
        <v>61</v>
      </c>
      <c r="B63" s="18" t="str">
        <f aca="false">IFERROR(INDEX(종합!B$3:B$501,MATCH(ROW()-2,종합!$AB$3:$AB$501,0))&amp;"","")</f>
        <v>(주)에이스이앤티</v>
      </c>
      <c r="C63" s="18" t="str">
        <f aca="false">IFERROR(INDEX(종합!C$3:C$501,MATCH(ROW()-2,종합!$AB$3:$AB$501,0))&amp;"","")</f>
        <v>O</v>
      </c>
      <c r="D63" s="18" t="str">
        <f aca="false">IFERROR(INDEX(종합!D$3:D$501,MATCH(ROW()-2,종합!$AB$3:$AB$501,0))&amp;"","")</f>
        <v/>
      </c>
      <c r="E63" s="18" t="str">
        <f aca="false">IFERROR(INDEX(종합!E$3:E$501,MATCH(ROW()-2,종합!$AB$3:$AB$501,0))&amp;"","")</f>
        <v/>
      </c>
      <c r="F63" s="18" t="str">
        <f aca="false">IFERROR(INDEX(종합!F$3:F$501,MATCH(ROW()-2,종합!$AB$3:$AB$501,0))&amp;"","")</f>
        <v/>
      </c>
      <c r="G63" s="18" t="str">
        <f aca="false">IFERROR(INDEX(종합!G$3:G$501,MATCH(ROW()-2,종합!$AB$3:$AB$501,0))&amp;"","")</f>
        <v>중소기업</v>
      </c>
      <c r="H63" s="21" t="str">
        <f aca="false">IFERROR(INDEX(종합!H$3:H$501,MATCH(ROW()-2,종합!$AB$3:$AB$501,0))&amp;"","")</f>
        <v>620-81-32697</v>
      </c>
      <c r="I63" s="21" t="str">
        <f aca="false">IFERROR(INDEX(종합!I$3:I$501,MATCH(ROW()-2,종합!$AB$3:$AB$501,0))&amp;"","")</f>
        <v>김대환</v>
      </c>
      <c r="J63" s="21" t="str">
        <f aca="false">IFERROR(INDEX(종합!J$3:J$501,MATCH(ROW()-2,종합!$AB$3:$AB$501,0))&amp;"","")</f>
        <v>052-233-0014</v>
      </c>
      <c r="K63" s="21" t="str">
        <f aca="false">IFERROR(INDEX(종합!K$3:K$501,MATCH(ROW()-2,종합!$AB$3:$AB$501,0))&amp;"","")</f>
        <v>http://www.aceent.co.kr/</v>
      </c>
      <c r="L63" s="21" t="str">
        <f aca="false">IFERROR(INDEX(종합!L$3:L$501,MATCH(ROW()-2,종합!$AB$3:$AB$501,0))&amp;"","")</f>
        <v>aceent0014@gmail.com</v>
      </c>
      <c r="M63" s="21" t="str">
        <f aca="false">IFERROR(INDEX(종합!M$3:M$501,MATCH(ROW()-2,종합!$AB$3:$AB$501,0))&amp;"","")</f>
        <v>울산광역시 울주군 서생면 에너지산업5로 72</v>
      </c>
      <c r="N63" s="25" t="str">
        <f aca="false">IFERROR(INDEX(종합!N$3:N$501,MATCH(ROW()-2,종합!$AB$3:$AB$501,0))&amp;"","")</f>
        <v>장비,로봇 기업</v>
      </c>
      <c r="O63" s="21" t="str">
        <f aca="false">IFERROR(INDEX(종합!O$3:O$501,MATCH(ROW()-2,종합!$AB$3:$AB$501,0))&amp;"","")</f>
        <v>김병석</v>
      </c>
      <c r="P63" s="21" t="str">
        <f aca="false">IFERROR(INDEX(종합!P$3:P$501,MATCH(ROW()-2,종합!$AB$3:$AB$501,0))&amp;"","")</f>
        <v>연구본부</v>
      </c>
      <c r="Q63" s="21" t="str">
        <f aca="false">IFERROR(INDEX(종합!Q$3:Q$501,MATCH(ROW()-2,종합!$AB$3:$AB$501,0))&amp;"","")</f>
        <v>이사/본부장</v>
      </c>
      <c r="R63" s="21" t="str">
        <f aca="false">IFERROR(INDEX(종합!R$3:R$501,MATCH(ROW()-2,종합!$AB$3:$AB$501,0))&amp;"","")</f>
        <v>010-4874-2436 </v>
      </c>
      <c r="S63" s="21" t="str">
        <f aca="false">IFERROR(INDEX(종합!S$3:S$501,MATCH(ROW()-2,종합!$AB$3:$AB$501,0))&amp;"","")</f>
        <v>bsk0077@aceent.co.kr </v>
      </c>
      <c r="T63" s="21" t="str">
        <f aca="false">IFERROR(INDEX(종합!T$3:T$501,MATCH(ROW()-2,종합!$AB$3:$AB$501,0))&amp;"","")</f>
        <v>010-4874-2436 </v>
      </c>
      <c r="U63" s="21" t="str">
        <f aca="false">IFERROR(INDEX(종합!U$3:U$501,MATCH(ROW()-2,종합!$AB$3:$AB$501,0))&amp;"","")</f>
        <v>김병석</v>
      </c>
      <c r="V63" s="21" t="str">
        <f aca="false">IFERROR(INDEX(종합!V$3:V$501,MATCH(ROW()-2,종합!$AB$3:$AB$501,0))&amp;"","")</f>
        <v>연구본부</v>
      </c>
      <c r="W63" s="21" t="str">
        <f aca="false">IFERROR(INDEX(종합!W$3:W$501,MATCH(ROW()-2,종합!$AB$3:$AB$501,0))&amp;"","")</f>
        <v>이사/본부장</v>
      </c>
      <c r="X63" s="21" t="str">
        <f aca="false">IFERROR(INDEX(종합!X$3:X$501,MATCH(ROW()-2,종합!$AB$3:$AB$501,0))&amp;"","")</f>
        <v>010-4874-2436 </v>
      </c>
      <c r="Y63" s="21" t="str">
        <f aca="false">IFERROR(INDEX(종합!Y$3:Y$501,MATCH(ROW()-2,종합!$AB$3:$AB$501,0))&amp;"","")</f>
        <v>bsk0077@aceent.co.kr </v>
      </c>
      <c r="Z63" s="21" t="str">
        <f aca="false">IFERROR(INDEX(종합!Z$3:Z$501,MATCH(ROW()-2,종합!$AB$3:$AB$501,0))&amp;"","")</f>
        <v>010-4874-2436 </v>
      </c>
    </row>
    <row r="64" customFormat="false" ht="22.5" hidden="false" customHeight="true" outlineLevel="0" collapsed="false">
      <c r="A64" s="18" t="n">
        <f aca="false">IF(B64="","",ROW()-2)</f>
        <v>62</v>
      </c>
      <c r="B64" s="18" t="str">
        <f aca="false">IFERROR(INDEX(종합!B$3:B$501,MATCH(ROW()-2,종합!$AB$3:$AB$501,0))&amp;"","")</f>
        <v>이니그마(주)</v>
      </c>
      <c r="C64" s="18" t="str">
        <f aca="false">IFERROR(INDEX(종합!C$3:C$501,MATCH(ROW()-2,종합!$AB$3:$AB$501,0))&amp;"","")</f>
        <v>O</v>
      </c>
      <c r="D64" s="18" t="str">
        <f aca="false">IFERROR(INDEX(종합!D$3:D$501,MATCH(ROW()-2,종합!$AB$3:$AB$501,0))&amp;"","")</f>
        <v/>
      </c>
      <c r="E64" s="18" t="str">
        <f aca="false">IFERROR(INDEX(종합!E$3:E$501,MATCH(ROW()-2,종합!$AB$3:$AB$501,0))&amp;"","")</f>
        <v/>
      </c>
      <c r="F64" s="18" t="str">
        <f aca="false">IFERROR(INDEX(종합!F$3:F$501,MATCH(ROW()-2,종합!$AB$3:$AB$501,0))&amp;"","")</f>
        <v/>
      </c>
      <c r="G64" s="18" t="str">
        <f aca="false">IFERROR(INDEX(종합!G$3:G$501,MATCH(ROW()-2,종합!$AB$3:$AB$501,0))&amp;"","")</f>
        <v>중소기업</v>
      </c>
      <c r="H64" s="21" t="str">
        <f aca="false">IFERROR(INDEX(종합!H$3:H$501,MATCH(ROW()-2,종합!$AB$3:$AB$501,0))&amp;"","")</f>
        <v>140-81-62619</v>
      </c>
      <c r="I64" s="21" t="str">
        <f aca="false">IFERROR(INDEX(종합!I$3:I$501,MATCH(ROW()-2,종합!$AB$3:$AB$501,0))&amp;"","")</f>
        <v>임현진</v>
      </c>
      <c r="J64" s="21" t="str">
        <f aca="false">IFERROR(INDEX(종합!J$3:J$501,MATCH(ROW()-2,종합!$AB$3:$AB$501,0))&amp;"","")</f>
        <v>031-8039-7370</v>
      </c>
      <c r="K64" s="21" t="str">
        <f aca="false">IFERROR(INDEX(종합!K$3:K$501,MATCH(ROW()-2,종합!$AB$3:$AB$501,0))&amp;"","")</f>
        <v>www.enigma.so</v>
      </c>
      <c r="L64" s="21" t="str">
        <f aca="false">IFERROR(INDEX(종합!L$3:L$501,MATCH(ROW()-2,종합!$AB$3:$AB$501,0))&amp;"","")</f>
        <v>hyunjin.lim72@gmail.com</v>
      </c>
      <c r="M64" s="21" t="str">
        <f aca="false">IFERROR(INDEX(종합!M$3:M$501,MATCH(ROW()-2,종합!$AB$3:$AB$501,0))&amp;"","")</f>
        <v>경기도 성남시 수정구 창업로 54, 기업성장센터 527호</v>
      </c>
      <c r="N64" s="25" t="str">
        <f aca="false">IFERROR(INDEX(종합!N$3:N$501,MATCH(ROW()-2,종합!$AB$3:$AB$501,0))&amp;"","")</f>
        <v>지능형메시지 AI Agent</v>
      </c>
      <c r="O64" s="21" t="str">
        <f aca="false">IFERROR(INDEX(종합!O$3:O$501,MATCH(ROW()-2,종합!$AB$3:$AB$501,0))&amp;"","")</f>
        <v>임현진</v>
      </c>
      <c r="P64" s="21" t="str">
        <f aca="false">IFERROR(INDEX(종합!P$3:P$501,MATCH(ROW()-2,종합!$AB$3:$AB$501,0))&amp;"","")</f>
        <v>연구개발</v>
      </c>
      <c r="Q64" s="21" t="str">
        <f aca="false">IFERROR(INDEX(종합!Q$3:Q$501,MATCH(ROW()-2,종합!$AB$3:$AB$501,0))&amp;"","")</f>
        <v>대표</v>
      </c>
      <c r="R64" s="21" t="str">
        <f aca="false">IFERROR(INDEX(종합!R$3:R$501,MATCH(ROW()-2,종합!$AB$3:$AB$501,0))&amp;"","")</f>
        <v>031-8039-7370</v>
      </c>
      <c r="S64" s="21" t="str">
        <f aca="false">IFERROR(INDEX(종합!S$3:S$501,MATCH(ROW()-2,종합!$AB$3:$AB$501,0))&amp;"","")</f>
        <v>under_ground@daum.net</v>
      </c>
      <c r="T64" s="21" t="str">
        <f aca="false">IFERROR(INDEX(종합!T$3:T$501,MATCH(ROW()-2,종합!$AB$3:$AB$501,0))&amp;"","")</f>
        <v>010-9161-3635</v>
      </c>
      <c r="U64" s="21" t="str">
        <f aca="false">IFERROR(INDEX(종합!U$3:U$501,MATCH(ROW()-2,종합!$AB$3:$AB$501,0))&amp;"","")</f>
        <v>임현진</v>
      </c>
      <c r="V64" s="21" t="str">
        <f aca="false">IFERROR(INDEX(종합!V$3:V$501,MATCH(ROW()-2,종합!$AB$3:$AB$501,0))&amp;"","")</f>
        <v>연구개발</v>
      </c>
      <c r="W64" s="21" t="str">
        <f aca="false">IFERROR(INDEX(종합!W$3:W$501,MATCH(ROW()-2,종합!$AB$3:$AB$501,0))&amp;"","")</f>
        <v>대표</v>
      </c>
      <c r="X64" s="21" t="str">
        <f aca="false">IFERROR(INDEX(종합!X$3:X$501,MATCH(ROW()-2,종합!$AB$3:$AB$501,0))&amp;"","")</f>
        <v>031-8039-7370</v>
      </c>
      <c r="Y64" s="21" t="str">
        <f aca="false">IFERROR(INDEX(종합!Y$3:Y$501,MATCH(ROW()-2,종합!$AB$3:$AB$501,0))&amp;"","")</f>
        <v>under_ground@daum.net</v>
      </c>
      <c r="Z64" s="21" t="str">
        <f aca="false">IFERROR(INDEX(종합!Z$3:Z$501,MATCH(ROW()-2,종합!$AB$3:$AB$501,0))&amp;"","")</f>
        <v>010-9161-3635</v>
      </c>
    </row>
    <row r="65" customFormat="false" ht="47.25" hidden="false" customHeight="true" outlineLevel="0" collapsed="false">
      <c r="A65" s="18" t="n">
        <f aca="false">IF(B65="","",ROW()-2)</f>
        <v>63</v>
      </c>
      <c r="B65" s="18" t="str">
        <f aca="false">IFERROR(INDEX(종합!B$3:B$501,MATCH(ROW()-2,종합!$AB$3:$AB$501,0))&amp;"","")</f>
        <v>주식회사 이지서티</v>
      </c>
      <c r="C65" s="18" t="str">
        <f aca="false">IFERROR(INDEX(종합!C$3:C$501,MATCH(ROW()-2,종합!$AB$3:$AB$501,0))&amp;"","")</f>
        <v>O</v>
      </c>
      <c r="D65" s="18" t="str">
        <f aca="false">IFERROR(INDEX(종합!D$3:D$501,MATCH(ROW()-2,종합!$AB$3:$AB$501,0))&amp;"","")</f>
        <v/>
      </c>
      <c r="E65" s="18" t="str">
        <f aca="false">IFERROR(INDEX(종합!E$3:E$501,MATCH(ROW()-2,종합!$AB$3:$AB$501,0))&amp;"","")</f>
        <v/>
      </c>
      <c r="F65" s="18" t="str">
        <f aca="false">IFERROR(INDEX(종합!F$3:F$501,MATCH(ROW()-2,종합!$AB$3:$AB$501,0))&amp;"","")</f>
        <v/>
      </c>
      <c r="G65" s="18" t="str">
        <f aca="false">IFERROR(INDEX(종합!G$3:G$501,MATCH(ROW()-2,종합!$AB$3:$AB$501,0))&amp;"","")</f>
        <v>중소기업</v>
      </c>
      <c r="H65" s="21" t="str">
        <f aca="false">IFERROR(INDEX(종합!H$3:H$501,MATCH(ROW()-2,종합!$AB$3:$AB$501,0))&amp;"","")</f>
        <v>715-86-03253</v>
      </c>
      <c r="I65" s="21" t="str">
        <f aca="false">IFERROR(INDEX(종합!I$3:I$501,MATCH(ROW()-2,종합!$AB$3:$AB$501,0))&amp;"","")</f>
        <v>김동례</v>
      </c>
      <c r="J65" s="21" t="str">
        <f aca="false">IFERROR(INDEX(종합!J$3:J$501,MATCH(ROW()-2,종합!$AB$3:$AB$501,0))&amp;"","")</f>
        <v>02-865-5577</v>
      </c>
      <c r="K65" s="21" t="str">
        <f aca="false">IFERROR(INDEX(종합!K$3:K$501,MATCH(ROW()-2,종합!$AB$3:$AB$501,0))&amp;"","")</f>
        <v>www.easycerti.com</v>
      </c>
      <c r="L65" s="21" t="str">
        <f aca="false">IFERROR(INDEX(종합!L$3:L$501,MATCH(ROW()-2,종합!$AB$3:$AB$501,0))&amp;"","")</f>
        <v>easycerti.cs@gmail.com</v>
      </c>
      <c r="M65" s="21" t="str">
        <f aca="false">IFERROR(INDEX(종합!M$3:M$501,MATCH(ROW()-2,종합!$AB$3:$AB$501,0))&amp;"","")</f>
        <v>서울특별시 서초구 반포대로28길 39, 이지빌딩 3층, 4층</v>
      </c>
      <c r="N65" s="25" t="str">
        <f aca="false">IFERROR(INDEX(종합!N$3:N$501,MATCH(ROW()-2,종합!$AB$3:$AB$501,0))&amp;"","")</f>
        <v>지능형 소명관제 시스템, 지능형 실시간 탐지 개인정보 필터링 솔루션, 지능형 자동 가명결합 솔루션, 개인정보 접속기록관리 솔루션</v>
      </c>
      <c r="O65" s="21" t="str">
        <f aca="false">IFERROR(INDEX(종합!O$3:O$501,MATCH(ROW()-2,종합!$AB$3:$AB$501,0))&amp;"","")</f>
        <v>김동례</v>
      </c>
      <c r="P65" s="21" t="str">
        <f aca="false">IFERROR(INDEX(종합!P$3:P$501,MATCH(ROW()-2,종합!$AB$3:$AB$501,0))&amp;"","")</f>
        <v>대표이사</v>
      </c>
      <c r="Q65" s="21" t="str">
        <f aca="false">IFERROR(INDEX(종합!Q$3:Q$501,MATCH(ROW()-2,종합!$AB$3:$AB$501,0))&amp;"","")</f>
        <v>대표이사</v>
      </c>
      <c r="R65" s="21" t="str">
        <f aca="false">IFERROR(INDEX(종합!R$3:R$501,MATCH(ROW()-2,종합!$AB$3:$AB$501,0))&amp;"","")</f>
        <v>02-865-5577</v>
      </c>
      <c r="S65" s="21" t="str">
        <f aca="false">IFERROR(INDEX(종합!S$3:S$501,MATCH(ROW()-2,종합!$AB$3:$AB$501,0))&amp;"","")</f>
        <v>drkim@easycerti.com</v>
      </c>
      <c r="T65" s="21" t="str">
        <f aca="false">IFERROR(INDEX(종합!T$3:T$501,MATCH(ROW()-2,종합!$AB$3:$AB$501,0))&amp;"","")</f>
        <v>010-7133-7282</v>
      </c>
      <c r="U65" s="21" t="str">
        <f aca="false">IFERROR(INDEX(종합!U$3:U$501,MATCH(ROW()-2,종합!$AB$3:$AB$501,0))&amp;"","")</f>
        <v>김선재</v>
      </c>
      <c r="V65" s="21" t="str">
        <f aca="false">IFERROR(INDEX(종합!V$3:V$501,MATCH(ROW()-2,종합!$AB$3:$AB$501,0))&amp;"","")</f>
        <v>기획마케팅팀</v>
      </c>
      <c r="W65" s="21" t="str">
        <f aca="false">IFERROR(INDEX(종합!W$3:W$501,MATCH(ROW()-2,종합!$AB$3:$AB$501,0))&amp;"","")</f>
        <v>매니저</v>
      </c>
      <c r="X65" s="21" t="str">
        <f aca="false">IFERROR(INDEX(종합!X$3:X$501,MATCH(ROW()-2,종합!$AB$3:$AB$501,0))&amp;"","")</f>
        <v>02-865-5577</v>
      </c>
      <c r="Y65" s="21" t="str">
        <f aca="false">IFERROR(INDEX(종합!Y$3:Y$501,MATCH(ROW()-2,종합!$AB$3:$AB$501,0))&amp;"","")</f>
        <v>sjkim@easycerti.com</v>
      </c>
      <c r="Z65" s="21" t="str">
        <f aca="false">IFERROR(INDEX(종합!Z$3:Z$501,MATCH(ROW()-2,종합!$AB$3:$AB$501,0))&amp;"","")</f>
        <v>010-8603-1999</v>
      </c>
    </row>
    <row r="66" customFormat="false" ht="22.5" hidden="false" customHeight="true" outlineLevel="0" collapsed="false">
      <c r="A66" s="18" t="n">
        <f aca="false">IF(B66="","",ROW()-2)</f>
        <v>64</v>
      </c>
      <c r="B66" s="18" t="str">
        <f aca="false">IFERROR(INDEX(종합!B$3:B$501,MATCH(ROW()-2,종합!$AB$3:$AB$501,0))&amp;"","")</f>
        <v>(주)아이티스테이션</v>
      </c>
      <c r="C66" s="18" t="str">
        <f aca="false">IFERROR(INDEX(종합!C$3:C$501,MATCH(ROW()-2,종합!$AB$3:$AB$501,0))&amp;"","")</f>
        <v>O</v>
      </c>
      <c r="D66" s="18" t="str">
        <f aca="false">IFERROR(INDEX(종합!D$3:D$501,MATCH(ROW()-2,종합!$AB$3:$AB$501,0))&amp;"","")</f>
        <v/>
      </c>
      <c r="E66" s="18" t="str">
        <f aca="false">IFERROR(INDEX(종합!E$3:E$501,MATCH(ROW()-2,종합!$AB$3:$AB$501,0))&amp;"","")</f>
        <v/>
      </c>
      <c r="F66" s="18" t="str">
        <f aca="false">IFERROR(INDEX(종합!F$3:F$501,MATCH(ROW()-2,종합!$AB$3:$AB$501,0))&amp;"","")</f>
        <v/>
      </c>
      <c r="G66" s="18" t="str">
        <f aca="false">IFERROR(INDEX(종합!G$3:G$501,MATCH(ROW()-2,종합!$AB$3:$AB$501,0))&amp;"","")</f>
        <v>중소기업</v>
      </c>
      <c r="H66" s="21" t="str">
        <f aca="false">IFERROR(INDEX(종합!H$3:H$501,MATCH(ROW()-2,종합!$AB$3:$AB$501,0))&amp;"","")</f>
        <v>402-81-37774</v>
      </c>
      <c r="I66" s="21" t="str">
        <f aca="false">IFERROR(INDEX(종합!I$3:I$501,MATCH(ROW()-2,종합!$AB$3:$AB$501,0))&amp;"","")</f>
        <v>전석기</v>
      </c>
      <c r="J66" s="21" t="str">
        <f aca="false">IFERROR(INDEX(종합!J$3:J$501,MATCH(ROW()-2,종합!$AB$3:$AB$501,0))&amp;"","")</f>
        <v>010-4939-1550</v>
      </c>
      <c r="K66" s="21" t="str">
        <f aca="false">IFERROR(INDEX(종합!K$3:K$501,MATCH(ROW()-2,종합!$AB$3:$AB$501,0))&amp;"","")</f>
        <v>itst.co.kr</v>
      </c>
      <c r="L66" s="21" t="str">
        <f aca="false">IFERROR(INDEX(종합!L$3:L$501,MATCH(ROW()-2,종합!$AB$3:$AB$501,0))&amp;"","")</f>
        <v>junyoungso74@gmail.com</v>
      </c>
      <c r="M66" s="21" t="str">
        <f aca="false">IFERROR(INDEX(종합!M$3:M$501,MATCH(ROW()-2,종합!$AB$3:$AB$501,0))&amp;"","")</f>
        <v>전북 전주시 완산구 우전로 312 5층</v>
      </c>
      <c r="N66" s="25" t="str">
        <f aca="false">IFERROR(INDEX(종합!N$3:N$501,MATCH(ROW()-2,종합!$AB$3:$AB$501,0))&amp;"","")</f>
        <v>취약점 탐지 및 분석, 정보보호솔루션</v>
      </c>
      <c r="O66" s="21" t="str">
        <f aca="false">IFERROR(INDEX(종합!O$3:O$501,MATCH(ROW()-2,종합!$AB$3:$AB$501,0))&amp;"","")</f>
        <v>전석기</v>
      </c>
      <c r="P66" s="21" t="str">
        <f aca="false">IFERROR(INDEX(종합!P$3:P$501,MATCH(ROW()-2,종합!$AB$3:$AB$501,0))&amp;"","")</f>
        <v>대표이사</v>
      </c>
      <c r="Q66" s="21" t="str">
        <f aca="false">IFERROR(INDEX(종합!Q$3:Q$501,MATCH(ROW()-2,종합!$AB$3:$AB$501,0))&amp;"","")</f>
        <v>대표이사</v>
      </c>
      <c r="R66" s="21" t="str">
        <f aca="false">IFERROR(INDEX(종합!R$3:R$501,MATCH(ROW()-2,종합!$AB$3:$AB$501,0))&amp;"","")</f>
        <v>063-232-1550</v>
      </c>
      <c r="S66" s="21" t="str">
        <f aca="false">IFERROR(INDEX(종합!S$3:S$501,MATCH(ROW()-2,종합!$AB$3:$AB$501,0))&amp;"","")</f>
        <v>jsg@itst.co.kr</v>
      </c>
      <c r="T66" s="21" t="str">
        <f aca="false">IFERROR(INDEX(종합!T$3:T$501,MATCH(ROW()-2,종합!$AB$3:$AB$501,0))&amp;"","")</f>
        <v>010-4939-1550</v>
      </c>
      <c r="U66" s="21" t="str">
        <f aca="false">IFERROR(INDEX(종합!U$3:U$501,MATCH(ROW()-2,종합!$AB$3:$AB$501,0))&amp;"","")</f>
        <v>소준영</v>
      </c>
      <c r="V66" s="21" t="str">
        <f aca="false">IFERROR(INDEX(종합!V$3:V$501,MATCH(ROW()-2,종합!$AB$3:$AB$501,0))&amp;"","")</f>
        <v>선행기술연구소</v>
      </c>
      <c r="W66" s="21" t="str">
        <f aca="false">IFERROR(INDEX(종합!W$3:W$501,MATCH(ROW()-2,종합!$AB$3:$AB$501,0))&amp;"","")</f>
        <v>이사</v>
      </c>
      <c r="X66" s="21" t="str">
        <f aca="false">IFERROR(INDEX(종합!X$3:X$501,MATCH(ROW()-2,종합!$AB$3:$AB$501,0))&amp;"","")</f>
        <v>063-232-1550</v>
      </c>
      <c r="Y66" s="21" t="str">
        <f aca="false">IFERROR(INDEX(종합!Y$3:Y$501,MATCH(ROW()-2,종합!$AB$3:$AB$501,0))&amp;"","")</f>
        <v>sjy@itst.co.kr</v>
      </c>
      <c r="Z66" s="21" t="str">
        <f aca="false">IFERROR(INDEX(종합!Z$3:Z$501,MATCH(ROW()-2,종합!$AB$3:$AB$501,0))&amp;"","")</f>
        <v>010-4633-3123</v>
      </c>
    </row>
    <row r="67" customFormat="false" ht="22.5" hidden="false" customHeight="true" outlineLevel="0" collapsed="false">
      <c r="A67" s="18" t="n">
        <f aca="false">IF(B67="","",ROW()-2)</f>
        <v>65</v>
      </c>
      <c r="B67" s="18" t="str">
        <f aca="false">IFERROR(INDEX(종합!B$3:B$501,MATCH(ROW()-2,종합!$AB$3:$AB$501,0))&amp;"","")</f>
        <v>㈜ 타임소프트</v>
      </c>
      <c r="C67" s="18" t="str">
        <f aca="false">IFERROR(INDEX(종합!C$3:C$501,MATCH(ROW()-2,종합!$AB$3:$AB$501,0))&amp;"","")</f>
        <v>O</v>
      </c>
      <c r="D67" s="18" t="str">
        <f aca="false">IFERROR(INDEX(종합!D$3:D$501,MATCH(ROW()-2,종합!$AB$3:$AB$501,0))&amp;"","")</f>
        <v/>
      </c>
      <c r="E67" s="18" t="str">
        <f aca="false">IFERROR(INDEX(종합!E$3:E$501,MATCH(ROW()-2,종합!$AB$3:$AB$501,0))&amp;"","")</f>
        <v/>
      </c>
      <c r="F67" s="18" t="str">
        <f aca="false">IFERROR(INDEX(종합!F$3:F$501,MATCH(ROW()-2,종합!$AB$3:$AB$501,0))&amp;"","")</f>
        <v/>
      </c>
      <c r="G67" s="18" t="str">
        <f aca="false">IFERROR(INDEX(종합!G$3:G$501,MATCH(ROW()-2,종합!$AB$3:$AB$501,0))&amp;"","")</f>
        <v>중소기업</v>
      </c>
      <c r="H67" s="21" t="str">
        <f aca="false">IFERROR(INDEX(종합!H$3:H$501,MATCH(ROW()-2,종합!$AB$3:$AB$501,0))&amp;"","")</f>
        <v>106-86-18345</v>
      </c>
      <c r="I67" s="21" t="str">
        <f aca="false">IFERROR(INDEX(종합!I$3:I$501,MATCH(ROW()-2,종합!$AB$3:$AB$501,0))&amp;"","")</f>
        <v>김철희</v>
      </c>
      <c r="J67" s="21" t="str">
        <f aca="false">IFERROR(INDEX(종합!J$3:J$501,MATCH(ROW()-2,종합!$AB$3:$AB$501,0))&amp;"","")</f>
        <v>02-2029-5060</v>
      </c>
      <c r="K67" s="21" t="str">
        <f aca="false">IFERROR(INDEX(종합!K$3:K$501,MATCH(ROW()-2,종합!$AB$3:$AB$501,0))&amp;"","")</f>
        <v>www.timesoft.co.kr</v>
      </c>
      <c r="L67" s="21" t="str">
        <f aca="false">IFERROR(INDEX(종합!L$3:L$501,MATCH(ROW()-2,종합!$AB$3:$AB$501,0))&amp;"","")</f>
        <v>kimimseun@gmail.com</v>
      </c>
      <c r="M67" s="21" t="str">
        <f aca="false">IFERROR(INDEX(종합!M$3:M$501,MATCH(ROW()-2,종합!$AB$3:$AB$501,0))&amp;"","")</f>
        <v>서울 금천구 가산디지털1로 24, 대륭 13차 504호</v>
      </c>
      <c r="N67" s="25" t="str">
        <f aca="false">IFERROR(INDEX(종합!N$3:N$501,MATCH(ROW()-2,종합!$AB$3:$AB$501,0))&amp;"","")</f>
        <v>AI agent, AIoT, Bigdata, Blockchain(Mammoth data)</v>
      </c>
      <c r="O67" s="21" t="str">
        <f aca="false">IFERROR(INDEX(종합!O$3:O$501,MATCH(ROW()-2,종합!$AB$3:$AB$501,0))&amp;"","")</f>
        <v>양승환</v>
      </c>
      <c r="P67" s="21" t="str">
        <f aca="false">IFERROR(INDEX(종합!P$3:P$501,MATCH(ROW()-2,종합!$AB$3:$AB$501,0))&amp;"","")</f>
        <v>AX 사업부</v>
      </c>
      <c r="Q67" s="21" t="str">
        <f aca="false">IFERROR(INDEX(종합!Q$3:Q$501,MATCH(ROW()-2,종합!$AB$3:$AB$501,0))&amp;"","")</f>
        <v>전무이사</v>
      </c>
      <c r="R67" s="21" t="str">
        <f aca="false">IFERROR(INDEX(종합!R$3:R$501,MATCH(ROW()-2,종합!$AB$3:$AB$501,0))&amp;"","")</f>
        <v>010-4486-8859</v>
      </c>
      <c r="S67" s="21" t="str">
        <f aca="false">IFERROR(INDEX(종합!S$3:S$501,MATCH(ROW()-2,종합!$AB$3:$AB$501,0))&amp;"","")</f>
        <v>swyang@timesoft.co.kr</v>
      </c>
      <c r="T67" s="21" t="str">
        <f aca="false">IFERROR(INDEX(종합!T$3:T$501,MATCH(ROW()-2,종합!$AB$3:$AB$501,0))&amp;"","")</f>
        <v>010-4486-8859</v>
      </c>
      <c r="U67" s="21" t="str">
        <f aca="false">IFERROR(INDEX(종합!U$3:U$501,MATCH(ROW()-2,종합!$AB$3:$AB$501,0))&amp;"","")</f>
        <v>김임선</v>
      </c>
      <c r="V67" s="21" t="str">
        <f aca="false">IFERROR(INDEX(종합!V$3:V$501,MATCH(ROW()-2,종합!$AB$3:$AB$501,0))&amp;"","")</f>
        <v>AX 사업부</v>
      </c>
      <c r="W67" s="21" t="str">
        <f aca="false">IFERROR(INDEX(종합!W$3:W$501,MATCH(ROW()-2,종합!$AB$3:$AB$501,0))&amp;"","")</f>
        <v>책임</v>
      </c>
      <c r="X67" s="21" t="str">
        <f aca="false">IFERROR(INDEX(종합!X$3:X$501,MATCH(ROW()-2,종합!$AB$3:$AB$501,0))&amp;"","")</f>
        <v>010-6657-8158</v>
      </c>
      <c r="Y67" s="21" t="str">
        <f aca="false">IFERROR(INDEX(종합!Y$3:Y$501,MATCH(ROW()-2,종합!$AB$3:$AB$501,0))&amp;"","")</f>
        <v>kimimseun@timesoft.co.kr</v>
      </c>
      <c r="Z67" s="21" t="str">
        <f aca="false">IFERROR(INDEX(종합!Z$3:Z$501,MATCH(ROW()-2,종합!$AB$3:$AB$501,0))&amp;"","")</f>
        <v>010-4486-8859</v>
      </c>
    </row>
    <row r="68" customFormat="false" ht="22.5" hidden="false" customHeight="true" outlineLevel="0" collapsed="false">
      <c r="A68" s="18" t="n">
        <f aca="false">IF(B68="","",ROW()-2)</f>
        <v>66</v>
      </c>
      <c r="B68" s="18" t="str">
        <f aca="false">IFERROR(INDEX(종합!B$3:B$501,MATCH(ROW()-2,종합!$AB$3:$AB$501,0))&amp;"","")</f>
        <v>(주)소프트보울</v>
      </c>
      <c r="C68" s="18" t="str">
        <f aca="false">IFERROR(INDEX(종합!C$3:C$501,MATCH(ROW()-2,종합!$AB$3:$AB$501,0))&amp;"","")</f>
        <v>O</v>
      </c>
      <c r="D68" s="18" t="str">
        <f aca="false">IFERROR(INDEX(종합!D$3:D$501,MATCH(ROW()-2,종합!$AB$3:$AB$501,0))&amp;"","")</f>
        <v/>
      </c>
      <c r="E68" s="18" t="str">
        <f aca="false">IFERROR(INDEX(종합!E$3:E$501,MATCH(ROW()-2,종합!$AB$3:$AB$501,0))&amp;"","")</f>
        <v/>
      </c>
      <c r="F68" s="18" t="str">
        <f aca="false">IFERROR(INDEX(종합!F$3:F$501,MATCH(ROW()-2,종합!$AB$3:$AB$501,0))&amp;"","")</f>
        <v/>
      </c>
      <c r="G68" s="18" t="str">
        <f aca="false">IFERROR(INDEX(종합!G$3:G$501,MATCH(ROW()-2,종합!$AB$3:$AB$501,0))&amp;"","")</f>
        <v>중소기업</v>
      </c>
      <c r="H68" s="21" t="str">
        <f aca="false">IFERROR(INDEX(종합!H$3:H$501,MATCH(ROW()-2,종합!$AB$3:$AB$501,0))&amp;"","")</f>
        <v>120-87-98250</v>
      </c>
      <c r="I68" s="21" t="str">
        <f aca="false">IFERROR(INDEX(종합!I$3:I$501,MATCH(ROW()-2,종합!$AB$3:$AB$501,0))&amp;"","")</f>
        <v>이태규</v>
      </c>
      <c r="J68" s="21" t="str">
        <f aca="false">IFERROR(INDEX(종합!J$3:J$501,MATCH(ROW()-2,종합!$AB$3:$AB$501,0))&amp;"","")</f>
        <v>02-2038-3320</v>
      </c>
      <c r="K68" s="21" t="str">
        <f aca="false">IFERROR(INDEX(종합!K$3:K$501,MATCH(ROW()-2,종합!$AB$3:$AB$501,0))&amp;"","")</f>
        <v>www.softbowl.co.kr</v>
      </c>
      <c r="L68" s="21" t="str">
        <f aca="false">IFERROR(INDEX(종합!L$3:L$501,MATCH(ROW()-2,종합!$AB$3:$AB$501,0))&amp;"","")</f>
        <v>tobt73@gmail.com</v>
      </c>
      <c r="M68" s="21" t="str">
        <f aca="false">IFERROR(INDEX(종합!M$3:M$501,MATCH(ROW()-2,종합!$AB$3:$AB$501,0))&amp;"","")</f>
        <v>경기도 과천시 과천대로7길65, B동 518~520호</v>
      </c>
      <c r="N68" s="25" t="str">
        <f aca="false">IFERROR(INDEX(종합!N$3:N$501,MATCH(ROW()-2,종합!$AB$3:$AB$501,0))&amp;"","")</f>
        <v>UI/UX 툴_SBGrid / SBUx / SBChart / SBWrapDoc</v>
      </c>
      <c r="O68" s="21" t="str">
        <f aca="false">IFERROR(INDEX(종합!O$3:O$501,MATCH(ROW()-2,종합!$AB$3:$AB$501,0))&amp;"","")</f>
        <v>손현성</v>
      </c>
      <c r="P68" s="21" t="str">
        <f aca="false">IFERROR(INDEX(종합!P$3:P$501,MATCH(ROW()-2,종합!$AB$3:$AB$501,0))&amp;"","")</f>
        <v>기술연구소</v>
      </c>
      <c r="Q68" s="21" t="str">
        <f aca="false">IFERROR(INDEX(종합!Q$3:Q$501,MATCH(ROW()-2,종합!$AB$3:$AB$501,0))&amp;"","")</f>
        <v>이사</v>
      </c>
      <c r="R68" s="21" t="str">
        <f aca="false">IFERROR(INDEX(종합!R$3:R$501,MATCH(ROW()-2,종합!$AB$3:$AB$501,0))&amp;"","")</f>
        <v>02-2038-3320</v>
      </c>
      <c r="S68" s="21" t="str">
        <f aca="false">IFERROR(INDEX(종합!S$3:S$501,MATCH(ROW()-2,종합!$AB$3:$AB$501,0))&amp;"","")</f>
        <v> hsson@softbowl.co.kr</v>
      </c>
      <c r="T68" s="21" t="str">
        <f aca="false">IFERROR(INDEX(종합!T$3:T$501,MATCH(ROW()-2,종합!$AB$3:$AB$501,0))&amp;"","")</f>
        <v>010-2033-5375</v>
      </c>
      <c r="U68" s="21" t="str">
        <f aca="false">IFERROR(INDEX(종합!U$3:U$501,MATCH(ROW()-2,종합!$AB$3:$AB$501,0))&amp;"","")</f>
        <v>노정환</v>
      </c>
      <c r="V68" s="21" t="str">
        <f aca="false">IFERROR(INDEX(종합!V$3:V$501,MATCH(ROW()-2,종합!$AB$3:$AB$501,0))&amp;"","")</f>
        <v>기술연구소</v>
      </c>
      <c r="W68" s="21" t="str">
        <f aca="false">IFERROR(INDEX(종합!W$3:W$501,MATCH(ROW()-2,종합!$AB$3:$AB$501,0))&amp;"","")</f>
        <v>사원</v>
      </c>
      <c r="X68" s="21" t="str">
        <f aca="false">IFERROR(INDEX(종합!X$3:X$501,MATCH(ROW()-2,종합!$AB$3:$AB$501,0))&amp;"","")</f>
        <v>02-2038-3320</v>
      </c>
      <c r="Y68" s="21" t="str">
        <f aca="false">IFERROR(INDEX(종합!Y$3:Y$501,MATCH(ROW()-2,종합!$AB$3:$AB$501,0))&amp;"","")</f>
        <v> companyofpotato@softbowl.co.kr</v>
      </c>
      <c r="Z68" s="21" t="str">
        <f aca="false">IFERROR(INDEX(종합!Z$3:Z$501,MATCH(ROW()-2,종합!$AB$3:$AB$501,0))&amp;"","")</f>
        <v>010-4094-4499</v>
      </c>
    </row>
    <row r="69" customFormat="false" ht="33.75" hidden="false" customHeight="true" outlineLevel="0" collapsed="false">
      <c r="A69" s="18" t="n">
        <f aca="false">IF(B69="","",ROW()-2)</f>
        <v>67</v>
      </c>
      <c r="B69" s="18" t="str">
        <f aca="false">IFERROR(INDEX(종합!B$3:B$501,MATCH(ROW()-2,종합!$AB$3:$AB$501,0))&amp;"","")</f>
        <v>(주)한국플랫폼서비스기술</v>
      </c>
      <c r="C69" s="18" t="str">
        <f aca="false">IFERROR(INDEX(종합!C$3:C$501,MATCH(ROW()-2,종합!$AB$3:$AB$501,0))&amp;"","")</f>
        <v>O</v>
      </c>
      <c r="D69" s="18" t="str">
        <f aca="false">IFERROR(INDEX(종합!D$3:D$501,MATCH(ROW()-2,종합!$AB$3:$AB$501,0))&amp;"","")</f>
        <v/>
      </c>
      <c r="E69" s="18" t="str">
        <f aca="false">IFERROR(INDEX(종합!E$3:E$501,MATCH(ROW()-2,종합!$AB$3:$AB$501,0))&amp;"","")</f>
        <v/>
      </c>
      <c r="F69" s="18" t="str">
        <f aca="false">IFERROR(INDEX(종합!F$3:F$501,MATCH(ROW()-2,종합!$AB$3:$AB$501,0))&amp;"","")</f>
        <v/>
      </c>
      <c r="G69" s="18" t="str">
        <f aca="false">IFERROR(INDEX(종합!G$3:G$501,MATCH(ROW()-2,종합!$AB$3:$AB$501,0))&amp;"","")</f>
        <v>중소기업</v>
      </c>
      <c r="H69" s="21" t="str">
        <f aca="false">IFERROR(INDEX(종합!H$3:H$501,MATCH(ROW()-2,종합!$AB$3:$AB$501,0))&amp;"","")</f>
        <v>314-86-18913</v>
      </c>
      <c r="I69" s="21" t="str">
        <f aca="false">IFERROR(INDEX(종합!I$3:I$501,MATCH(ROW()-2,종합!$AB$3:$AB$501,0))&amp;"","")</f>
        <v>이준혁</v>
      </c>
      <c r="J69" s="21" t="str">
        <f aca="false">IFERROR(INDEX(종합!J$3:J$501,MATCH(ROW()-2,종합!$AB$3:$AB$501,0))&amp;"","")</f>
        <v>042-489-1722</v>
      </c>
      <c r="K69" s="21" t="str">
        <f aca="false">IFERROR(INDEX(종합!K$3:K$501,MATCH(ROW()-2,종합!$AB$3:$AB$501,0))&amp;"","")</f>
        <v>https://www.kpst.co.kr/</v>
      </c>
      <c r="L69" s="21" t="str">
        <f aca="false">IFERROR(INDEX(종합!L$3:L$501,MATCH(ROW()-2,종합!$AB$3:$AB$501,0))&amp;"","")</f>
        <v>dkf2115@kpst.co.kr</v>
      </c>
      <c r="M69" s="21" t="str">
        <f aca="false">IFERROR(INDEX(종합!M$3:M$501,MATCH(ROW()-2,종합!$AB$3:$AB$501,0))&amp;"","")</f>
        <v>대전 서구 청사로 148,508호</v>
      </c>
      <c r="N69" s="25" t="str">
        <f aca="false">IFERROR(INDEX(종합!N$3:N$501,MATCH(ROW()-2,종합!$AB$3:$AB$501,0))&amp;"","")</f>
        <v>AI 워크플로우 및 통합 학습 솔루션 , 산업안전 통합 분석 솔루션 , 영상정보 개인정보 비식별화 솔루션</v>
      </c>
      <c r="O69" s="21" t="str">
        <f aca="false">IFERROR(INDEX(종합!O$3:O$501,MATCH(ROW()-2,종합!$AB$3:$AB$501,0))&amp;"","")</f>
        <v>이준혁</v>
      </c>
      <c r="P69" s="21" t="str">
        <f aca="false">IFERROR(INDEX(종합!P$3:P$501,MATCH(ROW()-2,종합!$AB$3:$AB$501,0))&amp;"","")</f>
        <v>개발부</v>
      </c>
      <c r="Q69" s="21" t="str">
        <f aca="false">IFERROR(INDEX(종합!Q$3:Q$501,MATCH(ROW()-2,종합!$AB$3:$AB$501,0))&amp;"","")</f>
        <v>대표이사</v>
      </c>
      <c r="R69" s="21" t="str">
        <f aca="false">IFERROR(INDEX(종합!R$3:R$501,MATCH(ROW()-2,종합!$AB$3:$AB$501,0))&amp;"","")</f>
        <v>010-5406-1703</v>
      </c>
      <c r="S69" s="21" t="str">
        <f aca="false">IFERROR(INDEX(종합!S$3:S$501,MATCH(ROW()-2,종합!$AB$3:$AB$501,0))&amp;"","")</f>
        <v>jun@kpst.co.kr</v>
      </c>
      <c r="T69" s="21" t="str">
        <f aca="false">IFERROR(INDEX(종합!T$3:T$501,MATCH(ROW()-2,종합!$AB$3:$AB$501,0))&amp;"","")</f>
        <v>010-5406-1703</v>
      </c>
      <c r="U69" s="21" t="str">
        <f aca="false">IFERROR(INDEX(종합!U$3:U$501,MATCH(ROW()-2,종합!$AB$3:$AB$501,0))&amp;"","")</f>
        <v>정혜진</v>
      </c>
      <c r="V69" s="21" t="str">
        <f aca="false">IFERROR(INDEX(종합!V$3:V$501,MATCH(ROW()-2,종합!$AB$3:$AB$501,0))&amp;"","")</f>
        <v>관리부</v>
      </c>
      <c r="W69" s="21" t="str">
        <f aca="false">IFERROR(INDEX(종합!W$3:W$501,MATCH(ROW()-2,종합!$AB$3:$AB$501,0))&amp;"","")</f>
        <v>대리</v>
      </c>
      <c r="X69" s="21" t="str">
        <f aca="false">IFERROR(INDEX(종합!X$3:X$501,MATCH(ROW()-2,종합!$AB$3:$AB$501,0))&amp;"","")</f>
        <v>042-489-1722</v>
      </c>
      <c r="Y69" s="21" t="str">
        <f aca="false">IFERROR(INDEX(종합!Y$3:Y$501,MATCH(ROW()-2,종합!$AB$3:$AB$501,0))&amp;"","")</f>
        <v>dkf2115@kpst.co.kr</v>
      </c>
      <c r="Z69" s="21" t="str">
        <f aca="false">IFERROR(INDEX(종합!Z$3:Z$501,MATCH(ROW()-2,종합!$AB$3:$AB$501,0))&amp;"","")</f>
        <v>010-5796-2428</v>
      </c>
    </row>
    <row r="70" customFormat="false" ht="22.5" hidden="false" customHeight="true" outlineLevel="0" collapsed="false">
      <c r="A70" s="18" t="n">
        <f aca="false">IF(B70="","",ROW()-2)</f>
        <v>68</v>
      </c>
      <c r="B70" s="18" t="str">
        <f aca="false">IFERROR(INDEX(종합!B$3:B$501,MATCH(ROW()-2,종합!$AB$3:$AB$501,0))&amp;"","")</f>
        <v>주식회사 파수 </v>
      </c>
      <c r="C70" s="18" t="str">
        <f aca="false">IFERROR(INDEX(종합!C$3:C$501,MATCH(ROW()-2,종합!$AB$3:$AB$501,0))&amp;"","")</f>
        <v>O</v>
      </c>
      <c r="D70" s="18" t="str">
        <f aca="false">IFERROR(INDEX(종합!D$3:D$501,MATCH(ROW()-2,종합!$AB$3:$AB$501,0))&amp;"","")</f>
        <v/>
      </c>
      <c r="E70" s="18" t="str">
        <f aca="false">IFERROR(INDEX(종합!E$3:E$501,MATCH(ROW()-2,종합!$AB$3:$AB$501,0))&amp;"","")</f>
        <v/>
      </c>
      <c r="F70" s="18" t="str">
        <f aca="false">IFERROR(INDEX(종합!F$3:F$501,MATCH(ROW()-2,종합!$AB$3:$AB$501,0))&amp;"","")</f>
        <v/>
      </c>
      <c r="G70" s="18" t="str">
        <f aca="false">IFERROR(INDEX(종합!G$3:G$501,MATCH(ROW()-2,종합!$AB$3:$AB$501,0))&amp;"","")</f>
        <v>중소기업</v>
      </c>
      <c r="H70" s="21" t="str">
        <f aca="false">IFERROR(INDEX(종합!H$3:H$501,MATCH(ROW()-2,종합!$AB$3:$AB$501,0))&amp;"","")</f>
        <v>120-86-06582</v>
      </c>
      <c r="I70" s="21" t="str">
        <f aca="false">IFERROR(INDEX(종합!I$3:I$501,MATCH(ROW()-2,종합!$AB$3:$AB$501,0))&amp;"","")</f>
        <v>조규곤</v>
      </c>
      <c r="J70" s="21" t="str">
        <f aca="false">IFERROR(INDEX(종합!J$3:J$501,MATCH(ROW()-2,종합!$AB$3:$AB$501,0))&amp;"","")</f>
        <v>02-300-9300</v>
      </c>
      <c r="K70" s="21" t="str">
        <f aca="false">IFERROR(INDEX(종합!K$3:K$501,MATCH(ROW()-2,종합!$AB$3:$AB$501,0))&amp;"","")</f>
        <v>www.fasoo.com</v>
      </c>
      <c r="L70" s="21" t="str">
        <f aca="false">IFERROR(INDEX(종합!L$3:L$501,MATCH(ROW()-2,종합!$AB$3:$AB$501,0))&amp;"","")</f>
        <v>cwsgood20@gmail.com</v>
      </c>
      <c r="M70" s="21" t="str">
        <f aca="false">IFERROR(INDEX(종합!M$3:M$501,MATCH(ROW()-2,종합!$AB$3:$AB$501,0))&amp;"","")</f>
        <v>서울특별시 마포구 월드컵북로 396, 누리꿈스퀘어 비즈니스타워 17층, 03925</v>
      </c>
      <c r="N70" s="25" t="str">
        <f aca="false">IFERROR(INDEX(종합!N$3:N$501,MATCH(ROW()-2,종합!$AB$3:$AB$501,0))&amp;"","")</f>
        <v> eLLM </v>
      </c>
      <c r="O70" s="21" t="str">
        <f aca="false">IFERROR(INDEX(종합!O$3:O$501,MATCH(ROW()-2,종합!$AB$3:$AB$501,0))&amp;"","")</f>
        <v>최우선</v>
      </c>
      <c r="P70" s="21" t="str">
        <f aca="false">IFERROR(INDEX(종합!P$3:P$501,MATCH(ROW()-2,종합!$AB$3:$AB$501,0))&amp;"","")</f>
        <v>사업전략팀</v>
      </c>
      <c r="Q70" s="21" t="str">
        <f aca="false">IFERROR(INDEX(종합!Q$3:Q$501,MATCH(ROW()-2,종합!$AB$3:$AB$501,0))&amp;"","")</f>
        <v>팀장</v>
      </c>
      <c r="R70" s="21" t="str">
        <f aca="false">IFERROR(INDEX(종합!R$3:R$501,MATCH(ROW()-2,종합!$AB$3:$AB$501,0))&amp;"","")</f>
        <v>02-300-9122</v>
      </c>
      <c r="S70" s="21" t="str">
        <f aca="false">IFERROR(INDEX(종합!S$3:S$501,MATCH(ROW()-2,종합!$AB$3:$AB$501,0))&amp;"","")</f>
        <v>cwsgood@fasoo.com</v>
      </c>
      <c r="T70" s="21" t="str">
        <f aca="false">IFERROR(INDEX(종합!T$3:T$501,MATCH(ROW()-2,종합!$AB$3:$AB$501,0))&amp;"","")</f>
        <v>010-8266-5929</v>
      </c>
      <c r="U70" s="21" t="str">
        <f aca="false">IFERROR(INDEX(종합!U$3:U$501,MATCH(ROW()-2,종합!$AB$3:$AB$501,0))&amp;"","")</f>
        <v>최재호</v>
      </c>
      <c r="V70" s="21" t="str">
        <f aca="false">IFERROR(INDEX(종합!V$3:V$501,MATCH(ROW()-2,종합!$AB$3:$AB$501,0))&amp;"","")</f>
        <v>사업전략팀</v>
      </c>
      <c r="W70" s="21" t="str">
        <f aca="false">IFERROR(INDEX(종합!W$3:W$501,MATCH(ROW()-2,종합!$AB$3:$AB$501,0))&amp;"","")</f>
        <v>부장</v>
      </c>
      <c r="X70" s="21" t="str">
        <f aca="false">IFERROR(INDEX(종합!X$3:X$501,MATCH(ROW()-2,종합!$AB$3:$AB$501,0))&amp;"","")</f>
        <v>02-300-9133</v>
      </c>
      <c r="Y70" s="21" t="str">
        <f aca="false">IFERROR(INDEX(종합!Y$3:Y$501,MATCH(ROW()-2,종합!$AB$3:$AB$501,0))&amp;"","")</f>
        <v>jhchoi@fasoo.com</v>
      </c>
      <c r="Z70" s="21" t="str">
        <f aca="false">IFERROR(INDEX(종합!Z$3:Z$501,MATCH(ROW()-2,종합!$AB$3:$AB$501,0))&amp;"","")</f>
        <v>010-9764-6767</v>
      </c>
    </row>
    <row r="71" customFormat="false" ht="22.5" hidden="false" customHeight="true" outlineLevel="0" collapsed="false">
      <c r="A71" s="18" t="n">
        <f aca="false">IF(B71="","",ROW()-2)</f>
        <v>69</v>
      </c>
      <c r="B71" s="18" t="str">
        <f aca="false">IFERROR(INDEX(종합!B$3:B$501,MATCH(ROW()-2,종합!$AB$3:$AB$501,0))&amp;"","")</f>
        <v>주식회사 인스웨이브시스템즈</v>
      </c>
      <c r="C71" s="18" t="str">
        <f aca="false">IFERROR(INDEX(종합!C$3:C$501,MATCH(ROW()-2,종합!$AB$3:$AB$501,0))&amp;"","")</f>
        <v>O</v>
      </c>
      <c r="D71" s="18" t="str">
        <f aca="false">IFERROR(INDEX(종합!D$3:D$501,MATCH(ROW()-2,종합!$AB$3:$AB$501,0))&amp;"","")</f>
        <v/>
      </c>
      <c r="E71" s="18" t="str">
        <f aca="false">IFERROR(INDEX(종합!E$3:E$501,MATCH(ROW()-2,종합!$AB$3:$AB$501,0))&amp;"","")</f>
        <v/>
      </c>
      <c r="F71" s="18" t="str">
        <f aca="false">IFERROR(INDEX(종합!F$3:F$501,MATCH(ROW()-2,종합!$AB$3:$AB$501,0))&amp;"","")</f>
        <v/>
      </c>
      <c r="G71" s="18" t="str">
        <f aca="false">IFERROR(INDEX(종합!G$3:G$501,MATCH(ROW()-2,종합!$AB$3:$AB$501,0))&amp;"","")</f>
        <v>중소기업</v>
      </c>
      <c r="H71" s="21" t="str">
        <f aca="false">IFERROR(INDEX(종합!H$3:H$501,MATCH(ROW()-2,종합!$AB$3:$AB$501,0))&amp;"","")</f>
        <v>107-86-16054</v>
      </c>
      <c r="I71" s="21" t="str">
        <f aca="false">IFERROR(INDEX(종합!I$3:I$501,MATCH(ROW()-2,종합!$AB$3:$AB$501,0))&amp;"","")</f>
        <v>어세룡</v>
      </c>
      <c r="J71" s="21" t="str">
        <f aca="false">IFERROR(INDEX(종합!J$3:J$501,MATCH(ROW()-2,종합!$AB$3:$AB$501,0))&amp;"","")</f>
        <v>02-2082-1400</v>
      </c>
      <c r="K71" s="21" t="str">
        <f aca="false">IFERROR(INDEX(종합!K$3:K$501,MATCH(ROW()-2,종합!$AB$3:$AB$501,0))&amp;"","")</f>
        <v>https://www.inswave.com</v>
      </c>
      <c r="L71" s="21" t="str">
        <f aca="false">IFERROR(INDEX(종합!L$3:L$501,MATCH(ROW()-2,종합!$AB$3:$AB$501,0))&amp;"","")</f>
        <v>heyji@inswave.com</v>
      </c>
      <c r="M71" s="21" t="str">
        <f aca="false">IFERROR(INDEX(종합!M$3:M$501,MATCH(ROW()-2,종합!$AB$3:$AB$501,0))&amp;"","")</f>
        <v>서울특별시 영등포구 여의도동 국제금융로 39 앵커원 20층</v>
      </c>
      <c r="N71" s="25" t="str">
        <f aca="false">IFERROR(INDEX(종합!N$3:N$501,MATCH(ROW()-2,종합!$AB$3:$AB$501,0))&amp;"","")</f>
        <v>소프트웨어 개발 / 웹스퀘어AI(WebSquare AI)</v>
      </c>
      <c r="O71" s="21" t="str">
        <f aca="false">IFERROR(INDEX(종합!O$3:O$501,MATCH(ROW()-2,종합!$AB$3:$AB$501,0))&amp;"","")</f>
        <v>김욱래</v>
      </c>
      <c r="P71" s="21" t="str">
        <f aca="false">IFERROR(INDEX(종합!P$3:P$501,MATCH(ROW()-2,종합!$AB$3:$AB$501,0))&amp;"","")</f>
        <v>CTO</v>
      </c>
      <c r="Q71" s="21" t="str">
        <f aca="false">IFERROR(INDEX(종합!Q$3:Q$501,MATCH(ROW()-2,종합!$AB$3:$AB$501,0))&amp;"","")</f>
        <v>전무</v>
      </c>
      <c r="R71" s="21" t="str">
        <f aca="false">IFERROR(INDEX(종합!R$3:R$501,MATCH(ROW()-2,종합!$AB$3:$AB$501,0))&amp;"","")</f>
        <v>010-3791-6175</v>
      </c>
      <c r="S71" s="21" t="str">
        <f aca="false">IFERROR(INDEX(종합!S$3:S$501,MATCH(ROW()-2,종합!$AB$3:$AB$501,0))&amp;"","")</f>
        <v>wlkim@inswave.com</v>
      </c>
      <c r="T71" s="21" t="str">
        <f aca="false">IFERROR(INDEX(종합!T$3:T$501,MATCH(ROW()-2,종합!$AB$3:$AB$501,0))&amp;"","")</f>
        <v>010-3791-6175</v>
      </c>
      <c r="U71" s="21" t="str">
        <f aca="false">IFERROR(INDEX(종합!U$3:U$501,MATCH(ROW()-2,종합!$AB$3:$AB$501,0))&amp;"","")</f>
        <v>윤성민</v>
      </c>
      <c r="V71" s="21" t="str">
        <f aca="false">IFERROR(INDEX(종합!V$3:V$501,MATCH(ROW()-2,종합!$AB$3:$AB$501,0))&amp;"","")</f>
        <v>마케팅프리세일즈</v>
      </c>
      <c r="W71" s="21" t="str">
        <f aca="false">IFERROR(INDEX(종합!W$3:W$501,MATCH(ROW()-2,종합!$AB$3:$AB$501,0))&amp;"","")</f>
        <v>프로</v>
      </c>
      <c r="X71" s="21" t="str">
        <f aca="false">IFERROR(INDEX(종합!X$3:X$501,MATCH(ROW()-2,종합!$AB$3:$AB$501,0))&amp;"","")</f>
        <v>010-7221-4625</v>
      </c>
      <c r="Y71" s="21" t="str">
        <f aca="false">IFERROR(INDEX(종합!Y$3:Y$501,MATCH(ROW()-2,종합!$AB$3:$AB$501,0))&amp;"","")</f>
        <v>tjdals1502@inswave.com</v>
      </c>
      <c r="Z71" s="21" t="str">
        <f aca="false">IFERROR(INDEX(종합!Z$3:Z$501,MATCH(ROW()-2,종합!$AB$3:$AB$501,0))&amp;"","")</f>
        <v>010-7221-4625</v>
      </c>
    </row>
    <row r="72" customFormat="false" ht="22.5" hidden="false" customHeight="true" outlineLevel="0" collapsed="false">
      <c r="A72" s="18" t="n">
        <f aca="false">IF(B72="","",ROW()-2)</f>
        <v>70</v>
      </c>
      <c r="B72" s="18" t="str">
        <f aca="false">IFERROR(INDEX(종합!B$3:B$501,MATCH(ROW()-2,종합!$AB$3:$AB$501,0))&amp;"","")</f>
        <v>주식회사 아이브</v>
      </c>
      <c r="C72" s="18" t="str">
        <f aca="false">IFERROR(INDEX(종합!C$3:C$501,MATCH(ROW()-2,종합!$AB$3:$AB$501,0))&amp;"","")</f>
        <v>O</v>
      </c>
      <c r="D72" s="18" t="str">
        <f aca="false">IFERROR(INDEX(종합!D$3:D$501,MATCH(ROW()-2,종합!$AB$3:$AB$501,0))&amp;"","")</f>
        <v/>
      </c>
      <c r="E72" s="18" t="str">
        <f aca="false">IFERROR(INDEX(종합!E$3:E$501,MATCH(ROW()-2,종합!$AB$3:$AB$501,0))&amp;"","")</f>
        <v/>
      </c>
      <c r="F72" s="18" t="str">
        <f aca="false">IFERROR(INDEX(종합!F$3:F$501,MATCH(ROW()-2,종합!$AB$3:$AB$501,0))&amp;"","")</f>
        <v/>
      </c>
      <c r="G72" s="18" t="str">
        <f aca="false">IFERROR(INDEX(종합!G$3:G$501,MATCH(ROW()-2,종합!$AB$3:$AB$501,0))&amp;"","")</f>
        <v>중소기업</v>
      </c>
      <c r="H72" s="21" t="str">
        <f aca="false">IFERROR(INDEX(종합!H$3:H$501,MATCH(ROW()-2,종합!$AB$3:$AB$501,0))&amp;"","")</f>
        <v>172-86-03136</v>
      </c>
      <c r="I72" s="21" t="str">
        <f aca="false">IFERROR(INDEX(종합!I$3:I$501,MATCH(ROW()-2,종합!$AB$3:$AB$501,0))&amp;"","")</f>
        <v>박세진</v>
      </c>
      <c r="J72" s="21" t="str">
        <f aca="false">IFERROR(INDEX(종합!J$3:J$501,MATCH(ROW()-2,종합!$AB$3:$AB$501,0))&amp;"","")</f>
        <v>053-285-0119</v>
      </c>
      <c r="K72" s="21" t="str">
        <f aca="false">IFERROR(INDEX(종합!K$3:K$501,MATCH(ROW()-2,종합!$AB$3:$AB$501,0))&amp;"","")</f>
        <v>www.aieev.com</v>
      </c>
      <c r="L72" s="21" t="str">
        <f aca="false">IFERROR(INDEX(종합!L$3:L$501,MATCH(ROW()-2,종합!$AB$3:$AB$501,0))&amp;"","")</f>
        <v>hellokimtty@gmail.com</v>
      </c>
      <c r="M72" s="21" t="str">
        <f aca="false">IFERROR(INDEX(종합!M$3:M$501,MATCH(ROW()-2,종합!$AB$3:$AB$501,0))&amp;"","")</f>
        <v>대구광역시 수성구 유니버시아드로 119, 1층 101호</v>
      </c>
      <c r="N72" s="25" t="str">
        <f aca="false">IFERROR(INDEX(종합!N$3:N$501,MATCH(ROW()-2,종합!$AB$3:$AB$501,0))&amp;"","")</f>
        <v>AI 클라우드</v>
      </c>
      <c r="O72" s="21" t="str">
        <f aca="false">IFERROR(INDEX(종합!O$3:O$501,MATCH(ROW()-2,종합!$AB$3:$AB$501,0))&amp;"","")</f>
        <v>박세진</v>
      </c>
      <c r="P72" s="21" t="str">
        <f aca="false">IFERROR(INDEX(종합!P$3:P$501,MATCH(ROW()-2,종합!$AB$3:$AB$501,0))&amp;"","")</f>
        <v>HQ</v>
      </c>
      <c r="Q72" s="21" t="str">
        <f aca="false">IFERROR(INDEX(종합!Q$3:Q$501,MATCH(ROW()-2,종합!$AB$3:$AB$501,0))&amp;"","")</f>
        <v>대표</v>
      </c>
      <c r="R72" s="21" t="str">
        <f aca="false">IFERROR(INDEX(종합!R$3:R$501,MATCH(ROW()-2,종합!$AB$3:$AB$501,0))&amp;"","")</f>
        <v>053-285-0119</v>
      </c>
      <c r="S72" s="21" t="str">
        <f aca="false">IFERROR(INDEX(종합!S$3:S$501,MATCH(ROW()-2,종합!$AB$3:$AB$501,0))&amp;"","")</f>
        <v>sejin@aieev.com</v>
      </c>
      <c r="T72" s="21" t="str">
        <f aca="false">IFERROR(INDEX(종합!T$3:T$501,MATCH(ROW()-2,종합!$AB$3:$AB$501,0))&amp;"","")</f>
        <v>010-2527-5012</v>
      </c>
      <c r="U72" s="21" t="str">
        <f aca="false">IFERROR(INDEX(종합!U$3:U$501,MATCH(ROW()-2,종합!$AB$3:$AB$501,0))&amp;"","")</f>
        <v>김현경</v>
      </c>
      <c r="V72" s="21" t="str">
        <f aca="false">IFERROR(INDEX(종합!V$3:V$501,MATCH(ROW()-2,종합!$AB$3:$AB$501,0))&amp;"","")</f>
        <v>사업전략</v>
      </c>
      <c r="W72" s="21" t="str">
        <f aca="false">IFERROR(INDEX(종합!W$3:W$501,MATCH(ROW()-2,종합!$AB$3:$AB$501,0))&amp;"","")</f>
        <v>리드</v>
      </c>
      <c r="X72" s="21" t="str">
        <f aca="false">IFERROR(INDEX(종합!X$3:X$501,MATCH(ROW()-2,종합!$AB$3:$AB$501,0))&amp;"","")</f>
        <v>053-285-0119</v>
      </c>
      <c r="Y72" s="21" t="str">
        <f aca="false">IFERROR(INDEX(종합!Y$3:Y$501,MATCH(ROW()-2,종합!$AB$3:$AB$501,0))&amp;"","")</f>
        <v>hk.kim@aieev.com</v>
      </c>
      <c r="Z72" s="21" t="str">
        <f aca="false">IFERROR(INDEX(종합!Z$3:Z$501,MATCH(ROW()-2,종합!$AB$3:$AB$501,0))&amp;"","")</f>
        <v>010-9888-4696</v>
      </c>
    </row>
    <row r="73" customFormat="false" ht="22.5" hidden="false" customHeight="true" outlineLevel="0" collapsed="false">
      <c r="A73" s="18" t="n">
        <f aca="false">IF(B73="","",ROW()-2)</f>
        <v>71</v>
      </c>
      <c r="B73" s="18" t="str">
        <f aca="false">IFERROR(INDEX(종합!B$3:B$501,MATCH(ROW()-2,종합!$AB$3:$AB$501,0))&amp;"","")</f>
        <v>소프트자이온</v>
      </c>
      <c r="C73" s="18" t="str">
        <f aca="false">IFERROR(INDEX(종합!C$3:C$501,MATCH(ROW()-2,종합!$AB$3:$AB$501,0))&amp;"","")</f>
        <v>O</v>
      </c>
      <c r="D73" s="18" t="str">
        <f aca="false">IFERROR(INDEX(종합!D$3:D$501,MATCH(ROW()-2,종합!$AB$3:$AB$501,0))&amp;"","")</f>
        <v/>
      </c>
      <c r="E73" s="18" t="str">
        <f aca="false">IFERROR(INDEX(종합!E$3:E$501,MATCH(ROW()-2,종합!$AB$3:$AB$501,0))&amp;"","")</f>
        <v/>
      </c>
      <c r="F73" s="18" t="str">
        <f aca="false">IFERROR(INDEX(종합!F$3:F$501,MATCH(ROW()-2,종합!$AB$3:$AB$501,0))&amp;"","")</f>
        <v/>
      </c>
      <c r="G73" s="18" t="str">
        <f aca="false">IFERROR(INDEX(종합!G$3:G$501,MATCH(ROW()-2,종합!$AB$3:$AB$501,0))&amp;"","")</f>
        <v>중소기업</v>
      </c>
      <c r="H73" s="21" t="str">
        <f aca="false">IFERROR(INDEX(종합!H$3:H$501,MATCH(ROW()-2,종합!$AB$3:$AB$501,0))&amp;"","")</f>
        <v>107-87-70962</v>
      </c>
      <c r="I73" s="21" t="str">
        <f aca="false">IFERROR(INDEX(종합!I$3:I$501,MATCH(ROW()-2,종합!$AB$3:$AB$501,0))&amp;"","")</f>
        <v>이준호</v>
      </c>
      <c r="J73" s="21" t="str">
        <f aca="false">IFERROR(INDEX(종합!J$3:J$501,MATCH(ROW()-2,종합!$AB$3:$AB$501,0))&amp;"","")</f>
        <v>02-6925-0503</v>
      </c>
      <c r="K73" s="21" t="str">
        <f aca="false">IFERROR(INDEX(종합!K$3:K$501,MATCH(ROW()-2,종합!$AB$3:$AB$501,0))&amp;"","")</f>
        <v>https://kr.softzion.com/</v>
      </c>
      <c r="L73" s="21" t="str">
        <f aca="false">IFERROR(INDEX(종합!L$3:L$501,MATCH(ROW()-2,종합!$AB$3:$AB$501,0))&amp;"","")</f>
        <v>stately@gmail.com</v>
      </c>
      <c r="M73" s="21" t="str">
        <f aca="false">IFERROR(INDEX(종합!M$3:M$501,MATCH(ROW()-2,종합!$AB$3:$AB$501,0))&amp;"","")</f>
        <v>서울시 영등포구 선유로33길 15, 에이스테크노타워 5층</v>
      </c>
      <c r="N73" s="25" t="str">
        <f aca="false">IFERROR(INDEX(종합!N$3:N$501,MATCH(ROW()-2,종합!$AB$3:$AB$501,0))&amp;"","")</f>
        <v>AI Agent, AI CRM, AI VOC, 건설분야 전문 AI IT 솔루션</v>
      </c>
      <c r="O73" s="21" t="str">
        <f aca="false">IFERROR(INDEX(종합!O$3:O$501,MATCH(ROW()-2,종합!$AB$3:$AB$501,0))&amp;"","")</f>
        <v>노병인</v>
      </c>
      <c r="P73" s="21" t="str">
        <f aca="false">IFERROR(INDEX(종합!P$3:P$501,MATCH(ROW()-2,종합!$AB$3:$AB$501,0))&amp;"","")</f>
        <v>기술연구소</v>
      </c>
      <c r="Q73" s="21" t="str">
        <f aca="false">IFERROR(INDEX(종합!Q$3:Q$501,MATCH(ROW()-2,종합!$AB$3:$AB$501,0))&amp;"","")</f>
        <v>소장</v>
      </c>
      <c r="R73" s="21" t="str">
        <f aca="false">IFERROR(INDEX(종합!R$3:R$501,MATCH(ROW()-2,종합!$AB$3:$AB$501,0))&amp;"","")</f>
        <v>02-6925-0503</v>
      </c>
      <c r="S73" s="21" t="str">
        <f aca="false">IFERROR(INDEX(종합!S$3:S$501,MATCH(ROW()-2,종합!$AB$3:$AB$501,0))&amp;"","")</f>
        <v>rohbi@softzion.com</v>
      </c>
      <c r="T73" s="21" t="str">
        <f aca="false">IFERROR(INDEX(종합!T$3:T$501,MATCH(ROW()-2,종합!$AB$3:$AB$501,0))&amp;"","")</f>
        <v>010-3326-3669</v>
      </c>
      <c r="U73" s="21" t="str">
        <f aca="false">IFERROR(INDEX(종합!U$3:U$501,MATCH(ROW()-2,종합!$AB$3:$AB$501,0))&amp;"","")</f>
        <v>최원영</v>
      </c>
      <c r="V73" s="21" t="str">
        <f aca="false">IFERROR(INDEX(종합!V$3:V$501,MATCH(ROW()-2,종합!$AB$3:$AB$501,0))&amp;"","")</f>
        <v>기술연구소</v>
      </c>
      <c r="W73" s="21" t="str">
        <f aca="false">IFERROR(INDEX(종합!W$3:W$501,MATCH(ROW()-2,종합!$AB$3:$AB$501,0))&amp;"","")</f>
        <v>수석</v>
      </c>
      <c r="X73" s="21" t="str">
        <f aca="false">IFERROR(INDEX(종합!X$3:X$501,MATCH(ROW()-2,종합!$AB$3:$AB$501,0))&amp;"","")</f>
        <v>02-6925-0503</v>
      </c>
      <c r="Y73" s="21" t="str">
        <f aca="false">IFERROR(INDEX(종합!Y$3:Y$501,MATCH(ROW()-2,종합!$AB$3:$AB$501,0))&amp;"","")</f>
        <v>stately@softzion.com</v>
      </c>
      <c r="Z73" s="21" t="str">
        <f aca="false">IFERROR(INDEX(종합!Z$3:Z$501,MATCH(ROW()-2,종합!$AB$3:$AB$501,0))&amp;"","")</f>
        <v>010-7224-8319</v>
      </c>
    </row>
    <row r="74" customFormat="false" ht="22.5" hidden="false" customHeight="true" outlineLevel="0" collapsed="false">
      <c r="A74" s="18" t="n">
        <f aca="false">IF(B74="","",ROW()-2)</f>
        <v>72</v>
      </c>
      <c r="B74" s="18" t="str">
        <f aca="false">IFERROR(INDEX(종합!B$3:B$501,MATCH(ROW()-2,종합!$AB$3:$AB$501,0))&amp;"","")</f>
        <v>(주)소프트제국</v>
      </c>
      <c r="C74" s="18" t="str">
        <f aca="false">IFERROR(INDEX(종합!C$3:C$501,MATCH(ROW()-2,종합!$AB$3:$AB$501,0))&amp;"","")</f>
        <v>O</v>
      </c>
      <c r="D74" s="18" t="str">
        <f aca="false">IFERROR(INDEX(종합!D$3:D$501,MATCH(ROW()-2,종합!$AB$3:$AB$501,0))&amp;"","")</f>
        <v/>
      </c>
      <c r="E74" s="18" t="str">
        <f aca="false">IFERROR(INDEX(종합!E$3:E$501,MATCH(ROW()-2,종합!$AB$3:$AB$501,0))&amp;"","")</f>
        <v/>
      </c>
      <c r="F74" s="18" t="str">
        <f aca="false">IFERROR(INDEX(종합!F$3:F$501,MATCH(ROW()-2,종합!$AB$3:$AB$501,0))&amp;"","")</f>
        <v/>
      </c>
      <c r="G74" s="18" t="str">
        <f aca="false">IFERROR(INDEX(종합!G$3:G$501,MATCH(ROW()-2,종합!$AB$3:$AB$501,0))&amp;"","")</f>
        <v>중소기업</v>
      </c>
      <c r="H74" s="21" t="str">
        <f aca="false">IFERROR(INDEX(종합!H$3:H$501,MATCH(ROW()-2,종합!$AB$3:$AB$501,0))&amp;"","")</f>
        <v>620-88-00836</v>
      </c>
      <c r="I74" s="21" t="str">
        <f aca="false">IFERROR(INDEX(종합!I$3:I$501,MATCH(ROW()-2,종합!$AB$3:$AB$501,0))&amp;"","")</f>
        <v>최명수</v>
      </c>
      <c r="J74" s="21" t="str">
        <f aca="false">IFERROR(INDEX(종합!J$3:J$501,MATCH(ROW()-2,종합!$AB$3:$AB$501,0))&amp;"","")</f>
        <v>031-972-0409</v>
      </c>
      <c r="K74" s="21" t="str">
        <f aca="false">IFERROR(INDEX(종합!K$3:K$501,MATCH(ROW()-2,종합!$AB$3:$AB$501,0))&amp;"","")</f>
        <v>https://www.swempire.co.kr</v>
      </c>
      <c r="L74" s="21" t="str">
        <f aca="false">IFERROR(INDEX(종합!L$3:L$501,MATCH(ROW()-2,종합!$AB$3:$AB$501,0))&amp;"","")</f>
        <v>wkjung.swempire@gmail.com</v>
      </c>
      <c r="M74" s="21" t="str">
        <f aca="false">IFERROR(INDEX(종합!M$3:M$501,MATCH(ROW()-2,종합!$AB$3:$AB$501,0))&amp;"","")</f>
        <v>경기도 고양시 덕양구 서정로9(소프트제국빌딩)</v>
      </c>
      <c r="N74" s="25" t="str">
        <f aca="false">IFERROR(INDEX(종합!N$3:N$501,MATCH(ROW()-2,종합!$AB$3:$AB$501,0))&amp;"","")</f>
        <v>AI기반 서논술형 평가 플랫폼</v>
      </c>
      <c r="O74" s="21" t="str">
        <f aca="false">IFERROR(INDEX(종합!O$3:O$501,MATCH(ROW()-2,종합!$AB$3:$AB$501,0))&amp;"","")</f>
        <v>최명수</v>
      </c>
      <c r="P74" s="21" t="str">
        <f aca="false">IFERROR(INDEX(종합!P$3:P$501,MATCH(ROW()-2,종합!$AB$3:$AB$501,0))&amp;"","")</f>
        <v>대표이사</v>
      </c>
      <c r="Q74" s="21" t="str">
        <f aca="false">IFERROR(INDEX(종합!Q$3:Q$501,MATCH(ROW()-2,종합!$AB$3:$AB$501,0))&amp;"","")</f>
        <v>대표이사</v>
      </c>
      <c r="R74" s="21" t="str">
        <f aca="false">IFERROR(INDEX(종합!R$3:R$501,MATCH(ROW()-2,종합!$AB$3:$AB$501,0))&amp;"","")</f>
        <v>031-972-0409</v>
      </c>
      <c r="S74" s="21" t="str">
        <f aca="false">IFERROR(INDEX(종합!S$3:S$501,MATCH(ROW()-2,종합!$AB$3:$AB$501,0))&amp;"","")</f>
        <v>cmsjjang@swempire.co.kr</v>
      </c>
      <c r="T74" s="21" t="str">
        <f aca="false">IFERROR(INDEX(종합!T$3:T$501,MATCH(ROW()-2,종합!$AB$3:$AB$501,0))&amp;"","")</f>
        <v>010-5315-6710</v>
      </c>
      <c r="U74" s="21" t="str">
        <f aca="false">IFERROR(INDEX(종합!U$3:U$501,MATCH(ROW()-2,종합!$AB$3:$AB$501,0))&amp;"","")</f>
        <v>정원근</v>
      </c>
      <c r="V74" s="21" t="str">
        <f aca="false">IFERROR(INDEX(종합!V$3:V$501,MATCH(ROW()-2,종합!$AB$3:$AB$501,0))&amp;"","")</f>
        <v>마케팅기획사업본부</v>
      </c>
      <c r="W74" s="21" t="str">
        <f aca="false">IFERROR(INDEX(종합!W$3:W$501,MATCH(ROW()-2,종합!$AB$3:$AB$501,0))&amp;"","")</f>
        <v>본부장</v>
      </c>
      <c r="X74" s="21" t="str">
        <f aca="false">IFERROR(INDEX(종합!X$3:X$501,MATCH(ROW()-2,종합!$AB$3:$AB$501,0))&amp;"","")</f>
        <v>031-972-0409</v>
      </c>
      <c r="Y74" s="21" t="str">
        <f aca="false">IFERROR(INDEX(종합!Y$3:Y$501,MATCH(ROW()-2,종합!$AB$3:$AB$501,0))&amp;"","")</f>
        <v>wkjung@swempire.co.kr</v>
      </c>
      <c r="Z74" s="21" t="str">
        <f aca="false">IFERROR(INDEX(종합!Z$3:Z$501,MATCH(ROW()-2,종합!$AB$3:$AB$501,0))&amp;"","")</f>
        <v>010-8888-7653</v>
      </c>
    </row>
    <row r="75" customFormat="false" ht="22.5" hidden="false" customHeight="true" outlineLevel="0" collapsed="false">
      <c r="A75" s="18" t="n">
        <f aca="false">IF(B75="","",ROW()-2)</f>
        <v>73</v>
      </c>
      <c r="B75" s="18" t="str">
        <f aca="false">IFERROR(INDEX(종합!B$3:B$501,MATCH(ROW()-2,종합!$AB$3:$AB$501,0))&amp;"","")</f>
        <v>(주)위플랫</v>
      </c>
      <c r="C75" s="18" t="str">
        <f aca="false">IFERROR(INDEX(종합!C$3:C$501,MATCH(ROW()-2,종합!$AB$3:$AB$501,0))&amp;"","")</f>
        <v>O</v>
      </c>
      <c r="D75" s="18" t="str">
        <f aca="false">IFERROR(INDEX(종합!D$3:D$501,MATCH(ROW()-2,종합!$AB$3:$AB$501,0))&amp;"","")</f>
        <v/>
      </c>
      <c r="E75" s="18" t="str">
        <f aca="false">IFERROR(INDEX(종합!E$3:E$501,MATCH(ROW()-2,종합!$AB$3:$AB$501,0))&amp;"","")</f>
        <v/>
      </c>
      <c r="F75" s="18" t="str">
        <f aca="false">IFERROR(INDEX(종합!F$3:F$501,MATCH(ROW()-2,종합!$AB$3:$AB$501,0))&amp;"","")</f>
        <v/>
      </c>
      <c r="G75" s="18" t="str">
        <f aca="false">IFERROR(INDEX(종합!G$3:G$501,MATCH(ROW()-2,종합!$AB$3:$AB$501,0))&amp;"","")</f>
        <v>중소기업</v>
      </c>
      <c r="H75" s="21" t="str">
        <f aca="false">IFERROR(INDEX(종합!H$3:H$501,MATCH(ROW()-2,종합!$AB$3:$AB$501,0))&amp;"","")</f>
        <v>552-87-01613</v>
      </c>
      <c r="I75" s="21" t="str">
        <f aca="false">IFERROR(INDEX(종합!I$3:I$501,MATCH(ROW()-2,종합!$AB$3:$AB$501,0))&amp;"","")</f>
        <v>차상훈</v>
      </c>
      <c r="J75" s="21" t="str">
        <f aca="false">IFERROR(INDEX(종합!J$3:J$501,MATCH(ROW()-2,종합!$AB$3:$AB$501,0))&amp;"","")</f>
        <v>042-934-7905</v>
      </c>
      <c r="K75" s="21" t="str">
        <f aca="false">IFERROR(INDEX(종합!K$3:K$501,MATCH(ROW()-2,종합!$AB$3:$AB$501,0))&amp;"","")</f>
        <v>www.wiplat.com</v>
      </c>
      <c r="L75" s="21" t="str">
        <f aca="false">IFERROR(INDEX(종합!L$3:L$501,MATCH(ROW()-2,종합!$AB$3:$AB$501,0))&amp;"","")</f>
        <v>antoniojaesik@gmail.com</v>
      </c>
      <c r="M75" s="21" t="str">
        <f aca="false">IFERROR(INDEX(종합!M$3:M$501,MATCH(ROW()-2,종합!$AB$3:$AB$501,0))&amp;"","")</f>
        <v>대전시 유성구 테크노 2로 16, 402호</v>
      </c>
      <c r="N75" s="25" t="str">
        <f aca="false">IFERROR(INDEX(종합!N$3:N$501,MATCH(ROW()-2,종합!$AB$3:$AB$501,0))&amp;"","")</f>
        <v>인공지능 기반  에너지 절감서비스 및 관망관리서비스</v>
      </c>
      <c r="O75" s="21" t="str">
        <f aca="false">IFERROR(INDEX(종합!O$3:O$501,MATCH(ROW()-2,종합!$AB$3:$AB$501,0))&amp;"","")</f>
        <v>차상훈</v>
      </c>
      <c r="P75" s="21" t="str">
        <f aca="false">IFERROR(INDEX(종합!P$3:P$501,MATCH(ROW()-2,종합!$AB$3:$AB$501,0))&amp;"","")</f>
        <v>대표</v>
      </c>
      <c r="Q75" s="21" t="str">
        <f aca="false">IFERROR(INDEX(종합!Q$3:Q$501,MATCH(ROW()-2,종합!$AB$3:$AB$501,0))&amp;"","")</f>
        <v>대표</v>
      </c>
      <c r="R75" s="21" t="str">
        <f aca="false">IFERROR(INDEX(종합!R$3:R$501,MATCH(ROW()-2,종합!$AB$3:$AB$501,0))&amp;"","")</f>
        <v>042-934-7905</v>
      </c>
      <c r="S75" s="21" t="str">
        <f aca="false">IFERROR(INDEX(종합!S$3:S$501,MATCH(ROW()-2,종합!$AB$3:$AB$501,0))&amp;"","")</f>
        <v>ceo@wiplat.com</v>
      </c>
      <c r="T75" s="21" t="str">
        <f aca="false">IFERROR(INDEX(종합!T$3:T$501,MATCH(ROW()-2,종합!$AB$3:$AB$501,0))&amp;"","")</f>
        <v>010-7933-1208</v>
      </c>
      <c r="U75" s="21" t="str">
        <f aca="false">IFERROR(INDEX(종합!U$3:U$501,MATCH(ROW()-2,종합!$AB$3:$AB$501,0))&amp;"","")</f>
        <v>황재식</v>
      </c>
      <c r="V75" s="21" t="str">
        <f aca="false">IFERROR(INDEX(종합!V$3:V$501,MATCH(ROW()-2,종합!$AB$3:$AB$501,0))&amp;"","")</f>
        <v>AI연구소</v>
      </c>
      <c r="W75" s="21" t="str">
        <f aca="false">IFERROR(INDEX(종합!W$3:W$501,MATCH(ROW()-2,종합!$AB$3:$AB$501,0))&amp;"","")</f>
        <v>연구소장</v>
      </c>
      <c r="X75" s="21" t="str">
        <f aca="false">IFERROR(INDEX(종합!X$3:X$501,MATCH(ROW()-2,종합!$AB$3:$AB$501,0))&amp;"","")</f>
        <v>042-934-7905</v>
      </c>
      <c r="Y75" s="21" t="str">
        <f aca="false">IFERROR(INDEX(종합!Y$3:Y$501,MATCH(ROW()-2,종합!$AB$3:$AB$501,0))&amp;"","")</f>
        <v>antonio@wiplat.com</v>
      </c>
      <c r="Z75" s="21" t="str">
        <f aca="false">IFERROR(INDEX(종합!Z$3:Z$501,MATCH(ROW()-2,종합!$AB$3:$AB$501,0))&amp;"","")</f>
        <v>010-4740-1452</v>
      </c>
    </row>
    <row r="76" customFormat="false" ht="60.75" hidden="false" customHeight="true" outlineLevel="0" collapsed="false">
      <c r="A76" s="18" t="n">
        <f aca="false">IF(B76="","",ROW()-2)</f>
        <v>74</v>
      </c>
      <c r="B76" s="18" t="str">
        <f aca="false">IFERROR(INDEX(종합!B$3:B$501,MATCH(ROW()-2,종합!$AB$3:$AB$501,0))&amp;"","")</f>
        <v>(주)심스리얼리티</v>
      </c>
      <c r="C76" s="18" t="str">
        <f aca="false">IFERROR(INDEX(종합!C$3:C$501,MATCH(ROW()-2,종합!$AB$3:$AB$501,0))&amp;"","")</f>
        <v>O</v>
      </c>
      <c r="D76" s="18" t="str">
        <f aca="false">IFERROR(INDEX(종합!D$3:D$501,MATCH(ROW()-2,종합!$AB$3:$AB$501,0))&amp;"","")</f>
        <v/>
      </c>
      <c r="E76" s="18" t="str">
        <f aca="false">IFERROR(INDEX(종합!E$3:E$501,MATCH(ROW()-2,종합!$AB$3:$AB$501,0))&amp;"","")</f>
        <v>O</v>
      </c>
      <c r="F76" s="18" t="str">
        <f aca="false">IFERROR(INDEX(종합!F$3:F$501,MATCH(ROW()-2,종합!$AB$3:$AB$501,0))&amp;"","")</f>
        <v/>
      </c>
      <c r="G76" s="18" t="str">
        <f aca="false">IFERROR(INDEX(종합!G$3:G$501,MATCH(ROW()-2,종합!$AB$3:$AB$501,0))&amp;"","")</f>
        <v>중소기업</v>
      </c>
      <c r="H76" s="21" t="str">
        <f aca="false">IFERROR(INDEX(종합!H$3:H$501,MATCH(ROW()-2,종합!$AB$3:$AB$501,0))&amp;"","")</f>
        <v>292-86-00919</v>
      </c>
      <c r="I76" s="21" t="str">
        <f aca="false">IFERROR(INDEX(종합!I$3:I$501,MATCH(ROW()-2,종합!$AB$3:$AB$501,0))&amp;"","")</f>
        <v>김명환</v>
      </c>
      <c r="J76" s="21" t="str">
        <f aca="false">IFERROR(INDEX(종합!J$3:J$501,MATCH(ROW()-2,종합!$AB$3:$AB$501,0))&amp;"","")</f>
        <v>042-934-1801</v>
      </c>
      <c r="K76" s="21" t="str">
        <f aca="false">IFERROR(INDEX(종합!K$3:K$501,MATCH(ROW()-2,종합!$AB$3:$AB$501,0))&amp;"","")</f>
        <v>http://www.simsreality.com</v>
      </c>
      <c r="L76" s="21" t="str">
        <f aca="false">IFERROR(INDEX(종합!L$3:L$501,MATCH(ROW()-2,종합!$AB$3:$AB$501,0))&amp;"","")</f>
        <v>wwwhunycom07@gmail.com</v>
      </c>
      <c r="M76" s="21" t="str">
        <f aca="false">IFERROR(INDEX(종합!M$3:M$501,MATCH(ROW()-2,종합!$AB$3:$AB$501,0))&amp;"","")</f>
        <v>대전광역시 유성구 테크노4로 43, 2층(관평동, 현광빌딩)</v>
      </c>
      <c r="N76" s="25" t="str">
        <f aca="false">IFERROR(INDEX(종합!N$3:N$501,MATCH(ROW()-2,종합!$AB$3:$AB$501,0))&amp;"","")</f>
        <v>보유기술: 초개인화 패션 도메인 특화 Agentic AI솔루션 및 가상 피팅 서비스 / 보유기술: 1. Agentic AI 오케스트레이션, 2. 멀티에이전트 협업, 3. 생성형AI기반 2D의류를 3D자동변환 및 제어기술</v>
      </c>
      <c r="O76" s="21" t="str">
        <f aca="false">IFERROR(INDEX(종합!O$3:O$501,MATCH(ROW()-2,종합!$AB$3:$AB$501,0))&amp;"","")</f>
        <v>김명환</v>
      </c>
      <c r="P76" s="21" t="str">
        <f aca="false">IFERROR(INDEX(종합!P$3:P$501,MATCH(ROW()-2,종합!$AB$3:$AB$501,0))&amp;"","")</f>
        <v>경영</v>
      </c>
      <c r="Q76" s="21" t="str">
        <f aca="false">IFERROR(INDEX(종합!Q$3:Q$501,MATCH(ROW()-2,종합!$AB$3:$AB$501,0))&amp;"","")</f>
        <v>대표이사</v>
      </c>
      <c r="R76" s="21" t="str">
        <f aca="false">IFERROR(INDEX(종합!R$3:R$501,MATCH(ROW()-2,종합!$AB$3:$AB$501,0))&amp;"","")</f>
        <v>042-934-1801</v>
      </c>
      <c r="S76" s="21" t="str">
        <f aca="false">IFERROR(INDEX(종합!S$3:S$501,MATCH(ROW()-2,종합!$AB$3:$AB$501,0))&amp;"","")</f>
        <v>oops@simsreality.com</v>
      </c>
      <c r="T76" s="21" t="str">
        <f aca="false">IFERROR(INDEX(종합!T$3:T$501,MATCH(ROW()-2,종합!$AB$3:$AB$501,0))&amp;"","")</f>
        <v>010-2365-6569</v>
      </c>
      <c r="U76" s="21" t="str">
        <f aca="false">IFERROR(INDEX(종합!U$3:U$501,MATCH(ROW()-2,종합!$AB$3:$AB$501,0))&amp;"","")</f>
        <v>허상훈</v>
      </c>
      <c r="V76" s="21" t="str">
        <f aca="false">IFERROR(INDEX(종합!V$3:V$501,MATCH(ROW()-2,종합!$AB$3:$AB$501,0))&amp;"","")</f>
        <v>전략기획실</v>
      </c>
      <c r="W76" s="21" t="str">
        <f aca="false">IFERROR(INDEX(종합!W$3:W$501,MATCH(ROW()-2,종합!$AB$3:$AB$501,0))&amp;"","")</f>
        <v>PM</v>
      </c>
      <c r="X76" s="21" t="str">
        <f aca="false">IFERROR(INDEX(종합!X$3:X$501,MATCH(ROW()-2,종합!$AB$3:$AB$501,0))&amp;"","")</f>
        <v>042-934-1801</v>
      </c>
      <c r="Y76" s="21" t="str">
        <f aca="false">IFERROR(INDEX(종합!Y$3:Y$501,MATCH(ROW()-2,종합!$AB$3:$AB$501,0))&amp;"","")</f>
        <v>hunycom@simsreality.com</v>
      </c>
      <c r="Z76" s="21" t="str">
        <f aca="false">IFERROR(INDEX(종합!Z$3:Z$501,MATCH(ROW()-2,종합!$AB$3:$AB$501,0))&amp;"","")</f>
        <v>010-6689-3508</v>
      </c>
    </row>
    <row r="77" customFormat="false" ht="22.5" hidden="false" customHeight="true" outlineLevel="0" collapsed="false">
      <c r="A77" s="18" t="n">
        <f aca="false">IF(B77="","",ROW()-2)</f>
        <v>75</v>
      </c>
      <c r="B77" s="18" t="str">
        <f aca="false">IFERROR(INDEX(종합!B$3:B$501,MATCH(ROW()-2,종합!$AB$3:$AB$501,0))&amp;"","")</f>
        <v>(주)스카이월드와이드</v>
      </c>
      <c r="C77" s="18" t="str">
        <f aca="false">IFERROR(INDEX(종합!C$3:C$501,MATCH(ROW()-2,종합!$AB$3:$AB$501,0))&amp;"","")</f>
        <v>O</v>
      </c>
      <c r="D77" s="18" t="str">
        <f aca="false">IFERROR(INDEX(종합!D$3:D$501,MATCH(ROW()-2,종합!$AB$3:$AB$501,0))&amp;"","")</f>
        <v/>
      </c>
      <c r="E77" s="18" t="str">
        <f aca="false">IFERROR(INDEX(종합!E$3:E$501,MATCH(ROW()-2,종합!$AB$3:$AB$501,0))&amp;"","")</f>
        <v/>
      </c>
      <c r="F77" s="18" t="str">
        <f aca="false">IFERROR(INDEX(종합!F$3:F$501,MATCH(ROW()-2,종합!$AB$3:$AB$501,0))&amp;"","")</f>
        <v/>
      </c>
      <c r="G77" s="18" t="str">
        <f aca="false">IFERROR(INDEX(종합!G$3:G$501,MATCH(ROW()-2,종합!$AB$3:$AB$501,0))&amp;"","")</f>
        <v>중소기업</v>
      </c>
      <c r="H77" s="21" t="str">
        <f aca="false">IFERROR(INDEX(종합!H$3:H$501,MATCH(ROW()-2,종합!$AB$3:$AB$501,0))&amp;"","")</f>
        <v>220-88-68408</v>
      </c>
      <c r="I77" s="21" t="str">
        <f aca="false">IFERROR(INDEX(종합!I$3:I$501,MATCH(ROW()-2,종합!$AB$3:$AB$501,0))&amp;"","")</f>
        <v>신재혁</v>
      </c>
      <c r="J77" s="21" t="str">
        <f aca="false">IFERROR(INDEX(종합!J$3:J$501,MATCH(ROW()-2,종합!$AB$3:$AB$501,0))&amp;"","")</f>
        <v> 070-4800-3517</v>
      </c>
      <c r="K77" s="21" t="str">
        <f aca="false">IFERROR(INDEX(종합!K$3:K$501,MATCH(ROW()-2,종합!$AB$3:$AB$501,0))&amp;"","")</f>
        <v>www.skaiworldwide.com</v>
      </c>
      <c r="L77" s="21" t="str">
        <f aca="false">IFERROR(INDEX(종합!L$3:L$501,MATCH(ROW()-2,종합!$AB$3:$AB$501,0))&amp;"","")</f>
        <v>jerry.do@skaiworldwide.co.kr</v>
      </c>
      <c r="M77" s="21" t="str">
        <f aca="false">IFERROR(INDEX(종합!M$3:M$501,MATCH(ROW()-2,종합!$AB$3:$AB$501,0))&amp;"","")</f>
        <v>서울 강남구 테헤란로 516 정헌빌딩 516</v>
      </c>
      <c r="N77" s="25" t="str">
        <f aca="false">IFERROR(INDEX(종합!N$3:N$501,MATCH(ROW()-2,종합!$AB$3:$AB$501,0))&amp;"","")</f>
        <v>온토비아 (ONTOVIA)</v>
      </c>
      <c r="O77" s="21" t="str">
        <f aca="false">IFERROR(INDEX(종합!O$3:O$501,MATCH(ROW()-2,종합!$AB$3:$AB$501,0))&amp;"","")</f>
        <v>도윤석</v>
      </c>
      <c r="P77" s="21" t="str">
        <f aca="false">IFERROR(INDEX(종합!P$3:P$501,MATCH(ROW()-2,종합!$AB$3:$AB$501,0))&amp;"","")</f>
        <v>영업부</v>
      </c>
      <c r="Q77" s="21" t="str">
        <f aca="false">IFERROR(INDEX(종합!Q$3:Q$501,MATCH(ROW()-2,종합!$AB$3:$AB$501,0))&amp;"","")</f>
        <v>상무</v>
      </c>
      <c r="R77" s="21" t="str">
        <f aca="false">IFERROR(INDEX(종합!R$3:R$501,MATCH(ROW()-2,종합!$AB$3:$AB$501,0))&amp;"","")</f>
        <v>010-9111-3951</v>
      </c>
      <c r="S77" s="21" t="str">
        <f aca="false">IFERROR(INDEX(종합!S$3:S$501,MATCH(ROW()-2,종합!$AB$3:$AB$501,0))&amp;"","")</f>
        <v>jerry.do@skaiworldwide.com</v>
      </c>
      <c r="T77" s="21" t="str">
        <f aca="false">IFERROR(INDEX(종합!T$3:T$501,MATCH(ROW()-2,종합!$AB$3:$AB$501,0))&amp;"","")</f>
        <v>010-9111-3951</v>
      </c>
      <c r="U77" s="21" t="str">
        <f aca="false">IFERROR(INDEX(종합!U$3:U$501,MATCH(ROW()-2,종합!$AB$3:$AB$501,0))&amp;"","")</f>
        <v>김랑하</v>
      </c>
      <c r="V77" s="21" t="str">
        <f aca="false">IFERROR(INDEX(종합!V$3:V$501,MATCH(ROW()-2,종합!$AB$3:$AB$501,0))&amp;"","")</f>
        <v>영업부</v>
      </c>
      <c r="W77" s="21" t="str">
        <f aca="false">IFERROR(INDEX(종합!W$3:W$501,MATCH(ROW()-2,종합!$AB$3:$AB$501,0))&amp;"","")</f>
        <v>대리 / A.I Special List</v>
      </c>
      <c r="X77" s="21" t="str">
        <f aca="false">IFERROR(INDEX(종합!X$3:X$501,MATCH(ROW()-2,종합!$AB$3:$AB$501,0))&amp;"","")</f>
        <v>010-2661-3833</v>
      </c>
      <c r="Y77" s="21" t="str">
        <f aca="false">IFERROR(INDEX(종합!Y$3:Y$501,MATCH(ROW()-2,종합!$AB$3:$AB$501,0))&amp;"","")</f>
        <v> lh.kim@skaiworldwide.com</v>
      </c>
      <c r="Z77" s="21" t="str">
        <f aca="false">IFERROR(INDEX(종합!Z$3:Z$501,MATCH(ROW()-2,종합!$AB$3:$AB$501,0))&amp;"","")</f>
        <v>010-2661-3833</v>
      </c>
    </row>
    <row r="78" customFormat="false" ht="33.75" hidden="false" customHeight="true" outlineLevel="0" collapsed="false">
      <c r="A78" s="18" t="n">
        <f aca="false">IF(B78="","",ROW()-2)</f>
        <v>76</v>
      </c>
      <c r="B78" s="18" t="str">
        <f aca="false">IFERROR(INDEX(종합!B$3:B$501,MATCH(ROW()-2,종합!$AB$3:$AB$501,0))&amp;"","")</f>
        <v>주식회사 새움소프트</v>
      </c>
      <c r="C78" s="18" t="str">
        <f aca="false">IFERROR(INDEX(종합!C$3:C$501,MATCH(ROW()-2,종합!$AB$3:$AB$501,0))&amp;"","")</f>
        <v>O</v>
      </c>
      <c r="D78" s="18" t="str">
        <f aca="false">IFERROR(INDEX(종합!D$3:D$501,MATCH(ROW()-2,종합!$AB$3:$AB$501,0))&amp;"","")</f>
        <v/>
      </c>
      <c r="E78" s="18" t="str">
        <f aca="false">IFERROR(INDEX(종합!E$3:E$501,MATCH(ROW()-2,종합!$AB$3:$AB$501,0))&amp;"","")</f>
        <v/>
      </c>
      <c r="F78" s="18" t="str">
        <f aca="false">IFERROR(INDEX(종합!F$3:F$501,MATCH(ROW()-2,종합!$AB$3:$AB$501,0))&amp;"","")</f>
        <v/>
      </c>
      <c r="G78" s="18" t="str">
        <f aca="false">IFERROR(INDEX(종합!G$3:G$501,MATCH(ROW()-2,종합!$AB$3:$AB$501,0))&amp;"","")</f>
        <v>중소기업</v>
      </c>
      <c r="H78" s="21" t="str">
        <f aca="false">IFERROR(INDEX(종합!H$3:H$501,MATCH(ROW()-2,종합!$AB$3:$AB$501,0))&amp;"","")</f>
        <v>138-81-25116</v>
      </c>
      <c r="I78" s="21" t="str">
        <f aca="false">IFERROR(INDEX(종합!I$3:I$501,MATCH(ROW()-2,종합!$AB$3:$AB$501,0))&amp;"","")</f>
        <v>최병진</v>
      </c>
      <c r="J78" s="21" t="str">
        <f aca="false">IFERROR(INDEX(종합!J$3:J$501,MATCH(ROW()-2,종합!$AB$3:$AB$501,0))&amp;"","")</f>
        <v>031-429-4216</v>
      </c>
      <c r="K78" s="21" t="str">
        <f aca="false">IFERROR(INDEX(종합!K$3:K$501,MATCH(ROW()-2,종합!$AB$3:$AB$501,0))&amp;"","")</f>
        <v>https://saeumsoft.com</v>
      </c>
      <c r="L78" s="21" t="str">
        <f aca="false">IFERROR(INDEX(종합!L$3:L$501,MATCH(ROW()-2,종합!$AB$3:$AB$501,0))&amp;"","")</f>
        <v>smarttools0@gmail.com</v>
      </c>
      <c r="M78" s="21" t="str">
        <f aca="false">IFERROR(INDEX(종합!M$3:M$501,MATCH(ROW()-2,종합!$AB$3:$AB$501,0))&amp;"","")</f>
        <v>경기도 안양시 만안구 안양천서로93 새움빌딩</v>
      </c>
      <c r="N78" s="25" t="str">
        <f aca="false">IFERROR(INDEX(종합!N$3:N$501,MATCH(ROW()-2,종합!$AB$3:$AB$501,0))&amp;"","")</f>
        <v>AI버스정류장키오스크, Ai챗봇, AI디지털휴먼, AI실시간통역기</v>
      </c>
      <c r="O78" s="21" t="str">
        <f aca="false">IFERROR(INDEX(종합!O$3:O$501,MATCH(ROW()-2,종합!$AB$3:$AB$501,0))&amp;"","")</f>
        <v>최병진</v>
      </c>
      <c r="P78" s="21" t="str">
        <f aca="false">IFERROR(INDEX(종합!P$3:P$501,MATCH(ROW()-2,종합!$AB$3:$AB$501,0))&amp;"","")</f>
        <v>Ai연구소</v>
      </c>
      <c r="Q78" s="21" t="str">
        <f aca="false">IFERROR(INDEX(종합!Q$3:Q$501,MATCH(ROW()-2,종합!$AB$3:$AB$501,0))&amp;"","")</f>
        <v>대표이사/연구소장</v>
      </c>
      <c r="R78" s="21" t="str">
        <f aca="false">IFERROR(INDEX(종합!R$3:R$501,MATCH(ROW()-2,종합!$AB$3:$AB$501,0))&amp;"","")</f>
        <v>010-8210-0410</v>
      </c>
      <c r="S78" s="21" t="str">
        <f aca="false">IFERROR(INDEX(종합!S$3:S$501,MATCH(ROW()-2,종합!$AB$3:$AB$501,0))&amp;"","")</f>
        <v>xeos@saeumsoft.com</v>
      </c>
      <c r="T78" s="21" t="str">
        <f aca="false">IFERROR(INDEX(종합!T$3:T$501,MATCH(ROW()-2,종합!$AB$3:$AB$501,0))&amp;"","")</f>
        <v>010-8210-0410</v>
      </c>
      <c r="U78" s="21" t="str">
        <f aca="false">IFERROR(INDEX(종합!U$3:U$501,MATCH(ROW()-2,종합!$AB$3:$AB$501,0))&amp;"","")</f>
        <v>최영환</v>
      </c>
      <c r="V78" s="21" t="str">
        <f aca="false">IFERROR(INDEX(종합!V$3:V$501,MATCH(ROW()-2,종합!$AB$3:$AB$501,0))&amp;"","")</f>
        <v>Ai연구소</v>
      </c>
      <c r="W78" s="21" t="str">
        <f aca="false">IFERROR(INDEX(종합!W$3:W$501,MATCH(ROW()-2,종합!$AB$3:$AB$501,0))&amp;"","")</f>
        <v>부장/비지니스팀장</v>
      </c>
      <c r="X78" s="21" t="str">
        <f aca="false">IFERROR(INDEX(종합!X$3:X$501,MATCH(ROW()-2,종합!$AB$3:$AB$501,0))&amp;"","")</f>
        <v>010-2787-9248</v>
      </c>
      <c r="Y78" s="21" t="str">
        <f aca="false">IFERROR(INDEX(종합!Y$3:Y$501,MATCH(ROW()-2,종합!$AB$3:$AB$501,0))&amp;"","")</f>
        <v>ulaulaul@saeumsoft.com</v>
      </c>
      <c r="Z78" s="21" t="str">
        <f aca="false">IFERROR(INDEX(종합!Z$3:Z$501,MATCH(ROW()-2,종합!$AB$3:$AB$501,0))&amp;"","")</f>
        <v>010-2787-9248</v>
      </c>
    </row>
    <row r="79" customFormat="false" ht="33.75" hidden="false" customHeight="true" outlineLevel="0" collapsed="false">
      <c r="A79" s="18" t="n">
        <f aca="false">IF(B79="","",ROW()-2)</f>
        <v>77</v>
      </c>
      <c r="B79" s="18" t="str">
        <f aca="false">IFERROR(INDEX(종합!B$3:B$501,MATCH(ROW()-2,종합!$AB$3:$AB$501,0))&amp;"","")</f>
        <v>주식회사 탑코어시스템</v>
      </c>
      <c r="C79" s="18" t="str">
        <f aca="false">IFERROR(INDEX(종합!C$3:C$501,MATCH(ROW()-2,종합!$AB$3:$AB$501,0))&amp;"","")</f>
        <v>O</v>
      </c>
      <c r="D79" s="18" t="str">
        <f aca="false">IFERROR(INDEX(종합!D$3:D$501,MATCH(ROW()-2,종합!$AB$3:$AB$501,0))&amp;"","")</f>
        <v/>
      </c>
      <c r="E79" s="18" t="str">
        <f aca="false">IFERROR(INDEX(종합!E$3:E$501,MATCH(ROW()-2,종합!$AB$3:$AB$501,0))&amp;"","")</f>
        <v/>
      </c>
      <c r="F79" s="18" t="str">
        <f aca="false">IFERROR(INDEX(종합!F$3:F$501,MATCH(ROW()-2,종합!$AB$3:$AB$501,0))&amp;"","")</f>
        <v/>
      </c>
      <c r="G79" s="18" t="str">
        <f aca="false">IFERROR(INDEX(종합!G$3:G$501,MATCH(ROW()-2,종합!$AB$3:$AB$501,0))&amp;"","")</f>
        <v>중소기업</v>
      </c>
      <c r="H79" s="21" t="str">
        <f aca="false">IFERROR(INDEX(종합!H$3:H$501,MATCH(ROW()-2,종합!$AB$3:$AB$501,0))&amp;"","")</f>
        <v>301-86-23424</v>
      </c>
      <c r="I79" s="21" t="str">
        <f aca="false">IFERROR(INDEX(종합!I$3:I$501,MATCH(ROW()-2,종합!$AB$3:$AB$501,0))&amp;"","")</f>
        <v>이상봉</v>
      </c>
      <c r="J79" s="21" t="str">
        <f aca="false">IFERROR(INDEX(종합!J$3:J$501,MATCH(ROW()-2,종합!$AB$3:$AB$501,0))&amp;"","")</f>
        <v>010-7180-6531</v>
      </c>
      <c r="K79" s="21" t="str">
        <f aca="false">IFERROR(INDEX(종합!K$3:K$501,MATCH(ROW()-2,종합!$AB$3:$AB$501,0))&amp;"","")</f>
        <v>topcore.co.kr</v>
      </c>
      <c r="L79" s="21" t="str">
        <f aca="false">IFERROR(INDEX(종합!L$3:L$501,MATCH(ROW()-2,종합!$AB$3:$AB$501,0))&amp;"","")</f>
        <v>topcoresystem@gmail.com</v>
      </c>
      <c r="M79" s="21" t="str">
        <f aca="false">IFERROR(INDEX(종합!M$3:M$501,MATCH(ROW()-2,종합!$AB$3:$AB$501,0))&amp;"","")</f>
        <v>충북 청주시 흥덕구 봉명로 31 티원타워 704~705호</v>
      </c>
      <c r="N79" s="25" t="str">
        <f aca="false">IFERROR(INDEX(종합!N$3:N$501,MATCH(ROW()-2,종합!$AB$3:$AB$501,0))&amp;"","")</f>
        <v>AI재고관리, AI수요예측, AI비전, AI재난예방, AI 공정최적화</v>
      </c>
      <c r="O79" s="21" t="str">
        <f aca="false">IFERROR(INDEX(종합!O$3:O$501,MATCH(ROW()-2,종합!$AB$3:$AB$501,0))&amp;"","")</f>
        <v>이상봉</v>
      </c>
      <c r="P79" s="21" t="str">
        <f aca="false">IFERROR(INDEX(종합!P$3:P$501,MATCH(ROW()-2,종합!$AB$3:$AB$501,0))&amp;"","")</f>
        <v>기획</v>
      </c>
      <c r="Q79" s="21" t="str">
        <f aca="false">IFERROR(INDEX(종합!Q$3:Q$501,MATCH(ROW()-2,종합!$AB$3:$AB$501,0))&amp;"","")</f>
        <v>대표</v>
      </c>
      <c r="R79" s="21" t="str">
        <f aca="false">IFERROR(INDEX(종합!R$3:R$501,MATCH(ROW()-2,종합!$AB$3:$AB$501,0))&amp;"","")</f>
        <v>010-7180-6531</v>
      </c>
      <c r="S79" s="21" t="str">
        <f aca="false">IFERROR(INDEX(종합!S$3:S$501,MATCH(ROW()-2,종합!$AB$3:$AB$501,0))&amp;"","")</f>
        <v>dagobong@naver.com</v>
      </c>
      <c r="T79" s="21" t="str">
        <f aca="false">IFERROR(INDEX(종합!T$3:T$501,MATCH(ROW()-2,종합!$AB$3:$AB$501,0))&amp;"","")</f>
        <v>010-7180-6531</v>
      </c>
      <c r="U79" s="21" t="str">
        <f aca="false">IFERROR(INDEX(종합!U$3:U$501,MATCH(ROW()-2,종합!$AB$3:$AB$501,0))&amp;"","")</f>
        <v>이상봉</v>
      </c>
      <c r="V79" s="21" t="str">
        <f aca="false">IFERROR(INDEX(종합!V$3:V$501,MATCH(ROW()-2,종합!$AB$3:$AB$501,0))&amp;"","")</f>
        <v>기획</v>
      </c>
      <c r="W79" s="21" t="str">
        <f aca="false">IFERROR(INDEX(종합!W$3:W$501,MATCH(ROW()-2,종합!$AB$3:$AB$501,0))&amp;"","")</f>
        <v>대표</v>
      </c>
      <c r="X79" s="21" t="str">
        <f aca="false">IFERROR(INDEX(종합!X$3:X$501,MATCH(ROW()-2,종합!$AB$3:$AB$501,0))&amp;"","")</f>
        <v>010-7180-6531</v>
      </c>
      <c r="Y79" s="21" t="str">
        <f aca="false">IFERROR(INDEX(종합!Y$3:Y$501,MATCH(ROW()-2,종합!$AB$3:$AB$501,0))&amp;"","")</f>
        <v>dagobong@naver.com</v>
      </c>
      <c r="Z79" s="21" t="str">
        <f aca="false">IFERROR(INDEX(종합!Z$3:Z$501,MATCH(ROW()-2,종합!$AB$3:$AB$501,0))&amp;"","")</f>
        <v>010-7180-6531</v>
      </c>
    </row>
    <row r="80" customFormat="false" ht="128.25" hidden="false" customHeight="true" outlineLevel="0" collapsed="false">
      <c r="A80" s="18" t="n">
        <f aca="false">IF(B80="","",ROW()-2)</f>
        <v>78</v>
      </c>
      <c r="B80" s="18" t="str">
        <f aca="false">IFERROR(INDEX(종합!B$3:B$501,MATCH(ROW()-2,종합!$AB$3:$AB$501,0))&amp;"","")</f>
        <v>오오아이</v>
      </c>
      <c r="C80" s="18" t="str">
        <f aca="false">IFERROR(INDEX(종합!C$3:C$501,MATCH(ROW()-2,종합!$AB$3:$AB$501,0))&amp;"","")</f>
        <v>O</v>
      </c>
      <c r="D80" s="18" t="str">
        <f aca="false">IFERROR(INDEX(종합!D$3:D$501,MATCH(ROW()-2,종합!$AB$3:$AB$501,0))&amp;"","")</f>
        <v/>
      </c>
      <c r="E80" s="18" t="str">
        <f aca="false">IFERROR(INDEX(종합!E$3:E$501,MATCH(ROW()-2,종합!$AB$3:$AB$501,0))&amp;"","")</f>
        <v/>
      </c>
      <c r="F80" s="18" t="str">
        <f aca="false">IFERROR(INDEX(종합!F$3:F$501,MATCH(ROW()-2,종합!$AB$3:$AB$501,0))&amp;"","")</f>
        <v/>
      </c>
      <c r="G80" s="18" t="str">
        <f aca="false">IFERROR(INDEX(종합!G$3:G$501,MATCH(ROW()-2,종합!$AB$3:$AB$501,0))&amp;"","")</f>
        <v>중소기업</v>
      </c>
      <c r="H80" s="21" t="str">
        <f aca="false">IFERROR(INDEX(종합!H$3:H$501,MATCH(ROW()-2,종합!$AB$3:$AB$501,0))&amp;"","")</f>
        <v>304-10-47435</v>
      </c>
      <c r="I80" s="21" t="str">
        <f aca="false">IFERROR(INDEX(종합!I$3:I$501,MATCH(ROW()-2,종합!$AB$3:$AB$501,0))&amp;"","")</f>
        <v>임세한</v>
      </c>
      <c r="J80" s="21" t="str">
        <f aca="false">IFERROR(INDEX(종합!J$3:J$501,MATCH(ROW()-2,종합!$AB$3:$AB$501,0))&amp;"","")</f>
        <v>010-5160-6735</v>
      </c>
      <c r="K80" s="21" t="str">
        <f aca="false">IFERROR(INDEX(종합!K$3:K$501,MATCH(ROW()-2,종합!$AB$3:$AB$501,0))&amp;"","")</f>
        <v>www.ocean5i.com</v>
      </c>
      <c r="L80" s="21" t="str">
        <f aca="false">IFERROR(INDEX(종합!L$3:L$501,MATCH(ROW()-2,종합!$AB$3:$AB$501,0))&amp;"","")</f>
        <v>sehan.lim@ocean5i.com</v>
      </c>
      <c r="M80" s="21" t="str">
        <f aca="false">IFERROR(INDEX(종합!M$3:M$501,MATCH(ROW()-2,종합!$AB$3:$AB$501,0))&amp;"","")</f>
        <v>부산시 영도구 태종로 705 102동 802호</v>
      </c>
      <c r="N80" s="25" t="str">
        <f aca="false">IFERROR(INDEX(종합!N$3:N$501,MATCH(ROW()-2,종합!$AB$3:$AB$501,0))&amp;"","")</f>
        <v>[기술] LangGraph 기반 4단계 멀티 에이전트 체계를 활용한 브랜드 최적화 Next.js 코드 자동 생성 및 실시간 연동 기술 제안  [플랫폼] 해양 R&amp;D 전주기를 지원하는 12단계 AI 파이프라인을 통한 컨소시엄 구성 및 제안서 자동 생성 프레임워크 공유  [글로벌/데이터] 인도태평양 해양 AI 정책 및 2만 장 이상의 학습 데이터셋(MDImageNet) 기반 글로벌 규제 대응 전략 제공  [인터페이스] 메신저 기반 Zero-UI 업무 자동화(OSEAN) 실증 사례를 바탕으로 공공 행정용 사용자 친화적 에이전트 인터페이스 전파</v>
      </c>
      <c r="O80" s="21" t="str">
        <f aca="false">IFERROR(INDEX(종합!O$3:O$501,MATCH(ROW()-2,종합!$AB$3:$AB$501,0))&amp;"","")</f>
        <v>임세한</v>
      </c>
      <c r="P80" s="21" t="str">
        <f aca="false">IFERROR(INDEX(종합!P$3:P$501,MATCH(ROW()-2,종합!$AB$3:$AB$501,0))&amp;"","")</f>
        <v>오오아이</v>
      </c>
      <c r="Q80" s="21" t="str">
        <f aca="false">IFERROR(INDEX(종합!Q$3:Q$501,MATCH(ROW()-2,종합!$AB$3:$AB$501,0))&amp;"","")</f>
        <v>대표</v>
      </c>
      <c r="R80" s="21" t="str">
        <f aca="false">IFERROR(INDEX(종합!R$3:R$501,MATCH(ROW()-2,종합!$AB$3:$AB$501,0))&amp;"","")</f>
        <v>010-5160-6735</v>
      </c>
      <c r="S80" s="21" t="str">
        <f aca="false">IFERROR(INDEX(종합!S$3:S$501,MATCH(ROW()-2,종합!$AB$3:$AB$501,0))&amp;"","")</f>
        <v>sehan.lim@ocean5i.com</v>
      </c>
      <c r="T80" s="21" t="str">
        <f aca="false">IFERROR(INDEX(종합!T$3:T$501,MATCH(ROW()-2,종합!$AB$3:$AB$501,0))&amp;"","")</f>
        <v>010-5160-6735</v>
      </c>
      <c r="U80" s="21" t="str">
        <f aca="false">IFERROR(INDEX(종합!U$3:U$501,MATCH(ROW()-2,종합!$AB$3:$AB$501,0))&amp;"","")</f>
        <v>임세한</v>
      </c>
      <c r="V80" s="21" t="str">
        <f aca="false">IFERROR(INDEX(종합!V$3:V$501,MATCH(ROW()-2,종합!$AB$3:$AB$501,0))&amp;"","")</f>
        <v>오오아이</v>
      </c>
      <c r="W80" s="21" t="str">
        <f aca="false">IFERROR(INDEX(종합!W$3:W$501,MATCH(ROW()-2,종합!$AB$3:$AB$501,0))&amp;"","")</f>
        <v>대표</v>
      </c>
      <c r="X80" s="21" t="str">
        <f aca="false">IFERROR(INDEX(종합!X$3:X$501,MATCH(ROW()-2,종합!$AB$3:$AB$501,0))&amp;"","")</f>
        <v>010-5160-6735</v>
      </c>
      <c r="Y80" s="21" t="str">
        <f aca="false">IFERROR(INDEX(종합!Y$3:Y$501,MATCH(ROW()-2,종합!$AB$3:$AB$501,0))&amp;"","")</f>
        <v>sehan.lim@ocean5i.com</v>
      </c>
      <c r="Z80" s="21" t="str">
        <f aca="false">IFERROR(INDEX(종합!Z$3:Z$501,MATCH(ROW()-2,종합!$AB$3:$AB$501,0))&amp;"","")</f>
        <v>010-5160-6735</v>
      </c>
    </row>
    <row r="81" customFormat="false" ht="33.75" hidden="false" customHeight="true" outlineLevel="0" collapsed="false">
      <c r="A81" s="18" t="n">
        <f aca="false">IF(B81="","",ROW()-2)</f>
        <v>79</v>
      </c>
      <c r="B81" s="18" t="str">
        <f aca="false">IFERROR(INDEX(종합!B$3:B$501,MATCH(ROW()-2,종합!$AB$3:$AB$501,0))&amp;"","")</f>
        <v>엔에이치엔인재아이엔씨(주)</v>
      </c>
      <c r="C81" s="18" t="str">
        <f aca="false">IFERROR(INDEX(종합!C$3:C$501,MATCH(ROW()-2,종합!$AB$3:$AB$501,0))&amp;"","")</f>
        <v>O</v>
      </c>
      <c r="D81" s="18" t="str">
        <f aca="false">IFERROR(INDEX(종합!D$3:D$501,MATCH(ROW()-2,종합!$AB$3:$AB$501,0))&amp;"","")</f>
        <v/>
      </c>
      <c r="E81" s="18" t="str">
        <f aca="false">IFERROR(INDEX(종합!E$3:E$501,MATCH(ROW()-2,종합!$AB$3:$AB$501,0))&amp;"","")</f>
        <v/>
      </c>
      <c r="F81" s="18" t="str">
        <f aca="false">IFERROR(INDEX(종합!F$3:F$501,MATCH(ROW()-2,종합!$AB$3:$AB$501,0))&amp;"","")</f>
        <v/>
      </c>
      <c r="G81" s="18" t="str">
        <f aca="false">IFERROR(INDEX(종합!G$3:G$501,MATCH(ROW()-2,종합!$AB$3:$AB$501,0))&amp;"","")</f>
        <v>중견기업</v>
      </c>
      <c r="H81" s="21" t="str">
        <f aca="false">IFERROR(INDEX(종합!H$3:H$501,MATCH(ROW()-2,종합!$AB$3:$AB$501,0))&amp;"","")</f>
        <v>119-81-45810</v>
      </c>
      <c r="I81" s="21" t="str">
        <f aca="false">IFERROR(INDEX(종합!I$3:I$501,MATCH(ROW()-2,종합!$AB$3:$AB$501,0))&amp;"","")</f>
        <v>백세련</v>
      </c>
      <c r="J81" s="21" t="str">
        <f aca="false">IFERROR(INDEX(종합!J$3:J$501,MATCH(ROW()-2,종합!$AB$3:$AB$501,0))&amp;"","")</f>
        <v>02-2088-8148</v>
      </c>
      <c r="K81" s="21" t="str">
        <f aca="false">IFERROR(INDEX(종합!K$3:K$501,MATCH(ROW()-2,종합!$AB$3:$AB$501,0))&amp;"","")</f>
        <v>www.injeinc.co.kr</v>
      </c>
      <c r="L81" s="21" t="str">
        <f aca="false">IFERROR(INDEX(종합!L$3:L$501,MATCH(ROW()-2,종합!$AB$3:$AB$501,0))&amp;"","")</f>
        <v>1004sns1004@gmail.com</v>
      </c>
      <c r="M81" s="21" t="str">
        <f aca="false">IFERROR(INDEX(종합!M$3:M$501,MATCH(ROW()-2,종합!$AB$3:$AB$501,0))&amp;"","")</f>
        <v>서울 구로구 디지털로 300 14층</v>
      </c>
      <c r="N81" s="25" t="str">
        <f aca="false">IFERROR(INDEX(종합!N$3:N$501,MATCH(ROW()-2,종합!$AB$3:$AB$501,0))&amp;"","")</f>
        <v>프라이빗 클라우드 설계/구축/관리, MLOps, GPU 관리  </v>
      </c>
      <c r="O81" s="21" t="str">
        <f aca="false">IFERROR(INDEX(종합!O$3:O$501,MATCH(ROW()-2,종합!$AB$3:$AB$501,0))&amp;"","")</f>
        <v>현근주</v>
      </c>
      <c r="P81" s="21" t="str">
        <f aca="false">IFERROR(INDEX(종합!P$3:P$501,MATCH(ROW()-2,종합!$AB$3:$AB$501,0))&amp;"","")</f>
        <v>플랫폼기술전략실</v>
      </c>
      <c r="Q81" s="21" t="str">
        <f aca="false">IFERROR(INDEX(종합!Q$3:Q$501,MATCH(ROW()-2,종합!$AB$3:$AB$501,0))&amp;"","")</f>
        <v>이사</v>
      </c>
      <c r="R81" s="21" t="str">
        <f aca="false">IFERROR(INDEX(종합!R$3:R$501,MATCH(ROW()-2,종합!$AB$3:$AB$501,0))&amp;"","")</f>
        <v>02-2088-8148</v>
      </c>
      <c r="S81" s="21" t="str">
        <f aca="false">IFERROR(INDEX(종합!S$3:S$501,MATCH(ROW()-2,종합!$AB$3:$AB$501,0))&amp;"","")</f>
        <v>kjhyun@injeinc.co.kr</v>
      </c>
      <c r="T81" s="21" t="str">
        <f aca="false">IFERROR(INDEX(종합!T$3:T$501,MATCH(ROW()-2,종합!$AB$3:$AB$501,0))&amp;"","")</f>
        <v>010-6213-5368</v>
      </c>
      <c r="U81" s="21" t="str">
        <f aca="false">IFERROR(INDEX(종합!U$3:U$501,MATCH(ROW()-2,종합!$AB$3:$AB$501,0))&amp;"","")</f>
        <v>고정완</v>
      </c>
      <c r="V81" s="21" t="str">
        <f aca="false">IFERROR(INDEX(종합!V$3:V$501,MATCH(ROW()-2,종합!$AB$3:$AB$501,0))&amp;"","")</f>
        <v>개발본부</v>
      </c>
      <c r="W81" s="21" t="str">
        <f aca="false">IFERROR(INDEX(종합!W$3:W$501,MATCH(ROW()-2,종합!$AB$3:$AB$501,0))&amp;"","")</f>
        <v>실장</v>
      </c>
      <c r="X81" s="21" t="str">
        <f aca="false">IFERROR(INDEX(종합!X$3:X$501,MATCH(ROW()-2,종합!$AB$3:$AB$501,0))&amp;"","")</f>
        <v>02-2088-8148</v>
      </c>
      <c r="Y81" s="21" t="str">
        <f aca="false">IFERROR(INDEX(종합!Y$3:Y$501,MATCH(ROW()-2,종합!$AB$3:$AB$501,0))&amp;"","")</f>
        <v>roowe@injeinc.co.kr</v>
      </c>
      <c r="Z81" s="21" t="str">
        <f aca="false">IFERROR(INDEX(종합!Z$3:Z$501,MATCH(ROW()-2,종합!$AB$3:$AB$501,0))&amp;"","")</f>
        <v>010-8904-8332</v>
      </c>
    </row>
    <row r="82" customFormat="false" ht="33.75" hidden="false" customHeight="true" outlineLevel="0" collapsed="false">
      <c r="A82" s="18" t="n">
        <f aca="false">IF(B82="","",ROW()-2)</f>
        <v>80</v>
      </c>
      <c r="B82" s="18" t="str">
        <f aca="false">IFERROR(INDEX(종합!B$3:B$501,MATCH(ROW()-2,종합!$AB$3:$AB$501,0))&amp;"","")</f>
        <v>주식회사 스마트코어</v>
      </c>
      <c r="C82" s="18" t="str">
        <f aca="false">IFERROR(INDEX(종합!C$3:C$501,MATCH(ROW()-2,종합!$AB$3:$AB$501,0))&amp;"","")</f>
        <v>O</v>
      </c>
      <c r="D82" s="18" t="str">
        <f aca="false">IFERROR(INDEX(종합!D$3:D$501,MATCH(ROW()-2,종합!$AB$3:$AB$501,0))&amp;"","")</f>
        <v/>
      </c>
      <c r="E82" s="18" t="str">
        <f aca="false">IFERROR(INDEX(종합!E$3:E$501,MATCH(ROW()-2,종합!$AB$3:$AB$501,0))&amp;"","")</f>
        <v/>
      </c>
      <c r="F82" s="18" t="str">
        <f aca="false">IFERROR(INDEX(종합!F$3:F$501,MATCH(ROW()-2,종합!$AB$3:$AB$501,0))&amp;"","")</f>
        <v/>
      </c>
      <c r="G82" s="18" t="str">
        <f aca="false">IFERROR(INDEX(종합!G$3:G$501,MATCH(ROW()-2,종합!$AB$3:$AB$501,0))&amp;"","")</f>
        <v>중소기업</v>
      </c>
      <c r="H82" s="21" t="str">
        <f aca="false">IFERROR(INDEX(종합!H$3:H$501,MATCH(ROW()-2,종합!$AB$3:$AB$501,0))&amp;"","")</f>
        <v>119-86-51660</v>
      </c>
      <c r="I82" s="21" t="str">
        <f aca="false">IFERROR(INDEX(종합!I$3:I$501,MATCH(ROW()-2,종합!$AB$3:$AB$501,0))&amp;"","")</f>
        <v>한근석</v>
      </c>
      <c r="J82" s="21" t="str">
        <f aca="false">IFERROR(INDEX(종합!J$3:J$501,MATCH(ROW()-2,종합!$AB$3:$AB$501,0))&amp;"","")</f>
        <v>03-830-0858</v>
      </c>
      <c r="K82" s="21" t="str">
        <f aca="false">IFERROR(INDEX(종합!K$3:K$501,MATCH(ROW()-2,종합!$AB$3:$AB$501,0))&amp;"","")</f>
        <v>https://www.smcore.co.kr</v>
      </c>
      <c r="L82" s="21" t="str">
        <f aca="false">IFERROR(INDEX(종합!L$3:L$501,MATCH(ROW()-2,종합!$AB$3:$AB$501,0))&amp;"","")</f>
        <v>kcjeonpro@gmail.com</v>
      </c>
      <c r="M82" s="21" t="str">
        <f aca="false">IFERROR(INDEX(종합!M$3:M$501,MATCH(ROW()-2,종합!$AB$3:$AB$501,0))&amp;"","")</f>
        <v>서울특별시 금천구 벚꽃로298, 1607호</v>
      </c>
      <c r="N82" s="25" t="str">
        <f aca="false">IFERROR(INDEX(종합!N$3:N$501,MATCH(ROW()-2,종합!$AB$3:$AB$501,0))&amp;"","")</f>
        <v>연합학습 기반 품질관리(F@AI-PQC) 솔루션 및 온톨로지 기반 사용자 어시스턴트 서비스</v>
      </c>
      <c r="O82" s="21" t="str">
        <f aca="false">IFERROR(INDEX(종합!O$3:O$501,MATCH(ROW()-2,종합!$AB$3:$AB$501,0))&amp;"","")</f>
        <v>김재연</v>
      </c>
      <c r="P82" s="21" t="str">
        <f aca="false">IFERROR(INDEX(종합!P$3:P$501,MATCH(ROW()-2,종합!$AB$3:$AB$501,0))&amp;"","")</f>
        <v>총괄</v>
      </c>
      <c r="Q82" s="21" t="str">
        <f aca="false">IFERROR(INDEX(종합!Q$3:Q$501,MATCH(ROW()-2,종합!$AB$3:$AB$501,0))&amp;"","")</f>
        <v>상무</v>
      </c>
      <c r="R82" s="21" t="str">
        <f aca="false">IFERROR(INDEX(종합!R$3:R$501,MATCH(ROW()-2,종합!$AB$3:$AB$501,0))&amp;"","")</f>
        <v>070-4895-5227</v>
      </c>
      <c r="S82" s="21" t="str">
        <f aca="false">IFERROR(INDEX(종합!S$3:S$501,MATCH(ROW()-2,종합!$AB$3:$AB$501,0))&amp;"","")</f>
        <v>jykim@smcore.co.kr</v>
      </c>
      <c r="T82" s="21" t="str">
        <f aca="false">IFERROR(INDEX(종합!T$3:T$501,MATCH(ROW()-2,종합!$AB$3:$AB$501,0))&amp;"","")</f>
        <v>010-9395-8833</v>
      </c>
      <c r="U82" s="21" t="str">
        <f aca="false">IFERROR(INDEX(종합!U$3:U$501,MATCH(ROW()-2,종합!$AB$3:$AB$501,0))&amp;"","")</f>
        <v>전경찬</v>
      </c>
      <c r="V82" s="21" t="str">
        <f aca="false">IFERROR(INDEX(종합!V$3:V$501,MATCH(ROW()-2,종합!$AB$3:$AB$501,0))&amp;"","")</f>
        <v>사업/기획부</v>
      </c>
      <c r="W82" s="21" t="str">
        <f aca="false">IFERROR(INDEX(종합!W$3:W$501,MATCH(ROW()-2,종합!$AB$3:$AB$501,0))&amp;"","")</f>
        <v>차장</v>
      </c>
      <c r="X82" s="21" t="str">
        <f aca="false">IFERROR(INDEX(종합!X$3:X$501,MATCH(ROW()-2,종합!$AB$3:$AB$501,0))&amp;"","")</f>
        <v>070-4895-5246</v>
      </c>
      <c r="Y82" s="21" t="str">
        <f aca="false">IFERROR(INDEX(종합!Y$3:Y$501,MATCH(ROW()-2,종합!$AB$3:$AB$501,0))&amp;"","")</f>
        <v>kcjeon@smcore.co.kr</v>
      </c>
      <c r="Z82" s="21" t="str">
        <f aca="false">IFERROR(INDEX(종합!Z$3:Z$501,MATCH(ROW()-2,종합!$AB$3:$AB$501,0))&amp;"","")</f>
        <v>010-2753-6564</v>
      </c>
    </row>
    <row r="83" customFormat="false" ht="22.5" hidden="false" customHeight="true" outlineLevel="0" collapsed="false">
      <c r="A83" s="18" t="n">
        <f aca="false">IF(B83="","",ROW()-2)</f>
        <v>81</v>
      </c>
      <c r="B83" s="18" t="str">
        <f aca="false">IFERROR(INDEX(종합!B$3:B$501,MATCH(ROW()-2,종합!$AB$3:$AB$501,0))&amp;"","")</f>
        <v>(주)유비씨</v>
      </c>
      <c r="C83" s="18" t="str">
        <f aca="false">IFERROR(INDEX(종합!C$3:C$501,MATCH(ROW()-2,종합!$AB$3:$AB$501,0))&amp;"","")</f>
        <v>O</v>
      </c>
      <c r="D83" s="18" t="str">
        <f aca="false">IFERROR(INDEX(종합!D$3:D$501,MATCH(ROW()-2,종합!$AB$3:$AB$501,0))&amp;"","")</f>
        <v/>
      </c>
      <c r="E83" s="18" t="str">
        <f aca="false">IFERROR(INDEX(종합!E$3:E$501,MATCH(ROW()-2,종합!$AB$3:$AB$501,0))&amp;"","")</f>
        <v/>
      </c>
      <c r="F83" s="18" t="str">
        <f aca="false">IFERROR(INDEX(종합!F$3:F$501,MATCH(ROW()-2,종합!$AB$3:$AB$501,0))&amp;"","")</f>
        <v/>
      </c>
      <c r="G83" s="18" t="str">
        <f aca="false">IFERROR(INDEX(종합!G$3:G$501,MATCH(ROW()-2,종합!$AB$3:$AB$501,0))&amp;"","")</f>
        <v>중소기업</v>
      </c>
      <c r="H83" s="21" t="str">
        <f aca="false">IFERROR(INDEX(종합!H$3:H$501,MATCH(ROW()-2,종합!$AB$3:$AB$501,0))&amp;"","")</f>
        <v>220-87-99108</v>
      </c>
      <c r="I83" s="21" t="str">
        <f aca="false">IFERROR(INDEX(종합!I$3:I$501,MATCH(ROW()-2,종합!$AB$3:$AB$501,0))&amp;"","")</f>
        <v>조규종</v>
      </c>
      <c r="J83" s="21" t="str">
        <f aca="false">IFERROR(INDEX(종합!J$3:J$501,MATCH(ROW()-2,종합!$AB$3:$AB$501,0))&amp;"","")</f>
        <v>031-346-5497</v>
      </c>
      <c r="K83" s="21" t="str">
        <f aca="false">IFERROR(INDEX(종합!K$3:K$501,MATCH(ROW()-2,종합!$AB$3:$AB$501,0))&amp;"","")</f>
        <v>uvc.co.kr</v>
      </c>
      <c r="L83" s="21" t="str">
        <f aca="false">IFERROR(INDEX(종합!L$3:L$501,MATCH(ROW()-2,종합!$AB$3:$AB$501,0))&amp;"","")</f>
        <v>nkh@uvc.co.kr</v>
      </c>
      <c r="M83" s="21" t="str">
        <f aca="false">IFERROR(INDEX(종합!M$3:M$501,MATCH(ROW()-2,종합!$AB$3:$AB$501,0))&amp;"","")</f>
        <v>경기도 안양시 동안구 시민대로248번길 25, 1001호 (관양동)</v>
      </c>
      <c r="N83" s="25" t="str">
        <f aca="false">IFERROR(INDEX(종합!N$3:N$501,MATCH(ROW()-2,종합!$AB$3:$AB$501,0))&amp;"","")</f>
        <v>AI 디지털 트윈 자율제조</v>
      </c>
      <c r="O83" s="21" t="str">
        <f aca="false">IFERROR(INDEX(종합!O$3:O$501,MATCH(ROW()-2,종합!$AB$3:$AB$501,0))&amp;"","")</f>
        <v>정현석</v>
      </c>
      <c r="P83" s="21" t="str">
        <f aca="false">IFERROR(INDEX(종합!P$3:P$501,MATCH(ROW()-2,종합!$AB$3:$AB$501,0))&amp;"","")</f>
        <v>AI센터</v>
      </c>
      <c r="Q83" s="21" t="str">
        <f aca="false">IFERROR(INDEX(종합!Q$3:Q$501,MATCH(ROW()-2,종합!$AB$3:$AB$501,0))&amp;"","")</f>
        <v>이사</v>
      </c>
      <c r="R83" s="21" t="str">
        <f aca="false">IFERROR(INDEX(종합!R$3:R$501,MATCH(ROW()-2,종합!$AB$3:$AB$501,0))&amp;"","")</f>
        <v>031-346-5497</v>
      </c>
      <c r="S83" s="21" t="str">
        <f aca="false">IFERROR(INDEX(종합!S$3:S$501,MATCH(ROW()-2,종합!$AB$3:$AB$501,0))&amp;"","")</f>
        <v>hyunseok.jeong@uvc.co.kr</v>
      </c>
      <c r="T83" s="21" t="str">
        <f aca="false">IFERROR(INDEX(종합!T$3:T$501,MATCH(ROW()-2,종합!$AB$3:$AB$501,0))&amp;"","")</f>
        <v>010-2399-1090</v>
      </c>
      <c r="U83" s="21" t="str">
        <f aca="false">IFERROR(INDEX(종합!U$3:U$501,MATCH(ROW()-2,종합!$AB$3:$AB$501,0))&amp;"","")</f>
        <v>남경호</v>
      </c>
      <c r="V83" s="21" t="str">
        <f aca="false">IFERROR(INDEX(종합!V$3:V$501,MATCH(ROW()-2,종합!$AB$3:$AB$501,0))&amp;"","")</f>
        <v>AI센터</v>
      </c>
      <c r="W83" s="21" t="str">
        <f aca="false">IFERROR(INDEX(종합!W$3:W$501,MATCH(ROW()-2,종합!$AB$3:$AB$501,0))&amp;"","")</f>
        <v>팀장</v>
      </c>
      <c r="X83" s="21" t="str">
        <f aca="false">IFERROR(INDEX(종합!X$3:X$501,MATCH(ROW()-2,종합!$AB$3:$AB$501,0))&amp;"","")</f>
        <v>031-346-5497</v>
      </c>
      <c r="Y83" s="21" t="str">
        <f aca="false">IFERROR(INDEX(종합!Y$3:Y$501,MATCH(ROW()-2,종합!$AB$3:$AB$501,0))&amp;"","")</f>
        <v>nkh@uvc.co.kr</v>
      </c>
      <c r="Z83" s="21" t="str">
        <f aca="false">IFERROR(INDEX(종합!Z$3:Z$501,MATCH(ROW()-2,종합!$AB$3:$AB$501,0))&amp;"","")</f>
        <v>010-5022-3280</v>
      </c>
    </row>
    <row r="84" customFormat="false" ht="22.5" hidden="false" customHeight="true" outlineLevel="0" collapsed="false">
      <c r="A84" s="18" t="n">
        <f aca="false">IF(B84="","",ROW()-2)</f>
        <v>82</v>
      </c>
      <c r="B84" s="18" t="str">
        <f aca="false">IFERROR(INDEX(종합!B$3:B$501,MATCH(ROW()-2,종합!$AB$3:$AB$501,0))&amp;"","")</f>
        <v>(주)시큐어월</v>
      </c>
      <c r="C84" s="18" t="str">
        <f aca="false">IFERROR(INDEX(종합!C$3:C$501,MATCH(ROW()-2,종합!$AB$3:$AB$501,0))&amp;"","")</f>
        <v>O</v>
      </c>
      <c r="D84" s="18" t="str">
        <f aca="false">IFERROR(INDEX(종합!D$3:D$501,MATCH(ROW()-2,종합!$AB$3:$AB$501,0))&amp;"","")</f>
        <v/>
      </c>
      <c r="E84" s="18" t="str">
        <f aca="false">IFERROR(INDEX(종합!E$3:E$501,MATCH(ROW()-2,종합!$AB$3:$AB$501,0))&amp;"","")</f>
        <v/>
      </c>
      <c r="F84" s="18" t="str">
        <f aca="false">IFERROR(INDEX(종합!F$3:F$501,MATCH(ROW()-2,종합!$AB$3:$AB$501,0))&amp;"","")</f>
        <v/>
      </c>
      <c r="G84" s="18" t="str">
        <f aca="false">IFERROR(INDEX(종합!G$3:G$501,MATCH(ROW()-2,종합!$AB$3:$AB$501,0))&amp;"","")</f>
        <v>중소기업</v>
      </c>
      <c r="H84" s="21" t="str">
        <f aca="false">IFERROR(INDEX(종합!H$3:H$501,MATCH(ROW()-2,종합!$AB$3:$AB$501,0))&amp;"","")</f>
        <v>603-81-55394</v>
      </c>
      <c r="I84" s="21" t="str">
        <f aca="false">IFERROR(INDEX(종합!I$3:I$501,MATCH(ROW()-2,종합!$AB$3:$AB$501,0))&amp;"","")</f>
        <v>우석규</v>
      </c>
      <c r="J84" s="21" t="str">
        <f aca="false">IFERROR(INDEX(종합!J$3:J$501,MATCH(ROW()-2,종합!$AB$3:$AB$501,0))&amp;"","")</f>
        <v>051-505-2321</v>
      </c>
      <c r="K84" s="21" t="str">
        <f aca="false">IFERROR(INDEX(종합!K$3:K$501,MATCH(ROW()-2,종합!$AB$3:$AB$501,0))&amp;"","")</f>
        <v>www.securewall.co.kr</v>
      </c>
      <c r="L84" s="21" t="str">
        <f aca="false">IFERROR(INDEX(종합!L$3:L$501,MATCH(ROW()-2,종합!$AB$3:$AB$501,0))&amp;"","")</f>
        <v>dev.securewall@gmail.com</v>
      </c>
      <c r="M84" s="21" t="str">
        <f aca="false">IFERROR(INDEX(종합!M$3:M$501,MATCH(ROW()-2,종합!$AB$3:$AB$501,0))&amp;"","")</f>
        <v>부산광역시 해운대구 센텀중앙로 66, 1001호(우동,센텀T타워) </v>
      </c>
      <c r="N84" s="25" t="str">
        <f aca="false">IFERROR(INDEX(종합!N$3:N$501,MATCH(ROW()-2,종합!$AB$3:$AB$501,0))&amp;"","")</f>
        <v>전산관리 AI관제</v>
      </c>
      <c r="O84" s="21" t="str">
        <f aca="false">IFERROR(INDEX(종합!O$3:O$501,MATCH(ROW()-2,종합!$AB$3:$AB$501,0))&amp;"","")</f>
        <v>우석규</v>
      </c>
      <c r="P84" s="21" t="str">
        <f aca="false">IFERROR(INDEX(종합!P$3:P$501,MATCH(ROW()-2,종합!$AB$3:$AB$501,0))&amp;"","")</f>
        <v>대표이사</v>
      </c>
      <c r="Q84" s="21" t="str">
        <f aca="false">IFERROR(INDEX(종합!Q$3:Q$501,MATCH(ROW()-2,종합!$AB$3:$AB$501,0))&amp;"","")</f>
        <v>대표이사</v>
      </c>
      <c r="R84" s="21" t="str">
        <f aca="false">IFERROR(INDEX(종합!R$3:R$501,MATCH(ROW()-2,종합!$AB$3:$AB$501,0))&amp;"","")</f>
        <v>010-4859-2101</v>
      </c>
      <c r="S84" s="21" t="str">
        <f aca="false">IFERROR(INDEX(종합!S$3:S$501,MATCH(ROW()-2,종합!$AB$3:$AB$501,0))&amp;"","")</f>
        <v>skwoo7@securewall.co.kr</v>
      </c>
      <c r="T84" s="21" t="str">
        <f aca="false">IFERROR(INDEX(종합!T$3:T$501,MATCH(ROW()-2,종합!$AB$3:$AB$501,0))&amp;"","")</f>
        <v>010-4859-2101</v>
      </c>
      <c r="U84" s="21" t="str">
        <f aca="false">IFERROR(INDEX(종합!U$3:U$501,MATCH(ROW()-2,종합!$AB$3:$AB$501,0))&amp;"","")</f>
        <v>이정명</v>
      </c>
      <c r="V84" s="21" t="str">
        <f aca="false">IFERROR(INDEX(종합!V$3:V$501,MATCH(ROW()-2,종합!$AB$3:$AB$501,0))&amp;"","")</f>
        <v>정보보호기술연구소</v>
      </c>
      <c r="W84" s="21" t="str">
        <f aca="false">IFERROR(INDEX(종합!W$3:W$501,MATCH(ROW()-2,종합!$AB$3:$AB$501,0))&amp;"","")</f>
        <v>연구원</v>
      </c>
      <c r="X84" s="21" t="str">
        <f aca="false">IFERROR(INDEX(종합!X$3:X$501,MATCH(ROW()-2,종합!$AB$3:$AB$501,0))&amp;"","")</f>
        <v>010-6760-6819</v>
      </c>
      <c r="Y84" s="21" t="str">
        <f aca="false">IFERROR(INDEX(종합!Y$3:Y$501,MATCH(ROW()-2,종합!$AB$3:$AB$501,0))&amp;"","")</f>
        <v>jmlee@securewall.co.kr</v>
      </c>
      <c r="Z84" s="21" t="str">
        <f aca="false">IFERROR(INDEX(종합!Z$3:Z$501,MATCH(ROW()-2,종합!$AB$3:$AB$501,0))&amp;"","")</f>
        <v>010-6760-6819</v>
      </c>
    </row>
    <row r="85" customFormat="false" ht="33.75" hidden="false" customHeight="true" outlineLevel="0" collapsed="false">
      <c r="A85" s="18" t="n">
        <f aca="false">IF(B85="","",ROW()-2)</f>
        <v>83</v>
      </c>
      <c r="B85" s="18" t="str">
        <f aca="false">IFERROR(INDEX(종합!B$3:B$501,MATCH(ROW()-2,종합!$AB$3:$AB$501,0))&amp;"","")</f>
        <v>(주)심시스글로벌</v>
      </c>
      <c r="C85" s="18" t="str">
        <f aca="false">IFERROR(INDEX(종합!C$3:C$501,MATCH(ROW()-2,종합!$AB$3:$AB$501,0))&amp;"","")</f>
        <v>O</v>
      </c>
      <c r="D85" s="18" t="str">
        <f aca="false">IFERROR(INDEX(종합!D$3:D$501,MATCH(ROW()-2,종합!$AB$3:$AB$501,0))&amp;"","")</f>
        <v/>
      </c>
      <c r="E85" s="18" t="str">
        <f aca="false">IFERROR(INDEX(종합!E$3:E$501,MATCH(ROW()-2,종합!$AB$3:$AB$501,0))&amp;"","")</f>
        <v/>
      </c>
      <c r="F85" s="18" t="str">
        <f aca="false">IFERROR(INDEX(종합!F$3:F$501,MATCH(ROW()-2,종합!$AB$3:$AB$501,0))&amp;"","")</f>
        <v/>
      </c>
      <c r="G85" s="18" t="str">
        <f aca="false">IFERROR(INDEX(종합!G$3:G$501,MATCH(ROW()-2,종합!$AB$3:$AB$501,0))&amp;"","")</f>
        <v>중소기업</v>
      </c>
      <c r="H85" s="21" t="str">
        <f aca="false">IFERROR(INDEX(종합!H$3:H$501,MATCH(ROW()-2,종합!$AB$3:$AB$501,0))&amp;"","")</f>
        <v>344-81-00364</v>
      </c>
      <c r="I85" s="21" t="str">
        <f aca="false">IFERROR(INDEX(종합!I$3:I$501,MATCH(ROW()-2,종합!$AB$3:$AB$501,0))&amp;"","")</f>
        <v>김윤제</v>
      </c>
      <c r="J85" s="21" t="str">
        <f aca="false">IFERROR(INDEX(종합!J$3:J$501,MATCH(ROW()-2,종합!$AB$3:$AB$501,0))&amp;"","")</f>
        <v>02-6953-9251</v>
      </c>
      <c r="K85" s="21" t="str">
        <f aca="false">IFERROR(INDEX(종합!K$3:K$501,MATCH(ROW()-2,종합!$AB$3:$AB$501,0))&amp;"","")</f>
        <v>www.simsysglobal.com</v>
      </c>
      <c r="L85" s="21" t="str">
        <f aca="false">IFERROR(INDEX(종합!L$3:L$501,MATCH(ROW()-2,종합!$AB$3:$AB$501,0))&amp;"","")</f>
        <v>hskim515@gmail.com</v>
      </c>
      <c r="M85" s="21" t="str">
        <f aca="false">IFERROR(INDEX(종합!M$3:M$501,MATCH(ROW()-2,종합!$AB$3:$AB$501,0))&amp;"","")</f>
        <v>서울 서초구 동산로 23 베델회관 6층</v>
      </c>
      <c r="N85" s="25" t="str">
        <f aca="false">IFERROR(INDEX(종합!N$3:N$501,MATCH(ROW()-2,종합!$AB$3:$AB$501,0))&amp;"","")</f>
        <v>Spatial AI, VLM, Agentic AI 서비스, AI DigitalTwin, 공간Ontology 등</v>
      </c>
      <c r="O85" s="21" t="str">
        <f aca="false">IFERROR(INDEX(종합!O$3:O$501,MATCH(ROW()-2,종합!$AB$3:$AB$501,0))&amp;"","")</f>
        <v>김현수 </v>
      </c>
      <c r="P85" s="21" t="str">
        <f aca="false">IFERROR(INDEX(종합!P$3:P$501,MATCH(ROW()-2,종합!$AB$3:$AB$501,0))&amp;"","")</f>
        <v>사업부문</v>
      </c>
      <c r="Q85" s="21" t="str">
        <f aca="false">IFERROR(INDEX(종합!Q$3:Q$501,MATCH(ROW()-2,종합!$AB$3:$AB$501,0))&amp;"","")</f>
        <v>부사장 / 사업부문 대표 / CGO</v>
      </c>
      <c r="R85" s="21" t="str">
        <f aca="false">IFERROR(INDEX(종합!R$3:R$501,MATCH(ROW()-2,종합!$AB$3:$AB$501,0))&amp;"","")</f>
        <v>02-6953-9251</v>
      </c>
      <c r="S85" s="21" t="str">
        <f aca="false">IFERROR(INDEX(종합!S$3:S$501,MATCH(ROW()-2,종합!$AB$3:$AB$501,0))&amp;"","")</f>
        <v>hskim@simsysglobal.com</v>
      </c>
      <c r="T85" s="21" t="str">
        <f aca="false">IFERROR(INDEX(종합!T$3:T$501,MATCH(ROW()-2,종합!$AB$3:$AB$501,0))&amp;"","")</f>
        <v>010-5298-4859</v>
      </c>
      <c r="U85" s="21" t="str">
        <f aca="false">IFERROR(INDEX(종합!U$3:U$501,MATCH(ROW()-2,종합!$AB$3:$AB$501,0))&amp;"","")</f>
        <v>이지은</v>
      </c>
      <c r="V85" s="21" t="str">
        <f aca="false">IFERROR(INDEX(종합!V$3:V$501,MATCH(ROW()-2,종합!$AB$3:$AB$501,0))&amp;"","")</f>
        <v>AI개발본부</v>
      </c>
      <c r="W85" s="21" t="str">
        <f aca="false">IFERROR(INDEX(종합!W$3:W$501,MATCH(ROW()-2,종합!$AB$3:$AB$501,0))&amp;"","")</f>
        <v>상무 / 본부장 / CTO</v>
      </c>
      <c r="X85" s="21" t="str">
        <f aca="false">IFERROR(INDEX(종합!X$3:X$501,MATCH(ROW()-2,종합!$AB$3:$AB$501,0))&amp;"","")</f>
        <v>02-6953-9251</v>
      </c>
      <c r="Y85" s="21" t="str">
        <f aca="false">IFERROR(INDEX(종합!Y$3:Y$501,MATCH(ROW()-2,종합!$AB$3:$AB$501,0))&amp;"","")</f>
        <v>jelee@simsysglobal.com</v>
      </c>
      <c r="Z85" s="21" t="str">
        <f aca="false">IFERROR(INDEX(종합!Z$3:Z$501,MATCH(ROW()-2,종합!$AB$3:$AB$501,0))&amp;"","")</f>
        <v>010-2778-7183</v>
      </c>
    </row>
    <row r="86" customFormat="false" ht="22.5" hidden="false" customHeight="true" outlineLevel="0" collapsed="false">
      <c r="A86" s="18" t="n">
        <f aca="false">IF(B86="","",ROW()-2)</f>
        <v>84</v>
      </c>
      <c r="B86" s="18" t="str">
        <f aca="false">IFERROR(INDEX(종합!B$3:B$501,MATCH(ROW()-2,종합!$AB$3:$AB$501,0))&amp;"","")</f>
        <v>주식회사 코드제이</v>
      </c>
      <c r="C86" s="18" t="str">
        <f aca="false">IFERROR(INDEX(종합!C$3:C$501,MATCH(ROW()-2,종합!$AB$3:$AB$501,0))&amp;"","")</f>
        <v>O</v>
      </c>
      <c r="D86" s="18" t="str">
        <f aca="false">IFERROR(INDEX(종합!D$3:D$501,MATCH(ROW()-2,종합!$AB$3:$AB$501,0))&amp;"","")</f>
        <v/>
      </c>
      <c r="E86" s="18" t="str">
        <f aca="false">IFERROR(INDEX(종합!E$3:E$501,MATCH(ROW()-2,종합!$AB$3:$AB$501,0))&amp;"","")</f>
        <v/>
      </c>
      <c r="F86" s="18" t="str">
        <f aca="false">IFERROR(INDEX(종합!F$3:F$501,MATCH(ROW()-2,종합!$AB$3:$AB$501,0))&amp;"","")</f>
        <v/>
      </c>
      <c r="G86" s="18" t="str">
        <f aca="false">IFERROR(INDEX(종합!G$3:G$501,MATCH(ROW()-2,종합!$AB$3:$AB$501,0))&amp;"","")</f>
        <v>중소기업</v>
      </c>
      <c r="H86" s="21" t="str">
        <f aca="false">IFERROR(INDEX(종합!H$3:H$501,MATCH(ROW()-2,종합!$AB$3:$AB$501,0))&amp;"","")</f>
        <v>259-87-01922</v>
      </c>
      <c r="I86" s="21" t="str">
        <f aca="false">IFERROR(INDEX(종합!I$3:I$501,MATCH(ROW()-2,종합!$AB$3:$AB$501,0))&amp;"","")</f>
        <v>김영민</v>
      </c>
      <c r="J86" s="21" t="str">
        <f aca="false">IFERROR(INDEX(종합!J$3:J$501,MATCH(ROW()-2,종합!$AB$3:$AB$501,0))&amp;"","")</f>
        <v>010-8822-2667</v>
      </c>
      <c r="K86" s="21" t="str">
        <f aca="false">IFERROR(INDEX(종합!K$3:K$501,MATCH(ROW()-2,종합!$AB$3:$AB$501,0))&amp;"","")</f>
        <v>www.codejone.com</v>
      </c>
      <c r="L86" s="21" t="str">
        <f aca="false">IFERROR(INDEX(종합!L$3:L$501,MATCH(ROW()-2,종합!$AB$3:$AB$501,0))&amp;"","")</f>
        <v>stirite2@gmail.com</v>
      </c>
      <c r="M86" s="21" t="str">
        <f aca="false">IFERROR(INDEX(종합!M$3:M$501,MATCH(ROW()-2,종합!$AB$3:$AB$501,0))&amp;"","")</f>
        <v>대전광역시 유성구 테크노9로 35, 아이티전용벤처타운 208호 </v>
      </c>
      <c r="N86" s="25" t="str">
        <f aca="false">IFERROR(INDEX(종합!N$3:N$501,MATCH(ROW()-2,종합!$AB$3:$AB$501,0))&amp;"","")</f>
        <v>지능형 네트워크 관리 시스템</v>
      </c>
      <c r="O86" s="21" t="str">
        <f aca="false">IFERROR(INDEX(종합!O$3:O$501,MATCH(ROW()-2,종합!$AB$3:$AB$501,0))&amp;"","")</f>
        <v>김영민</v>
      </c>
      <c r="P86" s="21" t="str">
        <f aca="false">IFERROR(INDEX(종합!P$3:P$501,MATCH(ROW()-2,종합!$AB$3:$AB$501,0))&amp;"","")</f>
        <v>경영팀</v>
      </c>
      <c r="Q86" s="21" t="str">
        <f aca="false">IFERROR(INDEX(종합!Q$3:Q$501,MATCH(ROW()-2,종합!$AB$3:$AB$501,0))&amp;"","")</f>
        <v>대표이사</v>
      </c>
      <c r="R86" s="21" t="str">
        <f aca="false">IFERROR(INDEX(종합!R$3:R$501,MATCH(ROW()-2,종합!$AB$3:$AB$501,0))&amp;"","")</f>
        <v>010-8822-2667</v>
      </c>
      <c r="S86" s="21" t="str">
        <f aca="false">IFERROR(INDEX(종합!S$3:S$501,MATCH(ROW()-2,종합!$AB$3:$AB$501,0))&amp;"","")</f>
        <v>zeromin@codejone.com</v>
      </c>
      <c r="T86" s="21" t="str">
        <f aca="false">IFERROR(INDEX(종합!T$3:T$501,MATCH(ROW()-2,종합!$AB$3:$AB$501,0))&amp;"","")</f>
        <v>010-8822-2667</v>
      </c>
      <c r="U86" s="21" t="str">
        <f aca="false">IFERROR(INDEX(종합!U$3:U$501,MATCH(ROW()-2,종합!$AB$3:$AB$501,0))&amp;"","")</f>
        <v>김형수</v>
      </c>
      <c r="V86" s="21" t="str">
        <f aca="false">IFERROR(INDEX(종합!V$3:V$501,MATCH(ROW()-2,종합!$AB$3:$AB$501,0))&amp;"","")</f>
        <v>지능화연구팀</v>
      </c>
      <c r="W86" s="21" t="str">
        <f aca="false">IFERROR(INDEX(종합!W$3:W$501,MATCH(ROW()-2,종합!$AB$3:$AB$501,0))&amp;"","")</f>
        <v>수석연구원</v>
      </c>
      <c r="X86" s="21" t="str">
        <f aca="false">IFERROR(INDEX(종합!X$3:X$501,MATCH(ROW()-2,종합!$AB$3:$AB$501,0))&amp;"","")</f>
        <v>010-9554-5043</v>
      </c>
      <c r="Y86" s="21" t="str">
        <f aca="false">IFERROR(INDEX(종합!Y$3:Y$501,MATCH(ROW()-2,종합!$AB$3:$AB$501,0))&amp;"","")</f>
        <v>hskim24@codejone.com</v>
      </c>
      <c r="Z86" s="21" t="str">
        <f aca="false">IFERROR(INDEX(종합!Z$3:Z$501,MATCH(ROW()-2,종합!$AB$3:$AB$501,0))&amp;"","")</f>
        <v>010-9554-5043</v>
      </c>
    </row>
    <row r="87" customFormat="false" ht="22.5" hidden="false" customHeight="true" outlineLevel="0" collapsed="false">
      <c r="A87" s="18" t="n">
        <f aca="false">IF(B87="","",ROW()-2)</f>
        <v>85</v>
      </c>
      <c r="B87" s="18" t="str">
        <f aca="false">IFERROR(INDEX(종합!B$3:B$501,MATCH(ROW()-2,종합!$AB$3:$AB$501,0))&amp;"","")</f>
        <v>오브젠 주식회사</v>
      </c>
      <c r="C87" s="18" t="str">
        <f aca="false">IFERROR(INDEX(종합!C$3:C$501,MATCH(ROW()-2,종합!$AB$3:$AB$501,0))&amp;"","")</f>
        <v>O</v>
      </c>
      <c r="D87" s="18" t="str">
        <f aca="false">IFERROR(INDEX(종합!D$3:D$501,MATCH(ROW()-2,종합!$AB$3:$AB$501,0))&amp;"","")</f>
        <v/>
      </c>
      <c r="E87" s="18" t="str">
        <f aca="false">IFERROR(INDEX(종합!E$3:E$501,MATCH(ROW()-2,종합!$AB$3:$AB$501,0))&amp;"","")</f>
        <v/>
      </c>
      <c r="F87" s="18" t="str">
        <f aca="false">IFERROR(INDEX(종합!F$3:F$501,MATCH(ROW()-2,종합!$AB$3:$AB$501,0))&amp;"","")</f>
        <v/>
      </c>
      <c r="G87" s="18" t="str">
        <f aca="false">IFERROR(INDEX(종합!G$3:G$501,MATCH(ROW()-2,종합!$AB$3:$AB$501,0))&amp;"","")</f>
        <v>중소기업</v>
      </c>
      <c r="H87" s="21" t="str">
        <f aca="false">IFERROR(INDEX(종합!H$3:H$501,MATCH(ROW()-2,종합!$AB$3:$AB$501,0))&amp;"","")</f>
        <v>120-86-04696</v>
      </c>
      <c r="I87" s="21" t="str">
        <f aca="false">IFERROR(INDEX(종합!I$3:I$501,MATCH(ROW()-2,종합!$AB$3:$AB$501,0))&amp;"","")</f>
        <v>전배문, 유용희</v>
      </c>
      <c r="J87" s="21" t="str">
        <f aca="false">IFERROR(INDEX(종합!J$3:J$501,MATCH(ROW()-2,종합!$AB$3:$AB$501,0))&amp;"","")</f>
        <v>02-3775-4600</v>
      </c>
      <c r="K87" s="21" t="str">
        <f aca="false">IFERROR(INDEX(종합!K$3:K$501,MATCH(ROW()-2,종합!$AB$3:$AB$501,0))&amp;"","")</f>
        <v>www.obzen.com</v>
      </c>
      <c r="L87" s="21" t="str">
        <f aca="false">IFERROR(INDEX(종합!L$3:L$501,MATCH(ROW()-2,종합!$AB$3:$AB$501,0))&amp;"","")</f>
        <v>yangwooko@gmail.com</v>
      </c>
      <c r="M87" s="21" t="str">
        <f aca="false">IFERROR(INDEX(종합!M$3:M$501,MATCH(ROW()-2,종합!$AB$3:$AB$501,0))&amp;"","")</f>
        <v>서울특별시 영등포구 여의대로 14, 12층 (여의도동, KT여의도타워)</v>
      </c>
      <c r="N87" s="25" t="str">
        <f aca="false">IFERROR(INDEX(종합!N$3:N$501,MATCH(ROW()-2,종합!$AB$3:$AB$501,0))&amp;"","")</f>
        <v>마케팅 및 업무용 에이전틱 AI</v>
      </c>
      <c r="O87" s="21" t="str">
        <f aca="false">IFERROR(INDEX(종합!O$3:O$501,MATCH(ROW()-2,종합!$AB$3:$AB$501,0))&amp;"","")</f>
        <v>고양우</v>
      </c>
      <c r="P87" s="21" t="str">
        <f aca="false">IFERROR(INDEX(종합!P$3:P$501,MATCH(ROW()-2,종합!$AB$3:$AB$501,0))&amp;"","")</f>
        <v>AI전략센터</v>
      </c>
      <c r="Q87" s="21" t="str">
        <f aca="false">IFERROR(INDEX(종합!Q$3:Q$501,MATCH(ROW()-2,종합!$AB$3:$AB$501,0))&amp;"","")</f>
        <v>전무</v>
      </c>
      <c r="R87" s="21" t="str">
        <f aca="false">IFERROR(INDEX(종합!R$3:R$501,MATCH(ROW()-2,종합!$AB$3:$AB$501,0))&amp;"","")</f>
        <v>010-5494-6405</v>
      </c>
      <c r="S87" s="21" t="str">
        <f aca="false">IFERROR(INDEX(종합!S$3:S$501,MATCH(ROW()-2,종합!$AB$3:$AB$501,0))&amp;"","")</f>
        <v>ywko@obzen.com</v>
      </c>
      <c r="T87" s="21" t="str">
        <f aca="false">IFERROR(INDEX(종합!T$3:T$501,MATCH(ROW()-2,종합!$AB$3:$AB$501,0))&amp;"","")</f>
        <v>010-5494-6405</v>
      </c>
      <c r="U87" s="21" t="str">
        <f aca="false">IFERROR(INDEX(종합!U$3:U$501,MATCH(ROW()-2,종합!$AB$3:$AB$501,0))&amp;"","")</f>
        <v>최성은</v>
      </c>
      <c r="V87" s="21" t="str">
        <f aca="false">IFERROR(INDEX(종합!V$3:V$501,MATCH(ROW()-2,종합!$AB$3:$AB$501,0))&amp;"","")</f>
        <v>AI LAB</v>
      </c>
      <c r="W87" s="21" t="str">
        <f aca="false">IFERROR(INDEX(종합!W$3:W$501,MATCH(ROW()-2,종합!$AB$3:$AB$501,0))&amp;"","")</f>
        <v>과장</v>
      </c>
      <c r="X87" s="21" t="str">
        <f aca="false">IFERROR(INDEX(종합!X$3:X$501,MATCH(ROW()-2,종합!$AB$3:$AB$501,0))&amp;"","")</f>
        <v>010-9618-7194</v>
      </c>
      <c r="Y87" s="21" t="str">
        <f aca="false">IFERROR(INDEX(종합!Y$3:Y$501,MATCH(ROW()-2,종합!$AB$3:$AB$501,0))&amp;"","")</f>
        <v>gracefully@obzen.com</v>
      </c>
      <c r="Z87" s="21" t="str">
        <f aca="false">IFERROR(INDEX(종합!Z$3:Z$501,MATCH(ROW()-2,종합!$AB$3:$AB$501,0))&amp;"","")</f>
        <v>010-9618-7194</v>
      </c>
    </row>
    <row r="88" customFormat="false" ht="22.5" hidden="false" customHeight="true" outlineLevel="0" collapsed="false">
      <c r="A88" s="18" t="n">
        <f aca="false">IF(B88="","",ROW()-2)</f>
        <v>86</v>
      </c>
      <c r="B88" s="18" t="str">
        <f aca="false">IFERROR(INDEX(종합!B$3:B$501,MATCH(ROW()-2,종합!$AB$3:$AB$501,0))&amp;"","")</f>
        <v>주식회사 쿼리시스템즈</v>
      </c>
      <c r="C88" s="18" t="str">
        <f aca="false">IFERROR(INDEX(종합!C$3:C$501,MATCH(ROW()-2,종합!$AB$3:$AB$501,0))&amp;"","")</f>
        <v>O</v>
      </c>
      <c r="D88" s="18" t="str">
        <f aca="false">IFERROR(INDEX(종합!D$3:D$501,MATCH(ROW()-2,종합!$AB$3:$AB$501,0))&amp;"","")</f>
        <v/>
      </c>
      <c r="E88" s="18" t="str">
        <f aca="false">IFERROR(INDEX(종합!E$3:E$501,MATCH(ROW()-2,종합!$AB$3:$AB$501,0))&amp;"","")</f>
        <v>O</v>
      </c>
      <c r="F88" s="18" t="str">
        <f aca="false">IFERROR(INDEX(종합!F$3:F$501,MATCH(ROW()-2,종합!$AB$3:$AB$501,0))&amp;"","")</f>
        <v/>
      </c>
      <c r="G88" s="18" t="str">
        <f aca="false">IFERROR(INDEX(종합!G$3:G$501,MATCH(ROW()-2,종합!$AB$3:$AB$501,0))&amp;"","")</f>
        <v>중소기업</v>
      </c>
      <c r="H88" s="21" t="str">
        <f aca="false">IFERROR(INDEX(종합!H$3:H$501,MATCH(ROW()-2,종합!$AB$3:$AB$501,0))&amp;"","")</f>
        <v>215-87-03537</v>
      </c>
      <c r="I88" s="21" t="str">
        <f aca="false">IFERROR(INDEX(종합!I$3:I$501,MATCH(ROW()-2,종합!$AB$3:$AB$501,0))&amp;"","")</f>
        <v>현원필</v>
      </c>
      <c r="J88" s="21" t="str">
        <f aca="false">IFERROR(INDEX(종합!J$3:J$501,MATCH(ROW()-2,종합!$AB$3:$AB$501,0))&amp;"","")</f>
        <v>02-421-8858</v>
      </c>
      <c r="K88" s="21" t="str">
        <f aca="false">IFERROR(INDEX(종합!K$3:K$501,MATCH(ROW()-2,종합!$AB$3:$AB$501,0))&amp;"","")</f>
        <v>https://quarry.kr/</v>
      </c>
      <c r="L88" s="21" t="str">
        <f aca="false">IFERROR(INDEX(종합!L$3:L$501,MATCH(ROW()-2,종합!$AB$3:$AB$501,0))&amp;"","")</f>
        <v>brianmoonkr@gmail.com</v>
      </c>
      <c r="M88" s="21" t="str">
        <f aca="false">IFERROR(INDEX(종합!M$3:M$501,MATCH(ROW()-2,종합!$AB$3:$AB$501,0))&amp;"","")</f>
        <v>서울시 강남구 영동대로85길 13 송석빌딩 4층</v>
      </c>
      <c r="N88" s="25" t="str">
        <f aca="false">IFERROR(INDEX(종합!N$3:N$501,MATCH(ROW()-2,종합!$AB$3:$AB$501,0))&amp;"","")</f>
        <v>QTIE / AI Agent 기반 Smart Assistsant 솔루션</v>
      </c>
      <c r="O88" s="21" t="str">
        <f aca="false">IFERROR(INDEX(종합!O$3:O$501,MATCH(ROW()-2,종합!$AB$3:$AB$501,0))&amp;"","")</f>
        <v>문승완</v>
      </c>
      <c r="P88" s="21" t="str">
        <f aca="false">IFERROR(INDEX(종합!P$3:P$501,MATCH(ROW()-2,종합!$AB$3:$AB$501,0))&amp;"","")</f>
        <v>기술연구소</v>
      </c>
      <c r="Q88" s="21" t="str">
        <f aca="false">IFERROR(INDEX(종합!Q$3:Q$501,MATCH(ROW()-2,종합!$AB$3:$AB$501,0))&amp;"","")</f>
        <v>이사</v>
      </c>
      <c r="R88" s="21" t="str">
        <f aca="false">IFERROR(INDEX(종합!R$3:R$501,MATCH(ROW()-2,종합!$AB$3:$AB$501,0))&amp;"","")</f>
        <v>010-2727-2783</v>
      </c>
      <c r="S88" s="21" t="str">
        <f aca="false">IFERROR(INDEX(종합!S$3:S$501,MATCH(ROW()-2,종합!$AB$3:$AB$501,0))&amp;"","")</f>
        <v>swmoon@quarry.kr</v>
      </c>
      <c r="T88" s="21" t="str">
        <f aca="false">IFERROR(INDEX(종합!T$3:T$501,MATCH(ROW()-2,종합!$AB$3:$AB$501,0))&amp;"","")</f>
        <v>010-2727-2783</v>
      </c>
      <c r="U88" s="21" t="str">
        <f aca="false">IFERROR(INDEX(종합!U$3:U$501,MATCH(ROW()-2,종합!$AB$3:$AB$501,0))&amp;"","")</f>
        <v>문승완</v>
      </c>
      <c r="V88" s="21" t="str">
        <f aca="false">IFERROR(INDEX(종합!V$3:V$501,MATCH(ROW()-2,종합!$AB$3:$AB$501,0))&amp;"","")</f>
        <v>기술연구소</v>
      </c>
      <c r="W88" s="21" t="str">
        <f aca="false">IFERROR(INDEX(종합!W$3:W$501,MATCH(ROW()-2,종합!$AB$3:$AB$501,0))&amp;"","")</f>
        <v>이사</v>
      </c>
      <c r="X88" s="21" t="str">
        <f aca="false">IFERROR(INDEX(종합!X$3:X$501,MATCH(ROW()-2,종합!$AB$3:$AB$501,0))&amp;"","")</f>
        <v>010-2727-2783</v>
      </c>
      <c r="Y88" s="21" t="str">
        <f aca="false">IFERROR(INDEX(종합!Y$3:Y$501,MATCH(ROW()-2,종합!$AB$3:$AB$501,0))&amp;"","")</f>
        <v>swmoon@quarry.kr</v>
      </c>
      <c r="Z88" s="21" t="str">
        <f aca="false">IFERROR(INDEX(종합!Z$3:Z$501,MATCH(ROW()-2,종합!$AB$3:$AB$501,0))&amp;"","")</f>
        <v>010-2727-2783</v>
      </c>
    </row>
    <row r="89" customFormat="false" ht="60.75" hidden="false" customHeight="true" outlineLevel="0" collapsed="false">
      <c r="A89" s="18" t="n">
        <f aca="false">IF(B89="","",ROW()-2)</f>
        <v>87</v>
      </c>
      <c r="B89" s="18" t="str">
        <f aca="false">IFERROR(INDEX(종합!B$3:B$501,MATCH(ROW()-2,종합!$AB$3:$AB$501,0))&amp;"","")</f>
        <v>주식회사 트위그팜</v>
      </c>
      <c r="C89" s="18" t="str">
        <f aca="false">IFERROR(INDEX(종합!C$3:C$501,MATCH(ROW()-2,종합!$AB$3:$AB$501,0))&amp;"","")</f>
        <v>O</v>
      </c>
      <c r="D89" s="18" t="str">
        <f aca="false">IFERROR(INDEX(종합!D$3:D$501,MATCH(ROW()-2,종합!$AB$3:$AB$501,0))&amp;"","")</f>
        <v/>
      </c>
      <c r="E89" s="18" t="str">
        <f aca="false">IFERROR(INDEX(종합!E$3:E$501,MATCH(ROW()-2,종합!$AB$3:$AB$501,0))&amp;"","")</f>
        <v/>
      </c>
      <c r="F89" s="18" t="str">
        <f aca="false">IFERROR(INDEX(종합!F$3:F$501,MATCH(ROW()-2,종합!$AB$3:$AB$501,0))&amp;"","")</f>
        <v/>
      </c>
      <c r="G89" s="18" t="str">
        <f aca="false">IFERROR(INDEX(종합!G$3:G$501,MATCH(ROW()-2,종합!$AB$3:$AB$501,0))&amp;"","")</f>
        <v>중소기업</v>
      </c>
      <c r="H89" s="21" t="str">
        <f aca="false">IFERROR(INDEX(종합!H$3:H$501,MATCH(ROW()-2,종합!$AB$3:$AB$501,0))&amp;"","")</f>
        <v>556-81-00254</v>
      </c>
      <c r="I89" s="21" t="str">
        <f aca="false">IFERROR(INDEX(종합!I$3:I$501,MATCH(ROW()-2,종합!$AB$3:$AB$501,0))&amp;"","")</f>
        <v>백선호</v>
      </c>
      <c r="J89" s="21" t="str">
        <f aca="false">IFERROR(INDEX(종합!J$3:J$501,MATCH(ROW()-2,종합!$AB$3:$AB$501,0))&amp;"","")</f>
        <v>02-1833-5926</v>
      </c>
      <c r="K89" s="21" t="str">
        <f aca="false">IFERROR(INDEX(종합!K$3:K$501,MATCH(ROW()-2,종합!$AB$3:$AB$501,0))&amp;"","")</f>
        <v>https://www.twigfarm.net/ko</v>
      </c>
      <c r="L89" s="21" t="str">
        <f aca="false">IFERROR(INDEX(종합!L$3:L$501,MATCH(ROW()-2,종합!$AB$3:$AB$501,0))&amp;"","")</f>
        <v>cstellerws@gmail.com</v>
      </c>
      <c r="M89" s="21" t="str">
        <f aca="false">IFERROR(INDEX(종합!M$3:M$501,MATCH(ROW()-2,종합!$AB$3:$AB$501,0))&amp;"","")</f>
        <v>서울시 종로구 종로 6(서린동), 광화문우체국 6층</v>
      </c>
      <c r="N89" s="25" t="str">
        <f aca="false">IFERROR(INDEX(종합!N$3:N$501,MATCH(ROW()-2,종합!$AB$3:$AB$501,0))&amp;"","")</f>
        <v>자연어처리 기반의 ①AI 데이터, ②AI 모델(알고리즘), ③AI 서비스(API) 기술을 아우르는 AI 전주기 기술 경쟁력을 바탕으로, 미디어 인텔리전스 플랫폼  ‘레터웍스’ 서비스를 핵심 사업으로 영위</v>
      </c>
      <c r="O89" s="21" t="str">
        <f aca="false">IFERROR(INDEX(종합!O$3:O$501,MATCH(ROW()-2,종합!$AB$3:$AB$501,0))&amp;"","")</f>
        <v>백선호</v>
      </c>
      <c r="P89" s="21" t="str">
        <f aca="false">IFERROR(INDEX(종합!P$3:P$501,MATCH(ROW()-2,종합!$AB$3:$AB$501,0))&amp;"","")</f>
        <v>경영총괄</v>
      </c>
      <c r="Q89" s="21" t="str">
        <f aca="false">IFERROR(INDEX(종합!Q$3:Q$501,MATCH(ROW()-2,종합!$AB$3:$AB$501,0))&amp;"","")</f>
        <v>대표이사(CEO)</v>
      </c>
      <c r="R89" s="21" t="str">
        <f aca="false">IFERROR(INDEX(종합!R$3:R$501,MATCH(ROW()-2,종합!$AB$3:$AB$501,0))&amp;"","")</f>
        <v>010-8557-8240</v>
      </c>
      <c r="S89" s="21" t="str">
        <f aca="false">IFERROR(INDEX(종합!S$3:S$501,MATCH(ROW()-2,종합!$AB$3:$AB$501,0))&amp;"","")</f>
        <v>ceo@twigfarm.net</v>
      </c>
      <c r="T89" s="21" t="str">
        <f aca="false">IFERROR(INDEX(종합!T$3:T$501,MATCH(ROW()-2,종합!$AB$3:$AB$501,0))&amp;"","")</f>
        <v>010-8557-8240</v>
      </c>
      <c r="U89" s="21" t="str">
        <f aca="false">IFERROR(INDEX(종합!U$3:U$501,MATCH(ROW()-2,종합!$AB$3:$AB$501,0))&amp;"","")</f>
        <v>백선호</v>
      </c>
      <c r="V89" s="21" t="str">
        <f aca="false">IFERROR(INDEX(종합!V$3:V$501,MATCH(ROW()-2,종합!$AB$3:$AB$501,0))&amp;"","")</f>
        <v>경영총괄</v>
      </c>
      <c r="W89" s="21" t="str">
        <f aca="false">IFERROR(INDEX(종합!W$3:W$501,MATCH(ROW()-2,종합!$AB$3:$AB$501,0))&amp;"","")</f>
        <v>대표이사(CEO)</v>
      </c>
      <c r="X89" s="21" t="str">
        <f aca="false">IFERROR(INDEX(종합!X$3:X$501,MATCH(ROW()-2,종합!$AB$3:$AB$501,0))&amp;"","")</f>
        <v>010-8557-8240</v>
      </c>
      <c r="Y89" s="21" t="str">
        <f aca="false">IFERROR(INDEX(종합!Y$3:Y$501,MATCH(ROW()-2,종합!$AB$3:$AB$501,0))&amp;"","")</f>
        <v>ceo@twigfarm.net</v>
      </c>
      <c r="Z89" s="21" t="str">
        <f aca="false">IFERROR(INDEX(종합!Z$3:Z$501,MATCH(ROW()-2,종합!$AB$3:$AB$501,0))&amp;"","")</f>
        <v>010-8557-8240</v>
      </c>
    </row>
    <row r="90" customFormat="false" ht="60.75" hidden="false" customHeight="true" outlineLevel="0" collapsed="false">
      <c r="A90" s="18" t="n">
        <f aca="false">IF(B90="","",ROW()-2)</f>
        <v>88</v>
      </c>
      <c r="B90" s="18" t="str">
        <f aca="false">IFERROR(INDEX(종합!B$3:B$501,MATCH(ROW()-2,종합!$AB$3:$AB$501,0))&amp;"","")</f>
        <v>쿼드마이너</v>
      </c>
      <c r="C90" s="18" t="str">
        <f aca="false">IFERROR(INDEX(종합!C$3:C$501,MATCH(ROW()-2,종합!$AB$3:$AB$501,0))&amp;"","")</f>
        <v>O</v>
      </c>
      <c r="D90" s="18" t="str">
        <f aca="false">IFERROR(INDEX(종합!D$3:D$501,MATCH(ROW()-2,종합!$AB$3:$AB$501,0))&amp;"","")</f>
        <v/>
      </c>
      <c r="E90" s="18" t="str">
        <f aca="false">IFERROR(INDEX(종합!E$3:E$501,MATCH(ROW()-2,종합!$AB$3:$AB$501,0))&amp;"","")</f>
        <v/>
      </c>
      <c r="F90" s="18" t="str">
        <f aca="false">IFERROR(INDEX(종합!F$3:F$501,MATCH(ROW()-2,종합!$AB$3:$AB$501,0))&amp;"","")</f>
        <v/>
      </c>
      <c r="G90" s="18" t="str">
        <f aca="false">IFERROR(INDEX(종합!G$3:G$501,MATCH(ROW()-2,종합!$AB$3:$AB$501,0))&amp;"","")</f>
        <v>중소기업</v>
      </c>
      <c r="H90" s="21" t="str">
        <f aca="false">IFERROR(INDEX(종합!H$3:H$501,MATCH(ROW()-2,종합!$AB$3:$AB$501,0))&amp;"","")</f>
        <v>249-81-00810</v>
      </c>
      <c r="I90" s="21" t="str">
        <f aca="false">IFERROR(INDEX(종합!I$3:I$501,MATCH(ROW()-2,종합!$AB$3:$AB$501,0))&amp;"","")</f>
        <v>박범중,홍재완</v>
      </c>
      <c r="J90" s="21" t="str">
        <f aca="false">IFERROR(INDEX(종합!J$3:J$501,MATCH(ROW()-2,종합!$AB$3:$AB$501,0))&amp;"","")</f>
        <v>02-548-1124</v>
      </c>
      <c r="K90" s="21" t="str">
        <f aca="false">IFERROR(INDEX(종합!K$3:K$501,MATCH(ROW()-2,종합!$AB$3:$AB$501,0))&amp;"","")</f>
        <v>https://quadminers.com</v>
      </c>
      <c r="L90" s="21" t="str">
        <f aca="false">IFERROR(INDEX(종합!L$3:L$501,MATCH(ROW()-2,종합!$AB$3:$AB$501,0))&amp;"","")</f>
        <v>sonjidol4@gmail.com</v>
      </c>
      <c r="M90" s="21" t="str">
        <f aca="false">IFERROR(INDEX(종합!M$3:M$501,MATCH(ROW()-2,종합!$AB$3:$AB$501,0))&amp;"","")</f>
        <v>서울 서초구 서초대로51길 27 이산빌딩 2,4-5층</v>
      </c>
      <c r="N90" s="25" t="str">
        <f aca="false">IFERROR(INDEX(종합!N$3:N$501,MATCH(ROW()-2,종합!$AB$3:$AB$501,0))&amp;"","")</f>
        <v>전수 패킷 수집 및 장기 보존 기술을 기반으로 네트워크 트래픽의 메타데이터 및 콘텐츠를 정밀 분석하며, 자산별 정상 활동 모델을 수립하여 이를 벗어나는 이상행위를 탐지하는 기술</v>
      </c>
      <c r="O90" s="21" t="str">
        <f aca="false">IFERROR(INDEX(종합!O$3:O$501,MATCH(ROW()-2,종합!$AB$3:$AB$501,0))&amp;"","")</f>
        <v>홍재완</v>
      </c>
      <c r="P90" s="21" t="str">
        <f aca="false">IFERROR(INDEX(종합!P$3:P$501,MATCH(ROW()-2,종합!$AB$3:$AB$501,0))&amp;"","")</f>
        <v>기업부설연구소</v>
      </c>
      <c r="Q90" s="21" t="str">
        <f aca="false">IFERROR(INDEX(종합!Q$3:Q$501,MATCH(ROW()-2,종합!$AB$3:$AB$501,0))&amp;"","")</f>
        <v>CDO</v>
      </c>
      <c r="R90" s="21" t="str">
        <f aca="false">IFERROR(INDEX(종합!R$3:R$501,MATCH(ROW()-2,종합!$AB$3:$AB$501,0))&amp;"","")</f>
        <v>010-9980-9228</v>
      </c>
      <c r="S90" s="21" t="str">
        <f aca="false">IFERROR(INDEX(종합!S$3:S$501,MATCH(ROW()-2,종합!$AB$3:$AB$501,0))&amp;"","")</f>
        <v>jaewan@quadminers.com</v>
      </c>
      <c r="T90" s="21" t="str">
        <f aca="false">IFERROR(INDEX(종합!T$3:T$501,MATCH(ROW()-2,종합!$AB$3:$AB$501,0))&amp;"","")</f>
        <v>010-9980-9228</v>
      </c>
      <c r="U90" s="21" t="str">
        <f aca="false">IFERROR(INDEX(종합!U$3:U$501,MATCH(ROW()-2,종합!$AB$3:$AB$501,0))&amp;"","")</f>
        <v>윤영조</v>
      </c>
      <c r="V90" s="21" t="str">
        <f aca="false">IFERROR(INDEX(종합!V$3:V$501,MATCH(ROW()-2,종합!$AB$3:$AB$501,0))&amp;"","")</f>
        <v>기업부설연구소</v>
      </c>
      <c r="W90" s="21" t="str">
        <f aca="false">IFERROR(INDEX(종합!W$3:W$501,MATCH(ROW()-2,종합!$AB$3:$AB$501,0))&amp;"","")</f>
        <v>팀장</v>
      </c>
      <c r="X90" s="21" t="str">
        <f aca="false">IFERROR(INDEX(종합!X$3:X$501,MATCH(ROW()-2,종합!$AB$3:$AB$501,0))&amp;"","")</f>
        <v>010-9243-1413</v>
      </c>
      <c r="Y90" s="21" t="str">
        <f aca="false">IFERROR(INDEX(종합!Y$3:Y$501,MATCH(ROW()-2,종합!$AB$3:$AB$501,0))&amp;"","")</f>
        <v>dudwh33@quadminers.com</v>
      </c>
      <c r="Z90" s="21" t="str">
        <f aca="false">IFERROR(INDEX(종합!Z$3:Z$501,MATCH(ROW()-2,종합!$AB$3:$AB$501,0))&amp;"","")</f>
        <v>010-9243-1413</v>
      </c>
    </row>
    <row r="91" customFormat="false" ht="33.75" hidden="false" customHeight="true" outlineLevel="0" collapsed="false">
      <c r="A91" s="18" t="n">
        <f aca="false">IF(B91="","",ROW()-2)</f>
        <v>89</v>
      </c>
      <c r="B91" s="18" t="str">
        <f aca="false">IFERROR(INDEX(종합!B$3:B$501,MATCH(ROW()-2,종합!$AB$3:$AB$501,0))&amp;"","")</f>
        <v>(주)유엔파인</v>
      </c>
      <c r="C91" s="18" t="str">
        <f aca="false">IFERROR(INDEX(종합!C$3:C$501,MATCH(ROW()-2,종합!$AB$3:$AB$501,0))&amp;"","")</f>
        <v>O</v>
      </c>
      <c r="D91" s="18" t="str">
        <f aca="false">IFERROR(INDEX(종합!D$3:D$501,MATCH(ROW()-2,종합!$AB$3:$AB$501,0))&amp;"","")</f>
        <v/>
      </c>
      <c r="E91" s="18" t="str">
        <f aca="false">IFERROR(INDEX(종합!E$3:E$501,MATCH(ROW()-2,종합!$AB$3:$AB$501,0))&amp;"","")</f>
        <v/>
      </c>
      <c r="F91" s="18" t="str">
        <f aca="false">IFERROR(INDEX(종합!F$3:F$501,MATCH(ROW()-2,종합!$AB$3:$AB$501,0))&amp;"","")</f>
        <v/>
      </c>
      <c r="G91" s="18" t="str">
        <f aca="false">IFERROR(INDEX(종합!G$3:G$501,MATCH(ROW()-2,종합!$AB$3:$AB$501,0))&amp;"","")</f>
        <v>중소기업</v>
      </c>
      <c r="H91" s="21" t="str">
        <f aca="false">IFERROR(INDEX(종합!H$3:H$501,MATCH(ROW()-2,종합!$AB$3:$AB$501,0))&amp;"","")</f>
        <v>119-86-35919</v>
      </c>
      <c r="I91" s="21" t="str">
        <f aca="false">IFERROR(INDEX(종합!I$3:I$501,MATCH(ROW()-2,종합!$AB$3:$AB$501,0))&amp;"","")</f>
        <v>조기현</v>
      </c>
      <c r="J91" s="21" t="str">
        <f aca="false">IFERROR(INDEX(종합!J$3:J$501,MATCH(ROW()-2,종합!$AB$3:$AB$501,0))&amp;"","")</f>
        <v>02-2641-0019</v>
      </c>
      <c r="K91" s="21" t="str">
        <f aca="false">IFERROR(INDEX(종합!K$3:K$501,MATCH(ROW()-2,종합!$AB$3:$AB$501,0))&amp;"","")</f>
        <v>https://www.unfine.co.kr</v>
      </c>
      <c r="L91" s="21" t="str">
        <f aca="false">IFERROR(INDEX(종합!L$3:L$501,MATCH(ROW()-2,종합!$AB$3:$AB$501,0))&amp;"","")</f>
        <v>millyseon@gmail.com</v>
      </c>
      <c r="M91" s="21" t="str">
        <f aca="false">IFERROR(INDEX(종합!M$3:M$501,MATCH(ROW()-2,종합!$AB$3:$AB$501,0))&amp;"","")</f>
        <v>서울특별시 성동구 연무장5가길 25, 성수역SK V1타워 1009호</v>
      </c>
      <c r="N91" s="25" t="str">
        <f aca="false">IFERROR(INDEX(종합!N$3:N$501,MATCH(ROW()-2,종합!$AB$3:$AB$501,0))&amp;"","")</f>
        <v>RAG 기반의 감사계획서 자동 생성 및 감사데이터 분석 솔루션 U-Audit</v>
      </c>
      <c r="O91" s="21" t="str">
        <f aca="false">IFERROR(INDEX(종합!O$3:O$501,MATCH(ROW()-2,종합!$AB$3:$AB$501,0))&amp;"","")</f>
        <v>민계선</v>
      </c>
      <c r="P91" s="21" t="str">
        <f aca="false">IFERROR(INDEX(종합!P$3:P$501,MATCH(ROW()-2,종합!$AB$3:$AB$501,0))&amp;"","")</f>
        <v>전략사업부문</v>
      </c>
      <c r="Q91" s="21" t="str">
        <f aca="false">IFERROR(INDEX(종합!Q$3:Q$501,MATCH(ROW()-2,종합!$AB$3:$AB$501,0))&amp;"","")</f>
        <v>전무/본부장/CTO</v>
      </c>
      <c r="R91" s="21" t="str">
        <f aca="false">IFERROR(INDEX(종합!R$3:R$501,MATCH(ROW()-2,종합!$AB$3:$AB$501,0))&amp;"","")</f>
        <v>02-2641-0019</v>
      </c>
      <c r="S91" s="21" t="str">
        <f aca="false">IFERROR(INDEX(종합!S$3:S$501,MATCH(ROW()-2,종합!$AB$3:$AB$501,0))&amp;"","")</f>
        <v>gsmin@unfine.co.kr</v>
      </c>
      <c r="T91" s="21" t="str">
        <f aca="false">IFERROR(INDEX(종합!T$3:T$501,MATCH(ROW()-2,종합!$AB$3:$AB$501,0))&amp;"","")</f>
        <v>010-2005-0566</v>
      </c>
      <c r="U91" s="21" t="str">
        <f aca="false">IFERROR(INDEX(종합!U$3:U$501,MATCH(ROW()-2,종합!$AB$3:$AB$501,0))&amp;"","")</f>
        <v>이규선</v>
      </c>
      <c r="V91" s="21" t="str">
        <f aca="false">IFERROR(INDEX(종합!V$3:V$501,MATCH(ROW()-2,종합!$AB$3:$AB$501,0))&amp;"","")</f>
        <v>공공사업부문</v>
      </c>
      <c r="W91" s="21" t="str">
        <f aca="false">IFERROR(INDEX(종합!W$3:W$501,MATCH(ROW()-2,종합!$AB$3:$AB$501,0))&amp;"","")</f>
        <v>이사</v>
      </c>
      <c r="X91" s="21" t="str">
        <f aca="false">IFERROR(INDEX(종합!X$3:X$501,MATCH(ROW()-2,종합!$AB$3:$AB$501,0))&amp;"","")</f>
        <v>02-2641-0019</v>
      </c>
      <c r="Y91" s="21" t="str">
        <f aca="false">IFERROR(INDEX(종합!Y$3:Y$501,MATCH(ROW()-2,종합!$AB$3:$AB$501,0))&amp;"","")</f>
        <v>leekyusun@unfine.co.kr</v>
      </c>
      <c r="Z91" s="21" t="str">
        <f aca="false">IFERROR(INDEX(종합!Z$3:Z$501,MATCH(ROW()-2,종합!$AB$3:$AB$501,0))&amp;"","")</f>
        <v>010-9293-7280</v>
      </c>
    </row>
    <row r="92" customFormat="false" ht="22.5" hidden="false" customHeight="true" outlineLevel="0" collapsed="false">
      <c r="A92" s="18" t="n">
        <f aca="false">IF(B92="","",ROW()-2)</f>
        <v>90</v>
      </c>
      <c r="B92" s="18" t="str">
        <f aca="false">IFERROR(INDEX(종합!B$3:B$501,MATCH(ROW()-2,종합!$AB$3:$AB$501,0))&amp;"","")</f>
        <v>주식회사 모바휠</v>
      </c>
      <c r="C92" s="18" t="str">
        <f aca="false">IFERROR(INDEX(종합!C$3:C$501,MATCH(ROW()-2,종합!$AB$3:$AB$501,0))&amp;"","")</f>
        <v>O</v>
      </c>
      <c r="D92" s="18" t="str">
        <f aca="false">IFERROR(INDEX(종합!D$3:D$501,MATCH(ROW()-2,종합!$AB$3:$AB$501,0))&amp;"","")</f>
        <v/>
      </c>
      <c r="E92" s="18" t="str">
        <f aca="false">IFERROR(INDEX(종합!E$3:E$501,MATCH(ROW()-2,종합!$AB$3:$AB$501,0))&amp;"","")</f>
        <v/>
      </c>
      <c r="F92" s="18" t="str">
        <f aca="false">IFERROR(INDEX(종합!F$3:F$501,MATCH(ROW()-2,종합!$AB$3:$AB$501,0))&amp;"","")</f>
        <v/>
      </c>
      <c r="G92" s="18" t="str">
        <f aca="false">IFERROR(INDEX(종합!G$3:G$501,MATCH(ROW()-2,종합!$AB$3:$AB$501,0))&amp;"","")</f>
        <v>중소기업</v>
      </c>
      <c r="H92" s="21" t="str">
        <f aca="false">IFERROR(INDEX(종합!H$3:H$501,MATCH(ROW()-2,종합!$AB$3:$AB$501,0))&amp;"","")</f>
        <v>272-86-01874</v>
      </c>
      <c r="I92" s="21" t="str">
        <f aca="false">IFERROR(INDEX(종합!I$3:I$501,MATCH(ROW()-2,종합!$AB$3:$AB$501,0))&amp;"","")</f>
        <v>김민현</v>
      </c>
      <c r="J92" s="21" t="str">
        <f aca="false">IFERROR(INDEX(종합!J$3:J$501,MATCH(ROW()-2,종합!$AB$3:$AB$501,0))&amp;"","")</f>
        <v>070-5015-5978</v>
      </c>
      <c r="K92" s="21" t="str">
        <f aca="false">IFERROR(INDEX(종합!K$3:K$501,MATCH(ROW()-2,종합!$AB$3:$AB$501,0))&amp;"","")</f>
        <v>www.mv-w.com</v>
      </c>
      <c r="L92" s="21" t="str">
        <f aca="false">IFERROR(INDEX(종합!L$3:L$501,MATCH(ROW()-2,종합!$AB$3:$AB$501,0))&amp;"","")</f>
        <v>jpyun@mv-w.com</v>
      </c>
      <c r="M92" s="21" t="str">
        <f aca="false">IFERROR(INDEX(종합!M$3:M$501,MATCH(ROW()-2,종합!$AB$3:$AB$501,0))&amp;"","")</f>
        <v>대전광역시 유성구 유성대로821번길 4-3, 모바휠R&amp;D센터</v>
      </c>
      <c r="N92" s="25" t="str">
        <f aca="false">IFERROR(INDEX(종합!N$3:N$501,MATCH(ROW()-2,종합!$AB$3:$AB$501,0))&amp;"","")</f>
        <v>Physical AI, 음파 기반 도로노면상태/위험 감지 AI 솔루션</v>
      </c>
      <c r="O92" s="21" t="str">
        <f aca="false">IFERROR(INDEX(종합!O$3:O$501,MATCH(ROW()-2,종합!$AB$3:$AB$501,0))&amp;"","")</f>
        <v>김민현</v>
      </c>
      <c r="P92" s="21" t="str">
        <f aca="false">IFERROR(INDEX(종합!P$3:P$501,MATCH(ROW()-2,종합!$AB$3:$AB$501,0))&amp;"","")</f>
        <v>경영진</v>
      </c>
      <c r="Q92" s="21" t="str">
        <f aca="false">IFERROR(INDEX(종합!Q$3:Q$501,MATCH(ROW()-2,종합!$AB$3:$AB$501,0))&amp;"","")</f>
        <v>대표이사</v>
      </c>
      <c r="R92" s="21" t="str">
        <f aca="false">IFERROR(INDEX(종합!R$3:R$501,MATCH(ROW()-2,종합!$AB$3:$AB$501,0))&amp;"","")</f>
        <v>070-5015-5978</v>
      </c>
      <c r="S92" s="21" t="str">
        <f aca="false">IFERROR(INDEX(종합!S$3:S$501,MATCH(ROW()-2,종합!$AB$3:$AB$501,0))&amp;"","")</f>
        <v>mhkim@mv-w.com</v>
      </c>
      <c r="T92" s="21" t="str">
        <f aca="false">IFERROR(INDEX(종합!T$3:T$501,MATCH(ROW()-2,종합!$AB$3:$AB$501,0))&amp;"","")</f>
        <v>010-9327-5443</v>
      </c>
      <c r="U92" s="21" t="str">
        <f aca="false">IFERROR(INDEX(종합!U$3:U$501,MATCH(ROW()-2,종합!$AB$3:$AB$501,0))&amp;"","")</f>
        <v>안요셉</v>
      </c>
      <c r="V92" s="21" t="str">
        <f aca="false">IFERROR(INDEX(종합!V$3:V$501,MATCH(ROW()-2,종합!$AB$3:$AB$501,0))&amp;"","")</f>
        <v>연구팀</v>
      </c>
      <c r="W92" s="21" t="str">
        <f aca="false">IFERROR(INDEX(종합!W$3:W$501,MATCH(ROW()-2,종합!$AB$3:$AB$501,0))&amp;"","")</f>
        <v>선임연구원/팀장</v>
      </c>
      <c r="X92" s="21" t="str">
        <f aca="false">IFERROR(INDEX(종합!X$3:X$501,MATCH(ROW()-2,종합!$AB$3:$AB$501,0))&amp;"","")</f>
        <v>070-5015-5978</v>
      </c>
      <c r="Y92" s="21" t="str">
        <f aca="false">IFERROR(INDEX(종합!Y$3:Y$501,MATCH(ROW()-2,종합!$AB$3:$AB$501,0))&amp;"","")</f>
        <v>ysan@mv-w.com</v>
      </c>
      <c r="Z92" s="21" t="str">
        <f aca="false">IFERROR(INDEX(종합!Z$3:Z$501,MATCH(ROW()-2,종합!$AB$3:$AB$501,0))&amp;"","")</f>
        <v>010-2799-1691</v>
      </c>
    </row>
    <row r="93" customFormat="false" ht="33.75" hidden="false" customHeight="true" outlineLevel="0" collapsed="false">
      <c r="A93" s="18" t="n">
        <f aca="false">IF(B93="","",ROW()-2)</f>
        <v>91</v>
      </c>
      <c r="B93" s="18" t="str">
        <f aca="false">IFERROR(INDEX(종합!B$3:B$501,MATCH(ROW()-2,종합!$AB$3:$AB$501,0))&amp;"","")</f>
        <v>(주)드림아이디어소프트</v>
      </c>
      <c r="C93" s="18" t="str">
        <f aca="false">IFERROR(INDEX(종합!C$3:C$501,MATCH(ROW()-2,종합!$AB$3:$AB$501,0))&amp;"","")</f>
        <v>O</v>
      </c>
      <c r="D93" s="18" t="str">
        <f aca="false">IFERROR(INDEX(종합!D$3:D$501,MATCH(ROW()-2,종합!$AB$3:$AB$501,0))&amp;"","")</f>
        <v/>
      </c>
      <c r="E93" s="18" t="str">
        <f aca="false">IFERROR(INDEX(종합!E$3:E$501,MATCH(ROW()-2,종합!$AB$3:$AB$501,0))&amp;"","")</f>
        <v/>
      </c>
      <c r="F93" s="18" t="str">
        <f aca="false">IFERROR(INDEX(종합!F$3:F$501,MATCH(ROW()-2,종합!$AB$3:$AB$501,0))&amp;"","")</f>
        <v/>
      </c>
      <c r="G93" s="18" t="str">
        <f aca="false">IFERROR(INDEX(종합!G$3:G$501,MATCH(ROW()-2,종합!$AB$3:$AB$501,0))&amp;"","")</f>
        <v>중소기업</v>
      </c>
      <c r="H93" s="21" t="str">
        <f aca="false">IFERROR(INDEX(종합!H$3:H$501,MATCH(ROW()-2,종합!$AB$3:$AB$501,0))&amp;"","")</f>
        <v>115-86-00908</v>
      </c>
      <c r="I93" s="21" t="str">
        <f aca="false">IFERROR(INDEX(종합!I$3:I$501,MATCH(ROW()-2,종합!$AB$3:$AB$501,0))&amp;"","")</f>
        <v>이제환</v>
      </c>
      <c r="J93" s="21" t="str">
        <f aca="false">IFERROR(INDEX(종합!J$3:J$501,MATCH(ROW()-2,종합!$AB$3:$AB$501,0))&amp;"","")</f>
        <v>053-243-6047</v>
      </c>
      <c r="K93" s="21" t="str">
        <f aca="false">IFERROR(INDEX(종합!K$3:K$501,MATCH(ROW()-2,종합!$AB$3:$AB$501,0))&amp;"","")</f>
        <v>dreamideasoft.net</v>
      </c>
      <c r="L93" s="21" t="str">
        <f aca="false">IFERROR(INDEX(종합!L$3:L$501,MATCH(ROW()-2,종합!$AB$3:$AB$501,0))&amp;"","")</f>
        <v>hyunlae1216@gmail.com</v>
      </c>
      <c r="M93" s="21" t="str">
        <f aca="false">IFERROR(INDEX(종합!M$3:M$501,MATCH(ROW()-2,종합!$AB$3:$AB$501,0))&amp;"","")</f>
        <v>대구광역시 동구 동대구로 525, 더블유525타워 17층</v>
      </c>
      <c r="N93" s="25" t="str">
        <f aca="false">IFERROR(INDEX(종합!N$3:N$501,MATCH(ROW()-2,종합!$AB$3:$AB$501,0))&amp;"","")</f>
        <v>AI 기반 어시스턴트(AI Agent), AI-XR 솔루션, AI 디지털 트윈, AI 영상 분석 및 시뮬레이션</v>
      </c>
      <c r="O93" s="21" t="str">
        <f aca="false">IFERROR(INDEX(종합!O$3:O$501,MATCH(ROW()-2,종합!$AB$3:$AB$501,0))&amp;"","")</f>
        <v>이제환</v>
      </c>
      <c r="P93" s="21" t="str">
        <f aca="false">IFERROR(INDEX(종합!P$3:P$501,MATCH(ROW()-2,종합!$AB$3:$AB$501,0))&amp;"","")</f>
        <v>-</v>
      </c>
      <c r="Q93" s="21" t="str">
        <f aca="false">IFERROR(INDEX(종합!Q$3:Q$501,MATCH(ROW()-2,종합!$AB$3:$AB$501,0))&amp;"","")</f>
        <v>대표이사</v>
      </c>
      <c r="R93" s="21" t="str">
        <f aca="false">IFERROR(INDEX(종합!R$3:R$501,MATCH(ROW()-2,종합!$AB$3:$AB$501,0))&amp;"","")</f>
        <v>053-243-6047</v>
      </c>
      <c r="S93" s="21" t="str">
        <f aca="false">IFERROR(INDEX(종합!S$3:S$501,MATCH(ROW()-2,종합!$AB$3:$AB$501,0))&amp;"","")</f>
        <v>jhlee@dreamideasoft.net</v>
      </c>
      <c r="T93" s="21" t="str">
        <f aca="false">IFERROR(INDEX(종합!T$3:T$501,MATCH(ROW()-2,종합!$AB$3:$AB$501,0))&amp;"","")</f>
        <v>010-4039-5711</v>
      </c>
      <c r="U93" s="21" t="str">
        <f aca="false">IFERROR(INDEX(종합!U$3:U$501,MATCH(ROW()-2,종합!$AB$3:$AB$501,0))&amp;"","")</f>
        <v>조현래</v>
      </c>
      <c r="V93" s="21" t="str">
        <f aca="false">IFERROR(INDEX(종합!V$3:V$501,MATCH(ROW()-2,종합!$AB$3:$AB$501,0))&amp;"","")</f>
        <v>시스템 사업부</v>
      </c>
      <c r="W93" s="21" t="str">
        <f aca="false">IFERROR(INDEX(종합!W$3:W$501,MATCH(ROW()-2,종합!$AB$3:$AB$501,0))&amp;"","")</f>
        <v>대리</v>
      </c>
      <c r="X93" s="21" t="str">
        <f aca="false">IFERROR(INDEX(종합!X$3:X$501,MATCH(ROW()-2,종합!$AB$3:$AB$501,0))&amp;"","")</f>
        <v>053-243-6044</v>
      </c>
      <c r="Y93" s="21" t="str">
        <f aca="false">IFERROR(INDEX(종합!Y$3:Y$501,MATCH(ROW()-2,종합!$AB$3:$AB$501,0))&amp;"","")</f>
        <v>hyunlae1216@gmail.com</v>
      </c>
      <c r="Z93" s="21" t="str">
        <f aca="false">IFERROR(INDEX(종합!Z$3:Z$501,MATCH(ROW()-2,종합!$AB$3:$AB$501,0))&amp;"","")</f>
        <v>010-8550-0645</v>
      </c>
    </row>
    <row r="94" customFormat="false" ht="22.5" hidden="false" customHeight="true" outlineLevel="0" collapsed="false">
      <c r="A94" s="18" t="n">
        <f aca="false">IF(B94="","",ROW()-2)</f>
        <v>92</v>
      </c>
      <c r="B94" s="18" t="str">
        <f aca="false">IFERROR(INDEX(종합!B$3:B$501,MATCH(ROW()-2,종합!$AB$3:$AB$501,0))&amp;"","")</f>
        <v>이에스이 주식회사</v>
      </c>
      <c r="C94" s="18" t="str">
        <f aca="false">IFERROR(INDEX(종합!C$3:C$501,MATCH(ROW()-2,종합!$AB$3:$AB$501,0))&amp;"","")</f>
        <v>O</v>
      </c>
      <c r="D94" s="18" t="str">
        <f aca="false">IFERROR(INDEX(종합!D$3:D$501,MATCH(ROW()-2,종합!$AB$3:$AB$501,0))&amp;"","")</f>
        <v/>
      </c>
      <c r="E94" s="18" t="str">
        <f aca="false">IFERROR(INDEX(종합!E$3:E$501,MATCH(ROW()-2,종합!$AB$3:$AB$501,0))&amp;"","")</f>
        <v/>
      </c>
      <c r="F94" s="18" t="str">
        <f aca="false">IFERROR(INDEX(종합!F$3:F$501,MATCH(ROW()-2,종합!$AB$3:$AB$501,0))&amp;"","")</f>
        <v/>
      </c>
      <c r="G94" s="18" t="str">
        <f aca="false">IFERROR(INDEX(종합!G$3:G$501,MATCH(ROW()-2,종합!$AB$3:$AB$501,0))&amp;"","")</f>
        <v>중소기업</v>
      </c>
      <c r="H94" s="21" t="str">
        <f aca="false">IFERROR(INDEX(종합!H$3:H$501,MATCH(ROW()-2,종합!$AB$3:$AB$501,0))&amp;"","")</f>
        <v>124-81-72075</v>
      </c>
      <c r="I94" s="21" t="str">
        <f aca="false">IFERROR(INDEX(종합!I$3:I$501,MATCH(ROW()-2,종합!$AB$3:$AB$501,0))&amp;"","")</f>
        <v>박경식</v>
      </c>
      <c r="J94" s="21" t="str">
        <f aca="false">IFERROR(INDEX(종합!J$3:J$501,MATCH(ROW()-2,종합!$AB$3:$AB$501,0))&amp;"","")</f>
        <v>031-622-3939</v>
      </c>
      <c r="K94" s="21" t="str">
        <f aca="false">IFERROR(INDEX(종합!K$3:K$501,MATCH(ROW()-2,종합!$AB$3:$AB$501,0))&amp;"","")</f>
        <v>http://www.eseict.com/main</v>
      </c>
      <c r="L94" s="21" t="str">
        <f aca="false">IFERROR(INDEX(종합!L$3:L$501,MATCH(ROW()-2,종합!$AB$3:$AB$501,0))&amp;"","")</f>
        <v>jh.oh.eseict@gmail.com</v>
      </c>
      <c r="M94" s="21" t="str">
        <f aca="false">IFERROR(INDEX(종합!M$3:M$501,MATCH(ROW()-2,종합!$AB$3:$AB$501,0))&amp;"","")</f>
        <v>경기도 성남시 분당구 판교로 228번길 15, 1단지 3동 501호(삼평동)</v>
      </c>
      <c r="N94" s="25" t="str">
        <f aca="false">IFERROR(INDEX(종합!N$3:N$501,MATCH(ROW()-2,종합!$AB$3:$AB$501,0))&amp;"","")</f>
        <v>스마트시티 플랫폼, 데이터허브</v>
      </c>
      <c r="O94" s="21" t="str">
        <f aca="false">IFERROR(INDEX(종합!O$3:O$501,MATCH(ROW()-2,종합!$AB$3:$AB$501,0))&amp;"","")</f>
        <v>한용호</v>
      </c>
      <c r="P94" s="21" t="str">
        <f aca="false">IFERROR(INDEX(종합!P$3:P$501,MATCH(ROW()-2,종합!$AB$3:$AB$501,0))&amp;"","")</f>
        <v>전략기획본부</v>
      </c>
      <c r="Q94" s="21" t="str">
        <f aca="false">IFERROR(INDEX(종합!Q$3:Q$501,MATCH(ROW()-2,종합!$AB$3:$AB$501,0))&amp;"","")</f>
        <v>전무</v>
      </c>
      <c r="R94" s="21" t="str">
        <f aca="false">IFERROR(INDEX(종합!R$3:R$501,MATCH(ROW()-2,종합!$AB$3:$AB$501,0))&amp;"","")</f>
        <v>031-622-3939</v>
      </c>
      <c r="S94" s="21" t="str">
        <f aca="false">IFERROR(INDEX(종합!S$3:S$501,MATCH(ROW()-2,종합!$AB$3:$AB$501,0))&amp;"","")</f>
        <v>hanyh@eseict.com</v>
      </c>
      <c r="T94" s="21" t="str">
        <f aca="false">IFERROR(INDEX(종합!T$3:T$501,MATCH(ROW()-2,종합!$AB$3:$AB$501,0))&amp;"","")</f>
        <v>010-3584-8092</v>
      </c>
      <c r="U94" s="21" t="str">
        <f aca="false">IFERROR(INDEX(종합!U$3:U$501,MATCH(ROW()-2,종합!$AB$3:$AB$501,0))&amp;"","")</f>
        <v>서수경</v>
      </c>
      <c r="V94" s="21" t="str">
        <f aca="false">IFERROR(INDEX(종합!V$3:V$501,MATCH(ROW()-2,종합!$AB$3:$AB$501,0))&amp;"","")</f>
        <v>전략기획본부</v>
      </c>
      <c r="W94" s="21" t="str">
        <f aca="false">IFERROR(INDEX(종합!W$3:W$501,MATCH(ROW()-2,종합!$AB$3:$AB$501,0))&amp;"","")</f>
        <v>부장</v>
      </c>
      <c r="X94" s="21" t="str">
        <f aca="false">IFERROR(INDEX(종합!X$3:X$501,MATCH(ROW()-2,종합!$AB$3:$AB$501,0))&amp;"","")</f>
        <v>031-622-3939</v>
      </c>
      <c r="Y94" s="21" t="str">
        <f aca="false">IFERROR(INDEX(종합!Y$3:Y$501,MATCH(ROW()-2,종합!$AB$3:$AB$501,0))&amp;"","")</f>
        <v> seosk@eseict.com</v>
      </c>
      <c r="Z94" s="21" t="str">
        <f aca="false">IFERROR(INDEX(종합!Z$3:Z$501,MATCH(ROW()-2,종합!$AB$3:$AB$501,0))&amp;"","")</f>
        <v>010-2722-2769</v>
      </c>
    </row>
    <row r="95" customFormat="false" ht="22.5" hidden="false" customHeight="true" outlineLevel="0" collapsed="false">
      <c r="A95" s="18" t="n">
        <f aca="false">IF(B95="","",ROW()-2)</f>
        <v>93</v>
      </c>
      <c r="B95" s="18" t="str">
        <f aca="false">IFERROR(INDEX(종합!B$3:B$501,MATCH(ROW()-2,종합!$AB$3:$AB$501,0))&amp;"","")</f>
        <v>주식회사 임팩시스</v>
      </c>
      <c r="C95" s="18" t="str">
        <f aca="false">IFERROR(INDEX(종합!C$3:C$501,MATCH(ROW()-2,종합!$AB$3:$AB$501,0))&amp;"","")</f>
        <v>O</v>
      </c>
      <c r="D95" s="18" t="str">
        <f aca="false">IFERROR(INDEX(종합!D$3:D$501,MATCH(ROW()-2,종합!$AB$3:$AB$501,0))&amp;"","")</f>
        <v/>
      </c>
      <c r="E95" s="18" t="str">
        <f aca="false">IFERROR(INDEX(종합!E$3:E$501,MATCH(ROW()-2,종합!$AB$3:$AB$501,0))&amp;"","")</f>
        <v/>
      </c>
      <c r="F95" s="18" t="str">
        <f aca="false">IFERROR(INDEX(종합!F$3:F$501,MATCH(ROW()-2,종합!$AB$3:$AB$501,0))&amp;"","")</f>
        <v/>
      </c>
      <c r="G95" s="18" t="str">
        <f aca="false">IFERROR(INDEX(종합!G$3:G$501,MATCH(ROW()-2,종합!$AB$3:$AB$501,0))&amp;"","")</f>
        <v>중소기업</v>
      </c>
      <c r="H95" s="21" t="str">
        <f aca="false">IFERROR(INDEX(종합!H$3:H$501,MATCH(ROW()-2,종합!$AB$3:$AB$501,0))&amp;"","")</f>
        <v>221-81-40156</v>
      </c>
      <c r="I95" s="21" t="str">
        <f aca="false">IFERROR(INDEX(종합!I$3:I$501,MATCH(ROW()-2,종합!$AB$3:$AB$501,0))&amp;"","")</f>
        <v>신승렬</v>
      </c>
      <c r="J95" s="21" t="str">
        <f aca="false">IFERROR(INDEX(종합!J$3:J$501,MATCH(ROW()-2,종합!$AB$3:$AB$501,0))&amp;"","")</f>
        <v>070-7004-6500</v>
      </c>
      <c r="K95" s="21" t="str">
        <f aca="false">IFERROR(INDEX(종합!K$3:K$501,MATCH(ROW()-2,종합!$AB$3:$AB$501,0))&amp;"","")</f>
        <v>www.impacsys.co.kr</v>
      </c>
      <c r="L95" s="21" t="str">
        <f aca="false">IFERROR(INDEX(종합!L$3:L$501,MATCH(ROW()-2,종합!$AB$3:$AB$501,0))&amp;"","")</f>
        <v>ppory1225@naver.com</v>
      </c>
      <c r="M95" s="21" t="str">
        <f aca="false">IFERROR(INDEX(종합!M$3:M$501,MATCH(ROW()-2,종합!$AB$3:$AB$501,0))&amp;"","")</f>
        <v>강원 춘천시 동면 춘천순환로 609, 4층(서유빌딩)</v>
      </c>
      <c r="N95" s="25" t="str">
        <f aca="false">IFERROR(INDEX(종합!N$3:N$501,MATCH(ROW()-2,종합!$AB$3:$AB$501,0))&amp;"","")</f>
        <v>AI 추천 서비스 및 예약 솔루션 </v>
      </c>
      <c r="O95" s="21" t="str">
        <f aca="false">IFERROR(INDEX(종합!O$3:O$501,MATCH(ROW()-2,종합!$AB$3:$AB$501,0))&amp;"","")</f>
        <v>신승렬</v>
      </c>
      <c r="P95" s="21" t="str">
        <f aca="false">IFERROR(INDEX(종합!P$3:P$501,MATCH(ROW()-2,종합!$AB$3:$AB$501,0))&amp;"","")</f>
        <v>전략기획실</v>
      </c>
      <c r="Q95" s="21" t="str">
        <f aca="false">IFERROR(INDEX(종합!Q$3:Q$501,MATCH(ROW()-2,종합!$AB$3:$AB$501,0))&amp;"","")</f>
        <v>대표이사</v>
      </c>
      <c r="R95" s="21" t="str">
        <f aca="false">IFERROR(INDEX(종합!R$3:R$501,MATCH(ROW()-2,종합!$AB$3:$AB$501,0))&amp;"","")</f>
        <v>070-7004-6510</v>
      </c>
      <c r="S95" s="21" t="str">
        <f aca="false">IFERROR(INDEX(종합!S$3:S$501,MATCH(ROW()-2,종합!$AB$3:$AB$501,0))&amp;"","")</f>
        <v>jakeshin@imcorp.kr</v>
      </c>
      <c r="T95" s="21" t="str">
        <f aca="false">IFERROR(INDEX(종합!T$3:T$501,MATCH(ROW()-2,종합!$AB$3:$AB$501,0))&amp;"","")</f>
        <v>010-8570-2794</v>
      </c>
      <c r="U95" s="21" t="str">
        <f aca="false">IFERROR(INDEX(종합!U$3:U$501,MATCH(ROW()-2,종합!$AB$3:$AB$501,0))&amp;"","")</f>
        <v>변정인</v>
      </c>
      <c r="V95" s="21" t="str">
        <f aca="false">IFERROR(INDEX(종합!V$3:V$501,MATCH(ROW()-2,종합!$AB$3:$AB$501,0))&amp;"","")</f>
        <v>경영지원실</v>
      </c>
      <c r="W95" s="21" t="str">
        <f aca="false">IFERROR(INDEX(종합!W$3:W$501,MATCH(ROW()-2,종합!$AB$3:$AB$501,0))&amp;"","")</f>
        <v>실장</v>
      </c>
      <c r="X95" s="21" t="str">
        <f aca="false">IFERROR(INDEX(종합!X$3:X$501,MATCH(ROW()-2,종합!$AB$3:$AB$501,0))&amp;"","")</f>
        <v>070-7004-6500</v>
      </c>
      <c r="Y95" s="21" t="str">
        <f aca="false">IFERROR(INDEX(종합!Y$3:Y$501,MATCH(ROW()-2,종합!$AB$3:$AB$501,0))&amp;"","")</f>
        <v>bji@imcorp.kr</v>
      </c>
      <c r="Z95" s="21" t="str">
        <f aca="false">IFERROR(INDEX(종합!Z$3:Z$501,MATCH(ROW()-2,종합!$AB$3:$AB$501,0))&amp;"","")</f>
        <v>010-9511-7620</v>
      </c>
    </row>
    <row r="96" customFormat="false" ht="33.75" hidden="false" customHeight="true" outlineLevel="0" collapsed="false">
      <c r="A96" s="18" t="n">
        <f aca="false">IF(B96="","",ROW()-2)</f>
        <v>94</v>
      </c>
      <c r="B96" s="18" t="str">
        <f aca="false">IFERROR(INDEX(종합!B$3:B$501,MATCH(ROW()-2,종합!$AB$3:$AB$501,0))&amp;"","")</f>
        <v>(주)시너지</v>
      </c>
      <c r="C96" s="18" t="str">
        <f aca="false">IFERROR(INDEX(종합!C$3:C$501,MATCH(ROW()-2,종합!$AB$3:$AB$501,0))&amp;"","")</f>
        <v>O</v>
      </c>
      <c r="D96" s="18" t="str">
        <f aca="false">IFERROR(INDEX(종합!D$3:D$501,MATCH(ROW()-2,종합!$AB$3:$AB$501,0))&amp;"","")</f>
        <v/>
      </c>
      <c r="E96" s="18" t="str">
        <f aca="false">IFERROR(INDEX(종합!E$3:E$501,MATCH(ROW()-2,종합!$AB$3:$AB$501,0))&amp;"","")</f>
        <v/>
      </c>
      <c r="F96" s="18" t="str">
        <f aca="false">IFERROR(INDEX(종합!F$3:F$501,MATCH(ROW()-2,종합!$AB$3:$AB$501,0))&amp;"","")</f>
        <v/>
      </c>
      <c r="G96" s="18" t="str">
        <f aca="false">IFERROR(INDEX(종합!G$3:G$501,MATCH(ROW()-2,종합!$AB$3:$AB$501,0))&amp;"","")</f>
        <v>중소기업</v>
      </c>
      <c r="H96" s="21" t="str">
        <f aca="false">IFERROR(INDEX(종합!H$3:H$501,MATCH(ROW()-2,종합!$AB$3:$AB$501,0))&amp;"","")</f>
        <v>855-86-01418</v>
      </c>
      <c r="I96" s="21" t="str">
        <f aca="false">IFERROR(INDEX(종합!I$3:I$501,MATCH(ROW()-2,종합!$AB$3:$AB$501,0))&amp;"","")</f>
        <v>장권영</v>
      </c>
      <c r="J96" s="21" t="str">
        <f aca="false">IFERROR(INDEX(종합!J$3:J$501,MATCH(ROW()-2,종합!$AB$3:$AB$501,0))&amp;"","")</f>
        <v>070-5226-1147</v>
      </c>
      <c r="K96" s="21" t="str">
        <f aca="false">IFERROR(INDEX(종합!K$3:K$501,MATCH(ROW()-2,종합!$AB$3:$AB$501,0))&amp;"","")</f>
        <v>www.sngy.io</v>
      </c>
      <c r="L96" s="21" t="str">
        <f aca="false">IFERROR(INDEX(종합!L$3:L$501,MATCH(ROW()-2,종합!$AB$3:$AB$501,0))&amp;"","")</f>
        <v>jycho@sngy.io</v>
      </c>
      <c r="M96" s="21" t="str">
        <f aca="false">IFERROR(INDEX(종합!M$3:M$501,MATCH(ROW()-2,종합!$AB$3:$AB$501,0))&amp;"","")</f>
        <v>울산광역시 울주군 언양읍 유니스트길 50, UNIST 산학협력관(251동) 307호</v>
      </c>
      <c r="N96" s="25" t="str">
        <f aca="false">IFERROR(INDEX(종합!N$3:N$501,MATCH(ROW()-2,종합!$AB$3:$AB$501,0))&amp;"","")</f>
        <v>ML 기반 에너지 데이터 예측/시계열 데이터 기반 전압,전력 사용량 예측</v>
      </c>
      <c r="O96" s="21" t="str">
        <f aca="false">IFERROR(INDEX(종합!O$3:O$501,MATCH(ROW()-2,종합!$AB$3:$AB$501,0))&amp;"","")</f>
        <v>장권영</v>
      </c>
      <c r="P96" s="21" t="str">
        <f aca="false">IFERROR(INDEX(종합!P$3:P$501,MATCH(ROW()-2,종합!$AB$3:$AB$501,0))&amp;"","")</f>
        <v>대표이사</v>
      </c>
      <c r="Q96" s="21" t="str">
        <f aca="false">IFERROR(INDEX(종합!Q$3:Q$501,MATCH(ROW()-2,종합!$AB$3:$AB$501,0))&amp;"","")</f>
        <v>대표이사</v>
      </c>
      <c r="R96" s="21" t="str">
        <f aca="false">IFERROR(INDEX(종합!R$3:R$501,MATCH(ROW()-2,종합!$AB$3:$AB$501,0))&amp;"","")</f>
        <v>010-2922-0500</v>
      </c>
      <c r="S96" s="21" t="str">
        <f aca="false">IFERROR(INDEX(종합!S$3:S$501,MATCH(ROW()-2,종합!$AB$3:$AB$501,0))&amp;"","")</f>
        <v>sh0487@sngy.io</v>
      </c>
      <c r="T96" s="21" t="str">
        <f aca="false">IFERROR(INDEX(종합!T$3:T$501,MATCH(ROW()-2,종합!$AB$3:$AB$501,0))&amp;"","")</f>
        <v>010-2922-0500</v>
      </c>
      <c r="U96" s="21" t="str">
        <f aca="false">IFERROR(INDEX(종합!U$3:U$501,MATCH(ROW()-2,종합!$AB$3:$AB$501,0))&amp;"","")</f>
        <v>곽현이</v>
      </c>
      <c r="V96" s="21" t="str">
        <f aca="false">IFERROR(INDEX(종합!V$3:V$501,MATCH(ROW()-2,종합!$AB$3:$AB$501,0))&amp;"","")</f>
        <v>경영관리실</v>
      </c>
      <c r="W96" s="21" t="str">
        <f aca="false">IFERROR(INDEX(종합!W$3:W$501,MATCH(ROW()-2,종합!$AB$3:$AB$501,0))&amp;"","")</f>
        <v>매니저</v>
      </c>
      <c r="X96" s="21" t="str">
        <f aca="false">IFERROR(INDEX(종합!X$3:X$501,MATCH(ROW()-2,종합!$AB$3:$AB$501,0))&amp;"","")</f>
        <v>070-5226-1147</v>
      </c>
      <c r="Y96" s="21" t="str">
        <f aca="false">IFERROR(INDEX(종합!Y$3:Y$501,MATCH(ROW()-2,종합!$AB$3:$AB$501,0))&amp;"","")</f>
        <v>hyun@sngy.io</v>
      </c>
      <c r="Z96" s="21" t="str">
        <f aca="false">IFERROR(INDEX(종합!Z$3:Z$501,MATCH(ROW()-2,종합!$AB$3:$AB$501,0))&amp;"","")</f>
        <v>010-9818-5667</v>
      </c>
    </row>
    <row r="97" customFormat="false" ht="22.5" hidden="false" customHeight="true" outlineLevel="0" collapsed="false">
      <c r="A97" s="18" t="n">
        <f aca="false">IF(B97="","",ROW()-2)</f>
        <v>95</v>
      </c>
      <c r="B97" s="18" t="str">
        <f aca="false">IFERROR(INDEX(종합!B$3:B$501,MATCH(ROW()-2,종합!$AB$3:$AB$501,0))&amp;"","")</f>
        <v>주식회사 에스이코리아</v>
      </c>
      <c r="C97" s="18" t="str">
        <f aca="false">IFERROR(INDEX(종합!C$3:C$501,MATCH(ROW()-2,종합!$AB$3:$AB$501,0))&amp;"","")</f>
        <v>O</v>
      </c>
      <c r="D97" s="18" t="str">
        <f aca="false">IFERROR(INDEX(종합!D$3:D$501,MATCH(ROW()-2,종합!$AB$3:$AB$501,0))&amp;"","")</f>
        <v/>
      </c>
      <c r="E97" s="18" t="str">
        <f aca="false">IFERROR(INDEX(종합!E$3:E$501,MATCH(ROW()-2,종합!$AB$3:$AB$501,0))&amp;"","")</f>
        <v/>
      </c>
      <c r="F97" s="18" t="str">
        <f aca="false">IFERROR(INDEX(종합!F$3:F$501,MATCH(ROW()-2,종합!$AB$3:$AB$501,0))&amp;"","")</f>
        <v/>
      </c>
      <c r="G97" s="18" t="str">
        <f aca="false">IFERROR(INDEX(종합!G$3:G$501,MATCH(ROW()-2,종합!$AB$3:$AB$501,0))&amp;"","")</f>
        <v>중소기업</v>
      </c>
      <c r="H97" s="21" t="str">
        <f aca="false">IFERROR(INDEX(종합!H$3:H$501,MATCH(ROW()-2,종합!$AB$3:$AB$501,0))&amp;"","")</f>
        <v>514-81-62144</v>
      </c>
      <c r="I97" s="21" t="str">
        <f aca="false">IFERROR(INDEX(종합!I$3:I$501,MATCH(ROW()-2,종합!$AB$3:$AB$501,0))&amp;"","")</f>
        <v>윤봉훈</v>
      </c>
      <c r="J97" s="21" t="str">
        <f aca="false">IFERROR(INDEX(종합!J$3:J$501,MATCH(ROW()-2,종합!$AB$3:$AB$501,0))&amp;"","")</f>
        <v>053-474-1212</v>
      </c>
      <c r="K97" s="21" t="str">
        <f aca="false">IFERROR(INDEX(종합!K$3:K$501,MATCH(ROW()-2,종합!$AB$3:$AB$501,0))&amp;"","")</f>
        <v>sekorea.co.kr</v>
      </c>
      <c r="L97" s="21" t="str">
        <f aca="false">IFERROR(INDEX(종합!L$3:L$501,MATCH(ROW()-2,종합!$AB$3:$AB$501,0))&amp;"","")</f>
        <v>withhj84@gmail.com</v>
      </c>
      <c r="M97" s="21" t="str">
        <f aca="false">IFERROR(INDEX(종합!M$3:M$501,MATCH(ROW()-2,종합!$AB$3:$AB$501,0))&amp;"","")</f>
        <v>대구시 수성구 알파시티1로31길 16</v>
      </c>
      <c r="N97" s="25" t="str">
        <f aca="false">IFERROR(INDEX(종합!N$3:N$501,MATCH(ROW()-2,종합!$AB$3:$AB$501,0))&amp;"","")</f>
        <v>봇앤휴먼</v>
      </c>
      <c r="O97" s="21" t="str">
        <f aca="false">IFERROR(INDEX(종합!O$3:O$501,MATCH(ROW()-2,종합!$AB$3:$AB$501,0))&amp;"","")</f>
        <v>윤봉훈</v>
      </c>
      <c r="P97" s="21" t="str">
        <f aca="false">IFERROR(INDEX(종합!P$3:P$501,MATCH(ROW()-2,종합!$AB$3:$AB$501,0))&amp;"","")</f>
        <v>경영</v>
      </c>
      <c r="Q97" s="21" t="str">
        <f aca="false">IFERROR(INDEX(종합!Q$3:Q$501,MATCH(ROW()-2,종합!$AB$3:$AB$501,0))&amp;"","")</f>
        <v>대표이사</v>
      </c>
      <c r="R97" s="21" t="str">
        <f aca="false">IFERROR(INDEX(종합!R$3:R$501,MATCH(ROW()-2,종합!$AB$3:$AB$501,0))&amp;"","")</f>
        <v>053-474-1212</v>
      </c>
      <c r="S97" s="21" t="str">
        <f aca="false">IFERROR(INDEX(종합!S$3:S$501,MATCH(ROW()-2,종합!$AB$3:$AB$501,0))&amp;"","")</f>
        <v>seceo@sekorea.co.kr</v>
      </c>
      <c r="T97" s="21" t="str">
        <f aca="false">IFERROR(INDEX(종합!T$3:T$501,MATCH(ROW()-2,종합!$AB$3:$AB$501,0))&amp;"","")</f>
        <v>010-6689-3256</v>
      </c>
      <c r="U97" s="21" t="str">
        <f aca="false">IFERROR(INDEX(종합!U$3:U$501,MATCH(ROW()-2,종합!$AB$3:$AB$501,0))&amp;"","")</f>
        <v>정동석</v>
      </c>
      <c r="V97" s="21" t="str">
        <f aca="false">IFERROR(INDEX(종합!V$3:V$501,MATCH(ROW()-2,종합!$AB$3:$AB$501,0))&amp;"","")</f>
        <v>시스템사업</v>
      </c>
      <c r="W97" s="21" t="str">
        <f aca="false">IFERROR(INDEX(종합!W$3:W$501,MATCH(ROW()-2,종합!$AB$3:$AB$501,0))&amp;"","")</f>
        <v>이사</v>
      </c>
      <c r="X97" s="21" t="str">
        <f aca="false">IFERROR(INDEX(종합!X$3:X$501,MATCH(ROW()-2,종합!$AB$3:$AB$501,0))&amp;"","")</f>
        <v>053-474-1212</v>
      </c>
      <c r="Y97" s="21" t="str">
        <f aca="false">IFERROR(INDEX(종합!Y$3:Y$501,MATCH(ROW()-2,종합!$AB$3:$AB$501,0))&amp;"","")</f>
        <v>cds@sekorea.co.kr</v>
      </c>
      <c r="Z97" s="21" t="str">
        <f aca="false">IFERROR(INDEX(종합!Z$3:Z$501,MATCH(ROW()-2,종합!$AB$3:$AB$501,0))&amp;"","")</f>
        <v>010-2503-7308</v>
      </c>
    </row>
    <row r="98" customFormat="false" ht="60.75" hidden="false" customHeight="true" outlineLevel="0" collapsed="false">
      <c r="A98" s="18" t="n">
        <f aca="false">IF(B98="","",ROW()-2)</f>
        <v>96</v>
      </c>
      <c r="B98" s="18" t="str">
        <f aca="false">IFERROR(INDEX(종합!B$3:B$501,MATCH(ROW()-2,종합!$AB$3:$AB$501,0))&amp;"","")</f>
        <v>한국전자기술연구원</v>
      </c>
      <c r="C98" s="18" t="str">
        <f aca="false">IFERROR(INDEX(종합!C$3:C$501,MATCH(ROW()-2,종합!$AB$3:$AB$501,0))&amp;"","")</f>
        <v>O</v>
      </c>
      <c r="D98" s="18" t="str">
        <f aca="false">IFERROR(INDEX(종합!D$3:D$501,MATCH(ROW()-2,종합!$AB$3:$AB$501,0))&amp;"","")</f>
        <v/>
      </c>
      <c r="E98" s="18" t="str">
        <f aca="false">IFERROR(INDEX(종합!E$3:E$501,MATCH(ROW()-2,종합!$AB$3:$AB$501,0))&amp;"","")</f>
        <v/>
      </c>
      <c r="F98" s="18" t="str">
        <f aca="false">IFERROR(INDEX(종합!F$3:F$501,MATCH(ROW()-2,종합!$AB$3:$AB$501,0))&amp;"","")</f>
        <v/>
      </c>
      <c r="G98" s="18" t="str">
        <f aca="false">IFERROR(INDEX(종합!G$3:G$501,MATCH(ROW()-2,종합!$AB$3:$AB$501,0))&amp;"","")</f>
        <v>공공기관</v>
      </c>
      <c r="H98" s="21" t="str">
        <f aca="false">IFERROR(INDEX(종합!H$3:H$501,MATCH(ROW()-2,종합!$AB$3:$AB$501,0))&amp;"","")</f>
        <v>125-82-05237</v>
      </c>
      <c r="I98" s="21" t="str">
        <f aca="false">IFERROR(INDEX(종합!I$3:I$501,MATCH(ROW()-2,종합!$AB$3:$AB$501,0))&amp;"","")</f>
        <v>신희동</v>
      </c>
      <c r="J98" s="21" t="str">
        <f aca="false">IFERROR(INDEX(종합!J$3:J$501,MATCH(ROW()-2,종합!$AB$3:$AB$501,0))&amp;"","")</f>
        <v>031-789-7000</v>
      </c>
      <c r="K98" s="21" t="str">
        <f aca="false">IFERROR(INDEX(종합!K$3:K$501,MATCH(ROW()-2,종합!$AB$3:$AB$501,0))&amp;"","")</f>
        <v>https://www.keti.re.kr/</v>
      </c>
      <c r="L98" s="21" t="str">
        <f aca="false">IFERROR(INDEX(종합!L$3:L$501,MATCH(ROW()-2,종합!$AB$3:$AB$501,0))&amp;"","")</f>
        <v>llaewon@gmail.com</v>
      </c>
      <c r="M98" s="21" t="str">
        <f aca="false">IFERROR(INDEX(종합!M$3:M$501,MATCH(ROW()-2,종합!$AB$3:$AB$501,0))&amp;"","")</f>
        <v>(13509) 경기도 성남시 분당구 새나리로 25 (야탑동)</v>
      </c>
      <c r="N98" s="25" t="str">
        <f aca="false">IFERROR(INDEX(종합!N$3:N$501,MATCH(ROW()-2,종합!$AB$3:$AB$501,0))&amp;"","")</f>
        <v>문맥 분석 기반의 도메인 특화 에이전트 기술, LLM 기반 관계형 데이터 검색 기술 (Graph RAG), 멀티모달 AI 인터랙션 및 추론 기술, 딥페이크 탐지 AI 기술, 음성/영상 생성 및 변형 기술 등</v>
      </c>
      <c r="O98" s="21" t="str">
        <f aca="false">IFERROR(INDEX(종합!O$3:O$501,MATCH(ROW()-2,종합!$AB$3:$AB$501,0))&amp;"","")</f>
        <v>임태범</v>
      </c>
      <c r="P98" s="21" t="str">
        <f aca="false">IFERROR(INDEX(종합!P$3:P$501,MATCH(ROW()-2,종합!$AB$3:$AB$501,0))&amp;"","")</f>
        <v>인공지능연구본부</v>
      </c>
      <c r="Q98" s="21" t="str">
        <f aca="false">IFERROR(INDEX(종합!Q$3:Q$501,MATCH(ROW()-2,종합!$AB$3:$AB$501,0))&amp;"","")</f>
        <v>본부장</v>
      </c>
      <c r="R98" s="21" t="str">
        <f aca="false">IFERROR(INDEX(종합!R$3:R$501,MATCH(ROW()-2,종합!$AB$3:$AB$501,0))&amp;"","")</f>
        <v>031-739-7470</v>
      </c>
      <c r="S98" s="21" t="str">
        <f aca="false">IFERROR(INDEX(종합!S$3:S$501,MATCH(ROW()-2,종합!$AB$3:$AB$501,0))&amp;"","")</f>
        <v>tblim@keti.re.kr</v>
      </c>
      <c r="T98" s="21" t="str">
        <f aca="false">IFERROR(INDEX(종합!T$3:T$501,MATCH(ROW()-2,종합!$AB$3:$AB$501,0))&amp;"","")</f>
        <v>010-3257-4460</v>
      </c>
      <c r="U98" s="21" t="str">
        <f aca="false">IFERROR(INDEX(종합!U$3:U$501,MATCH(ROW()-2,종합!$AB$3:$AB$501,0))&amp;"","")</f>
        <v>이영한</v>
      </c>
      <c r="V98" s="21" t="str">
        <f aca="false">IFERROR(INDEX(종합!V$3:V$501,MATCH(ROW()-2,종합!$AB$3:$AB$501,0))&amp;"","")</f>
        <v>복합지능연구센터</v>
      </c>
      <c r="W98" s="21" t="str">
        <f aca="false">IFERROR(INDEX(종합!W$3:W$501,MATCH(ROW()-2,종합!$AB$3:$AB$501,0))&amp;"","")</f>
        <v>센터장</v>
      </c>
      <c r="X98" s="21" t="str">
        <f aca="false">IFERROR(INDEX(종합!X$3:X$501,MATCH(ROW()-2,종합!$AB$3:$AB$501,0))&amp;"","")</f>
        <v>031-739-7458</v>
      </c>
      <c r="Y98" s="21" t="str">
        <f aca="false">IFERROR(INDEX(종합!Y$3:Y$501,MATCH(ROW()-2,종합!$AB$3:$AB$501,0))&amp;"","")</f>
        <v>yhlee@keti.re.kr</v>
      </c>
      <c r="Z98" s="21" t="str">
        <f aca="false">IFERROR(INDEX(종합!Z$3:Z$501,MATCH(ROW()-2,종합!$AB$3:$AB$501,0))&amp;"","")</f>
        <v>010-2951-3880</v>
      </c>
    </row>
    <row r="99" customFormat="false" ht="22.5" hidden="false" customHeight="true" outlineLevel="0" collapsed="false">
      <c r="A99" s="18" t="n">
        <f aca="false">IF(B99="","",ROW()-2)</f>
        <v>97</v>
      </c>
      <c r="B99" s="18" t="str">
        <f aca="false">IFERROR(INDEX(종합!B$3:B$501,MATCH(ROW()-2,종합!$AB$3:$AB$501,0))&amp;"","")</f>
        <v>(주)메가투스</v>
      </c>
      <c r="C99" s="18" t="str">
        <f aca="false">IFERROR(INDEX(종합!C$3:C$501,MATCH(ROW()-2,종합!$AB$3:$AB$501,0))&amp;"","")</f>
        <v>O</v>
      </c>
      <c r="D99" s="18" t="str">
        <f aca="false">IFERROR(INDEX(종합!D$3:D$501,MATCH(ROW()-2,종합!$AB$3:$AB$501,0))&amp;"","")</f>
        <v/>
      </c>
      <c r="E99" s="18" t="str">
        <f aca="false">IFERROR(INDEX(종합!E$3:E$501,MATCH(ROW()-2,종합!$AB$3:$AB$501,0))&amp;"","")</f>
        <v/>
      </c>
      <c r="F99" s="18" t="str">
        <f aca="false">IFERROR(INDEX(종합!F$3:F$501,MATCH(ROW()-2,종합!$AB$3:$AB$501,0))&amp;"","")</f>
        <v/>
      </c>
      <c r="G99" s="18" t="str">
        <f aca="false">IFERROR(INDEX(종합!G$3:G$501,MATCH(ROW()-2,종합!$AB$3:$AB$501,0))&amp;"","")</f>
        <v>중소기업</v>
      </c>
      <c r="H99" s="21" t="str">
        <f aca="false">IFERROR(INDEX(종합!H$3:H$501,MATCH(ROW()-2,종합!$AB$3:$AB$501,0))&amp;"","")</f>
        <v>211-86-46124</v>
      </c>
      <c r="I99" s="21" t="str">
        <f aca="false">IFERROR(INDEX(종합!I$3:I$501,MATCH(ROW()-2,종합!$AB$3:$AB$501,0))&amp;"","")</f>
        <v>조창협</v>
      </c>
      <c r="J99" s="21" t="str">
        <f aca="false">IFERROR(INDEX(종합!J$3:J$501,MATCH(ROW()-2,종합!$AB$3:$AB$501,0))&amp;"","")</f>
        <v>02-563-0117</v>
      </c>
      <c r="K99" s="21" t="str">
        <f aca="false">IFERROR(INDEX(종합!K$3:K$501,MATCH(ROW()-2,종합!$AB$3:$AB$501,0))&amp;"","")</f>
        <v>www.megatus.com</v>
      </c>
      <c r="L99" s="21" t="str">
        <f aca="false">IFERROR(INDEX(종합!L$3:L$501,MATCH(ROW()-2,종합!$AB$3:$AB$501,0))&amp;"","")</f>
        <v>hjhj202501@gmail.com</v>
      </c>
      <c r="M99" s="21" t="str">
        <f aca="false">IFERROR(INDEX(종합!M$3:M$501,MATCH(ROW()-2,종합!$AB$3:$AB$501,0))&amp;"","")</f>
        <v>서울특별시 구로구 디지털로33길 27 (구로동) 705호</v>
      </c>
      <c r="N99" s="25" t="str">
        <f aca="false">IFERROR(INDEX(종합!N$3:N$501,MATCH(ROW()-2,종합!$AB$3:$AB$501,0))&amp;"","")</f>
        <v> 에이전틱 워크플로우/AI </v>
      </c>
      <c r="O99" s="21" t="str">
        <f aca="false">IFERROR(INDEX(종합!O$3:O$501,MATCH(ROW()-2,종합!$AB$3:$AB$501,0))&amp;"","")</f>
        <v>조범진 </v>
      </c>
      <c r="P99" s="21" t="str">
        <f aca="false">IFERROR(INDEX(종합!P$3:P$501,MATCH(ROW()-2,종합!$AB$3:$AB$501,0))&amp;"","")</f>
        <v>클라우드본부</v>
      </c>
      <c r="Q99" s="21" t="str">
        <f aca="false">IFERROR(INDEX(종합!Q$3:Q$501,MATCH(ROW()-2,종합!$AB$3:$AB$501,0))&amp;"","")</f>
        <v>상무</v>
      </c>
      <c r="R99" s="21" t="str">
        <f aca="false">IFERROR(INDEX(종합!R$3:R$501,MATCH(ROW()-2,종합!$AB$3:$AB$501,0))&amp;"","")</f>
        <v>02-563-0117</v>
      </c>
      <c r="S99" s="21" t="str">
        <f aca="false">IFERROR(INDEX(종합!S$3:S$501,MATCH(ROW()-2,종합!$AB$3:$AB$501,0))&amp;"","")</f>
        <v>beumjin.cho@megatus.com</v>
      </c>
      <c r="T99" s="21" t="str">
        <f aca="false">IFERROR(INDEX(종합!T$3:T$501,MATCH(ROW()-2,종합!$AB$3:$AB$501,0))&amp;"","")</f>
        <v>010-7106-3608</v>
      </c>
      <c r="U99" s="21" t="str">
        <f aca="false">IFERROR(INDEX(종합!U$3:U$501,MATCH(ROW()-2,종합!$AB$3:$AB$501,0))&amp;"","")</f>
        <v>조희정</v>
      </c>
      <c r="V99" s="21" t="str">
        <f aca="false">IFERROR(INDEX(종합!V$3:V$501,MATCH(ROW()-2,종합!$AB$3:$AB$501,0))&amp;"","")</f>
        <v>재무팀</v>
      </c>
      <c r="W99" s="21" t="str">
        <f aca="false">IFERROR(INDEX(종합!W$3:W$501,MATCH(ROW()-2,종합!$AB$3:$AB$501,0))&amp;"","")</f>
        <v>프로</v>
      </c>
      <c r="X99" s="21" t="str">
        <f aca="false">IFERROR(INDEX(종합!X$3:X$501,MATCH(ROW()-2,종합!$AB$3:$AB$501,0))&amp;"","")</f>
        <v>02-563-0117</v>
      </c>
      <c r="Y99" s="21" t="str">
        <f aca="false">IFERROR(INDEX(종합!Y$3:Y$501,MATCH(ROW()-2,종합!$AB$3:$AB$501,0))&amp;"","")</f>
        <v>yeuci@megatus.com</v>
      </c>
      <c r="Z99" s="21" t="str">
        <f aca="false">IFERROR(INDEX(종합!Z$3:Z$501,MATCH(ROW()-2,종합!$AB$3:$AB$501,0))&amp;"","")</f>
        <v>010-3704-4544</v>
      </c>
    </row>
    <row r="100" customFormat="false" ht="33.75" hidden="false" customHeight="true" outlineLevel="0" collapsed="false">
      <c r="A100" s="18" t="n">
        <f aca="false">IF(B100="","",ROW()-2)</f>
        <v>98</v>
      </c>
      <c r="B100" s="18" t="str">
        <f aca="false">IFERROR(INDEX(종합!B$3:B$501,MATCH(ROW()-2,종합!$AB$3:$AB$501,0))&amp;"","")</f>
        <v>펜타시스템테크놀러지(주)</v>
      </c>
      <c r="C100" s="18" t="str">
        <f aca="false">IFERROR(INDEX(종합!C$3:C$501,MATCH(ROW()-2,종합!$AB$3:$AB$501,0))&amp;"","")</f>
        <v>O</v>
      </c>
      <c r="D100" s="18" t="str">
        <f aca="false">IFERROR(INDEX(종합!D$3:D$501,MATCH(ROW()-2,종합!$AB$3:$AB$501,0))&amp;"","")</f>
        <v>O</v>
      </c>
      <c r="E100" s="18" t="str">
        <f aca="false">IFERROR(INDEX(종합!E$3:E$501,MATCH(ROW()-2,종합!$AB$3:$AB$501,0))&amp;"","")</f>
        <v>O</v>
      </c>
      <c r="F100" s="18" t="str">
        <f aca="false">IFERROR(INDEX(종합!F$3:F$501,MATCH(ROW()-2,종합!$AB$3:$AB$501,0))&amp;"","")</f>
        <v>O</v>
      </c>
      <c r="G100" s="18" t="str">
        <f aca="false">IFERROR(INDEX(종합!G$3:G$501,MATCH(ROW()-2,종합!$AB$3:$AB$501,0))&amp;"","")</f>
        <v>중견기업</v>
      </c>
      <c r="H100" s="21" t="str">
        <f aca="false">IFERROR(INDEX(종합!H$3:H$501,MATCH(ROW()-2,종합!$AB$3:$AB$501,0))&amp;"","")</f>
        <v>116-81-35346</v>
      </c>
      <c r="I100" s="21" t="str">
        <f aca="false">IFERROR(INDEX(종합!I$3:I$501,MATCH(ROW()-2,종합!$AB$3:$AB$501,0))&amp;"","")</f>
        <v>장종준</v>
      </c>
      <c r="J100" s="21" t="str">
        <f aca="false">IFERROR(INDEX(종합!J$3:J$501,MATCH(ROW()-2,종합!$AB$3:$AB$501,0))&amp;"","")</f>
        <v>02-769-9700</v>
      </c>
      <c r="K100" s="21" t="str">
        <f aca="false">IFERROR(INDEX(종합!K$3:K$501,MATCH(ROW()-2,종합!$AB$3:$AB$501,0))&amp;"","")</f>
        <v>www.penta.co.kr</v>
      </c>
      <c r="L100" s="21" t="str">
        <f aca="false">IFERROR(INDEX(종합!L$3:L$501,MATCH(ROW()-2,종합!$AB$3:$AB$501,0))&amp;"","")</f>
        <v>jukab2246@gmail.com</v>
      </c>
      <c r="M100" s="21" t="str">
        <f aca="false">IFERROR(INDEX(종합!M$3:M$501,MATCH(ROW()-2,종합!$AB$3:$AB$501,0))&amp;"","")</f>
        <v>서울특별시 영등포구 여의공원로 115 세우빌딩 10, 11</v>
      </c>
      <c r="N100" s="25" t="str">
        <f aca="false">IFERROR(INDEX(종합!N$3:N$501,MATCH(ROW()-2,종합!$AB$3:$AB$501,0))&amp;"","")</f>
        <v>학습데이터 생성을 위한 개인정보 비식별화 솔루션 및  AI Agent 포털 솔루션 보유</v>
      </c>
      <c r="O100" s="21" t="str">
        <f aca="false">IFERROR(INDEX(종합!O$3:O$501,MATCH(ROW()-2,종합!$AB$3:$AB$501,0))&amp;"","")</f>
        <v>김동한</v>
      </c>
      <c r="P100" s="21" t="str">
        <f aca="false">IFERROR(INDEX(종합!P$3:P$501,MATCH(ROW()-2,종합!$AB$3:$AB$501,0))&amp;"","")</f>
        <v>펜타 Lab5 고등기술연구소</v>
      </c>
      <c r="Q100" s="21" t="str">
        <f aca="false">IFERROR(INDEX(종합!Q$3:Q$501,MATCH(ROW()-2,종합!$AB$3:$AB$501,0))&amp;"","")</f>
        <v>전문위원/연구소장</v>
      </c>
      <c r="R100" s="21" t="str">
        <f aca="false">IFERROR(INDEX(종합!R$3:R$501,MATCH(ROW()-2,종합!$AB$3:$AB$501,0))&amp;"","")</f>
        <v>02-769-9773</v>
      </c>
      <c r="S100" s="21" t="str">
        <f aca="false">IFERROR(INDEX(종합!S$3:S$501,MATCH(ROW()-2,종합!$AB$3:$AB$501,0))&amp;"","")</f>
        <v>picollo@penta.co.kr</v>
      </c>
      <c r="T100" s="21" t="str">
        <f aca="false">IFERROR(INDEX(종합!T$3:T$501,MATCH(ROW()-2,종합!$AB$3:$AB$501,0))&amp;"","")</f>
        <v>010-9188-1021</v>
      </c>
      <c r="U100" s="21" t="str">
        <f aca="false">IFERROR(INDEX(종합!U$3:U$501,MATCH(ROW()-2,종합!$AB$3:$AB$501,0))&amp;"","")</f>
        <v>정광용</v>
      </c>
      <c r="V100" s="21" t="str">
        <f aca="false">IFERROR(INDEX(종합!V$3:V$501,MATCH(ROW()-2,종합!$AB$3:$AB$501,0))&amp;"","")</f>
        <v>DG팀</v>
      </c>
      <c r="W100" s="21" t="str">
        <f aca="false">IFERROR(INDEX(종합!W$3:W$501,MATCH(ROW()-2,종합!$AB$3:$AB$501,0))&amp;"","")</f>
        <v>기술위원/팀장</v>
      </c>
      <c r="X100" s="21" t="str">
        <f aca="false">IFERROR(INDEX(종합!X$3:X$501,MATCH(ROW()-2,종합!$AB$3:$AB$501,0))&amp;"","")</f>
        <v>02-769-9760</v>
      </c>
      <c r="Y100" s="21" t="str">
        <f aca="false">IFERROR(INDEX(종합!Y$3:Y$501,MATCH(ROW()-2,종합!$AB$3:$AB$501,0))&amp;"","")</f>
        <v>kychung@penta.co.kr</v>
      </c>
      <c r="Z100" s="21" t="str">
        <f aca="false">IFERROR(INDEX(종합!Z$3:Z$501,MATCH(ROW()-2,종합!$AB$3:$AB$501,0))&amp;"","")</f>
        <v>010-3264-5708</v>
      </c>
    </row>
    <row r="101" customFormat="false" ht="22.5" hidden="false" customHeight="true" outlineLevel="0" collapsed="false">
      <c r="A101" s="18" t="n">
        <f aca="false">IF(B101="","",ROW()-2)</f>
        <v>99</v>
      </c>
      <c r="B101" s="18" t="str">
        <f aca="false">IFERROR(INDEX(종합!B$3:B$501,MATCH(ROW()-2,종합!$AB$3:$AB$501,0))&amp;"","")</f>
        <v>한솔코에버㈜</v>
      </c>
      <c r="C101" s="18" t="str">
        <f aca="false">IFERROR(INDEX(종합!C$3:C$501,MATCH(ROW()-2,종합!$AB$3:$AB$501,0))&amp;"","")</f>
        <v>O</v>
      </c>
      <c r="D101" s="18" t="str">
        <f aca="false">IFERROR(INDEX(종합!D$3:D$501,MATCH(ROW()-2,종합!$AB$3:$AB$501,0))&amp;"","")</f>
        <v/>
      </c>
      <c r="E101" s="18" t="str">
        <f aca="false">IFERROR(INDEX(종합!E$3:E$501,MATCH(ROW()-2,종합!$AB$3:$AB$501,0))&amp;"","")</f>
        <v/>
      </c>
      <c r="F101" s="18" t="str">
        <f aca="false">IFERROR(INDEX(종합!F$3:F$501,MATCH(ROW()-2,종합!$AB$3:$AB$501,0))&amp;"","")</f>
        <v/>
      </c>
      <c r="G101" s="18" t="str">
        <f aca="false">IFERROR(INDEX(종합!G$3:G$501,MATCH(ROW()-2,종합!$AB$3:$AB$501,0))&amp;"","")</f>
        <v>중견기업</v>
      </c>
      <c r="H101" s="21" t="str">
        <f aca="false">IFERROR(INDEX(종합!H$3:H$501,MATCH(ROW()-2,종합!$AB$3:$AB$501,0))&amp;"","")</f>
        <v>119-81-88750</v>
      </c>
      <c r="I101" s="21" t="str">
        <f aca="false">IFERROR(INDEX(종합!I$3:I$501,MATCH(ROW()-2,종합!$AB$3:$AB$501,0))&amp;"","")</f>
        <v>안상윤</v>
      </c>
      <c r="J101" s="21" t="str">
        <f aca="false">IFERROR(INDEX(종합!J$3:J$501,MATCH(ROW()-2,종합!$AB$3:$AB$501,0))&amp;"","")</f>
        <v>02-859-7788</v>
      </c>
      <c r="K101" s="21" t="str">
        <f aca="false">IFERROR(INDEX(종합!K$3:K$501,MATCH(ROW()-2,종합!$AB$3:$AB$501,0))&amp;"","")</f>
        <v>www.coever.co.kr</v>
      </c>
      <c r="L101" s="21" t="str">
        <f aca="false">IFERROR(INDEX(종합!L$3:L$501,MATCH(ROW()-2,종합!$AB$3:$AB$501,0))&amp;"","")</f>
        <v>kingjubi1020@gmail.com</v>
      </c>
      <c r="M101" s="21" t="str">
        <f aca="false">IFERROR(INDEX(종합!M$3:M$501,MATCH(ROW()-2,종합!$AB$3:$AB$501,0))&amp;"","")</f>
        <v>서울시 금천구 가산디지털1로 168, 우림라이온스밸리 C901, 902호</v>
      </c>
      <c r="N101" s="25" t="str">
        <f aca="false">IFERROR(INDEX(종합!N$3:N$501,MATCH(ROW()-2,종합!$AB$3:$AB$501,0))&amp;"","")</f>
        <v>제조AI(품질관리, 이상치탐지)</v>
      </c>
      <c r="O101" s="21" t="str">
        <f aca="false">IFERROR(INDEX(종합!O$3:O$501,MATCH(ROW()-2,종합!$AB$3:$AB$501,0))&amp;"","")</f>
        <v>최영식</v>
      </c>
      <c r="P101" s="21" t="str">
        <f aca="false">IFERROR(INDEX(종합!P$3:P$501,MATCH(ROW()-2,종합!$AB$3:$AB$501,0))&amp;"","")</f>
        <v>DX사업부문</v>
      </c>
      <c r="Q101" s="21" t="str">
        <f aca="false">IFERROR(INDEX(종합!Q$3:Q$501,MATCH(ROW()-2,종합!$AB$3:$AB$501,0))&amp;"","")</f>
        <v>부문장</v>
      </c>
      <c r="R101" s="21" t="str">
        <f aca="false">IFERROR(INDEX(종합!R$3:R$501,MATCH(ROW()-2,종합!$AB$3:$AB$501,0))&amp;"","")</f>
        <v>02-859-7788</v>
      </c>
      <c r="S101" s="21" t="str">
        <f aca="false">IFERROR(INDEX(종합!S$3:S$501,MATCH(ROW()-2,종합!$AB$3:$AB$501,0))&amp;"","")</f>
        <v> ys.choi@hansol.com</v>
      </c>
      <c r="T101" s="21" t="str">
        <f aca="false">IFERROR(INDEX(종합!T$3:T$501,MATCH(ROW()-2,종합!$AB$3:$AB$501,0))&amp;"","")</f>
        <v>010-8816-7737</v>
      </c>
      <c r="U101" s="21" t="str">
        <f aca="false">IFERROR(INDEX(종합!U$3:U$501,MATCH(ROW()-2,종합!$AB$3:$AB$501,0))&amp;"","")</f>
        <v>김혜주</v>
      </c>
      <c r="V101" s="21" t="str">
        <f aca="false">IFERROR(INDEX(종합!V$3:V$501,MATCH(ROW()-2,종합!$AB$3:$AB$501,0))&amp;"","")</f>
        <v>DX사업부문 개발팀</v>
      </c>
      <c r="W101" s="21" t="str">
        <f aca="false">IFERROR(INDEX(종합!W$3:W$501,MATCH(ROW()-2,종합!$AB$3:$AB$501,0))&amp;"","")</f>
        <v>대리</v>
      </c>
      <c r="X101" s="21" t="str">
        <f aca="false">IFERROR(INDEX(종합!X$3:X$501,MATCH(ROW()-2,종합!$AB$3:$AB$501,0))&amp;"","")</f>
        <v>02-859-7788</v>
      </c>
      <c r="Y101" s="21" t="str">
        <f aca="false">IFERROR(INDEX(종합!Y$3:Y$501,MATCH(ROW()-2,종합!$AB$3:$AB$501,0))&amp;"","")</f>
        <v>hyejookim@hansol.com</v>
      </c>
      <c r="Z101" s="21" t="str">
        <f aca="false">IFERROR(INDEX(종합!Z$3:Z$501,MATCH(ROW()-2,종합!$AB$3:$AB$501,0))&amp;"","")</f>
        <v>010-5529-3061</v>
      </c>
    </row>
    <row r="102" customFormat="false" ht="22.5" hidden="false" customHeight="true" outlineLevel="0" collapsed="false">
      <c r="A102" s="18" t="n">
        <f aca="false">IF(B102="","",ROW()-2)</f>
        <v>100</v>
      </c>
      <c r="B102" s="18" t="str">
        <f aca="false">IFERROR(INDEX(종합!B$3:B$501,MATCH(ROW()-2,종합!$AB$3:$AB$501,0))&amp;"","")</f>
        <v>(주)이튜</v>
      </c>
      <c r="C102" s="18" t="str">
        <f aca="false">IFERROR(INDEX(종합!C$3:C$501,MATCH(ROW()-2,종합!$AB$3:$AB$501,0))&amp;"","")</f>
        <v>O</v>
      </c>
      <c r="D102" s="18" t="str">
        <f aca="false">IFERROR(INDEX(종합!D$3:D$501,MATCH(ROW()-2,종합!$AB$3:$AB$501,0))&amp;"","")</f>
        <v/>
      </c>
      <c r="E102" s="18" t="str">
        <f aca="false">IFERROR(INDEX(종합!E$3:E$501,MATCH(ROW()-2,종합!$AB$3:$AB$501,0))&amp;"","")</f>
        <v/>
      </c>
      <c r="F102" s="18" t="str">
        <f aca="false">IFERROR(INDEX(종합!F$3:F$501,MATCH(ROW()-2,종합!$AB$3:$AB$501,0))&amp;"","")</f>
        <v/>
      </c>
      <c r="G102" s="18" t="str">
        <f aca="false">IFERROR(INDEX(종합!G$3:G$501,MATCH(ROW()-2,종합!$AB$3:$AB$501,0))&amp;"","")</f>
        <v>중소기업</v>
      </c>
      <c r="H102" s="21" t="str">
        <f aca="false">IFERROR(INDEX(종합!H$3:H$501,MATCH(ROW()-2,종합!$AB$3:$AB$501,0))&amp;"","")</f>
        <v>514-81-66515</v>
      </c>
      <c r="I102" s="21" t="str">
        <f aca="false">IFERROR(INDEX(종합!I$3:I$501,MATCH(ROW()-2,종합!$AB$3:$AB$501,0))&amp;"","")</f>
        <v>김광수</v>
      </c>
      <c r="J102" s="21" t="str">
        <f aca="false">IFERROR(INDEX(종합!J$3:J$501,MATCH(ROW()-2,종합!$AB$3:$AB$501,0))&amp;"","")</f>
        <v>053-623-1468</v>
      </c>
      <c r="K102" s="21" t="str">
        <f aca="false">IFERROR(INDEX(종합!K$3:K$501,MATCH(ROW()-2,종합!$AB$3:$AB$501,0))&amp;"","")</f>
        <v>https://www.eplatform.co.kr</v>
      </c>
      <c r="L102" s="21" t="str">
        <f aca="false">IFERROR(INDEX(종합!L$3:L$501,MATCH(ROW()-2,종합!$AB$3:$AB$501,0))&amp;"","")</f>
        <v>kphjey8690@eplatform.co.kr</v>
      </c>
      <c r="M102" s="21" t="str">
        <f aca="false">IFERROR(INDEX(종합!M$3:M$501,MATCH(ROW()-2,종합!$AB$3:$AB$501,0))&amp;"","")</f>
        <v>대구광역시 수성구 알파시티 1로 31길 12</v>
      </c>
      <c r="N102" s="25" t="str">
        <f aca="false">IFERROR(INDEX(종합!N$3:N$501,MATCH(ROW()-2,종합!$AB$3:$AB$501,0))&amp;"","")</f>
        <v>생성형 AI(RAG 기반 AI 대화 시스템)</v>
      </c>
      <c r="O102" s="21" t="str">
        <f aca="false">IFERROR(INDEX(종합!O$3:O$501,MATCH(ROW()-2,종합!$AB$3:$AB$501,0))&amp;"","")</f>
        <v>김광수</v>
      </c>
      <c r="P102" s="21" t="str">
        <f aca="false">IFERROR(INDEX(종합!P$3:P$501,MATCH(ROW()-2,종합!$AB$3:$AB$501,0))&amp;"","")</f>
        <v>경영지원</v>
      </c>
      <c r="Q102" s="21" t="str">
        <f aca="false">IFERROR(INDEX(종합!Q$3:Q$501,MATCH(ROW()-2,종합!$AB$3:$AB$501,0))&amp;"","")</f>
        <v>대표이사</v>
      </c>
      <c r="R102" s="21" t="str">
        <f aca="false">IFERROR(INDEX(종합!R$3:R$501,MATCH(ROW()-2,종합!$AB$3:$AB$501,0))&amp;"","")</f>
        <v>053-623-1468</v>
      </c>
      <c r="S102" s="21" t="str">
        <f aca="false">IFERROR(INDEX(종합!S$3:S$501,MATCH(ROW()-2,종합!$AB$3:$AB$501,0))&amp;"","")</f>
        <v>kkosoo@eplatform.co.kr</v>
      </c>
      <c r="T102" s="21" t="str">
        <f aca="false">IFERROR(INDEX(종합!T$3:T$501,MATCH(ROW()-2,종합!$AB$3:$AB$501,0))&amp;"","")</f>
        <v>010-6381-1376</v>
      </c>
      <c r="U102" s="21" t="str">
        <f aca="false">IFERROR(INDEX(종합!U$3:U$501,MATCH(ROW()-2,종합!$AB$3:$AB$501,0))&amp;"","")</f>
        <v>김평한</v>
      </c>
      <c r="V102" s="21" t="str">
        <f aca="false">IFERROR(INDEX(종합!V$3:V$501,MATCH(ROW()-2,종합!$AB$3:$AB$501,0))&amp;"","")</f>
        <v>기업부설연구소</v>
      </c>
      <c r="W102" s="21" t="str">
        <f aca="false">IFERROR(INDEX(종합!W$3:W$501,MATCH(ROW()-2,종합!$AB$3:$AB$501,0))&amp;"","")</f>
        <v>차장</v>
      </c>
      <c r="X102" s="21" t="str">
        <f aca="false">IFERROR(INDEX(종합!X$3:X$501,MATCH(ROW()-2,종합!$AB$3:$AB$501,0))&amp;"","")</f>
        <v>053-623-1468</v>
      </c>
      <c r="Y102" s="21" t="str">
        <f aca="false">IFERROR(INDEX(종합!Y$3:Y$501,MATCH(ROW()-2,종합!$AB$3:$AB$501,0))&amp;"","")</f>
        <v>kphjey8690@eplatform.co.kr</v>
      </c>
      <c r="Z102" s="21" t="str">
        <f aca="false">IFERROR(INDEX(종합!Z$3:Z$501,MATCH(ROW()-2,종합!$AB$3:$AB$501,0))&amp;"","")</f>
        <v>010-4783-8604</v>
      </c>
    </row>
    <row r="103" customFormat="false" ht="33.75" hidden="false" customHeight="true" outlineLevel="0" collapsed="false">
      <c r="A103" s="18" t="n">
        <f aca="false">IF(B103="","",ROW()-2)</f>
        <v>101</v>
      </c>
      <c r="B103" s="18" t="str">
        <f aca="false">IFERROR(INDEX(종합!B$3:B$501,MATCH(ROW()-2,종합!$AB$3:$AB$501,0))&amp;"","")</f>
        <v>주식회사 마크애니</v>
      </c>
      <c r="C103" s="18" t="str">
        <f aca="false">IFERROR(INDEX(종합!C$3:C$501,MATCH(ROW()-2,종합!$AB$3:$AB$501,0))&amp;"","")</f>
        <v>O</v>
      </c>
      <c r="D103" s="18" t="str">
        <f aca="false">IFERROR(INDEX(종합!D$3:D$501,MATCH(ROW()-2,종합!$AB$3:$AB$501,0))&amp;"","")</f>
        <v/>
      </c>
      <c r="E103" s="18" t="str">
        <f aca="false">IFERROR(INDEX(종합!E$3:E$501,MATCH(ROW()-2,종합!$AB$3:$AB$501,0))&amp;"","")</f>
        <v/>
      </c>
      <c r="F103" s="18" t="str">
        <f aca="false">IFERROR(INDEX(종합!F$3:F$501,MATCH(ROW()-2,종합!$AB$3:$AB$501,0))&amp;"","")</f>
        <v/>
      </c>
      <c r="G103" s="18" t="str">
        <f aca="false">IFERROR(INDEX(종합!G$3:G$501,MATCH(ROW()-2,종합!$AB$3:$AB$501,0))&amp;"","")</f>
        <v>중소기업</v>
      </c>
      <c r="H103" s="21" t="str">
        <f aca="false">IFERROR(INDEX(종합!H$3:H$501,MATCH(ROW()-2,종합!$AB$3:$AB$501,0))&amp;"","")</f>
        <v>101-81-47345</v>
      </c>
      <c r="I103" s="21" t="str">
        <f aca="false">IFERROR(INDEX(종합!I$3:I$501,MATCH(ROW()-2,종합!$AB$3:$AB$501,0))&amp;"","")</f>
        <v>최종욱, 최고</v>
      </c>
      <c r="J103" s="21" t="str">
        <f aca="false">IFERROR(INDEX(종합!J$3:J$501,MATCH(ROW()-2,종합!$AB$3:$AB$501,0))&amp;"","")</f>
        <v>02-2262-5222</v>
      </c>
      <c r="K103" s="21" t="str">
        <f aca="false">IFERROR(INDEX(종합!K$3:K$501,MATCH(ROW()-2,종합!$AB$3:$AB$501,0))&amp;"","")</f>
        <v>https://www.markany.com/</v>
      </c>
      <c r="L103" s="21" t="str">
        <f aca="false">IFERROR(INDEX(종합!L$3:L$501,MATCH(ROW()-2,종합!$AB$3:$AB$501,0))&amp;"","")</f>
        <v>mascreentracer@gmail.com</v>
      </c>
      <c r="M103" s="21" t="str">
        <f aca="false">IFERROR(INDEX(종합!M$3:M$501,MATCH(ROW()-2,종합!$AB$3:$AB$501,0))&amp;"","")</f>
        <v>서울특별시 중구 퇴계로 286 7.10.13층 (쌍림동, 쌍림빌딩)</v>
      </c>
      <c r="N103" s="25" t="str">
        <f aca="false">IFERROR(INDEX(종합!N$3:N$501,MATCH(ROW()-2,종합!$AB$3:$AB$501,0))&amp;"","")</f>
        <v>AI 위변조 방지(워터마킹), 컴퓨터 비전 기반 보안 시스템, 지능형 영상 관제 및 AI 응용 솔루션 제공, 개발</v>
      </c>
      <c r="O103" s="21" t="str">
        <f aca="false">IFERROR(INDEX(종합!O$3:O$501,MATCH(ROW()-2,종합!$AB$3:$AB$501,0))&amp;"","")</f>
        <v>최고</v>
      </c>
      <c r="P103" s="21" t="str">
        <f aca="false">IFERROR(INDEX(종합!P$3:P$501,MATCH(ROW()-2,종합!$AB$3:$AB$501,0))&amp;"","")</f>
        <v>CEO</v>
      </c>
      <c r="Q103" s="21" t="str">
        <f aca="false">IFERROR(INDEX(종합!Q$3:Q$501,MATCH(ROW()-2,종합!$AB$3:$AB$501,0))&amp;"","")</f>
        <v>대표이사</v>
      </c>
      <c r="R103" s="21" t="str">
        <f aca="false">IFERROR(INDEX(종합!R$3:R$501,MATCH(ROW()-2,종합!$AB$3:$AB$501,0))&amp;"","")</f>
        <v>02-2262-5257</v>
      </c>
      <c r="S103" s="21" t="str">
        <f aca="false">IFERROR(INDEX(종합!S$3:S$501,MATCH(ROW()-2,종합!$AB$3:$AB$501,0))&amp;"","")</f>
        <v>gochoi@markany.com</v>
      </c>
      <c r="T103" s="21" t="str">
        <f aca="false">IFERROR(INDEX(종합!T$3:T$501,MATCH(ROW()-2,종합!$AB$3:$AB$501,0))&amp;"","")</f>
        <v>010-8582-7834</v>
      </c>
      <c r="U103" s="21" t="str">
        <f aca="false">IFERROR(INDEX(종합!U$3:U$501,MATCH(ROW()-2,종합!$AB$3:$AB$501,0))&amp;"","")</f>
        <v>노수아</v>
      </c>
      <c r="V103" s="21" t="str">
        <f aca="false">IFERROR(INDEX(종합!V$3:V$501,MATCH(ROW()-2,종합!$AB$3:$AB$501,0))&amp;"","")</f>
        <v>마케팅</v>
      </c>
      <c r="W103" s="21" t="str">
        <f aca="false">IFERROR(INDEX(종합!W$3:W$501,MATCH(ROW()-2,종합!$AB$3:$AB$501,0))&amp;"","")</f>
        <v>매니저</v>
      </c>
      <c r="X103" s="21" t="str">
        <f aca="false">IFERROR(INDEX(종합!X$3:X$501,MATCH(ROW()-2,종합!$AB$3:$AB$501,0))&amp;"","")</f>
        <v>02-2262-5247</v>
      </c>
      <c r="Y103" s="21" t="str">
        <f aca="false">IFERROR(INDEX(종합!Y$3:Y$501,MATCH(ROW()-2,종합!$AB$3:$AB$501,0))&amp;"","")</f>
        <v>marketing@markany.com</v>
      </c>
      <c r="Z103" s="21" t="str">
        <f aca="false">IFERROR(INDEX(종합!Z$3:Z$501,MATCH(ROW()-2,종합!$AB$3:$AB$501,0))&amp;"","")</f>
        <v>010-2711-0567</v>
      </c>
    </row>
    <row r="104" customFormat="false" ht="33.75" hidden="false" customHeight="true" outlineLevel="0" collapsed="false">
      <c r="A104" s="18" t="n">
        <f aca="false">IF(B104="","",ROW()-2)</f>
        <v>102</v>
      </c>
      <c r="B104" s="18" t="str">
        <f aca="false">IFERROR(INDEX(종합!B$3:B$501,MATCH(ROW()-2,종합!$AB$3:$AB$501,0))&amp;"","")</f>
        <v>(주)비바이노베이션</v>
      </c>
      <c r="C104" s="18" t="str">
        <f aca="false">IFERROR(INDEX(종합!C$3:C$501,MATCH(ROW()-2,종합!$AB$3:$AB$501,0))&amp;"","")</f>
        <v>O</v>
      </c>
      <c r="D104" s="18" t="str">
        <f aca="false">IFERROR(INDEX(종합!D$3:D$501,MATCH(ROW()-2,종합!$AB$3:$AB$501,0))&amp;"","")</f>
        <v/>
      </c>
      <c r="E104" s="18" t="str">
        <f aca="false">IFERROR(INDEX(종합!E$3:E$501,MATCH(ROW()-2,종합!$AB$3:$AB$501,0))&amp;"","")</f>
        <v/>
      </c>
      <c r="F104" s="18" t="str">
        <f aca="false">IFERROR(INDEX(종합!F$3:F$501,MATCH(ROW()-2,종합!$AB$3:$AB$501,0))&amp;"","")</f>
        <v/>
      </c>
      <c r="G104" s="18" t="str">
        <f aca="false">IFERROR(INDEX(종합!G$3:G$501,MATCH(ROW()-2,종합!$AB$3:$AB$501,0))&amp;"","")</f>
        <v>중소기업</v>
      </c>
      <c r="H104" s="21" t="str">
        <f aca="false">IFERROR(INDEX(종합!H$3:H$501,MATCH(ROW()-2,종합!$AB$3:$AB$501,0))&amp;"","")</f>
        <v>210-88-00959</v>
      </c>
      <c r="I104" s="21" t="str">
        <f aca="false">IFERROR(INDEX(종합!I$3:I$501,MATCH(ROW()-2,종합!$AB$3:$AB$501,0))&amp;"","")</f>
        <v>박한</v>
      </c>
      <c r="J104" s="21" t="str">
        <f aca="false">IFERROR(INDEX(종합!J$3:J$501,MATCH(ROW()-2,종합!$AB$3:$AB$501,0))&amp;"","")</f>
        <v>02-1544-3154</v>
      </c>
      <c r="K104" s="21" t="str">
        <f aca="false">IFERROR(INDEX(종합!K$3:K$501,MATCH(ROW()-2,종합!$AB$3:$AB$501,0))&amp;"","")</f>
        <v>https://www.adoc.co.kr</v>
      </c>
      <c r="L104" s="21" t="str">
        <f aca="false">IFERROR(INDEX(종합!L$3:L$501,MATCH(ROW()-2,종합!$AB$3:$AB$501,0))&amp;"","")</f>
        <v>viva.cometrue@gmail.com</v>
      </c>
      <c r="M104" s="21" t="str">
        <f aca="false">IFERROR(INDEX(종합!M$3:M$501,MATCH(ROW()-2,종합!$AB$3:$AB$501,0))&amp;"","")</f>
        <v>서울시 강남구 언주로 563 원에디션 강남, B123~126호 비바이노베이션</v>
      </c>
      <c r="N104" s="25" t="str">
        <f aca="false">IFERROR(INDEX(종합!N$3:N$501,MATCH(ROW()-2,종합!$AB$3:$AB$501,0))&amp;"","")</f>
        <v>건강검진 추적관찰 AI 및 건강검진 도메인 생성형 FM 모델 운영</v>
      </c>
      <c r="O104" s="21" t="str">
        <f aca="false">IFERROR(INDEX(종합!O$3:O$501,MATCH(ROW()-2,종합!$AB$3:$AB$501,0))&amp;"","")</f>
        <v>김성태</v>
      </c>
      <c r="P104" s="21" t="str">
        <f aca="false">IFERROR(INDEX(종합!P$3:P$501,MATCH(ROW()-2,종합!$AB$3:$AB$501,0))&amp;"","")</f>
        <v>AI 연구팀</v>
      </c>
      <c r="Q104" s="21" t="str">
        <f aca="false">IFERROR(INDEX(종합!Q$3:Q$501,MATCH(ROW()-2,종합!$AB$3:$AB$501,0))&amp;"","")</f>
        <v>이사</v>
      </c>
      <c r="R104" s="21" t="str">
        <f aca="false">IFERROR(INDEX(종합!R$3:R$501,MATCH(ROW()-2,종합!$AB$3:$AB$501,0))&amp;"","")</f>
        <v>02-1544-3154</v>
      </c>
      <c r="S104" s="21" t="str">
        <f aca="false">IFERROR(INDEX(종합!S$3:S$501,MATCH(ROW()-2,종합!$AB$3:$AB$501,0))&amp;"","")</f>
        <v>viva_master@adoc.co.kr</v>
      </c>
      <c r="T104" s="21" t="str">
        <f aca="false">IFERROR(INDEX(종합!T$3:T$501,MATCH(ROW()-2,종합!$AB$3:$AB$501,0))&amp;"","")</f>
        <v>010-8424-6129</v>
      </c>
      <c r="U104" s="21" t="str">
        <f aca="false">IFERROR(INDEX(종합!U$3:U$501,MATCH(ROW()-2,종합!$AB$3:$AB$501,0))&amp;"","")</f>
        <v>김근형</v>
      </c>
      <c r="V104" s="21" t="str">
        <f aca="false">IFERROR(INDEX(종합!V$3:V$501,MATCH(ROW()-2,종합!$AB$3:$AB$501,0))&amp;"","")</f>
        <v>AI 연구팀</v>
      </c>
      <c r="W104" s="21" t="str">
        <f aca="false">IFERROR(INDEX(종합!W$3:W$501,MATCH(ROW()-2,종합!$AB$3:$AB$501,0))&amp;"","")</f>
        <v>매니저</v>
      </c>
      <c r="X104" s="21" t="str">
        <f aca="false">IFERROR(INDEX(종합!X$3:X$501,MATCH(ROW()-2,종합!$AB$3:$AB$501,0))&amp;"","")</f>
        <v>02-1544-3154</v>
      </c>
      <c r="Y104" s="21" t="str">
        <f aca="false">IFERROR(INDEX(종합!Y$3:Y$501,MATCH(ROW()-2,종합!$AB$3:$AB$501,0))&amp;"","")</f>
        <v>mason@adoc.co.kr</v>
      </c>
      <c r="Z104" s="21" t="str">
        <f aca="false">IFERROR(INDEX(종합!Z$3:Z$501,MATCH(ROW()-2,종합!$AB$3:$AB$501,0))&amp;"","")</f>
        <v>010-5408-0603</v>
      </c>
    </row>
    <row r="105" customFormat="false" ht="22.5" hidden="false" customHeight="true" outlineLevel="0" collapsed="false">
      <c r="A105" s="18" t="n">
        <f aca="false">IF(B105="","",ROW()-2)</f>
        <v>103</v>
      </c>
      <c r="B105" s="18" t="str">
        <f aca="false">IFERROR(INDEX(종합!B$3:B$501,MATCH(ROW()-2,종합!$AB$3:$AB$501,0))&amp;"","")</f>
        <v>지엔소프트㈜</v>
      </c>
      <c r="C105" s="18" t="str">
        <f aca="false">IFERROR(INDEX(종합!C$3:C$501,MATCH(ROW()-2,종합!$AB$3:$AB$501,0))&amp;"","")</f>
        <v>O</v>
      </c>
      <c r="D105" s="18" t="str">
        <f aca="false">IFERROR(INDEX(종합!D$3:D$501,MATCH(ROW()-2,종합!$AB$3:$AB$501,0))&amp;"","")</f>
        <v/>
      </c>
      <c r="E105" s="18" t="str">
        <f aca="false">IFERROR(INDEX(종합!E$3:E$501,MATCH(ROW()-2,종합!$AB$3:$AB$501,0))&amp;"","")</f>
        <v/>
      </c>
      <c r="F105" s="18" t="str">
        <f aca="false">IFERROR(INDEX(종합!F$3:F$501,MATCH(ROW()-2,종합!$AB$3:$AB$501,0))&amp;"","")</f>
        <v/>
      </c>
      <c r="G105" s="18" t="str">
        <f aca="false">IFERROR(INDEX(종합!G$3:G$501,MATCH(ROW()-2,종합!$AB$3:$AB$501,0))&amp;"","")</f>
        <v>중소기업</v>
      </c>
      <c r="H105" s="21" t="str">
        <f aca="false">IFERROR(INDEX(종합!H$3:H$501,MATCH(ROW()-2,종합!$AB$3:$AB$501,0))&amp;"","")</f>
        <v>314-81-87147</v>
      </c>
      <c r="I105" s="21" t="str">
        <f aca="false">IFERROR(INDEX(종합!I$3:I$501,MATCH(ROW()-2,종합!$AB$3:$AB$501,0))&amp;"","")</f>
        <v>김진수</v>
      </c>
      <c r="J105" s="21" t="str">
        <f aca="false">IFERROR(INDEX(종합!J$3:J$501,MATCH(ROW()-2,종합!$AB$3:$AB$501,0))&amp;"","")</f>
        <v>042-482-5400</v>
      </c>
      <c r="K105" s="21" t="str">
        <f aca="false">IFERROR(INDEX(종합!K$3:K$501,MATCH(ROW()-2,종합!$AB$3:$AB$501,0))&amp;"","")</f>
        <v>http://www.gn-soft.co.kr/gns/html/index.html</v>
      </c>
      <c r="L105" s="21" t="str">
        <f aca="false">IFERROR(INDEX(종합!L$3:L$501,MATCH(ROW()-2,종합!$AB$3:$AB$501,0))&amp;"","")</f>
        <v>hsh4330@gmail.com</v>
      </c>
      <c r="M105" s="21" t="str">
        <f aca="false">IFERROR(INDEX(종합!M$3:M$501,MATCH(ROW()-2,종합!$AB$3:$AB$501,0))&amp;"","")</f>
        <v> 34050 대전광역시 유성구 문지로 272-16, 인공지능센터 2층(201호~205호)</v>
      </c>
      <c r="N105" s="25" t="str">
        <f aca="false">IFERROR(INDEX(종합!N$3:N$501,MATCH(ROW()-2,종합!$AB$3:$AB$501,0))&amp;"","")</f>
        <v>AI인공지능 영상처리 기술</v>
      </c>
      <c r="O105" s="21" t="str">
        <f aca="false">IFERROR(INDEX(종합!O$3:O$501,MATCH(ROW()-2,종합!$AB$3:$AB$501,0))&amp;"","")</f>
        <v>김진수</v>
      </c>
      <c r="P105" s="21" t="str">
        <f aca="false">IFERROR(INDEX(종합!P$3:P$501,MATCH(ROW()-2,종합!$AB$3:$AB$501,0))&amp;"","")</f>
        <v>경영진</v>
      </c>
      <c r="Q105" s="21" t="str">
        <f aca="false">IFERROR(INDEX(종합!Q$3:Q$501,MATCH(ROW()-2,종합!$AB$3:$AB$501,0))&amp;"","")</f>
        <v>대표이사</v>
      </c>
      <c r="R105" s="21" t="str">
        <f aca="false">IFERROR(INDEX(종합!R$3:R$501,MATCH(ROW()-2,종합!$AB$3:$AB$501,0))&amp;"","")</f>
        <v>042-482-5400</v>
      </c>
      <c r="S105" s="21" t="str">
        <f aca="false">IFERROR(INDEX(종합!S$3:S$501,MATCH(ROW()-2,종합!$AB$3:$AB$501,0))&amp;"","")</f>
        <v>jskim@gn-soft.co.kr</v>
      </c>
      <c r="T105" s="21" t="str">
        <f aca="false">IFERROR(INDEX(종합!T$3:T$501,MATCH(ROW()-2,종합!$AB$3:$AB$501,0))&amp;"","")</f>
        <v>010-6406-3621</v>
      </c>
      <c r="U105" s="21" t="str">
        <f aca="false">IFERROR(INDEX(종합!U$3:U$501,MATCH(ROW()-2,종합!$AB$3:$AB$501,0))&amp;"","")</f>
        <v>김현우</v>
      </c>
      <c r="V105" s="21" t="str">
        <f aca="false">IFERROR(INDEX(종합!V$3:V$501,MATCH(ROW()-2,종합!$AB$3:$AB$501,0))&amp;"","")</f>
        <v>사업전략팀</v>
      </c>
      <c r="W105" s="21" t="str">
        <f aca="false">IFERROR(INDEX(종합!W$3:W$501,MATCH(ROW()-2,종합!$AB$3:$AB$501,0))&amp;"","")</f>
        <v>이사/팀장</v>
      </c>
      <c r="X105" s="21" t="str">
        <f aca="false">IFERROR(INDEX(종합!X$3:X$501,MATCH(ROW()-2,종합!$AB$3:$AB$501,0))&amp;"","")</f>
        <v>042-482-5400</v>
      </c>
      <c r="Y105" s="21" t="str">
        <f aca="false">IFERROR(INDEX(종합!Y$3:Y$501,MATCH(ROW()-2,종합!$AB$3:$AB$501,0))&amp;"","")</f>
        <v>topazkim87@gn-soft.co.kr</v>
      </c>
      <c r="Z105" s="21" t="str">
        <f aca="false">IFERROR(INDEX(종합!Z$3:Z$501,MATCH(ROW()-2,종합!$AB$3:$AB$501,0))&amp;"","")</f>
        <v>010-7142-5690</v>
      </c>
    </row>
    <row r="106" customFormat="false" ht="22.5" hidden="false" customHeight="true" outlineLevel="0" collapsed="false">
      <c r="A106" s="18" t="n">
        <f aca="false">IF(B106="","",ROW()-2)</f>
        <v>104</v>
      </c>
      <c r="B106" s="18" t="str">
        <f aca="false">IFERROR(INDEX(종합!B$3:B$501,MATCH(ROW()-2,종합!$AB$3:$AB$501,0))&amp;"","")</f>
        <v>(주)에이데이타</v>
      </c>
      <c r="C106" s="18" t="str">
        <f aca="false">IFERROR(INDEX(종합!C$3:C$501,MATCH(ROW()-2,종합!$AB$3:$AB$501,0))&amp;"","")</f>
        <v>O</v>
      </c>
      <c r="D106" s="18" t="str">
        <f aca="false">IFERROR(INDEX(종합!D$3:D$501,MATCH(ROW()-2,종합!$AB$3:$AB$501,0))&amp;"","")</f>
        <v/>
      </c>
      <c r="E106" s="18" t="str">
        <f aca="false">IFERROR(INDEX(종합!E$3:E$501,MATCH(ROW()-2,종합!$AB$3:$AB$501,0))&amp;"","")</f>
        <v/>
      </c>
      <c r="F106" s="18" t="str">
        <f aca="false">IFERROR(INDEX(종합!F$3:F$501,MATCH(ROW()-2,종합!$AB$3:$AB$501,0))&amp;"","")</f>
        <v/>
      </c>
      <c r="G106" s="18" t="str">
        <f aca="false">IFERROR(INDEX(종합!G$3:G$501,MATCH(ROW()-2,종합!$AB$3:$AB$501,0))&amp;"","")</f>
        <v>중소기업</v>
      </c>
      <c r="H106" s="21" t="str">
        <f aca="false">IFERROR(INDEX(종합!H$3:H$501,MATCH(ROW()-2,종합!$AB$3:$AB$501,0))&amp;"","")</f>
        <v>480-86-01835</v>
      </c>
      <c r="I106" s="21" t="str">
        <f aca="false">IFERROR(INDEX(종합!I$3:I$501,MATCH(ROW()-2,종합!$AB$3:$AB$501,0))&amp;"","")</f>
        <v>이동혁</v>
      </c>
      <c r="J106" s="21" t="str">
        <f aca="false">IFERROR(INDEX(종합!J$3:J$501,MATCH(ROW()-2,종합!$AB$3:$AB$501,0))&amp;"","")</f>
        <v>02-2088-0971</v>
      </c>
      <c r="K106" s="21" t="str">
        <f aca="false">IFERROR(INDEX(종합!K$3:K$501,MATCH(ROW()-2,종합!$AB$3:$AB$501,0))&amp;"","")</f>
        <v>https://www.aedata.co.kr/</v>
      </c>
      <c r="L106" s="21" t="str">
        <f aca="false">IFERROR(INDEX(종합!L$3:L$501,MATCH(ROW()-2,종합!$AB$3:$AB$501,0))&amp;"","")</f>
        <v>ibiz3222@gmail.com</v>
      </c>
      <c r="M106" s="21" t="str">
        <f aca="false">IFERROR(INDEX(종합!M$3:M$501,MATCH(ROW()-2,종합!$AB$3:$AB$501,0))&amp;"","")</f>
        <v>서울특별시 동작구 보라매로5길 51 406호,407호 (신대방동, 롯데타워)</v>
      </c>
      <c r="N106" s="25" t="str">
        <f aca="false">IFERROR(INDEX(종합!N$3:N$501,MATCH(ROW()-2,종합!$AB$3:$AB$501,0))&amp;"","")</f>
        <v>AI기반 API/APIM  SCV 솔루션 </v>
      </c>
      <c r="O106" s="21" t="str">
        <f aca="false">IFERROR(INDEX(종합!O$3:O$501,MATCH(ROW()-2,종합!$AB$3:$AB$501,0))&amp;"","")</f>
        <v>최선오</v>
      </c>
      <c r="P106" s="21" t="str">
        <f aca="false">IFERROR(INDEX(종합!P$3:P$501,MATCH(ROW()-2,종합!$AB$3:$AB$501,0))&amp;"","")</f>
        <v>기업부설연구소</v>
      </c>
      <c r="Q106" s="21" t="str">
        <f aca="false">IFERROR(INDEX(종합!Q$3:Q$501,MATCH(ROW()-2,종합!$AB$3:$AB$501,0))&amp;"","")</f>
        <v>상무/연구소장</v>
      </c>
      <c r="R106" s="21" t="str">
        <f aca="false">IFERROR(INDEX(종합!R$3:R$501,MATCH(ROW()-2,종합!$AB$3:$AB$501,0))&amp;"","")</f>
        <v>02-2088-0971</v>
      </c>
      <c r="S106" s="21" t="str">
        <f aca="false">IFERROR(INDEX(종합!S$3:S$501,MATCH(ROW()-2,종합!$AB$3:$AB$501,0))&amp;"","")</f>
        <v>sun2033@daum.net</v>
      </c>
      <c r="T106" s="21" t="str">
        <f aca="false">IFERROR(INDEX(종합!T$3:T$501,MATCH(ROW()-2,종합!$AB$3:$AB$501,0))&amp;"","")</f>
        <v>010-7132-0637</v>
      </c>
      <c r="U106" s="21" t="str">
        <f aca="false">IFERROR(INDEX(종합!U$3:U$501,MATCH(ROW()-2,종합!$AB$3:$AB$501,0))&amp;"","")</f>
        <v>최선오</v>
      </c>
      <c r="V106" s="21" t="str">
        <f aca="false">IFERROR(INDEX(종합!V$3:V$501,MATCH(ROW()-2,종합!$AB$3:$AB$501,0))&amp;"","")</f>
        <v>기업부설연구소</v>
      </c>
      <c r="W106" s="21" t="str">
        <f aca="false">IFERROR(INDEX(종합!W$3:W$501,MATCH(ROW()-2,종합!$AB$3:$AB$501,0))&amp;"","")</f>
        <v>상무/연구소장</v>
      </c>
      <c r="X106" s="21" t="str">
        <f aca="false">IFERROR(INDEX(종합!X$3:X$501,MATCH(ROW()-2,종합!$AB$3:$AB$501,0))&amp;"","")</f>
        <v>02-2088-0971</v>
      </c>
      <c r="Y106" s="21" t="str">
        <f aca="false">IFERROR(INDEX(종합!Y$3:Y$501,MATCH(ROW()-2,종합!$AB$3:$AB$501,0))&amp;"","")</f>
        <v>sun2033@daum.net</v>
      </c>
      <c r="Z106" s="21" t="str">
        <f aca="false">IFERROR(INDEX(종합!Z$3:Z$501,MATCH(ROW()-2,종합!$AB$3:$AB$501,0))&amp;"","")</f>
        <v>010-7132-0637</v>
      </c>
    </row>
    <row r="107" customFormat="false" ht="22.5" hidden="false" customHeight="true" outlineLevel="0" collapsed="false">
      <c r="A107" s="18" t="n">
        <f aca="false">IF(B107="","",ROW()-2)</f>
        <v>105</v>
      </c>
      <c r="B107" s="18" t="str">
        <f aca="false">IFERROR(INDEX(종합!B$3:B$501,MATCH(ROW()-2,종합!$AB$3:$AB$501,0))&amp;"","")</f>
        <v>마인드로직 주식회사</v>
      </c>
      <c r="C107" s="18" t="str">
        <f aca="false">IFERROR(INDEX(종합!C$3:C$501,MATCH(ROW()-2,종합!$AB$3:$AB$501,0))&amp;"","")</f>
        <v>O</v>
      </c>
      <c r="D107" s="18" t="str">
        <f aca="false">IFERROR(INDEX(종합!D$3:D$501,MATCH(ROW()-2,종합!$AB$3:$AB$501,0))&amp;"","")</f>
        <v/>
      </c>
      <c r="E107" s="18" t="str">
        <f aca="false">IFERROR(INDEX(종합!E$3:E$501,MATCH(ROW()-2,종합!$AB$3:$AB$501,0))&amp;"","")</f>
        <v/>
      </c>
      <c r="F107" s="18" t="str">
        <f aca="false">IFERROR(INDEX(종합!F$3:F$501,MATCH(ROW()-2,종합!$AB$3:$AB$501,0))&amp;"","")</f>
        <v/>
      </c>
      <c r="G107" s="18" t="str">
        <f aca="false">IFERROR(INDEX(종합!G$3:G$501,MATCH(ROW()-2,종합!$AB$3:$AB$501,0))&amp;"","")</f>
        <v>중소기업</v>
      </c>
      <c r="H107" s="21" t="str">
        <f aca="false">IFERROR(INDEX(종합!H$3:H$501,MATCH(ROW()-2,종합!$AB$3:$AB$501,0))&amp;"","")</f>
        <v>331-81-01353</v>
      </c>
      <c r="I107" s="21" t="str">
        <f aca="false">IFERROR(INDEX(종합!I$3:I$501,MATCH(ROW()-2,종합!$AB$3:$AB$501,0))&amp;"","")</f>
        <v>김진욱, 김용우</v>
      </c>
      <c r="J107" s="21" t="str">
        <f aca="false">IFERROR(INDEX(종합!J$3:J$501,MATCH(ROW()-2,종합!$AB$3:$AB$501,0))&amp;"","")</f>
        <v>070-5102-6560</v>
      </c>
      <c r="K107" s="21" t="str">
        <f aca="false">IFERROR(INDEX(종합!K$3:K$501,MATCH(ROW()-2,종합!$AB$3:$AB$501,0))&amp;"","")</f>
        <v>https://mindlogic.ai/ko</v>
      </c>
      <c r="L107" s="21" t="str">
        <f aca="false">IFERROR(INDEX(종합!L$3:L$501,MATCH(ROW()-2,종합!$AB$3:$AB$501,0))&amp;"","")</f>
        <v>seogang.jung@mindlogic.ai</v>
      </c>
      <c r="M107" s="21" t="str">
        <f aca="false">IFERROR(INDEX(종합!M$3:M$501,MATCH(ROW()-2,종합!$AB$3:$AB$501,0))&amp;"","")</f>
        <v>서울시 강남구 봉은사로 331, 8층</v>
      </c>
      <c r="N107" s="25" t="str">
        <f aca="false">IFERROR(INDEX(종합!N$3:N$501,MATCH(ROW()-2,종합!$AB$3:$AB$501,0))&amp;"","")</f>
        <v>자연어처리, RAG 정보검색</v>
      </c>
      <c r="O107" s="21" t="str">
        <f aca="false">IFERROR(INDEX(종합!O$3:O$501,MATCH(ROW()-2,종합!$AB$3:$AB$501,0))&amp;"","")</f>
        <v>김진욱</v>
      </c>
      <c r="P107" s="21" t="str">
        <f aca="false">IFERROR(INDEX(종합!P$3:P$501,MATCH(ROW()-2,종합!$AB$3:$AB$501,0))&amp;"","")</f>
        <v>사업부</v>
      </c>
      <c r="Q107" s="21" t="str">
        <f aca="false">IFERROR(INDEX(종합!Q$3:Q$501,MATCH(ROW()-2,종합!$AB$3:$AB$501,0))&amp;"","")</f>
        <v>공동대표</v>
      </c>
      <c r="R107" s="21" t="str">
        <f aca="false">IFERROR(INDEX(종합!R$3:R$501,MATCH(ROW()-2,종합!$AB$3:$AB$501,0))&amp;"","")</f>
        <v>070-5102-6560</v>
      </c>
      <c r="S107" s="21" t="str">
        <f aca="false">IFERROR(INDEX(종합!S$3:S$501,MATCH(ROW()-2,종합!$AB$3:$AB$501,0))&amp;"","")</f>
        <v>jinwook@mindlogic.ai</v>
      </c>
      <c r="T107" s="21" t="str">
        <f aca="false">IFERROR(INDEX(종합!T$3:T$501,MATCH(ROW()-2,종합!$AB$3:$AB$501,0))&amp;"","")</f>
        <v>010-3010-0137</v>
      </c>
      <c r="U107" s="21" t="str">
        <f aca="false">IFERROR(INDEX(종합!U$3:U$501,MATCH(ROW()-2,종합!$AB$3:$AB$501,0))&amp;"","")</f>
        <v>정서강</v>
      </c>
      <c r="V107" s="21" t="str">
        <f aca="false">IFERROR(INDEX(종합!V$3:V$501,MATCH(ROW()-2,종합!$AB$3:$AB$501,0))&amp;"","")</f>
        <v>사업부</v>
      </c>
      <c r="W107" s="21" t="str">
        <f aca="false">IFERROR(INDEX(종합!W$3:W$501,MATCH(ROW()-2,종합!$AB$3:$AB$501,0))&amp;"","")</f>
        <v>시니어 매니저</v>
      </c>
      <c r="X107" s="21" t="str">
        <f aca="false">IFERROR(INDEX(종합!X$3:X$501,MATCH(ROW()-2,종합!$AB$3:$AB$501,0))&amp;"","")</f>
        <v>070-5102-6560</v>
      </c>
      <c r="Y107" s="21" t="str">
        <f aca="false">IFERROR(INDEX(종합!Y$3:Y$501,MATCH(ROW()-2,종합!$AB$3:$AB$501,0))&amp;"","")</f>
        <v>seogang.jung@mindlogic.ai</v>
      </c>
      <c r="Z107" s="21" t="str">
        <f aca="false">IFERROR(INDEX(종합!Z$3:Z$501,MATCH(ROW()-2,종합!$AB$3:$AB$501,0))&amp;"","")</f>
        <v>010-9557-8891</v>
      </c>
    </row>
    <row r="108" customFormat="false" ht="22.5" hidden="false" customHeight="true" outlineLevel="0" collapsed="false">
      <c r="A108" s="18" t="n">
        <f aca="false">IF(B108="","",ROW()-2)</f>
        <v>106</v>
      </c>
      <c r="B108" s="18" t="str">
        <f aca="false">IFERROR(INDEX(종합!B$3:B$501,MATCH(ROW()-2,종합!$AB$3:$AB$501,0))&amp;"","")</f>
        <v>주식회사 플리토</v>
      </c>
      <c r="C108" s="18" t="str">
        <f aca="false">IFERROR(INDEX(종합!C$3:C$501,MATCH(ROW()-2,종합!$AB$3:$AB$501,0))&amp;"","")</f>
        <v>O</v>
      </c>
      <c r="D108" s="18" t="str">
        <f aca="false">IFERROR(INDEX(종합!D$3:D$501,MATCH(ROW()-2,종합!$AB$3:$AB$501,0))&amp;"","")</f>
        <v/>
      </c>
      <c r="E108" s="18" t="str">
        <f aca="false">IFERROR(INDEX(종합!E$3:E$501,MATCH(ROW()-2,종합!$AB$3:$AB$501,0))&amp;"","")</f>
        <v/>
      </c>
      <c r="F108" s="18" t="str">
        <f aca="false">IFERROR(INDEX(종합!F$3:F$501,MATCH(ROW()-2,종합!$AB$3:$AB$501,0))&amp;"","")</f>
        <v/>
      </c>
      <c r="G108" s="18" t="str">
        <f aca="false">IFERROR(INDEX(종합!G$3:G$501,MATCH(ROW()-2,종합!$AB$3:$AB$501,0))&amp;"","")</f>
        <v>중소기업</v>
      </c>
      <c r="H108" s="21" t="str">
        <f aca="false">IFERROR(INDEX(종합!H$3:H$501,MATCH(ROW()-2,종합!$AB$3:$AB$501,0))&amp;"","")</f>
        <v>215-87-72878</v>
      </c>
      <c r="I108" s="21" t="str">
        <f aca="false">IFERROR(INDEX(종합!I$3:I$501,MATCH(ROW()-2,종합!$AB$3:$AB$501,0))&amp;"","")</f>
        <v>이정수</v>
      </c>
      <c r="J108" s="21" t="str">
        <f aca="false">IFERROR(INDEX(종합!J$3:J$501,MATCH(ROW()-2,종합!$AB$3:$AB$501,0))&amp;"","")</f>
        <v>02-512-0142</v>
      </c>
      <c r="K108" s="21" t="str">
        <f aca="false">IFERROR(INDEX(종합!K$3:K$501,MATCH(ROW()-2,종합!$AB$3:$AB$501,0))&amp;"","")</f>
        <v>https://www.flitto.com</v>
      </c>
      <c r="L108" s="21" t="str">
        <f aca="false">IFERROR(INDEX(종합!L$3:L$501,MATCH(ROW()-2,종합!$AB$3:$AB$501,0))&amp;"","")</f>
        <v>jin@flitto.com</v>
      </c>
      <c r="M108" s="21" t="str">
        <f aca="false">IFERROR(INDEX(종합!M$3:M$501,MATCH(ROW()-2,종합!$AB$3:$AB$501,0))&amp;"","")</f>
        <v>서울특별시 강남구 영동대로 96길 20, 6층</v>
      </c>
      <c r="N108" s="25" t="str">
        <f aca="false">IFERROR(INDEX(종합!N$3:N$501,MATCH(ROW()-2,종합!$AB$3:$AB$501,0))&amp;"","")</f>
        <v>AI 모델 학습용 데이터셋 구축 및 실시간 AI 통번역 서비스</v>
      </c>
      <c r="O108" s="21" t="str">
        <f aca="false">IFERROR(INDEX(종합!O$3:O$501,MATCH(ROW()-2,종합!$AB$3:$AB$501,0))&amp;"","")</f>
        <v>김진구</v>
      </c>
      <c r="P108" s="21" t="str">
        <f aca="false">IFERROR(INDEX(종합!P$3:P$501,MATCH(ROW()-2,종합!$AB$3:$AB$501,0))&amp;"","")</f>
        <v>CDO</v>
      </c>
      <c r="Q108" s="21" t="str">
        <f aca="false">IFERROR(INDEX(종합!Q$3:Q$501,MATCH(ROW()-2,종합!$AB$3:$AB$501,0))&amp;"","")</f>
        <v>CDO</v>
      </c>
      <c r="R108" s="21" t="str">
        <f aca="false">IFERROR(INDEX(종합!R$3:R$501,MATCH(ROW()-2,종합!$AB$3:$AB$501,0))&amp;"","")</f>
        <v>010-9246-0637</v>
      </c>
      <c r="S108" s="21" t="str">
        <f aca="false">IFERROR(INDEX(종합!S$3:S$501,MATCH(ROW()-2,종합!$AB$3:$AB$501,0))&amp;"","")</f>
        <v>jin@flitto.com</v>
      </c>
      <c r="T108" s="21" t="str">
        <f aca="false">IFERROR(INDEX(종합!T$3:T$501,MATCH(ROW()-2,종합!$AB$3:$AB$501,0))&amp;"","")</f>
        <v>010-9246-0637</v>
      </c>
      <c r="U108" s="21" t="str">
        <f aca="false">IFERROR(INDEX(종합!U$3:U$501,MATCH(ROW()-2,종합!$AB$3:$AB$501,0))&amp;"","")</f>
        <v>김재훈</v>
      </c>
      <c r="V108" s="21" t="str">
        <f aca="false">IFERROR(INDEX(종합!V$3:V$501,MATCH(ROW()-2,종합!$AB$3:$AB$501,0))&amp;"","")</f>
        <v>BD Sales1</v>
      </c>
      <c r="W108" s="21" t="str">
        <f aca="false">IFERROR(INDEX(종합!W$3:W$501,MATCH(ROW()-2,종합!$AB$3:$AB$501,0))&amp;"","")</f>
        <v>팀장</v>
      </c>
      <c r="X108" s="21" t="str">
        <f aca="false">IFERROR(INDEX(종합!X$3:X$501,MATCH(ROW()-2,종합!$AB$3:$AB$501,0))&amp;"","")</f>
        <v>010-5037-8975</v>
      </c>
      <c r="Y108" s="21" t="str">
        <f aca="false">IFERROR(INDEX(종합!Y$3:Y$501,MATCH(ROW()-2,종합!$AB$3:$AB$501,0))&amp;"","")</f>
        <v>jaehoon.kim@flitto.com</v>
      </c>
      <c r="Z108" s="21" t="str">
        <f aca="false">IFERROR(INDEX(종합!Z$3:Z$501,MATCH(ROW()-2,종합!$AB$3:$AB$501,0))&amp;"","")</f>
        <v>010-5037-8975</v>
      </c>
    </row>
    <row r="109" customFormat="false" ht="22.5" hidden="false" customHeight="true" outlineLevel="0" collapsed="false">
      <c r="A109" s="18" t="n">
        <f aca="false">IF(B109="","",ROW()-2)</f>
        <v>107</v>
      </c>
      <c r="B109" s="18" t="str">
        <f aca="false">IFERROR(INDEX(종합!B$3:B$501,MATCH(ROW()-2,종합!$AB$3:$AB$501,0))&amp;"","")</f>
        <v>(주)코난테크놀로지</v>
      </c>
      <c r="C109" s="18" t="str">
        <f aca="false">IFERROR(INDEX(종합!C$3:C$501,MATCH(ROW()-2,종합!$AB$3:$AB$501,0))&amp;"","")</f>
        <v>O</v>
      </c>
      <c r="D109" s="18" t="str">
        <f aca="false">IFERROR(INDEX(종합!D$3:D$501,MATCH(ROW()-2,종합!$AB$3:$AB$501,0))&amp;"","")</f>
        <v>O</v>
      </c>
      <c r="E109" s="18" t="str">
        <f aca="false">IFERROR(INDEX(종합!E$3:E$501,MATCH(ROW()-2,종합!$AB$3:$AB$501,0))&amp;"","")</f>
        <v/>
      </c>
      <c r="F109" s="18" t="str">
        <f aca="false">IFERROR(INDEX(종합!F$3:F$501,MATCH(ROW()-2,종합!$AB$3:$AB$501,0))&amp;"","")</f>
        <v>O</v>
      </c>
      <c r="G109" s="18" t="str">
        <f aca="false">IFERROR(INDEX(종합!G$3:G$501,MATCH(ROW()-2,종합!$AB$3:$AB$501,0))&amp;"","")</f>
        <v>중소기업</v>
      </c>
      <c r="H109" s="21" t="str">
        <f aca="false">IFERROR(INDEX(종합!H$3:H$501,MATCH(ROW()-2,종합!$AB$3:$AB$501,0))&amp;"","")</f>
        <v>229-81-37316</v>
      </c>
      <c r="I109" s="21" t="str">
        <f aca="false">IFERROR(INDEX(종합!I$3:I$501,MATCH(ROW()-2,종합!$AB$3:$AB$501,0))&amp;"","")</f>
        <v>김영섬</v>
      </c>
      <c r="J109" s="21" t="str">
        <f aca="false">IFERROR(INDEX(종합!J$3:J$501,MATCH(ROW()-2,종합!$AB$3:$AB$501,0))&amp;"","")</f>
        <v>1533-1614</v>
      </c>
      <c r="K109" s="21" t="str">
        <f aca="false">IFERROR(INDEX(종합!K$3:K$501,MATCH(ROW()-2,종합!$AB$3:$AB$501,0))&amp;"","")</f>
        <v>https://www.konantech.com/</v>
      </c>
      <c r="L109" s="21" t="str">
        <f aca="false">IFERROR(INDEX(종합!L$3:L$501,MATCH(ROW()-2,종합!$AB$3:$AB$501,0))&amp;"","")</f>
        <v>thdudfk898@gmail.com</v>
      </c>
      <c r="M109" s="21" t="str">
        <f aca="false">IFERROR(INDEX(종합!M$3:M$501,MATCH(ROW()-2,종합!$AB$3:$AB$501,0))&amp;"","")</f>
        <v>서울시 서초구 강남대로 327, 6,7,9층</v>
      </c>
      <c r="N109" s="25" t="str">
        <f aca="false">IFERROR(INDEX(종합!N$3:N$501,MATCH(ROW()-2,종합!$AB$3:$AB$501,0))&amp;"","")</f>
        <v>LLM, RAG-X, AIStation,Text AI, Vision AI</v>
      </c>
      <c r="O109" s="21" t="str">
        <f aca="false">IFERROR(INDEX(종합!O$3:O$501,MATCH(ROW()-2,종합!$AB$3:$AB$501,0))&amp;"","")</f>
        <v>이형주</v>
      </c>
      <c r="P109" s="21" t="str">
        <f aca="false">IFERROR(INDEX(종합!P$3:P$501,MATCH(ROW()-2,종합!$AB$3:$AB$501,0))&amp;"","")</f>
        <v>AX서비스 사업부</v>
      </c>
      <c r="Q109" s="21" t="str">
        <f aca="false">IFERROR(INDEX(종합!Q$3:Q$501,MATCH(ROW()-2,종합!$AB$3:$AB$501,0))&amp;"","")</f>
        <v>이사</v>
      </c>
      <c r="R109" s="21" t="str">
        <f aca="false">IFERROR(INDEX(종합!R$3:R$501,MATCH(ROW()-2,종합!$AB$3:$AB$501,0))&amp;"","")</f>
        <v>02-3469-8599</v>
      </c>
      <c r="S109" s="21" t="str">
        <f aca="false">IFERROR(INDEX(종합!S$3:S$501,MATCH(ROW()-2,종합!$AB$3:$AB$501,0))&amp;"","")</f>
        <v>hyungju.lee@konantech.com</v>
      </c>
      <c r="T109" s="21" t="str">
        <f aca="false">IFERROR(INDEX(종합!T$3:T$501,MATCH(ROW()-2,종합!$AB$3:$AB$501,0))&amp;"","")</f>
        <v>010-6224-0307</v>
      </c>
      <c r="U109" s="21" t="str">
        <f aca="false">IFERROR(INDEX(종합!U$3:U$501,MATCH(ROW()-2,종합!$AB$3:$AB$501,0))&amp;"","")</f>
        <v>김산</v>
      </c>
      <c r="V109" s="21" t="str">
        <f aca="false">IFERROR(INDEX(종합!V$3:V$501,MATCH(ROW()-2,종합!$AB$3:$AB$501,0))&amp;"","")</f>
        <v>AX서비스 사업부</v>
      </c>
      <c r="W109" s="21" t="str">
        <f aca="false">IFERROR(INDEX(종합!W$3:W$501,MATCH(ROW()-2,종합!$AB$3:$AB$501,0))&amp;"","")</f>
        <v>부장</v>
      </c>
      <c r="X109" s="21" t="str">
        <f aca="false">IFERROR(INDEX(종합!X$3:X$501,MATCH(ROW()-2,종합!$AB$3:$AB$501,0))&amp;"","")</f>
        <v>02-3469-8789</v>
      </c>
      <c r="Y109" s="21" t="str">
        <f aca="false">IFERROR(INDEX(종합!Y$3:Y$501,MATCH(ROW()-2,종합!$AB$3:$AB$501,0))&amp;"","")</f>
        <v>san.kim@konantech.com</v>
      </c>
      <c r="Z109" s="21" t="str">
        <f aca="false">IFERROR(INDEX(종합!Z$3:Z$501,MATCH(ROW()-2,종합!$AB$3:$AB$501,0))&amp;"","")</f>
        <v>010-8630-9677</v>
      </c>
    </row>
    <row r="110" customFormat="false" ht="33.75" hidden="false" customHeight="true" outlineLevel="0" collapsed="false">
      <c r="A110" s="18" t="n">
        <f aca="false">IF(B110="","",ROW()-2)</f>
        <v>108</v>
      </c>
      <c r="B110" s="18" t="str">
        <f aca="false">IFERROR(INDEX(종합!B$3:B$501,MATCH(ROW()-2,종합!$AB$3:$AB$501,0))&amp;"","")</f>
        <v>라온시큐어(주)</v>
      </c>
      <c r="C110" s="18" t="str">
        <f aca="false">IFERROR(INDEX(종합!C$3:C$501,MATCH(ROW()-2,종합!$AB$3:$AB$501,0))&amp;"","")</f>
        <v>O</v>
      </c>
      <c r="D110" s="18" t="str">
        <f aca="false">IFERROR(INDEX(종합!D$3:D$501,MATCH(ROW()-2,종합!$AB$3:$AB$501,0))&amp;"","")</f>
        <v/>
      </c>
      <c r="E110" s="18" t="str">
        <f aca="false">IFERROR(INDEX(종합!E$3:E$501,MATCH(ROW()-2,종합!$AB$3:$AB$501,0))&amp;"","")</f>
        <v/>
      </c>
      <c r="F110" s="18" t="str">
        <f aca="false">IFERROR(INDEX(종합!F$3:F$501,MATCH(ROW()-2,종합!$AB$3:$AB$501,0))&amp;"","")</f>
        <v/>
      </c>
      <c r="G110" s="18" t="str">
        <f aca="false">IFERROR(INDEX(종합!G$3:G$501,MATCH(ROW()-2,종합!$AB$3:$AB$501,0))&amp;"","")</f>
        <v>중소기업</v>
      </c>
      <c r="H110" s="21" t="str">
        <f aca="false">IFERROR(INDEX(종합!H$3:H$501,MATCH(ROW()-2,종합!$AB$3:$AB$501,0))&amp;"","")</f>
        <v>138-81-16484</v>
      </c>
      <c r="I110" s="21" t="str">
        <f aca="false">IFERROR(INDEX(종합!I$3:I$501,MATCH(ROW()-2,종합!$AB$3:$AB$501,0))&amp;"","")</f>
        <v>이순형·이정아</v>
      </c>
      <c r="J110" s="21" t="str">
        <f aca="false">IFERROR(INDEX(종합!J$3:J$501,MATCH(ROW()-2,종합!$AB$3:$AB$501,0))&amp;"","")</f>
        <v>02-561-4545</v>
      </c>
      <c r="K110" s="21" t="str">
        <f aca="false">IFERROR(INDEX(종합!K$3:K$501,MATCH(ROW()-2,종합!$AB$3:$AB$501,0))&amp;"","")</f>
        <v>https://www.raonsecure.com</v>
      </c>
      <c r="L110" s="21" t="str">
        <f aca="false">IFERROR(INDEX(종합!L$3:L$501,MATCH(ROW()-2,종합!$AB$3:$AB$501,0))&amp;"","")</f>
        <v>rehide00@gmail.com</v>
      </c>
      <c r="M110" s="21" t="str">
        <f aca="false">IFERROR(INDEX(종합!M$3:M$501,MATCH(ROW()-2,종합!$AB$3:$AB$501,0))&amp;"","")</f>
        <v>서울특별시 영등포구 여의대로 108, 파크원타워2 47-48(여의도동)</v>
      </c>
      <c r="N110" s="25" t="str">
        <f aca="false">IFERROR(INDEX(종합!N$3:N$501,MATCH(ROW()-2,종합!$AB$3:$AB$501,0))&amp;"","")</f>
        <v>AAIM(Agentic Ai Identity Management), Web3·블록체인 플랫폼</v>
      </c>
      <c r="O110" s="21" t="str">
        <f aca="false">IFERROR(INDEX(종합!O$3:O$501,MATCH(ROW()-2,종합!$AB$3:$AB$501,0))&amp;"","")</f>
        <v>김태진</v>
      </c>
      <c r="P110" s="21" t="str">
        <f aca="false">IFERROR(INDEX(종합!P$3:P$501,MATCH(ROW()-2,종합!$AB$3:$AB$501,0))&amp;"","")</f>
        <v>서비스개발본부</v>
      </c>
      <c r="Q110" s="21" t="str">
        <f aca="false">IFERROR(INDEX(종합!Q$3:Q$501,MATCH(ROW()-2,종합!$AB$3:$AB$501,0))&amp;"","")</f>
        <v>본부장/전무이사</v>
      </c>
      <c r="R110" s="21" t="str">
        <f aca="false">IFERROR(INDEX(종합!R$3:R$501,MATCH(ROW()-2,종합!$AB$3:$AB$501,0))&amp;"","")</f>
        <v>070-8240-3640</v>
      </c>
      <c r="S110" s="21" t="str">
        <f aca="false">IFERROR(INDEX(종합!S$3:S$501,MATCH(ROW()-2,종합!$AB$3:$AB$501,0))&amp;"","")</f>
        <v>tjkim1212@raoncorp.com</v>
      </c>
      <c r="T110" s="21" t="str">
        <f aca="false">IFERROR(INDEX(종합!T$3:T$501,MATCH(ROW()-2,종합!$AB$3:$AB$501,0))&amp;"","")</f>
        <v>010-9975-1773</v>
      </c>
      <c r="U110" s="21" t="str">
        <f aca="false">IFERROR(INDEX(종합!U$3:U$501,MATCH(ROW()-2,종합!$AB$3:$AB$501,0))&amp;"","")</f>
        <v>김태정</v>
      </c>
      <c r="V110" s="21" t="str">
        <f aca="false">IFERROR(INDEX(종합!V$3:V$501,MATCH(ROW()-2,종합!$AB$3:$AB$501,0))&amp;"","")</f>
        <v>커뮤니케이션팀</v>
      </c>
      <c r="W110" s="21" t="str">
        <f aca="false">IFERROR(INDEX(종합!W$3:W$501,MATCH(ROW()-2,종합!$AB$3:$AB$501,0))&amp;"","")</f>
        <v>프로</v>
      </c>
      <c r="X110" s="21" t="str">
        <f aca="false">IFERROR(INDEX(종합!X$3:X$501,MATCH(ROW()-2,종합!$AB$3:$AB$501,0))&amp;"","")</f>
        <v>070-8240-6946</v>
      </c>
      <c r="Y110" s="21" t="str">
        <f aca="false">IFERROR(INDEX(종합!Y$3:Y$501,MATCH(ROW()-2,종합!$AB$3:$AB$501,0))&amp;"","")</f>
        <v>tjkim4352@raoncorp.com</v>
      </c>
      <c r="Z110" s="21" t="str">
        <f aca="false">IFERROR(INDEX(종합!Z$3:Z$501,MATCH(ROW()-2,종합!$AB$3:$AB$501,0))&amp;"","")</f>
        <v>010-7770-4352</v>
      </c>
    </row>
    <row r="111" customFormat="false" ht="60.75" hidden="false" customHeight="true" outlineLevel="0" collapsed="false">
      <c r="A111" s="18" t="n">
        <f aca="false">IF(B111="","",ROW()-2)</f>
        <v>109</v>
      </c>
      <c r="B111" s="18" t="str">
        <f aca="false">IFERROR(INDEX(종합!B$3:B$501,MATCH(ROW()-2,종합!$AB$3:$AB$501,0))&amp;"","")</f>
        <v>주식회사 케이티</v>
      </c>
      <c r="C111" s="18" t="str">
        <f aca="false">IFERROR(INDEX(종합!C$3:C$501,MATCH(ROW()-2,종합!$AB$3:$AB$501,0))&amp;"","")</f>
        <v>O</v>
      </c>
      <c r="D111" s="18" t="str">
        <f aca="false">IFERROR(INDEX(종합!D$3:D$501,MATCH(ROW()-2,종합!$AB$3:$AB$501,0))&amp;"","")</f>
        <v/>
      </c>
      <c r="E111" s="18" t="str">
        <f aca="false">IFERROR(INDEX(종합!E$3:E$501,MATCH(ROW()-2,종합!$AB$3:$AB$501,0))&amp;"","")</f>
        <v/>
      </c>
      <c r="F111" s="18" t="str">
        <f aca="false">IFERROR(INDEX(종합!F$3:F$501,MATCH(ROW()-2,종합!$AB$3:$AB$501,0))&amp;"","")</f>
        <v/>
      </c>
      <c r="G111" s="18" t="str">
        <f aca="false">IFERROR(INDEX(종합!G$3:G$501,MATCH(ROW()-2,종합!$AB$3:$AB$501,0))&amp;"","")</f>
        <v>대기업</v>
      </c>
      <c r="H111" s="21" t="str">
        <f aca="false">IFERROR(INDEX(종합!H$3:H$501,MATCH(ROW()-2,종합!$AB$3:$AB$501,0))&amp;"","")</f>
        <v>102-81-42945</v>
      </c>
      <c r="I111" s="21" t="str">
        <f aca="false">IFERROR(INDEX(종합!I$3:I$501,MATCH(ROW()-2,종합!$AB$3:$AB$501,0))&amp;"","")</f>
        <v>김영섭</v>
      </c>
      <c r="J111" s="21" t="str">
        <f aca="false">IFERROR(INDEX(종합!J$3:J$501,MATCH(ROW()-2,종합!$AB$3:$AB$501,0))&amp;"","")</f>
        <v>02-3495-3219</v>
      </c>
      <c r="K111" s="21" t="str">
        <f aca="false">IFERROR(INDEX(종합!K$3:K$501,MATCH(ROW()-2,종합!$AB$3:$AB$501,0))&amp;"","")</f>
        <v>corp.kt.com</v>
      </c>
      <c r="L111" s="21" t="str">
        <f aca="false">IFERROR(INDEX(종합!L$3:L$501,MATCH(ROW()-2,종합!$AB$3:$AB$501,0))&amp;"","")</f>
        <v>hankyus@gmail.com</v>
      </c>
      <c r="M111" s="21" t="str">
        <f aca="false">IFERROR(INDEX(종합!M$3:M$501,MATCH(ROW()-2,종합!$AB$3:$AB$501,0))&amp;"","")</f>
        <v>경기도 성남시 분당구 불정로 90</v>
      </c>
      <c r="N111" s="25" t="str">
        <f aca="false">IFERROR(INDEX(종합!N$3:N$501,MATCH(ROW()-2,종합!$AB$3:$AB$501,0))&amp;"","")</f>
        <v>독자모델(믿:음), 오픈모델 기반 Vertical  AI 기술, RAG(Text 기반 RAG, Multi-Modal RAG, GraphRAG, Agentic RAG), Agent Orchestrator 기술(Multi-Agent, Memory, A2A/MCP), RAI 등</v>
      </c>
      <c r="O111" s="21" t="str">
        <f aca="false">IFERROR(INDEX(종합!O$3:O$501,MATCH(ROW()-2,종합!$AB$3:$AB$501,0))&amp;"","")</f>
        <v>윤경아</v>
      </c>
      <c r="P111" s="21" t="str">
        <f aca="false">IFERROR(INDEX(종합!P$3:P$501,MATCH(ROW()-2,종합!$AB$3:$AB$501,0))&amp;"","")</f>
        <v>Agentic AI Lab</v>
      </c>
      <c r="Q111" s="21" t="str">
        <f aca="false">IFERROR(INDEX(종합!Q$3:Q$501,MATCH(ROW()-2,종합!$AB$3:$AB$501,0))&amp;"","")</f>
        <v>상무/Lab장</v>
      </c>
      <c r="R111" s="21" t="str">
        <f aca="false">IFERROR(INDEX(종합!R$3:R$501,MATCH(ROW()-2,종합!$AB$3:$AB$501,0))&amp;"","")</f>
        <v>010-9314-3948</v>
      </c>
      <c r="S111" s="21" t="str">
        <f aca="false">IFERROR(INDEX(종합!S$3:S$501,MATCH(ROW()-2,종합!$AB$3:$AB$501,0))&amp;"","")</f>
        <v>kyunga.yoon@kt.com</v>
      </c>
      <c r="T111" s="21" t="str">
        <f aca="false">IFERROR(INDEX(종합!T$3:T$501,MATCH(ROW()-2,종합!$AB$3:$AB$501,0))&amp;"","")</f>
        <v>010-9314-3948</v>
      </c>
      <c r="U111" s="21" t="str">
        <f aca="false">IFERROR(INDEX(종합!U$3:U$501,MATCH(ROW()-2,종합!$AB$3:$AB$501,0))&amp;"","")</f>
        <v>성한규</v>
      </c>
      <c r="V111" s="21" t="str">
        <f aca="false">IFERROR(INDEX(종합!V$3:V$501,MATCH(ROW()-2,종합!$AB$3:$AB$501,0))&amp;"","")</f>
        <v>Agentic AI Lab A-기획팀</v>
      </c>
      <c r="W111" s="21" t="str">
        <f aca="false">IFERROR(INDEX(종합!W$3:W$501,MATCH(ROW()-2,종합!$AB$3:$AB$501,0))&amp;"","")</f>
        <v>책임/팀장</v>
      </c>
      <c r="X111" s="21" t="str">
        <f aca="false">IFERROR(INDEX(종합!X$3:X$501,MATCH(ROW()-2,종합!$AB$3:$AB$501,0))&amp;"","")</f>
        <v>010-9851-2154</v>
      </c>
      <c r="Y111" s="21" t="str">
        <f aca="false">IFERROR(INDEX(종합!Y$3:Y$501,MATCH(ROW()-2,종합!$AB$3:$AB$501,0))&amp;"","")</f>
        <v>hankyu.sung@kt.com</v>
      </c>
      <c r="Z111" s="21" t="str">
        <f aca="false">IFERROR(INDEX(종합!Z$3:Z$501,MATCH(ROW()-2,종합!$AB$3:$AB$501,0))&amp;"","")</f>
        <v>010-9851-2154</v>
      </c>
    </row>
    <row r="112" customFormat="false" ht="47.25" hidden="false" customHeight="true" outlineLevel="0" collapsed="false">
      <c r="A112" s="18" t="n">
        <f aca="false">IF(B112="","",ROW()-2)</f>
        <v>110</v>
      </c>
      <c r="B112" s="18" t="str">
        <f aca="false">IFERROR(INDEX(종합!B$3:B$501,MATCH(ROW()-2,종합!$AB$3:$AB$501,0))&amp;"","")</f>
        <v>LG AI연구원</v>
      </c>
      <c r="C112" s="18" t="str">
        <f aca="false">IFERROR(INDEX(종합!C$3:C$501,MATCH(ROW()-2,종합!$AB$3:$AB$501,0))&amp;"","")</f>
        <v>O</v>
      </c>
      <c r="D112" s="18" t="str">
        <f aca="false">IFERROR(INDEX(종합!D$3:D$501,MATCH(ROW()-2,종합!$AB$3:$AB$501,0))&amp;"","")</f>
        <v/>
      </c>
      <c r="E112" s="18" t="str">
        <f aca="false">IFERROR(INDEX(종합!E$3:E$501,MATCH(ROW()-2,종합!$AB$3:$AB$501,0))&amp;"","")</f>
        <v/>
      </c>
      <c r="F112" s="18" t="str">
        <f aca="false">IFERROR(INDEX(종합!F$3:F$501,MATCH(ROW()-2,종합!$AB$3:$AB$501,0))&amp;"","")</f>
        <v/>
      </c>
      <c r="G112" s="18" t="str">
        <f aca="false">IFERROR(INDEX(종합!G$3:G$501,MATCH(ROW()-2,종합!$AB$3:$AB$501,0))&amp;"","")</f>
        <v>대기업</v>
      </c>
      <c r="H112" s="21" t="str">
        <f aca="false">IFERROR(INDEX(종합!H$3:H$501,MATCH(ROW()-2,종합!$AB$3:$AB$501,0))&amp;"","")</f>
        <v/>
      </c>
      <c r="I112" s="21" t="str">
        <f aca="false">IFERROR(INDEX(종합!I$3:I$501,MATCH(ROW()-2,종합!$AB$3:$AB$501,0))&amp;"","")</f>
        <v/>
      </c>
      <c r="J112" s="21" t="str">
        <f aca="false">IFERROR(INDEX(종합!J$3:J$501,MATCH(ROW()-2,종합!$AB$3:$AB$501,0))&amp;"","")</f>
        <v/>
      </c>
      <c r="K112" s="21" t="str">
        <f aca="false">IFERROR(INDEX(종합!K$3:K$501,MATCH(ROW()-2,종합!$AB$3:$AB$501,0))&amp;"","")</f>
        <v/>
      </c>
      <c r="L112" s="21" t="str">
        <f aca="false">IFERROR(INDEX(종합!L$3:L$501,MATCH(ROW()-2,종합!$AB$3:$AB$501,0))&amp;"","")</f>
        <v/>
      </c>
      <c r="M112" s="21" t="str">
        <f aca="false">IFERROR(INDEX(종합!M$3:M$501,MATCH(ROW()-2,종합!$AB$3:$AB$501,0))&amp;"","")</f>
        <v/>
      </c>
      <c r="N112" s="25" t="str">
        <f aca="false">IFERROR(INDEX(종합!N$3:N$501,MATCH(ROW()-2,종합!$AB$3:$AB$501,0))&amp;"","")</f>
        <v>추론 통합 하이브리드 모델 EXAONE 4.0(Agent 구현을 위한 MCP 및 Function Calling 등 지원) 및 K-EXAONE 모델(236B 규모, 에이전트 도구 사용 성능 우수)</v>
      </c>
      <c r="O112" s="21" t="str">
        <f aca="false">IFERROR(INDEX(종합!O$3:O$501,MATCH(ROW()-2,종합!$AB$3:$AB$501,0))&amp;"","")</f>
        <v>전기정</v>
      </c>
      <c r="P112" s="21" t="str">
        <f aca="false">IFERROR(INDEX(종합!P$3:P$501,MATCH(ROW()-2,종합!$AB$3:$AB$501,0))&amp;"","")</f>
        <v>서비스개발 부문</v>
      </c>
      <c r="Q112" s="21" t="str">
        <f aca="false">IFERROR(INDEX(종합!Q$3:Q$501,MATCH(ROW()-2,종합!$AB$3:$AB$501,0))&amp;"","")</f>
        <v>부문장</v>
      </c>
      <c r="R112" s="21" t="str">
        <f aca="false">IFERROR(INDEX(종합!R$3:R$501,MATCH(ROW()-2,종합!$AB$3:$AB$501,0))&amp;"","")</f>
        <v>010-3996-4842</v>
      </c>
      <c r="S112" s="21" t="str">
        <f aca="false">IFERROR(INDEX(종합!S$3:S$501,MATCH(ROW()-2,종합!$AB$3:$AB$501,0))&amp;"","")</f>
        <v>kj.jeon@lgresearch.ai</v>
      </c>
      <c r="T112" s="21" t="str">
        <f aca="false">IFERROR(INDEX(종합!T$3:T$501,MATCH(ROW()-2,종합!$AB$3:$AB$501,0))&amp;"","")</f>
        <v>010-3996-4842</v>
      </c>
      <c r="U112" s="21" t="str">
        <f aca="false">IFERROR(INDEX(종합!U$3:U$501,MATCH(ROW()-2,종합!$AB$3:$AB$501,0))&amp;"","")</f>
        <v>이상은</v>
      </c>
      <c r="V112" s="21" t="str">
        <f aca="false">IFERROR(INDEX(종합!V$3:V$501,MATCH(ROW()-2,종합!$AB$3:$AB$501,0))&amp;"","")</f>
        <v>전략 부문</v>
      </c>
      <c r="W112" s="21" t="str">
        <f aca="false">IFERROR(INDEX(종합!W$3:W$501,MATCH(ROW()-2,종합!$AB$3:$AB$501,0))&amp;"","")</f>
        <v>정책 책임</v>
      </c>
      <c r="X112" s="21" t="str">
        <f aca="false">IFERROR(INDEX(종합!X$3:X$501,MATCH(ROW()-2,종합!$AB$3:$AB$501,0))&amp;"","")</f>
        <v>010-2932-3302</v>
      </c>
      <c r="Y112" s="21" t="str">
        <f aca="false">IFERROR(INDEX(종합!Y$3:Y$501,MATCH(ROW()-2,종합!$AB$3:$AB$501,0))&amp;"","")</f>
        <v>sangeun.lee@lgresearch.ai</v>
      </c>
      <c r="Z112" s="21" t="str">
        <f aca="false">IFERROR(INDEX(종합!Z$3:Z$501,MATCH(ROW()-2,종합!$AB$3:$AB$501,0))&amp;"","")</f>
        <v>010-2932-3302</v>
      </c>
    </row>
    <row r="113" customFormat="false" ht="22.5" hidden="false" customHeight="true" outlineLevel="0" collapsed="false">
      <c r="A113" s="18" t="n">
        <f aca="false">IF(B113="","",ROW()-2)</f>
        <v>111</v>
      </c>
      <c r="B113" s="18" t="str">
        <f aca="false">IFERROR(INDEX(종합!B$3:B$501,MATCH(ROW()-2,종합!$AB$3:$AB$501,0))&amp;"","")</f>
        <v>(주)안랩클라우드메이트</v>
      </c>
      <c r="C113" s="18" t="str">
        <f aca="false">IFERROR(INDEX(종합!C$3:C$501,MATCH(ROW()-2,종합!$AB$3:$AB$501,0))&amp;"","")</f>
        <v>O</v>
      </c>
      <c r="D113" s="18" t="str">
        <f aca="false">IFERROR(INDEX(종합!D$3:D$501,MATCH(ROW()-2,종합!$AB$3:$AB$501,0))&amp;"","")</f>
        <v/>
      </c>
      <c r="E113" s="18" t="str">
        <f aca="false">IFERROR(INDEX(종합!E$3:E$501,MATCH(ROW()-2,종합!$AB$3:$AB$501,0))&amp;"","")</f>
        <v/>
      </c>
      <c r="F113" s="18" t="str">
        <f aca="false">IFERROR(INDEX(종합!F$3:F$501,MATCH(ROW()-2,종합!$AB$3:$AB$501,0))&amp;"","")</f>
        <v/>
      </c>
      <c r="G113" s="18" t="str">
        <f aca="false">IFERROR(INDEX(종합!G$3:G$501,MATCH(ROW()-2,종합!$AB$3:$AB$501,0))&amp;"","")</f>
        <v>중견기업</v>
      </c>
      <c r="H113" s="21" t="str">
        <f aca="false">IFERROR(INDEX(종합!H$3:H$501,MATCH(ROW()-2,종합!$AB$3:$AB$501,0))&amp;"","")</f>
        <v>789-81-01310</v>
      </c>
      <c r="I113" s="21" t="str">
        <f aca="false">IFERROR(INDEX(종합!I$3:I$501,MATCH(ROW()-2,종합!$AB$3:$AB$501,0))&amp;"","")</f>
        <v>김형준</v>
      </c>
      <c r="J113" s="21" t="str">
        <f aca="false">IFERROR(INDEX(종합!J$3:J$501,MATCH(ROW()-2,종합!$AB$3:$AB$501,0))&amp;"","")</f>
        <v>02-2069-1980</v>
      </c>
      <c r="K113" s="21" t="str">
        <f aca="false">IFERROR(INDEX(종합!K$3:K$501,MATCH(ROW()-2,종합!$AB$3:$AB$501,0))&amp;"","")</f>
        <v>https://ahnlabcloudmate.com/</v>
      </c>
      <c r="L113" s="21" t="str">
        <f aca="false">IFERROR(INDEX(종합!L$3:L$501,MATCH(ROW()-2,종합!$AB$3:$AB$501,0))&amp;"","")</f>
        <v/>
      </c>
      <c r="M113" s="21" t="str">
        <f aca="false">IFERROR(INDEX(종합!M$3:M$501,MATCH(ROW()-2,종합!$AB$3:$AB$501,0))&amp;"","")</f>
        <v>서울특별시 구로구 경인로662 타워동 29층</v>
      </c>
      <c r="N113" s="25" t="str">
        <f aca="false">IFERROR(INDEX(종합!N$3:N$501,MATCH(ROW()-2,종합!$AB$3:$AB$501,0))&amp;"","")</f>
        <v>AI 보안 (Security for AI), RAG, 생성형 AI</v>
      </c>
      <c r="O113" s="21" t="str">
        <f aca="false">IFERROR(INDEX(종합!O$3:O$501,MATCH(ROW()-2,종합!$AB$3:$AB$501,0))&amp;"","")</f>
        <v>최광호</v>
      </c>
      <c r="P113" s="21" t="str">
        <f aca="false">IFERROR(INDEX(종합!P$3:P$501,MATCH(ROW()-2,종합!$AB$3:$AB$501,0))&amp;"","")</f>
        <v>CTO Division</v>
      </c>
      <c r="Q113" s="21" t="str">
        <f aca="false">IFERROR(INDEX(종합!Q$3:Q$501,MATCH(ROW()-2,종합!$AB$3:$AB$501,0))&amp;"","")</f>
        <v>CTO</v>
      </c>
      <c r="R113" s="21" t="str">
        <f aca="false">IFERROR(INDEX(종합!R$3:R$501,MATCH(ROW()-2,종합!$AB$3:$AB$501,0))&amp;"","")</f>
        <v>02-2069-1980</v>
      </c>
      <c r="S113" s="21" t="str">
        <f aca="false">IFERROR(INDEX(종합!S$3:S$501,MATCH(ROW()-2,종합!$AB$3:$AB$501,0))&amp;"","")</f>
        <v>kwangho.choi@ahnlabcloudmate.com</v>
      </c>
      <c r="T113" s="21" t="str">
        <f aca="false">IFERROR(INDEX(종합!T$3:T$501,MATCH(ROW()-2,종합!$AB$3:$AB$501,0))&amp;"","")</f>
        <v>010-5680-0608</v>
      </c>
      <c r="U113" s="21" t="str">
        <f aca="false">IFERROR(INDEX(종합!U$3:U$501,MATCH(ROW()-2,종합!$AB$3:$AB$501,0))&amp;"","")</f>
        <v>이상필</v>
      </c>
      <c r="V113" s="21" t="str">
        <f aca="false">IFERROR(INDEX(종합!V$3:V$501,MATCH(ROW()-2,종합!$AB$3:$AB$501,0))&amp;"","")</f>
        <v>사업기획팀</v>
      </c>
      <c r="W113" s="21" t="str">
        <f aca="false">IFERROR(INDEX(종합!W$3:W$501,MATCH(ROW()-2,종합!$AB$3:$AB$501,0))&amp;"","")</f>
        <v>팀장</v>
      </c>
      <c r="X113" s="21" t="str">
        <f aca="false">IFERROR(INDEX(종합!X$3:X$501,MATCH(ROW()-2,종합!$AB$3:$AB$501,0))&amp;"","")</f>
        <v>02-2069-1980</v>
      </c>
      <c r="Y113" s="21" t="str">
        <f aca="false">IFERROR(INDEX(종합!Y$3:Y$501,MATCH(ROW()-2,종합!$AB$3:$AB$501,0))&amp;"","")</f>
        <v>sangpil.lee@ahnlabcloudmate.com</v>
      </c>
      <c r="Z113" s="21" t="str">
        <f aca="false">IFERROR(INDEX(종합!Z$3:Z$501,MATCH(ROW()-2,종합!$AB$3:$AB$501,0))&amp;"","")</f>
        <v>010-2081-1551</v>
      </c>
    </row>
    <row r="114" customFormat="false" ht="22.5" hidden="false" customHeight="true" outlineLevel="0" collapsed="false">
      <c r="A114" s="18" t="n">
        <f aca="false">IF(B114="","",ROW()-2)</f>
        <v>112</v>
      </c>
      <c r="B114" s="18" t="str">
        <f aca="false">IFERROR(INDEX(종합!B$3:B$501,MATCH(ROW()-2,종합!$AB$3:$AB$501,0))&amp;"","")</f>
        <v>주식회사 액션파워</v>
      </c>
      <c r="C114" s="18" t="str">
        <f aca="false">IFERROR(INDEX(종합!C$3:C$501,MATCH(ROW()-2,종합!$AB$3:$AB$501,0))&amp;"","")</f>
        <v>O</v>
      </c>
      <c r="D114" s="18" t="str">
        <f aca="false">IFERROR(INDEX(종합!D$3:D$501,MATCH(ROW()-2,종합!$AB$3:$AB$501,0))&amp;"","")</f>
        <v/>
      </c>
      <c r="E114" s="18" t="str">
        <f aca="false">IFERROR(INDEX(종합!E$3:E$501,MATCH(ROW()-2,종합!$AB$3:$AB$501,0))&amp;"","")</f>
        <v/>
      </c>
      <c r="F114" s="18" t="str">
        <f aca="false">IFERROR(INDEX(종합!F$3:F$501,MATCH(ROW()-2,종합!$AB$3:$AB$501,0))&amp;"","")</f>
        <v/>
      </c>
      <c r="G114" s="18" t="str">
        <f aca="false">IFERROR(INDEX(종합!G$3:G$501,MATCH(ROW()-2,종합!$AB$3:$AB$501,0))&amp;"","")</f>
        <v>중소기업</v>
      </c>
      <c r="H114" s="21" t="str">
        <f aca="false">IFERROR(INDEX(종합!H$3:H$501,MATCH(ROW()-2,종합!$AB$3:$AB$501,0))&amp;"","")</f>
        <v>139-81-44004</v>
      </c>
      <c r="I114" s="21" t="str">
        <f aca="false">IFERROR(INDEX(종합!I$3:I$501,MATCH(ROW()-2,종합!$AB$3:$AB$501,0))&amp;"","")</f>
        <v>조홍식, 이지화</v>
      </c>
      <c r="J114" s="21" t="str">
        <f aca="false">IFERROR(INDEX(종합!J$3:J$501,MATCH(ROW()-2,종합!$AB$3:$AB$501,0))&amp;"","")</f>
        <v>070-7775-0033</v>
      </c>
      <c r="K114" s="21" t="str">
        <f aca="false">IFERROR(INDEX(종합!K$3:K$501,MATCH(ROW()-2,종합!$AB$3:$AB$501,0))&amp;"","")</f>
        <v>https://actionpower.kr</v>
      </c>
      <c r="L114" s="21" t="str">
        <f aca="false">IFERROR(INDEX(종합!L$3:L$501,MATCH(ROW()-2,종합!$AB$3:$AB$501,0))&amp;"","")</f>
        <v/>
      </c>
      <c r="M114" s="21" t="str">
        <f aca="false">IFERROR(INDEX(종합!M$3:M$501,MATCH(ROW()-2,종합!$AB$3:$AB$501,0))&amp;"","")</f>
        <v>서울시 관악구 남부순환로 1838 봉천동 CS타워 9층</v>
      </c>
      <c r="N114" s="25" t="str">
        <f aca="false">IFERROR(INDEX(종합!N$3:N$501,MATCH(ROW()-2,종합!$AB$3:$AB$501,0))&amp;"","")</f>
        <v>세상 모든 AI를 한 번에, 다글로(daglo)</v>
      </c>
      <c r="O114" s="21" t="str">
        <f aca="false">IFERROR(INDEX(종합!O$3:O$501,MATCH(ROW()-2,종합!$AB$3:$AB$501,0))&amp;"","")</f>
        <v>조홍식</v>
      </c>
      <c r="P114" s="21" t="str">
        <f aca="false">IFERROR(INDEX(종합!P$3:P$501,MATCH(ROW()-2,종합!$AB$3:$AB$501,0))&amp;"","")</f>
        <v>CEO</v>
      </c>
      <c r="Q114" s="21" t="str">
        <f aca="false">IFERROR(INDEX(종합!Q$3:Q$501,MATCH(ROW()-2,종합!$AB$3:$AB$501,0))&amp;"","")</f>
        <v>공동대표</v>
      </c>
      <c r="R114" s="21" t="str">
        <f aca="false">IFERROR(INDEX(종합!R$3:R$501,MATCH(ROW()-2,종합!$AB$3:$AB$501,0))&amp;"","")</f>
        <v>010-8445-0485</v>
      </c>
      <c r="S114" s="21" t="str">
        <f aca="false">IFERROR(INDEX(종합!S$3:S$501,MATCH(ROW()-2,종합!$AB$3:$AB$501,0))&amp;"","")</f>
        <v>hongsik.jo@actionpower.kr</v>
      </c>
      <c r="T114" s="21" t="str">
        <f aca="false">IFERROR(INDEX(종합!T$3:T$501,MATCH(ROW()-2,종합!$AB$3:$AB$501,0))&amp;"","")</f>
        <v>010-8445-0485</v>
      </c>
      <c r="U114" s="21" t="str">
        <f aca="false">IFERROR(INDEX(종합!U$3:U$501,MATCH(ROW()-2,종합!$AB$3:$AB$501,0))&amp;"","")</f>
        <v>고병석</v>
      </c>
      <c r="V114" s="21" t="str">
        <f aca="false">IFERROR(INDEX(종합!V$3:V$501,MATCH(ROW()-2,종합!$AB$3:$AB$501,0))&amp;"","")</f>
        <v>Enterprise</v>
      </c>
      <c r="W114" s="21" t="str">
        <f aca="false">IFERROR(INDEX(종합!W$3:W$501,MATCH(ROW()-2,종합!$AB$3:$AB$501,0))&amp;"","")</f>
        <v>그룹장</v>
      </c>
      <c r="X114" s="21" t="str">
        <f aca="false">IFERROR(INDEX(종합!X$3:X$501,MATCH(ROW()-2,종합!$AB$3:$AB$501,0))&amp;"","")</f>
        <v>010-4110-4722</v>
      </c>
      <c r="Y114" s="21" t="str">
        <f aca="false">IFERROR(INDEX(종합!Y$3:Y$501,MATCH(ROW()-2,종합!$AB$3:$AB$501,0))&amp;"","")</f>
        <v>ryan.ko@actionpower.kr</v>
      </c>
      <c r="Z114" s="21" t="str">
        <f aca="false">IFERROR(INDEX(종합!Z$3:Z$501,MATCH(ROW()-2,종합!$AB$3:$AB$501,0))&amp;"","")</f>
        <v>010-4110-4722</v>
      </c>
    </row>
    <row r="115" customFormat="false" ht="33.75" hidden="false" customHeight="true" outlineLevel="0" collapsed="false">
      <c r="A115" s="18" t="n">
        <f aca="false">IF(B115="","",ROW()-2)</f>
        <v>113</v>
      </c>
      <c r="B115" s="18" t="str">
        <f aca="false">IFERROR(INDEX(종합!B$3:B$501,MATCH(ROW()-2,종합!$AB$3:$AB$501,0))&amp;"","")</f>
        <v>주식회사 씨피에스테크</v>
      </c>
      <c r="C115" s="18" t="str">
        <f aca="false">IFERROR(INDEX(종합!C$3:C$501,MATCH(ROW()-2,종합!$AB$3:$AB$501,0))&amp;"","")</f>
        <v>O</v>
      </c>
      <c r="D115" s="18" t="str">
        <f aca="false">IFERROR(INDEX(종합!D$3:D$501,MATCH(ROW()-2,종합!$AB$3:$AB$501,0))&amp;"","")</f>
        <v/>
      </c>
      <c r="E115" s="18" t="str">
        <f aca="false">IFERROR(INDEX(종합!E$3:E$501,MATCH(ROW()-2,종합!$AB$3:$AB$501,0))&amp;"","")</f>
        <v/>
      </c>
      <c r="F115" s="18" t="str">
        <f aca="false">IFERROR(INDEX(종합!F$3:F$501,MATCH(ROW()-2,종합!$AB$3:$AB$501,0))&amp;"","")</f>
        <v/>
      </c>
      <c r="G115" s="18" t="str">
        <f aca="false">IFERROR(INDEX(종합!G$3:G$501,MATCH(ROW()-2,종합!$AB$3:$AB$501,0))&amp;"","")</f>
        <v>중소기업</v>
      </c>
      <c r="H115" s="21" t="str">
        <f aca="false">IFERROR(INDEX(종합!H$3:H$501,MATCH(ROW()-2,종합!$AB$3:$AB$501,0))&amp;"","")</f>
        <v>253-86-02566</v>
      </c>
      <c r="I115" s="21" t="str">
        <f aca="false">IFERROR(INDEX(종합!I$3:I$501,MATCH(ROW()-2,종합!$AB$3:$AB$501,0))&amp;"","")</f>
        <v>김홍석</v>
      </c>
      <c r="J115" s="21" t="str">
        <f aca="false">IFERROR(INDEX(종합!J$3:J$501,MATCH(ROW()-2,종합!$AB$3:$AB$501,0))&amp;"","")</f>
        <v>010-9885-5968</v>
      </c>
      <c r="K115" s="21" t="str">
        <f aca="false">IFERROR(INDEX(종합!K$3:K$501,MATCH(ROW()-2,종합!$AB$3:$AB$501,0))&amp;"","")</f>
        <v>www.cpstech.co.kr</v>
      </c>
      <c r="L115" s="21" t="str">
        <f aca="false">IFERROR(INDEX(종합!L$3:L$501,MATCH(ROW()-2,종합!$AB$3:$AB$501,0))&amp;"","")</f>
        <v/>
      </c>
      <c r="M115" s="21" t="str">
        <f aca="false">IFERROR(INDEX(종합!M$3:M$501,MATCH(ROW()-2,종합!$AB$3:$AB$501,0))&amp;"","")</f>
        <v>경기도 화성시 동탄역로 160 (오산동) 롯데백화점 동탄점 B3 KAIST-화성시 사이언스 허브 120호</v>
      </c>
      <c r="N115" s="25" t="str">
        <f aca="false">IFERROR(INDEX(종합!N$3:N$501,MATCH(ROW()-2,종합!$AB$3:$AB$501,0))&amp;"","")</f>
        <v>AI 기반 전자 설계 자동화 소프트웨어 개발 / AI/LLM 기반 업무 자동화 솔루션 개발</v>
      </c>
      <c r="O115" s="21" t="str">
        <f aca="false">IFERROR(INDEX(종합!O$3:O$501,MATCH(ROW()-2,종합!$AB$3:$AB$501,0))&amp;"","")</f>
        <v>김홍석</v>
      </c>
      <c r="P115" s="21" t="str">
        <f aca="false">IFERROR(INDEX(종합!P$3:P$501,MATCH(ROW()-2,종합!$AB$3:$AB$501,0))&amp;"","")</f>
        <v>관리부</v>
      </c>
      <c r="Q115" s="21" t="str">
        <f aca="false">IFERROR(INDEX(종합!Q$3:Q$501,MATCH(ROW()-2,종합!$AB$3:$AB$501,0))&amp;"","")</f>
        <v>대표이사</v>
      </c>
      <c r="R115" s="21" t="str">
        <f aca="false">IFERROR(INDEX(종합!R$3:R$501,MATCH(ROW()-2,종합!$AB$3:$AB$501,0))&amp;"","")</f>
        <v>010-9885-5968</v>
      </c>
      <c r="S115" s="21" t="str">
        <f aca="false">IFERROR(INDEX(종합!S$3:S$501,MATCH(ROW()-2,종합!$AB$3:$AB$501,0))&amp;"","")</f>
        <v>cpstech@cpstech.co.kr</v>
      </c>
      <c r="T115" s="21" t="str">
        <f aca="false">IFERROR(INDEX(종합!T$3:T$501,MATCH(ROW()-2,종합!$AB$3:$AB$501,0))&amp;"","")</f>
        <v>010-9885-5968</v>
      </c>
      <c r="U115" s="21" t="str">
        <f aca="false">IFERROR(INDEX(종합!U$3:U$501,MATCH(ROW()-2,종합!$AB$3:$AB$501,0))&amp;"","")</f>
        <v>이재학</v>
      </c>
      <c r="V115" s="21" t="str">
        <f aca="false">IFERROR(INDEX(종합!V$3:V$501,MATCH(ROW()-2,종합!$AB$3:$AB$501,0))&amp;"","")</f>
        <v>영업경영지원본부</v>
      </c>
      <c r="W115" s="21" t="str">
        <f aca="false">IFERROR(INDEX(종합!W$3:W$501,MATCH(ROW()-2,종합!$AB$3:$AB$501,0))&amp;"","")</f>
        <v>부사장</v>
      </c>
      <c r="X115" s="21" t="str">
        <f aca="false">IFERROR(INDEX(종합!X$3:X$501,MATCH(ROW()-2,종합!$AB$3:$AB$501,0))&amp;"","")</f>
        <v>010-3516-6774</v>
      </c>
      <c r="Y115" s="21" t="str">
        <f aca="false">IFERROR(INDEX(종합!Y$3:Y$501,MATCH(ROW()-2,종합!$AB$3:$AB$501,0))&amp;"","")</f>
        <v>jhlee@cpstech.co.kr</v>
      </c>
      <c r="Z115" s="21" t="str">
        <f aca="false">IFERROR(INDEX(종합!Z$3:Z$501,MATCH(ROW()-2,종합!$AB$3:$AB$501,0))&amp;"","")</f>
        <v>010-3516-6774</v>
      </c>
    </row>
    <row r="116" customFormat="false" ht="22.5" hidden="false" customHeight="true" outlineLevel="0" collapsed="false">
      <c r="A116" s="18" t="n">
        <f aca="false">IF(B116="","",ROW()-2)</f>
        <v>114</v>
      </c>
      <c r="B116" s="18" t="str">
        <f aca="false">IFERROR(INDEX(종합!B$3:B$501,MATCH(ROW()-2,종합!$AB$3:$AB$501,0))&amp;"","")</f>
        <v>주식회사 뤼튼테크놀로지스</v>
      </c>
      <c r="C116" s="18" t="str">
        <f aca="false">IFERROR(INDEX(종합!C$3:C$501,MATCH(ROW()-2,종합!$AB$3:$AB$501,0))&amp;"","")</f>
        <v>O</v>
      </c>
      <c r="D116" s="18" t="str">
        <f aca="false">IFERROR(INDEX(종합!D$3:D$501,MATCH(ROW()-2,종합!$AB$3:$AB$501,0))&amp;"","")</f>
        <v/>
      </c>
      <c r="E116" s="18" t="str">
        <f aca="false">IFERROR(INDEX(종합!E$3:E$501,MATCH(ROW()-2,종합!$AB$3:$AB$501,0))&amp;"","")</f>
        <v/>
      </c>
      <c r="F116" s="18" t="str">
        <f aca="false">IFERROR(INDEX(종합!F$3:F$501,MATCH(ROW()-2,종합!$AB$3:$AB$501,0))&amp;"","")</f>
        <v/>
      </c>
      <c r="G116" s="18" t="str">
        <f aca="false">IFERROR(INDEX(종합!G$3:G$501,MATCH(ROW()-2,종합!$AB$3:$AB$501,0))&amp;"","")</f>
        <v>중소기업</v>
      </c>
      <c r="H116" s="21" t="str">
        <f aca="false">IFERROR(INDEX(종합!H$3:H$501,MATCH(ROW()-2,종합!$AB$3:$AB$501,0))&amp;"","")</f>
        <v>202-81-67042</v>
      </c>
      <c r="I116" s="21" t="str">
        <f aca="false">IFERROR(INDEX(종합!I$3:I$501,MATCH(ROW()-2,종합!$AB$3:$AB$501,0))&amp;"","")</f>
        <v>이세영</v>
      </c>
      <c r="J116" s="21" t="str">
        <f aca="false">IFERROR(INDEX(종합!J$3:J$501,MATCH(ROW()-2,종합!$AB$3:$AB$501,0))&amp;"","")</f>
        <v>02-499-1885</v>
      </c>
      <c r="K116" s="21" t="str">
        <f aca="false">IFERROR(INDEX(종합!K$3:K$501,MATCH(ROW()-2,종합!$AB$3:$AB$501,0))&amp;"","")</f>
        <v>https://wrtn.io/</v>
      </c>
      <c r="L116" s="21" t="str">
        <f aca="false">IFERROR(INDEX(종합!L$3:L$501,MATCH(ROW()-2,종합!$AB$3:$AB$501,0))&amp;"","")</f>
        <v/>
      </c>
      <c r="M116" s="21" t="str">
        <f aca="false">IFERROR(INDEX(종합!M$3:M$501,MATCH(ROW()-2,종합!$AB$3:$AB$501,0))&amp;"","")</f>
        <v>서울특별시 강남구 서초대로 77길 17 BLOCK77 빌딩 14F</v>
      </c>
      <c r="N116" s="25" t="str">
        <f aca="false">IFERROR(INDEX(종합!N$3:N$501,MATCH(ROW()-2,종합!$AB$3:$AB$501,0))&amp;"","")</f>
        <v>AI 에이전트 개발 및 구축, AI 오케스트레이션, AICC 등</v>
      </c>
      <c r="O116" s="21" t="str">
        <f aca="false">IFERROR(INDEX(종합!O$3:O$501,MATCH(ROW()-2,종합!$AB$3:$AB$501,0))&amp;"","")</f>
        <v>이동규</v>
      </c>
      <c r="P116" s="21" t="str">
        <f aca="false">IFERROR(INDEX(종합!P$3:P$501,MATCH(ROW()-2,종합!$AB$3:$AB$501,0))&amp;"","")</f>
        <v>AX</v>
      </c>
      <c r="Q116" s="21" t="str">
        <f aca="false">IFERROR(INDEX(종합!Q$3:Q$501,MATCH(ROW()-2,종합!$AB$3:$AB$501,0))&amp;"","")</f>
        <v>리드</v>
      </c>
      <c r="R116" s="21" t="str">
        <f aca="false">IFERROR(INDEX(종합!R$3:R$501,MATCH(ROW()-2,종합!$AB$3:$AB$501,0))&amp;"","")</f>
        <v>02-3453-9980</v>
      </c>
      <c r="S116" s="21" t="str">
        <f aca="false">IFERROR(INDEX(종합!S$3:S$501,MATCH(ROW()-2,종합!$AB$3:$AB$501,0))&amp;"","")</f>
        <v>damon@wrtn.io</v>
      </c>
      <c r="T116" s="21" t="str">
        <f aca="false">IFERROR(INDEX(종합!T$3:T$501,MATCH(ROW()-2,종합!$AB$3:$AB$501,0))&amp;"","")</f>
        <v>010-4784-8691</v>
      </c>
      <c r="U116" s="21" t="str">
        <f aca="false">IFERROR(INDEX(종합!U$3:U$501,MATCH(ROW()-2,종합!$AB$3:$AB$501,0))&amp;"","")</f>
        <v>강민수</v>
      </c>
      <c r="V116" s="21" t="str">
        <f aca="false">IFERROR(INDEX(종합!V$3:V$501,MATCH(ROW()-2,종합!$AB$3:$AB$501,0))&amp;"","")</f>
        <v>기업개발실</v>
      </c>
      <c r="W116" s="21" t="str">
        <f aca="false">IFERROR(INDEX(종합!W$3:W$501,MATCH(ROW()-2,종합!$AB$3:$AB$501,0))&amp;"","")</f>
        <v>매니저</v>
      </c>
      <c r="X116" s="21" t="str">
        <f aca="false">IFERROR(INDEX(종합!X$3:X$501,MATCH(ROW()-2,종합!$AB$3:$AB$501,0))&amp;"","")</f>
        <v>02-3453-9980</v>
      </c>
      <c r="Y116" s="21" t="str">
        <f aca="false">IFERROR(INDEX(종합!Y$3:Y$501,MATCH(ROW()-2,종합!$AB$3:$AB$501,0))&amp;"","")</f>
        <v>blue@wrtn.io</v>
      </c>
      <c r="Z116" s="21" t="str">
        <f aca="false">IFERROR(INDEX(종합!Z$3:Z$501,MATCH(ROW()-2,종합!$AB$3:$AB$501,0))&amp;"","")</f>
        <v>010-7613-7680</v>
      </c>
    </row>
    <row r="117" customFormat="false" ht="22.5" hidden="false" customHeight="true" outlineLevel="0" collapsed="false">
      <c r="A117" s="18" t="n">
        <f aca="false">IF(B117="","",ROW()-2)</f>
        <v>115</v>
      </c>
      <c r="B117" s="18" t="str">
        <f aca="false">IFERROR(INDEX(종합!B$3:B$501,MATCH(ROW()-2,종합!$AB$3:$AB$501,0))&amp;"","")</f>
        <v>(주)아크릴</v>
      </c>
      <c r="C117" s="18" t="str">
        <f aca="false">IFERROR(INDEX(종합!C$3:C$501,MATCH(ROW()-2,종합!$AB$3:$AB$501,0))&amp;"","")</f>
        <v>O</v>
      </c>
      <c r="D117" s="18" t="str">
        <f aca="false">IFERROR(INDEX(종합!D$3:D$501,MATCH(ROW()-2,종합!$AB$3:$AB$501,0))&amp;"","")</f>
        <v/>
      </c>
      <c r="E117" s="18" t="str">
        <f aca="false">IFERROR(INDEX(종합!E$3:E$501,MATCH(ROW()-2,종합!$AB$3:$AB$501,0))&amp;"","")</f>
        <v/>
      </c>
      <c r="F117" s="18" t="str">
        <f aca="false">IFERROR(INDEX(종합!F$3:F$501,MATCH(ROW()-2,종합!$AB$3:$AB$501,0))&amp;"","")</f>
        <v/>
      </c>
      <c r="G117" s="18" t="str">
        <f aca="false">IFERROR(INDEX(종합!G$3:G$501,MATCH(ROW()-2,종합!$AB$3:$AB$501,0))&amp;"","")</f>
        <v>중소기업</v>
      </c>
      <c r="H117" s="21" t="str">
        <f aca="false">IFERROR(INDEX(종합!H$3:H$501,MATCH(ROW()-2,종합!$AB$3:$AB$501,0))&amp;"","")</f>
        <v>214-88-74981</v>
      </c>
      <c r="I117" s="21" t="str">
        <f aca="false">IFERROR(INDEX(종합!I$3:I$501,MATCH(ROW()-2,종합!$AB$3:$AB$501,0))&amp;"","")</f>
        <v>박외진</v>
      </c>
      <c r="J117" s="21" t="str">
        <f aca="false">IFERROR(INDEX(종합!J$3:J$501,MATCH(ROW()-2,종합!$AB$3:$AB$501,0))&amp;"","")</f>
        <v>02-557-4958</v>
      </c>
      <c r="K117" s="21" t="str">
        <f aca="false">IFERROR(INDEX(종합!K$3:K$501,MATCH(ROW()-2,종합!$AB$3:$AB$501,0))&amp;"","")</f>
        <v>www.acryl.ai</v>
      </c>
      <c r="L117" s="21" t="str">
        <f aca="false">IFERROR(INDEX(종합!L$3:L$501,MATCH(ROW()-2,종합!$AB$3:$AB$501,0))&amp;"","")</f>
        <v/>
      </c>
      <c r="M117" s="21" t="str">
        <f aca="false">IFERROR(INDEX(종합!M$3:M$501,MATCH(ROW()-2,종합!$AB$3:$AB$501,0))&amp;"","")</f>
        <v>서울시 강남구 선릉로 704 청담빌딩 7층</v>
      </c>
      <c r="N117" s="25" t="str">
        <f aca="false">IFERROR(INDEX(종합!N$3:N$501,MATCH(ROW()-2,종합!$AB$3:$AB$501,0))&amp;"","")</f>
        <v>조나단(AI인프라), 나디아(HIS), 에스더(SaMD)</v>
      </c>
      <c r="O117" s="21" t="str">
        <f aca="false">IFERROR(INDEX(종합!O$3:O$501,MATCH(ROW()-2,종합!$AB$3:$AB$501,0))&amp;"","")</f>
        <v>노상익</v>
      </c>
      <c r="P117" s="21" t="str">
        <f aca="false">IFERROR(INDEX(종합!P$3:P$501,MATCH(ROW()-2,종합!$AB$3:$AB$501,0))&amp;"","")</f>
        <v>테크세일즈그룹</v>
      </c>
      <c r="Q117" s="21" t="str">
        <f aca="false">IFERROR(INDEX(종합!Q$3:Q$501,MATCH(ROW()-2,종합!$AB$3:$AB$501,0))&amp;"","")</f>
        <v>전무이사</v>
      </c>
      <c r="R117" s="21" t="str">
        <f aca="false">IFERROR(INDEX(종합!R$3:R$501,MATCH(ROW()-2,종합!$AB$3:$AB$501,0))&amp;"","")</f>
        <v>010-9530-0330</v>
      </c>
      <c r="S117" s="21" t="str">
        <f aca="false">IFERROR(INDEX(종합!S$3:S$501,MATCH(ROW()-2,종합!$AB$3:$AB$501,0))&amp;"","")</f>
        <v>samuel@acryl.ai</v>
      </c>
      <c r="T117" s="21" t="str">
        <f aca="false">IFERROR(INDEX(종합!T$3:T$501,MATCH(ROW()-2,종합!$AB$3:$AB$501,0))&amp;"","")</f>
        <v>010-9530-0330</v>
      </c>
      <c r="U117" s="21" t="str">
        <f aca="false">IFERROR(INDEX(종합!U$3:U$501,MATCH(ROW()-2,종합!$AB$3:$AB$501,0))&amp;"","")</f>
        <v>양재혁</v>
      </c>
      <c r="V117" s="21" t="str">
        <f aca="false">IFERROR(INDEX(종합!V$3:V$501,MATCH(ROW()-2,종합!$AB$3:$AB$501,0))&amp;"","")</f>
        <v>솔루션세일즈팀</v>
      </c>
      <c r="W117" s="21" t="str">
        <f aca="false">IFERROR(INDEX(종합!W$3:W$501,MATCH(ROW()-2,종합!$AB$3:$AB$501,0))&amp;"","")</f>
        <v>부장</v>
      </c>
      <c r="X117" s="21" t="str">
        <f aca="false">IFERROR(INDEX(종합!X$3:X$501,MATCH(ROW()-2,종합!$AB$3:$AB$501,0))&amp;"","")</f>
        <v>010-9949-0296</v>
      </c>
      <c r="Y117" s="21" t="str">
        <f aca="false">IFERROR(INDEX(종합!Y$3:Y$501,MATCH(ROW()-2,종합!$AB$3:$AB$501,0))&amp;"","")</f>
        <v>jerry2@acryl.ai</v>
      </c>
      <c r="Z117" s="21" t="str">
        <f aca="false">IFERROR(INDEX(종합!Z$3:Z$501,MATCH(ROW()-2,종합!$AB$3:$AB$501,0))&amp;"","")</f>
        <v>010-9949-0296</v>
      </c>
    </row>
    <row r="118" customFormat="false" ht="22.5" hidden="false" customHeight="true" outlineLevel="0" collapsed="false">
      <c r="A118" s="18" t="n">
        <f aca="false">IF(B118="","",ROW()-2)</f>
        <v>116</v>
      </c>
      <c r="B118" s="18" t="str">
        <f aca="false">IFERROR(INDEX(종합!B$3:B$501,MATCH(ROW()-2,종합!$AB$3:$AB$501,0))&amp;"","")</f>
        <v>(주)코너스</v>
      </c>
      <c r="C118" s="18" t="str">
        <f aca="false">IFERROR(INDEX(종합!C$3:C$501,MATCH(ROW()-2,종합!$AB$3:$AB$501,0))&amp;"","")</f>
        <v>O</v>
      </c>
      <c r="D118" s="18" t="str">
        <f aca="false">IFERROR(INDEX(종합!D$3:D$501,MATCH(ROW()-2,종합!$AB$3:$AB$501,0))&amp;"","")</f>
        <v/>
      </c>
      <c r="E118" s="18" t="str">
        <f aca="false">IFERROR(INDEX(종합!E$3:E$501,MATCH(ROW()-2,종합!$AB$3:$AB$501,0))&amp;"","")</f>
        <v/>
      </c>
      <c r="F118" s="18" t="str">
        <f aca="false">IFERROR(INDEX(종합!F$3:F$501,MATCH(ROW()-2,종합!$AB$3:$AB$501,0))&amp;"","")</f>
        <v/>
      </c>
      <c r="G118" s="18" t="str">
        <f aca="false">IFERROR(INDEX(종합!G$3:G$501,MATCH(ROW()-2,종합!$AB$3:$AB$501,0))&amp;"","")</f>
        <v>중소기업</v>
      </c>
      <c r="H118" s="21" t="str">
        <f aca="false">IFERROR(INDEX(종합!H$3:H$501,MATCH(ROW()-2,종합!$AB$3:$AB$501,0))&amp;"","")</f>
        <v>220-88-92965</v>
      </c>
      <c r="I118" s="21" t="str">
        <f aca="false">IFERROR(INDEX(종합!I$3:I$501,MATCH(ROW()-2,종합!$AB$3:$AB$501,0))&amp;"","")</f>
        <v>김동오</v>
      </c>
      <c r="J118" s="21" t="str">
        <f aca="false">IFERROR(INDEX(종합!J$3:J$501,MATCH(ROW()-2,종합!$AB$3:$AB$501,0))&amp;"","")</f>
        <v>02-518-1047</v>
      </c>
      <c r="K118" s="21" t="str">
        <f aca="false">IFERROR(INDEX(종합!K$3:K$501,MATCH(ROW()-2,종합!$AB$3:$AB$501,0))&amp;"","")</f>
        <v>www.corners.co.kr</v>
      </c>
      <c r="L118" s="21" t="str">
        <f aca="false">IFERROR(INDEX(종합!L$3:L$501,MATCH(ROW()-2,종합!$AB$3:$AB$501,0))&amp;"","")</f>
        <v/>
      </c>
      <c r="M118" s="21" t="str">
        <f aca="false">IFERROR(INDEX(종합!M$3:M$501,MATCH(ROW()-2,종합!$AB$3:$AB$501,0))&amp;"","")</f>
        <v>서울시 성동구 상원1길 26, 806호 (성수동1가, 서울숲A타워)</v>
      </c>
      <c r="N118" s="25" t="str">
        <f aca="false">IFERROR(INDEX(종합!N$3:N$501,MATCH(ROW()-2,종합!$AB$3:$AB$501,0))&amp;"","")</f>
        <v>재난안전 관제 모니터링, 대피경로 안내 등</v>
      </c>
      <c r="O118" s="21" t="str">
        <f aca="false">IFERROR(INDEX(종합!O$3:O$501,MATCH(ROW()-2,종합!$AB$3:$AB$501,0))&amp;"","")</f>
        <v>정민하</v>
      </c>
      <c r="P118" s="21" t="str">
        <f aca="false">IFERROR(INDEX(종합!P$3:P$501,MATCH(ROW()-2,종합!$AB$3:$AB$501,0))&amp;"","")</f>
        <v>AI선행개발실</v>
      </c>
      <c r="Q118" s="21" t="str">
        <f aca="false">IFERROR(INDEX(종합!Q$3:Q$501,MATCH(ROW()-2,종합!$AB$3:$AB$501,0))&amp;"","")</f>
        <v>전무/실장</v>
      </c>
      <c r="R118" s="21" t="str">
        <f aca="false">IFERROR(INDEX(종합!R$3:R$501,MATCH(ROW()-2,종합!$AB$3:$AB$501,0))&amp;"","")</f>
        <v>010-6390-3363</v>
      </c>
      <c r="S118" s="21" t="str">
        <f aca="false">IFERROR(INDEX(종합!S$3:S$501,MATCH(ROW()-2,종합!$AB$3:$AB$501,0))&amp;"","")</f>
        <v>pariscuba@corners.co.kr</v>
      </c>
      <c r="T118" s="21" t="str">
        <f aca="false">IFERROR(INDEX(종합!T$3:T$501,MATCH(ROW()-2,종합!$AB$3:$AB$501,0))&amp;"","")</f>
        <v>010-6390-3363</v>
      </c>
      <c r="U118" s="21" t="str">
        <f aca="false">IFERROR(INDEX(종합!U$3:U$501,MATCH(ROW()-2,종합!$AB$3:$AB$501,0))&amp;"","")</f>
        <v>유민명</v>
      </c>
      <c r="V118" s="21" t="str">
        <f aca="false">IFERROR(INDEX(종합!V$3:V$501,MATCH(ROW()-2,종합!$AB$3:$AB$501,0))&amp;"","")</f>
        <v>AI선행개발실</v>
      </c>
      <c r="W118" s="21" t="str">
        <f aca="false">IFERROR(INDEX(종합!W$3:W$501,MATCH(ROW()-2,종합!$AB$3:$AB$501,0))&amp;"","")</f>
        <v>팀장/팀장</v>
      </c>
      <c r="X118" s="21" t="str">
        <f aca="false">IFERROR(INDEX(종합!X$3:X$501,MATCH(ROW()-2,종합!$AB$3:$AB$501,0))&amp;"","")</f>
        <v>010-3274-4885</v>
      </c>
      <c r="Y118" s="21" t="str">
        <f aca="false">IFERROR(INDEX(종합!Y$3:Y$501,MATCH(ROW()-2,종합!$AB$3:$AB$501,0))&amp;"","")</f>
        <v>minyoung@corners.co.kr</v>
      </c>
      <c r="Z118" s="21" t="str">
        <f aca="false">IFERROR(INDEX(종합!Z$3:Z$501,MATCH(ROW()-2,종합!$AB$3:$AB$501,0))&amp;"","")</f>
        <v>010-3274-4885</v>
      </c>
    </row>
    <row r="119" customFormat="false" ht="22.5" hidden="false" customHeight="true" outlineLevel="0" collapsed="false">
      <c r="A119" s="18" t="n">
        <f aca="false">IF(B119="","",ROW()-2)</f>
        <v>117</v>
      </c>
      <c r="B119" s="18" t="str">
        <f aca="false">IFERROR(INDEX(종합!B$3:B$501,MATCH(ROW()-2,종합!$AB$3:$AB$501,0))&amp;"","")</f>
        <v>주식회사 유모스원</v>
      </c>
      <c r="C119" s="18" t="str">
        <f aca="false">IFERROR(INDEX(종합!C$3:C$501,MATCH(ROW()-2,종합!$AB$3:$AB$501,0))&amp;"","")</f>
        <v>O</v>
      </c>
      <c r="D119" s="18" t="str">
        <f aca="false">IFERROR(INDEX(종합!D$3:D$501,MATCH(ROW()-2,종합!$AB$3:$AB$501,0))&amp;"","")</f>
        <v/>
      </c>
      <c r="E119" s="18" t="str">
        <f aca="false">IFERROR(INDEX(종합!E$3:E$501,MATCH(ROW()-2,종합!$AB$3:$AB$501,0))&amp;"","")</f>
        <v/>
      </c>
      <c r="F119" s="18" t="str">
        <f aca="false">IFERROR(INDEX(종합!F$3:F$501,MATCH(ROW()-2,종합!$AB$3:$AB$501,0))&amp;"","")</f>
        <v/>
      </c>
      <c r="G119" s="18" t="str">
        <f aca="false">IFERROR(INDEX(종합!G$3:G$501,MATCH(ROW()-2,종합!$AB$3:$AB$501,0))&amp;"","")</f>
        <v>중소기업</v>
      </c>
      <c r="H119" s="21" t="str">
        <f aca="false">IFERROR(INDEX(종합!H$3:H$501,MATCH(ROW()-2,종합!$AB$3:$AB$501,0))&amp;"","")</f>
        <v>220-87-34105</v>
      </c>
      <c r="I119" s="21" t="str">
        <f aca="false">IFERROR(INDEX(종합!I$3:I$501,MATCH(ROW()-2,종합!$AB$3:$AB$501,0))&amp;"","")</f>
        <v>임상석</v>
      </c>
      <c r="J119" s="21" t="str">
        <f aca="false">IFERROR(INDEX(종합!J$3:J$501,MATCH(ROW()-2,종합!$AB$3:$AB$501,0))&amp;"","")</f>
        <v>1566-6458</v>
      </c>
      <c r="K119" s="21" t="str">
        <f aca="false">IFERROR(INDEX(종합!K$3:K$501,MATCH(ROW()-2,종합!$AB$3:$AB$501,0))&amp;"","")</f>
        <v>www.umosone.ai</v>
      </c>
      <c r="L119" s="21" t="str">
        <f aca="false">IFERROR(INDEX(종합!L$3:L$501,MATCH(ROW()-2,종합!$AB$3:$AB$501,0))&amp;"","")</f>
        <v/>
      </c>
      <c r="M119" s="21" t="str">
        <f aca="false">IFERROR(INDEX(종합!M$3:M$501,MATCH(ROW()-2,종합!$AB$3:$AB$501,0))&amp;"","")</f>
        <v>서울 특별시 서초구 서초대로 77길 55. ㄱ층</v>
      </c>
      <c r="N119" s="25" t="str">
        <f aca="false">IFERROR(INDEX(종합!N$3:N$501,MATCH(ROW()-2,종합!$AB$3:$AB$501,0))&amp;"","")</f>
        <v>물류, 모빌리티 온톨리지 AI 시스템</v>
      </c>
      <c r="O119" s="21" t="str">
        <f aca="false">IFERROR(INDEX(종합!O$3:O$501,MATCH(ROW()-2,종합!$AB$3:$AB$501,0))&amp;"","")</f>
        <v>임상석</v>
      </c>
      <c r="P119" s="21" t="str">
        <f aca="false">IFERROR(INDEX(종합!P$3:P$501,MATCH(ROW()-2,종합!$AB$3:$AB$501,0))&amp;"","")</f>
        <v>개발 그룹</v>
      </c>
      <c r="Q119" s="21" t="str">
        <f aca="false">IFERROR(INDEX(종합!Q$3:Q$501,MATCH(ROW()-2,종합!$AB$3:$AB$501,0))&amp;"","")</f>
        <v>CTO</v>
      </c>
      <c r="R119" s="21" t="str">
        <f aca="false">IFERROR(INDEX(종합!R$3:R$501,MATCH(ROW()-2,종합!$AB$3:$AB$501,0))&amp;"","")</f>
        <v>010-2208-7055</v>
      </c>
      <c r="S119" s="21" t="str">
        <f aca="false">IFERROR(INDEX(종합!S$3:S$501,MATCH(ROW()-2,종합!$AB$3:$AB$501,0))&amp;"","")</f>
        <v>sangseok.lim@umosone.ai</v>
      </c>
      <c r="T119" s="21" t="str">
        <f aca="false">IFERROR(INDEX(종합!T$3:T$501,MATCH(ROW()-2,종합!$AB$3:$AB$501,0))&amp;"","")</f>
        <v>010-2208-7055</v>
      </c>
      <c r="U119" s="21" t="str">
        <f aca="false">IFERROR(INDEX(종합!U$3:U$501,MATCH(ROW()-2,종합!$AB$3:$AB$501,0))&amp;"","")</f>
        <v>이민식</v>
      </c>
      <c r="V119" s="21" t="str">
        <f aca="false">IFERROR(INDEX(종합!V$3:V$501,MATCH(ROW()-2,종합!$AB$3:$AB$501,0))&amp;"","")</f>
        <v>AI 개발팀</v>
      </c>
      <c r="W119" s="21" t="str">
        <f aca="false">IFERROR(INDEX(종합!W$3:W$501,MATCH(ROW()-2,종합!$AB$3:$AB$501,0))&amp;"","")</f>
        <v>연구원</v>
      </c>
      <c r="X119" s="21" t="str">
        <f aca="false">IFERROR(INDEX(종합!X$3:X$501,MATCH(ROW()-2,종합!$AB$3:$AB$501,0))&amp;"","")</f>
        <v>010-4680-3587</v>
      </c>
      <c r="Y119" s="21" t="str">
        <f aca="false">IFERROR(INDEX(종합!Y$3:Y$501,MATCH(ROW()-2,종합!$AB$3:$AB$501,0))&amp;"","")</f>
        <v>minsik.lii@umosone.ai</v>
      </c>
      <c r="Z119" s="21" t="str">
        <f aca="false">IFERROR(INDEX(종합!Z$3:Z$501,MATCH(ROW()-2,종합!$AB$3:$AB$501,0))&amp;"","")</f>
        <v>010-4680-3587</v>
      </c>
    </row>
    <row r="120" customFormat="false" ht="22.5" hidden="false" customHeight="true" outlineLevel="0" collapsed="false">
      <c r="A120" s="18" t="n">
        <f aca="false">IF(B120="","",ROW()-2)</f>
        <v>118</v>
      </c>
      <c r="B120" s="18" t="str">
        <f aca="false">IFERROR(INDEX(종합!B$3:B$501,MATCH(ROW()-2,종합!$AB$3:$AB$501,0))&amp;"","")</f>
        <v>삼보컴퓨터</v>
      </c>
      <c r="C120" s="18" t="str">
        <f aca="false">IFERROR(INDEX(종합!C$3:C$501,MATCH(ROW()-2,종합!$AB$3:$AB$501,0))&amp;"","")</f>
        <v>O</v>
      </c>
      <c r="D120" s="18" t="str">
        <f aca="false">IFERROR(INDEX(종합!D$3:D$501,MATCH(ROW()-2,종합!$AB$3:$AB$501,0))&amp;"","")</f>
        <v/>
      </c>
      <c r="E120" s="18" t="str">
        <f aca="false">IFERROR(INDEX(종합!E$3:E$501,MATCH(ROW()-2,종합!$AB$3:$AB$501,0))&amp;"","")</f>
        <v/>
      </c>
      <c r="F120" s="18" t="str">
        <f aca="false">IFERROR(INDEX(종합!F$3:F$501,MATCH(ROW()-2,종합!$AB$3:$AB$501,0))&amp;"","")</f>
        <v/>
      </c>
      <c r="G120" s="18" t="str">
        <f aca="false">IFERROR(INDEX(종합!G$3:G$501,MATCH(ROW()-2,종합!$AB$3:$AB$501,0))&amp;"","")</f>
        <v>중견기업</v>
      </c>
      <c r="H120" s="21" t="str">
        <f aca="false">IFERROR(INDEX(종합!H$3:H$501,MATCH(ROW()-2,종합!$AB$3:$AB$501,0))&amp;"","")</f>
        <v>134-87-00681</v>
      </c>
      <c r="I120" s="21" t="str">
        <f aca="false">IFERROR(INDEX(종합!I$3:I$501,MATCH(ROW()-2,종합!$AB$3:$AB$501,0))&amp;"","")</f>
        <v>지승현</v>
      </c>
      <c r="J120" s="21" t="str">
        <f aca="false">IFERROR(INDEX(종합!J$3:J$501,MATCH(ROW()-2,종합!$AB$3:$AB$501,0))&amp;"","")</f>
        <v>1666-3510</v>
      </c>
      <c r="K120" s="21" t="str">
        <f aca="false">IFERROR(INDEX(종합!K$3:K$501,MATCH(ROW()-2,종합!$AB$3:$AB$501,0))&amp;"","")</f>
        <v>https://www.trigem.co.kr/</v>
      </c>
      <c r="L120" s="21" t="str">
        <f aca="false">IFERROR(INDEX(종합!L$3:L$501,MATCH(ROW()-2,종합!$AB$3:$AB$501,0))&amp;"","")</f>
        <v/>
      </c>
      <c r="M120" s="21" t="str">
        <f aca="false">IFERROR(INDEX(종합!M$3:M$501,MATCH(ROW()-2,종합!$AB$3:$AB$501,0))&amp;"","")</f>
        <v>경기도 안산시 단원구 능안로 98-12(신길동)</v>
      </c>
      <c r="N120" s="25" t="str">
        <f aca="false">IFERROR(INDEX(종합!N$3:N$501,MATCH(ROW()-2,종합!$AB$3:$AB$501,0))&amp;"","")</f>
        <v>온디바이스 AI PC, TG AI Powered station</v>
      </c>
      <c r="O120" s="21" t="str">
        <f aca="false">IFERROR(INDEX(종합!O$3:O$501,MATCH(ROW()-2,종합!$AB$3:$AB$501,0))&amp;"","")</f>
        <v>정호섭</v>
      </c>
      <c r="P120" s="21" t="str">
        <f aca="false">IFERROR(INDEX(종합!P$3:P$501,MATCH(ROW()-2,종합!$AB$3:$AB$501,0))&amp;"","")</f>
        <v>제조혁신실</v>
      </c>
      <c r="Q120" s="21" t="str">
        <f aca="false">IFERROR(INDEX(종합!Q$3:Q$501,MATCH(ROW()-2,종합!$AB$3:$AB$501,0))&amp;"","")</f>
        <v>전무/실장</v>
      </c>
      <c r="R120" s="21" t="str">
        <f aca="false">IFERROR(INDEX(종합!R$3:R$501,MATCH(ROW()-2,종합!$AB$3:$AB$501,0))&amp;"","")</f>
        <v>031-489-3501</v>
      </c>
      <c r="S120" s="21" t="str">
        <f aca="false">IFERROR(INDEX(종합!S$3:S$501,MATCH(ROW()-2,종합!$AB$3:$AB$501,0))&amp;"","")</f>
        <v>hschung@trigem.co.kr</v>
      </c>
      <c r="T120" s="21" t="str">
        <f aca="false">IFERROR(INDEX(종합!T$3:T$501,MATCH(ROW()-2,종합!$AB$3:$AB$501,0))&amp;"","")</f>
        <v>010-2279-1340</v>
      </c>
      <c r="U120" s="21" t="str">
        <f aca="false">IFERROR(INDEX(종합!U$3:U$501,MATCH(ROW()-2,종합!$AB$3:$AB$501,0))&amp;"","")</f>
        <v>박재만</v>
      </c>
      <c r="V120" s="21" t="str">
        <f aca="false">IFERROR(INDEX(종합!V$3:V$501,MATCH(ROW()-2,종합!$AB$3:$AB$501,0))&amp;"","")</f>
        <v>R&amp;D팀</v>
      </c>
      <c r="W120" s="21" t="str">
        <f aca="false">IFERROR(INDEX(종합!W$3:W$501,MATCH(ROW()-2,종합!$AB$3:$AB$501,0))&amp;"","")</f>
        <v>부장/책임연구원</v>
      </c>
      <c r="X120" s="21" t="str">
        <f aca="false">IFERROR(INDEX(종합!X$3:X$501,MATCH(ROW()-2,종합!$AB$3:$AB$501,0))&amp;"","")</f>
        <v>031-489-3092</v>
      </c>
      <c r="Y120" s="21" t="str">
        <f aca="false">IFERROR(INDEX(종합!Y$3:Y$501,MATCH(ROW()-2,종합!$AB$3:$AB$501,0))&amp;"","")</f>
        <v>jmpark@trigem.co.kr</v>
      </c>
      <c r="Z120" s="21" t="str">
        <f aca="false">IFERROR(INDEX(종합!Z$3:Z$501,MATCH(ROW()-2,종합!$AB$3:$AB$501,0))&amp;"","")</f>
        <v>010-4107-7235</v>
      </c>
    </row>
    <row r="121" customFormat="false" ht="22.5" hidden="false" customHeight="true" outlineLevel="0" collapsed="false">
      <c r="A121" s="18" t="n">
        <f aca="false">IF(B121="","",ROW()-2)</f>
        <v>119</v>
      </c>
      <c r="B121" s="18" t="str">
        <f aca="false">IFERROR(INDEX(종합!B$3:B$501,MATCH(ROW()-2,종합!$AB$3:$AB$501,0))&amp;"","")</f>
        <v>(주)시스원</v>
      </c>
      <c r="C121" s="18" t="str">
        <f aca="false">IFERROR(INDEX(종합!C$3:C$501,MATCH(ROW()-2,종합!$AB$3:$AB$501,0))&amp;"","")</f>
        <v>O</v>
      </c>
      <c r="D121" s="18" t="str">
        <f aca="false">IFERROR(INDEX(종합!D$3:D$501,MATCH(ROW()-2,종합!$AB$3:$AB$501,0))&amp;"","")</f>
        <v>O</v>
      </c>
      <c r="E121" s="18" t="str">
        <f aca="false">IFERROR(INDEX(종합!E$3:E$501,MATCH(ROW()-2,종합!$AB$3:$AB$501,0))&amp;"","")</f>
        <v/>
      </c>
      <c r="F121" s="18" t="str">
        <f aca="false">IFERROR(INDEX(종합!F$3:F$501,MATCH(ROW()-2,종합!$AB$3:$AB$501,0))&amp;"","")</f>
        <v/>
      </c>
      <c r="G121" s="18" t="str">
        <f aca="false">IFERROR(INDEX(종합!G$3:G$501,MATCH(ROW()-2,종합!$AB$3:$AB$501,0))&amp;"","")</f>
        <v>중소기업</v>
      </c>
      <c r="H121" s="21" t="str">
        <f aca="false">IFERROR(INDEX(종합!H$3:H$501,MATCH(ROW()-2,종합!$AB$3:$AB$501,0))&amp;"","")</f>
        <v>106-81-17749</v>
      </c>
      <c r="I121" s="21" t="str">
        <f aca="false">IFERROR(INDEX(종합!I$3:I$501,MATCH(ROW()-2,종합!$AB$3:$AB$501,0))&amp;"","")</f>
        <v>김영주</v>
      </c>
      <c r="J121" s="21" t="str">
        <f aca="false">IFERROR(INDEX(종합!J$3:J$501,MATCH(ROW()-2,종합!$AB$3:$AB$501,0))&amp;"","")</f>
        <v>031-778-8624</v>
      </c>
      <c r="K121" s="21" t="str">
        <f aca="false">IFERROR(INDEX(종합!K$3:K$501,MATCH(ROW()-2,종합!$AB$3:$AB$501,0))&amp;"","")</f>
        <v>www.sysone.co.kr</v>
      </c>
      <c r="L121" s="21" t="str">
        <f aca="false">IFERROR(INDEX(종합!L$3:L$501,MATCH(ROW()-2,종합!$AB$3:$AB$501,0))&amp;"","")</f>
        <v>hspark@sysone.co.kr</v>
      </c>
      <c r="M121" s="21" t="str">
        <f aca="false">IFERROR(INDEX(종합!M$3:M$501,MATCH(ROW()-2,종합!$AB$3:$AB$501,0))&amp;"","")</f>
        <v>서울특별시 강서구 마곡중앙14로 26</v>
      </c>
      <c r="N121" s="25" t="str">
        <f aca="false">IFERROR(INDEX(종합!N$3:N$501,MATCH(ROW()-2,종합!$AB$3:$AB$501,0))&amp;"","")</f>
        <v>AI에이전트 플랫폼</v>
      </c>
      <c r="O121" s="21" t="str">
        <f aca="false">IFERROR(INDEX(종합!O$3:O$501,MATCH(ROW()-2,종합!$AB$3:$AB$501,0))&amp;"","")</f>
        <v>노상록</v>
      </c>
      <c r="P121" s="21" t="str">
        <f aca="false">IFERROR(INDEX(종합!P$3:P$501,MATCH(ROW()-2,종합!$AB$3:$AB$501,0))&amp;"","")</f>
        <v>AX융합실</v>
      </c>
      <c r="Q121" s="21" t="str">
        <f aca="false">IFERROR(INDEX(종합!Q$3:Q$501,MATCH(ROW()-2,종합!$AB$3:$AB$501,0))&amp;"","")</f>
        <v>이사</v>
      </c>
      <c r="R121" s="21" t="str">
        <f aca="false">IFERROR(INDEX(종합!R$3:R$501,MATCH(ROW()-2,종합!$AB$3:$AB$501,0))&amp;"","")</f>
        <v>010-4735-1030</v>
      </c>
      <c r="S121" s="21" t="str">
        <f aca="false">IFERROR(INDEX(종합!S$3:S$501,MATCH(ROW()-2,종합!$AB$3:$AB$501,0))&amp;"","")</f>
        <v>sangrok@sysone.co.kr</v>
      </c>
      <c r="T121" s="21" t="str">
        <f aca="false">IFERROR(INDEX(종합!T$3:T$501,MATCH(ROW()-2,종합!$AB$3:$AB$501,0))&amp;"","")</f>
        <v>010-4735-1030</v>
      </c>
      <c r="U121" s="21" t="str">
        <f aca="false">IFERROR(INDEX(종합!U$3:U$501,MATCH(ROW()-2,종합!$AB$3:$AB$501,0))&amp;"","")</f>
        <v>박희승</v>
      </c>
      <c r="V121" s="21" t="str">
        <f aca="false">IFERROR(INDEX(종합!V$3:V$501,MATCH(ROW()-2,종합!$AB$3:$AB$501,0))&amp;"","")</f>
        <v>AX융합실</v>
      </c>
      <c r="W121" s="21" t="str">
        <f aca="false">IFERROR(INDEX(종합!W$3:W$501,MATCH(ROW()-2,종합!$AB$3:$AB$501,0))&amp;"","")</f>
        <v>이사</v>
      </c>
      <c r="X121" s="21" t="str">
        <f aca="false">IFERROR(INDEX(종합!X$3:X$501,MATCH(ROW()-2,종합!$AB$3:$AB$501,0))&amp;"","")</f>
        <v>031-778-8624</v>
      </c>
      <c r="Y121" s="21" t="str">
        <f aca="false">IFERROR(INDEX(종합!Y$3:Y$501,MATCH(ROW()-2,종합!$AB$3:$AB$501,0))&amp;"","")</f>
        <v>hspark@sysone.co.kr</v>
      </c>
      <c r="Z121" s="21" t="str">
        <f aca="false">IFERROR(INDEX(종합!Z$3:Z$501,MATCH(ROW()-2,종합!$AB$3:$AB$501,0))&amp;"","")</f>
        <v>010-4858-5028</v>
      </c>
    </row>
    <row r="122" customFormat="false" ht="22.5" hidden="false" customHeight="true" outlineLevel="0" collapsed="false">
      <c r="A122" s="18" t="n">
        <f aca="false">IF(B122="","",ROW()-2)</f>
        <v>120</v>
      </c>
      <c r="B122" s="18" t="str">
        <f aca="false">IFERROR(INDEX(종합!B$3:B$501,MATCH(ROW()-2,종합!$AB$3:$AB$501,0))&amp;"","")</f>
        <v>오픈랩스</v>
      </c>
      <c r="C122" s="18" t="str">
        <f aca="false">IFERROR(INDEX(종합!C$3:C$501,MATCH(ROW()-2,종합!$AB$3:$AB$501,0))&amp;"","")</f>
        <v>O</v>
      </c>
      <c r="D122" s="18" t="str">
        <f aca="false">IFERROR(INDEX(종합!D$3:D$501,MATCH(ROW()-2,종합!$AB$3:$AB$501,0))&amp;"","")</f>
        <v/>
      </c>
      <c r="E122" s="18" t="str">
        <f aca="false">IFERROR(INDEX(종합!E$3:E$501,MATCH(ROW()-2,종합!$AB$3:$AB$501,0))&amp;"","")</f>
        <v/>
      </c>
      <c r="F122" s="18" t="str">
        <f aca="false">IFERROR(INDEX(종합!F$3:F$501,MATCH(ROW()-2,종합!$AB$3:$AB$501,0))&amp;"","")</f>
        <v/>
      </c>
      <c r="G122" s="18" t="str">
        <f aca="false">IFERROR(INDEX(종합!G$3:G$501,MATCH(ROW()-2,종합!$AB$3:$AB$501,0))&amp;"","")</f>
        <v>중소기업</v>
      </c>
      <c r="H122" s="21" t="str">
        <f aca="false">IFERROR(INDEX(종합!H$3:H$501,MATCH(ROW()-2,종합!$AB$3:$AB$501,0))&amp;"","")</f>
        <v>645-86-02159</v>
      </c>
      <c r="I122" s="21" t="str">
        <f aca="false">IFERROR(INDEX(종합!I$3:I$501,MATCH(ROW()-2,종합!$AB$3:$AB$501,0))&amp;"","")</f>
        <v>하창석</v>
      </c>
      <c r="J122" s="21" t="str">
        <f aca="false">IFERROR(INDEX(종합!J$3:J$501,MATCH(ROW()-2,종합!$AB$3:$AB$501,0))&amp;"","")</f>
        <v>070-4265-4030</v>
      </c>
      <c r="K122" s="21" t="str">
        <f aca="false">IFERROR(INDEX(종합!K$3:K$501,MATCH(ROW()-2,종합!$AB$3:$AB$501,0))&amp;"","")</f>
        <v>https://openlabs.co.kr</v>
      </c>
      <c r="L122" s="21" t="str">
        <f aca="false">IFERROR(INDEX(종합!L$3:L$501,MATCH(ROW()-2,종합!$AB$3:$AB$501,0))&amp;"","")</f>
        <v>sales@openlabs.co.kr</v>
      </c>
      <c r="M122" s="21" t="str">
        <f aca="false">IFERROR(INDEX(종합!M$3:M$501,MATCH(ROW()-2,종합!$AB$3:$AB$501,0))&amp;"","")</f>
        <v>경기 성남시 분당구 서현동 274-4 6층 601호</v>
      </c>
      <c r="N122" s="25" t="str">
        <f aca="false">IFERROR(INDEX(종합!N$3:N$501,MATCH(ROW()-2,종합!$AB$3:$AB$501,0))&amp;"","")</f>
        <v>개발의 전 과정을 자동화 하는 기업용 Agentic AI</v>
      </c>
      <c r="O122" s="21" t="str">
        <f aca="false">IFERROR(INDEX(종합!O$3:O$501,MATCH(ROW()-2,종합!$AB$3:$AB$501,0))&amp;"","")</f>
        <v>하창석</v>
      </c>
      <c r="P122" s="21" t="str">
        <f aca="false">IFERROR(INDEX(종합!P$3:P$501,MATCH(ROW()-2,종합!$AB$3:$AB$501,0))&amp;"","")</f>
        <v>영업관리/대표이사</v>
      </c>
      <c r="Q122" s="21" t="str">
        <f aca="false">IFERROR(INDEX(종합!Q$3:Q$501,MATCH(ROW()-2,종합!$AB$3:$AB$501,0))&amp;"","")</f>
        <v>대표이사</v>
      </c>
      <c r="R122" s="21" t="str">
        <f aca="false">IFERROR(INDEX(종합!R$3:R$501,MATCH(ROW()-2,종합!$AB$3:$AB$501,0))&amp;"","")</f>
        <v>010-3029-2933</v>
      </c>
      <c r="S122" s="21" t="str">
        <f aca="false">IFERROR(INDEX(종합!S$3:S$501,MATCH(ROW()-2,종합!$AB$3:$AB$501,0))&amp;"","")</f>
        <v>hacs@openlabs.co.kr</v>
      </c>
      <c r="T122" s="21" t="str">
        <f aca="false">IFERROR(INDEX(종합!T$3:T$501,MATCH(ROW()-2,종합!$AB$3:$AB$501,0))&amp;"","")</f>
        <v>010-3029-2933</v>
      </c>
      <c r="U122" s="21" t="str">
        <f aca="false">IFERROR(INDEX(종합!U$3:U$501,MATCH(ROW()-2,종합!$AB$3:$AB$501,0))&amp;"","")</f>
        <v>박가연</v>
      </c>
      <c r="V122" s="21" t="str">
        <f aca="false">IFERROR(INDEX(종합!V$3:V$501,MATCH(ROW()-2,종합!$AB$3:$AB$501,0))&amp;"","")</f>
        <v>업스트림팀</v>
      </c>
      <c r="W122" s="21" t="str">
        <f aca="false">IFERROR(INDEX(종합!W$3:W$501,MATCH(ROW()-2,종합!$AB$3:$AB$501,0))&amp;"","")</f>
        <v>수석</v>
      </c>
      <c r="X122" s="21" t="str">
        <f aca="false">IFERROR(INDEX(종합!X$3:X$501,MATCH(ROW()-2,종합!$AB$3:$AB$501,0))&amp;"","")</f>
        <v>010-2736-8470</v>
      </c>
      <c r="Y122" s="21" t="str">
        <f aca="false">IFERROR(INDEX(종합!Y$3:Y$501,MATCH(ROW()-2,종합!$AB$3:$AB$501,0))&amp;"","")</f>
        <v>bella8470@openlabs.co.kr</v>
      </c>
      <c r="Z122" s="21" t="str">
        <f aca="false">IFERROR(INDEX(종합!Z$3:Z$501,MATCH(ROW()-2,종합!$AB$3:$AB$501,0))&amp;"","")</f>
        <v>010-2736-8470</v>
      </c>
    </row>
    <row r="123" customFormat="false" ht="22.5" hidden="false" customHeight="true" outlineLevel="0" collapsed="false">
      <c r="A123" s="18" t="n">
        <f aca="false">IF(B123="","",ROW()-2)</f>
        <v>121</v>
      </c>
      <c r="B123" s="18" t="str">
        <f aca="false">IFERROR(INDEX(종합!B$3:B$501,MATCH(ROW()-2,종합!$AB$3:$AB$501,0))&amp;"","")</f>
        <v>LG유플러스</v>
      </c>
      <c r="C123" s="18" t="str">
        <f aca="false">IFERROR(INDEX(종합!C$3:C$501,MATCH(ROW()-2,종합!$AB$3:$AB$501,0))&amp;"","")</f>
        <v>O</v>
      </c>
      <c r="D123" s="18" t="str">
        <f aca="false">IFERROR(INDEX(종합!D$3:D$501,MATCH(ROW()-2,종합!$AB$3:$AB$501,0))&amp;"","")</f>
        <v/>
      </c>
      <c r="E123" s="18" t="str">
        <f aca="false">IFERROR(INDEX(종합!E$3:E$501,MATCH(ROW()-2,종합!$AB$3:$AB$501,0))&amp;"","")</f>
        <v/>
      </c>
      <c r="F123" s="18" t="str">
        <f aca="false">IFERROR(INDEX(종합!F$3:F$501,MATCH(ROW()-2,종합!$AB$3:$AB$501,0))&amp;"","")</f>
        <v/>
      </c>
      <c r="G123" s="18" t="str">
        <f aca="false">IFERROR(INDEX(종합!G$3:G$501,MATCH(ROW()-2,종합!$AB$3:$AB$501,0))&amp;"","")</f>
        <v>대기업</v>
      </c>
      <c r="H123" s="21" t="str">
        <f aca="false">IFERROR(INDEX(종합!H$3:H$501,MATCH(ROW()-2,종합!$AB$3:$AB$501,0))&amp;"","")</f>
        <v>220-81-39938</v>
      </c>
      <c r="I123" s="21" t="str">
        <f aca="false">IFERROR(INDEX(종합!I$3:I$501,MATCH(ROW()-2,종합!$AB$3:$AB$501,0))&amp;"","")</f>
        <v>홍범식</v>
      </c>
      <c r="J123" s="21" t="str">
        <f aca="false">IFERROR(INDEX(종합!J$3:J$501,MATCH(ROW()-2,종합!$AB$3:$AB$501,0))&amp;"","")</f>
        <v>1544-0010</v>
      </c>
      <c r="K123" s="21" t="str">
        <f aca="false">IFERROR(INDEX(종합!K$3:K$501,MATCH(ROW()-2,종합!$AB$3:$AB$501,0))&amp;"","")</f>
        <v>https://www.lguplus.com</v>
      </c>
      <c r="L123" s="21" t="str">
        <f aca="false">IFERROR(INDEX(종합!L$3:L$501,MATCH(ROW()-2,종합!$AB$3:$AB$501,0))&amp;"","")</f>
        <v>chunsu@lguplus.co.kr</v>
      </c>
      <c r="M123" s="21" t="str">
        <f aca="false">IFERROR(INDEX(종합!M$3:M$501,MATCH(ROW()-2,종합!$AB$3:$AB$501,0))&amp;"","")</f>
        <v>서울특별시 용산구 한강대로 32</v>
      </c>
      <c r="N123" s="25" t="str">
        <f aca="false">IFERROR(INDEX(종합!N$3:N$501,MATCH(ROW()-2,종합!$AB$3:$AB$501,0))&amp;"","")</f>
        <v>AI 콜 에이전트(ixi-O), AI 모델(ixi-GEN), AICC, AIDC</v>
      </c>
      <c r="O123" s="21" t="str">
        <f aca="false">IFERROR(INDEX(종합!O$3:O$501,MATCH(ROW()-2,종합!$AB$3:$AB$501,0))&amp;"","")</f>
        <v>권기덕</v>
      </c>
      <c r="P123" s="21" t="str">
        <f aca="false">IFERROR(INDEX(종합!P$3:P$501,MATCH(ROW()-2,종합!$AB$3:$AB$501,0))&amp;"","")</f>
        <v>AX엔지니어링Lab</v>
      </c>
      <c r="Q123" s="21" t="str">
        <f aca="false">IFERROR(INDEX(종합!Q$3:Q$501,MATCH(ROW()-2,종합!$AB$3:$AB$501,0))&amp;"","")</f>
        <v>책임/담당</v>
      </c>
      <c r="R123" s="21" t="str">
        <f aca="false">IFERROR(INDEX(종합!R$3:R$501,MATCH(ROW()-2,종합!$AB$3:$AB$501,0))&amp;"","")</f>
        <v>010-4870-1810</v>
      </c>
      <c r="S123" s="21" t="str">
        <f aca="false">IFERROR(INDEX(종합!S$3:S$501,MATCH(ROW()-2,종합!$AB$3:$AB$501,0))&amp;"","")</f>
        <v>kwonkiduk@lguplus.co.kr</v>
      </c>
      <c r="T123" s="21" t="str">
        <f aca="false">IFERROR(INDEX(종합!T$3:T$501,MATCH(ROW()-2,종합!$AB$3:$AB$501,0))&amp;"","")</f>
        <v>010-4870-1810</v>
      </c>
      <c r="U123" s="21" t="str">
        <f aca="false">IFERROR(INDEX(종합!U$3:U$501,MATCH(ROW()-2,종합!$AB$3:$AB$501,0))&amp;"","")</f>
        <v>안춘수</v>
      </c>
      <c r="V123" s="21" t="str">
        <f aca="false">IFERROR(INDEX(종합!V$3:V$501,MATCH(ROW()-2,종합!$AB$3:$AB$501,0))&amp;"","")</f>
        <v>Voice AI TF</v>
      </c>
      <c r="W123" s="21" t="str">
        <f aca="false">IFERROR(INDEX(종합!W$3:W$501,MATCH(ROW()-2,종합!$AB$3:$AB$501,0))&amp;"","")</f>
        <v>책임/팀원</v>
      </c>
      <c r="X123" s="21" t="str">
        <f aca="false">IFERROR(INDEX(종합!X$3:X$501,MATCH(ROW()-2,종합!$AB$3:$AB$501,0))&amp;"","")</f>
        <v>010-8080-1865</v>
      </c>
      <c r="Y123" s="21" t="str">
        <f aca="false">IFERROR(INDEX(종합!Y$3:Y$501,MATCH(ROW()-2,종합!$AB$3:$AB$501,0))&amp;"","")</f>
        <v>chunsu@lguplus.co.kr</v>
      </c>
      <c r="Z123" s="21" t="str">
        <f aca="false">IFERROR(INDEX(종합!Z$3:Z$501,MATCH(ROW()-2,종합!$AB$3:$AB$501,0))&amp;"","")</f>
        <v>010-8080-1865</v>
      </c>
    </row>
    <row r="124" customFormat="false" ht="22.5" hidden="false" customHeight="true" outlineLevel="0" collapsed="false">
      <c r="A124" s="18" t="n">
        <f aca="false">IF(B124="","",ROW()-2)</f>
        <v>122</v>
      </c>
      <c r="B124" s="18" t="str">
        <f aca="false">IFERROR(INDEX(종합!B$3:B$501,MATCH(ROW()-2,종합!$AB$3:$AB$501,0))&amp;"","")</f>
        <v>주식회사 젠다이브</v>
      </c>
      <c r="C124" s="18" t="str">
        <f aca="false">IFERROR(INDEX(종합!C$3:C$501,MATCH(ROW()-2,종합!$AB$3:$AB$501,0))&amp;"","")</f>
        <v>O</v>
      </c>
      <c r="D124" s="18" t="str">
        <f aca="false">IFERROR(INDEX(종합!D$3:D$501,MATCH(ROW()-2,종합!$AB$3:$AB$501,0))&amp;"","")</f>
        <v>O</v>
      </c>
      <c r="E124" s="18" t="str">
        <f aca="false">IFERROR(INDEX(종합!E$3:E$501,MATCH(ROW()-2,종합!$AB$3:$AB$501,0))&amp;"","")</f>
        <v>O</v>
      </c>
      <c r="F124" s="18" t="str">
        <f aca="false">IFERROR(INDEX(종합!F$3:F$501,MATCH(ROW()-2,종합!$AB$3:$AB$501,0))&amp;"","")</f>
        <v/>
      </c>
      <c r="G124" s="18" t="str">
        <f aca="false">IFERROR(INDEX(종합!G$3:G$501,MATCH(ROW()-2,종합!$AB$3:$AB$501,0))&amp;"","")</f>
        <v>중소기업</v>
      </c>
      <c r="H124" s="21" t="str">
        <f aca="false">IFERROR(INDEX(종합!H$3:H$501,MATCH(ROW()-2,종합!$AB$3:$AB$501,0))&amp;"","")</f>
        <v>449-87-02752</v>
      </c>
      <c r="I124" s="21" t="str">
        <f aca="false">IFERROR(INDEX(종합!I$3:I$501,MATCH(ROW()-2,종합!$AB$3:$AB$501,0))&amp;"","")</f>
        <v>함민혁</v>
      </c>
      <c r="J124" s="21" t="str">
        <f aca="false">IFERROR(INDEX(종합!J$3:J$501,MATCH(ROW()-2,종합!$AB$3:$AB$501,0))&amp;"","")</f>
        <v>070-4895-5550</v>
      </c>
      <c r="K124" s="21" t="str">
        <f aca="false">IFERROR(INDEX(종합!K$3:K$501,MATCH(ROW()-2,종합!$AB$3:$AB$501,0))&amp;"","")</f>
        <v>https://www.gendive.kr</v>
      </c>
      <c r="L124" s="21" t="str">
        <f aca="false">IFERROR(INDEX(종합!L$3:L$501,MATCH(ROW()-2,종합!$AB$3:$AB$501,0))&amp;"","")</f>
        <v>mh.ham@gendive.ai</v>
      </c>
      <c r="M124" s="21" t="str">
        <f aca="false">IFERROR(INDEX(종합!M$3:M$501,MATCH(ROW()-2,종합!$AB$3:$AB$501,0))&amp;"","")</f>
        <v>광주광역시 동구 금남로 193-22, 광주AI창업캠프 1호점 3층 308호</v>
      </c>
      <c r="N124" s="25" t="str">
        <f aca="false">IFERROR(INDEX(종합!N$3:N$501,MATCH(ROW()-2,종합!$AB$3:$AB$501,0))&amp;"","")</f>
        <v>AI로 일하는 기업을 만드는 AI WorkOS, 데브다이브</v>
      </c>
      <c r="O124" s="21" t="str">
        <f aca="false">IFERROR(INDEX(종합!O$3:O$501,MATCH(ROW()-2,종합!$AB$3:$AB$501,0))&amp;"","")</f>
        <v>함민혁</v>
      </c>
      <c r="P124" s="21" t="str">
        <f aca="false">IFERROR(INDEX(종합!P$3:P$501,MATCH(ROW()-2,종합!$AB$3:$AB$501,0))&amp;"","")</f>
        <v>AI사업부</v>
      </c>
      <c r="Q124" s="21" t="str">
        <f aca="false">IFERROR(INDEX(종합!Q$3:Q$501,MATCH(ROW()-2,종합!$AB$3:$AB$501,0))&amp;"","")</f>
        <v>대표이사</v>
      </c>
      <c r="R124" s="21" t="str">
        <f aca="false">IFERROR(INDEX(종합!R$3:R$501,MATCH(ROW()-2,종합!$AB$3:$AB$501,0))&amp;"","")</f>
        <v>070-4895-5550</v>
      </c>
      <c r="S124" s="21" t="str">
        <f aca="false">IFERROR(INDEX(종합!S$3:S$501,MATCH(ROW()-2,종합!$AB$3:$AB$501,0))&amp;"","")</f>
        <v>mh.ham@gendive.ai</v>
      </c>
      <c r="T124" s="21" t="str">
        <f aca="false">IFERROR(INDEX(종합!T$3:T$501,MATCH(ROW()-2,종합!$AB$3:$AB$501,0))&amp;"","")</f>
        <v>010-3047-6882</v>
      </c>
      <c r="U124" s="21" t="str">
        <f aca="false">IFERROR(INDEX(종합!U$3:U$501,MATCH(ROW()-2,종합!$AB$3:$AB$501,0))&amp;"","")</f>
        <v>함민혁</v>
      </c>
      <c r="V124" s="21" t="str">
        <f aca="false">IFERROR(INDEX(종합!V$3:V$501,MATCH(ROW()-2,종합!$AB$3:$AB$501,0))&amp;"","")</f>
        <v>AI사업부</v>
      </c>
      <c r="W124" s="21" t="str">
        <f aca="false">IFERROR(INDEX(종합!W$3:W$501,MATCH(ROW()-2,종합!$AB$3:$AB$501,0))&amp;"","")</f>
        <v>대표이사</v>
      </c>
      <c r="X124" s="21" t="str">
        <f aca="false">IFERROR(INDEX(종합!X$3:X$501,MATCH(ROW()-2,종합!$AB$3:$AB$501,0))&amp;"","")</f>
        <v>070-4895-5550</v>
      </c>
      <c r="Y124" s="21" t="str">
        <f aca="false">IFERROR(INDEX(종합!Y$3:Y$501,MATCH(ROW()-2,종합!$AB$3:$AB$501,0))&amp;"","")</f>
        <v>mh.ham@gendive.ai</v>
      </c>
      <c r="Z124" s="21" t="str">
        <f aca="false">IFERROR(INDEX(종합!Z$3:Z$501,MATCH(ROW()-2,종합!$AB$3:$AB$501,0))&amp;"","")</f>
        <v>010-3047-6882</v>
      </c>
    </row>
    <row r="125" customFormat="false" ht="33.75" hidden="false" customHeight="true" outlineLevel="0" collapsed="false">
      <c r="A125" s="18" t="n">
        <f aca="false">IF(B125="","",ROW()-2)</f>
        <v>123</v>
      </c>
      <c r="B125" s="18" t="str">
        <f aca="false">IFERROR(INDEX(종합!B$3:B$501,MATCH(ROW()-2,종합!$AB$3:$AB$501,0))&amp;"","")</f>
        <v>에스큐아이소프트(주)</v>
      </c>
      <c r="C125" s="18" t="str">
        <f aca="false">IFERROR(INDEX(종합!C$3:C$501,MATCH(ROW()-2,종합!$AB$3:$AB$501,0))&amp;"","")</f>
        <v>O</v>
      </c>
      <c r="D125" s="18" t="str">
        <f aca="false">IFERROR(INDEX(종합!D$3:D$501,MATCH(ROW()-2,종합!$AB$3:$AB$501,0))&amp;"","")</f>
        <v>O</v>
      </c>
      <c r="E125" s="18" t="str">
        <f aca="false">IFERROR(INDEX(종합!E$3:E$501,MATCH(ROW()-2,종합!$AB$3:$AB$501,0))&amp;"","")</f>
        <v>O</v>
      </c>
      <c r="F125" s="18" t="str">
        <f aca="false">IFERROR(INDEX(종합!F$3:F$501,MATCH(ROW()-2,종합!$AB$3:$AB$501,0))&amp;"","")</f>
        <v/>
      </c>
      <c r="G125" s="18" t="str">
        <f aca="false">IFERROR(INDEX(종합!G$3:G$501,MATCH(ROW()-2,종합!$AB$3:$AB$501,0))&amp;"","")</f>
        <v>중소기업</v>
      </c>
      <c r="H125" s="21" t="str">
        <f aca="false">IFERROR(INDEX(종합!H$3:H$501,MATCH(ROW()-2,종합!$AB$3:$AB$501,0))&amp;"","")</f>
        <v>107-81-74307</v>
      </c>
      <c r="I125" s="21" t="str">
        <f aca="false">IFERROR(INDEX(종합!I$3:I$501,MATCH(ROW()-2,종합!$AB$3:$AB$501,0))&amp;"","")</f>
        <v>조영준, 현재호</v>
      </c>
      <c r="J125" s="21" t="str">
        <f aca="false">IFERROR(INDEX(종합!J$3:J$501,MATCH(ROW()-2,종합!$AB$3:$AB$501,0))&amp;"","")</f>
        <v>02-2284-3333</v>
      </c>
      <c r="K125" s="21" t="str">
        <f aca="false">IFERROR(INDEX(종합!K$3:K$501,MATCH(ROW()-2,종합!$AB$3:$AB$501,0))&amp;"","")</f>
        <v>sqisoft.com</v>
      </c>
      <c r="L125" s="21" t="str">
        <f aca="false">IFERROR(INDEX(종합!L$3:L$501,MATCH(ROW()-2,종합!$AB$3:$AB$501,0))&amp;"","")</f>
        <v>my.you@sqisoft.com</v>
      </c>
      <c r="M125" s="21" t="str">
        <f aca="false">IFERROR(INDEX(종합!M$3:M$501,MATCH(ROW()-2,종합!$AB$3:$AB$501,0))&amp;"","")</f>
        <v>서울시 영등포구 선유로3길 10, 13층</v>
      </c>
      <c r="N125" s="25" t="str">
        <f aca="false">IFERROR(INDEX(종합!N$3:N$501,MATCH(ROW()-2,종합!$AB$3:$AB$501,0))&amp;"","")</f>
        <v>대화형 데이터 분석 서비스, 법률정보 제공 서비스, 의료 및 헬스케어 서비스</v>
      </c>
      <c r="O125" s="21" t="str">
        <f aca="false">IFERROR(INDEX(종합!O$3:O$501,MATCH(ROW()-2,종합!$AB$3:$AB$501,0))&amp;"","")</f>
        <v>송정학</v>
      </c>
      <c r="P125" s="21" t="str">
        <f aca="false">IFERROR(INDEX(종합!P$3:P$501,MATCH(ROW()-2,종합!$AB$3:$AB$501,0))&amp;"","")</f>
        <v>GX사업본부</v>
      </c>
      <c r="Q125" s="21" t="str">
        <f aca="false">IFERROR(INDEX(종합!Q$3:Q$501,MATCH(ROW()-2,종합!$AB$3:$AB$501,0))&amp;"","")</f>
        <v>전무</v>
      </c>
      <c r="R125" s="21" t="str">
        <f aca="false">IFERROR(INDEX(종합!R$3:R$501,MATCH(ROW()-2,종합!$AB$3:$AB$501,0))&amp;"","")</f>
        <v>031-795-0300</v>
      </c>
      <c r="S125" s="21" t="str">
        <f aca="false">IFERROR(INDEX(종합!S$3:S$501,MATCH(ROW()-2,종합!$AB$3:$AB$501,0))&amp;"","")</f>
        <v>asone@sqisoft.com</v>
      </c>
      <c r="T125" s="21" t="str">
        <f aca="false">IFERROR(INDEX(종합!T$3:T$501,MATCH(ROW()-2,종합!$AB$3:$AB$501,0))&amp;"","")</f>
        <v>010-2723-9814</v>
      </c>
      <c r="U125" s="21" t="str">
        <f aca="false">IFERROR(INDEX(종합!U$3:U$501,MATCH(ROW()-2,종합!$AB$3:$AB$501,0))&amp;"","")</f>
        <v>송정학</v>
      </c>
      <c r="V125" s="21" t="str">
        <f aca="false">IFERROR(INDEX(종합!V$3:V$501,MATCH(ROW()-2,종합!$AB$3:$AB$501,0))&amp;"","")</f>
        <v>GX사업본부</v>
      </c>
      <c r="W125" s="21" t="str">
        <f aca="false">IFERROR(INDEX(종합!W$3:W$501,MATCH(ROW()-2,종합!$AB$3:$AB$501,0))&amp;"","")</f>
        <v>전무</v>
      </c>
      <c r="X125" s="21" t="str">
        <f aca="false">IFERROR(INDEX(종합!X$3:X$501,MATCH(ROW()-2,종합!$AB$3:$AB$501,0))&amp;"","")</f>
        <v>031-795-0300</v>
      </c>
      <c r="Y125" s="21" t="str">
        <f aca="false">IFERROR(INDEX(종합!Y$3:Y$501,MATCH(ROW()-2,종합!$AB$3:$AB$501,0))&amp;"","")</f>
        <v>asone@sqisoft.com</v>
      </c>
      <c r="Z125" s="21" t="str">
        <f aca="false">IFERROR(INDEX(종합!Z$3:Z$501,MATCH(ROW()-2,종합!$AB$3:$AB$501,0))&amp;"","")</f>
        <v>010-2723-9814</v>
      </c>
    </row>
    <row r="126" customFormat="false" ht="22.5" hidden="false" customHeight="true" outlineLevel="0" collapsed="false">
      <c r="A126" s="18" t="n">
        <f aca="false">IF(B126="","",ROW()-2)</f>
        <v>124</v>
      </c>
      <c r="B126" s="18" t="str">
        <f aca="false">IFERROR(INDEX(종합!B$3:B$501,MATCH(ROW()-2,종합!$AB$3:$AB$501,0))&amp;"","")</f>
        <v>(주)티맥스소프트</v>
      </c>
      <c r="C126" s="18" t="str">
        <f aca="false">IFERROR(INDEX(종합!C$3:C$501,MATCH(ROW()-2,종합!$AB$3:$AB$501,0))&amp;"","")</f>
        <v>O</v>
      </c>
      <c r="D126" s="18" t="str">
        <f aca="false">IFERROR(INDEX(종합!D$3:D$501,MATCH(ROW()-2,종합!$AB$3:$AB$501,0))&amp;"","")</f>
        <v/>
      </c>
      <c r="E126" s="18" t="str">
        <f aca="false">IFERROR(INDEX(종합!E$3:E$501,MATCH(ROW()-2,종합!$AB$3:$AB$501,0))&amp;"","")</f>
        <v>O</v>
      </c>
      <c r="F126" s="18" t="str">
        <f aca="false">IFERROR(INDEX(종합!F$3:F$501,MATCH(ROW()-2,종합!$AB$3:$AB$501,0))&amp;"","")</f>
        <v/>
      </c>
      <c r="G126" s="18" t="str">
        <f aca="false">IFERROR(INDEX(종합!G$3:G$501,MATCH(ROW()-2,종합!$AB$3:$AB$501,0))&amp;"","")</f>
        <v>중견기업</v>
      </c>
      <c r="H126" s="21" t="str">
        <f aca="false">IFERROR(INDEX(종합!H$3:H$501,MATCH(ROW()-2,종합!$AB$3:$AB$501,0))&amp;"","")</f>
        <v>220-81-45181</v>
      </c>
      <c r="I126" s="21" t="str">
        <f aca="false">IFERROR(INDEX(종합!I$3:I$501,MATCH(ROW()-2,종합!$AB$3:$AB$501,0))&amp;"","")</f>
        <v>이형용</v>
      </c>
      <c r="J126" s="21" t="str">
        <f aca="false">IFERROR(INDEX(종합!J$3:J$501,MATCH(ROW()-2,종합!$AB$3:$AB$501,0))&amp;"","")</f>
        <v>031-8018-1000</v>
      </c>
      <c r="K126" s="21" t="str">
        <f aca="false">IFERROR(INDEX(종합!K$3:K$501,MATCH(ROW()-2,종합!$AB$3:$AB$501,0))&amp;"","")</f>
        <v>www.tmaxsoft.com</v>
      </c>
      <c r="L126" s="21" t="str">
        <f aca="false">IFERROR(INDEX(종합!L$3:L$501,MATCH(ROW()-2,종합!$AB$3:$AB$501,0))&amp;"","")</f>
        <v>iamyaw2@gmail.com</v>
      </c>
      <c r="M126" s="21" t="str">
        <f aca="false">IFERROR(INDEX(종합!M$3:M$501,MATCH(ROW()-2,종합!$AB$3:$AB$501,0))&amp;"","")</f>
        <v>경기도 성남시 분당구 정자일로 45, 티맥스소프트타워</v>
      </c>
      <c r="N126" s="25" t="str">
        <f aca="false">IFERROR(INDEX(종합!N$3:N$501,MATCH(ROW()-2,종합!$AB$3:$AB$501,0))&amp;"","")</f>
        <v>AI Business Framework</v>
      </c>
      <c r="O126" s="21" t="str">
        <f aca="false">IFERROR(INDEX(종합!O$3:O$501,MATCH(ROW()-2,종합!$AB$3:$AB$501,0))&amp;"","")</f>
        <v>박기은</v>
      </c>
      <c r="P126" s="21" t="str">
        <f aca="false">IFERROR(INDEX(종합!P$3:P$501,MATCH(ROW()-2,종합!$AB$3:$AB$501,0))&amp;"","")</f>
        <v>연구본부</v>
      </c>
      <c r="Q126" s="21" t="str">
        <f aca="false">IFERROR(INDEX(종합!Q$3:Q$501,MATCH(ROW()-2,종합!$AB$3:$AB$501,0))&amp;"","")</f>
        <v>부사장/연구본부장/CTO/CISO</v>
      </c>
      <c r="R126" s="21" t="str">
        <f aca="false">IFERROR(INDEX(종합!R$3:R$501,MATCH(ROW()-2,종합!$AB$3:$AB$501,0))&amp;"","")</f>
        <v>010-8974-4319</v>
      </c>
      <c r="S126" s="21" t="str">
        <f aca="false">IFERROR(INDEX(종합!S$3:S$501,MATCH(ROW()-2,종합!$AB$3:$AB$501,0))&amp;"","")</f>
        <v>rnd@tmaxsoft.com</v>
      </c>
      <c r="T126" s="21" t="str">
        <f aca="false">IFERROR(INDEX(종합!T$3:T$501,MATCH(ROW()-2,종합!$AB$3:$AB$501,0))&amp;"","")</f>
        <v>010-8974-4319</v>
      </c>
      <c r="U126" s="21" t="str">
        <f aca="false">IFERROR(INDEX(종합!U$3:U$501,MATCH(ROW()-2,종합!$AB$3:$AB$501,0))&amp;"","")</f>
        <v>박기은</v>
      </c>
      <c r="V126" s="21" t="str">
        <f aca="false">IFERROR(INDEX(종합!V$3:V$501,MATCH(ROW()-2,종합!$AB$3:$AB$501,0))&amp;"","")</f>
        <v>연구본부</v>
      </c>
      <c r="W126" s="21" t="str">
        <f aca="false">IFERROR(INDEX(종합!W$3:W$501,MATCH(ROW()-2,종합!$AB$3:$AB$501,0))&amp;"","")</f>
        <v>부사장/연구본부장/CTO/CISO</v>
      </c>
      <c r="X126" s="21" t="str">
        <f aca="false">IFERROR(INDEX(종합!X$3:X$501,MATCH(ROW()-2,종합!$AB$3:$AB$501,0))&amp;"","")</f>
        <v>010-8974-4319</v>
      </c>
      <c r="Y126" s="21" t="str">
        <f aca="false">IFERROR(INDEX(종합!Y$3:Y$501,MATCH(ROW()-2,종합!$AB$3:$AB$501,0))&amp;"","")</f>
        <v>rnd@tmaxsoft.com</v>
      </c>
      <c r="Z126" s="21" t="str">
        <f aca="false">IFERROR(INDEX(종합!Z$3:Z$501,MATCH(ROW()-2,종합!$AB$3:$AB$501,0))&amp;"","")</f>
        <v>010-8974-4319</v>
      </c>
    </row>
    <row r="127" customFormat="false" ht="47.25" hidden="false" customHeight="true" outlineLevel="0" collapsed="false">
      <c r="A127" s="18" t="n">
        <f aca="false">IF(B127="","",ROW()-2)</f>
        <v>125</v>
      </c>
      <c r="B127" s="18" t="str">
        <f aca="false">IFERROR(INDEX(종합!B$3:B$501,MATCH(ROW()-2,종합!$AB$3:$AB$501,0))&amp;"","")</f>
        <v>나이스지니데이타(주)</v>
      </c>
      <c r="C127" s="18" t="str">
        <f aca="false">IFERROR(INDEX(종합!C$3:C$501,MATCH(ROW()-2,종합!$AB$3:$AB$501,0))&amp;"","")</f>
        <v>O</v>
      </c>
      <c r="D127" s="18" t="str">
        <f aca="false">IFERROR(INDEX(종합!D$3:D$501,MATCH(ROW()-2,종합!$AB$3:$AB$501,0))&amp;"","")</f>
        <v>O</v>
      </c>
      <c r="E127" s="18" t="str">
        <f aca="false">IFERROR(INDEX(종합!E$3:E$501,MATCH(ROW()-2,종합!$AB$3:$AB$501,0))&amp;"","")</f>
        <v>O</v>
      </c>
      <c r="F127" s="18" t="str">
        <f aca="false">IFERROR(INDEX(종합!F$3:F$501,MATCH(ROW()-2,종합!$AB$3:$AB$501,0))&amp;"","")</f>
        <v/>
      </c>
      <c r="G127" s="18" t="str">
        <f aca="false">IFERROR(INDEX(종합!G$3:G$501,MATCH(ROW()-2,종합!$AB$3:$AB$501,0))&amp;"","")</f>
        <v>중견기업</v>
      </c>
      <c r="H127" s="21" t="str">
        <f aca="false">IFERROR(INDEX(종합!H$3:H$501,MATCH(ROW()-2,종합!$AB$3:$AB$501,0))&amp;"","")</f>
        <v>216-81-16917</v>
      </c>
      <c r="I127" s="21" t="str">
        <f aca="false">IFERROR(INDEX(종합!I$3:I$501,MATCH(ROW()-2,종합!$AB$3:$AB$501,0))&amp;"","")</f>
        <v>김민수</v>
      </c>
      <c r="J127" s="21" t="str">
        <f aca="false">IFERROR(INDEX(종합!J$3:J$501,MATCH(ROW()-2,종합!$AB$3:$AB$501,0))&amp;"","")</f>
        <v>02-3215-2800</v>
      </c>
      <c r="K127" s="21" t="str">
        <f aca="false">IFERROR(INDEX(종합!K$3:K$501,MATCH(ROW()-2,종합!$AB$3:$AB$501,0))&amp;"","")</f>
        <v>www.nicezinidata.com</v>
      </c>
      <c r="L127" s="21" t="str">
        <f aca="false">IFERROR(INDEX(종합!L$3:L$501,MATCH(ROW()-2,종합!$AB$3:$AB$501,0))&amp;"","")</f>
        <v>nicezinidata.st@gmail.com</v>
      </c>
      <c r="M127" s="21" t="str">
        <f aca="false">IFERROR(INDEX(종합!M$3:M$501,MATCH(ROW()-2,종합!$AB$3:$AB$501,0))&amp;"","")</f>
        <v>서울특별시 영등포구 은행로 30, 7층(신관)</v>
      </c>
      <c r="N127" s="25" t="str">
        <f aca="false">IFERROR(INDEX(종합!N$3:N$501,MATCH(ROW()-2,종합!$AB$3:$AB$501,0))&amp;"","")</f>
        <v>상권분석 AI 챗봇 서비스, 소상공인 마케팅 AI 챗봇 서비스, 검색광고 키워드 AI 분석 솔루션, AI 학습데이터 생성/검증 솔루션</v>
      </c>
      <c r="O127" s="21" t="str">
        <f aca="false">IFERROR(INDEX(종합!O$3:O$501,MATCH(ROW()-2,종합!$AB$3:$AB$501,0))&amp;"","")</f>
        <v>송재익</v>
      </c>
      <c r="P127" s="21" t="str">
        <f aca="false">IFERROR(INDEX(종합!P$3:P$501,MATCH(ROW()-2,종합!$AB$3:$AB$501,0))&amp;"","")</f>
        <v>데이터사업본부 전략사업실</v>
      </c>
      <c r="Q127" s="21" t="str">
        <f aca="false">IFERROR(INDEX(종합!Q$3:Q$501,MATCH(ROW()-2,종합!$AB$3:$AB$501,0))&amp;"","")</f>
        <v>실장</v>
      </c>
      <c r="R127" s="21" t="str">
        <f aca="false">IFERROR(INDEX(종합!R$3:R$501,MATCH(ROW()-2,종합!$AB$3:$AB$501,0))&amp;"","")</f>
        <v>02-3215-2880</v>
      </c>
      <c r="S127" s="21" t="str">
        <f aca="false">IFERROR(INDEX(종합!S$3:S$501,MATCH(ROW()-2,종합!$AB$3:$AB$501,0))&amp;"","")</f>
        <v>lovesong@nice.co.kr</v>
      </c>
      <c r="T127" s="21" t="str">
        <f aca="false">IFERROR(INDEX(종합!T$3:T$501,MATCH(ROW()-2,종합!$AB$3:$AB$501,0))&amp;"","")</f>
        <v>010-3800-7742</v>
      </c>
      <c r="U127" s="21" t="str">
        <f aca="false">IFERROR(INDEX(종합!U$3:U$501,MATCH(ROW()-2,종합!$AB$3:$AB$501,0))&amp;"","")</f>
        <v>송재익</v>
      </c>
      <c r="V127" s="21" t="str">
        <f aca="false">IFERROR(INDEX(종합!V$3:V$501,MATCH(ROW()-2,종합!$AB$3:$AB$501,0))&amp;"","")</f>
        <v>데이터사업본부 전략사업실</v>
      </c>
      <c r="W127" s="21" t="str">
        <f aca="false">IFERROR(INDEX(종합!W$3:W$501,MATCH(ROW()-2,종합!$AB$3:$AB$501,0))&amp;"","")</f>
        <v>실장</v>
      </c>
      <c r="X127" s="21" t="str">
        <f aca="false">IFERROR(INDEX(종합!X$3:X$501,MATCH(ROW()-2,종합!$AB$3:$AB$501,0))&amp;"","")</f>
        <v>02-3215-2880</v>
      </c>
      <c r="Y127" s="21" t="str">
        <f aca="false">IFERROR(INDEX(종합!Y$3:Y$501,MATCH(ROW()-2,종합!$AB$3:$AB$501,0))&amp;"","")</f>
        <v>lovesong@nice.co.kr</v>
      </c>
      <c r="Z127" s="21" t="str">
        <f aca="false">IFERROR(INDEX(종합!Z$3:Z$501,MATCH(ROW()-2,종합!$AB$3:$AB$501,0))&amp;"","")</f>
        <v>010-3800-7742</v>
      </c>
    </row>
    <row r="128" customFormat="false" ht="33.75" hidden="false" customHeight="true" outlineLevel="0" collapsed="false">
      <c r="A128" s="18" t="n">
        <f aca="false">IF(B128="","",ROW()-2)</f>
        <v>126</v>
      </c>
      <c r="B128" s="18" t="str">
        <f aca="false">IFERROR(INDEX(종합!B$3:B$501,MATCH(ROW()-2,종합!$AB$3:$AB$501,0))&amp;"","")</f>
        <v>사단법인 한국AI스마트홈산업협회</v>
      </c>
      <c r="C128" s="18" t="str">
        <f aca="false">IFERROR(INDEX(종합!C$3:C$501,MATCH(ROW()-2,종합!$AB$3:$AB$501,0))&amp;"","")</f>
        <v>O</v>
      </c>
      <c r="D128" s="18" t="str">
        <f aca="false">IFERROR(INDEX(종합!D$3:D$501,MATCH(ROW()-2,종합!$AB$3:$AB$501,0))&amp;"","")</f>
        <v/>
      </c>
      <c r="E128" s="18" t="str">
        <f aca="false">IFERROR(INDEX(종합!E$3:E$501,MATCH(ROW()-2,종합!$AB$3:$AB$501,0))&amp;"","")</f>
        <v>O</v>
      </c>
      <c r="F128" s="18" t="str">
        <f aca="false">IFERROR(INDEX(종합!F$3:F$501,MATCH(ROW()-2,종합!$AB$3:$AB$501,0))&amp;"","")</f>
        <v/>
      </c>
      <c r="G128" s="18" t="str">
        <f aca="false">IFERROR(INDEX(종합!G$3:G$501,MATCH(ROW()-2,종합!$AB$3:$AB$501,0))&amp;"","")</f>
        <v>협회·단체</v>
      </c>
      <c r="H128" s="21" t="str">
        <f aca="false">IFERROR(INDEX(종합!H$3:H$501,MATCH(ROW()-2,종합!$AB$3:$AB$501,0))&amp;"","")</f>
        <v>114-82-07778</v>
      </c>
      <c r="I128" s="21" t="str">
        <f aca="false">IFERROR(INDEX(종합!I$3:I$501,MATCH(ROW()-2,종합!$AB$3:$AB$501,0))&amp;"","")</f>
        <v>최승범</v>
      </c>
      <c r="J128" s="21" t="str">
        <f aca="false">IFERROR(INDEX(종합!J$3:J$501,MATCH(ROW()-2,종합!$AB$3:$AB$501,0))&amp;"","")</f>
        <v>070-8233-3403</v>
      </c>
      <c r="K128" s="21" t="str">
        <f aca="false">IFERROR(INDEX(종합!K$3:K$501,MATCH(ROW()-2,종합!$AB$3:$AB$501,0))&amp;"","")</f>
        <v>www.kashi.or.kr</v>
      </c>
      <c r="L128" s="21" t="str">
        <f aca="false">IFERROR(INDEX(종합!L$3:L$501,MATCH(ROW()-2,종합!$AB$3:$AB$501,0))&amp;"","")</f>
        <v/>
      </c>
      <c r="M128" s="21" t="str">
        <f aca="false">IFERROR(INDEX(종합!M$3:M$501,MATCH(ROW()-2,종합!$AB$3:$AB$501,0))&amp;"","")</f>
        <v>서울시 금천구 가산디지털2로98, 2동 710호</v>
      </c>
      <c r="N128" s="25" t="str">
        <f aca="false">IFERROR(INDEX(종합!N$3:N$501,MATCH(ROW()-2,종합!$AB$3:$AB$501,0))&amp;"","")</f>
        <v>홈 내 허브, 단지서버, 클라우드를 이용한 외부 서비스망(에너지, 헬스케어, 쇼핑, 시티등) 접속</v>
      </c>
      <c r="O128" s="21" t="str">
        <f aca="false">IFERROR(INDEX(종합!O$3:O$501,MATCH(ROW()-2,종합!$AB$3:$AB$501,0))&amp;"","")</f>
        <v>최상만</v>
      </c>
      <c r="P128" s="21" t="str">
        <f aca="false">IFERROR(INDEX(종합!P$3:P$501,MATCH(ROW()-2,종합!$AB$3:$AB$501,0))&amp;"","")</f>
        <v>경영기획본부</v>
      </c>
      <c r="Q128" s="21" t="str">
        <f aca="false">IFERROR(INDEX(종합!Q$3:Q$501,MATCH(ROW()-2,종합!$AB$3:$AB$501,0))&amp;"","")</f>
        <v>본부장</v>
      </c>
      <c r="R128" s="21" t="str">
        <f aca="false">IFERROR(INDEX(종합!R$3:R$501,MATCH(ROW()-2,종합!$AB$3:$AB$501,0))&amp;"","")</f>
        <v>070-8233-3410</v>
      </c>
      <c r="S128" s="21" t="str">
        <f aca="false">IFERROR(INDEX(종합!S$3:S$501,MATCH(ROW()-2,종합!$AB$3:$AB$501,0))&amp;"","")</f>
        <v>smc@kashi.or.kr</v>
      </c>
      <c r="T128" s="21" t="str">
        <f aca="false">IFERROR(INDEX(종합!T$3:T$501,MATCH(ROW()-2,종합!$AB$3:$AB$501,0))&amp;"","")</f>
        <v>010-2275-6321</v>
      </c>
      <c r="U128" s="21" t="str">
        <f aca="false">IFERROR(INDEX(종합!U$3:U$501,MATCH(ROW()-2,종합!$AB$3:$AB$501,0))&amp;"","")</f>
        <v>이병헌</v>
      </c>
      <c r="V128" s="21" t="str">
        <f aca="false">IFERROR(INDEX(종합!V$3:V$501,MATCH(ROW()-2,종합!$AB$3:$AB$501,0))&amp;"","")</f>
        <v>융합표준본부</v>
      </c>
      <c r="W128" s="21" t="str">
        <f aca="false">IFERROR(INDEX(종합!W$3:W$501,MATCH(ROW()-2,종합!$AB$3:$AB$501,0))&amp;"","")</f>
        <v>차장/팀장</v>
      </c>
      <c r="X128" s="21" t="str">
        <f aca="false">IFERROR(INDEX(종합!X$3:X$501,MATCH(ROW()-2,종합!$AB$3:$AB$501,0))&amp;"","")</f>
        <v>070-8233-3403</v>
      </c>
      <c r="Y128" s="21" t="str">
        <f aca="false">IFERROR(INDEX(종합!Y$3:Y$501,MATCH(ROW()-2,종합!$AB$3:$AB$501,0))&amp;"","")</f>
        <v>bhlee@kashi.or.kr</v>
      </c>
      <c r="Z128" s="21" t="str">
        <f aca="false">IFERROR(INDEX(종합!Z$3:Z$501,MATCH(ROW()-2,종합!$AB$3:$AB$501,0))&amp;"","")</f>
        <v>010-4198-2367</v>
      </c>
    </row>
    <row r="129" customFormat="false" ht="33.75" hidden="false" customHeight="true" outlineLevel="0" collapsed="false">
      <c r="A129" s="18" t="n">
        <f aca="false">IF(B129="","",ROW()-2)</f>
        <v>127</v>
      </c>
      <c r="B129" s="18" t="str">
        <f aca="false">IFERROR(INDEX(종합!B$3:B$501,MATCH(ROW()-2,종합!$AB$3:$AB$501,0))&amp;"","")</f>
        <v>주식회사 피앤피시큐어</v>
      </c>
      <c r="C129" s="18" t="str">
        <f aca="false">IFERROR(INDEX(종합!C$3:C$501,MATCH(ROW()-2,종합!$AB$3:$AB$501,0))&amp;"","")</f>
        <v>O</v>
      </c>
      <c r="D129" s="18" t="str">
        <f aca="false">IFERROR(INDEX(종합!D$3:D$501,MATCH(ROW()-2,종합!$AB$3:$AB$501,0))&amp;"","")</f>
        <v/>
      </c>
      <c r="E129" s="18" t="str">
        <f aca="false">IFERROR(INDEX(종합!E$3:E$501,MATCH(ROW()-2,종합!$AB$3:$AB$501,0))&amp;"","")</f>
        <v/>
      </c>
      <c r="F129" s="18" t="str">
        <f aca="false">IFERROR(INDEX(종합!F$3:F$501,MATCH(ROW()-2,종합!$AB$3:$AB$501,0))&amp;"","")</f>
        <v>O</v>
      </c>
      <c r="G129" s="18" t="str">
        <f aca="false">IFERROR(INDEX(종합!G$3:G$501,MATCH(ROW()-2,종합!$AB$3:$AB$501,0))&amp;"","")</f>
        <v>중소기업</v>
      </c>
      <c r="H129" s="21" t="str">
        <f aca="false">IFERROR(INDEX(종합!H$3:H$501,MATCH(ROW()-2,종합!$AB$3:$AB$501,0))&amp;"","")</f>
        <v>107-86-44093</v>
      </c>
      <c r="I129" s="21" t="str">
        <f aca="false">IFERROR(INDEX(종합!I$3:I$501,MATCH(ROW()-2,종합!$AB$3:$AB$501,0))&amp;"","")</f>
        <v>박천오</v>
      </c>
      <c r="J129" s="21" t="str">
        <f aca="false">IFERROR(INDEX(종합!J$3:J$501,MATCH(ROW()-2,종합!$AB$3:$AB$501,0))&amp;"","")</f>
        <v>02-6988-1100</v>
      </c>
      <c r="K129" s="21" t="str">
        <f aca="false">IFERROR(INDEX(종합!K$3:K$501,MATCH(ROW()-2,종합!$AB$3:$AB$501,0))&amp;"","")</f>
        <v>https://www.pnpsecure.com/</v>
      </c>
      <c r="L129" s="21" t="str">
        <f aca="false">IFERROR(INDEX(종합!L$3:L$501,MATCH(ROW()-2,종합!$AB$3:$AB$501,0))&amp;"","")</f>
        <v>julee@pnpsecure.com</v>
      </c>
      <c r="M129" s="21" t="str">
        <f aca="false">IFERROR(INDEX(종합!M$3:M$501,MATCH(ROW()-2,종합!$AB$3:$AB$501,0))&amp;"","")</f>
        <v>서울특별시 강서구 마곡서로 182(마곡동, 피앤피스테이션)</v>
      </c>
      <c r="N129" s="25" t="str">
        <f aca="false">IFERROR(INDEX(종합!N$3:N$501,MATCH(ROW()-2,종합!$AB$3:$AB$501,0))&amp;"","")</f>
        <v>통합 접근제어 및 보안 솔루션(DBSAFER, INFOSAFER, FaceLocker)</v>
      </c>
      <c r="O129" s="21" t="str">
        <f aca="false">IFERROR(INDEX(종합!O$3:O$501,MATCH(ROW()-2,종합!$AB$3:$AB$501,0))&amp;"","")</f>
        <v>진선태</v>
      </c>
      <c r="P129" s="21" t="str">
        <f aca="false">IFERROR(INDEX(종합!P$3:P$501,MATCH(ROW()-2,종합!$AB$3:$AB$501,0))&amp;"","")</f>
        <v>임원실</v>
      </c>
      <c r="Q129" s="21" t="str">
        <f aca="false">IFERROR(INDEX(종합!Q$3:Q$501,MATCH(ROW()-2,종합!$AB$3:$AB$501,0))&amp;"","")</f>
        <v>부사장</v>
      </c>
      <c r="R129" s="21" t="str">
        <f aca="false">IFERROR(INDEX(종합!R$3:R$501,MATCH(ROW()-2,종합!$AB$3:$AB$501,0))&amp;"","")</f>
        <v>02-6988-1101</v>
      </c>
      <c r="S129" s="21" t="str">
        <f aca="false">IFERROR(INDEX(종합!S$3:S$501,MATCH(ROW()-2,종합!$AB$3:$AB$501,0))&amp;"","")</f>
        <v>zalhae@pnpsecure.com</v>
      </c>
      <c r="T129" s="21" t="str">
        <f aca="false">IFERROR(INDEX(종합!T$3:T$501,MATCH(ROW()-2,종합!$AB$3:$AB$501,0))&amp;"","")</f>
        <v>010-6327-4255</v>
      </c>
      <c r="U129" s="21" t="str">
        <f aca="false">IFERROR(INDEX(종합!U$3:U$501,MATCH(ROW()-2,종합!$AB$3:$AB$501,0))&amp;"","")</f>
        <v>이진욱</v>
      </c>
      <c r="V129" s="21" t="str">
        <f aca="false">IFERROR(INDEX(종합!V$3:V$501,MATCH(ROW()-2,종합!$AB$3:$AB$501,0))&amp;"","")</f>
        <v>정보보안기술연구소</v>
      </c>
      <c r="W129" s="21" t="str">
        <f aca="false">IFERROR(INDEX(종합!W$3:W$501,MATCH(ROW()-2,종합!$AB$3:$AB$501,0))&amp;"","")</f>
        <v>부장/수석연구원</v>
      </c>
      <c r="X129" s="21" t="str">
        <f aca="false">IFERROR(INDEX(종합!X$3:X$501,MATCH(ROW()-2,종합!$AB$3:$AB$501,0))&amp;"","")</f>
        <v>010-6988-1250</v>
      </c>
      <c r="Y129" s="21" t="str">
        <f aca="false">IFERROR(INDEX(종합!Y$3:Y$501,MATCH(ROW()-2,종합!$AB$3:$AB$501,0))&amp;"","")</f>
        <v>julee@pnpsecure.com</v>
      </c>
      <c r="Z129" s="21" t="str">
        <f aca="false">IFERROR(INDEX(종합!Z$3:Z$501,MATCH(ROW()-2,종합!$AB$3:$AB$501,0))&amp;"","")</f>
        <v>010-9444-2078</v>
      </c>
    </row>
    <row r="130" customFormat="false" ht="22.5" hidden="false" customHeight="true" outlineLevel="0" collapsed="false">
      <c r="A130" s="18" t="n">
        <f aca="false">IF(B130="","",ROW()-2)</f>
        <v>128</v>
      </c>
      <c r="B130" s="18" t="str">
        <f aca="false">IFERROR(INDEX(종합!B$3:B$501,MATCH(ROW()-2,종합!$AB$3:$AB$501,0))&amp;"","")</f>
        <v>주식회사 크랜베리</v>
      </c>
      <c r="C130" s="18" t="str">
        <f aca="false">IFERROR(INDEX(종합!C$3:C$501,MATCH(ROW()-2,종합!$AB$3:$AB$501,0))&amp;"","")</f>
        <v>O</v>
      </c>
      <c r="D130" s="18" t="str">
        <f aca="false">IFERROR(INDEX(종합!D$3:D$501,MATCH(ROW()-2,종합!$AB$3:$AB$501,0))&amp;"","")</f>
        <v/>
      </c>
      <c r="E130" s="18" t="str">
        <f aca="false">IFERROR(INDEX(종합!E$3:E$501,MATCH(ROW()-2,종합!$AB$3:$AB$501,0))&amp;"","")</f>
        <v/>
      </c>
      <c r="F130" s="18" t="str">
        <f aca="false">IFERROR(INDEX(종합!F$3:F$501,MATCH(ROW()-2,종합!$AB$3:$AB$501,0))&amp;"","")</f>
        <v>O</v>
      </c>
      <c r="G130" s="18" t="str">
        <f aca="false">IFERROR(INDEX(종합!G$3:G$501,MATCH(ROW()-2,종합!$AB$3:$AB$501,0))&amp;"","")</f>
        <v>중소기업</v>
      </c>
      <c r="H130" s="21" t="str">
        <f aca="false">IFERROR(INDEX(종합!H$3:H$501,MATCH(ROW()-2,종합!$AB$3:$AB$501,0))&amp;"","")</f>
        <v>192-87-02481</v>
      </c>
      <c r="I130" s="21" t="str">
        <f aca="false">IFERROR(INDEX(종합!I$3:I$501,MATCH(ROW()-2,종합!$AB$3:$AB$501,0))&amp;"","")</f>
        <v>이은혜</v>
      </c>
      <c r="J130" s="21" t="str">
        <f aca="false">IFERROR(INDEX(종합!J$3:J$501,MATCH(ROW()-2,종합!$AB$3:$AB$501,0))&amp;"","")</f>
        <v>02-854-8115</v>
      </c>
      <c r="K130" s="21" t="str">
        <f aca="false">IFERROR(INDEX(종합!K$3:K$501,MATCH(ROW()-2,종합!$AB$3:$AB$501,0))&amp;"","")</f>
        <v>https://www.cberry.co.kr/</v>
      </c>
      <c r="L130" s="21" t="str">
        <f aca="false">IFERROR(INDEX(종합!L$3:L$501,MATCH(ROW()-2,종합!$AB$3:$AB$501,0))&amp;"","")</f>
        <v>tyjtrheerg@gmail.com</v>
      </c>
      <c r="M130" s="21" t="str">
        <f aca="false">IFERROR(INDEX(종합!M$3:M$501,MATCH(ROW()-2,종합!$AB$3:$AB$501,0))&amp;"","")</f>
        <v>서울특별시 금천구 가산디지털1로 225 (우)08501</v>
      </c>
      <c r="N130" s="25" t="str">
        <f aca="false">IFERROR(INDEX(종합!N$3:N$501,MATCH(ROW()-2,종합!$AB$3:$AB$501,0))&amp;"","")</f>
        <v>멀티모달 기반 실시간 이상상황 인지 솔루션</v>
      </c>
      <c r="O130" s="21" t="str">
        <f aca="false">IFERROR(INDEX(종합!O$3:O$501,MATCH(ROW()-2,종합!$AB$3:$AB$501,0))&amp;"","")</f>
        <v>이은혜</v>
      </c>
      <c r="P130" s="21" t="str">
        <f aca="false">IFERROR(INDEX(종합!P$3:P$501,MATCH(ROW()-2,종합!$AB$3:$AB$501,0))&amp;"","")</f>
        <v>경영</v>
      </c>
      <c r="Q130" s="21" t="str">
        <f aca="false">IFERROR(INDEX(종합!Q$3:Q$501,MATCH(ROW()-2,종합!$AB$3:$AB$501,0))&amp;"","")</f>
        <v>대표이사</v>
      </c>
      <c r="R130" s="21" t="str">
        <f aca="false">IFERROR(INDEX(종합!R$3:R$501,MATCH(ROW()-2,종합!$AB$3:$AB$501,0))&amp;"","")</f>
        <v>010-6361-9484</v>
      </c>
      <c r="S130" s="21" t="str">
        <f aca="false">IFERROR(INDEX(종합!S$3:S$501,MATCH(ROW()-2,종합!$AB$3:$AB$501,0))&amp;"","")</f>
        <v>hero2102@naver.com</v>
      </c>
      <c r="T130" s="21" t="str">
        <f aca="false">IFERROR(INDEX(종합!T$3:T$501,MATCH(ROW()-2,종합!$AB$3:$AB$501,0))&amp;"","")</f>
        <v>010-6361-9484</v>
      </c>
      <c r="U130" s="21" t="str">
        <f aca="false">IFERROR(INDEX(종합!U$3:U$501,MATCH(ROW()-2,종합!$AB$3:$AB$501,0))&amp;"","")</f>
        <v>고현준</v>
      </c>
      <c r="V130" s="21" t="str">
        <f aca="false">IFERROR(INDEX(종합!V$3:V$501,MATCH(ROW()-2,종합!$AB$3:$AB$501,0))&amp;"","")</f>
        <v>미래전략</v>
      </c>
      <c r="W130" s="21" t="str">
        <f aca="false">IFERROR(INDEX(종합!W$3:W$501,MATCH(ROW()-2,종합!$AB$3:$AB$501,0))&amp;"","")</f>
        <v>상무</v>
      </c>
      <c r="X130" s="21" t="str">
        <f aca="false">IFERROR(INDEX(종합!X$3:X$501,MATCH(ROW()-2,종합!$AB$3:$AB$501,0))&amp;"","")</f>
        <v>010-7471-1618</v>
      </c>
      <c r="Y130" s="21" t="str">
        <f aca="false">IFERROR(INDEX(종합!Y$3:Y$501,MATCH(ROW()-2,종합!$AB$3:$AB$501,0))&amp;"","")</f>
        <v>hero2102@naver.com</v>
      </c>
      <c r="Z130" s="21" t="str">
        <f aca="false">IFERROR(INDEX(종합!Z$3:Z$501,MATCH(ROW()-2,종합!$AB$3:$AB$501,0))&amp;"","")</f>
        <v>010-7471-1618</v>
      </c>
    </row>
    <row r="131" customFormat="false" ht="22.5" hidden="false" customHeight="true" outlineLevel="0" collapsed="false">
      <c r="A131" s="18" t="n">
        <f aca="false">IF(B131="","",ROW()-2)</f>
        <v>129</v>
      </c>
      <c r="B131" s="18" t="str">
        <f aca="false">IFERROR(INDEX(종합!B$3:B$501,MATCH(ROW()-2,종합!$AB$3:$AB$501,0))&amp;"","")</f>
        <v>금융보안원</v>
      </c>
      <c r="C131" s="18" t="str">
        <f aca="false">IFERROR(INDEX(종합!C$3:C$501,MATCH(ROW()-2,종합!$AB$3:$AB$501,0))&amp;"","")</f>
        <v>O</v>
      </c>
      <c r="D131" s="18" t="str">
        <f aca="false">IFERROR(INDEX(종합!D$3:D$501,MATCH(ROW()-2,종합!$AB$3:$AB$501,0))&amp;"","")</f>
        <v/>
      </c>
      <c r="E131" s="18" t="str">
        <f aca="false">IFERROR(INDEX(종합!E$3:E$501,MATCH(ROW()-2,종합!$AB$3:$AB$501,0))&amp;"","")</f>
        <v/>
      </c>
      <c r="F131" s="18" t="str">
        <f aca="false">IFERROR(INDEX(종합!F$3:F$501,MATCH(ROW()-2,종합!$AB$3:$AB$501,0))&amp;"","")</f>
        <v>O</v>
      </c>
      <c r="G131" s="18" t="str">
        <f aca="false">IFERROR(INDEX(종합!G$3:G$501,MATCH(ROW()-2,종합!$AB$3:$AB$501,0))&amp;"","")</f>
        <v>협회·단체</v>
      </c>
      <c r="H131" s="21" t="str">
        <f aca="false">IFERROR(INDEX(종합!H$3:H$501,MATCH(ROW()-2,종합!$AB$3:$AB$501,0))&amp;"","")</f>
        <v>658-82-00028</v>
      </c>
      <c r="I131" s="21" t="str">
        <f aca="false">IFERROR(INDEX(종합!I$3:I$501,MATCH(ROW()-2,종합!$AB$3:$AB$501,0))&amp;"","")</f>
        <v>박상원</v>
      </c>
      <c r="J131" s="21" t="str">
        <f aca="false">IFERROR(INDEX(종합!J$3:J$501,MATCH(ROW()-2,종합!$AB$3:$AB$501,0))&amp;"","")</f>
        <v>02-3495-9000</v>
      </c>
      <c r="K131" s="21" t="str">
        <f aca="false">IFERROR(INDEX(종합!K$3:K$501,MATCH(ROW()-2,종합!$AB$3:$AB$501,0))&amp;"","")</f>
        <v>www.fsec.or.kr</v>
      </c>
      <c r="L131" s="21" t="str">
        <f aca="false">IFERROR(INDEX(종합!L$3:L$501,MATCH(ROW()-2,종합!$AB$3:$AB$501,0))&amp;"","")</f>
        <v>aisafety@fsec.or.kr</v>
      </c>
      <c r="M131" s="21" t="str">
        <f aca="false">IFERROR(INDEX(종합!M$3:M$501,MATCH(ROW()-2,종합!$AB$3:$AB$501,0))&amp;"","")</f>
        <v>경기 용인시 수지구 대지로 132</v>
      </c>
      <c r="N131" s="25" t="str">
        <f aca="false">IFERROR(INDEX(종합!N$3:N$501,MATCH(ROW()-2,종합!$AB$3:$AB$501,0))&amp;"","")</f>
        <v>AI 알고리즘 보안성 검증, AI 레드티밍 등</v>
      </c>
      <c r="O131" s="21" t="str">
        <f aca="false">IFERROR(INDEX(종합!O$3:O$501,MATCH(ROW()-2,종합!$AB$3:$AB$501,0))&amp;"","")</f>
        <v>김성웅</v>
      </c>
      <c r="P131" s="21" t="str">
        <f aca="false">IFERROR(INDEX(종합!P$3:P$501,MATCH(ROW()-2,종합!$AB$3:$AB$501,0))&amp;"","")</f>
        <v>금융AI보안연구소</v>
      </c>
      <c r="Q131" s="21" t="str">
        <f aca="false">IFERROR(INDEX(종합!Q$3:Q$501,MATCH(ROW()-2,종합!$AB$3:$AB$501,0))&amp;"","")</f>
        <v>연구소장</v>
      </c>
      <c r="R131" s="21" t="str">
        <f aca="false">IFERROR(INDEX(종합!R$3:R$501,MATCH(ROW()-2,종합!$AB$3:$AB$501,0))&amp;"","")</f>
        <v>02-3495-9040</v>
      </c>
      <c r="S131" s="21" t="str">
        <f aca="false">IFERROR(INDEX(종합!S$3:S$501,MATCH(ROW()-2,종합!$AB$3:$AB$501,0))&amp;"","")</f>
        <v>swkim@fsec.or.kr</v>
      </c>
      <c r="T131" s="21" t="str">
        <f aca="false">IFERROR(INDEX(종합!T$3:T$501,MATCH(ROW()-2,종합!$AB$3:$AB$501,0))&amp;"","")</f>
        <v>010-6865-9458</v>
      </c>
      <c r="U131" s="21" t="str">
        <f aca="false">IFERROR(INDEX(종합!U$3:U$501,MATCH(ROW()-2,종합!$AB$3:$AB$501,0))&amp;"","")</f>
        <v>유영목</v>
      </c>
      <c r="V131" s="21" t="str">
        <f aca="false">IFERROR(INDEX(종합!V$3:V$501,MATCH(ROW()-2,종합!$AB$3:$AB$501,0))&amp;"","")</f>
        <v>AI안전평가부</v>
      </c>
      <c r="W131" s="21" t="str">
        <f aca="false">IFERROR(INDEX(종합!W$3:W$501,MATCH(ROW()-2,종합!$AB$3:$AB$501,0))&amp;"","")</f>
        <v>팀장</v>
      </c>
      <c r="X131" s="21" t="str">
        <f aca="false">IFERROR(INDEX(종합!X$3:X$501,MATCH(ROW()-2,종합!$AB$3:$AB$501,0))&amp;"","")</f>
        <v>02-3495-9860</v>
      </c>
      <c r="Y131" s="21" t="str">
        <f aca="false">IFERROR(INDEX(종합!Y$3:Y$501,MATCH(ROW()-2,종합!$AB$3:$AB$501,0))&amp;"","")</f>
        <v>cozyu@fsec.or.kr</v>
      </c>
      <c r="Z131" s="21" t="str">
        <f aca="false">IFERROR(INDEX(종합!Z$3:Z$501,MATCH(ROW()-2,종합!$AB$3:$AB$501,0))&amp;"","")</f>
        <v>010-3355-0246</v>
      </c>
    </row>
    <row r="132" customFormat="false" ht="16.5" hidden="false" customHeight="true" outlineLevel="0" collapsed="false">
      <c r="A132" s="18" t="str">
        <f aca="false">IF(B132="","",ROW()-2)</f>
        <v/>
      </c>
      <c r="B132" s="18" t="str">
        <f aca="false">IFERROR(INDEX(종합!B$3:B$501,MATCH(ROW()-2,종합!$AB$3:$AB$501,0))&amp;"","")</f>
        <v/>
      </c>
      <c r="C132" s="18" t="str">
        <f aca="false">IFERROR(INDEX(종합!C$3:C$501,MATCH(ROW()-2,종합!$AB$3:$AB$501,0))&amp;"","")</f>
        <v/>
      </c>
      <c r="D132" s="18" t="str">
        <f aca="false">IFERROR(INDEX(종합!D$3:D$501,MATCH(ROW()-2,종합!$AB$3:$AB$501,0))&amp;"","")</f>
        <v/>
      </c>
      <c r="E132" s="18" t="str">
        <f aca="false">IFERROR(INDEX(종합!E$3:E$501,MATCH(ROW()-2,종합!$AB$3:$AB$501,0))&amp;"","")</f>
        <v/>
      </c>
      <c r="F132" s="18" t="str">
        <f aca="false">IFERROR(INDEX(종합!F$3:F$501,MATCH(ROW()-2,종합!$AB$3:$AB$501,0))&amp;"","")</f>
        <v/>
      </c>
      <c r="G132" s="18" t="str">
        <f aca="false">IFERROR(INDEX(종합!G$3:G$501,MATCH(ROW()-2,종합!$AB$3:$AB$501,0))&amp;"","")</f>
        <v/>
      </c>
      <c r="H132" s="21" t="str">
        <f aca="false">IFERROR(INDEX(종합!H$3:H$501,MATCH(ROW()-2,종합!$AB$3:$AB$501,0))&amp;"","")</f>
        <v/>
      </c>
      <c r="I132" s="21" t="str">
        <f aca="false">IFERROR(INDEX(종합!I$3:I$501,MATCH(ROW()-2,종합!$AB$3:$AB$501,0))&amp;"","")</f>
        <v/>
      </c>
      <c r="J132" s="21" t="str">
        <f aca="false">IFERROR(INDEX(종합!J$3:J$501,MATCH(ROW()-2,종합!$AB$3:$AB$501,0))&amp;"","")</f>
        <v/>
      </c>
      <c r="K132" s="21" t="str">
        <f aca="false">IFERROR(INDEX(종합!K$3:K$501,MATCH(ROW()-2,종합!$AB$3:$AB$501,0))&amp;"","")</f>
        <v/>
      </c>
      <c r="L132" s="21" t="str">
        <f aca="false">IFERROR(INDEX(종합!L$3:L$501,MATCH(ROW()-2,종합!$AB$3:$AB$501,0))&amp;"","")</f>
        <v/>
      </c>
      <c r="M132" s="21" t="str">
        <f aca="false">IFERROR(INDEX(종합!M$3:M$501,MATCH(ROW()-2,종합!$AB$3:$AB$501,0))&amp;"","")</f>
        <v/>
      </c>
      <c r="N132" s="25" t="str">
        <f aca="false">IFERROR(INDEX(종합!N$3:N$501,MATCH(ROW()-2,종합!$AB$3:$AB$501,0))&amp;"","")</f>
        <v/>
      </c>
      <c r="O132" s="21" t="str">
        <f aca="false">IFERROR(INDEX(종합!O$3:O$501,MATCH(ROW()-2,종합!$AB$3:$AB$501,0))&amp;"","")</f>
        <v/>
      </c>
      <c r="P132" s="21" t="str">
        <f aca="false">IFERROR(INDEX(종합!P$3:P$501,MATCH(ROW()-2,종합!$AB$3:$AB$501,0))&amp;"","")</f>
        <v/>
      </c>
      <c r="Q132" s="21" t="str">
        <f aca="false">IFERROR(INDEX(종합!Q$3:Q$501,MATCH(ROW()-2,종합!$AB$3:$AB$501,0))&amp;"","")</f>
        <v/>
      </c>
      <c r="R132" s="21" t="str">
        <f aca="false">IFERROR(INDEX(종합!R$3:R$501,MATCH(ROW()-2,종합!$AB$3:$AB$501,0))&amp;"","")</f>
        <v/>
      </c>
      <c r="S132" s="21" t="str">
        <f aca="false">IFERROR(INDEX(종합!S$3:S$501,MATCH(ROW()-2,종합!$AB$3:$AB$501,0))&amp;"","")</f>
        <v/>
      </c>
      <c r="T132" s="21" t="str">
        <f aca="false">IFERROR(INDEX(종합!T$3:T$501,MATCH(ROW()-2,종합!$AB$3:$AB$501,0))&amp;"","")</f>
        <v/>
      </c>
      <c r="U132" s="21" t="str">
        <f aca="false">IFERROR(INDEX(종합!U$3:U$501,MATCH(ROW()-2,종합!$AB$3:$AB$501,0))&amp;"","")</f>
        <v/>
      </c>
      <c r="V132" s="21" t="str">
        <f aca="false">IFERROR(INDEX(종합!V$3:V$501,MATCH(ROW()-2,종합!$AB$3:$AB$501,0))&amp;"","")</f>
        <v/>
      </c>
      <c r="W132" s="21" t="str">
        <f aca="false">IFERROR(INDEX(종합!W$3:W$501,MATCH(ROW()-2,종합!$AB$3:$AB$501,0))&amp;"","")</f>
        <v/>
      </c>
      <c r="X132" s="21" t="str">
        <f aca="false">IFERROR(INDEX(종합!X$3:X$501,MATCH(ROW()-2,종합!$AB$3:$AB$501,0))&amp;"","")</f>
        <v/>
      </c>
      <c r="Y132" s="21" t="str">
        <f aca="false">IFERROR(INDEX(종합!Y$3:Y$501,MATCH(ROW()-2,종합!$AB$3:$AB$501,0))&amp;"","")</f>
        <v/>
      </c>
      <c r="Z132" s="21" t="str">
        <f aca="false">IFERROR(INDEX(종합!Z$3:Z$501,MATCH(ROW()-2,종합!$AB$3:$AB$501,0))&amp;"","")</f>
        <v/>
      </c>
    </row>
    <row r="133" customFormat="false" ht="16.5" hidden="false" customHeight="true" outlineLevel="0" collapsed="false">
      <c r="A133" s="18" t="str">
        <f aca="false">IF(B133="","",ROW()-2)</f>
        <v/>
      </c>
      <c r="B133" s="18" t="str">
        <f aca="false">IFERROR(INDEX(종합!B$3:B$501,MATCH(ROW()-2,종합!$AB$3:$AB$501,0))&amp;"","")</f>
        <v/>
      </c>
      <c r="C133" s="18" t="str">
        <f aca="false">IFERROR(INDEX(종합!C$3:C$501,MATCH(ROW()-2,종합!$AB$3:$AB$501,0))&amp;"","")</f>
        <v/>
      </c>
      <c r="D133" s="18" t="str">
        <f aca="false">IFERROR(INDEX(종합!D$3:D$501,MATCH(ROW()-2,종합!$AB$3:$AB$501,0))&amp;"","")</f>
        <v/>
      </c>
      <c r="E133" s="18" t="str">
        <f aca="false">IFERROR(INDEX(종합!E$3:E$501,MATCH(ROW()-2,종합!$AB$3:$AB$501,0))&amp;"","")</f>
        <v/>
      </c>
      <c r="F133" s="18" t="str">
        <f aca="false">IFERROR(INDEX(종합!F$3:F$501,MATCH(ROW()-2,종합!$AB$3:$AB$501,0))&amp;"","")</f>
        <v/>
      </c>
      <c r="G133" s="18" t="str">
        <f aca="false">IFERROR(INDEX(종합!G$3:G$501,MATCH(ROW()-2,종합!$AB$3:$AB$501,0))&amp;"","")</f>
        <v/>
      </c>
      <c r="H133" s="21" t="str">
        <f aca="false">IFERROR(INDEX(종합!H$3:H$501,MATCH(ROW()-2,종합!$AB$3:$AB$501,0))&amp;"","")</f>
        <v/>
      </c>
      <c r="I133" s="21" t="str">
        <f aca="false">IFERROR(INDEX(종합!I$3:I$501,MATCH(ROW()-2,종합!$AB$3:$AB$501,0))&amp;"","")</f>
        <v/>
      </c>
      <c r="J133" s="21" t="str">
        <f aca="false">IFERROR(INDEX(종합!J$3:J$501,MATCH(ROW()-2,종합!$AB$3:$AB$501,0))&amp;"","")</f>
        <v/>
      </c>
      <c r="K133" s="21" t="str">
        <f aca="false">IFERROR(INDEX(종합!K$3:K$501,MATCH(ROW()-2,종합!$AB$3:$AB$501,0))&amp;"","")</f>
        <v/>
      </c>
      <c r="L133" s="21" t="str">
        <f aca="false">IFERROR(INDEX(종합!L$3:L$501,MATCH(ROW()-2,종합!$AB$3:$AB$501,0))&amp;"","")</f>
        <v/>
      </c>
      <c r="M133" s="21" t="str">
        <f aca="false">IFERROR(INDEX(종합!M$3:M$501,MATCH(ROW()-2,종합!$AB$3:$AB$501,0))&amp;"","")</f>
        <v/>
      </c>
      <c r="N133" s="25" t="str">
        <f aca="false">IFERROR(INDEX(종합!N$3:N$501,MATCH(ROW()-2,종합!$AB$3:$AB$501,0))&amp;"","")</f>
        <v/>
      </c>
      <c r="O133" s="21" t="str">
        <f aca="false">IFERROR(INDEX(종합!O$3:O$501,MATCH(ROW()-2,종합!$AB$3:$AB$501,0))&amp;"","")</f>
        <v/>
      </c>
      <c r="P133" s="21" t="str">
        <f aca="false">IFERROR(INDEX(종합!P$3:P$501,MATCH(ROW()-2,종합!$AB$3:$AB$501,0))&amp;"","")</f>
        <v/>
      </c>
      <c r="Q133" s="21" t="str">
        <f aca="false">IFERROR(INDEX(종합!Q$3:Q$501,MATCH(ROW()-2,종합!$AB$3:$AB$501,0))&amp;"","")</f>
        <v/>
      </c>
      <c r="R133" s="21" t="str">
        <f aca="false">IFERROR(INDEX(종합!R$3:R$501,MATCH(ROW()-2,종합!$AB$3:$AB$501,0))&amp;"","")</f>
        <v/>
      </c>
      <c r="S133" s="21" t="str">
        <f aca="false">IFERROR(INDEX(종합!S$3:S$501,MATCH(ROW()-2,종합!$AB$3:$AB$501,0))&amp;"","")</f>
        <v/>
      </c>
      <c r="T133" s="21" t="str">
        <f aca="false">IFERROR(INDEX(종합!T$3:T$501,MATCH(ROW()-2,종합!$AB$3:$AB$501,0))&amp;"","")</f>
        <v/>
      </c>
      <c r="U133" s="21" t="str">
        <f aca="false">IFERROR(INDEX(종합!U$3:U$501,MATCH(ROW()-2,종합!$AB$3:$AB$501,0))&amp;"","")</f>
        <v/>
      </c>
      <c r="V133" s="21" t="str">
        <f aca="false">IFERROR(INDEX(종합!V$3:V$501,MATCH(ROW()-2,종합!$AB$3:$AB$501,0))&amp;"","")</f>
        <v/>
      </c>
      <c r="W133" s="21" t="str">
        <f aca="false">IFERROR(INDEX(종합!W$3:W$501,MATCH(ROW()-2,종합!$AB$3:$AB$501,0))&amp;"","")</f>
        <v/>
      </c>
      <c r="X133" s="21" t="str">
        <f aca="false">IFERROR(INDEX(종합!X$3:X$501,MATCH(ROW()-2,종합!$AB$3:$AB$501,0))&amp;"","")</f>
        <v/>
      </c>
      <c r="Y133" s="21" t="str">
        <f aca="false">IFERROR(INDEX(종합!Y$3:Y$501,MATCH(ROW()-2,종합!$AB$3:$AB$501,0))&amp;"","")</f>
        <v/>
      </c>
      <c r="Z133" s="21" t="str">
        <f aca="false">IFERROR(INDEX(종합!Z$3:Z$501,MATCH(ROW()-2,종합!$AB$3:$AB$501,0))&amp;"","")</f>
        <v/>
      </c>
    </row>
    <row r="134" customFormat="false" ht="16.5" hidden="false" customHeight="true" outlineLevel="0" collapsed="false">
      <c r="A134" s="18" t="str">
        <f aca="false">IF(B134="","",ROW()-2)</f>
        <v/>
      </c>
      <c r="B134" s="18" t="str">
        <f aca="false">IFERROR(INDEX(종합!B$3:B$501,MATCH(ROW()-2,종합!$AB$3:$AB$501,0))&amp;"","")</f>
        <v/>
      </c>
      <c r="C134" s="18" t="str">
        <f aca="false">IFERROR(INDEX(종합!C$3:C$501,MATCH(ROW()-2,종합!$AB$3:$AB$501,0))&amp;"","")</f>
        <v/>
      </c>
      <c r="D134" s="18" t="str">
        <f aca="false">IFERROR(INDEX(종합!D$3:D$501,MATCH(ROW()-2,종합!$AB$3:$AB$501,0))&amp;"","")</f>
        <v/>
      </c>
      <c r="E134" s="18" t="str">
        <f aca="false">IFERROR(INDEX(종합!E$3:E$501,MATCH(ROW()-2,종합!$AB$3:$AB$501,0))&amp;"","")</f>
        <v/>
      </c>
      <c r="F134" s="18" t="str">
        <f aca="false">IFERROR(INDEX(종합!F$3:F$501,MATCH(ROW()-2,종합!$AB$3:$AB$501,0))&amp;"","")</f>
        <v/>
      </c>
      <c r="G134" s="18" t="str">
        <f aca="false">IFERROR(INDEX(종합!G$3:G$501,MATCH(ROW()-2,종합!$AB$3:$AB$501,0))&amp;"","")</f>
        <v/>
      </c>
      <c r="H134" s="21" t="str">
        <f aca="false">IFERROR(INDEX(종합!H$3:H$501,MATCH(ROW()-2,종합!$AB$3:$AB$501,0))&amp;"","")</f>
        <v/>
      </c>
      <c r="I134" s="21" t="str">
        <f aca="false">IFERROR(INDEX(종합!I$3:I$501,MATCH(ROW()-2,종합!$AB$3:$AB$501,0))&amp;"","")</f>
        <v/>
      </c>
      <c r="J134" s="21" t="str">
        <f aca="false">IFERROR(INDEX(종합!J$3:J$501,MATCH(ROW()-2,종합!$AB$3:$AB$501,0))&amp;"","")</f>
        <v/>
      </c>
      <c r="K134" s="21" t="str">
        <f aca="false">IFERROR(INDEX(종합!K$3:K$501,MATCH(ROW()-2,종합!$AB$3:$AB$501,0))&amp;"","")</f>
        <v/>
      </c>
      <c r="L134" s="21" t="str">
        <f aca="false">IFERROR(INDEX(종합!L$3:L$501,MATCH(ROW()-2,종합!$AB$3:$AB$501,0))&amp;"","")</f>
        <v/>
      </c>
      <c r="M134" s="21" t="str">
        <f aca="false">IFERROR(INDEX(종합!M$3:M$501,MATCH(ROW()-2,종합!$AB$3:$AB$501,0))&amp;"","")</f>
        <v/>
      </c>
      <c r="N134" s="25" t="str">
        <f aca="false">IFERROR(INDEX(종합!N$3:N$501,MATCH(ROW()-2,종합!$AB$3:$AB$501,0))&amp;"","")</f>
        <v/>
      </c>
      <c r="O134" s="21" t="str">
        <f aca="false">IFERROR(INDEX(종합!O$3:O$501,MATCH(ROW()-2,종합!$AB$3:$AB$501,0))&amp;"","")</f>
        <v/>
      </c>
      <c r="P134" s="21" t="str">
        <f aca="false">IFERROR(INDEX(종합!P$3:P$501,MATCH(ROW()-2,종합!$AB$3:$AB$501,0))&amp;"","")</f>
        <v/>
      </c>
      <c r="Q134" s="21" t="str">
        <f aca="false">IFERROR(INDEX(종합!Q$3:Q$501,MATCH(ROW()-2,종합!$AB$3:$AB$501,0))&amp;"","")</f>
        <v/>
      </c>
      <c r="R134" s="21" t="str">
        <f aca="false">IFERROR(INDEX(종합!R$3:R$501,MATCH(ROW()-2,종합!$AB$3:$AB$501,0))&amp;"","")</f>
        <v/>
      </c>
      <c r="S134" s="21" t="str">
        <f aca="false">IFERROR(INDEX(종합!S$3:S$501,MATCH(ROW()-2,종합!$AB$3:$AB$501,0))&amp;"","")</f>
        <v/>
      </c>
      <c r="T134" s="21" t="str">
        <f aca="false">IFERROR(INDEX(종합!T$3:T$501,MATCH(ROW()-2,종합!$AB$3:$AB$501,0))&amp;"","")</f>
        <v/>
      </c>
      <c r="U134" s="21" t="str">
        <f aca="false">IFERROR(INDEX(종합!U$3:U$501,MATCH(ROW()-2,종합!$AB$3:$AB$501,0))&amp;"","")</f>
        <v/>
      </c>
      <c r="V134" s="21" t="str">
        <f aca="false">IFERROR(INDEX(종합!V$3:V$501,MATCH(ROW()-2,종합!$AB$3:$AB$501,0))&amp;"","")</f>
        <v/>
      </c>
      <c r="W134" s="21" t="str">
        <f aca="false">IFERROR(INDEX(종합!W$3:W$501,MATCH(ROW()-2,종합!$AB$3:$AB$501,0))&amp;"","")</f>
        <v/>
      </c>
      <c r="X134" s="21" t="str">
        <f aca="false">IFERROR(INDEX(종합!X$3:X$501,MATCH(ROW()-2,종합!$AB$3:$AB$501,0))&amp;"","")</f>
        <v/>
      </c>
      <c r="Y134" s="21" t="str">
        <f aca="false">IFERROR(INDEX(종합!Y$3:Y$501,MATCH(ROW()-2,종합!$AB$3:$AB$501,0))&amp;"","")</f>
        <v/>
      </c>
      <c r="Z134" s="21" t="str">
        <f aca="false">IFERROR(INDEX(종합!Z$3:Z$501,MATCH(ROW()-2,종합!$AB$3:$AB$501,0))&amp;"","")</f>
        <v/>
      </c>
    </row>
    <row r="135" customFormat="false" ht="16.5" hidden="false" customHeight="true" outlineLevel="0" collapsed="false">
      <c r="A135" s="18" t="str">
        <f aca="false">IF(B135="","",ROW()-2)</f>
        <v/>
      </c>
      <c r="B135" s="18" t="str">
        <f aca="false">IFERROR(INDEX(종합!B$3:B$501,MATCH(ROW()-2,종합!$AB$3:$AB$501,0))&amp;"","")</f>
        <v/>
      </c>
      <c r="C135" s="18" t="str">
        <f aca="false">IFERROR(INDEX(종합!C$3:C$501,MATCH(ROW()-2,종합!$AB$3:$AB$501,0))&amp;"","")</f>
        <v/>
      </c>
      <c r="D135" s="18" t="str">
        <f aca="false">IFERROR(INDEX(종합!D$3:D$501,MATCH(ROW()-2,종합!$AB$3:$AB$501,0))&amp;"","")</f>
        <v/>
      </c>
      <c r="E135" s="18" t="str">
        <f aca="false">IFERROR(INDEX(종합!E$3:E$501,MATCH(ROW()-2,종합!$AB$3:$AB$501,0))&amp;"","")</f>
        <v/>
      </c>
      <c r="F135" s="18" t="str">
        <f aca="false">IFERROR(INDEX(종합!F$3:F$501,MATCH(ROW()-2,종합!$AB$3:$AB$501,0))&amp;"","")</f>
        <v/>
      </c>
      <c r="G135" s="18" t="str">
        <f aca="false">IFERROR(INDEX(종합!G$3:G$501,MATCH(ROW()-2,종합!$AB$3:$AB$501,0))&amp;"","")</f>
        <v/>
      </c>
      <c r="H135" s="21" t="str">
        <f aca="false">IFERROR(INDEX(종합!H$3:H$501,MATCH(ROW()-2,종합!$AB$3:$AB$501,0))&amp;"","")</f>
        <v/>
      </c>
      <c r="I135" s="21" t="str">
        <f aca="false">IFERROR(INDEX(종합!I$3:I$501,MATCH(ROW()-2,종합!$AB$3:$AB$501,0))&amp;"","")</f>
        <v/>
      </c>
      <c r="J135" s="21" t="str">
        <f aca="false">IFERROR(INDEX(종합!J$3:J$501,MATCH(ROW()-2,종합!$AB$3:$AB$501,0))&amp;"","")</f>
        <v/>
      </c>
      <c r="K135" s="21" t="str">
        <f aca="false">IFERROR(INDEX(종합!K$3:K$501,MATCH(ROW()-2,종합!$AB$3:$AB$501,0))&amp;"","")</f>
        <v/>
      </c>
      <c r="L135" s="21" t="str">
        <f aca="false">IFERROR(INDEX(종합!L$3:L$501,MATCH(ROW()-2,종합!$AB$3:$AB$501,0))&amp;"","")</f>
        <v/>
      </c>
      <c r="M135" s="21" t="str">
        <f aca="false">IFERROR(INDEX(종합!M$3:M$501,MATCH(ROW()-2,종합!$AB$3:$AB$501,0))&amp;"","")</f>
        <v/>
      </c>
      <c r="N135" s="25" t="str">
        <f aca="false">IFERROR(INDEX(종합!N$3:N$501,MATCH(ROW()-2,종합!$AB$3:$AB$501,0))&amp;"","")</f>
        <v/>
      </c>
      <c r="O135" s="21" t="str">
        <f aca="false">IFERROR(INDEX(종합!O$3:O$501,MATCH(ROW()-2,종합!$AB$3:$AB$501,0))&amp;"","")</f>
        <v/>
      </c>
      <c r="P135" s="21" t="str">
        <f aca="false">IFERROR(INDEX(종합!P$3:P$501,MATCH(ROW()-2,종합!$AB$3:$AB$501,0))&amp;"","")</f>
        <v/>
      </c>
      <c r="Q135" s="21" t="str">
        <f aca="false">IFERROR(INDEX(종합!Q$3:Q$501,MATCH(ROW()-2,종합!$AB$3:$AB$501,0))&amp;"","")</f>
        <v/>
      </c>
      <c r="R135" s="21" t="str">
        <f aca="false">IFERROR(INDEX(종합!R$3:R$501,MATCH(ROW()-2,종합!$AB$3:$AB$501,0))&amp;"","")</f>
        <v/>
      </c>
      <c r="S135" s="21" t="str">
        <f aca="false">IFERROR(INDEX(종합!S$3:S$501,MATCH(ROW()-2,종합!$AB$3:$AB$501,0))&amp;"","")</f>
        <v/>
      </c>
      <c r="T135" s="21" t="str">
        <f aca="false">IFERROR(INDEX(종합!T$3:T$501,MATCH(ROW()-2,종합!$AB$3:$AB$501,0))&amp;"","")</f>
        <v/>
      </c>
      <c r="U135" s="21" t="str">
        <f aca="false">IFERROR(INDEX(종합!U$3:U$501,MATCH(ROW()-2,종합!$AB$3:$AB$501,0))&amp;"","")</f>
        <v/>
      </c>
      <c r="V135" s="21" t="str">
        <f aca="false">IFERROR(INDEX(종합!V$3:V$501,MATCH(ROW()-2,종합!$AB$3:$AB$501,0))&amp;"","")</f>
        <v/>
      </c>
      <c r="W135" s="21" t="str">
        <f aca="false">IFERROR(INDEX(종합!W$3:W$501,MATCH(ROW()-2,종합!$AB$3:$AB$501,0))&amp;"","")</f>
        <v/>
      </c>
      <c r="X135" s="21" t="str">
        <f aca="false">IFERROR(INDEX(종합!X$3:X$501,MATCH(ROW()-2,종합!$AB$3:$AB$501,0))&amp;"","")</f>
        <v/>
      </c>
      <c r="Y135" s="21" t="str">
        <f aca="false">IFERROR(INDEX(종합!Y$3:Y$501,MATCH(ROW()-2,종합!$AB$3:$AB$501,0))&amp;"","")</f>
        <v/>
      </c>
      <c r="Z135" s="21" t="str">
        <f aca="false">IFERROR(INDEX(종합!Z$3:Z$501,MATCH(ROW()-2,종합!$AB$3:$AB$501,0))&amp;"","")</f>
        <v/>
      </c>
    </row>
    <row r="136" customFormat="false" ht="16.5" hidden="false" customHeight="true" outlineLevel="0" collapsed="false">
      <c r="A136" s="18" t="str">
        <f aca="false">IF(B136="","",ROW()-2)</f>
        <v/>
      </c>
      <c r="B136" s="18" t="str">
        <f aca="false">IFERROR(INDEX(종합!B$3:B$501,MATCH(ROW()-2,종합!$AB$3:$AB$501,0))&amp;"","")</f>
        <v/>
      </c>
      <c r="C136" s="18" t="str">
        <f aca="false">IFERROR(INDEX(종합!C$3:C$501,MATCH(ROW()-2,종합!$AB$3:$AB$501,0))&amp;"","")</f>
        <v/>
      </c>
      <c r="D136" s="18" t="str">
        <f aca="false">IFERROR(INDEX(종합!D$3:D$501,MATCH(ROW()-2,종합!$AB$3:$AB$501,0))&amp;"","")</f>
        <v/>
      </c>
      <c r="E136" s="18" t="str">
        <f aca="false">IFERROR(INDEX(종합!E$3:E$501,MATCH(ROW()-2,종합!$AB$3:$AB$501,0))&amp;"","")</f>
        <v/>
      </c>
      <c r="F136" s="18" t="str">
        <f aca="false">IFERROR(INDEX(종합!F$3:F$501,MATCH(ROW()-2,종합!$AB$3:$AB$501,0))&amp;"","")</f>
        <v/>
      </c>
      <c r="G136" s="18" t="str">
        <f aca="false">IFERROR(INDEX(종합!G$3:G$501,MATCH(ROW()-2,종합!$AB$3:$AB$501,0))&amp;"","")</f>
        <v/>
      </c>
      <c r="H136" s="21" t="str">
        <f aca="false">IFERROR(INDEX(종합!H$3:H$501,MATCH(ROW()-2,종합!$AB$3:$AB$501,0))&amp;"","")</f>
        <v/>
      </c>
      <c r="I136" s="21" t="str">
        <f aca="false">IFERROR(INDEX(종합!I$3:I$501,MATCH(ROW()-2,종합!$AB$3:$AB$501,0))&amp;"","")</f>
        <v/>
      </c>
      <c r="J136" s="21" t="str">
        <f aca="false">IFERROR(INDEX(종합!J$3:J$501,MATCH(ROW()-2,종합!$AB$3:$AB$501,0))&amp;"","")</f>
        <v/>
      </c>
      <c r="K136" s="21" t="str">
        <f aca="false">IFERROR(INDEX(종합!K$3:K$501,MATCH(ROW()-2,종합!$AB$3:$AB$501,0))&amp;"","")</f>
        <v/>
      </c>
      <c r="L136" s="21" t="str">
        <f aca="false">IFERROR(INDEX(종합!L$3:L$501,MATCH(ROW()-2,종합!$AB$3:$AB$501,0))&amp;"","")</f>
        <v/>
      </c>
      <c r="M136" s="21" t="str">
        <f aca="false">IFERROR(INDEX(종합!M$3:M$501,MATCH(ROW()-2,종합!$AB$3:$AB$501,0))&amp;"","")</f>
        <v/>
      </c>
      <c r="N136" s="25" t="str">
        <f aca="false">IFERROR(INDEX(종합!N$3:N$501,MATCH(ROW()-2,종합!$AB$3:$AB$501,0))&amp;"","")</f>
        <v/>
      </c>
      <c r="O136" s="21" t="str">
        <f aca="false">IFERROR(INDEX(종합!O$3:O$501,MATCH(ROW()-2,종합!$AB$3:$AB$501,0))&amp;"","")</f>
        <v/>
      </c>
      <c r="P136" s="21" t="str">
        <f aca="false">IFERROR(INDEX(종합!P$3:P$501,MATCH(ROW()-2,종합!$AB$3:$AB$501,0))&amp;"","")</f>
        <v/>
      </c>
      <c r="Q136" s="21" t="str">
        <f aca="false">IFERROR(INDEX(종합!Q$3:Q$501,MATCH(ROW()-2,종합!$AB$3:$AB$501,0))&amp;"","")</f>
        <v/>
      </c>
      <c r="R136" s="21" t="str">
        <f aca="false">IFERROR(INDEX(종합!R$3:R$501,MATCH(ROW()-2,종합!$AB$3:$AB$501,0))&amp;"","")</f>
        <v/>
      </c>
      <c r="S136" s="21" t="str">
        <f aca="false">IFERROR(INDEX(종합!S$3:S$501,MATCH(ROW()-2,종합!$AB$3:$AB$501,0))&amp;"","")</f>
        <v/>
      </c>
      <c r="T136" s="21" t="str">
        <f aca="false">IFERROR(INDEX(종합!T$3:T$501,MATCH(ROW()-2,종합!$AB$3:$AB$501,0))&amp;"","")</f>
        <v/>
      </c>
      <c r="U136" s="21" t="str">
        <f aca="false">IFERROR(INDEX(종합!U$3:U$501,MATCH(ROW()-2,종합!$AB$3:$AB$501,0))&amp;"","")</f>
        <v/>
      </c>
      <c r="V136" s="21" t="str">
        <f aca="false">IFERROR(INDEX(종합!V$3:V$501,MATCH(ROW()-2,종합!$AB$3:$AB$501,0))&amp;"","")</f>
        <v/>
      </c>
      <c r="W136" s="21" t="str">
        <f aca="false">IFERROR(INDEX(종합!W$3:W$501,MATCH(ROW()-2,종합!$AB$3:$AB$501,0))&amp;"","")</f>
        <v/>
      </c>
      <c r="X136" s="21" t="str">
        <f aca="false">IFERROR(INDEX(종합!X$3:X$501,MATCH(ROW()-2,종합!$AB$3:$AB$501,0))&amp;"","")</f>
        <v/>
      </c>
      <c r="Y136" s="21" t="str">
        <f aca="false">IFERROR(INDEX(종합!Y$3:Y$501,MATCH(ROW()-2,종합!$AB$3:$AB$501,0))&amp;"","")</f>
        <v/>
      </c>
      <c r="Z136" s="21" t="str">
        <f aca="false">IFERROR(INDEX(종합!Z$3:Z$501,MATCH(ROW()-2,종합!$AB$3:$AB$501,0))&amp;"","")</f>
        <v/>
      </c>
    </row>
    <row r="137" customFormat="false" ht="16.5" hidden="false" customHeight="true" outlineLevel="0" collapsed="false">
      <c r="A137" s="18" t="str">
        <f aca="false">IF(B137="","",ROW()-2)</f>
        <v/>
      </c>
      <c r="B137" s="18" t="str">
        <f aca="false">IFERROR(INDEX(종합!B$3:B$501,MATCH(ROW()-2,종합!$AB$3:$AB$501,0))&amp;"","")</f>
        <v/>
      </c>
      <c r="C137" s="18" t="str">
        <f aca="false">IFERROR(INDEX(종합!C$3:C$501,MATCH(ROW()-2,종합!$AB$3:$AB$501,0))&amp;"","")</f>
        <v/>
      </c>
      <c r="D137" s="18" t="str">
        <f aca="false">IFERROR(INDEX(종합!D$3:D$501,MATCH(ROW()-2,종합!$AB$3:$AB$501,0))&amp;"","")</f>
        <v/>
      </c>
      <c r="E137" s="18" t="str">
        <f aca="false">IFERROR(INDEX(종합!E$3:E$501,MATCH(ROW()-2,종합!$AB$3:$AB$501,0))&amp;"","")</f>
        <v/>
      </c>
      <c r="F137" s="18" t="str">
        <f aca="false">IFERROR(INDEX(종합!F$3:F$501,MATCH(ROW()-2,종합!$AB$3:$AB$501,0))&amp;"","")</f>
        <v/>
      </c>
      <c r="G137" s="18" t="str">
        <f aca="false">IFERROR(INDEX(종합!G$3:G$501,MATCH(ROW()-2,종합!$AB$3:$AB$501,0))&amp;"","")</f>
        <v/>
      </c>
      <c r="H137" s="21" t="str">
        <f aca="false">IFERROR(INDEX(종합!H$3:H$501,MATCH(ROW()-2,종합!$AB$3:$AB$501,0))&amp;"","")</f>
        <v/>
      </c>
      <c r="I137" s="21" t="str">
        <f aca="false">IFERROR(INDEX(종합!I$3:I$501,MATCH(ROW()-2,종합!$AB$3:$AB$501,0))&amp;"","")</f>
        <v/>
      </c>
      <c r="J137" s="21" t="str">
        <f aca="false">IFERROR(INDEX(종합!J$3:J$501,MATCH(ROW()-2,종합!$AB$3:$AB$501,0))&amp;"","")</f>
        <v/>
      </c>
      <c r="K137" s="21" t="str">
        <f aca="false">IFERROR(INDEX(종합!K$3:K$501,MATCH(ROW()-2,종합!$AB$3:$AB$501,0))&amp;"","")</f>
        <v/>
      </c>
      <c r="L137" s="21" t="str">
        <f aca="false">IFERROR(INDEX(종합!L$3:L$501,MATCH(ROW()-2,종합!$AB$3:$AB$501,0))&amp;"","")</f>
        <v/>
      </c>
      <c r="M137" s="21" t="str">
        <f aca="false">IFERROR(INDEX(종합!M$3:M$501,MATCH(ROW()-2,종합!$AB$3:$AB$501,0))&amp;"","")</f>
        <v/>
      </c>
      <c r="N137" s="25" t="str">
        <f aca="false">IFERROR(INDEX(종합!N$3:N$501,MATCH(ROW()-2,종합!$AB$3:$AB$501,0))&amp;"","")</f>
        <v/>
      </c>
      <c r="O137" s="21" t="str">
        <f aca="false">IFERROR(INDEX(종합!O$3:O$501,MATCH(ROW()-2,종합!$AB$3:$AB$501,0))&amp;"","")</f>
        <v/>
      </c>
      <c r="P137" s="21" t="str">
        <f aca="false">IFERROR(INDEX(종합!P$3:P$501,MATCH(ROW()-2,종합!$AB$3:$AB$501,0))&amp;"","")</f>
        <v/>
      </c>
      <c r="Q137" s="21" t="str">
        <f aca="false">IFERROR(INDEX(종합!Q$3:Q$501,MATCH(ROW()-2,종합!$AB$3:$AB$501,0))&amp;"","")</f>
        <v/>
      </c>
      <c r="R137" s="21" t="str">
        <f aca="false">IFERROR(INDEX(종합!R$3:R$501,MATCH(ROW()-2,종합!$AB$3:$AB$501,0))&amp;"","")</f>
        <v/>
      </c>
      <c r="S137" s="21" t="str">
        <f aca="false">IFERROR(INDEX(종합!S$3:S$501,MATCH(ROW()-2,종합!$AB$3:$AB$501,0))&amp;"","")</f>
        <v/>
      </c>
      <c r="T137" s="21" t="str">
        <f aca="false">IFERROR(INDEX(종합!T$3:T$501,MATCH(ROW()-2,종합!$AB$3:$AB$501,0))&amp;"","")</f>
        <v/>
      </c>
      <c r="U137" s="21" t="str">
        <f aca="false">IFERROR(INDEX(종합!U$3:U$501,MATCH(ROW()-2,종합!$AB$3:$AB$501,0))&amp;"","")</f>
        <v/>
      </c>
      <c r="V137" s="21" t="str">
        <f aca="false">IFERROR(INDEX(종합!V$3:V$501,MATCH(ROW()-2,종합!$AB$3:$AB$501,0))&amp;"","")</f>
        <v/>
      </c>
      <c r="W137" s="21" t="str">
        <f aca="false">IFERROR(INDEX(종합!W$3:W$501,MATCH(ROW()-2,종합!$AB$3:$AB$501,0))&amp;"","")</f>
        <v/>
      </c>
      <c r="X137" s="21" t="str">
        <f aca="false">IFERROR(INDEX(종합!X$3:X$501,MATCH(ROW()-2,종합!$AB$3:$AB$501,0))&amp;"","")</f>
        <v/>
      </c>
      <c r="Y137" s="21" t="str">
        <f aca="false">IFERROR(INDEX(종합!Y$3:Y$501,MATCH(ROW()-2,종합!$AB$3:$AB$501,0))&amp;"","")</f>
        <v/>
      </c>
      <c r="Z137" s="21" t="str">
        <f aca="false">IFERROR(INDEX(종합!Z$3:Z$501,MATCH(ROW()-2,종합!$AB$3:$AB$501,0))&amp;"","")</f>
        <v/>
      </c>
    </row>
    <row r="138" customFormat="false" ht="16.5" hidden="false" customHeight="true" outlineLevel="0" collapsed="false">
      <c r="A138" s="18" t="str">
        <f aca="false">IF(B138="","",ROW()-2)</f>
        <v/>
      </c>
      <c r="B138" s="18" t="str">
        <f aca="false">IFERROR(INDEX(종합!B$3:B$501,MATCH(ROW()-2,종합!$AB$3:$AB$501,0))&amp;"","")</f>
        <v/>
      </c>
      <c r="C138" s="18" t="str">
        <f aca="false">IFERROR(INDEX(종합!C$3:C$501,MATCH(ROW()-2,종합!$AB$3:$AB$501,0))&amp;"","")</f>
        <v/>
      </c>
      <c r="D138" s="18" t="str">
        <f aca="false">IFERROR(INDEX(종합!D$3:D$501,MATCH(ROW()-2,종합!$AB$3:$AB$501,0))&amp;"","")</f>
        <v/>
      </c>
      <c r="E138" s="18" t="str">
        <f aca="false">IFERROR(INDEX(종합!E$3:E$501,MATCH(ROW()-2,종합!$AB$3:$AB$501,0))&amp;"","")</f>
        <v/>
      </c>
      <c r="F138" s="18" t="str">
        <f aca="false">IFERROR(INDEX(종합!F$3:F$501,MATCH(ROW()-2,종합!$AB$3:$AB$501,0))&amp;"","")</f>
        <v/>
      </c>
      <c r="G138" s="18" t="str">
        <f aca="false">IFERROR(INDEX(종합!G$3:G$501,MATCH(ROW()-2,종합!$AB$3:$AB$501,0))&amp;"","")</f>
        <v/>
      </c>
      <c r="H138" s="21" t="str">
        <f aca="false">IFERROR(INDEX(종합!H$3:H$501,MATCH(ROW()-2,종합!$AB$3:$AB$501,0))&amp;"","")</f>
        <v/>
      </c>
      <c r="I138" s="21" t="str">
        <f aca="false">IFERROR(INDEX(종합!I$3:I$501,MATCH(ROW()-2,종합!$AB$3:$AB$501,0))&amp;"","")</f>
        <v/>
      </c>
      <c r="J138" s="21" t="str">
        <f aca="false">IFERROR(INDEX(종합!J$3:J$501,MATCH(ROW()-2,종합!$AB$3:$AB$501,0))&amp;"","")</f>
        <v/>
      </c>
      <c r="K138" s="21" t="str">
        <f aca="false">IFERROR(INDEX(종합!K$3:K$501,MATCH(ROW()-2,종합!$AB$3:$AB$501,0))&amp;"","")</f>
        <v/>
      </c>
      <c r="L138" s="21" t="str">
        <f aca="false">IFERROR(INDEX(종합!L$3:L$501,MATCH(ROW()-2,종합!$AB$3:$AB$501,0))&amp;"","")</f>
        <v/>
      </c>
      <c r="M138" s="21" t="str">
        <f aca="false">IFERROR(INDEX(종합!M$3:M$501,MATCH(ROW()-2,종합!$AB$3:$AB$501,0))&amp;"","")</f>
        <v/>
      </c>
      <c r="N138" s="25" t="str">
        <f aca="false">IFERROR(INDEX(종합!N$3:N$501,MATCH(ROW()-2,종합!$AB$3:$AB$501,0))&amp;"","")</f>
        <v/>
      </c>
      <c r="O138" s="21" t="str">
        <f aca="false">IFERROR(INDEX(종합!O$3:O$501,MATCH(ROW()-2,종합!$AB$3:$AB$501,0))&amp;"","")</f>
        <v/>
      </c>
      <c r="P138" s="21" t="str">
        <f aca="false">IFERROR(INDEX(종합!P$3:P$501,MATCH(ROW()-2,종합!$AB$3:$AB$501,0))&amp;"","")</f>
        <v/>
      </c>
      <c r="Q138" s="21" t="str">
        <f aca="false">IFERROR(INDEX(종합!Q$3:Q$501,MATCH(ROW()-2,종합!$AB$3:$AB$501,0))&amp;"","")</f>
        <v/>
      </c>
      <c r="R138" s="21" t="str">
        <f aca="false">IFERROR(INDEX(종합!R$3:R$501,MATCH(ROW()-2,종합!$AB$3:$AB$501,0))&amp;"","")</f>
        <v/>
      </c>
      <c r="S138" s="21" t="str">
        <f aca="false">IFERROR(INDEX(종합!S$3:S$501,MATCH(ROW()-2,종합!$AB$3:$AB$501,0))&amp;"","")</f>
        <v/>
      </c>
      <c r="T138" s="21" t="str">
        <f aca="false">IFERROR(INDEX(종합!T$3:T$501,MATCH(ROW()-2,종합!$AB$3:$AB$501,0))&amp;"","")</f>
        <v/>
      </c>
      <c r="U138" s="21" t="str">
        <f aca="false">IFERROR(INDEX(종합!U$3:U$501,MATCH(ROW()-2,종합!$AB$3:$AB$501,0))&amp;"","")</f>
        <v/>
      </c>
      <c r="V138" s="21" t="str">
        <f aca="false">IFERROR(INDEX(종합!V$3:V$501,MATCH(ROW()-2,종합!$AB$3:$AB$501,0))&amp;"","")</f>
        <v/>
      </c>
      <c r="W138" s="21" t="str">
        <f aca="false">IFERROR(INDEX(종합!W$3:W$501,MATCH(ROW()-2,종합!$AB$3:$AB$501,0))&amp;"","")</f>
        <v/>
      </c>
      <c r="X138" s="21" t="str">
        <f aca="false">IFERROR(INDEX(종합!X$3:X$501,MATCH(ROW()-2,종합!$AB$3:$AB$501,0))&amp;"","")</f>
        <v/>
      </c>
      <c r="Y138" s="21" t="str">
        <f aca="false">IFERROR(INDEX(종합!Y$3:Y$501,MATCH(ROW()-2,종합!$AB$3:$AB$501,0))&amp;"","")</f>
        <v/>
      </c>
      <c r="Z138" s="21" t="str">
        <f aca="false">IFERROR(INDEX(종합!Z$3:Z$501,MATCH(ROW()-2,종합!$AB$3:$AB$501,0))&amp;"","")</f>
        <v/>
      </c>
    </row>
    <row r="139" customFormat="false" ht="16.5" hidden="false" customHeight="true" outlineLevel="0" collapsed="false">
      <c r="A139" s="18" t="str">
        <f aca="false">IF(B139="","",ROW()-2)</f>
        <v/>
      </c>
      <c r="B139" s="18" t="str">
        <f aca="false">IFERROR(INDEX(종합!B$3:B$501,MATCH(ROW()-2,종합!$AB$3:$AB$501,0))&amp;"","")</f>
        <v/>
      </c>
      <c r="C139" s="18" t="str">
        <f aca="false">IFERROR(INDEX(종합!C$3:C$501,MATCH(ROW()-2,종합!$AB$3:$AB$501,0))&amp;"","")</f>
        <v/>
      </c>
      <c r="D139" s="18" t="str">
        <f aca="false">IFERROR(INDEX(종합!D$3:D$501,MATCH(ROW()-2,종합!$AB$3:$AB$501,0))&amp;"","")</f>
        <v/>
      </c>
      <c r="E139" s="18" t="str">
        <f aca="false">IFERROR(INDEX(종합!E$3:E$501,MATCH(ROW()-2,종합!$AB$3:$AB$501,0))&amp;"","")</f>
        <v/>
      </c>
      <c r="F139" s="18" t="str">
        <f aca="false">IFERROR(INDEX(종합!F$3:F$501,MATCH(ROW()-2,종합!$AB$3:$AB$501,0))&amp;"","")</f>
        <v/>
      </c>
      <c r="G139" s="18" t="str">
        <f aca="false">IFERROR(INDEX(종합!G$3:G$501,MATCH(ROW()-2,종합!$AB$3:$AB$501,0))&amp;"","")</f>
        <v/>
      </c>
      <c r="H139" s="21" t="str">
        <f aca="false">IFERROR(INDEX(종합!H$3:H$501,MATCH(ROW()-2,종합!$AB$3:$AB$501,0))&amp;"","")</f>
        <v/>
      </c>
      <c r="I139" s="21" t="str">
        <f aca="false">IFERROR(INDEX(종합!I$3:I$501,MATCH(ROW()-2,종합!$AB$3:$AB$501,0))&amp;"","")</f>
        <v/>
      </c>
      <c r="J139" s="21" t="str">
        <f aca="false">IFERROR(INDEX(종합!J$3:J$501,MATCH(ROW()-2,종합!$AB$3:$AB$501,0))&amp;"","")</f>
        <v/>
      </c>
      <c r="K139" s="21" t="str">
        <f aca="false">IFERROR(INDEX(종합!K$3:K$501,MATCH(ROW()-2,종합!$AB$3:$AB$501,0))&amp;"","")</f>
        <v/>
      </c>
      <c r="L139" s="21" t="str">
        <f aca="false">IFERROR(INDEX(종합!L$3:L$501,MATCH(ROW()-2,종합!$AB$3:$AB$501,0))&amp;"","")</f>
        <v/>
      </c>
      <c r="M139" s="21" t="str">
        <f aca="false">IFERROR(INDEX(종합!M$3:M$501,MATCH(ROW()-2,종합!$AB$3:$AB$501,0))&amp;"","")</f>
        <v/>
      </c>
      <c r="N139" s="25" t="str">
        <f aca="false">IFERROR(INDEX(종합!N$3:N$501,MATCH(ROW()-2,종합!$AB$3:$AB$501,0))&amp;"","")</f>
        <v/>
      </c>
      <c r="O139" s="21" t="str">
        <f aca="false">IFERROR(INDEX(종합!O$3:O$501,MATCH(ROW()-2,종합!$AB$3:$AB$501,0))&amp;"","")</f>
        <v/>
      </c>
      <c r="P139" s="21" t="str">
        <f aca="false">IFERROR(INDEX(종합!P$3:P$501,MATCH(ROW()-2,종합!$AB$3:$AB$501,0))&amp;"","")</f>
        <v/>
      </c>
      <c r="Q139" s="21" t="str">
        <f aca="false">IFERROR(INDEX(종합!Q$3:Q$501,MATCH(ROW()-2,종합!$AB$3:$AB$501,0))&amp;"","")</f>
        <v/>
      </c>
      <c r="R139" s="21" t="str">
        <f aca="false">IFERROR(INDEX(종합!R$3:R$501,MATCH(ROW()-2,종합!$AB$3:$AB$501,0))&amp;"","")</f>
        <v/>
      </c>
      <c r="S139" s="21" t="str">
        <f aca="false">IFERROR(INDEX(종합!S$3:S$501,MATCH(ROW()-2,종합!$AB$3:$AB$501,0))&amp;"","")</f>
        <v/>
      </c>
      <c r="T139" s="21" t="str">
        <f aca="false">IFERROR(INDEX(종합!T$3:T$501,MATCH(ROW()-2,종합!$AB$3:$AB$501,0))&amp;"","")</f>
        <v/>
      </c>
      <c r="U139" s="21" t="str">
        <f aca="false">IFERROR(INDEX(종합!U$3:U$501,MATCH(ROW()-2,종합!$AB$3:$AB$501,0))&amp;"","")</f>
        <v/>
      </c>
      <c r="V139" s="21" t="str">
        <f aca="false">IFERROR(INDEX(종합!V$3:V$501,MATCH(ROW()-2,종합!$AB$3:$AB$501,0))&amp;"","")</f>
        <v/>
      </c>
      <c r="W139" s="21" t="str">
        <f aca="false">IFERROR(INDEX(종합!W$3:W$501,MATCH(ROW()-2,종합!$AB$3:$AB$501,0))&amp;"","")</f>
        <v/>
      </c>
      <c r="X139" s="21" t="str">
        <f aca="false">IFERROR(INDEX(종합!X$3:X$501,MATCH(ROW()-2,종합!$AB$3:$AB$501,0))&amp;"","")</f>
        <v/>
      </c>
      <c r="Y139" s="21" t="str">
        <f aca="false">IFERROR(INDEX(종합!Y$3:Y$501,MATCH(ROW()-2,종합!$AB$3:$AB$501,0))&amp;"","")</f>
        <v/>
      </c>
      <c r="Z139" s="21" t="str">
        <f aca="false">IFERROR(INDEX(종합!Z$3:Z$501,MATCH(ROW()-2,종합!$AB$3:$AB$501,0))&amp;"","")</f>
        <v/>
      </c>
    </row>
    <row r="140" customFormat="false" ht="16.5" hidden="false" customHeight="true" outlineLevel="0" collapsed="false">
      <c r="A140" s="18" t="str">
        <f aca="false">IF(B140="","",ROW()-2)</f>
        <v/>
      </c>
      <c r="B140" s="18" t="str">
        <f aca="false">IFERROR(INDEX(종합!B$3:B$501,MATCH(ROW()-2,종합!$AB$3:$AB$501,0))&amp;"","")</f>
        <v/>
      </c>
      <c r="C140" s="18" t="str">
        <f aca="false">IFERROR(INDEX(종합!C$3:C$501,MATCH(ROW()-2,종합!$AB$3:$AB$501,0))&amp;"","")</f>
        <v/>
      </c>
      <c r="D140" s="18" t="str">
        <f aca="false">IFERROR(INDEX(종합!D$3:D$501,MATCH(ROW()-2,종합!$AB$3:$AB$501,0))&amp;"","")</f>
        <v/>
      </c>
      <c r="E140" s="18" t="str">
        <f aca="false">IFERROR(INDEX(종합!E$3:E$501,MATCH(ROW()-2,종합!$AB$3:$AB$501,0))&amp;"","")</f>
        <v/>
      </c>
      <c r="F140" s="18" t="str">
        <f aca="false">IFERROR(INDEX(종합!F$3:F$501,MATCH(ROW()-2,종합!$AB$3:$AB$501,0))&amp;"","")</f>
        <v/>
      </c>
      <c r="G140" s="18" t="str">
        <f aca="false">IFERROR(INDEX(종합!G$3:G$501,MATCH(ROW()-2,종합!$AB$3:$AB$501,0))&amp;"","")</f>
        <v/>
      </c>
      <c r="H140" s="21" t="str">
        <f aca="false">IFERROR(INDEX(종합!H$3:H$501,MATCH(ROW()-2,종합!$AB$3:$AB$501,0))&amp;"","")</f>
        <v/>
      </c>
      <c r="I140" s="21" t="str">
        <f aca="false">IFERROR(INDEX(종합!I$3:I$501,MATCH(ROW()-2,종합!$AB$3:$AB$501,0))&amp;"","")</f>
        <v/>
      </c>
      <c r="J140" s="21" t="str">
        <f aca="false">IFERROR(INDEX(종합!J$3:J$501,MATCH(ROW()-2,종합!$AB$3:$AB$501,0))&amp;"","")</f>
        <v/>
      </c>
      <c r="K140" s="21" t="str">
        <f aca="false">IFERROR(INDEX(종합!K$3:K$501,MATCH(ROW()-2,종합!$AB$3:$AB$501,0))&amp;"","")</f>
        <v/>
      </c>
      <c r="L140" s="21" t="str">
        <f aca="false">IFERROR(INDEX(종합!L$3:L$501,MATCH(ROW()-2,종합!$AB$3:$AB$501,0))&amp;"","")</f>
        <v/>
      </c>
      <c r="M140" s="21" t="str">
        <f aca="false">IFERROR(INDEX(종합!M$3:M$501,MATCH(ROW()-2,종합!$AB$3:$AB$501,0))&amp;"","")</f>
        <v/>
      </c>
      <c r="N140" s="25" t="str">
        <f aca="false">IFERROR(INDEX(종합!N$3:N$501,MATCH(ROW()-2,종합!$AB$3:$AB$501,0))&amp;"","")</f>
        <v/>
      </c>
      <c r="O140" s="21" t="str">
        <f aca="false">IFERROR(INDEX(종합!O$3:O$501,MATCH(ROW()-2,종합!$AB$3:$AB$501,0))&amp;"","")</f>
        <v/>
      </c>
      <c r="P140" s="21" t="str">
        <f aca="false">IFERROR(INDEX(종합!P$3:P$501,MATCH(ROW()-2,종합!$AB$3:$AB$501,0))&amp;"","")</f>
        <v/>
      </c>
      <c r="Q140" s="21" t="str">
        <f aca="false">IFERROR(INDEX(종합!Q$3:Q$501,MATCH(ROW()-2,종합!$AB$3:$AB$501,0))&amp;"","")</f>
        <v/>
      </c>
      <c r="R140" s="21" t="str">
        <f aca="false">IFERROR(INDEX(종합!R$3:R$501,MATCH(ROW()-2,종합!$AB$3:$AB$501,0))&amp;"","")</f>
        <v/>
      </c>
      <c r="S140" s="21" t="str">
        <f aca="false">IFERROR(INDEX(종합!S$3:S$501,MATCH(ROW()-2,종합!$AB$3:$AB$501,0))&amp;"","")</f>
        <v/>
      </c>
      <c r="T140" s="21" t="str">
        <f aca="false">IFERROR(INDEX(종합!T$3:T$501,MATCH(ROW()-2,종합!$AB$3:$AB$501,0))&amp;"","")</f>
        <v/>
      </c>
      <c r="U140" s="21" t="str">
        <f aca="false">IFERROR(INDEX(종합!U$3:U$501,MATCH(ROW()-2,종합!$AB$3:$AB$501,0))&amp;"","")</f>
        <v/>
      </c>
      <c r="V140" s="21" t="str">
        <f aca="false">IFERROR(INDEX(종합!V$3:V$501,MATCH(ROW()-2,종합!$AB$3:$AB$501,0))&amp;"","")</f>
        <v/>
      </c>
      <c r="W140" s="21" t="str">
        <f aca="false">IFERROR(INDEX(종합!W$3:W$501,MATCH(ROW()-2,종합!$AB$3:$AB$501,0))&amp;"","")</f>
        <v/>
      </c>
      <c r="X140" s="21" t="str">
        <f aca="false">IFERROR(INDEX(종합!X$3:X$501,MATCH(ROW()-2,종합!$AB$3:$AB$501,0))&amp;"","")</f>
        <v/>
      </c>
      <c r="Y140" s="21" t="str">
        <f aca="false">IFERROR(INDEX(종합!Y$3:Y$501,MATCH(ROW()-2,종합!$AB$3:$AB$501,0))&amp;"","")</f>
        <v/>
      </c>
      <c r="Z140" s="21" t="str">
        <f aca="false">IFERROR(INDEX(종합!Z$3:Z$501,MATCH(ROW()-2,종합!$AB$3:$AB$501,0))&amp;"","")</f>
        <v/>
      </c>
    </row>
    <row r="141" customFormat="false" ht="16.5" hidden="false" customHeight="true" outlineLevel="0" collapsed="false">
      <c r="A141" s="18" t="str">
        <f aca="false">IF(B141="","",ROW()-2)</f>
        <v/>
      </c>
      <c r="B141" s="18" t="str">
        <f aca="false">IFERROR(INDEX(종합!B$3:B$501,MATCH(ROW()-2,종합!$AB$3:$AB$501,0))&amp;"","")</f>
        <v/>
      </c>
      <c r="C141" s="18" t="str">
        <f aca="false">IFERROR(INDEX(종합!C$3:C$501,MATCH(ROW()-2,종합!$AB$3:$AB$501,0))&amp;"","")</f>
        <v/>
      </c>
      <c r="D141" s="18" t="str">
        <f aca="false">IFERROR(INDEX(종합!D$3:D$501,MATCH(ROW()-2,종합!$AB$3:$AB$501,0))&amp;"","")</f>
        <v/>
      </c>
      <c r="E141" s="18" t="str">
        <f aca="false">IFERROR(INDEX(종합!E$3:E$501,MATCH(ROW()-2,종합!$AB$3:$AB$501,0))&amp;"","")</f>
        <v/>
      </c>
      <c r="F141" s="18" t="str">
        <f aca="false">IFERROR(INDEX(종합!F$3:F$501,MATCH(ROW()-2,종합!$AB$3:$AB$501,0))&amp;"","")</f>
        <v/>
      </c>
      <c r="G141" s="18" t="str">
        <f aca="false">IFERROR(INDEX(종합!G$3:G$501,MATCH(ROW()-2,종합!$AB$3:$AB$501,0))&amp;"","")</f>
        <v/>
      </c>
      <c r="H141" s="21" t="str">
        <f aca="false">IFERROR(INDEX(종합!H$3:H$501,MATCH(ROW()-2,종합!$AB$3:$AB$501,0))&amp;"","")</f>
        <v/>
      </c>
      <c r="I141" s="21" t="str">
        <f aca="false">IFERROR(INDEX(종합!I$3:I$501,MATCH(ROW()-2,종합!$AB$3:$AB$501,0))&amp;"","")</f>
        <v/>
      </c>
      <c r="J141" s="21" t="str">
        <f aca="false">IFERROR(INDEX(종합!J$3:J$501,MATCH(ROW()-2,종합!$AB$3:$AB$501,0))&amp;"","")</f>
        <v/>
      </c>
      <c r="K141" s="21" t="str">
        <f aca="false">IFERROR(INDEX(종합!K$3:K$501,MATCH(ROW()-2,종합!$AB$3:$AB$501,0))&amp;"","")</f>
        <v/>
      </c>
      <c r="L141" s="21" t="str">
        <f aca="false">IFERROR(INDEX(종합!L$3:L$501,MATCH(ROW()-2,종합!$AB$3:$AB$501,0))&amp;"","")</f>
        <v/>
      </c>
      <c r="M141" s="21" t="str">
        <f aca="false">IFERROR(INDEX(종합!M$3:M$501,MATCH(ROW()-2,종합!$AB$3:$AB$501,0))&amp;"","")</f>
        <v/>
      </c>
      <c r="N141" s="25" t="str">
        <f aca="false">IFERROR(INDEX(종합!N$3:N$501,MATCH(ROW()-2,종합!$AB$3:$AB$501,0))&amp;"","")</f>
        <v/>
      </c>
      <c r="O141" s="21" t="str">
        <f aca="false">IFERROR(INDEX(종합!O$3:O$501,MATCH(ROW()-2,종합!$AB$3:$AB$501,0))&amp;"","")</f>
        <v/>
      </c>
      <c r="P141" s="21" t="str">
        <f aca="false">IFERROR(INDEX(종합!P$3:P$501,MATCH(ROW()-2,종합!$AB$3:$AB$501,0))&amp;"","")</f>
        <v/>
      </c>
      <c r="Q141" s="21" t="str">
        <f aca="false">IFERROR(INDEX(종합!Q$3:Q$501,MATCH(ROW()-2,종합!$AB$3:$AB$501,0))&amp;"","")</f>
        <v/>
      </c>
      <c r="R141" s="21" t="str">
        <f aca="false">IFERROR(INDEX(종합!R$3:R$501,MATCH(ROW()-2,종합!$AB$3:$AB$501,0))&amp;"","")</f>
        <v/>
      </c>
      <c r="S141" s="21" t="str">
        <f aca="false">IFERROR(INDEX(종합!S$3:S$501,MATCH(ROW()-2,종합!$AB$3:$AB$501,0))&amp;"","")</f>
        <v/>
      </c>
      <c r="T141" s="21" t="str">
        <f aca="false">IFERROR(INDEX(종합!T$3:T$501,MATCH(ROW()-2,종합!$AB$3:$AB$501,0))&amp;"","")</f>
        <v/>
      </c>
      <c r="U141" s="21" t="str">
        <f aca="false">IFERROR(INDEX(종합!U$3:U$501,MATCH(ROW()-2,종합!$AB$3:$AB$501,0))&amp;"","")</f>
        <v/>
      </c>
      <c r="V141" s="21" t="str">
        <f aca="false">IFERROR(INDEX(종합!V$3:V$501,MATCH(ROW()-2,종합!$AB$3:$AB$501,0))&amp;"","")</f>
        <v/>
      </c>
      <c r="W141" s="21" t="str">
        <f aca="false">IFERROR(INDEX(종합!W$3:W$501,MATCH(ROW()-2,종합!$AB$3:$AB$501,0))&amp;"","")</f>
        <v/>
      </c>
      <c r="X141" s="21" t="str">
        <f aca="false">IFERROR(INDEX(종합!X$3:X$501,MATCH(ROW()-2,종합!$AB$3:$AB$501,0))&amp;"","")</f>
        <v/>
      </c>
      <c r="Y141" s="21" t="str">
        <f aca="false">IFERROR(INDEX(종합!Y$3:Y$501,MATCH(ROW()-2,종합!$AB$3:$AB$501,0))&amp;"","")</f>
        <v/>
      </c>
      <c r="Z141" s="21" t="str">
        <f aca="false">IFERROR(INDEX(종합!Z$3:Z$501,MATCH(ROW()-2,종합!$AB$3:$AB$501,0))&amp;"","")</f>
        <v/>
      </c>
    </row>
    <row r="142" customFormat="false" ht="16.5" hidden="false" customHeight="true" outlineLevel="0" collapsed="false">
      <c r="A142" s="18" t="str">
        <f aca="false">IF(B142="","",ROW()-2)</f>
        <v/>
      </c>
      <c r="B142" s="18" t="str">
        <f aca="false">IFERROR(INDEX(종합!B$3:B$501,MATCH(ROW()-2,종합!$AB$3:$AB$501,0))&amp;"","")</f>
        <v/>
      </c>
      <c r="C142" s="18" t="str">
        <f aca="false">IFERROR(INDEX(종합!C$3:C$501,MATCH(ROW()-2,종합!$AB$3:$AB$501,0))&amp;"","")</f>
        <v/>
      </c>
      <c r="D142" s="18" t="str">
        <f aca="false">IFERROR(INDEX(종합!D$3:D$501,MATCH(ROW()-2,종합!$AB$3:$AB$501,0))&amp;"","")</f>
        <v/>
      </c>
      <c r="E142" s="18" t="str">
        <f aca="false">IFERROR(INDEX(종합!E$3:E$501,MATCH(ROW()-2,종합!$AB$3:$AB$501,0))&amp;"","")</f>
        <v/>
      </c>
      <c r="F142" s="18" t="str">
        <f aca="false">IFERROR(INDEX(종합!F$3:F$501,MATCH(ROW()-2,종합!$AB$3:$AB$501,0))&amp;"","")</f>
        <v/>
      </c>
      <c r="G142" s="18" t="str">
        <f aca="false">IFERROR(INDEX(종합!G$3:G$501,MATCH(ROW()-2,종합!$AB$3:$AB$501,0))&amp;"","")</f>
        <v/>
      </c>
      <c r="H142" s="21" t="str">
        <f aca="false">IFERROR(INDEX(종합!H$3:H$501,MATCH(ROW()-2,종합!$AB$3:$AB$501,0))&amp;"","")</f>
        <v/>
      </c>
      <c r="I142" s="21" t="str">
        <f aca="false">IFERROR(INDEX(종합!I$3:I$501,MATCH(ROW()-2,종합!$AB$3:$AB$501,0))&amp;"","")</f>
        <v/>
      </c>
      <c r="J142" s="21" t="str">
        <f aca="false">IFERROR(INDEX(종합!J$3:J$501,MATCH(ROW()-2,종합!$AB$3:$AB$501,0))&amp;"","")</f>
        <v/>
      </c>
      <c r="K142" s="21" t="str">
        <f aca="false">IFERROR(INDEX(종합!K$3:K$501,MATCH(ROW()-2,종합!$AB$3:$AB$501,0))&amp;"","")</f>
        <v/>
      </c>
      <c r="L142" s="21" t="str">
        <f aca="false">IFERROR(INDEX(종합!L$3:L$501,MATCH(ROW()-2,종합!$AB$3:$AB$501,0))&amp;"","")</f>
        <v/>
      </c>
      <c r="M142" s="21" t="str">
        <f aca="false">IFERROR(INDEX(종합!M$3:M$501,MATCH(ROW()-2,종합!$AB$3:$AB$501,0))&amp;"","")</f>
        <v/>
      </c>
      <c r="N142" s="25" t="str">
        <f aca="false">IFERROR(INDEX(종합!N$3:N$501,MATCH(ROW()-2,종합!$AB$3:$AB$501,0))&amp;"","")</f>
        <v/>
      </c>
      <c r="O142" s="21" t="str">
        <f aca="false">IFERROR(INDEX(종합!O$3:O$501,MATCH(ROW()-2,종합!$AB$3:$AB$501,0))&amp;"","")</f>
        <v/>
      </c>
      <c r="P142" s="21" t="str">
        <f aca="false">IFERROR(INDEX(종합!P$3:P$501,MATCH(ROW()-2,종합!$AB$3:$AB$501,0))&amp;"","")</f>
        <v/>
      </c>
      <c r="Q142" s="21" t="str">
        <f aca="false">IFERROR(INDEX(종합!Q$3:Q$501,MATCH(ROW()-2,종합!$AB$3:$AB$501,0))&amp;"","")</f>
        <v/>
      </c>
      <c r="R142" s="21" t="str">
        <f aca="false">IFERROR(INDEX(종합!R$3:R$501,MATCH(ROW()-2,종합!$AB$3:$AB$501,0))&amp;"","")</f>
        <v/>
      </c>
      <c r="S142" s="21" t="str">
        <f aca="false">IFERROR(INDEX(종합!S$3:S$501,MATCH(ROW()-2,종합!$AB$3:$AB$501,0))&amp;"","")</f>
        <v/>
      </c>
      <c r="T142" s="21" t="str">
        <f aca="false">IFERROR(INDEX(종합!T$3:T$501,MATCH(ROW()-2,종합!$AB$3:$AB$501,0))&amp;"","")</f>
        <v/>
      </c>
      <c r="U142" s="21" t="str">
        <f aca="false">IFERROR(INDEX(종합!U$3:U$501,MATCH(ROW()-2,종합!$AB$3:$AB$501,0))&amp;"","")</f>
        <v/>
      </c>
      <c r="V142" s="21" t="str">
        <f aca="false">IFERROR(INDEX(종합!V$3:V$501,MATCH(ROW()-2,종합!$AB$3:$AB$501,0))&amp;"","")</f>
        <v/>
      </c>
      <c r="W142" s="21" t="str">
        <f aca="false">IFERROR(INDEX(종합!W$3:W$501,MATCH(ROW()-2,종합!$AB$3:$AB$501,0))&amp;"","")</f>
        <v/>
      </c>
      <c r="X142" s="21" t="str">
        <f aca="false">IFERROR(INDEX(종합!X$3:X$501,MATCH(ROW()-2,종합!$AB$3:$AB$501,0))&amp;"","")</f>
        <v/>
      </c>
      <c r="Y142" s="21" t="str">
        <f aca="false">IFERROR(INDEX(종합!Y$3:Y$501,MATCH(ROW()-2,종합!$AB$3:$AB$501,0))&amp;"","")</f>
        <v/>
      </c>
      <c r="Z142" s="21" t="str">
        <f aca="false">IFERROR(INDEX(종합!Z$3:Z$501,MATCH(ROW()-2,종합!$AB$3:$AB$501,0))&amp;"","")</f>
        <v/>
      </c>
    </row>
    <row r="143" customFormat="false" ht="16.5" hidden="false" customHeight="true" outlineLevel="0" collapsed="false">
      <c r="A143" s="18" t="str">
        <f aca="false">IF(B143="","",ROW()-2)</f>
        <v/>
      </c>
      <c r="B143" s="18" t="str">
        <f aca="false">IFERROR(INDEX(종합!B$3:B$501,MATCH(ROW()-2,종합!$AB$3:$AB$501,0))&amp;"","")</f>
        <v/>
      </c>
      <c r="C143" s="18" t="str">
        <f aca="false">IFERROR(INDEX(종합!C$3:C$501,MATCH(ROW()-2,종합!$AB$3:$AB$501,0))&amp;"","")</f>
        <v/>
      </c>
      <c r="D143" s="18" t="str">
        <f aca="false">IFERROR(INDEX(종합!D$3:D$501,MATCH(ROW()-2,종합!$AB$3:$AB$501,0))&amp;"","")</f>
        <v/>
      </c>
      <c r="E143" s="18" t="str">
        <f aca="false">IFERROR(INDEX(종합!E$3:E$501,MATCH(ROW()-2,종합!$AB$3:$AB$501,0))&amp;"","")</f>
        <v/>
      </c>
      <c r="F143" s="18" t="str">
        <f aca="false">IFERROR(INDEX(종합!F$3:F$501,MATCH(ROW()-2,종합!$AB$3:$AB$501,0))&amp;"","")</f>
        <v/>
      </c>
      <c r="G143" s="18" t="str">
        <f aca="false">IFERROR(INDEX(종합!G$3:G$501,MATCH(ROW()-2,종합!$AB$3:$AB$501,0))&amp;"","")</f>
        <v/>
      </c>
      <c r="H143" s="21" t="str">
        <f aca="false">IFERROR(INDEX(종합!H$3:H$501,MATCH(ROW()-2,종합!$AB$3:$AB$501,0))&amp;"","")</f>
        <v/>
      </c>
      <c r="I143" s="21" t="str">
        <f aca="false">IFERROR(INDEX(종합!I$3:I$501,MATCH(ROW()-2,종합!$AB$3:$AB$501,0))&amp;"","")</f>
        <v/>
      </c>
      <c r="J143" s="21" t="str">
        <f aca="false">IFERROR(INDEX(종합!J$3:J$501,MATCH(ROW()-2,종합!$AB$3:$AB$501,0))&amp;"","")</f>
        <v/>
      </c>
      <c r="K143" s="21" t="str">
        <f aca="false">IFERROR(INDEX(종합!K$3:K$501,MATCH(ROW()-2,종합!$AB$3:$AB$501,0))&amp;"","")</f>
        <v/>
      </c>
      <c r="L143" s="21" t="str">
        <f aca="false">IFERROR(INDEX(종합!L$3:L$501,MATCH(ROW()-2,종합!$AB$3:$AB$501,0))&amp;"","")</f>
        <v/>
      </c>
      <c r="M143" s="21" t="str">
        <f aca="false">IFERROR(INDEX(종합!M$3:M$501,MATCH(ROW()-2,종합!$AB$3:$AB$501,0))&amp;"","")</f>
        <v/>
      </c>
      <c r="N143" s="25" t="str">
        <f aca="false">IFERROR(INDEX(종합!N$3:N$501,MATCH(ROW()-2,종합!$AB$3:$AB$501,0))&amp;"","")</f>
        <v/>
      </c>
      <c r="O143" s="21" t="str">
        <f aca="false">IFERROR(INDEX(종합!O$3:O$501,MATCH(ROW()-2,종합!$AB$3:$AB$501,0))&amp;"","")</f>
        <v/>
      </c>
      <c r="P143" s="21" t="str">
        <f aca="false">IFERROR(INDEX(종합!P$3:P$501,MATCH(ROW()-2,종합!$AB$3:$AB$501,0))&amp;"","")</f>
        <v/>
      </c>
      <c r="Q143" s="21" t="str">
        <f aca="false">IFERROR(INDEX(종합!Q$3:Q$501,MATCH(ROW()-2,종합!$AB$3:$AB$501,0))&amp;"","")</f>
        <v/>
      </c>
      <c r="R143" s="21" t="str">
        <f aca="false">IFERROR(INDEX(종합!R$3:R$501,MATCH(ROW()-2,종합!$AB$3:$AB$501,0))&amp;"","")</f>
        <v/>
      </c>
      <c r="S143" s="21" t="str">
        <f aca="false">IFERROR(INDEX(종합!S$3:S$501,MATCH(ROW()-2,종합!$AB$3:$AB$501,0))&amp;"","")</f>
        <v/>
      </c>
      <c r="T143" s="21" t="str">
        <f aca="false">IFERROR(INDEX(종합!T$3:T$501,MATCH(ROW()-2,종합!$AB$3:$AB$501,0))&amp;"","")</f>
        <v/>
      </c>
      <c r="U143" s="21" t="str">
        <f aca="false">IFERROR(INDEX(종합!U$3:U$501,MATCH(ROW()-2,종합!$AB$3:$AB$501,0))&amp;"","")</f>
        <v/>
      </c>
      <c r="V143" s="21" t="str">
        <f aca="false">IFERROR(INDEX(종합!V$3:V$501,MATCH(ROW()-2,종합!$AB$3:$AB$501,0))&amp;"","")</f>
        <v/>
      </c>
      <c r="W143" s="21" t="str">
        <f aca="false">IFERROR(INDEX(종합!W$3:W$501,MATCH(ROW()-2,종합!$AB$3:$AB$501,0))&amp;"","")</f>
        <v/>
      </c>
      <c r="X143" s="21" t="str">
        <f aca="false">IFERROR(INDEX(종합!X$3:X$501,MATCH(ROW()-2,종합!$AB$3:$AB$501,0))&amp;"","")</f>
        <v/>
      </c>
      <c r="Y143" s="21" t="str">
        <f aca="false">IFERROR(INDEX(종합!Y$3:Y$501,MATCH(ROW()-2,종합!$AB$3:$AB$501,0))&amp;"","")</f>
        <v/>
      </c>
      <c r="Z143" s="21" t="str">
        <f aca="false">IFERROR(INDEX(종합!Z$3:Z$501,MATCH(ROW()-2,종합!$AB$3:$AB$501,0))&amp;"","")</f>
        <v/>
      </c>
    </row>
    <row r="144" customFormat="false" ht="16.5" hidden="false" customHeight="true" outlineLevel="0" collapsed="false">
      <c r="A144" s="18" t="str">
        <f aca="false">IF(B144="","",ROW()-2)</f>
        <v/>
      </c>
      <c r="B144" s="18" t="str">
        <f aca="false">IFERROR(INDEX(종합!B$3:B$501,MATCH(ROW()-2,종합!$AB$3:$AB$501,0))&amp;"","")</f>
        <v/>
      </c>
      <c r="C144" s="18" t="str">
        <f aca="false">IFERROR(INDEX(종합!C$3:C$501,MATCH(ROW()-2,종합!$AB$3:$AB$501,0))&amp;"","")</f>
        <v/>
      </c>
      <c r="D144" s="18" t="str">
        <f aca="false">IFERROR(INDEX(종합!D$3:D$501,MATCH(ROW()-2,종합!$AB$3:$AB$501,0))&amp;"","")</f>
        <v/>
      </c>
      <c r="E144" s="18" t="str">
        <f aca="false">IFERROR(INDEX(종합!E$3:E$501,MATCH(ROW()-2,종합!$AB$3:$AB$501,0))&amp;"","")</f>
        <v/>
      </c>
      <c r="F144" s="18" t="str">
        <f aca="false">IFERROR(INDEX(종합!F$3:F$501,MATCH(ROW()-2,종합!$AB$3:$AB$501,0))&amp;"","")</f>
        <v/>
      </c>
      <c r="G144" s="18" t="str">
        <f aca="false">IFERROR(INDEX(종합!G$3:G$501,MATCH(ROW()-2,종합!$AB$3:$AB$501,0))&amp;"","")</f>
        <v/>
      </c>
      <c r="H144" s="21" t="str">
        <f aca="false">IFERROR(INDEX(종합!H$3:H$501,MATCH(ROW()-2,종합!$AB$3:$AB$501,0))&amp;"","")</f>
        <v/>
      </c>
      <c r="I144" s="21" t="str">
        <f aca="false">IFERROR(INDEX(종합!I$3:I$501,MATCH(ROW()-2,종합!$AB$3:$AB$501,0))&amp;"","")</f>
        <v/>
      </c>
      <c r="J144" s="21" t="str">
        <f aca="false">IFERROR(INDEX(종합!J$3:J$501,MATCH(ROW()-2,종합!$AB$3:$AB$501,0))&amp;"","")</f>
        <v/>
      </c>
      <c r="K144" s="21" t="str">
        <f aca="false">IFERROR(INDEX(종합!K$3:K$501,MATCH(ROW()-2,종합!$AB$3:$AB$501,0))&amp;"","")</f>
        <v/>
      </c>
      <c r="L144" s="21" t="str">
        <f aca="false">IFERROR(INDEX(종합!L$3:L$501,MATCH(ROW()-2,종합!$AB$3:$AB$501,0))&amp;"","")</f>
        <v/>
      </c>
      <c r="M144" s="21" t="str">
        <f aca="false">IFERROR(INDEX(종합!M$3:M$501,MATCH(ROW()-2,종합!$AB$3:$AB$501,0))&amp;"","")</f>
        <v/>
      </c>
      <c r="N144" s="25" t="str">
        <f aca="false">IFERROR(INDEX(종합!N$3:N$501,MATCH(ROW()-2,종합!$AB$3:$AB$501,0))&amp;"","")</f>
        <v/>
      </c>
      <c r="O144" s="21" t="str">
        <f aca="false">IFERROR(INDEX(종합!O$3:O$501,MATCH(ROW()-2,종합!$AB$3:$AB$501,0))&amp;"","")</f>
        <v/>
      </c>
      <c r="P144" s="21" t="str">
        <f aca="false">IFERROR(INDEX(종합!P$3:P$501,MATCH(ROW()-2,종합!$AB$3:$AB$501,0))&amp;"","")</f>
        <v/>
      </c>
      <c r="Q144" s="21" t="str">
        <f aca="false">IFERROR(INDEX(종합!Q$3:Q$501,MATCH(ROW()-2,종합!$AB$3:$AB$501,0))&amp;"","")</f>
        <v/>
      </c>
      <c r="R144" s="21" t="str">
        <f aca="false">IFERROR(INDEX(종합!R$3:R$501,MATCH(ROW()-2,종합!$AB$3:$AB$501,0))&amp;"","")</f>
        <v/>
      </c>
      <c r="S144" s="21" t="str">
        <f aca="false">IFERROR(INDEX(종합!S$3:S$501,MATCH(ROW()-2,종합!$AB$3:$AB$501,0))&amp;"","")</f>
        <v/>
      </c>
      <c r="T144" s="21" t="str">
        <f aca="false">IFERROR(INDEX(종합!T$3:T$501,MATCH(ROW()-2,종합!$AB$3:$AB$501,0))&amp;"","")</f>
        <v/>
      </c>
      <c r="U144" s="21" t="str">
        <f aca="false">IFERROR(INDEX(종합!U$3:U$501,MATCH(ROW()-2,종합!$AB$3:$AB$501,0))&amp;"","")</f>
        <v/>
      </c>
      <c r="V144" s="21" t="str">
        <f aca="false">IFERROR(INDEX(종합!V$3:V$501,MATCH(ROW()-2,종합!$AB$3:$AB$501,0))&amp;"","")</f>
        <v/>
      </c>
      <c r="W144" s="21" t="str">
        <f aca="false">IFERROR(INDEX(종합!W$3:W$501,MATCH(ROW()-2,종합!$AB$3:$AB$501,0))&amp;"","")</f>
        <v/>
      </c>
      <c r="X144" s="21" t="str">
        <f aca="false">IFERROR(INDEX(종합!X$3:X$501,MATCH(ROW()-2,종합!$AB$3:$AB$501,0))&amp;"","")</f>
        <v/>
      </c>
      <c r="Y144" s="21" t="str">
        <f aca="false">IFERROR(INDEX(종합!Y$3:Y$501,MATCH(ROW()-2,종합!$AB$3:$AB$501,0))&amp;"","")</f>
        <v/>
      </c>
      <c r="Z144" s="21" t="str">
        <f aca="false">IFERROR(INDEX(종합!Z$3:Z$501,MATCH(ROW()-2,종합!$AB$3:$AB$501,0))&amp;"","")</f>
        <v/>
      </c>
    </row>
    <row r="145" customFormat="false" ht="16.5" hidden="false" customHeight="true" outlineLevel="0" collapsed="false">
      <c r="A145" s="18" t="str">
        <f aca="false">IF(B145="","",ROW()-2)</f>
        <v/>
      </c>
      <c r="B145" s="18" t="str">
        <f aca="false">IFERROR(INDEX(종합!B$3:B$501,MATCH(ROW()-2,종합!$AB$3:$AB$501,0))&amp;"","")</f>
        <v/>
      </c>
      <c r="C145" s="18" t="str">
        <f aca="false">IFERROR(INDEX(종합!C$3:C$501,MATCH(ROW()-2,종합!$AB$3:$AB$501,0))&amp;"","")</f>
        <v/>
      </c>
      <c r="D145" s="18" t="str">
        <f aca="false">IFERROR(INDEX(종합!D$3:D$501,MATCH(ROW()-2,종합!$AB$3:$AB$501,0))&amp;"","")</f>
        <v/>
      </c>
      <c r="E145" s="18" t="str">
        <f aca="false">IFERROR(INDEX(종합!E$3:E$501,MATCH(ROW()-2,종합!$AB$3:$AB$501,0))&amp;"","")</f>
        <v/>
      </c>
      <c r="F145" s="18" t="str">
        <f aca="false">IFERROR(INDEX(종합!F$3:F$501,MATCH(ROW()-2,종합!$AB$3:$AB$501,0))&amp;"","")</f>
        <v/>
      </c>
      <c r="G145" s="18" t="str">
        <f aca="false">IFERROR(INDEX(종합!G$3:G$501,MATCH(ROW()-2,종합!$AB$3:$AB$501,0))&amp;"","")</f>
        <v/>
      </c>
      <c r="H145" s="21" t="str">
        <f aca="false">IFERROR(INDEX(종합!H$3:H$501,MATCH(ROW()-2,종합!$AB$3:$AB$501,0))&amp;"","")</f>
        <v/>
      </c>
      <c r="I145" s="21" t="str">
        <f aca="false">IFERROR(INDEX(종합!I$3:I$501,MATCH(ROW()-2,종합!$AB$3:$AB$501,0))&amp;"","")</f>
        <v/>
      </c>
      <c r="J145" s="21" t="str">
        <f aca="false">IFERROR(INDEX(종합!J$3:J$501,MATCH(ROW()-2,종합!$AB$3:$AB$501,0))&amp;"","")</f>
        <v/>
      </c>
      <c r="K145" s="21" t="str">
        <f aca="false">IFERROR(INDEX(종합!K$3:K$501,MATCH(ROW()-2,종합!$AB$3:$AB$501,0))&amp;"","")</f>
        <v/>
      </c>
      <c r="L145" s="21" t="str">
        <f aca="false">IFERROR(INDEX(종합!L$3:L$501,MATCH(ROW()-2,종합!$AB$3:$AB$501,0))&amp;"","")</f>
        <v/>
      </c>
      <c r="M145" s="21" t="str">
        <f aca="false">IFERROR(INDEX(종합!M$3:M$501,MATCH(ROW()-2,종합!$AB$3:$AB$501,0))&amp;"","")</f>
        <v/>
      </c>
      <c r="N145" s="25" t="str">
        <f aca="false">IFERROR(INDEX(종합!N$3:N$501,MATCH(ROW()-2,종합!$AB$3:$AB$501,0))&amp;"","")</f>
        <v/>
      </c>
      <c r="O145" s="21" t="str">
        <f aca="false">IFERROR(INDEX(종합!O$3:O$501,MATCH(ROW()-2,종합!$AB$3:$AB$501,0))&amp;"","")</f>
        <v/>
      </c>
      <c r="P145" s="21" t="str">
        <f aca="false">IFERROR(INDEX(종합!P$3:P$501,MATCH(ROW()-2,종합!$AB$3:$AB$501,0))&amp;"","")</f>
        <v/>
      </c>
      <c r="Q145" s="21" t="str">
        <f aca="false">IFERROR(INDEX(종합!Q$3:Q$501,MATCH(ROW()-2,종합!$AB$3:$AB$501,0))&amp;"","")</f>
        <v/>
      </c>
      <c r="R145" s="21" t="str">
        <f aca="false">IFERROR(INDEX(종합!R$3:R$501,MATCH(ROW()-2,종합!$AB$3:$AB$501,0))&amp;"","")</f>
        <v/>
      </c>
      <c r="S145" s="21" t="str">
        <f aca="false">IFERROR(INDEX(종합!S$3:S$501,MATCH(ROW()-2,종합!$AB$3:$AB$501,0))&amp;"","")</f>
        <v/>
      </c>
      <c r="T145" s="21" t="str">
        <f aca="false">IFERROR(INDEX(종합!T$3:T$501,MATCH(ROW()-2,종합!$AB$3:$AB$501,0))&amp;"","")</f>
        <v/>
      </c>
      <c r="U145" s="21" t="str">
        <f aca="false">IFERROR(INDEX(종합!U$3:U$501,MATCH(ROW()-2,종합!$AB$3:$AB$501,0))&amp;"","")</f>
        <v/>
      </c>
      <c r="V145" s="21" t="str">
        <f aca="false">IFERROR(INDEX(종합!V$3:V$501,MATCH(ROW()-2,종합!$AB$3:$AB$501,0))&amp;"","")</f>
        <v/>
      </c>
      <c r="W145" s="21" t="str">
        <f aca="false">IFERROR(INDEX(종합!W$3:W$501,MATCH(ROW()-2,종합!$AB$3:$AB$501,0))&amp;"","")</f>
        <v/>
      </c>
      <c r="X145" s="21" t="str">
        <f aca="false">IFERROR(INDEX(종합!X$3:X$501,MATCH(ROW()-2,종합!$AB$3:$AB$501,0))&amp;"","")</f>
        <v/>
      </c>
      <c r="Y145" s="21" t="str">
        <f aca="false">IFERROR(INDEX(종합!Y$3:Y$501,MATCH(ROW()-2,종합!$AB$3:$AB$501,0))&amp;"","")</f>
        <v/>
      </c>
      <c r="Z145" s="21" t="str">
        <f aca="false">IFERROR(INDEX(종합!Z$3:Z$501,MATCH(ROW()-2,종합!$AB$3:$AB$501,0))&amp;"","")</f>
        <v/>
      </c>
    </row>
    <row r="146" customFormat="false" ht="16.5" hidden="false" customHeight="true" outlineLevel="0" collapsed="false">
      <c r="A146" s="18" t="str">
        <f aca="false">IF(B146="","",ROW()-2)</f>
        <v/>
      </c>
      <c r="B146" s="18" t="str">
        <f aca="false">IFERROR(INDEX(종합!B$3:B$501,MATCH(ROW()-2,종합!$AB$3:$AB$501,0))&amp;"","")</f>
        <v/>
      </c>
      <c r="C146" s="18" t="str">
        <f aca="false">IFERROR(INDEX(종합!C$3:C$501,MATCH(ROW()-2,종합!$AB$3:$AB$501,0))&amp;"","")</f>
        <v/>
      </c>
      <c r="D146" s="18" t="str">
        <f aca="false">IFERROR(INDEX(종합!D$3:D$501,MATCH(ROW()-2,종합!$AB$3:$AB$501,0))&amp;"","")</f>
        <v/>
      </c>
      <c r="E146" s="18" t="str">
        <f aca="false">IFERROR(INDEX(종합!E$3:E$501,MATCH(ROW()-2,종합!$AB$3:$AB$501,0))&amp;"","")</f>
        <v/>
      </c>
      <c r="F146" s="18" t="str">
        <f aca="false">IFERROR(INDEX(종합!F$3:F$501,MATCH(ROW()-2,종합!$AB$3:$AB$501,0))&amp;"","")</f>
        <v/>
      </c>
      <c r="G146" s="18" t="str">
        <f aca="false">IFERROR(INDEX(종합!G$3:G$501,MATCH(ROW()-2,종합!$AB$3:$AB$501,0))&amp;"","")</f>
        <v/>
      </c>
      <c r="H146" s="21" t="str">
        <f aca="false">IFERROR(INDEX(종합!H$3:H$501,MATCH(ROW()-2,종합!$AB$3:$AB$501,0))&amp;"","")</f>
        <v/>
      </c>
      <c r="I146" s="21" t="str">
        <f aca="false">IFERROR(INDEX(종합!I$3:I$501,MATCH(ROW()-2,종합!$AB$3:$AB$501,0))&amp;"","")</f>
        <v/>
      </c>
      <c r="J146" s="21" t="str">
        <f aca="false">IFERROR(INDEX(종합!J$3:J$501,MATCH(ROW()-2,종합!$AB$3:$AB$501,0))&amp;"","")</f>
        <v/>
      </c>
      <c r="K146" s="21" t="str">
        <f aca="false">IFERROR(INDEX(종합!K$3:K$501,MATCH(ROW()-2,종합!$AB$3:$AB$501,0))&amp;"","")</f>
        <v/>
      </c>
      <c r="L146" s="21" t="str">
        <f aca="false">IFERROR(INDEX(종합!L$3:L$501,MATCH(ROW()-2,종합!$AB$3:$AB$501,0))&amp;"","")</f>
        <v/>
      </c>
      <c r="M146" s="21" t="str">
        <f aca="false">IFERROR(INDEX(종합!M$3:M$501,MATCH(ROW()-2,종합!$AB$3:$AB$501,0))&amp;"","")</f>
        <v/>
      </c>
      <c r="N146" s="25" t="str">
        <f aca="false">IFERROR(INDEX(종합!N$3:N$501,MATCH(ROW()-2,종합!$AB$3:$AB$501,0))&amp;"","")</f>
        <v/>
      </c>
      <c r="O146" s="21" t="str">
        <f aca="false">IFERROR(INDEX(종합!O$3:O$501,MATCH(ROW()-2,종합!$AB$3:$AB$501,0))&amp;"","")</f>
        <v/>
      </c>
      <c r="P146" s="21" t="str">
        <f aca="false">IFERROR(INDEX(종합!P$3:P$501,MATCH(ROW()-2,종합!$AB$3:$AB$501,0))&amp;"","")</f>
        <v/>
      </c>
      <c r="Q146" s="21" t="str">
        <f aca="false">IFERROR(INDEX(종합!Q$3:Q$501,MATCH(ROW()-2,종합!$AB$3:$AB$501,0))&amp;"","")</f>
        <v/>
      </c>
      <c r="R146" s="21" t="str">
        <f aca="false">IFERROR(INDEX(종합!R$3:R$501,MATCH(ROW()-2,종합!$AB$3:$AB$501,0))&amp;"","")</f>
        <v/>
      </c>
      <c r="S146" s="21" t="str">
        <f aca="false">IFERROR(INDEX(종합!S$3:S$501,MATCH(ROW()-2,종합!$AB$3:$AB$501,0))&amp;"","")</f>
        <v/>
      </c>
      <c r="T146" s="21" t="str">
        <f aca="false">IFERROR(INDEX(종합!T$3:T$501,MATCH(ROW()-2,종합!$AB$3:$AB$501,0))&amp;"","")</f>
        <v/>
      </c>
      <c r="U146" s="21" t="str">
        <f aca="false">IFERROR(INDEX(종합!U$3:U$501,MATCH(ROW()-2,종합!$AB$3:$AB$501,0))&amp;"","")</f>
        <v/>
      </c>
      <c r="V146" s="21" t="str">
        <f aca="false">IFERROR(INDEX(종합!V$3:V$501,MATCH(ROW()-2,종합!$AB$3:$AB$501,0))&amp;"","")</f>
        <v/>
      </c>
      <c r="W146" s="21" t="str">
        <f aca="false">IFERROR(INDEX(종합!W$3:W$501,MATCH(ROW()-2,종합!$AB$3:$AB$501,0))&amp;"","")</f>
        <v/>
      </c>
      <c r="X146" s="21" t="str">
        <f aca="false">IFERROR(INDEX(종합!X$3:X$501,MATCH(ROW()-2,종합!$AB$3:$AB$501,0))&amp;"","")</f>
        <v/>
      </c>
      <c r="Y146" s="21" t="str">
        <f aca="false">IFERROR(INDEX(종합!Y$3:Y$501,MATCH(ROW()-2,종합!$AB$3:$AB$501,0))&amp;"","")</f>
        <v/>
      </c>
      <c r="Z146" s="21" t="str">
        <f aca="false">IFERROR(INDEX(종합!Z$3:Z$501,MATCH(ROW()-2,종합!$AB$3:$AB$501,0))&amp;"","")</f>
        <v/>
      </c>
    </row>
    <row r="147" customFormat="false" ht="16.5" hidden="false" customHeight="true" outlineLevel="0" collapsed="false">
      <c r="A147" s="18" t="str">
        <f aca="false">IF(B147="","",ROW()-2)</f>
        <v/>
      </c>
      <c r="B147" s="18" t="str">
        <f aca="false">IFERROR(INDEX(종합!B$3:B$501,MATCH(ROW()-2,종합!$AB$3:$AB$501,0))&amp;"","")</f>
        <v/>
      </c>
      <c r="C147" s="18" t="str">
        <f aca="false">IFERROR(INDEX(종합!C$3:C$501,MATCH(ROW()-2,종합!$AB$3:$AB$501,0))&amp;"","")</f>
        <v/>
      </c>
      <c r="D147" s="18" t="str">
        <f aca="false">IFERROR(INDEX(종합!D$3:D$501,MATCH(ROW()-2,종합!$AB$3:$AB$501,0))&amp;"","")</f>
        <v/>
      </c>
      <c r="E147" s="18" t="str">
        <f aca="false">IFERROR(INDEX(종합!E$3:E$501,MATCH(ROW()-2,종합!$AB$3:$AB$501,0))&amp;"","")</f>
        <v/>
      </c>
      <c r="F147" s="18" t="str">
        <f aca="false">IFERROR(INDEX(종합!F$3:F$501,MATCH(ROW()-2,종합!$AB$3:$AB$501,0))&amp;"","")</f>
        <v/>
      </c>
      <c r="G147" s="18" t="str">
        <f aca="false">IFERROR(INDEX(종합!G$3:G$501,MATCH(ROW()-2,종합!$AB$3:$AB$501,0))&amp;"","")</f>
        <v/>
      </c>
      <c r="H147" s="21" t="str">
        <f aca="false">IFERROR(INDEX(종합!H$3:H$501,MATCH(ROW()-2,종합!$AB$3:$AB$501,0))&amp;"","")</f>
        <v/>
      </c>
      <c r="I147" s="21" t="str">
        <f aca="false">IFERROR(INDEX(종합!I$3:I$501,MATCH(ROW()-2,종합!$AB$3:$AB$501,0))&amp;"","")</f>
        <v/>
      </c>
      <c r="J147" s="21" t="str">
        <f aca="false">IFERROR(INDEX(종합!J$3:J$501,MATCH(ROW()-2,종합!$AB$3:$AB$501,0))&amp;"","")</f>
        <v/>
      </c>
      <c r="K147" s="21" t="str">
        <f aca="false">IFERROR(INDEX(종합!K$3:K$501,MATCH(ROW()-2,종합!$AB$3:$AB$501,0))&amp;"","")</f>
        <v/>
      </c>
      <c r="L147" s="21" t="str">
        <f aca="false">IFERROR(INDEX(종합!L$3:L$501,MATCH(ROW()-2,종합!$AB$3:$AB$501,0))&amp;"","")</f>
        <v/>
      </c>
      <c r="M147" s="21" t="str">
        <f aca="false">IFERROR(INDEX(종합!M$3:M$501,MATCH(ROW()-2,종합!$AB$3:$AB$501,0))&amp;"","")</f>
        <v/>
      </c>
      <c r="N147" s="25" t="str">
        <f aca="false">IFERROR(INDEX(종합!N$3:N$501,MATCH(ROW()-2,종합!$AB$3:$AB$501,0))&amp;"","")</f>
        <v/>
      </c>
      <c r="O147" s="21" t="str">
        <f aca="false">IFERROR(INDEX(종합!O$3:O$501,MATCH(ROW()-2,종합!$AB$3:$AB$501,0))&amp;"","")</f>
        <v/>
      </c>
      <c r="P147" s="21" t="str">
        <f aca="false">IFERROR(INDEX(종합!P$3:P$501,MATCH(ROW()-2,종합!$AB$3:$AB$501,0))&amp;"","")</f>
        <v/>
      </c>
      <c r="Q147" s="21" t="str">
        <f aca="false">IFERROR(INDEX(종합!Q$3:Q$501,MATCH(ROW()-2,종합!$AB$3:$AB$501,0))&amp;"","")</f>
        <v/>
      </c>
      <c r="R147" s="21" t="str">
        <f aca="false">IFERROR(INDEX(종합!R$3:R$501,MATCH(ROW()-2,종합!$AB$3:$AB$501,0))&amp;"","")</f>
        <v/>
      </c>
      <c r="S147" s="21" t="str">
        <f aca="false">IFERROR(INDEX(종합!S$3:S$501,MATCH(ROW()-2,종합!$AB$3:$AB$501,0))&amp;"","")</f>
        <v/>
      </c>
      <c r="T147" s="21" t="str">
        <f aca="false">IFERROR(INDEX(종합!T$3:T$501,MATCH(ROW()-2,종합!$AB$3:$AB$501,0))&amp;"","")</f>
        <v/>
      </c>
      <c r="U147" s="21" t="str">
        <f aca="false">IFERROR(INDEX(종합!U$3:U$501,MATCH(ROW()-2,종합!$AB$3:$AB$501,0))&amp;"","")</f>
        <v/>
      </c>
      <c r="V147" s="21" t="str">
        <f aca="false">IFERROR(INDEX(종합!V$3:V$501,MATCH(ROW()-2,종합!$AB$3:$AB$501,0))&amp;"","")</f>
        <v/>
      </c>
      <c r="W147" s="21" t="str">
        <f aca="false">IFERROR(INDEX(종합!W$3:W$501,MATCH(ROW()-2,종합!$AB$3:$AB$501,0))&amp;"","")</f>
        <v/>
      </c>
      <c r="X147" s="21" t="str">
        <f aca="false">IFERROR(INDEX(종합!X$3:X$501,MATCH(ROW()-2,종합!$AB$3:$AB$501,0))&amp;"","")</f>
        <v/>
      </c>
      <c r="Y147" s="21" t="str">
        <f aca="false">IFERROR(INDEX(종합!Y$3:Y$501,MATCH(ROW()-2,종합!$AB$3:$AB$501,0))&amp;"","")</f>
        <v/>
      </c>
      <c r="Z147" s="21" t="str">
        <f aca="false">IFERROR(INDEX(종합!Z$3:Z$501,MATCH(ROW()-2,종합!$AB$3:$AB$501,0))&amp;"","")</f>
        <v/>
      </c>
    </row>
    <row r="148" customFormat="false" ht="16.5" hidden="false" customHeight="true" outlineLevel="0" collapsed="false">
      <c r="A148" s="18" t="str">
        <f aca="false">IF(B148="","",ROW()-2)</f>
        <v/>
      </c>
      <c r="B148" s="18" t="str">
        <f aca="false">IFERROR(INDEX(종합!B$3:B$501,MATCH(ROW()-2,종합!$AB$3:$AB$501,0))&amp;"","")</f>
        <v/>
      </c>
      <c r="C148" s="18" t="str">
        <f aca="false">IFERROR(INDEX(종합!C$3:C$501,MATCH(ROW()-2,종합!$AB$3:$AB$501,0))&amp;"","")</f>
        <v/>
      </c>
      <c r="D148" s="18" t="str">
        <f aca="false">IFERROR(INDEX(종합!D$3:D$501,MATCH(ROW()-2,종합!$AB$3:$AB$501,0))&amp;"","")</f>
        <v/>
      </c>
      <c r="E148" s="18" t="str">
        <f aca="false">IFERROR(INDEX(종합!E$3:E$501,MATCH(ROW()-2,종합!$AB$3:$AB$501,0))&amp;"","")</f>
        <v/>
      </c>
      <c r="F148" s="18" t="str">
        <f aca="false">IFERROR(INDEX(종합!F$3:F$501,MATCH(ROW()-2,종합!$AB$3:$AB$501,0))&amp;"","")</f>
        <v/>
      </c>
      <c r="G148" s="18" t="str">
        <f aca="false">IFERROR(INDEX(종합!G$3:G$501,MATCH(ROW()-2,종합!$AB$3:$AB$501,0))&amp;"","")</f>
        <v/>
      </c>
      <c r="H148" s="21" t="str">
        <f aca="false">IFERROR(INDEX(종합!H$3:H$501,MATCH(ROW()-2,종합!$AB$3:$AB$501,0))&amp;"","")</f>
        <v/>
      </c>
      <c r="I148" s="21" t="str">
        <f aca="false">IFERROR(INDEX(종합!I$3:I$501,MATCH(ROW()-2,종합!$AB$3:$AB$501,0))&amp;"","")</f>
        <v/>
      </c>
      <c r="J148" s="21" t="str">
        <f aca="false">IFERROR(INDEX(종합!J$3:J$501,MATCH(ROW()-2,종합!$AB$3:$AB$501,0))&amp;"","")</f>
        <v/>
      </c>
      <c r="K148" s="21" t="str">
        <f aca="false">IFERROR(INDEX(종합!K$3:K$501,MATCH(ROW()-2,종합!$AB$3:$AB$501,0))&amp;"","")</f>
        <v/>
      </c>
      <c r="L148" s="21" t="str">
        <f aca="false">IFERROR(INDEX(종합!L$3:L$501,MATCH(ROW()-2,종합!$AB$3:$AB$501,0))&amp;"","")</f>
        <v/>
      </c>
      <c r="M148" s="21" t="str">
        <f aca="false">IFERROR(INDEX(종합!M$3:M$501,MATCH(ROW()-2,종합!$AB$3:$AB$501,0))&amp;"","")</f>
        <v/>
      </c>
      <c r="N148" s="25" t="str">
        <f aca="false">IFERROR(INDEX(종합!N$3:N$501,MATCH(ROW()-2,종합!$AB$3:$AB$501,0))&amp;"","")</f>
        <v/>
      </c>
      <c r="O148" s="21" t="str">
        <f aca="false">IFERROR(INDEX(종합!O$3:O$501,MATCH(ROW()-2,종합!$AB$3:$AB$501,0))&amp;"","")</f>
        <v/>
      </c>
      <c r="P148" s="21" t="str">
        <f aca="false">IFERROR(INDEX(종합!P$3:P$501,MATCH(ROW()-2,종합!$AB$3:$AB$501,0))&amp;"","")</f>
        <v/>
      </c>
      <c r="Q148" s="21" t="str">
        <f aca="false">IFERROR(INDEX(종합!Q$3:Q$501,MATCH(ROW()-2,종합!$AB$3:$AB$501,0))&amp;"","")</f>
        <v/>
      </c>
      <c r="R148" s="21" t="str">
        <f aca="false">IFERROR(INDEX(종합!R$3:R$501,MATCH(ROW()-2,종합!$AB$3:$AB$501,0))&amp;"","")</f>
        <v/>
      </c>
      <c r="S148" s="21" t="str">
        <f aca="false">IFERROR(INDEX(종합!S$3:S$501,MATCH(ROW()-2,종합!$AB$3:$AB$501,0))&amp;"","")</f>
        <v/>
      </c>
      <c r="T148" s="21" t="str">
        <f aca="false">IFERROR(INDEX(종합!T$3:T$501,MATCH(ROW()-2,종합!$AB$3:$AB$501,0))&amp;"","")</f>
        <v/>
      </c>
      <c r="U148" s="21" t="str">
        <f aca="false">IFERROR(INDEX(종합!U$3:U$501,MATCH(ROW()-2,종합!$AB$3:$AB$501,0))&amp;"","")</f>
        <v/>
      </c>
      <c r="V148" s="21" t="str">
        <f aca="false">IFERROR(INDEX(종합!V$3:V$501,MATCH(ROW()-2,종합!$AB$3:$AB$501,0))&amp;"","")</f>
        <v/>
      </c>
      <c r="W148" s="21" t="str">
        <f aca="false">IFERROR(INDEX(종합!W$3:W$501,MATCH(ROW()-2,종합!$AB$3:$AB$501,0))&amp;"","")</f>
        <v/>
      </c>
      <c r="X148" s="21" t="str">
        <f aca="false">IFERROR(INDEX(종합!X$3:X$501,MATCH(ROW()-2,종합!$AB$3:$AB$501,0))&amp;"","")</f>
        <v/>
      </c>
      <c r="Y148" s="21" t="str">
        <f aca="false">IFERROR(INDEX(종합!Y$3:Y$501,MATCH(ROW()-2,종합!$AB$3:$AB$501,0))&amp;"","")</f>
        <v/>
      </c>
      <c r="Z148" s="21" t="str">
        <f aca="false">IFERROR(INDEX(종합!Z$3:Z$501,MATCH(ROW()-2,종합!$AB$3:$AB$501,0))&amp;"","")</f>
        <v/>
      </c>
    </row>
    <row r="149" customFormat="false" ht="16.5" hidden="false" customHeight="true" outlineLevel="0" collapsed="false">
      <c r="A149" s="18" t="str">
        <f aca="false">IF(B149="","",ROW()-2)</f>
        <v/>
      </c>
      <c r="B149" s="18" t="str">
        <f aca="false">IFERROR(INDEX(종합!B$3:B$501,MATCH(ROW()-2,종합!$AB$3:$AB$501,0))&amp;"","")</f>
        <v/>
      </c>
      <c r="C149" s="18" t="str">
        <f aca="false">IFERROR(INDEX(종합!C$3:C$501,MATCH(ROW()-2,종합!$AB$3:$AB$501,0))&amp;"","")</f>
        <v/>
      </c>
      <c r="D149" s="18" t="str">
        <f aca="false">IFERROR(INDEX(종합!D$3:D$501,MATCH(ROW()-2,종합!$AB$3:$AB$501,0))&amp;"","")</f>
        <v/>
      </c>
      <c r="E149" s="18" t="str">
        <f aca="false">IFERROR(INDEX(종합!E$3:E$501,MATCH(ROW()-2,종합!$AB$3:$AB$501,0))&amp;"","")</f>
        <v/>
      </c>
      <c r="F149" s="18" t="str">
        <f aca="false">IFERROR(INDEX(종합!F$3:F$501,MATCH(ROW()-2,종합!$AB$3:$AB$501,0))&amp;"","")</f>
        <v/>
      </c>
      <c r="G149" s="18" t="str">
        <f aca="false">IFERROR(INDEX(종합!G$3:G$501,MATCH(ROW()-2,종합!$AB$3:$AB$501,0))&amp;"","")</f>
        <v/>
      </c>
      <c r="H149" s="21" t="str">
        <f aca="false">IFERROR(INDEX(종합!H$3:H$501,MATCH(ROW()-2,종합!$AB$3:$AB$501,0))&amp;"","")</f>
        <v/>
      </c>
      <c r="I149" s="21" t="str">
        <f aca="false">IFERROR(INDEX(종합!I$3:I$501,MATCH(ROW()-2,종합!$AB$3:$AB$501,0))&amp;"","")</f>
        <v/>
      </c>
      <c r="J149" s="21" t="str">
        <f aca="false">IFERROR(INDEX(종합!J$3:J$501,MATCH(ROW()-2,종합!$AB$3:$AB$501,0))&amp;"","")</f>
        <v/>
      </c>
      <c r="K149" s="21" t="str">
        <f aca="false">IFERROR(INDEX(종합!K$3:K$501,MATCH(ROW()-2,종합!$AB$3:$AB$501,0))&amp;"","")</f>
        <v/>
      </c>
      <c r="L149" s="21" t="str">
        <f aca="false">IFERROR(INDEX(종합!L$3:L$501,MATCH(ROW()-2,종합!$AB$3:$AB$501,0))&amp;"","")</f>
        <v/>
      </c>
      <c r="M149" s="21" t="str">
        <f aca="false">IFERROR(INDEX(종합!M$3:M$501,MATCH(ROW()-2,종합!$AB$3:$AB$501,0))&amp;"","")</f>
        <v/>
      </c>
      <c r="N149" s="25" t="str">
        <f aca="false">IFERROR(INDEX(종합!N$3:N$501,MATCH(ROW()-2,종합!$AB$3:$AB$501,0))&amp;"","")</f>
        <v/>
      </c>
      <c r="O149" s="21" t="str">
        <f aca="false">IFERROR(INDEX(종합!O$3:O$501,MATCH(ROW()-2,종합!$AB$3:$AB$501,0))&amp;"","")</f>
        <v/>
      </c>
      <c r="P149" s="21" t="str">
        <f aca="false">IFERROR(INDEX(종합!P$3:P$501,MATCH(ROW()-2,종합!$AB$3:$AB$501,0))&amp;"","")</f>
        <v/>
      </c>
      <c r="Q149" s="21" t="str">
        <f aca="false">IFERROR(INDEX(종합!Q$3:Q$501,MATCH(ROW()-2,종합!$AB$3:$AB$501,0))&amp;"","")</f>
        <v/>
      </c>
      <c r="R149" s="21" t="str">
        <f aca="false">IFERROR(INDEX(종합!R$3:R$501,MATCH(ROW()-2,종합!$AB$3:$AB$501,0))&amp;"","")</f>
        <v/>
      </c>
      <c r="S149" s="21" t="str">
        <f aca="false">IFERROR(INDEX(종합!S$3:S$501,MATCH(ROW()-2,종합!$AB$3:$AB$501,0))&amp;"","")</f>
        <v/>
      </c>
      <c r="T149" s="21" t="str">
        <f aca="false">IFERROR(INDEX(종합!T$3:T$501,MATCH(ROW()-2,종합!$AB$3:$AB$501,0))&amp;"","")</f>
        <v/>
      </c>
      <c r="U149" s="21" t="str">
        <f aca="false">IFERROR(INDEX(종합!U$3:U$501,MATCH(ROW()-2,종합!$AB$3:$AB$501,0))&amp;"","")</f>
        <v/>
      </c>
      <c r="V149" s="21" t="str">
        <f aca="false">IFERROR(INDEX(종합!V$3:V$501,MATCH(ROW()-2,종합!$AB$3:$AB$501,0))&amp;"","")</f>
        <v/>
      </c>
      <c r="W149" s="21" t="str">
        <f aca="false">IFERROR(INDEX(종합!W$3:W$501,MATCH(ROW()-2,종합!$AB$3:$AB$501,0))&amp;"","")</f>
        <v/>
      </c>
      <c r="X149" s="21" t="str">
        <f aca="false">IFERROR(INDEX(종합!X$3:X$501,MATCH(ROW()-2,종합!$AB$3:$AB$501,0))&amp;"","")</f>
        <v/>
      </c>
      <c r="Y149" s="21" t="str">
        <f aca="false">IFERROR(INDEX(종합!Y$3:Y$501,MATCH(ROW()-2,종합!$AB$3:$AB$501,0))&amp;"","")</f>
        <v/>
      </c>
      <c r="Z149" s="21" t="str">
        <f aca="false">IFERROR(INDEX(종합!Z$3:Z$501,MATCH(ROW()-2,종합!$AB$3:$AB$501,0))&amp;"","")</f>
        <v/>
      </c>
    </row>
    <row r="150" customFormat="false" ht="16.5" hidden="false" customHeight="true" outlineLevel="0" collapsed="false">
      <c r="A150" s="18" t="str">
        <f aca="false">IF(B150="","",ROW()-2)</f>
        <v/>
      </c>
      <c r="B150" s="18" t="str">
        <f aca="false">IFERROR(INDEX(종합!B$3:B$501,MATCH(ROW()-2,종합!$AB$3:$AB$501,0))&amp;"","")</f>
        <v/>
      </c>
      <c r="C150" s="18" t="str">
        <f aca="false">IFERROR(INDEX(종합!C$3:C$501,MATCH(ROW()-2,종합!$AB$3:$AB$501,0))&amp;"","")</f>
        <v/>
      </c>
      <c r="D150" s="18" t="str">
        <f aca="false">IFERROR(INDEX(종합!D$3:D$501,MATCH(ROW()-2,종합!$AB$3:$AB$501,0))&amp;"","")</f>
        <v/>
      </c>
      <c r="E150" s="18" t="str">
        <f aca="false">IFERROR(INDEX(종합!E$3:E$501,MATCH(ROW()-2,종합!$AB$3:$AB$501,0))&amp;"","")</f>
        <v/>
      </c>
      <c r="F150" s="18" t="str">
        <f aca="false">IFERROR(INDEX(종합!F$3:F$501,MATCH(ROW()-2,종합!$AB$3:$AB$501,0))&amp;"","")</f>
        <v/>
      </c>
      <c r="G150" s="18" t="str">
        <f aca="false">IFERROR(INDEX(종합!G$3:G$501,MATCH(ROW()-2,종합!$AB$3:$AB$501,0))&amp;"","")</f>
        <v/>
      </c>
      <c r="H150" s="21" t="str">
        <f aca="false">IFERROR(INDEX(종합!H$3:H$501,MATCH(ROW()-2,종합!$AB$3:$AB$501,0))&amp;"","")</f>
        <v/>
      </c>
      <c r="I150" s="21" t="str">
        <f aca="false">IFERROR(INDEX(종합!I$3:I$501,MATCH(ROW()-2,종합!$AB$3:$AB$501,0))&amp;"","")</f>
        <v/>
      </c>
      <c r="J150" s="21" t="str">
        <f aca="false">IFERROR(INDEX(종합!J$3:J$501,MATCH(ROW()-2,종합!$AB$3:$AB$501,0))&amp;"","")</f>
        <v/>
      </c>
      <c r="K150" s="21" t="str">
        <f aca="false">IFERROR(INDEX(종합!K$3:K$501,MATCH(ROW()-2,종합!$AB$3:$AB$501,0))&amp;"","")</f>
        <v/>
      </c>
      <c r="L150" s="21" t="str">
        <f aca="false">IFERROR(INDEX(종합!L$3:L$501,MATCH(ROW()-2,종합!$AB$3:$AB$501,0))&amp;"","")</f>
        <v/>
      </c>
      <c r="M150" s="21" t="str">
        <f aca="false">IFERROR(INDEX(종합!M$3:M$501,MATCH(ROW()-2,종합!$AB$3:$AB$501,0))&amp;"","")</f>
        <v/>
      </c>
      <c r="N150" s="25" t="str">
        <f aca="false">IFERROR(INDEX(종합!N$3:N$501,MATCH(ROW()-2,종합!$AB$3:$AB$501,0))&amp;"","")</f>
        <v/>
      </c>
      <c r="O150" s="21" t="str">
        <f aca="false">IFERROR(INDEX(종합!O$3:O$501,MATCH(ROW()-2,종합!$AB$3:$AB$501,0))&amp;"","")</f>
        <v/>
      </c>
      <c r="P150" s="21" t="str">
        <f aca="false">IFERROR(INDEX(종합!P$3:P$501,MATCH(ROW()-2,종합!$AB$3:$AB$501,0))&amp;"","")</f>
        <v/>
      </c>
      <c r="Q150" s="21" t="str">
        <f aca="false">IFERROR(INDEX(종합!Q$3:Q$501,MATCH(ROW()-2,종합!$AB$3:$AB$501,0))&amp;"","")</f>
        <v/>
      </c>
      <c r="R150" s="21" t="str">
        <f aca="false">IFERROR(INDEX(종합!R$3:R$501,MATCH(ROW()-2,종합!$AB$3:$AB$501,0))&amp;"","")</f>
        <v/>
      </c>
      <c r="S150" s="21" t="str">
        <f aca="false">IFERROR(INDEX(종합!S$3:S$501,MATCH(ROW()-2,종합!$AB$3:$AB$501,0))&amp;"","")</f>
        <v/>
      </c>
      <c r="T150" s="21" t="str">
        <f aca="false">IFERROR(INDEX(종합!T$3:T$501,MATCH(ROW()-2,종합!$AB$3:$AB$501,0))&amp;"","")</f>
        <v/>
      </c>
      <c r="U150" s="21" t="str">
        <f aca="false">IFERROR(INDEX(종합!U$3:U$501,MATCH(ROW()-2,종합!$AB$3:$AB$501,0))&amp;"","")</f>
        <v/>
      </c>
      <c r="V150" s="21" t="str">
        <f aca="false">IFERROR(INDEX(종합!V$3:V$501,MATCH(ROW()-2,종합!$AB$3:$AB$501,0))&amp;"","")</f>
        <v/>
      </c>
      <c r="W150" s="21" t="str">
        <f aca="false">IFERROR(INDEX(종합!W$3:W$501,MATCH(ROW()-2,종합!$AB$3:$AB$501,0))&amp;"","")</f>
        <v/>
      </c>
      <c r="X150" s="21" t="str">
        <f aca="false">IFERROR(INDEX(종합!X$3:X$501,MATCH(ROW()-2,종합!$AB$3:$AB$501,0))&amp;"","")</f>
        <v/>
      </c>
      <c r="Y150" s="21" t="str">
        <f aca="false">IFERROR(INDEX(종합!Y$3:Y$501,MATCH(ROW()-2,종합!$AB$3:$AB$501,0))&amp;"","")</f>
        <v/>
      </c>
      <c r="Z150" s="21" t="str">
        <f aca="false">IFERROR(INDEX(종합!Z$3:Z$501,MATCH(ROW()-2,종합!$AB$3:$AB$501,0))&amp;"","")</f>
        <v/>
      </c>
    </row>
    <row r="151" customFormat="false" ht="16.5" hidden="false" customHeight="true" outlineLevel="0" collapsed="false">
      <c r="A151" s="18" t="str">
        <f aca="false">IF(B151="","",ROW()-2)</f>
        <v/>
      </c>
      <c r="B151" s="18" t="str">
        <f aca="false">IFERROR(INDEX(종합!B$3:B$501,MATCH(ROW()-2,종합!$AB$3:$AB$501,0))&amp;"","")</f>
        <v/>
      </c>
      <c r="C151" s="18" t="str">
        <f aca="false">IFERROR(INDEX(종합!C$3:C$501,MATCH(ROW()-2,종합!$AB$3:$AB$501,0))&amp;"","")</f>
        <v/>
      </c>
      <c r="D151" s="18" t="str">
        <f aca="false">IFERROR(INDEX(종합!D$3:D$501,MATCH(ROW()-2,종합!$AB$3:$AB$501,0))&amp;"","")</f>
        <v/>
      </c>
      <c r="E151" s="18" t="str">
        <f aca="false">IFERROR(INDEX(종합!E$3:E$501,MATCH(ROW()-2,종합!$AB$3:$AB$501,0))&amp;"","")</f>
        <v/>
      </c>
      <c r="F151" s="18" t="str">
        <f aca="false">IFERROR(INDEX(종합!F$3:F$501,MATCH(ROW()-2,종합!$AB$3:$AB$501,0))&amp;"","")</f>
        <v/>
      </c>
      <c r="G151" s="18" t="str">
        <f aca="false">IFERROR(INDEX(종합!G$3:G$501,MATCH(ROW()-2,종합!$AB$3:$AB$501,0))&amp;"","")</f>
        <v/>
      </c>
      <c r="H151" s="21" t="str">
        <f aca="false">IFERROR(INDEX(종합!H$3:H$501,MATCH(ROW()-2,종합!$AB$3:$AB$501,0))&amp;"","")</f>
        <v/>
      </c>
      <c r="I151" s="21" t="str">
        <f aca="false">IFERROR(INDEX(종합!I$3:I$501,MATCH(ROW()-2,종합!$AB$3:$AB$501,0))&amp;"","")</f>
        <v/>
      </c>
      <c r="J151" s="21" t="str">
        <f aca="false">IFERROR(INDEX(종합!J$3:J$501,MATCH(ROW()-2,종합!$AB$3:$AB$501,0))&amp;"","")</f>
        <v/>
      </c>
      <c r="K151" s="21" t="str">
        <f aca="false">IFERROR(INDEX(종합!K$3:K$501,MATCH(ROW()-2,종합!$AB$3:$AB$501,0))&amp;"","")</f>
        <v/>
      </c>
      <c r="L151" s="21" t="str">
        <f aca="false">IFERROR(INDEX(종합!L$3:L$501,MATCH(ROW()-2,종합!$AB$3:$AB$501,0))&amp;"","")</f>
        <v/>
      </c>
      <c r="M151" s="21" t="str">
        <f aca="false">IFERROR(INDEX(종합!M$3:M$501,MATCH(ROW()-2,종합!$AB$3:$AB$501,0))&amp;"","")</f>
        <v/>
      </c>
      <c r="N151" s="25" t="str">
        <f aca="false">IFERROR(INDEX(종합!N$3:N$501,MATCH(ROW()-2,종합!$AB$3:$AB$501,0))&amp;"","")</f>
        <v/>
      </c>
      <c r="O151" s="21" t="str">
        <f aca="false">IFERROR(INDEX(종합!O$3:O$501,MATCH(ROW()-2,종합!$AB$3:$AB$501,0))&amp;"","")</f>
        <v/>
      </c>
      <c r="P151" s="21" t="str">
        <f aca="false">IFERROR(INDEX(종합!P$3:P$501,MATCH(ROW()-2,종합!$AB$3:$AB$501,0))&amp;"","")</f>
        <v/>
      </c>
      <c r="Q151" s="21" t="str">
        <f aca="false">IFERROR(INDEX(종합!Q$3:Q$501,MATCH(ROW()-2,종합!$AB$3:$AB$501,0))&amp;"","")</f>
        <v/>
      </c>
      <c r="R151" s="21" t="str">
        <f aca="false">IFERROR(INDEX(종합!R$3:R$501,MATCH(ROW()-2,종합!$AB$3:$AB$501,0))&amp;"","")</f>
        <v/>
      </c>
      <c r="S151" s="21" t="str">
        <f aca="false">IFERROR(INDEX(종합!S$3:S$501,MATCH(ROW()-2,종합!$AB$3:$AB$501,0))&amp;"","")</f>
        <v/>
      </c>
      <c r="T151" s="21" t="str">
        <f aca="false">IFERROR(INDEX(종합!T$3:T$501,MATCH(ROW()-2,종합!$AB$3:$AB$501,0))&amp;"","")</f>
        <v/>
      </c>
      <c r="U151" s="21" t="str">
        <f aca="false">IFERROR(INDEX(종합!U$3:U$501,MATCH(ROW()-2,종합!$AB$3:$AB$501,0))&amp;"","")</f>
        <v/>
      </c>
      <c r="V151" s="21" t="str">
        <f aca="false">IFERROR(INDEX(종합!V$3:V$501,MATCH(ROW()-2,종합!$AB$3:$AB$501,0))&amp;"","")</f>
        <v/>
      </c>
      <c r="W151" s="21" t="str">
        <f aca="false">IFERROR(INDEX(종합!W$3:W$501,MATCH(ROW()-2,종합!$AB$3:$AB$501,0))&amp;"","")</f>
        <v/>
      </c>
      <c r="X151" s="21" t="str">
        <f aca="false">IFERROR(INDEX(종합!X$3:X$501,MATCH(ROW()-2,종합!$AB$3:$AB$501,0))&amp;"","")</f>
        <v/>
      </c>
      <c r="Y151" s="21" t="str">
        <f aca="false">IFERROR(INDEX(종합!Y$3:Y$501,MATCH(ROW()-2,종합!$AB$3:$AB$501,0))&amp;"","")</f>
        <v/>
      </c>
      <c r="Z151" s="21" t="str">
        <f aca="false">IFERROR(INDEX(종합!Z$3:Z$501,MATCH(ROW()-2,종합!$AB$3:$AB$501,0))&amp;"","")</f>
        <v/>
      </c>
    </row>
    <row r="152" customFormat="false" ht="16.5" hidden="false" customHeight="true" outlineLevel="0" collapsed="false">
      <c r="A152" s="18" t="str">
        <f aca="false">IF(B152="","",ROW()-2)</f>
        <v/>
      </c>
      <c r="B152" s="18" t="str">
        <f aca="false">IFERROR(INDEX(종합!B$3:B$501,MATCH(ROW()-2,종합!$AB$3:$AB$501,0))&amp;"","")</f>
        <v/>
      </c>
      <c r="C152" s="18" t="str">
        <f aca="false">IFERROR(INDEX(종합!C$3:C$501,MATCH(ROW()-2,종합!$AB$3:$AB$501,0))&amp;"","")</f>
        <v/>
      </c>
      <c r="D152" s="18" t="str">
        <f aca="false">IFERROR(INDEX(종합!D$3:D$501,MATCH(ROW()-2,종합!$AB$3:$AB$501,0))&amp;"","")</f>
        <v/>
      </c>
      <c r="E152" s="18" t="str">
        <f aca="false">IFERROR(INDEX(종합!E$3:E$501,MATCH(ROW()-2,종합!$AB$3:$AB$501,0))&amp;"","")</f>
        <v/>
      </c>
      <c r="F152" s="18" t="str">
        <f aca="false">IFERROR(INDEX(종합!F$3:F$501,MATCH(ROW()-2,종합!$AB$3:$AB$501,0))&amp;"","")</f>
        <v/>
      </c>
      <c r="G152" s="18" t="str">
        <f aca="false">IFERROR(INDEX(종합!G$3:G$501,MATCH(ROW()-2,종합!$AB$3:$AB$501,0))&amp;"","")</f>
        <v/>
      </c>
      <c r="H152" s="21" t="str">
        <f aca="false">IFERROR(INDEX(종합!H$3:H$501,MATCH(ROW()-2,종합!$AB$3:$AB$501,0))&amp;"","")</f>
        <v/>
      </c>
      <c r="I152" s="21" t="str">
        <f aca="false">IFERROR(INDEX(종합!I$3:I$501,MATCH(ROW()-2,종합!$AB$3:$AB$501,0))&amp;"","")</f>
        <v/>
      </c>
      <c r="J152" s="21" t="str">
        <f aca="false">IFERROR(INDEX(종합!J$3:J$501,MATCH(ROW()-2,종합!$AB$3:$AB$501,0))&amp;"","")</f>
        <v/>
      </c>
      <c r="K152" s="21" t="str">
        <f aca="false">IFERROR(INDEX(종합!K$3:K$501,MATCH(ROW()-2,종합!$AB$3:$AB$501,0))&amp;"","")</f>
        <v/>
      </c>
      <c r="L152" s="21" t="str">
        <f aca="false">IFERROR(INDEX(종합!L$3:L$501,MATCH(ROW()-2,종합!$AB$3:$AB$501,0))&amp;"","")</f>
        <v/>
      </c>
      <c r="M152" s="21" t="str">
        <f aca="false">IFERROR(INDEX(종합!M$3:M$501,MATCH(ROW()-2,종합!$AB$3:$AB$501,0))&amp;"","")</f>
        <v/>
      </c>
      <c r="N152" s="25" t="str">
        <f aca="false">IFERROR(INDEX(종합!N$3:N$501,MATCH(ROW()-2,종합!$AB$3:$AB$501,0))&amp;"","")</f>
        <v/>
      </c>
      <c r="O152" s="21" t="str">
        <f aca="false">IFERROR(INDEX(종합!O$3:O$501,MATCH(ROW()-2,종합!$AB$3:$AB$501,0))&amp;"","")</f>
        <v/>
      </c>
      <c r="P152" s="21" t="str">
        <f aca="false">IFERROR(INDEX(종합!P$3:P$501,MATCH(ROW()-2,종합!$AB$3:$AB$501,0))&amp;"","")</f>
        <v/>
      </c>
      <c r="Q152" s="21" t="str">
        <f aca="false">IFERROR(INDEX(종합!Q$3:Q$501,MATCH(ROW()-2,종합!$AB$3:$AB$501,0))&amp;"","")</f>
        <v/>
      </c>
      <c r="R152" s="21" t="str">
        <f aca="false">IFERROR(INDEX(종합!R$3:R$501,MATCH(ROW()-2,종합!$AB$3:$AB$501,0))&amp;"","")</f>
        <v/>
      </c>
      <c r="S152" s="21" t="str">
        <f aca="false">IFERROR(INDEX(종합!S$3:S$501,MATCH(ROW()-2,종합!$AB$3:$AB$501,0))&amp;"","")</f>
        <v/>
      </c>
      <c r="T152" s="21" t="str">
        <f aca="false">IFERROR(INDEX(종합!T$3:T$501,MATCH(ROW()-2,종합!$AB$3:$AB$501,0))&amp;"","")</f>
        <v/>
      </c>
      <c r="U152" s="21" t="str">
        <f aca="false">IFERROR(INDEX(종합!U$3:U$501,MATCH(ROW()-2,종합!$AB$3:$AB$501,0))&amp;"","")</f>
        <v/>
      </c>
      <c r="V152" s="21" t="str">
        <f aca="false">IFERROR(INDEX(종합!V$3:V$501,MATCH(ROW()-2,종합!$AB$3:$AB$501,0))&amp;"","")</f>
        <v/>
      </c>
      <c r="W152" s="21" t="str">
        <f aca="false">IFERROR(INDEX(종합!W$3:W$501,MATCH(ROW()-2,종합!$AB$3:$AB$501,0))&amp;"","")</f>
        <v/>
      </c>
      <c r="X152" s="21" t="str">
        <f aca="false">IFERROR(INDEX(종합!X$3:X$501,MATCH(ROW()-2,종합!$AB$3:$AB$501,0))&amp;"","")</f>
        <v/>
      </c>
      <c r="Y152" s="21" t="str">
        <f aca="false">IFERROR(INDEX(종합!Y$3:Y$501,MATCH(ROW()-2,종합!$AB$3:$AB$501,0))&amp;"","")</f>
        <v/>
      </c>
      <c r="Z152" s="21" t="str">
        <f aca="false">IFERROR(INDEX(종합!Z$3:Z$501,MATCH(ROW()-2,종합!$AB$3:$AB$501,0))&amp;"","")</f>
        <v/>
      </c>
    </row>
    <row r="153" customFormat="false" ht="16.5" hidden="false" customHeight="true" outlineLevel="0" collapsed="false">
      <c r="A153" s="18" t="str">
        <f aca="false">IF(B153="","",ROW()-2)</f>
        <v/>
      </c>
      <c r="B153" s="18" t="str">
        <f aca="false">IFERROR(INDEX(종합!B$3:B$501,MATCH(ROW()-2,종합!$AB$3:$AB$501,0))&amp;"","")</f>
        <v/>
      </c>
      <c r="C153" s="18" t="str">
        <f aca="false">IFERROR(INDEX(종합!C$3:C$501,MATCH(ROW()-2,종합!$AB$3:$AB$501,0))&amp;"","")</f>
        <v/>
      </c>
      <c r="D153" s="18" t="str">
        <f aca="false">IFERROR(INDEX(종합!D$3:D$501,MATCH(ROW()-2,종합!$AB$3:$AB$501,0))&amp;"","")</f>
        <v/>
      </c>
      <c r="E153" s="18" t="str">
        <f aca="false">IFERROR(INDEX(종합!E$3:E$501,MATCH(ROW()-2,종합!$AB$3:$AB$501,0))&amp;"","")</f>
        <v/>
      </c>
      <c r="F153" s="18" t="str">
        <f aca="false">IFERROR(INDEX(종합!F$3:F$501,MATCH(ROW()-2,종합!$AB$3:$AB$501,0))&amp;"","")</f>
        <v/>
      </c>
      <c r="G153" s="18" t="str">
        <f aca="false">IFERROR(INDEX(종합!G$3:G$501,MATCH(ROW()-2,종합!$AB$3:$AB$501,0))&amp;"","")</f>
        <v/>
      </c>
      <c r="H153" s="21" t="str">
        <f aca="false">IFERROR(INDEX(종합!H$3:H$501,MATCH(ROW()-2,종합!$AB$3:$AB$501,0))&amp;"","")</f>
        <v/>
      </c>
      <c r="I153" s="21" t="str">
        <f aca="false">IFERROR(INDEX(종합!I$3:I$501,MATCH(ROW()-2,종합!$AB$3:$AB$501,0))&amp;"","")</f>
        <v/>
      </c>
      <c r="J153" s="21" t="str">
        <f aca="false">IFERROR(INDEX(종합!J$3:J$501,MATCH(ROW()-2,종합!$AB$3:$AB$501,0))&amp;"","")</f>
        <v/>
      </c>
      <c r="K153" s="21" t="str">
        <f aca="false">IFERROR(INDEX(종합!K$3:K$501,MATCH(ROW()-2,종합!$AB$3:$AB$501,0))&amp;"","")</f>
        <v/>
      </c>
      <c r="L153" s="21" t="str">
        <f aca="false">IFERROR(INDEX(종합!L$3:L$501,MATCH(ROW()-2,종합!$AB$3:$AB$501,0))&amp;"","")</f>
        <v/>
      </c>
      <c r="M153" s="21" t="str">
        <f aca="false">IFERROR(INDEX(종합!M$3:M$501,MATCH(ROW()-2,종합!$AB$3:$AB$501,0))&amp;"","")</f>
        <v/>
      </c>
      <c r="N153" s="25" t="str">
        <f aca="false">IFERROR(INDEX(종합!N$3:N$501,MATCH(ROW()-2,종합!$AB$3:$AB$501,0))&amp;"","")</f>
        <v/>
      </c>
      <c r="O153" s="21" t="str">
        <f aca="false">IFERROR(INDEX(종합!O$3:O$501,MATCH(ROW()-2,종합!$AB$3:$AB$501,0))&amp;"","")</f>
        <v/>
      </c>
      <c r="P153" s="21" t="str">
        <f aca="false">IFERROR(INDEX(종합!P$3:P$501,MATCH(ROW()-2,종합!$AB$3:$AB$501,0))&amp;"","")</f>
        <v/>
      </c>
      <c r="Q153" s="21" t="str">
        <f aca="false">IFERROR(INDEX(종합!Q$3:Q$501,MATCH(ROW()-2,종합!$AB$3:$AB$501,0))&amp;"","")</f>
        <v/>
      </c>
      <c r="R153" s="21" t="str">
        <f aca="false">IFERROR(INDEX(종합!R$3:R$501,MATCH(ROW()-2,종합!$AB$3:$AB$501,0))&amp;"","")</f>
        <v/>
      </c>
      <c r="S153" s="21" t="str">
        <f aca="false">IFERROR(INDEX(종합!S$3:S$501,MATCH(ROW()-2,종합!$AB$3:$AB$501,0))&amp;"","")</f>
        <v/>
      </c>
      <c r="T153" s="21" t="str">
        <f aca="false">IFERROR(INDEX(종합!T$3:T$501,MATCH(ROW()-2,종합!$AB$3:$AB$501,0))&amp;"","")</f>
        <v/>
      </c>
      <c r="U153" s="21" t="str">
        <f aca="false">IFERROR(INDEX(종합!U$3:U$501,MATCH(ROW()-2,종합!$AB$3:$AB$501,0))&amp;"","")</f>
        <v/>
      </c>
      <c r="V153" s="21" t="str">
        <f aca="false">IFERROR(INDEX(종합!V$3:V$501,MATCH(ROW()-2,종합!$AB$3:$AB$501,0))&amp;"","")</f>
        <v/>
      </c>
      <c r="W153" s="21" t="str">
        <f aca="false">IFERROR(INDEX(종합!W$3:W$501,MATCH(ROW()-2,종합!$AB$3:$AB$501,0))&amp;"","")</f>
        <v/>
      </c>
      <c r="X153" s="21" t="str">
        <f aca="false">IFERROR(INDEX(종합!X$3:X$501,MATCH(ROW()-2,종합!$AB$3:$AB$501,0))&amp;"","")</f>
        <v/>
      </c>
      <c r="Y153" s="21" t="str">
        <f aca="false">IFERROR(INDEX(종합!Y$3:Y$501,MATCH(ROW()-2,종합!$AB$3:$AB$501,0))&amp;"","")</f>
        <v/>
      </c>
      <c r="Z153" s="21" t="str">
        <f aca="false">IFERROR(INDEX(종합!Z$3:Z$501,MATCH(ROW()-2,종합!$AB$3:$AB$501,0))&amp;"","")</f>
        <v/>
      </c>
    </row>
    <row r="154" customFormat="false" ht="16.5" hidden="false" customHeight="true" outlineLevel="0" collapsed="false">
      <c r="A154" s="18" t="str">
        <f aca="false">IF(B154="","",ROW()-2)</f>
        <v/>
      </c>
      <c r="B154" s="18" t="str">
        <f aca="false">IFERROR(INDEX(종합!B$3:B$501,MATCH(ROW()-2,종합!$AB$3:$AB$501,0))&amp;"","")</f>
        <v/>
      </c>
      <c r="C154" s="18" t="str">
        <f aca="false">IFERROR(INDEX(종합!C$3:C$501,MATCH(ROW()-2,종합!$AB$3:$AB$501,0))&amp;"","")</f>
        <v/>
      </c>
      <c r="D154" s="18" t="str">
        <f aca="false">IFERROR(INDEX(종합!D$3:D$501,MATCH(ROW()-2,종합!$AB$3:$AB$501,0))&amp;"","")</f>
        <v/>
      </c>
      <c r="E154" s="18" t="str">
        <f aca="false">IFERROR(INDEX(종합!E$3:E$501,MATCH(ROW()-2,종합!$AB$3:$AB$501,0))&amp;"","")</f>
        <v/>
      </c>
      <c r="F154" s="18" t="str">
        <f aca="false">IFERROR(INDEX(종합!F$3:F$501,MATCH(ROW()-2,종합!$AB$3:$AB$501,0))&amp;"","")</f>
        <v/>
      </c>
      <c r="G154" s="18" t="str">
        <f aca="false">IFERROR(INDEX(종합!G$3:G$501,MATCH(ROW()-2,종합!$AB$3:$AB$501,0))&amp;"","")</f>
        <v/>
      </c>
      <c r="H154" s="21" t="str">
        <f aca="false">IFERROR(INDEX(종합!H$3:H$501,MATCH(ROW()-2,종합!$AB$3:$AB$501,0))&amp;"","")</f>
        <v/>
      </c>
      <c r="I154" s="21" t="str">
        <f aca="false">IFERROR(INDEX(종합!I$3:I$501,MATCH(ROW()-2,종합!$AB$3:$AB$501,0))&amp;"","")</f>
        <v/>
      </c>
      <c r="J154" s="21" t="str">
        <f aca="false">IFERROR(INDEX(종합!J$3:J$501,MATCH(ROW()-2,종합!$AB$3:$AB$501,0))&amp;"","")</f>
        <v/>
      </c>
      <c r="K154" s="21" t="str">
        <f aca="false">IFERROR(INDEX(종합!K$3:K$501,MATCH(ROW()-2,종합!$AB$3:$AB$501,0))&amp;"","")</f>
        <v/>
      </c>
      <c r="L154" s="21" t="str">
        <f aca="false">IFERROR(INDEX(종합!L$3:L$501,MATCH(ROW()-2,종합!$AB$3:$AB$501,0))&amp;"","")</f>
        <v/>
      </c>
      <c r="M154" s="21" t="str">
        <f aca="false">IFERROR(INDEX(종합!M$3:M$501,MATCH(ROW()-2,종합!$AB$3:$AB$501,0))&amp;"","")</f>
        <v/>
      </c>
      <c r="N154" s="25" t="str">
        <f aca="false">IFERROR(INDEX(종합!N$3:N$501,MATCH(ROW()-2,종합!$AB$3:$AB$501,0))&amp;"","")</f>
        <v/>
      </c>
      <c r="O154" s="21" t="str">
        <f aca="false">IFERROR(INDEX(종합!O$3:O$501,MATCH(ROW()-2,종합!$AB$3:$AB$501,0))&amp;"","")</f>
        <v/>
      </c>
      <c r="P154" s="21" t="str">
        <f aca="false">IFERROR(INDEX(종합!P$3:P$501,MATCH(ROW()-2,종합!$AB$3:$AB$501,0))&amp;"","")</f>
        <v/>
      </c>
      <c r="Q154" s="21" t="str">
        <f aca="false">IFERROR(INDEX(종합!Q$3:Q$501,MATCH(ROW()-2,종합!$AB$3:$AB$501,0))&amp;"","")</f>
        <v/>
      </c>
      <c r="R154" s="21" t="str">
        <f aca="false">IFERROR(INDEX(종합!R$3:R$501,MATCH(ROW()-2,종합!$AB$3:$AB$501,0))&amp;"","")</f>
        <v/>
      </c>
      <c r="S154" s="21" t="str">
        <f aca="false">IFERROR(INDEX(종합!S$3:S$501,MATCH(ROW()-2,종합!$AB$3:$AB$501,0))&amp;"","")</f>
        <v/>
      </c>
      <c r="T154" s="21" t="str">
        <f aca="false">IFERROR(INDEX(종합!T$3:T$501,MATCH(ROW()-2,종합!$AB$3:$AB$501,0))&amp;"","")</f>
        <v/>
      </c>
      <c r="U154" s="21" t="str">
        <f aca="false">IFERROR(INDEX(종합!U$3:U$501,MATCH(ROW()-2,종합!$AB$3:$AB$501,0))&amp;"","")</f>
        <v/>
      </c>
      <c r="V154" s="21" t="str">
        <f aca="false">IFERROR(INDEX(종합!V$3:V$501,MATCH(ROW()-2,종합!$AB$3:$AB$501,0))&amp;"","")</f>
        <v/>
      </c>
      <c r="W154" s="21" t="str">
        <f aca="false">IFERROR(INDEX(종합!W$3:W$501,MATCH(ROW()-2,종합!$AB$3:$AB$501,0))&amp;"","")</f>
        <v/>
      </c>
      <c r="X154" s="21" t="str">
        <f aca="false">IFERROR(INDEX(종합!X$3:X$501,MATCH(ROW()-2,종합!$AB$3:$AB$501,0))&amp;"","")</f>
        <v/>
      </c>
      <c r="Y154" s="21" t="str">
        <f aca="false">IFERROR(INDEX(종합!Y$3:Y$501,MATCH(ROW()-2,종합!$AB$3:$AB$501,0))&amp;"","")</f>
        <v/>
      </c>
      <c r="Z154" s="21" t="str">
        <f aca="false">IFERROR(INDEX(종합!Z$3:Z$501,MATCH(ROW()-2,종합!$AB$3:$AB$501,0))&amp;"","")</f>
        <v/>
      </c>
    </row>
    <row r="155" customFormat="false" ht="16.5" hidden="false" customHeight="true" outlineLevel="0" collapsed="false">
      <c r="A155" s="18" t="str">
        <f aca="false">IF(B155="","",ROW()-2)</f>
        <v/>
      </c>
      <c r="B155" s="18" t="str">
        <f aca="false">IFERROR(INDEX(종합!B$3:B$501,MATCH(ROW()-2,종합!$AB$3:$AB$501,0))&amp;"","")</f>
        <v/>
      </c>
      <c r="C155" s="18" t="str">
        <f aca="false">IFERROR(INDEX(종합!C$3:C$501,MATCH(ROW()-2,종합!$AB$3:$AB$501,0))&amp;"","")</f>
        <v/>
      </c>
      <c r="D155" s="18" t="str">
        <f aca="false">IFERROR(INDEX(종합!D$3:D$501,MATCH(ROW()-2,종합!$AB$3:$AB$501,0))&amp;"","")</f>
        <v/>
      </c>
      <c r="E155" s="18" t="str">
        <f aca="false">IFERROR(INDEX(종합!E$3:E$501,MATCH(ROW()-2,종합!$AB$3:$AB$501,0))&amp;"","")</f>
        <v/>
      </c>
      <c r="F155" s="18" t="str">
        <f aca="false">IFERROR(INDEX(종합!F$3:F$501,MATCH(ROW()-2,종합!$AB$3:$AB$501,0))&amp;"","")</f>
        <v/>
      </c>
      <c r="G155" s="18" t="str">
        <f aca="false">IFERROR(INDEX(종합!G$3:G$501,MATCH(ROW()-2,종합!$AB$3:$AB$501,0))&amp;"","")</f>
        <v/>
      </c>
      <c r="H155" s="21" t="str">
        <f aca="false">IFERROR(INDEX(종합!H$3:H$501,MATCH(ROW()-2,종합!$AB$3:$AB$501,0))&amp;"","")</f>
        <v/>
      </c>
      <c r="I155" s="21" t="str">
        <f aca="false">IFERROR(INDEX(종합!I$3:I$501,MATCH(ROW()-2,종합!$AB$3:$AB$501,0))&amp;"","")</f>
        <v/>
      </c>
      <c r="J155" s="21" t="str">
        <f aca="false">IFERROR(INDEX(종합!J$3:J$501,MATCH(ROW()-2,종합!$AB$3:$AB$501,0))&amp;"","")</f>
        <v/>
      </c>
      <c r="K155" s="21" t="str">
        <f aca="false">IFERROR(INDEX(종합!K$3:K$501,MATCH(ROW()-2,종합!$AB$3:$AB$501,0))&amp;"","")</f>
        <v/>
      </c>
      <c r="L155" s="21" t="str">
        <f aca="false">IFERROR(INDEX(종합!L$3:L$501,MATCH(ROW()-2,종합!$AB$3:$AB$501,0))&amp;"","")</f>
        <v/>
      </c>
      <c r="M155" s="21" t="str">
        <f aca="false">IFERROR(INDEX(종합!M$3:M$501,MATCH(ROW()-2,종합!$AB$3:$AB$501,0))&amp;"","")</f>
        <v/>
      </c>
      <c r="N155" s="25" t="str">
        <f aca="false">IFERROR(INDEX(종합!N$3:N$501,MATCH(ROW()-2,종합!$AB$3:$AB$501,0))&amp;"","")</f>
        <v/>
      </c>
      <c r="O155" s="21" t="str">
        <f aca="false">IFERROR(INDEX(종합!O$3:O$501,MATCH(ROW()-2,종합!$AB$3:$AB$501,0))&amp;"","")</f>
        <v/>
      </c>
      <c r="P155" s="21" t="str">
        <f aca="false">IFERROR(INDEX(종합!P$3:P$501,MATCH(ROW()-2,종합!$AB$3:$AB$501,0))&amp;"","")</f>
        <v/>
      </c>
      <c r="Q155" s="21" t="str">
        <f aca="false">IFERROR(INDEX(종합!Q$3:Q$501,MATCH(ROW()-2,종합!$AB$3:$AB$501,0))&amp;"","")</f>
        <v/>
      </c>
      <c r="R155" s="21" t="str">
        <f aca="false">IFERROR(INDEX(종합!R$3:R$501,MATCH(ROW()-2,종합!$AB$3:$AB$501,0))&amp;"","")</f>
        <v/>
      </c>
      <c r="S155" s="21" t="str">
        <f aca="false">IFERROR(INDEX(종합!S$3:S$501,MATCH(ROW()-2,종합!$AB$3:$AB$501,0))&amp;"","")</f>
        <v/>
      </c>
      <c r="T155" s="21" t="str">
        <f aca="false">IFERROR(INDEX(종합!T$3:T$501,MATCH(ROW()-2,종합!$AB$3:$AB$501,0))&amp;"","")</f>
        <v/>
      </c>
      <c r="U155" s="21" t="str">
        <f aca="false">IFERROR(INDEX(종합!U$3:U$501,MATCH(ROW()-2,종합!$AB$3:$AB$501,0))&amp;"","")</f>
        <v/>
      </c>
      <c r="V155" s="21" t="str">
        <f aca="false">IFERROR(INDEX(종합!V$3:V$501,MATCH(ROW()-2,종합!$AB$3:$AB$501,0))&amp;"","")</f>
        <v/>
      </c>
      <c r="W155" s="21" t="str">
        <f aca="false">IFERROR(INDEX(종합!W$3:W$501,MATCH(ROW()-2,종합!$AB$3:$AB$501,0))&amp;"","")</f>
        <v/>
      </c>
      <c r="X155" s="21" t="str">
        <f aca="false">IFERROR(INDEX(종합!X$3:X$501,MATCH(ROW()-2,종합!$AB$3:$AB$501,0))&amp;"","")</f>
        <v/>
      </c>
      <c r="Y155" s="21" t="str">
        <f aca="false">IFERROR(INDEX(종합!Y$3:Y$501,MATCH(ROW()-2,종합!$AB$3:$AB$501,0))&amp;"","")</f>
        <v/>
      </c>
      <c r="Z155" s="21" t="str">
        <f aca="false">IFERROR(INDEX(종합!Z$3:Z$501,MATCH(ROW()-2,종합!$AB$3:$AB$501,0))&amp;"","")</f>
        <v/>
      </c>
    </row>
    <row r="156" customFormat="false" ht="16.5" hidden="false" customHeight="true" outlineLevel="0" collapsed="false">
      <c r="A156" s="18" t="str">
        <f aca="false">IF(B156="","",ROW()-2)</f>
        <v/>
      </c>
      <c r="B156" s="18" t="str">
        <f aca="false">IFERROR(INDEX(종합!B$3:B$501,MATCH(ROW()-2,종합!$AB$3:$AB$501,0))&amp;"","")</f>
        <v/>
      </c>
      <c r="C156" s="18" t="str">
        <f aca="false">IFERROR(INDEX(종합!C$3:C$501,MATCH(ROW()-2,종합!$AB$3:$AB$501,0))&amp;"","")</f>
        <v/>
      </c>
      <c r="D156" s="18" t="str">
        <f aca="false">IFERROR(INDEX(종합!D$3:D$501,MATCH(ROW()-2,종합!$AB$3:$AB$501,0))&amp;"","")</f>
        <v/>
      </c>
      <c r="E156" s="18" t="str">
        <f aca="false">IFERROR(INDEX(종합!E$3:E$501,MATCH(ROW()-2,종합!$AB$3:$AB$501,0))&amp;"","")</f>
        <v/>
      </c>
      <c r="F156" s="18" t="str">
        <f aca="false">IFERROR(INDEX(종합!F$3:F$501,MATCH(ROW()-2,종합!$AB$3:$AB$501,0))&amp;"","")</f>
        <v/>
      </c>
      <c r="G156" s="18" t="str">
        <f aca="false">IFERROR(INDEX(종합!G$3:G$501,MATCH(ROW()-2,종합!$AB$3:$AB$501,0))&amp;"","")</f>
        <v/>
      </c>
      <c r="H156" s="21" t="str">
        <f aca="false">IFERROR(INDEX(종합!H$3:H$501,MATCH(ROW()-2,종합!$AB$3:$AB$501,0))&amp;"","")</f>
        <v/>
      </c>
      <c r="I156" s="21" t="str">
        <f aca="false">IFERROR(INDEX(종합!I$3:I$501,MATCH(ROW()-2,종합!$AB$3:$AB$501,0))&amp;"","")</f>
        <v/>
      </c>
      <c r="J156" s="21" t="str">
        <f aca="false">IFERROR(INDEX(종합!J$3:J$501,MATCH(ROW()-2,종합!$AB$3:$AB$501,0))&amp;"","")</f>
        <v/>
      </c>
      <c r="K156" s="21" t="str">
        <f aca="false">IFERROR(INDEX(종합!K$3:K$501,MATCH(ROW()-2,종합!$AB$3:$AB$501,0))&amp;"","")</f>
        <v/>
      </c>
      <c r="L156" s="21" t="str">
        <f aca="false">IFERROR(INDEX(종합!L$3:L$501,MATCH(ROW()-2,종합!$AB$3:$AB$501,0))&amp;"","")</f>
        <v/>
      </c>
      <c r="M156" s="21" t="str">
        <f aca="false">IFERROR(INDEX(종합!M$3:M$501,MATCH(ROW()-2,종합!$AB$3:$AB$501,0))&amp;"","")</f>
        <v/>
      </c>
      <c r="N156" s="25" t="str">
        <f aca="false">IFERROR(INDEX(종합!N$3:N$501,MATCH(ROW()-2,종합!$AB$3:$AB$501,0))&amp;"","")</f>
        <v/>
      </c>
      <c r="O156" s="21" t="str">
        <f aca="false">IFERROR(INDEX(종합!O$3:O$501,MATCH(ROW()-2,종합!$AB$3:$AB$501,0))&amp;"","")</f>
        <v/>
      </c>
      <c r="P156" s="21" t="str">
        <f aca="false">IFERROR(INDEX(종합!P$3:P$501,MATCH(ROW()-2,종합!$AB$3:$AB$501,0))&amp;"","")</f>
        <v/>
      </c>
      <c r="Q156" s="21" t="str">
        <f aca="false">IFERROR(INDEX(종합!Q$3:Q$501,MATCH(ROW()-2,종합!$AB$3:$AB$501,0))&amp;"","")</f>
        <v/>
      </c>
      <c r="R156" s="21" t="str">
        <f aca="false">IFERROR(INDEX(종합!R$3:R$501,MATCH(ROW()-2,종합!$AB$3:$AB$501,0))&amp;"","")</f>
        <v/>
      </c>
      <c r="S156" s="21" t="str">
        <f aca="false">IFERROR(INDEX(종합!S$3:S$501,MATCH(ROW()-2,종합!$AB$3:$AB$501,0))&amp;"","")</f>
        <v/>
      </c>
      <c r="T156" s="21" t="str">
        <f aca="false">IFERROR(INDEX(종합!T$3:T$501,MATCH(ROW()-2,종합!$AB$3:$AB$501,0))&amp;"","")</f>
        <v/>
      </c>
      <c r="U156" s="21" t="str">
        <f aca="false">IFERROR(INDEX(종합!U$3:U$501,MATCH(ROW()-2,종합!$AB$3:$AB$501,0))&amp;"","")</f>
        <v/>
      </c>
      <c r="V156" s="21" t="str">
        <f aca="false">IFERROR(INDEX(종합!V$3:V$501,MATCH(ROW()-2,종합!$AB$3:$AB$501,0))&amp;"","")</f>
        <v/>
      </c>
      <c r="W156" s="21" t="str">
        <f aca="false">IFERROR(INDEX(종합!W$3:W$501,MATCH(ROW()-2,종합!$AB$3:$AB$501,0))&amp;"","")</f>
        <v/>
      </c>
      <c r="X156" s="21" t="str">
        <f aca="false">IFERROR(INDEX(종합!X$3:X$501,MATCH(ROW()-2,종합!$AB$3:$AB$501,0))&amp;"","")</f>
        <v/>
      </c>
      <c r="Y156" s="21" t="str">
        <f aca="false">IFERROR(INDEX(종합!Y$3:Y$501,MATCH(ROW()-2,종합!$AB$3:$AB$501,0))&amp;"","")</f>
        <v/>
      </c>
      <c r="Z156" s="21" t="str">
        <f aca="false">IFERROR(INDEX(종합!Z$3:Z$501,MATCH(ROW()-2,종합!$AB$3:$AB$501,0))&amp;"","")</f>
        <v/>
      </c>
    </row>
    <row r="157" customFormat="false" ht="16.5" hidden="false" customHeight="true" outlineLevel="0" collapsed="false">
      <c r="A157" s="18" t="str">
        <f aca="false">IF(B157="","",ROW()-2)</f>
        <v/>
      </c>
      <c r="B157" s="18" t="str">
        <f aca="false">IFERROR(INDEX(종합!B$3:B$501,MATCH(ROW()-2,종합!$AB$3:$AB$501,0))&amp;"","")</f>
        <v/>
      </c>
      <c r="C157" s="18" t="str">
        <f aca="false">IFERROR(INDEX(종합!C$3:C$501,MATCH(ROW()-2,종합!$AB$3:$AB$501,0))&amp;"","")</f>
        <v/>
      </c>
      <c r="D157" s="18" t="str">
        <f aca="false">IFERROR(INDEX(종합!D$3:D$501,MATCH(ROW()-2,종합!$AB$3:$AB$501,0))&amp;"","")</f>
        <v/>
      </c>
      <c r="E157" s="18" t="str">
        <f aca="false">IFERROR(INDEX(종합!E$3:E$501,MATCH(ROW()-2,종합!$AB$3:$AB$501,0))&amp;"","")</f>
        <v/>
      </c>
      <c r="F157" s="18" t="str">
        <f aca="false">IFERROR(INDEX(종합!F$3:F$501,MATCH(ROW()-2,종합!$AB$3:$AB$501,0))&amp;"","")</f>
        <v/>
      </c>
      <c r="G157" s="18" t="str">
        <f aca="false">IFERROR(INDEX(종합!G$3:G$501,MATCH(ROW()-2,종합!$AB$3:$AB$501,0))&amp;"","")</f>
        <v/>
      </c>
      <c r="H157" s="21" t="str">
        <f aca="false">IFERROR(INDEX(종합!H$3:H$501,MATCH(ROW()-2,종합!$AB$3:$AB$501,0))&amp;"","")</f>
        <v/>
      </c>
      <c r="I157" s="21" t="str">
        <f aca="false">IFERROR(INDEX(종합!I$3:I$501,MATCH(ROW()-2,종합!$AB$3:$AB$501,0))&amp;"","")</f>
        <v/>
      </c>
      <c r="J157" s="21" t="str">
        <f aca="false">IFERROR(INDEX(종합!J$3:J$501,MATCH(ROW()-2,종합!$AB$3:$AB$501,0))&amp;"","")</f>
        <v/>
      </c>
      <c r="K157" s="21" t="str">
        <f aca="false">IFERROR(INDEX(종합!K$3:K$501,MATCH(ROW()-2,종합!$AB$3:$AB$501,0))&amp;"","")</f>
        <v/>
      </c>
      <c r="L157" s="21" t="str">
        <f aca="false">IFERROR(INDEX(종합!L$3:L$501,MATCH(ROW()-2,종합!$AB$3:$AB$501,0))&amp;"","")</f>
        <v/>
      </c>
      <c r="M157" s="21" t="str">
        <f aca="false">IFERROR(INDEX(종합!M$3:M$501,MATCH(ROW()-2,종합!$AB$3:$AB$501,0))&amp;"","")</f>
        <v/>
      </c>
      <c r="N157" s="25" t="str">
        <f aca="false">IFERROR(INDEX(종합!N$3:N$501,MATCH(ROW()-2,종합!$AB$3:$AB$501,0))&amp;"","")</f>
        <v/>
      </c>
      <c r="O157" s="21" t="str">
        <f aca="false">IFERROR(INDEX(종합!O$3:O$501,MATCH(ROW()-2,종합!$AB$3:$AB$501,0))&amp;"","")</f>
        <v/>
      </c>
      <c r="P157" s="21" t="str">
        <f aca="false">IFERROR(INDEX(종합!P$3:P$501,MATCH(ROW()-2,종합!$AB$3:$AB$501,0))&amp;"","")</f>
        <v/>
      </c>
      <c r="Q157" s="21" t="str">
        <f aca="false">IFERROR(INDEX(종합!Q$3:Q$501,MATCH(ROW()-2,종합!$AB$3:$AB$501,0))&amp;"","")</f>
        <v/>
      </c>
      <c r="R157" s="21" t="str">
        <f aca="false">IFERROR(INDEX(종합!R$3:R$501,MATCH(ROW()-2,종합!$AB$3:$AB$501,0))&amp;"","")</f>
        <v/>
      </c>
      <c r="S157" s="21" t="str">
        <f aca="false">IFERROR(INDEX(종합!S$3:S$501,MATCH(ROW()-2,종합!$AB$3:$AB$501,0))&amp;"","")</f>
        <v/>
      </c>
      <c r="T157" s="21" t="str">
        <f aca="false">IFERROR(INDEX(종합!T$3:T$501,MATCH(ROW()-2,종합!$AB$3:$AB$501,0))&amp;"","")</f>
        <v/>
      </c>
      <c r="U157" s="21" t="str">
        <f aca="false">IFERROR(INDEX(종합!U$3:U$501,MATCH(ROW()-2,종합!$AB$3:$AB$501,0))&amp;"","")</f>
        <v/>
      </c>
      <c r="V157" s="21" t="str">
        <f aca="false">IFERROR(INDEX(종합!V$3:V$501,MATCH(ROW()-2,종합!$AB$3:$AB$501,0))&amp;"","")</f>
        <v/>
      </c>
      <c r="W157" s="21" t="str">
        <f aca="false">IFERROR(INDEX(종합!W$3:W$501,MATCH(ROW()-2,종합!$AB$3:$AB$501,0))&amp;"","")</f>
        <v/>
      </c>
      <c r="X157" s="21" t="str">
        <f aca="false">IFERROR(INDEX(종합!X$3:X$501,MATCH(ROW()-2,종합!$AB$3:$AB$501,0))&amp;"","")</f>
        <v/>
      </c>
      <c r="Y157" s="21" t="str">
        <f aca="false">IFERROR(INDEX(종합!Y$3:Y$501,MATCH(ROW()-2,종합!$AB$3:$AB$501,0))&amp;"","")</f>
        <v/>
      </c>
      <c r="Z157" s="21" t="str">
        <f aca="false">IFERROR(INDEX(종합!Z$3:Z$501,MATCH(ROW()-2,종합!$AB$3:$AB$501,0))&amp;"","")</f>
        <v/>
      </c>
    </row>
    <row r="158" customFormat="false" ht="16.5" hidden="false" customHeight="true" outlineLevel="0" collapsed="false">
      <c r="A158" s="18" t="str">
        <f aca="false">IF(B158="","",ROW()-2)</f>
        <v/>
      </c>
      <c r="B158" s="18" t="str">
        <f aca="false">IFERROR(INDEX(종합!B$3:B$501,MATCH(ROW()-2,종합!$AB$3:$AB$501,0))&amp;"","")</f>
        <v/>
      </c>
      <c r="C158" s="18" t="str">
        <f aca="false">IFERROR(INDEX(종합!C$3:C$501,MATCH(ROW()-2,종합!$AB$3:$AB$501,0))&amp;"","")</f>
        <v/>
      </c>
      <c r="D158" s="18" t="str">
        <f aca="false">IFERROR(INDEX(종합!D$3:D$501,MATCH(ROW()-2,종합!$AB$3:$AB$501,0))&amp;"","")</f>
        <v/>
      </c>
      <c r="E158" s="18" t="str">
        <f aca="false">IFERROR(INDEX(종합!E$3:E$501,MATCH(ROW()-2,종합!$AB$3:$AB$501,0))&amp;"","")</f>
        <v/>
      </c>
      <c r="F158" s="18" t="str">
        <f aca="false">IFERROR(INDEX(종합!F$3:F$501,MATCH(ROW()-2,종합!$AB$3:$AB$501,0))&amp;"","")</f>
        <v/>
      </c>
      <c r="G158" s="18" t="str">
        <f aca="false">IFERROR(INDEX(종합!G$3:G$501,MATCH(ROW()-2,종합!$AB$3:$AB$501,0))&amp;"","")</f>
        <v/>
      </c>
      <c r="H158" s="21" t="str">
        <f aca="false">IFERROR(INDEX(종합!H$3:H$501,MATCH(ROW()-2,종합!$AB$3:$AB$501,0))&amp;"","")</f>
        <v/>
      </c>
      <c r="I158" s="21" t="str">
        <f aca="false">IFERROR(INDEX(종합!I$3:I$501,MATCH(ROW()-2,종합!$AB$3:$AB$501,0))&amp;"","")</f>
        <v/>
      </c>
      <c r="J158" s="21" t="str">
        <f aca="false">IFERROR(INDEX(종합!J$3:J$501,MATCH(ROW()-2,종합!$AB$3:$AB$501,0))&amp;"","")</f>
        <v/>
      </c>
      <c r="K158" s="21" t="str">
        <f aca="false">IFERROR(INDEX(종합!K$3:K$501,MATCH(ROW()-2,종합!$AB$3:$AB$501,0))&amp;"","")</f>
        <v/>
      </c>
      <c r="L158" s="21" t="str">
        <f aca="false">IFERROR(INDEX(종합!L$3:L$501,MATCH(ROW()-2,종합!$AB$3:$AB$501,0))&amp;"","")</f>
        <v/>
      </c>
      <c r="M158" s="21" t="str">
        <f aca="false">IFERROR(INDEX(종합!M$3:M$501,MATCH(ROW()-2,종합!$AB$3:$AB$501,0))&amp;"","")</f>
        <v/>
      </c>
      <c r="N158" s="25" t="str">
        <f aca="false">IFERROR(INDEX(종합!N$3:N$501,MATCH(ROW()-2,종합!$AB$3:$AB$501,0))&amp;"","")</f>
        <v/>
      </c>
      <c r="O158" s="21" t="str">
        <f aca="false">IFERROR(INDEX(종합!O$3:O$501,MATCH(ROW()-2,종합!$AB$3:$AB$501,0))&amp;"","")</f>
        <v/>
      </c>
      <c r="P158" s="21" t="str">
        <f aca="false">IFERROR(INDEX(종합!P$3:P$501,MATCH(ROW()-2,종합!$AB$3:$AB$501,0))&amp;"","")</f>
        <v/>
      </c>
      <c r="Q158" s="21" t="str">
        <f aca="false">IFERROR(INDEX(종합!Q$3:Q$501,MATCH(ROW()-2,종합!$AB$3:$AB$501,0))&amp;"","")</f>
        <v/>
      </c>
      <c r="R158" s="21" t="str">
        <f aca="false">IFERROR(INDEX(종합!R$3:R$501,MATCH(ROW()-2,종합!$AB$3:$AB$501,0))&amp;"","")</f>
        <v/>
      </c>
      <c r="S158" s="21" t="str">
        <f aca="false">IFERROR(INDEX(종합!S$3:S$501,MATCH(ROW()-2,종합!$AB$3:$AB$501,0))&amp;"","")</f>
        <v/>
      </c>
      <c r="T158" s="21" t="str">
        <f aca="false">IFERROR(INDEX(종합!T$3:T$501,MATCH(ROW()-2,종합!$AB$3:$AB$501,0))&amp;"","")</f>
        <v/>
      </c>
      <c r="U158" s="21" t="str">
        <f aca="false">IFERROR(INDEX(종합!U$3:U$501,MATCH(ROW()-2,종합!$AB$3:$AB$501,0))&amp;"","")</f>
        <v/>
      </c>
      <c r="V158" s="21" t="str">
        <f aca="false">IFERROR(INDEX(종합!V$3:V$501,MATCH(ROW()-2,종합!$AB$3:$AB$501,0))&amp;"","")</f>
        <v/>
      </c>
      <c r="W158" s="21" t="str">
        <f aca="false">IFERROR(INDEX(종합!W$3:W$501,MATCH(ROW()-2,종합!$AB$3:$AB$501,0))&amp;"","")</f>
        <v/>
      </c>
      <c r="X158" s="21" t="str">
        <f aca="false">IFERROR(INDEX(종합!X$3:X$501,MATCH(ROW()-2,종합!$AB$3:$AB$501,0))&amp;"","")</f>
        <v/>
      </c>
      <c r="Y158" s="21" t="str">
        <f aca="false">IFERROR(INDEX(종합!Y$3:Y$501,MATCH(ROW()-2,종합!$AB$3:$AB$501,0))&amp;"","")</f>
        <v/>
      </c>
      <c r="Z158" s="21" t="str">
        <f aca="false">IFERROR(INDEX(종합!Z$3:Z$501,MATCH(ROW()-2,종합!$AB$3:$AB$501,0))&amp;"","")</f>
        <v/>
      </c>
    </row>
    <row r="159" customFormat="false" ht="16.5" hidden="false" customHeight="true" outlineLevel="0" collapsed="false">
      <c r="A159" s="18" t="str">
        <f aca="false">IF(B159="","",ROW()-2)</f>
        <v/>
      </c>
      <c r="B159" s="18" t="str">
        <f aca="false">IFERROR(INDEX(종합!B$3:B$501,MATCH(ROW()-2,종합!$AB$3:$AB$501,0))&amp;"","")</f>
        <v/>
      </c>
      <c r="C159" s="18" t="str">
        <f aca="false">IFERROR(INDEX(종합!C$3:C$501,MATCH(ROW()-2,종합!$AB$3:$AB$501,0))&amp;"","")</f>
        <v/>
      </c>
      <c r="D159" s="18" t="str">
        <f aca="false">IFERROR(INDEX(종합!D$3:D$501,MATCH(ROW()-2,종합!$AB$3:$AB$501,0))&amp;"","")</f>
        <v/>
      </c>
      <c r="E159" s="18" t="str">
        <f aca="false">IFERROR(INDEX(종합!E$3:E$501,MATCH(ROW()-2,종합!$AB$3:$AB$501,0))&amp;"","")</f>
        <v/>
      </c>
      <c r="F159" s="18" t="str">
        <f aca="false">IFERROR(INDEX(종합!F$3:F$501,MATCH(ROW()-2,종합!$AB$3:$AB$501,0))&amp;"","")</f>
        <v/>
      </c>
      <c r="G159" s="18" t="str">
        <f aca="false">IFERROR(INDEX(종합!G$3:G$501,MATCH(ROW()-2,종합!$AB$3:$AB$501,0))&amp;"","")</f>
        <v/>
      </c>
      <c r="H159" s="21" t="str">
        <f aca="false">IFERROR(INDEX(종합!H$3:H$501,MATCH(ROW()-2,종합!$AB$3:$AB$501,0))&amp;"","")</f>
        <v/>
      </c>
      <c r="I159" s="21" t="str">
        <f aca="false">IFERROR(INDEX(종합!I$3:I$501,MATCH(ROW()-2,종합!$AB$3:$AB$501,0))&amp;"","")</f>
        <v/>
      </c>
      <c r="J159" s="21" t="str">
        <f aca="false">IFERROR(INDEX(종합!J$3:J$501,MATCH(ROW()-2,종합!$AB$3:$AB$501,0))&amp;"","")</f>
        <v/>
      </c>
      <c r="K159" s="21" t="str">
        <f aca="false">IFERROR(INDEX(종합!K$3:K$501,MATCH(ROW()-2,종합!$AB$3:$AB$501,0))&amp;"","")</f>
        <v/>
      </c>
      <c r="L159" s="21" t="str">
        <f aca="false">IFERROR(INDEX(종합!L$3:L$501,MATCH(ROW()-2,종합!$AB$3:$AB$501,0))&amp;"","")</f>
        <v/>
      </c>
      <c r="M159" s="21" t="str">
        <f aca="false">IFERROR(INDEX(종합!M$3:M$501,MATCH(ROW()-2,종합!$AB$3:$AB$501,0))&amp;"","")</f>
        <v/>
      </c>
      <c r="N159" s="25" t="str">
        <f aca="false">IFERROR(INDEX(종합!N$3:N$501,MATCH(ROW()-2,종합!$AB$3:$AB$501,0))&amp;"","")</f>
        <v/>
      </c>
      <c r="O159" s="21" t="str">
        <f aca="false">IFERROR(INDEX(종합!O$3:O$501,MATCH(ROW()-2,종합!$AB$3:$AB$501,0))&amp;"","")</f>
        <v/>
      </c>
      <c r="P159" s="21" t="str">
        <f aca="false">IFERROR(INDEX(종합!P$3:P$501,MATCH(ROW()-2,종합!$AB$3:$AB$501,0))&amp;"","")</f>
        <v/>
      </c>
      <c r="Q159" s="21" t="str">
        <f aca="false">IFERROR(INDEX(종합!Q$3:Q$501,MATCH(ROW()-2,종합!$AB$3:$AB$501,0))&amp;"","")</f>
        <v/>
      </c>
      <c r="R159" s="21" t="str">
        <f aca="false">IFERROR(INDEX(종합!R$3:R$501,MATCH(ROW()-2,종합!$AB$3:$AB$501,0))&amp;"","")</f>
        <v/>
      </c>
      <c r="S159" s="21" t="str">
        <f aca="false">IFERROR(INDEX(종합!S$3:S$501,MATCH(ROW()-2,종합!$AB$3:$AB$501,0))&amp;"","")</f>
        <v/>
      </c>
      <c r="T159" s="21" t="str">
        <f aca="false">IFERROR(INDEX(종합!T$3:T$501,MATCH(ROW()-2,종합!$AB$3:$AB$501,0))&amp;"","")</f>
        <v/>
      </c>
      <c r="U159" s="21" t="str">
        <f aca="false">IFERROR(INDEX(종합!U$3:U$501,MATCH(ROW()-2,종합!$AB$3:$AB$501,0))&amp;"","")</f>
        <v/>
      </c>
      <c r="V159" s="21" t="str">
        <f aca="false">IFERROR(INDEX(종합!V$3:V$501,MATCH(ROW()-2,종합!$AB$3:$AB$501,0))&amp;"","")</f>
        <v/>
      </c>
      <c r="W159" s="21" t="str">
        <f aca="false">IFERROR(INDEX(종합!W$3:W$501,MATCH(ROW()-2,종합!$AB$3:$AB$501,0))&amp;"","")</f>
        <v/>
      </c>
      <c r="X159" s="21" t="str">
        <f aca="false">IFERROR(INDEX(종합!X$3:X$501,MATCH(ROW()-2,종합!$AB$3:$AB$501,0))&amp;"","")</f>
        <v/>
      </c>
      <c r="Y159" s="21" t="str">
        <f aca="false">IFERROR(INDEX(종합!Y$3:Y$501,MATCH(ROW()-2,종합!$AB$3:$AB$501,0))&amp;"","")</f>
        <v/>
      </c>
      <c r="Z159" s="21" t="str">
        <f aca="false">IFERROR(INDEX(종합!Z$3:Z$501,MATCH(ROW()-2,종합!$AB$3:$AB$501,0))&amp;"","")</f>
        <v/>
      </c>
    </row>
    <row r="160" customFormat="false" ht="16.5" hidden="false" customHeight="true" outlineLevel="0" collapsed="false">
      <c r="A160" s="18" t="str">
        <f aca="false">IF(B160="","",ROW()-2)</f>
        <v/>
      </c>
      <c r="B160" s="18" t="str">
        <f aca="false">IFERROR(INDEX(종합!B$3:B$501,MATCH(ROW()-2,종합!$AB$3:$AB$501,0))&amp;"","")</f>
        <v/>
      </c>
      <c r="C160" s="18" t="str">
        <f aca="false">IFERROR(INDEX(종합!C$3:C$501,MATCH(ROW()-2,종합!$AB$3:$AB$501,0))&amp;"","")</f>
        <v/>
      </c>
      <c r="D160" s="18" t="str">
        <f aca="false">IFERROR(INDEX(종합!D$3:D$501,MATCH(ROW()-2,종합!$AB$3:$AB$501,0))&amp;"","")</f>
        <v/>
      </c>
      <c r="E160" s="18" t="str">
        <f aca="false">IFERROR(INDEX(종합!E$3:E$501,MATCH(ROW()-2,종합!$AB$3:$AB$501,0))&amp;"","")</f>
        <v/>
      </c>
      <c r="F160" s="18" t="str">
        <f aca="false">IFERROR(INDEX(종합!F$3:F$501,MATCH(ROW()-2,종합!$AB$3:$AB$501,0))&amp;"","")</f>
        <v/>
      </c>
      <c r="G160" s="18" t="str">
        <f aca="false">IFERROR(INDEX(종합!G$3:G$501,MATCH(ROW()-2,종합!$AB$3:$AB$501,0))&amp;"","")</f>
        <v/>
      </c>
      <c r="H160" s="21" t="str">
        <f aca="false">IFERROR(INDEX(종합!H$3:H$501,MATCH(ROW()-2,종합!$AB$3:$AB$501,0))&amp;"","")</f>
        <v/>
      </c>
      <c r="I160" s="21" t="str">
        <f aca="false">IFERROR(INDEX(종합!I$3:I$501,MATCH(ROW()-2,종합!$AB$3:$AB$501,0))&amp;"","")</f>
        <v/>
      </c>
      <c r="J160" s="21" t="str">
        <f aca="false">IFERROR(INDEX(종합!J$3:J$501,MATCH(ROW()-2,종합!$AB$3:$AB$501,0))&amp;"","")</f>
        <v/>
      </c>
      <c r="K160" s="21" t="str">
        <f aca="false">IFERROR(INDEX(종합!K$3:K$501,MATCH(ROW()-2,종합!$AB$3:$AB$501,0))&amp;"","")</f>
        <v/>
      </c>
      <c r="L160" s="21" t="str">
        <f aca="false">IFERROR(INDEX(종합!L$3:L$501,MATCH(ROW()-2,종합!$AB$3:$AB$501,0))&amp;"","")</f>
        <v/>
      </c>
      <c r="M160" s="21" t="str">
        <f aca="false">IFERROR(INDEX(종합!M$3:M$501,MATCH(ROW()-2,종합!$AB$3:$AB$501,0))&amp;"","")</f>
        <v/>
      </c>
      <c r="N160" s="25" t="str">
        <f aca="false">IFERROR(INDEX(종합!N$3:N$501,MATCH(ROW()-2,종합!$AB$3:$AB$501,0))&amp;"","")</f>
        <v/>
      </c>
      <c r="O160" s="21" t="str">
        <f aca="false">IFERROR(INDEX(종합!O$3:O$501,MATCH(ROW()-2,종합!$AB$3:$AB$501,0))&amp;"","")</f>
        <v/>
      </c>
      <c r="P160" s="21" t="str">
        <f aca="false">IFERROR(INDEX(종합!P$3:P$501,MATCH(ROW()-2,종합!$AB$3:$AB$501,0))&amp;"","")</f>
        <v/>
      </c>
      <c r="Q160" s="21" t="str">
        <f aca="false">IFERROR(INDEX(종합!Q$3:Q$501,MATCH(ROW()-2,종합!$AB$3:$AB$501,0))&amp;"","")</f>
        <v/>
      </c>
      <c r="R160" s="21" t="str">
        <f aca="false">IFERROR(INDEX(종합!R$3:R$501,MATCH(ROW()-2,종합!$AB$3:$AB$501,0))&amp;"","")</f>
        <v/>
      </c>
      <c r="S160" s="21" t="str">
        <f aca="false">IFERROR(INDEX(종합!S$3:S$501,MATCH(ROW()-2,종합!$AB$3:$AB$501,0))&amp;"","")</f>
        <v/>
      </c>
      <c r="T160" s="21" t="str">
        <f aca="false">IFERROR(INDEX(종합!T$3:T$501,MATCH(ROW()-2,종합!$AB$3:$AB$501,0))&amp;"","")</f>
        <v/>
      </c>
      <c r="U160" s="21" t="str">
        <f aca="false">IFERROR(INDEX(종합!U$3:U$501,MATCH(ROW()-2,종합!$AB$3:$AB$501,0))&amp;"","")</f>
        <v/>
      </c>
      <c r="V160" s="21" t="str">
        <f aca="false">IFERROR(INDEX(종합!V$3:V$501,MATCH(ROW()-2,종합!$AB$3:$AB$501,0))&amp;"","")</f>
        <v/>
      </c>
      <c r="W160" s="21" t="str">
        <f aca="false">IFERROR(INDEX(종합!W$3:W$501,MATCH(ROW()-2,종합!$AB$3:$AB$501,0))&amp;"","")</f>
        <v/>
      </c>
      <c r="X160" s="21" t="str">
        <f aca="false">IFERROR(INDEX(종합!X$3:X$501,MATCH(ROW()-2,종합!$AB$3:$AB$501,0))&amp;"","")</f>
        <v/>
      </c>
      <c r="Y160" s="21" t="str">
        <f aca="false">IFERROR(INDEX(종합!Y$3:Y$501,MATCH(ROW()-2,종합!$AB$3:$AB$501,0))&amp;"","")</f>
        <v/>
      </c>
      <c r="Z160" s="21" t="str">
        <f aca="false">IFERROR(INDEX(종합!Z$3:Z$501,MATCH(ROW()-2,종합!$AB$3:$AB$501,0))&amp;"","")</f>
        <v/>
      </c>
    </row>
    <row r="161" customFormat="false" ht="16.5" hidden="false" customHeight="true" outlineLevel="0" collapsed="false">
      <c r="A161" s="18" t="str">
        <f aca="false">IF(B161="","",ROW()-2)</f>
        <v/>
      </c>
      <c r="B161" s="18" t="str">
        <f aca="false">IFERROR(INDEX(종합!B$3:B$501,MATCH(ROW()-2,종합!$AB$3:$AB$501,0))&amp;"","")</f>
        <v/>
      </c>
      <c r="C161" s="18" t="str">
        <f aca="false">IFERROR(INDEX(종합!C$3:C$501,MATCH(ROW()-2,종합!$AB$3:$AB$501,0))&amp;"","")</f>
        <v/>
      </c>
      <c r="D161" s="18" t="str">
        <f aca="false">IFERROR(INDEX(종합!D$3:D$501,MATCH(ROW()-2,종합!$AB$3:$AB$501,0))&amp;"","")</f>
        <v/>
      </c>
      <c r="E161" s="18" t="str">
        <f aca="false">IFERROR(INDEX(종합!E$3:E$501,MATCH(ROW()-2,종합!$AB$3:$AB$501,0))&amp;"","")</f>
        <v/>
      </c>
      <c r="F161" s="18" t="str">
        <f aca="false">IFERROR(INDEX(종합!F$3:F$501,MATCH(ROW()-2,종합!$AB$3:$AB$501,0))&amp;"","")</f>
        <v/>
      </c>
      <c r="G161" s="18" t="str">
        <f aca="false">IFERROR(INDEX(종합!G$3:G$501,MATCH(ROW()-2,종합!$AB$3:$AB$501,0))&amp;"","")</f>
        <v/>
      </c>
      <c r="H161" s="21" t="str">
        <f aca="false">IFERROR(INDEX(종합!H$3:H$501,MATCH(ROW()-2,종합!$AB$3:$AB$501,0))&amp;"","")</f>
        <v/>
      </c>
      <c r="I161" s="21" t="str">
        <f aca="false">IFERROR(INDEX(종합!I$3:I$501,MATCH(ROW()-2,종합!$AB$3:$AB$501,0))&amp;"","")</f>
        <v/>
      </c>
      <c r="J161" s="21" t="str">
        <f aca="false">IFERROR(INDEX(종합!J$3:J$501,MATCH(ROW()-2,종합!$AB$3:$AB$501,0))&amp;"","")</f>
        <v/>
      </c>
      <c r="K161" s="21" t="str">
        <f aca="false">IFERROR(INDEX(종합!K$3:K$501,MATCH(ROW()-2,종합!$AB$3:$AB$501,0))&amp;"","")</f>
        <v/>
      </c>
      <c r="L161" s="21" t="str">
        <f aca="false">IFERROR(INDEX(종합!L$3:L$501,MATCH(ROW()-2,종합!$AB$3:$AB$501,0))&amp;"","")</f>
        <v/>
      </c>
      <c r="M161" s="21" t="str">
        <f aca="false">IFERROR(INDEX(종합!M$3:M$501,MATCH(ROW()-2,종합!$AB$3:$AB$501,0))&amp;"","")</f>
        <v/>
      </c>
      <c r="N161" s="25" t="str">
        <f aca="false">IFERROR(INDEX(종합!N$3:N$501,MATCH(ROW()-2,종합!$AB$3:$AB$501,0))&amp;"","")</f>
        <v/>
      </c>
      <c r="O161" s="21" t="str">
        <f aca="false">IFERROR(INDEX(종합!O$3:O$501,MATCH(ROW()-2,종합!$AB$3:$AB$501,0))&amp;"","")</f>
        <v/>
      </c>
      <c r="P161" s="21" t="str">
        <f aca="false">IFERROR(INDEX(종합!P$3:P$501,MATCH(ROW()-2,종합!$AB$3:$AB$501,0))&amp;"","")</f>
        <v/>
      </c>
      <c r="Q161" s="21" t="str">
        <f aca="false">IFERROR(INDEX(종합!Q$3:Q$501,MATCH(ROW()-2,종합!$AB$3:$AB$501,0))&amp;"","")</f>
        <v/>
      </c>
      <c r="R161" s="21" t="str">
        <f aca="false">IFERROR(INDEX(종합!R$3:R$501,MATCH(ROW()-2,종합!$AB$3:$AB$501,0))&amp;"","")</f>
        <v/>
      </c>
      <c r="S161" s="21" t="str">
        <f aca="false">IFERROR(INDEX(종합!S$3:S$501,MATCH(ROW()-2,종합!$AB$3:$AB$501,0))&amp;"","")</f>
        <v/>
      </c>
      <c r="T161" s="21" t="str">
        <f aca="false">IFERROR(INDEX(종합!T$3:T$501,MATCH(ROW()-2,종합!$AB$3:$AB$501,0))&amp;"","")</f>
        <v/>
      </c>
      <c r="U161" s="21" t="str">
        <f aca="false">IFERROR(INDEX(종합!U$3:U$501,MATCH(ROW()-2,종합!$AB$3:$AB$501,0))&amp;"","")</f>
        <v/>
      </c>
      <c r="V161" s="21" t="str">
        <f aca="false">IFERROR(INDEX(종합!V$3:V$501,MATCH(ROW()-2,종합!$AB$3:$AB$501,0))&amp;"","")</f>
        <v/>
      </c>
      <c r="W161" s="21" t="str">
        <f aca="false">IFERROR(INDEX(종합!W$3:W$501,MATCH(ROW()-2,종합!$AB$3:$AB$501,0))&amp;"","")</f>
        <v/>
      </c>
      <c r="X161" s="21" t="str">
        <f aca="false">IFERROR(INDEX(종합!X$3:X$501,MATCH(ROW()-2,종합!$AB$3:$AB$501,0))&amp;"","")</f>
        <v/>
      </c>
      <c r="Y161" s="21" t="str">
        <f aca="false">IFERROR(INDEX(종합!Y$3:Y$501,MATCH(ROW()-2,종합!$AB$3:$AB$501,0))&amp;"","")</f>
        <v/>
      </c>
      <c r="Z161" s="21" t="str">
        <f aca="false">IFERROR(INDEX(종합!Z$3:Z$501,MATCH(ROW()-2,종합!$AB$3:$AB$501,0))&amp;"","")</f>
        <v/>
      </c>
    </row>
    <row r="162" customFormat="false" ht="16.5" hidden="false" customHeight="true" outlineLevel="0" collapsed="false">
      <c r="A162" s="18" t="str">
        <f aca="false">IF(B162="","",ROW()-2)</f>
        <v/>
      </c>
      <c r="B162" s="18" t="str">
        <f aca="false">IFERROR(INDEX(종합!B$3:B$501,MATCH(ROW()-2,종합!$AB$3:$AB$501,0))&amp;"","")</f>
        <v/>
      </c>
      <c r="C162" s="18" t="str">
        <f aca="false">IFERROR(INDEX(종합!C$3:C$501,MATCH(ROW()-2,종합!$AB$3:$AB$501,0))&amp;"","")</f>
        <v/>
      </c>
      <c r="D162" s="18" t="str">
        <f aca="false">IFERROR(INDEX(종합!D$3:D$501,MATCH(ROW()-2,종합!$AB$3:$AB$501,0))&amp;"","")</f>
        <v/>
      </c>
      <c r="E162" s="18" t="str">
        <f aca="false">IFERROR(INDEX(종합!E$3:E$501,MATCH(ROW()-2,종합!$AB$3:$AB$501,0))&amp;"","")</f>
        <v/>
      </c>
      <c r="F162" s="18" t="str">
        <f aca="false">IFERROR(INDEX(종합!F$3:F$501,MATCH(ROW()-2,종합!$AB$3:$AB$501,0))&amp;"","")</f>
        <v/>
      </c>
      <c r="G162" s="18" t="str">
        <f aca="false">IFERROR(INDEX(종합!G$3:G$501,MATCH(ROW()-2,종합!$AB$3:$AB$501,0))&amp;"","")</f>
        <v/>
      </c>
      <c r="H162" s="21" t="str">
        <f aca="false">IFERROR(INDEX(종합!H$3:H$501,MATCH(ROW()-2,종합!$AB$3:$AB$501,0))&amp;"","")</f>
        <v/>
      </c>
      <c r="I162" s="21" t="str">
        <f aca="false">IFERROR(INDEX(종합!I$3:I$501,MATCH(ROW()-2,종합!$AB$3:$AB$501,0))&amp;"","")</f>
        <v/>
      </c>
      <c r="J162" s="21" t="str">
        <f aca="false">IFERROR(INDEX(종합!J$3:J$501,MATCH(ROW()-2,종합!$AB$3:$AB$501,0))&amp;"","")</f>
        <v/>
      </c>
      <c r="K162" s="21" t="str">
        <f aca="false">IFERROR(INDEX(종합!K$3:K$501,MATCH(ROW()-2,종합!$AB$3:$AB$501,0))&amp;"","")</f>
        <v/>
      </c>
      <c r="L162" s="21" t="str">
        <f aca="false">IFERROR(INDEX(종합!L$3:L$501,MATCH(ROW()-2,종합!$AB$3:$AB$501,0))&amp;"","")</f>
        <v/>
      </c>
      <c r="M162" s="21" t="str">
        <f aca="false">IFERROR(INDEX(종합!M$3:M$501,MATCH(ROW()-2,종합!$AB$3:$AB$501,0))&amp;"","")</f>
        <v/>
      </c>
      <c r="N162" s="25" t="str">
        <f aca="false">IFERROR(INDEX(종합!N$3:N$501,MATCH(ROW()-2,종합!$AB$3:$AB$501,0))&amp;"","")</f>
        <v/>
      </c>
      <c r="O162" s="21" t="str">
        <f aca="false">IFERROR(INDEX(종합!O$3:O$501,MATCH(ROW()-2,종합!$AB$3:$AB$501,0))&amp;"","")</f>
        <v/>
      </c>
      <c r="P162" s="21" t="str">
        <f aca="false">IFERROR(INDEX(종합!P$3:P$501,MATCH(ROW()-2,종합!$AB$3:$AB$501,0))&amp;"","")</f>
        <v/>
      </c>
      <c r="Q162" s="21" t="str">
        <f aca="false">IFERROR(INDEX(종합!Q$3:Q$501,MATCH(ROW()-2,종합!$AB$3:$AB$501,0))&amp;"","")</f>
        <v/>
      </c>
      <c r="R162" s="21" t="str">
        <f aca="false">IFERROR(INDEX(종합!R$3:R$501,MATCH(ROW()-2,종합!$AB$3:$AB$501,0))&amp;"","")</f>
        <v/>
      </c>
      <c r="S162" s="21" t="str">
        <f aca="false">IFERROR(INDEX(종합!S$3:S$501,MATCH(ROW()-2,종합!$AB$3:$AB$501,0))&amp;"","")</f>
        <v/>
      </c>
      <c r="T162" s="21" t="str">
        <f aca="false">IFERROR(INDEX(종합!T$3:T$501,MATCH(ROW()-2,종합!$AB$3:$AB$501,0))&amp;"","")</f>
        <v/>
      </c>
      <c r="U162" s="21" t="str">
        <f aca="false">IFERROR(INDEX(종합!U$3:U$501,MATCH(ROW()-2,종합!$AB$3:$AB$501,0))&amp;"","")</f>
        <v/>
      </c>
      <c r="V162" s="21" t="str">
        <f aca="false">IFERROR(INDEX(종합!V$3:V$501,MATCH(ROW()-2,종합!$AB$3:$AB$501,0))&amp;"","")</f>
        <v/>
      </c>
      <c r="W162" s="21" t="str">
        <f aca="false">IFERROR(INDEX(종합!W$3:W$501,MATCH(ROW()-2,종합!$AB$3:$AB$501,0))&amp;"","")</f>
        <v/>
      </c>
      <c r="X162" s="21" t="str">
        <f aca="false">IFERROR(INDEX(종합!X$3:X$501,MATCH(ROW()-2,종합!$AB$3:$AB$501,0))&amp;"","")</f>
        <v/>
      </c>
      <c r="Y162" s="21" t="str">
        <f aca="false">IFERROR(INDEX(종합!Y$3:Y$501,MATCH(ROW()-2,종합!$AB$3:$AB$501,0))&amp;"","")</f>
        <v/>
      </c>
      <c r="Z162" s="21" t="str">
        <f aca="false">IFERROR(INDEX(종합!Z$3:Z$501,MATCH(ROW()-2,종합!$AB$3:$AB$501,0))&amp;"","")</f>
        <v/>
      </c>
    </row>
    <row r="163" customFormat="false" ht="16.5" hidden="false" customHeight="true" outlineLevel="0" collapsed="false">
      <c r="A163" s="18" t="str">
        <f aca="false">IF(B163="","",ROW()-2)</f>
        <v/>
      </c>
      <c r="B163" s="18" t="str">
        <f aca="false">IFERROR(INDEX(종합!B$3:B$501,MATCH(ROW()-2,종합!$AB$3:$AB$501,0))&amp;"","")</f>
        <v/>
      </c>
      <c r="C163" s="18" t="str">
        <f aca="false">IFERROR(INDEX(종합!C$3:C$501,MATCH(ROW()-2,종합!$AB$3:$AB$501,0))&amp;"","")</f>
        <v/>
      </c>
      <c r="D163" s="18" t="str">
        <f aca="false">IFERROR(INDEX(종합!D$3:D$501,MATCH(ROW()-2,종합!$AB$3:$AB$501,0))&amp;"","")</f>
        <v/>
      </c>
      <c r="E163" s="18" t="str">
        <f aca="false">IFERROR(INDEX(종합!E$3:E$501,MATCH(ROW()-2,종합!$AB$3:$AB$501,0))&amp;"","")</f>
        <v/>
      </c>
      <c r="F163" s="18" t="str">
        <f aca="false">IFERROR(INDEX(종합!F$3:F$501,MATCH(ROW()-2,종합!$AB$3:$AB$501,0))&amp;"","")</f>
        <v/>
      </c>
      <c r="G163" s="18" t="str">
        <f aca="false">IFERROR(INDEX(종합!G$3:G$501,MATCH(ROW()-2,종합!$AB$3:$AB$501,0))&amp;"","")</f>
        <v/>
      </c>
      <c r="H163" s="21" t="str">
        <f aca="false">IFERROR(INDEX(종합!H$3:H$501,MATCH(ROW()-2,종합!$AB$3:$AB$501,0))&amp;"","")</f>
        <v/>
      </c>
      <c r="I163" s="21" t="str">
        <f aca="false">IFERROR(INDEX(종합!I$3:I$501,MATCH(ROW()-2,종합!$AB$3:$AB$501,0))&amp;"","")</f>
        <v/>
      </c>
      <c r="J163" s="21" t="str">
        <f aca="false">IFERROR(INDEX(종합!J$3:J$501,MATCH(ROW()-2,종합!$AB$3:$AB$501,0))&amp;"","")</f>
        <v/>
      </c>
      <c r="K163" s="21" t="str">
        <f aca="false">IFERROR(INDEX(종합!K$3:K$501,MATCH(ROW()-2,종합!$AB$3:$AB$501,0))&amp;"","")</f>
        <v/>
      </c>
      <c r="L163" s="21" t="str">
        <f aca="false">IFERROR(INDEX(종합!L$3:L$501,MATCH(ROW()-2,종합!$AB$3:$AB$501,0))&amp;"","")</f>
        <v/>
      </c>
      <c r="M163" s="21" t="str">
        <f aca="false">IFERROR(INDEX(종합!M$3:M$501,MATCH(ROW()-2,종합!$AB$3:$AB$501,0))&amp;"","")</f>
        <v/>
      </c>
      <c r="N163" s="25" t="str">
        <f aca="false">IFERROR(INDEX(종합!N$3:N$501,MATCH(ROW()-2,종합!$AB$3:$AB$501,0))&amp;"","")</f>
        <v/>
      </c>
      <c r="O163" s="21" t="str">
        <f aca="false">IFERROR(INDEX(종합!O$3:O$501,MATCH(ROW()-2,종합!$AB$3:$AB$501,0))&amp;"","")</f>
        <v/>
      </c>
      <c r="P163" s="21" t="str">
        <f aca="false">IFERROR(INDEX(종합!P$3:P$501,MATCH(ROW()-2,종합!$AB$3:$AB$501,0))&amp;"","")</f>
        <v/>
      </c>
      <c r="Q163" s="21" t="str">
        <f aca="false">IFERROR(INDEX(종합!Q$3:Q$501,MATCH(ROW()-2,종합!$AB$3:$AB$501,0))&amp;"","")</f>
        <v/>
      </c>
      <c r="R163" s="21" t="str">
        <f aca="false">IFERROR(INDEX(종합!R$3:R$501,MATCH(ROW()-2,종합!$AB$3:$AB$501,0))&amp;"","")</f>
        <v/>
      </c>
      <c r="S163" s="21" t="str">
        <f aca="false">IFERROR(INDEX(종합!S$3:S$501,MATCH(ROW()-2,종합!$AB$3:$AB$501,0))&amp;"","")</f>
        <v/>
      </c>
      <c r="T163" s="21" t="str">
        <f aca="false">IFERROR(INDEX(종합!T$3:T$501,MATCH(ROW()-2,종합!$AB$3:$AB$501,0))&amp;"","")</f>
        <v/>
      </c>
      <c r="U163" s="21" t="str">
        <f aca="false">IFERROR(INDEX(종합!U$3:U$501,MATCH(ROW()-2,종합!$AB$3:$AB$501,0))&amp;"","")</f>
        <v/>
      </c>
      <c r="V163" s="21" t="str">
        <f aca="false">IFERROR(INDEX(종합!V$3:V$501,MATCH(ROW()-2,종합!$AB$3:$AB$501,0))&amp;"","")</f>
        <v/>
      </c>
      <c r="W163" s="21" t="str">
        <f aca="false">IFERROR(INDEX(종합!W$3:W$501,MATCH(ROW()-2,종합!$AB$3:$AB$501,0))&amp;"","")</f>
        <v/>
      </c>
      <c r="X163" s="21" t="str">
        <f aca="false">IFERROR(INDEX(종합!X$3:X$501,MATCH(ROW()-2,종합!$AB$3:$AB$501,0))&amp;"","")</f>
        <v/>
      </c>
      <c r="Y163" s="21" t="str">
        <f aca="false">IFERROR(INDEX(종합!Y$3:Y$501,MATCH(ROW()-2,종합!$AB$3:$AB$501,0))&amp;"","")</f>
        <v/>
      </c>
      <c r="Z163" s="21" t="str">
        <f aca="false">IFERROR(INDEX(종합!Z$3:Z$501,MATCH(ROW()-2,종합!$AB$3:$AB$501,0))&amp;"","")</f>
        <v/>
      </c>
    </row>
    <row r="164" customFormat="false" ht="16.5" hidden="false" customHeight="true" outlineLevel="0" collapsed="false">
      <c r="A164" s="18" t="str">
        <f aca="false">IF(B164="","",ROW()-2)</f>
        <v/>
      </c>
      <c r="B164" s="18" t="str">
        <f aca="false">IFERROR(INDEX(종합!B$3:B$501,MATCH(ROW()-2,종합!$AB$3:$AB$501,0))&amp;"","")</f>
        <v/>
      </c>
      <c r="C164" s="18" t="str">
        <f aca="false">IFERROR(INDEX(종합!C$3:C$501,MATCH(ROW()-2,종합!$AB$3:$AB$501,0))&amp;"","")</f>
        <v/>
      </c>
      <c r="D164" s="18" t="str">
        <f aca="false">IFERROR(INDEX(종합!D$3:D$501,MATCH(ROW()-2,종합!$AB$3:$AB$501,0))&amp;"","")</f>
        <v/>
      </c>
      <c r="E164" s="18" t="str">
        <f aca="false">IFERROR(INDEX(종합!E$3:E$501,MATCH(ROW()-2,종합!$AB$3:$AB$501,0))&amp;"","")</f>
        <v/>
      </c>
      <c r="F164" s="18" t="str">
        <f aca="false">IFERROR(INDEX(종합!F$3:F$501,MATCH(ROW()-2,종합!$AB$3:$AB$501,0))&amp;"","")</f>
        <v/>
      </c>
      <c r="G164" s="18" t="str">
        <f aca="false">IFERROR(INDEX(종합!G$3:G$501,MATCH(ROW()-2,종합!$AB$3:$AB$501,0))&amp;"","")</f>
        <v/>
      </c>
      <c r="H164" s="21" t="str">
        <f aca="false">IFERROR(INDEX(종합!H$3:H$501,MATCH(ROW()-2,종합!$AB$3:$AB$501,0))&amp;"","")</f>
        <v/>
      </c>
      <c r="I164" s="21" t="str">
        <f aca="false">IFERROR(INDEX(종합!I$3:I$501,MATCH(ROW()-2,종합!$AB$3:$AB$501,0))&amp;"","")</f>
        <v/>
      </c>
      <c r="J164" s="21" t="str">
        <f aca="false">IFERROR(INDEX(종합!J$3:J$501,MATCH(ROW()-2,종합!$AB$3:$AB$501,0))&amp;"","")</f>
        <v/>
      </c>
      <c r="K164" s="21" t="str">
        <f aca="false">IFERROR(INDEX(종합!K$3:K$501,MATCH(ROW()-2,종합!$AB$3:$AB$501,0))&amp;"","")</f>
        <v/>
      </c>
      <c r="L164" s="21" t="str">
        <f aca="false">IFERROR(INDEX(종합!L$3:L$501,MATCH(ROW()-2,종합!$AB$3:$AB$501,0))&amp;"","")</f>
        <v/>
      </c>
      <c r="M164" s="21" t="str">
        <f aca="false">IFERROR(INDEX(종합!M$3:M$501,MATCH(ROW()-2,종합!$AB$3:$AB$501,0))&amp;"","")</f>
        <v/>
      </c>
      <c r="N164" s="25" t="str">
        <f aca="false">IFERROR(INDEX(종합!N$3:N$501,MATCH(ROW()-2,종합!$AB$3:$AB$501,0))&amp;"","")</f>
        <v/>
      </c>
      <c r="O164" s="21" t="str">
        <f aca="false">IFERROR(INDEX(종합!O$3:O$501,MATCH(ROW()-2,종합!$AB$3:$AB$501,0))&amp;"","")</f>
        <v/>
      </c>
      <c r="P164" s="21" t="str">
        <f aca="false">IFERROR(INDEX(종합!P$3:P$501,MATCH(ROW()-2,종합!$AB$3:$AB$501,0))&amp;"","")</f>
        <v/>
      </c>
      <c r="Q164" s="21" t="str">
        <f aca="false">IFERROR(INDEX(종합!Q$3:Q$501,MATCH(ROW()-2,종합!$AB$3:$AB$501,0))&amp;"","")</f>
        <v/>
      </c>
      <c r="R164" s="21" t="str">
        <f aca="false">IFERROR(INDEX(종합!R$3:R$501,MATCH(ROW()-2,종합!$AB$3:$AB$501,0))&amp;"","")</f>
        <v/>
      </c>
      <c r="S164" s="21" t="str">
        <f aca="false">IFERROR(INDEX(종합!S$3:S$501,MATCH(ROW()-2,종합!$AB$3:$AB$501,0))&amp;"","")</f>
        <v/>
      </c>
      <c r="T164" s="21" t="str">
        <f aca="false">IFERROR(INDEX(종합!T$3:T$501,MATCH(ROW()-2,종합!$AB$3:$AB$501,0))&amp;"","")</f>
        <v/>
      </c>
      <c r="U164" s="21" t="str">
        <f aca="false">IFERROR(INDEX(종합!U$3:U$501,MATCH(ROW()-2,종합!$AB$3:$AB$501,0))&amp;"","")</f>
        <v/>
      </c>
      <c r="V164" s="21" t="str">
        <f aca="false">IFERROR(INDEX(종합!V$3:V$501,MATCH(ROW()-2,종합!$AB$3:$AB$501,0))&amp;"","")</f>
        <v/>
      </c>
      <c r="W164" s="21" t="str">
        <f aca="false">IFERROR(INDEX(종합!W$3:W$501,MATCH(ROW()-2,종합!$AB$3:$AB$501,0))&amp;"","")</f>
        <v/>
      </c>
      <c r="X164" s="21" t="str">
        <f aca="false">IFERROR(INDEX(종합!X$3:X$501,MATCH(ROW()-2,종합!$AB$3:$AB$501,0))&amp;"","")</f>
        <v/>
      </c>
      <c r="Y164" s="21" t="str">
        <f aca="false">IFERROR(INDEX(종합!Y$3:Y$501,MATCH(ROW()-2,종합!$AB$3:$AB$501,0))&amp;"","")</f>
        <v/>
      </c>
      <c r="Z164" s="21" t="str">
        <f aca="false">IFERROR(INDEX(종합!Z$3:Z$501,MATCH(ROW()-2,종합!$AB$3:$AB$501,0))&amp;"","")</f>
        <v/>
      </c>
    </row>
    <row r="165" customFormat="false" ht="16.5" hidden="false" customHeight="true" outlineLevel="0" collapsed="false">
      <c r="A165" s="18" t="str">
        <f aca="false">IF(B165="","",ROW()-2)</f>
        <v/>
      </c>
      <c r="B165" s="18" t="str">
        <f aca="false">IFERROR(INDEX(종합!B$3:B$501,MATCH(ROW()-2,종합!$AB$3:$AB$501,0))&amp;"","")</f>
        <v/>
      </c>
      <c r="C165" s="18" t="str">
        <f aca="false">IFERROR(INDEX(종합!C$3:C$501,MATCH(ROW()-2,종합!$AB$3:$AB$501,0))&amp;"","")</f>
        <v/>
      </c>
      <c r="D165" s="18" t="str">
        <f aca="false">IFERROR(INDEX(종합!D$3:D$501,MATCH(ROW()-2,종합!$AB$3:$AB$501,0))&amp;"","")</f>
        <v/>
      </c>
      <c r="E165" s="18" t="str">
        <f aca="false">IFERROR(INDEX(종합!E$3:E$501,MATCH(ROW()-2,종합!$AB$3:$AB$501,0))&amp;"","")</f>
        <v/>
      </c>
      <c r="F165" s="18" t="str">
        <f aca="false">IFERROR(INDEX(종합!F$3:F$501,MATCH(ROW()-2,종합!$AB$3:$AB$501,0))&amp;"","")</f>
        <v/>
      </c>
      <c r="G165" s="18" t="str">
        <f aca="false">IFERROR(INDEX(종합!G$3:G$501,MATCH(ROW()-2,종합!$AB$3:$AB$501,0))&amp;"","")</f>
        <v/>
      </c>
      <c r="H165" s="21" t="str">
        <f aca="false">IFERROR(INDEX(종합!H$3:H$501,MATCH(ROW()-2,종합!$AB$3:$AB$501,0))&amp;"","")</f>
        <v/>
      </c>
      <c r="I165" s="21" t="str">
        <f aca="false">IFERROR(INDEX(종합!I$3:I$501,MATCH(ROW()-2,종합!$AB$3:$AB$501,0))&amp;"","")</f>
        <v/>
      </c>
      <c r="J165" s="21" t="str">
        <f aca="false">IFERROR(INDEX(종합!J$3:J$501,MATCH(ROW()-2,종합!$AB$3:$AB$501,0))&amp;"","")</f>
        <v/>
      </c>
      <c r="K165" s="21" t="str">
        <f aca="false">IFERROR(INDEX(종합!K$3:K$501,MATCH(ROW()-2,종합!$AB$3:$AB$501,0))&amp;"","")</f>
        <v/>
      </c>
      <c r="L165" s="21" t="str">
        <f aca="false">IFERROR(INDEX(종합!L$3:L$501,MATCH(ROW()-2,종합!$AB$3:$AB$501,0))&amp;"","")</f>
        <v/>
      </c>
      <c r="M165" s="21" t="str">
        <f aca="false">IFERROR(INDEX(종합!M$3:M$501,MATCH(ROW()-2,종합!$AB$3:$AB$501,0))&amp;"","")</f>
        <v/>
      </c>
      <c r="N165" s="25" t="str">
        <f aca="false">IFERROR(INDEX(종합!N$3:N$501,MATCH(ROW()-2,종합!$AB$3:$AB$501,0))&amp;"","")</f>
        <v/>
      </c>
      <c r="O165" s="21" t="str">
        <f aca="false">IFERROR(INDEX(종합!O$3:O$501,MATCH(ROW()-2,종합!$AB$3:$AB$501,0))&amp;"","")</f>
        <v/>
      </c>
      <c r="P165" s="21" t="str">
        <f aca="false">IFERROR(INDEX(종합!P$3:P$501,MATCH(ROW()-2,종합!$AB$3:$AB$501,0))&amp;"","")</f>
        <v/>
      </c>
      <c r="Q165" s="21" t="str">
        <f aca="false">IFERROR(INDEX(종합!Q$3:Q$501,MATCH(ROW()-2,종합!$AB$3:$AB$501,0))&amp;"","")</f>
        <v/>
      </c>
      <c r="R165" s="21" t="str">
        <f aca="false">IFERROR(INDEX(종합!R$3:R$501,MATCH(ROW()-2,종합!$AB$3:$AB$501,0))&amp;"","")</f>
        <v/>
      </c>
      <c r="S165" s="21" t="str">
        <f aca="false">IFERROR(INDEX(종합!S$3:S$501,MATCH(ROW()-2,종합!$AB$3:$AB$501,0))&amp;"","")</f>
        <v/>
      </c>
      <c r="T165" s="21" t="str">
        <f aca="false">IFERROR(INDEX(종합!T$3:T$501,MATCH(ROW()-2,종합!$AB$3:$AB$501,0))&amp;"","")</f>
        <v/>
      </c>
      <c r="U165" s="21" t="str">
        <f aca="false">IFERROR(INDEX(종합!U$3:U$501,MATCH(ROW()-2,종합!$AB$3:$AB$501,0))&amp;"","")</f>
        <v/>
      </c>
      <c r="V165" s="21" t="str">
        <f aca="false">IFERROR(INDEX(종합!V$3:V$501,MATCH(ROW()-2,종합!$AB$3:$AB$501,0))&amp;"","")</f>
        <v/>
      </c>
      <c r="W165" s="21" t="str">
        <f aca="false">IFERROR(INDEX(종합!W$3:W$501,MATCH(ROW()-2,종합!$AB$3:$AB$501,0))&amp;"","")</f>
        <v/>
      </c>
      <c r="X165" s="21" t="str">
        <f aca="false">IFERROR(INDEX(종합!X$3:X$501,MATCH(ROW()-2,종합!$AB$3:$AB$501,0))&amp;"","")</f>
        <v/>
      </c>
      <c r="Y165" s="21" t="str">
        <f aca="false">IFERROR(INDEX(종합!Y$3:Y$501,MATCH(ROW()-2,종합!$AB$3:$AB$501,0))&amp;"","")</f>
        <v/>
      </c>
      <c r="Z165" s="21" t="str">
        <f aca="false">IFERROR(INDEX(종합!Z$3:Z$501,MATCH(ROW()-2,종합!$AB$3:$AB$501,0))&amp;"","")</f>
        <v/>
      </c>
    </row>
    <row r="166" customFormat="false" ht="16.5" hidden="false" customHeight="true" outlineLevel="0" collapsed="false">
      <c r="A166" s="18" t="str">
        <f aca="false">IF(B166="","",ROW()-2)</f>
        <v/>
      </c>
      <c r="B166" s="18" t="str">
        <f aca="false">IFERROR(INDEX(종합!B$3:B$501,MATCH(ROW()-2,종합!$AB$3:$AB$501,0))&amp;"","")</f>
        <v/>
      </c>
      <c r="C166" s="18" t="str">
        <f aca="false">IFERROR(INDEX(종합!C$3:C$501,MATCH(ROW()-2,종합!$AB$3:$AB$501,0))&amp;"","")</f>
        <v/>
      </c>
      <c r="D166" s="18" t="str">
        <f aca="false">IFERROR(INDEX(종합!D$3:D$501,MATCH(ROW()-2,종합!$AB$3:$AB$501,0))&amp;"","")</f>
        <v/>
      </c>
      <c r="E166" s="18" t="str">
        <f aca="false">IFERROR(INDEX(종합!E$3:E$501,MATCH(ROW()-2,종합!$AB$3:$AB$501,0))&amp;"","")</f>
        <v/>
      </c>
      <c r="F166" s="18" t="str">
        <f aca="false">IFERROR(INDEX(종합!F$3:F$501,MATCH(ROW()-2,종합!$AB$3:$AB$501,0))&amp;"","")</f>
        <v/>
      </c>
      <c r="G166" s="18" t="str">
        <f aca="false">IFERROR(INDEX(종합!G$3:G$501,MATCH(ROW()-2,종합!$AB$3:$AB$501,0))&amp;"","")</f>
        <v/>
      </c>
      <c r="H166" s="21" t="str">
        <f aca="false">IFERROR(INDEX(종합!H$3:H$501,MATCH(ROW()-2,종합!$AB$3:$AB$501,0))&amp;"","")</f>
        <v/>
      </c>
      <c r="I166" s="21" t="str">
        <f aca="false">IFERROR(INDEX(종합!I$3:I$501,MATCH(ROW()-2,종합!$AB$3:$AB$501,0))&amp;"","")</f>
        <v/>
      </c>
      <c r="J166" s="21" t="str">
        <f aca="false">IFERROR(INDEX(종합!J$3:J$501,MATCH(ROW()-2,종합!$AB$3:$AB$501,0))&amp;"","")</f>
        <v/>
      </c>
      <c r="K166" s="21" t="str">
        <f aca="false">IFERROR(INDEX(종합!K$3:K$501,MATCH(ROW()-2,종합!$AB$3:$AB$501,0))&amp;"","")</f>
        <v/>
      </c>
      <c r="L166" s="21" t="str">
        <f aca="false">IFERROR(INDEX(종합!L$3:L$501,MATCH(ROW()-2,종합!$AB$3:$AB$501,0))&amp;"","")</f>
        <v/>
      </c>
      <c r="M166" s="21" t="str">
        <f aca="false">IFERROR(INDEX(종합!M$3:M$501,MATCH(ROW()-2,종합!$AB$3:$AB$501,0))&amp;"","")</f>
        <v/>
      </c>
      <c r="N166" s="25" t="str">
        <f aca="false">IFERROR(INDEX(종합!N$3:N$501,MATCH(ROW()-2,종합!$AB$3:$AB$501,0))&amp;"","")</f>
        <v/>
      </c>
      <c r="O166" s="21" t="str">
        <f aca="false">IFERROR(INDEX(종합!O$3:O$501,MATCH(ROW()-2,종합!$AB$3:$AB$501,0))&amp;"","")</f>
        <v/>
      </c>
      <c r="P166" s="21" t="str">
        <f aca="false">IFERROR(INDEX(종합!P$3:P$501,MATCH(ROW()-2,종합!$AB$3:$AB$501,0))&amp;"","")</f>
        <v/>
      </c>
      <c r="Q166" s="21" t="str">
        <f aca="false">IFERROR(INDEX(종합!Q$3:Q$501,MATCH(ROW()-2,종합!$AB$3:$AB$501,0))&amp;"","")</f>
        <v/>
      </c>
      <c r="R166" s="21" t="str">
        <f aca="false">IFERROR(INDEX(종합!R$3:R$501,MATCH(ROW()-2,종합!$AB$3:$AB$501,0))&amp;"","")</f>
        <v/>
      </c>
      <c r="S166" s="21" t="str">
        <f aca="false">IFERROR(INDEX(종합!S$3:S$501,MATCH(ROW()-2,종합!$AB$3:$AB$501,0))&amp;"","")</f>
        <v/>
      </c>
      <c r="T166" s="21" t="str">
        <f aca="false">IFERROR(INDEX(종합!T$3:T$501,MATCH(ROW()-2,종합!$AB$3:$AB$501,0))&amp;"","")</f>
        <v/>
      </c>
      <c r="U166" s="21" t="str">
        <f aca="false">IFERROR(INDEX(종합!U$3:U$501,MATCH(ROW()-2,종합!$AB$3:$AB$501,0))&amp;"","")</f>
        <v/>
      </c>
      <c r="V166" s="21" t="str">
        <f aca="false">IFERROR(INDEX(종합!V$3:V$501,MATCH(ROW()-2,종합!$AB$3:$AB$501,0))&amp;"","")</f>
        <v/>
      </c>
      <c r="W166" s="21" t="str">
        <f aca="false">IFERROR(INDEX(종합!W$3:W$501,MATCH(ROW()-2,종합!$AB$3:$AB$501,0))&amp;"","")</f>
        <v/>
      </c>
      <c r="X166" s="21" t="str">
        <f aca="false">IFERROR(INDEX(종합!X$3:X$501,MATCH(ROW()-2,종합!$AB$3:$AB$501,0))&amp;"","")</f>
        <v/>
      </c>
      <c r="Y166" s="21" t="str">
        <f aca="false">IFERROR(INDEX(종합!Y$3:Y$501,MATCH(ROW()-2,종합!$AB$3:$AB$501,0))&amp;"","")</f>
        <v/>
      </c>
      <c r="Z166" s="21" t="str">
        <f aca="false">IFERROR(INDEX(종합!Z$3:Z$501,MATCH(ROW()-2,종합!$AB$3:$AB$501,0))&amp;"","")</f>
        <v/>
      </c>
    </row>
    <row r="167" customFormat="false" ht="16.5" hidden="false" customHeight="true" outlineLevel="0" collapsed="false">
      <c r="A167" s="18" t="str">
        <f aca="false">IF(B167="","",ROW()-2)</f>
        <v/>
      </c>
      <c r="B167" s="18" t="str">
        <f aca="false">IFERROR(INDEX(종합!B$3:B$501,MATCH(ROW()-2,종합!$AB$3:$AB$501,0))&amp;"","")</f>
        <v/>
      </c>
      <c r="C167" s="18" t="str">
        <f aca="false">IFERROR(INDEX(종합!C$3:C$501,MATCH(ROW()-2,종합!$AB$3:$AB$501,0))&amp;"","")</f>
        <v/>
      </c>
      <c r="D167" s="18" t="str">
        <f aca="false">IFERROR(INDEX(종합!D$3:D$501,MATCH(ROW()-2,종합!$AB$3:$AB$501,0))&amp;"","")</f>
        <v/>
      </c>
      <c r="E167" s="18" t="str">
        <f aca="false">IFERROR(INDEX(종합!E$3:E$501,MATCH(ROW()-2,종합!$AB$3:$AB$501,0))&amp;"","")</f>
        <v/>
      </c>
      <c r="F167" s="18" t="str">
        <f aca="false">IFERROR(INDEX(종합!F$3:F$501,MATCH(ROW()-2,종합!$AB$3:$AB$501,0))&amp;"","")</f>
        <v/>
      </c>
      <c r="G167" s="18" t="str">
        <f aca="false">IFERROR(INDEX(종합!G$3:G$501,MATCH(ROW()-2,종합!$AB$3:$AB$501,0))&amp;"","")</f>
        <v/>
      </c>
      <c r="H167" s="21" t="str">
        <f aca="false">IFERROR(INDEX(종합!H$3:H$501,MATCH(ROW()-2,종합!$AB$3:$AB$501,0))&amp;"","")</f>
        <v/>
      </c>
      <c r="I167" s="21" t="str">
        <f aca="false">IFERROR(INDEX(종합!I$3:I$501,MATCH(ROW()-2,종합!$AB$3:$AB$501,0))&amp;"","")</f>
        <v/>
      </c>
      <c r="J167" s="21" t="str">
        <f aca="false">IFERROR(INDEX(종합!J$3:J$501,MATCH(ROW()-2,종합!$AB$3:$AB$501,0))&amp;"","")</f>
        <v/>
      </c>
      <c r="K167" s="21" t="str">
        <f aca="false">IFERROR(INDEX(종합!K$3:K$501,MATCH(ROW()-2,종합!$AB$3:$AB$501,0))&amp;"","")</f>
        <v/>
      </c>
      <c r="L167" s="21" t="str">
        <f aca="false">IFERROR(INDEX(종합!L$3:L$501,MATCH(ROW()-2,종합!$AB$3:$AB$501,0))&amp;"","")</f>
        <v/>
      </c>
      <c r="M167" s="21" t="str">
        <f aca="false">IFERROR(INDEX(종합!M$3:M$501,MATCH(ROW()-2,종합!$AB$3:$AB$501,0))&amp;"","")</f>
        <v/>
      </c>
      <c r="N167" s="25" t="str">
        <f aca="false">IFERROR(INDEX(종합!N$3:N$501,MATCH(ROW()-2,종합!$AB$3:$AB$501,0))&amp;"","")</f>
        <v/>
      </c>
      <c r="O167" s="21" t="str">
        <f aca="false">IFERROR(INDEX(종합!O$3:O$501,MATCH(ROW()-2,종합!$AB$3:$AB$501,0))&amp;"","")</f>
        <v/>
      </c>
      <c r="P167" s="21" t="str">
        <f aca="false">IFERROR(INDEX(종합!P$3:P$501,MATCH(ROW()-2,종합!$AB$3:$AB$501,0))&amp;"","")</f>
        <v/>
      </c>
      <c r="Q167" s="21" t="str">
        <f aca="false">IFERROR(INDEX(종합!Q$3:Q$501,MATCH(ROW()-2,종합!$AB$3:$AB$501,0))&amp;"","")</f>
        <v/>
      </c>
      <c r="R167" s="21" t="str">
        <f aca="false">IFERROR(INDEX(종합!R$3:R$501,MATCH(ROW()-2,종합!$AB$3:$AB$501,0))&amp;"","")</f>
        <v/>
      </c>
      <c r="S167" s="21" t="str">
        <f aca="false">IFERROR(INDEX(종합!S$3:S$501,MATCH(ROW()-2,종합!$AB$3:$AB$501,0))&amp;"","")</f>
        <v/>
      </c>
      <c r="T167" s="21" t="str">
        <f aca="false">IFERROR(INDEX(종합!T$3:T$501,MATCH(ROW()-2,종합!$AB$3:$AB$501,0))&amp;"","")</f>
        <v/>
      </c>
      <c r="U167" s="21" t="str">
        <f aca="false">IFERROR(INDEX(종합!U$3:U$501,MATCH(ROW()-2,종합!$AB$3:$AB$501,0))&amp;"","")</f>
        <v/>
      </c>
      <c r="V167" s="21" t="str">
        <f aca="false">IFERROR(INDEX(종합!V$3:V$501,MATCH(ROW()-2,종합!$AB$3:$AB$501,0))&amp;"","")</f>
        <v/>
      </c>
      <c r="W167" s="21" t="str">
        <f aca="false">IFERROR(INDEX(종합!W$3:W$501,MATCH(ROW()-2,종합!$AB$3:$AB$501,0))&amp;"","")</f>
        <v/>
      </c>
      <c r="X167" s="21" t="str">
        <f aca="false">IFERROR(INDEX(종합!X$3:X$501,MATCH(ROW()-2,종합!$AB$3:$AB$501,0))&amp;"","")</f>
        <v/>
      </c>
      <c r="Y167" s="21" t="str">
        <f aca="false">IFERROR(INDEX(종합!Y$3:Y$501,MATCH(ROW()-2,종합!$AB$3:$AB$501,0))&amp;"","")</f>
        <v/>
      </c>
      <c r="Z167" s="21" t="str">
        <f aca="false">IFERROR(INDEX(종합!Z$3:Z$501,MATCH(ROW()-2,종합!$AB$3:$AB$501,0))&amp;"","")</f>
        <v/>
      </c>
    </row>
    <row r="168" customFormat="false" ht="16.5" hidden="false" customHeight="true" outlineLevel="0" collapsed="false">
      <c r="A168" s="18" t="str">
        <f aca="false">IF(B168="","",ROW()-2)</f>
        <v/>
      </c>
      <c r="B168" s="18" t="str">
        <f aca="false">IFERROR(INDEX(종합!B$3:B$501,MATCH(ROW()-2,종합!$AB$3:$AB$501,0))&amp;"","")</f>
        <v/>
      </c>
      <c r="C168" s="18" t="str">
        <f aca="false">IFERROR(INDEX(종합!C$3:C$501,MATCH(ROW()-2,종합!$AB$3:$AB$501,0))&amp;"","")</f>
        <v/>
      </c>
      <c r="D168" s="18" t="str">
        <f aca="false">IFERROR(INDEX(종합!D$3:D$501,MATCH(ROW()-2,종합!$AB$3:$AB$501,0))&amp;"","")</f>
        <v/>
      </c>
      <c r="E168" s="18" t="str">
        <f aca="false">IFERROR(INDEX(종합!E$3:E$501,MATCH(ROW()-2,종합!$AB$3:$AB$501,0))&amp;"","")</f>
        <v/>
      </c>
      <c r="F168" s="18" t="str">
        <f aca="false">IFERROR(INDEX(종합!F$3:F$501,MATCH(ROW()-2,종합!$AB$3:$AB$501,0))&amp;"","")</f>
        <v/>
      </c>
      <c r="G168" s="18" t="str">
        <f aca="false">IFERROR(INDEX(종합!G$3:G$501,MATCH(ROW()-2,종합!$AB$3:$AB$501,0))&amp;"","")</f>
        <v/>
      </c>
      <c r="H168" s="21" t="str">
        <f aca="false">IFERROR(INDEX(종합!H$3:H$501,MATCH(ROW()-2,종합!$AB$3:$AB$501,0))&amp;"","")</f>
        <v/>
      </c>
      <c r="I168" s="21" t="str">
        <f aca="false">IFERROR(INDEX(종합!I$3:I$501,MATCH(ROW()-2,종합!$AB$3:$AB$501,0))&amp;"","")</f>
        <v/>
      </c>
      <c r="J168" s="21" t="str">
        <f aca="false">IFERROR(INDEX(종합!J$3:J$501,MATCH(ROW()-2,종합!$AB$3:$AB$501,0))&amp;"","")</f>
        <v/>
      </c>
      <c r="K168" s="21" t="str">
        <f aca="false">IFERROR(INDEX(종합!K$3:K$501,MATCH(ROW()-2,종합!$AB$3:$AB$501,0))&amp;"","")</f>
        <v/>
      </c>
      <c r="L168" s="21" t="str">
        <f aca="false">IFERROR(INDEX(종합!L$3:L$501,MATCH(ROW()-2,종합!$AB$3:$AB$501,0))&amp;"","")</f>
        <v/>
      </c>
      <c r="M168" s="21" t="str">
        <f aca="false">IFERROR(INDEX(종합!M$3:M$501,MATCH(ROW()-2,종합!$AB$3:$AB$501,0))&amp;"","")</f>
        <v/>
      </c>
      <c r="N168" s="25" t="str">
        <f aca="false">IFERROR(INDEX(종합!N$3:N$501,MATCH(ROW()-2,종합!$AB$3:$AB$501,0))&amp;"","")</f>
        <v/>
      </c>
      <c r="O168" s="21" t="str">
        <f aca="false">IFERROR(INDEX(종합!O$3:O$501,MATCH(ROW()-2,종합!$AB$3:$AB$501,0))&amp;"","")</f>
        <v/>
      </c>
      <c r="P168" s="21" t="str">
        <f aca="false">IFERROR(INDEX(종합!P$3:P$501,MATCH(ROW()-2,종합!$AB$3:$AB$501,0))&amp;"","")</f>
        <v/>
      </c>
      <c r="Q168" s="21" t="str">
        <f aca="false">IFERROR(INDEX(종합!Q$3:Q$501,MATCH(ROW()-2,종합!$AB$3:$AB$501,0))&amp;"","")</f>
        <v/>
      </c>
      <c r="R168" s="21" t="str">
        <f aca="false">IFERROR(INDEX(종합!R$3:R$501,MATCH(ROW()-2,종합!$AB$3:$AB$501,0))&amp;"","")</f>
        <v/>
      </c>
      <c r="S168" s="21" t="str">
        <f aca="false">IFERROR(INDEX(종합!S$3:S$501,MATCH(ROW()-2,종합!$AB$3:$AB$501,0))&amp;"","")</f>
        <v/>
      </c>
      <c r="T168" s="21" t="str">
        <f aca="false">IFERROR(INDEX(종합!T$3:T$501,MATCH(ROW()-2,종합!$AB$3:$AB$501,0))&amp;"","")</f>
        <v/>
      </c>
      <c r="U168" s="21" t="str">
        <f aca="false">IFERROR(INDEX(종합!U$3:U$501,MATCH(ROW()-2,종합!$AB$3:$AB$501,0))&amp;"","")</f>
        <v/>
      </c>
      <c r="V168" s="21" t="str">
        <f aca="false">IFERROR(INDEX(종합!V$3:V$501,MATCH(ROW()-2,종합!$AB$3:$AB$501,0))&amp;"","")</f>
        <v/>
      </c>
      <c r="W168" s="21" t="str">
        <f aca="false">IFERROR(INDEX(종합!W$3:W$501,MATCH(ROW()-2,종합!$AB$3:$AB$501,0))&amp;"","")</f>
        <v/>
      </c>
      <c r="X168" s="21" t="str">
        <f aca="false">IFERROR(INDEX(종합!X$3:X$501,MATCH(ROW()-2,종합!$AB$3:$AB$501,0))&amp;"","")</f>
        <v/>
      </c>
      <c r="Y168" s="21" t="str">
        <f aca="false">IFERROR(INDEX(종합!Y$3:Y$501,MATCH(ROW()-2,종합!$AB$3:$AB$501,0))&amp;"","")</f>
        <v/>
      </c>
      <c r="Z168" s="21" t="str">
        <f aca="false">IFERROR(INDEX(종합!Z$3:Z$501,MATCH(ROW()-2,종합!$AB$3:$AB$501,0))&amp;"","")</f>
        <v/>
      </c>
    </row>
    <row r="169" customFormat="false" ht="16.5" hidden="false" customHeight="true" outlineLevel="0" collapsed="false">
      <c r="A169" s="18" t="str">
        <f aca="false">IF(B169="","",ROW()-2)</f>
        <v/>
      </c>
      <c r="B169" s="18" t="str">
        <f aca="false">IFERROR(INDEX(종합!B$3:B$501,MATCH(ROW()-2,종합!$AB$3:$AB$501,0))&amp;"","")</f>
        <v/>
      </c>
      <c r="C169" s="18" t="str">
        <f aca="false">IFERROR(INDEX(종합!C$3:C$501,MATCH(ROW()-2,종합!$AB$3:$AB$501,0))&amp;"","")</f>
        <v/>
      </c>
      <c r="D169" s="18" t="str">
        <f aca="false">IFERROR(INDEX(종합!D$3:D$501,MATCH(ROW()-2,종합!$AB$3:$AB$501,0))&amp;"","")</f>
        <v/>
      </c>
      <c r="E169" s="18" t="str">
        <f aca="false">IFERROR(INDEX(종합!E$3:E$501,MATCH(ROW()-2,종합!$AB$3:$AB$501,0))&amp;"","")</f>
        <v/>
      </c>
      <c r="F169" s="18" t="str">
        <f aca="false">IFERROR(INDEX(종합!F$3:F$501,MATCH(ROW()-2,종합!$AB$3:$AB$501,0))&amp;"","")</f>
        <v/>
      </c>
      <c r="G169" s="18" t="str">
        <f aca="false">IFERROR(INDEX(종합!G$3:G$501,MATCH(ROW()-2,종합!$AB$3:$AB$501,0))&amp;"","")</f>
        <v/>
      </c>
      <c r="H169" s="21" t="str">
        <f aca="false">IFERROR(INDEX(종합!H$3:H$501,MATCH(ROW()-2,종합!$AB$3:$AB$501,0))&amp;"","")</f>
        <v/>
      </c>
      <c r="I169" s="21" t="str">
        <f aca="false">IFERROR(INDEX(종합!I$3:I$501,MATCH(ROW()-2,종합!$AB$3:$AB$501,0))&amp;"","")</f>
        <v/>
      </c>
      <c r="J169" s="21" t="str">
        <f aca="false">IFERROR(INDEX(종합!J$3:J$501,MATCH(ROW()-2,종합!$AB$3:$AB$501,0))&amp;"","")</f>
        <v/>
      </c>
      <c r="K169" s="21" t="str">
        <f aca="false">IFERROR(INDEX(종합!K$3:K$501,MATCH(ROW()-2,종합!$AB$3:$AB$501,0))&amp;"","")</f>
        <v/>
      </c>
      <c r="L169" s="21" t="str">
        <f aca="false">IFERROR(INDEX(종합!L$3:L$501,MATCH(ROW()-2,종합!$AB$3:$AB$501,0))&amp;"","")</f>
        <v/>
      </c>
      <c r="M169" s="21" t="str">
        <f aca="false">IFERROR(INDEX(종합!M$3:M$501,MATCH(ROW()-2,종합!$AB$3:$AB$501,0))&amp;"","")</f>
        <v/>
      </c>
      <c r="N169" s="25" t="str">
        <f aca="false">IFERROR(INDEX(종합!N$3:N$501,MATCH(ROW()-2,종합!$AB$3:$AB$501,0))&amp;"","")</f>
        <v/>
      </c>
      <c r="O169" s="21" t="str">
        <f aca="false">IFERROR(INDEX(종합!O$3:O$501,MATCH(ROW()-2,종합!$AB$3:$AB$501,0))&amp;"","")</f>
        <v/>
      </c>
      <c r="P169" s="21" t="str">
        <f aca="false">IFERROR(INDEX(종합!P$3:P$501,MATCH(ROW()-2,종합!$AB$3:$AB$501,0))&amp;"","")</f>
        <v/>
      </c>
      <c r="Q169" s="21" t="str">
        <f aca="false">IFERROR(INDEX(종합!Q$3:Q$501,MATCH(ROW()-2,종합!$AB$3:$AB$501,0))&amp;"","")</f>
        <v/>
      </c>
      <c r="R169" s="21" t="str">
        <f aca="false">IFERROR(INDEX(종합!R$3:R$501,MATCH(ROW()-2,종합!$AB$3:$AB$501,0))&amp;"","")</f>
        <v/>
      </c>
      <c r="S169" s="21" t="str">
        <f aca="false">IFERROR(INDEX(종합!S$3:S$501,MATCH(ROW()-2,종합!$AB$3:$AB$501,0))&amp;"","")</f>
        <v/>
      </c>
      <c r="T169" s="21" t="str">
        <f aca="false">IFERROR(INDEX(종합!T$3:T$501,MATCH(ROW()-2,종합!$AB$3:$AB$501,0))&amp;"","")</f>
        <v/>
      </c>
      <c r="U169" s="21" t="str">
        <f aca="false">IFERROR(INDEX(종합!U$3:U$501,MATCH(ROW()-2,종합!$AB$3:$AB$501,0))&amp;"","")</f>
        <v/>
      </c>
      <c r="V169" s="21" t="str">
        <f aca="false">IFERROR(INDEX(종합!V$3:V$501,MATCH(ROW()-2,종합!$AB$3:$AB$501,0))&amp;"","")</f>
        <v/>
      </c>
      <c r="W169" s="21" t="str">
        <f aca="false">IFERROR(INDEX(종합!W$3:W$501,MATCH(ROW()-2,종합!$AB$3:$AB$501,0))&amp;"","")</f>
        <v/>
      </c>
      <c r="X169" s="21" t="str">
        <f aca="false">IFERROR(INDEX(종합!X$3:X$501,MATCH(ROW()-2,종합!$AB$3:$AB$501,0))&amp;"","")</f>
        <v/>
      </c>
      <c r="Y169" s="21" t="str">
        <f aca="false">IFERROR(INDEX(종합!Y$3:Y$501,MATCH(ROW()-2,종합!$AB$3:$AB$501,0))&amp;"","")</f>
        <v/>
      </c>
      <c r="Z169" s="21" t="str">
        <f aca="false">IFERROR(INDEX(종합!Z$3:Z$501,MATCH(ROW()-2,종합!$AB$3:$AB$501,0))&amp;"","")</f>
        <v/>
      </c>
    </row>
    <row r="170" customFormat="false" ht="16.5" hidden="false" customHeight="true" outlineLevel="0" collapsed="false">
      <c r="A170" s="18" t="str">
        <f aca="false">IF(B170="","",ROW()-2)</f>
        <v/>
      </c>
      <c r="B170" s="18" t="str">
        <f aca="false">IFERROR(INDEX(종합!B$3:B$501,MATCH(ROW()-2,종합!$AB$3:$AB$501,0))&amp;"","")</f>
        <v/>
      </c>
      <c r="C170" s="18" t="str">
        <f aca="false">IFERROR(INDEX(종합!C$3:C$501,MATCH(ROW()-2,종합!$AB$3:$AB$501,0))&amp;"","")</f>
        <v/>
      </c>
      <c r="D170" s="18" t="str">
        <f aca="false">IFERROR(INDEX(종합!D$3:D$501,MATCH(ROW()-2,종합!$AB$3:$AB$501,0))&amp;"","")</f>
        <v/>
      </c>
      <c r="E170" s="18" t="str">
        <f aca="false">IFERROR(INDEX(종합!E$3:E$501,MATCH(ROW()-2,종합!$AB$3:$AB$501,0))&amp;"","")</f>
        <v/>
      </c>
      <c r="F170" s="18" t="str">
        <f aca="false">IFERROR(INDEX(종합!F$3:F$501,MATCH(ROW()-2,종합!$AB$3:$AB$501,0))&amp;"","")</f>
        <v/>
      </c>
      <c r="G170" s="18" t="str">
        <f aca="false">IFERROR(INDEX(종합!G$3:G$501,MATCH(ROW()-2,종합!$AB$3:$AB$501,0))&amp;"","")</f>
        <v/>
      </c>
      <c r="H170" s="21" t="str">
        <f aca="false">IFERROR(INDEX(종합!H$3:H$501,MATCH(ROW()-2,종합!$AB$3:$AB$501,0))&amp;"","")</f>
        <v/>
      </c>
      <c r="I170" s="21" t="str">
        <f aca="false">IFERROR(INDEX(종합!I$3:I$501,MATCH(ROW()-2,종합!$AB$3:$AB$501,0))&amp;"","")</f>
        <v/>
      </c>
      <c r="J170" s="21" t="str">
        <f aca="false">IFERROR(INDEX(종합!J$3:J$501,MATCH(ROW()-2,종합!$AB$3:$AB$501,0))&amp;"","")</f>
        <v/>
      </c>
      <c r="K170" s="21" t="str">
        <f aca="false">IFERROR(INDEX(종합!K$3:K$501,MATCH(ROW()-2,종합!$AB$3:$AB$501,0))&amp;"","")</f>
        <v/>
      </c>
      <c r="L170" s="21" t="str">
        <f aca="false">IFERROR(INDEX(종합!L$3:L$501,MATCH(ROW()-2,종합!$AB$3:$AB$501,0))&amp;"","")</f>
        <v/>
      </c>
      <c r="M170" s="21" t="str">
        <f aca="false">IFERROR(INDEX(종합!M$3:M$501,MATCH(ROW()-2,종합!$AB$3:$AB$501,0))&amp;"","")</f>
        <v/>
      </c>
      <c r="N170" s="25" t="str">
        <f aca="false">IFERROR(INDEX(종합!N$3:N$501,MATCH(ROW()-2,종합!$AB$3:$AB$501,0))&amp;"","")</f>
        <v/>
      </c>
      <c r="O170" s="21" t="str">
        <f aca="false">IFERROR(INDEX(종합!O$3:O$501,MATCH(ROW()-2,종합!$AB$3:$AB$501,0))&amp;"","")</f>
        <v/>
      </c>
      <c r="P170" s="21" t="str">
        <f aca="false">IFERROR(INDEX(종합!P$3:P$501,MATCH(ROW()-2,종합!$AB$3:$AB$501,0))&amp;"","")</f>
        <v/>
      </c>
      <c r="Q170" s="21" t="str">
        <f aca="false">IFERROR(INDEX(종합!Q$3:Q$501,MATCH(ROW()-2,종합!$AB$3:$AB$501,0))&amp;"","")</f>
        <v/>
      </c>
      <c r="R170" s="21" t="str">
        <f aca="false">IFERROR(INDEX(종합!R$3:R$501,MATCH(ROW()-2,종합!$AB$3:$AB$501,0))&amp;"","")</f>
        <v/>
      </c>
      <c r="S170" s="21" t="str">
        <f aca="false">IFERROR(INDEX(종합!S$3:S$501,MATCH(ROW()-2,종합!$AB$3:$AB$501,0))&amp;"","")</f>
        <v/>
      </c>
      <c r="T170" s="21" t="str">
        <f aca="false">IFERROR(INDEX(종합!T$3:T$501,MATCH(ROW()-2,종합!$AB$3:$AB$501,0))&amp;"","")</f>
        <v/>
      </c>
      <c r="U170" s="21" t="str">
        <f aca="false">IFERROR(INDEX(종합!U$3:U$501,MATCH(ROW()-2,종합!$AB$3:$AB$501,0))&amp;"","")</f>
        <v/>
      </c>
      <c r="V170" s="21" t="str">
        <f aca="false">IFERROR(INDEX(종합!V$3:V$501,MATCH(ROW()-2,종합!$AB$3:$AB$501,0))&amp;"","")</f>
        <v/>
      </c>
      <c r="W170" s="21" t="str">
        <f aca="false">IFERROR(INDEX(종합!W$3:W$501,MATCH(ROW()-2,종합!$AB$3:$AB$501,0))&amp;"","")</f>
        <v/>
      </c>
      <c r="X170" s="21" t="str">
        <f aca="false">IFERROR(INDEX(종합!X$3:X$501,MATCH(ROW()-2,종합!$AB$3:$AB$501,0))&amp;"","")</f>
        <v/>
      </c>
      <c r="Y170" s="21" t="str">
        <f aca="false">IFERROR(INDEX(종합!Y$3:Y$501,MATCH(ROW()-2,종합!$AB$3:$AB$501,0))&amp;"","")</f>
        <v/>
      </c>
      <c r="Z170" s="21" t="str">
        <f aca="false">IFERROR(INDEX(종합!Z$3:Z$501,MATCH(ROW()-2,종합!$AB$3:$AB$501,0))&amp;"","")</f>
        <v/>
      </c>
    </row>
    <row r="171" customFormat="false" ht="16.5" hidden="false" customHeight="true" outlineLevel="0" collapsed="false">
      <c r="A171" s="18" t="str">
        <f aca="false">IF(B171="","",ROW()-2)</f>
        <v/>
      </c>
      <c r="B171" s="18" t="str">
        <f aca="false">IFERROR(INDEX(종합!B$3:B$501,MATCH(ROW()-2,종합!$AB$3:$AB$501,0))&amp;"","")</f>
        <v/>
      </c>
      <c r="C171" s="18" t="str">
        <f aca="false">IFERROR(INDEX(종합!C$3:C$501,MATCH(ROW()-2,종합!$AB$3:$AB$501,0))&amp;"","")</f>
        <v/>
      </c>
      <c r="D171" s="18" t="str">
        <f aca="false">IFERROR(INDEX(종합!D$3:D$501,MATCH(ROW()-2,종합!$AB$3:$AB$501,0))&amp;"","")</f>
        <v/>
      </c>
      <c r="E171" s="18" t="str">
        <f aca="false">IFERROR(INDEX(종합!E$3:E$501,MATCH(ROW()-2,종합!$AB$3:$AB$501,0))&amp;"","")</f>
        <v/>
      </c>
      <c r="F171" s="18" t="str">
        <f aca="false">IFERROR(INDEX(종합!F$3:F$501,MATCH(ROW()-2,종합!$AB$3:$AB$501,0))&amp;"","")</f>
        <v/>
      </c>
      <c r="G171" s="18" t="str">
        <f aca="false">IFERROR(INDEX(종합!G$3:G$501,MATCH(ROW()-2,종합!$AB$3:$AB$501,0))&amp;"","")</f>
        <v/>
      </c>
      <c r="H171" s="21" t="str">
        <f aca="false">IFERROR(INDEX(종합!H$3:H$501,MATCH(ROW()-2,종합!$AB$3:$AB$501,0))&amp;"","")</f>
        <v/>
      </c>
      <c r="I171" s="21" t="str">
        <f aca="false">IFERROR(INDEX(종합!I$3:I$501,MATCH(ROW()-2,종합!$AB$3:$AB$501,0))&amp;"","")</f>
        <v/>
      </c>
      <c r="J171" s="21" t="str">
        <f aca="false">IFERROR(INDEX(종합!J$3:J$501,MATCH(ROW()-2,종합!$AB$3:$AB$501,0))&amp;"","")</f>
        <v/>
      </c>
      <c r="K171" s="21" t="str">
        <f aca="false">IFERROR(INDEX(종합!K$3:K$501,MATCH(ROW()-2,종합!$AB$3:$AB$501,0))&amp;"","")</f>
        <v/>
      </c>
      <c r="L171" s="21" t="str">
        <f aca="false">IFERROR(INDEX(종합!L$3:L$501,MATCH(ROW()-2,종합!$AB$3:$AB$501,0))&amp;"","")</f>
        <v/>
      </c>
      <c r="M171" s="21" t="str">
        <f aca="false">IFERROR(INDEX(종합!M$3:M$501,MATCH(ROW()-2,종합!$AB$3:$AB$501,0))&amp;"","")</f>
        <v/>
      </c>
      <c r="N171" s="25" t="str">
        <f aca="false">IFERROR(INDEX(종합!N$3:N$501,MATCH(ROW()-2,종합!$AB$3:$AB$501,0))&amp;"","")</f>
        <v/>
      </c>
      <c r="O171" s="21" t="str">
        <f aca="false">IFERROR(INDEX(종합!O$3:O$501,MATCH(ROW()-2,종합!$AB$3:$AB$501,0))&amp;"","")</f>
        <v/>
      </c>
      <c r="P171" s="21" t="str">
        <f aca="false">IFERROR(INDEX(종합!P$3:P$501,MATCH(ROW()-2,종합!$AB$3:$AB$501,0))&amp;"","")</f>
        <v/>
      </c>
      <c r="Q171" s="21" t="str">
        <f aca="false">IFERROR(INDEX(종합!Q$3:Q$501,MATCH(ROW()-2,종합!$AB$3:$AB$501,0))&amp;"","")</f>
        <v/>
      </c>
      <c r="R171" s="21" t="str">
        <f aca="false">IFERROR(INDEX(종합!R$3:R$501,MATCH(ROW()-2,종합!$AB$3:$AB$501,0))&amp;"","")</f>
        <v/>
      </c>
      <c r="S171" s="21" t="str">
        <f aca="false">IFERROR(INDEX(종합!S$3:S$501,MATCH(ROW()-2,종합!$AB$3:$AB$501,0))&amp;"","")</f>
        <v/>
      </c>
      <c r="T171" s="21" t="str">
        <f aca="false">IFERROR(INDEX(종합!T$3:T$501,MATCH(ROW()-2,종합!$AB$3:$AB$501,0))&amp;"","")</f>
        <v/>
      </c>
      <c r="U171" s="21" t="str">
        <f aca="false">IFERROR(INDEX(종합!U$3:U$501,MATCH(ROW()-2,종합!$AB$3:$AB$501,0))&amp;"","")</f>
        <v/>
      </c>
      <c r="V171" s="21" t="str">
        <f aca="false">IFERROR(INDEX(종합!V$3:V$501,MATCH(ROW()-2,종합!$AB$3:$AB$501,0))&amp;"","")</f>
        <v/>
      </c>
      <c r="W171" s="21" t="str">
        <f aca="false">IFERROR(INDEX(종합!W$3:W$501,MATCH(ROW()-2,종합!$AB$3:$AB$501,0))&amp;"","")</f>
        <v/>
      </c>
      <c r="X171" s="21" t="str">
        <f aca="false">IFERROR(INDEX(종합!X$3:X$501,MATCH(ROW()-2,종합!$AB$3:$AB$501,0))&amp;"","")</f>
        <v/>
      </c>
      <c r="Y171" s="21" t="str">
        <f aca="false">IFERROR(INDEX(종합!Y$3:Y$501,MATCH(ROW()-2,종합!$AB$3:$AB$501,0))&amp;"","")</f>
        <v/>
      </c>
      <c r="Z171" s="21" t="str">
        <f aca="false">IFERROR(INDEX(종합!Z$3:Z$501,MATCH(ROW()-2,종합!$AB$3:$AB$501,0))&amp;"","")</f>
        <v/>
      </c>
    </row>
    <row r="172" customFormat="false" ht="16.5" hidden="false" customHeight="true" outlineLevel="0" collapsed="false">
      <c r="A172" s="18" t="str">
        <f aca="false">IF(B172="","",ROW()-2)</f>
        <v/>
      </c>
      <c r="B172" s="18" t="str">
        <f aca="false">IFERROR(INDEX(종합!B$3:B$501,MATCH(ROW()-2,종합!$AB$3:$AB$501,0))&amp;"","")</f>
        <v/>
      </c>
      <c r="C172" s="18" t="str">
        <f aca="false">IFERROR(INDEX(종합!C$3:C$501,MATCH(ROW()-2,종합!$AB$3:$AB$501,0))&amp;"","")</f>
        <v/>
      </c>
      <c r="D172" s="18" t="str">
        <f aca="false">IFERROR(INDEX(종합!D$3:D$501,MATCH(ROW()-2,종합!$AB$3:$AB$501,0))&amp;"","")</f>
        <v/>
      </c>
      <c r="E172" s="18" t="str">
        <f aca="false">IFERROR(INDEX(종합!E$3:E$501,MATCH(ROW()-2,종합!$AB$3:$AB$501,0))&amp;"","")</f>
        <v/>
      </c>
      <c r="F172" s="18" t="str">
        <f aca="false">IFERROR(INDEX(종합!F$3:F$501,MATCH(ROW()-2,종합!$AB$3:$AB$501,0))&amp;"","")</f>
        <v/>
      </c>
      <c r="G172" s="18" t="str">
        <f aca="false">IFERROR(INDEX(종합!G$3:G$501,MATCH(ROW()-2,종합!$AB$3:$AB$501,0))&amp;"","")</f>
        <v/>
      </c>
      <c r="H172" s="21" t="str">
        <f aca="false">IFERROR(INDEX(종합!H$3:H$501,MATCH(ROW()-2,종합!$AB$3:$AB$501,0))&amp;"","")</f>
        <v/>
      </c>
      <c r="I172" s="21" t="str">
        <f aca="false">IFERROR(INDEX(종합!I$3:I$501,MATCH(ROW()-2,종합!$AB$3:$AB$501,0))&amp;"","")</f>
        <v/>
      </c>
      <c r="J172" s="21" t="str">
        <f aca="false">IFERROR(INDEX(종합!J$3:J$501,MATCH(ROW()-2,종합!$AB$3:$AB$501,0))&amp;"","")</f>
        <v/>
      </c>
      <c r="K172" s="21" t="str">
        <f aca="false">IFERROR(INDEX(종합!K$3:K$501,MATCH(ROW()-2,종합!$AB$3:$AB$501,0))&amp;"","")</f>
        <v/>
      </c>
      <c r="L172" s="21" t="str">
        <f aca="false">IFERROR(INDEX(종합!L$3:L$501,MATCH(ROW()-2,종합!$AB$3:$AB$501,0))&amp;"","")</f>
        <v/>
      </c>
      <c r="M172" s="21" t="str">
        <f aca="false">IFERROR(INDEX(종합!M$3:M$501,MATCH(ROW()-2,종합!$AB$3:$AB$501,0))&amp;"","")</f>
        <v/>
      </c>
      <c r="N172" s="25" t="str">
        <f aca="false">IFERROR(INDEX(종합!N$3:N$501,MATCH(ROW()-2,종합!$AB$3:$AB$501,0))&amp;"","")</f>
        <v/>
      </c>
      <c r="O172" s="21" t="str">
        <f aca="false">IFERROR(INDEX(종합!O$3:O$501,MATCH(ROW()-2,종합!$AB$3:$AB$501,0))&amp;"","")</f>
        <v/>
      </c>
      <c r="P172" s="21" t="str">
        <f aca="false">IFERROR(INDEX(종합!P$3:P$501,MATCH(ROW()-2,종합!$AB$3:$AB$501,0))&amp;"","")</f>
        <v/>
      </c>
      <c r="Q172" s="21" t="str">
        <f aca="false">IFERROR(INDEX(종합!Q$3:Q$501,MATCH(ROW()-2,종합!$AB$3:$AB$501,0))&amp;"","")</f>
        <v/>
      </c>
      <c r="R172" s="21" t="str">
        <f aca="false">IFERROR(INDEX(종합!R$3:R$501,MATCH(ROW()-2,종합!$AB$3:$AB$501,0))&amp;"","")</f>
        <v/>
      </c>
      <c r="S172" s="21" t="str">
        <f aca="false">IFERROR(INDEX(종합!S$3:S$501,MATCH(ROW()-2,종합!$AB$3:$AB$501,0))&amp;"","")</f>
        <v/>
      </c>
      <c r="T172" s="21" t="str">
        <f aca="false">IFERROR(INDEX(종합!T$3:T$501,MATCH(ROW()-2,종합!$AB$3:$AB$501,0))&amp;"","")</f>
        <v/>
      </c>
      <c r="U172" s="21" t="str">
        <f aca="false">IFERROR(INDEX(종합!U$3:U$501,MATCH(ROW()-2,종합!$AB$3:$AB$501,0))&amp;"","")</f>
        <v/>
      </c>
      <c r="V172" s="21" t="str">
        <f aca="false">IFERROR(INDEX(종합!V$3:V$501,MATCH(ROW()-2,종합!$AB$3:$AB$501,0))&amp;"","")</f>
        <v/>
      </c>
      <c r="W172" s="21" t="str">
        <f aca="false">IFERROR(INDEX(종합!W$3:W$501,MATCH(ROW()-2,종합!$AB$3:$AB$501,0))&amp;"","")</f>
        <v/>
      </c>
      <c r="X172" s="21" t="str">
        <f aca="false">IFERROR(INDEX(종합!X$3:X$501,MATCH(ROW()-2,종합!$AB$3:$AB$501,0))&amp;"","")</f>
        <v/>
      </c>
      <c r="Y172" s="21" t="str">
        <f aca="false">IFERROR(INDEX(종합!Y$3:Y$501,MATCH(ROW()-2,종합!$AB$3:$AB$501,0))&amp;"","")</f>
        <v/>
      </c>
      <c r="Z172" s="21" t="str">
        <f aca="false">IFERROR(INDEX(종합!Z$3:Z$501,MATCH(ROW()-2,종합!$AB$3:$AB$501,0))&amp;"","")</f>
        <v/>
      </c>
    </row>
    <row r="173" customFormat="false" ht="16.5" hidden="false" customHeight="true" outlineLevel="0" collapsed="false">
      <c r="A173" s="18" t="str">
        <f aca="false">IF(B173="","",ROW()-2)</f>
        <v/>
      </c>
      <c r="B173" s="18" t="str">
        <f aca="false">IFERROR(INDEX(종합!B$3:B$501,MATCH(ROW()-2,종합!$AB$3:$AB$501,0))&amp;"","")</f>
        <v/>
      </c>
      <c r="C173" s="18" t="str">
        <f aca="false">IFERROR(INDEX(종합!C$3:C$501,MATCH(ROW()-2,종합!$AB$3:$AB$501,0))&amp;"","")</f>
        <v/>
      </c>
      <c r="D173" s="18" t="str">
        <f aca="false">IFERROR(INDEX(종합!D$3:D$501,MATCH(ROW()-2,종합!$AB$3:$AB$501,0))&amp;"","")</f>
        <v/>
      </c>
      <c r="E173" s="18" t="str">
        <f aca="false">IFERROR(INDEX(종합!E$3:E$501,MATCH(ROW()-2,종합!$AB$3:$AB$501,0))&amp;"","")</f>
        <v/>
      </c>
      <c r="F173" s="18" t="str">
        <f aca="false">IFERROR(INDEX(종합!F$3:F$501,MATCH(ROW()-2,종합!$AB$3:$AB$501,0))&amp;"","")</f>
        <v/>
      </c>
      <c r="G173" s="18" t="str">
        <f aca="false">IFERROR(INDEX(종합!G$3:G$501,MATCH(ROW()-2,종합!$AB$3:$AB$501,0))&amp;"","")</f>
        <v/>
      </c>
      <c r="H173" s="21" t="str">
        <f aca="false">IFERROR(INDEX(종합!H$3:H$501,MATCH(ROW()-2,종합!$AB$3:$AB$501,0))&amp;"","")</f>
        <v/>
      </c>
      <c r="I173" s="21" t="str">
        <f aca="false">IFERROR(INDEX(종합!I$3:I$501,MATCH(ROW()-2,종합!$AB$3:$AB$501,0))&amp;"","")</f>
        <v/>
      </c>
      <c r="J173" s="21" t="str">
        <f aca="false">IFERROR(INDEX(종합!J$3:J$501,MATCH(ROW()-2,종합!$AB$3:$AB$501,0))&amp;"","")</f>
        <v/>
      </c>
      <c r="K173" s="21" t="str">
        <f aca="false">IFERROR(INDEX(종합!K$3:K$501,MATCH(ROW()-2,종합!$AB$3:$AB$501,0))&amp;"","")</f>
        <v/>
      </c>
      <c r="L173" s="21" t="str">
        <f aca="false">IFERROR(INDEX(종합!L$3:L$501,MATCH(ROW()-2,종합!$AB$3:$AB$501,0))&amp;"","")</f>
        <v/>
      </c>
      <c r="M173" s="21" t="str">
        <f aca="false">IFERROR(INDEX(종합!M$3:M$501,MATCH(ROW()-2,종합!$AB$3:$AB$501,0))&amp;"","")</f>
        <v/>
      </c>
      <c r="N173" s="25" t="str">
        <f aca="false">IFERROR(INDEX(종합!N$3:N$501,MATCH(ROW()-2,종합!$AB$3:$AB$501,0))&amp;"","")</f>
        <v/>
      </c>
      <c r="O173" s="21" t="str">
        <f aca="false">IFERROR(INDEX(종합!O$3:O$501,MATCH(ROW()-2,종합!$AB$3:$AB$501,0))&amp;"","")</f>
        <v/>
      </c>
      <c r="P173" s="21" t="str">
        <f aca="false">IFERROR(INDEX(종합!P$3:P$501,MATCH(ROW()-2,종합!$AB$3:$AB$501,0))&amp;"","")</f>
        <v/>
      </c>
      <c r="Q173" s="21" t="str">
        <f aca="false">IFERROR(INDEX(종합!Q$3:Q$501,MATCH(ROW()-2,종합!$AB$3:$AB$501,0))&amp;"","")</f>
        <v/>
      </c>
      <c r="R173" s="21" t="str">
        <f aca="false">IFERROR(INDEX(종합!R$3:R$501,MATCH(ROW()-2,종합!$AB$3:$AB$501,0))&amp;"","")</f>
        <v/>
      </c>
      <c r="S173" s="21" t="str">
        <f aca="false">IFERROR(INDEX(종합!S$3:S$501,MATCH(ROW()-2,종합!$AB$3:$AB$501,0))&amp;"","")</f>
        <v/>
      </c>
      <c r="T173" s="21" t="str">
        <f aca="false">IFERROR(INDEX(종합!T$3:T$501,MATCH(ROW()-2,종합!$AB$3:$AB$501,0))&amp;"","")</f>
        <v/>
      </c>
      <c r="U173" s="21" t="str">
        <f aca="false">IFERROR(INDEX(종합!U$3:U$501,MATCH(ROW()-2,종합!$AB$3:$AB$501,0))&amp;"","")</f>
        <v/>
      </c>
      <c r="V173" s="21" t="str">
        <f aca="false">IFERROR(INDEX(종합!V$3:V$501,MATCH(ROW()-2,종합!$AB$3:$AB$501,0))&amp;"","")</f>
        <v/>
      </c>
      <c r="W173" s="21" t="str">
        <f aca="false">IFERROR(INDEX(종합!W$3:W$501,MATCH(ROW()-2,종합!$AB$3:$AB$501,0))&amp;"","")</f>
        <v/>
      </c>
      <c r="X173" s="21" t="str">
        <f aca="false">IFERROR(INDEX(종합!X$3:X$501,MATCH(ROW()-2,종합!$AB$3:$AB$501,0))&amp;"","")</f>
        <v/>
      </c>
      <c r="Y173" s="21" t="str">
        <f aca="false">IFERROR(INDEX(종합!Y$3:Y$501,MATCH(ROW()-2,종합!$AB$3:$AB$501,0))&amp;"","")</f>
        <v/>
      </c>
      <c r="Z173" s="21" t="str">
        <f aca="false">IFERROR(INDEX(종합!Z$3:Z$501,MATCH(ROW()-2,종합!$AB$3:$AB$501,0))&amp;"","")</f>
        <v/>
      </c>
    </row>
    <row r="174" customFormat="false" ht="16.5" hidden="false" customHeight="true" outlineLevel="0" collapsed="false">
      <c r="A174" s="18" t="str">
        <f aca="false">IF(B174="","",ROW()-2)</f>
        <v/>
      </c>
      <c r="B174" s="18" t="str">
        <f aca="false">IFERROR(INDEX(종합!B$3:B$501,MATCH(ROW()-2,종합!$AB$3:$AB$501,0))&amp;"","")</f>
        <v/>
      </c>
      <c r="C174" s="18" t="str">
        <f aca="false">IFERROR(INDEX(종합!C$3:C$501,MATCH(ROW()-2,종합!$AB$3:$AB$501,0))&amp;"","")</f>
        <v/>
      </c>
      <c r="D174" s="18" t="str">
        <f aca="false">IFERROR(INDEX(종합!D$3:D$501,MATCH(ROW()-2,종합!$AB$3:$AB$501,0))&amp;"","")</f>
        <v/>
      </c>
      <c r="E174" s="18" t="str">
        <f aca="false">IFERROR(INDEX(종합!E$3:E$501,MATCH(ROW()-2,종합!$AB$3:$AB$501,0))&amp;"","")</f>
        <v/>
      </c>
      <c r="F174" s="18" t="str">
        <f aca="false">IFERROR(INDEX(종합!F$3:F$501,MATCH(ROW()-2,종합!$AB$3:$AB$501,0))&amp;"","")</f>
        <v/>
      </c>
      <c r="G174" s="18" t="str">
        <f aca="false">IFERROR(INDEX(종합!G$3:G$501,MATCH(ROW()-2,종합!$AB$3:$AB$501,0))&amp;"","")</f>
        <v/>
      </c>
      <c r="H174" s="21" t="str">
        <f aca="false">IFERROR(INDEX(종합!H$3:H$501,MATCH(ROW()-2,종합!$AB$3:$AB$501,0))&amp;"","")</f>
        <v/>
      </c>
      <c r="I174" s="21" t="str">
        <f aca="false">IFERROR(INDEX(종합!I$3:I$501,MATCH(ROW()-2,종합!$AB$3:$AB$501,0))&amp;"","")</f>
        <v/>
      </c>
      <c r="J174" s="21" t="str">
        <f aca="false">IFERROR(INDEX(종합!J$3:J$501,MATCH(ROW()-2,종합!$AB$3:$AB$501,0))&amp;"","")</f>
        <v/>
      </c>
      <c r="K174" s="21" t="str">
        <f aca="false">IFERROR(INDEX(종합!K$3:K$501,MATCH(ROW()-2,종합!$AB$3:$AB$501,0))&amp;"","")</f>
        <v/>
      </c>
      <c r="L174" s="21" t="str">
        <f aca="false">IFERROR(INDEX(종합!L$3:L$501,MATCH(ROW()-2,종합!$AB$3:$AB$501,0))&amp;"","")</f>
        <v/>
      </c>
      <c r="M174" s="21" t="str">
        <f aca="false">IFERROR(INDEX(종합!M$3:M$501,MATCH(ROW()-2,종합!$AB$3:$AB$501,0))&amp;"","")</f>
        <v/>
      </c>
      <c r="N174" s="25" t="str">
        <f aca="false">IFERROR(INDEX(종합!N$3:N$501,MATCH(ROW()-2,종합!$AB$3:$AB$501,0))&amp;"","")</f>
        <v/>
      </c>
      <c r="O174" s="21" t="str">
        <f aca="false">IFERROR(INDEX(종합!O$3:O$501,MATCH(ROW()-2,종합!$AB$3:$AB$501,0))&amp;"","")</f>
        <v/>
      </c>
      <c r="P174" s="21" t="str">
        <f aca="false">IFERROR(INDEX(종합!P$3:P$501,MATCH(ROW()-2,종합!$AB$3:$AB$501,0))&amp;"","")</f>
        <v/>
      </c>
      <c r="Q174" s="21" t="str">
        <f aca="false">IFERROR(INDEX(종합!Q$3:Q$501,MATCH(ROW()-2,종합!$AB$3:$AB$501,0))&amp;"","")</f>
        <v/>
      </c>
      <c r="R174" s="21" t="str">
        <f aca="false">IFERROR(INDEX(종합!R$3:R$501,MATCH(ROW()-2,종합!$AB$3:$AB$501,0))&amp;"","")</f>
        <v/>
      </c>
      <c r="S174" s="21" t="str">
        <f aca="false">IFERROR(INDEX(종합!S$3:S$501,MATCH(ROW()-2,종합!$AB$3:$AB$501,0))&amp;"","")</f>
        <v/>
      </c>
      <c r="T174" s="21" t="str">
        <f aca="false">IFERROR(INDEX(종합!T$3:T$501,MATCH(ROW()-2,종합!$AB$3:$AB$501,0))&amp;"","")</f>
        <v/>
      </c>
      <c r="U174" s="21" t="str">
        <f aca="false">IFERROR(INDEX(종합!U$3:U$501,MATCH(ROW()-2,종합!$AB$3:$AB$501,0))&amp;"","")</f>
        <v/>
      </c>
      <c r="V174" s="21" t="str">
        <f aca="false">IFERROR(INDEX(종합!V$3:V$501,MATCH(ROW()-2,종합!$AB$3:$AB$501,0))&amp;"","")</f>
        <v/>
      </c>
      <c r="W174" s="21" t="str">
        <f aca="false">IFERROR(INDEX(종합!W$3:W$501,MATCH(ROW()-2,종합!$AB$3:$AB$501,0))&amp;"","")</f>
        <v/>
      </c>
      <c r="X174" s="21" t="str">
        <f aca="false">IFERROR(INDEX(종합!X$3:X$501,MATCH(ROW()-2,종합!$AB$3:$AB$501,0))&amp;"","")</f>
        <v/>
      </c>
      <c r="Y174" s="21" t="str">
        <f aca="false">IFERROR(INDEX(종합!Y$3:Y$501,MATCH(ROW()-2,종합!$AB$3:$AB$501,0))&amp;"","")</f>
        <v/>
      </c>
      <c r="Z174" s="21" t="str">
        <f aca="false">IFERROR(INDEX(종합!Z$3:Z$501,MATCH(ROW()-2,종합!$AB$3:$AB$501,0))&amp;"","")</f>
        <v/>
      </c>
    </row>
    <row r="175" customFormat="false" ht="16.5" hidden="false" customHeight="true" outlineLevel="0" collapsed="false">
      <c r="A175" s="18" t="str">
        <f aca="false">IF(B175="","",ROW()-2)</f>
        <v/>
      </c>
      <c r="B175" s="18" t="str">
        <f aca="false">IFERROR(INDEX(종합!B$3:B$501,MATCH(ROW()-2,종합!$AB$3:$AB$501,0))&amp;"","")</f>
        <v/>
      </c>
      <c r="C175" s="18" t="str">
        <f aca="false">IFERROR(INDEX(종합!C$3:C$501,MATCH(ROW()-2,종합!$AB$3:$AB$501,0))&amp;"","")</f>
        <v/>
      </c>
      <c r="D175" s="18" t="str">
        <f aca="false">IFERROR(INDEX(종합!D$3:D$501,MATCH(ROW()-2,종합!$AB$3:$AB$501,0))&amp;"","")</f>
        <v/>
      </c>
      <c r="E175" s="18" t="str">
        <f aca="false">IFERROR(INDEX(종합!E$3:E$501,MATCH(ROW()-2,종합!$AB$3:$AB$501,0))&amp;"","")</f>
        <v/>
      </c>
      <c r="F175" s="18" t="str">
        <f aca="false">IFERROR(INDEX(종합!F$3:F$501,MATCH(ROW()-2,종합!$AB$3:$AB$501,0))&amp;"","")</f>
        <v/>
      </c>
      <c r="G175" s="18" t="str">
        <f aca="false">IFERROR(INDEX(종합!G$3:G$501,MATCH(ROW()-2,종합!$AB$3:$AB$501,0))&amp;"","")</f>
        <v/>
      </c>
      <c r="H175" s="21" t="str">
        <f aca="false">IFERROR(INDEX(종합!H$3:H$501,MATCH(ROW()-2,종합!$AB$3:$AB$501,0))&amp;"","")</f>
        <v/>
      </c>
      <c r="I175" s="21" t="str">
        <f aca="false">IFERROR(INDEX(종합!I$3:I$501,MATCH(ROW()-2,종합!$AB$3:$AB$501,0))&amp;"","")</f>
        <v/>
      </c>
      <c r="J175" s="21" t="str">
        <f aca="false">IFERROR(INDEX(종합!J$3:J$501,MATCH(ROW()-2,종합!$AB$3:$AB$501,0))&amp;"","")</f>
        <v/>
      </c>
      <c r="K175" s="21" t="str">
        <f aca="false">IFERROR(INDEX(종합!K$3:K$501,MATCH(ROW()-2,종합!$AB$3:$AB$501,0))&amp;"","")</f>
        <v/>
      </c>
      <c r="L175" s="21" t="str">
        <f aca="false">IFERROR(INDEX(종합!L$3:L$501,MATCH(ROW()-2,종합!$AB$3:$AB$501,0))&amp;"","")</f>
        <v/>
      </c>
      <c r="M175" s="21" t="str">
        <f aca="false">IFERROR(INDEX(종합!M$3:M$501,MATCH(ROW()-2,종합!$AB$3:$AB$501,0))&amp;"","")</f>
        <v/>
      </c>
      <c r="N175" s="25" t="str">
        <f aca="false">IFERROR(INDEX(종합!N$3:N$501,MATCH(ROW()-2,종합!$AB$3:$AB$501,0))&amp;"","")</f>
        <v/>
      </c>
      <c r="O175" s="21" t="str">
        <f aca="false">IFERROR(INDEX(종합!O$3:O$501,MATCH(ROW()-2,종합!$AB$3:$AB$501,0))&amp;"","")</f>
        <v/>
      </c>
      <c r="P175" s="21" t="str">
        <f aca="false">IFERROR(INDEX(종합!P$3:P$501,MATCH(ROW()-2,종합!$AB$3:$AB$501,0))&amp;"","")</f>
        <v/>
      </c>
      <c r="Q175" s="21" t="str">
        <f aca="false">IFERROR(INDEX(종합!Q$3:Q$501,MATCH(ROW()-2,종합!$AB$3:$AB$501,0))&amp;"","")</f>
        <v/>
      </c>
      <c r="R175" s="21" t="str">
        <f aca="false">IFERROR(INDEX(종합!R$3:R$501,MATCH(ROW()-2,종합!$AB$3:$AB$501,0))&amp;"","")</f>
        <v/>
      </c>
      <c r="S175" s="21" t="str">
        <f aca="false">IFERROR(INDEX(종합!S$3:S$501,MATCH(ROW()-2,종합!$AB$3:$AB$501,0))&amp;"","")</f>
        <v/>
      </c>
      <c r="T175" s="21" t="str">
        <f aca="false">IFERROR(INDEX(종합!T$3:T$501,MATCH(ROW()-2,종합!$AB$3:$AB$501,0))&amp;"","")</f>
        <v/>
      </c>
      <c r="U175" s="21" t="str">
        <f aca="false">IFERROR(INDEX(종합!U$3:U$501,MATCH(ROW()-2,종합!$AB$3:$AB$501,0))&amp;"","")</f>
        <v/>
      </c>
      <c r="V175" s="21" t="str">
        <f aca="false">IFERROR(INDEX(종합!V$3:V$501,MATCH(ROW()-2,종합!$AB$3:$AB$501,0))&amp;"","")</f>
        <v/>
      </c>
      <c r="W175" s="21" t="str">
        <f aca="false">IFERROR(INDEX(종합!W$3:W$501,MATCH(ROW()-2,종합!$AB$3:$AB$501,0))&amp;"","")</f>
        <v/>
      </c>
      <c r="X175" s="21" t="str">
        <f aca="false">IFERROR(INDEX(종합!X$3:X$501,MATCH(ROW()-2,종합!$AB$3:$AB$501,0))&amp;"","")</f>
        <v/>
      </c>
      <c r="Y175" s="21" t="str">
        <f aca="false">IFERROR(INDEX(종합!Y$3:Y$501,MATCH(ROW()-2,종합!$AB$3:$AB$501,0))&amp;"","")</f>
        <v/>
      </c>
      <c r="Z175" s="21" t="str">
        <f aca="false">IFERROR(INDEX(종합!Z$3:Z$501,MATCH(ROW()-2,종합!$AB$3:$AB$501,0))&amp;"","")</f>
        <v/>
      </c>
    </row>
    <row r="176" customFormat="false" ht="16.5" hidden="false" customHeight="true" outlineLevel="0" collapsed="false">
      <c r="A176" s="18" t="str">
        <f aca="false">IF(B176="","",ROW()-2)</f>
        <v/>
      </c>
      <c r="B176" s="18" t="str">
        <f aca="false">IFERROR(INDEX(종합!B$3:B$501,MATCH(ROW()-2,종합!$AB$3:$AB$501,0))&amp;"","")</f>
        <v/>
      </c>
      <c r="C176" s="18" t="str">
        <f aca="false">IFERROR(INDEX(종합!C$3:C$501,MATCH(ROW()-2,종합!$AB$3:$AB$501,0))&amp;"","")</f>
        <v/>
      </c>
      <c r="D176" s="18" t="str">
        <f aca="false">IFERROR(INDEX(종합!D$3:D$501,MATCH(ROW()-2,종합!$AB$3:$AB$501,0))&amp;"","")</f>
        <v/>
      </c>
      <c r="E176" s="18" t="str">
        <f aca="false">IFERROR(INDEX(종합!E$3:E$501,MATCH(ROW()-2,종합!$AB$3:$AB$501,0))&amp;"","")</f>
        <v/>
      </c>
      <c r="F176" s="18" t="str">
        <f aca="false">IFERROR(INDEX(종합!F$3:F$501,MATCH(ROW()-2,종합!$AB$3:$AB$501,0))&amp;"","")</f>
        <v/>
      </c>
      <c r="G176" s="18" t="str">
        <f aca="false">IFERROR(INDEX(종합!G$3:G$501,MATCH(ROW()-2,종합!$AB$3:$AB$501,0))&amp;"","")</f>
        <v/>
      </c>
      <c r="H176" s="21" t="str">
        <f aca="false">IFERROR(INDEX(종합!H$3:H$501,MATCH(ROW()-2,종합!$AB$3:$AB$501,0))&amp;"","")</f>
        <v/>
      </c>
      <c r="I176" s="21" t="str">
        <f aca="false">IFERROR(INDEX(종합!I$3:I$501,MATCH(ROW()-2,종합!$AB$3:$AB$501,0))&amp;"","")</f>
        <v/>
      </c>
      <c r="J176" s="21" t="str">
        <f aca="false">IFERROR(INDEX(종합!J$3:J$501,MATCH(ROW()-2,종합!$AB$3:$AB$501,0))&amp;"","")</f>
        <v/>
      </c>
      <c r="K176" s="21" t="str">
        <f aca="false">IFERROR(INDEX(종합!K$3:K$501,MATCH(ROW()-2,종합!$AB$3:$AB$501,0))&amp;"","")</f>
        <v/>
      </c>
      <c r="L176" s="21" t="str">
        <f aca="false">IFERROR(INDEX(종합!L$3:L$501,MATCH(ROW()-2,종합!$AB$3:$AB$501,0))&amp;"","")</f>
        <v/>
      </c>
      <c r="M176" s="21" t="str">
        <f aca="false">IFERROR(INDEX(종합!M$3:M$501,MATCH(ROW()-2,종합!$AB$3:$AB$501,0))&amp;"","")</f>
        <v/>
      </c>
      <c r="N176" s="25" t="str">
        <f aca="false">IFERROR(INDEX(종합!N$3:N$501,MATCH(ROW()-2,종합!$AB$3:$AB$501,0))&amp;"","")</f>
        <v/>
      </c>
      <c r="O176" s="21" t="str">
        <f aca="false">IFERROR(INDEX(종합!O$3:O$501,MATCH(ROW()-2,종합!$AB$3:$AB$501,0))&amp;"","")</f>
        <v/>
      </c>
      <c r="P176" s="21" t="str">
        <f aca="false">IFERROR(INDEX(종합!P$3:P$501,MATCH(ROW()-2,종합!$AB$3:$AB$501,0))&amp;"","")</f>
        <v/>
      </c>
      <c r="Q176" s="21" t="str">
        <f aca="false">IFERROR(INDEX(종합!Q$3:Q$501,MATCH(ROW()-2,종합!$AB$3:$AB$501,0))&amp;"","")</f>
        <v/>
      </c>
      <c r="R176" s="21" t="str">
        <f aca="false">IFERROR(INDEX(종합!R$3:R$501,MATCH(ROW()-2,종합!$AB$3:$AB$501,0))&amp;"","")</f>
        <v/>
      </c>
      <c r="S176" s="21" t="str">
        <f aca="false">IFERROR(INDEX(종합!S$3:S$501,MATCH(ROW()-2,종합!$AB$3:$AB$501,0))&amp;"","")</f>
        <v/>
      </c>
      <c r="T176" s="21" t="str">
        <f aca="false">IFERROR(INDEX(종합!T$3:T$501,MATCH(ROW()-2,종합!$AB$3:$AB$501,0))&amp;"","")</f>
        <v/>
      </c>
      <c r="U176" s="21" t="str">
        <f aca="false">IFERROR(INDEX(종합!U$3:U$501,MATCH(ROW()-2,종합!$AB$3:$AB$501,0))&amp;"","")</f>
        <v/>
      </c>
      <c r="V176" s="21" t="str">
        <f aca="false">IFERROR(INDEX(종합!V$3:V$501,MATCH(ROW()-2,종합!$AB$3:$AB$501,0))&amp;"","")</f>
        <v/>
      </c>
      <c r="W176" s="21" t="str">
        <f aca="false">IFERROR(INDEX(종합!W$3:W$501,MATCH(ROW()-2,종합!$AB$3:$AB$501,0))&amp;"","")</f>
        <v/>
      </c>
      <c r="X176" s="21" t="str">
        <f aca="false">IFERROR(INDEX(종합!X$3:X$501,MATCH(ROW()-2,종합!$AB$3:$AB$501,0))&amp;"","")</f>
        <v/>
      </c>
      <c r="Y176" s="21" t="str">
        <f aca="false">IFERROR(INDEX(종합!Y$3:Y$501,MATCH(ROW()-2,종합!$AB$3:$AB$501,0))&amp;"","")</f>
        <v/>
      </c>
      <c r="Z176" s="21" t="str">
        <f aca="false">IFERROR(INDEX(종합!Z$3:Z$501,MATCH(ROW()-2,종합!$AB$3:$AB$501,0))&amp;"","")</f>
        <v/>
      </c>
    </row>
    <row r="177" customFormat="false" ht="16.5" hidden="false" customHeight="true" outlineLevel="0" collapsed="false">
      <c r="A177" s="18" t="str">
        <f aca="false">IF(B177="","",ROW()-2)</f>
        <v/>
      </c>
      <c r="B177" s="18" t="str">
        <f aca="false">IFERROR(INDEX(종합!B$3:B$501,MATCH(ROW()-2,종합!$AB$3:$AB$501,0))&amp;"","")</f>
        <v/>
      </c>
      <c r="C177" s="18" t="str">
        <f aca="false">IFERROR(INDEX(종합!C$3:C$501,MATCH(ROW()-2,종합!$AB$3:$AB$501,0))&amp;"","")</f>
        <v/>
      </c>
      <c r="D177" s="18" t="str">
        <f aca="false">IFERROR(INDEX(종합!D$3:D$501,MATCH(ROW()-2,종합!$AB$3:$AB$501,0))&amp;"","")</f>
        <v/>
      </c>
      <c r="E177" s="18" t="str">
        <f aca="false">IFERROR(INDEX(종합!E$3:E$501,MATCH(ROW()-2,종합!$AB$3:$AB$501,0))&amp;"","")</f>
        <v/>
      </c>
      <c r="F177" s="18" t="str">
        <f aca="false">IFERROR(INDEX(종합!F$3:F$501,MATCH(ROW()-2,종합!$AB$3:$AB$501,0))&amp;"","")</f>
        <v/>
      </c>
      <c r="G177" s="18" t="str">
        <f aca="false">IFERROR(INDEX(종합!G$3:G$501,MATCH(ROW()-2,종합!$AB$3:$AB$501,0))&amp;"","")</f>
        <v/>
      </c>
      <c r="H177" s="21" t="str">
        <f aca="false">IFERROR(INDEX(종합!H$3:H$501,MATCH(ROW()-2,종합!$AB$3:$AB$501,0))&amp;"","")</f>
        <v/>
      </c>
      <c r="I177" s="21" t="str">
        <f aca="false">IFERROR(INDEX(종합!I$3:I$501,MATCH(ROW()-2,종합!$AB$3:$AB$501,0))&amp;"","")</f>
        <v/>
      </c>
      <c r="J177" s="21" t="str">
        <f aca="false">IFERROR(INDEX(종합!J$3:J$501,MATCH(ROW()-2,종합!$AB$3:$AB$501,0))&amp;"","")</f>
        <v/>
      </c>
      <c r="K177" s="21" t="str">
        <f aca="false">IFERROR(INDEX(종합!K$3:K$501,MATCH(ROW()-2,종합!$AB$3:$AB$501,0))&amp;"","")</f>
        <v/>
      </c>
      <c r="L177" s="21" t="str">
        <f aca="false">IFERROR(INDEX(종합!L$3:L$501,MATCH(ROW()-2,종합!$AB$3:$AB$501,0))&amp;"","")</f>
        <v/>
      </c>
      <c r="M177" s="21" t="str">
        <f aca="false">IFERROR(INDEX(종합!M$3:M$501,MATCH(ROW()-2,종합!$AB$3:$AB$501,0))&amp;"","")</f>
        <v/>
      </c>
      <c r="N177" s="25" t="str">
        <f aca="false">IFERROR(INDEX(종합!N$3:N$501,MATCH(ROW()-2,종합!$AB$3:$AB$501,0))&amp;"","")</f>
        <v/>
      </c>
      <c r="O177" s="21" t="str">
        <f aca="false">IFERROR(INDEX(종합!O$3:O$501,MATCH(ROW()-2,종합!$AB$3:$AB$501,0))&amp;"","")</f>
        <v/>
      </c>
      <c r="P177" s="21" t="str">
        <f aca="false">IFERROR(INDEX(종합!P$3:P$501,MATCH(ROW()-2,종합!$AB$3:$AB$501,0))&amp;"","")</f>
        <v/>
      </c>
      <c r="Q177" s="21" t="str">
        <f aca="false">IFERROR(INDEX(종합!Q$3:Q$501,MATCH(ROW()-2,종합!$AB$3:$AB$501,0))&amp;"","")</f>
        <v/>
      </c>
      <c r="R177" s="21" t="str">
        <f aca="false">IFERROR(INDEX(종합!R$3:R$501,MATCH(ROW()-2,종합!$AB$3:$AB$501,0))&amp;"","")</f>
        <v/>
      </c>
      <c r="S177" s="21" t="str">
        <f aca="false">IFERROR(INDEX(종합!S$3:S$501,MATCH(ROW()-2,종합!$AB$3:$AB$501,0))&amp;"","")</f>
        <v/>
      </c>
      <c r="T177" s="21" t="str">
        <f aca="false">IFERROR(INDEX(종합!T$3:T$501,MATCH(ROW()-2,종합!$AB$3:$AB$501,0))&amp;"","")</f>
        <v/>
      </c>
      <c r="U177" s="21" t="str">
        <f aca="false">IFERROR(INDEX(종합!U$3:U$501,MATCH(ROW()-2,종합!$AB$3:$AB$501,0))&amp;"","")</f>
        <v/>
      </c>
      <c r="V177" s="21" t="str">
        <f aca="false">IFERROR(INDEX(종합!V$3:V$501,MATCH(ROW()-2,종합!$AB$3:$AB$501,0))&amp;"","")</f>
        <v/>
      </c>
      <c r="W177" s="21" t="str">
        <f aca="false">IFERROR(INDEX(종합!W$3:W$501,MATCH(ROW()-2,종합!$AB$3:$AB$501,0))&amp;"","")</f>
        <v/>
      </c>
      <c r="X177" s="21" t="str">
        <f aca="false">IFERROR(INDEX(종합!X$3:X$501,MATCH(ROW()-2,종합!$AB$3:$AB$501,0))&amp;"","")</f>
        <v/>
      </c>
      <c r="Y177" s="21" t="str">
        <f aca="false">IFERROR(INDEX(종합!Y$3:Y$501,MATCH(ROW()-2,종합!$AB$3:$AB$501,0))&amp;"","")</f>
        <v/>
      </c>
      <c r="Z177" s="21" t="str">
        <f aca="false">IFERROR(INDEX(종합!Z$3:Z$501,MATCH(ROW()-2,종합!$AB$3:$AB$501,0))&amp;"","")</f>
        <v/>
      </c>
    </row>
    <row r="178" customFormat="false" ht="16.5" hidden="false" customHeight="true" outlineLevel="0" collapsed="false">
      <c r="A178" s="18" t="str">
        <f aca="false">IF(B178="","",ROW()-2)</f>
        <v/>
      </c>
      <c r="B178" s="18" t="str">
        <f aca="false">IFERROR(INDEX(종합!B$3:B$501,MATCH(ROW()-2,종합!$AB$3:$AB$501,0))&amp;"","")</f>
        <v/>
      </c>
      <c r="C178" s="18" t="str">
        <f aca="false">IFERROR(INDEX(종합!C$3:C$501,MATCH(ROW()-2,종합!$AB$3:$AB$501,0))&amp;"","")</f>
        <v/>
      </c>
      <c r="D178" s="18" t="str">
        <f aca="false">IFERROR(INDEX(종합!D$3:D$501,MATCH(ROW()-2,종합!$AB$3:$AB$501,0))&amp;"","")</f>
        <v/>
      </c>
      <c r="E178" s="18" t="str">
        <f aca="false">IFERROR(INDEX(종합!E$3:E$501,MATCH(ROW()-2,종합!$AB$3:$AB$501,0))&amp;"","")</f>
        <v/>
      </c>
      <c r="F178" s="18" t="str">
        <f aca="false">IFERROR(INDEX(종합!F$3:F$501,MATCH(ROW()-2,종합!$AB$3:$AB$501,0))&amp;"","")</f>
        <v/>
      </c>
      <c r="G178" s="18" t="str">
        <f aca="false">IFERROR(INDEX(종합!G$3:G$501,MATCH(ROW()-2,종합!$AB$3:$AB$501,0))&amp;"","")</f>
        <v/>
      </c>
      <c r="H178" s="21" t="str">
        <f aca="false">IFERROR(INDEX(종합!H$3:H$501,MATCH(ROW()-2,종합!$AB$3:$AB$501,0))&amp;"","")</f>
        <v/>
      </c>
      <c r="I178" s="21" t="str">
        <f aca="false">IFERROR(INDEX(종합!I$3:I$501,MATCH(ROW()-2,종합!$AB$3:$AB$501,0))&amp;"","")</f>
        <v/>
      </c>
      <c r="J178" s="21" t="str">
        <f aca="false">IFERROR(INDEX(종합!J$3:J$501,MATCH(ROW()-2,종합!$AB$3:$AB$501,0))&amp;"","")</f>
        <v/>
      </c>
      <c r="K178" s="21" t="str">
        <f aca="false">IFERROR(INDEX(종합!K$3:K$501,MATCH(ROW()-2,종합!$AB$3:$AB$501,0))&amp;"","")</f>
        <v/>
      </c>
      <c r="L178" s="21" t="str">
        <f aca="false">IFERROR(INDEX(종합!L$3:L$501,MATCH(ROW()-2,종합!$AB$3:$AB$501,0))&amp;"","")</f>
        <v/>
      </c>
      <c r="M178" s="21" t="str">
        <f aca="false">IFERROR(INDEX(종합!M$3:M$501,MATCH(ROW()-2,종합!$AB$3:$AB$501,0))&amp;"","")</f>
        <v/>
      </c>
      <c r="N178" s="25" t="str">
        <f aca="false">IFERROR(INDEX(종합!N$3:N$501,MATCH(ROW()-2,종합!$AB$3:$AB$501,0))&amp;"","")</f>
        <v/>
      </c>
      <c r="O178" s="21" t="str">
        <f aca="false">IFERROR(INDEX(종합!O$3:O$501,MATCH(ROW()-2,종합!$AB$3:$AB$501,0))&amp;"","")</f>
        <v/>
      </c>
      <c r="P178" s="21" t="str">
        <f aca="false">IFERROR(INDEX(종합!P$3:P$501,MATCH(ROW()-2,종합!$AB$3:$AB$501,0))&amp;"","")</f>
        <v/>
      </c>
      <c r="Q178" s="21" t="str">
        <f aca="false">IFERROR(INDEX(종합!Q$3:Q$501,MATCH(ROW()-2,종합!$AB$3:$AB$501,0))&amp;"","")</f>
        <v/>
      </c>
      <c r="R178" s="21" t="str">
        <f aca="false">IFERROR(INDEX(종합!R$3:R$501,MATCH(ROW()-2,종합!$AB$3:$AB$501,0))&amp;"","")</f>
        <v/>
      </c>
      <c r="S178" s="21" t="str">
        <f aca="false">IFERROR(INDEX(종합!S$3:S$501,MATCH(ROW()-2,종합!$AB$3:$AB$501,0))&amp;"","")</f>
        <v/>
      </c>
      <c r="T178" s="21" t="str">
        <f aca="false">IFERROR(INDEX(종합!T$3:T$501,MATCH(ROW()-2,종합!$AB$3:$AB$501,0))&amp;"","")</f>
        <v/>
      </c>
      <c r="U178" s="21" t="str">
        <f aca="false">IFERROR(INDEX(종합!U$3:U$501,MATCH(ROW()-2,종합!$AB$3:$AB$501,0))&amp;"","")</f>
        <v/>
      </c>
      <c r="V178" s="21" t="str">
        <f aca="false">IFERROR(INDEX(종합!V$3:V$501,MATCH(ROW()-2,종합!$AB$3:$AB$501,0))&amp;"","")</f>
        <v/>
      </c>
      <c r="W178" s="21" t="str">
        <f aca="false">IFERROR(INDEX(종합!W$3:W$501,MATCH(ROW()-2,종합!$AB$3:$AB$501,0))&amp;"","")</f>
        <v/>
      </c>
      <c r="X178" s="21" t="str">
        <f aca="false">IFERROR(INDEX(종합!X$3:X$501,MATCH(ROW()-2,종합!$AB$3:$AB$501,0))&amp;"","")</f>
        <v/>
      </c>
      <c r="Y178" s="21" t="str">
        <f aca="false">IFERROR(INDEX(종합!Y$3:Y$501,MATCH(ROW()-2,종합!$AB$3:$AB$501,0))&amp;"","")</f>
        <v/>
      </c>
      <c r="Z178" s="21" t="str">
        <f aca="false">IFERROR(INDEX(종합!Z$3:Z$501,MATCH(ROW()-2,종합!$AB$3:$AB$501,0))&amp;"","")</f>
        <v/>
      </c>
    </row>
    <row r="179" customFormat="false" ht="16.5" hidden="false" customHeight="true" outlineLevel="0" collapsed="false">
      <c r="A179" s="18" t="str">
        <f aca="false">IF(B179="","",ROW()-2)</f>
        <v/>
      </c>
      <c r="B179" s="18" t="str">
        <f aca="false">IFERROR(INDEX(종합!B$3:B$501,MATCH(ROW()-2,종합!$AB$3:$AB$501,0))&amp;"","")</f>
        <v/>
      </c>
      <c r="C179" s="18" t="str">
        <f aca="false">IFERROR(INDEX(종합!C$3:C$501,MATCH(ROW()-2,종합!$AB$3:$AB$501,0))&amp;"","")</f>
        <v/>
      </c>
      <c r="D179" s="18" t="str">
        <f aca="false">IFERROR(INDEX(종합!D$3:D$501,MATCH(ROW()-2,종합!$AB$3:$AB$501,0))&amp;"","")</f>
        <v/>
      </c>
      <c r="E179" s="18" t="str">
        <f aca="false">IFERROR(INDEX(종합!E$3:E$501,MATCH(ROW()-2,종합!$AB$3:$AB$501,0))&amp;"","")</f>
        <v/>
      </c>
      <c r="F179" s="18" t="str">
        <f aca="false">IFERROR(INDEX(종합!F$3:F$501,MATCH(ROW()-2,종합!$AB$3:$AB$501,0))&amp;"","")</f>
        <v/>
      </c>
      <c r="G179" s="18" t="str">
        <f aca="false">IFERROR(INDEX(종합!G$3:G$501,MATCH(ROW()-2,종합!$AB$3:$AB$501,0))&amp;"","")</f>
        <v/>
      </c>
      <c r="H179" s="21" t="str">
        <f aca="false">IFERROR(INDEX(종합!H$3:H$501,MATCH(ROW()-2,종합!$AB$3:$AB$501,0))&amp;"","")</f>
        <v/>
      </c>
      <c r="I179" s="21" t="str">
        <f aca="false">IFERROR(INDEX(종합!I$3:I$501,MATCH(ROW()-2,종합!$AB$3:$AB$501,0))&amp;"","")</f>
        <v/>
      </c>
      <c r="J179" s="21" t="str">
        <f aca="false">IFERROR(INDEX(종합!J$3:J$501,MATCH(ROW()-2,종합!$AB$3:$AB$501,0))&amp;"","")</f>
        <v/>
      </c>
      <c r="K179" s="21" t="str">
        <f aca="false">IFERROR(INDEX(종합!K$3:K$501,MATCH(ROW()-2,종합!$AB$3:$AB$501,0))&amp;"","")</f>
        <v/>
      </c>
      <c r="L179" s="21" t="str">
        <f aca="false">IFERROR(INDEX(종합!L$3:L$501,MATCH(ROW()-2,종합!$AB$3:$AB$501,0))&amp;"","")</f>
        <v/>
      </c>
      <c r="M179" s="21" t="str">
        <f aca="false">IFERROR(INDEX(종합!M$3:M$501,MATCH(ROW()-2,종합!$AB$3:$AB$501,0))&amp;"","")</f>
        <v/>
      </c>
      <c r="N179" s="25" t="str">
        <f aca="false">IFERROR(INDEX(종합!N$3:N$501,MATCH(ROW()-2,종합!$AB$3:$AB$501,0))&amp;"","")</f>
        <v/>
      </c>
      <c r="O179" s="21" t="str">
        <f aca="false">IFERROR(INDEX(종합!O$3:O$501,MATCH(ROW()-2,종합!$AB$3:$AB$501,0))&amp;"","")</f>
        <v/>
      </c>
      <c r="P179" s="21" t="str">
        <f aca="false">IFERROR(INDEX(종합!P$3:P$501,MATCH(ROW()-2,종합!$AB$3:$AB$501,0))&amp;"","")</f>
        <v/>
      </c>
      <c r="Q179" s="21" t="str">
        <f aca="false">IFERROR(INDEX(종합!Q$3:Q$501,MATCH(ROW()-2,종합!$AB$3:$AB$501,0))&amp;"","")</f>
        <v/>
      </c>
      <c r="R179" s="21" t="str">
        <f aca="false">IFERROR(INDEX(종합!R$3:R$501,MATCH(ROW()-2,종합!$AB$3:$AB$501,0))&amp;"","")</f>
        <v/>
      </c>
      <c r="S179" s="21" t="str">
        <f aca="false">IFERROR(INDEX(종합!S$3:S$501,MATCH(ROW()-2,종합!$AB$3:$AB$501,0))&amp;"","")</f>
        <v/>
      </c>
      <c r="T179" s="21" t="str">
        <f aca="false">IFERROR(INDEX(종합!T$3:T$501,MATCH(ROW()-2,종합!$AB$3:$AB$501,0))&amp;"","")</f>
        <v/>
      </c>
      <c r="U179" s="21" t="str">
        <f aca="false">IFERROR(INDEX(종합!U$3:U$501,MATCH(ROW()-2,종합!$AB$3:$AB$501,0))&amp;"","")</f>
        <v/>
      </c>
      <c r="V179" s="21" t="str">
        <f aca="false">IFERROR(INDEX(종합!V$3:V$501,MATCH(ROW()-2,종합!$AB$3:$AB$501,0))&amp;"","")</f>
        <v/>
      </c>
      <c r="W179" s="21" t="str">
        <f aca="false">IFERROR(INDEX(종합!W$3:W$501,MATCH(ROW()-2,종합!$AB$3:$AB$501,0))&amp;"","")</f>
        <v/>
      </c>
      <c r="X179" s="21" t="str">
        <f aca="false">IFERROR(INDEX(종합!X$3:X$501,MATCH(ROW()-2,종합!$AB$3:$AB$501,0))&amp;"","")</f>
        <v/>
      </c>
      <c r="Y179" s="21" t="str">
        <f aca="false">IFERROR(INDEX(종합!Y$3:Y$501,MATCH(ROW()-2,종합!$AB$3:$AB$501,0))&amp;"","")</f>
        <v/>
      </c>
      <c r="Z179" s="21" t="str">
        <f aca="false">IFERROR(INDEX(종합!Z$3:Z$501,MATCH(ROW()-2,종합!$AB$3:$AB$501,0))&amp;"","")</f>
        <v/>
      </c>
    </row>
    <row r="180" customFormat="false" ht="16.5" hidden="false" customHeight="true" outlineLevel="0" collapsed="false">
      <c r="A180" s="18" t="str">
        <f aca="false">IF(B180="","",ROW()-2)</f>
        <v/>
      </c>
      <c r="B180" s="18" t="str">
        <f aca="false">IFERROR(INDEX(종합!B$3:B$501,MATCH(ROW()-2,종합!$AB$3:$AB$501,0))&amp;"","")</f>
        <v/>
      </c>
      <c r="C180" s="18" t="str">
        <f aca="false">IFERROR(INDEX(종합!C$3:C$501,MATCH(ROW()-2,종합!$AB$3:$AB$501,0))&amp;"","")</f>
        <v/>
      </c>
      <c r="D180" s="18" t="str">
        <f aca="false">IFERROR(INDEX(종합!D$3:D$501,MATCH(ROW()-2,종합!$AB$3:$AB$501,0))&amp;"","")</f>
        <v/>
      </c>
      <c r="E180" s="18" t="str">
        <f aca="false">IFERROR(INDEX(종합!E$3:E$501,MATCH(ROW()-2,종합!$AB$3:$AB$501,0))&amp;"","")</f>
        <v/>
      </c>
      <c r="F180" s="18" t="str">
        <f aca="false">IFERROR(INDEX(종합!F$3:F$501,MATCH(ROW()-2,종합!$AB$3:$AB$501,0))&amp;"","")</f>
        <v/>
      </c>
      <c r="G180" s="18" t="str">
        <f aca="false">IFERROR(INDEX(종합!G$3:G$501,MATCH(ROW()-2,종합!$AB$3:$AB$501,0))&amp;"","")</f>
        <v/>
      </c>
      <c r="H180" s="21" t="str">
        <f aca="false">IFERROR(INDEX(종합!H$3:H$501,MATCH(ROW()-2,종합!$AB$3:$AB$501,0))&amp;"","")</f>
        <v/>
      </c>
      <c r="I180" s="21" t="str">
        <f aca="false">IFERROR(INDEX(종합!I$3:I$501,MATCH(ROW()-2,종합!$AB$3:$AB$501,0))&amp;"","")</f>
        <v/>
      </c>
      <c r="J180" s="21" t="str">
        <f aca="false">IFERROR(INDEX(종합!J$3:J$501,MATCH(ROW()-2,종합!$AB$3:$AB$501,0))&amp;"","")</f>
        <v/>
      </c>
      <c r="K180" s="21" t="str">
        <f aca="false">IFERROR(INDEX(종합!K$3:K$501,MATCH(ROW()-2,종합!$AB$3:$AB$501,0))&amp;"","")</f>
        <v/>
      </c>
      <c r="L180" s="21" t="str">
        <f aca="false">IFERROR(INDEX(종합!L$3:L$501,MATCH(ROW()-2,종합!$AB$3:$AB$501,0))&amp;"","")</f>
        <v/>
      </c>
      <c r="M180" s="21" t="str">
        <f aca="false">IFERROR(INDEX(종합!M$3:M$501,MATCH(ROW()-2,종합!$AB$3:$AB$501,0))&amp;"","")</f>
        <v/>
      </c>
      <c r="N180" s="25" t="str">
        <f aca="false">IFERROR(INDEX(종합!N$3:N$501,MATCH(ROW()-2,종합!$AB$3:$AB$501,0))&amp;"","")</f>
        <v/>
      </c>
      <c r="O180" s="21" t="str">
        <f aca="false">IFERROR(INDEX(종합!O$3:O$501,MATCH(ROW()-2,종합!$AB$3:$AB$501,0))&amp;"","")</f>
        <v/>
      </c>
      <c r="P180" s="21" t="str">
        <f aca="false">IFERROR(INDEX(종합!P$3:P$501,MATCH(ROW()-2,종합!$AB$3:$AB$501,0))&amp;"","")</f>
        <v/>
      </c>
      <c r="Q180" s="21" t="str">
        <f aca="false">IFERROR(INDEX(종합!Q$3:Q$501,MATCH(ROW()-2,종합!$AB$3:$AB$501,0))&amp;"","")</f>
        <v/>
      </c>
      <c r="R180" s="21" t="str">
        <f aca="false">IFERROR(INDEX(종합!R$3:R$501,MATCH(ROW()-2,종합!$AB$3:$AB$501,0))&amp;"","")</f>
        <v/>
      </c>
      <c r="S180" s="21" t="str">
        <f aca="false">IFERROR(INDEX(종합!S$3:S$501,MATCH(ROW()-2,종합!$AB$3:$AB$501,0))&amp;"","")</f>
        <v/>
      </c>
      <c r="T180" s="21" t="str">
        <f aca="false">IFERROR(INDEX(종합!T$3:T$501,MATCH(ROW()-2,종합!$AB$3:$AB$501,0))&amp;"","")</f>
        <v/>
      </c>
      <c r="U180" s="21" t="str">
        <f aca="false">IFERROR(INDEX(종합!U$3:U$501,MATCH(ROW()-2,종합!$AB$3:$AB$501,0))&amp;"","")</f>
        <v/>
      </c>
      <c r="V180" s="21" t="str">
        <f aca="false">IFERROR(INDEX(종합!V$3:V$501,MATCH(ROW()-2,종합!$AB$3:$AB$501,0))&amp;"","")</f>
        <v/>
      </c>
      <c r="W180" s="21" t="str">
        <f aca="false">IFERROR(INDEX(종합!W$3:W$501,MATCH(ROW()-2,종합!$AB$3:$AB$501,0))&amp;"","")</f>
        <v/>
      </c>
      <c r="X180" s="21" t="str">
        <f aca="false">IFERROR(INDEX(종합!X$3:X$501,MATCH(ROW()-2,종합!$AB$3:$AB$501,0))&amp;"","")</f>
        <v/>
      </c>
      <c r="Y180" s="21" t="str">
        <f aca="false">IFERROR(INDEX(종합!Y$3:Y$501,MATCH(ROW()-2,종합!$AB$3:$AB$501,0))&amp;"","")</f>
        <v/>
      </c>
      <c r="Z180" s="21" t="str">
        <f aca="false">IFERROR(INDEX(종합!Z$3:Z$501,MATCH(ROW()-2,종합!$AB$3:$AB$501,0))&amp;"","")</f>
        <v/>
      </c>
    </row>
    <row r="181" customFormat="false" ht="16.5" hidden="false" customHeight="true" outlineLevel="0" collapsed="false">
      <c r="A181" s="18" t="str">
        <f aca="false">IF(B181="","",ROW()-2)</f>
        <v/>
      </c>
      <c r="B181" s="18" t="str">
        <f aca="false">IFERROR(INDEX(종합!B$3:B$501,MATCH(ROW()-2,종합!$AB$3:$AB$501,0))&amp;"","")</f>
        <v/>
      </c>
      <c r="C181" s="18" t="str">
        <f aca="false">IFERROR(INDEX(종합!C$3:C$501,MATCH(ROW()-2,종합!$AB$3:$AB$501,0))&amp;"","")</f>
        <v/>
      </c>
      <c r="D181" s="18" t="str">
        <f aca="false">IFERROR(INDEX(종합!D$3:D$501,MATCH(ROW()-2,종합!$AB$3:$AB$501,0))&amp;"","")</f>
        <v/>
      </c>
      <c r="E181" s="18" t="str">
        <f aca="false">IFERROR(INDEX(종합!E$3:E$501,MATCH(ROW()-2,종합!$AB$3:$AB$501,0))&amp;"","")</f>
        <v/>
      </c>
      <c r="F181" s="18" t="str">
        <f aca="false">IFERROR(INDEX(종합!F$3:F$501,MATCH(ROW()-2,종합!$AB$3:$AB$501,0))&amp;"","")</f>
        <v/>
      </c>
      <c r="G181" s="18" t="str">
        <f aca="false">IFERROR(INDEX(종합!G$3:G$501,MATCH(ROW()-2,종합!$AB$3:$AB$501,0))&amp;"","")</f>
        <v/>
      </c>
      <c r="H181" s="21" t="str">
        <f aca="false">IFERROR(INDEX(종합!H$3:H$501,MATCH(ROW()-2,종합!$AB$3:$AB$501,0))&amp;"","")</f>
        <v/>
      </c>
      <c r="I181" s="21" t="str">
        <f aca="false">IFERROR(INDEX(종합!I$3:I$501,MATCH(ROW()-2,종합!$AB$3:$AB$501,0))&amp;"","")</f>
        <v/>
      </c>
      <c r="J181" s="21" t="str">
        <f aca="false">IFERROR(INDEX(종합!J$3:J$501,MATCH(ROW()-2,종합!$AB$3:$AB$501,0))&amp;"","")</f>
        <v/>
      </c>
      <c r="K181" s="21" t="str">
        <f aca="false">IFERROR(INDEX(종합!K$3:K$501,MATCH(ROW()-2,종합!$AB$3:$AB$501,0))&amp;"","")</f>
        <v/>
      </c>
      <c r="L181" s="21" t="str">
        <f aca="false">IFERROR(INDEX(종합!L$3:L$501,MATCH(ROW()-2,종합!$AB$3:$AB$501,0))&amp;"","")</f>
        <v/>
      </c>
      <c r="M181" s="21" t="str">
        <f aca="false">IFERROR(INDEX(종합!M$3:M$501,MATCH(ROW()-2,종합!$AB$3:$AB$501,0))&amp;"","")</f>
        <v/>
      </c>
      <c r="N181" s="25" t="str">
        <f aca="false">IFERROR(INDEX(종합!N$3:N$501,MATCH(ROW()-2,종합!$AB$3:$AB$501,0))&amp;"","")</f>
        <v/>
      </c>
      <c r="O181" s="21" t="str">
        <f aca="false">IFERROR(INDEX(종합!O$3:O$501,MATCH(ROW()-2,종합!$AB$3:$AB$501,0))&amp;"","")</f>
        <v/>
      </c>
      <c r="P181" s="21" t="str">
        <f aca="false">IFERROR(INDEX(종합!P$3:P$501,MATCH(ROW()-2,종합!$AB$3:$AB$501,0))&amp;"","")</f>
        <v/>
      </c>
      <c r="Q181" s="21" t="str">
        <f aca="false">IFERROR(INDEX(종합!Q$3:Q$501,MATCH(ROW()-2,종합!$AB$3:$AB$501,0))&amp;"","")</f>
        <v/>
      </c>
      <c r="R181" s="21" t="str">
        <f aca="false">IFERROR(INDEX(종합!R$3:R$501,MATCH(ROW()-2,종합!$AB$3:$AB$501,0))&amp;"","")</f>
        <v/>
      </c>
      <c r="S181" s="21" t="str">
        <f aca="false">IFERROR(INDEX(종합!S$3:S$501,MATCH(ROW()-2,종합!$AB$3:$AB$501,0))&amp;"","")</f>
        <v/>
      </c>
      <c r="T181" s="21" t="str">
        <f aca="false">IFERROR(INDEX(종합!T$3:T$501,MATCH(ROW()-2,종합!$AB$3:$AB$501,0))&amp;"","")</f>
        <v/>
      </c>
      <c r="U181" s="21" t="str">
        <f aca="false">IFERROR(INDEX(종합!U$3:U$501,MATCH(ROW()-2,종합!$AB$3:$AB$501,0))&amp;"","")</f>
        <v/>
      </c>
      <c r="V181" s="21" t="str">
        <f aca="false">IFERROR(INDEX(종합!V$3:V$501,MATCH(ROW()-2,종합!$AB$3:$AB$501,0))&amp;"","")</f>
        <v/>
      </c>
      <c r="W181" s="21" t="str">
        <f aca="false">IFERROR(INDEX(종합!W$3:W$501,MATCH(ROW()-2,종합!$AB$3:$AB$501,0))&amp;"","")</f>
        <v/>
      </c>
      <c r="X181" s="21" t="str">
        <f aca="false">IFERROR(INDEX(종합!X$3:X$501,MATCH(ROW()-2,종합!$AB$3:$AB$501,0))&amp;"","")</f>
        <v/>
      </c>
      <c r="Y181" s="21" t="str">
        <f aca="false">IFERROR(INDEX(종합!Y$3:Y$501,MATCH(ROW()-2,종합!$AB$3:$AB$501,0))&amp;"","")</f>
        <v/>
      </c>
      <c r="Z181" s="21" t="str">
        <f aca="false">IFERROR(INDEX(종합!Z$3:Z$501,MATCH(ROW()-2,종합!$AB$3:$AB$501,0))&amp;"","")</f>
        <v/>
      </c>
    </row>
    <row r="182" customFormat="false" ht="16.5" hidden="false" customHeight="true" outlineLevel="0" collapsed="false">
      <c r="A182" s="18" t="str">
        <f aca="false">IF(B182="","",ROW()-2)</f>
        <v/>
      </c>
      <c r="B182" s="18" t="str">
        <f aca="false">IFERROR(INDEX(종합!B$3:B$501,MATCH(ROW()-2,종합!$AB$3:$AB$501,0))&amp;"","")</f>
        <v/>
      </c>
      <c r="C182" s="18" t="str">
        <f aca="false">IFERROR(INDEX(종합!C$3:C$501,MATCH(ROW()-2,종합!$AB$3:$AB$501,0))&amp;"","")</f>
        <v/>
      </c>
      <c r="D182" s="18" t="str">
        <f aca="false">IFERROR(INDEX(종합!D$3:D$501,MATCH(ROW()-2,종합!$AB$3:$AB$501,0))&amp;"","")</f>
        <v/>
      </c>
      <c r="E182" s="18" t="str">
        <f aca="false">IFERROR(INDEX(종합!E$3:E$501,MATCH(ROW()-2,종합!$AB$3:$AB$501,0))&amp;"","")</f>
        <v/>
      </c>
      <c r="F182" s="18" t="str">
        <f aca="false">IFERROR(INDEX(종합!F$3:F$501,MATCH(ROW()-2,종합!$AB$3:$AB$501,0))&amp;"","")</f>
        <v/>
      </c>
      <c r="G182" s="18" t="str">
        <f aca="false">IFERROR(INDEX(종합!G$3:G$501,MATCH(ROW()-2,종합!$AB$3:$AB$501,0))&amp;"","")</f>
        <v/>
      </c>
      <c r="H182" s="21" t="str">
        <f aca="false">IFERROR(INDEX(종합!H$3:H$501,MATCH(ROW()-2,종합!$AB$3:$AB$501,0))&amp;"","")</f>
        <v/>
      </c>
      <c r="I182" s="21" t="str">
        <f aca="false">IFERROR(INDEX(종합!I$3:I$501,MATCH(ROW()-2,종합!$AB$3:$AB$501,0))&amp;"","")</f>
        <v/>
      </c>
      <c r="J182" s="21" t="str">
        <f aca="false">IFERROR(INDEX(종합!J$3:J$501,MATCH(ROW()-2,종합!$AB$3:$AB$501,0))&amp;"","")</f>
        <v/>
      </c>
      <c r="K182" s="21" t="str">
        <f aca="false">IFERROR(INDEX(종합!K$3:K$501,MATCH(ROW()-2,종합!$AB$3:$AB$501,0))&amp;"","")</f>
        <v/>
      </c>
      <c r="L182" s="21" t="str">
        <f aca="false">IFERROR(INDEX(종합!L$3:L$501,MATCH(ROW()-2,종합!$AB$3:$AB$501,0))&amp;"","")</f>
        <v/>
      </c>
      <c r="M182" s="21" t="str">
        <f aca="false">IFERROR(INDEX(종합!M$3:M$501,MATCH(ROW()-2,종합!$AB$3:$AB$501,0))&amp;"","")</f>
        <v/>
      </c>
      <c r="N182" s="25" t="str">
        <f aca="false">IFERROR(INDEX(종합!N$3:N$501,MATCH(ROW()-2,종합!$AB$3:$AB$501,0))&amp;"","")</f>
        <v/>
      </c>
      <c r="O182" s="21" t="str">
        <f aca="false">IFERROR(INDEX(종합!O$3:O$501,MATCH(ROW()-2,종합!$AB$3:$AB$501,0))&amp;"","")</f>
        <v/>
      </c>
      <c r="P182" s="21" t="str">
        <f aca="false">IFERROR(INDEX(종합!P$3:P$501,MATCH(ROW()-2,종합!$AB$3:$AB$501,0))&amp;"","")</f>
        <v/>
      </c>
      <c r="Q182" s="21" t="str">
        <f aca="false">IFERROR(INDEX(종합!Q$3:Q$501,MATCH(ROW()-2,종합!$AB$3:$AB$501,0))&amp;"","")</f>
        <v/>
      </c>
      <c r="R182" s="21" t="str">
        <f aca="false">IFERROR(INDEX(종합!R$3:R$501,MATCH(ROW()-2,종합!$AB$3:$AB$501,0))&amp;"","")</f>
        <v/>
      </c>
      <c r="S182" s="21" t="str">
        <f aca="false">IFERROR(INDEX(종합!S$3:S$501,MATCH(ROW()-2,종합!$AB$3:$AB$501,0))&amp;"","")</f>
        <v/>
      </c>
      <c r="T182" s="21" t="str">
        <f aca="false">IFERROR(INDEX(종합!T$3:T$501,MATCH(ROW()-2,종합!$AB$3:$AB$501,0))&amp;"","")</f>
        <v/>
      </c>
      <c r="U182" s="21" t="str">
        <f aca="false">IFERROR(INDEX(종합!U$3:U$501,MATCH(ROW()-2,종합!$AB$3:$AB$501,0))&amp;"","")</f>
        <v/>
      </c>
      <c r="V182" s="21" t="str">
        <f aca="false">IFERROR(INDEX(종합!V$3:V$501,MATCH(ROW()-2,종합!$AB$3:$AB$501,0))&amp;"","")</f>
        <v/>
      </c>
      <c r="W182" s="21" t="str">
        <f aca="false">IFERROR(INDEX(종합!W$3:W$501,MATCH(ROW()-2,종합!$AB$3:$AB$501,0))&amp;"","")</f>
        <v/>
      </c>
      <c r="X182" s="21" t="str">
        <f aca="false">IFERROR(INDEX(종합!X$3:X$501,MATCH(ROW()-2,종합!$AB$3:$AB$501,0))&amp;"","")</f>
        <v/>
      </c>
      <c r="Y182" s="21" t="str">
        <f aca="false">IFERROR(INDEX(종합!Y$3:Y$501,MATCH(ROW()-2,종합!$AB$3:$AB$501,0))&amp;"","")</f>
        <v/>
      </c>
      <c r="Z182" s="21" t="str">
        <f aca="false">IFERROR(INDEX(종합!Z$3:Z$501,MATCH(ROW()-2,종합!$AB$3:$AB$501,0))&amp;"","")</f>
        <v/>
      </c>
    </row>
    <row r="183" customFormat="false" ht="16.5" hidden="false" customHeight="true" outlineLevel="0" collapsed="false">
      <c r="A183" s="18" t="str">
        <f aca="false">IF(B183="","",ROW()-2)</f>
        <v/>
      </c>
      <c r="B183" s="18" t="str">
        <f aca="false">IFERROR(INDEX(종합!B$3:B$501,MATCH(ROW()-2,종합!$AB$3:$AB$501,0))&amp;"","")</f>
        <v/>
      </c>
      <c r="C183" s="18" t="str">
        <f aca="false">IFERROR(INDEX(종합!C$3:C$501,MATCH(ROW()-2,종합!$AB$3:$AB$501,0))&amp;"","")</f>
        <v/>
      </c>
      <c r="D183" s="18" t="str">
        <f aca="false">IFERROR(INDEX(종합!D$3:D$501,MATCH(ROW()-2,종합!$AB$3:$AB$501,0))&amp;"","")</f>
        <v/>
      </c>
      <c r="E183" s="18" t="str">
        <f aca="false">IFERROR(INDEX(종합!E$3:E$501,MATCH(ROW()-2,종합!$AB$3:$AB$501,0))&amp;"","")</f>
        <v/>
      </c>
      <c r="F183" s="18" t="str">
        <f aca="false">IFERROR(INDEX(종합!F$3:F$501,MATCH(ROW()-2,종합!$AB$3:$AB$501,0))&amp;"","")</f>
        <v/>
      </c>
      <c r="G183" s="18" t="str">
        <f aca="false">IFERROR(INDEX(종합!G$3:G$501,MATCH(ROW()-2,종합!$AB$3:$AB$501,0))&amp;"","")</f>
        <v/>
      </c>
      <c r="H183" s="21" t="str">
        <f aca="false">IFERROR(INDEX(종합!H$3:H$501,MATCH(ROW()-2,종합!$AB$3:$AB$501,0))&amp;"","")</f>
        <v/>
      </c>
      <c r="I183" s="21" t="str">
        <f aca="false">IFERROR(INDEX(종합!I$3:I$501,MATCH(ROW()-2,종합!$AB$3:$AB$501,0))&amp;"","")</f>
        <v/>
      </c>
      <c r="J183" s="21" t="str">
        <f aca="false">IFERROR(INDEX(종합!J$3:J$501,MATCH(ROW()-2,종합!$AB$3:$AB$501,0))&amp;"","")</f>
        <v/>
      </c>
      <c r="K183" s="21" t="str">
        <f aca="false">IFERROR(INDEX(종합!K$3:K$501,MATCH(ROW()-2,종합!$AB$3:$AB$501,0))&amp;"","")</f>
        <v/>
      </c>
      <c r="L183" s="21" t="str">
        <f aca="false">IFERROR(INDEX(종합!L$3:L$501,MATCH(ROW()-2,종합!$AB$3:$AB$501,0))&amp;"","")</f>
        <v/>
      </c>
      <c r="M183" s="21" t="str">
        <f aca="false">IFERROR(INDEX(종합!M$3:M$501,MATCH(ROW()-2,종합!$AB$3:$AB$501,0))&amp;"","")</f>
        <v/>
      </c>
      <c r="N183" s="25" t="str">
        <f aca="false">IFERROR(INDEX(종합!N$3:N$501,MATCH(ROW()-2,종합!$AB$3:$AB$501,0))&amp;"","")</f>
        <v/>
      </c>
      <c r="O183" s="21" t="str">
        <f aca="false">IFERROR(INDEX(종합!O$3:O$501,MATCH(ROW()-2,종합!$AB$3:$AB$501,0))&amp;"","")</f>
        <v/>
      </c>
      <c r="P183" s="21" t="str">
        <f aca="false">IFERROR(INDEX(종합!P$3:P$501,MATCH(ROW()-2,종합!$AB$3:$AB$501,0))&amp;"","")</f>
        <v/>
      </c>
      <c r="Q183" s="21" t="str">
        <f aca="false">IFERROR(INDEX(종합!Q$3:Q$501,MATCH(ROW()-2,종합!$AB$3:$AB$501,0))&amp;"","")</f>
        <v/>
      </c>
      <c r="R183" s="21" t="str">
        <f aca="false">IFERROR(INDEX(종합!R$3:R$501,MATCH(ROW()-2,종합!$AB$3:$AB$501,0))&amp;"","")</f>
        <v/>
      </c>
      <c r="S183" s="21" t="str">
        <f aca="false">IFERROR(INDEX(종합!S$3:S$501,MATCH(ROW()-2,종합!$AB$3:$AB$501,0))&amp;"","")</f>
        <v/>
      </c>
      <c r="T183" s="21" t="str">
        <f aca="false">IFERROR(INDEX(종합!T$3:T$501,MATCH(ROW()-2,종합!$AB$3:$AB$501,0))&amp;"","")</f>
        <v/>
      </c>
      <c r="U183" s="21" t="str">
        <f aca="false">IFERROR(INDEX(종합!U$3:U$501,MATCH(ROW()-2,종합!$AB$3:$AB$501,0))&amp;"","")</f>
        <v/>
      </c>
      <c r="V183" s="21" t="str">
        <f aca="false">IFERROR(INDEX(종합!V$3:V$501,MATCH(ROW()-2,종합!$AB$3:$AB$501,0))&amp;"","")</f>
        <v/>
      </c>
      <c r="W183" s="21" t="str">
        <f aca="false">IFERROR(INDEX(종합!W$3:W$501,MATCH(ROW()-2,종합!$AB$3:$AB$501,0))&amp;"","")</f>
        <v/>
      </c>
      <c r="X183" s="21" t="str">
        <f aca="false">IFERROR(INDEX(종합!X$3:X$501,MATCH(ROW()-2,종합!$AB$3:$AB$501,0))&amp;"","")</f>
        <v/>
      </c>
      <c r="Y183" s="21" t="str">
        <f aca="false">IFERROR(INDEX(종합!Y$3:Y$501,MATCH(ROW()-2,종합!$AB$3:$AB$501,0))&amp;"","")</f>
        <v/>
      </c>
      <c r="Z183" s="21" t="str">
        <f aca="false">IFERROR(INDEX(종합!Z$3:Z$501,MATCH(ROW()-2,종합!$AB$3:$AB$501,0))&amp;"","")</f>
        <v/>
      </c>
    </row>
    <row r="184" customFormat="false" ht="16.5" hidden="false" customHeight="true" outlineLevel="0" collapsed="false">
      <c r="A184" s="18" t="str">
        <f aca="false">IF(B184="","",ROW()-2)</f>
        <v/>
      </c>
      <c r="B184" s="18" t="str">
        <f aca="false">IFERROR(INDEX(종합!B$3:B$501,MATCH(ROW()-2,종합!$AB$3:$AB$501,0))&amp;"","")</f>
        <v/>
      </c>
      <c r="C184" s="18" t="str">
        <f aca="false">IFERROR(INDEX(종합!C$3:C$501,MATCH(ROW()-2,종합!$AB$3:$AB$501,0))&amp;"","")</f>
        <v/>
      </c>
      <c r="D184" s="18" t="str">
        <f aca="false">IFERROR(INDEX(종합!D$3:D$501,MATCH(ROW()-2,종합!$AB$3:$AB$501,0))&amp;"","")</f>
        <v/>
      </c>
      <c r="E184" s="18" t="str">
        <f aca="false">IFERROR(INDEX(종합!E$3:E$501,MATCH(ROW()-2,종합!$AB$3:$AB$501,0))&amp;"","")</f>
        <v/>
      </c>
      <c r="F184" s="18" t="str">
        <f aca="false">IFERROR(INDEX(종합!F$3:F$501,MATCH(ROW()-2,종합!$AB$3:$AB$501,0))&amp;"","")</f>
        <v/>
      </c>
      <c r="G184" s="18" t="str">
        <f aca="false">IFERROR(INDEX(종합!G$3:G$501,MATCH(ROW()-2,종합!$AB$3:$AB$501,0))&amp;"","")</f>
        <v/>
      </c>
      <c r="H184" s="21" t="str">
        <f aca="false">IFERROR(INDEX(종합!H$3:H$501,MATCH(ROW()-2,종합!$AB$3:$AB$501,0))&amp;"","")</f>
        <v/>
      </c>
      <c r="I184" s="21" t="str">
        <f aca="false">IFERROR(INDEX(종합!I$3:I$501,MATCH(ROW()-2,종합!$AB$3:$AB$501,0))&amp;"","")</f>
        <v/>
      </c>
      <c r="J184" s="21" t="str">
        <f aca="false">IFERROR(INDEX(종합!J$3:J$501,MATCH(ROW()-2,종합!$AB$3:$AB$501,0))&amp;"","")</f>
        <v/>
      </c>
      <c r="K184" s="21" t="str">
        <f aca="false">IFERROR(INDEX(종합!K$3:K$501,MATCH(ROW()-2,종합!$AB$3:$AB$501,0))&amp;"","")</f>
        <v/>
      </c>
      <c r="L184" s="21" t="str">
        <f aca="false">IFERROR(INDEX(종합!L$3:L$501,MATCH(ROW()-2,종합!$AB$3:$AB$501,0))&amp;"","")</f>
        <v/>
      </c>
      <c r="M184" s="21" t="str">
        <f aca="false">IFERROR(INDEX(종합!M$3:M$501,MATCH(ROW()-2,종합!$AB$3:$AB$501,0))&amp;"","")</f>
        <v/>
      </c>
      <c r="N184" s="25" t="str">
        <f aca="false">IFERROR(INDEX(종합!N$3:N$501,MATCH(ROW()-2,종합!$AB$3:$AB$501,0))&amp;"","")</f>
        <v/>
      </c>
      <c r="O184" s="21" t="str">
        <f aca="false">IFERROR(INDEX(종합!O$3:O$501,MATCH(ROW()-2,종합!$AB$3:$AB$501,0))&amp;"","")</f>
        <v/>
      </c>
      <c r="P184" s="21" t="str">
        <f aca="false">IFERROR(INDEX(종합!P$3:P$501,MATCH(ROW()-2,종합!$AB$3:$AB$501,0))&amp;"","")</f>
        <v/>
      </c>
      <c r="Q184" s="21" t="str">
        <f aca="false">IFERROR(INDEX(종합!Q$3:Q$501,MATCH(ROW()-2,종합!$AB$3:$AB$501,0))&amp;"","")</f>
        <v/>
      </c>
      <c r="R184" s="21" t="str">
        <f aca="false">IFERROR(INDEX(종합!R$3:R$501,MATCH(ROW()-2,종합!$AB$3:$AB$501,0))&amp;"","")</f>
        <v/>
      </c>
      <c r="S184" s="21" t="str">
        <f aca="false">IFERROR(INDEX(종합!S$3:S$501,MATCH(ROW()-2,종합!$AB$3:$AB$501,0))&amp;"","")</f>
        <v/>
      </c>
      <c r="T184" s="21" t="str">
        <f aca="false">IFERROR(INDEX(종합!T$3:T$501,MATCH(ROW()-2,종합!$AB$3:$AB$501,0))&amp;"","")</f>
        <v/>
      </c>
      <c r="U184" s="21" t="str">
        <f aca="false">IFERROR(INDEX(종합!U$3:U$501,MATCH(ROW()-2,종합!$AB$3:$AB$501,0))&amp;"","")</f>
        <v/>
      </c>
      <c r="V184" s="21" t="str">
        <f aca="false">IFERROR(INDEX(종합!V$3:V$501,MATCH(ROW()-2,종합!$AB$3:$AB$501,0))&amp;"","")</f>
        <v/>
      </c>
      <c r="W184" s="21" t="str">
        <f aca="false">IFERROR(INDEX(종합!W$3:W$501,MATCH(ROW()-2,종합!$AB$3:$AB$501,0))&amp;"","")</f>
        <v/>
      </c>
      <c r="X184" s="21" t="str">
        <f aca="false">IFERROR(INDEX(종합!X$3:X$501,MATCH(ROW()-2,종합!$AB$3:$AB$501,0))&amp;"","")</f>
        <v/>
      </c>
      <c r="Y184" s="21" t="str">
        <f aca="false">IFERROR(INDEX(종합!Y$3:Y$501,MATCH(ROW()-2,종합!$AB$3:$AB$501,0))&amp;"","")</f>
        <v/>
      </c>
      <c r="Z184" s="21" t="str">
        <f aca="false">IFERROR(INDEX(종합!Z$3:Z$501,MATCH(ROW()-2,종합!$AB$3:$AB$501,0))&amp;"","")</f>
        <v/>
      </c>
    </row>
    <row r="185" customFormat="false" ht="16.5" hidden="false" customHeight="true" outlineLevel="0" collapsed="false">
      <c r="A185" s="18" t="str">
        <f aca="false">IF(B185="","",ROW()-2)</f>
        <v/>
      </c>
      <c r="B185" s="18" t="str">
        <f aca="false">IFERROR(INDEX(종합!B$3:B$501,MATCH(ROW()-2,종합!$AB$3:$AB$501,0))&amp;"","")</f>
        <v/>
      </c>
      <c r="C185" s="18" t="str">
        <f aca="false">IFERROR(INDEX(종합!C$3:C$501,MATCH(ROW()-2,종합!$AB$3:$AB$501,0))&amp;"","")</f>
        <v/>
      </c>
      <c r="D185" s="18" t="str">
        <f aca="false">IFERROR(INDEX(종합!D$3:D$501,MATCH(ROW()-2,종합!$AB$3:$AB$501,0))&amp;"","")</f>
        <v/>
      </c>
      <c r="E185" s="18" t="str">
        <f aca="false">IFERROR(INDEX(종합!E$3:E$501,MATCH(ROW()-2,종합!$AB$3:$AB$501,0))&amp;"","")</f>
        <v/>
      </c>
      <c r="F185" s="18" t="str">
        <f aca="false">IFERROR(INDEX(종합!F$3:F$501,MATCH(ROW()-2,종합!$AB$3:$AB$501,0))&amp;"","")</f>
        <v/>
      </c>
      <c r="G185" s="18" t="str">
        <f aca="false">IFERROR(INDEX(종합!G$3:G$501,MATCH(ROW()-2,종합!$AB$3:$AB$501,0))&amp;"","")</f>
        <v/>
      </c>
      <c r="H185" s="21" t="str">
        <f aca="false">IFERROR(INDEX(종합!H$3:H$501,MATCH(ROW()-2,종합!$AB$3:$AB$501,0))&amp;"","")</f>
        <v/>
      </c>
      <c r="I185" s="21" t="str">
        <f aca="false">IFERROR(INDEX(종합!I$3:I$501,MATCH(ROW()-2,종합!$AB$3:$AB$501,0))&amp;"","")</f>
        <v/>
      </c>
      <c r="J185" s="21" t="str">
        <f aca="false">IFERROR(INDEX(종합!J$3:J$501,MATCH(ROW()-2,종합!$AB$3:$AB$501,0))&amp;"","")</f>
        <v/>
      </c>
      <c r="K185" s="21" t="str">
        <f aca="false">IFERROR(INDEX(종합!K$3:K$501,MATCH(ROW()-2,종합!$AB$3:$AB$501,0))&amp;"","")</f>
        <v/>
      </c>
      <c r="L185" s="21" t="str">
        <f aca="false">IFERROR(INDEX(종합!L$3:L$501,MATCH(ROW()-2,종합!$AB$3:$AB$501,0))&amp;"","")</f>
        <v/>
      </c>
      <c r="M185" s="21" t="str">
        <f aca="false">IFERROR(INDEX(종합!M$3:M$501,MATCH(ROW()-2,종합!$AB$3:$AB$501,0))&amp;"","")</f>
        <v/>
      </c>
      <c r="N185" s="25" t="str">
        <f aca="false">IFERROR(INDEX(종합!N$3:N$501,MATCH(ROW()-2,종합!$AB$3:$AB$501,0))&amp;"","")</f>
        <v/>
      </c>
      <c r="O185" s="21" t="str">
        <f aca="false">IFERROR(INDEX(종합!O$3:O$501,MATCH(ROW()-2,종합!$AB$3:$AB$501,0))&amp;"","")</f>
        <v/>
      </c>
      <c r="P185" s="21" t="str">
        <f aca="false">IFERROR(INDEX(종합!P$3:P$501,MATCH(ROW()-2,종합!$AB$3:$AB$501,0))&amp;"","")</f>
        <v/>
      </c>
      <c r="Q185" s="21" t="str">
        <f aca="false">IFERROR(INDEX(종합!Q$3:Q$501,MATCH(ROW()-2,종합!$AB$3:$AB$501,0))&amp;"","")</f>
        <v/>
      </c>
      <c r="R185" s="21" t="str">
        <f aca="false">IFERROR(INDEX(종합!R$3:R$501,MATCH(ROW()-2,종합!$AB$3:$AB$501,0))&amp;"","")</f>
        <v/>
      </c>
      <c r="S185" s="21" t="str">
        <f aca="false">IFERROR(INDEX(종합!S$3:S$501,MATCH(ROW()-2,종합!$AB$3:$AB$501,0))&amp;"","")</f>
        <v/>
      </c>
      <c r="T185" s="21" t="str">
        <f aca="false">IFERROR(INDEX(종합!T$3:T$501,MATCH(ROW()-2,종합!$AB$3:$AB$501,0))&amp;"","")</f>
        <v/>
      </c>
      <c r="U185" s="21" t="str">
        <f aca="false">IFERROR(INDEX(종합!U$3:U$501,MATCH(ROW()-2,종합!$AB$3:$AB$501,0))&amp;"","")</f>
        <v/>
      </c>
      <c r="V185" s="21" t="str">
        <f aca="false">IFERROR(INDEX(종합!V$3:V$501,MATCH(ROW()-2,종합!$AB$3:$AB$501,0))&amp;"","")</f>
        <v/>
      </c>
      <c r="W185" s="21" t="str">
        <f aca="false">IFERROR(INDEX(종합!W$3:W$501,MATCH(ROW()-2,종합!$AB$3:$AB$501,0))&amp;"","")</f>
        <v/>
      </c>
      <c r="X185" s="21" t="str">
        <f aca="false">IFERROR(INDEX(종합!X$3:X$501,MATCH(ROW()-2,종합!$AB$3:$AB$501,0))&amp;"","")</f>
        <v/>
      </c>
      <c r="Y185" s="21" t="str">
        <f aca="false">IFERROR(INDEX(종합!Y$3:Y$501,MATCH(ROW()-2,종합!$AB$3:$AB$501,0))&amp;"","")</f>
        <v/>
      </c>
      <c r="Z185" s="21" t="str">
        <f aca="false">IFERROR(INDEX(종합!Z$3:Z$501,MATCH(ROW()-2,종합!$AB$3:$AB$501,0))&amp;"","")</f>
        <v/>
      </c>
    </row>
    <row r="186" customFormat="false" ht="16.5" hidden="false" customHeight="true" outlineLevel="0" collapsed="false">
      <c r="A186" s="18" t="str">
        <f aca="false">IF(B186="","",ROW()-2)</f>
        <v/>
      </c>
      <c r="B186" s="18" t="str">
        <f aca="false">IFERROR(INDEX(종합!B$3:B$501,MATCH(ROW()-2,종합!$AB$3:$AB$501,0))&amp;"","")</f>
        <v/>
      </c>
      <c r="C186" s="18" t="str">
        <f aca="false">IFERROR(INDEX(종합!C$3:C$501,MATCH(ROW()-2,종합!$AB$3:$AB$501,0))&amp;"","")</f>
        <v/>
      </c>
      <c r="D186" s="18" t="str">
        <f aca="false">IFERROR(INDEX(종합!D$3:D$501,MATCH(ROW()-2,종합!$AB$3:$AB$501,0))&amp;"","")</f>
        <v/>
      </c>
      <c r="E186" s="18" t="str">
        <f aca="false">IFERROR(INDEX(종합!E$3:E$501,MATCH(ROW()-2,종합!$AB$3:$AB$501,0))&amp;"","")</f>
        <v/>
      </c>
      <c r="F186" s="18" t="str">
        <f aca="false">IFERROR(INDEX(종합!F$3:F$501,MATCH(ROW()-2,종합!$AB$3:$AB$501,0))&amp;"","")</f>
        <v/>
      </c>
      <c r="G186" s="18" t="str">
        <f aca="false">IFERROR(INDEX(종합!G$3:G$501,MATCH(ROW()-2,종합!$AB$3:$AB$501,0))&amp;"","")</f>
        <v/>
      </c>
      <c r="H186" s="21" t="str">
        <f aca="false">IFERROR(INDEX(종합!H$3:H$501,MATCH(ROW()-2,종합!$AB$3:$AB$501,0))&amp;"","")</f>
        <v/>
      </c>
      <c r="I186" s="21" t="str">
        <f aca="false">IFERROR(INDEX(종합!I$3:I$501,MATCH(ROW()-2,종합!$AB$3:$AB$501,0))&amp;"","")</f>
        <v/>
      </c>
      <c r="J186" s="21" t="str">
        <f aca="false">IFERROR(INDEX(종합!J$3:J$501,MATCH(ROW()-2,종합!$AB$3:$AB$501,0))&amp;"","")</f>
        <v/>
      </c>
      <c r="K186" s="21" t="str">
        <f aca="false">IFERROR(INDEX(종합!K$3:K$501,MATCH(ROW()-2,종합!$AB$3:$AB$501,0))&amp;"","")</f>
        <v/>
      </c>
      <c r="L186" s="21" t="str">
        <f aca="false">IFERROR(INDEX(종합!L$3:L$501,MATCH(ROW()-2,종합!$AB$3:$AB$501,0))&amp;"","")</f>
        <v/>
      </c>
      <c r="M186" s="21" t="str">
        <f aca="false">IFERROR(INDEX(종합!M$3:M$501,MATCH(ROW()-2,종합!$AB$3:$AB$501,0))&amp;"","")</f>
        <v/>
      </c>
      <c r="N186" s="25" t="str">
        <f aca="false">IFERROR(INDEX(종합!N$3:N$501,MATCH(ROW()-2,종합!$AB$3:$AB$501,0))&amp;"","")</f>
        <v/>
      </c>
      <c r="O186" s="21" t="str">
        <f aca="false">IFERROR(INDEX(종합!O$3:O$501,MATCH(ROW()-2,종합!$AB$3:$AB$501,0))&amp;"","")</f>
        <v/>
      </c>
      <c r="P186" s="21" t="str">
        <f aca="false">IFERROR(INDEX(종합!P$3:P$501,MATCH(ROW()-2,종합!$AB$3:$AB$501,0))&amp;"","")</f>
        <v/>
      </c>
      <c r="Q186" s="21" t="str">
        <f aca="false">IFERROR(INDEX(종합!Q$3:Q$501,MATCH(ROW()-2,종합!$AB$3:$AB$501,0))&amp;"","")</f>
        <v/>
      </c>
      <c r="R186" s="21" t="str">
        <f aca="false">IFERROR(INDEX(종합!R$3:R$501,MATCH(ROW()-2,종합!$AB$3:$AB$501,0))&amp;"","")</f>
        <v/>
      </c>
      <c r="S186" s="21" t="str">
        <f aca="false">IFERROR(INDEX(종합!S$3:S$501,MATCH(ROW()-2,종합!$AB$3:$AB$501,0))&amp;"","")</f>
        <v/>
      </c>
      <c r="T186" s="21" t="str">
        <f aca="false">IFERROR(INDEX(종합!T$3:T$501,MATCH(ROW()-2,종합!$AB$3:$AB$501,0))&amp;"","")</f>
        <v/>
      </c>
      <c r="U186" s="21" t="str">
        <f aca="false">IFERROR(INDEX(종합!U$3:U$501,MATCH(ROW()-2,종합!$AB$3:$AB$501,0))&amp;"","")</f>
        <v/>
      </c>
      <c r="V186" s="21" t="str">
        <f aca="false">IFERROR(INDEX(종합!V$3:V$501,MATCH(ROW()-2,종합!$AB$3:$AB$501,0))&amp;"","")</f>
        <v/>
      </c>
      <c r="W186" s="21" t="str">
        <f aca="false">IFERROR(INDEX(종합!W$3:W$501,MATCH(ROW()-2,종합!$AB$3:$AB$501,0))&amp;"","")</f>
        <v/>
      </c>
      <c r="X186" s="21" t="str">
        <f aca="false">IFERROR(INDEX(종합!X$3:X$501,MATCH(ROW()-2,종합!$AB$3:$AB$501,0))&amp;"","")</f>
        <v/>
      </c>
      <c r="Y186" s="21" t="str">
        <f aca="false">IFERROR(INDEX(종합!Y$3:Y$501,MATCH(ROW()-2,종합!$AB$3:$AB$501,0))&amp;"","")</f>
        <v/>
      </c>
      <c r="Z186" s="21" t="str">
        <f aca="false">IFERROR(INDEX(종합!Z$3:Z$501,MATCH(ROW()-2,종합!$AB$3:$AB$501,0))&amp;"","")</f>
        <v/>
      </c>
    </row>
    <row r="187" customFormat="false" ht="16.5" hidden="false" customHeight="true" outlineLevel="0" collapsed="false">
      <c r="A187" s="18" t="str">
        <f aca="false">IF(B187="","",ROW()-2)</f>
        <v/>
      </c>
      <c r="B187" s="18" t="str">
        <f aca="false">IFERROR(INDEX(종합!B$3:B$501,MATCH(ROW()-2,종합!$AB$3:$AB$501,0))&amp;"","")</f>
        <v/>
      </c>
      <c r="C187" s="18" t="str">
        <f aca="false">IFERROR(INDEX(종합!C$3:C$501,MATCH(ROW()-2,종합!$AB$3:$AB$501,0))&amp;"","")</f>
        <v/>
      </c>
      <c r="D187" s="18" t="str">
        <f aca="false">IFERROR(INDEX(종합!D$3:D$501,MATCH(ROW()-2,종합!$AB$3:$AB$501,0))&amp;"","")</f>
        <v/>
      </c>
      <c r="E187" s="18" t="str">
        <f aca="false">IFERROR(INDEX(종합!E$3:E$501,MATCH(ROW()-2,종합!$AB$3:$AB$501,0))&amp;"","")</f>
        <v/>
      </c>
      <c r="F187" s="18" t="str">
        <f aca="false">IFERROR(INDEX(종합!F$3:F$501,MATCH(ROW()-2,종합!$AB$3:$AB$501,0))&amp;"","")</f>
        <v/>
      </c>
      <c r="G187" s="18" t="str">
        <f aca="false">IFERROR(INDEX(종합!G$3:G$501,MATCH(ROW()-2,종합!$AB$3:$AB$501,0))&amp;"","")</f>
        <v/>
      </c>
      <c r="H187" s="21" t="str">
        <f aca="false">IFERROR(INDEX(종합!H$3:H$501,MATCH(ROW()-2,종합!$AB$3:$AB$501,0))&amp;"","")</f>
        <v/>
      </c>
      <c r="I187" s="21" t="str">
        <f aca="false">IFERROR(INDEX(종합!I$3:I$501,MATCH(ROW()-2,종합!$AB$3:$AB$501,0))&amp;"","")</f>
        <v/>
      </c>
      <c r="J187" s="21" t="str">
        <f aca="false">IFERROR(INDEX(종합!J$3:J$501,MATCH(ROW()-2,종합!$AB$3:$AB$501,0))&amp;"","")</f>
        <v/>
      </c>
      <c r="K187" s="21" t="str">
        <f aca="false">IFERROR(INDEX(종합!K$3:K$501,MATCH(ROW()-2,종합!$AB$3:$AB$501,0))&amp;"","")</f>
        <v/>
      </c>
      <c r="L187" s="21" t="str">
        <f aca="false">IFERROR(INDEX(종합!L$3:L$501,MATCH(ROW()-2,종합!$AB$3:$AB$501,0))&amp;"","")</f>
        <v/>
      </c>
      <c r="M187" s="21" t="str">
        <f aca="false">IFERROR(INDEX(종합!M$3:M$501,MATCH(ROW()-2,종합!$AB$3:$AB$501,0))&amp;"","")</f>
        <v/>
      </c>
      <c r="N187" s="25" t="str">
        <f aca="false">IFERROR(INDEX(종합!N$3:N$501,MATCH(ROW()-2,종합!$AB$3:$AB$501,0))&amp;"","")</f>
        <v/>
      </c>
      <c r="O187" s="21" t="str">
        <f aca="false">IFERROR(INDEX(종합!O$3:O$501,MATCH(ROW()-2,종합!$AB$3:$AB$501,0))&amp;"","")</f>
        <v/>
      </c>
      <c r="P187" s="21" t="str">
        <f aca="false">IFERROR(INDEX(종합!P$3:P$501,MATCH(ROW()-2,종합!$AB$3:$AB$501,0))&amp;"","")</f>
        <v/>
      </c>
      <c r="Q187" s="21" t="str">
        <f aca="false">IFERROR(INDEX(종합!Q$3:Q$501,MATCH(ROW()-2,종합!$AB$3:$AB$501,0))&amp;"","")</f>
        <v/>
      </c>
      <c r="R187" s="21" t="str">
        <f aca="false">IFERROR(INDEX(종합!R$3:R$501,MATCH(ROW()-2,종합!$AB$3:$AB$501,0))&amp;"","")</f>
        <v/>
      </c>
      <c r="S187" s="21" t="str">
        <f aca="false">IFERROR(INDEX(종합!S$3:S$501,MATCH(ROW()-2,종합!$AB$3:$AB$501,0))&amp;"","")</f>
        <v/>
      </c>
      <c r="T187" s="21" t="str">
        <f aca="false">IFERROR(INDEX(종합!T$3:T$501,MATCH(ROW()-2,종합!$AB$3:$AB$501,0))&amp;"","")</f>
        <v/>
      </c>
      <c r="U187" s="21" t="str">
        <f aca="false">IFERROR(INDEX(종합!U$3:U$501,MATCH(ROW()-2,종합!$AB$3:$AB$501,0))&amp;"","")</f>
        <v/>
      </c>
      <c r="V187" s="21" t="str">
        <f aca="false">IFERROR(INDEX(종합!V$3:V$501,MATCH(ROW()-2,종합!$AB$3:$AB$501,0))&amp;"","")</f>
        <v/>
      </c>
      <c r="W187" s="21" t="str">
        <f aca="false">IFERROR(INDEX(종합!W$3:W$501,MATCH(ROW()-2,종합!$AB$3:$AB$501,0))&amp;"","")</f>
        <v/>
      </c>
      <c r="X187" s="21" t="str">
        <f aca="false">IFERROR(INDEX(종합!X$3:X$501,MATCH(ROW()-2,종합!$AB$3:$AB$501,0))&amp;"","")</f>
        <v/>
      </c>
      <c r="Y187" s="21" t="str">
        <f aca="false">IFERROR(INDEX(종합!Y$3:Y$501,MATCH(ROW()-2,종합!$AB$3:$AB$501,0))&amp;"","")</f>
        <v/>
      </c>
      <c r="Z187" s="21" t="str">
        <f aca="false">IFERROR(INDEX(종합!Z$3:Z$501,MATCH(ROW()-2,종합!$AB$3:$AB$501,0))&amp;"","")</f>
        <v/>
      </c>
    </row>
    <row r="188" customFormat="false" ht="16.5" hidden="false" customHeight="true" outlineLevel="0" collapsed="false">
      <c r="A188" s="18" t="str">
        <f aca="false">IF(B188="","",ROW()-2)</f>
        <v/>
      </c>
      <c r="B188" s="18" t="str">
        <f aca="false">IFERROR(INDEX(종합!B$3:B$501,MATCH(ROW()-2,종합!$AB$3:$AB$501,0))&amp;"","")</f>
        <v/>
      </c>
      <c r="C188" s="18" t="str">
        <f aca="false">IFERROR(INDEX(종합!C$3:C$501,MATCH(ROW()-2,종합!$AB$3:$AB$501,0))&amp;"","")</f>
        <v/>
      </c>
      <c r="D188" s="18" t="str">
        <f aca="false">IFERROR(INDEX(종합!D$3:D$501,MATCH(ROW()-2,종합!$AB$3:$AB$501,0))&amp;"","")</f>
        <v/>
      </c>
      <c r="E188" s="18" t="str">
        <f aca="false">IFERROR(INDEX(종합!E$3:E$501,MATCH(ROW()-2,종합!$AB$3:$AB$501,0))&amp;"","")</f>
        <v/>
      </c>
      <c r="F188" s="18" t="str">
        <f aca="false">IFERROR(INDEX(종합!F$3:F$501,MATCH(ROW()-2,종합!$AB$3:$AB$501,0))&amp;"","")</f>
        <v/>
      </c>
      <c r="G188" s="18" t="str">
        <f aca="false">IFERROR(INDEX(종합!G$3:G$501,MATCH(ROW()-2,종합!$AB$3:$AB$501,0))&amp;"","")</f>
        <v/>
      </c>
      <c r="H188" s="21" t="str">
        <f aca="false">IFERROR(INDEX(종합!H$3:H$501,MATCH(ROW()-2,종합!$AB$3:$AB$501,0))&amp;"","")</f>
        <v/>
      </c>
      <c r="I188" s="21" t="str">
        <f aca="false">IFERROR(INDEX(종합!I$3:I$501,MATCH(ROW()-2,종합!$AB$3:$AB$501,0))&amp;"","")</f>
        <v/>
      </c>
      <c r="J188" s="21" t="str">
        <f aca="false">IFERROR(INDEX(종합!J$3:J$501,MATCH(ROW()-2,종합!$AB$3:$AB$501,0))&amp;"","")</f>
        <v/>
      </c>
      <c r="K188" s="21" t="str">
        <f aca="false">IFERROR(INDEX(종합!K$3:K$501,MATCH(ROW()-2,종합!$AB$3:$AB$501,0))&amp;"","")</f>
        <v/>
      </c>
      <c r="L188" s="21" t="str">
        <f aca="false">IFERROR(INDEX(종합!L$3:L$501,MATCH(ROW()-2,종합!$AB$3:$AB$501,0))&amp;"","")</f>
        <v/>
      </c>
      <c r="M188" s="21" t="str">
        <f aca="false">IFERROR(INDEX(종합!M$3:M$501,MATCH(ROW()-2,종합!$AB$3:$AB$501,0))&amp;"","")</f>
        <v/>
      </c>
      <c r="N188" s="25" t="str">
        <f aca="false">IFERROR(INDEX(종합!N$3:N$501,MATCH(ROW()-2,종합!$AB$3:$AB$501,0))&amp;"","")</f>
        <v/>
      </c>
      <c r="O188" s="21" t="str">
        <f aca="false">IFERROR(INDEX(종합!O$3:O$501,MATCH(ROW()-2,종합!$AB$3:$AB$501,0))&amp;"","")</f>
        <v/>
      </c>
      <c r="P188" s="21" t="str">
        <f aca="false">IFERROR(INDEX(종합!P$3:P$501,MATCH(ROW()-2,종합!$AB$3:$AB$501,0))&amp;"","")</f>
        <v/>
      </c>
      <c r="Q188" s="21" t="str">
        <f aca="false">IFERROR(INDEX(종합!Q$3:Q$501,MATCH(ROW()-2,종합!$AB$3:$AB$501,0))&amp;"","")</f>
        <v/>
      </c>
      <c r="R188" s="21" t="str">
        <f aca="false">IFERROR(INDEX(종합!R$3:R$501,MATCH(ROW()-2,종합!$AB$3:$AB$501,0))&amp;"","")</f>
        <v/>
      </c>
      <c r="S188" s="21" t="str">
        <f aca="false">IFERROR(INDEX(종합!S$3:S$501,MATCH(ROW()-2,종합!$AB$3:$AB$501,0))&amp;"","")</f>
        <v/>
      </c>
      <c r="T188" s="21" t="str">
        <f aca="false">IFERROR(INDEX(종합!T$3:T$501,MATCH(ROW()-2,종합!$AB$3:$AB$501,0))&amp;"","")</f>
        <v/>
      </c>
      <c r="U188" s="21" t="str">
        <f aca="false">IFERROR(INDEX(종합!U$3:U$501,MATCH(ROW()-2,종합!$AB$3:$AB$501,0))&amp;"","")</f>
        <v/>
      </c>
      <c r="V188" s="21" t="str">
        <f aca="false">IFERROR(INDEX(종합!V$3:V$501,MATCH(ROW()-2,종합!$AB$3:$AB$501,0))&amp;"","")</f>
        <v/>
      </c>
      <c r="W188" s="21" t="str">
        <f aca="false">IFERROR(INDEX(종합!W$3:W$501,MATCH(ROW()-2,종합!$AB$3:$AB$501,0))&amp;"","")</f>
        <v/>
      </c>
      <c r="X188" s="21" t="str">
        <f aca="false">IFERROR(INDEX(종합!X$3:X$501,MATCH(ROW()-2,종합!$AB$3:$AB$501,0))&amp;"","")</f>
        <v/>
      </c>
      <c r="Y188" s="21" t="str">
        <f aca="false">IFERROR(INDEX(종합!Y$3:Y$501,MATCH(ROW()-2,종합!$AB$3:$AB$501,0))&amp;"","")</f>
        <v/>
      </c>
      <c r="Z188" s="21" t="str">
        <f aca="false">IFERROR(INDEX(종합!Z$3:Z$501,MATCH(ROW()-2,종합!$AB$3:$AB$501,0))&amp;"","")</f>
        <v/>
      </c>
    </row>
    <row r="189" customFormat="false" ht="16.5" hidden="false" customHeight="true" outlineLevel="0" collapsed="false">
      <c r="A189" s="18" t="str">
        <f aca="false">IF(B189="","",ROW()-2)</f>
        <v/>
      </c>
      <c r="B189" s="18" t="str">
        <f aca="false">IFERROR(INDEX(종합!B$3:B$501,MATCH(ROW()-2,종합!$AB$3:$AB$501,0))&amp;"","")</f>
        <v/>
      </c>
      <c r="C189" s="18" t="str">
        <f aca="false">IFERROR(INDEX(종합!C$3:C$501,MATCH(ROW()-2,종합!$AB$3:$AB$501,0))&amp;"","")</f>
        <v/>
      </c>
      <c r="D189" s="18" t="str">
        <f aca="false">IFERROR(INDEX(종합!D$3:D$501,MATCH(ROW()-2,종합!$AB$3:$AB$501,0))&amp;"","")</f>
        <v/>
      </c>
      <c r="E189" s="18" t="str">
        <f aca="false">IFERROR(INDEX(종합!E$3:E$501,MATCH(ROW()-2,종합!$AB$3:$AB$501,0))&amp;"","")</f>
        <v/>
      </c>
      <c r="F189" s="18" t="str">
        <f aca="false">IFERROR(INDEX(종합!F$3:F$501,MATCH(ROW()-2,종합!$AB$3:$AB$501,0))&amp;"","")</f>
        <v/>
      </c>
      <c r="G189" s="18" t="str">
        <f aca="false">IFERROR(INDEX(종합!G$3:G$501,MATCH(ROW()-2,종합!$AB$3:$AB$501,0))&amp;"","")</f>
        <v/>
      </c>
      <c r="H189" s="21" t="str">
        <f aca="false">IFERROR(INDEX(종합!H$3:H$501,MATCH(ROW()-2,종합!$AB$3:$AB$501,0))&amp;"","")</f>
        <v/>
      </c>
      <c r="I189" s="21" t="str">
        <f aca="false">IFERROR(INDEX(종합!I$3:I$501,MATCH(ROW()-2,종합!$AB$3:$AB$501,0))&amp;"","")</f>
        <v/>
      </c>
      <c r="J189" s="21" t="str">
        <f aca="false">IFERROR(INDEX(종합!J$3:J$501,MATCH(ROW()-2,종합!$AB$3:$AB$501,0))&amp;"","")</f>
        <v/>
      </c>
      <c r="K189" s="21" t="str">
        <f aca="false">IFERROR(INDEX(종합!K$3:K$501,MATCH(ROW()-2,종합!$AB$3:$AB$501,0))&amp;"","")</f>
        <v/>
      </c>
      <c r="L189" s="21" t="str">
        <f aca="false">IFERROR(INDEX(종합!L$3:L$501,MATCH(ROW()-2,종합!$AB$3:$AB$501,0))&amp;"","")</f>
        <v/>
      </c>
      <c r="M189" s="21" t="str">
        <f aca="false">IFERROR(INDEX(종합!M$3:M$501,MATCH(ROW()-2,종합!$AB$3:$AB$501,0))&amp;"","")</f>
        <v/>
      </c>
      <c r="N189" s="25" t="str">
        <f aca="false">IFERROR(INDEX(종합!N$3:N$501,MATCH(ROW()-2,종합!$AB$3:$AB$501,0))&amp;"","")</f>
        <v/>
      </c>
      <c r="O189" s="21" t="str">
        <f aca="false">IFERROR(INDEX(종합!O$3:O$501,MATCH(ROW()-2,종합!$AB$3:$AB$501,0))&amp;"","")</f>
        <v/>
      </c>
      <c r="P189" s="21" t="str">
        <f aca="false">IFERROR(INDEX(종합!P$3:P$501,MATCH(ROW()-2,종합!$AB$3:$AB$501,0))&amp;"","")</f>
        <v/>
      </c>
      <c r="Q189" s="21" t="str">
        <f aca="false">IFERROR(INDEX(종합!Q$3:Q$501,MATCH(ROW()-2,종합!$AB$3:$AB$501,0))&amp;"","")</f>
        <v/>
      </c>
      <c r="R189" s="21" t="str">
        <f aca="false">IFERROR(INDEX(종합!R$3:R$501,MATCH(ROW()-2,종합!$AB$3:$AB$501,0))&amp;"","")</f>
        <v/>
      </c>
      <c r="S189" s="21" t="str">
        <f aca="false">IFERROR(INDEX(종합!S$3:S$501,MATCH(ROW()-2,종합!$AB$3:$AB$501,0))&amp;"","")</f>
        <v/>
      </c>
      <c r="T189" s="21" t="str">
        <f aca="false">IFERROR(INDEX(종합!T$3:T$501,MATCH(ROW()-2,종합!$AB$3:$AB$501,0))&amp;"","")</f>
        <v/>
      </c>
      <c r="U189" s="21" t="str">
        <f aca="false">IFERROR(INDEX(종합!U$3:U$501,MATCH(ROW()-2,종합!$AB$3:$AB$501,0))&amp;"","")</f>
        <v/>
      </c>
      <c r="V189" s="21" t="str">
        <f aca="false">IFERROR(INDEX(종합!V$3:V$501,MATCH(ROW()-2,종합!$AB$3:$AB$501,0))&amp;"","")</f>
        <v/>
      </c>
      <c r="W189" s="21" t="str">
        <f aca="false">IFERROR(INDEX(종합!W$3:W$501,MATCH(ROW()-2,종합!$AB$3:$AB$501,0))&amp;"","")</f>
        <v/>
      </c>
      <c r="X189" s="21" t="str">
        <f aca="false">IFERROR(INDEX(종합!X$3:X$501,MATCH(ROW()-2,종합!$AB$3:$AB$501,0))&amp;"","")</f>
        <v/>
      </c>
      <c r="Y189" s="21" t="str">
        <f aca="false">IFERROR(INDEX(종합!Y$3:Y$501,MATCH(ROW()-2,종합!$AB$3:$AB$501,0))&amp;"","")</f>
        <v/>
      </c>
      <c r="Z189" s="21" t="str">
        <f aca="false">IFERROR(INDEX(종합!Z$3:Z$501,MATCH(ROW()-2,종합!$AB$3:$AB$501,0))&amp;"","")</f>
        <v/>
      </c>
    </row>
    <row r="190" customFormat="false" ht="16.5" hidden="false" customHeight="true" outlineLevel="0" collapsed="false">
      <c r="A190" s="18" t="str">
        <f aca="false">IF(B190="","",ROW()-2)</f>
        <v/>
      </c>
      <c r="B190" s="18" t="str">
        <f aca="false">IFERROR(INDEX(종합!B$3:B$501,MATCH(ROW()-2,종합!$AB$3:$AB$501,0))&amp;"","")</f>
        <v/>
      </c>
      <c r="C190" s="18" t="str">
        <f aca="false">IFERROR(INDEX(종합!C$3:C$501,MATCH(ROW()-2,종합!$AB$3:$AB$501,0))&amp;"","")</f>
        <v/>
      </c>
      <c r="D190" s="18" t="str">
        <f aca="false">IFERROR(INDEX(종합!D$3:D$501,MATCH(ROW()-2,종합!$AB$3:$AB$501,0))&amp;"","")</f>
        <v/>
      </c>
      <c r="E190" s="18" t="str">
        <f aca="false">IFERROR(INDEX(종합!E$3:E$501,MATCH(ROW()-2,종합!$AB$3:$AB$501,0))&amp;"","")</f>
        <v/>
      </c>
      <c r="F190" s="18" t="str">
        <f aca="false">IFERROR(INDEX(종합!F$3:F$501,MATCH(ROW()-2,종합!$AB$3:$AB$501,0))&amp;"","")</f>
        <v/>
      </c>
      <c r="G190" s="18" t="str">
        <f aca="false">IFERROR(INDEX(종합!G$3:G$501,MATCH(ROW()-2,종합!$AB$3:$AB$501,0))&amp;"","")</f>
        <v/>
      </c>
      <c r="H190" s="21" t="str">
        <f aca="false">IFERROR(INDEX(종합!H$3:H$501,MATCH(ROW()-2,종합!$AB$3:$AB$501,0))&amp;"","")</f>
        <v/>
      </c>
      <c r="I190" s="21" t="str">
        <f aca="false">IFERROR(INDEX(종합!I$3:I$501,MATCH(ROW()-2,종합!$AB$3:$AB$501,0))&amp;"","")</f>
        <v/>
      </c>
      <c r="J190" s="21" t="str">
        <f aca="false">IFERROR(INDEX(종합!J$3:J$501,MATCH(ROW()-2,종합!$AB$3:$AB$501,0))&amp;"","")</f>
        <v/>
      </c>
      <c r="K190" s="21" t="str">
        <f aca="false">IFERROR(INDEX(종합!K$3:K$501,MATCH(ROW()-2,종합!$AB$3:$AB$501,0))&amp;"","")</f>
        <v/>
      </c>
      <c r="L190" s="21" t="str">
        <f aca="false">IFERROR(INDEX(종합!L$3:L$501,MATCH(ROW()-2,종합!$AB$3:$AB$501,0))&amp;"","")</f>
        <v/>
      </c>
      <c r="M190" s="21" t="str">
        <f aca="false">IFERROR(INDEX(종합!M$3:M$501,MATCH(ROW()-2,종합!$AB$3:$AB$501,0))&amp;"","")</f>
        <v/>
      </c>
      <c r="N190" s="25" t="str">
        <f aca="false">IFERROR(INDEX(종합!N$3:N$501,MATCH(ROW()-2,종합!$AB$3:$AB$501,0))&amp;"","")</f>
        <v/>
      </c>
      <c r="O190" s="21" t="str">
        <f aca="false">IFERROR(INDEX(종합!O$3:O$501,MATCH(ROW()-2,종합!$AB$3:$AB$501,0))&amp;"","")</f>
        <v/>
      </c>
      <c r="P190" s="21" t="str">
        <f aca="false">IFERROR(INDEX(종합!P$3:P$501,MATCH(ROW()-2,종합!$AB$3:$AB$501,0))&amp;"","")</f>
        <v/>
      </c>
      <c r="Q190" s="21" t="str">
        <f aca="false">IFERROR(INDEX(종합!Q$3:Q$501,MATCH(ROW()-2,종합!$AB$3:$AB$501,0))&amp;"","")</f>
        <v/>
      </c>
      <c r="R190" s="21" t="str">
        <f aca="false">IFERROR(INDEX(종합!R$3:R$501,MATCH(ROW()-2,종합!$AB$3:$AB$501,0))&amp;"","")</f>
        <v/>
      </c>
      <c r="S190" s="21" t="str">
        <f aca="false">IFERROR(INDEX(종합!S$3:S$501,MATCH(ROW()-2,종합!$AB$3:$AB$501,0))&amp;"","")</f>
        <v/>
      </c>
      <c r="T190" s="21" t="str">
        <f aca="false">IFERROR(INDEX(종합!T$3:T$501,MATCH(ROW()-2,종합!$AB$3:$AB$501,0))&amp;"","")</f>
        <v/>
      </c>
      <c r="U190" s="21" t="str">
        <f aca="false">IFERROR(INDEX(종합!U$3:U$501,MATCH(ROW()-2,종합!$AB$3:$AB$501,0))&amp;"","")</f>
        <v/>
      </c>
      <c r="V190" s="21" t="str">
        <f aca="false">IFERROR(INDEX(종합!V$3:V$501,MATCH(ROW()-2,종합!$AB$3:$AB$501,0))&amp;"","")</f>
        <v/>
      </c>
      <c r="W190" s="21" t="str">
        <f aca="false">IFERROR(INDEX(종합!W$3:W$501,MATCH(ROW()-2,종합!$AB$3:$AB$501,0))&amp;"","")</f>
        <v/>
      </c>
      <c r="X190" s="21" t="str">
        <f aca="false">IFERROR(INDEX(종합!X$3:X$501,MATCH(ROW()-2,종합!$AB$3:$AB$501,0))&amp;"","")</f>
        <v/>
      </c>
      <c r="Y190" s="21" t="str">
        <f aca="false">IFERROR(INDEX(종합!Y$3:Y$501,MATCH(ROW()-2,종합!$AB$3:$AB$501,0))&amp;"","")</f>
        <v/>
      </c>
      <c r="Z190" s="21" t="str">
        <f aca="false">IFERROR(INDEX(종합!Z$3:Z$501,MATCH(ROW()-2,종합!$AB$3:$AB$501,0))&amp;"","")</f>
        <v/>
      </c>
    </row>
    <row r="191" customFormat="false" ht="16.5" hidden="false" customHeight="true" outlineLevel="0" collapsed="false">
      <c r="A191" s="18" t="str">
        <f aca="false">IF(B191="","",ROW()-2)</f>
        <v/>
      </c>
      <c r="B191" s="18" t="str">
        <f aca="false">IFERROR(INDEX(종합!B$3:B$501,MATCH(ROW()-2,종합!$AB$3:$AB$501,0))&amp;"","")</f>
        <v/>
      </c>
      <c r="C191" s="18" t="str">
        <f aca="false">IFERROR(INDEX(종합!C$3:C$501,MATCH(ROW()-2,종합!$AB$3:$AB$501,0))&amp;"","")</f>
        <v/>
      </c>
      <c r="D191" s="18" t="str">
        <f aca="false">IFERROR(INDEX(종합!D$3:D$501,MATCH(ROW()-2,종합!$AB$3:$AB$501,0))&amp;"","")</f>
        <v/>
      </c>
      <c r="E191" s="18" t="str">
        <f aca="false">IFERROR(INDEX(종합!E$3:E$501,MATCH(ROW()-2,종합!$AB$3:$AB$501,0))&amp;"","")</f>
        <v/>
      </c>
      <c r="F191" s="18" t="str">
        <f aca="false">IFERROR(INDEX(종합!F$3:F$501,MATCH(ROW()-2,종합!$AB$3:$AB$501,0))&amp;"","")</f>
        <v/>
      </c>
      <c r="G191" s="18" t="str">
        <f aca="false">IFERROR(INDEX(종합!G$3:G$501,MATCH(ROW()-2,종합!$AB$3:$AB$501,0))&amp;"","")</f>
        <v/>
      </c>
      <c r="H191" s="21" t="str">
        <f aca="false">IFERROR(INDEX(종합!H$3:H$501,MATCH(ROW()-2,종합!$AB$3:$AB$501,0))&amp;"","")</f>
        <v/>
      </c>
      <c r="I191" s="21" t="str">
        <f aca="false">IFERROR(INDEX(종합!I$3:I$501,MATCH(ROW()-2,종합!$AB$3:$AB$501,0))&amp;"","")</f>
        <v/>
      </c>
      <c r="J191" s="21" t="str">
        <f aca="false">IFERROR(INDEX(종합!J$3:J$501,MATCH(ROW()-2,종합!$AB$3:$AB$501,0))&amp;"","")</f>
        <v/>
      </c>
      <c r="K191" s="21" t="str">
        <f aca="false">IFERROR(INDEX(종합!K$3:K$501,MATCH(ROW()-2,종합!$AB$3:$AB$501,0))&amp;"","")</f>
        <v/>
      </c>
      <c r="L191" s="21" t="str">
        <f aca="false">IFERROR(INDEX(종합!L$3:L$501,MATCH(ROW()-2,종합!$AB$3:$AB$501,0))&amp;"","")</f>
        <v/>
      </c>
      <c r="M191" s="21" t="str">
        <f aca="false">IFERROR(INDEX(종합!M$3:M$501,MATCH(ROW()-2,종합!$AB$3:$AB$501,0))&amp;"","")</f>
        <v/>
      </c>
      <c r="N191" s="25" t="str">
        <f aca="false">IFERROR(INDEX(종합!N$3:N$501,MATCH(ROW()-2,종합!$AB$3:$AB$501,0))&amp;"","")</f>
        <v/>
      </c>
      <c r="O191" s="21" t="str">
        <f aca="false">IFERROR(INDEX(종합!O$3:O$501,MATCH(ROW()-2,종합!$AB$3:$AB$501,0))&amp;"","")</f>
        <v/>
      </c>
      <c r="P191" s="21" t="str">
        <f aca="false">IFERROR(INDEX(종합!P$3:P$501,MATCH(ROW()-2,종합!$AB$3:$AB$501,0))&amp;"","")</f>
        <v/>
      </c>
      <c r="Q191" s="21" t="str">
        <f aca="false">IFERROR(INDEX(종합!Q$3:Q$501,MATCH(ROW()-2,종합!$AB$3:$AB$501,0))&amp;"","")</f>
        <v/>
      </c>
      <c r="R191" s="21" t="str">
        <f aca="false">IFERROR(INDEX(종합!R$3:R$501,MATCH(ROW()-2,종합!$AB$3:$AB$501,0))&amp;"","")</f>
        <v/>
      </c>
      <c r="S191" s="21" t="str">
        <f aca="false">IFERROR(INDEX(종합!S$3:S$501,MATCH(ROW()-2,종합!$AB$3:$AB$501,0))&amp;"","")</f>
        <v/>
      </c>
      <c r="T191" s="21" t="str">
        <f aca="false">IFERROR(INDEX(종합!T$3:T$501,MATCH(ROW()-2,종합!$AB$3:$AB$501,0))&amp;"","")</f>
        <v/>
      </c>
      <c r="U191" s="21" t="str">
        <f aca="false">IFERROR(INDEX(종합!U$3:U$501,MATCH(ROW()-2,종합!$AB$3:$AB$501,0))&amp;"","")</f>
        <v/>
      </c>
      <c r="V191" s="21" t="str">
        <f aca="false">IFERROR(INDEX(종합!V$3:V$501,MATCH(ROW()-2,종합!$AB$3:$AB$501,0))&amp;"","")</f>
        <v/>
      </c>
      <c r="W191" s="21" t="str">
        <f aca="false">IFERROR(INDEX(종합!W$3:W$501,MATCH(ROW()-2,종합!$AB$3:$AB$501,0))&amp;"","")</f>
        <v/>
      </c>
      <c r="X191" s="21" t="str">
        <f aca="false">IFERROR(INDEX(종합!X$3:X$501,MATCH(ROW()-2,종합!$AB$3:$AB$501,0))&amp;"","")</f>
        <v/>
      </c>
      <c r="Y191" s="21" t="str">
        <f aca="false">IFERROR(INDEX(종합!Y$3:Y$501,MATCH(ROW()-2,종합!$AB$3:$AB$501,0))&amp;"","")</f>
        <v/>
      </c>
      <c r="Z191" s="21" t="str">
        <f aca="false">IFERROR(INDEX(종합!Z$3:Z$501,MATCH(ROW()-2,종합!$AB$3:$AB$501,0))&amp;"","")</f>
        <v/>
      </c>
    </row>
    <row r="192" customFormat="false" ht="16.5" hidden="false" customHeight="true" outlineLevel="0" collapsed="false">
      <c r="A192" s="18" t="str">
        <f aca="false">IF(B192="","",ROW()-2)</f>
        <v/>
      </c>
      <c r="B192" s="18" t="str">
        <f aca="false">IFERROR(INDEX(종합!B$3:B$501,MATCH(ROW()-2,종합!$AB$3:$AB$501,0))&amp;"","")</f>
        <v/>
      </c>
      <c r="C192" s="18" t="str">
        <f aca="false">IFERROR(INDEX(종합!C$3:C$501,MATCH(ROW()-2,종합!$AB$3:$AB$501,0))&amp;"","")</f>
        <v/>
      </c>
      <c r="D192" s="18" t="str">
        <f aca="false">IFERROR(INDEX(종합!D$3:D$501,MATCH(ROW()-2,종합!$AB$3:$AB$501,0))&amp;"","")</f>
        <v/>
      </c>
      <c r="E192" s="18" t="str">
        <f aca="false">IFERROR(INDEX(종합!E$3:E$501,MATCH(ROW()-2,종합!$AB$3:$AB$501,0))&amp;"","")</f>
        <v/>
      </c>
      <c r="F192" s="18" t="str">
        <f aca="false">IFERROR(INDEX(종합!F$3:F$501,MATCH(ROW()-2,종합!$AB$3:$AB$501,0))&amp;"","")</f>
        <v/>
      </c>
      <c r="G192" s="18" t="str">
        <f aca="false">IFERROR(INDEX(종합!G$3:G$501,MATCH(ROW()-2,종합!$AB$3:$AB$501,0))&amp;"","")</f>
        <v/>
      </c>
      <c r="H192" s="21" t="str">
        <f aca="false">IFERROR(INDEX(종합!H$3:H$501,MATCH(ROW()-2,종합!$AB$3:$AB$501,0))&amp;"","")</f>
        <v/>
      </c>
      <c r="I192" s="21" t="str">
        <f aca="false">IFERROR(INDEX(종합!I$3:I$501,MATCH(ROW()-2,종합!$AB$3:$AB$501,0))&amp;"","")</f>
        <v/>
      </c>
      <c r="J192" s="21" t="str">
        <f aca="false">IFERROR(INDEX(종합!J$3:J$501,MATCH(ROW()-2,종합!$AB$3:$AB$501,0))&amp;"","")</f>
        <v/>
      </c>
      <c r="K192" s="21" t="str">
        <f aca="false">IFERROR(INDEX(종합!K$3:K$501,MATCH(ROW()-2,종합!$AB$3:$AB$501,0))&amp;"","")</f>
        <v/>
      </c>
      <c r="L192" s="21" t="str">
        <f aca="false">IFERROR(INDEX(종합!L$3:L$501,MATCH(ROW()-2,종합!$AB$3:$AB$501,0))&amp;"","")</f>
        <v/>
      </c>
      <c r="M192" s="21" t="str">
        <f aca="false">IFERROR(INDEX(종합!M$3:M$501,MATCH(ROW()-2,종합!$AB$3:$AB$501,0))&amp;"","")</f>
        <v/>
      </c>
      <c r="N192" s="25" t="str">
        <f aca="false">IFERROR(INDEX(종합!N$3:N$501,MATCH(ROW()-2,종합!$AB$3:$AB$501,0))&amp;"","")</f>
        <v/>
      </c>
      <c r="O192" s="21" t="str">
        <f aca="false">IFERROR(INDEX(종합!O$3:O$501,MATCH(ROW()-2,종합!$AB$3:$AB$501,0))&amp;"","")</f>
        <v/>
      </c>
      <c r="P192" s="21" t="str">
        <f aca="false">IFERROR(INDEX(종합!P$3:P$501,MATCH(ROW()-2,종합!$AB$3:$AB$501,0))&amp;"","")</f>
        <v/>
      </c>
      <c r="Q192" s="21" t="str">
        <f aca="false">IFERROR(INDEX(종합!Q$3:Q$501,MATCH(ROW()-2,종합!$AB$3:$AB$501,0))&amp;"","")</f>
        <v/>
      </c>
      <c r="R192" s="21" t="str">
        <f aca="false">IFERROR(INDEX(종합!R$3:R$501,MATCH(ROW()-2,종합!$AB$3:$AB$501,0))&amp;"","")</f>
        <v/>
      </c>
      <c r="S192" s="21" t="str">
        <f aca="false">IFERROR(INDEX(종합!S$3:S$501,MATCH(ROW()-2,종합!$AB$3:$AB$501,0))&amp;"","")</f>
        <v/>
      </c>
      <c r="T192" s="21" t="str">
        <f aca="false">IFERROR(INDEX(종합!T$3:T$501,MATCH(ROW()-2,종합!$AB$3:$AB$501,0))&amp;"","")</f>
        <v/>
      </c>
      <c r="U192" s="21" t="str">
        <f aca="false">IFERROR(INDEX(종합!U$3:U$501,MATCH(ROW()-2,종합!$AB$3:$AB$501,0))&amp;"","")</f>
        <v/>
      </c>
      <c r="V192" s="21" t="str">
        <f aca="false">IFERROR(INDEX(종합!V$3:V$501,MATCH(ROW()-2,종합!$AB$3:$AB$501,0))&amp;"","")</f>
        <v/>
      </c>
      <c r="W192" s="21" t="str">
        <f aca="false">IFERROR(INDEX(종합!W$3:W$501,MATCH(ROW()-2,종합!$AB$3:$AB$501,0))&amp;"","")</f>
        <v/>
      </c>
      <c r="X192" s="21" t="str">
        <f aca="false">IFERROR(INDEX(종합!X$3:X$501,MATCH(ROW()-2,종합!$AB$3:$AB$501,0))&amp;"","")</f>
        <v/>
      </c>
      <c r="Y192" s="21" t="str">
        <f aca="false">IFERROR(INDEX(종합!Y$3:Y$501,MATCH(ROW()-2,종합!$AB$3:$AB$501,0))&amp;"","")</f>
        <v/>
      </c>
      <c r="Z192" s="21" t="str">
        <f aca="false">IFERROR(INDEX(종합!Z$3:Z$501,MATCH(ROW()-2,종합!$AB$3:$AB$501,0))&amp;"","")</f>
        <v/>
      </c>
    </row>
    <row r="193" customFormat="false" ht="16.5" hidden="false" customHeight="true" outlineLevel="0" collapsed="false">
      <c r="A193" s="18" t="str">
        <f aca="false">IF(B193="","",ROW()-2)</f>
        <v/>
      </c>
      <c r="B193" s="18" t="str">
        <f aca="false">IFERROR(INDEX(종합!B$3:B$501,MATCH(ROW()-2,종합!$AB$3:$AB$501,0))&amp;"","")</f>
        <v/>
      </c>
      <c r="C193" s="18" t="str">
        <f aca="false">IFERROR(INDEX(종합!C$3:C$501,MATCH(ROW()-2,종합!$AB$3:$AB$501,0))&amp;"","")</f>
        <v/>
      </c>
      <c r="D193" s="18" t="str">
        <f aca="false">IFERROR(INDEX(종합!D$3:D$501,MATCH(ROW()-2,종합!$AB$3:$AB$501,0))&amp;"","")</f>
        <v/>
      </c>
      <c r="E193" s="18" t="str">
        <f aca="false">IFERROR(INDEX(종합!E$3:E$501,MATCH(ROW()-2,종합!$AB$3:$AB$501,0))&amp;"","")</f>
        <v/>
      </c>
      <c r="F193" s="18" t="str">
        <f aca="false">IFERROR(INDEX(종합!F$3:F$501,MATCH(ROW()-2,종합!$AB$3:$AB$501,0))&amp;"","")</f>
        <v/>
      </c>
      <c r="G193" s="18" t="str">
        <f aca="false">IFERROR(INDEX(종합!G$3:G$501,MATCH(ROW()-2,종합!$AB$3:$AB$501,0))&amp;"","")</f>
        <v/>
      </c>
      <c r="H193" s="21" t="str">
        <f aca="false">IFERROR(INDEX(종합!H$3:H$501,MATCH(ROW()-2,종합!$AB$3:$AB$501,0))&amp;"","")</f>
        <v/>
      </c>
      <c r="I193" s="21" t="str">
        <f aca="false">IFERROR(INDEX(종합!I$3:I$501,MATCH(ROW()-2,종합!$AB$3:$AB$501,0))&amp;"","")</f>
        <v/>
      </c>
      <c r="J193" s="21" t="str">
        <f aca="false">IFERROR(INDEX(종합!J$3:J$501,MATCH(ROW()-2,종합!$AB$3:$AB$501,0))&amp;"","")</f>
        <v/>
      </c>
      <c r="K193" s="21" t="str">
        <f aca="false">IFERROR(INDEX(종합!K$3:K$501,MATCH(ROW()-2,종합!$AB$3:$AB$501,0))&amp;"","")</f>
        <v/>
      </c>
      <c r="L193" s="21" t="str">
        <f aca="false">IFERROR(INDEX(종합!L$3:L$501,MATCH(ROW()-2,종합!$AB$3:$AB$501,0))&amp;"","")</f>
        <v/>
      </c>
      <c r="M193" s="21" t="str">
        <f aca="false">IFERROR(INDEX(종합!M$3:M$501,MATCH(ROW()-2,종합!$AB$3:$AB$501,0))&amp;"","")</f>
        <v/>
      </c>
      <c r="N193" s="25" t="str">
        <f aca="false">IFERROR(INDEX(종합!N$3:N$501,MATCH(ROW()-2,종합!$AB$3:$AB$501,0))&amp;"","")</f>
        <v/>
      </c>
      <c r="O193" s="21" t="str">
        <f aca="false">IFERROR(INDEX(종합!O$3:O$501,MATCH(ROW()-2,종합!$AB$3:$AB$501,0))&amp;"","")</f>
        <v/>
      </c>
      <c r="P193" s="21" t="str">
        <f aca="false">IFERROR(INDEX(종합!P$3:P$501,MATCH(ROW()-2,종합!$AB$3:$AB$501,0))&amp;"","")</f>
        <v/>
      </c>
      <c r="Q193" s="21" t="str">
        <f aca="false">IFERROR(INDEX(종합!Q$3:Q$501,MATCH(ROW()-2,종합!$AB$3:$AB$501,0))&amp;"","")</f>
        <v/>
      </c>
      <c r="R193" s="21" t="str">
        <f aca="false">IFERROR(INDEX(종합!R$3:R$501,MATCH(ROW()-2,종합!$AB$3:$AB$501,0))&amp;"","")</f>
        <v/>
      </c>
      <c r="S193" s="21" t="str">
        <f aca="false">IFERROR(INDEX(종합!S$3:S$501,MATCH(ROW()-2,종합!$AB$3:$AB$501,0))&amp;"","")</f>
        <v/>
      </c>
      <c r="T193" s="21" t="str">
        <f aca="false">IFERROR(INDEX(종합!T$3:T$501,MATCH(ROW()-2,종합!$AB$3:$AB$501,0))&amp;"","")</f>
        <v/>
      </c>
      <c r="U193" s="21" t="str">
        <f aca="false">IFERROR(INDEX(종합!U$3:U$501,MATCH(ROW()-2,종합!$AB$3:$AB$501,0))&amp;"","")</f>
        <v/>
      </c>
      <c r="V193" s="21" t="str">
        <f aca="false">IFERROR(INDEX(종합!V$3:V$501,MATCH(ROW()-2,종합!$AB$3:$AB$501,0))&amp;"","")</f>
        <v/>
      </c>
      <c r="W193" s="21" t="str">
        <f aca="false">IFERROR(INDEX(종합!W$3:W$501,MATCH(ROW()-2,종합!$AB$3:$AB$501,0))&amp;"","")</f>
        <v/>
      </c>
      <c r="X193" s="21" t="str">
        <f aca="false">IFERROR(INDEX(종합!X$3:X$501,MATCH(ROW()-2,종합!$AB$3:$AB$501,0))&amp;"","")</f>
        <v/>
      </c>
      <c r="Y193" s="21" t="str">
        <f aca="false">IFERROR(INDEX(종합!Y$3:Y$501,MATCH(ROW()-2,종합!$AB$3:$AB$501,0))&amp;"","")</f>
        <v/>
      </c>
      <c r="Z193" s="21" t="str">
        <f aca="false">IFERROR(INDEX(종합!Z$3:Z$501,MATCH(ROW()-2,종합!$AB$3:$AB$501,0))&amp;"","")</f>
        <v/>
      </c>
    </row>
    <row r="194" customFormat="false" ht="16.5" hidden="false" customHeight="true" outlineLevel="0" collapsed="false">
      <c r="A194" s="18" t="str">
        <f aca="false">IF(B194="","",ROW()-2)</f>
        <v/>
      </c>
      <c r="B194" s="18" t="str">
        <f aca="false">IFERROR(INDEX(종합!B$3:B$501,MATCH(ROW()-2,종합!$AB$3:$AB$501,0))&amp;"","")</f>
        <v/>
      </c>
      <c r="C194" s="18" t="str">
        <f aca="false">IFERROR(INDEX(종합!C$3:C$501,MATCH(ROW()-2,종합!$AB$3:$AB$501,0))&amp;"","")</f>
        <v/>
      </c>
      <c r="D194" s="18" t="str">
        <f aca="false">IFERROR(INDEX(종합!D$3:D$501,MATCH(ROW()-2,종합!$AB$3:$AB$501,0))&amp;"","")</f>
        <v/>
      </c>
      <c r="E194" s="18" t="str">
        <f aca="false">IFERROR(INDEX(종합!E$3:E$501,MATCH(ROW()-2,종합!$AB$3:$AB$501,0))&amp;"","")</f>
        <v/>
      </c>
      <c r="F194" s="18" t="str">
        <f aca="false">IFERROR(INDEX(종합!F$3:F$501,MATCH(ROW()-2,종합!$AB$3:$AB$501,0))&amp;"","")</f>
        <v/>
      </c>
      <c r="G194" s="18" t="str">
        <f aca="false">IFERROR(INDEX(종합!G$3:G$501,MATCH(ROW()-2,종합!$AB$3:$AB$501,0))&amp;"","")</f>
        <v/>
      </c>
      <c r="H194" s="21" t="str">
        <f aca="false">IFERROR(INDEX(종합!H$3:H$501,MATCH(ROW()-2,종합!$AB$3:$AB$501,0))&amp;"","")</f>
        <v/>
      </c>
      <c r="I194" s="21" t="str">
        <f aca="false">IFERROR(INDEX(종합!I$3:I$501,MATCH(ROW()-2,종합!$AB$3:$AB$501,0))&amp;"","")</f>
        <v/>
      </c>
      <c r="J194" s="21" t="str">
        <f aca="false">IFERROR(INDEX(종합!J$3:J$501,MATCH(ROW()-2,종합!$AB$3:$AB$501,0))&amp;"","")</f>
        <v/>
      </c>
      <c r="K194" s="21" t="str">
        <f aca="false">IFERROR(INDEX(종합!K$3:K$501,MATCH(ROW()-2,종합!$AB$3:$AB$501,0))&amp;"","")</f>
        <v/>
      </c>
      <c r="L194" s="21" t="str">
        <f aca="false">IFERROR(INDEX(종합!L$3:L$501,MATCH(ROW()-2,종합!$AB$3:$AB$501,0))&amp;"","")</f>
        <v/>
      </c>
      <c r="M194" s="21" t="str">
        <f aca="false">IFERROR(INDEX(종합!M$3:M$501,MATCH(ROW()-2,종합!$AB$3:$AB$501,0))&amp;"","")</f>
        <v/>
      </c>
      <c r="N194" s="25" t="str">
        <f aca="false">IFERROR(INDEX(종합!N$3:N$501,MATCH(ROW()-2,종합!$AB$3:$AB$501,0))&amp;"","")</f>
        <v/>
      </c>
      <c r="O194" s="21" t="str">
        <f aca="false">IFERROR(INDEX(종합!O$3:O$501,MATCH(ROW()-2,종합!$AB$3:$AB$501,0))&amp;"","")</f>
        <v/>
      </c>
      <c r="P194" s="21" t="str">
        <f aca="false">IFERROR(INDEX(종합!P$3:P$501,MATCH(ROW()-2,종합!$AB$3:$AB$501,0))&amp;"","")</f>
        <v/>
      </c>
      <c r="Q194" s="21" t="str">
        <f aca="false">IFERROR(INDEX(종합!Q$3:Q$501,MATCH(ROW()-2,종합!$AB$3:$AB$501,0))&amp;"","")</f>
        <v/>
      </c>
      <c r="R194" s="21" t="str">
        <f aca="false">IFERROR(INDEX(종합!R$3:R$501,MATCH(ROW()-2,종합!$AB$3:$AB$501,0))&amp;"","")</f>
        <v/>
      </c>
      <c r="S194" s="21" t="str">
        <f aca="false">IFERROR(INDEX(종합!S$3:S$501,MATCH(ROW()-2,종합!$AB$3:$AB$501,0))&amp;"","")</f>
        <v/>
      </c>
      <c r="T194" s="21" t="str">
        <f aca="false">IFERROR(INDEX(종합!T$3:T$501,MATCH(ROW()-2,종합!$AB$3:$AB$501,0))&amp;"","")</f>
        <v/>
      </c>
      <c r="U194" s="21" t="str">
        <f aca="false">IFERROR(INDEX(종합!U$3:U$501,MATCH(ROW()-2,종합!$AB$3:$AB$501,0))&amp;"","")</f>
        <v/>
      </c>
      <c r="V194" s="21" t="str">
        <f aca="false">IFERROR(INDEX(종합!V$3:V$501,MATCH(ROW()-2,종합!$AB$3:$AB$501,0))&amp;"","")</f>
        <v/>
      </c>
      <c r="W194" s="21" t="str">
        <f aca="false">IFERROR(INDEX(종합!W$3:W$501,MATCH(ROW()-2,종합!$AB$3:$AB$501,0))&amp;"","")</f>
        <v/>
      </c>
      <c r="X194" s="21" t="str">
        <f aca="false">IFERROR(INDEX(종합!X$3:X$501,MATCH(ROW()-2,종합!$AB$3:$AB$501,0))&amp;"","")</f>
        <v/>
      </c>
      <c r="Y194" s="21" t="str">
        <f aca="false">IFERROR(INDEX(종합!Y$3:Y$501,MATCH(ROW()-2,종합!$AB$3:$AB$501,0))&amp;"","")</f>
        <v/>
      </c>
      <c r="Z194" s="21" t="str">
        <f aca="false">IFERROR(INDEX(종합!Z$3:Z$501,MATCH(ROW()-2,종합!$AB$3:$AB$501,0))&amp;"","")</f>
        <v/>
      </c>
    </row>
    <row r="195" customFormat="false" ht="16.5" hidden="false" customHeight="true" outlineLevel="0" collapsed="false">
      <c r="A195" s="18" t="str">
        <f aca="false">IF(B195="","",ROW()-2)</f>
        <v/>
      </c>
      <c r="B195" s="18" t="str">
        <f aca="false">IFERROR(INDEX(종합!B$3:B$501,MATCH(ROW()-2,종합!$AB$3:$AB$501,0))&amp;"","")</f>
        <v/>
      </c>
      <c r="C195" s="18" t="str">
        <f aca="false">IFERROR(INDEX(종합!C$3:C$501,MATCH(ROW()-2,종합!$AB$3:$AB$501,0))&amp;"","")</f>
        <v/>
      </c>
      <c r="D195" s="18" t="str">
        <f aca="false">IFERROR(INDEX(종합!D$3:D$501,MATCH(ROW()-2,종합!$AB$3:$AB$501,0))&amp;"","")</f>
        <v/>
      </c>
      <c r="E195" s="18" t="str">
        <f aca="false">IFERROR(INDEX(종합!E$3:E$501,MATCH(ROW()-2,종합!$AB$3:$AB$501,0))&amp;"","")</f>
        <v/>
      </c>
      <c r="F195" s="18" t="str">
        <f aca="false">IFERROR(INDEX(종합!F$3:F$501,MATCH(ROW()-2,종합!$AB$3:$AB$501,0))&amp;"","")</f>
        <v/>
      </c>
      <c r="G195" s="18" t="str">
        <f aca="false">IFERROR(INDEX(종합!G$3:G$501,MATCH(ROW()-2,종합!$AB$3:$AB$501,0))&amp;"","")</f>
        <v/>
      </c>
      <c r="H195" s="21" t="str">
        <f aca="false">IFERROR(INDEX(종합!H$3:H$501,MATCH(ROW()-2,종합!$AB$3:$AB$501,0))&amp;"","")</f>
        <v/>
      </c>
      <c r="I195" s="21" t="str">
        <f aca="false">IFERROR(INDEX(종합!I$3:I$501,MATCH(ROW()-2,종합!$AB$3:$AB$501,0))&amp;"","")</f>
        <v/>
      </c>
      <c r="J195" s="21" t="str">
        <f aca="false">IFERROR(INDEX(종합!J$3:J$501,MATCH(ROW()-2,종합!$AB$3:$AB$501,0))&amp;"","")</f>
        <v/>
      </c>
      <c r="K195" s="21" t="str">
        <f aca="false">IFERROR(INDEX(종합!K$3:K$501,MATCH(ROW()-2,종합!$AB$3:$AB$501,0))&amp;"","")</f>
        <v/>
      </c>
      <c r="L195" s="21" t="str">
        <f aca="false">IFERROR(INDEX(종합!L$3:L$501,MATCH(ROW()-2,종합!$AB$3:$AB$501,0))&amp;"","")</f>
        <v/>
      </c>
      <c r="M195" s="21" t="str">
        <f aca="false">IFERROR(INDEX(종합!M$3:M$501,MATCH(ROW()-2,종합!$AB$3:$AB$501,0))&amp;"","")</f>
        <v/>
      </c>
      <c r="N195" s="25" t="str">
        <f aca="false">IFERROR(INDEX(종합!N$3:N$501,MATCH(ROW()-2,종합!$AB$3:$AB$501,0))&amp;"","")</f>
        <v/>
      </c>
      <c r="O195" s="21" t="str">
        <f aca="false">IFERROR(INDEX(종합!O$3:O$501,MATCH(ROW()-2,종합!$AB$3:$AB$501,0))&amp;"","")</f>
        <v/>
      </c>
      <c r="P195" s="21" t="str">
        <f aca="false">IFERROR(INDEX(종합!P$3:P$501,MATCH(ROW()-2,종합!$AB$3:$AB$501,0))&amp;"","")</f>
        <v/>
      </c>
      <c r="Q195" s="21" t="str">
        <f aca="false">IFERROR(INDEX(종합!Q$3:Q$501,MATCH(ROW()-2,종합!$AB$3:$AB$501,0))&amp;"","")</f>
        <v/>
      </c>
      <c r="R195" s="21" t="str">
        <f aca="false">IFERROR(INDEX(종합!R$3:R$501,MATCH(ROW()-2,종합!$AB$3:$AB$501,0))&amp;"","")</f>
        <v/>
      </c>
      <c r="S195" s="21" t="str">
        <f aca="false">IFERROR(INDEX(종합!S$3:S$501,MATCH(ROW()-2,종합!$AB$3:$AB$501,0))&amp;"","")</f>
        <v/>
      </c>
      <c r="T195" s="21" t="str">
        <f aca="false">IFERROR(INDEX(종합!T$3:T$501,MATCH(ROW()-2,종합!$AB$3:$AB$501,0))&amp;"","")</f>
        <v/>
      </c>
      <c r="U195" s="21" t="str">
        <f aca="false">IFERROR(INDEX(종합!U$3:U$501,MATCH(ROW()-2,종합!$AB$3:$AB$501,0))&amp;"","")</f>
        <v/>
      </c>
      <c r="V195" s="21" t="str">
        <f aca="false">IFERROR(INDEX(종합!V$3:V$501,MATCH(ROW()-2,종합!$AB$3:$AB$501,0))&amp;"","")</f>
        <v/>
      </c>
      <c r="W195" s="21" t="str">
        <f aca="false">IFERROR(INDEX(종합!W$3:W$501,MATCH(ROW()-2,종합!$AB$3:$AB$501,0))&amp;"","")</f>
        <v/>
      </c>
      <c r="X195" s="21" t="str">
        <f aca="false">IFERROR(INDEX(종합!X$3:X$501,MATCH(ROW()-2,종합!$AB$3:$AB$501,0))&amp;"","")</f>
        <v/>
      </c>
      <c r="Y195" s="21" t="str">
        <f aca="false">IFERROR(INDEX(종합!Y$3:Y$501,MATCH(ROW()-2,종합!$AB$3:$AB$501,0))&amp;"","")</f>
        <v/>
      </c>
      <c r="Z195" s="21" t="str">
        <f aca="false">IFERROR(INDEX(종합!Z$3:Z$501,MATCH(ROW()-2,종합!$AB$3:$AB$501,0))&amp;"","")</f>
        <v/>
      </c>
    </row>
    <row r="196" customFormat="false" ht="16.5" hidden="false" customHeight="true" outlineLevel="0" collapsed="false">
      <c r="A196" s="18" t="str">
        <f aca="false">IF(B196="","",ROW()-2)</f>
        <v/>
      </c>
      <c r="B196" s="18" t="str">
        <f aca="false">IFERROR(INDEX(종합!B$3:B$501,MATCH(ROW()-2,종합!$AB$3:$AB$501,0))&amp;"","")</f>
        <v/>
      </c>
      <c r="C196" s="18" t="str">
        <f aca="false">IFERROR(INDEX(종합!C$3:C$501,MATCH(ROW()-2,종합!$AB$3:$AB$501,0))&amp;"","")</f>
        <v/>
      </c>
      <c r="D196" s="18" t="str">
        <f aca="false">IFERROR(INDEX(종합!D$3:D$501,MATCH(ROW()-2,종합!$AB$3:$AB$501,0))&amp;"","")</f>
        <v/>
      </c>
      <c r="E196" s="18" t="str">
        <f aca="false">IFERROR(INDEX(종합!E$3:E$501,MATCH(ROW()-2,종합!$AB$3:$AB$501,0))&amp;"","")</f>
        <v/>
      </c>
      <c r="F196" s="18" t="str">
        <f aca="false">IFERROR(INDEX(종합!F$3:F$501,MATCH(ROW()-2,종합!$AB$3:$AB$501,0))&amp;"","")</f>
        <v/>
      </c>
      <c r="G196" s="18" t="str">
        <f aca="false">IFERROR(INDEX(종합!G$3:G$501,MATCH(ROW()-2,종합!$AB$3:$AB$501,0))&amp;"","")</f>
        <v/>
      </c>
      <c r="H196" s="21" t="str">
        <f aca="false">IFERROR(INDEX(종합!H$3:H$501,MATCH(ROW()-2,종합!$AB$3:$AB$501,0))&amp;"","")</f>
        <v/>
      </c>
      <c r="I196" s="21" t="str">
        <f aca="false">IFERROR(INDEX(종합!I$3:I$501,MATCH(ROW()-2,종합!$AB$3:$AB$501,0))&amp;"","")</f>
        <v/>
      </c>
      <c r="J196" s="21" t="str">
        <f aca="false">IFERROR(INDEX(종합!J$3:J$501,MATCH(ROW()-2,종합!$AB$3:$AB$501,0))&amp;"","")</f>
        <v/>
      </c>
      <c r="K196" s="21" t="str">
        <f aca="false">IFERROR(INDEX(종합!K$3:K$501,MATCH(ROW()-2,종합!$AB$3:$AB$501,0))&amp;"","")</f>
        <v/>
      </c>
      <c r="L196" s="21" t="str">
        <f aca="false">IFERROR(INDEX(종합!L$3:L$501,MATCH(ROW()-2,종합!$AB$3:$AB$501,0))&amp;"","")</f>
        <v/>
      </c>
      <c r="M196" s="21" t="str">
        <f aca="false">IFERROR(INDEX(종합!M$3:M$501,MATCH(ROW()-2,종합!$AB$3:$AB$501,0))&amp;"","")</f>
        <v/>
      </c>
      <c r="N196" s="25" t="str">
        <f aca="false">IFERROR(INDEX(종합!N$3:N$501,MATCH(ROW()-2,종합!$AB$3:$AB$501,0))&amp;"","")</f>
        <v/>
      </c>
      <c r="O196" s="21" t="str">
        <f aca="false">IFERROR(INDEX(종합!O$3:O$501,MATCH(ROW()-2,종합!$AB$3:$AB$501,0))&amp;"","")</f>
        <v/>
      </c>
      <c r="P196" s="21" t="str">
        <f aca="false">IFERROR(INDEX(종합!P$3:P$501,MATCH(ROW()-2,종합!$AB$3:$AB$501,0))&amp;"","")</f>
        <v/>
      </c>
      <c r="Q196" s="21" t="str">
        <f aca="false">IFERROR(INDEX(종합!Q$3:Q$501,MATCH(ROW()-2,종합!$AB$3:$AB$501,0))&amp;"","")</f>
        <v/>
      </c>
      <c r="R196" s="21" t="str">
        <f aca="false">IFERROR(INDEX(종합!R$3:R$501,MATCH(ROW()-2,종합!$AB$3:$AB$501,0))&amp;"","")</f>
        <v/>
      </c>
      <c r="S196" s="21" t="str">
        <f aca="false">IFERROR(INDEX(종합!S$3:S$501,MATCH(ROW()-2,종합!$AB$3:$AB$501,0))&amp;"","")</f>
        <v/>
      </c>
      <c r="T196" s="21" t="str">
        <f aca="false">IFERROR(INDEX(종합!T$3:T$501,MATCH(ROW()-2,종합!$AB$3:$AB$501,0))&amp;"","")</f>
        <v/>
      </c>
      <c r="U196" s="21" t="str">
        <f aca="false">IFERROR(INDEX(종합!U$3:U$501,MATCH(ROW()-2,종합!$AB$3:$AB$501,0))&amp;"","")</f>
        <v/>
      </c>
      <c r="V196" s="21" t="str">
        <f aca="false">IFERROR(INDEX(종합!V$3:V$501,MATCH(ROW()-2,종합!$AB$3:$AB$501,0))&amp;"","")</f>
        <v/>
      </c>
      <c r="W196" s="21" t="str">
        <f aca="false">IFERROR(INDEX(종합!W$3:W$501,MATCH(ROW()-2,종합!$AB$3:$AB$501,0))&amp;"","")</f>
        <v/>
      </c>
      <c r="X196" s="21" t="str">
        <f aca="false">IFERROR(INDEX(종합!X$3:X$501,MATCH(ROW()-2,종합!$AB$3:$AB$501,0))&amp;"","")</f>
        <v/>
      </c>
      <c r="Y196" s="21" t="str">
        <f aca="false">IFERROR(INDEX(종합!Y$3:Y$501,MATCH(ROW()-2,종합!$AB$3:$AB$501,0))&amp;"","")</f>
        <v/>
      </c>
      <c r="Z196" s="21" t="str">
        <f aca="false">IFERROR(INDEX(종합!Z$3:Z$501,MATCH(ROW()-2,종합!$AB$3:$AB$501,0))&amp;"","")</f>
        <v/>
      </c>
    </row>
    <row r="197" customFormat="false" ht="16.5" hidden="false" customHeight="true" outlineLevel="0" collapsed="false">
      <c r="A197" s="18" t="str">
        <f aca="false">IF(B197="","",ROW()-2)</f>
        <v/>
      </c>
      <c r="B197" s="18" t="str">
        <f aca="false">IFERROR(INDEX(종합!B$3:B$501,MATCH(ROW()-2,종합!$AB$3:$AB$501,0))&amp;"","")</f>
        <v/>
      </c>
      <c r="C197" s="18" t="str">
        <f aca="false">IFERROR(INDEX(종합!C$3:C$501,MATCH(ROW()-2,종합!$AB$3:$AB$501,0))&amp;"","")</f>
        <v/>
      </c>
      <c r="D197" s="18" t="str">
        <f aca="false">IFERROR(INDEX(종합!D$3:D$501,MATCH(ROW()-2,종합!$AB$3:$AB$501,0))&amp;"","")</f>
        <v/>
      </c>
      <c r="E197" s="18" t="str">
        <f aca="false">IFERROR(INDEX(종합!E$3:E$501,MATCH(ROW()-2,종합!$AB$3:$AB$501,0))&amp;"","")</f>
        <v/>
      </c>
      <c r="F197" s="18" t="str">
        <f aca="false">IFERROR(INDEX(종합!F$3:F$501,MATCH(ROW()-2,종합!$AB$3:$AB$501,0))&amp;"","")</f>
        <v/>
      </c>
      <c r="G197" s="18" t="str">
        <f aca="false">IFERROR(INDEX(종합!G$3:G$501,MATCH(ROW()-2,종합!$AB$3:$AB$501,0))&amp;"","")</f>
        <v/>
      </c>
      <c r="H197" s="21" t="str">
        <f aca="false">IFERROR(INDEX(종합!H$3:H$501,MATCH(ROW()-2,종합!$AB$3:$AB$501,0))&amp;"","")</f>
        <v/>
      </c>
      <c r="I197" s="21" t="str">
        <f aca="false">IFERROR(INDEX(종합!I$3:I$501,MATCH(ROW()-2,종합!$AB$3:$AB$501,0))&amp;"","")</f>
        <v/>
      </c>
      <c r="J197" s="21" t="str">
        <f aca="false">IFERROR(INDEX(종합!J$3:J$501,MATCH(ROW()-2,종합!$AB$3:$AB$501,0))&amp;"","")</f>
        <v/>
      </c>
      <c r="K197" s="21" t="str">
        <f aca="false">IFERROR(INDEX(종합!K$3:K$501,MATCH(ROW()-2,종합!$AB$3:$AB$501,0))&amp;"","")</f>
        <v/>
      </c>
      <c r="L197" s="21" t="str">
        <f aca="false">IFERROR(INDEX(종합!L$3:L$501,MATCH(ROW()-2,종합!$AB$3:$AB$501,0))&amp;"","")</f>
        <v/>
      </c>
      <c r="M197" s="21" t="str">
        <f aca="false">IFERROR(INDEX(종합!M$3:M$501,MATCH(ROW()-2,종합!$AB$3:$AB$501,0))&amp;"","")</f>
        <v/>
      </c>
      <c r="N197" s="25" t="str">
        <f aca="false">IFERROR(INDEX(종합!N$3:N$501,MATCH(ROW()-2,종합!$AB$3:$AB$501,0))&amp;"","")</f>
        <v/>
      </c>
      <c r="O197" s="21" t="str">
        <f aca="false">IFERROR(INDEX(종합!O$3:O$501,MATCH(ROW()-2,종합!$AB$3:$AB$501,0))&amp;"","")</f>
        <v/>
      </c>
      <c r="P197" s="21" t="str">
        <f aca="false">IFERROR(INDEX(종합!P$3:P$501,MATCH(ROW()-2,종합!$AB$3:$AB$501,0))&amp;"","")</f>
        <v/>
      </c>
      <c r="Q197" s="21" t="str">
        <f aca="false">IFERROR(INDEX(종합!Q$3:Q$501,MATCH(ROW()-2,종합!$AB$3:$AB$501,0))&amp;"","")</f>
        <v/>
      </c>
      <c r="R197" s="21" t="str">
        <f aca="false">IFERROR(INDEX(종합!R$3:R$501,MATCH(ROW()-2,종합!$AB$3:$AB$501,0))&amp;"","")</f>
        <v/>
      </c>
      <c r="S197" s="21" t="str">
        <f aca="false">IFERROR(INDEX(종합!S$3:S$501,MATCH(ROW()-2,종합!$AB$3:$AB$501,0))&amp;"","")</f>
        <v/>
      </c>
      <c r="T197" s="21" t="str">
        <f aca="false">IFERROR(INDEX(종합!T$3:T$501,MATCH(ROW()-2,종합!$AB$3:$AB$501,0))&amp;"","")</f>
        <v/>
      </c>
      <c r="U197" s="21" t="str">
        <f aca="false">IFERROR(INDEX(종합!U$3:U$501,MATCH(ROW()-2,종합!$AB$3:$AB$501,0))&amp;"","")</f>
        <v/>
      </c>
      <c r="V197" s="21" t="str">
        <f aca="false">IFERROR(INDEX(종합!V$3:V$501,MATCH(ROW()-2,종합!$AB$3:$AB$501,0))&amp;"","")</f>
        <v/>
      </c>
      <c r="W197" s="21" t="str">
        <f aca="false">IFERROR(INDEX(종합!W$3:W$501,MATCH(ROW()-2,종합!$AB$3:$AB$501,0))&amp;"","")</f>
        <v/>
      </c>
      <c r="X197" s="21" t="str">
        <f aca="false">IFERROR(INDEX(종합!X$3:X$501,MATCH(ROW()-2,종합!$AB$3:$AB$501,0))&amp;"","")</f>
        <v/>
      </c>
      <c r="Y197" s="21" t="str">
        <f aca="false">IFERROR(INDEX(종합!Y$3:Y$501,MATCH(ROW()-2,종합!$AB$3:$AB$501,0))&amp;"","")</f>
        <v/>
      </c>
      <c r="Z197" s="21" t="str">
        <f aca="false">IFERROR(INDEX(종합!Z$3:Z$501,MATCH(ROW()-2,종합!$AB$3:$AB$501,0))&amp;"","")</f>
        <v/>
      </c>
    </row>
    <row r="198" customFormat="false" ht="16.5" hidden="false" customHeight="true" outlineLevel="0" collapsed="false">
      <c r="A198" s="18" t="str">
        <f aca="false">IF(B198="","",ROW()-2)</f>
        <v/>
      </c>
      <c r="B198" s="18" t="str">
        <f aca="false">IFERROR(INDEX(종합!B$3:B$501,MATCH(ROW()-2,종합!$AB$3:$AB$501,0))&amp;"","")</f>
        <v/>
      </c>
      <c r="C198" s="18" t="str">
        <f aca="false">IFERROR(INDEX(종합!C$3:C$501,MATCH(ROW()-2,종합!$AB$3:$AB$501,0))&amp;"","")</f>
        <v/>
      </c>
      <c r="D198" s="18" t="str">
        <f aca="false">IFERROR(INDEX(종합!D$3:D$501,MATCH(ROW()-2,종합!$AB$3:$AB$501,0))&amp;"","")</f>
        <v/>
      </c>
      <c r="E198" s="18" t="str">
        <f aca="false">IFERROR(INDEX(종합!E$3:E$501,MATCH(ROW()-2,종합!$AB$3:$AB$501,0))&amp;"","")</f>
        <v/>
      </c>
      <c r="F198" s="18" t="str">
        <f aca="false">IFERROR(INDEX(종합!F$3:F$501,MATCH(ROW()-2,종합!$AB$3:$AB$501,0))&amp;"","")</f>
        <v/>
      </c>
      <c r="G198" s="18" t="str">
        <f aca="false">IFERROR(INDEX(종합!G$3:G$501,MATCH(ROW()-2,종합!$AB$3:$AB$501,0))&amp;"","")</f>
        <v/>
      </c>
      <c r="H198" s="21" t="str">
        <f aca="false">IFERROR(INDEX(종합!H$3:H$501,MATCH(ROW()-2,종합!$AB$3:$AB$501,0))&amp;"","")</f>
        <v/>
      </c>
      <c r="I198" s="21" t="str">
        <f aca="false">IFERROR(INDEX(종합!I$3:I$501,MATCH(ROW()-2,종합!$AB$3:$AB$501,0))&amp;"","")</f>
        <v/>
      </c>
      <c r="J198" s="21" t="str">
        <f aca="false">IFERROR(INDEX(종합!J$3:J$501,MATCH(ROW()-2,종합!$AB$3:$AB$501,0))&amp;"","")</f>
        <v/>
      </c>
      <c r="K198" s="21" t="str">
        <f aca="false">IFERROR(INDEX(종합!K$3:K$501,MATCH(ROW()-2,종합!$AB$3:$AB$501,0))&amp;"","")</f>
        <v/>
      </c>
      <c r="L198" s="21" t="str">
        <f aca="false">IFERROR(INDEX(종합!L$3:L$501,MATCH(ROW()-2,종합!$AB$3:$AB$501,0))&amp;"","")</f>
        <v/>
      </c>
      <c r="M198" s="21" t="str">
        <f aca="false">IFERROR(INDEX(종합!M$3:M$501,MATCH(ROW()-2,종합!$AB$3:$AB$501,0))&amp;"","")</f>
        <v/>
      </c>
      <c r="N198" s="25" t="str">
        <f aca="false">IFERROR(INDEX(종합!N$3:N$501,MATCH(ROW()-2,종합!$AB$3:$AB$501,0))&amp;"","")</f>
        <v/>
      </c>
      <c r="O198" s="21" t="str">
        <f aca="false">IFERROR(INDEX(종합!O$3:O$501,MATCH(ROW()-2,종합!$AB$3:$AB$501,0))&amp;"","")</f>
        <v/>
      </c>
      <c r="P198" s="21" t="str">
        <f aca="false">IFERROR(INDEX(종합!P$3:P$501,MATCH(ROW()-2,종합!$AB$3:$AB$501,0))&amp;"","")</f>
        <v/>
      </c>
      <c r="Q198" s="21" t="str">
        <f aca="false">IFERROR(INDEX(종합!Q$3:Q$501,MATCH(ROW()-2,종합!$AB$3:$AB$501,0))&amp;"","")</f>
        <v/>
      </c>
      <c r="R198" s="21" t="str">
        <f aca="false">IFERROR(INDEX(종합!R$3:R$501,MATCH(ROW()-2,종합!$AB$3:$AB$501,0))&amp;"","")</f>
        <v/>
      </c>
      <c r="S198" s="21" t="str">
        <f aca="false">IFERROR(INDEX(종합!S$3:S$501,MATCH(ROW()-2,종합!$AB$3:$AB$501,0))&amp;"","")</f>
        <v/>
      </c>
      <c r="T198" s="21" t="str">
        <f aca="false">IFERROR(INDEX(종합!T$3:T$501,MATCH(ROW()-2,종합!$AB$3:$AB$501,0))&amp;"","")</f>
        <v/>
      </c>
      <c r="U198" s="21" t="str">
        <f aca="false">IFERROR(INDEX(종합!U$3:U$501,MATCH(ROW()-2,종합!$AB$3:$AB$501,0))&amp;"","")</f>
        <v/>
      </c>
      <c r="V198" s="21" t="str">
        <f aca="false">IFERROR(INDEX(종합!V$3:V$501,MATCH(ROW()-2,종합!$AB$3:$AB$501,0))&amp;"","")</f>
        <v/>
      </c>
      <c r="W198" s="21" t="str">
        <f aca="false">IFERROR(INDEX(종합!W$3:W$501,MATCH(ROW()-2,종합!$AB$3:$AB$501,0))&amp;"","")</f>
        <v/>
      </c>
      <c r="X198" s="21" t="str">
        <f aca="false">IFERROR(INDEX(종합!X$3:X$501,MATCH(ROW()-2,종합!$AB$3:$AB$501,0))&amp;"","")</f>
        <v/>
      </c>
      <c r="Y198" s="21" t="str">
        <f aca="false">IFERROR(INDEX(종합!Y$3:Y$501,MATCH(ROW()-2,종합!$AB$3:$AB$501,0))&amp;"","")</f>
        <v/>
      </c>
      <c r="Z198" s="21" t="str">
        <f aca="false">IFERROR(INDEX(종합!Z$3:Z$501,MATCH(ROW()-2,종합!$AB$3:$AB$501,0))&amp;"","")</f>
        <v/>
      </c>
    </row>
    <row r="199" customFormat="false" ht="16.5" hidden="false" customHeight="true" outlineLevel="0" collapsed="false">
      <c r="A199" s="18" t="str">
        <f aca="false">IF(B199="","",ROW()-2)</f>
        <v/>
      </c>
      <c r="B199" s="18" t="str">
        <f aca="false">IFERROR(INDEX(종합!B$3:B$501,MATCH(ROW()-2,종합!$AB$3:$AB$501,0))&amp;"","")</f>
        <v/>
      </c>
      <c r="C199" s="18" t="str">
        <f aca="false">IFERROR(INDEX(종합!C$3:C$501,MATCH(ROW()-2,종합!$AB$3:$AB$501,0))&amp;"","")</f>
        <v/>
      </c>
      <c r="D199" s="18" t="str">
        <f aca="false">IFERROR(INDEX(종합!D$3:D$501,MATCH(ROW()-2,종합!$AB$3:$AB$501,0))&amp;"","")</f>
        <v/>
      </c>
      <c r="E199" s="18" t="str">
        <f aca="false">IFERROR(INDEX(종합!E$3:E$501,MATCH(ROW()-2,종합!$AB$3:$AB$501,0))&amp;"","")</f>
        <v/>
      </c>
      <c r="F199" s="18" t="str">
        <f aca="false">IFERROR(INDEX(종합!F$3:F$501,MATCH(ROW()-2,종합!$AB$3:$AB$501,0))&amp;"","")</f>
        <v/>
      </c>
      <c r="G199" s="18" t="str">
        <f aca="false">IFERROR(INDEX(종합!G$3:G$501,MATCH(ROW()-2,종합!$AB$3:$AB$501,0))&amp;"","")</f>
        <v/>
      </c>
      <c r="H199" s="21" t="str">
        <f aca="false">IFERROR(INDEX(종합!H$3:H$501,MATCH(ROW()-2,종합!$AB$3:$AB$501,0))&amp;"","")</f>
        <v/>
      </c>
      <c r="I199" s="21" t="str">
        <f aca="false">IFERROR(INDEX(종합!I$3:I$501,MATCH(ROW()-2,종합!$AB$3:$AB$501,0))&amp;"","")</f>
        <v/>
      </c>
      <c r="J199" s="21" t="str">
        <f aca="false">IFERROR(INDEX(종합!J$3:J$501,MATCH(ROW()-2,종합!$AB$3:$AB$501,0))&amp;"","")</f>
        <v/>
      </c>
      <c r="K199" s="21" t="str">
        <f aca="false">IFERROR(INDEX(종합!K$3:K$501,MATCH(ROW()-2,종합!$AB$3:$AB$501,0))&amp;"","")</f>
        <v/>
      </c>
      <c r="L199" s="21" t="str">
        <f aca="false">IFERROR(INDEX(종합!L$3:L$501,MATCH(ROW()-2,종합!$AB$3:$AB$501,0))&amp;"","")</f>
        <v/>
      </c>
      <c r="M199" s="21" t="str">
        <f aca="false">IFERROR(INDEX(종합!M$3:M$501,MATCH(ROW()-2,종합!$AB$3:$AB$501,0))&amp;"","")</f>
        <v/>
      </c>
      <c r="N199" s="25" t="str">
        <f aca="false">IFERROR(INDEX(종합!N$3:N$501,MATCH(ROW()-2,종합!$AB$3:$AB$501,0))&amp;"","")</f>
        <v/>
      </c>
      <c r="O199" s="21" t="str">
        <f aca="false">IFERROR(INDEX(종합!O$3:O$501,MATCH(ROW()-2,종합!$AB$3:$AB$501,0))&amp;"","")</f>
        <v/>
      </c>
      <c r="P199" s="21" t="str">
        <f aca="false">IFERROR(INDEX(종합!P$3:P$501,MATCH(ROW()-2,종합!$AB$3:$AB$501,0))&amp;"","")</f>
        <v/>
      </c>
      <c r="Q199" s="21" t="str">
        <f aca="false">IFERROR(INDEX(종합!Q$3:Q$501,MATCH(ROW()-2,종합!$AB$3:$AB$501,0))&amp;"","")</f>
        <v/>
      </c>
      <c r="R199" s="21" t="str">
        <f aca="false">IFERROR(INDEX(종합!R$3:R$501,MATCH(ROW()-2,종합!$AB$3:$AB$501,0))&amp;"","")</f>
        <v/>
      </c>
      <c r="S199" s="21" t="str">
        <f aca="false">IFERROR(INDEX(종합!S$3:S$501,MATCH(ROW()-2,종합!$AB$3:$AB$501,0))&amp;"","")</f>
        <v/>
      </c>
      <c r="T199" s="21" t="str">
        <f aca="false">IFERROR(INDEX(종합!T$3:T$501,MATCH(ROW()-2,종합!$AB$3:$AB$501,0))&amp;"","")</f>
        <v/>
      </c>
      <c r="U199" s="21" t="str">
        <f aca="false">IFERROR(INDEX(종합!U$3:U$501,MATCH(ROW()-2,종합!$AB$3:$AB$501,0))&amp;"","")</f>
        <v/>
      </c>
      <c r="V199" s="21" t="str">
        <f aca="false">IFERROR(INDEX(종합!V$3:V$501,MATCH(ROW()-2,종합!$AB$3:$AB$501,0))&amp;"","")</f>
        <v/>
      </c>
      <c r="W199" s="21" t="str">
        <f aca="false">IFERROR(INDEX(종합!W$3:W$501,MATCH(ROW()-2,종합!$AB$3:$AB$501,0))&amp;"","")</f>
        <v/>
      </c>
      <c r="X199" s="21" t="str">
        <f aca="false">IFERROR(INDEX(종합!X$3:X$501,MATCH(ROW()-2,종합!$AB$3:$AB$501,0))&amp;"","")</f>
        <v/>
      </c>
      <c r="Y199" s="21" t="str">
        <f aca="false">IFERROR(INDEX(종합!Y$3:Y$501,MATCH(ROW()-2,종합!$AB$3:$AB$501,0))&amp;"","")</f>
        <v/>
      </c>
      <c r="Z199" s="21" t="str">
        <f aca="false">IFERROR(INDEX(종합!Z$3:Z$501,MATCH(ROW()-2,종합!$AB$3:$AB$501,0))&amp;"","")</f>
        <v/>
      </c>
    </row>
    <row r="200" customFormat="false" ht="16.5" hidden="false" customHeight="true" outlineLevel="0" collapsed="false">
      <c r="A200" s="18" t="str">
        <f aca="false">IF(B200="","",ROW()-2)</f>
        <v/>
      </c>
      <c r="B200" s="18" t="str">
        <f aca="false">IFERROR(INDEX(종합!B$3:B$501,MATCH(ROW()-2,종합!$AB$3:$AB$501,0))&amp;"","")</f>
        <v/>
      </c>
      <c r="C200" s="18" t="str">
        <f aca="false">IFERROR(INDEX(종합!C$3:C$501,MATCH(ROW()-2,종합!$AB$3:$AB$501,0))&amp;"","")</f>
        <v/>
      </c>
      <c r="D200" s="18" t="str">
        <f aca="false">IFERROR(INDEX(종합!D$3:D$501,MATCH(ROW()-2,종합!$AB$3:$AB$501,0))&amp;"","")</f>
        <v/>
      </c>
      <c r="E200" s="18" t="str">
        <f aca="false">IFERROR(INDEX(종합!E$3:E$501,MATCH(ROW()-2,종합!$AB$3:$AB$501,0))&amp;"","")</f>
        <v/>
      </c>
      <c r="F200" s="18" t="str">
        <f aca="false">IFERROR(INDEX(종합!F$3:F$501,MATCH(ROW()-2,종합!$AB$3:$AB$501,0))&amp;"","")</f>
        <v/>
      </c>
      <c r="G200" s="18" t="str">
        <f aca="false">IFERROR(INDEX(종합!G$3:G$501,MATCH(ROW()-2,종합!$AB$3:$AB$501,0))&amp;"","")</f>
        <v/>
      </c>
      <c r="H200" s="21" t="str">
        <f aca="false">IFERROR(INDEX(종합!H$3:H$501,MATCH(ROW()-2,종합!$AB$3:$AB$501,0))&amp;"","")</f>
        <v/>
      </c>
      <c r="I200" s="21" t="str">
        <f aca="false">IFERROR(INDEX(종합!I$3:I$501,MATCH(ROW()-2,종합!$AB$3:$AB$501,0))&amp;"","")</f>
        <v/>
      </c>
      <c r="J200" s="21" t="str">
        <f aca="false">IFERROR(INDEX(종합!J$3:J$501,MATCH(ROW()-2,종합!$AB$3:$AB$501,0))&amp;"","")</f>
        <v/>
      </c>
      <c r="K200" s="21" t="str">
        <f aca="false">IFERROR(INDEX(종합!K$3:K$501,MATCH(ROW()-2,종합!$AB$3:$AB$501,0))&amp;"","")</f>
        <v/>
      </c>
      <c r="L200" s="21" t="str">
        <f aca="false">IFERROR(INDEX(종합!L$3:L$501,MATCH(ROW()-2,종합!$AB$3:$AB$501,0))&amp;"","")</f>
        <v/>
      </c>
      <c r="M200" s="21" t="str">
        <f aca="false">IFERROR(INDEX(종합!M$3:M$501,MATCH(ROW()-2,종합!$AB$3:$AB$501,0))&amp;"","")</f>
        <v/>
      </c>
      <c r="N200" s="25" t="str">
        <f aca="false">IFERROR(INDEX(종합!N$3:N$501,MATCH(ROW()-2,종합!$AB$3:$AB$501,0))&amp;"","")</f>
        <v/>
      </c>
      <c r="O200" s="21" t="str">
        <f aca="false">IFERROR(INDEX(종합!O$3:O$501,MATCH(ROW()-2,종합!$AB$3:$AB$501,0))&amp;"","")</f>
        <v/>
      </c>
      <c r="P200" s="21" t="str">
        <f aca="false">IFERROR(INDEX(종합!P$3:P$501,MATCH(ROW()-2,종합!$AB$3:$AB$501,0))&amp;"","")</f>
        <v/>
      </c>
      <c r="Q200" s="21" t="str">
        <f aca="false">IFERROR(INDEX(종합!Q$3:Q$501,MATCH(ROW()-2,종합!$AB$3:$AB$501,0))&amp;"","")</f>
        <v/>
      </c>
      <c r="R200" s="21" t="str">
        <f aca="false">IFERROR(INDEX(종합!R$3:R$501,MATCH(ROW()-2,종합!$AB$3:$AB$501,0))&amp;"","")</f>
        <v/>
      </c>
      <c r="S200" s="21" t="str">
        <f aca="false">IFERROR(INDEX(종합!S$3:S$501,MATCH(ROW()-2,종합!$AB$3:$AB$501,0))&amp;"","")</f>
        <v/>
      </c>
      <c r="T200" s="21" t="str">
        <f aca="false">IFERROR(INDEX(종합!T$3:T$501,MATCH(ROW()-2,종합!$AB$3:$AB$501,0))&amp;"","")</f>
        <v/>
      </c>
      <c r="U200" s="21" t="str">
        <f aca="false">IFERROR(INDEX(종합!U$3:U$501,MATCH(ROW()-2,종합!$AB$3:$AB$501,0))&amp;"","")</f>
        <v/>
      </c>
      <c r="V200" s="21" t="str">
        <f aca="false">IFERROR(INDEX(종합!V$3:V$501,MATCH(ROW()-2,종합!$AB$3:$AB$501,0))&amp;"","")</f>
        <v/>
      </c>
      <c r="W200" s="21" t="str">
        <f aca="false">IFERROR(INDEX(종합!W$3:W$501,MATCH(ROW()-2,종합!$AB$3:$AB$501,0))&amp;"","")</f>
        <v/>
      </c>
      <c r="X200" s="21" t="str">
        <f aca="false">IFERROR(INDEX(종합!X$3:X$501,MATCH(ROW()-2,종합!$AB$3:$AB$501,0))&amp;"","")</f>
        <v/>
      </c>
      <c r="Y200" s="21" t="str">
        <f aca="false">IFERROR(INDEX(종합!Y$3:Y$501,MATCH(ROW()-2,종합!$AB$3:$AB$501,0))&amp;"","")</f>
        <v/>
      </c>
      <c r="Z200" s="21" t="str">
        <f aca="false">IFERROR(INDEX(종합!Z$3:Z$501,MATCH(ROW()-2,종합!$AB$3:$AB$501,0))&amp;"","")</f>
        <v/>
      </c>
    </row>
    <row r="201" customFormat="false" ht="16.5" hidden="false" customHeight="true" outlineLevel="0" collapsed="false">
      <c r="A201" s="18" t="str">
        <f aca="false">IF(B201="","",ROW()-2)</f>
        <v/>
      </c>
      <c r="B201" s="18" t="str">
        <f aca="false">IFERROR(INDEX(종합!B$3:B$501,MATCH(ROW()-2,종합!$AB$3:$AB$501,0))&amp;"","")</f>
        <v/>
      </c>
      <c r="C201" s="18" t="str">
        <f aca="false">IFERROR(INDEX(종합!C$3:C$501,MATCH(ROW()-2,종합!$AB$3:$AB$501,0))&amp;"","")</f>
        <v/>
      </c>
      <c r="D201" s="18" t="str">
        <f aca="false">IFERROR(INDEX(종합!D$3:D$501,MATCH(ROW()-2,종합!$AB$3:$AB$501,0))&amp;"","")</f>
        <v/>
      </c>
      <c r="E201" s="18" t="str">
        <f aca="false">IFERROR(INDEX(종합!E$3:E$501,MATCH(ROW()-2,종합!$AB$3:$AB$501,0))&amp;"","")</f>
        <v/>
      </c>
      <c r="F201" s="18" t="str">
        <f aca="false">IFERROR(INDEX(종합!F$3:F$501,MATCH(ROW()-2,종합!$AB$3:$AB$501,0))&amp;"","")</f>
        <v/>
      </c>
      <c r="G201" s="18" t="str">
        <f aca="false">IFERROR(INDEX(종합!G$3:G$501,MATCH(ROW()-2,종합!$AB$3:$AB$501,0))&amp;"","")</f>
        <v/>
      </c>
      <c r="H201" s="21" t="str">
        <f aca="false">IFERROR(INDEX(종합!H$3:H$501,MATCH(ROW()-2,종합!$AB$3:$AB$501,0))&amp;"","")</f>
        <v/>
      </c>
      <c r="I201" s="21" t="str">
        <f aca="false">IFERROR(INDEX(종합!I$3:I$501,MATCH(ROW()-2,종합!$AB$3:$AB$501,0))&amp;"","")</f>
        <v/>
      </c>
      <c r="J201" s="21" t="str">
        <f aca="false">IFERROR(INDEX(종합!J$3:J$501,MATCH(ROW()-2,종합!$AB$3:$AB$501,0))&amp;"","")</f>
        <v/>
      </c>
      <c r="K201" s="21" t="str">
        <f aca="false">IFERROR(INDEX(종합!K$3:K$501,MATCH(ROW()-2,종합!$AB$3:$AB$501,0))&amp;"","")</f>
        <v/>
      </c>
      <c r="L201" s="21" t="str">
        <f aca="false">IFERROR(INDEX(종합!L$3:L$501,MATCH(ROW()-2,종합!$AB$3:$AB$501,0))&amp;"","")</f>
        <v/>
      </c>
      <c r="M201" s="21" t="str">
        <f aca="false">IFERROR(INDEX(종합!M$3:M$501,MATCH(ROW()-2,종합!$AB$3:$AB$501,0))&amp;"","")</f>
        <v/>
      </c>
      <c r="N201" s="25" t="str">
        <f aca="false">IFERROR(INDEX(종합!N$3:N$501,MATCH(ROW()-2,종합!$AB$3:$AB$501,0))&amp;"","")</f>
        <v/>
      </c>
      <c r="O201" s="21" t="str">
        <f aca="false">IFERROR(INDEX(종합!O$3:O$501,MATCH(ROW()-2,종합!$AB$3:$AB$501,0))&amp;"","")</f>
        <v/>
      </c>
      <c r="P201" s="21" t="str">
        <f aca="false">IFERROR(INDEX(종합!P$3:P$501,MATCH(ROW()-2,종합!$AB$3:$AB$501,0))&amp;"","")</f>
        <v/>
      </c>
      <c r="Q201" s="21" t="str">
        <f aca="false">IFERROR(INDEX(종합!Q$3:Q$501,MATCH(ROW()-2,종합!$AB$3:$AB$501,0))&amp;"","")</f>
        <v/>
      </c>
      <c r="R201" s="21" t="str">
        <f aca="false">IFERROR(INDEX(종합!R$3:R$501,MATCH(ROW()-2,종합!$AB$3:$AB$501,0))&amp;"","")</f>
        <v/>
      </c>
      <c r="S201" s="21" t="str">
        <f aca="false">IFERROR(INDEX(종합!S$3:S$501,MATCH(ROW()-2,종합!$AB$3:$AB$501,0))&amp;"","")</f>
        <v/>
      </c>
      <c r="T201" s="21" t="str">
        <f aca="false">IFERROR(INDEX(종합!T$3:T$501,MATCH(ROW()-2,종합!$AB$3:$AB$501,0))&amp;"","")</f>
        <v/>
      </c>
      <c r="U201" s="21" t="str">
        <f aca="false">IFERROR(INDEX(종합!U$3:U$501,MATCH(ROW()-2,종합!$AB$3:$AB$501,0))&amp;"","")</f>
        <v/>
      </c>
      <c r="V201" s="21" t="str">
        <f aca="false">IFERROR(INDEX(종합!V$3:V$501,MATCH(ROW()-2,종합!$AB$3:$AB$501,0))&amp;"","")</f>
        <v/>
      </c>
      <c r="W201" s="21" t="str">
        <f aca="false">IFERROR(INDEX(종합!W$3:W$501,MATCH(ROW()-2,종합!$AB$3:$AB$501,0))&amp;"","")</f>
        <v/>
      </c>
      <c r="X201" s="21" t="str">
        <f aca="false">IFERROR(INDEX(종합!X$3:X$501,MATCH(ROW()-2,종합!$AB$3:$AB$501,0))&amp;"","")</f>
        <v/>
      </c>
      <c r="Y201" s="21" t="str">
        <f aca="false">IFERROR(INDEX(종합!Y$3:Y$501,MATCH(ROW()-2,종합!$AB$3:$AB$501,0))&amp;"","")</f>
        <v/>
      </c>
      <c r="Z201" s="21" t="str">
        <f aca="false">IFERROR(INDEX(종합!Z$3:Z$501,MATCH(ROW()-2,종합!$AB$3:$AB$501,0))&amp;"","")</f>
        <v/>
      </c>
    </row>
    <row r="202" customFormat="false" ht="16.5" hidden="false" customHeight="true" outlineLevel="0" collapsed="false">
      <c r="A202" s="18" t="str">
        <f aca="false">IF(B202="","",ROW()-2)</f>
        <v/>
      </c>
      <c r="B202" s="18" t="str">
        <f aca="false">IFERROR(INDEX(종합!B$3:B$501,MATCH(ROW()-2,종합!$AB$3:$AB$501,0))&amp;"","")</f>
        <v/>
      </c>
      <c r="C202" s="18" t="str">
        <f aca="false">IFERROR(INDEX(종합!C$3:C$501,MATCH(ROW()-2,종합!$AB$3:$AB$501,0))&amp;"","")</f>
        <v/>
      </c>
      <c r="D202" s="18" t="str">
        <f aca="false">IFERROR(INDEX(종합!D$3:D$501,MATCH(ROW()-2,종합!$AB$3:$AB$501,0))&amp;"","")</f>
        <v/>
      </c>
      <c r="E202" s="18" t="str">
        <f aca="false">IFERROR(INDEX(종합!E$3:E$501,MATCH(ROW()-2,종합!$AB$3:$AB$501,0))&amp;"","")</f>
        <v/>
      </c>
      <c r="F202" s="18" t="str">
        <f aca="false">IFERROR(INDEX(종합!F$3:F$501,MATCH(ROW()-2,종합!$AB$3:$AB$501,0))&amp;"","")</f>
        <v/>
      </c>
      <c r="G202" s="18" t="str">
        <f aca="false">IFERROR(INDEX(종합!G$3:G$501,MATCH(ROW()-2,종합!$AB$3:$AB$501,0))&amp;"","")</f>
        <v/>
      </c>
      <c r="H202" s="21" t="str">
        <f aca="false">IFERROR(INDEX(종합!H$3:H$501,MATCH(ROW()-2,종합!$AB$3:$AB$501,0))&amp;"","")</f>
        <v/>
      </c>
      <c r="I202" s="21" t="str">
        <f aca="false">IFERROR(INDEX(종합!I$3:I$501,MATCH(ROW()-2,종합!$AB$3:$AB$501,0))&amp;"","")</f>
        <v/>
      </c>
      <c r="J202" s="21" t="str">
        <f aca="false">IFERROR(INDEX(종합!J$3:J$501,MATCH(ROW()-2,종합!$AB$3:$AB$501,0))&amp;"","")</f>
        <v/>
      </c>
      <c r="K202" s="21" t="str">
        <f aca="false">IFERROR(INDEX(종합!K$3:K$501,MATCH(ROW()-2,종합!$AB$3:$AB$501,0))&amp;"","")</f>
        <v/>
      </c>
      <c r="L202" s="21" t="str">
        <f aca="false">IFERROR(INDEX(종합!L$3:L$501,MATCH(ROW()-2,종합!$AB$3:$AB$501,0))&amp;"","")</f>
        <v/>
      </c>
      <c r="M202" s="21" t="str">
        <f aca="false">IFERROR(INDEX(종합!M$3:M$501,MATCH(ROW()-2,종합!$AB$3:$AB$501,0))&amp;"","")</f>
        <v/>
      </c>
      <c r="N202" s="25" t="str">
        <f aca="false">IFERROR(INDEX(종합!N$3:N$501,MATCH(ROW()-2,종합!$AB$3:$AB$501,0))&amp;"","")</f>
        <v/>
      </c>
      <c r="O202" s="21" t="str">
        <f aca="false">IFERROR(INDEX(종합!O$3:O$501,MATCH(ROW()-2,종합!$AB$3:$AB$501,0))&amp;"","")</f>
        <v/>
      </c>
      <c r="P202" s="21" t="str">
        <f aca="false">IFERROR(INDEX(종합!P$3:P$501,MATCH(ROW()-2,종합!$AB$3:$AB$501,0))&amp;"","")</f>
        <v/>
      </c>
      <c r="Q202" s="21" t="str">
        <f aca="false">IFERROR(INDEX(종합!Q$3:Q$501,MATCH(ROW()-2,종합!$AB$3:$AB$501,0))&amp;"","")</f>
        <v/>
      </c>
      <c r="R202" s="21" t="str">
        <f aca="false">IFERROR(INDEX(종합!R$3:R$501,MATCH(ROW()-2,종합!$AB$3:$AB$501,0))&amp;"","")</f>
        <v/>
      </c>
      <c r="S202" s="21" t="str">
        <f aca="false">IFERROR(INDEX(종합!S$3:S$501,MATCH(ROW()-2,종합!$AB$3:$AB$501,0))&amp;"","")</f>
        <v/>
      </c>
      <c r="T202" s="21" t="str">
        <f aca="false">IFERROR(INDEX(종합!T$3:T$501,MATCH(ROW()-2,종합!$AB$3:$AB$501,0))&amp;"","")</f>
        <v/>
      </c>
      <c r="U202" s="21" t="str">
        <f aca="false">IFERROR(INDEX(종합!U$3:U$501,MATCH(ROW()-2,종합!$AB$3:$AB$501,0))&amp;"","")</f>
        <v/>
      </c>
      <c r="V202" s="21" t="str">
        <f aca="false">IFERROR(INDEX(종합!V$3:V$501,MATCH(ROW()-2,종합!$AB$3:$AB$501,0))&amp;"","")</f>
        <v/>
      </c>
      <c r="W202" s="21" t="str">
        <f aca="false">IFERROR(INDEX(종합!W$3:W$501,MATCH(ROW()-2,종합!$AB$3:$AB$501,0))&amp;"","")</f>
        <v/>
      </c>
      <c r="X202" s="21" t="str">
        <f aca="false">IFERROR(INDEX(종합!X$3:X$501,MATCH(ROW()-2,종합!$AB$3:$AB$501,0))&amp;"","")</f>
        <v/>
      </c>
      <c r="Y202" s="21" t="str">
        <f aca="false">IFERROR(INDEX(종합!Y$3:Y$501,MATCH(ROW()-2,종합!$AB$3:$AB$501,0))&amp;"","")</f>
        <v/>
      </c>
      <c r="Z202" s="21" t="str">
        <f aca="false">IFERROR(INDEX(종합!Z$3:Z$501,MATCH(ROW()-2,종합!$AB$3:$AB$501,0))&amp;"","")</f>
        <v/>
      </c>
    </row>
    <row r="203" customFormat="false" ht="16.5" hidden="false" customHeight="true" outlineLevel="0" collapsed="false">
      <c r="A203" s="18" t="str">
        <f aca="false">IF(B203="","",ROW()-2)</f>
        <v/>
      </c>
      <c r="B203" s="18" t="str">
        <f aca="false">IFERROR(INDEX(종합!B$3:B$501,MATCH(ROW()-2,종합!$AB$3:$AB$501,0))&amp;"","")</f>
        <v/>
      </c>
      <c r="C203" s="18" t="str">
        <f aca="false">IFERROR(INDEX(종합!C$3:C$501,MATCH(ROW()-2,종합!$AB$3:$AB$501,0))&amp;"","")</f>
        <v/>
      </c>
      <c r="D203" s="18" t="str">
        <f aca="false">IFERROR(INDEX(종합!D$3:D$501,MATCH(ROW()-2,종합!$AB$3:$AB$501,0))&amp;"","")</f>
        <v/>
      </c>
      <c r="E203" s="18" t="str">
        <f aca="false">IFERROR(INDEX(종합!E$3:E$501,MATCH(ROW()-2,종합!$AB$3:$AB$501,0))&amp;"","")</f>
        <v/>
      </c>
      <c r="F203" s="18" t="str">
        <f aca="false">IFERROR(INDEX(종합!F$3:F$501,MATCH(ROW()-2,종합!$AB$3:$AB$501,0))&amp;"","")</f>
        <v/>
      </c>
      <c r="G203" s="18" t="str">
        <f aca="false">IFERROR(INDEX(종합!G$3:G$501,MATCH(ROW()-2,종합!$AB$3:$AB$501,0))&amp;"","")</f>
        <v/>
      </c>
      <c r="H203" s="21" t="str">
        <f aca="false">IFERROR(INDEX(종합!H$3:H$501,MATCH(ROW()-2,종합!$AB$3:$AB$501,0))&amp;"","")</f>
        <v/>
      </c>
      <c r="I203" s="21" t="str">
        <f aca="false">IFERROR(INDEX(종합!I$3:I$501,MATCH(ROW()-2,종합!$AB$3:$AB$501,0))&amp;"","")</f>
        <v/>
      </c>
      <c r="J203" s="21" t="str">
        <f aca="false">IFERROR(INDEX(종합!J$3:J$501,MATCH(ROW()-2,종합!$AB$3:$AB$501,0))&amp;"","")</f>
        <v/>
      </c>
      <c r="K203" s="21" t="str">
        <f aca="false">IFERROR(INDEX(종합!K$3:K$501,MATCH(ROW()-2,종합!$AB$3:$AB$501,0))&amp;"","")</f>
        <v/>
      </c>
      <c r="L203" s="21" t="str">
        <f aca="false">IFERROR(INDEX(종합!L$3:L$501,MATCH(ROW()-2,종합!$AB$3:$AB$501,0))&amp;"","")</f>
        <v/>
      </c>
      <c r="M203" s="21" t="str">
        <f aca="false">IFERROR(INDEX(종합!M$3:M$501,MATCH(ROW()-2,종합!$AB$3:$AB$501,0))&amp;"","")</f>
        <v/>
      </c>
      <c r="N203" s="25" t="str">
        <f aca="false">IFERROR(INDEX(종합!N$3:N$501,MATCH(ROW()-2,종합!$AB$3:$AB$501,0))&amp;"","")</f>
        <v/>
      </c>
      <c r="O203" s="21" t="str">
        <f aca="false">IFERROR(INDEX(종합!O$3:O$501,MATCH(ROW()-2,종합!$AB$3:$AB$501,0))&amp;"","")</f>
        <v/>
      </c>
      <c r="P203" s="21" t="str">
        <f aca="false">IFERROR(INDEX(종합!P$3:P$501,MATCH(ROW()-2,종합!$AB$3:$AB$501,0))&amp;"","")</f>
        <v/>
      </c>
      <c r="Q203" s="21" t="str">
        <f aca="false">IFERROR(INDEX(종합!Q$3:Q$501,MATCH(ROW()-2,종합!$AB$3:$AB$501,0))&amp;"","")</f>
        <v/>
      </c>
      <c r="R203" s="21" t="str">
        <f aca="false">IFERROR(INDEX(종합!R$3:R$501,MATCH(ROW()-2,종합!$AB$3:$AB$501,0))&amp;"","")</f>
        <v/>
      </c>
      <c r="S203" s="21" t="str">
        <f aca="false">IFERROR(INDEX(종합!S$3:S$501,MATCH(ROW()-2,종합!$AB$3:$AB$501,0))&amp;"","")</f>
        <v/>
      </c>
      <c r="T203" s="21" t="str">
        <f aca="false">IFERROR(INDEX(종합!T$3:T$501,MATCH(ROW()-2,종합!$AB$3:$AB$501,0))&amp;"","")</f>
        <v/>
      </c>
      <c r="U203" s="21" t="str">
        <f aca="false">IFERROR(INDEX(종합!U$3:U$501,MATCH(ROW()-2,종합!$AB$3:$AB$501,0))&amp;"","")</f>
        <v/>
      </c>
      <c r="V203" s="21" t="str">
        <f aca="false">IFERROR(INDEX(종합!V$3:V$501,MATCH(ROW()-2,종합!$AB$3:$AB$501,0))&amp;"","")</f>
        <v/>
      </c>
      <c r="W203" s="21" t="str">
        <f aca="false">IFERROR(INDEX(종합!W$3:W$501,MATCH(ROW()-2,종합!$AB$3:$AB$501,0))&amp;"","")</f>
        <v/>
      </c>
      <c r="X203" s="21" t="str">
        <f aca="false">IFERROR(INDEX(종합!X$3:X$501,MATCH(ROW()-2,종합!$AB$3:$AB$501,0))&amp;"","")</f>
        <v/>
      </c>
      <c r="Y203" s="21" t="str">
        <f aca="false">IFERROR(INDEX(종합!Y$3:Y$501,MATCH(ROW()-2,종합!$AB$3:$AB$501,0))&amp;"","")</f>
        <v/>
      </c>
      <c r="Z203" s="21" t="str">
        <f aca="false">IFERROR(INDEX(종합!Z$3:Z$501,MATCH(ROW()-2,종합!$AB$3:$AB$501,0))&amp;"","")</f>
        <v/>
      </c>
    </row>
    <row r="204" customFormat="false" ht="16.5" hidden="false" customHeight="true" outlineLevel="0" collapsed="false">
      <c r="A204" s="18" t="str">
        <f aca="false">IF(B204="","",ROW()-2)</f>
        <v/>
      </c>
      <c r="B204" s="18" t="str">
        <f aca="false">IFERROR(INDEX(종합!B$3:B$501,MATCH(ROW()-2,종합!$AB$3:$AB$501,0))&amp;"","")</f>
        <v/>
      </c>
      <c r="C204" s="18" t="str">
        <f aca="false">IFERROR(INDEX(종합!C$3:C$501,MATCH(ROW()-2,종합!$AB$3:$AB$501,0))&amp;"","")</f>
        <v/>
      </c>
      <c r="D204" s="18" t="str">
        <f aca="false">IFERROR(INDEX(종합!D$3:D$501,MATCH(ROW()-2,종합!$AB$3:$AB$501,0))&amp;"","")</f>
        <v/>
      </c>
      <c r="E204" s="18" t="str">
        <f aca="false">IFERROR(INDEX(종합!E$3:E$501,MATCH(ROW()-2,종합!$AB$3:$AB$501,0))&amp;"","")</f>
        <v/>
      </c>
      <c r="F204" s="18" t="str">
        <f aca="false">IFERROR(INDEX(종합!F$3:F$501,MATCH(ROW()-2,종합!$AB$3:$AB$501,0))&amp;"","")</f>
        <v/>
      </c>
      <c r="G204" s="18" t="str">
        <f aca="false">IFERROR(INDEX(종합!G$3:G$501,MATCH(ROW()-2,종합!$AB$3:$AB$501,0))&amp;"","")</f>
        <v/>
      </c>
      <c r="H204" s="21" t="str">
        <f aca="false">IFERROR(INDEX(종합!H$3:H$501,MATCH(ROW()-2,종합!$AB$3:$AB$501,0))&amp;"","")</f>
        <v/>
      </c>
      <c r="I204" s="21" t="str">
        <f aca="false">IFERROR(INDEX(종합!I$3:I$501,MATCH(ROW()-2,종합!$AB$3:$AB$501,0))&amp;"","")</f>
        <v/>
      </c>
      <c r="J204" s="21" t="str">
        <f aca="false">IFERROR(INDEX(종합!J$3:J$501,MATCH(ROW()-2,종합!$AB$3:$AB$501,0))&amp;"","")</f>
        <v/>
      </c>
      <c r="K204" s="21" t="str">
        <f aca="false">IFERROR(INDEX(종합!K$3:K$501,MATCH(ROW()-2,종합!$AB$3:$AB$501,0))&amp;"","")</f>
        <v/>
      </c>
      <c r="L204" s="21" t="str">
        <f aca="false">IFERROR(INDEX(종합!L$3:L$501,MATCH(ROW()-2,종합!$AB$3:$AB$501,0))&amp;"","")</f>
        <v/>
      </c>
      <c r="M204" s="21" t="str">
        <f aca="false">IFERROR(INDEX(종합!M$3:M$501,MATCH(ROW()-2,종합!$AB$3:$AB$501,0))&amp;"","")</f>
        <v/>
      </c>
      <c r="N204" s="25" t="str">
        <f aca="false">IFERROR(INDEX(종합!N$3:N$501,MATCH(ROW()-2,종합!$AB$3:$AB$501,0))&amp;"","")</f>
        <v/>
      </c>
      <c r="O204" s="21" t="str">
        <f aca="false">IFERROR(INDEX(종합!O$3:O$501,MATCH(ROW()-2,종합!$AB$3:$AB$501,0))&amp;"","")</f>
        <v/>
      </c>
      <c r="P204" s="21" t="str">
        <f aca="false">IFERROR(INDEX(종합!P$3:P$501,MATCH(ROW()-2,종합!$AB$3:$AB$501,0))&amp;"","")</f>
        <v/>
      </c>
      <c r="Q204" s="21" t="str">
        <f aca="false">IFERROR(INDEX(종합!Q$3:Q$501,MATCH(ROW()-2,종합!$AB$3:$AB$501,0))&amp;"","")</f>
        <v/>
      </c>
      <c r="R204" s="21" t="str">
        <f aca="false">IFERROR(INDEX(종합!R$3:R$501,MATCH(ROW()-2,종합!$AB$3:$AB$501,0))&amp;"","")</f>
        <v/>
      </c>
      <c r="S204" s="21" t="str">
        <f aca="false">IFERROR(INDEX(종합!S$3:S$501,MATCH(ROW()-2,종합!$AB$3:$AB$501,0))&amp;"","")</f>
        <v/>
      </c>
      <c r="T204" s="21" t="str">
        <f aca="false">IFERROR(INDEX(종합!T$3:T$501,MATCH(ROW()-2,종합!$AB$3:$AB$501,0))&amp;"","")</f>
        <v/>
      </c>
      <c r="U204" s="21" t="str">
        <f aca="false">IFERROR(INDEX(종합!U$3:U$501,MATCH(ROW()-2,종합!$AB$3:$AB$501,0))&amp;"","")</f>
        <v/>
      </c>
      <c r="V204" s="21" t="str">
        <f aca="false">IFERROR(INDEX(종합!V$3:V$501,MATCH(ROW()-2,종합!$AB$3:$AB$501,0))&amp;"","")</f>
        <v/>
      </c>
      <c r="W204" s="21" t="str">
        <f aca="false">IFERROR(INDEX(종합!W$3:W$501,MATCH(ROW()-2,종합!$AB$3:$AB$501,0))&amp;"","")</f>
        <v/>
      </c>
      <c r="X204" s="21" t="str">
        <f aca="false">IFERROR(INDEX(종합!X$3:X$501,MATCH(ROW()-2,종합!$AB$3:$AB$501,0))&amp;"","")</f>
        <v/>
      </c>
      <c r="Y204" s="21" t="str">
        <f aca="false">IFERROR(INDEX(종합!Y$3:Y$501,MATCH(ROW()-2,종합!$AB$3:$AB$501,0))&amp;"","")</f>
        <v/>
      </c>
      <c r="Z204" s="21" t="str">
        <f aca="false">IFERROR(INDEX(종합!Z$3:Z$501,MATCH(ROW()-2,종합!$AB$3:$AB$501,0))&amp;"","")</f>
        <v/>
      </c>
    </row>
    <row r="205" customFormat="false" ht="16.5" hidden="false" customHeight="true" outlineLevel="0" collapsed="false">
      <c r="A205" s="18" t="str">
        <f aca="false">IF(B205="","",ROW()-2)</f>
        <v/>
      </c>
      <c r="B205" s="18" t="str">
        <f aca="false">IFERROR(INDEX(종합!B$3:B$501,MATCH(ROW()-2,종합!$AB$3:$AB$501,0))&amp;"","")</f>
        <v/>
      </c>
      <c r="C205" s="18" t="str">
        <f aca="false">IFERROR(INDEX(종합!C$3:C$501,MATCH(ROW()-2,종합!$AB$3:$AB$501,0))&amp;"","")</f>
        <v/>
      </c>
      <c r="D205" s="18" t="str">
        <f aca="false">IFERROR(INDEX(종합!D$3:D$501,MATCH(ROW()-2,종합!$AB$3:$AB$501,0))&amp;"","")</f>
        <v/>
      </c>
      <c r="E205" s="18" t="str">
        <f aca="false">IFERROR(INDEX(종합!E$3:E$501,MATCH(ROW()-2,종합!$AB$3:$AB$501,0))&amp;"","")</f>
        <v/>
      </c>
      <c r="F205" s="18" t="str">
        <f aca="false">IFERROR(INDEX(종합!F$3:F$501,MATCH(ROW()-2,종합!$AB$3:$AB$501,0))&amp;"","")</f>
        <v/>
      </c>
      <c r="G205" s="18" t="str">
        <f aca="false">IFERROR(INDEX(종합!G$3:G$501,MATCH(ROW()-2,종합!$AB$3:$AB$501,0))&amp;"","")</f>
        <v/>
      </c>
      <c r="H205" s="21" t="str">
        <f aca="false">IFERROR(INDEX(종합!H$3:H$501,MATCH(ROW()-2,종합!$AB$3:$AB$501,0))&amp;"","")</f>
        <v/>
      </c>
      <c r="I205" s="21" t="str">
        <f aca="false">IFERROR(INDEX(종합!I$3:I$501,MATCH(ROW()-2,종합!$AB$3:$AB$501,0))&amp;"","")</f>
        <v/>
      </c>
      <c r="J205" s="21" t="str">
        <f aca="false">IFERROR(INDEX(종합!J$3:J$501,MATCH(ROW()-2,종합!$AB$3:$AB$501,0))&amp;"","")</f>
        <v/>
      </c>
      <c r="K205" s="21" t="str">
        <f aca="false">IFERROR(INDEX(종합!K$3:K$501,MATCH(ROW()-2,종합!$AB$3:$AB$501,0))&amp;"","")</f>
        <v/>
      </c>
      <c r="L205" s="21" t="str">
        <f aca="false">IFERROR(INDEX(종합!L$3:L$501,MATCH(ROW()-2,종합!$AB$3:$AB$501,0))&amp;"","")</f>
        <v/>
      </c>
      <c r="M205" s="21" t="str">
        <f aca="false">IFERROR(INDEX(종합!M$3:M$501,MATCH(ROW()-2,종합!$AB$3:$AB$501,0))&amp;"","")</f>
        <v/>
      </c>
      <c r="N205" s="25" t="str">
        <f aca="false">IFERROR(INDEX(종합!N$3:N$501,MATCH(ROW()-2,종합!$AB$3:$AB$501,0))&amp;"","")</f>
        <v/>
      </c>
      <c r="O205" s="21" t="str">
        <f aca="false">IFERROR(INDEX(종합!O$3:O$501,MATCH(ROW()-2,종합!$AB$3:$AB$501,0))&amp;"","")</f>
        <v/>
      </c>
      <c r="P205" s="21" t="str">
        <f aca="false">IFERROR(INDEX(종합!P$3:P$501,MATCH(ROW()-2,종합!$AB$3:$AB$501,0))&amp;"","")</f>
        <v/>
      </c>
      <c r="Q205" s="21" t="str">
        <f aca="false">IFERROR(INDEX(종합!Q$3:Q$501,MATCH(ROW()-2,종합!$AB$3:$AB$501,0))&amp;"","")</f>
        <v/>
      </c>
      <c r="R205" s="21" t="str">
        <f aca="false">IFERROR(INDEX(종합!R$3:R$501,MATCH(ROW()-2,종합!$AB$3:$AB$501,0))&amp;"","")</f>
        <v/>
      </c>
      <c r="S205" s="21" t="str">
        <f aca="false">IFERROR(INDEX(종합!S$3:S$501,MATCH(ROW()-2,종합!$AB$3:$AB$501,0))&amp;"","")</f>
        <v/>
      </c>
      <c r="T205" s="21" t="str">
        <f aca="false">IFERROR(INDEX(종합!T$3:T$501,MATCH(ROW()-2,종합!$AB$3:$AB$501,0))&amp;"","")</f>
        <v/>
      </c>
      <c r="U205" s="21" t="str">
        <f aca="false">IFERROR(INDEX(종합!U$3:U$501,MATCH(ROW()-2,종합!$AB$3:$AB$501,0))&amp;"","")</f>
        <v/>
      </c>
      <c r="V205" s="21" t="str">
        <f aca="false">IFERROR(INDEX(종합!V$3:V$501,MATCH(ROW()-2,종합!$AB$3:$AB$501,0))&amp;"","")</f>
        <v/>
      </c>
      <c r="W205" s="21" t="str">
        <f aca="false">IFERROR(INDEX(종합!W$3:W$501,MATCH(ROW()-2,종합!$AB$3:$AB$501,0))&amp;"","")</f>
        <v/>
      </c>
      <c r="X205" s="21" t="str">
        <f aca="false">IFERROR(INDEX(종합!X$3:X$501,MATCH(ROW()-2,종합!$AB$3:$AB$501,0))&amp;"","")</f>
        <v/>
      </c>
      <c r="Y205" s="21" t="str">
        <f aca="false">IFERROR(INDEX(종합!Y$3:Y$501,MATCH(ROW()-2,종합!$AB$3:$AB$501,0))&amp;"","")</f>
        <v/>
      </c>
      <c r="Z205" s="21" t="str">
        <f aca="false">IFERROR(INDEX(종합!Z$3:Z$501,MATCH(ROW()-2,종합!$AB$3:$AB$501,0))&amp;"","")</f>
        <v/>
      </c>
    </row>
    <row r="206" customFormat="false" ht="16.5" hidden="false" customHeight="true" outlineLevel="0" collapsed="false">
      <c r="A206" s="18" t="str">
        <f aca="false">IF(B206="","",ROW()-2)</f>
        <v/>
      </c>
      <c r="B206" s="18" t="str">
        <f aca="false">IFERROR(INDEX(종합!B$3:B$501,MATCH(ROW()-2,종합!$AB$3:$AB$501,0))&amp;"","")</f>
        <v/>
      </c>
      <c r="C206" s="18" t="str">
        <f aca="false">IFERROR(INDEX(종합!C$3:C$501,MATCH(ROW()-2,종합!$AB$3:$AB$501,0))&amp;"","")</f>
        <v/>
      </c>
      <c r="D206" s="18" t="str">
        <f aca="false">IFERROR(INDEX(종합!D$3:D$501,MATCH(ROW()-2,종합!$AB$3:$AB$501,0))&amp;"","")</f>
        <v/>
      </c>
      <c r="E206" s="18" t="str">
        <f aca="false">IFERROR(INDEX(종합!E$3:E$501,MATCH(ROW()-2,종합!$AB$3:$AB$501,0))&amp;"","")</f>
        <v/>
      </c>
      <c r="F206" s="18" t="str">
        <f aca="false">IFERROR(INDEX(종합!F$3:F$501,MATCH(ROW()-2,종합!$AB$3:$AB$501,0))&amp;"","")</f>
        <v/>
      </c>
      <c r="G206" s="18" t="str">
        <f aca="false">IFERROR(INDEX(종합!G$3:G$501,MATCH(ROW()-2,종합!$AB$3:$AB$501,0))&amp;"","")</f>
        <v/>
      </c>
      <c r="H206" s="21" t="str">
        <f aca="false">IFERROR(INDEX(종합!H$3:H$501,MATCH(ROW()-2,종합!$AB$3:$AB$501,0))&amp;"","")</f>
        <v/>
      </c>
      <c r="I206" s="21" t="str">
        <f aca="false">IFERROR(INDEX(종합!I$3:I$501,MATCH(ROW()-2,종합!$AB$3:$AB$501,0))&amp;"","")</f>
        <v/>
      </c>
      <c r="J206" s="21" t="str">
        <f aca="false">IFERROR(INDEX(종합!J$3:J$501,MATCH(ROW()-2,종합!$AB$3:$AB$501,0))&amp;"","")</f>
        <v/>
      </c>
      <c r="K206" s="21" t="str">
        <f aca="false">IFERROR(INDEX(종합!K$3:K$501,MATCH(ROW()-2,종합!$AB$3:$AB$501,0))&amp;"","")</f>
        <v/>
      </c>
      <c r="L206" s="21" t="str">
        <f aca="false">IFERROR(INDEX(종합!L$3:L$501,MATCH(ROW()-2,종합!$AB$3:$AB$501,0))&amp;"","")</f>
        <v/>
      </c>
      <c r="M206" s="21" t="str">
        <f aca="false">IFERROR(INDEX(종합!M$3:M$501,MATCH(ROW()-2,종합!$AB$3:$AB$501,0))&amp;"","")</f>
        <v/>
      </c>
      <c r="N206" s="25" t="str">
        <f aca="false">IFERROR(INDEX(종합!N$3:N$501,MATCH(ROW()-2,종합!$AB$3:$AB$501,0))&amp;"","")</f>
        <v/>
      </c>
      <c r="O206" s="21" t="str">
        <f aca="false">IFERROR(INDEX(종합!O$3:O$501,MATCH(ROW()-2,종합!$AB$3:$AB$501,0))&amp;"","")</f>
        <v/>
      </c>
      <c r="P206" s="21" t="str">
        <f aca="false">IFERROR(INDEX(종합!P$3:P$501,MATCH(ROW()-2,종합!$AB$3:$AB$501,0))&amp;"","")</f>
        <v/>
      </c>
      <c r="Q206" s="21" t="str">
        <f aca="false">IFERROR(INDEX(종합!Q$3:Q$501,MATCH(ROW()-2,종합!$AB$3:$AB$501,0))&amp;"","")</f>
        <v/>
      </c>
      <c r="R206" s="21" t="str">
        <f aca="false">IFERROR(INDEX(종합!R$3:R$501,MATCH(ROW()-2,종합!$AB$3:$AB$501,0))&amp;"","")</f>
        <v/>
      </c>
      <c r="S206" s="21" t="str">
        <f aca="false">IFERROR(INDEX(종합!S$3:S$501,MATCH(ROW()-2,종합!$AB$3:$AB$501,0))&amp;"","")</f>
        <v/>
      </c>
      <c r="T206" s="21" t="str">
        <f aca="false">IFERROR(INDEX(종합!T$3:T$501,MATCH(ROW()-2,종합!$AB$3:$AB$501,0))&amp;"","")</f>
        <v/>
      </c>
      <c r="U206" s="21" t="str">
        <f aca="false">IFERROR(INDEX(종합!U$3:U$501,MATCH(ROW()-2,종합!$AB$3:$AB$501,0))&amp;"","")</f>
        <v/>
      </c>
      <c r="V206" s="21" t="str">
        <f aca="false">IFERROR(INDEX(종합!V$3:V$501,MATCH(ROW()-2,종합!$AB$3:$AB$501,0))&amp;"","")</f>
        <v/>
      </c>
      <c r="W206" s="21" t="str">
        <f aca="false">IFERROR(INDEX(종합!W$3:W$501,MATCH(ROW()-2,종합!$AB$3:$AB$501,0))&amp;"","")</f>
        <v/>
      </c>
      <c r="X206" s="21" t="str">
        <f aca="false">IFERROR(INDEX(종합!X$3:X$501,MATCH(ROW()-2,종합!$AB$3:$AB$501,0))&amp;"","")</f>
        <v/>
      </c>
      <c r="Y206" s="21" t="str">
        <f aca="false">IFERROR(INDEX(종합!Y$3:Y$501,MATCH(ROW()-2,종합!$AB$3:$AB$501,0))&amp;"","")</f>
        <v/>
      </c>
      <c r="Z206" s="21" t="str">
        <f aca="false">IFERROR(INDEX(종합!Z$3:Z$501,MATCH(ROW()-2,종합!$AB$3:$AB$501,0))&amp;"","")</f>
        <v/>
      </c>
    </row>
    <row r="207" customFormat="false" ht="16.5" hidden="false" customHeight="true" outlineLevel="0" collapsed="false">
      <c r="A207" s="18" t="str">
        <f aca="false">IF(B207="","",ROW()-2)</f>
        <v/>
      </c>
      <c r="B207" s="18" t="str">
        <f aca="false">IFERROR(INDEX(종합!B$3:B$501,MATCH(ROW()-2,종합!$AB$3:$AB$501,0))&amp;"","")</f>
        <v/>
      </c>
      <c r="C207" s="18" t="str">
        <f aca="false">IFERROR(INDEX(종합!C$3:C$501,MATCH(ROW()-2,종합!$AB$3:$AB$501,0))&amp;"","")</f>
        <v/>
      </c>
      <c r="D207" s="18" t="str">
        <f aca="false">IFERROR(INDEX(종합!D$3:D$501,MATCH(ROW()-2,종합!$AB$3:$AB$501,0))&amp;"","")</f>
        <v/>
      </c>
      <c r="E207" s="18" t="str">
        <f aca="false">IFERROR(INDEX(종합!E$3:E$501,MATCH(ROW()-2,종합!$AB$3:$AB$501,0))&amp;"","")</f>
        <v/>
      </c>
      <c r="F207" s="18" t="str">
        <f aca="false">IFERROR(INDEX(종합!F$3:F$501,MATCH(ROW()-2,종합!$AB$3:$AB$501,0))&amp;"","")</f>
        <v/>
      </c>
      <c r="G207" s="18" t="str">
        <f aca="false">IFERROR(INDEX(종합!G$3:G$501,MATCH(ROW()-2,종합!$AB$3:$AB$501,0))&amp;"","")</f>
        <v/>
      </c>
      <c r="H207" s="21" t="str">
        <f aca="false">IFERROR(INDEX(종합!H$3:H$501,MATCH(ROW()-2,종합!$AB$3:$AB$501,0))&amp;"","")</f>
        <v/>
      </c>
      <c r="I207" s="21" t="str">
        <f aca="false">IFERROR(INDEX(종합!I$3:I$501,MATCH(ROW()-2,종합!$AB$3:$AB$501,0))&amp;"","")</f>
        <v/>
      </c>
      <c r="J207" s="21" t="str">
        <f aca="false">IFERROR(INDEX(종합!J$3:J$501,MATCH(ROW()-2,종합!$AB$3:$AB$501,0))&amp;"","")</f>
        <v/>
      </c>
      <c r="K207" s="21" t="str">
        <f aca="false">IFERROR(INDEX(종합!K$3:K$501,MATCH(ROW()-2,종합!$AB$3:$AB$501,0))&amp;"","")</f>
        <v/>
      </c>
      <c r="L207" s="21" t="str">
        <f aca="false">IFERROR(INDEX(종합!L$3:L$501,MATCH(ROW()-2,종합!$AB$3:$AB$501,0))&amp;"","")</f>
        <v/>
      </c>
      <c r="M207" s="21" t="str">
        <f aca="false">IFERROR(INDEX(종합!M$3:M$501,MATCH(ROW()-2,종합!$AB$3:$AB$501,0))&amp;"","")</f>
        <v/>
      </c>
      <c r="N207" s="25" t="str">
        <f aca="false">IFERROR(INDEX(종합!N$3:N$501,MATCH(ROW()-2,종합!$AB$3:$AB$501,0))&amp;"","")</f>
        <v/>
      </c>
      <c r="O207" s="21" t="str">
        <f aca="false">IFERROR(INDEX(종합!O$3:O$501,MATCH(ROW()-2,종합!$AB$3:$AB$501,0))&amp;"","")</f>
        <v/>
      </c>
      <c r="P207" s="21" t="str">
        <f aca="false">IFERROR(INDEX(종합!P$3:P$501,MATCH(ROW()-2,종합!$AB$3:$AB$501,0))&amp;"","")</f>
        <v/>
      </c>
      <c r="Q207" s="21" t="str">
        <f aca="false">IFERROR(INDEX(종합!Q$3:Q$501,MATCH(ROW()-2,종합!$AB$3:$AB$501,0))&amp;"","")</f>
        <v/>
      </c>
      <c r="R207" s="21" t="str">
        <f aca="false">IFERROR(INDEX(종합!R$3:R$501,MATCH(ROW()-2,종합!$AB$3:$AB$501,0))&amp;"","")</f>
        <v/>
      </c>
      <c r="S207" s="21" t="str">
        <f aca="false">IFERROR(INDEX(종합!S$3:S$501,MATCH(ROW()-2,종합!$AB$3:$AB$501,0))&amp;"","")</f>
        <v/>
      </c>
      <c r="T207" s="21" t="str">
        <f aca="false">IFERROR(INDEX(종합!T$3:T$501,MATCH(ROW()-2,종합!$AB$3:$AB$501,0))&amp;"","")</f>
        <v/>
      </c>
      <c r="U207" s="21" t="str">
        <f aca="false">IFERROR(INDEX(종합!U$3:U$501,MATCH(ROW()-2,종합!$AB$3:$AB$501,0))&amp;"","")</f>
        <v/>
      </c>
      <c r="V207" s="21" t="str">
        <f aca="false">IFERROR(INDEX(종합!V$3:V$501,MATCH(ROW()-2,종합!$AB$3:$AB$501,0))&amp;"","")</f>
        <v/>
      </c>
      <c r="W207" s="21" t="str">
        <f aca="false">IFERROR(INDEX(종합!W$3:W$501,MATCH(ROW()-2,종합!$AB$3:$AB$501,0))&amp;"","")</f>
        <v/>
      </c>
      <c r="X207" s="21" t="str">
        <f aca="false">IFERROR(INDEX(종합!X$3:X$501,MATCH(ROW()-2,종합!$AB$3:$AB$501,0))&amp;"","")</f>
        <v/>
      </c>
      <c r="Y207" s="21" t="str">
        <f aca="false">IFERROR(INDEX(종합!Y$3:Y$501,MATCH(ROW()-2,종합!$AB$3:$AB$501,0))&amp;"","")</f>
        <v/>
      </c>
      <c r="Z207" s="21" t="str">
        <f aca="false">IFERROR(INDEX(종합!Z$3:Z$501,MATCH(ROW()-2,종합!$AB$3:$AB$501,0))&amp;"","")</f>
        <v/>
      </c>
    </row>
    <row r="208" customFormat="false" ht="16.5" hidden="false" customHeight="true" outlineLevel="0" collapsed="false">
      <c r="A208" s="18" t="str">
        <f aca="false">IF(B208="","",ROW()-2)</f>
        <v/>
      </c>
      <c r="B208" s="18" t="str">
        <f aca="false">IFERROR(INDEX(종합!B$3:B$501,MATCH(ROW()-2,종합!$AB$3:$AB$501,0))&amp;"","")</f>
        <v/>
      </c>
      <c r="C208" s="18" t="str">
        <f aca="false">IFERROR(INDEX(종합!C$3:C$501,MATCH(ROW()-2,종합!$AB$3:$AB$501,0))&amp;"","")</f>
        <v/>
      </c>
      <c r="D208" s="18" t="str">
        <f aca="false">IFERROR(INDEX(종합!D$3:D$501,MATCH(ROW()-2,종합!$AB$3:$AB$501,0))&amp;"","")</f>
        <v/>
      </c>
      <c r="E208" s="18" t="str">
        <f aca="false">IFERROR(INDEX(종합!E$3:E$501,MATCH(ROW()-2,종합!$AB$3:$AB$501,0))&amp;"","")</f>
        <v/>
      </c>
      <c r="F208" s="18" t="str">
        <f aca="false">IFERROR(INDEX(종합!F$3:F$501,MATCH(ROW()-2,종합!$AB$3:$AB$501,0))&amp;"","")</f>
        <v/>
      </c>
      <c r="G208" s="18" t="str">
        <f aca="false">IFERROR(INDEX(종합!G$3:G$501,MATCH(ROW()-2,종합!$AB$3:$AB$501,0))&amp;"","")</f>
        <v/>
      </c>
      <c r="H208" s="21" t="str">
        <f aca="false">IFERROR(INDEX(종합!H$3:H$501,MATCH(ROW()-2,종합!$AB$3:$AB$501,0))&amp;"","")</f>
        <v/>
      </c>
      <c r="I208" s="21" t="str">
        <f aca="false">IFERROR(INDEX(종합!I$3:I$501,MATCH(ROW()-2,종합!$AB$3:$AB$501,0))&amp;"","")</f>
        <v/>
      </c>
      <c r="J208" s="21" t="str">
        <f aca="false">IFERROR(INDEX(종합!J$3:J$501,MATCH(ROW()-2,종합!$AB$3:$AB$501,0))&amp;"","")</f>
        <v/>
      </c>
      <c r="K208" s="21" t="str">
        <f aca="false">IFERROR(INDEX(종합!K$3:K$501,MATCH(ROW()-2,종합!$AB$3:$AB$501,0))&amp;"","")</f>
        <v/>
      </c>
      <c r="L208" s="21" t="str">
        <f aca="false">IFERROR(INDEX(종합!L$3:L$501,MATCH(ROW()-2,종합!$AB$3:$AB$501,0))&amp;"","")</f>
        <v/>
      </c>
      <c r="M208" s="21" t="str">
        <f aca="false">IFERROR(INDEX(종합!M$3:M$501,MATCH(ROW()-2,종합!$AB$3:$AB$501,0))&amp;"","")</f>
        <v/>
      </c>
      <c r="N208" s="25" t="str">
        <f aca="false">IFERROR(INDEX(종합!N$3:N$501,MATCH(ROW()-2,종합!$AB$3:$AB$501,0))&amp;"","")</f>
        <v/>
      </c>
      <c r="O208" s="21" t="str">
        <f aca="false">IFERROR(INDEX(종합!O$3:O$501,MATCH(ROW()-2,종합!$AB$3:$AB$501,0))&amp;"","")</f>
        <v/>
      </c>
      <c r="P208" s="21" t="str">
        <f aca="false">IFERROR(INDEX(종합!P$3:P$501,MATCH(ROW()-2,종합!$AB$3:$AB$501,0))&amp;"","")</f>
        <v/>
      </c>
      <c r="Q208" s="21" t="str">
        <f aca="false">IFERROR(INDEX(종합!Q$3:Q$501,MATCH(ROW()-2,종합!$AB$3:$AB$501,0))&amp;"","")</f>
        <v/>
      </c>
      <c r="R208" s="21" t="str">
        <f aca="false">IFERROR(INDEX(종합!R$3:R$501,MATCH(ROW()-2,종합!$AB$3:$AB$501,0))&amp;"","")</f>
        <v/>
      </c>
      <c r="S208" s="21" t="str">
        <f aca="false">IFERROR(INDEX(종합!S$3:S$501,MATCH(ROW()-2,종합!$AB$3:$AB$501,0))&amp;"","")</f>
        <v/>
      </c>
      <c r="T208" s="21" t="str">
        <f aca="false">IFERROR(INDEX(종합!T$3:T$501,MATCH(ROW()-2,종합!$AB$3:$AB$501,0))&amp;"","")</f>
        <v/>
      </c>
      <c r="U208" s="21" t="str">
        <f aca="false">IFERROR(INDEX(종합!U$3:U$501,MATCH(ROW()-2,종합!$AB$3:$AB$501,0))&amp;"","")</f>
        <v/>
      </c>
      <c r="V208" s="21" t="str">
        <f aca="false">IFERROR(INDEX(종합!V$3:V$501,MATCH(ROW()-2,종합!$AB$3:$AB$501,0))&amp;"","")</f>
        <v/>
      </c>
      <c r="W208" s="21" t="str">
        <f aca="false">IFERROR(INDEX(종합!W$3:W$501,MATCH(ROW()-2,종합!$AB$3:$AB$501,0))&amp;"","")</f>
        <v/>
      </c>
      <c r="X208" s="21" t="str">
        <f aca="false">IFERROR(INDEX(종합!X$3:X$501,MATCH(ROW()-2,종합!$AB$3:$AB$501,0))&amp;"","")</f>
        <v/>
      </c>
      <c r="Y208" s="21" t="str">
        <f aca="false">IFERROR(INDEX(종합!Y$3:Y$501,MATCH(ROW()-2,종합!$AB$3:$AB$501,0))&amp;"","")</f>
        <v/>
      </c>
      <c r="Z208" s="21" t="str">
        <f aca="false">IFERROR(INDEX(종합!Z$3:Z$501,MATCH(ROW()-2,종합!$AB$3:$AB$501,0))&amp;"","")</f>
        <v/>
      </c>
    </row>
    <row r="209" customFormat="false" ht="16.5" hidden="false" customHeight="true" outlineLevel="0" collapsed="false">
      <c r="A209" s="18" t="str">
        <f aca="false">IF(B209="","",ROW()-2)</f>
        <v/>
      </c>
      <c r="B209" s="18" t="str">
        <f aca="false">IFERROR(INDEX(종합!B$3:B$501,MATCH(ROW()-2,종합!$AB$3:$AB$501,0))&amp;"","")</f>
        <v/>
      </c>
      <c r="C209" s="18" t="str">
        <f aca="false">IFERROR(INDEX(종합!C$3:C$501,MATCH(ROW()-2,종합!$AB$3:$AB$501,0))&amp;"","")</f>
        <v/>
      </c>
      <c r="D209" s="18" t="str">
        <f aca="false">IFERROR(INDEX(종합!D$3:D$501,MATCH(ROW()-2,종합!$AB$3:$AB$501,0))&amp;"","")</f>
        <v/>
      </c>
      <c r="E209" s="18" t="str">
        <f aca="false">IFERROR(INDEX(종합!E$3:E$501,MATCH(ROW()-2,종합!$AB$3:$AB$501,0))&amp;"","")</f>
        <v/>
      </c>
      <c r="F209" s="18" t="str">
        <f aca="false">IFERROR(INDEX(종합!F$3:F$501,MATCH(ROW()-2,종합!$AB$3:$AB$501,0))&amp;"","")</f>
        <v/>
      </c>
      <c r="G209" s="18" t="str">
        <f aca="false">IFERROR(INDEX(종합!G$3:G$501,MATCH(ROW()-2,종합!$AB$3:$AB$501,0))&amp;"","")</f>
        <v/>
      </c>
      <c r="H209" s="21" t="str">
        <f aca="false">IFERROR(INDEX(종합!H$3:H$501,MATCH(ROW()-2,종합!$AB$3:$AB$501,0))&amp;"","")</f>
        <v/>
      </c>
      <c r="I209" s="21" t="str">
        <f aca="false">IFERROR(INDEX(종합!I$3:I$501,MATCH(ROW()-2,종합!$AB$3:$AB$501,0))&amp;"","")</f>
        <v/>
      </c>
      <c r="J209" s="21" t="str">
        <f aca="false">IFERROR(INDEX(종합!J$3:J$501,MATCH(ROW()-2,종합!$AB$3:$AB$501,0))&amp;"","")</f>
        <v/>
      </c>
      <c r="K209" s="21" t="str">
        <f aca="false">IFERROR(INDEX(종합!K$3:K$501,MATCH(ROW()-2,종합!$AB$3:$AB$501,0))&amp;"","")</f>
        <v/>
      </c>
      <c r="L209" s="21" t="str">
        <f aca="false">IFERROR(INDEX(종합!L$3:L$501,MATCH(ROW()-2,종합!$AB$3:$AB$501,0))&amp;"","")</f>
        <v/>
      </c>
      <c r="M209" s="21" t="str">
        <f aca="false">IFERROR(INDEX(종합!M$3:M$501,MATCH(ROW()-2,종합!$AB$3:$AB$501,0))&amp;"","")</f>
        <v/>
      </c>
      <c r="N209" s="25" t="str">
        <f aca="false">IFERROR(INDEX(종합!N$3:N$501,MATCH(ROW()-2,종합!$AB$3:$AB$501,0))&amp;"","")</f>
        <v/>
      </c>
      <c r="O209" s="21" t="str">
        <f aca="false">IFERROR(INDEX(종합!O$3:O$501,MATCH(ROW()-2,종합!$AB$3:$AB$501,0))&amp;"","")</f>
        <v/>
      </c>
      <c r="P209" s="21" t="str">
        <f aca="false">IFERROR(INDEX(종합!P$3:P$501,MATCH(ROW()-2,종합!$AB$3:$AB$501,0))&amp;"","")</f>
        <v/>
      </c>
      <c r="Q209" s="21" t="str">
        <f aca="false">IFERROR(INDEX(종합!Q$3:Q$501,MATCH(ROW()-2,종합!$AB$3:$AB$501,0))&amp;"","")</f>
        <v/>
      </c>
      <c r="R209" s="21" t="str">
        <f aca="false">IFERROR(INDEX(종합!R$3:R$501,MATCH(ROW()-2,종합!$AB$3:$AB$501,0))&amp;"","")</f>
        <v/>
      </c>
      <c r="S209" s="21" t="str">
        <f aca="false">IFERROR(INDEX(종합!S$3:S$501,MATCH(ROW()-2,종합!$AB$3:$AB$501,0))&amp;"","")</f>
        <v/>
      </c>
      <c r="T209" s="21" t="str">
        <f aca="false">IFERROR(INDEX(종합!T$3:T$501,MATCH(ROW()-2,종합!$AB$3:$AB$501,0))&amp;"","")</f>
        <v/>
      </c>
      <c r="U209" s="21" t="str">
        <f aca="false">IFERROR(INDEX(종합!U$3:U$501,MATCH(ROW()-2,종합!$AB$3:$AB$501,0))&amp;"","")</f>
        <v/>
      </c>
      <c r="V209" s="21" t="str">
        <f aca="false">IFERROR(INDEX(종합!V$3:V$501,MATCH(ROW()-2,종합!$AB$3:$AB$501,0))&amp;"","")</f>
        <v/>
      </c>
      <c r="W209" s="21" t="str">
        <f aca="false">IFERROR(INDEX(종합!W$3:W$501,MATCH(ROW()-2,종합!$AB$3:$AB$501,0))&amp;"","")</f>
        <v/>
      </c>
      <c r="X209" s="21" t="str">
        <f aca="false">IFERROR(INDEX(종합!X$3:X$501,MATCH(ROW()-2,종합!$AB$3:$AB$501,0))&amp;"","")</f>
        <v/>
      </c>
      <c r="Y209" s="21" t="str">
        <f aca="false">IFERROR(INDEX(종합!Y$3:Y$501,MATCH(ROW()-2,종합!$AB$3:$AB$501,0))&amp;"","")</f>
        <v/>
      </c>
      <c r="Z209" s="21" t="str">
        <f aca="false">IFERROR(INDEX(종합!Z$3:Z$501,MATCH(ROW()-2,종합!$AB$3:$AB$501,0))&amp;"","")</f>
        <v/>
      </c>
    </row>
    <row r="210" customFormat="false" ht="16.5" hidden="false" customHeight="true" outlineLevel="0" collapsed="false">
      <c r="A210" s="18" t="str">
        <f aca="false">IF(B210="","",ROW()-2)</f>
        <v/>
      </c>
      <c r="B210" s="18" t="str">
        <f aca="false">IFERROR(INDEX(종합!B$3:B$501,MATCH(ROW()-2,종합!$AB$3:$AB$501,0))&amp;"","")</f>
        <v/>
      </c>
      <c r="C210" s="18" t="str">
        <f aca="false">IFERROR(INDEX(종합!C$3:C$501,MATCH(ROW()-2,종합!$AB$3:$AB$501,0))&amp;"","")</f>
        <v/>
      </c>
      <c r="D210" s="18" t="str">
        <f aca="false">IFERROR(INDEX(종합!D$3:D$501,MATCH(ROW()-2,종합!$AB$3:$AB$501,0))&amp;"","")</f>
        <v/>
      </c>
      <c r="E210" s="18" t="str">
        <f aca="false">IFERROR(INDEX(종합!E$3:E$501,MATCH(ROW()-2,종합!$AB$3:$AB$501,0))&amp;"","")</f>
        <v/>
      </c>
      <c r="F210" s="18" t="str">
        <f aca="false">IFERROR(INDEX(종합!F$3:F$501,MATCH(ROW()-2,종합!$AB$3:$AB$501,0))&amp;"","")</f>
        <v/>
      </c>
      <c r="G210" s="18" t="str">
        <f aca="false">IFERROR(INDEX(종합!G$3:G$501,MATCH(ROW()-2,종합!$AB$3:$AB$501,0))&amp;"","")</f>
        <v/>
      </c>
      <c r="H210" s="21" t="str">
        <f aca="false">IFERROR(INDEX(종합!H$3:H$501,MATCH(ROW()-2,종합!$AB$3:$AB$501,0))&amp;"","")</f>
        <v/>
      </c>
      <c r="I210" s="21" t="str">
        <f aca="false">IFERROR(INDEX(종합!I$3:I$501,MATCH(ROW()-2,종합!$AB$3:$AB$501,0))&amp;"","")</f>
        <v/>
      </c>
      <c r="J210" s="21" t="str">
        <f aca="false">IFERROR(INDEX(종합!J$3:J$501,MATCH(ROW()-2,종합!$AB$3:$AB$501,0))&amp;"","")</f>
        <v/>
      </c>
      <c r="K210" s="21" t="str">
        <f aca="false">IFERROR(INDEX(종합!K$3:K$501,MATCH(ROW()-2,종합!$AB$3:$AB$501,0))&amp;"","")</f>
        <v/>
      </c>
      <c r="L210" s="21" t="str">
        <f aca="false">IFERROR(INDEX(종합!L$3:L$501,MATCH(ROW()-2,종합!$AB$3:$AB$501,0))&amp;"","")</f>
        <v/>
      </c>
      <c r="M210" s="21" t="str">
        <f aca="false">IFERROR(INDEX(종합!M$3:M$501,MATCH(ROW()-2,종합!$AB$3:$AB$501,0))&amp;"","")</f>
        <v/>
      </c>
      <c r="N210" s="25" t="str">
        <f aca="false">IFERROR(INDEX(종합!N$3:N$501,MATCH(ROW()-2,종합!$AB$3:$AB$501,0))&amp;"","")</f>
        <v/>
      </c>
      <c r="O210" s="21" t="str">
        <f aca="false">IFERROR(INDEX(종합!O$3:O$501,MATCH(ROW()-2,종합!$AB$3:$AB$501,0))&amp;"","")</f>
        <v/>
      </c>
      <c r="P210" s="21" t="str">
        <f aca="false">IFERROR(INDEX(종합!P$3:P$501,MATCH(ROW()-2,종합!$AB$3:$AB$501,0))&amp;"","")</f>
        <v/>
      </c>
      <c r="Q210" s="21" t="str">
        <f aca="false">IFERROR(INDEX(종합!Q$3:Q$501,MATCH(ROW()-2,종합!$AB$3:$AB$501,0))&amp;"","")</f>
        <v/>
      </c>
      <c r="R210" s="21" t="str">
        <f aca="false">IFERROR(INDEX(종합!R$3:R$501,MATCH(ROW()-2,종합!$AB$3:$AB$501,0))&amp;"","")</f>
        <v/>
      </c>
      <c r="S210" s="21" t="str">
        <f aca="false">IFERROR(INDEX(종합!S$3:S$501,MATCH(ROW()-2,종합!$AB$3:$AB$501,0))&amp;"","")</f>
        <v/>
      </c>
      <c r="T210" s="21" t="str">
        <f aca="false">IFERROR(INDEX(종합!T$3:T$501,MATCH(ROW()-2,종합!$AB$3:$AB$501,0))&amp;"","")</f>
        <v/>
      </c>
      <c r="U210" s="21" t="str">
        <f aca="false">IFERROR(INDEX(종합!U$3:U$501,MATCH(ROW()-2,종합!$AB$3:$AB$501,0))&amp;"","")</f>
        <v/>
      </c>
      <c r="V210" s="21" t="str">
        <f aca="false">IFERROR(INDEX(종합!V$3:V$501,MATCH(ROW()-2,종합!$AB$3:$AB$501,0))&amp;"","")</f>
        <v/>
      </c>
      <c r="W210" s="21" t="str">
        <f aca="false">IFERROR(INDEX(종합!W$3:W$501,MATCH(ROW()-2,종합!$AB$3:$AB$501,0))&amp;"","")</f>
        <v/>
      </c>
      <c r="X210" s="21" t="str">
        <f aca="false">IFERROR(INDEX(종합!X$3:X$501,MATCH(ROW()-2,종합!$AB$3:$AB$501,0))&amp;"","")</f>
        <v/>
      </c>
      <c r="Y210" s="21" t="str">
        <f aca="false">IFERROR(INDEX(종합!Y$3:Y$501,MATCH(ROW()-2,종합!$AB$3:$AB$501,0))&amp;"","")</f>
        <v/>
      </c>
      <c r="Z210" s="21" t="str">
        <f aca="false">IFERROR(INDEX(종합!Z$3:Z$501,MATCH(ROW()-2,종합!$AB$3:$AB$501,0))&amp;"","")</f>
        <v/>
      </c>
    </row>
    <row r="211" customFormat="false" ht="16.5" hidden="false" customHeight="true" outlineLevel="0" collapsed="false">
      <c r="A211" s="18" t="str">
        <f aca="false">IF(B211="","",ROW()-2)</f>
        <v/>
      </c>
      <c r="B211" s="18" t="str">
        <f aca="false">IFERROR(INDEX(종합!B$3:B$501,MATCH(ROW()-2,종합!$AB$3:$AB$501,0))&amp;"","")</f>
        <v/>
      </c>
      <c r="C211" s="18" t="str">
        <f aca="false">IFERROR(INDEX(종합!C$3:C$501,MATCH(ROW()-2,종합!$AB$3:$AB$501,0))&amp;"","")</f>
        <v/>
      </c>
      <c r="D211" s="18" t="str">
        <f aca="false">IFERROR(INDEX(종합!D$3:D$501,MATCH(ROW()-2,종합!$AB$3:$AB$501,0))&amp;"","")</f>
        <v/>
      </c>
      <c r="E211" s="18" t="str">
        <f aca="false">IFERROR(INDEX(종합!E$3:E$501,MATCH(ROW()-2,종합!$AB$3:$AB$501,0))&amp;"","")</f>
        <v/>
      </c>
      <c r="F211" s="18" t="str">
        <f aca="false">IFERROR(INDEX(종합!F$3:F$501,MATCH(ROW()-2,종합!$AB$3:$AB$501,0))&amp;"","")</f>
        <v/>
      </c>
      <c r="G211" s="18" t="str">
        <f aca="false">IFERROR(INDEX(종합!G$3:G$501,MATCH(ROW()-2,종합!$AB$3:$AB$501,0))&amp;"","")</f>
        <v/>
      </c>
      <c r="H211" s="21" t="str">
        <f aca="false">IFERROR(INDEX(종합!H$3:H$501,MATCH(ROW()-2,종합!$AB$3:$AB$501,0))&amp;"","")</f>
        <v/>
      </c>
      <c r="I211" s="21" t="str">
        <f aca="false">IFERROR(INDEX(종합!I$3:I$501,MATCH(ROW()-2,종합!$AB$3:$AB$501,0))&amp;"","")</f>
        <v/>
      </c>
      <c r="J211" s="21" t="str">
        <f aca="false">IFERROR(INDEX(종합!J$3:J$501,MATCH(ROW()-2,종합!$AB$3:$AB$501,0))&amp;"","")</f>
        <v/>
      </c>
      <c r="K211" s="21" t="str">
        <f aca="false">IFERROR(INDEX(종합!K$3:K$501,MATCH(ROW()-2,종합!$AB$3:$AB$501,0))&amp;"","")</f>
        <v/>
      </c>
      <c r="L211" s="21" t="str">
        <f aca="false">IFERROR(INDEX(종합!L$3:L$501,MATCH(ROW()-2,종합!$AB$3:$AB$501,0))&amp;"","")</f>
        <v/>
      </c>
      <c r="M211" s="21" t="str">
        <f aca="false">IFERROR(INDEX(종합!M$3:M$501,MATCH(ROW()-2,종합!$AB$3:$AB$501,0))&amp;"","")</f>
        <v/>
      </c>
      <c r="N211" s="25" t="str">
        <f aca="false">IFERROR(INDEX(종합!N$3:N$501,MATCH(ROW()-2,종합!$AB$3:$AB$501,0))&amp;"","")</f>
        <v/>
      </c>
      <c r="O211" s="21" t="str">
        <f aca="false">IFERROR(INDEX(종합!O$3:O$501,MATCH(ROW()-2,종합!$AB$3:$AB$501,0))&amp;"","")</f>
        <v/>
      </c>
      <c r="P211" s="21" t="str">
        <f aca="false">IFERROR(INDEX(종합!P$3:P$501,MATCH(ROW()-2,종합!$AB$3:$AB$501,0))&amp;"","")</f>
        <v/>
      </c>
      <c r="Q211" s="21" t="str">
        <f aca="false">IFERROR(INDEX(종합!Q$3:Q$501,MATCH(ROW()-2,종합!$AB$3:$AB$501,0))&amp;"","")</f>
        <v/>
      </c>
      <c r="R211" s="21" t="str">
        <f aca="false">IFERROR(INDEX(종합!R$3:R$501,MATCH(ROW()-2,종합!$AB$3:$AB$501,0))&amp;"","")</f>
        <v/>
      </c>
      <c r="S211" s="21" t="str">
        <f aca="false">IFERROR(INDEX(종합!S$3:S$501,MATCH(ROW()-2,종합!$AB$3:$AB$501,0))&amp;"","")</f>
        <v/>
      </c>
      <c r="T211" s="21" t="str">
        <f aca="false">IFERROR(INDEX(종합!T$3:T$501,MATCH(ROW()-2,종합!$AB$3:$AB$501,0))&amp;"","")</f>
        <v/>
      </c>
      <c r="U211" s="21" t="str">
        <f aca="false">IFERROR(INDEX(종합!U$3:U$501,MATCH(ROW()-2,종합!$AB$3:$AB$501,0))&amp;"","")</f>
        <v/>
      </c>
      <c r="V211" s="21" t="str">
        <f aca="false">IFERROR(INDEX(종합!V$3:V$501,MATCH(ROW()-2,종합!$AB$3:$AB$501,0))&amp;"","")</f>
        <v/>
      </c>
      <c r="W211" s="21" t="str">
        <f aca="false">IFERROR(INDEX(종합!W$3:W$501,MATCH(ROW()-2,종합!$AB$3:$AB$501,0))&amp;"","")</f>
        <v/>
      </c>
      <c r="X211" s="21" t="str">
        <f aca="false">IFERROR(INDEX(종합!X$3:X$501,MATCH(ROW()-2,종합!$AB$3:$AB$501,0))&amp;"","")</f>
        <v/>
      </c>
      <c r="Y211" s="21" t="str">
        <f aca="false">IFERROR(INDEX(종합!Y$3:Y$501,MATCH(ROW()-2,종합!$AB$3:$AB$501,0))&amp;"","")</f>
        <v/>
      </c>
      <c r="Z211" s="21" t="str">
        <f aca="false">IFERROR(INDEX(종합!Z$3:Z$501,MATCH(ROW()-2,종합!$AB$3:$AB$501,0))&amp;"","")</f>
        <v/>
      </c>
    </row>
    <row r="212" customFormat="false" ht="16.5" hidden="false" customHeight="true" outlineLevel="0" collapsed="false">
      <c r="A212" s="18" t="str">
        <f aca="false">IF(B212="","",ROW()-2)</f>
        <v/>
      </c>
      <c r="B212" s="18" t="str">
        <f aca="false">IFERROR(INDEX(종합!B$3:B$501,MATCH(ROW()-2,종합!$AB$3:$AB$501,0))&amp;"","")</f>
        <v/>
      </c>
      <c r="C212" s="18" t="str">
        <f aca="false">IFERROR(INDEX(종합!C$3:C$501,MATCH(ROW()-2,종합!$AB$3:$AB$501,0))&amp;"","")</f>
        <v/>
      </c>
      <c r="D212" s="18" t="str">
        <f aca="false">IFERROR(INDEX(종합!D$3:D$501,MATCH(ROW()-2,종합!$AB$3:$AB$501,0))&amp;"","")</f>
        <v/>
      </c>
      <c r="E212" s="18" t="str">
        <f aca="false">IFERROR(INDEX(종합!E$3:E$501,MATCH(ROW()-2,종합!$AB$3:$AB$501,0))&amp;"","")</f>
        <v/>
      </c>
      <c r="F212" s="18" t="str">
        <f aca="false">IFERROR(INDEX(종합!F$3:F$501,MATCH(ROW()-2,종합!$AB$3:$AB$501,0))&amp;"","")</f>
        <v/>
      </c>
      <c r="G212" s="18" t="str">
        <f aca="false">IFERROR(INDEX(종합!G$3:G$501,MATCH(ROW()-2,종합!$AB$3:$AB$501,0))&amp;"","")</f>
        <v/>
      </c>
      <c r="H212" s="21" t="str">
        <f aca="false">IFERROR(INDEX(종합!H$3:H$501,MATCH(ROW()-2,종합!$AB$3:$AB$501,0))&amp;"","")</f>
        <v/>
      </c>
      <c r="I212" s="21" t="str">
        <f aca="false">IFERROR(INDEX(종합!I$3:I$501,MATCH(ROW()-2,종합!$AB$3:$AB$501,0))&amp;"","")</f>
        <v/>
      </c>
      <c r="J212" s="21" t="str">
        <f aca="false">IFERROR(INDEX(종합!J$3:J$501,MATCH(ROW()-2,종합!$AB$3:$AB$501,0))&amp;"","")</f>
        <v/>
      </c>
      <c r="K212" s="21" t="str">
        <f aca="false">IFERROR(INDEX(종합!K$3:K$501,MATCH(ROW()-2,종합!$AB$3:$AB$501,0))&amp;"","")</f>
        <v/>
      </c>
      <c r="L212" s="21" t="str">
        <f aca="false">IFERROR(INDEX(종합!L$3:L$501,MATCH(ROW()-2,종합!$AB$3:$AB$501,0))&amp;"","")</f>
        <v/>
      </c>
      <c r="M212" s="21" t="str">
        <f aca="false">IFERROR(INDEX(종합!M$3:M$501,MATCH(ROW()-2,종합!$AB$3:$AB$501,0))&amp;"","")</f>
        <v/>
      </c>
      <c r="N212" s="25" t="str">
        <f aca="false">IFERROR(INDEX(종합!N$3:N$501,MATCH(ROW()-2,종합!$AB$3:$AB$501,0))&amp;"","")</f>
        <v/>
      </c>
      <c r="O212" s="21" t="str">
        <f aca="false">IFERROR(INDEX(종합!O$3:O$501,MATCH(ROW()-2,종합!$AB$3:$AB$501,0))&amp;"","")</f>
        <v/>
      </c>
      <c r="P212" s="21" t="str">
        <f aca="false">IFERROR(INDEX(종합!P$3:P$501,MATCH(ROW()-2,종합!$AB$3:$AB$501,0))&amp;"","")</f>
        <v/>
      </c>
      <c r="Q212" s="21" t="str">
        <f aca="false">IFERROR(INDEX(종합!Q$3:Q$501,MATCH(ROW()-2,종합!$AB$3:$AB$501,0))&amp;"","")</f>
        <v/>
      </c>
      <c r="R212" s="21" t="str">
        <f aca="false">IFERROR(INDEX(종합!R$3:R$501,MATCH(ROW()-2,종합!$AB$3:$AB$501,0))&amp;"","")</f>
        <v/>
      </c>
      <c r="S212" s="21" t="str">
        <f aca="false">IFERROR(INDEX(종합!S$3:S$501,MATCH(ROW()-2,종합!$AB$3:$AB$501,0))&amp;"","")</f>
        <v/>
      </c>
      <c r="T212" s="21" t="str">
        <f aca="false">IFERROR(INDEX(종합!T$3:T$501,MATCH(ROW()-2,종합!$AB$3:$AB$501,0))&amp;"","")</f>
        <v/>
      </c>
      <c r="U212" s="21" t="str">
        <f aca="false">IFERROR(INDEX(종합!U$3:U$501,MATCH(ROW()-2,종합!$AB$3:$AB$501,0))&amp;"","")</f>
        <v/>
      </c>
      <c r="V212" s="21" t="str">
        <f aca="false">IFERROR(INDEX(종합!V$3:V$501,MATCH(ROW()-2,종합!$AB$3:$AB$501,0))&amp;"","")</f>
        <v/>
      </c>
      <c r="W212" s="21" t="str">
        <f aca="false">IFERROR(INDEX(종합!W$3:W$501,MATCH(ROW()-2,종합!$AB$3:$AB$501,0))&amp;"","")</f>
        <v/>
      </c>
      <c r="X212" s="21" t="str">
        <f aca="false">IFERROR(INDEX(종합!X$3:X$501,MATCH(ROW()-2,종합!$AB$3:$AB$501,0))&amp;"","")</f>
        <v/>
      </c>
      <c r="Y212" s="21" t="str">
        <f aca="false">IFERROR(INDEX(종합!Y$3:Y$501,MATCH(ROW()-2,종합!$AB$3:$AB$501,0))&amp;"","")</f>
        <v/>
      </c>
      <c r="Z212" s="21" t="str">
        <f aca="false">IFERROR(INDEX(종합!Z$3:Z$501,MATCH(ROW()-2,종합!$AB$3:$AB$501,0))&amp;"","")</f>
        <v/>
      </c>
    </row>
    <row r="213" customFormat="false" ht="16.5" hidden="false" customHeight="true" outlineLevel="0" collapsed="false">
      <c r="A213" s="18" t="str">
        <f aca="false">IF(B213="","",ROW()-2)</f>
        <v/>
      </c>
      <c r="B213" s="18" t="str">
        <f aca="false">IFERROR(INDEX(종합!B$3:B$501,MATCH(ROW()-2,종합!$AB$3:$AB$501,0))&amp;"","")</f>
        <v/>
      </c>
      <c r="C213" s="18" t="str">
        <f aca="false">IFERROR(INDEX(종합!C$3:C$501,MATCH(ROW()-2,종합!$AB$3:$AB$501,0))&amp;"","")</f>
        <v/>
      </c>
      <c r="D213" s="18" t="str">
        <f aca="false">IFERROR(INDEX(종합!D$3:D$501,MATCH(ROW()-2,종합!$AB$3:$AB$501,0))&amp;"","")</f>
        <v/>
      </c>
      <c r="E213" s="18" t="str">
        <f aca="false">IFERROR(INDEX(종합!E$3:E$501,MATCH(ROW()-2,종합!$AB$3:$AB$501,0))&amp;"","")</f>
        <v/>
      </c>
      <c r="F213" s="18" t="str">
        <f aca="false">IFERROR(INDEX(종합!F$3:F$501,MATCH(ROW()-2,종합!$AB$3:$AB$501,0))&amp;"","")</f>
        <v/>
      </c>
      <c r="G213" s="18" t="str">
        <f aca="false">IFERROR(INDEX(종합!G$3:G$501,MATCH(ROW()-2,종합!$AB$3:$AB$501,0))&amp;"","")</f>
        <v/>
      </c>
      <c r="H213" s="21" t="str">
        <f aca="false">IFERROR(INDEX(종합!H$3:H$501,MATCH(ROW()-2,종합!$AB$3:$AB$501,0))&amp;"","")</f>
        <v/>
      </c>
      <c r="I213" s="21" t="str">
        <f aca="false">IFERROR(INDEX(종합!I$3:I$501,MATCH(ROW()-2,종합!$AB$3:$AB$501,0))&amp;"","")</f>
        <v/>
      </c>
      <c r="J213" s="21" t="str">
        <f aca="false">IFERROR(INDEX(종합!J$3:J$501,MATCH(ROW()-2,종합!$AB$3:$AB$501,0))&amp;"","")</f>
        <v/>
      </c>
      <c r="K213" s="21" t="str">
        <f aca="false">IFERROR(INDEX(종합!K$3:K$501,MATCH(ROW()-2,종합!$AB$3:$AB$501,0))&amp;"","")</f>
        <v/>
      </c>
      <c r="L213" s="21" t="str">
        <f aca="false">IFERROR(INDEX(종합!L$3:L$501,MATCH(ROW()-2,종합!$AB$3:$AB$501,0))&amp;"","")</f>
        <v/>
      </c>
      <c r="M213" s="21" t="str">
        <f aca="false">IFERROR(INDEX(종합!M$3:M$501,MATCH(ROW()-2,종합!$AB$3:$AB$501,0))&amp;"","")</f>
        <v/>
      </c>
      <c r="N213" s="25" t="str">
        <f aca="false">IFERROR(INDEX(종합!N$3:N$501,MATCH(ROW()-2,종합!$AB$3:$AB$501,0))&amp;"","")</f>
        <v/>
      </c>
      <c r="O213" s="21" t="str">
        <f aca="false">IFERROR(INDEX(종합!O$3:O$501,MATCH(ROW()-2,종합!$AB$3:$AB$501,0))&amp;"","")</f>
        <v/>
      </c>
      <c r="P213" s="21" t="str">
        <f aca="false">IFERROR(INDEX(종합!P$3:P$501,MATCH(ROW()-2,종합!$AB$3:$AB$501,0))&amp;"","")</f>
        <v/>
      </c>
      <c r="Q213" s="21" t="str">
        <f aca="false">IFERROR(INDEX(종합!Q$3:Q$501,MATCH(ROW()-2,종합!$AB$3:$AB$501,0))&amp;"","")</f>
        <v/>
      </c>
      <c r="R213" s="21" t="str">
        <f aca="false">IFERROR(INDEX(종합!R$3:R$501,MATCH(ROW()-2,종합!$AB$3:$AB$501,0))&amp;"","")</f>
        <v/>
      </c>
      <c r="S213" s="21" t="str">
        <f aca="false">IFERROR(INDEX(종합!S$3:S$501,MATCH(ROW()-2,종합!$AB$3:$AB$501,0))&amp;"","")</f>
        <v/>
      </c>
      <c r="T213" s="21" t="str">
        <f aca="false">IFERROR(INDEX(종합!T$3:T$501,MATCH(ROW()-2,종합!$AB$3:$AB$501,0))&amp;"","")</f>
        <v/>
      </c>
      <c r="U213" s="21" t="str">
        <f aca="false">IFERROR(INDEX(종합!U$3:U$501,MATCH(ROW()-2,종합!$AB$3:$AB$501,0))&amp;"","")</f>
        <v/>
      </c>
      <c r="V213" s="21" t="str">
        <f aca="false">IFERROR(INDEX(종합!V$3:V$501,MATCH(ROW()-2,종합!$AB$3:$AB$501,0))&amp;"","")</f>
        <v/>
      </c>
      <c r="W213" s="21" t="str">
        <f aca="false">IFERROR(INDEX(종합!W$3:W$501,MATCH(ROW()-2,종합!$AB$3:$AB$501,0))&amp;"","")</f>
        <v/>
      </c>
      <c r="X213" s="21" t="str">
        <f aca="false">IFERROR(INDEX(종합!X$3:X$501,MATCH(ROW()-2,종합!$AB$3:$AB$501,0))&amp;"","")</f>
        <v/>
      </c>
      <c r="Y213" s="21" t="str">
        <f aca="false">IFERROR(INDEX(종합!Y$3:Y$501,MATCH(ROW()-2,종합!$AB$3:$AB$501,0))&amp;"","")</f>
        <v/>
      </c>
      <c r="Z213" s="21" t="str">
        <f aca="false">IFERROR(INDEX(종합!Z$3:Z$501,MATCH(ROW()-2,종합!$AB$3:$AB$501,0))&amp;"","")</f>
        <v/>
      </c>
    </row>
    <row r="214" customFormat="false" ht="16.5" hidden="false" customHeight="true" outlineLevel="0" collapsed="false">
      <c r="A214" s="18" t="str">
        <f aca="false">IF(B214="","",ROW()-2)</f>
        <v/>
      </c>
      <c r="B214" s="18" t="str">
        <f aca="false">IFERROR(INDEX(종합!B$3:B$501,MATCH(ROW()-2,종합!$AB$3:$AB$501,0))&amp;"","")</f>
        <v/>
      </c>
      <c r="C214" s="18" t="str">
        <f aca="false">IFERROR(INDEX(종합!C$3:C$501,MATCH(ROW()-2,종합!$AB$3:$AB$501,0))&amp;"","")</f>
        <v/>
      </c>
      <c r="D214" s="18" t="str">
        <f aca="false">IFERROR(INDEX(종합!D$3:D$501,MATCH(ROW()-2,종합!$AB$3:$AB$501,0))&amp;"","")</f>
        <v/>
      </c>
      <c r="E214" s="18" t="str">
        <f aca="false">IFERROR(INDEX(종합!E$3:E$501,MATCH(ROW()-2,종합!$AB$3:$AB$501,0))&amp;"","")</f>
        <v/>
      </c>
      <c r="F214" s="18" t="str">
        <f aca="false">IFERROR(INDEX(종합!F$3:F$501,MATCH(ROW()-2,종합!$AB$3:$AB$501,0))&amp;"","")</f>
        <v/>
      </c>
      <c r="G214" s="18" t="str">
        <f aca="false">IFERROR(INDEX(종합!G$3:G$501,MATCH(ROW()-2,종합!$AB$3:$AB$501,0))&amp;"","")</f>
        <v/>
      </c>
      <c r="H214" s="21" t="str">
        <f aca="false">IFERROR(INDEX(종합!H$3:H$501,MATCH(ROW()-2,종합!$AB$3:$AB$501,0))&amp;"","")</f>
        <v/>
      </c>
      <c r="I214" s="21" t="str">
        <f aca="false">IFERROR(INDEX(종합!I$3:I$501,MATCH(ROW()-2,종합!$AB$3:$AB$501,0))&amp;"","")</f>
        <v/>
      </c>
      <c r="J214" s="21" t="str">
        <f aca="false">IFERROR(INDEX(종합!J$3:J$501,MATCH(ROW()-2,종합!$AB$3:$AB$501,0))&amp;"","")</f>
        <v/>
      </c>
      <c r="K214" s="21" t="str">
        <f aca="false">IFERROR(INDEX(종합!K$3:K$501,MATCH(ROW()-2,종합!$AB$3:$AB$501,0))&amp;"","")</f>
        <v/>
      </c>
      <c r="L214" s="21" t="str">
        <f aca="false">IFERROR(INDEX(종합!L$3:L$501,MATCH(ROW()-2,종합!$AB$3:$AB$501,0))&amp;"","")</f>
        <v/>
      </c>
      <c r="M214" s="21" t="str">
        <f aca="false">IFERROR(INDEX(종합!M$3:M$501,MATCH(ROW()-2,종합!$AB$3:$AB$501,0))&amp;"","")</f>
        <v/>
      </c>
      <c r="N214" s="25" t="str">
        <f aca="false">IFERROR(INDEX(종합!N$3:N$501,MATCH(ROW()-2,종합!$AB$3:$AB$501,0))&amp;"","")</f>
        <v/>
      </c>
      <c r="O214" s="21" t="str">
        <f aca="false">IFERROR(INDEX(종합!O$3:O$501,MATCH(ROW()-2,종합!$AB$3:$AB$501,0))&amp;"","")</f>
        <v/>
      </c>
      <c r="P214" s="21" t="str">
        <f aca="false">IFERROR(INDEX(종합!P$3:P$501,MATCH(ROW()-2,종합!$AB$3:$AB$501,0))&amp;"","")</f>
        <v/>
      </c>
      <c r="Q214" s="21" t="str">
        <f aca="false">IFERROR(INDEX(종합!Q$3:Q$501,MATCH(ROW()-2,종합!$AB$3:$AB$501,0))&amp;"","")</f>
        <v/>
      </c>
      <c r="R214" s="21" t="str">
        <f aca="false">IFERROR(INDEX(종합!R$3:R$501,MATCH(ROW()-2,종합!$AB$3:$AB$501,0))&amp;"","")</f>
        <v/>
      </c>
      <c r="S214" s="21" t="str">
        <f aca="false">IFERROR(INDEX(종합!S$3:S$501,MATCH(ROW()-2,종합!$AB$3:$AB$501,0))&amp;"","")</f>
        <v/>
      </c>
      <c r="T214" s="21" t="str">
        <f aca="false">IFERROR(INDEX(종합!T$3:T$501,MATCH(ROW()-2,종합!$AB$3:$AB$501,0))&amp;"","")</f>
        <v/>
      </c>
      <c r="U214" s="21" t="str">
        <f aca="false">IFERROR(INDEX(종합!U$3:U$501,MATCH(ROW()-2,종합!$AB$3:$AB$501,0))&amp;"","")</f>
        <v/>
      </c>
      <c r="V214" s="21" t="str">
        <f aca="false">IFERROR(INDEX(종합!V$3:V$501,MATCH(ROW()-2,종합!$AB$3:$AB$501,0))&amp;"","")</f>
        <v/>
      </c>
      <c r="W214" s="21" t="str">
        <f aca="false">IFERROR(INDEX(종합!W$3:W$501,MATCH(ROW()-2,종합!$AB$3:$AB$501,0))&amp;"","")</f>
        <v/>
      </c>
      <c r="X214" s="21" t="str">
        <f aca="false">IFERROR(INDEX(종합!X$3:X$501,MATCH(ROW()-2,종합!$AB$3:$AB$501,0))&amp;"","")</f>
        <v/>
      </c>
      <c r="Y214" s="21" t="str">
        <f aca="false">IFERROR(INDEX(종합!Y$3:Y$501,MATCH(ROW()-2,종합!$AB$3:$AB$501,0))&amp;"","")</f>
        <v/>
      </c>
      <c r="Z214" s="21" t="str">
        <f aca="false">IFERROR(INDEX(종합!Z$3:Z$501,MATCH(ROW()-2,종합!$AB$3:$AB$501,0))&amp;"","")</f>
        <v/>
      </c>
    </row>
    <row r="215" customFormat="false" ht="16.5" hidden="false" customHeight="true" outlineLevel="0" collapsed="false">
      <c r="A215" s="18" t="str">
        <f aca="false">IF(B215="","",ROW()-2)</f>
        <v/>
      </c>
      <c r="B215" s="18" t="str">
        <f aca="false">IFERROR(INDEX(종합!B$3:B$501,MATCH(ROW()-2,종합!$AB$3:$AB$501,0))&amp;"","")</f>
        <v/>
      </c>
      <c r="C215" s="18" t="str">
        <f aca="false">IFERROR(INDEX(종합!C$3:C$501,MATCH(ROW()-2,종합!$AB$3:$AB$501,0))&amp;"","")</f>
        <v/>
      </c>
      <c r="D215" s="18" t="str">
        <f aca="false">IFERROR(INDEX(종합!D$3:D$501,MATCH(ROW()-2,종합!$AB$3:$AB$501,0))&amp;"","")</f>
        <v/>
      </c>
      <c r="E215" s="18" t="str">
        <f aca="false">IFERROR(INDEX(종합!E$3:E$501,MATCH(ROW()-2,종합!$AB$3:$AB$501,0))&amp;"","")</f>
        <v/>
      </c>
      <c r="F215" s="18" t="str">
        <f aca="false">IFERROR(INDEX(종합!F$3:F$501,MATCH(ROW()-2,종합!$AB$3:$AB$501,0))&amp;"","")</f>
        <v/>
      </c>
      <c r="G215" s="18" t="str">
        <f aca="false">IFERROR(INDEX(종합!G$3:G$501,MATCH(ROW()-2,종합!$AB$3:$AB$501,0))&amp;"","")</f>
        <v/>
      </c>
      <c r="H215" s="21" t="str">
        <f aca="false">IFERROR(INDEX(종합!H$3:H$501,MATCH(ROW()-2,종합!$AB$3:$AB$501,0))&amp;"","")</f>
        <v/>
      </c>
      <c r="I215" s="21" t="str">
        <f aca="false">IFERROR(INDEX(종합!I$3:I$501,MATCH(ROW()-2,종합!$AB$3:$AB$501,0))&amp;"","")</f>
        <v/>
      </c>
      <c r="J215" s="21" t="str">
        <f aca="false">IFERROR(INDEX(종합!J$3:J$501,MATCH(ROW()-2,종합!$AB$3:$AB$501,0))&amp;"","")</f>
        <v/>
      </c>
      <c r="K215" s="21" t="str">
        <f aca="false">IFERROR(INDEX(종합!K$3:K$501,MATCH(ROW()-2,종합!$AB$3:$AB$501,0))&amp;"","")</f>
        <v/>
      </c>
      <c r="L215" s="21" t="str">
        <f aca="false">IFERROR(INDEX(종합!L$3:L$501,MATCH(ROW()-2,종합!$AB$3:$AB$501,0))&amp;"","")</f>
        <v/>
      </c>
      <c r="M215" s="21" t="str">
        <f aca="false">IFERROR(INDEX(종합!M$3:M$501,MATCH(ROW()-2,종합!$AB$3:$AB$501,0))&amp;"","")</f>
        <v/>
      </c>
      <c r="N215" s="25" t="str">
        <f aca="false">IFERROR(INDEX(종합!N$3:N$501,MATCH(ROW()-2,종합!$AB$3:$AB$501,0))&amp;"","")</f>
        <v/>
      </c>
      <c r="O215" s="21" t="str">
        <f aca="false">IFERROR(INDEX(종합!O$3:O$501,MATCH(ROW()-2,종합!$AB$3:$AB$501,0))&amp;"","")</f>
        <v/>
      </c>
      <c r="P215" s="21" t="str">
        <f aca="false">IFERROR(INDEX(종합!P$3:P$501,MATCH(ROW()-2,종합!$AB$3:$AB$501,0))&amp;"","")</f>
        <v/>
      </c>
      <c r="Q215" s="21" t="str">
        <f aca="false">IFERROR(INDEX(종합!Q$3:Q$501,MATCH(ROW()-2,종합!$AB$3:$AB$501,0))&amp;"","")</f>
        <v/>
      </c>
      <c r="R215" s="21" t="str">
        <f aca="false">IFERROR(INDEX(종합!R$3:R$501,MATCH(ROW()-2,종합!$AB$3:$AB$501,0))&amp;"","")</f>
        <v/>
      </c>
      <c r="S215" s="21" t="str">
        <f aca="false">IFERROR(INDEX(종합!S$3:S$501,MATCH(ROW()-2,종합!$AB$3:$AB$501,0))&amp;"","")</f>
        <v/>
      </c>
      <c r="T215" s="21" t="str">
        <f aca="false">IFERROR(INDEX(종합!T$3:T$501,MATCH(ROW()-2,종합!$AB$3:$AB$501,0))&amp;"","")</f>
        <v/>
      </c>
      <c r="U215" s="21" t="str">
        <f aca="false">IFERROR(INDEX(종합!U$3:U$501,MATCH(ROW()-2,종합!$AB$3:$AB$501,0))&amp;"","")</f>
        <v/>
      </c>
      <c r="V215" s="21" t="str">
        <f aca="false">IFERROR(INDEX(종합!V$3:V$501,MATCH(ROW()-2,종합!$AB$3:$AB$501,0))&amp;"","")</f>
        <v/>
      </c>
      <c r="W215" s="21" t="str">
        <f aca="false">IFERROR(INDEX(종합!W$3:W$501,MATCH(ROW()-2,종합!$AB$3:$AB$501,0))&amp;"","")</f>
        <v/>
      </c>
      <c r="X215" s="21" t="str">
        <f aca="false">IFERROR(INDEX(종합!X$3:X$501,MATCH(ROW()-2,종합!$AB$3:$AB$501,0))&amp;"","")</f>
        <v/>
      </c>
      <c r="Y215" s="21" t="str">
        <f aca="false">IFERROR(INDEX(종합!Y$3:Y$501,MATCH(ROW()-2,종합!$AB$3:$AB$501,0))&amp;"","")</f>
        <v/>
      </c>
      <c r="Z215" s="21" t="str">
        <f aca="false">IFERROR(INDEX(종합!Z$3:Z$501,MATCH(ROW()-2,종합!$AB$3:$AB$501,0))&amp;"","")</f>
        <v/>
      </c>
    </row>
    <row r="216" customFormat="false" ht="16.5" hidden="false" customHeight="true" outlineLevel="0" collapsed="false">
      <c r="A216" s="18" t="str">
        <f aca="false">IF(B216="","",ROW()-2)</f>
        <v/>
      </c>
      <c r="B216" s="18" t="str">
        <f aca="false">IFERROR(INDEX(종합!B$3:B$501,MATCH(ROW()-2,종합!$AB$3:$AB$501,0))&amp;"","")</f>
        <v/>
      </c>
      <c r="C216" s="18" t="str">
        <f aca="false">IFERROR(INDEX(종합!C$3:C$501,MATCH(ROW()-2,종합!$AB$3:$AB$501,0))&amp;"","")</f>
        <v/>
      </c>
      <c r="D216" s="18" t="str">
        <f aca="false">IFERROR(INDEX(종합!D$3:D$501,MATCH(ROW()-2,종합!$AB$3:$AB$501,0))&amp;"","")</f>
        <v/>
      </c>
      <c r="E216" s="18" t="str">
        <f aca="false">IFERROR(INDEX(종합!E$3:E$501,MATCH(ROW()-2,종합!$AB$3:$AB$501,0))&amp;"","")</f>
        <v/>
      </c>
      <c r="F216" s="18" t="str">
        <f aca="false">IFERROR(INDEX(종합!F$3:F$501,MATCH(ROW()-2,종합!$AB$3:$AB$501,0))&amp;"","")</f>
        <v/>
      </c>
      <c r="G216" s="18" t="str">
        <f aca="false">IFERROR(INDEX(종합!G$3:G$501,MATCH(ROW()-2,종합!$AB$3:$AB$501,0))&amp;"","")</f>
        <v/>
      </c>
      <c r="H216" s="21" t="str">
        <f aca="false">IFERROR(INDEX(종합!H$3:H$501,MATCH(ROW()-2,종합!$AB$3:$AB$501,0))&amp;"","")</f>
        <v/>
      </c>
      <c r="I216" s="21" t="str">
        <f aca="false">IFERROR(INDEX(종합!I$3:I$501,MATCH(ROW()-2,종합!$AB$3:$AB$501,0))&amp;"","")</f>
        <v/>
      </c>
      <c r="J216" s="21" t="str">
        <f aca="false">IFERROR(INDEX(종합!J$3:J$501,MATCH(ROW()-2,종합!$AB$3:$AB$501,0))&amp;"","")</f>
        <v/>
      </c>
      <c r="K216" s="21" t="str">
        <f aca="false">IFERROR(INDEX(종합!K$3:K$501,MATCH(ROW()-2,종합!$AB$3:$AB$501,0))&amp;"","")</f>
        <v/>
      </c>
      <c r="L216" s="21" t="str">
        <f aca="false">IFERROR(INDEX(종합!L$3:L$501,MATCH(ROW()-2,종합!$AB$3:$AB$501,0))&amp;"","")</f>
        <v/>
      </c>
      <c r="M216" s="21" t="str">
        <f aca="false">IFERROR(INDEX(종합!M$3:M$501,MATCH(ROW()-2,종합!$AB$3:$AB$501,0))&amp;"","")</f>
        <v/>
      </c>
      <c r="N216" s="25" t="str">
        <f aca="false">IFERROR(INDEX(종합!N$3:N$501,MATCH(ROW()-2,종합!$AB$3:$AB$501,0))&amp;"","")</f>
        <v/>
      </c>
      <c r="O216" s="21" t="str">
        <f aca="false">IFERROR(INDEX(종합!O$3:O$501,MATCH(ROW()-2,종합!$AB$3:$AB$501,0))&amp;"","")</f>
        <v/>
      </c>
      <c r="P216" s="21" t="str">
        <f aca="false">IFERROR(INDEX(종합!P$3:P$501,MATCH(ROW()-2,종합!$AB$3:$AB$501,0))&amp;"","")</f>
        <v/>
      </c>
      <c r="Q216" s="21" t="str">
        <f aca="false">IFERROR(INDEX(종합!Q$3:Q$501,MATCH(ROW()-2,종합!$AB$3:$AB$501,0))&amp;"","")</f>
        <v/>
      </c>
      <c r="R216" s="21" t="str">
        <f aca="false">IFERROR(INDEX(종합!R$3:R$501,MATCH(ROW()-2,종합!$AB$3:$AB$501,0))&amp;"","")</f>
        <v/>
      </c>
      <c r="S216" s="21" t="str">
        <f aca="false">IFERROR(INDEX(종합!S$3:S$501,MATCH(ROW()-2,종합!$AB$3:$AB$501,0))&amp;"","")</f>
        <v/>
      </c>
      <c r="T216" s="21" t="str">
        <f aca="false">IFERROR(INDEX(종합!T$3:T$501,MATCH(ROW()-2,종합!$AB$3:$AB$501,0))&amp;"","")</f>
        <v/>
      </c>
      <c r="U216" s="21" t="str">
        <f aca="false">IFERROR(INDEX(종합!U$3:U$501,MATCH(ROW()-2,종합!$AB$3:$AB$501,0))&amp;"","")</f>
        <v/>
      </c>
      <c r="V216" s="21" t="str">
        <f aca="false">IFERROR(INDEX(종합!V$3:V$501,MATCH(ROW()-2,종합!$AB$3:$AB$501,0))&amp;"","")</f>
        <v/>
      </c>
      <c r="W216" s="21" t="str">
        <f aca="false">IFERROR(INDEX(종합!W$3:W$501,MATCH(ROW()-2,종합!$AB$3:$AB$501,0))&amp;"","")</f>
        <v/>
      </c>
      <c r="X216" s="21" t="str">
        <f aca="false">IFERROR(INDEX(종합!X$3:X$501,MATCH(ROW()-2,종합!$AB$3:$AB$501,0))&amp;"","")</f>
        <v/>
      </c>
      <c r="Y216" s="21" t="str">
        <f aca="false">IFERROR(INDEX(종합!Y$3:Y$501,MATCH(ROW()-2,종합!$AB$3:$AB$501,0))&amp;"","")</f>
        <v/>
      </c>
      <c r="Z216" s="21" t="str">
        <f aca="false">IFERROR(INDEX(종합!Z$3:Z$501,MATCH(ROW()-2,종합!$AB$3:$AB$501,0))&amp;"","")</f>
        <v/>
      </c>
    </row>
    <row r="217" customFormat="false" ht="16.5" hidden="false" customHeight="true" outlineLevel="0" collapsed="false">
      <c r="A217" s="18" t="str">
        <f aca="false">IF(B217="","",ROW()-2)</f>
        <v/>
      </c>
      <c r="B217" s="18" t="str">
        <f aca="false">IFERROR(INDEX(종합!B$3:B$501,MATCH(ROW()-2,종합!$AB$3:$AB$501,0))&amp;"","")</f>
        <v/>
      </c>
      <c r="C217" s="18" t="str">
        <f aca="false">IFERROR(INDEX(종합!C$3:C$501,MATCH(ROW()-2,종합!$AB$3:$AB$501,0))&amp;"","")</f>
        <v/>
      </c>
      <c r="D217" s="18" t="str">
        <f aca="false">IFERROR(INDEX(종합!D$3:D$501,MATCH(ROW()-2,종합!$AB$3:$AB$501,0))&amp;"","")</f>
        <v/>
      </c>
      <c r="E217" s="18" t="str">
        <f aca="false">IFERROR(INDEX(종합!E$3:E$501,MATCH(ROW()-2,종합!$AB$3:$AB$501,0))&amp;"","")</f>
        <v/>
      </c>
      <c r="F217" s="18" t="str">
        <f aca="false">IFERROR(INDEX(종합!F$3:F$501,MATCH(ROW()-2,종합!$AB$3:$AB$501,0))&amp;"","")</f>
        <v/>
      </c>
      <c r="G217" s="18" t="str">
        <f aca="false">IFERROR(INDEX(종합!G$3:G$501,MATCH(ROW()-2,종합!$AB$3:$AB$501,0))&amp;"","")</f>
        <v/>
      </c>
      <c r="H217" s="21" t="str">
        <f aca="false">IFERROR(INDEX(종합!H$3:H$501,MATCH(ROW()-2,종합!$AB$3:$AB$501,0))&amp;"","")</f>
        <v/>
      </c>
      <c r="I217" s="21" t="str">
        <f aca="false">IFERROR(INDEX(종합!I$3:I$501,MATCH(ROW()-2,종합!$AB$3:$AB$501,0))&amp;"","")</f>
        <v/>
      </c>
      <c r="J217" s="21" t="str">
        <f aca="false">IFERROR(INDEX(종합!J$3:J$501,MATCH(ROW()-2,종합!$AB$3:$AB$501,0))&amp;"","")</f>
        <v/>
      </c>
      <c r="K217" s="21" t="str">
        <f aca="false">IFERROR(INDEX(종합!K$3:K$501,MATCH(ROW()-2,종합!$AB$3:$AB$501,0))&amp;"","")</f>
        <v/>
      </c>
      <c r="L217" s="21" t="str">
        <f aca="false">IFERROR(INDEX(종합!L$3:L$501,MATCH(ROW()-2,종합!$AB$3:$AB$501,0))&amp;"","")</f>
        <v/>
      </c>
      <c r="M217" s="21" t="str">
        <f aca="false">IFERROR(INDEX(종합!M$3:M$501,MATCH(ROW()-2,종합!$AB$3:$AB$501,0))&amp;"","")</f>
        <v/>
      </c>
      <c r="N217" s="25" t="str">
        <f aca="false">IFERROR(INDEX(종합!N$3:N$501,MATCH(ROW()-2,종합!$AB$3:$AB$501,0))&amp;"","")</f>
        <v/>
      </c>
      <c r="O217" s="21" t="str">
        <f aca="false">IFERROR(INDEX(종합!O$3:O$501,MATCH(ROW()-2,종합!$AB$3:$AB$501,0))&amp;"","")</f>
        <v/>
      </c>
      <c r="P217" s="21" t="str">
        <f aca="false">IFERROR(INDEX(종합!P$3:P$501,MATCH(ROW()-2,종합!$AB$3:$AB$501,0))&amp;"","")</f>
        <v/>
      </c>
      <c r="Q217" s="21" t="str">
        <f aca="false">IFERROR(INDEX(종합!Q$3:Q$501,MATCH(ROW()-2,종합!$AB$3:$AB$501,0))&amp;"","")</f>
        <v/>
      </c>
      <c r="R217" s="21" t="str">
        <f aca="false">IFERROR(INDEX(종합!R$3:R$501,MATCH(ROW()-2,종합!$AB$3:$AB$501,0))&amp;"","")</f>
        <v/>
      </c>
      <c r="S217" s="21" t="str">
        <f aca="false">IFERROR(INDEX(종합!S$3:S$501,MATCH(ROW()-2,종합!$AB$3:$AB$501,0))&amp;"","")</f>
        <v/>
      </c>
      <c r="T217" s="21" t="str">
        <f aca="false">IFERROR(INDEX(종합!T$3:T$501,MATCH(ROW()-2,종합!$AB$3:$AB$501,0))&amp;"","")</f>
        <v/>
      </c>
      <c r="U217" s="21" t="str">
        <f aca="false">IFERROR(INDEX(종합!U$3:U$501,MATCH(ROW()-2,종합!$AB$3:$AB$501,0))&amp;"","")</f>
        <v/>
      </c>
      <c r="V217" s="21" t="str">
        <f aca="false">IFERROR(INDEX(종합!V$3:V$501,MATCH(ROW()-2,종합!$AB$3:$AB$501,0))&amp;"","")</f>
        <v/>
      </c>
      <c r="W217" s="21" t="str">
        <f aca="false">IFERROR(INDEX(종합!W$3:W$501,MATCH(ROW()-2,종합!$AB$3:$AB$501,0))&amp;"","")</f>
        <v/>
      </c>
      <c r="X217" s="21" t="str">
        <f aca="false">IFERROR(INDEX(종합!X$3:X$501,MATCH(ROW()-2,종합!$AB$3:$AB$501,0))&amp;"","")</f>
        <v/>
      </c>
      <c r="Y217" s="21" t="str">
        <f aca="false">IFERROR(INDEX(종합!Y$3:Y$501,MATCH(ROW()-2,종합!$AB$3:$AB$501,0))&amp;"","")</f>
        <v/>
      </c>
      <c r="Z217" s="21" t="str">
        <f aca="false">IFERROR(INDEX(종합!Z$3:Z$501,MATCH(ROW()-2,종합!$AB$3:$AB$501,0))&amp;"","")</f>
        <v/>
      </c>
    </row>
    <row r="218" customFormat="false" ht="16.5" hidden="false" customHeight="true" outlineLevel="0" collapsed="false">
      <c r="A218" s="18" t="str">
        <f aca="false">IF(B218="","",ROW()-2)</f>
        <v/>
      </c>
      <c r="B218" s="18" t="str">
        <f aca="false">IFERROR(INDEX(종합!B$3:B$501,MATCH(ROW()-2,종합!$AB$3:$AB$501,0))&amp;"","")</f>
        <v/>
      </c>
      <c r="C218" s="18" t="str">
        <f aca="false">IFERROR(INDEX(종합!C$3:C$501,MATCH(ROW()-2,종합!$AB$3:$AB$501,0))&amp;"","")</f>
        <v/>
      </c>
      <c r="D218" s="18" t="str">
        <f aca="false">IFERROR(INDEX(종합!D$3:D$501,MATCH(ROW()-2,종합!$AB$3:$AB$501,0))&amp;"","")</f>
        <v/>
      </c>
      <c r="E218" s="18" t="str">
        <f aca="false">IFERROR(INDEX(종합!E$3:E$501,MATCH(ROW()-2,종합!$AB$3:$AB$501,0))&amp;"","")</f>
        <v/>
      </c>
      <c r="F218" s="18" t="str">
        <f aca="false">IFERROR(INDEX(종합!F$3:F$501,MATCH(ROW()-2,종합!$AB$3:$AB$501,0))&amp;"","")</f>
        <v/>
      </c>
      <c r="G218" s="18" t="str">
        <f aca="false">IFERROR(INDEX(종합!G$3:G$501,MATCH(ROW()-2,종합!$AB$3:$AB$501,0))&amp;"","")</f>
        <v/>
      </c>
      <c r="H218" s="21" t="str">
        <f aca="false">IFERROR(INDEX(종합!H$3:H$501,MATCH(ROW()-2,종합!$AB$3:$AB$501,0))&amp;"","")</f>
        <v/>
      </c>
      <c r="I218" s="21" t="str">
        <f aca="false">IFERROR(INDEX(종합!I$3:I$501,MATCH(ROW()-2,종합!$AB$3:$AB$501,0))&amp;"","")</f>
        <v/>
      </c>
      <c r="J218" s="21" t="str">
        <f aca="false">IFERROR(INDEX(종합!J$3:J$501,MATCH(ROW()-2,종합!$AB$3:$AB$501,0))&amp;"","")</f>
        <v/>
      </c>
      <c r="K218" s="21" t="str">
        <f aca="false">IFERROR(INDEX(종합!K$3:K$501,MATCH(ROW()-2,종합!$AB$3:$AB$501,0))&amp;"","")</f>
        <v/>
      </c>
      <c r="L218" s="21" t="str">
        <f aca="false">IFERROR(INDEX(종합!L$3:L$501,MATCH(ROW()-2,종합!$AB$3:$AB$501,0))&amp;"","")</f>
        <v/>
      </c>
      <c r="M218" s="21" t="str">
        <f aca="false">IFERROR(INDEX(종합!M$3:M$501,MATCH(ROW()-2,종합!$AB$3:$AB$501,0))&amp;"","")</f>
        <v/>
      </c>
      <c r="N218" s="25" t="str">
        <f aca="false">IFERROR(INDEX(종합!N$3:N$501,MATCH(ROW()-2,종합!$AB$3:$AB$501,0))&amp;"","")</f>
        <v/>
      </c>
      <c r="O218" s="21" t="str">
        <f aca="false">IFERROR(INDEX(종합!O$3:O$501,MATCH(ROW()-2,종합!$AB$3:$AB$501,0))&amp;"","")</f>
        <v/>
      </c>
      <c r="P218" s="21" t="str">
        <f aca="false">IFERROR(INDEX(종합!P$3:P$501,MATCH(ROW()-2,종합!$AB$3:$AB$501,0))&amp;"","")</f>
        <v/>
      </c>
      <c r="Q218" s="21" t="str">
        <f aca="false">IFERROR(INDEX(종합!Q$3:Q$501,MATCH(ROW()-2,종합!$AB$3:$AB$501,0))&amp;"","")</f>
        <v/>
      </c>
      <c r="R218" s="21" t="str">
        <f aca="false">IFERROR(INDEX(종합!R$3:R$501,MATCH(ROW()-2,종합!$AB$3:$AB$501,0))&amp;"","")</f>
        <v/>
      </c>
      <c r="S218" s="21" t="str">
        <f aca="false">IFERROR(INDEX(종합!S$3:S$501,MATCH(ROW()-2,종합!$AB$3:$AB$501,0))&amp;"","")</f>
        <v/>
      </c>
      <c r="T218" s="21" t="str">
        <f aca="false">IFERROR(INDEX(종합!T$3:T$501,MATCH(ROW()-2,종합!$AB$3:$AB$501,0))&amp;"","")</f>
        <v/>
      </c>
      <c r="U218" s="21" t="str">
        <f aca="false">IFERROR(INDEX(종합!U$3:U$501,MATCH(ROW()-2,종합!$AB$3:$AB$501,0))&amp;"","")</f>
        <v/>
      </c>
      <c r="V218" s="21" t="str">
        <f aca="false">IFERROR(INDEX(종합!V$3:V$501,MATCH(ROW()-2,종합!$AB$3:$AB$501,0))&amp;"","")</f>
        <v/>
      </c>
      <c r="W218" s="21" t="str">
        <f aca="false">IFERROR(INDEX(종합!W$3:W$501,MATCH(ROW()-2,종합!$AB$3:$AB$501,0))&amp;"","")</f>
        <v/>
      </c>
      <c r="X218" s="21" t="str">
        <f aca="false">IFERROR(INDEX(종합!X$3:X$501,MATCH(ROW()-2,종합!$AB$3:$AB$501,0))&amp;"","")</f>
        <v/>
      </c>
      <c r="Y218" s="21" t="str">
        <f aca="false">IFERROR(INDEX(종합!Y$3:Y$501,MATCH(ROW()-2,종합!$AB$3:$AB$501,0))&amp;"","")</f>
        <v/>
      </c>
      <c r="Z218" s="21" t="str">
        <f aca="false">IFERROR(INDEX(종합!Z$3:Z$501,MATCH(ROW()-2,종합!$AB$3:$AB$501,0))&amp;"","")</f>
        <v/>
      </c>
    </row>
    <row r="219" customFormat="false" ht="16.5" hidden="false" customHeight="true" outlineLevel="0" collapsed="false">
      <c r="A219" s="18" t="str">
        <f aca="false">IF(B219="","",ROW()-2)</f>
        <v/>
      </c>
      <c r="B219" s="18" t="str">
        <f aca="false">IFERROR(INDEX(종합!B$3:B$501,MATCH(ROW()-2,종합!$AB$3:$AB$501,0))&amp;"","")</f>
        <v/>
      </c>
      <c r="C219" s="18" t="str">
        <f aca="false">IFERROR(INDEX(종합!C$3:C$501,MATCH(ROW()-2,종합!$AB$3:$AB$501,0))&amp;"","")</f>
        <v/>
      </c>
      <c r="D219" s="18" t="str">
        <f aca="false">IFERROR(INDEX(종합!D$3:D$501,MATCH(ROW()-2,종합!$AB$3:$AB$501,0))&amp;"","")</f>
        <v/>
      </c>
      <c r="E219" s="18" t="str">
        <f aca="false">IFERROR(INDEX(종합!E$3:E$501,MATCH(ROW()-2,종합!$AB$3:$AB$501,0))&amp;"","")</f>
        <v/>
      </c>
      <c r="F219" s="18" t="str">
        <f aca="false">IFERROR(INDEX(종합!F$3:F$501,MATCH(ROW()-2,종합!$AB$3:$AB$501,0))&amp;"","")</f>
        <v/>
      </c>
      <c r="G219" s="18" t="str">
        <f aca="false">IFERROR(INDEX(종합!G$3:G$501,MATCH(ROW()-2,종합!$AB$3:$AB$501,0))&amp;"","")</f>
        <v/>
      </c>
      <c r="H219" s="21" t="str">
        <f aca="false">IFERROR(INDEX(종합!H$3:H$501,MATCH(ROW()-2,종합!$AB$3:$AB$501,0))&amp;"","")</f>
        <v/>
      </c>
      <c r="I219" s="21" t="str">
        <f aca="false">IFERROR(INDEX(종합!I$3:I$501,MATCH(ROW()-2,종합!$AB$3:$AB$501,0))&amp;"","")</f>
        <v/>
      </c>
      <c r="J219" s="21" t="str">
        <f aca="false">IFERROR(INDEX(종합!J$3:J$501,MATCH(ROW()-2,종합!$AB$3:$AB$501,0))&amp;"","")</f>
        <v/>
      </c>
      <c r="K219" s="21" t="str">
        <f aca="false">IFERROR(INDEX(종합!K$3:K$501,MATCH(ROW()-2,종합!$AB$3:$AB$501,0))&amp;"","")</f>
        <v/>
      </c>
      <c r="L219" s="21" t="str">
        <f aca="false">IFERROR(INDEX(종합!L$3:L$501,MATCH(ROW()-2,종합!$AB$3:$AB$501,0))&amp;"","")</f>
        <v/>
      </c>
      <c r="M219" s="21" t="str">
        <f aca="false">IFERROR(INDEX(종합!M$3:M$501,MATCH(ROW()-2,종합!$AB$3:$AB$501,0))&amp;"","")</f>
        <v/>
      </c>
      <c r="N219" s="25" t="str">
        <f aca="false">IFERROR(INDEX(종합!N$3:N$501,MATCH(ROW()-2,종합!$AB$3:$AB$501,0))&amp;"","")</f>
        <v/>
      </c>
      <c r="O219" s="21" t="str">
        <f aca="false">IFERROR(INDEX(종합!O$3:O$501,MATCH(ROW()-2,종합!$AB$3:$AB$501,0))&amp;"","")</f>
        <v/>
      </c>
      <c r="P219" s="21" t="str">
        <f aca="false">IFERROR(INDEX(종합!P$3:P$501,MATCH(ROW()-2,종합!$AB$3:$AB$501,0))&amp;"","")</f>
        <v/>
      </c>
      <c r="Q219" s="21" t="str">
        <f aca="false">IFERROR(INDEX(종합!Q$3:Q$501,MATCH(ROW()-2,종합!$AB$3:$AB$501,0))&amp;"","")</f>
        <v/>
      </c>
      <c r="R219" s="21" t="str">
        <f aca="false">IFERROR(INDEX(종합!R$3:R$501,MATCH(ROW()-2,종합!$AB$3:$AB$501,0))&amp;"","")</f>
        <v/>
      </c>
      <c r="S219" s="21" t="str">
        <f aca="false">IFERROR(INDEX(종합!S$3:S$501,MATCH(ROW()-2,종합!$AB$3:$AB$501,0))&amp;"","")</f>
        <v/>
      </c>
      <c r="T219" s="21" t="str">
        <f aca="false">IFERROR(INDEX(종합!T$3:T$501,MATCH(ROW()-2,종합!$AB$3:$AB$501,0))&amp;"","")</f>
        <v/>
      </c>
      <c r="U219" s="21" t="str">
        <f aca="false">IFERROR(INDEX(종합!U$3:U$501,MATCH(ROW()-2,종합!$AB$3:$AB$501,0))&amp;"","")</f>
        <v/>
      </c>
      <c r="V219" s="21" t="str">
        <f aca="false">IFERROR(INDEX(종합!V$3:V$501,MATCH(ROW()-2,종합!$AB$3:$AB$501,0))&amp;"","")</f>
        <v/>
      </c>
      <c r="W219" s="21" t="str">
        <f aca="false">IFERROR(INDEX(종합!W$3:W$501,MATCH(ROW()-2,종합!$AB$3:$AB$501,0))&amp;"","")</f>
        <v/>
      </c>
      <c r="X219" s="21" t="str">
        <f aca="false">IFERROR(INDEX(종합!X$3:X$501,MATCH(ROW()-2,종합!$AB$3:$AB$501,0))&amp;"","")</f>
        <v/>
      </c>
      <c r="Y219" s="21" t="str">
        <f aca="false">IFERROR(INDEX(종합!Y$3:Y$501,MATCH(ROW()-2,종합!$AB$3:$AB$501,0))&amp;"","")</f>
        <v/>
      </c>
      <c r="Z219" s="21" t="str">
        <f aca="false">IFERROR(INDEX(종합!Z$3:Z$501,MATCH(ROW()-2,종합!$AB$3:$AB$501,0))&amp;"","")</f>
        <v/>
      </c>
    </row>
    <row r="220" customFormat="false" ht="16.5" hidden="false" customHeight="true" outlineLevel="0" collapsed="false">
      <c r="A220" s="18" t="str">
        <f aca="false">IF(B220="","",ROW()-2)</f>
        <v/>
      </c>
      <c r="B220" s="18" t="str">
        <f aca="false">IFERROR(INDEX(종합!B$3:B$501,MATCH(ROW()-2,종합!$AB$3:$AB$501,0))&amp;"","")</f>
        <v/>
      </c>
      <c r="C220" s="18" t="str">
        <f aca="false">IFERROR(INDEX(종합!C$3:C$501,MATCH(ROW()-2,종합!$AB$3:$AB$501,0))&amp;"","")</f>
        <v/>
      </c>
      <c r="D220" s="18" t="str">
        <f aca="false">IFERROR(INDEX(종합!D$3:D$501,MATCH(ROW()-2,종합!$AB$3:$AB$501,0))&amp;"","")</f>
        <v/>
      </c>
      <c r="E220" s="18" t="str">
        <f aca="false">IFERROR(INDEX(종합!E$3:E$501,MATCH(ROW()-2,종합!$AB$3:$AB$501,0))&amp;"","")</f>
        <v/>
      </c>
      <c r="F220" s="18" t="str">
        <f aca="false">IFERROR(INDEX(종합!F$3:F$501,MATCH(ROW()-2,종합!$AB$3:$AB$501,0))&amp;"","")</f>
        <v/>
      </c>
      <c r="G220" s="18" t="str">
        <f aca="false">IFERROR(INDEX(종합!G$3:G$501,MATCH(ROW()-2,종합!$AB$3:$AB$501,0))&amp;"","")</f>
        <v/>
      </c>
      <c r="H220" s="21" t="str">
        <f aca="false">IFERROR(INDEX(종합!H$3:H$501,MATCH(ROW()-2,종합!$AB$3:$AB$501,0))&amp;"","")</f>
        <v/>
      </c>
      <c r="I220" s="21" t="str">
        <f aca="false">IFERROR(INDEX(종합!I$3:I$501,MATCH(ROW()-2,종합!$AB$3:$AB$501,0))&amp;"","")</f>
        <v/>
      </c>
      <c r="J220" s="21" t="str">
        <f aca="false">IFERROR(INDEX(종합!J$3:J$501,MATCH(ROW()-2,종합!$AB$3:$AB$501,0))&amp;"","")</f>
        <v/>
      </c>
      <c r="K220" s="21" t="str">
        <f aca="false">IFERROR(INDEX(종합!K$3:K$501,MATCH(ROW()-2,종합!$AB$3:$AB$501,0))&amp;"","")</f>
        <v/>
      </c>
      <c r="L220" s="21" t="str">
        <f aca="false">IFERROR(INDEX(종합!L$3:L$501,MATCH(ROW()-2,종합!$AB$3:$AB$501,0))&amp;"","")</f>
        <v/>
      </c>
      <c r="M220" s="21" t="str">
        <f aca="false">IFERROR(INDEX(종합!M$3:M$501,MATCH(ROW()-2,종합!$AB$3:$AB$501,0))&amp;"","")</f>
        <v/>
      </c>
      <c r="N220" s="25" t="str">
        <f aca="false">IFERROR(INDEX(종합!N$3:N$501,MATCH(ROW()-2,종합!$AB$3:$AB$501,0))&amp;"","")</f>
        <v/>
      </c>
      <c r="O220" s="21" t="str">
        <f aca="false">IFERROR(INDEX(종합!O$3:O$501,MATCH(ROW()-2,종합!$AB$3:$AB$501,0))&amp;"","")</f>
        <v/>
      </c>
      <c r="P220" s="21" t="str">
        <f aca="false">IFERROR(INDEX(종합!P$3:P$501,MATCH(ROW()-2,종합!$AB$3:$AB$501,0))&amp;"","")</f>
        <v/>
      </c>
      <c r="Q220" s="21" t="str">
        <f aca="false">IFERROR(INDEX(종합!Q$3:Q$501,MATCH(ROW()-2,종합!$AB$3:$AB$501,0))&amp;"","")</f>
        <v/>
      </c>
      <c r="R220" s="21" t="str">
        <f aca="false">IFERROR(INDEX(종합!R$3:R$501,MATCH(ROW()-2,종합!$AB$3:$AB$501,0))&amp;"","")</f>
        <v/>
      </c>
      <c r="S220" s="21" t="str">
        <f aca="false">IFERROR(INDEX(종합!S$3:S$501,MATCH(ROW()-2,종합!$AB$3:$AB$501,0))&amp;"","")</f>
        <v/>
      </c>
      <c r="T220" s="21" t="str">
        <f aca="false">IFERROR(INDEX(종합!T$3:T$501,MATCH(ROW()-2,종합!$AB$3:$AB$501,0))&amp;"","")</f>
        <v/>
      </c>
      <c r="U220" s="21" t="str">
        <f aca="false">IFERROR(INDEX(종합!U$3:U$501,MATCH(ROW()-2,종합!$AB$3:$AB$501,0))&amp;"","")</f>
        <v/>
      </c>
      <c r="V220" s="21" t="str">
        <f aca="false">IFERROR(INDEX(종합!V$3:V$501,MATCH(ROW()-2,종합!$AB$3:$AB$501,0))&amp;"","")</f>
        <v/>
      </c>
      <c r="W220" s="21" t="str">
        <f aca="false">IFERROR(INDEX(종합!W$3:W$501,MATCH(ROW()-2,종합!$AB$3:$AB$501,0))&amp;"","")</f>
        <v/>
      </c>
      <c r="X220" s="21" t="str">
        <f aca="false">IFERROR(INDEX(종합!X$3:X$501,MATCH(ROW()-2,종합!$AB$3:$AB$501,0))&amp;"","")</f>
        <v/>
      </c>
      <c r="Y220" s="21" t="str">
        <f aca="false">IFERROR(INDEX(종합!Y$3:Y$501,MATCH(ROW()-2,종합!$AB$3:$AB$501,0))&amp;"","")</f>
        <v/>
      </c>
      <c r="Z220" s="21" t="str">
        <f aca="false">IFERROR(INDEX(종합!Z$3:Z$501,MATCH(ROW()-2,종합!$AB$3:$AB$501,0))&amp;"","")</f>
        <v/>
      </c>
    </row>
    <row r="221" customFormat="false" ht="16.5" hidden="false" customHeight="true" outlineLevel="0" collapsed="false">
      <c r="A221" s="18" t="str">
        <f aca="false">IF(B221="","",ROW()-2)</f>
        <v/>
      </c>
      <c r="B221" s="18" t="str">
        <f aca="false">IFERROR(INDEX(종합!B$3:B$501,MATCH(ROW()-2,종합!$AB$3:$AB$501,0))&amp;"","")</f>
        <v/>
      </c>
      <c r="C221" s="18" t="str">
        <f aca="false">IFERROR(INDEX(종합!C$3:C$501,MATCH(ROW()-2,종합!$AB$3:$AB$501,0))&amp;"","")</f>
        <v/>
      </c>
      <c r="D221" s="18" t="str">
        <f aca="false">IFERROR(INDEX(종합!D$3:D$501,MATCH(ROW()-2,종합!$AB$3:$AB$501,0))&amp;"","")</f>
        <v/>
      </c>
      <c r="E221" s="18" t="str">
        <f aca="false">IFERROR(INDEX(종합!E$3:E$501,MATCH(ROW()-2,종합!$AB$3:$AB$501,0))&amp;"","")</f>
        <v/>
      </c>
      <c r="F221" s="18" t="str">
        <f aca="false">IFERROR(INDEX(종합!F$3:F$501,MATCH(ROW()-2,종합!$AB$3:$AB$501,0))&amp;"","")</f>
        <v/>
      </c>
      <c r="G221" s="18" t="str">
        <f aca="false">IFERROR(INDEX(종합!G$3:G$501,MATCH(ROW()-2,종합!$AB$3:$AB$501,0))&amp;"","")</f>
        <v/>
      </c>
      <c r="H221" s="21" t="str">
        <f aca="false">IFERROR(INDEX(종합!H$3:H$501,MATCH(ROW()-2,종합!$AB$3:$AB$501,0))&amp;"","")</f>
        <v/>
      </c>
      <c r="I221" s="21" t="str">
        <f aca="false">IFERROR(INDEX(종합!I$3:I$501,MATCH(ROW()-2,종합!$AB$3:$AB$501,0))&amp;"","")</f>
        <v/>
      </c>
      <c r="J221" s="21" t="str">
        <f aca="false">IFERROR(INDEX(종합!J$3:J$501,MATCH(ROW()-2,종합!$AB$3:$AB$501,0))&amp;"","")</f>
        <v/>
      </c>
      <c r="K221" s="21" t="str">
        <f aca="false">IFERROR(INDEX(종합!K$3:K$501,MATCH(ROW()-2,종합!$AB$3:$AB$501,0))&amp;"","")</f>
        <v/>
      </c>
      <c r="L221" s="21" t="str">
        <f aca="false">IFERROR(INDEX(종합!L$3:L$501,MATCH(ROW()-2,종합!$AB$3:$AB$501,0))&amp;"","")</f>
        <v/>
      </c>
      <c r="M221" s="21" t="str">
        <f aca="false">IFERROR(INDEX(종합!M$3:M$501,MATCH(ROW()-2,종합!$AB$3:$AB$501,0))&amp;"","")</f>
        <v/>
      </c>
      <c r="N221" s="25" t="str">
        <f aca="false">IFERROR(INDEX(종합!N$3:N$501,MATCH(ROW()-2,종합!$AB$3:$AB$501,0))&amp;"","")</f>
        <v/>
      </c>
      <c r="O221" s="21" t="str">
        <f aca="false">IFERROR(INDEX(종합!O$3:O$501,MATCH(ROW()-2,종합!$AB$3:$AB$501,0))&amp;"","")</f>
        <v/>
      </c>
      <c r="P221" s="21" t="str">
        <f aca="false">IFERROR(INDEX(종합!P$3:P$501,MATCH(ROW()-2,종합!$AB$3:$AB$501,0))&amp;"","")</f>
        <v/>
      </c>
      <c r="Q221" s="21" t="str">
        <f aca="false">IFERROR(INDEX(종합!Q$3:Q$501,MATCH(ROW()-2,종합!$AB$3:$AB$501,0))&amp;"","")</f>
        <v/>
      </c>
      <c r="R221" s="21" t="str">
        <f aca="false">IFERROR(INDEX(종합!R$3:R$501,MATCH(ROW()-2,종합!$AB$3:$AB$501,0))&amp;"","")</f>
        <v/>
      </c>
      <c r="S221" s="21" t="str">
        <f aca="false">IFERROR(INDEX(종합!S$3:S$501,MATCH(ROW()-2,종합!$AB$3:$AB$501,0))&amp;"","")</f>
        <v/>
      </c>
      <c r="T221" s="21" t="str">
        <f aca="false">IFERROR(INDEX(종합!T$3:T$501,MATCH(ROW()-2,종합!$AB$3:$AB$501,0))&amp;"","")</f>
        <v/>
      </c>
      <c r="U221" s="21" t="str">
        <f aca="false">IFERROR(INDEX(종합!U$3:U$501,MATCH(ROW()-2,종합!$AB$3:$AB$501,0))&amp;"","")</f>
        <v/>
      </c>
      <c r="V221" s="21" t="str">
        <f aca="false">IFERROR(INDEX(종합!V$3:V$501,MATCH(ROW()-2,종합!$AB$3:$AB$501,0))&amp;"","")</f>
        <v/>
      </c>
      <c r="W221" s="21" t="str">
        <f aca="false">IFERROR(INDEX(종합!W$3:W$501,MATCH(ROW()-2,종합!$AB$3:$AB$501,0))&amp;"","")</f>
        <v/>
      </c>
      <c r="X221" s="21" t="str">
        <f aca="false">IFERROR(INDEX(종합!X$3:X$501,MATCH(ROW()-2,종합!$AB$3:$AB$501,0))&amp;"","")</f>
        <v/>
      </c>
      <c r="Y221" s="21" t="str">
        <f aca="false">IFERROR(INDEX(종합!Y$3:Y$501,MATCH(ROW()-2,종합!$AB$3:$AB$501,0))&amp;"","")</f>
        <v/>
      </c>
      <c r="Z221" s="21" t="str">
        <f aca="false">IFERROR(INDEX(종합!Z$3:Z$501,MATCH(ROW()-2,종합!$AB$3:$AB$501,0))&amp;"","")</f>
        <v/>
      </c>
    </row>
    <row r="222" customFormat="false" ht="16.5" hidden="false" customHeight="true" outlineLevel="0" collapsed="false">
      <c r="A222" s="18" t="str">
        <f aca="false">IF(B222="","",ROW()-2)</f>
        <v/>
      </c>
      <c r="B222" s="18" t="str">
        <f aca="false">IFERROR(INDEX(종합!B$3:B$501,MATCH(ROW()-2,종합!$AB$3:$AB$501,0))&amp;"","")</f>
        <v/>
      </c>
      <c r="C222" s="18" t="str">
        <f aca="false">IFERROR(INDEX(종합!C$3:C$501,MATCH(ROW()-2,종합!$AB$3:$AB$501,0))&amp;"","")</f>
        <v/>
      </c>
      <c r="D222" s="18" t="str">
        <f aca="false">IFERROR(INDEX(종합!D$3:D$501,MATCH(ROW()-2,종합!$AB$3:$AB$501,0))&amp;"","")</f>
        <v/>
      </c>
      <c r="E222" s="18" t="str">
        <f aca="false">IFERROR(INDEX(종합!E$3:E$501,MATCH(ROW()-2,종합!$AB$3:$AB$501,0))&amp;"","")</f>
        <v/>
      </c>
      <c r="F222" s="18" t="str">
        <f aca="false">IFERROR(INDEX(종합!F$3:F$501,MATCH(ROW()-2,종합!$AB$3:$AB$501,0))&amp;"","")</f>
        <v/>
      </c>
      <c r="G222" s="18" t="str">
        <f aca="false">IFERROR(INDEX(종합!G$3:G$501,MATCH(ROW()-2,종합!$AB$3:$AB$501,0))&amp;"","")</f>
        <v/>
      </c>
      <c r="H222" s="21" t="str">
        <f aca="false">IFERROR(INDEX(종합!H$3:H$501,MATCH(ROW()-2,종합!$AB$3:$AB$501,0))&amp;"","")</f>
        <v/>
      </c>
      <c r="I222" s="21" t="str">
        <f aca="false">IFERROR(INDEX(종합!I$3:I$501,MATCH(ROW()-2,종합!$AB$3:$AB$501,0))&amp;"","")</f>
        <v/>
      </c>
      <c r="J222" s="21" t="str">
        <f aca="false">IFERROR(INDEX(종합!J$3:J$501,MATCH(ROW()-2,종합!$AB$3:$AB$501,0))&amp;"","")</f>
        <v/>
      </c>
      <c r="K222" s="21" t="str">
        <f aca="false">IFERROR(INDEX(종합!K$3:K$501,MATCH(ROW()-2,종합!$AB$3:$AB$501,0))&amp;"","")</f>
        <v/>
      </c>
      <c r="L222" s="21" t="str">
        <f aca="false">IFERROR(INDEX(종합!L$3:L$501,MATCH(ROW()-2,종합!$AB$3:$AB$501,0))&amp;"","")</f>
        <v/>
      </c>
      <c r="M222" s="21" t="str">
        <f aca="false">IFERROR(INDEX(종합!M$3:M$501,MATCH(ROW()-2,종합!$AB$3:$AB$501,0))&amp;"","")</f>
        <v/>
      </c>
      <c r="N222" s="25" t="str">
        <f aca="false">IFERROR(INDEX(종합!N$3:N$501,MATCH(ROW()-2,종합!$AB$3:$AB$501,0))&amp;"","")</f>
        <v/>
      </c>
      <c r="O222" s="21" t="str">
        <f aca="false">IFERROR(INDEX(종합!O$3:O$501,MATCH(ROW()-2,종합!$AB$3:$AB$501,0))&amp;"","")</f>
        <v/>
      </c>
      <c r="P222" s="21" t="str">
        <f aca="false">IFERROR(INDEX(종합!P$3:P$501,MATCH(ROW()-2,종합!$AB$3:$AB$501,0))&amp;"","")</f>
        <v/>
      </c>
      <c r="Q222" s="21" t="str">
        <f aca="false">IFERROR(INDEX(종합!Q$3:Q$501,MATCH(ROW()-2,종합!$AB$3:$AB$501,0))&amp;"","")</f>
        <v/>
      </c>
      <c r="R222" s="21" t="str">
        <f aca="false">IFERROR(INDEX(종합!R$3:R$501,MATCH(ROW()-2,종합!$AB$3:$AB$501,0))&amp;"","")</f>
        <v/>
      </c>
      <c r="S222" s="21" t="str">
        <f aca="false">IFERROR(INDEX(종합!S$3:S$501,MATCH(ROW()-2,종합!$AB$3:$AB$501,0))&amp;"","")</f>
        <v/>
      </c>
      <c r="T222" s="21" t="str">
        <f aca="false">IFERROR(INDEX(종합!T$3:T$501,MATCH(ROW()-2,종합!$AB$3:$AB$501,0))&amp;"","")</f>
        <v/>
      </c>
      <c r="U222" s="21" t="str">
        <f aca="false">IFERROR(INDEX(종합!U$3:U$501,MATCH(ROW()-2,종합!$AB$3:$AB$501,0))&amp;"","")</f>
        <v/>
      </c>
      <c r="V222" s="21" t="str">
        <f aca="false">IFERROR(INDEX(종합!V$3:V$501,MATCH(ROW()-2,종합!$AB$3:$AB$501,0))&amp;"","")</f>
        <v/>
      </c>
      <c r="W222" s="21" t="str">
        <f aca="false">IFERROR(INDEX(종합!W$3:W$501,MATCH(ROW()-2,종합!$AB$3:$AB$501,0))&amp;"","")</f>
        <v/>
      </c>
      <c r="X222" s="21" t="str">
        <f aca="false">IFERROR(INDEX(종합!X$3:X$501,MATCH(ROW()-2,종합!$AB$3:$AB$501,0))&amp;"","")</f>
        <v/>
      </c>
      <c r="Y222" s="21" t="str">
        <f aca="false">IFERROR(INDEX(종합!Y$3:Y$501,MATCH(ROW()-2,종합!$AB$3:$AB$501,0))&amp;"","")</f>
        <v/>
      </c>
      <c r="Z222" s="21" t="str">
        <f aca="false">IFERROR(INDEX(종합!Z$3:Z$501,MATCH(ROW()-2,종합!$AB$3:$AB$501,0))&amp;"","")</f>
        <v/>
      </c>
    </row>
    <row r="223" customFormat="false" ht="16.5" hidden="false" customHeight="true" outlineLevel="0" collapsed="false">
      <c r="A223" s="18" t="str">
        <f aca="false">IF(B223="","",ROW()-2)</f>
        <v/>
      </c>
      <c r="B223" s="18" t="str">
        <f aca="false">IFERROR(INDEX(종합!B$3:B$501,MATCH(ROW()-2,종합!$AB$3:$AB$501,0))&amp;"","")</f>
        <v/>
      </c>
      <c r="C223" s="18" t="str">
        <f aca="false">IFERROR(INDEX(종합!C$3:C$501,MATCH(ROW()-2,종합!$AB$3:$AB$501,0))&amp;"","")</f>
        <v/>
      </c>
      <c r="D223" s="18" t="str">
        <f aca="false">IFERROR(INDEX(종합!D$3:D$501,MATCH(ROW()-2,종합!$AB$3:$AB$501,0))&amp;"","")</f>
        <v/>
      </c>
      <c r="E223" s="18" t="str">
        <f aca="false">IFERROR(INDEX(종합!E$3:E$501,MATCH(ROW()-2,종합!$AB$3:$AB$501,0))&amp;"","")</f>
        <v/>
      </c>
      <c r="F223" s="18" t="str">
        <f aca="false">IFERROR(INDEX(종합!F$3:F$501,MATCH(ROW()-2,종합!$AB$3:$AB$501,0))&amp;"","")</f>
        <v/>
      </c>
      <c r="G223" s="18" t="str">
        <f aca="false">IFERROR(INDEX(종합!G$3:G$501,MATCH(ROW()-2,종합!$AB$3:$AB$501,0))&amp;"","")</f>
        <v/>
      </c>
      <c r="H223" s="21" t="str">
        <f aca="false">IFERROR(INDEX(종합!H$3:H$501,MATCH(ROW()-2,종합!$AB$3:$AB$501,0))&amp;"","")</f>
        <v/>
      </c>
      <c r="I223" s="21" t="str">
        <f aca="false">IFERROR(INDEX(종합!I$3:I$501,MATCH(ROW()-2,종합!$AB$3:$AB$501,0))&amp;"","")</f>
        <v/>
      </c>
      <c r="J223" s="21" t="str">
        <f aca="false">IFERROR(INDEX(종합!J$3:J$501,MATCH(ROW()-2,종합!$AB$3:$AB$501,0))&amp;"","")</f>
        <v/>
      </c>
      <c r="K223" s="21" t="str">
        <f aca="false">IFERROR(INDEX(종합!K$3:K$501,MATCH(ROW()-2,종합!$AB$3:$AB$501,0))&amp;"","")</f>
        <v/>
      </c>
      <c r="L223" s="21" t="str">
        <f aca="false">IFERROR(INDEX(종합!L$3:L$501,MATCH(ROW()-2,종합!$AB$3:$AB$501,0))&amp;"","")</f>
        <v/>
      </c>
      <c r="M223" s="21" t="str">
        <f aca="false">IFERROR(INDEX(종합!M$3:M$501,MATCH(ROW()-2,종합!$AB$3:$AB$501,0))&amp;"","")</f>
        <v/>
      </c>
      <c r="N223" s="25" t="str">
        <f aca="false">IFERROR(INDEX(종합!N$3:N$501,MATCH(ROW()-2,종합!$AB$3:$AB$501,0))&amp;"","")</f>
        <v/>
      </c>
      <c r="O223" s="21" t="str">
        <f aca="false">IFERROR(INDEX(종합!O$3:O$501,MATCH(ROW()-2,종합!$AB$3:$AB$501,0))&amp;"","")</f>
        <v/>
      </c>
      <c r="P223" s="21" t="str">
        <f aca="false">IFERROR(INDEX(종합!P$3:P$501,MATCH(ROW()-2,종합!$AB$3:$AB$501,0))&amp;"","")</f>
        <v/>
      </c>
      <c r="Q223" s="21" t="str">
        <f aca="false">IFERROR(INDEX(종합!Q$3:Q$501,MATCH(ROW()-2,종합!$AB$3:$AB$501,0))&amp;"","")</f>
        <v/>
      </c>
      <c r="R223" s="21" t="str">
        <f aca="false">IFERROR(INDEX(종합!R$3:R$501,MATCH(ROW()-2,종합!$AB$3:$AB$501,0))&amp;"","")</f>
        <v/>
      </c>
      <c r="S223" s="21" t="str">
        <f aca="false">IFERROR(INDEX(종합!S$3:S$501,MATCH(ROW()-2,종합!$AB$3:$AB$501,0))&amp;"","")</f>
        <v/>
      </c>
      <c r="T223" s="21" t="str">
        <f aca="false">IFERROR(INDEX(종합!T$3:T$501,MATCH(ROW()-2,종합!$AB$3:$AB$501,0))&amp;"","")</f>
        <v/>
      </c>
      <c r="U223" s="21" t="str">
        <f aca="false">IFERROR(INDEX(종합!U$3:U$501,MATCH(ROW()-2,종합!$AB$3:$AB$501,0))&amp;"","")</f>
        <v/>
      </c>
      <c r="V223" s="21" t="str">
        <f aca="false">IFERROR(INDEX(종합!V$3:V$501,MATCH(ROW()-2,종합!$AB$3:$AB$501,0))&amp;"","")</f>
        <v/>
      </c>
      <c r="W223" s="21" t="str">
        <f aca="false">IFERROR(INDEX(종합!W$3:W$501,MATCH(ROW()-2,종합!$AB$3:$AB$501,0))&amp;"","")</f>
        <v/>
      </c>
      <c r="X223" s="21" t="str">
        <f aca="false">IFERROR(INDEX(종합!X$3:X$501,MATCH(ROW()-2,종합!$AB$3:$AB$501,0))&amp;"","")</f>
        <v/>
      </c>
      <c r="Y223" s="21" t="str">
        <f aca="false">IFERROR(INDEX(종합!Y$3:Y$501,MATCH(ROW()-2,종합!$AB$3:$AB$501,0))&amp;"","")</f>
        <v/>
      </c>
      <c r="Z223" s="21" t="str">
        <f aca="false">IFERROR(INDEX(종합!Z$3:Z$501,MATCH(ROW()-2,종합!$AB$3:$AB$501,0))&amp;"","")</f>
        <v/>
      </c>
    </row>
    <row r="224" customFormat="false" ht="16.5" hidden="false" customHeight="true" outlineLevel="0" collapsed="false">
      <c r="A224" s="18" t="str">
        <f aca="false">IF(B224="","",ROW()-2)</f>
        <v/>
      </c>
      <c r="B224" s="18" t="str">
        <f aca="false">IFERROR(INDEX(종합!B$3:B$501,MATCH(ROW()-2,종합!$AB$3:$AB$501,0))&amp;"","")</f>
        <v/>
      </c>
      <c r="C224" s="18" t="str">
        <f aca="false">IFERROR(INDEX(종합!C$3:C$501,MATCH(ROW()-2,종합!$AB$3:$AB$501,0))&amp;"","")</f>
        <v/>
      </c>
      <c r="D224" s="18" t="str">
        <f aca="false">IFERROR(INDEX(종합!D$3:D$501,MATCH(ROW()-2,종합!$AB$3:$AB$501,0))&amp;"","")</f>
        <v/>
      </c>
      <c r="E224" s="18" t="str">
        <f aca="false">IFERROR(INDEX(종합!E$3:E$501,MATCH(ROW()-2,종합!$AB$3:$AB$501,0))&amp;"","")</f>
        <v/>
      </c>
      <c r="F224" s="18" t="str">
        <f aca="false">IFERROR(INDEX(종합!F$3:F$501,MATCH(ROW()-2,종합!$AB$3:$AB$501,0))&amp;"","")</f>
        <v/>
      </c>
      <c r="G224" s="18" t="str">
        <f aca="false">IFERROR(INDEX(종합!G$3:G$501,MATCH(ROW()-2,종합!$AB$3:$AB$501,0))&amp;"","")</f>
        <v/>
      </c>
      <c r="H224" s="21" t="str">
        <f aca="false">IFERROR(INDEX(종합!H$3:H$501,MATCH(ROW()-2,종합!$AB$3:$AB$501,0))&amp;"","")</f>
        <v/>
      </c>
      <c r="I224" s="21" t="str">
        <f aca="false">IFERROR(INDEX(종합!I$3:I$501,MATCH(ROW()-2,종합!$AB$3:$AB$501,0))&amp;"","")</f>
        <v/>
      </c>
      <c r="J224" s="21" t="str">
        <f aca="false">IFERROR(INDEX(종합!J$3:J$501,MATCH(ROW()-2,종합!$AB$3:$AB$501,0))&amp;"","")</f>
        <v/>
      </c>
      <c r="K224" s="21" t="str">
        <f aca="false">IFERROR(INDEX(종합!K$3:K$501,MATCH(ROW()-2,종합!$AB$3:$AB$501,0))&amp;"","")</f>
        <v/>
      </c>
      <c r="L224" s="21" t="str">
        <f aca="false">IFERROR(INDEX(종합!L$3:L$501,MATCH(ROW()-2,종합!$AB$3:$AB$501,0))&amp;"","")</f>
        <v/>
      </c>
      <c r="M224" s="21" t="str">
        <f aca="false">IFERROR(INDEX(종합!M$3:M$501,MATCH(ROW()-2,종합!$AB$3:$AB$501,0))&amp;"","")</f>
        <v/>
      </c>
      <c r="N224" s="25" t="str">
        <f aca="false">IFERROR(INDEX(종합!N$3:N$501,MATCH(ROW()-2,종합!$AB$3:$AB$501,0))&amp;"","")</f>
        <v/>
      </c>
      <c r="O224" s="21" t="str">
        <f aca="false">IFERROR(INDEX(종합!O$3:O$501,MATCH(ROW()-2,종합!$AB$3:$AB$501,0))&amp;"","")</f>
        <v/>
      </c>
      <c r="P224" s="21" t="str">
        <f aca="false">IFERROR(INDEX(종합!P$3:P$501,MATCH(ROW()-2,종합!$AB$3:$AB$501,0))&amp;"","")</f>
        <v/>
      </c>
      <c r="Q224" s="21" t="str">
        <f aca="false">IFERROR(INDEX(종합!Q$3:Q$501,MATCH(ROW()-2,종합!$AB$3:$AB$501,0))&amp;"","")</f>
        <v/>
      </c>
      <c r="R224" s="21" t="str">
        <f aca="false">IFERROR(INDEX(종합!R$3:R$501,MATCH(ROW()-2,종합!$AB$3:$AB$501,0))&amp;"","")</f>
        <v/>
      </c>
      <c r="S224" s="21" t="str">
        <f aca="false">IFERROR(INDEX(종합!S$3:S$501,MATCH(ROW()-2,종합!$AB$3:$AB$501,0))&amp;"","")</f>
        <v/>
      </c>
      <c r="T224" s="21" t="str">
        <f aca="false">IFERROR(INDEX(종합!T$3:T$501,MATCH(ROW()-2,종합!$AB$3:$AB$501,0))&amp;"","")</f>
        <v/>
      </c>
      <c r="U224" s="21" t="str">
        <f aca="false">IFERROR(INDEX(종합!U$3:U$501,MATCH(ROW()-2,종합!$AB$3:$AB$501,0))&amp;"","")</f>
        <v/>
      </c>
      <c r="V224" s="21" t="str">
        <f aca="false">IFERROR(INDEX(종합!V$3:V$501,MATCH(ROW()-2,종합!$AB$3:$AB$501,0))&amp;"","")</f>
        <v/>
      </c>
      <c r="W224" s="21" t="str">
        <f aca="false">IFERROR(INDEX(종합!W$3:W$501,MATCH(ROW()-2,종합!$AB$3:$AB$501,0))&amp;"","")</f>
        <v/>
      </c>
      <c r="X224" s="21" t="str">
        <f aca="false">IFERROR(INDEX(종합!X$3:X$501,MATCH(ROW()-2,종합!$AB$3:$AB$501,0))&amp;"","")</f>
        <v/>
      </c>
      <c r="Y224" s="21" t="str">
        <f aca="false">IFERROR(INDEX(종합!Y$3:Y$501,MATCH(ROW()-2,종합!$AB$3:$AB$501,0))&amp;"","")</f>
        <v/>
      </c>
      <c r="Z224" s="21" t="str">
        <f aca="false">IFERROR(INDEX(종합!Z$3:Z$501,MATCH(ROW()-2,종합!$AB$3:$AB$501,0))&amp;"","")</f>
        <v/>
      </c>
    </row>
    <row r="225" customFormat="false" ht="16.5" hidden="false" customHeight="true" outlineLevel="0" collapsed="false">
      <c r="A225" s="18" t="str">
        <f aca="false">IF(B225="","",ROW()-2)</f>
        <v/>
      </c>
      <c r="B225" s="18" t="str">
        <f aca="false">IFERROR(INDEX(종합!B$3:B$501,MATCH(ROW()-2,종합!$AB$3:$AB$501,0))&amp;"","")</f>
        <v/>
      </c>
      <c r="C225" s="18" t="str">
        <f aca="false">IFERROR(INDEX(종합!C$3:C$501,MATCH(ROW()-2,종합!$AB$3:$AB$501,0))&amp;"","")</f>
        <v/>
      </c>
      <c r="D225" s="18" t="str">
        <f aca="false">IFERROR(INDEX(종합!D$3:D$501,MATCH(ROW()-2,종합!$AB$3:$AB$501,0))&amp;"","")</f>
        <v/>
      </c>
      <c r="E225" s="18" t="str">
        <f aca="false">IFERROR(INDEX(종합!E$3:E$501,MATCH(ROW()-2,종합!$AB$3:$AB$501,0))&amp;"","")</f>
        <v/>
      </c>
      <c r="F225" s="18" t="str">
        <f aca="false">IFERROR(INDEX(종합!F$3:F$501,MATCH(ROW()-2,종합!$AB$3:$AB$501,0))&amp;"","")</f>
        <v/>
      </c>
      <c r="G225" s="18" t="str">
        <f aca="false">IFERROR(INDEX(종합!G$3:G$501,MATCH(ROW()-2,종합!$AB$3:$AB$501,0))&amp;"","")</f>
        <v/>
      </c>
      <c r="H225" s="21" t="str">
        <f aca="false">IFERROR(INDEX(종합!H$3:H$501,MATCH(ROW()-2,종합!$AB$3:$AB$501,0))&amp;"","")</f>
        <v/>
      </c>
      <c r="I225" s="21" t="str">
        <f aca="false">IFERROR(INDEX(종합!I$3:I$501,MATCH(ROW()-2,종합!$AB$3:$AB$501,0))&amp;"","")</f>
        <v/>
      </c>
      <c r="J225" s="21" t="str">
        <f aca="false">IFERROR(INDEX(종합!J$3:J$501,MATCH(ROW()-2,종합!$AB$3:$AB$501,0))&amp;"","")</f>
        <v/>
      </c>
      <c r="K225" s="21" t="str">
        <f aca="false">IFERROR(INDEX(종합!K$3:K$501,MATCH(ROW()-2,종합!$AB$3:$AB$501,0))&amp;"","")</f>
        <v/>
      </c>
      <c r="L225" s="21" t="str">
        <f aca="false">IFERROR(INDEX(종합!L$3:L$501,MATCH(ROW()-2,종합!$AB$3:$AB$501,0))&amp;"","")</f>
        <v/>
      </c>
      <c r="M225" s="21" t="str">
        <f aca="false">IFERROR(INDEX(종합!M$3:M$501,MATCH(ROW()-2,종합!$AB$3:$AB$501,0))&amp;"","")</f>
        <v/>
      </c>
      <c r="N225" s="25" t="str">
        <f aca="false">IFERROR(INDEX(종합!N$3:N$501,MATCH(ROW()-2,종합!$AB$3:$AB$501,0))&amp;"","")</f>
        <v/>
      </c>
      <c r="O225" s="21" t="str">
        <f aca="false">IFERROR(INDEX(종합!O$3:O$501,MATCH(ROW()-2,종합!$AB$3:$AB$501,0))&amp;"","")</f>
        <v/>
      </c>
      <c r="P225" s="21" t="str">
        <f aca="false">IFERROR(INDEX(종합!P$3:P$501,MATCH(ROW()-2,종합!$AB$3:$AB$501,0))&amp;"","")</f>
        <v/>
      </c>
      <c r="Q225" s="21" t="str">
        <f aca="false">IFERROR(INDEX(종합!Q$3:Q$501,MATCH(ROW()-2,종합!$AB$3:$AB$501,0))&amp;"","")</f>
        <v/>
      </c>
      <c r="R225" s="21" t="str">
        <f aca="false">IFERROR(INDEX(종합!R$3:R$501,MATCH(ROW()-2,종합!$AB$3:$AB$501,0))&amp;"","")</f>
        <v/>
      </c>
      <c r="S225" s="21" t="str">
        <f aca="false">IFERROR(INDEX(종합!S$3:S$501,MATCH(ROW()-2,종합!$AB$3:$AB$501,0))&amp;"","")</f>
        <v/>
      </c>
      <c r="T225" s="21" t="str">
        <f aca="false">IFERROR(INDEX(종합!T$3:T$501,MATCH(ROW()-2,종합!$AB$3:$AB$501,0))&amp;"","")</f>
        <v/>
      </c>
      <c r="U225" s="21" t="str">
        <f aca="false">IFERROR(INDEX(종합!U$3:U$501,MATCH(ROW()-2,종합!$AB$3:$AB$501,0))&amp;"","")</f>
        <v/>
      </c>
      <c r="V225" s="21" t="str">
        <f aca="false">IFERROR(INDEX(종합!V$3:V$501,MATCH(ROW()-2,종합!$AB$3:$AB$501,0))&amp;"","")</f>
        <v/>
      </c>
      <c r="W225" s="21" t="str">
        <f aca="false">IFERROR(INDEX(종합!W$3:W$501,MATCH(ROW()-2,종합!$AB$3:$AB$501,0))&amp;"","")</f>
        <v/>
      </c>
      <c r="X225" s="21" t="str">
        <f aca="false">IFERROR(INDEX(종합!X$3:X$501,MATCH(ROW()-2,종합!$AB$3:$AB$501,0))&amp;"","")</f>
        <v/>
      </c>
      <c r="Y225" s="21" t="str">
        <f aca="false">IFERROR(INDEX(종합!Y$3:Y$501,MATCH(ROW()-2,종합!$AB$3:$AB$501,0))&amp;"","")</f>
        <v/>
      </c>
      <c r="Z225" s="21" t="str">
        <f aca="false">IFERROR(INDEX(종합!Z$3:Z$501,MATCH(ROW()-2,종합!$AB$3:$AB$501,0))&amp;"","")</f>
        <v/>
      </c>
    </row>
    <row r="226" customFormat="false" ht="16.5" hidden="false" customHeight="true" outlineLevel="0" collapsed="false">
      <c r="A226" s="18" t="str">
        <f aca="false">IF(B226="","",ROW()-2)</f>
        <v/>
      </c>
      <c r="B226" s="18" t="str">
        <f aca="false">IFERROR(INDEX(종합!B$3:B$501,MATCH(ROW()-2,종합!$AB$3:$AB$501,0))&amp;"","")</f>
        <v/>
      </c>
      <c r="C226" s="18" t="str">
        <f aca="false">IFERROR(INDEX(종합!C$3:C$501,MATCH(ROW()-2,종합!$AB$3:$AB$501,0))&amp;"","")</f>
        <v/>
      </c>
      <c r="D226" s="18" t="str">
        <f aca="false">IFERROR(INDEX(종합!D$3:D$501,MATCH(ROW()-2,종합!$AB$3:$AB$501,0))&amp;"","")</f>
        <v/>
      </c>
      <c r="E226" s="18" t="str">
        <f aca="false">IFERROR(INDEX(종합!E$3:E$501,MATCH(ROW()-2,종합!$AB$3:$AB$501,0))&amp;"","")</f>
        <v/>
      </c>
      <c r="F226" s="18" t="str">
        <f aca="false">IFERROR(INDEX(종합!F$3:F$501,MATCH(ROW()-2,종합!$AB$3:$AB$501,0))&amp;"","")</f>
        <v/>
      </c>
      <c r="G226" s="18" t="str">
        <f aca="false">IFERROR(INDEX(종합!G$3:G$501,MATCH(ROW()-2,종합!$AB$3:$AB$501,0))&amp;"","")</f>
        <v/>
      </c>
      <c r="H226" s="21" t="str">
        <f aca="false">IFERROR(INDEX(종합!H$3:H$501,MATCH(ROW()-2,종합!$AB$3:$AB$501,0))&amp;"","")</f>
        <v/>
      </c>
      <c r="I226" s="21" t="str">
        <f aca="false">IFERROR(INDEX(종합!I$3:I$501,MATCH(ROW()-2,종합!$AB$3:$AB$501,0))&amp;"","")</f>
        <v/>
      </c>
      <c r="J226" s="21" t="str">
        <f aca="false">IFERROR(INDEX(종합!J$3:J$501,MATCH(ROW()-2,종합!$AB$3:$AB$501,0))&amp;"","")</f>
        <v/>
      </c>
      <c r="K226" s="21" t="str">
        <f aca="false">IFERROR(INDEX(종합!K$3:K$501,MATCH(ROW()-2,종합!$AB$3:$AB$501,0))&amp;"","")</f>
        <v/>
      </c>
      <c r="L226" s="21" t="str">
        <f aca="false">IFERROR(INDEX(종합!L$3:L$501,MATCH(ROW()-2,종합!$AB$3:$AB$501,0))&amp;"","")</f>
        <v/>
      </c>
      <c r="M226" s="21" t="str">
        <f aca="false">IFERROR(INDEX(종합!M$3:M$501,MATCH(ROW()-2,종합!$AB$3:$AB$501,0))&amp;"","")</f>
        <v/>
      </c>
      <c r="N226" s="25" t="str">
        <f aca="false">IFERROR(INDEX(종합!N$3:N$501,MATCH(ROW()-2,종합!$AB$3:$AB$501,0))&amp;"","")</f>
        <v/>
      </c>
      <c r="O226" s="21" t="str">
        <f aca="false">IFERROR(INDEX(종합!O$3:O$501,MATCH(ROW()-2,종합!$AB$3:$AB$501,0))&amp;"","")</f>
        <v/>
      </c>
      <c r="P226" s="21" t="str">
        <f aca="false">IFERROR(INDEX(종합!P$3:P$501,MATCH(ROW()-2,종합!$AB$3:$AB$501,0))&amp;"","")</f>
        <v/>
      </c>
      <c r="Q226" s="21" t="str">
        <f aca="false">IFERROR(INDEX(종합!Q$3:Q$501,MATCH(ROW()-2,종합!$AB$3:$AB$501,0))&amp;"","")</f>
        <v/>
      </c>
      <c r="R226" s="21" t="str">
        <f aca="false">IFERROR(INDEX(종합!R$3:R$501,MATCH(ROW()-2,종합!$AB$3:$AB$501,0))&amp;"","")</f>
        <v/>
      </c>
      <c r="S226" s="21" t="str">
        <f aca="false">IFERROR(INDEX(종합!S$3:S$501,MATCH(ROW()-2,종합!$AB$3:$AB$501,0))&amp;"","")</f>
        <v/>
      </c>
      <c r="T226" s="21" t="str">
        <f aca="false">IFERROR(INDEX(종합!T$3:T$501,MATCH(ROW()-2,종합!$AB$3:$AB$501,0))&amp;"","")</f>
        <v/>
      </c>
      <c r="U226" s="21" t="str">
        <f aca="false">IFERROR(INDEX(종합!U$3:U$501,MATCH(ROW()-2,종합!$AB$3:$AB$501,0))&amp;"","")</f>
        <v/>
      </c>
      <c r="V226" s="21" t="str">
        <f aca="false">IFERROR(INDEX(종합!V$3:V$501,MATCH(ROW()-2,종합!$AB$3:$AB$501,0))&amp;"","")</f>
        <v/>
      </c>
      <c r="W226" s="21" t="str">
        <f aca="false">IFERROR(INDEX(종합!W$3:W$501,MATCH(ROW()-2,종합!$AB$3:$AB$501,0))&amp;"","")</f>
        <v/>
      </c>
      <c r="X226" s="21" t="str">
        <f aca="false">IFERROR(INDEX(종합!X$3:X$501,MATCH(ROW()-2,종합!$AB$3:$AB$501,0))&amp;"","")</f>
        <v/>
      </c>
      <c r="Y226" s="21" t="str">
        <f aca="false">IFERROR(INDEX(종합!Y$3:Y$501,MATCH(ROW()-2,종합!$AB$3:$AB$501,0))&amp;"","")</f>
        <v/>
      </c>
      <c r="Z226" s="21" t="str">
        <f aca="false">IFERROR(INDEX(종합!Z$3:Z$501,MATCH(ROW()-2,종합!$AB$3:$AB$501,0))&amp;"","")</f>
        <v/>
      </c>
    </row>
    <row r="227" customFormat="false" ht="16.5" hidden="false" customHeight="true" outlineLevel="0" collapsed="false">
      <c r="A227" s="18" t="str">
        <f aca="false">IF(B227="","",ROW()-2)</f>
        <v/>
      </c>
      <c r="B227" s="18" t="str">
        <f aca="false">IFERROR(INDEX(종합!B$3:B$501,MATCH(ROW()-2,종합!$AB$3:$AB$501,0))&amp;"","")</f>
        <v/>
      </c>
      <c r="C227" s="18" t="str">
        <f aca="false">IFERROR(INDEX(종합!C$3:C$501,MATCH(ROW()-2,종합!$AB$3:$AB$501,0))&amp;"","")</f>
        <v/>
      </c>
      <c r="D227" s="18" t="str">
        <f aca="false">IFERROR(INDEX(종합!D$3:D$501,MATCH(ROW()-2,종합!$AB$3:$AB$501,0))&amp;"","")</f>
        <v/>
      </c>
      <c r="E227" s="18" t="str">
        <f aca="false">IFERROR(INDEX(종합!E$3:E$501,MATCH(ROW()-2,종합!$AB$3:$AB$501,0))&amp;"","")</f>
        <v/>
      </c>
      <c r="F227" s="18" t="str">
        <f aca="false">IFERROR(INDEX(종합!F$3:F$501,MATCH(ROW()-2,종합!$AB$3:$AB$501,0))&amp;"","")</f>
        <v/>
      </c>
      <c r="G227" s="18" t="str">
        <f aca="false">IFERROR(INDEX(종합!G$3:G$501,MATCH(ROW()-2,종합!$AB$3:$AB$501,0))&amp;"","")</f>
        <v/>
      </c>
      <c r="H227" s="21" t="str">
        <f aca="false">IFERROR(INDEX(종합!H$3:H$501,MATCH(ROW()-2,종합!$AB$3:$AB$501,0))&amp;"","")</f>
        <v/>
      </c>
      <c r="I227" s="21" t="str">
        <f aca="false">IFERROR(INDEX(종합!I$3:I$501,MATCH(ROW()-2,종합!$AB$3:$AB$501,0))&amp;"","")</f>
        <v/>
      </c>
      <c r="J227" s="21" t="str">
        <f aca="false">IFERROR(INDEX(종합!J$3:J$501,MATCH(ROW()-2,종합!$AB$3:$AB$501,0))&amp;"","")</f>
        <v/>
      </c>
      <c r="K227" s="21" t="str">
        <f aca="false">IFERROR(INDEX(종합!K$3:K$501,MATCH(ROW()-2,종합!$AB$3:$AB$501,0))&amp;"","")</f>
        <v/>
      </c>
      <c r="L227" s="21" t="str">
        <f aca="false">IFERROR(INDEX(종합!L$3:L$501,MATCH(ROW()-2,종합!$AB$3:$AB$501,0))&amp;"","")</f>
        <v/>
      </c>
      <c r="M227" s="21" t="str">
        <f aca="false">IFERROR(INDEX(종합!M$3:M$501,MATCH(ROW()-2,종합!$AB$3:$AB$501,0))&amp;"","")</f>
        <v/>
      </c>
      <c r="N227" s="25" t="str">
        <f aca="false">IFERROR(INDEX(종합!N$3:N$501,MATCH(ROW()-2,종합!$AB$3:$AB$501,0))&amp;"","")</f>
        <v/>
      </c>
      <c r="O227" s="21" t="str">
        <f aca="false">IFERROR(INDEX(종합!O$3:O$501,MATCH(ROW()-2,종합!$AB$3:$AB$501,0))&amp;"","")</f>
        <v/>
      </c>
      <c r="P227" s="21" t="str">
        <f aca="false">IFERROR(INDEX(종합!P$3:P$501,MATCH(ROW()-2,종합!$AB$3:$AB$501,0))&amp;"","")</f>
        <v/>
      </c>
      <c r="Q227" s="21" t="str">
        <f aca="false">IFERROR(INDEX(종합!Q$3:Q$501,MATCH(ROW()-2,종합!$AB$3:$AB$501,0))&amp;"","")</f>
        <v/>
      </c>
      <c r="R227" s="21" t="str">
        <f aca="false">IFERROR(INDEX(종합!R$3:R$501,MATCH(ROW()-2,종합!$AB$3:$AB$501,0))&amp;"","")</f>
        <v/>
      </c>
      <c r="S227" s="21" t="str">
        <f aca="false">IFERROR(INDEX(종합!S$3:S$501,MATCH(ROW()-2,종합!$AB$3:$AB$501,0))&amp;"","")</f>
        <v/>
      </c>
      <c r="T227" s="21" t="str">
        <f aca="false">IFERROR(INDEX(종합!T$3:T$501,MATCH(ROW()-2,종합!$AB$3:$AB$501,0))&amp;"","")</f>
        <v/>
      </c>
      <c r="U227" s="21" t="str">
        <f aca="false">IFERROR(INDEX(종합!U$3:U$501,MATCH(ROW()-2,종합!$AB$3:$AB$501,0))&amp;"","")</f>
        <v/>
      </c>
      <c r="V227" s="21" t="str">
        <f aca="false">IFERROR(INDEX(종합!V$3:V$501,MATCH(ROW()-2,종합!$AB$3:$AB$501,0))&amp;"","")</f>
        <v/>
      </c>
      <c r="W227" s="21" t="str">
        <f aca="false">IFERROR(INDEX(종합!W$3:W$501,MATCH(ROW()-2,종합!$AB$3:$AB$501,0))&amp;"","")</f>
        <v/>
      </c>
      <c r="X227" s="21" t="str">
        <f aca="false">IFERROR(INDEX(종합!X$3:X$501,MATCH(ROW()-2,종합!$AB$3:$AB$501,0))&amp;"","")</f>
        <v/>
      </c>
      <c r="Y227" s="21" t="str">
        <f aca="false">IFERROR(INDEX(종합!Y$3:Y$501,MATCH(ROW()-2,종합!$AB$3:$AB$501,0))&amp;"","")</f>
        <v/>
      </c>
      <c r="Z227" s="21" t="str">
        <f aca="false">IFERROR(INDEX(종합!Z$3:Z$501,MATCH(ROW()-2,종합!$AB$3:$AB$501,0))&amp;"","")</f>
        <v/>
      </c>
    </row>
    <row r="228" customFormat="false" ht="16.5" hidden="false" customHeight="true" outlineLevel="0" collapsed="false">
      <c r="A228" s="18" t="str">
        <f aca="false">IF(B228="","",ROW()-2)</f>
        <v/>
      </c>
      <c r="B228" s="18" t="str">
        <f aca="false">IFERROR(INDEX(종합!B$3:B$501,MATCH(ROW()-2,종합!$AB$3:$AB$501,0))&amp;"","")</f>
        <v/>
      </c>
      <c r="C228" s="18" t="str">
        <f aca="false">IFERROR(INDEX(종합!C$3:C$501,MATCH(ROW()-2,종합!$AB$3:$AB$501,0))&amp;"","")</f>
        <v/>
      </c>
      <c r="D228" s="18" t="str">
        <f aca="false">IFERROR(INDEX(종합!D$3:D$501,MATCH(ROW()-2,종합!$AB$3:$AB$501,0))&amp;"","")</f>
        <v/>
      </c>
      <c r="E228" s="18" t="str">
        <f aca="false">IFERROR(INDEX(종합!E$3:E$501,MATCH(ROW()-2,종합!$AB$3:$AB$501,0))&amp;"","")</f>
        <v/>
      </c>
      <c r="F228" s="18" t="str">
        <f aca="false">IFERROR(INDEX(종합!F$3:F$501,MATCH(ROW()-2,종합!$AB$3:$AB$501,0))&amp;"","")</f>
        <v/>
      </c>
      <c r="G228" s="18" t="str">
        <f aca="false">IFERROR(INDEX(종합!G$3:G$501,MATCH(ROW()-2,종합!$AB$3:$AB$501,0))&amp;"","")</f>
        <v/>
      </c>
      <c r="H228" s="21" t="str">
        <f aca="false">IFERROR(INDEX(종합!H$3:H$501,MATCH(ROW()-2,종합!$AB$3:$AB$501,0))&amp;"","")</f>
        <v/>
      </c>
      <c r="I228" s="21" t="str">
        <f aca="false">IFERROR(INDEX(종합!I$3:I$501,MATCH(ROW()-2,종합!$AB$3:$AB$501,0))&amp;"","")</f>
        <v/>
      </c>
      <c r="J228" s="21" t="str">
        <f aca="false">IFERROR(INDEX(종합!J$3:J$501,MATCH(ROW()-2,종합!$AB$3:$AB$501,0))&amp;"","")</f>
        <v/>
      </c>
      <c r="K228" s="21" t="str">
        <f aca="false">IFERROR(INDEX(종합!K$3:K$501,MATCH(ROW()-2,종합!$AB$3:$AB$501,0))&amp;"","")</f>
        <v/>
      </c>
      <c r="L228" s="21" t="str">
        <f aca="false">IFERROR(INDEX(종합!L$3:L$501,MATCH(ROW()-2,종합!$AB$3:$AB$501,0))&amp;"","")</f>
        <v/>
      </c>
      <c r="M228" s="21" t="str">
        <f aca="false">IFERROR(INDEX(종합!M$3:M$501,MATCH(ROW()-2,종합!$AB$3:$AB$501,0))&amp;"","")</f>
        <v/>
      </c>
      <c r="N228" s="25" t="str">
        <f aca="false">IFERROR(INDEX(종합!N$3:N$501,MATCH(ROW()-2,종합!$AB$3:$AB$501,0))&amp;"","")</f>
        <v/>
      </c>
      <c r="O228" s="21" t="str">
        <f aca="false">IFERROR(INDEX(종합!O$3:O$501,MATCH(ROW()-2,종합!$AB$3:$AB$501,0))&amp;"","")</f>
        <v/>
      </c>
      <c r="P228" s="21" t="str">
        <f aca="false">IFERROR(INDEX(종합!P$3:P$501,MATCH(ROW()-2,종합!$AB$3:$AB$501,0))&amp;"","")</f>
        <v/>
      </c>
      <c r="Q228" s="21" t="str">
        <f aca="false">IFERROR(INDEX(종합!Q$3:Q$501,MATCH(ROW()-2,종합!$AB$3:$AB$501,0))&amp;"","")</f>
        <v/>
      </c>
      <c r="R228" s="21" t="str">
        <f aca="false">IFERROR(INDEX(종합!R$3:R$501,MATCH(ROW()-2,종합!$AB$3:$AB$501,0))&amp;"","")</f>
        <v/>
      </c>
      <c r="S228" s="21" t="str">
        <f aca="false">IFERROR(INDEX(종합!S$3:S$501,MATCH(ROW()-2,종합!$AB$3:$AB$501,0))&amp;"","")</f>
        <v/>
      </c>
      <c r="T228" s="21" t="str">
        <f aca="false">IFERROR(INDEX(종합!T$3:T$501,MATCH(ROW()-2,종합!$AB$3:$AB$501,0))&amp;"","")</f>
        <v/>
      </c>
      <c r="U228" s="21" t="str">
        <f aca="false">IFERROR(INDEX(종합!U$3:U$501,MATCH(ROW()-2,종합!$AB$3:$AB$501,0))&amp;"","")</f>
        <v/>
      </c>
      <c r="V228" s="21" t="str">
        <f aca="false">IFERROR(INDEX(종합!V$3:V$501,MATCH(ROW()-2,종합!$AB$3:$AB$501,0))&amp;"","")</f>
        <v/>
      </c>
      <c r="W228" s="21" t="str">
        <f aca="false">IFERROR(INDEX(종합!W$3:W$501,MATCH(ROW()-2,종합!$AB$3:$AB$501,0))&amp;"","")</f>
        <v/>
      </c>
      <c r="X228" s="21" t="str">
        <f aca="false">IFERROR(INDEX(종합!X$3:X$501,MATCH(ROW()-2,종합!$AB$3:$AB$501,0))&amp;"","")</f>
        <v/>
      </c>
      <c r="Y228" s="21" t="str">
        <f aca="false">IFERROR(INDEX(종합!Y$3:Y$501,MATCH(ROW()-2,종합!$AB$3:$AB$501,0))&amp;"","")</f>
        <v/>
      </c>
      <c r="Z228" s="21" t="str">
        <f aca="false">IFERROR(INDEX(종합!Z$3:Z$501,MATCH(ROW()-2,종합!$AB$3:$AB$501,0))&amp;"","")</f>
        <v/>
      </c>
    </row>
    <row r="229" customFormat="false" ht="16.5" hidden="false" customHeight="true" outlineLevel="0" collapsed="false">
      <c r="A229" s="18" t="str">
        <f aca="false">IF(B229="","",ROW()-2)</f>
        <v/>
      </c>
      <c r="B229" s="18" t="str">
        <f aca="false">IFERROR(INDEX(종합!B$3:B$501,MATCH(ROW()-2,종합!$AB$3:$AB$501,0))&amp;"","")</f>
        <v/>
      </c>
      <c r="C229" s="18" t="str">
        <f aca="false">IFERROR(INDEX(종합!C$3:C$501,MATCH(ROW()-2,종합!$AB$3:$AB$501,0))&amp;"","")</f>
        <v/>
      </c>
      <c r="D229" s="18" t="str">
        <f aca="false">IFERROR(INDEX(종합!D$3:D$501,MATCH(ROW()-2,종합!$AB$3:$AB$501,0))&amp;"","")</f>
        <v/>
      </c>
      <c r="E229" s="18" t="str">
        <f aca="false">IFERROR(INDEX(종합!E$3:E$501,MATCH(ROW()-2,종합!$AB$3:$AB$501,0))&amp;"","")</f>
        <v/>
      </c>
      <c r="F229" s="18" t="str">
        <f aca="false">IFERROR(INDEX(종합!F$3:F$501,MATCH(ROW()-2,종합!$AB$3:$AB$501,0))&amp;"","")</f>
        <v/>
      </c>
      <c r="G229" s="18" t="str">
        <f aca="false">IFERROR(INDEX(종합!G$3:G$501,MATCH(ROW()-2,종합!$AB$3:$AB$501,0))&amp;"","")</f>
        <v/>
      </c>
      <c r="H229" s="21" t="str">
        <f aca="false">IFERROR(INDEX(종합!H$3:H$501,MATCH(ROW()-2,종합!$AB$3:$AB$501,0))&amp;"","")</f>
        <v/>
      </c>
      <c r="I229" s="21" t="str">
        <f aca="false">IFERROR(INDEX(종합!I$3:I$501,MATCH(ROW()-2,종합!$AB$3:$AB$501,0))&amp;"","")</f>
        <v/>
      </c>
      <c r="J229" s="21" t="str">
        <f aca="false">IFERROR(INDEX(종합!J$3:J$501,MATCH(ROW()-2,종합!$AB$3:$AB$501,0))&amp;"","")</f>
        <v/>
      </c>
      <c r="K229" s="21" t="str">
        <f aca="false">IFERROR(INDEX(종합!K$3:K$501,MATCH(ROW()-2,종합!$AB$3:$AB$501,0))&amp;"","")</f>
        <v/>
      </c>
      <c r="L229" s="21" t="str">
        <f aca="false">IFERROR(INDEX(종합!L$3:L$501,MATCH(ROW()-2,종합!$AB$3:$AB$501,0))&amp;"","")</f>
        <v/>
      </c>
      <c r="M229" s="21" t="str">
        <f aca="false">IFERROR(INDEX(종합!M$3:M$501,MATCH(ROW()-2,종합!$AB$3:$AB$501,0))&amp;"","")</f>
        <v/>
      </c>
      <c r="N229" s="25" t="str">
        <f aca="false">IFERROR(INDEX(종합!N$3:N$501,MATCH(ROW()-2,종합!$AB$3:$AB$501,0))&amp;"","")</f>
        <v/>
      </c>
      <c r="O229" s="21" t="str">
        <f aca="false">IFERROR(INDEX(종합!O$3:O$501,MATCH(ROW()-2,종합!$AB$3:$AB$501,0))&amp;"","")</f>
        <v/>
      </c>
      <c r="P229" s="21" t="str">
        <f aca="false">IFERROR(INDEX(종합!P$3:P$501,MATCH(ROW()-2,종합!$AB$3:$AB$501,0))&amp;"","")</f>
        <v/>
      </c>
      <c r="Q229" s="21" t="str">
        <f aca="false">IFERROR(INDEX(종합!Q$3:Q$501,MATCH(ROW()-2,종합!$AB$3:$AB$501,0))&amp;"","")</f>
        <v/>
      </c>
      <c r="R229" s="21" t="str">
        <f aca="false">IFERROR(INDEX(종합!R$3:R$501,MATCH(ROW()-2,종합!$AB$3:$AB$501,0))&amp;"","")</f>
        <v/>
      </c>
      <c r="S229" s="21" t="str">
        <f aca="false">IFERROR(INDEX(종합!S$3:S$501,MATCH(ROW()-2,종합!$AB$3:$AB$501,0))&amp;"","")</f>
        <v/>
      </c>
      <c r="T229" s="21" t="str">
        <f aca="false">IFERROR(INDEX(종합!T$3:T$501,MATCH(ROW()-2,종합!$AB$3:$AB$501,0))&amp;"","")</f>
        <v/>
      </c>
      <c r="U229" s="21" t="str">
        <f aca="false">IFERROR(INDEX(종합!U$3:U$501,MATCH(ROW()-2,종합!$AB$3:$AB$501,0))&amp;"","")</f>
        <v/>
      </c>
      <c r="V229" s="21" t="str">
        <f aca="false">IFERROR(INDEX(종합!V$3:V$501,MATCH(ROW()-2,종합!$AB$3:$AB$501,0))&amp;"","")</f>
        <v/>
      </c>
      <c r="W229" s="21" t="str">
        <f aca="false">IFERROR(INDEX(종합!W$3:W$501,MATCH(ROW()-2,종합!$AB$3:$AB$501,0))&amp;"","")</f>
        <v/>
      </c>
      <c r="X229" s="21" t="str">
        <f aca="false">IFERROR(INDEX(종합!X$3:X$501,MATCH(ROW()-2,종합!$AB$3:$AB$501,0))&amp;"","")</f>
        <v/>
      </c>
      <c r="Y229" s="21" t="str">
        <f aca="false">IFERROR(INDEX(종합!Y$3:Y$501,MATCH(ROW()-2,종합!$AB$3:$AB$501,0))&amp;"","")</f>
        <v/>
      </c>
      <c r="Z229" s="21" t="str">
        <f aca="false">IFERROR(INDEX(종합!Z$3:Z$501,MATCH(ROW()-2,종합!$AB$3:$AB$501,0))&amp;"","")</f>
        <v/>
      </c>
    </row>
    <row r="230" customFormat="false" ht="16.5" hidden="false" customHeight="true" outlineLevel="0" collapsed="false">
      <c r="A230" s="18" t="str">
        <f aca="false">IF(B230="","",ROW()-2)</f>
        <v/>
      </c>
      <c r="B230" s="18" t="str">
        <f aca="false">IFERROR(INDEX(종합!B$3:B$501,MATCH(ROW()-2,종합!$AB$3:$AB$501,0))&amp;"","")</f>
        <v/>
      </c>
      <c r="C230" s="18" t="str">
        <f aca="false">IFERROR(INDEX(종합!C$3:C$501,MATCH(ROW()-2,종합!$AB$3:$AB$501,0))&amp;"","")</f>
        <v/>
      </c>
      <c r="D230" s="18" t="str">
        <f aca="false">IFERROR(INDEX(종합!D$3:D$501,MATCH(ROW()-2,종합!$AB$3:$AB$501,0))&amp;"","")</f>
        <v/>
      </c>
      <c r="E230" s="18" t="str">
        <f aca="false">IFERROR(INDEX(종합!E$3:E$501,MATCH(ROW()-2,종합!$AB$3:$AB$501,0))&amp;"","")</f>
        <v/>
      </c>
      <c r="F230" s="18" t="str">
        <f aca="false">IFERROR(INDEX(종합!F$3:F$501,MATCH(ROW()-2,종합!$AB$3:$AB$501,0))&amp;"","")</f>
        <v/>
      </c>
      <c r="G230" s="18" t="str">
        <f aca="false">IFERROR(INDEX(종합!G$3:G$501,MATCH(ROW()-2,종합!$AB$3:$AB$501,0))&amp;"","")</f>
        <v/>
      </c>
      <c r="H230" s="21" t="str">
        <f aca="false">IFERROR(INDEX(종합!H$3:H$501,MATCH(ROW()-2,종합!$AB$3:$AB$501,0))&amp;"","")</f>
        <v/>
      </c>
      <c r="I230" s="21" t="str">
        <f aca="false">IFERROR(INDEX(종합!I$3:I$501,MATCH(ROW()-2,종합!$AB$3:$AB$501,0))&amp;"","")</f>
        <v/>
      </c>
      <c r="J230" s="21" t="str">
        <f aca="false">IFERROR(INDEX(종합!J$3:J$501,MATCH(ROW()-2,종합!$AB$3:$AB$501,0))&amp;"","")</f>
        <v/>
      </c>
      <c r="K230" s="21" t="str">
        <f aca="false">IFERROR(INDEX(종합!K$3:K$501,MATCH(ROW()-2,종합!$AB$3:$AB$501,0))&amp;"","")</f>
        <v/>
      </c>
      <c r="L230" s="21" t="str">
        <f aca="false">IFERROR(INDEX(종합!L$3:L$501,MATCH(ROW()-2,종합!$AB$3:$AB$501,0))&amp;"","")</f>
        <v/>
      </c>
      <c r="M230" s="21" t="str">
        <f aca="false">IFERROR(INDEX(종합!M$3:M$501,MATCH(ROW()-2,종합!$AB$3:$AB$501,0))&amp;"","")</f>
        <v/>
      </c>
      <c r="N230" s="25" t="str">
        <f aca="false">IFERROR(INDEX(종합!N$3:N$501,MATCH(ROW()-2,종합!$AB$3:$AB$501,0))&amp;"","")</f>
        <v/>
      </c>
      <c r="O230" s="21" t="str">
        <f aca="false">IFERROR(INDEX(종합!O$3:O$501,MATCH(ROW()-2,종합!$AB$3:$AB$501,0))&amp;"","")</f>
        <v/>
      </c>
      <c r="P230" s="21" t="str">
        <f aca="false">IFERROR(INDEX(종합!P$3:P$501,MATCH(ROW()-2,종합!$AB$3:$AB$501,0))&amp;"","")</f>
        <v/>
      </c>
      <c r="Q230" s="21" t="str">
        <f aca="false">IFERROR(INDEX(종합!Q$3:Q$501,MATCH(ROW()-2,종합!$AB$3:$AB$501,0))&amp;"","")</f>
        <v/>
      </c>
      <c r="R230" s="21" t="str">
        <f aca="false">IFERROR(INDEX(종합!R$3:R$501,MATCH(ROW()-2,종합!$AB$3:$AB$501,0))&amp;"","")</f>
        <v/>
      </c>
      <c r="S230" s="21" t="str">
        <f aca="false">IFERROR(INDEX(종합!S$3:S$501,MATCH(ROW()-2,종합!$AB$3:$AB$501,0))&amp;"","")</f>
        <v/>
      </c>
      <c r="T230" s="21" t="str">
        <f aca="false">IFERROR(INDEX(종합!T$3:T$501,MATCH(ROW()-2,종합!$AB$3:$AB$501,0))&amp;"","")</f>
        <v/>
      </c>
      <c r="U230" s="21" t="str">
        <f aca="false">IFERROR(INDEX(종합!U$3:U$501,MATCH(ROW()-2,종합!$AB$3:$AB$501,0))&amp;"","")</f>
        <v/>
      </c>
      <c r="V230" s="21" t="str">
        <f aca="false">IFERROR(INDEX(종합!V$3:V$501,MATCH(ROW()-2,종합!$AB$3:$AB$501,0))&amp;"","")</f>
        <v/>
      </c>
      <c r="W230" s="21" t="str">
        <f aca="false">IFERROR(INDEX(종합!W$3:W$501,MATCH(ROW()-2,종합!$AB$3:$AB$501,0))&amp;"","")</f>
        <v/>
      </c>
      <c r="X230" s="21" t="str">
        <f aca="false">IFERROR(INDEX(종합!X$3:X$501,MATCH(ROW()-2,종합!$AB$3:$AB$501,0))&amp;"","")</f>
        <v/>
      </c>
      <c r="Y230" s="21" t="str">
        <f aca="false">IFERROR(INDEX(종합!Y$3:Y$501,MATCH(ROW()-2,종합!$AB$3:$AB$501,0))&amp;"","")</f>
        <v/>
      </c>
      <c r="Z230" s="21" t="str">
        <f aca="false">IFERROR(INDEX(종합!Z$3:Z$501,MATCH(ROW()-2,종합!$AB$3:$AB$501,0))&amp;"","")</f>
        <v/>
      </c>
    </row>
    <row r="231" customFormat="false" ht="16.5" hidden="false" customHeight="true" outlineLevel="0" collapsed="false">
      <c r="A231" s="18" t="str">
        <f aca="false">IF(B231="","",ROW()-2)</f>
        <v/>
      </c>
      <c r="B231" s="18" t="str">
        <f aca="false">IFERROR(INDEX(종합!B$3:B$501,MATCH(ROW()-2,종합!$AB$3:$AB$501,0))&amp;"","")</f>
        <v/>
      </c>
      <c r="C231" s="18" t="str">
        <f aca="false">IFERROR(INDEX(종합!C$3:C$501,MATCH(ROW()-2,종합!$AB$3:$AB$501,0))&amp;"","")</f>
        <v/>
      </c>
      <c r="D231" s="18" t="str">
        <f aca="false">IFERROR(INDEX(종합!D$3:D$501,MATCH(ROW()-2,종합!$AB$3:$AB$501,0))&amp;"","")</f>
        <v/>
      </c>
      <c r="E231" s="18" t="str">
        <f aca="false">IFERROR(INDEX(종합!E$3:E$501,MATCH(ROW()-2,종합!$AB$3:$AB$501,0))&amp;"","")</f>
        <v/>
      </c>
      <c r="F231" s="18" t="str">
        <f aca="false">IFERROR(INDEX(종합!F$3:F$501,MATCH(ROW()-2,종합!$AB$3:$AB$501,0))&amp;"","")</f>
        <v/>
      </c>
      <c r="G231" s="18" t="str">
        <f aca="false">IFERROR(INDEX(종합!G$3:G$501,MATCH(ROW()-2,종합!$AB$3:$AB$501,0))&amp;"","")</f>
        <v/>
      </c>
      <c r="H231" s="21" t="str">
        <f aca="false">IFERROR(INDEX(종합!H$3:H$501,MATCH(ROW()-2,종합!$AB$3:$AB$501,0))&amp;"","")</f>
        <v/>
      </c>
      <c r="I231" s="21" t="str">
        <f aca="false">IFERROR(INDEX(종합!I$3:I$501,MATCH(ROW()-2,종합!$AB$3:$AB$501,0))&amp;"","")</f>
        <v/>
      </c>
      <c r="J231" s="21" t="str">
        <f aca="false">IFERROR(INDEX(종합!J$3:J$501,MATCH(ROW()-2,종합!$AB$3:$AB$501,0))&amp;"","")</f>
        <v/>
      </c>
      <c r="K231" s="21" t="str">
        <f aca="false">IFERROR(INDEX(종합!K$3:K$501,MATCH(ROW()-2,종합!$AB$3:$AB$501,0))&amp;"","")</f>
        <v/>
      </c>
      <c r="L231" s="21" t="str">
        <f aca="false">IFERROR(INDEX(종합!L$3:L$501,MATCH(ROW()-2,종합!$AB$3:$AB$501,0))&amp;"","")</f>
        <v/>
      </c>
      <c r="M231" s="21" t="str">
        <f aca="false">IFERROR(INDEX(종합!M$3:M$501,MATCH(ROW()-2,종합!$AB$3:$AB$501,0))&amp;"","")</f>
        <v/>
      </c>
      <c r="N231" s="25" t="str">
        <f aca="false">IFERROR(INDEX(종합!N$3:N$501,MATCH(ROW()-2,종합!$AB$3:$AB$501,0))&amp;"","")</f>
        <v/>
      </c>
      <c r="O231" s="21" t="str">
        <f aca="false">IFERROR(INDEX(종합!O$3:O$501,MATCH(ROW()-2,종합!$AB$3:$AB$501,0))&amp;"","")</f>
        <v/>
      </c>
      <c r="P231" s="21" t="str">
        <f aca="false">IFERROR(INDEX(종합!P$3:P$501,MATCH(ROW()-2,종합!$AB$3:$AB$501,0))&amp;"","")</f>
        <v/>
      </c>
      <c r="Q231" s="21" t="str">
        <f aca="false">IFERROR(INDEX(종합!Q$3:Q$501,MATCH(ROW()-2,종합!$AB$3:$AB$501,0))&amp;"","")</f>
        <v/>
      </c>
      <c r="R231" s="21" t="str">
        <f aca="false">IFERROR(INDEX(종합!R$3:R$501,MATCH(ROW()-2,종합!$AB$3:$AB$501,0))&amp;"","")</f>
        <v/>
      </c>
      <c r="S231" s="21" t="str">
        <f aca="false">IFERROR(INDEX(종합!S$3:S$501,MATCH(ROW()-2,종합!$AB$3:$AB$501,0))&amp;"","")</f>
        <v/>
      </c>
      <c r="T231" s="21" t="str">
        <f aca="false">IFERROR(INDEX(종합!T$3:T$501,MATCH(ROW()-2,종합!$AB$3:$AB$501,0))&amp;"","")</f>
        <v/>
      </c>
      <c r="U231" s="21" t="str">
        <f aca="false">IFERROR(INDEX(종합!U$3:U$501,MATCH(ROW()-2,종합!$AB$3:$AB$501,0))&amp;"","")</f>
        <v/>
      </c>
      <c r="V231" s="21" t="str">
        <f aca="false">IFERROR(INDEX(종합!V$3:V$501,MATCH(ROW()-2,종합!$AB$3:$AB$501,0))&amp;"","")</f>
        <v/>
      </c>
      <c r="W231" s="21" t="str">
        <f aca="false">IFERROR(INDEX(종합!W$3:W$501,MATCH(ROW()-2,종합!$AB$3:$AB$501,0))&amp;"","")</f>
        <v/>
      </c>
      <c r="X231" s="21" t="str">
        <f aca="false">IFERROR(INDEX(종합!X$3:X$501,MATCH(ROW()-2,종합!$AB$3:$AB$501,0))&amp;"","")</f>
        <v/>
      </c>
      <c r="Y231" s="21" t="str">
        <f aca="false">IFERROR(INDEX(종합!Y$3:Y$501,MATCH(ROW()-2,종합!$AB$3:$AB$501,0))&amp;"","")</f>
        <v/>
      </c>
      <c r="Z231" s="21" t="str">
        <f aca="false">IFERROR(INDEX(종합!Z$3:Z$501,MATCH(ROW()-2,종합!$AB$3:$AB$501,0))&amp;"","")</f>
        <v/>
      </c>
    </row>
    <row r="232" customFormat="false" ht="16.5" hidden="false" customHeight="true" outlineLevel="0" collapsed="false">
      <c r="A232" s="18" t="str">
        <f aca="false">IF(B232="","",ROW()-2)</f>
        <v/>
      </c>
      <c r="B232" s="18" t="str">
        <f aca="false">IFERROR(INDEX(종합!B$3:B$501,MATCH(ROW()-2,종합!$AB$3:$AB$501,0))&amp;"","")</f>
        <v/>
      </c>
      <c r="C232" s="18" t="str">
        <f aca="false">IFERROR(INDEX(종합!C$3:C$501,MATCH(ROW()-2,종합!$AB$3:$AB$501,0))&amp;"","")</f>
        <v/>
      </c>
      <c r="D232" s="18" t="str">
        <f aca="false">IFERROR(INDEX(종합!D$3:D$501,MATCH(ROW()-2,종합!$AB$3:$AB$501,0))&amp;"","")</f>
        <v/>
      </c>
      <c r="E232" s="18" t="str">
        <f aca="false">IFERROR(INDEX(종합!E$3:E$501,MATCH(ROW()-2,종합!$AB$3:$AB$501,0))&amp;"","")</f>
        <v/>
      </c>
      <c r="F232" s="18" t="str">
        <f aca="false">IFERROR(INDEX(종합!F$3:F$501,MATCH(ROW()-2,종합!$AB$3:$AB$501,0))&amp;"","")</f>
        <v/>
      </c>
      <c r="G232" s="18" t="str">
        <f aca="false">IFERROR(INDEX(종합!G$3:G$501,MATCH(ROW()-2,종합!$AB$3:$AB$501,0))&amp;"","")</f>
        <v/>
      </c>
      <c r="H232" s="21" t="str">
        <f aca="false">IFERROR(INDEX(종합!H$3:H$501,MATCH(ROW()-2,종합!$AB$3:$AB$501,0))&amp;"","")</f>
        <v/>
      </c>
      <c r="I232" s="21" t="str">
        <f aca="false">IFERROR(INDEX(종합!I$3:I$501,MATCH(ROW()-2,종합!$AB$3:$AB$501,0))&amp;"","")</f>
        <v/>
      </c>
      <c r="J232" s="21" t="str">
        <f aca="false">IFERROR(INDEX(종합!J$3:J$501,MATCH(ROW()-2,종합!$AB$3:$AB$501,0))&amp;"","")</f>
        <v/>
      </c>
      <c r="K232" s="21" t="str">
        <f aca="false">IFERROR(INDEX(종합!K$3:K$501,MATCH(ROW()-2,종합!$AB$3:$AB$501,0))&amp;"","")</f>
        <v/>
      </c>
      <c r="L232" s="21" t="str">
        <f aca="false">IFERROR(INDEX(종합!L$3:L$501,MATCH(ROW()-2,종합!$AB$3:$AB$501,0))&amp;"","")</f>
        <v/>
      </c>
      <c r="M232" s="21" t="str">
        <f aca="false">IFERROR(INDEX(종합!M$3:M$501,MATCH(ROW()-2,종합!$AB$3:$AB$501,0))&amp;"","")</f>
        <v/>
      </c>
      <c r="N232" s="25" t="str">
        <f aca="false">IFERROR(INDEX(종합!N$3:N$501,MATCH(ROW()-2,종합!$AB$3:$AB$501,0))&amp;"","")</f>
        <v/>
      </c>
      <c r="O232" s="21" t="str">
        <f aca="false">IFERROR(INDEX(종합!O$3:O$501,MATCH(ROW()-2,종합!$AB$3:$AB$501,0))&amp;"","")</f>
        <v/>
      </c>
      <c r="P232" s="21" t="str">
        <f aca="false">IFERROR(INDEX(종합!P$3:P$501,MATCH(ROW()-2,종합!$AB$3:$AB$501,0))&amp;"","")</f>
        <v/>
      </c>
      <c r="Q232" s="21" t="str">
        <f aca="false">IFERROR(INDEX(종합!Q$3:Q$501,MATCH(ROW()-2,종합!$AB$3:$AB$501,0))&amp;"","")</f>
        <v/>
      </c>
      <c r="R232" s="21" t="str">
        <f aca="false">IFERROR(INDEX(종합!R$3:R$501,MATCH(ROW()-2,종합!$AB$3:$AB$501,0))&amp;"","")</f>
        <v/>
      </c>
      <c r="S232" s="21" t="str">
        <f aca="false">IFERROR(INDEX(종합!S$3:S$501,MATCH(ROW()-2,종합!$AB$3:$AB$501,0))&amp;"","")</f>
        <v/>
      </c>
      <c r="T232" s="21" t="str">
        <f aca="false">IFERROR(INDEX(종합!T$3:T$501,MATCH(ROW()-2,종합!$AB$3:$AB$501,0))&amp;"","")</f>
        <v/>
      </c>
      <c r="U232" s="21" t="str">
        <f aca="false">IFERROR(INDEX(종합!U$3:U$501,MATCH(ROW()-2,종합!$AB$3:$AB$501,0))&amp;"","")</f>
        <v/>
      </c>
      <c r="V232" s="21" t="str">
        <f aca="false">IFERROR(INDEX(종합!V$3:V$501,MATCH(ROW()-2,종합!$AB$3:$AB$501,0))&amp;"","")</f>
        <v/>
      </c>
      <c r="W232" s="21" t="str">
        <f aca="false">IFERROR(INDEX(종합!W$3:W$501,MATCH(ROW()-2,종합!$AB$3:$AB$501,0))&amp;"","")</f>
        <v/>
      </c>
      <c r="X232" s="21" t="str">
        <f aca="false">IFERROR(INDEX(종합!X$3:X$501,MATCH(ROW()-2,종합!$AB$3:$AB$501,0))&amp;"","")</f>
        <v/>
      </c>
      <c r="Y232" s="21" t="str">
        <f aca="false">IFERROR(INDEX(종합!Y$3:Y$501,MATCH(ROW()-2,종합!$AB$3:$AB$501,0))&amp;"","")</f>
        <v/>
      </c>
      <c r="Z232" s="21" t="str">
        <f aca="false">IFERROR(INDEX(종합!Z$3:Z$501,MATCH(ROW()-2,종합!$AB$3:$AB$501,0))&amp;"","")</f>
        <v/>
      </c>
    </row>
    <row r="233" customFormat="false" ht="16.5" hidden="false" customHeight="true" outlineLevel="0" collapsed="false">
      <c r="A233" s="18" t="str">
        <f aca="false">IF(B233="","",ROW()-2)</f>
        <v/>
      </c>
      <c r="B233" s="18" t="str">
        <f aca="false">IFERROR(INDEX(종합!B$3:B$501,MATCH(ROW()-2,종합!$AB$3:$AB$501,0))&amp;"","")</f>
        <v/>
      </c>
      <c r="C233" s="18" t="str">
        <f aca="false">IFERROR(INDEX(종합!C$3:C$501,MATCH(ROW()-2,종합!$AB$3:$AB$501,0))&amp;"","")</f>
        <v/>
      </c>
      <c r="D233" s="18" t="str">
        <f aca="false">IFERROR(INDEX(종합!D$3:D$501,MATCH(ROW()-2,종합!$AB$3:$AB$501,0))&amp;"","")</f>
        <v/>
      </c>
      <c r="E233" s="18" t="str">
        <f aca="false">IFERROR(INDEX(종합!E$3:E$501,MATCH(ROW()-2,종합!$AB$3:$AB$501,0))&amp;"","")</f>
        <v/>
      </c>
      <c r="F233" s="18" t="str">
        <f aca="false">IFERROR(INDEX(종합!F$3:F$501,MATCH(ROW()-2,종합!$AB$3:$AB$501,0))&amp;"","")</f>
        <v/>
      </c>
      <c r="G233" s="18" t="str">
        <f aca="false">IFERROR(INDEX(종합!G$3:G$501,MATCH(ROW()-2,종합!$AB$3:$AB$501,0))&amp;"","")</f>
        <v/>
      </c>
      <c r="H233" s="21" t="str">
        <f aca="false">IFERROR(INDEX(종합!H$3:H$501,MATCH(ROW()-2,종합!$AB$3:$AB$501,0))&amp;"","")</f>
        <v/>
      </c>
      <c r="I233" s="21" t="str">
        <f aca="false">IFERROR(INDEX(종합!I$3:I$501,MATCH(ROW()-2,종합!$AB$3:$AB$501,0))&amp;"","")</f>
        <v/>
      </c>
      <c r="J233" s="21" t="str">
        <f aca="false">IFERROR(INDEX(종합!J$3:J$501,MATCH(ROW()-2,종합!$AB$3:$AB$501,0))&amp;"","")</f>
        <v/>
      </c>
      <c r="K233" s="21" t="str">
        <f aca="false">IFERROR(INDEX(종합!K$3:K$501,MATCH(ROW()-2,종합!$AB$3:$AB$501,0))&amp;"","")</f>
        <v/>
      </c>
      <c r="L233" s="21" t="str">
        <f aca="false">IFERROR(INDEX(종합!L$3:L$501,MATCH(ROW()-2,종합!$AB$3:$AB$501,0))&amp;"","")</f>
        <v/>
      </c>
      <c r="M233" s="21" t="str">
        <f aca="false">IFERROR(INDEX(종합!M$3:M$501,MATCH(ROW()-2,종합!$AB$3:$AB$501,0))&amp;"","")</f>
        <v/>
      </c>
      <c r="N233" s="25" t="str">
        <f aca="false">IFERROR(INDEX(종합!N$3:N$501,MATCH(ROW()-2,종합!$AB$3:$AB$501,0))&amp;"","")</f>
        <v/>
      </c>
      <c r="O233" s="21" t="str">
        <f aca="false">IFERROR(INDEX(종합!O$3:O$501,MATCH(ROW()-2,종합!$AB$3:$AB$501,0))&amp;"","")</f>
        <v/>
      </c>
      <c r="P233" s="21" t="str">
        <f aca="false">IFERROR(INDEX(종합!P$3:P$501,MATCH(ROW()-2,종합!$AB$3:$AB$501,0))&amp;"","")</f>
        <v/>
      </c>
      <c r="Q233" s="21" t="str">
        <f aca="false">IFERROR(INDEX(종합!Q$3:Q$501,MATCH(ROW()-2,종합!$AB$3:$AB$501,0))&amp;"","")</f>
        <v/>
      </c>
      <c r="R233" s="21" t="str">
        <f aca="false">IFERROR(INDEX(종합!R$3:R$501,MATCH(ROW()-2,종합!$AB$3:$AB$501,0))&amp;"","")</f>
        <v/>
      </c>
      <c r="S233" s="21" t="str">
        <f aca="false">IFERROR(INDEX(종합!S$3:S$501,MATCH(ROW()-2,종합!$AB$3:$AB$501,0))&amp;"","")</f>
        <v/>
      </c>
      <c r="T233" s="21" t="str">
        <f aca="false">IFERROR(INDEX(종합!T$3:T$501,MATCH(ROW()-2,종합!$AB$3:$AB$501,0))&amp;"","")</f>
        <v/>
      </c>
      <c r="U233" s="21" t="str">
        <f aca="false">IFERROR(INDEX(종합!U$3:U$501,MATCH(ROW()-2,종합!$AB$3:$AB$501,0))&amp;"","")</f>
        <v/>
      </c>
      <c r="V233" s="21" t="str">
        <f aca="false">IFERROR(INDEX(종합!V$3:V$501,MATCH(ROW()-2,종합!$AB$3:$AB$501,0))&amp;"","")</f>
        <v/>
      </c>
      <c r="W233" s="21" t="str">
        <f aca="false">IFERROR(INDEX(종합!W$3:W$501,MATCH(ROW()-2,종합!$AB$3:$AB$501,0))&amp;"","")</f>
        <v/>
      </c>
      <c r="X233" s="21" t="str">
        <f aca="false">IFERROR(INDEX(종합!X$3:X$501,MATCH(ROW()-2,종합!$AB$3:$AB$501,0))&amp;"","")</f>
        <v/>
      </c>
      <c r="Y233" s="21" t="str">
        <f aca="false">IFERROR(INDEX(종합!Y$3:Y$501,MATCH(ROW()-2,종합!$AB$3:$AB$501,0))&amp;"","")</f>
        <v/>
      </c>
      <c r="Z233" s="21" t="str">
        <f aca="false">IFERROR(INDEX(종합!Z$3:Z$501,MATCH(ROW()-2,종합!$AB$3:$AB$501,0))&amp;"","")</f>
        <v/>
      </c>
    </row>
    <row r="234" customFormat="false" ht="16.5" hidden="false" customHeight="true" outlineLevel="0" collapsed="false">
      <c r="A234" s="18" t="str">
        <f aca="false">IF(B234="","",ROW()-2)</f>
        <v/>
      </c>
      <c r="B234" s="18" t="str">
        <f aca="false">IFERROR(INDEX(종합!B$3:B$501,MATCH(ROW()-2,종합!$AB$3:$AB$501,0))&amp;"","")</f>
        <v/>
      </c>
      <c r="C234" s="18" t="str">
        <f aca="false">IFERROR(INDEX(종합!C$3:C$501,MATCH(ROW()-2,종합!$AB$3:$AB$501,0))&amp;"","")</f>
        <v/>
      </c>
      <c r="D234" s="18" t="str">
        <f aca="false">IFERROR(INDEX(종합!D$3:D$501,MATCH(ROW()-2,종합!$AB$3:$AB$501,0))&amp;"","")</f>
        <v/>
      </c>
      <c r="E234" s="18" t="str">
        <f aca="false">IFERROR(INDEX(종합!E$3:E$501,MATCH(ROW()-2,종합!$AB$3:$AB$501,0))&amp;"","")</f>
        <v/>
      </c>
      <c r="F234" s="18" t="str">
        <f aca="false">IFERROR(INDEX(종합!F$3:F$501,MATCH(ROW()-2,종합!$AB$3:$AB$501,0))&amp;"","")</f>
        <v/>
      </c>
      <c r="G234" s="18" t="str">
        <f aca="false">IFERROR(INDEX(종합!G$3:G$501,MATCH(ROW()-2,종합!$AB$3:$AB$501,0))&amp;"","")</f>
        <v/>
      </c>
      <c r="H234" s="21" t="str">
        <f aca="false">IFERROR(INDEX(종합!H$3:H$501,MATCH(ROW()-2,종합!$AB$3:$AB$501,0))&amp;"","")</f>
        <v/>
      </c>
      <c r="I234" s="21" t="str">
        <f aca="false">IFERROR(INDEX(종합!I$3:I$501,MATCH(ROW()-2,종합!$AB$3:$AB$501,0))&amp;"","")</f>
        <v/>
      </c>
      <c r="J234" s="21" t="str">
        <f aca="false">IFERROR(INDEX(종합!J$3:J$501,MATCH(ROW()-2,종합!$AB$3:$AB$501,0))&amp;"","")</f>
        <v/>
      </c>
      <c r="K234" s="21" t="str">
        <f aca="false">IFERROR(INDEX(종합!K$3:K$501,MATCH(ROW()-2,종합!$AB$3:$AB$501,0))&amp;"","")</f>
        <v/>
      </c>
      <c r="L234" s="21" t="str">
        <f aca="false">IFERROR(INDEX(종합!L$3:L$501,MATCH(ROW()-2,종합!$AB$3:$AB$501,0))&amp;"","")</f>
        <v/>
      </c>
      <c r="M234" s="21" t="str">
        <f aca="false">IFERROR(INDEX(종합!M$3:M$501,MATCH(ROW()-2,종합!$AB$3:$AB$501,0))&amp;"","")</f>
        <v/>
      </c>
      <c r="N234" s="25" t="str">
        <f aca="false">IFERROR(INDEX(종합!N$3:N$501,MATCH(ROW()-2,종합!$AB$3:$AB$501,0))&amp;"","")</f>
        <v/>
      </c>
      <c r="O234" s="21" t="str">
        <f aca="false">IFERROR(INDEX(종합!O$3:O$501,MATCH(ROW()-2,종합!$AB$3:$AB$501,0))&amp;"","")</f>
        <v/>
      </c>
      <c r="P234" s="21" t="str">
        <f aca="false">IFERROR(INDEX(종합!P$3:P$501,MATCH(ROW()-2,종합!$AB$3:$AB$501,0))&amp;"","")</f>
        <v/>
      </c>
      <c r="Q234" s="21" t="str">
        <f aca="false">IFERROR(INDEX(종합!Q$3:Q$501,MATCH(ROW()-2,종합!$AB$3:$AB$501,0))&amp;"","")</f>
        <v/>
      </c>
      <c r="R234" s="21" t="str">
        <f aca="false">IFERROR(INDEX(종합!R$3:R$501,MATCH(ROW()-2,종합!$AB$3:$AB$501,0))&amp;"","")</f>
        <v/>
      </c>
      <c r="S234" s="21" t="str">
        <f aca="false">IFERROR(INDEX(종합!S$3:S$501,MATCH(ROW()-2,종합!$AB$3:$AB$501,0))&amp;"","")</f>
        <v/>
      </c>
      <c r="T234" s="21" t="str">
        <f aca="false">IFERROR(INDEX(종합!T$3:T$501,MATCH(ROW()-2,종합!$AB$3:$AB$501,0))&amp;"","")</f>
        <v/>
      </c>
      <c r="U234" s="21" t="str">
        <f aca="false">IFERROR(INDEX(종합!U$3:U$501,MATCH(ROW()-2,종합!$AB$3:$AB$501,0))&amp;"","")</f>
        <v/>
      </c>
      <c r="V234" s="21" t="str">
        <f aca="false">IFERROR(INDEX(종합!V$3:V$501,MATCH(ROW()-2,종합!$AB$3:$AB$501,0))&amp;"","")</f>
        <v/>
      </c>
      <c r="W234" s="21" t="str">
        <f aca="false">IFERROR(INDEX(종합!W$3:W$501,MATCH(ROW()-2,종합!$AB$3:$AB$501,0))&amp;"","")</f>
        <v/>
      </c>
      <c r="X234" s="21" t="str">
        <f aca="false">IFERROR(INDEX(종합!X$3:X$501,MATCH(ROW()-2,종합!$AB$3:$AB$501,0))&amp;"","")</f>
        <v/>
      </c>
      <c r="Y234" s="21" t="str">
        <f aca="false">IFERROR(INDEX(종합!Y$3:Y$501,MATCH(ROW()-2,종합!$AB$3:$AB$501,0))&amp;"","")</f>
        <v/>
      </c>
      <c r="Z234" s="21" t="str">
        <f aca="false">IFERROR(INDEX(종합!Z$3:Z$501,MATCH(ROW()-2,종합!$AB$3:$AB$501,0))&amp;"","")</f>
        <v/>
      </c>
    </row>
    <row r="235" customFormat="false" ht="16.5" hidden="false" customHeight="true" outlineLevel="0" collapsed="false">
      <c r="A235" s="18" t="str">
        <f aca="false">IF(B235="","",ROW()-2)</f>
        <v/>
      </c>
      <c r="B235" s="18" t="str">
        <f aca="false">IFERROR(INDEX(종합!B$3:B$501,MATCH(ROW()-2,종합!$AB$3:$AB$501,0))&amp;"","")</f>
        <v/>
      </c>
      <c r="C235" s="18" t="str">
        <f aca="false">IFERROR(INDEX(종합!C$3:C$501,MATCH(ROW()-2,종합!$AB$3:$AB$501,0))&amp;"","")</f>
        <v/>
      </c>
      <c r="D235" s="18" t="str">
        <f aca="false">IFERROR(INDEX(종합!D$3:D$501,MATCH(ROW()-2,종합!$AB$3:$AB$501,0))&amp;"","")</f>
        <v/>
      </c>
      <c r="E235" s="18" t="str">
        <f aca="false">IFERROR(INDEX(종합!E$3:E$501,MATCH(ROW()-2,종합!$AB$3:$AB$501,0))&amp;"","")</f>
        <v/>
      </c>
      <c r="F235" s="18" t="str">
        <f aca="false">IFERROR(INDEX(종합!F$3:F$501,MATCH(ROW()-2,종합!$AB$3:$AB$501,0))&amp;"","")</f>
        <v/>
      </c>
      <c r="G235" s="18" t="str">
        <f aca="false">IFERROR(INDEX(종합!G$3:G$501,MATCH(ROW()-2,종합!$AB$3:$AB$501,0))&amp;"","")</f>
        <v/>
      </c>
      <c r="H235" s="21" t="str">
        <f aca="false">IFERROR(INDEX(종합!H$3:H$501,MATCH(ROW()-2,종합!$AB$3:$AB$501,0))&amp;"","")</f>
        <v/>
      </c>
      <c r="I235" s="21" t="str">
        <f aca="false">IFERROR(INDEX(종합!I$3:I$501,MATCH(ROW()-2,종합!$AB$3:$AB$501,0))&amp;"","")</f>
        <v/>
      </c>
      <c r="J235" s="21" t="str">
        <f aca="false">IFERROR(INDEX(종합!J$3:J$501,MATCH(ROW()-2,종합!$AB$3:$AB$501,0))&amp;"","")</f>
        <v/>
      </c>
      <c r="K235" s="21" t="str">
        <f aca="false">IFERROR(INDEX(종합!K$3:K$501,MATCH(ROW()-2,종합!$AB$3:$AB$501,0))&amp;"","")</f>
        <v/>
      </c>
      <c r="L235" s="21" t="str">
        <f aca="false">IFERROR(INDEX(종합!L$3:L$501,MATCH(ROW()-2,종합!$AB$3:$AB$501,0))&amp;"","")</f>
        <v/>
      </c>
      <c r="M235" s="21" t="str">
        <f aca="false">IFERROR(INDEX(종합!M$3:M$501,MATCH(ROW()-2,종합!$AB$3:$AB$501,0))&amp;"","")</f>
        <v/>
      </c>
      <c r="N235" s="25" t="str">
        <f aca="false">IFERROR(INDEX(종합!N$3:N$501,MATCH(ROW()-2,종합!$AB$3:$AB$501,0))&amp;"","")</f>
        <v/>
      </c>
      <c r="O235" s="21" t="str">
        <f aca="false">IFERROR(INDEX(종합!O$3:O$501,MATCH(ROW()-2,종합!$AB$3:$AB$501,0))&amp;"","")</f>
        <v/>
      </c>
      <c r="P235" s="21" t="str">
        <f aca="false">IFERROR(INDEX(종합!P$3:P$501,MATCH(ROW()-2,종합!$AB$3:$AB$501,0))&amp;"","")</f>
        <v/>
      </c>
      <c r="Q235" s="21" t="str">
        <f aca="false">IFERROR(INDEX(종합!Q$3:Q$501,MATCH(ROW()-2,종합!$AB$3:$AB$501,0))&amp;"","")</f>
        <v/>
      </c>
      <c r="R235" s="21" t="str">
        <f aca="false">IFERROR(INDEX(종합!R$3:R$501,MATCH(ROW()-2,종합!$AB$3:$AB$501,0))&amp;"","")</f>
        <v/>
      </c>
      <c r="S235" s="21" t="str">
        <f aca="false">IFERROR(INDEX(종합!S$3:S$501,MATCH(ROW()-2,종합!$AB$3:$AB$501,0))&amp;"","")</f>
        <v/>
      </c>
      <c r="T235" s="21" t="str">
        <f aca="false">IFERROR(INDEX(종합!T$3:T$501,MATCH(ROW()-2,종합!$AB$3:$AB$501,0))&amp;"","")</f>
        <v/>
      </c>
      <c r="U235" s="21" t="str">
        <f aca="false">IFERROR(INDEX(종합!U$3:U$501,MATCH(ROW()-2,종합!$AB$3:$AB$501,0))&amp;"","")</f>
        <v/>
      </c>
      <c r="V235" s="21" t="str">
        <f aca="false">IFERROR(INDEX(종합!V$3:V$501,MATCH(ROW()-2,종합!$AB$3:$AB$501,0))&amp;"","")</f>
        <v/>
      </c>
      <c r="W235" s="21" t="str">
        <f aca="false">IFERROR(INDEX(종합!W$3:W$501,MATCH(ROW()-2,종합!$AB$3:$AB$501,0))&amp;"","")</f>
        <v/>
      </c>
      <c r="X235" s="21" t="str">
        <f aca="false">IFERROR(INDEX(종합!X$3:X$501,MATCH(ROW()-2,종합!$AB$3:$AB$501,0))&amp;"","")</f>
        <v/>
      </c>
      <c r="Y235" s="21" t="str">
        <f aca="false">IFERROR(INDEX(종합!Y$3:Y$501,MATCH(ROW()-2,종합!$AB$3:$AB$501,0))&amp;"","")</f>
        <v/>
      </c>
      <c r="Z235" s="21" t="str">
        <f aca="false">IFERROR(INDEX(종합!Z$3:Z$501,MATCH(ROW()-2,종합!$AB$3:$AB$501,0))&amp;"","")</f>
        <v/>
      </c>
    </row>
    <row r="236" customFormat="false" ht="16.5" hidden="false" customHeight="true" outlineLevel="0" collapsed="false">
      <c r="A236" s="18" t="str">
        <f aca="false">IF(B236="","",ROW()-2)</f>
        <v/>
      </c>
      <c r="B236" s="18" t="str">
        <f aca="false">IFERROR(INDEX(종합!B$3:B$501,MATCH(ROW()-2,종합!$AB$3:$AB$501,0))&amp;"","")</f>
        <v/>
      </c>
      <c r="C236" s="18" t="str">
        <f aca="false">IFERROR(INDEX(종합!C$3:C$501,MATCH(ROW()-2,종합!$AB$3:$AB$501,0))&amp;"","")</f>
        <v/>
      </c>
      <c r="D236" s="18" t="str">
        <f aca="false">IFERROR(INDEX(종합!D$3:D$501,MATCH(ROW()-2,종합!$AB$3:$AB$501,0))&amp;"","")</f>
        <v/>
      </c>
      <c r="E236" s="18" t="str">
        <f aca="false">IFERROR(INDEX(종합!E$3:E$501,MATCH(ROW()-2,종합!$AB$3:$AB$501,0))&amp;"","")</f>
        <v/>
      </c>
      <c r="F236" s="18" t="str">
        <f aca="false">IFERROR(INDEX(종합!F$3:F$501,MATCH(ROW()-2,종합!$AB$3:$AB$501,0))&amp;"","")</f>
        <v/>
      </c>
      <c r="G236" s="18" t="str">
        <f aca="false">IFERROR(INDEX(종합!G$3:G$501,MATCH(ROW()-2,종합!$AB$3:$AB$501,0))&amp;"","")</f>
        <v/>
      </c>
      <c r="H236" s="21" t="str">
        <f aca="false">IFERROR(INDEX(종합!H$3:H$501,MATCH(ROW()-2,종합!$AB$3:$AB$501,0))&amp;"","")</f>
        <v/>
      </c>
      <c r="I236" s="21" t="str">
        <f aca="false">IFERROR(INDEX(종합!I$3:I$501,MATCH(ROW()-2,종합!$AB$3:$AB$501,0))&amp;"","")</f>
        <v/>
      </c>
      <c r="J236" s="21" t="str">
        <f aca="false">IFERROR(INDEX(종합!J$3:J$501,MATCH(ROW()-2,종합!$AB$3:$AB$501,0))&amp;"","")</f>
        <v/>
      </c>
      <c r="K236" s="21" t="str">
        <f aca="false">IFERROR(INDEX(종합!K$3:K$501,MATCH(ROW()-2,종합!$AB$3:$AB$501,0))&amp;"","")</f>
        <v/>
      </c>
      <c r="L236" s="21" t="str">
        <f aca="false">IFERROR(INDEX(종합!L$3:L$501,MATCH(ROW()-2,종합!$AB$3:$AB$501,0))&amp;"","")</f>
        <v/>
      </c>
      <c r="M236" s="21" t="str">
        <f aca="false">IFERROR(INDEX(종합!M$3:M$501,MATCH(ROW()-2,종합!$AB$3:$AB$501,0))&amp;"","")</f>
        <v/>
      </c>
      <c r="N236" s="25" t="str">
        <f aca="false">IFERROR(INDEX(종합!N$3:N$501,MATCH(ROW()-2,종합!$AB$3:$AB$501,0))&amp;"","")</f>
        <v/>
      </c>
      <c r="O236" s="21" t="str">
        <f aca="false">IFERROR(INDEX(종합!O$3:O$501,MATCH(ROW()-2,종합!$AB$3:$AB$501,0))&amp;"","")</f>
        <v/>
      </c>
      <c r="P236" s="21" t="str">
        <f aca="false">IFERROR(INDEX(종합!P$3:P$501,MATCH(ROW()-2,종합!$AB$3:$AB$501,0))&amp;"","")</f>
        <v/>
      </c>
      <c r="Q236" s="21" t="str">
        <f aca="false">IFERROR(INDEX(종합!Q$3:Q$501,MATCH(ROW()-2,종합!$AB$3:$AB$501,0))&amp;"","")</f>
        <v/>
      </c>
      <c r="R236" s="21" t="str">
        <f aca="false">IFERROR(INDEX(종합!R$3:R$501,MATCH(ROW()-2,종합!$AB$3:$AB$501,0))&amp;"","")</f>
        <v/>
      </c>
      <c r="S236" s="21" t="str">
        <f aca="false">IFERROR(INDEX(종합!S$3:S$501,MATCH(ROW()-2,종합!$AB$3:$AB$501,0))&amp;"","")</f>
        <v/>
      </c>
      <c r="T236" s="21" t="str">
        <f aca="false">IFERROR(INDEX(종합!T$3:T$501,MATCH(ROW()-2,종합!$AB$3:$AB$501,0))&amp;"","")</f>
        <v/>
      </c>
      <c r="U236" s="21" t="str">
        <f aca="false">IFERROR(INDEX(종합!U$3:U$501,MATCH(ROW()-2,종합!$AB$3:$AB$501,0))&amp;"","")</f>
        <v/>
      </c>
      <c r="V236" s="21" t="str">
        <f aca="false">IFERROR(INDEX(종합!V$3:V$501,MATCH(ROW()-2,종합!$AB$3:$AB$501,0))&amp;"","")</f>
        <v/>
      </c>
      <c r="W236" s="21" t="str">
        <f aca="false">IFERROR(INDEX(종합!W$3:W$501,MATCH(ROW()-2,종합!$AB$3:$AB$501,0))&amp;"","")</f>
        <v/>
      </c>
      <c r="X236" s="21" t="str">
        <f aca="false">IFERROR(INDEX(종합!X$3:X$501,MATCH(ROW()-2,종합!$AB$3:$AB$501,0))&amp;"","")</f>
        <v/>
      </c>
      <c r="Y236" s="21" t="str">
        <f aca="false">IFERROR(INDEX(종합!Y$3:Y$501,MATCH(ROW()-2,종합!$AB$3:$AB$501,0))&amp;"","")</f>
        <v/>
      </c>
      <c r="Z236" s="21" t="str">
        <f aca="false">IFERROR(INDEX(종합!Z$3:Z$501,MATCH(ROW()-2,종합!$AB$3:$AB$501,0))&amp;"","")</f>
        <v/>
      </c>
    </row>
    <row r="237" customFormat="false" ht="16.5" hidden="false" customHeight="true" outlineLevel="0" collapsed="false">
      <c r="A237" s="18" t="str">
        <f aca="false">IF(B237="","",ROW()-2)</f>
        <v/>
      </c>
      <c r="B237" s="18" t="str">
        <f aca="false">IFERROR(INDEX(종합!B$3:B$501,MATCH(ROW()-2,종합!$AB$3:$AB$501,0))&amp;"","")</f>
        <v/>
      </c>
      <c r="C237" s="18" t="str">
        <f aca="false">IFERROR(INDEX(종합!C$3:C$501,MATCH(ROW()-2,종합!$AB$3:$AB$501,0))&amp;"","")</f>
        <v/>
      </c>
      <c r="D237" s="18" t="str">
        <f aca="false">IFERROR(INDEX(종합!D$3:D$501,MATCH(ROW()-2,종합!$AB$3:$AB$501,0))&amp;"","")</f>
        <v/>
      </c>
      <c r="E237" s="18" t="str">
        <f aca="false">IFERROR(INDEX(종합!E$3:E$501,MATCH(ROW()-2,종합!$AB$3:$AB$501,0))&amp;"","")</f>
        <v/>
      </c>
      <c r="F237" s="18" t="str">
        <f aca="false">IFERROR(INDEX(종합!F$3:F$501,MATCH(ROW()-2,종합!$AB$3:$AB$501,0))&amp;"","")</f>
        <v/>
      </c>
      <c r="G237" s="18" t="str">
        <f aca="false">IFERROR(INDEX(종합!G$3:G$501,MATCH(ROW()-2,종합!$AB$3:$AB$501,0))&amp;"","")</f>
        <v/>
      </c>
      <c r="H237" s="21" t="str">
        <f aca="false">IFERROR(INDEX(종합!H$3:H$501,MATCH(ROW()-2,종합!$AB$3:$AB$501,0))&amp;"","")</f>
        <v/>
      </c>
      <c r="I237" s="21" t="str">
        <f aca="false">IFERROR(INDEX(종합!I$3:I$501,MATCH(ROW()-2,종합!$AB$3:$AB$501,0))&amp;"","")</f>
        <v/>
      </c>
      <c r="J237" s="21" t="str">
        <f aca="false">IFERROR(INDEX(종합!J$3:J$501,MATCH(ROW()-2,종합!$AB$3:$AB$501,0))&amp;"","")</f>
        <v/>
      </c>
      <c r="K237" s="21" t="str">
        <f aca="false">IFERROR(INDEX(종합!K$3:K$501,MATCH(ROW()-2,종합!$AB$3:$AB$501,0))&amp;"","")</f>
        <v/>
      </c>
      <c r="L237" s="21" t="str">
        <f aca="false">IFERROR(INDEX(종합!L$3:L$501,MATCH(ROW()-2,종합!$AB$3:$AB$501,0))&amp;"","")</f>
        <v/>
      </c>
      <c r="M237" s="21" t="str">
        <f aca="false">IFERROR(INDEX(종합!M$3:M$501,MATCH(ROW()-2,종합!$AB$3:$AB$501,0))&amp;"","")</f>
        <v/>
      </c>
      <c r="N237" s="25" t="str">
        <f aca="false">IFERROR(INDEX(종합!N$3:N$501,MATCH(ROW()-2,종합!$AB$3:$AB$501,0))&amp;"","")</f>
        <v/>
      </c>
      <c r="O237" s="21" t="str">
        <f aca="false">IFERROR(INDEX(종합!O$3:O$501,MATCH(ROW()-2,종합!$AB$3:$AB$501,0))&amp;"","")</f>
        <v/>
      </c>
      <c r="P237" s="21" t="str">
        <f aca="false">IFERROR(INDEX(종합!P$3:P$501,MATCH(ROW()-2,종합!$AB$3:$AB$501,0))&amp;"","")</f>
        <v/>
      </c>
      <c r="Q237" s="21" t="str">
        <f aca="false">IFERROR(INDEX(종합!Q$3:Q$501,MATCH(ROW()-2,종합!$AB$3:$AB$501,0))&amp;"","")</f>
        <v/>
      </c>
      <c r="R237" s="21" t="str">
        <f aca="false">IFERROR(INDEX(종합!R$3:R$501,MATCH(ROW()-2,종합!$AB$3:$AB$501,0))&amp;"","")</f>
        <v/>
      </c>
      <c r="S237" s="21" t="str">
        <f aca="false">IFERROR(INDEX(종합!S$3:S$501,MATCH(ROW()-2,종합!$AB$3:$AB$501,0))&amp;"","")</f>
        <v/>
      </c>
      <c r="T237" s="21" t="str">
        <f aca="false">IFERROR(INDEX(종합!T$3:T$501,MATCH(ROW()-2,종합!$AB$3:$AB$501,0))&amp;"","")</f>
        <v/>
      </c>
      <c r="U237" s="21" t="str">
        <f aca="false">IFERROR(INDEX(종합!U$3:U$501,MATCH(ROW()-2,종합!$AB$3:$AB$501,0))&amp;"","")</f>
        <v/>
      </c>
      <c r="V237" s="21" t="str">
        <f aca="false">IFERROR(INDEX(종합!V$3:V$501,MATCH(ROW()-2,종합!$AB$3:$AB$501,0))&amp;"","")</f>
        <v/>
      </c>
      <c r="W237" s="21" t="str">
        <f aca="false">IFERROR(INDEX(종합!W$3:W$501,MATCH(ROW()-2,종합!$AB$3:$AB$501,0))&amp;"","")</f>
        <v/>
      </c>
      <c r="X237" s="21" t="str">
        <f aca="false">IFERROR(INDEX(종합!X$3:X$501,MATCH(ROW()-2,종합!$AB$3:$AB$501,0))&amp;"","")</f>
        <v/>
      </c>
      <c r="Y237" s="21" t="str">
        <f aca="false">IFERROR(INDEX(종합!Y$3:Y$501,MATCH(ROW()-2,종합!$AB$3:$AB$501,0))&amp;"","")</f>
        <v/>
      </c>
      <c r="Z237" s="21" t="str">
        <f aca="false">IFERROR(INDEX(종합!Z$3:Z$501,MATCH(ROW()-2,종합!$AB$3:$AB$501,0))&amp;"","")</f>
        <v/>
      </c>
    </row>
    <row r="238" customFormat="false" ht="16.5" hidden="false" customHeight="true" outlineLevel="0" collapsed="false">
      <c r="A238" s="18" t="str">
        <f aca="false">IF(B238="","",ROW()-2)</f>
        <v/>
      </c>
      <c r="B238" s="18" t="str">
        <f aca="false">IFERROR(INDEX(종합!B$3:B$501,MATCH(ROW()-2,종합!$AB$3:$AB$501,0))&amp;"","")</f>
        <v/>
      </c>
      <c r="C238" s="18" t="str">
        <f aca="false">IFERROR(INDEX(종합!C$3:C$501,MATCH(ROW()-2,종합!$AB$3:$AB$501,0))&amp;"","")</f>
        <v/>
      </c>
      <c r="D238" s="18" t="str">
        <f aca="false">IFERROR(INDEX(종합!D$3:D$501,MATCH(ROW()-2,종합!$AB$3:$AB$501,0))&amp;"","")</f>
        <v/>
      </c>
      <c r="E238" s="18" t="str">
        <f aca="false">IFERROR(INDEX(종합!E$3:E$501,MATCH(ROW()-2,종합!$AB$3:$AB$501,0))&amp;"","")</f>
        <v/>
      </c>
      <c r="F238" s="18" t="str">
        <f aca="false">IFERROR(INDEX(종합!F$3:F$501,MATCH(ROW()-2,종합!$AB$3:$AB$501,0))&amp;"","")</f>
        <v/>
      </c>
      <c r="G238" s="18" t="str">
        <f aca="false">IFERROR(INDEX(종합!G$3:G$501,MATCH(ROW()-2,종합!$AB$3:$AB$501,0))&amp;"","")</f>
        <v/>
      </c>
      <c r="H238" s="21" t="str">
        <f aca="false">IFERROR(INDEX(종합!H$3:H$501,MATCH(ROW()-2,종합!$AB$3:$AB$501,0))&amp;"","")</f>
        <v/>
      </c>
      <c r="I238" s="21" t="str">
        <f aca="false">IFERROR(INDEX(종합!I$3:I$501,MATCH(ROW()-2,종합!$AB$3:$AB$501,0))&amp;"","")</f>
        <v/>
      </c>
      <c r="J238" s="21" t="str">
        <f aca="false">IFERROR(INDEX(종합!J$3:J$501,MATCH(ROW()-2,종합!$AB$3:$AB$501,0))&amp;"","")</f>
        <v/>
      </c>
      <c r="K238" s="21" t="str">
        <f aca="false">IFERROR(INDEX(종합!K$3:K$501,MATCH(ROW()-2,종합!$AB$3:$AB$501,0))&amp;"","")</f>
        <v/>
      </c>
      <c r="L238" s="21" t="str">
        <f aca="false">IFERROR(INDEX(종합!L$3:L$501,MATCH(ROW()-2,종합!$AB$3:$AB$501,0))&amp;"","")</f>
        <v/>
      </c>
      <c r="M238" s="21" t="str">
        <f aca="false">IFERROR(INDEX(종합!M$3:M$501,MATCH(ROW()-2,종합!$AB$3:$AB$501,0))&amp;"","")</f>
        <v/>
      </c>
      <c r="N238" s="25" t="str">
        <f aca="false">IFERROR(INDEX(종합!N$3:N$501,MATCH(ROW()-2,종합!$AB$3:$AB$501,0))&amp;"","")</f>
        <v/>
      </c>
      <c r="O238" s="21" t="str">
        <f aca="false">IFERROR(INDEX(종합!O$3:O$501,MATCH(ROW()-2,종합!$AB$3:$AB$501,0))&amp;"","")</f>
        <v/>
      </c>
      <c r="P238" s="21" t="str">
        <f aca="false">IFERROR(INDEX(종합!P$3:P$501,MATCH(ROW()-2,종합!$AB$3:$AB$501,0))&amp;"","")</f>
        <v/>
      </c>
      <c r="Q238" s="21" t="str">
        <f aca="false">IFERROR(INDEX(종합!Q$3:Q$501,MATCH(ROW()-2,종합!$AB$3:$AB$501,0))&amp;"","")</f>
        <v/>
      </c>
      <c r="R238" s="21" t="str">
        <f aca="false">IFERROR(INDEX(종합!R$3:R$501,MATCH(ROW()-2,종합!$AB$3:$AB$501,0))&amp;"","")</f>
        <v/>
      </c>
      <c r="S238" s="21" t="str">
        <f aca="false">IFERROR(INDEX(종합!S$3:S$501,MATCH(ROW()-2,종합!$AB$3:$AB$501,0))&amp;"","")</f>
        <v/>
      </c>
      <c r="T238" s="21" t="str">
        <f aca="false">IFERROR(INDEX(종합!T$3:T$501,MATCH(ROW()-2,종합!$AB$3:$AB$501,0))&amp;"","")</f>
        <v/>
      </c>
      <c r="U238" s="21" t="str">
        <f aca="false">IFERROR(INDEX(종합!U$3:U$501,MATCH(ROW()-2,종합!$AB$3:$AB$501,0))&amp;"","")</f>
        <v/>
      </c>
      <c r="V238" s="21" t="str">
        <f aca="false">IFERROR(INDEX(종합!V$3:V$501,MATCH(ROW()-2,종합!$AB$3:$AB$501,0))&amp;"","")</f>
        <v/>
      </c>
      <c r="W238" s="21" t="str">
        <f aca="false">IFERROR(INDEX(종합!W$3:W$501,MATCH(ROW()-2,종합!$AB$3:$AB$501,0))&amp;"","")</f>
        <v/>
      </c>
      <c r="X238" s="21" t="str">
        <f aca="false">IFERROR(INDEX(종합!X$3:X$501,MATCH(ROW()-2,종합!$AB$3:$AB$501,0))&amp;"","")</f>
        <v/>
      </c>
      <c r="Y238" s="21" t="str">
        <f aca="false">IFERROR(INDEX(종합!Y$3:Y$501,MATCH(ROW()-2,종합!$AB$3:$AB$501,0))&amp;"","")</f>
        <v/>
      </c>
      <c r="Z238" s="21" t="str">
        <f aca="false">IFERROR(INDEX(종합!Z$3:Z$501,MATCH(ROW()-2,종합!$AB$3:$AB$501,0))&amp;"","")</f>
        <v/>
      </c>
    </row>
    <row r="239" customFormat="false" ht="16.5" hidden="false" customHeight="true" outlineLevel="0" collapsed="false">
      <c r="A239" s="18" t="str">
        <f aca="false">IF(B239="","",ROW()-2)</f>
        <v/>
      </c>
      <c r="B239" s="18" t="str">
        <f aca="false">IFERROR(INDEX(종합!B$3:B$501,MATCH(ROW()-2,종합!$AB$3:$AB$501,0))&amp;"","")</f>
        <v/>
      </c>
      <c r="C239" s="18" t="str">
        <f aca="false">IFERROR(INDEX(종합!C$3:C$501,MATCH(ROW()-2,종합!$AB$3:$AB$501,0))&amp;"","")</f>
        <v/>
      </c>
      <c r="D239" s="18" t="str">
        <f aca="false">IFERROR(INDEX(종합!D$3:D$501,MATCH(ROW()-2,종합!$AB$3:$AB$501,0))&amp;"","")</f>
        <v/>
      </c>
      <c r="E239" s="18" t="str">
        <f aca="false">IFERROR(INDEX(종합!E$3:E$501,MATCH(ROW()-2,종합!$AB$3:$AB$501,0))&amp;"","")</f>
        <v/>
      </c>
      <c r="F239" s="18" t="str">
        <f aca="false">IFERROR(INDEX(종합!F$3:F$501,MATCH(ROW()-2,종합!$AB$3:$AB$501,0))&amp;"","")</f>
        <v/>
      </c>
      <c r="G239" s="18" t="str">
        <f aca="false">IFERROR(INDEX(종합!G$3:G$501,MATCH(ROW()-2,종합!$AB$3:$AB$501,0))&amp;"","")</f>
        <v/>
      </c>
      <c r="H239" s="21" t="str">
        <f aca="false">IFERROR(INDEX(종합!H$3:H$501,MATCH(ROW()-2,종합!$AB$3:$AB$501,0))&amp;"","")</f>
        <v/>
      </c>
      <c r="I239" s="21" t="str">
        <f aca="false">IFERROR(INDEX(종합!I$3:I$501,MATCH(ROW()-2,종합!$AB$3:$AB$501,0))&amp;"","")</f>
        <v/>
      </c>
      <c r="J239" s="21" t="str">
        <f aca="false">IFERROR(INDEX(종합!J$3:J$501,MATCH(ROW()-2,종합!$AB$3:$AB$501,0))&amp;"","")</f>
        <v/>
      </c>
      <c r="K239" s="21" t="str">
        <f aca="false">IFERROR(INDEX(종합!K$3:K$501,MATCH(ROW()-2,종합!$AB$3:$AB$501,0))&amp;"","")</f>
        <v/>
      </c>
      <c r="L239" s="21" t="str">
        <f aca="false">IFERROR(INDEX(종합!L$3:L$501,MATCH(ROW()-2,종합!$AB$3:$AB$501,0))&amp;"","")</f>
        <v/>
      </c>
      <c r="M239" s="21" t="str">
        <f aca="false">IFERROR(INDEX(종합!M$3:M$501,MATCH(ROW()-2,종합!$AB$3:$AB$501,0))&amp;"","")</f>
        <v/>
      </c>
      <c r="N239" s="25" t="str">
        <f aca="false">IFERROR(INDEX(종합!N$3:N$501,MATCH(ROW()-2,종합!$AB$3:$AB$501,0))&amp;"","")</f>
        <v/>
      </c>
      <c r="O239" s="21" t="str">
        <f aca="false">IFERROR(INDEX(종합!O$3:O$501,MATCH(ROW()-2,종합!$AB$3:$AB$501,0))&amp;"","")</f>
        <v/>
      </c>
      <c r="P239" s="21" t="str">
        <f aca="false">IFERROR(INDEX(종합!P$3:P$501,MATCH(ROW()-2,종합!$AB$3:$AB$501,0))&amp;"","")</f>
        <v/>
      </c>
      <c r="Q239" s="21" t="str">
        <f aca="false">IFERROR(INDEX(종합!Q$3:Q$501,MATCH(ROW()-2,종합!$AB$3:$AB$501,0))&amp;"","")</f>
        <v/>
      </c>
      <c r="R239" s="21" t="str">
        <f aca="false">IFERROR(INDEX(종합!R$3:R$501,MATCH(ROW()-2,종합!$AB$3:$AB$501,0))&amp;"","")</f>
        <v/>
      </c>
      <c r="S239" s="21" t="str">
        <f aca="false">IFERROR(INDEX(종합!S$3:S$501,MATCH(ROW()-2,종합!$AB$3:$AB$501,0))&amp;"","")</f>
        <v/>
      </c>
      <c r="T239" s="21" t="str">
        <f aca="false">IFERROR(INDEX(종합!T$3:T$501,MATCH(ROW()-2,종합!$AB$3:$AB$501,0))&amp;"","")</f>
        <v/>
      </c>
      <c r="U239" s="21" t="str">
        <f aca="false">IFERROR(INDEX(종합!U$3:U$501,MATCH(ROW()-2,종합!$AB$3:$AB$501,0))&amp;"","")</f>
        <v/>
      </c>
      <c r="V239" s="21" t="str">
        <f aca="false">IFERROR(INDEX(종합!V$3:V$501,MATCH(ROW()-2,종합!$AB$3:$AB$501,0))&amp;"","")</f>
        <v/>
      </c>
      <c r="W239" s="21" t="str">
        <f aca="false">IFERROR(INDEX(종합!W$3:W$501,MATCH(ROW()-2,종합!$AB$3:$AB$501,0))&amp;"","")</f>
        <v/>
      </c>
      <c r="X239" s="21" t="str">
        <f aca="false">IFERROR(INDEX(종합!X$3:X$501,MATCH(ROW()-2,종합!$AB$3:$AB$501,0))&amp;"","")</f>
        <v/>
      </c>
      <c r="Y239" s="21" t="str">
        <f aca="false">IFERROR(INDEX(종합!Y$3:Y$501,MATCH(ROW()-2,종합!$AB$3:$AB$501,0))&amp;"","")</f>
        <v/>
      </c>
      <c r="Z239" s="21" t="str">
        <f aca="false">IFERROR(INDEX(종합!Z$3:Z$501,MATCH(ROW()-2,종합!$AB$3:$AB$501,0))&amp;"","")</f>
        <v/>
      </c>
    </row>
    <row r="240" customFormat="false" ht="16.5" hidden="false" customHeight="true" outlineLevel="0" collapsed="false">
      <c r="A240" s="18" t="str">
        <f aca="false">IF(B240="","",ROW()-2)</f>
        <v/>
      </c>
      <c r="B240" s="18" t="str">
        <f aca="false">IFERROR(INDEX(종합!B$3:B$501,MATCH(ROW()-2,종합!$AB$3:$AB$501,0))&amp;"","")</f>
        <v/>
      </c>
      <c r="C240" s="18" t="str">
        <f aca="false">IFERROR(INDEX(종합!C$3:C$501,MATCH(ROW()-2,종합!$AB$3:$AB$501,0))&amp;"","")</f>
        <v/>
      </c>
      <c r="D240" s="18" t="str">
        <f aca="false">IFERROR(INDEX(종합!D$3:D$501,MATCH(ROW()-2,종합!$AB$3:$AB$501,0))&amp;"","")</f>
        <v/>
      </c>
      <c r="E240" s="18" t="str">
        <f aca="false">IFERROR(INDEX(종합!E$3:E$501,MATCH(ROW()-2,종합!$AB$3:$AB$501,0))&amp;"","")</f>
        <v/>
      </c>
      <c r="F240" s="18" t="str">
        <f aca="false">IFERROR(INDEX(종합!F$3:F$501,MATCH(ROW()-2,종합!$AB$3:$AB$501,0))&amp;"","")</f>
        <v/>
      </c>
      <c r="G240" s="18" t="str">
        <f aca="false">IFERROR(INDEX(종합!G$3:G$501,MATCH(ROW()-2,종합!$AB$3:$AB$501,0))&amp;"","")</f>
        <v/>
      </c>
      <c r="H240" s="21" t="str">
        <f aca="false">IFERROR(INDEX(종합!H$3:H$501,MATCH(ROW()-2,종합!$AB$3:$AB$501,0))&amp;"","")</f>
        <v/>
      </c>
      <c r="I240" s="21" t="str">
        <f aca="false">IFERROR(INDEX(종합!I$3:I$501,MATCH(ROW()-2,종합!$AB$3:$AB$501,0))&amp;"","")</f>
        <v/>
      </c>
      <c r="J240" s="21" t="str">
        <f aca="false">IFERROR(INDEX(종합!J$3:J$501,MATCH(ROW()-2,종합!$AB$3:$AB$501,0))&amp;"","")</f>
        <v/>
      </c>
      <c r="K240" s="21" t="str">
        <f aca="false">IFERROR(INDEX(종합!K$3:K$501,MATCH(ROW()-2,종합!$AB$3:$AB$501,0))&amp;"","")</f>
        <v/>
      </c>
      <c r="L240" s="21" t="str">
        <f aca="false">IFERROR(INDEX(종합!L$3:L$501,MATCH(ROW()-2,종합!$AB$3:$AB$501,0))&amp;"","")</f>
        <v/>
      </c>
      <c r="M240" s="21" t="str">
        <f aca="false">IFERROR(INDEX(종합!M$3:M$501,MATCH(ROW()-2,종합!$AB$3:$AB$501,0))&amp;"","")</f>
        <v/>
      </c>
      <c r="N240" s="25" t="str">
        <f aca="false">IFERROR(INDEX(종합!N$3:N$501,MATCH(ROW()-2,종합!$AB$3:$AB$501,0))&amp;"","")</f>
        <v/>
      </c>
      <c r="O240" s="21" t="str">
        <f aca="false">IFERROR(INDEX(종합!O$3:O$501,MATCH(ROW()-2,종합!$AB$3:$AB$501,0))&amp;"","")</f>
        <v/>
      </c>
      <c r="P240" s="21" t="str">
        <f aca="false">IFERROR(INDEX(종합!P$3:P$501,MATCH(ROW()-2,종합!$AB$3:$AB$501,0))&amp;"","")</f>
        <v/>
      </c>
      <c r="Q240" s="21" t="str">
        <f aca="false">IFERROR(INDEX(종합!Q$3:Q$501,MATCH(ROW()-2,종합!$AB$3:$AB$501,0))&amp;"","")</f>
        <v/>
      </c>
      <c r="R240" s="21" t="str">
        <f aca="false">IFERROR(INDEX(종합!R$3:R$501,MATCH(ROW()-2,종합!$AB$3:$AB$501,0))&amp;"","")</f>
        <v/>
      </c>
      <c r="S240" s="21" t="str">
        <f aca="false">IFERROR(INDEX(종합!S$3:S$501,MATCH(ROW()-2,종합!$AB$3:$AB$501,0))&amp;"","")</f>
        <v/>
      </c>
      <c r="T240" s="21" t="str">
        <f aca="false">IFERROR(INDEX(종합!T$3:T$501,MATCH(ROW()-2,종합!$AB$3:$AB$501,0))&amp;"","")</f>
        <v/>
      </c>
      <c r="U240" s="21" t="str">
        <f aca="false">IFERROR(INDEX(종합!U$3:U$501,MATCH(ROW()-2,종합!$AB$3:$AB$501,0))&amp;"","")</f>
        <v/>
      </c>
      <c r="V240" s="21" t="str">
        <f aca="false">IFERROR(INDEX(종합!V$3:V$501,MATCH(ROW()-2,종합!$AB$3:$AB$501,0))&amp;"","")</f>
        <v/>
      </c>
      <c r="W240" s="21" t="str">
        <f aca="false">IFERROR(INDEX(종합!W$3:W$501,MATCH(ROW()-2,종합!$AB$3:$AB$501,0))&amp;"","")</f>
        <v/>
      </c>
      <c r="X240" s="21" t="str">
        <f aca="false">IFERROR(INDEX(종합!X$3:X$501,MATCH(ROW()-2,종합!$AB$3:$AB$501,0))&amp;"","")</f>
        <v/>
      </c>
      <c r="Y240" s="21" t="str">
        <f aca="false">IFERROR(INDEX(종합!Y$3:Y$501,MATCH(ROW()-2,종합!$AB$3:$AB$501,0))&amp;"","")</f>
        <v/>
      </c>
      <c r="Z240" s="21" t="str">
        <f aca="false">IFERROR(INDEX(종합!Z$3:Z$501,MATCH(ROW()-2,종합!$AB$3:$AB$501,0))&amp;"","")</f>
        <v/>
      </c>
    </row>
    <row r="241" customFormat="false" ht="16.5" hidden="false" customHeight="true" outlineLevel="0" collapsed="false">
      <c r="A241" s="18" t="str">
        <f aca="false">IF(B241="","",ROW()-2)</f>
        <v/>
      </c>
      <c r="B241" s="18" t="str">
        <f aca="false">IFERROR(INDEX(종합!B$3:B$501,MATCH(ROW()-2,종합!$AB$3:$AB$501,0))&amp;"","")</f>
        <v/>
      </c>
      <c r="C241" s="18" t="str">
        <f aca="false">IFERROR(INDEX(종합!C$3:C$501,MATCH(ROW()-2,종합!$AB$3:$AB$501,0))&amp;"","")</f>
        <v/>
      </c>
      <c r="D241" s="18" t="str">
        <f aca="false">IFERROR(INDEX(종합!D$3:D$501,MATCH(ROW()-2,종합!$AB$3:$AB$501,0))&amp;"","")</f>
        <v/>
      </c>
      <c r="E241" s="18" t="str">
        <f aca="false">IFERROR(INDEX(종합!E$3:E$501,MATCH(ROW()-2,종합!$AB$3:$AB$501,0))&amp;"","")</f>
        <v/>
      </c>
      <c r="F241" s="18" t="str">
        <f aca="false">IFERROR(INDEX(종합!F$3:F$501,MATCH(ROW()-2,종합!$AB$3:$AB$501,0))&amp;"","")</f>
        <v/>
      </c>
      <c r="G241" s="18" t="str">
        <f aca="false">IFERROR(INDEX(종합!G$3:G$501,MATCH(ROW()-2,종합!$AB$3:$AB$501,0))&amp;"","")</f>
        <v/>
      </c>
      <c r="H241" s="21" t="str">
        <f aca="false">IFERROR(INDEX(종합!H$3:H$501,MATCH(ROW()-2,종합!$AB$3:$AB$501,0))&amp;"","")</f>
        <v/>
      </c>
      <c r="I241" s="21" t="str">
        <f aca="false">IFERROR(INDEX(종합!I$3:I$501,MATCH(ROW()-2,종합!$AB$3:$AB$501,0))&amp;"","")</f>
        <v/>
      </c>
      <c r="J241" s="21" t="str">
        <f aca="false">IFERROR(INDEX(종합!J$3:J$501,MATCH(ROW()-2,종합!$AB$3:$AB$501,0))&amp;"","")</f>
        <v/>
      </c>
      <c r="K241" s="21" t="str">
        <f aca="false">IFERROR(INDEX(종합!K$3:K$501,MATCH(ROW()-2,종합!$AB$3:$AB$501,0))&amp;"","")</f>
        <v/>
      </c>
      <c r="L241" s="21" t="str">
        <f aca="false">IFERROR(INDEX(종합!L$3:L$501,MATCH(ROW()-2,종합!$AB$3:$AB$501,0))&amp;"","")</f>
        <v/>
      </c>
      <c r="M241" s="21" t="str">
        <f aca="false">IFERROR(INDEX(종합!M$3:M$501,MATCH(ROW()-2,종합!$AB$3:$AB$501,0))&amp;"","")</f>
        <v/>
      </c>
      <c r="N241" s="25" t="str">
        <f aca="false">IFERROR(INDEX(종합!N$3:N$501,MATCH(ROW()-2,종합!$AB$3:$AB$501,0))&amp;"","")</f>
        <v/>
      </c>
      <c r="O241" s="21" t="str">
        <f aca="false">IFERROR(INDEX(종합!O$3:O$501,MATCH(ROW()-2,종합!$AB$3:$AB$501,0))&amp;"","")</f>
        <v/>
      </c>
      <c r="P241" s="21" t="str">
        <f aca="false">IFERROR(INDEX(종합!P$3:P$501,MATCH(ROW()-2,종합!$AB$3:$AB$501,0))&amp;"","")</f>
        <v/>
      </c>
      <c r="Q241" s="21" t="str">
        <f aca="false">IFERROR(INDEX(종합!Q$3:Q$501,MATCH(ROW()-2,종합!$AB$3:$AB$501,0))&amp;"","")</f>
        <v/>
      </c>
      <c r="R241" s="21" t="str">
        <f aca="false">IFERROR(INDEX(종합!R$3:R$501,MATCH(ROW()-2,종합!$AB$3:$AB$501,0))&amp;"","")</f>
        <v/>
      </c>
      <c r="S241" s="21" t="str">
        <f aca="false">IFERROR(INDEX(종합!S$3:S$501,MATCH(ROW()-2,종합!$AB$3:$AB$501,0))&amp;"","")</f>
        <v/>
      </c>
      <c r="T241" s="21" t="str">
        <f aca="false">IFERROR(INDEX(종합!T$3:T$501,MATCH(ROW()-2,종합!$AB$3:$AB$501,0))&amp;"","")</f>
        <v/>
      </c>
      <c r="U241" s="21" t="str">
        <f aca="false">IFERROR(INDEX(종합!U$3:U$501,MATCH(ROW()-2,종합!$AB$3:$AB$501,0))&amp;"","")</f>
        <v/>
      </c>
      <c r="V241" s="21" t="str">
        <f aca="false">IFERROR(INDEX(종합!V$3:V$501,MATCH(ROW()-2,종합!$AB$3:$AB$501,0))&amp;"","")</f>
        <v/>
      </c>
      <c r="W241" s="21" t="str">
        <f aca="false">IFERROR(INDEX(종합!W$3:W$501,MATCH(ROW()-2,종합!$AB$3:$AB$501,0))&amp;"","")</f>
        <v/>
      </c>
      <c r="X241" s="21" t="str">
        <f aca="false">IFERROR(INDEX(종합!X$3:X$501,MATCH(ROW()-2,종합!$AB$3:$AB$501,0))&amp;"","")</f>
        <v/>
      </c>
      <c r="Y241" s="21" t="str">
        <f aca="false">IFERROR(INDEX(종합!Y$3:Y$501,MATCH(ROW()-2,종합!$AB$3:$AB$501,0))&amp;"","")</f>
        <v/>
      </c>
      <c r="Z241" s="21" t="str">
        <f aca="false">IFERROR(INDEX(종합!Z$3:Z$501,MATCH(ROW()-2,종합!$AB$3:$AB$501,0))&amp;"","")</f>
        <v/>
      </c>
    </row>
    <row r="242" customFormat="false" ht="16.5" hidden="false" customHeight="true" outlineLevel="0" collapsed="false">
      <c r="A242" s="18" t="str">
        <f aca="false">IF(B242="","",ROW()-2)</f>
        <v/>
      </c>
      <c r="B242" s="18" t="str">
        <f aca="false">IFERROR(INDEX(종합!B$3:B$501,MATCH(ROW()-2,종합!$AB$3:$AB$501,0))&amp;"","")</f>
        <v/>
      </c>
      <c r="C242" s="18" t="str">
        <f aca="false">IFERROR(INDEX(종합!C$3:C$501,MATCH(ROW()-2,종합!$AB$3:$AB$501,0))&amp;"","")</f>
        <v/>
      </c>
      <c r="D242" s="18" t="str">
        <f aca="false">IFERROR(INDEX(종합!D$3:D$501,MATCH(ROW()-2,종합!$AB$3:$AB$501,0))&amp;"","")</f>
        <v/>
      </c>
      <c r="E242" s="18" t="str">
        <f aca="false">IFERROR(INDEX(종합!E$3:E$501,MATCH(ROW()-2,종합!$AB$3:$AB$501,0))&amp;"","")</f>
        <v/>
      </c>
      <c r="F242" s="18" t="str">
        <f aca="false">IFERROR(INDEX(종합!F$3:F$501,MATCH(ROW()-2,종합!$AB$3:$AB$501,0))&amp;"","")</f>
        <v/>
      </c>
      <c r="G242" s="18" t="str">
        <f aca="false">IFERROR(INDEX(종합!G$3:G$501,MATCH(ROW()-2,종합!$AB$3:$AB$501,0))&amp;"","")</f>
        <v/>
      </c>
      <c r="H242" s="21" t="str">
        <f aca="false">IFERROR(INDEX(종합!H$3:H$501,MATCH(ROW()-2,종합!$AB$3:$AB$501,0))&amp;"","")</f>
        <v/>
      </c>
      <c r="I242" s="21" t="str">
        <f aca="false">IFERROR(INDEX(종합!I$3:I$501,MATCH(ROW()-2,종합!$AB$3:$AB$501,0))&amp;"","")</f>
        <v/>
      </c>
      <c r="J242" s="21" t="str">
        <f aca="false">IFERROR(INDEX(종합!J$3:J$501,MATCH(ROW()-2,종합!$AB$3:$AB$501,0))&amp;"","")</f>
        <v/>
      </c>
      <c r="K242" s="21" t="str">
        <f aca="false">IFERROR(INDEX(종합!K$3:K$501,MATCH(ROW()-2,종합!$AB$3:$AB$501,0))&amp;"","")</f>
        <v/>
      </c>
      <c r="L242" s="21" t="str">
        <f aca="false">IFERROR(INDEX(종합!L$3:L$501,MATCH(ROW()-2,종합!$AB$3:$AB$501,0))&amp;"","")</f>
        <v/>
      </c>
      <c r="M242" s="21" t="str">
        <f aca="false">IFERROR(INDEX(종합!M$3:M$501,MATCH(ROW()-2,종합!$AB$3:$AB$501,0))&amp;"","")</f>
        <v/>
      </c>
      <c r="N242" s="25" t="str">
        <f aca="false">IFERROR(INDEX(종합!N$3:N$501,MATCH(ROW()-2,종합!$AB$3:$AB$501,0))&amp;"","")</f>
        <v/>
      </c>
      <c r="O242" s="21" t="str">
        <f aca="false">IFERROR(INDEX(종합!O$3:O$501,MATCH(ROW()-2,종합!$AB$3:$AB$501,0))&amp;"","")</f>
        <v/>
      </c>
      <c r="P242" s="21" t="str">
        <f aca="false">IFERROR(INDEX(종합!P$3:P$501,MATCH(ROW()-2,종합!$AB$3:$AB$501,0))&amp;"","")</f>
        <v/>
      </c>
      <c r="Q242" s="21" t="str">
        <f aca="false">IFERROR(INDEX(종합!Q$3:Q$501,MATCH(ROW()-2,종합!$AB$3:$AB$501,0))&amp;"","")</f>
        <v/>
      </c>
      <c r="R242" s="21" t="str">
        <f aca="false">IFERROR(INDEX(종합!R$3:R$501,MATCH(ROW()-2,종합!$AB$3:$AB$501,0))&amp;"","")</f>
        <v/>
      </c>
      <c r="S242" s="21" t="str">
        <f aca="false">IFERROR(INDEX(종합!S$3:S$501,MATCH(ROW()-2,종합!$AB$3:$AB$501,0))&amp;"","")</f>
        <v/>
      </c>
      <c r="T242" s="21" t="str">
        <f aca="false">IFERROR(INDEX(종합!T$3:T$501,MATCH(ROW()-2,종합!$AB$3:$AB$501,0))&amp;"","")</f>
        <v/>
      </c>
      <c r="U242" s="21" t="str">
        <f aca="false">IFERROR(INDEX(종합!U$3:U$501,MATCH(ROW()-2,종합!$AB$3:$AB$501,0))&amp;"","")</f>
        <v/>
      </c>
      <c r="V242" s="21" t="str">
        <f aca="false">IFERROR(INDEX(종합!V$3:V$501,MATCH(ROW()-2,종합!$AB$3:$AB$501,0))&amp;"","")</f>
        <v/>
      </c>
      <c r="W242" s="21" t="str">
        <f aca="false">IFERROR(INDEX(종합!W$3:W$501,MATCH(ROW()-2,종합!$AB$3:$AB$501,0))&amp;"","")</f>
        <v/>
      </c>
      <c r="X242" s="21" t="str">
        <f aca="false">IFERROR(INDEX(종합!X$3:X$501,MATCH(ROW()-2,종합!$AB$3:$AB$501,0))&amp;"","")</f>
        <v/>
      </c>
      <c r="Y242" s="21" t="str">
        <f aca="false">IFERROR(INDEX(종합!Y$3:Y$501,MATCH(ROW()-2,종합!$AB$3:$AB$501,0))&amp;"","")</f>
        <v/>
      </c>
      <c r="Z242" s="21" t="str">
        <f aca="false">IFERROR(INDEX(종합!Z$3:Z$501,MATCH(ROW()-2,종합!$AB$3:$AB$501,0))&amp;"","")</f>
        <v/>
      </c>
    </row>
    <row r="243" customFormat="false" ht="16.5" hidden="false" customHeight="true" outlineLevel="0" collapsed="false">
      <c r="A243" s="18" t="str">
        <f aca="false">IF(B243="","",ROW()-2)</f>
        <v/>
      </c>
      <c r="B243" s="18" t="str">
        <f aca="false">IFERROR(INDEX(종합!B$3:B$501,MATCH(ROW()-2,종합!$AB$3:$AB$501,0))&amp;"","")</f>
        <v/>
      </c>
      <c r="C243" s="18" t="str">
        <f aca="false">IFERROR(INDEX(종합!C$3:C$501,MATCH(ROW()-2,종합!$AB$3:$AB$501,0))&amp;"","")</f>
        <v/>
      </c>
      <c r="D243" s="18" t="str">
        <f aca="false">IFERROR(INDEX(종합!D$3:D$501,MATCH(ROW()-2,종합!$AB$3:$AB$501,0))&amp;"","")</f>
        <v/>
      </c>
      <c r="E243" s="18" t="str">
        <f aca="false">IFERROR(INDEX(종합!E$3:E$501,MATCH(ROW()-2,종합!$AB$3:$AB$501,0))&amp;"","")</f>
        <v/>
      </c>
      <c r="F243" s="18" t="str">
        <f aca="false">IFERROR(INDEX(종합!F$3:F$501,MATCH(ROW()-2,종합!$AB$3:$AB$501,0))&amp;"","")</f>
        <v/>
      </c>
      <c r="G243" s="18" t="str">
        <f aca="false">IFERROR(INDEX(종합!G$3:G$501,MATCH(ROW()-2,종합!$AB$3:$AB$501,0))&amp;"","")</f>
        <v/>
      </c>
      <c r="H243" s="21" t="str">
        <f aca="false">IFERROR(INDEX(종합!H$3:H$501,MATCH(ROW()-2,종합!$AB$3:$AB$501,0))&amp;"","")</f>
        <v/>
      </c>
      <c r="I243" s="21" t="str">
        <f aca="false">IFERROR(INDEX(종합!I$3:I$501,MATCH(ROW()-2,종합!$AB$3:$AB$501,0))&amp;"","")</f>
        <v/>
      </c>
      <c r="J243" s="21" t="str">
        <f aca="false">IFERROR(INDEX(종합!J$3:J$501,MATCH(ROW()-2,종합!$AB$3:$AB$501,0))&amp;"","")</f>
        <v/>
      </c>
      <c r="K243" s="21" t="str">
        <f aca="false">IFERROR(INDEX(종합!K$3:K$501,MATCH(ROW()-2,종합!$AB$3:$AB$501,0))&amp;"","")</f>
        <v/>
      </c>
      <c r="L243" s="21" t="str">
        <f aca="false">IFERROR(INDEX(종합!L$3:L$501,MATCH(ROW()-2,종합!$AB$3:$AB$501,0))&amp;"","")</f>
        <v/>
      </c>
      <c r="M243" s="21" t="str">
        <f aca="false">IFERROR(INDEX(종합!M$3:M$501,MATCH(ROW()-2,종합!$AB$3:$AB$501,0))&amp;"","")</f>
        <v/>
      </c>
      <c r="N243" s="25" t="str">
        <f aca="false">IFERROR(INDEX(종합!N$3:N$501,MATCH(ROW()-2,종합!$AB$3:$AB$501,0))&amp;"","")</f>
        <v/>
      </c>
      <c r="O243" s="21" t="str">
        <f aca="false">IFERROR(INDEX(종합!O$3:O$501,MATCH(ROW()-2,종합!$AB$3:$AB$501,0))&amp;"","")</f>
        <v/>
      </c>
      <c r="P243" s="21" t="str">
        <f aca="false">IFERROR(INDEX(종합!P$3:P$501,MATCH(ROW()-2,종합!$AB$3:$AB$501,0))&amp;"","")</f>
        <v/>
      </c>
      <c r="Q243" s="21" t="str">
        <f aca="false">IFERROR(INDEX(종합!Q$3:Q$501,MATCH(ROW()-2,종합!$AB$3:$AB$501,0))&amp;"","")</f>
        <v/>
      </c>
      <c r="R243" s="21" t="str">
        <f aca="false">IFERROR(INDEX(종합!R$3:R$501,MATCH(ROW()-2,종합!$AB$3:$AB$501,0))&amp;"","")</f>
        <v/>
      </c>
      <c r="S243" s="21" t="str">
        <f aca="false">IFERROR(INDEX(종합!S$3:S$501,MATCH(ROW()-2,종합!$AB$3:$AB$501,0))&amp;"","")</f>
        <v/>
      </c>
      <c r="T243" s="21" t="str">
        <f aca="false">IFERROR(INDEX(종합!T$3:T$501,MATCH(ROW()-2,종합!$AB$3:$AB$501,0))&amp;"","")</f>
        <v/>
      </c>
      <c r="U243" s="21" t="str">
        <f aca="false">IFERROR(INDEX(종합!U$3:U$501,MATCH(ROW()-2,종합!$AB$3:$AB$501,0))&amp;"","")</f>
        <v/>
      </c>
      <c r="V243" s="21" t="str">
        <f aca="false">IFERROR(INDEX(종합!V$3:V$501,MATCH(ROW()-2,종합!$AB$3:$AB$501,0))&amp;"","")</f>
        <v/>
      </c>
      <c r="W243" s="21" t="str">
        <f aca="false">IFERROR(INDEX(종합!W$3:W$501,MATCH(ROW()-2,종합!$AB$3:$AB$501,0))&amp;"","")</f>
        <v/>
      </c>
      <c r="X243" s="21" t="str">
        <f aca="false">IFERROR(INDEX(종합!X$3:X$501,MATCH(ROW()-2,종합!$AB$3:$AB$501,0))&amp;"","")</f>
        <v/>
      </c>
      <c r="Y243" s="21" t="str">
        <f aca="false">IFERROR(INDEX(종합!Y$3:Y$501,MATCH(ROW()-2,종합!$AB$3:$AB$501,0))&amp;"","")</f>
        <v/>
      </c>
      <c r="Z243" s="21" t="str">
        <f aca="false">IFERROR(INDEX(종합!Z$3:Z$501,MATCH(ROW()-2,종합!$AB$3:$AB$501,0))&amp;"","")</f>
        <v/>
      </c>
    </row>
    <row r="244" customFormat="false" ht="16.5" hidden="false" customHeight="true" outlineLevel="0" collapsed="false">
      <c r="A244" s="18" t="str">
        <f aca="false">IF(B244="","",ROW()-2)</f>
        <v/>
      </c>
      <c r="B244" s="18" t="str">
        <f aca="false">IFERROR(INDEX(종합!B$3:B$501,MATCH(ROW()-2,종합!$AB$3:$AB$501,0))&amp;"","")</f>
        <v/>
      </c>
      <c r="C244" s="18" t="str">
        <f aca="false">IFERROR(INDEX(종합!C$3:C$501,MATCH(ROW()-2,종합!$AB$3:$AB$501,0))&amp;"","")</f>
        <v/>
      </c>
      <c r="D244" s="18" t="str">
        <f aca="false">IFERROR(INDEX(종합!D$3:D$501,MATCH(ROW()-2,종합!$AB$3:$AB$501,0))&amp;"","")</f>
        <v/>
      </c>
      <c r="E244" s="18" t="str">
        <f aca="false">IFERROR(INDEX(종합!E$3:E$501,MATCH(ROW()-2,종합!$AB$3:$AB$501,0))&amp;"","")</f>
        <v/>
      </c>
      <c r="F244" s="18" t="str">
        <f aca="false">IFERROR(INDEX(종합!F$3:F$501,MATCH(ROW()-2,종합!$AB$3:$AB$501,0))&amp;"","")</f>
        <v/>
      </c>
      <c r="G244" s="18" t="str">
        <f aca="false">IFERROR(INDEX(종합!G$3:G$501,MATCH(ROW()-2,종합!$AB$3:$AB$501,0))&amp;"","")</f>
        <v/>
      </c>
      <c r="H244" s="21" t="str">
        <f aca="false">IFERROR(INDEX(종합!H$3:H$501,MATCH(ROW()-2,종합!$AB$3:$AB$501,0))&amp;"","")</f>
        <v/>
      </c>
      <c r="I244" s="21" t="str">
        <f aca="false">IFERROR(INDEX(종합!I$3:I$501,MATCH(ROW()-2,종합!$AB$3:$AB$501,0))&amp;"","")</f>
        <v/>
      </c>
      <c r="J244" s="21" t="str">
        <f aca="false">IFERROR(INDEX(종합!J$3:J$501,MATCH(ROW()-2,종합!$AB$3:$AB$501,0))&amp;"","")</f>
        <v/>
      </c>
      <c r="K244" s="21" t="str">
        <f aca="false">IFERROR(INDEX(종합!K$3:K$501,MATCH(ROW()-2,종합!$AB$3:$AB$501,0))&amp;"","")</f>
        <v/>
      </c>
      <c r="L244" s="21" t="str">
        <f aca="false">IFERROR(INDEX(종합!L$3:L$501,MATCH(ROW()-2,종합!$AB$3:$AB$501,0))&amp;"","")</f>
        <v/>
      </c>
      <c r="M244" s="21" t="str">
        <f aca="false">IFERROR(INDEX(종합!M$3:M$501,MATCH(ROW()-2,종합!$AB$3:$AB$501,0))&amp;"","")</f>
        <v/>
      </c>
      <c r="N244" s="25" t="str">
        <f aca="false">IFERROR(INDEX(종합!N$3:N$501,MATCH(ROW()-2,종합!$AB$3:$AB$501,0))&amp;"","")</f>
        <v/>
      </c>
      <c r="O244" s="21" t="str">
        <f aca="false">IFERROR(INDEX(종합!O$3:O$501,MATCH(ROW()-2,종합!$AB$3:$AB$501,0))&amp;"","")</f>
        <v/>
      </c>
      <c r="P244" s="21" t="str">
        <f aca="false">IFERROR(INDEX(종합!P$3:P$501,MATCH(ROW()-2,종합!$AB$3:$AB$501,0))&amp;"","")</f>
        <v/>
      </c>
      <c r="Q244" s="21" t="str">
        <f aca="false">IFERROR(INDEX(종합!Q$3:Q$501,MATCH(ROW()-2,종합!$AB$3:$AB$501,0))&amp;"","")</f>
        <v/>
      </c>
      <c r="R244" s="21" t="str">
        <f aca="false">IFERROR(INDEX(종합!R$3:R$501,MATCH(ROW()-2,종합!$AB$3:$AB$501,0))&amp;"","")</f>
        <v/>
      </c>
      <c r="S244" s="21" t="str">
        <f aca="false">IFERROR(INDEX(종합!S$3:S$501,MATCH(ROW()-2,종합!$AB$3:$AB$501,0))&amp;"","")</f>
        <v/>
      </c>
      <c r="T244" s="21" t="str">
        <f aca="false">IFERROR(INDEX(종합!T$3:T$501,MATCH(ROW()-2,종합!$AB$3:$AB$501,0))&amp;"","")</f>
        <v/>
      </c>
      <c r="U244" s="21" t="str">
        <f aca="false">IFERROR(INDEX(종합!U$3:U$501,MATCH(ROW()-2,종합!$AB$3:$AB$501,0))&amp;"","")</f>
        <v/>
      </c>
      <c r="V244" s="21" t="str">
        <f aca="false">IFERROR(INDEX(종합!V$3:V$501,MATCH(ROW()-2,종합!$AB$3:$AB$501,0))&amp;"","")</f>
        <v/>
      </c>
      <c r="W244" s="21" t="str">
        <f aca="false">IFERROR(INDEX(종합!W$3:W$501,MATCH(ROW()-2,종합!$AB$3:$AB$501,0))&amp;"","")</f>
        <v/>
      </c>
      <c r="X244" s="21" t="str">
        <f aca="false">IFERROR(INDEX(종합!X$3:X$501,MATCH(ROW()-2,종합!$AB$3:$AB$501,0))&amp;"","")</f>
        <v/>
      </c>
      <c r="Y244" s="21" t="str">
        <f aca="false">IFERROR(INDEX(종합!Y$3:Y$501,MATCH(ROW()-2,종합!$AB$3:$AB$501,0))&amp;"","")</f>
        <v/>
      </c>
      <c r="Z244" s="21" t="str">
        <f aca="false">IFERROR(INDEX(종합!Z$3:Z$501,MATCH(ROW()-2,종합!$AB$3:$AB$501,0))&amp;"","")</f>
        <v/>
      </c>
    </row>
    <row r="245" customFormat="false" ht="16.5" hidden="false" customHeight="true" outlineLevel="0" collapsed="false">
      <c r="A245" s="18" t="str">
        <f aca="false">IF(B245="","",ROW()-2)</f>
        <v/>
      </c>
      <c r="B245" s="18" t="str">
        <f aca="false">IFERROR(INDEX(종합!B$3:B$501,MATCH(ROW()-2,종합!$AB$3:$AB$501,0))&amp;"","")</f>
        <v/>
      </c>
      <c r="C245" s="18" t="str">
        <f aca="false">IFERROR(INDEX(종합!C$3:C$501,MATCH(ROW()-2,종합!$AB$3:$AB$501,0))&amp;"","")</f>
        <v/>
      </c>
      <c r="D245" s="18" t="str">
        <f aca="false">IFERROR(INDEX(종합!D$3:D$501,MATCH(ROW()-2,종합!$AB$3:$AB$501,0))&amp;"","")</f>
        <v/>
      </c>
      <c r="E245" s="18" t="str">
        <f aca="false">IFERROR(INDEX(종합!E$3:E$501,MATCH(ROW()-2,종합!$AB$3:$AB$501,0))&amp;"","")</f>
        <v/>
      </c>
      <c r="F245" s="18" t="str">
        <f aca="false">IFERROR(INDEX(종합!F$3:F$501,MATCH(ROW()-2,종합!$AB$3:$AB$501,0))&amp;"","")</f>
        <v/>
      </c>
      <c r="G245" s="18" t="str">
        <f aca="false">IFERROR(INDEX(종합!G$3:G$501,MATCH(ROW()-2,종합!$AB$3:$AB$501,0))&amp;"","")</f>
        <v/>
      </c>
      <c r="H245" s="21" t="str">
        <f aca="false">IFERROR(INDEX(종합!H$3:H$501,MATCH(ROW()-2,종합!$AB$3:$AB$501,0))&amp;"","")</f>
        <v/>
      </c>
      <c r="I245" s="21" t="str">
        <f aca="false">IFERROR(INDEX(종합!I$3:I$501,MATCH(ROW()-2,종합!$AB$3:$AB$501,0))&amp;"","")</f>
        <v/>
      </c>
      <c r="J245" s="21" t="str">
        <f aca="false">IFERROR(INDEX(종합!J$3:J$501,MATCH(ROW()-2,종합!$AB$3:$AB$501,0))&amp;"","")</f>
        <v/>
      </c>
      <c r="K245" s="21" t="str">
        <f aca="false">IFERROR(INDEX(종합!K$3:K$501,MATCH(ROW()-2,종합!$AB$3:$AB$501,0))&amp;"","")</f>
        <v/>
      </c>
      <c r="L245" s="21" t="str">
        <f aca="false">IFERROR(INDEX(종합!L$3:L$501,MATCH(ROW()-2,종합!$AB$3:$AB$501,0))&amp;"","")</f>
        <v/>
      </c>
      <c r="M245" s="21" t="str">
        <f aca="false">IFERROR(INDEX(종합!M$3:M$501,MATCH(ROW()-2,종합!$AB$3:$AB$501,0))&amp;"","")</f>
        <v/>
      </c>
      <c r="N245" s="25" t="str">
        <f aca="false">IFERROR(INDEX(종합!N$3:N$501,MATCH(ROW()-2,종합!$AB$3:$AB$501,0))&amp;"","")</f>
        <v/>
      </c>
      <c r="O245" s="21" t="str">
        <f aca="false">IFERROR(INDEX(종합!O$3:O$501,MATCH(ROW()-2,종합!$AB$3:$AB$501,0))&amp;"","")</f>
        <v/>
      </c>
      <c r="P245" s="21" t="str">
        <f aca="false">IFERROR(INDEX(종합!P$3:P$501,MATCH(ROW()-2,종합!$AB$3:$AB$501,0))&amp;"","")</f>
        <v/>
      </c>
      <c r="Q245" s="21" t="str">
        <f aca="false">IFERROR(INDEX(종합!Q$3:Q$501,MATCH(ROW()-2,종합!$AB$3:$AB$501,0))&amp;"","")</f>
        <v/>
      </c>
      <c r="R245" s="21" t="str">
        <f aca="false">IFERROR(INDEX(종합!R$3:R$501,MATCH(ROW()-2,종합!$AB$3:$AB$501,0))&amp;"","")</f>
        <v/>
      </c>
      <c r="S245" s="21" t="str">
        <f aca="false">IFERROR(INDEX(종합!S$3:S$501,MATCH(ROW()-2,종합!$AB$3:$AB$501,0))&amp;"","")</f>
        <v/>
      </c>
      <c r="T245" s="21" t="str">
        <f aca="false">IFERROR(INDEX(종합!T$3:T$501,MATCH(ROW()-2,종합!$AB$3:$AB$501,0))&amp;"","")</f>
        <v/>
      </c>
      <c r="U245" s="21" t="str">
        <f aca="false">IFERROR(INDEX(종합!U$3:U$501,MATCH(ROW()-2,종합!$AB$3:$AB$501,0))&amp;"","")</f>
        <v/>
      </c>
      <c r="V245" s="21" t="str">
        <f aca="false">IFERROR(INDEX(종합!V$3:V$501,MATCH(ROW()-2,종합!$AB$3:$AB$501,0))&amp;"","")</f>
        <v/>
      </c>
      <c r="W245" s="21" t="str">
        <f aca="false">IFERROR(INDEX(종합!W$3:W$501,MATCH(ROW()-2,종합!$AB$3:$AB$501,0))&amp;"","")</f>
        <v/>
      </c>
      <c r="X245" s="21" t="str">
        <f aca="false">IFERROR(INDEX(종합!X$3:X$501,MATCH(ROW()-2,종합!$AB$3:$AB$501,0))&amp;"","")</f>
        <v/>
      </c>
      <c r="Y245" s="21" t="str">
        <f aca="false">IFERROR(INDEX(종합!Y$3:Y$501,MATCH(ROW()-2,종합!$AB$3:$AB$501,0))&amp;"","")</f>
        <v/>
      </c>
      <c r="Z245" s="21" t="str">
        <f aca="false">IFERROR(INDEX(종합!Z$3:Z$501,MATCH(ROW()-2,종합!$AB$3:$AB$501,0))&amp;"","")</f>
        <v/>
      </c>
    </row>
    <row r="246" customFormat="false" ht="16.5" hidden="false" customHeight="true" outlineLevel="0" collapsed="false">
      <c r="A246" s="18" t="str">
        <f aca="false">IF(B246="","",ROW()-2)</f>
        <v/>
      </c>
      <c r="B246" s="18" t="str">
        <f aca="false">IFERROR(INDEX(종합!B$3:B$501,MATCH(ROW()-2,종합!$AB$3:$AB$501,0))&amp;"","")</f>
        <v/>
      </c>
      <c r="C246" s="18" t="str">
        <f aca="false">IFERROR(INDEX(종합!C$3:C$501,MATCH(ROW()-2,종합!$AB$3:$AB$501,0))&amp;"","")</f>
        <v/>
      </c>
      <c r="D246" s="18" t="str">
        <f aca="false">IFERROR(INDEX(종합!D$3:D$501,MATCH(ROW()-2,종합!$AB$3:$AB$501,0))&amp;"","")</f>
        <v/>
      </c>
      <c r="E246" s="18" t="str">
        <f aca="false">IFERROR(INDEX(종합!E$3:E$501,MATCH(ROW()-2,종합!$AB$3:$AB$501,0))&amp;"","")</f>
        <v/>
      </c>
      <c r="F246" s="18" t="str">
        <f aca="false">IFERROR(INDEX(종합!F$3:F$501,MATCH(ROW()-2,종합!$AB$3:$AB$501,0))&amp;"","")</f>
        <v/>
      </c>
      <c r="G246" s="18" t="str">
        <f aca="false">IFERROR(INDEX(종합!G$3:G$501,MATCH(ROW()-2,종합!$AB$3:$AB$501,0))&amp;"","")</f>
        <v/>
      </c>
      <c r="H246" s="21" t="str">
        <f aca="false">IFERROR(INDEX(종합!H$3:H$501,MATCH(ROW()-2,종합!$AB$3:$AB$501,0))&amp;"","")</f>
        <v/>
      </c>
      <c r="I246" s="21" t="str">
        <f aca="false">IFERROR(INDEX(종합!I$3:I$501,MATCH(ROW()-2,종합!$AB$3:$AB$501,0))&amp;"","")</f>
        <v/>
      </c>
      <c r="J246" s="21" t="str">
        <f aca="false">IFERROR(INDEX(종합!J$3:J$501,MATCH(ROW()-2,종합!$AB$3:$AB$501,0))&amp;"","")</f>
        <v/>
      </c>
      <c r="K246" s="21" t="str">
        <f aca="false">IFERROR(INDEX(종합!K$3:K$501,MATCH(ROW()-2,종합!$AB$3:$AB$501,0))&amp;"","")</f>
        <v/>
      </c>
      <c r="L246" s="21" t="str">
        <f aca="false">IFERROR(INDEX(종합!L$3:L$501,MATCH(ROW()-2,종합!$AB$3:$AB$501,0))&amp;"","")</f>
        <v/>
      </c>
      <c r="M246" s="21" t="str">
        <f aca="false">IFERROR(INDEX(종합!M$3:M$501,MATCH(ROW()-2,종합!$AB$3:$AB$501,0))&amp;"","")</f>
        <v/>
      </c>
      <c r="N246" s="25" t="str">
        <f aca="false">IFERROR(INDEX(종합!N$3:N$501,MATCH(ROW()-2,종합!$AB$3:$AB$501,0))&amp;"","")</f>
        <v/>
      </c>
      <c r="O246" s="21" t="str">
        <f aca="false">IFERROR(INDEX(종합!O$3:O$501,MATCH(ROW()-2,종합!$AB$3:$AB$501,0))&amp;"","")</f>
        <v/>
      </c>
      <c r="P246" s="21" t="str">
        <f aca="false">IFERROR(INDEX(종합!P$3:P$501,MATCH(ROW()-2,종합!$AB$3:$AB$501,0))&amp;"","")</f>
        <v/>
      </c>
      <c r="Q246" s="21" t="str">
        <f aca="false">IFERROR(INDEX(종합!Q$3:Q$501,MATCH(ROW()-2,종합!$AB$3:$AB$501,0))&amp;"","")</f>
        <v/>
      </c>
      <c r="R246" s="21" t="str">
        <f aca="false">IFERROR(INDEX(종합!R$3:R$501,MATCH(ROW()-2,종합!$AB$3:$AB$501,0))&amp;"","")</f>
        <v/>
      </c>
      <c r="S246" s="21" t="str">
        <f aca="false">IFERROR(INDEX(종합!S$3:S$501,MATCH(ROW()-2,종합!$AB$3:$AB$501,0))&amp;"","")</f>
        <v/>
      </c>
      <c r="T246" s="21" t="str">
        <f aca="false">IFERROR(INDEX(종합!T$3:T$501,MATCH(ROW()-2,종합!$AB$3:$AB$501,0))&amp;"","")</f>
        <v/>
      </c>
      <c r="U246" s="21" t="str">
        <f aca="false">IFERROR(INDEX(종합!U$3:U$501,MATCH(ROW()-2,종합!$AB$3:$AB$501,0))&amp;"","")</f>
        <v/>
      </c>
      <c r="V246" s="21" t="str">
        <f aca="false">IFERROR(INDEX(종합!V$3:V$501,MATCH(ROW()-2,종합!$AB$3:$AB$501,0))&amp;"","")</f>
        <v/>
      </c>
      <c r="W246" s="21" t="str">
        <f aca="false">IFERROR(INDEX(종합!W$3:W$501,MATCH(ROW()-2,종합!$AB$3:$AB$501,0))&amp;"","")</f>
        <v/>
      </c>
      <c r="X246" s="21" t="str">
        <f aca="false">IFERROR(INDEX(종합!X$3:X$501,MATCH(ROW()-2,종합!$AB$3:$AB$501,0))&amp;"","")</f>
        <v/>
      </c>
      <c r="Y246" s="21" t="str">
        <f aca="false">IFERROR(INDEX(종합!Y$3:Y$501,MATCH(ROW()-2,종합!$AB$3:$AB$501,0))&amp;"","")</f>
        <v/>
      </c>
      <c r="Z246" s="21" t="str">
        <f aca="false">IFERROR(INDEX(종합!Z$3:Z$501,MATCH(ROW()-2,종합!$AB$3:$AB$501,0))&amp;"","")</f>
        <v/>
      </c>
    </row>
    <row r="247" customFormat="false" ht="16.5" hidden="false" customHeight="true" outlineLevel="0" collapsed="false">
      <c r="A247" s="18" t="str">
        <f aca="false">IF(B247="","",ROW()-2)</f>
        <v/>
      </c>
      <c r="B247" s="18" t="str">
        <f aca="false">IFERROR(INDEX(종합!B$3:B$501,MATCH(ROW()-2,종합!$AB$3:$AB$501,0))&amp;"","")</f>
        <v/>
      </c>
      <c r="C247" s="18" t="str">
        <f aca="false">IFERROR(INDEX(종합!C$3:C$501,MATCH(ROW()-2,종합!$AB$3:$AB$501,0))&amp;"","")</f>
        <v/>
      </c>
      <c r="D247" s="18" t="str">
        <f aca="false">IFERROR(INDEX(종합!D$3:D$501,MATCH(ROW()-2,종합!$AB$3:$AB$501,0))&amp;"","")</f>
        <v/>
      </c>
      <c r="E247" s="18" t="str">
        <f aca="false">IFERROR(INDEX(종합!E$3:E$501,MATCH(ROW()-2,종합!$AB$3:$AB$501,0))&amp;"","")</f>
        <v/>
      </c>
      <c r="F247" s="18" t="str">
        <f aca="false">IFERROR(INDEX(종합!F$3:F$501,MATCH(ROW()-2,종합!$AB$3:$AB$501,0))&amp;"","")</f>
        <v/>
      </c>
      <c r="G247" s="18" t="str">
        <f aca="false">IFERROR(INDEX(종합!G$3:G$501,MATCH(ROW()-2,종합!$AB$3:$AB$501,0))&amp;"","")</f>
        <v/>
      </c>
      <c r="H247" s="21" t="str">
        <f aca="false">IFERROR(INDEX(종합!H$3:H$501,MATCH(ROW()-2,종합!$AB$3:$AB$501,0))&amp;"","")</f>
        <v/>
      </c>
      <c r="I247" s="21" t="str">
        <f aca="false">IFERROR(INDEX(종합!I$3:I$501,MATCH(ROW()-2,종합!$AB$3:$AB$501,0))&amp;"","")</f>
        <v/>
      </c>
      <c r="J247" s="21" t="str">
        <f aca="false">IFERROR(INDEX(종합!J$3:J$501,MATCH(ROW()-2,종합!$AB$3:$AB$501,0))&amp;"","")</f>
        <v/>
      </c>
      <c r="K247" s="21" t="str">
        <f aca="false">IFERROR(INDEX(종합!K$3:K$501,MATCH(ROW()-2,종합!$AB$3:$AB$501,0))&amp;"","")</f>
        <v/>
      </c>
      <c r="L247" s="21" t="str">
        <f aca="false">IFERROR(INDEX(종합!L$3:L$501,MATCH(ROW()-2,종합!$AB$3:$AB$501,0))&amp;"","")</f>
        <v/>
      </c>
      <c r="M247" s="21" t="str">
        <f aca="false">IFERROR(INDEX(종합!M$3:M$501,MATCH(ROW()-2,종합!$AB$3:$AB$501,0))&amp;"","")</f>
        <v/>
      </c>
      <c r="N247" s="25" t="str">
        <f aca="false">IFERROR(INDEX(종합!N$3:N$501,MATCH(ROW()-2,종합!$AB$3:$AB$501,0))&amp;"","")</f>
        <v/>
      </c>
      <c r="O247" s="21" t="str">
        <f aca="false">IFERROR(INDEX(종합!O$3:O$501,MATCH(ROW()-2,종합!$AB$3:$AB$501,0))&amp;"","")</f>
        <v/>
      </c>
      <c r="P247" s="21" t="str">
        <f aca="false">IFERROR(INDEX(종합!P$3:P$501,MATCH(ROW()-2,종합!$AB$3:$AB$501,0))&amp;"","")</f>
        <v/>
      </c>
      <c r="Q247" s="21" t="str">
        <f aca="false">IFERROR(INDEX(종합!Q$3:Q$501,MATCH(ROW()-2,종합!$AB$3:$AB$501,0))&amp;"","")</f>
        <v/>
      </c>
      <c r="R247" s="21" t="str">
        <f aca="false">IFERROR(INDEX(종합!R$3:R$501,MATCH(ROW()-2,종합!$AB$3:$AB$501,0))&amp;"","")</f>
        <v/>
      </c>
      <c r="S247" s="21" t="str">
        <f aca="false">IFERROR(INDEX(종합!S$3:S$501,MATCH(ROW()-2,종합!$AB$3:$AB$501,0))&amp;"","")</f>
        <v/>
      </c>
      <c r="T247" s="21" t="str">
        <f aca="false">IFERROR(INDEX(종합!T$3:T$501,MATCH(ROW()-2,종합!$AB$3:$AB$501,0))&amp;"","")</f>
        <v/>
      </c>
      <c r="U247" s="21" t="str">
        <f aca="false">IFERROR(INDEX(종합!U$3:U$501,MATCH(ROW()-2,종합!$AB$3:$AB$501,0))&amp;"","")</f>
        <v/>
      </c>
      <c r="V247" s="21" t="str">
        <f aca="false">IFERROR(INDEX(종합!V$3:V$501,MATCH(ROW()-2,종합!$AB$3:$AB$501,0))&amp;"","")</f>
        <v/>
      </c>
      <c r="W247" s="21" t="str">
        <f aca="false">IFERROR(INDEX(종합!W$3:W$501,MATCH(ROW()-2,종합!$AB$3:$AB$501,0))&amp;"","")</f>
        <v/>
      </c>
      <c r="X247" s="21" t="str">
        <f aca="false">IFERROR(INDEX(종합!X$3:X$501,MATCH(ROW()-2,종합!$AB$3:$AB$501,0))&amp;"","")</f>
        <v/>
      </c>
      <c r="Y247" s="21" t="str">
        <f aca="false">IFERROR(INDEX(종합!Y$3:Y$501,MATCH(ROW()-2,종합!$AB$3:$AB$501,0))&amp;"","")</f>
        <v/>
      </c>
      <c r="Z247" s="21" t="str">
        <f aca="false">IFERROR(INDEX(종합!Z$3:Z$501,MATCH(ROW()-2,종합!$AB$3:$AB$501,0))&amp;"","")</f>
        <v/>
      </c>
    </row>
    <row r="248" customFormat="false" ht="16.5" hidden="false" customHeight="true" outlineLevel="0" collapsed="false">
      <c r="A248" s="18" t="str">
        <f aca="false">IF(B248="","",ROW()-2)</f>
        <v/>
      </c>
      <c r="B248" s="18" t="str">
        <f aca="false">IFERROR(INDEX(종합!B$3:B$501,MATCH(ROW()-2,종합!$AB$3:$AB$501,0))&amp;"","")</f>
        <v/>
      </c>
      <c r="C248" s="18" t="str">
        <f aca="false">IFERROR(INDEX(종합!C$3:C$501,MATCH(ROW()-2,종합!$AB$3:$AB$501,0))&amp;"","")</f>
        <v/>
      </c>
      <c r="D248" s="18" t="str">
        <f aca="false">IFERROR(INDEX(종합!D$3:D$501,MATCH(ROW()-2,종합!$AB$3:$AB$501,0))&amp;"","")</f>
        <v/>
      </c>
      <c r="E248" s="18" t="str">
        <f aca="false">IFERROR(INDEX(종합!E$3:E$501,MATCH(ROW()-2,종합!$AB$3:$AB$501,0))&amp;"","")</f>
        <v/>
      </c>
      <c r="F248" s="18" t="str">
        <f aca="false">IFERROR(INDEX(종합!F$3:F$501,MATCH(ROW()-2,종합!$AB$3:$AB$501,0))&amp;"","")</f>
        <v/>
      </c>
      <c r="G248" s="18" t="str">
        <f aca="false">IFERROR(INDEX(종합!G$3:G$501,MATCH(ROW()-2,종합!$AB$3:$AB$501,0))&amp;"","")</f>
        <v/>
      </c>
      <c r="H248" s="21" t="str">
        <f aca="false">IFERROR(INDEX(종합!H$3:H$501,MATCH(ROW()-2,종합!$AB$3:$AB$501,0))&amp;"","")</f>
        <v/>
      </c>
      <c r="I248" s="21" t="str">
        <f aca="false">IFERROR(INDEX(종합!I$3:I$501,MATCH(ROW()-2,종합!$AB$3:$AB$501,0))&amp;"","")</f>
        <v/>
      </c>
      <c r="J248" s="21" t="str">
        <f aca="false">IFERROR(INDEX(종합!J$3:J$501,MATCH(ROW()-2,종합!$AB$3:$AB$501,0))&amp;"","")</f>
        <v/>
      </c>
      <c r="K248" s="21" t="str">
        <f aca="false">IFERROR(INDEX(종합!K$3:K$501,MATCH(ROW()-2,종합!$AB$3:$AB$501,0))&amp;"","")</f>
        <v/>
      </c>
      <c r="L248" s="21" t="str">
        <f aca="false">IFERROR(INDEX(종합!L$3:L$501,MATCH(ROW()-2,종합!$AB$3:$AB$501,0))&amp;"","")</f>
        <v/>
      </c>
      <c r="M248" s="21" t="str">
        <f aca="false">IFERROR(INDEX(종합!M$3:M$501,MATCH(ROW()-2,종합!$AB$3:$AB$501,0))&amp;"","")</f>
        <v/>
      </c>
      <c r="N248" s="25" t="str">
        <f aca="false">IFERROR(INDEX(종합!N$3:N$501,MATCH(ROW()-2,종합!$AB$3:$AB$501,0))&amp;"","")</f>
        <v/>
      </c>
      <c r="O248" s="21" t="str">
        <f aca="false">IFERROR(INDEX(종합!O$3:O$501,MATCH(ROW()-2,종합!$AB$3:$AB$501,0))&amp;"","")</f>
        <v/>
      </c>
      <c r="P248" s="21" t="str">
        <f aca="false">IFERROR(INDEX(종합!P$3:P$501,MATCH(ROW()-2,종합!$AB$3:$AB$501,0))&amp;"","")</f>
        <v/>
      </c>
      <c r="Q248" s="21" t="str">
        <f aca="false">IFERROR(INDEX(종합!Q$3:Q$501,MATCH(ROW()-2,종합!$AB$3:$AB$501,0))&amp;"","")</f>
        <v/>
      </c>
      <c r="R248" s="21" t="str">
        <f aca="false">IFERROR(INDEX(종합!R$3:R$501,MATCH(ROW()-2,종합!$AB$3:$AB$501,0))&amp;"","")</f>
        <v/>
      </c>
      <c r="S248" s="21" t="str">
        <f aca="false">IFERROR(INDEX(종합!S$3:S$501,MATCH(ROW()-2,종합!$AB$3:$AB$501,0))&amp;"","")</f>
        <v/>
      </c>
      <c r="T248" s="21" t="str">
        <f aca="false">IFERROR(INDEX(종합!T$3:T$501,MATCH(ROW()-2,종합!$AB$3:$AB$501,0))&amp;"","")</f>
        <v/>
      </c>
      <c r="U248" s="21" t="str">
        <f aca="false">IFERROR(INDEX(종합!U$3:U$501,MATCH(ROW()-2,종합!$AB$3:$AB$501,0))&amp;"","")</f>
        <v/>
      </c>
      <c r="V248" s="21" t="str">
        <f aca="false">IFERROR(INDEX(종합!V$3:V$501,MATCH(ROW()-2,종합!$AB$3:$AB$501,0))&amp;"","")</f>
        <v/>
      </c>
      <c r="W248" s="21" t="str">
        <f aca="false">IFERROR(INDEX(종합!W$3:W$501,MATCH(ROW()-2,종합!$AB$3:$AB$501,0))&amp;"","")</f>
        <v/>
      </c>
      <c r="X248" s="21" t="str">
        <f aca="false">IFERROR(INDEX(종합!X$3:X$501,MATCH(ROW()-2,종합!$AB$3:$AB$501,0))&amp;"","")</f>
        <v/>
      </c>
      <c r="Y248" s="21" t="str">
        <f aca="false">IFERROR(INDEX(종합!Y$3:Y$501,MATCH(ROW()-2,종합!$AB$3:$AB$501,0))&amp;"","")</f>
        <v/>
      </c>
      <c r="Z248" s="21" t="str">
        <f aca="false">IFERROR(INDEX(종합!Z$3:Z$501,MATCH(ROW()-2,종합!$AB$3:$AB$501,0))&amp;"","")</f>
        <v/>
      </c>
    </row>
    <row r="249" customFormat="false" ht="16.5" hidden="false" customHeight="true" outlineLevel="0" collapsed="false">
      <c r="A249" s="18" t="str">
        <f aca="false">IF(B249="","",ROW()-2)</f>
        <v/>
      </c>
      <c r="B249" s="18" t="str">
        <f aca="false">IFERROR(INDEX(종합!B$3:B$501,MATCH(ROW()-2,종합!$AB$3:$AB$501,0))&amp;"","")</f>
        <v/>
      </c>
      <c r="C249" s="18" t="str">
        <f aca="false">IFERROR(INDEX(종합!C$3:C$501,MATCH(ROW()-2,종합!$AB$3:$AB$501,0))&amp;"","")</f>
        <v/>
      </c>
      <c r="D249" s="18" t="str">
        <f aca="false">IFERROR(INDEX(종합!D$3:D$501,MATCH(ROW()-2,종합!$AB$3:$AB$501,0))&amp;"","")</f>
        <v/>
      </c>
      <c r="E249" s="18" t="str">
        <f aca="false">IFERROR(INDEX(종합!E$3:E$501,MATCH(ROW()-2,종합!$AB$3:$AB$501,0))&amp;"","")</f>
        <v/>
      </c>
      <c r="F249" s="18" t="str">
        <f aca="false">IFERROR(INDEX(종합!F$3:F$501,MATCH(ROW()-2,종합!$AB$3:$AB$501,0))&amp;"","")</f>
        <v/>
      </c>
      <c r="G249" s="18" t="str">
        <f aca="false">IFERROR(INDEX(종합!G$3:G$501,MATCH(ROW()-2,종합!$AB$3:$AB$501,0))&amp;"","")</f>
        <v/>
      </c>
      <c r="H249" s="21" t="str">
        <f aca="false">IFERROR(INDEX(종합!H$3:H$501,MATCH(ROW()-2,종합!$AB$3:$AB$501,0))&amp;"","")</f>
        <v/>
      </c>
      <c r="I249" s="21" t="str">
        <f aca="false">IFERROR(INDEX(종합!I$3:I$501,MATCH(ROW()-2,종합!$AB$3:$AB$501,0))&amp;"","")</f>
        <v/>
      </c>
      <c r="J249" s="21" t="str">
        <f aca="false">IFERROR(INDEX(종합!J$3:J$501,MATCH(ROW()-2,종합!$AB$3:$AB$501,0))&amp;"","")</f>
        <v/>
      </c>
      <c r="K249" s="21" t="str">
        <f aca="false">IFERROR(INDEX(종합!K$3:K$501,MATCH(ROW()-2,종합!$AB$3:$AB$501,0))&amp;"","")</f>
        <v/>
      </c>
      <c r="L249" s="21" t="str">
        <f aca="false">IFERROR(INDEX(종합!L$3:L$501,MATCH(ROW()-2,종합!$AB$3:$AB$501,0))&amp;"","")</f>
        <v/>
      </c>
      <c r="M249" s="21" t="str">
        <f aca="false">IFERROR(INDEX(종합!M$3:M$501,MATCH(ROW()-2,종합!$AB$3:$AB$501,0))&amp;"","")</f>
        <v/>
      </c>
      <c r="N249" s="25" t="str">
        <f aca="false">IFERROR(INDEX(종합!N$3:N$501,MATCH(ROW()-2,종합!$AB$3:$AB$501,0))&amp;"","")</f>
        <v/>
      </c>
      <c r="O249" s="21" t="str">
        <f aca="false">IFERROR(INDEX(종합!O$3:O$501,MATCH(ROW()-2,종합!$AB$3:$AB$501,0))&amp;"","")</f>
        <v/>
      </c>
      <c r="P249" s="21" t="str">
        <f aca="false">IFERROR(INDEX(종합!P$3:P$501,MATCH(ROW()-2,종합!$AB$3:$AB$501,0))&amp;"","")</f>
        <v/>
      </c>
      <c r="Q249" s="21" t="str">
        <f aca="false">IFERROR(INDEX(종합!Q$3:Q$501,MATCH(ROW()-2,종합!$AB$3:$AB$501,0))&amp;"","")</f>
        <v/>
      </c>
      <c r="R249" s="21" t="str">
        <f aca="false">IFERROR(INDEX(종합!R$3:R$501,MATCH(ROW()-2,종합!$AB$3:$AB$501,0))&amp;"","")</f>
        <v/>
      </c>
      <c r="S249" s="21" t="str">
        <f aca="false">IFERROR(INDEX(종합!S$3:S$501,MATCH(ROW()-2,종합!$AB$3:$AB$501,0))&amp;"","")</f>
        <v/>
      </c>
      <c r="T249" s="21" t="str">
        <f aca="false">IFERROR(INDEX(종합!T$3:T$501,MATCH(ROW()-2,종합!$AB$3:$AB$501,0))&amp;"","")</f>
        <v/>
      </c>
      <c r="U249" s="21" t="str">
        <f aca="false">IFERROR(INDEX(종합!U$3:U$501,MATCH(ROW()-2,종합!$AB$3:$AB$501,0))&amp;"","")</f>
        <v/>
      </c>
      <c r="V249" s="21" t="str">
        <f aca="false">IFERROR(INDEX(종합!V$3:V$501,MATCH(ROW()-2,종합!$AB$3:$AB$501,0))&amp;"","")</f>
        <v/>
      </c>
      <c r="W249" s="21" t="str">
        <f aca="false">IFERROR(INDEX(종합!W$3:W$501,MATCH(ROW()-2,종합!$AB$3:$AB$501,0))&amp;"","")</f>
        <v/>
      </c>
      <c r="X249" s="21" t="str">
        <f aca="false">IFERROR(INDEX(종합!X$3:X$501,MATCH(ROW()-2,종합!$AB$3:$AB$501,0))&amp;"","")</f>
        <v/>
      </c>
      <c r="Y249" s="21" t="str">
        <f aca="false">IFERROR(INDEX(종합!Y$3:Y$501,MATCH(ROW()-2,종합!$AB$3:$AB$501,0))&amp;"","")</f>
        <v/>
      </c>
      <c r="Z249" s="21" t="str">
        <f aca="false">IFERROR(INDEX(종합!Z$3:Z$501,MATCH(ROW()-2,종합!$AB$3:$AB$501,0))&amp;"","")</f>
        <v/>
      </c>
    </row>
    <row r="250" customFormat="false" ht="16.5" hidden="false" customHeight="true" outlineLevel="0" collapsed="false">
      <c r="A250" s="18" t="str">
        <f aca="false">IF(B250="","",ROW()-2)</f>
        <v/>
      </c>
      <c r="B250" s="18" t="str">
        <f aca="false">IFERROR(INDEX(종합!B$3:B$501,MATCH(ROW()-2,종합!$AB$3:$AB$501,0))&amp;"","")</f>
        <v/>
      </c>
      <c r="C250" s="18" t="str">
        <f aca="false">IFERROR(INDEX(종합!C$3:C$501,MATCH(ROW()-2,종합!$AB$3:$AB$501,0))&amp;"","")</f>
        <v/>
      </c>
      <c r="D250" s="18" t="str">
        <f aca="false">IFERROR(INDEX(종합!D$3:D$501,MATCH(ROW()-2,종합!$AB$3:$AB$501,0))&amp;"","")</f>
        <v/>
      </c>
      <c r="E250" s="18" t="str">
        <f aca="false">IFERROR(INDEX(종합!E$3:E$501,MATCH(ROW()-2,종합!$AB$3:$AB$501,0))&amp;"","")</f>
        <v/>
      </c>
      <c r="F250" s="18" t="str">
        <f aca="false">IFERROR(INDEX(종합!F$3:F$501,MATCH(ROW()-2,종합!$AB$3:$AB$501,0))&amp;"","")</f>
        <v/>
      </c>
      <c r="G250" s="18" t="str">
        <f aca="false">IFERROR(INDEX(종합!G$3:G$501,MATCH(ROW()-2,종합!$AB$3:$AB$501,0))&amp;"","")</f>
        <v/>
      </c>
      <c r="H250" s="21" t="str">
        <f aca="false">IFERROR(INDEX(종합!H$3:H$501,MATCH(ROW()-2,종합!$AB$3:$AB$501,0))&amp;"","")</f>
        <v/>
      </c>
      <c r="I250" s="21" t="str">
        <f aca="false">IFERROR(INDEX(종합!I$3:I$501,MATCH(ROW()-2,종합!$AB$3:$AB$501,0))&amp;"","")</f>
        <v/>
      </c>
      <c r="J250" s="21" t="str">
        <f aca="false">IFERROR(INDEX(종합!J$3:J$501,MATCH(ROW()-2,종합!$AB$3:$AB$501,0))&amp;"","")</f>
        <v/>
      </c>
      <c r="K250" s="21" t="str">
        <f aca="false">IFERROR(INDEX(종합!K$3:K$501,MATCH(ROW()-2,종합!$AB$3:$AB$501,0))&amp;"","")</f>
        <v/>
      </c>
      <c r="L250" s="21" t="str">
        <f aca="false">IFERROR(INDEX(종합!L$3:L$501,MATCH(ROW()-2,종합!$AB$3:$AB$501,0))&amp;"","")</f>
        <v/>
      </c>
      <c r="M250" s="21" t="str">
        <f aca="false">IFERROR(INDEX(종합!M$3:M$501,MATCH(ROW()-2,종합!$AB$3:$AB$501,0))&amp;"","")</f>
        <v/>
      </c>
      <c r="N250" s="25" t="str">
        <f aca="false">IFERROR(INDEX(종합!N$3:N$501,MATCH(ROW()-2,종합!$AB$3:$AB$501,0))&amp;"","")</f>
        <v/>
      </c>
      <c r="O250" s="21" t="str">
        <f aca="false">IFERROR(INDEX(종합!O$3:O$501,MATCH(ROW()-2,종합!$AB$3:$AB$501,0))&amp;"","")</f>
        <v/>
      </c>
      <c r="P250" s="21" t="str">
        <f aca="false">IFERROR(INDEX(종합!P$3:P$501,MATCH(ROW()-2,종합!$AB$3:$AB$501,0))&amp;"","")</f>
        <v/>
      </c>
      <c r="Q250" s="21" t="str">
        <f aca="false">IFERROR(INDEX(종합!Q$3:Q$501,MATCH(ROW()-2,종합!$AB$3:$AB$501,0))&amp;"","")</f>
        <v/>
      </c>
      <c r="R250" s="21" t="str">
        <f aca="false">IFERROR(INDEX(종합!R$3:R$501,MATCH(ROW()-2,종합!$AB$3:$AB$501,0))&amp;"","")</f>
        <v/>
      </c>
      <c r="S250" s="21" t="str">
        <f aca="false">IFERROR(INDEX(종합!S$3:S$501,MATCH(ROW()-2,종합!$AB$3:$AB$501,0))&amp;"","")</f>
        <v/>
      </c>
      <c r="T250" s="21" t="str">
        <f aca="false">IFERROR(INDEX(종합!T$3:T$501,MATCH(ROW()-2,종합!$AB$3:$AB$501,0))&amp;"","")</f>
        <v/>
      </c>
      <c r="U250" s="21" t="str">
        <f aca="false">IFERROR(INDEX(종합!U$3:U$501,MATCH(ROW()-2,종합!$AB$3:$AB$501,0))&amp;"","")</f>
        <v/>
      </c>
      <c r="V250" s="21" t="str">
        <f aca="false">IFERROR(INDEX(종합!V$3:V$501,MATCH(ROW()-2,종합!$AB$3:$AB$501,0))&amp;"","")</f>
        <v/>
      </c>
      <c r="W250" s="21" t="str">
        <f aca="false">IFERROR(INDEX(종합!W$3:W$501,MATCH(ROW()-2,종합!$AB$3:$AB$501,0))&amp;"","")</f>
        <v/>
      </c>
      <c r="X250" s="21" t="str">
        <f aca="false">IFERROR(INDEX(종합!X$3:X$501,MATCH(ROW()-2,종합!$AB$3:$AB$501,0))&amp;"","")</f>
        <v/>
      </c>
      <c r="Y250" s="21" t="str">
        <f aca="false">IFERROR(INDEX(종합!Y$3:Y$501,MATCH(ROW()-2,종합!$AB$3:$AB$501,0))&amp;"","")</f>
        <v/>
      </c>
      <c r="Z250" s="21" t="str">
        <f aca="false">IFERROR(INDEX(종합!Z$3:Z$501,MATCH(ROW()-2,종합!$AB$3:$AB$501,0))&amp;"","")</f>
        <v/>
      </c>
    </row>
    <row r="251" customFormat="false" ht="16.5" hidden="false" customHeight="true" outlineLevel="0" collapsed="false">
      <c r="A251" s="18" t="str">
        <f aca="false">IF(B251="","",ROW()-2)</f>
        <v/>
      </c>
      <c r="B251" s="18" t="str">
        <f aca="false">IFERROR(INDEX(종합!B$3:B$501,MATCH(ROW()-2,종합!$AB$3:$AB$501,0))&amp;"","")</f>
        <v/>
      </c>
      <c r="C251" s="18" t="str">
        <f aca="false">IFERROR(INDEX(종합!C$3:C$501,MATCH(ROW()-2,종합!$AB$3:$AB$501,0))&amp;"","")</f>
        <v/>
      </c>
      <c r="D251" s="18" t="str">
        <f aca="false">IFERROR(INDEX(종합!D$3:D$501,MATCH(ROW()-2,종합!$AB$3:$AB$501,0))&amp;"","")</f>
        <v/>
      </c>
      <c r="E251" s="18" t="str">
        <f aca="false">IFERROR(INDEX(종합!E$3:E$501,MATCH(ROW()-2,종합!$AB$3:$AB$501,0))&amp;"","")</f>
        <v/>
      </c>
      <c r="F251" s="18" t="str">
        <f aca="false">IFERROR(INDEX(종합!F$3:F$501,MATCH(ROW()-2,종합!$AB$3:$AB$501,0))&amp;"","")</f>
        <v/>
      </c>
      <c r="G251" s="18" t="str">
        <f aca="false">IFERROR(INDEX(종합!G$3:G$501,MATCH(ROW()-2,종합!$AB$3:$AB$501,0))&amp;"","")</f>
        <v/>
      </c>
      <c r="H251" s="21" t="str">
        <f aca="false">IFERROR(INDEX(종합!H$3:H$501,MATCH(ROW()-2,종합!$AB$3:$AB$501,0))&amp;"","")</f>
        <v/>
      </c>
      <c r="I251" s="21" t="str">
        <f aca="false">IFERROR(INDEX(종합!I$3:I$501,MATCH(ROW()-2,종합!$AB$3:$AB$501,0))&amp;"","")</f>
        <v/>
      </c>
      <c r="J251" s="21" t="str">
        <f aca="false">IFERROR(INDEX(종합!J$3:J$501,MATCH(ROW()-2,종합!$AB$3:$AB$501,0))&amp;"","")</f>
        <v/>
      </c>
      <c r="K251" s="21" t="str">
        <f aca="false">IFERROR(INDEX(종합!K$3:K$501,MATCH(ROW()-2,종합!$AB$3:$AB$501,0))&amp;"","")</f>
        <v/>
      </c>
      <c r="L251" s="21" t="str">
        <f aca="false">IFERROR(INDEX(종합!L$3:L$501,MATCH(ROW()-2,종합!$AB$3:$AB$501,0))&amp;"","")</f>
        <v/>
      </c>
      <c r="M251" s="21" t="str">
        <f aca="false">IFERROR(INDEX(종합!M$3:M$501,MATCH(ROW()-2,종합!$AB$3:$AB$501,0))&amp;"","")</f>
        <v/>
      </c>
      <c r="N251" s="25" t="str">
        <f aca="false">IFERROR(INDEX(종합!N$3:N$501,MATCH(ROW()-2,종합!$AB$3:$AB$501,0))&amp;"","")</f>
        <v/>
      </c>
      <c r="O251" s="21" t="str">
        <f aca="false">IFERROR(INDEX(종합!O$3:O$501,MATCH(ROW()-2,종합!$AB$3:$AB$501,0))&amp;"","")</f>
        <v/>
      </c>
      <c r="P251" s="21" t="str">
        <f aca="false">IFERROR(INDEX(종합!P$3:P$501,MATCH(ROW()-2,종합!$AB$3:$AB$501,0))&amp;"","")</f>
        <v/>
      </c>
      <c r="Q251" s="21" t="str">
        <f aca="false">IFERROR(INDEX(종합!Q$3:Q$501,MATCH(ROW()-2,종합!$AB$3:$AB$501,0))&amp;"","")</f>
        <v/>
      </c>
      <c r="R251" s="21" t="str">
        <f aca="false">IFERROR(INDEX(종합!R$3:R$501,MATCH(ROW()-2,종합!$AB$3:$AB$501,0))&amp;"","")</f>
        <v/>
      </c>
      <c r="S251" s="21" t="str">
        <f aca="false">IFERROR(INDEX(종합!S$3:S$501,MATCH(ROW()-2,종합!$AB$3:$AB$501,0))&amp;"","")</f>
        <v/>
      </c>
      <c r="T251" s="21" t="str">
        <f aca="false">IFERROR(INDEX(종합!T$3:T$501,MATCH(ROW()-2,종합!$AB$3:$AB$501,0))&amp;"","")</f>
        <v/>
      </c>
      <c r="U251" s="21" t="str">
        <f aca="false">IFERROR(INDEX(종합!U$3:U$501,MATCH(ROW()-2,종합!$AB$3:$AB$501,0))&amp;"","")</f>
        <v/>
      </c>
      <c r="V251" s="21" t="str">
        <f aca="false">IFERROR(INDEX(종합!V$3:V$501,MATCH(ROW()-2,종합!$AB$3:$AB$501,0))&amp;"","")</f>
        <v/>
      </c>
      <c r="W251" s="21" t="str">
        <f aca="false">IFERROR(INDEX(종합!W$3:W$501,MATCH(ROW()-2,종합!$AB$3:$AB$501,0))&amp;"","")</f>
        <v/>
      </c>
      <c r="X251" s="21" t="str">
        <f aca="false">IFERROR(INDEX(종합!X$3:X$501,MATCH(ROW()-2,종합!$AB$3:$AB$501,0))&amp;"","")</f>
        <v/>
      </c>
      <c r="Y251" s="21" t="str">
        <f aca="false">IFERROR(INDEX(종합!Y$3:Y$501,MATCH(ROW()-2,종합!$AB$3:$AB$501,0))&amp;"","")</f>
        <v/>
      </c>
      <c r="Z251" s="21" t="str">
        <f aca="false">IFERROR(INDEX(종합!Z$3:Z$501,MATCH(ROW()-2,종합!$AB$3:$AB$501,0))&amp;"","")</f>
        <v/>
      </c>
    </row>
    <row r="252" customFormat="false" ht="16.5" hidden="false" customHeight="true" outlineLevel="0" collapsed="false">
      <c r="A252" s="18" t="str">
        <f aca="false">IF(B252="","",ROW()-2)</f>
        <v/>
      </c>
      <c r="B252" s="18" t="str">
        <f aca="false">IFERROR(INDEX(종합!B$3:B$501,MATCH(ROW()-2,종합!$AB$3:$AB$501,0))&amp;"","")</f>
        <v/>
      </c>
      <c r="C252" s="18" t="str">
        <f aca="false">IFERROR(INDEX(종합!C$3:C$501,MATCH(ROW()-2,종합!$AB$3:$AB$501,0))&amp;"","")</f>
        <v/>
      </c>
      <c r="D252" s="18" t="str">
        <f aca="false">IFERROR(INDEX(종합!D$3:D$501,MATCH(ROW()-2,종합!$AB$3:$AB$501,0))&amp;"","")</f>
        <v/>
      </c>
      <c r="E252" s="18" t="str">
        <f aca="false">IFERROR(INDEX(종합!E$3:E$501,MATCH(ROW()-2,종합!$AB$3:$AB$501,0))&amp;"","")</f>
        <v/>
      </c>
      <c r="F252" s="18" t="str">
        <f aca="false">IFERROR(INDEX(종합!F$3:F$501,MATCH(ROW()-2,종합!$AB$3:$AB$501,0))&amp;"","")</f>
        <v/>
      </c>
      <c r="G252" s="18" t="str">
        <f aca="false">IFERROR(INDEX(종합!G$3:G$501,MATCH(ROW()-2,종합!$AB$3:$AB$501,0))&amp;"","")</f>
        <v/>
      </c>
      <c r="H252" s="21" t="str">
        <f aca="false">IFERROR(INDEX(종합!H$3:H$501,MATCH(ROW()-2,종합!$AB$3:$AB$501,0))&amp;"","")</f>
        <v/>
      </c>
      <c r="I252" s="21" t="str">
        <f aca="false">IFERROR(INDEX(종합!I$3:I$501,MATCH(ROW()-2,종합!$AB$3:$AB$501,0))&amp;"","")</f>
        <v/>
      </c>
      <c r="J252" s="21" t="str">
        <f aca="false">IFERROR(INDEX(종합!J$3:J$501,MATCH(ROW()-2,종합!$AB$3:$AB$501,0))&amp;"","")</f>
        <v/>
      </c>
      <c r="K252" s="21" t="str">
        <f aca="false">IFERROR(INDEX(종합!K$3:K$501,MATCH(ROW()-2,종합!$AB$3:$AB$501,0))&amp;"","")</f>
        <v/>
      </c>
      <c r="L252" s="21" t="str">
        <f aca="false">IFERROR(INDEX(종합!L$3:L$501,MATCH(ROW()-2,종합!$AB$3:$AB$501,0))&amp;"","")</f>
        <v/>
      </c>
      <c r="M252" s="21" t="str">
        <f aca="false">IFERROR(INDEX(종합!M$3:M$501,MATCH(ROW()-2,종합!$AB$3:$AB$501,0))&amp;"","")</f>
        <v/>
      </c>
      <c r="N252" s="25" t="str">
        <f aca="false">IFERROR(INDEX(종합!N$3:N$501,MATCH(ROW()-2,종합!$AB$3:$AB$501,0))&amp;"","")</f>
        <v/>
      </c>
      <c r="O252" s="21" t="str">
        <f aca="false">IFERROR(INDEX(종합!O$3:O$501,MATCH(ROW()-2,종합!$AB$3:$AB$501,0))&amp;"","")</f>
        <v/>
      </c>
      <c r="P252" s="21" t="str">
        <f aca="false">IFERROR(INDEX(종합!P$3:P$501,MATCH(ROW()-2,종합!$AB$3:$AB$501,0))&amp;"","")</f>
        <v/>
      </c>
      <c r="Q252" s="21" t="str">
        <f aca="false">IFERROR(INDEX(종합!Q$3:Q$501,MATCH(ROW()-2,종합!$AB$3:$AB$501,0))&amp;"","")</f>
        <v/>
      </c>
      <c r="R252" s="21" t="str">
        <f aca="false">IFERROR(INDEX(종합!R$3:R$501,MATCH(ROW()-2,종합!$AB$3:$AB$501,0))&amp;"","")</f>
        <v/>
      </c>
      <c r="S252" s="21" t="str">
        <f aca="false">IFERROR(INDEX(종합!S$3:S$501,MATCH(ROW()-2,종합!$AB$3:$AB$501,0))&amp;"","")</f>
        <v/>
      </c>
      <c r="T252" s="21" t="str">
        <f aca="false">IFERROR(INDEX(종합!T$3:T$501,MATCH(ROW()-2,종합!$AB$3:$AB$501,0))&amp;"","")</f>
        <v/>
      </c>
      <c r="U252" s="21" t="str">
        <f aca="false">IFERROR(INDEX(종합!U$3:U$501,MATCH(ROW()-2,종합!$AB$3:$AB$501,0))&amp;"","")</f>
        <v/>
      </c>
      <c r="V252" s="21" t="str">
        <f aca="false">IFERROR(INDEX(종합!V$3:V$501,MATCH(ROW()-2,종합!$AB$3:$AB$501,0))&amp;"","")</f>
        <v/>
      </c>
      <c r="W252" s="21" t="str">
        <f aca="false">IFERROR(INDEX(종합!W$3:W$501,MATCH(ROW()-2,종합!$AB$3:$AB$501,0))&amp;"","")</f>
        <v/>
      </c>
      <c r="X252" s="21" t="str">
        <f aca="false">IFERROR(INDEX(종합!X$3:X$501,MATCH(ROW()-2,종합!$AB$3:$AB$501,0))&amp;"","")</f>
        <v/>
      </c>
      <c r="Y252" s="21" t="str">
        <f aca="false">IFERROR(INDEX(종합!Y$3:Y$501,MATCH(ROW()-2,종합!$AB$3:$AB$501,0))&amp;"","")</f>
        <v/>
      </c>
      <c r="Z252" s="21" t="str">
        <f aca="false">IFERROR(INDEX(종합!Z$3:Z$501,MATCH(ROW()-2,종합!$AB$3:$AB$501,0))&amp;"","")</f>
        <v/>
      </c>
    </row>
    <row r="253" customFormat="false" ht="16.5" hidden="false" customHeight="true" outlineLevel="0" collapsed="false">
      <c r="A253" s="18" t="str">
        <f aca="false">IF(B253="","",ROW()-2)</f>
        <v/>
      </c>
      <c r="B253" s="18" t="str">
        <f aca="false">IFERROR(INDEX(종합!B$3:B$501,MATCH(ROW()-2,종합!$AB$3:$AB$501,0))&amp;"","")</f>
        <v/>
      </c>
      <c r="C253" s="18" t="str">
        <f aca="false">IFERROR(INDEX(종합!C$3:C$501,MATCH(ROW()-2,종합!$AB$3:$AB$501,0))&amp;"","")</f>
        <v/>
      </c>
      <c r="D253" s="18" t="str">
        <f aca="false">IFERROR(INDEX(종합!D$3:D$501,MATCH(ROW()-2,종합!$AB$3:$AB$501,0))&amp;"","")</f>
        <v/>
      </c>
      <c r="E253" s="18" t="str">
        <f aca="false">IFERROR(INDEX(종합!E$3:E$501,MATCH(ROW()-2,종합!$AB$3:$AB$501,0))&amp;"","")</f>
        <v/>
      </c>
      <c r="F253" s="18" t="str">
        <f aca="false">IFERROR(INDEX(종합!F$3:F$501,MATCH(ROW()-2,종합!$AB$3:$AB$501,0))&amp;"","")</f>
        <v/>
      </c>
      <c r="G253" s="18" t="str">
        <f aca="false">IFERROR(INDEX(종합!G$3:G$501,MATCH(ROW()-2,종합!$AB$3:$AB$501,0))&amp;"","")</f>
        <v/>
      </c>
      <c r="H253" s="21" t="str">
        <f aca="false">IFERROR(INDEX(종합!H$3:H$501,MATCH(ROW()-2,종합!$AB$3:$AB$501,0))&amp;"","")</f>
        <v/>
      </c>
      <c r="I253" s="21" t="str">
        <f aca="false">IFERROR(INDEX(종합!I$3:I$501,MATCH(ROW()-2,종합!$AB$3:$AB$501,0))&amp;"","")</f>
        <v/>
      </c>
      <c r="J253" s="21" t="str">
        <f aca="false">IFERROR(INDEX(종합!J$3:J$501,MATCH(ROW()-2,종합!$AB$3:$AB$501,0))&amp;"","")</f>
        <v/>
      </c>
      <c r="K253" s="21" t="str">
        <f aca="false">IFERROR(INDEX(종합!K$3:K$501,MATCH(ROW()-2,종합!$AB$3:$AB$501,0))&amp;"","")</f>
        <v/>
      </c>
      <c r="L253" s="21" t="str">
        <f aca="false">IFERROR(INDEX(종합!L$3:L$501,MATCH(ROW()-2,종합!$AB$3:$AB$501,0))&amp;"","")</f>
        <v/>
      </c>
      <c r="M253" s="21" t="str">
        <f aca="false">IFERROR(INDEX(종합!M$3:M$501,MATCH(ROW()-2,종합!$AB$3:$AB$501,0))&amp;"","")</f>
        <v/>
      </c>
      <c r="N253" s="25" t="str">
        <f aca="false">IFERROR(INDEX(종합!N$3:N$501,MATCH(ROW()-2,종합!$AB$3:$AB$501,0))&amp;"","")</f>
        <v/>
      </c>
      <c r="O253" s="21" t="str">
        <f aca="false">IFERROR(INDEX(종합!O$3:O$501,MATCH(ROW()-2,종합!$AB$3:$AB$501,0))&amp;"","")</f>
        <v/>
      </c>
      <c r="P253" s="21" t="str">
        <f aca="false">IFERROR(INDEX(종합!P$3:P$501,MATCH(ROW()-2,종합!$AB$3:$AB$501,0))&amp;"","")</f>
        <v/>
      </c>
      <c r="Q253" s="21" t="str">
        <f aca="false">IFERROR(INDEX(종합!Q$3:Q$501,MATCH(ROW()-2,종합!$AB$3:$AB$501,0))&amp;"","")</f>
        <v/>
      </c>
      <c r="R253" s="21" t="str">
        <f aca="false">IFERROR(INDEX(종합!R$3:R$501,MATCH(ROW()-2,종합!$AB$3:$AB$501,0))&amp;"","")</f>
        <v/>
      </c>
      <c r="S253" s="21" t="str">
        <f aca="false">IFERROR(INDEX(종합!S$3:S$501,MATCH(ROW()-2,종합!$AB$3:$AB$501,0))&amp;"","")</f>
        <v/>
      </c>
      <c r="T253" s="21" t="str">
        <f aca="false">IFERROR(INDEX(종합!T$3:T$501,MATCH(ROW()-2,종합!$AB$3:$AB$501,0))&amp;"","")</f>
        <v/>
      </c>
      <c r="U253" s="21" t="str">
        <f aca="false">IFERROR(INDEX(종합!U$3:U$501,MATCH(ROW()-2,종합!$AB$3:$AB$501,0))&amp;"","")</f>
        <v/>
      </c>
      <c r="V253" s="21" t="str">
        <f aca="false">IFERROR(INDEX(종합!V$3:V$501,MATCH(ROW()-2,종합!$AB$3:$AB$501,0))&amp;"","")</f>
        <v/>
      </c>
      <c r="W253" s="21" t="str">
        <f aca="false">IFERROR(INDEX(종합!W$3:W$501,MATCH(ROW()-2,종합!$AB$3:$AB$501,0))&amp;"","")</f>
        <v/>
      </c>
      <c r="X253" s="21" t="str">
        <f aca="false">IFERROR(INDEX(종합!X$3:X$501,MATCH(ROW()-2,종합!$AB$3:$AB$501,0))&amp;"","")</f>
        <v/>
      </c>
      <c r="Y253" s="21" t="str">
        <f aca="false">IFERROR(INDEX(종합!Y$3:Y$501,MATCH(ROW()-2,종합!$AB$3:$AB$501,0))&amp;"","")</f>
        <v/>
      </c>
      <c r="Z253" s="21" t="str">
        <f aca="false">IFERROR(INDEX(종합!Z$3:Z$501,MATCH(ROW()-2,종합!$AB$3:$AB$501,0))&amp;"","")</f>
        <v/>
      </c>
    </row>
    <row r="254" customFormat="false" ht="16.5" hidden="false" customHeight="true" outlineLevel="0" collapsed="false">
      <c r="A254" s="18" t="str">
        <f aca="false">IF(B254="","",ROW()-2)</f>
        <v/>
      </c>
      <c r="B254" s="18" t="str">
        <f aca="false">IFERROR(INDEX(종합!B$3:B$501,MATCH(ROW()-2,종합!$AB$3:$AB$501,0))&amp;"","")</f>
        <v/>
      </c>
      <c r="C254" s="18" t="str">
        <f aca="false">IFERROR(INDEX(종합!C$3:C$501,MATCH(ROW()-2,종합!$AB$3:$AB$501,0))&amp;"","")</f>
        <v/>
      </c>
      <c r="D254" s="18" t="str">
        <f aca="false">IFERROR(INDEX(종합!D$3:D$501,MATCH(ROW()-2,종합!$AB$3:$AB$501,0))&amp;"","")</f>
        <v/>
      </c>
      <c r="E254" s="18" t="str">
        <f aca="false">IFERROR(INDEX(종합!E$3:E$501,MATCH(ROW()-2,종합!$AB$3:$AB$501,0))&amp;"","")</f>
        <v/>
      </c>
      <c r="F254" s="18" t="str">
        <f aca="false">IFERROR(INDEX(종합!F$3:F$501,MATCH(ROW()-2,종합!$AB$3:$AB$501,0))&amp;"","")</f>
        <v/>
      </c>
      <c r="G254" s="18" t="str">
        <f aca="false">IFERROR(INDEX(종합!G$3:G$501,MATCH(ROW()-2,종합!$AB$3:$AB$501,0))&amp;"","")</f>
        <v/>
      </c>
      <c r="H254" s="21" t="str">
        <f aca="false">IFERROR(INDEX(종합!H$3:H$501,MATCH(ROW()-2,종합!$AB$3:$AB$501,0))&amp;"","")</f>
        <v/>
      </c>
      <c r="I254" s="21" t="str">
        <f aca="false">IFERROR(INDEX(종합!I$3:I$501,MATCH(ROW()-2,종합!$AB$3:$AB$501,0))&amp;"","")</f>
        <v/>
      </c>
      <c r="J254" s="21" t="str">
        <f aca="false">IFERROR(INDEX(종합!J$3:J$501,MATCH(ROW()-2,종합!$AB$3:$AB$501,0))&amp;"","")</f>
        <v/>
      </c>
      <c r="K254" s="21" t="str">
        <f aca="false">IFERROR(INDEX(종합!K$3:K$501,MATCH(ROW()-2,종합!$AB$3:$AB$501,0))&amp;"","")</f>
        <v/>
      </c>
      <c r="L254" s="21" t="str">
        <f aca="false">IFERROR(INDEX(종합!L$3:L$501,MATCH(ROW()-2,종합!$AB$3:$AB$501,0))&amp;"","")</f>
        <v/>
      </c>
      <c r="M254" s="21" t="str">
        <f aca="false">IFERROR(INDEX(종합!M$3:M$501,MATCH(ROW()-2,종합!$AB$3:$AB$501,0))&amp;"","")</f>
        <v/>
      </c>
      <c r="N254" s="25" t="str">
        <f aca="false">IFERROR(INDEX(종합!N$3:N$501,MATCH(ROW()-2,종합!$AB$3:$AB$501,0))&amp;"","")</f>
        <v/>
      </c>
      <c r="O254" s="21" t="str">
        <f aca="false">IFERROR(INDEX(종합!O$3:O$501,MATCH(ROW()-2,종합!$AB$3:$AB$501,0))&amp;"","")</f>
        <v/>
      </c>
      <c r="P254" s="21" t="str">
        <f aca="false">IFERROR(INDEX(종합!P$3:P$501,MATCH(ROW()-2,종합!$AB$3:$AB$501,0))&amp;"","")</f>
        <v/>
      </c>
      <c r="Q254" s="21" t="str">
        <f aca="false">IFERROR(INDEX(종합!Q$3:Q$501,MATCH(ROW()-2,종합!$AB$3:$AB$501,0))&amp;"","")</f>
        <v/>
      </c>
      <c r="R254" s="21" t="str">
        <f aca="false">IFERROR(INDEX(종합!R$3:R$501,MATCH(ROW()-2,종합!$AB$3:$AB$501,0))&amp;"","")</f>
        <v/>
      </c>
      <c r="S254" s="21" t="str">
        <f aca="false">IFERROR(INDEX(종합!S$3:S$501,MATCH(ROW()-2,종합!$AB$3:$AB$501,0))&amp;"","")</f>
        <v/>
      </c>
      <c r="T254" s="21" t="str">
        <f aca="false">IFERROR(INDEX(종합!T$3:T$501,MATCH(ROW()-2,종합!$AB$3:$AB$501,0))&amp;"","")</f>
        <v/>
      </c>
      <c r="U254" s="21" t="str">
        <f aca="false">IFERROR(INDEX(종합!U$3:U$501,MATCH(ROW()-2,종합!$AB$3:$AB$501,0))&amp;"","")</f>
        <v/>
      </c>
      <c r="V254" s="21" t="str">
        <f aca="false">IFERROR(INDEX(종합!V$3:V$501,MATCH(ROW()-2,종합!$AB$3:$AB$501,0))&amp;"","")</f>
        <v/>
      </c>
      <c r="W254" s="21" t="str">
        <f aca="false">IFERROR(INDEX(종합!W$3:W$501,MATCH(ROW()-2,종합!$AB$3:$AB$501,0))&amp;"","")</f>
        <v/>
      </c>
      <c r="X254" s="21" t="str">
        <f aca="false">IFERROR(INDEX(종합!X$3:X$501,MATCH(ROW()-2,종합!$AB$3:$AB$501,0))&amp;"","")</f>
        <v/>
      </c>
      <c r="Y254" s="21" t="str">
        <f aca="false">IFERROR(INDEX(종합!Y$3:Y$501,MATCH(ROW()-2,종합!$AB$3:$AB$501,0))&amp;"","")</f>
        <v/>
      </c>
      <c r="Z254" s="21" t="str">
        <f aca="false">IFERROR(INDEX(종합!Z$3:Z$501,MATCH(ROW()-2,종합!$AB$3:$AB$501,0))&amp;"","")</f>
        <v/>
      </c>
    </row>
    <row r="255" customFormat="false" ht="16.5" hidden="false" customHeight="true" outlineLevel="0" collapsed="false">
      <c r="A255" s="18" t="str">
        <f aca="false">IF(B255="","",ROW()-2)</f>
        <v/>
      </c>
      <c r="B255" s="18" t="str">
        <f aca="false">IFERROR(INDEX(종합!B$3:B$501,MATCH(ROW()-2,종합!$AB$3:$AB$501,0))&amp;"","")</f>
        <v/>
      </c>
      <c r="C255" s="18" t="str">
        <f aca="false">IFERROR(INDEX(종합!C$3:C$501,MATCH(ROW()-2,종합!$AB$3:$AB$501,0))&amp;"","")</f>
        <v/>
      </c>
      <c r="D255" s="18" t="str">
        <f aca="false">IFERROR(INDEX(종합!D$3:D$501,MATCH(ROW()-2,종합!$AB$3:$AB$501,0))&amp;"","")</f>
        <v/>
      </c>
      <c r="E255" s="18" t="str">
        <f aca="false">IFERROR(INDEX(종합!E$3:E$501,MATCH(ROW()-2,종합!$AB$3:$AB$501,0))&amp;"","")</f>
        <v/>
      </c>
      <c r="F255" s="18" t="str">
        <f aca="false">IFERROR(INDEX(종합!F$3:F$501,MATCH(ROW()-2,종합!$AB$3:$AB$501,0))&amp;"","")</f>
        <v/>
      </c>
      <c r="G255" s="18" t="str">
        <f aca="false">IFERROR(INDEX(종합!G$3:G$501,MATCH(ROW()-2,종합!$AB$3:$AB$501,0))&amp;"","")</f>
        <v/>
      </c>
      <c r="H255" s="21" t="str">
        <f aca="false">IFERROR(INDEX(종합!H$3:H$501,MATCH(ROW()-2,종합!$AB$3:$AB$501,0))&amp;"","")</f>
        <v/>
      </c>
      <c r="I255" s="21" t="str">
        <f aca="false">IFERROR(INDEX(종합!I$3:I$501,MATCH(ROW()-2,종합!$AB$3:$AB$501,0))&amp;"","")</f>
        <v/>
      </c>
      <c r="J255" s="21" t="str">
        <f aca="false">IFERROR(INDEX(종합!J$3:J$501,MATCH(ROW()-2,종합!$AB$3:$AB$501,0))&amp;"","")</f>
        <v/>
      </c>
      <c r="K255" s="21" t="str">
        <f aca="false">IFERROR(INDEX(종합!K$3:K$501,MATCH(ROW()-2,종합!$AB$3:$AB$501,0))&amp;"","")</f>
        <v/>
      </c>
      <c r="L255" s="21" t="str">
        <f aca="false">IFERROR(INDEX(종합!L$3:L$501,MATCH(ROW()-2,종합!$AB$3:$AB$501,0))&amp;"","")</f>
        <v/>
      </c>
      <c r="M255" s="21" t="str">
        <f aca="false">IFERROR(INDEX(종합!M$3:M$501,MATCH(ROW()-2,종합!$AB$3:$AB$501,0))&amp;"","")</f>
        <v/>
      </c>
      <c r="N255" s="25" t="str">
        <f aca="false">IFERROR(INDEX(종합!N$3:N$501,MATCH(ROW()-2,종합!$AB$3:$AB$501,0))&amp;"","")</f>
        <v/>
      </c>
      <c r="O255" s="21" t="str">
        <f aca="false">IFERROR(INDEX(종합!O$3:O$501,MATCH(ROW()-2,종합!$AB$3:$AB$501,0))&amp;"","")</f>
        <v/>
      </c>
      <c r="P255" s="21" t="str">
        <f aca="false">IFERROR(INDEX(종합!P$3:P$501,MATCH(ROW()-2,종합!$AB$3:$AB$501,0))&amp;"","")</f>
        <v/>
      </c>
      <c r="Q255" s="21" t="str">
        <f aca="false">IFERROR(INDEX(종합!Q$3:Q$501,MATCH(ROW()-2,종합!$AB$3:$AB$501,0))&amp;"","")</f>
        <v/>
      </c>
      <c r="R255" s="21" t="str">
        <f aca="false">IFERROR(INDEX(종합!R$3:R$501,MATCH(ROW()-2,종합!$AB$3:$AB$501,0))&amp;"","")</f>
        <v/>
      </c>
      <c r="S255" s="21" t="str">
        <f aca="false">IFERROR(INDEX(종합!S$3:S$501,MATCH(ROW()-2,종합!$AB$3:$AB$501,0))&amp;"","")</f>
        <v/>
      </c>
      <c r="T255" s="21" t="str">
        <f aca="false">IFERROR(INDEX(종합!T$3:T$501,MATCH(ROW()-2,종합!$AB$3:$AB$501,0))&amp;"","")</f>
        <v/>
      </c>
      <c r="U255" s="21" t="str">
        <f aca="false">IFERROR(INDEX(종합!U$3:U$501,MATCH(ROW()-2,종합!$AB$3:$AB$501,0))&amp;"","")</f>
        <v/>
      </c>
      <c r="V255" s="21" t="str">
        <f aca="false">IFERROR(INDEX(종합!V$3:V$501,MATCH(ROW()-2,종합!$AB$3:$AB$501,0))&amp;"","")</f>
        <v/>
      </c>
      <c r="W255" s="21" t="str">
        <f aca="false">IFERROR(INDEX(종합!W$3:W$501,MATCH(ROW()-2,종합!$AB$3:$AB$501,0))&amp;"","")</f>
        <v/>
      </c>
      <c r="X255" s="21" t="str">
        <f aca="false">IFERROR(INDEX(종합!X$3:X$501,MATCH(ROW()-2,종합!$AB$3:$AB$501,0))&amp;"","")</f>
        <v/>
      </c>
      <c r="Y255" s="21" t="str">
        <f aca="false">IFERROR(INDEX(종합!Y$3:Y$501,MATCH(ROW()-2,종합!$AB$3:$AB$501,0))&amp;"","")</f>
        <v/>
      </c>
      <c r="Z255" s="21" t="str">
        <f aca="false">IFERROR(INDEX(종합!Z$3:Z$501,MATCH(ROW()-2,종합!$AB$3:$AB$501,0))&amp;"","")</f>
        <v/>
      </c>
    </row>
    <row r="256" customFormat="false" ht="16.5" hidden="false" customHeight="true" outlineLevel="0" collapsed="false">
      <c r="A256" s="18" t="str">
        <f aca="false">IF(B256="","",ROW()-2)</f>
        <v/>
      </c>
      <c r="B256" s="18" t="str">
        <f aca="false">IFERROR(INDEX(종합!B$3:B$501,MATCH(ROW()-2,종합!$AB$3:$AB$501,0))&amp;"","")</f>
        <v/>
      </c>
      <c r="C256" s="18" t="str">
        <f aca="false">IFERROR(INDEX(종합!C$3:C$501,MATCH(ROW()-2,종합!$AB$3:$AB$501,0))&amp;"","")</f>
        <v/>
      </c>
      <c r="D256" s="18" t="str">
        <f aca="false">IFERROR(INDEX(종합!D$3:D$501,MATCH(ROW()-2,종합!$AB$3:$AB$501,0))&amp;"","")</f>
        <v/>
      </c>
      <c r="E256" s="18" t="str">
        <f aca="false">IFERROR(INDEX(종합!E$3:E$501,MATCH(ROW()-2,종합!$AB$3:$AB$501,0))&amp;"","")</f>
        <v/>
      </c>
      <c r="F256" s="18" t="str">
        <f aca="false">IFERROR(INDEX(종합!F$3:F$501,MATCH(ROW()-2,종합!$AB$3:$AB$501,0))&amp;"","")</f>
        <v/>
      </c>
      <c r="G256" s="18" t="str">
        <f aca="false">IFERROR(INDEX(종합!G$3:G$501,MATCH(ROW()-2,종합!$AB$3:$AB$501,0))&amp;"","")</f>
        <v/>
      </c>
      <c r="H256" s="21" t="str">
        <f aca="false">IFERROR(INDEX(종합!H$3:H$501,MATCH(ROW()-2,종합!$AB$3:$AB$501,0))&amp;"","")</f>
        <v/>
      </c>
      <c r="I256" s="21" t="str">
        <f aca="false">IFERROR(INDEX(종합!I$3:I$501,MATCH(ROW()-2,종합!$AB$3:$AB$501,0))&amp;"","")</f>
        <v/>
      </c>
      <c r="J256" s="21" t="str">
        <f aca="false">IFERROR(INDEX(종합!J$3:J$501,MATCH(ROW()-2,종합!$AB$3:$AB$501,0))&amp;"","")</f>
        <v/>
      </c>
      <c r="K256" s="21" t="str">
        <f aca="false">IFERROR(INDEX(종합!K$3:K$501,MATCH(ROW()-2,종합!$AB$3:$AB$501,0))&amp;"","")</f>
        <v/>
      </c>
      <c r="L256" s="21" t="str">
        <f aca="false">IFERROR(INDEX(종합!L$3:L$501,MATCH(ROW()-2,종합!$AB$3:$AB$501,0))&amp;"","")</f>
        <v/>
      </c>
      <c r="M256" s="21" t="str">
        <f aca="false">IFERROR(INDEX(종합!M$3:M$501,MATCH(ROW()-2,종합!$AB$3:$AB$501,0))&amp;"","")</f>
        <v/>
      </c>
      <c r="N256" s="25" t="str">
        <f aca="false">IFERROR(INDEX(종합!N$3:N$501,MATCH(ROW()-2,종합!$AB$3:$AB$501,0))&amp;"","")</f>
        <v/>
      </c>
      <c r="O256" s="21" t="str">
        <f aca="false">IFERROR(INDEX(종합!O$3:O$501,MATCH(ROW()-2,종합!$AB$3:$AB$501,0))&amp;"","")</f>
        <v/>
      </c>
      <c r="P256" s="21" t="str">
        <f aca="false">IFERROR(INDEX(종합!P$3:P$501,MATCH(ROW()-2,종합!$AB$3:$AB$501,0))&amp;"","")</f>
        <v/>
      </c>
      <c r="Q256" s="21" t="str">
        <f aca="false">IFERROR(INDEX(종합!Q$3:Q$501,MATCH(ROW()-2,종합!$AB$3:$AB$501,0))&amp;"","")</f>
        <v/>
      </c>
      <c r="R256" s="21" t="str">
        <f aca="false">IFERROR(INDEX(종합!R$3:R$501,MATCH(ROW()-2,종합!$AB$3:$AB$501,0))&amp;"","")</f>
        <v/>
      </c>
      <c r="S256" s="21" t="str">
        <f aca="false">IFERROR(INDEX(종합!S$3:S$501,MATCH(ROW()-2,종합!$AB$3:$AB$501,0))&amp;"","")</f>
        <v/>
      </c>
      <c r="T256" s="21" t="str">
        <f aca="false">IFERROR(INDEX(종합!T$3:T$501,MATCH(ROW()-2,종합!$AB$3:$AB$501,0))&amp;"","")</f>
        <v/>
      </c>
      <c r="U256" s="21" t="str">
        <f aca="false">IFERROR(INDEX(종합!U$3:U$501,MATCH(ROW()-2,종합!$AB$3:$AB$501,0))&amp;"","")</f>
        <v/>
      </c>
      <c r="V256" s="21" t="str">
        <f aca="false">IFERROR(INDEX(종합!V$3:V$501,MATCH(ROW()-2,종합!$AB$3:$AB$501,0))&amp;"","")</f>
        <v/>
      </c>
      <c r="W256" s="21" t="str">
        <f aca="false">IFERROR(INDEX(종합!W$3:W$501,MATCH(ROW()-2,종합!$AB$3:$AB$501,0))&amp;"","")</f>
        <v/>
      </c>
      <c r="X256" s="21" t="str">
        <f aca="false">IFERROR(INDEX(종합!X$3:X$501,MATCH(ROW()-2,종합!$AB$3:$AB$501,0))&amp;"","")</f>
        <v/>
      </c>
      <c r="Y256" s="21" t="str">
        <f aca="false">IFERROR(INDEX(종합!Y$3:Y$501,MATCH(ROW()-2,종합!$AB$3:$AB$501,0))&amp;"","")</f>
        <v/>
      </c>
      <c r="Z256" s="21" t="str">
        <f aca="false">IFERROR(INDEX(종합!Z$3:Z$501,MATCH(ROW()-2,종합!$AB$3:$AB$501,0))&amp;"","")</f>
        <v/>
      </c>
    </row>
    <row r="257" customFormat="false" ht="16.5" hidden="false" customHeight="true" outlineLevel="0" collapsed="false">
      <c r="A257" s="18" t="str">
        <f aca="false">IF(B257="","",ROW()-2)</f>
        <v/>
      </c>
      <c r="B257" s="18" t="str">
        <f aca="false">IFERROR(INDEX(종합!B$3:B$501,MATCH(ROW()-2,종합!$AB$3:$AB$501,0))&amp;"","")</f>
        <v/>
      </c>
      <c r="C257" s="18" t="str">
        <f aca="false">IFERROR(INDEX(종합!C$3:C$501,MATCH(ROW()-2,종합!$AB$3:$AB$501,0))&amp;"","")</f>
        <v/>
      </c>
      <c r="D257" s="18" t="str">
        <f aca="false">IFERROR(INDEX(종합!D$3:D$501,MATCH(ROW()-2,종합!$AB$3:$AB$501,0))&amp;"","")</f>
        <v/>
      </c>
      <c r="E257" s="18" t="str">
        <f aca="false">IFERROR(INDEX(종합!E$3:E$501,MATCH(ROW()-2,종합!$AB$3:$AB$501,0))&amp;"","")</f>
        <v/>
      </c>
      <c r="F257" s="18" t="str">
        <f aca="false">IFERROR(INDEX(종합!F$3:F$501,MATCH(ROW()-2,종합!$AB$3:$AB$501,0))&amp;"","")</f>
        <v/>
      </c>
      <c r="G257" s="18" t="str">
        <f aca="false">IFERROR(INDEX(종합!G$3:G$501,MATCH(ROW()-2,종합!$AB$3:$AB$501,0))&amp;"","")</f>
        <v/>
      </c>
      <c r="H257" s="21" t="str">
        <f aca="false">IFERROR(INDEX(종합!H$3:H$501,MATCH(ROW()-2,종합!$AB$3:$AB$501,0))&amp;"","")</f>
        <v/>
      </c>
      <c r="I257" s="21" t="str">
        <f aca="false">IFERROR(INDEX(종합!I$3:I$501,MATCH(ROW()-2,종합!$AB$3:$AB$501,0))&amp;"","")</f>
        <v/>
      </c>
      <c r="J257" s="21" t="str">
        <f aca="false">IFERROR(INDEX(종합!J$3:J$501,MATCH(ROW()-2,종합!$AB$3:$AB$501,0))&amp;"","")</f>
        <v/>
      </c>
      <c r="K257" s="21" t="str">
        <f aca="false">IFERROR(INDEX(종합!K$3:K$501,MATCH(ROW()-2,종합!$AB$3:$AB$501,0))&amp;"","")</f>
        <v/>
      </c>
      <c r="L257" s="21" t="str">
        <f aca="false">IFERROR(INDEX(종합!L$3:L$501,MATCH(ROW()-2,종합!$AB$3:$AB$501,0))&amp;"","")</f>
        <v/>
      </c>
      <c r="M257" s="21" t="str">
        <f aca="false">IFERROR(INDEX(종합!M$3:M$501,MATCH(ROW()-2,종합!$AB$3:$AB$501,0))&amp;"","")</f>
        <v/>
      </c>
      <c r="N257" s="25" t="str">
        <f aca="false">IFERROR(INDEX(종합!N$3:N$501,MATCH(ROW()-2,종합!$AB$3:$AB$501,0))&amp;"","")</f>
        <v/>
      </c>
      <c r="O257" s="21" t="str">
        <f aca="false">IFERROR(INDEX(종합!O$3:O$501,MATCH(ROW()-2,종합!$AB$3:$AB$501,0))&amp;"","")</f>
        <v/>
      </c>
      <c r="P257" s="21" t="str">
        <f aca="false">IFERROR(INDEX(종합!P$3:P$501,MATCH(ROW()-2,종합!$AB$3:$AB$501,0))&amp;"","")</f>
        <v/>
      </c>
      <c r="Q257" s="21" t="str">
        <f aca="false">IFERROR(INDEX(종합!Q$3:Q$501,MATCH(ROW()-2,종합!$AB$3:$AB$501,0))&amp;"","")</f>
        <v/>
      </c>
      <c r="R257" s="21" t="str">
        <f aca="false">IFERROR(INDEX(종합!R$3:R$501,MATCH(ROW()-2,종합!$AB$3:$AB$501,0))&amp;"","")</f>
        <v/>
      </c>
      <c r="S257" s="21" t="str">
        <f aca="false">IFERROR(INDEX(종합!S$3:S$501,MATCH(ROW()-2,종합!$AB$3:$AB$501,0))&amp;"","")</f>
        <v/>
      </c>
      <c r="T257" s="21" t="str">
        <f aca="false">IFERROR(INDEX(종합!T$3:T$501,MATCH(ROW()-2,종합!$AB$3:$AB$501,0))&amp;"","")</f>
        <v/>
      </c>
      <c r="U257" s="21" t="str">
        <f aca="false">IFERROR(INDEX(종합!U$3:U$501,MATCH(ROW()-2,종합!$AB$3:$AB$501,0))&amp;"","")</f>
        <v/>
      </c>
      <c r="V257" s="21" t="str">
        <f aca="false">IFERROR(INDEX(종합!V$3:V$501,MATCH(ROW()-2,종합!$AB$3:$AB$501,0))&amp;"","")</f>
        <v/>
      </c>
      <c r="W257" s="21" t="str">
        <f aca="false">IFERROR(INDEX(종합!W$3:W$501,MATCH(ROW()-2,종합!$AB$3:$AB$501,0))&amp;"","")</f>
        <v/>
      </c>
      <c r="X257" s="21" t="str">
        <f aca="false">IFERROR(INDEX(종합!X$3:X$501,MATCH(ROW()-2,종합!$AB$3:$AB$501,0))&amp;"","")</f>
        <v/>
      </c>
      <c r="Y257" s="21" t="str">
        <f aca="false">IFERROR(INDEX(종합!Y$3:Y$501,MATCH(ROW()-2,종합!$AB$3:$AB$501,0))&amp;"","")</f>
        <v/>
      </c>
      <c r="Z257" s="21" t="str">
        <f aca="false">IFERROR(INDEX(종합!Z$3:Z$501,MATCH(ROW()-2,종합!$AB$3:$AB$501,0))&amp;"","")</f>
        <v/>
      </c>
    </row>
    <row r="258" customFormat="false" ht="16.5" hidden="false" customHeight="true" outlineLevel="0" collapsed="false">
      <c r="A258" s="18" t="str">
        <f aca="false">IF(B258="","",ROW()-2)</f>
        <v/>
      </c>
      <c r="B258" s="18" t="str">
        <f aca="false">IFERROR(INDEX(종합!B$3:B$501,MATCH(ROW()-2,종합!$AB$3:$AB$501,0))&amp;"","")</f>
        <v/>
      </c>
      <c r="C258" s="18" t="str">
        <f aca="false">IFERROR(INDEX(종합!C$3:C$501,MATCH(ROW()-2,종합!$AB$3:$AB$501,0))&amp;"","")</f>
        <v/>
      </c>
      <c r="D258" s="18" t="str">
        <f aca="false">IFERROR(INDEX(종합!D$3:D$501,MATCH(ROW()-2,종합!$AB$3:$AB$501,0))&amp;"","")</f>
        <v/>
      </c>
      <c r="E258" s="18" t="str">
        <f aca="false">IFERROR(INDEX(종합!E$3:E$501,MATCH(ROW()-2,종합!$AB$3:$AB$501,0))&amp;"","")</f>
        <v/>
      </c>
      <c r="F258" s="18" t="str">
        <f aca="false">IFERROR(INDEX(종합!F$3:F$501,MATCH(ROW()-2,종합!$AB$3:$AB$501,0))&amp;"","")</f>
        <v/>
      </c>
      <c r="G258" s="18" t="str">
        <f aca="false">IFERROR(INDEX(종합!G$3:G$501,MATCH(ROW()-2,종합!$AB$3:$AB$501,0))&amp;"","")</f>
        <v/>
      </c>
      <c r="H258" s="21" t="str">
        <f aca="false">IFERROR(INDEX(종합!H$3:H$501,MATCH(ROW()-2,종합!$AB$3:$AB$501,0))&amp;"","")</f>
        <v/>
      </c>
      <c r="I258" s="21" t="str">
        <f aca="false">IFERROR(INDEX(종합!I$3:I$501,MATCH(ROW()-2,종합!$AB$3:$AB$501,0))&amp;"","")</f>
        <v/>
      </c>
      <c r="J258" s="21" t="str">
        <f aca="false">IFERROR(INDEX(종합!J$3:J$501,MATCH(ROW()-2,종합!$AB$3:$AB$501,0))&amp;"","")</f>
        <v/>
      </c>
      <c r="K258" s="21" t="str">
        <f aca="false">IFERROR(INDEX(종합!K$3:K$501,MATCH(ROW()-2,종합!$AB$3:$AB$501,0))&amp;"","")</f>
        <v/>
      </c>
      <c r="L258" s="21" t="str">
        <f aca="false">IFERROR(INDEX(종합!L$3:L$501,MATCH(ROW()-2,종합!$AB$3:$AB$501,0))&amp;"","")</f>
        <v/>
      </c>
      <c r="M258" s="21" t="str">
        <f aca="false">IFERROR(INDEX(종합!M$3:M$501,MATCH(ROW()-2,종합!$AB$3:$AB$501,0))&amp;"","")</f>
        <v/>
      </c>
      <c r="N258" s="25" t="str">
        <f aca="false">IFERROR(INDEX(종합!N$3:N$501,MATCH(ROW()-2,종합!$AB$3:$AB$501,0))&amp;"","")</f>
        <v/>
      </c>
      <c r="O258" s="21" t="str">
        <f aca="false">IFERROR(INDEX(종합!O$3:O$501,MATCH(ROW()-2,종합!$AB$3:$AB$501,0))&amp;"","")</f>
        <v/>
      </c>
      <c r="P258" s="21" t="str">
        <f aca="false">IFERROR(INDEX(종합!P$3:P$501,MATCH(ROW()-2,종합!$AB$3:$AB$501,0))&amp;"","")</f>
        <v/>
      </c>
      <c r="Q258" s="21" t="str">
        <f aca="false">IFERROR(INDEX(종합!Q$3:Q$501,MATCH(ROW()-2,종합!$AB$3:$AB$501,0))&amp;"","")</f>
        <v/>
      </c>
      <c r="R258" s="21" t="str">
        <f aca="false">IFERROR(INDEX(종합!R$3:R$501,MATCH(ROW()-2,종합!$AB$3:$AB$501,0))&amp;"","")</f>
        <v/>
      </c>
      <c r="S258" s="21" t="str">
        <f aca="false">IFERROR(INDEX(종합!S$3:S$501,MATCH(ROW()-2,종합!$AB$3:$AB$501,0))&amp;"","")</f>
        <v/>
      </c>
      <c r="T258" s="21" t="str">
        <f aca="false">IFERROR(INDEX(종합!T$3:T$501,MATCH(ROW()-2,종합!$AB$3:$AB$501,0))&amp;"","")</f>
        <v/>
      </c>
      <c r="U258" s="21" t="str">
        <f aca="false">IFERROR(INDEX(종합!U$3:U$501,MATCH(ROW()-2,종합!$AB$3:$AB$501,0))&amp;"","")</f>
        <v/>
      </c>
      <c r="V258" s="21" t="str">
        <f aca="false">IFERROR(INDEX(종합!V$3:V$501,MATCH(ROW()-2,종합!$AB$3:$AB$501,0))&amp;"","")</f>
        <v/>
      </c>
      <c r="W258" s="21" t="str">
        <f aca="false">IFERROR(INDEX(종합!W$3:W$501,MATCH(ROW()-2,종합!$AB$3:$AB$501,0))&amp;"","")</f>
        <v/>
      </c>
      <c r="X258" s="21" t="str">
        <f aca="false">IFERROR(INDEX(종합!X$3:X$501,MATCH(ROW()-2,종합!$AB$3:$AB$501,0))&amp;"","")</f>
        <v/>
      </c>
      <c r="Y258" s="21" t="str">
        <f aca="false">IFERROR(INDEX(종합!Y$3:Y$501,MATCH(ROW()-2,종합!$AB$3:$AB$501,0))&amp;"","")</f>
        <v/>
      </c>
      <c r="Z258" s="21" t="str">
        <f aca="false">IFERROR(INDEX(종합!Z$3:Z$501,MATCH(ROW()-2,종합!$AB$3:$AB$501,0))&amp;"","")</f>
        <v/>
      </c>
    </row>
    <row r="259" customFormat="false" ht="16.5" hidden="false" customHeight="true" outlineLevel="0" collapsed="false">
      <c r="A259" s="18" t="str">
        <f aca="false">IF(B259="","",ROW()-2)</f>
        <v/>
      </c>
      <c r="B259" s="18" t="str">
        <f aca="false">IFERROR(INDEX(종합!B$3:B$501,MATCH(ROW()-2,종합!$AB$3:$AB$501,0))&amp;"","")</f>
        <v/>
      </c>
      <c r="C259" s="18" t="str">
        <f aca="false">IFERROR(INDEX(종합!C$3:C$501,MATCH(ROW()-2,종합!$AB$3:$AB$501,0))&amp;"","")</f>
        <v/>
      </c>
      <c r="D259" s="18" t="str">
        <f aca="false">IFERROR(INDEX(종합!D$3:D$501,MATCH(ROW()-2,종합!$AB$3:$AB$501,0))&amp;"","")</f>
        <v/>
      </c>
      <c r="E259" s="18" t="str">
        <f aca="false">IFERROR(INDEX(종합!E$3:E$501,MATCH(ROW()-2,종합!$AB$3:$AB$501,0))&amp;"","")</f>
        <v/>
      </c>
      <c r="F259" s="18" t="str">
        <f aca="false">IFERROR(INDEX(종합!F$3:F$501,MATCH(ROW()-2,종합!$AB$3:$AB$501,0))&amp;"","")</f>
        <v/>
      </c>
      <c r="G259" s="18" t="str">
        <f aca="false">IFERROR(INDEX(종합!G$3:G$501,MATCH(ROW()-2,종합!$AB$3:$AB$501,0))&amp;"","")</f>
        <v/>
      </c>
      <c r="H259" s="21" t="str">
        <f aca="false">IFERROR(INDEX(종합!H$3:H$501,MATCH(ROW()-2,종합!$AB$3:$AB$501,0))&amp;"","")</f>
        <v/>
      </c>
      <c r="I259" s="21" t="str">
        <f aca="false">IFERROR(INDEX(종합!I$3:I$501,MATCH(ROW()-2,종합!$AB$3:$AB$501,0))&amp;"","")</f>
        <v/>
      </c>
      <c r="J259" s="21" t="str">
        <f aca="false">IFERROR(INDEX(종합!J$3:J$501,MATCH(ROW()-2,종합!$AB$3:$AB$501,0))&amp;"","")</f>
        <v/>
      </c>
      <c r="K259" s="21" t="str">
        <f aca="false">IFERROR(INDEX(종합!K$3:K$501,MATCH(ROW()-2,종합!$AB$3:$AB$501,0))&amp;"","")</f>
        <v/>
      </c>
      <c r="L259" s="21" t="str">
        <f aca="false">IFERROR(INDEX(종합!L$3:L$501,MATCH(ROW()-2,종합!$AB$3:$AB$501,0))&amp;"","")</f>
        <v/>
      </c>
      <c r="M259" s="21" t="str">
        <f aca="false">IFERROR(INDEX(종합!M$3:M$501,MATCH(ROW()-2,종합!$AB$3:$AB$501,0))&amp;"","")</f>
        <v/>
      </c>
      <c r="N259" s="25" t="str">
        <f aca="false">IFERROR(INDEX(종합!N$3:N$501,MATCH(ROW()-2,종합!$AB$3:$AB$501,0))&amp;"","")</f>
        <v/>
      </c>
      <c r="O259" s="21" t="str">
        <f aca="false">IFERROR(INDEX(종합!O$3:O$501,MATCH(ROW()-2,종합!$AB$3:$AB$501,0))&amp;"","")</f>
        <v/>
      </c>
      <c r="P259" s="21" t="str">
        <f aca="false">IFERROR(INDEX(종합!P$3:P$501,MATCH(ROW()-2,종합!$AB$3:$AB$501,0))&amp;"","")</f>
        <v/>
      </c>
      <c r="Q259" s="21" t="str">
        <f aca="false">IFERROR(INDEX(종합!Q$3:Q$501,MATCH(ROW()-2,종합!$AB$3:$AB$501,0))&amp;"","")</f>
        <v/>
      </c>
      <c r="R259" s="21" t="str">
        <f aca="false">IFERROR(INDEX(종합!R$3:R$501,MATCH(ROW()-2,종합!$AB$3:$AB$501,0))&amp;"","")</f>
        <v/>
      </c>
      <c r="S259" s="21" t="str">
        <f aca="false">IFERROR(INDEX(종합!S$3:S$501,MATCH(ROW()-2,종합!$AB$3:$AB$501,0))&amp;"","")</f>
        <v/>
      </c>
      <c r="T259" s="21" t="str">
        <f aca="false">IFERROR(INDEX(종합!T$3:T$501,MATCH(ROW()-2,종합!$AB$3:$AB$501,0))&amp;"","")</f>
        <v/>
      </c>
      <c r="U259" s="21" t="str">
        <f aca="false">IFERROR(INDEX(종합!U$3:U$501,MATCH(ROW()-2,종합!$AB$3:$AB$501,0))&amp;"","")</f>
        <v/>
      </c>
      <c r="V259" s="21" t="str">
        <f aca="false">IFERROR(INDEX(종합!V$3:V$501,MATCH(ROW()-2,종합!$AB$3:$AB$501,0))&amp;"","")</f>
        <v/>
      </c>
      <c r="W259" s="21" t="str">
        <f aca="false">IFERROR(INDEX(종합!W$3:W$501,MATCH(ROW()-2,종합!$AB$3:$AB$501,0))&amp;"","")</f>
        <v/>
      </c>
      <c r="X259" s="21" t="str">
        <f aca="false">IFERROR(INDEX(종합!X$3:X$501,MATCH(ROW()-2,종합!$AB$3:$AB$501,0))&amp;"","")</f>
        <v/>
      </c>
      <c r="Y259" s="21" t="str">
        <f aca="false">IFERROR(INDEX(종합!Y$3:Y$501,MATCH(ROW()-2,종합!$AB$3:$AB$501,0))&amp;"","")</f>
        <v/>
      </c>
      <c r="Z259" s="21" t="str">
        <f aca="false">IFERROR(INDEX(종합!Z$3:Z$501,MATCH(ROW()-2,종합!$AB$3:$AB$501,0))&amp;"","")</f>
        <v/>
      </c>
    </row>
    <row r="260" customFormat="false" ht="16.5" hidden="false" customHeight="true" outlineLevel="0" collapsed="false">
      <c r="A260" s="18" t="str">
        <f aca="false">IF(B260="","",ROW()-2)</f>
        <v/>
      </c>
      <c r="B260" s="18" t="str">
        <f aca="false">IFERROR(INDEX(종합!B$3:B$501,MATCH(ROW()-2,종합!$AB$3:$AB$501,0))&amp;"","")</f>
        <v/>
      </c>
      <c r="C260" s="18" t="str">
        <f aca="false">IFERROR(INDEX(종합!C$3:C$501,MATCH(ROW()-2,종합!$AB$3:$AB$501,0))&amp;"","")</f>
        <v/>
      </c>
      <c r="D260" s="18" t="str">
        <f aca="false">IFERROR(INDEX(종합!D$3:D$501,MATCH(ROW()-2,종합!$AB$3:$AB$501,0))&amp;"","")</f>
        <v/>
      </c>
      <c r="E260" s="18" t="str">
        <f aca="false">IFERROR(INDEX(종합!E$3:E$501,MATCH(ROW()-2,종합!$AB$3:$AB$501,0))&amp;"","")</f>
        <v/>
      </c>
      <c r="F260" s="18" t="str">
        <f aca="false">IFERROR(INDEX(종합!F$3:F$501,MATCH(ROW()-2,종합!$AB$3:$AB$501,0))&amp;"","")</f>
        <v/>
      </c>
      <c r="G260" s="18" t="str">
        <f aca="false">IFERROR(INDEX(종합!G$3:G$501,MATCH(ROW()-2,종합!$AB$3:$AB$501,0))&amp;"","")</f>
        <v/>
      </c>
      <c r="H260" s="21" t="str">
        <f aca="false">IFERROR(INDEX(종합!H$3:H$501,MATCH(ROW()-2,종합!$AB$3:$AB$501,0))&amp;"","")</f>
        <v/>
      </c>
      <c r="I260" s="21" t="str">
        <f aca="false">IFERROR(INDEX(종합!I$3:I$501,MATCH(ROW()-2,종합!$AB$3:$AB$501,0))&amp;"","")</f>
        <v/>
      </c>
      <c r="J260" s="21" t="str">
        <f aca="false">IFERROR(INDEX(종합!J$3:J$501,MATCH(ROW()-2,종합!$AB$3:$AB$501,0))&amp;"","")</f>
        <v/>
      </c>
      <c r="K260" s="21" t="str">
        <f aca="false">IFERROR(INDEX(종합!K$3:K$501,MATCH(ROW()-2,종합!$AB$3:$AB$501,0))&amp;"","")</f>
        <v/>
      </c>
      <c r="L260" s="21" t="str">
        <f aca="false">IFERROR(INDEX(종합!L$3:L$501,MATCH(ROW()-2,종합!$AB$3:$AB$501,0))&amp;"","")</f>
        <v/>
      </c>
      <c r="M260" s="21" t="str">
        <f aca="false">IFERROR(INDEX(종합!M$3:M$501,MATCH(ROW()-2,종합!$AB$3:$AB$501,0))&amp;"","")</f>
        <v/>
      </c>
      <c r="N260" s="25" t="str">
        <f aca="false">IFERROR(INDEX(종합!N$3:N$501,MATCH(ROW()-2,종합!$AB$3:$AB$501,0))&amp;"","")</f>
        <v/>
      </c>
      <c r="O260" s="21" t="str">
        <f aca="false">IFERROR(INDEX(종합!O$3:O$501,MATCH(ROW()-2,종합!$AB$3:$AB$501,0))&amp;"","")</f>
        <v/>
      </c>
      <c r="P260" s="21" t="str">
        <f aca="false">IFERROR(INDEX(종합!P$3:P$501,MATCH(ROW()-2,종합!$AB$3:$AB$501,0))&amp;"","")</f>
        <v/>
      </c>
      <c r="Q260" s="21" t="str">
        <f aca="false">IFERROR(INDEX(종합!Q$3:Q$501,MATCH(ROW()-2,종합!$AB$3:$AB$501,0))&amp;"","")</f>
        <v/>
      </c>
      <c r="R260" s="21" t="str">
        <f aca="false">IFERROR(INDEX(종합!R$3:R$501,MATCH(ROW()-2,종합!$AB$3:$AB$501,0))&amp;"","")</f>
        <v/>
      </c>
      <c r="S260" s="21" t="str">
        <f aca="false">IFERROR(INDEX(종합!S$3:S$501,MATCH(ROW()-2,종합!$AB$3:$AB$501,0))&amp;"","")</f>
        <v/>
      </c>
      <c r="T260" s="21" t="str">
        <f aca="false">IFERROR(INDEX(종합!T$3:T$501,MATCH(ROW()-2,종합!$AB$3:$AB$501,0))&amp;"","")</f>
        <v/>
      </c>
      <c r="U260" s="21" t="str">
        <f aca="false">IFERROR(INDEX(종합!U$3:U$501,MATCH(ROW()-2,종합!$AB$3:$AB$501,0))&amp;"","")</f>
        <v/>
      </c>
      <c r="V260" s="21" t="str">
        <f aca="false">IFERROR(INDEX(종합!V$3:V$501,MATCH(ROW()-2,종합!$AB$3:$AB$501,0))&amp;"","")</f>
        <v/>
      </c>
      <c r="W260" s="21" t="str">
        <f aca="false">IFERROR(INDEX(종합!W$3:W$501,MATCH(ROW()-2,종합!$AB$3:$AB$501,0))&amp;"","")</f>
        <v/>
      </c>
      <c r="X260" s="21" t="str">
        <f aca="false">IFERROR(INDEX(종합!X$3:X$501,MATCH(ROW()-2,종합!$AB$3:$AB$501,0))&amp;"","")</f>
        <v/>
      </c>
      <c r="Y260" s="21" t="str">
        <f aca="false">IFERROR(INDEX(종합!Y$3:Y$501,MATCH(ROW()-2,종합!$AB$3:$AB$501,0))&amp;"","")</f>
        <v/>
      </c>
      <c r="Z260" s="21" t="str">
        <f aca="false">IFERROR(INDEX(종합!Z$3:Z$501,MATCH(ROW()-2,종합!$AB$3:$AB$501,0))&amp;"","")</f>
        <v/>
      </c>
    </row>
    <row r="261" customFormat="false" ht="16.5" hidden="false" customHeight="true" outlineLevel="0" collapsed="false">
      <c r="A261" s="18" t="str">
        <f aca="false">IF(B261="","",ROW()-2)</f>
        <v/>
      </c>
      <c r="B261" s="18" t="str">
        <f aca="false">IFERROR(INDEX(종합!B$3:B$501,MATCH(ROW()-2,종합!$AB$3:$AB$501,0))&amp;"","")</f>
        <v/>
      </c>
      <c r="C261" s="18" t="str">
        <f aca="false">IFERROR(INDEX(종합!C$3:C$501,MATCH(ROW()-2,종합!$AB$3:$AB$501,0))&amp;"","")</f>
        <v/>
      </c>
      <c r="D261" s="18" t="str">
        <f aca="false">IFERROR(INDEX(종합!D$3:D$501,MATCH(ROW()-2,종합!$AB$3:$AB$501,0))&amp;"","")</f>
        <v/>
      </c>
      <c r="E261" s="18" t="str">
        <f aca="false">IFERROR(INDEX(종합!E$3:E$501,MATCH(ROW()-2,종합!$AB$3:$AB$501,0))&amp;"","")</f>
        <v/>
      </c>
      <c r="F261" s="18" t="str">
        <f aca="false">IFERROR(INDEX(종합!F$3:F$501,MATCH(ROW()-2,종합!$AB$3:$AB$501,0))&amp;"","")</f>
        <v/>
      </c>
      <c r="G261" s="18" t="str">
        <f aca="false">IFERROR(INDEX(종합!G$3:G$501,MATCH(ROW()-2,종합!$AB$3:$AB$501,0))&amp;"","")</f>
        <v/>
      </c>
      <c r="H261" s="21" t="str">
        <f aca="false">IFERROR(INDEX(종합!H$3:H$501,MATCH(ROW()-2,종합!$AB$3:$AB$501,0))&amp;"","")</f>
        <v/>
      </c>
      <c r="I261" s="21" t="str">
        <f aca="false">IFERROR(INDEX(종합!I$3:I$501,MATCH(ROW()-2,종합!$AB$3:$AB$501,0))&amp;"","")</f>
        <v/>
      </c>
      <c r="J261" s="21" t="str">
        <f aca="false">IFERROR(INDEX(종합!J$3:J$501,MATCH(ROW()-2,종합!$AB$3:$AB$501,0))&amp;"","")</f>
        <v/>
      </c>
      <c r="K261" s="21" t="str">
        <f aca="false">IFERROR(INDEX(종합!K$3:K$501,MATCH(ROW()-2,종합!$AB$3:$AB$501,0))&amp;"","")</f>
        <v/>
      </c>
      <c r="L261" s="21" t="str">
        <f aca="false">IFERROR(INDEX(종합!L$3:L$501,MATCH(ROW()-2,종합!$AB$3:$AB$501,0))&amp;"","")</f>
        <v/>
      </c>
      <c r="M261" s="21" t="str">
        <f aca="false">IFERROR(INDEX(종합!M$3:M$501,MATCH(ROW()-2,종합!$AB$3:$AB$501,0))&amp;"","")</f>
        <v/>
      </c>
      <c r="N261" s="25" t="str">
        <f aca="false">IFERROR(INDEX(종합!N$3:N$501,MATCH(ROW()-2,종합!$AB$3:$AB$501,0))&amp;"","")</f>
        <v/>
      </c>
      <c r="O261" s="21" t="str">
        <f aca="false">IFERROR(INDEX(종합!O$3:O$501,MATCH(ROW()-2,종합!$AB$3:$AB$501,0))&amp;"","")</f>
        <v/>
      </c>
      <c r="P261" s="21" t="str">
        <f aca="false">IFERROR(INDEX(종합!P$3:P$501,MATCH(ROW()-2,종합!$AB$3:$AB$501,0))&amp;"","")</f>
        <v/>
      </c>
      <c r="Q261" s="21" t="str">
        <f aca="false">IFERROR(INDEX(종합!Q$3:Q$501,MATCH(ROW()-2,종합!$AB$3:$AB$501,0))&amp;"","")</f>
        <v/>
      </c>
      <c r="R261" s="21" t="str">
        <f aca="false">IFERROR(INDEX(종합!R$3:R$501,MATCH(ROW()-2,종합!$AB$3:$AB$501,0))&amp;"","")</f>
        <v/>
      </c>
      <c r="S261" s="21" t="str">
        <f aca="false">IFERROR(INDEX(종합!S$3:S$501,MATCH(ROW()-2,종합!$AB$3:$AB$501,0))&amp;"","")</f>
        <v/>
      </c>
      <c r="T261" s="21" t="str">
        <f aca="false">IFERROR(INDEX(종합!T$3:T$501,MATCH(ROW()-2,종합!$AB$3:$AB$501,0))&amp;"","")</f>
        <v/>
      </c>
      <c r="U261" s="21" t="str">
        <f aca="false">IFERROR(INDEX(종합!U$3:U$501,MATCH(ROW()-2,종합!$AB$3:$AB$501,0))&amp;"","")</f>
        <v/>
      </c>
      <c r="V261" s="21" t="str">
        <f aca="false">IFERROR(INDEX(종합!V$3:V$501,MATCH(ROW()-2,종합!$AB$3:$AB$501,0))&amp;"","")</f>
        <v/>
      </c>
      <c r="W261" s="21" t="str">
        <f aca="false">IFERROR(INDEX(종합!W$3:W$501,MATCH(ROW()-2,종합!$AB$3:$AB$501,0))&amp;"","")</f>
        <v/>
      </c>
      <c r="X261" s="21" t="str">
        <f aca="false">IFERROR(INDEX(종합!X$3:X$501,MATCH(ROW()-2,종합!$AB$3:$AB$501,0))&amp;"","")</f>
        <v/>
      </c>
      <c r="Y261" s="21" t="str">
        <f aca="false">IFERROR(INDEX(종합!Y$3:Y$501,MATCH(ROW()-2,종합!$AB$3:$AB$501,0))&amp;"","")</f>
        <v/>
      </c>
      <c r="Z261" s="21" t="str">
        <f aca="false">IFERROR(INDEX(종합!Z$3:Z$501,MATCH(ROW()-2,종합!$AB$3:$AB$501,0))&amp;"","")</f>
        <v/>
      </c>
    </row>
    <row r="262" customFormat="false" ht="16.5" hidden="false" customHeight="true" outlineLevel="0" collapsed="false">
      <c r="A262" s="18" t="str">
        <f aca="false">IF(B262="","",ROW()-2)</f>
        <v/>
      </c>
      <c r="B262" s="18" t="str">
        <f aca="false">IFERROR(INDEX(종합!B$3:B$501,MATCH(ROW()-2,종합!$AB$3:$AB$501,0))&amp;"","")</f>
        <v/>
      </c>
      <c r="C262" s="18" t="str">
        <f aca="false">IFERROR(INDEX(종합!C$3:C$501,MATCH(ROW()-2,종합!$AB$3:$AB$501,0))&amp;"","")</f>
        <v/>
      </c>
      <c r="D262" s="18" t="str">
        <f aca="false">IFERROR(INDEX(종합!D$3:D$501,MATCH(ROW()-2,종합!$AB$3:$AB$501,0))&amp;"","")</f>
        <v/>
      </c>
      <c r="E262" s="18" t="str">
        <f aca="false">IFERROR(INDEX(종합!E$3:E$501,MATCH(ROW()-2,종합!$AB$3:$AB$501,0))&amp;"","")</f>
        <v/>
      </c>
      <c r="F262" s="18" t="str">
        <f aca="false">IFERROR(INDEX(종합!F$3:F$501,MATCH(ROW()-2,종합!$AB$3:$AB$501,0))&amp;"","")</f>
        <v/>
      </c>
      <c r="G262" s="18" t="str">
        <f aca="false">IFERROR(INDEX(종합!G$3:G$501,MATCH(ROW()-2,종합!$AB$3:$AB$501,0))&amp;"","")</f>
        <v/>
      </c>
      <c r="H262" s="21" t="str">
        <f aca="false">IFERROR(INDEX(종합!H$3:H$501,MATCH(ROW()-2,종합!$AB$3:$AB$501,0))&amp;"","")</f>
        <v/>
      </c>
      <c r="I262" s="21" t="str">
        <f aca="false">IFERROR(INDEX(종합!I$3:I$501,MATCH(ROW()-2,종합!$AB$3:$AB$501,0))&amp;"","")</f>
        <v/>
      </c>
      <c r="J262" s="21" t="str">
        <f aca="false">IFERROR(INDEX(종합!J$3:J$501,MATCH(ROW()-2,종합!$AB$3:$AB$501,0))&amp;"","")</f>
        <v/>
      </c>
      <c r="K262" s="21" t="str">
        <f aca="false">IFERROR(INDEX(종합!K$3:K$501,MATCH(ROW()-2,종합!$AB$3:$AB$501,0))&amp;"","")</f>
        <v/>
      </c>
      <c r="L262" s="21" t="str">
        <f aca="false">IFERROR(INDEX(종합!L$3:L$501,MATCH(ROW()-2,종합!$AB$3:$AB$501,0))&amp;"","")</f>
        <v/>
      </c>
      <c r="M262" s="21" t="str">
        <f aca="false">IFERROR(INDEX(종합!M$3:M$501,MATCH(ROW()-2,종합!$AB$3:$AB$501,0))&amp;"","")</f>
        <v/>
      </c>
      <c r="N262" s="25" t="str">
        <f aca="false">IFERROR(INDEX(종합!N$3:N$501,MATCH(ROW()-2,종합!$AB$3:$AB$501,0))&amp;"","")</f>
        <v/>
      </c>
      <c r="O262" s="21" t="str">
        <f aca="false">IFERROR(INDEX(종합!O$3:O$501,MATCH(ROW()-2,종합!$AB$3:$AB$501,0))&amp;"","")</f>
        <v/>
      </c>
      <c r="P262" s="21" t="str">
        <f aca="false">IFERROR(INDEX(종합!P$3:P$501,MATCH(ROW()-2,종합!$AB$3:$AB$501,0))&amp;"","")</f>
        <v/>
      </c>
      <c r="Q262" s="21" t="str">
        <f aca="false">IFERROR(INDEX(종합!Q$3:Q$501,MATCH(ROW()-2,종합!$AB$3:$AB$501,0))&amp;"","")</f>
        <v/>
      </c>
      <c r="R262" s="21" t="str">
        <f aca="false">IFERROR(INDEX(종합!R$3:R$501,MATCH(ROW()-2,종합!$AB$3:$AB$501,0))&amp;"","")</f>
        <v/>
      </c>
      <c r="S262" s="21" t="str">
        <f aca="false">IFERROR(INDEX(종합!S$3:S$501,MATCH(ROW()-2,종합!$AB$3:$AB$501,0))&amp;"","")</f>
        <v/>
      </c>
      <c r="T262" s="21" t="str">
        <f aca="false">IFERROR(INDEX(종합!T$3:T$501,MATCH(ROW()-2,종합!$AB$3:$AB$501,0))&amp;"","")</f>
        <v/>
      </c>
      <c r="U262" s="21" t="str">
        <f aca="false">IFERROR(INDEX(종합!U$3:U$501,MATCH(ROW()-2,종합!$AB$3:$AB$501,0))&amp;"","")</f>
        <v/>
      </c>
      <c r="V262" s="21" t="str">
        <f aca="false">IFERROR(INDEX(종합!V$3:V$501,MATCH(ROW()-2,종합!$AB$3:$AB$501,0))&amp;"","")</f>
        <v/>
      </c>
      <c r="W262" s="21" t="str">
        <f aca="false">IFERROR(INDEX(종합!W$3:W$501,MATCH(ROW()-2,종합!$AB$3:$AB$501,0))&amp;"","")</f>
        <v/>
      </c>
      <c r="X262" s="21" t="str">
        <f aca="false">IFERROR(INDEX(종합!X$3:X$501,MATCH(ROW()-2,종합!$AB$3:$AB$501,0))&amp;"","")</f>
        <v/>
      </c>
      <c r="Y262" s="21" t="str">
        <f aca="false">IFERROR(INDEX(종합!Y$3:Y$501,MATCH(ROW()-2,종합!$AB$3:$AB$501,0))&amp;"","")</f>
        <v/>
      </c>
      <c r="Z262" s="21" t="str">
        <f aca="false">IFERROR(INDEX(종합!Z$3:Z$501,MATCH(ROW()-2,종합!$AB$3:$AB$501,0))&amp;"","")</f>
        <v/>
      </c>
    </row>
    <row r="263" customFormat="false" ht="16.5" hidden="false" customHeight="true" outlineLevel="0" collapsed="false">
      <c r="A263" s="18" t="str">
        <f aca="false">IF(B263="","",ROW()-2)</f>
        <v/>
      </c>
      <c r="B263" s="18" t="str">
        <f aca="false">IFERROR(INDEX(종합!B$3:B$501,MATCH(ROW()-2,종합!$AB$3:$AB$501,0))&amp;"","")</f>
        <v/>
      </c>
      <c r="C263" s="18" t="str">
        <f aca="false">IFERROR(INDEX(종합!C$3:C$501,MATCH(ROW()-2,종합!$AB$3:$AB$501,0))&amp;"","")</f>
        <v/>
      </c>
      <c r="D263" s="18" t="str">
        <f aca="false">IFERROR(INDEX(종합!D$3:D$501,MATCH(ROW()-2,종합!$AB$3:$AB$501,0))&amp;"","")</f>
        <v/>
      </c>
      <c r="E263" s="18" t="str">
        <f aca="false">IFERROR(INDEX(종합!E$3:E$501,MATCH(ROW()-2,종합!$AB$3:$AB$501,0))&amp;"","")</f>
        <v/>
      </c>
      <c r="F263" s="18" t="str">
        <f aca="false">IFERROR(INDEX(종합!F$3:F$501,MATCH(ROW()-2,종합!$AB$3:$AB$501,0))&amp;"","")</f>
        <v/>
      </c>
      <c r="G263" s="18" t="str">
        <f aca="false">IFERROR(INDEX(종합!G$3:G$501,MATCH(ROW()-2,종합!$AB$3:$AB$501,0))&amp;"","")</f>
        <v/>
      </c>
      <c r="H263" s="21" t="str">
        <f aca="false">IFERROR(INDEX(종합!H$3:H$501,MATCH(ROW()-2,종합!$AB$3:$AB$501,0))&amp;"","")</f>
        <v/>
      </c>
      <c r="I263" s="21" t="str">
        <f aca="false">IFERROR(INDEX(종합!I$3:I$501,MATCH(ROW()-2,종합!$AB$3:$AB$501,0))&amp;"","")</f>
        <v/>
      </c>
      <c r="J263" s="21" t="str">
        <f aca="false">IFERROR(INDEX(종합!J$3:J$501,MATCH(ROW()-2,종합!$AB$3:$AB$501,0))&amp;"","")</f>
        <v/>
      </c>
      <c r="K263" s="21" t="str">
        <f aca="false">IFERROR(INDEX(종합!K$3:K$501,MATCH(ROW()-2,종합!$AB$3:$AB$501,0))&amp;"","")</f>
        <v/>
      </c>
      <c r="L263" s="21" t="str">
        <f aca="false">IFERROR(INDEX(종합!L$3:L$501,MATCH(ROW()-2,종합!$AB$3:$AB$501,0))&amp;"","")</f>
        <v/>
      </c>
      <c r="M263" s="21" t="str">
        <f aca="false">IFERROR(INDEX(종합!M$3:M$501,MATCH(ROW()-2,종합!$AB$3:$AB$501,0))&amp;"","")</f>
        <v/>
      </c>
      <c r="N263" s="25" t="str">
        <f aca="false">IFERROR(INDEX(종합!N$3:N$501,MATCH(ROW()-2,종합!$AB$3:$AB$501,0))&amp;"","")</f>
        <v/>
      </c>
      <c r="O263" s="21" t="str">
        <f aca="false">IFERROR(INDEX(종합!O$3:O$501,MATCH(ROW()-2,종합!$AB$3:$AB$501,0))&amp;"","")</f>
        <v/>
      </c>
      <c r="P263" s="21" t="str">
        <f aca="false">IFERROR(INDEX(종합!P$3:P$501,MATCH(ROW()-2,종합!$AB$3:$AB$501,0))&amp;"","")</f>
        <v/>
      </c>
      <c r="Q263" s="21" t="str">
        <f aca="false">IFERROR(INDEX(종합!Q$3:Q$501,MATCH(ROW()-2,종합!$AB$3:$AB$501,0))&amp;"","")</f>
        <v/>
      </c>
      <c r="R263" s="21" t="str">
        <f aca="false">IFERROR(INDEX(종합!R$3:R$501,MATCH(ROW()-2,종합!$AB$3:$AB$501,0))&amp;"","")</f>
        <v/>
      </c>
      <c r="S263" s="21" t="str">
        <f aca="false">IFERROR(INDEX(종합!S$3:S$501,MATCH(ROW()-2,종합!$AB$3:$AB$501,0))&amp;"","")</f>
        <v/>
      </c>
      <c r="T263" s="21" t="str">
        <f aca="false">IFERROR(INDEX(종합!T$3:T$501,MATCH(ROW()-2,종합!$AB$3:$AB$501,0))&amp;"","")</f>
        <v/>
      </c>
      <c r="U263" s="21" t="str">
        <f aca="false">IFERROR(INDEX(종합!U$3:U$501,MATCH(ROW()-2,종합!$AB$3:$AB$501,0))&amp;"","")</f>
        <v/>
      </c>
      <c r="V263" s="21" t="str">
        <f aca="false">IFERROR(INDEX(종합!V$3:V$501,MATCH(ROW()-2,종합!$AB$3:$AB$501,0))&amp;"","")</f>
        <v/>
      </c>
      <c r="W263" s="21" t="str">
        <f aca="false">IFERROR(INDEX(종합!W$3:W$501,MATCH(ROW()-2,종합!$AB$3:$AB$501,0))&amp;"","")</f>
        <v/>
      </c>
      <c r="X263" s="21" t="str">
        <f aca="false">IFERROR(INDEX(종합!X$3:X$501,MATCH(ROW()-2,종합!$AB$3:$AB$501,0))&amp;"","")</f>
        <v/>
      </c>
      <c r="Y263" s="21" t="str">
        <f aca="false">IFERROR(INDEX(종합!Y$3:Y$501,MATCH(ROW()-2,종합!$AB$3:$AB$501,0))&amp;"","")</f>
        <v/>
      </c>
      <c r="Z263" s="21" t="str">
        <f aca="false">IFERROR(INDEX(종합!Z$3:Z$501,MATCH(ROW()-2,종합!$AB$3:$AB$501,0))&amp;"","")</f>
        <v/>
      </c>
    </row>
    <row r="264" customFormat="false" ht="16.5" hidden="false" customHeight="true" outlineLevel="0" collapsed="false">
      <c r="A264" s="18" t="str">
        <f aca="false">IF(B264="","",ROW()-2)</f>
        <v/>
      </c>
      <c r="B264" s="18" t="str">
        <f aca="false">IFERROR(INDEX(종합!B$3:B$501,MATCH(ROW()-2,종합!$AB$3:$AB$501,0))&amp;"","")</f>
        <v/>
      </c>
      <c r="C264" s="18" t="str">
        <f aca="false">IFERROR(INDEX(종합!C$3:C$501,MATCH(ROW()-2,종합!$AB$3:$AB$501,0))&amp;"","")</f>
        <v/>
      </c>
      <c r="D264" s="18" t="str">
        <f aca="false">IFERROR(INDEX(종합!D$3:D$501,MATCH(ROW()-2,종합!$AB$3:$AB$501,0))&amp;"","")</f>
        <v/>
      </c>
      <c r="E264" s="18" t="str">
        <f aca="false">IFERROR(INDEX(종합!E$3:E$501,MATCH(ROW()-2,종합!$AB$3:$AB$501,0))&amp;"","")</f>
        <v/>
      </c>
      <c r="F264" s="18" t="str">
        <f aca="false">IFERROR(INDEX(종합!F$3:F$501,MATCH(ROW()-2,종합!$AB$3:$AB$501,0))&amp;"","")</f>
        <v/>
      </c>
      <c r="G264" s="18" t="str">
        <f aca="false">IFERROR(INDEX(종합!G$3:G$501,MATCH(ROW()-2,종합!$AB$3:$AB$501,0))&amp;"","")</f>
        <v/>
      </c>
      <c r="H264" s="21" t="str">
        <f aca="false">IFERROR(INDEX(종합!H$3:H$501,MATCH(ROW()-2,종합!$AB$3:$AB$501,0))&amp;"","")</f>
        <v/>
      </c>
      <c r="I264" s="21" t="str">
        <f aca="false">IFERROR(INDEX(종합!I$3:I$501,MATCH(ROW()-2,종합!$AB$3:$AB$501,0))&amp;"","")</f>
        <v/>
      </c>
      <c r="J264" s="21" t="str">
        <f aca="false">IFERROR(INDEX(종합!J$3:J$501,MATCH(ROW()-2,종합!$AB$3:$AB$501,0))&amp;"","")</f>
        <v/>
      </c>
      <c r="K264" s="21" t="str">
        <f aca="false">IFERROR(INDEX(종합!K$3:K$501,MATCH(ROW()-2,종합!$AB$3:$AB$501,0))&amp;"","")</f>
        <v/>
      </c>
      <c r="L264" s="21" t="str">
        <f aca="false">IFERROR(INDEX(종합!L$3:L$501,MATCH(ROW()-2,종합!$AB$3:$AB$501,0))&amp;"","")</f>
        <v/>
      </c>
      <c r="M264" s="21" t="str">
        <f aca="false">IFERROR(INDEX(종합!M$3:M$501,MATCH(ROW()-2,종합!$AB$3:$AB$501,0))&amp;"","")</f>
        <v/>
      </c>
      <c r="N264" s="25" t="str">
        <f aca="false">IFERROR(INDEX(종합!N$3:N$501,MATCH(ROW()-2,종합!$AB$3:$AB$501,0))&amp;"","")</f>
        <v/>
      </c>
      <c r="O264" s="21" t="str">
        <f aca="false">IFERROR(INDEX(종합!O$3:O$501,MATCH(ROW()-2,종합!$AB$3:$AB$501,0))&amp;"","")</f>
        <v/>
      </c>
      <c r="P264" s="21" t="str">
        <f aca="false">IFERROR(INDEX(종합!P$3:P$501,MATCH(ROW()-2,종합!$AB$3:$AB$501,0))&amp;"","")</f>
        <v/>
      </c>
      <c r="Q264" s="21" t="str">
        <f aca="false">IFERROR(INDEX(종합!Q$3:Q$501,MATCH(ROW()-2,종합!$AB$3:$AB$501,0))&amp;"","")</f>
        <v/>
      </c>
      <c r="R264" s="21" t="str">
        <f aca="false">IFERROR(INDEX(종합!R$3:R$501,MATCH(ROW()-2,종합!$AB$3:$AB$501,0))&amp;"","")</f>
        <v/>
      </c>
      <c r="S264" s="21" t="str">
        <f aca="false">IFERROR(INDEX(종합!S$3:S$501,MATCH(ROW()-2,종합!$AB$3:$AB$501,0))&amp;"","")</f>
        <v/>
      </c>
      <c r="T264" s="21" t="str">
        <f aca="false">IFERROR(INDEX(종합!T$3:T$501,MATCH(ROW()-2,종합!$AB$3:$AB$501,0))&amp;"","")</f>
        <v/>
      </c>
      <c r="U264" s="21" t="str">
        <f aca="false">IFERROR(INDEX(종합!U$3:U$501,MATCH(ROW()-2,종합!$AB$3:$AB$501,0))&amp;"","")</f>
        <v/>
      </c>
      <c r="V264" s="21" t="str">
        <f aca="false">IFERROR(INDEX(종합!V$3:V$501,MATCH(ROW()-2,종합!$AB$3:$AB$501,0))&amp;"","")</f>
        <v/>
      </c>
      <c r="W264" s="21" t="str">
        <f aca="false">IFERROR(INDEX(종합!W$3:W$501,MATCH(ROW()-2,종합!$AB$3:$AB$501,0))&amp;"","")</f>
        <v/>
      </c>
      <c r="X264" s="21" t="str">
        <f aca="false">IFERROR(INDEX(종합!X$3:X$501,MATCH(ROW()-2,종합!$AB$3:$AB$501,0))&amp;"","")</f>
        <v/>
      </c>
      <c r="Y264" s="21" t="str">
        <f aca="false">IFERROR(INDEX(종합!Y$3:Y$501,MATCH(ROW()-2,종합!$AB$3:$AB$501,0))&amp;"","")</f>
        <v/>
      </c>
      <c r="Z264" s="21" t="str">
        <f aca="false">IFERROR(INDEX(종합!Z$3:Z$501,MATCH(ROW()-2,종합!$AB$3:$AB$501,0))&amp;"","")</f>
        <v/>
      </c>
    </row>
    <row r="265" customFormat="false" ht="16.5" hidden="false" customHeight="true" outlineLevel="0" collapsed="false">
      <c r="A265" s="18" t="str">
        <f aca="false">IF(B265="","",ROW()-2)</f>
        <v/>
      </c>
      <c r="B265" s="18" t="str">
        <f aca="false">IFERROR(INDEX(종합!B$3:B$501,MATCH(ROW()-2,종합!$AB$3:$AB$501,0))&amp;"","")</f>
        <v/>
      </c>
      <c r="C265" s="18" t="str">
        <f aca="false">IFERROR(INDEX(종합!C$3:C$501,MATCH(ROW()-2,종합!$AB$3:$AB$501,0))&amp;"","")</f>
        <v/>
      </c>
      <c r="D265" s="18" t="str">
        <f aca="false">IFERROR(INDEX(종합!D$3:D$501,MATCH(ROW()-2,종합!$AB$3:$AB$501,0))&amp;"","")</f>
        <v/>
      </c>
      <c r="E265" s="18" t="str">
        <f aca="false">IFERROR(INDEX(종합!E$3:E$501,MATCH(ROW()-2,종합!$AB$3:$AB$501,0))&amp;"","")</f>
        <v/>
      </c>
      <c r="F265" s="18" t="str">
        <f aca="false">IFERROR(INDEX(종합!F$3:F$501,MATCH(ROW()-2,종합!$AB$3:$AB$501,0))&amp;"","")</f>
        <v/>
      </c>
      <c r="G265" s="18" t="str">
        <f aca="false">IFERROR(INDEX(종합!G$3:G$501,MATCH(ROW()-2,종합!$AB$3:$AB$501,0))&amp;"","")</f>
        <v/>
      </c>
      <c r="H265" s="21" t="str">
        <f aca="false">IFERROR(INDEX(종합!H$3:H$501,MATCH(ROW()-2,종합!$AB$3:$AB$501,0))&amp;"","")</f>
        <v/>
      </c>
      <c r="I265" s="21" t="str">
        <f aca="false">IFERROR(INDEX(종합!I$3:I$501,MATCH(ROW()-2,종합!$AB$3:$AB$501,0))&amp;"","")</f>
        <v/>
      </c>
      <c r="J265" s="21" t="str">
        <f aca="false">IFERROR(INDEX(종합!J$3:J$501,MATCH(ROW()-2,종합!$AB$3:$AB$501,0))&amp;"","")</f>
        <v/>
      </c>
      <c r="K265" s="21" t="str">
        <f aca="false">IFERROR(INDEX(종합!K$3:K$501,MATCH(ROW()-2,종합!$AB$3:$AB$501,0))&amp;"","")</f>
        <v/>
      </c>
      <c r="L265" s="21" t="str">
        <f aca="false">IFERROR(INDEX(종합!L$3:L$501,MATCH(ROW()-2,종합!$AB$3:$AB$501,0))&amp;"","")</f>
        <v/>
      </c>
      <c r="M265" s="21" t="str">
        <f aca="false">IFERROR(INDEX(종합!M$3:M$501,MATCH(ROW()-2,종합!$AB$3:$AB$501,0))&amp;"","")</f>
        <v/>
      </c>
      <c r="N265" s="25" t="str">
        <f aca="false">IFERROR(INDEX(종합!N$3:N$501,MATCH(ROW()-2,종합!$AB$3:$AB$501,0))&amp;"","")</f>
        <v/>
      </c>
      <c r="O265" s="21" t="str">
        <f aca="false">IFERROR(INDEX(종합!O$3:O$501,MATCH(ROW()-2,종합!$AB$3:$AB$501,0))&amp;"","")</f>
        <v/>
      </c>
      <c r="P265" s="21" t="str">
        <f aca="false">IFERROR(INDEX(종합!P$3:P$501,MATCH(ROW()-2,종합!$AB$3:$AB$501,0))&amp;"","")</f>
        <v/>
      </c>
      <c r="Q265" s="21" t="str">
        <f aca="false">IFERROR(INDEX(종합!Q$3:Q$501,MATCH(ROW()-2,종합!$AB$3:$AB$501,0))&amp;"","")</f>
        <v/>
      </c>
      <c r="R265" s="21" t="str">
        <f aca="false">IFERROR(INDEX(종합!R$3:R$501,MATCH(ROW()-2,종합!$AB$3:$AB$501,0))&amp;"","")</f>
        <v/>
      </c>
      <c r="S265" s="21" t="str">
        <f aca="false">IFERROR(INDEX(종합!S$3:S$501,MATCH(ROW()-2,종합!$AB$3:$AB$501,0))&amp;"","")</f>
        <v/>
      </c>
      <c r="T265" s="21" t="str">
        <f aca="false">IFERROR(INDEX(종합!T$3:T$501,MATCH(ROW()-2,종합!$AB$3:$AB$501,0))&amp;"","")</f>
        <v/>
      </c>
      <c r="U265" s="21" t="str">
        <f aca="false">IFERROR(INDEX(종합!U$3:U$501,MATCH(ROW()-2,종합!$AB$3:$AB$501,0))&amp;"","")</f>
        <v/>
      </c>
      <c r="V265" s="21" t="str">
        <f aca="false">IFERROR(INDEX(종합!V$3:V$501,MATCH(ROW()-2,종합!$AB$3:$AB$501,0))&amp;"","")</f>
        <v/>
      </c>
      <c r="W265" s="21" t="str">
        <f aca="false">IFERROR(INDEX(종합!W$3:W$501,MATCH(ROW()-2,종합!$AB$3:$AB$501,0))&amp;"","")</f>
        <v/>
      </c>
      <c r="X265" s="21" t="str">
        <f aca="false">IFERROR(INDEX(종합!X$3:X$501,MATCH(ROW()-2,종합!$AB$3:$AB$501,0))&amp;"","")</f>
        <v/>
      </c>
      <c r="Y265" s="21" t="str">
        <f aca="false">IFERROR(INDEX(종합!Y$3:Y$501,MATCH(ROW()-2,종합!$AB$3:$AB$501,0))&amp;"","")</f>
        <v/>
      </c>
      <c r="Z265" s="21" t="str">
        <f aca="false">IFERROR(INDEX(종합!Z$3:Z$501,MATCH(ROW()-2,종합!$AB$3:$AB$501,0))&amp;"","")</f>
        <v/>
      </c>
    </row>
    <row r="266" customFormat="false" ht="16.5" hidden="false" customHeight="true" outlineLevel="0" collapsed="false">
      <c r="A266" s="18" t="str">
        <f aca="false">IF(B266="","",ROW()-2)</f>
        <v/>
      </c>
      <c r="B266" s="18" t="str">
        <f aca="false">IFERROR(INDEX(종합!B$3:B$501,MATCH(ROW()-2,종합!$AB$3:$AB$501,0))&amp;"","")</f>
        <v/>
      </c>
      <c r="C266" s="18" t="str">
        <f aca="false">IFERROR(INDEX(종합!C$3:C$501,MATCH(ROW()-2,종합!$AB$3:$AB$501,0))&amp;"","")</f>
        <v/>
      </c>
      <c r="D266" s="18" t="str">
        <f aca="false">IFERROR(INDEX(종합!D$3:D$501,MATCH(ROW()-2,종합!$AB$3:$AB$501,0))&amp;"","")</f>
        <v/>
      </c>
      <c r="E266" s="18" t="str">
        <f aca="false">IFERROR(INDEX(종합!E$3:E$501,MATCH(ROW()-2,종합!$AB$3:$AB$501,0))&amp;"","")</f>
        <v/>
      </c>
      <c r="F266" s="18" t="str">
        <f aca="false">IFERROR(INDEX(종합!F$3:F$501,MATCH(ROW()-2,종합!$AB$3:$AB$501,0))&amp;"","")</f>
        <v/>
      </c>
      <c r="G266" s="18" t="str">
        <f aca="false">IFERROR(INDEX(종합!G$3:G$501,MATCH(ROW()-2,종합!$AB$3:$AB$501,0))&amp;"","")</f>
        <v/>
      </c>
      <c r="H266" s="21" t="str">
        <f aca="false">IFERROR(INDEX(종합!H$3:H$501,MATCH(ROW()-2,종합!$AB$3:$AB$501,0))&amp;"","")</f>
        <v/>
      </c>
      <c r="I266" s="21" t="str">
        <f aca="false">IFERROR(INDEX(종합!I$3:I$501,MATCH(ROW()-2,종합!$AB$3:$AB$501,0))&amp;"","")</f>
        <v/>
      </c>
      <c r="J266" s="21" t="str">
        <f aca="false">IFERROR(INDEX(종합!J$3:J$501,MATCH(ROW()-2,종합!$AB$3:$AB$501,0))&amp;"","")</f>
        <v/>
      </c>
      <c r="K266" s="21" t="str">
        <f aca="false">IFERROR(INDEX(종합!K$3:K$501,MATCH(ROW()-2,종합!$AB$3:$AB$501,0))&amp;"","")</f>
        <v/>
      </c>
      <c r="L266" s="21" t="str">
        <f aca="false">IFERROR(INDEX(종합!L$3:L$501,MATCH(ROW()-2,종합!$AB$3:$AB$501,0))&amp;"","")</f>
        <v/>
      </c>
      <c r="M266" s="21" t="str">
        <f aca="false">IFERROR(INDEX(종합!M$3:M$501,MATCH(ROW()-2,종합!$AB$3:$AB$501,0))&amp;"","")</f>
        <v/>
      </c>
      <c r="N266" s="25" t="str">
        <f aca="false">IFERROR(INDEX(종합!N$3:N$501,MATCH(ROW()-2,종합!$AB$3:$AB$501,0))&amp;"","")</f>
        <v/>
      </c>
      <c r="O266" s="21" t="str">
        <f aca="false">IFERROR(INDEX(종합!O$3:O$501,MATCH(ROW()-2,종합!$AB$3:$AB$501,0))&amp;"","")</f>
        <v/>
      </c>
      <c r="P266" s="21" t="str">
        <f aca="false">IFERROR(INDEX(종합!P$3:P$501,MATCH(ROW()-2,종합!$AB$3:$AB$501,0))&amp;"","")</f>
        <v/>
      </c>
      <c r="Q266" s="21" t="str">
        <f aca="false">IFERROR(INDEX(종합!Q$3:Q$501,MATCH(ROW()-2,종합!$AB$3:$AB$501,0))&amp;"","")</f>
        <v/>
      </c>
      <c r="R266" s="21" t="str">
        <f aca="false">IFERROR(INDEX(종합!R$3:R$501,MATCH(ROW()-2,종합!$AB$3:$AB$501,0))&amp;"","")</f>
        <v/>
      </c>
      <c r="S266" s="21" t="str">
        <f aca="false">IFERROR(INDEX(종합!S$3:S$501,MATCH(ROW()-2,종합!$AB$3:$AB$501,0))&amp;"","")</f>
        <v/>
      </c>
      <c r="T266" s="21" t="str">
        <f aca="false">IFERROR(INDEX(종합!T$3:T$501,MATCH(ROW()-2,종합!$AB$3:$AB$501,0))&amp;"","")</f>
        <v/>
      </c>
      <c r="U266" s="21" t="str">
        <f aca="false">IFERROR(INDEX(종합!U$3:U$501,MATCH(ROW()-2,종합!$AB$3:$AB$501,0))&amp;"","")</f>
        <v/>
      </c>
      <c r="V266" s="21" t="str">
        <f aca="false">IFERROR(INDEX(종합!V$3:V$501,MATCH(ROW()-2,종합!$AB$3:$AB$501,0))&amp;"","")</f>
        <v/>
      </c>
      <c r="W266" s="21" t="str">
        <f aca="false">IFERROR(INDEX(종합!W$3:W$501,MATCH(ROW()-2,종합!$AB$3:$AB$501,0))&amp;"","")</f>
        <v/>
      </c>
      <c r="X266" s="21" t="str">
        <f aca="false">IFERROR(INDEX(종합!X$3:X$501,MATCH(ROW()-2,종합!$AB$3:$AB$501,0))&amp;"","")</f>
        <v/>
      </c>
      <c r="Y266" s="21" t="str">
        <f aca="false">IFERROR(INDEX(종합!Y$3:Y$501,MATCH(ROW()-2,종합!$AB$3:$AB$501,0))&amp;"","")</f>
        <v/>
      </c>
      <c r="Z266" s="21" t="str">
        <f aca="false">IFERROR(INDEX(종합!Z$3:Z$501,MATCH(ROW()-2,종합!$AB$3:$AB$501,0))&amp;"","")</f>
        <v/>
      </c>
    </row>
    <row r="267" customFormat="false" ht="16.5" hidden="false" customHeight="true" outlineLevel="0" collapsed="false">
      <c r="A267" s="18" t="str">
        <f aca="false">IF(B267="","",ROW()-2)</f>
        <v/>
      </c>
      <c r="B267" s="18" t="str">
        <f aca="false">IFERROR(INDEX(종합!B$3:B$501,MATCH(ROW()-2,종합!$AB$3:$AB$501,0))&amp;"","")</f>
        <v/>
      </c>
      <c r="C267" s="18" t="str">
        <f aca="false">IFERROR(INDEX(종합!C$3:C$501,MATCH(ROW()-2,종합!$AB$3:$AB$501,0))&amp;"","")</f>
        <v/>
      </c>
      <c r="D267" s="18" t="str">
        <f aca="false">IFERROR(INDEX(종합!D$3:D$501,MATCH(ROW()-2,종합!$AB$3:$AB$501,0))&amp;"","")</f>
        <v/>
      </c>
      <c r="E267" s="18" t="str">
        <f aca="false">IFERROR(INDEX(종합!E$3:E$501,MATCH(ROW()-2,종합!$AB$3:$AB$501,0))&amp;"","")</f>
        <v/>
      </c>
      <c r="F267" s="18" t="str">
        <f aca="false">IFERROR(INDEX(종합!F$3:F$501,MATCH(ROW()-2,종합!$AB$3:$AB$501,0))&amp;"","")</f>
        <v/>
      </c>
      <c r="G267" s="18" t="str">
        <f aca="false">IFERROR(INDEX(종합!G$3:G$501,MATCH(ROW()-2,종합!$AB$3:$AB$501,0))&amp;"","")</f>
        <v/>
      </c>
      <c r="H267" s="21" t="str">
        <f aca="false">IFERROR(INDEX(종합!H$3:H$501,MATCH(ROW()-2,종합!$AB$3:$AB$501,0))&amp;"","")</f>
        <v/>
      </c>
      <c r="I267" s="21" t="str">
        <f aca="false">IFERROR(INDEX(종합!I$3:I$501,MATCH(ROW()-2,종합!$AB$3:$AB$501,0))&amp;"","")</f>
        <v/>
      </c>
      <c r="J267" s="21" t="str">
        <f aca="false">IFERROR(INDEX(종합!J$3:J$501,MATCH(ROW()-2,종합!$AB$3:$AB$501,0))&amp;"","")</f>
        <v/>
      </c>
      <c r="K267" s="21" t="str">
        <f aca="false">IFERROR(INDEX(종합!K$3:K$501,MATCH(ROW()-2,종합!$AB$3:$AB$501,0))&amp;"","")</f>
        <v/>
      </c>
      <c r="L267" s="21" t="str">
        <f aca="false">IFERROR(INDEX(종합!L$3:L$501,MATCH(ROW()-2,종합!$AB$3:$AB$501,0))&amp;"","")</f>
        <v/>
      </c>
      <c r="M267" s="21" t="str">
        <f aca="false">IFERROR(INDEX(종합!M$3:M$501,MATCH(ROW()-2,종합!$AB$3:$AB$501,0))&amp;"","")</f>
        <v/>
      </c>
      <c r="N267" s="25" t="str">
        <f aca="false">IFERROR(INDEX(종합!N$3:N$501,MATCH(ROW()-2,종합!$AB$3:$AB$501,0))&amp;"","")</f>
        <v/>
      </c>
      <c r="O267" s="21" t="str">
        <f aca="false">IFERROR(INDEX(종합!O$3:O$501,MATCH(ROW()-2,종합!$AB$3:$AB$501,0))&amp;"","")</f>
        <v/>
      </c>
      <c r="P267" s="21" t="str">
        <f aca="false">IFERROR(INDEX(종합!P$3:P$501,MATCH(ROW()-2,종합!$AB$3:$AB$501,0))&amp;"","")</f>
        <v/>
      </c>
      <c r="Q267" s="21" t="str">
        <f aca="false">IFERROR(INDEX(종합!Q$3:Q$501,MATCH(ROW()-2,종합!$AB$3:$AB$501,0))&amp;"","")</f>
        <v/>
      </c>
      <c r="R267" s="21" t="str">
        <f aca="false">IFERROR(INDEX(종합!R$3:R$501,MATCH(ROW()-2,종합!$AB$3:$AB$501,0))&amp;"","")</f>
        <v/>
      </c>
      <c r="S267" s="21" t="str">
        <f aca="false">IFERROR(INDEX(종합!S$3:S$501,MATCH(ROW()-2,종합!$AB$3:$AB$501,0))&amp;"","")</f>
        <v/>
      </c>
      <c r="T267" s="21" t="str">
        <f aca="false">IFERROR(INDEX(종합!T$3:T$501,MATCH(ROW()-2,종합!$AB$3:$AB$501,0))&amp;"","")</f>
        <v/>
      </c>
      <c r="U267" s="21" t="str">
        <f aca="false">IFERROR(INDEX(종합!U$3:U$501,MATCH(ROW()-2,종합!$AB$3:$AB$501,0))&amp;"","")</f>
        <v/>
      </c>
      <c r="V267" s="21" t="str">
        <f aca="false">IFERROR(INDEX(종합!V$3:V$501,MATCH(ROW()-2,종합!$AB$3:$AB$501,0))&amp;"","")</f>
        <v/>
      </c>
      <c r="W267" s="21" t="str">
        <f aca="false">IFERROR(INDEX(종합!W$3:W$501,MATCH(ROW()-2,종합!$AB$3:$AB$501,0))&amp;"","")</f>
        <v/>
      </c>
      <c r="X267" s="21" t="str">
        <f aca="false">IFERROR(INDEX(종합!X$3:X$501,MATCH(ROW()-2,종합!$AB$3:$AB$501,0))&amp;"","")</f>
        <v/>
      </c>
      <c r="Y267" s="21" t="str">
        <f aca="false">IFERROR(INDEX(종합!Y$3:Y$501,MATCH(ROW()-2,종합!$AB$3:$AB$501,0))&amp;"","")</f>
        <v/>
      </c>
      <c r="Z267" s="21" t="str">
        <f aca="false">IFERROR(INDEX(종합!Z$3:Z$501,MATCH(ROW()-2,종합!$AB$3:$AB$501,0))&amp;"","")</f>
        <v/>
      </c>
    </row>
    <row r="268" customFormat="false" ht="16.5" hidden="false" customHeight="true" outlineLevel="0" collapsed="false">
      <c r="A268" s="18" t="str">
        <f aca="false">IF(B268="","",ROW()-2)</f>
        <v/>
      </c>
      <c r="B268" s="18" t="str">
        <f aca="false">IFERROR(INDEX(종합!B$3:B$501,MATCH(ROW()-2,종합!$AB$3:$AB$501,0))&amp;"","")</f>
        <v/>
      </c>
      <c r="C268" s="18" t="str">
        <f aca="false">IFERROR(INDEX(종합!C$3:C$501,MATCH(ROW()-2,종합!$AB$3:$AB$501,0))&amp;"","")</f>
        <v/>
      </c>
      <c r="D268" s="18" t="str">
        <f aca="false">IFERROR(INDEX(종합!D$3:D$501,MATCH(ROW()-2,종합!$AB$3:$AB$501,0))&amp;"","")</f>
        <v/>
      </c>
      <c r="E268" s="18" t="str">
        <f aca="false">IFERROR(INDEX(종합!E$3:E$501,MATCH(ROW()-2,종합!$AB$3:$AB$501,0))&amp;"","")</f>
        <v/>
      </c>
      <c r="F268" s="18" t="str">
        <f aca="false">IFERROR(INDEX(종합!F$3:F$501,MATCH(ROW()-2,종합!$AB$3:$AB$501,0))&amp;"","")</f>
        <v/>
      </c>
      <c r="G268" s="18" t="str">
        <f aca="false">IFERROR(INDEX(종합!G$3:G$501,MATCH(ROW()-2,종합!$AB$3:$AB$501,0))&amp;"","")</f>
        <v/>
      </c>
      <c r="H268" s="21" t="str">
        <f aca="false">IFERROR(INDEX(종합!H$3:H$501,MATCH(ROW()-2,종합!$AB$3:$AB$501,0))&amp;"","")</f>
        <v/>
      </c>
      <c r="I268" s="21" t="str">
        <f aca="false">IFERROR(INDEX(종합!I$3:I$501,MATCH(ROW()-2,종합!$AB$3:$AB$501,0))&amp;"","")</f>
        <v/>
      </c>
      <c r="J268" s="21" t="str">
        <f aca="false">IFERROR(INDEX(종합!J$3:J$501,MATCH(ROW()-2,종합!$AB$3:$AB$501,0))&amp;"","")</f>
        <v/>
      </c>
      <c r="K268" s="21" t="str">
        <f aca="false">IFERROR(INDEX(종합!K$3:K$501,MATCH(ROW()-2,종합!$AB$3:$AB$501,0))&amp;"","")</f>
        <v/>
      </c>
      <c r="L268" s="21" t="str">
        <f aca="false">IFERROR(INDEX(종합!L$3:L$501,MATCH(ROW()-2,종합!$AB$3:$AB$501,0))&amp;"","")</f>
        <v/>
      </c>
      <c r="M268" s="21" t="str">
        <f aca="false">IFERROR(INDEX(종합!M$3:M$501,MATCH(ROW()-2,종합!$AB$3:$AB$501,0))&amp;"","")</f>
        <v/>
      </c>
      <c r="N268" s="25" t="str">
        <f aca="false">IFERROR(INDEX(종합!N$3:N$501,MATCH(ROW()-2,종합!$AB$3:$AB$501,0))&amp;"","")</f>
        <v/>
      </c>
      <c r="O268" s="21" t="str">
        <f aca="false">IFERROR(INDEX(종합!O$3:O$501,MATCH(ROW()-2,종합!$AB$3:$AB$501,0))&amp;"","")</f>
        <v/>
      </c>
      <c r="P268" s="21" t="str">
        <f aca="false">IFERROR(INDEX(종합!P$3:P$501,MATCH(ROW()-2,종합!$AB$3:$AB$501,0))&amp;"","")</f>
        <v/>
      </c>
      <c r="Q268" s="21" t="str">
        <f aca="false">IFERROR(INDEX(종합!Q$3:Q$501,MATCH(ROW()-2,종합!$AB$3:$AB$501,0))&amp;"","")</f>
        <v/>
      </c>
      <c r="R268" s="21" t="str">
        <f aca="false">IFERROR(INDEX(종합!R$3:R$501,MATCH(ROW()-2,종합!$AB$3:$AB$501,0))&amp;"","")</f>
        <v/>
      </c>
      <c r="S268" s="21" t="str">
        <f aca="false">IFERROR(INDEX(종합!S$3:S$501,MATCH(ROW()-2,종합!$AB$3:$AB$501,0))&amp;"","")</f>
        <v/>
      </c>
      <c r="T268" s="21" t="str">
        <f aca="false">IFERROR(INDEX(종합!T$3:T$501,MATCH(ROW()-2,종합!$AB$3:$AB$501,0))&amp;"","")</f>
        <v/>
      </c>
      <c r="U268" s="21" t="str">
        <f aca="false">IFERROR(INDEX(종합!U$3:U$501,MATCH(ROW()-2,종합!$AB$3:$AB$501,0))&amp;"","")</f>
        <v/>
      </c>
      <c r="V268" s="21" t="str">
        <f aca="false">IFERROR(INDEX(종합!V$3:V$501,MATCH(ROW()-2,종합!$AB$3:$AB$501,0))&amp;"","")</f>
        <v/>
      </c>
      <c r="W268" s="21" t="str">
        <f aca="false">IFERROR(INDEX(종합!W$3:W$501,MATCH(ROW()-2,종합!$AB$3:$AB$501,0))&amp;"","")</f>
        <v/>
      </c>
      <c r="X268" s="21" t="str">
        <f aca="false">IFERROR(INDEX(종합!X$3:X$501,MATCH(ROW()-2,종합!$AB$3:$AB$501,0))&amp;"","")</f>
        <v/>
      </c>
      <c r="Y268" s="21" t="str">
        <f aca="false">IFERROR(INDEX(종합!Y$3:Y$501,MATCH(ROW()-2,종합!$AB$3:$AB$501,0))&amp;"","")</f>
        <v/>
      </c>
      <c r="Z268" s="21" t="str">
        <f aca="false">IFERROR(INDEX(종합!Z$3:Z$501,MATCH(ROW()-2,종합!$AB$3:$AB$501,0))&amp;"","")</f>
        <v/>
      </c>
    </row>
    <row r="269" customFormat="false" ht="16.5" hidden="false" customHeight="true" outlineLevel="0" collapsed="false">
      <c r="A269" s="18" t="str">
        <f aca="false">IF(B269="","",ROW()-2)</f>
        <v/>
      </c>
      <c r="B269" s="18" t="str">
        <f aca="false">IFERROR(INDEX(종합!B$3:B$501,MATCH(ROW()-2,종합!$AB$3:$AB$501,0))&amp;"","")</f>
        <v/>
      </c>
      <c r="C269" s="18" t="str">
        <f aca="false">IFERROR(INDEX(종합!C$3:C$501,MATCH(ROW()-2,종합!$AB$3:$AB$501,0))&amp;"","")</f>
        <v/>
      </c>
      <c r="D269" s="18" t="str">
        <f aca="false">IFERROR(INDEX(종합!D$3:D$501,MATCH(ROW()-2,종합!$AB$3:$AB$501,0))&amp;"","")</f>
        <v/>
      </c>
      <c r="E269" s="18" t="str">
        <f aca="false">IFERROR(INDEX(종합!E$3:E$501,MATCH(ROW()-2,종합!$AB$3:$AB$501,0))&amp;"","")</f>
        <v/>
      </c>
      <c r="F269" s="18" t="str">
        <f aca="false">IFERROR(INDEX(종합!F$3:F$501,MATCH(ROW()-2,종합!$AB$3:$AB$501,0))&amp;"","")</f>
        <v/>
      </c>
      <c r="G269" s="18" t="str">
        <f aca="false">IFERROR(INDEX(종합!G$3:G$501,MATCH(ROW()-2,종합!$AB$3:$AB$501,0))&amp;"","")</f>
        <v/>
      </c>
      <c r="H269" s="21" t="str">
        <f aca="false">IFERROR(INDEX(종합!H$3:H$501,MATCH(ROW()-2,종합!$AB$3:$AB$501,0))&amp;"","")</f>
        <v/>
      </c>
      <c r="I269" s="21" t="str">
        <f aca="false">IFERROR(INDEX(종합!I$3:I$501,MATCH(ROW()-2,종합!$AB$3:$AB$501,0))&amp;"","")</f>
        <v/>
      </c>
      <c r="J269" s="21" t="str">
        <f aca="false">IFERROR(INDEX(종합!J$3:J$501,MATCH(ROW()-2,종합!$AB$3:$AB$501,0))&amp;"","")</f>
        <v/>
      </c>
      <c r="K269" s="21" t="str">
        <f aca="false">IFERROR(INDEX(종합!K$3:K$501,MATCH(ROW()-2,종합!$AB$3:$AB$501,0))&amp;"","")</f>
        <v/>
      </c>
      <c r="L269" s="21" t="str">
        <f aca="false">IFERROR(INDEX(종합!L$3:L$501,MATCH(ROW()-2,종합!$AB$3:$AB$501,0))&amp;"","")</f>
        <v/>
      </c>
      <c r="M269" s="21" t="str">
        <f aca="false">IFERROR(INDEX(종합!M$3:M$501,MATCH(ROW()-2,종합!$AB$3:$AB$501,0))&amp;"","")</f>
        <v/>
      </c>
      <c r="N269" s="25" t="str">
        <f aca="false">IFERROR(INDEX(종합!N$3:N$501,MATCH(ROW()-2,종합!$AB$3:$AB$501,0))&amp;"","")</f>
        <v/>
      </c>
      <c r="O269" s="21" t="str">
        <f aca="false">IFERROR(INDEX(종합!O$3:O$501,MATCH(ROW()-2,종합!$AB$3:$AB$501,0))&amp;"","")</f>
        <v/>
      </c>
      <c r="P269" s="21" t="str">
        <f aca="false">IFERROR(INDEX(종합!P$3:P$501,MATCH(ROW()-2,종합!$AB$3:$AB$501,0))&amp;"","")</f>
        <v/>
      </c>
      <c r="Q269" s="21" t="str">
        <f aca="false">IFERROR(INDEX(종합!Q$3:Q$501,MATCH(ROW()-2,종합!$AB$3:$AB$501,0))&amp;"","")</f>
        <v/>
      </c>
      <c r="R269" s="21" t="str">
        <f aca="false">IFERROR(INDEX(종합!R$3:R$501,MATCH(ROW()-2,종합!$AB$3:$AB$501,0))&amp;"","")</f>
        <v/>
      </c>
      <c r="S269" s="21" t="str">
        <f aca="false">IFERROR(INDEX(종합!S$3:S$501,MATCH(ROW()-2,종합!$AB$3:$AB$501,0))&amp;"","")</f>
        <v/>
      </c>
      <c r="T269" s="21" t="str">
        <f aca="false">IFERROR(INDEX(종합!T$3:T$501,MATCH(ROW()-2,종합!$AB$3:$AB$501,0))&amp;"","")</f>
        <v/>
      </c>
      <c r="U269" s="21" t="str">
        <f aca="false">IFERROR(INDEX(종합!U$3:U$501,MATCH(ROW()-2,종합!$AB$3:$AB$501,0))&amp;"","")</f>
        <v/>
      </c>
      <c r="V269" s="21" t="str">
        <f aca="false">IFERROR(INDEX(종합!V$3:V$501,MATCH(ROW()-2,종합!$AB$3:$AB$501,0))&amp;"","")</f>
        <v/>
      </c>
      <c r="W269" s="21" t="str">
        <f aca="false">IFERROR(INDEX(종합!W$3:W$501,MATCH(ROW()-2,종합!$AB$3:$AB$501,0))&amp;"","")</f>
        <v/>
      </c>
      <c r="X269" s="21" t="str">
        <f aca="false">IFERROR(INDEX(종합!X$3:X$501,MATCH(ROW()-2,종합!$AB$3:$AB$501,0))&amp;"","")</f>
        <v/>
      </c>
      <c r="Y269" s="21" t="str">
        <f aca="false">IFERROR(INDEX(종합!Y$3:Y$501,MATCH(ROW()-2,종합!$AB$3:$AB$501,0))&amp;"","")</f>
        <v/>
      </c>
      <c r="Z269" s="21" t="str">
        <f aca="false">IFERROR(INDEX(종합!Z$3:Z$501,MATCH(ROW()-2,종합!$AB$3:$AB$501,0))&amp;"","")</f>
        <v/>
      </c>
    </row>
    <row r="270" customFormat="false" ht="16.5" hidden="false" customHeight="true" outlineLevel="0" collapsed="false">
      <c r="A270" s="18" t="str">
        <f aca="false">IF(B270="","",ROW()-2)</f>
        <v/>
      </c>
      <c r="B270" s="18" t="str">
        <f aca="false">IFERROR(INDEX(종합!B$3:B$501,MATCH(ROW()-2,종합!$AB$3:$AB$501,0))&amp;"","")</f>
        <v/>
      </c>
      <c r="C270" s="18" t="str">
        <f aca="false">IFERROR(INDEX(종합!C$3:C$501,MATCH(ROW()-2,종합!$AB$3:$AB$501,0))&amp;"","")</f>
        <v/>
      </c>
      <c r="D270" s="18" t="str">
        <f aca="false">IFERROR(INDEX(종합!D$3:D$501,MATCH(ROW()-2,종합!$AB$3:$AB$501,0))&amp;"","")</f>
        <v/>
      </c>
      <c r="E270" s="18" t="str">
        <f aca="false">IFERROR(INDEX(종합!E$3:E$501,MATCH(ROW()-2,종합!$AB$3:$AB$501,0))&amp;"","")</f>
        <v/>
      </c>
      <c r="F270" s="18" t="str">
        <f aca="false">IFERROR(INDEX(종합!F$3:F$501,MATCH(ROW()-2,종합!$AB$3:$AB$501,0))&amp;"","")</f>
        <v/>
      </c>
      <c r="G270" s="18" t="str">
        <f aca="false">IFERROR(INDEX(종합!G$3:G$501,MATCH(ROW()-2,종합!$AB$3:$AB$501,0))&amp;"","")</f>
        <v/>
      </c>
      <c r="H270" s="21" t="str">
        <f aca="false">IFERROR(INDEX(종합!H$3:H$501,MATCH(ROW()-2,종합!$AB$3:$AB$501,0))&amp;"","")</f>
        <v/>
      </c>
      <c r="I270" s="21" t="str">
        <f aca="false">IFERROR(INDEX(종합!I$3:I$501,MATCH(ROW()-2,종합!$AB$3:$AB$501,0))&amp;"","")</f>
        <v/>
      </c>
      <c r="J270" s="21" t="str">
        <f aca="false">IFERROR(INDEX(종합!J$3:J$501,MATCH(ROW()-2,종합!$AB$3:$AB$501,0))&amp;"","")</f>
        <v/>
      </c>
      <c r="K270" s="21" t="str">
        <f aca="false">IFERROR(INDEX(종합!K$3:K$501,MATCH(ROW()-2,종합!$AB$3:$AB$501,0))&amp;"","")</f>
        <v/>
      </c>
      <c r="L270" s="21" t="str">
        <f aca="false">IFERROR(INDEX(종합!L$3:L$501,MATCH(ROW()-2,종합!$AB$3:$AB$501,0))&amp;"","")</f>
        <v/>
      </c>
      <c r="M270" s="21" t="str">
        <f aca="false">IFERROR(INDEX(종합!M$3:M$501,MATCH(ROW()-2,종합!$AB$3:$AB$501,0))&amp;"","")</f>
        <v/>
      </c>
      <c r="N270" s="25" t="str">
        <f aca="false">IFERROR(INDEX(종합!N$3:N$501,MATCH(ROW()-2,종합!$AB$3:$AB$501,0))&amp;"","")</f>
        <v/>
      </c>
      <c r="O270" s="21" t="str">
        <f aca="false">IFERROR(INDEX(종합!O$3:O$501,MATCH(ROW()-2,종합!$AB$3:$AB$501,0))&amp;"","")</f>
        <v/>
      </c>
      <c r="P270" s="21" t="str">
        <f aca="false">IFERROR(INDEX(종합!P$3:P$501,MATCH(ROW()-2,종합!$AB$3:$AB$501,0))&amp;"","")</f>
        <v/>
      </c>
      <c r="Q270" s="21" t="str">
        <f aca="false">IFERROR(INDEX(종합!Q$3:Q$501,MATCH(ROW()-2,종합!$AB$3:$AB$501,0))&amp;"","")</f>
        <v/>
      </c>
      <c r="R270" s="21" t="str">
        <f aca="false">IFERROR(INDEX(종합!R$3:R$501,MATCH(ROW()-2,종합!$AB$3:$AB$501,0))&amp;"","")</f>
        <v/>
      </c>
      <c r="S270" s="21" t="str">
        <f aca="false">IFERROR(INDEX(종합!S$3:S$501,MATCH(ROW()-2,종합!$AB$3:$AB$501,0))&amp;"","")</f>
        <v/>
      </c>
      <c r="T270" s="21" t="str">
        <f aca="false">IFERROR(INDEX(종합!T$3:T$501,MATCH(ROW()-2,종합!$AB$3:$AB$501,0))&amp;"","")</f>
        <v/>
      </c>
      <c r="U270" s="21" t="str">
        <f aca="false">IFERROR(INDEX(종합!U$3:U$501,MATCH(ROW()-2,종합!$AB$3:$AB$501,0))&amp;"","")</f>
        <v/>
      </c>
      <c r="V270" s="21" t="str">
        <f aca="false">IFERROR(INDEX(종합!V$3:V$501,MATCH(ROW()-2,종합!$AB$3:$AB$501,0))&amp;"","")</f>
        <v/>
      </c>
      <c r="W270" s="21" t="str">
        <f aca="false">IFERROR(INDEX(종합!W$3:W$501,MATCH(ROW()-2,종합!$AB$3:$AB$501,0))&amp;"","")</f>
        <v/>
      </c>
      <c r="X270" s="21" t="str">
        <f aca="false">IFERROR(INDEX(종합!X$3:X$501,MATCH(ROW()-2,종합!$AB$3:$AB$501,0))&amp;"","")</f>
        <v/>
      </c>
      <c r="Y270" s="21" t="str">
        <f aca="false">IFERROR(INDEX(종합!Y$3:Y$501,MATCH(ROW()-2,종합!$AB$3:$AB$501,0))&amp;"","")</f>
        <v/>
      </c>
      <c r="Z270" s="21" t="str">
        <f aca="false">IFERROR(INDEX(종합!Z$3:Z$501,MATCH(ROW()-2,종합!$AB$3:$AB$501,0))&amp;"","")</f>
        <v/>
      </c>
    </row>
    <row r="271" customFormat="false" ht="16.5" hidden="false" customHeight="true" outlineLevel="0" collapsed="false">
      <c r="A271" s="18" t="str">
        <f aca="false">IF(B271="","",ROW()-2)</f>
        <v/>
      </c>
      <c r="B271" s="18" t="str">
        <f aca="false">IFERROR(INDEX(종합!B$3:B$501,MATCH(ROW()-2,종합!$AB$3:$AB$501,0))&amp;"","")</f>
        <v/>
      </c>
      <c r="C271" s="18" t="str">
        <f aca="false">IFERROR(INDEX(종합!C$3:C$501,MATCH(ROW()-2,종합!$AB$3:$AB$501,0))&amp;"","")</f>
        <v/>
      </c>
      <c r="D271" s="18" t="str">
        <f aca="false">IFERROR(INDEX(종합!D$3:D$501,MATCH(ROW()-2,종합!$AB$3:$AB$501,0))&amp;"","")</f>
        <v/>
      </c>
      <c r="E271" s="18" t="str">
        <f aca="false">IFERROR(INDEX(종합!E$3:E$501,MATCH(ROW()-2,종합!$AB$3:$AB$501,0))&amp;"","")</f>
        <v/>
      </c>
      <c r="F271" s="18" t="str">
        <f aca="false">IFERROR(INDEX(종합!F$3:F$501,MATCH(ROW()-2,종합!$AB$3:$AB$501,0))&amp;"","")</f>
        <v/>
      </c>
      <c r="G271" s="18" t="str">
        <f aca="false">IFERROR(INDEX(종합!G$3:G$501,MATCH(ROW()-2,종합!$AB$3:$AB$501,0))&amp;"","")</f>
        <v/>
      </c>
      <c r="H271" s="21" t="str">
        <f aca="false">IFERROR(INDEX(종합!H$3:H$501,MATCH(ROW()-2,종합!$AB$3:$AB$501,0))&amp;"","")</f>
        <v/>
      </c>
      <c r="I271" s="21" t="str">
        <f aca="false">IFERROR(INDEX(종합!I$3:I$501,MATCH(ROW()-2,종합!$AB$3:$AB$501,0))&amp;"","")</f>
        <v/>
      </c>
      <c r="J271" s="21" t="str">
        <f aca="false">IFERROR(INDEX(종합!J$3:J$501,MATCH(ROW()-2,종합!$AB$3:$AB$501,0))&amp;"","")</f>
        <v/>
      </c>
      <c r="K271" s="21" t="str">
        <f aca="false">IFERROR(INDEX(종합!K$3:K$501,MATCH(ROW()-2,종합!$AB$3:$AB$501,0))&amp;"","")</f>
        <v/>
      </c>
      <c r="L271" s="21" t="str">
        <f aca="false">IFERROR(INDEX(종합!L$3:L$501,MATCH(ROW()-2,종합!$AB$3:$AB$501,0))&amp;"","")</f>
        <v/>
      </c>
      <c r="M271" s="21" t="str">
        <f aca="false">IFERROR(INDEX(종합!M$3:M$501,MATCH(ROW()-2,종합!$AB$3:$AB$501,0))&amp;"","")</f>
        <v/>
      </c>
      <c r="N271" s="25" t="str">
        <f aca="false">IFERROR(INDEX(종합!N$3:N$501,MATCH(ROW()-2,종합!$AB$3:$AB$501,0))&amp;"","")</f>
        <v/>
      </c>
      <c r="O271" s="21" t="str">
        <f aca="false">IFERROR(INDEX(종합!O$3:O$501,MATCH(ROW()-2,종합!$AB$3:$AB$501,0))&amp;"","")</f>
        <v/>
      </c>
      <c r="P271" s="21" t="str">
        <f aca="false">IFERROR(INDEX(종합!P$3:P$501,MATCH(ROW()-2,종합!$AB$3:$AB$501,0))&amp;"","")</f>
        <v/>
      </c>
      <c r="Q271" s="21" t="str">
        <f aca="false">IFERROR(INDEX(종합!Q$3:Q$501,MATCH(ROW()-2,종합!$AB$3:$AB$501,0))&amp;"","")</f>
        <v/>
      </c>
      <c r="R271" s="21" t="str">
        <f aca="false">IFERROR(INDEX(종합!R$3:R$501,MATCH(ROW()-2,종합!$AB$3:$AB$501,0))&amp;"","")</f>
        <v/>
      </c>
      <c r="S271" s="21" t="str">
        <f aca="false">IFERROR(INDEX(종합!S$3:S$501,MATCH(ROW()-2,종합!$AB$3:$AB$501,0))&amp;"","")</f>
        <v/>
      </c>
      <c r="T271" s="21" t="str">
        <f aca="false">IFERROR(INDEX(종합!T$3:T$501,MATCH(ROW()-2,종합!$AB$3:$AB$501,0))&amp;"","")</f>
        <v/>
      </c>
      <c r="U271" s="21" t="str">
        <f aca="false">IFERROR(INDEX(종합!U$3:U$501,MATCH(ROW()-2,종합!$AB$3:$AB$501,0))&amp;"","")</f>
        <v/>
      </c>
      <c r="V271" s="21" t="str">
        <f aca="false">IFERROR(INDEX(종합!V$3:V$501,MATCH(ROW()-2,종합!$AB$3:$AB$501,0))&amp;"","")</f>
        <v/>
      </c>
      <c r="W271" s="21" t="str">
        <f aca="false">IFERROR(INDEX(종합!W$3:W$501,MATCH(ROW()-2,종합!$AB$3:$AB$501,0))&amp;"","")</f>
        <v/>
      </c>
      <c r="X271" s="21" t="str">
        <f aca="false">IFERROR(INDEX(종합!X$3:X$501,MATCH(ROW()-2,종합!$AB$3:$AB$501,0))&amp;"","")</f>
        <v/>
      </c>
      <c r="Y271" s="21" t="str">
        <f aca="false">IFERROR(INDEX(종합!Y$3:Y$501,MATCH(ROW()-2,종합!$AB$3:$AB$501,0))&amp;"","")</f>
        <v/>
      </c>
      <c r="Z271" s="21" t="str">
        <f aca="false">IFERROR(INDEX(종합!Z$3:Z$501,MATCH(ROW()-2,종합!$AB$3:$AB$501,0))&amp;"","")</f>
        <v/>
      </c>
    </row>
    <row r="272" customFormat="false" ht="16.5" hidden="false" customHeight="true" outlineLevel="0" collapsed="false">
      <c r="A272" s="18" t="str">
        <f aca="false">IF(B272="","",ROW()-2)</f>
        <v/>
      </c>
      <c r="B272" s="18" t="str">
        <f aca="false">IFERROR(INDEX(종합!B$3:B$501,MATCH(ROW()-2,종합!$AB$3:$AB$501,0))&amp;"","")</f>
        <v/>
      </c>
      <c r="C272" s="18" t="str">
        <f aca="false">IFERROR(INDEX(종합!C$3:C$501,MATCH(ROW()-2,종합!$AB$3:$AB$501,0))&amp;"","")</f>
        <v/>
      </c>
      <c r="D272" s="18" t="str">
        <f aca="false">IFERROR(INDEX(종합!D$3:D$501,MATCH(ROW()-2,종합!$AB$3:$AB$501,0))&amp;"","")</f>
        <v/>
      </c>
      <c r="E272" s="18" t="str">
        <f aca="false">IFERROR(INDEX(종합!E$3:E$501,MATCH(ROW()-2,종합!$AB$3:$AB$501,0))&amp;"","")</f>
        <v/>
      </c>
      <c r="F272" s="18" t="str">
        <f aca="false">IFERROR(INDEX(종합!F$3:F$501,MATCH(ROW()-2,종합!$AB$3:$AB$501,0))&amp;"","")</f>
        <v/>
      </c>
      <c r="G272" s="18" t="str">
        <f aca="false">IFERROR(INDEX(종합!G$3:G$501,MATCH(ROW()-2,종합!$AB$3:$AB$501,0))&amp;"","")</f>
        <v/>
      </c>
      <c r="H272" s="21" t="str">
        <f aca="false">IFERROR(INDEX(종합!H$3:H$501,MATCH(ROW()-2,종합!$AB$3:$AB$501,0))&amp;"","")</f>
        <v/>
      </c>
      <c r="I272" s="21" t="str">
        <f aca="false">IFERROR(INDEX(종합!I$3:I$501,MATCH(ROW()-2,종합!$AB$3:$AB$501,0))&amp;"","")</f>
        <v/>
      </c>
      <c r="J272" s="21" t="str">
        <f aca="false">IFERROR(INDEX(종합!J$3:J$501,MATCH(ROW()-2,종합!$AB$3:$AB$501,0))&amp;"","")</f>
        <v/>
      </c>
      <c r="K272" s="21" t="str">
        <f aca="false">IFERROR(INDEX(종합!K$3:K$501,MATCH(ROW()-2,종합!$AB$3:$AB$501,0))&amp;"","")</f>
        <v/>
      </c>
      <c r="L272" s="21" t="str">
        <f aca="false">IFERROR(INDEX(종합!L$3:L$501,MATCH(ROW()-2,종합!$AB$3:$AB$501,0))&amp;"","")</f>
        <v/>
      </c>
      <c r="M272" s="21" t="str">
        <f aca="false">IFERROR(INDEX(종합!M$3:M$501,MATCH(ROW()-2,종합!$AB$3:$AB$501,0))&amp;"","")</f>
        <v/>
      </c>
      <c r="N272" s="25" t="str">
        <f aca="false">IFERROR(INDEX(종합!N$3:N$501,MATCH(ROW()-2,종합!$AB$3:$AB$501,0))&amp;"","")</f>
        <v/>
      </c>
      <c r="O272" s="21" t="str">
        <f aca="false">IFERROR(INDEX(종합!O$3:O$501,MATCH(ROW()-2,종합!$AB$3:$AB$501,0))&amp;"","")</f>
        <v/>
      </c>
      <c r="P272" s="21" t="str">
        <f aca="false">IFERROR(INDEX(종합!P$3:P$501,MATCH(ROW()-2,종합!$AB$3:$AB$501,0))&amp;"","")</f>
        <v/>
      </c>
      <c r="Q272" s="21" t="str">
        <f aca="false">IFERROR(INDEX(종합!Q$3:Q$501,MATCH(ROW()-2,종합!$AB$3:$AB$501,0))&amp;"","")</f>
        <v/>
      </c>
      <c r="R272" s="21" t="str">
        <f aca="false">IFERROR(INDEX(종합!R$3:R$501,MATCH(ROW()-2,종합!$AB$3:$AB$501,0))&amp;"","")</f>
        <v/>
      </c>
      <c r="S272" s="21" t="str">
        <f aca="false">IFERROR(INDEX(종합!S$3:S$501,MATCH(ROW()-2,종합!$AB$3:$AB$501,0))&amp;"","")</f>
        <v/>
      </c>
      <c r="T272" s="21" t="str">
        <f aca="false">IFERROR(INDEX(종합!T$3:T$501,MATCH(ROW()-2,종합!$AB$3:$AB$501,0))&amp;"","")</f>
        <v/>
      </c>
      <c r="U272" s="21" t="str">
        <f aca="false">IFERROR(INDEX(종합!U$3:U$501,MATCH(ROW()-2,종합!$AB$3:$AB$501,0))&amp;"","")</f>
        <v/>
      </c>
      <c r="V272" s="21" t="str">
        <f aca="false">IFERROR(INDEX(종합!V$3:V$501,MATCH(ROW()-2,종합!$AB$3:$AB$501,0))&amp;"","")</f>
        <v/>
      </c>
      <c r="W272" s="21" t="str">
        <f aca="false">IFERROR(INDEX(종합!W$3:W$501,MATCH(ROW()-2,종합!$AB$3:$AB$501,0))&amp;"","")</f>
        <v/>
      </c>
      <c r="X272" s="21" t="str">
        <f aca="false">IFERROR(INDEX(종합!X$3:X$501,MATCH(ROW()-2,종합!$AB$3:$AB$501,0))&amp;"","")</f>
        <v/>
      </c>
      <c r="Y272" s="21" t="str">
        <f aca="false">IFERROR(INDEX(종합!Y$3:Y$501,MATCH(ROW()-2,종합!$AB$3:$AB$501,0))&amp;"","")</f>
        <v/>
      </c>
      <c r="Z272" s="21" t="str">
        <f aca="false">IFERROR(INDEX(종합!Z$3:Z$501,MATCH(ROW()-2,종합!$AB$3:$AB$501,0))&amp;"","")</f>
        <v/>
      </c>
    </row>
    <row r="273" customFormat="false" ht="16.5" hidden="false" customHeight="true" outlineLevel="0" collapsed="false">
      <c r="A273" s="18" t="str">
        <f aca="false">IF(B273="","",ROW()-2)</f>
        <v/>
      </c>
      <c r="B273" s="18" t="str">
        <f aca="false">IFERROR(INDEX(종합!B$3:B$501,MATCH(ROW()-2,종합!$AB$3:$AB$501,0))&amp;"","")</f>
        <v/>
      </c>
      <c r="C273" s="18" t="str">
        <f aca="false">IFERROR(INDEX(종합!C$3:C$501,MATCH(ROW()-2,종합!$AB$3:$AB$501,0))&amp;"","")</f>
        <v/>
      </c>
      <c r="D273" s="18" t="str">
        <f aca="false">IFERROR(INDEX(종합!D$3:D$501,MATCH(ROW()-2,종합!$AB$3:$AB$501,0))&amp;"","")</f>
        <v/>
      </c>
      <c r="E273" s="18" t="str">
        <f aca="false">IFERROR(INDEX(종합!E$3:E$501,MATCH(ROW()-2,종합!$AB$3:$AB$501,0))&amp;"","")</f>
        <v/>
      </c>
      <c r="F273" s="18" t="str">
        <f aca="false">IFERROR(INDEX(종합!F$3:F$501,MATCH(ROW()-2,종합!$AB$3:$AB$501,0))&amp;"","")</f>
        <v/>
      </c>
      <c r="G273" s="18" t="str">
        <f aca="false">IFERROR(INDEX(종합!G$3:G$501,MATCH(ROW()-2,종합!$AB$3:$AB$501,0))&amp;"","")</f>
        <v/>
      </c>
      <c r="H273" s="21" t="str">
        <f aca="false">IFERROR(INDEX(종합!H$3:H$501,MATCH(ROW()-2,종합!$AB$3:$AB$501,0))&amp;"","")</f>
        <v/>
      </c>
      <c r="I273" s="21" t="str">
        <f aca="false">IFERROR(INDEX(종합!I$3:I$501,MATCH(ROW()-2,종합!$AB$3:$AB$501,0))&amp;"","")</f>
        <v/>
      </c>
      <c r="J273" s="21" t="str">
        <f aca="false">IFERROR(INDEX(종합!J$3:J$501,MATCH(ROW()-2,종합!$AB$3:$AB$501,0))&amp;"","")</f>
        <v/>
      </c>
      <c r="K273" s="21" t="str">
        <f aca="false">IFERROR(INDEX(종합!K$3:K$501,MATCH(ROW()-2,종합!$AB$3:$AB$501,0))&amp;"","")</f>
        <v/>
      </c>
      <c r="L273" s="21" t="str">
        <f aca="false">IFERROR(INDEX(종합!L$3:L$501,MATCH(ROW()-2,종합!$AB$3:$AB$501,0))&amp;"","")</f>
        <v/>
      </c>
      <c r="M273" s="21" t="str">
        <f aca="false">IFERROR(INDEX(종합!M$3:M$501,MATCH(ROW()-2,종합!$AB$3:$AB$501,0))&amp;"","")</f>
        <v/>
      </c>
      <c r="N273" s="25" t="str">
        <f aca="false">IFERROR(INDEX(종합!N$3:N$501,MATCH(ROW()-2,종합!$AB$3:$AB$501,0))&amp;"","")</f>
        <v/>
      </c>
      <c r="O273" s="21" t="str">
        <f aca="false">IFERROR(INDEX(종합!O$3:O$501,MATCH(ROW()-2,종합!$AB$3:$AB$501,0))&amp;"","")</f>
        <v/>
      </c>
      <c r="P273" s="21" t="str">
        <f aca="false">IFERROR(INDEX(종합!P$3:P$501,MATCH(ROW()-2,종합!$AB$3:$AB$501,0))&amp;"","")</f>
        <v/>
      </c>
      <c r="Q273" s="21" t="str">
        <f aca="false">IFERROR(INDEX(종합!Q$3:Q$501,MATCH(ROW()-2,종합!$AB$3:$AB$501,0))&amp;"","")</f>
        <v/>
      </c>
      <c r="R273" s="21" t="str">
        <f aca="false">IFERROR(INDEX(종합!R$3:R$501,MATCH(ROW()-2,종합!$AB$3:$AB$501,0))&amp;"","")</f>
        <v/>
      </c>
      <c r="S273" s="21" t="str">
        <f aca="false">IFERROR(INDEX(종합!S$3:S$501,MATCH(ROW()-2,종합!$AB$3:$AB$501,0))&amp;"","")</f>
        <v/>
      </c>
      <c r="T273" s="21" t="str">
        <f aca="false">IFERROR(INDEX(종합!T$3:T$501,MATCH(ROW()-2,종합!$AB$3:$AB$501,0))&amp;"","")</f>
        <v/>
      </c>
      <c r="U273" s="21" t="str">
        <f aca="false">IFERROR(INDEX(종합!U$3:U$501,MATCH(ROW()-2,종합!$AB$3:$AB$501,0))&amp;"","")</f>
        <v/>
      </c>
      <c r="V273" s="21" t="str">
        <f aca="false">IFERROR(INDEX(종합!V$3:V$501,MATCH(ROW()-2,종합!$AB$3:$AB$501,0))&amp;"","")</f>
        <v/>
      </c>
      <c r="W273" s="21" t="str">
        <f aca="false">IFERROR(INDEX(종합!W$3:W$501,MATCH(ROW()-2,종합!$AB$3:$AB$501,0))&amp;"","")</f>
        <v/>
      </c>
      <c r="X273" s="21" t="str">
        <f aca="false">IFERROR(INDEX(종합!X$3:X$501,MATCH(ROW()-2,종합!$AB$3:$AB$501,0))&amp;"","")</f>
        <v/>
      </c>
      <c r="Y273" s="21" t="str">
        <f aca="false">IFERROR(INDEX(종합!Y$3:Y$501,MATCH(ROW()-2,종합!$AB$3:$AB$501,0))&amp;"","")</f>
        <v/>
      </c>
      <c r="Z273" s="21" t="str">
        <f aca="false">IFERROR(INDEX(종합!Z$3:Z$501,MATCH(ROW()-2,종합!$AB$3:$AB$501,0))&amp;"","")</f>
        <v/>
      </c>
    </row>
    <row r="274" customFormat="false" ht="16.5" hidden="false" customHeight="true" outlineLevel="0" collapsed="false">
      <c r="A274" s="18" t="str">
        <f aca="false">IF(B274="","",ROW()-2)</f>
        <v/>
      </c>
      <c r="B274" s="18" t="str">
        <f aca="false">IFERROR(INDEX(종합!B$3:B$501,MATCH(ROW()-2,종합!$AB$3:$AB$501,0))&amp;"","")</f>
        <v/>
      </c>
      <c r="C274" s="18" t="str">
        <f aca="false">IFERROR(INDEX(종합!C$3:C$501,MATCH(ROW()-2,종합!$AB$3:$AB$501,0))&amp;"","")</f>
        <v/>
      </c>
      <c r="D274" s="18" t="str">
        <f aca="false">IFERROR(INDEX(종합!D$3:D$501,MATCH(ROW()-2,종합!$AB$3:$AB$501,0))&amp;"","")</f>
        <v/>
      </c>
      <c r="E274" s="18" t="str">
        <f aca="false">IFERROR(INDEX(종합!E$3:E$501,MATCH(ROW()-2,종합!$AB$3:$AB$501,0))&amp;"","")</f>
        <v/>
      </c>
      <c r="F274" s="18" t="str">
        <f aca="false">IFERROR(INDEX(종합!F$3:F$501,MATCH(ROW()-2,종합!$AB$3:$AB$501,0))&amp;"","")</f>
        <v/>
      </c>
      <c r="G274" s="18" t="str">
        <f aca="false">IFERROR(INDEX(종합!G$3:G$501,MATCH(ROW()-2,종합!$AB$3:$AB$501,0))&amp;"","")</f>
        <v/>
      </c>
      <c r="H274" s="21" t="str">
        <f aca="false">IFERROR(INDEX(종합!H$3:H$501,MATCH(ROW()-2,종합!$AB$3:$AB$501,0))&amp;"","")</f>
        <v/>
      </c>
      <c r="I274" s="21" t="str">
        <f aca="false">IFERROR(INDEX(종합!I$3:I$501,MATCH(ROW()-2,종합!$AB$3:$AB$501,0))&amp;"","")</f>
        <v/>
      </c>
      <c r="J274" s="21" t="str">
        <f aca="false">IFERROR(INDEX(종합!J$3:J$501,MATCH(ROW()-2,종합!$AB$3:$AB$501,0))&amp;"","")</f>
        <v/>
      </c>
      <c r="K274" s="21" t="str">
        <f aca="false">IFERROR(INDEX(종합!K$3:K$501,MATCH(ROW()-2,종합!$AB$3:$AB$501,0))&amp;"","")</f>
        <v/>
      </c>
      <c r="L274" s="21" t="str">
        <f aca="false">IFERROR(INDEX(종합!L$3:L$501,MATCH(ROW()-2,종합!$AB$3:$AB$501,0))&amp;"","")</f>
        <v/>
      </c>
      <c r="M274" s="21" t="str">
        <f aca="false">IFERROR(INDEX(종합!M$3:M$501,MATCH(ROW()-2,종합!$AB$3:$AB$501,0))&amp;"","")</f>
        <v/>
      </c>
      <c r="N274" s="25" t="str">
        <f aca="false">IFERROR(INDEX(종합!N$3:N$501,MATCH(ROW()-2,종합!$AB$3:$AB$501,0))&amp;"","")</f>
        <v/>
      </c>
      <c r="O274" s="21" t="str">
        <f aca="false">IFERROR(INDEX(종합!O$3:O$501,MATCH(ROW()-2,종합!$AB$3:$AB$501,0))&amp;"","")</f>
        <v/>
      </c>
      <c r="P274" s="21" t="str">
        <f aca="false">IFERROR(INDEX(종합!P$3:P$501,MATCH(ROW()-2,종합!$AB$3:$AB$501,0))&amp;"","")</f>
        <v/>
      </c>
      <c r="Q274" s="21" t="str">
        <f aca="false">IFERROR(INDEX(종합!Q$3:Q$501,MATCH(ROW()-2,종합!$AB$3:$AB$501,0))&amp;"","")</f>
        <v/>
      </c>
      <c r="R274" s="21" t="str">
        <f aca="false">IFERROR(INDEX(종합!R$3:R$501,MATCH(ROW()-2,종합!$AB$3:$AB$501,0))&amp;"","")</f>
        <v/>
      </c>
      <c r="S274" s="21" t="str">
        <f aca="false">IFERROR(INDEX(종합!S$3:S$501,MATCH(ROW()-2,종합!$AB$3:$AB$501,0))&amp;"","")</f>
        <v/>
      </c>
      <c r="T274" s="21" t="str">
        <f aca="false">IFERROR(INDEX(종합!T$3:T$501,MATCH(ROW()-2,종합!$AB$3:$AB$501,0))&amp;"","")</f>
        <v/>
      </c>
      <c r="U274" s="21" t="str">
        <f aca="false">IFERROR(INDEX(종합!U$3:U$501,MATCH(ROW()-2,종합!$AB$3:$AB$501,0))&amp;"","")</f>
        <v/>
      </c>
      <c r="V274" s="21" t="str">
        <f aca="false">IFERROR(INDEX(종합!V$3:V$501,MATCH(ROW()-2,종합!$AB$3:$AB$501,0))&amp;"","")</f>
        <v/>
      </c>
      <c r="W274" s="21" t="str">
        <f aca="false">IFERROR(INDEX(종합!W$3:W$501,MATCH(ROW()-2,종합!$AB$3:$AB$501,0))&amp;"","")</f>
        <v/>
      </c>
      <c r="X274" s="21" t="str">
        <f aca="false">IFERROR(INDEX(종합!X$3:X$501,MATCH(ROW()-2,종합!$AB$3:$AB$501,0))&amp;"","")</f>
        <v/>
      </c>
      <c r="Y274" s="21" t="str">
        <f aca="false">IFERROR(INDEX(종합!Y$3:Y$501,MATCH(ROW()-2,종합!$AB$3:$AB$501,0))&amp;"","")</f>
        <v/>
      </c>
      <c r="Z274" s="21" t="str">
        <f aca="false">IFERROR(INDEX(종합!Z$3:Z$501,MATCH(ROW()-2,종합!$AB$3:$AB$501,0))&amp;"","")</f>
        <v/>
      </c>
    </row>
    <row r="275" customFormat="false" ht="16.5" hidden="false" customHeight="true" outlineLevel="0" collapsed="false">
      <c r="A275" s="18" t="str">
        <f aca="false">IF(B275="","",ROW()-2)</f>
        <v/>
      </c>
      <c r="B275" s="18" t="str">
        <f aca="false">IFERROR(INDEX(종합!B$3:B$501,MATCH(ROW()-2,종합!$AB$3:$AB$501,0))&amp;"","")</f>
        <v/>
      </c>
      <c r="C275" s="18" t="str">
        <f aca="false">IFERROR(INDEX(종합!C$3:C$501,MATCH(ROW()-2,종합!$AB$3:$AB$501,0))&amp;"","")</f>
        <v/>
      </c>
      <c r="D275" s="18" t="str">
        <f aca="false">IFERROR(INDEX(종합!D$3:D$501,MATCH(ROW()-2,종합!$AB$3:$AB$501,0))&amp;"","")</f>
        <v/>
      </c>
      <c r="E275" s="18" t="str">
        <f aca="false">IFERROR(INDEX(종합!E$3:E$501,MATCH(ROW()-2,종합!$AB$3:$AB$501,0))&amp;"","")</f>
        <v/>
      </c>
      <c r="F275" s="18" t="str">
        <f aca="false">IFERROR(INDEX(종합!F$3:F$501,MATCH(ROW()-2,종합!$AB$3:$AB$501,0))&amp;"","")</f>
        <v/>
      </c>
      <c r="G275" s="18" t="str">
        <f aca="false">IFERROR(INDEX(종합!G$3:G$501,MATCH(ROW()-2,종합!$AB$3:$AB$501,0))&amp;"","")</f>
        <v/>
      </c>
      <c r="H275" s="21" t="str">
        <f aca="false">IFERROR(INDEX(종합!H$3:H$501,MATCH(ROW()-2,종합!$AB$3:$AB$501,0))&amp;"","")</f>
        <v/>
      </c>
      <c r="I275" s="21" t="str">
        <f aca="false">IFERROR(INDEX(종합!I$3:I$501,MATCH(ROW()-2,종합!$AB$3:$AB$501,0))&amp;"","")</f>
        <v/>
      </c>
      <c r="J275" s="21" t="str">
        <f aca="false">IFERROR(INDEX(종합!J$3:J$501,MATCH(ROW()-2,종합!$AB$3:$AB$501,0))&amp;"","")</f>
        <v/>
      </c>
      <c r="K275" s="21" t="str">
        <f aca="false">IFERROR(INDEX(종합!K$3:K$501,MATCH(ROW()-2,종합!$AB$3:$AB$501,0))&amp;"","")</f>
        <v/>
      </c>
      <c r="L275" s="21" t="str">
        <f aca="false">IFERROR(INDEX(종합!L$3:L$501,MATCH(ROW()-2,종합!$AB$3:$AB$501,0))&amp;"","")</f>
        <v/>
      </c>
      <c r="M275" s="21" t="str">
        <f aca="false">IFERROR(INDEX(종합!M$3:M$501,MATCH(ROW()-2,종합!$AB$3:$AB$501,0))&amp;"","")</f>
        <v/>
      </c>
      <c r="N275" s="25" t="str">
        <f aca="false">IFERROR(INDEX(종합!N$3:N$501,MATCH(ROW()-2,종합!$AB$3:$AB$501,0))&amp;"","")</f>
        <v/>
      </c>
      <c r="O275" s="21" t="str">
        <f aca="false">IFERROR(INDEX(종합!O$3:O$501,MATCH(ROW()-2,종합!$AB$3:$AB$501,0))&amp;"","")</f>
        <v/>
      </c>
      <c r="P275" s="21" t="str">
        <f aca="false">IFERROR(INDEX(종합!P$3:P$501,MATCH(ROW()-2,종합!$AB$3:$AB$501,0))&amp;"","")</f>
        <v/>
      </c>
      <c r="Q275" s="21" t="str">
        <f aca="false">IFERROR(INDEX(종합!Q$3:Q$501,MATCH(ROW()-2,종합!$AB$3:$AB$501,0))&amp;"","")</f>
        <v/>
      </c>
      <c r="R275" s="21" t="str">
        <f aca="false">IFERROR(INDEX(종합!R$3:R$501,MATCH(ROW()-2,종합!$AB$3:$AB$501,0))&amp;"","")</f>
        <v/>
      </c>
      <c r="S275" s="21" t="str">
        <f aca="false">IFERROR(INDEX(종합!S$3:S$501,MATCH(ROW()-2,종합!$AB$3:$AB$501,0))&amp;"","")</f>
        <v/>
      </c>
      <c r="T275" s="21" t="str">
        <f aca="false">IFERROR(INDEX(종합!T$3:T$501,MATCH(ROW()-2,종합!$AB$3:$AB$501,0))&amp;"","")</f>
        <v/>
      </c>
      <c r="U275" s="21" t="str">
        <f aca="false">IFERROR(INDEX(종합!U$3:U$501,MATCH(ROW()-2,종합!$AB$3:$AB$501,0))&amp;"","")</f>
        <v/>
      </c>
      <c r="V275" s="21" t="str">
        <f aca="false">IFERROR(INDEX(종합!V$3:V$501,MATCH(ROW()-2,종합!$AB$3:$AB$501,0))&amp;"","")</f>
        <v/>
      </c>
      <c r="W275" s="21" t="str">
        <f aca="false">IFERROR(INDEX(종합!W$3:W$501,MATCH(ROW()-2,종합!$AB$3:$AB$501,0))&amp;"","")</f>
        <v/>
      </c>
      <c r="X275" s="21" t="str">
        <f aca="false">IFERROR(INDEX(종합!X$3:X$501,MATCH(ROW()-2,종합!$AB$3:$AB$501,0))&amp;"","")</f>
        <v/>
      </c>
      <c r="Y275" s="21" t="str">
        <f aca="false">IFERROR(INDEX(종합!Y$3:Y$501,MATCH(ROW()-2,종합!$AB$3:$AB$501,0))&amp;"","")</f>
        <v/>
      </c>
      <c r="Z275" s="21" t="str">
        <f aca="false">IFERROR(INDEX(종합!Z$3:Z$501,MATCH(ROW()-2,종합!$AB$3:$AB$501,0))&amp;"","")</f>
        <v/>
      </c>
    </row>
    <row r="276" customFormat="false" ht="16.5" hidden="false" customHeight="true" outlineLevel="0" collapsed="false">
      <c r="A276" s="18" t="str">
        <f aca="false">IF(B276="","",ROW()-2)</f>
        <v/>
      </c>
      <c r="B276" s="18" t="str">
        <f aca="false">IFERROR(INDEX(종합!B$3:B$501,MATCH(ROW()-2,종합!$AB$3:$AB$501,0))&amp;"","")</f>
        <v/>
      </c>
      <c r="C276" s="18" t="str">
        <f aca="false">IFERROR(INDEX(종합!C$3:C$501,MATCH(ROW()-2,종합!$AB$3:$AB$501,0))&amp;"","")</f>
        <v/>
      </c>
      <c r="D276" s="18" t="str">
        <f aca="false">IFERROR(INDEX(종합!D$3:D$501,MATCH(ROW()-2,종합!$AB$3:$AB$501,0))&amp;"","")</f>
        <v/>
      </c>
      <c r="E276" s="18" t="str">
        <f aca="false">IFERROR(INDEX(종합!E$3:E$501,MATCH(ROW()-2,종합!$AB$3:$AB$501,0))&amp;"","")</f>
        <v/>
      </c>
      <c r="F276" s="18" t="str">
        <f aca="false">IFERROR(INDEX(종합!F$3:F$501,MATCH(ROW()-2,종합!$AB$3:$AB$501,0))&amp;"","")</f>
        <v/>
      </c>
      <c r="G276" s="18" t="str">
        <f aca="false">IFERROR(INDEX(종합!G$3:G$501,MATCH(ROW()-2,종합!$AB$3:$AB$501,0))&amp;"","")</f>
        <v/>
      </c>
      <c r="H276" s="21" t="str">
        <f aca="false">IFERROR(INDEX(종합!H$3:H$501,MATCH(ROW()-2,종합!$AB$3:$AB$501,0))&amp;"","")</f>
        <v/>
      </c>
      <c r="I276" s="21" t="str">
        <f aca="false">IFERROR(INDEX(종합!I$3:I$501,MATCH(ROW()-2,종합!$AB$3:$AB$501,0))&amp;"","")</f>
        <v/>
      </c>
      <c r="J276" s="21" t="str">
        <f aca="false">IFERROR(INDEX(종합!J$3:J$501,MATCH(ROW()-2,종합!$AB$3:$AB$501,0))&amp;"","")</f>
        <v/>
      </c>
      <c r="K276" s="21" t="str">
        <f aca="false">IFERROR(INDEX(종합!K$3:K$501,MATCH(ROW()-2,종합!$AB$3:$AB$501,0))&amp;"","")</f>
        <v/>
      </c>
      <c r="L276" s="21" t="str">
        <f aca="false">IFERROR(INDEX(종합!L$3:L$501,MATCH(ROW()-2,종합!$AB$3:$AB$501,0))&amp;"","")</f>
        <v/>
      </c>
      <c r="M276" s="21" t="str">
        <f aca="false">IFERROR(INDEX(종합!M$3:M$501,MATCH(ROW()-2,종합!$AB$3:$AB$501,0))&amp;"","")</f>
        <v/>
      </c>
      <c r="N276" s="25" t="str">
        <f aca="false">IFERROR(INDEX(종합!N$3:N$501,MATCH(ROW()-2,종합!$AB$3:$AB$501,0))&amp;"","")</f>
        <v/>
      </c>
      <c r="O276" s="21" t="str">
        <f aca="false">IFERROR(INDEX(종합!O$3:O$501,MATCH(ROW()-2,종합!$AB$3:$AB$501,0))&amp;"","")</f>
        <v/>
      </c>
      <c r="P276" s="21" t="str">
        <f aca="false">IFERROR(INDEX(종합!P$3:P$501,MATCH(ROW()-2,종합!$AB$3:$AB$501,0))&amp;"","")</f>
        <v/>
      </c>
      <c r="Q276" s="21" t="str">
        <f aca="false">IFERROR(INDEX(종합!Q$3:Q$501,MATCH(ROW()-2,종합!$AB$3:$AB$501,0))&amp;"","")</f>
        <v/>
      </c>
      <c r="R276" s="21" t="str">
        <f aca="false">IFERROR(INDEX(종합!R$3:R$501,MATCH(ROW()-2,종합!$AB$3:$AB$501,0))&amp;"","")</f>
        <v/>
      </c>
      <c r="S276" s="21" t="str">
        <f aca="false">IFERROR(INDEX(종합!S$3:S$501,MATCH(ROW()-2,종합!$AB$3:$AB$501,0))&amp;"","")</f>
        <v/>
      </c>
      <c r="T276" s="21" t="str">
        <f aca="false">IFERROR(INDEX(종합!T$3:T$501,MATCH(ROW()-2,종합!$AB$3:$AB$501,0))&amp;"","")</f>
        <v/>
      </c>
      <c r="U276" s="21" t="str">
        <f aca="false">IFERROR(INDEX(종합!U$3:U$501,MATCH(ROW()-2,종합!$AB$3:$AB$501,0))&amp;"","")</f>
        <v/>
      </c>
      <c r="V276" s="21" t="str">
        <f aca="false">IFERROR(INDEX(종합!V$3:V$501,MATCH(ROW()-2,종합!$AB$3:$AB$501,0))&amp;"","")</f>
        <v/>
      </c>
      <c r="W276" s="21" t="str">
        <f aca="false">IFERROR(INDEX(종합!W$3:W$501,MATCH(ROW()-2,종합!$AB$3:$AB$501,0))&amp;"","")</f>
        <v/>
      </c>
      <c r="X276" s="21" t="str">
        <f aca="false">IFERROR(INDEX(종합!X$3:X$501,MATCH(ROW()-2,종합!$AB$3:$AB$501,0))&amp;"","")</f>
        <v/>
      </c>
      <c r="Y276" s="21" t="str">
        <f aca="false">IFERROR(INDEX(종합!Y$3:Y$501,MATCH(ROW()-2,종합!$AB$3:$AB$501,0))&amp;"","")</f>
        <v/>
      </c>
      <c r="Z276" s="21" t="str">
        <f aca="false">IFERROR(INDEX(종합!Z$3:Z$501,MATCH(ROW()-2,종합!$AB$3:$AB$501,0))&amp;"","")</f>
        <v/>
      </c>
    </row>
    <row r="277" customFormat="false" ht="16.5" hidden="false" customHeight="true" outlineLevel="0" collapsed="false">
      <c r="A277" s="18" t="str">
        <f aca="false">IF(B277="","",ROW()-2)</f>
        <v/>
      </c>
      <c r="B277" s="18" t="str">
        <f aca="false">IFERROR(INDEX(종합!B$3:B$501,MATCH(ROW()-2,종합!$AB$3:$AB$501,0))&amp;"","")</f>
        <v/>
      </c>
      <c r="C277" s="18" t="str">
        <f aca="false">IFERROR(INDEX(종합!C$3:C$501,MATCH(ROW()-2,종합!$AB$3:$AB$501,0))&amp;"","")</f>
        <v/>
      </c>
      <c r="D277" s="18" t="str">
        <f aca="false">IFERROR(INDEX(종합!D$3:D$501,MATCH(ROW()-2,종합!$AB$3:$AB$501,0))&amp;"","")</f>
        <v/>
      </c>
      <c r="E277" s="18" t="str">
        <f aca="false">IFERROR(INDEX(종합!E$3:E$501,MATCH(ROW()-2,종합!$AB$3:$AB$501,0))&amp;"","")</f>
        <v/>
      </c>
      <c r="F277" s="18" t="str">
        <f aca="false">IFERROR(INDEX(종합!F$3:F$501,MATCH(ROW()-2,종합!$AB$3:$AB$501,0))&amp;"","")</f>
        <v/>
      </c>
      <c r="G277" s="18" t="str">
        <f aca="false">IFERROR(INDEX(종합!G$3:G$501,MATCH(ROW()-2,종합!$AB$3:$AB$501,0))&amp;"","")</f>
        <v/>
      </c>
      <c r="H277" s="21" t="str">
        <f aca="false">IFERROR(INDEX(종합!H$3:H$501,MATCH(ROW()-2,종합!$AB$3:$AB$501,0))&amp;"","")</f>
        <v/>
      </c>
      <c r="I277" s="21" t="str">
        <f aca="false">IFERROR(INDEX(종합!I$3:I$501,MATCH(ROW()-2,종합!$AB$3:$AB$501,0))&amp;"","")</f>
        <v/>
      </c>
      <c r="J277" s="21" t="str">
        <f aca="false">IFERROR(INDEX(종합!J$3:J$501,MATCH(ROW()-2,종합!$AB$3:$AB$501,0))&amp;"","")</f>
        <v/>
      </c>
      <c r="K277" s="21" t="str">
        <f aca="false">IFERROR(INDEX(종합!K$3:K$501,MATCH(ROW()-2,종합!$AB$3:$AB$501,0))&amp;"","")</f>
        <v/>
      </c>
      <c r="L277" s="21" t="str">
        <f aca="false">IFERROR(INDEX(종합!L$3:L$501,MATCH(ROW()-2,종합!$AB$3:$AB$501,0))&amp;"","")</f>
        <v/>
      </c>
      <c r="M277" s="21" t="str">
        <f aca="false">IFERROR(INDEX(종합!M$3:M$501,MATCH(ROW()-2,종합!$AB$3:$AB$501,0))&amp;"","")</f>
        <v/>
      </c>
      <c r="N277" s="25" t="str">
        <f aca="false">IFERROR(INDEX(종합!N$3:N$501,MATCH(ROW()-2,종합!$AB$3:$AB$501,0))&amp;"","")</f>
        <v/>
      </c>
      <c r="O277" s="21" t="str">
        <f aca="false">IFERROR(INDEX(종합!O$3:O$501,MATCH(ROW()-2,종합!$AB$3:$AB$501,0))&amp;"","")</f>
        <v/>
      </c>
      <c r="P277" s="21" t="str">
        <f aca="false">IFERROR(INDEX(종합!P$3:P$501,MATCH(ROW()-2,종합!$AB$3:$AB$501,0))&amp;"","")</f>
        <v/>
      </c>
      <c r="Q277" s="21" t="str">
        <f aca="false">IFERROR(INDEX(종합!Q$3:Q$501,MATCH(ROW()-2,종합!$AB$3:$AB$501,0))&amp;"","")</f>
        <v/>
      </c>
      <c r="R277" s="21" t="str">
        <f aca="false">IFERROR(INDEX(종합!R$3:R$501,MATCH(ROW()-2,종합!$AB$3:$AB$501,0))&amp;"","")</f>
        <v/>
      </c>
      <c r="S277" s="21" t="str">
        <f aca="false">IFERROR(INDEX(종합!S$3:S$501,MATCH(ROW()-2,종합!$AB$3:$AB$501,0))&amp;"","")</f>
        <v/>
      </c>
      <c r="T277" s="21" t="str">
        <f aca="false">IFERROR(INDEX(종합!T$3:T$501,MATCH(ROW()-2,종합!$AB$3:$AB$501,0))&amp;"","")</f>
        <v/>
      </c>
      <c r="U277" s="21" t="str">
        <f aca="false">IFERROR(INDEX(종합!U$3:U$501,MATCH(ROW()-2,종합!$AB$3:$AB$501,0))&amp;"","")</f>
        <v/>
      </c>
      <c r="V277" s="21" t="str">
        <f aca="false">IFERROR(INDEX(종합!V$3:V$501,MATCH(ROW()-2,종합!$AB$3:$AB$501,0))&amp;"","")</f>
        <v/>
      </c>
      <c r="W277" s="21" t="str">
        <f aca="false">IFERROR(INDEX(종합!W$3:W$501,MATCH(ROW()-2,종합!$AB$3:$AB$501,0))&amp;"","")</f>
        <v/>
      </c>
      <c r="X277" s="21" t="str">
        <f aca="false">IFERROR(INDEX(종합!X$3:X$501,MATCH(ROW()-2,종합!$AB$3:$AB$501,0))&amp;"","")</f>
        <v/>
      </c>
      <c r="Y277" s="21" t="str">
        <f aca="false">IFERROR(INDEX(종합!Y$3:Y$501,MATCH(ROW()-2,종합!$AB$3:$AB$501,0))&amp;"","")</f>
        <v/>
      </c>
      <c r="Z277" s="21" t="str">
        <f aca="false">IFERROR(INDEX(종합!Z$3:Z$501,MATCH(ROW()-2,종합!$AB$3:$AB$501,0))&amp;"","")</f>
        <v/>
      </c>
    </row>
    <row r="278" customFormat="false" ht="16.5" hidden="false" customHeight="true" outlineLevel="0" collapsed="false">
      <c r="A278" s="18" t="str">
        <f aca="false">IF(B278="","",ROW()-2)</f>
        <v/>
      </c>
      <c r="B278" s="18" t="str">
        <f aca="false">IFERROR(INDEX(종합!B$3:B$501,MATCH(ROW()-2,종합!$AB$3:$AB$501,0))&amp;"","")</f>
        <v/>
      </c>
      <c r="C278" s="18" t="str">
        <f aca="false">IFERROR(INDEX(종합!C$3:C$501,MATCH(ROW()-2,종합!$AB$3:$AB$501,0))&amp;"","")</f>
        <v/>
      </c>
      <c r="D278" s="18" t="str">
        <f aca="false">IFERROR(INDEX(종합!D$3:D$501,MATCH(ROW()-2,종합!$AB$3:$AB$501,0))&amp;"","")</f>
        <v/>
      </c>
      <c r="E278" s="18" t="str">
        <f aca="false">IFERROR(INDEX(종합!E$3:E$501,MATCH(ROW()-2,종합!$AB$3:$AB$501,0))&amp;"","")</f>
        <v/>
      </c>
      <c r="F278" s="18" t="str">
        <f aca="false">IFERROR(INDEX(종합!F$3:F$501,MATCH(ROW()-2,종합!$AB$3:$AB$501,0))&amp;"","")</f>
        <v/>
      </c>
      <c r="G278" s="18" t="str">
        <f aca="false">IFERROR(INDEX(종합!G$3:G$501,MATCH(ROW()-2,종합!$AB$3:$AB$501,0))&amp;"","")</f>
        <v/>
      </c>
      <c r="H278" s="21" t="str">
        <f aca="false">IFERROR(INDEX(종합!H$3:H$501,MATCH(ROW()-2,종합!$AB$3:$AB$501,0))&amp;"","")</f>
        <v/>
      </c>
      <c r="I278" s="21" t="str">
        <f aca="false">IFERROR(INDEX(종합!I$3:I$501,MATCH(ROW()-2,종합!$AB$3:$AB$501,0))&amp;"","")</f>
        <v/>
      </c>
      <c r="J278" s="21" t="str">
        <f aca="false">IFERROR(INDEX(종합!J$3:J$501,MATCH(ROW()-2,종합!$AB$3:$AB$501,0))&amp;"","")</f>
        <v/>
      </c>
      <c r="K278" s="21" t="str">
        <f aca="false">IFERROR(INDEX(종합!K$3:K$501,MATCH(ROW()-2,종합!$AB$3:$AB$501,0))&amp;"","")</f>
        <v/>
      </c>
      <c r="L278" s="21" t="str">
        <f aca="false">IFERROR(INDEX(종합!L$3:L$501,MATCH(ROW()-2,종합!$AB$3:$AB$501,0))&amp;"","")</f>
        <v/>
      </c>
      <c r="M278" s="21" t="str">
        <f aca="false">IFERROR(INDEX(종합!M$3:M$501,MATCH(ROW()-2,종합!$AB$3:$AB$501,0))&amp;"","")</f>
        <v/>
      </c>
      <c r="N278" s="25" t="str">
        <f aca="false">IFERROR(INDEX(종합!N$3:N$501,MATCH(ROW()-2,종합!$AB$3:$AB$501,0))&amp;"","")</f>
        <v/>
      </c>
      <c r="O278" s="21" t="str">
        <f aca="false">IFERROR(INDEX(종합!O$3:O$501,MATCH(ROW()-2,종합!$AB$3:$AB$501,0))&amp;"","")</f>
        <v/>
      </c>
      <c r="P278" s="21" t="str">
        <f aca="false">IFERROR(INDEX(종합!P$3:P$501,MATCH(ROW()-2,종합!$AB$3:$AB$501,0))&amp;"","")</f>
        <v/>
      </c>
      <c r="Q278" s="21" t="str">
        <f aca="false">IFERROR(INDEX(종합!Q$3:Q$501,MATCH(ROW()-2,종합!$AB$3:$AB$501,0))&amp;"","")</f>
        <v/>
      </c>
      <c r="R278" s="21" t="str">
        <f aca="false">IFERROR(INDEX(종합!R$3:R$501,MATCH(ROW()-2,종합!$AB$3:$AB$501,0))&amp;"","")</f>
        <v/>
      </c>
      <c r="S278" s="21" t="str">
        <f aca="false">IFERROR(INDEX(종합!S$3:S$501,MATCH(ROW()-2,종합!$AB$3:$AB$501,0))&amp;"","")</f>
        <v/>
      </c>
      <c r="T278" s="21" t="str">
        <f aca="false">IFERROR(INDEX(종합!T$3:T$501,MATCH(ROW()-2,종합!$AB$3:$AB$501,0))&amp;"","")</f>
        <v/>
      </c>
      <c r="U278" s="21" t="str">
        <f aca="false">IFERROR(INDEX(종합!U$3:U$501,MATCH(ROW()-2,종합!$AB$3:$AB$501,0))&amp;"","")</f>
        <v/>
      </c>
      <c r="V278" s="21" t="str">
        <f aca="false">IFERROR(INDEX(종합!V$3:V$501,MATCH(ROW()-2,종합!$AB$3:$AB$501,0))&amp;"","")</f>
        <v/>
      </c>
      <c r="W278" s="21" t="str">
        <f aca="false">IFERROR(INDEX(종합!W$3:W$501,MATCH(ROW()-2,종합!$AB$3:$AB$501,0))&amp;"","")</f>
        <v/>
      </c>
      <c r="X278" s="21" t="str">
        <f aca="false">IFERROR(INDEX(종합!X$3:X$501,MATCH(ROW()-2,종합!$AB$3:$AB$501,0))&amp;"","")</f>
        <v/>
      </c>
      <c r="Y278" s="21" t="str">
        <f aca="false">IFERROR(INDEX(종합!Y$3:Y$501,MATCH(ROW()-2,종합!$AB$3:$AB$501,0))&amp;"","")</f>
        <v/>
      </c>
      <c r="Z278" s="21" t="str">
        <f aca="false">IFERROR(INDEX(종합!Z$3:Z$501,MATCH(ROW()-2,종합!$AB$3:$AB$501,0))&amp;"","")</f>
        <v/>
      </c>
    </row>
    <row r="279" customFormat="false" ht="16.5" hidden="false" customHeight="true" outlineLevel="0" collapsed="false">
      <c r="A279" s="18" t="str">
        <f aca="false">IF(B279="","",ROW()-2)</f>
        <v/>
      </c>
      <c r="B279" s="18" t="str">
        <f aca="false">IFERROR(INDEX(종합!B$3:B$501,MATCH(ROW()-2,종합!$AB$3:$AB$501,0))&amp;"","")</f>
        <v/>
      </c>
      <c r="C279" s="18" t="str">
        <f aca="false">IFERROR(INDEX(종합!C$3:C$501,MATCH(ROW()-2,종합!$AB$3:$AB$501,0))&amp;"","")</f>
        <v/>
      </c>
      <c r="D279" s="18" t="str">
        <f aca="false">IFERROR(INDEX(종합!D$3:D$501,MATCH(ROW()-2,종합!$AB$3:$AB$501,0))&amp;"","")</f>
        <v/>
      </c>
      <c r="E279" s="18" t="str">
        <f aca="false">IFERROR(INDEX(종합!E$3:E$501,MATCH(ROW()-2,종합!$AB$3:$AB$501,0))&amp;"","")</f>
        <v/>
      </c>
      <c r="F279" s="18" t="str">
        <f aca="false">IFERROR(INDEX(종합!F$3:F$501,MATCH(ROW()-2,종합!$AB$3:$AB$501,0))&amp;"","")</f>
        <v/>
      </c>
      <c r="G279" s="18" t="str">
        <f aca="false">IFERROR(INDEX(종합!G$3:G$501,MATCH(ROW()-2,종합!$AB$3:$AB$501,0))&amp;"","")</f>
        <v/>
      </c>
      <c r="H279" s="21" t="str">
        <f aca="false">IFERROR(INDEX(종합!H$3:H$501,MATCH(ROW()-2,종합!$AB$3:$AB$501,0))&amp;"","")</f>
        <v/>
      </c>
      <c r="I279" s="21" t="str">
        <f aca="false">IFERROR(INDEX(종합!I$3:I$501,MATCH(ROW()-2,종합!$AB$3:$AB$501,0))&amp;"","")</f>
        <v/>
      </c>
      <c r="J279" s="21" t="str">
        <f aca="false">IFERROR(INDEX(종합!J$3:J$501,MATCH(ROW()-2,종합!$AB$3:$AB$501,0))&amp;"","")</f>
        <v/>
      </c>
      <c r="K279" s="21" t="str">
        <f aca="false">IFERROR(INDEX(종합!K$3:K$501,MATCH(ROW()-2,종합!$AB$3:$AB$501,0))&amp;"","")</f>
        <v/>
      </c>
      <c r="L279" s="21" t="str">
        <f aca="false">IFERROR(INDEX(종합!L$3:L$501,MATCH(ROW()-2,종합!$AB$3:$AB$501,0))&amp;"","")</f>
        <v/>
      </c>
      <c r="M279" s="21" t="str">
        <f aca="false">IFERROR(INDEX(종합!M$3:M$501,MATCH(ROW()-2,종합!$AB$3:$AB$501,0))&amp;"","")</f>
        <v/>
      </c>
      <c r="N279" s="25" t="str">
        <f aca="false">IFERROR(INDEX(종합!N$3:N$501,MATCH(ROW()-2,종합!$AB$3:$AB$501,0))&amp;"","")</f>
        <v/>
      </c>
      <c r="O279" s="21" t="str">
        <f aca="false">IFERROR(INDEX(종합!O$3:O$501,MATCH(ROW()-2,종합!$AB$3:$AB$501,0))&amp;"","")</f>
        <v/>
      </c>
      <c r="P279" s="21" t="str">
        <f aca="false">IFERROR(INDEX(종합!P$3:P$501,MATCH(ROW()-2,종합!$AB$3:$AB$501,0))&amp;"","")</f>
        <v/>
      </c>
      <c r="Q279" s="21" t="str">
        <f aca="false">IFERROR(INDEX(종합!Q$3:Q$501,MATCH(ROW()-2,종합!$AB$3:$AB$501,0))&amp;"","")</f>
        <v/>
      </c>
      <c r="R279" s="21" t="str">
        <f aca="false">IFERROR(INDEX(종합!R$3:R$501,MATCH(ROW()-2,종합!$AB$3:$AB$501,0))&amp;"","")</f>
        <v/>
      </c>
      <c r="S279" s="21" t="str">
        <f aca="false">IFERROR(INDEX(종합!S$3:S$501,MATCH(ROW()-2,종합!$AB$3:$AB$501,0))&amp;"","")</f>
        <v/>
      </c>
      <c r="T279" s="21" t="str">
        <f aca="false">IFERROR(INDEX(종합!T$3:T$501,MATCH(ROW()-2,종합!$AB$3:$AB$501,0))&amp;"","")</f>
        <v/>
      </c>
      <c r="U279" s="21" t="str">
        <f aca="false">IFERROR(INDEX(종합!U$3:U$501,MATCH(ROW()-2,종합!$AB$3:$AB$501,0))&amp;"","")</f>
        <v/>
      </c>
      <c r="V279" s="21" t="str">
        <f aca="false">IFERROR(INDEX(종합!V$3:V$501,MATCH(ROW()-2,종합!$AB$3:$AB$501,0))&amp;"","")</f>
        <v/>
      </c>
      <c r="W279" s="21" t="str">
        <f aca="false">IFERROR(INDEX(종합!W$3:W$501,MATCH(ROW()-2,종합!$AB$3:$AB$501,0))&amp;"","")</f>
        <v/>
      </c>
      <c r="X279" s="21" t="str">
        <f aca="false">IFERROR(INDEX(종합!X$3:X$501,MATCH(ROW()-2,종합!$AB$3:$AB$501,0))&amp;"","")</f>
        <v/>
      </c>
      <c r="Y279" s="21" t="str">
        <f aca="false">IFERROR(INDEX(종합!Y$3:Y$501,MATCH(ROW()-2,종합!$AB$3:$AB$501,0))&amp;"","")</f>
        <v/>
      </c>
      <c r="Z279" s="21" t="str">
        <f aca="false">IFERROR(INDEX(종합!Z$3:Z$501,MATCH(ROW()-2,종합!$AB$3:$AB$501,0))&amp;"","")</f>
        <v/>
      </c>
    </row>
    <row r="280" customFormat="false" ht="16.5" hidden="false" customHeight="true" outlineLevel="0" collapsed="false">
      <c r="A280" s="18" t="str">
        <f aca="false">IF(B280="","",ROW()-2)</f>
        <v/>
      </c>
      <c r="B280" s="18" t="str">
        <f aca="false">IFERROR(INDEX(종합!B$3:B$501,MATCH(ROW()-2,종합!$AB$3:$AB$501,0))&amp;"","")</f>
        <v/>
      </c>
      <c r="C280" s="18" t="str">
        <f aca="false">IFERROR(INDEX(종합!C$3:C$501,MATCH(ROW()-2,종합!$AB$3:$AB$501,0))&amp;"","")</f>
        <v/>
      </c>
      <c r="D280" s="18" t="str">
        <f aca="false">IFERROR(INDEX(종합!D$3:D$501,MATCH(ROW()-2,종합!$AB$3:$AB$501,0))&amp;"","")</f>
        <v/>
      </c>
      <c r="E280" s="18" t="str">
        <f aca="false">IFERROR(INDEX(종합!E$3:E$501,MATCH(ROW()-2,종합!$AB$3:$AB$501,0))&amp;"","")</f>
        <v/>
      </c>
      <c r="F280" s="18" t="str">
        <f aca="false">IFERROR(INDEX(종합!F$3:F$501,MATCH(ROW()-2,종합!$AB$3:$AB$501,0))&amp;"","")</f>
        <v/>
      </c>
      <c r="G280" s="18" t="str">
        <f aca="false">IFERROR(INDEX(종합!G$3:G$501,MATCH(ROW()-2,종합!$AB$3:$AB$501,0))&amp;"","")</f>
        <v/>
      </c>
      <c r="H280" s="21" t="str">
        <f aca="false">IFERROR(INDEX(종합!H$3:H$501,MATCH(ROW()-2,종합!$AB$3:$AB$501,0))&amp;"","")</f>
        <v/>
      </c>
      <c r="I280" s="21" t="str">
        <f aca="false">IFERROR(INDEX(종합!I$3:I$501,MATCH(ROW()-2,종합!$AB$3:$AB$501,0))&amp;"","")</f>
        <v/>
      </c>
      <c r="J280" s="21" t="str">
        <f aca="false">IFERROR(INDEX(종합!J$3:J$501,MATCH(ROW()-2,종합!$AB$3:$AB$501,0))&amp;"","")</f>
        <v/>
      </c>
      <c r="K280" s="21" t="str">
        <f aca="false">IFERROR(INDEX(종합!K$3:K$501,MATCH(ROW()-2,종합!$AB$3:$AB$501,0))&amp;"","")</f>
        <v/>
      </c>
      <c r="L280" s="21" t="str">
        <f aca="false">IFERROR(INDEX(종합!L$3:L$501,MATCH(ROW()-2,종합!$AB$3:$AB$501,0))&amp;"","")</f>
        <v/>
      </c>
      <c r="M280" s="21" t="str">
        <f aca="false">IFERROR(INDEX(종합!M$3:M$501,MATCH(ROW()-2,종합!$AB$3:$AB$501,0))&amp;"","")</f>
        <v/>
      </c>
      <c r="N280" s="25" t="str">
        <f aca="false">IFERROR(INDEX(종합!N$3:N$501,MATCH(ROW()-2,종합!$AB$3:$AB$501,0))&amp;"","")</f>
        <v/>
      </c>
      <c r="O280" s="21" t="str">
        <f aca="false">IFERROR(INDEX(종합!O$3:O$501,MATCH(ROW()-2,종합!$AB$3:$AB$501,0))&amp;"","")</f>
        <v/>
      </c>
      <c r="P280" s="21" t="str">
        <f aca="false">IFERROR(INDEX(종합!P$3:P$501,MATCH(ROW()-2,종합!$AB$3:$AB$501,0))&amp;"","")</f>
        <v/>
      </c>
      <c r="Q280" s="21" t="str">
        <f aca="false">IFERROR(INDEX(종합!Q$3:Q$501,MATCH(ROW()-2,종합!$AB$3:$AB$501,0))&amp;"","")</f>
        <v/>
      </c>
      <c r="R280" s="21" t="str">
        <f aca="false">IFERROR(INDEX(종합!R$3:R$501,MATCH(ROW()-2,종합!$AB$3:$AB$501,0))&amp;"","")</f>
        <v/>
      </c>
      <c r="S280" s="21" t="str">
        <f aca="false">IFERROR(INDEX(종합!S$3:S$501,MATCH(ROW()-2,종합!$AB$3:$AB$501,0))&amp;"","")</f>
        <v/>
      </c>
      <c r="T280" s="21" t="str">
        <f aca="false">IFERROR(INDEX(종합!T$3:T$501,MATCH(ROW()-2,종합!$AB$3:$AB$501,0))&amp;"","")</f>
        <v/>
      </c>
      <c r="U280" s="21" t="str">
        <f aca="false">IFERROR(INDEX(종합!U$3:U$501,MATCH(ROW()-2,종합!$AB$3:$AB$501,0))&amp;"","")</f>
        <v/>
      </c>
      <c r="V280" s="21" t="str">
        <f aca="false">IFERROR(INDEX(종합!V$3:V$501,MATCH(ROW()-2,종합!$AB$3:$AB$501,0))&amp;"","")</f>
        <v/>
      </c>
      <c r="W280" s="21" t="str">
        <f aca="false">IFERROR(INDEX(종합!W$3:W$501,MATCH(ROW()-2,종합!$AB$3:$AB$501,0))&amp;"","")</f>
        <v/>
      </c>
      <c r="X280" s="21" t="str">
        <f aca="false">IFERROR(INDEX(종합!X$3:X$501,MATCH(ROW()-2,종합!$AB$3:$AB$501,0))&amp;"","")</f>
        <v/>
      </c>
      <c r="Y280" s="21" t="str">
        <f aca="false">IFERROR(INDEX(종합!Y$3:Y$501,MATCH(ROW()-2,종합!$AB$3:$AB$501,0))&amp;"","")</f>
        <v/>
      </c>
      <c r="Z280" s="21" t="str">
        <f aca="false">IFERROR(INDEX(종합!Z$3:Z$501,MATCH(ROW()-2,종합!$AB$3:$AB$501,0))&amp;"","")</f>
        <v/>
      </c>
    </row>
    <row r="281" customFormat="false" ht="16.5" hidden="false" customHeight="true" outlineLevel="0" collapsed="false">
      <c r="A281" s="18" t="str">
        <f aca="false">IF(B281="","",ROW()-2)</f>
        <v/>
      </c>
      <c r="B281" s="18" t="str">
        <f aca="false">IFERROR(INDEX(종합!B$3:B$501,MATCH(ROW()-2,종합!$AB$3:$AB$501,0))&amp;"","")</f>
        <v/>
      </c>
      <c r="C281" s="18" t="str">
        <f aca="false">IFERROR(INDEX(종합!C$3:C$501,MATCH(ROW()-2,종합!$AB$3:$AB$501,0))&amp;"","")</f>
        <v/>
      </c>
      <c r="D281" s="18" t="str">
        <f aca="false">IFERROR(INDEX(종합!D$3:D$501,MATCH(ROW()-2,종합!$AB$3:$AB$501,0))&amp;"","")</f>
        <v/>
      </c>
      <c r="E281" s="18" t="str">
        <f aca="false">IFERROR(INDEX(종합!E$3:E$501,MATCH(ROW()-2,종합!$AB$3:$AB$501,0))&amp;"","")</f>
        <v/>
      </c>
      <c r="F281" s="18" t="str">
        <f aca="false">IFERROR(INDEX(종합!F$3:F$501,MATCH(ROW()-2,종합!$AB$3:$AB$501,0))&amp;"","")</f>
        <v/>
      </c>
      <c r="G281" s="18" t="str">
        <f aca="false">IFERROR(INDEX(종합!G$3:G$501,MATCH(ROW()-2,종합!$AB$3:$AB$501,0))&amp;"","")</f>
        <v/>
      </c>
      <c r="H281" s="21" t="str">
        <f aca="false">IFERROR(INDEX(종합!H$3:H$501,MATCH(ROW()-2,종합!$AB$3:$AB$501,0))&amp;"","")</f>
        <v/>
      </c>
      <c r="I281" s="21" t="str">
        <f aca="false">IFERROR(INDEX(종합!I$3:I$501,MATCH(ROW()-2,종합!$AB$3:$AB$501,0))&amp;"","")</f>
        <v/>
      </c>
      <c r="J281" s="21" t="str">
        <f aca="false">IFERROR(INDEX(종합!J$3:J$501,MATCH(ROW()-2,종합!$AB$3:$AB$501,0))&amp;"","")</f>
        <v/>
      </c>
      <c r="K281" s="21" t="str">
        <f aca="false">IFERROR(INDEX(종합!K$3:K$501,MATCH(ROW()-2,종합!$AB$3:$AB$501,0))&amp;"","")</f>
        <v/>
      </c>
      <c r="L281" s="21" t="str">
        <f aca="false">IFERROR(INDEX(종합!L$3:L$501,MATCH(ROW()-2,종합!$AB$3:$AB$501,0))&amp;"","")</f>
        <v/>
      </c>
      <c r="M281" s="21" t="str">
        <f aca="false">IFERROR(INDEX(종합!M$3:M$501,MATCH(ROW()-2,종합!$AB$3:$AB$501,0))&amp;"","")</f>
        <v/>
      </c>
      <c r="N281" s="25" t="str">
        <f aca="false">IFERROR(INDEX(종합!N$3:N$501,MATCH(ROW()-2,종합!$AB$3:$AB$501,0))&amp;"","")</f>
        <v/>
      </c>
      <c r="O281" s="21" t="str">
        <f aca="false">IFERROR(INDEX(종합!O$3:O$501,MATCH(ROW()-2,종합!$AB$3:$AB$501,0))&amp;"","")</f>
        <v/>
      </c>
      <c r="P281" s="21" t="str">
        <f aca="false">IFERROR(INDEX(종합!P$3:P$501,MATCH(ROW()-2,종합!$AB$3:$AB$501,0))&amp;"","")</f>
        <v/>
      </c>
      <c r="Q281" s="21" t="str">
        <f aca="false">IFERROR(INDEX(종합!Q$3:Q$501,MATCH(ROW()-2,종합!$AB$3:$AB$501,0))&amp;"","")</f>
        <v/>
      </c>
      <c r="R281" s="21" t="str">
        <f aca="false">IFERROR(INDEX(종합!R$3:R$501,MATCH(ROW()-2,종합!$AB$3:$AB$501,0))&amp;"","")</f>
        <v/>
      </c>
      <c r="S281" s="21" t="str">
        <f aca="false">IFERROR(INDEX(종합!S$3:S$501,MATCH(ROW()-2,종합!$AB$3:$AB$501,0))&amp;"","")</f>
        <v/>
      </c>
      <c r="T281" s="21" t="str">
        <f aca="false">IFERROR(INDEX(종합!T$3:T$501,MATCH(ROW()-2,종합!$AB$3:$AB$501,0))&amp;"","")</f>
        <v/>
      </c>
      <c r="U281" s="21" t="str">
        <f aca="false">IFERROR(INDEX(종합!U$3:U$501,MATCH(ROW()-2,종합!$AB$3:$AB$501,0))&amp;"","")</f>
        <v/>
      </c>
      <c r="V281" s="21" t="str">
        <f aca="false">IFERROR(INDEX(종합!V$3:V$501,MATCH(ROW()-2,종합!$AB$3:$AB$501,0))&amp;"","")</f>
        <v/>
      </c>
      <c r="W281" s="21" t="str">
        <f aca="false">IFERROR(INDEX(종합!W$3:W$501,MATCH(ROW()-2,종합!$AB$3:$AB$501,0))&amp;"","")</f>
        <v/>
      </c>
      <c r="X281" s="21" t="str">
        <f aca="false">IFERROR(INDEX(종합!X$3:X$501,MATCH(ROW()-2,종합!$AB$3:$AB$501,0))&amp;"","")</f>
        <v/>
      </c>
      <c r="Y281" s="21" t="str">
        <f aca="false">IFERROR(INDEX(종합!Y$3:Y$501,MATCH(ROW()-2,종합!$AB$3:$AB$501,0))&amp;"","")</f>
        <v/>
      </c>
      <c r="Z281" s="21" t="str">
        <f aca="false">IFERROR(INDEX(종합!Z$3:Z$501,MATCH(ROW()-2,종합!$AB$3:$AB$501,0))&amp;"","")</f>
        <v/>
      </c>
    </row>
    <row r="282" customFormat="false" ht="16.5" hidden="false" customHeight="true" outlineLevel="0" collapsed="false">
      <c r="A282" s="18" t="str">
        <f aca="false">IF(B282="","",ROW()-2)</f>
        <v/>
      </c>
      <c r="B282" s="18" t="str">
        <f aca="false">IFERROR(INDEX(종합!B$3:B$501,MATCH(ROW()-2,종합!$AB$3:$AB$501,0))&amp;"","")</f>
        <v/>
      </c>
      <c r="C282" s="18" t="str">
        <f aca="false">IFERROR(INDEX(종합!C$3:C$501,MATCH(ROW()-2,종합!$AB$3:$AB$501,0))&amp;"","")</f>
        <v/>
      </c>
      <c r="D282" s="18" t="str">
        <f aca="false">IFERROR(INDEX(종합!D$3:D$501,MATCH(ROW()-2,종합!$AB$3:$AB$501,0))&amp;"","")</f>
        <v/>
      </c>
      <c r="E282" s="18" t="str">
        <f aca="false">IFERROR(INDEX(종합!E$3:E$501,MATCH(ROW()-2,종합!$AB$3:$AB$501,0))&amp;"","")</f>
        <v/>
      </c>
      <c r="F282" s="18" t="str">
        <f aca="false">IFERROR(INDEX(종합!F$3:F$501,MATCH(ROW()-2,종합!$AB$3:$AB$501,0))&amp;"","")</f>
        <v/>
      </c>
      <c r="G282" s="18" t="str">
        <f aca="false">IFERROR(INDEX(종합!G$3:G$501,MATCH(ROW()-2,종합!$AB$3:$AB$501,0))&amp;"","")</f>
        <v/>
      </c>
      <c r="H282" s="21" t="str">
        <f aca="false">IFERROR(INDEX(종합!H$3:H$501,MATCH(ROW()-2,종합!$AB$3:$AB$501,0))&amp;"","")</f>
        <v/>
      </c>
      <c r="I282" s="21" t="str">
        <f aca="false">IFERROR(INDEX(종합!I$3:I$501,MATCH(ROW()-2,종합!$AB$3:$AB$501,0))&amp;"","")</f>
        <v/>
      </c>
      <c r="J282" s="21" t="str">
        <f aca="false">IFERROR(INDEX(종합!J$3:J$501,MATCH(ROW()-2,종합!$AB$3:$AB$501,0))&amp;"","")</f>
        <v/>
      </c>
      <c r="K282" s="21" t="str">
        <f aca="false">IFERROR(INDEX(종합!K$3:K$501,MATCH(ROW()-2,종합!$AB$3:$AB$501,0))&amp;"","")</f>
        <v/>
      </c>
      <c r="L282" s="21" t="str">
        <f aca="false">IFERROR(INDEX(종합!L$3:L$501,MATCH(ROW()-2,종합!$AB$3:$AB$501,0))&amp;"","")</f>
        <v/>
      </c>
      <c r="M282" s="21" t="str">
        <f aca="false">IFERROR(INDEX(종합!M$3:M$501,MATCH(ROW()-2,종합!$AB$3:$AB$501,0))&amp;"","")</f>
        <v/>
      </c>
      <c r="N282" s="25" t="str">
        <f aca="false">IFERROR(INDEX(종합!N$3:N$501,MATCH(ROW()-2,종합!$AB$3:$AB$501,0))&amp;"","")</f>
        <v/>
      </c>
      <c r="O282" s="21" t="str">
        <f aca="false">IFERROR(INDEX(종합!O$3:O$501,MATCH(ROW()-2,종합!$AB$3:$AB$501,0))&amp;"","")</f>
        <v/>
      </c>
      <c r="P282" s="21" t="str">
        <f aca="false">IFERROR(INDEX(종합!P$3:P$501,MATCH(ROW()-2,종합!$AB$3:$AB$501,0))&amp;"","")</f>
        <v/>
      </c>
      <c r="Q282" s="21" t="str">
        <f aca="false">IFERROR(INDEX(종합!Q$3:Q$501,MATCH(ROW()-2,종합!$AB$3:$AB$501,0))&amp;"","")</f>
        <v/>
      </c>
      <c r="R282" s="21" t="str">
        <f aca="false">IFERROR(INDEX(종합!R$3:R$501,MATCH(ROW()-2,종합!$AB$3:$AB$501,0))&amp;"","")</f>
        <v/>
      </c>
      <c r="S282" s="21" t="str">
        <f aca="false">IFERROR(INDEX(종합!S$3:S$501,MATCH(ROW()-2,종합!$AB$3:$AB$501,0))&amp;"","")</f>
        <v/>
      </c>
      <c r="T282" s="21" t="str">
        <f aca="false">IFERROR(INDEX(종합!T$3:T$501,MATCH(ROW()-2,종합!$AB$3:$AB$501,0))&amp;"","")</f>
        <v/>
      </c>
      <c r="U282" s="21" t="str">
        <f aca="false">IFERROR(INDEX(종합!U$3:U$501,MATCH(ROW()-2,종합!$AB$3:$AB$501,0))&amp;"","")</f>
        <v/>
      </c>
      <c r="V282" s="21" t="str">
        <f aca="false">IFERROR(INDEX(종합!V$3:V$501,MATCH(ROW()-2,종합!$AB$3:$AB$501,0))&amp;"","")</f>
        <v/>
      </c>
      <c r="W282" s="21" t="str">
        <f aca="false">IFERROR(INDEX(종합!W$3:W$501,MATCH(ROW()-2,종합!$AB$3:$AB$501,0))&amp;"","")</f>
        <v/>
      </c>
      <c r="X282" s="21" t="str">
        <f aca="false">IFERROR(INDEX(종합!X$3:X$501,MATCH(ROW()-2,종합!$AB$3:$AB$501,0))&amp;"","")</f>
        <v/>
      </c>
      <c r="Y282" s="21" t="str">
        <f aca="false">IFERROR(INDEX(종합!Y$3:Y$501,MATCH(ROW()-2,종합!$AB$3:$AB$501,0))&amp;"","")</f>
        <v/>
      </c>
      <c r="Z282" s="21" t="str">
        <f aca="false">IFERROR(INDEX(종합!Z$3:Z$501,MATCH(ROW()-2,종합!$AB$3:$AB$501,0))&amp;"","")</f>
        <v/>
      </c>
    </row>
    <row r="283" customFormat="false" ht="16.5" hidden="false" customHeight="true" outlineLevel="0" collapsed="false">
      <c r="A283" s="18" t="str">
        <f aca="false">IF(B283="","",ROW()-2)</f>
        <v/>
      </c>
      <c r="B283" s="18" t="str">
        <f aca="false">IFERROR(INDEX(종합!B$3:B$501,MATCH(ROW()-2,종합!$AB$3:$AB$501,0))&amp;"","")</f>
        <v/>
      </c>
      <c r="C283" s="18" t="str">
        <f aca="false">IFERROR(INDEX(종합!C$3:C$501,MATCH(ROW()-2,종합!$AB$3:$AB$501,0))&amp;"","")</f>
        <v/>
      </c>
      <c r="D283" s="18" t="str">
        <f aca="false">IFERROR(INDEX(종합!D$3:D$501,MATCH(ROW()-2,종합!$AB$3:$AB$501,0))&amp;"","")</f>
        <v/>
      </c>
      <c r="E283" s="18" t="str">
        <f aca="false">IFERROR(INDEX(종합!E$3:E$501,MATCH(ROW()-2,종합!$AB$3:$AB$501,0))&amp;"","")</f>
        <v/>
      </c>
      <c r="F283" s="18" t="str">
        <f aca="false">IFERROR(INDEX(종합!F$3:F$501,MATCH(ROW()-2,종합!$AB$3:$AB$501,0))&amp;"","")</f>
        <v/>
      </c>
      <c r="G283" s="18" t="str">
        <f aca="false">IFERROR(INDEX(종합!G$3:G$501,MATCH(ROW()-2,종합!$AB$3:$AB$501,0))&amp;"","")</f>
        <v/>
      </c>
      <c r="H283" s="21" t="str">
        <f aca="false">IFERROR(INDEX(종합!H$3:H$501,MATCH(ROW()-2,종합!$AB$3:$AB$501,0))&amp;"","")</f>
        <v/>
      </c>
      <c r="I283" s="21" t="str">
        <f aca="false">IFERROR(INDEX(종합!I$3:I$501,MATCH(ROW()-2,종합!$AB$3:$AB$501,0))&amp;"","")</f>
        <v/>
      </c>
      <c r="J283" s="21" t="str">
        <f aca="false">IFERROR(INDEX(종합!J$3:J$501,MATCH(ROW()-2,종합!$AB$3:$AB$501,0))&amp;"","")</f>
        <v/>
      </c>
      <c r="K283" s="21" t="str">
        <f aca="false">IFERROR(INDEX(종합!K$3:K$501,MATCH(ROW()-2,종합!$AB$3:$AB$501,0))&amp;"","")</f>
        <v/>
      </c>
      <c r="L283" s="21" t="str">
        <f aca="false">IFERROR(INDEX(종합!L$3:L$501,MATCH(ROW()-2,종합!$AB$3:$AB$501,0))&amp;"","")</f>
        <v/>
      </c>
      <c r="M283" s="21" t="str">
        <f aca="false">IFERROR(INDEX(종합!M$3:M$501,MATCH(ROW()-2,종합!$AB$3:$AB$501,0))&amp;"","")</f>
        <v/>
      </c>
      <c r="N283" s="25" t="str">
        <f aca="false">IFERROR(INDEX(종합!N$3:N$501,MATCH(ROW()-2,종합!$AB$3:$AB$501,0))&amp;"","")</f>
        <v/>
      </c>
      <c r="O283" s="21" t="str">
        <f aca="false">IFERROR(INDEX(종합!O$3:O$501,MATCH(ROW()-2,종합!$AB$3:$AB$501,0))&amp;"","")</f>
        <v/>
      </c>
      <c r="P283" s="21" t="str">
        <f aca="false">IFERROR(INDEX(종합!P$3:P$501,MATCH(ROW()-2,종합!$AB$3:$AB$501,0))&amp;"","")</f>
        <v/>
      </c>
      <c r="Q283" s="21" t="str">
        <f aca="false">IFERROR(INDEX(종합!Q$3:Q$501,MATCH(ROW()-2,종합!$AB$3:$AB$501,0))&amp;"","")</f>
        <v/>
      </c>
      <c r="R283" s="21" t="str">
        <f aca="false">IFERROR(INDEX(종합!R$3:R$501,MATCH(ROW()-2,종합!$AB$3:$AB$501,0))&amp;"","")</f>
        <v/>
      </c>
      <c r="S283" s="21" t="str">
        <f aca="false">IFERROR(INDEX(종합!S$3:S$501,MATCH(ROW()-2,종합!$AB$3:$AB$501,0))&amp;"","")</f>
        <v/>
      </c>
      <c r="T283" s="21" t="str">
        <f aca="false">IFERROR(INDEX(종합!T$3:T$501,MATCH(ROW()-2,종합!$AB$3:$AB$501,0))&amp;"","")</f>
        <v/>
      </c>
      <c r="U283" s="21" t="str">
        <f aca="false">IFERROR(INDEX(종합!U$3:U$501,MATCH(ROW()-2,종합!$AB$3:$AB$501,0))&amp;"","")</f>
        <v/>
      </c>
      <c r="V283" s="21" t="str">
        <f aca="false">IFERROR(INDEX(종합!V$3:V$501,MATCH(ROW()-2,종합!$AB$3:$AB$501,0))&amp;"","")</f>
        <v/>
      </c>
      <c r="W283" s="21" t="str">
        <f aca="false">IFERROR(INDEX(종합!W$3:W$501,MATCH(ROW()-2,종합!$AB$3:$AB$501,0))&amp;"","")</f>
        <v/>
      </c>
      <c r="X283" s="21" t="str">
        <f aca="false">IFERROR(INDEX(종합!X$3:X$501,MATCH(ROW()-2,종합!$AB$3:$AB$501,0))&amp;"","")</f>
        <v/>
      </c>
      <c r="Y283" s="21" t="str">
        <f aca="false">IFERROR(INDEX(종합!Y$3:Y$501,MATCH(ROW()-2,종합!$AB$3:$AB$501,0))&amp;"","")</f>
        <v/>
      </c>
      <c r="Z283" s="21" t="str">
        <f aca="false">IFERROR(INDEX(종합!Z$3:Z$501,MATCH(ROW()-2,종합!$AB$3:$AB$501,0))&amp;"","")</f>
        <v/>
      </c>
    </row>
    <row r="284" customFormat="false" ht="16.5" hidden="false" customHeight="true" outlineLevel="0" collapsed="false">
      <c r="A284" s="18" t="str">
        <f aca="false">IF(B284="","",ROW()-2)</f>
        <v/>
      </c>
      <c r="B284" s="18" t="str">
        <f aca="false">IFERROR(INDEX(종합!B$3:B$501,MATCH(ROW()-2,종합!$AB$3:$AB$501,0))&amp;"","")</f>
        <v/>
      </c>
      <c r="C284" s="18" t="str">
        <f aca="false">IFERROR(INDEX(종합!C$3:C$501,MATCH(ROW()-2,종합!$AB$3:$AB$501,0))&amp;"","")</f>
        <v/>
      </c>
      <c r="D284" s="18" t="str">
        <f aca="false">IFERROR(INDEX(종합!D$3:D$501,MATCH(ROW()-2,종합!$AB$3:$AB$501,0))&amp;"","")</f>
        <v/>
      </c>
      <c r="E284" s="18" t="str">
        <f aca="false">IFERROR(INDEX(종합!E$3:E$501,MATCH(ROW()-2,종합!$AB$3:$AB$501,0))&amp;"","")</f>
        <v/>
      </c>
      <c r="F284" s="18" t="str">
        <f aca="false">IFERROR(INDEX(종합!F$3:F$501,MATCH(ROW()-2,종합!$AB$3:$AB$501,0))&amp;"","")</f>
        <v/>
      </c>
      <c r="G284" s="18" t="str">
        <f aca="false">IFERROR(INDEX(종합!G$3:G$501,MATCH(ROW()-2,종합!$AB$3:$AB$501,0))&amp;"","")</f>
        <v/>
      </c>
      <c r="H284" s="21" t="str">
        <f aca="false">IFERROR(INDEX(종합!H$3:H$501,MATCH(ROW()-2,종합!$AB$3:$AB$501,0))&amp;"","")</f>
        <v/>
      </c>
      <c r="I284" s="21" t="str">
        <f aca="false">IFERROR(INDEX(종합!I$3:I$501,MATCH(ROW()-2,종합!$AB$3:$AB$501,0))&amp;"","")</f>
        <v/>
      </c>
      <c r="J284" s="21" t="str">
        <f aca="false">IFERROR(INDEX(종합!J$3:J$501,MATCH(ROW()-2,종합!$AB$3:$AB$501,0))&amp;"","")</f>
        <v/>
      </c>
      <c r="K284" s="21" t="str">
        <f aca="false">IFERROR(INDEX(종합!K$3:K$501,MATCH(ROW()-2,종합!$AB$3:$AB$501,0))&amp;"","")</f>
        <v/>
      </c>
      <c r="L284" s="21" t="str">
        <f aca="false">IFERROR(INDEX(종합!L$3:L$501,MATCH(ROW()-2,종합!$AB$3:$AB$501,0))&amp;"","")</f>
        <v/>
      </c>
      <c r="M284" s="21" t="str">
        <f aca="false">IFERROR(INDEX(종합!M$3:M$501,MATCH(ROW()-2,종합!$AB$3:$AB$501,0))&amp;"","")</f>
        <v/>
      </c>
      <c r="N284" s="25" t="str">
        <f aca="false">IFERROR(INDEX(종합!N$3:N$501,MATCH(ROW()-2,종합!$AB$3:$AB$501,0))&amp;"","")</f>
        <v/>
      </c>
      <c r="O284" s="21" t="str">
        <f aca="false">IFERROR(INDEX(종합!O$3:O$501,MATCH(ROW()-2,종합!$AB$3:$AB$501,0))&amp;"","")</f>
        <v/>
      </c>
      <c r="P284" s="21" t="str">
        <f aca="false">IFERROR(INDEX(종합!P$3:P$501,MATCH(ROW()-2,종합!$AB$3:$AB$501,0))&amp;"","")</f>
        <v/>
      </c>
      <c r="Q284" s="21" t="str">
        <f aca="false">IFERROR(INDEX(종합!Q$3:Q$501,MATCH(ROW()-2,종합!$AB$3:$AB$501,0))&amp;"","")</f>
        <v/>
      </c>
      <c r="R284" s="21" t="str">
        <f aca="false">IFERROR(INDEX(종합!R$3:R$501,MATCH(ROW()-2,종합!$AB$3:$AB$501,0))&amp;"","")</f>
        <v/>
      </c>
      <c r="S284" s="21" t="str">
        <f aca="false">IFERROR(INDEX(종합!S$3:S$501,MATCH(ROW()-2,종합!$AB$3:$AB$501,0))&amp;"","")</f>
        <v/>
      </c>
      <c r="T284" s="21" t="str">
        <f aca="false">IFERROR(INDEX(종합!T$3:T$501,MATCH(ROW()-2,종합!$AB$3:$AB$501,0))&amp;"","")</f>
        <v/>
      </c>
      <c r="U284" s="21" t="str">
        <f aca="false">IFERROR(INDEX(종합!U$3:U$501,MATCH(ROW()-2,종합!$AB$3:$AB$501,0))&amp;"","")</f>
        <v/>
      </c>
      <c r="V284" s="21" t="str">
        <f aca="false">IFERROR(INDEX(종합!V$3:V$501,MATCH(ROW()-2,종합!$AB$3:$AB$501,0))&amp;"","")</f>
        <v/>
      </c>
      <c r="W284" s="21" t="str">
        <f aca="false">IFERROR(INDEX(종합!W$3:W$501,MATCH(ROW()-2,종합!$AB$3:$AB$501,0))&amp;"","")</f>
        <v/>
      </c>
      <c r="X284" s="21" t="str">
        <f aca="false">IFERROR(INDEX(종합!X$3:X$501,MATCH(ROW()-2,종합!$AB$3:$AB$501,0))&amp;"","")</f>
        <v/>
      </c>
      <c r="Y284" s="21" t="str">
        <f aca="false">IFERROR(INDEX(종합!Y$3:Y$501,MATCH(ROW()-2,종합!$AB$3:$AB$501,0))&amp;"","")</f>
        <v/>
      </c>
      <c r="Z284" s="21" t="str">
        <f aca="false">IFERROR(INDEX(종합!Z$3:Z$501,MATCH(ROW()-2,종합!$AB$3:$AB$501,0))&amp;"","")</f>
        <v/>
      </c>
    </row>
    <row r="285" customFormat="false" ht="16.5" hidden="false" customHeight="true" outlineLevel="0" collapsed="false">
      <c r="A285" s="18" t="str">
        <f aca="false">IF(B285="","",ROW()-2)</f>
        <v/>
      </c>
      <c r="B285" s="18" t="str">
        <f aca="false">IFERROR(INDEX(종합!B$3:B$501,MATCH(ROW()-2,종합!$AB$3:$AB$501,0))&amp;"","")</f>
        <v/>
      </c>
      <c r="C285" s="18" t="str">
        <f aca="false">IFERROR(INDEX(종합!C$3:C$501,MATCH(ROW()-2,종합!$AB$3:$AB$501,0))&amp;"","")</f>
        <v/>
      </c>
      <c r="D285" s="18" t="str">
        <f aca="false">IFERROR(INDEX(종합!D$3:D$501,MATCH(ROW()-2,종합!$AB$3:$AB$501,0))&amp;"","")</f>
        <v/>
      </c>
      <c r="E285" s="18" t="str">
        <f aca="false">IFERROR(INDEX(종합!E$3:E$501,MATCH(ROW()-2,종합!$AB$3:$AB$501,0))&amp;"","")</f>
        <v/>
      </c>
      <c r="F285" s="18" t="str">
        <f aca="false">IFERROR(INDEX(종합!F$3:F$501,MATCH(ROW()-2,종합!$AB$3:$AB$501,0))&amp;"","")</f>
        <v/>
      </c>
      <c r="G285" s="18" t="str">
        <f aca="false">IFERROR(INDEX(종합!G$3:G$501,MATCH(ROW()-2,종합!$AB$3:$AB$501,0))&amp;"","")</f>
        <v/>
      </c>
      <c r="H285" s="21" t="str">
        <f aca="false">IFERROR(INDEX(종합!H$3:H$501,MATCH(ROW()-2,종합!$AB$3:$AB$501,0))&amp;"","")</f>
        <v/>
      </c>
      <c r="I285" s="21" t="str">
        <f aca="false">IFERROR(INDEX(종합!I$3:I$501,MATCH(ROW()-2,종합!$AB$3:$AB$501,0))&amp;"","")</f>
        <v/>
      </c>
      <c r="J285" s="21" t="str">
        <f aca="false">IFERROR(INDEX(종합!J$3:J$501,MATCH(ROW()-2,종합!$AB$3:$AB$501,0))&amp;"","")</f>
        <v/>
      </c>
      <c r="K285" s="21" t="str">
        <f aca="false">IFERROR(INDEX(종합!K$3:K$501,MATCH(ROW()-2,종합!$AB$3:$AB$501,0))&amp;"","")</f>
        <v/>
      </c>
      <c r="L285" s="21" t="str">
        <f aca="false">IFERROR(INDEX(종합!L$3:L$501,MATCH(ROW()-2,종합!$AB$3:$AB$501,0))&amp;"","")</f>
        <v/>
      </c>
      <c r="M285" s="21" t="str">
        <f aca="false">IFERROR(INDEX(종합!M$3:M$501,MATCH(ROW()-2,종합!$AB$3:$AB$501,0))&amp;"","")</f>
        <v/>
      </c>
      <c r="N285" s="25" t="str">
        <f aca="false">IFERROR(INDEX(종합!N$3:N$501,MATCH(ROW()-2,종합!$AB$3:$AB$501,0))&amp;"","")</f>
        <v/>
      </c>
      <c r="O285" s="21" t="str">
        <f aca="false">IFERROR(INDEX(종합!O$3:O$501,MATCH(ROW()-2,종합!$AB$3:$AB$501,0))&amp;"","")</f>
        <v/>
      </c>
      <c r="P285" s="21" t="str">
        <f aca="false">IFERROR(INDEX(종합!P$3:P$501,MATCH(ROW()-2,종합!$AB$3:$AB$501,0))&amp;"","")</f>
        <v/>
      </c>
      <c r="Q285" s="21" t="str">
        <f aca="false">IFERROR(INDEX(종합!Q$3:Q$501,MATCH(ROW()-2,종합!$AB$3:$AB$501,0))&amp;"","")</f>
        <v/>
      </c>
      <c r="R285" s="21" t="str">
        <f aca="false">IFERROR(INDEX(종합!R$3:R$501,MATCH(ROW()-2,종합!$AB$3:$AB$501,0))&amp;"","")</f>
        <v/>
      </c>
      <c r="S285" s="21" t="str">
        <f aca="false">IFERROR(INDEX(종합!S$3:S$501,MATCH(ROW()-2,종합!$AB$3:$AB$501,0))&amp;"","")</f>
        <v/>
      </c>
      <c r="T285" s="21" t="str">
        <f aca="false">IFERROR(INDEX(종합!T$3:T$501,MATCH(ROW()-2,종합!$AB$3:$AB$501,0))&amp;"","")</f>
        <v/>
      </c>
      <c r="U285" s="21" t="str">
        <f aca="false">IFERROR(INDEX(종합!U$3:U$501,MATCH(ROW()-2,종합!$AB$3:$AB$501,0))&amp;"","")</f>
        <v/>
      </c>
      <c r="V285" s="21" t="str">
        <f aca="false">IFERROR(INDEX(종합!V$3:V$501,MATCH(ROW()-2,종합!$AB$3:$AB$501,0))&amp;"","")</f>
        <v/>
      </c>
      <c r="W285" s="21" t="str">
        <f aca="false">IFERROR(INDEX(종합!W$3:W$501,MATCH(ROW()-2,종합!$AB$3:$AB$501,0))&amp;"","")</f>
        <v/>
      </c>
      <c r="X285" s="21" t="str">
        <f aca="false">IFERROR(INDEX(종합!X$3:X$501,MATCH(ROW()-2,종합!$AB$3:$AB$501,0))&amp;"","")</f>
        <v/>
      </c>
      <c r="Y285" s="21" t="str">
        <f aca="false">IFERROR(INDEX(종합!Y$3:Y$501,MATCH(ROW()-2,종합!$AB$3:$AB$501,0))&amp;"","")</f>
        <v/>
      </c>
      <c r="Z285" s="21" t="str">
        <f aca="false">IFERROR(INDEX(종합!Z$3:Z$501,MATCH(ROW()-2,종합!$AB$3:$AB$501,0))&amp;"","")</f>
        <v/>
      </c>
    </row>
    <row r="286" customFormat="false" ht="16.5" hidden="false" customHeight="true" outlineLevel="0" collapsed="false">
      <c r="A286" s="18" t="str">
        <f aca="false">IF(B286="","",ROW()-2)</f>
        <v/>
      </c>
      <c r="B286" s="18" t="str">
        <f aca="false">IFERROR(INDEX(종합!B$3:B$501,MATCH(ROW()-2,종합!$AB$3:$AB$501,0))&amp;"","")</f>
        <v/>
      </c>
      <c r="C286" s="18" t="str">
        <f aca="false">IFERROR(INDEX(종합!C$3:C$501,MATCH(ROW()-2,종합!$AB$3:$AB$501,0))&amp;"","")</f>
        <v/>
      </c>
      <c r="D286" s="18" t="str">
        <f aca="false">IFERROR(INDEX(종합!D$3:D$501,MATCH(ROW()-2,종합!$AB$3:$AB$501,0))&amp;"","")</f>
        <v/>
      </c>
      <c r="E286" s="18" t="str">
        <f aca="false">IFERROR(INDEX(종합!E$3:E$501,MATCH(ROW()-2,종합!$AB$3:$AB$501,0))&amp;"","")</f>
        <v/>
      </c>
      <c r="F286" s="18" t="str">
        <f aca="false">IFERROR(INDEX(종합!F$3:F$501,MATCH(ROW()-2,종합!$AB$3:$AB$501,0))&amp;"","")</f>
        <v/>
      </c>
      <c r="G286" s="18" t="str">
        <f aca="false">IFERROR(INDEX(종합!G$3:G$501,MATCH(ROW()-2,종합!$AB$3:$AB$501,0))&amp;"","")</f>
        <v/>
      </c>
      <c r="H286" s="21" t="str">
        <f aca="false">IFERROR(INDEX(종합!H$3:H$501,MATCH(ROW()-2,종합!$AB$3:$AB$501,0))&amp;"","")</f>
        <v/>
      </c>
      <c r="I286" s="21" t="str">
        <f aca="false">IFERROR(INDEX(종합!I$3:I$501,MATCH(ROW()-2,종합!$AB$3:$AB$501,0))&amp;"","")</f>
        <v/>
      </c>
      <c r="J286" s="21" t="str">
        <f aca="false">IFERROR(INDEX(종합!J$3:J$501,MATCH(ROW()-2,종합!$AB$3:$AB$501,0))&amp;"","")</f>
        <v/>
      </c>
      <c r="K286" s="21" t="str">
        <f aca="false">IFERROR(INDEX(종합!K$3:K$501,MATCH(ROW()-2,종합!$AB$3:$AB$501,0))&amp;"","")</f>
        <v/>
      </c>
      <c r="L286" s="21" t="str">
        <f aca="false">IFERROR(INDEX(종합!L$3:L$501,MATCH(ROW()-2,종합!$AB$3:$AB$501,0))&amp;"","")</f>
        <v/>
      </c>
      <c r="M286" s="21" t="str">
        <f aca="false">IFERROR(INDEX(종합!M$3:M$501,MATCH(ROW()-2,종합!$AB$3:$AB$501,0))&amp;"","")</f>
        <v/>
      </c>
      <c r="N286" s="25" t="str">
        <f aca="false">IFERROR(INDEX(종합!N$3:N$501,MATCH(ROW()-2,종합!$AB$3:$AB$501,0))&amp;"","")</f>
        <v/>
      </c>
      <c r="O286" s="21" t="str">
        <f aca="false">IFERROR(INDEX(종합!O$3:O$501,MATCH(ROW()-2,종합!$AB$3:$AB$501,0))&amp;"","")</f>
        <v/>
      </c>
      <c r="P286" s="21" t="str">
        <f aca="false">IFERROR(INDEX(종합!P$3:P$501,MATCH(ROW()-2,종합!$AB$3:$AB$501,0))&amp;"","")</f>
        <v/>
      </c>
      <c r="Q286" s="21" t="str">
        <f aca="false">IFERROR(INDEX(종합!Q$3:Q$501,MATCH(ROW()-2,종합!$AB$3:$AB$501,0))&amp;"","")</f>
        <v/>
      </c>
      <c r="R286" s="21" t="str">
        <f aca="false">IFERROR(INDEX(종합!R$3:R$501,MATCH(ROW()-2,종합!$AB$3:$AB$501,0))&amp;"","")</f>
        <v/>
      </c>
      <c r="S286" s="21" t="str">
        <f aca="false">IFERROR(INDEX(종합!S$3:S$501,MATCH(ROW()-2,종합!$AB$3:$AB$501,0))&amp;"","")</f>
        <v/>
      </c>
      <c r="T286" s="21" t="str">
        <f aca="false">IFERROR(INDEX(종합!T$3:T$501,MATCH(ROW()-2,종합!$AB$3:$AB$501,0))&amp;"","")</f>
        <v/>
      </c>
      <c r="U286" s="21" t="str">
        <f aca="false">IFERROR(INDEX(종합!U$3:U$501,MATCH(ROW()-2,종합!$AB$3:$AB$501,0))&amp;"","")</f>
        <v/>
      </c>
      <c r="V286" s="21" t="str">
        <f aca="false">IFERROR(INDEX(종합!V$3:V$501,MATCH(ROW()-2,종합!$AB$3:$AB$501,0))&amp;"","")</f>
        <v/>
      </c>
      <c r="W286" s="21" t="str">
        <f aca="false">IFERROR(INDEX(종합!W$3:W$501,MATCH(ROW()-2,종합!$AB$3:$AB$501,0))&amp;"","")</f>
        <v/>
      </c>
      <c r="X286" s="21" t="str">
        <f aca="false">IFERROR(INDEX(종합!X$3:X$501,MATCH(ROW()-2,종합!$AB$3:$AB$501,0))&amp;"","")</f>
        <v/>
      </c>
      <c r="Y286" s="21" t="str">
        <f aca="false">IFERROR(INDEX(종합!Y$3:Y$501,MATCH(ROW()-2,종합!$AB$3:$AB$501,0))&amp;"","")</f>
        <v/>
      </c>
      <c r="Z286" s="21" t="str">
        <f aca="false">IFERROR(INDEX(종합!Z$3:Z$501,MATCH(ROW()-2,종합!$AB$3:$AB$501,0))&amp;"","")</f>
        <v/>
      </c>
    </row>
    <row r="287" customFormat="false" ht="16.5" hidden="false" customHeight="true" outlineLevel="0" collapsed="false">
      <c r="A287" s="18" t="str">
        <f aca="false">IF(B287="","",ROW()-2)</f>
        <v/>
      </c>
      <c r="B287" s="18" t="str">
        <f aca="false">IFERROR(INDEX(종합!B$3:B$501,MATCH(ROW()-2,종합!$AB$3:$AB$501,0))&amp;"","")</f>
        <v/>
      </c>
      <c r="C287" s="18" t="str">
        <f aca="false">IFERROR(INDEX(종합!C$3:C$501,MATCH(ROW()-2,종합!$AB$3:$AB$501,0))&amp;"","")</f>
        <v/>
      </c>
      <c r="D287" s="18" t="str">
        <f aca="false">IFERROR(INDEX(종합!D$3:D$501,MATCH(ROW()-2,종합!$AB$3:$AB$501,0))&amp;"","")</f>
        <v/>
      </c>
      <c r="E287" s="18" t="str">
        <f aca="false">IFERROR(INDEX(종합!E$3:E$501,MATCH(ROW()-2,종합!$AB$3:$AB$501,0))&amp;"","")</f>
        <v/>
      </c>
      <c r="F287" s="18" t="str">
        <f aca="false">IFERROR(INDEX(종합!F$3:F$501,MATCH(ROW()-2,종합!$AB$3:$AB$501,0))&amp;"","")</f>
        <v/>
      </c>
      <c r="G287" s="18" t="str">
        <f aca="false">IFERROR(INDEX(종합!G$3:G$501,MATCH(ROW()-2,종합!$AB$3:$AB$501,0))&amp;"","")</f>
        <v/>
      </c>
      <c r="H287" s="21" t="str">
        <f aca="false">IFERROR(INDEX(종합!H$3:H$501,MATCH(ROW()-2,종합!$AB$3:$AB$501,0))&amp;"","")</f>
        <v/>
      </c>
      <c r="I287" s="21" t="str">
        <f aca="false">IFERROR(INDEX(종합!I$3:I$501,MATCH(ROW()-2,종합!$AB$3:$AB$501,0))&amp;"","")</f>
        <v/>
      </c>
      <c r="J287" s="21" t="str">
        <f aca="false">IFERROR(INDEX(종합!J$3:J$501,MATCH(ROW()-2,종합!$AB$3:$AB$501,0))&amp;"","")</f>
        <v/>
      </c>
      <c r="K287" s="21" t="str">
        <f aca="false">IFERROR(INDEX(종합!K$3:K$501,MATCH(ROW()-2,종합!$AB$3:$AB$501,0))&amp;"","")</f>
        <v/>
      </c>
      <c r="L287" s="21" t="str">
        <f aca="false">IFERROR(INDEX(종합!L$3:L$501,MATCH(ROW()-2,종합!$AB$3:$AB$501,0))&amp;"","")</f>
        <v/>
      </c>
      <c r="M287" s="21" t="str">
        <f aca="false">IFERROR(INDEX(종합!M$3:M$501,MATCH(ROW()-2,종합!$AB$3:$AB$501,0))&amp;"","")</f>
        <v/>
      </c>
      <c r="N287" s="25" t="str">
        <f aca="false">IFERROR(INDEX(종합!N$3:N$501,MATCH(ROW()-2,종합!$AB$3:$AB$501,0))&amp;"","")</f>
        <v/>
      </c>
      <c r="O287" s="21" t="str">
        <f aca="false">IFERROR(INDEX(종합!O$3:O$501,MATCH(ROW()-2,종합!$AB$3:$AB$501,0))&amp;"","")</f>
        <v/>
      </c>
      <c r="P287" s="21" t="str">
        <f aca="false">IFERROR(INDEX(종합!P$3:P$501,MATCH(ROW()-2,종합!$AB$3:$AB$501,0))&amp;"","")</f>
        <v/>
      </c>
      <c r="Q287" s="21" t="str">
        <f aca="false">IFERROR(INDEX(종합!Q$3:Q$501,MATCH(ROW()-2,종합!$AB$3:$AB$501,0))&amp;"","")</f>
        <v/>
      </c>
      <c r="R287" s="21" t="str">
        <f aca="false">IFERROR(INDEX(종합!R$3:R$501,MATCH(ROW()-2,종합!$AB$3:$AB$501,0))&amp;"","")</f>
        <v/>
      </c>
      <c r="S287" s="21" t="str">
        <f aca="false">IFERROR(INDEX(종합!S$3:S$501,MATCH(ROW()-2,종합!$AB$3:$AB$501,0))&amp;"","")</f>
        <v/>
      </c>
      <c r="T287" s="21" t="str">
        <f aca="false">IFERROR(INDEX(종합!T$3:T$501,MATCH(ROW()-2,종합!$AB$3:$AB$501,0))&amp;"","")</f>
        <v/>
      </c>
      <c r="U287" s="21" t="str">
        <f aca="false">IFERROR(INDEX(종합!U$3:U$501,MATCH(ROW()-2,종합!$AB$3:$AB$501,0))&amp;"","")</f>
        <v/>
      </c>
      <c r="V287" s="21" t="str">
        <f aca="false">IFERROR(INDEX(종합!V$3:V$501,MATCH(ROW()-2,종합!$AB$3:$AB$501,0))&amp;"","")</f>
        <v/>
      </c>
      <c r="W287" s="21" t="str">
        <f aca="false">IFERROR(INDEX(종합!W$3:W$501,MATCH(ROW()-2,종합!$AB$3:$AB$501,0))&amp;"","")</f>
        <v/>
      </c>
      <c r="X287" s="21" t="str">
        <f aca="false">IFERROR(INDEX(종합!X$3:X$501,MATCH(ROW()-2,종합!$AB$3:$AB$501,0))&amp;"","")</f>
        <v/>
      </c>
      <c r="Y287" s="21" t="str">
        <f aca="false">IFERROR(INDEX(종합!Y$3:Y$501,MATCH(ROW()-2,종합!$AB$3:$AB$501,0))&amp;"","")</f>
        <v/>
      </c>
      <c r="Z287" s="21" t="str">
        <f aca="false">IFERROR(INDEX(종합!Z$3:Z$501,MATCH(ROW()-2,종합!$AB$3:$AB$501,0))&amp;"","")</f>
        <v/>
      </c>
    </row>
    <row r="288" customFormat="false" ht="16.5" hidden="false" customHeight="true" outlineLevel="0" collapsed="false">
      <c r="A288" s="18" t="str">
        <f aca="false">IF(B288="","",ROW()-2)</f>
        <v/>
      </c>
      <c r="B288" s="18" t="str">
        <f aca="false">IFERROR(INDEX(종합!B$3:B$501,MATCH(ROW()-2,종합!$AB$3:$AB$501,0))&amp;"","")</f>
        <v/>
      </c>
      <c r="C288" s="18" t="str">
        <f aca="false">IFERROR(INDEX(종합!C$3:C$501,MATCH(ROW()-2,종합!$AB$3:$AB$501,0))&amp;"","")</f>
        <v/>
      </c>
      <c r="D288" s="18" t="str">
        <f aca="false">IFERROR(INDEX(종합!D$3:D$501,MATCH(ROW()-2,종합!$AB$3:$AB$501,0))&amp;"","")</f>
        <v/>
      </c>
      <c r="E288" s="18" t="str">
        <f aca="false">IFERROR(INDEX(종합!E$3:E$501,MATCH(ROW()-2,종합!$AB$3:$AB$501,0))&amp;"","")</f>
        <v/>
      </c>
      <c r="F288" s="18" t="str">
        <f aca="false">IFERROR(INDEX(종합!F$3:F$501,MATCH(ROW()-2,종합!$AB$3:$AB$501,0))&amp;"","")</f>
        <v/>
      </c>
      <c r="G288" s="18" t="str">
        <f aca="false">IFERROR(INDEX(종합!G$3:G$501,MATCH(ROW()-2,종합!$AB$3:$AB$501,0))&amp;"","")</f>
        <v/>
      </c>
      <c r="H288" s="21" t="str">
        <f aca="false">IFERROR(INDEX(종합!H$3:H$501,MATCH(ROW()-2,종합!$AB$3:$AB$501,0))&amp;"","")</f>
        <v/>
      </c>
      <c r="I288" s="21" t="str">
        <f aca="false">IFERROR(INDEX(종합!I$3:I$501,MATCH(ROW()-2,종합!$AB$3:$AB$501,0))&amp;"","")</f>
        <v/>
      </c>
      <c r="J288" s="21" t="str">
        <f aca="false">IFERROR(INDEX(종합!J$3:J$501,MATCH(ROW()-2,종합!$AB$3:$AB$501,0))&amp;"","")</f>
        <v/>
      </c>
      <c r="K288" s="21" t="str">
        <f aca="false">IFERROR(INDEX(종합!K$3:K$501,MATCH(ROW()-2,종합!$AB$3:$AB$501,0))&amp;"","")</f>
        <v/>
      </c>
      <c r="L288" s="21" t="str">
        <f aca="false">IFERROR(INDEX(종합!L$3:L$501,MATCH(ROW()-2,종합!$AB$3:$AB$501,0))&amp;"","")</f>
        <v/>
      </c>
      <c r="M288" s="21" t="str">
        <f aca="false">IFERROR(INDEX(종합!M$3:M$501,MATCH(ROW()-2,종합!$AB$3:$AB$501,0))&amp;"","")</f>
        <v/>
      </c>
      <c r="N288" s="25" t="str">
        <f aca="false">IFERROR(INDEX(종합!N$3:N$501,MATCH(ROW()-2,종합!$AB$3:$AB$501,0))&amp;"","")</f>
        <v/>
      </c>
      <c r="O288" s="21" t="str">
        <f aca="false">IFERROR(INDEX(종합!O$3:O$501,MATCH(ROW()-2,종합!$AB$3:$AB$501,0))&amp;"","")</f>
        <v/>
      </c>
      <c r="P288" s="21" t="str">
        <f aca="false">IFERROR(INDEX(종합!P$3:P$501,MATCH(ROW()-2,종합!$AB$3:$AB$501,0))&amp;"","")</f>
        <v/>
      </c>
      <c r="Q288" s="21" t="str">
        <f aca="false">IFERROR(INDEX(종합!Q$3:Q$501,MATCH(ROW()-2,종합!$AB$3:$AB$501,0))&amp;"","")</f>
        <v/>
      </c>
      <c r="R288" s="21" t="str">
        <f aca="false">IFERROR(INDEX(종합!R$3:R$501,MATCH(ROW()-2,종합!$AB$3:$AB$501,0))&amp;"","")</f>
        <v/>
      </c>
      <c r="S288" s="21" t="str">
        <f aca="false">IFERROR(INDEX(종합!S$3:S$501,MATCH(ROW()-2,종합!$AB$3:$AB$501,0))&amp;"","")</f>
        <v/>
      </c>
      <c r="T288" s="21" t="str">
        <f aca="false">IFERROR(INDEX(종합!T$3:T$501,MATCH(ROW()-2,종합!$AB$3:$AB$501,0))&amp;"","")</f>
        <v/>
      </c>
      <c r="U288" s="21" t="str">
        <f aca="false">IFERROR(INDEX(종합!U$3:U$501,MATCH(ROW()-2,종합!$AB$3:$AB$501,0))&amp;"","")</f>
        <v/>
      </c>
      <c r="V288" s="21" t="str">
        <f aca="false">IFERROR(INDEX(종합!V$3:V$501,MATCH(ROW()-2,종합!$AB$3:$AB$501,0))&amp;"","")</f>
        <v/>
      </c>
      <c r="W288" s="21" t="str">
        <f aca="false">IFERROR(INDEX(종합!W$3:W$501,MATCH(ROW()-2,종합!$AB$3:$AB$501,0))&amp;"","")</f>
        <v/>
      </c>
      <c r="X288" s="21" t="str">
        <f aca="false">IFERROR(INDEX(종합!X$3:X$501,MATCH(ROW()-2,종합!$AB$3:$AB$501,0))&amp;"","")</f>
        <v/>
      </c>
      <c r="Y288" s="21" t="str">
        <f aca="false">IFERROR(INDEX(종합!Y$3:Y$501,MATCH(ROW()-2,종합!$AB$3:$AB$501,0))&amp;"","")</f>
        <v/>
      </c>
      <c r="Z288" s="21" t="str">
        <f aca="false">IFERROR(INDEX(종합!Z$3:Z$501,MATCH(ROW()-2,종합!$AB$3:$AB$501,0))&amp;"","")</f>
        <v/>
      </c>
    </row>
    <row r="289" customFormat="false" ht="16.5" hidden="false" customHeight="true" outlineLevel="0" collapsed="false">
      <c r="A289" s="18" t="str">
        <f aca="false">IF(B289="","",ROW()-2)</f>
        <v/>
      </c>
      <c r="B289" s="18" t="str">
        <f aca="false">IFERROR(INDEX(종합!B$3:B$501,MATCH(ROW()-2,종합!$AB$3:$AB$501,0))&amp;"","")</f>
        <v/>
      </c>
      <c r="C289" s="18" t="str">
        <f aca="false">IFERROR(INDEX(종합!C$3:C$501,MATCH(ROW()-2,종합!$AB$3:$AB$501,0))&amp;"","")</f>
        <v/>
      </c>
      <c r="D289" s="18" t="str">
        <f aca="false">IFERROR(INDEX(종합!D$3:D$501,MATCH(ROW()-2,종합!$AB$3:$AB$501,0))&amp;"","")</f>
        <v/>
      </c>
      <c r="E289" s="18" t="str">
        <f aca="false">IFERROR(INDEX(종합!E$3:E$501,MATCH(ROW()-2,종합!$AB$3:$AB$501,0))&amp;"","")</f>
        <v/>
      </c>
      <c r="F289" s="18" t="str">
        <f aca="false">IFERROR(INDEX(종합!F$3:F$501,MATCH(ROW()-2,종합!$AB$3:$AB$501,0))&amp;"","")</f>
        <v/>
      </c>
      <c r="G289" s="18" t="str">
        <f aca="false">IFERROR(INDEX(종합!G$3:G$501,MATCH(ROW()-2,종합!$AB$3:$AB$501,0))&amp;"","")</f>
        <v/>
      </c>
      <c r="H289" s="21" t="str">
        <f aca="false">IFERROR(INDEX(종합!H$3:H$501,MATCH(ROW()-2,종합!$AB$3:$AB$501,0))&amp;"","")</f>
        <v/>
      </c>
      <c r="I289" s="21" t="str">
        <f aca="false">IFERROR(INDEX(종합!I$3:I$501,MATCH(ROW()-2,종합!$AB$3:$AB$501,0))&amp;"","")</f>
        <v/>
      </c>
      <c r="J289" s="21" t="str">
        <f aca="false">IFERROR(INDEX(종합!J$3:J$501,MATCH(ROW()-2,종합!$AB$3:$AB$501,0))&amp;"","")</f>
        <v/>
      </c>
      <c r="K289" s="21" t="str">
        <f aca="false">IFERROR(INDEX(종합!K$3:K$501,MATCH(ROW()-2,종합!$AB$3:$AB$501,0))&amp;"","")</f>
        <v/>
      </c>
      <c r="L289" s="21" t="str">
        <f aca="false">IFERROR(INDEX(종합!L$3:L$501,MATCH(ROW()-2,종합!$AB$3:$AB$501,0))&amp;"","")</f>
        <v/>
      </c>
      <c r="M289" s="21" t="str">
        <f aca="false">IFERROR(INDEX(종합!M$3:M$501,MATCH(ROW()-2,종합!$AB$3:$AB$501,0))&amp;"","")</f>
        <v/>
      </c>
      <c r="N289" s="25" t="str">
        <f aca="false">IFERROR(INDEX(종합!N$3:N$501,MATCH(ROW()-2,종합!$AB$3:$AB$501,0))&amp;"","")</f>
        <v/>
      </c>
      <c r="O289" s="21" t="str">
        <f aca="false">IFERROR(INDEX(종합!O$3:O$501,MATCH(ROW()-2,종합!$AB$3:$AB$501,0))&amp;"","")</f>
        <v/>
      </c>
      <c r="P289" s="21" t="str">
        <f aca="false">IFERROR(INDEX(종합!P$3:P$501,MATCH(ROW()-2,종합!$AB$3:$AB$501,0))&amp;"","")</f>
        <v/>
      </c>
      <c r="Q289" s="21" t="str">
        <f aca="false">IFERROR(INDEX(종합!Q$3:Q$501,MATCH(ROW()-2,종합!$AB$3:$AB$501,0))&amp;"","")</f>
        <v/>
      </c>
      <c r="R289" s="21" t="str">
        <f aca="false">IFERROR(INDEX(종합!R$3:R$501,MATCH(ROW()-2,종합!$AB$3:$AB$501,0))&amp;"","")</f>
        <v/>
      </c>
      <c r="S289" s="21" t="str">
        <f aca="false">IFERROR(INDEX(종합!S$3:S$501,MATCH(ROW()-2,종합!$AB$3:$AB$501,0))&amp;"","")</f>
        <v/>
      </c>
      <c r="T289" s="21" t="str">
        <f aca="false">IFERROR(INDEX(종합!T$3:T$501,MATCH(ROW()-2,종합!$AB$3:$AB$501,0))&amp;"","")</f>
        <v/>
      </c>
      <c r="U289" s="21" t="str">
        <f aca="false">IFERROR(INDEX(종합!U$3:U$501,MATCH(ROW()-2,종합!$AB$3:$AB$501,0))&amp;"","")</f>
        <v/>
      </c>
      <c r="V289" s="21" t="str">
        <f aca="false">IFERROR(INDEX(종합!V$3:V$501,MATCH(ROW()-2,종합!$AB$3:$AB$501,0))&amp;"","")</f>
        <v/>
      </c>
      <c r="W289" s="21" t="str">
        <f aca="false">IFERROR(INDEX(종합!W$3:W$501,MATCH(ROW()-2,종합!$AB$3:$AB$501,0))&amp;"","")</f>
        <v/>
      </c>
      <c r="X289" s="21" t="str">
        <f aca="false">IFERROR(INDEX(종합!X$3:X$501,MATCH(ROW()-2,종합!$AB$3:$AB$501,0))&amp;"","")</f>
        <v/>
      </c>
      <c r="Y289" s="21" t="str">
        <f aca="false">IFERROR(INDEX(종합!Y$3:Y$501,MATCH(ROW()-2,종합!$AB$3:$AB$501,0))&amp;"","")</f>
        <v/>
      </c>
      <c r="Z289" s="21" t="str">
        <f aca="false">IFERROR(INDEX(종합!Z$3:Z$501,MATCH(ROW()-2,종합!$AB$3:$AB$501,0))&amp;"","")</f>
        <v/>
      </c>
    </row>
    <row r="290" customFormat="false" ht="16.5" hidden="false" customHeight="true" outlineLevel="0" collapsed="false">
      <c r="A290" s="18" t="str">
        <f aca="false">IF(B290="","",ROW()-2)</f>
        <v/>
      </c>
      <c r="B290" s="18" t="str">
        <f aca="false">IFERROR(INDEX(종합!B$3:B$501,MATCH(ROW()-2,종합!$AB$3:$AB$501,0))&amp;"","")</f>
        <v/>
      </c>
      <c r="C290" s="18" t="str">
        <f aca="false">IFERROR(INDEX(종합!C$3:C$501,MATCH(ROW()-2,종합!$AB$3:$AB$501,0))&amp;"","")</f>
        <v/>
      </c>
      <c r="D290" s="18" t="str">
        <f aca="false">IFERROR(INDEX(종합!D$3:D$501,MATCH(ROW()-2,종합!$AB$3:$AB$501,0))&amp;"","")</f>
        <v/>
      </c>
      <c r="E290" s="18" t="str">
        <f aca="false">IFERROR(INDEX(종합!E$3:E$501,MATCH(ROW()-2,종합!$AB$3:$AB$501,0))&amp;"","")</f>
        <v/>
      </c>
      <c r="F290" s="18" t="str">
        <f aca="false">IFERROR(INDEX(종합!F$3:F$501,MATCH(ROW()-2,종합!$AB$3:$AB$501,0))&amp;"","")</f>
        <v/>
      </c>
      <c r="G290" s="18" t="str">
        <f aca="false">IFERROR(INDEX(종합!G$3:G$501,MATCH(ROW()-2,종합!$AB$3:$AB$501,0))&amp;"","")</f>
        <v/>
      </c>
      <c r="H290" s="21" t="str">
        <f aca="false">IFERROR(INDEX(종합!H$3:H$501,MATCH(ROW()-2,종합!$AB$3:$AB$501,0))&amp;"","")</f>
        <v/>
      </c>
      <c r="I290" s="21" t="str">
        <f aca="false">IFERROR(INDEX(종합!I$3:I$501,MATCH(ROW()-2,종합!$AB$3:$AB$501,0))&amp;"","")</f>
        <v/>
      </c>
      <c r="J290" s="21" t="str">
        <f aca="false">IFERROR(INDEX(종합!J$3:J$501,MATCH(ROW()-2,종합!$AB$3:$AB$501,0))&amp;"","")</f>
        <v/>
      </c>
      <c r="K290" s="21" t="str">
        <f aca="false">IFERROR(INDEX(종합!K$3:K$501,MATCH(ROW()-2,종합!$AB$3:$AB$501,0))&amp;"","")</f>
        <v/>
      </c>
      <c r="L290" s="21" t="str">
        <f aca="false">IFERROR(INDEX(종합!L$3:L$501,MATCH(ROW()-2,종합!$AB$3:$AB$501,0))&amp;"","")</f>
        <v/>
      </c>
      <c r="M290" s="21" t="str">
        <f aca="false">IFERROR(INDEX(종합!M$3:M$501,MATCH(ROW()-2,종합!$AB$3:$AB$501,0))&amp;"","")</f>
        <v/>
      </c>
      <c r="N290" s="25" t="str">
        <f aca="false">IFERROR(INDEX(종합!N$3:N$501,MATCH(ROW()-2,종합!$AB$3:$AB$501,0))&amp;"","")</f>
        <v/>
      </c>
      <c r="O290" s="21" t="str">
        <f aca="false">IFERROR(INDEX(종합!O$3:O$501,MATCH(ROW()-2,종합!$AB$3:$AB$501,0))&amp;"","")</f>
        <v/>
      </c>
      <c r="P290" s="21" t="str">
        <f aca="false">IFERROR(INDEX(종합!P$3:P$501,MATCH(ROW()-2,종합!$AB$3:$AB$501,0))&amp;"","")</f>
        <v/>
      </c>
      <c r="Q290" s="21" t="str">
        <f aca="false">IFERROR(INDEX(종합!Q$3:Q$501,MATCH(ROW()-2,종합!$AB$3:$AB$501,0))&amp;"","")</f>
        <v/>
      </c>
      <c r="R290" s="21" t="str">
        <f aca="false">IFERROR(INDEX(종합!R$3:R$501,MATCH(ROW()-2,종합!$AB$3:$AB$501,0))&amp;"","")</f>
        <v/>
      </c>
      <c r="S290" s="21" t="str">
        <f aca="false">IFERROR(INDEX(종합!S$3:S$501,MATCH(ROW()-2,종합!$AB$3:$AB$501,0))&amp;"","")</f>
        <v/>
      </c>
      <c r="T290" s="21" t="str">
        <f aca="false">IFERROR(INDEX(종합!T$3:T$501,MATCH(ROW()-2,종합!$AB$3:$AB$501,0))&amp;"","")</f>
        <v/>
      </c>
      <c r="U290" s="21" t="str">
        <f aca="false">IFERROR(INDEX(종합!U$3:U$501,MATCH(ROW()-2,종합!$AB$3:$AB$501,0))&amp;"","")</f>
        <v/>
      </c>
      <c r="V290" s="21" t="str">
        <f aca="false">IFERROR(INDEX(종합!V$3:V$501,MATCH(ROW()-2,종합!$AB$3:$AB$501,0))&amp;"","")</f>
        <v/>
      </c>
      <c r="W290" s="21" t="str">
        <f aca="false">IFERROR(INDEX(종합!W$3:W$501,MATCH(ROW()-2,종합!$AB$3:$AB$501,0))&amp;"","")</f>
        <v/>
      </c>
      <c r="X290" s="21" t="str">
        <f aca="false">IFERROR(INDEX(종합!X$3:X$501,MATCH(ROW()-2,종합!$AB$3:$AB$501,0))&amp;"","")</f>
        <v/>
      </c>
      <c r="Y290" s="21" t="str">
        <f aca="false">IFERROR(INDEX(종합!Y$3:Y$501,MATCH(ROW()-2,종합!$AB$3:$AB$501,0))&amp;"","")</f>
        <v/>
      </c>
      <c r="Z290" s="21" t="str">
        <f aca="false">IFERROR(INDEX(종합!Z$3:Z$501,MATCH(ROW()-2,종합!$AB$3:$AB$501,0))&amp;"","")</f>
        <v/>
      </c>
    </row>
    <row r="291" customFormat="false" ht="16.5" hidden="false" customHeight="true" outlineLevel="0" collapsed="false">
      <c r="A291" s="18" t="str">
        <f aca="false">IF(B291="","",ROW()-2)</f>
        <v/>
      </c>
      <c r="B291" s="18" t="str">
        <f aca="false">IFERROR(INDEX(종합!B$3:B$501,MATCH(ROW()-2,종합!$AB$3:$AB$501,0))&amp;"","")</f>
        <v/>
      </c>
      <c r="C291" s="18" t="str">
        <f aca="false">IFERROR(INDEX(종합!C$3:C$501,MATCH(ROW()-2,종합!$AB$3:$AB$501,0))&amp;"","")</f>
        <v/>
      </c>
      <c r="D291" s="18" t="str">
        <f aca="false">IFERROR(INDEX(종합!D$3:D$501,MATCH(ROW()-2,종합!$AB$3:$AB$501,0))&amp;"","")</f>
        <v/>
      </c>
      <c r="E291" s="18" t="str">
        <f aca="false">IFERROR(INDEX(종합!E$3:E$501,MATCH(ROW()-2,종합!$AB$3:$AB$501,0))&amp;"","")</f>
        <v/>
      </c>
      <c r="F291" s="18" t="str">
        <f aca="false">IFERROR(INDEX(종합!F$3:F$501,MATCH(ROW()-2,종합!$AB$3:$AB$501,0))&amp;"","")</f>
        <v/>
      </c>
      <c r="G291" s="18" t="str">
        <f aca="false">IFERROR(INDEX(종합!G$3:G$501,MATCH(ROW()-2,종합!$AB$3:$AB$501,0))&amp;"","")</f>
        <v/>
      </c>
      <c r="H291" s="21" t="str">
        <f aca="false">IFERROR(INDEX(종합!H$3:H$501,MATCH(ROW()-2,종합!$AB$3:$AB$501,0))&amp;"","")</f>
        <v/>
      </c>
      <c r="I291" s="21" t="str">
        <f aca="false">IFERROR(INDEX(종합!I$3:I$501,MATCH(ROW()-2,종합!$AB$3:$AB$501,0))&amp;"","")</f>
        <v/>
      </c>
      <c r="J291" s="21" t="str">
        <f aca="false">IFERROR(INDEX(종합!J$3:J$501,MATCH(ROW()-2,종합!$AB$3:$AB$501,0))&amp;"","")</f>
        <v/>
      </c>
      <c r="K291" s="21" t="str">
        <f aca="false">IFERROR(INDEX(종합!K$3:K$501,MATCH(ROW()-2,종합!$AB$3:$AB$501,0))&amp;"","")</f>
        <v/>
      </c>
      <c r="L291" s="21" t="str">
        <f aca="false">IFERROR(INDEX(종합!L$3:L$501,MATCH(ROW()-2,종합!$AB$3:$AB$501,0))&amp;"","")</f>
        <v/>
      </c>
      <c r="M291" s="21" t="str">
        <f aca="false">IFERROR(INDEX(종합!M$3:M$501,MATCH(ROW()-2,종합!$AB$3:$AB$501,0))&amp;"","")</f>
        <v/>
      </c>
      <c r="N291" s="25" t="str">
        <f aca="false">IFERROR(INDEX(종합!N$3:N$501,MATCH(ROW()-2,종합!$AB$3:$AB$501,0))&amp;"","")</f>
        <v/>
      </c>
      <c r="O291" s="21" t="str">
        <f aca="false">IFERROR(INDEX(종합!O$3:O$501,MATCH(ROW()-2,종합!$AB$3:$AB$501,0))&amp;"","")</f>
        <v/>
      </c>
      <c r="P291" s="21" t="str">
        <f aca="false">IFERROR(INDEX(종합!P$3:P$501,MATCH(ROW()-2,종합!$AB$3:$AB$501,0))&amp;"","")</f>
        <v/>
      </c>
      <c r="Q291" s="21" t="str">
        <f aca="false">IFERROR(INDEX(종합!Q$3:Q$501,MATCH(ROW()-2,종합!$AB$3:$AB$501,0))&amp;"","")</f>
        <v/>
      </c>
      <c r="R291" s="21" t="str">
        <f aca="false">IFERROR(INDEX(종합!R$3:R$501,MATCH(ROW()-2,종합!$AB$3:$AB$501,0))&amp;"","")</f>
        <v/>
      </c>
      <c r="S291" s="21" t="str">
        <f aca="false">IFERROR(INDEX(종합!S$3:S$501,MATCH(ROW()-2,종합!$AB$3:$AB$501,0))&amp;"","")</f>
        <v/>
      </c>
      <c r="T291" s="21" t="str">
        <f aca="false">IFERROR(INDEX(종합!T$3:T$501,MATCH(ROW()-2,종합!$AB$3:$AB$501,0))&amp;"","")</f>
        <v/>
      </c>
      <c r="U291" s="21" t="str">
        <f aca="false">IFERROR(INDEX(종합!U$3:U$501,MATCH(ROW()-2,종합!$AB$3:$AB$501,0))&amp;"","")</f>
        <v/>
      </c>
      <c r="V291" s="21" t="str">
        <f aca="false">IFERROR(INDEX(종합!V$3:V$501,MATCH(ROW()-2,종합!$AB$3:$AB$501,0))&amp;"","")</f>
        <v/>
      </c>
      <c r="W291" s="21" t="str">
        <f aca="false">IFERROR(INDEX(종합!W$3:W$501,MATCH(ROW()-2,종합!$AB$3:$AB$501,0))&amp;"","")</f>
        <v/>
      </c>
      <c r="X291" s="21" t="str">
        <f aca="false">IFERROR(INDEX(종합!X$3:X$501,MATCH(ROW()-2,종합!$AB$3:$AB$501,0))&amp;"","")</f>
        <v/>
      </c>
      <c r="Y291" s="21" t="str">
        <f aca="false">IFERROR(INDEX(종합!Y$3:Y$501,MATCH(ROW()-2,종합!$AB$3:$AB$501,0))&amp;"","")</f>
        <v/>
      </c>
      <c r="Z291" s="21" t="str">
        <f aca="false">IFERROR(INDEX(종합!Z$3:Z$501,MATCH(ROW()-2,종합!$AB$3:$AB$501,0))&amp;"","")</f>
        <v/>
      </c>
    </row>
    <row r="292" customFormat="false" ht="16.5" hidden="false" customHeight="true" outlineLevel="0" collapsed="false">
      <c r="A292" s="18" t="str">
        <f aca="false">IF(B292="","",ROW()-2)</f>
        <v/>
      </c>
      <c r="B292" s="18" t="str">
        <f aca="false">IFERROR(INDEX(종합!B$3:B$501,MATCH(ROW()-2,종합!$AB$3:$AB$501,0))&amp;"","")</f>
        <v/>
      </c>
      <c r="C292" s="18" t="str">
        <f aca="false">IFERROR(INDEX(종합!C$3:C$501,MATCH(ROW()-2,종합!$AB$3:$AB$501,0))&amp;"","")</f>
        <v/>
      </c>
      <c r="D292" s="18" t="str">
        <f aca="false">IFERROR(INDEX(종합!D$3:D$501,MATCH(ROW()-2,종합!$AB$3:$AB$501,0))&amp;"","")</f>
        <v/>
      </c>
      <c r="E292" s="18" t="str">
        <f aca="false">IFERROR(INDEX(종합!E$3:E$501,MATCH(ROW()-2,종합!$AB$3:$AB$501,0))&amp;"","")</f>
        <v/>
      </c>
      <c r="F292" s="18" t="str">
        <f aca="false">IFERROR(INDEX(종합!F$3:F$501,MATCH(ROW()-2,종합!$AB$3:$AB$501,0))&amp;"","")</f>
        <v/>
      </c>
      <c r="G292" s="18" t="str">
        <f aca="false">IFERROR(INDEX(종합!G$3:G$501,MATCH(ROW()-2,종합!$AB$3:$AB$501,0))&amp;"","")</f>
        <v/>
      </c>
      <c r="H292" s="21" t="str">
        <f aca="false">IFERROR(INDEX(종합!H$3:H$501,MATCH(ROW()-2,종합!$AB$3:$AB$501,0))&amp;"","")</f>
        <v/>
      </c>
      <c r="I292" s="21" t="str">
        <f aca="false">IFERROR(INDEX(종합!I$3:I$501,MATCH(ROW()-2,종합!$AB$3:$AB$501,0))&amp;"","")</f>
        <v/>
      </c>
      <c r="J292" s="21" t="str">
        <f aca="false">IFERROR(INDEX(종합!J$3:J$501,MATCH(ROW()-2,종합!$AB$3:$AB$501,0))&amp;"","")</f>
        <v/>
      </c>
      <c r="K292" s="21" t="str">
        <f aca="false">IFERROR(INDEX(종합!K$3:K$501,MATCH(ROW()-2,종합!$AB$3:$AB$501,0))&amp;"","")</f>
        <v/>
      </c>
      <c r="L292" s="21" t="str">
        <f aca="false">IFERROR(INDEX(종합!L$3:L$501,MATCH(ROW()-2,종합!$AB$3:$AB$501,0))&amp;"","")</f>
        <v/>
      </c>
      <c r="M292" s="21" t="str">
        <f aca="false">IFERROR(INDEX(종합!M$3:M$501,MATCH(ROW()-2,종합!$AB$3:$AB$501,0))&amp;"","")</f>
        <v/>
      </c>
      <c r="N292" s="25" t="str">
        <f aca="false">IFERROR(INDEX(종합!N$3:N$501,MATCH(ROW()-2,종합!$AB$3:$AB$501,0))&amp;"","")</f>
        <v/>
      </c>
      <c r="O292" s="21" t="str">
        <f aca="false">IFERROR(INDEX(종합!O$3:O$501,MATCH(ROW()-2,종합!$AB$3:$AB$501,0))&amp;"","")</f>
        <v/>
      </c>
      <c r="P292" s="21" t="str">
        <f aca="false">IFERROR(INDEX(종합!P$3:P$501,MATCH(ROW()-2,종합!$AB$3:$AB$501,0))&amp;"","")</f>
        <v/>
      </c>
      <c r="Q292" s="21" t="str">
        <f aca="false">IFERROR(INDEX(종합!Q$3:Q$501,MATCH(ROW()-2,종합!$AB$3:$AB$501,0))&amp;"","")</f>
        <v/>
      </c>
      <c r="R292" s="21" t="str">
        <f aca="false">IFERROR(INDEX(종합!R$3:R$501,MATCH(ROW()-2,종합!$AB$3:$AB$501,0))&amp;"","")</f>
        <v/>
      </c>
      <c r="S292" s="21" t="str">
        <f aca="false">IFERROR(INDEX(종합!S$3:S$501,MATCH(ROW()-2,종합!$AB$3:$AB$501,0))&amp;"","")</f>
        <v/>
      </c>
      <c r="T292" s="21" t="str">
        <f aca="false">IFERROR(INDEX(종합!T$3:T$501,MATCH(ROW()-2,종합!$AB$3:$AB$501,0))&amp;"","")</f>
        <v/>
      </c>
      <c r="U292" s="21" t="str">
        <f aca="false">IFERROR(INDEX(종합!U$3:U$501,MATCH(ROW()-2,종합!$AB$3:$AB$501,0))&amp;"","")</f>
        <v/>
      </c>
      <c r="V292" s="21" t="str">
        <f aca="false">IFERROR(INDEX(종합!V$3:V$501,MATCH(ROW()-2,종합!$AB$3:$AB$501,0))&amp;"","")</f>
        <v/>
      </c>
      <c r="W292" s="21" t="str">
        <f aca="false">IFERROR(INDEX(종합!W$3:W$501,MATCH(ROW()-2,종합!$AB$3:$AB$501,0))&amp;"","")</f>
        <v/>
      </c>
      <c r="X292" s="21" t="str">
        <f aca="false">IFERROR(INDEX(종합!X$3:X$501,MATCH(ROW()-2,종합!$AB$3:$AB$501,0))&amp;"","")</f>
        <v/>
      </c>
      <c r="Y292" s="21" t="str">
        <f aca="false">IFERROR(INDEX(종합!Y$3:Y$501,MATCH(ROW()-2,종합!$AB$3:$AB$501,0))&amp;"","")</f>
        <v/>
      </c>
      <c r="Z292" s="21" t="str">
        <f aca="false">IFERROR(INDEX(종합!Z$3:Z$501,MATCH(ROW()-2,종합!$AB$3:$AB$501,0))&amp;"","")</f>
        <v/>
      </c>
    </row>
    <row r="293" customFormat="false" ht="16.5" hidden="false" customHeight="true" outlineLevel="0" collapsed="false">
      <c r="A293" s="18" t="str">
        <f aca="false">IF(B293="","",ROW()-2)</f>
        <v/>
      </c>
      <c r="B293" s="18" t="str">
        <f aca="false">IFERROR(INDEX(종합!B$3:B$501,MATCH(ROW()-2,종합!$AB$3:$AB$501,0))&amp;"","")</f>
        <v/>
      </c>
      <c r="C293" s="18" t="str">
        <f aca="false">IFERROR(INDEX(종합!C$3:C$501,MATCH(ROW()-2,종합!$AB$3:$AB$501,0))&amp;"","")</f>
        <v/>
      </c>
      <c r="D293" s="18" t="str">
        <f aca="false">IFERROR(INDEX(종합!D$3:D$501,MATCH(ROW()-2,종합!$AB$3:$AB$501,0))&amp;"","")</f>
        <v/>
      </c>
      <c r="E293" s="18" t="str">
        <f aca="false">IFERROR(INDEX(종합!E$3:E$501,MATCH(ROW()-2,종합!$AB$3:$AB$501,0))&amp;"","")</f>
        <v/>
      </c>
      <c r="F293" s="18" t="str">
        <f aca="false">IFERROR(INDEX(종합!F$3:F$501,MATCH(ROW()-2,종합!$AB$3:$AB$501,0))&amp;"","")</f>
        <v/>
      </c>
      <c r="G293" s="18" t="str">
        <f aca="false">IFERROR(INDEX(종합!G$3:G$501,MATCH(ROW()-2,종합!$AB$3:$AB$501,0))&amp;"","")</f>
        <v/>
      </c>
      <c r="H293" s="21" t="str">
        <f aca="false">IFERROR(INDEX(종합!H$3:H$501,MATCH(ROW()-2,종합!$AB$3:$AB$501,0))&amp;"","")</f>
        <v/>
      </c>
      <c r="I293" s="21" t="str">
        <f aca="false">IFERROR(INDEX(종합!I$3:I$501,MATCH(ROW()-2,종합!$AB$3:$AB$501,0))&amp;"","")</f>
        <v/>
      </c>
      <c r="J293" s="21" t="str">
        <f aca="false">IFERROR(INDEX(종합!J$3:J$501,MATCH(ROW()-2,종합!$AB$3:$AB$501,0))&amp;"","")</f>
        <v/>
      </c>
      <c r="K293" s="21" t="str">
        <f aca="false">IFERROR(INDEX(종합!K$3:K$501,MATCH(ROW()-2,종합!$AB$3:$AB$501,0))&amp;"","")</f>
        <v/>
      </c>
      <c r="L293" s="21" t="str">
        <f aca="false">IFERROR(INDEX(종합!L$3:L$501,MATCH(ROW()-2,종합!$AB$3:$AB$501,0))&amp;"","")</f>
        <v/>
      </c>
      <c r="M293" s="21" t="str">
        <f aca="false">IFERROR(INDEX(종합!M$3:M$501,MATCH(ROW()-2,종합!$AB$3:$AB$501,0))&amp;"","")</f>
        <v/>
      </c>
      <c r="N293" s="25" t="str">
        <f aca="false">IFERROR(INDEX(종합!N$3:N$501,MATCH(ROW()-2,종합!$AB$3:$AB$501,0))&amp;"","")</f>
        <v/>
      </c>
      <c r="O293" s="21" t="str">
        <f aca="false">IFERROR(INDEX(종합!O$3:O$501,MATCH(ROW()-2,종합!$AB$3:$AB$501,0))&amp;"","")</f>
        <v/>
      </c>
      <c r="P293" s="21" t="str">
        <f aca="false">IFERROR(INDEX(종합!P$3:P$501,MATCH(ROW()-2,종합!$AB$3:$AB$501,0))&amp;"","")</f>
        <v/>
      </c>
      <c r="Q293" s="21" t="str">
        <f aca="false">IFERROR(INDEX(종합!Q$3:Q$501,MATCH(ROW()-2,종합!$AB$3:$AB$501,0))&amp;"","")</f>
        <v/>
      </c>
      <c r="R293" s="21" t="str">
        <f aca="false">IFERROR(INDEX(종합!R$3:R$501,MATCH(ROW()-2,종합!$AB$3:$AB$501,0))&amp;"","")</f>
        <v/>
      </c>
      <c r="S293" s="21" t="str">
        <f aca="false">IFERROR(INDEX(종합!S$3:S$501,MATCH(ROW()-2,종합!$AB$3:$AB$501,0))&amp;"","")</f>
        <v/>
      </c>
      <c r="T293" s="21" t="str">
        <f aca="false">IFERROR(INDEX(종합!T$3:T$501,MATCH(ROW()-2,종합!$AB$3:$AB$501,0))&amp;"","")</f>
        <v/>
      </c>
      <c r="U293" s="21" t="str">
        <f aca="false">IFERROR(INDEX(종합!U$3:U$501,MATCH(ROW()-2,종합!$AB$3:$AB$501,0))&amp;"","")</f>
        <v/>
      </c>
      <c r="V293" s="21" t="str">
        <f aca="false">IFERROR(INDEX(종합!V$3:V$501,MATCH(ROW()-2,종합!$AB$3:$AB$501,0))&amp;"","")</f>
        <v/>
      </c>
      <c r="W293" s="21" t="str">
        <f aca="false">IFERROR(INDEX(종합!W$3:W$501,MATCH(ROW()-2,종합!$AB$3:$AB$501,0))&amp;"","")</f>
        <v/>
      </c>
      <c r="X293" s="21" t="str">
        <f aca="false">IFERROR(INDEX(종합!X$3:X$501,MATCH(ROW()-2,종합!$AB$3:$AB$501,0))&amp;"","")</f>
        <v/>
      </c>
      <c r="Y293" s="21" t="str">
        <f aca="false">IFERROR(INDEX(종합!Y$3:Y$501,MATCH(ROW()-2,종합!$AB$3:$AB$501,0))&amp;"","")</f>
        <v/>
      </c>
      <c r="Z293" s="21" t="str">
        <f aca="false">IFERROR(INDEX(종합!Z$3:Z$501,MATCH(ROW()-2,종합!$AB$3:$AB$501,0))&amp;"","")</f>
        <v/>
      </c>
    </row>
    <row r="294" customFormat="false" ht="16.5" hidden="false" customHeight="true" outlineLevel="0" collapsed="false">
      <c r="A294" s="18" t="str">
        <f aca="false">IF(B294="","",ROW()-2)</f>
        <v/>
      </c>
      <c r="B294" s="18" t="str">
        <f aca="false">IFERROR(INDEX(종합!B$3:B$501,MATCH(ROW()-2,종합!$AB$3:$AB$501,0))&amp;"","")</f>
        <v/>
      </c>
      <c r="C294" s="18" t="str">
        <f aca="false">IFERROR(INDEX(종합!C$3:C$501,MATCH(ROW()-2,종합!$AB$3:$AB$501,0))&amp;"","")</f>
        <v/>
      </c>
      <c r="D294" s="18" t="str">
        <f aca="false">IFERROR(INDEX(종합!D$3:D$501,MATCH(ROW()-2,종합!$AB$3:$AB$501,0))&amp;"","")</f>
        <v/>
      </c>
      <c r="E294" s="18" t="str">
        <f aca="false">IFERROR(INDEX(종합!E$3:E$501,MATCH(ROW()-2,종합!$AB$3:$AB$501,0))&amp;"","")</f>
        <v/>
      </c>
      <c r="F294" s="18" t="str">
        <f aca="false">IFERROR(INDEX(종합!F$3:F$501,MATCH(ROW()-2,종합!$AB$3:$AB$501,0))&amp;"","")</f>
        <v/>
      </c>
      <c r="G294" s="18" t="str">
        <f aca="false">IFERROR(INDEX(종합!G$3:G$501,MATCH(ROW()-2,종합!$AB$3:$AB$501,0))&amp;"","")</f>
        <v/>
      </c>
      <c r="H294" s="21" t="str">
        <f aca="false">IFERROR(INDEX(종합!H$3:H$501,MATCH(ROW()-2,종합!$AB$3:$AB$501,0))&amp;"","")</f>
        <v/>
      </c>
      <c r="I294" s="21" t="str">
        <f aca="false">IFERROR(INDEX(종합!I$3:I$501,MATCH(ROW()-2,종합!$AB$3:$AB$501,0))&amp;"","")</f>
        <v/>
      </c>
      <c r="J294" s="21" t="str">
        <f aca="false">IFERROR(INDEX(종합!J$3:J$501,MATCH(ROW()-2,종합!$AB$3:$AB$501,0))&amp;"","")</f>
        <v/>
      </c>
      <c r="K294" s="21" t="str">
        <f aca="false">IFERROR(INDEX(종합!K$3:K$501,MATCH(ROW()-2,종합!$AB$3:$AB$501,0))&amp;"","")</f>
        <v/>
      </c>
      <c r="L294" s="21" t="str">
        <f aca="false">IFERROR(INDEX(종합!L$3:L$501,MATCH(ROW()-2,종합!$AB$3:$AB$501,0))&amp;"","")</f>
        <v/>
      </c>
      <c r="M294" s="21" t="str">
        <f aca="false">IFERROR(INDEX(종합!M$3:M$501,MATCH(ROW()-2,종합!$AB$3:$AB$501,0))&amp;"","")</f>
        <v/>
      </c>
      <c r="N294" s="25" t="str">
        <f aca="false">IFERROR(INDEX(종합!N$3:N$501,MATCH(ROW()-2,종합!$AB$3:$AB$501,0))&amp;"","")</f>
        <v/>
      </c>
      <c r="O294" s="21" t="str">
        <f aca="false">IFERROR(INDEX(종합!O$3:O$501,MATCH(ROW()-2,종합!$AB$3:$AB$501,0))&amp;"","")</f>
        <v/>
      </c>
      <c r="P294" s="21" t="str">
        <f aca="false">IFERROR(INDEX(종합!P$3:P$501,MATCH(ROW()-2,종합!$AB$3:$AB$501,0))&amp;"","")</f>
        <v/>
      </c>
      <c r="Q294" s="21" t="str">
        <f aca="false">IFERROR(INDEX(종합!Q$3:Q$501,MATCH(ROW()-2,종합!$AB$3:$AB$501,0))&amp;"","")</f>
        <v/>
      </c>
      <c r="R294" s="21" t="str">
        <f aca="false">IFERROR(INDEX(종합!R$3:R$501,MATCH(ROW()-2,종합!$AB$3:$AB$501,0))&amp;"","")</f>
        <v/>
      </c>
      <c r="S294" s="21" t="str">
        <f aca="false">IFERROR(INDEX(종합!S$3:S$501,MATCH(ROW()-2,종합!$AB$3:$AB$501,0))&amp;"","")</f>
        <v/>
      </c>
      <c r="T294" s="21" t="str">
        <f aca="false">IFERROR(INDEX(종합!T$3:T$501,MATCH(ROW()-2,종합!$AB$3:$AB$501,0))&amp;"","")</f>
        <v/>
      </c>
      <c r="U294" s="21" t="str">
        <f aca="false">IFERROR(INDEX(종합!U$3:U$501,MATCH(ROW()-2,종합!$AB$3:$AB$501,0))&amp;"","")</f>
        <v/>
      </c>
      <c r="V294" s="21" t="str">
        <f aca="false">IFERROR(INDEX(종합!V$3:V$501,MATCH(ROW()-2,종합!$AB$3:$AB$501,0))&amp;"","")</f>
        <v/>
      </c>
      <c r="W294" s="21" t="str">
        <f aca="false">IFERROR(INDEX(종합!W$3:W$501,MATCH(ROW()-2,종합!$AB$3:$AB$501,0))&amp;"","")</f>
        <v/>
      </c>
      <c r="X294" s="21" t="str">
        <f aca="false">IFERROR(INDEX(종합!X$3:X$501,MATCH(ROW()-2,종합!$AB$3:$AB$501,0))&amp;"","")</f>
        <v/>
      </c>
      <c r="Y294" s="21" t="str">
        <f aca="false">IFERROR(INDEX(종합!Y$3:Y$501,MATCH(ROW()-2,종합!$AB$3:$AB$501,0))&amp;"","")</f>
        <v/>
      </c>
      <c r="Z294" s="21" t="str">
        <f aca="false">IFERROR(INDEX(종합!Z$3:Z$501,MATCH(ROW()-2,종합!$AB$3:$AB$501,0))&amp;"","")</f>
        <v/>
      </c>
    </row>
    <row r="295" customFormat="false" ht="16.5" hidden="false" customHeight="true" outlineLevel="0" collapsed="false">
      <c r="A295" s="18" t="str">
        <f aca="false">IF(B295="","",ROW()-2)</f>
        <v/>
      </c>
      <c r="B295" s="18" t="str">
        <f aca="false">IFERROR(INDEX(종합!B$3:B$501,MATCH(ROW()-2,종합!$AB$3:$AB$501,0))&amp;"","")</f>
        <v/>
      </c>
      <c r="C295" s="18" t="str">
        <f aca="false">IFERROR(INDEX(종합!C$3:C$501,MATCH(ROW()-2,종합!$AB$3:$AB$501,0))&amp;"","")</f>
        <v/>
      </c>
      <c r="D295" s="18" t="str">
        <f aca="false">IFERROR(INDEX(종합!D$3:D$501,MATCH(ROW()-2,종합!$AB$3:$AB$501,0))&amp;"","")</f>
        <v/>
      </c>
      <c r="E295" s="18" t="str">
        <f aca="false">IFERROR(INDEX(종합!E$3:E$501,MATCH(ROW()-2,종합!$AB$3:$AB$501,0))&amp;"","")</f>
        <v/>
      </c>
      <c r="F295" s="18" t="str">
        <f aca="false">IFERROR(INDEX(종합!F$3:F$501,MATCH(ROW()-2,종합!$AB$3:$AB$501,0))&amp;"","")</f>
        <v/>
      </c>
      <c r="G295" s="18" t="str">
        <f aca="false">IFERROR(INDEX(종합!G$3:G$501,MATCH(ROW()-2,종합!$AB$3:$AB$501,0))&amp;"","")</f>
        <v/>
      </c>
      <c r="H295" s="21" t="str">
        <f aca="false">IFERROR(INDEX(종합!H$3:H$501,MATCH(ROW()-2,종합!$AB$3:$AB$501,0))&amp;"","")</f>
        <v/>
      </c>
      <c r="I295" s="21" t="str">
        <f aca="false">IFERROR(INDEX(종합!I$3:I$501,MATCH(ROW()-2,종합!$AB$3:$AB$501,0))&amp;"","")</f>
        <v/>
      </c>
      <c r="J295" s="21" t="str">
        <f aca="false">IFERROR(INDEX(종합!J$3:J$501,MATCH(ROW()-2,종합!$AB$3:$AB$501,0))&amp;"","")</f>
        <v/>
      </c>
      <c r="K295" s="21" t="str">
        <f aca="false">IFERROR(INDEX(종합!K$3:K$501,MATCH(ROW()-2,종합!$AB$3:$AB$501,0))&amp;"","")</f>
        <v/>
      </c>
      <c r="L295" s="21" t="str">
        <f aca="false">IFERROR(INDEX(종합!L$3:L$501,MATCH(ROW()-2,종합!$AB$3:$AB$501,0))&amp;"","")</f>
        <v/>
      </c>
      <c r="M295" s="21" t="str">
        <f aca="false">IFERROR(INDEX(종합!M$3:M$501,MATCH(ROW()-2,종합!$AB$3:$AB$501,0))&amp;"","")</f>
        <v/>
      </c>
      <c r="N295" s="25" t="str">
        <f aca="false">IFERROR(INDEX(종합!N$3:N$501,MATCH(ROW()-2,종합!$AB$3:$AB$501,0))&amp;"","")</f>
        <v/>
      </c>
      <c r="O295" s="21" t="str">
        <f aca="false">IFERROR(INDEX(종합!O$3:O$501,MATCH(ROW()-2,종합!$AB$3:$AB$501,0))&amp;"","")</f>
        <v/>
      </c>
      <c r="P295" s="21" t="str">
        <f aca="false">IFERROR(INDEX(종합!P$3:P$501,MATCH(ROW()-2,종합!$AB$3:$AB$501,0))&amp;"","")</f>
        <v/>
      </c>
      <c r="Q295" s="21" t="str">
        <f aca="false">IFERROR(INDEX(종합!Q$3:Q$501,MATCH(ROW()-2,종합!$AB$3:$AB$501,0))&amp;"","")</f>
        <v/>
      </c>
      <c r="R295" s="21" t="str">
        <f aca="false">IFERROR(INDEX(종합!R$3:R$501,MATCH(ROW()-2,종합!$AB$3:$AB$501,0))&amp;"","")</f>
        <v/>
      </c>
      <c r="S295" s="21" t="str">
        <f aca="false">IFERROR(INDEX(종합!S$3:S$501,MATCH(ROW()-2,종합!$AB$3:$AB$501,0))&amp;"","")</f>
        <v/>
      </c>
      <c r="T295" s="21" t="str">
        <f aca="false">IFERROR(INDEX(종합!T$3:T$501,MATCH(ROW()-2,종합!$AB$3:$AB$501,0))&amp;"","")</f>
        <v/>
      </c>
      <c r="U295" s="21" t="str">
        <f aca="false">IFERROR(INDEX(종합!U$3:U$501,MATCH(ROW()-2,종합!$AB$3:$AB$501,0))&amp;"","")</f>
        <v/>
      </c>
      <c r="V295" s="21" t="str">
        <f aca="false">IFERROR(INDEX(종합!V$3:V$501,MATCH(ROW()-2,종합!$AB$3:$AB$501,0))&amp;"","")</f>
        <v/>
      </c>
      <c r="W295" s="21" t="str">
        <f aca="false">IFERROR(INDEX(종합!W$3:W$501,MATCH(ROW()-2,종합!$AB$3:$AB$501,0))&amp;"","")</f>
        <v/>
      </c>
      <c r="X295" s="21" t="str">
        <f aca="false">IFERROR(INDEX(종합!X$3:X$501,MATCH(ROW()-2,종합!$AB$3:$AB$501,0))&amp;"","")</f>
        <v/>
      </c>
      <c r="Y295" s="21" t="str">
        <f aca="false">IFERROR(INDEX(종합!Y$3:Y$501,MATCH(ROW()-2,종합!$AB$3:$AB$501,0))&amp;"","")</f>
        <v/>
      </c>
      <c r="Z295" s="21" t="str">
        <f aca="false">IFERROR(INDEX(종합!Z$3:Z$501,MATCH(ROW()-2,종합!$AB$3:$AB$501,0))&amp;"","")</f>
        <v/>
      </c>
    </row>
    <row r="296" customFormat="false" ht="16.5" hidden="false" customHeight="true" outlineLevel="0" collapsed="false">
      <c r="A296" s="18" t="str">
        <f aca="false">IF(B296="","",ROW()-2)</f>
        <v/>
      </c>
      <c r="B296" s="18" t="str">
        <f aca="false">IFERROR(INDEX(종합!B$3:B$501,MATCH(ROW()-2,종합!$AB$3:$AB$501,0))&amp;"","")</f>
        <v/>
      </c>
      <c r="C296" s="18" t="str">
        <f aca="false">IFERROR(INDEX(종합!C$3:C$501,MATCH(ROW()-2,종합!$AB$3:$AB$501,0))&amp;"","")</f>
        <v/>
      </c>
      <c r="D296" s="18" t="str">
        <f aca="false">IFERROR(INDEX(종합!D$3:D$501,MATCH(ROW()-2,종합!$AB$3:$AB$501,0))&amp;"","")</f>
        <v/>
      </c>
      <c r="E296" s="18" t="str">
        <f aca="false">IFERROR(INDEX(종합!E$3:E$501,MATCH(ROW()-2,종합!$AB$3:$AB$501,0))&amp;"","")</f>
        <v/>
      </c>
      <c r="F296" s="18" t="str">
        <f aca="false">IFERROR(INDEX(종합!F$3:F$501,MATCH(ROW()-2,종합!$AB$3:$AB$501,0))&amp;"","")</f>
        <v/>
      </c>
      <c r="G296" s="18" t="str">
        <f aca="false">IFERROR(INDEX(종합!G$3:G$501,MATCH(ROW()-2,종합!$AB$3:$AB$501,0))&amp;"","")</f>
        <v/>
      </c>
      <c r="H296" s="21" t="str">
        <f aca="false">IFERROR(INDEX(종합!H$3:H$501,MATCH(ROW()-2,종합!$AB$3:$AB$501,0))&amp;"","")</f>
        <v/>
      </c>
      <c r="I296" s="21" t="str">
        <f aca="false">IFERROR(INDEX(종합!I$3:I$501,MATCH(ROW()-2,종합!$AB$3:$AB$501,0))&amp;"","")</f>
        <v/>
      </c>
      <c r="J296" s="21" t="str">
        <f aca="false">IFERROR(INDEX(종합!J$3:J$501,MATCH(ROW()-2,종합!$AB$3:$AB$501,0))&amp;"","")</f>
        <v/>
      </c>
      <c r="K296" s="21" t="str">
        <f aca="false">IFERROR(INDEX(종합!K$3:K$501,MATCH(ROW()-2,종합!$AB$3:$AB$501,0))&amp;"","")</f>
        <v/>
      </c>
      <c r="L296" s="21" t="str">
        <f aca="false">IFERROR(INDEX(종합!L$3:L$501,MATCH(ROW()-2,종합!$AB$3:$AB$501,0))&amp;"","")</f>
        <v/>
      </c>
      <c r="M296" s="21" t="str">
        <f aca="false">IFERROR(INDEX(종합!M$3:M$501,MATCH(ROW()-2,종합!$AB$3:$AB$501,0))&amp;"","")</f>
        <v/>
      </c>
      <c r="N296" s="25" t="str">
        <f aca="false">IFERROR(INDEX(종합!N$3:N$501,MATCH(ROW()-2,종합!$AB$3:$AB$501,0))&amp;"","")</f>
        <v/>
      </c>
      <c r="O296" s="21" t="str">
        <f aca="false">IFERROR(INDEX(종합!O$3:O$501,MATCH(ROW()-2,종합!$AB$3:$AB$501,0))&amp;"","")</f>
        <v/>
      </c>
      <c r="P296" s="21" t="str">
        <f aca="false">IFERROR(INDEX(종합!P$3:P$501,MATCH(ROW()-2,종합!$AB$3:$AB$501,0))&amp;"","")</f>
        <v/>
      </c>
      <c r="Q296" s="21" t="str">
        <f aca="false">IFERROR(INDEX(종합!Q$3:Q$501,MATCH(ROW()-2,종합!$AB$3:$AB$501,0))&amp;"","")</f>
        <v/>
      </c>
      <c r="R296" s="21" t="str">
        <f aca="false">IFERROR(INDEX(종합!R$3:R$501,MATCH(ROW()-2,종합!$AB$3:$AB$501,0))&amp;"","")</f>
        <v/>
      </c>
      <c r="S296" s="21" t="str">
        <f aca="false">IFERROR(INDEX(종합!S$3:S$501,MATCH(ROW()-2,종합!$AB$3:$AB$501,0))&amp;"","")</f>
        <v/>
      </c>
      <c r="T296" s="21" t="str">
        <f aca="false">IFERROR(INDEX(종합!T$3:T$501,MATCH(ROW()-2,종합!$AB$3:$AB$501,0))&amp;"","")</f>
        <v/>
      </c>
      <c r="U296" s="21" t="str">
        <f aca="false">IFERROR(INDEX(종합!U$3:U$501,MATCH(ROW()-2,종합!$AB$3:$AB$501,0))&amp;"","")</f>
        <v/>
      </c>
      <c r="V296" s="21" t="str">
        <f aca="false">IFERROR(INDEX(종합!V$3:V$501,MATCH(ROW()-2,종합!$AB$3:$AB$501,0))&amp;"","")</f>
        <v/>
      </c>
      <c r="W296" s="21" t="str">
        <f aca="false">IFERROR(INDEX(종합!W$3:W$501,MATCH(ROW()-2,종합!$AB$3:$AB$501,0))&amp;"","")</f>
        <v/>
      </c>
      <c r="X296" s="21" t="str">
        <f aca="false">IFERROR(INDEX(종합!X$3:X$501,MATCH(ROW()-2,종합!$AB$3:$AB$501,0))&amp;"","")</f>
        <v/>
      </c>
      <c r="Y296" s="21" t="str">
        <f aca="false">IFERROR(INDEX(종합!Y$3:Y$501,MATCH(ROW()-2,종합!$AB$3:$AB$501,0))&amp;"","")</f>
        <v/>
      </c>
      <c r="Z296" s="21" t="str">
        <f aca="false">IFERROR(INDEX(종합!Z$3:Z$501,MATCH(ROW()-2,종합!$AB$3:$AB$501,0))&amp;"","")</f>
        <v/>
      </c>
    </row>
    <row r="297" customFormat="false" ht="16.5" hidden="false" customHeight="true" outlineLevel="0" collapsed="false">
      <c r="A297" s="18" t="str">
        <f aca="false">IF(B297="","",ROW()-2)</f>
        <v/>
      </c>
      <c r="B297" s="18" t="str">
        <f aca="false">IFERROR(INDEX(종합!B$3:B$501,MATCH(ROW()-2,종합!$AB$3:$AB$501,0))&amp;"","")</f>
        <v/>
      </c>
      <c r="C297" s="18" t="str">
        <f aca="false">IFERROR(INDEX(종합!C$3:C$501,MATCH(ROW()-2,종합!$AB$3:$AB$501,0))&amp;"","")</f>
        <v/>
      </c>
      <c r="D297" s="18" t="str">
        <f aca="false">IFERROR(INDEX(종합!D$3:D$501,MATCH(ROW()-2,종합!$AB$3:$AB$501,0))&amp;"","")</f>
        <v/>
      </c>
      <c r="E297" s="18" t="str">
        <f aca="false">IFERROR(INDEX(종합!E$3:E$501,MATCH(ROW()-2,종합!$AB$3:$AB$501,0))&amp;"","")</f>
        <v/>
      </c>
      <c r="F297" s="18" t="str">
        <f aca="false">IFERROR(INDEX(종합!F$3:F$501,MATCH(ROW()-2,종합!$AB$3:$AB$501,0))&amp;"","")</f>
        <v/>
      </c>
      <c r="G297" s="18" t="str">
        <f aca="false">IFERROR(INDEX(종합!G$3:G$501,MATCH(ROW()-2,종합!$AB$3:$AB$501,0))&amp;"","")</f>
        <v/>
      </c>
      <c r="H297" s="21" t="str">
        <f aca="false">IFERROR(INDEX(종합!H$3:H$501,MATCH(ROW()-2,종합!$AB$3:$AB$501,0))&amp;"","")</f>
        <v/>
      </c>
      <c r="I297" s="21" t="str">
        <f aca="false">IFERROR(INDEX(종합!I$3:I$501,MATCH(ROW()-2,종합!$AB$3:$AB$501,0))&amp;"","")</f>
        <v/>
      </c>
      <c r="J297" s="21" t="str">
        <f aca="false">IFERROR(INDEX(종합!J$3:J$501,MATCH(ROW()-2,종합!$AB$3:$AB$501,0))&amp;"","")</f>
        <v/>
      </c>
      <c r="K297" s="21" t="str">
        <f aca="false">IFERROR(INDEX(종합!K$3:K$501,MATCH(ROW()-2,종합!$AB$3:$AB$501,0))&amp;"","")</f>
        <v/>
      </c>
      <c r="L297" s="21" t="str">
        <f aca="false">IFERROR(INDEX(종합!L$3:L$501,MATCH(ROW()-2,종합!$AB$3:$AB$501,0))&amp;"","")</f>
        <v/>
      </c>
      <c r="M297" s="21" t="str">
        <f aca="false">IFERROR(INDEX(종합!M$3:M$501,MATCH(ROW()-2,종합!$AB$3:$AB$501,0))&amp;"","")</f>
        <v/>
      </c>
      <c r="N297" s="25" t="str">
        <f aca="false">IFERROR(INDEX(종합!N$3:N$501,MATCH(ROW()-2,종합!$AB$3:$AB$501,0))&amp;"","")</f>
        <v/>
      </c>
      <c r="O297" s="21" t="str">
        <f aca="false">IFERROR(INDEX(종합!O$3:O$501,MATCH(ROW()-2,종합!$AB$3:$AB$501,0))&amp;"","")</f>
        <v/>
      </c>
      <c r="P297" s="21" t="str">
        <f aca="false">IFERROR(INDEX(종합!P$3:P$501,MATCH(ROW()-2,종합!$AB$3:$AB$501,0))&amp;"","")</f>
        <v/>
      </c>
      <c r="Q297" s="21" t="str">
        <f aca="false">IFERROR(INDEX(종합!Q$3:Q$501,MATCH(ROW()-2,종합!$AB$3:$AB$501,0))&amp;"","")</f>
        <v/>
      </c>
      <c r="R297" s="21" t="str">
        <f aca="false">IFERROR(INDEX(종합!R$3:R$501,MATCH(ROW()-2,종합!$AB$3:$AB$501,0))&amp;"","")</f>
        <v/>
      </c>
      <c r="S297" s="21" t="str">
        <f aca="false">IFERROR(INDEX(종합!S$3:S$501,MATCH(ROW()-2,종합!$AB$3:$AB$501,0))&amp;"","")</f>
        <v/>
      </c>
      <c r="T297" s="21" t="str">
        <f aca="false">IFERROR(INDEX(종합!T$3:T$501,MATCH(ROW()-2,종합!$AB$3:$AB$501,0))&amp;"","")</f>
        <v/>
      </c>
      <c r="U297" s="21" t="str">
        <f aca="false">IFERROR(INDEX(종합!U$3:U$501,MATCH(ROW()-2,종합!$AB$3:$AB$501,0))&amp;"","")</f>
        <v/>
      </c>
      <c r="V297" s="21" t="str">
        <f aca="false">IFERROR(INDEX(종합!V$3:V$501,MATCH(ROW()-2,종합!$AB$3:$AB$501,0))&amp;"","")</f>
        <v/>
      </c>
      <c r="W297" s="21" t="str">
        <f aca="false">IFERROR(INDEX(종합!W$3:W$501,MATCH(ROW()-2,종합!$AB$3:$AB$501,0))&amp;"","")</f>
        <v/>
      </c>
      <c r="X297" s="21" t="str">
        <f aca="false">IFERROR(INDEX(종합!X$3:X$501,MATCH(ROW()-2,종합!$AB$3:$AB$501,0))&amp;"","")</f>
        <v/>
      </c>
      <c r="Y297" s="21" t="str">
        <f aca="false">IFERROR(INDEX(종합!Y$3:Y$501,MATCH(ROW()-2,종합!$AB$3:$AB$501,0))&amp;"","")</f>
        <v/>
      </c>
      <c r="Z297" s="21" t="str">
        <f aca="false">IFERROR(INDEX(종합!Z$3:Z$501,MATCH(ROW()-2,종합!$AB$3:$AB$501,0))&amp;"","")</f>
        <v/>
      </c>
    </row>
    <row r="298" customFormat="false" ht="16.5" hidden="false" customHeight="true" outlineLevel="0" collapsed="false">
      <c r="A298" s="18" t="str">
        <f aca="false">IF(B298="","",ROW()-2)</f>
        <v/>
      </c>
      <c r="B298" s="18" t="str">
        <f aca="false">IFERROR(INDEX(종합!B$3:B$501,MATCH(ROW()-2,종합!$AB$3:$AB$501,0))&amp;"","")</f>
        <v/>
      </c>
      <c r="C298" s="18" t="str">
        <f aca="false">IFERROR(INDEX(종합!C$3:C$501,MATCH(ROW()-2,종합!$AB$3:$AB$501,0))&amp;"","")</f>
        <v/>
      </c>
      <c r="D298" s="18" t="str">
        <f aca="false">IFERROR(INDEX(종합!D$3:D$501,MATCH(ROW()-2,종합!$AB$3:$AB$501,0))&amp;"","")</f>
        <v/>
      </c>
      <c r="E298" s="18" t="str">
        <f aca="false">IFERROR(INDEX(종합!E$3:E$501,MATCH(ROW()-2,종합!$AB$3:$AB$501,0))&amp;"","")</f>
        <v/>
      </c>
      <c r="F298" s="18" t="str">
        <f aca="false">IFERROR(INDEX(종합!F$3:F$501,MATCH(ROW()-2,종합!$AB$3:$AB$501,0))&amp;"","")</f>
        <v/>
      </c>
      <c r="G298" s="18" t="str">
        <f aca="false">IFERROR(INDEX(종합!G$3:G$501,MATCH(ROW()-2,종합!$AB$3:$AB$501,0))&amp;"","")</f>
        <v/>
      </c>
      <c r="H298" s="21" t="str">
        <f aca="false">IFERROR(INDEX(종합!H$3:H$501,MATCH(ROW()-2,종합!$AB$3:$AB$501,0))&amp;"","")</f>
        <v/>
      </c>
      <c r="I298" s="21" t="str">
        <f aca="false">IFERROR(INDEX(종합!I$3:I$501,MATCH(ROW()-2,종합!$AB$3:$AB$501,0))&amp;"","")</f>
        <v/>
      </c>
      <c r="J298" s="21" t="str">
        <f aca="false">IFERROR(INDEX(종합!J$3:J$501,MATCH(ROW()-2,종합!$AB$3:$AB$501,0))&amp;"","")</f>
        <v/>
      </c>
      <c r="K298" s="21" t="str">
        <f aca="false">IFERROR(INDEX(종합!K$3:K$501,MATCH(ROW()-2,종합!$AB$3:$AB$501,0))&amp;"","")</f>
        <v/>
      </c>
      <c r="L298" s="21" t="str">
        <f aca="false">IFERROR(INDEX(종합!L$3:L$501,MATCH(ROW()-2,종합!$AB$3:$AB$501,0))&amp;"","")</f>
        <v/>
      </c>
      <c r="M298" s="21" t="str">
        <f aca="false">IFERROR(INDEX(종합!M$3:M$501,MATCH(ROW()-2,종합!$AB$3:$AB$501,0))&amp;"","")</f>
        <v/>
      </c>
      <c r="N298" s="25" t="str">
        <f aca="false">IFERROR(INDEX(종합!N$3:N$501,MATCH(ROW()-2,종합!$AB$3:$AB$501,0))&amp;"","")</f>
        <v/>
      </c>
      <c r="O298" s="21" t="str">
        <f aca="false">IFERROR(INDEX(종합!O$3:O$501,MATCH(ROW()-2,종합!$AB$3:$AB$501,0))&amp;"","")</f>
        <v/>
      </c>
      <c r="P298" s="21" t="str">
        <f aca="false">IFERROR(INDEX(종합!P$3:P$501,MATCH(ROW()-2,종합!$AB$3:$AB$501,0))&amp;"","")</f>
        <v/>
      </c>
      <c r="Q298" s="21" t="str">
        <f aca="false">IFERROR(INDEX(종합!Q$3:Q$501,MATCH(ROW()-2,종합!$AB$3:$AB$501,0))&amp;"","")</f>
        <v/>
      </c>
      <c r="R298" s="21" t="str">
        <f aca="false">IFERROR(INDEX(종합!R$3:R$501,MATCH(ROW()-2,종합!$AB$3:$AB$501,0))&amp;"","")</f>
        <v/>
      </c>
      <c r="S298" s="21" t="str">
        <f aca="false">IFERROR(INDEX(종합!S$3:S$501,MATCH(ROW()-2,종합!$AB$3:$AB$501,0))&amp;"","")</f>
        <v/>
      </c>
      <c r="T298" s="21" t="str">
        <f aca="false">IFERROR(INDEX(종합!T$3:T$501,MATCH(ROW()-2,종합!$AB$3:$AB$501,0))&amp;"","")</f>
        <v/>
      </c>
      <c r="U298" s="21" t="str">
        <f aca="false">IFERROR(INDEX(종합!U$3:U$501,MATCH(ROW()-2,종합!$AB$3:$AB$501,0))&amp;"","")</f>
        <v/>
      </c>
      <c r="V298" s="21" t="str">
        <f aca="false">IFERROR(INDEX(종합!V$3:V$501,MATCH(ROW()-2,종합!$AB$3:$AB$501,0))&amp;"","")</f>
        <v/>
      </c>
      <c r="W298" s="21" t="str">
        <f aca="false">IFERROR(INDEX(종합!W$3:W$501,MATCH(ROW()-2,종합!$AB$3:$AB$501,0))&amp;"","")</f>
        <v/>
      </c>
      <c r="X298" s="21" t="str">
        <f aca="false">IFERROR(INDEX(종합!X$3:X$501,MATCH(ROW()-2,종합!$AB$3:$AB$501,0))&amp;"","")</f>
        <v/>
      </c>
      <c r="Y298" s="21" t="str">
        <f aca="false">IFERROR(INDEX(종합!Y$3:Y$501,MATCH(ROW()-2,종합!$AB$3:$AB$501,0))&amp;"","")</f>
        <v/>
      </c>
      <c r="Z298" s="21" t="str">
        <f aca="false">IFERROR(INDEX(종합!Z$3:Z$501,MATCH(ROW()-2,종합!$AB$3:$AB$501,0))&amp;"","")</f>
        <v/>
      </c>
    </row>
    <row r="299" customFormat="false" ht="16.5" hidden="false" customHeight="true" outlineLevel="0" collapsed="false">
      <c r="A299" s="18" t="str">
        <f aca="false">IF(B299="","",ROW()-2)</f>
        <v/>
      </c>
      <c r="B299" s="18" t="str">
        <f aca="false">IFERROR(INDEX(종합!B$3:B$501,MATCH(ROW()-2,종합!$AB$3:$AB$501,0))&amp;"","")</f>
        <v/>
      </c>
      <c r="C299" s="18" t="str">
        <f aca="false">IFERROR(INDEX(종합!C$3:C$501,MATCH(ROW()-2,종합!$AB$3:$AB$501,0))&amp;"","")</f>
        <v/>
      </c>
      <c r="D299" s="18" t="str">
        <f aca="false">IFERROR(INDEX(종합!D$3:D$501,MATCH(ROW()-2,종합!$AB$3:$AB$501,0))&amp;"","")</f>
        <v/>
      </c>
      <c r="E299" s="18" t="str">
        <f aca="false">IFERROR(INDEX(종합!E$3:E$501,MATCH(ROW()-2,종합!$AB$3:$AB$501,0))&amp;"","")</f>
        <v/>
      </c>
      <c r="F299" s="18" t="str">
        <f aca="false">IFERROR(INDEX(종합!F$3:F$501,MATCH(ROW()-2,종합!$AB$3:$AB$501,0))&amp;"","")</f>
        <v/>
      </c>
      <c r="G299" s="18" t="str">
        <f aca="false">IFERROR(INDEX(종합!G$3:G$501,MATCH(ROW()-2,종합!$AB$3:$AB$501,0))&amp;"","")</f>
        <v/>
      </c>
      <c r="H299" s="21" t="str">
        <f aca="false">IFERROR(INDEX(종합!H$3:H$501,MATCH(ROW()-2,종합!$AB$3:$AB$501,0))&amp;"","")</f>
        <v/>
      </c>
      <c r="I299" s="21" t="str">
        <f aca="false">IFERROR(INDEX(종합!I$3:I$501,MATCH(ROW()-2,종합!$AB$3:$AB$501,0))&amp;"","")</f>
        <v/>
      </c>
      <c r="J299" s="21" t="str">
        <f aca="false">IFERROR(INDEX(종합!J$3:J$501,MATCH(ROW()-2,종합!$AB$3:$AB$501,0))&amp;"","")</f>
        <v/>
      </c>
      <c r="K299" s="21" t="str">
        <f aca="false">IFERROR(INDEX(종합!K$3:K$501,MATCH(ROW()-2,종합!$AB$3:$AB$501,0))&amp;"","")</f>
        <v/>
      </c>
      <c r="L299" s="21" t="str">
        <f aca="false">IFERROR(INDEX(종합!L$3:L$501,MATCH(ROW()-2,종합!$AB$3:$AB$501,0))&amp;"","")</f>
        <v/>
      </c>
      <c r="M299" s="21" t="str">
        <f aca="false">IFERROR(INDEX(종합!M$3:M$501,MATCH(ROW()-2,종합!$AB$3:$AB$501,0))&amp;"","")</f>
        <v/>
      </c>
      <c r="N299" s="25" t="str">
        <f aca="false">IFERROR(INDEX(종합!N$3:N$501,MATCH(ROW()-2,종합!$AB$3:$AB$501,0))&amp;"","")</f>
        <v/>
      </c>
      <c r="O299" s="21" t="str">
        <f aca="false">IFERROR(INDEX(종합!O$3:O$501,MATCH(ROW()-2,종합!$AB$3:$AB$501,0))&amp;"","")</f>
        <v/>
      </c>
      <c r="P299" s="21" t="str">
        <f aca="false">IFERROR(INDEX(종합!P$3:P$501,MATCH(ROW()-2,종합!$AB$3:$AB$501,0))&amp;"","")</f>
        <v/>
      </c>
      <c r="Q299" s="21" t="str">
        <f aca="false">IFERROR(INDEX(종합!Q$3:Q$501,MATCH(ROW()-2,종합!$AB$3:$AB$501,0))&amp;"","")</f>
        <v/>
      </c>
      <c r="R299" s="21" t="str">
        <f aca="false">IFERROR(INDEX(종합!R$3:R$501,MATCH(ROW()-2,종합!$AB$3:$AB$501,0))&amp;"","")</f>
        <v/>
      </c>
      <c r="S299" s="21" t="str">
        <f aca="false">IFERROR(INDEX(종합!S$3:S$501,MATCH(ROW()-2,종합!$AB$3:$AB$501,0))&amp;"","")</f>
        <v/>
      </c>
      <c r="T299" s="21" t="str">
        <f aca="false">IFERROR(INDEX(종합!T$3:T$501,MATCH(ROW()-2,종합!$AB$3:$AB$501,0))&amp;"","")</f>
        <v/>
      </c>
      <c r="U299" s="21" t="str">
        <f aca="false">IFERROR(INDEX(종합!U$3:U$501,MATCH(ROW()-2,종합!$AB$3:$AB$501,0))&amp;"","")</f>
        <v/>
      </c>
      <c r="V299" s="21" t="str">
        <f aca="false">IFERROR(INDEX(종합!V$3:V$501,MATCH(ROW()-2,종합!$AB$3:$AB$501,0))&amp;"","")</f>
        <v/>
      </c>
      <c r="W299" s="21" t="str">
        <f aca="false">IFERROR(INDEX(종합!W$3:W$501,MATCH(ROW()-2,종합!$AB$3:$AB$501,0))&amp;"","")</f>
        <v/>
      </c>
      <c r="X299" s="21" t="str">
        <f aca="false">IFERROR(INDEX(종합!X$3:X$501,MATCH(ROW()-2,종합!$AB$3:$AB$501,0))&amp;"","")</f>
        <v/>
      </c>
      <c r="Y299" s="21" t="str">
        <f aca="false">IFERROR(INDEX(종합!Y$3:Y$501,MATCH(ROW()-2,종합!$AB$3:$AB$501,0))&amp;"","")</f>
        <v/>
      </c>
      <c r="Z299" s="21" t="str">
        <f aca="false">IFERROR(INDEX(종합!Z$3:Z$501,MATCH(ROW()-2,종합!$AB$3:$AB$501,0))&amp;"","")</f>
        <v/>
      </c>
    </row>
    <row r="300" customFormat="false" ht="16.5" hidden="false" customHeight="true" outlineLevel="0" collapsed="false">
      <c r="A300" s="18" t="str">
        <f aca="false">IF(B300="","",ROW()-2)</f>
        <v/>
      </c>
      <c r="B300" s="18" t="str">
        <f aca="false">IFERROR(INDEX(종합!B$3:B$501,MATCH(ROW()-2,종합!$AB$3:$AB$501,0))&amp;"","")</f>
        <v/>
      </c>
      <c r="C300" s="18" t="str">
        <f aca="false">IFERROR(INDEX(종합!C$3:C$501,MATCH(ROW()-2,종합!$AB$3:$AB$501,0))&amp;"","")</f>
        <v/>
      </c>
      <c r="D300" s="18" t="str">
        <f aca="false">IFERROR(INDEX(종합!D$3:D$501,MATCH(ROW()-2,종합!$AB$3:$AB$501,0))&amp;"","")</f>
        <v/>
      </c>
      <c r="E300" s="18" t="str">
        <f aca="false">IFERROR(INDEX(종합!E$3:E$501,MATCH(ROW()-2,종합!$AB$3:$AB$501,0))&amp;"","")</f>
        <v/>
      </c>
      <c r="F300" s="18" t="str">
        <f aca="false">IFERROR(INDEX(종합!F$3:F$501,MATCH(ROW()-2,종합!$AB$3:$AB$501,0))&amp;"","")</f>
        <v/>
      </c>
      <c r="G300" s="18" t="str">
        <f aca="false">IFERROR(INDEX(종합!G$3:G$501,MATCH(ROW()-2,종합!$AB$3:$AB$501,0))&amp;"","")</f>
        <v/>
      </c>
      <c r="H300" s="21" t="str">
        <f aca="false">IFERROR(INDEX(종합!H$3:H$501,MATCH(ROW()-2,종합!$AB$3:$AB$501,0))&amp;"","")</f>
        <v/>
      </c>
      <c r="I300" s="21" t="str">
        <f aca="false">IFERROR(INDEX(종합!I$3:I$501,MATCH(ROW()-2,종합!$AB$3:$AB$501,0))&amp;"","")</f>
        <v/>
      </c>
      <c r="J300" s="21" t="str">
        <f aca="false">IFERROR(INDEX(종합!J$3:J$501,MATCH(ROW()-2,종합!$AB$3:$AB$501,0))&amp;"","")</f>
        <v/>
      </c>
      <c r="K300" s="21" t="str">
        <f aca="false">IFERROR(INDEX(종합!K$3:K$501,MATCH(ROW()-2,종합!$AB$3:$AB$501,0))&amp;"","")</f>
        <v/>
      </c>
      <c r="L300" s="21" t="str">
        <f aca="false">IFERROR(INDEX(종합!L$3:L$501,MATCH(ROW()-2,종합!$AB$3:$AB$501,0))&amp;"","")</f>
        <v/>
      </c>
      <c r="M300" s="21" t="str">
        <f aca="false">IFERROR(INDEX(종합!M$3:M$501,MATCH(ROW()-2,종합!$AB$3:$AB$501,0))&amp;"","")</f>
        <v/>
      </c>
      <c r="N300" s="25" t="str">
        <f aca="false">IFERROR(INDEX(종합!N$3:N$501,MATCH(ROW()-2,종합!$AB$3:$AB$501,0))&amp;"","")</f>
        <v/>
      </c>
      <c r="O300" s="21" t="str">
        <f aca="false">IFERROR(INDEX(종합!O$3:O$501,MATCH(ROW()-2,종합!$AB$3:$AB$501,0))&amp;"","")</f>
        <v/>
      </c>
      <c r="P300" s="21" t="str">
        <f aca="false">IFERROR(INDEX(종합!P$3:P$501,MATCH(ROW()-2,종합!$AB$3:$AB$501,0))&amp;"","")</f>
        <v/>
      </c>
      <c r="Q300" s="21" t="str">
        <f aca="false">IFERROR(INDEX(종합!Q$3:Q$501,MATCH(ROW()-2,종합!$AB$3:$AB$501,0))&amp;"","")</f>
        <v/>
      </c>
      <c r="R300" s="21" t="str">
        <f aca="false">IFERROR(INDEX(종합!R$3:R$501,MATCH(ROW()-2,종합!$AB$3:$AB$501,0))&amp;"","")</f>
        <v/>
      </c>
      <c r="S300" s="21" t="str">
        <f aca="false">IFERROR(INDEX(종합!S$3:S$501,MATCH(ROW()-2,종합!$AB$3:$AB$501,0))&amp;"","")</f>
        <v/>
      </c>
      <c r="T300" s="21" t="str">
        <f aca="false">IFERROR(INDEX(종합!T$3:T$501,MATCH(ROW()-2,종합!$AB$3:$AB$501,0))&amp;"","")</f>
        <v/>
      </c>
      <c r="U300" s="21" t="str">
        <f aca="false">IFERROR(INDEX(종합!U$3:U$501,MATCH(ROW()-2,종합!$AB$3:$AB$501,0))&amp;"","")</f>
        <v/>
      </c>
      <c r="V300" s="21" t="str">
        <f aca="false">IFERROR(INDEX(종합!V$3:V$501,MATCH(ROW()-2,종합!$AB$3:$AB$501,0))&amp;"","")</f>
        <v/>
      </c>
      <c r="W300" s="21" t="str">
        <f aca="false">IFERROR(INDEX(종합!W$3:W$501,MATCH(ROW()-2,종합!$AB$3:$AB$501,0))&amp;"","")</f>
        <v/>
      </c>
      <c r="X300" s="21" t="str">
        <f aca="false">IFERROR(INDEX(종합!X$3:X$501,MATCH(ROW()-2,종합!$AB$3:$AB$501,0))&amp;"","")</f>
        <v/>
      </c>
      <c r="Y300" s="21" t="str">
        <f aca="false">IFERROR(INDEX(종합!Y$3:Y$501,MATCH(ROW()-2,종합!$AB$3:$AB$501,0))&amp;"","")</f>
        <v/>
      </c>
      <c r="Z300" s="21" t="str">
        <f aca="false">IFERROR(INDEX(종합!Z$3:Z$501,MATCH(ROW()-2,종합!$AB$3:$AB$501,0))&amp;"","")</f>
        <v/>
      </c>
    </row>
    <row r="301" customFormat="false" ht="16.5" hidden="false" customHeight="true" outlineLevel="0" collapsed="false">
      <c r="A301" s="18" t="str">
        <f aca="false">IF(B301="","",ROW()-2)</f>
        <v/>
      </c>
      <c r="B301" s="18" t="str">
        <f aca="false">IFERROR(INDEX(종합!B$3:B$501,MATCH(ROW()-2,종합!$AB$3:$AB$501,0))&amp;"","")</f>
        <v/>
      </c>
      <c r="C301" s="18" t="str">
        <f aca="false">IFERROR(INDEX(종합!C$3:C$501,MATCH(ROW()-2,종합!$AB$3:$AB$501,0))&amp;"","")</f>
        <v/>
      </c>
      <c r="D301" s="18" t="str">
        <f aca="false">IFERROR(INDEX(종합!D$3:D$501,MATCH(ROW()-2,종합!$AB$3:$AB$501,0))&amp;"","")</f>
        <v/>
      </c>
      <c r="E301" s="18" t="str">
        <f aca="false">IFERROR(INDEX(종합!E$3:E$501,MATCH(ROW()-2,종합!$AB$3:$AB$501,0))&amp;"","")</f>
        <v/>
      </c>
      <c r="F301" s="18" t="str">
        <f aca="false">IFERROR(INDEX(종합!F$3:F$501,MATCH(ROW()-2,종합!$AB$3:$AB$501,0))&amp;"","")</f>
        <v/>
      </c>
      <c r="G301" s="18" t="str">
        <f aca="false">IFERROR(INDEX(종합!G$3:G$501,MATCH(ROW()-2,종합!$AB$3:$AB$501,0))&amp;"","")</f>
        <v/>
      </c>
      <c r="H301" s="21" t="str">
        <f aca="false">IFERROR(INDEX(종합!H$3:H$501,MATCH(ROW()-2,종합!$AB$3:$AB$501,0))&amp;"","")</f>
        <v/>
      </c>
      <c r="I301" s="21" t="str">
        <f aca="false">IFERROR(INDEX(종합!I$3:I$501,MATCH(ROW()-2,종합!$AB$3:$AB$501,0))&amp;"","")</f>
        <v/>
      </c>
      <c r="J301" s="21" t="str">
        <f aca="false">IFERROR(INDEX(종합!J$3:J$501,MATCH(ROW()-2,종합!$AB$3:$AB$501,0))&amp;"","")</f>
        <v/>
      </c>
      <c r="K301" s="21" t="str">
        <f aca="false">IFERROR(INDEX(종합!K$3:K$501,MATCH(ROW()-2,종합!$AB$3:$AB$501,0))&amp;"","")</f>
        <v/>
      </c>
      <c r="L301" s="21" t="str">
        <f aca="false">IFERROR(INDEX(종합!L$3:L$501,MATCH(ROW()-2,종합!$AB$3:$AB$501,0))&amp;"","")</f>
        <v/>
      </c>
      <c r="M301" s="21" t="str">
        <f aca="false">IFERROR(INDEX(종합!M$3:M$501,MATCH(ROW()-2,종합!$AB$3:$AB$501,0))&amp;"","")</f>
        <v/>
      </c>
      <c r="N301" s="25" t="str">
        <f aca="false">IFERROR(INDEX(종합!N$3:N$501,MATCH(ROW()-2,종합!$AB$3:$AB$501,0))&amp;"","")</f>
        <v/>
      </c>
      <c r="O301" s="21" t="str">
        <f aca="false">IFERROR(INDEX(종합!O$3:O$501,MATCH(ROW()-2,종합!$AB$3:$AB$501,0))&amp;"","")</f>
        <v/>
      </c>
      <c r="P301" s="21" t="str">
        <f aca="false">IFERROR(INDEX(종합!P$3:P$501,MATCH(ROW()-2,종합!$AB$3:$AB$501,0))&amp;"","")</f>
        <v/>
      </c>
      <c r="Q301" s="21" t="str">
        <f aca="false">IFERROR(INDEX(종합!Q$3:Q$501,MATCH(ROW()-2,종합!$AB$3:$AB$501,0))&amp;"","")</f>
        <v/>
      </c>
      <c r="R301" s="21" t="str">
        <f aca="false">IFERROR(INDEX(종합!R$3:R$501,MATCH(ROW()-2,종합!$AB$3:$AB$501,0))&amp;"","")</f>
        <v/>
      </c>
      <c r="S301" s="21" t="str">
        <f aca="false">IFERROR(INDEX(종합!S$3:S$501,MATCH(ROW()-2,종합!$AB$3:$AB$501,0))&amp;"","")</f>
        <v/>
      </c>
      <c r="T301" s="21" t="str">
        <f aca="false">IFERROR(INDEX(종합!T$3:T$501,MATCH(ROW()-2,종합!$AB$3:$AB$501,0))&amp;"","")</f>
        <v/>
      </c>
      <c r="U301" s="21" t="str">
        <f aca="false">IFERROR(INDEX(종합!U$3:U$501,MATCH(ROW()-2,종합!$AB$3:$AB$501,0))&amp;"","")</f>
        <v/>
      </c>
      <c r="V301" s="21" t="str">
        <f aca="false">IFERROR(INDEX(종합!V$3:V$501,MATCH(ROW()-2,종합!$AB$3:$AB$501,0))&amp;"","")</f>
        <v/>
      </c>
      <c r="W301" s="21" t="str">
        <f aca="false">IFERROR(INDEX(종합!W$3:W$501,MATCH(ROW()-2,종합!$AB$3:$AB$501,0))&amp;"","")</f>
        <v/>
      </c>
      <c r="X301" s="21" t="str">
        <f aca="false">IFERROR(INDEX(종합!X$3:X$501,MATCH(ROW()-2,종합!$AB$3:$AB$501,0))&amp;"","")</f>
        <v/>
      </c>
      <c r="Y301" s="21" t="str">
        <f aca="false">IFERROR(INDEX(종합!Y$3:Y$501,MATCH(ROW()-2,종합!$AB$3:$AB$501,0))&amp;"","")</f>
        <v/>
      </c>
      <c r="Z301" s="21" t="str">
        <f aca="false">IFERROR(INDEX(종합!Z$3:Z$501,MATCH(ROW()-2,종합!$AB$3:$AB$501,0))&amp;"","")</f>
        <v/>
      </c>
    </row>
    <row r="302" customFormat="false" ht="16.5" hidden="false" customHeight="true" outlineLevel="0" collapsed="false">
      <c r="A302" s="18" t="str">
        <f aca="false">IF(B302="","",ROW()-2)</f>
        <v/>
      </c>
      <c r="B302" s="18" t="str">
        <f aca="false">IFERROR(INDEX(종합!B$3:B$501,MATCH(ROW()-2,종합!$AB$3:$AB$501,0))&amp;"","")</f>
        <v/>
      </c>
      <c r="C302" s="18" t="str">
        <f aca="false">IFERROR(INDEX(종합!C$3:C$501,MATCH(ROW()-2,종합!$AB$3:$AB$501,0))&amp;"","")</f>
        <v/>
      </c>
      <c r="D302" s="18" t="str">
        <f aca="false">IFERROR(INDEX(종합!D$3:D$501,MATCH(ROW()-2,종합!$AB$3:$AB$501,0))&amp;"","")</f>
        <v/>
      </c>
      <c r="E302" s="18" t="str">
        <f aca="false">IFERROR(INDEX(종합!E$3:E$501,MATCH(ROW()-2,종합!$AB$3:$AB$501,0))&amp;"","")</f>
        <v/>
      </c>
      <c r="F302" s="18" t="str">
        <f aca="false">IFERROR(INDEX(종합!F$3:F$501,MATCH(ROW()-2,종합!$AB$3:$AB$501,0))&amp;"","")</f>
        <v/>
      </c>
      <c r="G302" s="18" t="str">
        <f aca="false">IFERROR(INDEX(종합!G$3:G$501,MATCH(ROW()-2,종합!$AB$3:$AB$501,0))&amp;"","")</f>
        <v/>
      </c>
      <c r="H302" s="21" t="str">
        <f aca="false">IFERROR(INDEX(종합!H$3:H$501,MATCH(ROW()-2,종합!$AB$3:$AB$501,0))&amp;"","")</f>
        <v/>
      </c>
      <c r="I302" s="21" t="str">
        <f aca="false">IFERROR(INDEX(종합!I$3:I$501,MATCH(ROW()-2,종합!$AB$3:$AB$501,0))&amp;"","")</f>
        <v/>
      </c>
      <c r="J302" s="21" t="str">
        <f aca="false">IFERROR(INDEX(종합!J$3:J$501,MATCH(ROW()-2,종합!$AB$3:$AB$501,0))&amp;"","")</f>
        <v/>
      </c>
      <c r="K302" s="21" t="str">
        <f aca="false">IFERROR(INDEX(종합!K$3:K$501,MATCH(ROW()-2,종합!$AB$3:$AB$501,0))&amp;"","")</f>
        <v/>
      </c>
      <c r="L302" s="21" t="str">
        <f aca="false">IFERROR(INDEX(종합!L$3:L$501,MATCH(ROW()-2,종합!$AB$3:$AB$501,0))&amp;"","")</f>
        <v/>
      </c>
      <c r="M302" s="21" t="str">
        <f aca="false">IFERROR(INDEX(종합!M$3:M$501,MATCH(ROW()-2,종합!$AB$3:$AB$501,0))&amp;"","")</f>
        <v/>
      </c>
      <c r="N302" s="25" t="str">
        <f aca="false">IFERROR(INDEX(종합!N$3:N$501,MATCH(ROW()-2,종합!$AB$3:$AB$501,0))&amp;"","")</f>
        <v/>
      </c>
      <c r="O302" s="21" t="str">
        <f aca="false">IFERROR(INDEX(종합!O$3:O$501,MATCH(ROW()-2,종합!$AB$3:$AB$501,0))&amp;"","")</f>
        <v/>
      </c>
      <c r="P302" s="21" t="str">
        <f aca="false">IFERROR(INDEX(종합!P$3:P$501,MATCH(ROW()-2,종합!$AB$3:$AB$501,0))&amp;"","")</f>
        <v/>
      </c>
      <c r="Q302" s="21" t="str">
        <f aca="false">IFERROR(INDEX(종합!Q$3:Q$501,MATCH(ROW()-2,종합!$AB$3:$AB$501,0))&amp;"","")</f>
        <v/>
      </c>
      <c r="R302" s="21" t="str">
        <f aca="false">IFERROR(INDEX(종합!R$3:R$501,MATCH(ROW()-2,종합!$AB$3:$AB$501,0))&amp;"","")</f>
        <v/>
      </c>
      <c r="S302" s="21" t="str">
        <f aca="false">IFERROR(INDEX(종합!S$3:S$501,MATCH(ROW()-2,종합!$AB$3:$AB$501,0))&amp;"","")</f>
        <v/>
      </c>
      <c r="T302" s="21" t="str">
        <f aca="false">IFERROR(INDEX(종합!T$3:T$501,MATCH(ROW()-2,종합!$AB$3:$AB$501,0))&amp;"","")</f>
        <v/>
      </c>
      <c r="U302" s="21" t="str">
        <f aca="false">IFERROR(INDEX(종합!U$3:U$501,MATCH(ROW()-2,종합!$AB$3:$AB$501,0))&amp;"","")</f>
        <v/>
      </c>
      <c r="V302" s="21" t="str">
        <f aca="false">IFERROR(INDEX(종합!V$3:V$501,MATCH(ROW()-2,종합!$AB$3:$AB$501,0))&amp;"","")</f>
        <v/>
      </c>
      <c r="W302" s="21" t="str">
        <f aca="false">IFERROR(INDEX(종합!W$3:W$501,MATCH(ROW()-2,종합!$AB$3:$AB$501,0))&amp;"","")</f>
        <v/>
      </c>
      <c r="X302" s="21" t="str">
        <f aca="false">IFERROR(INDEX(종합!X$3:X$501,MATCH(ROW()-2,종합!$AB$3:$AB$501,0))&amp;"","")</f>
        <v/>
      </c>
      <c r="Y302" s="21" t="str">
        <f aca="false">IFERROR(INDEX(종합!Y$3:Y$501,MATCH(ROW()-2,종합!$AB$3:$AB$501,0))&amp;"","")</f>
        <v/>
      </c>
      <c r="Z302" s="21" t="str">
        <f aca="false">IFERROR(INDEX(종합!Z$3:Z$501,MATCH(ROW()-2,종합!$AB$3:$AB$501,0))&amp;"","")</f>
        <v/>
      </c>
    </row>
    <row r="303" customFormat="false" ht="16.5" hidden="false" customHeight="true" outlineLevel="0" collapsed="false">
      <c r="A303" s="18" t="str">
        <f aca="false">IF(B303="","",ROW()-2)</f>
        <v/>
      </c>
      <c r="B303" s="18" t="str">
        <f aca="false">IFERROR(INDEX(종합!B$3:B$501,MATCH(ROW()-2,종합!$AB$3:$AB$501,0))&amp;"","")</f>
        <v/>
      </c>
      <c r="C303" s="18" t="str">
        <f aca="false">IFERROR(INDEX(종합!C$3:C$501,MATCH(ROW()-2,종합!$AB$3:$AB$501,0))&amp;"","")</f>
        <v/>
      </c>
      <c r="D303" s="18" t="str">
        <f aca="false">IFERROR(INDEX(종합!D$3:D$501,MATCH(ROW()-2,종합!$AB$3:$AB$501,0))&amp;"","")</f>
        <v/>
      </c>
      <c r="E303" s="18" t="str">
        <f aca="false">IFERROR(INDEX(종합!E$3:E$501,MATCH(ROW()-2,종합!$AB$3:$AB$501,0))&amp;"","")</f>
        <v/>
      </c>
      <c r="F303" s="18" t="str">
        <f aca="false">IFERROR(INDEX(종합!F$3:F$501,MATCH(ROW()-2,종합!$AB$3:$AB$501,0))&amp;"","")</f>
        <v/>
      </c>
      <c r="G303" s="18" t="str">
        <f aca="false">IFERROR(INDEX(종합!G$3:G$501,MATCH(ROW()-2,종합!$AB$3:$AB$501,0))&amp;"","")</f>
        <v/>
      </c>
      <c r="H303" s="21" t="str">
        <f aca="false">IFERROR(INDEX(종합!H$3:H$501,MATCH(ROW()-2,종합!$AB$3:$AB$501,0))&amp;"","")</f>
        <v/>
      </c>
      <c r="I303" s="21" t="str">
        <f aca="false">IFERROR(INDEX(종합!I$3:I$501,MATCH(ROW()-2,종합!$AB$3:$AB$501,0))&amp;"","")</f>
        <v/>
      </c>
      <c r="J303" s="21" t="str">
        <f aca="false">IFERROR(INDEX(종합!J$3:J$501,MATCH(ROW()-2,종합!$AB$3:$AB$501,0))&amp;"","")</f>
        <v/>
      </c>
      <c r="K303" s="21" t="str">
        <f aca="false">IFERROR(INDEX(종합!K$3:K$501,MATCH(ROW()-2,종합!$AB$3:$AB$501,0))&amp;"","")</f>
        <v/>
      </c>
      <c r="L303" s="21" t="str">
        <f aca="false">IFERROR(INDEX(종합!L$3:L$501,MATCH(ROW()-2,종합!$AB$3:$AB$501,0))&amp;"","")</f>
        <v/>
      </c>
      <c r="M303" s="21" t="str">
        <f aca="false">IFERROR(INDEX(종합!M$3:M$501,MATCH(ROW()-2,종합!$AB$3:$AB$501,0))&amp;"","")</f>
        <v/>
      </c>
      <c r="N303" s="25" t="str">
        <f aca="false">IFERROR(INDEX(종합!N$3:N$501,MATCH(ROW()-2,종합!$AB$3:$AB$501,0))&amp;"","")</f>
        <v/>
      </c>
      <c r="O303" s="21" t="str">
        <f aca="false">IFERROR(INDEX(종합!O$3:O$501,MATCH(ROW()-2,종합!$AB$3:$AB$501,0))&amp;"","")</f>
        <v/>
      </c>
      <c r="P303" s="21" t="str">
        <f aca="false">IFERROR(INDEX(종합!P$3:P$501,MATCH(ROW()-2,종합!$AB$3:$AB$501,0))&amp;"","")</f>
        <v/>
      </c>
      <c r="Q303" s="21" t="str">
        <f aca="false">IFERROR(INDEX(종합!Q$3:Q$501,MATCH(ROW()-2,종합!$AB$3:$AB$501,0))&amp;"","")</f>
        <v/>
      </c>
      <c r="R303" s="21" t="str">
        <f aca="false">IFERROR(INDEX(종합!R$3:R$501,MATCH(ROW()-2,종합!$AB$3:$AB$501,0))&amp;"","")</f>
        <v/>
      </c>
      <c r="S303" s="21" t="str">
        <f aca="false">IFERROR(INDEX(종합!S$3:S$501,MATCH(ROW()-2,종합!$AB$3:$AB$501,0))&amp;"","")</f>
        <v/>
      </c>
      <c r="T303" s="21" t="str">
        <f aca="false">IFERROR(INDEX(종합!T$3:T$501,MATCH(ROW()-2,종합!$AB$3:$AB$501,0))&amp;"","")</f>
        <v/>
      </c>
      <c r="U303" s="21" t="str">
        <f aca="false">IFERROR(INDEX(종합!U$3:U$501,MATCH(ROW()-2,종합!$AB$3:$AB$501,0))&amp;"","")</f>
        <v/>
      </c>
      <c r="V303" s="21" t="str">
        <f aca="false">IFERROR(INDEX(종합!V$3:V$501,MATCH(ROW()-2,종합!$AB$3:$AB$501,0))&amp;"","")</f>
        <v/>
      </c>
      <c r="W303" s="21" t="str">
        <f aca="false">IFERROR(INDEX(종합!W$3:W$501,MATCH(ROW()-2,종합!$AB$3:$AB$501,0))&amp;"","")</f>
        <v/>
      </c>
      <c r="X303" s="21" t="str">
        <f aca="false">IFERROR(INDEX(종합!X$3:X$501,MATCH(ROW()-2,종합!$AB$3:$AB$501,0))&amp;"","")</f>
        <v/>
      </c>
      <c r="Y303" s="21" t="str">
        <f aca="false">IFERROR(INDEX(종합!Y$3:Y$501,MATCH(ROW()-2,종합!$AB$3:$AB$501,0))&amp;"","")</f>
        <v/>
      </c>
      <c r="Z303" s="21" t="str">
        <f aca="false">IFERROR(INDEX(종합!Z$3:Z$501,MATCH(ROW()-2,종합!$AB$3:$AB$501,0))&amp;"","")</f>
        <v/>
      </c>
    </row>
    <row r="304" customFormat="false" ht="16.5" hidden="false" customHeight="true" outlineLevel="0" collapsed="false">
      <c r="A304" s="18" t="str">
        <f aca="false">IF(B304="","",ROW()-2)</f>
        <v/>
      </c>
      <c r="B304" s="18" t="str">
        <f aca="false">IFERROR(INDEX(종합!B$3:B$501,MATCH(ROW()-2,종합!$AB$3:$AB$501,0))&amp;"","")</f>
        <v/>
      </c>
      <c r="C304" s="18" t="str">
        <f aca="false">IFERROR(INDEX(종합!C$3:C$501,MATCH(ROW()-2,종합!$AB$3:$AB$501,0))&amp;"","")</f>
        <v/>
      </c>
      <c r="D304" s="18" t="str">
        <f aca="false">IFERROR(INDEX(종합!D$3:D$501,MATCH(ROW()-2,종합!$AB$3:$AB$501,0))&amp;"","")</f>
        <v/>
      </c>
      <c r="E304" s="18" t="str">
        <f aca="false">IFERROR(INDEX(종합!E$3:E$501,MATCH(ROW()-2,종합!$AB$3:$AB$501,0))&amp;"","")</f>
        <v/>
      </c>
      <c r="F304" s="18" t="str">
        <f aca="false">IFERROR(INDEX(종합!F$3:F$501,MATCH(ROW()-2,종합!$AB$3:$AB$501,0))&amp;"","")</f>
        <v/>
      </c>
      <c r="G304" s="18" t="str">
        <f aca="false">IFERROR(INDEX(종합!G$3:G$501,MATCH(ROW()-2,종합!$AB$3:$AB$501,0))&amp;"","")</f>
        <v/>
      </c>
      <c r="H304" s="21" t="str">
        <f aca="false">IFERROR(INDEX(종합!H$3:H$501,MATCH(ROW()-2,종합!$AB$3:$AB$501,0))&amp;"","")</f>
        <v/>
      </c>
      <c r="I304" s="21" t="str">
        <f aca="false">IFERROR(INDEX(종합!I$3:I$501,MATCH(ROW()-2,종합!$AB$3:$AB$501,0))&amp;"","")</f>
        <v/>
      </c>
      <c r="J304" s="21" t="str">
        <f aca="false">IFERROR(INDEX(종합!J$3:J$501,MATCH(ROW()-2,종합!$AB$3:$AB$501,0))&amp;"","")</f>
        <v/>
      </c>
      <c r="K304" s="21" t="str">
        <f aca="false">IFERROR(INDEX(종합!K$3:K$501,MATCH(ROW()-2,종합!$AB$3:$AB$501,0))&amp;"","")</f>
        <v/>
      </c>
      <c r="L304" s="21" t="str">
        <f aca="false">IFERROR(INDEX(종합!L$3:L$501,MATCH(ROW()-2,종합!$AB$3:$AB$501,0))&amp;"","")</f>
        <v/>
      </c>
      <c r="M304" s="21" t="str">
        <f aca="false">IFERROR(INDEX(종합!M$3:M$501,MATCH(ROW()-2,종합!$AB$3:$AB$501,0))&amp;"","")</f>
        <v/>
      </c>
      <c r="N304" s="25" t="str">
        <f aca="false">IFERROR(INDEX(종합!N$3:N$501,MATCH(ROW()-2,종합!$AB$3:$AB$501,0))&amp;"","")</f>
        <v/>
      </c>
      <c r="O304" s="21" t="str">
        <f aca="false">IFERROR(INDEX(종합!O$3:O$501,MATCH(ROW()-2,종합!$AB$3:$AB$501,0))&amp;"","")</f>
        <v/>
      </c>
      <c r="P304" s="21" t="str">
        <f aca="false">IFERROR(INDEX(종합!P$3:P$501,MATCH(ROW()-2,종합!$AB$3:$AB$501,0))&amp;"","")</f>
        <v/>
      </c>
      <c r="Q304" s="21" t="str">
        <f aca="false">IFERROR(INDEX(종합!Q$3:Q$501,MATCH(ROW()-2,종합!$AB$3:$AB$501,0))&amp;"","")</f>
        <v/>
      </c>
      <c r="R304" s="21" t="str">
        <f aca="false">IFERROR(INDEX(종합!R$3:R$501,MATCH(ROW()-2,종합!$AB$3:$AB$501,0))&amp;"","")</f>
        <v/>
      </c>
      <c r="S304" s="21" t="str">
        <f aca="false">IFERROR(INDEX(종합!S$3:S$501,MATCH(ROW()-2,종합!$AB$3:$AB$501,0))&amp;"","")</f>
        <v/>
      </c>
      <c r="T304" s="21" t="str">
        <f aca="false">IFERROR(INDEX(종합!T$3:T$501,MATCH(ROW()-2,종합!$AB$3:$AB$501,0))&amp;"","")</f>
        <v/>
      </c>
      <c r="U304" s="21" t="str">
        <f aca="false">IFERROR(INDEX(종합!U$3:U$501,MATCH(ROW()-2,종합!$AB$3:$AB$501,0))&amp;"","")</f>
        <v/>
      </c>
      <c r="V304" s="21" t="str">
        <f aca="false">IFERROR(INDEX(종합!V$3:V$501,MATCH(ROW()-2,종합!$AB$3:$AB$501,0))&amp;"","")</f>
        <v/>
      </c>
      <c r="W304" s="21" t="str">
        <f aca="false">IFERROR(INDEX(종합!W$3:W$501,MATCH(ROW()-2,종합!$AB$3:$AB$501,0))&amp;"","")</f>
        <v/>
      </c>
      <c r="X304" s="21" t="str">
        <f aca="false">IFERROR(INDEX(종합!X$3:X$501,MATCH(ROW()-2,종합!$AB$3:$AB$501,0))&amp;"","")</f>
        <v/>
      </c>
      <c r="Y304" s="21" t="str">
        <f aca="false">IFERROR(INDEX(종합!Y$3:Y$501,MATCH(ROW()-2,종합!$AB$3:$AB$501,0))&amp;"","")</f>
        <v/>
      </c>
      <c r="Z304" s="21" t="str">
        <f aca="false">IFERROR(INDEX(종합!Z$3:Z$501,MATCH(ROW()-2,종합!$AB$3:$AB$501,0))&amp;"","")</f>
        <v/>
      </c>
    </row>
    <row r="305" customFormat="false" ht="16.5" hidden="false" customHeight="true" outlineLevel="0" collapsed="false">
      <c r="A305" s="18" t="str">
        <f aca="false">IF(B305="","",ROW()-2)</f>
        <v/>
      </c>
      <c r="B305" s="18" t="str">
        <f aca="false">IFERROR(INDEX(종합!B$3:B$501,MATCH(ROW()-2,종합!$AB$3:$AB$501,0))&amp;"","")</f>
        <v/>
      </c>
      <c r="C305" s="18" t="str">
        <f aca="false">IFERROR(INDEX(종합!C$3:C$501,MATCH(ROW()-2,종합!$AB$3:$AB$501,0))&amp;"","")</f>
        <v/>
      </c>
      <c r="D305" s="18" t="str">
        <f aca="false">IFERROR(INDEX(종합!D$3:D$501,MATCH(ROW()-2,종합!$AB$3:$AB$501,0))&amp;"","")</f>
        <v/>
      </c>
      <c r="E305" s="18" t="str">
        <f aca="false">IFERROR(INDEX(종합!E$3:E$501,MATCH(ROW()-2,종합!$AB$3:$AB$501,0))&amp;"","")</f>
        <v/>
      </c>
      <c r="F305" s="18" t="str">
        <f aca="false">IFERROR(INDEX(종합!F$3:F$501,MATCH(ROW()-2,종합!$AB$3:$AB$501,0))&amp;"","")</f>
        <v/>
      </c>
      <c r="G305" s="18" t="str">
        <f aca="false">IFERROR(INDEX(종합!G$3:G$501,MATCH(ROW()-2,종합!$AB$3:$AB$501,0))&amp;"","")</f>
        <v/>
      </c>
      <c r="H305" s="21" t="str">
        <f aca="false">IFERROR(INDEX(종합!H$3:H$501,MATCH(ROW()-2,종합!$AB$3:$AB$501,0))&amp;"","")</f>
        <v/>
      </c>
      <c r="I305" s="21" t="str">
        <f aca="false">IFERROR(INDEX(종합!I$3:I$501,MATCH(ROW()-2,종합!$AB$3:$AB$501,0))&amp;"","")</f>
        <v/>
      </c>
      <c r="J305" s="21" t="str">
        <f aca="false">IFERROR(INDEX(종합!J$3:J$501,MATCH(ROW()-2,종합!$AB$3:$AB$501,0))&amp;"","")</f>
        <v/>
      </c>
      <c r="K305" s="21" t="str">
        <f aca="false">IFERROR(INDEX(종합!K$3:K$501,MATCH(ROW()-2,종합!$AB$3:$AB$501,0))&amp;"","")</f>
        <v/>
      </c>
      <c r="L305" s="21" t="str">
        <f aca="false">IFERROR(INDEX(종합!L$3:L$501,MATCH(ROW()-2,종합!$AB$3:$AB$501,0))&amp;"","")</f>
        <v/>
      </c>
      <c r="M305" s="21" t="str">
        <f aca="false">IFERROR(INDEX(종합!M$3:M$501,MATCH(ROW()-2,종합!$AB$3:$AB$501,0))&amp;"","")</f>
        <v/>
      </c>
      <c r="N305" s="25" t="str">
        <f aca="false">IFERROR(INDEX(종합!N$3:N$501,MATCH(ROW()-2,종합!$AB$3:$AB$501,0))&amp;"","")</f>
        <v/>
      </c>
      <c r="O305" s="21" t="str">
        <f aca="false">IFERROR(INDEX(종합!O$3:O$501,MATCH(ROW()-2,종합!$AB$3:$AB$501,0))&amp;"","")</f>
        <v/>
      </c>
      <c r="P305" s="21" t="str">
        <f aca="false">IFERROR(INDEX(종합!P$3:P$501,MATCH(ROW()-2,종합!$AB$3:$AB$501,0))&amp;"","")</f>
        <v/>
      </c>
      <c r="Q305" s="21" t="str">
        <f aca="false">IFERROR(INDEX(종합!Q$3:Q$501,MATCH(ROW()-2,종합!$AB$3:$AB$501,0))&amp;"","")</f>
        <v/>
      </c>
      <c r="R305" s="21" t="str">
        <f aca="false">IFERROR(INDEX(종합!R$3:R$501,MATCH(ROW()-2,종합!$AB$3:$AB$501,0))&amp;"","")</f>
        <v/>
      </c>
      <c r="S305" s="21" t="str">
        <f aca="false">IFERROR(INDEX(종합!S$3:S$501,MATCH(ROW()-2,종합!$AB$3:$AB$501,0))&amp;"","")</f>
        <v/>
      </c>
      <c r="T305" s="21" t="str">
        <f aca="false">IFERROR(INDEX(종합!T$3:T$501,MATCH(ROW()-2,종합!$AB$3:$AB$501,0))&amp;"","")</f>
        <v/>
      </c>
      <c r="U305" s="21" t="str">
        <f aca="false">IFERROR(INDEX(종합!U$3:U$501,MATCH(ROW()-2,종합!$AB$3:$AB$501,0))&amp;"","")</f>
        <v/>
      </c>
      <c r="V305" s="21" t="str">
        <f aca="false">IFERROR(INDEX(종합!V$3:V$501,MATCH(ROW()-2,종합!$AB$3:$AB$501,0))&amp;"","")</f>
        <v/>
      </c>
      <c r="W305" s="21" t="str">
        <f aca="false">IFERROR(INDEX(종합!W$3:W$501,MATCH(ROW()-2,종합!$AB$3:$AB$501,0))&amp;"","")</f>
        <v/>
      </c>
      <c r="X305" s="21" t="str">
        <f aca="false">IFERROR(INDEX(종합!X$3:X$501,MATCH(ROW()-2,종합!$AB$3:$AB$501,0))&amp;"","")</f>
        <v/>
      </c>
      <c r="Y305" s="21" t="str">
        <f aca="false">IFERROR(INDEX(종합!Y$3:Y$501,MATCH(ROW()-2,종합!$AB$3:$AB$501,0))&amp;"","")</f>
        <v/>
      </c>
      <c r="Z305" s="21" t="str">
        <f aca="false">IFERROR(INDEX(종합!Z$3:Z$501,MATCH(ROW()-2,종합!$AB$3:$AB$501,0))&amp;"","")</f>
        <v/>
      </c>
    </row>
    <row r="306" customFormat="false" ht="16.5" hidden="false" customHeight="true" outlineLevel="0" collapsed="false">
      <c r="A306" s="18" t="str">
        <f aca="false">IF(B306="","",ROW()-2)</f>
        <v/>
      </c>
      <c r="B306" s="18" t="str">
        <f aca="false">IFERROR(INDEX(종합!B$3:B$501,MATCH(ROW()-2,종합!$AB$3:$AB$501,0))&amp;"","")</f>
        <v/>
      </c>
      <c r="C306" s="18" t="str">
        <f aca="false">IFERROR(INDEX(종합!C$3:C$501,MATCH(ROW()-2,종합!$AB$3:$AB$501,0))&amp;"","")</f>
        <v/>
      </c>
      <c r="D306" s="18" t="str">
        <f aca="false">IFERROR(INDEX(종합!D$3:D$501,MATCH(ROW()-2,종합!$AB$3:$AB$501,0))&amp;"","")</f>
        <v/>
      </c>
      <c r="E306" s="18" t="str">
        <f aca="false">IFERROR(INDEX(종합!E$3:E$501,MATCH(ROW()-2,종합!$AB$3:$AB$501,0))&amp;"","")</f>
        <v/>
      </c>
      <c r="F306" s="18" t="str">
        <f aca="false">IFERROR(INDEX(종합!F$3:F$501,MATCH(ROW()-2,종합!$AB$3:$AB$501,0))&amp;"","")</f>
        <v/>
      </c>
      <c r="G306" s="18" t="str">
        <f aca="false">IFERROR(INDEX(종합!G$3:G$501,MATCH(ROW()-2,종합!$AB$3:$AB$501,0))&amp;"","")</f>
        <v/>
      </c>
      <c r="H306" s="21" t="str">
        <f aca="false">IFERROR(INDEX(종합!H$3:H$501,MATCH(ROW()-2,종합!$AB$3:$AB$501,0))&amp;"","")</f>
        <v/>
      </c>
      <c r="I306" s="21" t="str">
        <f aca="false">IFERROR(INDEX(종합!I$3:I$501,MATCH(ROW()-2,종합!$AB$3:$AB$501,0))&amp;"","")</f>
        <v/>
      </c>
      <c r="J306" s="21" t="str">
        <f aca="false">IFERROR(INDEX(종합!J$3:J$501,MATCH(ROW()-2,종합!$AB$3:$AB$501,0))&amp;"","")</f>
        <v/>
      </c>
      <c r="K306" s="21" t="str">
        <f aca="false">IFERROR(INDEX(종합!K$3:K$501,MATCH(ROW()-2,종합!$AB$3:$AB$501,0))&amp;"","")</f>
        <v/>
      </c>
      <c r="L306" s="21" t="str">
        <f aca="false">IFERROR(INDEX(종합!L$3:L$501,MATCH(ROW()-2,종합!$AB$3:$AB$501,0))&amp;"","")</f>
        <v/>
      </c>
      <c r="M306" s="21" t="str">
        <f aca="false">IFERROR(INDEX(종합!M$3:M$501,MATCH(ROW()-2,종합!$AB$3:$AB$501,0))&amp;"","")</f>
        <v/>
      </c>
      <c r="N306" s="25" t="str">
        <f aca="false">IFERROR(INDEX(종합!N$3:N$501,MATCH(ROW()-2,종합!$AB$3:$AB$501,0))&amp;"","")</f>
        <v/>
      </c>
      <c r="O306" s="21" t="str">
        <f aca="false">IFERROR(INDEX(종합!O$3:O$501,MATCH(ROW()-2,종합!$AB$3:$AB$501,0))&amp;"","")</f>
        <v/>
      </c>
      <c r="P306" s="21" t="str">
        <f aca="false">IFERROR(INDEX(종합!P$3:P$501,MATCH(ROW()-2,종합!$AB$3:$AB$501,0))&amp;"","")</f>
        <v/>
      </c>
      <c r="Q306" s="21" t="str">
        <f aca="false">IFERROR(INDEX(종합!Q$3:Q$501,MATCH(ROW()-2,종합!$AB$3:$AB$501,0))&amp;"","")</f>
        <v/>
      </c>
      <c r="R306" s="21" t="str">
        <f aca="false">IFERROR(INDEX(종합!R$3:R$501,MATCH(ROW()-2,종합!$AB$3:$AB$501,0))&amp;"","")</f>
        <v/>
      </c>
      <c r="S306" s="21" t="str">
        <f aca="false">IFERROR(INDEX(종합!S$3:S$501,MATCH(ROW()-2,종합!$AB$3:$AB$501,0))&amp;"","")</f>
        <v/>
      </c>
      <c r="T306" s="21" t="str">
        <f aca="false">IFERROR(INDEX(종합!T$3:T$501,MATCH(ROW()-2,종합!$AB$3:$AB$501,0))&amp;"","")</f>
        <v/>
      </c>
      <c r="U306" s="21" t="str">
        <f aca="false">IFERROR(INDEX(종합!U$3:U$501,MATCH(ROW()-2,종합!$AB$3:$AB$501,0))&amp;"","")</f>
        <v/>
      </c>
      <c r="V306" s="21" t="str">
        <f aca="false">IFERROR(INDEX(종합!V$3:V$501,MATCH(ROW()-2,종합!$AB$3:$AB$501,0))&amp;"","")</f>
        <v/>
      </c>
      <c r="W306" s="21" t="str">
        <f aca="false">IFERROR(INDEX(종합!W$3:W$501,MATCH(ROW()-2,종합!$AB$3:$AB$501,0))&amp;"","")</f>
        <v/>
      </c>
      <c r="X306" s="21" t="str">
        <f aca="false">IFERROR(INDEX(종합!X$3:X$501,MATCH(ROW()-2,종합!$AB$3:$AB$501,0))&amp;"","")</f>
        <v/>
      </c>
      <c r="Y306" s="21" t="str">
        <f aca="false">IFERROR(INDEX(종합!Y$3:Y$501,MATCH(ROW()-2,종합!$AB$3:$AB$501,0))&amp;"","")</f>
        <v/>
      </c>
      <c r="Z306" s="21" t="str">
        <f aca="false">IFERROR(INDEX(종합!Z$3:Z$501,MATCH(ROW()-2,종합!$AB$3:$AB$501,0))&amp;"","")</f>
        <v/>
      </c>
    </row>
    <row r="307" customFormat="false" ht="16.5" hidden="false" customHeight="true" outlineLevel="0" collapsed="false">
      <c r="A307" s="18" t="str">
        <f aca="false">IF(B307="","",ROW()-2)</f>
        <v/>
      </c>
      <c r="B307" s="18" t="str">
        <f aca="false">IFERROR(INDEX(종합!B$3:B$501,MATCH(ROW()-2,종합!$AB$3:$AB$501,0))&amp;"","")</f>
        <v/>
      </c>
      <c r="C307" s="18" t="str">
        <f aca="false">IFERROR(INDEX(종합!C$3:C$501,MATCH(ROW()-2,종합!$AB$3:$AB$501,0))&amp;"","")</f>
        <v/>
      </c>
      <c r="D307" s="18" t="str">
        <f aca="false">IFERROR(INDEX(종합!D$3:D$501,MATCH(ROW()-2,종합!$AB$3:$AB$501,0))&amp;"","")</f>
        <v/>
      </c>
      <c r="E307" s="18" t="str">
        <f aca="false">IFERROR(INDEX(종합!E$3:E$501,MATCH(ROW()-2,종합!$AB$3:$AB$501,0))&amp;"","")</f>
        <v/>
      </c>
      <c r="F307" s="18" t="str">
        <f aca="false">IFERROR(INDEX(종합!F$3:F$501,MATCH(ROW()-2,종합!$AB$3:$AB$501,0))&amp;"","")</f>
        <v/>
      </c>
      <c r="G307" s="18" t="str">
        <f aca="false">IFERROR(INDEX(종합!G$3:G$501,MATCH(ROW()-2,종합!$AB$3:$AB$501,0))&amp;"","")</f>
        <v/>
      </c>
      <c r="H307" s="21" t="str">
        <f aca="false">IFERROR(INDEX(종합!H$3:H$501,MATCH(ROW()-2,종합!$AB$3:$AB$501,0))&amp;"","")</f>
        <v/>
      </c>
      <c r="I307" s="21" t="str">
        <f aca="false">IFERROR(INDEX(종합!I$3:I$501,MATCH(ROW()-2,종합!$AB$3:$AB$501,0))&amp;"","")</f>
        <v/>
      </c>
      <c r="J307" s="21" t="str">
        <f aca="false">IFERROR(INDEX(종합!J$3:J$501,MATCH(ROW()-2,종합!$AB$3:$AB$501,0))&amp;"","")</f>
        <v/>
      </c>
      <c r="K307" s="21" t="str">
        <f aca="false">IFERROR(INDEX(종합!K$3:K$501,MATCH(ROW()-2,종합!$AB$3:$AB$501,0))&amp;"","")</f>
        <v/>
      </c>
      <c r="L307" s="21" t="str">
        <f aca="false">IFERROR(INDEX(종합!L$3:L$501,MATCH(ROW()-2,종합!$AB$3:$AB$501,0))&amp;"","")</f>
        <v/>
      </c>
      <c r="M307" s="21" t="str">
        <f aca="false">IFERROR(INDEX(종합!M$3:M$501,MATCH(ROW()-2,종합!$AB$3:$AB$501,0))&amp;"","")</f>
        <v/>
      </c>
      <c r="N307" s="25" t="str">
        <f aca="false">IFERROR(INDEX(종합!N$3:N$501,MATCH(ROW()-2,종합!$AB$3:$AB$501,0))&amp;"","")</f>
        <v/>
      </c>
      <c r="O307" s="21" t="str">
        <f aca="false">IFERROR(INDEX(종합!O$3:O$501,MATCH(ROW()-2,종합!$AB$3:$AB$501,0))&amp;"","")</f>
        <v/>
      </c>
      <c r="P307" s="21" t="str">
        <f aca="false">IFERROR(INDEX(종합!P$3:P$501,MATCH(ROW()-2,종합!$AB$3:$AB$501,0))&amp;"","")</f>
        <v/>
      </c>
      <c r="Q307" s="21" t="str">
        <f aca="false">IFERROR(INDEX(종합!Q$3:Q$501,MATCH(ROW()-2,종합!$AB$3:$AB$501,0))&amp;"","")</f>
        <v/>
      </c>
      <c r="R307" s="21" t="str">
        <f aca="false">IFERROR(INDEX(종합!R$3:R$501,MATCH(ROW()-2,종합!$AB$3:$AB$501,0))&amp;"","")</f>
        <v/>
      </c>
      <c r="S307" s="21" t="str">
        <f aca="false">IFERROR(INDEX(종합!S$3:S$501,MATCH(ROW()-2,종합!$AB$3:$AB$501,0))&amp;"","")</f>
        <v/>
      </c>
      <c r="T307" s="21" t="str">
        <f aca="false">IFERROR(INDEX(종합!T$3:T$501,MATCH(ROW()-2,종합!$AB$3:$AB$501,0))&amp;"","")</f>
        <v/>
      </c>
      <c r="U307" s="21" t="str">
        <f aca="false">IFERROR(INDEX(종합!U$3:U$501,MATCH(ROW()-2,종합!$AB$3:$AB$501,0))&amp;"","")</f>
        <v/>
      </c>
      <c r="V307" s="21" t="str">
        <f aca="false">IFERROR(INDEX(종합!V$3:V$501,MATCH(ROW()-2,종합!$AB$3:$AB$501,0))&amp;"","")</f>
        <v/>
      </c>
      <c r="W307" s="21" t="str">
        <f aca="false">IFERROR(INDEX(종합!W$3:W$501,MATCH(ROW()-2,종합!$AB$3:$AB$501,0))&amp;"","")</f>
        <v/>
      </c>
      <c r="X307" s="21" t="str">
        <f aca="false">IFERROR(INDEX(종합!X$3:X$501,MATCH(ROW()-2,종합!$AB$3:$AB$501,0))&amp;"","")</f>
        <v/>
      </c>
      <c r="Y307" s="21" t="str">
        <f aca="false">IFERROR(INDEX(종합!Y$3:Y$501,MATCH(ROW()-2,종합!$AB$3:$AB$501,0))&amp;"","")</f>
        <v/>
      </c>
      <c r="Z307" s="21" t="str">
        <f aca="false">IFERROR(INDEX(종합!Z$3:Z$501,MATCH(ROW()-2,종합!$AB$3:$AB$501,0))&amp;"","")</f>
        <v/>
      </c>
    </row>
    <row r="308" customFormat="false" ht="16.5" hidden="false" customHeight="true" outlineLevel="0" collapsed="false">
      <c r="A308" s="18" t="str">
        <f aca="false">IF(B308="","",ROW()-2)</f>
        <v/>
      </c>
      <c r="B308" s="18" t="str">
        <f aca="false">IFERROR(INDEX(종합!B$3:B$501,MATCH(ROW()-2,종합!$AB$3:$AB$501,0))&amp;"","")</f>
        <v/>
      </c>
      <c r="C308" s="18" t="str">
        <f aca="false">IFERROR(INDEX(종합!C$3:C$501,MATCH(ROW()-2,종합!$AB$3:$AB$501,0))&amp;"","")</f>
        <v/>
      </c>
      <c r="D308" s="18" t="str">
        <f aca="false">IFERROR(INDEX(종합!D$3:D$501,MATCH(ROW()-2,종합!$AB$3:$AB$501,0))&amp;"","")</f>
        <v/>
      </c>
      <c r="E308" s="18" t="str">
        <f aca="false">IFERROR(INDEX(종합!E$3:E$501,MATCH(ROW()-2,종합!$AB$3:$AB$501,0))&amp;"","")</f>
        <v/>
      </c>
      <c r="F308" s="18" t="str">
        <f aca="false">IFERROR(INDEX(종합!F$3:F$501,MATCH(ROW()-2,종합!$AB$3:$AB$501,0))&amp;"","")</f>
        <v/>
      </c>
      <c r="G308" s="18" t="str">
        <f aca="false">IFERROR(INDEX(종합!G$3:G$501,MATCH(ROW()-2,종합!$AB$3:$AB$501,0))&amp;"","")</f>
        <v/>
      </c>
      <c r="H308" s="21" t="str">
        <f aca="false">IFERROR(INDEX(종합!H$3:H$501,MATCH(ROW()-2,종합!$AB$3:$AB$501,0))&amp;"","")</f>
        <v/>
      </c>
      <c r="I308" s="21" t="str">
        <f aca="false">IFERROR(INDEX(종합!I$3:I$501,MATCH(ROW()-2,종합!$AB$3:$AB$501,0))&amp;"","")</f>
        <v/>
      </c>
      <c r="J308" s="21" t="str">
        <f aca="false">IFERROR(INDEX(종합!J$3:J$501,MATCH(ROW()-2,종합!$AB$3:$AB$501,0))&amp;"","")</f>
        <v/>
      </c>
      <c r="K308" s="21" t="str">
        <f aca="false">IFERROR(INDEX(종합!K$3:K$501,MATCH(ROW()-2,종합!$AB$3:$AB$501,0))&amp;"","")</f>
        <v/>
      </c>
      <c r="L308" s="21" t="str">
        <f aca="false">IFERROR(INDEX(종합!L$3:L$501,MATCH(ROW()-2,종합!$AB$3:$AB$501,0))&amp;"","")</f>
        <v/>
      </c>
      <c r="M308" s="21" t="str">
        <f aca="false">IFERROR(INDEX(종합!M$3:M$501,MATCH(ROW()-2,종합!$AB$3:$AB$501,0))&amp;"","")</f>
        <v/>
      </c>
      <c r="N308" s="25" t="str">
        <f aca="false">IFERROR(INDEX(종합!N$3:N$501,MATCH(ROW()-2,종합!$AB$3:$AB$501,0))&amp;"","")</f>
        <v/>
      </c>
      <c r="O308" s="21" t="str">
        <f aca="false">IFERROR(INDEX(종합!O$3:O$501,MATCH(ROW()-2,종합!$AB$3:$AB$501,0))&amp;"","")</f>
        <v/>
      </c>
      <c r="P308" s="21" t="str">
        <f aca="false">IFERROR(INDEX(종합!P$3:P$501,MATCH(ROW()-2,종합!$AB$3:$AB$501,0))&amp;"","")</f>
        <v/>
      </c>
      <c r="Q308" s="21" t="str">
        <f aca="false">IFERROR(INDEX(종합!Q$3:Q$501,MATCH(ROW()-2,종합!$AB$3:$AB$501,0))&amp;"","")</f>
        <v/>
      </c>
      <c r="R308" s="21" t="str">
        <f aca="false">IFERROR(INDEX(종합!R$3:R$501,MATCH(ROW()-2,종합!$AB$3:$AB$501,0))&amp;"","")</f>
        <v/>
      </c>
      <c r="S308" s="21" t="str">
        <f aca="false">IFERROR(INDEX(종합!S$3:S$501,MATCH(ROW()-2,종합!$AB$3:$AB$501,0))&amp;"","")</f>
        <v/>
      </c>
      <c r="T308" s="21" t="str">
        <f aca="false">IFERROR(INDEX(종합!T$3:T$501,MATCH(ROW()-2,종합!$AB$3:$AB$501,0))&amp;"","")</f>
        <v/>
      </c>
      <c r="U308" s="21" t="str">
        <f aca="false">IFERROR(INDEX(종합!U$3:U$501,MATCH(ROW()-2,종합!$AB$3:$AB$501,0))&amp;"","")</f>
        <v/>
      </c>
      <c r="V308" s="21" t="str">
        <f aca="false">IFERROR(INDEX(종합!V$3:V$501,MATCH(ROW()-2,종합!$AB$3:$AB$501,0))&amp;"","")</f>
        <v/>
      </c>
      <c r="W308" s="21" t="str">
        <f aca="false">IFERROR(INDEX(종합!W$3:W$501,MATCH(ROW()-2,종합!$AB$3:$AB$501,0))&amp;"","")</f>
        <v/>
      </c>
      <c r="X308" s="21" t="str">
        <f aca="false">IFERROR(INDEX(종합!X$3:X$501,MATCH(ROW()-2,종합!$AB$3:$AB$501,0))&amp;"","")</f>
        <v/>
      </c>
      <c r="Y308" s="21" t="str">
        <f aca="false">IFERROR(INDEX(종합!Y$3:Y$501,MATCH(ROW()-2,종합!$AB$3:$AB$501,0))&amp;"","")</f>
        <v/>
      </c>
      <c r="Z308" s="21" t="str">
        <f aca="false">IFERROR(INDEX(종합!Z$3:Z$501,MATCH(ROW()-2,종합!$AB$3:$AB$501,0))&amp;"","")</f>
        <v/>
      </c>
    </row>
    <row r="309" customFormat="false" ht="16.5" hidden="false" customHeight="true" outlineLevel="0" collapsed="false">
      <c r="A309" s="18" t="str">
        <f aca="false">IF(B309="","",ROW()-2)</f>
        <v/>
      </c>
      <c r="B309" s="18" t="str">
        <f aca="false">IFERROR(INDEX(종합!B$3:B$501,MATCH(ROW()-2,종합!$AB$3:$AB$501,0))&amp;"","")</f>
        <v/>
      </c>
      <c r="C309" s="18" t="str">
        <f aca="false">IFERROR(INDEX(종합!C$3:C$501,MATCH(ROW()-2,종합!$AB$3:$AB$501,0))&amp;"","")</f>
        <v/>
      </c>
      <c r="D309" s="18" t="str">
        <f aca="false">IFERROR(INDEX(종합!D$3:D$501,MATCH(ROW()-2,종합!$AB$3:$AB$501,0))&amp;"","")</f>
        <v/>
      </c>
      <c r="E309" s="18" t="str">
        <f aca="false">IFERROR(INDEX(종합!E$3:E$501,MATCH(ROW()-2,종합!$AB$3:$AB$501,0))&amp;"","")</f>
        <v/>
      </c>
      <c r="F309" s="18" t="str">
        <f aca="false">IFERROR(INDEX(종합!F$3:F$501,MATCH(ROW()-2,종합!$AB$3:$AB$501,0))&amp;"","")</f>
        <v/>
      </c>
      <c r="G309" s="18" t="str">
        <f aca="false">IFERROR(INDEX(종합!G$3:G$501,MATCH(ROW()-2,종합!$AB$3:$AB$501,0))&amp;"","")</f>
        <v/>
      </c>
      <c r="H309" s="21" t="str">
        <f aca="false">IFERROR(INDEX(종합!H$3:H$501,MATCH(ROW()-2,종합!$AB$3:$AB$501,0))&amp;"","")</f>
        <v/>
      </c>
      <c r="I309" s="21" t="str">
        <f aca="false">IFERROR(INDEX(종합!I$3:I$501,MATCH(ROW()-2,종합!$AB$3:$AB$501,0))&amp;"","")</f>
        <v/>
      </c>
      <c r="J309" s="21" t="str">
        <f aca="false">IFERROR(INDEX(종합!J$3:J$501,MATCH(ROW()-2,종합!$AB$3:$AB$501,0))&amp;"","")</f>
        <v/>
      </c>
      <c r="K309" s="21" t="str">
        <f aca="false">IFERROR(INDEX(종합!K$3:K$501,MATCH(ROW()-2,종합!$AB$3:$AB$501,0))&amp;"","")</f>
        <v/>
      </c>
      <c r="L309" s="21" t="str">
        <f aca="false">IFERROR(INDEX(종합!L$3:L$501,MATCH(ROW()-2,종합!$AB$3:$AB$501,0))&amp;"","")</f>
        <v/>
      </c>
      <c r="M309" s="21" t="str">
        <f aca="false">IFERROR(INDEX(종합!M$3:M$501,MATCH(ROW()-2,종합!$AB$3:$AB$501,0))&amp;"","")</f>
        <v/>
      </c>
      <c r="N309" s="25" t="str">
        <f aca="false">IFERROR(INDEX(종합!N$3:N$501,MATCH(ROW()-2,종합!$AB$3:$AB$501,0))&amp;"","")</f>
        <v/>
      </c>
      <c r="O309" s="21" t="str">
        <f aca="false">IFERROR(INDEX(종합!O$3:O$501,MATCH(ROW()-2,종합!$AB$3:$AB$501,0))&amp;"","")</f>
        <v/>
      </c>
      <c r="P309" s="21" t="str">
        <f aca="false">IFERROR(INDEX(종합!P$3:P$501,MATCH(ROW()-2,종합!$AB$3:$AB$501,0))&amp;"","")</f>
        <v/>
      </c>
      <c r="Q309" s="21" t="str">
        <f aca="false">IFERROR(INDEX(종합!Q$3:Q$501,MATCH(ROW()-2,종합!$AB$3:$AB$501,0))&amp;"","")</f>
        <v/>
      </c>
      <c r="R309" s="21" t="str">
        <f aca="false">IFERROR(INDEX(종합!R$3:R$501,MATCH(ROW()-2,종합!$AB$3:$AB$501,0))&amp;"","")</f>
        <v/>
      </c>
      <c r="S309" s="21" t="str">
        <f aca="false">IFERROR(INDEX(종합!S$3:S$501,MATCH(ROW()-2,종합!$AB$3:$AB$501,0))&amp;"","")</f>
        <v/>
      </c>
      <c r="T309" s="21" t="str">
        <f aca="false">IFERROR(INDEX(종합!T$3:T$501,MATCH(ROW()-2,종합!$AB$3:$AB$501,0))&amp;"","")</f>
        <v/>
      </c>
      <c r="U309" s="21" t="str">
        <f aca="false">IFERROR(INDEX(종합!U$3:U$501,MATCH(ROW()-2,종합!$AB$3:$AB$501,0))&amp;"","")</f>
        <v/>
      </c>
      <c r="V309" s="21" t="str">
        <f aca="false">IFERROR(INDEX(종합!V$3:V$501,MATCH(ROW()-2,종합!$AB$3:$AB$501,0))&amp;"","")</f>
        <v/>
      </c>
      <c r="W309" s="21" t="str">
        <f aca="false">IFERROR(INDEX(종합!W$3:W$501,MATCH(ROW()-2,종합!$AB$3:$AB$501,0))&amp;"","")</f>
        <v/>
      </c>
      <c r="X309" s="21" t="str">
        <f aca="false">IFERROR(INDEX(종합!X$3:X$501,MATCH(ROW()-2,종합!$AB$3:$AB$501,0))&amp;"","")</f>
        <v/>
      </c>
      <c r="Y309" s="21" t="str">
        <f aca="false">IFERROR(INDEX(종합!Y$3:Y$501,MATCH(ROW()-2,종합!$AB$3:$AB$501,0))&amp;"","")</f>
        <v/>
      </c>
      <c r="Z309" s="21" t="str">
        <f aca="false">IFERROR(INDEX(종합!Z$3:Z$501,MATCH(ROW()-2,종합!$AB$3:$AB$501,0))&amp;"","")</f>
        <v/>
      </c>
    </row>
    <row r="310" customFormat="false" ht="16.5" hidden="false" customHeight="true" outlineLevel="0" collapsed="false">
      <c r="A310" s="18" t="str">
        <f aca="false">IF(B310="","",ROW()-2)</f>
        <v/>
      </c>
      <c r="B310" s="18" t="str">
        <f aca="false">IFERROR(INDEX(종합!B$3:B$501,MATCH(ROW()-2,종합!$AB$3:$AB$501,0))&amp;"","")</f>
        <v/>
      </c>
      <c r="C310" s="18" t="str">
        <f aca="false">IFERROR(INDEX(종합!C$3:C$501,MATCH(ROW()-2,종합!$AB$3:$AB$501,0))&amp;"","")</f>
        <v/>
      </c>
      <c r="D310" s="18" t="str">
        <f aca="false">IFERROR(INDEX(종합!D$3:D$501,MATCH(ROW()-2,종합!$AB$3:$AB$501,0))&amp;"","")</f>
        <v/>
      </c>
      <c r="E310" s="18" t="str">
        <f aca="false">IFERROR(INDEX(종합!E$3:E$501,MATCH(ROW()-2,종합!$AB$3:$AB$501,0))&amp;"","")</f>
        <v/>
      </c>
      <c r="F310" s="18" t="str">
        <f aca="false">IFERROR(INDEX(종합!F$3:F$501,MATCH(ROW()-2,종합!$AB$3:$AB$501,0))&amp;"","")</f>
        <v/>
      </c>
      <c r="G310" s="18" t="str">
        <f aca="false">IFERROR(INDEX(종합!G$3:G$501,MATCH(ROW()-2,종합!$AB$3:$AB$501,0))&amp;"","")</f>
        <v/>
      </c>
      <c r="H310" s="21" t="str">
        <f aca="false">IFERROR(INDEX(종합!H$3:H$501,MATCH(ROW()-2,종합!$AB$3:$AB$501,0))&amp;"","")</f>
        <v/>
      </c>
      <c r="I310" s="21" t="str">
        <f aca="false">IFERROR(INDEX(종합!I$3:I$501,MATCH(ROW()-2,종합!$AB$3:$AB$501,0))&amp;"","")</f>
        <v/>
      </c>
      <c r="J310" s="21" t="str">
        <f aca="false">IFERROR(INDEX(종합!J$3:J$501,MATCH(ROW()-2,종합!$AB$3:$AB$501,0))&amp;"","")</f>
        <v/>
      </c>
      <c r="K310" s="21" t="str">
        <f aca="false">IFERROR(INDEX(종합!K$3:K$501,MATCH(ROW()-2,종합!$AB$3:$AB$501,0))&amp;"","")</f>
        <v/>
      </c>
      <c r="L310" s="21" t="str">
        <f aca="false">IFERROR(INDEX(종합!L$3:L$501,MATCH(ROW()-2,종합!$AB$3:$AB$501,0))&amp;"","")</f>
        <v/>
      </c>
      <c r="M310" s="21" t="str">
        <f aca="false">IFERROR(INDEX(종합!M$3:M$501,MATCH(ROW()-2,종합!$AB$3:$AB$501,0))&amp;"","")</f>
        <v/>
      </c>
      <c r="N310" s="25" t="str">
        <f aca="false">IFERROR(INDEX(종합!N$3:N$501,MATCH(ROW()-2,종합!$AB$3:$AB$501,0))&amp;"","")</f>
        <v/>
      </c>
      <c r="O310" s="21" t="str">
        <f aca="false">IFERROR(INDEX(종합!O$3:O$501,MATCH(ROW()-2,종합!$AB$3:$AB$501,0))&amp;"","")</f>
        <v/>
      </c>
      <c r="P310" s="21" t="str">
        <f aca="false">IFERROR(INDEX(종합!P$3:P$501,MATCH(ROW()-2,종합!$AB$3:$AB$501,0))&amp;"","")</f>
        <v/>
      </c>
      <c r="Q310" s="21" t="str">
        <f aca="false">IFERROR(INDEX(종합!Q$3:Q$501,MATCH(ROW()-2,종합!$AB$3:$AB$501,0))&amp;"","")</f>
        <v/>
      </c>
      <c r="R310" s="21" t="str">
        <f aca="false">IFERROR(INDEX(종합!R$3:R$501,MATCH(ROW()-2,종합!$AB$3:$AB$501,0))&amp;"","")</f>
        <v/>
      </c>
      <c r="S310" s="21" t="str">
        <f aca="false">IFERROR(INDEX(종합!S$3:S$501,MATCH(ROW()-2,종합!$AB$3:$AB$501,0))&amp;"","")</f>
        <v/>
      </c>
      <c r="T310" s="21" t="str">
        <f aca="false">IFERROR(INDEX(종합!T$3:T$501,MATCH(ROW()-2,종합!$AB$3:$AB$501,0))&amp;"","")</f>
        <v/>
      </c>
      <c r="U310" s="21" t="str">
        <f aca="false">IFERROR(INDEX(종합!U$3:U$501,MATCH(ROW()-2,종합!$AB$3:$AB$501,0))&amp;"","")</f>
        <v/>
      </c>
      <c r="V310" s="21" t="str">
        <f aca="false">IFERROR(INDEX(종합!V$3:V$501,MATCH(ROW()-2,종합!$AB$3:$AB$501,0))&amp;"","")</f>
        <v/>
      </c>
      <c r="W310" s="21" t="str">
        <f aca="false">IFERROR(INDEX(종합!W$3:W$501,MATCH(ROW()-2,종합!$AB$3:$AB$501,0))&amp;"","")</f>
        <v/>
      </c>
      <c r="X310" s="21" t="str">
        <f aca="false">IFERROR(INDEX(종합!X$3:X$501,MATCH(ROW()-2,종합!$AB$3:$AB$501,0))&amp;"","")</f>
        <v/>
      </c>
      <c r="Y310" s="21" t="str">
        <f aca="false">IFERROR(INDEX(종합!Y$3:Y$501,MATCH(ROW()-2,종합!$AB$3:$AB$501,0))&amp;"","")</f>
        <v/>
      </c>
      <c r="Z310" s="21" t="str">
        <f aca="false">IFERROR(INDEX(종합!Z$3:Z$501,MATCH(ROW()-2,종합!$AB$3:$AB$501,0))&amp;"","")</f>
        <v/>
      </c>
    </row>
    <row r="311" customFormat="false" ht="16.5" hidden="false" customHeight="true" outlineLevel="0" collapsed="false">
      <c r="A311" s="18" t="str">
        <f aca="false">IF(B311="","",ROW()-2)</f>
        <v/>
      </c>
      <c r="B311" s="18" t="str">
        <f aca="false">IFERROR(INDEX(종합!B$3:B$501,MATCH(ROW()-2,종합!$AB$3:$AB$501,0))&amp;"","")</f>
        <v/>
      </c>
      <c r="C311" s="18" t="str">
        <f aca="false">IFERROR(INDEX(종합!C$3:C$501,MATCH(ROW()-2,종합!$AB$3:$AB$501,0))&amp;"","")</f>
        <v/>
      </c>
      <c r="D311" s="18" t="str">
        <f aca="false">IFERROR(INDEX(종합!D$3:D$501,MATCH(ROW()-2,종합!$AB$3:$AB$501,0))&amp;"","")</f>
        <v/>
      </c>
      <c r="E311" s="18" t="str">
        <f aca="false">IFERROR(INDEX(종합!E$3:E$501,MATCH(ROW()-2,종합!$AB$3:$AB$501,0))&amp;"","")</f>
        <v/>
      </c>
      <c r="F311" s="18" t="str">
        <f aca="false">IFERROR(INDEX(종합!F$3:F$501,MATCH(ROW()-2,종합!$AB$3:$AB$501,0))&amp;"","")</f>
        <v/>
      </c>
      <c r="G311" s="18" t="str">
        <f aca="false">IFERROR(INDEX(종합!G$3:G$501,MATCH(ROW()-2,종합!$AB$3:$AB$501,0))&amp;"","")</f>
        <v/>
      </c>
      <c r="H311" s="21" t="str">
        <f aca="false">IFERROR(INDEX(종합!H$3:H$501,MATCH(ROW()-2,종합!$AB$3:$AB$501,0))&amp;"","")</f>
        <v/>
      </c>
      <c r="I311" s="21" t="str">
        <f aca="false">IFERROR(INDEX(종합!I$3:I$501,MATCH(ROW()-2,종합!$AB$3:$AB$501,0))&amp;"","")</f>
        <v/>
      </c>
      <c r="J311" s="21" t="str">
        <f aca="false">IFERROR(INDEX(종합!J$3:J$501,MATCH(ROW()-2,종합!$AB$3:$AB$501,0))&amp;"","")</f>
        <v/>
      </c>
      <c r="K311" s="21" t="str">
        <f aca="false">IFERROR(INDEX(종합!K$3:K$501,MATCH(ROW()-2,종합!$AB$3:$AB$501,0))&amp;"","")</f>
        <v/>
      </c>
      <c r="L311" s="21" t="str">
        <f aca="false">IFERROR(INDEX(종합!L$3:L$501,MATCH(ROW()-2,종합!$AB$3:$AB$501,0))&amp;"","")</f>
        <v/>
      </c>
      <c r="M311" s="21" t="str">
        <f aca="false">IFERROR(INDEX(종합!M$3:M$501,MATCH(ROW()-2,종합!$AB$3:$AB$501,0))&amp;"","")</f>
        <v/>
      </c>
      <c r="N311" s="25" t="str">
        <f aca="false">IFERROR(INDEX(종합!N$3:N$501,MATCH(ROW()-2,종합!$AB$3:$AB$501,0))&amp;"","")</f>
        <v/>
      </c>
      <c r="O311" s="21" t="str">
        <f aca="false">IFERROR(INDEX(종합!O$3:O$501,MATCH(ROW()-2,종합!$AB$3:$AB$501,0))&amp;"","")</f>
        <v/>
      </c>
      <c r="P311" s="21" t="str">
        <f aca="false">IFERROR(INDEX(종합!P$3:P$501,MATCH(ROW()-2,종합!$AB$3:$AB$501,0))&amp;"","")</f>
        <v/>
      </c>
      <c r="Q311" s="21" t="str">
        <f aca="false">IFERROR(INDEX(종합!Q$3:Q$501,MATCH(ROW()-2,종합!$AB$3:$AB$501,0))&amp;"","")</f>
        <v/>
      </c>
      <c r="R311" s="21" t="str">
        <f aca="false">IFERROR(INDEX(종합!R$3:R$501,MATCH(ROW()-2,종합!$AB$3:$AB$501,0))&amp;"","")</f>
        <v/>
      </c>
      <c r="S311" s="21" t="str">
        <f aca="false">IFERROR(INDEX(종합!S$3:S$501,MATCH(ROW()-2,종합!$AB$3:$AB$501,0))&amp;"","")</f>
        <v/>
      </c>
      <c r="T311" s="21" t="str">
        <f aca="false">IFERROR(INDEX(종합!T$3:T$501,MATCH(ROW()-2,종합!$AB$3:$AB$501,0))&amp;"","")</f>
        <v/>
      </c>
      <c r="U311" s="21" t="str">
        <f aca="false">IFERROR(INDEX(종합!U$3:U$501,MATCH(ROW()-2,종합!$AB$3:$AB$501,0))&amp;"","")</f>
        <v/>
      </c>
      <c r="V311" s="21" t="str">
        <f aca="false">IFERROR(INDEX(종합!V$3:V$501,MATCH(ROW()-2,종합!$AB$3:$AB$501,0))&amp;"","")</f>
        <v/>
      </c>
      <c r="W311" s="21" t="str">
        <f aca="false">IFERROR(INDEX(종합!W$3:W$501,MATCH(ROW()-2,종합!$AB$3:$AB$501,0))&amp;"","")</f>
        <v/>
      </c>
      <c r="X311" s="21" t="str">
        <f aca="false">IFERROR(INDEX(종합!X$3:X$501,MATCH(ROW()-2,종합!$AB$3:$AB$501,0))&amp;"","")</f>
        <v/>
      </c>
      <c r="Y311" s="21" t="str">
        <f aca="false">IFERROR(INDEX(종합!Y$3:Y$501,MATCH(ROW()-2,종합!$AB$3:$AB$501,0))&amp;"","")</f>
        <v/>
      </c>
      <c r="Z311" s="21" t="str">
        <f aca="false">IFERROR(INDEX(종합!Z$3:Z$501,MATCH(ROW()-2,종합!$AB$3:$AB$501,0))&amp;"","")</f>
        <v/>
      </c>
    </row>
    <row r="312" customFormat="false" ht="16.5" hidden="false" customHeight="true" outlineLevel="0" collapsed="false">
      <c r="A312" s="18" t="str">
        <f aca="false">IF(B312="","",ROW()-2)</f>
        <v/>
      </c>
      <c r="B312" s="18" t="str">
        <f aca="false">IFERROR(INDEX(종합!B$3:B$501,MATCH(ROW()-2,종합!$AB$3:$AB$501,0))&amp;"","")</f>
        <v/>
      </c>
      <c r="C312" s="18" t="str">
        <f aca="false">IFERROR(INDEX(종합!C$3:C$501,MATCH(ROW()-2,종합!$AB$3:$AB$501,0))&amp;"","")</f>
        <v/>
      </c>
      <c r="D312" s="18" t="str">
        <f aca="false">IFERROR(INDEX(종합!D$3:D$501,MATCH(ROW()-2,종합!$AB$3:$AB$501,0))&amp;"","")</f>
        <v/>
      </c>
      <c r="E312" s="18" t="str">
        <f aca="false">IFERROR(INDEX(종합!E$3:E$501,MATCH(ROW()-2,종합!$AB$3:$AB$501,0))&amp;"","")</f>
        <v/>
      </c>
      <c r="F312" s="18" t="str">
        <f aca="false">IFERROR(INDEX(종합!F$3:F$501,MATCH(ROW()-2,종합!$AB$3:$AB$501,0))&amp;"","")</f>
        <v/>
      </c>
      <c r="G312" s="18" t="str">
        <f aca="false">IFERROR(INDEX(종합!G$3:G$501,MATCH(ROW()-2,종합!$AB$3:$AB$501,0))&amp;"","")</f>
        <v/>
      </c>
      <c r="H312" s="21" t="str">
        <f aca="false">IFERROR(INDEX(종합!H$3:H$501,MATCH(ROW()-2,종합!$AB$3:$AB$501,0))&amp;"","")</f>
        <v/>
      </c>
      <c r="I312" s="21" t="str">
        <f aca="false">IFERROR(INDEX(종합!I$3:I$501,MATCH(ROW()-2,종합!$AB$3:$AB$501,0))&amp;"","")</f>
        <v/>
      </c>
      <c r="J312" s="21" t="str">
        <f aca="false">IFERROR(INDEX(종합!J$3:J$501,MATCH(ROW()-2,종합!$AB$3:$AB$501,0))&amp;"","")</f>
        <v/>
      </c>
      <c r="K312" s="21" t="str">
        <f aca="false">IFERROR(INDEX(종합!K$3:K$501,MATCH(ROW()-2,종합!$AB$3:$AB$501,0))&amp;"","")</f>
        <v/>
      </c>
      <c r="L312" s="21" t="str">
        <f aca="false">IFERROR(INDEX(종합!L$3:L$501,MATCH(ROW()-2,종합!$AB$3:$AB$501,0))&amp;"","")</f>
        <v/>
      </c>
      <c r="M312" s="21" t="str">
        <f aca="false">IFERROR(INDEX(종합!M$3:M$501,MATCH(ROW()-2,종합!$AB$3:$AB$501,0))&amp;"","")</f>
        <v/>
      </c>
      <c r="N312" s="25" t="str">
        <f aca="false">IFERROR(INDEX(종합!N$3:N$501,MATCH(ROW()-2,종합!$AB$3:$AB$501,0))&amp;"","")</f>
        <v/>
      </c>
      <c r="O312" s="21" t="str">
        <f aca="false">IFERROR(INDEX(종합!O$3:O$501,MATCH(ROW()-2,종합!$AB$3:$AB$501,0))&amp;"","")</f>
        <v/>
      </c>
      <c r="P312" s="21" t="str">
        <f aca="false">IFERROR(INDEX(종합!P$3:P$501,MATCH(ROW()-2,종합!$AB$3:$AB$501,0))&amp;"","")</f>
        <v/>
      </c>
      <c r="Q312" s="21" t="str">
        <f aca="false">IFERROR(INDEX(종합!Q$3:Q$501,MATCH(ROW()-2,종합!$AB$3:$AB$501,0))&amp;"","")</f>
        <v/>
      </c>
      <c r="R312" s="21" t="str">
        <f aca="false">IFERROR(INDEX(종합!R$3:R$501,MATCH(ROW()-2,종합!$AB$3:$AB$501,0))&amp;"","")</f>
        <v/>
      </c>
      <c r="S312" s="21" t="str">
        <f aca="false">IFERROR(INDEX(종합!S$3:S$501,MATCH(ROW()-2,종합!$AB$3:$AB$501,0))&amp;"","")</f>
        <v/>
      </c>
      <c r="T312" s="21" t="str">
        <f aca="false">IFERROR(INDEX(종합!T$3:T$501,MATCH(ROW()-2,종합!$AB$3:$AB$501,0))&amp;"","")</f>
        <v/>
      </c>
      <c r="U312" s="21" t="str">
        <f aca="false">IFERROR(INDEX(종합!U$3:U$501,MATCH(ROW()-2,종합!$AB$3:$AB$501,0))&amp;"","")</f>
        <v/>
      </c>
      <c r="V312" s="21" t="str">
        <f aca="false">IFERROR(INDEX(종합!V$3:V$501,MATCH(ROW()-2,종합!$AB$3:$AB$501,0))&amp;"","")</f>
        <v/>
      </c>
      <c r="W312" s="21" t="str">
        <f aca="false">IFERROR(INDEX(종합!W$3:W$501,MATCH(ROW()-2,종합!$AB$3:$AB$501,0))&amp;"","")</f>
        <v/>
      </c>
      <c r="X312" s="21" t="str">
        <f aca="false">IFERROR(INDEX(종합!X$3:X$501,MATCH(ROW()-2,종합!$AB$3:$AB$501,0))&amp;"","")</f>
        <v/>
      </c>
      <c r="Y312" s="21" t="str">
        <f aca="false">IFERROR(INDEX(종합!Y$3:Y$501,MATCH(ROW()-2,종합!$AB$3:$AB$501,0))&amp;"","")</f>
        <v/>
      </c>
      <c r="Z312" s="21" t="str">
        <f aca="false">IFERROR(INDEX(종합!Z$3:Z$501,MATCH(ROW()-2,종합!$AB$3:$AB$501,0))&amp;"","")</f>
        <v/>
      </c>
    </row>
    <row r="313" customFormat="false" ht="16.5" hidden="false" customHeight="true" outlineLevel="0" collapsed="false">
      <c r="A313" s="18" t="str">
        <f aca="false">IF(B313="","",ROW()-2)</f>
        <v/>
      </c>
      <c r="B313" s="18" t="str">
        <f aca="false">IFERROR(INDEX(종합!B$3:B$501,MATCH(ROW()-2,종합!$AB$3:$AB$501,0))&amp;"","")</f>
        <v/>
      </c>
      <c r="C313" s="18" t="str">
        <f aca="false">IFERROR(INDEX(종합!C$3:C$501,MATCH(ROW()-2,종합!$AB$3:$AB$501,0))&amp;"","")</f>
        <v/>
      </c>
      <c r="D313" s="18" t="str">
        <f aca="false">IFERROR(INDEX(종합!D$3:D$501,MATCH(ROW()-2,종합!$AB$3:$AB$501,0))&amp;"","")</f>
        <v/>
      </c>
      <c r="E313" s="18" t="str">
        <f aca="false">IFERROR(INDEX(종합!E$3:E$501,MATCH(ROW()-2,종합!$AB$3:$AB$501,0))&amp;"","")</f>
        <v/>
      </c>
      <c r="F313" s="18" t="str">
        <f aca="false">IFERROR(INDEX(종합!F$3:F$501,MATCH(ROW()-2,종합!$AB$3:$AB$501,0))&amp;"","")</f>
        <v/>
      </c>
      <c r="G313" s="18" t="str">
        <f aca="false">IFERROR(INDEX(종합!G$3:G$501,MATCH(ROW()-2,종합!$AB$3:$AB$501,0))&amp;"","")</f>
        <v/>
      </c>
      <c r="H313" s="21" t="str">
        <f aca="false">IFERROR(INDEX(종합!H$3:H$501,MATCH(ROW()-2,종합!$AB$3:$AB$501,0))&amp;"","")</f>
        <v/>
      </c>
      <c r="I313" s="21" t="str">
        <f aca="false">IFERROR(INDEX(종합!I$3:I$501,MATCH(ROW()-2,종합!$AB$3:$AB$501,0))&amp;"","")</f>
        <v/>
      </c>
      <c r="J313" s="21" t="str">
        <f aca="false">IFERROR(INDEX(종합!J$3:J$501,MATCH(ROW()-2,종합!$AB$3:$AB$501,0))&amp;"","")</f>
        <v/>
      </c>
      <c r="K313" s="21" t="str">
        <f aca="false">IFERROR(INDEX(종합!K$3:K$501,MATCH(ROW()-2,종합!$AB$3:$AB$501,0))&amp;"","")</f>
        <v/>
      </c>
      <c r="L313" s="21" t="str">
        <f aca="false">IFERROR(INDEX(종합!L$3:L$501,MATCH(ROW()-2,종합!$AB$3:$AB$501,0))&amp;"","")</f>
        <v/>
      </c>
      <c r="M313" s="21" t="str">
        <f aca="false">IFERROR(INDEX(종합!M$3:M$501,MATCH(ROW()-2,종합!$AB$3:$AB$501,0))&amp;"","")</f>
        <v/>
      </c>
      <c r="N313" s="25" t="str">
        <f aca="false">IFERROR(INDEX(종합!N$3:N$501,MATCH(ROW()-2,종합!$AB$3:$AB$501,0))&amp;"","")</f>
        <v/>
      </c>
      <c r="O313" s="21" t="str">
        <f aca="false">IFERROR(INDEX(종합!O$3:O$501,MATCH(ROW()-2,종합!$AB$3:$AB$501,0))&amp;"","")</f>
        <v/>
      </c>
      <c r="P313" s="21" t="str">
        <f aca="false">IFERROR(INDEX(종합!P$3:P$501,MATCH(ROW()-2,종합!$AB$3:$AB$501,0))&amp;"","")</f>
        <v/>
      </c>
      <c r="Q313" s="21" t="str">
        <f aca="false">IFERROR(INDEX(종합!Q$3:Q$501,MATCH(ROW()-2,종합!$AB$3:$AB$501,0))&amp;"","")</f>
        <v/>
      </c>
      <c r="R313" s="21" t="str">
        <f aca="false">IFERROR(INDEX(종합!R$3:R$501,MATCH(ROW()-2,종합!$AB$3:$AB$501,0))&amp;"","")</f>
        <v/>
      </c>
      <c r="S313" s="21" t="str">
        <f aca="false">IFERROR(INDEX(종합!S$3:S$501,MATCH(ROW()-2,종합!$AB$3:$AB$501,0))&amp;"","")</f>
        <v/>
      </c>
      <c r="T313" s="21" t="str">
        <f aca="false">IFERROR(INDEX(종합!T$3:T$501,MATCH(ROW()-2,종합!$AB$3:$AB$501,0))&amp;"","")</f>
        <v/>
      </c>
      <c r="U313" s="21" t="str">
        <f aca="false">IFERROR(INDEX(종합!U$3:U$501,MATCH(ROW()-2,종합!$AB$3:$AB$501,0))&amp;"","")</f>
        <v/>
      </c>
      <c r="V313" s="21" t="str">
        <f aca="false">IFERROR(INDEX(종합!V$3:V$501,MATCH(ROW()-2,종합!$AB$3:$AB$501,0))&amp;"","")</f>
        <v/>
      </c>
      <c r="W313" s="21" t="str">
        <f aca="false">IFERROR(INDEX(종합!W$3:W$501,MATCH(ROW()-2,종합!$AB$3:$AB$501,0))&amp;"","")</f>
        <v/>
      </c>
      <c r="X313" s="21" t="str">
        <f aca="false">IFERROR(INDEX(종합!X$3:X$501,MATCH(ROW()-2,종합!$AB$3:$AB$501,0))&amp;"","")</f>
        <v/>
      </c>
      <c r="Y313" s="21" t="str">
        <f aca="false">IFERROR(INDEX(종합!Y$3:Y$501,MATCH(ROW()-2,종합!$AB$3:$AB$501,0))&amp;"","")</f>
        <v/>
      </c>
      <c r="Z313" s="21" t="str">
        <f aca="false">IFERROR(INDEX(종합!Z$3:Z$501,MATCH(ROW()-2,종합!$AB$3:$AB$501,0))&amp;"","")</f>
        <v/>
      </c>
    </row>
    <row r="314" customFormat="false" ht="16.5" hidden="false" customHeight="true" outlineLevel="0" collapsed="false">
      <c r="A314" s="18" t="str">
        <f aca="false">IF(B314="","",ROW()-2)</f>
        <v/>
      </c>
      <c r="B314" s="18" t="str">
        <f aca="false">IFERROR(INDEX(종합!B$3:B$501,MATCH(ROW()-2,종합!$AB$3:$AB$501,0))&amp;"","")</f>
        <v/>
      </c>
      <c r="C314" s="18" t="str">
        <f aca="false">IFERROR(INDEX(종합!C$3:C$501,MATCH(ROW()-2,종합!$AB$3:$AB$501,0))&amp;"","")</f>
        <v/>
      </c>
      <c r="D314" s="18" t="str">
        <f aca="false">IFERROR(INDEX(종합!D$3:D$501,MATCH(ROW()-2,종합!$AB$3:$AB$501,0))&amp;"","")</f>
        <v/>
      </c>
      <c r="E314" s="18" t="str">
        <f aca="false">IFERROR(INDEX(종합!E$3:E$501,MATCH(ROW()-2,종합!$AB$3:$AB$501,0))&amp;"","")</f>
        <v/>
      </c>
      <c r="F314" s="18" t="str">
        <f aca="false">IFERROR(INDEX(종합!F$3:F$501,MATCH(ROW()-2,종합!$AB$3:$AB$501,0))&amp;"","")</f>
        <v/>
      </c>
      <c r="G314" s="18" t="str">
        <f aca="false">IFERROR(INDEX(종합!G$3:G$501,MATCH(ROW()-2,종합!$AB$3:$AB$501,0))&amp;"","")</f>
        <v/>
      </c>
      <c r="H314" s="21" t="str">
        <f aca="false">IFERROR(INDEX(종합!H$3:H$501,MATCH(ROW()-2,종합!$AB$3:$AB$501,0))&amp;"","")</f>
        <v/>
      </c>
      <c r="I314" s="21" t="str">
        <f aca="false">IFERROR(INDEX(종합!I$3:I$501,MATCH(ROW()-2,종합!$AB$3:$AB$501,0))&amp;"","")</f>
        <v/>
      </c>
      <c r="J314" s="21" t="str">
        <f aca="false">IFERROR(INDEX(종합!J$3:J$501,MATCH(ROW()-2,종합!$AB$3:$AB$501,0))&amp;"","")</f>
        <v/>
      </c>
      <c r="K314" s="21" t="str">
        <f aca="false">IFERROR(INDEX(종합!K$3:K$501,MATCH(ROW()-2,종합!$AB$3:$AB$501,0))&amp;"","")</f>
        <v/>
      </c>
      <c r="L314" s="21" t="str">
        <f aca="false">IFERROR(INDEX(종합!L$3:L$501,MATCH(ROW()-2,종합!$AB$3:$AB$501,0))&amp;"","")</f>
        <v/>
      </c>
      <c r="M314" s="21" t="str">
        <f aca="false">IFERROR(INDEX(종합!M$3:M$501,MATCH(ROW()-2,종합!$AB$3:$AB$501,0))&amp;"","")</f>
        <v/>
      </c>
      <c r="N314" s="25" t="str">
        <f aca="false">IFERROR(INDEX(종합!N$3:N$501,MATCH(ROW()-2,종합!$AB$3:$AB$501,0))&amp;"","")</f>
        <v/>
      </c>
      <c r="O314" s="21" t="str">
        <f aca="false">IFERROR(INDEX(종합!O$3:O$501,MATCH(ROW()-2,종합!$AB$3:$AB$501,0))&amp;"","")</f>
        <v/>
      </c>
      <c r="P314" s="21" t="str">
        <f aca="false">IFERROR(INDEX(종합!P$3:P$501,MATCH(ROW()-2,종합!$AB$3:$AB$501,0))&amp;"","")</f>
        <v/>
      </c>
      <c r="Q314" s="21" t="str">
        <f aca="false">IFERROR(INDEX(종합!Q$3:Q$501,MATCH(ROW()-2,종합!$AB$3:$AB$501,0))&amp;"","")</f>
        <v/>
      </c>
      <c r="R314" s="21" t="str">
        <f aca="false">IFERROR(INDEX(종합!R$3:R$501,MATCH(ROW()-2,종합!$AB$3:$AB$501,0))&amp;"","")</f>
        <v/>
      </c>
      <c r="S314" s="21" t="str">
        <f aca="false">IFERROR(INDEX(종합!S$3:S$501,MATCH(ROW()-2,종합!$AB$3:$AB$501,0))&amp;"","")</f>
        <v/>
      </c>
      <c r="T314" s="21" t="str">
        <f aca="false">IFERROR(INDEX(종합!T$3:T$501,MATCH(ROW()-2,종합!$AB$3:$AB$501,0))&amp;"","")</f>
        <v/>
      </c>
      <c r="U314" s="21" t="str">
        <f aca="false">IFERROR(INDEX(종합!U$3:U$501,MATCH(ROW()-2,종합!$AB$3:$AB$501,0))&amp;"","")</f>
        <v/>
      </c>
      <c r="V314" s="21" t="str">
        <f aca="false">IFERROR(INDEX(종합!V$3:V$501,MATCH(ROW()-2,종합!$AB$3:$AB$501,0))&amp;"","")</f>
        <v/>
      </c>
      <c r="W314" s="21" t="str">
        <f aca="false">IFERROR(INDEX(종합!W$3:W$501,MATCH(ROW()-2,종합!$AB$3:$AB$501,0))&amp;"","")</f>
        <v/>
      </c>
      <c r="X314" s="21" t="str">
        <f aca="false">IFERROR(INDEX(종합!X$3:X$501,MATCH(ROW()-2,종합!$AB$3:$AB$501,0))&amp;"","")</f>
        <v/>
      </c>
      <c r="Y314" s="21" t="str">
        <f aca="false">IFERROR(INDEX(종합!Y$3:Y$501,MATCH(ROW()-2,종합!$AB$3:$AB$501,0))&amp;"","")</f>
        <v/>
      </c>
      <c r="Z314" s="21" t="str">
        <f aca="false">IFERROR(INDEX(종합!Z$3:Z$501,MATCH(ROW()-2,종합!$AB$3:$AB$501,0))&amp;"","")</f>
        <v/>
      </c>
    </row>
    <row r="315" customFormat="false" ht="16.5" hidden="false" customHeight="true" outlineLevel="0" collapsed="false">
      <c r="A315" s="18" t="str">
        <f aca="false">IF(B315="","",ROW()-2)</f>
        <v/>
      </c>
      <c r="B315" s="18" t="str">
        <f aca="false">IFERROR(INDEX(종합!B$3:B$501,MATCH(ROW()-2,종합!$AB$3:$AB$501,0))&amp;"","")</f>
        <v/>
      </c>
      <c r="C315" s="18" t="str">
        <f aca="false">IFERROR(INDEX(종합!C$3:C$501,MATCH(ROW()-2,종합!$AB$3:$AB$501,0))&amp;"","")</f>
        <v/>
      </c>
      <c r="D315" s="18" t="str">
        <f aca="false">IFERROR(INDEX(종합!D$3:D$501,MATCH(ROW()-2,종합!$AB$3:$AB$501,0))&amp;"","")</f>
        <v/>
      </c>
      <c r="E315" s="18" t="str">
        <f aca="false">IFERROR(INDEX(종합!E$3:E$501,MATCH(ROW()-2,종합!$AB$3:$AB$501,0))&amp;"","")</f>
        <v/>
      </c>
      <c r="F315" s="18" t="str">
        <f aca="false">IFERROR(INDEX(종합!F$3:F$501,MATCH(ROW()-2,종합!$AB$3:$AB$501,0))&amp;"","")</f>
        <v/>
      </c>
      <c r="G315" s="18" t="str">
        <f aca="false">IFERROR(INDEX(종합!G$3:G$501,MATCH(ROW()-2,종합!$AB$3:$AB$501,0))&amp;"","")</f>
        <v/>
      </c>
      <c r="H315" s="21" t="str">
        <f aca="false">IFERROR(INDEX(종합!H$3:H$501,MATCH(ROW()-2,종합!$AB$3:$AB$501,0))&amp;"","")</f>
        <v/>
      </c>
      <c r="I315" s="21" t="str">
        <f aca="false">IFERROR(INDEX(종합!I$3:I$501,MATCH(ROW()-2,종합!$AB$3:$AB$501,0))&amp;"","")</f>
        <v/>
      </c>
      <c r="J315" s="21" t="str">
        <f aca="false">IFERROR(INDEX(종합!J$3:J$501,MATCH(ROW()-2,종합!$AB$3:$AB$501,0))&amp;"","")</f>
        <v/>
      </c>
      <c r="K315" s="21" t="str">
        <f aca="false">IFERROR(INDEX(종합!K$3:K$501,MATCH(ROW()-2,종합!$AB$3:$AB$501,0))&amp;"","")</f>
        <v/>
      </c>
      <c r="L315" s="21" t="str">
        <f aca="false">IFERROR(INDEX(종합!L$3:L$501,MATCH(ROW()-2,종합!$AB$3:$AB$501,0))&amp;"","")</f>
        <v/>
      </c>
      <c r="M315" s="21" t="str">
        <f aca="false">IFERROR(INDEX(종합!M$3:M$501,MATCH(ROW()-2,종합!$AB$3:$AB$501,0))&amp;"","")</f>
        <v/>
      </c>
      <c r="N315" s="25" t="str">
        <f aca="false">IFERROR(INDEX(종합!N$3:N$501,MATCH(ROW()-2,종합!$AB$3:$AB$501,0))&amp;"","")</f>
        <v/>
      </c>
      <c r="O315" s="21" t="str">
        <f aca="false">IFERROR(INDEX(종합!O$3:O$501,MATCH(ROW()-2,종합!$AB$3:$AB$501,0))&amp;"","")</f>
        <v/>
      </c>
      <c r="P315" s="21" t="str">
        <f aca="false">IFERROR(INDEX(종합!P$3:P$501,MATCH(ROW()-2,종합!$AB$3:$AB$501,0))&amp;"","")</f>
        <v/>
      </c>
      <c r="Q315" s="21" t="str">
        <f aca="false">IFERROR(INDEX(종합!Q$3:Q$501,MATCH(ROW()-2,종합!$AB$3:$AB$501,0))&amp;"","")</f>
        <v/>
      </c>
      <c r="R315" s="21" t="str">
        <f aca="false">IFERROR(INDEX(종합!R$3:R$501,MATCH(ROW()-2,종합!$AB$3:$AB$501,0))&amp;"","")</f>
        <v/>
      </c>
      <c r="S315" s="21" t="str">
        <f aca="false">IFERROR(INDEX(종합!S$3:S$501,MATCH(ROW()-2,종합!$AB$3:$AB$501,0))&amp;"","")</f>
        <v/>
      </c>
      <c r="T315" s="21" t="str">
        <f aca="false">IFERROR(INDEX(종합!T$3:T$501,MATCH(ROW()-2,종합!$AB$3:$AB$501,0))&amp;"","")</f>
        <v/>
      </c>
      <c r="U315" s="21" t="str">
        <f aca="false">IFERROR(INDEX(종합!U$3:U$501,MATCH(ROW()-2,종합!$AB$3:$AB$501,0))&amp;"","")</f>
        <v/>
      </c>
      <c r="V315" s="21" t="str">
        <f aca="false">IFERROR(INDEX(종합!V$3:V$501,MATCH(ROW()-2,종합!$AB$3:$AB$501,0))&amp;"","")</f>
        <v/>
      </c>
      <c r="W315" s="21" t="str">
        <f aca="false">IFERROR(INDEX(종합!W$3:W$501,MATCH(ROW()-2,종합!$AB$3:$AB$501,0))&amp;"","")</f>
        <v/>
      </c>
      <c r="X315" s="21" t="str">
        <f aca="false">IFERROR(INDEX(종합!X$3:X$501,MATCH(ROW()-2,종합!$AB$3:$AB$501,0))&amp;"","")</f>
        <v/>
      </c>
      <c r="Y315" s="21" t="str">
        <f aca="false">IFERROR(INDEX(종합!Y$3:Y$501,MATCH(ROW()-2,종합!$AB$3:$AB$501,0))&amp;"","")</f>
        <v/>
      </c>
      <c r="Z315" s="21" t="str">
        <f aca="false">IFERROR(INDEX(종합!Z$3:Z$501,MATCH(ROW()-2,종합!$AB$3:$AB$501,0))&amp;"","")</f>
        <v/>
      </c>
    </row>
    <row r="316" customFormat="false" ht="16.5" hidden="false" customHeight="true" outlineLevel="0" collapsed="false">
      <c r="A316" s="18" t="str">
        <f aca="false">IF(B316="","",ROW()-2)</f>
        <v/>
      </c>
      <c r="B316" s="18" t="str">
        <f aca="false">IFERROR(INDEX(종합!B$3:B$501,MATCH(ROW()-2,종합!$AB$3:$AB$501,0))&amp;"","")</f>
        <v/>
      </c>
      <c r="C316" s="18" t="str">
        <f aca="false">IFERROR(INDEX(종합!C$3:C$501,MATCH(ROW()-2,종합!$AB$3:$AB$501,0))&amp;"","")</f>
        <v/>
      </c>
      <c r="D316" s="18" t="str">
        <f aca="false">IFERROR(INDEX(종합!D$3:D$501,MATCH(ROW()-2,종합!$AB$3:$AB$501,0))&amp;"","")</f>
        <v/>
      </c>
      <c r="E316" s="18" t="str">
        <f aca="false">IFERROR(INDEX(종합!E$3:E$501,MATCH(ROW()-2,종합!$AB$3:$AB$501,0))&amp;"","")</f>
        <v/>
      </c>
      <c r="F316" s="18" t="str">
        <f aca="false">IFERROR(INDEX(종합!F$3:F$501,MATCH(ROW()-2,종합!$AB$3:$AB$501,0))&amp;"","")</f>
        <v/>
      </c>
      <c r="G316" s="18" t="str">
        <f aca="false">IFERROR(INDEX(종합!G$3:G$501,MATCH(ROW()-2,종합!$AB$3:$AB$501,0))&amp;"","")</f>
        <v/>
      </c>
      <c r="H316" s="21" t="str">
        <f aca="false">IFERROR(INDEX(종합!H$3:H$501,MATCH(ROW()-2,종합!$AB$3:$AB$501,0))&amp;"","")</f>
        <v/>
      </c>
      <c r="I316" s="21" t="str">
        <f aca="false">IFERROR(INDEX(종합!I$3:I$501,MATCH(ROW()-2,종합!$AB$3:$AB$501,0))&amp;"","")</f>
        <v/>
      </c>
      <c r="J316" s="21" t="str">
        <f aca="false">IFERROR(INDEX(종합!J$3:J$501,MATCH(ROW()-2,종합!$AB$3:$AB$501,0))&amp;"","")</f>
        <v/>
      </c>
      <c r="K316" s="21" t="str">
        <f aca="false">IFERROR(INDEX(종합!K$3:K$501,MATCH(ROW()-2,종합!$AB$3:$AB$501,0))&amp;"","")</f>
        <v/>
      </c>
      <c r="L316" s="21" t="str">
        <f aca="false">IFERROR(INDEX(종합!L$3:L$501,MATCH(ROW()-2,종합!$AB$3:$AB$501,0))&amp;"","")</f>
        <v/>
      </c>
      <c r="M316" s="21" t="str">
        <f aca="false">IFERROR(INDEX(종합!M$3:M$501,MATCH(ROW()-2,종합!$AB$3:$AB$501,0))&amp;"","")</f>
        <v/>
      </c>
      <c r="N316" s="25" t="str">
        <f aca="false">IFERROR(INDEX(종합!N$3:N$501,MATCH(ROW()-2,종합!$AB$3:$AB$501,0))&amp;"","")</f>
        <v/>
      </c>
      <c r="O316" s="21" t="str">
        <f aca="false">IFERROR(INDEX(종합!O$3:O$501,MATCH(ROW()-2,종합!$AB$3:$AB$501,0))&amp;"","")</f>
        <v/>
      </c>
      <c r="P316" s="21" t="str">
        <f aca="false">IFERROR(INDEX(종합!P$3:P$501,MATCH(ROW()-2,종합!$AB$3:$AB$501,0))&amp;"","")</f>
        <v/>
      </c>
      <c r="Q316" s="21" t="str">
        <f aca="false">IFERROR(INDEX(종합!Q$3:Q$501,MATCH(ROW()-2,종합!$AB$3:$AB$501,0))&amp;"","")</f>
        <v/>
      </c>
      <c r="R316" s="21" t="str">
        <f aca="false">IFERROR(INDEX(종합!R$3:R$501,MATCH(ROW()-2,종합!$AB$3:$AB$501,0))&amp;"","")</f>
        <v/>
      </c>
      <c r="S316" s="21" t="str">
        <f aca="false">IFERROR(INDEX(종합!S$3:S$501,MATCH(ROW()-2,종합!$AB$3:$AB$501,0))&amp;"","")</f>
        <v/>
      </c>
      <c r="T316" s="21" t="str">
        <f aca="false">IFERROR(INDEX(종합!T$3:T$501,MATCH(ROW()-2,종합!$AB$3:$AB$501,0))&amp;"","")</f>
        <v/>
      </c>
      <c r="U316" s="21" t="str">
        <f aca="false">IFERROR(INDEX(종합!U$3:U$501,MATCH(ROW()-2,종합!$AB$3:$AB$501,0))&amp;"","")</f>
        <v/>
      </c>
      <c r="V316" s="21" t="str">
        <f aca="false">IFERROR(INDEX(종합!V$3:V$501,MATCH(ROW()-2,종합!$AB$3:$AB$501,0))&amp;"","")</f>
        <v/>
      </c>
      <c r="W316" s="21" t="str">
        <f aca="false">IFERROR(INDEX(종합!W$3:W$501,MATCH(ROW()-2,종합!$AB$3:$AB$501,0))&amp;"","")</f>
        <v/>
      </c>
      <c r="X316" s="21" t="str">
        <f aca="false">IFERROR(INDEX(종합!X$3:X$501,MATCH(ROW()-2,종합!$AB$3:$AB$501,0))&amp;"","")</f>
        <v/>
      </c>
      <c r="Y316" s="21" t="str">
        <f aca="false">IFERROR(INDEX(종합!Y$3:Y$501,MATCH(ROW()-2,종합!$AB$3:$AB$501,0))&amp;"","")</f>
        <v/>
      </c>
      <c r="Z316" s="21" t="str">
        <f aca="false">IFERROR(INDEX(종합!Z$3:Z$501,MATCH(ROW()-2,종합!$AB$3:$AB$501,0))&amp;"","")</f>
        <v/>
      </c>
    </row>
    <row r="317" customFormat="false" ht="16.5" hidden="false" customHeight="true" outlineLevel="0" collapsed="false">
      <c r="A317" s="18" t="str">
        <f aca="false">IF(B317="","",ROW()-2)</f>
        <v/>
      </c>
      <c r="B317" s="18" t="str">
        <f aca="false">IFERROR(INDEX(종합!B$3:B$501,MATCH(ROW()-2,종합!$AB$3:$AB$501,0))&amp;"","")</f>
        <v/>
      </c>
      <c r="C317" s="18" t="str">
        <f aca="false">IFERROR(INDEX(종합!C$3:C$501,MATCH(ROW()-2,종합!$AB$3:$AB$501,0))&amp;"","")</f>
        <v/>
      </c>
      <c r="D317" s="18" t="str">
        <f aca="false">IFERROR(INDEX(종합!D$3:D$501,MATCH(ROW()-2,종합!$AB$3:$AB$501,0))&amp;"","")</f>
        <v/>
      </c>
      <c r="E317" s="18" t="str">
        <f aca="false">IFERROR(INDEX(종합!E$3:E$501,MATCH(ROW()-2,종합!$AB$3:$AB$501,0))&amp;"","")</f>
        <v/>
      </c>
      <c r="F317" s="18" t="str">
        <f aca="false">IFERROR(INDEX(종합!F$3:F$501,MATCH(ROW()-2,종합!$AB$3:$AB$501,0))&amp;"","")</f>
        <v/>
      </c>
      <c r="G317" s="18" t="str">
        <f aca="false">IFERROR(INDEX(종합!G$3:G$501,MATCH(ROW()-2,종합!$AB$3:$AB$501,0))&amp;"","")</f>
        <v/>
      </c>
      <c r="H317" s="21" t="str">
        <f aca="false">IFERROR(INDEX(종합!H$3:H$501,MATCH(ROW()-2,종합!$AB$3:$AB$501,0))&amp;"","")</f>
        <v/>
      </c>
      <c r="I317" s="21" t="str">
        <f aca="false">IFERROR(INDEX(종합!I$3:I$501,MATCH(ROW()-2,종합!$AB$3:$AB$501,0))&amp;"","")</f>
        <v/>
      </c>
      <c r="J317" s="21" t="str">
        <f aca="false">IFERROR(INDEX(종합!J$3:J$501,MATCH(ROW()-2,종합!$AB$3:$AB$501,0))&amp;"","")</f>
        <v/>
      </c>
      <c r="K317" s="21" t="str">
        <f aca="false">IFERROR(INDEX(종합!K$3:K$501,MATCH(ROW()-2,종합!$AB$3:$AB$501,0))&amp;"","")</f>
        <v/>
      </c>
      <c r="L317" s="21" t="str">
        <f aca="false">IFERROR(INDEX(종합!L$3:L$501,MATCH(ROW()-2,종합!$AB$3:$AB$501,0))&amp;"","")</f>
        <v/>
      </c>
      <c r="M317" s="21" t="str">
        <f aca="false">IFERROR(INDEX(종합!M$3:M$501,MATCH(ROW()-2,종합!$AB$3:$AB$501,0))&amp;"","")</f>
        <v/>
      </c>
      <c r="N317" s="25" t="str">
        <f aca="false">IFERROR(INDEX(종합!N$3:N$501,MATCH(ROW()-2,종합!$AB$3:$AB$501,0))&amp;"","")</f>
        <v/>
      </c>
      <c r="O317" s="21" t="str">
        <f aca="false">IFERROR(INDEX(종합!O$3:O$501,MATCH(ROW()-2,종합!$AB$3:$AB$501,0))&amp;"","")</f>
        <v/>
      </c>
      <c r="P317" s="21" t="str">
        <f aca="false">IFERROR(INDEX(종합!P$3:P$501,MATCH(ROW()-2,종합!$AB$3:$AB$501,0))&amp;"","")</f>
        <v/>
      </c>
      <c r="Q317" s="21" t="str">
        <f aca="false">IFERROR(INDEX(종합!Q$3:Q$501,MATCH(ROW()-2,종합!$AB$3:$AB$501,0))&amp;"","")</f>
        <v/>
      </c>
      <c r="R317" s="21" t="str">
        <f aca="false">IFERROR(INDEX(종합!R$3:R$501,MATCH(ROW()-2,종합!$AB$3:$AB$501,0))&amp;"","")</f>
        <v/>
      </c>
      <c r="S317" s="21" t="str">
        <f aca="false">IFERROR(INDEX(종합!S$3:S$501,MATCH(ROW()-2,종합!$AB$3:$AB$501,0))&amp;"","")</f>
        <v/>
      </c>
      <c r="T317" s="21" t="str">
        <f aca="false">IFERROR(INDEX(종합!T$3:T$501,MATCH(ROW()-2,종합!$AB$3:$AB$501,0))&amp;"","")</f>
        <v/>
      </c>
      <c r="U317" s="21" t="str">
        <f aca="false">IFERROR(INDEX(종합!U$3:U$501,MATCH(ROW()-2,종합!$AB$3:$AB$501,0))&amp;"","")</f>
        <v/>
      </c>
      <c r="V317" s="21" t="str">
        <f aca="false">IFERROR(INDEX(종합!V$3:V$501,MATCH(ROW()-2,종합!$AB$3:$AB$501,0))&amp;"","")</f>
        <v/>
      </c>
      <c r="W317" s="21" t="str">
        <f aca="false">IFERROR(INDEX(종합!W$3:W$501,MATCH(ROW()-2,종합!$AB$3:$AB$501,0))&amp;"","")</f>
        <v/>
      </c>
      <c r="X317" s="21" t="str">
        <f aca="false">IFERROR(INDEX(종합!X$3:X$501,MATCH(ROW()-2,종합!$AB$3:$AB$501,0))&amp;"","")</f>
        <v/>
      </c>
      <c r="Y317" s="21" t="str">
        <f aca="false">IFERROR(INDEX(종합!Y$3:Y$501,MATCH(ROW()-2,종합!$AB$3:$AB$501,0))&amp;"","")</f>
        <v/>
      </c>
      <c r="Z317" s="21" t="str">
        <f aca="false">IFERROR(INDEX(종합!Z$3:Z$501,MATCH(ROW()-2,종합!$AB$3:$AB$501,0))&amp;"","")</f>
        <v/>
      </c>
    </row>
    <row r="318" customFormat="false" ht="16.5" hidden="false" customHeight="true" outlineLevel="0" collapsed="false">
      <c r="A318" s="18" t="str">
        <f aca="false">IF(B318="","",ROW()-2)</f>
        <v/>
      </c>
      <c r="B318" s="18" t="str">
        <f aca="false">IFERROR(INDEX(종합!B$3:B$501,MATCH(ROW()-2,종합!$AB$3:$AB$501,0))&amp;"","")</f>
        <v/>
      </c>
      <c r="C318" s="18" t="str">
        <f aca="false">IFERROR(INDEX(종합!C$3:C$501,MATCH(ROW()-2,종합!$AB$3:$AB$501,0))&amp;"","")</f>
        <v/>
      </c>
      <c r="D318" s="18" t="str">
        <f aca="false">IFERROR(INDEX(종합!D$3:D$501,MATCH(ROW()-2,종합!$AB$3:$AB$501,0))&amp;"","")</f>
        <v/>
      </c>
      <c r="E318" s="18" t="str">
        <f aca="false">IFERROR(INDEX(종합!E$3:E$501,MATCH(ROW()-2,종합!$AB$3:$AB$501,0))&amp;"","")</f>
        <v/>
      </c>
      <c r="F318" s="18" t="str">
        <f aca="false">IFERROR(INDEX(종합!F$3:F$501,MATCH(ROW()-2,종합!$AB$3:$AB$501,0))&amp;"","")</f>
        <v/>
      </c>
      <c r="G318" s="18" t="str">
        <f aca="false">IFERROR(INDEX(종합!G$3:G$501,MATCH(ROW()-2,종합!$AB$3:$AB$501,0))&amp;"","")</f>
        <v/>
      </c>
      <c r="H318" s="21" t="str">
        <f aca="false">IFERROR(INDEX(종합!H$3:H$501,MATCH(ROW()-2,종합!$AB$3:$AB$501,0))&amp;"","")</f>
        <v/>
      </c>
      <c r="I318" s="21" t="str">
        <f aca="false">IFERROR(INDEX(종합!I$3:I$501,MATCH(ROW()-2,종합!$AB$3:$AB$501,0))&amp;"","")</f>
        <v/>
      </c>
      <c r="J318" s="21" t="str">
        <f aca="false">IFERROR(INDEX(종합!J$3:J$501,MATCH(ROW()-2,종합!$AB$3:$AB$501,0))&amp;"","")</f>
        <v/>
      </c>
      <c r="K318" s="21" t="str">
        <f aca="false">IFERROR(INDEX(종합!K$3:K$501,MATCH(ROW()-2,종합!$AB$3:$AB$501,0))&amp;"","")</f>
        <v/>
      </c>
      <c r="L318" s="21" t="str">
        <f aca="false">IFERROR(INDEX(종합!L$3:L$501,MATCH(ROW()-2,종합!$AB$3:$AB$501,0))&amp;"","")</f>
        <v/>
      </c>
      <c r="M318" s="21" t="str">
        <f aca="false">IFERROR(INDEX(종합!M$3:M$501,MATCH(ROW()-2,종합!$AB$3:$AB$501,0))&amp;"","")</f>
        <v/>
      </c>
      <c r="N318" s="25" t="str">
        <f aca="false">IFERROR(INDEX(종합!N$3:N$501,MATCH(ROW()-2,종합!$AB$3:$AB$501,0))&amp;"","")</f>
        <v/>
      </c>
      <c r="O318" s="21" t="str">
        <f aca="false">IFERROR(INDEX(종합!O$3:O$501,MATCH(ROW()-2,종합!$AB$3:$AB$501,0))&amp;"","")</f>
        <v/>
      </c>
      <c r="P318" s="21" t="str">
        <f aca="false">IFERROR(INDEX(종합!P$3:P$501,MATCH(ROW()-2,종합!$AB$3:$AB$501,0))&amp;"","")</f>
        <v/>
      </c>
      <c r="Q318" s="21" t="str">
        <f aca="false">IFERROR(INDEX(종합!Q$3:Q$501,MATCH(ROW()-2,종합!$AB$3:$AB$501,0))&amp;"","")</f>
        <v/>
      </c>
      <c r="R318" s="21" t="str">
        <f aca="false">IFERROR(INDEX(종합!R$3:R$501,MATCH(ROW()-2,종합!$AB$3:$AB$501,0))&amp;"","")</f>
        <v/>
      </c>
      <c r="S318" s="21" t="str">
        <f aca="false">IFERROR(INDEX(종합!S$3:S$501,MATCH(ROW()-2,종합!$AB$3:$AB$501,0))&amp;"","")</f>
        <v/>
      </c>
      <c r="T318" s="21" t="str">
        <f aca="false">IFERROR(INDEX(종합!T$3:T$501,MATCH(ROW()-2,종합!$AB$3:$AB$501,0))&amp;"","")</f>
        <v/>
      </c>
      <c r="U318" s="21" t="str">
        <f aca="false">IFERROR(INDEX(종합!U$3:U$501,MATCH(ROW()-2,종합!$AB$3:$AB$501,0))&amp;"","")</f>
        <v/>
      </c>
      <c r="V318" s="21" t="str">
        <f aca="false">IFERROR(INDEX(종합!V$3:V$501,MATCH(ROW()-2,종합!$AB$3:$AB$501,0))&amp;"","")</f>
        <v/>
      </c>
      <c r="W318" s="21" t="str">
        <f aca="false">IFERROR(INDEX(종합!W$3:W$501,MATCH(ROW()-2,종합!$AB$3:$AB$501,0))&amp;"","")</f>
        <v/>
      </c>
      <c r="X318" s="21" t="str">
        <f aca="false">IFERROR(INDEX(종합!X$3:X$501,MATCH(ROW()-2,종합!$AB$3:$AB$501,0))&amp;"","")</f>
        <v/>
      </c>
      <c r="Y318" s="21" t="str">
        <f aca="false">IFERROR(INDEX(종합!Y$3:Y$501,MATCH(ROW()-2,종합!$AB$3:$AB$501,0))&amp;"","")</f>
        <v/>
      </c>
      <c r="Z318" s="21" t="str">
        <f aca="false">IFERROR(INDEX(종합!Z$3:Z$501,MATCH(ROW()-2,종합!$AB$3:$AB$501,0))&amp;"","")</f>
        <v/>
      </c>
    </row>
    <row r="319" customFormat="false" ht="16.5" hidden="false" customHeight="true" outlineLevel="0" collapsed="false">
      <c r="A319" s="18" t="str">
        <f aca="false">IF(B319="","",ROW()-2)</f>
        <v/>
      </c>
      <c r="B319" s="18" t="str">
        <f aca="false">IFERROR(INDEX(종합!B$3:B$501,MATCH(ROW()-2,종합!$AB$3:$AB$501,0))&amp;"","")</f>
        <v/>
      </c>
      <c r="C319" s="18" t="str">
        <f aca="false">IFERROR(INDEX(종합!C$3:C$501,MATCH(ROW()-2,종합!$AB$3:$AB$501,0))&amp;"","")</f>
        <v/>
      </c>
      <c r="D319" s="18" t="str">
        <f aca="false">IFERROR(INDEX(종합!D$3:D$501,MATCH(ROW()-2,종합!$AB$3:$AB$501,0))&amp;"","")</f>
        <v/>
      </c>
      <c r="E319" s="18" t="str">
        <f aca="false">IFERROR(INDEX(종합!E$3:E$501,MATCH(ROW()-2,종합!$AB$3:$AB$501,0))&amp;"","")</f>
        <v/>
      </c>
      <c r="F319" s="18" t="str">
        <f aca="false">IFERROR(INDEX(종합!F$3:F$501,MATCH(ROW()-2,종합!$AB$3:$AB$501,0))&amp;"","")</f>
        <v/>
      </c>
      <c r="G319" s="18" t="str">
        <f aca="false">IFERROR(INDEX(종합!G$3:G$501,MATCH(ROW()-2,종합!$AB$3:$AB$501,0))&amp;"","")</f>
        <v/>
      </c>
      <c r="H319" s="21" t="str">
        <f aca="false">IFERROR(INDEX(종합!H$3:H$501,MATCH(ROW()-2,종합!$AB$3:$AB$501,0))&amp;"","")</f>
        <v/>
      </c>
      <c r="I319" s="21" t="str">
        <f aca="false">IFERROR(INDEX(종합!I$3:I$501,MATCH(ROW()-2,종합!$AB$3:$AB$501,0))&amp;"","")</f>
        <v/>
      </c>
      <c r="J319" s="21" t="str">
        <f aca="false">IFERROR(INDEX(종합!J$3:J$501,MATCH(ROW()-2,종합!$AB$3:$AB$501,0))&amp;"","")</f>
        <v/>
      </c>
      <c r="K319" s="21" t="str">
        <f aca="false">IFERROR(INDEX(종합!K$3:K$501,MATCH(ROW()-2,종합!$AB$3:$AB$501,0))&amp;"","")</f>
        <v/>
      </c>
      <c r="L319" s="21" t="str">
        <f aca="false">IFERROR(INDEX(종합!L$3:L$501,MATCH(ROW()-2,종합!$AB$3:$AB$501,0))&amp;"","")</f>
        <v/>
      </c>
      <c r="M319" s="21" t="str">
        <f aca="false">IFERROR(INDEX(종합!M$3:M$501,MATCH(ROW()-2,종합!$AB$3:$AB$501,0))&amp;"","")</f>
        <v/>
      </c>
      <c r="N319" s="25" t="str">
        <f aca="false">IFERROR(INDEX(종합!N$3:N$501,MATCH(ROW()-2,종합!$AB$3:$AB$501,0))&amp;"","")</f>
        <v/>
      </c>
      <c r="O319" s="21" t="str">
        <f aca="false">IFERROR(INDEX(종합!O$3:O$501,MATCH(ROW()-2,종합!$AB$3:$AB$501,0))&amp;"","")</f>
        <v/>
      </c>
      <c r="P319" s="21" t="str">
        <f aca="false">IFERROR(INDEX(종합!P$3:P$501,MATCH(ROW()-2,종합!$AB$3:$AB$501,0))&amp;"","")</f>
        <v/>
      </c>
      <c r="Q319" s="21" t="str">
        <f aca="false">IFERROR(INDEX(종합!Q$3:Q$501,MATCH(ROW()-2,종합!$AB$3:$AB$501,0))&amp;"","")</f>
        <v/>
      </c>
      <c r="R319" s="21" t="str">
        <f aca="false">IFERROR(INDEX(종합!R$3:R$501,MATCH(ROW()-2,종합!$AB$3:$AB$501,0))&amp;"","")</f>
        <v/>
      </c>
      <c r="S319" s="21" t="str">
        <f aca="false">IFERROR(INDEX(종합!S$3:S$501,MATCH(ROW()-2,종합!$AB$3:$AB$501,0))&amp;"","")</f>
        <v/>
      </c>
      <c r="T319" s="21" t="str">
        <f aca="false">IFERROR(INDEX(종합!T$3:T$501,MATCH(ROW()-2,종합!$AB$3:$AB$501,0))&amp;"","")</f>
        <v/>
      </c>
      <c r="U319" s="21" t="str">
        <f aca="false">IFERROR(INDEX(종합!U$3:U$501,MATCH(ROW()-2,종합!$AB$3:$AB$501,0))&amp;"","")</f>
        <v/>
      </c>
      <c r="V319" s="21" t="str">
        <f aca="false">IFERROR(INDEX(종합!V$3:V$501,MATCH(ROW()-2,종합!$AB$3:$AB$501,0))&amp;"","")</f>
        <v/>
      </c>
      <c r="W319" s="21" t="str">
        <f aca="false">IFERROR(INDEX(종합!W$3:W$501,MATCH(ROW()-2,종합!$AB$3:$AB$501,0))&amp;"","")</f>
        <v/>
      </c>
      <c r="X319" s="21" t="str">
        <f aca="false">IFERROR(INDEX(종합!X$3:X$501,MATCH(ROW()-2,종합!$AB$3:$AB$501,0))&amp;"","")</f>
        <v/>
      </c>
      <c r="Y319" s="21" t="str">
        <f aca="false">IFERROR(INDEX(종합!Y$3:Y$501,MATCH(ROW()-2,종합!$AB$3:$AB$501,0))&amp;"","")</f>
        <v/>
      </c>
      <c r="Z319" s="21" t="str">
        <f aca="false">IFERROR(INDEX(종합!Z$3:Z$501,MATCH(ROW()-2,종합!$AB$3:$AB$501,0))&amp;"","")</f>
        <v/>
      </c>
    </row>
    <row r="320" customFormat="false" ht="16.5" hidden="false" customHeight="true" outlineLevel="0" collapsed="false">
      <c r="A320" s="18" t="str">
        <f aca="false">IF(B320="","",ROW()-2)</f>
        <v/>
      </c>
      <c r="B320" s="18" t="str">
        <f aca="false">IFERROR(INDEX(종합!B$3:B$501,MATCH(ROW()-2,종합!$AB$3:$AB$501,0))&amp;"","")</f>
        <v/>
      </c>
      <c r="C320" s="18" t="str">
        <f aca="false">IFERROR(INDEX(종합!C$3:C$501,MATCH(ROW()-2,종합!$AB$3:$AB$501,0))&amp;"","")</f>
        <v/>
      </c>
      <c r="D320" s="18" t="str">
        <f aca="false">IFERROR(INDEX(종합!D$3:D$501,MATCH(ROW()-2,종합!$AB$3:$AB$501,0))&amp;"","")</f>
        <v/>
      </c>
      <c r="E320" s="18" t="str">
        <f aca="false">IFERROR(INDEX(종합!E$3:E$501,MATCH(ROW()-2,종합!$AB$3:$AB$501,0))&amp;"","")</f>
        <v/>
      </c>
      <c r="F320" s="18" t="str">
        <f aca="false">IFERROR(INDEX(종합!F$3:F$501,MATCH(ROW()-2,종합!$AB$3:$AB$501,0))&amp;"","")</f>
        <v/>
      </c>
      <c r="G320" s="18" t="str">
        <f aca="false">IFERROR(INDEX(종합!G$3:G$501,MATCH(ROW()-2,종합!$AB$3:$AB$501,0))&amp;"","")</f>
        <v/>
      </c>
      <c r="H320" s="21" t="str">
        <f aca="false">IFERROR(INDEX(종합!H$3:H$501,MATCH(ROW()-2,종합!$AB$3:$AB$501,0))&amp;"","")</f>
        <v/>
      </c>
      <c r="I320" s="21" t="str">
        <f aca="false">IFERROR(INDEX(종합!I$3:I$501,MATCH(ROW()-2,종합!$AB$3:$AB$501,0))&amp;"","")</f>
        <v/>
      </c>
      <c r="J320" s="21" t="str">
        <f aca="false">IFERROR(INDEX(종합!J$3:J$501,MATCH(ROW()-2,종합!$AB$3:$AB$501,0))&amp;"","")</f>
        <v/>
      </c>
      <c r="K320" s="21" t="str">
        <f aca="false">IFERROR(INDEX(종합!K$3:K$501,MATCH(ROW()-2,종합!$AB$3:$AB$501,0))&amp;"","")</f>
        <v/>
      </c>
      <c r="L320" s="21" t="str">
        <f aca="false">IFERROR(INDEX(종합!L$3:L$501,MATCH(ROW()-2,종합!$AB$3:$AB$501,0))&amp;"","")</f>
        <v/>
      </c>
      <c r="M320" s="21" t="str">
        <f aca="false">IFERROR(INDEX(종합!M$3:M$501,MATCH(ROW()-2,종합!$AB$3:$AB$501,0))&amp;"","")</f>
        <v/>
      </c>
      <c r="N320" s="25" t="str">
        <f aca="false">IFERROR(INDEX(종합!N$3:N$501,MATCH(ROW()-2,종합!$AB$3:$AB$501,0))&amp;"","")</f>
        <v/>
      </c>
      <c r="O320" s="21" t="str">
        <f aca="false">IFERROR(INDEX(종합!O$3:O$501,MATCH(ROW()-2,종합!$AB$3:$AB$501,0))&amp;"","")</f>
        <v/>
      </c>
      <c r="P320" s="21" t="str">
        <f aca="false">IFERROR(INDEX(종합!P$3:P$501,MATCH(ROW()-2,종합!$AB$3:$AB$501,0))&amp;"","")</f>
        <v/>
      </c>
      <c r="Q320" s="21" t="str">
        <f aca="false">IFERROR(INDEX(종합!Q$3:Q$501,MATCH(ROW()-2,종합!$AB$3:$AB$501,0))&amp;"","")</f>
        <v/>
      </c>
      <c r="R320" s="21" t="str">
        <f aca="false">IFERROR(INDEX(종합!R$3:R$501,MATCH(ROW()-2,종합!$AB$3:$AB$501,0))&amp;"","")</f>
        <v/>
      </c>
      <c r="S320" s="21" t="str">
        <f aca="false">IFERROR(INDEX(종합!S$3:S$501,MATCH(ROW()-2,종합!$AB$3:$AB$501,0))&amp;"","")</f>
        <v/>
      </c>
      <c r="T320" s="21" t="str">
        <f aca="false">IFERROR(INDEX(종합!T$3:T$501,MATCH(ROW()-2,종합!$AB$3:$AB$501,0))&amp;"","")</f>
        <v/>
      </c>
      <c r="U320" s="21" t="str">
        <f aca="false">IFERROR(INDEX(종합!U$3:U$501,MATCH(ROW()-2,종합!$AB$3:$AB$501,0))&amp;"","")</f>
        <v/>
      </c>
      <c r="V320" s="21" t="str">
        <f aca="false">IFERROR(INDEX(종합!V$3:V$501,MATCH(ROW()-2,종합!$AB$3:$AB$501,0))&amp;"","")</f>
        <v/>
      </c>
      <c r="W320" s="21" t="str">
        <f aca="false">IFERROR(INDEX(종합!W$3:W$501,MATCH(ROW()-2,종합!$AB$3:$AB$501,0))&amp;"","")</f>
        <v/>
      </c>
      <c r="X320" s="21" t="str">
        <f aca="false">IFERROR(INDEX(종합!X$3:X$501,MATCH(ROW()-2,종합!$AB$3:$AB$501,0))&amp;"","")</f>
        <v/>
      </c>
      <c r="Y320" s="21" t="str">
        <f aca="false">IFERROR(INDEX(종합!Y$3:Y$501,MATCH(ROW()-2,종합!$AB$3:$AB$501,0))&amp;"","")</f>
        <v/>
      </c>
      <c r="Z320" s="21" t="str">
        <f aca="false">IFERROR(INDEX(종합!Z$3:Z$501,MATCH(ROW()-2,종합!$AB$3:$AB$501,0))&amp;"","")</f>
        <v/>
      </c>
    </row>
    <row r="321" customFormat="false" ht="16.5" hidden="false" customHeight="true" outlineLevel="0" collapsed="false">
      <c r="A321" s="18" t="str">
        <f aca="false">IF(B321="","",ROW()-2)</f>
        <v/>
      </c>
      <c r="B321" s="18" t="str">
        <f aca="false">IFERROR(INDEX(종합!B$3:B$501,MATCH(ROW()-2,종합!$AB$3:$AB$501,0))&amp;"","")</f>
        <v/>
      </c>
      <c r="C321" s="18" t="str">
        <f aca="false">IFERROR(INDEX(종합!C$3:C$501,MATCH(ROW()-2,종합!$AB$3:$AB$501,0))&amp;"","")</f>
        <v/>
      </c>
      <c r="D321" s="18" t="str">
        <f aca="false">IFERROR(INDEX(종합!D$3:D$501,MATCH(ROW()-2,종합!$AB$3:$AB$501,0))&amp;"","")</f>
        <v/>
      </c>
      <c r="E321" s="18" t="str">
        <f aca="false">IFERROR(INDEX(종합!E$3:E$501,MATCH(ROW()-2,종합!$AB$3:$AB$501,0))&amp;"","")</f>
        <v/>
      </c>
      <c r="F321" s="18" t="str">
        <f aca="false">IFERROR(INDEX(종합!F$3:F$501,MATCH(ROW()-2,종합!$AB$3:$AB$501,0))&amp;"","")</f>
        <v/>
      </c>
      <c r="G321" s="18" t="str">
        <f aca="false">IFERROR(INDEX(종합!G$3:G$501,MATCH(ROW()-2,종합!$AB$3:$AB$501,0))&amp;"","")</f>
        <v/>
      </c>
      <c r="H321" s="21" t="str">
        <f aca="false">IFERROR(INDEX(종합!H$3:H$501,MATCH(ROW()-2,종합!$AB$3:$AB$501,0))&amp;"","")</f>
        <v/>
      </c>
      <c r="I321" s="21" t="str">
        <f aca="false">IFERROR(INDEX(종합!I$3:I$501,MATCH(ROW()-2,종합!$AB$3:$AB$501,0))&amp;"","")</f>
        <v/>
      </c>
      <c r="J321" s="21" t="str">
        <f aca="false">IFERROR(INDEX(종합!J$3:J$501,MATCH(ROW()-2,종합!$AB$3:$AB$501,0))&amp;"","")</f>
        <v/>
      </c>
      <c r="K321" s="21" t="str">
        <f aca="false">IFERROR(INDEX(종합!K$3:K$501,MATCH(ROW()-2,종합!$AB$3:$AB$501,0))&amp;"","")</f>
        <v/>
      </c>
      <c r="L321" s="21" t="str">
        <f aca="false">IFERROR(INDEX(종합!L$3:L$501,MATCH(ROW()-2,종합!$AB$3:$AB$501,0))&amp;"","")</f>
        <v/>
      </c>
      <c r="M321" s="21" t="str">
        <f aca="false">IFERROR(INDEX(종합!M$3:M$501,MATCH(ROW()-2,종합!$AB$3:$AB$501,0))&amp;"","")</f>
        <v/>
      </c>
      <c r="N321" s="25" t="str">
        <f aca="false">IFERROR(INDEX(종합!N$3:N$501,MATCH(ROW()-2,종합!$AB$3:$AB$501,0))&amp;"","")</f>
        <v/>
      </c>
      <c r="O321" s="21" t="str">
        <f aca="false">IFERROR(INDEX(종합!O$3:O$501,MATCH(ROW()-2,종합!$AB$3:$AB$501,0))&amp;"","")</f>
        <v/>
      </c>
      <c r="P321" s="21" t="str">
        <f aca="false">IFERROR(INDEX(종합!P$3:P$501,MATCH(ROW()-2,종합!$AB$3:$AB$501,0))&amp;"","")</f>
        <v/>
      </c>
      <c r="Q321" s="21" t="str">
        <f aca="false">IFERROR(INDEX(종합!Q$3:Q$501,MATCH(ROW()-2,종합!$AB$3:$AB$501,0))&amp;"","")</f>
        <v/>
      </c>
      <c r="R321" s="21" t="str">
        <f aca="false">IFERROR(INDEX(종합!R$3:R$501,MATCH(ROW()-2,종합!$AB$3:$AB$501,0))&amp;"","")</f>
        <v/>
      </c>
      <c r="S321" s="21" t="str">
        <f aca="false">IFERROR(INDEX(종합!S$3:S$501,MATCH(ROW()-2,종합!$AB$3:$AB$501,0))&amp;"","")</f>
        <v/>
      </c>
      <c r="T321" s="21" t="str">
        <f aca="false">IFERROR(INDEX(종합!T$3:T$501,MATCH(ROW()-2,종합!$AB$3:$AB$501,0))&amp;"","")</f>
        <v/>
      </c>
      <c r="U321" s="21" t="str">
        <f aca="false">IFERROR(INDEX(종합!U$3:U$501,MATCH(ROW()-2,종합!$AB$3:$AB$501,0))&amp;"","")</f>
        <v/>
      </c>
      <c r="V321" s="21" t="str">
        <f aca="false">IFERROR(INDEX(종합!V$3:V$501,MATCH(ROW()-2,종합!$AB$3:$AB$501,0))&amp;"","")</f>
        <v/>
      </c>
      <c r="W321" s="21" t="str">
        <f aca="false">IFERROR(INDEX(종합!W$3:W$501,MATCH(ROW()-2,종합!$AB$3:$AB$501,0))&amp;"","")</f>
        <v/>
      </c>
      <c r="X321" s="21" t="str">
        <f aca="false">IFERROR(INDEX(종합!X$3:X$501,MATCH(ROW()-2,종합!$AB$3:$AB$501,0))&amp;"","")</f>
        <v/>
      </c>
      <c r="Y321" s="21" t="str">
        <f aca="false">IFERROR(INDEX(종합!Y$3:Y$501,MATCH(ROW()-2,종합!$AB$3:$AB$501,0))&amp;"","")</f>
        <v/>
      </c>
      <c r="Z321" s="21" t="str">
        <f aca="false">IFERROR(INDEX(종합!Z$3:Z$501,MATCH(ROW()-2,종합!$AB$3:$AB$501,0))&amp;"","")</f>
        <v/>
      </c>
    </row>
    <row r="322" customFormat="false" ht="16.5" hidden="false" customHeight="true" outlineLevel="0" collapsed="false">
      <c r="A322" s="18" t="str">
        <f aca="false">IF(B322="","",ROW()-2)</f>
        <v/>
      </c>
      <c r="B322" s="18" t="str">
        <f aca="false">IFERROR(INDEX(종합!B$3:B$501,MATCH(ROW()-2,종합!$AB$3:$AB$501,0))&amp;"","")</f>
        <v/>
      </c>
      <c r="C322" s="18" t="str">
        <f aca="false">IFERROR(INDEX(종합!C$3:C$501,MATCH(ROW()-2,종합!$AB$3:$AB$501,0))&amp;"","")</f>
        <v/>
      </c>
      <c r="D322" s="18" t="str">
        <f aca="false">IFERROR(INDEX(종합!D$3:D$501,MATCH(ROW()-2,종합!$AB$3:$AB$501,0))&amp;"","")</f>
        <v/>
      </c>
      <c r="E322" s="18" t="str">
        <f aca="false">IFERROR(INDEX(종합!E$3:E$501,MATCH(ROW()-2,종합!$AB$3:$AB$501,0))&amp;"","")</f>
        <v/>
      </c>
      <c r="F322" s="18" t="str">
        <f aca="false">IFERROR(INDEX(종합!F$3:F$501,MATCH(ROW()-2,종합!$AB$3:$AB$501,0))&amp;"","")</f>
        <v/>
      </c>
      <c r="G322" s="18" t="str">
        <f aca="false">IFERROR(INDEX(종합!G$3:G$501,MATCH(ROW()-2,종합!$AB$3:$AB$501,0))&amp;"","")</f>
        <v/>
      </c>
      <c r="H322" s="21" t="str">
        <f aca="false">IFERROR(INDEX(종합!H$3:H$501,MATCH(ROW()-2,종합!$AB$3:$AB$501,0))&amp;"","")</f>
        <v/>
      </c>
      <c r="I322" s="21" t="str">
        <f aca="false">IFERROR(INDEX(종합!I$3:I$501,MATCH(ROW()-2,종합!$AB$3:$AB$501,0))&amp;"","")</f>
        <v/>
      </c>
      <c r="J322" s="21" t="str">
        <f aca="false">IFERROR(INDEX(종합!J$3:J$501,MATCH(ROW()-2,종합!$AB$3:$AB$501,0))&amp;"","")</f>
        <v/>
      </c>
      <c r="K322" s="21" t="str">
        <f aca="false">IFERROR(INDEX(종합!K$3:K$501,MATCH(ROW()-2,종합!$AB$3:$AB$501,0))&amp;"","")</f>
        <v/>
      </c>
      <c r="L322" s="21" t="str">
        <f aca="false">IFERROR(INDEX(종합!L$3:L$501,MATCH(ROW()-2,종합!$AB$3:$AB$501,0))&amp;"","")</f>
        <v/>
      </c>
      <c r="M322" s="21" t="str">
        <f aca="false">IFERROR(INDEX(종합!M$3:M$501,MATCH(ROW()-2,종합!$AB$3:$AB$501,0))&amp;"","")</f>
        <v/>
      </c>
      <c r="N322" s="25" t="str">
        <f aca="false">IFERROR(INDEX(종합!N$3:N$501,MATCH(ROW()-2,종합!$AB$3:$AB$501,0))&amp;"","")</f>
        <v/>
      </c>
      <c r="O322" s="21" t="str">
        <f aca="false">IFERROR(INDEX(종합!O$3:O$501,MATCH(ROW()-2,종합!$AB$3:$AB$501,0))&amp;"","")</f>
        <v/>
      </c>
      <c r="P322" s="21" t="str">
        <f aca="false">IFERROR(INDEX(종합!P$3:P$501,MATCH(ROW()-2,종합!$AB$3:$AB$501,0))&amp;"","")</f>
        <v/>
      </c>
      <c r="Q322" s="21" t="str">
        <f aca="false">IFERROR(INDEX(종합!Q$3:Q$501,MATCH(ROW()-2,종합!$AB$3:$AB$501,0))&amp;"","")</f>
        <v/>
      </c>
      <c r="R322" s="21" t="str">
        <f aca="false">IFERROR(INDEX(종합!R$3:R$501,MATCH(ROW()-2,종합!$AB$3:$AB$501,0))&amp;"","")</f>
        <v/>
      </c>
      <c r="S322" s="21" t="str">
        <f aca="false">IFERROR(INDEX(종합!S$3:S$501,MATCH(ROW()-2,종합!$AB$3:$AB$501,0))&amp;"","")</f>
        <v/>
      </c>
      <c r="T322" s="21" t="str">
        <f aca="false">IFERROR(INDEX(종합!T$3:T$501,MATCH(ROW()-2,종합!$AB$3:$AB$501,0))&amp;"","")</f>
        <v/>
      </c>
      <c r="U322" s="21" t="str">
        <f aca="false">IFERROR(INDEX(종합!U$3:U$501,MATCH(ROW()-2,종합!$AB$3:$AB$501,0))&amp;"","")</f>
        <v/>
      </c>
      <c r="V322" s="21" t="str">
        <f aca="false">IFERROR(INDEX(종합!V$3:V$501,MATCH(ROW()-2,종합!$AB$3:$AB$501,0))&amp;"","")</f>
        <v/>
      </c>
      <c r="W322" s="21" t="str">
        <f aca="false">IFERROR(INDEX(종합!W$3:W$501,MATCH(ROW()-2,종합!$AB$3:$AB$501,0))&amp;"","")</f>
        <v/>
      </c>
      <c r="X322" s="21" t="str">
        <f aca="false">IFERROR(INDEX(종합!X$3:X$501,MATCH(ROW()-2,종합!$AB$3:$AB$501,0))&amp;"","")</f>
        <v/>
      </c>
      <c r="Y322" s="21" t="str">
        <f aca="false">IFERROR(INDEX(종합!Y$3:Y$501,MATCH(ROW()-2,종합!$AB$3:$AB$501,0))&amp;"","")</f>
        <v/>
      </c>
      <c r="Z322" s="21" t="str">
        <f aca="false">IFERROR(INDEX(종합!Z$3:Z$501,MATCH(ROW()-2,종합!$AB$3:$AB$501,0))&amp;"","")</f>
        <v/>
      </c>
    </row>
    <row r="323" customFormat="false" ht="16.5" hidden="false" customHeight="true" outlineLevel="0" collapsed="false">
      <c r="A323" s="18" t="str">
        <f aca="false">IF(B323="","",ROW()-2)</f>
        <v/>
      </c>
      <c r="B323" s="18" t="str">
        <f aca="false">IFERROR(INDEX(종합!B$3:B$501,MATCH(ROW()-2,종합!$AB$3:$AB$501,0))&amp;"","")</f>
        <v/>
      </c>
      <c r="C323" s="18" t="str">
        <f aca="false">IFERROR(INDEX(종합!C$3:C$501,MATCH(ROW()-2,종합!$AB$3:$AB$501,0))&amp;"","")</f>
        <v/>
      </c>
      <c r="D323" s="18" t="str">
        <f aca="false">IFERROR(INDEX(종합!D$3:D$501,MATCH(ROW()-2,종합!$AB$3:$AB$501,0))&amp;"","")</f>
        <v/>
      </c>
      <c r="E323" s="18" t="str">
        <f aca="false">IFERROR(INDEX(종합!E$3:E$501,MATCH(ROW()-2,종합!$AB$3:$AB$501,0))&amp;"","")</f>
        <v/>
      </c>
      <c r="F323" s="18" t="str">
        <f aca="false">IFERROR(INDEX(종합!F$3:F$501,MATCH(ROW()-2,종합!$AB$3:$AB$501,0))&amp;"","")</f>
        <v/>
      </c>
      <c r="G323" s="18" t="str">
        <f aca="false">IFERROR(INDEX(종합!G$3:G$501,MATCH(ROW()-2,종합!$AB$3:$AB$501,0))&amp;"","")</f>
        <v/>
      </c>
      <c r="H323" s="21" t="str">
        <f aca="false">IFERROR(INDEX(종합!H$3:H$501,MATCH(ROW()-2,종합!$AB$3:$AB$501,0))&amp;"","")</f>
        <v/>
      </c>
      <c r="I323" s="21" t="str">
        <f aca="false">IFERROR(INDEX(종합!I$3:I$501,MATCH(ROW()-2,종합!$AB$3:$AB$501,0))&amp;"","")</f>
        <v/>
      </c>
      <c r="J323" s="21" t="str">
        <f aca="false">IFERROR(INDEX(종합!J$3:J$501,MATCH(ROW()-2,종합!$AB$3:$AB$501,0))&amp;"","")</f>
        <v/>
      </c>
      <c r="K323" s="21" t="str">
        <f aca="false">IFERROR(INDEX(종합!K$3:K$501,MATCH(ROW()-2,종합!$AB$3:$AB$501,0))&amp;"","")</f>
        <v/>
      </c>
      <c r="L323" s="21" t="str">
        <f aca="false">IFERROR(INDEX(종합!L$3:L$501,MATCH(ROW()-2,종합!$AB$3:$AB$501,0))&amp;"","")</f>
        <v/>
      </c>
      <c r="M323" s="21" t="str">
        <f aca="false">IFERROR(INDEX(종합!M$3:M$501,MATCH(ROW()-2,종합!$AB$3:$AB$501,0))&amp;"","")</f>
        <v/>
      </c>
      <c r="N323" s="25" t="str">
        <f aca="false">IFERROR(INDEX(종합!N$3:N$501,MATCH(ROW()-2,종합!$AB$3:$AB$501,0))&amp;"","")</f>
        <v/>
      </c>
      <c r="O323" s="21" t="str">
        <f aca="false">IFERROR(INDEX(종합!O$3:O$501,MATCH(ROW()-2,종합!$AB$3:$AB$501,0))&amp;"","")</f>
        <v/>
      </c>
      <c r="P323" s="21" t="str">
        <f aca="false">IFERROR(INDEX(종합!P$3:P$501,MATCH(ROW()-2,종합!$AB$3:$AB$501,0))&amp;"","")</f>
        <v/>
      </c>
      <c r="Q323" s="21" t="str">
        <f aca="false">IFERROR(INDEX(종합!Q$3:Q$501,MATCH(ROW()-2,종합!$AB$3:$AB$501,0))&amp;"","")</f>
        <v/>
      </c>
      <c r="R323" s="21" t="str">
        <f aca="false">IFERROR(INDEX(종합!R$3:R$501,MATCH(ROW()-2,종합!$AB$3:$AB$501,0))&amp;"","")</f>
        <v/>
      </c>
      <c r="S323" s="21" t="str">
        <f aca="false">IFERROR(INDEX(종합!S$3:S$501,MATCH(ROW()-2,종합!$AB$3:$AB$501,0))&amp;"","")</f>
        <v/>
      </c>
      <c r="T323" s="21" t="str">
        <f aca="false">IFERROR(INDEX(종합!T$3:T$501,MATCH(ROW()-2,종합!$AB$3:$AB$501,0))&amp;"","")</f>
        <v/>
      </c>
      <c r="U323" s="21" t="str">
        <f aca="false">IFERROR(INDEX(종합!U$3:U$501,MATCH(ROW()-2,종합!$AB$3:$AB$501,0))&amp;"","")</f>
        <v/>
      </c>
      <c r="V323" s="21" t="str">
        <f aca="false">IFERROR(INDEX(종합!V$3:V$501,MATCH(ROW()-2,종합!$AB$3:$AB$501,0))&amp;"","")</f>
        <v/>
      </c>
      <c r="W323" s="21" t="str">
        <f aca="false">IFERROR(INDEX(종합!W$3:W$501,MATCH(ROW()-2,종합!$AB$3:$AB$501,0))&amp;"","")</f>
        <v/>
      </c>
      <c r="X323" s="21" t="str">
        <f aca="false">IFERROR(INDEX(종합!X$3:X$501,MATCH(ROW()-2,종합!$AB$3:$AB$501,0))&amp;"","")</f>
        <v/>
      </c>
      <c r="Y323" s="21" t="str">
        <f aca="false">IFERROR(INDEX(종합!Y$3:Y$501,MATCH(ROW()-2,종합!$AB$3:$AB$501,0))&amp;"","")</f>
        <v/>
      </c>
      <c r="Z323" s="21" t="str">
        <f aca="false">IFERROR(INDEX(종합!Z$3:Z$501,MATCH(ROW()-2,종합!$AB$3:$AB$501,0))&amp;"","")</f>
        <v/>
      </c>
    </row>
    <row r="324" customFormat="false" ht="16.5" hidden="false" customHeight="true" outlineLevel="0" collapsed="false">
      <c r="A324" s="18" t="str">
        <f aca="false">IF(B324="","",ROW()-2)</f>
        <v/>
      </c>
      <c r="B324" s="18" t="str">
        <f aca="false">IFERROR(INDEX(종합!B$3:B$501,MATCH(ROW()-2,종합!$AB$3:$AB$501,0))&amp;"","")</f>
        <v/>
      </c>
      <c r="C324" s="18" t="str">
        <f aca="false">IFERROR(INDEX(종합!C$3:C$501,MATCH(ROW()-2,종합!$AB$3:$AB$501,0))&amp;"","")</f>
        <v/>
      </c>
      <c r="D324" s="18" t="str">
        <f aca="false">IFERROR(INDEX(종합!D$3:D$501,MATCH(ROW()-2,종합!$AB$3:$AB$501,0))&amp;"","")</f>
        <v/>
      </c>
      <c r="E324" s="18" t="str">
        <f aca="false">IFERROR(INDEX(종합!E$3:E$501,MATCH(ROW()-2,종합!$AB$3:$AB$501,0))&amp;"","")</f>
        <v/>
      </c>
      <c r="F324" s="18" t="str">
        <f aca="false">IFERROR(INDEX(종합!F$3:F$501,MATCH(ROW()-2,종합!$AB$3:$AB$501,0))&amp;"","")</f>
        <v/>
      </c>
      <c r="G324" s="18" t="str">
        <f aca="false">IFERROR(INDEX(종합!G$3:G$501,MATCH(ROW()-2,종합!$AB$3:$AB$501,0))&amp;"","")</f>
        <v/>
      </c>
      <c r="H324" s="21" t="str">
        <f aca="false">IFERROR(INDEX(종합!H$3:H$501,MATCH(ROW()-2,종합!$AB$3:$AB$501,0))&amp;"","")</f>
        <v/>
      </c>
      <c r="I324" s="21" t="str">
        <f aca="false">IFERROR(INDEX(종합!I$3:I$501,MATCH(ROW()-2,종합!$AB$3:$AB$501,0))&amp;"","")</f>
        <v/>
      </c>
      <c r="J324" s="21" t="str">
        <f aca="false">IFERROR(INDEX(종합!J$3:J$501,MATCH(ROW()-2,종합!$AB$3:$AB$501,0))&amp;"","")</f>
        <v/>
      </c>
      <c r="K324" s="21" t="str">
        <f aca="false">IFERROR(INDEX(종합!K$3:K$501,MATCH(ROW()-2,종합!$AB$3:$AB$501,0))&amp;"","")</f>
        <v/>
      </c>
      <c r="L324" s="21" t="str">
        <f aca="false">IFERROR(INDEX(종합!L$3:L$501,MATCH(ROW()-2,종합!$AB$3:$AB$501,0))&amp;"","")</f>
        <v/>
      </c>
      <c r="M324" s="21" t="str">
        <f aca="false">IFERROR(INDEX(종합!M$3:M$501,MATCH(ROW()-2,종합!$AB$3:$AB$501,0))&amp;"","")</f>
        <v/>
      </c>
      <c r="N324" s="25" t="str">
        <f aca="false">IFERROR(INDEX(종합!N$3:N$501,MATCH(ROW()-2,종합!$AB$3:$AB$501,0))&amp;"","")</f>
        <v/>
      </c>
      <c r="O324" s="21" t="str">
        <f aca="false">IFERROR(INDEX(종합!O$3:O$501,MATCH(ROW()-2,종합!$AB$3:$AB$501,0))&amp;"","")</f>
        <v/>
      </c>
      <c r="P324" s="21" t="str">
        <f aca="false">IFERROR(INDEX(종합!P$3:P$501,MATCH(ROW()-2,종합!$AB$3:$AB$501,0))&amp;"","")</f>
        <v/>
      </c>
      <c r="Q324" s="21" t="str">
        <f aca="false">IFERROR(INDEX(종합!Q$3:Q$501,MATCH(ROW()-2,종합!$AB$3:$AB$501,0))&amp;"","")</f>
        <v/>
      </c>
      <c r="R324" s="21" t="str">
        <f aca="false">IFERROR(INDEX(종합!R$3:R$501,MATCH(ROW()-2,종합!$AB$3:$AB$501,0))&amp;"","")</f>
        <v/>
      </c>
      <c r="S324" s="21" t="str">
        <f aca="false">IFERROR(INDEX(종합!S$3:S$501,MATCH(ROW()-2,종합!$AB$3:$AB$501,0))&amp;"","")</f>
        <v/>
      </c>
      <c r="T324" s="21" t="str">
        <f aca="false">IFERROR(INDEX(종합!T$3:T$501,MATCH(ROW()-2,종합!$AB$3:$AB$501,0))&amp;"","")</f>
        <v/>
      </c>
      <c r="U324" s="21" t="str">
        <f aca="false">IFERROR(INDEX(종합!U$3:U$501,MATCH(ROW()-2,종합!$AB$3:$AB$501,0))&amp;"","")</f>
        <v/>
      </c>
      <c r="V324" s="21" t="str">
        <f aca="false">IFERROR(INDEX(종합!V$3:V$501,MATCH(ROW()-2,종합!$AB$3:$AB$501,0))&amp;"","")</f>
        <v/>
      </c>
      <c r="W324" s="21" t="str">
        <f aca="false">IFERROR(INDEX(종합!W$3:W$501,MATCH(ROW()-2,종합!$AB$3:$AB$501,0))&amp;"","")</f>
        <v/>
      </c>
      <c r="X324" s="21" t="str">
        <f aca="false">IFERROR(INDEX(종합!X$3:X$501,MATCH(ROW()-2,종합!$AB$3:$AB$501,0))&amp;"","")</f>
        <v/>
      </c>
      <c r="Y324" s="21" t="str">
        <f aca="false">IFERROR(INDEX(종합!Y$3:Y$501,MATCH(ROW()-2,종합!$AB$3:$AB$501,0))&amp;"","")</f>
        <v/>
      </c>
      <c r="Z324" s="21" t="str">
        <f aca="false">IFERROR(INDEX(종합!Z$3:Z$501,MATCH(ROW()-2,종합!$AB$3:$AB$501,0))&amp;"","")</f>
        <v/>
      </c>
    </row>
    <row r="325" customFormat="false" ht="16.5" hidden="false" customHeight="true" outlineLevel="0" collapsed="false">
      <c r="A325" s="18" t="str">
        <f aca="false">IF(B325="","",ROW()-2)</f>
        <v/>
      </c>
      <c r="B325" s="18" t="str">
        <f aca="false">IFERROR(INDEX(종합!B$3:B$501,MATCH(ROW()-2,종합!$AB$3:$AB$501,0))&amp;"","")</f>
        <v/>
      </c>
      <c r="C325" s="18" t="str">
        <f aca="false">IFERROR(INDEX(종합!C$3:C$501,MATCH(ROW()-2,종합!$AB$3:$AB$501,0))&amp;"","")</f>
        <v/>
      </c>
      <c r="D325" s="18" t="str">
        <f aca="false">IFERROR(INDEX(종합!D$3:D$501,MATCH(ROW()-2,종합!$AB$3:$AB$501,0))&amp;"","")</f>
        <v/>
      </c>
      <c r="E325" s="18" t="str">
        <f aca="false">IFERROR(INDEX(종합!E$3:E$501,MATCH(ROW()-2,종합!$AB$3:$AB$501,0))&amp;"","")</f>
        <v/>
      </c>
      <c r="F325" s="18" t="str">
        <f aca="false">IFERROR(INDEX(종합!F$3:F$501,MATCH(ROW()-2,종합!$AB$3:$AB$501,0))&amp;"","")</f>
        <v/>
      </c>
      <c r="G325" s="18" t="str">
        <f aca="false">IFERROR(INDEX(종합!G$3:G$501,MATCH(ROW()-2,종합!$AB$3:$AB$501,0))&amp;"","")</f>
        <v/>
      </c>
      <c r="H325" s="21" t="str">
        <f aca="false">IFERROR(INDEX(종합!H$3:H$501,MATCH(ROW()-2,종합!$AB$3:$AB$501,0))&amp;"","")</f>
        <v/>
      </c>
      <c r="I325" s="21" t="str">
        <f aca="false">IFERROR(INDEX(종합!I$3:I$501,MATCH(ROW()-2,종합!$AB$3:$AB$501,0))&amp;"","")</f>
        <v/>
      </c>
      <c r="J325" s="21" t="str">
        <f aca="false">IFERROR(INDEX(종합!J$3:J$501,MATCH(ROW()-2,종합!$AB$3:$AB$501,0))&amp;"","")</f>
        <v/>
      </c>
      <c r="K325" s="21" t="str">
        <f aca="false">IFERROR(INDEX(종합!K$3:K$501,MATCH(ROW()-2,종합!$AB$3:$AB$501,0))&amp;"","")</f>
        <v/>
      </c>
      <c r="L325" s="21" t="str">
        <f aca="false">IFERROR(INDEX(종합!L$3:L$501,MATCH(ROW()-2,종합!$AB$3:$AB$501,0))&amp;"","")</f>
        <v/>
      </c>
      <c r="M325" s="21" t="str">
        <f aca="false">IFERROR(INDEX(종합!M$3:M$501,MATCH(ROW()-2,종합!$AB$3:$AB$501,0))&amp;"","")</f>
        <v/>
      </c>
      <c r="N325" s="25" t="str">
        <f aca="false">IFERROR(INDEX(종합!N$3:N$501,MATCH(ROW()-2,종합!$AB$3:$AB$501,0))&amp;"","")</f>
        <v/>
      </c>
      <c r="O325" s="21" t="str">
        <f aca="false">IFERROR(INDEX(종합!O$3:O$501,MATCH(ROW()-2,종합!$AB$3:$AB$501,0))&amp;"","")</f>
        <v/>
      </c>
      <c r="P325" s="21" t="str">
        <f aca="false">IFERROR(INDEX(종합!P$3:P$501,MATCH(ROW()-2,종합!$AB$3:$AB$501,0))&amp;"","")</f>
        <v/>
      </c>
      <c r="Q325" s="21" t="str">
        <f aca="false">IFERROR(INDEX(종합!Q$3:Q$501,MATCH(ROW()-2,종합!$AB$3:$AB$501,0))&amp;"","")</f>
        <v/>
      </c>
      <c r="R325" s="21" t="str">
        <f aca="false">IFERROR(INDEX(종합!R$3:R$501,MATCH(ROW()-2,종합!$AB$3:$AB$501,0))&amp;"","")</f>
        <v/>
      </c>
      <c r="S325" s="21" t="str">
        <f aca="false">IFERROR(INDEX(종합!S$3:S$501,MATCH(ROW()-2,종합!$AB$3:$AB$501,0))&amp;"","")</f>
        <v/>
      </c>
      <c r="T325" s="21" t="str">
        <f aca="false">IFERROR(INDEX(종합!T$3:T$501,MATCH(ROW()-2,종합!$AB$3:$AB$501,0))&amp;"","")</f>
        <v/>
      </c>
      <c r="U325" s="21" t="str">
        <f aca="false">IFERROR(INDEX(종합!U$3:U$501,MATCH(ROW()-2,종합!$AB$3:$AB$501,0))&amp;"","")</f>
        <v/>
      </c>
      <c r="V325" s="21" t="str">
        <f aca="false">IFERROR(INDEX(종합!V$3:V$501,MATCH(ROW()-2,종합!$AB$3:$AB$501,0))&amp;"","")</f>
        <v/>
      </c>
      <c r="W325" s="21" t="str">
        <f aca="false">IFERROR(INDEX(종합!W$3:W$501,MATCH(ROW()-2,종합!$AB$3:$AB$501,0))&amp;"","")</f>
        <v/>
      </c>
      <c r="X325" s="21" t="str">
        <f aca="false">IFERROR(INDEX(종합!X$3:X$501,MATCH(ROW()-2,종합!$AB$3:$AB$501,0))&amp;"","")</f>
        <v/>
      </c>
      <c r="Y325" s="21" t="str">
        <f aca="false">IFERROR(INDEX(종합!Y$3:Y$501,MATCH(ROW()-2,종합!$AB$3:$AB$501,0))&amp;"","")</f>
        <v/>
      </c>
      <c r="Z325" s="21" t="str">
        <f aca="false">IFERROR(INDEX(종합!Z$3:Z$501,MATCH(ROW()-2,종합!$AB$3:$AB$501,0))&amp;"","")</f>
        <v/>
      </c>
    </row>
    <row r="326" customFormat="false" ht="16.5" hidden="false" customHeight="true" outlineLevel="0" collapsed="false">
      <c r="A326" s="18" t="str">
        <f aca="false">IF(B326="","",ROW()-2)</f>
        <v/>
      </c>
      <c r="B326" s="18" t="str">
        <f aca="false">IFERROR(INDEX(종합!B$3:B$501,MATCH(ROW()-2,종합!$AB$3:$AB$501,0))&amp;"","")</f>
        <v/>
      </c>
      <c r="C326" s="18" t="str">
        <f aca="false">IFERROR(INDEX(종합!C$3:C$501,MATCH(ROW()-2,종합!$AB$3:$AB$501,0))&amp;"","")</f>
        <v/>
      </c>
      <c r="D326" s="18" t="str">
        <f aca="false">IFERROR(INDEX(종합!D$3:D$501,MATCH(ROW()-2,종합!$AB$3:$AB$501,0))&amp;"","")</f>
        <v/>
      </c>
      <c r="E326" s="18" t="str">
        <f aca="false">IFERROR(INDEX(종합!E$3:E$501,MATCH(ROW()-2,종합!$AB$3:$AB$501,0))&amp;"","")</f>
        <v/>
      </c>
      <c r="F326" s="18" t="str">
        <f aca="false">IFERROR(INDEX(종합!F$3:F$501,MATCH(ROW()-2,종합!$AB$3:$AB$501,0))&amp;"","")</f>
        <v/>
      </c>
      <c r="G326" s="18" t="str">
        <f aca="false">IFERROR(INDEX(종합!G$3:G$501,MATCH(ROW()-2,종합!$AB$3:$AB$501,0))&amp;"","")</f>
        <v/>
      </c>
      <c r="H326" s="21" t="str">
        <f aca="false">IFERROR(INDEX(종합!H$3:H$501,MATCH(ROW()-2,종합!$AB$3:$AB$501,0))&amp;"","")</f>
        <v/>
      </c>
      <c r="I326" s="21" t="str">
        <f aca="false">IFERROR(INDEX(종합!I$3:I$501,MATCH(ROW()-2,종합!$AB$3:$AB$501,0))&amp;"","")</f>
        <v/>
      </c>
      <c r="J326" s="21" t="str">
        <f aca="false">IFERROR(INDEX(종합!J$3:J$501,MATCH(ROW()-2,종합!$AB$3:$AB$501,0))&amp;"","")</f>
        <v/>
      </c>
      <c r="K326" s="21" t="str">
        <f aca="false">IFERROR(INDEX(종합!K$3:K$501,MATCH(ROW()-2,종합!$AB$3:$AB$501,0))&amp;"","")</f>
        <v/>
      </c>
      <c r="L326" s="21" t="str">
        <f aca="false">IFERROR(INDEX(종합!L$3:L$501,MATCH(ROW()-2,종합!$AB$3:$AB$501,0))&amp;"","")</f>
        <v/>
      </c>
      <c r="M326" s="21" t="str">
        <f aca="false">IFERROR(INDEX(종합!M$3:M$501,MATCH(ROW()-2,종합!$AB$3:$AB$501,0))&amp;"","")</f>
        <v/>
      </c>
      <c r="N326" s="25" t="str">
        <f aca="false">IFERROR(INDEX(종합!N$3:N$501,MATCH(ROW()-2,종합!$AB$3:$AB$501,0))&amp;"","")</f>
        <v/>
      </c>
      <c r="O326" s="21" t="str">
        <f aca="false">IFERROR(INDEX(종합!O$3:O$501,MATCH(ROW()-2,종합!$AB$3:$AB$501,0))&amp;"","")</f>
        <v/>
      </c>
      <c r="P326" s="21" t="str">
        <f aca="false">IFERROR(INDEX(종합!P$3:P$501,MATCH(ROW()-2,종합!$AB$3:$AB$501,0))&amp;"","")</f>
        <v/>
      </c>
      <c r="Q326" s="21" t="str">
        <f aca="false">IFERROR(INDEX(종합!Q$3:Q$501,MATCH(ROW()-2,종합!$AB$3:$AB$501,0))&amp;"","")</f>
        <v/>
      </c>
      <c r="R326" s="21" t="str">
        <f aca="false">IFERROR(INDEX(종합!R$3:R$501,MATCH(ROW()-2,종합!$AB$3:$AB$501,0))&amp;"","")</f>
        <v/>
      </c>
      <c r="S326" s="21" t="str">
        <f aca="false">IFERROR(INDEX(종합!S$3:S$501,MATCH(ROW()-2,종합!$AB$3:$AB$501,0))&amp;"","")</f>
        <v/>
      </c>
      <c r="T326" s="21" t="str">
        <f aca="false">IFERROR(INDEX(종합!T$3:T$501,MATCH(ROW()-2,종합!$AB$3:$AB$501,0))&amp;"","")</f>
        <v/>
      </c>
      <c r="U326" s="21" t="str">
        <f aca="false">IFERROR(INDEX(종합!U$3:U$501,MATCH(ROW()-2,종합!$AB$3:$AB$501,0))&amp;"","")</f>
        <v/>
      </c>
      <c r="V326" s="21" t="str">
        <f aca="false">IFERROR(INDEX(종합!V$3:V$501,MATCH(ROW()-2,종합!$AB$3:$AB$501,0))&amp;"","")</f>
        <v/>
      </c>
      <c r="W326" s="21" t="str">
        <f aca="false">IFERROR(INDEX(종합!W$3:W$501,MATCH(ROW()-2,종합!$AB$3:$AB$501,0))&amp;"","")</f>
        <v/>
      </c>
      <c r="X326" s="21" t="str">
        <f aca="false">IFERROR(INDEX(종합!X$3:X$501,MATCH(ROW()-2,종합!$AB$3:$AB$501,0))&amp;"","")</f>
        <v/>
      </c>
      <c r="Y326" s="21" t="str">
        <f aca="false">IFERROR(INDEX(종합!Y$3:Y$501,MATCH(ROW()-2,종합!$AB$3:$AB$501,0))&amp;"","")</f>
        <v/>
      </c>
      <c r="Z326" s="21" t="str">
        <f aca="false">IFERROR(INDEX(종합!Z$3:Z$501,MATCH(ROW()-2,종합!$AB$3:$AB$501,0))&amp;"","")</f>
        <v/>
      </c>
    </row>
    <row r="327" customFormat="false" ht="16.5" hidden="false" customHeight="true" outlineLevel="0" collapsed="false">
      <c r="A327" s="18" t="str">
        <f aca="false">IF(B327="","",ROW()-2)</f>
        <v/>
      </c>
      <c r="B327" s="18" t="str">
        <f aca="false">IFERROR(INDEX(종합!B$3:B$501,MATCH(ROW()-2,종합!$AB$3:$AB$501,0))&amp;"","")</f>
        <v/>
      </c>
      <c r="C327" s="18" t="str">
        <f aca="false">IFERROR(INDEX(종합!C$3:C$501,MATCH(ROW()-2,종합!$AB$3:$AB$501,0))&amp;"","")</f>
        <v/>
      </c>
      <c r="D327" s="18" t="str">
        <f aca="false">IFERROR(INDEX(종합!D$3:D$501,MATCH(ROW()-2,종합!$AB$3:$AB$501,0))&amp;"","")</f>
        <v/>
      </c>
      <c r="E327" s="18" t="str">
        <f aca="false">IFERROR(INDEX(종합!E$3:E$501,MATCH(ROW()-2,종합!$AB$3:$AB$501,0))&amp;"","")</f>
        <v/>
      </c>
      <c r="F327" s="18" t="str">
        <f aca="false">IFERROR(INDEX(종합!F$3:F$501,MATCH(ROW()-2,종합!$AB$3:$AB$501,0))&amp;"","")</f>
        <v/>
      </c>
      <c r="G327" s="18" t="str">
        <f aca="false">IFERROR(INDEX(종합!G$3:G$501,MATCH(ROW()-2,종합!$AB$3:$AB$501,0))&amp;"","")</f>
        <v/>
      </c>
      <c r="H327" s="21" t="str">
        <f aca="false">IFERROR(INDEX(종합!H$3:H$501,MATCH(ROW()-2,종합!$AB$3:$AB$501,0))&amp;"","")</f>
        <v/>
      </c>
      <c r="I327" s="21" t="str">
        <f aca="false">IFERROR(INDEX(종합!I$3:I$501,MATCH(ROW()-2,종합!$AB$3:$AB$501,0))&amp;"","")</f>
        <v/>
      </c>
      <c r="J327" s="21" t="str">
        <f aca="false">IFERROR(INDEX(종합!J$3:J$501,MATCH(ROW()-2,종합!$AB$3:$AB$501,0))&amp;"","")</f>
        <v/>
      </c>
      <c r="K327" s="21" t="str">
        <f aca="false">IFERROR(INDEX(종합!K$3:K$501,MATCH(ROW()-2,종합!$AB$3:$AB$501,0))&amp;"","")</f>
        <v/>
      </c>
      <c r="L327" s="21" t="str">
        <f aca="false">IFERROR(INDEX(종합!L$3:L$501,MATCH(ROW()-2,종합!$AB$3:$AB$501,0))&amp;"","")</f>
        <v/>
      </c>
      <c r="M327" s="21" t="str">
        <f aca="false">IFERROR(INDEX(종합!M$3:M$501,MATCH(ROW()-2,종합!$AB$3:$AB$501,0))&amp;"","")</f>
        <v/>
      </c>
      <c r="N327" s="25" t="str">
        <f aca="false">IFERROR(INDEX(종합!N$3:N$501,MATCH(ROW()-2,종합!$AB$3:$AB$501,0))&amp;"","")</f>
        <v/>
      </c>
      <c r="O327" s="21" t="str">
        <f aca="false">IFERROR(INDEX(종합!O$3:O$501,MATCH(ROW()-2,종합!$AB$3:$AB$501,0))&amp;"","")</f>
        <v/>
      </c>
      <c r="P327" s="21" t="str">
        <f aca="false">IFERROR(INDEX(종합!P$3:P$501,MATCH(ROW()-2,종합!$AB$3:$AB$501,0))&amp;"","")</f>
        <v/>
      </c>
      <c r="Q327" s="21" t="str">
        <f aca="false">IFERROR(INDEX(종합!Q$3:Q$501,MATCH(ROW()-2,종합!$AB$3:$AB$501,0))&amp;"","")</f>
        <v/>
      </c>
      <c r="R327" s="21" t="str">
        <f aca="false">IFERROR(INDEX(종합!R$3:R$501,MATCH(ROW()-2,종합!$AB$3:$AB$501,0))&amp;"","")</f>
        <v/>
      </c>
      <c r="S327" s="21" t="str">
        <f aca="false">IFERROR(INDEX(종합!S$3:S$501,MATCH(ROW()-2,종합!$AB$3:$AB$501,0))&amp;"","")</f>
        <v/>
      </c>
      <c r="T327" s="21" t="str">
        <f aca="false">IFERROR(INDEX(종합!T$3:T$501,MATCH(ROW()-2,종합!$AB$3:$AB$501,0))&amp;"","")</f>
        <v/>
      </c>
      <c r="U327" s="21" t="str">
        <f aca="false">IFERROR(INDEX(종합!U$3:U$501,MATCH(ROW()-2,종합!$AB$3:$AB$501,0))&amp;"","")</f>
        <v/>
      </c>
      <c r="V327" s="21" t="str">
        <f aca="false">IFERROR(INDEX(종합!V$3:V$501,MATCH(ROW()-2,종합!$AB$3:$AB$501,0))&amp;"","")</f>
        <v/>
      </c>
      <c r="W327" s="21" t="str">
        <f aca="false">IFERROR(INDEX(종합!W$3:W$501,MATCH(ROW()-2,종합!$AB$3:$AB$501,0))&amp;"","")</f>
        <v/>
      </c>
      <c r="X327" s="21" t="str">
        <f aca="false">IFERROR(INDEX(종합!X$3:X$501,MATCH(ROW()-2,종합!$AB$3:$AB$501,0))&amp;"","")</f>
        <v/>
      </c>
      <c r="Y327" s="21" t="str">
        <f aca="false">IFERROR(INDEX(종합!Y$3:Y$501,MATCH(ROW()-2,종합!$AB$3:$AB$501,0))&amp;"","")</f>
        <v/>
      </c>
      <c r="Z327" s="21" t="str">
        <f aca="false">IFERROR(INDEX(종합!Z$3:Z$501,MATCH(ROW()-2,종합!$AB$3:$AB$501,0))&amp;"","")</f>
        <v/>
      </c>
    </row>
    <row r="328" customFormat="false" ht="16.5" hidden="false" customHeight="true" outlineLevel="0" collapsed="false">
      <c r="A328" s="18" t="str">
        <f aca="false">IF(B328="","",ROW()-2)</f>
        <v/>
      </c>
      <c r="B328" s="18" t="str">
        <f aca="false">IFERROR(INDEX(종합!B$3:B$501,MATCH(ROW()-2,종합!$AB$3:$AB$501,0))&amp;"","")</f>
        <v/>
      </c>
      <c r="C328" s="18" t="str">
        <f aca="false">IFERROR(INDEX(종합!C$3:C$501,MATCH(ROW()-2,종합!$AB$3:$AB$501,0))&amp;"","")</f>
        <v/>
      </c>
      <c r="D328" s="18" t="str">
        <f aca="false">IFERROR(INDEX(종합!D$3:D$501,MATCH(ROW()-2,종합!$AB$3:$AB$501,0))&amp;"","")</f>
        <v/>
      </c>
      <c r="E328" s="18" t="str">
        <f aca="false">IFERROR(INDEX(종합!E$3:E$501,MATCH(ROW()-2,종합!$AB$3:$AB$501,0))&amp;"","")</f>
        <v/>
      </c>
      <c r="F328" s="18" t="str">
        <f aca="false">IFERROR(INDEX(종합!F$3:F$501,MATCH(ROW()-2,종합!$AB$3:$AB$501,0))&amp;"","")</f>
        <v/>
      </c>
      <c r="G328" s="18" t="str">
        <f aca="false">IFERROR(INDEX(종합!G$3:G$501,MATCH(ROW()-2,종합!$AB$3:$AB$501,0))&amp;"","")</f>
        <v/>
      </c>
      <c r="H328" s="21" t="str">
        <f aca="false">IFERROR(INDEX(종합!H$3:H$501,MATCH(ROW()-2,종합!$AB$3:$AB$501,0))&amp;"","")</f>
        <v/>
      </c>
      <c r="I328" s="21" t="str">
        <f aca="false">IFERROR(INDEX(종합!I$3:I$501,MATCH(ROW()-2,종합!$AB$3:$AB$501,0))&amp;"","")</f>
        <v/>
      </c>
      <c r="J328" s="21" t="str">
        <f aca="false">IFERROR(INDEX(종합!J$3:J$501,MATCH(ROW()-2,종합!$AB$3:$AB$501,0))&amp;"","")</f>
        <v/>
      </c>
      <c r="K328" s="21" t="str">
        <f aca="false">IFERROR(INDEX(종합!K$3:K$501,MATCH(ROW()-2,종합!$AB$3:$AB$501,0))&amp;"","")</f>
        <v/>
      </c>
      <c r="L328" s="21" t="str">
        <f aca="false">IFERROR(INDEX(종합!L$3:L$501,MATCH(ROW()-2,종합!$AB$3:$AB$501,0))&amp;"","")</f>
        <v/>
      </c>
      <c r="M328" s="21" t="str">
        <f aca="false">IFERROR(INDEX(종합!M$3:M$501,MATCH(ROW()-2,종합!$AB$3:$AB$501,0))&amp;"","")</f>
        <v/>
      </c>
      <c r="N328" s="25" t="str">
        <f aca="false">IFERROR(INDEX(종합!N$3:N$501,MATCH(ROW()-2,종합!$AB$3:$AB$501,0))&amp;"","")</f>
        <v/>
      </c>
      <c r="O328" s="21" t="str">
        <f aca="false">IFERROR(INDEX(종합!O$3:O$501,MATCH(ROW()-2,종합!$AB$3:$AB$501,0))&amp;"","")</f>
        <v/>
      </c>
      <c r="P328" s="21" t="str">
        <f aca="false">IFERROR(INDEX(종합!P$3:P$501,MATCH(ROW()-2,종합!$AB$3:$AB$501,0))&amp;"","")</f>
        <v/>
      </c>
      <c r="Q328" s="21" t="str">
        <f aca="false">IFERROR(INDEX(종합!Q$3:Q$501,MATCH(ROW()-2,종합!$AB$3:$AB$501,0))&amp;"","")</f>
        <v/>
      </c>
      <c r="R328" s="21" t="str">
        <f aca="false">IFERROR(INDEX(종합!R$3:R$501,MATCH(ROW()-2,종합!$AB$3:$AB$501,0))&amp;"","")</f>
        <v/>
      </c>
      <c r="S328" s="21" t="str">
        <f aca="false">IFERROR(INDEX(종합!S$3:S$501,MATCH(ROW()-2,종합!$AB$3:$AB$501,0))&amp;"","")</f>
        <v/>
      </c>
      <c r="T328" s="21" t="str">
        <f aca="false">IFERROR(INDEX(종합!T$3:T$501,MATCH(ROW()-2,종합!$AB$3:$AB$501,0))&amp;"","")</f>
        <v/>
      </c>
      <c r="U328" s="21" t="str">
        <f aca="false">IFERROR(INDEX(종합!U$3:U$501,MATCH(ROW()-2,종합!$AB$3:$AB$501,0))&amp;"","")</f>
        <v/>
      </c>
      <c r="V328" s="21" t="str">
        <f aca="false">IFERROR(INDEX(종합!V$3:V$501,MATCH(ROW()-2,종합!$AB$3:$AB$501,0))&amp;"","")</f>
        <v/>
      </c>
      <c r="W328" s="21" t="str">
        <f aca="false">IFERROR(INDEX(종합!W$3:W$501,MATCH(ROW()-2,종합!$AB$3:$AB$501,0))&amp;"","")</f>
        <v/>
      </c>
      <c r="X328" s="21" t="str">
        <f aca="false">IFERROR(INDEX(종합!X$3:X$501,MATCH(ROW()-2,종합!$AB$3:$AB$501,0))&amp;"","")</f>
        <v/>
      </c>
      <c r="Y328" s="21" t="str">
        <f aca="false">IFERROR(INDEX(종합!Y$3:Y$501,MATCH(ROW()-2,종합!$AB$3:$AB$501,0))&amp;"","")</f>
        <v/>
      </c>
      <c r="Z328" s="21" t="str">
        <f aca="false">IFERROR(INDEX(종합!Z$3:Z$501,MATCH(ROW()-2,종합!$AB$3:$AB$501,0))&amp;"","")</f>
        <v/>
      </c>
    </row>
    <row r="329" customFormat="false" ht="16.5" hidden="false" customHeight="true" outlineLevel="0" collapsed="false">
      <c r="A329" s="18" t="str">
        <f aca="false">IF(B329="","",ROW()-2)</f>
        <v/>
      </c>
      <c r="B329" s="18" t="str">
        <f aca="false">IFERROR(INDEX(종합!B$3:B$501,MATCH(ROW()-2,종합!$AB$3:$AB$501,0))&amp;"","")</f>
        <v/>
      </c>
      <c r="C329" s="18" t="str">
        <f aca="false">IFERROR(INDEX(종합!C$3:C$501,MATCH(ROW()-2,종합!$AB$3:$AB$501,0))&amp;"","")</f>
        <v/>
      </c>
      <c r="D329" s="18" t="str">
        <f aca="false">IFERROR(INDEX(종합!D$3:D$501,MATCH(ROW()-2,종합!$AB$3:$AB$501,0))&amp;"","")</f>
        <v/>
      </c>
      <c r="E329" s="18" t="str">
        <f aca="false">IFERROR(INDEX(종합!E$3:E$501,MATCH(ROW()-2,종합!$AB$3:$AB$501,0))&amp;"","")</f>
        <v/>
      </c>
      <c r="F329" s="18" t="str">
        <f aca="false">IFERROR(INDEX(종합!F$3:F$501,MATCH(ROW()-2,종합!$AB$3:$AB$501,0))&amp;"","")</f>
        <v/>
      </c>
      <c r="G329" s="18" t="str">
        <f aca="false">IFERROR(INDEX(종합!G$3:G$501,MATCH(ROW()-2,종합!$AB$3:$AB$501,0))&amp;"","")</f>
        <v/>
      </c>
      <c r="H329" s="21" t="str">
        <f aca="false">IFERROR(INDEX(종합!H$3:H$501,MATCH(ROW()-2,종합!$AB$3:$AB$501,0))&amp;"","")</f>
        <v/>
      </c>
      <c r="I329" s="21" t="str">
        <f aca="false">IFERROR(INDEX(종합!I$3:I$501,MATCH(ROW()-2,종합!$AB$3:$AB$501,0))&amp;"","")</f>
        <v/>
      </c>
      <c r="J329" s="21" t="str">
        <f aca="false">IFERROR(INDEX(종합!J$3:J$501,MATCH(ROW()-2,종합!$AB$3:$AB$501,0))&amp;"","")</f>
        <v/>
      </c>
      <c r="K329" s="21" t="str">
        <f aca="false">IFERROR(INDEX(종합!K$3:K$501,MATCH(ROW()-2,종합!$AB$3:$AB$501,0))&amp;"","")</f>
        <v/>
      </c>
      <c r="L329" s="21" t="str">
        <f aca="false">IFERROR(INDEX(종합!L$3:L$501,MATCH(ROW()-2,종합!$AB$3:$AB$501,0))&amp;"","")</f>
        <v/>
      </c>
      <c r="M329" s="21" t="str">
        <f aca="false">IFERROR(INDEX(종합!M$3:M$501,MATCH(ROW()-2,종합!$AB$3:$AB$501,0))&amp;"","")</f>
        <v/>
      </c>
      <c r="N329" s="25" t="str">
        <f aca="false">IFERROR(INDEX(종합!N$3:N$501,MATCH(ROW()-2,종합!$AB$3:$AB$501,0))&amp;"","")</f>
        <v/>
      </c>
      <c r="O329" s="21" t="str">
        <f aca="false">IFERROR(INDEX(종합!O$3:O$501,MATCH(ROW()-2,종합!$AB$3:$AB$501,0))&amp;"","")</f>
        <v/>
      </c>
      <c r="P329" s="21" t="str">
        <f aca="false">IFERROR(INDEX(종합!P$3:P$501,MATCH(ROW()-2,종합!$AB$3:$AB$501,0))&amp;"","")</f>
        <v/>
      </c>
      <c r="Q329" s="21" t="str">
        <f aca="false">IFERROR(INDEX(종합!Q$3:Q$501,MATCH(ROW()-2,종합!$AB$3:$AB$501,0))&amp;"","")</f>
        <v/>
      </c>
      <c r="R329" s="21" t="str">
        <f aca="false">IFERROR(INDEX(종합!R$3:R$501,MATCH(ROW()-2,종합!$AB$3:$AB$501,0))&amp;"","")</f>
        <v/>
      </c>
      <c r="S329" s="21" t="str">
        <f aca="false">IFERROR(INDEX(종합!S$3:S$501,MATCH(ROW()-2,종합!$AB$3:$AB$501,0))&amp;"","")</f>
        <v/>
      </c>
      <c r="T329" s="21" t="str">
        <f aca="false">IFERROR(INDEX(종합!T$3:T$501,MATCH(ROW()-2,종합!$AB$3:$AB$501,0))&amp;"","")</f>
        <v/>
      </c>
      <c r="U329" s="21" t="str">
        <f aca="false">IFERROR(INDEX(종합!U$3:U$501,MATCH(ROW()-2,종합!$AB$3:$AB$501,0))&amp;"","")</f>
        <v/>
      </c>
      <c r="V329" s="21" t="str">
        <f aca="false">IFERROR(INDEX(종합!V$3:V$501,MATCH(ROW()-2,종합!$AB$3:$AB$501,0))&amp;"","")</f>
        <v/>
      </c>
      <c r="W329" s="21" t="str">
        <f aca="false">IFERROR(INDEX(종합!W$3:W$501,MATCH(ROW()-2,종합!$AB$3:$AB$501,0))&amp;"","")</f>
        <v/>
      </c>
      <c r="X329" s="21" t="str">
        <f aca="false">IFERROR(INDEX(종합!X$3:X$501,MATCH(ROW()-2,종합!$AB$3:$AB$501,0))&amp;"","")</f>
        <v/>
      </c>
      <c r="Y329" s="21" t="str">
        <f aca="false">IFERROR(INDEX(종합!Y$3:Y$501,MATCH(ROW()-2,종합!$AB$3:$AB$501,0))&amp;"","")</f>
        <v/>
      </c>
      <c r="Z329" s="21" t="str">
        <f aca="false">IFERROR(INDEX(종합!Z$3:Z$501,MATCH(ROW()-2,종합!$AB$3:$AB$501,0))&amp;"","")</f>
        <v/>
      </c>
    </row>
    <row r="330" customFormat="false" ht="16.5" hidden="false" customHeight="true" outlineLevel="0" collapsed="false">
      <c r="A330" s="18" t="str">
        <f aca="false">IF(B330="","",ROW()-2)</f>
        <v/>
      </c>
      <c r="B330" s="18" t="str">
        <f aca="false">IFERROR(INDEX(종합!B$3:B$501,MATCH(ROW()-2,종합!$AB$3:$AB$501,0))&amp;"","")</f>
        <v/>
      </c>
      <c r="C330" s="18" t="str">
        <f aca="false">IFERROR(INDEX(종합!C$3:C$501,MATCH(ROW()-2,종합!$AB$3:$AB$501,0))&amp;"","")</f>
        <v/>
      </c>
      <c r="D330" s="18" t="str">
        <f aca="false">IFERROR(INDEX(종합!D$3:D$501,MATCH(ROW()-2,종합!$AB$3:$AB$501,0))&amp;"","")</f>
        <v/>
      </c>
      <c r="E330" s="18" t="str">
        <f aca="false">IFERROR(INDEX(종합!E$3:E$501,MATCH(ROW()-2,종합!$AB$3:$AB$501,0))&amp;"","")</f>
        <v/>
      </c>
      <c r="F330" s="18" t="str">
        <f aca="false">IFERROR(INDEX(종합!F$3:F$501,MATCH(ROW()-2,종합!$AB$3:$AB$501,0))&amp;"","")</f>
        <v/>
      </c>
      <c r="G330" s="18" t="str">
        <f aca="false">IFERROR(INDEX(종합!G$3:G$501,MATCH(ROW()-2,종합!$AB$3:$AB$501,0))&amp;"","")</f>
        <v/>
      </c>
      <c r="H330" s="21" t="str">
        <f aca="false">IFERROR(INDEX(종합!H$3:H$501,MATCH(ROW()-2,종합!$AB$3:$AB$501,0))&amp;"","")</f>
        <v/>
      </c>
      <c r="I330" s="21" t="str">
        <f aca="false">IFERROR(INDEX(종합!I$3:I$501,MATCH(ROW()-2,종합!$AB$3:$AB$501,0))&amp;"","")</f>
        <v/>
      </c>
      <c r="J330" s="21" t="str">
        <f aca="false">IFERROR(INDEX(종합!J$3:J$501,MATCH(ROW()-2,종합!$AB$3:$AB$501,0))&amp;"","")</f>
        <v/>
      </c>
      <c r="K330" s="21" t="str">
        <f aca="false">IFERROR(INDEX(종합!K$3:K$501,MATCH(ROW()-2,종합!$AB$3:$AB$501,0))&amp;"","")</f>
        <v/>
      </c>
      <c r="L330" s="21" t="str">
        <f aca="false">IFERROR(INDEX(종합!L$3:L$501,MATCH(ROW()-2,종합!$AB$3:$AB$501,0))&amp;"","")</f>
        <v/>
      </c>
      <c r="M330" s="21" t="str">
        <f aca="false">IFERROR(INDEX(종합!M$3:M$501,MATCH(ROW()-2,종합!$AB$3:$AB$501,0))&amp;"","")</f>
        <v/>
      </c>
      <c r="N330" s="25" t="str">
        <f aca="false">IFERROR(INDEX(종합!N$3:N$501,MATCH(ROW()-2,종합!$AB$3:$AB$501,0))&amp;"","")</f>
        <v/>
      </c>
      <c r="O330" s="21" t="str">
        <f aca="false">IFERROR(INDEX(종합!O$3:O$501,MATCH(ROW()-2,종합!$AB$3:$AB$501,0))&amp;"","")</f>
        <v/>
      </c>
      <c r="P330" s="21" t="str">
        <f aca="false">IFERROR(INDEX(종합!P$3:P$501,MATCH(ROW()-2,종합!$AB$3:$AB$501,0))&amp;"","")</f>
        <v/>
      </c>
      <c r="Q330" s="21" t="str">
        <f aca="false">IFERROR(INDEX(종합!Q$3:Q$501,MATCH(ROW()-2,종합!$AB$3:$AB$501,0))&amp;"","")</f>
        <v/>
      </c>
      <c r="R330" s="21" t="str">
        <f aca="false">IFERROR(INDEX(종합!R$3:R$501,MATCH(ROW()-2,종합!$AB$3:$AB$501,0))&amp;"","")</f>
        <v/>
      </c>
      <c r="S330" s="21" t="str">
        <f aca="false">IFERROR(INDEX(종합!S$3:S$501,MATCH(ROW()-2,종합!$AB$3:$AB$501,0))&amp;"","")</f>
        <v/>
      </c>
      <c r="T330" s="21" t="str">
        <f aca="false">IFERROR(INDEX(종합!T$3:T$501,MATCH(ROW()-2,종합!$AB$3:$AB$501,0))&amp;"","")</f>
        <v/>
      </c>
      <c r="U330" s="21" t="str">
        <f aca="false">IFERROR(INDEX(종합!U$3:U$501,MATCH(ROW()-2,종합!$AB$3:$AB$501,0))&amp;"","")</f>
        <v/>
      </c>
      <c r="V330" s="21" t="str">
        <f aca="false">IFERROR(INDEX(종합!V$3:V$501,MATCH(ROW()-2,종합!$AB$3:$AB$501,0))&amp;"","")</f>
        <v/>
      </c>
      <c r="W330" s="21" t="str">
        <f aca="false">IFERROR(INDEX(종합!W$3:W$501,MATCH(ROW()-2,종합!$AB$3:$AB$501,0))&amp;"","")</f>
        <v/>
      </c>
      <c r="X330" s="21" t="str">
        <f aca="false">IFERROR(INDEX(종합!X$3:X$501,MATCH(ROW()-2,종합!$AB$3:$AB$501,0))&amp;"","")</f>
        <v/>
      </c>
      <c r="Y330" s="21" t="str">
        <f aca="false">IFERROR(INDEX(종합!Y$3:Y$501,MATCH(ROW()-2,종합!$AB$3:$AB$501,0))&amp;"","")</f>
        <v/>
      </c>
      <c r="Z330" s="21" t="str">
        <f aca="false">IFERROR(INDEX(종합!Z$3:Z$501,MATCH(ROW()-2,종합!$AB$3:$AB$501,0))&amp;"","")</f>
        <v/>
      </c>
    </row>
    <row r="331" customFormat="false" ht="16.5" hidden="false" customHeight="true" outlineLevel="0" collapsed="false">
      <c r="A331" s="18" t="str">
        <f aca="false">IF(B331="","",ROW()-2)</f>
        <v/>
      </c>
      <c r="B331" s="18" t="str">
        <f aca="false">IFERROR(INDEX(종합!B$3:B$501,MATCH(ROW()-2,종합!$AB$3:$AB$501,0))&amp;"","")</f>
        <v/>
      </c>
      <c r="C331" s="18" t="str">
        <f aca="false">IFERROR(INDEX(종합!C$3:C$501,MATCH(ROW()-2,종합!$AB$3:$AB$501,0))&amp;"","")</f>
        <v/>
      </c>
      <c r="D331" s="18" t="str">
        <f aca="false">IFERROR(INDEX(종합!D$3:D$501,MATCH(ROW()-2,종합!$AB$3:$AB$501,0))&amp;"","")</f>
        <v/>
      </c>
      <c r="E331" s="18" t="str">
        <f aca="false">IFERROR(INDEX(종합!E$3:E$501,MATCH(ROW()-2,종합!$AB$3:$AB$501,0))&amp;"","")</f>
        <v/>
      </c>
      <c r="F331" s="18" t="str">
        <f aca="false">IFERROR(INDEX(종합!F$3:F$501,MATCH(ROW()-2,종합!$AB$3:$AB$501,0))&amp;"","")</f>
        <v/>
      </c>
      <c r="G331" s="18" t="str">
        <f aca="false">IFERROR(INDEX(종합!G$3:G$501,MATCH(ROW()-2,종합!$AB$3:$AB$501,0))&amp;"","")</f>
        <v/>
      </c>
      <c r="H331" s="21" t="str">
        <f aca="false">IFERROR(INDEX(종합!H$3:H$501,MATCH(ROW()-2,종합!$AB$3:$AB$501,0))&amp;"","")</f>
        <v/>
      </c>
      <c r="I331" s="21" t="str">
        <f aca="false">IFERROR(INDEX(종합!I$3:I$501,MATCH(ROW()-2,종합!$AB$3:$AB$501,0))&amp;"","")</f>
        <v/>
      </c>
      <c r="J331" s="21" t="str">
        <f aca="false">IFERROR(INDEX(종합!J$3:J$501,MATCH(ROW()-2,종합!$AB$3:$AB$501,0))&amp;"","")</f>
        <v/>
      </c>
      <c r="K331" s="21" t="str">
        <f aca="false">IFERROR(INDEX(종합!K$3:K$501,MATCH(ROW()-2,종합!$AB$3:$AB$501,0))&amp;"","")</f>
        <v/>
      </c>
      <c r="L331" s="21" t="str">
        <f aca="false">IFERROR(INDEX(종합!L$3:L$501,MATCH(ROW()-2,종합!$AB$3:$AB$501,0))&amp;"","")</f>
        <v/>
      </c>
      <c r="M331" s="21" t="str">
        <f aca="false">IFERROR(INDEX(종합!M$3:M$501,MATCH(ROW()-2,종합!$AB$3:$AB$501,0))&amp;"","")</f>
        <v/>
      </c>
      <c r="N331" s="25" t="str">
        <f aca="false">IFERROR(INDEX(종합!N$3:N$501,MATCH(ROW()-2,종합!$AB$3:$AB$501,0))&amp;"","")</f>
        <v/>
      </c>
      <c r="O331" s="21" t="str">
        <f aca="false">IFERROR(INDEX(종합!O$3:O$501,MATCH(ROW()-2,종합!$AB$3:$AB$501,0))&amp;"","")</f>
        <v/>
      </c>
      <c r="P331" s="21" t="str">
        <f aca="false">IFERROR(INDEX(종합!P$3:P$501,MATCH(ROW()-2,종합!$AB$3:$AB$501,0))&amp;"","")</f>
        <v/>
      </c>
      <c r="Q331" s="21" t="str">
        <f aca="false">IFERROR(INDEX(종합!Q$3:Q$501,MATCH(ROW()-2,종합!$AB$3:$AB$501,0))&amp;"","")</f>
        <v/>
      </c>
      <c r="R331" s="21" t="str">
        <f aca="false">IFERROR(INDEX(종합!R$3:R$501,MATCH(ROW()-2,종합!$AB$3:$AB$501,0))&amp;"","")</f>
        <v/>
      </c>
      <c r="S331" s="21" t="str">
        <f aca="false">IFERROR(INDEX(종합!S$3:S$501,MATCH(ROW()-2,종합!$AB$3:$AB$501,0))&amp;"","")</f>
        <v/>
      </c>
      <c r="T331" s="21" t="str">
        <f aca="false">IFERROR(INDEX(종합!T$3:T$501,MATCH(ROW()-2,종합!$AB$3:$AB$501,0))&amp;"","")</f>
        <v/>
      </c>
      <c r="U331" s="21" t="str">
        <f aca="false">IFERROR(INDEX(종합!U$3:U$501,MATCH(ROW()-2,종합!$AB$3:$AB$501,0))&amp;"","")</f>
        <v/>
      </c>
      <c r="V331" s="21" t="str">
        <f aca="false">IFERROR(INDEX(종합!V$3:V$501,MATCH(ROW()-2,종합!$AB$3:$AB$501,0))&amp;"","")</f>
        <v/>
      </c>
      <c r="W331" s="21" t="str">
        <f aca="false">IFERROR(INDEX(종합!W$3:W$501,MATCH(ROW()-2,종합!$AB$3:$AB$501,0))&amp;"","")</f>
        <v/>
      </c>
      <c r="X331" s="21" t="str">
        <f aca="false">IFERROR(INDEX(종합!X$3:X$501,MATCH(ROW()-2,종합!$AB$3:$AB$501,0))&amp;"","")</f>
        <v/>
      </c>
      <c r="Y331" s="21" t="str">
        <f aca="false">IFERROR(INDEX(종합!Y$3:Y$501,MATCH(ROW()-2,종합!$AB$3:$AB$501,0))&amp;"","")</f>
        <v/>
      </c>
      <c r="Z331" s="21" t="str">
        <f aca="false">IFERROR(INDEX(종합!Z$3:Z$501,MATCH(ROW()-2,종합!$AB$3:$AB$501,0))&amp;"","")</f>
        <v/>
      </c>
    </row>
    <row r="332" customFormat="false" ht="16.5" hidden="false" customHeight="true" outlineLevel="0" collapsed="false">
      <c r="A332" s="18" t="str">
        <f aca="false">IF(B332="","",ROW()-2)</f>
        <v/>
      </c>
      <c r="B332" s="18" t="str">
        <f aca="false">IFERROR(INDEX(종합!B$3:B$501,MATCH(ROW()-2,종합!$AB$3:$AB$501,0))&amp;"","")</f>
        <v/>
      </c>
      <c r="C332" s="18" t="str">
        <f aca="false">IFERROR(INDEX(종합!C$3:C$501,MATCH(ROW()-2,종합!$AB$3:$AB$501,0))&amp;"","")</f>
        <v/>
      </c>
      <c r="D332" s="18" t="str">
        <f aca="false">IFERROR(INDEX(종합!D$3:D$501,MATCH(ROW()-2,종합!$AB$3:$AB$501,0))&amp;"","")</f>
        <v/>
      </c>
      <c r="E332" s="18" t="str">
        <f aca="false">IFERROR(INDEX(종합!E$3:E$501,MATCH(ROW()-2,종합!$AB$3:$AB$501,0))&amp;"","")</f>
        <v/>
      </c>
      <c r="F332" s="18" t="str">
        <f aca="false">IFERROR(INDEX(종합!F$3:F$501,MATCH(ROW()-2,종합!$AB$3:$AB$501,0))&amp;"","")</f>
        <v/>
      </c>
      <c r="G332" s="18" t="str">
        <f aca="false">IFERROR(INDEX(종합!G$3:G$501,MATCH(ROW()-2,종합!$AB$3:$AB$501,0))&amp;"","")</f>
        <v/>
      </c>
      <c r="H332" s="21" t="str">
        <f aca="false">IFERROR(INDEX(종합!H$3:H$501,MATCH(ROW()-2,종합!$AB$3:$AB$501,0))&amp;"","")</f>
        <v/>
      </c>
      <c r="I332" s="21" t="str">
        <f aca="false">IFERROR(INDEX(종합!I$3:I$501,MATCH(ROW()-2,종합!$AB$3:$AB$501,0))&amp;"","")</f>
        <v/>
      </c>
      <c r="J332" s="21" t="str">
        <f aca="false">IFERROR(INDEX(종합!J$3:J$501,MATCH(ROW()-2,종합!$AB$3:$AB$501,0))&amp;"","")</f>
        <v/>
      </c>
      <c r="K332" s="21" t="str">
        <f aca="false">IFERROR(INDEX(종합!K$3:K$501,MATCH(ROW()-2,종합!$AB$3:$AB$501,0))&amp;"","")</f>
        <v/>
      </c>
      <c r="L332" s="21" t="str">
        <f aca="false">IFERROR(INDEX(종합!L$3:L$501,MATCH(ROW()-2,종합!$AB$3:$AB$501,0))&amp;"","")</f>
        <v/>
      </c>
      <c r="M332" s="21" t="str">
        <f aca="false">IFERROR(INDEX(종합!M$3:M$501,MATCH(ROW()-2,종합!$AB$3:$AB$501,0))&amp;"","")</f>
        <v/>
      </c>
      <c r="N332" s="25" t="str">
        <f aca="false">IFERROR(INDEX(종합!N$3:N$501,MATCH(ROW()-2,종합!$AB$3:$AB$501,0))&amp;"","")</f>
        <v/>
      </c>
      <c r="O332" s="21" t="str">
        <f aca="false">IFERROR(INDEX(종합!O$3:O$501,MATCH(ROW()-2,종합!$AB$3:$AB$501,0))&amp;"","")</f>
        <v/>
      </c>
      <c r="P332" s="21" t="str">
        <f aca="false">IFERROR(INDEX(종합!P$3:P$501,MATCH(ROW()-2,종합!$AB$3:$AB$501,0))&amp;"","")</f>
        <v/>
      </c>
      <c r="Q332" s="21" t="str">
        <f aca="false">IFERROR(INDEX(종합!Q$3:Q$501,MATCH(ROW()-2,종합!$AB$3:$AB$501,0))&amp;"","")</f>
        <v/>
      </c>
      <c r="R332" s="21" t="str">
        <f aca="false">IFERROR(INDEX(종합!R$3:R$501,MATCH(ROW()-2,종합!$AB$3:$AB$501,0))&amp;"","")</f>
        <v/>
      </c>
      <c r="S332" s="21" t="str">
        <f aca="false">IFERROR(INDEX(종합!S$3:S$501,MATCH(ROW()-2,종합!$AB$3:$AB$501,0))&amp;"","")</f>
        <v/>
      </c>
      <c r="T332" s="21" t="str">
        <f aca="false">IFERROR(INDEX(종합!T$3:T$501,MATCH(ROW()-2,종합!$AB$3:$AB$501,0))&amp;"","")</f>
        <v/>
      </c>
      <c r="U332" s="21" t="str">
        <f aca="false">IFERROR(INDEX(종합!U$3:U$501,MATCH(ROW()-2,종합!$AB$3:$AB$501,0))&amp;"","")</f>
        <v/>
      </c>
      <c r="V332" s="21" t="str">
        <f aca="false">IFERROR(INDEX(종합!V$3:V$501,MATCH(ROW()-2,종합!$AB$3:$AB$501,0))&amp;"","")</f>
        <v/>
      </c>
      <c r="W332" s="21" t="str">
        <f aca="false">IFERROR(INDEX(종합!W$3:W$501,MATCH(ROW()-2,종합!$AB$3:$AB$501,0))&amp;"","")</f>
        <v/>
      </c>
      <c r="X332" s="21" t="str">
        <f aca="false">IFERROR(INDEX(종합!X$3:X$501,MATCH(ROW()-2,종합!$AB$3:$AB$501,0))&amp;"","")</f>
        <v/>
      </c>
      <c r="Y332" s="21" t="str">
        <f aca="false">IFERROR(INDEX(종합!Y$3:Y$501,MATCH(ROW()-2,종합!$AB$3:$AB$501,0))&amp;"","")</f>
        <v/>
      </c>
      <c r="Z332" s="21" t="str">
        <f aca="false">IFERROR(INDEX(종합!Z$3:Z$501,MATCH(ROW()-2,종합!$AB$3:$AB$501,0))&amp;"","")</f>
        <v/>
      </c>
    </row>
    <row r="333" customFormat="false" ht="16.5" hidden="false" customHeight="true" outlineLevel="0" collapsed="false">
      <c r="A333" s="18" t="str">
        <f aca="false">IF(B333="","",ROW()-2)</f>
        <v/>
      </c>
      <c r="B333" s="18" t="str">
        <f aca="false">IFERROR(INDEX(종합!B$3:B$501,MATCH(ROW()-2,종합!$AB$3:$AB$501,0))&amp;"","")</f>
        <v/>
      </c>
      <c r="C333" s="18" t="str">
        <f aca="false">IFERROR(INDEX(종합!C$3:C$501,MATCH(ROW()-2,종합!$AB$3:$AB$501,0))&amp;"","")</f>
        <v/>
      </c>
      <c r="D333" s="18" t="str">
        <f aca="false">IFERROR(INDEX(종합!D$3:D$501,MATCH(ROW()-2,종합!$AB$3:$AB$501,0))&amp;"","")</f>
        <v/>
      </c>
      <c r="E333" s="18" t="str">
        <f aca="false">IFERROR(INDEX(종합!E$3:E$501,MATCH(ROW()-2,종합!$AB$3:$AB$501,0))&amp;"","")</f>
        <v/>
      </c>
      <c r="F333" s="18" t="str">
        <f aca="false">IFERROR(INDEX(종합!F$3:F$501,MATCH(ROW()-2,종합!$AB$3:$AB$501,0))&amp;"","")</f>
        <v/>
      </c>
      <c r="G333" s="18" t="str">
        <f aca="false">IFERROR(INDEX(종합!G$3:G$501,MATCH(ROW()-2,종합!$AB$3:$AB$501,0))&amp;"","")</f>
        <v/>
      </c>
      <c r="H333" s="21" t="str">
        <f aca="false">IFERROR(INDEX(종합!H$3:H$501,MATCH(ROW()-2,종합!$AB$3:$AB$501,0))&amp;"","")</f>
        <v/>
      </c>
      <c r="I333" s="21" t="str">
        <f aca="false">IFERROR(INDEX(종합!I$3:I$501,MATCH(ROW()-2,종합!$AB$3:$AB$501,0))&amp;"","")</f>
        <v/>
      </c>
      <c r="J333" s="21" t="str">
        <f aca="false">IFERROR(INDEX(종합!J$3:J$501,MATCH(ROW()-2,종합!$AB$3:$AB$501,0))&amp;"","")</f>
        <v/>
      </c>
      <c r="K333" s="21" t="str">
        <f aca="false">IFERROR(INDEX(종합!K$3:K$501,MATCH(ROW()-2,종합!$AB$3:$AB$501,0))&amp;"","")</f>
        <v/>
      </c>
      <c r="L333" s="21" t="str">
        <f aca="false">IFERROR(INDEX(종합!L$3:L$501,MATCH(ROW()-2,종합!$AB$3:$AB$501,0))&amp;"","")</f>
        <v/>
      </c>
      <c r="M333" s="21" t="str">
        <f aca="false">IFERROR(INDEX(종합!M$3:M$501,MATCH(ROW()-2,종합!$AB$3:$AB$501,0))&amp;"","")</f>
        <v/>
      </c>
      <c r="N333" s="25" t="str">
        <f aca="false">IFERROR(INDEX(종합!N$3:N$501,MATCH(ROW()-2,종합!$AB$3:$AB$501,0))&amp;"","")</f>
        <v/>
      </c>
      <c r="O333" s="21" t="str">
        <f aca="false">IFERROR(INDEX(종합!O$3:O$501,MATCH(ROW()-2,종합!$AB$3:$AB$501,0))&amp;"","")</f>
        <v/>
      </c>
      <c r="P333" s="21" t="str">
        <f aca="false">IFERROR(INDEX(종합!P$3:P$501,MATCH(ROW()-2,종합!$AB$3:$AB$501,0))&amp;"","")</f>
        <v/>
      </c>
      <c r="Q333" s="21" t="str">
        <f aca="false">IFERROR(INDEX(종합!Q$3:Q$501,MATCH(ROW()-2,종합!$AB$3:$AB$501,0))&amp;"","")</f>
        <v/>
      </c>
      <c r="R333" s="21" t="str">
        <f aca="false">IFERROR(INDEX(종합!R$3:R$501,MATCH(ROW()-2,종합!$AB$3:$AB$501,0))&amp;"","")</f>
        <v/>
      </c>
      <c r="S333" s="21" t="str">
        <f aca="false">IFERROR(INDEX(종합!S$3:S$501,MATCH(ROW()-2,종합!$AB$3:$AB$501,0))&amp;"","")</f>
        <v/>
      </c>
      <c r="T333" s="21" t="str">
        <f aca="false">IFERROR(INDEX(종합!T$3:T$501,MATCH(ROW()-2,종합!$AB$3:$AB$501,0))&amp;"","")</f>
        <v/>
      </c>
      <c r="U333" s="21" t="str">
        <f aca="false">IFERROR(INDEX(종합!U$3:U$501,MATCH(ROW()-2,종합!$AB$3:$AB$501,0))&amp;"","")</f>
        <v/>
      </c>
      <c r="V333" s="21" t="str">
        <f aca="false">IFERROR(INDEX(종합!V$3:V$501,MATCH(ROW()-2,종합!$AB$3:$AB$501,0))&amp;"","")</f>
        <v/>
      </c>
      <c r="W333" s="21" t="str">
        <f aca="false">IFERROR(INDEX(종합!W$3:W$501,MATCH(ROW()-2,종합!$AB$3:$AB$501,0))&amp;"","")</f>
        <v/>
      </c>
      <c r="X333" s="21" t="str">
        <f aca="false">IFERROR(INDEX(종합!X$3:X$501,MATCH(ROW()-2,종합!$AB$3:$AB$501,0))&amp;"","")</f>
        <v/>
      </c>
      <c r="Y333" s="21" t="str">
        <f aca="false">IFERROR(INDEX(종합!Y$3:Y$501,MATCH(ROW()-2,종합!$AB$3:$AB$501,0))&amp;"","")</f>
        <v/>
      </c>
      <c r="Z333" s="21" t="str">
        <f aca="false">IFERROR(INDEX(종합!Z$3:Z$501,MATCH(ROW()-2,종합!$AB$3:$AB$501,0))&amp;"","")</f>
        <v/>
      </c>
    </row>
    <row r="334" customFormat="false" ht="16.5" hidden="false" customHeight="true" outlineLevel="0" collapsed="false">
      <c r="A334" s="18" t="str">
        <f aca="false">IF(B334="","",ROW()-2)</f>
        <v/>
      </c>
      <c r="B334" s="18" t="str">
        <f aca="false">IFERROR(INDEX(종합!B$3:B$501,MATCH(ROW()-2,종합!$AB$3:$AB$501,0))&amp;"","")</f>
        <v/>
      </c>
      <c r="C334" s="18" t="str">
        <f aca="false">IFERROR(INDEX(종합!C$3:C$501,MATCH(ROW()-2,종합!$AB$3:$AB$501,0))&amp;"","")</f>
        <v/>
      </c>
      <c r="D334" s="18" t="str">
        <f aca="false">IFERROR(INDEX(종합!D$3:D$501,MATCH(ROW()-2,종합!$AB$3:$AB$501,0))&amp;"","")</f>
        <v/>
      </c>
      <c r="E334" s="18" t="str">
        <f aca="false">IFERROR(INDEX(종합!E$3:E$501,MATCH(ROW()-2,종합!$AB$3:$AB$501,0))&amp;"","")</f>
        <v/>
      </c>
      <c r="F334" s="18" t="str">
        <f aca="false">IFERROR(INDEX(종합!F$3:F$501,MATCH(ROW()-2,종합!$AB$3:$AB$501,0))&amp;"","")</f>
        <v/>
      </c>
      <c r="G334" s="18" t="str">
        <f aca="false">IFERROR(INDEX(종합!G$3:G$501,MATCH(ROW()-2,종합!$AB$3:$AB$501,0))&amp;"","")</f>
        <v/>
      </c>
      <c r="H334" s="21" t="str">
        <f aca="false">IFERROR(INDEX(종합!H$3:H$501,MATCH(ROW()-2,종합!$AB$3:$AB$501,0))&amp;"","")</f>
        <v/>
      </c>
      <c r="I334" s="21" t="str">
        <f aca="false">IFERROR(INDEX(종합!I$3:I$501,MATCH(ROW()-2,종합!$AB$3:$AB$501,0))&amp;"","")</f>
        <v/>
      </c>
      <c r="J334" s="21" t="str">
        <f aca="false">IFERROR(INDEX(종합!J$3:J$501,MATCH(ROW()-2,종합!$AB$3:$AB$501,0))&amp;"","")</f>
        <v/>
      </c>
      <c r="K334" s="21" t="str">
        <f aca="false">IFERROR(INDEX(종합!K$3:K$501,MATCH(ROW()-2,종합!$AB$3:$AB$501,0))&amp;"","")</f>
        <v/>
      </c>
      <c r="L334" s="21" t="str">
        <f aca="false">IFERROR(INDEX(종합!L$3:L$501,MATCH(ROW()-2,종합!$AB$3:$AB$501,0))&amp;"","")</f>
        <v/>
      </c>
      <c r="M334" s="21" t="str">
        <f aca="false">IFERROR(INDEX(종합!M$3:M$501,MATCH(ROW()-2,종합!$AB$3:$AB$501,0))&amp;"","")</f>
        <v/>
      </c>
      <c r="N334" s="25" t="str">
        <f aca="false">IFERROR(INDEX(종합!N$3:N$501,MATCH(ROW()-2,종합!$AB$3:$AB$501,0))&amp;"","")</f>
        <v/>
      </c>
      <c r="O334" s="21" t="str">
        <f aca="false">IFERROR(INDEX(종합!O$3:O$501,MATCH(ROW()-2,종합!$AB$3:$AB$501,0))&amp;"","")</f>
        <v/>
      </c>
      <c r="P334" s="21" t="str">
        <f aca="false">IFERROR(INDEX(종합!P$3:P$501,MATCH(ROW()-2,종합!$AB$3:$AB$501,0))&amp;"","")</f>
        <v/>
      </c>
      <c r="Q334" s="21" t="str">
        <f aca="false">IFERROR(INDEX(종합!Q$3:Q$501,MATCH(ROW()-2,종합!$AB$3:$AB$501,0))&amp;"","")</f>
        <v/>
      </c>
      <c r="R334" s="21" t="str">
        <f aca="false">IFERROR(INDEX(종합!R$3:R$501,MATCH(ROW()-2,종합!$AB$3:$AB$501,0))&amp;"","")</f>
        <v/>
      </c>
      <c r="S334" s="21" t="str">
        <f aca="false">IFERROR(INDEX(종합!S$3:S$501,MATCH(ROW()-2,종합!$AB$3:$AB$501,0))&amp;"","")</f>
        <v/>
      </c>
      <c r="T334" s="21" t="str">
        <f aca="false">IFERROR(INDEX(종합!T$3:T$501,MATCH(ROW()-2,종합!$AB$3:$AB$501,0))&amp;"","")</f>
        <v/>
      </c>
      <c r="U334" s="21" t="str">
        <f aca="false">IFERROR(INDEX(종합!U$3:U$501,MATCH(ROW()-2,종합!$AB$3:$AB$501,0))&amp;"","")</f>
        <v/>
      </c>
      <c r="V334" s="21" t="str">
        <f aca="false">IFERROR(INDEX(종합!V$3:V$501,MATCH(ROW()-2,종합!$AB$3:$AB$501,0))&amp;"","")</f>
        <v/>
      </c>
      <c r="W334" s="21" t="str">
        <f aca="false">IFERROR(INDEX(종합!W$3:W$501,MATCH(ROW()-2,종합!$AB$3:$AB$501,0))&amp;"","")</f>
        <v/>
      </c>
      <c r="X334" s="21" t="str">
        <f aca="false">IFERROR(INDEX(종합!X$3:X$501,MATCH(ROW()-2,종합!$AB$3:$AB$501,0))&amp;"","")</f>
        <v/>
      </c>
      <c r="Y334" s="21" t="str">
        <f aca="false">IFERROR(INDEX(종합!Y$3:Y$501,MATCH(ROW()-2,종합!$AB$3:$AB$501,0))&amp;"","")</f>
        <v/>
      </c>
      <c r="Z334" s="21" t="str">
        <f aca="false">IFERROR(INDEX(종합!Z$3:Z$501,MATCH(ROW()-2,종합!$AB$3:$AB$501,0))&amp;"","")</f>
        <v/>
      </c>
    </row>
    <row r="335" customFormat="false" ht="16.5" hidden="false" customHeight="true" outlineLevel="0" collapsed="false">
      <c r="A335" s="18" t="str">
        <f aca="false">IF(B335="","",ROW()-2)</f>
        <v/>
      </c>
      <c r="B335" s="18" t="str">
        <f aca="false">IFERROR(INDEX(종합!B$3:B$501,MATCH(ROW()-2,종합!$AB$3:$AB$501,0))&amp;"","")</f>
        <v/>
      </c>
      <c r="C335" s="18" t="str">
        <f aca="false">IFERROR(INDEX(종합!C$3:C$501,MATCH(ROW()-2,종합!$AB$3:$AB$501,0))&amp;"","")</f>
        <v/>
      </c>
      <c r="D335" s="18" t="str">
        <f aca="false">IFERROR(INDEX(종합!D$3:D$501,MATCH(ROW()-2,종합!$AB$3:$AB$501,0))&amp;"","")</f>
        <v/>
      </c>
      <c r="E335" s="18" t="str">
        <f aca="false">IFERROR(INDEX(종합!E$3:E$501,MATCH(ROW()-2,종합!$AB$3:$AB$501,0))&amp;"","")</f>
        <v/>
      </c>
      <c r="F335" s="18" t="str">
        <f aca="false">IFERROR(INDEX(종합!F$3:F$501,MATCH(ROW()-2,종합!$AB$3:$AB$501,0))&amp;"","")</f>
        <v/>
      </c>
      <c r="G335" s="18" t="str">
        <f aca="false">IFERROR(INDEX(종합!G$3:G$501,MATCH(ROW()-2,종합!$AB$3:$AB$501,0))&amp;"","")</f>
        <v/>
      </c>
      <c r="H335" s="21" t="str">
        <f aca="false">IFERROR(INDEX(종합!H$3:H$501,MATCH(ROW()-2,종합!$AB$3:$AB$501,0))&amp;"","")</f>
        <v/>
      </c>
      <c r="I335" s="21" t="str">
        <f aca="false">IFERROR(INDEX(종합!I$3:I$501,MATCH(ROW()-2,종합!$AB$3:$AB$501,0))&amp;"","")</f>
        <v/>
      </c>
      <c r="J335" s="21" t="str">
        <f aca="false">IFERROR(INDEX(종합!J$3:J$501,MATCH(ROW()-2,종합!$AB$3:$AB$501,0))&amp;"","")</f>
        <v/>
      </c>
      <c r="K335" s="21" t="str">
        <f aca="false">IFERROR(INDEX(종합!K$3:K$501,MATCH(ROW()-2,종합!$AB$3:$AB$501,0))&amp;"","")</f>
        <v/>
      </c>
      <c r="L335" s="21" t="str">
        <f aca="false">IFERROR(INDEX(종합!L$3:L$501,MATCH(ROW()-2,종합!$AB$3:$AB$501,0))&amp;"","")</f>
        <v/>
      </c>
      <c r="M335" s="21" t="str">
        <f aca="false">IFERROR(INDEX(종합!M$3:M$501,MATCH(ROW()-2,종합!$AB$3:$AB$501,0))&amp;"","")</f>
        <v/>
      </c>
      <c r="N335" s="25" t="str">
        <f aca="false">IFERROR(INDEX(종합!N$3:N$501,MATCH(ROW()-2,종합!$AB$3:$AB$501,0))&amp;"","")</f>
        <v/>
      </c>
      <c r="O335" s="21" t="str">
        <f aca="false">IFERROR(INDEX(종합!O$3:O$501,MATCH(ROW()-2,종합!$AB$3:$AB$501,0))&amp;"","")</f>
        <v/>
      </c>
      <c r="P335" s="21" t="str">
        <f aca="false">IFERROR(INDEX(종합!P$3:P$501,MATCH(ROW()-2,종합!$AB$3:$AB$501,0))&amp;"","")</f>
        <v/>
      </c>
      <c r="Q335" s="21" t="str">
        <f aca="false">IFERROR(INDEX(종합!Q$3:Q$501,MATCH(ROW()-2,종합!$AB$3:$AB$501,0))&amp;"","")</f>
        <v/>
      </c>
      <c r="R335" s="21" t="str">
        <f aca="false">IFERROR(INDEX(종합!R$3:R$501,MATCH(ROW()-2,종합!$AB$3:$AB$501,0))&amp;"","")</f>
        <v/>
      </c>
      <c r="S335" s="21" t="str">
        <f aca="false">IFERROR(INDEX(종합!S$3:S$501,MATCH(ROW()-2,종합!$AB$3:$AB$501,0))&amp;"","")</f>
        <v/>
      </c>
      <c r="T335" s="21" t="str">
        <f aca="false">IFERROR(INDEX(종합!T$3:T$501,MATCH(ROW()-2,종합!$AB$3:$AB$501,0))&amp;"","")</f>
        <v/>
      </c>
      <c r="U335" s="21" t="str">
        <f aca="false">IFERROR(INDEX(종합!U$3:U$501,MATCH(ROW()-2,종합!$AB$3:$AB$501,0))&amp;"","")</f>
        <v/>
      </c>
      <c r="V335" s="21" t="str">
        <f aca="false">IFERROR(INDEX(종합!V$3:V$501,MATCH(ROW()-2,종합!$AB$3:$AB$501,0))&amp;"","")</f>
        <v/>
      </c>
      <c r="W335" s="21" t="str">
        <f aca="false">IFERROR(INDEX(종합!W$3:W$501,MATCH(ROW()-2,종합!$AB$3:$AB$501,0))&amp;"","")</f>
        <v/>
      </c>
      <c r="X335" s="21" t="str">
        <f aca="false">IFERROR(INDEX(종합!X$3:X$501,MATCH(ROW()-2,종합!$AB$3:$AB$501,0))&amp;"","")</f>
        <v/>
      </c>
      <c r="Y335" s="21" t="str">
        <f aca="false">IFERROR(INDEX(종합!Y$3:Y$501,MATCH(ROW()-2,종합!$AB$3:$AB$501,0))&amp;"","")</f>
        <v/>
      </c>
      <c r="Z335" s="21" t="str">
        <f aca="false">IFERROR(INDEX(종합!Z$3:Z$501,MATCH(ROW()-2,종합!$AB$3:$AB$501,0))&amp;"","")</f>
        <v/>
      </c>
    </row>
    <row r="336" customFormat="false" ht="16.5" hidden="false" customHeight="true" outlineLevel="0" collapsed="false">
      <c r="A336" s="18" t="str">
        <f aca="false">IF(B336="","",ROW()-2)</f>
        <v/>
      </c>
      <c r="B336" s="18" t="str">
        <f aca="false">IFERROR(INDEX(종합!B$3:B$501,MATCH(ROW()-2,종합!$AB$3:$AB$501,0))&amp;"","")</f>
        <v/>
      </c>
      <c r="C336" s="18" t="str">
        <f aca="false">IFERROR(INDEX(종합!C$3:C$501,MATCH(ROW()-2,종합!$AB$3:$AB$501,0))&amp;"","")</f>
        <v/>
      </c>
      <c r="D336" s="18" t="str">
        <f aca="false">IFERROR(INDEX(종합!D$3:D$501,MATCH(ROW()-2,종합!$AB$3:$AB$501,0))&amp;"","")</f>
        <v/>
      </c>
      <c r="E336" s="18" t="str">
        <f aca="false">IFERROR(INDEX(종합!E$3:E$501,MATCH(ROW()-2,종합!$AB$3:$AB$501,0))&amp;"","")</f>
        <v/>
      </c>
      <c r="F336" s="18" t="str">
        <f aca="false">IFERROR(INDEX(종합!F$3:F$501,MATCH(ROW()-2,종합!$AB$3:$AB$501,0))&amp;"","")</f>
        <v/>
      </c>
      <c r="G336" s="18" t="str">
        <f aca="false">IFERROR(INDEX(종합!G$3:G$501,MATCH(ROW()-2,종합!$AB$3:$AB$501,0))&amp;"","")</f>
        <v/>
      </c>
      <c r="H336" s="21" t="str">
        <f aca="false">IFERROR(INDEX(종합!H$3:H$501,MATCH(ROW()-2,종합!$AB$3:$AB$501,0))&amp;"","")</f>
        <v/>
      </c>
      <c r="I336" s="21" t="str">
        <f aca="false">IFERROR(INDEX(종합!I$3:I$501,MATCH(ROW()-2,종합!$AB$3:$AB$501,0))&amp;"","")</f>
        <v/>
      </c>
      <c r="J336" s="21" t="str">
        <f aca="false">IFERROR(INDEX(종합!J$3:J$501,MATCH(ROW()-2,종합!$AB$3:$AB$501,0))&amp;"","")</f>
        <v/>
      </c>
      <c r="K336" s="21" t="str">
        <f aca="false">IFERROR(INDEX(종합!K$3:K$501,MATCH(ROW()-2,종합!$AB$3:$AB$501,0))&amp;"","")</f>
        <v/>
      </c>
      <c r="L336" s="21" t="str">
        <f aca="false">IFERROR(INDEX(종합!L$3:L$501,MATCH(ROW()-2,종합!$AB$3:$AB$501,0))&amp;"","")</f>
        <v/>
      </c>
      <c r="M336" s="21" t="str">
        <f aca="false">IFERROR(INDEX(종합!M$3:M$501,MATCH(ROW()-2,종합!$AB$3:$AB$501,0))&amp;"","")</f>
        <v/>
      </c>
      <c r="N336" s="25" t="str">
        <f aca="false">IFERROR(INDEX(종합!N$3:N$501,MATCH(ROW()-2,종합!$AB$3:$AB$501,0))&amp;"","")</f>
        <v/>
      </c>
      <c r="O336" s="21" t="str">
        <f aca="false">IFERROR(INDEX(종합!O$3:O$501,MATCH(ROW()-2,종합!$AB$3:$AB$501,0))&amp;"","")</f>
        <v/>
      </c>
      <c r="P336" s="21" t="str">
        <f aca="false">IFERROR(INDEX(종합!P$3:P$501,MATCH(ROW()-2,종합!$AB$3:$AB$501,0))&amp;"","")</f>
        <v/>
      </c>
      <c r="Q336" s="21" t="str">
        <f aca="false">IFERROR(INDEX(종합!Q$3:Q$501,MATCH(ROW()-2,종합!$AB$3:$AB$501,0))&amp;"","")</f>
        <v/>
      </c>
      <c r="R336" s="21" t="str">
        <f aca="false">IFERROR(INDEX(종합!R$3:R$501,MATCH(ROW()-2,종합!$AB$3:$AB$501,0))&amp;"","")</f>
        <v/>
      </c>
      <c r="S336" s="21" t="str">
        <f aca="false">IFERROR(INDEX(종합!S$3:S$501,MATCH(ROW()-2,종합!$AB$3:$AB$501,0))&amp;"","")</f>
        <v/>
      </c>
      <c r="T336" s="21" t="str">
        <f aca="false">IFERROR(INDEX(종합!T$3:T$501,MATCH(ROW()-2,종합!$AB$3:$AB$501,0))&amp;"","")</f>
        <v/>
      </c>
      <c r="U336" s="21" t="str">
        <f aca="false">IFERROR(INDEX(종합!U$3:U$501,MATCH(ROW()-2,종합!$AB$3:$AB$501,0))&amp;"","")</f>
        <v/>
      </c>
      <c r="V336" s="21" t="str">
        <f aca="false">IFERROR(INDEX(종합!V$3:V$501,MATCH(ROW()-2,종합!$AB$3:$AB$501,0))&amp;"","")</f>
        <v/>
      </c>
      <c r="W336" s="21" t="str">
        <f aca="false">IFERROR(INDEX(종합!W$3:W$501,MATCH(ROW()-2,종합!$AB$3:$AB$501,0))&amp;"","")</f>
        <v/>
      </c>
      <c r="X336" s="21" t="str">
        <f aca="false">IFERROR(INDEX(종합!X$3:X$501,MATCH(ROW()-2,종합!$AB$3:$AB$501,0))&amp;"","")</f>
        <v/>
      </c>
      <c r="Y336" s="21" t="str">
        <f aca="false">IFERROR(INDEX(종합!Y$3:Y$501,MATCH(ROW()-2,종합!$AB$3:$AB$501,0))&amp;"","")</f>
        <v/>
      </c>
      <c r="Z336" s="21" t="str">
        <f aca="false">IFERROR(INDEX(종합!Z$3:Z$501,MATCH(ROW()-2,종합!$AB$3:$AB$501,0))&amp;"","")</f>
        <v/>
      </c>
    </row>
    <row r="337" customFormat="false" ht="16.5" hidden="false" customHeight="true" outlineLevel="0" collapsed="false">
      <c r="A337" s="18" t="str">
        <f aca="false">IF(B337="","",ROW()-2)</f>
        <v/>
      </c>
      <c r="B337" s="18" t="str">
        <f aca="false">IFERROR(INDEX(종합!B$3:B$501,MATCH(ROW()-2,종합!$AB$3:$AB$501,0))&amp;"","")</f>
        <v/>
      </c>
      <c r="C337" s="18" t="str">
        <f aca="false">IFERROR(INDEX(종합!C$3:C$501,MATCH(ROW()-2,종합!$AB$3:$AB$501,0))&amp;"","")</f>
        <v/>
      </c>
      <c r="D337" s="18" t="str">
        <f aca="false">IFERROR(INDEX(종합!D$3:D$501,MATCH(ROW()-2,종합!$AB$3:$AB$501,0))&amp;"","")</f>
        <v/>
      </c>
      <c r="E337" s="18" t="str">
        <f aca="false">IFERROR(INDEX(종합!E$3:E$501,MATCH(ROW()-2,종합!$AB$3:$AB$501,0))&amp;"","")</f>
        <v/>
      </c>
      <c r="F337" s="18" t="str">
        <f aca="false">IFERROR(INDEX(종합!F$3:F$501,MATCH(ROW()-2,종합!$AB$3:$AB$501,0))&amp;"","")</f>
        <v/>
      </c>
      <c r="G337" s="18" t="str">
        <f aca="false">IFERROR(INDEX(종합!G$3:G$501,MATCH(ROW()-2,종합!$AB$3:$AB$501,0))&amp;"","")</f>
        <v/>
      </c>
      <c r="H337" s="21" t="str">
        <f aca="false">IFERROR(INDEX(종합!H$3:H$501,MATCH(ROW()-2,종합!$AB$3:$AB$501,0))&amp;"","")</f>
        <v/>
      </c>
      <c r="I337" s="21" t="str">
        <f aca="false">IFERROR(INDEX(종합!I$3:I$501,MATCH(ROW()-2,종합!$AB$3:$AB$501,0))&amp;"","")</f>
        <v/>
      </c>
      <c r="J337" s="21" t="str">
        <f aca="false">IFERROR(INDEX(종합!J$3:J$501,MATCH(ROW()-2,종합!$AB$3:$AB$501,0))&amp;"","")</f>
        <v/>
      </c>
      <c r="K337" s="21" t="str">
        <f aca="false">IFERROR(INDEX(종합!K$3:K$501,MATCH(ROW()-2,종합!$AB$3:$AB$501,0))&amp;"","")</f>
        <v/>
      </c>
      <c r="L337" s="21" t="str">
        <f aca="false">IFERROR(INDEX(종합!L$3:L$501,MATCH(ROW()-2,종합!$AB$3:$AB$501,0))&amp;"","")</f>
        <v/>
      </c>
      <c r="M337" s="21" t="str">
        <f aca="false">IFERROR(INDEX(종합!M$3:M$501,MATCH(ROW()-2,종합!$AB$3:$AB$501,0))&amp;"","")</f>
        <v/>
      </c>
      <c r="N337" s="25" t="str">
        <f aca="false">IFERROR(INDEX(종합!N$3:N$501,MATCH(ROW()-2,종합!$AB$3:$AB$501,0))&amp;"","")</f>
        <v/>
      </c>
      <c r="O337" s="21" t="str">
        <f aca="false">IFERROR(INDEX(종합!O$3:O$501,MATCH(ROW()-2,종합!$AB$3:$AB$501,0))&amp;"","")</f>
        <v/>
      </c>
      <c r="P337" s="21" t="str">
        <f aca="false">IFERROR(INDEX(종합!P$3:P$501,MATCH(ROW()-2,종합!$AB$3:$AB$501,0))&amp;"","")</f>
        <v/>
      </c>
      <c r="Q337" s="21" t="str">
        <f aca="false">IFERROR(INDEX(종합!Q$3:Q$501,MATCH(ROW()-2,종합!$AB$3:$AB$501,0))&amp;"","")</f>
        <v/>
      </c>
      <c r="R337" s="21" t="str">
        <f aca="false">IFERROR(INDEX(종합!R$3:R$501,MATCH(ROW()-2,종합!$AB$3:$AB$501,0))&amp;"","")</f>
        <v/>
      </c>
      <c r="S337" s="21" t="str">
        <f aca="false">IFERROR(INDEX(종합!S$3:S$501,MATCH(ROW()-2,종합!$AB$3:$AB$501,0))&amp;"","")</f>
        <v/>
      </c>
      <c r="T337" s="21" t="str">
        <f aca="false">IFERROR(INDEX(종합!T$3:T$501,MATCH(ROW()-2,종합!$AB$3:$AB$501,0))&amp;"","")</f>
        <v/>
      </c>
      <c r="U337" s="21" t="str">
        <f aca="false">IFERROR(INDEX(종합!U$3:U$501,MATCH(ROW()-2,종합!$AB$3:$AB$501,0))&amp;"","")</f>
        <v/>
      </c>
      <c r="V337" s="21" t="str">
        <f aca="false">IFERROR(INDEX(종합!V$3:V$501,MATCH(ROW()-2,종합!$AB$3:$AB$501,0))&amp;"","")</f>
        <v/>
      </c>
      <c r="W337" s="21" t="str">
        <f aca="false">IFERROR(INDEX(종합!W$3:W$501,MATCH(ROW()-2,종합!$AB$3:$AB$501,0))&amp;"","")</f>
        <v/>
      </c>
      <c r="X337" s="21" t="str">
        <f aca="false">IFERROR(INDEX(종합!X$3:X$501,MATCH(ROW()-2,종합!$AB$3:$AB$501,0))&amp;"","")</f>
        <v/>
      </c>
      <c r="Y337" s="21" t="str">
        <f aca="false">IFERROR(INDEX(종합!Y$3:Y$501,MATCH(ROW()-2,종합!$AB$3:$AB$501,0))&amp;"","")</f>
        <v/>
      </c>
      <c r="Z337" s="21" t="str">
        <f aca="false">IFERROR(INDEX(종합!Z$3:Z$501,MATCH(ROW()-2,종합!$AB$3:$AB$501,0))&amp;"","")</f>
        <v/>
      </c>
    </row>
    <row r="338" customFormat="false" ht="16.5" hidden="false" customHeight="true" outlineLevel="0" collapsed="false">
      <c r="A338" s="18" t="str">
        <f aca="false">IF(B338="","",ROW()-2)</f>
        <v/>
      </c>
      <c r="B338" s="18" t="str">
        <f aca="false">IFERROR(INDEX(종합!B$3:B$501,MATCH(ROW()-2,종합!$AB$3:$AB$501,0))&amp;"","")</f>
        <v/>
      </c>
      <c r="C338" s="18" t="str">
        <f aca="false">IFERROR(INDEX(종합!C$3:C$501,MATCH(ROW()-2,종합!$AB$3:$AB$501,0))&amp;"","")</f>
        <v/>
      </c>
      <c r="D338" s="18" t="str">
        <f aca="false">IFERROR(INDEX(종합!D$3:D$501,MATCH(ROW()-2,종합!$AB$3:$AB$501,0))&amp;"","")</f>
        <v/>
      </c>
      <c r="E338" s="18" t="str">
        <f aca="false">IFERROR(INDEX(종합!E$3:E$501,MATCH(ROW()-2,종합!$AB$3:$AB$501,0))&amp;"","")</f>
        <v/>
      </c>
      <c r="F338" s="18" t="str">
        <f aca="false">IFERROR(INDEX(종합!F$3:F$501,MATCH(ROW()-2,종합!$AB$3:$AB$501,0))&amp;"","")</f>
        <v/>
      </c>
      <c r="G338" s="18" t="str">
        <f aca="false">IFERROR(INDEX(종합!G$3:G$501,MATCH(ROW()-2,종합!$AB$3:$AB$501,0))&amp;"","")</f>
        <v/>
      </c>
      <c r="H338" s="21" t="str">
        <f aca="false">IFERROR(INDEX(종합!H$3:H$501,MATCH(ROW()-2,종합!$AB$3:$AB$501,0))&amp;"","")</f>
        <v/>
      </c>
      <c r="I338" s="21" t="str">
        <f aca="false">IFERROR(INDEX(종합!I$3:I$501,MATCH(ROW()-2,종합!$AB$3:$AB$501,0))&amp;"","")</f>
        <v/>
      </c>
      <c r="J338" s="21" t="str">
        <f aca="false">IFERROR(INDEX(종합!J$3:J$501,MATCH(ROW()-2,종합!$AB$3:$AB$501,0))&amp;"","")</f>
        <v/>
      </c>
      <c r="K338" s="21" t="str">
        <f aca="false">IFERROR(INDEX(종합!K$3:K$501,MATCH(ROW()-2,종합!$AB$3:$AB$501,0))&amp;"","")</f>
        <v/>
      </c>
      <c r="L338" s="21" t="str">
        <f aca="false">IFERROR(INDEX(종합!L$3:L$501,MATCH(ROW()-2,종합!$AB$3:$AB$501,0))&amp;"","")</f>
        <v/>
      </c>
      <c r="M338" s="21" t="str">
        <f aca="false">IFERROR(INDEX(종합!M$3:M$501,MATCH(ROW()-2,종합!$AB$3:$AB$501,0))&amp;"","")</f>
        <v/>
      </c>
      <c r="N338" s="25" t="str">
        <f aca="false">IFERROR(INDEX(종합!N$3:N$501,MATCH(ROW()-2,종합!$AB$3:$AB$501,0))&amp;"","")</f>
        <v/>
      </c>
      <c r="O338" s="21" t="str">
        <f aca="false">IFERROR(INDEX(종합!O$3:O$501,MATCH(ROW()-2,종합!$AB$3:$AB$501,0))&amp;"","")</f>
        <v/>
      </c>
      <c r="P338" s="21" t="str">
        <f aca="false">IFERROR(INDEX(종합!P$3:P$501,MATCH(ROW()-2,종합!$AB$3:$AB$501,0))&amp;"","")</f>
        <v/>
      </c>
      <c r="Q338" s="21" t="str">
        <f aca="false">IFERROR(INDEX(종합!Q$3:Q$501,MATCH(ROW()-2,종합!$AB$3:$AB$501,0))&amp;"","")</f>
        <v/>
      </c>
      <c r="R338" s="21" t="str">
        <f aca="false">IFERROR(INDEX(종합!R$3:R$501,MATCH(ROW()-2,종합!$AB$3:$AB$501,0))&amp;"","")</f>
        <v/>
      </c>
      <c r="S338" s="21" t="str">
        <f aca="false">IFERROR(INDEX(종합!S$3:S$501,MATCH(ROW()-2,종합!$AB$3:$AB$501,0))&amp;"","")</f>
        <v/>
      </c>
      <c r="T338" s="21" t="str">
        <f aca="false">IFERROR(INDEX(종합!T$3:T$501,MATCH(ROW()-2,종합!$AB$3:$AB$501,0))&amp;"","")</f>
        <v/>
      </c>
      <c r="U338" s="21" t="str">
        <f aca="false">IFERROR(INDEX(종합!U$3:U$501,MATCH(ROW()-2,종합!$AB$3:$AB$501,0))&amp;"","")</f>
        <v/>
      </c>
      <c r="V338" s="21" t="str">
        <f aca="false">IFERROR(INDEX(종합!V$3:V$501,MATCH(ROW()-2,종합!$AB$3:$AB$501,0))&amp;"","")</f>
        <v/>
      </c>
      <c r="W338" s="21" t="str">
        <f aca="false">IFERROR(INDEX(종합!W$3:W$501,MATCH(ROW()-2,종합!$AB$3:$AB$501,0))&amp;"","")</f>
        <v/>
      </c>
      <c r="X338" s="21" t="str">
        <f aca="false">IFERROR(INDEX(종합!X$3:X$501,MATCH(ROW()-2,종합!$AB$3:$AB$501,0))&amp;"","")</f>
        <v/>
      </c>
      <c r="Y338" s="21" t="str">
        <f aca="false">IFERROR(INDEX(종합!Y$3:Y$501,MATCH(ROW()-2,종합!$AB$3:$AB$501,0))&amp;"","")</f>
        <v/>
      </c>
      <c r="Z338" s="21" t="str">
        <f aca="false">IFERROR(INDEX(종합!Z$3:Z$501,MATCH(ROW()-2,종합!$AB$3:$AB$501,0))&amp;"","")</f>
        <v/>
      </c>
    </row>
    <row r="339" customFormat="false" ht="16.5" hidden="false" customHeight="true" outlineLevel="0" collapsed="false">
      <c r="A339" s="18" t="str">
        <f aca="false">IF(B339="","",ROW()-2)</f>
        <v/>
      </c>
      <c r="B339" s="18" t="str">
        <f aca="false">IFERROR(INDEX(종합!B$3:B$501,MATCH(ROW()-2,종합!$AB$3:$AB$501,0))&amp;"","")</f>
        <v/>
      </c>
      <c r="C339" s="18" t="str">
        <f aca="false">IFERROR(INDEX(종합!C$3:C$501,MATCH(ROW()-2,종합!$AB$3:$AB$501,0))&amp;"","")</f>
        <v/>
      </c>
      <c r="D339" s="18" t="str">
        <f aca="false">IFERROR(INDEX(종합!D$3:D$501,MATCH(ROW()-2,종합!$AB$3:$AB$501,0))&amp;"","")</f>
        <v/>
      </c>
      <c r="E339" s="18" t="str">
        <f aca="false">IFERROR(INDEX(종합!E$3:E$501,MATCH(ROW()-2,종합!$AB$3:$AB$501,0))&amp;"","")</f>
        <v/>
      </c>
      <c r="F339" s="18" t="str">
        <f aca="false">IFERROR(INDEX(종합!F$3:F$501,MATCH(ROW()-2,종합!$AB$3:$AB$501,0))&amp;"","")</f>
        <v/>
      </c>
      <c r="G339" s="18" t="str">
        <f aca="false">IFERROR(INDEX(종합!G$3:G$501,MATCH(ROW()-2,종합!$AB$3:$AB$501,0))&amp;"","")</f>
        <v/>
      </c>
      <c r="H339" s="21" t="str">
        <f aca="false">IFERROR(INDEX(종합!H$3:H$501,MATCH(ROW()-2,종합!$AB$3:$AB$501,0))&amp;"","")</f>
        <v/>
      </c>
      <c r="I339" s="21" t="str">
        <f aca="false">IFERROR(INDEX(종합!I$3:I$501,MATCH(ROW()-2,종합!$AB$3:$AB$501,0))&amp;"","")</f>
        <v/>
      </c>
      <c r="J339" s="21" t="str">
        <f aca="false">IFERROR(INDEX(종합!J$3:J$501,MATCH(ROW()-2,종합!$AB$3:$AB$501,0))&amp;"","")</f>
        <v/>
      </c>
      <c r="K339" s="21" t="str">
        <f aca="false">IFERROR(INDEX(종합!K$3:K$501,MATCH(ROW()-2,종합!$AB$3:$AB$501,0))&amp;"","")</f>
        <v/>
      </c>
      <c r="L339" s="21" t="str">
        <f aca="false">IFERROR(INDEX(종합!L$3:L$501,MATCH(ROW()-2,종합!$AB$3:$AB$501,0))&amp;"","")</f>
        <v/>
      </c>
      <c r="M339" s="21" t="str">
        <f aca="false">IFERROR(INDEX(종합!M$3:M$501,MATCH(ROW()-2,종합!$AB$3:$AB$501,0))&amp;"","")</f>
        <v/>
      </c>
      <c r="N339" s="25" t="str">
        <f aca="false">IFERROR(INDEX(종합!N$3:N$501,MATCH(ROW()-2,종합!$AB$3:$AB$501,0))&amp;"","")</f>
        <v/>
      </c>
      <c r="O339" s="21" t="str">
        <f aca="false">IFERROR(INDEX(종합!O$3:O$501,MATCH(ROW()-2,종합!$AB$3:$AB$501,0))&amp;"","")</f>
        <v/>
      </c>
      <c r="P339" s="21" t="str">
        <f aca="false">IFERROR(INDEX(종합!P$3:P$501,MATCH(ROW()-2,종합!$AB$3:$AB$501,0))&amp;"","")</f>
        <v/>
      </c>
      <c r="Q339" s="21" t="str">
        <f aca="false">IFERROR(INDEX(종합!Q$3:Q$501,MATCH(ROW()-2,종합!$AB$3:$AB$501,0))&amp;"","")</f>
        <v/>
      </c>
      <c r="R339" s="21" t="str">
        <f aca="false">IFERROR(INDEX(종합!R$3:R$501,MATCH(ROW()-2,종합!$AB$3:$AB$501,0))&amp;"","")</f>
        <v/>
      </c>
      <c r="S339" s="21" t="str">
        <f aca="false">IFERROR(INDEX(종합!S$3:S$501,MATCH(ROW()-2,종합!$AB$3:$AB$501,0))&amp;"","")</f>
        <v/>
      </c>
      <c r="T339" s="21" t="str">
        <f aca="false">IFERROR(INDEX(종합!T$3:T$501,MATCH(ROW()-2,종합!$AB$3:$AB$501,0))&amp;"","")</f>
        <v/>
      </c>
      <c r="U339" s="21" t="str">
        <f aca="false">IFERROR(INDEX(종합!U$3:U$501,MATCH(ROW()-2,종합!$AB$3:$AB$501,0))&amp;"","")</f>
        <v/>
      </c>
      <c r="V339" s="21" t="str">
        <f aca="false">IFERROR(INDEX(종합!V$3:V$501,MATCH(ROW()-2,종합!$AB$3:$AB$501,0))&amp;"","")</f>
        <v/>
      </c>
      <c r="W339" s="21" t="str">
        <f aca="false">IFERROR(INDEX(종합!W$3:W$501,MATCH(ROW()-2,종합!$AB$3:$AB$501,0))&amp;"","")</f>
        <v/>
      </c>
      <c r="X339" s="21" t="str">
        <f aca="false">IFERROR(INDEX(종합!X$3:X$501,MATCH(ROW()-2,종합!$AB$3:$AB$501,0))&amp;"","")</f>
        <v/>
      </c>
      <c r="Y339" s="21" t="str">
        <f aca="false">IFERROR(INDEX(종합!Y$3:Y$501,MATCH(ROW()-2,종합!$AB$3:$AB$501,0))&amp;"","")</f>
        <v/>
      </c>
      <c r="Z339" s="21" t="str">
        <f aca="false">IFERROR(INDEX(종합!Z$3:Z$501,MATCH(ROW()-2,종합!$AB$3:$AB$501,0))&amp;"","")</f>
        <v/>
      </c>
    </row>
    <row r="340" customFormat="false" ht="16.5" hidden="false" customHeight="true" outlineLevel="0" collapsed="false">
      <c r="A340" s="18" t="str">
        <f aca="false">IF(B340="","",ROW()-2)</f>
        <v/>
      </c>
      <c r="B340" s="18" t="str">
        <f aca="false">IFERROR(INDEX(종합!B$3:B$501,MATCH(ROW()-2,종합!$AB$3:$AB$501,0))&amp;"","")</f>
        <v/>
      </c>
      <c r="C340" s="18" t="str">
        <f aca="false">IFERROR(INDEX(종합!C$3:C$501,MATCH(ROW()-2,종합!$AB$3:$AB$501,0))&amp;"","")</f>
        <v/>
      </c>
      <c r="D340" s="18" t="str">
        <f aca="false">IFERROR(INDEX(종합!D$3:D$501,MATCH(ROW()-2,종합!$AB$3:$AB$501,0))&amp;"","")</f>
        <v/>
      </c>
      <c r="E340" s="18" t="str">
        <f aca="false">IFERROR(INDEX(종합!E$3:E$501,MATCH(ROW()-2,종합!$AB$3:$AB$501,0))&amp;"","")</f>
        <v/>
      </c>
      <c r="F340" s="18" t="str">
        <f aca="false">IFERROR(INDEX(종합!F$3:F$501,MATCH(ROW()-2,종합!$AB$3:$AB$501,0))&amp;"","")</f>
        <v/>
      </c>
      <c r="G340" s="18" t="str">
        <f aca="false">IFERROR(INDEX(종합!G$3:G$501,MATCH(ROW()-2,종합!$AB$3:$AB$501,0))&amp;"","")</f>
        <v/>
      </c>
      <c r="H340" s="21" t="str">
        <f aca="false">IFERROR(INDEX(종합!H$3:H$501,MATCH(ROW()-2,종합!$AB$3:$AB$501,0))&amp;"","")</f>
        <v/>
      </c>
      <c r="I340" s="21" t="str">
        <f aca="false">IFERROR(INDEX(종합!I$3:I$501,MATCH(ROW()-2,종합!$AB$3:$AB$501,0))&amp;"","")</f>
        <v/>
      </c>
      <c r="J340" s="21" t="str">
        <f aca="false">IFERROR(INDEX(종합!J$3:J$501,MATCH(ROW()-2,종합!$AB$3:$AB$501,0))&amp;"","")</f>
        <v/>
      </c>
      <c r="K340" s="21" t="str">
        <f aca="false">IFERROR(INDEX(종합!K$3:K$501,MATCH(ROW()-2,종합!$AB$3:$AB$501,0))&amp;"","")</f>
        <v/>
      </c>
      <c r="L340" s="21" t="str">
        <f aca="false">IFERROR(INDEX(종합!L$3:L$501,MATCH(ROW()-2,종합!$AB$3:$AB$501,0))&amp;"","")</f>
        <v/>
      </c>
      <c r="M340" s="21" t="str">
        <f aca="false">IFERROR(INDEX(종합!M$3:M$501,MATCH(ROW()-2,종합!$AB$3:$AB$501,0))&amp;"","")</f>
        <v/>
      </c>
      <c r="N340" s="25" t="str">
        <f aca="false">IFERROR(INDEX(종합!N$3:N$501,MATCH(ROW()-2,종합!$AB$3:$AB$501,0))&amp;"","")</f>
        <v/>
      </c>
      <c r="O340" s="21" t="str">
        <f aca="false">IFERROR(INDEX(종합!O$3:O$501,MATCH(ROW()-2,종합!$AB$3:$AB$501,0))&amp;"","")</f>
        <v/>
      </c>
      <c r="P340" s="21" t="str">
        <f aca="false">IFERROR(INDEX(종합!P$3:P$501,MATCH(ROW()-2,종합!$AB$3:$AB$501,0))&amp;"","")</f>
        <v/>
      </c>
      <c r="Q340" s="21" t="str">
        <f aca="false">IFERROR(INDEX(종합!Q$3:Q$501,MATCH(ROW()-2,종합!$AB$3:$AB$501,0))&amp;"","")</f>
        <v/>
      </c>
      <c r="R340" s="21" t="str">
        <f aca="false">IFERROR(INDEX(종합!R$3:R$501,MATCH(ROW()-2,종합!$AB$3:$AB$501,0))&amp;"","")</f>
        <v/>
      </c>
      <c r="S340" s="21" t="str">
        <f aca="false">IFERROR(INDEX(종합!S$3:S$501,MATCH(ROW()-2,종합!$AB$3:$AB$501,0))&amp;"","")</f>
        <v/>
      </c>
      <c r="T340" s="21" t="str">
        <f aca="false">IFERROR(INDEX(종합!T$3:T$501,MATCH(ROW()-2,종합!$AB$3:$AB$501,0))&amp;"","")</f>
        <v/>
      </c>
      <c r="U340" s="21" t="str">
        <f aca="false">IFERROR(INDEX(종합!U$3:U$501,MATCH(ROW()-2,종합!$AB$3:$AB$501,0))&amp;"","")</f>
        <v/>
      </c>
      <c r="V340" s="21" t="str">
        <f aca="false">IFERROR(INDEX(종합!V$3:V$501,MATCH(ROW()-2,종합!$AB$3:$AB$501,0))&amp;"","")</f>
        <v/>
      </c>
      <c r="W340" s="21" t="str">
        <f aca="false">IFERROR(INDEX(종합!W$3:W$501,MATCH(ROW()-2,종합!$AB$3:$AB$501,0))&amp;"","")</f>
        <v/>
      </c>
      <c r="X340" s="21" t="str">
        <f aca="false">IFERROR(INDEX(종합!X$3:X$501,MATCH(ROW()-2,종합!$AB$3:$AB$501,0))&amp;"","")</f>
        <v/>
      </c>
      <c r="Y340" s="21" t="str">
        <f aca="false">IFERROR(INDEX(종합!Y$3:Y$501,MATCH(ROW()-2,종합!$AB$3:$AB$501,0))&amp;"","")</f>
        <v/>
      </c>
      <c r="Z340" s="21" t="str">
        <f aca="false">IFERROR(INDEX(종합!Z$3:Z$501,MATCH(ROW()-2,종합!$AB$3:$AB$501,0))&amp;"","")</f>
        <v/>
      </c>
    </row>
    <row r="341" customFormat="false" ht="16.5" hidden="false" customHeight="true" outlineLevel="0" collapsed="false">
      <c r="A341" s="18" t="str">
        <f aca="false">IF(B341="","",ROW()-2)</f>
        <v/>
      </c>
      <c r="B341" s="18" t="str">
        <f aca="false">IFERROR(INDEX(종합!B$3:B$501,MATCH(ROW()-2,종합!$AB$3:$AB$501,0))&amp;"","")</f>
        <v/>
      </c>
      <c r="C341" s="18" t="str">
        <f aca="false">IFERROR(INDEX(종합!C$3:C$501,MATCH(ROW()-2,종합!$AB$3:$AB$501,0))&amp;"","")</f>
        <v/>
      </c>
      <c r="D341" s="18" t="str">
        <f aca="false">IFERROR(INDEX(종합!D$3:D$501,MATCH(ROW()-2,종합!$AB$3:$AB$501,0))&amp;"","")</f>
        <v/>
      </c>
      <c r="E341" s="18" t="str">
        <f aca="false">IFERROR(INDEX(종합!E$3:E$501,MATCH(ROW()-2,종합!$AB$3:$AB$501,0))&amp;"","")</f>
        <v/>
      </c>
      <c r="F341" s="18" t="str">
        <f aca="false">IFERROR(INDEX(종합!F$3:F$501,MATCH(ROW()-2,종합!$AB$3:$AB$501,0))&amp;"","")</f>
        <v/>
      </c>
      <c r="G341" s="18" t="str">
        <f aca="false">IFERROR(INDEX(종합!G$3:G$501,MATCH(ROW()-2,종합!$AB$3:$AB$501,0))&amp;"","")</f>
        <v/>
      </c>
      <c r="H341" s="21" t="str">
        <f aca="false">IFERROR(INDEX(종합!H$3:H$501,MATCH(ROW()-2,종합!$AB$3:$AB$501,0))&amp;"","")</f>
        <v/>
      </c>
      <c r="I341" s="21" t="str">
        <f aca="false">IFERROR(INDEX(종합!I$3:I$501,MATCH(ROW()-2,종합!$AB$3:$AB$501,0))&amp;"","")</f>
        <v/>
      </c>
      <c r="J341" s="21" t="str">
        <f aca="false">IFERROR(INDEX(종합!J$3:J$501,MATCH(ROW()-2,종합!$AB$3:$AB$501,0))&amp;"","")</f>
        <v/>
      </c>
      <c r="K341" s="21" t="str">
        <f aca="false">IFERROR(INDEX(종합!K$3:K$501,MATCH(ROW()-2,종합!$AB$3:$AB$501,0))&amp;"","")</f>
        <v/>
      </c>
      <c r="L341" s="21" t="str">
        <f aca="false">IFERROR(INDEX(종합!L$3:L$501,MATCH(ROW()-2,종합!$AB$3:$AB$501,0))&amp;"","")</f>
        <v/>
      </c>
      <c r="M341" s="21" t="str">
        <f aca="false">IFERROR(INDEX(종합!M$3:M$501,MATCH(ROW()-2,종합!$AB$3:$AB$501,0))&amp;"","")</f>
        <v/>
      </c>
      <c r="N341" s="25" t="str">
        <f aca="false">IFERROR(INDEX(종합!N$3:N$501,MATCH(ROW()-2,종합!$AB$3:$AB$501,0))&amp;"","")</f>
        <v/>
      </c>
      <c r="O341" s="21" t="str">
        <f aca="false">IFERROR(INDEX(종합!O$3:O$501,MATCH(ROW()-2,종합!$AB$3:$AB$501,0))&amp;"","")</f>
        <v/>
      </c>
      <c r="P341" s="21" t="str">
        <f aca="false">IFERROR(INDEX(종합!P$3:P$501,MATCH(ROW()-2,종합!$AB$3:$AB$501,0))&amp;"","")</f>
        <v/>
      </c>
      <c r="Q341" s="21" t="str">
        <f aca="false">IFERROR(INDEX(종합!Q$3:Q$501,MATCH(ROW()-2,종합!$AB$3:$AB$501,0))&amp;"","")</f>
        <v/>
      </c>
      <c r="R341" s="21" t="str">
        <f aca="false">IFERROR(INDEX(종합!R$3:R$501,MATCH(ROW()-2,종합!$AB$3:$AB$501,0))&amp;"","")</f>
        <v/>
      </c>
      <c r="S341" s="21" t="str">
        <f aca="false">IFERROR(INDEX(종합!S$3:S$501,MATCH(ROW()-2,종합!$AB$3:$AB$501,0))&amp;"","")</f>
        <v/>
      </c>
      <c r="T341" s="21" t="str">
        <f aca="false">IFERROR(INDEX(종합!T$3:T$501,MATCH(ROW()-2,종합!$AB$3:$AB$501,0))&amp;"","")</f>
        <v/>
      </c>
      <c r="U341" s="21" t="str">
        <f aca="false">IFERROR(INDEX(종합!U$3:U$501,MATCH(ROW()-2,종합!$AB$3:$AB$501,0))&amp;"","")</f>
        <v/>
      </c>
      <c r="V341" s="21" t="str">
        <f aca="false">IFERROR(INDEX(종합!V$3:V$501,MATCH(ROW()-2,종합!$AB$3:$AB$501,0))&amp;"","")</f>
        <v/>
      </c>
      <c r="W341" s="21" t="str">
        <f aca="false">IFERROR(INDEX(종합!W$3:W$501,MATCH(ROW()-2,종합!$AB$3:$AB$501,0))&amp;"","")</f>
        <v/>
      </c>
      <c r="X341" s="21" t="str">
        <f aca="false">IFERROR(INDEX(종합!X$3:X$501,MATCH(ROW()-2,종합!$AB$3:$AB$501,0))&amp;"","")</f>
        <v/>
      </c>
      <c r="Y341" s="21" t="str">
        <f aca="false">IFERROR(INDEX(종합!Y$3:Y$501,MATCH(ROW()-2,종합!$AB$3:$AB$501,0))&amp;"","")</f>
        <v/>
      </c>
      <c r="Z341" s="21" t="str">
        <f aca="false">IFERROR(INDEX(종합!Z$3:Z$501,MATCH(ROW()-2,종합!$AB$3:$AB$501,0))&amp;"","")</f>
        <v/>
      </c>
    </row>
    <row r="342" customFormat="false" ht="16.5" hidden="false" customHeight="true" outlineLevel="0" collapsed="false">
      <c r="A342" s="18" t="str">
        <f aca="false">IF(B342="","",ROW()-2)</f>
        <v/>
      </c>
      <c r="B342" s="18" t="str">
        <f aca="false">IFERROR(INDEX(종합!B$3:B$501,MATCH(ROW()-2,종합!$AB$3:$AB$501,0))&amp;"","")</f>
        <v/>
      </c>
      <c r="C342" s="18" t="str">
        <f aca="false">IFERROR(INDEX(종합!C$3:C$501,MATCH(ROW()-2,종합!$AB$3:$AB$501,0))&amp;"","")</f>
        <v/>
      </c>
      <c r="D342" s="18" t="str">
        <f aca="false">IFERROR(INDEX(종합!D$3:D$501,MATCH(ROW()-2,종합!$AB$3:$AB$501,0))&amp;"","")</f>
        <v/>
      </c>
      <c r="E342" s="18" t="str">
        <f aca="false">IFERROR(INDEX(종합!E$3:E$501,MATCH(ROW()-2,종합!$AB$3:$AB$501,0))&amp;"","")</f>
        <v/>
      </c>
      <c r="F342" s="18" t="str">
        <f aca="false">IFERROR(INDEX(종합!F$3:F$501,MATCH(ROW()-2,종합!$AB$3:$AB$501,0))&amp;"","")</f>
        <v/>
      </c>
      <c r="G342" s="18" t="str">
        <f aca="false">IFERROR(INDEX(종합!G$3:G$501,MATCH(ROW()-2,종합!$AB$3:$AB$501,0))&amp;"","")</f>
        <v/>
      </c>
      <c r="H342" s="21" t="str">
        <f aca="false">IFERROR(INDEX(종합!H$3:H$501,MATCH(ROW()-2,종합!$AB$3:$AB$501,0))&amp;"","")</f>
        <v/>
      </c>
      <c r="I342" s="21" t="str">
        <f aca="false">IFERROR(INDEX(종합!I$3:I$501,MATCH(ROW()-2,종합!$AB$3:$AB$501,0))&amp;"","")</f>
        <v/>
      </c>
      <c r="J342" s="21" t="str">
        <f aca="false">IFERROR(INDEX(종합!J$3:J$501,MATCH(ROW()-2,종합!$AB$3:$AB$501,0))&amp;"","")</f>
        <v/>
      </c>
      <c r="K342" s="21" t="str">
        <f aca="false">IFERROR(INDEX(종합!K$3:K$501,MATCH(ROW()-2,종합!$AB$3:$AB$501,0))&amp;"","")</f>
        <v/>
      </c>
      <c r="L342" s="21" t="str">
        <f aca="false">IFERROR(INDEX(종합!L$3:L$501,MATCH(ROW()-2,종합!$AB$3:$AB$501,0))&amp;"","")</f>
        <v/>
      </c>
      <c r="M342" s="21" t="str">
        <f aca="false">IFERROR(INDEX(종합!M$3:M$501,MATCH(ROW()-2,종합!$AB$3:$AB$501,0))&amp;"","")</f>
        <v/>
      </c>
      <c r="N342" s="25" t="str">
        <f aca="false">IFERROR(INDEX(종합!N$3:N$501,MATCH(ROW()-2,종합!$AB$3:$AB$501,0))&amp;"","")</f>
        <v/>
      </c>
      <c r="O342" s="21" t="str">
        <f aca="false">IFERROR(INDEX(종합!O$3:O$501,MATCH(ROW()-2,종합!$AB$3:$AB$501,0))&amp;"","")</f>
        <v/>
      </c>
      <c r="P342" s="21" t="str">
        <f aca="false">IFERROR(INDEX(종합!P$3:P$501,MATCH(ROW()-2,종합!$AB$3:$AB$501,0))&amp;"","")</f>
        <v/>
      </c>
      <c r="Q342" s="21" t="str">
        <f aca="false">IFERROR(INDEX(종합!Q$3:Q$501,MATCH(ROW()-2,종합!$AB$3:$AB$501,0))&amp;"","")</f>
        <v/>
      </c>
      <c r="R342" s="21" t="str">
        <f aca="false">IFERROR(INDEX(종합!R$3:R$501,MATCH(ROW()-2,종합!$AB$3:$AB$501,0))&amp;"","")</f>
        <v/>
      </c>
      <c r="S342" s="21" t="str">
        <f aca="false">IFERROR(INDEX(종합!S$3:S$501,MATCH(ROW()-2,종합!$AB$3:$AB$501,0))&amp;"","")</f>
        <v/>
      </c>
      <c r="T342" s="21" t="str">
        <f aca="false">IFERROR(INDEX(종합!T$3:T$501,MATCH(ROW()-2,종합!$AB$3:$AB$501,0))&amp;"","")</f>
        <v/>
      </c>
      <c r="U342" s="21" t="str">
        <f aca="false">IFERROR(INDEX(종합!U$3:U$501,MATCH(ROW()-2,종합!$AB$3:$AB$501,0))&amp;"","")</f>
        <v/>
      </c>
      <c r="V342" s="21" t="str">
        <f aca="false">IFERROR(INDEX(종합!V$3:V$501,MATCH(ROW()-2,종합!$AB$3:$AB$501,0))&amp;"","")</f>
        <v/>
      </c>
      <c r="W342" s="21" t="str">
        <f aca="false">IFERROR(INDEX(종합!W$3:W$501,MATCH(ROW()-2,종합!$AB$3:$AB$501,0))&amp;"","")</f>
        <v/>
      </c>
      <c r="X342" s="21" t="str">
        <f aca="false">IFERROR(INDEX(종합!X$3:X$501,MATCH(ROW()-2,종합!$AB$3:$AB$501,0))&amp;"","")</f>
        <v/>
      </c>
      <c r="Y342" s="21" t="str">
        <f aca="false">IFERROR(INDEX(종합!Y$3:Y$501,MATCH(ROW()-2,종합!$AB$3:$AB$501,0))&amp;"","")</f>
        <v/>
      </c>
      <c r="Z342" s="21" t="str">
        <f aca="false">IFERROR(INDEX(종합!Z$3:Z$501,MATCH(ROW()-2,종합!$AB$3:$AB$501,0))&amp;"","")</f>
        <v/>
      </c>
    </row>
    <row r="343" customFormat="false" ht="16.5" hidden="false" customHeight="true" outlineLevel="0" collapsed="false">
      <c r="A343" s="18" t="str">
        <f aca="false">IF(B343="","",ROW()-2)</f>
        <v/>
      </c>
      <c r="B343" s="18" t="str">
        <f aca="false">IFERROR(INDEX(종합!B$3:B$501,MATCH(ROW()-2,종합!$AB$3:$AB$501,0))&amp;"","")</f>
        <v/>
      </c>
      <c r="C343" s="18" t="str">
        <f aca="false">IFERROR(INDEX(종합!C$3:C$501,MATCH(ROW()-2,종합!$AB$3:$AB$501,0))&amp;"","")</f>
        <v/>
      </c>
      <c r="D343" s="18" t="str">
        <f aca="false">IFERROR(INDEX(종합!D$3:D$501,MATCH(ROW()-2,종합!$AB$3:$AB$501,0))&amp;"","")</f>
        <v/>
      </c>
      <c r="E343" s="18" t="str">
        <f aca="false">IFERROR(INDEX(종합!E$3:E$501,MATCH(ROW()-2,종합!$AB$3:$AB$501,0))&amp;"","")</f>
        <v/>
      </c>
      <c r="F343" s="18" t="str">
        <f aca="false">IFERROR(INDEX(종합!F$3:F$501,MATCH(ROW()-2,종합!$AB$3:$AB$501,0))&amp;"","")</f>
        <v/>
      </c>
      <c r="G343" s="18" t="str">
        <f aca="false">IFERROR(INDEX(종합!G$3:G$501,MATCH(ROW()-2,종합!$AB$3:$AB$501,0))&amp;"","")</f>
        <v/>
      </c>
      <c r="H343" s="21" t="str">
        <f aca="false">IFERROR(INDEX(종합!H$3:H$501,MATCH(ROW()-2,종합!$AB$3:$AB$501,0))&amp;"","")</f>
        <v/>
      </c>
      <c r="I343" s="21" t="str">
        <f aca="false">IFERROR(INDEX(종합!I$3:I$501,MATCH(ROW()-2,종합!$AB$3:$AB$501,0))&amp;"","")</f>
        <v/>
      </c>
      <c r="J343" s="21" t="str">
        <f aca="false">IFERROR(INDEX(종합!J$3:J$501,MATCH(ROW()-2,종합!$AB$3:$AB$501,0))&amp;"","")</f>
        <v/>
      </c>
      <c r="K343" s="21" t="str">
        <f aca="false">IFERROR(INDEX(종합!K$3:K$501,MATCH(ROW()-2,종합!$AB$3:$AB$501,0))&amp;"","")</f>
        <v/>
      </c>
      <c r="L343" s="21" t="str">
        <f aca="false">IFERROR(INDEX(종합!L$3:L$501,MATCH(ROW()-2,종합!$AB$3:$AB$501,0))&amp;"","")</f>
        <v/>
      </c>
      <c r="M343" s="21" t="str">
        <f aca="false">IFERROR(INDEX(종합!M$3:M$501,MATCH(ROW()-2,종합!$AB$3:$AB$501,0))&amp;"","")</f>
        <v/>
      </c>
      <c r="N343" s="25" t="str">
        <f aca="false">IFERROR(INDEX(종합!N$3:N$501,MATCH(ROW()-2,종합!$AB$3:$AB$501,0))&amp;"","")</f>
        <v/>
      </c>
      <c r="O343" s="21" t="str">
        <f aca="false">IFERROR(INDEX(종합!O$3:O$501,MATCH(ROW()-2,종합!$AB$3:$AB$501,0))&amp;"","")</f>
        <v/>
      </c>
      <c r="P343" s="21" t="str">
        <f aca="false">IFERROR(INDEX(종합!P$3:P$501,MATCH(ROW()-2,종합!$AB$3:$AB$501,0))&amp;"","")</f>
        <v/>
      </c>
      <c r="Q343" s="21" t="str">
        <f aca="false">IFERROR(INDEX(종합!Q$3:Q$501,MATCH(ROW()-2,종합!$AB$3:$AB$501,0))&amp;"","")</f>
        <v/>
      </c>
      <c r="R343" s="21" t="str">
        <f aca="false">IFERROR(INDEX(종합!R$3:R$501,MATCH(ROW()-2,종합!$AB$3:$AB$501,0))&amp;"","")</f>
        <v/>
      </c>
      <c r="S343" s="21" t="str">
        <f aca="false">IFERROR(INDEX(종합!S$3:S$501,MATCH(ROW()-2,종합!$AB$3:$AB$501,0))&amp;"","")</f>
        <v/>
      </c>
      <c r="T343" s="21" t="str">
        <f aca="false">IFERROR(INDEX(종합!T$3:T$501,MATCH(ROW()-2,종합!$AB$3:$AB$501,0))&amp;"","")</f>
        <v/>
      </c>
      <c r="U343" s="21" t="str">
        <f aca="false">IFERROR(INDEX(종합!U$3:U$501,MATCH(ROW()-2,종합!$AB$3:$AB$501,0))&amp;"","")</f>
        <v/>
      </c>
      <c r="V343" s="21" t="str">
        <f aca="false">IFERROR(INDEX(종합!V$3:V$501,MATCH(ROW()-2,종합!$AB$3:$AB$501,0))&amp;"","")</f>
        <v/>
      </c>
      <c r="W343" s="21" t="str">
        <f aca="false">IFERROR(INDEX(종합!W$3:W$501,MATCH(ROW()-2,종합!$AB$3:$AB$501,0))&amp;"","")</f>
        <v/>
      </c>
      <c r="X343" s="21" t="str">
        <f aca="false">IFERROR(INDEX(종합!X$3:X$501,MATCH(ROW()-2,종합!$AB$3:$AB$501,0))&amp;"","")</f>
        <v/>
      </c>
      <c r="Y343" s="21" t="str">
        <f aca="false">IFERROR(INDEX(종합!Y$3:Y$501,MATCH(ROW()-2,종합!$AB$3:$AB$501,0))&amp;"","")</f>
        <v/>
      </c>
      <c r="Z343" s="21" t="str">
        <f aca="false">IFERROR(INDEX(종합!Z$3:Z$501,MATCH(ROW()-2,종합!$AB$3:$AB$501,0))&amp;"","")</f>
        <v/>
      </c>
    </row>
    <row r="344" customFormat="false" ht="16.5" hidden="false" customHeight="true" outlineLevel="0" collapsed="false">
      <c r="A344" s="18" t="str">
        <f aca="false">IF(B344="","",ROW()-2)</f>
        <v/>
      </c>
      <c r="B344" s="18" t="str">
        <f aca="false">IFERROR(INDEX(종합!B$3:B$501,MATCH(ROW()-2,종합!$AB$3:$AB$501,0))&amp;"","")</f>
        <v/>
      </c>
      <c r="C344" s="18" t="str">
        <f aca="false">IFERROR(INDEX(종합!C$3:C$501,MATCH(ROW()-2,종합!$AB$3:$AB$501,0))&amp;"","")</f>
        <v/>
      </c>
      <c r="D344" s="18" t="str">
        <f aca="false">IFERROR(INDEX(종합!D$3:D$501,MATCH(ROW()-2,종합!$AB$3:$AB$501,0))&amp;"","")</f>
        <v/>
      </c>
      <c r="E344" s="18" t="str">
        <f aca="false">IFERROR(INDEX(종합!E$3:E$501,MATCH(ROW()-2,종합!$AB$3:$AB$501,0))&amp;"","")</f>
        <v/>
      </c>
      <c r="F344" s="18" t="str">
        <f aca="false">IFERROR(INDEX(종합!F$3:F$501,MATCH(ROW()-2,종합!$AB$3:$AB$501,0))&amp;"","")</f>
        <v/>
      </c>
      <c r="G344" s="18" t="str">
        <f aca="false">IFERROR(INDEX(종합!G$3:G$501,MATCH(ROW()-2,종합!$AB$3:$AB$501,0))&amp;"","")</f>
        <v/>
      </c>
      <c r="H344" s="21" t="str">
        <f aca="false">IFERROR(INDEX(종합!H$3:H$501,MATCH(ROW()-2,종합!$AB$3:$AB$501,0))&amp;"","")</f>
        <v/>
      </c>
      <c r="I344" s="21" t="str">
        <f aca="false">IFERROR(INDEX(종합!I$3:I$501,MATCH(ROW()-2,종합!$AB$3:$AB$501,0))&amp;"","")</f>
        <v/>
      </c>
      <c r="J344" s="21" t="str">
        <f aca="false">IFERROR(INDEX(종합!J$3:J$501,MATCH(ROW()-2,종합!$AB$3:$AB$501,0))&amp;"","")</f>
        <v/>
      </c>
      <c r="K344" s="21" t="str">
        <f aca="false">IFERROR(INDEX(종합!K$3:K$501,MATCH(ROW()-2,종합!$AB$3:$AB$501,0))&amp;"","")</f>
        <v/>
      </c>
      <c r="L344" s="21" t="str">
        <f aca="false">IFERROR(INDEX(종합!L$3:L$501,MATCH(ROW()-2,종합!$AB$3:$AB$501,0))&amp;"","")</f>
        <v/>
      </c>
      <c r="M344" s="21" t="str">
        <f aca="false">IFERROR(INDEX(종합!M$3:M$501,MATCH(ROW()-2,종합!$AB$3:$AB$501,0))&amp;"","")</f>
        <v/>
      </c>
      <c r="N344" s="25" t="str">
        <f aca="false">IFERROR(INDEX(종합!N$3:N$501,MATCH(ROW()-2,종합!$AB$3:$AB$501,0))&amp;"","")</f>
        <v/>
      </c>
      <c r="O344" s="21" t="str">
        <f aca="false">IFERROR(INDEX(종합!O$3:O$501,MATCH(ROW()-2,종합!$AB$3:$AB$501,0))&amp;"","")</f>
        <v/>
      </c>
      <c r="P344" s="21" t="str">
        <f aca="false">IFERROR(INDEX(종합!P$3:P$501,MATCH(ROW()-2,종합!$AB$3:$AB$501,0))&amp;"","")</f>
        <v/>
      </c>
      <c r="Q344" s="21" t="str">
        <f aca="false">IFERROR(INDEX(종합!Q$3:Q$501,MATCH(ROW()-2,종합!$AB$3:$AB$501,0))&amp;"","")</f>
        <v/>
      </c>
      <c r="R344" s="21" t="str">
        <f aca="false">IFERROR(INDEX(종합!R$3:R$501,MATCH(ROW()-2,종합!$AB$3:$AB$501,0))&amp;"","")</f>
        <v/>
      </c>
      <c r="S344" s="21" t="str">
        <f aca="false">IFERROR(INDEX(종합!S$3:S$501,MATCH(ROW()-2,종합!$AB$3:$AB$501,0))&amp;"","")</f>
        <v/>
      </c>
      <c r="T344" s="21" t="str">
        <f aca="false">IFERROR(INDEX(종합!T$3:T$501,MATCH(ROW()-2,종합!$AB$3:$AB$501,0))&amp;"","")</f>
        <v/>
      </c>
      <c r="U344" s="21" t="str">
        <f aca="false">IFERROR(INDEX(종합!U$3:U$501,MATCH(ROW()-2,종합!$AB$3:$AB$501,0))&amp;"","")</f>
        <v/>
      </c>
      <c r="V344" s="21" t="str">
        <f aca="false">IFERROR(INDEX(종합!V$3:V$501,MATCH(ROW()-2,종합!$AB$3:$AB$501,0))&amp;"","")</f>
        <v/>
      </c>
      <c r="W344" s="21" t="str">
        <f aca="false">IFERROR(INDEX(종합!W$3:W$501,MATCH(ROW()-2,종합!$AB$3:$AB$501,0))&amp;"","")</f>
        <v/>
      </c>
      <c r="X344" s="21" t="str">
        <f aca="false">IFERROR(INDEX(종합!X$3:X$501,MATCH(ROW()-2,종합!$AB$3:$AB$501,0))&amp;"","")</f>
        <v/>
      </c>
      <c r="Y344" s="21" t="str">
        <f aca="false">IFERROR(INDEX(종합!Y$3:Y$501,MATCH(ROW()-2,종합!$AB$3:$AB$501,0))&amp;"","")</f>
        <v/>
      </c>
      <c r="Z344" s="21" t="str">
        <f aca="false">IFERROR(INDEX(종합!Z$3:Z$501,MATCH(ROW()-2,종합!$AB$3:$AB$501,0))&amp;"","")</f>
        <v/>
      </c>
    </row>
    <row r="345" customFormat="false" ht="16.5" hidden="false" customHeight="true" outlineLevel="0" collapsed="false">
      <c r="A345" s="18" t="str">
        <f aca="false">IF(B345="","",ROW()-2)</f>
        <v/>
      </c>
      <c r="B345" s="18" t="str">
        <f aca="false">IFERROR(INDEX(종합!B$3:B$501,MATCH(ROW()-2,종합!$AB$3:$AB$501,0))&amp;"","")</f>
        <v/>
      </c>
      <c r="C345" s="18" t="str">
        <f aca="false">IFERROR(INDEX(종합!C$3:C$501,MATCH(ROW()-2,종합!$AB$3:$AB$501,0))&amp;"","")</f>
        <v/>
      </c>
      <c r="D345" s="18" t="str">
        <f aca="false">IFERROR(INDEX(종합!D$3:D$501,MATCH(ROW()-2,종합!$AB$3:$AB$501,0))&amp;"","")</f>
        <v/>
      </c>
      <c r="E345" s="18" t="str">
        <f aca="false">IFERROR(INDEX(종합!E$3:E$501,MATCH(ROW()-2,종합!$AB$3:$AB$501,0))&amp;"","")</f>
        <v/>
      </c>
      <c r="F345" s="18" t="str">
        <f aca="false">IFERROR(INDEX(종합!F$3:F$501,MATCH(ROW()-2,종합!$AB$3:$AB$501,0))&amp;"","")</f>
        <v/>
      </c>
      <c r="G345" s="18" t="str">
        <f aca="false">IFERROR(INDEX(종합!G$3:G$501,MATCH(ROW()-2,종합!$AB$3:$AB$501,0))&amp;"","")</f>
        <v/>
      </c>
      <c r="H345" s="21" t="str">
        <f aca="false">IFERROR(INDEX(종합!H$3:H$501,MATCH(ROW()-2,종합!$AB$3:$AB$501,0))&amp;"","")</f>
        <v/>
      </c>
      <c r="I345" s="21" t="str">
        <f aca="false">IFERROR(INDEX(종합!I$3:I$501,MATCH(ROW()-2,종합!$AB$3:$AB$501,0))&amp;"","")</f>
        <v/>
      </c>
      <c r="J345" s="21" t="str">
        <f aca="false">IFERROR(INDEX(종합!J$3:J$501,MATCH(ROW()-2,종합!$AB$3:$AB$501,0))&amp;"","")</f>
        <v/>
      </c>
      <c r="K345" s="21" t="str">
        <f aca="false">IFERROR(INDEX(종합!K$3:K$501,MATCH(ROW()-2,종합!$AB$3:$AB$501,0))&amp;"","")</f>
        <v/>
      </c>
      <c r="L345" s="21" t="str">
        <f aca="false">IFERROR(INDEX(종합!L$3:L$501,MATCH(ROW()-2,종합!$AB$3:$AB$501,0))&amp;"","")</f>
        <v/>
      </c>
      <c r="M345" s="21" t="str">
        <f aca="false">IFERROR(INDEX(종합!M$3:M$501,MATCH(ROW()-2,종합!$AB$3:$AB$501,0))&amp;"","")</f>
        <v/>
      </c>
      <c r="N345" s="25" t="str">
        <f aca="false">IFERROR(INDEX(종합!N$3:N$501,MATCH(ROW()-2,종합!$AB$3:$AB$501,0))&amp;"","")</f>
        <v/>
      </c>
      <c r="O345" s="21" t="str">
        <f aca="false">IFERROR(INDEX(종합!O$3:O$501,MATCH(ROW()-2,종합!$AB$3:$AB$501,0))&amp;"","")</f>
        <v/>
      </c>
      <c r="P345" s="21" t="str">
        <f aca="false">IFERROR(INDEX(종합!P$3:P$501,MATCH(ROW()-2,종합!$AB$3:$AB$501,0))&amp;"","")</f>
        <v/>
      </c>
      <c r="Q345" s="21" t="str">
        <f aca="false">IFERROR(INDEX(종합!Q$3:Q$501,MATCH(ROW()-2,종합!$AB$3:$AB$501,0))&amp;"","")</f>
        <v/>
      </c>
      <c r="R345" s="21" t="str">
        <f aca="false">IFERROR(INDEX(종합!R$3:R$501,MATCH(ROW()-2,종합!$AB$3:$AB$501,0))&amp;"","")</f>
        <v/>
      </c>
      <c r="S345" s="21" t="str">
        <f aca="false">IFERROR(INDEX(종합!S$3:S$501,MATCH(ROW()-2,종합!$AB$3:$AB$501,0))&amp;"","")</f>
        <v/>
      </c>
      <c r="T345" s="21" t="str">
        <f aca="false">IFERROR(INDEX(종합!T$3:T$501,MATCH(ROW()-2,종합!$AB$3:$AB$501,0))&amp;"","")</f>
        <v/>
      </c>
      <c r="U345" s="21" t="str">
        <f aca="false">IFERROR(INDEX(종합!U$3:U$501,MATCH(ROW()-2,종합!$AB$3:$AB$501,0))&amp;"","")</f>
        <v/>
      </c>
      <c r="V345" s="21" t="str">
        <f aca="false">IFERROR(INDEX(종합!V$3:V$501,MATCH(ROW()-2,종합!$AB$3:$AB$501,0))&amp;"","")</f>
        <v/>
      </c>
      <c r="W345" s="21" t="str">
        <f aca="false">IFERROR(INDEX(종합!W$3:W$501,MATCH(ROW()-2,종합!$AB$3:$AB$501,0))&amp;"","")</f>
        <v/>
      </c>
      <c r="X345" s="21" t="str">
        <f aca="false">IFERROR(INDEX(종합!X$3:X$501,MATCH(ROW()-2,종합!$AB$3:$AB$501,0))&amp;"","")</f>
        <v/>
      </c>
      <c r="Y345" s="21" t="str">
        <f aca="false">IFERROR(INDEX(종합!Y$3:Y$501,MATCH(ROW()-2,종합!$AB$3:$AB$501,0))&amp;"","")</f>
        <v/>
      </c>
      <c r="Z345" s="21" t="str">
        <f aca="false">IFERROR(INDEX(종합!Z$3:Z$501,MATCH(ROW()-2,종합!$AB$3:$AB$501,0))&amp;"","")</f>
        <v/>
      </c>
    </row>
    <row r="346" customFormat="false" ht="16.5" hidden="false" customHeight="true" outlineLevel="0" collapsed="false">
      <c r="A346" s="18" t="str">
        <f aca="false">IF(B346="","",ROW()-2)</f>
        <v/>
      </c>
      <c r="B346" s="18" t="str">
        <f aca="false">IFERROR(INDEX(종합!B$3:B$501,MATCH(ROW()-2,종합!$AB$3:$AB$501,0))&amp;"","")</f>
        <v/>
      </c>
      <c r="C346" s="18" t="str">
        <f aca="false">IFERROR(INDEX(종합!C$3:C$501,MATCH(ROW()-2,종합!$AB$3:$AB$501,0))&amp;"","")</f>
        <v/>
      </c>
      <c r="D346" s="18" t="str">
        <f aca="false">IFERROR(INDEX(종합!D$3:D$501,MATCH(ROW()-2,종합!$AB$3:$AB$501,0))&amp;"","")</f>
        <v/>
      </c>
      <c r="E346" s="18" t="str">
        <f aca="false">IFERROR(INDEX(종합!E$3:E$501,MATCH(ROW()-2,종합!$AB$3:$AB$501,0))&amp;"","")</f>
        <v/>
      </c>
      <c r="F346" s="18" t="str">
        <f aca="false">IFERROR(INDEX(종합!F$3:F$501,MATCH(ROW()-2,종합!$AB$3:$AB$501,0))&amp;"","")</f>
        <v/>
      </c>
      <c r="G346" s="18" t="str">
        <f aca="false">IFERROR(INDEX(종합!G$3:G$501,MATCH(ROW()-2,종합!$AB$3:$AB$501,0))&amp;"","")</f>
        <v/>
      </c>
      <c r="H346" s="21" t="str">
        <f aca="false">IFERROR(INDEX(종합!H$3:H$501,MATCH(ROW()-2,종합!$AB$3:$AB$501,0))&amp;"","")</f>
        <v/>
      </c>
      <c r="I346" s="21" t="str">
        <f aca="false">IFERROR(INDEX(종합!I$3:I$501,MATCH(ROW()-2,종합!$AB$3:$AB$501,0))&amp;"","")</f>
        <v/>
      </c>
      <c r="J346" s="21" t="str">
        <f aca="false">IFERROR(INDEX(종합!J$3:J$501,MATCH(ROW()-2,종합!$AB$3:$AB$501,0))&amp;"","")</f>
        <v/>
      </c>
      <c r="K346" s="21" t="str">
        <f aca="false">IFERROR(INDEX(종합!K$3:K$501,MATCH(ROW()-2,종합!$AB$3:$AB$501,0))&amp;"","")</f>
        <v/>
      </c>
      <c r="L346" s="21" t="str">
        <f aca="false">IFERROR(INDEX(종합!L$3:L$501,MATCH(ROW()-2,종합!$AB$3:$AB$501,0))&amp;"","")</f>
        <v/>
      </c>
      <c r="M346" s="21" t="str">
        <f aca="false">IFERROR(INDEX(종합!M$3:M$501,MATCH(ROW()-2,종합!$AB$3:$AB$501,0))&amp;"","")</f>
        <v/>
      </c>
      <c r="N346" s="25" t="str">
        <f aca="false">IFERROR(INDEX(종합!N$3:N$501,MATCH(ROW()-2,종합!$AB$3:$AB$501,0))&amp;"","")</f>
        <v/>
      </c>
      <c r="O346" s="21" t="str">
        <f aca="false">IFERROR(INDEX(종합!O$3:O$501,MATCH(ROW()-2,종합!$AB$3:$AB$501,0))&amp;"","")</f>
        <v/>
      </c>
      <c r="P346" s="21" t="str">
        <f aca="false">IFERROR(INDEX(종합!P$3:P$501,MATCH(ROW()-2,종합!$AB$3:$AB$501,0))&amp;"","")</f>
        <v/>
      </c>
      <c r="Q346" s="21" t="str">
        <f aca="false">IFERROR(INDEX(종합!Q$3:Q$501,MATCH(ROW()-2,종합!$AB$3:$AB$501,0))&amp;"","")</f>
        <v/>
      </c>
      <c r="R346" s="21" t="str">
        <f aca="false">IFERROR(INDEX(종합!R$3:R$501,MATCH(ROW()-2,종합!$AB$3:$AB$501,0))&amp;"","")</f>
        <v/>
      </c>
      <c r="S346" s="21" t="str">
        <f aca="false">IFERROR(INDEX(종합!S$3:S$501,MATCH(ROW()-2,종합!$AB$3:$AB$501,0))&amp;"","")</f>
        <v/>
      </c>
      <c r="T346" s="21" t="str">
        <f aca="false">IFERROR(INDEX(종합!T$3:T$501,MATCH(ROW()-2,종합!$AB$3:$AB$501,0))&amp;"","")</f>
        <v/>
      </c>
      <c r="U346" s="21" t="str">
        <f aca="false">IFERROR(INDEX(종합!U$3:U$501,MATCH(ROW()-2,종합!$AB$3:$AB$501,0))&amp;"","")</f>
        <v/>
      </c>
      <c r="V346" s="21" t="str">
        <f aca="false">IFERROR(INDEX(종합!V$3:V$501,MATCH(ROW()-2,종합!$AB$3:$AB$501,0))&amp;"","")</f>
        <v/>
      </c>
      <c r="W346" s="21" t="str">
        <f aca="false">IFERROR(INDEX(종합!W$3:W$501,MATCH(ROW()-2,종합!$AB$3:$AB$501,0))&amp;"","")</f>
        <v/>
      </c>
      <c r="X346" s="21" t="str">
        <f aca="false">IFERROR(INDEX(종합!X$3:X$501,MATCH(ROW()-2,종합!$AB$3:$AB$501,0))&amp;"","")</f>
        <v/>
      </c>
      <c r="Y346" s="21" t="str">
        <f aca="false">IFERROR(INDEX(종합!Y$3:Y$501,MATCH(ROW()-2,종합!$AB$3:$AB$501,0))&amp;"","")</f>
        <v/>
      </c>
      <c r="Z346" s="21" t="str">
        <f aca="false">IFERROR(INDEX(종합!Z$3:Z$501,MATCH(ROW()-2,종합!$AB$3:$AB$501,0))&amp;"","")</f>
        <v/>
      </c>
    </row>
    <row r="347" customFormat="false" ht="16.5" hidden="false" customHeight="true" outlineLevel="0" collapsed="false">
      <c r="A347" s="18" t="str">
        <f aca="false">IF(B347="","",ROW()-2)</f>
        <v/>
      </c>
      <c r="B347" s="18" t="str">
        <f aca="false">IFERROR(INDEX(종합!B$3:B$501,MATCH(ROW()-2,종합!$AB$3:$AB$501,0))&amp;"","")</f>
        <v/>
      </c>
      <c r="C347" s="18" t="str">
        <f aca="false">IFERROR(INDEX(종합!C$3:C$501,MATCH(ROW()-2,종합!$AB$3:$AB$501,0))&amp;"","")</f>
        <v/>
      </c>
      <c r="D347" s="18" t="str">
        <f aca="false">IFERROR(INDEX(종합!D$3:D$501,MATCH(ROW()-2,종합!$AB$3:$AB$501,0))&amp;"","")</f>
        <v/>
      </c>
      <c r="E347" s="18" t="str">
        <f aca="false">IFERROR(INDEX(종합!E$3:E$501,MATCH(ROW()-2,종합!$AB$3:$AB$501,0))&amp;"","")</f>
        <v/>
      </c>
      <c r="F347" s="18" t="str">
        <f aca="false">IFERROR(INDEX(종합!F$3:F$501,MATCH(ROW()-2,종합!$AB$3:$AB$501,0))&amp;"","")</f>
        <v/>
      </c>
      <c r="G347" s="18" t="str">
        <f aca="false">IFERROR(INDEX(종합!G$3:G$501,MATCH(ROW()-2,종합!$AB$3:$AB$501,0))&amp;"","")</f>
        <v/>
      </c>
      <c r="H347" s="21" t="str">
        <f aca="false">IFERROR(INDEX(종합!H$3:H$501,MATCH(ROW()-2,종합!$AB$3:$AB$501,0))&amp;"","")</f>
        <v/>
      </c>
      <c r="I347" s="21" t="str">
        <f aca="false">IFERROR(INDEX(종합!I$3:I$501,MATCH(ROW()-2,종합!$AB$3:$AB$501,0))&amp;"","")</f>
        <v/>
      </c>
      <c r="J347" s="21" t="str">
        <f aca="false">IFERROR(INDEX(종합!J$3:J$501,MATCH(ROW()-2,종합!$AB$3:$AB$501,0))&amp;"","")</f>
        <v/>
      </c>
      <c r="K347" s="21" t="str">
        <f aca="false">IFERROR(INDEX(종합!K$3:K$501,MATCH(ROW()-2,종합!$AB$3:$AB$501,0))&amp;"","")</f>
        <v/>
      </c>
      <c r="L347" s="21" t="str">
        <f aca="false">IFERROR(INDEX(종합!L$3:L$501,MATCH(ROW()-2,종합!$AB$3:$AB$501,0))&amp;"","")</f>
        <v/>
      </c>
      <c r="M347" s="21" t="str">
        <f aca="false">IFERROR(INDEX(종합!M$3:M$501,MATCH(ROW()-2,종합!$AB$3:$AB$501,0))&amp;"","")</f>
        <v/>
      </c>
      <c r="N347" s="25" t="str">
        <f aca="false">IFERROR(INDEX(종합!N$3:N$501,MATCH(ROW()-2,종합!$AB$3:$AB$501,0))&amp;"","")</f>
        <v/>
      </c>
      <c r="O347" s="21" t="str">
        <f aca="false">IFERROR(INDEX(종합!O$3:O$501,MATCH(ROW()-2,종합!$AB$3:$AB$501,0))&amp;"","")</f>
        <v/>
      </c>
      <c r="P347" s="21" t="str">
        <f aca="false">IFERROR(INDEX(종합!P$3:P$501,MATCH(ROW()-2,종합!$AB$3:$AB$501,0))&amp;"","")</f>
        <v/>
      </c>
      <c r="Q347" s="21" t="str">
        <f aca="false">IFERROR(INDEX(종합!Q$3:Q$501,MATCH(ROW()-2,종합!$AB$3:$AB$501,0))&amp;"","")</f>
        <v/>
      </c>
      <c r="R347" s="21" t="str">
        <f aca="false">IFERROR(INDEX(종합!R$3:R$501,MATCH(ROW()-2,종합!$AB$3:$AB$501,0))&amp;"","")</f>
        <v/>
      </c>
      <c r="S347" s="21" t="str">
        <f aca="false">IFERROR(INDEX(종합!S$3:S$501,MATCH(ROW()-2,종합!$AB$3:$AB$501,0))&amp;"","")</f>
        <v/>
      </c>
      <c r="T347" s="21" t="str">
        <f aca="false">IFERROR(INDEX(종합!T$3:T$501,MATCH(ROW()-2,종합!$AB$3:$AB$501,0))&amp;"","")</f>
        <v/>
      </c>
      <c r="U347" s="21" t="str">
        <f aca="false">IFERROR(INDEX(종합!U$3:U$501,MATCH(ROW()-2,종합!$AB$3:$AB$501,0))&amp;"","")</f>
        <v/>
      </c>
      <c r="V347" s="21" t="str">
        <f aca="false">IFERROR(INDEX(종합!V$3:V$501,MATCH(ROW()-2,종합!$AB$3:$AB$501,0))&amp;"","")</f>
        <v/>
      </c>
      <c r="W347" s="21" t="str">
        <f aca="false">IFERROR(INDEX(종합!W$3:W$501,MATCH(ROW()-2,종합!$AB$3:$AB$501,0))&amp;"","")</f>
        <v/>
      </c>
      <c r="X347" s="21" t="str">
        <f aca="false">IFERROR(INDEX(종합!X$3:X$501,MATCH(ROW()-2,종합!$AB$3:$AB$501,0))&amp;"","")</f>
        <v/>
      </c>
      <c r="Y347" s="21" t="str">
        <f aca="false">IFERROR(INDEX(종합!Y$3:Y$501,MATCH(ROW()-2,종합!$AB$3:$AB$501,0))&amp;"","")</f>
        <v/>
      </c>
      <c r="Z347" s="21" t="str">
        <f aca="false">IFERROR(INDEX(종합!Z$3:Z$501,MATCH(ROW()-2,종합!$AB$3:$AB$501,0))&amp;"","")</f>
        <v/>
      </c>
    </row>
    <row r="348" customFormat="false" ht="16.5" hidden="false" customHeight="true" outlineLevel="0" collapsed="false">
      <c r="A348" s="18" t="str">
        <f aca="false">IF(B348="","",ROW()-2)</f>
        <v/>
      </c>
      <c r="B348" s="18" t="str">
        <f aca="false">IFERROR(INDEX(종합!B$3:B$501,MATCH(ROW()-2,종합!$AB$3:$AB$501,0))&amp;"","")</f>
        <v/>
      </c>
      <c r="C348" s="18" t="str">
        <f aca="false">IFERROR(INDEX(종합!C$3:C$501,MATCH(ROW()-2,종합!$AB$3:$AB$501,0))&amp;"","")</f>
        <v/>
      </c>
      <c r="D348" s="18" t="str">
        <f aca="false">IFERROR(INDEX(종합!D$3:D$501,MATCH(ROW()-2,종합!$AB$3:$AB$501,0))&amp;"","")</f>
        <v/>
      </c>
      <c r="E348" s="18" t="str">
        <f aca="false">IFERROR(INDEX(종합!E$3:E$501,MATCH(ROW()-2,종합!$AB$3:$AB$501,0))&amp;"","")</f>
        <v/>
      </c>
      <c r="F348" s="18" t="str">
        <f aca="false">IFERROR(INDEX(종합!F$3:F$501,MATCH(ROW()-2,종합!$AB$3:$AB$501,0))&amp;"","")</f>
        <v/>
      </c>
      <c r="G348" s="18" t="str">
        <f aca="false">IFERROR(INDEX(종합!G$3:G$501,MATCH(ROW()-2,종합!$AB$3:$AB$501,0))&amp;"","")</f>
        <v/>
      </c>
      <c r="H348" s="21" t="str">
        <f aca="false">IFERROR(INDEX(종합!H$3:H$501,MATCH(ROW()-2,종합!$AB$3:$AB$501,0))&amp;"","")</f>
        <v/>
      </c>
      <c r="I348" s="21" t="str">
        <f aca="false">IFERROR(INDEX(종합!I$3:I$501,MATCH(ROW()-2,종합!$AB$3:$AB$501,0))&amp;"","")</f>
        <v/>
      </c>
      <c r="J348" s="21" t="str">
        <f aca="false">IFERROR(INDEX(종합!J$3:J$501,MATCH(ROW()-2,종합!$AB$3:$AB$501,0))&amp;"","")</f>
        <v/>
      </c>
      <c r="K348" s="21" t="str">
        <f aca="false">IFERROR(INDEX(종합!K$3:K$501,MATCH(ROW()-2,종합!$AB$3:$AB$501,0))&amp;"","")</f>
        <v/>
      </c>
      <c r="L348" s="21" t="str">
        <f aca="false">IFERROR(INDEX(종합!L$3:L$501,MATCH(ROW()-2,종합!$AB$3:$AB$501,0))&amp;"","")</f>
        <v/>
      </c>
      <c r="M348" s="21" t="str">
        <f aca="false">IFERROR(INDEX(종합!M$3:M$501,MATCH(ROW()-2,종합!$AB$3:$AB$501,0))&amp;"","")</f>
        <v/>
      </c>
      <c r="N348" s="25" t="str">
        <f aca="false">IFERROR(INDEX(종합!N$3:N$501,MATCH(ROW()-2,종합!$AB$3:$AB$501,0))&amp;"","")</f>
        <v/>
      </c>
      <c r="O348" s="21" t="str">
        <f aca="false">IFERROR(INDEX(종합!O$3:O$501,MATCH(ROW()-2,종합!$AB$3:$AB$501,0))&amp;"","")</f>
        <v/>
      </c>
      <c r="P348" s="21" t="str">
        <f aca="false">IFERROR(INDEX(종합!P$3:P$501,MATCH(ROW()-2,종합!$AB$3:$AB$501,0))&amp;"","")</f>
        <v/>
      </c>
      <c r="Q348" s="21" t="str">
        <f aca="false">IFERROR(INDEX(종합!Q$3:Q$501,MATCH(ROW()-2,종합!$AB$3:$AB$501,0))&amp;"","")</f>
        <v/>
      </c>
      <c r="R348" s="21" t="str">
        <f aca="false">IFERROR(INDEX(종합!R$3:R$501,MATCH(ROW()-2,종합!$AB$3:$AB$501,0))&amp;"","")</f>
        <v/>
      </c>
      <c r="S348" s="21" t="str">
        <f aca="false">IFERROR(INDEX(종합!S$3:S$501,MATCH(ROW()-2,종합!$AB$3:$AB$501,0))&amp;"","")</f>
        <v/>
      </c>
      <c r="T348" s="21" t="str">
        <f aca="false">IFERROR(INDEX(종합!T$3:T$501,MATCH(ROW()-2,종합!$AB$3:$AB$501,0))&amp;"","")</f>
        <v/>
      </c>
      <c r="U348" s="21" t="str">
        <f aca="false">IFERROR(INDEX(종합!U$3:U$501,MATCH(ROW()-2,종합!$AB$3:$AB$501,0))&amp;"","")</f>
        <v/>
      </c>
      <c r="V348" s="21" t="str">
        <f aca="false">IFERROR(INDEX(종합!V$3:V$501,MATCH(ROW()-2,종합!$AB$3:$AB$501,0))&amp;"","")</f>
        <v/>
      </c>
      <c r="W348" s="21" t="str">
        <f aca="false">IFERROR(INDEX(종합!W$3:W$501,MATCH(ROW()-2,종합!$AB$3:$AB$501,0))&amp;"","")</f>
        <v/>
      </c>
      <c r="X348" s="21" t="str">
        <f aca="false">IFERROR(INDEX(종합!X$3:X$501,MATCH(ROW()-2,종합!$AB$3:$AB$501,0))&amp;"","")</f>
        <v/>
      </c>
      <c r="Y348" s="21" t="str">
        <f aca="false">IFERROR(INDEX(종합!Y$3:Y$501,MATCH(ROW()-2,종합!$AB$3:$AB$501,0))&amp;"","")</f>
        <v/>
      </c>
      <c r="Z348" s="21" t="str">
        <f aca="false">IFERROR(INDEX(종합!Z$3:Z$501,MATCH(ROW()-2,종합!$AB$3:$AB$501,0))&amp;"","")</f>
        <v/>
      </c>
    </row>
    <row r="349" customFormat="false" ht="16.5" hidden="false" customHeight="true" outlineLevel="0" collapsed="false">
      <c r="A349" s="18" t="str">
        <f aca="false">IF(B349="","",ROW()-2)</f>
        <v/>
      </c>
      <c r="B349" s="18" t="str">
        <f aca="false">IFERROR(INDEX(종합!B$3:B$501,MATCH(ROW()-2,종합!$AB$3:$AB$501,0))&amp;"","")</f>
        <v/>
      </c>
      <c r="C349" s="18" t="str">
        <f aca="false">IFERROR(INDEX(종합!C$3:C$501,MATCH(ROW()-2,종합!$AB$3:$AB$501,0))&amp;"","")</f>
        <v/>
      </c>
      <c r="D349" s="18" t="str">
        <f aca="false">IFERROR(INDEX(종합!D$3:D$501,MATCH(ROW()-2,종합!$AB$3:$AB$501,0))&amp;"","")</f>
        <v/>
      </c>
      <c r="E349" s="18" t="str">
        <f aca="false">IFERROR(INDEX(종합!E$3:E$501,MATCH(ROW()-2,종합!$AB$3:$AB$501,0))&amp;"","")</f>
        <v/>
      </c>
      <c r="F349" s="18" t="str">
        <f aca="false">IFERROR(INDEX(종합!F$3:F$501,MATCH(ROW()-2,종합!$AB$3:$AB$501,0))&amp;"","")</f>
        <v/>
      </c>
      <c r="G349" s="18" t="str">
        <f aca="false">IFERROR(INDEX(종합!G$3:G$501,MATCH(ROW()-2,종합!$AB$3:$AB$501,0))&amp;"","")</f>
        <v/>
      </c>
      <c r="H349" s="21" t="str">
        <f aca="false">IFERROR(INDEX(종합!H$3:H$501,MATCH(ROW()-2,종합!$AB$3:$AB$501,0))&amp;"","")</f>
        <v/>
      </c>
      <c r="I349" s="21" t="str">
        <f aca="false">IFERROR(INDEX(종합!I$3:I$501,MATCH(ROW()-2,종합!$AB$3:$AB$501,0))&amp;"","")</f>
        <v/>
      </c>
      <c r="J349" s="21" t="str">
        <f aca="false">IFERROR(INDEX(종합!J$3:J$501,MATCH(ROW()-2,종합!$AB$3:$AB$501,0))&amp;"","")</f>
        <v/>
      </c>
      <c r="K349" s="21" t="str">
        <f aca="false">IFERROR(INDEX(종합!K$3:K$501,MATCH(ROW()-2,종합!$AB$3:$AB$501,0))&amp;"","")</f>
        <v/>
      </c>
      <c r="L349" s="21" t="str">
        <f aca="false">IFERROR(INDEX(종합!L$3:L$501,MATCH(ROW()-2,종합!$AB$3:$AB$501,0))&amp;"","")</f>
        <v/>
      </c>
      <c r="M349" s="21" t="str">
        <f aca="false">IFERROR(INDEX(종합!M$3:M$501,MATCH(ROW()-2,종합!$AB$3:$AB$501,0))&amp;"","")</f>
        <v/>
      </c>
      <c r="N349" s="25" t="str">
        <f aca="false">IFERROR(INDEX(종합!N$3:N$501,MATCH(ROW()-2,종합!$AB$3:$AB$501,0))&amp;"","")</f>
        <v/>
      </c>
      <c r="O349" s="21" t="str">
        <f aca="false">IFERROR(INDEX(종합!O$3:O$501,MATCH(ROW()-2,종합!$AB$3:$AB$501,0))&amp;"","")</f>
        <v/>
      </c>
      <c r="P349" s="21" t="str">
        <f aca="false">IFERROR(INDEX(종합!P$3:P$501,MATCH(ROW()-2,종합!$AB$3:$AB$501,0))&amp;"","")</f>
        <v/>
      </c>
      <c r="Q349" s="21" t="str">
        <f aca="false">IFERROR(INDEX(종합!Q$3:Q$501,MATCH(ROW()-2,종합!$AB$3:$AB$501,0))&amp;"","")</f>
        <v/>
      </c>
      <c r="R349" s="21" t="str">
        <f aca="false">IFERROR(INDEX(종합!R$3:R$501,MATCH(ROW()-2,종합!$AB$3:$AB$501,0))&amp;"","")</f>
        <v/>
      </c>
      <c r="S349" s="21" t="str">
        <f aca="false">IFERROR(INDEX(종합!S$3:S$501,MATCH(ROW()-2,종합!$AB$3:$AB$501,0))&amp;"","")</f>
        <v/>
      </c>
      <c r="T349" s="21" t="str">
        <f aca="false">IFERROR(INDEX(종합!T$3:T$501,MATCH(ROW()-2,종합!$AB$3:$AB$501,0))&amp;"","")</f>
        <v/>
      </c>
      <c r="U349" s="21" t="str">
        <f aca="false">IFERROR(INDEX(종합!U$3:U$501,MATCH(ROW()-2,종합!$AB$3:$AB$501,0))&amp;"","")</f>
        <v/>
      </c>
      <c r="V349" s="21" t="str">
        <f aca="false">IFERROR(INDEX(종합!V$3:V$501,MATCH(ROW()-2,종합!$AB$3:$AB$501,0))&amp;"","")</f>
        <v/>
      </c>
      <c r="W349" s="21" t="str">
        <f aca="false">IFERROR(INDEX(종합!W$3:W$501,MATCH(ROW()-2,종합!$AB$3:$AB$501,0))&amp;"","")</f>
        <v/>
      </c>
      <c r="X349" s="21" t="str">
        <f aca="false">IFERROR(INDEX(종합!X$3:X$501,MATCH(ROW()-2,종합!$AB$3:$AB$501,0))&amp;"","")</f>
        <v/>
      </c>
      <c r="Y349" s="21" t="str">
        <f aca="false">IFERROR(INDEX(종합!Y$3:Y$501,MATCH(ROW()-2,종합!$AB$3:$AB$501,0))&amp;"","")</f>
        <v/>
      </c>
      <c r="Z349" s="21" t="str">
        <f aca="false">IFERROR(INDEX(종합!Z$3:Z$501,MATCH(ROW()-2,종합!$AB$3:$AB$501,0))&amp;"","")</f>
        <v/>
      </c>
    </row>
    <row r="350" customFormat="false" ht="16.5" hidden="false" customHeight="true" outlineLevel="0" collapsed="false">
      <c r="A350" s="18" t="str">
        <f aca="false">IF(B350="","",ROW()-2)</f>
        <v/>
      </c>
      <c r="B350" s="18" t="str">
        <f aca="false">IFERROR(INDEX(종합!B$3:B$501,MATCH(ROW()-2,종합!$AB$3:$AB$501,0))&amp;"","")</f>
        <v/>
      </c>
      <c r="C350" s="18" t="str">
        <f aca="false">IFERROR(INDEX(종합!C$3:C$501,MATCH(ROW()-2,종합!$AB$3:$AB$501,0))&amp;"","")</f>
        <v/>
      </c>
      <c r="D350" s="18" t="str">
        <f aca="false">IFERROR(INDEX(종합!D$3:D$501,MATCH(ROW()-2,종합!$AB$3:$AB$501,0))&amp;"","")</f>
        <v/>
      </c>
      <c r="E350" s="18" t="str">
        <f aca="false">IFERROR(INDEX(종합!E$3:E$501,MATCH(ROW()-2,종합!$AB$3:$AB$501,0))&amp;"","")</f>
        <v/>
      </c>
      <c r="F350" s="18" t="str">
        <f aca="false">IFERROR(INDEX(종합!F$3:F$501,MATCH(ROW()-2,종합!$AB$3:$AB$501,0))&amp;"","")</f>
        <v/>
      </c>
      <c r="G350" s="18" t="str">
        <f aca="false">IFERROR(INDEX(종합!G$3:G$501,MATCH(ROW()-2,종합!$AB$3:$AB$501,0))&amp;"","")</f>
        <v/>
      </c>
      <c r="H350" s="21" t="str">
        <f aca="false">IFERROR(INDEX(종합!H$3:H$501,MATCH(ROW()-2,종합!$AB$3:$AB$501,0))&amp;"","")</f>
        <v/>
      </c>
      <c r="I350" s="21" t="str">
        <f aca="false">IFERROR(INDEX(종합!I$3:I$501,MATCH(ROW()-2,종합!$AB$3:$AB$501,0))&amp;"","")</f>
        <v/>
      </c>
      <c r="J350" s="21" t="str">
        <f aca="false">IFERROR(INDEX(종합!J$3:J$501,MATCH(ROW()-2,종합!$AB$3:$AB$501,0))&amp;"","")</f>
        <v/>
      </c>
      <c r="K350" s="21" t="str">
        <f aca="false">IFERROR(INDEX(종합!K$3:K$501,MATCH(ROW()-2,종합!$AB$3:$AB$501,0))&amp;"","")</f>
        <v/>
      </c>
      <c r="L350" s="21" t="str">
        <f aca="false">IFERROR(INDEX(종합!L$3:L$501,MATCH(ROW()-2,종합!$AB$3:$AB$501,0))&amp;"","")</f>
        <v/>
      </c>
      <c r="M350" s="21" t="str">
        <f aca="false">IFERROR(INDEX(종합!M$3:M$501,MATCH(ROW()-2,종합!$AB$3:$AB$501,0))&amp;"","")</f>
        <v/>
      </c>
      <c r="N350" s="25" t="str">
        <f aca="false">IFERROR(INDEX(종합!N$3:N$501,MATCH(ROW()-2,종합!$AB$3:$AB$501,0))&amp;"","")</f>
        <v/>
      </c>
      <c r="O350" s="21" t="str">
        <f aca="false">IFERROR(INDEX(종합!O$3:O$501,MATCH(ROW()-2,종합!$AB$3:$AB$501,0))&amp;"","")</f>
        <v/>
      </c>
      <c r="P350" s="21" t="str">
        <f aca="false">IFERROR(INDEX(종합!P$3:P$501,MATCH(ROW()-2,종합!$AB$3:$AB$501,0))&amp;"","")</f>
        <v/>
      </c>
      <c r="Q350" s="21" t="str">
        <f aca="false">IFERROR(INDEX(종합!Q$3:Q$501,MATCH(ROW()-2,종합!$AB$3:$AB$501,0))&amp;"","")</f>
        <v/>
      </c>
      <c r="R350" s="21" t="str">
        <f aca="false">IFERROR(INDEX(종합!R$3:R$501,MATCH(ROW()-2,종합!$AB$3:$AB$501,0))&amp;"","")</f>
        <v/>
      </c>
      <c r="S350" s="21" t="str">
        <f aca="false">IFERROR(INDEX(종합!S$3:S$501,MATCH(ROW()-2,종합!$AB$3:$AB$501,0))&amp;"","")</f>
        <v/>
      </c>
      <c r="T350" s="21" t="str">
        <f aca="false">IFERROR(INDEX(종합!T$3:T$501,MATCH(ROW()-2,종합!$AB$3:$AB$501,0))&amp;"","")</f>
        <v/>
      </c>
      <c r="U350" s="21" t="str">
        <f aca="false">IFERROR(INDEX(종합!U$3:U$501,MATCH(ROW()-2,종합!$AB$3:$AB$501,0))&amp;"","")</f>
        <v/>
      </c>
      <c r="V350" s="21" t="str">
        <f aca="false">IFERROR(INDEX(종합!V$3:V$501,MATCH(ROW()-2,종합!$AB$3:$AB$501,0))&amp;"","")</f>
        <v/>
      </c>
      <c r="W350" s="21" t="str">
        <f aca="false">IFERROR(INDEX(종합!W$3:W$501,MATCH(ROW()-2,종합!$AB$3:$AB$501,0))&amp;"","")</f>
        <v/>
      </c>
      <c r="X350" s="21" t="str">
        <f aca="false">IFERROR(INDEX(종합!X$3:X$501,MATCH(ROW()-2,종합!$AB$3:$AB$501,0))&amp;"","")</f>
        <v/>
      </c>
      <c r="Y350" s="21" t="str">
        <f aca="false">IFERROR(INDEX(종합!Y$3:Y$501,MATCH(ROW()-2,종합!$AB$3:$AB$501,0))&amp;"","")</f>
        <v/>
      </c>
      <c r="Z350" s="21" t="str">
        <f aca="false">IFERROR(INDEX(종합!Z$3:Z$501,MATCH(ROW()-2,종합!$AB$3:$AB$501,0))&amp;"","")</f>
        <v/>
      </c>
    </row>
    <row r="351" customFormat="false" ht="16.5" hidden="false" customHeight="true" outlineLevel="0" collapsed="false">
      <c r="A351" s="18" t="str">
        <f aca="false">IF(B351="","",ROW()-2)</f>
        <v/>
      </c>
      <c r="B351" s="18" t="str">
        <f aca="false">IFERROR(INDEX(종합!B$3:B$501,MATCH(ROW()-2,종합!$AB$3:$AB$501,0))&amp;"","")</f>
        <v/>
      </c>
      <c r="C351" s="18" t="str">
        <f aca="false">IFERROR(INDEX(종합!C$3:C$501,MATCH(ROW()-2,종합!$AB$3:$AB$501,0))&amp;"","")</f>
        <v/>
      </c>
      <c r="D351" s="18" t="str">
        <f aca="false">IFERROR(INDEX(종합!D$3:D$501,MATCH(ROW()-2,종합!$AB$3:$AB$501,0))&amp;"","")</f>
        <v/>
      </c>
      <c r="E351" s="18" t="str">
        <f aca="false">IFERROR(INDEX(종합!E$3:E$501,MATCH(ROW()-2,종합!$AB$3:$AB$501,0))&amp;"","")</f>
        <v/>
      </c>
      <c r="F351" s="18" t="str">
        <f aca="false">IFERROR(INDEX(종합!F$3:F$501,MATCH(ROW()-2,종합!$AB$3:$AB$501,0))&amp;"","")</f>
        <v/>
      </c>
      <c r="G351" s="18" t="str">
        <f aca="false">IFERROR(INDEX(종합!G$3:G$501,MATCH(ROW()-2,종합!$AB$3:$AB$501,0))&amp;"","")</f>
        <v/>
      </c>
      <c r="H351" s="21" t="str">
        <f aca="false">IFERROR(INDEX(종합!H$3:H$501,MATCH(ROW()-2,종합!$AB$3:$AB$501,0))&amp;"","")</f>
        <v/>
      </c>
      <c r="I351" s="21" t="str">
        <f aca="false">IFERROR(INDEX(종합!I$3:I$501,MATCH(ROW()-2,종합!$AB$3:$AB$501,0))&amp;"","")</f>
        <v/>
      </c>
      <c r="J351" s="21" t="str">
        <f aca="false">IFERROR(INDEX(종합!J$3:J$501,MATCH(ROW()-2,종합!$AB$3:$AB$501,0))&amp;"","")</f>
        <v/>
      </c>
      <c r="K351" s="21" t="str">
        <f aca="false">IFERROR(INDEX(종합!K$3:K$501,MATCH(ROW()-2,종합!$AB$3:$AB$501,0))&amp;"","")</f>
        <v/>
      </c>
      <c r="L351" s="21" t="str">
        <f aca="false">IFERROR(INDEX(종합!L$3:L$501,MATCH(ROW()-2,종합!$AB$3:$AB$501,0))&amp;"","")</f>
        <v/>
      </c>
      <c r="M351" s="21" t="str">
        <f aca="false">IFERROR(INDEX(종합!M$3:M$501,MATCH(ROW()-2,종합!$AB$3:$AB$501,0))&amp;"","")</f>
        <v/>
      </c>
      <c r="N351" s="25" t="str">
        <f aca="false">IFERROR(INDEX(종합!N$3:N$501,MATCH(ROW()-2,종합!$AB$3:$AB$501,0))&amp;"","")</f>
        <v/>
      </c>
      <c r="O351" s="21" t="str">
        <f aca="false">IFERROR(INDEX(종합!O$3:O$501,MATCH(ROW()-2,종합!$AB$3:$AB$501,0))&amp;"","")</f>
        <v/>
      </c>
      <c r="P351" s="21" t="str">
        <f aca="false">IFERROR(INDEX(종합!P$3:P$501,MATCH(ROW()-2,종합!$AB$3:$AB$501,0))&amp;"","")</f>
        <v/>
      </c>
      <c r="Q351" s="21" t="str">
        <f aca="false">IFERROR(INDEX(종합!Q$3:Q$501,MATCH(ROW()-2,종합!$AB$3:$AB$501,0))&amp;"","")</f>
        <v/>
      </c>
      <c r="R351" s="21" t="str">
        <f aca="false">IFERROR(INDEX(종합!R$3:R$501,MATCH(ROW()-2,종합!$AB$3:$AB$501,0))&amp;"","")</f>
        <v/>
      </c>
      <c r="S351" s="21" t="str">
        <f aca="false">IFERROR(INDEX(종합!S$3:S$501,MATCH(ROW()-2,종합!$AB$3:$AB$501,0))&amp;"","")</f>
        <v/>
      </c>
      <c r="T351" s="21" t="str">
        <f aca="false">IFERROR(INDEX(종합!T$3:T$501,MATCH(ROW()-2,종합!$AB$3:$AB$501,0))&amp;"","")</f>
        <v/>
      </c>
      <c r="U351" s="21" t="str">
        <f aca="false">IFERROR(INDEX(종합!U$3:U$501,MATCH(ROW()-2,종합!$AB$3:$AB$501,0))&amp;"","")</f>
        <v/>
      </c>
      <c r="V351" s="21" t="str">
        <f aca="false">IFERROR(INDEX(종합!V$3:V$501,MATCH(ROW()-2,종합!$AB$3:$AB$501,0))&amp;"","")</f>
        <v/>
      </c>
      <c r="W351" s="21" t="str">
        <f aca="false">IFERROR(INDEX(종합!W$3:W$501,MATCH(ROW()-2,종합!$AB$3:$AB$501,0))&amp;"","")</f>
        <v/>
      </c>
      <c r="X351" s="21" t="str">
        <f aca="false">IFERROR(INDEX(종합!X$3:X$501,MATCH(ROW()-2,종합!$AB$3:$AB$501,0))&amp;"","")</f>
        <v/>
      </c>
      <c r="Y351" s="21" t="str">
        <f aca="false">IFERROR(INDEX(종합!Y$3:Y$501,MATCH(ROW()-2,종합!$AB$3:$AB$501,0))&amp;"","")</f>
        <v/>
      </c>
      <c r="Z351" s="21" t="str">
        <f aca="false">IFERROR(INDEX(종합!Z$3:Z$501,MATCH(ROW()-2,종합!$AB$3:$AB$501,0))&amp;"","")</f>
        <v/>
      </c>
    </row>
    <row r="352" customFormat="false" ht="16.5" hidden="false" customHeight="true" outlineLevel="0" collapsed="false">
      <c r="A352" s="18" t="str">
        <f aca="false">IF(B352="","",ROW()-2)</f>
        <v/>
      </c>
      <c r="B352" s="18" t="str">
        <f aca="false">IFERROR(INDEX(종합!B$3:B$501,MATCH(ROW()-2,종합!$AB$3:$AB$501,0))&amp;"","")</f>
        <v/>
      </c>
      <c r="C352" s="18" t="str">
        <f aca="false">IFERROR(INDEX(종합!C$3:C$501,MATCH(ROW()-2,종합!$AB$3:$AB$501,0))&amp;"","")</f>
        <v/>
      </c>
      <c r="D352" s="18" t="str">
        <f aca="false">IFERROR(INDEX(종합!D$3:D$501,MATCH(ROW()-2,종합!$AB$3:$AB$501,0))&amp;"","")</f>
        <v/>
      </c>
      <c r="E352" s="18" t="str">
        <f aca="false">IFERROR(INDEX(종합!E$3:E$501,MATCH(ROW()-2,종합!$AB$3:$AB$501,0))&amp;"","")</f>
        <v/>
      </c>
      <c r="F352" s="18" t="str">
        <f aca="false">IFERROR(INDEX(종합!F$3:F$501,MATCH(ROW()-2,종합!$AB$3:$AB$501,0))&amp;"","")</f>
        <v/>
      </c>
      <c r="G352" s="18" t="str">
        <f aca="false">IFERROR(INDEX(종합!G$3:G$501,MATCH(ROW()-2,종합!$AB$3:$AB$501,0))&amp;"","")</f>
        <v/>
      </c>
      <c r="H352" s="21" t="str">
        <f aca="false">IFERROR(INDEX(종합!H$3:H$501,MATCH(ROW()-2,종합!$AB$3:$AB$501,0))&amp;"","")</f>
        <v/>
      </c>
      <c r="I352" s="21" t="str">
        <f aca="false">IFERROR(INDEX(종합!I$3:I$501,MATCH(ROW()-2,종합!$AB$3:$AB$501,0))&amp;"","")</f>
        <v/>
      </c>
      <c r="J352" s="21" t="str">
        <f aca="false">IFERROR(INDEX(종합!J$3:J$501,MATCH(ROW()-2,종합!$AB$3:$AB$501,0))&amp;"","")</f>
        <v/>
      </c>
      <c r="K352" s="21" t="str">
        <f aca="false">IFERROR(INDEX(종합!K$3:K$501,MATCH(ROW()-2,종합!$AB$3:$AB$501,0))&amp;"","")</f>
        <v/>
      </c>
      <c r="L352" s="21" t="str">
        <f aca="false">IFERROR(INDEX(종합!L$3:L$501,MATCH(ROW()-2,종합!$AB$3:$AB$501,0))&amp;"","")</f>
        <v/>
      </c>
      <c r="M352" s="21" t="str">
        <f aca="false">IFERROR(INDEX(종합!M$3:M$501,MATCH(ROW()-2,종합!$AB$3:$AB$501,0))&amp;"","")</f>
        <v/>
      </c>
      <c r="N352" s="25" t="str">
        <f aca="false">IFERROR(INDEX(종합!N$3:N$501,MATCH(ROW()-2,종합!$AB$3:$AB$501,0))&amp;"","")</f>
        <v/>
      </c>
      <c r="O352" s="21" t="str">
        <f aca="false">IFERROR(INDEX(종합!O$3:O$501,MATCH(ROW()-2,종합!$AB$3:$AB$501,0))&amp;"","")</f>
        <v/>
      </c>
      <c r="P352" s="21" t="str">
        <f aca="false">IFERROR(INDEX(종합!P$3:P$501,MATCH(ROW()-2,종합!$AB$3:$AB$501,0))&amp;"","")</f>
        <v/>
      </c>
      <c r="Q352" s="21" t="str">
        <f aca="false">IFERROR(INDEX(종합!Q$3:Q$501,MATCH(ROW()-2,종합!$AB$3:$AB$501,0))&amp;"","")</f>
        <v/>
      </c>
      <c r="R352" s="21" t="str">
        <f aca="false">IFERROR(INDEX(종합!R$3:R$501,MATCH(ROW()-2,종합!$AB$3:$AB$501,0))&amp;"","")</f>
        <v/>
      </c>
      <c r="S352" s="21" t="str">
        <f aca="false">IFERROR(INDEX(종합!S$3:S$501,MATCH(ROW()-2,종합!$AB$3:$AB$501,0))&amp;"","")</f>
        <v/>
      </c>
      <c r="T352" s="21" t="str">
        <f aca="false">IFERROR(INDEX(종합!T$3:T$501,MATCH(ROW()-2,종합!$AB$3:$AB$501,0))&amp;"","")</f>
        <v/>
      </c>
      <c r="U352" s="21" t="str">
        <f aca="false">IFERROR(INDEX(종합!U$3:U$501,MATCH(ROW()-2,종합!$AB$3:$AB$501,0))&amp;"","")</f>
        <v/>
      </c>
      <c r="V352" s="21" t="str">
        <f aca="false">IFERROR(INDEX(종합!V$3:V$501,MATCH(ROW()-2,종합!$AB$3:$AB$501,0))&amp;"","")</f>
        <v/>
      </c>
      <c r="W352" s="21" t="str">
        <f aca="false">IFERROR(INDEX(종합!W$3:W$501,MATCH(ROW()-2,종합!$AB$3:$AB$501,0))&amp;"","")</f>
        <v/>
      </c>
      <c r="X352" s="21" t="str">
        <f aca="false">IFERROR(INDEX(종합!X$3:X$501,MATCH(ROW()-2,종합!$AB$3:$AB$501,0))&amp;"","")</f>
        <v/>
      </c>
      <c r="Y352" s="21" t="str">
        <f aca="false">IFERROR(INDEX(종합!Y$3:Y$501,MATCH(ROW()-2,종합!$AB$3:$AB$501,0))&amp;"","")</f>
        <v/>
      </c>
      <c r="Z352" s="21" t="str">
        <f aca="false">IFERROR(INDEX(종합!Z$3:Z$501,MATCH(ROW()-2,종합!$AB$3:$AB$501,0))&amp;"","")</f>
        <v/>
      </c>
    </row>
    <row r="353" customFormat="false" ht="16.5" hidden="false" customHeight="true" outlineLevel="0" collapsed="false">
      <c r="A353" s="18" t="str">
        <f aca="false">IF(B353="","",ROW()-2)</f>
        <v/>
      </c>
      <c r="B353" s="18" t="str">
        <f aca="false">IFERROR(INDEX(종합!B$3:B$501,MATCH(ROW()-2,종합!$AB$3:$AB$501,0))&amp;"","")</f>
        <v/>
      </c>
      <c r="C353" s="18" t="str">
        <f aca="false">IFERROR(INDEX(종합!C$3:C$501,MATCH(ROW()-2,종합!$AB$3:$AB$501,0))&amp;"","")</f>
        <v/>
      </c>
      <c r="D353" s="18" t="str">
        <f aca="false">IFERROR(INDEX(종합!D$3:D$501,MATCH(ROW()-2,종합!$AB$3:$AB$501,0))&amp;"","")</f>
        <v/>
      </c>
      <c r="E353" s="18" t="str">
        <f aca="false">IFERROR(INDEX(종합!E$3:E$501,MATCH(ROW()-2,종합!$AB$3:$AB$501,0))&amp;"","")</f>
        <v/>
      </c>
      <c r="F353" s="18" t="str">
        <f aca="false">IFERROR(INDEX(종합!F$3:F$501,MATCH(ROW()-2,종합!$AB$3:$AB$501,0))&amp;"","")</f>
        <v/>
      </c>
      <c r="G353" s="18" t="str">
        <f aca="false">IFERROR(INDEX(종합!G$3:G$501,MATCH(ROW()-2,종합!$AB$3:$AB$501,0))&amp;"","")</f>
        <v/>
      </c>
      <c r="H353" s="21" t="str">
        <f aca="false">IFERROR(INDEX(종합!H$3:H$501,MATCH(ROW()-2,종합!$AB$3:$AB$501,0))&amp;"","")</f>
        <v/>
      </c>
      <c r="I353" s="21" t="str">
        <f aca="false">IFERROR(INDEX(종합!I$3:I$501,MATCH(ROW()-2,종합!$AB$3:$AB$501,0))&amp;"","")</f>
        <v/>
      </c>
      <c r="J353" s="21" t="str">
        <f aca="false">IFERROR(INDEX(종합!J$3:J$501,MATCH(ROW()-2,종합!$AB$3:$AB$501,0))&amp;"","")</f>
        <v/>
      </c>
      <c r="K353" s="21" t="str">
        <f aca="false">IFERROR(INDEX(종합!K$3:K$501,MATCH(ROW()-2,종합!$AB$3:$AB$501,0))&amp;"","")</f>
        <v/>
      </c>
      <c r="L353" s="21" t="str">
        <f aca="false">IFERROR(INDEX(종합!L$3:L$501,MATCH(ROW()-2,종합!$AB$3:$AB$501,0))&amp;"","")</f>
        <v/>
      </c>
      <c r="M353" s="21" t="str">
        <f aca="false">IFERROR(INDEX(종합!M$3:M$501,MATCH(ROW()-2,종합!$AB$3:$AB$501,0))&amp;"","")</f>
        <v/>
      </c>
      <c r="N353" s="25" t="str">
        <f aca="false">IFERROR(INDEX(종합!N$3:N$501,MATCH(ROW()-2,종합!$AB$3:$AB$501,0))&amp;"","")</f>
        <v/>
      </c>
      <c r="O353" s="21" t="str">
        <f aca="false">IFERROR(INDEX(종합!O$3:O$501,MATCH(ROW()-2,종합!$AB$3:$AB$501,0))&amp;"","")</f>
        <v/>
      </c>
      <c r="P353" s="21" t="str">
        <f aca="false">IFERROR(INDEX(종합!P$3:P$501,MATCH(ROW()-2,종합!$AB$3:$AB$501,0))&amp;"","")</f>
        <v/>
      </c>
      <c r="Q353" s="21" t="str">
        <f aca="false">IFERROR(INDEX(종합!Q$3:Q$501,MATCH(ROW()-2,종합!$AB$3:$AB$501,0))&amp;"","")</f>
        <v/>
      </c>
      <c r="R353" s="21" t="str">
        <f aca="false">IFERROR(INDEX(종합!R$3:R$501,MATCH(ROW()-2,종합!$AB$3:$AB$501,0))&amp;"","")</f>
        <v/>
      </c>
      <c r="S353" s="21" t="str">
        <f aca="false">IFERROR(INDEX(종합!S$3:S$501,MATCH(ROW()-2,종합!$AB$3:$AB$501,0))&amp;"","")</f>
        <v/>
      </c>
      <c r="T353" s="21" t="str">
        <f aca="false">IFERROR(INDEX(종합!T$3:T$501,MATCH(ROW()-2,종합!$AB$3:$AB$501,0))&amp;"","")</f>
        <v/>
      </c>
      <c r="U353" s="21" t="str">
        <f aca="false">IFERROR(INDEX(종합!U$3:U$501,MATCH(ROW()-2,종합!$AB$3:$AB$501,0))&amp;"","")</f>
        <v/>
      </c>
      <c r="V353" s="21" t="str">
        <f aca="false">IFERROR(INDEX(종합!V$3:V$501,MATCH(ROW()-2,종합!$AB$3:$AB$501,0))&amp;"","")</f>
        <v/>
      </c>
      <c r="W353" s="21" t="str">
        <f aca="false">IFERROR(INDEX(종합!W$3:W$501,MATCH(ROW()-2,종합!$AB$3:$AB$501,0))&amp;"","")</f>
        <v/>
      </c>
      <c r="X353" s="21" t="str">
        <f aca="false">IFERROR(INDEX(종합!X$3:X$501,MATCH(ROW()-2,종합!$AB$3:$AB$501,0))&amp;"","")</f>
        <v/>
      </c>
      <c r="Y353" s="21" t="str">
        <f aca="false">IFERROR(INDEX(종합!Y$3:Y$501,MATCH(ROW()-2,종합!$AB$3:$AB$501,0))&amp;"","")</f>
        <v/>
      </c>
      <c r="Z353" s="21" t="str">
        <f aca="false">IFERROR(INDEX(종합!Z$3:Z$501,MATCH(ROW()-2,종합!$AB$3:$AB$501,0))&amp;"","")</f>
        <v/>
      </c>
    </row>
    <row r="354" customFormat="false" ht="16.5" hidden="false" customHeight="true" outlineLevel="0" collapsed="false">
      <c r="A354" s="18" t="str">
        <f aca="false">IF(B354="","",ROW()-2)</f>
        <v/>
      </c>
      <c r="B354" s="18" t="str">
        <f aca="false">IFERROR(INDEX(종합!B$3:B$501,MATCH(ROW()-2,종합!$AB$3:$AB$501,0))&amp;"","")</f>
        <v/>
      </c>
      <c r="C354" s="18" t="str">
        <f aca="false">IFERROR(INDEX(종합!C$3:C$501,MATCH(ROW()-2,종합!$AB$3:$AB$501,0))&amp;"","")</f>
        <v/>
      </c>
      <c r="D354" s="18" t="str">
        <f aca="false">IFERROR(INDEX(종합!D$3:D$501,MATCH(ROW()-2,종합!$AB$3:$AB$501,0))&amp;"","")</f>
        <v/>
      </c>
      <c r="E354" s="18" t="str">
        <f aca="false">IFERROR(INDEX(종합!E$3:E$501,MATCH(ROW()-2,종합!$AB$3:$AB$501,0))&amp;"","")</f>
        <v/>
      </c>
      <c r="F354" s="18" t="str">
        <f aca="false">IFERROR(INDEX(종합!F$3:F$501,MATCH(ROW()-2,종합!$AB$3:$AB$501,0))&amp;"","")</f>
        <v/>
      </c>
      <c r="G354" s="18" t="str">
        <f aca="false">IFERROR(INDEX(종합!G$3:G$501,MATCH(ROW()-2,종합!$AB$3:$AB$501,0))&amp;"","")</f>
        <v/>
      </c>
      <c r="H354" s="21" t="str">
        <f aca="false">IFERROR(INDEX(종합!H$3:H$501,MATCH(ROW()-2,종합!$AB$3:$AB$501,0))&amp;"","")</f>
        <v/>
      </c>
      <c r="I354" s="21" t="str">
        <f aca="false">IFERROR(INDEX(종합!I$3:I$501,MATCH(ROW()-2,종합!$AB$3:$AB$501,0))&amp;"","")</f>
        <v/>
      </c>
      <c r="J354" s="21" t="str">
        <f aca="false">IFERROR(INDEX(종합!J$3:J$501,MATCH(ROW()-2,종합!$AB$3:$AB$501,0))&amp;"","")</f>
        <v/>
      </c>
      <c r="K354" s="21" t="str">
        <f aca="false">IFERROR(INDEX(종합!K$3:K$501,MATCH(ROW()-2,종합!$AB$3:$AB$501,0))&amp;"","")</f>
        <v/>
      </c>
      <c r="L354" s="21" t="str">
        <f aca="false">IFERROR(INDEX(종합!L$3:L$501,MATCH(ROW()-2,종합!$AB$3:$AB$501,0))&amp;"","")</f>
        <v/>
      </c>
      <c r="M354" s="21" t="str">
        <f aca="false">IFERROR(INDEX(종합!M$3:M$501,MATCH(ROW()-2,종합!$AB$3:$AB$501,0))&amp;"","")</f>
        <v/>
      </c>
      <c r="N354" s="25" t="str">
        <f aca="false">IFERROR(INDEX(종합!N$3:N$501,MATCH(ROW()-2,종합!$AB$3:$AB$501,0))&amp;"","")</f>
        <v/>
      </c>
      <c r="O354" s="21" t="str">
        <f aca="false">IFERROR(INDEX(종합!O$3:O$501,MATCH(ROW()-2,종합!$AB$3:$AB$501,0))&amp;"","")</f>
        <v/>
      </c>
      <c r="P354" s="21" t="str">
        <f aca="false">IFERROR(INDEX(종합!P$3:P$501,MATCH(ROW()-2,종합!$AB$3:$AB$501,0))&amp;"","")</f>
        <v/>
      </c>
      <c r="Q354" s="21" t="str">
        <f aca="false">IFERROR(INDEX(종합!Q$3:Q$501,MATCH(ROW()-2,종합!$AB$3:$AB$501,0))&amp;"","")</f>
        <v/>
      </c>
      <c r="R354" s="21" t="str">
        <f aca="false">IFERROR(INDEX(종합!R$3:R$501,MATCH(ROW()-2,종합!$AB$3:$AB$501,0))&amp;"","")</f>
        <v/>
      </c>
      <c r="S354" s="21" t="str">
        <f aca="false">IFERROR(INDEX(종합!S$3:S$501,MATCH(ROW()-2,종합!$AB$3:$AB$501,0))&amp;"","")</f>
        <v/>
      </c>
      <c r="T354" s="21" t="str">
        <f aca="false">IFERROR(INDEX(종합!T$3:T$501,MATCH(ROW()-2,종합!$AB$3:$AB$501,0))&amp;"","")</f>
        <v/>
      </c>
      <c r="U354" s="21" t="str">
        <f aca="false">IFERROR(INDEX(종합!U$3:U$501,MATCH(ROW()-2,종합!$AB$3:$AB$501,0))&amp;"","")</f>
        <v/>
      </c>
      <c r="V354" s="21" t="str">
        <f aca="false">IFERROR(INDEX(종합!V$3:V$501,MATCH(ROW()-2,종합!$AB$3:$AB$501,0))&amp;"","")</f>
        <v/>
      </c>
      <c r="W354" s="21" t="str">
        <f aca="false">IFERROR(INDEX(종합!W$3:W$501,MATCH(ROW()-2,종합!$AB$3:$AB$501,0))&amp;"","")</f>
        <v/>
      </c>
      <c r="X354" s="21" t="str">
        <f aca="false">IFERROR(INDEX(종합!X$3:X$501,MATCH(ROW()-2,종합!$AB$3:$AB$501,0))&amp;"","")</f>
        <v/>
      </c>
      <c r="Y354" s="21" t="str">
        <f aca="false">IFERROR(INDEX(종합!Y$3:Y$501,MATCH(ROW()-2,종합!$AB$3:$AB$501,0))&amp;"","")</f>
        <v/>
      </c>
      <c r="Z354" s="21" t="str">
        <f aca="false">IFERROR(INDEX(종합!Z$3:Z$501,MATCH(ROW()-2,종합!$AB$3:$AB$501,0))&amp;"","")</f>
        <v/>
      </c>
    </row>
    <row r="355" customFormat="false" ht="16.5" hidden="false" customHeight="true" outlineLevel="0" collapsed="false">
      <c r="A355" s="18" t="str">
        <f aca="false">IF(B355="","",ROW()-2)</f>
        <v/>
      </c>
      <c r="B355" s="18" t="str">
        <f aca="false">IFERROR(INDEX(종합!B$3:B$501,MATCH(ROW()-2,종합!$AB$3:$AB$501,0))&amp;"","")</f>
        <v/>
      </c>
      <c r="C355" s="18" t="str">
        <f aca="false">IFERROR(INDEX(종합!C$3:C$501,MATCH(ROW()-2,종합!$AB$3:$AB$501,0))&amp;"","")</f>
        <v/>
      </c>
      <c r="D355" s="18" t="str">
        <f aca="false">IFERROR(INDEX(종합!D$3:D$501,MATCH(ROW()-2,종합!$AB$3:$AB$501,0))&amp;"","")</f>
        <v/>
      </c>
      <c r="E355" s="18" t="str">
        <f aca="false">IFERROR(INDEX(종합!E$3:E$501,MATCH(ROW()-2,종합!$AB$3:$AB$501,0))&amp;"","")</f>
        <v/>
      </c>
      <c r="F355" s="18" t="str">
        <f aca="false">IFERROR(INDEX(종합!F$3:F$501,MATCH(ROW()-2,종합!$AB$3:$AB$501,0))&amp;"","")</f>
        <v/>
      </c>
      <c r="G355" s="18" t="str">
        <f aca="false">IFERROR(INDEX(종합!G$3:G$501,MATCH(ROW()-2,종합!$AB$3:$AB$501,0))&amp;"","")</f>
        <v/>
      </c>
      <c r="H355" s="21" t="str">
        <f aca="false">IFERROR(INDEX(종합!H$3:H$501,MATCH(ROW()-2,종합!$AB$3:$AB$501,0))&amp;"","")</f>
        <v/>
      </c>
      <c r="I355" s="21" t="str">
        <f aca="false">IFERROR(INDEX(종합!I$3:I$501,MATCH(ROW()-2,종합!$AB$3:$AB$501,0))&amp;"","")</f>
        <v/>
      </c>
      <c r="J355" s="21" t="str">
        <f aca="false">IFERROR(INDEX(종합!J$3:J$501,MATCH(ROW()-2,종합!$AB$3:$AB$501,0))&amp;"","")</f>
        <v/>
      </c>
      <c r="K355" s="21" t="str">
        <f aca="false">IFERROR(INDEX(종합!K$3:K$501,MATCH(ROW()-2,종합!$AB$3:$AB$501,0))&amp;"","")</f>
        <v/>
      </c>
      <c r="L355" s="21" t="str">
        <f aca="false">IFERROR(INDEX(종합!L$3:L$501,MATCH(ROW()-2,종합!$AB$3:$AB$501,0))&amp;"","")</f>
        <v/>
      </c>
      <c r="M355" s="21" t="str">
        <f aca="false">IFERROR(INDEX(종합!M$3:M$501,MATCH(ROW()-2,종합!$AB$3:$AB$501,0))&amp;"","")</f>
        <v/>
      </c>
      <c r="N355" s="25" t="str">
        <f aca="false">IFERROR(INDEX(종합!N$3:N$501,MATCH(ROW()-2,종합!$AB$3:$AB$501,0))&amp;"","")</f>
        <v/>
      </c>
      <c r="O355" s="21" t="str">
        <f aca="false">IFERROR(INDEX(종합!O$3:O$501,MATCH(ROW()-2,종합!$AB$3:$AB$501,0))&amp;"","")</f>
        <v/>
      </c>
      <c r="P355" s="21" t="str">
        <f aca="false">IFERROR(INDEX(종합!P$3:P$501,MATCH(ROW()-2,종합!$AB$3:$AB$501,0))&amp;"","")</f>
        <v/>
      </c>
      <c r="Q355" s="21" t="str">
        <f aca="false">IFERROR(INDEX(종합!Q$3:Q$501,MATCH(ROW()-2,종합!$AB$3:$AB$501,0))&amp;"","")</f>
        <v/>
      </c>
      <c r="R355" s="21" t="str">
        <f aca="false">IFERROR(INDEX(종합!R$3:R$501,MATCH(ROW()-2,종합!$AB$3:$AB$501,0))&amp;"","")</f>
        <v/>
      </c>
      <c r="S355" s="21" t="str">
        <f aca="false">IFERROR(INDEX(종합!S$3:S$501,MATCH(ROW()-2,종합!$AB$3:$AB$501,0))&amp;"","")</f>
        <v/>
      </c>
      <c r="T355" s="21" t="str">
        <f aca="false">IFERROR(INDEX(종합!T$3:T$501,MATCH(ROW()-2,종합!$AB$3:$AB$501,0))&amp;"","")</f>
        <v/>
      </c>
      <c r="U355" s="21" t="str">
        <f aca="false">IFERROR(INDEX(종합!U$3:U$501,MATCH(ROW()-2,종합!$AB$3:$AB$501,0))&amp;"","")</f>
        <v/>
      </c>
      <c r="V355" s="21" t="str">
        <f aca="false">IFERROR(INDEX(종합!V$3:V$501,MATCH(ROW()-2,종합!$AB$3:$AB$501,0))&amp;"","")</f>
        <v/>
      </c>
      <c r="W355" s="21" t="str">
        <f aca="false">IFERROR(INDEX(종합!W$3:W$501,MATCH(ROW()-2,종합!$AB$3:$AB$501,0))&amp;"","")</f>
        <v/>
      </c>
      <c r="X355" s="21" t="str">
        <f aca="false">IFERROR(INDEX(종합!X$3:X$501,MATCH(ROW()-2,종합!$AB$3:$AB$501,0))&amp;"","")</f>
        <v/>
      </c>
      <c r="Y355" s="21" t="str">
        <f aca="false">IFERROR(INDEX(종합!Y$3:Y$501,MATCH(ROW()-2,종합!$AB$3:$AB$501,0))&amp;"","")</f>
        <v/>
      </c>
      <c r="Z355" s="21" t="str">
        <f aca="false">IFERROR(INDEX(종합!Z$3:Z$501,MATCH(ROW()-2,종합!$AB$3:$AB$501,0))&amp;"","")</f>
        <v/>
      </c>
    </row>
    <row r="356" customFormat="false" ht="16.5" hidden="false" customHeight="true" outlineLevel="0" collapsed="false">
      <c r="A356" s="18" t="str">
        <f aca="false">IF(B356="","",ROW()-2)</f>
        <v/>
      </c>
      <c r="B356" s="18" t="str">
        <f aca="false">IFERROR(INDEX(종합!B$3:B$501,MATCH(ROW()-2,종합!$AB$3:$AB$501,0))&amp;"","")</f>
        <v/>
      </c>
      <c r="C356" s="18" t="str">
        <f aca="false">IFERROR(INDEX(종합!C$3:C$501,MATCH(ROW()-2,종합!$AB$3:$AB$501,0))&amp;"","")</f>
        <v/>
      </c>
      <c r="D356" s="18" t="str">
        <f aca="false">IFERROR(INDEX(종합!D$3:D$501,MATCH(ROW()-2,종합!$AB$3:$AB$501,0))&amp;"","")</f>
        <v/>
      </c>
      <c r="E356" s="18" t="str">
        <f aca="false">IFERROR(INDEX(종합!E$3:E$501,MATCH(ROW()-2,종합!$AB$3:$AB$501,0))&amp;"","")</f>
        <v/>
      </c>
      <c r="F356" s="18" t="str">
        <f aca="false">IFERROR(INDEX(종합!F$3:F$501,MATCH(ROW()-2,종합!$AB$3:$AB$501,0))&amp;"","")</f>
        <v/>
      </c>
      <c r="G356" s="18" t="str">
        <f aca="false">IFERROR(INDEX(종합!G$3:G$501,MATCH(ROW()-2,종합!$AB$3:$AB$501,0))&amp;"","")</f>
        <v/>
      </c>
      <c r="H356" s="21" t="str">
        <f aca="false">IFERROR(INDEX(종합!H$3:H$501,MATCH(ROW()-2,종합!$AB$3:$AB$501,0))&amp;"","")</f>
        <v/>
      </c>
      <c r="I356" s="21" t="str">
        <f aca="false">IFERROR(INDEX(종합!I$3:I$501,MATCH(ROW()-2,종합!$AB$3:$AB$501,0))&amp;"","")</f>
        <v/>
      </c>
      <c r="J356" s="21" t="str">
        <f aca="false">IFERROR(INDEX(종합!J$3:J$501,MATCH(ROW()-2,종합!$AB$3:$AB$501,0))&amp;"","")</f>
        <v/>
      </c>
      <c r="K356" s="21" t="str">
        <f aca="false">IFERROR(INDEX(종합!K$3:K$501,MATCH(ROW()-2,종합!$AB$3:$AB$501,0))&amp;"","")</f>
        <v/>
      </c>
      <c r="L356" s="21" t="str">
        <f aca="false">IFERROR(INDEX(종합!L$3:L$501,MATCH(ROW()-2,종합!$AB$3:$AB$501,0))&amp;"","")</f>
        <v/>
      </c>
      <c r="M356" s="21" t="str">
        <f aca="false">IFERROR(INDEX(종합!M$3:M$501,MATCH(ROW()-2,종합!$AB$3:$AB$501,0))&amp;"","")</f>
        <v/>
      </c>
      <c r="N356" s="25" t="str">
        <f aca="false">IFERROR(INDEX(종합!N$3:N$501,MATCH(ROW()-2,종합!$AB$3:$AB$501,0))&amp;"","")</f>
        <v/>
      </c>
      <c r="O356" s="21" t="str">
        <f aca="false">IFERROR(INDEX(종합!O$3:O$501,MATCH(ROW()-2,종합!$AB$3:$AB$501,0))&amp;"","")</f>
        <v/>
      </c>
      <c r="P356" s="21" t="str">
        <f aca="false">IFERROR(INDEX(종합!P$3:P$501,MATCH(ROW()-2,종합!$AB$3:$AB$501,0))&amp;"","")</f>
        <v/>
      </c>
      <c r="Q356" s="21" t="str">
        <f aca="false">IFERROR(INDEX(종합!Q$3:Q$501,MATCH(ROW()-2,종합!$AB$3:$AB$501,0))&amp;"","")</f>
        <v/>
      </c>
      <c r="R356" s="21" t="str">
        <f aca="false">IFERROR(INDEX(종합!R$3:R$501,MATCH(ROW()-2,종합!$AB$3:$AB$501,0))&amp;"","")</f>
        <v/>
      </c>
      <c r="S356" s="21" t="str">
        <f aca="false">IFERROR(INDEX(종합!S$3:S$501,MATCH(ROW()-2,종합!$AB$3:$AB$501,0))&amp;"","")</f>
        <v/>
      </c>
      <c r="T356" s="21" t="str">
        <f aca="false">IFERROR(INDEX(종합!T$3:T$501,MATCH(ROW()-2,종합!$AB$3:$AB$501,0))&amp;"","")</f>
        <v/>
      </c>
      <c r="U356" s="21" t="str">
        <f aca="false">IFERROR(INDEX(종합!U$3:U$501,MATCH(ROW()-2,종합!$AB$3:$AB$501,0))&amp;"","")</f>
        <v/>
      </c>
      <c r="V356" s="21" t="str">
        <f aca="false">IFERROR(INDEX(종합!V$3:V$501,MATCH(ROW()-2,종합!$AB$3:$AB$501,0))&amp;"","")</f>
        <v/>
      </c>
      <c r="W356" s="21" t="str">
        <f aca="false">IFERROR(INDEX(종합!W$3:W$501,MATCH(ROW()-2,종합!$AB$3:$AB$501,0))&amp;"","")</f>
        <v/>
      </c>
      <c r="X356" s="21" t="str">
        <f aca="false">IFERROR(INDEX(종합!X$3:X$501,MATCH(ROW()-2,종합!$AB$3:$AB$501,0))&amp;"","")</f>
        <v/>
      </c>
      <c r="Y356" s="21" t="str">
        <f aca="false">IFERROR(INDEX(종합!Y$3:Y$501,MATCH(ROW()-2,종합!$AB$3:$AB$501,0))&amp;"","")</f>
        <v/>
      </c>
      <c r="Z356" s="21" t="str">
        <f aca="false">IFERROR(INDEX(종합!Z$3:Z$501,MATCH(ROW()-2,종합!$AB$3:$AB$501,0))&amp;"","")</f>
        <v/>
      </c>
    </row>
    <row r="357" customFormat="false" ht="16.5" hidden="false" customHeight="true" outlineLevel="0" collapsed="false">
      <c r="A357" s="18" t="str">
        <f aca="false">IF(B357="","",ROW()-2)</f>
        <v/>
      </c>
      <c r="B357" s="18" t="str">
        <f aca="false">IFERROR(INDEX(종합!B$3:B$501,MATCH(ROW()-2,종합!$AB$3:$AB$501,0))&amp;"","")</f>
        <v/>
      </c>
      <c r="C357" s="18" t="str">
        <f aca="false">IFERROR(INDEX(종합!C$3:C$501,MATCH(ROW()-2,종합!$AB$3:$AB$501,0))&amp;"","")</f>
        <v/>
      </c>
      <c r="D357" s="18" t="str">
        <f aca="false">IFERROR(INDEX(종합!D$3:D$501,MATCH(ROW()-2,종합!$AB$3:$AB$501,0))&amp;"","")</f>
        <v/>
      </c>
      <c r="E357" s="18" t="str">
        <f aca="false">IFERROR(INDEX(종합!E$3:E$501,MATCH(ROW()-2,종합!$AB$3:$AB$501,0))&amp;"","")</f>
        <v/>
      </c>
      <c r="F357" s="18" t="str">
        <f aca="false">IFERROR(INDEX(종합!F$3:F$501,MATCH(ROW()-2,종합!$AB$3:$AB$501,0))&amp;"","")</f>
        <v/>
      </c>
      <c r="G357" s="18" t="str">
        <f aca="false">IFERROR(INDEX(종합!G$3:G$501,MATCH(ROW()-2,종합!$AB$3:$AB$501,0))&amp;"","")</f>
        <v/>
      </c>
      <c r="H357" s="21" t="str">
        <f aca="false">IFERROR(INDEX(종합!H$3:H$501,MATCH(ROW()-2,종합!$AB$3:$AB$501,0))&amp;"","")</f>
        <v/>
      </c>
      <c r="I357" s="21" t="str">
        <f aca="false">IFERROR(INDEX(종합!I$3:I$501,MATCH(ROW()-2,종합!$AB$3:$AB$501,0))&amp;"","")</f>
        <v/>
      </c>
      <c r="J357" s="21" t="str">
        <f aca="false">IFERROR(INDEX(종합!J$3:J$501,MATCH(ROW()-2,종합!$AB$3:$AB$501,0))&amp;"","")</f>
        <v/>
      </c>
      <c r="K357" s="21" t="str">
        <f aca="false">IFERROR(INDEX(종합!K$3:K$501,MATCH(ROW()-2,종합!$AB$3:$AB$501,0))&amp;"","")</f>
        <v/>
      </c>
      <c r="L357" s="21" t="str">
        <f aca="false">IFERROR(INDEX(종합!L$3:L$501,MATCH(ROW()-2,종합!$AB$3:$AB$501,0))&amp;"","")</f>
        <v/>
      </c>
      <c r="M357" s="21" t="str">
        <f aca="false">IFERROR(INDEX(종합!M$3:M$501,MATCH(ROW()-2,종합!$AB$3:$AB$501,0))&amp;"","")</f>
        <v/>
      </c>
      <c r="N357" s="25" t="str">
        <f aca="false">IFERROR(INDEX(종합!N$3:N$501,MATCH(ROW()-2,종합!$AB$3:$AB$501,0))&amp;"","")</f>
        <v/>
      </c>
      <c r="O357" s="21" t="str">
        <f aca="false">IFERROR(INDEX(종합!O$3:O$501,MATCH(ROW()-2,종합!$AB$3:$AB$501,0))&amp;"","")</f>
        <v/>
      </c>
      <c r="P357" s="21" t="str">
        <f aca="false">IFERROR(INDEX(종합!P$3:P$501,MATCH(ROW()-2,종합!$AB$3:$AB$501,0))&amp;"","")</f>
        <v/>
      </c>
      <c r="Q357" s="21" t="str">
        <f aca="false">IFERROR(INDEX(종합!Q$3:Q$501,MATCH(ROW()-2,종합!$AB$3:$AB$501,0))&amp;"","")</f>
        <v/>
      </c>
      <c r="R357" s="21" t="str">
        <f aca="false">IFERROR(INDEX(종합!R$3:R$501,MATCH(ROW()-2,종합!$AB$3:$AB$501,0))&amp;"","")</f>
        <v/>
      </c>
      <c r="S357" s="21" t="str">
        <f aca="false">IFERROR(INDEX(종합!S$3:S$501,MATCH(ROW()-2,종합!$AB$3:$AB$501,0))&amp;"","")</f>
        <v/>
      </c>
      <c r="T357" s="21" t="str">
        <f aca="false">IFERROR(INDEX(종합!T$3:T$501,MATCH(ROW()-2,종합!$AB$3:$AB$501,0))&amp;"","")</f>
        <v/>
      </c>
      <c r="U357" s="21" t="str">
        <f aca="false">IFERROR(INDEX(종합!U$3:U$501,MATCH(ROW()-2,종합!$AB$3:$AB$501,0))&amp;"","")</f>
        <v/>
      </c>
      <c r="V357" s="21" t="str">
        <f aca="false">IFERROR(INDEX(종합!V$3:V$501,MATCH(ROW()-2,종합!$AB$3:$AB$501,0))&amp;"","")</f>
        <v/>
      </c>
      <c r="W357" s="21" t="str">
        <f aca="false">IFERROR(INDEX(종합!W$3:W$501,MATCH(ROW()-2,종합!$AB$3:$AB$501,0))&amp;"","")</f>
        <v/>
      </c>
      <c r="X357" s="21" t="str">
        <f aca="false">IFERROR(INDEX(종합!X$3:X$501,MATCH(ROW()-2,종합!$AB$3:$AB$501,0))&amp;"","")</f>
        <v/>
      </c>
      <c r="Y357" s="21" t="str">
        <f aca="false">IFERROR(INDEX(종합!Y$3:Y$501,MATCH(ROW()-2,종합!$AB$3:$AB$501,0))&amp;"","")</f>
        <v/>
      </c>
      <c r="Z357" s="21" t="str">
        <f aca="false">IFERROR(INDEX(종합!Z$3:Z$501,MATCH(ROW()-2,종합!$AB$3:$AB$501,0))&amp;"","")</f>
        <v/>
      </c>
    </row>
    <row r="358" customFormat="false" ht="16.5" hidden="false" customHeight="true" outlineLevel="0" collapsed="false">
      <c r="A358" s="18" t="str">
        <f aca="false">IF(B358="","",ROW()-2)</f>
        <v/>
      </c>
      <c r="B358" s="18" t="str">
        <f aca="false">IFERROR(INDEX(종합!B$3:B$501,MATCH(ROW()-2,종합!$AB$3:$AB$501,0))&amp;"","")</f>
        <v/>
      </c>
      <c r="C358" s="18" t="str">
        <f aca="false">IFERROR(INDEX(종합!C$3:C$501,MATCH(ROW()-2,종합!$AB$3:$AB$501,0))&amp;"","")</f>
        <v/>
      </c>
      <c r="D358" s="18" t="str">
        <f aca="false">IFERROR(INDEX(종합!D$3:D$501,MATCH(ROW()-2,종합!$AB$3:$AB$501,0))&amp;"","")</f>
        <v/>
      </c>
      <c r="E358" s="18" t="str">
        <f aca="false">IFERROR(INDEX(종합!E$3:E$501,MATCH(ROW()-2,종합!$AB$3:$AB$501,0))&amp;"","")</f>
        <v/>
      </c>
      <c r="F358" s="18" t="str">
        <f aca="false">IFERROR(INDEX(종합!F$3:F$501,MATCH(ROW()-2,종합!$AB$3:$AB$501,0))&amp;"","")</f>
        <v/>
      </c>
      <c r="G358" s="18" t="str">
        <f aca="false">IFERROR(INDEX(종합!G$3:G$501,MATCH(ROW()-2,종합!$AB$3:$AB$501,0))&amp;"","")</f>
        <v/>
      </c>
      <c r="H358" s="21" t="str">
        <f aca="false">IFERROR(INDEX(종합!H$3:H$501,MATCH(ROW()-2,종합!$AB$3:$AB$501,0))&amp;"","")</f>
        <v/>
      </c>
      <c r="I358" s="21" t="str">
        <f aca="false">IFERROR(INDEX(종합!I$3:I$501,MATCH(ROW()-2,종합!$AB$3:$AB$501,0))&amp;"","")</f>
        <v/>
      </c>
      <c r="J358" s="21" t="str">
        <f aca="false">IFERROR(INDEX(종합!J$3:J$501,MATCH(ROW()-2,종합!$AB$3:$AB$501,0))&amp;"","")</f>
        <v/>
      </c>
      <c r="K358" s="21" t="str">
        <f aca="false">IFERROR(INDEX(종합!K$3:K$501,MATCH(ROW()-2,종합!$AB$3:$AB$501,0))&amp;"","")</f>
        <v/>
      </c>
      <c r="L358" s="21" t="str">
        <f aca="false">IFERROR(INDEX(종합!L$3:L$501,MATCH(ROW()-2,종합!$AB$3:$AB$501,0))&amp;"","")</f>
        <v/>
      </c>
      <c r="M358" s="21" t="str">
        <f aca="false">IFERROR(INDEX(종합!M$3:M$501,MATCH(ROW()-2,종합!$AB$3:$AB$501,0))&amp;"","")</f>
        <v/>
      </c>
      <c r="N358" s="25" t="str">
        <f aca="false">IFERROR(INDEX(종합!N$3:N$501,MATCH(ROW()-2,종합!$AB$3:$AB$501,0))&amp;"","")</f>
        <v/>
      </c>
      <c r="O358" s="21" t="str">
        <f aca="false">IFERROR(INDEX(종합!O$3:O$501,MATCH(ROW()-2,종합!$AB$3:$AB$501,0))&amp;"","")</f>
        <v/>
      </c>
      <c r="P358" s="21" t="str">
        <f aca="false">IFERROR(INDEX(종합!P$3:P$501,MATCH(ROW()-2,종합!$AB$3:$AB$501,0))&amp;"","")</f>
        <v/>
      </c>
      <c r="Q358" s="21" t="str">
        <f aca="false">IFERROR(INDEX(종합!Q$3:Q$501,MATCH(ROW()-2,종합!$AB$3:$AB$501,0))&amp;"","")</f>
        <v/>
      </c>
      <c r="R358" s="21" t="str">
        <f aca="false">IFERROR(INDEX(종합!R$3:R$501,MATCH(ROW()-2,종합!$AB$3:$AB$501,0))&amp;"","")</f>
        <v/>
      </c>
      <c r="S358" s="21" t="str">
        <f aca="false">IFERROR(INDEX(종합!S$3:S$501,MATCH(ROW()-2,종합!$AB$3:$AB$501,0))&amp;"","")</f>
        <v/>
      </c>
      <c r="T358" s="21" t="str">
        <f aca="false">IFERROR(INDEX(종합!T$3:T$501,MATCH(ROW()-2,종합!$AB$3:$AB$501,0))&amp;"","")</f>
        <v/>
      </c>
      <c r="U358" s="21" t="str">
        <f aca="false">IFERROR(INDEX(종합!U$3:U$501,MATCH(ROW()-2,종합!$AB$3:$AB$501,0))&amp;"","")</f>
        <v/>
      </c>
      <c r="V358" s="21" t="str">
        <f aca="false">IFERROR(INDEX(종합!V$3:V$501,MATCH(ROW()-2,종합!$AB$3:$AB$501,0))&amp;"","")</f>
        <v/>
      </c>
      <c r="W358" s="21" t="str">
        <f aca="false">IFERROR(INDEX(종합!W$3:W$501,MATCH(ROW()-2,종합!$AB$3:$AB$501,0))&amp;"","")</f>
        <v/>
      </c>
      <c r="X358" s="21" t="str">
        <f aca="false">IFERROR(INDEX(종합!X$3:X$501,MATCH(ROW()-2,종합!$AB$3:$AB$501,0))&amp;"","")</f>
        <v/>
      </c>
      <c r="Y358" s="21" t="str">
        <f aca="false">IFERROR(INDEX(종합!Y$3:Y$501,MATCH(ROW()-2,종합!$AB$3:$AB$501,0))&amp;"","")</f>
        <v/>
      </c>
      <c r="Z358" s="21" t="str">
        <f aca="false">IFERROR(INDEX(종합!Z$3:Z$501,MATCH(ROW()-2,종합!$AB$3:$AB$501,0))&amp;"","")</f>
        <v/>
      </c>
    </row>
    <row r="359" customFormat="false" ht="16.5" hidden="false" customHeight="true" outlineLevel="0" collapsed="false">
      <c r="A359" s="18" t="str">
        <f aca="false">IF(B359="","",ROW()-2)</f>
        <v/>
      </c>
      <c r="B359" s="18" t="str">
        <f aca="false">IFERROR(INDEX(종합!B$3:B$501,MATCH(ROW()-2,종합!$AB$3:$AB$501,0))&amp;"","")</f>
        <v/>
      </c>
      <c r="C359" s="18" t="str">
        <f aca="false">IFERROR(INDEX(종합!C$3:C$501,MATCH(ROW()-2,종합!$AB$3:$AB$501,0))&amp;"","")</f>
        <v/>
      </c>
      <c r="D359" s="18" t="str">
        <f aca="false">IFERROR(INDEX(종합!D$3:D$501,MATCH(ROW()-2,종합!$AB$3:$AB$501,0))&amp;"","")</f>
        <v/>
      </c>
      <c r="E359" s="18" t="str">
        <f aca="false">IFERROR(INDEX(종합!E$3:E$501,MATCH(ROW()-2,종합!$AB$3:$AB$501,0))&amp;"","")</f>
        <v/>
      </c>
      <c r="F359" s="18" t="str">
        <f aca="false">IFERROR(INDEX(종합!F$3:F$501,MATCH(ROW()-2,종합!$AB$3:$AB$501,0))&amp;"","")</f>
        <v/>
      </c>
      <c r="G359" s="18" t="str">
        <f aca="false">IFERROR(INDEX(종합!G$3:G$501,MATCH(ROW()-2,종합!$AB$3:$AB$501,0))&amp;"","")</f>
        <v/>
      </c>
      <c r="H359" s="21" t="str">
        <f aca="false">IFERROR(INDEX(종합!H$3:H$501,MATCH(ROW()-2,종합!$AB$3:$AB$501,0))&amp;"","")</f>
        <v/>
      </c>
      <c r="I359" s="21" t="str">
        <f aca="false">IFERROR(INDEX(종합!I$3:I$501,MATCH(ROW()-2,종합!$AB$3:$AB$501,0))&amp;"","")</f>
        <v/>
      </c>
      <c r="J359" s="21" t="str">
        <f aca="false">IFERROR(INDEX(종합!J$3:J$501,MATCH(ROW()-2,종합!$AB$3:$AB$501,0))&amp;"","")</f>
        <v/>
      </c>
      <c r="K359" s="21" t="str">
        <f aca="false">IFERROR(INDEX(종합!K$3:K$501,MATCH(ROW()-2,종합!$AB$3:$AB$501,0))&amp;"","")</f>
        <v/>
      </c>
      <c r="L359" s="21" t="str">
        <f aca="false">IFERROR(INDEX(종합!L$3:L$501,MATCH(ROW()-2,종합!$AB$3:$AB$501,0))&amp;"","")</f>
        <v/>
      </c>
      <c r="M359" s="21" t="str">
        <f aca="false">IFERROR(INDEX(종합!M$3:M$501,MATCH(ROW()-2,종합!$AB$3:$AB$501,0))&amp;"","")</f>
        <v/>
      </c>
      <c r="N359" s="25" t="str">
        <f aca="false">IFERROR(INDEX(종합!N$3:N$501,MATCH(ROW()-2,종합!$AB$3:$AB$501,0))&amp;"","")</f>
        <v/>
      </c>
      <c r="O359" s="21" t="str">
        <f aca="false">IFERROR(INDEX(종합!O$3:O$501,MATCH(ROW()-2,종합!$AB$3:$AB$501,0))&amp;"","")</f>
        <v/>
      </c>
      <c r="P359" s="21" t="str">
        <f aca="false">IFERROR(INDEX(종합!P$3:P$501,MATCH(ROW()-2,종합!$AB$3:$AB$501,0))&amp;"","")</f>
        <v/>
      </c>
      <c r="Q359" s="21" t="str">
        <f aca="false">IFERROR(INDEX(종합!Q$3:Q$501,MATCH(ROW()-2,종합!$AB$3:$AB$501,0))&amp;"","")</f>
        <v/>
      </c>
      <c r="R359" s="21" t="str">
        <f aca="false">IFERROR(INDEX(종합!R$3:R$501,MATCH(ROW()-2,종합!$AB$3:$AB$501,0))&amp;"","")</f>
        <v/>
      </c>
      <c r="S359" s="21" t="str">
        <f aca="false">IFERROR(INDEX(종합!S$3:S$501,MATCH(ROW()-2,종합!$AB$3:$AB$501,0))&amp;"","")</f>
        <v/>
      </c>
      <c r="T359" s="21" t="str">
        <f aca="false">IFERROR(INDEX(종합!T$3:T$501,MATCH(ROW()-2,종합!$AB$3:$AB$501,0))&amp;"","")</f>
        <v/>
      </c>
      <c r="U359" s="21" t="str">
        <f aca="false">IFERROR(INDEX(종합!U$3:U$501,MATCH(ROW()-2,종합!$AB$3:$AB$501,0))&amp;"","")</f>
        <v/>
      </c>
      <c r="V359" s="21" t="str">
        <f aca="false">IFERROR(INDEX(종합!V$3:V$501,MATCH(ROW()-2,종합!$AB$3:$AB$501,0))&amp;"","")</f>
        <v/>
      </c>
      <c r="W359" s="21" t="str">
        <f aca="false">IFERROR(INDEX(종합!W$3:W$501,MATCH(ROW()-2,종합!$AB$3:$AB$501,0))&amp;"","")</f>
        <v/>
      </c>
      <c r="X359" s="21" t="str">
        <f aca="false">IFERROR(INDEX(종합!X$3:X$501,MATCH(ROW()-2,종합!$AB$3:$AB$501,0))&amp;"","")</f>
        <v/>
      </c>
      <c r="Y359" s="21" t="str">
        <f aca="false">IFERROR(INDEX(종합!Y$3:Y$501,MATCH(ROW()-2,종합!$AB$3:$AB$501,0))&amp;"","")</f>
        <v/>
      </c>
      <c r="Z359" s="21" t="str">
        <f aca="false">IFERROR(INDEX(종합!Z$3:Z$501,MATCH(ROW()-2,종합!$AB$3:$AB$501,0))&amp;"","")</f>
        <v/>
      </c>
    </row>
    <row r="360" customFormat="false" ht="16.5" hidden="false" customHeight="true" outlineLevel="0" collapsed="false">
      <c r="A360" s="18" t="str">
        <f aca="false">IF(B360="","",ROW()-2)</f>
        <v/>
      </c>
      <c r="B360" s="18" t="str">
        <f aca="false">IFERROR(INDEX(종합!B$3:B$501,MATCH(ROW()-2,종합!$AB$3:$AB$501,0))&amp;"","")</f>
        <v/>
      </c>
      <c r="C360" s="18" t="str">
        <f aca="false">IFERROR(INDEX(종합!C$3:C$501,MATCH(ROW()-2,종합!$AB$3:$AB$501,0))&amp;"","")</f>
        <v/>
      </c>
      <c r="D360" s="18" t="str">
        <f aca="false">IFERROR(INDEX(종합!D$3:D$501,MATCH(ROW()-2,종합!$AB$3:$AB$501,0))&amp;"","")</f>
        <v/>
      </c>
      <c r="E360" s="18" t="str">
        <f aca="false">IFERROR(INDEX(종합!E$3:E$501,MATCH(ROW()-2,종합!$AB$3:$AB$501,0))&amp;"","")</f>
        <v/>
      </c>
      <c r="F360" s="18" t="str">
        <f aca="false">IFERROR(INDEX(종합!F$3:F$501,MATCH(ROW()-2,종합!$AB$3:$AB$501,0))&amp;"","")</f>
        <v/>
      </c>
      <c r="G360" s="18" t="str">
        <f aca="false">IFERROR(INDEX(종합!G$3:G$501,MATCH(ROW()-2,종합!$AB$3:$AB$501,0))&amp;"","")</f>
        <v/>
      </c>
      <c r="H360" s="21" t="str">
        <f aca="false">IFERROR(INDEX(종합!H$3:H$501,MATCH(ROW()-2,종합!$AB$3:$AB$501,0))&amp;"","")</f>
        <v/>
      </c>
      <c r="I360" s="21" t="str">
        <f aca="false">IFERROR(INDEX(종합!I$3:I$501,MATCH(ROW()-2,종합!$AB$3:$AB$501,0))&amp;"","")</f>
        <v/>
      </c>
      <c r="J360" s="21" t="str">
        <f aca="false">IFERROR(INDEX(종합!J$3:J$501,MATCH(ROW()-2,종합!$AB$3:$AB$501,0))&amp;"","")</f>
        <v/>
      </c>
      <c r="K360" s="21" t="str">
        <f aca="false">IFERROR(INDEX(종합!K$3:K$501,MATCH(ROW()-2,종합!$AB$3:$AB$501,0))&amp;"","")</f>
        <v/>
      </c>
      <c r="L360" s="21" t="str">
        <f aca="false">IFERROR(INDEX(종합!L$3:L$501,MATCH(ROW()-2,종합!$AB$3:$AB$501,0))&amp;"","")</f>
        <v/>
      </c>
      <c r="M360" s="21" t="str">
        <f aca="false">IFERROR(INDEX(종합!M$3:M$501,MATCH(ROW()-2,종합!$AB$3:$AB$501,0))&amp;"","")</f>
        <v/>
      </c>
      <c r="N360" s="25" t="str">
        <f aca="false">IFERROR(INDEX(종합!N$3:N$501,MATCH(ROW()-2,종합!$AB$3:$AB$501,0))&amp;"","")</f>
        <v/>
      </c>
      <c r="O360" s="21" t="str">
        <f aca="false">IFERROR(INDEX(종합!O$3:O$501,MATCH(ROW()-2,종합!$AB$3:$AB$501,0))&amp;"","")</f>
        <v/>
      </c>
      <c r="P360" s="21" t="str">
        <f aca="false">IFERROR(INDEX(종합!P$3:P$501,MATCH(ROW()-2,종합!$AB$3:$AB$501,0))&amp;"","")</f>
        <v/>
      </c>
      <c r="Q360" s="21" t="str">
        <f aca="false">IFERROR(INDEX(종합!Q$3:Q$501,MATCH(ROW()-2,종합!$AB$3:$AB$501,0))&amp;"","")</f>
        <v/>
      </c>
      <c r="R360" s="21" t="str">
        <f aca="false">IFERROR(INDEX(종합!R$3:R$501,MATCH(ROW()-2,종합!$AB$3:$AB$501,0))&amp;"","")</f>
        <v/>
      </c>
      <c r="S360" s="21" t="str">
        <f aca="false">IFERROR(INDEX(종합!S$3:S$501,MATCH(ROW()-2,종합!$AB$3:$AB$501,0))&amp;"","")</f>
        <v/>
      </c>
      <c r="T360" s="21" t="str">
        <f aca="false">IFERROR(INDEX(종합!T$3:T$501,MATCH(ROW()-2,종합!$AB$3:$AB$501,0))&amp;"","")</f>
        <v/>
      </c>
      <c r="U360" s="21" t="str">
        <f aca="false">IFERROR(INDEX(종합!U$3:U$501,MATCH(ROW()-2,종합!$AB$3:$AB$501,0))&amp;"","")</f>
        <v/>
      </c>
      <c r="V360" s="21" t="str">
        <f aca="false">IFERROR(INDEX(종합!V$3:V$501,MATCH(ROW()-2,종합!$AB$3:$AB$501,0))&amp;"","")</f>
        <v/>
      </c>
      <c r="W360" s="21" t="str">
        <f aca="false">IFERROR(INDEX(종합!W$3:W$501,MATCH(ROW()-2,종합!$AB$3:$AB$501,0))&amp;"","")</f>
        <v/>
      </c>
      <c r="X360" s="21" t="str">
        <f aca="false">IFERROR(INDEX(종합!X$3:X$501,MATCH(ROW()-2,종합!$AB$3:$AB$501,0))&amp;"","")</f>
        <v/>
      </c>
      <c r="Y360" s="21" t="str">
        <f aca="false">IFERROR(INDEX(종합!Y$3:Y$501,MATCH(ROW()-2,종합!$AB$3:$AB$501,0))&amp;"","")</f>
        <v/>
      </c>
      <c r="Z360" s="21" t="str">
        <f aca="false">IFERROR(INDEX(종합!Z$3:Z$501,MATCH(ROW()-2,종합!$AB$3:$AB$501,0))&amp;"","")</f>
        <v/>
      </c>
    </row>
    <row r="361" customFormat="false" ht="16.5" hidden="false" customHeight="true" outlineLevel="0" collapsed="false">
      <c r="A361" s="18" t="str">
        <f aca="false">IF(B361="","",ROW()-2)</f>
        <v/>
      </c>
      <c r="B361" s="18" t="str">
        <f aca="false">IFERROR(INDEX(종합!B$3:B$501,MATCH(ROW()-2,종합!$AB$3:$AB$501,0))&amp;"","")</f>
        <v/>
      </c>
      <c r="C361" s="18" t="str">
        <f aca="false">IFERROR(INDEX(종합!C$3:C$501,MATCH(ROW()-2,종합!$AB$3:$AB$501,0))&amp;"","")</f>
        <v/>
      </c>
      <c r="D361" s="18" t="str">
        <f aca="false">IFERROR(INDEX(종합!D$3:D$501,MATCH(ROW()-2,종합!$AB$3:$AB$501,0))&amp;"","")</f>
        <v/>
      </c>
      <c r="E361" s="18" t="str">
        <f aca="false">IFERROR(INDEX(종합!E$3:E$501,MATCH(ROW()-2,종합!$AB$3:$AB$501,0))&amp;"","")</f>
        <v/>
      </c>
      <c r="F361" s="18" t="str">
        <f aca="false">IFERROR(INDEX(종합!F$3:F$501,MATCH(ROW()-2,종합!$AB$3:$AB$501,0))&amp;"","")</f>
        <v/>
      </c>
      <c r="G361" s="18" t="str">
        <f aca="false">IFERROR(INDEX(종합!G$3:G$501,MATCH(ROW()-2,종합!$AB$3:$AB$501,0))&amp;"","")</f>
        <v/>
      </c>
      <c r="H361" s="21" t="str">
        <f aca="false">IFERROR(INDEX(종합!H$3:H$501,MATCH(ROW()-2,종합!$AB$3:$AB$501,0))&amp;"","")</f>
        <v/>
      </c>
      <c r="I361" s="21" t="str">
        <f aca="false">IFERROR(INDEX(종합!I$3:I$501,MATCH(ROW()-2,종합!$AB$3:$AB$501,0))&amp;"","")</f>
        <v/>
      </c>
      <c r="J361" s="21" t="str">
        <f aca="false">IFERROR(INDEX(종합!J$3:J$501,MATCH(ROW()-2,종합!$AB$3:$AB$501,0))&amp;"","")</f>
        <v/>
      </c>
      <c r="K361" s="21" t="str">
        <f aca="false">IFERROR(INDEX(종합!K$3:K$501,MATCH(ROW()-2,종합!$AB$3:$AB$501,0))&amp;"","")</f>
        <v/>
      </c>
      <c r="L361" s="21" t="str">
        <f aca="false">IFERROR(INDEX(종합!L$3:L$501,MATCH(ROW()-2,종합!$AB$3:$AB$501,0))&amp;"","")</f>
        <v/>
      </c>
      <c r="M361" s="21" t="str">
        <f aca="false">IFERROR(INDEX(종합!M$3:M$501,MATCH(ROW()-2,종합!$AB$3:$AB$501,0))&amp;"","")</f>
        <v/>
      </c>
      <c r="N361" s="25" t="str">
        <f aca="false">IFERROR(INDEX(종합!N$3:N$501,MATCH(ROW()-2,종합!$AB$3:$AB$501,0))&amp;"","")</f>
        <v/>
      </c>
      <c r="O361" s="21" t="str">
        <f aca="false">IFERROR(INDEX(종합!O$3:O$501,MATCH(ROW()-2,종합!$AB$3:$AB$501,0))&amp;"","")</f>
        <v/>
      </c>
      <c r="P361" s="21" t="str">
        <f aca="false">IFERROR(INDEX(종합!P$3:P$501,MATCH(ROW()-2,종합!$AB$3:$AB$501,0))&amp;"","")</f>
        <v/>
      </c>
      <c r="Q361" s="21" t="str">
        <f aca="false">IFERROR(INDEX(종합!Q$3:Q$501,MATCH(ROW()-2,종합!$AB$3:$AB$501,0))&amp;"","")</f>
        <v/>
      </c>
      <c r="R361" s="21" t="str">
        <f aca="false">IFERROR(INDEX(종합!R$3:R$501,MATCH(ROW()-2,종합!$AB$3:$AB$501,0))&amp;"","")</f>
        <v/>
      </c>
      <c r="S361" s="21" t="str">
        <f aca="false">IFERROR(INDEX(종합!S$3:S$501,MATCH(ROW()-2,종합!$AB$3:$AB$501,0))&amp;"","")</f>
        <v/>
      </c>
      <c r="T361" s="21" t="str">
        <f aca="false">IFERROR(INDEX(종합!T$3:T$501,MATCH(ROW()-2,종합!$AB$3:$AB$501,0))&amp;"","")</f>
        <v/>
      </c>
      <c r="U361" s="21" t="str">
        <f aca="false">IFERROR(INDEX(종합!U$3:U$501,MATCH(ROW()-2,종합!$AB$3:$AB$501,0))&amp;"","")</f>
        <v/>
      </c>
      <c r="V361" s="21" t="str">
        <f aca="false">IFERROR(INDEX(종합!V$3:V$501,MATCH(ROW()-2,종합!$AB$3:$AB$501,0))&amp;"","")</f>
        <v/>
      </c>
      <c r="W361" s="21" t="str">
        <f aca="false">IFERROR(INDEX(종합!W$3:W$501,MATCH(ROW()-2,종합!$AB$3:$AB$501,0))&amp;"","")</f>
        <v/>
      </c>
      <c r="X361" s="21" t="str">
        <f aca="false">IFERROR(INDEX(종합!X$3:X$501,MATCH(ROW()-2,종합!$AB$3:$AB$501,0))&amp;"","")</f>
        <v/>
      </c>
      <c r="Y361" s="21" t="str">
        <f aca="false">IFERROR(INDEX(종합!Y$3:Y$501,MATCH(ROW()-2,종합!$AB$3:$AB$501,0))&amp;"","")</f>
        <v/>
      </c>
      <c r="Z361" s="21" t="str">
        <f aca="false">IFERROR(INDEX(종합!Z$3:Z$501,MATCH(ROW()-2,종합!$AB$3:$AB$501,0))&amp;"","")</f>
        <v/>
      </c>
    </row>
    <row r="362" customFormat="false" ht="16.5" hidden="false" customHeight="true" outlineLevel="0" collapsed="false">
      <c r="A362" s="18" t="str">
        <f aca="false">IF(B362="","",ROW()-2)</f>
        <v/>
      </c>
      <c r="B362" s="18" t="str">
        <f aca="false">IFERROR(INDEX(종합!B$3:B$501,MATCH(ROW()-2,종합!$AB$3:$AB$501,0))&amp;"","")</f>
        <v/>
      </c>
      <c r="C362" s="18" t="str">
        <f aca="false">IFERROR(INDEX(종합!C$3:C$501,MATCH(ROW()-2,종합!$AB$3:$AB$501,0))&amp;"","")</f>
        <v/>
      </c>
      <c r="D362" s="18" t="str">
        <f aca="false">IFERROR(INDEX(종합!D$3:D$501,MATCH(ROW()-2,종합!$AB$3:$AB$501,0))&amp;"","")</f>
        <v/>
      </c>
      <c r="E362" s="18" t="str">
        <f aca="false">IFERROR(INDEX(종합!E$3:E$501,MATCH(ROW()-2,종합!$AB$3:$AB$501,0))&amp;"","")</f>
        <v/>
      </c>
      <c r="F362" s="18" t="str">
        <f aca="false">IFERROR(INDEX(종합!F$3:F$501,MATCH(ROW()-2,종합!$AB$3:$AB$501,0))&amp;"","")</f>
        <v/>
      </c>
      <c r="G362" s="18" t="str">
        <f aca="false">IFERROR(INDEX(종합!G$3:G$501,MATCH(ROW()-2,종합!$AB$3:$AB$501,0))&amp;"","")</f>
        <v/>
      </c>
      <c r="H362" s="21" t="str">
        <f aca="false">IFERROR(INDEX(종합!H$3:H$501,MATCH(ROW()-2,종합!$AB$3:$AB$501,0))&amp;"","")</f>
        <v/>
      </c>
      <c r="I362" s="21" t="str">
        <f aca="false">IFERROR(INDEX(종합!I$3:I$501,MATCH(ROW()-2,종합!$AB$3:$AB$501,0))&amp;"","")</f>
        <v/>
      </c>
      <c r="J362" s="21" t="str">
        <f aca="false">IFERROR(INDEX(종합!J$3:J$501,MATCH(ROW()-2,종합!$AB$3:$AB$501,0))&amp;"","")</f>
        <v/>
      </c>
      <c r="K362" s="21" t="str">
        <f aca="false">IFERROR(INDEX(종합!K$3:K$501,MATCH(ROW()-2,종합!$AB$3:$AB$501,0))&amp;"","")</f>
        <v/>
      </c>
      <c r="L362" s="21" t="str">
        <f aca="false">IFERROR(INDEX(종합!L$3:L$501,MATCH(ROW()-2,종합!$AB$3:$AB$501,0))&amp;"","")</f>
        <v/>
      </c>
      <c r="M362" s="21" t="str">
        <f aca="false">IFERROR(INDEX(종합!M$3:M$501,MATCH(ROW()-2,종합!$AB$3:$AB$501,0))&amp;"","")</f>
        <v/>
      </c>
      <c r="N362" s="25" t="str">
        <f aca="false">IFERROR(INDEX(종합!N$3:N$501,MATCH(ROW()-2,종합!$AB$3:$AB$501,0))&amp;"","")</f>
        <v/>
      </c>
      <c r="O362" s="21" t="str">
        <f aca="false">IFERROR(INDEX(종합!O$3:O$501,MATCH(ROW()-2,종합!$AB$3:$AB$501,0))&amp;"","")</f>
        <v/>
      </c>
      <c r="P362" s="21" t="str">
        <f aca="false">IFERROR(INDEX(종합!P$3:P$501,MATCH(ROW()-2,종합!$AB$3:$AB$501,0))&amp;"","")</f>
        <v/>
      </c>
      <c r="Q362" s="21" t="str">
        <f aca="false">IFERROR(INDEX(종합!Q$3:Q$501,MATCH(ROW()-2,종합!$AB$3:$AB$501,0))&amp;"","")</f>
        <v/>
      </c>
      <c r="R362" s="21" t="str">
        <f aca="false">IFERROR(INDEX(종합!R$3:R$501,MATCH(ROW()-2,종합!$AB$3:$AB$501,0))&amp;"","")</f>
        <v/>
      </c>
      <c r="S362" s="21" t="str">
        <f aca="false">IFERROR(INDEX(종합!S$3:S$501,MATCH(ROW()-2,종합!$AB$3:$AB$501,0))&amp;"","")</f>
        <v/>
      </c>
      <c r="T362" s="21" t="str">
        <f aca="false">IFERROR(INDEX(종합!T$3:T$501,MATCH(ROW()-2,종합!$AB$3:$AB$501,0))&amp;"","")</f>
        <v/>
      </c>
      <c r="U362" s="21" t="str">
        <f aca="false">IFERROR(INDEX(종합!U$3:U$501,MATCH(ROW()-2,종합!$AB$3:$AB$501,0))&amp;"","")</f>
        <v/>
      </c>
      <c r="V362" s="21" t="str">
        <f aca="false">IFERROR(INDEX(종합!V$3:V$501,MATCH(ROW()-2,종합!$AB$3:$AB$501,0))&amp;"","")</f>
        <v/>
      </c>
      <c r="W362" s="21" t="str">
        <f aca="false">IFERROR(INDEX(종합!W$3:W$501,MATCH(ROW()-2,종합!$AB$3:$AB$501,0))&amp;"","")</f>
        <v/>
      </c>
      <c r="X362" s="21" t="str">
        <f aca="false">IFERROR(INDEX(종합!X$3:X$501,MATCH(ROW()-2,종합!$AB$3:$AB$501,0))&amp;"","")</f>
        <v/>
      </c>
      <c r="Y362" s="21" t="str">
        <f aca="false">IFERROR(INDEX(종합!Y$3:Y$501,MATCH(ROW()-2,종합!$AB$3:$AB$501,0))&amp;"","")</f>
        <v/>
      </c>
      <c r="Z362" s="21" t="str">
        <f aca="false">IFERROR(INDEX(종합!Z$3:Z$501,MATCH(ROW()-2,종합!$AB$3:$AB$501,0))&amp;"","")</f>
        <v/>
      </c>
    </row>
    <row r="363" customFormat="false" ht="16.5" hidden="false" customHeight="true" outlineLevel="0" collapsed="false">
      <c r="A363" s="18" t="str">
        <f aca="false">IF(B363="","",ROW()-2)</f>
        <v/>
      </c>
      <c r="B363" s="18" t="str">
        <f aca="false">IFERROR(INDEX(종합!B$3:B$501,MATCH(ROW()-2,종합!$AB$3:$AB$501,0))&amp;"","")</f>
        <v/>
      </c>
      <c r="C363" s="18" t="str">
        <f aca="false">IFERROR(INDEX(종합!C$3:C$501,MATCH(ROW()-2,종합!$AB$3:$AB$501,0))&amp;"","")</f>
        <v/>
      </c>
      <c r="D363" s="18" t="str">
        <f aca="false">IFERROR(INDEX(종합!D$3:D$501,MATCH(ROW()-2,종합!$AB$3:$AB$501,0))&amp;"","")</f>
        <v/>
      </c>
      <c r="E363" s="18" t="str">
        <f aca="false">IFERROR(INDEX(종합!E$3:E$501,MATCH(ROW()-2,종합!$AB$3:$AB$501,0))&amp;"","")</f>
        <v/>
      </c>
      <c r="F363" s="18" t="str">
        <f aca="false">IFERROR(INDEX(종합!F$3:F$501,MATCH(ROW()-2,종합!$AB$3:$AB$501,0))&amp;"","")</f>
        <v/>
      </c>
      <c r="G363" s="18" t="str">
        <f aca="false">IFERROR(INDEX(종합!G$3:G$501,MATCH(ROW()-2,종합!$AB$3:$AB$501,0))&amp;"","")</f>
        <v/>
      </c>
      <c r="H363" s="21" t="str">
        <f aca="false">IFERROR(INDEX(종합!H$3:H$501,MATCH(ROW()-2,종합!$AB$3:$AB$501,0))&amp;"","")</f>
        <v/>
      </c>
      <c r="I363" s="21" t="str">
        <f aca="false">IFERROR(INDEX(종합!I$3:I$501,MATCH(ROW()-2,종합!$AB$3:$AB$501,0))&amp;"","")</f>
        <v/>
      </c>
      <c r="J363" s="21" t="str">
        <f aca="false">IFERROR(INDEX(종합!J$3:J$501,MATCH(ROW()-2,종합!$AB$3:$AB$501,0))&amp;"","")</f>
        <v/>
      </c>
      <c r="K363" s="21" t="str">
        <f aca="false">IFERROR(INDEX(종합!K$3:K$501,MATCH(ROW()-2,종합!$AB$3:$AB$501,0))&amp;"","")</f>
        <v/>
      </c>
      <c r="L363" s="21" t="str">
        <f aca="false">IFERROR(INDEX(종합!L$3:L$501,MATCH(ROW()-2,종합!$AB$3:$AB$501,0))&amp;"","")</f>
        <v/>
      </c>
      <c r="M363" s="21" t="str">
        <f aca="false">IFERROR(INDEX(종합!M$3:M$501,MATCH(ROW()-2,종합!$AB$3:$AB$501,0))&amp;"","")</f>
        <v/>
      </c>
      <c r="N363" s="25" t="str">
        <f aca="false">IFERROR(INDEX(종합!N$3:N$501,MATCH(ROW()-2,종합!$AB$3:$AB$501,0))&amp;"","")</f>
        <v/>
      </c>
      <c r="O363" s="21" t="str">
        <f aca="false">IFERROR(INDEX(종합!O$3:O$501,MATCH(ROW()-2,종합!$AB$3:$AB$501,0))&amp;"","")</f>
        <v/>
      </c>
      <c r="P363" s="21" t="str">
        <f aca="false">IFERROR(INDEX(종합!P$3:P$501,MATCH(ROW()-2,종합!$AB$3:$AB$501,0))&amp;"","")</f>
        <v/>
      </c>
      <c r="Q363" s="21" t="str">
        <f aca="false">IFERROR(INDEX(종합!Q$3:Q$501,MATCH(ROW()-2,종합!$AB$3:$AB$501,0))&amp;"","")</f>
        <v/>
      </c>
      <c r="R363" s="21" t="str">
        <f aca="false">IFERROR(INDEX(종합!R$3:R$501,MATCH(ROW()-2,종합!$AB$3:$AB$501,0))&amp;"","")</f>
        <v/>
      </c>
      <c r="S363" s="21" t="str">
        <f aca="false">IFERROR(INDEX(종합!S$3:S$501,MATCH(ROW()-2,종합!$AB$3:$AB$501,0))&amp;"","")</f>
        <v/>
      </c>
      <c r="T363" s="21" t="str">
        <f aca="false">IFERROR(INDEX(종합!T$3:T$501,MATCH(ROW()-2,종합!$AB$3:$AB$501,0))&amp;"","")</f>
        <v/>
      </c>
      <c r="U363" s="21" t="str">
        <f aca="false">IFERROR(INDEX(종합!U$3:U$501,MATCH(ROW()-2,종합!$AB$3:$AB$501,0))&amp;"","")</f>
        <v/>
      </c>
      <c r="V363" s="21" t="str">
        <f aca="false">IFERROR(INDEX(종합!V$3:V$501,MATCH(ROW()-2,종합!$AB$3:$AB$501,0))&amp;"","")</f>
        <v/>
      </c>
      <c r="W363" s="21" t="str">
        <f aca="false">IFERROR(INDEX(종합!W$3:W$501,MATCH(ROW()-2,종합!$AB$3:$AB$501,0))&amp;"","")</f>
        <v/>
      </c>
      <c r="X363" s="21" t="str">
        <f aca="false">IFERROR(INDEX(종합!X$3:X$501,MATCH(ROW()-2,종합!$AB$3:$AB$501,0))&amp;"","")</f>
        <v/>
      </c>
      <c r="Y363" s="21" t="str">
        <f aca="false">IFERROR(INDEX(종합!Y$3:Y$501,MATCH(ROW()-2,종합!$AB$3:$AB$501,0))&amp;"","")</f>
        <v/>
      </c>
      <c r="Z363" s="21" t="str">
        <f aca="false">IFERROR(INDEX(종합!Z$3:Z$501,MATCH(ROW()-2,종합!$AB$3:$AB$501,0))&amp;"","")</f>
        <v/>
      </c>
    </row>
    <row r="364" customFormat="false" ht="16.5" hidden="false" customHeight="true" outlineLevel="0" collapsed="false">
      <c r="A364" s="18" t="str">
        <f aca="false">IF(B364="","",ROW()-2)</f>
        <v/>
      </c>
      <c r="B364" s="18" t="str">
        <f aca="false">IFERROR(INDEX(종합!B$3:B$501,MATCH(ROW()-2,종합!$AB$3:$AB$501,0))&amp;"","")</f>
        <v/>
      </c>
      <c r="C364" s="18" t="str">
        <f aca="false">IFERROR(INDEX(종합!C$3:C$501,MATCH(ROW()-2,종합!$AB$3:$AB$501,0))&amp;"","")</f>
        <v/>
      </c>
      <c r="D364" s="18" t="str">
        <f aca="false">IFERROR(INDEX(종합!D$3:D$501,MATCH(ROW()-2,종합!$AB$3:$AB$501,0))&amp;"","")</f>
        <v/>
      </c>
      <c r="E364" s="18" t="str">
        <f aca="false">IFERROR(INDEX(종합!E$3:E$501,MATCH(ROW()-2,종합!$AB$3:$AB$501,0))&amp;"","")</f>
        <v/>
      </c>
      <c r="F364" s="18" t="str">
        <f aca="false">IFERROR(INDEX(종합!F$3:F$501,MATCH(ROW()-2,종합!$AB$3:$AB$501,0))&amp;"","")</f>
        <v/>
      </c>
      <c r="G364" s="18" t="str">
        <f aca="false">IFERROR(INDEX(종합!G$3:G$501,MATCH(ROW()-2,종합!$AB$3:$AB$501,0))&amp;"","")</f>
        <v/>
      </c>
      <c r="H364" s="21" t="str">
        <f aca="false">IFERROR(INDEX(종합!H$3:H$501,MATCH(ROW()-2,종합!$AB$3:$AB$501,0))&amp;"","")</f>
        <v/>
      </c>
      <c r="I364" s="21" t="str">
        <f aca="false">IFERROR(INDEX(종합!I$3:I$501,MATCH(ROW()-2,종합!$AB$3:$AB$501,0))&amp;"","")</f>
        <v/>
      </c>
      <c r="J364" s="21" t="str">
        <f aca="false">IFERROR(INDEX(종합!J$3:J$501,MATCH(ROW()-2,종합!$AB$3:$AB$501,0))&amp;"","")</f>
        <v/>
      </c>
      <c r="K364" s="21" t="str">
        <f aca="false">IFERROR(INDEX(종합!K$3:K$501,MATCH(ROW()-2,종합!$AB$3:$AB$501,0))&amp;"","")</f>
        <v/>
      </c>
      <c r="L364" s="21" t="str">
        <f aca="false">IFERROR(INDEX(종합!L$3:L$501,MATCH(ROW()-2,종합!$AB$3:$AB$501,0))&amp;"","")</f>
        <v/>
      </c>
      <c r="M364" s="21" t="str">
        <f aca="false">IFERROR(INDEX(종합!M$3:M$501,MATCH(ROW()-2,종합!$AB$3:$AB$501,0))&amp;"","")</f>
        <v/>
      </c>
      <c r="N364" s="25" t="str">
        <f aca="false">IFERROR(INDEX(종합!N$3:N$501,MATCH(ROW()-2,종합!$AB$3:$AB$501,0))&amp;"","")</f>
        <v/>
      </c>
      <c r="O364" s="21" t="str">
        <f aca="false">IFERROR(INDEX(종합!O$3:O$501,MATCH(ROW()-2,종합!$AB$3:$AB$501,0))&amp;"","")</f>
        <v/>
      </c>
      <c r="P364" s="21" t="str">
        <f aca="false">IFERROR(INDEX(종합!P$3:P$501,MATCH(ROW()-2,종합!$AB$3:$AB$501,0))&amp;"","")</f>
        <v/>
      </c>
      <c r="Q364" s="21" t="str">
        <f aca="false">IFERROR(INDEX(종합!Q$3:Q$501,MATCH(ROW()-2,종합!$AB$3:$AB$501,0))&amp;"","")</f>
        <v/>
      </c>
      <c r="R364" s="21" t="str">
        <f aca="false">IFERROR(INDEX(종합!R$3:R$501,MATCH(ROW()-2,종합!$AB$3:$AB$501,0))&amp;"","")</f>
        <v/>
      </c>
      <c r="S364" s="21" t="str">
        <f aca="false">IFERROR(INDEX(종합!S$3:S$501,MATCH(ROW()-2,종합!$AB$3:$AB$501,0))&amp;"","")</f>
        <v/>
      </c>
      <c r="T364" s="21" t="str">
        <f aca="false">IFERROR(INDEX(종합!T$3:T$501,MATCH(ROW()-2,종합!$AB$3:$AB$501,0))&amp;"","")</f>
        <v/>
      </c>
      <c r="U364" s="21" t="str">
        <f aca="false">IFERROR(INDEX(종합!U$3:U$501,MATCH(ROW()-2,종합!$AB$3:$AB$501,0))&amp;"","")</f>
        <v/>
      </c>
      <c r="V364" s="21" t="str">
        <f aca="false">IFERROR(INDEX(종합!V$3:V$501,MATCH(ROW()-2,종합!$AB$3:$AB$501,0))&amp;"","")</f>
        <v/>
      </c>
      <c r="W364" s="21" t="str">
        <f aca="false">IFERROR(INDEX(종합!W$3:W$501,MATCH(ROW()-2,종합!$AB$3:$AB$501,0))&amp;"","")</f>
        <v/>
      </c>
      <c r="X364" s="21" t="str">
        <f aca="false">IFERROR(INDEX(종합!X$3:X$501,MATCH(ROW()-2,종합!$AB$3:$AB$501,0))&amp;"","")</f>
        <v/>
      </c>
      <c r="Y364" s="21" t="str">
        <f aca="false">IFERROR(INDEX(종합!Y$3:Y$501,MATCH(ROW()-2,종합!$AB$3:$AB$501,0))&amp;"","")</f>
        <v/>
      </c>
      <c r="Z364" s="21" t="str">
        <f aca="false">IFERROR(INDEX(종합!Z$3:Z$501,MATCH(ROW()-2,종합!$AB$3:$AB$501,0))&amp;"","")</f>
        <v/>
      </c>
    </row>
    <row r="365" customFormat="false" ht="16.5" hidden="false" customHeight="true" outlineLevel="0" collapsed="false">
      <c r="A365" s="18" t="str">
        <f aca="false">IF(B365="","",ROW()-2)</f>
        <v/>
      </c>
      <c r="B365" s="18" t="str">
        <f aca="false">IFERROR(INDEX(종합!B$3:B$501,MATCH(ROW()-2,종합!$AB$3:$AB$501,0))&amp;"","")</f>
        <v/>
      </c>
      <c r="C365" s="18" t="str">
        <f aca="false">IFERROR(INDEX(종합!C$3:C$501,MATCH(ROW()-2,종합!$AB$3:$AB$501,0))&amp;"","")</f>
        <v/>
      </c>
      <c r="D365" s="18" t="str">
        <f aca="false">IFERROR(INDEX(종합!D$3:D$501,MATCH(ROW()-2,종합!$AB$3:$AB$501,0))&amp;"","")</f>
        <v/>
      </c>
      <c r="E365" s="18" t="str">
        <f aca="false">IFERROR(INDEX(종합!E$3:E$501,MATCH(ROW()-2,종합!$AB$3:$AB$501,0))&amp;"","")</f>
        <v/>
      </c>
      <c r="F365" s="18" t="str">
        <f aca="false">IFERROR(INDEX(종합!F$3:F$501,MATCH(ROW()-2,종합!$AB$3:$AB$501,0))&amp;"","")</f>
        <v/>
      </c>
      <c r="G365" s="18" t="str">
        <f aca="false">IFERROR(INDEX(종합!G$3:G$501,MATCH(ROW()-2,종합!$AB$3:$AB$501,0))&amp;"","")</f>
        <v/>
      </c>
      <c r="H365" s="21" t="str">
        <f aca="false">IFERROR(INDEX(종합!H$3:H$501,MATCH(ROW()-2,종합!$AB$3:$AB$501,0))&amp;"","")</f>
        <v/>
      </c>
      <c r="I365" s="21" t="str">
        <f aca="false">IFERROR(INDEX(종합!I$3:I$501,MATCH(ROW()-2,종합!$AB$3:$AB$501,0))&amp;"","")</f>
        <v/>
      </c>
      <c r="J365" s="21" t="str">
        <f aca="false">IFERROR(INDEX(종합!J$3:J$501,MATCH(ROW()-2,종합!$AB$3:$AB$501,0))&amp;"","")</f>
        <v/>
      </c>
      <c r="K365" s="21" t="str">
        <f aca="false">IFERROR(INDEX(종합!K$3:K$501,MATCH(ROW()-2,종합!$AB$3:$AB$501,0))&amp;"","")</f>
        <v/>
      </c>
      <c r="L365" s="21" t="str">
        <f aca="false">IFERROR(INDEX(종합!L$3:L$501,MATCH(ROW()-2,종합!$AB$3:$AB$501,0))&amp;"","")</f>
        <v/>
      </c>
      <c r="M365" s="21" t="str">
        <f aca="false">IFERROR(INDEX(종합!M$3:M$501,MATCH(ROW()-2,종합!$AB$3:$AB$501,0))&amp;"","")</f>
        <v/>
      </c>
      <c r="N365" s="25" t="str">
        <f aca="false">IFERROR(INDEX(종합!N$3:N$501,MATCH(ROW()-2,종합!$AB$3:$AB$501,0))&amp;"","")</f>
        <v/>
      </c>
      <c r="O365" s="21" t="str">
        <f aca="false">IFERROR(INDEX(종합!O$3:O$501,MATCH(ROW()-2,종합!$AB$3:$AB$501,0))&amp;"","")</f>
        <v/>
      </c>
      <c r="P365" s="21" t="str">
        <f aca="false">IFERROR(INDEX(종합!P$3:P$501,MATCH(ROW()-2,종합!$AB$3:$AB$501,0))&amp;"","")</f>
        <v/>
      </c>
      <c r="Q365" s="21" t="str">
        <f aca="false">IFERROR(INDEX(종합!Q$3:Q$501,MATCH(ROW()-2,종합!$AB$3:$AB$501,0))&amp;"","")</f>
        <v/>
      </c>
      <c r="R365" s="21" t="str">
        <f aca="false">IFERROR(INDEX(종합!R$3:R$501,MATCH(ROW()-2,종합!$AB$3:$AB$501,0))&amp;"","")</f>
        <v/>
      </c>
      <c r="S365" s="21" t="str">
        <f aca="false">IFERROR(INDEX(종합!S$3:S$501,MATCH(ROW()-2,종합!$AB$3:$AB$501,0))&amp;"","")</f>
        <v/>
      </c>
      <c r="T365" s="21" t="str">
        <f aca="false">IFERROR(INDEX(종합!T$3:T$501,MATCH(ROW()-2,종합!$AB$3:$AB$501,0))&amp;"","")</f>
        <v/>
      </c>
      <c r="U365" s="21" t="str">
        <f aca="false">IFERROR(INDEX(종합!U$3:U$501,MATCH(ROW()-2,종합!$AB$3:$AB$501,0))&amp;"","")</f>
        <v/>
      </c>
      <c r="V365" s="21" t="str">
        <f aca="false">IFERROR(INDEX(종합!V$3:V$501,MATCH(ROW()-2,종합!$AB$3:$AB$501,0))&amp;"","")</f>
        <v/>
      </c>
      <c r="W365" s="21" t="str">
        <f aca="false">IFERROR(INDEX(종합!W$3:W$501,MATCH(ROW()-2,종합!$AB$3:$AB$501,0))&amp;"","")</f>
        <v/>
      </c>
      <c r="X365" s="21" t="str">
        <f aca="false">IFERROR(INDEX(종합!X$3:X$501,MATCH(ROW()-2,종합!$AB$3:$AB$501,0))&amp;"","")</f>
        <v/>
      </c>
      <c r="Y365" s="21" t="str">
        <f aca="false">IFERROR(INDEX(종합!Y$3:Y$501,MATCH(ROW()-2,종합!$AB$3:$AB$501,0))&amp;"","")</f>
        <v/>
      </c>
      <c r="Z365" s="21" t="str">
        <f aca="false">IFERROR(INDEX(종합!Z$3:Z$501,MATCH(ROW()-2,종합!$AB$3:$AB$501,0))&amp;"","")</f>
        <v/>
      </c>
    </row>
    <row r="366" customFormat="false" ht="16.5" hidden="false" customHeight="true" outlineLevel="0" collapsed="false">
      <c r="A366" s="18" t="str">
        <f aca="false">IF(B366="","",ROW()-2)</f>
        <v/>
      </c>
      <c r="B366" s="18" t="str">
        <f aca="false">IFERROR(INDEX(종합!B$3:B$501,MATCH(ROW()-2,종합!$AB$3:$AB$501,0))&amp;"","")</f>
        <v/>
      </c>
      <c r="C366" s="18" t="str">
        <f aca="false">IFERROR(INDEX(종합!C$3:C$501,MATCH(ROW()-2,종합!$AB$3:$AB$501,0))&amp;"","")</f>
        <v/>
      </c>
      <c r="D366" s="18" t="str">
        <f aca="false">IFERROR(INDEX(종합!D$3:D$501,MATCH(ROW()-2,종합!$AB$3:$AB$501,0))&amp;"","")</f>
        <v/>
      </c>
      <c r="E366" s="18" t="str">
        <f aca="false">IFERROR(INDEX(종합!E$3:E$501,MATCH(ROW()-2,종합!$AB$3:$AB$501,0))&amp;"","")</f>
        <v/>
      </c>
      <c r="F366" s="18" t="str">
        <f aca="false">IFERROR(INDEX(종합!F$3:F$501,MATCH(ROW()-2,종합!$AB$3:$AB$501,0))&amp;"","")</f>
        <v/>
      </c>
      <c r="G366" s="18" t="str">
        <f aca="false">IFERROR(INDEX(종합!G$3:G$501,MATCH(ROW()-2,종합!$AB$3:$AB$501,0))&amp;"","")</f>
        <v/>
      </c>
      <c r="H366" s="21" t="str">
        <f aca="false">IFERROR(INDEX(종합!H$3:H$501,MATCH(ROW()-2,종합!$AB$3:$AB$501,0))&amp;"","")</f>
        <v/>
      </c>
      <c r="I366" s="21" t="str">
        <f aca="false">IFERROR(INDEX(종합!I$3:I$501,MATCH(ROW()-2,종합!$AB$3:$AB$501,0))&amp;"","")</f>
        <v/>
      </c>
      <c r="J366" s="21" t="str">
        <f aca="false">IFERROR(INDEX(종합!J$3:J$501,MATCH(ROW()-2,종합!$AB$3:$AB$501,0))&amp;"","")</f>
        <v/>
      </c>
      <c r="K366" s="21" t="str">
        <f aca="false">IFERROR(INDEX(종합!K$3:K$501,MATCH(ROW()-2,종합!$AB$3:$AB$501,0))&amp;"","")</f>
        <v/>
      </c>
      <c r="L366" s="21" t="str">
        <f aca="false">IFERROR(INDEX(종합!L$3:L$501,MATCH(ROW()-2,종합!$AB$3:$AB$501,0))&amp;"","")</f>
        <v/>
      </c>
      <c r="M366" s="21" t="str">
        <f aca="false">IFERROR(INDEX(종합!M$3:M$501,MATCH(ROW()-2,종합!$AB$3:$AB$501,0))&amp;"","")</f>
        <v/>
      </c>
      <c r="N366" s="25" t="str">
        <f aca="false">IFERROR(INDEX(종합!N$3:N$501,MATCH(ROW()-2,종합!$AB$3:$AB$501,0))&amp;"","")</f>
        <v/>
      </c>
      <c r="O366" s="21" t="str">
        <f aca="false">IFERROR(INDEX(종합!O$3:O$501,MATCH(ROW()-2,종합!$AB$3:$AB$501,0))&amp;"","")</f>
        <v/>
      </c>
      <c r="P366" s="21" t="str">
        <f aca="false">IFERROR(INDEX(종합!P$3:P$501,MATCH(ROW()-2,종합!$AB$3:$AB$501,0))&amp;"","")</f>
        <v/>
      </c>
      <c r="Q366" s="21" t="str">
        <f aca="false">IFERROR(INDEX(종합!Q$3:Q$501,MATCH(ROW()-2,종합!$AB$3:$AB$501,0))&amp;"","")</f>
        <v/>
      </c>
      <c r="R366" s="21" t="str">
        <f aca="false">IFERROR(INDEX(종합!R$3:R$501,MATCH(ROW()-2,종합!$AB$3:$AB$501,0))&amp;"","")</f>
        <v/>
      </c>
      <c r="S366" s="21" t="str">
        <f aca="false">IFERROR(INDEX(종합!S$3:S$501,MATCH(ROW()-2,종합!$AB$3:$AB$501,0))&amp;"","")</f>
        <v/>
      </c>
      <c r="T366" s="21" t="str">
        <f aca="false">IFERROR(INDEX(종합!T$3:T$501,MATCH(ROW()-2,종합!$AB$3:$AB$501,0))&amp;"","")</f>
        <v/>
      </c>
      <c r="U366" s="21" t="str">
        <f aca="false">IFERROR(INDEX(종합!U$3:U$501,MATCH(ROW()-2,종합!$AB$3:$AB$501,0))&amp;"","")</f>
        <v/>
      </c>
      <c r="V366" s="21" t="str">
        <f aca="false">IFERROR(INDEX(종합!V$3:V$501,MATCH(ROW()-2,종합!$AB$3:$AB$501,0))&amp;"","")</f>
        <v/>
      </c>
      <c r="W366" s="21" t="str">
        <f aca="false">IFERROR(INDEX(종합!W$3:W$501,MATCH(ROW()-2,종합!$AB$3:$AB$501,0))&amp;"","")</f>
        <v/>
      </c>
      <c r="X366" s="21" t="str">
        <f aca="false">IFERROR(INDEX(종합!X$3:X$501,MATCH(ROW()-2,종합!$AB$3:$AB$501,0))&amp;"","")</f>
        <v/>
      </c>
      <c r="Y366" s="21" t="str">
        <f aca="false">IFERROR(INDEX(종합!Y$3:Y$501,MATCH(ROW()-2,종합!$AB$3:$AB$501,0))&amp;"","")</f>
        <v/>
      </c>
      <c r="Z366" s="21" t="str">
        <f aca="false">IFERROR(INDEX(종합!Z$3:Z$501,MATCH(ROW()-2,종합!$AB$3:$AB$501,0))&amp;"","")</f>
        <v/>
      </c>
    </row>
    <row r="367" customFormat="false" ht="16.5" hidden="false" customHeight="true" outlineLevel="0" collapsed="false">
      <c r="A367" s="18" t="str">
        <f aca="false">IF(B367="","",ROW()-2)</f>
        <v/>
      </c>
      <c r="B367" s="18" t="str">
        <f aca="false">IFERROR(INDEX(종합!B$3:B$501,MATCH(ROW()-2,종합!$AB$3:$AB$501,0))&amp;"","")</f>
        <v/>
      </c>
      <c r="C367" s="18" t="str">
        <f aca="false">IFERROR(INDEX(종합!C$3:C$501,MATCH(ROW()-2,종합!$AB$3:$AB$501,0))&amp;"","")</f>
        <v/>
      </c>
      <c r="D367" s="18" t="str">
        <f aca="false">IFERROR(INDEX(종합!D$3:D$501,MATCH(ROW()-2,종합!$AB$3:$AB$501,0))&amp;"","")</f>
        <v/>
      </c>
      <c r="E367" s="18" t="str">
        <f aca="false">IFERROR(INDEX(종합!E$3:E$501,MATCH(ROW()-2,종합!$AB$3:$AB$501,0))&amp;"","")</f>
        <v/>
      </c>
      <c r="F367" s="18" t="str">
        <f aca="false">IFERROR(INDEX(종합!F$3:F$501,MATCH(ROW()-2,종합!$AB$3:$AB$501,0))&amp;"","")</f>
        <v/>
      </c>
      <c r="G367" s="18" t="str">
        <f aca="false">IFERROR(INDEX(종합!G$3:G$501,MATCH(ROW()-2,종합!$AB$3:$AB$501,0))&amp;"","")</f>
        <v/>
      </c>
      <c r="H367" s="21" t="str">
        <f aca="false">IFERROR(INDEX(종합!H$3:H$501,MATCH(ROW()-2,종합!$AB$3:$AB$501,0))&amp;"","")</f>
        <v/>
      </c>
      <c r="I367" s="21" t="str">
        <f aca="false">IFERROR(INDEX(종합!I$3:I$501,MATCH(ROW()-2,종합!$AB$3:$AB$501,0))&amp;"","")</f>
        <v/>
      </c>
      <c r="J367" s="21" t="str">
        <f aca="false">IFERROR(INDEX(종합!J$3:J$501,MATCH(ROW()-2,종합!$AB$3:$AB$501,0))&amp;"","")</f>
        <v/>
      </c>
      <c r="K367" s="21" t="str">
        <f aca="false">IFERROR(INDEX(종합!K$3:K$501,MATCH(ROW()-2,종합!$AB$3:$AB$501,0))&amp;"","")</f>
        <v/>
      </c>
      <c r="L367" s="21" t="str">
        <f aca="false">IFERROR(INDEX(종합!L$3:L$501,MATCH(ROW()-2,종합!$AB$3:$AB$501,0))&amp;"","")</f>
        <v/>
      </c>
      <c r="M367" s="21" t="str">
        <f aca="false">IFERROR(INDEX(종합!M$3:M$501,MATCH(ROW()-2,종합!$AB$3:$AB$501,0))&amp;"","")</f>
        <v/>
      </c>
      <c r="N367" s="25" t="str">
        <f aca="false">IFERROR(INDEX(종합!N$3:N$501,MATCH(ROW()-2,종합!$AB$3:$AB$501,0))&amp;"","")</f>
        <v/>
      </c>
      <c r="O367" s="21" t="str">
        <f aca="false">IFERROR(INDEX(종합!O$3:O$501,MATCH(ROW()-2,종합!$AB$3:$AB$501,0))&amp;"","")</f>
        <v/>
      </c>
      <c r="P367" s="21" t="str">
        <f aca="false">IFERROR(INDEX(종합!P$3:P$501,MATCH(ROW()-2,종합!$AB$3:$AB$501,0))&amp;"","")</f>
        <v/>
      </c>
      <c r="Q367" s="21" t="str">
        <f aca="false">IFERROR(INDEX(종합!Q$3:Q$501,MATCH(ROW()-2,종합!$AB$3:$AB$501,0))&amp;"","")</f>
        <v/>
      </c>
      <c r="R367" s="21" t="str">
        <f aca="false">IFERROR(INDEX(종합!R$3:R$501,MATCH(ROW()-2,종합!$AB$3:$AB$501,0))&amp;"","")</f>
        <v/>
      </c>
      <c r="S367" s="21" t="str">
        <f aca="false">IFERROR(INDEX(종합!S$3:S$501,MATCH(ROW()-2,종합!$AB$3:$AB$501,0))&amp;"","")</f>
        <v/>
      </c>
      <c r="T367" s="21" t="str">
        <f aca="false">IFERROR(INDEX(종합!T$3:T$501,MATCH(ROW()-2,종합!$AB$3:$AB$501,0))&amp;"","")</f>
        <v/>
      </c>
      <c r="U367" s="21" t="str">
        <f aca="false">IFERROR(INDEX(종합!U$3:U$501,MATCH(ROW()-2,종합!$AB$3:$AB$501,0))&amp;"","")</f>
        <v/>
      </c>
      <c r="V367" s="21" t="str">
        <f aca="false">IFERROR(INDEX(종합!V$3:V$501,MATCH(ROW()-2,종합!$AB$3:$AB$501,0))&amp;"","")</f>
        <v/>
      </c>
      <c r="W367" s="21" t="str">
        <f aca="false">IFERROR(INDEX(종합!W$3:W$501,MATCH(ROW()-2,종합!$AB$3:$AB$501,0))&amp;"","")</f>
        <v/>
      </c>
      <c r="X367" s="21" t="str">
        <f aca="false">IFERROR(INDEX(종합!X$3:X$501,MATCH(ROW()-2,종합!$AB$3:$AB$501,0))&amp;"","")</f>
        <v/>
      </c>
      <c r="Y367" s="21" t="str">
        <f aca="false">IFERROR(INDEX(종합!Y$3:Y$501,MATCH(ROW()-2,종합!$AB$3:$AB$501,0))&amp;"","")</f>
        <v/>
      </c>
      <c r="Z367" s="21" t="str">
        <f aca="false">IFERROR(INDEX(종합!Z$3:Z$501,MATCH(ROW()-2,종합!$AB$3:$AB$501,0))&amp;"","")</f>
        <v/>
      </c>
    </row>
    <row r="368" customFormat="false" ht="16.5" hidden="false" customHeight="true" outlineLevel="0" collapsed="false">
      <c r="A368" s="18" t="str">
        <f aca="false">IF(B368="","",ROW()-2)</f>
        <v/>
      </c>
      <c r="B368" s="18" t="str">
        <f aca="false">IFERROR(INDEX(종합!B$3:B$501,MATCH(ROW()-2,종합!$AB$3:$AB$501,0))&amp;"","")</f>
        <v/>
      </c>
      <c r="C368" s="18" t="str">
        <f aca="false">IFERROR(INDEX(종합!C$3:C$501,MATCH(ROW()-2,종합!$AB$3:$AB$501,0))&amp;"","")</f>
        <v/>
      </c>
      <c r="D368" s="18" t="str">
        <f aca="false">IFERROR(INDEX(종합!D$3:D$501,MATCH(ROW()-2,종합!$AB$3:$AB$501,0))&amp;"","")</f>
        <v/>
      </c>
      <c r="E368" s="18" t="str">
        <f aca="false">IFERROR(INDEX(종합!E$3:E$501,MATCH(ROW()-2,종합!$AB$3:$AB$501,0))&amp;"","")</f>
        <v/>
      </c>
      <c r="F368" s="18" t="str">
        <f aca="false">IFERROR(INDEX(종합!F$3:F$501,MATCH(ROW()-2,종합!$AB$3:$AB$501,0))&amp;"","")</f>
        <v/>
      </c>
      <c r="G368" s="18" t="str">
        <f aca="false">IFERROR(INDEX(종합!G$3:G$501,MATCH(ROW()-2,종합!$AB$3:$AB$501,0))&amp;"","")</f>
        <v/>
      </c>
      <c r="H368" s="21" t="str">
        <f aca="false">IFERROR(INDEX(종합!H$3:H$501,MATCH(ROW()-2,종합!$AB$3:$AB$501,0))&amp;"","")</f>
        <v/>
      </c>
      <c r="I368" s="21" t="str">
        <f aca="false">IFERROR(INDEX(종합!I$3:I$501,MATCH(ROW()-2,종합!$AB$3:$AB$501,0))&amp;"","")</f>
        <v/>
      </c>
      <c r="J368" s="21" t="str">
        <f aca="false">IFERROR(INDEX(종합!J$3:J$501,MATCH(ROW()-2,종합!$AB$3:$AB$501,0))&amp;"","")</f>
        <v/>
      </c>
      <c r="K368" s="21" t="str">
        <f aca="false">IFERROR(INDEX(종합!K$3:K$501,MATCH(ROW()-2,종합!$AB$3:$AB$501,0))&amp;"","")</f>
        <v/>
      </c>
      <c r="L368" s="21" t="str">
        <f aca="false">IFERROR(INDEX(종합!L$3:L$501,MATCH(ROW()-2,종합!$AB$3:$AB$501,0))&amp;"","")</f>
        <v/>
      </c>
      <c r="M368" s="21" t="str">
        <f aca="false">IFERROR(INDEX(종합!M$3:M$501,MATCH(ROW()-2,종합!$AB$3:$AB$501,0))&amp;"","")</f>
        <v/>
      </c>
      <c r="N368" s="25" t="str">
        <f aca="false">IFERROR(INDEX(종합!N$3:N$501,MATCH(ROW()-2,종합!$AB$3:$AB$501,0))&amp;"","")</f>
        <v/>
      </c>
      <c r="O368" s="21" t="str">
        <f aca="false">IFERROR(INDEX(종합!O$3:O$501,MATCH(ROW()-2,종합!$AB$3:$AB$501,0))&amp;"","")</f>
        <v/>
      </c>
      <c r="P368" s="21" t="str">
        <f aca="false">IFERROR(INDEX(종합!P$3:P$501,MATCH(ROW()-2,종합!$AB$3:$AB$501,0))&amp;"","")</f>
        <v/>
      </c>
      <c r="Q368" s="21" t="str">
        <f aca="false">IFERROR(INDEX(종합!Q$3:Q$501,MATCH(ROW()-2,종합!$AB$3:$AB$501,0))&amp;"","")</f>
        <v/>
      </c>
      <c r="R368" s="21" t="str">
        <f aca="false">IFERROR(INDEX(종합!R$3:R$501,MATCH(ROW()-2,종합!$AB$3:$AB$501,0))&amp;"","")</f>
        <v/>
      </c>
      <c r="S368" s="21" t="str">
        <f aca="false">IFERROR(INDEX(종합!S$3:S$501,MATCH(ROW()-2,종합!$AB$3:$AB$501,0))&amp;"","")</f>
        <v/>
      </c>
      <c r="T368" s="21" t="str">
        <f aca="false">IFERROR(INDEX(종합!T$3:T$501,MATCH(ROW()-2,종합!$AB$3:$AB$501,0))&amp;"","")</f>
        <v/>
      </c>
      <c r="U368" s="21" t="str">
        <f aca="false">IFERROR(INDEX(종합!U$3:U$501,MATCH(ROW()-2,종합!$AB$3:$AB$501,0))&amp;"","")</f>
        <v/>
      </c>
      <c r="V368" s="21" t="str">
        <f aca="false">IFERROR(INDEX(종합!V$3:V$501,MATCH(ROW()-2,종합!$AB$3:$AB$501,0))&amp;"","")</f>
        <v/>
      </c>
      <c r="W368" s="21" t="str">
        <f aca="false">IFERROR(INDEX(종합!W$3:W$501,MATCH(ROW()-2,종합!$AB$3:$AB$501,0))&amp;"","")</f>
        <v/>
      </c>
      <c r="X368" s="21" t="str">
        <f aca="false">IFERROR(INDEX(종합!X$3:X$501,MATCH(ROW()-2,종합!$AB$3:$AB$501,0))&amp;"","")</f>
        <v/>
      </c>
      <c r="Y368" s="21" t="str">
        <f aca="false">IFERROR(INDEX(종합!Y$3:Y$501,MATCH(ROW()-2,종합!$AB$3:$AB$501,0))&amp;"","")</f>
        <v/>
      </c>
      <c r="Z368" s="21" t="str">
        <f aca="false">IFERROR(INDEX(종합!Z$3:Z$501,MATCH(ROW()-2,종합!$AB$3:$AB$501,0))&amp;"","")</f>
        <v/>
      </c>
    </row>
    <row r="369" customFormat="false" ht="16.5" hidden="false" customHeight="true" outlineLevel="0" collapsed="false">
      <c r="A369" s="18" t="str">
        <f aca="false">IF(B369="","",ROW()-2)</f>
        <v/>
      </c>
      <c r="B369" s="18" t="str">
        <f aca="false">IFERROR(INDEX(종합!B$3:B$501,MATCH(ROW()-2,종합!$AB$3:$AB$501,0))&amp;"","")</f>
        <v/>
      </c>
      <c r="C369" s="18" t="str">
        <f aca="false">IFERROR(INDEX(종합!C$3:C$501,MATCH(ROW()-2,종합!$AB$3:$AB$501,0))&amp;"","")</f>
        <v/>
      </c>
      <c r="D369" s="18" t="str">
        <f aca="false">IFERROR(INDEX(종합!D$3:D$501,MATCH(ROW()-2,종합!$AB$3:$AB$501,0))&amp;"","")</f>
        <v/>
      </c>
      <c r="E369" s="18" t="str">
        <f aca="false">IFERROR(INDEX(종합!E$3:E$501,MATCH(ROW()-2,종합!$AB$3:$AB$501,0))&amp;"","")</f>
        <v/>
      </c>
      <c r="F369" s="18" t="str">
        <f aca="false">IFERROR(INDEX(종합!F$3:F$501,MATCH(ROW()-2,종합!$AB$3:$AB$501,0))&amp;"","")</f>
        <v/>
      </c>
      <c r="G369" s="18" t="str">
        <f aca="false">IFERROR(INDEX(종합!G$3:G$501,MATCH(ROW()-2,종합!$AB$3:$AB$501,0))&amp;"","")</f>
        <v/>
      </c>
      <c r="H369" s="21" t="str">
        <f aca="false">IFERROR(INDEX(종합!H$3:H$501,MATCH(ROW()-2,종합!$AB$3:$AB$501,0))&amp;"","")</f>
        <v/>
      </c>
      <c r="I369" s="21" t="str">
        <f aca="false">IFERROR(INDEX(종합!I$3:I$501,MATCH(ROW()-2,종합!$AB$3:$AB$501,0))&amp;"","")</f>
        <v/>
      </c>
      <c r="J369" s="21" t="str">
        <f aca="false">IFERROR(INDEX(종합!J$3:J$501,MATCH(ROW()-2,종합!$AB$3:$AB$501,0))&amp;"","")</f>
        <v/>
      </c>
      <c r="K369" s="21" t="str">
        <f aca="false">IFERROR(INDEX(종합!K$3:K$501,MATCH(ROW()-2,종합!$AB$3:$AB$501,0))&amp;"","")</f>
        <v/>
      </c>
      <c r="L369" s="21" t="str">
        <f aca="false">IFERROR(INDEX(종합!L$3:L$501,MATCH(ROW()-2,종합!$AB$3:$AB$501,0))&amp;"","")</f>
        <v/>
      </c>
      <c r="M369" s="21" t="str">
        <f aca="false">IFERROR(INDEX(종합!M$3:M$501,MATCH(ROW()-2,종합!$AB$3:$AB$501,0))&amp;"","")</f>
        <v/>
      </c>
      <c r="N369" s="25" t="str">
        <f aca="false">IFERROR(INDEX(종합!N$3:N$501,MATCH(ROW()-2,종합!$AB$3:$AB$501,0))&amp;"","")</f>
        <v/>
      </c>
      <c r="O369" s="21" t="str">
        <f aca="false">IFERROR(INDEX(종합!O$3:O$501,MATCH(ROW()-2,종합!$AB$3:$AB$501,0))&amp;"","")</f>
        <v/>
      </c>
      <c r="P369" s="21" t="str">
        <f aca="false">IFERROR(INDEX(종합!P$3:P$501,MATCH(ROW()-2,종합!$AB$3:$AB$501,0))&amp;"","")</f>
        <v/>
      </c>
      <c r="Q369" s="21" t="str">
        <f aca="false">IFERROR(INDEX(종합!Q$3:Q$501,MATCH(ROW()-2,종합!$AB$3:$AB$501,0))&amp;"","")</f>
        <v/>
      </c>
      <c r="R369" s="21" t="str">
        <f aca="false">IFERROR(INDEX(종합!R$3:R$501,MATCH(ROW()-2,종합!$AB$3:$AB$501,0))&amp;"","")</f>
        <v/>
      </c>
      <c r="S369" s="21" t="str">
        <f aca="false">IFERROR(INDEX(종합!S$3:S$501,MATCH(ROW()-2,종합!$AB$3:$AB$501,0))&amp;"","")</f>
        <v/>
      </c>
      <c r="T369" s="21" t="str">
        <f aca="false">IFERROR(INDEX(종합!T$3:T$501,MATCH(ROW()-2,종합!$AB$3:$AB$501,0))&amp;"","")</f>
        <v/>
      </c>
      <c r="U369" s="21" t="str">
        <f aca="false">IFERROR(INDEX(종합!U$3:U$501,MATCH(ROW()-2,종합!$AB$3:$AB$501,0))&amp;"","")</f>
        <v/>
      </c>
      <c r="V369" s="21" t="str">
        <f aca="false">IFERROR(INDEX(종합!V$3:V$501,MATCH(ROW()-2,종합!$AB$3:$AB$501,0))&amp;"","")</f>
        <v/>
      </c>
      <c r="W369" s="21" t="str">
        <f aca="false">IFERROR(INDEX(종합!W$3:W$501,MATCH(ROW()-2,종합!$AB$3:$AB$501,0))&amp;"","")</f>
        <v/>
      </c>
      <c r="X369" s="21" t="str">
        <f aca="false">IFERROR(INDEX(종합!X$3:X$501,MATCH(ROW()-2,종합!$AB$3:$AB$501,0))&amp;"","")</f>
        <v/>
      </c>
      <c r="Y369" s="21" t="str">
        <f aca="false">IFERROR(INDEX(종합!Y$3:Y$501,MATCH(ROW()-2,종합!$AB$3:$AB$501,0))&amp;"","")</f>
        <v/>
      </c>
      <c r="Z369" s="21" t="str">
        <f aca="false">IFERROR(INDEX(종합!Z$3:Z$501,MATCH(ROW()-2,종합!$AB$3:$AB$501,0))&amp;"","")</f>
        <v/>
      </c>
    </row>
    <row r="370" customFormat="false" ht="16.5" hidden="false" customHeight="true" outlineLevel="0" collapsed="false">
      <c r="A370" s="18" t="str">
        <f aca="false">IF(B370="","",ROW()-2)</f>
        <v/>
      </c>
      <c r="B370" s="18" t="str">
        <f aca="false">IFERROR(INDEX(종합!B$3:B$501,MATCH(ROW()-2,종합!$AB$3:$AB$501,0))&amp;"","")</f>
        <v/>
      </c>
      <c r="C370" s="18" t="str">
        <f aca="false">IFERROR(INDEX(종합!C$3:C$501,MATCH(ROW()-2,종합!$AB$3:$AB$501,0))&amp;"","")</f>
        <v/>
      </c>
      <c r="D370" s="18" t="str">
        <f aca="false">IFERROR(INDEX(종합!D$3:D$501,MATCH(ROW()-2,종합!$AB$3:$AB$501,0))&amp;"","")</f>
        <v/>
      </c>
      <c r="E370" s="18" t="str">
        <f aca="false">IFERROR(INDEX(종합!E$3:E$501,MATCH(ROW()-2,종합!$AB$3:$AB$501,0))&amp;"","")</f>
        <v/>
      </c>
      <c r="F370" s="18" t="str">
        <f aca="false">IFERROR(INDEX(종합!F$3:F$501,MATCH(ROW()-2,종합!$AB$3:$AB$501,0))&amp;"","")</f>
        <v/>
      </c>
      <c r="G370" s="18" t="str">
        <f aca="false">IFERROR(INDEX(종합!G$3:G$501,MATCH(ROW()-2,종합!$AB$3:$AB$501,0))&amp;"","")</f>
        <v/>
      </c>
      <c r="H370" s="21" t="str">
        <f aca="false">IFERROR(INDEX(종합!H$3:H$501,MATCH(ROW()-2,종합!$AB$3:$AB$501,0))&amp;"","")</f>
        <v/>
      </c>
      <c r="I370" s="21" t="str">
        <f aca="false">IFERROR(INDEX(종합!I$3:I$501,MATCH(ROW()-2,종합!$AB$3:$AB$501,0))&amp;"","")</f>
        <v/>
      </c>
      <c r="J370" s="21" t="str">
        <f aca="false">IFERROR(INDEX(종합!J$3:J$501,MATCH(ROW()-2,종합!$AB$3:$AB$501,0))&amp;"","")</f>
        <v/>
      </c>
      <c r="K370" s="21" t="str">
        <f aca="false">IFERROR(INDEX(종합!K$3:K$501,MATCH(ROW()-2,종합!$AB$3:$AB$501,0))&amp;"","")</f>
        <v/>
      </c>
      <c r="L370" s="21" t="str">
        <f aca="false">IFERROR(INDEX(종합!L$3:L$501,MATCH(ROW()-2,종합!$AB$3:$AB$501,0))&amp;"","")</f>
        <v/>
      </c>
      <c r="M370" s="21" t="str">
        <f aca="false">IFERROR(INDEX(종합!M$3:M$501,MATCH(ROW()-2,종합!$AB$3:$AB$501,0))&amp;"","")</f>
        <v/>
      </c>
      <c r="N370" s="25" t="str">
        <f aca="false">IFERROR(INDEX(종합!N$3:N$501,MATCH(ROW()-2,종합!$AB$3:$AB$501,0))&amp;"","")</f>
        <v/>
      </c>
      <c r="O370" s="21" t="str">
        <f aca="false">IFERROR(INDEX(종합!O$3:O$501,MATCH(ROW()-2,종합!$AB$3:$AB$501,0))&amp;"","")</f>
        <v/>
      </c>
      <c r="P370" s="21" t="str">
        <f aca="false">IFERROR(INDEX(종합!P$3:P$501,MATCH(ROW()-2,종합!$AB$3:$AB$501,0))&amp;"","")</f>
        <v/>
      </c>
      <c r="Q370" s="21" t="str">
        <f aca="false">IFERROR(INDEX(종합!Q$3:Q$501,MATCH(ROW()-2,종합!$AB$3:$AB$501,0))&amp;"","")</f>
        <v/>
      </c>
      <c r="R370" s="21" t="str">
        <f aca="false">IFERROR(INDEX(종합!R$3:R$501,MATCH(ROW()-2,종합!$AB$3:$AB$501,0))&amp;"","")</f>
        <v/>
      </c>
      <c r="S370" s="21" t="str">
        <f aca="false">IFERROR(INDEX(종합!S$3:S$501,MATCH(ROW()-2,종합!$AB$3:$AB$501,0))&amp;"","")</f>
        <v/>
      </c>
      <c r="T370" s="21" t="str">
        <f aca="false">IFERROR(INDEX(종합!T$3:T$501,MATCH(ROW()-2,종합!$AB$3:$AB$501,0))&amp;"","")</f>
        <v/>
      </c>
      <c r="U370" s="21" t="str">
        <f aca="false">IFERROR(INDEX(종합!U$3:U$501,MATCH(ROW()-2,종합!$AB$3:$AB$501,0))&amp;"","")</f>
        <v/>
      </c>
      <c r="V370" s="21" t="str">
        <f aca="false">IFERROR(INDEX(종합!V$3:V$501,MATCH(ROW()-2,종합!$AB$3:$AB$501,0))&amp;"","")</f>
        <v/>
      </c>
      <c r="W370" s="21" t="str">
        <f aca="false">IFERROR(INDEX(종합!W$3:W$501,MATCH(ROW()-2,종합!$AB$3:$AB$501,0))&amp;"","")</f>
        <v/>
      </c>
      <c r="X370" s="21" t="str">
        <f aca="false">IFERROR(INDEX(종합!X$3:X$501,MATCH(ROW()-2,종합!$AB$3:$AB$501,0))&amp;"","")</f>
        <v/>
      </c>
      <c r="Y370" s="21" t="str">
        <f aca="false">IFERROR(INDEX(종합!Y$3:Y$501,MATCH(ROW()-2,종합!$AB$3:$AB$501,0))&amp;"","")</f>
        <v/>
      </c>
      <c r="Z370" s="21" t="str">
        <f aca="false">IFERROR(INDEX(종합!Z$3:Z$501,MATCH(ROW()-2,종합!$AB$3:$AB$501,0))&amp;"","")</f>
        <v/>
      </c>
    </row>
    <row r="371" customFormat="false" ht="16.5" hidden="false" customHeight="true" outlineLevel="0" collapsed="false">
      <c r="A371" s="18" t="str">
        <f aca="false">IF(B371="","",ROW()-2)</f>
        <v/>
      </c>
      <c r="B371" s="18" t="str">
        <f aca="false">IFERROR(INDEX(종합!B$3:B$501,MATCH(ROW()-2,종합!$AB$3:$AB$501,0))&amp;"","")</f>
        <v/>
      </c>
      <c r="C371" s="18" t="str">
        <f aca="false">IFERROR(INDEX(종합!C$3:C$501,MATCH(ROW()-2,종합!$AB$3:$AB$501,0))&amp;"","")</f>
        <v/>
      </c>
      <c r="D371" s="18" t="str">
        <f aca="false">IFERROR(INDEX(종합!D$3:D$501,MATCH(ROW()-2,종합!$AB$3:$AB$501,0))&amp;"","")</f>
        <v/>
      </c>
      <c r="E371" s="18" t="str">
        <f aca="false">IFERROR(INDEX(종합!E$3:E$501,MATCH(ROW()-2,종합!$AB$3:$AB$501,0))&amp;"","")</f>
        <v/>
      </c>
      <c r="F371" s="18" t="str">
        <f aca="false">IFERROR(INDEX(종합!F$3:F$501,MATCH(ROW()-2,종합!$AB$3:$AB$501,0))&amp;"","")</f>
        <v/>
      </c>
      <c r="G371" s="18" t="str">
        <f aca="false">IFERROR(INDEX(종합!G$3:G$501,MATCH(ROW()-2,종합!$AB$3:$AB$501,0))&amp;"","")</f>
        <v/>
      </c>
      <c r="H371" s="21" t="str">
        <f aca="false">IFERROR(INDEX(종합!H$3:H$501,MATCH(ROW()-2,종합!$AB$3:$AB$501,0))&amp;"","")</f>
        <v/>
      </c>
      <c r="I371" s="21" t="str">
        <f aca="false">IFERROR(INDEX(종합!I$3:I$501,MATCH(ROW()-2,종합!$AB$3:$AB$501,0))&amp;"","")</f>
        <v/>
      </c>
      <c r="J371" s="21" t="str">
        <f aca="false">IFERROR(INDEX(종합!J$3:J$501,MATCH(ROW()-2,종합!$AB$3:$AB$501,0))&amp;"","")</f>
        <v/>
      </c>
      <c r="K371" s="21" t="str">
        <f aca="false">IFERROR(INDEX(종합!K$3:K$501,MATCH(ROW()-2,종합!$AB$3:$AB$501,0))&amp;"","")</f>
        <v/>
      </c>
      <c r="L371" s="21" t="str">
        <f aca="false">IFERROR(INDEX(종합!L$3:L$501,MATCH(ROW()-2,종합!$AB$3:$AB$501,0))&amp;"","")</f>
        <v/>
      </c>
      <c r="M371" s="21" t="str">
        <f aca="false">IFERROR(INDEX(종합!M$3:M$501,MATCH(ROW()-2,종합!$AB$3:$AB$501,0))&amp;"","")</f>
        <v/>
      </c>
      <c r="N371" s="25" t="str">
        <f aca="false">IFERROR(INDEX(종합!N$3:N$501,MATCH(ROW()-2,종합!$AB$3:$AB$501,0))&amp;"","")</f>
        <v/>
      </c>
      <c r="O371" s="21" t="str">
        <f aca="false">IFERROR(INDEX(종합!O$3:O$501,MATCH(ROW()-2,종합!$AB$3:$AB$501,0))&amp;"","")</f>
        <v/>
      </c>
      <c r="P371" s="21" t="str">
        <f aca="false">IFERROR(INDEX(종합!P$3:P$501,MATCH(ROW()-2,종합!$AB$3:$AB$501,0))&amp;"","")</f>
        <v/>
      </c>
      <c r="Q371" s="21" t="str">
        <f aca="false">IFERROR(INDEX(종합!Q$3:Q$501,MATCH(ROW()-2,종합!$AB$3:$AB$501,0))&amp;"","")</f>
        <v/>
      </c>
      <c r="R371" s="21" t="str">
        <f aca="false">IFERROR(INDEX(종합!R$3:R$501,MATCH(ROW()-2,종합!$AB$3:$AB$501,0))&amp;"","")</f>
        <v/>
      </c>
      <c r="S371" s="21" t="str">
        <f aca="false">IFERROR(INDEX(종합!S$3:S$501,MATCH(ROW()-2,종합!$AB$3:$AB$501,0))&amp;"","")</f>
        <v/>
      </c>
      <c r="T371" s="21" t="str">
        <f aca="false">IFERROR(INDEX(종합!T$3:T$501,MATCH(ROW()-2,종합!$AB$3:$AB$501,0))&amp;"","")</f>
        <v/>
      </c>
      <c r="U371" s="21" t="str">
        <f aca="false">IFERROR(INDEX(종합!U$3:U$501,MATCH(ROW()-2,종합!$AB$3:$AB$501,0))&amp;"","")</f>
        <v/>
      </c>
      <c r="V371" s="21" t="str">
        <f aca="false">IFERROR(INDEX(종합!V$3:V$501,MATCH(ROW()-2,종합!$AB$3:$AB$501,0))&amp;"","")</f>
        <v/>
      </c>
      <c r="W371" s="21" t="str">
        <f aca="false">IFERROR(INDEX(종합!W$3:W$501,MATCH(ROW()-2,종합!$AB$3:$AB$501,0))&amp;"","")</f>
        <v/>
      </c>
      <c r="X371" s="21" t="str">
        <f aca="false">IFERROR(INDEX(종합!X$3:X$501,MATCH(ROW()-2,종합!$AB$3:$AB$501,0))&amp;"","")</f>
        <v/>
      </c>
      <c r="Y371" s="21" t="str">
        <f aca="false">IFERROR(INDEX(종합!Y$3:Y$501,MATCH(ROW()-2,종합!$AB$3:$AB$501,0))&amp;"","")</f>
        <v/>
      </c>
      <c r="Z371" s="21" t="str">
        <f aca="false">IFERROR(INDEX(종합!Z$3:Z$501,MATCH(ROW()-2,종합!$AB$3:$AB$501,0))&amp;"","")</f>
        <v/>
      </c>
    </row>
    <row r="372" customFormat="false" ht="16.5" hidden="false" customHeight="true" outlineLevel="0" collapsed="false">
      <c r="A372" s="18" t="str">
        <f aca="false">IF(B372="","",ROW()-2)</f>
        <v/>
      </c>
      <c r="B372" s="18" t="str">
        <f aca="false">IFERROR(INDEX(종합!B$3:B$501,MATCH(ROW()-2,종합!$AB$3:$AB$501,0))&amp;"","")</f>
        <v/>
      </c>
      <c r="C372" s="18" t="str">
        <f aca="false">IFERROR(INDEX(종합!C$3:C$501,MATCH(ROW()-2,종합!$AB$3:$AB$501,0))&amp;"","")</f>
        <v/>
      </c>
      <c r="D372" s="18" t="str">
        <f aca="false">IFERROR(INDEX(종합!D$3:D$501,MATCH(ROW()-2,종합!$AB$3:$AB$501,0))&amp;"","")</f>
        <v/>
      </c>
      <c r="E372" s="18" t="str">
        <f aca="false">IFERROR(INDEX(종합!E$3:E$501,MATCH(ROW()-2,종합!$AB$3:$AB$501,0))&amp;"","")</f>
        <v/>
      </c>
      <c r="F372" s="18" t="str">
        <f aca="false">IFERROR(INDEX(종합!F$3:F$501,MATCH(ROW()-2,종합!$AB$3:$AB$501,0))&amp;"","")</f>
        <v/>
      </c>
      <c r="G372" s="18" t="str">
        <f aca="false">IFERROR(INDEX(종합!G$3:G$501,MATCH(ROW()-2,종합!$AB$3:$AB$501,0))&amp;"","")</f>
        <v/>
      </c>
      <c r="H372" s="21" t="str">
        <f aca="false">IFERROR(INDEX(종합!H$3:H$501,MATCH(ROW()-2,종합!$AB$3:$AB$501,0))&amp;"","")</f>
        <v/>
      </c>
      <c r="I372" s="21" t="str">
        <f aca="false">IFERROR(INDEX(종합!I$3:I$501,MATCH(ROW()-2,종합!$AB$3:$AB$501,0))&amp;"","")</f>
        <v/>
      </c>
      <c r="J372" s="21" t="str">
        <f aca="false">IFERROR(INDEX(종합!J$3:J$501,MATCH(ROW()-2,종합!$AB$3:$AB$501,0))&amp;"","")</f>
        <v/>
      </c>
      <c r="K372" s="21" t="str">
        <f aca="false">IFERROR(INDEX(종합!K$3:K$501,MATCH(ROW()-2,종합!$AB$3:$AB$501,0))&amp;"","")</f>
        <v/>
      </c>
      <c r="L372" s="21" t="str">
        <f aca="false">IFERROR(INDEX(종합!L$3:L$501,MATCH(ROW()-2,종합!$AB$3:$AB$501,0))&amp;"","")</f>
        <v/>
      </c>
      <c r="M372" s="21" t="str">
        <f aca="false">IFERROR(INDEX(종합!M$3:M$501,MATCH(ROW()-2,종합!$AB$3:$AB$501,0))&amp;"","")</f>
        <v/>
      </c>
      <c r="N372" s="25" t="str">
        <f aca="false">IFERROR(INDEX(종합!N$3:N$501,MATCH(ROW()-2,종합!$AB$3:$AB$501,0))&amp;"","")</f>
        <v/>
      </c>
      <c r="O372" s="21" t="str">
        <f aca="false">IFERROR(INDEX(종합!O$3:O$501,MATCH(ROW()-2,종합!$AB$3:$AB$501,0))&amp;"","")</f>
        <v/>
      </c>
      <c r="P372" s="21" t="str">
        <f aca="false">IFERROR(INDEX(종합!P$3:P$501,MATCH(ROW()-2,종합!$AB$3:$AB$501,0))&amp;"","")</f>
        <v/>
      </c>
      <c r="Q372" s="21" t="str">
        <f aca="false">IFERROR(INDEX(종합!Q$3:Q$501,MATCH(ROW()-2,종합!$AB$3:$AB$501,0))&amp;"","")</f>
        <v/>
      </c>
      <c r="R372" s="21" t="str">
        <f aca="false">IFERROR(INDEX(종합!R$3:R$501,MATCH(ROW()-2,종합!$AB$3:$AB$501,0))&amp;"","")</f>
        <v/>
      </c>
      <c r="S372" s="21" t="str">
        <f aca="false">IFERROR(INDEX(종합!S$3:S$501,MATCH(ROW()-2,종합!$AB$3:$AB$501,0))&amp;"","")</f>
        <v/>
      </c>
      <c r="T372" s="21" t="str">
        <f aca="false">IFERROR(INDEX(종합!T$3:T$501,MATCH(ROW()-2,종합!$AB$3:$AB$501,0))&amp;"","")</f>
        <v/>
      </c>
      <c r="U372" s="21" t="str">
        <f aca="false">IFERROR(INDEX(종합!U$3:U$501,MATCH(ROW()-2,종합!$AB$3:$AB$501,0))&amp;"","")</f>
        <v/>
      </c>
      <c r="V372" s="21" t="str">
        <f aca="false">IFERROR(INDEX(종합!V$3:V$501,MATCH(ROW()-2,종합!$AB$3:$AB$501,0))&amp;"","")</f>
        <v/>
      </c>
      <c r="W372" s="21" t="str">
        <f aca="false">IFERROR(INDEX(종합!W$3:W$501,MATCH(ROW()-2,종합!$AB$3:$AB$501,0))&amp;"","")</f>
        <v/>
      </c>
      <c r="X372" s="21" t="str">
        <f aca="false">IFERROR(INDEX(종합!X$3:X$501,MATCH(ROW()-2,종합!$AB$3:$AB$501,0))&amp;"","")</f>
        <v/>
      </c>
      <c r="Y372" s="21" t="str">
        <f aca="false">IFERROR(INDEX(종합!Y$3:Y$501,MATCH(ROW()-2,종합!$AB$3:$AB$501,0))&amp;"","")</f>
        <v/>
      </c>
      <c r="Z372" s="21" t="str">
        <f aca="false">IFERROR(INDEX(종합!Z$3:Z$501,MATCH(ROW()-2,종합!$AB$3:$AB$501,0))&amp;"","")</f>
        <v/>
      </c>
    </row>
    <row r="373" customFormat="false" ht="16.5" hidden="false" customHeight="true" outlineLevel="0" collapsed="false">
      <c r="A373" s="18" t="str">
        <f aca="false">IF(B373="","",ROW()-2)</f>
        <v/>
      </c>
      <c r="B373" s="18" t="str">
        <f aca="false">IFERROR(INDEX(종합!B$3:B$501,MATCH(ROW()-2,종합!$AB$3:$AB$501,0))&amp;"","")</f>
        <v/>
      </c>
      <c r="C373" s="18" t="str">
        <f aca="false">IFERROR(INDEX(종합!C$3:C$501,MATCH(ROW()-2,종합!$AB$3:$AB$501,0))&amp;"","")</f>
        <v/>
      </c>
      <c r="D373" s="18" t="str">
        <f aca="false">IFERROR(INDEX(종합!D$3:D$501,MATCH(ROW()-2,종합!$AB$3:$AB$501,0))&amp;"","")</f>
        <v/>
      </c>
      <c r="E373" s="18" t="str">
        <f aca="false">IFERROR(INDEX(종합!E$3:E$501,MATCH(ROW()-2,종합!$AB$3:$AB$501,0))&amp;"","")</f>
        <v/>
      </c>
      <c r="F373" s="18" t="str">
        <f aca="false">IFERROR(INDEX(종합!F$3:F$501,MATCH(ROW()-2,종합!$AB$3:$AB$501,0))&amp;"","")</f>
        <v/>
      </c>
      <c r="G373" s="18" t="str">
        <f aca="false">IFERROR(INDEX(종합!G$3:G$501,MATCH(ROW()-2,종합!$AB$3:$AB$501,0))&amp;"","")</f>
        <v/>
      </c>
      <c r="H373" s="21" t="str">
        <f aca="false">IFERROR(INDEX(종합!H$3:H$501,MATCH(ROW()-2,종합!$AB$3:$AB$501,0))&amp;"","")</f>
        <v/>
      </c>
      <c r="I373" s="21" t="str">
        <f aca="false">IFERROR(INDEX(종합!I$3:I$501,MATCH(ROW()-2,종합!$AB$3:$AB$501,0))&amp;"","")</f>
        <v/>
      </c>
      <c r="J373" s="21" t="str">
        <f aca="false">IFERROR(INDEX(종합!J$3:J$501,MATCH(ROW()-2,종합!$AB$3:$AB$501,0))&amp;"","")</f>
        <v/>
      </c>
      <c r="K373" s="21" t="str">
        <f aca="false">IFERROR(INDEX(종합!K$3:K$501,MATCH(ROW()-2,종합!$AB$3:$AB$501,0))&amp;"","")</f>
        <v/>
      </c>
      <c r="L373" s="21" t="str">
        <f aca="false">IFERROR(INDEX(종합!L$3:L$501,MATCH(ROW()-2,종합!$AB$3:$AB$501,0))&amp;"","")</f>
        <v/>
      </c>
      <c r="M373" s="21" t="str">
        <f aca="false">IFERROR(INDEX(종합!M$3:M$501,MATCH(ROW()-2,종합!$AB$3:$AB$501,0))&amp;"","")</f>
        <v/>
      </c>
      <c r="N373" s="25" t="str">
        <f aca="false">IFERROR(INDEX(종합!N$3:N$501,MATCH(ROW()-2,종합!$AB$3:$AB$501,0))&amp;"","")</f>
        <v/>
      </c>
      <c r="O373" s="21" t="str">
        <f aca="false">IFERROR(INDEX(종합!O$3:O$501,MATCH(ROW()-2,종합!$AB$3:$AB$501,0))&amp;"","")</f>
        <v/>
      </c>
      <c r="P373" s="21" t="str">
        <f aca="false">IFERROR(INDEX(종합!P$3:P$501,MATCH(ROW()-2,종합!$AB$3:$AB$501,0))&amp;"","")</f>
        <v/>
      </c>
      <c r="Q373" s="21" t="str">
        <f aca="false">IFERROR(INDEX(종합!Q$3:Q$501,MATCH(ROW()-2,종합!$AB$3:$AB$501,0))&amp;"","")</f>
        <v/>
      </c>
      <c r="R373" s="21" t="str">
        <f aca="false">IFERROR(INDEX(종합!R$3:R$501,MATCH(ROW()-2,종합!$AB$3:$AB$501,0))&amp;"","")</f>
        <v/>
      </c>
      <c r="S373" s="21" t="str">
        <f aca="false">IFERROR(INDEX(종합!S$3:S$501,MATCH(ROW()-2,종합!$AB$3:$AB$501,0))&amp;"","")</f>
        <v/>
      </c>
      <c r="T373" s="21" t="str">
        <f aca="false">IFERROR(INDEX(종합!T$3:T$501,MATCH(ROW()-2,종합!$AB$3:$AB$501,0))&amp;"","")</f>
        <v/>
      </c>
      <c r="U373" s="21" t="str">
        <f aca="false">IFERROR(INDEX(종합!U$3:U$501,MATCH(ROW()-2,종합!$AB$3:$AB$501,0))&amp;"","")</f>
        <v/>
      </c>
      <c r="V373" s="21" t="str">
        <f aca="false">IFERROR(INDEX(종합!V$3:V$501,MATCH(ROW()-2,종합!$AB$3:$AB$501,0))&amp;"","")</f>
        <v/>
      </c>
      <c r="W373" s="21" t="str">
        <f aca="false">IFERROR(INDEX(종합!W$3:W$501,MATCH(ROW()-2,종합!$AB$3:$AB$501,0))&amp;"","")</f>
        <v/>
      </c>
      <c r="X373" s="21" t="str">
        <f aca="false">IFERROR(INDEX(종합!X$3:X$501,MATCH(ROW()-2,종합!$AB$3:$AB$501,0))&amp;"","")</f>
        <v/>
      </c>
      <c r="Y373" s="21" t="str">
        <f aca="false">IFERROR(INDEX(종합!Y$3:Y$501,MATCH(ROW()-2,종합!$AB$3:$AB$501,0))&amp;"","")</f>
        <v/>
      </c>
      <c r="Z373" s="21" t="str">
        <f aca="false">IFERROR(INDEX(종합!Z$3:Z$501,MATCH(ROW()-2,종합!$AB$3:$AB$501,0))&amp;"","")</f>
        <v/>
      </c>
    </row>
    <row r="374" customFormat="false" ht="16.5" hidden="false" customHeight="true" outlineLevel="0" collapsed="false">
      <c r="A374" s="18" t="str">
        <f aca="false">IF(B374="","",ROW()-2)</f>
        <v/>
      </c>
      <c r="B374" s="18" t="str">
        <f aca="false">IFERROR(INDEX(종합!B$3:B$501,MATCH(ROW()-2,종합!$AB$3:$AB$501,0))&amp;"","")</f>
        <v/>
      </c>
      <c r="C374" s="18" t="str">
        <f aca="false">IFERROR(INDEX(종합!C$3:C$501,MATCH(ROW()-2,종합!$AB$3:$AB$501,0))&amp;"","")</f>
        <v/>
      </c>
      <c r="D374" s="18" t="str">
        <f aca="false">IFERROR(INDEX(종합!D$3:D$501,MATCH(ROW()-2,종합!$AB$3:$AB$501,0))&amp;"","")</f>
        <v/>
      </c>
      <c r="E374" s="18" t="str">
        <f aca="false">IFERROR(INDEX(종합!E$3:E$501,MATCH(ROW()-2,종합!$AB$3:$AB$501,0))&amp;"","")</f>
        <v/>
      </c>
      <c r="F374" s="18" t="str">
        <f aca="false">IFERROR(INDEX(종합!F$3:F$501,MATCH(ROW()-2,종합!$AB$3:$AB$501,0))&amp;"","")</f>
        <v/>
      </c>
      <c r="G374" s="18" t="str">
        <f aca="false">IFERROR(INDEX(종합!G$3:G$501,MATCH(ROW()-2,종합!$AB$3:$AB$501,0))&amp;"","")</f>
        <v/>
      </c>
      <c r="H374" s="21" t="str">
        <f aca="false">IFERROR(INDEX(종합!H$3:H$501,MATCH(ROW()-2,종합!$AB$3:$AB$501,0))&amp;"","")</f>
        <v/>
      </c>
      <c r="I374" s="21" t="str">
        <f aca="false">IFERROR(INDEX(종합!I$3:I$501,MATCH(ROW()-2,종합!$AB$3:$AB$501,0))&amp;"","")</f>
        <v/>
      </c>
      <c r="J374" s="21" t="str">
        <f aca="false">IFERROR(INDEX(종합!J$3:J$501,MATCH(ROW()-2,종합!$AB$3:$AB$501,0))&amp;"","")</f>
        <v/>
      </c>
      <c r="K374" s="21" t="str">
        <f aca="false">IFERROR(INDEX(종합!K$3:K$501,MATCH(ROW()-2,종합!$AB$3:$AB$501,0))&amp;"","")</f>
        <v/>
      </c>
      <c r="L374" s="21" t="str">
        <f aca="false">IFERROR(INDEX(종합!L$3:L$501,MATCH(ROW()-2,종합!$AB$3:$AB$501,0))&amp;"","")</f>
        <v/>
      </c>
      <c r="M374" s="21" t="str">
        <f aca="false">IFERROR(INDEX(종합!M$3:M$501,MATCH(ROW()-2,종합!$AB$3:$AB$501,0))&amp;"","")</f>
        <v/>
      </c>
      <c r="N374" s="25" t="str">
        <f aca="false">IFERROR(INDEX(종합!N$3:N$501,MATCH(ROW()-2,종합!$AB$3:$AB$501,0))&amp;"","")</f>
        <v/>
      </c>
      <c r="O374" s="21" t="str">
        <f aca="false">IFERROR(INDEX(종합!O$3:O$501,MATCH(ROW()-2,종합!$AB$3:$AB$501,0))&amp;"","")</f>
        <v/>
      </c>
      <c r="P374" s="21" t="str">
        <f aca="false">IFERROR(INDEX(종합!P$3:P$501,MATCH(ROW()-2,종합!$AB$3:$AB$501,0))&amp;"","")</f>
        <v/>
      </c>
      <c r="Q374" s="21" t="str">
        <f aca="false">IFERROR(INDEX(종합!Q$3:Q$501,MATCH(ROW()-2,종합!$AB$3:$AB$501,0))&amp;"","")</f>
        <v/>
      </c>
      <c r="R374" s="21" t="str">
        <f aca="false">IFERROR(INDEX(종합!R$3:R$501,MATCH(ROW()-2,종합!$AB$3:$AB$501,0))&amp;"","")</f>
        <v/>
      </c>
      <c r="S374" s="21" t="str">
        <f aca="false">IFERROR(INDEX(종합!S$3:S$501,MATCH(ROW()-2,종합!$AB$3:$AB$501,0))&amp;"","")</f>
        <v/>
      </c>
      <c r="T374" s="21" t="str">
        <f aca="false">IFERROR(INDEX(종합!T$3:T$501,MATCH(ROW()-2,종합!$AB$3:$AB$501,0))&amp;"","")</f>
        <v/>
      </c>
      <c r="U374" s="21" t="str">
        <f aca="false">IFERROR(INDEX(종합!U$3:U$501,MATCH(ROW()-2,종합!$AB$3:$AB$501,0))&amp;"","")</f>
        <v/>
      </c>
      <c r="V374" s="21" t="str">
        <f aca="false">IFERROR(INDEX(종합!V$3:V$501,MATCH(ROW()-2,종합!$AB$3:$AB$501,0))&amp;"","")</f>
        <v/>
      </c>
      <c r="W374" s="21" t="str">
        <f aca="false">IFERROR(INDEX(종합!W$3:W$501,MATCH(ROW()-2,종합!$AB$3:$AB$501,0))&amp;"","")</f>
        <v/>
      </c>
      <c r="X374" s="21" t="str">
        <f aca="false">IFERROR(INDEX(종합!X$3:X$501,MATCH(ROW()-2,종합!$AB$3:$AB$501,0))&amp;"","")</f>
        <v/>
      </c>
      <c r="Y374" s="21" t="str">
        <f aca="false">IFERROR(INDEX(종합!Y$3:Y$501,MATCH(ROW()-2,종합!$AB$3:$AB$501,0))&amp;"","")</f>
        <v/>
      </c>
      <c r="Z374" s="21" t="str">
        <f aca="false">IFERROR(INDEX(종합!Z$3:Z$501,MATCH(ROW()-2,종합!$AB$3:$AB$501,0))&amp;"","")</f>
        <v/>
      </c>
    </row>
    <row r="375" customFormat="false" ht="16.5" hidden="false" customHeight="true" outlineLevel="0" collapsed="false">
      <c r="A375" s="18" t="str">
        <f aca="false">IF(B375="","",ROW()-2)</f>
        <v/>
      </c>
      <c r="B375" s="18" t="str">
        <f aca="false">IFERROR(INDEX(종합!B$3:B$501,MATCH(ROW()-2,종합!$AB$3:$AB$501,0))&amp;"","")</f>
        <v/>
      </c>
      <c r="C375" s="18" t="str">
        <f aca="false">IFERROR(INDEX(종합!C$3:C$501,MATCH(ROW()-2,종합!$AB$3:$AB$501,0))&amp;"","")</f>
        <v/>
      </c>
      <c r="D375" s="18" t="str">
        <f aca="false">IFERROR(INDEX(종합!D$3:D$501,MATCH(ROW()-2,종합!$AB$3:$AB$501,0))&amp;"","")</f>
        <v/>
      </c>
      <c r="E375" s="18" t="str">
        <f aca="false">IFERROR(INDEX(종합!E$3:E$501,MATCH(ROW()-2,종합!$AB$3:$AB$501,0))&amp;"","")</f>
        <v/>
      </c>
      <c r="F375" s="18" t="str">
        <f aca="false">IFERROR(INDEX(종합!F$3:F$501,MATCH(ROW()-2,종합!$AB$3:$AB$501,0))&amp;"","")</f>
        <v/>
      </c>
      <c r="G375" s="18" t="str">
        <f aca="false">IFERROR(INDEX(종합!G$3:G$501,MATCH(ROW()-2,종합!$AB$3:$AB$501,0))&amp;"","")</f>
        <v/>
      </c>
      <c r="H375" s="21" t="str">
        <f aca="false">IFERROR(INDEX(종합!H$3:H$501,MATCH(ROW()-2,종합!$AB$3:$AB$501,0))&amp;"","")</f>
        <v/>
      </c>
      <c r="I375" s="21" t="str">
        <f aca="false">IFERROR(INDEX(종합!I$3:I$501,MATCH(ROW()-2,종합!$AB$3:$AB$501,0))&amp;"","")</f>
        <v/>
      </c>
      <c r="J375" s="21" t="str">
        <f aca="false">IFERROR(INDEX(종합!J$3:J$501,MATCH(ROW()-2,종합!$AB$3:$AB$501,0))&amp;"","")</f>
        <v/>
      </c>
      <c r="K375" s="21" t="str">
        <f aca="false">IFERROR(INDEX(종합!K$3:K$501,MATCH(ROW()-2,종합!$AB$3:$AB$501,0))&amp;"","")</f>
        <v/>
      </c>
      <c r="L375" s="21" t="str">
        <f aca="false">IFERROR(INDEX(종합!L$3:L$501,MATCH(ROW()-2,종합!$AB$3:$AB$501,0))&amp;"","")</f>
        <v/>
      </c>
      <c r="M375" s="21" t="str">
        <f aca="false">IFERROR(INDEX(종합!M$3:M$501,MATCH(ROW()-2,종합!$AB$3:$AB$501,0))&amp;"","")</f>
        <v/>
      </c>
      <c r="N375" s="25" t="str">
        <f aca="false">IFERROR(INDEX(종합!N$3:N$501,MATCH(ROW()-2,종합!$AB$3:$AB$501,0))&amp;"","")</f>
        <v/>
      </c>
      <c r="O375" s="21" t="str">
        <f aca="false">IFERROR(INDEX(종합!O$3:O$501,MATCH(ROW()-2,종합!$AB$3:$AB$501,0))&amp;"","")</f>
        <v/>
      </c>
      <c r="P375" s="21" t="str">
        <f aca="false">IFERROR(INDEX(종합!P$3:P$501,MATCH(ROW()-2,종합!$AB$3:$AB$501,0))&amp;"","")</f>
        <v/>
      </c>
      <c r="Q375" s="21" t="str">
        <f aca="false">IFERROR(INDEX(종합!Q$3:Q$501,MATCH(ROW()-2,종합!$AB$3:$AB$501,0))&amp;"","")</f>
        <v/>
      </c>
      <c r="R375" s="21" t="str">
        <f aca="false">IFERROR(INDEX(종합!R$3:R$501,MATCH(ROW()-2,종합!$AB$3:$AB$501,0))&amp;"","")</f>
        <v/>
      </c>
      <c r="S375" s="21" t="str">
        <f aca="false">IFERROR(INDEX(종합!S$3:S$501,MATCH(ROW()-2,종합!$AB$3:$AB$501,0))&amp;"","")</f>
        <v/>
      </c>
      <c r="T375" s="21" t="str">
        <f aca="false">IFERROR(INDEX(종합!T$3:T$501,MATCH(ROW()-2,종합!$AB$3:$AB$501,0))&amp;"","")</f>
        <v/>
      </c>
      <c r="U375" s="21" t="str">
        <f aca="false">IFERROR(INDEX(종합!U$3:U$501,MATCH(ROW()-2,종합!$AB$3:$AB$501,0))&amp;"","")</f>
        <v/>
      </c>
      <c r="V375" s="21" t="str">
        <f aca="false">IFERROR(INDEX(종합!V$3:V$501,MATCH(ROW()-2,종합!$AB$3:$AB$501,0))&amp;"","")</f>
        <v/>
      </c>
      <c r="W375" s="21" t="str">
        <f aca="false">IFERROR(INDEX(종합!W$3:W$501,MATCH(ROW()-2,종합!$AB$3:$AB$501,0))&amp;"","")</f>
        <v/>
      </c>
      <c r="X375" s="21" t="str">
        <f aca="false">IFERROR(INDEX(종합!X$3:X$501,MATCH(ROW()-2,종합!$AB$3:$AB$501,0))&amp;"","")</f>
        <v/>
      </c>
      <c r="Y375" s="21" t="str">
        <f aca="false">IFERROR(INDEX(종합!Y$3:Y$501,MATCH(ROW()-2,종합!$AB$3:$AB$501,0))&amp;"","")</f>
        <v/>
      </c>
      <c r="Z375" s="21" t="str">
        <f aca="false">IFERROR(INDEX(종합!Z$3:Z$501,MATCH(ROW()-2,종합!$AB$3:$AB$501,0))&amp;"","")</f>
        <v/>
      </c>
    </row>
    <row r="376" customFormat="false" ht="16.5" hidden="false" customHeight="true" outlineLevel="0" collapsed="false">
      <c r="A376" s="18" t="str">
        <f aca="false">IF(B376="","",ROW()-2)</f>
        <v/>
      </c>
      <c r="B376" s="18" t="str">
        <f aca="false">IFERROR(INDEX(종합!B$3:B$501,MATCH(ROW()-2,종합!$AB$3:$AB$501,0))&amp;"","")</f>
        <v/>
      </c>
      <c r="C376" s="18" t="str">
        <f aca="false">IFERROR(INDEX(종합!C$3:C$501,MATCH(ROW()-2,종합!$AB$3:$AB$501,0))&amp;"","")</f>
        <v/>
      </c>
      <c r="D376" s="18" t="str">
        <f aca="false">IFERROR(INDEX(종합!D$3:D$501,MATCH(ROW()-2,종합!$AB$3:$AB$501,0))&amp;"","")</f>
        <v/>
      </c>
      <c r="E376" s="18" t="str">
        <f aca="false">IFERROR(INDEX(종합!E$3:E$501,MATCH(ROW()-2,종합!$AB$3:$AB$501,0))&amp;"","")</f>
        <v/>
      </c>
      <c r="F376" s="18" t="str">
        <f aca="false">IFERROR(INDEX(종합!F$3:F$501,MATCH(ROW()-2,종합!$AB$3:$AB$501,0))&amp;"","")</f>
        <v/>
      </c>
      <c r="G376" s="18" t="str">
        <f aca="false">IFERROR(INDEX(종합!G$3:G$501,MATCH(ROW()-2,종합!$AB$3:$AB$501,0))&amp;"","")</f>
        <v/>
      </c>
      <c r="H376" s="21" t="str">
        <f aca="false">IFERROR(INDEX(종합!H$3:H$501,MATCH(ROW()-2,종합!$AB$3:$AB$501,0))&amp;"","")</f>
        <v/>
      </c>
      <c r="I376" s="21" t="str">
        <f aca="false">IFERROR(INDEX(종합!I$3:I$501,MATCH(ROW()-2,종합!$AB$3:$AB$501,0))&amp;"","")</f>
        <v/>
      </c>
      <c r="J376" s="21" t="str">
        <f aca="false">IFERROR(INDEX(종합!J$3:J$501,MATCH(ROW()-2,종합!$AB$3:$AB$501,0))&amp;"","")</f>
        <v/>
      </c>
      <c r="K376" s="21" t="str">
        <f aca="false">IFERROR(INDEX(종합!K$3:K$501,MATCH(ROW()-2,종합!$AB$3:$AB$501,0))&amp;"","")</f>
        <v/>
      </c>
      <c r="L376" s="21" t="str">
        <f aca="false">IFERROR(INDEX(종합!L$3:L$501,MATCH(ROW()-2,종합!$AB$3:$AB$501,0))&amp;"","")</f>
        <v/>
      </c>
      <c r="M376" s="21" t="str">
        <f aca="false">IFERROR(INDEX(종합!M$3:M$501,MATCH(ROW()-2,종합!$AB$3:$AB$501,0))&amp;"","")</f>
        <v/>
      </c>
      <c r="N376" s="25" t="str">
        <f aca="false">IFERROR(INDEX(종합!N$3:N$501,MATCH(ROW()-2,종합!$AB$3:$AB$501,0))&amp;"","")</f>
        <v/>
      </c>
      <c r="O376" s="21" t="str">
        <f aca="false">IFERROR(INDEX(종합!O$3:O$501,MATCH(ROW()-2,종합!$AB$3:$AB$501,0))&amp;"","")</f>
        <v/>
      </c>
      <c r="P376" s="21" t="str">
        <f aca="false">IFERROR(INDEX(종합!P$3:P$501,MATCH(ROW()-2,종합!$AB$3:$AB$501,0))&amp;"","")</f>
        <v/>
      </c>
      <c r="Q376" s="21" t="str">
        <f aca="false">IFERROR(INDEX(종합!Q$3:Q$501,MATCH(ROW()-2,종합!$AB$3:$AB$501,0))&amp;"","")</f>
        <v/>
      </c>
      <c r="R376" s="21" t="str">
        <f aca="false">IFERROR(INDEX(종합!R$3:R$501,MATCH(ROW()-2,종합!$AB$3:$AB$501,0))&amp;"","")</f>
        <v/>
      </c>
      <c r="S376" s="21" t="str">
        <f aca="false">IFERROR(INDEX(종합!S$3:S$501,MATCH(ROW()-2,종합!$AB$3:$AB$501,0))&amp;"","")</f>
        <v/>
      </c>
      <c r="T376" s="21" t="str">
        <f aca="false">IFERROR(INDEX(종합!T$3:T$501,MATCH(ROW()-2,종합!$AB$3:$AB$501,0))&amp;"","")</f>
        <v/>
      </c>
      <c r="U376" s="21" t="str">
        <f aca="false">IFERROR(INDEX(종합!U$3:U$501,MATCH(ROW()-2,종합!$AB$3:$AB$501,0))&amp;"","")</f>
        <v/>
      </c>
      <c r="V376" s="21" t="str">
        <f aca="false">IFERROR(INDEX(종합!V$3:V$501,MATCH(ROW()-2,종합!$AB$3:$AB$501,0))&amp;"","")</f>
        <v/>
      </c>
      <c r="W376" s="21" t="str">
        <f aca="false">IFERROR(INDEX(종합!W$3:W$501,MATCH(ROW()-2,종합!$AB$3:$AB$501,0))&amp;"","")</f>
        <v/>
      </c>
      <c r="X376" s="21" t="str">
        <f aca="false">IFERROR(INDEX(종합!X$3:X$501,MATCH(ROW()-2,종합!$AB$3:$AB$501,0))&amp;"","")</f>
        <v/>
      </c>
      <c r="Y376" s="21" t="str">
        <f aca="false">IFERROR(INDEX(종합!Y$3:Y$501,MATCH(ROW()-2,종합!$AB$3:$AB$501,0))&amp;"","")</f>
        <v/>
      </c>
      <c r="Z376" s="21" t="str">
        <f aca="false">IFERROR(INDEX(종합!Z$3:Z$501,MATCH(ROW()-2,종합!$AB$3:$AB$501,0))&amp;"","")</f>
        <v/>
      </c>
    </row>
    <row r="377" customFormat="false" ht="16.5" hidden="false" customHeight="true" outlineLevel="0" collapsed="false">
      <c r="A377" s="18" t="str">
        <f aca="false">IF(B377="","",ROW()-2)</f>
        <v/>
      </c>
      <c r="B377" s="18" t="str">
        <f aca="false">IFERROR(INDEX(종합!B$3:B$501,MATCH(ROW()-2,종합!$AB$3:$AB$501,0))&amp;"","")</f>
        <v/>
      </c>
      <c r="C377" s="18" t="str">
        <f aca="false">IFERROR(INDEX(종합!C$3:C$501,MATCH(ROW()-2,종합!$AB$3:$AB$501,0))&amp;"","")</f>
        <v/>
      </c>
      <c r="D377" s="18" t="str">
        <f aca="false">IFERROR(INDEX(종합!D$3:D$501,MATCH(ROW()-2,종합!$AB$3:$AB$501,0))&amp;"","")</f>
        <v/>
      </c>
      <c r="E377" s="18" t="str">
        <f aca="false">IFERROR(INDEX(종합!E$3:E$501,MATCH(ROW()-2,종합!$AB$3:$AB$501,0))&amp;"","")</f>
        <v/>
      </c>
      <c r="F377" s="18" t="str">
        <f aca="false">IFERROR(INDEX(종합!F$3:F$501,MATCH(ROW()-2,종합!$AB$3:$AB$501,0))&amp;"","")</f>
        <v/>
      </c>
      <c r="G377" s="18" t="str">
        <f aca="false">IFERROR(INDEX(종합!G$3:G$501,MATCH(ROW()-2,종합!$AB$3:$AB$501,0))&amp;"","")</f>
        <v/>
      </c>
      <c r="H377" s="21" t="str">
        <f aca="false">IFERROR(INDEX(종합!H$3:H$501,MATCH(ROW()-2,종합!$AB$3:$AB$501,0))&amp;"","")</f>
        <v/>
      </c>
      <c r="I377" s="21" t="str">
        <f aca="false">IFERROR(INDEX(종합!I$3:I$501,MATCH(ROW()-2,종합!$AB$3:$AB$501,0))&amp;"","")</f>
        <v/>
      </c>
      <c r="J377" s="21" t="str">
        <f aca="false">IFERROR(INDEX(종합!J$3:J$501,MATCH(ROW()-2,종합!$AB$3:$AB$501,0))&amp;"","")</f>
        <v/>
      </c>
      <c r="K377" s="21" t="str">
        <f aca="false">IFERROR(INDEX(종합!K$3:K$501,MATCH(ROW()-2,종합!$AB$3:$AB$501,0))&amp;"","")</f>
        <v/>
      </c>
      <c r="L377" s="21" t="str">
        <f aca="false">IFERROR(INDEX(종합!L$3:L$501,MATCH(ROW()-2,종합!$AB$3:$AB$501,0))&amp;"","")</f>
        <v/>
      </c>
      <c r="M377" s="21" t="str">
        <f aca="false">IFERROR(INDEX(종합!M$3:M$501,MATCH(ROW()-2,종합!$AB$3:$AB$501,0))&amp;"","")</f>
        <v/>
      </c>
      <c r="N377" s="25" t="str">
        <f aca="false">IFERROR(INDEX(종합!N$3:N$501,MATCH(ROW()-2,종합!$AB$3:$AB$501,0))&amp;"","")</f>
        <v/>
      </c>
      <c r="O377" s="21" t="str">
        <f aca="false">IFERROR(INDEX(종합!O$3:O$501,MATCH(ROW()-2,종합!$AB$3:$AB$501,0))&amp;"","")</f>
        <v/>
      </c>
      <c r="P377" s="21" t="str">
        <f aca="false">IFERROR(INDEX(종합!P$3:P$501,MATCH(ROW()-2,종합!$AB$3:$AB$501,0))&amp;"","")</f>
        <v/>
      </c>
      <c r="Q377" s="21" t="str">
        <f aca="false">IFERROR(INDEX(종합!Q$3:Q$501,MATCH(ROW()-2,종합!$AB$3:$AB$501,0))&amp;"","")</f>
        <v/>
      </c>
      <c r="R377" s="21" t="str">
        <f aca="false">IFERROR(INDEX(종합!R$3:R$501,MATCH(ROW()-2,종합!$AB$3:$AB$501,0))&amp;"","")</f>
        <v/>
      </c>
      <c r="S377" s="21" t="str">
        <f aca="false">IFERROR(INDEX(종합!S$3:S$501,MATCH(ROW()-2,종합!$AB$3:$AB$501,0))&amp;"","")</f>
        <v/>
      </c>
      <c r="T377" s="21" t="str">
        <f aca="false">IFERROR(INDEX(종합!T$3:T$501,MATCH(ROW()-2,종합!$AB$3:$AB$501,0))&amp;"","")</f>
        <v/>
      </c>
      <c r="U377" s="21" t="str">
        <f aca="false">IFERROR(INDEX(종합!U$3:U$501,MATCH(ROW()-2,종합!$AB$3:$AB$501,0))&amp;"","")</f>
        <v/>
      </c>
      <c r="V377" s="21" t="str">
        <f aca="false">IFERROR(INDEX(종합!V$3:V$501,MATCH(ROW()-2,종합!$AB$3:$AB$501,0))&amp;"","")</f>
        <v/>
      </c>
      <c r="W377" s="21" t="str">
        <f aca="false">IFERROR(INDEX(종합!W$3:W$501,MATCH(ROW()-2,종합!$AB$3:$AB$501,0))&amp;"","")</f>
        <v/>
      </c>
      <c r="X377" s="21" t="str">
        <f aca="false">IFERROR(INDEX(종합!X$3:X$501,MATCH(ROW()-2,종합!$AB$3:$AB$501,0))&amp;"","")</f>
        <v/>
      </c>
      <c r="Y377" s="21" t="str">
        <f aca="false">IFERROR(INDEX(종합!Y$3:Y$501,MATCH(ROW()-2,종합!$AB$3:$AB$501,0))&amp;"","")</f>
        <v/>
      </c>
      <c r="Z377" s="21" t="str">
        <f aca="false">IFERROR(INDEX(종합!Z$3:Z$501,MATCH(ROW()-2,종합!$AB$3:$AB$501,0))&amp;"","")</f>
        <v/>
      </c>
    </row>
    <row r="378" customFormat="false" ht="16.5" hidden="false" customHeight="true" outlineLevel="0" collapsed="false">
      <c r="A378" s="18" t="str">
        <f aca="false">IF(B378="","",ROW()-2)</f>
        <v/>
      </c>
      <c r="B378" s="18" t="str">
        <f aca="false">IFERROR(INDEX(종합!B$3:B$501,MATCH(ROW()-2,종합!$AB$3:$AB$501,0))&amp;"","")</f>
        <v/>
      </c>
      <c r="C378" s="18" t="str">
        <f aca="false">IFERROR(INDEX(종합!C$3:C$501,MATCH(ROW()-2,종합!$AB$3:$AB$501,0))&amp;"","")</f>
        <v/>
      </c>
      <c r="D378" s="18" t="str">
        <f aca="false">IFERROR(INDEX(종합!D$3:D$501,MATCH(ROW()-2,종합!$AB$3:$AB$501,0))&amp;"","")</f>
        <v/>
      </c>
      <c r="E378" s="18" t="str">
        <f aca="false">IFERROR(INDEX(종합!E$3:E$501,MATCH(ROW()-2,종합!$AB$3:$AB$501,0))&amp;"","")</f>
        <v/>
      </c>
      <c r="F378" s="18" t="str">
        <f aca="false">IFERROR(INDEX(종합!F$3:F$501,MATCH(ROW()-2,종합!$AB$3:$AB$501,0))&amp;"","")</f>
        <v/>
      </c>
      <c r="G378" s="18" t="str">
        <f aca="false">IFERROR(INDEX(종합!G$3:G$501,MATCH(ROW()-2,종합!$AB$3:$AB$501,0))&amp;"","")</f>
        <v/>
      </c>
      <c r="H378" s="21" t="str">
        <f aca="false">IFERROR(INDEX(종합!H$3:H$501,MATCH(ROW()-2,종합!$AB$3:$AB$501,0))&amp;"","")</f>
        <v/>
      </c>
      <c r="I378" s="21" t="str">
        <f aca="false">IFERROR(INDEX(종합!I$3:I$501,MATCH(ROW()-2,종합!$AB$3:$AB$501,0))&amp;"","")</f>
        <v/>
      </c>
      <c r="J378" s="21" t="str">
        <f aca="false">IFERROR(INDEX(종합!J$3:J$501,MATCH(ROW()-2,종합!$AB$3:$AB$501,0))&amp;"","")</f>
        <v/>
      </c>
      <c r="K378" s="21" t="str">
        <f aca="false">IFERROR(INDEX(종합!K$3:K$501,MATCH(ROW()-2,종합!$AB$3:$AB$501,0))&amp;"","")</f>
        <v/>
      </c>
      <c r="L378" s="21" t="str">
        <f aca="false">IFERROR(INDEX(종합!L$3:L$501,MATCH(ROW()-2,종합!$AB$3:$AB$501,0))&amp;"","")</f>
        <v/>
      </c>
      <c r="M378" s="21" t="str">
        <f aca="false">IFERROR(INDEX(종합!M$3:M$501,MATCH(ROW()-2,종합!$AB$3:$AB$501,0))&amp;"","")</f>
        <v/>
      </c>
      <c r="N378" s="25" t="str">
        <f aca="false">IFERROR(INDEX(종합!N$3:N$501,MATCH(ROW()-2,종합!$AB$3:$AB$501,0))&amp;"","")</f>
        <v/>
      </c>
      <c r="O378" s="21" t="str">
        <f aca="false">IFERROR(INDEX(종합!O$3:O$501,MATCH(ROW()-2,종합!$AB$3:$AB$501,0))&amp;"","")</f>
        <v/>
      </c>
      <c r="P378" s="21" t="str">
        <f aca="false">IFERROR(INDEX(종합!P$3:P$501,MATCH(ROW()-2,종합!$AB$3:$AB$501,0))&amp;"","")</f>
        <v/>
      </c>
      <c r="Q378" s="21" t="str">
        <f aca="false">IFERROR(INDEX(종합!Q$3:Q$501,MATCH(ROW()-2,종합!$AB$3:$AB$501,0))&amp;"","")</f>
        <v/>
      </c>
      <c r="R378" s="21" t="str">
        <f aca="false">IFERROR(INDEX(종합!R$3:R$501,MATCH(ROW()-2,종합!$AB$3:$AB$501,0))&amp;"","")</f>
        <v/>
      </c>
      <c r="S378" s="21" t="str">
        <f aca="false">IFERROR(INDEX(종합!S$3:S$501,MATCH(ROW()-2,종합!$AB$3:$AB$501,0))&amp;"","")</f>
        <v/>
      </c>
      <c r="T378" s="21" t="str">
        <f aca="false">IFERROR(INDEX(종합!T$3:T$501,MATCH(ROW()-2,종합!$AB$3:$AB$501,0))&amp;"","")</f>
        <v/>
      </c>
      <c r="U378" s="21" t="str">
        <f aca="false">IFERROR(INDEX(종합!U$3:U$501,MATCH(ROW()-2,종합!$AB$3:$AB$501,0))&amp;"","")</f>
        <v/>
      </c>
      <c r="V378" s="21" t="str">
        <f aca="false">IFERROR(INDEX(종합!V$3:V$501,MATCH(ROW()-2,종합!$AB$3:$AB$501,0))&amp;"","")</f>
        <v/>
      </c>
      <c r="W378" s="21" t="str">
        <f aca="false">IFERROR(INDEX(종합!W$3:W$501,MATCH(ROW()-2,종합!$AB$3:$AB$501,0))&amp;"","")</f>
        <v/>
      </c>
      <c r="X378" s="21" t="str">
        <f aca="false">IFERROR(INDEX(종합!X$3:X$501,MATCH(ROW()-2,종합!$AB$3:$AB$501,0))&amp;"","")</f>
        <v/>
      </c>
      <c r="Y378" s="21" t="str">
        <f aca="false">IFERROR(INDEX(종합!Y$3:Y$501,MATCH(ROW()-2,종합!$AB$3:$AB$501,0))&amp;"","")</f>
        <v/>
      </c>
      <c r="Z378" s="21" t="str">
        <f aca="false">IFERROR(INDEX(종합!Z$3:Z$501,MATCH(ROW()-2,종합!$AB$3:$AB$501,0))&amp;"","")</f>
        <v/>
      </c>
    </row>
    <row r="379" customFormat="false" ht="16.5" hidden="false" customHeight="true" outlineLevel="0" collapsed="false">
      <c r="A379" s="18" t="str">
        <f aca="false">IF(B379="","",ROW()-2)</f>
        <v/>
      </c>
      <c r="B379" s="18" t="str">
        <f aca="false">IFERROR(INDEX(종합!B$3:B$501,MATCH(ROW()-2,종합!$AB$3:$AB$501,0))&amp;"","")</f>
        <v/>
      </c>
      <c r="C379" s="18" t="str">
        <f aca="false">IFERROR(INDEX(종합!C$3:C$501,MATCH(ROW()-2,종합!$AB$3:$AB$501,0))&amp;"","")</f>
        <v/>
      </c>
      <c r="D379" s="18" t="str">
        <f aca="false">IFERROR(INDEX(종합!D$3:D$501,MATCH(ROW()-2,종합!$AB$3:$AB$501,0))&amp;"","")</f>
        <v/>
      </c>
      <c r="E379" s="18" t="str">
        <f aca="false">IFERROR(INDEX(종합!E$3:E$501,MATCH(ROW()-2,종합!$AB$3:$AB$501,0))&amp;"","")</f>
        <v/>
      </c>
      <c r="F379" s="18" t="str">
        <f aca="false">IFERROR(INDEX(종합!F$3:F$501,MATCH(ROW()-2,종합!$AB$3:$AB$501,0))&amp;"","")</f>
        <v/>
      </c>
      <c r="G379" s="18" t="str">
        <f aca="false">IFERROR(INDEX(종합!G$3:G$501,MATCH(ROW()-2,종합!$AB$3:$AB$501,0))&amp;"","")</f>
        <v/>
      </c>
      <c r="H379" s="21" t="str">
        <f aca="false">IFERROR(INDEX(종합!H$3:H$501,MATCH(ROW()-2,종합!$AB$3:$AB$501,0))&amp;"","")</f>
        <v/>
      </c>
      <c r="I379" s="21" t="str">
        <f aca="false">IFERROR(INDEX(종합!I$3:I$501,MATCH(ROW()-2,종합!$AB$3:$AB$501,0))&amp;"","")</f>
        <v/>
      </c>
      <c r="J379" s="21" t="str">
        <f aca="false">IFERROR(INDEX(종합!J$3:J$501,MATCH(ROW()-2,종합!$AB$3:$AB$501,0))&amp;"","")</f>
        <v/>
      </c>
      <c r="K379" s="21" t="str">
        <f aca="false">IFERROR(INDEX(종합!K$3:K$501,MATCH(ROW()-2,종합!$AB$3:$AB$501,0))&amp;"","")</f>
        <v/>
      </c>
      <c r="L379" s="21" t="str">
        <f aca="false">IFERROR(INDEX(종합!L$3:L$501,MATCH(ROW()-2,종합!$AB$3:$AB$501,0))&amp;"","")</f>
        <v/>
      </c>
      <c r="M379" s="21" t="str">
        <f aca="false">IFERROR(INDEX(종합!M$3:M$501,MATCH(ROW()-2,종합!$AB$3:$AB$501,0))&amp;"","")</f>
        <v/>
      </c>
      <c r="N379" s="25" t="str">
        <f aca="false">IFERROR(INDEX(종합!N$3:N$501,MATCH(ROW()-2,종합!$AB$3:$AB$501,0))&amp;"","")</f>
        <v/>
      </c>
      <c r="O379" s="21" t="str">
        <f aca="false">IFERROR(INDEX(종합!O$3:O$501,MATCH(ROW()-2,종합!$AB$3:$AB$501,0))&amp;"","")</f>
        <v/>
      </c>
      <c r="P379" s="21" t="str">
        <f aca="false">IFERROR(INDEX(종합!P$3:P$501,MATCH(ROW()-2,종합!$AB$3:$AB$501,0))&amp;"","")</f>
        <v/>
      </c>
      <c r="Q379" s="21" t="str">
        <f aca="false">IFERROR(INDEX(종합!Q$3:Q$501,MATCH(ROW()-2,종합!$AB$3:$AB$501,0))&amp;"","")</f>
        <v/>
      </c>
      <c r="R379" s="21" t="str">
        <f aca="false">IFERROR(INDEX(종합!R$3:R$501,MATCH(ROW()-2,종합!$AB$3:$AB$501,0))&amp;"","")</f>
        <v/>
      </c>
      <c r="S379" s="21" t="str">
        <f aca="false">IFERROR(INDEX(종합!S$3:S$501,MATCH(ROW()-2,종합!$AB$3:$AB$501,0))&amp;"","")</f>
        <v/>
      </c>
      <c r="T379" s="21" t="str">
        <f aca="false">IFERROR(INDEX(종합!T$3:T$501,MATCH(ROW()-2,종합!$AB$3:$AB$501,0))&amp;"","")</f>
        <v/>
      </c>
      <c r="U379" s="21" t="str">
        <f aca="false">IFERROR(INDEX(종합!U$3:U$501,MATCH(ROW()-2,종합!$AB$3:$AB$501,0))&amp;"","")</f>
        <v/>
      </c>
      <c r="V379" s="21" t="str">
        <f aca="false">IFERROR(INDEX(종합!V$3:V$501,MATCH(ROW()-2,종합!$AB$3:$AB$501,0))&amp;"","")</f>
        <v/>
      </c>
      <c r="W379" s="21" t="str">
        <f aca="false">IFERROR(INDEX(종합!W$3:W$501,MATCH(ROW()-2,종합!$AB$3:$AB$501,0))&amp;"","")</f>
        <v/>
      </c>
      <c r="X379" s="21" t="str">
        <f aca="false">IFERROR(INDEX(종합!X$3:X$501,MATCH(ROW()-2,종합!$AB$3:$AB$501,0))&amp;"","")</f>
        <v/>
      </c>
      <c r="Y379" s="21" t="str">
        <f aca="false">IFERROR(INDEX(종합!Y$3:Y$501,MATCH(ROW()-2,종합!$AB$3:$AB$501,0))&amp;"","")</f>
        <v/>
      </c>
      <c r="Z379" s="21" t="str">
        <f aca="false">IFERROR(INDEX(종합!Z$3:Z$501,MATCH(ROW()-2,종합!$AB$3:$AB$501,0))&amp;"","")</f>
        <v/>
      </c>
    </row>
    <row r="380" customFormat="false" ht="16.5" hidden="false" customHeight="true" outlineLevel="0" collapsed="false">
      <c r="A380" s="18" t="str">
        <f aca="false">IF(B380="","",ROW()-2)</f>
        <v/>
      </c>
      <c r="B380" s="18" t="str">
        <f aca="false">IFERROR(INDEX(종합!B$3:B$501,MATCH(ROW()-2,종합!$AB$3:$AB$501,0))&amp;"","")</f>
        <v/>
      </c>
      <c r="C380" s="18" t="str">
        <f aca="false">IFERROR(INDEX(종합!C$3:C$501,MATCH(ROW()-2,종합!$AB$3:$AB$501,0))&amp;"","")</f>
        <v/>
      </c>
      <c r="D380" s="18" t="str">
        <f aca="false">IFERROR(INDEX(종합!D$3:D$501,MATCH(ROW()-2,종합!$AB$3:$AB$501,0))&amp;"","")</f>
        <v/>
      </c>
      <c r="E380" s="18" t="str">
        <f aca="false">IFERROR(INDEX(종합!E$3:E$501,MATCH(ROW()-2,종합!$AB$3:$AB$501,0))&amp;"","")</f>
        <v/>
      </c>
      <c r="F380" s="18" t="str">
        <f aca="false">IFERROR(INDEX(종합!F$3:F$501,MATCH(ROW()-2,종합!$AB$3:$AB$501,0))&amp;"","")</f>
        <v/>
      </c>
      <c r="G380" s="18" t="str">
        <f aca="false">IFERROR(INDEX(종합!G$3:G$501,MATCH(ROW()-2,종합!$AB$3:$AB$501,0))&amp;"","")</f>
        <v/>
      </c>
      <c r="H380" s="21" t="str">
        <f aca="false">IFERROR(INDEX(종합!H$3:H$501,MATCH(ROW()-2,종합!$AB$3:$AB$501,0))&amp;"","")</f>
        <v/>
      </c>
      <c r="I380" s="21" t="str">
        <f aca="false">IFERROR(INDEX(종합!I$3:I$501,MATCH(ROW()-2,종합!$AB$3:$AB$501,0))&amp;"","")</f>
        <v/>
      </c>
      <c r="J380" s="21" t="str">
        <f aca="false">IFERROR(INDEX(종합!J$3:J$501,MATCH(ROW()-2,종합!$AB$3:$AB$501,0))&amp;"","")</f>
        <v/>
      </c>
      <c r="K380" s="21" t="str">
        <f aca="false">IFERROR(INDEX(종합!K$3:K$501,MATCH(ROW()-2,종합!$AB$3:$AB$501,0))&amp;"","")</f>
        <v/>
      </c>
      <c r="L380" s="21" t="str">
        <f aca="false">IFERROR(INDEX(종합!L$3:L$501,MATCH(ROW()-2,종합!$AB$3:$AB$501,0))&amp;"","")</f>
        <v/>
      </c>
      <c r="M380" s="21" t="str">
        <f aca="false">IFERROR(INDEX(종합!M$3:M$501,MATCH(ROW()-2,종합!$AB$3:$AB$501,0))&amp;"","")</f>
        <v/>
      </c>
      <c r="N380" s="25" t="str">
        <f aca="false">IFERROR(INDEX(종합!N$3:N$501,MATCH(ROW()-2,종합!$AB$3:$AB$501,0))&amp;"","")</f>
        <v/>
      </c>
      <c r="O380" s="21" t="str">
        <f aca="false">IFERROR(INDEX(종합!O$3:O$501,MATCH(ROW()-2,종합!$AB$3:$AB$501,0))&amp;"","")</f>
        <v/>
      </c>
      <c r="P380" s="21" t="str">
        <f aca="false">IFERROR(INDEX(종합!P$3:P$501,MATCH(ROW()-2,종합!$AB$3:$AB$501,0))&amp;"","")</f>
        <v/>
      </c>
      <c r="Q380" s="21" t="str">
        <f aca="false">IFERROR(INDEX(종합!Q$3:Q$501,MATCH(ROW()-2,종합!$AB$3:$AB$501,0))&amp;"","")</f>
        <v/>
      </c>
      <c r="R380" s="21" t="str">
        <f aca="false">IFERROR(INDEX(종합!R$3:R$501,MATCH(ROW()-2,종합!$AB$3:$AB$501,0))&amp;"","")</f>
        <v/>
      </c>
      <c r="S380" s="21" t="str">
        <f aca="false">IFERROR(INDEX(종합!S$3:S$501,MATCH(ROW()-2,종합!$AB$3:$AB$501,0))&amp;"","")</f>
        <v/>
      </c>
      <c r="T380" s="21" t="str">
        <f aca="false">IFERROR(INDEX(종합!T$3:T$501,MATCH(ROW()-2,종합!$AB$3:$AB$501,0))&amp;"","")</f>
        <v/>
      </c>
      <c r="U380" s="21" t="str">
        <f aca="false">IFERROR(INDEX(종합!U$3:U$501,MATCH(ROW()-2,종합!$AB$3:$AB$501,0))&amp;"","")</f>
        <v/>
      </c>
      <c r="V380" s="21" t="str">
        <f aca="false">IFERROR(INDEX(종합!V$3:V$501,MATCH(ROW()-2,종합!$AB$3:$AB$501,0))&amp;"","")</f>
        <v/>
      </c>
      <c r="W380" s="21" t="str">
        <f aca="false">IFERROR(INDEX(종합!W$3:W$501,MATCH(ROW()-2,종합!$AB$3:$AB$501,0))&amp;"","")</f>
        <v/>
      </c>
      <c r="X380" s="21" t="str">
        <f aca="false">IFERROR(INDEX(종합!X$3:X$501,MATCH(ROW()-2,종합!$AB$3:$AB$501,0))&amp;"","")</f>
        <v/>
      </c>
      <c r="Y380" s="21" t="str">
        <f aca="false">IFERROR(INDEX(종합!Y$3:Y$501,MATCH(ROW()-2,종합!$AB$3:$AB$501,0))&amp;"","")</f>
        <v/>
      </c>
      <c r="Z380" s="21" t="str">
        <f aca="false">IFERROR(INDEX(종합!Z$3:Z$501,MATCH(ROW()-2,종합!$AB$3:$AB$501,0))&amp;"","")</f>
        <v/>
      </c>
    </row>
    <row r="381" customFormat="false" ht="16.5" hidden="false" customHeight="true" outlineLevel="0" collapsed="false">
      <c r="A381" s="18" t="str">
        <f aca="false">IF(B381="","",ROW()-2)</f>
        <v/>
      </c>
      <c r="B381" s="18" t="str">
        <f aca="false">IFERROR(INDEX(종합!B$3:B$501,MATCH(ROW()-2,종합!$AB$3:$AB$501,0))&amp;"","")</f>
        <v/>
      </c>
      <c r="C381" s="18" t="str">
        <f aca="false">IFERROR(INDEX(종합!C$3:C$501,MATCH(ROW()-2,종합!$AB$3:$AB$501,0))&amp;"","")</f>
        <v/>
      </c>
      <c r="D381" s="18" t="str">
        <f aca="false">IFERROR(INDEX(종합!D$3:D$501,MATCH(ROW()-2,종합!$AB$3:$AB$501,0))&amp;"","")</f>
        <v/>
      </c>
      <c r="E381" s="18" t="str">
        <f aca="false">IFERROR(INDEX(종합!E$3:E$501,MATCH(ROW()-2,종합!$AB$3:$AB$501,0))&amp;"","")</f>
        <v/>
      </c>
      <c r="F381" s="18" t="str">
        <f aca="false">IFERROR(INDEX(종합!F$3:F$501,MATCH(ROW()-2,종합!$AB$3:$AB$501,0))&amp;"","")</f>
        <v/>
      </c>
      <c r="G381" s="18" t="str">
        <f aca="false">IFERROR(INDEX(종합!G$3:G$501,MATCH(ROW()-2,종합!$AB$3:$AB$501,0))&amp;"","")</f>
        <v/>
      </c>
      <c r="H381" s="21" t="str">
        <f aca="false">IFERROR(INDEX(종합!H$3:H$501,MATCH(ROW()-2,종합!$AB$3:$AB$501,0))&amp;"","")</f>
        <v/>
      </c>
      <c r="I381" s="21" t="str">
        <f aca="false">IFERROR(INDEX(종합!I$3:I$501,MATCH(ROW()-2,종합!$AB$3:$AB$501,0))&amp;"","")</f>
        <v/>
      </c>
      <c r="J381" s="21" t="str">
        <f aca="false">IFERROR(INDEX(종합!J$3:J$501,MATCH(ROW()-2,종합!$AB$3:$AB$501,0))&amp;"","")</f>
        <v/>
      </c>
      <c r="K381" s="21" t="str">
        <f aca="false">IFERROR(INDEX(종합!K$3:K$501,MATCH(ROW()-2,종합!$AB$3:$AB$501,0))&amp;"","")</f>
        <v/>
      </c>
      <c r="L381" s="21" t="str">
        <f aca="false">IFERROR(INDEX(종합!L$3:L$501,MATCH(ROW()-2,종합!$AB$3:$AB$501,0))&amp;"","")</f>
        <v/>
      </c>
      <c r="M381" s="21" t="str">
        <f aca="false">IFERROR(INDEX(종합!M$3:M$501,MATCH(ROW()-2,종합!$AB$3:$AB$501,0))&amp;"","")</f>
        <v/>
      </c>
      <c r="N381" s="25" t="str">
        <f aca="false">IFERROR(INDEX(종합!N$3:N$501,MATCH(ROW()-2,종합!$AB$3:$AB$501,0))&amp;"","")</f>
        <v/>
      </c>
      <c r="O381" s="21" t="str">
        <f aca="false">IFERROR(INDEX(종합!O$3:O$501,MATCH(ROW()-2,종합!$AB$3:$AB$501,0))&amp;"","")</f>
        <v/>
      </c>
      <c r="P381" s="21" t="str">
        <f aca="false">IFERROR(INDEX(종합!P$3:P$501,MATCH(ROW()-2,종합!$AB$3:$AB$501,0))&amp;"","")</f>
        <v/>
      </c>
      <c r="Q381" s="21" t="str">
        <f aca="false">IFERROR(INDEX(종합!Q$3:Q$501,MATCH(ROW()-2,종합!$AB$3:$AB$501,0))&amp;"","")</f>
        <v/>
      </c>
      <c r="R381" s="21" t="str">
        <f aca="false">IFERROR(INDEX(종합!R$3:R$501,MATCH(ROW()-2,종합!$AB$3:$AB$501,0))&amp;"","")</f>
        <v/>
      </c>
      <c r="S381" s="21" t="str">
        <f aca="false">IFERROR(INDEX(종합!S$3:S$501,MATCH(ROW()-2,종합!$AB$3:$AB$501,0))&amp;"","")</f>
        <v/>
      </c>
      <c r="T381" s="21" t="str">
        <f aca="false">IFERROR(INDEX(종합!T$3:T$501,MATCH(ROW()-2,종합!$AB$3:$AB$501,0))&amp;"","")</f>
        <v/>
      </c>
      <c r="U381" s="21" t="str">
        <f aca="false">IFERROR(INDEX(종합!U$3:U$501,MATCH(ROW()-2,종합!$AB$3:$AB$501,0))&amp;"","")</f>
        <v/>
      </c>
      <c r="V381" s="21" t="str">
        <f aca="false">IFERROR(INDEX(종합!V$3:V$501,MATCH(ROW()-2,종합!$AB$3:$AB$501,0))&amp;"","")</f>
        <v/>
      </c>
      <c r="W381" s="21" t="str">
        <f aca="false">IFERROR(INDEX(종합!W$3:W$501,MATCH(ROW()-2,종합!$AB$3:$AB$501,0))&amp;"","")</f>
        <v/>
      </c>
      <c r="X381" s="21" t="str">
        <f aca="false">IFERROR(INDEX(종합!X$3:X$501,MATCH(ROW()-2,종합!$AB$3:$AB$501,0))&amp;"","")</f>
        <v/>
      </c>
      <c r="Y381" s="21" t="str">
        <f aca="false">IFERROR(INDEX(종합!Y$3:Y$501,MATCH(ROW()-2,종합!$AB$3:$AB$501,0))&amp;"","")</f>
        <v/>
      </c>
      <c r="Z381" s="21" t="str">
        <f aca="false">IFERROR(INDEX(종합!Z$3:Z$501,MATCH(ROW()-2,종합!$AB$3:$AB$501,0))&amp;"","")</f>
        <v/>
      </c>
    </row>
    <row r="382" customFormat="false" ht="16.5" hidden="false" customHeight="true" outlineLevel="0" collapsed="false">
      <c r="A382" s="18" t="str">
        <f aca="false">IF(B382="","",ROW()-2)</f>
        <v/>
      </c>
      <c r="B382" s="18" t="str">
        <f aca="false">IFERROR(INDEX(종합!B$3:B$501,MATCH(ROW()-2,종합!$AB$3:$AB$501,0))&amp;"","")</f>
        <v/>
      </c>
      <c r="C382" s="18" t="str">
        <f aca="false">IFERROR(INDEX(종합!C$3:C$501,MATCH(ROW()-2,종합!$AB$3:$AB$501,0))&amp;"","")</f>
        <v/>
      </c>
      <c r="D382" s="18" t="str">
        <f aca="false">IFERROR(INDEX(종합!D$3:D$501,MATCH(ROW()-2,종합!$AB$3:$AB$501,0))&amp;"","")</f>
        <v/>
      </c>
      <c r="E382" s="18" t="str">
        <f aca="false">IFERROR(INDEX(종합!E$3:E$501,MATCH(ROW()-2,종합!$AB$3:$AB$501,0))&amp;"","")</f>
        <v/>
      </c>
      <c r="F382" s="18" t="str">
        <f aca="false">IFERROR(INDEX(종합!F$3:F$501,MATCH(ROW()-2,종합!$AB$3:$AB$501,0))&amp;"","")</f>
        <v/>
      </c>
      <c r="G382" s="18" t="str">
        <f aca="false">IFERROR(INDEX(종합!G$3:G$501,MATCH(ROW()-2,종합!$AB$3:$AB$501,0))&amp;"","")</f>
        <v/>
      </c>
      <c r="H382" s="21" t="str">
        <f aca="false">IFERROR(INDEX(종합!H$3:H$501,MATCH(ROW()-2,종합!$AB$3:$AB$501,0))&amp;"","")</f>
        <v/>
      </c>
      <c r="I382" s="21" t="str">
        <f aca="false">IFERROR(INDEX(종합!I$3:I$501,MATCH(ROW()-2,종합!$AB$3:$AB$501,0))&amp;"","")</f>
        <v/>
      </c>
      <c r="J382" s="21" t="str">
        <f aca="false">IFERROR(INDEX(종합!J$3:J$501,MATCH(ROW()-2,종합!$AB$3:$AB$501,0))&amp;"","")</f>
        <v/>
      </c>
      <c r="K382" s="21" t="str">
        <f aca="false">IFERROR(INDEX(종합!K$3:K$501,MATCH(ROW()-2,종합!$AB$3:$AB$501,0))&amp;"","")</f>
        <v/>
      </c>
      <c r="L382" s="21" t="str">
        <f aca="false">IFERROR(INDEX(종합!L$3:L$501,MATCH(ROW()-2,종합!$AB$3:$AB$501,0))&amp;"","")</f>
        <v/>
      </c>
      <c r="M382" s="21" t="str">
        <f aca="false">IFERROR(INDEX(종합!M$3:M$501,MATCH(ROW()-2,종합!$AB$3:$AB$501,0))&amp;"","")</f>
        <v/>
      </c>
      <c r="N382" s="25" t="str">
        <f aca="false">IFERROR(INDEX(종합!N$3:N$501,MATCH(ROW()-2,종합!$AB$3:$AB$501,0))&amp;"","")</f>
        <v/>
      </c>
      <c r="O382" s="21" t="str">
        <f aca="false">IFERROR(INDEX(종합!O$3:O$501,MATCH(ROW()-2,종합!$AB$3:$AB$501,0))&amp;"","")</f>
        <v/>
      </c>
      <c r="P382" s="21" t="str">
        <f aca="false">IFERROR(INDEX(종합!P$3:P$501,MATCH(ROW()-2,종합!$AB$3:$AB$501,0))&amp;"","")</f>
        <v/>
      </c>
      <c r="Q382" s="21" t="str">
        <f aca="false">IFERROR(INDEX(종합!Q$3:Q$501,MATCH(ROW()-2,종합!$AB$3:$AB$501,0))&amp;"","")</f>
        <v/>
      </c>
      <c r="R382" s="21" t="str">
        <f aca="false">IFERROR(INDEX(종합!R$3:R$501,MATCH(ROW()-2,종합!$AB$3:$AB$501,0))&amp;"","")</f>
        <v/>
      </c>
      <c r="S382" s="21" t="str">
        <f aca="false">IFERROR(INDEX(종합!S$3:S$501,MATCH(ROW()-2,종합!$AB$3:$AB$501,0))&amp;"","")</f>
        <v/>
      </c>
      <c r="T382" s="21" t="str">
        <f aca="false">IFERROR(INDEX(종합!T$3:T$501,MATCH(ROW()-2,종합!$AB$3:$AB$501,0))&amp;"","")</f>
        <v/>
      </c>
      <c r="U382" s="21" t="str">
        <f aca="false">IFERROR(INDEX(종합!U$3:U$501,MATCH(ROW()-2,종합!$AB$3:$AB$501,0))&amp;"","")</f>
        <v/>
      </c>
      <c r="V382" s="21" t="str">
        <f aca="false">IFERROR(INDEX(종합!V$3:V$501,MATCH(ROW()-2,종합!$AB$3:$AB$501,0))&amp;"","")</f>
        <v/>
      </c>
      <c r="W382" s="21" t="str">
        <f aca="false">IFERROR(INDEX(종합!W$3:W$501,MATCH(ROW()-2,종합!$AB$3:$AB$501,0))&amp;"","")</f>
        <v/>
      </c>
      <c r="X382" s="21" t="str">
        <f aca="false">IFERROR(INDEX(종합!X$3:X$501,MATCH(ROW()-2,종합!$AB$3:$AB$501,0))&amp;"","")</f>
        <v/>
      </c>
      <c r="Y382" s="21" t="str">
        <f aca="false">IFERROR(INDEX(종합!Y$3:Y$501,MATCH(ROW()-2,종합!$AB$3:$AB$501,0))&amp;"","")</f>
        <v/>
      </c>
      <c r="Z382" s="21" t="str">
        <f aca="false">IFERROR(INDEX(종합!Z$3:Z$501,MATCH(ROW()-2,종합!$AB$3:$AB$501,0))&amp;"","")</f>
        <v/>
      </c>
    </row>
    <row r="383" customFormat="false" ht="16.5" hidden="false" customHeight="true" outlineLevel="0" collapsed="false">
      <c r="A383" s="18" t="str">
        <f aca="false">IF(B383="","",ROW()-2)</f>
        <v/>
      </c>
      <c r="B383" s="18" t="str">
        <f aca="false">IFERROR(INDEX(종합!B$3:B$501,MATCH(ROW()-2,종합!$AB$3:$AB$501,0))&amp;"","")</f>
        <v/>
      </c>
      <c r="C383" s="18" t="str">
        <f aca="false">IFERROR(INDEX(종합!C$3:C$501,MATCH(ROW()-2,종합!$AB$3:$AB$501,0))&amp;"","")</f>
        <v/>
      </c>
      <c r="D383" s="18" t="str">
        <f aca="false">IFERROR(INDEX(종합!D$3:D$501,MATCH(ROW()-2,종합!$AB$3:$AB$501,0))&amp;"","")</f>
        <v/>
      </c>
      <c r="E383" s="18" t="str">
        <f aca="false">IFERROR(INDEX(종합!E$3:E$501,MATCH(ROW()-2,종합!$AB$3:$AB$501,0))&amp;"","")</f>
        <v/>
      </c>
      <c r="F383" s="18" t="str">
        <f aca="false">IFERROR(INDEX(종합!F$3:F$501,MATCH(ROW()-2,종합!$AB$3:$AB$501,0))&amp;"","")</f>
        <v/>
      </c>
      <c r="G383" s="18" t="str">
        <f aca="false">IFERROR(INDEX(종합!G$3:G$501,MATCH(ROW()-2,종합!$AB$3:$AB$501,0))&amp;"","")</f>
        <v/>
      </c>
      <c r="H383" s="21" t="str">
        <f aca="false">IFERROR(INDEX(종합!H$3:H$501,MATCH(ROW()-2,종합!$AB$3:$AB$501,0))&amp;"","")</f>
        <v/>
      </c>
      <c r="I383" s="21" t="str">
        <f aca="false">IFERROR(INDEX(종합!I$3:I$501,MATCH(ROW()-2,종합!$AB$3:$AB$501,0))&amp;"","")</f>
        <v/>
      </c>
      <c r="J383" s="21" t="str">
        <f aca="false">IFERROR(INDEX(종합!J$3:J$501,MATCH(ROW()-2,종합!$AB$3:$AB$501,0))&amp;"","")</f>
        <v/>
      </c>
      <c r="K383" s="21" t="str">
        <f aca="false">IFERROR(INDEX(종합!K$3:K$501,MATCH(ROW()-2,종합!$AB$3:$AB$501,0))&amp;"","")</f>
        <v/>
      </c>
      <c r="L383" s="21" t="str">
        <f aca="false">IFERROR(INDEX(종합!L$3:L$501,MATCH(ROW()-2,종합!$AB$3:$AB$501,0))&amp;"","")</f>
        <v/>
      </c>
      <c r="M383" s="21" t="str">
        <f aca="false">IFERROR(INDEX(종합!M$3:M$501,MATCH(ROW()-2,종합!$AB$3:$AB$501,0))&amp;"","")</f>
        <v/>
      </c>
      <c r="N383" s="25" t="str">
        <f aca="false">IFERROR(INDEX(종합!N$3:N$501,MATCH(ROW()-2,종합!$AB$3:$AB$501,0))&amp;"","")</f>
        <v/>
      </c>
      <c r="O383" s="21" t="str">
        <f aca="false">IFERROR(INDEX(종합!O$3:O$501,MATCH(ROW()-2,종합!$AB$3:$AB$501,0))&amp;"","")</f>
        <v/>
      </c>
      <c r="P383" s="21" t="str">
        <f aca="false">IFERROR(INDEX(종합!P$3:P$501,MATCH(ROW()-2,종합!$AB$3:$AB$501,0))&amp;"","")</f>
        <v/>
      </c>
      <c r="Q383" s="21" t="str">
        <f aca="false">IFERROR(INDEX(종합!Q$3:Q$501,MATCH(ROW()-2,종합!$AB$3:$AB$501,0))&amp;"","")</f>
        <v/>
      </c>
      <c r="R383" s="21" t="str">
        <f aca="false">IFERROR(INDEX(종합!R$3:R$501,MATCH(ROW()-2,종합!$AB$3:$AB$501,0))&amp;"","")</f>
        <v/>
      </c>
      <c r="S383" s="21" t="str">
        <f aca="false">IFERROR(INDEX(종합!S$3:S$501,MATCH(ROW()-2,종합!$AB$3:$AB$501,0))&amp;"","")</f>
        <v/>
      </c>
      <c r="T383" s="21" t="str">
        <f aca="false">IFERROR(INDEX(종합!T$3:T$501,MATCH(ROW()-2,종합!$AB$3:$AB$501,0))&amp;"","")</f>
        <v/>
      </c>
      <c r="U383" s="21" t="str">
        <f aca="false">IFERROR(INDEX(종합!U$3:U$501,MATCH(ROW()-2,종합!$AB$3:$AB$501,0))&amp;"","")</f>
        <v/>
      </c>
      <c r="V383" s="21" t="str">
        <f aca="false">IFERROR(INDEX(종합!V$3:V$501,MATCH(ROW()-2,종합!$AB$3:$AB$501,0))&amp;"","")</f>
        <v/>
      </c>
      <c r="W383" s="21" t="str">
        <f aca="false">IFERROR(INDEX(종합!W$3:W$501,MATCH(ROW()-2,종합!$AB$3:$AB$501,0))&amp;"","")</f>
        <v/>
      </c>
      <c r="X383" s="21" t="str">
        <f aca="false">IFERROR(INDEX(종합!X$3:X$501,MATCH(ROW()-2,종합!$AB$3:$AB$501,0))&amp;"","")</f>
        <v/>
      </c>
      <c r="Y383" s="21" t="str">
        <f aca="false">IFERROR(INDEX(종합!Y$3:Y$501,MATCH(ROW()-2,종합!$AB$3:$AB$501,0))&amp;"","")</f>
        <v/>
      </c>
      <c r="Z383" s="21" t="str">
        <f aca="false">IFERROR(INDEX(종합!Z$3:Z$501,MATCH(ROW()-2,종합!$AB$3:$AB$501,0))&amp;"","")</f>
        <v/>
      </c>
    </row>
    <row r="384" customFormat="false" ht="16.5" hidden="false" customHeight="true" outlineLevel="0" collapsed="false">
      <c r="A384" s="18" t="str">
        <f aca="false">IF(B384="","",ROW()-2)</f>
        <v/>
      </c>
      <c r="B384" s="18" t="str">
        <f aca="false">IFERROR(INDEX(종합!B$3:B$501,MATCH(ROW()-2,종합!$AB$3:$AB$501,0))&amp;"","")</f>
        <v/>
      </c>
      <c r="C384" s="18" t="str">
        <f aca="false">IFERROR(INDEX(종합!C$3:C$501,MATCH(ROW()-2,종합!$AB$3:$AB$501,0))&amp;"","")</f>
        <v/>
      </c>
      <c r="D384" s="18" t="str">
        <f aca="false">IFERROR(INDEX(종합!D$3:D$501,MATCH(ROW()-2,종합!$AB$3:$AB$501,0))&amp;"","")</f>
        <v/>
      </c>
      <c r="E384" s="18" t="str">
        <f aca="false">IFERROR(INDEX(종합!E$3:E$501,MATCH(ROW()-2,종합!$AB$3:$AB$501,0))&amp;"","")</f>
        <v/>
      </c>
      <c r="F384" s="18" t="str">
        <f aca="false">IFERROR(INDEX(종합!F$3:F$501,MATCH(ROW()-2,종합!$AB$3:$AB$501,0))&amp;"","")</f>
        <v/>
      </c>
      <c r="G384" s="18" t="str">
        <f aca="false">IFERROR(INDEX(종합!G$3:G$501,MATCH(ROW()-2,종합!$AB$3:$AB$501,0))&amp;"","")</f>
        <v/>
      </c>
      <c r="H384" s="21" t="str">
        <f aca="false">IFERROR(INDEX(종합!H$3:H$501,MATCH(ROW()-2,종합!$AB$3:$AB$501,0))&amp;"","")</f>
        <v/>
      </c>
      <c r="I384" s="21" t="str">
        <f aca="false">IFERROR(INDEX(종합!I$3:I$501,MATCH(ROW()-2,종합!$AB$3:$AB$501,0))&amp;"","")</f>
        <v/>
      </c>
      <c r="J384" s="21" t="str">
        <f aca="false">IFERROR(INDEX(종합!J$3:J$501,MATCH(ROW()-2,종합!$AB$3:$AB$501,0))&amp;"","")</f>
        <v/>
      </c>
      <c r="K384" s="21" t="str">
        <f aca="false">IFERROR(INDEX(종합!K$3:K$501,MATCH(ROW()-2,종합!$AB$3:$AB$501,0))&amp;"","")</f>
        <v/>
      </c>
      <c r="L384" s="21" t="str">
        <f aca="false">IFERROR(INDEX(종합!L$3:L$501,MATCH(ROW()-2,종합!$AB$3:$AB$501,0))&amp;"","")</f>
        <v/>
      </c>
      <c r="M384" s="21" t="str">
        <f aca="false">IFERROR(INDEX(종합!M$3:M$501,MATCH(ROW()-2,종합!$AB$3:$AB$501,0))&amp;"","")</f>
        <v/>
      </c>
      <c r="N384" s="25" t="str">
        <f aca="false">IFERROR(INDEX(종합!N$3:N$501,MATCH(ROW()-2,종합!$AB$3:$AB$501,0))&amp;"","")</f>
        <v/>
      </c>
      <c r="O384" s="21" t="str">
        <f aca="false">IFERROR(INDEX(종합!O$3:O$501,MATCH(ROW()-2,종합!$AB$3:$AB$501,0))&amp;"","")</f>
        <v/>
      </c>
      <c r="P384" s="21" t="str">
        <f aca="false">IFERROR(INDEX(종합!P$3:P$501,MATCH(ROW()-2,종합!$AB$3:$AB$501,0))&amp;"","")</f>
        <v/>
      </c>
      <c r="Q384" s="21" t="str">
        <f aca="false">IFERROR(INDEX(종합!Q$3:Q$501,MATCH(ROW()-2,종합!$AB$3:$AB$501,0))&amp;"","")</f>
        <v/>
      </c>
      <c r="R384" s="21" t="str">
        <f aca="false">IFERROR(INDEX(종합!R$3:R$501,MATCH(ROW()-2,종합!$AB$3:$AB$501,0))&amp;"","")</f>
        <v/>
      </c>
      <c r="S384" s="21" t="str">
        <f aca="false">IFERROR(INDEX(종합!S$3:S$501,MATCH(ROW()-2,종합!$AB$3:$AB$501,0))&amp;"","")</f>
        <v/>
      </c>
      <c r="T384" s="21" t="str">
        <f aca="false">IFERROR(INDEX(종합!T$3:T$501,MATCH(ROW()-2,종합!$AB$3:$AB$501,0))&amp;"","")</f>
        <v/>
      </c>
      <c r="U384" s="21" t="str">
        <f aca="false">IFERROR(INDEX(종합!U$3:U$501,MATCH(ROW()-2,종합!$AB$3:$AB$501,0))&amp;"","")</f>
        <v/>
      </c>
      <c r="V384" s="21" t="str">
        <f aca="false">IFERROR(INDEX(종합!V$3:V$501,MATCH(ROW()-2,종합!$AB$3:$AB$501,0))&amp;"","")</f>
        <v/>
      </c>
      <c r="W384" s="21" t="str">
        <f aca="false">IFERROR(INDEX(종합!W$3:W$501,MATCH(ROW()-2,종합!$AB$3:$AB$501,0))&amp;"","")</f>
        <v/>
      </c>
      <c r="X384" s="21" t="str">
        <f aca="false">IFERROR(INDEX(종합!X$3:X$501,MATCH(ROW()-2,종합!$AB$3:$AB$501,0))&amp;"","")</f>
        <v/>
      </c>
      <c r="Y384" s="21" t="str">
        <f aca="false">IFERROR(INDEX(종합!Y$3:Y$501,MATCH(ROW()-2,종합!$AB$3:$AB$501,0))&amp;"","")</f>
        <v/>
      </c>
      <c r="Z384" s="21" t="str">
        <f aca="false">IFERROR(INDEX(종합!Z$3:Z$501,MATCH(ROW()-2,종합!$AB$3:$AB$501,0))&amp;"","")</f>
        <v/>
      </c>
    </row>
    <row r="385" customFormat="false" ht="16.5" hidden="false" customHeight="true" outlineLevel="0" collapsed="false">
      <c r="A385" s="18" t="str">
        <f aca="false">IF(B385="","",ROW()-2)</f>
        <v/>
      </c>
      <c r="B385" s="18" t="str">
        <f aca="false">IFERROR(INDEX(종합!B$3:B$501,MATCH(ROW()-2,종합!$AB$3:$AB$501,0))&amp;"","")</f>
        <v/>
      </c>
      <c r="C385" s="18" t="str">
        <f aca="false">IFERROR(INDEX(종합!C$3:C$501,MATCH(ROW()-2,종합!$AB$3:$AB$501,0))&amp;"","")</f>
        <v/>
      </c>
      <c r="D385" s="18" t="str">
        <f aca="false">IFERROR(INDEX(종합!D$3:D$501,MATCH(ROW()-2,종합!$AB$3:$AB$501,0))&amp;"","")</f>
        <v/>
      </c>
      <c r="E385" s="18" t="str">
        <f aca="false">IFERROR(INDEX(종합!E$3:E$501,MATCH(ROW()-2,종합!$AB$3:$AB$501,0))&amp;"","")</f>
        <v/>
      </c>
      <c r="F385" s="18" t="str">
        <f aca="false">IFERROR(INDEX(종합!F$3:F$501,MATCH(ROW()-2,종합!$AB$3:$AB$501,0))&amp;"","")</f>
        <v/>
      </c>
      <c r="G385" s="18" t="str">
        <f aca="false">IFERROR(INDEX(종합!G$3:G$501,MATCH(ROW()-2,종합!$AB$3:$AB$501,0))&amp;"","")</f>
        <v/>
      </c>
      <c r="H385" s="21" t="str">
        <f aca="false">IFERROR(INDEX(종합!H$3:H$501,MATCH(ROW()-2,종합!$AB$3:$AB$501,0))&amp;"","")</f>
        <v/>
      </c>
      <c r="I385" s="21" t="str">
        <f aca="false">IFERROR(INDEX(종합!I$3:I$501,MATCH(ROW()-2,종합!$AB$3:$AB$501,0))&amp;"","")</f>
        <v/>
      </c>
      <c r="J385" s="21" t="str">
        <f aca="false">IFERROR(INDEX(종합!J$3:J$501,MATCH(ROW()-2,종합!$AB$3:$AB$501,0))&amp;"","")</f>
        <v/>
      </c>
      <c r="K385" s="21" t="str">
        <f aca="false">IFERROR(INDEX(종합!K$3:K$501,MATCH(ROW()-2,종합!$AB$3:$AB$501,0))&amp;"","")</f>
        <v/>
      </c>
      <c r="L385" s="21" t="str">
        <f aca="false">IFERROR(INDEX(종합!L$3:L$501,MATCH(ROW()-2,종합!$AB$3:$AB$501,0))&amp;"","")</f>
        <v/>
      </c>
      <c r="M385" s="21" t="str">
        <f aca="false">IFERROR(INDEX(종합!M$3:M$501,MATCH(ROW()-2,종합!$AB$3:$AB$501,0))&amp;"","")</f>
        <v/>
      </c>
      <c r="N385" s="25" t="str">
        <f aca="false">IFERROR(INDEX(종합!N$3:N$501,MATCH(ROW()-2,종합!$AB$3:$AB$501,0))&amp;"","")</f>
        <v/>
      </c>
      <c r="O385" s="21" t="str">
        <f aca="false">IFERROR(INDEX(종합!O$3:O$501,MATCH(ROW()-2,종합!$AB$3:$AB$501,0))&amp;"","")</f>
        <v/>
      </c>
      <c r="P385" s="21" t="str">
        <f aca="false">IFERROR(INDEX(종합!P$3:P$501,MATCH(ROW()-2,종합!$AB$3:$AB$501,0))&amp;"","")</f>
        <v/>
      </c>
      <c r="Q385" s="21" t="str">
        <f aca="false">IFERROR(INDEX(종합!Q$3:Q$501,MATCH(ROW()-2,종합!$AB$3:$AB$501,0))&amp;"","")</f>
        <v/>
      </c>
      <c r="R385" s="21" t="str">
        <f aca="false">IFERROR(INDEX(종합!R$3:R$501,MATCH(ROW()-2,종합!$AB$3:$AB$501,0))&amp;"","")</f>
        <v/>
      </c>
      <c r="S385" s="21" t="str">
        <f aca="false">IFERROR(INDEX(종합!S$3:S$501,MATCH(ROW()-2,종합!$AB$3:$AB$501,0))&amp;"","")</f>
        <v/>
      </c>
      <c r="T385" s="21" t="str">
        <f aca="false">IFERROR(INDEX(종합!T$3:T$501,MATCH(ROW()-2,종합!$AB$3:$AB$501,0))&amp;"","")</f>
        <v/>
      </c>
      <c r="U385" s="21" t="str">
        <f aca="false">IFERROR(INDEX(종합!U$3:U$501,MATCH(ROW()-2,종합!$AB$3:$AB$501,0))&amp;"","")</f>
        <v/>
      </c>
      <c r="V385" s="21" t="str">
        <f aca="false">IFERROR(INDEX(종합!V$3:V$501,MATCH(ROW()-2,종합!$AB$3:$AB$501,0))&amp;"","")</f>
        <v/>
      </c>
      <c r="W385" s="21" t="str">
        <f aca="false">IFERROR(INDEX(종합!W$3:W$501,MATCH(ROW()-2,종합!$AB$3:$AB$501,0))&amp;"","")</f>
        <v/>
      </c>
      <c r="X385" s="21" t="str">
        <f aca="false">IFERROR(INDEX(종합!X$3:X$501,MATCH(ROW()-2,종합!$AB$3:$AB$501,0))&amp;"","")</f>
        <v/>
      </c>
      <c r="Y385" s="21" t="str">
        <f aca="false">IFERROR(INDEX(종합!Y$3:Y$501,MATCH(ROW()-2,종합!$AB$3:$AB$501,0))&amp;"","")</f>
        <v/>
      </c>
      <c r="Z385" s="21" t="str">
        <f aca="false">IFERROR(INDEX(종합!Z$3:Z$501,MATCH(ROW()-2,종합!$AB$3:$AB$501,0))&amp;"","")</f>
        <v/>
      </c>
    </row>
    <row r="386" customFormat="false" ht="16.5" hidden="false" customHeight="true" outlineLevel="0" collapsed="false">
      <c r="A386" s="18" t="str">
        <f aca="false">IF(B386="","",ROW()-2)</f>
        <v/>
      </c>
      <c r="B386" s="18" t="str">
        <f aca="false">IFERROR(INDEX(종합!B$3:B$501,MATCH(ROW()-2,종합!$AB$3:$AB$501,0))&amp;"","")</f>
        <v/>
      </c>
      <c r="C386" s="18" t="str">
        <f aca="false">IFERROR(INDEX(종합!C$3:C$501,MATCH(ROW()-2,종합!$AB$3:$AB$501,0))&amp;"","")</f>
        <v/>
      </c>
      <c r="D386" s="18" t="str">
        <f aca="false">IFERROR(INDEX(종합!D$3:D$501,MATCH(ROW()-2,종합!$AB$3:$AB$501,0))&amp;"","")</f>
        <v/>
      </c>
      <c r="E386" s="18" t="str">
        <f aca="false">IFERROR(INDEX(종합!E$3:E$501,MATCH(ROW()-2,종합!$AB$3:$AB$501,0))&amp;"","")</f>
        <v/>
      </c>
      <c r="F386" s="18" t="str">
        <f aca="false">IFERROR(INDEX(종합!F$3:F$501,MATCH(ROW()-2,종합!$AB$3:$AB$501,0))&amp;"","")</f>
        <v/>
      </c>
      <c r="G386" s="18" t="str">
        <f aca="false">IFERROR(INDEX(종합!G$3:G$501,MATCH(ROW()-2,종합!$AB$3:$AB$501,0))&amp;"","")</f>
        <v/>
      </c>
      <c r="H386" s="21" t="str">
        <f aca="false">IFERROR(INDEX(종합!H$3:H$501,MATCH(ROW()-2,종합!$AB$3:$AB$501,0))&amp;"","")</f>
        <v/>
      </c>
      <c r="I386" s="21" t="str">
        <f aca="false">IFERROR(INDEX(종합!I$3:I$501,MATCH(ROW()-2,종합!$AB$3:$AB$501,0))&amp;"","")</f>
        <v/>
      </c>
      <c r="J386" s="21" t="str">
        <f aca="false">IFERROR(INDEX(종합!J$3:J$501,MATCH(ROW()-2,종합!$AB$3:$AB$501,0))&amp;"","")</f>
        <v/>
      </c>
      <c r="K386" s="21" t="str">
        <f aca="false">IFERROR(INDEX(종합!K$3:K$501,MATCH(ROW()-2,종합!$AB$3:$AB$501,0))&amp;"","")</f>
        <v/>
      </c>
      <c r="L386" s="21" t="str">
        <f aca="false">IFERROR(INDEX(종합!L$3:L$501,MATCH(ROW()-2,종합!$AB$3:$AB$501,0))&amp;"","")</f>
        <v/>
      </c>
      <c r="M386" s="21" t="str">
        <f aca="false">IFERROR(INDEX(종합!M$3:M$501,MATCH(ROW()-2,종합!$AB$3:$AB$501,0))&amp;"","")</f>
        <v/>
      </c>
      <c r="N386" s="25" t="str">
        <f aca="false">IFERROR(INDEX(종합!N$3:N$501,MATCH(ROW()-2,종합!$AB$3:$AB$501,0))&amp;"","")</f>
        <v/>
      </c>
      <c r="O386" s="21" t="str">
        <f aca="false">IFERROR(INDEX(종합!O$3:O$501,MATCH(ROW()-2,종합!$AB$3:$AB$501,0))&amp;"","")</f>
        <v/>
      </c>
      <c r="P386" s="21" t="str">
        <f aca="false">IFERROR(INDEX(종합!P$3:P$501,MATCH(ROW()-2,종합!$AB$3:$AB$501,0))&amp;"","")</f>
        <v/>
      </c>
      <c r="Q386" s="21" t="str">
        <f aca="false">IFERROR(INDEX(종합!Q$3:Q$501,MATCH(ROW()-2,종합!$AB$3:$AB$501,0))&amp;"","")</f>
        <v/>
      </c>
      <c r="R386" s="21" t="str">
        <f aca="false">IFERROR(INDEX(종합!R$3:R$501,MATCH(ROW()-2,종합!$AB$3:$AB$501,0))&amp;"","")</f>
        <v/>
      </c>
      <c r="S386" s="21" t="str">
        <f aca="false">IFERROR(INDEX(종합!S$3:S$501,MATCH(ROW()-2,종합!$AB$3:$AB$501,0))&amp;"","")</f>
        <v/>
      </c>
      <c r="T386" s="21" t="str">
        <f aca="false">IFERROR(INDEX(종합!T$3:T$501,MATCH(ROW()-2,종합!$AB$3:$AB$501,0))&amp;"","")</f>
        <v/>
      </c>
      <c r="U386" s="21" t="str">
        <f aca="false">IFERROR(INDEX(종합!U$3:U$501,MATCH(ROW()-2,종합!$AB$3:$AB$501,0))&amp;"","")</f>
        <v/>
      </c>
      <c r="V386" s="21" t="str">
        <f aca="false">IFERROR(INDEX(종합!V$3:V$501,MATCH(ROW()-2,종합!$AB$3:$AB$501,0))&amp;"","")</f>
        <v/>
      </c>
      <c r="W386" s="21" t="str">
        <f aca="false">IFERROR(INDEX(종합!W$3:W$501,MATCH(ROW()-2,종합!$AB$3:$AB$501,0))&amp;"","")</f>
        <v/>
      </c>
      <c r="X386" s="21" t="str">
        <f aca="false">IFERROR(INDEX(종합!X$3:X$501,MATCH(ROW()-2,종합!$AB$3:$AB$501,0))&amp;"","")</f>
        <v/>
      </c>
      <c r="Y386" s="21" t="str">
        <f aca="false">IFERROR(INDEX(종합!Y$3:Y$501,MATCH(ROW()-2,종합!$AB$3:$AB$501,0))&amp;"","")</f>
        <v/>
      </c>
      <c r="Z386" s="21" t="str">
        <f aca="false">IFERROR(INDEX(종합!Z$3:Z$501,MATCH(ROW()-2,종합!$AB$3:$AB$501,0))&amp;"","")</f>
        <v/>
      </c>
    </row>
    <row r="387" customFormat="false" ht="16.5" hidden="false" customHeight="true" outlineLevel="0" collapsed="false">
      <c r="A387" s="18" t="str">
        <f aca="false">IF(B387="","",ROW()-2)</f>
        <v/>
      </c>
      <c r="B387" s="18" t="str">
        <f aca="false">IFERROR(INDEX(종합!B$3:B$501,MATCH(ROW()-2,종합!$AB$3:$AB$501,0))&amp;"","")</f>
        <v/>
      </c>
      <c r="C387" s="18" t="str">
        <f aca="false">IFERROR(INDEX(종합!C$3:C$501,MATCH(ROW()-2,종합!$AB$3:$AB$501,0))&amp;"","")</f>
        <v/>
      </c>
      <c r="D387" s="18" t="str">
        <f aca="false">IFERROR(INDEX(종합!D$3:D$501,MATCH(ROW()-2,종합!$AB$3:$AB$501,0))&amp;"","")</f>
        <v/>
      </c>
      <c r="E387" s="18" t="str">
        <f aca="false">IFERROR(INDEX(종합!E$3:E$501,MATCH(ROW()-2,종합!$AB$3:$AB$501,0))&amp;"","")</f>
        <v/>
      </c>
      <c r="F387" s="18" t="str">
        <f aca="false">IFERROR(INDEX(종합!F$3:F$501,MATCH(ROW()-2,종합!$AB$3:$AB$501,0))&amp;"","")</f>
        <v/>
      </c>
      <c r="G387" s="18" t="str">
        <f aca="false">IFERROR(INDEX(종합!G$3:G$501,MATCH(ROW()-2,종합!$AB$3:$AB$501,0))&amp;"","")</f>
        <v/>
      </c>
      <c r="H387" s="21" t="str">
        <f aca="false">IFERROR(INDEX(종합!H$3:H$501,MATCH(ROW()-2,종합!$AB$3:$AB$501,0))&amp;"","")</f>
        <v/>
      </c>
      <c r="I387" s="21" t="str">
        <f aca="false">IFERROR(INDEX(종합!I$3:I$501,MATCH(ROW()-2,종합!$AB$3:$AB$501,0))&amp;"","")</f>
        <v/>
      </c>
      <c r="J387" s="21" t="str">
        <f aca="false">IFERROR(INDEX(종합!J$3:J$501,MATCH(ROW()-2,종합!$AB$3:$AB$501,0))&amp;"","")</f>
        <v/>
      </c>
      <c r="K387" s="21" t="str">
        <f aca="false">IFERROR(INDEX(종합!K$3:K$501,MATCH(ROW()-2,종합!$AB$3:$AB$501,0))&amp;"","")</f>
        <v/>
      </c>
      <c r="L387" s="21" t="str">
        <f aca="false">IFERROR(INDEX(종합!L$3:L$501,MATCH(ROW()-2,종합!$AB$3:$AB$501,0))&amp;"","")</f>
        <v/>
      </c>
      <c r="M387" s="21" t="str">
        <f aca="false">IFERROR(INDEX(종합!M$3:M$501,MATCH(ROW()-2,종합!$AB$3:$AB$501,0))&amp;"","")</f>
        <v/>
      </c>
      <c r="N387" s="25" t="str">
        <f aca="false">IFERROR(INDEX(종합!N$3:N$501,MATCH(ROW()-2,종합!$AB$3:$AB$501,0))&amp;"","")</f>
        <v/>
      </c>
      <c r="O387" s="21" t="str">
        <f aca="false">IFERROR(INDEX(종합!O$3:O$501,MATCH(ROW()-2,종합!$AB$3:$AB$501,0))&amp;"","")</f>
        <v/>
      </c>
      <c r="P387" s="21" t="str">
        <f aca="false">IFERROR(INDEX(종합!P$3:P$501,MATCH(ROW()-2,종합!$AB$3:$AB$501,0))&amp;"","")</f>
        <v/>
      </c>
      <c r="Q387" s="21" t="str">
        <f aca="false">IFERROR(INDEX(종합!Q$3:Q$501,MATCH(ROW()-2,종합!$AB$3:$AB$501,0))&amp;"","")</f>
        <v/>
      </c>
      <c r="R387" s="21" t="str">
        <f aca="false">IFERROR(INDEX(종합!R$3:R$501,MATCH(ROW()-2,종합!$AB$3:$AB$501,0))&amp;"","")</f>
        <v/>
      </c>
      <c r="S387" s="21" t="str">
        <f aca="false">IFERROR(INDEX(종합!S$3:S$501,MATCH(ROW()-2,종합!$AB$3:$AB$501,0))&amp;"","")</f>
        <v/>
      </c>
      <c r="T387" s="21" t="str">
        <f aca="false">IFERROR(INDEX(종합!T$3:T$501,MATCH(ROW()-2,종합!$AB$3:$AB$501,0))&amp;"","")</f>
        <v/>
      </c>
      <c r="U387" s="21" t="str">
        <f aca="false">IFERROR(INDEX(종합!U$3:U$501,MATCH(ROW()-2,종합!$AB$3:$AB$501,0))&amp;"","")</f>
        <v/>
      </c>
      <c r="V387" s="21" t="str">
        <f aca="false">IFERROR(INDEX(종합!V$3:V$501,MATCH(ROW()-2,종합!$AB$3:$AB$501,0))&amp;"","")</f>
        <v/>
      </c>
      <c r="W387" s="21" t="str">
        <f aca="false">IFERROR(INDEX(종합!W$3:W$501,MATCH(ROW()-2,종합!$AB$3:$AB$501,0))&amp;"","")</f>
        <v/>
      </c>
      <c r="X387" s="21" t="str">
        <f aca="false">IFERROR(INDEX(종합!X$3:X$501,MATCH(ROW()-2,종합!$AB$3:$AB$501,0))&amp;"","")</f>
        <v/>
      </c>
      <c r="Y387" s="21" t="str">
        <f aca="false">IFERROR(INDEX(종합!Y$3:Y$501,MATCH(ROW()-2,종합!$AB$3:$AB$501,0))&amp;"","")</f>
        <v/>
      </c>
      <c r="Z387" s="21" t="str">
        <f aca="false">IFERROR(INDEX(종합!Z$3:Z$501,MATCH(ROW()-2,종합!$AB$3:$AB$501,0))&amp;"","")</f>
        <v/>
      </c>
    </row>
    <row r="388" customFormat="false" ht="16.5" hidden="false" customHeight="true" outlineLevel="0" collapsed="false">
      <c r="A388" s="18" t="str">
        <f aca="false">IF(B388="","",ROW()-2)</f>
        <v/>
      </c>
      <c r="B388" s="18" t="str">
        <f aca="false">IFERROR(INDEX(종합!B$3:B$501,MATCH(ROW()-2,종합!$AB$3:$AB$501,0))&amp;"","")</f>
        <v/>
      </c>
      <c r="C388" s="18" t="str">
        <f aca="false">IFERROR(INDEX(종합!C$3:C$501,MATCH(ROW()-2,종합!$AB$3:$AB$501,0))&amp;"","")</f>
        <v/>
      </c>
      <c r="D388" s="18" t="str">
        <f aca="false">IFERROR(INDEX(종합!D$3:D$501,MATCH(ROW()-2,종합!$AB$3:$AB$501,0))&amp;"","")</f>
        <v/>
      </c>
      <c r="E388" s="18" t="str">
        <f aca="false">IFERROR(INDEX(종합!E$3:E$501,MATCH(ROW()-2,종합!$AB$3:$AB$501,0))&amp;"","")</f>
        <v/>
      </c>
      <c r="F388" s="18" t="str">
        <f aca="false">IFERROR(INDEX(종합!F$3:F$501,MATCH(ROW()-2,종합!$AB$3:$AB$501,0))&amp;"","")</f>
        <v/>
      </c>
      <c r="G388" s="18" t="str">
        <f aca="false">IFERROR(INDEX(종합!G$3:G$501,MATCH(ROW()-2,종합!$AB$3:$AB$501,0))&amp;"","")</f>
        <v/>
      </c>
      <c r="H388" s="21" t="str">
        <f aca="false">IFERROR(INDEX(종합!H$3:H$501,MATCH(ROW()-2,종합!$AB$3:$AB$501,0))&amp;"","")</f>
        <v/>
      </c>
      <c r="I388" s="21" t="str">
        <f aca="false">IFERROR(INDEX(종합!I$3:I$501,MATCH(ROW()-2,종합!$AB$3:$AB$501,0))&amp;"","")</f>
        <v/>
      </c>
      <c r="J388" s="21" t="str">
        <f aca="false">IFERROR(INDEX(종합!J$3:J$501,MATCH(ROW()-2,종합!$AB$3:$AB$501,0))&amp;"","")</f>
        <v/>
      </c>
      <c r="K388" s="21" t="str">
        <f aca="false">IFERROR(INDEX(종합!K$3:K$501,MATCH(ROW()-2,종합!$AB$3:$AB$501,0))&amp;"","")</f>
        <v/>
      </c>
      <c r="L388" s="21" t="str">
        <f aca="false">IFERROR(INDEX(종합!L$3:L$501,MATCH(ROW()-2,종합!$AB$3:$AB$501,0))&amp;"","")</f>
        <v/>
      </c>
      <c r="M388" s="21" t="str">
        <f aca="false">IFERROR(INDEX(종합!M$3:M$501,MATCH(ROW()-2,종합!$AB$3:$AB$501,0))&amp;"","")</f>
        <v/>
      </c>
      <c r="N388" s="25" t="str">
        <f aca="false">IFERROR(INDEX(종합!N$3:N$501,MATCH(ROW()-2,종합!$AB$3:$AB$501,0))&amp;"","")</f>
        <v/>
      </c>
      <c r="O388" s="21" t="str">
        <f aca="false">IFERROR(INDEX(종합!O$3:O$501,MATCH(ROW()-2,종합!$AB$3:$AB$501,0))&amp;"","")</f>
        <v/>
      </c>
      <c r="P388" s="21" t="str">
        <f aca="false">IFERROR(INDEX(종합!P$3:P$501,MATCH(ROW()-2,종합!$AB$3:$AB$501,0))&amp;"","")</f>
        <v/>
      </c>
      <c r="Q388" s="21" t="str">
        <f aca="false">IFERROR(INDEX(종합!Q$3:Q$501,MATCH(ROW()-2,종합!$AB$3:$AB$501,0))&amp;"","")</f>
        <v/>
      </c>
      <c r="R388" s="21" t="str">
        <f aca="false">IFERROR(INDEX(종합!R$3:R$501,MATCH(ROW()-2,종합!$AB$3:$AB$501,0))&amp;"","")</f>
        <v/>
      </c>
      <c r="S388" s="21" t="str">
        <f aca="false">IFERROR(INDEX(종합!S$3:S$501,MATCH(ROW()-2,종합!$AB$3:$AB$501,0))&amp;"","")</f>
        <v/>
      </c>
      <c r="T388" s="21" t="str">
        <f aca="false">IFERROR(INDEX(종합!T$3:T$501,MATCH(ROW()-2,종합!$AB$3:$AB$501,0))&amp;"","")</f>
        <v/>
      </c>
      <c r="U388" s="21" t="str">
        <f aca="false">IFERROR(INDEX(종합!U$3:U$501,MATCH(ROW()-2,종합!$AB$3:$AB$501,0))&amp;"","")</f>
        <v/>
      </c>
      <c r="V388" s="21" t="str">
        <f aca="false">IFERROR(INDEX(종합!V$3:V$501,MATCH(ROW()-2,종합!$AB$3:$AB$501,0))&amp;"","")</f>
        <v/>
      </c>
      <c r="W388" s="21" t="str">
        <f aca="false">IFERROR(INDEX(종합!W$3:W$501,MATCH(ROW()-2,종합!$AB$3:$AB$501,0))&amp;"","")</f>
        <v/>
      </c>
      <c r="X388" s="21" t="str">
        <f aca="false">IFERROR(INDEX(종합!X$3:X$501,MATCH(ROW()-2,종합!$AB$3:$AB$501,0))&amp;"","")</f>
        <v/>
      </c>
      <c r="Y388" s="21" t="str">
        <f aca="false">IFERROR(INDEX(종합!Y$3:Y$501,MATCH(ROW()-2,종합!$AB$3:$AB$501,0))&amp;"","")</f>
        <v/>
      </c>
      <c r="Z388" s="21" t="str">
        <f aca="false">IFERROR(INDEX(종합!Z$3:Z$501,MATCH(ROW()-2,종합!$AB$3:$AB$501,0))&amp;"","")</f>
        <v/>
      </c>
    </row>
    <row r="389" customFormat="false" ht="16.5" hidden="false" customHeight="true" outlineLevel="0" collapsed="false">
      <c r="A389" s="18" t="str">
        <f aca="false">IF(B389="","",ROW()-2)</f>
        <v/>
      </c>
      <c r="B389" s="18" t="str">
        <f aca="false">IFERROR(INDEX(종합!B$3:B$501,MATCH(ROW()-2,종합!$AB$3:$AB$501,0))&amp;"","")</f>
        <v/>
      </c>
      <c r="C389" s="18" t="str">
        <f aca="false">IFERROR(INDEX(종합!C$3:C$501,MATCH(ROW()-2,종합!$AB$3:$AB$501,0))&amp;"","")</f>
        <v/>
      </c>
      <c r="D389" s="18" t="str">
        <f aca="false">IFERROR(INDEX(종합!D$3:D$501,MATCH(ROW()-2,종합!$AB$3:$AB$501,0))&amp;"","")</f>
        <v/>
      </c>
      <c r="E389" s="18" t="str">
        <f aca="false">IFERROR(INDEX(종합!E$3:E$501,MATCH(ROW()-2,종합!$AB$3:$AB$501,0))&amp;"","")</f>
        <v/>
      </c>
      <c r="F389" s="18" t="str">
        <f aca="false">IFERROR(INDEX(종합!F$3:F$501,MATCH(ROW()-2,종합!$AB$3:$AB$501,0))&amp;"","")</f>
        <v/>
      </c>
      <c r="G389" s="18" t="str">
        <f aca="false">IFERROR(INDEX(종합!G$3:G$501,MATCH(ROW()-2,종합!$AB$3:$AB$501,0))&amp;"","")</f>
        <v/>
      </c>
      <c r="H389" s="21" t="str">
        <f aca="false">IFERROR(INDEX(종합!H$3:H$501,MATCH(ROW()-2,종합!$AB$3:$AB$501,0))&amp;"","")</f>
        <v/>
      </c>
      <c r="I389" s="21" t="str">
        <f aca="false">IFERROR(INDEX(종합!I$3:I$501,MATCH(ROW()-2,종합!$AB$3:$AB$501,0))&amp;"","")</f>
        <v/>
      </c>
      <c r="J389" s="21" t="str">
        <f aca="false">IFERROR(INDEX(종합!J$3:J$501,MATCH(ROW()-2,종합!$AB$3:$AB$501,0))&amp;"","")</f>
        <v/>
      </c>
      <c r="K389" s="21" t="str">
        <f aca="false">IFERROR(INDEX(종합!K$3:K$501,MATCH(ROW()-2,종합!$AB$3:$AB$501,0))&amp;"","")</f>
        <v/>
      </c>
      <c r="L389" s="21" t="str">
        <f aca="false">IFERROR(INDEX(종합!L$3:L$501,MATCH(ROW()-2,종합!$AB$3:$AB$501,0))&amp;"","")</f>
        <v/>
      </c>
      <c r="M389" s="21" t="str">
        <f aca="false">IFERROR(INDEX(종합!M$3:M$501,MATCH(ROW()-2,종합!$AB$3:$AB$501,0))&amp;"","")</f>
        <v/>
      </c>
      <c r="N389" s="25" t="str">
        <f aca="false">IFERROR(INDEX(종합!N$3:N$501,MATCH(ROW()-2,종합!$AB$3:$AB$501,0))&amp;"","")</f>
        <v/>
      </c>
      <c r="O389" s="21" t="str">
        <f aca="false">IFERROR(INDEX(종합!O$3:O$501,MATCH(ROW()-2,종합!$AB$3:$AB$501,0))&amp;"","")</f>
        <v/>
      </c>
      <c r="P389" s="21" t="str">
        <f aca="false">IFERROR(INDEX(종합!P$3:P$501,MATCH(ROW()-2,종합!$AB$3:$AB$501,0))&amp;"","")</f>
        <v/>
      </c>
      <c r="Q389" s="21" t="str">
        <f aca="false">IFERROR(INDEX(종합!Q$3:Q$501,MATCH(ROW()-2,종합!$AB$3:$AB$501,0))&amp;"","")</f>
        <v/>
      </c>
      <c r="R389" s="21" t="str">
        <f aca="false">IFERROR(INDEX(종합!R$3:R$501,MATCH(ROW()-2,종합!$AB$3:$AB$501,0))&amp;"","")</f>
        <v/>
      </c>
      <c r="S389" s="21" t="str">
        <f aca="false">IFERROR(INDEX(종합!S$3:S$501,MATCH(ROW()-2,종합!$AB$3:$AB$501,0))&amp;"","")</f>
        <v/>
      </c>
      <c r="T389" s="21" t="str">
        <f aca="false">IFERROR(INDEX(종합!T$3:T$501,MATCH(ROW()-2,종합!$AB$3:$AB$501,0))&amp;"","")</f>
        <v/>
      </c>
      <c r="U389" s="21" t="str">
        <f aca="false">IFERROR(INDEX(종합!U$3:U$501,MATCH(ROW()-2,종합!$AB$3:$AB$501,0))&amp;"","")</f>
        <v/>
      </c>
      <c r="V389" s="21" t="str">
        <f aca="false">IFERROR(INDEX(종합!V$3:V$501,MATCH(ROW()-2,종합!$AB$3:$AB$501,0))&amp;"","")</f>
        <v/>
      </c>
      <c r="W389" s="21" t="str">
        <f aca="false">IFERROR(INDEX(종합!W$3:W$501,MATCH(ROW()-2,종합!$AB$3:$AB$501,0))&amp;"","")</f>
        <v/>
      </c>
      <c r="X389" s="21" t="str">
        <f aca="false">IFERROR(INDEX(종합!X$3:X$501,MATCH(ROW()-2,종합!$AB$3:$AB$501,0))&amp;"","")</f>
        <v/>
      </c>
      <c r="Y389" s="21" t="str">
        <f aca="false">IFERROR(INDEX(종합!Y$3:Y$501,MATCH(ROW()-2,종합!$AB$3:$AB$501,0))&amp;"","")</f>
        <v/>
      </c>
      <c r="Z389" s="21" t="str">
        <f aca="false">IFERROR(INDEX(종합!Z$3:Z$501,MATCH(ROW()-2,종합!$AB$3:$AB$501,0))&amp;"","")</f>
        <v/>
      </c>
    </row>
    <row r="390" customFormat="false" ht="16.5" hidden="false" customHeight="true" outlineLevel="0" collapsed="false">
      <c r="A390" s="18" t="str">
        <f aca="false">IF(B390="","",ROW()-2)</f>
        <v/>
      </c>
      <c r="B390" s="18" t="str">
        <f aca="false">IFERROR(INDEX(종합!B$3:B$501,MATCH(ROW()-2,종합!$AB$3:$AB$501,0))&amp;"","")</f>
        <v/>
      </c>
      <c r="C390" s="18" t="str">
        <f aca="false">IFERROR(INDEX(종합!C$3:C$501,MATCH(ROW()-2,종합!$AB$3:$AB$501,0))&amp;"","")</f>
        <v/>
      </c>
      <c r="D390" s="18" t="str">
        <f aca="false">IFERROR(INDEX(종합!D$3:D$501,MATCH(ROW()-2,종합!$AB$3:$AB$501,0))&amp;"","")</f>
        <v/>
      </c>
      <c r="E390" s="18" t="str">
        <f aca="false">IFERROR(INDEX(종합!E$3:E$501,MATCH(ROW()-2,종합!$AB$3:$AB$501,0))&amp;"","")</f>
        <v/>
      </c>
      <c r="F390" s="18" t="str">
        <f aca="false">IFERROR(INDEX(종합!F$3:F$501,MATCH(ROW()-2,종합!$AB$3:$AB$501,0))&amp;"","")</f>
        <v/>
      </c>
      <c r="G390" s="18" t="str">
        <f aca="false">IFERROR(INDEX(종합!G$3:G$501,MATCH(ROW()-2,종합!$AB$3:$AB$501,0))&amp;"","")</f>
        <v/>
      </c>
      <c r="H390" s="21" t="str">
        <f aca="false">IFERROR(INDEX(종합!H$3:H$501,MATCH(ROW()-2,종합!$AB$3:$AB$501,0))&amp;"","")</f>
        <v/>
      </c>
      <c r="I390" s="21" t="str">
        <f aca="false">IFERROR(INDEX(종합!I$3:I$501,MATCH(ROW()-2,종합!$AB$3:$AB$501,0))&amp;"","")</f>
        <v/>
      </c>
      <c r="J390" s="21" t="str">
        <f aca="false">IFERROR(INDEX(종합!J$3:J$501,MATCH(ROW()-2,종합!$AB$3:$AB$501,0))&amp;"","")</f>
        <v/>
      </c>
      <c r="K390" s="21" t="str">
        <f aca="false">IFERROR(INDEX(종합!K$3:K$501,MATCH(ROW()-2,종합!$AB$3:$AB$501,0))&amp;"","")</f>
        <v/>
      </c>
      <c r="L390" s="21" t="str">
        <f aca="false">IFERROR(INDEX(종합!L$3:L$501,MATCH(ROW()-2,종합!$AB$3:$AB$501,0))&amp;"","")</f>
        <v/>
      </c>
      <c r="M390" s="21" t="str">
        <f aca="false">IFERROR(INDEX(종합!M$3:M$501,MATCH(ROW()-2,종합!$AB$3:$AB$501,0))&amp;"","")</f>
        <v/>
      </c>
      <c r="N390" s="25" t="str">
        <f aca="false">IFERROR(INDEX(종합!N$3:N$501,MATCH(ROW()-2,종합!$AB$3:$AB$501,0))&amp;"","")</f>
        <v/>
      </c>
      <c r="O390" s="21" t="str">
        <f aca="false">IFERROR(INDEX(종합!O$3:O$501,MATCH(ROW()-2,종합!$AB$3:$AB$501,0))&amp;"","")</f>
        <v/>
      </c>
      <c r="P390" s="21" t="str">
        <f aca="false">IFERROR(INDEX(종합!P$3:P$501,MATCH(ROW()-2,종합!$AB$3:$AB$501,0))&amp;"","")</f>
        <v/>
      </c>
      <c r="Q390" s="21" t="str">
        <f aca="false">IFERROR(INDEX(종합!Q$3:Q$501,MATCH(ROW()-2,종합!$AB$3:$AB$501,0))&amp;"","")</f>
        <v/>
      </c>
      <c r="R390" s="21" t="str">
        <f aca="false">IFERROR(INDEX(종합!R$3:R$501,MATCH(ROW()-2,종합!$AB$3:$AB$501,0))&amp;"","")</f>
        <v/>
      </c>
      <c r="S390" s="21" t="str">
        <f aca="false">IFERROR(INDEX(종합!S$3:S$501,MATCH(ROW()-2,종합!$AB$3:$AB$501,0))&amp;"","")</f>
        <v/>
      </c>
      <c r="T390" s="21" t="str">
        <f aca="false">IFERROR(INDEX(종합!T$3:T$501,MATCH(ROW()-2,종합!$AB$3:$AB$501,0))&amp;"","")</f>
        <v/>
      </c>
      <c r="U390" s="21" t="str">
        <f aca="false">IFERROR(INDEX(종합!U$3:U$501,MATCH(ROW()-2,종합!$AB$3:$AB$501,0))&amp;"","")</f>
        <v/>
      </c>
      <c r="V390" s="21" t="str">
        <f aca="false">IFERROR(INDEX(종합!V$3:V$501,MATCH(ROW()-2,종합!$AB$3:$AB$501,0))&amp;"","")</f>
        <v/>
      </c>
      <c r="W390" s="21" t="str">
        <f aca="false">IFERROR(INDEX(종합!W$3:W$501,MATCH(ROW()-2,종합!$AB$3:$AB$501,0))&amp;"","")</f>
        <v/>
      </c>
      <c r="X390" s="21" t="str">
        <f aca="false">IFERROR(INDEX(종합!X$3:X$501,MATCH(ROW()-2,종합!$AB$3:$AB$501,0))&amp;"","")</f>
        <v/>
      </c>
      <c r="Y390" s="21" t="str">
        <f aca="false">IFERROR(INDEX(종합!Y$3:Y$501,MATCH(ROW()-2,종합!$AB$3:$AB$501,0))&amp;"","")</f>
        <v/>
      </c>
      <c r="Z390" s="21" t="str">
        <f aca="false">IFERROR(INDEX(종합!Z$3:Z$501,MATCH(ROW()-2,종합!$AB$3:$AB$501,0))&amp;"","")</f>
        <v/>
      </c>
    </row>
    <row r="391" customFormat="false" ht="16.5" hidden="false" customHeight="true" outlineLevel="0" collapsed="false">
      <c r="A391" s="18" t="str">
        <f aca="false">IF(B391="","",ROW()-2)</f>
        <v/>
      </c>
      <c r="B391" s="18" t="str">
        <f aca="false">IFERROR(INDEX(종합!B$3:B$501,MATCH(ROW()-2,종합!$AB$3:$AB$501,0))&amp;"","")</f>
        <v/>
      </c>
      <c r="C391" s="18" t="str">
        <f aca="false">IFERROR(INDEX(종합!C$3:C$501,MATCH(ROW()-2,종합!$AB$3:$AB$501,0))&amp;"","")</f>
        <v/>
      </c>
      <c r="D391" s="18" t="str">
        <f aca="false">IFERROR(INDEX(종합!D$3:D$501,MATCH(ROW()-2,종합!$AB$3:$AB$501,0))&amp;"","")</f>
        <v/>
      </c>
      <c r="E391" s="18" t="str">
        <f aca="false">IFERROR(INDEX(종합!E$3:E$501,MATCH(ROW()-2,종합!$AB$3:$AB$501,0))&amp;"","")</f>
        <v/>
      </c>
      <c r="F391" s="18" t="str">
        <f aca="false">IFERROR(INDEX(종합!F$3:F$501,MATCH(ROW()-2,종합!$AB$3:$AB$501,0))&amp;"","")</f>
        <v/>
      </c>
      <c r="G391" s="18" t="str">
        <f aca="false">IFERROR(INDEX(종합!G$3:G$501,MATCH(ROW()-2,종합!$AB$3:$AB$501,0))&amp;"","")</f>
        <v/>
      </c>
      <c r="H391" s="21" t="str">
        <f aca="false">IFERROR(INDEX(종합!H$3:H$501,MATCH(ROW()-2,종합!$AB$3:$AB$501,0))&amp;"","")</f>
        <v/>
      </c>
      <c r="I391" s="21" t="str">
        <f aca="false">IFERROR(INDEX(종합!I$3:I$501,MATCH(ROW()-2,종합!$AB$3:$AB$501,0))&amp;"","")</f>
        <v/>
      </c>
      <c r="J391" s="21" t="str">
        <f aca="false">IFERROR(INDEX(종합!J$3:J$501,MATCH(ROW()-2,종합!$AB$3:$AB$501,0))&amp;"","")</f>
        <v/>
      </c>
      <c r="K391" s="21" t="str">
        <f aca="false">IFERROR(INDEX(종합!K$3:K$501,MATCH(ROW()-2,종합!$AB$3:$AB$501,0))&amp;"","")</f>
        <v/>
      </c>
      <c r="L391" s="21" t="str">
        <f aca="false">IFERROR(INDEX(종합!L$3:L$501,MATCH(ROW()-2,종합!$AB$3:$AB$501,0))&amp;"","")</f>
        <v/>
      </c>
      <c r="M391" s="21" t="str">
        <f aca="false">IFERROR(INDEX(종합!M$3:M$501,MATCH(ROW()-2,종합!$AB$3:$AB$501,0))&amp;"","")</f>
        <v/>
      </c>
      <c r="N391" s="25" t="str">
        <f aca="false">IFERROR(INDEX(종합!N$3:N$501,MATCH(ROW()-2,종합!$AB$3:$AB$501,0))&amp;"","")</f>
        <v/>
      </c>
      <c r="O391" s="21" t="str">
        <f aca="false">IFERROR(INDEX(종합!O$3:O$501,MATCH(ROW()-2,종합!$AB$3:$AB$501,0))&amp;"","")</f>
        <v/>
      </c>
      <c r="P391" s="21" t="str">
        <f aca="false">IFERROR(INDEX(종합!P$3:P$501,MATCH(ROW()-2,종합!$AB$3:$AB$501,0))&amp;"","")</f>
        <v/>
      </c>
      <c r="Q391" s="21" t="str">
        <f aca="false">IFERROR(INDEX(종합!Q$3:Q$501,MATCH(ROW()-2,종합!$AB$3:$AB$501,0))&amp;"","")</f>
        <v/>
      </c>
      <c r="R391" s="21" t="str">
        <f aca="false">IFERROR(INDEX(종합!R$3:R$501,MATCH(ROW()-2,종합!$AB$3:$AB$501,0))&amp;"","")</f>
        <v/>
      </c>
      <c r="S391" s="21" t="str">
        <f aca="false">IFERROR(INDEX(종합!S$3:S$501,MATCH(ROW()-2,종합!$AB$3:$AB$501,0))&amp;"","")</f>
        <v/>
      </c>
      <c r="T391" s="21" t="str">
        <f aca="false">IFERROR(INDEX(종합!T$3:T$501,MATCH(ROW()-2,종합!$AB$3:$AB$501,0))&amp;"","")</f>
        <v/>
      </c>
      <c r="U391" s="21" t="str">
        <f aca="false">IFERROR(INDEX(종합!U$3:U$501,MATCH(ROW()-2,종합!$AB$3:$AB$501,0))&amp;"","")</f>
        <v/>
      </c>
      <c r="V391" s="21" t="str">
        <f aca="false">IFERROR(INDEX(종합!V$3:V$501,MATCH(ROW()-2,종합!$AB$3:$AB$501,0))&amp;"","")</f>
        <v/>
      </c>
      <c r="W391" s="21" t="str">
        <f aca="false">IFERROR(INDEX(종합!W$3:W$501,MATCH(ROW()-2,종합!$AB$3:$AB$501,0))&amp;"","")</f>
        <v/>
      </c>
      <c r="X391" s="21" t="str">
        <f aca="false">IFERROR(INDEX(종합!X$3:X$501,MATCH(ROW()-2,종합!$AB$3:$AB$501,0))&amp;"","")</f>
        <v/>
      </c>
      <c r="Y391" s="21" t="str">
        <f aca="false">IFERROR(INDEX(종합!Y$3:Y$501,MATCH(ROW()-2,종합!$AB$3:$AB$501,0))&amp;"","")</f>
        <v/>
      </c>
      <c r="Z391" s="21" t="str">
        <f aca="false">IFERROR(INDEX(종합!Z$3:Z$501,MATCH(ROW()-2,종합!$AB$3:$AB$501,0))&amp;"","")</f>
        <v/>
      </c>
    </row>
    <row r="392" customFormat="false" ht="16.5" hidden="false" customHeight="true" outlineLevel="0" collapsed="false">
      <c r="A392" s="18" t="str">
        <f aca="false">IF(B392="","",ROW()-2)</f>
        <v/>
      </c>
      <c r="B392" s="18" t="str">
        <f aca="false">IFERROR(INDEX(종합!B$3:B$501,MATCH(ROW()-2,종합!$AB$3:$AB$501,0))&amp;"","")</f>
        <v/>
      </c>
      <c r="C392" s="18" t="str">
        <f aca="false">IFERROR(INDEX(종합!C$3:C$501,MATCH(ROW()-2,종합!$AB$3:$AB$501,0))&amp;"","")</f>
        <v/>
      </c>
      <c r="D392" s="18" t="str">
        <f aca="false">IFERROR(INDEX(종합!D$3:D$501,MATCH(ROW()-2,종합!$AB$3:$AB$501,0))&amp;"","")</f>
        <v/>
      </c>
      <c r="E392" s="18" t="str">
        <f aca="false">IFERROR(INDEX(종합!E$3:E$501,MATCH(ROW()-2,종합!$AB$3:$AB$501,0))&amp;"","")</f>
        <v/>
      </c>
      <c r="F392" s="18" t="str">
        <f aca="false">IFERROR(INDEX(종합!F$3:F$501,MATCH(ROW()-2,종합!$AB$3:$AB$501,0))&amp;"","")</f>
        <v/>
      </c>
      <c r="G392" s="18" t="str">
        <f aca="false">IFERROR(INDEX(종합!G$3:G$501,MATCH(ROW()-2,종합!$AB$3:$AB$501,0))&amp;"","")</f>
        <v/>
      </c>
      <c r="H392" s="21" t="str">
        <f aca="false">IFERROR(INDEX(종합!H$3:H$501,MATCH(ROW()-2,종합!$AB$3:$AB$501,0))&amp;"","")</f>
        <v/>
      </c>
      <c r="I392" s="21" t="str">
        <f aca="false">IFERROR(INDEX(종합!I$3:I$501,MATCH(ROW()-2,종합!$AB$3:$AB$501,0))&amp;"","")</f>
        <v/>
      </c>
      <c r="J392" s="21" t="str">
        <f aca="false">IFERROR(INDEX(종합!J$3:J$501,MATCH(ROW()-2,종합!$AB$3:$AB$501,0))&amp;"","")</f>
        <v/>
      </c>
      <c r="K392" s="21" t="str">
        <f aca="false">IFERROR(INDEX(종합!K$3:K$501,MATCH(ROW()-2,종합!$AB$3:$AB$501,0))&amp;"","")</f>
        <v/>
      </c>
      <c r="L392" s="21" t="str">
        <f aca="false">IFERROR(INDEX(종합!L$3:L$501,MATCH(ROW()-2,종합!$AB$3:$AB$501,0))&amp;"","")</f>
        <v/>
      </c>
      <c r="M392" s="21" t="str">
        <f aca="false">IFERROR(INDEX(종합!M$3:M$501,MATCH(ROW()-2,종합!$AB$3:$AB$501,0))&amp;"","")</f>
        <v/>
      </c>
      <c r="N392" s="25" t="str">
        <f aca="false">IFERROR(INDEX(종합!N$3:N$501,MATCH(ROW()-2,종합!$AB$3:$AB$501,0))&amp;"","")</f>
        <v/>
      </c>
      <c r="O392" s="21" t="str">
        <f aca="false">IFERROR(INDEX(종합!O$3:O$501,MATCH(ROW()-2,종합!$AB$3:$AB$501,0))&amp;"","")</f>
        <v/>
      </c>
      <c r="P392" s="21" t="str">
        <f aca="false">IFERROR(INDEX(종합!P$3:P$501,MATCH(ROW()-2,종합!$AB$3:$AB$501,0))&amp;"","")</f>
        <v/>
      </c>
      <c r="Q392" s="21" t="str">
        <f aca="false">IFERROR(INDEX(종합!Q$3:Q$501,MATCH(ROW()-2,종합!$AB$3:$AB$501,0))&amp;"","")</f>
        <v/>
      </c>
      <c r="R392" s="21" t="str">
        <f aca="false">IFERROR(INDEX(종합!R$3:R$501,MATCH(ROW()-2,종합!$AB$3:$AB$501,0))&amp;"","")</f>
        <v/>
      </c>
      <c r="S392" s="21" t="str">
        <f aca="false">IFERROR(INDEX(종합!S$3:S$501,MATCH(ROW()-2,종합!$AB$3:$AB$501,0))&amp;"","")</f>
        <v/>
      </c>
      <c r="T392" s="21" t="str">
        <f aca="false">IFERROR(INDEX(종합!T$3:T$501,MATCH(ROW()-2,종합!$AB$3:$AB$501,0))&amp;"","")</f>
        <v/>
      </c>
      <c r="U392" s="21" t="str">
        <f aca="false">IFERROR(INDEX(종합!U$3:U$501,MATCH(ROW()-2,종합!$AB$3:$AB$501,0))&amp;"","")</f>
        <v/>
      </c>
      <c r="V392" s="21" t="str">
        <f aca="false">IFERROR(INDEX(종합!V$3:V$501,MATCH(ROW()-2,종합!$AB$3:$AB$501,0))&amp;"","")</f>
        <v/>
      </c>
      <c r="W392" s="21" t="str">
        <f aca="false">IFERROR(INDEX(종합!W$3:W$501,MATCH(ROW()-2,종합!$AB$3:$AB$501,0))&amp;"","")</f>
        <v/>
      </c>
      <c r="X392" s="21" t="str">
        <f aca="false">IFERROR(INDEX(종합!X$3:X$501,MATCH(ROW()-2,종합!$AB$3:$AB$501,0))&amp;"","")</f>
        <v/>
      </c>
      <c r="Y392" s="21" t="str">
        <f aca="false">IFERROR(INDEX(종합!Y$3:Y$501,MATCH(ROW()-2,종합!$AB$3:$AB$501,0))&amp;"","")</f>
        <v/>
      </c>
      <c r="Z392" s="21" t="str">
        <f aca="false">IFERROR(INDEX(종합!Z$3:Z$501,MATCH(ROW()-2,종합!$AB$3:$AB$501,0))&amp;"","")</f>
        <v/>
      </c>
    </row>
    <row r="393" customFormat="false" ht="16.5" hidden="false" customHeight="true" outlineLevel="0" collapsed="false">
      <c r="A393" s="18" t="str">
        <f aca="false">IF(B393="","",ROW()-2)</f>
        <v/>
      </c>
      <c r="B393" s="18" t="str">
        <f aca="false">IFERROR(INDEX(종합!B$3:B$501,MATCH(ROW()-2,종합!$AB$3:$AB$501,0))&amp;"","")</f>
        <v/>
      </c>
      <c r="C393" s="18" t="str">
        <f aca="false">IFERROR(INDEX(종합!C$3:C$501,MATCH(ROW()-2,종합!$AB$3:$AB$501,0))&amp;"","")</f>
        <v/>
      </c>
      <c r="D393" s="18" t="str">
        <f aca="false">IFERROR(INDEX(종합!D$3:D$501,MATCH(ROW()-2,종합!$AB$3:$AB$501,0))&amp;"","")</f>
        <v/>
      </c>
      <c r="E393" s="18" t="str">
        <f aca="false">IFERROR(INDEX(종합!E$3:E$501,MATCH(ROW()-2,종합!$AB$3:$AB$501,0))&amp;"","")</f>
        <v/>
      </c>
      <c r="F393" s="18" t="str">
        <f aca="false">IFERROR(INDEX(종합!F$3:F$501,MATCH(ROW()-2,종합!$AB$3:$AB$501,0))&amp;"","")</f>
        <v/>
      </c>
      <c r="G393" s="18" t="str">
        <f aca="false">IFERROR(INDEX(종합!G$3:G$501,MATCH(ROW()-2,종합!$AB$3:$AB$501,0))&amp;"","")</f>
        <v/>
      </c>
      <c r="H393" s="21" t="str">
        <f aca="false">IFERROR(INDEX(종합!H$3:H$501,MATCH(ROW()-2,종합!$AB$3:$AB$501,0))&amp;"","")</f>
        <v/>
      </c>
      <c r="I393" s="21" t="str">
        <f aca="false">IFERROR(INDEX(종합!I$3:I$501,MATCH(ROW()-2,종합!$AB$3:$AB$501,0))&amp;"","")</f>
        <v/>
      </c>
      <c r="J393" s="21" t="str">
        <f aca="false">IFERROR(INDEX(종합!J$3:J$501,MATCH(ROW()-2,종합!$AB$3:$AB$501,0))&amp;"","")</f>
        <v/>
      </c>
      <c r="K393" s="21" t="str">
        <f aca="false">IFERROR(INDEX(종합!K$3:K$501,MATCH(ROW()-2,종합!$AB$3:$AB$501,0))&amp;"","")</f>
        <v/>
      </c>
      <c r="L393" s="21" t="str">
        <f aca="false">IFERROR(INDEX(종합!L$3:L$501,MATCH(ROW()-2,종합!$AB$3:$AB$501,0))&amp;"","")</f>
        <v/>
      </c>
      <c r="M393" s="21" t="str">
        <f aca="false">IFERROR(INDEX(종합!M$3:M$501,MATCH(ROW()-2,종합!$AB$3:$AB$501,0))&amp;"","")</f>
        <v/>
      </c>
      <c r="N393" s="25" t="str">
        <f aca="false">IFERROR(INDEX(종합!N$3:N$501,MATCH(ROW()-2,종합!$AB$3:$AB$501,0))&amp;"","")</f>
        <v/>
      </c>
      <c r="O393" s="21" t="str">
        <f aca="false">IFERROR(INDEX(종합!O$3:O$501,MATCH(ROW()-2,종합!$AB$3:$AB$501,0))&amp;"","")</f>
        <v/>
      </c>
      <c r="P393" s="21" t="str">
        <f aca="false">IFERROR(INDEX(종합!P$3:P$501,MATCH(ROW()-2,종합!$AB$3:$AB$501,0))&amp;"","")</f>
        <v/>
      </c>
      <c r="Q393" s="21" t="str">
        <f aca="false">IFERROR(INDEX(종합!Q$3:Q$501,MATCH(ROW()-2,종합!$AB$3:$AB$501,0))&amp;"","")</f>
        <v/>
      </c>
      <c r="R393" s="21" t="str">
        <f aca="false">IFERROR(INDEX(종합!R$3:R$501,MATCH(ROW()-2,종합!$AB$3:$AB$501,0))&amp;"","")</f>
        <v/>
      </c>
      <c r="S393" s="21" t="str">
        <f aca="false">IFERROR(INDEX(종합!S$3:S$501,MATCH(ROW()-2,종합!$AB$3:$AB$501,0))&amp;"","")</f>
        <v/>
      </c>
      <c r="T393" s="21" t="str">
        <f aca="false">IFERROR(INDEX(종합!T$3:T$501,MATCH(ROW()-2,종합!$AB$3:$AB$501,0))&amp;"","")</f>
        <v/>
      </c>
      <c r="U393" s="21" t="str">
        <f aca="false">IFERROR(INDEX(종합!U$3:U$501,MATCH(ROW()-2,종합!$AB$3:$AB$501,0))&amp;"","")</f>
        <v/>
      </c>
      <c r="V393" s="21" t="str">
        <f aca="false">IFERROR(INDEX(종합!V$3:V$501,MATCH(ROW()-2,종합!$AB$3:$AB$501,0))&amp;"","")</f>
        <v/>
      </c>
      <c r="W393" s="21" t="str">
        <f aca="false">IFERROR(INDEX(종합!W$3:W$501,MATCH(ROW()-2,종합!$AB$3:$AB$501,0))&amp;"","")</f>
        <v/>
      </c>
      <c r="X393" s="21" t="str">
        <f aca="false">IFERROR(INDEX(종합!X$3:X$501,MATCH(ROW()-2,종합!$AB$3:$AB$501,0))&amp;"","")</f>
        <v/>
      </c>
      <c r="Y393" s="21" t="str">
        <f aca="false">IFERROR(INDEX(종합!Y$3:Y$501,MATCH(ROW()-2,종합!$AB$3:$AB$501,0))&amp;"","")</f>
        <v/>
      </c>
      <c r="Z393" s="21" t="str">
        <f aca="false">IFERROR(INDEX(종합!Z$3:Z$501,MATCH(ROW()-2,종합!$AB$3:$AB$501,0))&amp;"","")</f>
        <v/>
      </c>
    </row>
    <row r="394" customFormat="false" ht="16.5" hidden="false" customHeight="true" outlineLevel="0" collapsed="false">
      <c r="A394" s="18" t="str">
        <f aca="false">IF(B394="","",ROW()-2)</f>
        <v/>
      </c>
      <c r="B394" s="18" t="str">
        <f aca="false">IFERROR(INDEX(종합!B$3:B$501,MATCH(ROW()-2,종합!$AB$3:$AB$501,0))&amp;"","")</f>
        <v/>
      </c>
      <c r="C394" s="18" t="str">
        <f aca="false">IFERROR(INDEX(종합!C$3:C$501,MATCH(ROW()-2,종합!$AB$3:$AB$501,0))&amp;"","")</f>
        <v/>
      </c>
      <c r="D394" s="18" t="str">
        <f aca="false">IFERROR(INDEX(종합!D$3:D$501,MATCH(ROW()-2,종합!$AB$3:$AB$501,0))&amp;"","")</f>
        <v/>
      </c>
      <c r="E394" s="18" t="str">
        <f aca="false">IFERROR(INDEX(종합!E$3:E$501,MATCH(ROW()-2,종합!$AB$3:$AB$501,0))&amp;"","")</f>
        <v/>
      </c>
      <c r="F394" s="18" t="str">
        <f aca="false">IFERROR(INDEX(종합!F$3:F$501,MATCH(ROW()-2,종합!$AB$3:$AB$501,0))&amp;"","")</f>
        <v/>
      </c>
      <c r="G394" s="18" t="str">
        <f aca="false">IFERROR(INDEX(종합!G$3:G$501,MATCH(ROW()-2,종합!$AB$3:$AB$501,0))&amp;"","")</f>
        <v/>
      </c>
      <c r="H394" s="21" t="str">
        <f aca="false">IFERROR(INDEX(종합!H$3:H$501,MATCH(ROW()-2,종합!$AB$3:$AB$501,0))&amp;"","")</f>
        <v/>
      </c>
      <c r="I394" s="21" t="str">
        <f aca="false">IFERROR(INDEX(종합!I$3:I$501,MATCH(ROW()-2,종합!$AB$3:$AB$501,0))&amp;"","")</f>
        <v/>
      </c>
      <c r="J394" s="21" t="str">
        <f aca="false">IFERROR(INDEX(종합!J$3:J$501,MATCH(ROW()-2,종합!$AB$3:$AB$501,0))&amp;"","")</f>
        <v/>
      </c>
      <c r="K394" s="21" t="str">
        <f aca="false">IFERROR(INDEX(종합!K$3:K$501,MATCH(ROW()-2,종합!$AB$3:$AB$501,0))&amp;"","")</f>
        <v/>
      </c>
      <c r="L394" s="21" t="str">
        <f aca="false">IFERROR(INDEX(종합!L$3:L$501,MATCH(ROW()-2,종합!$AB$3:$AB$501,0))&amp;"","")</f>
        <v/>
      </c>
      <c r="M394" s="21" t="str">
        <f aca="false">IFERROR(INDEX(종합!M$3:M$501,MATCH(ROW()-2,종합!$AB$3:$AB$501,0))&amp;"","")</f>
        <v/>
      </c>
      <c r="N394" s="25" t="str">
        <f aca="false">IFERROR(INDEX(종합!N$3:N$501,MATCH(ROW()-2,종합!$AB$3:$AB$501,0))&amp;"","")</f>
        <v/>
      </c>
      <c r="O394" s="21" t="str">
        <f aca="false">IFERROR(INDEX(종합!O$3:O$501,MATCH(ROW()-2,종합!$AB$3:$AB$501,0))&amp;"","")</f>
        <v/>
      </c>
      <c r="P394" s="21" t="str">
        <f aca="false">IFERROR(INDEX(종합!P$3:P$501,MATCH(ROW()-2,종합!$AB$3:$AB$501,0))&amp;"","")</f>
        <v/>
      </c>
      <c r="Q394" s="21" t="str">
        <f aca="false">IFERROR(INDEX(종합!Q$3:Q$501,MATCH(ROW()-2,종합!$AB$3:$AB$501,0))&amp;"","")</f>
        <v/>
      </c>
      <c r="R394" s="21" t="str">
        <f aca="false">IFERROR(INDEX(종합!R$3:R$501,MATCH(ROW()-2,종합!$AB$3:$AB$501,0))&amp;"","")</f>
        <v/>
      </c>
      <c r="S394" s="21" t="str">
        <f aca="false">IFERROR(INDEX(종합!S$3:S$501,MATCH(ROW()-2,종합!$AB$3:$AB$501,0))&amp;"","")</f>
        <v/>
      </c>
      <c r="T394" s="21" t="str">
        <f aca="false">IFERROR(INDEX(종합!T$3:T$501,MATCH(ROW()-2,종합!$AB$3:$AB$501,0))&amp;"","")</f>
        <v/>
      </c>
      <c r="U394" s="21" t="str">
        <f aca="false">IFERROR(INDEX(종합!U$3:U$501,MATCH(ROW()-2,종합!$AB$3:$AB$501,0))&amp;"","")</f>
        <v/>
      </c>
      <c r="V394" s="21" t="str">
        <f aca="false">IFERROR(INDEX(종합!V$3:V$501,MATCH(ROW()-2,종합!$AB$3:$AB$501,0))&amp;"","")</f>
        <v/>
      </c>
      <c r="W394" s="21" t="str">
        <f aca="false">IFERROR(INDEX(종합!W$3:W$501,MATCH(ROW()-2,종합!$AB$3:$AB$501,0))&amp;"","")</f>
        <v/>
      </c>
      <c r="X394" s="21" t="str">
        <f aca="false">IFERROR(INDEX(종합!X$3:X$501,MATCH(ROW()-2,종합!$AB$3:$AB$501,0))&amp;"","")</f>
        <v/>
      </c>
      <c r="Y394" s="21" t="str">
        <f aca="false">IFERROR(INDEX(종합!Y$3:Y$501,MATCH(ROW()-2,종합!$AB$3:$AB$501,0))&amp;"","")</f>
        <v/>
      </c>
      <c r="Z394" s="21" t="str">
        <f aca="false">IFERROR(INDEX(종합!Z$3:Z$501,MATCH(ROW()-2,종합!$AB$3:$AB$501,0))&amp;"","")</f>
        <v/>
      </c>
    </row>
    <row r="395" customFormat="false" ht="16.5" hidden="false" customHeight="true" outlineLevel="0" collapsed="false">
      <c r="A395" s="18" t="str">
        <f aca="false">IF(B395="","",ROW()-2)</f>
        <v/>
      </c>
      <c r="B395" s="18" t="str">
        <f aca="false">IFERROR(INDEX(종합!B$3:B$501,MATCH(ROW()-2,종합!$AB$3:$AB$501,0))&amp;"","")</f>
        <v/>
      </c>
      <c r="C395" s="18" t="str">
        <f aca="false">IFERROR(INDEX(종합!C$3:C$501,MATCH(ROW()-2,종합!$AB$3:$AB$501,0))&amp;"","")</f>
        <v/>
      </c>
      <c r="D395" s="18" t="str">
        <f aca="false">IFERROR(INDEX(종합!D$3:D$501,MATCH(ROW()-2,종합!$AB$3:$AB$501,0))&amp;"","")</f>
        <v/>
      </c>
      <c r="E395" s="18" t="str">
        <f aca="false">IFERROR(INDEX(종합!E$3:E$501,MATCH(ROW()-2,종합!$AB$3:$AB$501,0))&amp;"","")</f>
        <v/>
      </c>
      <c r="F395" s="18" t="str">
        <f aca="false">IFERROR(INDEX(종합!F$3:F$501,MATCH(ROW()-2,종합!$AB$3:$AB$501,0))&amp;"","")</f>
        <v/>
      </c>
      <c r="G395" s="18" t="str">
        <f aca="false">IFERROR(INDEX(종합!G$3:G$501,MATCH(ROW()-2,종합!$AB$3:$AB$501,0))&amp;"","")</f>
        <v/>
      </c>
      <c r="H395" s="21" t="str">
        <f aca="false">IFERROR(INDEX(종합!H$3:H$501,MATCH(ROW()-2,종합!$AB$3:$AB$501,0))&amp;"","")</f>
        <v/>
      </c>
      <c r="I395" s="21" t="str">
        <f aca="false">IFERROR(INDEX(종합!I$3:I$501,MATCH(ROW()-2,종합!$AB$3:$AB$501,0))&amp;"","")</f>
        <v/>
      </c>
      <c r="J395" s="21" t="str">
        <f aca="false">IFERROR(INDEX(종합!J$3:J$501,MATCH(ROW()-2,종합!$AB$3:$AB$501,0))&amp;"","")</f>
        <v/>
      </c>
      <c r="K395" s="21" t="str">
        <f aca="false">IFERROR(INDEX(종합!K$3:K$501,MATCH(ROW()-2,종합!$AB$3:$AB$501,0))&amp;"","")</f>
        <v/>
      </c>
      <c r="L395" s="21" t="str">
        <f aca="false">IFERROR(INDEX(종합!L$3:L$501,MATCH(ROW()-2,종합!$AB$3:$AB$501,0))&amp;"","")</f>
        <v/>
      </c>
      <c r="M395" s="21" t="str">
        <f aca="false">IFERROR(INDEX(종합!M$3:M$501,MATCH(ROW()-2,종합!$AB$3:$AB$501,0))&amp;"","")</f>
        <v/>
      </c>
      <c r="N395" s="25" t="str">
        <f aca="false">IFERROR(INDEX(종합!N$3:N$501,MATCH(ROW()-2,종합!$AB$3:$AB$501,0))&amp;"","")</f>
        <v/>
      </c>
      <c r="O395" s="21" t="str">
        <f aca="false">IFERROR(INDEX(종합!O$3:O$501,MATCH(ROW()-2,종합!$AB$3:$AB$501,0))&amp;"","")</f>
        <v/>
      </c>
      <c r="P395" s="21" t="str">
        <f aca="false">IFERROR(INDEX(종합!P$3:P$501,MATCH(ROW()-2,종합!$AB$3:$AB$501,0))&amp;"","")</f>
        <v/>
      </c>
      <c r="Q395" s="21" t="str">
        <f aca="false">IFERROR(INDEX(종합!Q$3:Q$501,MATCH(ROW()-2,종합!$AB$3:$AB$501,0))&amp;"","")</f>
        <v/>
      </c>
      <c r="R395" s="21" t="str">
        <f aca="false">IFERROR(INDEX(종합!R$3:R$501,MATCH(ROW()-2,종합!$AB$3:$AB$501,0))&amp;"","")</f>
        <v/>
      </c>
      <c r="S395" s="21" t="str">
        <f aca="false">IFERROR(INDEX(종합!S$3:S$501,MATCH(ROW()-2,종합!$AB$3:$AB$501,0))&amp;"","")</f>
        <v/>
      </c>
      <c r="T395" s="21" t="str">
        <f aca="false">IFERROR(INDEX(종합!T$3:T$501,MATCH(ROW()-2,종합!$AB$3:$AB$501,0))&amp;"","")</f>
        <v/>
      </c>
      <c r="U395" s="21" t="str">
        <f aca="false">IFERROR(INDEX(종합!U$3:U$501,MATCH(ROW()-2,종합!$AB$3:$AB$501,0))&amp;"","")</f>
        <v/>
      </c>
      <c r="V395" s="21" t="str">
        <f aca="false">IFERROR(INDEX(종합!V$3:V$501,MATCH(ROW()-2,종합!$AB$3:$AB$501,0))&amp;"","")</f>
        <v/>
      </c>
      <c r="W395" s="21" t="str">
        <f aca="false">IFERROR(INDEX(종합!W$3:W$501,MATCH(ROW()-2,종합!$AB$3:$AB$501,0))&amp;"","")</f>
        <v/>
      </c>
      <c r="X395" s="21" t="str">
        <f aca="false">IFERROR(INDEX(종합!X$3:X$501,MATCH(ROW()-2,종합!$AB$3:$AB$501,0))&amp;"","")</f>
        <v/>
      </c>
      <c r="Y395" s="21" t="str">
        <f aca="false">IFERROR(INDEX(종합!Y$3:Y$501,MATCH(ROW()-2,종합!$AB$3:$AB$501,0))&amp;"","")</f>
        <v/>
      </c>
      <c r="Z395" s="21" t="str">
        <f aca="false">IFERROR(INDEX(종합!Z$3:Z$501,MATCH(ROW()-2,종합!$AB$3:$AB$501,0))&amp;"","")</f>
        <v/>
      </c>
    </row>
    <row r="396" customFormat="false" ht="16.5" hidden="false" customHeight="true" outlineLevel="0" collapsed="false">
      <c r="A396" s="18" t="str">
        <f aca="false">IF(B396="","",ROW()-2)</f>
        <v/>
      </c>
      <c r="B396" s="18" t="str">
        <f aca="false">IFERROR(INDEX(종합!B$3:B$501,MATCH(ROW()-2,종합!$AB$3:$AB$501,0))&amp;"","")</f>
        <v/>
      </c>
      <c r="C396" s="18" t="str">
        <f aca="false">IFERROR(INDEX(종합!C$3:C$501,MATCH(ROW()-2,종합!$AB$3:$AB$501,0))&amp;"","")</f>
        <v/>
      </c>
      <c r="D396" s="18" t="str">
        <f aca="false">IFERROR(INDEX(종합!D$3:D$501,MATCH(ROW()-2,종합!$AB$3:$AB$501,0))&amp;"","")</f>
        <v/>
      </c>
      <c r="E396" s="18" t="str">
        <f aca="false">IFERROR(INDEX(종합!E$3:E$501,MATCH(ROW()-2,종합!$AB$3:$AB$501,0))&amp;"","")</f>
        <v/>
      </c>
      <c r="F396" s="18" t="str">
        <f aca="false">IFERROR(INDEX(종합!F$3:F$501,MATCH(ROW()-2,종합!$AB$3:$AB$501,0))&amp;"","")</f>
        <v/>
      </c>
      <c r="G396" s="18" t="str">
        <f aca="false">IFERROR(INDEX(종합!G$3:G$501,MATCH(ROW()-2,종합!$AB$3:$AB$501,0))&amp;"","")</f>
        <v/>
      </c>
      <c r="H396" s="21" t="str">
        <f aca="false">IFERROR(INDEX(종합!H$3:H$501,MATCH(ROW()-2,종합!$AB$3:$AB$501,0))&amp;"","")</f>
        <v/>
      </c>
      <c r="I396" s="21" t="str">
        <f aca="false">IFERROR(INDEX(종합!I$3:I$501,MATCH(ROW()-2,종합!$AB$3:$AB$501,0))&amp;"","")</f>
        <v/>
      </c>
      <c r="J396" s="21" t="str">
        <f aca="false">IFERROR(INDEX(종합!J$3:J$501,MATCH(ROW()-2,종합!$AB$3:$AB$501,0))&amp;"","")</f>
        <v/>
      </c>
      <c r="K396" s="21" t="str">
        <f aca="false">IFERROR(INDEX(종합!K$3:K$501,MATCH(ROW()-2,종합!$AB$3:$AB$501,0))&amp;"","")</f>
        <v/>
      </c>
      <c r="L396" s="21" t="str">
        <f aca="false">IFERROR(INDEX(종합!L$3:L$501,MATCH(ROW()-2,종합!$AB$3:$AB$501,0))&amp;"","")</f>
        <v/>
      </c>
      <c r="M396" s="21" t="str">
        <f aca="false">IFERROR(INDEX(종합!M$3:M$501,MATCH(ROW()-2,종합!$AB$3:$AB$501,0))&amp;"","")</f>
        <v/>
      </c>
      <c r="N396" s="25" t="str">
        <f aca="false">IFERROR(INDEX(종합!N$3:N$501,MATCH(ROW()-2,종합!$AB$3:$AB$501,0))&amp;"","")</f>
        <v/>
      </c>
      <c r="O396" s="21" t="str">
        <f aca="false">IFERROR(INDEX(종합!O$3:O$501,MATCH(ROW()-2,종합!$AB$3:$AB$501,0))&amp;"","")</f>
        <v/>
      </c>
      <c r="P396" s="21" t="str">
        <f aca="false">IFERROR(INDEX(종합!P$3:P$501,MATCH(ROW()-2,종합!$AB$3:$AB$501,0))&amp;"","")</f>
        <v/>
      </c>
      <c r="Q396" s="21" t="str">
        <f aca="false">IFERROR(INDEX(종합!Q$3:Q$501,MATCH(ROW()-2,종합!$AB$3:$AB$501,0))&amp;"","")</f>
        <v/>
      </c>
      <c r="R396" s="21" t="str">
        <f aca="false">IFERROR(INDEX(종합!R$3:R$501,MATCH(ROW()-2,종합!$AB$3:$AB$501,0))&amp;"","")</f>
        <v/>
      </c>
      <c r="S396" s="21" t="str">
        <f aca="false">IFERROR(INDEX(종합!S$3:S$501,MATCH(ROW()-2,종합!$AB$3:$AB$501,0))&amp;"","")</f>
        <v/>
      </c>
      <c r="T396" s="21" t="str">
        <f aca="false">IFERROR(INDEX(종합!T$3:T$501,MATCH(ROW()-2,종합!$AB$3:$AB$501,0))&amp;"","")</f>
        <v/>
      </c>
      <c r="U396" s="21" t="str">
        <f aca="false">IFERROR(INDEX(종합!U$3:U$501,MATCH(ROW()-2,종합!$AB$3:$AB$501,0))&amp;"","")</f>
        <v/>
      </c>
      <c r="V396" s="21" t="str">
        <f aca="false">IFERROR(INDEX(종합!V$3:V$501,MATCH(ROW()-2,종합!$AB$3:$AB$501,0))&amp;"","")</f>
        <v/>
      </c>
      <c r="W396" s="21" t="str">
        <f aca="false">IFERROR(INDEX(종합!W$3:W$501,MATCH(ROW()-2,종합!$AB$3:$AB$501,0))&amp;"","")</f>
        <v/>
      </c>
      <c r="X396" s="21" t="str">
        <f aca="false">IFERROR(INDEX(종합!X$3:X$501,MATCH(ROW()-2,종합!$AB$3:$AB$501,0))&amp;"","")</f>
        <v/>
      </c>
      <c r="Y396" s="21" t="str">
        <f aca="false">IFERROR(INDEX(종합!Y$3:Y$501,MATCH(ROW()-2,종합!$AB$3:$AB$501,0))&amp;"","")</f>
        <v/>
      </c>
      <c r="Z396" s="21" t="str">
        <f aca="false">IFERROR(INDEX(종합!Z$3:Z$501,MATCH(ROW()-2,종합!$AB$3:$AB$501,0))&amp;"","")</f>
        <v/>
      </c>
    </row>
    <row r="397" customFormat="false" ht="16.5" hidden="false" customHeight="true" outlineLevel="0" collapsed="false">
      <c r="A397" s="18" t="str">
        <f aca="false">IF(B397="","",ROW()-2)</f>
        <v/>
      </c>
      <c r="B397" s="18" t="str">
        <f aca="false">IFERROR(INDEX(종합!B$3:B$501,MATCH(ROW()-2,종합!$AB$3:$AB$501,0))&amp;"","")</f>
        <v/>
      </c>
      <c r="C397" s="18" t="str">
        <f aca="false">IFERROR(INDEX(종합!C$3:C$501,MATCH(ROW()-2,종합!$AB$3:$AB$501,0))&amp;"","")</f>
        <v/>
      </c>
      <c r="D397" s="18" t="str">
        <f aca="false">IFERROR(INDEX(종합!D$3:D$501,MATCH(ROW()-2,종합!$AB$3:$AB$501,0))&amp;"","")</f>
        <v/>
      </c>
      <c r="E397" s="18" t="str">
        <f aca="false">IFERROR(INDEX(종합!E$3:E$501,MATCH(ROW()-2,종합!$AB$3:$AB$501,0))&amp;"","")</f>
        <v/>
      </c>
      <c r="F397" s="18" t="str">
        <f aca="false">IFERROR(INDEX(종합!F$3:F$501,MATCH(ROW()-2,종합!$AB$3:$AB$501,0))&amp;"","")</f>
        <v/>
      </c>
      <c r="G397" s="18" t="str">
        <f aca="false">IFERROR(INDEX(종합!G$3:G$501,MATCH(ROW()-2,종합!$AB$3:$AB$501,0))&amp;"","")</f>
        <v/>
      </c>
      <c r="H397" s="21" t="str">
        <f aca="false">IFERROR(INDEX(종합!H$3:H$501,MATCH(ROW()-2,종합!$AB$3:$AB$501,0))&amp;"","")</f>
        <v/>
      </c>
      <c r="I397" s="21" t="str">
        <f aca="false">IFERROR(INDEX(종합!I$3:I$501,MATCH(ROW()-2,종합!$AB$3:$AB$501,0))&amp;"","")</f>
        <v/>
      </c>
      <c r="J397" s="21" t="str">
        <f aca="false">IFERROR(INDEX(종합!J$3:J$501,MATCH(ROW()-2,종합!$AB$3:$AB$501,0))&amp;"","")</f>
        <v/>
      </c>
      <c r="K397" s="21" t="str">
        <f aca="false">IFERROR(INDEX(종합!K$3:K$501,MATCH(ROW()-2,종합!$AB$3:$AB$501,0))&amp;"","")</f>
        <v/>
      </c>
      <c r="L397" s="21" t="str">
        <f aca="false">IFERROR(INDEX(종합!L$3:L$501,MATCH(ROW()-2,종합!$AB$3:$AB$501,0))&amp;"","")</f>
        <v/>
      </c>
      <c r="M397" s="21" t="str">
        <f aca="false">IFERROR(INDEX(종합!M$3:M$501,MATCH(ROW()-2,종합!$AB$3:$AB$501,0))&amp;"","")</f>
        <v/>
      </c>
      <c r="N397" s="25" t="str">
        <f aca="false">IFERROR(INDEX(종합!N$3:N$501,MATCH(ROW()-2,종합!$AB$3:$AB$501,0))&amp;"","")</f>
        <v/>
      </c>
      <c r="O397" s="21" t="str">
        <f aca="false">IFERROR(INDEX(종합!O$3:O$501,MATCH(ROW()-2,종합!$AB$3:$AB$501,0))&amp;"","")</f>
        <v/>
      </c>
      <c r="P397" s="21" t="str">
        <f aca="false">IFERROR(INDEX(종합!P$3:P$501,MATCH(ROW()-2,종합!$AB$3:$AB$501,0))&amp;"","")</f>
        <v/>
      </c>
      <c r="Q397" s="21" t="str">
        <f aca="false">IFERROR(INDEX(종합!Q$3:Q$501,MATCH(ROW()-2,종합!$AB$3:$AB$501,0))&amp;"","")</f>
        <v/>
      </c>
      <c r="R397" s="21" t="str">
        <f aca="false">IFERROR(INDEX(종합!R$3:R$501,MATCH(ROW()-2,종합!$AB$3:$AB$501,0))&amp;"","")</f>
        <v/>
      </c>
      <c r="S397" s="21" t="str">
        <f aca="false">IFERROR(INDEX(종합!S$3:S$501,MATCH(ROW()-2,종합!$AB$3:$AB$501,0))&amp;"","")</f>
        <v/>
      </c>
      <c r="T397" s="21" t="str">
        <f aca="false">IFERROR(INDEX(종합!T$3:T$501,MATCH(ROW()-2,종합!$AB$3:$AB$501,0))&amp;"","")</f>
        <v/>
      </c>
      <c r="U397" s="21" t="str">
        <f aca="false">IFERROR(INDEX(종합!U$3:U$501,MATCH(ROW()-2,종합!$AB$3:$AB$501,0))&amp;"","")</f>
        <v/>
      </c>
      <c r="V397" s="21" t="str">
        <f aca="false">IFERROR(INDEX(종합!V$3:V$501,MATCH(ROW()-2,종합!$AB$3:$AB$501,0))&amp;"","")</f>
        <v/>
      </c>
      <c r="W397" s="21" t="str">
        <f aca="false">IFERROR(INDEX(종합!W$3:W$501,MATCH(ROW()-2,종합!$AB$3:$AB$501,0))&amp;"","")</f>
        <v/>
      </c>
      <c r="X397" s="21" t="str">
        <f aca="false">IFERROR(INDEX(종합!X$3:X$501,MATCH(ROW()-2,종합!$AB$3:$AB$501,0))&amp;"","")</f>
        <v/>
      </c>
      <c r="Y397" s="21" t="str">
        <f aca="false">IFERROR(INDEX(종합!Y$3:Y$501,MATCH(ROW()-2,종합!$AB$3:$AB$501,0))&amp;"","")</f>
        <v/>
      </c>
      <c r="Z397" s="21" t="str">
        <f aca="false">IFERROR(INDEX(종합!Z$3:Z$501,MATCH(ROW()-2,종합!$AB$3:$AB$501,0))&amp;"","")</f>
        <v/>
      </c>
    </row>
    <row r="398" customFormat="false" ht="16.5" hidden="false" customHeight="true" outlineLevel="0" collapsed="false">
      <c r="A398" s="18" t="str">
        <f aca="false">IF(B398="","",ROW()-2)</f>
        <v/>
      </c>
      <c r="B398" s="18" t="str">
        <f aca="false">IFERROR(INDEX(종합!B$3:B$501,MATCH(ROW()-2,종합!$AB$3:$AB$501,0))&amp;"","")</f>
        <v/>
      </c>
      <c r="C398" s="18" t="str">
        <f aca="false">IFERROR(INDEX(종합!C$3:C$501,MATCH(ROW()-2,종합!$AB$3:$AB$501,0))&amp;"","")</f>
        <v/>
      </c>
      <c r="D398" s="18" t="str">
        <f aca="false">IFERROR(INDEX(종합!D$3:D$501,MATCH(ROW()-2,종합!$AB$3:$AB$501,0))&amp;"","")</f>
        <v/>
      </c>
      <c r="E398" s="18" t="str">
        <f aca="false">IFERROR(INDEX(종합!E$3:E$501,MATCH(ROW()-2,종합!$AB$3:$AB$501,0))&amp;"","")</f>
        <v/>
      </c>
      <c r="F398" s="18" t="str">
        <f aca="false">IFERROR(INDEX(종합!F$3:F$501,MATCH(ROW()-2,종합!$AB$3:$AB$501,0))&amp;"","")</f>
        <v/>
      </c>
      <c r="G398" s="18" t="str">
        <f aca="false">IFERROR(INDEX(종합!G$3:G$501,MATCH(ROW()-2,종합!$AB$3:$AB$501,0))&amp;"","")</f>
        <v/>
      </c>
      <c r="H398" s="21" t="str">
        <f aca="false">IFERROR(INDEX(종합!H$3:H$501,MATCH(ROW()-2,종합!$AB$3:$AB$501,0))&amp;"","")</f>
        <v/>
      </c>
      <c r="I398" s="21" t="str">
        <f aca="false">IFERROR(INDEX(종합!I$3:I$501,MATCH(ROW()-2,종합!$AB$3:$AB$501,0))&amp;"","")</f>
        <v/>
      </c>
      <c r="J398" s="21" t="str">
        <f aca="false">IFERROR(INDEX(종합!J$3:J$501,MATCH(ROW()-2,종합!$AB$3:$AB$501,0))&amp;"","")</f>
        <v/>
      </c>
      <c r="K398" s="21" t="str">
        <f aca="false">IFERROR(INDEX(종합!K$3:K$501,MATCH(ROW()-2,종합!$AB$3:$AB$501,0))&amp;"","")</f>
        <v/>
      </c>
      <c r="L398" s="21" t="str">
        <f aca="false">IFERROR(INDEX(종합!L$3:L$501,MATCH(ROW()-2,종합!$AB$3:$AB$501,0))&amp;"","")</f>
        <v/>
      </c>
      <c r="M398" s="21" t="str">
        <f aca="false">IFERROR(INDEX(종합!M$3:M$501,MATCH(ROW()-2,종합!$AB$3:$AB$501,0))&amp;"","")</f>
        <v/>
      </c>
      <c r="N398" s="25" t="str">
        <f aca="false">IFERROR(INDEX(종합!N$3:N$501,MATCH(ROW()-2,종합!$AB$3:$AB$501,0))&amp;"","")</f>
        <v/>
      </c>
      <c r="O398" s="21" t="str">
        <f aca="false">IFERROR(INDEX(종합!O$3:O$501,MATCH(ROW()-2,종합!$AB$3:$AB$501,0))&amp;"","")</f>
        <v/>
      </c>
      <c r="P398" s="21" t="str">
        <f aca="false">IFERROR(INDEX(종합!P$3:P$501,MATCH(ROW()-2,종합!$AB$3:$AB$501,0))&amp;"","")</f>
        <v/>
      </c>
      <c r="Q398" s="21" t="str">
        <f aca="false">IFERROR(INDEX(종합!Q$3:Q$501,MATCH(ROW()-2,종합!$AB$3:$AB$501,0))&amp;"","")</f>
        <v/>
      </c>
      <c r="R398" s="21" t="str">
        <f aca="false">IFERROR(INDEX(종합!R$3:R$501,MATCH(ROW()-2,종합!$AB$3:$AB$501,0))&amp;"","")</f>
        <v/>
      </c>
      <c r="S398" s="21" t="str">
        <f aca="false">IFERROR(INDEX(종합!S$3:S$501,MATCH(ROW()-2,종합!$AB$3:$AB$501,0))&amp;"","")</f>
        <v/>
      </c>
      <c r="T398" s="21" t="str">
        <f aca="false">IFERROR(INDEX(종합!T$3:T$501,MATCH(ROW()-2,종합!$AB$3:$AB$501,0))&amp;"","")</f>
        <v/>
      </c>
      <c r="U398" s="21" t="str">
        <f aca="false">IFERROR(INDEX(종합!U$3:U$501,MATCH(ROW()-2,종합!$AB$3:$AB$501,0))&amp;"","")</f>
        <v/>
      </c>
      <c r="V398" s="21" t="str">
        <f aca="false">IFERROR(INDEX(종합!V$3:V$501,MATCH(ROW()-2,종합!$AB$3:$AB$501,0))&amp;"","")</f>
        <v/>
      </c>
      <c r="W398" s="21" t="str">
        <f aca="false">IFERROR(INDEX(종합!W$3:W$501,MATCH(ROW()-2,종합!$AB$3:$AB$501,0))&amp;"","")</f>
        <v/>
      </c>
      <c r="X398" s="21" t="str">
        <f aca="false">IFERROR(INDEX(종합!X$3:X$501,MATCH(ROW()-2,종합!$AB$3:$AB$501,0))&amp;"","")</f>
        <v/>
      </c>
      <c r="Y398" s="21" t="str">
        <f aca="false">IFERROR(INDEX(종합!Y$3:Y$501,MATCH(ROW()-2,종합!$AB$3:$AB$501,0))&amp;"","")</f>
        <v/>
      </c>
      <c r="Z398" s="21" t="str">
        <f aca="false">IFERROR(INDEX(종합!Z$3:Z$501,MATCH(ROW()-2,종합!$AB$3:$AB$501,0))&amp;"","")</f>
        <v/>
      </c>
    </row>
    <row r="399" customFormat="false" ht="16.5" hidden="false" customHeight="true" outlineLevel="0" collapsed="false">
      <c r="A399" s="18" t="str">
        <f aca="false">IF(B399="","",ROW()-2)</f>
        <v/>
      </c>
      <c r="B399" s="18" t="str">
        <f aca="false">IFERROR(INDEX(종합!B$3:B$501,MATCH(ROW()-2,종합!$AB$3:$AB$501,0))&amp;"","")</f>
        <v/>
      </c>
      <c r="C399" s="18" t="str">
        <f aca="false">IFERROR(INDEX(종합!C$3:C$501,MATCH(ROW()-2,종합!$AB$3:$AB$501,0))&amp;"","")</f>
        <v/>
      </c>
      <c r="D399" s="18" t="str">
        <f aca="false">IFERROR(INDEX(종합!D$3:D$501,MATCH(ROW()-2,종합!$AB$3:$AB$501,0))&amp;"","")</f>
        <v/>
      </c>
      <c r="E399" s="18" t="str">
        <f aca="false">IFERROR(INDEX(종합!E$3:E$501,MATCH(ROW()-2,종합!$AB$3:$AB$501,0))&amp;"","")</f>
        <v/>
      </c>
      <c r="F399" s="18" t="str">
        <f aca="false">IFERROR(INDEX(종합!F$3:F$501,MATCH(ROW()-2,종합!$AB$3:$AB$501,0))&amp;"","")</f>
        <v/>
      </c>
      <c r="G399" s="18" t="str">
        <f aca="false">IFERROR(INDEX(종합!G$3:G$501,MATCH(ROW()-2,종합!$AB$3:$AB$501,0))&amp;"","")</f>
        <v/>
      </c>
      <c r="H399" s="21" t="str">
        <f aca="false">IFERROR(INDEX(종합!H$3:H$501,MATCH(ROW()-2,종합!$AB$3:$AB$501,0))&amp;"","")</f>
        <v/>
      </c>
      <c r="I399" s="21" t="str">
        <f aca="false">IFERROR(INDEX(종합!I$3:I$501,MATCH(ROW()-2,종합!$AB$3:$AB$501,0))&amp;"","")</f>
        <v/>
      </c>
      <c r="J399" s="21" t="str">
        <f aca="false">IFERROR(INDEX(종합!J$3:J$501,MATCH(ROW()-2,종합!$AB$3:$AB$501,0))&amp;"","")</f>
        <v/>
      </c>
      <c r="K399" s="21" t="str">
        <f aca="false">IFERROR(INDEX(종합!K$3:K$501,MATCH(ROW()-2,종합!$AB$3:$AB$501,0))&amp;"","")</f>
        <v/>
      </c>
      <c r="L399" s="21" t="str">
        <f aca="false">IFERROR(INDEX(종합!L$3:L$501,MATCH(ROW()-2,종합!$AB$3:$AB$501,0))&amp;"","")</f>
        <v/>
      </c>
      <c r="M399" s="21" t="str">
        <f aca="false">IFERROR(INDEX(종합!M$3:M$501,MATCH(ROW()-2,종합!$AB$3:$AB$501,0))&amp;"","")</f>
        <v/>
      </c>
      <c r="N399" s="25" t="str">
        <f aca="false">IFERROR(INDEX(종합!N$3:N$501,MATCH(ROW()-2,종합!$AB$3:$AB$501,0))&amp;"","")</f>
        <v/>
      </c>
      <c r="O399" s="21" t="str">
        <f aca="false">IFERROR(INDEX(종합!O$3:O$501,MATCH(ROW()-2,종합!$AB$3:$AB$501,0))&amp;"","")</f>
        <v/>
      </c>
      <c r="P399" s="21" t="str">
        <f aca="false">IFERROR(INDEX(종합!P$3:P$501,MATCH(ROW()-2,종합!$AB$3:$AB$501,0))&amp;"","")</f>
        <v/>
      </c>
      <c r="Q399" s="21" t="str">
        <f aca="false">IFERROR(INDEX(종합!Q$3:Q$501,MATCH(ROW()-2,종합!$AB$3:$AB$501,0))&amp;"","")</f>
        <v/>
      </c>
      <c r="R399" s="21" t="str">
        <f aca="false">IFERROR(INDEX(종합!R$3:R$501,MATCH(ROW()-2,종합!$AB$3:$AB$501,0))&amp;"","")</f>
        <v/>
      </c>
      <c r="S399" s="21" t="str">
        <f aca="false">IFERROR(INDEX(종합!S$3:S$501,MATCH(ROW()-2,종합!$AB$3:$AB$501,0))&amp;"","")</f>
        <v/>
      </c>
      <c r="T399" s="21" t="str">
        <f aca="false">IFERROR(INDEX(종합!T$3:T$501,MATCH(ROW()-2,종합!$AB$3:$AB$501,0))&amp;"","")</f>
        <v/>
      </c>
      <c r="U399" s="21" t="str">
        <f aca="false">IFERROR(INDEX(종합!U$3:U$501,MATCH(ROW()-2,종합!$AB$3:$AB$501,0))&amp;"","")</f>
        <v/>
      </c>
      <c r="V399" s="21" t="str">
        <f aca="false">IFERROR(INDEX(종합!V$3:V$501,MATCH(ROW()-2,종합!$AB$3:$AB$501,0))&amp;"","")</f>
        <v/>
      </c>
      <c r="W399" s="21" t="str">
        <f aca="false">IFERROR(INDEX(종합!W$3:W$501,MATCH(ROW()-2,종합!$AB$3:$AB$501,0))&amp;"","")</f>
        <v/>
      </c>
      <c r="X399" s="21" t="str">
        <f aca="false">IFERROR(INDEX(종합!X$3:X$501,MATCH(ROW()-2,종합!$AB$3:$AB$501,0))&amp;"","")</f>
        <v/>
      </c>
      <c r="Y399" s="21" t="str">
        <f aca="false">IFERROR(INDEX(종합!Y$3:Y$501,MATCH(ROW()-2,종합!$AB$3:$AB$501,0))&amp;"","")</f>
        <v/>
      </c>
      <c r="Z399" s="21" t="str">
        <f aca="false">IFERROR(INDEX(종합!Z$3:Z$501,MATCH(ROW()-2,종합!$AB$3:$AB$501,0))&amp;"","")</f>
        <v/>
      </c>
    </row>
    <row r="400" customFormat="false" ht="16.5" hidden="false" customHeight="true" outlineLevel="0" collapsed="false">
      <c r="A400" s="18" t="str">
        <f aca="false">IF(B400="","",ROW()-2)</f>
        <v/>
      </c>
      <c r="B400" s="18" t="str">
        <f aca="false">IFERROR(INDEX(종합!B$3:B$501,MATCH(ROW()-2,종합!$AB$3:$AB$501,0))&amp;"","")</f>
        <v/>
      </c>
      <c r="C400" s="18" t="str">
        <f aca="false">IFERROR(INDEX(종합!C$3:C$501,MATCH(ROW()-2,종합!$AB$3:$AB$501,0))&amp;"","")</f>
        <v/>
      </c>
      <c r="D400" s="18" t="str">
        <f aca="false">IFERROR(INDEX(종합!D$3:D$501,MATCH(ROW()-2,종합!$AB$3:$AB$501,0))&amp;"","")</f>
        <v/>
      </c>
      <c r="E400" s="18" t="str">
        <f aca="false">IFERROR(INDEX(종합!E$3:E$501,MATCH(ROW()-2,종합!$AB$3:$AB$501,0))&amp;"","")</f>
        <v/>
      </c>
      <c r="F400" s="18" t="str">
        <f aca="false">IFERROR(INDEX(종합!F$3:F$501,MATCH(ROW()-2,종합!$AB$3:$AB$501,0))&amp;"","")</f>
        <v/>
      </c>
      <c r="G400" s="18" t="str">
        <f aca="false">IFERROR(INDEX(종합!G$3:G$501,MATCH(ROW()-2,종합!$AB$3:$AB$501,0))&amp;"","")</f>
        <v/>
      </c>
      <c r="H400" s="21" t="str">
        <f aca="false">IFERROR(INDEX(종합!H$3:H$501,MATCH(ROW()-2,종합!$AB$3:$AB$501,0))&amp;"","")</f>
        <v/>
      </c>
      <c r="I400" s="21" t="str">
        <f aca="false">IFERROR(INDEX(종합!I$3:I$501,MATCH(ROW()-2,종합!$AB$3:$AB$501,0))&amp;"","")</f>
        <v/>
      </c>
      <c r="J400" s="21" t="str">
        <f aca="false">IFERROR(INDEX(종합!J$3:J$501,MATCH(ROW()-2,종합!$AB$3:$AB$501,0))&amp;"","")</f>
        <v/>
      </c>
      <c r="K400" s="21" t="str">
        <f aca="false">IFERROR(INDEX(종합!K$3:K$501,MATCH(ROW()-2,종합!$AB$3:$AB$501,0))&amp;"","")</f>
        <v/>
      </c>
      <c r="L400" s="21" t="str">
        <f aca="false">IFERROR(INDEX(종합!L$3:L$501,MATCH(ROW()-2,종합!$AB$3:$AB$501,0))&amp;"","")</f>
        <v/>
      </c>
      <c r="M400" s="21" t="str">
        <f aca="false">IFERROR(INDEX(종합!M$3:M$501,MATCH(ROW()-2,종합!$AB$3:$AB$501,0))&amp;"","")</f>
        <v/>
      </c>
      <c r="N400" s="25" t="str">
        <f aca="false">IFERROR(INDEX(종합!N$3:N$501,MATCH(ROW()-2,종합!$AB$3:$AB$501,0))&amp;"","")</f>
        <v/>
      </c>
      <c r="O400" s="21" t="str">
        <f aca="false">IFERROR(INDEX(종합!O$3:O$501,MATCH(ROW()-2,종합!$AB$3:$AB$501,0))&amp;"","")</f>
        <v/>
      </c>
      <c r="P400" s="21" t="str">
        <f aca="false">IFERROR(INDEX(종합!P$3:P$501,MATCH(ROW()-2,종합!$AB$3:$AB$501,0))&amp;"","")</f>
        <v/>
      </c>
      <c r="Q400" s="21" t="str">
        <f aca="false">IFERROR(INDEX(종합!Q$3:Q$501,MATCH(ROW()-2,종합!$AB$3:$AB$501,0))&amp;"","")</f>
        <v/>
      </c>
      <c r="R400" s="21" t="str">
        <f aca="false">IFERROR(INDEX(종합!R$3:R$501,MATCH(ROW()-2,종합!$AB$3:$AB$501,0))&amp;"","")</f>
        <v/>
      </c>
      <c r="S400" s="21" t="str">
        <f aca="false">IFERROR(INDEX(종합!S$3:S$501,MATCH(ROW()-2,종합!$AB$3:$AB$501,0))&amp;"","")</f>
        <v/>
      </c>
      <c r="T400" s="21" t="str">
        <f aca="false">IFERROR(INDEX(종합!T$3:T$501,MATCH(ROW()-2,종합!$AB$3:$AB$501,0))&amp;"","")</f>
        <v/>
      </c>
      <c r="U400" s="21" t="str">
        <f aca="false">IFERROR(INDEX(종합!U$3:U$501,MATCH(ROW()-2,종합!$AB$3:$AB$501,0))&amp;"","")</f>
        <v/>
      </c>
      <c r="V400" s="21" t="str">
        <f aca="false">IFERROR(INDEX(종합!V$3:V$501,MATCH(ROW()-2,종합!$AB$3:$AB$501,0))&amp;"","")</f>
        <v/>
      </c>
      <c r="W400" s="21" t="str">
        <f aca="false">IFERROR(INDEX(종합!W$3:W$501,MATCH(ROW()-2,종합!$AB$3:$AB$501,0))&amp;"","")</f>
        <v/>
      </c>
      <c r="X400" s="21" t="str">
        <f aca="false">IFERROR(INDEX(종합!X$3:X$501,MATCH(ROW()-2,종합!$AB$3:$AB$501,0))&amp;"","")</f>
        <v/>
      </c>
      <c r="Y400" s="21" t="str">
        <f aca="false">IFERROR(INDEX(종합!Y$3:Y$501,MATCH(ROW()-2,종합!$AB$3:$AB$501,0))&amp;"","")</f>
        <v/>
      </c>
      <c r="Z400" s="21" t="str">
        <f aca="false">IFERROR(INDEX(종합!Z$3:Z$501,MATCH(ROW()-2,종합!$AB$3:$AB$501,0))&amp;"","")</f>
        <v/>
      </c>
    </row>
    <row r="401" customFormat="false" ht="16.5" hidden="false" customHeight="true" outlineLevel="0" collapsed="false">
      <c r="A401" s="18" t="str">
        <f aca="false">IF(B401="","",ROW()-2)</f>
        <v/>
      </c>
      <c r="B401" s="18" t="str">
        <f aca="false">IFERROR(INDEX(종합!B$3:B$501,MATCH(ROW()-2,종합!$AB$3:$AB$501,0))&amp;"","")</f>
        <v/>
      </c>
      <c r="C401" s="18" t="str">
        <f aca="false">IFERROR(INDEX(종합!C$3:C$501,MATCH(ROW()-2,종합!$AB$3:$AB$501,0))&amp;"","")</f>
        <v/>
      </c>
      <c r="D401" s="18" t="str">
        <f aca="false">IFERROR(INDEX(종합!D$3:D$501,MATCH(ROW()-2,종합!$AB$3:$AB$501,0))&amp;"","")</f>
        <v/>
      </c>
      <c r="E401" s="18" t="str">
        <f aca="false">IFERROR(INDEX(종합!E$3:E$501,MATCH(ROW()-2,종합!$AB$3:$AB$501,0))&amp;"","")</f>
        <v/>
      </c>
      <c r="F401" s="18" t="str">
        <f aca="false">IFERROR(INDEX(종합!F$3:F$501,MATCH(ROW()-2,종합!$AB$3:$AB$501,0))&amp;"","")</f>
        <v/>
      </c>
      <c r="G401" s="18" t="str">
        <f aca="false">IFERROR(INDEX(종합!G$3:G$501,MATCH(ROW()-2,종합!$AB$3:$AB$501,0))&amp;"","")</f>
        <v/>
      </c>
      <c r="H401" s="21" t="str">
        <f aca="false">IFERROR(INDEX(종합!H$3:H$501,MATCH(ROW()-2,종합!$AB$3:$AB$501,0))&amp;"","")</f>
        <v/>
      </c>
      <c r="I401" s="21" t="str">
        <f aca="false">IFERROR(INDEX(종합!I$3:I$501,MATCH(ROW()-2,종합!$AB$3:$AB$501,0))&amp;"","")</f>
        <v/>
      </c>
      <c r="J401" s="21" t="str">
        <f aca="false">IFERROR(INDEX(종합!J$3:J$501,MATCH(ROW()-2,종합!$AB$3:$AB$501,0))&amp;"","")</f>
        <v/>
      </c>
      <c r="K401" s="21" t="str">
        <f aca="false">IFERROR(INDEX(종합!K$3:K$501,MATCH(ROW()-2,종합!$AB$3:$AB$501,0))&amp;"","")</f>
        <v/>
      </c>
      <c r="L401" s="21" t="str">
        <f aca="false">IFERROR(INDEX(종합!L$3:L$501,MATCH(ROW()-2,종합!$AB$3:$AB$501,0))&amp;"","")</f>
        <v/>
      </c>
      <c r="M401" s="21" t="str">
        <f aca="false">IFERROR(INDEX(종합!M$3:M$501,MATCH(ROW()-2,종합!$AB$3:$AB$501,0))&amp;"","")</f>
        <v/>
      </c>
      <c r="N401" s="25" t="str">
        <f aca="false">IFERROR(INDEX(종합!N$3:N$501,MATCH(ROW()-2,종합!$AB$3:$AB$501,0))&amp;"","")</f>
        <v/>
      </c>
      <c r="O401" s="21" t="str">
        <f aca="false">IFERROR(INDEX(종합!O$3:O$501,MATCH(ROW()-2,종합!$AB$3:$AB$501,0))&amp;"","")</f>
        <v/>
      </c>
      <c r="P401" s="21" t="str">
        <f aca="false">IFERROR(INDEX(종합!P$3:P$501,MATCH(ROW()-2,종합!$AB$3:$AB$501,0))&amp;"","")</f>
        <v/>
      </c>
      <c r="Q401" s="21" t="str">
        <f aca="false">IFERROR(INDEX(종합!Q$3:Q$501,MATCH(ROW()-2,종합!$AB$3:$AB$501,0))&amp;"","")</f>
        <v/>
      </c>
      <c r="R401" s="21" t="str">
        <f aca="false">IFERROR(INDEX(종합!R$3:R$501,MATCH(ROW()-2,종합!$AB$3:$AB$501,0))&amp;"","")</f>
        <v/>
      </c>
      <c r="S401" s="21" t="str">
        <f aca="false">IFERROR(INDEX(종합!S$3:S$501,MATCH(ROW()-2,종합!$AB$3:$AB$501,0))&amp;"","")</f>
        <v/>
      </c>
      <c r="T401" s="21" t="str">
        <f aca="false">IFERROR(INDEX(종합!T$3:T$501,MATCH(ROW()-2,종합!$AB$3:$AB$501,0))&amp;"","")</f>
        <v/>
      </c>
      <c r="U401" s="21" t="str">
        <f aca="false">IFERROR(INDEX(종합!U$3:U$501,MATCH(ROW()-2,종합!$AB$3:$AB$501,0))&amp;"","")</f>
        <v/>
      </c>
      <c r="V401" s="21" t="str">
        <f aca="false">IFERROR(INDEX(종합!V$3:V$501,MATCH(ROW()-2,종합!$AB$3:$AB$501,0))&amp;"","")</f>
        <v/>
      </c>
      <c r="W401" s="21" t="str">
        <f aca="false">IFERROR(INDEX(종합!W$3:W$501,MATCH(ROW()-2,종합!$AB$3:$AB$501,0))&amp;"","")</f>
        <v/>
      </c>
      <c r="X401" s="21" t="str">
        <f aca="false">IFERROR(INDEX(종합!X$3:X$501,MATCH(ROW()-2,종합!$AB$3:$AB$501,0))&amp;"","")</f>
        <v/>
      </c>
      <c r="Y401" s="21" t="str">
        <f aca="false">IFERROR(INDEX(종합!Y$3:Y$501,MATCH(ROW()-2,종합!$AB$3:$AB$501,0))&amp;"","")</f>
        <v/>
      </c>
      <c r="Z401" s="21" t="str">
        <f aca="false">IFERROR(INDEX(종합!Z$3:Z$501,MATCH(ROW()-2,종합!$AB$3:$AB$501,0))&amp;"","")</f>
        <v/>
      </c>
    </row>
    <row r="402" customFormat="false" ht="16.5" hidden="false" customHeight="true" outlineLevel="0" collapsed="false">
      <c r="A402" s="18" t="str">
        <f aca="false">IF(B402="","",ROW()-2)</f>
        <v/>
      </c>
      <c r="B402" s="18" t="str">
        <f aca="false">IFERROR(INDEX(종합!B$3:B$501,MATCH(ROW()-2,종합!$AB$3:$AB$501,0))&amp;"","")</f>
        <v/>
      </c>
      <c r="C402" s="18" t="str">
        <f aca="false">IFERROR(INDEX(종합!C$3:C$501,MATCH(ROW()-2,종합!$AB$3:$AB$501,0))&amp;"","")</f>
        <v/>
      </c>
      <c r="D402" s="18" t="str">
        <f aca="false">IFERROR(INDEX(종합!D$3:D$501,MATCH(ROW()-2,종합!$AB$3:$AB$501,0))&amp;"","")</f>
        <v/>
      </c>
      <c r="E402" s="18" t="str">
        <f aca="false">IFERROR(INDEX(종합!E$3:E$501,MATCH(ROW()-2,종합!$AB$3:$AB$501,0))&amp;"","")</f>
        <v/>
      </c>
      <c r="F402" s="18" t="str">
        <f aca="false">IFERROR(INDEX(종합!F$3:F$501,MATCH(ROW()-2,종합!$AB$3:$AB$501,0))&amp;"","")</f>
        <v/>
      </c>
      <c r="G402" s="18" t="str">
        <f aca="false">IFERROR(INDEX(종합!G$3:G$501,MATCH(ROW()-2,종합!$AB$3:$AB$501,0))&amp;"","")</f>
        <v/>
      </c>
      <c r="H402" s="21" t="str">
        <f aca="false">IFERROR(INDEX(종합!H$3:H$501,MATCH(ROW()-2,종합!$AB$3:$AB$501,0))&amp;"","")</f>
        <v/>
      </c>
      <c r="I402" s="21" t="str">
        <f aca="false">IFERROR(INDEX(종합!I$3:I$501,MATCH(ROW()-2,종합!$AB$3:$AB$501,0))&amp;"","")</f>
        <v/>
      </c>
      <c r="J402" s="21" t="str">
        <f aca="false">IFERROR(INDEX(종합!J$3:J$501,MATCH(ROW()-2,종합!$AB$3:$AB$501,0))&amp;"","")</f>
        <v/>
      </c>
      <c r="K402" s="21" t="str">
        <f aca="false">IFERROR(INDEX(종합!K$3:K$501,MATCH(ROW()-2,종합!$AB$3:$AB$501,0))&amp;"","")</f>
        <v/>
      </c>
      <c r="L402" s="21" t="str">
        <f aca="false">IFERROR(INDEX(종합!L$3:L$501,MATCH(ROW()-2,종합!$AB$3:$AB$501,0))&amp;"","")</f>
        <v/>
      </c>
      <c r="M402" s="21" t="str">
        <f aca="false">IFERROR(INDEX(종합!M$3:M$501,MATCH(ROW()-2,종합!$AB$3:$AB$501,0))&amp;"","")</f>
        <v/>
      </c>
      <c r="N402" s="25" t="str">
        <f aca="false">IFERROR(INDEX(종합!N$3:N$501,MATCH(ROW()-2,종합!$AB$3:$AB$501,0))&amp;"","")</f>
        <v/>
      </c>
      <c r="O402" s="21" t="str">
        <f aca="false">IFERROR(INDEX(종합!O$3:O$501,MATCH(ROW()-2,종합!$AB$3:$AB$501,0))&amp;"","")</f>
        <v/>
      </c>
      <c r="P402" s="21" t="str">
        <f aca="false">IFERROR(INDEX(종합!P$3:P$501,MATCH(ROW()-2,종합!$AB$3:$AB$501,0))&amp;"","")</f>
        <v/>
      </c>
      <c r="Q402" s="21" t="str">
        <f aca="false">IFERROR(INDEX(종합!Q$3:Q$501,MATCH(ROW()-2,종합!$AB$3:$AB$501,0))&amp;"","")</f>
        <v/>
      </c>
      <c r="R402" s="21" t="str">
        <f aca="false">IFERROR(INDEX(종합!R$3:R$501,MATCH(ROW()-2,종합!$AB$3:$AB$501,0))&amp;"","")</f>
        <v/>
      </c>
      <c r="S402" s="21" t="str">
        <f aca="false">IFERROR(INDEX(종합!S$3:S$501,MATCH(ROW()-2,종합!$AB$3:$AB$501,0))&amp;"","")</f>
        <v/>
      </c>
      <c r="T402" s="21" t="str">
        <f aca="false">IFERROR(INDEX(종합!T$3:T$501,MATCH(ROW()-2,종합!$AB$3:$AB$501,0))&amp;"","")</f>
        <v/>
      </c>
      <c r="U402" s="21" t="str">
        <f aca="false">IFERROR(INDEX(종합!U$3:U$501,MATCH(ROW()-2,종합!$AB$3:$AB$501,0))&amp;"","")</f>
        <v/>
      </c>
      <c r="V402" s="21" t="str">
        <f aca="false">IFERROR(INDEX(종합!V$3:V$501,MATCH(ROW()-2,종합!$AB$3:$AB$501,0))&amp;"","")</f>
        <v/>
      </c>
      <c r="W402" s="21" t="str">
        <f aca="false">IFERROR(INDEX(종합!W$3:W$501,MATCH(ROW()-2,종합!$AB$3:$AB$501,0))&amp;"","")</f>
        <v/>
      </c>
      <c r="X402" s="21" t="str">
        <f aca="false">IFERROR(INDEX(종합!X$3:X$501,MATCH(ROW()-2,종합!$AB$3:$AB$501,0))&amp;"","")</f>
        <v/>
      </c>
      <c r="Y402" s="21" t="str">
        <f aca="false">IFERROR(INDEX(종합!Y$3:Y$501,MATCH(ROW()-2,종합!$AB$3:$AB$501,0))&amp;"","")</f>
        <v/>
      </c>
      <c r="Z402" s="21" t="str">
        <f aca="false">IFERROR(INDEX(종합!Z$3:Z$501,MATCH(ROW()-2,종합!$AB$3:$AB$501,0))&amp;"","")</f>
        <v/>
      </c>
    </row>
    <row r="403" customFormat="false" ht="16.5" hidden="false" customHeight="true" outlineLevel="0" collapsed="false">
      <c r="A403" s="18" t="str">
        <f aca="false">IF(B403="","",ROW()-2)</f>
        <v/>
      </c>
      <c r="B403" s="18" t="str">
        <f aca="false">IFERROR(INDEX(종합!B$3:B$501,MATCH(ROW()-2,종합!$AB$3:$AB$501,0))&amp;"","")</f>
        <v/>
      </c>
      <c r="C403" s="18" t="str">
        <f aca="false">IFERROR(INDEX(종합!C$3:C$501,MATCH(ROW()-2,종합!$AB$3:$AB$501,0))&amp;"","")</f>
        <v/>
      </c>
      <c r="D403" s="18" t="str">
        <f aca="false">IFERROR(INDEX(종합!D$3:D$501,MATCH(ROW()-2,종합!$AB$3:$AB$501,0))&amp;"","")</f>
        <v/>
      </c>
      <c r="E403" s="18" t="str">
        <f aca="false">IFERROR(INDEX(종합!E$3:E$501,MATCH(ROW()-2,종합!$AB$3:$AB$501,0))&amp;"","")</f>
        <v/>
      </c>
      <c r="F403" s="18" t="str">
        <f aca="false">IFERROR(INDEX(종합!F$3:F$501,MATCH(ROW()-2,종합!$AB$3:$AB$501,0))&amp;"","")</f>
        <v/>
      </c>
      <c r="G403" s="18" t="str">
        <f aca="false">IFERROR(INDEX(종합!G$3:G$501,MATCH(ROW()-2,종합!$AB$3:$AB$501,0))&amp;"","")</f>
        <v/>
      </c>
      <c r="H403" s="21" t="str">
        <f aca="false">IFERROR(INDEX(종합!H$3:H$501,MATCH(ROW()-2,종합!$AB$3:$AB$501,0))&amp;"","")</f>
        <v/>
      </c>
      <c r="I403" s="21" t="str">
        <f aca="false">IFERROR(INDEX(종합!I$3:I$501,MATCH(ROW()-2,종합!$AB$3:$AB$501,0))&amp;"","")</f>
        <v/>
      </c>
      <c r="J403" s="21" t="str">
        <f aca="false">IFERROR(INDEX(종합!J$3:J$501,MATCH(ROW()-2,종합!$AB$3:$AB$501,0))&amp;"","")</f>
        <v/>
      </c>
      <c r="K403" s="21" t="str">
        <f aca="false">IFERROR(INDEX(종합!K$3:K$501,MATCH(ROW()-2,종합!$AB$3:$AB$501,0))&amp;"","")</f>
        <v/>
      </c>
      <c r="L403" s="21" t="str">
        <f aca="false">IFERROR(INDEX(종합!L$3:L$501,MATCH(ROW()-2,종합!$AB$3:$AB$501,0))&amp;"","")</f>
        <v/>
      </c>
      <c r="M403" s="21" t="str">
        <f aca="false">IFERROR(INDEX(종합!M$3:M$501,MATCH(ROW()-2,종합!$AB$3:$AB$501,0))&amp;"","")</f>
        <v/>
      </c>
      <c r="N403" s="25" t="str">
        <f aca="false">IFERROR(INDEX(종합!N$3:N$501,MATCH(ROW()-2,종합!$AB$3:$AB$501,0))&amp;"","")</f>
        <v/>
      </c>
      <c r="O403" s="21" t="str">
        <f aca="false">IFERROR(INDEX(종합!O$3:O$501,MATCH(ROW()-2,종합!$AB$3:$AB$501,0))&amp;"","")</f>
        <v/>
      </c>
      <c r="P403" s="21" t="str">
        <f aca="false">IFERROR(INDEX(종합!P$3:P$501,MATCH(ROW()-2,종합!$AB$3:$AB$501,0))&amp;"","")</f>
        <v/>
      </c>
      <c r="Q403" s="21" t="str">
        <f aca="false">IFERROR(INDEX(종합!Q$3:Q$501,MATCH(ROW()-2,종합!$AB$3:$AB$501,0))&amp;"","")</f>
        <v/>
      </c>
      <c r="R403" s="21" t="str">
        <f aca="false">IFERROR(INDEX(종합!R$3:R$501,MATCH(ROW()-2,종합!$AB$3:$AB$501,0))&amp;"","")</f>
        <v/>
      </c>
      <c r="S403" s="21" t="str">
        <f aca="false">IFERROR(INDEX(종합!S$3:S$501,MATCH(ROW()-2,종합!$AB$3:$AB$501,0))&amp;"","")</f>
        <v/>
      </c>
      <c r="T403" s="21" t="str">
        <f aca="false">IFERROR(INDEX(종합!T$3:T$501,MATCH(ROW()-2,종합!$AB$3:$AB$501,0))&amp;"","")</f>
        <v/>
      </c>
      <c r="U403" s="21" t="str">
        <f aca="false">IFERROR(INDEX(종합!U$3:U$501,MATCH(ROW()-2,종합!$AB$3:$AB$501,0))&amp;"","")</f>
        <v/>
      </c>
      <c r="V403" s="21" t="str">
        <f aca="false">IFERROR(INDEX(종합!V$3:V$501,MATCH(ROW()-2,종합!$AB$3:$AB$501,0))&amp;"","")</f>
        <v/>
      </c>
      <c r="W403" s="21" t="str">
        <f aca="false">IFERROR(INDEX(종합!W$3:W$501,MATCH(ROW()-2,종합!$AB$3:$AB$501,0))&amp;"","")</f>
        <v/>
      </c>
      <c r="X403" s="21" t="str">
        <f aca="false">IFERROR(INDEX(종합!X$3:X$501,MATCH(ROW()-2,종합!$AB$3:$AB$501,0))&amp;"","")</f>
        <v/>
      </c>
      <c r="Y403" s="21" t="str">
        <f aca="false">IFERROR(INDEX(종합!Y$3:Y$501,MATCH(ROW()-2,종합!$AB$3:$AB$501,0))&amp;"","")</f>
        <v/>
      </c>
      <c r="Z403" s="21" t="str">
        <f aca="false">IFERROR(INDEX(종합!Z$3:Z$501,MATCH(ROW()-2,종합!$AB$3:$AB$501,0))&amp;"","")</f>
        <v/>
      </c>
    </row>
    <row r="404" customFormat="false" ht="16.5" hidden="false" customHeight="true" outlineLevel="0" collapsed="false">
      <c r="A404" s="18" t="str">
        <f aca="false">IF(B404="","",ROW()-2)</f>
        <v/>
      </c>
      <c r="B404" s="18" t="str">
        <f aca="false">IFERROR(INDEX(종합!B$3:B$501,MATCH(ROW()-2,종합!$AB$3:$AB$501,0))&amp;"","")</f>
        <v/>
      </c>
      <c r="C404" s="18" t="str">
        <f aca="false">IFERROR(INDEX(종합!C$3:C$501,MATCH(ROW()-2,종합!$AB$3:$AB$501,0))&amp;"","")</f>
        <v/>
      </c>
      <c r="D404" s="18" t="str">
        <f aca="false">IFERROR(INDEX(종합!D$3:D$501,MATCH(ROW()-2,종합!$AB$3:$AB$501,0))&amp;"","")</f>
        <v/>
      </c>
      <c r="E404" s="18" t="str">
        <f aca="false">IFERROR(INDEX(종합!E$3:E$501,MATCH(ROW()-2,종합!$AB$3:$AB$501,0))&amp;"","")</f>
        <v/>
      </c>
      <c r="F404" s="18" t="str">
        <f aca="false">IFERROR(INDEX(종합!F$3:F$501,MATCH(ROW()-2,종합!$AB$3:$AB$501,0))&amp;"","")</f>
        <v/>
      </c>
      <c r="G404" s="18" t="str">
        <f aca="false">IFERROR(INDEX(종합!G$3:G$501,MATCH(ROW()-2,종합!$AB$3:$AB$501,0))&amp;"","")</f>
        <v/>
      </c>
      <c r="H404" s="21" t="str">
        <f aca="false">IFERROR(INDEX(종합!H$3:H$501,MATCH(ROW()-2,종합!$AB$3:$AB$501,0))&amp;"","")</f>
        <v/>
      </c>
      <c r="I404" s="21" t="str">
        <f aca="false">IFERROR(INDEX(종합!I$3:I$501,MATCH(ROW()-2,종합!$AB$3:$AB$501,0))&amp;"","")</f>
        <v/>
      </c>
      <c r="J404" s="21" t="str">
        <f aca="false">IFERROR(INDEX(종합!J$3:J$501,MATCH(ROW()-2,종합!$AB$3:$AB$501,0))&amp;"","")</f>
        <v/>
      </c>
      <c r="K404" s="21" t="str">
        <f aca="false">IFERROR(INDEX(종합!K$3:K$501,MATCH(ROW()-2,종합!$AB$3:$AB$501,0))&amp;"","")</f>
        <v/>
      </c>
      <c r="L404" s="21" t="str">
        <f aca="false">IFERROR(INDEX(종합!L$3:L$501,MATCH(ROW()-2,종합!$AB$3:$AB$501,0))&amp;"","")</f>
        <v/>
      </c>
      <c r="M404" s="21" t="str">
        <f aca="false">IFERROR(INDEX(종합!M$3:M$501,MATCH(ROW()-2,종합!$AB$3:$AB$501,0))&amp;"","")</f>
        <v/>
      </c>
      <c r="N404" s="25" t="str">
        <f aca="false">IFERROR(INDEX(종합!N$3:N$501,MATCH(ROW()-2,종합!$AB$3:$AB$501,0))&amp;"","")</f>
        <v/>
      </c>
      <c r="O404" s="21" t="str">
        <f aca="false">IFERROR(INDEX(종합!O$3:O$501,MATCH(ROW()-2,종합!$AB$3:$AB$501,0))&amp;"","")</f>
        <v/>
      </c>
      <c r="P404" s="21" t="str">
        <f aca="false">IFERROR(INDEX(종합!P$3:P$501,MATCH(ROW()-2,종합!$AB$3:$AB$501,0))&amp;"","")</f>
        <v/>
      </c>
      <c r="Q404" s="21" t="str">
        <f aca="false">IFERROR(INDEX(종합!Q$3:Q$501,MATCH(ROW()-2,종합!$AB$3:$AB$501,0))&amp;"","")</f>
        <v/>
      </c>
      <c r="R404" s="21" t="str">
        <f aca="false">IFERROR(INDEX(종합!R$3:R$501,MATCH(ROW()-2,종합!$AB$3:$AB$501,0))&amp;"","")</f>
        <v/>
      </c>
      <c r="S404" s="21" t="str">
        <f aca="false">IFERROR(INDEX(종합!S$3:S$501,MATCH(ROW()-2,종합!$AB$3:$AB$501,0))&amp;"","")</f>
        <v/>
      </c>
      <c r="T404" s="21" t="str">
        <f aca="false">IFERROR(INDEX(종합!T$3:T$501,MATCH(ROW()-2,종합!$AB$3:$AB$501,0))&amp;"","")</f>
        <v/>
      </c>
      <c r="U404" s="21" t="str">
        <f aca="false">IFERROR(INDEX(종합!U$3:U$501,MATCH(ROW()-2,종합!$AB$3:$AB$501,0))&amp;"","")</f>
        <v/>
      </c>
      <c r="V404" s="21" t="str">
        <f aca="false">IFERROR(INDEX(종합!V$3:V$501,MATCH(ROW()-2,종합!$AB$3:$AB$501,0))&amp;"","")</f>
        <v/>
      </c>
      <c r="W404" s="21" t="str">
        <f aca="false">IFERROR(INDEX(종합!W$3:W$501,MATCH(ROW()-2,종합!$AB$3:$AB$501,0))&amp;"","")</f>
        <v/>
      </c>
      <c r="X404" s="21" t="str">
        <f aca="false">IFERROR(INDEX(종합!X$3:X$501,MATCH(ROW()-2,종합!$AB$3:$AB$501,0))&amp;"","")</f>
        <v/>
      </c>
      <c r="Y404" s="21" t="str">
        <f aca="false">IFERROR(INDEX(종합!Y$3:Y$501,MATCH(ROW()-2,종합!$AB$3:$AB$501,0))&amp;"","")</f>
        <v/>
      </c>
      <c r="Z404" s="21" t="str">
        <f aca="false">IFERROR(INDEX(종합!Z$3:Z$501,MATCH(ROW()-2,종합!$AB$3:$AB$501,0))&amp;"","")</f>
        <v/>
      </c>
    </row>
    <row r="405" customFormat="false" ht="16.5" hidden="false" customHeight="true" outlineLevel="0" collapsed="false">
      <c r="A405" s="18" t="str">
        <f aca="false">IF(B405="","",ROW()-2)</f>
        <v/>
      </c>
      <c r="B405" s="18" t="str">
        <f aca="false">IFERROR(INDEX(종합!B$3:B$501,MATCH(ROW()-2,종합!$AB$3:$AB$501,0))&amp;"","")</f>
        <v/>
      </c>
      <c r="C405" s="18" t="str">
        <f aca="false">IFERROR(INDEX(종합!C$3:C$501,MATCH(ROW()-2,종합!$AB$3:$AB$501,0))&amp;"","")</f>
        <v/>
      </c>
      <c r="D405" s="18" t="str">
        <f aca="false">IFERROR(INDEX(종합!D$3:D$501,MATCH(ROW()-2,종합!$AB$3:$AB$501,0))&amp;"","")</f>
        <v/>
      </c>
      <c r="E405" s="18" t="str">
        <f aca="false">IFERROR(INDEX(종합!E$3:E$501,MATCH(ROW()-2,종합!$AB$3:$AB$501,0))&amp;"","")</f>
        <v/>
      </c>
      <c r="F405" s="18" t="str">
        <f aca="false">IFERROR(INDEX(종합!F$3:F$501,MATCH(ROW()-2,종합!$AB$3:$AB$501,0))&amp;"","")</f>
        <v/>
      </c>
      <c r="G405" s="18" t="str">
        <f aca="false">IFERROR(INDEX(종합!G$3:G$501,MATCH(ROW()-2,종합!$AB$3:$AB$501,0))&amp;"","")</f>
        <v/>
      </c>
      <c r="H405" s="21" t="str">
        <f aca="false">IFERROR(INDEX(종합!H$3:H$501,MATCH(ROW()-2,종합!$AB$3:$AB$501,0))&amp;"","")</f>
        <v/>
      </c>
      <c r="I405" s="21" t="str">
        <f aca="false">IFERROR(INDEX(종합!I$3:I$501,MATCH(ROW()-2,종합!$AB$3:$AB$501,0))&amp;"","")</f>
        <v/>
      </c>
      <c r="J405" s="21" t="str">
        <f aca="false">IFERROR(INDEX(종합!J$3:J$501,MATCH(ROW()-2,종합!$AB$3:$AB$501,0))&amp;"","")</f>
        <v/>
      </c>
      <c r="K405" s="21" t="str">
        <f aca="false">IFERROR(INDEX(종합!K$3:K$501,MATCH(ROW()-2,종합!$AB$3:$AB$501,0))&amp;"","")</f>
        <v/>
      </c>
      <c r="L405" s="21" t="str">
        <f aca="false">IFERROR(INDEX(종합!L$3:L$501,MATCH(ROW()-2,종합!$AB$3:$AB$501,0))&amp;"","")</f>
        <v/>
      </c>
      <c r="M405" s="21" t="str">
        <f aca="false">IFERROR(INDEX(종합!M$3:M$501,MATCH(ROW()-2,종합!$AB$3:$AB$501,0))&amp;"","")</f>
        <v/>
      </c>
      <c r="N405" s="25" t="str">
        <f aca="false">IFERROR(INDEX(종합!N$3:N$501,MATCH(ROW()-2,종합!$AB$3:$AB$501,0))&amp;"","")</f>
        <v/>
      </c>
      <c r="O405" s="21" t="str">
        <f aca="false">IFERROR(INDEX(종합!O$3:O$501,MATCH(ROW()-2,종합!$AB$3:$AB$501,0))&amp;"","")</f>
        <v/>
      </c>
      <c r="P405" s="21" t="str">
        <f aca="false">IFERROR(INDEX(종합!P$3:P$501,MATCH(ROW()-2,종합!$AB$3:$AB$501,0))&amp;"","")</f>
        <v/>
      </c>
      <c r="Q405" s="21" t="str">
        <f aca="false">IFERROR(INDEX(종합!Q$3:Q$501,MATCH(ROW()-2,종합!$AB$3:$AB$501,0))&amp;"","")</f>
        <v/>
      </c>
      <c r="R405" s="21" t="str">
        <f aca="false">IFERROR(INDEX(종합!R$3:R$501,MATCH(ROW()-2,종합!$AB$3:$AB$501,0))&amp;"","")</f>
        <v/>
      </c>
      <c r="S405" s="21" t="str">
        <f aca="false">IFERROR(INDEX(종합!S$3:S$501,MATCH(ROW()-2,종합!$AB$3:$AB$501,0))&amp;"","")</f>
        <v/>
      </c>
      <c r="T405" s="21" t="str">
        <f aca="false">IFERROR(INDEX(종합!T$3:T$501,MATCH(ROW()-2,종합!$AB$3:$AB$501,0))&amp;"","")</f>
        <v/>
      </c>
      <c r="U405" s="21" t="str">
        <f aca="false">IFERROR(INDEX(종합!U$3:U$501,MATCH(ROW()-2,종합!$AB$3:$AB$501,0))&amp;"","")</f>
        <v/>
      </c>
      <c r="V405" s="21" t="str">
        <f aca="false">IFERROR(INDEX(종합!V$3:V$501,MATCH(ROW()-2,종합!$AB$3:$AB$501,0))&amp;"","")</f>
        <v/>
      </c>
      <c r="W405" s="21" t="str">
        <f aca="false">IFERROR(INDEX(종합!W$3:W$501,MATCH(ROW()-2,종합!$AB$3:$AB$501,0))&amp;"","")</f>
        <v/>
      </c>
      <c r="X405" s="21" t="str">
        <f aca="false">IFERROR(INDEX(종합!X$3:X$501,MATCH(ROW()-2,종합!$AB$3:$AB$501,0))&amp;"","")</f>
        <v/>
      </c>
      <c r="Y405" s="21" t="str">
        <f aca="false">IFERROR(INDEX(종합!Y$3:Y$501,MATCH(ROW()-2,종합!$AB$3:$AB$501,0))&amp;"","")</f>
        <v/>
      </c>
      <c r="Z405" s="21" t="str">
        <f aca="false">IFERROR(INDEX(종합!Z$3:Z$501,MATCH(ROW()-2,종합!$AB$3:$AB$501,0))&amp;"","")</f>
        <v/>
      </c>
    </row>
    <row r="406" customFormat="false" ht="16.5" hidden="false" customHeight="true" outlineLevel="0" collapsed="false">
      <c r="A406" s="18" t="str">
        <f aca="false">IF(B406="","",ROW()-2)</f>
        <v/>
      </c>
      <c r="B406" s="18" t="str">
        <f aca="false">IFERROR(INDEX(종합!B$3:B$501,MATCH(ROW()-2,종합!$AB$3:$AB$501,0))&amp;"","")</f>
        <v/>
      </c>
      <c r="C406" s="18" t="str">
        <f aca="false">IFERROR(INDEX(종합!C$3:C$501,MATCH(ROW()-2,종합!$AB$3:$AB$501,0))&amp;"","")</f>
        <v/>
      </c>
      <c r="D406" s="18" t="str">
        <f aca="false">IFERROR(INDEX(종합!D$3:D$501,MATCH(ROW()-2,종합!$AB$3:$AB$501,0))&amp;"","")</f>
        <v/>
      </c>
      <c r="E406" s="18" t="str">
        <f aca="false">IFERROR(INDEX(종합!E$3:E$501,MATCH(ROW()-2,종합!$AB$3:$AB$501,0))&amp;"","")</f>
        <v/>
      </c>
      <c r="F406" s="18" t="str">
        <f aca="false">IFERROR(INDEX(종합!F$3:F$501,MATCH(ROW()-2,종합!$AB$3:$AB$501,0))&amp;"","")</f>
        <v/>
      </c>
      <c r="G406" s="18" t="str">
        <f aca="false">IFERROR(INDEX(종합!G$3:G$501,MATCH(ROW()-2,종합!$AB$3:$AB$501,0))&amp;"","")</f>
        <v/>
      </c>
      <c r="H406" s="21" t="str">
        <f aca="false">IFERROR(INDEX(종합!H$3:H$501,MATCH(ROW()-2,종합!$AB$3:$AB$501,0))&amp;"","")</f>
        <v/>
      </c>
      <c r="I406" s="21" t="str">
        <f aca="false">IFERROR(INDEX(종합!I$3:I$501,MATCH(ROW()-2,종합!$AB$3:$AB$501,0))&amp;"","")</f>
        <v/>
      </c>
      <c r="J406" s="21" t="str">
        <f aca="false">IFERROR(INDEX(종합!J$3:J$501,MATCH(ROW()-2,종합!$AB$3:$AB$501,0))&amp;"","")</f>
        <v/>
      </c>
      <c r="K406" s="21" t="str">
        <f aca="false">IFERROR(INDEX(종합!K$3:K$501,MATCH(ROW()-2,종합!$AB$3:$AB$501,0))&amp;"","")</f>
        <v/>
      </c>
      <c r="L406" s="21" t="str">
        <f aca="false">IFERROR(INDEX(종합!L$3:L$501,MATCH(ROW()-2,종합!$AB$3:$AB$501,0))&amp;"","")</f>
        <v/>
      </c>
      <c r="M406" s="21" t="str">
        <f aca="false">IFERROR(INDEX(종합!M$3:M$501,MATCH(ROW()-2,종합!$AB$3:$AB$501,0))&amp;"","")</f>
        <v/>
      </c>
      <c r="N406" s="25" t="str">
        <f aca="false">IFERROR(INDEX(종합!N$3:N$501,MATCH(ROW()-2,종합!$AB$3:$AB$501,0))&amp;"","")</f>
        <v/>
      </c>
      <c r="O406" s="21" t="str">
        <f aca="false">IFERROR(INDEX(종합!O$3:O$501,MATCH(ROW()-2,종합!$AB$3:$AB$501,0))&amp;"","")</f>
        <v/>
      </c>
      <c r="P406" s="21" t="str">
        <f aca="false">IFERROR(INDEX(종합!P$3:P$501,MATCH(ROW()-2,종합!$AB$3:$AB$501,0))&amp;"","")</f>
        <v/>
      </c>
      <c r="Q406" s="21" t="str">
        <f aca="false">IFERROR(INDEX(종합!Q$3:Q$501,MATCH(ROW()-2,종합!$AB$3:$AB$501,0))&amp;"","")</f>
        <v/>
      </c>
      <c r="R406" s="21" t="str">
        <f aca="false">IFERROR(INDEX(종합!R$3:R$501,MATCH(ROW()-2,종합!$AB$3:$AB$501,0))&amp;"","")</f>
        <v/>
      </c>
      <c r="S406" s="21" t="str">
        <f aca="false">IFERROR(INDEX(종합!S$3:S$501,MATCH(ROW()-2,종합!$AB$3:$AB$501,0))&amp;"","")</f>
        <v/>
      </c>
      <c r="T406" s="21" t="str">
        <f aca="false">IFERROR(INDEX(종합!T$3:T$501,MATCH(ROW()-2,종합!$AB$3:$AB$501,0))&amp;"","")</f>
        <v/>
      </c>
      <c r="U406" s="21" t="str">
        <f aca="false">IFERROR(INDEX(종합!U$3:U$501,MATCH(ROW()-2,종합!$AB$3:$AB$501,0))&amp;"","")</f>
        <v/>
      </c>
      <c r="V406" s="21" t="str">
        <f aca="false">IFERROR(INDEX(종합!V$3:V$501,MATCH(ROW()-2,종합!$AB$3:$AB$501,0))&amp;"","")</f>
        <v/>
      </c>
      <c r="W406" s="21" t="str">
        <f aca="false">IFERROR(INDEX(종합!W$3:W$501,MATCH(ROW()-2,종합!$AB$3:$AB$501,0))&amp;"","")</f>
        <v/>
      </c>
      <c r="X406" s="21" t="str">
        <f aca="false">IFERROR(INDEX(종합!X$3:X$501,MATCH(ROW()-2,종합!$AB$3:$AB$501,0))&amp;"","")</f>
        <v/>
      </c>
      <c r="Y406" s="21" t="str">
        <f aca="false">IFERROR(INDEX(종합!Y$3:Y$501,MATCH(ROW()-2,종합!$AB$3:$AB$501,0))&amp;"","")</f>
        <v/>
      </c>
      <c r="Z406" s="21" t="str">
        <f aca="false">IFERROR(INDEX(종합!Z$3:Z$501,MATCH(ROW()-2,종합!$AB$3:$AB$501,0))&amp;"","")</f>
        <v/>
      </c>
    </row>
    <row r="407" customFormat="false" ht="16.5" hidden="false" customHeight="true" outlineLevel="0" collapsed="false">
      <c r="A407" s="18" t="str">
        <f aca="false">IF(B407="","",ROW()-2)</f>
        <v/>
      </c>
      <c r="B407" s="18" t="str">
        <f aca="false">IFERROR(INDEX(종합!B$3:B$501,MATCH(ROW()-2,종합!$AB$3:$AB$501,0))&amp;"","")</f>
        <v/>
      </c>
      <c r="C407" s="18" t="str">
        <f aca="false">IFERROR(INDEX(종합!C$3:C$501,MATCH(ROW()-2,종합!$AB$3:$AB$501,0))&amp;"","")</f>
        <v/>
      </c>
      <c r="D407" s="18" t="str">
        <f aca="false">IFERROR(INDEX(종합!D$3:D$501,MATCH(ROW()-2,종합!$AB$3:$AB$501,0))&amp;"","")</f>
        <v/>
      </c>
      <c r="E407" s="18" t="str">
        <f aca="false">IFERROR(INDEX(종합!E$3:E$501,MATCH(ROW()-2,종합!$AB$3:$AB$501,0))&amp;"","")</f>
        <v/>
      </c>
      <c r="F407" s="18" t="str">
        <f aca="false">IFERROR(INDEX(종합!F$3:F$501,MATCH(ROW()-2,종합!$AB$3:$AB$501,0))&amp;"","")</f>
        <v/>
      </c>
      <c r="G407" s="18" t="str">
        <f aca="false">IFERROR(INDEX(종합!G$3:G$501,MATCH(ROW()-2,종합!$AB$3:$AB$501,0))&amp;"","")</f>
        <v/>
      </c>
      <c r="H407" s="21" t="str">
        <f aca="false">IFERROR(INDEX(종합!H$3:H$501,MATCH(ROW()-2,종합!$AB$3:$AB$501,0))&amp;"","")</f>
        <v/>
      </c>
      <c r="I407" s="21" t="str">
        <f aca="false">IFERROR(INDEX(종합!I$3:I$501,MATCH(ROW()-2,종합!$AB$3:$AB$501,0))&amp;"","")</f>
        <v/>
      </c>
      <c r="J407" s="21" t="str">
        <f aca="false">IFERROR(INDEX(종합!J$3:J$501,MATCH(ROW()-2,종합!$AB$3:$AB$501,0))&amp;"","")</f>
        <v/>
      </c>
      <c r="K407" s="21" t="str">
        <f aca="false">IFERROR(INDEX(종합!K$3:K$501,MATCH(ROW()-2,종합!$AB$3:$AB$501,0))&amp;"","")</f>
        <v/>
      </c>
      <c r="L407" s="21" t="str">
        <f aca="false">IFERROR(INDEX(종합!L$3:L$501,MATCH(ROW()-2,종합!$AB$3:$AB$501,0))&amp;"","")</f>
        <v/>
      </c>
      <c r="M407" s="21" t="str">
        <f aca="false">IFERROR(INDEX(종합!M$3:M$501,MATCH(ROW()-2,종합!$AB$3:$AB$501,0))&amp;"","")</f>
        <v/>
      </c>
      <c r="N407" s="25" t="str">
        <f aca="false">IFERROR(INDEX(종합!N$3:N$501,MATCH(ROW()-2,종합!$AB$3:$AB$501,0))&amp;"","")</f>
        <v/>
      </c>
      <c r="O407" s="21" t="str">
        <f aca="false">IFERROR(INDEX(종합!O$3:O$501,MATCH(ROW()-2,종합!$AB$3:$AB$501,0))&amp;"","")</f>
        <v/>
      </c>
      <c r="P407" s="21" t="str">
        <f aca="false">IFERROR(INDEX(종합!P$3:P$501,MATCH(ROW()-2,종합!$AB$3:$AB$501,0))&amp;"","")</f>
        <v/>
      </c>
      <c r="Q407" s="21" t="str">
        <f aca="false">IFERROR(INDEX(종합!Q$3:Q$501,MATCH(ROW()-2,종합!$AB$3:$AB$501,0))&amp;"","")</f>
        <v/>
      </c>
      <c r="R407" s="21" t="str">
        <f aca="false">IFERROR(INDEX(종합!R$3:R$501,MATCH(ROW()-2,종합!$AB$3:$AB$501,0))&amp;"","")</f>
        <v/>
      </c>
      <c r="S407" s="21" t="str">
        <f aca="false">IFERROR(INDEX(종합!S$3:S$501,MATCH(ROW()-2,종합!$AB$3:$AB$501,0))&amp;"","")</f>
        <v/>
      </c>
      <c r="T407" s="21" t="str">
        <f aca="false">IFERROR(INDEX(종합!T$3:T$501,MATCH(ROW()-2,종합!$AB$3:$AB$501,0))&amp;"","")</f>
        <v/>
      </c>
      <c r="U407" s="21" t="str">
        <f aca="false">IFERROR(INDEX(종합!U$3:U$501,MATCH(ROW()-2,종합!$AB$3:$AB$501,0))&amp;"","")</f>
        <v/>
      </c>
      <c r="V407" s="21" t="str">
        <f aca="false">IFERROR(INDEX(종합!V$3:V$501,MATCH(ROW()-2,종합!$AB$3:$AB$501,0))&amp;"","")</f>
        <v/>
      </c>
      <c r="W407" s="21" t="str">
        <f aca="false">IFERROR(INDEX(종합!W$3:W$501,MATCH(ROW()-2,종합!$AB$3:$AB$501,0))&amp;"","")</f>
        <v/>
      </c>
      <c r="X407" s="21" t="str">
        <f aca="false">IFERROR(INDEX(종합!X$3:X$501,MATCH(ROW()-2,종합!$AB$3:$AB$501,0))&amp;"","")</f>
        <v/>
      </c>
      <c r="Y407" s="21" t="str">
        <f aca="false">IFERROR(INDEX(종합!Y$3:Y$501,MATCH(ROW()-2,종합!$AB$3:$AB$501,0))&amp;"","")</f>
        <v/>
      </c>
      <c r="Z407" s="21" t="str">
        <f aca="false">IFERROR(INDEX(종합!Z$3:Z$501,MATCH(ROW()-2,종합!$AB$3:$AB$501,0))&amp;"","")</f>
        <v/>
      </c>
    </row>
    <row r="408" customFormat="false" ht="16.5" hidden="false" customHeight="true" outlineLevel="0" collapsed="false">
      <c r="A408" s="18" t="str">
        <f aca="false">IF(B408="","",ROW()-2)</f>
        <v/>
      </c>
      <c r="B408" s="18" t="str">
        <f aca="false">IFERROR(INDEX(종합!B$3:B$501,MATCH(ROW()-2,종합!$AB$3:$AB$501,0))&amp;"","")</f>
        <v/>
      </c>
      <c r="C408" s="18" t="str">
        <f aca="false">IFERROR(INDEX(종합!C$3:C$501,MATCH(ROW()-2,종합!$AB$3:$AB$501,0))&amp;"","")</f>
        <v/>
      </c>
      <c r="D408" s="18" t="str">
        <f aca="false">IFERROR(INDEX(종합!D$3:D$501,MATCH(ROW()-2,종합!$AB$3:$AB$501,0))&amp;"","")</f>
        <v/>
      </c>
      <c r="E408" s="18" t="str">
        <f aca="false">IFERROR(INDEX(종합!E$3:E$501,MATCH(ROW()-2,종합!$AB$3:$AB$501,0))&amp;"","")</f>
        <v/>
      </c>
      <c r="F408" s="18" t="str">
        <f aca="false">IFERROR(INDEX(종합!F$3:F$501,MATCH(ROW()-2,종합!$AB$3:$AB$501,0))&amp;"","")</f>
        <v/>
      </c>
      <c r="G408" s="18" t="str">
        <f aca="false">IFERROR(INDEX(종합!G$3:G$501,MATCH(ROW()-2,종합!$AB$3:$AB$501,0))&amp;"","")</f>
        <v/>
      </c>
      <c r="H408" s="21" t="str">
        <f aca="false">IFERROR(INDEX(종합!H$3:H$501,MATCH(ROW()-2,종합!$AB$3:$AB$501,0))&amp;"","")</f>
        <v/>
      </c>
      <c r="I408" s="21" t="str">
        <f aca="false">IFERROR(INDEX(종합!I$3:I$501,MATCH(ROW()-2,종합!$AB$3:$AB$501,0))&amp;"","")</f>
        <v/>
      </c>
      <c r="J408" s="21" t="str">
        <f aca="false">IFERROR(INDEX(종합!J$3:J$501,MATCH(ROW()-2,종합!$AB$3:$AB$501,0))&amp;"","")</f>
        <v/>
      </c>
      <c r="K408" s="21" t="str">
        <f aca="false">IFERROR(INDEX(종합!K$3:K$501,MATCH(ROW()-2,종합!$AB$3:$AB$501,0))&amp;"","")</f>
        <v/>
      </c>
      <c r="L408" s="21" t="str">
        <f aca="false">IFERROR(INDEX(종합!L$3:L$501,MATCH(ROW()-2,종합!$AB$3:$AB$501,0))&amp;"","")</f>
        <v/>
      </c>
      <c r="M408" s="21" t="str">
        <f aca="false">IFERROR(INDEX(종합!M$3:M$501,MATCH(ROW()-2,종합!$AB$3:$AB$501,0))&amp;"","")</f>
        <v/>
      </c>
      <c r="N408" s="25" t="str">
        <f aca="false">IFERROR(INDEX(종합!N$3:N$501,MATCH(ROW()-2,종합!$AB$3:$AB$501,0))&amp;"","")</f>
        <v/>
      </c>
      <c r="O408" s="21" t="str">
        <f aca="false">IFERROR(INDEX(종합!O$3:O$501,MATCH(ROW()-2,종합!$AB$3:$AB$501,0))&amp;"","")</f>
        <v/>
      </c>
      <c r="P408" s="21" t="str">
        <f aca="false">IFERROR(INDEX(종합!P$3:P$501,MATCH(ROW()-2,종합!$AB$3:$AB$501,0))&amp;"","")</f>
        <v/>
      </c>
      <c r="Q408" s="21" t="str">
        <f aca="false">IFERROR(INDEX(종합!Q$3:Q$501,MATCH(ROW()-2,종합!$AB$3:$AB$501,0))&amp;"","")</f>
        <v/>
      </c>
      <c r="R408" s="21" t="str">
        <f aca="false">IFERROR(INDEX(종합!R$3:R$501,MATCH(ROW()-2,종합!$AB$3:$AB$501,0))&amp;"","")</f>
        <v/>
      </c>
      <c r="S408" s="21" t="str">
        <f aca="false">IFERROR(INDEX(종합!S$3:S$501,MATCH(ROW()-2,종합!$AB$3:$AB$501,0))&amp;"","")</f>
        <v/>
      </c>
      <c r="T408" s="21" t="str">
        <f aca="false">IFERROR(INDEX(종합!T$3:T$501,MATCH(ROW()-2,종합!$AB$3:$AB$501,0))&amp;"","")</f>
        <v/>
      </c>
      <c r="U408" s="21" t="str">
        <f aca="false">IFERROR(INDEX(종합!U$3:U$501,MATCH(ROW()-2,종합!$AB$3:$AB$501,0))&amp;"","")</f>
        <v/>
      </c>
      <c r="V408" s="21" t="str">
        <f aca="false">IFERROR(INDEX(종합!V$3:V$501,MATCH(ROW()-2,종합!$AB$3:$AB$501,0))&amp;"","")</f>
        <v/>
      </c>
      <c r="W408" s="21" t="str">
        <f aca="false">IFERROR(INDEX(종합!W$3:W$501,MATCH(ROW()-2,종합!$AB$3:$AB$501,0))&amp;"","")</f>
        <v/>
      </c>
      <c r="X408" s="21" t="str">
        <f aca="false">IFERROR(INDEX(종합!X$3:X$501,MATCH(ROW()-2,종합!$AB$3:$AB$501,0))&amp;"","")</f>
        <v/>
      </c>
      <c r="Y408" s="21" t="str">
        <f aca="false">IFERROR(INDEX(종합!Y$3:Y$501,MATCH(ROW()-2,종합!$AB$3:$AB$501,0))&amp;"","")</f>
        <v/>
      </c>
      <c r="Z408" s="21" t="str">
        <f aca="false">IFERROR(INDEX(종합!Z$3:Z$501,MATCH(ROW()-2,종합!$AB$3:$AB$501,0))&amp;"","")</f>
        <v/>
      </c>
    </row>
    <row r="409" customFormat="false" ht="16.5" hidden="false" customHeight="true" outlineLevel="0" collapsed="false">
      <c r="A409" s="18" t="str">
        <f aca="false">IF(B409="","",ROW()-2)</f>
        <v/>
      </c>
      <c r="B409" s="18" t="str">
        <f aca="false">IFERROR(INDEX(종합!B$3:B$501,MATCH(ROW()-2,종합!$AB$3:$AB$501,0))&amp;"","")</f>
        <v/>
      </c>
      <c r="C409" s="18" t="str">
        <f aca="false">IFERROR(INDEX(종합!C$3:C$501,MATCH(ROW()-2,종합!$AB$3:$AB$501,0))&amp;"","")</f>
        <v/>
      </c>
      <c r="D409" s="18" t="str">
        <f aca="false">IFERROR(INDEX(종합!D$3:D$501,MATCH(ROW()-2,종합!$AB$3:$AB$501,0))&amp;"","")</f>
        <v/>
      </c>
      <c r="E409" s="18" t="str">
        <f aca="false">IFERROR(INDEX(종합!E$3:E$501,MATCH(ROW()-2,종합!$AB$3:$AB$501,0))&amp;"","")</f>
        <v/>
      </c>
      <c r="F409" s="18" t="str">
        <f aca="false">IFERROR(INDEX(종합!F$3:F$501,MATCH(ROW()-2,종합!$AB$3:$AB$501,0))&amp;"","")</f>
        <v/>
      </c>
      <c r="G409" s="18" t="str">
        <f aca="false">IFERROR(INDEX(종합!G$3:G$501,MATCH(ROW()-2,종합!$AB$3:$AB$501,0))&amp;"","")</f>
        <v/>
      </c>
      <c r="H409" s="21" t="str">
        <f aca="false">IFERROR(INDEX(종합!H$3:H$501,MATCH(ROW()-2,종합!$AB$3:$AB$501,0))&amp;"","")</f>
        <v/>
      </c>
      <c r="I409" s="21" t="str">
        <f aca="false">IFERROR(INDEX(종합!I$3:I$501,MATCH(ROW()-2,종합!$AB$3:$AB$501,0))&amp;"","")</f>
        <v/>
      </c>
      <c r="J409" s="21" t="str">
        <f aca="false">IFERROR(INDEX(종합!J$3:J$501,MATCH(ROW()-2,종합!$AB$3:$AB$501,0))&amp;"","")</f>
        <v/>
      </c>
      <c r="K409" s="21" t="str">
        <f aca="false">IFERROR(INDEX(종합!K$3:K$501,MATCH(ROW()-2,종합!$AB$3:$AB$501,0))&amp;"","")</f>
        <v/>
      </c>
      <c r="L409" s="21" t="str">
        <f aca="false">IFERROR(INDEX(종합!L$3:L$501,MATCH(ROW()-2,종합!$AB$3:$AB$501,0))&amp;"","")</f>
        <v/>
      </c>
      <c r="M409" s="21" t="str">
        <f aca="false">IFERROR(INDEX(종합!M$3:M$501,MATCH(ROW()-2,종합!$AB$3:$AB$501,0))&amp;"","")</f>
        <v/>
      </c>
      <c r="N409" s="25" t="str">
        <f aca="false">IFERROR(INDEX(종합!N$3:N$501,MATCH(ROW()-2,종합!$AB$3:$AB$501,0))&amp;"","")</f>
        <v/>
      </c>
      <c r="O409" s="21" t="str">
        <f aca="false">IFERROR(INDEX(종합!O$3:O$501,MATCH(ROW()-2,종합!$AB$3:$AB$501,0))&amp;"","")</f>
        <v/>
      </c>
      <c r="P409" s="21" t="str">
        <f aca="false">IFERROR(INDEX(종합!P$3:P$501,MATCH(ROW()-2,종합!$AB$3:$AB$501,0))&amp;"","")</f>
        <v/>
      </c>
      <c r="Q409" s="21" t="str">
        <f aca="false">IFERROR(INDEX(종합!Q$3:Q$501,MATCH(ROW()-2,종합!$AB$3:$AB$501,0))&amp;"","")</f>
        <v/>
      </c>
      <c r="R409" s="21" t="str">
        <f aca="false">IFERROR(INDEX(종합!R$3:R$501,MATCH(ROW()-2,종합!$AB$3:$AB$501,0))&amp;"","")</f>
        <v/>
      </c>
      <c r="S409" s="21" t="str">
        <f aca="false">IFERROR(INDEX(종합!S$3:S$501,MATCH(ROW()-2,종합!$AB$3:$AB$501,0))&amp;"","")</f>
        <v/>
      </c>
      <c r="T409" s="21" t="str">
        <f aca="false">IFERROR(INDEX(종합!T$3:T$501,MATCH(ROW()-2,종합!$AB$3:$AB$501,0))&amp;"","")</f>
        <v/>
      </c>
      <c r="U409" s="21" t="str">
        <f aca="false">IFERROR(INDEX(종합!U$3:U$501,MATCH(ROW()-2,종합!$AB$3:$AB$501,0))&amp;"","")</f>
        <v/>
      </c>
      <c r="V409" s="21" t="str">
        <f aca="false">IFERROR(INDEX(종합!V$3:V$501,MATCH(ROW()-2,종합!$AB$3:$AB$501,0))&amp;"","")</f>
        <v/>
      </c>
      <c r="W409" s="21" t="str">
        <f aca="false">IFERROR(INDEX(종합!W$3:W$501,MATCH(ROW()-2,종합!$AB$3:$AB$501,0))&amp;"","")</f>
        <v/>
      </c>
      <c r="X409" s="21" t="str">
        <f aca="false">IFERROR(INDEX(종합!X$3:X$501,MATCH(ROW()-2,종합!$AB$3:$AB$501,0))&amp;"","")</f>
        <v/>
      </c>
      <c r="Y409" s="21" t="str">
        <f aca="false">IFERROR(INDEX(종합!Y$3:Y$501,MATCH(ROW()-2,종합!$AB$3:$AB$501,0))&amp;"","")</f>
        <v/>
      </c>
      <c r="Z409" s="21" t="str">
        <f aca="false">IFERROR(INDEX(종합!Z$3:Z$501,MATCH(ROW()-2,종합!$AB$3:$AB$501,0))&amp;"","")</f>
        <v/>
      </c>
    </row>
    <row r="410" customFormat="false" ht="16.5" hidden="false" customHeight="true" outlineLevel="0" collapsed="false">
      <c r="A410" s="18" t="str">
        <f aca="false">IF(B410="","",ROW()-2)</f>
        <v/>
      </c>
      <c r="B410" s="18" t="str">
        <f aca="false">IFERROR(INDEX(종합!B$3:B$501,MATCH(ROW()-2,종합!$AB$3:$AB$501,0))&amp;"","")</f>
        <v/>
      </c>
      <c r="C410" s="18" t="str">
        <f aca="false">IFERROR(INDEX(종합!C$3:C$501,MATCH(ROW()-2,종합!$AB$3:$AB$501,0))&amp;"","")</f>
        <v/>
      </c>
      <c r="D410" s="18" t="str">
        <f aca="false">IFERROR(INDEX(종합!D$3:D$501,MATCH(ROW()-2,종합!$AB$3:$AB$501,0))&amp;"","")</f>
        <v/>
      </c>
      <c r="E410" s="18" t="str">
        <f aca="false">IFERROR(INDEX(종합!E$3:E$501,MATCH(ROW()-2,종합!$AB$3:$AB$501,0))&amp;"","")</f>
        <v/>
      </c>
      <c r="F410" s="18" t="str">
        <f aca="false">IFERROR(INDEX(종합!F$3:F$501,MATCH(ROW()-2,종합!$AB$3:$AB$501,0))&amp;"","")</f>
        <v/>
      </c>
      <c r="G410" s="18" t="str">
        <f aca="false">IFERROR(INDEX(종합!G$3:G$501,MATCH(ROW()-2,종합!$AB$3:$AB$501,0))&amp;"","")</f>
        <v/>
      </c>
      <c r="H410" s="21" t="str">
        <f aca="false">IFERROR(INDEX(종합!H$3:H$501,MATCH(ROW()-2,종합!$AB$3:$AB$501,0))&amp;"","")</f>
        <v/>
      </c>
      <c r="I410" s="21" t="str">
        <f aca="false">IFERROR(INDEX(종합!I$3:I$501,MATCH(ROW()-2,종합!$AB$3:$AB$501,0))&amp;"","")</f>
        <v/>
      </c>
      <c r="J410" s="21" t="str">
        <f aca="false">IFERROR(INDEX(종합!J$3:J$501,MATCH(ROW()-2,종합!$AB$3:$AB$501,0))&amp;"","")</f>
        <v/>
      </c>
      <c r="K410" s="21" t="str">
        <f aca="false">IFERROR(INDEX(종합!K$3:K$501,MATCH(ROW()-2,종합!$AB$3:$AB$501,0))&amp;"","")</f>
        <v/>
      </c>
      <c r="L410" s="21" t="str">
        <f aca="false">IFERROR(INDEX(종합!L$3:L$501,MATCH(ROW()-2,종합!$AB$3:$AB$501,0))&amp;"","")</f>
        <v/>
      </c>
      <c r="M410" s="21" t="str">
        <f aca="false">IFERROR(INDEX(종합!M$3:M$501,MATCH(ROW()-2,종합!$AB$3:$AB$501,0))&amp;"","")</f>
        <v/>
      </c>
      <c r="N410" s="25" t="str">
        <f aca="false">IFERROR(INDEX(종합!N$3:N$501,MATCH(ROW()-2,종합!$AB$3:$AB$501,0))&amp;"","")</f>
        <v/>
      </c>
      <c r="O410" s="21" t="str">
        <f aca="false">IFERROR(INDEX(종합!O$3:O$501,MATCH(ROW()-2,종합!$AB$3:$AB$501,0))&amp;"","")</f>
        <v/>
      </c>
      <c r="P410" s="21" t="str">
        <f aca="false">IFERROR(INDEX(종합!P$3:P$501,MATCH(ROW()-2,종합!$AB$3:$AB$501,0))&amp;"","")</f>
        <v/>
      </c>
      <c r="Q410" s="21" t="str">
        <f aca="false">IFERROR(INDEX(종합!Q$3:Q$501,MATCH(ROW()-2,종합!$AB$3:$AB$501,0))&amp;"","")</f>
        <v/>
      </c>
      <c r="R410" s="21" t="str">
        <f aca="false">IFERROR(INDEX(종합!R$3:R$501,MATCH(ROW()-2,종합!$AB$3:$AB$501,0))&amp;"","")</f>
        <v/>
      </c>
      <c r="S410" s="21" t="str">
        <f aca="false">IFERROR(INDEX(종합!S$3:S$501,MATCH(ROW()-2,종합!$AB$3:$AB$501,0))&amp;"","")</f>
        <v/>
      </c>
      <c r="T410" s="21" t="str">
        <f aca="false">IFERROR(INDEX(종합!T$3:T$501,MATCH(ROW()-2,종합!$AB$3:$AB$501,0))&amp;"","")</f>
        <v/>
      </c>
      <c r="U410" s="21" t="str">
        <f aca="false">IFERROR(INDEX(종합!U$3:U$501,MATCH(ROW()-2,종합!$AB$3:$AB$501,0))&amp;"","")</f>
        <v/>
      </c>
      <c r="V410" s="21" t="str">
        <f aca="false">IFERROR(INDEX(종합!V$3:V$501,MATCH(ROW()-2,종합!$AB$3:$AB$501,0))&amp;"","")</f>
        <v/>
      </c>
      <c r="W410" s="21" t="str">
        <f aca="false">IFERROR(INDEX(종합!W$3:W$501,MATCH(ROW()-2,종합!$AB$3:$AB$501,0))&amp;"","")</f>
        <v/>
      </c>
      <c r="X410" s="21" t="str">
        <f aca="false">IFERROR(INDEX(종합!X$3:X$501,MATCH(ROW()-2,종합!$AB$3:$AB$501,0))&amp;"","")</f>
        <v/>
      </c>
      <c r="Y410" s="21" t="str">
        <f aca="false">IFERROR(INDEX(종합!Y$3:Y$501,MATCH(ROW()-2,종합!$AB$3:$AB$501,0))&amp;"","")</f>
        <v/>
      </c>
      <c r="Z410" s="21" t="str">
        <f aca="false">IFERROR(INDEX(종합!Z$3:Z$501,MATCH(ROW()-2,종합!$AB$3:$AB$501,0))&amp;"","")</f>
        <v/>
      </c>
    </row>
    <row r="411" customFormat="false" ht="16.5" hidden="false" customHeight="true" outlineLevel="0" collapsed="false">
      <c r="A411" s="18" t="str">
        <f aca="false">IF(B411="","",ROW()-2)</f>
        <v/>
      </c>
      <c r="B411" s="18" t="str">
        <f aca="false">IFERROR(INDEX(종합!B$3:B$501,MATCH(ROW()-2,종합!$AB$3:$AB$501,0))&amp;"","")</f>
        <v/>
      </c>
      <c r="C411" s="18" t="str">
        <f aca="false">IFERROR(INDEX(종합!C$3:C$501,MATCH(ROW()-2,종합!$AB$3:$AB$501,0))&amp;"","")</f>
        <v/>
      </c>
      <c r="D411" s="18" t="str">
        <f aca="false">IFERROR(INDEX(종합!D$3:D$501,MATCH(ROW()-2,종합!$AB$3:$AB$501,0))&amp;"","")</f>
        <v/>
      </c>
      <c r="E411" s="18" t="str">
        <f aca="false">IFERROR(INDEX(종합!E$3:E$501,MATCH(ROW()-2,종합!$AB$3:$AB$501,0))&amp;"","")</f>
        <v/>
      </c>
      <c r="F411" s="18" t="str">
        <f aca="false">IFERROR(INDEX(종합!F$3:F$501,MATCH(ROW()-2,종합!$AB$3:$AB$501,0))&amp;"","")</f>
        <v/>
      </c>
      <c r="G411" s="18" t="str">
        <f aca="false">IFERROR(INDEX(종합!G$3:G$501,MATCH(ROW()-2,종합!$AB$3:$AB$501,0))&amp;"","")</f>
        <v/>
      </c>
      <c r="H411" s="21" t="str">
        <f aca="false">IFERROR(INDEX(종합!H$3:H$501,MATCH(ROW()-2,종합!$AB$3:$AB$501,0))&amp;"","")</f>
        <v/>
      </c>
      <c r="I411" s="21" t="str">
        <f aca="false">IFERROR(INDEX(종합!I$3:I$501,MATCH(ROW()-2,종합!$AB$3:$AB$501,0))&amp;"","")</f>
        <v/>
      </c>
      <c r="J411" s="21" t="str">
        <f aca="false">IFERROR(INDEX(종합!J$3:J$501,MATCH(ROW()-2,종합!$AB$3:$AB$501,0))&amp;"","")</f>
        <v/>
      </c>
      <c r="K411" s="21" t="str">
        <f aca="false">IFERROR(INDEX(종합!K$3:K$501,MATCH(ROW()-2,종합!$AB$3:$AB$501,0))&amp;"","")</f>
        <v/>
      </c>
      <c r="L411" s="21" t="str">
        <f aca="false">IFERROR(INDEX(종합!L$3:L$501,MATCH(ROW()-2,종합!$AB$3:$AB$501,0))&amp;"","")</f>
        <v/>
      </c>
      <c r="M411" s="21" t="str">
        <f aca="false">IFERROR(INDEX(종합!M$3:M$501,MATCH(ROW()-2,종합!$AB$3:$AB$501,0))&amp;"","")</f>
        <v/>
      </c>
      <c r="N411" s="25" t="str">
        <f aca="false">IFERROR(INDEX(종합!N$3:N$501,MATCH(ROW()-2,종합!$AB$3:$AB$501,0))&amp;"","")</f>
        <v/>
      </c>
      <c r="O411" s="21" t="str">
        <f aca="false">IFERROR(INDEX(종합!O$3:O$501,MATCH(ROW()-2,종합!$AB$3:$AB$501,0))&amp;"","")</f>
        <v/>
      </c>
      <c r="P411" s="21" t="str">
        <f aca="false">IFERROR(INDEX(종합!P$3:P$501,MATCH(ROW()-2,종합!$AB$3:$AB$501,0))&amp;"","")</f>
        <v/>
      </c>
      <c r="Q411" s="21" t="str">
        <f aca="false">IFERROR(INDEX(종합!Q$3:Q$501,MATCH(ROW()-2,종합!$AB$3:$AB$501,0))&amp;"","")</f>
        <v/>
      </c>
      <c r="R411" s="21" t="str">
        <f aca="false">IFERROR(INDEX(종합!R$3:R$501,MATCH(ROW()-2,종합!$AB$3:$AB$501,0))&amp;"","")</f>
        <v/>
      </c>
      <c r="S411" s="21" t="str">
        <f aca="false">IFERROR(INDEX(종합!S$3:S$501,MATCH(ROW()-2,종합!$AB$3:$AB$501,0))&amp;"","")</f>
        <v/>
      </c>
      <c r="T411" s="21" t="str">
        <f aca="false">IFERROR(INDEX(종합!T$3:T$501,MATCH(ROW()-2,종합!$AB$3:$AB$501,0))&amp;"","")</f>
        <v/>
      </c>
      <c r="U411" s="21" t="str">
        <f aca="false">IFERROR(INDEX(종합!U$3:U$501,MATCH(ROW()-2,종합!$AB$3:$AB$501,0))&amp;"","")</f>
        <v/>
      </c>
      <c r="V411" s="21" t="str">
        <f aca="false">IFERROR(INDEX(종합!V$3:V$501,MATCH(ROW()-2,종합!$AB$3:$AB$501,0))&amp;"","")</f>
        <v/>
      </c>
      <c r="W411" s="21" t="str">
        <f aca="false">IFERROR(INDEX(종합!W$3:W$501,MATCH(ROW()-2,종합!$AB$3:$AB$501,0))&amp;"","")</f>
        <v/>
      </c>
      <c r="X411" s="21" t="str">
        <f aca="false">IFERROR(INDEX(종합!X$3:X$501,MATCH(ROW()-2,종합!$AB$3:$AB$501,0))&amp;"","")</f>
        <v/>
      </c>
      <c r="Y411" s="21" t="str">
        <f aca="false">IFERROR(INDEX(종합!Y$3:Y$501,MATCH(ROW()-2,종합!$AB$3:$AB$501,0))&amp;"","")</f>
        <v/>
      </c>
      <c r="Z411" s="21" t="str">
        <f aca="false">IFERROR(INDEX(종합!Z$3:Z$501,MATCH(ROW()-2,종합!$AB$3:$AB$501,0))&amp;"","")</f>
        <v/>
      </c>
    </row>
    <row r="412" customFormat="false" ht="16.5" hidden="false" customHeight="true" outlineLevel="0" collapsed="false">
      <c r="A412" s="18" t="str">
        <f aca="false">IF(B412="","",ROW()-2)</f>
        <v/>
      </c>
      <c r="B412" s="18" t="str">
        <f aca="false">IFERROR(INDEX(종합!B$3:B$501,MATCH(ROW()-2,종합!$AB$3:$AB$501,0))&amp;"","")</f>
        <v/>
      </c>
      <c r="C412" s="18" t="str">
        <f aca="false">IFERROR(INDEX(종합!C$3:C$501,MATCH(ROW()-2,종합!$AB$3:$AB$501,0))&amp;"","")</f>
        <v/>
      </c>
      <c r="D412" s="18" t="str">
        <f aca="false">IFERROR(INDEX(종합!D$3:D$501,MATCH(ROW()-2,종합!$AB$3:$AB$501,0))&amp;"","")</f>
        <v/>
      </c>
      <c r="E412" s="18" t="str">
        <f aca="false">IFERROR(INDEX(종합!E$3:E$501,MATCH(ROW()-2,종합!$AB$3:$AB$501,0))&amp;"","")</f>
        <v/>
      </c>
      <c r="F412" s="18" t="str">
        <f aca="false">IFERROR(INDEX(종합!F$3:F$501,MATCH(ROW()-2,종합!$AB$3:$AB$501,0))&amp;"","")</f>
        <v/>
      </c>
      <c r="G412" s="18" t="str">
        <f aca="false">IFERROR(INDEX(종합!G$3:G$501,MATCH(ROW()-2,종합!$AB$3:$AB$501,0))&amp;"","")</f>
        <v/>
      </c>
      <c r="H412" s="21" t="str">
        <f aca="false">IFERROR(INDEX(종합!H$3:H$501,MATCH(ROW()-2,종합!$AB$3:$AB$501,0))&amp;"","")</f>
        <v/>
      </c>
      <c r="I412" s="21" t="str">
        <f aca="false">IFERROR(INDEX(종합!I$3:I$501,MATCH(ROW()-2,종합!$AB$3:$AB$501,0))&amp;"","")</f>
        <v/>
      </c>
      <c r="J412" s="21" t="str">
        <f aca="false">IFERROR(INDEX(종합!J$3:J$501,MATCH(ROW()-2,종합!$AB$3:$AB$501,0))&amp;"","")</f>
        <v/>
      </c>
      <c r="K412" s="21" t="str">
        <f aca="false">IFERROR(INDEX(종합!K$3:K$501,MATCH(ROW()-2,종합!$AB$3:$AB$501,0))&amp;"","")</f>
        <v/>
      </c>
      <c r="L412" s="21" t="str">
        <f aca="false">IFERROR(INDEX(종합!L$3:L$501,MATCH(ROW()-2,종합!$AB$3:$AB$501,0))&amp;"","")</f>
        <v/>
      </c>
      <c r="M412" s="21" t="str">
        <f aca="false">IFERROR(INDEX(종합!M$3:M$501,MATCH(ROW()-2,종합!$AB$3:$AB$501,0))&amp;"","")</f>
        <v/>
      </c>
      <c r="N412" s="25" t="str">
        <f aca="false">IFERROR(INDEX(종합!N$3:N$501,MATCH(ROW()-2,종합!$AB$3:$AB$501,0))&amp;"","")</f>
        <v/>
      </c>
      <c r="O412" s="21" t="str">
        <f aca="false">IFERROR(INDEX(종합!O$3:O$501,MATCH(ROW()-2,종합!$AB$3:$AB$501,0))&amp;"","")</f>
        <v/>
      </c>
      <c r="P412" s="21" t="str">
        <f aca="false">IFERROR(INDEX(종합!P$3:P$501,MATCH(ROW()-2,종합!$AB$3:$AB$501,0))&amp;"","")</f>
        <v/>
      </c>
      <c r="Q412" s="21" t="str">
        <f aca="false">IFERROR(INDEX(종합!Q$3:Q$501,MATCH(ROW()-2,종합!$AB$3:$AB$501,0))&amp;"","")</f>
        <v/>
      </c>
      <c r="R412" s="21" t="str">
        <f aca="false">IFERROR(INDEX(종합!R$3:R$501,MATCH(ROW()-2,종합!$AB$3:$AB$501,0))&amp;"","")</f>
        <v/>
      </c>
      <c r="S412" s="21" t="str">
        <f aca="false">IFERROR(INDEX(종합!S$3:S$501,MATCH(ROW()-2,종합!$AB$3:$AB$501,0))&amp;"","")</f>
        <v/>
      </c>
      <c r="T412" s="21" t="str">
        <f aca="false">IFERROR(INDEX(종합!T$3:T$501,MATCH(ROW()-2,종합!$AB$3:$AB$501,0))&amp;"","")</f>
        <v/>
      </c>
      <c r="U412" s="21" t="str">
        <f aca="false">IFERROR(INDEX(종합!U$3:U$501,MATCH(ROW()-2,종합!$AB$3:$AB$501,0))&amp;"","")</f>
        <v/>
      </c>
      <c r="V412" s="21" t="str">
        <f aca="false">IFERROR(INDEX(종합!V$3:V$501,MATCH(ROW()-2,종합!$AB$3:$AB$501,0))&amp;"","")</f>
        <v/>
      </c>
      <c r="W412" s="21" t="str">
        <f aca="false">IFERROR(INDEX(종합!W$3:W$501,MATCH(ROW()-2,종합!$AB$3:$AB$501,0))&amp;"","")</f>
        <v/>
      </c>
      <c r="X412" s="21" t="str">
        <f aca="false">IFERROR(INDEX(종합!X$3:X$501,MATCH(ROW()-2,종합!$AB$3:$AB$501,0))&amp;"","")</f>
        <v/>
      </c>
      <c r="Y412" s="21" t="str">
        <f aca="false">IFERROR(INDEX(종합!Y$3:Y$501,MATCH(ROW()-2,종합!$AB$3:$AB$501,0))&amp;"","")</f>
        <v/>
      </c>
      <c r="Z412" s="21" t="str">
        <f aca="false">IFERROR(INDEX(종합!Z$3:Z$501,MATCH(ROW()-2,종합!$AB$3:$AB$501,0))&amp;"","")</f>
        <v/>
      </c>
    </row>
    <row r="413" customFormat="false" ht="16.5" hidden="false" customHeight="true" outlineLevel="0" collapsed="false">
      <c r="A413" s="18" t="str">
        <f aca="false">IF(B413="","",ROW()-2)</f>
        <v/>
      </c>
      <c r="B413" s="18" t="str">
        <f aca="false">IFERROR(INDEX(종합!B$3:B$501,MATCH(ROW()-2,종합!$AB$3:$AB$501,0))&amp;"","")</f>
        <v/>
      </c>
      <c r="C413" s="18" t="str">
        <f aca="false">IFERROR(INDEX(종합!C$3:C$501,MATCH(ROW()-2,종합!$AB$3:$AB$501,0))&amp;"","")</f>
        <v/>
      </c>
      <c r="D413" s="18" t="str">
        <f aca="false">IFERROR(INDEX(종합!D$3:D$501,MATCH(ROW()-2,종합!$AB$3:$AB$501,0))&amp;"","")</f>
        <v/>
      </c>
      <c r="E413" s="18" t="str">
        <f aca="false">IFERROR(INDEX(종합!E$3:E$501,MATCH(ROW()-2,종합!$AB$3:$AB$501,0))&amp;"","")</f>
        <v/>
      </c>
      <c r="F413" s="18" t="str">
        <f aca="false">IFERROR(INDEX(종합!F$3:F$501,MATCH(ROW()-2,종합!$AB$3:$AB$501,0))&amp;"","")</f>
        <v/>
      </c>
      <c r="G413" s="18" t="str">
        <f aca="false">IFERROR(INDEX(종합!G$3:G$501,MATCH(ROW()-2,종합!$AB$3:$AB$501,0))&amp;"","")</f>
        <v/>
      </c>
      <c r="H413" s="21" t="str">
        <f aca="false">IFERROR(INDEX(종합!H$3:H$501,MATCH(ROW()-2,종합!$AB$3:$AB$501,0))&amp;"","")</f>
        <v/>
      </c>
      <c r="I413" s="21" t="str">
        <f aca="false">IFERROR(INDEX(종합!I$3:I$501,MATCH(ROW()-2,종합!$AB$3:$AB$501,0))&amp;"","")</f>
        <v/>
      </c>
      <c r="J413" s="21" t="str">
        <f aca="false">IFERROR(INDEX(종합!J$3:J$501,MATCH(ROW()-2,종합!$AB$3:$AB$501,0))&amp;"","")</f>
        <v/>
      </c>
      <c r="K413" s="21" t="str">
        <f aca="false">IFERROR(INDEX(종합!K$3:K$501,MATCH(ROW()-2,종합!$AB$3:$AB$501,0))&amp;"","")</f>
        <v/>
      </c>
      <c r="L413" s="21" t="str">
        <f aca="false">IFERROR(INDEX(종합!L$3:L$501,MATCH(ROW()-2,종합!$AB$3:$AB$501,0))&amp;"","")</f>
        <v/>
      </c>
      <c r="M413" s="21" t="str">
        <f aca="false">IFERROR(INDEX(종합!M$3:M$501,MATCH(ROW()-2,종합!$AB$3:$AB$501,0))&amp;"","")</f>
        <v/>
      </c>
      <c r="N413" s="25" t="str">
        <f aca="false">IFERROR(INDEX(종합!N$3:N$501,MATCH(ROW()-2,종합!$AB$3:$AB$501,0))&amp;"","")</f>
        <v/>
      </c>
      <c r="O413" s="21" t="str">
        <f aca="false">IFERROR(INDEX(종합!O$3:O$501,MATCH(ROW()-2,종합!$AB$3:$AB$501,0))&amp;"","")</f>
        <v/>
      </c>
      <c r="P413" s="21" t="str">
        <f aca="false">IFERROR(INDEX(종합!P$3:P$501,MATCH(ROW()-2,종합!$AB$3:$AB$501,0))&amp;"","")</f>
        <v/>
      </c>
      <c r="Q413" s="21" t="str">
        <f aca="false">IFERROR(INDEX(종합!Q$3:Q$501,MATCH(ROW()-2,종합!$AB$3:$AB$501,0))&amp;"","")</f>
        <v/>
      </c>
      <c r="R413" s="21" t="str">
        <f aca="false">IFERROR(INDEX(종합!R$3:R$501,MATCH(ROW()-2,종합!$AB$3:$AB$501,0))&amp;"","")</f>
        <v/>
      </c>
      <c r="S413" s="21" t="str">
        <f aca="false">IFERROR(INDEX(종합!S$3:S$501,MATCH(ROW()-2,종합!$AB$3:$AB$501,0))&amp;"","")</f>
        <v/>
      </c>
      <c r="T413" s="21" t="str">
        <f aca="false">IFERROR(INDEX(종합!T$3:T$501,MATCH(ROW()-2,종합!$AB$3:$AB$501,0))&amp;"","")</f>
        <v/>
      </c>
      <c r="U413" s="21" t="str">
        <f aca="false">IFERROR(INDEX(종합!U$3:U$501,MATCH(ROW()-2,종합!$AB$3:$AB$501,0))&amp;"","")</f>
        <v/>
      </c>
      <c r="V413" s="21" t="str">
        <f aca="false">IFERROR(INDEX(종합!V$3:V$501,MATCH(ROW()-2,종합!$AB$3:$AB$501,0))&amp;"","")</f>
        <v/>
      </c>
      <c r="W413" s="21" t="str">
        <f aca="false">IFERROR(INDEX(종합!W$3:W$501,MATCH(ROW()-2,종합!$AB$3:$AB$501,0))&amp;"","")</f>
        <v/>
      </c>
      <c r="X413" s="21" t="str">
        <f aca="false">IFERROR(INDEX(종합!X$3:X$501,MATCH(ROW()-2,종합!$AB$3:$AB$501,0))&amp;"","")</f>
        <v/>
      </c>
      <c r="Y413" s="21" t="str">
        <f aca="false">IFERROR(INDEX(종합!Y$3:Y$501,MATCH(ROW()-2,종합!$AB$3:$AB$501,0))&amp;"","")</f>
        <v/>
      </c>
      <c r="Z413" s="21" t="str">
        <f aca="false">IFERROR(INDEX(종합!Z$3:Z$501,MATCH(ROW()-2,종합!$AB$3:$AB$501,0))&amp;"","")</f>
        <v/>
      </c>
    </row>
    <row r="414" customFormat="false" ht="16.5" hidden="false" customHeight="true" outlineLevel="0" collapsed="false">
      <c r="A414" s="18" t="str">
        <f aca="false">IF(B414="","",ROW()-2)</f>
        <v/>
      </c>
      <c r="B414" s="18" t="str">
        <f aca="false">IFERROR(INDEX(종합!B$3:B$501,MATCH(ROW()-2,종합!$AB$3:$AB$501,0))&amp;"","")</f>
        <v/>
      </c>
      <c r="C414" s="18" t="str">
        <f aca="false">IFERROR(INDEX(종합!C$3:C$501,MATCH(ROW()-2,종합!$AB$3:$AB$501,0))&amp;"","")</f>
        <v/>
      </c>
      <c r="D414" s="18" t="str">
        <f aca="false">IFERROR(INDEX(종합!D$3:D$501,MATCH(ROW()-2,종합!$AB$3:$AB$501,0))&amp;"","")</f>
        <v/>
      </c>
      <c r="E414" s="18" t="str">
        <f aca="false">IFERROR(INDEX(종합!E$3:E$501,MATCH(ROW()-2,종합!$AB$3:$AB$501,0))&amp;"","")</f>
        <v/>
      </c>
      <c r="F414" s="18" t="str">
        <f aca="false">IFERROR(INDEX(종합!F$3:F$501,MATCH(ROW()-2,종합!$AB$3:$AB$501,0))&amp;"","")</f>
        <v/>
      </c>
      <c r="G414" s="18" t="str">
        <f aca="false">IFERROR(INDEX(종합!G$3:G$501,MATCH(ROW()-2,종합!$AB$3:$AB$501,0))&amp;"","")</f>
        <v/>
      </c>
      <c r="H414" s="21" t="str">
        <f aca="false">IFERROR(INDEX(종합!H$3:H$501,MATCH(ROW()-2,종합!$AB$3:$AB$501,0))&amp;"","")</f>
        <v/>
      </c>
      <c r="I414" s="21" t="str">
        <f aca="false">IFERROR(INDEX(종합!I$3:I$501,MATCH(ROW()-2,종합!$AB$3:$AB$501,0))&amp;"","")</f>
        <v/>
      </c>
      <c r="J414" s="21" t="str">
        <f aca="false">IFERROR(INDEX(종합!J$3:J$501,MATCH(ROW()-2,종합!$AB$3:$AB$501,0))&amp;"","")</f>
        <v/>
      </c>
      <c r="K414" s="21" t="str">
        <f aca="false">IFERROR(INDEX(종합!K$3:K$501,MATCH(ROW()-2,종합!$AB$3:$AB$501,0))&amp;"","")</f>
        <v/>
      </c>
      <c r="L414" s="21" t="str">
        <f aca="false">IFERROR(INDEX(종합!L$3:L$501,MATCH(ROW()-2,종합!$AB$3:$AB$501,0))&amp;"","")</f>
        <v/>
      </c>
      <c r="M414" s="21" t="str">
        <f aca="false">IFERROR(INDEX(종합!M$3:M$501,MATCH(ROW()-2,종합!$AB$3:$AB$501,0))&amp;"","")</f>
        <v/>
      </c>
      <c r="N414" s="25" t="str">
        <f aca="false">IFERROR(INDEX(종합!N$3:N$501,MATCH(ROW()-2,종합!$AB$3:$AB$501,0))&amp;"","")</f>
        <v/>
      </c>
      <c r="O414" s="21" t="str">
        <f aca="false">IFERROR(INDEX(종합!O$3:O$501,MATCH(ROW()-2,종합!$AB$3:$AB$501,0))&amp;"","")</f>
        <v/>
      </c>
      <c r="P414" s="21" t="str">
        <f aca="false">IFERROR(INDEX(종합!P$3:P$501,MATCH(ROW()-2,종합!$AB$3:$AB$501,0))&amp;"","")</f>
        <v/>
      </c>
      <c r="Q414" s="21" t="str">
        <f aca="false">IFERROR(INDEX(종합!Q$3:Q$501,MATCH(ROW()-2,종합!$AB$3:$AB$501,0))&amp;"","")</f>
        <v/>
      </c>
      <c r="R414" s="21" t="str">
        <f aca="false">IFERROR(INDEX(종합!R$3:R$501,MATCH(ROW()-2,종합!$AB$3:$AB$501,0))&amp;"","")</f>
        <v/>
      </c>
      <c r="S414" s="21" t="str">
        <f aca="false">IFERROR(INDEX(종합!S$3:S$501,MATCH(ROW()-2,종합!$AB$3:$AB$501,0))&amp;"","")</f>
        <v/>
      </c>
      <c r="T414" s="21" t="str">
        <f aca="false">IFERROR(INDEX(종합!T$3:T$501,MATCH(ROW()-2,종합!$AB$3:$AB$501,0))&amp;"","")</f>
        <v/>
      </c>
      <c r="U414" s="21" t="str">
        <f aca="false">IFERROR(INDEX(종합!U$3:U$501,MATCH(ROW()-2,종합!$AB$3:$AB$501,0))&amp;"","")</f>
        <v/>
      </c>
      <c r="V414" s="21" t="str">
        <f aca="false">IFERROR(INDEX(종합!V$3:V$501,MATCH(ROW()-2,종합!$AB$3:$AB$501,0))&amp;"","")</f>
        <v/>
      </c>
      <c r="W414" s="21" t="str">
        <f aca="false">IFERROR(INDEX(종합!W$3:W$501,MATCH(ROW()-2,종합!$AB$3:$AB$501,0))&amp;"","")</f>
        <v/>
      </c>
      <c r="X414" s="21" t="str">
        <f aca="false">IFERROR(INDEX(종합!X$3:X$501,MATCH(ROW()-2,종합!$AB$3:$AB$501,0))&amp;"","")</f>
        <v/>
      </c>
      <c r="Y414" s="21" t="str">
        <f aca="false">IFERROR(INDEX(종합!Y$3:Y$501,MATCH(ROW()-2,종합!$AB$3:$AB$501,0))&amp;"","")</f>
        <v/>
      </c>
      <c r="Z414" s="21" t="str">
        <f aca="false">IFERROR(INDEX(종합!Z$3:Z$501,MATCH(ROW()-2,종합!$AB$3:$AB$501,0))&amp;"","")</f>
        <v/>
      </c>
    </row>
    <row r="415" customFormat="false" ht="16.5" hidden="false" customHeight="true" outlineLevel="0" collapsed="false">
      <c r="A415" s="18" t="str">
        <f aca="false">IF(B415="","",ROW()-2)</f>
        <v/>
      </c>
      <c r="B415" s="18" t="str">
        <f aca="false">IFERROR(INDEX(종합!B$3:B$501,MATCH(ROW()-2,종합!$AB$3:$AB$501,0))&amp;"","")</f>
        <v/>
      </c>
      <c r="C415" s="18" t="str">
        <f aca="false">IFERROR(INDEX(종합!C$3:C$501,MATCH(ROW()-2,종합!$AB$3:$AB$501,0))&amp;"","")</f>
        <v/>
      </c>
      <c r="D415" s="18" t="str">
        <f aca="false">IFERROR(INDEX(종합!D$3:D$501,MATCH(ROW()-2,종합!$AB$3:$AB$501,0))&amp;"","")</f>
        <v/>
      </c>
      <c r="E415" s="18" t="str">
        <f aca="false">IFERROR(INDEX(종합!E$3:E$501,MATCH(ROW()-2,종합!$AB$3:$AB$501,0))&amp;"","")</f>
        <v/>
      </c>
      <c r="F415" s="18" t="str">
        <f aca="false">IFERROR(INDEX(종합!F$3:F$501,MATCH(ROW()-2,종합!$AB$3:$AB$501,0))&amp;"","")</f>
        <v/>
      </c>
      <c r="G415" s="18" t="str">
        <f aca="false">IFERROR(INDEX(종합!G$3:G$501,MATCH(ROW()-2,종합!$AB$3:$AB$501,0))&amp;"","")</f>
        <v/>
      </c>
      <c r="H415" s="21" t="str">
        <f aca="false">IFERROR(INDEX(종합!H$3:H$501,MATCH(ROW()-2,종합!$AB$3:$AB$501,0))&amp;"","")</f>
        <v/>
      </c>
      <c r="I415" s="21" t="str">
        <f aca="false">IFERROR(INDEX(종합!I$3:I$501,MATCH(ROW()-2,종합!$AB$3:$AB$501,0))&amp;"","")</f>
        <v/>
      </c>
      <c r="J415" s="21" t="str">
        <f aca="false">IFERROR(INDEX(종합!J$3:J$501,MATCH(ROW()-2,종합!$AB$3:$AB$501,0))&amp;"","")</f>
        <v/>
      </c>
      <c r="K415" s="21" t="str">
        <f aca="false">IFERROR(INDEX(종합!K$3:K$501,MATCH(ROW()-2,종합!$AB$3:$AB$501,0))&amp;"","")</f>
        <v/>
      </c>
      <c r="L415" s="21" t="str">
        <f aca="false">IFERROR(INDEX(종합!L$3:L$501,MATCH(ROW()-2,종합!$AB$3:$AB$501,0))&amp;"","")</f>
        <v/>
      </c>
      <c r="M415" s="21" t="str">
        <f aca="false">IFERROR(INDEX(종합!M$3:M$501,MATCH(ROW()-2,종합!$AB$3:$AB$501,0))&amp;"","")</f>
        <v/>
      </c>
      <c r="N415" s="25" t="str">
        <f aca="false">IFERROR(INDEX(종합!N$3:N$501,MATCH(ROW()-2,종합!$AB$3:$AB$501,0))&amp;"","")</f>
        <v/>
      </c>
      <c r="O415" s="21" t="str">
        <f aca="false">IFERROR(INDEX(종합!O$3:O$501,MATCH(ROW()-2,종합!$AB$3:$AB$501,0))&amp;"","")</f>
        <v/>
      </c>
      <c r="P415" s="21" t="str">
        <f aca="false">IFERROR(INDEX(종합!P$3:P$501,MATCH(ROW()-2,종합!$AB$3:$AB$501,0))&amp;"","")</f>
        <v/>
      </c>
      <c r="Q415" s="21" t="str">
        <f aca="false">IFERROR(INDEX(종합!Q$3:Q$501,MATCH(ROW()-2,종합!$AB$3:$AB$501,0))&amp;"","")</f>
        <v/>
      </c>
      <c r="R415" s="21" t="str">
        <f aca="false">IFERROR(INDEX(종합!R$3:R$501,MATCH(ROW()-2,종합!$AB$3:$AB$501,0))&amp;"","")</f>
        <v/>
      </c>
      <c r="S415" s="21" t="str">
        <f aca="false">IFERROR(INDEX(종합!S$3:S$501,MATCH(ROW()-2,종합!$AB$3:$AB$501,0))&amp;"","")</f>
        <v/>
      </c>
      <c r="T415" s="21" t="str">
        <f aca="false">IFERROR(INDEX(종합!T$3:T$501,MATCH(ROW()-2,종합!$AB$3:$AB$501,0))&amp;"","")</f>
        <v/>
      </c>
      <c r="U415" s="21" t="str">
        <f aca="false">IFERROR(INDEX(종합!U$3:U$501,MATCH(ROW()-2,종합!$AB$3:$AB$501,0))&amp;"","")</f>
        <v/>
      </c>
      <c r="V415" s="21" t="str">
        <f aca="false">IFERROR(INDEX(종합!V$3:V$501,MATCH(ROW()-2,종합!$AB$3:$AB$501,0))&amp;"","")</f>
        <v/>
      </c>
      <c r="W415" s="21" t="str">
        <f aca="false">IFERROR(INDEX(종합!W$3:W$501,MATCH(ROW()-2,종합!$AB$3:$AB$501,0))&amp;"","")</f>
        <v/>
      </c>
      <c r="X415" s="21" t="str">
        <f aca="false">IFERROR(INDEX(종합!X$3:X$501,MATCH(ROW()-2,종합!$AB$3:$AB$501,0))&amp;"","")</f>
        <v/>
      </c>
      <c r="Y415" s="21" t="str">
        <f aca="false">IFERROR(INDEX(종합!Y$3:Y$501,MATCH(ROW()-2,종합!$AB$3:$AB$501,0))&amp;"","")</f>
        <v/>
      </c>
      <c r="Z415" s="21" t="str">
        <f aca="false">IFERROR(INDEX(종합!Z$3:Z$501,MATCH(ROW()-2,종합!$AB$3:$AB$501,0))&amp;"","")</f>
        <v/>
      </c>
    </row>
    <row r="416" customFormat="false" ht="16.5" hidden="false" customHeight="true" outlineLevel="0" collapsed="false">
      <c r="A416" s="18" t="str">
        <f aca="false">IF(B416="","",ROW()-2)</f>
        <v/>
      </c>
      <c r="B416" s="18" t="str">
        <f aca="false">IFERROR(INDEX(종합!B$3:B$501,MATCH(ROW()-2,종합!$AB$3:$AB$501,0))&amp;"","")</f>
        <v/>
      </c>
      <c r="C416" s="18" t="str">
        <f aca="false">IFERROR(INDEX(종합!C$3:C$501,MATCH(ROW()-2,종합!$AB$3:$AB$501,0))&amp;"","")</f>
        <v/>
      </c>
      <c r="D416" s="18" t="str">
        <f aca="false">IFERROR(INDEX(종합!D$3:D$501,MATCH(ROW()-2,종합!$AB$3:$AB$501,0))&amp;"","")</f>
        <v/>
      </c>
      <c r="E416" s="18" t="str">
        <f aca="false">IFERROR(INDEX(종합!E$3:E$501,MATCH(ROW()-2,종합!$AB$3:$AB$501,0))&amp;"","")</f>
        <v/>
      </c>
      <c r="F416" s="18" t="str">
        <f aca="false">IFERROR(INDEX(종합!F$3:F$501,MATCH(ROW()-2,종합!$AB$3:$AB$501,0))&amp;"","")</f>
        <v/>
      </c>
      <c r="G416" s="18" t="str">
        <f aca="false">IFERROR(INDEX(종합!G$3:G$501,MATCH(ROW()-2,종합!$AB$3:$AB$501,0))&amp;"","")</f>
        <v/>
      </c>
      <c r="H416" s="21" t="str">
        <f aca="false">IFERROR(INDEX(종합!H$3:H$501,MATCH(ROW()-2,종합!$AB$3:$AB$501,0))&amp;"","")</f>
        <v/>
      </c>
      <c r="I416" s="21" t="str">
        <f aca="false">IFERROR(INDEX(종합!I$3:I$501,MATCH(ROW()-2,종합!$AB$3:$AB$501,0))&amp;"","")</f>
        <v/>
      </c>
      <c r="J416" s="21" t="str">
        <f aca="false">IFERROR(INDEX(종합!J$3:J$501,MATCH(ROW()-2,종합!$AB$3:$AB$501,0))&amp;"","")</f>
        <v/>
      </c>
      <c r="K416" s="21" t="str">
        <f aca="false">IFERROR(INDEX(종합!K$3:K$501,MATCH(ROW()-2,종합!$AB$3:$AB$501,0))&amp;"","")</f>
        <v/>
      </c>
      <c r="L416" s="21" t="str">
        <f aca="false">IFERROR(INDEX(종합!L$3:L$501,MATCH(ROW()-2,종합!$AB$3:$AB$501,0))&amp;"","")</f>
        <v/>
      </c>
      <c r="M416" s="21" t="str">
        <f aca="false">IFERROR(INDEX(종합!M$3:M$501,MATCH(ROW()-2,종합!$AB$3:$AB$501,0))&amp;"","")</f>
        <v/>
      </c>
      <c r="N416" s="25" t="str">
        <f aca="false">IFERROR(INDEX(종합!N$3:N$501,MATCH(ROW()-2,종합!$AB$3:$AB$501,0))&amp;"","")</f>
        <v/>
      </c>
      <c r="O416" s="21" t="str">
        <f aca="false">IFERROR(INDEX(종합!O$3:O$501,MATCH(ROW()-2,종합!$AB$3:$AB$501,0))&amp;"","")</f>
        <v/>
      </c>
      <c r="P416" s="21" t="str">
        <f aca="false">IFERROR(INDEX(종합!P$3:P$501,MATCH(ROW()-2,종합!$AB$3:$AB$501,0))&amp;"","")</f>
        <v/>
      </c>
      <c r="Q416" s="21" t="str">
        <f aca="false">IFERROR(INDEX(종합!Q$3:Q$501,MATCH(ROW()-2,종합!$AB$3:$AB$501,0))&amp;"","")</f>
        <v/>
      </c>
      <c r="R416" s="21" t="str">
        <f aca="false">IFERROR(INDEX(종합!R$3:R$501,MATCH(ROW()-2,종합!$AB$3:$AB$501,0))&amp;"","")</f>
        <v/>
      </c>
      <c r="S416" s="21" t="str">
        <f aca="false">IFERROR(INDEX(종합!S$3:S$501,MATCH(ROW()-2,종합!$AB$3:$AB$501,0))&amp;"","")</f>
        <v/>
      </c>
      <c r="T416" s="21" t="str">
        <f aca="false">IFERROR(INDEX(종합!T$3:T$501,MATCH(ROW()-2,종합!$AB$3:$AB$501,0))&amp;"","")</f>
        <v/>
      </c>
      <c r="U416" s="21" t="str">
        <f aca="false">IFERROR(INDEX(종합!U$3:U$501,MATCH(ROW()-2,종합!$AB$3:$AB$501,0))&amp;"","")</f>
        <v/>
      </c>
      <c r="V416" s="21" t="str">
        <f aca="false">IFERROR(INDEX(종합!V$3:V$501,MATCH(ROW()-2,종합!$AB$3:$AB$501,0))&amp;"","")</f>
        <v/>
      </c>
      <c r="W416" s="21" t="str">
        <f aca="false">IFERROR(INDEX(종합!W$3:W$501,MATCH(ROW()-2,종합!$AB$3:$AB$501,0))&amp;"","")</f>
        <v/>
      </c>
      <c r="X416" s="21" t="str">
        <f aca="false">IFERROR(INDEX(종합!X$3:X$501,MATCH(ROW()-2,종합!$AB$3:$AB$501,0))&amp;"","")</f>
        <v/>
      </c>
      <c r="Y416" s="21" t="str">
        <f aca="false">IFERROR(INDEX(종합!Y$3:Y$501,MATCH(ROW()-2,종합!$AB$3:$AB$501,0))&amp;"","")</f>
        <v/>
      </c>
      <c r="Z416" s="21" t="str">
        <f aca="false">IFERROR(INDEX(종합!Z$3:Z$501,MATCH(ROW()-2,종합!$AB$3:$AB$501,0))&amp;"","")</f>
        <v/>
      </c>
    </row>
    <row r="417" customFormat="false" ht="16.5" hidden="false" customHeight="true" outlineLevel="0" collapsed="false">
      <c r="A417" s="18" t="str">
        <f aca="false">IF(B417="","",ROW()-2)</f>
        <v/>
      </c>
      <c r="B417" s="18" t="str">
        <f aca="false">IFERROR(INDEX(종합!B$3:B$501,MATCH(ROW()-2,종합!$AB$3:$AB$501,0))&amp;"","")</f>
        <v/>
      </c>
      <c r="C417" s="18" t="str">
        <f aca="false">IFERROR(INDEX(종합!C$3:C$501,MATCH(ROW()-2,종합!$AB$3:$AB$501,0))&amp;"","")</f>
        <v/>
      </c>
      <c r="D417" s="18" t="str">
        <f aca="false">IFERROR(INDEX(종합!D$3:D$501,MATCH(ROW()-2,종합!$AB$3:$AB$501,0))&amp;"","")</f>
        <v/>
      </c>
      <c r="E417" s="18" t="str">
        <f aca="false">IFERROR(INDEX(종합!E$3:E$501,MATCH(ROW()-2,종합!$AB$3:$AB$501,0))&amp;"","")</f>
        <v/>
      </c>
      <c r="F417" s="18" t="str">
        <f aca="false">IFERROR(INDEX(종합!F$3:F$501,MATCH(ROW()-2,종합!$AB$3:$AB$501,0))&amp;"","")</f>
        <v/>
      </c>
      <c r="G417" s="18" t="str">
        <f aca="false">IFERROR(INDEX(종합!G$3:G$501,MATCH(ROW()-2,종합!$AB$3:$AB$501,0))&amp;"","")</f>
        <v/>
      </c>
      <c r="H417" s="21" t="str">
        <f aca="false">IFERROR(INDEX(종합!H$3:H$501,MATCH(ROW()-2,종합!$AB$3:$AB$501,0))&amp;"","")</f>
        <v/>
      </c>
      <c r="I417" s="21" t="str">
        <f aca="false">IFERROR(INDEX(종합!I$3:I$501,MATCH(ROW()-2,종합!$AB$3:$AB$501,0))&amp;"","")</f>
        <v/>
      </c>
      <c r="J417" s="21" t="str">
        <f aca="false">IFERROR(INDEX(종합!J$3:J$501,MATCH(ROW()-2,종합!$AB$3:$AB$501,0))&amp;"","")</f>
        <v/>
      </c>
      <c r="K417" s="21" t="str">
        <f aca="false">IFERROR(INDEX(종합!K$3:K$501,MATCH(ROW()-2,종합!$AB$3:$AB$501,0))&amp;"","")</f>
        <v/>
      </c>
      <c r="L417" s="21" t="str">
        <f aca="false">IFERROR(INDEX(종합!L$3:L$501,MATCH(ROW()-2,종합!$AB$3:$AB$501,0))&amp;"","")</f>
        <v/>
      </c>
      <c r="M417" s="21" t="str">
        <f aca="false">IFERROR(INDEX(종합!M$3:M$501,MATCH(ROW()-2,종합!$AB$3:$AB$501,0))&amp;"","")</f>
        <v/>
      </c>
      <c r="N417" s="25" t="str">
        <f aca="false">IFERROR(INDEX(종합!N$3:N$501,MATCH(ROW()-2,종합!$AB$3:$AB$501,0))&amp;"","")</f>
        <v/>
      </c>
      <c r="O417" s="21" t="str">
        <f aca="false">IFERROR(INDEX(종합!O$3:O$501,MATCH(ROW()-2,종합!$AB$3:$AB$501,0))&amp;"","")</f>
        <v/>
      </c>
      <c r="P417" s="21" t="str">
        <f aca="false">IFERROR(INDEX(종합!P$3:P$501,MATCH(ROW()-2,종합!$AB$3:$AB$501,0))&amp;"","")</f>
        <v/>
      </c>
      <c r="Q417" s="21" t="str">
        <f aca="false">IFERROR(INDEX(종합!Q$3:Q$501,MATCH(ROW()-2,종합!$AB$3:$AB$501,0))&amp;"","")</f>
        <v/>
      </c>
      <c r="R417" s="21" t="str">
        <f aca="false">IFERROR(INDEX(종합!R$3:R$501,MATCH(ROW()-2,종합!$AB$3:$AB$501,0))&amp;"","")</f>
        <v/>
      </c>
      <c r="S417" s="21" t="str">
        <f aca="false">IFERROR(INDEX(종합!S$3:S$501,MATCH(ROW()-2,종합!$AB$3:$AB$501,0))&amp;"","")</f>
        <v/>
      </c>
      <c r="T417" s="21" t="str">
        <f aca="false">IFERROR(INDEX(종합!T$3:T$501,MATCH(ROW()-2,종합!$AB$3:$AB$501,0))&amp;"","")</f>
        <v/>
      </c>
      <c r="U417" s="21" t="str">
        <f aca="false">IFERROR(INDEX(종합!U$3:U$501,MATCH(ROW()-2,종합!$AB$3:$AB$501,0))&amp;"","")</f>
        <v/>
      </c>
      <c r="V417" s="21" t="str">
        <f aca="false">IFERROR(INDEX(종합!V$3:V$501,MATCH(ROW()-2,종합!$AB$3:$AB$501,0))&amp;"","")</f>
        <v/>
      </c>
      <c r="W417" s="21" t="str">
        <f aca="false">IFERROR(INDEX(종합!W$3:W$501,MATCH(ROW()-2,종합!$AB$3:$AB$501,0))&amp;"","")</f>
        <v/>
      </c>
      <c r="X417" s="21" t="str">
        <f aca="false">IFERROR(INDEX(종합!X$3:X$501,MATCH(ROW()-2,종합!$AB$3:$AB$501,0))&amp;"","")</f>
        <v/>
      </c>
      <c r="Y417" s="21" t="str">
        <f aca="false">IFERROR(INDEX(종합!Y$3:Y$501,MATCH(ROW()-2,종합!$AB$3:$AB$501,0))&amp;"","")</f>
        <v/>
      </c>
      <c r="Z417" s="21" t="str">
        <f aca="false">IFERROR(INDEX(종합!Z$3:Z$501,MATCH(ROW()-2,종합!$AB$3:$AB$501,0))&amp;"","")</f>
        <v/>
      </c>
    </row>
    <row r="418" customFormat="false" ht="16.5" hidden="false" customHeight="true" outlineLevel="0" collapsed="false">
      <c r="A418" s="18" t="str">
        <f aca="false">IF(B418="","",ROW()-2)</f>
        <v/>
      </c>
      <c r="B418" s="18" t="str">
        <f aca="false">IFERROR(INDEX(종합!B$3:B$501,MATCH(ROW()-2,종합!$AB$3:$AB$501,0))&amp;"","")</f>
        <v/>
      </c>
      <c r="C418" s="18" t="str">
        <f aca="false">IFERROR(INDEX(종합!C$3:C$501,MATCH(ROW()-2,종합!$AB$3:$AB$501,0))&amp;"","")</f>
        <v/>
      </c>
      <c r="D418" s="18" t="str">
        <f aca="false">IFERROR(INDEX(종합!D$3:D$501,MATCH(ROW()-2,종합!$AB$3:$AB$501,0))&amp;"","")</f>
        <v/>
      </c>
      <c r="E418" s="18" t="str">
        <f aca="false">IFERROR(INDEX(종합!E$3:E$501,MATCH(ROW()-2,종합!$AB$3:$AB$501,0))&amp;"","")</f>
        <v/>
      </c>
      <c r="F418" s="18" t="str">
        <f aca="false">IFERROR(INDEX(종합!F$3:F$501,MATCH(ROW()-2,종합!$AB$3:$AB$501,0))&amp;"","")</f>
        <v/>
      </c>
      <c r="G418" s="18" t="str">
        <f aca="false">IFERROR(INDEX(종합!G$3:G$501,MATCH(ROW()-2,종합!$AB$3:$AB$501,0))&amp;"","")</f>
        <v/>
      </c>
      <c r="H418" s="21" t="str">
        <f aca="false">IFERROR(INDEX(종합!H$3:H$501,MATCH(ROW()-2,종합!$AB$3:$AB$501,0))&amp;"","")</f>
        <v/>
      </c>
      <c r="I418" s="21" t="str">
        <f aca="false">IFERROR(INDEX(종합!I$3:I$501,MATCH(ROW()-2,종합!$AB$3:$AB$501,0))&amp;"","")</f>
        <v/>
      </c>
      <c r="J418" s="21" t="str">
        <f aca="false">IFERROR(INDEX(종합!J$3:J$501,MATCH(ROW()-2,종합!$AB$3:$AB$501,0))&amp;"","")</f>
        <v/>
      </c>
      <c r="K418" s="21" t="str">
        <f aca="false">IFERROR(INDEX(종합!K$3:K$501,MATCH(ROW()-2,종합!$AB$3:$AB$501,0))&amp;"","")</f>
        <v/>
      </c>
      <c r="L418" s="21" t="str">
        <f aca="false">IFERROR(INDEX(종합!L$3:L$501,MATCH(ROW()-2,종합!$AB$3:$AB$501,0))&amp;"","")</f>
        <v/>
      </c>
      <c r="M418" s="21" t="str">
        <f aca="false">IFERROR(INDEX(종합!M$3:M$501,MATCH(ROW()-2,종합!$AB$3:$AB$501,0))&amp;"","")</f>
        <v/>
      </c>
      <c r="N418" s="25" t="str">
        <f aca="false">IFERROR(INDEX(종합!N$3:N$501,MATCH(ROW()-2,종합!$AB$3:$AB$501,0))&amp;"","")</f>
        <v/>
      </c>
      <c r="O418" s="21" t="str">
        <f aca="false">IFERROR(INDEX(종합!O$3:O$501,MATCH(ROW()-2,종합!$AB$3:$AB$501,0))&amp;"","")</f>
        <v/>
      </c>
      <c r="P418" s="21" t="str">
        <f aca="false">IFERROR(INDEX(종합!P$3:P$501,MATCH(ROW()-2,종합!$AB$3:$AB$501,0))&amp;"","")</f>
        <v/>
      </c>
      <c r="Q418" s="21" t="str">
        <f aca="false">IFERROR(INDEX(종합!Q$3:Q$501,MATCH(ROW()-2,종합!$AB$3:$AB$501,0))&amp;"","")</f>
        <v/>
      </c>
      <c r="R418" s="21" t="str">
        <f aca="false">IFERROR(INDEX(종합!R$3:R$501,MATCH(ROW()-2,종합!$AB$3:$AB$501,0))&amp;"","")</f>
        <v/>
      </c>
      <c r="S418" s="21" t="str">
        <f aca="false">IFERROR(INDEX(종합!S$3:S$501,MATCH(ROW()-2,종합!$AB$3:$AB$501,0))&amp;"","")</f>
        <v/>
      </c>
      <c r="T418" s="21" t="str">
        <f aca="false">IFERROR(INDEX(종합!T$3:T$501,MATCH(ROW()-2,종합!$AB$3:$AB$501,0))&amp;"","")</f>
        <v/>
      </c>
      <c r="U418" s="21" t="str">
        <f aca="false">IFERROR(INDEX(종합!U$3:U$501,MATCH(ROW()-2,종합!$AB$3:$AB$501,0))&amp;"","")</f>
        <v/>
      </c>
      <c r="V418" s="21" t="str">
        <f aca="false">IFERROR(INDEX(종합!V$3:V$501,MATCH(ROW()-2,종합!$AB$3:$AB$501,0))&amp;"","")</f>
        <v/>
      </c>
      <c r="W418" s="21" t="str">
        <f aca="false">IFERROR(INDEX(종합!W$3:W$501,MATCH(ROW()-2,종합!$AB$3:$AB$501,0))&amp;"","")</f>
        <v/>
      </c>
      <c r="X418" s="21" t="str">
        <f aca="false">IFERROR(INDEX(종합!X$3:X$501,MATCH(ROW()-2,종합!$AB$3:$AB$501,0))&amp;"","")</f>
        <v/>
      </c>
      <c r="Y418" s="21" t="str">
        <f aca="false">IFERROR(INDEX(종합!Y$3:Y$501,MATCH(ROW()-2,종합!$AB$3:$AB$501,0))&amp;"","")</f>
        <v/>
      </c>
      <c r="Z418" s="21" t="str">
        <f aca="false">IFERROR(INDEX(종합!Z$3:Z$501,MATCH(ROW()-2,종합!$AB$3:$AB$501,0))&amp;"","")</f>
        <v/>
      </c>
    </row>
    <row r="419" customFormat="false" ht="16.5" hidden="false" customHeight="true" outlineLevel="0" collapsed="false">
      <c r="A419" s="18" t="str">
        <f aca="false">IF(B419="","",ROW()-2)</f>
        <v/>
      </c>
      <c r="B419" s="18" t="str">
        <f aca="false">IFERROR(INDEX(종합!B$3:B$501,MATCH(ROW()-2,종합!$AB$3:$AB$501,0))&amp;"","")</f>
        <v/>
      </c>
      <c r="C419" s="18" t="str">
        <f aca="false">IFERROR(INDEX(종합!C$3:C$501,MATCH(ROW()-2,종합!$AB$3:$AB$501,0))&amp;"","")</f>
        <v/>
      </c>
      <c r="D419" s="18" t="str">
        <f aca="false">IFERROR(INDEX(종합!D$3:D$501,MATCH(ROW()-2,종합!$AB$3:$AB$501,0))&amp;"","")</f>
        <v/>
      </c>
      <c r="E419" s="18" t="str">
        <f aca="false">IFERROR(INDEX(종합!E$3:E$501,MATCH(ROW()-2,종합!$AB$3:$AB$501,0))&amp;"","")</f>
        <v/>
      </c>
      <c r="F419" s="18" t="str">
        <f aca="false">IFERROR(INDEX(종합!F$3:F$501,MATCH(ROW()-2,종합!$AB$3:$AB$501,0))&amp;"","")</f>
        <v/>
      </c>
      <c r="G419" s="18" t="str">
        <f aca="false">IFERROR(INDEX(종합!G$3:G$501,MATCH(ROW()-2,종합!$AB$3:$AB$501,0))&amp;"","")</f>
        <v/>
      </c>
      <c r="H419" s="21" t="str">
        <f aca="false">IFERROR(INDEX(종합!H$3:H$501,MATCH(ROW()-2,종합!$AB$3:$AB$501,0))&amp;"","")</f>
        <v/>
      </c>
      <c r="I419" s="21" t="str">
        <f aca="false">IFERROR(INDEX(종합!I$3:I$501,MATCH(ROW()-2,종합!$AB$3:$AB$501,0))&amp;"","")</f>
        <v/>
      </c>
      <c r="J419" s="21" t="str">
        <f aca="false">IFERROR(INDEX(종합!J$3:J$501,MATCH(ROW()-2,종합!$AB$3:$AB$501,0))&amp;"","")</f>
        <v/>
      </c>
      <c r="K419" s="21" t="str">
        <f aca="false">IFERROR(INDEX(종합!K$3:K$501,MATCH(ROW()-2,종합!$AB$3:$AB$501,0))&amp;"","")</f>
        <v/>
      </c>
      <c r="L419" s="21" t="str">
        <f aca="false">IFERROR(INDEX(종합!L$3:L$501,MATCH(ROW()-2,종합!$AB$3:$AB$501,0))&amp;"","")</f>
        <v/>
      </c>
      <c r="M419" s="21" t="str">
        <f aca="false">IFERROR(INDEX(종합!M$3:M$501,MATCH(ROW()-2,종합!$AB$3:$AB$501,0))&amp;"","")</f>
        <v/>
      </c>
      <c r="N419" s="25" t="str">
        <f aca="false">IFERROR(INDEX(종합!N$3:N$501,MATCH(ROW()-2,종합!$AB$3:$AB$501,0))&amp;"","")</f>
        <v/>
      </c>
      <c r="O419" s="21" t="str">
        <f aca="false">IFERROR(INDEX(종합!O$3:O$501,MATCH(ROW()-2,종합!$AB$3:$AB$501,0))&amp;"","")</f>
        <v/>
      </c>
      <c r="P419" s="21" t="str">
        <f aca="false">IFERROR(INDEX(종합!P$3:P$501,MATCH(ROW()-2,종합!$AB$3:$AB$501,0))&amp;"","")</f>
        <v/>
      </c>
      <c r="Q419" s="21" t="str">
        <f aca="false">IFERROR(INDEX(종합!Q$3:Q$501,MATCH(ROW()-2,종합!$AB$3:$AB$501,0))&amp;"","")</f>
        <v/>
      </c>
      <c r="R419" s="21" t="str">
        <f aca="false">IFERROR(INDEX(종합!R$3:R$501,MATCH(ROW()-2,종합!$AB$3:$AB$501,0))&amp;"","")</f>
        <v/>
      </c>
      <c r="S419" s="21" t="str">
        <f aca="false">IFERROR(INDEX(종합!S$3:S$501,MATCH(ROW()-2,종합!$AB$3:$AB$501,0))&amp;"","")</f>
        <v/>
      </c>
      <c r="T419" s="21" t="str">
        <f aca="false">IFERROR(INDEX(종합!T$3:T$501,MATCH(ROW()-2,종합!$AB$3:$AB$501,0))&amp;"","")</f>
        <v/>
      </c>
      <c r="U419" s="21" t="str">
        <f aca="false">IFERROR(INDEX(종합!U$3:U$501,MATCH(ROW()-2,종합!$AB$3:$AB$501,0))&amp;"","")</f>
        <v/>
      </c>
      <c r="V419" s="21" t="str">
        <f aca="false">IFERROR(INDEX(종합!V$3:V$501,MATCH(ROW()-2,종합!$AB$3:$AB$501,0))&amp;"","")</f>
        <v/>
      </c>
      <c r="W419" s="21" t="str">
        <f aca="false">IFERROR(INDEX(종합!W$3:W$501,MATCH(ROW()-2,종합!$AB$3:$AB$501,0))&amp;"","")</f>
        <v/>
      </c>
      <c r="X419" s="21" t="str">
        <f aca="false">IFERROR(INDEX(종합!X$3:X$501,MATCH(ROW()-2,종합!$AB$3:$AB$501,0))&amp;"","")</f>
        <v/>
      </c>
      <c r="Y419" s="21" t="str">
        <f aca="false">IFERROR(INDEX(종합!Y$3:Y$501,MATCH(ROW()-2,종합!$AB$3:$AB$501,0))&amp;"","")</f>
        <v/>
      </c>
      <c r="Z419" s="21" t="str">
        <f aca="false">IFERROR(INDEX(종합!Z$3:Z$501,MATCH(ROW()-2,종합!$AB$3:$AB$501,0))&amp;"","")</f>
        <v/>
      </c>
    </row>
    <row r="420" customFormat="false" ht="16.5" hidden="false" customHeight="true" outlineLevel="0" collapsed="false">
      <c r="A420" s="18" t="str">
        <f aca="false">IF(B420="","",ROW()-2)</f>
        <v/>
      </c>
      <c r="B420" s="18" t="str">
        <f aca="false">IFERROR(INDEX(종합!B$3:B$501,MATCH(ROW()-2,종합!$AB$3:$AB$501,0))&amp;"","")</f>
        <v/>
      </c>
      <c r="C420" s="18" t="str">
        <f aca="false">IFERROR(INDEX(종합!C$3:C$501,MATCH(ROW()-2,종합!$AB$3:$AB$501,0))&amp;"","")</f>
        <v/>
      </c>
      <c r="D420" s="18" t="str">
        <f aca="false">IFERROR(INDEX(종합!D$3:D$501,MATCH(ROW()-2,종합!$AB$3:$AB$501,0))&amp;"","")</f>
        <v/>
      </c>
      <c r="E420" s="18" t="str">
        <f aca="false">IFERROR(INDEX(종합!E$3:E$501,MATCH(ROW()-2,종합!$AB$3:$AB$501,0))&amp;"","")</f>
        <v/>
      </c>
      <c r="F420" s="18" t="str">
        <f aca="false">IFERROR(INDEX(종합!F$3:F$501,MATCH(ROW()-2,종합!$AB$3:$AB$501,0))&amp;"","")</f>
        <v/>
      </c>
      <c r="G420" s="18" t="str">
        <f aca="false">IFERROR(INDEX(종합!G$3:G$501,MATCH(ROW()-2,종합!$AB$3:$AB$501,0))&amp;"","")</f>
        <v/>
      </c>
      <c r="H420" s="21" t="str">
        <f aca="false">IFERROR(INDEX(종합!H$3:H$501,MATCH(ROW()-2,종합!$AB$3:$AB$501,0))&amp;"","")</f>
        <v/>
      </c>
      <c r="I420" s="21" t="str">
        <f aca="false">IFERROR(INDEX(종합!I$3:I$501,MATCH(ROW()-2,종합!$AB$3:$AB$501,0))&amp;"","")</f>
        <v/>
      </c>
      <c r="J420" s="21" t="str">
        <f aca="false">IFERROR(INDEX(종합!J$3:J$501,MATCH(ROW()-2,종합!$AB$3:$AB$501,0))&amp;"","")</f>
        <v/>
      </c>
      <c r="K420" s="21" t="str">
        <f aca="false">IFERROR(INDEX(종합!K$3:K$501,MATCH(ROW()-2,종합!$AB$3:$AB$501,0))&amp;"","")</f>
        <v/>
      </c>
      <c r="L420" s="21" t="str">
        <f aca="false">IFERROR(INDEX(종합!L$3:L$501,MATCH(ROW()-2,종합!$AB$3:$AB$501,0))&amp;"","")</f>
        <v/>
      </c>
      <c r="M420" s="21" t="str">
        <f aca="false">IFERROR(INDEX(종합!M$3:M$501,MATCH(ROW()-2,종합!$AB$3:$AB$501,0))&amp;"","")</f>
        <v/>
      </c>
      <c r="N420" s="25" t="str">
        <f aca="false">IFERROR(INDEX(종합!N$3:N$501,MATCH(ROW()-2,종합!$AB$3:$AB$501,0))&amp;"","")</f>
        <v/>
      </c>
      <c r="O420" s="21" t="str">
        <f aca="false">IFERROR(INDEX(종합!O$3:O$501,MATCH(ROW()-2,종합!$AB$3:$AB$501,0))&amp;"","")</f>
        <v/>
      </c>
      <c r="P420" s="21" t="str">
        <f aca="false">IFERROR(INDEX(종합!P$3:P$501,MATCH(ROW()-2,종합!$AB$3:$AB$501,0))&amp;"","")</f>
        <v/>
      </c>
      <c r="Q420" s="21" t="str">
        <f aca="false">IFERROR(INDEX(종합!Q$3:Q$501,MATCH(ROW()-2,종합!$AB$3:$AB$501,0))&amp;"","")</f>
        <v/>
      </c>
      <c r="R420" s="21" t="str">
        <f aca="false">IFERROR(INDEX(종합!R$3:R$501,MATCH(ROW()-2,종합!$AB$3:$AB$501,0))&amp;"","")</f>
        <v/>
      </c>
      <c r="S420" s="21" t="str">
        <f aca="false">IFERROR(INDEX(종합!S$3:S$501,MATCH(ROW()-2,종합!$AB$3:$AB$501,0))&amp;"","")</f>
        <v/>
      </c>
      <c r="T420" s="21" t="str">
        <f aca="false">IFERROR(INDEX(종합!T$3:T$501,MATCH(ROW()-2,종합!$AB$3:$AB$501,0))&amp;"","")</f>
        <v/>
      </c>
      <c r="U420" s="21" t="str">
        <f aca="false">IFERROR(INDEX(종합!U$3:U$501,MATCH(ROW()-2,종합!$AB$3:$AB$501,0))&amp;"","")</f>
        <v/>
      </c>
      <c r="V420" s="21" t="str">
        <f aca="false">IFERROR(INDEX(종합!V$3:V$501,MATCH(ROW()-2,종합!$AB$3:$AB$501,0))&amp;"","")</f>
        <v/>
      </c>
      <c r="W420" s="21" t="str">
        <f aca="false">IFERROR(INDEX(종합!W$3:W$501,MATCH(ROW()-2,종합!$AB$3:$AB$501,0))&amp;"","")</f>
        <v/>
      </c>
      <c r="X420" s="21" t="str">
        <f aca="false">IFERROR(INDEX(종합!X$3:X$501,MATCH(ROW()-2,종합!$AB$3:$AB$501,0))&amp;"","")</f>
        <v/>
      </c>
      <c r="Y420" s="21" t="str">
        <f aca="false">IFERROR(INDEX(종합!Y$3:Y$501,MATCH(ROW()-2,종합!$AB$3:$AB$501,0))&amp;"","")</f>
        <v/>
      </c>
      <c r="Z420" s="21" t="str">
        <f aca="false">IFERROR(INDEX(종합!Z$3:Z$501,MATCH(ROW()-2,종합!$AB$3:$AB$501,0))&amp;"","")</f>
        <v/>
      </c>
    </row>
    <row r="421" customFormat="false" ht="16.5" hidden="false" customHeight="true" outlineLevel="0" collapsed="false">
      <c r="A421" s="18" t="str">
        <f aca="false">IF(B421="","",ROW()-2)</f>
        <v/>
      </c>
      <c r="B421" s="18" t="str">
        <f aca="false">IFERROR(INDEX(종합!B$3:B$501,MATCH(ROW()-2,종합!$AB$3:$AB$501,0))&amp;"","")</f>
        <v/>
      </c>
      <c r="C421" s="18" t="str">
        <f aca="false">IFERROR(INDEX(종합!C$3:C$501,MATCH(ROW()-2,종합!$AB$3:$AB$501,0))&amp;"","")</f>
        <v/>
      </c>
      <c r="D421" s="18" t="str">
        <f aca="false">IFERROR(INDEX(종합!D$3:D$501,MATCH(ROW()-2,종합!$AB$3:$AB$501,0))&amp;"","")</f>
        <v/>
      </c>
      <c r="E421" s="18" t="str">
        <f aca="false">IFERROR(INDEX(종합!E$3:E$501,MATCH(ROW()-2,종합!$AB$3:$AB$501,0))&amp;"","")</f>
        <v/>
      </c>
      <c r="F421" s="18" t="str">
        <f aca="false">IFERROR(INDEX(종합!F$3:F$501,MATCH(ROW()-2,종합!$AB$3:$AB$501,0))&amp;"","")</f>
        <v/>
      </c>
      <c r="G421" s="18" t="str">
        <f aca="false">IFERROR(INDEX(종합!G$3:G$501,MATCH(ROW()-2,종합!$AB$3:$AB$501,0))&amp;"","")</f>
        <v/>
      </c>
      <c r="H421" s="21" t="str">
        <f aca="false">IFERROR(INDEX(종합!H$3:H$501,MATCH(ROW()-2,종합!$AB$3:$AB$501,0))&amp;"","")</f>
        <v/>
      </c>
      <c r="I421" s="21" t="str">
        <f aca="false">IFERROR(INDEX(종합!I$3:I$501,MATCH(ROW()-2,종합!$AB$3:$AB$501,0))&amp;"","")</f>
        <v/>
      </c>
      <c r="J421" s="21" t="str">
        <f aca="false">IFERROR(INDEX(종합!J$3:J$501,MATCH(ROW()-2,종합!$AB$3:$AB$501,0))&amp;"","")</f>
        <v/>
      </c>
      <c r="K421" s="21" t="str">
        <f aca="false">IFERROR(INDEX(종합!K$3:K$501,MATCH(ROW()-2,종합!$AB$3:$AB$501,0))&amp;"","")</f>
        <v/>
      </c>
      <c r="L421" s="21" t="str">
        <f aca="false">IFERROR(INDEX(종합!L$3:L$501,MATCH(ROW()-2,종합!$AB$3:$AB$501,0))&amp;"","")</f>
        <v/>
      </c>
      <c r="M421" s="21" t="str">
        <f aca="false">IFERROR(INDEX(종합!M$3:M$501,MATCH(ROW()-2,종합!$AB$3:$AB$501,0))&amp;"","")</f>
        <v/>
      </c>
      <c r="N421" s="25" t="str">
        <f aca="false">IFERROR(INDEX(종합!N$3:N$501,MATCH(ROW()-2,종합!$AB$3:$AB$501,0))&amp;"","")</f>
        <v/>
      </c>
      <c r="O421" s="21" t="str">
        <f aca="false">IFERROR(INDEX(종합!O$3:O$501,MATCH(ROW()-2,종합!$AB$3:$AB$501,0))&amp;"","")</f>
        <v/>
      </c>
      <c r="P421" s="21" t="str">
        <f aca="false">IFERROR(INDEX(종합!P$3:P$501,MATCH(ROW()-2,종합!$AB$3:$AB$501,0))&amp;"","")</f>
        <v/>
      </c>
      <c r="Q421" s="21" t="str">
        <f aca="false">IFERROR(INDEX(종합!Q$3:Q$501,MATCH(ROW()-2,종합!$AB$3:$AB$501,0))&amp;"","")</f>
        <v/>
      </c>
      <c r="R421" s="21" t="str">
        <f aca="false">IFERROR(INDEX(종합!R$3:R$501,MATCH(ROW()-2,종합!$AB$3:$AB$501,0))&amp;"","")</f>
        <v/>
      </c>
      <c r="S421" s="21" t="str">
        <f aca="false">IFERROR(INDEX(종합!S$3:S$501,MATCH(ROW()-2,종합!$AB$3:$AB$501,0))&amp;"","")</f>
        <v/>
      </c>
      <c r="T421" s="21" t="str">
        <f aca="false">IFERROR(INDEX(종합!T$3:T$501,MATCH(ROW()-2,종합!$AB$3:$AB$501,0))&amp;"","")</f>
        <v/>
      </c>
      <c r="U421" s="21" t="str">
        <f aca="false">IFERROR(INDEX(종합!U$3:U$501,MATCH(ROW()-2,종합!$AB$3:$AB$501,0))&amp;"","")</f>
        <v/>
      </c>
      <c r="V421" s="21" t="str">
        <f aca="false">IFERROR(INDEX(종합!V$3:V$501,MATCH(ROW()-2,종합!$AB$3:$AB$501,0))&amp;"","")</f>
        <v/>
      </c>
      <c r="W421" s="21" t="str">
        <f aca="false">IFERROR(INDEX(종합!W$3:W$501,MATCH(ROW()-2,종합!$AB$3:$AB$501,0))&amp;"","")</f>
        <v/>
      </c>
      <c r="X421" s="21" t="str">
        <f aca="false">IFERROR(INDEX(종합!X$3:X$501,MATCH(ROW()-2,종합!$AB$3:$AB$501,0))&amp;"","")</f>
        <v/>
      </c>
      <c r="Y421" s="21" t="str">
        <f aca="false">IFERROR(INDEX(종합!Y$3:Y$501,MATCH(ROW()-2,종합!$AB$3:$AB$501,0))&amp;"","")</f>
        <v/>
      </c>
      <c r="Z421" s="21" t="str">
        <f aca="false">IFERROR(INDEX(종합!Z$3:Z$501,MATCH(ROW()-2,종합!$AB$3:$AB$501,0))&amp;"","")</f>
        <v/>
      </c>
    </row>
    <row r="422" customFormat="false" ht="16.5" hidden="false" customHeight="true" outlineLevel="0" collapsed="false">
      <c r="A422" s="18" t="str">
        <f aca="false">IF(B422="","",ROW()-2)</f>
        <v/>
      </c>
      <c r="B422" s="18" t="str">
        <f aca="false">IFERROR(INDEX(종합!B$3:B$501,MATCH(ROW()-2,종합!$AB$3:$AB$501,0))&amp;"","")</f>
        <v/>
      </c>
      <c r="C422" s="18" t="str">
        <f aca="false">IFERROR(INDEX(종합!C$3:C$501,MATCH(ROW()-2,종합!$AB$3:$AB$501,0))&amp;"","")</f>
        <v/>
      </c>
      <c r="D422" s="18" t="str">
        <f aca="false">IFERROR(INDEX(종합!D$3:D$501,MATCH(ROW()-2,종합!$AB$3:$AB$501,0))&amp;"","")</f>
        <v/>
      </c>
      <c r="E422" s="18" t="str">
        <f aca="false">IFERROR(INDEX(종합!E$3:E$501,MATCH(ROW()-2,종합!$AB$3:$AB$501,0))&amp;"","")</f>
        <v/>
      </c>
      <c r="F422" s="18" t="str">
        <f aca="false">IFERROR(INDEX(종합!F$3:F$501,MATCH(ROW()-2,종합!$AB$3:$AB$501,0))&amp;"","")</f>
        <v/>
      </c>
      <c r="G422" s="18" t="str">
        <f aca="false">IFERROR(INDEX(종합!G$3:G$501,MATCH(ROW()-2,종합!$AB$3:$AB$501,0))&amp;"","")</f>
        <v/>
      </c>
      <c r="H422" s="21" t="str">
        <f aca="false">IFERROR(INDEX(종합!H$3:H$501,MATCH(ROW()-2,종합!$AB$3:$AB$501,0))&amp;"","")</f>
        <v/>
      </c>
      <c r="I422" s="21" t="str">
        <f aca="false">IFERROR(INDEX(종합!I$3:I$501,MATCH(ROW()-2,종합!$AB$3:$AB$501,0))&amp;"","")</f>
        <v/>
      </c>
      <c r="J422" s="21" t="str">
        <f aca="false">IFERROR(INDEX(종합!J$3:J$501,MATCH(ROW()-2,종합!$AB$3:$AB$501,0))&amp;"","")</f>
        <v/>
      </c>
      <c r="K422" s="21" t="str">
        <f aca="false">IFERROR(INDEX(종합!K$3:K$501,MATCH(ROW()-2,종합!$AB$3:$AB$501,0))&amp;"","")</f>
        <v/>
      </c>
      <c r="L422" s="21" t="str">
        <f aca="false">IFERROR(INDEX(종합!L$3:L$501,MATCH(ROW()-2,종합!$AB$3:$AB$501,0))&amp;"","")</f>
        <v/>
      </c>
      <c r="M422" s="21" t="str">
        <f aca="false">IFERROR(INDEX(종합!M$3:M$501,MATCH(ROW()-2,종합!$AB$3:$AB$501,0))&amp;"","")</f>
        <v/>
      </c>
      <c r="N422" s="25" t="str">
        <f aca="false">IFERROR(INDEX(종합!N$3:N$501,MATCH(ROW()-2,종합!$AB$3:$AB$501,0))&amp;"","")</f>
        <v/>
      </c>
      <c r="O422" s="21" t="str">
        <f aca="false">IFERROR(INDEX(종합!O$3:O$501,MATCH(ROW()-2,종합!$AB$3:$AB$501,0))&amp;"","")</f>
        <v/>
      </c>
      <c r="P422" s="21" t="str">
        <f aca="false">IFERROR(INDEX(종합!P$3:P$501,MATCH(ROW()-2,종합!$AB$3:$AB$501,0))&amp;"","")</f>
        <v/>
      </c>
      <c r="Q422" s="21" t="str">
        <f aca="false">IFERROR(INDEX(종합!Q$3:Q$501,MATCH(ROW()-2,종합!$AB$3:$AB$501,0))&amp;"","")</f>
        <v/>
      </c>
      <c r="R422" s="21" t="str">
        <f aca="false">IFERROR(INDEX(종합!R$3:R$501,MATCH(ROW()-2,종합!$AB$3:$AB$501,0))&amp;"","")</f>
        <v/>
      </c>
      <c r="S422" s="21" t="str">
        <f aca="false">IFERROR(INDEX(종합!S$3:S$501,MATCH(ROW()-2,종합!$AB$3:$AB$501,0))&amp;"","")</f>
        <v/>
      </c>
      <c r="T422" s="21" t="str">
        <f aca="false">IFERROR(INDEX(종합!T$3:T$501,MATCH(ROW()-2,종합!$AB$3:$AB$501,0))&amp;"","")</f>
        <v/>
      </c>
      <c r="U422" s="21" t="str">
        <f aca="false">IFERROR(INDEX(종합!U$3:U$501,MATCH(ROW()-2,종합!$AB$3:$AB$501,0))&amp;"","")</f>
        <v/>
      </c>
      <c r="V422" s="21" t="str">
        <f aca="false">IFERROR(INDEX(종합!V$3:V$501,MATCH(ROW()-2,종합!$AB$3:$AB$501,0))&amp;"","")</f>
        <v/>
      </c>
      <c r="W422" s="21" t="str">
        <f aca="false">IFERROR(INDEX(종합!W$3:W$501,MATCH(ROW()-2,종합!$AB$3:$AB$501,0))&amp;"","")</f>
        <v/>
      </c>
      <c r="X422" s="21" t="str">
        <f aca="false">IFERROR(INDEX(종합!X$3:X$501,MATCH(ROW()-2,종합!$AB$3:$AB$501,0))&amp;"","")</f>
        <v/>
      </c>
      <c r="Y422" s="21" t="str">
        <f aca="false">IFERROR(INDEX(종합!Y$3:Y$501,MATCH(ROW()-2,종합!$AB$3:$AB$501,0))&amp;"","")</f>
        <v/>
      </c>
      <c r="Z422" s="21" t="str">
        <f aca="false">IFERROR(INDEX(종합!Z$3:Z$501,MATCH(ROW()-2,종합!$AB$3:$AB$501,0))&amp;"","")</f>
        <v/>
      </c>
    </row>
    <row r="423" customFormat="false" ht="16.5" hidden="false" customHeight="true" outlineLevel="0" collapsed="false">
      <c r="A423" s="18" t="str">
        <f aca="false">IF(B423="","",ROW()-2)</f>
        <v/>
      </c>
      <c r="B423" s="18" t="str">
        <f aca="false">IFERROR(INDEX(종합!B$3:B$501,MATCH(ROW()-2,종합!$AB$3:$AB$501,0))&amp;"","")</f>
        <v/>
      </c>
      <c r="C423" s="18" t="str">
        <f aca="false">IFERROR(INDEX(종합!C$3:C$501,MATCH(ROW()-2,종합!$AB$3:$AB$501,0))&amp;"","")</f>
        <v/>
      </c>
      <c r="D423" s="18" t="str">
        <f aca="false">IFERROR(INDEX(종합!D$3:D$501,MATCH(ROW()-2,종합!$AB$3:$AB$501,0))&amp;"","")</f>
        <v/>
      </c>
      <c r="E423" s="18" t="str">
        <f aca="false">IFERROR(INDEX(종합!E$3:E$501,MATCH(ROW()-2,종합!$AB$3:$AB$501,0))&amp;"","")</f>
        <v/>
      </c>
      <c r="F423" s="18" t="str">
        <f aca="false">IFERROR(INDEX(종합!F$3:F$501,MATCH(ROW()-2,종합!$AB$3:$AB$501,0))&amp;"","")</f>
        <v/>
      </c>
      <c r="G423" s="18" t="str">
        <f aca="false">IFERROR(INDEX(종합!G$3:G$501,MATCH(ROW()-2,종합!$AB$3:$AB$501,0))&amp;"","")</f>
        <v/>
      </c>
      <c r="H423" s="21" t="str">
        <f aca="false">IFERROR(INDEX(종합!H$3:H$501,MATCH(ROW()-2,종합!$AB$3:$AB$501,0))&amp;"","")</f>
        <v/>
      </c>
      <c r="I423" s="21" t="str">
        <f aca="false">IFERROR(INDEX(종합!I$3:I$501,MATCH(ROW()-2,종합!$AB$3:$AB$501,0))&amp;"","")</f>
        <v/>
      </c>
      <c r="J423" s="21" t="str">
        <f aca="false">IFERROR(INDEX(종합!J$3:J$501,MATCH(ROW()-2,종합!$AB$3:$AB$501,0))&amp;"","")</f>
        <v/>
      </c>
      <c r="K423" s="21" t="str">
        <f aca="false">IFERROR(INDEX(종합!K$3:K$501,MATCH(ROW()-2,종합!$AB$3:$AB$501,0))&amp;"","")</f>
        <v/>
      </c>
      <c r="L423" s="21" t="str">
        <f aca="false">IFERROR(INDEX(종합!L$3:L$501,MATCH(ROW()-2,종합!$AB$3:$AB$501,0))&amp;"","")</f>
        <v/>
      </c>
      <c r="M423" s="21" t="str">
        <f aca="false">IFERROR(INDEX(종합!M$3:M$501,MATCH(ROW()-2,종합!$AB$3:$AB$501,0))&amp;"","")</f>
        <v/>
      </c>
      <c r="N423" s="25" t="str">
        <f aca="false">IFERROR(INDEX(종합!N$3:N$501,MATCH(ROW()-2,종합!$AB$3:$AB$501,0))&amp;"","")</f>
        <v/>
      </c>
      <c r="O423" s="21" t="str">
        <f aca="false">IFERROR(INDEX(종합!O$3:O$501,MATCH(ROW()-2,종합!$AB$3:$AB$501,0))&amp;"","")</f>
        <v/>
      </c>
      <c r="P423" s="21" t="str">
        <f aca="false">IFERROR(INDEX(종합!P$3:P$501,MATCH(ROW()-2,종합!$AB$3:$AB$501,0))&amp;"","")</f>
        <v/>
      </c>
      <c r="Q423" s="21" t="str">
        <f aca="false">IFERROR(INDEX(종합!Q$3:Q$501,MATCH(ROW()-2,종합!$AB$3:$AB$501,0))&amp;"","")</f>
        <v/>
      </c>
      <c r="R423" s="21" t="str">
        <f aca="false">IFERROR(INDEX(종합!R$3:R$501,MATCH(ROW()-2,종합!$AB$3:$AB$501,0))&amp;"","")</f>
        <v/>
      </c>
      <c r="S423" s="21" t="str">
        <f aca="false">IFERROR(INDEX(종합!S$3:S$501,MATCH(ROW()-2,종합!$AB$3:$AB$501,0))&amp;"","")</f>
        <v/>
      </c>
      <c r="T423" s="21" t="str">
        <f aca="false">IFERROR(INDEX(종합!T$3:T$501,MATCH(ROW()-2,종합!$AB$3:$AB$501,0))&amp;"","")</f>
        <v/>
      </c>
      <c r="U423" s="21" t="str">
        <f aca="false">IFERROR(INDEX(종합!U$3:U$501,MATCH(ROW()-2,종합!$AB$3:$AB$501,0))&amp;"","")</f>
        <v/>
      </c>
      <c r="V423" s="21" t="str">
        <f aca="false">IFERROR(INDEX(종합!V$3:V$501,MATCH(ROW()-2,종합!$AB$3:$AB$501,0))&amp;"","")</f>
        <v/>
      </c>
      <c r="W423" s="21" t="str">
        <f aca="false">IFERROR(INDEX(종합!W$3:W$501,MATCH(ROW()-2,종합!$AB$3:$AB$501,0))&amp;"","")</f>
        <v/>
      </c>
      <c r="X423" s="21" t="str">
        <f aca="false">IFERROR(INDEX(종합!X$3:X$501,MATCH(ROW()-2,종합!$AB$3:$AB$501,0))&amp;"","")</f>
        <v/>
      </c>
      <c r="Y423" s="21" t="str">
        <f aca="false">IFERROR(INDEX(종합!Y$3:Y$501,MATCH(ROW()-2,종합!$AB$3:$AB$501,0))&amp;"","")</f>
        <v/>
      </c>
      <c r="Z423" s="21" t="str">
        <f aca="false">IFERROR(INDEX(종합!Z$3:Z$501,MATCH(ROW()-2,종합!$AB$3:$AB$501,0))&amp;"","")</f>
        <v/>
      </c>
    </row>
    <row r="424" customFormat="false" ht="16.5" hidden="false" customHeight="true" outlineLevel="0" collapsed="false">
      <c r="A424" s="18" t="str">
        <f aca="false">IF(B424="","",ROW()-2)</f>
        <v/>
      </c>
      <c r="B424" s="18" t="str">
        <f aca="false">IFERROR(INDEX(종합!B$3:B$501,MATCH(ROW()-2,종합!$AB$3:$AB$501,0))&amp;"","")</f>
        <v/>
      </c>
      <c r="C424" s="18" t="str">
        <f aca="false">IFERROR(INDEX(종합!C$3:C$501,MATCH(ROW()-2,종합!$AB$3:$AB$501,0))&amp;"","")</f>
        <v/>
      </c>
      <c r="D424" s="18" t="str">
        <f aca="false">IFERROR(INDEX(종합!D$3:D$501,MATCH(ROW()-2,종합!$AB$3:$AB$501,0))&amp;"","")</f>
        <v/>
      </c>
      <c r="E424" s="18" t="str">
        <f aca="false">IFERROR(INDEX(종합!E$3:E$501,MATCH(ROW()-2,종합!$AB$3:$AB$501,0))&amp;"","")</f>
        <v/>
      </c>
      <c r="F424" s="18" t="str">
        <f aca="false">IFERROR(INDEX(종합!F$3:F$501,MATCH(ROW()-2,종합!$AB$3:$AB$501,0))&amp;"","")</f>
        <v/>
      </c>
      <c r="G424" s="18" t="str">
        <f aca="false">IFERROR(INDEX(종합!G$3:G$501,MATCH(ROW()-2,종합!$AB$3:$AB$501,0))&amp;"","")</f>
        <v/>
      </c>
      <c r="H424" s="21" t="str">
        <f aca="false">IFERROR(INDEX(종합!H$3:H$501,MATCH(ROW()-2,종합!$AB$3:$AB$501,0))&amp;"","")</f>
        <v/>
      </c>
      <c r="I424" s="21" t="str">
        <f aca="false">IFERROR(INDEX(종합!I$3:I$501,MATCH(ROW()-2,종합!$AB$3:$AB$501,0))&amp;"","")</f>
        <v/>
      </c>
      <c r="J424" s="21" t="str">
        <f aca="false">IFERROR(INDEX(종합!J$3:J$501,MATCH(ROW()-2,종합!$AB$3:$AB$501,0))&amp;"","")</f>
        <v/>
      </c>
      <c r="K424" s="21" t="str">
        <f aca="false">IFERROR(INDEX(종합!K$3:K$501,MATCH(ROW()-2,종합!$AB$3:$AB$501,0))&amp;"","")</f>
        <v/>
      </c>
      <c r="L424" s="21" t="str">
        <f aca="false">IFERROR(INDEX(종합!L$3:L$501,MATCH(ROW()-2,종합!$AB$3:$AB$501,0))&amp;"","")</f>
        <v/>
      </c>
      <c r="M424" s="21" t="str">
        <f aca="false">IFERROR(INDEX(종합!M$3:M$501,MATCH(ROW()-2,종합!$AB$3:$AB$501,0))&amp;"","")</f>
        <v/>
      </c>
      <c r="N424" s="25" t="str">
        <f aca="false">IFERROR(INDEX(종합!N$3:N$501,MATCH(ROW()-2,종합!$AB$3:$AB$501,0))&amp;"","")</f>
        <v/>
      </c>
      <c r="O424" s="21" t="str">
        <f aca="false">IFERROR(INDEX(종합!O$3:O$501,MATCH(ROW()-2,종합!$AB$3:$AB$501,0))&amp;"","")</f>
        <v/>
      </c>
      <c r="P424" s="21" t="str">
        <f aca="false">IFERROR(INDEX(종합!P$3:P$501,MATCH(ROW()-2,종합!$AB$3:$AB$501,0))&amp;"","")</f>
        <v/>
      </c>
      <c r="Q424" s="21" t="str">
        <f aca="false">IFERROR(INDEX(종합!Q$3:Q$501,MATCH(ROW()-2,종합!$AB$3:$AB$501,0))&amp;"","")</f>
        <v/>
      </c>
      <c r="R424" s="21" t="str">
        <f aca="false">IFERROR(INDEX(종합!R$3:R$501,MATCH(ROW()-2,종합!$AB$3:$AB$501,0))&amp;"","")</f>
        <v/>
      </c>
      <c r="S424" s="21" t="str">
        <f aca="false">IFERROR(INDEX(종합!S$3:S$501,MATCH(ROW()-2,종합!$AB$3:$AB$501,0))&amp;"","")</f>
        <v/>
      </c>
      <c r="T424" s="21" t="str">
        <f aca="false">IFERROR(INDEX(종합!T$3:T$501,MATCH(ROW()-2,종합!$AB$3:$AB$501,0))&amp;"","")</f>
        <v/>
      </c>
      <c r="U424" s="21" t="str">
        <f aca="false">IFERROR(INDEX(종합!U$3:U$501,MATCH(ROW()-2,종합!$AB$3:$AB$501,0))&amp;"","")</f>
        <v/>
      </c>
      <c r="V424" s="21" t="str">
        <f aca="false">IFERROR(INDEX(종합!V$3:V$501,MATCH(ROW()-2,종합!$AB$3:$AB$501,0))&amp;"","")</f>
        <v/>
      </c>
      <c r="W424" s="21" t="str">
        <f aca="false">IFERROR(INDEX(종합!W$3:W$501,MATCH(ROW()-2,종합!$AB$3:$AB$501,0))&amp;"","")</f>
        <v/>
      </c>
      <c r="X424" s="21" t="str">
        <f aca="false">IFERROR(INDEX(종합!X$3:X$501,MATCH(ROW()-2,종합!$AB$3:$AB$501,0))&amp;"","")</f>
        <v/>
      </c>
      <c r="Y424" s="21" t="str">
        <f aca="false">IFERROR(INDEX(종합!Y$3:Y$501,MATCH(ROW()-2,종합!$AB$3:$AB$501,0))&amp;"","")</f>
        <v/>
      </c>
      <c r="Z424" s="21" t="str">
        <f aca="false">IFERROR(INDEX(종합!Z$3:Z$501,MATCH(ROW()-2,종합!$AB$3:$AB$501,0))&amp;"","")</f>
        <v/>
      </c>
    </row>
    <row r="425" customFormat="false" ht="16.5" hidden="false" customHeight="true" outlineLevel="0" collapsed="false">
      <c r="A425" s="18" t="str">
        <f aca="false">IF(B425="","",ROW()-2)</f>
        <v/>
      </c>
      <c r="B425" s="18" t="str">
        <f aca="false">IFERROR(INDEX(종합!B$3:B$501,MATCH(ROW()-2,종합!$AB$3:$AB$501,0))&amp;"","")</f>
        <v/>
      </c>
      <c r="C425" s="18" t="str">
        <f aca="false">IFERROR(INDEX(종합!C$3:C$501,MATCH(ROW()-2,종합!$AB$3:$AB$501,0))&amp;"","")</f>
        <v/>
      </c>
      <c r="D425" s="18" t="str">
        <f aca="false">IFERROR(INDEX(종합!D$3:D$501,MATCH(ROW()-2,종합!$AB$3:$AB$501,0))&amp;"","")</f>
        <v/>
      </c>
      <c r="E425" s="18" t="str">
        <f aca="false">IFERROR(INDEX(종합!E$3:E$501,MATCH(ROW()-2,종합!$AB$3:$AB$501,0))&amp;"","")</f>
        <v/>
      </c>
      <c r="F425" s="18" t="str">
        <f aca="false">IFERROR(INDEX(종합!F$3:F$501,MATCH(ROW()-2,종합!$AB$3:$AB$501,0))&amp;"","")</f>
        <v/>
      </c>
      <c r="G425" s="18" t="str">
        <f aca="false">IFERROR(INDEX(종합!G$3:G$501,MATCH(ROW()-2,종합!$AB$3:$AB$501,0))&amp;"","")</f>
        <v/>
      </c>
      <c r="H425" s="21" t="str">
        <f aca="false">IFERROR(INDEX(종합!H$3:H$501,MATCH(ROW()-2,종합!$AB$3:$AB$501,0))&amp;"","")</f>
        <v/>
      </c>
      <c r="I425" s="21" t="str">
        <f aca="false">IFERROR(INDEX(종합!I$3:I$501,MATCH(ROW()-2,종합!$AB$3:$AB$501,0))&amp;"","")</f>
        <v/>
      </c>
      <c r="J425" s="21" t="str">
        <f aca="false">IFERROR(INDEX(종합!J$3:J$501,MATCH(ROW()-2,종합!$AB$3:$AB$501,0))&amp;"","")</f>
        <v/>
      </c>
      <c r="K425" s="21" t="str">
        <f aca="false">IFERROR(INDEX(종합!K$3:K$501,MATCH(ROW()-2,종합!$AB$3:$AB$501,0))&amp;"","")</f>
        <v/>
      </c>
      <c r="L425" s="21" t="str">
        <f aca="false">IFERROR(INDEX(종합!L$3:L$501,MATCH(ROW()-2,종합!$AB$3:$AB$501,0))&amp;"","")</f>
        <v/>
      </c>
      <c r="M425" s="21" t="str">
        <f aca="false">IFERROR(INDEX(종합!M$3:M$501,MATCH(ROW()-2,종합!$AB$3:$AB$501,0))&amp;"","")</f>
        <v/>
      </c>
      <c r="N425" s="25" t="str">
        <f aca="false">IFERROR(INDEX(종합!N$3:N$501,MATCH(ROW()-2,종합!$AB$3:$AB$501,0))&amp;"","")</f>
        <v/>
      </c>
      <c r="O425" s="21" t="str">
        <f aca="false">IFERROR(INDEX(종합!O$3:O$501,MATCH(ROW()-2,종합!$AB$3:$AB$501,0))&amp;"","")</f>
        <v/>
      </c>
      <c r="P425" s="21" t="str">
        <f aca="false">IFERROR(INDEX(종합!P$3:P$501,MATCH(ROW()-2,종합!$AB$3:$AB$501,0))&amp;"","")</f>
        <v/>
      </c>
      <c r="Q425" s="21" t="str">
        <f aca="false">IFERROR(INDEX(종합!Q$3:Q$501,MATCH(ROW()-2,종합!$AB$3:$AB$501,0))&amp;"","")</f>
        <v/>
      </c>
      <c r="R425" s="21" t="str">
        <f aca="false">IFERROR(INDEX(종합!R$3:R$501,MATCH(ROW()-2,종합!$AB$3:$AB$501,0))&amp;"","")</f>
        <v/>
      </c>
      <c r="S425" s="21" t="str">
        <f aca="false">IFERROR(INDEX(종합!S$3:S$501,MATCH(ROW()-2,종합!$AB$3:$AB$501,0))&amp;"","")</f>
        <v/>
      </c>
      <c r="T425" s="21" t="str">
        <f aca="false">IFERROR(INDEX(종합!T$3:T$501,MATCH(ROW()-2,종합!$AB$3:$AB$501,0))&amp;"","")</f>
        <v/>
      </c>
      <c r="U425" s="21" t="str">
        <f aca="false">IFERROR(INDEX(종합!U$3:U$501,MATCH(ROW()-2,종합!$AB$3:$AB$501,0))&amp;"","")</f>
        <v/>
      </c>
      <c r="V425" s="21" t="str">
        <f aca="false">IFERROR(INDEX(종합!V$3:V$501,MATCH(ROW()-2,종합!$AB$3:$AB$501,0))&amp;"","")</f>
        <v/>
      </c>
      <c r="W425" s="21" t="str">
        <f aca="false">IFERROR(INDEX(종합!W$3:W$501,MATCH(ROW()-2,종합!$AB$3:$AB$501,0))&amp;"","")</f>
        <v/>
      </c>
      <c r="X425" s="21" t="str">
        <f aca="false">IFERROR(INDEX(종합!X$3:X$501,MATCH(ROW()-2,종합!$AB$3:$AB$501,0))&amp;"","")</f>
        <v/>
      </c>
      <c r="Y425" s="21" t="str">
        <f aca="false">IFERROR(INDEX(종합!Y$3:Y$501,MATCH(ROW()-2,종합!$AB$3:$AB$501,0))&amp;"","")</f>
        <v/>
      </c>
      <c r="Z425" s="21" t="str">
        <f aca="false">IFERROR(INDEX(종합!Z$3:Z$501,MATCH(ROW()-2,종합!$AB$3:$AB$501,0))&amp;"","")</f>
        <v/>
      </c>
    </row>
    <row r="426" customFormat="false" ht="16.5" hidden="false" customHeight="true" outlineLevel="0" collapsed="false">
      <c r="A426" s="18" t="str">
        <f aca="false">IF(B426="","",ROW()-2)</f>
        <v/>
      </c>
      <c r="B426" s="18" t="str">
        <f aca="false">IFERROR(INDEX(종합!B$3:B$501,MATCH(ROW()-2,종합!$AB$3:$AB$501,0))&amp;"","")</f>
        <v/>
      </c>
      <c r="C426" s="18" t="str">
        <f aca="false">IFERROR(INDEX(종합!C$3:C$501,MATCH(ROW()-2,종합!$AB$3:$AB$501,0))&amp;"","")</f>
        <v/>
      </c>
      <c r="D426" s="18" t="str">
        <f aca="false">IFERROR(INDEX(종합!D$3:D$501,MATCH(ROW()-2,종합!$AB$3:$AB$501,0))&amp;"","")</f>
        <v/>
      </c>
      <c r="E426" s="18" t="str">
        <f aca="false">IFERROR(INDEX(종합!E$3:E$501,MATCH(ROW()-2,종합!$AB$3:$AB$501,0))&amp;"","")</f>
        <v/>
      </c>
      <c r="F426" s="18" t="str">
        <f aca="false">IFERROR(INDEX(종합!F$3:F$501,MATCH(ROW()-2,종합!$AB$3:$AB$501,0))&amp;"","")</f>
        <v/>
      </c>
      <c r="G426" s="18" t="str">
        <f aca="false">IFERROR(INDEX(종합!G$3:G$501,MATCH(ROW()-2,종합!$AB$3:$AB$501,0))&amp;"","")</f>
        <v/>
      </c>
      <c r="H426" s="21" t="str">
        <f aca="false">IFERROR(INDEX(종합!H$3:H$501,MATCH(ROW()-2,종합!$AB$3:$AB$501,0))&amp;"","")</f>
        <v/>
      </c>
      <c r="I426" s="21" t="str">
        <f aca="false">IFERROR(INDEX(종합!I$3:I$501,MATCH(ROW()-2,종합!$AB$3:$AB$501,0))&amp;"","")</f>
        <v/>
      </c>
      <c r="J426" s="21" t="str">
        <f aca="false">IFERROR(INDEX(종합!J$3:J$501,MATCH(ROW()-2,종합!$AB$3:$AB$501,0))&amp;"","")</f>
        <v/>
      </c>
      <c r="K426" s="21" t="str">
        <f aca="false">IFERROR(INDEX(종합!K$3:K$501,MATCH(ROW()-2,종합!$AB$3:$AB$501,0))&amp;"","")</f>
        <v/>
      </c>
      <c r="L426" s="21" t="str">
        <f aca="false">IFERROR(INDEX(종합!L$3:L$501,MATCH(ROW()-2,종합!$AB$3:$AB$501,0))&amp;"","")</f>
        <v/>
      </c>
      <c r="M426" s="21" t="str">
        <f aca="false">IFERROR(INDEX(종합!M$3:M$501,MATCH(ROW()-2,종합!$AB$3:$AB$501,0))&amp;"","")</f>
        <v/>
      </c>
      <c r="N426" s="25" t="str">
        <f aca="false">IFERROR(INDEX(종합!N$3:N$501,MATCH(ROW()-2,종합!$AB$3:$AB$501,0))&amp;"","")</f>
        <v/>
      </c>
      <c r="O426" s="21" t="str">
        <f aca="false">IFERROR(INDEX(종합!O$3:O$501,MATCH(ROW()-2,종합!$AB$3:$AB$501,0))&amp;"","")</f>
        <v/>
      </c>
      <c r="P426" s="21" t="str">
        <f aca="false">IFERROR(INDEX(종합!P$3:P$501,MATCH(ROW()-2,종합!$AB$3:$AB$501,0))&amp;"","")</f>
        <v/>
      </c>
      <c r="Q426" s="21" t="str">
        <f aca="false">IFERROR(INDEX(종합!Q$3:Q$501,MATCH(ROW()-2,종합!$AB$3:$AB$501,0))&amp;"","")</f>
        <v/>
      </c>
      <c r="R426" s="21" t="str">
        <f aca="false">IFERROR(INDEX(종합!R$3:R$501,MATCH(ROW()-2,종합!$AB$3:$AB$501,0))&amp;"","")</f>
        <v/>
      </c>
      <c r="S426" s="21" t="str">
        <f aca="false">IFERROR(INDEX(종합!S$3:S$501,MATCH(ROW()-2,종합!$AB$3:$AB$501,0))&amp;"","")</f>
        <v/>
      </c>
      <c r="T426" s="21" t="str">
        <f aca="false">IFERROR(INDEX(종합!T$3:T$501,MATCH(ROW()-2,종합!$AB$3:$AB$501,0))&amp;"","")</f>
        <v/>
      </c>
      <c r="U426" s="21" t="str">
        <f aca="false">IFERROR(INDEX(종합!U$3:U$501,MATCH(ROW()-2,종합!$AB$3:$AB$501,0))&amp;"","")</f>
        <v/>
      </c>
      <c r="V426" s="21" t="str">
        <f aca="false">IFERROR(INDEX(종합!V$3:V$501,MATCH(ROW()-2,종합!$AB$3:$AB$501,0))&amp;"","")</f>
        <v/>
      </c>
      <c r="W426" s="21" t="str">
        <f aca="false">IFERROR(INDEX(종합!W$3:W$501,MATCH(ROW()-2,종합!$AB$3:$AB$501,0))&amp;"","")</f>
        <v/>
      </c>
      <c r="X426" s="21" t="str">
        <f aca="false">IFERROR(INDEX(종합!X$3:X$501,MATCH(ROW()-2,종합!$AB$3:$AB$501,0))&amp;"","")</f>
        <v/>
      </c>
      <c r="Y426" s="21" t="str">
        <f aca="false">IFERROR(INDEX(종합!Y$3:Y$501,MATCH(ROW()-2,종합!$AB$3:$AB$501,0))&amp;"","")</f>
        <v/>
      </c>
      <c r="Z426" s="21" t="str">
        <f aca="false">IFERROR(INDEX(종합!Z$3:Z$501,MATCH(ROW()-2,종합!$AB$3:$AB$501,0))&amp;"","")</f>
        <v/>
      </c>
    </row>
    <row r="427" customFormat="false" ht="16.5" hidden="false" customHeight="true" outlineLevel="0" collapsed="false">
      <c r="A427" s="18" t="str">
        <f aca="false">IF(B427="","",ROW()-2)</f>
        <v/>
      </c>
      <c r="B427" s="18" t="str">
        <f aca="false">IFERROR(INDEX(종합!B$3:B$501,MATCH(ROW()-2,종합!$AB$3:$AB$501,0))&amp;"","")</f>
        <v/>
      </c>
      <c r="C427" s="18" t="str">
        <f aca="false">IFERROR(INDEX(종합!C$3:C$501,MATCH(ROW()-2,종합!$AB$3:$AB$501,0))&amp;"","")</f>
        <v/>
      </c>
      <c r="D427" s="18" t="str">
        <f aca="false">IFERROR(INDEX(종합!D$3:D$501,MATCH(ROW()-2,종합!$AB$3:$AB$501,0))&amp;"","")</f>
        <v/>
      </c>
      <c r="E427" s="18" t="str">
        <f aca="false">IFERROR(INDEX(종합!E$3:E$501,MATCH(ROW()-2,종합!$AB$3:$AB$501,0))&amp;"","")</f>
        <v/>
      </c>
      <c r="F427" s="18" t="str">
        <f aca="false">IFERROR(INDEX(종합!F$3:F$501,MATCH(ROW()-2,종합!$AB$3:$AB$501,0))&amp;"","")</f>
        <v/>
      </c>
      <c r="G427" s="18" t="str">
        <f aca="false">IFERROR(INDEX(종합!G$3:G$501,MATCH(ROW()-2,종합!$AB$3:$AB$501,0))&amp;"","")</f>
        <v/>
      </c>
      <c r="H427" s="21" t="str">
        <f aca="false">IFERROR(INDEX(종합!H$3:H$501,MATCH(ROW()-2,종합!$AB$3:$AB$501,0))&amp;"","")</f>
        <v/>
      </c>
      <c r="I427" s="21" t="str">
        <f aca="false">IFERROR(INDEX(종합!I$3:I$501,MATCH(ROW()-2,종합!$AB$3:$AB$501,0))&amp;"","")</f>
        <v/>
      </c>
      <c r="J427" s="21" t="str">
        <f aca="false">IFERROR(INDEX(종합!J$3:J$501,MATCH(ROW()-2,종합!$AB$3:$AB$501,0))&amp;"","")</f>
        <v/>
      </c>
      <c r="K427" s="21" t="str">
        <f aca="false">IFERROR(INDEX(종합!K$3:K$501,MATCH(ROW()-2,종합!$AB$3:$AB$501,0))&amp;"","")</f>
        <v/>
      </c>
      <c r="L427" s="21" t="str">
        <f aca="false">IFERROR(INDEX(종합!L$3:L$501,MATCH(ROW()-2,종합!$AB$3:$AB$501,0))&amp;"","")</f>
        <v/>
      </c>
      <c r="M427" s="21" t="str">
        <f aca="false">IFERROR(INDEX(종합!M$3:M$501,MATCH(ROW()-2,종합!$AB$3:$AB$501,0))&amp;"","")</f>
        <v/>
      </c>
      <c r="N427" s="25" t="str">
        <f aca="false">IFERROR(INDEX(종합!N$3:N$501,MATCH(ROW()-2,종합!$AB$3:$AB$501,0))&amp;"","")</f>
        <v/>
      </c>
      <c r="O427" s="21" t="str">
        <f aca="false">IFERROR(INDEX(종합!O$3:O$501,MATCH(ROW()-2,종합!$AB$3:$AB$501,0))&amp;"","")</f>
        <v/>
      </c>
      <c r="P427" s="21" t="str">
        <f aca="false">IFERROR(INDEX(종합!P$3:P$501,MATCH(ROW()-2,종합!$AB$3:$AB$501,0))&amp;"","")</f>
        <v/>
      </c>
      <c r="Q427" s="21" t="str">
        <f aca="false">IFERROR(INDEX(종합!Q$3:Q$501,MATCH(ROW()-2,종합!$AB$3:$AB$501,0))&amp;"","")</f>
        <v/>
      </c>
      <c r="R427" s="21" t="str">
        <f aca="false">IFERROR(INDEX(종합!R$3:R$501,MATCH(ROW()-2,종합!$AB$3:$AB$501,0))&amp;"","")</f>
        <v/>
      </c>
      <c r="S427" s="21" t="str">
        <f aca="false">IFERROR(INDEX(종합!S$3:S$501,MATCH(ROW()-2,종합!$AB$3:$AB$501,0))&amp;"","")</f>
        <v/>
      </c>
      <c r="T427" s="21" t="str">
        <f aca="false">IFERROR(INDEX(종합!T$3:T$501,MATCH(ROW()-2,종합!$AB$3:$AB$501,0))&amp;"","")</f>
        <v/>
      </c>
      <c r="U427" s="21" t="str">
        <f aca="false">IFERROR(INDEX(종합!U$3:U$501,MATCH(ROW()-2,종합!$AB$3:$AB$501,0))&amp;"","")</f>
        <v/>
      </c>
      <c r="V427" s="21" t="str">
        <f aca="false">IFERROR(INDEX(종합!V$3:V$501,MATCH(ROW()-2,종합!$AB$3:$AB$501,0))&amp;"","")</f>
        <v/>
      </c>
      <c r="W427" s="21" t="str">
        <f aca="false">IFERROR(INDEX(종합!W$3:W$501,MATCH(ROW()-2,종합!$AB$3:$AB$501,0))&amp;"","")</f>
        <v/>
      </c>
      <c r="X427" s="21" t="str">
        <f aca="false">IFERROR(INDEX(종합!X$3:X$501,MATCH(ROW()-2,종합!$AB$3:$AB$501,0))&amp;"","")</f>
        <v/>
      </c>
      <c r="Y427" s="21" t="str">
        <f aca="false">IFERROR(INDEX(종합!Y$3:Y$501,MATCH(ROW()-2,종합!$AB$3:$AB$501,0))&amp;"","")</f>
        <v/>
      </c>
      <c r="Z427" s="21" t="str">
        <f aca="false">IFERROR(INDEX(종합!Z$3:Z$501,MATCH(ROW()-2,종합!$AB$3:$AB$501,0))&amp;"","")</f>
        <v/>
      </c>
    </row>
    <row r="428" customFormat="false" ht="16.5" hidden="false" customHeight="true" outlineLevel="0" collapsed="false">
      <c r="A428" s="18" t="str">
        <f aca="false">IF(B428="","",ROW()-2)</f>
        <v/>
      </c>
      <c r="B428" s="18" t="str">
        <f aca="false">IFERROR(INDEX(종합!B$3:B$501,MATCH(ROW()-2,종합!$AB$3:$AB$501,0))&amp;"","")</f>
        <v/>
      </c>
      <c r="C428" s="18" t="str">
        <f aca="false">IFERROR(INDEX(종합!C$3:C$501,MATCH(ROW()-2,종합!$AB$3:$AB$501,0))&amp;"","")</f>
        <v/>
      </c>
      <c r="D428" s="18" t="str">
        <f aca="false">IFERROR(INDEX(종합!D$3:D$501,MATCH(ROW()-2,종합!$AB$3:$AB$501,0))&amp;"","")</f>
        <v/>
      </c>
      <c r="E428" s="18" t="str">
        <f aca="false">IFERROR(INDEX(종합!E$3:E$501,MATCH(ROW()-2,종합!$AB$3:$AB$501,0))&amp;"","")</f>
        <v/>
      </c>
      <c r="F428" s="18" t="str">
        <f aca="false">IFERROR(INDEX(종합!F$3:F$501,MATCH(ROW()-2,종합!$AB$3:$AB$501,0))&amp;"","")</f>
        <v/>
      </c>
      <c r="G428" s="18" t="str">
        <f aca="false">IFERROR(INDEX(종합!G$3:G$501,MATCH(ROW()-2,종합!$AB$3:$AB$501,0))&amp;"","")</f>
        <v/>
      </c>
      <c r="H428" s="21" t="str">
        <f aca="false">IFERROR(INDEX(종합!H$3:H$501,MATCH(ROW()-2,종합!$AB$3:$AB$501,0))&amp;"","")</f>
        <v/>
      </c>
      <c r="I428" s="21" t="str">
        <f aca="false">IFERROR(INDEX(종합!I$3:I$501,MATCH(ROW()-2,종합!$AB$3:$AB$501,0))&amp;"","")</f>
        <v/>
      </c>
      <c r="J428" s="21" t="str">
        <f aca="false">IFERROR(INDEX(종합!J$3:J$501,MATCH(ROW()-2,종합!$AB$3:$AB$501,0))&amp;"","")</f>
        <v/>
      </c>
      <c r="K428" s="21" t="str">
        <f aca="false">IFERROR(INDEX(종합!K$3:K$501,MATCH(ROW()-2,종합!$AB$3:$AB$501,0))&amp;"","")</f>
        <v/>
      </c>
      <c r="L428" s="21" t="str">
        <f aca="false">IFERROR(INDEX(종합!L$3:L$501,MATCH(ROW()-2,종합!$AB$3:$AB$501,0))&amp;"","")</f>
        <v/>
      </c>
      <c r="M428" s="21" t="str">
        <f aca="false">IFERROR(INDEX(종합!M$3:M$501,MATCH(ROW()-2,종합!$AB$3:$AB$501,0))&amp;"","")</f>
        <v/>
      </c>
      <c r="N428" s="25" t="str">
        <f aca="false">IFERROR(INDEX(종합!N$3:N$501,MATCH(ROW()-2,종합!$AB$3:$AB$501,0))&amp;"","")</f>
        <v/>
      </c>
      <c r="O428" s="21" t="str">
        <f aca="false">IFERROR(INDEX(종합!O$3:O$501,MATCH(ROW()-2,종합!$AB$3:$AB$501,0))&amp;"","")</f>
        <v/>
      </c>
      <c r="P428" s="21" t="str">
        <f aca="false">IFERROR(INDEX(종합!P$3:P$501,MATCH(ROW()-2,종합!$AB$3:$AB$501,0))&amp;"","")</f>
        <v/>
      </c>
      <c r="Q428" s="21" t="str">
        <f aca="false">IFERROR(INDEX(종합!Q$3:Q$501,MATCH(ROW()-2,종합!$AB$3:$AB$501,0))&amp;"","")</f>
        <v/>
      </c>
      <c r="R428" s="21" t="str">
        <f aca="false">IFERROR(INDEX(종합!R$3:R$501,MATCH(ROW()-2,종합!$AB$3:$AB$501,0))&amp;"","")</f>
        <v/>
      </c>
      <c r="S428" s="21" t="str">
        <f aca="false">IFERROR(INDEX(종합!S$3:S$501,MATCH(ROW()-2,종합!$AB$3:$AB$501,0))&amp;"","")</f>
        <v/>
      </c>
      <c r="T428" s="21" t="str">
        <f aca="false">IFERROR(INDEX(종합!T$3:T$501,MATCH(ROW()-2,종합!$AB$3:$AB$501,0))&amp;"","")</f>
        <v/>
      </c>
      <c r="U428" s="21" t="str">
        <f aca="false">IFERROR(INDEX(종합!U$3:U$501,MATCH(ROW()-2,종합!$AB$3:$AB$501,0))&amp;"","")</f>
        <v/>
      </c>
      <c r="V428" s="21" t="str">
        <f aca="false">IFERROR(INDEX(종합!V$3:V$501,MATCH(ROW()-2,종합!$AB$3:$AB$501,0))&amp;"","")</f>
        <v/>
      </c>
      <c r="W428" s="21" t="str">
        <f aca="false">IFERROR(INDEX(종합!W$3:W$501,MATCH(ROW()-2,종합!$AB$3:$AB$501,0))&amp;"","")</f>
        <v/>
      </c>
      <c r="X428" s="21" t="str">
        <f aca="false">IFERROR(INDEX(종합!X$3:X$501,MATCH(ROW()-2,종합!$AB$3:$AB$501,0))&amp;"","")</f>
        <v/>
      </c>
      <c r="Y428" s="21" t="str">
        <f aca="false">IFERROR(INDEX(종합!Y$3:Y$501,MATCH(ROW()-2,종합!$AB$3:$AB$501,0))&amp;"","")</f>
        <v/>
      </c>
      <c r="Z428" s="21" t="str">
        <f aca="false">IFERROR(INDEX(종합!Z$3:Z$501,MATCH(ROW()-2,종합!$AB$3:$AB$501,0))&amp;"","")</f>
        <v/>
      </c>
    </row>
    <row r="429" customFormat="false" ht="16.5" hidden="false" customHeight="true" outlineLevel="0" collapsed="false">
      <c r="A429" s="18" t="str">
        <f aca="false">IF(B429="","",ROW()-2)</f>
        <v/>
      </c>
      <c r="B429" s="18" t="str">
        <f aca="false">IFERROR(INDEX(종합!B$3:B$501,MATCH(ROW()-2,종합!$AB$3:$AB$501,0))&amp;"","")</f>
        <v/>
      </c>
      <c r="C429" s="18" t="str">
        <f aca="false">IFERROR(INDEX(종합!C$3:C$501,MATCH(ROW()-2,종합!$AB$3:$AB$501,0))&amp;"","")</f>
        <v/>
      </c>
      <c r="D429" s="18" t="str">
        <f aca="false">IFERROR(INDEX(종합!D$3:D$501,MATCH(ROW()-2,종합!$AB$3:$AB$501,0))&amp;"","")</f>
        <v/>
      </c>
      <c r="E429" s="18" t="str">
        <f aca="false">IFERROR(INDEX(종합!E$3:E$501,MATCH(ROW()-2,종합!$AB$3:$AB$501,0))&amp;"","")</f>
        <v/>
      </c>
      <c r="F429" s="18" t="str">
        <f aca="false">IFERROR(INDEX(종합!F$3:F$501,MATCH(ROW()-2,종합!$AB$3:$AB$501,0))&amp;"","")</f>
        <v/>
      </c>
      <c r="G429" s="18" t="str">
        <f aca="false">IFERROR(INDEX(종합!G$3:G$501,MATCH(ROW()-2,종합!$AB$3:$AB$501,0))&amp;"","")</f>
        <v/>
      </c>
      <c r="H429" s="21" t="str">
        <f aca="false">IFERROR(INDEX(종합!H$3:H$501,MATCH(ROW()-2,종합!$AB$3:$AB$501,0))&amp;"","")</f>
        <v/>
      </c>
      <c r="I429" s="21" t="str">
        <f aca="false">IFERROR(INDEX(종합!I$3:I$501,MATCH(ROW()-2,종합!$AB$3:$AB$501,0))&amp;"","")</f>
        <v/>
      </c>
      <c r="J429" s="21" t="str">
        <f aca="false">IFERROR(INDEX(종합!J$3:J$501,MATCH(ROW()-2,종합!$AB$3:$AB$501,0))&amp;"","")</f>
        <v/>
      </c>
      <c r="K429" s="21" t="str">
        <f aca="false">IFERROR(INDEX(종합!K$3:K$501,MATCH(ROW()-2,종합!$AB$3:$AB$501,0))&amp;"","")</f>
        <v/>
      </c>
      <c r="L429" s="21" t="str">
        <f aca="false">IFERROR(INDEX(종합!L$3:L$501,MATCH(ROW()-2,종합!$AB$3:$AB$501,0))&amp;"","")</f>
        <v/>
      </c>
      <c r="M429" s="21" t="str">
        <f aca="false">IFERROR(INDEX(종합!M$3:M$501,MATCH(ROW()-2,종합!$AB$3:$AB$501,0))&amp;"","")</f>
        <v/>
      </c>
      <c r="N429" s="25" t="str">
        <f aca="false">IFERROR(INDEX(종합!N$3:N$501,MATCH(ROW()-2,종합!$AB$3:$AB$501,0))&amp;"","")</f>
        <v/>
      </c>
      <c r="O429" s="21" t="str">
        <f aca="false">IFERROR(INDEX(종합!O$3:O$501,MATCH(ROW()-2,종합!$AB$3:$AB$501,0))&amp;"","")</f>
        <v/>
      </c>
      <c r="P429" s="21" t="str">
        <f aca="false">IFERROR(INDEX(종합!P$3:P$501,MATCH(ROW()-2,종합!$AB$3:$AB$501,0))&amp;"","")</f>
        <v/>
      </c>
      <c r="Q429" s="21" t="str">
        <f aca="false">IFERROR(INDEX(종합!Q$3:Q$501,MATCH(ROW()-2,종합!$AB$3:$AB$501,0))&amp;"","")</f>
        <v/>
      </c>
      <c r="R429" s="21" t="str">
        <f aca="false">IFERROR(INDEX(종합!R$3:R$501,MATCH(ROW()-2,종합!$AB$3:$AB$501,0))&amp;"","")</f>
        <v/>
      </c>
      <c r="S429" s="21" t="str">
        <f aca="false">IFERROR(INDEX(종합!S$3:S$501,MATCH(ROW()-2,종합!$AB$3:$AB$501,0))&amp;"","")</f>
        <v/>
      </c>
      <c r="T429" s="21" t="str">
        <f aca="false">IFERROR(INDEX(종합!T$3:T$501,MATCH(ROW()-2,종합!$AB$3:$AB$501,0))&amp;"","")</f>
        <v/>
      </c>
      <c r="U429" s="21" t="str">
        <f aca="false">IFERROR(INDEX(종합!U$3:U$501,MATCH(ROW()-2,종합!$AB$3:$AB$501,0))&amp;"","")</f>
        <v/>
      </c>
      <c r="V429" s="21" t="str">
        <f aca="false">IFERROR(INDEX(종합!V$3:V$501,MATCH(ROW()-2,종합!$AB$3:$AB$501,0))&amp;"","")</f>
        <v/>
      </c>
      <c r="W429" s="21" t="str">
        <f aca="false">IFERROR(INDEX(종합!W$3:W$501,MATCH(ROW()-2,종합!$AB$3:$AB$501,0))&amp;"","")</f>
        <v/>
      </c>
      <c r="X429" s="21" t="str">
        <f aca="false">IFERROR(INDEX(종합!X$3:X$501,MATCH(ROW()-2,종합!$AB$3:$AB$501,0))&amp;"","")</f>
        <v/>
      </c>
      <c r="Y429" s="21" t="str">
        <f aca="false">IFERROR(INDEX(종합!Y$3:Y$501,MATCH(ROW()-2,종합!$AB$3:$AB$501,0))&amp;"","")</f>
        <v/>
      </c>
      <c r="Z429" s="21" t="str">
        <f aca="false">IFERROR(INDEX(종합!Z$3:Z$501,MATCH(ROW()-2,종합!$AB$3:$AB$501,0))&amp;"","")</f>
        <v/>
      </c>
    </row>
    <row r="430" customFormat="false" ht="16.5" hidden="false" customHeight="true" outlineLevel="0" collapsed="false">
      <c r="A430" s="18" t="str">
        <f aca="false">IF(B430="","",ROW()-2)</f>
        <v/>
      </c>
      <c r="B430" s="18" t="str">
        <f aca="false">IFERROR(INDEX(종합!B$3:B$501,MATCH(ROW()-2,종합!$AB$3:$AB$501,0))&amp;"","")</f>
        <v/>
      </c>
      <c r="C430" s="18" t="str">
        <f aca="false">IFERROR(INDEX(종합!C$3:C$501,MATCH(ROW()-2,종합!$AB$3:$AB$501,0))&amp;"","")</f>
        <v/>
      </c>
      <c r="D430" s="18" t="str">
        <f aca="false">IFERROR(INDEX(종합!D$3:D$501,MATCH(ROW()-2,종합!$AB$3:$AB$501,0))&amp;"","")</f>
        <v/>
      </c>
      <c r="E430" s="18" t="str">
        <f aca="false">IFERROR(INDEX(종합!E$3:E$501,MATCH(ROW()-2,종합!$AB$3:$AB$501,0))&amp;"","")</f>
        <v/>
      </c>
      <c r="F430" s="18" t="str">
        <f aca="false">IFERROR(INDEX(종합!F$3:F$501,MATCH(ROW()-2,종합!$AB$3:$AB$501,0))&amp;"","")</f>
        <v/>
      </c>
      <c r="G430" s="18" t="str">
        <f aca="false">IFERROR(INDEX(종합!G$3:G$501,MATCH(ROW()-2,종합!$AB$3:$AB$501,0))&amp;"","")</f>
        <v/>
      </c>
      <c r="H430" s="21" t="str">
        <f aca="false">IFERROR(INDEX(종합!H$3:H$501,MATCH(ROW()-2,종합!$AB$3:$AB$501,0))&amp;"","")</f>
        <v/>
      </c>
      <c r="I430" s="21" t="str">
        <f aca="false">IFERROR(INDEX(종합!I$3:I$501,MATCH(ROW()-2,종합!$AB$3:$AB$501,0))&amp;"","")</f>
        <v/>
      </c>
      <c r="J430" s="21" t="str">
        <f aca="false">IFERROR(INDEX(종합!J$3:J$501,MATCH(ROW()-2,종합!$AB$3:$AB$501,0))&amp;"","")</f>
        <v/>
      </c>
      <c r="K430" s="21" t="str">
        <f aca="false">IFERROR(INDEX(종합!K$3:K$501,MATCH(ROW()-2,종합!$AB$3:$AB$501,0))&amp;"","")</f>
        <v/>
      </c>
      <c r="L430" s="21" t="str">
        <f aca="false">IFERROR(INDEX(종합!L$3:L$501,MATCH(ROW()-2,종합!$AB$3:$AB$501,0))&amp;"","")</f>
        <v/>
      </c>
      <c r="M430" s="21" t="str">
        <f aca="false">IFERROR(INDEX(종합!M$3:M$501,MATCH(ROW()-2,종합!$AB$3:$AB$501,0))&amp;"","")</f>
        <v/>
      </c>
      <c r="N430" s="25" t="str">
        <f aca="false">IFERROR(INDEX(종합!N$3:N$501,MATCH(ROW()-2,종합!$AB$3:$AB$501,0))&amp;"","")</f>
        <v/>
      </c>
      <c r="O430" s="21" t="str">
        <f aca="false">IFERROR(INDEX(종합!O$3:O$501,MATCH(ROW()-2,종합!$AB$3:$AB$501,0))&amp;"","")</f>
        <v/>
      </c>
      <c r="P430" s="21" t="str">
        <f aca="false">IFERROR(INDEX(종합!P$3:P$501,MATCH(ROW()-2,종합!$AB$3:$AB$501,0))&amp;"","")</f>
        <v/>
      </c>
      <c r="Q430" s="21" t="str">
        <f aca="false">IFERROR(INDEX(종합!Q$3:Q$501,MATCH(ROW()-2,종합!$AB$3:$AB$501,0))&amp;"","")</f>
        <v/>
      </c>
      <c r="R430" s="21" t="str">
        <f aca="false">IFERROR(INDEX(종합!R$3:R$501,MATCH(ROW()-2,종합!$AB$3:$AB$501,0))&amp;"","")</f>
        <v/>
      </c>
      <c r="S430" s="21" t="str">
        <f aca="false">IFERROR(INDEX(종합!S$3:S$501,MATCH(ROW()-2,종합!$AB$3:$AB$501,0))&amp;"","")</f>
        <v/>
      </c>
      <c r="T430" s="21" t="str">
        <f aca="false">IFERROR(INDEX(종합!T$3:T$501,MATCH(ROW()-2,종합!$AB$3:$AB$501,0))&amp;"","")</f>
        <v/>
      </c>
      <c r="U430" s="21" t="str">
        <f aca="false">IFERROR(INDEX(종합!U$3:U$501,MATCH(ROW()-2,종합!$AB$3:$AB$501,0))&amp;"","")</f>
        <v/>
      </c>
      <c r="V430" s="21" t="str">
        <f aca="false">IFERROR(INDEX(종합!V$3:V$501,MATCH(ROW()-2,종합!$AB$3:$AB$501,0))&amp;"","")</f>
        <v/>
      </c>
      <c r="W430" s="21" t="str">
        <f aca="false">IFERROR(INDEX(종합!W$3:W$501,MATCH(ROW()-2,종합!$AB$3:$AB$501,0))&amp;"","")</f>
        <v/>
      </c>
      <c r="X430" s="21" t="str">
        <f aca="false">IFERROR(INDEX(종합!X$3:X$501,MATCH(ROW()-2,종합!$AB$3:$AB$501,0))&amp;"","")</f>
        <v/>
      </c>
      <c r="Y430" s="21" t="str">
        <f aca="false">IFERROR(INDEX(종합!Y$3:Y$501,MATCH(ROW()-2,종합!$AB$3:$AB$501,0))&amp;"","")</f>
        <v/>
      </c>
      <c r="Z430" s="21" t="str">
        <f aca="false">IFERROR(INDEX(종합!Z$3:Z$501,MATCH(ROW()-2,종합!$AB$3:$AB$501,0))&amp;"","")</f>
        <v/>
      </c>
    </row>
    <row r="431" customFormat="false" ht="16.5" hidden="false" customHeight="true" outlineLevel="0" collapsed="false">
      <c r="A431" s="18" t="str">
        <f aca="false">IF(B431="","",ROW()-2)</f>
        <v/>
      </c>
      <c r="B431" s="18" t="str">
        <f aca="false">IFERROR(INDEX(종합!B$3:B$501,MATCH(ROW()-2,종합!$AB$3:$AB$501,0))&amp;"","")</f>
        <v/>
      </c>
      <c r="C431" s="18" t="str">
        <f aca="false">IFERROR(INDEX(종합!C$3:C$501,MATCH(ROW()-2,종합!$AB$3:$AB$501,0))&amp;"","")</f>
        <v/>
      </c>
      <c r="D431" s="18" t="str">
        <f aca="false">IFERROR(INDEX(종합!D$3:D$501,MATCH(ROW()-2,종합!$AB$3:$AB$501,0))&amp;"","")</f>
        <v/>
      </c>
      <c r="E431" s="18" t="str">
        <f aca="false">IFERROR(INDEX(종합!E$3:E$501,MATCH(ROW()-2,종합!$AB$3:$AB$501,0))&amp;"","")</f>
        <v/>
      </c>
      <c r="F431" s="18" t="str">
        <f aca="false">IFERROR(INDEX(종합!F$3:F$501,MATCH(ROW()-2,종합!$AB$3:$AB$501,0))&amp;"","")</f>
        <v/>
      </c>
      <c r="G431" s="18" t="str">
        <f aca="false">IFERROR(INDEX(종합!G$3:G$501,MATCH(ROW()-2,종합!$AB$3:$AB$501,0))&amp;"","")</f>
        <v/>
      </c>
      <c r="H431" s="21" t="str">
        <f aca="false">IFERROR(INDEX(종합!H$3:H$501,MATCH(ROW()-2,종합!$AB$3:$AB$501,0))&amp;"","")</f>
        <v/>
      </c>
      <c r="I431" s="21" t="str">
        <f aca="false">IFERROR(INDEX(종합!I$3:I$501,MATCH(ROW()-2,종합!$AB$3:$AB$501,0))&amp;"","")</f>
        <v/>
      </c>
      <c r="J431" s="21" t="str">
        <f aca="false">IFERROR(INDEX(종합!J$3:J$501,MATCH(ROW()-2,종합!$AB$3:$AB$501,0))&amp;"","")</f>
        <v/>
      </c>
      <c r="K431" s="21" t="str">
        <f aca="false">IFERROR(INDEX(종합!K$3:K$501,MATCH(ROW()-2,종합!$AB$3:$AB$501,0))&amp;"","")</f>
        <v/>
      </c>
      <c r="L431" s="21" t="str">
        <f aca="false">IFERROR(INDEX(종합!L$3:L$501,MATCH(ROW()-2,종합!$AB$3:$AB$501,0))&amp;"","")</f>
        <v/>
      </c>
      <c r="M431" s="21" t="str">
        <f aca="false">IFERROR(INDEX(종합!M$3:M$501,MATCH(ROW()-2,종합!$AB$3:$AB$501,0))&amp;"","")</f>
        <v/>
      </c>
      <c r="N431" s="25" t="str">
        <f aca="false">IFERROR(INDEX(종합!N$3:N$501,MATCH(ROW()-2,종합!$AB$3:$AB$501,0))&amp;"","")</f>
        <v/>
      </c>
      <c r="O431" s="21" t="str">
        <f aca="false">IFERROR(INDEX(종합!O$3:O$501,MATCH(ROW()-2,종합!$AB$3:$AB$501,0))&amp;"","")</f>
        <v/>
      </c>
      <c r="P431" s="21" t="str">
        <f aca="false">IFERROR(INDEX(종합!P$3:P$501,MATCH(ROW()-2,종합!$AB$3:$AB$501,0))&amp;"","")</f>
        <v/>
      </c>
      <c r="Q431" s="21" t="str">
        <f aca="false">IFERROR(INDEX(종합!Q$3:Q$501,MATCH(ROW()-2,종합!$AB$3:$AB$501,0))&amp;"","")</f>
        <v/>
      </c>
      <c r="R431" s="21" t="str">
        <f aca="false">IFERROR(INDEX(종합!R$3:R$501,MATCH(ROW()-2,종합!$AB$3:$AB$501,0))&amp;"","")</f>
        <v/>
      </c>
      <c r="S431" s="21" t="str">
        <f aca="false">IFERROR(INDEX(종합!S$3:S$501,MATCH(ROW()-2,종합!$AB$3:$AB$501,0))&amp;"","")</f>
        <v/>
      </c>
      <c r="T431" s="21" t="str">
        <f aca="false">IFERROR(INDEX(종합!T$3:T$501,MATCH(ROW()-2,종합!$AB$3:$AB$501,0))&amp;"","")</f>
        <v/>
      </c>
      <c r="U431" s="21" t="str">
        <f aca="false">IFERROR(INDEX(종합!U$3:U$501,MATCH(ROW()-2,종합!$AB$3:$AB$501,0))&amp;"","")</f>
        <v/>
      </c>
      <c r="V431" s="21" t="str">
        <f aca="false">IFERROR(INDEX(종합!V$3:V$501,MATCH(ROW()-2,종합!$AB$3:$AB$501,0))&amp;"","")</f>
        <v/>
      </c>
      <c r="W431" s="21" t="str">
        <f aca="false">IFERROR(INDEX(종합!W$3:W$501,MATCH(ROW()-2,종합!$AB$3:$AB$501,0))&amp;"","")</f>
        <v/>
      </c>
      <c r="X431" s="21" t="str">
        <f aca="false">IFERROR(INDEX(종합!X$3:X$501,MATCH(ROW()-2,종합!$AB$3:$AB$501,0))&amp;"","")</f>
        <v/>
      </c>
      <c r="Y431" s="21" t="str">
        <f aca="false">IFERROR(INDEX(종합!Y$3:Y$501,MATCH(ROW()-2,종합!$AB$3:$AB$501,0))&amp;"","")</f>
        <v/>
      </c>
      <c r="Z431" s="21" t="str">
        <f aca="false">IFERROR(INDEX(종합!Z$3:Z$501,MATCH(ROW()-2,종합!$AB$3:$AB$501,0))&amp;"","")</f>
        <v/>
      </c>
    </row>
    <row r="432" customFormat="false" ht="16.5" hidden="false" customHeight="true" outlineLevel="0" collapsed="false">
      <c r="A432" s="18" t="str">
        <f aca="false">IF(B432="","",ROW()-2)</f>
        <v/>
      </c>
      <c r="B432" s="18" t="str">
        <f aca="false">IFERROR(INDEX(종합!B$3:B$501,MATCH(ROW()-2,종합!$AB$3:$AB$501,0))&amp;"","")</f>
        <v/>
      </c>
      <c r="C432" s="18" t="str">
        <f aca="false">IFERROR(INDEX(종합!C$3:C$501,MATCH(ROW()-2,종합!$AB$3:$AB$501,0))&amp;"","")</f>
        <v/>
      </c>
      <c r="D432" s="18" t="str">
        <f aca="false">IFERROR(INDEX(종합!D$3:D$501,MATCH(ROW()-2,종합!$AB$3:$AB$501,0))&amp;"","")</f>
        <v/>
      </c>
      <c r="E432" s="18" t="str">
        <f aca="false">IFERROR(INDEX(종합!E$3:E$501,MATCH(ROW()-2,종합!$AB$3:$AB$501,0))&amp;"","")</f>
        <v/>
      </c>
      <c r="F432" s="18" t="str">
        <f aca="false">IFERROR(INDEX(종합!F$3:F$501,MATCH(ROW()-2,종합!$AB$3:$AB$501,0))&amp;"","")</f>
        <v/>
      </c>
      <c r="G432" s="18" t="str">
        <f aca="false">IFERROR(INDEX(종합!G$3:G$501,MATCH(ROW()-2,종합!$AB$3:$AB$501,0))&amp;"","")</f>
        <v/>
      </c>
      <c r="H432" s="21" t="str">
        <f aca="false">IFERROR(INDEX(종합!H$3:H$501,MATCH(ROW()-2,종합!$AB$3:$AB$501,0))&amp;"","")</f>
        <v/>
      </c>
      <c r="I432" s="21" t="str">
        <f aca="false">IFERROR(INDEX(종합!I$3:I$501,MATCH(ROW()-2,종합!$AB$3:$AB$501,0))&amp;"","")</f>
        <v/>
      </c>
      <c r="J432" s="21" t="str">
        <f aca="false">IFERROR(INDEX(종합!J$3:J$501,MATCH(ROW()-2,종합!$AB$3:$AB$501,0))&amp;"","")</f>
        <v/>
      </c>
      <c r="K432" s="21" t="str">
        <f aca="false">IFERROR(INDEX(종합!K$3:K$501,MATCH(ROW()-2,종합!$AB$3:$AB$501,0))&amp;"","")</f>
        <v/>
      </c>
      <c r="L432" s="21" t="str">
        <f aca="false">IFERROR(INDEX(종합!L$3:L$501,MATCH(ROW()-2,종합!$AB$3:$AB$501,0))&amp;"","")</f>
        <v/>
      </c>
      <c r="M432" s="21" t="str">
        <f aca="false">IFERROR(INDEX(종합!M$3:M$501,MATCH(ROW()-2,종합!$AB$3:$AB$501,0))&amp;"","")</f>
        <v/>
      </c>
      <c r="N432" s="25" t="str">
        <f aca="false">IFERROR(INDEX(종합!N$3:N$501,MATCH(ROW()-2,종합!$AB$3:$AB$501,0))&amp;"","")</f>
        <v/>
      </c>
      <c r="O432" s="21" t="str">
        <f aca="false">IFERROR(INDEX(종합!O$3:O$501,MATCH(ROW()-2,종합!$AB$3:$AB$501,0))&amp;"","")</f>
        <v/>
      </c>
      <c r="P432" s="21" t="str">
        <f aca="false">IFERROR(INDEX(종합!P$3:P$501,MATCH(ROW()-2,종합!$AB$3:$AB$501,0))&amp;"","")</f>
        <v/>
      </c>
      <c r="Q432" s="21" t="str">
        <f aca="false">IFERROR(INDEX(종합!Q$3:Q$501,MATCH(ROW()-2,종합!$AB$3:$AB$501,0))&amp;"","")</f>
        <v/>
      </c>
      <c r="R432" s="21" t="str">
        <f aca="false">IFERROR(INDEX(종합!R$3:R$501,MATCH(ROW()-2,종합!$AB$3:$AB$501,0))&amp;"","")</f>
        <v/>
      </c>
      <c r="S432" s="21" t="str">
        <f aca="false">IFERROR(INDEX(종합!S$3:S$501,MATCH(ROW()-2,종합!$AB$3:$AB$501,0))&amp;"","")</f>
        <v/>
      </c>
      <c r="T432" s="21" t="str">
        <f aca="false">IFERROR(INDEX(종합!T$3:T$501,MATCH(ROW()-2,종합!$AB$3:$AB$501,0))&amp;"","")</f>
        <v/>
      </c>
      <c r="U432" s="21" t="str">
        <f aca="false">IFERROR(INDEX(종합!U$3:U$501,MATCH(ROW()-2,종합!$AB$3:$AB$501,0))&amp;"","")</f>
        <v/>
      </c>
      <c r="V432" s="21" t="str">
        <f aca="false">IFERROR(INDEX(종합!V$3:V$501,MATCH(ROW()-2,종합!$AB$3:$AB$501,0))&amp;"","")</f>
        <v/>
      </c>
      <c r="W432" s="21" t="str">
        <f aca="false">IFERROR(INDEX(종합!W$3:W$501,MATCH(ROW()-2,종합!$AB$3:$AB$501,0))&amp;"","")</f>
        <v/>
      </c>
      <c r="X432" s="21" t="str">
        <f aca="false">IFERROR(INDEX(종합!X$3:X$501,MATCH(ROW()-2,종합!$AB$3:$AB$501,0))&amp;"","")</f>
        <v/>
      </c>
      <c r="Y432" s="21" t="str">
        <f aca="false">IFERROR(INDEX(종합!Y$3:Y$501,MATCH(ROW()-2,종합!$AB$3:$AB$501,0))&amp;"","")</f>
        <v/>
      </c>
      <c r="Z432" s="21" t="str">
        <f aca="false">IFERROR(INDEX(종합!Z$3:Z$501,MATCH(ROW()-2,종합!$AB$3:$AB$501,0))&amp;"","")</f>
        <v/>
      </c>
    </row>
    <row r="433" customFormat="false" ht="16.5" hidden="false" customHeight="true" outlineLevel="0" collapsed="false">
      <c r="A433" s="18" t="str">
        <f aca="false">IF(B433="","",ROW()-2)</f>
        <v/>
      </c>
      <c r="B433" s="18" t="str">
        <f aca="false">IFERROR(INDEX(종합!B$3:B$501,MATCH(ROW()-2,종합!$AB$3:$AB$501,0))&amp;"","")</f>
        <v/>
      </c>
      <c r="C433" s="18" t="str">
        <f aca="false">IFERROR(INDEX(종합!C$3:C$501,MATCH(ROW()-2,종합!$AB$3:$AB$501,0))&amp;"","")</f>
        <v/>
      </c>
      <c r="D433" s="18" t="str">
        <f aca="false">IFERROR(INDEX(종합!D$3:D$501,MATCH(ROW()-2,종합!$AB$3:$AB$501,0))&amp;"","")</f>
        <v/>
      </c>
      <c r="E433" s="18" t="str">
        <f aca="false">IFERROR(INDEX(종합!E$3:E$501,MATCH(ROW()-2,종합!$AB$3:$AB$501,0))&amp;"","")</f>
        <v/>
      </c>
      <c r="F433" s="18" t="str">
        <f aca="false">IFERROR(INDEX(종합!F$3:F$501,MATCH(ROW()-2,종합!$AB$3:$AB$501,0))&amp;"","")</f>
        <v/>
      </c>
      <c r="G433" s="18" t="str">
        <f aca="false">IFERROR(INDEX(종합!G$3:G$501,MATCH(ROW()-2,종합!$AB$3:$AB$501,0))&amp;"","")</f>
        <v/>
      </c>
      <c r="H433" s="21" t="str">
        <f aca="false">IFERROR(INDEX(종합!H$3:H$501,MATCH(ROW()-2,종합!$AB$3:$AB$501,0))&amp;"","")</f>
        <v/>
      </c>
      <c r="I433" s="21" t="str">
        <f aca="false">IFERROR(INDEX(종합!I$3:I$501,MATCH(ROW()-2,종합!$AB$3:$AB$501,0))&amp;"","")</f>
        <v/>
      </c>
      <c r="J433" s="21" t="str">
        <f aca="false">IFERROR(INDEX(종합!J$3:J$501,MATCH(ROW()-2,종합!$AB$3:$AB$501,0))&amp;"","")</f>
        <v/>
      </c>
      <c r="K433" s="21" t="str">
        <f aca="false">IFERROR(INDEX(종합!K$3:K$501,MATCH(ROW()-2,종합!$AB$3:$AB$501,0))&amp;"","")</f>
        <v/>
      </c>
      <c r="L433" s="21" t="str">
        <f aca="false">IFERROR(INDEX(종합!L$3:L$501,MATCH(ROW()-2,종합!$AB$3:$AB$501,0))&amp;"","")</f>
        <v/>
      </c>
      <c r="M433" s="21" t="str">
        <f aca="false">IFERROR(INDEX(종합!M$3:M$501,MATCH(ROW()-2,종합!$AB$3:$AB$501,0))&amp;"","")</f>
        <v/>
      </c>
      <c r="N433" s="25" t="str">
        <f aca="false">IFERROR(INDEX(종합!N$3:N$501,MATCH(ROW()-2,종합!$AB$3:$AB$501,0))&amp;"","")</f>
        <v/>
      </c>
      <c r="O433" s="21" t="str">
        <f aca="false">IFERROR(INDEX(종합!O$3:O$501,MATCH(ROW()-2,종합!$AB$3:$AB$501,0))&amp;"","")</f>
        <v/>
      </c>
      <c r="P433" s="21" t="str">
        <f aca="false">IFERROR(INDEX(종합!P$3:P$501,MATCH(ROW()-2,종합!$AB$3:$AB$501,0))&amp;"","")</f>
        <v/>
      </c>
      <c r="Q433" s="21" t="str">
        <f aca="false">IFERROR(INDEX(종합!Q$3:Q$501,MATCH(ROW()-2,종합!$AB$3:$AB$501,0))&amp;"","")</f>
        <v/>
      </c>
      <c r="R433" s="21" t="str">
        <f aca="false">IFERROR(INDEX(종합!R$3:R$501,MATCH(ROW()-2,종합!$AB$3:$AB$501,0))&amp;"","")</f>
        <v/>
      </c>
      <c r="S433" s="21" t="str">
        <f aca="false">IFERROR(INDEX(종합!S$3:S$501,MATCH(ROW()-2,종합!$AB$3:$AB$501,0))&amp;"","")</f>
        <v/>
      </c>
      <c r="T433" s="21" t="str">
        <f aca="false">IFERROR(INDEX(종합!T$3:T$501,MATCH(ROW()-2,종합!$AB$3:$AB$501,0))&amp;"","")</f>
        <v/>
      </c>
      <c r="U433" s="21" t="str">
        <f aca="false">IFERROR(INDEX(종합!U$3:U$501,MATCH(ROW()-2,종합!$AB$3:$AB$501,0))&amp;"","")</f>
        <v/>
      </c>
      <c r="V433" s="21" t="str">
        <f aca="false">IFERROR(INDEX(종합!V$3:V$501,MATCH(ROW()-2,종합!$AB$3:$AB$501,0))&amp;"","")</f>
        <v/>
      </c>
      <c r="W433" s="21" t="str">
        <f aca="false">IFERROR(INDEX(종합!W$3:W$501,MATCH(ROW()-2,종합!$AB$3:$AB$501,0))&amp;"","")</f>
        <v/>
      </c>
      <c r="X433" s="21" t="str">
        <f aca="false">IFERROR(INDEX(종합!X$3:X$501,MATCH(ROW()-2,종합!$AB$3:$AB$501,0))&amp;"","")</f>
        <v/>
      </c>
      <c r="Y433" s="21" t="str">
        <f aca="false">IFERROR(INDEX(종합!Y$3:Y$501,MATCH(ROW()-2,종합!$AB$3:$AB$501,0))&amp;"","")</f>
        <v/>
      </c>
      <c r="Z433" s="21" t="str">
        <f aca="false">IFERROR(INDEX(종합!Z$3:Z$501,MATCH(ROW()-2,종합!$AB$3:$AB$501,0))&amp;"","")</f>
        <v/>
      </c>
    </row>
    <row r="434" customFormat="false" ht="16.5" hidden="false" customHeight="true" outlineLevel="0" collapsed="false">
      <c r="A434" s="18" t="str">
        <f aca="false">IF(B434="","",ROW()-2)</f>
        <v/>
      </c>
      <c r="B434" s="18" t="str">
        <f aca="false">IFERROR(INDEX(종합!B$3:B$501,MATCH(ROW()-2,종합!$AB$3:$AB$501,0))&amp;"","")</f>
        <v/>
      </c>
      <c r="C434" s="18" t="str">
        <f aca="false">IFERROR(INDEX(종합!C$3:C$501,MATCH(ROW()-2,종합!$AB$3:$AB$501,0))&amp;"","")</f>
        <v/>
      </c>
      <c r="D434" s="18" t="str">
        <f aca="false">IFERROR(INDEX(종합!D$3:D$501,MATCH(ROW()-2,종합!$AB$3:$AB$501,0))&amp;"","")</f>
        <v/>
      </c>
      <c r="E434" s="18" t="str">
        <f aca="false">IFERROR(INDEX(종합!E$3:E$501,MATCH(ROW()-2,종합!$AB$3:$AB$501,0))&amp;"","")</f>
        <v/>
      </c>
      <c r="F434" s="18" t="str">
        <f aca="false">IFERROR(INDEX(종합!F$3:F$501,MATCH(ROW()-2,종합!$AB$3:$AB$501,0))&amp;"","")</f>
        <v/>
      </c>
      <c r="G434" s="18" t="str">
        <f aca="false">IFERROR(INDEX(종합!G$3:G$501,MATCH(ROW()-2,종합!$AB$3:$AB$501,0))&amp;"","")</f>
        <v/>
      </c>
      <c r="H434" s="21" t="str">
        <f aca="false">IFERROR(INDEX(종합!H$3:H$501,MATCH(ROW()-2,종합!$AB$3:$AB$501,0))&amp;"","")</f>
        <v/>
      </c>
      <c r="I434" s="21" t="str">
        <f aca="false">IFERROR(INDEX(종합!I$3:I$501,MATCH(ROW()-2,종합!$AB$3:$AB$501,0))&amp;"","")</f>
        <v/>
      </c>
      <c r="J434" s="21" t="str">
        <f aca="false">IFERROR(INDEX(종합!J$3:J$501,MATCH(ROW()-2,종합!$AB$3:$AB$501,0))&amp;"","")</f>
        <v/>
      </c>
      <c r="K434" s="21" t="str">
        <f aca="false">IFERROR(INDEX(종합!K$3:K$501,MATCH(ROW()-2,종합!$AB$3:$AB$501,0))&amp;"","")</f>
        <v/>
      </c>
      <c r="L434" s="21" t="str">
        <f aca="false">IFERROR(INDEX(종합!L$3:L$501,MATCH(ROW()-2,종합!$AB$3:$AB$501,0))&amp;"","")</f>
        <v/>
      </c>
      <c r="M434" s="21" t="str">
        <f aca="false">IFERROR(INDEX(종합!M$3:M$501,MATCH(ROW()-2,종합!$AB$3:$AB$501,0))&amp;"","")</f>
        <v/>
      </c>
      <c r="N434" s="25" t="str">
        <f aca="false">IFERROR(INDEX(종합!N$3:N$501,MATCH(ROW()-2,종합!$AB$3:$AB$501,0))&amp;"","")</f>
        <v/>
      </c>
      <c r="O434" s="21" t="str">
        <f aca="false">IFERROR(INDEX(종합!O$3:O$501,MATCH(ROW()-2,종합!$AB$3:$AB$501,0))&amp;"","")</f>
        <v/>
      </c>
      <c r="P434" s="21" t="str">
        <f aca="false">IFERROR(INDEX(종합!P$3:P$501,MATCH(ROW()-2,종합!$AB$3:$AB$501,0))&amp;"","")</f>
        <v/>
      </c>
      <c r="Q434" s="21" t="str">
        <f aca="false">IFERROR(INDEX(종합!Q$3:Q$501,MATCH(ROW()-2,종합!$AB$3:$AB$501,0))&amp;"","")</f>
        <v/>
      </c>
      <c r="R434" s="21" t="str">
        <f aca="false">IFERROR(INDEX(종합!R$3:R$501,MATCH(ROW()-2,종합!$AB$3:$AB$501,0))&amp;"","")</f>
        <v/>
      </c>
      <c r="S434" s="21" t="str">
        <f aca="false">IFERROR(INDEX(종합!S$3:S$501,MATCH(ROW()-2,종합!$AB$3:$AB$501,0))&amp;"","")</f>
        <v/>
      </c>
      <c r="T434" s="21" t="str">
        <f aca="false">IFERROR(INDEX(종합!T$3:T$501,MATCH(ROW()-2,종합!$AB$3:$AB$501,0))&amp;"","")</f>
        <v/>
      </c>
      <c r="U434" s="21" t="str">
        <f aca="false">IFERROR(INDEX(종합!U$3:U$501,MATCH(ROW()-2,종합!$AB$3:$AB$501,0))&amp;"","")</f>
        <v/>
      </c>
      <c r="V434" s="21" t="str">
        <f aca="false">IFERROR(INDEX(종합!V$3:V$501,MATCH(ROW()-2,종합!$AB$3:$AB$501,0))&amp;"","")</f>
        <v/>
      </c>
      <c r="W434" s="21" t="str">
        <f aca="false">IFERROR(INDEX(종합!W$3:W$501,MATCH(ROW()-2,종합!$AB$3:$AB$501,0))&amp;"","")</f>
        <v/>
      </c>
      <c r="X434" s="21" t="str">
        <f aca="false">IFERROR(INDEX(종합!X$3:X$501,MATCH(ROW()-2,종합!$AB$3:$AB$501,0))&amp;"","")</f>
        <v/>
      </c>
      <c r="Y434" s="21" t="str">
        <f aca="false">IFERROR(INDEX(종합!Y$3:Y$501,MATCH(ROW()-2,종합!$AB$3:$AB$501,0))&amp;"","")</f>
        <v/>
      </c>
      <c r="Z434" s="21" t="str">
        <f aca="false">IFERROR(INDEX(종합!Z$3:Z$501,MATCH(ROW()-2,종합!$AB$3:$AB$501,0))&amp;"","")</f>
        <v/>
      </c>
    </row>
    <row r="435" customFormat="false" ht="16.5" hidden="false" customHeight="true" outlineLevel="0" collapsed="false">
      <c r="A435" s="18" t="str">
        <f aca="false">IF(B435="","",ROW()-2)</f>
        <v/>
      </c>
      <c r="B435" s="18" t="str">
        <f aca="false">IFERROR(INDEX(종합!B$3:B$501,MATCH(ROW()-2,종합!$AB$3:$AB$501,0))&amp;"","")</f>
        <v/>
      </c>
      <c r="C435" s="18" t="str">
        <f aca="false">IFERROR(INDEX(종합!C$3:C$501,MATCH(ROW()-2,종합!$AB$3:$AB$501,0))&amp;"","")</f>
        <v/>
      </c>
      <c r="D435" s="18" t="str">
        <f aca="false">IFERROR(INDEX(종합!D$3:D$501,MATCH(ROW()-2,종합!$AB$3:$AB$501,0))&amp;"","")</f>
        <v/>
      </c>
      <c r="E435" s="18" t="str">
        <f aca="false">IFERROR(INDEX(종합!E$3:E$501,MATCH(ROW()-2,종합!$AB$3:$AB$501,0))&amp;"","")</f>
        <v/>
      </c>
      <c r="F435" s="18" t="str">
        <f aca="false">IFERROR(INDEX(종합!F$3:F$501,MATCH(ROW()-2,종합!$AB$3:$AB$501,0))&amp;"","")</f>
        <v/>
      </c>
      <c r="G435" s="18" t="str">
        <f aca="false">IFERROR(INDEX(종합!G$3:G$501,MATCH(ROW()-2,종합!$AB$3:$AB$501,0))&amp;"","")</f>
        <v/>
      </c>
      <c r="H435" s="21" t="str">
        <f aca="false">IFERROR(INDEX(종합!H$3:H$501,MATCH(ROW()-2,종합!$AB$3:$AB$501,0))&amp;"","")</f>
        <v/>
      </c>
      <c r="I435" s="21" t="str">
        <f aca="false">IFERROR(INDEX(종합!I$3:I$501,MATCH(ROW()-2,종합!$AB$3:$AB$501,0))&amp;"","")</f>
        <v/>
      </c>
      <c r="J435" s="21" t="str">
        <f aca="false">IFERROR(INDEX(종합!J$3:J$501,MATCH(ROW()-2,종합!$AB$3:$AB$501,0))&amp;"","")</f>
        <v/>
      </c>
      <c r="K435" s="21" t="str">
        <f aca="false">IFERROR(INDEX(종합!K$3:K$501,MATCH(ROW()-2,종합!$AB$3:$AB$501,0))&amp;"","")</f>
        <v/>
      </c>
      <c r="L435" s="21" t="str">
        <f aca="false">IFERROR(INDEX(종합!L$3:L$501,MATCH(ROW()-2,종합!$AB$3:$AB$501,0))&amp;"","")</f>
        <v/>
      </c>
      <c r="M435" s="21" t="str">
        <f aca="false">IFERROR(INDEX(종합!M$3:M$501,MATCH(ROW()-2,종합!$AB$3:$AB$501,0))&amp;"","")</f>
        <v/>
      </c>
      <c r="N435" s="25" t="str">
        <f aca="false">IFERROR(INDEX(종합!N$3:N$501,MATCH(ROW()-2,종합!$AB$3:$AB$501,0))&amp;"","")</f>
        <v/>
      </c>
      <c r="O435" s="21" t="str">
        <f aca="false">IFERROR(INDEX(종합!O$3:O$501,MATCH(ROW()-2,종합!$AB$3:$AB$501,0))&amp;"","")</f>
        <v/>
      </c>
      <c r="P435" s="21" t="str">
        <f aca="false">IFERROR(INDEX(종합!P$3:P$501,MATCH(ROW()-2,종합!$AB$3:$AB$501,0))&amp;"","")</f>
        <v/>
      </c>
      <c r="Q435" s="21" t="str">
        <f aca="false">IFERROR(INDEX(종합!Q$3:Q$501,MATCH(ROW()-2,종합!$AB$3:$AB$501,0))&amp;"","")</f>
        <v/>
      </c>
      <c r="R435" s="21" t="str">
        <f aca="false">IFERROR(INDEX(종합!R$3:R$501,MATCH(ROW()-2,종합!$AB$3:$AB$501,0))&amp;"","")</f>
        <v/>
      </c>
      <c r="S435" s="21" t="str">
        <f aca="false">IFERROR(INDEX(종합!S$3:S$501,MATCH(ROW()-2,종합!$AB$3:$AB$501,0))&amp;"","")</f>
        <v/>
      </c>
      <c r="T435" s="21" t="str">
        <f aca="false">IFERROR(INDEX(종합!T$3:T$501,MATCH(ROW()-2,종합!$AB$3:$AB$501,0))&amp;"","")</f>
        <v/>
      </c>
      <c r="U435" s="21" t="str">
        <f aca="false">IFERROR(INDEX(종합!U$3:U$501,MATCH(ROW()-2,종합!$AB$3:$AB$501,0))&amp;"","")</f>
        <v/>
      </c>
      <c r="V435" s="21" t="str">
        <f aca="false">IFERROR(INDEX(종합!V$3:V$501,MATCH(ROW()-2,종합!$AB$3:$AB$501,0))&amp;"","")</f>
        <v/>
      </c>
      <c r="W435" s="21" t="str">
        <f aca="false">IFERROR(INDEX(종합!W$3:W$501,MATCH(ROW()-2,종합!$AB$3:$AB$501,0))&amp;"","")</f>
        <v/>
      </c>
      <c r="X435" s="21" t="str">
        <f aca="false">IFERROR(INDEX(종합!X$3:X$501,MATCH(ROW()-2,종합!$AB$3:$AB$501,0))&amp;"","")</f>
        <v/>
      </c>
      <c r="Y435" s="21" t="str">
        <f aca="false">IFERROR(INDEX(종합!Y$3:Y$501,MATCH(ROW()-2,종합!$AB$3:$AB$501,0))&amp;"","")</f>
        <v/>
      </c>
      <c r="Z435" s="21" t="str">
        <f aca="false">IFERROR(INDEX(종합!Z$3:Z$501,MATCH(ROW()-2,종합!$AB$3:$AB$501,0))&amp;"","")</f>
        <v/>
      </c>
    </row>
    <row r="436" customFormat="false" ht="16.5" hidden="false" customHeight="true" outlineLevel="0" collapsed="false">
      <c r="A436" s="18" t="str">
        <f aca="false">IF(B436="","",ROW()-2)</f>
        <v/>
      </c>
      <c r="B436" s="18" t="str">
        <f aca="false">IFERROR(INDEX(종합!B$3:B$501,MATCH(ROW()-2,종합!$AB$3:$AB$501,0))&amp;"","")</f>
        <v/>
      </c>
      <c r="C436" s="18" t="str">
        <f aca="false">IFERROR(INDEX(종합!C$3:C$501,MATCH(ROW()-2,종합!$AB$3:$AB$501,0))&amp;"","")</f>
        <v/>
      </c>
      <c r="D436" s="18" t="str">
        <f aca="false">IFERROR(INDEX(종합!D$3:D$501,MATCH(ROW()-2,종합!$AB$3:$AB$501,0))&amp;"","")</f>
        <v/>
      </c>
      <c r="E436" s="18" t="str">
        <f aca="false">IFERROR(INDEX(종합!E$3:E$501,MATCH(ROW()-2,종합!$AB$3:$AB$501,0))&amp;"","")</f>
        <v/>
      </c>
      <c r="F436" s="18" t="str">
        <f aca="false">IFERROR(INDEX(종합!F$3:F$501,MATCH(ROW()-2,종합!$AB$3:$AB$501,0))&amp;"","")</f>
        <v/>
      </c>
      <c r="G436" s="18" t="str">
        <f aca="false">IFERROR(INDEX(종합!G$3:G$501,MATCH(ROW()-2,종합!$AB$3:$AB$501,0))&amp;"","")</f>
        <v/>
      </c>
      <c r="H436" s="21" t="str">
        <f aca="false">IFERROR(INDEX(종합!H$3:H$501,MATCH(ROW()-2,종합!$AB$3:$AB$501,0))&amp;"","")</f>
        <v/>
      </c>
      <c r="I436" s="21" t="str">
        <f aca="false">IFERROR(INDEX(종합!I$3:I$501,MATCH(ROW()-2,종합!$AB$3:$AB$501,0))&amp;"","")</f>
        <v/>
      </c>
      <c r="J436" s="21" t="str">
        <f aca="false">IFERROR(INDEX(종합!J$3:J$501,MATCH(ROW()-2,종합!$AB$3:$AB$501,0))&amp;"","")</f>
        <v/>
      </c>
      <c r="K436" s="21" t="str">
        <f aca="false">IFERROR(INDEX(종합!K$3:K$501,MATCH(ROW()-2,종합!$AB$3:$AB$501,0))&amp;"","")</f>
        <v/>
      </c>
      <c r="L436" s="21" t="str">
        <f aca="false">IFERROR(INDEX(종합!L$3:L$501,MATCH(ROW()-2,종합!$AB$3:$AB$501,0))&amp;"","")</f>
        <v/>
      </c>
      <c r="M436" s="21" t="str">
        <f aca="false">IFERROR(INDEX(종합!M$3:M$501,MATCH(ROW()-2,종합!$AB$3:$AB$501,0))&amp;"","")</f>
        <v/>
      </c>
      <c r="N436" s="25" t="str">
        <f aca="false">IFERROR(INDEX(종합!N$3:N$501,MATCH(ROW()-2,종합!$AB$3:$AB$501,0))&amp;"","")</f>
        <v/>
      </c>
      <c r="O436" s="21" t="str">
        <f aca="false">IFERROR(INDEX(종합!O$3:O$501,MATCH(ROW()-2,종합!$AB$3:$AB$501,0))&amp;"","")</f>
        <v/>
      </c>
      <c r="P436" s="21" t="str">
        <f aca="false">IFERROR(INDEX(종합!P$3:P$501,MATCH(ROW()-2,종합!$AB$3:$AB$501,0))&amp;"","")</f>
        <v/>
      </c>
      <c r="Q436" s="21" t="str">
        <f aca="false">IFERROR(INDEX(종합!Q$3:Q$501,MATCH(ROW()-2,종합!$AB$3:$AB$501,0))&amp;"","")</f>
        <v/>
      </c>
      <c r="R436" s="21" t="str">
        <f aca="false">IFERROR(INDEX(종합!R$3:R$501,MATCH(ROW()-2,종합!$AB$3:$AB$501,0))&amp;"","")</f>
        <v/>
      </c>
      <c r="S436" s="21" t="str">
        <f aca="false">IFERROR(INDEX(종합!S$3:S$501,MATCH(ROW()-2,종합!$AB$3:$AB$501,0))&amp;"","")</f>
        <v/>
      </c>
      <c r="T436" s="21" t="str">
        <f aca="false">IFERROR(INDEX(종합!T$3:T$501,MATCH(ROW()-2,종합!$AB$3:$AB$501,0))&amp;"","")</f>
        <v/>
      </c>
      <c r="U436" s="21" t="str">
        <f aca="false">IFERROR(INDEX(종합!U$3:U$501,MATCH(ROW()-2,종합!$AB$3:$AB$501,0))&amp;"","")</f>
        <v/>
      </c>
      <c r="V436" s="21" t="str">
        <f aca="false">IFERROR(INDEX(종합!V$3:V$501,MATCH(ROW()-2,종합!$AB$3:$AB$501,0))&amp;"","")</f>
        <v/>
      </c>
      <c r="W436" s="21" t="str">
        <f aca="false">IFERROR(INDEX(종합!W$3:W$501,MATCH(ROW()-2,종합!$AB$3:$AB$501,0))&amp;"","")</f>
        <v/>
      </c>
      <c r="X436" s="21" t="str">
        <f aca="false">IFERROR(INDEX(종합!X$3:X$501,MATCH(ROW()-2,종합!$AB$3:$AB$501,0))&amp;"","")</f>
        <v/>
      </c>
      <c r="Y436" s="21" t="str">
        <f aca="false">IFERROR(INDEX(종합!Y$3:Y$501,MATCH(ROW()-2,종합!$AB$3:$AB$501,0))&amp;"","")</f>
        <v/>
      </c>
      <c r="Z436" s="21" t="str">
        <f aca="false">IFERROR(INDEX(종합!Z$3:Z$501,MATCH(ROW()-2,종합!$AB$3:$AB$501,0))&amp;"","")</f>
        <v/>
      </c>
    </row>
    <row r="437" customFormat="false" ht="16.5" hidden="false" customHeight="true" outlineLevel="0" collapsed="false">
      <c r="A437" s="18" t="str">
        <f aca="false">IF(B437="","",ROW()-2)</f>
        <v/>
      </c>
      <c r="B437" s="18" t="str">
        <f aca="false">IFERROR(INDEX(종합!B$3:B$501,MATCH(ROW()-2,종합!$AB$3:$AB$501,0))&amp;"","")</f>
        <v/>
      </c>
      <c r="C437" s="18" t="str">
        <f aca="false">IFERROR(INDEX(종합!C$3:C$501,MATCH(ROW()-2,종합!$AB$3:$AB$501,0))&amp;"","")</f>
        <v/>
      </c>
      <c r="D437" s="18" t="str">
        <f aca="false">IFERROR(INDEX(종합!D$3:D$501,MATCH(ROW()-2,종합!$AB$3:$AB$501,0))&amp;"","")</f>
        <v/>
      </c>
      <c r="E437" s="18" t="str">
        <f aca="false">IFERROR(INDEX(종합!E$3:E$501,MATCH(ROW()-2,종합!$AB$3:$AB$501,0))&amp;"","")</f>
        <v/>
      </c>
      <c r="F437" s="18" t="str">
        <f aca="false">IFERROR(INDEX(종합!F$3:F$501,MATCH(ROW()-2,종합!$AB$3:$AB$501,0))&amp;"","")</f>
        <v/>
      </c>
      <c r="G437" s="18" t="str">
        <f aca="false">IFERROR(INDEX(종합!G$3:G$501,MATCH(ROW()-2,종합!$AB$3:$AB$501,0))&amp;"","")</f>
        <v/>
      </c>
      <c r="H437" s="21" t="str">
        <f aca="false">IFERROR(INDEX(종합!H$3:H$501,MATCH(ROW()-2,종합!$AB$3:$AB$501,0))&amp;"","")</f>
        <v/>
      </c>
      <c r="I437" s="21" t="str">
        <f aca="false">IFERROR(INDEX(종합!I$3:I$501,MATCH(ROW()-2,종합!$AB$3:$AB$501,0))&amp;"","")</f>
        <v/>
      </c>
      <c r="J437" s="21" t="str">
        <f aca="false">IFERROR(INDEX(종합!J$3:J$501,MATCH(ROW()-2,종합!$AB$3:$AB$501,0))&amp;"","")</f>
        <v/>
      </c>
      <c r="K437" s="21" t="str">
        <f aca="false">IFERROR(INDEX(종합!K$3:K$501,MATCH(ROW()-2,종합!$AB$3:$AB$501,0))&amp;"","")</f>
        <v/>
      </c>
      <c r="L437" s="21" t="str">
        <f aca="false">IFERROR(INDEX(종합!L$3:L$501,MATCH(ROW()-2,종합!$AB$3:$AB$501,0))&amp;"","")</f>
        <v/>
      </c>
      <c r="M437" s="21" t="str">
        <f aca="false">IFERROR(INDEX(종합!M$3:M$501,MATCH(ROW()-2,종합!$AB$3:$AB$501,0))&amp;"","")</f>
        <v/>
      </c>
      <c r="N437" s="25" t="str">
        <f aca="false">IFERROR(INDEX(종합!N$3:N$501,MATCH(ROW()-2,종합!$AB$3:$AB$501,0))&amp;"","")</f>
        <v/>
      </c>
      <c r="O437" s="21" t="str">
        <f aca="false">IFERROR(INDEX(종합!O$3:O$501,MATCH(ROW()-2,종합!$AB$3:$AB$501,0))&amp;"","")</f>
        <v/>
      </c>
      <c r="P437" s="21" t="str">
        <f aca="false">IFERROR(INDEX(종합!P$3:P$501,MATCH(ROW()-2,종합!$AB$3:$AB$501,0))&amp;"","")</f>
        <v/>
      </c>
      <c r="Q437" s="21" t="str">
        <f aca="false">IFERROR(INDEX(종합!Q$3:Q$501,MATCH(ROW()-2,종합!$AB$3:$AB$501,0))&amp;"","")</f>
        <v/>
      </c>
      <c r="R437" s="21" t="str">
        <f aca="false">IFERROR(INDEX(종합!R$3:R$501,MATCH(ROW()-2,종합!$AB$3:$AB$501,0))&amp;"","")</f>
        <v/>
      </c>
      <c r="S437" s="21" t="str">
        <f aca="false">IFERROR(INDEX(종합!S$3:S$501,MATCH(ROW()-2,종합!$AB$3:$AB$501,0))&amp;"","")</f>
        <v/>
      </c>
      <c r="T437" s="21" t="str">
        <f aca="false">IFERROR(INDEX(종합!T$3:T$501,MATCH(ROW()-2,종합!$AB$3:$AB$501,0))&amp;"","")</f>
        <v/>
      </c>
      <c r="U437" s="21" t="str">
        <f aca="false">IFERROR(INDEX(종합!U$3:U$501,MATCH(ROW()-2,종합!$AB$3:$AB$501,0))&amp;"","")</f>
        <v/>
      </c>
      <c r="V437" s="21" t="str">
        <f aca="false">IFERROR(INDEX(종합!V$3:V$501,MATCH(ROW()-2,종합!$AB$3:$AB$501,0))&amp;"","")</f>
        <v/>
      </c>
      <c r="W437" s="21" t="str">
        <f aca="false">IFERROR(INDEX(종합!W$3:W$501,MATCH(ROW()-2,종합!$AB$3:$AB$501,0))&amp;"","")</f>
        <v/>
      </c>
      <c r="X437" s="21" t="str">
        <f aca="false">IFERROR(INDEX(종합!X$3:X$501,MATCH(ROW()-2,종합!$AB$3:$AB$501,0))&amp;"","")</f>
        <v/>
      </c>
      <c r="Y437" s="21" t="str">
        <f aca="false">IFERROR(INDEX(종합!Y$3:Y$501,MATCH(ROW()-2,종합!$AB$3:$AB$501,0))&amp;"","")</f>
        <v/>
      </c>
      <c r="Z437" s="21" t="str">
        <f aca="false">IFERROR(INDEX(종합!Z$3:Z$501,MATCH(ROW()-2,종합!$AB$3:$AB$501,0))&amp;"","")</f>
        <v/>
      </c>
    </row>
    <row r="438" customFormat="false" ht="16.5" hidden="false" customHeight="true" outlineLevel="0" collapsed="false">
      <c r="A438" s="18" t="str">
        <f aca="false">IF(B438="","",ROW()-2)</f>
        <v/>
      </c>
      <c r="B438" s="18" t="str">
        <f aca="false">IFERROR(INDEX(종합!B$3:B$501,MATCH(ROW()-2,종합!$AB$3:$AB$501,0))&amp;"","")</f>
        <v/>
      </c>
      <c r="C438" s="18" t="str">
        <f aca="false">IFERROR(INDEX(종합!C$3:C$501,MATCH(ROW()-2,종합!$AB$3:$AB$501,0))&amp;"","")</f>
        <v/>
      </c>
      <c r="D438" s="18" t="str">
        <f aca="false">IFERROR(INDEX(종합!D$3:D$501,MATCH(ROW()-2,종합!$AB$3:$AB$501,0))&amp;"","")</f>
        <v/>
      </c>
      <c r="E438" s="18" t="str">
        <f aca="false">IFERROR(INDEX(종합!E$3:E$501,MATCH(ROW()-2,종합!$AB$3:$AB$501,0))&amp;"","")</f>
        <v/>
      </c>
      <c r="F438" s="18" t="str">
        <f aca="false">IFERROR(INDEX(종합!F$3:F$501,MATCH(ROW()-2,종합!$AB$3:$AB$501,0))&amp;"","")</f>
        <v/>
      </c>
      <c r="G438" s="18" t="str">
        <f aca="false">IFERROR(INDEX(종합!G$3:G$501,MATCH(ROW()-2,종합!$AB$3:$AB$501,0))&amp;"","")</f>
        <v/>
      </c>
      <c r="H438" s="21" t="str">
        <f aca="false">IFERROR(INDEX(종합!H$3:H$501,MATCH(ROW()-2,종합!$AB$3:$AB$501,0))&amp;"","")</f>
        <v/>
      </c>
      <c r="I438" s="21" t="str">
        <f aca="false">IFERROR(INDEX(종합!I$3:I$501,MATCH(ROW()-2,종합!$AB$3:$AB$501,0))&amp;"","")</f>
        <v/>
      </c>
      <c r="J438" s="21" t="str">
        <f aca="false">IFERROR(INDEX(종합!J$3:J$501,MATCH(ROW()-2,종합!$AB$3:$AB$501,0))&amp;"","")</f>
        <v/>
      </c>
      <c r="K438" s="21" t="str">
        <f aca="false">IFERROR(INDEX(종합!K$3:K$501,MATCH(ROW()-2,종합!$AB$3:$AB$501,0))&amp;"","")</f>
        <v/>
      </c>
      <c r="L438" s="21" t="str">
        <f aca="false">IFERROR(INDEX(종합!L$3:L$501,MATCH(ROW()-2,종합!$AB$3:$AB$501,0))&amp;"","")</f>
        <v/>
      </c>
      <c r="M438" s="21" t="str">
        <f aca="false">IFERROR(INDEX(종합!M$3:M$501,MATCH(ROW()-2,종합!$AB$3:$AB$501,0))&amp;"","")</f>
        <v/>
      </c>
      <c r="N438" s="25" t="str">
        <f aca="false">IFERROR(INDEX(종합!N$3:N$501,MATCH(ROW()-2,종합!$AB$3:$AB$501,0))&amp;"","")</f>
        <v/>
      </c>
      <c r="O438" s="21" t="str">
        <f aca="false">IFERROR(INDEX(종합!O$3:O$501,MATCH(ROW()-2,종합!$AB$3:$AB$501,0))&amp;"","")</f>
        <v/>
      </c>
      <c r="P438" s="21" t="str">
        <f aca="false">IFERROR(INDEX(종합!P$3:P$501,MATCH(ROW()-2,종합!$AB$3:$AB$501,0))&amp;"","")</f>
        <v/>
      </c>
      <c r="Q438" s="21" t="str">
        <f aca="false">IFERROR(INDEX(종합!Q$3:Q$501,MATCH(ROW()-2,종합!$AB$3:$AB$501,0))&amp;"","")</f>
        <v/>
      </c>
      <c r="R438" s="21" t="str">
        <f aca="false">IFERROR(INDEX(종합!R$3:R$501,MATCH(ROW()-2,종합!$AB$3:$AB$501,0))&amp;"","")</f>
        <v/>
      </c>
      <c r="S438" s="21" t="str">
        <f aca="false">IFERROR(INDEX(종합!S$3:S$501,MATCH(ROW()-2,종합!$AB$3:$AB$501,0))&amp;"","")</f>
        <v/>
      </c>
      <c r="T438" s="21" t="str">
        <f aca="false">IFERROR(INDEX(종합!T$3:T$501,MATCH(ROW()-2,종합!$AB$3:$AB$501,0))&amp;"","")</f>
        <v/>
      </c>
      <c r="U438" s="21" t="str">
        <f aca="false">IFERROR(INDEX(종합!U$3:U$501,MATCH(ROW()-2,종합!$AB$3:$AB$501,0))&amp;"","")</f>
        <v/>
      </c>
      <c r="V438" s="21" t="str">
        <f aca="false">IFERROR(INDEX(종합!V$3:V$501,MATCH(ROW()-2,종합!$AB$3:$AB$501,0))&amp;"","")</f>
        <v/>
      </c>
      <c r="W438" s="21" t="str">
        <f aca="false">IFERROR(INDEX(종합!W$3:W$501,MATCH(ROW()-2,종합!$AB$3:$AB$501,0))&amp;"","")</f>
        <v/>
      </c>
      <c r="X438" s="21" t="str">
        <f aca="false">IFERROR(INDEX(종합!X$3:X$501,MATCH(ROW()-2,종합!$AB$3:$AB$501,0))&amp;"","")</f>
        <v/>
      </c>
      <c r="Y438" s="21" t="str">
        <f aca="false">IFERROR(INDEX(종합!Y$3:Y$501,MATCH(ROW()-2,종합!$AB$3:$AB$501,0))&amp;"","")</f>
        <v/>
      </c>
      <c r="Z438" s="21" t="str">
        <f aca="false">IFERROR(INDEX(종합!Z$3:Z$501,MATCH(ROW()-2,종합!$AB$3:$AB$501,0))&amp;"","")</f>
        <v/>
      </c>
    </row>
    <row r="439" customFormat="false" ht="16.5" hidden="false" customHeight="true" outlineLevel="0" collapsed="false">
      <c r="A439" s="18" t="str">
        <f aca="false">IF(B439="","",ROW()-2)</f>
        <v/>
      </c>
      <c r="B439" s="18" t="str">
        <f aca="false">IFERROR(INDEX(종합!B$3:B$501,MATCH(ROW()-2,종합!$AB$3:$AB$501,0))&amp;"","")</f>
        <v/>
      </c>
      <c r="C439" s="18" t="str">
        <f aca="false">IFERROR(INDEX(종합!C$3:C$501,MATCH(ROW()-2,종합!$AB$3:$AB$501,0))&amp;"","")</f>
        <v/>
      </c>
      <c r="D439" s="18" t="str">
        <f aca="false">IFERROR(INDEX(종합!D$3:D$501,MATCH(ROW()-2,종합!$AB$3:$AB$501,0))&amp;"","")</f>
        <v/>
      </c>
      <c r="E439" s="18" t="str">
        <f aca="false">IFERROR(INDEX(종합!E$3:E$501,MATCH(ROW()-2,종합!$AB$3:$AB$501,0))&amp;"","")</f>
        <v/>
      </c>
      <c r="F439" s="18" t="str">
        <f aca="false">IFERROR(INDEX(종합!F$3:F$501,MATCH(ROW()-2,종합!$AB$3:$AB$501,0))&amp;"","")</f>
        <v/>
      </c>
      <c r="G439" s="18" t="str">
        <f aca="false">IFERROR(INDEX(종합!G$3:G$501,MATCH(ROW()-2,종합!$AB$3:$AB$501,0))&amp;"","")</f>
        <v/>
      </c>
      <c r="H439" s="21" t="str">
        <f aca="false">IFERROR(INDEX(종합!H$3:H$501,MATCH(ROW()-2,종합!$AB$3:$AB$501,0))&amp;"","")</f>
        <v/>
      </c>
      <c r="I439" s="21" t="str">
        <f aca="false">IFERROR(INDEX(종합!I$3:I$501,MATCH(ROW()-2,종합!$AB$3:$AB$501,0))&amp;"","")</f>
        <v/>
      </c>
      <c r="J439" s="21" t="str">
        <f aca="false">IFERROR(INDEX(종합!J$3:J$501,MATCH(ROW()-2,종합!$AB$3:$AB$501,0))&amp;"","")</f>
        <v/>
      </c>
      <c r="K439" s="21" t="str">
        <f aca="false">IFERROR(INDEX(종합!K$3:K$501,MATCH(ROW()-2,종합!$AB$3:$AB$501,0))&amp;"","")</f>
        <v/>
      </c>
      <c r="L439" s="21" t="str">
        <f aca="false">IFERROR(INDEX(종합!L$3:L$501,MATCH(ROW()-2,종합!$AB$3:$AB$501,0))&amp;"","")</f>
        <v/>
      </c>
      <c r="M439" s="21" t="str">
        <f aca="false">IFERROR(INDEX(종합!M$3:M$501,MATCH(ROW()-2,종합!$AB$3:$AB$501,0))&amp;"","")</f>
        <v/>
      </c>
      <c r="N439" s="25" t="str">
        <f aca="false">IFERROR(INDEX(종합!N$3:N$501,MATCH(ROW()-2,종합!$AB$3:$AB$501,0))&amp;"","")</f>
        <v/>
      </c>
      <c r="O439" s="21" t="str">
        <f aca="false">IFERROR(INDEX(종합!O$3:O$501,MATCH(ROW()-2,종합!$AB$3:$AB$501,0))&amp;"","")</f>
        <v/>
      </c>
      <c r="P439" s="21" t="str">
        <f aca="false">IFERROR(INDEX(종합!P$3:P$501,MATCH(ROW()-2,종합!$AB$3:$AB$501,0))&amp;"","")</f>
        <v/>
      </c>
      <c r="Q439" s="21" t="str">
        <f aca="false">IFERROR(INDEX(종합!Q$3:Q$501,MATCH(ROW()-2,종합!$AB$3:$AB$501,0))&amp;"","")</f>
        <v/>
      </c>
      <c r="R439" s="21" t="str">
        <f aca="false">IFERROR(INDEX(종합!R$3:R$501,MATCH(ROW()-2,종합!$AB$3:$AB$501,0))&amp;"","")</f>
        <v/>
      </c>
      <c r="S439" s="21" t="str">
        <f aca="false">IFERROR(INDEX(종합!S$3:S$501,MATCH(ROW()-2,종합!$AB$3:$AB$501,0))&amp;"","")</f>
        <v/>
      </c>
      <c r="T439" s="21" t="str">
        <f aca="false">IFERROR(INDEX(종합!T$3:T$501,MATCH(ROW()-2,종합!$AB$3:$AB$501,0))&amp;"","")</f>
        <v/>
      </c>
      <c r="U439" s="21" t="str">
        <f aca="false">IFERROR(INDEX(종합!U$3:U$501,MATCH(ROW()-2,종합!$AB$3:$AB$501,0))&amp;"","")</f>
        <v/>
      </c>
      <c r="V439" s="21" t="str">
        <f aca="false">IFERROR(INDEX(종합!V$3:V$501,MATCH(ROW()-2,종합!$AB$3:$AB$501,0))&amp;"","")</f>
        <v/>
      </c>
      <c r="W439" s="21" t="str">
        <f aca="false">IFERROR(INDEX(종합!W$3:W$501,MATCH(ROW()-2,종합!$AB$3:$AB$501,0))&amp;"","")</f>
        <v/>
      </c>
      <c r="X439" s="21" t="str">
        <f aca="false">IFERROR(INDEX(종합!X$3:X$501,MATCH(ROW()-2,종합!$AB$3:$AB$501,0))&amp;"","")</f>
        <v/>
      </c>
      <c r="Y439" s="21" t="str">
        <f aca="false">IFERROR(INDEX(종합!Y$3:Y$501,MATCH(ROW()-2,종합!$AB$3:$AB$501,0))&amp;"","")</f>
        <v/>
      </c>
      <c r="Z439" s="21" t="str">
        <f aca="false">IFERROR(INDEX(종합!Z$3:Z$501,MATCH(ROW()-2,종합!$AB$3:$AB$501,0))&amp;"","")</f>
        <v/>
      </c>
    </row>
    <row r="440" customFormat="false" ht="16.5" hidden="false" customHeight="true" outlineLevel="0" collapsed="false">
      <c r="A440" s="18" t="str">
        <f aca="false">IF(B440="","",ROW()-2)</f>
        <v/>
      </c>
      <c r="B440" s="18" t="str">
        <f aca="false">IFERROR(INDEX(종합!B$3:B$501,MATCH(ROW()-2,종합!$AB$3:$AB$501,0))&amp;"","")</f>
        <v/>
      </c>
      <c r="C440" s="18" t="str">
        <f aca="false">IFERROR(INDEX(종합!C$3:C$501,MATCH(ROW()-2,종합!$AB$3:$AB$501,0))&amp;"","")</f>
        <v/>
      </c>
      <c r="D440" s="18" t="str">
        <f aca="false">IFERROR(INDEX(종합!D$3:D$501,MATCH(ROW()-2,종합!$AB$3:$AB$501,0))&amp;"","")</f>
        <v/>
      </c>
      <c r="E440" s="18" t="str">
        <f aca="false">IFERROR(INDEX(종합!E$3:E$501,MATCH(ROW()-2,종합!$AB$3:$AB$501,0))&amp;"","")</f>
        <v/>
      </c>
      <c r="F440" s="18" t="str">
        <f aca="false">IFERROR(INDEX(종합!F$3:F$501,MATCH(ROW()-2,종합!$AB$3:$AB$501,0))&amp;"","")</f>
        <v/>
      </c>
      <c r="G440" s="18" t="str">
        <f aca="false">IFERROR(INDEX(종합!G$3:G$501,MATCH(ROW()-2,종합!$AB$3:$AB$501,0))&amp;"","")</f>
        <v/>
      </c>
      <c r="H440" s="21" t="str">
        <f aca="false">IFERROR(INDEX(종합!H$3:H$501,MATCH(ROW()-2,종합!$AB$3:$AB$501,0))&amp;"","")</f>
        <v/>
      </c>
      <c r="I440" s="21" t="str">
        <f aca="false">IFERROR(INDEX(종합!I$3:I$501,MATCH(ROW()-2,종합!$AB$3:$AB$501,0))&amp;"","")</f>
        <v/>
      </c>
      <c r="J440" s="21" t="str">
        <f aca="false">IFERROR(INDEX(종합!J$3:J$501,MATCH(ROW()-2,종합!$AB$3:$AB$501,0))&amp;"","")</f>
        <v/>
      </c>
      <c r="K440" s="21" t="str">
        <f aca="false">IFERROR(INDEX(종합!K$3:K$501,MATCH(ROW()-2,종합!$AB$3:$AB$501,0))&amp;"","")</f>
        <v/>
      </c>
      <c r="L440" s="21" t="str">
        <f aca="false">IFERROR(INDEX(종합!L$3:L$501,MATCH(ROW()-2,종합!$AB$3:$AB$501,0))&amp;"","")</f>
        <v/>
      </c>
      <c r="M440" s="21" t="str">
        <f aca="false">IFERROR(INDEX(종합!M$3:M$501,MATCH(ROW()-2,종합!$AB$3:$AB$501,0))&amp;"","")</f>
        <v/>
      </c>
      <c r="N440" s="25" t="str">
        <f aca="false">IFERROR(INDEX(종합!N$3:N$501,MATCH(ROW()-2,종합!$AB$3:$AB$501,0))&amp;"","")</f>
        <v/>
      </c>
      <c r="O440" s="21" t="str">
        <f aca="false">IFERROR(INDEX(종합!O$3:O$501,MATCH(ROW()-2,종합!$AB$3:$AB$501,0))&amp;"","")</f>
        <v/>
      </c>
      <c r="P440" s="21" t="str">
        <f aca="false">IFERROR(INDEX(종합!P$3:P$501,MATCH(ROW()-2,종합!$AB$3:$AB$501,0))&amp;"","")</f>
        <v/>
      </c>
      <c r="Q440" s="21" t="str">
        <f aca="false">IFERROR(INDEX(종합!Q$3:Q$501,MATCH(ROW()-2,종합!$AB$3:$AB$501,0))&amp;"","")</f>
        <v/>
      </c>
      <c r="R440" s="21" t="str">
        <f aca="false">IFERROR(INDEX(종합!R$3:R$501,MATCH(ROW()-2,종합!$AB$3:$AB$501,0))&amp;"","")</f>
        <v/>
      </c>
      <c r="S440" s="21" t="str">
        <f aca="false">IFERROR(INDEX(종합!S$3:S$501,MATCH(ROW()-2,종합!$AB$3:$AB$501,0))&amp;"","")</f>
        <v/>
      </c>
      <c r="T440" s="21" t="str">
        <f aca="false">IFERROR(INDEX(종합!T$3:T$501,MATCH(ROW()-2,종합!$AB$3:$AB$501,0))&amp;"","")</f>
        <v/>
      </c>
      <c r="U440" s="21" t="str">
        <f aca="false">IFERROR(INDEX(종합!U$3:U$501,MATCH(ROW()-2,종합!$AB$3:$AB$501,0))&amp;"","")</f>
        <v/>
      </c>
      <c r="V440" s="21" t="str">
        <f aca="false">IFERROR(INDEX(종합!V$3:V$501,MATCH(ROW()-2,종합!$AB$3:$AB$501,0))&amp;"","")</f>
        <v/>
      </c>
      <c r="W440" s="21" t="str">
        <f aca="false">IFERROR(INDEX(종합!W$3:W$501,MATCH(ROW()-2,종합!$AB$3:$AB$501,0))&amp;"","")</f>
        <v/>
      </c>
      <c r="X440" s="21" t="str">
        <f aca="false">IFERROR(INDEX(종합!X$3:X$501,MATCH(ROW()-2,종합!$AB$3:$AB$501,0))&amp;"","")</f>
        <v/>
      </c>
      <c r="Y440" s="21" t="str">
        <f aca="false">IFERROR(INDEX(종합!Y$3:Y$501,MATCH(ROW()-2,종합!$AB$3:$AB$501,0))&amp;"","")</f>
        <v/>
      </c>
      <c r="Z440" s="21" t="str">
        <f aca="false">IFERROR(INDEX(종합!Z$3:Z$501,MATCH(ROW()-2,종합!$AB$3:$AB$501,0))&amp;"","")</f>
        <v/>
      </c>
    </row>
    <row r="441" customFormat="false" ht="16.5" hidden="false" customHeight="true" outlineLevel="0" collapsed="false">
      <c r="A441" s="18" t="str">
        <f aca="false">IF(B441="","",ROW()-2)</f>
        <v/>
      </c>
      <c r="B441" s="18" t="str">
        <f aca="false">IFERROR(INDEX(종합!B$3:B$501,MATCH(ROW()-2,종합!$AB$3:$AB$501,0))&amp;"","")</f>
        <v/>
      </c>
      <c r="C441" s="18" t="str">
        <f aca="false">IFERROR(INDEX(종합!C$3:C$501,MATCH(ROW()-2,종합!$AB$3:$AB$501,0))&amp;"","")</f>
        <v/>
      </c>
      <c r="D441" s="18" t="str">
        <f aca="false">IFERROR(INDEX(종합!D$3:D$501,MATCH(ROW()-2,종합!$AB$3:$AB$501,0))&amp;"","")</f>
        <v/>
      </c>
      <c r="E441" s="18" t="str">
        <f aca="false">IFERROR(INDEX(종합!E$3:E$501,MATCH(ROW()-2,종합!$AB$3:$AB$501,0))&amp;"","")</f>
        <v/>
      </c>
      <c r="F441" s="18" t="str">
        <f aca="false">IFERROR(INDEX(종합!F$3:F$501,MATCH(ROW()-2,종합!$AB$3:$AB$501,0))&amp;"","")</f>
        <v/>
      </c>
      <c r="G441" s="18" t="str">
        <f aca="false">IFERROR(INDEX(종합!G$3:G$501,MATCH(ROW()-2,종합!$AB$3:$AB$501,0))&amp;"","")</f>
        <v/>
      </c>
      <c r="H441" s="21" t="str">
        <f aca="false">IFERROR(INDEX(종합!H$3:H$501,MATCH(ROW()-2,종합!$AB$3:$AB$501,0))&amp;"","")</f>
        <v/>
      </c>
      <c r="I441" s="21" t="str">
        <f aca="false">IFERROR(INDEX(종합!I$3:I$501,MATCH(ROW()-2,종합!$AB$3:$AB$501,0))&amp;"","")</f>
        <v/>
      </c>
      <c r="J441" s="21" t="str">
        <f aca="false">IFERROR(INDEX(종합!J$3:J$501,MATCH(ROW()-2,종합!$AB$3:$AB$501,0))&amp;"","")</f>
        <v/>
      </c>
      <c r="K441" s="21" t="str">
        <f aca="false">IFERROR(INDEX(종합!K$3:K$501,MATCH(ROW()-2,종합!$AB$3:$AB$501,0))&amp;"","")</f>
        <v/>
      </c>
      <c r="L441" s="21" t="str">
        <f aca="false">IFERROR(INDEX(종합!L$3:L$501,MATCH(ROW()-2,종합!$AB$3:$AB$501,0))&amp;"","")</f>
        <v/>
      </c>
      <c r="M441" s="21" t="str">
        <f aca="false">IFERROR(INDEX(종합!M$3:M$501,MATCH(ROW()-2,종합!$AB$3:$AB$501,0))&amp;"","")</f>
        <v/>
      </c>
      <c r="N441" s="25" t="str">
        <f aca="false">IFERROR(INDEX(종합!N$3:N$501,MATCH(ROW()-2,종합!$AB$3:$AB$501,0))&amp;"","")</f>
        <v/>
      </c>
      <c r="O441" s="21" t="str">
        <f aca="false">IFERROR(INDEX(종합!O$3:O$501,MATCH(ROW()-2,종합!$AB$3:$AB$501,0))&amp;"","")</f>
        <v/>
      </c>
      <c r="P441" s="21" t="str">
        <f aca="false">IFERROR(INDEX(종합!P$3:P$501,MATCH(ROW()-2,종합!$AB$3:$AB$501,0))&amp;"","")</f>
        <v/>
      </c>
      <c r="Q441" s="21" t="str">
        <f aca="false">IFERROR(INDEX(종합!Q$3:Q$501,MATCH(ROW()-2,종합!$AB$3:$AB$501,0))&amp;"","")</f>
        <v/>
      </c>
      <c r="R441" s="21" t="str">
        <f aca="false">IFERROR(INDEX(종합!R$3:R$501,MATCH(ROW()-2,종합!$AB$3:$AB$501,0))&amp;"","")</f>
        <v/>
      </c>
      <c r="S441" s="21" t="str">
        <f aca="false">IFERROR(INDEX(종합!S$3:S$501,MATCH(ROW()-2,종합!$AB$3:$AB$501,0))&amp;"","")</f>
        <v/>
      </c>
      <c r="T441" s="21" t="str">
        <f aca="false">IFERROR(INDEX(종합!T$3:T$501,MATCH(ROW()-2,종합!$AB$3:$AB$501,0))&amp;"","")</f>
        <v/>
      </c>
      <c r="U441" s="21" t="str">
        <f aca="false">IFERROR(INDEX(종합!U$3:U$501,MATCH(ROW()-2,종합!$AB$3:$AB$501,0))&amp;"","")</f>
        <v/>
      </c>
      <c r="V441" s="21" t="str">
        <f aca="false">IFERROR(INDEX(종합!V$3:V$501,MATCH(ROW()-2,종합!$AB$3:$AB$501,0))&amp;"","")</f>
        <v/>
      </c>
      <c r="W441" s="21" t="str">
        <f aca="false">IFERROR(INDEX(종합!W$3:W$501,MATCH(ROW()-2,종합!$AB$3:$AB$501,0))&amp;"","")</f>
        <v/>
      </c>
      <c r="X441" s="21" t="str">
        <f aca="false">IFERROR(INDEX(종합!X$3:X$501,MATCH(ROW()-2,종합!$AB$3:$AB$501,0))&amp;"","")</f>
        <v/>
      </c>
      <c r="Y441" s="21" t="str">
        <f aca="false">IFERROR(INDEX(종합!Y$3:Y$501,MATCH(ROW()-2,종합!$AB$3:$AB$501,0))&amp;"","")</f>
        <v/>
      </c>
      <c r="Z441" s="21" t="str">
        <f aca="false">IFERROR(INDEX(종합!Z$3:Z$501,MATCH(ROW()-2,종합!$AB$3:$AB$501,0))&amp;"","")</f>
        <v/>
      </c>
    </row>
    <row r="442" customFormat="false" ht="16.5" hidden="false" customHeight="true" outlineLevel="0" collapsed="false">
      <c r="A442" s="18" t="str">
        <f aca="false">IF(B442="","",ROW()-2)</f>
        <v/>
      </c>
      <c r="B442" s="18" t="str">
        <f aca="false">IFERROR(INDEX(종합!B$3:B$501,MATCH(ROW()-2,종합!$AB$3:$AB$501,0))&amp;"","")</f>
        <v/>
      </c>
      <c r="C442" s="18" t="str">
        <f aca="false">IFERROR(INDEX(종합!C$3:C$501,MATCH(ROW()-2,종합!$AB$3:$AB$501,0))&amp;"","")</f>
        <v/>
      </c>
      <c r="D442" s="18" t="str">
        <f aca="false">IFERROR(INDEX(종합!D$3:D$501,MATCH(ROW()-2,종합!$AB$3:$AB$501,0))&amp;"","")</f>
        <v/>
      </c>
      <c r="E442" s="18" t="str">
        <f aca="false">IFERROR(INDEX(종합!E$3:E$501,MATCH(ROW()-2,종합!$AB$3:$AB$501,0))&amp;"","")</f>
        <v/>
      </c>
      <c r="F442" s="18" t="str">
        <f aca="false">IFERROR(INDEX(종합!F$3:F$501,MATCH(ROW()-2,종합!$AB$3:$AB$501,0))&amp;"","")</f>
        <v/>
      </c>
      <c r="G442" s="18" t="str">
        <f aca="false">IFERROR(INDEX(종합!G$3:G$501,MATCH(ROW()-2,종합!$AB$3:$AB$501,0))&amp;"","")</f>
        <v/>
      </c>
      <c r="H442" s="21" t="str">
        <f aca="false">IFERROR(INDEX(종합!H$3:H$501,MATCH(ROW()-2,종합!$AB$3:$AB$501,0))&amp;"","")</f>
        <v/>
      </c>
      <c r="I442" s="21" t="str">
        <f aca="false">IFERROR(INDEX(종합!I$3:I$501,MATCH(ROW()-2,종합!$AB$3:$AB$501,0))&amp;"","")</f>
        <v/>
      </c>
      <c r="J442" s="21" t="str">
        <f aca="false">IFERROR(INDEX(종합!J$3:J$501,MATCH(ROW()-2,종합!$AB$3:$AB$501,0))&amp;"","")</f>
        <v/>
      </c>
      <c r="K442" s="21" t="str">
        <f aca="false">IFERROR(INDEX(종합!K$3:K$501,MATCH(ROW()-2,종합!$AB$3:$AB$501,0))&amp;"","")</f>
        <v/>
      </c>
      <c r="L442" s="21" t="str">
        <f aca="false">IFERROR(INDEX(종합!L$3:L$501,MATCH(ROW()-2,종합!$AB$3:$AB$501,0))&amp;"","")</f>
        <v/>
      </c>
      <c r="M442" s="21" t="str">
        <f aca="false">IFERROR(INDEX(종합!M$3:M$501,MATCH(ROW()-2,종합!$AB$3:$AB$501,0))&amp;"","")</f>
        <v/>
      </c>
      <c r="N442" s="25" t="str">
        <f aca="false">IFERROR(INDEX(종합!N$3:N$501,MATCH(ROW()-2,종합!$AB$3:$AB$501,0))&amp;"","")</f>
        <v/>
      </c>
      <c r="O442" s="21" t="str">
        <f aca="false">IFERROR(INDEX(종합!O$3:O$501,MATCH(ROW()-2,종합!$AB$3:$AB$501,0))&amp;"","")</f>
        <v/>
      </c>
      <c r="P442" s="21" t="str">
        <f aca="false">IFERROR(INDEX(종합!P$3:P$501,MATCH(ROW()-2,종합!$AB$3:$AB$501,0))&amp;"","")</f>
        <v/>
      </c>
      <c r="Q442" s="21" t="str">
        <f aca="false">IFERROR(INDEX(종합!Q$3:Q$501,MATCH(ROW()-2,종합!$AB$3:$AB$501,0))&amp;"","")</f>
        <v/>
      </c>
      <c r="R442" s="21" t="str">
        <f aca="false">IFERROR(INDEX(종합!R$3:R$501,MATCH(ROW()-2,종합!$AB$3:$AB$501,0))&amp;"","")</f>
        <v/>
      </c>
      <c r="S442" s="21" t="str">
        <f aca="false">IFERROR(INDEX(종합!S$3:S$501,MATCH(ROW()-2,종합!$AB$3:$AB$501,0))&amp;"","")</f>
        <v/>
      </c>
      <c r="T442" s="21" t="str">
        <f aca="false">IFERROR(INDEX(종합!T$3:T$501,MATCH(ROW()-2,종합!$AB$3:$AB$501,0))&amp;"","")</f>
        <v/>
      </c>
      <c r="U442" s="21" t="str">
        <f aca="false">IFERROR(INDEX(종합!U$3:U$501,MATCH(ROW()-2,종합!$AB$3:$AB$501,0))&amp;"","")</f>
        <v/>
      </c>
      <c r="V442" s="21" t="str">
        <f aca="false">IFERROR(INDEX(종합!V$3:V$501,MATCH(ROW()-2,종합!$AB$3:$AB$501,0))&amp;"","")</f>
        <v/>
      </c>
      <c r="W442" s="21" t="str">
        <f aca="false">IFERROR(INDEX(종합!W$3:W$501,MATCH(ROW()-2,종합!$AB$3:$AB$501,0))&amp;"","")</f>
        <v/>
      </c>
      <c r="X442" s="21" t="str">
        <f aca="false">IFERROR(INDEX(종합!X$3:X$501,MATCH(ROW()-2,종합!$AB$3:$AB$501,0))&amp;"","")</f>
        <v/>
      </c>
      <c r="Y442" s="21" t="str">
        <f aca="false">IFERROR(INDEX(종합!Y$3:Y$501,MATCH(ROW()-2,종합!$AB$3:$AB$501,0))&amp;"","")</f>
        <v/>
      </c>
      <c r="Z442" s="21" t="str">
        <f aca="false">IFERROR(INDEX(종합!Z$3:Z$501,MATCH(ROW()-2,종합!$AB$3:$AB$501,0))&amp;"","")</f>
        <v/>
      </c>
    </row>
    <row r="443" customFormat="false" ht="16.5" hidden="false" customHeight="true" outlineLevel="0" collapsed="false">
      <c r="A443" s="18" t="str">
        <f aca="false">IF(B443="","",ROW()-2)</f>
        <v/>
      </c>
      <c r="B443" s="18" t="str">
        <f aca="false">IFERROR(INDEX(종합!B$3:B$501,MATCH(ROW()-2,종합!$AB$3:$AB$501,0))&amp;"","")</f>
        <v/>
      </c>
      <c r="C443" s="18" t="str">
        <f aca="false">IFERROR(INDEX(종합!C$3:C$501,MATCH(ROW()-2,종합!$AB$3:$AB$501,0))&amp;"","")</f>
        <v/>
      </c>
      <c r="D443" s="18" t="str">
        <f aca="false">IFERROR(INDEX(종합!D$3:D$501,MATCH(ROW()-2,종합!$AB$3:$AB$501,0))&amp;"","")</f>
        <v/>
      </c>
      <c r="E443" s="18" t="str">
        <f aca="false">IFERROR(INDEX(종합!E$3:E$501,MATCH(ROW()-2,종합!$AB$3:$AB$501,0))&amp;"","")</f>
        <v/>
      </c>
      <c r="F443" s="18" t="str">
        <f aca="false">IFERROR(INDEX(종합!F$3:F$501,MATCH(ROW()-2,종합!$AB$3:$AB$501,0))&amp;"","")</f>
        <v/>
      </c>
      <c r="G443" s="18" t="str">
        <f aca="false">IFERROR(INDEX(종합!G$3:G$501,MATCH(ROW()-2,종합!$AB$3:$AB$501,0))&amp;"","")</f>
        <v/>
      </c>
      <c r="H443" s="21" t="str">
        <f aca="false">IFERROR(INDEX(종합!H$3:H$501,MATCH(ROW()-2,종합!$AB$3:$AB$501,0))&amp;"","")</f>
        <v/>
      </c>
      <c r="I443" s="21" t="str">
        <f aca="false">IFERROR(INDEX(종합!I$3:I$501,MATCH(ROW()-2,종합!$AB$3:$AB$501,0))&amp;"","")</f>
        <v/>
      </c>
      <c r="J443" s="21" t="str">
        <f aca="false">IFERROR(INDEX(종합!J$3:J$501,MATCH(ROW()-2,종합!$AB$3:$AB$501,0))&amp;"","")</f>
        <v/>
      </c>
      <c r="K443" s="21" t="str">
        <f aca="false">IFERROR(INDEX(종합!K$3:K$501,MATCH(ROW()-2,종합!$AB$3:$AB$501,0))&amp;"","")</f>
        <v/>
      </c>
      <c r="L443" s="21" t="str">
        <f aca="false">IFERROR(INDEX(종합!L$3:L$501,MATCH(ROW()-2,종합!$AB$3:$AB$501,0))&amp;"","")</f>
        <v/>
      </c>
      <c r="M443" s="21" t="str">
        <f aca="false">IFERROR(INDEX(종합!M$3:M$501,MATCH(ROW()-2,종합!$AB$3:$AB$501,0))&amp;"","")</f>
        <v/>
      </c>
      <c r="N443" s="25" t="str">
        <f aca="false">IFERROR(INDEX(종합!N$3:N$501,MATCH(ROW()-2,종합!$AB$3:$AB$501,0))&amp;"","")</f>
        <v/>
      </c>
      <c r="O443" s="21" t="str">
        <f aca="false">IFERROR(INDEX(종합!O$3:O$501,MATCH(ROW()-2,종합!$AB$3:$AB$501,0))&amp;"","")</f>
        <v/>
      </c>
      <c r="P443" s="21" t="str">
        <f aca="false">IFERROR(INDEX(종합!P$3:P$501,MATCH(ROW()-2,종합!$AB$3:$AB$501,0))&amp;"","")</f>
        <v/>
      </c>
      <c r="Q443" s="21" t="str">
        <f aca="false">IFERROR(INDEX(종합!Q$3:Q$501,MATCH(ROW()-2,종합!$AB$3:$AB$501,0))&amp;"","")</f>
        <v/>
      </c>
      <c r="R443" s="21" t="str">
        <f aca="false">IFERROR(INDEX(종합!R$3:R$501,MATCH(ROW()-2,종합!$AB$3:$AB$501,0))&amp;"","")</f>
        <v/>
      </c>
      <c r="S443" s="21" t="str">
        <f aca="false">IFERROR(INDEX(종합!S$3:S$501,MATCH(ROW()-2,종합!$AB$3:$AB$501,0))&amp;"","")</f>
        <v/>
      </c>
      <c r="T443" s="21" t="str">
        <f aca="false">IFERROR(INDEX(종합!T$3:T$501,MATCH(ROW()-2,종합!$AB$3:$AB$501,0))&amp;"","")</f>
        <v/>
      </c>
      <c r="U443" s="21" t="str">
        <f aca="false">IFERROR(INDEX(종합!U$3:U$501,MATCH(ROW()-2,종합!$AB$3:$AB$501,0))&amp;"","")</f>
        <v/>
      </c>
      <c r="V443" s="21" t="str">
        <f aca="false">IFERROR(INDEX(종합!V$3:V$501,MATCH(ROW()-2,종합!$AB$3:$AB$501,0))&amp;"","")</f>
        <v/>
      </c>
      <c r="W443" s="21" t="str">
        <f aca="false">IFERROR(INDEX(종합!W$3:W$501,MATCH(ROW()-2,종합!$AB$3:$AB$501,0))&amp;"","")</f>
        <v/>
      </c>
      <c r="X443" s="21" t="str">
        <f aca="false">IFERROR(INDEX(종합!X$3:X$501,MATCH(ROW()-2,종합!$AB$3:$AB$501,0))&amp;"","")</f>
        <v/>
      </c>
      <c r="Y443" s="21" t="str">
        <f aca="false">IFERROR(INDEX(종합!Y$3:Y$501,MATCH(ROW()-2,종합!$AB$3:$AB$501,0))&amp;"","")</f>
        <v/>
      </c>
      <c r="Z443" s="21" t="str">
        <f aca="false">IFERROR(INDEX(종합!Z$3:Z$501,MATCH(ROW()-2,종합!$AB$3:$AB$501,0))&amp;"","")</f>
        <v/>
      </c>
    </row>
    <row r="444" customFormat="false" ht="16.5" hidden="false" customHeight="true" outlineLevel="0" collapsed="false">
      <c r="A444" s="18" t="str">
        <f aca="false">IF(B444="","",ROW()-2)</f>
        <v/>
      </c>
      <c r="B444" s="18" t="str">
        <f aca="false">IFERROR(INDEX(종합!B$3:B$501,MATCH(ROW()-2,종합!$AB$3:$AB$501,0))&amp;"","")</f>
        <v/>
      </c>
      <c r="C444" s="18" t="str">
        <f aca="false">IFERROR(INDEX(종합!C$3:C$501,MATCH(ROW()-2,종합!$AB$3:$AB$501,0))&amp;"","")</f>
        <v/>
      </c>
      <c r="D444" s="18" t="str">
        <f aca="false">IFERROR(INDEX(종합!D$3:D$501,MATCH(ROW()-2,종합!$AB$3:$AB$501,0))&amp;"","")</f>
        <v/>
      </c>
      <c r="E444" s="18" t="str">
        <f aca="false">IFERROR(INDEX(종합!E$3:E$501,MATCH(ROW()-2,종합!$AB$3:$AB$501,0))&amp;"","")</f>
        <v/>
      </c>
      <c r="F444" s="18" t="str">
        <f aca="false">IFERROR(INDEX(종합!F$3:F$501,MATCH(ROW()-2,종합!$AB$3:$AB$501,0))&amp;"","")</f>
        <v/>
      </c>
      <c r="G444" s="18" t="str">
        <f aca="false">IFERROR(INDEX(종합!G$3:G$501,MATCH(ROW()-2,종합!$AB$3:$AB$501,0))&amp;"","")</f>
        <v/>
      </c>
      <c r="H444" s="21" t="str">
        <f aca="false">IFERROR(INDEX(종합!H$3:H$501,MATCH(ROW()-2,종합!$AB$3:$AB$501,0))&amp;"","")</f>
        <v/>
      </c>
      <c r="I444" s="21" t="str">
        <f aca="false">IFERROR(INDEX(종합!I$3:I$501,MATCH(ROW()-2,종합!$AB$3:$AB$501,0))&amp;"","")</f>
        <v/>
      </c>
      <c r="J444" s="21" t="str">
        <f aca="false">IFERROR(INDEX(종합!J$3:J$501,MATCH(ROW()-2,종합!$AB$3:$AB$501,0))&amp;"","")</f>
        <v/>
      </c>
      <c r="K444" s="21" t="str">
        <f aca="false">IFERROR(INDEX(종합!K$3:K$501,MATCH(ROW()-2,종합!$AB$3:$AB$501,0))&amp;"","")</f>
        <v/>
      </c>
      <c r="L444" s="21" t="str">
        <f aca="false">IFERROR(INDEX(종합!L$3:L$501,MATCH(ROW()-2,종합!$AB$3:$AB$501,0))&amp;"","")</f>
        <v/>
      </c>
      <c r="M444" s="21" t="str">
        <f aca="false">IFERROR(INDEX(종합!M$3:M$501,MATCH(ROW()-2,종합!$AB$3:$AB$501,0))&amp;"","")</f>
        <v/>
      </c>
      <c r="N444" s="25" t="str">
        <f aca="false">IFERROR(INDEX(종합!N$3:N$501,MATCH(ROW()-2,종합!$AB$3:$AB$501,0))&amp;"","")</f>
        <v/>
      </c>
      <c r="O444" s="21" t="str">
        <f aca="false">IFERROR(INDEX(종합!O$3:O$501,MATCH(ROW()-2,종합!$AB$3:$AB$501,0))&amp;"","")</f>
        <v/>
      </c>
      <c r="P444" s="21" t="str">
        <f aca="false">IFERROR(INDEX(종합!P$3:P$501,MATCH(ROW()-2,종합!$AB$3:$AB$501,0))&amp;"","")</f>
        <v/>
      </c>
      <c r="Q444" s="21" t="str">
        <f aca="false">IFERROR(INDEX(종합!Q$3:Q$501,MATCH(ROW()-2,종합!$AB$3:$AB$501,0))&amp;"","")</f>
        <v/>
      </c>
      <c r="R444" s="21" t="str">
        <f aca="false">IFERROR(INDEX(종합!R$3:R$501,MATCH(ROW()-2,종합!$AB$3:$AB$501,0))&amp;"","")</f>
        <v/>
      </c>
      <c r="S444" s="21" t="str">
        <f aca="false">IFERROR(INDEX(종합!S$3:S$501,MATCH(ROW()-2,종합!$AB$3:$AB$501,0))&amp;"","")</f>
        <v/>
      </c>
      <c r="T444" s="21" t="str">
        <f aca="false">IFERROR(INDEX(종합!T$3:T$501,MATCH(ROW()-2,종합!$AB$3:$AB$501,0))&amp;"","")</f>
        <v/>
      </c>
      <c r="U444" s="21" t="str">
        <f aca="false">IFERROR(INDEX(종합!U$3:U$501,MATCH(ROW()-2,종합!$AB$3:$AB$501,0))&amp;"","")</f>
        <v/>
      </c>
      <c r="V444" s="21" t="str">
        <f aca="false">IFERROR(INDEX(종합!V$3:V$501,MATCH(ROW()-2,종합!$AB$3:$AB$501,0))&amp;"","")</f>
        <v/>
      </c>
      <c r="W444" s="21" t="str">
        <f aca="false">IFERROR(INDEX(종합!W$3:W$501,MATCH(ROW()-2,종합!$AB$3:$AB$501,0))&amp;"","")</f>
        <v/>
      </c>
      <c r="X444" s="21" t="str">
        <f aca="false">IFERROR(INDEX(종합!X$3:X$501,MATCH(ROW()-2,종합!$AB$3:$AB$501,0))&amp;"","")</f>
        <v/>
      </c>
      <c r="Y444" s="21" t="str">
        <f aca="false">IFERROR(INDEX(종합!Y$3:Y$501,MATCH(ROW()-2,종합!$AB$3:$AB$501,0))&amp;"","")</f>
        <v/>
      </c>
      <c r="Z444" s="21" t="str">
        <f aca="false">IFERROR(INDEX(종합!Z$3:Z$501,MATCH(ROW()-2,종합!$AB$3:$AB$501,0))&amp;"","")</f>
        <v/>
      </c>
    </row>
    <row r="445" customFormat="false" ht="16.5" hidden="false" customHeight="true" outlineLevel="0" collapsed="false">
      <c r="A445" s="18" t="str">
        <f aca="false">IF(B445="","",ROW()-2)</f>
        <v/>
      </c>
      <c r="B445" s="18" t="str">
        <f aca="false">IFERROR(INDEX(종합!B$3:B$501,MATCH(ROW()-2,종합!$AB$3:$AB$501,0))&amp;"","")</f>
        <v/>
      </c>
      <c r="C445" s="18" t="str">
        <f aca="false">IFERROR(INDEX(종합!C$3:C$501,MATCH(ROW()-2,종합!$AB$3:$AB$501,0))&amp;"","")</f>
        <v/>
      </c>
      <c r="D445" s="18" t="str">
        <f aca="false">IFERROR(INDEX(종합!D$3:D$501,MATCH(ROW()-2,종합!$AB$3:$AB$501,0))&amp;"","")</f>
        <v/>
      </c>
      <c r="E445" s="18" t="str">
        <f aca="false">IFERROR(INDEX(종합!E$3:E$501,MATCH(ROW()-2,종합!$AB$3:$AB$501,0))&amp;"","")</f>
        <v/>
      </c>
      <c r="F445" s="18" t="str">
        <f aca="false">IFERROR(INDEX(종합!F$3:F$501,MATCH(ROW()-2,종합!$AB$3:$AB$501,0))&amp;"","")</f>
        <v/>
      </c>
      <c r="G445" s="18" t="str">
        <f aca="false">IFERROR(INDEX(종합!G$3:G$501,MATCH(ROW()-2,종합!$AB$3:$AB$501,0))&amp;"","")</f>
        <v/>
      </c>
      <c r="H445" s="21" t="str">
        <f aca="false">IFERROR(INDEX(종합!H$3:H$501,MATCH(ROW()-2,종합!$AB$3:$AB$501,0))&amp;"","")</f>
        <v/>
      </c>
      <c r="I445" s="21" t="str">
        <f aca="false">IFERROR(INDEX(종합!I$3:I$501,MATCH(ROW()-2,종합!$AB$3:$AB$501,0))&amp;"","")</f>
        <v/>
      </c>
      <c r="J445" s="21" t="str">
        <f aca="false">IFERROR(INDEX(종합!J$3:J$501,MATCH(ROW()-2,종합!$AB$3:$AB$501,0))&amp;"","")</f>
        <v/>
      </c>
      <c r="K445" s="21" t="str">
        <f aca="false">IFERROR(INDEX(종합!K$3:K$501,MATCH(ROW()-2,종합!$AB$3:$AB$501,0))&amp;"","")</f>
        <v/>
      </c>
      <c r="L445" s="21" t="str">
        <f aca="false">IFERROR(INDEX(종합!L$3:L$501,MATCH(ROW()-2,종합!$AB$3:$AB$501,0))&amp;"","")</f>
        <v/>
      </c>
      <c r="M445" s="21" t="str">
        <f aca="false">IFERROR(INDEX(종합!M$3:M$501,MATCH(ROW()-2,종합!$AB$3:$AB$501,0))&amp;"","")</f>
        <v/>
      </c>
      <c r="N445" s="25" t="str">
        <f aca="false">IFERROR(INDEX(종합!N$3:N$501,MATCH(ROW()-2,종합!$AB$3:$AB$501,0))&amp;"","")</f>
        <v/>
      </c>
      <c r="O445" s="21" t="str">
        <f aca="false">IFERROR(INDEX(종합!O$3:O$501,MATCH(ROW()-2,종합!$AB$3:$AB$501,0))&amp;"","")</f>
        <v/>
      </c>
      <c r="P445" s="21" t="str">
        <f aca="false">IFERROR(INDEX(종합!P$3:P$501,MATCH(ROW()-2,종합!$AB$3:$AB$501,0))&amp;"","")</f>
        <v/>
      </c>
      <c r="Q445" s="21" t="str">
        <f aca="false">IFERROR(INDEX(종합!Q$3:Q$501,MATCH(ROW()-2,종합!$AB$3:$AB$501,0))&amp;"","")</f>
        <v/>
      </c>
      <c r="R445" s="21" t="str">
        <f aca="false">IFERROR(INDEX(종합!R$3:R$501,MATCH(ROW()-2,종합!$AB$3:$AB$501,0))&amp;"","")</f>
        <v/>
      </c>
      <c r="S445" s="21" t="str">
        <f aca="false">IFERROR(INDEX(종합!S$3:S$501,MATCH(ROW()-2,종합!$AB$3:$AB$501,0))&amp;"","")</f>
        <v/>
      </c>
      <c r="T445" s="21" t="str">
        <f aca="false">IFERROR(INDEX(종합!T$3:T$501,MATCH(ROW()-2,종합!$AB$3:$AB$501,0))&amp;"","")</f>
        <v/>
      </c>
      <c r="U445" s="21" t="str">
        <f aca="false">IFERROR(INDEX(종합!U$3:U$501,MATCH(ROW()-2,종합!$AB$3:$AB$501,0))&amp;"","")</f>
        <v/>
      </c>
      <c r="V445" s="21" t="str">
        <f aca="false">IFERROR(INDEX(종합!V$3:V$501,MATCH(ROW()-2,종합!$AB$3:$AB$501,0))&amp;"","")</f>
        <v/>
      </c>
      <c r="W445" s="21" t="str">
        <f aca="false">IFERROR(INDEX(종합!W$3:W$501,MATCH(ROW()-2,종합!$AB$3:$AB$501,0))&amp;"","")</f>
        <v/>
      </c>
      <c r="X445" s="21" t="str">
        <f aca="false">IFERROR(INDEX(종합!X$3:X$501,MATCH(ROW()-2,종합!$AB$3:$AB$501,0))&amp;"","")</f>
        <v/>
      </c>
      <c r="Y445" s="21" t="str">
        <f aca="false">IFERROR(INDEX(종합!Y$3:Y$501,MATCH(ROW()-2,종합!$AB$3:$AB$501,0))&amp;"","")</f>
        <v/>
      </c>
      <c r="Z445" s="21" t="str">
        <f aca="false">IFERROR(INDEX(종합!Z$3:Z$501,MATCH(ROW()-2,종합!$AB$3:$AB$501,0))&amp;"","")</f>
        <v/>
      </c>
    </row>
    <row r="446" customFormat="false" ht="16.5" hidden="false" customHeight="true" outlineLevel="0" collapsed="false">
      <c r="A446" s="18" t="str">
        <f aca="false">IF(B446="","",ROW()-2)</f>
        <v/>
      </c>
      <c r="B446" s="18" t="str">
        <f aca="false">IFERROR(INDEX(종합!B$3:B$501,MATCH(ROW()-2,종합!$AB$3:$AB$501,0))&amp;"","")</f>
        <v/>
      </c>
      <c r="C446" s="18" t="str">
        <f aca="false">IFERROR(INDEX(종합!C$3:C$501,MATCH(ROW()-2,종합!$AB$3:$AB$501,0))&amp;"","")</f>
        <v/>
      </c>
      <c r="D446" s="18" t="str">
        <f aca="false">IFERROR(INDEX(종합!D$3:D$501,MATCH(ROW()-2,종합!$AB$3:$AB$501,0))&amp;"","")</f>
        <v/>
      </c>
      <c r="E446" s="18" t="str">
        <f aca="false">IFERROR(INDEX(종합!E$3:E$501,MATCH(ROW()-2,종합!$AB$3:$AB$501,0))&amp;"","")</f>
        <v/>
      </c>
      <c r="F446" s="18" t="str">
        <f aca="false">IFERROR(INDEX(종합!F$3:F$501,MATCH(ROW()-2,종합!$AB$3:$AB$501,0))&amp;"","")</f>
        <v/>
      </c>
      <c r="G446" s="18" t="str">
        <f aca="false">IFERROR(INDEX(종합!G$3:G$501,MATCH(ROW()-2,종합!$AB$3:$AB$501,0))&amp;"","")</f>
        <v/>
      </c>
      <c r="H446" s="21" t="str">
        <f aca="false">IFERROR(INDEX(종합!H$3:H$501,MATCH(ROW()-2,종합!$AB$3:$AB$501,0))&amp;"","")</f>
        <v/>
      </c>
      <c r="I446" s="21" t="str">
        <f aca="false">IFERROR(INDEX(종합!I$3:I$501,MATCH(ROW()-2,종합!$AB$3:$AB$501,0))&amp;"","")</f>
        <v/>
      </c>
      <c r="J446" s="21" t="str">
        <f aca="false">IFERROR(INDEX(종합!J$3:J$501,MATCH(ROW()-2,종합!$AB$3:$AB$501,0))&amp;"","")</f>
        <v/>
      </c>
      <c r="K446" s="21" t="str">
        <f aca="false">IFERROR(INDEX(종합!K$3:K$501,MATCH(ROW()-2,종합!$AB$3:$AB$501,0))&amp;"","")</f>
        <v/>
      </c>
      <c r="L446" s="21" t="str">
        <f aca="false">IFERROR(INDEX(종합!L$3:L$501,MATCH(ROW()-2,종합!$AB$3:$AB$501,0))&amp;"","")</f>
        <v/>
      </c>
      <c r="M446" s="21" t="str">
        <f aca="false">IFERROR(INDEX(종합!M$3:M$501,MATCH(ROW()-2,종합!$AB$3:$AB$501,0))&amp;"","")</f>
        <v/>
      </c>
      <c r="N446" s="25" t="str">
        <f aca="false">IFERROR(INDEX(종합!N$3:N$501,MATCH(ROW()-2,종합!$AB$3:$AB$501,0))&amp;"","")</f>
        <v/>
      </c>
      <c r="O446" s="21" t="str">
        <f aca="false">IFERROR(INDEX(종합!O$3:O$501,MATCH(ROW()-2,종합!$AB$3:$AB$501,0))&amp;"","")</f>
        <v/>
      </c>
      <c r="P446" s="21" t="str">
        <f aca="false">IFERROR(INDEX(종합!P$3:P$501,MATCH(ROW()-2,종합!$AB$3:$AB$501,0))&amp;"","")</f>
        <v/>
      </c>
      <c r="Q446" s="21" t="str">
        <f aca="false">IFERROR(INDEX(종합!Q$3:Q$501,MATCH(ROW()-2,종합!$AB$3:$AB$501,0))&amp;"","")</f>
        <v/>
      </c>
      <c r="R446" s="21" t="str">
        <f aca="false">IFERROR(INDEX(종합!R$3:R$501,MATCH(ROW()-2,종합!$AB$3:$AB$501,0))&amp;"","")</f>
        <v/>
      </c>
      <c r="S446" s="21" t="str">
        <f aca="false">IFERROR(INDEX(종합!S$3:S$501,MATCH(ROW()-2,종합!$AB$3:$AB$501,0))&amp;"","")</f>
        <v/>
      </c>
      <c r="T446" s="21" t="str">
        <f aca="false">IFERROR(INDEX(종합!T$3:T$501,MATCH(ROW()-2,종합!$AB$3:$AB$501,0))&amp;"","")</f>
        <v/>
      </c>
      <c r="U446" s="21" t="str">
        <f aca="false">IFERROR(INDEX(종합!U$3:U$501,MATCH(ROW()-2,종합!$AB$3:$AB$501,0))&amp;"","")</f>
        <v/>
      </c>
      <c r="V446" s="21" t="str">
        <f aca="false">IFERROR(INDEX(종합!V$3:V$501,MATCH(ROW()-2,종합!$AB$3:$AB$501,0))&amp;"","")</f>
        <v/>
      </c>
      <c r="W446" s="21" t="str">
        <f aca="false">IFERROR(INDEX(종합!W$3:W$501,MATCH(ROW()-2,종합!$AB$3:$AB$501,0))&amp;"","")</f>
        <v/>
      </c>
      <c r="X446" s="21" t="str">
        <f aca="false">IFERROR(INDEX(종합!X$3:X$501,MATCH(ROW()-2,종합!$AB$3:$AB$501,0))&amp;"","")</f>
        <v/>
      </c>
      <c r="Y446" s="21" t="str">
        <f aca="false">IFERROR(INDEX(종합!Y$3:Y$501,MATCH(ROW()-2,종합!$AB$3:$AB$501,0))&amp;"","")</f>
        <v/>
      </c>
      <c r="Z446" s="21" t="str">
        <f aca="false">IFERROR(INDEX(종합!Z$3:Z$501,MATCH(ROW()-2,종합!$AB$3:$AB$501,0))&amp;"","")</f>
        <v/>
      </c>
    </row>
    <row r="447" customFormat="false" ht="16.5" hidden="false" customHeight="true" outlineLevel="0" collapsed="false">
      <c r="A447" s="18" t="str">
        <f aca="false">IF(B447="","",ROW()-2)</f>
        <v/>
      </c>
      <c r="B447" s="18" t="str">
        <f aca="false">IFERROR(INDEX(종합!B$3:B$501,MATCH(ROW()-2,종합!$AB$3:$AB$501,0))&amp;"","")</f>
        <v/>
      </c>
      <c r="C447" s="18" t="str">
        <f aca="false">IFERROR(INDEX(종합!C$3:C$501,MATCH(ROW()-2,종합!$AB$3:$AB$501,0))&amp;"","")</f>
        <v/>
      </c>
      <c r="D447" s="18" t="str">
        <f aca="false">IFERROR(INDEX(종합!D$3:D$501,MATCH(ROW()-2,종합!$AB$3:$AB$501,0))&amp;"","")</f>
        <v/>
      </c>
      <c r="E447" s="18" t="str">
        <f aca="false">IFERROR(INDEX(종합!E$3:E$501,MATCH(ROW()-2,종합!$AB$3:$AB$501,0))&amp;"","")</f>
        <v/>
      </c>
      <c r="F447" s="18" t="str">
        <f aca="false">IFERROR(INDEX(종합!F$3:F$501,MATCH(ROW()-2,종합!$AB$3:$AB$501,0))&amp;"","")</f>
        <v/>
      </c>
      <c r="G447" s="18" t="str">
        <f aca="false">IFERROR(INDEX(종합!G$3:G$501,MATCH(ROW()-2,종합!$AB$3:$AB$501,0))&amp;"","")</f>
        <v/>
      </c>
      <c r="H447" s="21" t="str">
        <f aca="false">IFERROR(INDEX(종합!H$3:H$501,MATCH(ROW()-2,종합!$AB$3:$AB$501,0))&amp;"","")</f>
        <v/>
      </c>
      <c r="I447" s="21" t="str">
        <f aca="false">IFERROR(INDEX(종합!I$3:I$501,MATCH(ROW()-2,종합!$AB$3:$AB$501,0))&amp;"","")</f>
        <v/>
      </c>
      <c r="J447" s="21" t="str">
        <f aca="false">IFERROR(INDEX(종합!J$3:J$501,MATCH(ROW()-2,종합!$AB$3:$AB$501,0))&amp;"","")</f>
        <v/>
      </c>
      <c r="K447" s="21" t="str">
        <f aca="false">IFERROR(INDEX(종합!K$3:K$501,MATCH(ROW()-2,종합!$AB$3:$AB$501,0))&amp;"","")</f>
        <v/>
      </c>
      <c r="L447" s="21" t="str">
        <f aca="false">IFERROR(INDEX(종합!L$3:L$501,MATCH(ROW()-2,종합!$AB$3:$AB$501,0))&amp;"","")</f>
        <v/>
      </c>
      <c r="M447" s="21" t="str">
        <f aca="false">IFERROR(INDEX(종합!M$3:M$501,MATCH(ROW()-2,종합!$AB$3:$AB$501,0))&amp;"","")</f>
        <v/>
      </c>
      <c r="N447" s="25" t="str">
        <f aca="false">IFERROR(INDEX(종합!N$3:N$501,MATCH(ROW()-2,종합!$AB$3:$AB$501,0))&amp;"","")</f>
        <v/>
      </c>
      <c r="O447" s="21" t="str">
        <f aca="false">IFERROR(INDEX(종합!O$3:O$501,MATCH(ROW()-2,종합!$AB$3:$AB$501,0))&amp;"","")</f>
        <v/>
      </c>
      <c r="P447" s="21" t="str">
        <f aca="false">IFERROR(INDEX(종합!P$3:P$501,MATCH(ROW()-2,종합!$AB$3:$AB$501,0))&amp;"","")</f>
        <v/>
      </c>
      <c r="Q447" s="21" t="str">
        <f aca="false">IFERROR(INDEX(종합!Q$3:Q$501,MATCH(ROW()-2,종합!$AB$3:$AB$501,0))&amp;"","")</f>
        <v/>
      </c>
      <c r="R447" s="21" t="str">
        <f aca="false">IFERROR(INDEX(종합!R$3:R$501,MATCH(ROW()-2,종합!$AB$3:$AB$501,0))&amp;"","")</f>
        <v/>
      </c>
      <c r="S447" s="21" t="str">
        <f aca="false">IFERROR(INDEX(종합!S$3:S$501,MATCH(ROW()-2,종합!$AB$3:$AB$501,0))&amp;"","")</f>
        <v/>
      </c>
      <c r="T447" s="21" t="str">
        <f aca="false">IFERROR(INDEX(종합!T$3:T$501,MATCH(ROW()-2,종합!$AB$3:$AB$501,0))&amp;"","")</f>
        <v/>
      </c>
      <c r="U447" s="21" t="str">
        <f aca="false">IFERROR(INDEX(종합!U$3:U$501,MATCH(ROW()-2,종합!$AB$3:$AB$501,0))&amp;"","")</f>
        <v/>
      </c>
      <c r="V447" s="21" t="str">
        <f aca="false">IFERROR(INDEX(종합!V$3:V$501,MATCH(ROW()-2,종합!$AB$3:$AB$501,0))&amp;"","")</f>
        <v/>
      </c>
      <c r="W447" s="21" t="str">
        <f aca="false">IFERROR(INDEX(종합!W$3:W$501,MATCH(ROW()-2,종합!$AB$3:$AB$501,0))&amp;"","")</f>
        <v/>
      </c>
      <c r="X447" s="21" t="str">
        <f aca="false">IFERROR(INDEX(종합!X$3:X$501,MATCH(ROW()-2,종합!$AB$3:$AB$501,0))&amp;"","")</f>
        <v/>
      </c>
      <c r="Y447" s="21" t="str">
        <f aca="false">IFERROR(INDEX(종합!Y$3:Y$501,MATCH(ROW()-2,종합!$AB$3:$AB$501,0))&amp;"","")</f>
        <v/>
      </c>
      <c r="Z447" s="21" t="str">
        <f aca="false">IFERROR(INDEX(종합!Z$3:Z$501,MATCH(ROW()-2,종합!$AB$3:$AB$501,0))&amp;"","")</f>
        <v/>
      </c>
    </row>
    <row r="448" customFormat="false" ht="16.5" hidden="false" customHeight="true" outlineLevel="0" collapsed="false">
      <c r="A448" s="18" t="str">
        <f aca="false">IF(B448="","",ROW()-2)</f>
        <v/>
      </c>
      <c r="B448" s="18" t="str">
        <f aca="false">IFERROR(INDEX(종합!B$3:B$501,MATCH(ROW()-2,종합!$AB$3:$AB$501,0))&amp;"","")</f>
        <v/>
      </c>
      <c r="C448" s="18" t="str">
        <f aca="false">IFERROR(INDEX(종합!C$3:C$501,MATCH(ROW()-2,종합!$AB$3:$AB$501,0))&amp;"","")</f>
        <v/>
      </c>
      <c r="D448" s="18" t="str">
        <f aca="false">IFERROR(INDEX(종합!D$3:D$501,MATCH(ROW()-2,종합!$AB$3:$AB$501,0))&amp;"","")</f>
        <v/>
      </c>
      <c r="E448" s="18" t="str">
        <f aca="false">IFERROR(INDEX(종합!E$3:E$501,MATCH(ROW()-2,종합!$AB$3:$AB$501,0))&amp;"","")</f>
        <v/>
      </c>
      <c r="F448" s="18" t="str">
        <f aca="false">IFERROR(INDEX(종합!F$3:F$501,MATCH(ROW()-2,종합!$AB$3:$AB$501,0))&amp;"","")</f>
        <v/>
      </c>
      <c r="G448" s="18" t="str">
        <f aca="false">IFERROR(INDEX(종합!G$3:G$501,MATCH(ROW()-2,종합!$AB$3:$AB$501,0))&amp;"","")</f>
        <v/>
      </c>
      <c r="H448" s="21" t="str">
        <f aca="false">IFERROR(INDEX(종합!H$3:H$501,MATCH(ROW()-2,종합!$AB$3:$AB$501,0))&amp;"","")</f>
        <v/>
      </c>
      <c r="I448" s="21" t="str">
        <f aca="false">IFERROR(INDEX(종합!I$3:I$501,MATCH(ROW()-2,종합!$AB$3:$AB$501,0))&amp;"","")</f>
        <v/>
      </c>
      <c r="J448" s="21" t="str">
        <f aca="false">IFERROR(INDEX(종합!J$3:J$501,MATCH(ROW()-2,종합!$AB$3:$AB$501,0))&amp;"","")</f>
        <v/>
      </c>
      <c r="K448" s="21" t="str">
        <f aca="false">IFERROR(INDEX(종합!K$3:K$501,MATCH(ROW()-2,종합!$AB$3:$AB$501,0))&amp;"","")</f>
        <v/>
      </c>
      <c r="L448" s="21" t="str">
        <f aca="false">IFERROR(INDEX(종합!L$3:L$501,MATCH(ROW()-2,종합!$AB$3:$AB$501,0))&amp;"","")</f>
        <v/>
      </c>
      <c r="M448" s="21" t="str">
        <f aca="false">IFERROR(INDEX(종합!M$3:M$501,MATCH(ROW()-2,종합!$AB$3:$AB$501,0))&amp;"","")</f>
        <v/>
      </c>
      <c r="N448" s="25" t="str">
        <f aca="false">IFERROR(INDEX(종합!N$3:N$501,MATCH(ROW()-2,종합!$AB$3:$AB$501,0))&amp;"","")</f>
        <v/>
      </c>
      <c r="O448" s="21" t="str">
        <f aca="false">IFERROR(INDEX(종합!O$3:O$501,MATCH(ROW()-2,종합!$AB$3:$AB$501,0))&amp;"","")</f>
        <v/>
      </c>
      <c r="P448" s="21" t="str">
        <f aca="false">IFERROR(INDEX(종합!P$3:P$501,MATCH(ROW()-2,종합!$AB$3:$AB$501,0))&amp;"","")</f>
        <v/>
      </c>
      <c r="Q448" s="21" t="str">
        <f aca="false">IFERROR(INDEX(종합!Q$3:Q$501,MATCH(ROW()-2,종합!$AB$3:$AB$501,0))&amp;"","")</f>
        <v/>
      </c>
      <c r="R448" s="21" t="str">
        <f aca="false">IFERROR(INDEX(종합!R$3:R$501,MATCH(ROW()-2,종합!$AB$3:$AB$501,0))&amp;"","")</f>
        <v/>
      </c>
      <c r="S448" s="21" t="str">
        <f aca="false">IFERROR(INDEX(종합!S$3:S$501,MATCH(ROW()-2,종합!$AB$3:$AB$501,0))&amp;"","")</f>
        <v/>
      </c>
      <c r="T448" s="21" t="str">
        <f aca="false">IFERROR(INDEX(종합!T$3:T$501,MATCH(ROW()-2,종합!$AB$3:$AB$501,0))&amp;"","")</f>
        <v/>
      </c>
      <c r="U448" s="21" t="str">
        <f aca="false">IFERROR(INDEX(종합!U$3:U$501,MATCH(ROW()-2,종합!$AB$3:$AB$501,0))&amp;"","")</f>
        <v/>
      </c>
      <c r="V448" s="21" t="str">
        <f aca="false">IFERROR(INDEX(종합!V$3:V$501,MATCH(ROW()-2,종합!$AB$3:$AB$501,0))&amp;"","")</f>
        <v/>
      </c>
      <c r="W448" s="21" t="str">
        <f aca="false">IFERROR(INDEX(종합!W$3:W$501,MATCH(ROW()-2,종합!$AB$3:$AB$501,0))&amp;"","")</f>
        <v/>
      </c>
      <c r="X448" s="21" t="str">
        <f aca="false">IFERROR(INDEX(종합!X$3:X$501,MATCH(ROW()-2,종합!$AB$3:$AB$501,0))&amp;"","")</f>
        <v/>
      </c>
      <c r="Y448" s="21" t="str">
        <f aca="false">IFERROR(INDEX(종합!Y$3:Y$501,MATCH(ROW()-2,종합!$AB$3:$AB$501,0))&amp;"","")</f>
        <v/>
      </c>
      <c r="Z448" s="21" t="str">
        <f aca="false">IFERROR(INDEX(종합!Z$3:Z$501,MATCH(ROW()-2,종합!$AB$3:$AB$501,0))&amp;"","")</f>
        <v/>
      </c>
    </row>
    <row r="449" customFormat="false" ht="16.5" hidden="false" customHeight="true" outlineLevel="0" collapsed="false">
      <c r="A449" s="18" t="str">
        <f aca="false">IF(B449="","",ROW()-2)</f>
        <v/>
      </c>
      <c r="B449" s="18" t="str">
        <f aca="false">IFERROR(INDEX(종합!B$3:B$501,MATCH(ROW()-2,종합!$AB$3:$AB$501,0))&amp;"","")</f>
        <v/>
      </c>
      <c r="C449" s="18" t="str">
        <f aca="false">IFERROR(INDEX(종합!C$3:C$501,MATCH(ROW()-2,종합!$AB$3:$AB$501,0))&amp;"","")</f>
        <v/>
      </c>
      <c r="D449" s="18" t="str">
        <f aca="false">IFERROR(INDEX(종합!D$3:D$501,MATCH(ROW()-2,종합!$AB$3:$AB$501,0))&amp;"","")</f>
        <v/>
      </c>
      <c r="E449" s="18" t="str">
        <f aca="false">IFERROR(INDEX(종합!E$3:E$501,MATCH(ROW()-2,종합!$AB$3:$AB$501,0))&amp;"","")</f>
        <v/>
      </c>
      <c r="F449" s="18" t="str">
        <f aca="false">IFERROR(INDEX(종합!F$3:F$501,MATCH(ROW()-2,종합!$AB$3:$AB$501,0))&amp;"","")</f>
        <v/>
      </c>
      <c r="G449" s="18" t="str">
        <f aca="false">IFERROR(INDEX(종합!G$3:G$501,MATCH(ROW()-2,종합!$AB$3:$AB$501,0))&amp;"","")</f>
        <v/>
      </c>
      <c r="H449" s="21" t="str">
        <f aca="false">IFERROR(INDEX(종합!H$3:H$501,MATCH(ROW()-2,종합!$AB$3:$AB$501,0))&amp;"","")</f>
        <v/>
      </c>
      <c r="I449" s="21" t="str">
        <f aca="false">IFERROR(INDEX(종합!I$3:I$501,MATCH(ROW()-2,종합!$AB$3:$AB$501,0))&amp;"","")</f>
        <v/>
      </c>
      <c r="J449" s="21" t="str">
        <f aca="false">IFERROR(INDEX(종합!J$3:J$501,MATCH(ROW()-2,종합!$AB$3:$AB$501,0))&amp;"","")</f>
        <v/>
      </c>
      <c r="K449" s="21" t="str">
        <f aca="false">IFERROR(INDEX(종합!K$3:K$501,MATCH(ROW()-2,종합!$AB$3:$AB$501,0))&amp;"","")</f>
        <v/>
      </c>
      <c r="L449" s="21" t="str">
        <f aca="false">IFERROR(INDEX(종합!L$3:L$501,MATCH(ROW()-2,종합!$AB$3:$AB$501,0))&amp;"","")</f>
        <v/>
      </c>
      <c r="M449" s="21" t="str">
        <f aca="false">IFERROR(INDEX(종합!M$3:M$501,MATCH(ROW()-2,종합!$AB$3:$AB$501,0))&amp;"","")</f>
        <v/>
      </c>
      <c r="N449" s="25" t="str">
        <f aca="false">IFERROR(INDEX(종합!N$3:N$501,MATCH(ROW()-2,종합!$AB$3:$AB$501,0))&amp;"","")</f>
        <v/>
      </c>
      <c r="O449" s="21" t="str">
        <f aca="false">IFERROR(INDEX(종합!O$3:O$501,MATCH(ROW()-2,종합!$AB$3:$AB$501,0))&amp;"","")</f>
        <v/>
      </c>
      <c r="P449" s="21" t="str">
        <f aca="false">IFERROR(INDEX(종합!P$3:P$501,MATCH(ROW()-2,종합!$AB$3:$AB$501,0))&amp;"","")</f>
        <v/>
      </c>
      <c r="Q449" s="21" t="str">
        <f aca="false">IFERROR(INDEX(종합!Q$3:Q$501,MATCH(ROW()-2,종합!$AB$3:$AB$501,0))&amp;"","")</f>
        <v/>
      </c>
      <c r="R449" s="21" t="str">
        <f aca="false">IFERROR(INDEX(종합!R$3:R$501,MATCH(ROW()-2,종합!$AB$3:$AB$501,0))&amp;"","")</f>
        <v/>
      </c>
      <c r="S449" s="21" t="str">
        <f aca="false">IFERROR(INDEX(종합!S$3:S$501,MATCH(ROW()-2,종합!$AB$3:$AB$501,0))&amp;"","")</f>
        <v/>
      </c>
      <c r="T449" s="21" t="str">
        <f aca="false">IFERROR(INDEX(종합!T$3:T$501,MATCH(ROW()-2,종합!$AB$3:$AB$501,0))&amp;"","")</f>
        <v/>
      </c>
      <c r="U449" s="21" t="str">
        <f aca="false">IFERROR(INDEX(종합!U$3:U$501,MATCH(ROW()-2,종합!$AB$3:$AB$501,0))&amp;"","")</f>
        <v/>
      </c>
      <c r="V449" s="21" t="str">
        <f aca="false">IFERROR(INDEX(종합!V$3:V$501,MATCH(ROW()-2,종합!$AB$3:$AB$501,0))&amp;"","")</f>
        <v/>
      </c>
      <c r="W449" s="21" t="str">
        <f aca="false">IFERROR(INDEX(종합!W$3:W$501,MATCH(ROW()-2,종합!$AB$3:$AB$501,0))&amp;"","")</f>
        <v/>
      </c>
      <c r="X449" s="21" t="str">
        <f aca="false">IFERROR(INDEX(종합!X$3:X$501,MATCH(ROW()-2,종합!$AB$3:$AB$501,0))&amp;"","")</f>
        <v/>
      </c>
      <c r="Y449" s="21" t="str">
        <f aca="false">IFERROR(INDEX(종합!Y$3:Y$501,MATCH(ROW()-2,종합!$AB$3:$AB$501,0))&amp;"","")</f>
        <v/>
      </c>
      <c r="Z449" s="21" t="str">
        <f aca="false">IFERROR(INDEX(종합!Z$3:Z$501,MATCH(ROW()-2,종합!$AB$3:$AB$501,0))&amp;"","")</f>
        <v/>
      </c>
    </row>
    <row r="450" customFormat="false" ht="16.5" hidden="false" customHeight="true" outlineLevel="0" collapsed="false">
      <c r="A450" s="18" t="str">
        <f aca="false">IF(B450="","",ROW()-2)</f>
        <v/>
      </c>
      <c r="B450" s="18" t="str">
        <f aca="false">IFERROR(INDEX(종합!B$3:B$501,MATCH(ROW()-2,종합!$AB$3:$AB$501,0))&amp;"","")</f>
        <v/>
      </c>
      <c r="C450" s="18" t="str">
        <f aca="false">IFERROR(INDEX(종합!C$3:C$501,MATCH(ROW()-2,종합!$AB$3:$AB$501,0))&amp;"","")</f>
        <v/>
      </c>
      <c r="D450" s="18" t="str">
        <f aca="false">IFERROR(INDEX(종합!D$3:D$501,MATCH(ROW()-2,종합!$AB$3:$AB$501,0))&amp;"","")</f>
        <v/>
      </c>
      <c r="E450" s="18" t="str">
        <f aca="false">IFERROR(INDEX(종합!E$3:E$501,MATCH(ROW()-2,종합!$AB$3:$AB$501,0))&amp;"","")</f>
        <v/>
      </c>
      <c r="F450" s="18" t="str">
        <f aca="false">IFERROR(INDEX(종합!F$3:F$501,MATCH(ROW()-2,종합!$AB$3:$AB$501,0))&amp;"","")</f>
        <v/>
      </c>
      <c r="G450" s="18" t="str">
        <f aca="false">IFERROR(INDEX(종합!G$3:G$501,MATCH(ROW()-2,종합!$AB$3:$AB$501,0))&amp;"","")</f>
        <v/>
      </c>
      <c r="H450" s="21" t="str">
        <f aca="false">IFERROR(INDEX(종합!H$3:H$501,MATCH(ROW()-2,종합!$AB$3:$AB$501,0))&amp;"","")</f>
        <v/>
      </c>
      <c r="I450" s="21" t="str">
        <f aca="false">IFERROR(INDEX(종합!I$3:I$501,MATCH(ROW()-2,종합!$AB$3:$AB$501,0))&amp;"","")</f>
        <v/>
      </c>
      <c r="J450" s="21" t="str">
        <f aca="false">IFERROR(INDEX(종합!J$3:J$501,MATCH(ROW()-2,종합!$AB$3:$AB$501,0))&amp;"","")</f>
        <v/>
      </c>
      <c r="K450" s="21" t="str">
        <f aca="false">IFERROR(INDEX(종합!K$3:K$501,MATCH(ROW()-2,종합!$AB$3:$AB$501,0))&amp;"","")</f>
        <v/>
      </c>
      <c r="L450" s="21" t="str">
        <f aca="false">IFERROR(INDEX(종합!L$3:L$501,MATCH(ROW()-2,종합!$AB$3:$AB$501,0))&amp;"","")</f>
        <v/>
      </c>
      <c r="M450" s="21" t="str">
        <f aca="false">IFERROR(INDEX(종합!M$3:M$501,MATCH(ROW()-2,종합!$AB$3:$AB$501,0))&amp;"","")</f>
        <v/>
      </c>
      <c r="N450" s="25" t="str">
        <f aca="false">IFERROR(INDEX(종합!N$3:N$501,MATCH(ROW()-2,종합!$AB$3:$AB$501,0))&amp;"","")</f>
        <v/>
      </c>
      <c r="O450" s="21" t="str">
        <f aca="false">IFERROR(INDEX(종합!O$3:O$501,MATCH(ROW()-2,종합!$AB$3:$AB$501,0))&amp;"","")</f>
        <v/>
      </c>
      <c r="P450" s="21" t="str">
        <f aca="false">IFERROR(INDEX(종합!P$3:P$501,MATCH(ROW()-2,종합!$AB$3:$AB$501,0))&amp;"","")</f>
        <v/>
      </c>
      <c r="Q450" s="21" t="str">
        <f aca="false">IFERROR(INDEX(종합!Q$3:Q$501,MATCH(ROW()-2,종합!$AB$3:$AB$501,0))&amp;"","")</f>
        <v/>
      </c>
      <c r="R450" s="21" t="str">
        <f aca="false">IFERROR(INDEX(종합!R$3:R$501,MATCH(ROW()-2,종합!$AB$3:$AB$501,0))&amp;"","")</f>
        <v/>
      </c>
      <c r="S450" s="21" t="str">
        <f aca="false">IFERROR(INDEX(종합!S$3:S$501,MATCH(ROW()-2,종합!$AB$3:$AB$501,0))&amp;"","")</f>
        <v/>
      </c>
      <c r="T450" s="21" t="str">
        <f aca="false">IFERROR(INDEX(종합!T$3:T$501,MATCH(ROW()-2,종합!$AB$3:$AB$501,0))&amp;"","")</f>
        <v/>
      </c>
      <c r="U450" s="21" t="str">
        <f aca="false">IFERROR(INDEX(종합!U$3:U$501,MATCH(ROW()-2,종합!$AB$3:$AB$501,0))&amp;"","")</f>
        <v/>
      </c>
      <c r="V450" s="21" t="str">
        <f aca="false">IFERROR(INDEX(종합!V$3:V$501,MATCH(ROW()-2,종합!$AB$3:$AB$501,0))&amp;"","")</f>
        <v/>
      </c>
      <c r="W450" s="21" t="str">
        <f aca="false">IFERROR(INDEX(종합!W$3:W$501,MATCH(ROW()-2,종합!$AB$3:$AB$501,0))&amp;"","")</f>
        <v/>
      </c>
      <c r="X450" s="21" t="str">
        <f aca="false">IFERROR(INDEX(종합!X$3:X$501,MATCH(ROW()-2,종합!$AB$3:$AB$501,0))&amp;"","")</f>
        <v/>
      </c>
      <c r="Y450" s="21" t="str">
        <f aca="false">IFERROR(INDEX(종합!Y$3:Y$501,MATCH(ROW()-2,종합!$AB$3:$AB$501,0))&amp;"","")</f>
        <v/>
      </c>
      <c r="Z450" s="21" t="str">
        <f aca="false">IFERROR(INDEX(종합!Z$3:Z$501,MATCH(ROW()-2,종합!$AB$3:$AB$501,0))&amp;"","")</f>
        <v/>
      </c>
    </row>
    <row r="451" customFormat="false" ht="16.5" hidden="false" customHeight="true" outlineLevel="0" collapsed="false">
      <c r="A451" s="18" t="str">
        <f aca="false">IF(B451="","",ROW()-2)</f>
        <v/>
      </c>
      <c r="B451" s="18" t="str">
        <f aca="false">IFERROR(INDEX(종합!B$3:B$501,MATCH(ROW()-2,종합!$AB$3:$AB$501,0))&amp;"","")</f>
        <v/>
      </c>
      <c r="C451" s="18" t="str">
        <f aca="false">IFERROR(INDEX(종합!C$3:C$501,MATCH(ROW()-2,종합!$AB$3:$AB$501,0))&amp;"","")</f>
        <v/>
      </c>
      <c r="D451" s="18" t="str">
        <f aca="false">IFERROR(INDEX(종합!D$3:D$501,MATCH(ROW()-2,종합!$AB$3:$AB$501,0))&amp;"","")</f>
        <v/>
      </c>
      <c r="E451" s="18" t="str">
        <f aca="false">IFERROR(INDEX(종합!E$3:E$501,MATCH(ROW()-2,종합!$AB$3:$AB$501,0))&amp;"","")</f>
        <v/>
      </c>
      <c r="F451" s="18" t="str">
        <f aca="false">IFERROR(INDEX(종합!F$3:F$501,MATCH(ROW()-2,종합!$AB$3:$AB$501,0))&amp;"","")</f>
        <v/>
      </c>
      <c r="G451" s="18" t="str">
        <f aca="false">IFERROR(INDEX(종합!G$3:G$501,MATCH(ROW()-2,종합!$AB$3:$AB$501,0))&amp;"","")</f>
        <v/>
      </c>
      <c r="H451" s="21" t="str">
        <f aca="false">IFERROR(INDEX(종합!H$3:H$501,MATCH(ROW()-2,종합!$AB$3:$AB$501,0))&amp;"","")</f>
        <v/>
      </c>
      <c r="I451" s="21" t="str">
        <f aca="false">IFERROR(INDEX(종합!I$3:I$501,MATCH(ROW()-2,종합!$AB$3:$AB$501,0))&amp;"","")</f>
        <v/>
      </c>
      <c r="J451" s="21" t="str">
        <f aca="false">IFERROR(INDEX(종합!J$3:J$501,MATCH(ROW()-2,종합!$AB$3:$AB$501,0))&amp;"","")</f>
        <v/>
      </c>
      <c r="K451" s="21" t="str">
        <f aca="false">IFERROR(INDEX(종합!K$3:K$501,MATCH(ROW()-2,종합!$AB$3:$AB$501,0))&amp;"","")</f>
        <v/>
      </c>
      <c r="L451" s="21" t="str">
        <f aca="false">IFERROR(INDEX(종합!L$3:L$501,MATCH(ROW()-2,종합!$AB$3:$AB$501,0))&amp;"","")</f>
        <v/>
      </c>
      <c r="M451" s="21" t="str">
        <f aca="false">IFERROR(INDEX(종합!M$3:M$501,MATCH(ROW()-2,종합!$AB$3:$AB$501,0))&amp;"","")</f>
        <v/>
      </c>
      <c r="N451" s="25" t="str">
        <f aca="false">IFERROR(INDEX(종합!N$3:N$501,MATCH(ROW()-2,종합!$AB$3:$AB$501,0))&amp;"","")</f>
        <v/>
      </c>
      <c r="O451" s="21" t="str">
        <f aca="false">IFERROR(INDEX(종합!O$3:O$501,MATCH(ROW()-2,종합!$AB$3:$AB$501,0))&amp;"","")</f>
        <v/>
      </c>
      <c r="P451" s="21" t="str">
        <f aca="false">IFERROR(INDEX(종합!P$3:P$501,MATCH(ROW()-2,종합!$AB$3:$AB$501,0))&amp;"","")</f>
        <v/>
      </c>
      <c r="Q451" s="21" t="str">
        <f aca="false">IFERROR(INDEX(종합!Q$3:Q$501,MATCH(ROW()-2,종합!$AB$3:$AB$501,0))&amp;"","")</f>
        <v/>
      </c>
      <c r="R451" s="21" t="str">
        <f aca="false">IFERROR(INDEX(종합!R$3:R$501,MATCH(ROW()-2,종합!$AB$3:$AB$501,0))&amp;"","")</f>
        <v/>
      </c>
      <c r="S451" s="21" t="str">
        <f aca="false">IFERROR(INDEX(종합!S$3:S$501,MATCH(ROW()-2,종합!$AB$3:$AB$501,0))&amp;"","")</f>
        <v/>
      </c>
      <c r="T451" s="21" t="str">
        <f aca="false">IFERROR(INDEX(종합!T$3:T$501,MATCH(ROW()-2,종합!$AB$3:$AB$501,0))&amp;"","")</f>
        <v/>
      </c>
      <c r="U451" s="21" t="str">
        <f aca="false">IFERROR(INDEX(종합!U$3:U$501,MATCH(ROW()-2,종합!$AB$3:$AB$501,0))&amp;"","")</f>
        <v/>
      </c>
      <c r="V451" s="21" t="str">
        <f aca="false">IFERROR(INDEX(종합!V$3:V$501,MATCH(ROW()-2,종합!$AB$3:$AB$501,0))&amp;"","")</f>
        <v/>
      </c>
      <c r="W451" s="21" t="str">
        <f aca="false">IFERROR(INDEX(종합!W$3:W$501,MATCH(ROW()-2,종합!$AB$3:$AB$501,0))&amp;"","")</f>
        <v/>
      </c>
      <c r="X451" s="21" t="str">
        <f aca="false">IFERROR(INDEX(종합!X$3:X$501,MATCH(ROW()-2,종합!$AB$3:$AB$501,0))&amp;"","")</f>
        <v/>
      </c>
      <c r="Y451" s="21" t="str">
        <f aca="false">IFERROR(INDEX(종합!Y$3:Y$501,MATCH(ROW()-2,종합!$AB$3:$AB$501,0))&amp;"","")</f>
        <v/>
      </c>
      <c r="Z451" s="21" t="str">
        <f aca="false">IFERROR(INDEX(종합!Z$3:Z$501,MATCH(ROW()-2,종합!$AB$3:$AB$501,0))&amp;"","")</f>
        <v/>
      </c>
    </row>
    <row r="452" customFormat="false" ht="16.5" hidden="false" customHeight="true" outlineLevel="0" collapsed="false">
      <c r="A452" s="18" t="str">
        <f aca="false">IF(B452="","",ROW()-2)</f>
        <v/>
      </c>
      <c r="B452" s="18" t="str">
        <f aca="false">IFERROR(INDEX(종합!B$3:B$501,MATCH(ROW()-2,종합!$AB$3:$AB$501,0))&amp;"","")</f>
        <v/>
      </c>
      <c r="C452" s="18" t="str">
        <f aca="false">IFERROR(INDEX(종합!C$3:C$501,MATCH(ROW()-2,종합!$AB$3:$AB$501,0))&amp;"","")</f>
        <v/>
      </c>
      <c r="D452" s="18" t="str">
        <f aca="false">IFERROR(INDEX(종합!D$3:D$501,MATCH(ROW()-2,종합!$AB$3:$AB$501,0))&amp;"","")</f>
        <v/>
      </c>
      <c r="E452" s="18" t="str">
        <f aca="false">IFERROR(INDEX(종합!E$3:E$501,MATCH(ROW()-2,종합!$AB$3:$AB$501,0))&amp;"","")</f>
        <v/>
      </c>
      <c r="F452" s="18" t="str">
        <f aca="false">IFERROR(INDEX(종합!F$3:F$501,MATCH(ROW()-2,종합!$AB$3:$AB$501,0))&amp;"","")</f>
        <v/>
      </c>
      <c r="G452" s="18" t="str">
        <f aca="false">IFERROR(INDEX(종합!G$3:G$501,MATCH(ROW()-2,종합!$AB$3:$AB$501,0))&amp;"","")</f>
        <v/>
      </c>
      <c r="H452" s="21" t="str">
        <f aca="false">IFERROR(INDEX(종합!H$3:H$501,MATCH(ROW()-2,종합!$AB$3:$AB$501,0))&amp;"","")</f>
        <v/>
      </c>
      <c r="I452" s="21" t="str">
        <f aca="false">IFERROR(INDEX(종합!I$3:I$501,MATCH(ROW()-2,종합!$AB$3:$AB$501,0))&amp;"","")</f>
        <v/>
      </c>
      <c r="J452" s="21" t="str">
        <f aca="false">IFERROR(INDEX(종합!J$3:J$501,MATCH(ROW()-2,종합!$AB$3:$AB$501,0))&amp;"","")</f>
        <v/>
      </c>
      <c r="K452" s="21" t="str">
        <f aca="false">IFERROR(INDEX(종합!K$3:K$501,MATCH(ROW()-2,종합!$AB$3:$AB$501,0))&amp;"","")</f>
        <v/>
      </c>
      <c r="L452" s="21" t="str">
        <f aca="false">IFERROR(INDEX(종합!L$3:L$501,MATCH(ROW()-2,종합!$AB$3:$AB$501,0))&amp;"","")</f>
        <v/>
      </c>
      <c r="M452" s="21" t="str">
        <f aca="false">IFERROR(INDEX(종합!M$3:M$501,MATCH(ROW()-2,종합!$AB$3:$AB$501,0))&amp;"","")</f>
        <v/>
      </c>
      <c r="N452" s="25" t="str">
        <f aca="false">IFERROR(INDEX(종합!N$3:N$501,MATCH(ROW()-2,종합!$AB$3:$AB$501,0))&amp;"","")</f>
        <v/>
      </c>
      <c r="O452" s="21" t="str">
        <f aca="false">IFERROR(INDEX(종합!O$3:O$501,MATCH(ROW()-2,종합!$AB$3:$AB$501,0))&amp;"","")</f>
        <v/>
      </c>
      <c r="P452" s="21" t="str">
        <f aca="false">IFERROR(INDEX(종합!P$3:P$501,MATCH(ROW()-2,종합!$AB$3:$AB$501,0))&amp;"","")</f>
        <v/>
      </c>
      <c r="Q452" s="21" t="str">
        <f aca="false">IFERROR(INDEX(종합!Q$3:Q$501,MATCH(ROW()-2,종합!$AB$3:$AB$501,0))&amp;"","")</f>
        <v/>
      </c>
      <c r="R452" s="21" t="str">
        <f aca="false">IFERROR(INDEX(종합!R$3:R$501,MATCH(ROW()-2,종합!$AB$3:$AB$501,0))&amp;"","")</f>
        <v/>
      </c>
      <c r="S452" s="21" t="str">
        <f aca="false">IFERROR(INDEX(종합!S$3:S$501,MATCH(ROW()-2,종합!$AB$3:$AB$501,0))&amp;"","")</f>
        <v/>
      </c>
      <c r="T452" s="21" t="str">
        <f aca="false">IFERROR(INDEX(종합!T$3:T$501,MATCH(ROW()-2,종합!$AB$3:$AB$501,0))&amp;"","")</f>
        <v/>
      </c>
      <c r="U452" s="21" t="str">
        <f aca="false">IFERROR(INDEX(종합!U$3:U$501,MATCH(ROW()-2,종합!$AB$3:$AB$501,0))&amp;"","")</f>
        <v/>
      </c>
      <c r="V452" s="21" t="str">
        <f aca="false">IFERROR(INDEX(종합!V$3:V$501,MATCH(ROW()-2,종합!$AB$3:$AB$501,0))&amp;"","")</f>
        <v/>
      </c>
      <c r="W452" s="21" t="str">
        <f aca="false">IFERROR(INDEX(종합!W$3:W$501,MATCH(ROW()-2,종합!$AB$3:$AB$501,0))&amp;"","")</f>
        <v/>
      </c>
      <c r="X452" s="21" t="str">
        <f aca="false">IFERROR(INDEX(종합!X$3:X$501,MATCH(ROW()-2,종합!$AB$3:$AB$501,0))&amp;"","")</f>
        <v/>
      </c>
      <c r="Y452" s="21" t="str">
        <f aca="false">IFERROR(INDEX(종합!Y$3:Y$501,MATCH(ROW()-2,종합!$AB$3:$AB$501,0))&amp;"","")</f>
        <v/>
      </c>
      <c r="Z452" s="21" t="str">
        <f aca="false">IFERROR(INDEX(종합!Z$3:Z$501,MATCH(ROW()-2,종합!$AB$3:$AB$501,0))&amp;"","")</f>
        <v/>
      </c>
    </row>
  </sheetData>
  <mergeCells count="3">
    <mergeCell ref="A1:N1"/>
    <mergeCell ref="O1:T1"/>
    <mergeCell ref="U1:Z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Z4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2" activeCellId="0" sqref="A2"/>
    </sheetView>
  </sheetViews>
  <sheetFormatPr defaultColWidth="8.83203125" defaultRowHeight="16.5" zeroHeight="false" outlineLevelRow="0" outlineLevelCol="0"/>
  <cols>
    <col collapsed="false" customWidth="true" hidden="false" outlineLevel="0" max="1" min="1" style="1" width="6"/>
    <col collapsed="false" customWidth="true" hidden="false" outlineLevel="0" max="2" min="2" style="1" width="47"/>
    <col collapsed="false" customWidth="true" hidden="false" outlineLevel="0" max="5" min="3" style="1" width="8"/>
    <col collapsed="false" customWidth="true" hidden="false" outlineLevel="0" max="6" min="6" style="1" width="10"/>
    <col collapsed="false" customWidth="true" hidden="false" outlineLevel="0" max="7" min="7" style="1" width="12"/>
    <col collapsed="false" customWidth="true" hidden="false" outlineLevel="0" max="8" min="8" style="1" width="16"/>
    <col collapsed="false" customWidth="true" hidden="false" outlineLevel="0" max="9" min="9" style="1" width="28"/>
    <col collapsed="false" customWidth="true" hidden="false" outlineLevel="0" max="10" min="10" style="1" width="17"/>
    <col collapsed="false" customWidth="true" hidden="false" outlineLevel="0" max="11" min="11" style="1" width="47"/>
    <col collapsed="false" customWidth="true" hidden="false" outlineLevel="0" max="12" min="12" style="1" width="34"/>
    <col collapsed="false" customWidth="true" hidden="false" outlineLevel="0" max="13" min="13" style="1" width="90"/>
    <col collapsed="false" customWidth="true" hidden="false" outlineLevel="0" max="14" min="14" style="1" width="60"/>
    <col collapsed="false" customWidth="true" hidden="false" outlineLevel="0" max="15" min="15" style="1" width="13"/>
    <col collapsed="false" customWidth="true" hidden="false" outlineLevel="0" max="16" min="16" style="1" width="54"/>
    <col collapsed="false" customWidth="true" hidden="false" outlineLevel="0" max="17" min="17" style="1" width="31"/>
    <col collapsed="false" customWidth="true" hidden="false" outlineLevel="0" max="18" min="18" style="1" width="26"/>
    <col collapsed="false" customWidth="true" hidden="false" outlineLevel="0" max="19" min="19" style="1" width="41"/>
    <col collapsed="false" customWidth="true" hidden="false" outlineLevel="0" max="20" min="20" style="1" width="17"/>
    <col collapsed="false" customWidth="true" hidden="false" outlineLevel="0" max="21" min="21" style="1" width="29"/>
    <col collapsed="false" customWidth="true" hidden="false" outlineLevel="0" max="22" min="22" style="1" width="53"/>
    <col collapsed="false" customWidth="true" hidden="false" outlineLevel="0" max="23" min="23" style="1" width="35"/>
    <col collapsed="false" customWidth="true" hidden="false" outlineLevel="0" max="24" min="24" style="1" width="29"/>
    <col collapsed="false" customWidth="true" hidden="false" outlineLevel="0" max="25" min="25" style="1" width="68"/>
    <col collapsed="false" customWidth="true" hidden="false" outlineLevel="0" max="26" min="26" style="1" width="29"/>
  </cols>
  <sheetData>
    <row r="1" customFormat="false" ht="20.25" hidden="false" customHeight="true" outlineLevel="0" collapsed="false">
      <c r="A1" s="12" t="s">
        <v>27</v>
      </c>
      <c r="B1" s="12"/>
      <c r="C1" s="12"/>
      <c r="D1" s="12"/>
      <c r="E1" s="12"/>
      <c r="F1" s="12"/>
      <c r="G1" s="12"/>
      <c r="H1" s="12"/>
      <c r="I1" s="12"/>
      <c r="J1" s="12"/>
      <c r="K1" s="12"/>
      <c r="L1" s="12"/>
      <c r="M1" s="12"/>
      <c r="N1" s="12"/>
      <c r="O1" s="12" t="s">
        <v>28</v>
      </c>
      <c r="P1" s="12"/>
      <c r="Q1" s="12"/>
      <c r="R1" s="12"/>
      <c r="S1" s="12"/>
      <c r="T1" s="12"/>
      <c r="U1" s="12" t="s">
        <v>29</v>
      </c>
      <c r="V1" s="12"/>
      <c r="W1" s="12"/>
      <c r="X1" s="12"/>
      <c r="Y1" s="12"/>
      <c r="Z1" s="12"/>
    </row>
    <row r="2" customFormat="false" ht="46.5" hidden="false" customHeight="true" outlineLevel="0" collapsed="false">
      <c r="A2" s="14" t="s">
        <v>31</v>
      </c>
      <c r="B2" s="15" t="s">
        <v>32</v>
      </c>
      <c r="C2" s="15" t="s">
        <v>6</v>
      </c>
      <c r="D2" s="15" t="s">
        <v>7</v>
      </c>
      <c r="E2" s="15" t="s">
        <v>8</v>
      </c>
      <c r="F2" s="15" t="s">
        <v>9</v>
      </c>
      <c r="G2" s="15" t="s">
        <v>10</v>
      </c>
      <c r="H2" s="15" t="s">
        <v>33</v>
      </c>
      <c r="I2" s="15" t="s">
        <v>34</v>
      </c>
      <c r="J2" s="15" t="s">
        <v>35</v>
      </c>
      <c r="K2" s="15" t="s">
        <v>36</v>
      </c>
      <c r="L2" s="15" t="s">
        <v>37</v>
      </c>
      <c r="M2" s="15" t="s">
        <v>38</v>
      </c>
      <c r="N2" s="14" t="s">
        <v>39</v>
      </c>
      <c r="O2" s="15" t="s">
        <v>40</v>
      </c>
      <c r="P2" s="15" t="s">
        <v>41</v>
      </c>
      <c r="Q2" s="15" t="s">
        <v>42</v>
      </c>
      <c r="R2" s="15" t="s">
        <v>43</v>
      </c>
      <c r="S2" s="15" t="s">
        <v>44</v>
      </c>
      <c r="T2" s="15" t="s">
        <v>45</v>
      </c>
      <c r="U2" s="15" t="s">
        <v>46</v>
      </c>
      <c r="V2" s="15" t="s">
        <v>47</v>
      </c>
      <c r="W2" s="15" t="s">
        <v>48</v>
      </c>
      <c r="X2" s="15" t="s">
        <v>49</v>
      </c>
      <c r="Y2" s="15" t="s">
        <v>50</v>
      </c>
      <c r="Z2" s="15" t="s">
        <v>51</v>
      </c>
    </row>
    <row r="3" customFormat="false" ht="22.5" hidden="false" customHeight="true" outlineLevel="0" collapsed="false">
      <c r="A3" s="18" t="n">
        <f aca="false">IF(B3="","",ROW()-2)</f>
        <v>1</v>
      </c>
      <c r="B3" s="18" t="str">
        <f aca="false">IFERROR(INDEX(종합!B$3:B$501,MATCH(ROW()-2,종합!$AC$3:$AC$501,0))&amp;"","")</f>
        <v>주식회사 케이솔루션즈</v>
      </c>
      <c r="C3" s="18" t="str">
        <f aca="false">IFERROR(INDEX(종합!C$3:C$501,MATCH(ROW()-2,종합!$AC$3:$AC$501,0))&amp;"","")</f>
        <v/>
      </c>
      <c r="D3" s="18" t="str">
        <f aca="false">IFERROR(INDEX(종합!D$3:D$501,MATCH(ROW()-2,종합!$AC$3:$AC$501,0))&amp;"","")</f>
        <v>O</v>
      </c>
      <c r="E3" s="18" t="str">
        <f aca="false">IFERROR(INDEX(종합!E$3:E$501,MATCH(ROW()-2,종합!$AC$3:$AC$501,0))&amp;"","")</f>
        <v/>
      </c>
      <c r="F3" s="18" t="str">
        <f aca="false">IFERROR(INDEX(종합!F$3:F$501,MATCH(ROW()-2,종합!$AC$3:$AC$501,0))&amp;"","")</f>
        <v/>
      </c>
      <c r="G3" s="18" t="str">
        <f aca="false">IFERROR(INDEX(종합!G$3:G$501,MATCH(ROW()-2,종합!$AC$3:$AC$501,0))&amp;"","")</f>
        <v>중소기업</v>
      </c>
      <c r="H3" s="21" t="str">
        <f aca="false">IFERROR(INDEX(종합!H$3:H$501,MATCH(ROW()-2,종합!$AC$3:$AC$501,0))&amp;"","")</f>
        <v>134-87-20969</v>
      </c>
      <c r="I3" s="21" t="str">
        <f aca="false">IFERROR(INDEX(종합!I$3:I$501,MATCH(ROW()-2,종합!$AC$3:$AC$501,0))&amp;"","")</f>
        <v>김민수</v>
      </c>
      <c r="J3" s="21" t="str">
        <f aca="false">IFERROR(INDEX(종합!J$3:J$501,MATCH(ROW()-2,종합!$AC$3:$AC$501,0))&amp;"","")</f>
        <v>02-6415-2236</v>
      </c>
      <c r="K3" s="21" t="str">
        <f aca="false">IFERROR(INDEX(종합!K$3:K$501,MATCH(ROW()-2,종합!$AC$3:$AC$501,0))&amp;"","")</f>
        <v>https://www.ksolution.kr</v>
      </c>
      <c r="L3" s="21" t="str">
        <f aca="false">IFERROR(INDEX(종합!L$3:L$501,MATCH(ROW()-2,종합!$AC$3:$AC$501,0))&amp;"","")</f>
        <v>kangwoongkim@gmail.com</v>
      </c>
      <c r="M3" s="21" t="str">
        <f aca="false">IFERROR(INDEX(종합!M$3:M$501,MATCH(ROW()-2,종합!$AC$3:$AC$501,0))&amp;"","")</f>
        <v>서울특별시 금천구 가산디지털1로 225, 418, 419호</v>
      </c>
      <c r="N3" s="25" t="str">
        <f aca="false">IFERROR(INDEX(종합!N$3:N$501,MATCH(ROW()-2,종합!$AC$3:$AC$501,0))&amp;"","")</f>
        <v>Agentic AI MES, Agentic AI ERP, AI 기반 산업안전 솔루션</v>
      </c>
      <c r="O3" s="21" t="str">
        <f aca="false">IFERROR(INDEX(종합!O$3:O$501,MATCH(ROW()-2,종합!$AC$3:$AC$501,0))&amp;"","")</f>
        <v>김민수</v>
      </c>
      <c r="P3" s="21" t="str">
        <f aca="false">IFERROR(INDEX(종합!P$3:P$501,MATCH(ROW()-2,종합!$AC$3:$AC$501,0))&amp;"","")</f>
        <v>-</v>
      </c>
      <c r="Q3" s="21" t="str">
        <f aca="false">IFERROR(INDEX(종합!Q$3:Q$501,MATCH(ROW()-2,종합!$AC$3:$AC$501,0))&amp;"","")</f>
        <v>대표이사</v>
      </c>
      <c r="R3" s="21" t="str">
        <f aca="false">IFERROR(INDEX(종합!R$3:R$501,MATCH(ROW()-2,종합!$AC$3:$AC$501,0))&amp;"","")</f>
        <v>-</v>
      </c>
      <c r="S3" s="21" t="str">
        <f aca="false">IFERROR(INDEX(종합!S$3:S$501,MATCH(ROW()-2,종합!$AC$3:$AC$501,0))&amp;"","")</f>
        <v>mskim@ksolution.kr</v>
      </c>
      <c r="T3" s="21" t="str">
        <f aca="false">IFERROR(INDEX(종합!T$3:T$501,MATCH(ROW()-2,종합!$AC$3:$AC$501,0))&amp;"","")</f>
        <v>010-2236-3656</v>
      </c>
      <c r="U3" s="21" t="str">
        <f aca="false">IFERROR(INDEX(종합!U$3:U$501,MATCH(ROW()-2,종합!$AC$3:$AC$501,0))&amp;"","")</f>
        <v>김강웅</v>
      </c>
      <c r="V3" s="21" t="str">
        <f aca="false">IFERROR(INDEX(종합!V$3:V$501,MATCH(ROW()-2,종합!$AC$3:$AC$501,0))&amp;"","")</f>
        <v>AX사업부</v>
      </c>
      <c r="W3" s="21" t="str">
        <f aca="false">IFERROR(INDEX(종합!W$3:W$501,MATCH(ROW()-2,종합!$AC$3:$AC$501,0))&amp;"","")</f>
        <v>이사</v>
      </c>
      <c r="X3" s="21" t="str">
        <f aca="false">IFERROR(INDEX(종합!X$3:X$501,MATCH(ROW()-2,종합!$AC$3:$AC$501,0))&amp;"","")</f>
        <v>-</v>
      </c>
      <c r="Y3" s="21" t="str">
        <f aca="false">IFERROR(INDEX(종합!Y$3:Y$501,MATCH(ROW()-2,종합!$AC$3:$AC$501,0))&amp;"","")</f>
        <v>kwkim@ksolution.kr</v>
      </c>
      <c r="Z3" s="21" t="str">
        <f aca="false">IFERROR(INDEX(종합!Z$3:Z$501,MATCH(ROW()-2,종합!$AC$3:$AC$501,0))&amp;"","")</f>
        <v>010-4526-3280</v>
      </c>
    </row>
    <row r="4" customFormat="false" ht="33.75" hidden="false" customHeight="true" outlineLevel="0" collapsed="false">
      <c r="A4" s="18" t="n">
        <f aca="false">IF(B4="","",ROW()-2)</f>
        <v>2</v>
      </c>
      <c r="B4" s="18" t="str">
        <f aca="false">IFERROR(INDEX(종합!B$3:B$501,MATCH(ROW()-2,종합!$AC$3:$AC$501,0))&amp;"","")</f>
        <v>농업회사법인 (주)온팜</v>
      </c>
      <c r="C4" s="18" t="str">
        <f aca="false">IFERROR(INDEX(종합!C$3:C$501,MATCH(ROW()-2,종합!$AC$3:$AC$501,0))&amp;"","")</f>
        <v/>
      </c>
      <c r="D4" s="18" t="str">
        <f aca="false">IFERROR(INDEX(종합!D$3:D$501,MATCH(ROW()-2,종합!$AC$3:$AC$501,0))&amp;"","")</f>
        <v>O</v>
      </c>
      <c r="E4" s="18" t="str">
        <f aca="false">IFERROR(INDEX(종합!E$3:E$501,MATCH(ROW()-2,종합!$AC$3:$AC$501,0))&amp;"","")</f>
        <v/>
      </c>
      <c r="F4" s="18" t="str">
        <f aca="false">IFERROR(INDEX(종합!F$3:F$501,MATCH(ROW()-2,종합!$AC$3:$AC$501,0))&amp;"","")</f>
        <v/>
      </c>
      <c r="G4" s="18" t="str">
        <f aca="false">IFERROR(INDEX(종합!G$3:G$501,MATCH(ROW()-2,종합!$AC$3:$AC$501,0))&amp;"","")</f>
        <v>중소기업</v>
      </c>
      <c r="H4" s="21" t="str">
        <f aca="false">IFERROR(INDEX(종합!H$3:H$501,MATCH(ROW()-2,종합!$AC$3:$AC$501,0))&amp;"","")</f>
        <v>291-88-01904</v>
      </c>
      <c r="I4" s="21" t="str">
        <f aca="false">IFERROR(INDEX(종합!I$3:I$501,MATCH(ROW()-2,종합!$AC$3:$AC$501,0))&amp;"","")</f>
        <v>정원기</v>
      </c>
      <c r="J4" s="21" t="str">
        <f aca="false">IFERROR(INDEX(종합!J$3:J$501,MATCH(ROW()-2,종합!$AC$3:$AC$501,0))&amp;"","")</f>
        <v>063-714-4977</v>
      </c>
      <c r="K4" s="21" t="str">
        <f aca="false">IFERROR(INDEX(종합!K$3:K$501,MATCH(ROW()-2,종합!$AC$3:$AC$501,0))&amp;"","")</f>
        <v>beeonfarm.com</v>
      </c>
      <c r="L4" s="21" t="str">
        <f aca="false">IFERROR(INDEX(종합!L$3:L$501,MATCH(ROW()-2,종합!$AC$3:$AC$501,0))&amp;"","")</f>
        <v>magiclub72@gmail.com</v>
      </c>
      <c r="M4" s="21" t="str">
        <f aca="false">IFERROR(INDEX(종합!M$3:M$501,MATCH(ROW()-2,종합!$AC$3:$AC$501,0))&amp;"","")</f>
        <v>전북 전주시 덕진구 오공로 43-32 대동빌딩 301호</v>
      </c>
      <c r="N4" s="25" t="str">
        <f aca="false">IFERROR(INDEX(종합!N$3:N$501,MATCH(ROW()-2,종합!$AC$3:$AC$501,0))&amp;"","")</f>
        <v>디지털 양봉 시스템/ GIS기반 전국 밀원분포 및 꿀벌 폐사위험 지도</v>
      </c>
      <c r="O4" s="21" t="str">
        <f aca="false">IFERROR(INDEX(종합!O$3:O$501,MATCH(ROW()-2,종합!$AC$3:$AC$501,0))&amp;"","")</f>
        <v>정원기</v>
      </c>
      <c r="P4" s="21" t="str">
        <f aca="false">IFERROR(INDEX(종합!P$3:P$501,MATCH(ROW()-2,종합!$AC$3:$AC$501,0))&amp;"","")</f>
        <v>대표</v>
      </c>
      <c r="Q4" s="21" t="str">
        <f aca="false">IFERROR(INDEX(종합!Q$3:Q$501,MATCH(ROW()-2,종합!$AC$3:$AC$501,0))&amp;"","")</f>
        <v>대표</v>
      </c>
      <c r="R4" s="21" t="str">
        <f aca="false">IFERROR(INDEX(종합!R$3:R$501,MATCH(ROW()-2,종합!$AC$3:$AC$501,0))&amp;"","")</f>
        <v>063-714-4977</v>
      </c>
      <c r="S4" s="21" t="str">
        <f aca="false">IFERROR(INDEX(종합!S$3:S$501,MATCH(ROW()-2,종합!$AC$3:$AC$501,0))&amp;"","")</f>
        <v>onfarm@onfarm.co.kr</v>
      </c>
      <c r="T4" s="21" t="str">
        <f aca="false">IFERROR(INDEX(종합!T$3:T$501,MATCH(ROW()-2,종합!$AC$3:$AC$501,0))&amp;"","")</f>
        <v>010-8760-9001</v>
      </c>
      <c r="U4" s="21" t="str">
        <f aca="false">IFERROR(INDEX(종합!U$3:U$501,MATCH(ROW()-2,종합!$AC$3:$AC$501,0))&amp;"","")</f>
        <v>김은환</v>
      </c>
      <c r="V4" s="21" t="str">
        <f aca="false">IFERROR(INDEX(종합!V$3:V$501,MATCH(ROW()-2,종합!$AC$3:$AC$501,0))&amp;"","")</f>
        <v>비온팜</v>
      </c>
      <c r="W4" s="21" t="str">
        <f aca="false">IFERROR(INDEX(종합!W$3:W$501,MATCH(ROW()-2,종합!$AC$3:$AC$501,0))&amp;"","")</f>
        <v>매니저</v>
      </c>
      <c r="X4" s="21" t="str">
        <f aca="false">IFERROR(INDEX(종합!X$3:X$501,MATCH(ROW()-2,종합!$AC$3:$AC$501,0))&amp;"","")</f>
        <v>063-714-4977</v>
      </c>
      <c r="Y4" s="21" t="str">
        <f aca="false">IFERROR(INDEX(종합!Y$3:Y$501,MATCH(ROW()-2,종합!$AC$3:$AC$501,0))&amp;"","")</f>
        <v>before00@onfarm.co.kr</v>
      </c>
      <c r="Z4" s="21" t="str">
        <f aca="false">IFERROR(INDEX(종합!Z$3:Z$501,MATCH(ROW()-2,종합!$AC$3:$AC$501,0))&amp;"","")</f>
        <v>010-5481-0716</v>
      </c>
    </row>
    <row r="5" customFormat="false" ht="22.5" hidden="false" customHeight="true" outlineLevel="0" collapsed="false">
      <c r="A5" s="18" t="n">
        <f aca="false">IF(B5="","",ROW()-2)</f>
        <v>3</v>
      </c>
      <c r="B5" s="18" t="str">
        <f aca="false">IFERROR(INDEX(종합!B$3:B$501,MATCH(ROW()-2,종합!$AC$3:$AC$501,0))&amp;"","")</f>
        <v>에스큐케이 주식회사</v>
      </c>
      <c r="C5" s="18" t="str">
        <f aca="false">IFERROR(INDEX(종합!C$3:C$501,MATCH(ROW()-2,종합!$AC$3:$AC$501,0))&amp;"","")</f>
        <v/>
      </c>
      <c r="D5" s="18" t="str">
        <f aca="false">IFERROR(INDEX(종합!D$3:D$501,MATCH(ROW()-2,종합!$AC$3:$AC$501,0))&amp;"","")</f>
        <v>O</v>
      </c>
      <c r="E5" s="18" t="str">
        <f aca="false">IFERROR(INDEX(종합!E$3:E$501,MATCH(ROW()-2,종합!$AC$3:$AC$501,0))&amp;"","")</f>
        <v/>
      </c>
      <c r="F5" s="18" t="str">
        <f aca="false">IFERROR(INDEX(종합!F$3:F$501,MATCH(ROW()-2,종합!$AC$3:$AC$501,0))&amp;"","")</f>
        <v/>
      </c>
      <c r="G5" s="18" t="str">
        <f aca="false">IFERROR(INDEX(종합!G$3:G$501,MATCH(ROW()-2,종합!$AC$3:$AC$501,0))&amp;"","")</f>
        <v>중소기업</v>
      </c>
      <c r="H5" s="21" t="str">
        <f aca="false">IFERROR(INDEX(종합!H$3:H$501,MATCH(ROW()-2,종합!$AC$3:$AC$501,0))&amp;"","")</f>
        <v>316-87-02767</v>
      </c>
      <c r="I5" s="21" t="str">
        <f aca="false">IFERROR(INDEX(종합!I$3:I$501,MATCH(ROW()-2,종합!$AC$3:$AC$501,0))&amp;"","")</f>
        <v>손영제</v>
      </c>
      <c r="J5" s="21" t="str">
        <f aca="false">IFERROR(INDEX(종합!J$3:J$501,MATCH(ROW()-2,종합!$AC$3:$AC$501,0))&amp;"","")</f>
        <v>010-2989-1979</v>
      </c>
      <c r="K5" s="21" t="str">
        <f aca="false">IFERROR(INDEX(종합!K$3:K$501,MATCH(ROW()-2,종합!$AC$3:$AC$501,0))&amp;"","")</f>
        <v>www.sqkcloud.com</v>
      </c>
      <c r="L5" s="21" t="str">
        <f aca="false">IFERROR(INDEX(종합!L$3:L$501,MATCH(ROW()-2,종합!$AC$3:$AC$501,0))&amp;"","")</f>
        <v>branki@gmail.com</v>
      </c>
      <c r="M5" s="21" t="str">
        <f aca="false">IFERROR(INDEX(종합!M$3:M$501,MATCH(ROW()-2,종합!$AC$3:$AC$501,0))&amp;"","")</f>
        <v>서울시 강서구 마곡중앙8로 14</v>
      </c>
      <c r="N5" s="25" t="str">
        <f aca="false">IFERROR(INDEX(종합!N$3:N$501,MATCH(ROW()-2,종합!$AC$3:$AC$501,0))&amp;"","")</f>
        <v>AI 모델 리파인먼트 &amp; 파인튜닝</v>
      </c>
      <c r="O5" s="21" t="str">
        <f aca="false">IFERROR(INDEX(종합!O$3:O$501,MATCH(ROW()-2,종합!$AC$3:$AC$501,0))&amp;"","")</f>
        <v>손영제</v>
      </c>
      <c r="P5" s="21" t="str">
        <f aca="false">IFERROR(INDEX(종합!P$3:P$501,MATCH(ROW()-2,종합!$AC$3:$AC$501,0))&amp;"","")</f>
        <v>연구소</v>
      </c>
      <c r="Q5" s="21" t="str">
        <f aca="false">IFERROR(INDEX(종합!Q$3:Q$501,MATCH(ROW()-2,종합!$AC$3:$AC$501,0))&amp;"","")</f>
        <v>대표</v>
      </c>
      <c r="R5" s="21" t="str">
        <f aca="false">IFERROR(INDEX(종합!R$3:R$501,MATCH(ROW()-2,종합!$AC$3:$AC$501,0))&amp;"","")</f>
        <v>010-2989-1979</v>
      </c>
      <c r="S5" s="21" t="str">
        <f aca="false">IFERROR(INDEX(종합!S$3:S$501,MATCH(ROW()-2,종합!$AC$3:$AC$501,0))&amp;"","")</f>
        <v>branki@sqkcloud.com</v>
      </c>
      <c r="T5" s="21" t="str">
        <f aca="false">IFERROR(INDEX(종합!T$3:T$501,MATCH(ROW()-2,종합!$AC$3:$AC$501,0))&amp;"","")</f>
        <v>010-2989-1979</v>
      </c>
      <c r="U5" s="21" t="str">
        <f aca="false">IFERROR(INDEX(종합!U$3:U$501,MATCH(ROW()-2,종합!$AC$3:$AC$501,0))&amp;"","")</f>
        <v>손영제</v>
      </c>
      <c r="V5" s="21" t="str">
        <f aca="false">IFERROR(INDEX(종합!V$3:V$501,MATCH(ROW()-2,종합!$AC$3:$AC$501,0))&amp;"","")</f>
        <v>연구소</v>
      </c>
      <c r="W5" s="21" t="str">
        <f aca="false">IFERROR(INDEX(종합!W$3:W$501,MATCH(ROW()-2,종합!$AC$3:$AC$501,0))&amp;"","")</f>
        <v>대표</v>
      </c>
      <c r="X5" s="21" t="str">
        <f aca="false">IFERROR(INDEX(종합!X$3:X$501,MATCH(ROW()-2,종합!$AC$3:$AC$501,0))&amp;"","")</f>
        <v>010-2989-1979</v>
      </c>
      <c r="Y5" s="21" t="str">
        <f aca="false">IFERROR(INDEX(종합!Y$3:Y$501,MATCH(ROW()-2,종합!$AC$3:$AC$501,0))&amp;"","")</f>
        <v>branki@sqkcloud.com</v>
      </c>
      <c r="Z5" s="21" t="str">
        <f aca="false">IFERROR(INDEX(종합!Z$3:Z$501,MATCH(ROW()-2,종합!$AC$3:$AC$501,0))&amp;"","")</f>
        <v>010-2989-1979</v>
      </c>
    </row>
    <row r="6" customFormat="false" ht="22.5" hidden="false" customHeight="true" outlineLevel="0" collapsed="false">
      <c r="A6" s="18" t="n">
        <f aca="false">IF(B6="","",ROW()-2)</f>
        <v>4</v>
      </c>
      <c r="B6" s="18" t="str">
        <f aca="false">IFERROR(INDEX(종합!B$3:B$501,MATCH(ROW()-2,종합!$AC$3:$AC$501,0))&amp;"","")</f>
        <v>맨인블록 주식회사</v>
      </c>
      <c r="C6" s="18" t="str">
        <f aca="false">IFERROR(INDEX(종합!C$3:C$501,MATCH(ROW()-2,종합!$AC$3:$AC$501,0))&amp;"","")</f>
        <v/>
      </c>
      <c r="D6" s="18" t="str">
        <f aca="false">IFERROR(INDEX(종합!D$3:D$501,MATCH(ROW()-2,종합!$AC$3:$AC$501,0))&amp;"","")</f>
        <v>O</v>
      </c>
      <c r="E6" s="18" t="str">
        <f aca="false">IFERROR(INDEX(종합!E$3:E$501,MATCH(ROW()-2,종합!$AC$3:$AC$501,0))&amp;"","")</f>
        <v/>
      </c>
      <c r="F6" s="18" t="str">
        <f aca="false">IFERROR(INDEX(종합!F$3:F$501,MATCH(ROW()-2,종합!$AC$3:$AC$501,0))&amp;"","")</f>
        <v/>
      </c>
      <c r="G6" s="18" t="str">
        <f aca="false">IFERROR(INDEX(종합!G$3:G$501,MATCH(ROW()-2,종합!$AC$3:$AC$501,0))&amp;"","")</f>
        <v>중소기업</v>
      </c>
      <c r="H6" s="21" t="str">
        <f aca="false">IFERROR(INDEX(종합!H$3:H$501,MATCH(ROW()-2,종합!$AC$3:$AC$501,0))&amp;"","")</f>
        <v>731-86-02727</v>
      </c>
      <c r="I6" s="21" t="str">
        <f aca="false">IFERROR(INDEX(종합!I$3:I$501,MATCH(ROW()-2,종합!$AC$3:$AC$501,0))&amp;"","")</f>
        <v>박종형</v>
      </c>
      <c r="J6" s="21" t="str">
        <f aca="false">IFERROR(INDEX(종합!J$3:J$501,MATCH(ROW()-2,종합!$AC$3:$AC$501,0))&amp;"","")</f>
        <v>070-4012-1591</v>
      </c>
      <c r="K6" s="21" t="str">
        <f aca="false">IFERROR(INDEX(종합!K$3:K$501,MATCH(ROW()-2,종합!$AC$3:$AC$501,0))&amp;"","")</f>
        <v>www.meninblox.com</v>
      </c>
      <c r="L6" s="21" t="str">
        <f aca="false">IFERROR(INDEX(종합!L$3:L$501,MATCH(ROW()-2,종합!$AC$3:$AC$501,0))&amp;"","")</f>
        <v>azuspark@gmail.com</v>
      </c>
      <c r="M6" s="21" t="str">
        <f aca="false">IFERROR(INDEX(종합!M$3:M$501,MATCH(ROW()-2,종합!$AC$3:$AC$501,0))&amp;"","")</f>
        <v>광주광역시 북구 첨단과기로 339, 2층 214호</v>
      </c>
      <c r="N6" s="25" t="str">
        <f aca="false">IFERROR(INDEX(종합!N$3:N$501,MATCH(ROW()-2,종합!$AC$3:$AC$501,0))&amp;"","")</f>
        <v>의료, 헬스케어</v>
      </c>
      <c r="O6" s="21" t="str">
        <f aca="false">IFERROR(INDEX(종합!O$3:O$501,MATCH(ROW()-2,종합!$AC$3:$AC$501,0))&amp;"","")</f>
        <v>박종형</v>
      </c>
      <c r="P6" s="21" t="str">
        <f aca="false">IFERROR(INDEX(종합!P$3:P$501,MATCH(ROW()-2,종합!$AC$3:$AC$501,0))&amp;"","")</f>
        <v>개발실</v>
      </c>
      <c r="Q6" s="21" t="str">
        <f aca="false">IFERROR(INDEX(종합!Q$3:Q$501,MATCH(ROW()-2,종합!$AC$3:$AC$501,0))&amp;"","")</f>
        <v>대표이사</v>
      </c>
      <c r="R6" s="21" t="str">
        <f aca="false">IFERROR(INDEX(종합!R$3:R$501,MATCH(ROW()-2,종합!$AC$3:$AC$501,0))&amp;"","")</f>
        <v>070-4012-1591</v>
      </c>
      <c r="S6" s="21" t="str">
        <f aca="false">IFERROR(INDEX(종합!S$3:S$501,MATCH(ROW()-2,종합!$AC$3:$AC$501,0))&amp;"","")</f>
        <v>benjamin@meninblox.com</v>
      </c>
      <c r="T6" s="21" t="str">
        <f aca="false">IFERROR(INDEX(종합!T$3:T$501,MATCH(ROW()-2,종합!$AC$3:$AC$501,0))&amp;"","")</f>
        <v>010-2474-4797</v>
      </c>
      <c r="U6" s="21" t="str">
        <f aca="false">IFERROR(INDEX(종합!U$3:U$501,MATCH(ROW()-2,종합!$AC$3:$AC$501,0))&amp;"","")</f>
        <v>김은실</v>
      </c>
      <c r="V6" s="21" t="str">
        <f aca="false">IFERROR(INDEX(종합!V$3:V$501,MATCH(ROW()-2,종합!$AC$3:$AC$501,0))&amp;"","")</f>
        <v>경영젼략실</v>
      </c>
      <c r="W6" s="21" t="str">
        <f aca="false">IFERROR(INDEX(종합!W$3:W$501,MATCH(ROW()-2,종합!$AC$3:$AC$501,0))&amp;"","")</f>
        <v>이사</v>
      </c>
      <c r="X6" s="21" t="str">
        <f aca="false">IFERROR(INDEX(종합!X$3:X$501,MATCH(ROW()-2,종합!$AC$3:$AC$501,0))&amp;"","")</f>
        <v>070-4012-1591</v>
      </c>
      <c r="Y6" s="21" t="str">
        <f aca="false">IFERROR(INDEX(종합!Y$3:Y$501,MATCH(ROW()-2,종합!$AC$3:$AC$501,0))&amp;"","")</f>
        <v>lucy@meninblox.com</v>
      </c>
      <c r="Z6" s="21" t="str">
        <f aca="false">IFERROR(INDEX(종합!Z$3:Z$501,MATCH(ROW()-2,종합!$AC$3:$AC$501,0))&amp;"","")</f>
        <v>010-9371-4756</v>
      </c>
    </row>
    <row r="7" customFormat="false" ht="33.75" hidden="false" customHeight="true" outlineLevel="0" collapsed="false">
      <c r="A7" s="18" t="n">
        <f aca="false">IF(B7="","",ROW()-2)</f>
        <v>5</v>
      </c>
      <c r="B7" s="18" t="str">
        <f aca="false">IFERROR(INDEX(종합!B$3:B$501,MATCH(ROW()-2,종합!$AC$3:$AC$501,0))&amp;"","")</f>
        <v>주식회사 에스에이티정보</v>
      </c>
      <c r="C7" s="18" t="str">
        <f aca="false">IFERROR(INDEX(종합!C$3:C$501,MATCH(ROW()-2,종합!$AC$3:$AC$501,0))&amp;"","")</f>
        <v/>
      </c>
      <c r="D7" s="18" t="str">
        <f aca="false">IFERROR(INDEX(종합!D$3:D$501,MATCH(ROW()-2,종합!$AC$3:$AC$501,0))&amp;"","")</f>
        <v>O</v>
      </c>
      <c r="E7" s="18" t="str">
        <f aca="false">IFERROR(INDEX(종합!E$3:E$501,MATCH(ROW()-2,종합!$AC$3:$AC$501,0))&amp;"","")</f>
        <v/>
      </c>
      <c r="F7" s="18" t="str">
        <f aca="false">IFERROR(INDEX(종합!F$3:F$501,MATCH(ROW()-2,종합!$AC$3:$AC$501,0))&amp;"","")</f>
        <v/>
      </c>
      <c r="G7" s="18" t="str">
        <f aca="false">IFERROR(INDEX(종합!G$3:G$501,MATCH(ROW()-2,종합!$AC$3:$AC$501,0))&amp;"","")</f>
        <v>중소기업</v>
      </c>
      <c r="H7" s="21" t="str">
        <f aca="false">IFERROR(INDEX(종합!H$3:H$501,MATCH(ROW()-2,종합!$AC$3:$AC$501,0))&amp;"","")</f>
        <v>119-86-26690</v>
      </c>
      <c r="I7" s="21" t="str">
        <f aca="false">IFERROR(INDEX(종합!I$3:I$501,MATCH(ROW()-2,종합!$AC$3:$AC$501,0))&amp;"","")</f>
        <v>오세용</v>
      </c>
      <c r="J7" s="21" t="str">
        <f aca="false">IFERROR(INDEX(종합!J$3:J$501,MATCH(ROW()-2,종합!$AC$3:$AC$501,0))&amp;"","")</f>
        <v>010-9005-5197</v>
      </c>
      <c r="K7" s="21" t="str">
        <f aca="false">IFERROR(INDEX(종합!K$3:K$501,MATCH(ROW()-2,종합!$AC$3:$AC$501,0))&amp;"","")</f>
        <v>www.satu.co.kr</v>
      </c>
      <c r="L7" s="21" t="str">
        <f aca="false">IFERROR(INDEX(종합!L$3:L$501,MATCH(ROW()-2,종합!$AC$3:$AC$501,0))&amp;"","")</f>
        <v>a90055197@gmail.com</v>
      </c>
      <c r="M7" s="21" t="str">
        <f aca="false">IFERROR(INDEX(종합!M$3:M$501,MATCH(ROW()-2,종합!$AC$3:$AC$501,0))&amp;"","")</f>
        <v>서울 구로구 디지털로 30길 28, 마리오타워 1401호</v>
      </c>
      <c r="N7" s="25" t="str">
        <f aca="false">IFERROR(INDEX(종합!N$3:N$501,MATCH(ROW()-2,종합!$AC$3:$AC$501,0))&amp;"","")</f>
        <v>문서 전처리(정제) 솔루션, 개인정보 비식별솔루션, RAG 플랫폼 등</v>
      </c>
      <c r="O7" s="21" t="str">
        <f aca="false">IFERROR(INDEX(종합!O$3:O$501,MATCH(ROW()-2,종합!$AC$3:$AC$501,0))&amp;"","")</f>
        <v>오세용</v>
      </c>
      <c r="P7" s="21" t="str">
        <f aca="false">IFERROR(INDEX(종합!P$3:P$501,MATCH(ROW()-2,종합!$AC$3:$AC$501,0))&amp;"","")</f>
        <v>경영</v>
      </c>
      <c r="Q7" s="21" t="str">
        <f aca="false">IFERROR(INDEX(종합!Q$3:Q$501,MATCH(ROW()-2,종합!$AC$3:$AC$501,0))&amp;"","")</f>
        <v>대표</v>
      </c>
      <c r="R7" s="21" t="str">
        <f aca="false">IFERROR(INDEX(종합!R$3:R$501,MATCH(ROW()-2,종합!$AC$3:$AC$501,0))&amp;"","")</f>
        <v>02-857-3051</v>
      </c>
      <c r="S7" s="21" t="str">
        <f aca="false">IFERROR(INDEX(종합!S$3:S$501,MATCH(ROW()-2,종합!$AC$3:$AC$501,0))&amp;"","")</f>
        <v>ohsy@satu.co.kr</v>
      </c>
      <c r="T7" s="21" t="str">
        <f aca="false">IFERROR(INDEX(종합!T$3:T$501,MATCH(ROW()-2,종합!$AC$3:$AC$501,0))&amp;"","")</f>
        <v>010-9005-5197</v>
      </c>
      <c r="U7" s="21" t="str">
        <f aca="false">IFERROR(INDEX(종합!U$3:U$501,MATCH(ROW()-2,종합!$AC$3:$AC$501,0))&amp;"","")</f>
        <v>오세용</v>
      </c>
      <c r="V7" s="21" t="str">
        <f aca="false">IFERROR(INDEX(종합!V$3:V$501,MATCH(ROW()-2,종합!$AC$3:$AC$501,0))&amp;"","")</f>
        <v>경영</v>
      </c>
      <c r="W7" s="21" t="str">
        <f aca="false">IFERROR(INDEX(종합!W$3:W$501,MATCH(ROW()-2,종합!$AC$3:$AC$501,0))&amp;"","")</f>
        <v>대표</v>
      </c>
      <c r="X7" s="21" t="str">
        <f aca="false">IFERROR(INDEX(종합!X$3:X$501,MATCH(ROW()-2,종합!$AC$3:$AC$501,0))&amp;"","")</f>
        <v>02-857-3051</v>
      </c>
      <c r="Y7" s="21" t="str">
        <f aca="false">IFERROR(INDEX(종합!Y$3:Y$501,MATCH(ROW()-2,종합!$AC$3:$AC$501,0))&amp;"","")</f>
        <v>ohsy@satu.co.kr</v>
      </c>
      <c r="Z7" s="21" t="str">
        <f aca="false">IFERROR(INDEX(종합!Z$3:Z$501,MATCH(ROW()-2,종합!$AC$3:$AC$501,0))&amp;"","")</f>
        <v>010-9005-5197</v>
      </c>
    </row>
    <row r="8" customFormat="false" ht="22.5" hidden="false" customHeight="true" outlineLevel="0" collapsed="false">
      <c r="A8" s="18" t="n">
        <f aca="false">IF(B8="","",ROW()-2)</f>
        <v>6</v>
      </c>
      <c r="B8" s="18" t="str">
        <f aca="false">IFERROR(INDEX(종합!B$3:B$501,MATCH(ROW()-2,종합!$AC$3:$AC$501,0))&amp;"","")</f>
        <v>주식회사 씨에스리</v>
      </c>
      <c r="C8" s="18" t="str">
        <f aca="false">IFERROR(INDEX(종합!C$3:C$501,MATCH(ROW()-2,종합!$AC$3:$AC$501,0))&amp;"","")</f>
        <v/>
      </c>
      <c r="D8" s="18" t="str">
        <f aca="false">IFERROR(INDEX(종합!D$3:D$501,MATCH(ROW()-2,종합!$AC$3:$AC$501,0))&amp;"","")</f>
        <v>O</v>
      </c>
      <c r="E8" s="18" t="str">
        <f aca="false">IFERROR(INDEX(종합!E$3:E$501,MATCH(ROW()-2,종합!$AC$3:$AC$501,0))&amp;"","")</f>
        <v/>
      </c>
      <c r="F8" s="18" t="str">
        <f aca="false">IFERROR(INDEX(종합!F$3:F$501,MATCH(ROW()-2,종합!$AC$3:$AC$501,0))&amp;"","")</f>
        <v/>
      </c>
      <c r="G8" s="18" t="str">
        <f aca="false">IFERROR(INDEX(종합!G$3:G$501,MATCH(ROW()-2,종합!$AC$3:$AC$501,0))&amp;"","")</f>
        <v>중소기업</v>
      </c>
      <c r="H8" s="21" t="str">
        <f aca="false">IFERROR(INDEX(종합!H$3:H$501,MATCH(ROW()-2,종합!$AC$3:$AC$501,0))&amp;"","")</f>
        <v>105-87-86298</v>
      </c>
      <c r="I8" s="21" t="str">
        <f aca="false">IFERROR(INDEX(종합!I$3:I$501,MATCH(ROW()-2,종합!$AC$3:$AC$501,0))&amp;"","")</f>
        <v>이춘식</v>
      </c>
      <c r="J8" s="21" t="str">
        <f aca="false">IFERROR(INDEX(종합!J$3:J$501,MATCH(ROW()-2,종합!$AC$3:$AC$501,0))&amp;"","")</f>
        <v>02-307-0182</v>
      </c>
      <c r="K8" s="21" t="str">
        <f aca="false">IFERROR(INDEX(종합!K$3:K$501,MATCH(ROW()-2,종합!$AC$3:$AC$501,0))&amp;"","")</f>
        <v>www.cslee.co.kr</v>
      </c>
      <c r="L8" s="21" t="str">
        <f aca="false">IFERROR(INDEX(종합!L$3:L$501,MATCH(ROW()-2,종합!$AC$3:$AC$501,0))&amp;"","")</f>
        <v>brightenhome@gmail.com</v>
      </c>
      <c r="M8" s="21" t="str">
        <f aca="false">IFERROR(INDEX(종합!M$3:M$501,MATCH(ROW()-2,종합!$AC$3:$AC$501,0))&amp;"","")</f>
        <v>서울특별시 마포구 월드컵북로 396 누리꿈스퀘어 비즈니스타워 8층</v>
      </c>
      <c r="N8" s="25" t="str">
        <f aca="false">IFERROR(INDEX(종합!N$3:N$501,MATCH(ROW()-2,종합!$AC$3:$AC$501,0))&amp;"","")</f>
        <v>생성형 AI, 제조AI, RAG, CSMinwon, CSAufit, CSAIQ, CSBuzz</v>
      </c>
      <c r="O8" s="21" t="str">
        <f aca="false">IFERROR(INDEX(종합!O$3:O$501,MATCH(ROW()-2,종합!$AC$3:$AC$501,0))&amp;"","")</f>
        <v>윤희우</v>
      </c>
      <c r="P8" s="21" t="str">
        <f aca="false">IFERROR(INDEX(종합!P$3:P$501,MATCH(ROW()-2,종합!$AC$3:$AC$501,0))&amp;"","")</f>
        <v>AX사업부문</v>
      </c>
      <c r="Q8" s="21" t="str">
        <f aca="false">IFERROR(INDEX(종합!Q$3:Q$501,MATCH(ROW()-2,종합!$AC$3:$AC$501,0))&amp;"","")</f>
        <v>이사/부문장</v>
      </c>
      <c r="R8" s="21" t="str">
        <f aca="false">IFERROR(INDEX(종합!R$3:R$501,MATCH(ROW()-2,종합!$AC$3:$AC$501,0))&amp;"","")</f>
        <v>010-5645-9912</v>
      </c>
      <c r="S8" s="21" t="str">
        <f aca="false">IFERROR(INDEX(종합!S$3:S$501,MATCH(ROW()-2,종합!$AC$3:$AC$501,0))&amp;"","")</f>
        <v>hwyoon@cslee.co.kr</v>
      </c>
      <c r="T8" s="21" t="str">
        <f aca="false">IFERROR(INDEX(종합!T$3:T$501,MATCH(ROW()-2,종합!$AC$3:$AC$501,0))&amp;"","")</f>
        <v>010-5645-9912</v>
      </c>
      <c r="U8" s="21" t="str">
        <f aca="false">IFERROR(INDEX(종합!U$3:U$501,MATCH(ROW()-2,종합!$AC$3:$AC$501,0))&amp;"","")</f>
        <v>정두현</v>
      </c>
      <c r="V8" s="21" t="str">
        <f aca="false">IFERROR(INDEX(종합!V$3:V$501,MATCH(ROW()-2,종합!$AC$3:$AC$501,0))&amp;"","")</f>
        <v>AIOps사업부</v>
      </c>
      <c r="W8" s="21" t="str">
        <f aca="false">IFERROR(INDEX(종합!W$3:W$501,MATCH(ROW()-2,종합!$AC$3:$AC$501,0))&amp;"","")</f>
        <v>기술이사/사업부장</v>
      </c>
      <c r="X8" s="21" t="str">
        <f aca="false">IFERROR(INDEX(종합!X$3:X$501,MATCH(ROW()-2,종합!$AC$3:$AC$501,0))&amp;"","")</f>
        <v>02-6356-4608</v>
      </c>
      <c r="Y8" s="21" t="str">
        <f aca="false">IFERROR(INDEX(종합!Y$3:Y$501,MATCH(ROW()-2,종합!$AC$3:$AC$501,0))&amp;"","")</f>
        <v>chungpe@cslee.co.kr</v>
      </c>
      <c r="Z8" s="21" t="str">
        <f aca="false">IFERROR(INDEX(종합!Z$3:Z$501,MATCH(ROW()-2,종합!$AC$3:$AC$501,0))&amp;"","")</f>
        <v>010-7362-6878</v>
      </c>
    </row>
    <row r="9" customFormat="false" ht="33.75" hidden="false" customHeight="true" outlineLevel="0" collapsed="false">
      <c r="A9" s="18" t="n">
        <f aca="false">IF(B9="","",ROW()-2)</f>
        <v>7</v>
      </c>
      <c r="B9" s="18" t="str">
        <f aca="false">IFERROR(INDEX(종합!B$3:B$501,MATCH(ROW()-2,종합!$AC$3:$AC$501,0))&amp;"","")</f>
        <v>(주)사이냅소프트</v>
      </c>
      <c r="C9" s="18" t="str">
        <f aca="false">IFERROR(INDEX(종합!C$3:C$501,MATCH(ROW()-2,종합!$AC$3:$AC$501,0))&amp;"","")</f>
        <v/>
      </c>
      <c r="D9" s="18" t="str">
        <f aca="false">IFERROR(INDEX(종합!D$3:D$501,MATCH(ROW()-2,종합!$AC$3:$AC$501,0))&amp;"","")</f>
        <v>O</v>
      </c>
      <c r="E9" s="18" t="str">
        <f aca="false">IFERROR(INDEX(종합!E$3:E$501,MATCH(ROW()-2,종합!$AC$3:$AC$501,0))&amp;"","")</f>
        <v>O</v>
      </c>
      <c r="F9" s="18" t="str">
        <f aca="false">IFERROR(INDEX(종합!F$3:F$501,MATCH(ROW()-2,종합!$AC$3:$AC$501,0))&amp;"","")</f>
        <v/>
      </c>
      <c r="G9" s="18" t="str">
        <f aca="false">IFERROR(INDEX(종합!G$3:G$501,MATCH(ROW()-2,종합!$AC$3:$AC$501,0))&amp;"","")</f>
        <v>중소기업</v>
      </c>
      <c r="H9" s="21" t="str">
        <f aca="false">IFERROR(INDEX(종합!H$3:H$501,MATCH(ROW()-2,종합!$AC$3:$AC$501,0))&amp;"","")</f>
        <v>214-86-64984</v>
      </c>
      <c r="I9" s="21" t="str">
        <f aca="false">IFERROR(INDEX(종합!I$3:I$501,MATCH(ROW()-2,종합!$AC$3:$AC$501,0))&amp;"","")</f>
        <v>전경헌</v>
      </c>
      <c r="J9" s="21" t="str">
        <f aca="false">IFERROR(INDEX(종합!J$3:J$501,MATCH(ROW()-2,종합!$AC$3:$AC$501,0))&amp;"","")</f>
        <v>02-2039-3780</v>
      </c>
      <c r="K9" s="21" t="str">
        <f aca="false">IFERROR(INDEX(종합!K$3:K$501,MATCH(ROW()-2,종합!$AC$3:$AC$501,0))&amp;"","")</f>
        <v>https://www.synapsoft.co.kr/</v>
      </c>
      <c r="L9" s="21" t="str">
        <f aca="false">IFERROR(INDEX(종합!L$3:L$501,MATCH(ROW()-2,종합!$AC$3:$AC$501,0))&amp;"","")</f>
        <v>synapsoft@gmail.com</v>
      </c>
      <c r="M9" s="21" t="str">
        <f aca="false">IFERROR(INDEX(종합!M$3:M$501,MATCH(ROW()-2,종합!$AC$3:$AC$501,0))&amp;"","")</f>
        <v>서울 강서구 마곡중앙4로 62 사이냅소프트</v>
      </c>
      <c r="N9" s="25" t="str">
        <f aca="false">IFERROR(INDEX(종합!N$3:N$501,MATCH(ROW()-2,종합!$AC$3:$AC$501,0))&amp;"","")</f>
        <v>사이냅 어시스턴트, 사이냅 도큐애널라이저 , 사이냅 OCR, 보이스애널라이저 등</v>
      </c>
      <c r="O9" s="21" t="str">
        <f aca="false">IFERROR(INDEX(종합!O$3:O$501,MATCH(ROW()-2,종합!$AC$3:$AC$501,0))&amp;"","")</f>
        <v>정진남</v>
      </c>
      <c r="P9" s="21" t="str">
        <f aca="false">IFERROR(INDEX(종합!P$3:P$501,MATCH(ROW()-2,종합!$AC$3:$AC$501,0))&amp;"","")</f>
        <v>공공영업팀</v>
      </c>
      <c r="Q9" s="21" t="str">
        <f aca="false">IFERROR(INDEX(종합!Q$3:Q$501,MATCH(ROW()-2,종합!$AC$3:$AC$501,0))&amp;"","")</f>
        <v>이사</v>
      </c>
      <c r="R9" s="21" t="str">
        <f aca="false">IFERROR(INDEX(종합!R$3:R$501,MATCH(ROW()-2,종합!$AC$3:$AC$501,0))&amp;"","")</f>
        <v>010-8759-7923</v>
      </c>
      <c r="S9" s="21" t="str">
        <f aca="false">IFERROR(INDEX(종합!S$3:S$501,MATCH(ROW()-2,종합!$AC$3:$AC$501,0))&amp;"","")</f>
        <v>jjn0802@synapsoft.co.kr</v>
      </c>
      <c r="T9" s="21" t="str">
        <f aca="false">IFERROR(INDEX(종합!T$3:T$501,MATCH(ROW()-2,종합!$AC$3:$AC$501,0))&amp;"","")</f>
        <v>010-8759-7923</v>
      </c>
      <c r="U9" s="21" t="str">
        <f aca="false">IFERROR(INDEX(종합!U$3:U$501,MATCH(ROW()-2,종합!$AC$3:$AC$501,0))&amp;"","")</f>
        <v>김윤서</v>
      </c>
      <c r="V9" s="21" t="str">
        <f aca="false">IFERROR(INDEX(종합!V$3:V$501,MATCH(ROW()-2,종합!$AC$3:$AC$501,0))&amp;"","")</f>
        <v>마케팅</v>
      </c>
      <c r="W9" s="21" t="str">
        <f aca="false">IFERROR(INDEX(종합!W$3:W$501,MATCH(ROW()-2,종합!$AC$3:$AC$501,0))&amp;"","")</f>
        <v>사원</v>
      </c>
      <c r="X9" s="21" t="str">
        <f aca="false">IFERROR(INDEX(종합!X$3:X$501,MATCH(ROW()-2,종합!$AC$3:$AC$501,0))&amp;"","")</f>
        <v>010-3012-9110</v>
      </c>
      <c r="Y9" s="21" t="str">
        <f aca="false">IFERROR(INDEX(종합!Y$3:Y$501,MATCH(ROW()-2,종합!$AC$3:$AC$501,0))&amp;"","")</f>
        <v>rdyun25@synapsoft.co.kr</v>
      </c>
      <c r="Z9" s="21" t="str">
        <f aca="false">IFERROR(INDEX(종합!Z$3:Z$501,MATCH(ROW()-2,종합!$AC$3:$AC$501,0))&amp;"","")</f>
        <v>010-3012-9110</v>
      </c>
    </row>
    <row r="10" customFormat="false" ht="22.5" hidden="false" customHeight="true" outlineLevel="0" collapsed="false">
      <c r="A10" s="18" t="n">
        <f aca="false">IF(B10="","",ROW()-2)</f>
        <v>8</v>
      </c>
      <c r="B10" s="18" t="str">
        <f aca="false">IFERROR(INDEX(종합!B$3:B$501,MATCH(ROW()-2,종합!$AC$3:$AC$501,0))&amp;"","")</f>
        <v>주식회사 데이터누리</v>
      </c>
      <c r="C10" s="18" t="str">
        <f aca="false">IFERROR(INDEX(종합!C$3:C$501,MATCH(ROW()-2,종합!$AC$3:$AC$501,0))&amp;"","")</f>
        <v/>
      </c>
      <c r="D10" s="18" t="str">
        <f aca="false">IFERROR(INDEX(종합!D$3:D$501,MATCH(ROW()-2,종합!$AC$3:$AC$501,0))&amp;"","")</f>
        <v>O</v>
      </c>
      <c r="E10" s="18" t="str">
        <f aca="false">IFERROR(INDEX(종합!E$3:E$501,MATCH(ROW()-2,종합!$AC$3:$AC$501,0))&amp;"","")</f>
        <v/>
      </c>
      <c r="F10" s="18" t="str">
        <f aca="false">IFERROR(INDEX(종합!F$3:F$501,MATCH(ROW()-2,종합!$AC$3:$AC$501,0))&amp;"","")</f>
        <v/>
      </c>
      <c r="G10" s="18" t="str">
        <f aca="false">IFERROR(INDEX(종합!G$3:G$501,MATCH(ROW()-2,종합!$AC$3:$AC$501,0))&amp;"","")</f>
        <v>중소기업</v>
      </c>
      <c r="H10" s="21" t="str">
        <f aca="false">IFERROR(INDEX(종합!H$3:H$501,MATCH(ROW()-2,종합!$AC$3:$AC$501,0))&amp;"","")</f>
        <v>199-81-01308</v>
      </c>
      <c r="I10" s="21" t="str">
        <f aca="false">IFERROR(INDEX(종합!I$3:I$501,MATCH(ROW()-2,종합!$AC$3:$AC$501,0))&amp;"","")</f>
        <v>강태원</v>
      </c>
      <c r="J10" s="21" t="str">
        <f aca="false">IFERROR(INDEX(종합!J$3:J$501,MATCH(ROW()-2,종합!$AC$3:$AC$501,0))&amp;"","")</f>
        <v>02-6953-5313</v>
      </c>
      <c r="K10" s="21" t="str">
        <f aca="false">IFERROR(INDEX(종합!K$3:K$501,MATCH(ROW()-2,종합!$AC$3:$AC$501,0))&amp;"","")</f>
        <v>www.datanuri.net</v>
      </c>
      <c r="L10" s="21" t="str">
        <f aca="false">IFERROR(INDEX(종합!L$3:L$501,MATCH(ROW()-2,종합!$AC$3:$AC$501,0))&amp;"","")</f>
        <v>naraerhee88@gmail.com</v>
      </c>
      <c r="M10" s="21" t="str">
        <f aca="false">IFERROR(INDEX(종합!M$3:M$501,MATCH(ROW()-2,종합!$AC$3:$AC$501,0))&amp;"","")</f>
        <v>서울시 강서구 마곡중앙2로 39, 호디빌딩 3층</v>
      </c>
      <c r="N10" s="25" t="str">
        <f aca="false">IFERROR(INDEX(종합!N$3:N$501,MATCH(ROW()-2,종합!$AC$3:$AC$501,0))&amp;"","")</f>
        <v>Metis DPP(Data Pipeline Platform)</v>
      </c>
      <c r="O10" s="21" t="str">
        <f aca="false">IFERROR(INDEX(종합!O$3:O$501,MATCH(ROW()-2,종합!$AC$3:$AC$501,0))&amp;"","")</f>
        <v>강태원</v>
      </c>
      <c r="P10" s="21" t="str">
        <f aca="false">IFERROR(INDEX(종합!P$3:P$501,MATCH(ROW()-2,종합!$AC$3:$AC$501,0))&amp;"","")</f>
        <v>-</v>
      </c>
      <c r="Q10" s="21" t="str">
        <f aca="false">IFERROR(INDEX(종합!Q$3:Q$501,MATCH(ROW()-2,종합!$AC$3:$AC$501,0))&amp;"","")</f>
        <v>대표이사</v>
      </c>
      <c r="R10" s="21" t="str">
        <f aca="false">IFERROR(INDEX(종합!R$3:R$501,MATCH(ROW()-2,종합!$AC$3:$AC$501,0))&amp;"","")</f>
        <v>02-6953-5017</v>
      </c>
      <c r="S10" s="21" t="str">
        <f aca="false">IFERROR(INDEX(종합!S$3:S$501,MATCH(ROW()-2,종합!$AC$3:$AC$501,0))&amp;"","")</f>
        <v>twkang@datanuri.net</v>
      </c>
      <c r="T10" s="21" t="str">
        <f aca="false">IFERROR(INDEX(종합!T$3:T$501,MATCH(ROW()-2,종합!$AC$3:$AC$501,0))&amp;"","")</f>
        <v>010-2981-5084</v>
      </c>
      <c r="U10" s="21" t="str">
        <f aca="false">IFERROR(INDEX(종합!U$3:U$501,MATCH(ROW()-2,종합!$AC$3:$AC$501,0))&amp;"","")</f>
        <v>우형제</v>
      </c>
      <c r="V10" s="21" t="str">
        <f aca="false">IFERROR(INDEX(종합!V$3:V$501,MATCH(ROW()-2,종합!$AC$3:$AC$501,0))&amp;"","")</f>
        <v>-</v>
      </c>
      <c r="W10" s="21" t="str">
        <f aca="false">IFERROR(INDEX(종합!W$3:W$501,MATCH(ROW()-2,종합!$AC$3:$AC$501,0))&amp;"","")</f>
        <v>부사장</v>
      </c>
      <c r="X10" s="21" t="str">
        <f aca="false">IFERROR(INDEX(종합!X$3:X$501,MATCH(ROW()-2,종합!$AC$3:$AC$501,0))&amp;"","")</f>
        <v>02-6953-5413</v>
      </c>
      <c r="Y10" s="21" t="str">
        <f aca="false">IFERROR(INDEX(종합!Y$3:Y$501,MATCH(ROW()-2,종합!$AC$3:$AC$501,0))&amp;"","")</f>
        <v>hjwoo@datanuri.net</v>
      </c>
      <c r="Z10" s="21" t="str">
        <f aca="false">IFERROR(INDEX(종합!Z$3:Z$501,MATCH(ROW()-2,종합!$AC$3:$AC$501,0))&amp;"","")</f>
        <v>010-6400-5413</v>
      </c>
    </row>
    <row r="11" customFormat="false" ht="22.5" hidden="false" customHeight="true" outlineLevel="0" collapsed="false">
      <c r="A11" s="18" t="n">
        <f aca="false">IF(B11="","",ROW()-2)</f>
        <v>9</v>
      </c>
      <c r="B11" s="18" t="str">
        <f aca="false">IFERROR(INDEX(종합!B$3:B$501,MATCH(ROW()-2,종합!$AC$3:$AC$501,0))&amp;"","")</f>
        <v>주식회사 와탭랩스</v>
      </c>
      <c r="C11" s="18" t="str">
        <f aca="false">IFERROR(INDEX(종합!C$3:C$501,MATCH(ROW()-2,종합!$AC$3:$AC$501,0))&amp;"","")</f>
        <v/>
      </c>
      <c r="D11" s="18" t="str">
        <f aca="false">IFERROR(INDEX(종합!D$3:D$501,MATCH(ROW()-2,종합!$AC$3:$AC$501,0))&amp;"","")</f>
        <v>O</v>
      </c>
      <c r="E11" s="18" t="str">
        <f aca="false">IFERROR(INDEX(종합!E$3:E$501,MATCH(ROW()-2,종합!$AC$3:$AC$501,0))&amp;"","")</f>
        <v/>
      </c>
      <c r="F11" s="18" t="str">
        <f aca="false">IFERROR(INDEX(종합!F$3:F$501,MATCH(ROW()-2,종합!$AC$3:$AC$501,0))&amp;"","")</f>
        <v/>
      </c>
      <c r="G11" s="18" t="str">
        <f aca="false">IFERROR(INDEX(종합!G$3:G$501,MATCH(ROW()-2,종합!$AC$3:$AC$501,0))&amp;"","")</f>
        <v>중소기업</v>
      </c>
      <c r="H11" s="21" t="str">
        <f aca="false">IFERROR(INDEX(종합!H$3:H$501,MATCH(ROW()-2,종합!$AC$3:$AC$501,0))&amp;"","")</f>
        <v>851-88-00084</v>
      </c>
      <c r="I11" s="21" t="str">
        <f aca="false">IFERROR(INDEX(종합!I$3:I$501,MATCH(ROW()-2,종합!$AC$3:$AC$501,0))&amp;"","")</f>
        <v>이동인</v>
      </c>
      <c r="J11" s="21" t="str">
        <f aca="false">IFERROR(INDEX(종합!J$3:J$501,MATCH(ROW()-2,종합!$AC$3:$AC$501,0))&amp;"","")</f>
        <v>02-565-1803</v>
      </c>
      <c r="K11" s="21" t="str">
        <f aca="false">IFERROR(INDEX(종합!K$3:K$501,MATCH(ROW()-2,종합!$AC$3:$AC$501,0))&amp;"","")</f>
        <v>https://whatap.io/ko</v>
      </c>
      <c r="L11" s="21" t="str">
        <f aca="false">IFERROR(INDEX(종합!L$3:L$501,MATCH(ROW()-2,종합!$AC$3:$AC$501,0))&amp;"","")</f>
        <v>yiseo@whatap.io</v>
      </c>
      <c r="M11" s="21" t="str">
        <f aca="false">IFERROR(INDEX(종합!M$3:M$501,MATCH(ROW()-2,종합!$AC$3:$AC$501,0))&amp;"","")</f>
        <v>서울특별시 서초구 서초대로77길 17, 13층 1303호</v>
      </c>
      <c r="N11" s="25" t="str">
        <f aca="false">IFERROR(INDEX(종합!N$3:N$501,MATCH(ROW()-2,종합!$AC$3:$AC$501,0))&amp;"","")</f>
        <v>통합 Observability 서비스</v>
      </c>
      <c r="O11" s="21" t="str">
        <f aca="false">IFERROR(INDEX(종합!O$3:O$501,MATCH(ROW()-2,종합!$AC$3:$AC$501,0))&amp;"","")</f>
        <v>서영일</v>
      </c>
      <c r="P11" s="21" t="str">
        <f aca="false">IFERROR(INDEX(종합!P$3:P$501,MATCH(ROW()-2,종합!$AC$3:$AC$501,0))&amp;"","")</f>
        <v>COO</v>
      </c>
      <c r="Q11" s="21" t="str">
        <f aca="false">IFERROR(INDEX(종합!Q$3:Q$501,MATCH(ROW()-2,종합!$AC$3:$AC$501,0))&amp;"","")</f>
        <v>COO</v>
      </c>
      <c r="R11" s="21" t="str">
        <f aca="false">IFERROR(INDEX(종합!R$3:R$501,MATCH(ROW()-2,종합!$AC$3:$AC$501,0))&amp;"","")</f>
        <v>010-3255-6480</v>
      </c>
      <c r="S11" s="21" t="str">
        <f aca="false">IFERROR(INDEX(종합!S$3:S$501,MATCH(ROW()-2,종합!$AC$3:$AC$501,0))&amp;"","")</f>
        <v>yiseo@whatap.io</v>
      </c>
      <c r="T11" s="21" t="str">
        <f aca="false">IFERROR(INDEX(종합!T$3:T$501,MATCH(ROW()-2,종합!$AC$3:$AC$501,0))&amp;"","")</f>
        <v>010-3255-6480</v>
      </c>
      <c r="U11" s="21" t="str">
        <f aca="false">IFERROR(INDEX(종합!U$3:U$501,MATCH(ROW()-2,종합!$AC$3:$AC$501,0))&amp;"","")</f>
        <v>서영일</v>
      </c>
      <c r="V11" s="21" t="str">
        <f aca="false">IFERROR(INDEX(종합!V$3:V$501,MATCH(ROW()-2,종합!$AC$3:$AC$501,0))&amp;"","")</f>
        <v>COO</v>
      </c>
      <c r="W11" s="21" t="str">
        <f aca="false">IFERROR(INDEX(종합!W$3:W$501,MATCH(ROW()-2,종합!$AC$3:$AC$501,0))&amp;"","")</f>
        <v>COO</v>
      </c>
      <c r="X11" s="21" t="str">
        <f aca="false">IFERROR(INDEX(종합!X$3:X$501,MATCH(ROW()-2,종합!$AC$3:$AC$501,0))&amp;"","")</f>
        <v>010-3255-6480</v>
      </c>
      <c r="Y11" s="21" t="str">
        <f aca="false">IFERROR(INDEX(종합!Y$3:Y$501,MATCH(ROW()-2,종합!$AC$3:$AC$501,0))&amp;"","")</f>
        <v>yiseo@whatap.io</v>
      </c>
      <c r="Z11" s="21" t="str">
        <f aca="false">IFERROR(INDEX(종합!Z$3:Z$501,MATCH(ROW()-2,종합!$AC$3:$AC$501,0))&amp;"","")</f>
        <v>010-3255-6480</v>
      </c>
    </row>
    <row r="12" customFormat="false" ht="22.5" hidden="false" customHeight="true" outlineLevel="0" collapsed="false">
      <c r="A12" s="18" t="n">
        <f aca="false">IF(B12="","",ROW()-2)</f>
        <v>10</v>
      </c>
      <c r="B12" s="18" t="str">
        <f aca="false">IFERROR(INDEX(종합!B$3:B$501,MATCH(ROW()-2,종합!$AC$3:$AC$501,0))&amp;"","")</f>
        <v>트래시스(주)</v>
      </c>
      <c r="C12" s="18" t="str">
        <f aca="false">IFERROR(INDEX(종합!C$3:C$501,MATCH(ROW()-2,종합!$AC$3:$AC$501,0))&amp;"","")</f>
        <v/>
      </c>
      <c r="D12" s="18" t="str">
        <f aca="false">IFERROR(INDEX(종합!D$3:D$501,MATCH(ROW()-2,종합!$AC$3:$AC$501,0))&amp;"","")</f>
        <v>O</v>
      </c>
      <c r="E12" s="18" t="str">
        <f aca="false">IFERROR(INDEX(종합!E$3:E$501,MATCH(ROW()-2,종합!$AC$3:$AC$501,0))&amp;"","")</f>
        <v/>
      </c>
      <c r="F12" s="18" t="str">
        <f aca="false">IFERROR(INDEX(종합!F$3:F$501,MATCH(ROW()-2,종합!$AC$3:$AC$501,0))&amp;"","")</f>
        <v/>
      </c>
      <c r="G12" s="18" t="str">
        <f aca="false">IFERROR(INDEX(종합!G$3:G$501,MATCH(ROW()-2,종합!$AC$3:$AC$501,0))&amp;"","")</f>
        <v>중소기업</v>
      </c>
      <c r="H12" s="21" t="str">
        <f aca="false">IFERROR(INDEX(종합!H$3:H$501,MATCH(ROW()-2,종합!$AC$3:$AC$501,0))&amp;"","")</f>
        <v>538-88-01948</v>
      </c>
      <c r="I12" s="21" t="str">
        <f aca="false">IFERROR(INDEX(종합!I$3:I$501,MATCH(ROW()-2,종합!$AC$3:$AC$501,0))&amp;"","")</f>
        <v>양국승</v>
      </c>
      <c r="J12" s="21" t="str">
        <f aca="false">IFERROR(INDEX(종합!J$3:J$501,MATCH(ROW()-2,종합!$AC$3:$AC$501,0))&amp;"","")</f>
        <v>062-653-5555</v>
      </c>
      <c r="K12" s="21" t="str">
        <f aca="false">IFERROR(INDEX(종합!K$3:K$501,MATCH(ROW()-2,종합!$AC$3:$AC$501,0))&amp;"","")</f>
        <v>www.trasys.net</v>
      </c>
      <c r="L12" s="21" t="str">
        <f aca="false">IFERROR(INDEX(종합!L$3:L$501,MATCH(ROW()-2,종합!$AC$3:$AC$501,0))&amp;"","")</f>
        <v>trasys21@gmail.com</v>
      </c>
      <c r="M12" s="21" t="str">
        <f aca="false">IFERROR(INDEX(종합!M$3:M$501,MATCH(ROW()-2,종합!$AC$3:$AC$501,0))&amp;"","")</f>
        <v>광주광역시 북구 오룡동 1013 AICA 302호</v>
      </c>
      <c r="N12" s="25" t="str">
        <f aca="false">IFERROR(INDEX(종합!N$3:N$501,MATCH(ROW()-2,종합!$AC$3:$AC$501,0))&amp;"","")</f>
        <v>안전+지능(위험성평가), 리;본톡(트라우마상담)</v>
      </c>
      <c r="O12" s="21" t="str">
        <f aca="false">IFERROR(INDEX(종합!O$3:O$501,MATCH(ROW()-2,종합!$AC$3:$AC$501,0))&amp;"","")</f>
        <v>양국승</v>
      </c>
      <c r="P12" s="21" t="str">
        <f aca="false">IFERROR(INDEX(종합!P$3:P$501,MATCH(ROW()-2,종합!$AC$3:$AC$501,0))&amp;"","")</f>
        <v>연구소</v>
      </c>
      <c r="Q12" s="21" t="str">
        <f aca="false">IFERROR(INDEX(종합!Q$3:Q$501,MATCH(ROW()-2,종합!$AC$3:$AC$501,0))&amp;"","")</f>
        <v>대표이사</v>
      </c>
      <c r="R12" s="21" t="str">
        <f aca="false">IFERROR(INDEX(종합!R$3:R$501,MATCH(ROW()-2,종합!$AC$3:$AC$501,0))&amp;"","")</f>
        <v>062-653-5555</v>
      </c>
      <c r="S12" s="21" t="str">
        <f aca="false">IFERROR(INDEX(종합!S$3:S$501,MATCH(ROW()-2,종합!$AC$3:$AC$501,0))&amp;"","")</f>
        <v>trasys21@nate.com</v>
      </c>
      <c r="T12" s="21" t="str">
        <f aca="false">IFERROR(INDEX(종합!T$3:T$501,MATCH(ROW()-2,종합!$AC$3:$AC$501,0))&amp;"","")</f>
        <v>010-8833-8019</v>
      </c>
      <c r="U12" s="21" t="str">
        <f aca="false">IFERROR(INDEX(종합!U$3:U$501,MATCH(ROW()-2,종합!$AC$3:$AC$501,0))&amp;"","")</f>
        <v>정재창</v>
      </c>
      <c r="V12" s="21" t="str">
        <f aca="false">IFERROR(INDEX(종합!V$3:V$501,MATCH(ROW()-2,종합!$AC$3:$AC$501,0))&amp;"","")</f>
        <v>연구소</v>
      </c>
      <c r="W12" s="21" t="str">
        <f aca="false">IFERROR(INDEX(종합!W$3:W$501,MATCH(ROW()-2,종합!$AC$3:$AC$501,0))&amp;"","")</f>
        <v>연구소장</v>
      </c>
      <c r="X12" s="21" t="str">
        <f aca="false">IFERROR(INDEX(종합!X$3:X$501,MATCH(ROW()-2,종합!$AC$3:$AC$501,0))&amp;"","")</f>
        <v>062-653-5555</v>
      </c>
      <c r="Y12" s="21" t="str">
        <f aca="false">IFERROR(INDEX(종합!Y$3:Y$501,MATCH(ROW()-2,종합!$AC$3:$AC$501,0))&amp;"","")</f>
        <v>trasys21@nate.com</v>
      </c>
      <c r="Z12" s="21" t="str">
        <f aca="false">IFERROR(INDEX(종합!Z$3:Z$501,MATCH(ROW()-2,종합!$AC$3:$AC$501,0))&amp;"","")</f>
        <v>010-9942-9247</v>
      </c>
    </row>
    <row r="13" customFormat="false" ht="22.5" hidden="false" customHeight="true" outlineLevel="0" collapsed="false">
      <c r="A13" s="18" t="n">
        <f aca="false">IF(B13="","",ROW()-2)</f>
        <v>11</v>
      </c>
      <c r="B13" s="18" t="str">
        <f aca="false">IFERROR(INDEX(종합!B$3:B$501,MATCH(ROW()-2,종합!$AC$3:$AC$501,0))&amp;"","")</f>
        <v>주식회사 케파스</v>
      </c>
      <c r="C13" s="18" t="str">
        <f aca="false">IFERROR(INDEX(종합!C$3:C$501,MATCH(ROW()-2,종합!$AC$3:$AC$501,0))&amp;"","")</f>
        <v/>
      </c>
      <c r="D13" s="18" t="str">
        <f aca="false">IFERROR(INDEX(종합!D$3:D$501,MATCH(ROW()-2,종합!$AC$3:$AC$501,0))&amp;"","")</f>
        <v>O</v>
      </c>
      <c r="E13" s="18" t="str">
        <f aca="false">IFERROR(INDEX(종합!E$3:E$501,MATCH(ROW()-2,종합!$AC$3:$AC$501,0))&amp;"","")</f>
        <v/>
      </c>
      <c r="F13" s="18" t="str">
        <f aca="false">IFERROR(INDEX(종합!F$3:F$501,MATCH(ROW()-2,종합!$AC$3:$AC$501,0))&amp;"","")</f>
        <v/>
      </c>
      <c r="G13" s="18" t="str">
        <f aca="false">IFERROR(INDEX(종합!G$3:G$501,MATCH(ROW()-2,종합!$AC$3:$AC$501,0))&amp;"","")</f>
        <v>중소기업</v>
      </c>
      <c r="H13" s="21" t="str">
        <f aca="false">IFERROR(INDEX(종합!H$3:H$501,MATCH(ROW()-2,종합!$AC$3:$AC$501,0))&amp;"","")</f>
        <v>105-87-39024</v>
      </c>
      <c r="I13" s="21" t="str">
        <f aca="false">IFERROR(INDEX(종합!I$3:I$501,MATCH(ROW()-2,종합!$AC$3:$AC$501,0))&amp;"","")</f>
        <v>주성돈</v>
      </c>
      <c r="J13" s="21" t="str">
        <f aca="false">IFERROR(INDEX(종합!J$3:J$501,MATCH(ROW()-2,종합!$AC$3:$AC$501,0))&amp;"","")</f>
        <v>010-3720-0580</v>
      </c>
      <c r="K13" s="21" t="str">
        <f aca="false">IFERROR(INDEX(종합!K$3:K$501,MATCH(ROW()-2,종합!$AC$3:$AC$501,0))&amp;"","")</f>
        <v>www.kephas.kr</v>
      </c>
      <c r="L13" s="21" t="str">
        <f aca="false">IFERROR(INDEX(종합!L$3:L$501,MATCH(ROW()-2,종합!$AC$3:$AC$501,0))&amp;"","")</f>
        <v>ksksdjoo@gmail.com</v>
      </c>
      <c r="M13" s="21" t="str">
        <f aca="false">IFERROR(INDEX(종합!M$3:M$501,MATCH(ROW()-2,종합!$AC$3:$AC$501,0))&amp;"","")</f>
        <v>강남구 논현로38길 16</v>
      </c>
      <c r="N13" s="25" t="str">
        <f aca="false">IFERROR(INDEX(종합!N$3:N$501,MATCH(ROW()-2,종합!$AC$3:$AC$501,0))&amp;"","")</f>
        <v>FAROS-AI, FAROS-IOMS</v>
      </c>
      <c r="O13" s="21" t="str">
        <f aca="false">IFERROR(INDEX(종합!O$3:O$501,MATCH(ROW()-2,종합!$AC$3:$AC$501,0))&amp;"","")</f>
        <v>주성돈</v>
      </c>
      <c r="P13" s="21" t="str">
        <f aca="false">IFERROR(INDEX(종합!P$3:P$501,MATCH(ROW()-2,종합!$AC$3:$AC$501,0))&amp;"","")</f>
        <v>경영</v>
      </c>
      <c r="Q13" s="21" t="str">
        <f aca="false">IFERROR(INDEX(종합!Q$3:Q$501,MATCH(ROW()-2,종합!$AC$3:$AC$501,0))&amp;"","")</f>
        <v>대표</v>
      </c>
      <c r="R13" s="21" t="str">
        <f aca="false">IFERROR(INDEX(종합!R$3:R$501,MATCH(ROW()-2,종합!$AC$3:$AC$501,0))&amp;"","")</f>
        <v>010-3720-0580</v>
      </c>
      <c r="S13" s="21" t="str">
        <f aca="false">IFERROR(INDEX(종합!S$3:S$501,MATCH(ROW()-2,종합!$AC$3:$AC$501,0))&amp;"","")</f>
        <v>arnoldjoo@kephas.kr</v>
      </c>
      <c r="T13" s="21" t="str">
        <f aca="false">IFERROR(INDEX(종합!T$3:T$501,MATCH(ROW()-2,종합!$AC$3:$AC$501,0))&amp;"","")</f>
        <v>010-3720-0580</v>
      </c>
      <c r="U13" s="21" t="str">
        <f aca="false">IFERROR(INDEX(종합!U$3:U$501,MATCH(ROW()-2,종합!$AC$3:$AC$501,0))&amp;"","")</f>
        <v>안광모</v>
      </c>
      <c r="V13" s="21" t="str">
        <f aca="false">IFERROR(INDEX(종합!V$3:V$501,MATCH(ROW()-2,종합!$AC$3:$AC$501,0))&amp;"","")</f>
        <v>부설연구소</v>
      </c>
      <c r="W13" s="21" t="str">
        <f aca="false">IFERROR(INDEX(종합!W$3:W$501,MATCH(ROW()-2,종합!$AC$3:$AC$501,0))&amp;"","")</f>
        <v>소장</v>
      </c>
      <c r="X13" s="21" t="str">
        <f aca="false">IFERROR(INDEX(종합!X$3:X$501,MATCH(ROW()-2,종합!$AC$3:$AC$501,0))&amp;"","")</f>
        <v>010-2439-2727</v>
      </c>
      <c r="Y13" s="21" t="str">
        <f aca="false">IFERROR(INDEX(종합!Y$3:Y$501,MATCH(ROW()-2,종합!$AC$3:$AC$501,0))&amp;"","")</f>
        <v>gmahn@kephas.kr</v>
      </c>
      <c r="Z13" s="21" t="str">
        <f aca="false">IFERROR(INDEX(종합!Z$3:Z$501,MATCH(ROW()-2,종합!$AC$3:$AC$501,0))&amp;"","")</f>
        <v>010-2439-2727</v>
      </c>
    </row>
    <row r="14" customFormat="false" ht="33.75" hidden="false" customHeight="true" outlineLevel="0" collapsed="false">
      <c r="A14" s="18" t="n">
        <f aca="false">IF(B14="","",ROW()-2)</f>
        <v>12</v>
      </c>
      <c r="B14" s="18" t="str">
        <f aca="false">IFERROR(INDEX(종합!B$3:B$501,MATCH(ROW()-2,종합!$AC$3:$AC$501,0))&amp;"","")</f>
        <v>주식회사 랭코드</v>
      </c>
      <c r="C14" s="18" t="str">
        <f aca="false">IFERROR(INDEX(종합!C$3:C$501,MATCH(ROW()-2,종합!$AC$3:$AC$501,0))&amp;"","")</f>
        <v/>
      </c>
      <c r="D14" s="18" t="str">
        <f aca="false">IFERROR(INDEX(종합!D$3:D$501,MATCH(ROW()-2,종합!$AC$3:$AC$501,0))&amp;"","")</f>
        <v>O</v>
      </c>
      <c r="E14" s="18" t="str">
        <f aca="false">IFERROR(INDEX(종합!E$3:E$501,MATCH(ROW()-2,종합!$AC$3:$AC$501,0))&amp;"","")</f>
        <v/>
      </c>
      <c r="F14" s="18" t="str">
        <f aca="false">IFERROR(INDEX(종합!F$3:F$501,MATCH(ROW()-2,종합!$AC$3:$AC$501,0))&amp;"","")</f>
        <v/>
      </c>
      <c r="G14" s="18" t="str">
        <f aca="false">IFERROR(INDEX(종합!G$3:G$501,MATCH(ROW()-2,종합!$AC$3:$AC$501,0))&amp;"","")</f>
        <v>중소기업</v>
      </c>
      <c r="H14" s="21" t="str">
        <f aca="false">IFERROR(INDEX(종합!H$3:H$501,MATCH(ROW()-2,종합!$AC$3:$AC$501,0))&amp;"","")</f>
        <v>567-81-01670</v>
      </c>
      <c r="I14" s="21" t="str">
        <f aca="false">IFERROR(INDEX(종합!I$3:I$501,MATCH(ROW()-2,종합!$AC$3:$AC$501,0))&amp;"","")</f>
        <v>김민준</v>
      </c>
      <c r="J14" s="21" t="str">
        <f aca="false">IFERROR(INDEX(종합!J$3:J$501,MATCH(ROW()-2,종합!$AC$3:$AC$501,0))&amp;"","")</f>
        <v>010-5511-4898</v>
      </c>
      <c r="K14" s="21" t="str">
        <f aca="false">IFERROR(INDEX(종합!K$3:K$501,MATCH(ROW()-2,종합!$AC$3:$AC$501,0))&amp;"","")</f>
        <v>https://langcode.io/cxp</v>
      </c>
      <c r="L14" s="21" t="str">
        <f aca="false">IFERROR(INDEX(종합!L$3:L$501,MATCH(ROW()-2,종합!$AC$3:$AC$501,0))&amp;"","")</f>
        <v>marketjustice@gmail.com</v>
      </c>
      <c r="M14" s="21" t="str">
        <f aca="false">IFERROR(INDEX(종합!M$3:M$501,MATCH(ROW()-2,종합!$AC$3:$AC$501,0))&amp;"","")</f>
        <v>서울특별시 서초구 서초대로50길 35, 8층</v>
      </c>
      <c r="N14" s="25" t="str">
        <f aca="false">IFERROR(INDEX(종합!N$3:N$501,MATCH(ROW()-2,종합!$AC$3:$AC$501,0))&amp;"","")</f>
        <v>기업용 AI 에이전트 플랫폼 및 통합 에이전트 허브 (랭코드 CXP)</v>
      </c>
      <c r="O14" s="21" t="str">
        <f aca="false">IFERROR(INDEX(종합!O$3:O$501,MATCH(ROW()-2,종합!$AC$3:$AC$501,0))&amp;"","")</f>
        <v>김민준</v>
      </c>
      <c r="P14" s="21" t="str">
        <f aca="false">IFERROR(INDEX(종합!P$3:P$501,MATCH(ROW()-2,종합!$AC$3:$AC$501,0))&amp;"","")</f>
        <v>C-Level</v>
      </c>
      <c r="Q14" s="21" t="str">
        <f aca="false">IFERROR(INDEX(종합!Q$3:Q$501,MATCH(ROW()-2,종합!$AC$3:$AC$501,0))&amp;"","")</f>
        <v>대표이사</v>
      </c>
      <c r="R14" s="21" t="str">
        <f aca="false">IFERROR(INDEX(종합!R$3:R$501,MATCH(ROW()-2,종합!$AC$3:$AC$501,0))&amp;"","")</f>
        <v>010-5511-4898</v>
      </c>
      <c r="S14" s="21" t="str">
        <f aca="false">IFERROR(INDEX(종합!S$3:S$501,MATCH(ROW()-2,종합!$AC$3:$AC$501,0))&amp;"","")</f>
        <v>admin@langcode.io</v>
      </c>
      <c r="T14" s="21" t="str">
        <f aca="false">IFERROR(INDEX(종합!T$3:T$501,MATCH(ROW()-2,종합!$AC$3:$AC$501,0))&amp;"","")</f>
        <v>010-5511-4898</v>
      </c>
      <c r="U14" s="21" t="str">
        <f aca="false">IFERROR(INDEX(종합!U$3:U$501,MATCH(ROW()-2,종합!$AC$3:$AC$501,0))&amp;"","")</f>
        <v>손준희</v>
      </c>
      <c r="V14" s="21" t="str">
        <f aca="false">IFERROR(INDEX(종합!V$3:V$501,MATCH(ROW()-2,종합!$AC$3:$AC$501,0))&amp;"","")</f>
        <v>경영관리</v>
      </c>
      <c r="W14" s="21" t="str">
        <f aca="false">IFERROR(INDEX(종합!W$3:W$501,MATCH(ROW()-2,종합!$AC$3:$AC$501,0))&amp;"","")</f>
        <v>매니저</v>
      </c>
      <c r="X14" s="21" t="str">
        <f aca="false">IFERROR(INDEX(종합!X$3:X$501,MATCH(ROW()-2,종합!$AC$3:$AC$501,0))&amp;"","")</f>
        <v>010-9555-3581</v>
      </c>
      <c r="Y14" s="21" t="str">
        <f aca="false">IFERROR(INDEX(종합!Y$3:Y$501,MATCH(ROW()-2,종합!$AC$3:$AC$501,0))&amp;"","")</f>
        <v>jhson@langcode.io</v>
      </c>
      <c r="Z14" s="21" t="str">
        <f aca="false">IFERROR(INDEX(종합!Z$3:Z$501,MATCH(ROW()-2,종합!$AC$3:$AC$501,0))&amp;"","")</f>
        <v>010-9555-3581</v>
      </c>
    </row>
    <row r="15" customFormat="false" ht="47.25" hidden="false" customHeight="true" outlineLevel="0" collapsed="false">
      <c r="A15" s="18" t="n">
        <f aca="false">IF(B15="","",ROW()-2)</f>
        <v>13</v>
      </c>
      <c r="B15" s="18" t="str">
        <f aca="false">IFERROR(INDEX(종합!B$3:B$501,MATCH(ROW()-2,종합!$AC$3:$AC$501,0))&amp;"","")</f>
        <v>주식회사 베슬에이아이코리아</v>
      </c>
      <c r="C15" s="18" t="str">
        <f aca="false">IFERROR(INDEX(종합!C$3:C$501,MATCH(ROW()-2,종합!$AC$3:$AC$501,0))&amp;"","")</f>
        <v/>
      </c>
      <c r="D15" s="18" t="str">
        <f aca="false">IFERROR(INDEX(종합!D$3:D$501,MATCH(ROW()-2,종합!$AC$3:$AC$501,0))&amp;"","")</f>
        <v>O</v>
      </c>
      <c r="E15" s="18" t="str">
        <f aca="false">IFERROR(INDEX(종합!E$3:E$501,MATCH(ROW()-2,종합!$AC$3:$AC$501,0))&amp;"","")</f>
        <v/>
      </c>
      <c r="F15" s="18" t="str">
        <f aca="false">IFERROR(INDEX(종합!F$3:F$501,MATCH(ROW()-2,종합!$AC$3:$AC$501,0))&amp;"","")</f>
        <v/>
      </c>
      <c r="G15" s="18" t="str">
        <f aca="false">IFERROR(INDEX(종합!G$3:G$501,MATCH(ROW()-2,종합!$AC$3:$AC$501,0))&amp;"","")</f>
        <v>중소기업</v>
      </c>
      <c r="H15" s="21" t="str">
        <f aca="false">IFERROR(INDEX(종합!H$3:H$501,MATCH(ROW()-2,종합!$AC$3:$AC$501,0))&amp;"","")</f>
        <v>884-81-01731</v>
      </c>
      <c r="I15" s="21" t="str">
        <f aca="false">IFERROR(INDEX(종합!I$3:I$501,MATCH(ROW()-2,종합!$AC$3:$AC$501,0))&amp;"","")</f>
        <v>안재만</v>
      </c>
      <c r="J15" s="21" t="str">
        <f aca="false">IFERROR(INDEX(종합!J$3:J$501,MATCH(ROW()-2,종합!$AC$3:$AC$501,0))&amp;"","")</f>
        <v>010-2274-3161</v>
      </c>
      <c r="K15" s="21" t="str">
        <f aca="false">IFERROR(INDEX(종합!K$3:K$501,MATCH(ROW()-2,종합!$AC$3:$AC$501,0))&amp;"","")</f>
        <v>https://vessl.ai</v>
      </c>
      <c r="L15" s="21" t="str">
        <f aca="false">IFERROR(INDEX(종합!L$3:L$501,MATCH(ROW()-2,종합!$AC$3:$AC$501,0))&amp;"","")</f>
        <v>jaden@vessl.ai</v>
      </c>
      <c r="M15" s="21" t="str">
        <f aca="false">IFERROR(INDEX(종합!M$3:M$501,MATCH(ROW()-2,종합!$AC$3:$AC$501,0))&amp;"","")</f>
        <v>서울특별시 강남구 테헤란로5길 7, 13층(KG타워)</v>
      </c>
      <c r="N15" s="25" t="str">
        <f aca="false">IFERROR(INDEX(종합!N$3:N$501,MATCH(ROW()-2,종합!$AC$3:$AC$501,0))&amp;"","")</f>
        <v>GPUaaS/Orchstration 을 메인으로 하고, AI Agent Builder를 활용한 업무용 AI Agent를 엔터프라이즈 및 공공을 대상으로 병행함.</v>
      </c>
      <c r="O15" s="21" t="str">
        <f aca="false">IFERROR(INDEX(종합!O$3:O$501,MATCH(ROW()-2,종합!$AC$3:$AC$501,0))&amp;"","")</f>
        <v>박준우</v>
      </c>
      <c r="P15" s="21" t="str">
        <f aca="false">IFERROR(INDEX(종합!P$3:P$501,MATCH(ROW()-2,종합!$AC$3:$AC$501,0))&amp;"","")</f>
        <v>사업부서</v>
      </c>
      <c r="Q15" s="21" t="str">
        <f aca="false">IFERROR(INDEX(종합!Q$3:Q$501,MATCH(ROW()-2,종합!$AC$3:$AC$501,0))&amp;"","")</f>
        <v>본부장</v>
      </c>
      <c r="R15" s="21" t="str">
        <f aca="false">IFERROR(INDEX(종합!R$3:R$501,MATCH(ROW()-2,종합!$AC$3:$AC$501,0))&amp;"","")</f>
        <v>010-9680-9607</v>
      </c>
      <c r="S15" s="21" t="str">
        <f aca="false">IFERROR(INDEX(종합!S$3:S$501,MATCH(ROW()-2,종합!$AC$3:$AC$501,0))&amp;"","")</f>
        <v>jaden@vessl.ai</v>
      </c>
      <c r="T15" s="21" t="str">
        <f aca="false">IFERROR(INDEX(종합!T$3:T$501,MATCH(ROW()-2,종합!$AC$3:$AC$501,0))&amp;"","")</f>
        <v>010-9680-9607</v>
      </c>
      <c r="U15" s="21" t="str">
        <f aca="false">IFERROR(INDEX(종합!U$3:U$501,MATCH(ROW()-2,종합!$AC$3:$AC$501,0))&amp;"","")</f>
        <v>박용규</v>
      </c>
      <c r="V15" s="21" t="str">
        <f aca="false">IFERROR(INDEX(종합!V$3:V$501,MATCH(ROW()-2,종합!$AC$3:$AC$501,0))&amp;"","")</f>
        <v>사업</v>
      </c>
      <c r="W15" s="21" t="str">
        <f aca="false">IFERROR(INDEX(종합!W$3:W$501,MATCH(ROW()-2,종합!$AC$3:$AC$501,0))&amp;"","")</f>
        <v>이사</v>
      </c>
      <c r="X15" s="21" t="str">
        <f aca="false">IFERROR(INDEX(종합!X$3:X$501,MATCH(ROW()-2,종합!$AC$3:$AC$501,0))&amp;"","")</f>
        <v>010-4095-3234</v>
      </c>
      <c r="Y15" s="21" t="str">
        <f aca="false">IFERROR(INDEX(종합!Y$3:Y$501,MATCH(ROW()-2,종합!$AC$3:$AC$501,0))&amp;"","")</f>
        <v>mark@vessl.ai</v>
      </c>
      <c r="Z15" s="21" t="str">
        <f aca="false">IFERROR(INDEX(종합!Z$3:Z$501,MATCH(ROW()-2,종합!$AC$3:$AC$501,0))&amp;"","")</f>
        <v>010-4095-3234</v>
      </c>
    </row>
    <row r="16" customFormat="false" ht="22.5" hidden="false" customHeight="true" outlineLevel="0" collapsed="false">
      <c r="A16" s="18" t="n">
        <f aca="false">IF(B16="","",ROW()-2)</f>
        <v>14</v>
      </c>
      <c r="B16" s="18" t="str">
        <f aca="false">IFERROR(INDEX(종합!B$3:B$501,MATCH(ROW()-2,종합!$AC$3:$AC$501,0))&amp;"","")</f>
        <v>(주)시즐</v>
      </c>
      <c r="C16" s="18" t="str">
        <f aca="false">IFERROR(INDEX(종합!C$3:C$501,MATCH(ROW()-2,종합!$AC$3:$AC$501,0))&amp;"","")</f>
        <v/>
      </c>
      <c r="D16" s="18" t="str">
        <f aca="false">IFERROR(INDEX(종합!D$3:D$501,MATCH(ROW()-2,종합!$AC$3:$AC$501,0))&amp;"","")</f>
        <v>O</v>
      </c>
      <c r="E16" s="18" t="str">
        <f aca="false">IFERROR(INDEX(종합!E$3:E$501,MATCH(ROW()-2,종합!$AC$3:$AC$501,0))&amp;"","")</f>
        <v/>
      </c>
      <c r="F16" s="18" t="str">
        <f aca="false">IFERROR(INDEX(종합!F$3:F$501,MATCH(ROW()-2,종합!$AC$3:$AC$501,0))&amp;"","")</f>
        <v/>
      </c>
      <c r="G16" s="18" t="str">
        <f aca="false">IFERROR(INDEX(종합!G$3:G$501,MATCH(ROW()-2,종합!$AC$3:$AC$501,0))&amp;"","")</f>
        <v>중소기업</v>
      </c>
      <c r="H16" s="21" t="str">
        <f aca="false">IFERROR(INDEX(종합!H$3:H$501,MATCH(ROW()-2,종합!$AC$3:$AC$501,0))&amp;"","")</f>
        <v>204-88-00482</v>
      </c>
      <c r="I16" s="21" t="str">
        <f aca="false">IFERROR(INDEX(종합!I$3:I$501,MATCH(ROW()-2,종합!$AC$3:$AC$501,0))&amp;"","")</f>
        <v>이지현</v>
      </c>
      <c r="J16" s="21" t="str">
        <f aca="false">IFERROR(INDEX(종합!J$3:J$501,MATCH(ROW()-2,종합!$AC$3:$AC$501,0))&amp;"","")</f>
        <v>032-458-5520</v>
      </c>
      <c r="K16" s="21" t="str">
        <f aca="false">IFERROR(INDEX(종합!K$3:K$501,MATCH(ROW()-2,종합!$AC$3:$AC$501,0))&amp;"","")</f>
        <v>www.sizl.co.kr</v>
      </c>
      <c r="L16" s="21" t="str">
        <f aca="false">IFERROR(INDEX(종합!L$3:L$501,MATCH(ROW()-2,종합!$AC$3:$AC$501,0))&amp;"","")</f>
        <v>hanmanju88@gmail.com</v>
      </c>
      <c r="M16" s="21" t="str">
        <f aca="false">IFERROR(INDEX(종합!M$3:M$501,MATCH(ROW()-2,종합!$AC$3:$AC$501,0))&amp;"","")</f>
        <v>인천광역시 연수구 갯벌로12, 미추홀타워 1804호</v>
      </c>
      <c r="N16" s="25" t="str">
        <f aca="false">IFERROR(INDEX(종합!N$3:N$501,MATCH(ROW()-2,종합!$AC$3:$AC$501,0))&amp;"","")</f>
        <v>Agentic AI Brain</v>
      </c>
      <c r="O16" s="21" t="str">
        <f aca="false">IFERROR(INDEX(종합!O$3:O$501,MATCH(ROW()-2,종합!$AC$3:$AC$501,0))&amp;"","")</f>
        <v>김현영</v>
      </c>
      <c r="P16" s="21" t="str">
        <f aca="false">IFERROR(INDEX(종합!P$3:P$501,MATCH(ROW()-2,종합!$AC$3:$AC$501,0))&amp;"","")</f>
        <v>SDx 본부</v>
      </c>
      <c r="Q16" s="21" t="str">
        <f aca="false">IFERROR(INDEX(종합!Q$3:Q$501,MATCH(ROW()-2,종합!$AC$3:$AC$501,0))&amp;"","")</f>
        <v>부사장/본부장</v>
      </c>
      <c r="R16" s="21" t="str">
        <f aca="false">IFERROR(INDEX(종합!R$3:R$501,MATCH(ROW()-2,종합!$AC$3:$AC$501,0))&amp;"","")</f>
        <v>010-9044-4536</v>
      </c>
      <c r="S16" s="21" t="str">
        <f aca="false">IFERROR(INDEX(종합!S$3:S$501,MATCH(ROW()-2,종합!$AC$3:$AC$501,0))&amp;"","")</f>
        <v>khy@sizl.co.kr</v>
      </c>
      <c r="T16" s="21" t="str">
        <f aca="false">IFERROR(INDEX(종합!T$3:T$501,MATCH(ROW()-2,종합!$AC$3:$AC$501,0))&amp;"","")</f>
        <v>010-9044-4536</v>
      </c>
      <c r="U16" s="21" t="str">
        <f aca="false">IFERROR(INDEX(종합!U$3:U$501,MATCH(ROW()-2,종합!$AC$3:$AC$501,0))&amp;"","")</f>
        <v>한만주</v>
      </c>
      <c r="V16" s="21" t="str">
        <f aca="false">IFERROR(INDEX(종합!V$3:V$501,MATCH(ROW()-2,종합!$AC$3:$AC$501,0))&amp;"","")</f>
        <v>컨설팅팀</v>
      </c>
      <c r="W16" s="21" t="str">
        <f aca="false">IFERROR(INDEX(종합!W$3:W$501,MATCH(ROW()-2,종합!$AC$3:$AC$501,0))&amp;"","")</f>
        <v>과장/팀장</v>
      </c>
      <c r="X16" s="21" t="str">
        <f aca="false">IFERROR(INDEX(종합!X$3:X$501,MATCH(ROW()-2,종합!$AC$3:$AC$501,0))&amp;"","")</f>
        <v>010-7187-3416</v>
      </c>
      <c r="Y16" s="21" t="str">
        <f aca="false">IFERROR(INDEX(종합!Y$3:Y$501,MATCH(ROW()-2,종합!$AC$3:$AC$501,0))&amp;"","")</f>
        <v>hmj@sizl.co.kr</v>
      </c>
      <c r="Z16" s="21" t="str">
        <f aca="false">IFERROR(INDEX(종합!Z$3:Z$501,MATCH(ROW()-2,종합!$AC$3:$AC$501,0))&amp;"","")</f>
        <v>010-7187-3416</v>
      </c>
    </row>
    <row r="17" customFormat="false" ht="33.75" hidden="false" customHeight="true" outlineLevel="0" collapsed="false">
      <c r="A17" s="18" t="n">
        <f aca="false">IF(B17="","",ROW()-2)</f>
        <v>15</v>
      </c>
      <c r="B17" s="18" t="str">
        <f aca="false">IFERROR(INDEX(종합!B$3:B$501,MATCH(ROW()-2,종합!$AC$3:$AC$501,0))&amp;"","")</f>
        <v>주식회사 바이트사이즈</v>
      </c>
      <c r="C17" s="18" t="str">
        <f aca="false">IFERROR(INDEX(종합!C$3:C$501,MATCH(ROW()-2,종합!$AC$3:$AC$501,0))&amp;"","")</f>
        <v/>
      </c>
      <c r="D17" s="18" t="str">
        <f aca="false">IFERROR(INDEX(종합!D$3:D$501,MATCH(ROW()-2,종합!$AC$3:$AC$501,0))&amp;"","")</f>
        <v>O</v>
      </c>
      <c r="E17" s="18" t="str">
        <f aca="false">IFERROR(INDEX(종합!E$3:E$501,MATCH(ROW()-2,종합!$AC$3:$AC$501,0))&amp;"","")</f>
        <v/>
      </c>
      <c r="F17" s="18" t="str">
        <f aca="false">IFERROR(INDEX(종합!F$3:F$501,MATCH(ROW()-2,종합!$AC$3:$AC$501,0))&amp;"","")</f>
        <v/>
      </c>
      <c r="G17" s="18" t="str">
        <f aca="false">IFERROR(INDEX(종합!G$3:G$501,MATCH(ROW()-2,종합!$AC$3:$AC$501,0))&amp;"","")</f>
        <v>중소기업</v>
      </c>
      <c r="H17" s="21" t="str">
        <f aca="false">IFERROR(INDEX(종합!H$3:H$501,MATCH(ROW()-2,종합!$AC$3:$AC$501,0))&amp;"","")</f>
        <v>350-86-03129</v>
      </c>
      <c r="I17" s="21" t="str">
        <f aca="false">IFERROR(INDEX(종합!I$3:I$501,MATCH(ROW()-2,종합!$AC$3:$AC$501,0))&amp;"","")</f>
        <v>위영량</v>
      </c>
      <c r="J17" s="21" t="str">
        <f aca="false">IFERROR(INDEX(종합!J$3:J$501,MATCH(ROW()-2,종합!$AC$3:$AC$501,0))&amp;"","")</f>
        <v>051-717-0454</v>
      </c>
      <c r="K17" s="21" t="str">
        <f aca="false">IFERROR(INDEX(종합!K$3:K$501,MATCH(ROW()-2,종합!$AC$3:$AC$501,0))&amp;"","")</f>
        <v>https://www.thebytesize.ai/</v>
      </c>
      <c r="L17" s="21" t="str">
        <f aca="false">IFERROR(INDEX(종합!L$3:L$501,MATCH(ROW()-2,종합!$AC$3:$AC$501,0))&amp;"","")</f>
        <v>cleanupkorea@gmail.com</v>
      </c>
      <c r="M17" s="21" t="str">
        <f aca="false">IFERROR(INDEX(종합!M$3:M$501,MATCH(ROW()-2,종합!$AC$3:$AC$501,0))&amp;"","")</f>
        <v>부산시 진구 엄광로 176 </v>
      </c>
      <c r="N17" s="25" t="str">
        <f aca="false">IFERROR(INDEX(종합!N$3:N$501,MATCH(ROW()-2,종합!$AC$3:$AC$501,0))&amp;"","")</f>
        <v>신발·패션 제조산업을 중심으로 생성형 AI 및 Agentic AI 기반 디자인·품질·제조 업무 자동화 솔루션을 </v>
      </c>
      <c r="O17" s="21" t="str">
        <f aca="false">IFERROR(INDEX(종합!O$3:O$501,MATCH(ROW()-2,종합!$AC$3:$AC$501,0))&amp;"","")</f>
        <v>위영량</v>
      </c>
      <c r="P17" s="21" t="str">
        <f aca="false">IFERROR(INDEX(종합!P$3:P$501,MATCH(ROW()-2,종합!$AC$3:$AC$501,0))&amp;"","")</f>
        <v>대표</v>
      </c>
      <c r="Q17" s="21" t="str">
        <f aca="false">IFERROR(INDEX(종합!Q$3:Q$501,MATCH(ROW()-2,종합!$AC$3:$AC$501,0))&amp;"","")</f>
        <v>대표</v>
      </c>
      <c r="R17" s="21" t="str">
        <f aca="false">IFERROR(INDEX(종합!R$3:R$501,MATCH(ROW()-2,종합!$AC$3:$AC$501,0))&amp;"","")</f>
        <v>051-717-0454</v>
      </c>
      <c r="S17" s="21" t="str">
        <f aca="false">IFERROR(INDEX(종합!S$3:S$501,MATCH(ROW()-2,종합!$AC$3:$AC$501,0))&amp;"","")</f>
        <v>bytesize@thebytesize.co.kr</v>
      </c>
      <c r="T17" s="21" t="str">
        <f aca="false">IFERROR(INDEX(종합!T$3:T$501,MATCH(ROW()-2,종합!$AC$3:$AC$501,0))&amp;"","")</f>
        <v>010-3069-5885</v>
      </c>
      <c r="U17" s="21" t="str">
        <f aca="false">IFERROR(INDEX(종합!U$3:U$501,MATCH(ROW()-2,종합!$AC$3:$AC$501,0))&amp;"","")</f>
        <v>정기철</v>
      </c>
      <c r="V17" s="21" t="str">
        <f aca="false">IFERROR(INDEX(종합!V$3:V$501,MATCH(ROW()-2,종합!$AC$3:$AC$501,0))&amp;"","")</f>
        <v>전략기획</v>
      </c>
      <c r="W17" s="21" t="str">
        <f aca="false">IFERROR(INDEX(종합!W$3:W$501,MATCH(ROW()-2,종합!$AC$3:$AC$501,0))&amp;"","")</f>
        <v>부장</v>
      </c>
      <c r="X17" s="21" t="str">
        <f aca="false">IFERROR(INDEX(종합!X$3:X$501,MATCH(ROW()-2,종합!$AC$3:$AC$501,0))&amp;"","")</f>
        <v>051-717-0454</v>
      </c>
      <c r="Y17" s="21" t="str">
        <f aca="false">IFERROR(INDEX(종합!Y$3:Y$501,MATCH(ROW()-2,종합!$AC$3:$AC$501,0))&amp;"","")</f>
        <v>roy.jung@thebytesize.ai</v>
      </c>
      <c r="Z17" s="21" t="str">
        <f aca="false">IFERROR(INDEX(종합!Z$3:Z$501,MATCH(ROW()-2,종합!$AC$3:$AC$501,0))&amp;"","")</f>
        <v>010-2205-9719</v>
      </c>
    </row>
    <row r="18" customFormat="false" ht="22.5" hidden="false" customHeight="true" outlineLevel="0" collapsed="false">
      <c r="A18" s="18" t="n">
        <f aca="false">IF(B18="","",ROW()-2)</f>
        <v>16</v>
      </c>
      <c r="B18" s="18" t="str">
        <f aca="false">IFERROR(INDEX(종합!B$3:B$501,MATCH(ROW()-2,종합!$AC$3:$AC$501,0))&amp;"","")</f>
        <v>주식회사 씨더스 농업회사법인</v>
      </c>
      <c r="C18" s="18" t="str">
        <f aca="false">IFERROR(INDEX(종합!C$3:C$501,MATCH(ROW()-2,종합!$AC$3:$AC$501,0))&amp;"","")</f>
        <v/>
      </c>
      <c r="D18" s="18" t="str">
        <f aca="false">IFERROR(INDEX(종합!D$3:D$501,MATCH(ROW()-2,종합!$AC$3:$AC$501,0))&amp;"","")</f>
        <v>O</v>
      </c>
      <c r="E18" s="18" t="str">
        <f aca="false">IFERROR(INDEX(종합!E$3:E$501,MATCH(ROW()-2,종합!$AC$3:$AC$501,0))&amp;"","")</f>
        <v/>
      </c>
      <c r="F18" s="18" t="str">
        <f aca="false">IFERROR(INDEX(종합!F$3:F$501,MATCH(ROW()-2,종합!$AC$3:$AC$501,0))&amp;"","")</f>
        <v/>
      </c>
      <c r="G18" s="18" t="str">
        <f aca="false">IFERROR(INDEX(종합!G$3:G$501,MATCH(ROW()-2,종합!$AC$3:$AC$501,0))&amp;"","")</f>
        <v>중소기업</v>
      </c>
      <c r="H18" s="21" t="str">
        <f aca="false">IFERROR(INDEX(종합!H$3:H$501,MATCH(ROW()-2,종합!$AC$3:$AC$501,0))&amp;"","")</f>
        <v>314-86-15920</v>
      </c>
      <c r="I18" s="21" t="str">
        <f aca="false">IFERROR(INDEX(종합!I$3:I$501,MATCH(ROW()-2,종합!$AC$3:$AC$501,0))&amp;"","")</f>
        <v>조성환</v>
      </c>
      <c r="J18" s="21" t="str">
        <f aca="false">IFERROR(INDEX(종합!J$3:J$501,MATCH(ROW()-2,종합!$AC$3:$AC$501,0))&amp;"","")</f>
        <v>042-710-4035</v>
      </c>
      <c r="K18" s="21" t="str">
        <f aca="false">IFERROR(INDEX(종합!K$3:K$501,MATCH(ROW()-2,종합!$AC$3:$AC$501,0))&amp;"","")</f>
        <v>www.seeders.co.kr</v>
      </c>
      <c r="L18" s="21" t="str">
        <f aca="false">IFERROR(INDEX(종합!L$3:L$501,MATCH(ROW()-2,종합!$AC$3:$AC$501,0))&amp;"","")</f>
        <v>jhl9627@seeders.co.kr</v>
      </c>
      <c r="M18" s="21" t="str">
        <f aca="false">IFERROR(INDEX(종합!M$3:M$501,MATCH(ROW()-2,종합!$AC$3:$AC$501,0))&amp;"","")</f>
        <v>대전시 중구 중앙로 118, 5층</v>
      </c>
      <c r="N18" s="25" t="str">
        <f aca="false">IFERROR(INDEX(종합!N$3:N$501,MATCH(ROW()-2,종합!$AC$3:$AC$501,0))&amp;"","")</f>
        <v>AI 육종 시뮬레이션 플랫폼,  AI 재배관리 에이전트 플랫폼</v>
      </c>
      <c r="O18" s="21" t="str">
        <f aca="false">IFERROR(INDEX(종합!O$3:O$501,MATCH(ROW()-2,종합!$AC$3:$AC$501,0))&amp;"","")</f>
        <v>조성환</v>
      </c>
      <c r="P18" s="21" t="str">
        <f aca="false">IFERROR(INDEX(종합!P$3:P$501,MATCH(ROW()-2,종합!$AC$3:$AC$501,0))&amp;"","")</f>
        <v>경영총괄</v>
      </c>
      <c r="Q18" s="21" t="str">
        <f aca="false">IFERROR(INDEX(종합!Q$3:Q$501,MATCH(ROW()-2,종합!$AC$3:$AC$501,0))&amp;"","")</f>
        <v>CEO</v>
      </c>
      <c r="R18" s="21" t="str">
        <f aca="false">IFERROR(INDEX(종합!R$3:R$501,MATCH(ROW()-2,종합!$AC$3:$AC$501,0))&amp;"","")</f>
        <v>010-6417-0614</v>
      </c>
      <c r="S18" s="21" t="str">
        <f aca="false">IFERROR(INDEX(종합!S$3:S$501,MATCH(ROW()-2,종합!$AC$3:$AC$501,0))&amp;"","")</f>
        <v>shjo@seeders.co.kr</v>
      </c>
      <c r="T18" s="21" t="str">
        <f aca="false">IFERROR(INDEX(종합!T$3:T$501,MATCH(ROW()-2,종합!$AC$3:$AC$501,0))&amp;"","")</f>
        <v>010-6417-0614</v>
      </c>
      <c r="U18" s="21" t="str">
        <f aca="false">IFERROR(INDEX(종합!U$3:U$501,MATCH(ROW()-2,종합!$AC$3:$AC$501,0))&amp;"","")</f>
        <v>정혜리</v>
      </c>
      <c r="V18" s="21" t="str">
        <f aca="false">IFERROR(INDEX(종합!V$3:V$501,MATCH(ROW()-2,종합!$AC$3:$AC$501,0))&amp;"","")</f>
        <v>경영</v>
      </c>
      <c r="W18" s="21" t="str">
        <f aca="false">IFERROR(INDEX(종합!W$3:W$501,MATCH(ROW()-2,종합!$AC$3:$AC$501,0))&amp;"","")</f>
        <v>부사장</v>
      </c>
      <c r="X18" s="21" t="str">
        <f aca="false">IFERROR(INDEX(종합!X$3:X$501,MATCH(ROW()-2,종합!$AC$3:$AC$501,0))&amp;"","")</f>
        <v>010-3484-9645</v>
      </c>
      <c r="Y18" s="21" t="str">
        <f aca="false">IFERROR(INDEX(종합!Y$3:Y$501,MATCH(ROW()-2,종합!$AC$3:$AC$501,0))&amp;"","")</f>
        <v>jhl9627@seeders.co.kr</v>
      </c>
      <c r="Z18" s="21" t="str">
        <f aca="false">IFERROR(INDEX(종합!Z$3:Z$501,MATCH(ROW()-2,종합!$AC$3:$AC$501,0))&amp;"","")</f>
        <v>010-3484-9645</v>
      </c>
    </row>
    <row r="19" customFormat="false" ht="22.5" hidden="false" customHeight="true" outlineLevel="0" collapsed="false">
      <c r="A19" s="18" t="n">
        <f aca="false">IF(B19="","",ROW()-2)</f>
        <v>17</v>
      </c>
      <c r="B19" s="18" t="str">
        <f aca="false">IFERROR(INDEX(종합!B$3:B$501,MATCH(ROW()-2,종합!$AC$3:$AC$501,0))&amp;"","")</f>
        <v>(주)엘리스그룹</v>
      </c>
      <c r="C19" s="18" t="str">
        <f aca="false">IFERROR(INDEX(종합!C$3:C$501,MATCH(ROW()-2,종합!$AC$3:$AC$501,0))&amp;"","")</f>
        <v/>
      </c>
      <c r="D19" s="18" t="str">
        <f aca="false">IFERROR(INDEX(종합!D$3:D$501,MATCH(ROW()-2,종합!$AC$3:$AC$501,0))&amp;"","")</f>
        <v>O</v>
      </c>
      <c r="E19" s="18" t="str">
        <f aca="false">IFERROR(INDEX(종합!E$3:E$501,MATCH(ROW()-2,종합!$AC$3:$AC$501,0))&amp;"","")</f>
        <v/>
      </c>
      <c r="F19" s="18" t="str">
        <f aca="false">IFERROR(INDEX(종합!F$3:F$501,MATCH(ROW()-2,종합!$AC$3:$AC$501,0))&amp;"","")</f>
        <v/>
      </c>
      <c r="G19" s="18" t="str">
        <f aca="false">IFERROR(INDEX(종합!G$3:G$501,MATCH(ROW()-2,종합!$AC$3:$AC$501,0))&amp;"","")</f>
        <v>중소기업</v>
      </c>
      <c r="H19" s="21" t="str">
        <f aca="false">IFERROR(INDEX(종합!H$3:H$501,MATCH(ROW()-2,종합!$AC$3:$AC$501,0))&amp;"","")</f>
        <v>581-88-00303</v>
      </c>
      <c r="I19" s="21" t="str">
        <f aca="false">IFERROR(INDEX(종합!I$3:I$501,MATCH(ROW()-2,종합!$AC$3:$AC$501,0))&amp;"","")</f>
        <v>김재원</v>
      </c>
      <c r="J19" s="21" t="str">
        <f aca="false">IFERROR(INDEX(종합!J$3:J$501,MATCH(ROW()-2,종합!$AC$3:$AC$501,0))&amp;"","")</f>
        <v>1833-2677</v>
      </c>
      <c r="K19" s="21" t="str">
        <f aca="false">IFERROR(INDEX(종합!K$3:K$501,MATCH(ROW()-2,종합!$AC$3:$AC$501,0))&amp;"","")</f>
        <v>https://elice.io/ko</v>
      </c>
      <c r="L19" s="21" t="str">
        <f aca="false">IFERROR(INDEX(종합!L$3:L$501,MATCH(ROW()-2,종합!$AC$3:$AC$501,0))&amp;"","")</f>
        <v>dahye.elice@gmail.com</v>
      </c>
      <c r="M19" s="21" t="str">
        <f aca="false">IFERROR(INDEX(종합!M$3:M$501,MATCH(ROW()-2,종합!$AC$3:$AC$501,0))&amp;"","")</f>
        <v>서울시 강남구 선릉로 433, 신관 6</v>
      </c>
      <c r="N19" s="25" t="str">
        <f aca="false">IFERROR(INDEX(종합!N$3:N$501,MATCH(ROW()-2,종합!$AC$3:$AC$501,0))&amp;"","")</f>
        <v>AI교육 플랫폼, AI솔루션, GPU 클라우드 등</v>
      </c>
      <c r="O19" s="21" t="str">
        <f aca="false">IFERROR(INDEX(종합!O$3:O$501,MATCH(ROW()-2,종합!$AC$3:$AC$501,0))&amp;"","")</f>
        <v>김수인</v>
      </c>
      <c r="P19" s="21" t="str">
        <f aca="false">IFERROR(INDEX(종합!P$3:P$501,MATCH(ROW()-2,종합!$AC$3:$AC$501,0))&amp;"","")</f>
        <v>CRO디비전</v>
      </c>
      <c r="Q19" s="21" t="str">
        <f aca="false">IFERROR(INDEX(종합!Q$3:Q$501,MATCH(ROW()-2,종합!$AC$3:$AC$501,0))&amp;"","")</f>
        <v>CRO(사내이사)</v>
      </c>
      <c r="R19" s="21" t="str">
        <f aca="false">IFERROR(INDEX(종합!R$3:R$501,MATCH(ROW()-2,종합!$AC$3:$AC$501,0))&amp;"","")</f>
        <v>1833-2677</v>
      </c>
      <c r="S19" s="21" t="str">
        <f aca="false">IFERROR(INDEX(종합!S$3:S$501,MATCH(ROW()-2,종합!$AC$3:$AC$501,0))&amp;"","")</f>
        <v>suin@elicer.com</v>
      </c>
      <c r="T19" s="21" t="str">
        <f aca="false">IFERROR(INDEX(종합!T$3:T$501,MATCH(ROW()-2,종합!$AC$3:$AC$501,0))&amp;"","")</f>
        <v>010-5186-7109</v>
      </c>
      <c r="U19" s="21" t="str">
        <f aca="false">IFERROR(INDEX(종합!U$3:U$501,MATCH(ROW()-2,종합!$AC$3:$AC$501,0))&amp;"","")</f>
        <v>홍다혜</v>
      </c>
      <c r="V19" s="21" t="str">
        <f aca="false">IFERROR(INDEX(종합!V$3:V$501,MATCH(ROW()-2,종합!$AC$3:$AC$501,0))&amp;"","")</f>
        <v>공공사업AX팀</v>
      </c>
      <c r="W19" s="21" t="str">
        <f aca="false">IFERROR(INDEX(종합!W$3:W$501,MATCH(ROW()-2,종합!$AC$3:$AC$501,0))&amp;"","")</f>
        <v>팀장</v>
      </c>
      <c r="X19" s="21" t="str">
        <f aca="false">IFERROR(INDEX(종합!X$3:X$501,MATCH(ROW()-2,종합!$AC$3:$AC$501,0))&amp;"","")</f>
        <v>1833-2677</v>
      </c>
      <c r="Y19" s="21" t="str">
        <f aca="false">IFERROR(INDEX(종합!Y$3:Y$501,MATCH(ROW()-2,종합!$AC$3:$AC$501,0))&amp;"","")</f>
        <v>dh@elicer.com</v>
      </c>
      <c r="Z19" s="21" t="str">
        <f aca="false">IFERROR(INDEX(종합!Z$3:Z$501,MATCH(ROW()-2,종합!$AC$3:$AC$501,0))&amp;"","")</f>
        <v>010-9641-3299</v>
      </c>
    </row>
    <row r="20" customFormat="false" ht="22.5" hidden="false" customHeight="true" outlineLevel="0" collapsed="false">
      <c r="A20" s="18" t="n">
        <f aca="false">IF(B20="","",ROW()-2)</f>
        <v>18</v>
      </c>
      <c r="B20" s="18" t="str">
        <f aca="false">IFERROR(INDEX(종합!B$3:B$501,MATCH(ROW()-2,종합!$AC$3:$AC$501,0))&amp;"","")</f>
        <v>(주)데이터사이언스랩</v>
      </c>
      <c r="C20" s="18" t="str">
        <f aca="false">IFERROR(INDEX(종합!C$3:C$501,MATCH(ROW()-2,종합!$AC$3:$AC$501,0))&amp;"","")</f>
        <v/>
      </c>
      <c r="D20" s="18" t="str">
        <f aca="false">IFERROR(INDEX(종합!D$3:D$501,MATCH(ROW()-2,종합!$AC$3:$AC$501,0))&amp;"","")</f>
        <v>O</v>
      </c>
      <c r="E20" s="18" t="str">
        <f aca="false">IFERROR(INDEX(종합!E$3:E$501,MATCH(ROW()-2,종합!$AC$3:$AC$501,0))&amp;"","")</f>
        <v/>
      </c>
      <c r="F20" s="18" t="str">
        <f aca="false">IFERROR(INDEX(종합!F$3:F$501,MATCH(ROW()-2,종합!$AC$3:$AC$501,0))&amp;"","")</f>
        <v/>
      </c>
      <c r="G20" s="18" t="str">
        <f aca="false">IFERROR(INDEX(종합!G$3:G$501,MATCH(ROW()-2,종합!$AC$3:$AC$501,0))&amp;"","")</f>
        <v>중소기업</v>
      </c>
      <c r="H20" s="21" t="str">
        <f aca="false">IFERROR(INDEX(종합!H$3:H$501,MATCH(ROW()-2,종합!$AC$3:$AC$501,0))&amp;"","")</f>
        <v>274-87-00470</v>
      </c>
      <c r="I20" s="21" t="str">
        <f aca="false">IFERROR(INDEX(종합!I$3:I$501,MATCH(ROW()-2,종합!$AC$3:$AC$501,0))&amp;"","")</f>
        <v>유희경</v>
      </c>
      <c r="J20" s="21" t="str">
        <f aca="false">IFERROR(INDEX(종합!J$3:J$501,MATCH(ROW()-2,종합!$AC$3:$AC$501,0))&amp;"","")</f>
        <v>02-565-1123</v>
      </c>
      <c r="K20" s="21" t="str">
        <f aca="false">IFERROR(INDEX(종합!K$3:K$501,MATCH(ROW()-2,종합!$AC$3:$AC$501,0))&amp;"","")</f>
        <v>www.dataslab.co.kr</v>
      </c>
      <c r="L20" s="21" t="str">
        <f aca="false">IFERROR(INDEX(종합!L$3:L$501,MATCH(ROW()-2,종합!$AC$3:$AC$501,0))&amp;"","")</f>
        <v>gis.hkyoo@gmail.com</v>
      </c>
      <c r="M20" s="21" t="str">
        <f aca="false">IFERROR(INDEX(종합!M$3:M$501,MATCH(ROW()-2,종합!$AC$3:$AC$501,0))&amp;"","")</f>
        <v>서울시 송파구 법원로 8길 8, 문정역2차 SK V1 604호 </v>
      </c>
      <c r="N20" s="25" t="str">
        <f aca="false">IFERROR(INDEX(종합!N$3:N$501,MATCH(ROW()-2,종합!$AC$3:$AC$501,0))&amp;"","")</f>
        <v>Agentic Datascientist (분석가 에이전트), ToR-RAG</v>
      </c>
      <c r="O20" s="21" t="str">
        <f aca="false">IFERROR(INDEX(종합!O$3:O$501,MATCH(ROW()-2,종합!$AC$3:$AC$501,0))&amp;"","")</f>
        <v>유희경</v>
      </c>
      <c r="P20" s="21" t="str">
        <f aca="false">IFERROR(INDEX(종합!P$3:P$501,MATCH(ROW()-2,종합!$AC$3:$AC$501,0))&amp;"","")</f>
        <v>경영</v>
      </c>
      <c r="Q20" s="21" t="str">
        <f aca="false">IFERROR(INDEX(종합!Q$3:Q$501,MATCH(ROW()-2,종합!$AC$3:$AC$501,0))&amp;"","")</f>
        <v>대표이사</v>
      </c>
      <c r="R20" s="21" t="str">
        <f aca="false">IFERROR(INDEX(종합!R$3:R$501,MATCH(ROW()-2,종합!$AC$3:$AC$501,0))&amp;"","")</f>
        <v>010-4424-4479</v>
      </c>
      <c r="S20" s="21" t="str">
        <f aca="false">IFERROR(INDEX(종합!S$3:S$501,MATCH(ROW()-2,종합!$AC$3:$AC$501,0))&amp;"","")</f>
        <v>hkyoo@dataslab.co.kr</v>
      </c>
      <c r="T20" s="21" t="str">
        <f aca="false">IFERROR(INDEX(종합!T$3:T$501,MATCH(ROW()-2,종합!$AC$3:$AC$501,0))&amp;"","")</f>
        <v>010-4424-4479</v>
      </c>
      <c r="U20" s="21" t="str">
        <f aca="false">IFERROR(INDEX(종합!U$3:U$501,MATCH(ROW()-2,종합!$AC$3:$AC$501,0))&amp;"","")</f>
        <v>김원배</v>
      </c>
      <c r="V20" s="21" t="str">
        <f aca="false">IFERROR(INDEX(종합!V$3:V$501,MATCH(ROW()-2,종합!$AC$3:$AC$501,0))&amp;"","")</f>
        <v>기업부설연구소</v>
      </c>
      <c r="W20" s="21" t="str">
        <f aca="false">IFERROR(INDEX(종합!W$3:W$501,MATCH(ROW()-2,종합!$AC$3:$AC$501,0))&amp;"","")</f>
        <v>연구소장</v>
      </c>
      <c r="X20" s="21" t="str">
        <f aca="false">IFERROR(INDEX(종합!X$3:X$501,MATCH(ROW()-2,종합!$AC$3:$AC$501,0))&amp;"","")</f>
        <v>02-565-1123</v>
      </c>
      <c r="Y20" s="21" t="str">
        <f aca="false">IFERROR(INDEX(종합!Y$3:Y$501,MATCH(ROW()-2,종합!$AC$3:$AC$501,0))&amp;"","")</f>
        <v>wonkim@dataslab.co.kr</v>
      </c>
      <c r="Z20" s="21" t="str">
        <f aca="false">IFERROR(INDEX(종합!Z$3:Z$501,MATCH(ROW()-2,종합!$AC$3:$AC$501,0))&amp;"","")</f>
        <v>010-3400-4527</v>
      </c>
    </row>
    <row r="21" customFormat="false" ht="33.75" hidden="false" customHeight="true" outlineLevel="0" collapsed="false">
      <c r="A21" s="18" t="n">
        <f aca="false">IF(B21="","",ROW()-2)</f>
        <v>19</v>
      </c>
      <c r="B21" s="18" t="str">
        <f aca="false">IFERROR(INDEX(종합!B$3:B$501,MATCH(ROW()-2,종합!$AC$3:$AC$501,0))&amp;"","")</f>
        <v>(주)미소정보기술</v>
      </c>
      <c r="C21" s="18" t="str">
        <f aca="false">IFERROR(INDEX(종합!C$3:C$501,MATCH(ROW()-2,종합!$AC$3:$AC$501,0))&amp;"","")</f>
        <v/>
      </c>
      <c r="D21" s="18" t="str">
        <f aca="false">IFERROR(INDEX(종합!D$3:D$501,MATCH(ROW()-2,종합!$AC$3:$AC$501,0))&amp;"","")</f>
        <v>O</v>
      </c>
      <c r="E21" s="18" t="str">
        <f aca="false">IFERROR(INDEX(종합!E$3:E$501,MATCH(ROW()-2,종합!$AC$3:$AC$501,0))&amp;"","")</f>
        <v/>
      </c>
      <c r="F21" s="18" t="str">
        <f aca="false">IFERROR(INDEX(종합!F$3:F$501,MATCH(ROW()-2,종합!$AC$3:$AC$501,0))&amp;"","")</f>
        <v/>
      </c>
      <c r="G21" s="18" t="str">
        <f aca="false">IFERROR(INDEX(종합!G$3:G$501,MATCH(ROW()-2,종합!$AC$3:$AC$501,0))&amp;"","")</f>
        <v>중소기업</v>
      </c>
      <c r="H21" s="21" t="str">
        <f aca="false">IFERROR(INDEX(종합!H$3:H$501,MATCH(ROW()-2,종합!$AC$3:$AC$501,0))&amp;"","")</f>
        <v>220-87-25270</v>
      </c>
      <c r="I21" s="21" t="str">
        <f aca="false">IFERROR(INDEX(종합!I$3:I$501,MATCH(ROW()-2,종합!$AC$3:$AC$501,0))&amp;"","")</f>
        <v>남상도</v>
      </c>
      <c r="J21" s="21" t="str">
        <f aca="false">IFERROR(INDEX(종합!J$3:J$501,MATCH(ROW()-2,종합!$AC$3:$AC$501,0))&amp;"","")</f>
        <v>02-2205-0551</v>
      </c>
      <c r="K21" s="21" t="str">
        <f aca="false">IFERROR(INDEX(종합!K$3:K$501,MATCH(ROW()-2,종합!$AC$3:$AC$501,0))&amp;"","")</f>
        <v>www.misoinfo.co.kr</v>
      </c>
      <c r="L21" s="21" t="str">
        <f aca="false">IFERROR(INDEX(종합!L$3:L$501,MATCH(ROW()-2,종합!$AC$3:$AC$501,0))&amp;"","")</f>
        <v>jaeminet@gmail.com</v>
      </c>
      <c r="M21" s="21" t="str">
        <f aca="false">IFERROR(INDEX(종합!M$3:M$501,MATCH(ROW()-2,종합!$AC$3:$AC$501,0))&amp;"","")</f>
        <v>경기도 과천시 과천대로 12길 117, 과천펜타원 G동 1402호</v>
      </c>
      <c r="N21" s="25" t="str">
        <f aca="false">IFERROR(INDEX(종합!N$3:N$501,MATCH(ROW()-2,종합!$AC$3:$AC$501,0))&amp;"","")</f>
        <v>SmartBIG, Daxi, SmartTA, SmartMDQ(조달혁신제품) Ai멀티모달데이터플랫폼 외</v>
      </c>
      <c r="O21" s="21" t="str">
        <f aca="false">IFERROR(INDEX(종합!O$3:O$501,MATCH(ROW()-2,종합!$AC$3:$AC$501,0))&amp;"","")</f>
        <v>박준욱</v>
      </c>
      <c r="P21" s="21" t="str">
        <f aca="false">IFERROR(INDEX(종합!P$3:P$501,MATCH(ROW()-2,종합!$AC$3:$AC$501,0))&amp;"","")</f>
        <v>강원지사</v>
      </c>
      <c r="Q21" s="21" t="str">
        <f aca="false">IFERROR(INDEX(종합!Q$3:Q$501,MATCH(ROW()-2,종합!$AC$3:$AC$501,0))&amp;"","")</f>
        <v>지사장/ 상무이사</v>
      </c>
      <c r="R21" s="21" t="str">
        <f aca="false">IFERROR(INDEX(종합!R$3:R$501,MATCH(ROW()-2,종합!$AC$3:$AC$501,0))&amp;"","")</f>
        <v>033-764-0553</v>
      </c>
      <c r="S21" s="21" t="str">
        <f aca="false">IFERROR(INDEX(종합!S$3:S$501,MATCH(ROW()-2,종합!$AC$3:$AC$501,0))&amp;"","")</f>
        <v>tony@misoinfo.co.kr</v>
      </c>
      <c r="T21" s="21" t="str">
        <f aca="false">IFERROR(INDEX(종합!T$3:T$501,MATCH(ROW()-2,종합!$AC$3:$AC$501,0))&amp;"","")</f>
        <v>010-7731-7367</v>
      </c>
      <c r="U21" s="21" t="str">
        <f aca="false">IFERROR(INDEX(종합!U$3:U$501,MATCH(ROW()-2,종합!$AC$3:$AC$501,0))&amp;"","")</f>
        <v>김성우</v>
      </c>
      <c r="V21" s="21" t="str">
        <f aca="false">IFERROR(INDEX(종합!V$3:V$501,MATCH(ROW()-2,종합!$AC$3:$AC$501,0))&amp;"","")</f>
        <v>강원지사</v>
      </c>
      <c r="W21" s="21" t="str">
        <f aca="false">IFERROR(INDEX(종합!W$3:W$501,MATCH(ROW()-2,종합!$AC$3:$AC$501,0))&amp;"","")</f>
        <v>팀장(공학박사)/ 부장</v>
      </c>
      <c r="X21" s="21" t="str">
        <f aca="false">IFERROR(INDEX(종합!X$3:X$501,MATCH(ROW()-2,종합!$AC$3:$AC$501,0))&amp;"","")</f>
        <v>033-764-0553</v>
      </c>
      <c r="Y21" s="21" t="str">
        <f aca="false">IFERROR(INDEX(종합!Y$3:Y$501,MATCH(ROW()-2,종합!$AC$3:$AC$501,0))&amp;"","")</f>
        <v>kimsw0912@misoinfo.co.kr</v>
      </c>
      <c r="Z21" s="21" t="str">
        <f aca="false">IFERROR(INDEX(종합!Z$3:Z$501,MATCH(ROW()-2,종합!$AC$3:$AC$501,0))&amp;"","")</f>
        <v>010-8436-2772</v>
      </c>
    </row>
    <row r="22" customFormat="false" ht="47.25" hidden="false" customHeight="true" outlineLevel="0" collapsed="false">
      <c r="A22" s="18" t="n">
        <f aca="false">IF(B22="","",ROW()-2)</f>
        <v>20</v>
      </c>
      <c r="B22" s="18" t="str">
        <f aca="false">IFERROR(INDEX(종합!B$3:B$501,MATCH(ROW()-2,종합!$AC$3:$AC$501,0))&amp;"","")</f>
        <v>(주)비아이매트릭스</v>
      </c>
      <c r="C22" s="18" t="str">
        <f aca="false">IFERROR(INDEX(종합!C$3:C$501,MATCH(ROW()-2,종합!$AC$3:$AC$501,0))&amp;"","")</f>
        <v/>
      </c>
      <c r="D22" s="18" t="str">
        <f aca="false">IFERROR(INDEX(종합!D$3:D$501,MATCH(ROW()-2,종합!$AC$3:$AC$501,0))&amp;"","")</f>
        <v>O</v>
      </c>
      <c r="E22" s="18" t="str">
        <f aca="false">IFERROR(INDEX(종합!E$3:E$501,MATCH(ROW()-2,종합!$AC$3:$AC$501,0))&amp;"","")</f>
        <v/>
      </c>
      <c r="F22" s="18" t="str">
        <f aca="false">IFERROR(INDEX(종합!F$3:F$501,MATCH(ROW()-2,종합!$AC$3:$AC$501,0))&amp;"","")</f>
        <v/>
      </c>
      <c r="G22" s="18" t="str">
        <f aca="false">IFERROR(INDEX(종합!G$3:G$501,MATCH(ROW()-2,종합!$AC$3:$AC$501,0))&amp;"","")</f>
        <v>중소기업</v>
      </c>
      <c r="H22" s="21" t="str">
        <f aca="false">IFERROR(INDEX(종합!H$3:H$501,MATCH(ROW()-2,종합!$AC$3:$AC$501,0))&amp;"","")</f>
        <v>120-86-79936</v>
      </c>
      <c r="I22" s="21" t="str">
        <f aca="false">IFERROR(INDEX(종합!I$3:I$501,MATCH(ROW()-2,종합!$AC$3:$AC$501,0))&amp;"","")</f>
        <v>배영근</v>
      </c>
      <c r="J22" s="21" t="str">
        <f aca="false">IFERROR(INDEX(종합!J$3:J$501,MATCH(ROW()-2,종합!$AC$3:$AC$501,0))&amp;"","")</f>
        <v>02-561-4475</v>
      </c>
      <c r="K22" s="21" t="str">
        <f aca="false">IFERROR(INDEX(종합!K$3:K$501,MATCH(ROW()-2,종합!$AC$3:$AC$501,0))&amp;"","")</f>
        <v>www.bimatrix.co.kr</v>
      </c>
      <c r="L22" s="21" t="str">
        <f aca="false">IFERROR(INDEX(종합!L$3:L$501,MATCH(ROW()-2,종합!$AC$3:$AC$501,0))&amp;"","")</f>
        <v>bimatrixkorea@gmail.com</v>
      </c>
      <c r="M22" s="21" t="str">
        <f aca="false">IFERROR(INDEX(종합!M$3:M$501,MATCH(ROW()-2,종합!$AC$3:$AC$501,0))&amp;"","")</f>
        <v>서울 강남구 선릉로 433  (역삼동) 세방빌딩 신관 17층</v>
      </c>
      <c r="N22" s="25" t="str">
        <f aca="false">IFERROR(INDEX(종합!N$3:N$501,MATCH(ROW()-2,종합!$AC$3:$AC$501,0))&amp;"","")</f>
        <v>온톨로지 기반 Agentic AI 개발 플랫폼 TRINITY/말로 하는 DB 데이터 분석 AI 솔루션 G-MATRIX/업무시스템 구축 AI 솔루션 AUD플랫폼</v>
      </c>
      <c r="O22" s="21" t="str">
        <f aca="false">IFERROR(INDEX(종합!O$3:O$501,MATCH(ROW()-2,종합!$AC$3:$AC$501,0))&amp;"","")</f>
        <v>배영근</v>
      </c>
      <c r="P22" s="21" t="str">
        <f aca="false">IFERROR(INDEX(종합!P$3:P$501,MATCH(ROW()-2,종합!$AC$3:$AC$501,0))&amp;"","")</f>
        <v>대표이사</v>
      </c>
      <c r="Q22" s="21" t="str">
        <f aca="false">IFERROR(INDEX(종합!Q$3:Q$501,MATCH(ROW()-2,종합!$AC$3:$AC$501,0))&amp;"","")</f>
        <v>대표이사</v>
      </c>
      <c r="R22" s="21" t="str">
        <f aca="false">IFERROR(INDEX(종합!R$3:R$501,MATCH(ROW()-2,종합!$AC$3:$AC$501,0))&amp;"","")</f>
        <v>02-561-4475</v>
      </c>
      <c r="S22" s="21" t="str">
        <f aca="false">IFERROR(INDEX(종합!S$3:S$501,MATCH(ROW()-2,종합!$AC$3:$AC$501,0))&amp;"","")</f>
        <v>bae@bimatrix.co.kr</v>
      </c>
      <c r="T22" s="21" t="str">
        <f aca="false">IFERROR(INDEX(종합!T$3:T$501,MATCH(ROW()-2,종합!$AC$3:$AC$501,0))&amp;"","")</f>
        <v>010-9132-4361</v>
      </c>
      <c r="U22" s="21" t="str">
        <f aca="false">IFERROR(INDEX(종합!U$3:U$501,MATCH(ROW()-2,종합!$AC$3:$AC$501,0))&amp;"","")</f>
        <v>정해선</v>
      </c>
      <c r="V22" s="21" t="str">
        <f aca="false">IFERROR(INDEX(종합!V$3:V$501,MATCH(ROW()-2,종합!$AC$3:$AC$501,0))&amp;"","")</f>
        <v>마테팅</v>
      </c>
      <c r="W22" s="21" t="str">
        <f aca="false">IFERROR(INDEX(종합!W$3:W$501,MATCH(ROW()-2,종합!$AC$3:$AC$501,0))&amp;"","")</f>
        <v>차장</v>
      </c>
      <c r="X22" s="21" t="str">
        <f aca="false">IFERROR(INDEX(종합!X$3:X$501,MATCH(ROW()-2,종합!$AC$3:$AC$501,0))&amp;"","")</f>
        <v>070-4338-5415</v>
      </c>
      <c r="Y22" s="21" t="str">
        <f aca="false">IFERROR(INDEX(종합!Y$3:Y$501,MATCH(ROW()-2,종합!$AC$3:$AC$501,0))&amp;"","")</f>
        <v>mktg@bimatrix.co.kr</v>
      </c>
      <c r="Z22" s="21" t="str">
        <f aca="false">IFERROR(INDEX(종합!Z$3:Z$501,MATCH(ROW()-2,종합!$AC$3:$AC$501,0))&amp;"","")</f>
        <v>010-9959-9529</v>
      </c>
    </row>
    <row r="23" customFormat="false" ht="60.75" hidden="false" customHeight="true" outlineLevel="0" collapsed="false">
      <c r="A23" s="18" t="n">
        <f aca="false">IF(B23="","",ROW()-2)</f>
        <v>21</v>
      </c>
      <c r="B23" s="18" t="str">
        <f aca="false">IFERROR(INDEX(종합!B$3:B$501,MATCH(ROW()-2,종합!$AC$3:$AC$501,0))&amp;"","")</f>
        <v>국제드론표준산업협회 Ko-Biz Alliance Co.,LTD</v>
      </c>
      <c r="C23" s="18" t="str">
        <f aca="false">IFERROR(INDEX(종합!C$3:C$501,MATCH(ROW()-2,종합!$AC$3:$AC$501,0))&amp;"","")</f>
        <v/>
      </c>
      <c r="D23" s="18" t="str">
        <f aca="false">IFERROR(INDEX(종합!D$3:D$501,MATCH(ROW()-2,종합!$AC$3:$AC$501,0))&amp;"","")</f>
        <v>O</v>
      </c>
      <c r="E23" s="18" t="str">
        <f aca="false">IFERROR(INDEX(종합!E$3:E$501,MATCH(ROW()-2,종합!$AC$3:$AC$501,0))&amp;"","")</f>
        <v/>
      </c>
      <c r="F23" s="18" t="str">
        <f aca="false">IFERROR(INDEX(종합!F$3:F$501,MATCH(ROW()-2,종합!$AC$3:$AC$501,0))&amp;"","")</f>
        <v/>
      </c>
      <c r="G23" s="18" t="str">
        <f aca="false">IFERROR(INDEX(종합!G$3:G$501,MATCH(ROW()-2,종합!$AC$3:$AC$501,0))&amp;"","")</f>
        <v>협회·단체</v>
      </c>
      <c r="H23" s="21" t="str">
        <f aca="false">IFERROR(INDEX(종합!H$3:H$501,MATCH(ROW()-2,종합!$AC$3:$AC$501,0))&amp;"","")</f>
        <v>619-82-62882</v>
      </c>
      <c r="I23" s="21" t="str">
        <f aca="false">IFERROR(INDEX(종합!I$3:I$501,MATCH(ROW()-2,종합!$AC$3:$AC$501,0))&amp;"","")</f>
        <v>박종민</v>
      </c>
      <c r="J23" s="21" t="str">
        <f aca="false">IFERROR(INDEX(종합!J$3:J$501,MATCH(ROW()-2,종합!$AC$3:$AC$501,0))&amp;"","")</f>
        <v>010-9279-3437</v>
      </c>
      <c r="K23" s="21" t="str">
        <f aca="false">IFERROR(INDEX(종합!K$3:K$501,MATCH(ROW()-2,종합!$AC$3:$AC$501,0))&amp;"","")</f>
        <v>www.idsia.co.kr</v>
      </c>
      <c r="L23" s="21" t="str">
        <f aca="false">IFERROR(INDEX(종합!L$3:L$501,MATCH(ROW()-2,종합!$AC$3:$AC$501,0))&amp;"","")</f>
        <v>idssaceo@gmail.com</v>
      </c>
      <c r="M23" s="21" t="str">
        <f aca="false">IFERROR(INDEX(종합!M$3:M$501,MATCH(ROW()-2,종합!$AC$3:$AC$501,0))&amp;"","")</f>
        <v>경기도 김포시 김포한강2로72번길10, 113호(라베니체)</v>
      </c>
      <c r="N23" s="25" t="str">
        <f aca="false">IFERROR(INDEX(종합!N$3:N$501,MATCH(ROW()-2,종합!$AC$3:$AC$501,0))&amp;"","")</f>
        <v>ICT국제표준전문가, ICT기술표준자문전문가, 한국드론시스템 국가표준위원, 피지컬AI드론기술시스템(AI민군드론통합시스템 : 물류배송, 농업, 감시정찰, 인스팩션, 드론항공안전 등)</v>
      </c>
      <c r="O23" s="21" t="str">
        <f aca="false">IFERROR(INDEX(종합!O$3:O$501,MATCH(ROW()-2,종합!$AC$3:$AC$501,0))&amp;"","")</f>
        <v>박종민</v>
      </c>
      <c r="P23" s="21" t="str">
        <f aca="false">IFERROR(INDEX(종합!P$3:P$501,MATCH(ROW()-2,종합!$AC$3:$AC$501,0))&amp;"","")</f>
        <v>ICT국제표준화본부</v>
      </c>
      <c r="Q23" s="21" t="str">
        <f aca="false">IFERROR(INDEX(종합!Q$3:Q$501,MATCH(ROW()-2,종합!$AC$3:$AC$501,0))&amp;"","")</f>
        <v>대표/대표</v>
      </c>
      <c r="R23" s="21" t="str">
        <f aca="false">IFERROR(INDEX(종합!R$3:R$501,MATCH(ROW()-2,종합!$AC$3:$AC$501,0))&amp;"","")</f>
        <v>010-9279-3437</v>
      </c>
      <c r="S23" s="21" t="str">
        <f aca="false">IFERROR(INDEX(종합!S$3:S$501,MATCH(ROW()-2,종합!$AC$3:$AC$501,0))&amp;"","")</f>
        <v>dronesquare@naver.com</v>
      </c>
      <c r="T23" s="21" t="str">
        <f aca="false">IFERROR(INDEX(종합!T$3:T$501,MATCH(ROW()-2,종합!$AC$3:$AC$501,0))&amp;"","")</f>
        <v>010-9279-3437</v>
      </c>
      <c r="U23" s="21" t="str">
        <f aca="false">IFERROR(INDEX(종합!U$3:U$501,MATCH(ROW()-2,종합!$AC$3:$AC$501,0))&amp;"","")</f>
        <v>김용진</v>
      </c>
      <c r="V23" s="21" t="str">
        <f aca="false">IFERROR(INDEX(종합!V$3:V$501,MATCH(ROW()-2,종합!$AC$3:$AC$501,0))&amp;"","")</f>
        <v>ICT국제표준화본부</v>
      </c>
      <c r="W23" s="21" t="str">
        <f aca="false">IFERROR(INDEX(종합!W$3:W$501,MATCH(ROW()-2,종합!$AC$3:$AC$501,0))&amp;"","")</f>
        <v>이사/부회장</v>
      </c>
      <c r="X23" s="21" t="str">
        <f aca="false">IFERROR(INDEX(종합!X$3:X$501,MATCH(ROW()-2,종합!$AC$3:$AC$501,0))&amp;"","")</f>
        <v>010-5074-2224</v>
      </c>
      <c r="Y23" s="21" t="str">
        <f aca="false">IFERROR(INDEX(종합!Y$3:Y$501,MATCH(ROW()-2,종합!$AC$3:$AC$501,0))&amp;"","")</f>
        <v>kim292224@naver.com</v>
      </c>
      <c r="Z23" s="21" t="str">
        <f aca="false">IFERROR(INDEX(종합!Z$3:Z$501,MATCH(ROW()-2,종합!$AC$3:$AC$501,0))&amp;"","")</f>
        <v>010-5074-2224</v>
      </c>
    </row>
    <row r="24" customFormat="false" ht="33.75" hidden="false" customHeight="true" outlineLevel="0" collapsed="false">
      <c r="A24" s="18" t="n">
        <f aca="false">IF(B24="","",ROW()-2)</f>
        <v>22</v>
      </c>
      <c r="B24" s="18" t="str">
        <f aca="false">IFERROR(INDEX(종합!B$3:B$501,MATCH(ROW()-2,종합!$AC$3:$AC$501,0))&amp;"","")</f>
        <v>주식회사 비에이치에스엔</v>
      </c>
      <c r="C24" s="18" t="str">
        <f aca="false">IFERROR(INDEX(종합!C$3:C$501,MATCH(ROW()-2,종합!$AC$3:$AC$501,0))&amp;"","")</f>
        <v/>
      </c>
      <c r="D24" s="18" t="str">
        <f aca="false">IFERROR(INDEX(종합!D$3:D$501,MATCH(ROW()-2,종합!$AC$3:$AC$501,0))&amp;"","")</f>
        <v>O</v>
      </c>
      <c r="E24" s="18" t="str">
        <f aca="false">IFERROR(INDEX(종합!E$3:E$501,MATCH(ROW()-2,종합!$AC$3:$AC$501,0))&amp;"","")</f>
        <v/>
      </c>
      <c r="F24" s="18" t="str">
        <f aca="false">IFERROR(INDEX(종합!F$3:F$501,MATCH(ROW()-2,종합!$AC$3:$AC$501,0))&amp;"","")</f>
        <v/>
      </c>
      <c r="G24" s="18" t="str">
        <f aca="false">IFERROR(INDEX(종합!G$3:G$501,MATCH(ROW()-2,종합!$AC$3:$AC$501,0))&amp;"","")</f>
        <v>중소기업</v>
      </c>
      <c r="H24" s="21" t="str">
        <f aca="false">IFERROR(INDEX(종합!H$3:H$501,MATCH(ROW()-2,종합!$AC$3:$AC$501,0))&amp;"","")</f>
        <v>266-87-01764</v>
      </c>
      <c r="I24" s="21" t="str">
        <f aca="false">IFERROR(INDEX(종합!I$3:I$501,MATCH(ROW()-2,종합!$AC$3:$AC$501,0))&amp;"","")</f>
        <v>임정근</v>
      </c>
      <c r="J24" s="21" t="str">
        <f aca="false">IFERROR(INDEX(종합!J$3:J$501,MATCH(ROW()-2,종합!$AC$3:$AC$501,0))&amp;"","")</f>
        <v>02-521-2999</v>
      </c>
      <c r="K24" s="21" t="str">
        <f aca="false">IFERROR(INDEX(종합!K$3:K$501,MATCH(ROW()-2,종합!$AC$3:$AC$501,0))&amp;"","")</f>
        <v>https://bhsn.ai/</v>
      </c>
      <c r="L24" s="21" t="str">
        <f aca="false">IFERROR(INDEX(종합!L$3:L$501,MATCH(ROW()-2,종합!$AC$3:$AC$501,0))&amp;"","")</f>
        <v>hjjeon@bhsn.ai</v>
      </c>
      <c r="M24" s="21" t="str">
        <f aca="false">IFERROR(INDEX(종합!M$3:M$501,MATCH(ROW()-2,종합!$AC$3:$AC$501,0))&amp;"","")</f>
        <v>서울특별시 강남구 삼성로 570, 5층 (06163)</v>
      </c>
      <c r="N24" s="25" t="str">
        <f aca="false">IFERROR(INDEX(종합!N$3:N$501,MATCH(ROW()-2,종합!$AC$3:$AC$501,0))&amp;"","")</f>
        <v>리걸 특화 LLM 및 에이전트(법령, 판례 검색 및 업무 자동화 서비스)</v>
      </c>
      <c r="O24" s="21" t="str">
        <f aca="false">IFERROR(INDEX(종합!O$3:O$501,MATCH(ROW()-2,종합!$AC$3:$AC$501,0))&amp;"","")</f>
        <v>임정근</v>
      </c>
      <c r="P24" s="21" t="str">
        <f aca="false">IFERROR(INDEX(종합!P$3:P$501,MATCH(ROW()-2,종합!$AC$3:$AC$501,0))&amp;"","")</f>
        <v>CEO</v>
      </c>
      <c r="Q24" s="21" t="str">
        <f aca="false">IFERROR(INDEX(종합!Q$3:Q$501,MATCH(ROW()-2,종합!$AC$3:$AC$501,0))&amp;"","")</f>
        <v>CEO</v>
      </c>
      <c r="R24" s="21" t="str">
        <f aca="false">IFERROR(INDEX(종합!R$3:R$501,MATCH(ROW()-2,종합!$AC$3:$AC$501,0))&amp;"","")</f>
        <v>02-521-2999</v>
      </c>
      <c r="S24" s="21" t="str">
        <f aca="false">IFERROR(INDEX(종합!S$3:S$501,MATCH(ROW()-2,종합!$AC$3:$AC$501,0))&amp;"","")</f>
        <v>jklim@bhsn.ai</v>
      </c>
      <c r="T24" s="21" t="str">
        <f aca="false">IFERROR(INDEX(종합!T$3:T$501,MATCH(ROW()-2,종합!$AC$3:$AC$501,0))&amp;"","")</f>
        <v>010-9153-5280</v>
      </c>
      <c r="U24" s="21" t="str">
        <f aca="false">IFERROR(INDEX(종합!U$3:U$501,MATCH(ROW()-2,종합!$AC$3:$AC$501,0))&amp;"","")</f>
        <v>전혜주</v>
      </c>
      <c r="V24" s="21" t="str">
        <f aca="false">IFERROR(INDEX(종합!V$3:V$501,MATCH(ROW()-2,종합!$AC$3:$AC$501,0))&amp;"","")</f>
        <v>비즈니스팀</v>
      </c>
      <c r="W24" s="21" t="str">
        <f aca="false">IFERROR(INDEX(종합!W$3:W$501,MATCH(ROW()-2,종합!$AC$3:$AC$501,0))&amp;"","")</f>
        <v>PM</v>
      </c>
      <c r="X24" s="21" t="str">
        <f aca="false">IFERROR(INDEX(종합!X$3:X$501,MATCH(ROW()-2,종합!$AC$3:$AC$501,0))&amp;"","")</f>
        <v>010-8525-7309</v>
      </c>
      <c r="Y24" s="21" t="str">
        <f aca="false">IFERROR(INDEX(종합!Y$3:Y$501,MATCH(ROW()-2,종합!$AC$3:$AC$501,0))&amp;"","")</f>
        <v>hjjeon@bhsn.ai</v>
      </c>
      <c r="Z24" s="21" t="str">
        <f aca="false">IFERROR(INDEX(종합!Z$3:Z$501,MATCH(ROW()-2,종합!$AC$3:$AC$501,0))&amp;"","")</f>
        <v>010-8525-7309</v>
      </c>
    </row>
    <row r="25" customFormat="false" ht="33.75" hidden="false" customHeight="true" outlineLevel="0" collapsed="false">
      <c r="A25" s="18" t="n">
        <f aca="false">IF(B25="","",ROW()-2)</f>
        <v>23</v>
      </c>
      <c r="B25" s="18" t="str">
        <f aca="false">IFERROR(INDEX(종합!B$3:B$501,MATCH(ROW()-2,종합!$AC$3:$AC$501,0))&amp;"","")</f>
        <v>주식회사 데이원컴퍼니</v>
      </c>
      <c r="C25" s="18" t="str">
        <f aca="false">IFERROR(INDEX(종합!C$3:C$501,MATCH(ROW()-2,종합!$AC$3:$AC$501,0))&amp;"","")</f>
        <v/>
      </c>
      <c r="D25" s="18" t="str">
        <f aca="false">IFERROR(INDEX(종합!D$3:D$501,MATCH(ROW()-2,종합!$AC$3:$AC$501,0))&amp;"","")</f>
        <v>O</v>
      </c>
      <c r="E25" s="18" t="str">
        <f aca="false">IFERROR(INDEX(종합!E$3:E$501,MATCH(ROW()-2,종합!$AC$3:$AC$501,0))&amp;"","")</f>
        <v/>
      </c>
      <c r="F25" s="18" t="str">
        <f aca="false">IFERROR(INDEX(종합!F$3:F$501,MATCH(ROW()-2,종합!$AC$3:$AC$501,0))&amp;"","")</f>
        <v/>
      </c>
      <c r="G25" s="18" t="str">
        <f aca="false">IFERROR(INDEX(종합!G$3:G$501,MATCH(ROW()-2,종합!$AC$3:$AC$501,0))&amp;"","")</f>
        <v>중소기업</v>
      </c>
      <c r="H25" s="21" t="str">
        <f aca="false">IFERROR(INDEX(종합!H$3:H$501,MATCH(ROW()-2,종합!$AC$3:$AC$501,0))&amp;"","")</f>
        <v>810-86-00658</v>
      </c>
      <c r="I25" s="21" t="str">
        <f aca="false">IFERROR(INDEX(종합!I$3:I$501,MATCH(ROW()-2,종합!$AC$3:$AC$501,0))&amp;"","")</f>
        <v>이강민</v>
      </c>
      <c r="J25" s="21" t="str">
        <f aca="false">IFERROR(INDEX(종합!J$3:J$501,MATCH(ROW()-2,종합!$AC$3:$AC$501,0))&amp;"","")</f>
        <v>010-9158-5979</v>
      </c>
      <c r="K25" s="21" t="str">
        <f aca="false">IFERROR(INDEX(종합!K$3:K$501,MATCH(ROW()-2,종합!$AC$3:$AC$501,0))&amp;"","")</f>
        <v>https://day1company.co.kr/</v>
      </c>
      <c r="L25" s="21" t="str">
        <f aca="false">IFERROR(INDEX(종합!L$3:L$501,MATCH(ROW()-2,종합!$AC$3:$AC$501,0))&amp;"","")</f>
        <v>sunyoung.chae@day1company.co.kr</v>
      </c>
      <c r="M25" s="21" t="str">
        <f aca="false">IFERROR(INDEX(종합!M$3:M$501,MATCH(ROW()-2,종합!$AC$3:$AC$501,0))&amp;"","")</f>
        <v>서울 강남구 테헤란로 231, 센터필드 WEST 6~7층</v>
      </c>
      <c r="N25" s="25" t="str">
        <f aca="false">IFERROR(INDEX(종합!N$3:N$501,MATCH(ROW()-2,종합!$AC$3:$AC$501,0))&amp;"","")</f>
        <v>AI기반 교육서비스 / 스킬플로(자연어검색, 개인맞춤형 큐레이션), 스킬매치(AI직무스킬진단), AI튜터(온라인AI강사), </v>
      </c>
      <c r="O25" s="21" t="str">
        <f aca="false">IFERROR(INDEX(종합!O$3:O$501,MATCH(ROW()-2,종합!$AC$3:$AC$501,0))&amp;"","")</f>
        <v>신해동</v>
      </c>
      <c r="P25" s="21" t="str">
        <f aca="false">IFERROR(INDEX(종합!P$3:P$501,MATCH(ROW()-2,종합!$AC$3:$AC$501,0))&amp;"","")</f>
        <v>패스트캠퍼스</v>
      </c>
      <c r="Q25" s="21" t="str">
        <f aca="false">IFERROR(INDEX(종합!Q$3:Q$501,MATCH(ROW()-2,종합!$AC$3:$AC$501,0))&amp;"","")</f>
        <v>대표</v>
      </c>
      <c r="R25" s="21" t="str">
        <f aca="false">IFERROR(INDEX(종합!R$3:R$501,MATCH(ROW()-2,종합!$AC$3:$AC$501,0))&amp;"","")</f>
        <v>010-8875-5896</v>
      </c>
      <c r="S25" s="21" t="str">
        <f aca="false">IFERROR(INDEX(종합!S$3:S$501,MATCH(ROW()-2,종합!$AC$3:$AC$501,0))&amp;"","")</f>
        <v>haedong@day1company.co.kr</v>
      </c>
      <c r="T25" s="21" t="str">
        <f aca="false">IFERROR(INDEX(종합!T$3:T$501,MATCH(ROW()-2,종합!$AC$3:$AC$501,0))&amp;"","")</f>
        <v>010-8875-5896</v>
      </c>
      <c r="U25" s="21" t="str">
        <f aca="false">IFERROR(INDEX(종합!U$3:U$501,MATCH(ROW()-2,종합!$AC$3:$AC$501,0))&amp;"","")</f>
        <v>김지훈</v>
      </c>
      <c r="V25" s="21" t="str">
        <f aca="false">IFERROR(INDEX(종합!V$3:V$501,MATCH(ROW()-2,종합!$AC$3:$AC$501,0))&amp;"","")</f>
        <v>B2G부문</v>
      </c>
      <c r="W25" s="21" t="str">
        <f aca="false">IFERROR(INDEX(종합!W$3:W$501,MATCH(ROW()-2,종합!$AC$3:$AC$501,0))&amp;"","")</f>
        <v>부문대표</v>
      </c>
      <c r="X25" s="21" t="str">
        <f aca="false">IFERROR(INDEX(종합!X$3:X$501,MATCH(ROW()-2,종합!$AC$3:$AC$501,0))&amp;"","")</f>
        <v>010-9064-8413</v>
      </c>
      <c r="Y25" s="21" t="str">
        <f aca="false">IFERROR(INDEX(종합!Y$3:Y$501,MATCH(ROW()-2,종합!$AC$3:$AC$501,0))&amp;"","")</f>
        <v>jhkim@day1company.co.kr</v>
      </c>
      <c r="Z25" s="21" t="str">
        <f aca="false">IFERROR(INDEX(종합!Z$3:Z$501,MATCH(ROW()-2,종합!$AC$3:$AC$501,0))&amp;"","")</f>
        <v>010-9064-8413</v>
      </c>
    </row>
    <row r="26" customFormat="false" ht="33.75" hidden="false" customHeight="true" outlineLevel="0" collapsed="false">
      <c r="A26" s="18" t="n">
        <f aca="false">IF(B26="","",ROW()-2)</f>
        <v>24</v>
      </c>
      <c r="B26" s="18" t="str">
        <f aca="false">IFERROR(INDEX(종합!B$3:B$501,MATCH(ROW()-2,종합!$AC$3:$AC$501,0))&amp;"","")</f>
        <v>㈜이큐포올</v>
      </c>
      <c r="C26" s="18" t="str">
        <f aca="false">IFERROR(INDEX(종합!C$3:C$501,MATCH(ROW()-2,종합!$AC$3:$AC$501,0))&amp;"","")</f>
        <v/>
      </c>
      <c r="D26" s="18" t="str">
        <f aca="false">IFERROR(INDEX(종합!D$3:D$501,MATCH(ROW()-2,종합!$AC$3:$AC$501,0))&amp;"","")</f>
        <v>O</v>
      </c>
      <c r="E26" s="18" t="str">
        <f aca="false">IFERROR(INDEX(종합!E$3:E$501,MATCH(ROW()-2,종합!$AC$3:$AC$501,0))&amp;"","")</f>
        <v/>
      </c>
      <c r="F26" s="18" t="str">
        <f aca="false">IFERROR(INDEX(종합!F$3:F$501,MATCH(ROW()-2,종합!$AC$3:$AC$501,0))&amp;"","")</f>
        <v/>
      </c>
      <c r="G26" s="18" t="str">
        <f aca="false">IFERROR(INDEX(종합!G$3:G$501,MATCH(ROW()-2,종합!$AC$3:$AC$501,0))&amp;"","")</f>
        <v>중소기업</v>
      </c>
      <c r="H26" s="21" t="str">
        <f aca="false">IFERROR(INDEX(종합!H$3:H$501,MATCH(ROW()-2,종합!$AC$3:$AC$501,0))&amp;"","")</f>
        <v>161-81-00885</v>
      </c>
      <c r="I26" s="21" t="str">
        <f aca="false">IFERROR(INDEX(종합!I$3:I$501,MATCH(ROW()-2,종합!$AC$3:$AC$501,0))&amp;"","")</f>
        <v>이인구</v>
      </c>
      <c r="J26" s="21" t="str">
        <f aca="false">IFERROR(INDEX(종합!J$3:J$501,MATCH(ROW()-2,종합!$AC$3:$AC$501,0))&amp;"","")</f>
        <v>02-6207-7897</v>
      </c>
      <c r="K26" s="21" t="str">
        <f aca="false">IFERROR(INDEX(종합!K$3:K$501,MATCH(ROW()-2,종합!$AC$3:$AC$501,0))&amp;"","")</f>
        <v>https://www.eq4all.co.kr/</v>
      </c>
      <c r="L26" s="21" t="str">
        <f aca="false">IFERROR(INDEX(종합!L$3:L$501,MATCH(ROW()-2,종합!$AC$3:$AC$501,0))&amp;"","")</f>
        <v>edenlee@eq4all.co.kr</v>
      </c>
      <c r="M26" s="21" t="str">
        <f aca="false">IFERROR(INDEX(종합!M$3:M$501,MATCH(ROW()-2,종합!$AC$3:$AC$501,0))&amp;"","")</f>
        <v>서울특별시 강남구 논현로76길 11, 4층(역삼동, 코람벤처빌딩)</v>
      </c>
      <c r="N26" s="25" t="str">
        <f aca="false">IFERROR(INDEX(종합!N$3:N$501,MATCH(ROW()-2,종합!$AC$3:$AC$501,0))&amp;"","")</f>
        <v>정보 접근성 (수어/쉬운 정보), 3D 수어 아바타 번역 기술, 쉬운 정보 변환 기술</v>
      </c>
      <c r="O26" s="21" t="str">
        <f aca="false">IFERROR(INDEX(종합!O$3:O$501,MATCH(ROW()-2,종합!$AC$3:$AC$501,0))&amp;"","")</f>
        <v>이인구</v>
      </c>
      <c r="P26" s="21" t="str">
        <f aca="false">IFERROR(INDEX(종합!P$3:P$501,MATCH(ROW()-2,종합!$AC$3:$AC$501,0))&amp;"","")</f>
        <v>(공란)</v>
      </c>
      <c r="Q26" s="21" t="str">
        <f aca="false">IFERROR(INDEX(종합!Q$3:Q$501,MATCH(ROW()-2,종합!$AC$3:$AC$501,0))&amp;"","")</f>
        <v>대표</v>
      </c>
      <c r="R26" s="21" t="str">
        <f aca="false">IFERROR(INDEX(종합!R$3:R$501,MATCH(ROW()-2,종합!$AC$3:$AC$501,0))&amp;"","")</f>
        <v>02-6207-7897</v>
      </c>
      <c r="S26" s="21" t="str">
        <f aca="false">IFERROR(INDEX(종합!S$3:S$501,MATCH(ROW()-2,종합!$AC$3:$AC$501,0))&amp;"","")</f>
        <v>kevinlee@eq4all.co.kr</v>
      </c>
      <c r="T26" s="21" t="str">
        <f aca="false">IFERROR(INDEX(종합!T$3:T$501,MATCH(ROW()-2,종합!$AC$3:$AC$501,0))&amp;"","")</f>
        <v>010-4227-3841</v>
      </c>
      <c r="U26" s="21" t="str">
        <f aca="false">IFERROR(INDEX(종합!U$3:U$501,MATCH(ROW()-2,종합!$AC$3:$AC$501,0))&amp;"","")</f>
        <v>주소현</v>
      </c>
      <c r="V26" s="21" t="str">
        <f aca="false">IFERROR(INDEX(종합!V$3:V$501,MATCH(ROW()-2,종합!$AC$3:$AC$501,0))&amp;"","")</f>
        <v>이사</v>
      </c>
      <c r="W26" s="21" t="str">
        <f aca="false">IFERROR(INDEX(종합!W$3:W$501,MATCH(ROW()-2,종합!$AC$3:$AC$501,0))&amp;"","")</f>
        <v>마케팅실</v>
      </c>
      <c r="X26" s="21" t="str">
        <f aca="false">IFERROR(INDEX(종합!X$3:X$501,MATCH(ROW()-2,종합!$AC$3:$AC$501,0))&amp;"","")</f>
        <v>02-6207-7897</v>
      </c>
      <c r="Y26" s="21" t="str">
        <f aca="false">IFERROR(INDEX(종합!Y$3:Y$501,MATCH(ROW()-2,종합!$AC$3:$AC$501,0))&amp;"","")</f>
        <v>josephinejoo@eq4all.co.kr</v>
      </c>
      <c r="Z26" s="21" t="str">
        <f aca="false">IFERROR(INDEX(종합!Z$3:Z$501,MATCH(ROW()-2,종합!$AC$3:$AC$501,0))&amp;"","")</f>
        <v>010-3490-6723</v>
      </c>
    </row>
    <row r="27" customFormat="false" ht="22.5" hidden="false" customHeight="true" outlineLevel="0" collapsed="false">
      <c r="A27" s="18" t="n">
        <f aca="false">IF(B27="","",ROW()-2)</f>
        <v>25</v>
      </c>
      <c r="B27" s="18" t="str">
        <f aca="false">IFERROR(INDEX(종합!B$3:B$501,MATCH(ROW()-2,종합!$AC$3:$AC$501,0))&amp;"","")</f>
        <v>(주)오픈네트웍시스템</v>
      </c>
      <c r="C27" s="18" t="str">
        <f aca="false">IFERROR(INDEX(종합!C$3:C$501,MATCH(ROW()-2,종합!$AC$3:$AC$501,0))&amp;"","")</f>
        <v/>
      </c>
      <c r="D27" s="18" t="str">
        <f aca="false">IFERROR(INDEX(종합!D$3:D$501,MATCH(ROW()-2,종합!$AC$3:$AC$501,0))&amp;"","")</f>
        <v>O</v>
      </c>
      <c r="E27" s="18" t="str">
        <f aca="false">IFERROR(INDEX(종합!E$3:E$501,MATCH(ROW()-2,종합!$AC$3:$AC$501,0))&amp;"","")</f>
        <v/>
      </c>
      <c r="F27" s="18" t="str">
        <f aca="false">IFERROR(INDEX(종합!F$3:F$501,MATCH(ROW()-2,종합!$AC$3:$AC$501,0))&amp;"","")</f>
        <v/>
      </c>
      <c r="G27" s="18" t="str">
        <f aca="false">IFERROR(INDEX(종합!G$3:G$501,MATCH(ROW()-2,종합!$AC$3:$AC$501,0))&amp;"","")</f>
        <v>중소기업</v>
      </c>
      <c r="H27" s="21" t="str">
        <f aca="false">IFERROR(INDEX(종합!H$3:H$501,MATCH(ROW()-2,종합!$AC$3:$AC$501,0))&amp;"","")</f>
        <v>107-81-69444</v>
      </c>
      <c r="I27" s="21" t="str">
        <f aca="false">IFERROR(INDEX(종합!I$3:I$501,MATCH(ROW()-2,종합!$AC$3:$AC$501,0))&amp;"","")</f>
        <v>박봉균</v>
      </c>
      <c r="J27" s="21" t="str">
        <f aca="false">IFERROR(INDEX(종합!J$3:J$501,MATCH(ROW()-2,종합!$AC$3:$AC$501,0))&amp;"","")</f>
        <v>1544-0357</v>
      </c>
      <c r="K27" s="21" t="str">
        <f aca="false">IFERROR(INDEX(종합!K$3:K$501,MATCH(ROW()-2,종합!$AC$3:$AC$501,0))&amp;"","")</f>
        <v>https://open-network.co.kr/</v>
      </c>
      <c r="L27" s="21" t="str">
        <f aca="false">IFERROR(INDEX(종합!L$3:L$501,MATCH(ROW()-2,종합!$AC$3:$AC$501,0))&amp;"","")</f>
        <v>parksujin0906@gmail.com</v>
      </c>
      <c r="M27" s="21" t="str">
        <f aca="false">IFERROR(INDEX(종합!M$3:M$501,MATCH(ROW()-2,종합!$AC$3:$AC$501,0))&amp;"","")</f>
        <v>경기도 의왕시 이미로 40, B동 907호 인덕원 IT밸리</v>
      </c>
      <c r="N27" s="25" t="str">
        <f aca="false">IFERROR(INDEX(종합!N$3:N$501,MATCH(ROW()-2,종합!$AC$3:$AC$501,0))&amp;"","")</f>
        <v>LLMOps 플랫폼 및 ONS AX Foundry 서비스</v>
      </c>
      <c r="O27" s="21" t="str">
        <f aca="false">IFERROR(INDEX(종합!O$3:O$501,MATCH(ROW()-2,종합!$AC$3:$AC$501,0))&amp;"","")</f>
        <v>박종일</v>
      </c>
      <c r="P27" s="21" t="str">
        <f aca="false">IFERROR(INDEX(종합!P$3:P$501,MATCH(ROW()-2,종합!$AC$3:$AC$501,0))&amp;"","")</f>
        <v>S/W 개발부</v>
      </c>
      <c r="Q27" s="21" t="str">
        <f aca="false">IFERROR(INDEX(종합!Q$3:Q$501,MATCH(ROW()-2,종합!$AC$3:$AC$501,0))&amp;"","")</f>
        <v>매니저</v>
      </c>
      <c r="R27" s="21" t="str">
        <f aca="false">IFERROR(INDEX(종합!R$3:R$501,MATCH(ROW()-2,종합!$AC$3:$AC$501,0))&amp;"","")</f>
        <v>010-5348-5208</v>
      </c>
      <c r="S27" s="21" t="str">
        <f aca="false">IFERROR(INDEX(종합!S$3:S$501,MATCH(ROW()-2,종합!$AC$3:$AC$501,0))&amp;"","")</f>
        <v>jongpark@open-network.co.kr</v>
      </c>
      <c r="T27" s="21" t="str">
        <f aca="false">IFERROR(INDEX(종합!T$3:T$501,MATCH(ROW()-2,종합!$AC$3:$AC$501,0))&amp;"","")</f>
        <v>010-5348-5208</v>
      </c>
      <c r="U27" s="21" t="str">
        <f aca="false">IFERROR(INDEX(종합!U$3:U$501,MATCH(ROW()-2,종합!$AC$3:$AC$501,0))&amp;"","")</f>
        <v>박수진</v>
      </c>
      <c r="V27" s="21" t="str">
        <f aca="false">IFERROR(INDEX(종합!V$3:V$501,MATCH(ROW()-2,종합!$AC$3:$AC$501,0))&amp;"","")</f>
        <v>영업부</v>
      </c>
      <c r="W27" s="21" t="str">
        <f aca="false">IFERROR(INDEX(종합!W$3:W$501,MATCH(ROW()-2,종합!$AC$3:$AC$501,0))&amp;"","")</f>
        <v>매니저</v>
      </c>
      <c r="X27" s="21" t="str">
        <f aca="false">IFERROR(INDEX(종합!X$3:X$501,MATCH(ROW()-2,종합!$AC$3:$AC$501,0))&amp;"","")</f>
        <v>010-8817-5208</v>
      </c>
      <c r="Y27" s="21" t="str">
        <f aca="false">IFERROR(INDEX(종합!Y$3:Y$501,MATCH(ROW()-2,종합!$AC$3:$AC$501,0))&amp;"","")</f>
        <v>sujin@open-network.co.kr</v>
      </c>
      <c r="Z27" s="21" t="str">
        <f aca="false">IFERROR(INDEX(종합!Z$3:Z$501,MATCH(ROW()-2,종합!$AC$3:$AC$501,0))&amp;"","")</f>
        <v>010-8817-5208</v>
      </c>
    </row>
    <row r="28" customFormat="false" ht="22.5" hidden="false" customHeight="true" outlineLevel="0" collapsed="false">
      <c r="A28" s="18" t="n">
        <f aca="false">IF(B28="","",ROW()-2)</f>
        <v>26</v>
      </c>
      <c r="B28" s="18" t="str">
        <f aca="false">IFERROR(INDEX(종합!B$3:B$501,MATCH(ROW()-2,종합!$AC$3:$AC$501,0))&amp;"","")</f>
        <v>바운드포 주식회사</v>
      </c>
      <c r="C28" s="18" t="str">
        <f aca="false">IFERROR(INDEX(종합!C$3:C$501,MATCH(ROW()-2,종합!$AC$3:$AC$501,0))&amp;"","")</f>
        <v/>
      </c>
      <c r="D28" s="18" t="str">
        <f aca="false">IFERROR(INDEX(종합!D$3:D$501,MATCH(ROW()-2,종합!$AC$3:$AC$501,0))&amp;"","")</f>
        <v>O</v>
      </c>
      <c r="E28" s="18" t="str">
        <f aca="false">IFERROR(INDEX(종합!E$3:E$501,MATCH(ROW()-2,종합!$AC$3:$AC$501,0))&amp;"","")</f>
        <v/>
      </c>
      <c r="F28" s="18" t="str">
        <f aca="false">IFERROR(INDEX(종합!F$3:F$501,MATCH(ROW()-2,종합!$AC$3:$AC$501,0))&amp;"","")</f>
        <v/>
      </c>
      <c r="G28" s="18" t="str">
        <f aca="false">IFERROR(INDEX(종합!G$3:G$501,MATCH(ROW()-2,종합!$AC$3:$AC$501,0))&amp;"","")</f>
        <v>중소기업</v>
      </c>
      <c r="H28" s="21" t="str">
        <f aca="false">IFERROR(INDEX(종합!H$3:H$501,MATCH(ROW()-2,종합!$AC$3:$AC$501,0))&amp;"","")</f>
        <v>617-87-01415</v>
      </c>
      <c r="I28" s="21" t="str">
        <f aca="false">IFERROR(INDEX(종합!I$3:I$501,MATCH(ROW()-2,종합!$AC$3:$AC$501,0))&amp;"","")</f>
        <v>황인호</v>
      </c>
      <c r="J28" s="21" t="str">
        <f aca="false">IFERROR(INDEX(종합!J$3:J$501,MATCH(ROW()-2,종합!$AC$3:$AC$501,0))&amp;"","")</f>
        <v>010-9996-2707</v>
      </c>
      <c r="K28" s="21" t="str">
        <f aca="false">IFERROR(INDEX(종합!K$3:K$501,MATCH(ROW()-2,종합!$AC$3:$AC$501,0))&amp;"","")</f>
        <v>www.bound4.co.kr</v>
      </c>
      <c r="L28" s="21" t="str">
        <f aca="false">IFERROR(INDEX(종합!L$3:L$501,MATCH(ROW()-2,종합!$AC$3:$AC$501,0))&amp;"","")</f>
        <v>inhovation@bound4.co.kr</v>
      </c>
      <c r="M28" s="21" t="str">
        <f aca="false">IFERROR(INDEX(종합!M$3:M$501,MATCH(ROW()-2,종합!$AC$3:$AC$501,0))&amp;"","")</f>
        <v>서울시 강남구 언주로 617 3층</v>
      </c>
      <c r="N28" s="25" t="str">
        <f aca="false">IFERROR(INDEX(종합!N$3:N$501,MATCH(ROW()-2,종합!$AC$3:$AC$501,0))&amp;"","")</f>
        <v>드로파이(DROPAI) - GPDataOps</v>
      </c>
      <c r="O28" s="21" t="str">
        <f aca="false">IFERROR(INDEX(종합!O$3:O$501,MATCH(ROW()-2,종합!$AC$3:$AC$501,0))&amp;"","")</f>
        <v>황인호</v>
      </c>
      <c r="P28" s="21" t="str">
        <f aca="false">IFERROR(INDEX(종합!P$3:P$501,MATCH(ROW()-2,종합!$AC$3:$AC$501,0))&amp;"","")</f>
        <v>경영전략팀</v>
      </c>
      <c r="Q28" s="21" t="str">
        <f aca="false">IFERROR(INDEX(종합!Q$3:Q$501,MATCH(ROW()-2,종합!$AC$3:$AC$501,0))&amp;"","")</f>
        <v>대표이사</v>
      </c>
      <c r="R28" s="21" t="str">
        <f aca="false">IFERROR(INDEX(종합!R$3:R$501,MATCH(ROW()-2,종합!$AC$3:$AC$501,0))&amp;"","")</f>
        <v>010-9996-2707</v>
      </c>
      <c r="S28" s="21" t="str">
        <f aca="false">IFERROR(INDEX(종합!S$3:S$501,MATCH(ROW()-2,종합!$AC$3:$AC$501,0))&amp;"","")</f>
        <v>inhovation@bound4.co.kr</v>
      </c>
      <c r="T28" s="21" t="str">
        <f aca="false">IFERROR(INDEX(종합!T$3:T$501,MATCH(ROW()-2,종합!$AC$3:$AC$501,0))&amp;"","")</f>
        <v>010-9996-2707</v>
      </c>
      <c r="U28" s="21" t="str">
        <f aca="false">IFERROR(INDEX(종합!U$3:U$501,MATCH(ROW()-2,종합!$AC$3:$AC$501,0))&amp;"","")</f>
        <v>황인호</v>
      </c>
      <c r="V28" s="21" t="str">
        <f aca="false">IFERROR(INDEX(종합!V$3:V$501,MATCH(ROW()-2,종합!$AC$3:$AC$501,0))&amp;"","")</f>
        <v>경영전략팀</v>
      </c>
      <c r="W28" s="21" t="str">
        <f aca="false">IFERROR(INDEX(종합!W$3:W$501,MATCH(ROW()-2,종합!$AC$3:$AC$501,0))&amp;"","")</f>
        <v>대표이사</v>
      </c>
      <c r="X28" s="21" t="str">
        <f aca="false">IFERROR(INDEX(종합!X$3:X$501,MATCH(ROW()-2,종합!$AC$3:$AC$501,0))&amp;"","")</f>
        <v>010-9996-2707</v>
      </c>
      <c r="Y28" s="21" t="str">
        <f aca="false">IFERROR(INDEX(종합!Y$3:Y$501,MATCH(ROW()-2,종합!$AC$3:$AC$501,0))&amp;"","")</f>
        <v>inhovation@bound4.co.kr</v>
      </c>
      <c r="Z28" s="21" t="str">
        <f aca="false">IFERROR(INDEX(종합!Z$3:Z$501,MATCH(ROW()-2,종합!$AC$3:$AC$501,0))&amp;"","")</f>
        <v>010-9996-2707</v>
      </c>
    </row>
    <row r="29" customFormat="false" ht="33.75" hidden="false" customHeight="true" outlineLevel="0" collapsed="false">
      <c r="A29" s="18" t="n">
        <f aca="false">IF(B29="","",ROW()-2)</f>
        <v>27</v>
      </c>
      <c r="B29" s="18" t="str">
        <f aca="false">IFERROR(INDEX(종합!B$3:B$501,MATCH(ROW()-2,종합!$AC$3:$AC$501,0))&amp;"","")</f>
        <v>럽디(주)</v>
      </c>
      <c r="C29" s="18" t="str">
        <f aca="false">IFERROR(INDEX(종합!C$3:C$501,MATCH(ROW()-2,종합!$AC$3:$AC$501,0))&amp;"","")</f>
        <v/>
      </c>
      <c r="D29" s="18" t="str">
        <f aca="false">IFERROR(INDEX(종합!D$3:D$501,MATCH(ROW()-2,종합!$AC$3:$AC$501,0))&amp;"","")</f>
        <v>O</v>
      </c>
      <c r="E29" s="18" t="str">
        <f aca="false">IFERROR(INDEX(종합!E$3:E$501,MATCH(ROW()-2,종합!$AC$3:$AC$501,0))&amp;"","")</f>
        <v/>
      </c>
      <c r="F29" s="18" t="str">
        <f aca="false">IFERROR(INDEX(종합!F$3:F$501,MATCH(ROW()-2,종합!$AC$3:$AC$501,0))&amp;"","")</f>
        <v/>
      </c>
      <c r="G29" s="18" t="str">
        <f aca="false">IFERROR(INDEX(종합!G$3:G$501,MATCH(ROW()-2,종합!$AC$3:$AC$501,0))&amp;"","")</f>
        <v>중소기업</v>
      </c>
      <c r="H29" s="21" t="str">
        <f aca="false">IFERROR(INDEX(종합!H$3:H$501,MATCH(ROW()-2,종합!$AC$3:$AC$501,0))&amp;"","")</f>
        <v>651-81-00409</v>
      </c>
      <c r="I29" s="21" t="str">
        <f aca="false">IFERROR(INDEX(종합!I$3:I$501,MATCH(ROW()-2,종합!$AC$3:$AC$501,0))&amp;"","")</f>
        <v>김나라</v>
      </c>
      <c r="J29" s="21" t="str">
        <f aca="false">IFERROR(INDEX(종합!J$3:J$501,MATCH(ROW()-2,종합!$AC$3:$AC$501,0))&amp;"","")</f>
        <v>02-752-0719</v>
      </c>
      <c r="K29" s="21" t="str">
        <f aca="false">IFERROR(INDEX(종합!K$3:K$501,MATCH(ROW()-2,종합!$AC$3:$AC$501,0))&amp;"","")</f>
        <v>https://luvd.co.kr</v>
      </c>
      <c r="L29" s="21" t="str">
        <f aca="false">IFERROR(INDEX(종합!L$3:L$501,MATCH(ROW()-2,종합!$AC$3:$AC$501,0))&amp;"","")</f>
        <v>geoluck0725@gmail.com</v>
      </c>
      <c r="M29" s="21" t="str">
        <f aca="false">IFERROR(INDEX(종합!M$3:M$501,MATCH(ROW()-2,종합!$AC$3:$AC$501,0))&amp;"","")</f>
        <v>서울 관악구 남부순환로 1698</v>
      </c>
      <c r="N29" s="25" t="str">
        <f aca="false">IFERROR(INDEX(종합!N$3:N$501,MATCH(ROW()-2,종합!$AC$3:$AC$501,0))&amp;"","")</f>
        <v>AEO(Answer Engine Optimization)/ 및 GEO를 위한 분석/실행 기술</v>
      </c>
      <c r="O29" s="21" t="str">
        <f aca="false">IFERROR(INDEX(종합!O$3:O$501,MATCH(ROW()-2,종합!$AC$3:$AC$501,0))&amp;"","")</f>
        <v>이장원</v>
      </c>
      <c r="P29" s="21" t="str">
        <f aca="false">IFERROR(INDEX(종합!P$3:P$501,MATCH(ROW()-2,종합!$AC$3:$AC$501,0))&amp;"","")</f>
        <v>기업부설연구소</v>
      </c>
      <c r="Q29" s="21" t="str">
        <f aca="false">IFERROR(INDEX(종합!Q$3:Q$501,MATCH(ROW()-2,종합!$AC$3:$AC$501,0))&amp;"","")</f>
        <v>상무/CTO</v>
      </c>
      <c r="R29" s="21" t="str">
        <f aca="false">IFERROR(INDEX(종합!R$3:R$501,MATCH(ROW()-2,종합!$AC$3:$AC$501,0))&amp;"","")</f>
        <v>010-9501-8096</v>
      </c>
      <c r="S29" s="21" t="str">
        <f aca="false">IFERROR(INDEX(종합!S$3:S$501,MATCH(ROW()-2,종합!$AC$3:$AC$501,0))&amp;"","")</f>
        <v>jwlee@luvd.co.kr</v>
      </c>
      <c r="T29" s="21" t="str">
        <f aca="false">IFERROR(INDEX(종합!T$3:T$501,MATCH(ROW()-2,종합!$AC$3:$AC$501,0))&amp;"","")</f>
        <v>010-9501-8096</v>
      </c>
      <c r="U29" s="21" t="str">
        <f aca="false">IFERROR(INDEX(종합!U$3:U$501,MATCH(ROW()-2,종합!$AC$3:$AC$501,0))&amp;"","")</f>
        <v>이장원</v>
      </c>
      <c r="V29" s="21" t="str">
        <f aca="false">IFERROR(INDEX(종합!V$3:V$501,MATCH(ROW()-2,종합!$AC$3:$AC$501,0))&amp;"","")</f>
        <v>기업부설연구소</v>
      </c>
      <c r="W29" s="21" t="str">
        <f aca="false">IFERROR(INDEX(종합!W$3:W$501,MATCH(ROW()-2,종합!$AC$3:$AC$501,0))&amp;"","")</f>
        <v>상무/CTO</v>
      </c>
      <c r="X29" s="21" t="str">
        <f aca="false">IFERROR(INDEX(종합!X$3:X$501,MATCH(ROW()-2,종합!$AC$3:$AC$501,0))&amp;"","")</f>
        <v>010-9501-8096</v>
      </c>
      <c r="Y29" s="21" t="str">
        <f aca="false">IFERROR(INDEX(종합!Y$3:Y$501,MATCH(ROW()-2,종합!$AC$3:$AC$501,0))&amp;"","")</f>
        <v>jwlee@luvd.co.kr</v>
      </c>
      <c r="Z29" s="21" t="str">
        <f aca="false">IFERROR(INDEX(종합!Z$3:Z$501,MATCH(ROW()-2,종합!$AC$3:$AC$501,0))&amp;"","")</f>
        <v>010-9501-8096</v>
      </c>
    </row>
    <row r="30" customFormat="false" ht="33.75" hidden="false" customHeight="true" outlineLevel="0" collapsed="false">
      <c r="A30" s="18" t="n">
        <f aca="false">IF(B30="","",ROW()-2)</f>
        <v>28</v>
      </c>
      <c r="B30" s="18" t="str">
        <f aca="false">IFERROR(INDEX(종합!B$3:B$501,MATCH(ROW()-2,종합!$AC$3:$AC$501,0))&amp;"","")</f>
        <v>(주)가온아이</v>
      </c>
      <c r="C30" s="18" t="str">
        <f aca="false">IFERROR(INDEX(종합!C$3:C$501,MATCH(ROW()-2,종합!$AC$3:$AC$501,0))&amp;"","")</f>
        <v/>
      </c>
      <c r="D30" s="18" t="str">
        <f aca="false">IFERROR(INDEX(종합!D$3:D$501,MATCH(ROW()-2,종합!$AC$3:$AC$501,0))&amp;"","")</f>
        <v>O</v>
      </c>
      <c r="E30" s="18" t="str">
        <f aca="false">IFERROR(INDEX(종합!E$3:E$501,MATCH(ROW()-2,종합!$AC$3:$AC$501,0))&amp;"","")</f>
        <v/>
      </c>
      <c r="F30" s="18" t="str">
        <f aca="false">IFERROR(INDEX(종합!F$3:F$501,MATCH(ROW()-2,종합!$AC$3:$AC$501,0))&amp;"","")</f>
        <v/>
      </c>
      <c r="G30" s="18" t="str">
        <f aca="false">IFERROR(INDEX(종합!G$3:G$501,MATCH(ROW()-2,종합!$AC$3:$AC$501,0))&amp;"","")</f>
        <v>중소기업</v>
      </c>
      <c r="H30" s="21" t="str">
        <f aca="false">IFERROR(INDEX(종합!H$3:H$501,MATCH(ROW()-2,종합!$AC$3:$AC$501,0))&amp;"","")</f>
        <v>211-86-97088</v>
      </c>
      <c r="I30" s="21" t="str">
        <f aca="false">IFERROR(INDEX(종합!I$3:I$501,MATCH(ROW()-2,종합!$AC$3:$AC$501,0))&amp;"","")</f>
        <v>조창제</v>
      </c>
      <c r="J30" s="21" t="str">
        <f aca="false">IFERROR(INDEX(종합!J$3:J$501,MATCH(ROW()-2,종합!$AC$3:$AC$501,0))&amp;"","")</f>
        <v>02-2140-5700</v>
      </c>
      <c r="K30" s="21" t="str">
        <f aca="false">IFERROR(INDEX(종합!K$3:K$501,MATCH(ROW()-2,종합!$AC$3:$AC$501,0))&amp;"","")</f>
        <v>https://www.kaoni.com</v>
      </c>
      <c r="L30" s="21" t="str">
        <f aca="false">IFERROR(INDEX(종합!L$3:L$501,MATCH(ROW()-2,종합!$AC$3:$AC$501,0))&amp;"","")</f>
        <v>mjang3030@gmail.com</v>
      </c>
      <c r="M30" s="21" t="str">
        <f aca="false">IFERROR(INDEX(종합!M$3:M$501,MATCH(ROW()-2,종합!$AC$3:$AC$501,0))&amp;"","")</f>
        <v>경기도 과천시 과천대로 12길 117 과천펜타원 D동 1~4층, 10~15층</v>
      </c>
      <c r="N30" s="25" t="str">
        <f aca="false">IFERROR(INDEX(종합!N$3:N$501,MATCH(ROW()-2,종합!$AC$3:$AC$501,0))&amp;"","")</f>
        <v>KAON AI(일반 기업 협업 Agent, 기록관리 Agent, CCTV관제 및 안전 Agent)</v>
      </c>
      <c r="O30" s="21" t="str">
        <f aca="false">IFERROR(INDEX(종합!O$3:O$501,MATCH(ROW()-2,종합!$AC$3:$AC$501,0))&amp;"","")</f>
        <v>조창제</v>
      </c>
      <c r="P30" s="21" t="str">
        <f aca="false">IFERROR(INDEX(종합!P$3:P$501,MATCH(ROW()-2,종합!$AC$3:$AC$501,0))&amp;"","")</f>
        <v>-</v>
      </c>
      <c r="Q30" s="21" t="str">
        <f aca="false">IFERROR(INDEX(종합!Q$3:Q$501,MATCH(ROW()-2,종합!$AC$3:$AC$501,0))&amp;"","")</f>
        <v>대표이사</v>
      </c>
      <c r="R30" s="21" t="str">
        <f aca="false">IFERROR(INDEX(종합!R$3:R$501,MATCH(ROW()-2,종합!$AC$3:$AC$501,0))&amp;"","")</f>
        <v>02-2140-5700</v>
      </c>
      <c r="S30" s="21" t="str">
        <f aca="false">IFERROR(INDEX(종합!S$3:S$501,MATCH(ROW()-2,종합!$AC$3:$AC$501,0))&amp;"","")</f>
        <v>cjcho@kaoni.com</v>
      </c>
      <c r="T30" s="21" t="str">
        <f aca="false">IFERROR(INDEX(종합!T$3:T$501,MATCH(ROW()-2,종합!$AC$3:$AC$501,0))&amp;"","")</f>
        <v>010-2546-9499</v>
      </c>
      <c r="U30" s="21" t="str">
        <f aca="false">IFERROR(INDEX(종합!U$3:U$501,MATCH(ROW()-2,종합!$AC$3:$AC$501,0))&amp;"","")</f>
        <v>전일권</v>
      </c>
      <c r="V30" s="21" t="str">
        <f aca="false">IFERROR(INDEX(종합!V$3:V$501,MATCH(ROW()-2,종합!$AC$3:$AC$501,0))&amp;"","")</f>
        <v>지식관리연구소</v>
      </c>
      <c r="W30" s="21" t="str">
        <f aca="false">IFERROR(INDEX(종합!W$3:W$501,MATCH(ROW()-2,종합!$AC$3:$AC$501,0))&amp;"","")</f>
        <v>전무/소장</v>
      </c>
      <c r="X30" s="21" t="str">
        <f aca="false">IFERROR(INDEX(종합!X$3:X$501,MATCH(ROW()-2,종합!$AC$3:$AC$501,0))&amp;"","")</f>
        <v>02-2140-5729</v>
      </c>
      <c r="Y30" s="21" t="str">
        <f aca="false">IFERROR(INDEX(종합!Y$3:Y$501,MATCH(ROW()-2,종합!$AC$3:$AC$501,0))&amp;"","")</f>
        <v>ikjun@kaoni.com</v>
      </c>
      <c r="Z30" s="21" t="str">
        <f aca="false">IFERROR(INDEX(종합!Z$3:Z$501,MATCH(ROW()-2,종합!$AC$3:$AC$501,0))&amp;"","")</f>
        <v>010-9166-3636</v>
      </c>
    </row>
    <row r="31" customFormat="false" ht="22.5" hidden="false" customHeight="true" outlineLevel="0" collapsed="false">
      <c r="A31" s="18" t="n">
        <f aca="false">IF(B31="","",ROW()-2)</f>
        <v>29</v>
      </c>
      <c r="B31" s="18" t="str">
        <f aca="false">IFERROR(INDEX(종합!B$3:B$501,MATCH(ROW()-2,종합!$AC$3:$AC$501,0))&amp;"","")</f>
        <v>코코넛사일로 주식회사</v>
      </c>
      <c r="C31" s="18" t="str">
        <f aca="false">IFERROR(INDEX(종합!C$3:C$501,MATCH(ROW()-2,종합!$AC$3:$AC$501,0))&amp;"","")</f>
        <v/>
      </c>
      <c r="D31" s="18" t="str">
        <f aca="false">IFERROR(INDEX(종합!D$3:D$501,MATCH(ROW()-2,종합!$AC$3:$AC$501,0))&amp;"","")</f>
        <v>O</v>
      </c>
      <c r="E31" s="18" t="str">
        <f aca="false">IFERROR(INDEX(종합!E$3:E$501,MATCH(ROW()-2,종합!$AC$3:$AC$501,0))&amp;"","")</f>
        <v/>
      </c>
      <c r="F31" s="18" t="str">
        <f aca="false">IFERROR(INDEX(종합!F$3:F$501,MATCH(ROW()-2,종합!$AC$3:$AC$501,0))&amp;"","")</f>
        <v/>
      </c>
      <c r="G31" s="18" t="str">
        <f aca="false">IFERROR(INDEX(종합!G$3:G$501,MATCH(ROW()-2,종합!$AC$3:$AC$501,0))&amp;"","")</f>
        <v>중소기업</v>
      </c>
      <c r="H31" s="21" t="str">
        <f aca="false">IFERROR(INDEX(종합!H$3:H$501,MATCH(ROW()-2,종합!$AC$3:$AC$501,0))&amp;"","")</f>
        <v>677-88-01506</v>
      </c>
      <c r="I31" s="21" t="str">
        <f aca="false">IFERROR(INDEX(종합!I$3:I$501,MATCH(ROW()-2,종합!$AC$3:$AC$501,0))&amp;"","")</f>
        <v>김승용</v>
      </c>
      <c r="J31" s="21" t="str">
        <f aca="false">IFERROR(INDEX(종합!J$3:J$501,MATCH(ROW()-2,종합!$AC$3:$AC$501,0))&amp;"","")</f>
        <v>02-564-0309</v>
      </c>
      <c r="K31" s="21" t="str">
        <f aca="false">IFERROR(INDEX(종합!K$3:K$501,MATCH(ROW()-2,종합!$AC$3:$AC$501,0))&amp;"","")</f>
        <v>https://www.coconutsilo.com</v>
      </c>
      <c r="L31" s="21" t="str">
        <f aca="false">IFERROR(INDEX(종합!L$3:L$501,MATCH(ROW()-2,종합!$AC$3:$AC$501,0))&amp;"","")</f>
        <v>hr@coconutsilo.com</v>
      </c>
      <c r="M31" s="21" t="str">
        <f aca="false">IFERROR(INDEX(종합!M$3:M$501,MATCH(ROW()-2,종합!$AC$3:$AC$501,0))&amp;"","")</f>
        <v>서울특별시 구로구 디지털로31길 62, 제1712-1715호(구로동, 아티스포럼)</v>
      </c>
      <c r="N31" s="25" t="str">
        <f aca="false">IFERROR(INDEX(종합!N$3:N$501,MATCH(ROW()-2,종합!$AC$3:$AC$501,0))&amp;"","")</f>
        <v> AI 기반 SW 물류 포워딩 플랫폼</v>
      </c>
      <c r="O31" s="21" t="str">
        <f aca="false">IFERROR(INDEX(종합!O$3:O$501,MATCH(ROW()-2,종합!$AC$3:$AC$501,0))&amp;"","")</f>
        <v>김승용</v>
      </c>
      <c r="P31" s="21" t="str">
        <f aca="false">IFERROR(INDEX(종합!P$3:P$501,MATCH(ROW()-2,종합!$AC$3:$AC$501,0))&amp;"","")</f>
        <v>CEO실</v>
      </c>
      <c r="Q31" s="21" t="str">
        <f aca="false">IFERROR(INDEX(종합!Q$3:Q$501,MATCH(ROW()-2,종합!$AC$3:$AC$501,0))&amp;"","")</f>
        <v>대표이사</v>
      </c>
      <c r="R31" s="21" t="str">
        <f aca="false">IFERROR(INDEX(종합!R$3:R$501,MATCH(ROW()-2,종합!$AC$3:$AC$501,0))&amp;"","")</f>
        <v>02-564-0309</v>
      </c>
      <c r="S31" s="21" t="str">
        <f aca="false">IFERROR(INDEX(종합!S$3:S$501,MATCH(ROW()-2,종합!$AC$3:$AC$501,0))&amp;"","")</f>
        <v>seungyong@coconutsilo.com</v>
      </c>
      <c r="T31" s="21" t="str">
        <f aca="false">IFERROR(INDEX(종합!T$3:T$501,MATCH(ROW()-2,종합!$AC$3:$AC$501,0))&amp;"","")</f>
        <v>010-2334-9342</v>
      </c>
      <c r="U31" s="21" t="str">
        <f aca="false">IFERROR(INDEX(종합!U$3:U$501,MATCH(ROW()-2,종합!$AC$3:$AC$501,0))&amp;"","")</f>
        <v>권성일</v>
      </c>
      <c r="V31" s="21" t="str">
        <f aca="false">IFERROR(INDEX(종합!V$3:V$501,MATCH(ROW()-2,종합!$AC$3:$AC$501,0))&amp;"","")</f>
        <v>CTO실</v>
      </c>
      <c r="W31" s="21" t="str">
        <f aca="false">IFERROR(INDEX(종합!W$3:W$501,MATCH(ROW()-2,종합!$AC$3:$AC$501,0))&amp;"","")</f>
        <v>이사</v>
      </c>
      <c r="X31" s="21" t="str">
        <f aca="false">IFERROR(INDEX(종합!X$3:X$501,MATCH(ROW()-2,종합!$AC$3:$AC$501,0))&amp;"","")</f>
        <v>02-564-0309</v>
      </c>
      <c r="Y31" s="21" t="str">
        <f aca="false">IFERROR(INDEX(종합!Y$3:Y$501,MATCH(ROW()-2,종합!$AC$3:$AC$501,0))&amp;"","")</f>
        <v>samuel@coconutsilo.com</v>
      </c>
      <c r="Z31" s="21" t="str">
        <f aca="false">IFERROR(INDEX(종합!Z$3:Z$501,MATCH(ROW()-2,종합!$AC$3:$AC$501,0))&amp;"","")</f>
        <v>010-5544-8108</v>
      </c>
    </row>
    <row r="32" customFormat="false" ht="33.75" hidden="false" customHeight="true" outlineLevel="0" collapsed="false">
      <c r="A32" s="18" t="n">
        <f aca="false">IF(B32="","",ROW()-2)</f>
        <v>30</v>
      </c>
      <c r="B32" s="18" t="str">
        <f aca="false">IFERROR(INDEX(종합!B$3:B$501,MATCH(ROW()-2,종합!$AC$3:$AC$501,0))&amp;"","")</f>
        <v>주식회사 아이티센클로잇</v>
      </c>
      <c r="C32" s="18" t="str">
        <f aca="false">IFERROR(INDEX(종합!C$3:C$501,MATCH(ROW()-2,종합!$AC$3:$AC$501,0))&amp;"","")</f>
        <v/>
      </c>
      <c r="D32" s="18" t="str">
        <f aca="false">IFERROR(INDEX(종합!D$3:D$501,MATCH(ROW()-2,종합!$AC$3:$AC$501,0))&amp;"","")</f>
        <v>O</v>
      </c>
      <c r="E32" s="18" t="str">
        <f aca="false">IFERROR(INDEX(종합!E$3:E$501,MATCH(ROW()-2,종합!$AC$3:$AC$501,0))&amp;"","")</f>
        <v/>
      </c>
      <c r="F32" s="18" t="str">
        <f aca="false">IFERROR(INDEX(종합!F$3:F$501,MATCH(ROW()-2,종합!$AC$3:$AC$501,0))&amp;"","")</f>
        <v/>
      </c>
      <c r="G32" s="18" t="str">
        <f aca="false">IFERROR(INDEX(종합!G$3:G$501,MATCH(ROW()-2,종합!$AC$3:$AC$501,0))&amp;"","")</f>
        <v>중견기업</v>
      </c>
      <c r="H32" s="21" t="str">
        <f aca="false">IFERROR(INDEX(종합!H$3:H$501,MATCH(ROW()-2,종합!$AC$3:$AC$501,0))&amp;"","")</f>
        <v>116-81-33315</v>
      </c>
      <c r="I32" s="21" t="str">
        <f aca="false">IFERROR(INDEX(종합!I$3:I$501,MATCH(ROW()-2,종합!$AC$3:$AC$501,0))&amp;"","")</f>
        <v>김우성</v>
      </c>
      <c r="J32" s="21" t="str">
        <f aca="false">IFERROR(INDEX(종합!J$3:J$501,MATCH(ROW()-2,종합!$AC$3:$AC$501,0))&amp;"","")</f>
        <v>010-7522-0966</v>
      </c>
      <c r="K32" s="21" t="str">
        <f aca="false">IFERROR(INDEX(종합!K$3:K$501,MATCH(ROW()-2,종합!$AC$3:$AC$501,0))&amp;"","")</f>
        <v>https://itcencloit.com/</v>
      </c>
      <c r="L32" s="21" t="str">
        <f aca="false">IFERROR(INDEX(종합!L$3:L$501,MATCH(ROW()-2,종합!$AC$3:$AC$501,0))&amp;"","")</f>
        <v>bschang@itcen.com</v>
      </c>
      <c r="M32" s="21" t="str">
        <f aca="false">IFERROR(INDEX(종합!M$3:M$501,MATCH(ROW()-2,종합!$AC$3:$AC$501,0))&amp;"","")</f>
        <v>경기도 과천시 과천대로 12길 117, 과천펜타원 E동 (아이티센타워)</v>
      </c>
      <c r="N32" s="25" t="str">
        <f aca="false">IFERROR(INDEX(종합!N$3:N$501,MATCH(ROW()-2,종합!$AC$3:$AC$501,0))&amp;"","")</f>
        <v>AI 자체 솔루션(Agentic AI 플랫폼) 및 AI 기술 표준 (AgentGo)</v>
      </c>
      <c r="O32" s="21" t="str">
        <f aca="false">IFERROR(INDEX(종합!O$3:O$501,MATCH(ROW()-2,종합!$AC$3:$AC$501,0))&amp;"","")</f>
        <v>이규진</v>
      </c>
      <c r="P32" s="21" t="str">
        <f aca="false">IFERROR(INDEX(종합!P$3:P$501,MATCH(ROW()-2,종합!$AC$3:$AC$501,0))&amp;"","")</f>
        <v>AX사업본부</v>
      </c>
      <c r="Q32" s="21" t="str">
        <f aca="false">IFERROR(INDEX(종합!Q$3:Q$501,MATCH(ROW()-2,종합!$AC$3:$AC$501,0))&amp;"","")</f>
        <v>전무 / 본부장</v>
      </c>
      <c r="R32" s="21" t="str">
        <f aca="false">IFERROR(INDEX(종합!R$3:R$501,MATCH(ROW()-2,종합!$AC$3:$AC$501,0))&amp;"","")</f>
        <v>010-3664-6546</v>
      </c>
      <c r="S32" s="21" t="str">
        <f aca="false">IFERROR(INDEX(종합!S$3:S$501,MATCH(ROW()-2,종합!$AC$3:$AC$501,0))&amp;"","")</f>
        <v>kjlee@itcen.com</v>
      </c>
      <c r="T32" s="21" t="str">
        <f aca="false">IFERROR(INDEX(종합!T$3:T$501,MATCH(ROW()-2,종합!$AC$3:$AC$501,0))&amp;"","")</f>
        <v>010-3664-6546</v>
      </c>
      <c r="U32" s="21" t="str">
        <f aca="false">IFERROR(INDEX(종합!U$3:U$501,MATCH(ROW()-2,종합!$AC$3:$AC$501,0))&amp;"","")</f>
        <v>신기호</v>
      </c>
      <c r="V32" s="21" t="str">
        <f aca="false">IFERROR(INDEX(종합!V$3:V$501,MATCH(ROW()-2,종합!$AC$3:$AC$501,0))&amp;"","")</f>
        <v>AX사업부</v>
      </c>
      <c r="W32" s="21" t="str">
        <f aca="false">IFERROR(INDEX(종합!W$3:W$501,MATCH(ROW()-2,종합!$AC$3:$AC$501,0))&amp;"","")</f>
        <v>상무 / 사업부장</v>
      </c>
      <c r="X32" s="21" t="str">
        <f aca="false">IFERROR(INDEX(종합!X$3:X$501,MATCH(ROW()-2,종합!$AC$3:$AC$501,0))&amp;"","")</f>
        <v>010-3509-7466</v>
      </c>
      <c r="Y32" s="21" t="str">
        <f aca="false">IFERROR(INDEX(종합!Y$3:Y$501,MATCH(ROW()-2,종합!$AC$3:$AC$501,0))&amp;"","")</f>
        <v>ghshin@itcen.com</v>
      </c>
      <c r="Z32" s="21" t="str">
        <f aca="false">IFERROR(INDEX(종합!Z$3:Z$501,MATCH(ROW()-2,종합!$AC$3:$AC$501,0))&amp;"","")</f>
        <v>010-3509-7466</v>
      </c>
    </row>
    <row r="33" customFormat="false" ht="47.25" hidden="false" customHeight="true" outlineLevel="0" collapsed="false">
      <c r="A33" s="18" t="n">
        <f aca="false">IF(B33="","",ROW()-2)</f>
        <v>31</v>
      </c>
      <c r="B33" s="18" t="str">
        <f aca="false">IFERROR(INDEX(종합!B$3:B$501,MATCH(ROW()-2,종합!$AC$3:$AC$501,0))&amp;"","")</f>
        <v>주식회사 에이테크</v>
      </c>
      <c r="C33" s="18" t="str">
        <f aca="false">IFERROR(INDEX(종합!C$3:C$501,MATCH(ROW()-2,종합!$AC$3:$AC$501,0))&amp;"","")</f>
        <v/>
      </c>
      <c r="D33" s="18" t="str">
        <f aca="false">IFERROR(INDEX(종합!D$3:D$501,MATCH(ROW()-2,종합!$AC$3:$AC$501,0))&amp;"","")</f>
        <v>O</v>
      </c>
      <c r="E33" s="18" t="str">
        <f aca="false">IFERROR(INDEX(종합!E$3:E$501,MATCH(ROW()-2,종합!$AC$3:$AC$501,0))&amp;"","")</f>
        <v/>
      </c>
      <c r="F33" s="18" t="str">
        <f aca="false">IFERROR(INDEX(종합!F$3:F$501,MATCH(ROW()-2,종합!$AC$3:$AC$501,0))&amp;"","")</f>
        <v/>
      </c>
      <c r="G33" s="18" t="str">
        <f aca="false">IFERROR(INDEX(종합!G$3:G$501,MATCH(ROW()-2,종합!$AC$3:$AC$501,0))&amp;"","")</f>
        <v>중소기업</v>
      </c>
      <c r="H33" s="21" t="str">
        <f aca="false">IFERROR(INDEX(종합!H$3:H$501,MATCH(ROW()-2,종합!$AC$3:$AC$501,0))&amp;"","")</f>
        <v>685-86-00969</v>
      </c>
      <c r="I33" s="21" t="str">
        <f aca="false">IFERROR(INDEX(종합!I$3:I$501,MATCH(ROW()-2,종합!$AC$3:$AC$501,0))&amp;"","")</f>
        <v>김정완</v>
      </c>
      <c r="J33" s="21" t="str">
        <f aca="false">IFERROR(INDEX(종합!J$3:J$501,MATCH(ROW()-2,종합!$AC$3:$AC$501,0))&amp;"","")</f>
        <v>010-9591-3114</v>
      </c>
      <c r="K33" s="21" t="str">
        <f aca="false">IFERROR(INDEX(종합!K$3:K$501,MATCH(ROW()-2,종합!$AC$3:$AC$501,0))&amp;"","")</f>
        <v>https://atech1221.com/</v>
      </c>
      <c r="L33" s="21" t="str">
        <f aca="false">IFERROR(INDEX(종합!L$3:L$501,MATCH(ROW()-2,종합!$AC$3:$AC$501,0))&amp;"","")</f>
        <v>kikong1414@gmail.com</v>
      </c>
      <c r="M33" s="21" t="str">
        <f aca="false">IFERROR(INDEX(종합!M$3:M$501,MATCH(ROW()-2,종합!$AC$3:$AC$501,0))&amp;"","")</f>
        <v>울산광역시 중구 종가로 655 혁신센트럴시티 307호</v>
      </c>
      <c r="N33" s="25" t="str">
        <f aca="false">IFERROR(INDEX(종합!N$3:N$501,MATCH(ROW()-2,종합!$AC$3:$AC$501,0))&amp;"","")</f>
        <v>제조 AI 통합 운영 관리 솔루션, AI Agent 기반 사무 자동화 지원 솔루션, 제조 데이터 기반 제조 KPI AI 예측 솔루션, 피지컬 AI 기반 로봇암 품질 개선 자동화 지원 솔루션</v>
      </c>
      <c r="O33" s="21" t="str">
        <f aca="false">IFERROR(INDEX(종합!O$3:O$501,MATCH(ROW()-2,종합!$AC$3:$AC$501,0))&amp;"","")</f>
        <v>서보경</v>
      </c>
      <c r="P33" s="21" t="str">
        <f aca="false">IFERROR(INDEX(종합!P$3:P$501,MATCH(ROW()-2,종합!$AC$3:$AC$501,0))&amp;"","")</f>
        <v>사업제안팀</v>
      </c>
      <c r="Q33" s="21" t="str">
        <f aca="false">IFERROR(INDEX(종합!Q$3:Q$501,MATCH(ROW()-2,종합!$AC$3:$AC$501,0))&amp;"","")</f>
        <v>수석/팀장</v>
      </c>
      <c r="R33" s="21" t="str">
        <f aca="false">IFERROR(INDEX(종합!R$3:R$501,MATCH(ROW()-2,종합!$AC$3:$AC$501,0))&amp;"","")</f>
        <v>010-3908-8301</v>
      </c>
      <c r="S33" s="21" t="str">
        <f aca="false">IFERROR(INDEX(종합!S$3:S$501,MATCH(ROW()-2,종합!$AC$3:$AC$501,0))&amp;"","")</f>
        <v>sbgalex@atech1221.com</v>
      </c>
      <c r="T33" s="21" t="str">
        <f aca="false">IFERROR(INDEX(종합!T$3:T$501,MATCH(ROW()-2,종합!$AC$3:$AC$501,0))&amp;"","")</f>
        <v>010-3908-8301</v>
      </c>
      <c r="U33" s="21" t="str">
        <f aca="false">IFERROR(INDEX(종합!U$3:U$501,MATCH(ROW()-2,종합!$AC$3:$AC$501,0))&amp;"","")</f>
        <v>권기광</v>
      </c>
      <c r="V33" s="21" t="str">
        <f aca="false">IFERROR(INDEX(종합!V$3:V$501,MATCH(ROW()-2,종합!$AC$3:$AC$501,0))&amp;"","")</f>
        <v>AI 개발팀</v>
      </c>
      <c r="W33" s="21" t="str">
        <f aca="false">IFERROR(INDEX(종합!W$3:W$501,MATCH(ROW()-2,종합!$AC$3:$AC$501,0))&amp;"","")</f>
        <v>책임/팀장</v>
      </c>
      <c r="X33" s="21" t="str">
        <f aca="false">IFERROR(INDEX(종합!X$3:X$501,MATCH(ROW()-2,종합!$AC$3:$AC$501,0))&amp;"","")</f>
        <v>010-8807-0689</v>
      </c>
      <c r="Y33" s="21" t="str">
        <f aca="false">IFERROR(INDEX(종합!Y$3:Y$501,MATCH(ROW()-2,종합!$AC$3:$AC$501,0))&amp;"","")</f>
        <v>kk.kwon@atech1221.com</v>
      </c>
      <c r="Z33" s="21" t="str">
        <f aca="false">IFERROR(INDEX(종합!Z$3:Z$501,MATCH(ROW()-2,종합!$AC$3:$AC$501,0))&amp;"","")</f>
        <v>010-8807-0689</v>
      </c>
    </row>
    <row r="34" customFormat="false" ht="33.75" hidden="false" customHeight="true" outlineLevel="0" collapsed="false">
      <c r="A34" s="18" t="n">
        <f aca="false">IF(B34="","",ROW()-2)</f>
        <v>32</v>
      </c>
      <c r="B34" s="18" t="str">
        <f aca="false">IFERROR(INDEX(종합!B$3:B$501,MATCH(ROW()-2,종합!$AC$3:$AC$501,0))&amp;"","")</f>
        <v>앵글컴퍼니 주식회사</v>
      </c>
      <c r="C34" s="18" t="str">
        <f aca="false">IFERROR(INDEX(종합!C$3:C$501,MATCH(ROW()-2,종합!$AC$3:$AC$501,0))&amp;"","")</f>
        <v>O</v>
      </c>
      <c r="D34" s="18" t="str">
        <f aca="false">IFERROR(INDEX(종합!D$3:D$501,MATCH(ROW()-2,종합!$AC$3:$AC$501,0))&amp;"","")</f>
        <v>O</v>
      </c>
      <c r="E34" s="18" t="str">
        <f aca="false">IFERROR(INDEX(종합!E$3:E$501,MATCH(ROW()-2,종합!$AC$3:$AC$501,0))&amp;"","")</f>
        <v>O</v>
      </c>
      <c r="F34" s="18" t="str">
        <f aca="false">IFERROR(INDEX(종합!F$3:F$501,MATCH(ROW()-2,종합!$AC$3:$AC$501,0))&amp;"","")</f>
        <v/>
      </c>
      <c r="G34" s="18" t="str">
        <f aca="false">IFERROR(INDEX(종합!G$3:G$501,MATCH(ROW()-2,종합!$AC$3:$AC$501,0))&amp;"","")</f>
        <v>중소기업</v>
      </c>
      <c r="H34" s="21" t="str">
        <f aca="false">IFERROR(INDEX(종합!H$3:H$501,MATCH(ROW()-2,종합!$AC$3:$AC$501,0))&amp;"","")</f>
        <v>172-88-02621</v>
      </c>
      <c r="I34" s="21" t="str">
        <f aca="false">IFERROR(INDEX(종합!I$3:I$501,MATCH(ROW()-2,종합!$AC$3:$AC$501,0))&amp;"","")</f>
        <v>박재범</v>
      </c>
      <c r="J34" s="21" t="str">
        <f aca="false">IFERROR(INDEX(종합!J$3:J$501,MATCH(ROW()-2,종합!$AC$3:$AC$501,0))&amp;"","")</f>
        <v>010-4717-8478</v>
      </c>
      <c r="K34" s="21" t="str">
        <f aca="false">IFERROR(INDEX(종합!K$3:K$501,MATCH(ROW()-2,종합!$AC$3:$AC$501,0))&amp;"","")</f>
        <v>https://www.angle.im</v>
      </c>
      <c r="L34" s="21" t="str">
        <f aca="false">IFERROR(INDEX(종합!L$3:L$501,MATCH(ROW()-2,종합!$AC$3:$AC$501,0))&amp;"","")</f>
        <v>pjb@angle.im</v>
      </c>
      <c r="M34" s="21" t="str">
        <f aca="false">IFERROR(INDEX(종합!M$3:M$501,MATCH(ROW()-2,종합!$AC$3:$AC$501,0))&amp;"","")</f>
        <v>서울시 강남구 테헤란로 79길 6, 3층</v>
      </c>
      <c r="N34" s="25" t="str">
        <f aca="false">IFERROR(INDEX(종합!N$3:N$501,MATCH(ROW()-2,종합!$AC$3:$AC$501,0))&amp;"","")</f>
        <v>헬스케어, 보험, 커머스, 제조 분야의 에이전틱 AI 에이전트 솔루션</v>
      </c>
      <c r="O34" s="21" t="str">
        <f aca="false">IFERROR(INDEX(종합!O$3:O$501,MATCH(ROW()-2,종합!$AC$3:$AC$501,0))&amp;"","")</f>
        <v>박재범</v>
      </c>
      <c r="P34" s="21" t="str">
        <f aca="false">IFERROR(INDEX(종합!P$3:P$501,MATCH(ROW()-2,종합!$AC$3:$AC$501,0))&amp;"","")</f>
        <v>대표이사</v>
      </c>
      <c r="Q34" s="21" t="str">
        <f aca="false">IFERROR(INDEX(종합!Q$3:Q$501,MATCH(ROW()-2,종합!$AC$3:$AC$501,0))&amp;"","")</f>
        <v>대표이사</v>
      </c>
      <c r="R34" s="21" t="str">
        <f aca="false">IFERROR(INDEX(종합!R$3:R$501,MATCH(ROW()-2,종합!$AC$3:$AC$501,0))&amp;"","")</f>
        <v>010-4717-8478</v>
      </c>
      <c r="S34" s="21" t="str">
        <f aca="false">IFERROR(INDEX(종합!S$3:S$501,MATCH(ROW()-2,종합!$AC$3:$AC$501,0))&amp;"","")</f>
        <v>pjb@angle.im</v>
      </c>
      <c r="T34" s="21" t="str">
        <f aca="false">IFERROR(INDEX(종합!T$3:T$501,MATCH(ROW()-2,종합!$AC$3:$AC$501,0))&amp;"","")</f>
        <v>010-4717-8478</v>
      </c>
      <c r="U34" s="21" t="str">
        <f aca="false">IFERROR(INDEX(종합!U$3:U$501,MATCH(ROW()-2,종합!$AC$3:$AC$501,0))&amp;"","")</f>
        <v>박재범</v>
      </c>
      <c r="V34" s="21" t="str">
        <f aca="false">IFERROR(INDEX(종합!V$3:V$501,MATCH(ROW()-2,종합!$AC$3:$AC$501,0))&amp;"","")</f>
        <v>대표이사</v>
      </c>
      <c r="W34" s="21" t="str">
        <f aca="false">IFERROR(INDEX(종합!W$3:W$501,MATCH(ROW()-2,종합!$AC$3:$AC$501,0))&amp;"","")</f>
        <v>대표이사</v>
      </c>
      <c r="X34" s="21" t="str">
        <f aca="false">IFERROR(INDEX(종합!X$3:X$501,MATCH(ROW()-2,종합!$AC$3:$AC$501,0))&amp;"","")</f>
        <v>010-4717-8478</v>
      </c>
      <c r="Y34" s="21" t="str">
        <f aca="false">IFERROR(INDEX(종합!Y$3:Y$501,MATCH(ROW()-2,종합!$AC$3:$AC$501,0))&amp;"","")</f>
        <v>pjb@angle.im</v>
      </c>
      <c r="Z34" s="21" t="str">
        <f aca="false">IFERROR(INDEX(종합!Z$3:Z$501,MATCH(ROW()-2,종합!$AC$3:$AC$501,0))&amp;"","")</f>
        <v>010-4717-8478</v>
      </c>
    </row>
    <row r="35" customFormat="false" ht="47.25" hidden="false" customHeight="true" outlineLevel="0" collapsed="false">
      <c r="A35" s="18" t="n">
        <f aca="false">IF(B35="","",ROW()-2)</f>
        <v>33</v>
      </c>
      <c r="B35" s="18" t="str">
        <f aca="false">IFERROR(INDEX(종합!B$3:B$501,MATCH(ROW()-2,종합!$AC$3:$AC$501,0))&amp;"","")</f>
        <v>(주)컴퓨터메이트</v>
      </c>
      <c r="C35" s="18" t="str">
        <f aca="false">IFERROR(INDEX(종합!C$3:C$501,MATCH(ROW()-2,종합!$AC$3:$AC$501,0))&amp;"","")</f>
        <v/>
      </c>
      <c r="D35" s="18" t="str">
        <f aca="false">IFERROR(INDEX(종합!D$3:D$501,MATCH(ROW()-2,종합!$AC$3:$AC$501,0))&amp;"","")</f>
        <v>O</v>
      </c>
      <c r="E35" s="18" t="str">
        <f aca="false">IFERROR(INDEX(종합!E$3:E$501,MATCH(ROW()-2,종합!$AC$3:$AC$501,0))&amp;"","")</f>
        <v/>
      </c>
      <c r="F35" s="18" t="str">
        <f aca="false">IFERROR(INDEX(종합!F$3:F$501,MATCH(ROW()-2,종합!$AC$3:$AC$501,0))&amp;"","")</f>
        <v/>
      </c>
      <c r="G35" s="18" t="str">
        <f aca="false">IFERROR(INDEX(종합!G$3:G$501,MATCH(ROW()-2,종합!$AC$3:$AC$501,0))&amp;"","")</f>
        <v>중소기업</v>
      </c>
      <c r="H35" s="21" t="str">
        <f aca="false">IFERROR(INDEX(종합!H$3:H$501,MATCH(ROW()-2,종합!$AC$3:$AC$501,0))&amp;"","")</f>
        <v>515-81-31630</v>
      </c>
      <c r="I35" s="21" t="str">
        <f aca="false">IFERROR(INDEX(종합!I$3:I$501,MATCH(ROW()-2,종합!$AC$3:$AC$501,0))&amp;"","")</f>
        <v>서상인,김성호</v>
      </c>
      <c r="J35" s="21" t="str">
        <f aca="false">IFERROR(INDEX(종합!J$3:J$501,MATCH(ROW()-2,종합!$AC$3:$AC$501,0))&amp;"","")</f>
        <v>053-813-3008</v>
      </c>
      <c r="K35" s="21" t="str">
        <f aca="false">IFERROR(INDEX(종합!K$3:K$501,MATCH(ROW()-2,종합!$AC$3:$AC$501,0))&amp;"","")</f>
        <v>https://www.computermate.co.kr/kor</v>
      </c>
      <c r="L35" s="21" t="str">
        <f aca="false">IFERROR(INDEX(종합!L$3:L$501,MATCH(ROW()-2,종합!$AC$3:$AC$501,0))&amp;"","")</f>
        <v>yuhyun.kim65@gmail.com</v>
      </c>
      <c r="M35" s="21" t="str">
        <f aca="false">IFERROR(INDEX(종합!M$3:M$501,MATCH(ROW()-2,종합!$AC$3:$AC$501,0))&amp;"","")</f>
        <v>대구시 수성구 알파시티1로 35길 23 (대흥동)</v>
      </c>
      <c r="N35" s="25" t="str">
        <f aca="false">IFERROR(INDEX(종합!N$3:N$501,MATCH(ROW()-2,종합!$AC$3:$AC$501,0))&amp;"","")</f>
        <v>제조분야 AI 솔루션(ADUP(이상탐지범용플랫폼) AD(설비이상탐지) QP(품질예측) OPC(최적공정조건))  TMS(시험관리시스템)  CPS(가상물리시스템)</v>
      </c>
      <c r="O35" s="21" t="str">
        <f aca="false">IFERROR(INDEX(종합!O$3:O$501,MATCH(ROW()-2,종합!$AC$3:$AC$501,0))&amp;"","")</f>
        <v>김유현</v>
      </c>
      <c r="P35" s="21" t="str">
        <f aca="false">IFERROR(INDEX(종합!P$3:P$501,MATCH(ROW()-2,종합!$AC$3:$AC$501,0))&amp;"","")</f>
        <v>부사장</v>
      </c>
      <c r="Q35" s="21" t="str">
        <f aca="false">IFERROR(INDEX(종합!Q$3:Q$501,MATCH(ROW()-2,종합!$AC$3:$AC$501,0))&amp;"","")</f>
        <v>부사장</v>
      </c>
      <c r="R35" s="21" t="str">
        <f aca="false">IFERROR(INDEX(종합!R$3:R$501,MATCH(ROW()-2,종합!$AC$3:$AC$501,0))&amp;"","")</f>
        <v>053-813-3008</v>
      </c>
      <c r="S35" s="21" t="str">
        <f aca="false">IFERROR(INDEX(종합!S$3:S$501,MATCH(ROW()-2,종합!$AC$3:$AC$501,0))&amp;"","")</f>
        <v>yuhyun@computermate.co.kr</v>
      </c>
      <c r="T35" s="21" t="str">
        <f aca="false">IFERROR(INDEX(종합!T$3:T$501,MATCH(ROW()-2,종합!$AC$3:$AC$501,0))&amp;"","")</f>
        <v>010-2253-4115</v>
      </c>
      <c r="U35" s="21" t="str">
        <f aca="false">IFERROR(INDEX(종합!U$3:U$501,MATCH(ROW()-2,종합!$AC$3:$AC$501,0))&amp;"","")</f>
        <v>김유현</v>
      </c>
      <c r="V35" s="21" t="str">
        <f aca="false">IFERROR(INDEX(종합!V$3:V$501,MATCH(ROW()-2,종합!$AC$3:$AC$501,0))&amp;"","")</f>
        <v>부사장</v>
      </c>
      <c r="W35" s="21" t="str">
        <f aca="false">IFERROR(INDEX(종합!W$3:W$501,MATCH(ROW()-2,종합!$AC$3:$AC$501,0))&amp;"","")</f>
        <v>부사장</v>
      </c>
      <c r="X35" s="21" t="str">
        <f aca="false">IFERROR(INDEX(종합!X$3:X$501,MATCH(ROW()-2,종합!$AC$3:$AC$501,0))&amp;"","")</f>
        <v>053-813-3008</v>
      </c>
      <c r="Y35" s="21" t="str">
        <f aca="false">IFERROR(INDEX(종합!Y$3:Y$501,MATCH(ROW()-2,종합!$AC$3:$AC$501,0))&amp;"","")</f>
        <v>yuhyun@computermate.co.kr</v>
      </c>
      <c r="Z35" s="21" t="str">
        <f aca="false">IFERROR(INDEX(종합!Z$3:Z$501,MATCH(ROW()-2,종합!$AC$3:$AC$501,0))&amp;"","")</f>
        <v>010-2253-4115</v>
      </c>
    </row>
    <row r="36" customFormat="false" ht="22.5" hidden="false" customHeight="true" outlineLevel="0" collapsed="false">
      <c r="A36" s="18" t="n">
        <f aca="false">IF(B36="","",ROW()-2)</f>
        <v>34</v>
      </c>
      <c r="B36" s="18" t="str">
        <f aca="false">IFERROR(INDEX(종합!B$3:B$501,MATCH(ROW()-2,종합!$AC$3:$AC$501,0))&amp;"","")</f>
        <v>사단법인 한국인공지능클라우드산업협회</v>
      </c>
      <c r="C36" s="18" t="str">
        <f aca="false">IFERROR(INDEX(종합!C$3:C$501,MATCH(ROW()-2,종합!$AC$3:$AC$501,0))&amp;"","")</f>
        <v/>
      </c>
      <c r="D36" s="18" t="str">
        <f aca="false">IFERROR(INDEX(종합!D$3:D$501,MATCH(ROW()-2,종합!$AC$3:$AC$501,0))&amp;"","")</f>
        <v>O</v>
      </c>
      <c r="E36" s="18" t="str">
        <f aca="false">IFERROR(INDEX(종합!E$3:E$501,MATCH(ROW()-2,종합!$AC$3:$AC$501,0))&amp;"","")</f>
        <v/>
      </c>
      <c r="F36" s="18" t="str">
        <f aca="false">IFERROR(INDEX(종합!F$3:F$501,MATCH(ROW()-2,종합!$AC$3:$AC$501,0))&amp;"","")</f>
        <v/>
      </c>
      <c r="G36" s="18" t="str">
        <f aca="false">IFERROR(INDEX(종합!G$3:G$501,MATCH(ROW()-2,종합!$AC$3:$AC$501,0))&amp;"","")</f>
        <v>협회·단체</v>
      </c>
      <c r="H36" s="21" t="str">
        <f aca="false">IFERROR(INDEX(종합!H$3:H$501,MATCH(ROW()-2,종합!$AC$3:$AC$501,0))&amp;"","")</f>
        <v>214-82-11607</v>
      </c>
      <c r="I36" s="21" t="str">
        <f aca="false">IFERROR(INDEX(종합!I$3:I$501,MATCH(ROW()-2,종합!$AC$3:$AC$501,0))&amp;"","")</f>
        <v>최지웅</v>
      </c>
      <c r="J36" s="21" t="str">
        <f aca="false">IFERROR(INDEX(종합!J$3:J$501,MATCH(ROW()-2,종합!$AC$3:$AC$501,0))&amp;"","")</f>
        <v>02-6354-0423</v>
      </c>
      <c r="K36" s="21" t="str">
        <f aca="false">IFERROR(INDEX(종합!K$3:K$501,MATCH(ROW()-2,종합!$AC$3:$AC$501,0))&amp;"","")</f>
        <v>https://kcloud.or.kr</v>
      </c>
      <c r="L36" s="21" t="str">
        <f aca="false">IFERROR(INDEX(종합!L$3:L$501,MATCH(ROW()-2,종합!$AC$3:$AC$501,0))&amp;"","")</f>
        <v>skawn83@gmail.com</v>
      </c>
      <c r="M36" s="21" t="str">
        <f aca="false">IFERROR(INDEX(종합!M$3:M$501,MATCH(ROW()-2,종합!$AC$3:$AC$501,0))&amp;"","")</f>
        <v>서울시 서초구 서초대로4길 4, 대진빌딩 2층, 3층</v>
      </c>
      <c r="N36" s="25" t="str">
        <f aca="false">IFERROR(INDEX(종합!N$3:N$501,MATCH(ROW()-2,종합!$AC$3:$AC$501,0))&amp;"","")</f>
        <v>AI 클라우드 산업 지원 등</v>
      </c>
      <c r="O36" s="21" t="str">
        <f aca="false">IFERROR(INDEX(종합!O$3:O$501,MATCH(ROW()-2,종합!$AC$3:$AC$501,0))&amp;"","")</f>
        <v>함재춘</v>
      </c>
      <c r="P36" s="21" t="str">
        <f aca="false">IFERROR(INDEX(종합!P$3:P$501,MATCH(ROW()-2,종합!$AC$3:$AC$501,0))&amp;"","")</f>
        <v>사무국</v>
      </c>
      <c r="Q36" s="21" t="str">
        <f aca="false">IFERROR(INDEX(종합!Q$3:Q$501,MATCH(ROW()-2,종합!$AC$3:$AC$501,0))&amp;"","")</f>
        <v>사무국장</v>
      </c>
      <c r="R36" s="21" t="str">
        <f aca="false">IFERROR(INDEX(종합!R$3:R$501,MATCH(ROW()-2,종합!$AC$3:$AC$501,0))&amp;"","")</f>
        <v>02-6354-0422</v>
      </c>
      <c r="S36" s="21" t="str">
        <f aca="false">IFERROR(INDEX(종합!S$3:S$501,MATCH(ROW()-2,종합!$AC$3:$AC$501,0))&amp;"","")</f>
        <v>jcham@kcloud.or.kr</v>
      </c>
      <c r="T36" s="21" t="str">
        <f aca="false">IFERROR(INDEX(종합!T$3:T$501,MATCH(ROW()-2,종합!$AC$3:$AC$501,0))&amp;"","")</f>
        <v>010-3392-0043</v>
      </c>
      <c r="U36" s="21" t="str">
        <f aca="false">IFERROR(INDEX(종합!U$3:U$501,MATCH(ROW()-2,종합!$AC$3:$AC$501,0))&amp;"","")</f>
        <v>김남주</v>
      </c>
      <c r="V36" s="21" t="str">
        <f aca="false">IFERROR(INDEX(종합!V$3:V$501,MATCH(ROW()-2,종합!$AC$3:$AC$501,0))&amp;"","")</f>
        <v>클라우드융합팀</v>
      </c>
      <c r="W36" s="21" t="str">
        <f aca="false">IFERROR(INDEX(종합!W$3:W$501,MATCH(ROW()-2,종합!$AC$3:$AC$501,0))&amp;"","")</f>
        <v>수석팀장</v>
      </c>
      <c r="X36" s="21" t="str">
        <f aca="false">IFERROR(INDEX(종합!X$3:X$501,MATCH(ROW()-2,종합!$AC$3:$AC$501,0))&amp;"","")</f>
        <v>02-6354-0423</v>
      </c>
      <c r="Y36" s="21" t="str">
        <f aca="false">IFERROR(INDEX(종합!Y$3:Y$501,MATCH(ROW()-2,종합!$AC$3:$AC$501,0))&amp;"","")</f>
        <v>skawn83@kcloud.or.kr</v>
      </c>
      <c r="Z36" s="21" t="str">
        <f aca="false">IFERROR(INDEX(종합!Z$3:Z$501,MATCH(ROW()-2,종합!$AC$3:$AC$501,0))&amp;"","")</f>
        <v>010-8804-4324</v>
      </c>
    </row>
    <row r="37" customFormat="false" ht="22.5" hidden="false" customHeight="true" outlineLevel="0" collapsed="false">
      <c r="A37" s="18" t="n">
        <f aca="false">IF(B37="","",ROW()-2)</f>
        <v>35</v>
      </c>
      <c r="B37" s="18" t="str">
        <f aca="false">IFERROR(INDEX(종합!B$3:B$501,MATCH(ROW()-2,종합!$AC$3:$AC$501,0))&amp;"","")</f>
        <v>인프라닉스 주식회사</v>
      </c>
      <c r="C37" s="18" t="str">
        <f aca="false">IFERROR(INDEX(종합!C$3:C$501,MATCH(ROW()-2,종합!$AC$3:$AC$501,0))&amp;"","")</f>
        <v/>
      </c>
      <c r="D37" s="18" t="str">
        <f aca="false">IFERROR(INDEX(종합!D$3:D$501,MATCH(ROW()-2,종합!$AC$3:$AC$501,0))&amp;"","")</f>
        <v>O</v>
      </c>
      <c r="E37" s="18" t="str">
        <f aca="false">IFERROR(INDEX(종합!E$3:E$501,MATCH(ROW()-2,종합!$AC$3:$AC$501,0))&amp;"","")</f>
        <v/>
      </c>
      <c r="F37" s="18" t="str">
        <f aca="false">IFERROR(INDEX(종합!F$3:F$501,MATCH(ROW()-2,종합!$AC$3:$AC$501,0))&amp;"","")</f>
        <v/>
      </c>
      <c r="G37" s="18" t="str">
        <f aca="false">IFERROR(INDEX(종합!G$3:G$501,MATCH(ROW()-2,종합!$AC$3:$AC$501,0))&amp;"","")</f>
        <v>중소기업</v>
      </c>
      <c r="H37" s="21" t="str">
        <f aca="false">IFERROR(INDEX(종합!H$3:H$501,MATCH(ROW()-2,종합!$AC$3:$AC$501,0))&amp;"","")</f>
        <v>220-81-92632</v>
      </c>
      <c r="I37" s="21" t="str">
        <f aca="false">IFERROR(INDEX(종합!I$3:I$501,MATCH(ROW()-2,종합!$AC$3:$AC$501,0))&amp;"","")</f>
        <v>송 영 선</v>
      </c>
      <c r="J37" s="21" t="str">
        <f aca="false">IFERROR(INDEX(종합!J$3:J$501,MATCH(ROW()-2,종합!$AC$3:$AC$501,0))&amp;"","")</f>
        <v>02-598-3223</v>
      </c>
      <c r="K37" s="21" t="str">
        <f aca="false">IFERROR(INDEX(종합!K$3:K$501,MATCH(ROW()-2,종합!$AC$3:$AC$501,0))&amp;"","")</f>
        <v>www.infranics.com</v>
      </c>
      <c r="L37" s="21" t="str">
        <f aca="false">IFERROR(INDEX(종합!L$3:L$501,MATCH(ROW()-2,종합!$AC$3:$AC$501,0))&amp;"","")</f>
        <v>young.song@infranicsmail.com</v>
      </c>
      <c r="M37" s="21" t="str">
        <f aca="false">IFERROR(INDEX(종합!M$3:M$501,MATCH(ROW()-2,종합!$AC$3:$AC$501,0))&amp;"","")</f>
        <v>서울시 서초구 서추중앙로 66 서초빌딩 3층,5층</v>
      </c>
      <c r="N37" s="25" t="str">
        <f aca="false">IFERROR(INDEX(종합!N$3:N$501,MATCH(ROW()-2,종합!$AC$3:$AC$501,0))&amp;"","")</f>
        <v>SysMaster Suite AI Manager/PHM,EO,PCF</v>
      </c>
      <c r="O37" s="21" t="str">
        <f aca="false">IFERROR(INDEX(종합!O$3:O$501,MATCH(ROW()-2,종합!$AC$3:$AC$501,0))&amp;"","")</f>
        <v>송영선</v>
      </c>
      <c r="P37" s="21" t="str">
        <f aca="false">IFERROR(INDEX(종합!P$3:P$501,MATCH(ROW()-2,종합!$AC$3:$AC$501,0))&amp;"","")</f>
        <v>임원실</v>
      </c>
      <c r="Q37" s="21" t="str">
        <f aca="false">IFERROR(INDEX(종합!Q$3:Q$501,MATCH(ROW()-2,종합!$AC$3:$AC$501,0))&amp;"","")</f>
        <v>대표</v>
      </c>
      <c r="R37" s="21" t="str">
        <f aca="false">IFERROR(INDEX(종합!R$3:R$501,MATCH(ROW()-2,종합!$AC$3:$AC$501,0))&amp;"","")</f>
        <v>02-598-3223</v>
      </c>
      <c r="S37" s="21" t="str">
        <f aca="false">IFERROR(INDEX(종합!S$3:S$501,MATCH(ROW()-2,종합!$AC$3:$AC$501,0))&amp;"","")</f>
        <v>young.song@infranicsmail.com</v>
      </c>
      <c r="T37" s="21" t="str">
        <f aca="false">IFERROR(INDEX(종합!T$3:T$501,MATCH(ROW()-2,종합!$AC$3:$AC$501,0))&amp;"","")</f>
        <v>010-5330-9905</v>
      </c>
      <c r="U37" s="21" t="str">
        <f aca="false">IFERROR(INDEX(종합!U$3:U$501,MATCH(ROW()-2,종합!$AC$3:$AC$501,0))&amp;"","")</f>
        <v>심재승</v>
      </c>
      <c r="V37" s="21" t="str">
        <f aca="false">IFERROR(INDEX(종합!V$3:V$501,MATCH(ROW()-2,종합!$AC$3:$AC$501,0))&amp;"","")</f>
        <v>기술연구소/AI사업부</v>
      </c>
      <c r="W37" s="21" t="str">
        <f aca="false">IFERROR(INDEX(종합!W$3:W$501,MATCH(ROW()-2,종합!$AC$3:$AC$501,0))&amp;"","")</f>
        <v>부사장</v>
      </c>
      <c r="X37" s="21" t="str">
        <f aca="false">IFERROR(INDEX(종합!X$3:X$501,MATCH(ROW()-2,종합!$AC$3:$AC$501,0))&amp;"","")</f>
        <v>02-598-3223</v>
      </c>
      <c r="Y37" s="21" t="str">
        <f aca="false">IFERROR(INDEX(종합!Y$3:Y$501,MATCH(ROW()-2,종합!$AC$3:$AC$501,0))&amp;"","")</f>
        <v>jae.shim@infranicsmail.com</v>
      </c>
      <c r="Z37" s="21" t="str">
        <f aca="false">IFERROR(INDEX(종합!Z$3:Z$501,MATCH(ROW()-2,종합!$AC$3:$AC$501,0))&amp;"","")</f>
        <v>010-8871-7702</v>
      </c>
    </row>
    <row r="38" customFormat="false" ht="22.5" hidden="false" customHeight="true" outlineLevel="0" collapsed="false">
      <c r="A38" s="18" t="n">
        <f aca="false">IF(B38="","",ROW()-2)</f>
        <v>36</v>
      </c>
      <c r="B38" s="18" t="str">
        <f aca="false">IFERROR(INDEX(종합!B$3:B$501,MATCH(ROW()-2,종합!$AC$3:$AC$501,0))&amp;"","")</f>
        <v>(주)소울인포테크</v>
      </c>
      <c r="C38" s="18" t="str">
        <f aca="false">IFERROR(INDEX(종합!C$3:C$501,MATCH(ROW()-2,종합!$AC$3:$AC$501,0))&amp;"","")</f>
        <v/>
      </c>
      <c r="D38" s="18" t="str">
        <f aca="false">IFERROR(INDEX(종합!D$3:D$501,MATCH(ROW()-2,종합!$AC$3:$AC$501,0))&amp;"","")</f>
        <v>O</v>
      </c>
      <c r="E38" s="18" t="str">
        <f aca="false">IFERROR(INDEX(종합!E$3:E$501,MATCH(ROW()-2,종합!$AC$3:$AC$501,0))&amp;"","")</f>
        <v/>
      </c>
      <c r="F38" s="18" t="str">
        <f aca="false">IFERROR(INDEX(종합!F$3:F$501,MATCH(ROW()-2,종합!$AC$3:$AC$501,0))&amp;"","")</f>
        <v/>
      </c>
      <c r="G38" s="18" t="str">
        <f aca="false">IFERROR(INDEX(종합!G$3:G$501,MATCH(ROW()-2,종합!$AC$3:$AC$501,0))&amp;"","")</f>
        <v>중소기업</v>
      </c>
      <c r="H38" s="21" t="str">
        <f aca="false">IFERROR(INDEX(종합!H$3:H$501,MATCH(ROW()-2,종합!$AC$3:$AC$501,0))&amp;"","")</f>
        <v>123-86-18919</v>
      </c>
      <c r="I38" s="21" t="str">
        <f aca="false">IFERROR(INDEX(종합!I$3:I$501,MATCH(ROW()-2,종합!$AC$3:$AC$501,0))&amp;"","")</f>
        <v>황철연</v>
      </c>
      <c r="J38" s="21" t="str">
        <f aca="false">IFERROR(INDEX(종합!J$3:J$501,MATCH(ROW()-2,종합!$AC$3:$AC$501,0))&amp;"","")</f>
        <v>070-4280-4422</v>
      </c>
      <c r="K38" s="21" t="str">
        <f aca="false">IFERROR(INDEX(종합!K$3:K$501,MATCH(ROW()-2,종합!$AC$3:$AC$501,0))&amp;"","")</f>
        <v>www.soulinfotech.com</v>
      </c>
      <c r="L38" s="21" t="str">
        <f aca="false">IFERROR(INDEX(종합!L$3:L$501,MATCH(ROW()-2,종합!$AC$3:$AC$501,0))&amp;"","")</f>
        <v>innsup@gmail.com</v>
      </c>
      <c r="M38" s="21" t="str">
        <f aca="false">IFERROR(INDEX(종합!M$3:M$501,MATCH(ROW()-2,종합!$AC$3:$AC$501,0))&amp;"","")</f>
        <v>경기도 안양시 동안구 엘에스로116번길 25-32, 520호</v>
      </c>
      <c r="N38" s="25" t="str">
        <f aca="false">IFERROR(INDEX(종합!N$3:N$501,MATCH(ROW()-2,종합!$AC$3:$AC$501,0))&amp;"","")</f>
        <v>교통부문 시뮬레이션 및 AI 데이터 분석</v>
      </c>
      <c r="O38" s="21" t="str">
        <f aca="false">IFERROR(INDEX(종합!O$3:O$501,MATCH(ROW()-2,종합!$AC$3:$AC$501,0))&amp;"","")</f>
        <v>신인섭</v>
      </c>
      <c r="P38" s="21" t="str">
        <f aca="false">IFERROR(INDEX(종합!P$3:P$501,MATCH(ROW()-2,종합!$AC$3:$AC$501,0))&amp;"","")</f>
        <v>기업부설연구소</v>
      </c>
      <c r="Q38" s="21" t="str">
        <f aca="false">IFERROR(INDEX(종합!Q$3:Q$501,MATCH(ROW()-2,종합!$AC$3:$AC$501,0))&amp;"","")</f>
        <v>상무/연구소장</v>
      </c>
      <c r="R38" s="21" t="str">
        <f aca="false">IFERROR(INDEX(종합!R$3:R$501,MATCH(ROW()-2,종합!$AC$3:$AC$501,0))&amp;"","")</f>
        <v>070-4280-4422</v>
      </c>
      <c r="S38" s="21" t="str">
        <f aca="false">IFERROR(INDEX(종합!S$3:S$501,MATCH(ROW()-2,종합!$AC$3:$AC$501,0))&amp;"","")</f>
        <v>innsup@soulint.com</v>
      </c>
      <c r="T38" s="21" t="str">
        <f aca="false">IFERROR(INDEX(종합!T$3:T$501,MATCH(ROW()-2,종합!$AC$3:$AC$501,0))&amp;"","")</f>
        <v>010-8915-5829</v>
      </c>
      <c r="U38" s="21" t="str">
        <f aca="false">IFERROR(INDEX(종합!U$3:U$501,MATCH(ROW()-2,종합!$AC$3:$AC$501,0))&amp;"","")</f>
        <v>김영광</v>
      </c>
      <c r="V38" s="21" t="str">
        <f aca="false">IFERROR(INDEX(종합!V$3:V$501,MATCH(ROW()-2,종합!$AC$3:$AC$501,0))&amp;"","")</f>
        <v>기업부설연구소</v>
      </c>
      <c r="W38" s="21" t="str">
        <f aca="false">IFERROR(INDEX(종합!W$3:W$501,MATCH(ROW()-2,종합!$AC$3:$AC$501,0))&amp;"","")</f>
        <v>과장/연구원</v>
      </c>
      <c r="X38" s="21" t="str">
        <f aca="false">IFERROR(INDEX(종합!X$3:X$501,MATCH(ROW()-2,종합!$AC$3:$AC$501,0))&amp;"","")</f>
        <v>070-4280-4422</v>
      </c>
      <c r="Y38" s="21" t="str">
        <f aca="false">IFERROR(INDEX(종합!Y$3:Y$501,MATCH(ROW()-2,종합!$AC$3:$AC$501,0))&amp;"","")</f>
        <v>kimyk@soulint.com</v>
      </c>
      <c r="Z38" s="21" t="str">
        <f aca="false">IFERROR(INDEX(종합!Z$3:Z$501,MATCH(ROW()-2,종합!$AC$3:$AC$501,0))&amp;"","")</f>
        <v>010-5040-3389</v>
      </c>
    </row>
    <row r="39" customFormat="false" ht="33.75" hidden="false" customHeight="true" outlineLevel="0" collapsed="false">
      <c r="A39" s="18" t="n">
        <f aca="false">IF(B39="","",ROW()-2)</f>
        <v>37</v>
      </c>
      <c r="B39" s="18" t="str">
        <f aca="false">IFERROR(INDEX(종합!B$3:B$501,MATCH(ROW()-2,종합!$AC$3:$AC$501,0))&amp;"","")</f>
        <v>(주)제이에스시스템</v>
      </c>
      <c r="C39" s="18" t="str">
        <f aca="false">IFERROR(INDEX(종합!C$3:C$501,MATCH(ROW()-2,종합!$AC$3:$AC$501,0))&amp;"","")</f>
        <v/>
      </c>
      <c r="D39" s="18" t="str">
        <f aca="false">IFERROR(INDEX(종합!D$3:D$501,MATCH(ROW()-2,종합!$AC$3:$AC$501,0))&amp;"","")</f>
        <v>O</v>
      </c>
      <c r="E39" s="18" t="str">
        <f aca="false">IFERROR(INDEX(종합!E$3:E$501,MATCH(ROW()-2,종합!$AC$3:$AC$501,0))&amp;"","")</f>
        <v/>
      </c>
      <c r="F39" s="18" t="str">
        <f aca="false">IFERROR(INDEX(종합!F$3:F$501,MATCH(ROW()-2,종합!$AC$3:$AC$501,0))&amp;"","")</f>
        <v/>
      </c>
      <c r="G39" s="18" t="str">
        <f aca="false">IFERROR(INDEX(종합!G$3:G$501,MATCH(ROW()-2,종합!$AC$3:$AC$501,0))&amp;"","")</f>
        <v>중소기업</v>
      </c>
      <c r="H39" s="21" t="str">
        <f aca="false">IFERROR(INDEX(종합!H$3:H$501,MATCH(ROW()-2,종합!$AC$3:$AC$501,0))&amp;"","")</f>
        <v>503-81-66460</v>
      </c>
      <c r="I39" s="21" t="str">
        <f aca="false">IFERROR(INDEX(종합!I$3:I$501,MATCH(ROW()-2,종합!$AC$3:$AC$501,0))&amp;"","")</f>
        <v>이상도</v>
      </c>
      <c r="J39" s="21" t="str">
        <f aca="false">IFERROR(INDEX(종합!J$3:J$501,MATCH(ROW()-2,종합!$AC$3:$AC$501,0))&amp;"","")</f>
        <v>053-943-0154</v>
      </c>
      <c r="K39" s="21" t="str">
        <f aca="false">IFERROR(INDEX(종합!K$3:K$501,MATCH(ROW()-2,종합!$AC$3:$AC$501,0))&amp;"","")</f>
        <v>http://js-system.co.kr/</v>
      </c>
      <c r="L39" s="21" t="str">
        <f aca="false">IFERROR(INDEX(종합!L$3:L$501,MATCH(ROW()-2,종합!$AC$3:$AC$501,0))&amp;"","")</f>
        <v>leoyh23@gmail.com</v>
      </c>
      <c r="M39" s="21" t="str">
        <f aca="false">IFERROR(INDEX(종합!M$3:M$501,MATCH(ROW()-2,종합!$AC$3:$AC$501,0))&amp;"","")</f>
        <v>대구광역시 수성구 알파시티1로 31길 39(대흥동, JSS빌딩)</v>
      </c>
      <c r="N39" s="25" t="str">
        <f aca="false">IFERROR(INDEX(종합!N$3:N$501,MATCH(ROW()-2,종합!$AC$3:$AC$501,0))&amp;"","")</f>
        <v>제조 AI: 1. 생산관리/지시 최적화 솔루션; 2. 제조 LLM; 3. 설비고장예측 솔루션; 4. 통합품질관리솔루션</v>
      </c>
      <c r="O39" s="21" t="str">
        <f aca="false">IFERROR(INDEX(종합!O$3:O$501,MATCH(ROW()-2,종합!$AC$3:$AC$501,0))&amp;"","")</f>
        <v>이문용</v>
      </c>
      <c r="P39" s="21" t="str">
        <f aca="false">IFERROR(INDEX(종합!P$3:P$501,MATCH(ROW()-2,종합!$AC$3:$AC$501,0))&amp;"","")</f>
        <v>기획관리</v>
      </c>
      <c r="Q39" s="21" t="str">
        <f aca="false">IFERROR(INDEX(종합!Q$3:Q$501,MATCH(ROW()-2,종합!$AC$3:$AC$501,0))&amp;"","")</f>
        <v>상무</v>
      </c>
      <c r="R39" s="21" t="str">
        <f aca="false">IFERROR(INDEX(종합!R$3:R$501,MATCH(ROW()-2,종합!$AC$3:$AC$501,0))&amp;"","")</f>
        <v>053-943-0154</v>
      </c>
      <c r="S39" s="21" t="str">
        <f aca="false">IFERROR(INDEX(종합!S$3:S$501,MATCH(ROW()-2,종합!$AC$3:$AC$501,0))&amp;"","")</f>
        <v>my@js-system.co.kr</v>
      </c>
      <c r="T39" s="21" t="str">
        <f aca="false">IFERROR(INDEX(종합!T$3:T$501,MATCH(ROW()-2,종합!$AC$3:$AC$501,0))&amp;"","")</f>
        <v>010-6575-9686</v>
      </c>
      <c r="U39" s="21" t="str">
        <f aca="false">IFERROR(INDEX(종합!U$3:U$501,MATCH(ROW()-2,종합!$AC$3:$AC$501,0))&amp;"","")</f>
        <v>주리오</v>
      </c>
      <c r="V39" s="21" t="str">
        <f aca="false">IFERROR(INDEX(종합!V$3:V$501,MATCH(ROW()-2,종합!$AC$3:$AC$501,0))&amp;"","")</f>
        <v>기획관리</v>
      </c>
      <c r="W39" s="21" t="str">
        <f aca="false">IFERROR(INDEX(종합!W$3:W$501,MATCH(ROW()-2,종합!$AC$3:$AC$501,0))&amp;"","")</f>
        <v>과장/ 경기지사장</v>
      </c>
      <c r="X39" s="21" t="str">
        <f aca="false">IFERROR(INDEX(종합!X$3:X$501,MATCH(ROW()-2,종합!$AC$3:$AC$501,0))&amp;"","")</f>
        <v>053-943-0154</v>
      </c>
      <c r="Y39" s="21" t="str">
        <f aca="false">IFERROR(INDEX(종합!Y$3:Y$501,MATCH(ROW()-2,종합!$AC$3:$AC$501,0))&amp;"","")</f>
        <v>leo@js-system.co.kr</v>
      </c>
      <c r="Z39" s="21" t="str">
        <f aca="false">IFERROR(INDEX(종합!Z$3:Z$501,MATCH(ROW()-2,종합!$AC$3:$AC$501,0))&amp;"","")</f>
        <v>010-6313-9303</v>
      </c>
    </row>
    <row r="40" customFormat="false" ht="22.5" hidden="false" customHeight="true" outlineLevel="0" collapsed="false">
      <c r="A40" s="18" t="n">
        <f aca="false">IF(B40="","",ROW()-2)</f>
        <v>38</v>
      </c>
      <c r="B40" s="18" t="str">
        <f aca="false">IFERROR(INDEX(종합!B$3:B$501,MATCH(ROW()-2,종합!$AC$3:$AC$501,0))&amp;"","")</f>
        <v>주식회사 인사이트온</v>
      </c>
      <c r="C40" s="18" t="str">
        <f aca="false">IFERROR(INDEX(종합!C$3:C$501,MATCH(ROW()-2,종합!$AC$3:$AC$501,0))&amp;"","")</f>
        <v/>
      </c>
      <c r="D40" s="18" t="str">
        <f aca="false">IFERROR(INDEX(종합!D$3:D$501,MATCH(ROW()-2,종합!$AC$3:$AC$501,0))&amp;"","")</f>
        <v>O</v>
      </c>
      <c r="E40" s="18" t="str">
        <f aca="false">IFERROR(INDEX(종합!E$3:E$501,MATCH(ROW()-2,종합!$AC$3:$AC$501,0))&amp;"","")</f>
        <v/>
      </c>
      <c r="F40" s="18" t="str">
        <f aca="false">IFERROR(INDEX(종합!F$3:F$501,MATCH(ROW()-2,종합!$AC$3:$AC$501,0))&amp;"","")</f>
        <v/>
      </c>
      <c r="G40" s="18" t="str">
        <f aca="false">IFERROR(INDEX(종합!G$3:G$501,MATCH(ROW()-2,종합!$AC$3:$AC$501,0))&amp;"","")</f>
        <v>중소기업</v>
      </c>
      <c r="H40" s="21" t="str">
        <f aca="false">IFERROR(INDEX(종합!H$3:H$501,MATCH(ROW()-2,종합!$AC$3:$AC$501,0))&amp;"","")</f>
        <v>522-88-00100</v>
      </c>
      <c r="I40" s="21" t="str">
        <f aca="false">IFERROR(INDEX(종합!I$3:I$501,MATCH(ROW()-2,종합!$AC$3:$AC$501,0))&amp;"","")</f>
        <v>박승래</v>
      </c>
      <c r="J40" s="21" t="str">
        <f aca="false">IFERROR(INDEX(종합!J$3:J$501,MATCH(ROW()-2,종합!$AC$3:$AC$501,0))&amp;"","")</f>
        <v>010-8686-5188</v>
      </c>
      <c r="K40" s="21" t="str">
        <f aca="false">IFERROR(INDEX(종합!K$3:K$501,MATCH(ROW()-2,종합!$AC$3:$AC$501,0))&amp;"","")</f>
        <v>insighton.co.kr</v>
      </c>
      <c r="L40" s="21" t="str">
        <f aca="false">IFERROR(INDEX(종합!L$3:L$501,MATCH(ROW()-2,종합!$AC$3:$AC$501,0))&amp;"","")</f>
        <v>sr.victor.park@gmail.com</v>
      </c>
      <c r="M40" s="21" t="str">
        <f aca="false">IFERROR(INDEX(종합!M$3:M$501,MATCH(ROW()-2,종합!$AC$3:$AC$501,0))&amp;"","")</f>
        <v>울산 중구 종가5길 21</v>
      </c>
      <c r="N40" s="25" t="str">
        <f aca="false">IFERROR(INDEX(종합!N$3:N$501,MATCH(ROW()-2,종합!$AC$3:$AC$501,0))&amp;"","")</f>
        <v>Thingsflow(Low Code) &amp; Neuroflow(Agentic AI)</v>
      </c>
      <c r="O40" s="21" t="str">
        <f aca="false">IFERROR(INDEX(종합!O$3:O$501,MATCH(ROW()-2,종합!$AC$3:$AC$501,0))&amp;"","")</f>
        <v>박승래</v>
      </c>
      <c r="P40" s="21" t="str">
        <f aca="false">IFERROR(INDEX(종합!P$3:P$501,MATCH(ROW()-2,종합!$AC$3:$AC$501,0))&amp;"","")</f>
        <v>대표</v>
      </c>
      <c r="Q40" s="21" t="str">
        <f aca="false">IFERROR(INDEX(종합!Q$3:Q$501,MATCH(ROW()-2,종합!$AC$3:$AC$501,0))&amp;"","")</f>
        <v>대표</v>
      </c>
      <c r="R40" s="21" t="str">
        <f aca="false">IFERROR(INDEX(종합!R$3:R$501,MATCH(ROW()-2,종합!$AC$3:$AC$501,0))&amp;"","")</f>
        <v>010-8686-5188</v>
      </c>
      <c r="S40" s="21" t="str">
        <f aca="false">IFERROR(INDEX(종합!S$3:S$501,MATCH(ROW()-2,종합!$AC$3:$AC$501,0))&amp;"","")</f>
        <v>victor.park@insighton.kr</v>
      </c>
      <c r="T40" s="21" t="str">
        <f aca="false">IFERROR(INDEX(종합!T$3:T$501,MATCH(ROW()-2,종합!$AC$3:$AC$501,0))&amp;"","")</f>
        <v>010-8686-5188</v>
      </c>
      <c r="U40" s="21" t="str">
        <f aca="false">IFERROR(INDEX(종합!U$3:U$501,MATCH(ROW()-2,종합!$AC$3:$AC$501,0))&amp;"","")</f>
        <v>성령재</v>
      </c>
      <c r="V40" s="21" t="str">
        <f aca="false">IFERROR(INDEX(종합!V$3:V$501,MATCH(ROW()-2,종합!$AC$3:$AC$501,0))&amp;"","")</f>
        <v>연구소</v>
      </c>
      <c r="W40" s="21" t="str">
        <f aca="false">IFERROR(INDEX(종합!W$3:W$501,MATCH(ROW()-2,종합!$AC$3:$AC$501,0))&amp;"","")</f>
        <v>이사</v>
      </c>
      <c r="X40" s="21" t="str">
        <f aca="false">IFERROR(INDEX(종합!X$3:X$501,MATCH(ROW()-2,종합!$AC$3:$AC$501,0))&amp;"","")</f>
        <v>010-4520-3331</v>
      </c>
      <c r="Y40" s="21" t="str">
        <f aca="false">IFERROR(INDEX(종합!Y$3:Y$501,MATCH(ROW()-2,종합!$AC$3:$AC$501,0))&amp;"","")</f>
        <v>rjseong@insighton.kr</v>
      </c>
      <c r="Z40" s="21" t="str">
        <f aca="false">IFERROR(INDEX(종합!Z$3:Z$501,MATCH(ROW()-2,종합!$AC$3:$AC$501,0))&amp;"","")</f>
        <v>010-4520-3331</v>
      </c>
    </row>
    <row r="41" customFormat="false" ht="22.5" hidden="false" customHeight="true" outlineLevel="0" collapsed="false">
      <c r="A41" s="18" t="n">
        <f aca="false">IF(B41="","",ROW()-2)</f>
        <v>39</v>
      </c>
      <c r="B41" s="18" t="str">
        <f aca="false">IFERROR(INDEX(종합!B$3:B$501,MATCH(ROW()-2,종합!$AC$3:$AC$501,0))&amp;"","")</f>
        <v>주식회사 유니버스에이아이</v>
      </c>
      <c r="C41" s="18" t="str">
        <f aca="false">IFERROR(INDEX(종합!C$3:C$501,MATCH(ROW()-2,종합!$AC$3:$AC$501,0))&amp;"","")</f>
        <v/>
      </c>
      <c r="D41" s="18" t="str">
        <f aca="false">IFERROR(INDEX(종합!D$3:D$501,MATCH(ROW()-2,종합!$AC$3:$AC$501,0))&amp;"","")</f>
        <v>O</v>
      </c>
      <c r="E41" s="18" t="str">
        <f aca="false">IFERROR(INDEX(종합!E$3:E$501,MATCH(ROW()-2,종합!$AC$3:$AC$501,0))&amp;"","")</f>
        <v/>
      </c>
      <c r="F41" s="18" t="str">
        <f aca="false">IFERROR(INDEX(종합!F$3:F$501,MATCH(ROW()-2,종합!$AC$3:$AC$501,0))&amp;"","")</f>
        <v/>
      </c>
      <c r="G41" s="18" t="str">
        <f aca="false">IFERROR(INDEX(종합!G$3:G$501,MATCH(ROW()-2,종합!$AC$3:$AC$501,0))&amp;"","")</f>
        <v>중소기업</v>
      </c>
      <c r="H41" s="21" t="str">
        <f aca="false">IFERROR(INDEX(종합!H$3:H$501,MATCH(ROW()-2,종합!$AC$3:$AC$501,0))&amp;"","")</f>
        <v>422-87-03381</v>
      </c>
      <c r="I41" s="21" t="str">
        <f aca="false">IFERROR(INDEX(종합!I$3:I$501,MATCH(ROW()-2,종합!$AC$3:$AC$501,0))&amp;"","")</f>
        <v>추의민</v>
      </c>
      <c r="J41" s="21" t="str">
        <f aca="false">IFERROR(INDEX(종합!J$3:J$501,MATCH(ROW()-2,종합!$AC$3:$AC$501,0))&amp;"","")</f>
        <v>070-4149-2963</v>
      </c>
      <c r="K41" s="21" t="str">
        <f aca="false">IFERROR(INDEX(종합!K$3:K$501,MATCH(ROW()-2,종합!$AC$3:$AC$501,0))&amp;"","")</f>
        <v>https://univs.ai/</v>
      </c>
      <c r="L41" s="21" t="str">
        <f aca="false">IFERROR(INDEX(종합!L$3:L$501,MATCH(ROW()-2,종합!$AC$3:$AC$501,0))&amp;"","")</f>
        <v>cem@univs.ai</v>
      </c>
      <c r="M41" s="21" t="str">
        <f aca="false">IFERROR(INDEX(종합!M$3:M$501,MATCH(ROW()-2,종합!$AC$3:$AC$501,0))&amp;"","")</f>
        <v>서울시 강남구 테헤란로33길 13-3, 2층</v>
      </c>
      <c r="N41" s="25" t="str">
        <f aca="false">IFERROR(INDEX(종합!N$3:N$501,MATCH(ROW()-2,종합!$AC$3:$AC$501,0))&amp;"","")</f>
        <v>AI생체인식 알고리즘 및 실시간 감지 보안솔루션</v>
      </c>
      <c r="O41" s="21" t="str">
        <f aca="false">IFERROR(INDEX(종합!O$3:O$501,MATCH(ROW()-2,종합!$AC$3:$AC$501,0))&amp;"","")</f>
        <v>추의민</v>
      </c>
      <c r="P41" s="21" t="str">
        <f aca="false">IFERROR(INDEX(종합!P$3:P$501,MATCH(ROW()-2,종합!$AC$3:$AC$501,0))&amp;"","")</f>
        <v>총괄</v>
      </c>
      <c r="Q41" s="21" t="str">
        <f aca="false">IFERROR(INDEX(종합!Q$3:Q$501,MATCH(ROW()-2,종합!$AC$3:$AC$501,0))&amp;"","")</f>
        <v>대표이사</v>
      </c>
      <c r="R41" s="21" t="str">
        <f aca="false">IFERROR(INDEX(종합!R$3:R$501,MATCH(ROW()-2,종합!$AC$3:$AC$501,0))&amp;"","")</f>
        <v>070-4895-3906</v>
      </c>
      <c r="S41" s="21" t="str">
        <f aca="false">IFERROR(INDEX(종합!S$3:S$501,MATCH(ROW()-2,종합!$AC$3:$AC$501,0))&amp;"","")</f>
        <v>cem@univs.ai</v>
      </c>
      <c r="T41" s="21" t="str">
        <f aca="false">IFERROR(INDEX(종합!T$3:T$501,MATCH(ROW()-2,종합!$AC$3:$AC$501,0))&amp;"","")</f>
        <v>010-5083-9383</v>
      </c>
      <c r="U41" s="21" t="str">
        <f aca="false">IFERROR(INDEX(종합!U$3:U$501,MATCH(ROW()-2,종합!$AC$3:$AC$501,0))&amp;"","")</f>
        <v>이소담</v>
      </c>
      <c r="V41" s="21" t="str">
        <f aca="false">IFERROR(INDEX(종합!V$3:V$501,MATCH(ROW()-2,종합!$AC$3:$AC$501,0))&amp;"","")</f>
        <v>영업팀</v>
      </c>
      <c r="W41" s="21" t="str">
        <f aca="false">IFERROR(INDEX(종합!W$3:W$501,MATCH(ROW()-2,종합!$AC$3:$AC$501,0))&amp;"","")</f>
        <v>매니저</v>
      </c>
      <c r="X41" s="21" t="str">
        <f aca="false">IFERROR(INDEX(종합!X$3:X$501,MATCH(ROW()-2,종합!$AC$3:$AC$501,0))&amp;"","")</f>
        <v>070-4149-2963</v>
      </c>
      <c r="Y41" s="21" t="str">
        <f aca="false">IFERROR(INDEX(종합!Y$3:Y$501,MATCH(ROW()-2,종합!$AC$3:$AC$501,0))&amp;"","")</f>
        <v>lsd@univs.ai</v>
      </c>
      <c r="Z41" s="21" t="str">
        <f aca="false">IFERROR(INDEX(종합!Z$3:Z$501,MATCH(ROW()-2,종합!$AC$3:$AC$501,0))&amp;"","")</f>
        <v>010-9977-9287</v>
      </c>
    </row>
    <row r="42" customFormat="false" ht="22.5" hidden="false" customHeight="true" outlineLevel="0" collapsed="false">
      <c r="A42" s="18" t="n">
        <f aca="false">IF(B42="","",ROW()-2)</f>
        <v>40</v>
      </c>
      <c r="B42" s="18" t="str">
        <f aca="false">IFERROR(INDEX(종합!B$3:B$501,MATCH(ROW()-2,종합!$AC$3:$AC$501,0))&amp;"","")</f>
        <v>플렉스 주식회사</v>
      </c>
      <c r="C42" s="18" t="str">
        <f aca="false">IFERROR(INDEX(종합!C$3:C$501,MATCH(ROW()-2,종합!$AC$3:$AC$501,0))&amp;"","")</f>
        <v/>
      </c>
      <c r="D42" s="18" t="str">
        <f aca="false">IFERROR(INDEX(종합!D$3:D$501,MATCH(ROW()-2,종합!$AC$3:$AC$501,0))&amp;"","")</f>
        <v>O</v>
      </c>
      <c r="E42" s="18" t="str">
        <f aca="false">IFERROR(INDEX(종합!E$3:E$501,MATCH(ROW()-2,종합!$AC$3:$AC$501,0))&amp;"","")</f>
        <v/>
      </c>
      <c r="F42" s="18" t="str">
        <f aca="false">IFERROR(INDEX(종합!F$3:F$501,MATCH(ROW()-2,종합!$AC$3:$AC$501,0))&amp;"","")</f>
        <v/>
      </c>
      <c r="G42" s="18" t="str">
        <f aca="false">IFERROR(INDEX(종합!G$3:G$501,MATCH(ROW()-2,종합!$AC$3:$AC$501,0))&amp;"","")</f>
        <v>중소기업</v>
      </c>
      <c r="H42" s="21" t="str">
        <f aca="false">IFERROR(INDEX(종합!H$3:H$501,MATCH(ROW()-2,종합!$AC$3:$AC$501,0))&amp;"","")</f>
        <v>460-81-01554</v>
      </c>
      <c r="I42" s="21" t="str">
        <f aca="false">IFERROR(INDEX(종합!I$3:I$501,MATCH(ROW()-2,종합!$AC$3:$AC$501,0))&amp;"","")</f>
        <v>장해남</v>
      </c>
      <c r="J42" s="21" t="str">
        <f aca="false">IFERROR(INDEX(종합!J$3:J$501,MATCH(ROW()-2,종합!$AC$3:$AC$501,0))&amp;"","")</f>
        <v>070-4949-1554</v>
      </c>
      <c r="K42" s="21" t="str">
        <f aca="false">IFERROR(INDEX(종합!K$3:K$501,MATCH(ROW()-2,종합!$AC$3:$AC$501,0))&amp;"","")</f>
        <v>flex.team</v>
      </c>
      <c r="L42" s="21" t="str">
        <f aca="false">IFERROR(INDEX(종합!L$3:L$501,MATCH(ROW()-2,종합!$AC$3:$AC$501,0))&amp;"","")</f>
        <v>jihyun.song@flex.team</v>
      </c>
      <c r="M42" s="21" t="str">
        <f aca="false">IFERROR(INDEX(종합!M$3:M$501,MATCH(ROW()-2,종합!$AC$3:$AC$501,0))&amp;"","")</f>
        <v>경기도 성남시 분당구 황새울로359번길 11 미래에셋플레이스 7, 8층</v>
      </c>
      <c r="N42" s="25" t="str">
        <f aca="false">IFERROR(INDEX(종합!N$3:N$501,MATCH(ROW()-2,종합!$AC$3:$AC$501,0))&amp;"","")</f>
        <v>flex AI(HR 기반 AI 플랫폼, HR 특화 Agentic AI)</v>
      </c>
      <c r="O42" s="21" t="str">
        <f aca="false">IFERROR(INDEX(종합!O$3:O$501,MATCH(ROW()-2,종합!$AC$3:$AC$501,0))&amp;"","")</f>
        <v>장해남</v>
      </c>
      <c r="P42" s="21" t="str">
        <f aca="false">IFERROR(INDEX(종합!P$3:P$501,MATCH(ROW()-2,종합!$AC$3:$AC$501,0))&amp;"","")</f>
        <v>없음</v>
      </c>
      <c r="Q42" s="21" t="str">
        <f aca="false">IFERROR(INDEX(종합!Q$3:Q$501,MATCH(ROW()-2,종합!$AC$3:$AC$501,0))&amp;"","")</f>
        <v>대표이사(CEO)</v>
      </c>
      <c r="R42" s="21" t="str">
        <f aca="false">IFERROR(INDEX(종합!R$3:R$501,MATCH(ROW()-2,종합!$AC$3:$AC$501,0))&amp;"","")</f>
        <v>070-4949-1554</v>
      </c>
      <c r="S42" s="21" t="str">
        <f aca="false">IFERROR(INDEX(종합!S$3:S$501,MATCH(ROW()-2,종합!$AC$3:$AC$501,0))&amp;"","")</f>
        <v>haenam@flex.team</v>
      </c>
      <c r="T42" s="21" t="str">
        <f aca="false">IFERROR(INDEX(종합!T$3:T$501,MATCH(ROW()-2,종합!$AC$3:$AC$501,0))&amp;"","")</f>
        <v>010-9762-7574</v>
      </c>
      <c r="U42" s="21" t="str">
        <f aca="false">IFERROR(INDEX(종합!U$3:U$501,MATCH(ROW()-2,종합!$AC$3:$AC$501,0))&amp;"","")</f>
        <v>송지현</v>
      </c>
      <c r="V42" s="21" t="str">
        <f aca="false">IFERROR(INDEX(종합!V$3:V$501,MATCH(ROW()-2,종합!$AC$3:$AC$501,0))&amp;"","")</f>
        <v>Corporate Communications</v>
      </c>
      <c r="W42" s="21" t="str">
        <f aca="false">IFERROR(INDEX(종합!W$3:W$501,MATCH(ROW()-2,종합!$AC$3:$AC$501,0))&amp;"","")</f>
        <v>Head of Corporate Communications</v>
      </c>
      <c r="X42" s="21" t="str">
        <f aca="false">IFERROR(INDEX(종합!X$3:X$501,MATCH(ROW()-2,종합!$AC$3:$AC$501,0))&amp;"","")</f>
        <v>070-4949-1554</v>
      </c>
      <c r="Y42" s="21" t="str">
        <f aca="false">IFERROR(INDEX(종합!Y$3:Y$501,MATCH(ROW()-2,종합!$AC$3:$AC$501,0))&amp;"","")</f>
        <v>jihyun.song@flex.team</v>
      </c>
      <c r="Z42" s="21" t="str">
        <f aca="false">IFERROR(INDEX(종합!Z$3:Z$501,MATCH(ROW()-2,종합!$AC$3:$AC$501,0))&amp;"","")</f>
        <v>010-4170-9410</v>
      </c>
    </row>
    <row r="43" customFormat="false" ht="22.5" hidden="false" customHeight="true" outlineLevel="0" collapsed="false">
      <c r="A43" s="18" t="n">
        <f aca="false">IF(B43="","",ROW()-2)</f>
        <v>41</v>
      </c>
      <c r="B43" s="18" t="str">
        <f aca="false">IFERROR(INDEX(종합!B$3:B$501,MATCH(ROW()-2,종합!$AC$3:$AC$501,0))&amp;"","")</f>
        <v>클루피 주식회사</v>
      </c>
      <c r="C43" s="18" t="str">
        <f aca="false">IFERROR(INDEX(종합!C$3:C$501,MATCH(ROW()-2,종합!$AC$3:$AC$501,0))&amp;"","")</f>
        <v/>
      </c>
      <c r="D43" s="18" t="str">
        <f aca="false">IFERROR(INDEX(종합!D$3:D$501,MATCH(ROW()-2,종합!$AC$3:$AC$501,0))&amp;"","")</f>
        <v>O</v>
      </c>
      <c r="E43" s="18" t="str">
        <f aca="false">IFERROR(INDEX(종합!E$3:E$501,MATCH(ROW()-2,종합!$AC$3:$AC$501,0))&amp;"","")</f>
        <v/>
      </c>
      <c r="F43" s="18" t="str">
        <f aca="false">IFERROR(INDEX(종합!F$3:F$501,MATCH(ROW()-2,종합!$AC$3:$AC$501,0))&amp;"","")</f>
        <v/>
      </c>
      <c r="G43" s="18" t="str">
        <f aca="false">IFERROR(INDEX(종합!G$3:G$501,MATCH(ROW()-2,종합!$AC$3:$AC$501,0))&amp;"","")</f>
        <v>중소기업</v>
      </c>
      <c r="H43" s="21" t="str">
        <f aca="false">IFERROR(INDEX(종합!H$3:H$501,MATCH(ROW()-2,종합!$AC$3:$AC$501,0))&amp;"","")</f>
        <v>614-87-00644</v>
      </c>
      <c r="I43" s="21" t="str">
        <f aca="false">IFERROR(INDEX(종합!I$3:I$501,MATCH(ROW()-2,종합!$AC$3:$AC$501,0))&amp;"","")</f>
        <v>김기환</v>
      </c>
      <c r="J43" s="21" t="str">
        <f aca="false">IFERROR(INDEX(종합!J$3:J$501,MATCH(ROW()-2,종합!$AC$3:$AC$501,0))&amp;"","")</f>
        <v>053-357-0307</v>
      </c>
      <c r="K43" s="21" t="str">
        <f aca="false">IFERROR(INDEX(종합!K$3:K$501,MATCH(ROW()-2,종합!$AC$3:$AC$501,0))&amp;"","")</f>
        <v>https://clupea.co.kr</v>
      </c>
      <c r="L43" s="21" t="str">
        <f aca="false">IFERROR(INDEX(종합!L$3:L$501,MATCH(ROW()-2,종합!$AC$3:$AC$501,0))&amp;"","")</f>
        <v>kimgihwan@clupea.co.kr</v>
      </c>
      <c r="M43" s="21" t="str">
        <f aca="false">IFERROR(INDEX(종합!M$3:M$501,MATCH(ROW()-2,종합!$AC$3:$AC$501,0))&amp;"","")</f>
        <v>대구광역시 북구 호암로51, 벤처오피스 215호</v>
      </c>
      <c r="N43" s="25" t="str">
        <f aca="false">IFERROR(INDEX(종합!N$3:N$501,MATCH(ROW()-2,종합!$AC$3:$AC$501,0))&amp;"","")</f>
        <v>임상시험데이터 최적화 (자동화) 솔루션 MediLake 플랫폼</v>
      </c>
      <c r="O43" s="21" t="str">
        <f aca="false">IFERROR(INDEX(종합!O$3:O$501,MATCH(ROW()-2,종합!$AC$3:$AC$501,0))&amp;"","")</f>
        <v>김기환</v>
      </c>
      <c r="P43" s="21" t="str">
        <f aca="false">IFERROR(INDEX(종합!P$3:P$501,MATCH(ROW()-2,종합!$AC$3:$AC$501,0))&amp;"","")</f>
        <v>경영</v>
      </c>
      <c r="Q43" s="21" t="str">
        <f aca="false">IFERROR(INDEX(종합!Q$3:Q$501,MATCH(ROW()-2,종합!$AC$3:$AC$501,0))&amp;"","")</f>
        <v>대표이사</v>
      </c>
      <c r="R43" s="21" t="str">
        <f aca="false">IFERROR(INDEX(종합!R$3:R$501,MATCH(ROW()-2,종합!$AC$3:$AC$501,0))&amp;"","")</f>
        <v>053-357-0307</v>
      </c>
      <c r="S43" s="21" t="str">
        <f aca="false">IFERROR(INDEX(종합!S$3:S$501,MATCH(ROW()-2,종합!$AC$3:$AC$501,0))&amp;"","")</f>
        <v>kimgihwan@clupea.co.kr</v>
      </c>
      <c r="T43" s="21" t="str">
        <f aca="false">IFERROR(INDEX(종합!T$3:T$501,MATCH(ROW()-2,종합!$AC$3:$AC$501,0))&amp;"","")</f>
        <v>010-3527-8909</v>
      </c>
      <c r="U43" s="21" t="str">
        <f aca="false">IFERROR(INDEX(종합!U$3:U$501,MATCH(ROW()-2,종합!$AC$3:$AC$501,0))&amp;"","")</f>
        <v>이민철</v>
      </c>
      <c r="V43" s="21" t="str">
        <f aca="false">IFERROR(INDEX(종합!V$3:V$501,MATCH(ROW()-2,종합!$AC$3:$AC$501,0))&amp;"","")</f>
        <v>경영기획</v>
      </c>
      <c r="W43" s="21" t="str">
        <f aca="false">IFERROR(INDEX(종합!W$3:W$501,MATCH(ROW()-2,종합!$AC$3:$AC$501,0))&amp;"","")</f>
        <v>이사</v>
      </c>
      <c r="X43" s="21" t="str">
        <f aca="false">IFERROR(INDEX(종합!X$3:X$501,MATCH(ROW()-2,종합!$AC$3:$AC$501,0))&amp;"","")</f>
        <v>053-357-0307</v>
      </c>
      <c r="Y43" s="21" t="str">
        <f aca="false">IFERROR(INDEX(종합!Y$3:Y$501,MATCH(ROW()-2,종합!$AC$3:$AC$501,0))&amp;"","")</f>
        <v>mclee@clupea.co.kr</v>
      </c>
      <c r="Z43" s="21" t="str">
        <f aca="false">IFERROR(INDEX(종합!Z$3:Z$501,MATCH(ROW()-2,종합!$AC$3:$AC$501,0))&amp;"","")</f>
        <v>010-2040-4696</v>
      </c>
    </row>
    <row r="44" customFormat="false" ht="22.5" hidden="false" customHeight="true" outlineLevel="0" collapsed="false">
      <c r="A44" s="18" t="n">
        <f aca="false">IF(B44="","",ROW()-2)</f>
        <v>42</v>
      </c>
      <c r="B44" s="18" t="str">
        <f aca="false">IFERROR(INDEX(종합!B$3:B$501,MATCH(ROW()-2,종합!$AC$3:$AC$501,0))&amp;"","")</f>
        <v>(주)와이즈넛</v>
      </c>
      <c r="C44" s="18" t="str">
        <f aca="false">IFERROR(INDEX(종합!C$3:C$501,MATCH(ROW()-2,종합!$AC$3:$AC$501,0))&amp;"","")</f>
        <v/>
      </c>
      <c r="D44" s="18" t="str">
        <f aca="false">IFERROR(INDEX(종합!D$3:D$501,MATCH(ROW()-2,종합!$AC$3:$AC$501,0))&amp;"","")</f>
        <v>O</v>
      </c>
      <c r="E44" s="18" t="str">
        <f aca="false">IFERROR(INDEX(종합!E$3:E$501,MATCH(ROW()-2,종합!$AC$3:$AC$501,0))&amp;"","")</f>
        <v/>
      </c>
      <c r="F44" s="18" t="str">
        <f aca="false">IFERROR(INDEX(종합!F$3:F$501,MATCH(ROW()-2,종합!$AC$3:$AC$501,0))&amp;"","")</f>
        <v/>
      </c>
      <c r="G44" s="18" t="str">
        <f aca="false">IFERROR(INDEX(종합!G$3:G$501,MATCH(ROW()-2,종합!$AC$3:$AC$501,0))&amp;"","")</f>
        <v>중소기업</v>
      </c>
      <c r="H44" s="21" t="str">
        <f aca="false">IFERROR(INDEX(종합!H$3:H$501,MATCH(ROW()-2,종합!$AC$3:$AC$501,0))&amp;"","")</f>
        <v>211-86-98485</v>
      </c>
      <c r="I44" s="21" t="str">
        <f aca="false">IFERROR(INDEX(종합!I$3:I$501,MATCH(ROW()-2,종합!$AC$3:$AC$501,0))&amp;"","")</f>
        <v>강용성</v>
      </c>
      <c r="J44" s="21" t="str">
        <f aca="false">IFERROR(INDEX(종합!J$3:J$501,MATCH(ROW()-2,종합!$AC$3:$AC$501,0))&amp;"","")</f>
        <v>02-3404-6100</v>
      </c>
      <c r="K44" s="21" t="str">
        <f aca="false">IFERROR(INDEX(종합!K$3:K$501,MATCH(ROW()-2,종합!$AC$3:$AC$501,0))&amp;"","")</f>
        <v>www.wisenut.com</v>
      </c>
      <c r="L44" s="21" t="str">
        <f aca="false">IFERROR(INDEX(종합!L$3:L$501,MATCH(ROW()-2,종합!$AC$3:$AC$501,0))&amp;"","")</f>
        <v>alsgur316@gmail.com</v>
      </c>
      <c r="M44" s="21" t="str">
        <f aca="false">IFERROR(INDEX(종합!M$3:M$501,MATCH(ROW()-2,종합!$AC$3:$AC$501,0))&amp;"","")</f>
        <v>경기도 성남시 분당구 대왕판교로 644번길 49, DTC타워 5,6층</v>
      </c>
      <c r="N44" s="25" t="str">
        <f aca="false">IFERROR(INDEX(종합!N$3:N$501,MATCH(ROW()-2,종합!$AC$3:$AC$501,0))&amp;"","")</f>
        <v>AI 에이전트, LLM, RAG, AI 검색 등</v>
      </c>
      <c r="O44" s="21" t="str">
        <f aca="false">IFERROR(INDEX(종합!O$3:O$501,MATCH(ROW()-2,종합!$AC$3:$AC$501,0))&amp;"","")</f>
        <v>강용성</v>
      </c>
      <c r="P44" s="21" t="str">
        <f aca="false">IFERROR(INDEX(종합!P$3:P$501,MATCH(ROW()-2,종합!$AC$3:$AC$501,0))&amp;"","")</f>
        <v>-</v>
      </c>
      <c r="Q44" s="21" t="str">
        <f aca="false">IFERROR(INDEX(종합!Q$3:Q$501,MATCH(ROW()-2,종합!$AC$3:$AC$501,0))&amp;"","")</f>
        <v>대표이사</v>
      </c>
      <c r="R44" s="21" t="str">
        <f aca="false">IFERROR(INDEX(종합!R$3:R$501,MATCH(ROW()-2,종합!$AC$3:$AC$501,0))&amp;"","")</f>
        <v>02-3404-6170</v>
      </c>
      <c r="S44" s="21" t="str">
        <f aca="false">IFERROR(INDEX(종합!S$3:S$501,MATCH(ROW()-2,종합!$AC$3:$AC$501,0))&amp;"","")</f>
        <v>scott@wisenut.co.kr</v>
      </c>
      <c r="T44" s="21" t="str">
        <f aca="false">IFERROR(INDEX(종합!T$3:T$501,MATCH(ROW()-2,종합!$AC$3:$AC$501,0))&amp;"","")</f>
        <v>010-9164-3659</v>
      </c>
      <c r="U44" s="21" t="str">
        <f aca="false">IFERROR(INDEX(종합!U$3:U$501,MATCH(ROW()-2,종합!$AC$3:$AC$501,0))&amp;"","")</f>
        <v>김보령</v>
      </c>
      <c r="V44" s="21" t="str">
        <f aca="false">IFERROR(INDEX(종합!V$3:V$501,MATCH(ROW()-2,종합!$AC$3:$AC$501,0))&amp;"","")</f>
        <v>전략마케팅부</v>
      </c>
      <c r="W44" s="21" t="str">
        <f aca="false">IFERROR(INDEX(종합!W$3:W$501,MATCH(ROW()-2,종합!$AC$3:$AC$501,0))&amp;"","")</f>
        <v>과장/팀장</v>
      </c>
      <c r="X44" s="21" t="str">
        <f aca="false">IFERROR(INDEX(종합!X$3:X$501,MATCH(ROW()-2,종합!$AC$3:$AC$501,0))&amp;"","")</f>
        <v>02-3404-6147</v>
      </c>
      <c r="Y44" s="21" t="str">
        <f aca="false">IFERROR(INDEX(종합!Y$3:Y$501,MATCH(ROW()-2,종합!$AC$3:$AC$501,0))&amp;"","")</f>
        <v>brkim@wisenut.co.kr</v>
      </c>
      <c r="Z44" s="21" t="str">
        <f aca="false">IFERROR(INDEX(종합!Z$3:Z$501,MATCH(ROW()-2,종합!$AC$3:$AC$501,0))&amp;"","")</f>
        <v>010-6566-5426</v>
      </c>
    </row>
    <row r="45" customFormat="false" ht="22.5" hidden="false" customHeight="true" outlineLevel="0" collapsed="false">
      <c r="A45" s="18" t="n">
        <f aca="false">IF(B45="","",ROW()-2)</f>
        <v>43</v>
      </c>
      <c r="B45" s="18" t="str">
        <f aca="false">IFERROR(INDEX(종합!B$3:B$501,MATCH(ROW()-2,종합!$AC$3:$AC$501,0))&amp;"","")</f>
        <v>(주)랩큐</v>
      </c>
      <c r="C45" s="18" t="str">
        <f aca="false">IFERROR(INDEX(종합!C$3:C$501,MATCH(ROW()-2,종합!$AC$3:$AC$501,0))&amp;"","")</f>
        <v/>
      </c>
      <c r="D45" s="18" t="str">
        <f aca="false">IFERROR(INDEX(종합!D$3:D$501,MATCH(ROW()-2,종합!$AC$3:$AC$501,0))&amp;"","")</f>
        <v>O</v>
      </c>
      <c r="E45" s="18" t="str">
        <f aca="false">IFERROR(INDEX(종합!E$3:E$501,MATCH(ROW()-2,종합!$AC$3:$AC$501,0))&amp;"","")</f>
        <v/>
      </c>
      <c r="F45" s="18" t="str">
        <f aca="false">IFERROR(INDEX(종합!F$3:F$501,MATCH(ROW()-2,종합!$AC$3:$AC$501,0))&amp;"","")</f>
        <v/>
      </c>
      <c r="G45" s="18" t="str">
        <f aca="false">IFERROR(INDEX(종합!G$3:G$501,MATCH(ROW()-2,종합!$AC$3:$AC$501,0))&amp;"","")</f>
        <v>중소기업</v>
      </c>
      <c r="H45" s="21" t="str">
        <f aca="false">IFERROR(INDEX(종합!H$3:H$501,MATCH(ROW()-2,종합!$AC$3:$AC$501,0))&amp;"","")</f>
        <v>813-87-01366</v>
      </c>
      <c r="I45" s="21" t="str">
        <f aca="false">IFERROR(INDEX(종합!I$3:I$501,MATCH(ROW()-2,종합!$AC$3:$AC$501,0))&amp;"","")</f>
        <v>김한수</v>
      </c>
      <c r="J45" s="21" t="str">
        <f aca="false">IFERROR(INDEX(종합!J$3:J$501,MATCH(ROW()-2,종합!$AC$3:$AC$501,0))&amp;"","")</f>
        <v>010-2359-8053</v>
      </c>
      <c r="K45" s="21" t="str">
        <f aca="false">IFERROR(INDEX(종합!K$3:K$501,MATCH(ROW()-2,종합!$AC$3:$AC$501,0))&amp;"","")</f>
        <v>www.labq.kr</v>
      </c>
      <c r="L45" s="21" t="str">
        <f aca="false">IFERROR(INDEX(종합!L$3:L$501,MATCH(ROW()-2,종합!$AC$3:$AC$501,0))&amp;"","")</f>
        <v>khs@labq.kr</v>
      </c>
      <c r="M45" s="21" t="str">
        <f aca="false">IFERROR(INDEX(종합!M$3:M$501,MATCH(ROW()-2,종합!$AC$3:$AC$501,0))&amp;"","")</f>
        <v>서울 영등포구 양평로21길 26, 2301호</v>
      </c>
      <c r="N45" s="25" t="str">
        <f aca="false">IFERROR(INDEX(종합!N$3:N$501,MATCH(ROW()-2,종합!$AC$3:$AC$501,0))&amp;"","")</f>
        <v>DeepQ AI 어시스턴트, </v>
      </c>
      <c r="O45" s="21" t="str">
        <f aca="false">IFERROR(INDEX(종합!O$3:O$501,MATCH(ROW()-2,종합!$AC$3:$AC$501,0))&amp;"","")</f>
        <v>김한수</v>
      </c>
      <c r="P45" s="21" t="str">
        <f aca="false">IFERROR(INDEX(종합!P$3:P$501,MATCH(ROW()-2,종합!$AC$3:$AC$501,0))&amp;"","")</f>
        <v>대표</v>
      </c>
      <c r="Q45" s="21" t="str">
        <f aca="false">IFERROR(INDEX(종합!Q$3:Q$501,MATCH(ROW()-2,종합!$AC$3:$AC$501,0))&amp;"","")</f>
        <v>대표</v>
      </c>
      <c r="R45" s="21" t="str">
        <f aca="false">IFERROR(INDEX(종합!R$3:R$501,MATCH(ROW()-2,종합!$AC$3:$AC$501,0))&amp;"","")</f>
        <v>010-2359-8053</v>
      </c>
      <c r="S45" s="21" t="str">
        <f aca="false">IFERROR(INDEX(종합!S$3:S$501,MATCH(ROW()-2,종합!$AC$3:$AC$501,0))&amp;"","")</f>
        <v>khs@labq.kr</v>
      </c>
      <c r="T45" s="21" t="str">
        <f aca="false">IFERROR(INDEX(종합!T$3:T$501,MATCH(ROW()-2,종합!$AC$3:$AC$501,0))&amp;"","")</f>
        <v>010-2359-8053</v>
      </c>
      <c r="U45" s="21" t="str">
        <f aca="false">IFERROR(INDEX(종합!U$3:U$501,MATCH(ROW()-2,종합!$AC$3:$AC$501,0))&amp;"","")</f>
        <v>박정우</v>
      </c>
      <c r="V45" s="21" t="str">
        <f aca="false">IFERROR(INDEX(종합!V$3:V$501,MATCH(ROW()-2,종합!$AC$3:$AC$501,0))&amp;"","")</f>
        <v>AI전략사업부</v>
      </c>
      <c r="W45" s="21" t="str">
        <f aca="false">IFERROR(INDEX(종합!W$3:W$501,MATCH(ROW()-2,종합!$AC$3:$AC$501,0))&amp;"","")</f>
        <v>팀장</v>
      </c>
      <c r="X45" s="21" t="str">
        <f aca="false">IFERROR(INDEX(종합!X$3:X$501,MATCH(ROW()-2,종합!$AC$3:$AC$501,0))&amp;"","")</f>
        <v>02-6259-8053</v>
      </c>
      <c r="Y45" s="21" t="str">
        <f aca="false">IFERROR(INDEX(종합!Y$3:Y$501,MATCH(ROW()-2,종합!$AC$3:$AC$501,0))&amp;"","")</f>
        <v>friendship.park@labq.kr</v>
      </c>
      <c r="Z45" s="21" t="str">
        <f aca="false">IFERROR(INDEX(종합!Z$3:Z$501,MATCH(ROW()-2,종합!$AC$3:$AC$501,0))&amp;"","")</f>
        <v>010-7293-8533</v>
      </c>
    </row>
    <row r="46" customFormat="false" ht="22.5" hidden="false" customHeight="true" outlineLevel="0" collapsed="false">
      <c r="A46" s="18" t="n">
        <f aca="false">IF(B46="","",ROW()-2)</f>
        <v>44</v>
      </c>
      <c r="B46" s="18" t="str">
        <f aca="false">IFERROR(INDEX(종합!B$3:B$501,MATCH(ROW()-2,종합!$AC$3:$AC$501,0))&amp;"","")</f>
        <v>(주)팀플백</v>
      </c>
      <c r="C46" s="18" t="str">
        <f aca="false">IFERROR(INDEX(종합!C$3:C$501,MATCH(ROW()-2,종합!$AC$3:$AC$501,0))&amp;"","")</f>
        <v/>
      </c>
      <c r="D46" s="18" t="str">
        <f aca="false">IFERROR(INDEX(종합!D$3:D$501,MATCH(ROW()-2,종합!$AC$3:$AC$501,0))&amp;"","")</f>
        <v>O</v>
      </c>
      <c r="E46" s="18" t="str">
        <f aca="false">IFERROR(INDEX(종합!E$3:E$501,MATCH(ROW()-2,종합!$AC$3:$AC$501,0))&amp;"","")</f>
        <v/>
      </c>
      <c r="F46" s="18" t="str">
        <f aca="false">IFERROR(INDEX(종합!F$3:F$501,MATCH(ROW()-2,종합!$AC$3:$AC$501,0))&amp;"","")</f>
        <v/>
      </c>
      <c r="G46" s="18" t="str">
        <f aca="false">IFERROR(INDEX(종합!G$3:G$501,MATCH(ROW()-2,종합!$AC$3:$AC$501,0))&amp;"","")</f>
        <v>중소기업</v>
      </c>
      <c r="H46" s="21" t="str">
        <f aca="false">IFERROR(INDEX(종합!H$3:H$501,MATCH(ROW()-2,종합!$AC$3:$AC$501,0))&amp;"","")</f>
        <v>894-86-00807</v>
      </c>
      <c r="I46" s="21" t="str">
        <f aca="false">IFERROR(INDEX(종합!I$3:I$501,MATCH(ROW()-2,종합!$AC$3:$AC$501,0))&amp;"","")</f>
        <v>이진희</v>
      </c>
      <c r="J46" s="21" t="str">
        <f aca="false">IFERROR(INDEX(종합!J$3:J$501,MATCH(ROW()-2,종합!$AC$3:$AC$501,0))&amp;"","")</f>
        <v>010-4841-4524</v>
      </c>
      <c r="K46" s="21" t="str">
        <f aca="false">IFERROR(INDEX(종합!K$3:K$501,MATCH(ROW()-2,종합!$AC$3:$AC$501,0))&amp;"","")</f>
        <v>www.jajakjajak.com</v>
      </c>
      <c r="L46" s="21" t="str">
        <f aca="false">IFERROR(INDEX(종합!L$3:L$501,MATCH(ROW()-2,종합!$AC$3:$AC$501,0))&amp;"","")</f>
        <v>teampl100@teampl100.com</v>
      </c>
      <c r="M46" s="21" t="str">
        <f aca="false">IFERROR(INDEX(종합!M$3:M$501,MATCH(ROW()-2,종합!$AC$3:$AC$501,0))&amp;"","")</f>
        <v>경남 창원시 의창구 평산로 33, 신화더플렉스시티 701호,702호</v>
      </c>
      <c r="N46" s="25" t="str">
        <f aca="false">IFERROR(INDEX(종합!N$3:N$501,MATCH(ROW()-2,종합!$AC$3:$AC$501,0))&amp;"","")</f>
        <v>학습자를 위한 사고력 및 사회 정서 역량 강화 AI 솔루션</v>
      </c>
      <c r="O46" s="21" t="str">
        <f aca="false">IFERROR(INDEX(종합!O$3:O$501,MATCH(ROW()-2,종합!$AC$3:$AC$501,0))&amp;"","")</f>
        <v>이진희</v>
      </c>
      <c r="P46" s="21" t="str">
        <f aca="false">IFERROR(INDEX(종합!P$3:P$501,MATCH(ROW()-2,종합!$AC$3:$AC$501,0))&amp;"","")</f>
        <v>경영 총괄</v>
      </c>
      <c r="Q46" s="21" t="str">
        <f aca="false">IFERROR(INDEX(종합!Q$3:Q$501,MATCH(ROW()-2,종합!$AC$3:$AC$501,0))&amp;"","")</f>
        <v>대표이사</v>
      </c>
      <c r="R46" s="21" t="str">
        <f aca="false">IFERROR(INDEX(종합!R$3:R$501,MATCH(ROW()-2,종합!$AC$3:$AC$501,0))&amp;"","")</f>
        <v>010-4841-4524</v>
      </c>
      <c r="S46" s="21" t="str">
        <f aca="false">IFERROR(INDEX(종합!S$3:S$501,MATCH(ROW()-2,종합!$AC$3:$AC$501,0))&amp;"","")</f>
        <v>teampl100@teampl100.com</v>
      </c>
      <c r="T46" s="21" t="str">
        <f aca="false">IFERROR(INDEX(종합!T$3:T$501,MATCH(ROW()-2,종합!$AC$3:$AC$501,0))&amp;"","")</f>
        <v>070-7931-4524</v>
      </c>
      <c r="U46" s="21" t="str">
        <f aca="false">IFERROR(INDEX(종합!U$3:U$501,MATCH(ROW()-2,종합!$AC$3:$AC$501,0))&amp;"","")</f>
        <v>이진희</v>
      </c>
      <c r="V46" s="21" t="str">
        <f aca="false">IFERROR(INDEX(종합!V$3:V$501,MATCH(ROW()-2,종합!$AC$3:$AC$501,0))&amp;"","")</f>
        <v>경영기획</v>
      </c>
      <c r="W46" s="21" t="str">
        <f aca="false">IFERROR(INDEX(종합!W$3:W$501,MATCH(ROW()-2,종합!$AC$3:$AC$501,0))&amp;"","")</f>
        <v>대표이사</v>
      </c>
      <c r="X46" s="21" t="str">
        <f aca="false">IFERROR(INDEX(종합!X$3:X$501,MATCH(ROW()-2,종합!$AC$3:$AC$501,0))&amp;"","")</f>
        <v>070-7931-4524</v>
      </c>
      <c r="Y46" s="21" t="str">
        <f aca="false">IFERROR(INDEX(종합!Y$3:Y$501,MATCH(ROW()-2,종합!$AC$3:$AC$501,0))&amp;"","")</f>
        <v>teampl100@teampl100.com</v>
      </c>
      <c r="Z46" s="21" t="str">
        <f aca="false">IFERROR(INDEX(종합!Z$3:Z$501,MATCH(ROW()-2,종합!$AC$3:$AC$501,0))&amp;"","")</f>
        <v>010148414524</v>
      </c>
    </row>
    <row r="47" customFormat="false" ht="22.5" hidden="false" customHeight="true" outlineLevel="0" collapsed="false">
      <c r="A47" s="18" t="n">
        <f aca="false">IF(B47="","",ROW()-2)</f>
        <v>45</v>
      </c>
      <c r="B47" s="18" t="str">
        <f aca="false">IFERROR(INDEX(종합!B$3:B$501,MATCH(ROW()-2,종합!$AC$3:$AC$501,0))&amp;"","")</f>
        <v>주식회사 에스엘즈</v>
      </c>
      <c r="C47" s="18" t="str">
        <f aca="false">IFERROR(INDEX(종합!C$3:C$501,MATCH(ROW()-2,종합!$AC$3:$AC$501,0))&amp;"","")</f>
        <v/>
      </c>
      <c r="D47" s="18" t="str">
        <f aca="false">IFERROR(INDEX(종합!D$3:D$501,MATCH(ROW()-2,종합!$AC$3:$AC$501,0))&amp;"","")</f>
        <v>O</v>
      </c>
      <c r="E47" s="18" t="str">
        <f aca="false">IFERROR(INDEX(종합!E$3:E$501,MATCH(ROW()-2,종합!$AC$3:$AC$501,0))&amp;"","")</f>
        <v/>
      </c>
      <c r="F47" s="18" t="str">
        <f aca="false">IFERROR(INDEX(종합!F$3:F$501,MATCH(ROW()-2,종합!$AC$3:$AC$501,0))&amp;"","")</f>
        <v/>
      </c>
      <c r="G47" s="18" t="str">
        <f aca="false">IFERROR(INDEX(종합!G$3:G$501,MATCH(ROW()-2,종합!$AC$3:$AC$501,0))&amp;"","")</f>
        <v>중소기업</v>
      </c>
      <c r="H47" s="21" t="str">
        <f aca="false">IFERROR(INDEX(종합!H$3:H$501,MATCH(ROW()-2,종합!$AC$3:$AC$501,0))&amp;"","")</f>
        <v>135-88-01642</v>
      </c>
      <c r="I47" s="21" t="str">
        <f aca="false">IFERROR(INDEX(종합!I$3:I$501,MATCH(ROW()-2,종합!$AC$3:$AC$501,0))&amp;"","")</f>
        <v>이유미, 정재헌</v>
      </c>
      <c r="J47" s="21" t="str">
        <f aca="false">IFERROR(INDEX(종합!J$3:J$501,MATCH(ROW()-2,종합!$AC$3:$AC$501,0))&amp;"","")</f>
        <v>031-5176-2435</v>
      </c>
      <c r="K47" s="21" t="str">
        <f aca="false">IFERROR(INDEX(종합!K$3:K$501,MATCH(ROW()-2,종합!$AC$3:$AC$501,0))&amp;"","")</f>
        <v>slz.kr</v>
      </c>
      <c r="L47" s="21" t="str">
        <f aca="false">IFERROR(INDEX(종합!L$3:L$501,MATCH(ROW()-2,종합!$AC$3:$AC$501,0))&amp;"","")</f>
        <v>jh.jung@slz.kr</v>
      </c>
      <c r="M47" s="21" t="str">
        <f aca="false">IFERROR(INDEX(종합!M$3:M$501,MATCH(ROW()-2,종합!$AC$3:$AC$501,0))&amp;"","")</f>
        <v>경기도 시흥시 서울대학로173, 교육협력동608호(배곧동, 서울대학교시흥캠퍼스)</v>
      </c>
      <c r="N47" s="25" t="str">
        <f aca="false">IFERROR(INDEX(종합!N$3:N$501,MATCH(ROW()-2,종합!$AC$3:$AC$501,0))&amp;"","")</f>
        <v>건설엔지니어링 자동화(스마트라우팅AI, 에이전트 Probee)</v>
      </c>
      <c r="O47" s="21" t="str">
        <f aca="false">IFERROR(INDEX(종합!O$3:O$501,MATCH(ROW()-2,종합!$AC$3:$AC$501,0))&amp;"","")</f>
        <v>정재헌</v>
      </c>
      <c r="P47" s="21" t="str">
        <f aca="false">IFERROR(INDEX(종합!P$3:P$501,MATCH(ROW()-2,종합!$AC$3:$AC$501,0))&amp;"","")</f>
        <v>본부</v>
      </c>
      <c r="Q47" s="21" t="str">
        <f aca="false">IFERROR(INDEX(종합!Q$3:Q$501,MATCH(ROW()-2,종합!$AC$3:$AC$501,0))&amp;"","")</f>
        <v>CEO</v>
      </c>
      <c r="R47" s="21" t="str">
        <f aca="false">IFERROR(INDEX(종합!R$3:R$501,MATCH(ROW()-2,종합!$AC$3:$AC$501,0))&amp;"","")</f>
        <v>010-5633-7756</v>
      </c>
      <c r="S47" s="21" t="str">
        <f aca="false">IFERROR(INDEX(종합!S$3:S$501,MATCH(ROW()-2,종합!$AC$3:$AC$501,0))&amp;"","")</f>
        <v>jh.jung@slz.kr</v>
      </c>
      <c r="T47" s="21" t="str">
        <f aca="false">IFERROR(INDEX(종합!T$3:T$501,MATCH(ROW()-2,종합!$AC$3:$AC$501,0))&amp;"","")</f>
        <v>010-5633-7756</v>
      </c>
      <c r="U47" s="21" t="str">
        <f aca="false">IFERROR(INDEX(종합!U$3:U$501,MATCH(ROW()-2,종합!$AC$3:$AC$501,0))&amp;"","")</f>
        <v>신민희</v>
      </c>
      <c r="V47" s="21" t="str">
        <f aca="false">IFERROR(INDEX(종합!V$3:V$501,MATCH(ROW()-2,종합!$AC$3:$AC$501,0))&amp;"","")</f>
        <v>Exclusive Office</v>
      </c>
      <c r="W47" s="21" t="str">
        <f aca="false">IFERROR(INDEX(종합!W$3:W$501,MATCH(ROW()-2,종합!$AC$3:$AC$501,0))&amp;"","")</f>
        <v>본부장</v>
      </c>
      <c r="X47" s="21" t="str">
        <f aca="false">IFERROR(INDEX(종합!X$3:X$501,MATCH(ROW()-2,종합!$AC$3:$AC$501,0))&amp;"","")</f>
        <v>010-6263-0402</v>
      </c>
      <c r="Y47" s="21" t="str">
        <f aca="false">IFERROR(INDEX(종합!Y$3:Y$501,MATCH(ROW()-2,종합!$AC$3:$AC$501,0))&amp;"","")</f>
        <v>minhee.shin@slz.kr</v>
      </c>
      <c r="Z47" s="21" t="str">
        <f aca="false">IFERROR(INDEX(종합!Z$3:Z$501,MATCH(ROW()-2,종합!$AC$3:$AC$501,0))&amp;"","")</f>
        <v>010-6263-0402</v>
      </c>
    </row>
    <row r="48" customFormat="false" ht="33.75" hidden="false" customHeight="true" outlineLevel="0" collapsed="false">
      <c r="A48" s="18" t="n">
        <f aca="false">IF(B48="","",ROW()-2)</f>
        <v>46</v>
      </c>
      <c r="B48" s="18" t="str">
        <f aca="false">IFERROR(INDEX(종합!B$3:B$501,MATCH(ROW()-2,종합!$AC$3:$AC$501,0))&amp;"","")</f>
        <v>디지털로그 테크놀로지스 주식회사</v>
      </c>
      <c r="C48" s="18" t="str">
        <f aca="false">IFERROR(INDEX(종합!C$3:C$501,MATCH(ROW()-2,종합!$AC$3:$AC$501,0))&amp;"","")</f>
        <v/>
      </c>
      <c r="D48" s="18" t="str">
        <f aca="false">IFERROR(INDEX(종합!D$3:D$501,MATCH(ROW()-2,종합!$AC$3:$AC$501,0))&amp;"","")</f>
        <v>O</v>
      </c>
      <c r="E48" s="18" t="str">
        <f aca="false">IFERROR(INDEX(종합!E$3:E$501,MATCH(ROW()-2,종합!$AC$3:$AC$501,0))&amp;"","")</f>
        <v/>
      </c>
      <c r="F48" s="18" t="str">
        <f aca="false">IFERROR(INDEX(종합!F$3:F$501,MATCH(ROW()-2,종합!$AC$3:$AC$501,0))&amp;"","")</f>
        <v/>
      </c>
      <c r="G48" s="18" t="str">
        <f aca="false">IFERROR(INDEX(종합!G$3:G$501,MATCH(ROW()-2,종합!$AC$3:$AC$501,0))&amp;"","")</f>
        <v>중소기업</v>
      </c>
      <c r="H48" s="21" t="str">
        <f aca="false">IFERROR(INDEX(종합!H$3:H$501,MATCH(ROW()-2,종합!$AC$3:$AC$501,0))&amp;"","")</f>
        <v>759-86-02818</v>
      </c>
      <c r="I48" s="21" t="str">
        <f aca="false">IFERROR(INDEX(종합!I$3:I$501,MATCH(ROW()-2,종합!$AC$3:$AC$501,0))&amp;"","")</f>
        <v>손동규</v>
      </c>
      <c r="J48" s="21" t="str">
        <f aca="false">IFERROR(INDEX(종합!J$3:J$501,MATCH(ROW()-2,종합!$AC$3:$AC$501,0))&amp;"","")</f>
        <v>070-4106-4243</v>
      </c>
      <c r="K48" s="21" t="str">
        <f aca="false">IFERROR(INDEX(종합!K$3:K$501,MATCH(ROW()-2,종합!$AC$3:$AC$501,0))&amp;"","")</f>
        <v>www.digitalog.ai</v>
      </c>
      <c r="L48" s="21" t="str">
        <f aca="false">IFERROR(INDEX(종합!L$3:L$501,MATCH(ROW()-2,종합!$AC$3:$AC$501,0))&amp;"","")</f>
        <v>alexson@digitalog.ai</v>
      </c>
      <c r="M48" s="21" t="str">
        <f aca="false">IFERROR(INDEX(종합!M$3:M$501,MATCH(ROW()-2,종합!$AC$3:$AC$501,0))&amp;"","")</f>
        <v>서울특별시 강남구 역삼동 696-4, 세영빌딩 401호</v>
      </c>
      <c r="N48" s="25" t="str">
        <f aca="false">IFERROR(INDEX(종합!N$3:N$501,MATCH(ROW()-2,종합!$AC$3:$AC$501,0))&amp;"","")</f>
        <v>AI 기반의 소셜미디어 운영 자동화 및 데이터 분석 솔루션 (콘마, Conma)</v>
      </c>
      <c r="O48" s="21" t="str">
        <f aca="false">IFERROR(INDEX(종합!O$3:O$501,MATCH(ROW()-2,종합!$AC$3:$AC$501,0))&amp;"","")</f>
        <v>손동규</v>
      </c>
      <c r="P48" s="21" t="str">
        <f aca="false">IFERROR(INDEX(종합!P$3:P$501,MATCH(ROW()-2,종합!$AC$3:$AC$501,0))&amp;"","")</f>
        <v>대표실</v>
      </c>
      <c r="Q48" s="21" t="str">
        <f aca="false">IFERROR(INDEX(종합!Q$3:Q$501,MATCH(ROW()-2,종합!$AC$3:$AC$501,0))&amp;"","")</f>
        <v>대표</v>
      </c>
      <c r="R48" s="21" t="str">
        <f aca="false">IFERROR(INDEX(종합!R$3:R$501,MATCH(ROW()-2,종합!$AC$3:$AC$501,0))&amp;"","")</f>
        <v>010-8645-4243</v>
      </c>
      <c r="S48" s="21" t="str">
        <f aca="false">IFERROR(INDEX(종합!S$3:S$501,MATCH(ROW()-2,종합!$AC$3:$AC$501,0))&amp;"","")</f>
        <v>alexson@digitalog.ai</v>
      </c>
      <c r="T48" s="21" t="str">
        <f aca="false">IFERROR(INDEX(종합!T$3:T$501,MATCH(ROW()-2,종합!$AC$3:$AC$501,0))&amp;"","")</f>
        <v>010-8645-4243</v>
      </c>
      <c r="U48" s="21" t="str">
        <f aca="false">IFERROR(INDEX(종합!U$3:U$501,MATCH(ROW()-2,종합!$AC$3:$AC$501,0))&amp;"","")</f>
        <v>손동규</v>
      </c>
      <c r="V48" s="21" t="str">
        <f aca="false">IFERROR(INDEX(종합!V$3:V$501,MATCH(ROW()-2,종합!$AC$3:$AC$501,0))&amp;"","")</f>
        <v>대표실</v>
      </c>
      <c r="W48" s="21" t="str">
        <f aca="false">IFERROR(INDEX(종합!W$3:W$501,MATCH(ROW()-2,종합!$AC$3:$AC$501,0))&amp;"","")</f>
        <v>대표</v>
      </c>
      <c r="X48" s="21" t="str">
        <f aca="false">IFERROR(INDEX(종합!X$3:X$501,MATCH(ROW()-2,종합!$AC$3:$AC$501,0))&amp;"","")</f>
        <v>010-8645-4243</v>
      </c>
      <c r="Y48" s="21" t="str">
        <f aca="false">IFERROR(INDEX(종합!Y$3:Y$501,MATCH(ROW()-2,종합!$AC$3:$AC$501,0))&amp;"","")</f>
        <v>alexson@digitalog.ai</v>
      </c>
      <c r="Z48" s="21" t="str">
        <f aca="false">IFERROR(INDEX(종합!Z$3:Z$501,MATCH(ROW()-2,종합!$AC$3:$AC$501,0))&amp;"","")</f>
        <v>010-8645-4243</v>
      </c>
    </row>
    <row r="49" customFormat="false" ht="22.5" hidden="false" customHeight="true" outlineLevel="0" collapsed="false">
      <c r="A49" s="18" t="n">
        <f aca="false">IF(B49="","",ROW()-2)</f>
        <v>47</v>
      </c>
      <c r="B49" s="18" t="str">
        <f aca="false">IFERROR(INDEX(종합!B$3:B$501,MATCH(ROW()-2,종합!$AC$3:$AC$501,0))&amp;"","")</f>
        <v>(주)나스카랩</v>
      </c>
      <c r="C49" s="18" t="str">
        <f aca="false">IFERROR(INDEX(종합!C$3:C$501,MATCH(ROW()-2,종합!$AC$3:$AC$501,0))&amp;"","")</f>
        <v/>
      </c>
      <c r="D49" s="18" t="str">
        <f aca="false">IFERROR(INDEX(종합!D$3:D$501,MATCH(ROW()-2,종합!$AC$3:$AC$501,0))&amp;"","")</f>
        <v>O</v>
      </c>
      <c r="E49" s="18" t="str">
        <f aca="false">IFERROR(INDEX(종합!E$3:E$501,MATCH(ROW()-2,종합!$AC$3:$AC$501,0))&amp;"","")</f>
        <v/>
      </c>
      <c r="F49" s="18" t="str">
        <f aca="false">IFERROR(INDEX(종합!F$3:F$501,MATCH(ROW()-2,종합!$AC$3:$AC$501,0))&amp;"","")</f>
        <v/>
      </c>
      <c r="G49" s="18" t="str">
        <f aca="false">IFERROR(INDEX(종합!G$3:G$501,MATCH(ROW()-2,종합!$AC$3:$AC$501,0))&amp;"","")</f>
        <v>중소기업</v>
      </c>
      <c r="H49" s="21" t="str">
        <f aca="false">IFERROR(INDEX(종합!H$3:H$501,MATCH(ROW()-2,종합!$AC$3:$AC$501,0))&amp;"","")</f>
        <v>674-88-00677</v>
      </c>
      <c r="I49" s="21" t="str">
        <f aca="false">IFERROR(INDEX(종합!I$3:I$501,MATCH(ROW()-2,종합!$AC$3:$AC$501,0))&amp;"","")</f>
        <v>이원로</v>
      </c>
      <c r="J49" s="21" t="str">
        <f aca="false">IFERROR(INDEX(종합!J$3:J$501,MATCH(ROW()-2,종합!$AC$3:$AC$501,0))&amp;"","")</f>
        <v>1877-1171</v>
      </c>
      <c r="K49" s="21" t="str">
        <f aca="false">IFERROR(INDEX(종합!K$3:K$501,MATCH(ROW()-2,종합!$AC$3:$AC$501,0))&amp;"","")</f>
        <v>http://www.nascalab.com</v>
      </c>
      <c r="L49" s="21" t="str">
        <f aca="false">IFERROR(INDEX(종합!L$3:L$501,MATCH(ROW()-2,종합!$AC$3:$AC$501,0))&amp;"","")</f>
        <v>nascalab@gmail.com</v>
      </c>
      <c r="M49" s="21" t="str">
        <f aca="false">IFERROR(INDEX(종합!M$3:M$501,MATCH(ROW()-2,종합!$AC$3:$AC$501,0))&amp;"","")</f>
        <v>경기도 성남시 수정구 청계산로 686 판교반도아이비밸리 732ㅎ</v>
      </c>
      <c r="N49" s="25" t="str">
        <f aca="false">IFERROR(INDEX(종합!N$3:N$501,MATCH(ROW()-2,종합!$AC$3:$AC$501,0))&amp;"","")</f>
        <v>AICC솔루션(STT, 쳇봇, 콜봇) </v>
      </c>
      <c r="O49" s="21" t="str">
        <f aca="false">IFERROR(INDEX(종합!O$3:O$501,MATCH(ROW()-2,종합!$AC$3:$AC$501,0))&amp;"","")</f>
        <v>이원로</v>
      </c>
      <c r="P49" s="21" t="str">
        <f aca="false">IFERROR(INDEX(종합!P$3:P$501,MATCH(ROW()-2,종합!$AC$3:$AC$501,0))&amp;"","")</f>
        <v>대표이사</v>
      </c>
      <c r="Q49" s="21" t="str">
        <f aca="false">IFERROR(INDEX(종합!Q$3:Q$501,MATCH(ROW()-2,종합!$AC$3:$AC$501,0))&amp;"","")</f>
        <v>CEO</v>
      </c>
      <c r="R49" s="21" t="str">
        <f aca="false">IFERROR(INDEX(종합!R$3:R$501,MATCH(ROW()-2,종합!$AC$3:$AC$501,0))&amp;"","")</f>
        <v>010-3940-4114</v>
      </c>
      <c r="S49" s="21" t="str">
        <f aca="false">IFERROR(INDEX(종합!S$3:S$501,MATCH(ROW()-2,종합!$AC$3:$AC$501,0))&amp;"","")</f>
        <v>philip@nascalab.com</v>
      </c>
      <c r="T49" s="21" t="str">
        <f aca="false">IFERROR(INDEX(종합!T$3:T$501,MATCH(ROW()-2,종합!$AC$3:$AC$501,0))&amp;"","")</f>
        <v>010-3940-4114</v>
      </c>
      <c r="U49" s="21" t="str">
        <f aca="false">IFERROR(INDEX(종합!U$3:U$501,MATCH(ROW()-2,종합!$AC$3:$AC$501,0))&amp;"","")</f>
        <v>이율</v>
      </c>
      <c r="V49" s="21" t="str">
        <f aca="false">IFERROR(INDEX(종합!V$3:V$501,MATCH(ROW()-2,종합!$AC$3:$AC$501,0))&amp;"","")</f>
        <v>연구소 </v>
      </c>
      <c r="W49" s="21" t="str">
        <f aca="false">IFERROR(INDEX(종합!W$3:W$501,MATCH(ROW()-2,종합!$AC$3:$AC$501,0))&amp;"","")</f>
        <v>부장</v>
      </c>
      <c r="X49" s="21" t="str">
        <f aca="false">IFERROR(INDEX(종합!X$3:X$501,MATCH(ROW()-2,종합!$AC$3:$AC$501,0))&amp;"","")</f>
        <v>010-5500-4385</v>
      </c>
      <c r="Y49" s="21" t="str">
        <f aca="false">IFERROR(INDEX(종합!Y$3:Y$501,MATCH(ROW()-2,종합!$AC$3:$AC$501,0))&amp;"","")</f>
        <v>yool.lee@nascalab.com</v>
      </c>
      <c r="Z49" s="21" t="str">
        <f aca="false">IFERROR(INDEX(종합!Z$3:Z$501,MATCH(ROW()-2,종합!$AC$3:$AC$501,0))&amp;"","")</f>
        <v> 010-3325-5897</v>
      </c>
    </row>
    <row r="50" customFormat="false" ht="22.5" hidden="false" customHeight="true" outlineLevel="0" collapsed="false">
      <c r="A50" s="18" t="n">
        <f aca="false">IF(B50="","",ROW()-2)</f>
        <v>48</v>
      </c>
      <c r="B50" s="18" t="str">
        <f aca="false">IFERROR(INDEX(종합!B$3:B$501,MATCH(ROW()-2,종합!$AC$3:$AC$501,0))&amp;"","")</f>
        <v>주식회사 한국기업보안</v>
      </c>
      <c r="C50" s="18" t="str">
        <f aca="false">IFERROR(INDEX(종합!C$3:C$501,MATCH(ROW()-2,종합!$AC$3:$AC$501,0))&amp;"","")</f>
        <v/>
      </c>
      <c r="D50" s="18" t="str">
        <f aca="false">IFERROR(INDEX(종합!D$3:D$501,MATCH(ROW()-2,종합!$AC$3:$AC$501,0))&amp;"","")</f>
        <v>O</v>
      </c>
      <c r="E50" s="18" t="str">
        <f aca="false">IFERROR(INDEX(종합!E$3:E$501,MATCH(ROW()-2,종합!$AC$3:$AC$501,0))&amp;"","")</f>
        <v/>
      </c>
      <c r="F50" s="18" t="str">
        <f aca="false">IFERROR(INDEX(종합!F$3:F$501,MATCH(ROW()-2,종합!$AC$3:$AC$501,0))&amp;"","")</f>
        <v/>
      </c>
      <c r="G50" s="18" t="str">
        <f aca="false">IFERROR(INDEX(종합!G$3:G$501,MATCH(ROW()-2,종합!$AC$3:$AC$501,0))&amp;"","")</f>
        <v>중소기업</v>
      </c>
      <c r="H50" s="21" t="str">
        <f aca="false">IFERROR(INDEX(종합!H$3:H$501,MATCH(ROW()-2,종합!$AC$3:$AC$501,0))&amp;"","")</f>
        <v>211-88-20394</v>
      </c>
      <c r="I50" s="21" t="str">
        <f aca="false">IFERROR(INDEX(종합!I$3:I$501,MATCH(ROW()-2,종합!$AC$3:$AC$501,0))&amp;"","")</f>
        <v>전귀선</v>
      </c>
      <c r="J50" s="21" t="str">
        <f aca="false">IFERROR(INDEX(종합!J$3:J$501,MATCH(ROW()-2,종합!$AC$3:$AC$501,0))&amp;"","")</f>
        <v>02-518-0030</v>
      </c>
      <c r="K50" s="21" t="str">
        <f aca="false">IFERROR(INDEX(종합!K$3:K$501,MATCH(ROW()-2,종합!$AC$3:$AC$501,0))&amp;"","")</f>
        <v>www.korsec.co.kr</v>
      </c>
      <c r="L50" s="21" t="str">
        <f aca="false">IFERROR(INDEX(종합!L$3:L$501,MATCH(ROW()-2,종합!$AC$3:$AC$501,0))&amp;"","")</f>
        <v>jgs@korsec.co.kr</v>
      </c>
      <c r="M50" s="21" t="str">
        <f aca="false">IFERROR(INDEX(종합!M$3:M$501,MATCH(ROW()-2,종합!$AC$3:$AC$501,0))&amp;"","")</f>
        <v>서울시 서초구 강남대로99길 53 삼우빌딩 4층</v>
      </c>
      <c r="N50" s="25" t="str">
        <f aca="false">IFERROR(INDEX(종합!N$3:N$501,MATCH(ROW()-2,종합!$AC$3:$AC$501,0))&amp;"","")</f>
        <v>디지털서명, CLM</v>
      </c>
      <c r="O50" s="21" t="str">
        <f aca="false">IFERROR(INDEX(종합!O$3:O$501,MATCH(ROW()-2,종합!$AC$3:$AC$501,0))&amp;"","")</f>
        <v>전귀선</v>
      </c>
      <c r="P50" s="21" t="str">
        <f aca="false">IFERROR(INDEX(종합!P$3:P$501,MATCH(ROW()-2,종합!$AC$3:$AC$501,0))&amp;"","")</f>
        <v>대표</v>
      </c>
      <c r="Q50" s="21" t="str">
        <f aca="false">IFERROR(INDEX(종합!Q$3:Q$501,MATCH(ROW()-2,종합!$AC$3:$AC$501,0))&amp;"","")</f>
        <v>대표</v>
      </c>
      <c r="R50" s="21" t="str">
        <f aca="false">IFERROR(INDEX(종합!R$3:R$501,MATCH(ROW()-2,종합!$AC$3:$AC$501,0))&amp;"","")</f>
        <v>010-7766-5902</v>
      </c>
      <c r="S50" s="21" t="str">
        <f aca="false">IFERROR(INDEX(종합!S$3:S$501,MATCH(ROW()-2,종합!$AC$3:$AC$501,0))&amp;"","")</f>
        <v>jgs@korsec.co.kr</v>
      </c>
      <c r="T50" s="21" t="str">
        <f aca="false">IFERROR(INDEX(종합!T$3:T$501,MATCH(ROW()-2,종합!$AC$3:$AC$501,0))&amp;"","")</f>
        <v>010-7766-5902</v>
      </c>
      <c r="U50" s="21" t="str">
        <f aca="false">IFERROR(INDEX(종합!U$3:U$501,MATCH(ROW()-2,종합!$AC$3:$AC$501,0))&amp;"","")</f>
        <v>전귀서</v>
      </c>
      <c r="V50" s="21" t="str">
        <f aca="false">IFERROR(INDEX(종합!V$3:V$501,MATCH(ROW()-2,종합!$AC$3:$AC$501,0))&amp;"","")</f>
        <v>대표</v>
      </c>
      <c r="W50" s="21" t="str">
        <f aca="false">IFERROR(INDEX(종합!W$3:W$501,MATCH(ROW()-2,종합!$AC$3:$AC$501,0))&amp;"","")</f>
        <v>대표</v>
      </c>
      <c r="X50" s="21" t="str">
        <f aca="false">IFERROR(INDEX(종합!X$3:X$501,MATCH(ROW()-2,종합!$AC$3:$AC$501,0))&amp;"","")</f>
        <v>02-518-0030</v>
      </c>
      <c r="Y50" s="21" t="str">
        <f aca="false">IFERROR(INDEX(종합!Y$3:Y$501,MATCH(ROW()-2,종합!$AC$3:$AC$501,0))&amp;"","")</f>
        <v>jgs@korsec.co.kr</v>
      </c>
      <c r="Z50" s="21" t="str">
        <f aca="false">IFERROR(INDEX(종합!Z$3:Z$501,MATCH(ROW()-2,종합!$AC$3:$AC$501,0))&amp;"","")</f>
        <v>010-7766-5902</v>
      </c>
    </row>
    <row r="51" customFormat="false" ht="33.75" hidden="false" customHeight="true" outlineLevel="0" collapsed="false">
      <c r="A51" s="18" t="n">
        <f aca="false">IF(B51="","",ROW()-2)</f>
        <v>49</v>
      </c>
      <c r="B51" s="18" t="str">
        <f aca="false">IFERROR(INDEX(종합!B$3:B$501,MATCH(ROW()-2,종합!$AC$3:$AC$501,0))&amp;"","")</f>
        <v>(주)유아이티</v>
      </c>
      <c r="C51" s="18" t="str">
        <f aca="false">IFERROR(INDEX(종합!C$3:C$501,MATCH(ROW()-2,종합!$AC$3:$AC$501,0))&amp;"","")</f>
        <v/>
      </c>
      <c r="D51" s="18" t="str">
        <f aca="false">IFERROR(INDEX(종합!D$3:D$501,MATCH(ROW()-2,종합!$AC$3:$AC$501,0))&amp;"","")</f>
        <v>O</v>
      </c>
      <c r="E51" s="18" t="str">
        <f aca="false">IFERROR(INDEX(종합!E$3:E$501,MATCH(ROW()-2,종합!$AC$3:$AC$501,0))&amp;"","")</f>
        <v/>
      </c>
      <c r="F51" s="18" t="str">
        <f aca="false">IFERROR(INDEX(종합!F$3:F$501,MATCH(ROW()-2,종합!$AC$3:$AC$501,0))&amp;"","")</f>
        <v/>
      </c>
      <c r="G51" s="18" t="str">
        <f aca="false">IFERROR(INDEX(종합!G$3:G$501,MATCH(ROW()-2,종합!$AC$3:$AC$501,0))&amp;"","")</f>
        <v>중소기업</v>
      </c>
      <c r="H51" s="21" t="str">
        <f aca="false">IFERROR(INDEX(종합!H$3:H$501,MATCH(ROW()-2,종합!$AC$3:$AC$501,0))&amp;"","")</f>
        <v>105-81-90922</v>
      </c>
      <c r="I51" s="21" t="str">
        <f aca="false">IFERROR(INDEX(종합!I$3:I$501,MATCH(ROW()-2,종합!$AC$3:$AC$501,0))&amp;"","")</f>
        <v>김성태</v>
      </c>
      <c r="J51" s="21" t="str">
        <f aca="false">IFERROR(INDEX(종합!J$3:J$501,MATCH(ROW()-2,종합!$AC$3:$AC$501,0))&amp;"","")</f>
        <v>02-2051-2316</v>
      </c>
      <c r="K51" s="21" t="str">
        <f aca="false">IFERROR(INDEX(종합!K$3:K$501,MATCH(ROW()-2,종합!$AC$3:$AC$501,0))&amp;"","")</f>
        <v>www.uitsolutions.com</v>
      </c>
      <c r="L51" s="21" t="str">
        <f aca="false">IFERROR(INDEX(종합!L$3:L$501,MATCH(ROW()-2,종합!$AC$3:$AC$501,0))&amp;"","")</f>
        <v>paul.moon@uitsolutions.com</v>
      </c>
      <c r="M51" s="21" t="str">
        <f aca="false">IFERROR(INDEX(종합!M$3:M$501,MATCH(ROW()-2,종합!$AC$3:$AC$501,0))&amp;"","")</f>
        <v>서울특별시 서초구 사임당로 171, 10층</v>
      </c>
      <c r="N51" s="25" t="str">
        <f aca="false">IFERROR(INDEX(종합!N$3:N$501,MATCH(ROW()-2,종합!$AC$3:$AC$501,0))&amp;"","")</f>
        <v>모델 예측 제어(MPC)기반의 지능형 자율생산 시스템 및 제어기술 &amp; CFD 해석용 매쉬 워크플로우 자동화 에이전트</v>
      </c>
      <c r="O51" s="21" t="str">
        <f aca="false">IFERROR(INDEX(종합!O$3:O$501,MATCH(ROW()-2,종합!$AC$3:$AC$501,0))&amp;"","")</f>
        <v>문건혁</v>
      </c>
      <c r="P51" s="21" t="str">
        <f aca="false">IFERROR(INDEX(종합!P$3:P$501,MATCH(ROW()-2,종합!$AC$3:$AC$501,0))&amp;"","")</f>
        <v>기업부설연구소</v>
      </c>
      <c r="Q51" s="21" t="str">
        <f aca="false">IFERROR(INDEX(종합!Q$3:Q$501,MATCH(ROW()-2,종합!$AC$3:$AC$501,0))&amp;"","")</f>
        <v>연구소장</v>
      </c>
      <c r="R51" s="21" t="str">
        <f aca="false">IFERROR(INDEX(종합!R$3:R$501,MATCH(ROW()-2,종합!$AC$3:$AC$501,0))&amp;"","")</f>
        <v>010-9076-6982</v>
      </c>
      <c r="S51" s="21" t="str">
        <f aca="false">IFERROR(INDEX(종합!S$3:S$501,MATCH(ROW()-2,종합!$AC$3:$AC$501,0))&amp;"","")</f>
        <v>paul.moon@uitsolutions.com</v>
      </c>
      <c r="T51" s="21" t="str">
        <f aca="false">IFERROR(INDEX(종합!T$3:T$501,MATCH(ROW()-2,종합!$AC$3:$AC$501,0))&amp;"","")</f>
        <v>010-9076-6982</v>
      </c>
      <c r="U51" s="21" t="str">
        <f aca="false">IFERROR(INDEX(종합!U$3:U$501,MATCH(ROW()-2,종합!$AC$3:$AC$501,0))&amp;"","")</f>
        <v>오정현</v>
      </c>
      <c r="V51" s="21" t="str">
        <f aca="false">IFERROR(INDEX(종합!V$3:V$501,MATCH(ROW()-2,종합!$AC$3:$AC$501,0))&amp;"","")</f>
        <v>기업부설연구소</v>
      </c>
      <c r="W51" s="21" t="str">
        <f aca="false">IFERROR(INDEX(종합!W$3:W$501,MATCH(ROW()-2,종합!$AC$3:$AC$501,0))&amp;"","")</f>
        <v>프로</v>
      </c>
      <c r="X51" s="21" t="str">
        <f aca="false">IFERROR(INDEX(종합!X$3:X$501,MATCH(ROW()-2,종합!$AC$3:$AC$501,0))&amp;"","")</f>
        <v>02-2051-2318</v>
      </c>
      <c r="Y51" s="21" t="str">
        <f aca="false">IFERROR(INDEX(종합!Y$3:Y$501,MATCH(ROW()-2,종합!$AC$3:$AC$501,0))&amp;"","")</f>
        <v>Owen.oh@uitsolutions.com</v>
      </c>
      <c r="Z51" s="21" t="str">
        <f aca="false">IFERROR(INDEX(종합!Z$3:Z$501,MATCH(ROW()-2,종합!$AC$3:$AC$501,0))&amp;"","")</f>
        <v>010-9986-0545</v>
      </c>
    </row>
    <row r="52" customFormat="false" ht="22.5" hidden="false" customHeight="true" outlineLevel="0" collapsed="false">
      <c r="A52" s="18" t="n">
        <f aca="false">IF(B52="","",ROW()-2)</f>
        <v>50</v>
      </c>
      <c r="B52" s="18" t="str">
        <f aca="false">IFERROR(INDEX(종합!B$3:B$501,MATCH(ROW()-2,종합!$AC$3:$AC$501,0))&amp;"","")</f>
        <v>하나시스(주)</v>
      </c>
      <c r="C52" s="18" t="str">
        <f aca="false">IFERROR(INDEX(종합!C$3:C$501,MATCH(ROW()-2,종합!$AC$3:$AC$501,0))&amp;"","")</f>
        <v/>
      </c>
      <c r="D52" s="18" t="str">
        <f aca="false">IFERROR(INDEX(종합!D$3:D$501,MATCH(ROW()-2,종합!$AC$3:$AC$501,0))&amp;"","")</f>
        <v>O</v>
      </c>
      <c r="E52" s="18" t="str">
        <f aca="false">IFERROR(INDEX(종합!E$3:E$501,MATCH(ROW()-2,종합!$AC$3:$AC$501,0))&amp;"","")</f>
        <v/>
      </c>
      <c r="F52" s="18" t="str">
        <f aca="false">IFERROR(INDEX(종합!F$3:F$501,MATCH(ROW()-2,종합!$AC$3:$AC$501,0))&amp;"","")</f>
        <v/>
      </c>
      <c r="G52" s="18" t="str">
        <f aca="false">IFERROR(INDEX(종합!G$3:G$501,MATCH(ROW()-2,종합!$AC$3:$AC$501,0))&amp;"","")</f>
        <v>중소기업</v>
      </c>
      <c r="H52" s="21" t="str">
        <f aca="false">IFERROR(INDEX(종합!H$3:H$501,MATCH(ROW()-2,종합!$AC$3:$AC$501,0))&amp;"","")</f>
        <v>138-81-37683</v>
      </c>
      <c r="I52" s="21" t="str">
        <f aca="false">IFERROR(INDEX(종합!I$3:I$501,MATCH(ROW()-2,종합!$AC$3:$AC$501,0))&amp;"","")</f>
        <v>이정용</v>
      </c>
      <c r="J52" s="21" t="str">
        <f aca="false">IFERROR(INDEX(종합!J$3:J$501,MATCH(ROW()-2,종합!$AC$3:$AC$501,0))&amp;"","")</f>
        <v>1800-1185</v>
      </c>
      <c r="K52" s="21" t="str">
        <f aca="false">IFERROR(INDEX(종합!K$3:K$501,MATCH(ROW()-2,종합!$AC$3:$AC$501,0))&amp;"","")</f>
        <v>https://www.hanasis.com</v>
      </c>
      <c r="L52" s="21" t="str">
        <f aca="false">IFERROR(INDEX(종합!L$3:L$501,MATCH(ROW()-2,종합!$AC$3:$AC$501,0))&amp;"","")</f>
        <v>kgy@hanasis.com</v>
      </c>
      <c r="M52" s="21" t="str">
        <f aca="false">IFERROR(INDEX(종합!M$3:M$501,MATCH(ROW()-2,종합!$AC$3:$AC$501,0))&amp;"","")</f>
        <v>경기도 수원시 권선구 산업로155번길 17</v>
      </c>
      <c r="N52" s="25" t="str">
        <f aca="false">IFERROR(INDEX(종합!N$3:N$501,MATCH(ROW()-2,종합!$AC$3:$AC$501,0))&amp;"","")</f>
        <v>HanaSSOS</v>
      </c>
      <c r="O52" s="21" t="str">
        <f aca="false">IFERROR(INDEX(종합!O$3:O$501,MATCH(ROW()-2,종합!$AC$3:$AC$501,0))&amp;"","")</f>
        <v>이정용</v>
      </c>
      <c r="P52" s="21" t="str">
        <f aca="false">IFERROR(INDEX(종합!P$3:P$501,MATCH(ROW()-2,종합!$AC$3:$AC$501,0))&amp;"","")</f>
        <v>총괄</v>
      </c>
      <c r="Q52" s="21" t="str">
        <f aca="false">IFERROR(INDEX(종합!Q$3:Q$501,MATCH(ROW()-2,종합!$AC$3:$AC$501,0))&amp;"","")</f>
        <v>대표이사</v>
      </c>
      <c r="R52" s="21" t="str">
        <f aca="false">IFERROR(INDEX(종합!R$3:R$501,MATCH(ROW()-2,종합!$AC$3:$AC$501,0))&amp;"","")</f>
        <v>070-4732-5251</v>
      </c>
      <c r="S52" s="21" t="str">
        <f aca="false">IFERROR(INDEX(종합!S$3:S$501,MATCH(ROW()-2,종합!$AC$3:$AC$501,0))&amp;"","")</f>
        <v>jylee@hanasis.com</v>
      </c>
      <c r="T52" s="21" t="str">
        <f aca="false">IFERROR(INDEX(종합!T$3:T$501,MATCH(ROW()-2,종합!$AC$3:$AC$501,0))&amp;"","")</f>
        <v>010-5284-5892</v>
      </c>
      <c r="U52" s="21" t="str">
        <f aca="false">IFERROR(INDEX(종합!U$3:U$501,MATCH(ROW()-2,종합!$AC$3:$AC$501,0))&amp;"","")</f>
        <v>강규영</v>
      </c>
      <c r="V52" s="21" t="str">
        <f aca="false">IFERROR(INDEX(종합!V$3:V$501,MATCH(ROW()-2,종합!$AC$3:$AC$501,0))&amp;"","")</f>
        <v>연구소</v>
      </c>
      <c r="W52" s="21" t="str">
        <f aca="false">IFERROR(INDEX(종합!W$3:W$501,MATCH(ROW()-2,종합!$AC$3:$AC$501,0))&amp;"","")</f>
        <v>이사</v>
      </c>
      <c r="X52" s="21" t="str">
        <f aca="false">IFERROR(INDEX(종합!X$3:X$501,MATCH(ROW()-2,종합!$AC$3:$AC$501,0))&amp;"","")</f>
        <v>010-3437-8554</v>
      </c>
      <c r="Y52" s="21" t="str">
        <f aca="false">IFERROR(INDEX(종합!Y$3:Y$501,MATCH(ROW()-2,종합!$AC$3:$AC$501,0))&amp;"","")</f>
        <v>kgy@hanasis.com</v>
      </c>
      <c r="Z52" s="21" t="str">
        <f aca="false">IFERROR(INDEX(종합!Z$3:Z$501,MATCH(ROW()-2,종합!$AC$3:$AC$501,0))&amp;"","")</f>
        <v>010-3437-8554</v>
      </c>
    </row>
    <row r="53" customFormat="false" ht="22.5" hidden="false" customHeight="true" outlineLevel="0" collapsed="false">
      <c r="A53" s="18" t="n">
        <f aca="false">IF(B53="","",ROW()-2)</f>
        <v>51</v>
      </c>
      <c r="B53" s="18" t="str">
        <f aca="false">IFERROR(INDEX(종합!B$3:B$501,MATCH(ROW()-2,종합!$AC$3:$AC$501,0))&amp;"","")</f>
        <v>(주)필라테크</v>
      </c>
      <c r="C53" s="18" t="str">
        <f aca="false">IFERROR(INDEX(종합!C$3:C$501,MATCH(ROW()-2,종합!$AC$3:$AC$501,0))&amp;"","")</f>
        <v/>
      </c>
      <c r="D53" s="18" t="str">
        <f aca="false">IFERROR(INDEX(종합!D$3:D$501,MATCH(ROW()-2,종합!$AC$3:$AC$501,0))&amp;"","")</f>
        <v>O</v>
      </c>
      <c r="E53" s="18" t="str">
        <f aca="false">IFERROR(INDEX(종합!E$3:E$501,MATCH(ROW()-2,종합!$AC$3:$AC$501,0))&amp;"","")</f>
        <v>O</v>
      </c>
      <c r="F53" s="18" t="str">
        <f aca="false">IFERROR(INDEX(종합!F$3:F$501,MATCH(ROW()-2,종합!$AC$3:$AC$501,0))&amp;"","")</f>
        <v/>
      </c>
      <c r="G53" s="18" t="str">
        <f aca="false">IFERROR(INDEX(종합!G$3:G$501,MATCH(ROW()-2,종합!$AC$3:$AC$501,0))&amp;"","")</f>
        <v>중소기업</v>
      </c>
      <c r="H53" s="21" t="str">
        <f aca="false">IFERROR(INDEX(종합!H$3:H$501,MATCH(ROW()-2,종합!$AC$3:$AC$501,0))&amp;"","")</f>
        <v>211-87-13620</v>
      </c>
      <c r="I53" s="21" t="str">
        <f aca="false">IFERROR(INDEX(종합!I$3:I$501,MATCH(ROW()-2,종합!$AC$3:$AC$501,0))&amp;"","")</f>
        <v>박동현</v>
      </c>
      <c r="J53" s="21" t="str">
        <f aca="false">IFERROR(INDEX(종합!J$3:J$501,MATCH(ROW()-2,종합!$AC$3:$AC$501,0))&amp;"","")</f>
        <v>02-3654-3654</v>
      </c>
      <c r="K53" s="21" t="str">
        <f aca="false">IFERROR(INDEX(종합!K$3:K$501,MATCH(ROW()-2,종합!$AC$3:$AC$501,0))&amp;"","")</f>
        <v>https://www.feelatech.com/</v>
      </c>
      <c r="L53" s="21" t="str">
        <f aca="false">IFERROR(INDEX(종합!L$3:L$501,MATCH(ROW()-2,종합!$AC$3:$AC$501,0))&amp;"","")</f>
        <v>choisw3421@gmail.com</v>
      </c>
      <c r="M53" s="21" t="str">
        <f aca="false">IFERROR(INDEX(종합!M$3:M$501,MATCH(ROW()-2,종합!$AC$3:$AC$501,0))&amp;"","")</f>
        <v>(06099) 서울시 강남구 선릉로125길 10, 3~5층 (논현동 242-43 수창빌딩) </v>
      </c>
      <c r="N53" s="25" t="str">
        <f aca="false">IFERROR(INDEX(종합!N$3:N$501,MATCH(ROW()-2,종합!$AC$3:$AC$501,0))&amp;"","")</f>
        <v>HPE Private Cloud AI, AI 인프라 설계 및 구축</v>
      </c>
      <c r="O53" s="21" t="str">
        <f aca="false">IFERROR(INDEX(종합!O$3:O$501,MATCH(ROW()-2,종합!$AC$3:$AC$501,0))&amp;"","")</f>
        <v>최성원</v>
      </c>
      <c r="P53" s="21" t="str">
        <f aca="false">IFERROR(INDEX(종합!P$3:P$501,MATCH(ROW()-2,종합!$AC$3:$AC$501,0))&amp;"","")</f>
        <v>인프라사업본부</v>
      </c>
      <c r="Q53" s="21" t="str">
        <f aca="false">IFERROR(INDEX(종합!Q$3:Q$501,MATCH(ROW()-2,종합!$AC$3:$AC$501,0))&amp;"","")</f>
        <v>이사 / 본부장</v>
      </c>
      <c r="R53" s="21" t="str">
        <f aca="false">IFERROR(INDEX(종합!R$3:R$501,MATCH(ROW()-2,종합!$AC$3:$AC$501,0))&amp;"","")</f>
        <v>02-3654-3654</v>
      </c>
      <c r="S53" s="21" t="str">
        <f aca="false">IFERROR(INDEX(종합!S$3:S$501,MATCH(ROW()-2,종합!$AC$3:$AC$501,0))&amp;"","")</f>
        <v>swchoi@feelatech.com</v>
      </c>
      <c r="T53" s="21" t="str">
        <f aca="false">IFERROR(INDEX(종합!T$3:T$501,MATCH(ROW()-2,종합!$AC$3:$AC$501,0))&amp;"","")</f>
        <v>010-2500-3421</v>
      </c>
      <c r="U53" s="21" t="str">
        <f aca="false">IFERROR(INDEX(종합!U$3:U$501,MATCH(ROW()-2,종합!$AC$3:$AC$501,0))&amp;"","")</f>
        <v>신민철</v>
      </c>
      <c r="V53" s="21" t="str">
        <f aca="false">IFERROR(INDEX(종합!V$3:V$501,MATCH(ROW()-2,종합!$AC$3:$AC$501,0))&amp;"","")</f>
        <v>인프라사업본부/시스템사업팀</v>
      </c>
      <c r="W53" s="21" t="str">
        <f aca="false">IFERROR(INDEX(종합!W$3:W$501,MATCH(ROW()-2,종합!$AC$3:$AC$501,0))&amp;"","")</f>
        <v>부장/팀장</v>
      </c>
      <c r="X53" s="21" t="str">
        <f aca="false">IFERROR(INDEX(종합!X$3:X$501,MATCH(ROW()-2,종합!$AC$3:$AC$501,0))&amp;"","")</f>
        <v>02-3654-3654</v>
      </c>
      <c r="Y53" s="21" t="str">
        <f aca="false">IFERROR(INDEX(종합!Y$3:Y$501,MATCH(ROW()-2,종합!$AC$3:$AC$501,0))&amp;"","")</f>
        <v>shinmc@feelatech.com</v>
      </c>
      <c r="Z53" s="21" t="str">
        <f aca="false">IFERROR(INDEX(종합!Z$3:Z$501,MATCH(ROW()-2,종합!$AC$3:$AC$501,0))&amp;"","")</f>
        <v>010-2898-6521</v>
      </c>
    </row>
    <row r="54" customFormat="false" ht="22.5" hidden="false" customHeight="true" outlineLevel="0" collapsed="false">
      <c r="A54" s="18" t="n">
        <f aca="false">IF(B54="","",ROW()-2)</f>
        <v>52</v>
      </c>
      <c r="B54" s="18" t="str">
        <f aca="false">IFERROR(INDEX(종합!B$3:B$501,MATCH(ROW()-2,종합!$AC$3:$AC$501,0))&amp;"","")</f>
        <v>(주)스틸리언</v>
      </c>
      <c r="C54" s="18" t="str">
        <f aca="false">IFERROR(INDEX(종합!C$3:C$501,MATCH(ROW()-2,종합!$AC$3:$AC$501,0))&amp;"","")</f>
        <v/>
      </c>
      <c r="D54" s="18" t="str">
        <f aca="false">IFERROR(INDEX(종합!D$3:D$501,MATCH(ROW()-2,종합!$AC$3:$AC$501,0))&amp;"","")</f>
        <v>O</v>
      </c>
      <c r="E54" s="18" t="str">
        <f aca="false">IFERROR(INDEX(종합!E$3:E$501,MATCH(ROW()-2,종합!$AC$3:$AC$501,0))&amp;"","")</f>
        <v/>
      </c>
      <c r="F54" s="18" t="str">
        <f aca="false">IFERROR(INDEX(종합!F$3:F$501,MATCH(ROW()-2,종합!$AC$3:$AC$501,0))&amp;"","")</f>
        <v/>
      </c>
      <c r="G54" s="18" t="str">
        <f aca="false">IFERROR(INDEX(종합!G$3:G$501,MATCH(ROW()-2,종합!$AC$3:$AC$501,0))&amp;"","")</f>
        <v>중소기업</v>
      </c>
      <c r="H54" s="21" t="str">
        <f aca="false">IFERROR(INDEX(종합!H$3:H$501,MATCH(ROW()-2,종합!$AC$3:$AC$501,0))&amp;"","")</f>
        <v>217-81-45017</v>
      </c>
      <c r="I54" s="21" t="str">
        <f aca="false">IFERROR(INDEX(종합!I$3:I$501,MATCH(ROW()-2,종합!$AC$3:$AC$501,0))&amp;"","")</f>
        <v>박찬암</v>
      </c>
      <c r="J54" s="21" t="str">
        <f aca="false">IFERROR(INDEX(종합!J$3:J$501,MATCH(ROW()-2,종합!$AC$3:$AC$501,0))&amp;"","")</f>
        <v>02-2038-4792</v>
      </c>
      <c r="K54" s="21" t="str">
        <f aca="false">IFERROR(INDEX(종합!K$3:K$501,MATCH(ROW()-2,종합!$AC$3:$AC$501,0))&amp;"","")</f>
        <v>http://www.stealien.com/</v>
      </c>
      <c r="L54" s="21" t="str">
        <f aca="false">IFERROR(INDEX(종합!L$3:L$501,MATCH(ROW()-2,종합!$AC$3:$AC$501,0))&amp;"","")</f>
        <v>yycho@stealien.com</v>
      </c>
      <c r="M54" s="21" t="str">
        <f aca="false">IFERROR(INDEX(종합!M$3:M$501,MATCH(ROW()-2,종합!$AC$3:$AC$501,0))&amp;"","")</f>
        <v>서울 용산구 원효로90길 11 더프라임타워 업무동 12층</v>
      </c>
      <c r="N54" s="25" t="str">
        <f aca="false">IFERROR(INDEX(종합!N$3:N$501,MATCH(ROW()-2,종합!$AC$3:$AC$501,0))&amp;"","")</f>
        <v>모바일 앱 보안 솔루션 보유(앱수트)</v>
      </c>
      <c r="O54" s="21" t="str">
        <f aca="false">IFERROR(INDEX(종합!O$3:O$501,MATCH(ROW()-2,종합!$AC$3:$AC$501,0))&amp;"","")</f>
        <v>손주환</v>
      </c>
      <c r="P54" s="21" t="str">
        <f aca="false">IFERROR(INDEX(종합!P$3:P$501,MATCH(ROW()-2,종합!$AC$3:$AC$501,0))&amp;"","")</f>
        <v>연구소</v>
      </c>
      <c r="Q54" s="21" t="str">
        <f aca="false">IFERROR(INDEX(종합!Q$3:Q$501,MATCH(ROW()-2,종합!$AC$3:$AC$501,0))&amp;"","")</f>
        <v>연구소장</v>
      </c>
      <c r="R54" s="21" t="str">
        <f aca="false">IFERROR(INDEX(종합!R$3:R$501,MATCH(ROW()-2,종합!$AC$3:$AC$501,0))&amp;"","")</f>
        <v>02-2038-4792</v>
      </c>
      <c r="S54" s="21" t="str">
        <f aca="false">IFERROR(INDEX(종합!S$3:S$501,MATCH(ROW()-2,종합!$AC$3:$AC$501,0))&amp;"","")</f>
        <v>jhson@stealien.com</v>
      </c>
      <c r="T54" s="21" t="str">
        <f aca="false">IFERROR(INDEX(종합!T$3:T$501,MATCH(ROW()-2,종합!$AC$3:$AC$501,0))&amp;"","")</f>
        <v>010-2006-1673</v>
      </c>
      <c r="U54" s="21" t="str">
        <f aca="false">IFERROR(INDEX(종합!U$3:U$501,MATCH(ROW()-2,종합!$AC$3:$AC$501,0))&amp;"","")</f>
        <v>신현종</v>
      </c>
      <c r="V54" s="21" t="str">
        <f aca="false">IFERROR(INDEX(종합!V$3:V$501,MATCH(ROW()-2,종합!$AC$3:$AC$501,0))&amp;"","")</f>
        <v>연구과제팀</v>
      </c>
      <c r="W54" s="21" t="str">
        <f aca="false">IFERROR(INDEX(종합!W$3:W$501,MATCH(ROW()-2,종합!$AC$3:$AC$501,0))&amp;"","")</f>
        <v>책임연구</v>
      </c>
      <c r="X54" s="21" t="str">
        <f aca="false">IFERROR(INDEX(종합!X$3:X$501,MATCH(ROW()-2,종합!$AC$3:$AC$501,0))&amp;"","")</f>
        <v>02-2038-4792</v>
      </c>
      <c r="Y54" s="21" t="str">
        <f aca="false">IFERROR(INDEX(종합!Y$3:Y$501,MATCH(ROW()-2,종합!$AC$3:$AC$501,0))&amp;"","")</f>
        <v>hjshin2@stealien.com</v>
      </c>
      <c r="Z54" s="21" t="str">
        <f aca="false">IFERROR(INDEX(종합!Z$3:Z$501,MATCH(ROW()-2,종합!$AC$3:$AC$501,0))&amp;"","")</f>
        <v>010-9853-7712</v>
      </c>
    </row>
    <row r="55" customFormat="false" ht="22.5" hidden="false" customHeight="true" outlineLevel="0" collapsed="false">
      <c r="A55" s="18" t="n">
        <f aca="false">IF(B55="","",ROW()-2)</f>
        <v>53</v>
      </c>
      <c r="B55" s="18" t="str">
        <f aca="false">IFERROR(INDEX(종합!B$3:B$501,MATCH(ROW()-2,종합!$AC$3:$AC$501,0))&amp;"","")</f>
        <v>엘에스웨어(주)</v>
      </c>
      <c r="C55" s="18" t="str">
        <f aca="false">IFERROR(INDEX(종합!C$3:C$501,MATCH(ROW()-2,종합!$AC$3:$AC$501,0))&amp;"","")</f>
        <v/>
      </c>
      <c r="D55" s="18" t="str">
        <f aca="false">IFERROR(INDEX(종합!D$3:D$501,MATCH(ROW()-2,종합!$AC$3:$AC$501,0))&amp;"","")</f>
        <v>O</v>
      </c>
      <c r="E55" s="18" t="str">
        <f aca="false">IFERROR(INDEX(종합!E$3:E$501,MATCH(ROW()-2,종합!$AC$3:$AC$501,0))&amp;"","")</f>
        <v/>
      </c>
      <c r="F55" s="18" t="str">
        <f aca="false">IFERROR(INDEX(종합!F$3:F$501,MATCH(ROW()-2,종합!$AC$3:$AC$501,0))&amp;"","")</f>
        <v/>
      </c>
      <c r="G55" s="18" t="str">
        <f aca="false">IFERROR(INDEX(종합!G$3:G$501,MATCH(ROW()-2,종합!$AC$3:$AC$501,0))&amp;"","")</f>
        <v>중소기업</v>
      </c>
      <c r="H55" s="21" t="str">
        <f aca="false">IFERROR(INDEX(종합!H$3:H$501,MATCH(ROW()-2,종합!$AC$3:$AC$501,0))&amp;"","")</f>
        <v>113-81-96801</v>
      </c>
      <c r="I55" s="21" t="str">
        <f aca="false">IFERROR(INDEX(종합!I$3:I$501,MATCH(ROW()-2,종합!$AC$3:$AC$501,0))&amp;"","")</f>
        <v>김민수 대표이사</v>
      </c>
      <c r="J55" s="21" t="str">
        <f aca="false">IFERROR(INDEX(종합!J$3:J$501,MATCH(ROW()-2,종합!$AC$3:$AC$501,0))&amp;"","")</f>
        <v>02-6919-0321</v>
      </c>
      <c r="K55" s="21" t="str">
        <f aca="false">IFERROR(INDEX(종합!K$3:K$501,MATCH(ROW()-2,종합!$AC$3:$AC$501,0))&amp;"","")</f>
        <v>www.lsware.co.kr</v>
      </c>
      <c r="L55" s="21" t="str">
        <f aca="false">IFERROR(INDEX(종합!L$3:L$501,MATCH(ROW()-2,종합!$AC$3:$AC$501,0))&amp;"","")</f>
        <v>klaatu73@gmail.com</v>
      </c>
      <c r="M55" s="21" t="str">
        <f aca="false">IFERROR(INDEX(종합!M$3:M$501,MATCH(ROW()-2,종합!$AC$3:$AC$501,0))&amp;"","")</f>
        <v>서울시 금천구 서부샛길 606 대성디폴리스A동18층 엘에스웨어</v>
      </c>
      <c r="N55" s="25" t="str">
        <f aca="false">IFERROR(INDEX(종합!N$3:N$501,MATCH(ROW()-2,종합!$AC$3:$AC$501,0))&amp;"","")</f>
        <v>보안솔루션/오픈소스컴플라이언스/블록체인/저작권보호</v>
      </c>
      <c r="O55" s="21" t="str">
        <f aca="false">IFERROR(INDEX(종합!O$3:O$501,MATCH(ROW()-2,종합!$AC$3:$AC$501,0))&amp;"","")</f>
        <v>신동명</v>
      </c>
      <c r="P55" s="21" t="str">
        <f aca="false">IFERROR(INDEX(종합!P$3:P$501,MATCH(ROW()-2,종합!$AC$3:$AC$501,0))&amp;"","")</f>
        <v>연구개발본부</v>
      </c>
      <c r="Q55" s="21" t="str">
        <f aca="false">IFERROR(INDEX(종합!Q$3:Q$501,MATCH(ROW()-2,종합!$AC$3:$AC$501,0))&amp;"","")</f>
        <v>전무/본부장</v>
      </c>
      <c r="R55" s="21" t="str">
        <f aca="false">IFERROR(INDEX(종합!R$3:R$501,MATCH(ROW()-2,종합!$AC$3:$AC$501,0))&amp;"","")</f>
        <v>02-6919-0321</v>
      </c>
      <c r="S55" s="21" t="str">
        <f aca="false">IFERROR(INDEX(종합!S$3:S$501,MATCH(ROW()-2,종합!$AC$3:$AC$501,0))&amp;"","")</f>
        <v>roland@lsware.co.kr</v>
      </c>
      <c r="T55" s="21" t="str">
        <f aca="false">IFERROR(INDEX(종합!T$3:T$501,MATCH(ROW()-2,종합!$AC$3:$AC$501,0))&amp;"","")</f>
        <v>010-2466-4983</v>
      </c>
      <c r="U55" s="21" t="str">
        <f aca="false">IFERROR(INDEX(종합!U$3:U$501,MATCH(ROW()-2,종합!$AC$3:$AC$501,0))&amp;"","")</f>
        <v>조용준</v>
      </c>
      <c r="V55" s="21" t="str">
        <f aca="false">IFERROR(INDEX(종합!V$3:V$501,MATCH(ROW()-2,종합!$AC$3:$AC$501,0))&amp;"","")</f>
        <v>연구개발본부</v>
      </c>
      <c r="W55" s="21" t="str">
        <f aca="false">IFERROR(INDEX(종합!W$3:W$501,MATCH(ROW()-2,종합!$AC$3:$AC$501,0))&amp;"","")</f>
        <v>이사/수석</v>
      </c>
      <c r="X55" s="21" t="str">
        <f aca="false">IFERROR(INDEX(종합!X$3:X$501,MATCH(ROW()-2,종합!$AC$3:$AC$501,0))&amp;"","")</f>
        <v>02-6919-0321</v>
      </c>
      <c r="Y55" s="21" t="str">
        <f aca="false">IFERROR(INDEX(종합!Y$3:Y$501,MATCH(ROW()-2,종합!$AC$3:$AC$501,0))&amp;"","")</f>
        <v>eugene@lsware.co.kr</v>
      </c>
      <c r="Z55" s="21" t="str">
        <f aca="false">IFERROR(INDEX(종합!Z$3:Z$501,MATCH(ROW()-2,종합!$AC$3:$AC$501,0))&amp;"","")</f>
        <v>010-9587-7283</v>
      </c>
    </row>
    <row r="56" customFormat="false" ht="22.5" hidden="false" customHeight="true" outlineLevel="0" collapsed="false">
      <c r="A56" s="18" t="n">
        <f aca="false">IF(B56="","",ROW()-2)</f>
        <v>54</v>
      </c>
      <c r="B56" s="18" t="str">
        <f aca="false">IFERROR(INDEX(종합!B$3:B$501,MATCH(ROW()-2,종합!$AC$3:$AC$501,0))&amp;"","")</f>
        <v>(주)글로비트</v>
      </c>
      <c r="C56" s="18" t="str">
        <f aca="false">IFERROR(INDEX(종합!C$3:C$501,MATCH(ROW()-2,종합!$AC$3:$AC$501,0))&amp;"","")</f>
        <v>O</v>
      </c>
      <c r="D56" s="18" t="str">
        <f aca="false">IFERROR(INDEX(종합!D$3:D$501,MATCH(ROW()-2,종합!$AC$3:$AC$501,0))&amp;"","")</f>
        <v>O</v>
      </c>
      <c r="E56" s="18" t="str">
        <f aca="false">IFERROR(INDEX(종합!E$3:E$501,MATCH(ROW()-2,종합!$AC$3:$AC$501,0))&amp;"","")</f>
        <v/>
      </c>
      <c r="F56" s="18" t="str">
        <f aca="false">IFERROR(INDEX(종합!F$3:F$501,MATCH(ROW()-2,종합!$AC$3:$AC$501,0))&amp;"","")</f>
        <v/>
      </c>
      <c r="G56" s="18" t="str">
        <f aca="false">IFERROR(INDEX(종합!G$3:G$501,MATCH(ROW()-2,종합!$AC$3:$AC$501,0))&amp;"","")</f>
        <v>중소기업</v>
      </c>
      <c r="H56" s="21" t="str">
        <f aca="false">IFERROR(INDEX(종합!H$3:H$501,MATCH(ROW()-2,종합!$AC$3:$AC$501,0))&amp;"","")</f>
        <v>616-81-92018</v>
      </c>
      <c r="I56" s="21" t="str">
        <f aca="false">IFERROR(INDEX(종합!I$3:I$501,MATCH(ROW()-2,종합!$AC$3:$AC$501,0))&amp;"","")</f>
        <v>김형수</v>
      </c>
      <c r="J56" s="21" t="str">
        <f aca="false">IFERROR(INDEX(종합!J$3:J$501,MATCH(ROW()-2,종합!$AC$3:$AC$501,0))&amp;"","")</f>
        <v>064-727-9106</v>
      </c>
      <c r="K56" s="21" t="str">
        <f aca="false">IFERROR(INDEX(종합!K$3:K$501,MATCH(ROW()-2,종합!$AC$3:$AC$501,0))&amp;"","")</f>
        <v>https://www.globit.co.kr/</v>
      </c>
      <c r="L56" s="21" t="str">
        <f aca="false">IFERROR(INDEX(종합!L$3:L$501,MATCH(ROW()-2,종합!$AC$3:$AC$501,0))&amp;"","")</f>
        <v>ekstasis00@gmail.com</v>
      </c>
      <c r="M56" s="21" t="str">
        <f aca="false">IFERROR(INDEX(종합!M$3:M$501,MATCH(ROW()-2,종합!$AC$3:$AC$501,0))&amp;"","")</f>
        <v>제주특별자치도 제주시 중앙로 175, 3층</v>
      </c>
      <c r="N56" s="25" t="str">
        <f aca="false">IFERROR(INDEX(종합!N$3:N$501,MATCH(ROW()-2,종합!$AC$3:$AC$501,0))&amp;"","")</f>
        <v>AI 지능형 스마트양식 플랫폼</v>
      </c>
      <c r="O56" s="21" t="str">
        <f aca="false">IFERROR(INDEX(종합!O$3:O$501,MATCH(ROW()-2,종합!$AC$3:$AC$501,0))&amp;"","")</f>
        <v>김형수</v>
      </c>
      <c r="P56" s="21" t="str">
        <f aca="false">IFERROR(INDEX(종합!P$3:P$501,MATCH(ROW()-2,종합!$AC$3:$AC$501,0))&amp;"","")</f>
        <v>CEO</v>
      </c>
      <c r="Q56" s="21" t="str">
        <f aca="false">IFERROR(INDEX(종합!Q$3:Q$501,MATCH(ROW()-2,종합!$AC$3:$AC$501,0))&amp;"","")</f>
        <v>대표이사</v>
      </c>
      <c r="R56" s="21" t="str">
        <f aca="false">IFERROR(INDEX(종합!R$3:R$501,MATCH(ROW()-2,종합!$AC$3:$AC$501,0))&amp;"","")</f>
        <v>064-727-9106</v>
      </c>
      <c r="S56" s="21" t="str">
        <f aca="false">IFERROR(INDEX(종합!S$3:S$501,MATCH(ROW()-2,종합!$AC$3:$AC$501,0))&amp;"","")</f>
        <v>hskim@gbit.kr</v>
      </c>
      <c r="T56" s="21" t="str">
        <f aca="false">IFERROR(INDEX(종합!T$3:T$501,MATCH(ROW()-2,종합!$AC$3:$AC$501,0))&amp;"","")</f>
        <v>010-8713-9872</v>
      </c>
      <c r="U56" s="21" t="str">
        <f aca="false">IFERROR(INDEX(종합!U$3:U$501,MATCH(ROW()-2,종합!$AC$3:$AC$501,0))&amp;"","")</f>
        <v>지동우</v>
      </c>
      <c r="V56" s="21" t="str">
        <f aca="false">IFERROR(INDEX(종합!V$3:V$501,MATCH(ROW()-2,종합!$AC$3:$AC$501,0))&amp;"","")</f>
        <v>혁신본부</v>
      </c>
      <c r="W56" s="21" t="str">
        <f aca="false">IFERROR(INDEX(종합!W$3:W$501,MATCH(ROW()-2,종합!$AC$3:$AC$501,0))&amp;"","")</f>
        <v>이사/본부장</v>
      </c>
      <c r="X56" s="21" t="str">
        <f aca="false">IFERROR(INDEX(종합!X$3:X$501,MATCH(ROW()-2,종합!$AC$3:$AC$501,0))&amp;"","")</f>
        <v>064-727-9106</v>
      </c>
      <c r="Y56" s="21" t="str">
        <f aca="false">IFERROR(INDEX(종합!Y$3:Y$501,MATCH(ROW()-2,종합!$AC$3:$AC$501,0))&amp;"","")</f>
        <v>dwjee@gbit.kr</v>
      </c>
      <c r="Z56" s="21" t="str">
        <f aca="false">IFERROR(INDEX(종합!Z$3:Z$501,MATCH(ROW()-2,종합!$AC$3:$AC$501,0))&amp;"","")</f>
        <v>010-2981-6386</v>
      </c>
    </row>
    <row r="57" customFormat="false" ht="22.5" hidden="false" customHeight="true" outlineLevel="0" collapsed="false">
      <c r="A57" s="18" t="n">
        <f aca="false">IF(B57="","",ROW()-2)</f>
        <v>55</v>
      </c>
      <c r="B57" s="18" t="str">
        <f aca="false">IFERROR(INDEX(종합!B$3:B$501,MATCH(ROW()-2,종합!$AC$3:$AC$501,0))&amp;"","")</f>
        <v>(주)디윅스</v>
      </c>
      <c r="C57" s="18" t="str">
        <f aca="false">IFERROR(INDEX(종합!C$3:C$501,MATCH(ROW()-2,종합!$AC$3:$AC$501,0))&amp;"","")</f>
        <v/>
      </c>
      <c r="D57" s="18" t="str">
        <f aca="false">IFERROR(INDEX(종합!D$3:D$501,MATCH(ROW()-2,종합!$AC$3:$AC$501,0))&amp;"","")</f>
        <v>O</v>
      </c>
      <c r="E57" s="18" t="str">
        <f aca="false">IFERROR(INDEX(종합!E$3:E$501,MATCH(ROW()-2,종합!$AC$3:$AC$501,0))&amp;"","")</f>
        <v/>
      </c>
      <c r="F57" s="18" t="str">
        <f aca="false">IFERROR(INDEX(종합!F$3:F$501,MATCH(ROW()-2,종합!$AC$3:$AC$501,0))&amp;"","")</f>
        <v/>
      </c>
      <c r="G57" s="18" t="str">
        <f aca="false">IFERROR(INDEX(종합!G$3:G$501,MATCH(ROW()-2,종합!$AC$3:$AC$501,0))&amp;"","")</f>
        <v>중소기업</v>
      </c>
      <c r="H57" s="21" t="str">
        <f aca="false">IFERROR(INDEX(종합!H$3:H$501,MATCH(ROW()-2,종합!$AC$3:$AC$501,0))&amp;"","")</f>
        <v>815-87-02319</v>
      </c>
      <c r="I57" s="21" t="str">
        <f aca="false">IFERROR(INDEX(종합!I$3:I$501,MATCH(ROW()-2,종합!$AC$3:$AC$501,0))&amp;"","")</f>
        <v>안준형</v>
      </c>
      <c r="J57" s="21" t="str">
        <f aca="false">IFERROR(INDEX(종합!J$3:J$501,MATCH(ROW()-2,종합!$AC$3:$AC$501,0))&amp;"","")</f>
        <v>02-6265-6900</v>
      </c>
      <c r="K57" s="21" t="str">
        <f aca="false">IFERROR(INDEX(종합!K$3:K$501,MATCH(ROW()-2,종합!$AC$3:$AC$501,0))&amp;"","")</f>
        <v>https://www.dweax.co.kr/</v>
      </c>
      <c r="L57" s="21" t="str">
        <f aca="false">IFERROR(INDEX(종합!L$3:L$501,MATCH(ROW()-2,종합!$AC$3:$AC$501,0))&amp;"","")</f>
        <v>dweaxspx@gmail.com</v>
      </c>
      <c r="M57" s="21" t="str">
        <f aca="false">IFERROR(INDEX(종합!M$3:M$501,MATCH(ROW()-2,종합!$AC$3:$AC$501,0))&amp;"","")</f>
        <v>서울시 강남구 선릉로94길 12 세웅타워 7층</v>
      </c>
      <c r="N57" s="25" t="str">
        <f aca="false">IFERROR(INDEX(종합!N$3:N$501,MATCH(ROW()-2,종합!$AC$3:$AC$501,0))&amp;"","")</f>
        <v>온톨로지 기반 기업형 Agentic AI, 제품[WEA Flow v2.0]</v>
      </c>
      <c r="O57" s="21" t="str">
        <f aca="false">IFERROR(INDEX(종합!O$3:O$501,MATCH(ROW()-2,종합!$AC$3:$AC$501,0))&amp;"","")</f>
        <v>안준형</v>
      </c>
      <c r="P57" s="21" t="str">
        <f aca="false">IFERROR(INDEX(종합!P$3:P$501,MATCH(ROW()-2,종합!$AC$3:$AC$501,0))&amp;"","")</f>
        <v>대표</v>
      </c>
      <c r="Q57" s="21" t="str">
        <f aca="false">IFERROR(INDEX(종합!Q$3:Q$501,MATCH(ROW()-2,종합!$AC$3:$AC$501,0))&amp;"","")</f>
        <v>대표</v>
      </c>
      <c r="R57" s="21" t="str">
        <f aca="false">IFERROR(INDEX(종합!R$3:R$501,MATCH(ROW()-2,종합!$AC$3:$AC$501,0))&amp;"","")</f>
        <v>02-6265-6900</v>
      </c>
      <c r="S57" s="21" t="str">
        <f aca="false">IFERROR(INDEX(종합!S$3:S$501,MATCH(ROW()-2,종합!$AC$3:$AC$501,0))&amp;"","")</f>
        <v>ahnjunhyung@dweax.com</v>
      </c>
      <c r="T57" s="21" t="str">
        <f aca="false">IFERROR(INDEX(종합!T$3:T$501,MATCH(ROW()-2,종합!$AC$3:$AC$501,0))&amp;"","")</f>
        <v>010-9075-6900</v>
      </c>
      <c r="U57" s="21" t="str">
        <f aca="false">IFERROR(INDEX(종합!U$3:U$501,MATCH(ROW()-2,종합!$AC$3:$AC$501,0))&amp;"","")</f>
        <v>신재홍</v>
      </c>
      <c r="V57" s="21" t="str">
        <f aca="false">IFERROR(INDEX(종합!V$3:V$501,MATCH(ROW()-2,종합!$AC$3:$AC$501,0))&amp;"","")</f>
        <v>SPX본부</v>
      </c>
      <c r="W57" s="21" t="str">
        <f aca="false">IFERROR(INDEX(종합!W$3:W$501,MATCH(ROW()-2,종합!$AC$3:$AC$501,0))&amp;"","")</f>
        <v>이사</v>
      </c>
      <c r="X57" s="21" t="str">
        <f aca="false">IFERROR(INDEX(종합!X$3:X$501,MATCH(ROW()-2,종합!$AC$3:$AC$501,0))&amp;"","")</f>
        <v>02-6265-6900</v>
      </c>
      <c r="Y57" s="21" t="str">
        <f aca="false">IFERROR(INDEX(종합!Y$3:Y$501,MATCH(ROW()-2,종합!$AC$3:$AC$501,0))&amp;"","")</f>
        <v>tilip@dweax.com</v>
      </c>
      <c r="Z57" s="21" t="str">
        <f aca="false">IFERROR(INDEX(종합!Z$3:Z$501,MATCH(ROW()-2,종합!$AC$3:$AC$501,0))&amp;"","")</f>
        <v>010-8437-9937</v>
      </c>
    </row>
    <row r="58" customFormat="false" ht="22.5" hidden="false" customHeight="true" outlineLevel="0" collapsed="false">
      <c r="A58" s="18" t="n">
        <f aca="false">IF(B58="","",ROW()-2)</f>
        <v>56</v>
      </c>
      <c r="B58" s="18" t="str">
        <f aca="false">IFERROR(INDEX(종합!B$3:B$501,MATCH(ROW()-2,종합!$AC$3:$AC$501,0))&amp;"","")</f>
        <v>(주)제이앤피메디</v>
      </c>
      <c r="C58" s="18" t="str">
        <f aca="false">IFERROR(INDEX(종합!C$3:C$501,MATCH(ROW()-2,종합!$AC$3:$AC$501,0))&amp;"","")</f>
        <v/>
      </c>
      <c r="D58" s="18" t="str">
        <f aca="false">IFERROR(INDEX(종합!D$3:D$501,MATCH(ROW()-2,종합!$AC$3:$AC$501,0))&amp;"","")</f>
        <v>O</v>
      </c>
      <c r="E58" s="18" t="str">
        <f aca="false">IFERROR(INDEX(종합!E$3:E$501,MATCH(ROW()-2,종합!$AC$3:$AC$501,0))&amp;"","")</f>
        <v/>
      </c>
      <c r="F58" s="18" t="str">
        <f aca="false">IFERROR(INDEX(종합!F$3:F$501,MATCH(ROW()-2,종합!$AC$3:$AC$501,0))&amp;"","")</f>
        <v/>
      </c>
      <c r="G58" s="18" t="str">
        <f aca="false">IFERROR(INDEX(종합!G$3:G$501,MATCH(ROW()-2,종합!$AC$3:$AC$501,0))&amp;"","")</f>
        <v>중소기업</v>
      </c>
      <c r="H58" s="21" t="str">
        <f aca="false">IFERROR(INDEX(종합!H$3:H$501,MATCH(ROW()-2,종합!$AC$3:$AC$501,0))&amp;"","")</f>
        <v>258-86-01830</v>
      </c>
      <c r="I58" s="21" t="str">
        <f aca="false">IFERROR(INDEX(종합!I$3:I$501,MATCH(ROW()-2,종합!$AC$3:$AC$501,0))&amp;"","")</f>
        <v>정권호</v>
      </c>
      <c r="J58" s="21" t="str">
        <f aca="false">IFERROR(INDEX(종합!J$3:J$501,MATCH(ROW()-2,종합!$AC$3:$AC$501,0))&amp;"","")</f>
        <v>1668-0774</v>
      </c>
      <c r="K58" s="21" t="str">
        <f aca="false">IFERROR(INDEX(종합!K$3:K$501,MATCH(ROW()-2,종합!$AC$3:$AC$501,0))&amp;"","")</f>
        <v>www.jnpmedi.com</v>
      </c>
      <c r="L58" s="21" t="str">
        <f aca="false">IFERROR(INDEX(종합!L$3:L$501,MATCH(ROW()-2,종합!$AC$3:$AC$501,0))&amp;"","")</f>
        <v>jh.park@jnpmedi.com</v>
      </c>
      <c r="M58" s="21" t="str">
        <f aca="false">IFERROR(INDEX(종합!M$3:M$501,MATCH(ROW()-2,종합!$AC$3:$AC$501,0))&amp;"","")</f>
        <v>인천시 연수구 컨벤시아대로 165, 포스코타워 31층</v>
      </c>
      <c r="N58" s="25" t="str">
        <f aca="false">IFERROR(INDEX(종합!N$3:N$501,MATCH(ROW()-2,종합!$AC$3:$AC$501,0))&amp;"","")</f>
        <v>Maven Clinical Cloud</v>
      </c>
      <c r="O58" s="21" t="str">
        <f aca="false">IFERROR(INDEX(종합!O$3:O$501,MATCH(ROW()-2,종합!$AC$3:$AC$501,0))&amp;"","")</f>
        <v>이재현</v>
      </c>
      <c r="P58" s="21" t="str">
        <f aca="false">IFERROR(INDEX(종합!P$3:P$501,MATCH(ROW()-2,종합!$AC$3:$AC$501,0))&amp;"","")</f>
        <v>CEO Office</v>
      </c>
      <c r="Q58" s="21" t="str">
        <f aca="false">IFERROR(INDEX(종합!Q$3:Q$501,MATCH(ROW()-2,종합!$AC$3:$AC$501,0))&amp;"","")</f>
        <v>Chief of Staff</v>
      </c>
      <c r="R58" s="21" t="str">
        <f aca="false">IFERROR(INDEX(종합!R$3:R$501,MATCH(ROW()-2,종합!$AC$3:$AC$501,0))&amp;"","")</f>
        <v>010-4641-5928</v>
      </c>
      <c r="S58" s="21" t="str">
        <f aca="false">IFERROR(INDEX(종합!S$3:S$501,MATCH(ROW()-2,종합!$AC$3:$AC$501,0))&amp;"","")</f>
        <v>jh.lee@jnpmedi.com</v>
      </c>
      <c r="T58" s="21" t="str">
        <f aca="false">IFERROR(INDEX(종합!T$3:T$501,MATCH(ROW()-2,종합!$AC$3:$AC$501,0))&amp;"","")</f>
        <v>010-4641-5928</v>
      </c>
      <c r="U58" s="21" t="str">
        <f aca="false">IFERROR(INDEX(종합!U$3:U$501,MATCH(ROW()-2,종합!$AC$3:$AC$501,0))&amp;"","")</f>
        <v>박종현</v>
      </c>
      <c r="V58" s="21" t="str">
        <f aca="false">IFERROR(INDEX(종합!V$3:V$501,MATCH(ROW()-2,종합!$AC$3:$AC$501,0))&amp;"","")</f>
        <v>CEO Office</v>
      </c>
      <c r="W58" s="21" t="str">
        <f aca="false">IFERROR(INDEX(종합!W$3:W$501,MATCH(ROW()-2,종합!$AC$3:$AC$501,0))&amp;"","")</f>
        <v>CEO Staff</v>
      </c>
      <c r="X58" s="21" t="str">
        <f aca="false">IFERROR(INDEX(종합!X$3:X$501,MATCH(ROW()-2,종합!$AC$3:$AC$501,0))&amp;"","")</f>
        <v>010-4586-2460</v>
      </c>
      <c r="Y58" s="21" t="str">
        <f aca="false">IFERROR(INDEX(종합!Y$3:Y$501,MATCH(ROW()-2,종합!$AC$3:$AC$501,0))&amp;"","")</f>
        <v>jh.park@jnpmedi.com</v>
      </c>
      <c r="Z58" s="21" t="str">
        <f aca="false">IFERROR(INDEX(종합!Z$3:Z$501,MATCH(ROW()-2,종합!$AC$3:$AC$501,0))&amp;"","")</f>
        <v>010-4586-2460</v>
      </c>
    </row>
    <row r="59" customFormat="false" ht="33.75" hidden="false" customHeight="true" outlineLevel="0" collapsed="false">
      <c r="A59" s="18" t="n">
        <f aca="false">IF(B59="","",ROW()-2)</f>
        <v>57</v>
      </c>
      <c r="B59" s="18" t="str">
        <f aca="false">IFERROR(INDEX(종합!B$3:B$501,MATCH(ROW()-2,종합!$AC$3:$AC$501,0))&amp;"","")</f>
        <v>아이디비(주)</v>
      </c>
      <c r="C59" s="18" t="str">
        <f aca="false">IFERROR(INDEX(종합!C$3:C$501,MATCH(ROW()-2,종합!$AC$3:$AC$501,0))&amp;"","")</f>
        <v/>
      </c>
      <c r="D59" s="18" t="str">
        <f aca="false">IFERROR(INDEX(종합!D$3:D$501,MATCH(ROW()-2,종합!$AC$3:$AC$501,0))&amp;"","")</f>
        <v>O</v>
      </c>
      <c r="E59" s="18" t="str">
        <f aca="false">IFERROR(INDEX(종합!E$3:E$501,MATCH(ROW()-2,종합!$AC$3:$AC$501,0))&amp;"","")</f>
        <v/>
      </c>
      <c r="F59" s="18" t="str">
        <f aca="false">IFERROR(INDEX(종합!F$3:F$501,MATCH(ROW()-2,종합!$AC$3:$AC$501,0))&amp;"","")</f>
        <v/>
      </c>
      <c r="G59" s="18" t="str">
        <f aca="false">IFERROR(INDEX(종합!G$3:G$501,MATCH(ROW()-2,종합!$AC$3:$AC$501,0))&amp;"","")</f>
        <v>중소기업</v>
      </c>
      <c r="H59" s="21" t="str">
        <f aca="false">IFERROR(INDEX(종합!H$3:H$501,MATCH(ROW()-2,종합!$AC$3:$AC$501,0))&amp;"","")</f>
        <v>521-88-01858</v>
      </c>
      <c r="I59" s="21" t="str">
        <f aca="false">IFERROR(INDEX(종합!I$3:I$501,MATCH(ROW()-2,종합!$AC$3:$AC$501,0))&amp;"","")</f>
        <v>민보경</v>
      </c>
      <c r="J59" s="21" t="str">
        <f aca="false">IFERROR(INDEX(종합!J$3:J$501,MATCH(ROW()-2,종합!$AC$3:$AC$501,0))&amp;"","")</f>
        <v>070-4388-7030</v>
      </c>
      <c r="K59" s="21" t="str">
        <f aca="false">IFERROR(INDEX(종합!K$3:K$501,MATCH(ROW()-2,종합!$AC$3:$AC$501,0))&amp;"","")</f>
        <v>https://idb.ai</v>
      </c>
      <c r="L59" s="21" t="str">
        <f aca="false">IFERROR(INDEX(종합!L$3:L$501,MATCH(ROW()-2,종합!$AC$3:$AC$501,0))&amp;"","")</f>
        <v>bkmin77@gmail.com</v>
      </c>
      <c r="M59" s="21" t="str">
        <f aca="false">IFERROR(INDEX(종합!M$3:M$501,MATCH(ROW()-2,종합!$AC$3:$AC$501,0))&amp;"","")</f>
        <v>서울시 강남구 테헤란로 33길 35 펠릭스 빌딩 2층 </v>
      </c>
      <c r="N59" s="25" t="str">
        <f aca="false">IFERROR(INDEX(종합!N$3:N$501,MATCH(ROW()-2,종합!$AC$3:$AC$501,0))&amp;"","")</f>
        <v>Protect Go AI (AIOps, 설비 예지보전, 공정분석, 운영 최적화, 안전 위험 탐지)</v>
      </c>
      <c r="O59" s="21" t="str">
        <f aca="false">IFERROR(INDEX(종합!O$3:O$501,MATCH(ROW()-2,종합!$AC$3:$AC$501,0))&amp;"","")</f>
        <v>민보경</v>
      </c>
      <c r="P59" s="21" t="str">
        <f aca="false">IFERROR(INDEX(종합!P$3:P$501,MATCH(ROW()-2,종합!$AC$3:$AC$501,0))&amp;"","")</f>
        <v>AI팀</v>
      </c>
      <c r="Q59" s="21" t="str">
        <f aca="false">IFERROR(INDEX(종합!Q$3:Q$501,MATCH(ROW()-2,종합!$AC$3:$AC$501,0))&amp;"","")</f>
        <v>대표</v>
      </c>
      <c r="R59" s="21" t="str">
        <f aca="false">IFERROR(INDEX(종합!R$3:R$501,MATCH(ROW()-2,종합!$AC$3:$AC$501,0))&amp;"","")</f>
        <v>070-4388-7030</v>
      </c>
      <c r="S59" s="21" t="str">
        <f aca="false">IFERROR(INDEX(종합!S$3:S$501,MATCH(ROW()-2,종합!$AC$3:$AC$501,0))&amp;"","")</f>
        <v>bkmin@idb.ai</v>
      </c>
      <c r="T59" s="21" t="str">
        <f aca="false">IFERROR(INDEX(종합!T$3:T$501,MATCH(ROW()-2,종합!$AC$3:$AC$501,0))&amp;"","")</f>
        <v>010-7255-7030</v>
      </c>
      <c r="U59" s="21" t="str">
        <f aca="false">IFERROR(INDEX(종합!U$3:U$501,MATCH(ROW()-2,종합!$AC$3:$AC$501,0))&amp;"","")</f>
        <v>민보경</v>
      </c>
      <c r="V59" s="21" t="str">
        <f aca="false">IFERROR(INDEX(종합!V$3:V$501,MATCH(ROW()-2,종합!$AC$3:$AC$501,0))&amp;"","")</f>
        <v>AI팀</v>
      </c>
      <c r="W59" s="21" t="str">
        <f aca="false">IFERROR(INDEX(종합!W$3:W$501,MATCH(ROW()-2,종합!$AC$3:$AC$501,0))&amp;"","")</f>
        <v>대표</v>
      </c>
      <c r="X59" s="21" t="str">
        <f aca="false">IFERROR(INDEX(종합!X$3:X$501,MATCH(ROW()-2,종합!$AC$3:$AC$501,0))&amp;"","")</f>
        <v>070-4388-7030</v>
      </c>
      <c r="Y59" s="21" t="str">
        <f aca="false">IFERROR(INDEX(종합!Y$3:Y$501,MATCH(ROW()-2,종합!$AC$3:$AC$501,0))&amp;"","")</f>
        <v>bkmin@idb.ai</v>
      </c>
      <c r="Z59" s="21" t="str">
        <f aca="false">IFERROR(INDEX(종합!Z$3:Z$501,MATCH(ROW()-2,종합!$AC$3:$AC$501,0))&amp;"","")</f>
        <v>010-7255-7030</v>
      </c>
    </row>
    <row r="60" customFormat="false" ht="22.5" hidden="false" customHeight="true" outlineLevel="0" collapsed="false">
      <c r="A60" s="18" t="n">
        <f aca="false">IF(B60="","",ROW()-2)</f>
        <v>58</v>
      </c>
      <c r="B60" s="18" t="str">
        <f aca="false">IFERROR(INDEX(종합!B$3:B$501,MATCH(ROW()-2,종합!$AC$3:$AC$501,0))&amp;"","")</f>
        <v>(주)메사쿠어컴퍼니</v>
      </c>
      <c r="C60" s="18" t="str">
        <f aca="false">IFERROR(INDEX(종합!C$3:C$501,MATCH(ROW()-2,종합!$AC$3:$AC$501,0))&amp;"","")</f>
        <v/>
      </c>
      <c r="D60" s="18" t="str">
        <f aca="false">IFERROR(INDEX(종합!D$3:D$501,MATCH(ROW()-2,종합!$AC$3:$AC$501,0))&amp;"","")</f>
        <v>O</v>
      </c>
      <c r="E60" s="18" t="str">
        <f aca="false">IFERROR(INDEX(종합!E$3:E$501,MATCH(ROW()-2,종합!$AC$3:$AC$501,0))&amp;"","")</f>
        <v/>
      </c>
      <c r="F60" s="18" t="str">
        <f aca="false">IFERROR(INDEX(종합!F$3:F$501,MATCH(ROW()-2,종합!$AC$3:$AC$501,0))&amp;"","")</f>
        <v/>
      </c>
      <c r="G60" s="18" t="str">
        <f aca="false">IFERROR(INDEX(종합!G$3:G$501,MATCH(ROW()-2,종합!$AC$3:$AC$501,0))&amp;"","")</f>
        <v>중소기업</v>
      </c>
      <c r="H60" s="21" t="str">
        <f aca="false">IFERROR(INDEX(종합!H$3:H$501,MATCH(ROW()-2,종합!$AC$3:$AC$501,0))&amp;"","")</f>
        <v>179-88-01680</v>
      </c>
      <c r="I60" s="21" t="str">
        <f aca="false">IFERROR(INDEX(종합!I$3:I$501,MATCH(ROW()-2,종합!$AC$3:$AC$501,0))&amp;"","")</f>
        <v>이지훈</v>
      </c>
      <c r="J60" s="21" t="str">
        <f aca="false">IFERROR(INDEX(종합!J$3:J$501,MATCH(ROW()-2,종합!$AC$3:$AC$501,0))&amp;"","")</f>
        <v>02-6743-0011</v>
      </c>
      <c r="K60" s="21" t="str">
        <f aca="false">IFERROR(INDEX(종합!K$3:K$501,MATCH(ROW()-2,종합!$AC$3:$AC$501,0))&amp;"","")</f>
        <v>www.metsakuur.com</v>
      </c>
      <c r="L60" s="21" t="str">
        <f aca="false">IFERROR(INDEX(종합!L$3:L$501,MATCH(ROW()-2,종합!$AC$3:$AC$501,0))&amp;"","")</f>
        <v>dhkang@metsakuur.com</v>
      </c>
      <c r="M60" s="21" t="str">
        <f aca="false">IFERROR(INDEX(종합!M$3:M$501,MATCH(ROW()-2,종합!$AC$3:$AC$501,0))&amp;"","")</f>
        <v>서울시 강남구 언주로136길 15-3</v>
      </c>
      <c r="N60" s="25" t="str">
        <f aca="false">IFERROR(INDEX(종합!N$3:N$501,MATCH(ROW()-2,종합!$AC$3:$AC$501,0))&amp;"","")</f>
        <v>Vision AI 기반 안면인식, 사물인식 솔루션(UFACE)</v>
      </c>
      <c r="O60" s="21" t="str">
        <f aca="false">IFERROR(INDEX(종합!O$3:O$501,MATCH(ROW()-2,종합!$AC$3:$AC$501,0))&amp;"","")</f>
        <v>윤호식</v>
      </c>
      <c r="P60" s="21" t="str">
        <f aca="false">IFERROR(INDEX(종합!P$3:P$501,MATCH(ROW()-2,종합!$AC$3:$AC$501,0))&amp;"","")</f>
        <v>연구소</v>
      </c>
      <c r="Q60" s="21" t="str">
        <f aca="false">IFERROR(INDEX(종합!Q$3:Q$501,MATCH(ROW()-2,종합!$AC$3:$AC$501,0))&amp;"","")</f>
        <v>부사장</v>
      </c>
      <c r="R60" s="21" t="str">
        <f aca="false">IFERROR(INDEX(종합!R$3:R$501,MATCH(ROW()-2,종합!$AC$3:$AC$501,0))&amp;"","")</f>
        <v>010-5698-4381</v>
      </c>
      <c r="S60" s="21" t="str">
        <f aca="false">IFERROR(INDEX(종합!S$3:S$501,MATCH(ROW()-2,종합!$AC$3:$AC$501,0))&amp;"","")</f>
        <v>hsyoon@metsakuur.com</v>
      </c>
      <c r="T60" s="21" t="str">
        <f aca="false">IFERROR(INDEX(종합!T$3:T$501,MATCH(ROW()-2,종합!$AC$3:$AC$501,0))&amp;"","")</f>
        <v>010-5698-4381</v>
      </c>
      <c r="U60" s="21" t="str">
        <f aca="false">IFERROR(INDEX(종합!U$3:U$501,MATCH(ROW()-2,종합!$AC$3:$AC$501,0))&amp;"","")</f>
        <v>지승훈</v>
      </c>
      <c r="V60" s="21" t="str">
        <f aca="false">IFERROR(INDEX(종합!V$3:V$501,MATCH(ROW()-2,종합!$AC$3:$AC$501,0))&amp;"","")</f>
        <v>기술위원회</v>
      </c>
      <c r="W60" s="21" t="str">
        <f aca="false">IFERROR(INDEX(종합!W$3:W$501,MATCH(ROW()-2,종합!$AC$3:$AC$501,0))&amp;"","")</f>
        <v>부사장</v>
      </c>
      <c r="X60" s="21" t="str">
        <f aca="false">IFERROR(INDEX(종합!X$3:X$501,MATCH(ROW()-2,종합!$AC$3:$AC$501,0))&amp;"","")</f>
        <v>010-7655-1340</v>
      </c>
      <c r="Y60" s="21" t="str">
        <f aca="false">IFERROR(INDEX(종합!Y$3:Y$501,MATCH(ROW()-2,종합!$AC$3:$AC$501,0))&amp;"","")</f>
        <v>shjee@metsakuur.com</v>
      </c>
      <c r="Z60" s="21" t="str">
        <f aca="false">IFERROR(INDEX(종합!Z$3:Z$501,MATCH(ROW()-2,종합!$AC$3:$AC$501,0))&amp;"","")</f>
        <v>010-7655-1340</v>
      </c>
    </row>
    <row r="61" customFormat="false" ht="22.5" hidden="false" customHeight="true" outlineLevel="0" collapsed="false">
      <c r="A61" s="18" t="n">
        <f aca="false">IF(B61="","",ROW()-2)</f>
        <v>59</v>
      </c>
      <c r="B61" s="18" t="str">
        <f aca="false">IFERROR(INDEX(종합!B$3:B$501,MATCH(ROW()-2,종합!$AC$3:$AC$501,0))&amp;"","")</f>
        <v>(주)라온로드</v>
      </c>
      <c r="C61" s="18" t="str">
        <f aca="false">IFERROR(INDEX(종합!C$3:C$501,MATCH(ROW()-2,종합!$AC$3:$AC$501,0))&amp;"","")</f>
        <v/>
      </c>
      <c r="D61" s="18" t="str">
        <f aca="false">IFERROR(INDEX(종합!D$3:D$501,MATCH(ROW()-2,종합!$AC$3:$AC$501,0))&amp;"","")</f>
        <v>O</v>
      </c>
      <c r="E61" s="18" t="str">
        <f aca="false">IFERROR(INDEX(종합!E$3:E$501,MATCH(ROW()-2,종합!$AC$3:$AC$501,0))&amp;"","")</f>
        <v/>
      </c>
      <c r="F61" s="18" t="str">
        <f aca="false">IFERROR(INDEX(종합!F$3:F$501,MATCH(ROW()-2,종합!$AC$3:$AC$501,0))&amp;"","")</f>
        <v/>
      </c>
      <c r="G61" s="18" t="str">
        <f aca="false">IFERROR(INDEX(종합!G$3:G$501,MATCH(ROW()-2,종합!$AC$3:$AC$501,0))&amp;"","")</f>
        <v>중소기업</v>
      </c>
      <c r="H61" s="21" t="str">
        <f aca="false">IFERROR(INDEX(종합!H$3:H$501,MATCH(ROW()-2,종합!$AC$3:$AC$501,0))&amp;"","")</f>
        <v>288-81-02683</v>
      </c>
      <c r="I61" s="21" t="str">
        <f aca="false">IFERROR(INDEX(종합!I$3:I$501,MATCH(ROW()-2,종합!$AC$3:$AC$501,0))&amp;"","")</f>
        <v>이석중</v>
      </c>
      <c r="J61" s="21" t="str">
        <f aca="false">IFERROR(INDEX(종합!J$3:J$501,MATCH(ROW()-2,종합!$AC$3:$AC$501,0))&amp;"","")</f>
        <v>02-507-8207</v>
      </c>
      <c r="K61" s="21" t="str">
        <f aca="false">IFERROR(INDEX(종합!K$3:K$501,MATCH(ROW()-2,종합!$AC$3:$AC$501,0))&amp;"","")</f>
        <v>https://www.laonroad.com/</v>
      </c>
      <c r="L61" s="21" t="str">
        <f aca="false">IFERROR(INDEX(종합!L$3:L$501,MATCH(ROW()-2,종합!$AC$3:$AC$501,0))&amp;"","")</f>
        <v>laonload0903@gmail.com</v>
      </c>
      <c r="M61" s="21" t="str">
        <f aca="false">IFERROR(INDEX(종합!M$3:M$501,MATCH(ROW()-2,종합!$AC$3:$AC$501,0))&amp;"","")</f>
        <v>경기도 과천시 과천대로7나길 60, C동 5층 505호(갈현동, 과천어반허브)</v>
      </c>
      <c r="N61" s="25" t="str">
        <f aca="false">IFERROR(INDEX(종합!N$3:N$501,MATCH(ROW()-2,종합!$AC$3:$AC$501,0))&amp;"","")</f>
        <v>AI영상분석, AI 교통관제시스템, 온디바이스 AI 솔루션 등</v>
      </c>
      <c r="O61" s="21" t="str">
        <f aca="false">IFERROR(INDEX(종합!O$3:O$501,MATCH(ROW()-2,종합!$AC$3:$AC$501,0))&amp;"","")</f>
        <v>강병기</v>
      </c>
      <c r="P61" s="21" t="str">
        <f aca="false">IFERROR(INDEX(종합!P$3:P$501,MATCH(ROW()-2,종합!$AC$3:$AC$501,0))&amp;"","")</f>
        <v>라온로드</v>
      </c>
      <c r="Q61" s="21" t="str">
        <f aca="false">IFERROR(INDEX(종합!Q$3:Q$501,MATCH(ROW()-2,종합!$AC$3:$AC$501,0))&amp;"","")</f>
        <v>COO/부사장</v>
      </c>
      <c r="R61" s="21" t="str">
        <f aca="false">IFERROR(INDEX(종합!R$3:R$501,MATCH(ROW()-2,종합!$AC$3:$AC$501,0))&amp;"","")</f>
        <v>010-8998-4507</v>
      </c>
      <c r="S61" s="21" t="str">
        <f aca="false">IFERROR(INDEX(종합!S$3:S$501,MATCH(ROW()-2,종합!$AC$3:$AC$501,0))&amp;"","")</f>
        <v>bk.kang@laonroad.com</v>
      </c>
      <c r="T61" s="21" t="str">
        <f aca="false">IFERROR(INDEX(종합!T$3:T$501,MATCH(ROW()-2,종합!$AC$3:$AC$501,0))&amp;"","")</f>
        <v>010-8998-4507</v>
      </c>
      <c r="U61" s="21" t="str">
        <f aca="false">IFERROR(INDEX(종합!U$3:U$501,MATCH(ROW()-2,종합!$AC$3:$AC$501,0))&amp;"","")</f>
        <v>함재식</v>
      </c>
      <c r="V61" s="21" t="str">
        <f aca="false">IFERROR(INDEX(종합!V$3:V$501,MATCH(ROW()-2,종합!$AC$3:$AC$501,0))&amp;"","")</f>
        <v>AI사업팀</v>
      </c>
      <c r="W61" s="21" t="str">
        <f aca="false">IFERROR(INDEX(종합!W$3:W$501,MATCH(ROW()-2,종합!$AC$3:$AC$501,0))&amp;"","")</f>
        <v>매니저</v>
      </c>
      <c r="X61" s="21" t="str">
        <f aca="false">IFERROR(INDEX(종합!X$3:X$501,MATCH(ROW()-2,종합!$AC$3:$AC$501,0))&amp;"","")</f>
        <v>010-3066-4604</v>
      </c>
      <c r="Y61" s="21" t="str">
        <f aca="false">IFERROR(INDEX(종합!Y$3:Y$501,MATCH(ROW()-2,종합!$AC$3:$AC$501,0))&amp;"","")</f>
        <v>jsham@laonroad.com</v>
      </c>
      <c r="Z61" s="21" t="str">
        <f aca="false">IFERROR(INDEX(종합!Z$3:Z$501,MATCH(ROW()-2,종합!$AC$3:$AC$501,0))&amp;"","")</f>
        <v>010-3066-4604</v>
      </c>
    </row>
    <row r="62" customFormat="false" ht="47.25" hidden="false" customHeight="true" outlineLevel="0" collapsed="false">
      <c r="A62" s="18" t="n">
        <f aca="false">IF(B62="","",ROW()-2)</f>
        <v>60</v>
      </c>
      <c r="B62" s="18" t="str">
        <f aca="false">IFERROR(INDEX(종합!B$3:B$501,MATCH(ROW()-2,종합!$AC$3:$AC$501,0))&amp;"","")</f>
        <v>퍼스널에이아이 주식회사</v>
      </c>
      <c r="C62" s="18" t="str">
        <f aca="false">IFERROR(INDEX(종합!C$3:C$501,MATCH(ROW()-2,종합!$AC$3:$AC$501,0))&amp;"","")</f>
        <v/>
      </c>
      <c r="D62" s="18" t="str">
        <f aca="false">IFERROR(INDEX(종합!D$3:D$501,MATCH(ROW()-2,종합!$AC$3:$AC$501,0))&amp;"","")</f>
        <v>O</v>
      </c>
      <c r="E62" s="18" t="str">
        <f aca="false">IFERROR(INDEX(종합!E$3:E$501,MATCH(ROW()-2,종합!$AC$3:$AC$501,0))&amp;"","")</f>
        <v/>
      </c>
      <c r="F62" s="18" t="str">
        <f aca="false">IFERROR(INDEX(종합!F$3:F$501,MATCH(ROW()-2,종합!$AC$3:$AC$501,0))&amp;"","")</f>
        <v/>
      </c>
      <c r="G62" s="18" t="str">
        <f aca="false">IFERROR(INDEX(종합!G$3:G$501,MATCH(ROW()-2,종합!$AC$3:$AC$501,0))&amp;"","")</f>
        <v>중소기업</v>
      </c>
      <c r="H62" s="21" t="str">
        <f aca="false">IFERROR(INDEX(종합!H$3:H$501,MATCH(ROW()-2,종합!$AC$3:$AC$501,0))&amp;"","")</f>
        <v>889-87-01698</v>
      </c>
      <c r="I62" s="21" t="str">
        <f aca="false">IFERROR(INDEX(종합!I$3:I$501,MATCH(ROW()-2,종합!$AC$3:$AC$501,0))&amp;"","")</f>
        <v>이재영</v>
      </c>
      <c r="J62" s="21" t="str">
        <f aca="false">IFERROR(INDEX(종합!J$3:J$501,MATCH(ROW()-2,종합!$AC$3:$AC$501,0))&amp;"","")</f>
        <v>02-2038-2511</v>
      </c>
      <c r="K62" s="21" t="str">
        <f aca="false">IFERROR(INDEX(종합!K$3:K$501,MATCH(ROW()-2,종합!$AC$3:$AC$501,0))&amp;"","")</f>
        <v>www.personalai.so</v>
      </c>
      <c r="L62" s="21" t="str">
        <f aca="false">IFERROR(INDEX(종합!L$3:L$501,MATCH(ROW()-2,종합!$AC$3:$AC$501,0))&amp;"","")</f>
        <v>chungampark@personalai.so</v>
      </c>
      <c r="M62" s="21" t="str">
        <f aca="false">IFERROR(INDEX(종합!M$3:M$501,MATCH(ROW()-2,종합!$AC$3:$AC$501,0))&amp;"","")</f>
        <v>서울특별시 송파구 중대로 135, 서관 10층 1003호 (IT벤처타워)</v>
      </c>
      <c r="N62" s="25" t="str">
        <f aca="false">IFERROR(INDEX(종합!N$3:N$501,MATCH(ROW()-2,종합!$AC$3:$AC$501,0))&amp;"","")</f>
        <v>마이디 : 온디바이스 연합학습 기반으로 데이터 유출 없이 초개인화 인공지능 서비스를 구현하는 통합 마이데이터 플랫폼</v>
      </c>
      <c r="O62" s="21" t="str">
        <f aca="false">IFERROR(INDEX(종합!O$3:O$501,MATCH(ROW()-2,종합!$AC$3:$AC$501,0))&amp;"","")</f>
        <v>이재영</v>
      </c>
      <c r="P62" s="21" t="str">
        <f aca="false">IFERROR(INDEX(종합!P$3:P$501,MATCH(ROW()-2,종합!$AC$3:$AC$501,0))&amp;"","")</f>
        <v>CEO</v>
      </c>
      <c r="Q62" s="21" t="str">
        <f aca="false">IFERROR(INDEX(종합!Q$3:Q$501,MATCH(ROW()-2,종합!$AC$3:$AC$501,0))&amp;"","")</f>
        <v>대표이사</v>
      </c>
      <c r="R62" s="21" t="str">
        <f aca="false">IFERROR(INDEX(종합!R$3:R$501,MATCH(ROW()-2,종합!$AC$3:$AC$501,0))&amp;"","")</f>
        <v>010-2158-2235</v>
      </c>
      <c r="S62" s="21" t="str">
        <f aca="false">IFERROR(INDEX(종합!S$3:S$501,MATCH(ROW()-2,종합!$AC$3:$AC$501,0))&amp;"","")</f>
        <v>michael.lee@personalai.so</v>
      </c>
      <c r="T62" s="21" t="str">
        <f aca="false">IFERROR(INDEX(종합!T$3:T$501,MATCH(ROW()-2,종합!$AC$3:$AC$501,0))&amp;"","")</f>
        <v>010-6856-2235</v>
      </c>
      <c r="U62" s="21" t="str">
        <f aca="false">IFERROR(INDEX(종합!U$3:U$501,MATCH(ROW()-2,종합!$AC$3:$AC$501,0))&amp;"","")</f>
        <v>오정암</v>
      </c>
      <c r="V62" s="21" t="str">
        <f aca="false">IFERROR(INDEX(종합!V$3:V$501,MATCH(ROW()-2,종합!$AC$3:$AC$501,0))&amp;"","")</f>
        <v>경영기획실</v>
      </c>
      <c r="W62" s="21" t="str">
        <f aca="false">IFERROR(INDEX(종합!W$3:W$501,MATCH(ROW()-2,종합!$AC$3:$AC$501,0))&amp;"","")</f>
        <v>이사</v>
      </c>
      <c r="X62" s="21" t="str">
        <f aca="false">IFERROR(INDEX(종합!X$3:X$501,MATCH(ROW()-2,종합!$AC$3:$AC$501,0))&amp;"","")</f>
        <v>010-2158-2235</v>
      </c>
      <c r="Y62" s="21" t="str">
        <f aca="false">IFERROR(INDEX(종합!Y$3:Y$501,MATCH(ROW()-2,종합!$AC$3:$AC$501,0))&amp;"","")</f>
        <v>david@personalai.so</v>
      </c>
      <c r="Z62" s="21" t="str">
        <f aca="false">IFERROR(INDEX(종합!Z$3:Z$501,MATCH(ROW()-2,종합!$AC$3:$AC$501,0))&amp;"","")</f>
        <v>010-8905-5499</v>
      </c>
    </row>
    <row r="63" customFormat="false" ht="22.5" hidden="false" customHeight="true" outlineLevel="0" collapsed="false">
      <c r="A63" s="18" t="n">
        <f aca="false">IF(B63="","",ROW()-2)</f>
        <v>61</v>
      </c>
      <c r="B63" s="18" t="str">
        <f aca="false">IFERROR(INDEX(종합!B$3:B$501,MATCH(ROW()-2,종합!$AC$3:$AC$501,0))&amp;"","")</f>
        <v>(주)에이알테크놀로지</v>
      </c>
      <c r="C63" s="18" t="str">
        <f aca="false">IFERROR(INDEX(종합!C$3:C$501,MATCH(ROW()-2,종합!$AC$3:$AC$501,0))&amp;"","")</f>
        <v/>
      </c>
      <c r="D63" s="18" t="str">
        <f aca="false">IFERROR(INDEX(종합!D$3:D$501,MATCH(ROW()-2,종합!$AC$3:$AC$501,0))&amp;"","")</f>
        <v>O</v>
      </c>
      <c r="E63" s="18" t="str">
        <f aca="false">IFERROR(INDEX(종합!E$3:E$501,MATCH(ROW()-2,종합!$AC$3:$AC$501,0))&amp;"","")</f>
        <v/>
      </c>
      <c r="F63" s="18" t="str">
        <f aca="false">IFERROR(INDEX(종합!F$3:F$501,MATCH(ROW()-2,종합!$AC$3:$AC$501,0))&amp;"","")</f>
        <v/>
      </c>
      <c r="G63" s="18" t="str">
        <f aca="false">IFERROR(INDEX(종합!G$3:G$501,MATCH(ROW()-2,종합!$AC$3:$AC$501,0))&amp;"","")</f>
        <v>중소기업</v>
      </c>
      <c r="H63" s="21" t="str">
        <f aca="false">IFERROR(INDEX(종합!H$3:H$501,MATCH(ROW()-2,종합!$AC$3:$AC$501,0))&amp;"","")</f>
        <v>314-81-32827</v>
      </c>
      <c r="I63" s="21" t="str">
        <f aca="false">IFERROR(INDEX(종합!I$3:I$501,MATCH(ROW()-2,종합!$AC$3:$AC$501,0))&amp;"","")</f>
        <v>박광량</v>
      </c>
      <c r="J63" s="21" t="str">
        <f aca="false">IFERROR(INDEX(종합!J$3:J$501,MATCH(ROW()-2,종합!$AC$3:$AC$501,0))&amp;"","")</f>
        <v>042-863-6030</v>
      </c>
      <c r="K63" s="21" t="str">
        <f aca="false">IFERROR(INDEX(종합!K$3:K$501,MATCH(ROW()-2,종합!$AC$3:$AC$501,0))&amp;"","")</f>
        <v>www.i-art.co.kr</v>
      </c>
      <c r="L63" s="21" t="str">
        <f aca="false">IFERROR(INDEX(종합!L$3:L$501,MATCH(ROW()-2,종합!$AC$3:$AC$501,0))&amp;"","")</f>
        <v>hnyear65@gmail.com</v>
      </c>
      <c r="M63" s="21" t="str">
        <f aca="false">IFERROR(INDEX(종합!M$3:M$501,MATCH(ROW()-2,종합!$AC$3:$AC$501,0))&amp;"","")</f>
        <v>대전시 서구 한밭대로 745, 12층 에이알테크놀로지</v>
      </c>
      <c r="N63" s="25" t="str">
        <f aca="false">IFERROR(INDEX(종합!N$3:N$501,MATCH(ROW()-2,종합!$AC$3:$AC$501,0))&amp;"","")</f>
        <v>응용소프트웨어 개발 </v>
      </c>
      <c r="O63" s="21" t="str">
        <f aca="false">IFERROR(INDEX(종합!O$3:O$501,MATCH(ROW()-2,종합!$AC$3:$AC$501,0))&amp;"","")</f>
        <v>이수열</v>
      </c>
      <c r="P63" s="21" t="str">
        <f aca="false">IFERROR(INDEX(종합!P$3:P$501,MATCH(ROW()-2,종합!$AC$3:$AC$501,0))&amp;"","")</f>
        <v>기업부설연구소</v>
      </c>
      <c r="Q63" s="21" t="str">
        <f aca="false">IFERROR(INDEX(종합!Q$3:Q$501,MATCH(ROW()-2,종합!$AC$3:$AC$501,0))&amp;"","")</f>
        <v>연구소장</v>
      </c>
      <c r="R63" s="21" t="str">
        <f aca="false">IFERROR(INDEX(종합!R$3:R$501,MATCH(ROW()-2,종합!$AC$3:$AC$501,0))&amp;"","")</f>
        <v>042-863-6030</v>
      </c>
      <c r="S63" s="21" t="str">
        <f aca="false">IFERROR(INDEX(종합!S$3:S$501,MATCH(ROW()-2,종합!$AC$3:$AC$501,0))&amp;"","")</f>
        <v>joseph@i-art.co.kr</v>
      </c>
      <c r="T63" s="21" t="str">
        <f aca="false">IFERROR(INDEX(종합!T$3:T$501,MATCH(ROW()-2,종합!$AC$3:$AC$501,0))&amp;"","")</f>
        <v>010-4417-4155</v>
      </c>
      <c r="U63" s="21" t="str">
        <f aca="false">IFERROR(INDEX(종합!U$3:U$501,MATCH(ROW()-2,종합!$AC$3:$AC$501,0))&amp;"","")</f>
        <v>유지호</v>
      </c>
      <c r="V63" s="21" t="str">
        <f aca="false">IFERROR(INDEX(종합!V$3:V$501,MATCH(ROW()-2,종합!$AC$3:$AC$501,0))&amp;"","")</f>
        <v>개발</v>
      </c>
      <c r="W63" s="21" t="str">
        <f aca="false">IFERROR(INDEX(종합!W$3:W$501,MATCH(ROW()-2,종합!$AC$3:$AC$501,0))&amp;"","")</f>
        <v>차장</v>
      </c>
      <c r="X63" s="21" t="str">
        <f aca="false">IFERROR(INDEX(종합!X$3:X$501,MATCH(ROW()-2,종합!$AC$3:$AC$501,0))&amp;"","")</f>
        <v>042-863-6030</v>
      </c>
      <c r="Y63" s="21" t="str">
        <f aca="false">IFERROR(INDEX(종합!Y$3:Y$501,MATCH(ROW()-2,종합!$AC$3:$AC$501,0))&amp;"","")</f>
        <v>yjh8903@i-art.co.kr</v>
      </c>
      <c r="Z63" s="21" t="str">
        <f aca="false">IFERROR(INDEX(종합!Z$3:Z$501,MATCH(ROW()-2,종합!$AC$3:$AC$501,0))&amp;"","")</f>
        <v>010-3435-8903</v>
      </c>
    </row>
    <row r="64" customFormat="false" ht="33.75" hidden="false" customHeight="true" outlineLevel="0" collapsed="false">
      <c r="A64" s="18" t="n">
        <f aca="false">IF(B64="","",ROW()-2)</f>
        <v>62</v>
      </c>
      <c r="B64" s="18" t="str">
        <f aca="false">IFERROR(INDEX(종합!B$3:B$501,MATCH(ROW()-2,종합!$AC$3:$AC$501,0))&amp;"","")</f>
        <v>(주)인텔리빅스</v>
      </c>
      <c r="C64" s="18" t="str">
        <f aca="false">IFERROR(INDEX(종합!C$3:C$501,MATCH(ROW()-2,종합!$AC$3:$AC$501,0))&amp;"","")</f>
        <v/>
      </c>
      <c r="D64" s="18" t="str">
        <f aca="false">IFERROR(INDEX(종합!D$3:D$501,MATCH(ROW()-2,종합!$AC$3:$AC$501,0))&amp;"","")</f>
        <v>O</v>
      </c>
      <c r="E64" s="18" t="str">
        <f aca="false">IFERROR(INDEX(종합!E$3:E$501,MATCH(ROW()-2,종합!$AC$3:$AC$501,0))&amp;"","")</f>
        <v/>
      </c>
      <c r="F64" s="18" t="str">
        <f aca="false">IFERROR(INDEX(종합!F$3:F$501,MATCH(ROW()-2,종합!$AC$3:$AC$501,0))&amp;"","")</f>
        <v/>
      </c>
      <c r="G64" s="18" t="str">
        <f aca="false">IFERROR(INDEX(종합!G$3:G$501,MATCH(ROW()-2,종합!$AC$3:$AC$501,0))&amp;"","")</f>
        <v>중소기업</v>
      </c>
      <c r="H64" s="21" t="str">
        <f aca="false">IFERROR(INDEX(종합!H$3:H$501,MATCH(ROW()-2,종합!$AC$3:$AC$501,0))&amp;"","")</f>
        <v>114-81-99927</v>
      </c>
      <c r="I64" s="21" t="str">
        <f aca="false">IFERROR(INDEX(종합!I$3:I$501,MATCH(ROW()-2,종합!$AC$3:$AC$501,0))&amp;"","")</f>
        <v>장정훈,최은수</v>
      </c>
      <c r="J64" s="21" t="str">
        <f aca="false">IFERROR(INDEX(종합!J$3:J$501,MATCH(ROW()-2,종합!$AC$3:$AC$501,0))&amp;"","")</f>
        <v>02-581-3883</v>
      </c>
      <c r="K64" s="21" t="str">
        <f aca="false">IFERROR(INDEX(종합!K$3:K$501,MATCH(ROW()-2,종합!$AC$3:$AC$501,0))&amp;"","")</f>
        <v>www.intellivix.ai</v>
      </c>
      <c r="L64" s="21" t="str">
        <f aca="false">IFERROR(INDEX(종합!L$3:L$501,MATCH(ROW()-2,종합!$AC$3:$AC$501,0))&amp;"","")</f>
        <v>hyunji5340@gmail.com</v>
      </c>
      <c r="M64" s="21" t="str">
        <f aca="false">IFERROR(INDEX(종합!M$3:M$501,MATCH(ROW()-2,종합!$AC$3:$AC$501,0))&amp;"","")</f>
        <v>서울시 서초구 효령로 34길4, 6층</v>
      </c>
      <c r="N64" s="25" t="str">
        <f aca="false">IFERROR(INDEX(종합!N$3:N$501,MATCH(ROW()-2,종합!$AC$3:$AC$501,0))&amp;"","")</f>
        <v>Vision AI 영상분석 SW솔루션, 생성형AI기반 영상관제 플랫폼, GenAMS, VIXallcam, VIXONE 등</v>
      </c>
      <c r="O64" s="21" t="str">
        <f aca="false">IFERROR(INDEX(종합!O$3:O$501,MATCH(ROW()-2,종합!$AC$3:$AC$501,0))&amp;"","")</f>
        <v>최은수</v>
      </c>
      <c r="P64" s="21" t="str">
        <f aca="false">IFERROR(INDEX(종합!P$3:P$501,MATCH(ROW()-2,종합!$AC$3:$AC$501,0))&amp;"","")</f>
        <v>-</v>
      </c>
      <c r="Q64" s="21" t="str">
        <f aca="false">IFERROR(INDEX(종합!Q$3:Q$501,MATCH(ROW()-2,종합!$AC$3:$AC$501,0))&amp;"","")</f>
        <v>CEO</v>
      </c>
      <c r="R64" s="21" t="str">
        <f aca="false">IFERROR(INDEX(종합!R$3:R$501,MATCH(ROW()-2,종합!$AC$3:$AC$501,0))&amp;"","")</f>
        <v>02-581-3883</v>
      </c>
      <c r="S64" s="21" t="str">
        <f aca="false">IFERROR(INDEX(종합!S$3:S$501,MATCH(ROW()-2,종합!$AC$3:$AC$501,0))&amp;"","")</f>
        <v>ceo@intellivix.ai</v>
      </c>
      <c r="T64" s="21" t="str">
        <f aca="false">IFERROR(INDEX(종합!T$3:T$501,MATCH(ROW()-2,종합!$AC$3:$AC$501,0))&amp;"","")</f>
        <v>010-5273-0209</v>
      </c>
      <c r="U64" s="21" t="str">
        <f aca="false">IFERROR(INDEX(종합!U$3:U$501,MATCH(ROW()-2,종합!$AC$3:$AC$501,0))&amp;"","")</f>
        <v>최준호</v>
      </c>
      <c r="V64" s="21" t="str">
        <f aca="false">IFERROR(INDEX(종합!V$3:V$501,MATCH(ROW()-2,종합!$AC$3:$AC$501,0))&amp;"","")</f>
        <v>AI연구소</v>
      </c>
      <c r="W64" s="21" t="str">
        <f aca="false">IFERROR(INDEX(종합!W$3:W$501,MATCH(ROW()-2,종합!$AC$3:$AC$501,0))&amp;"","")</f>
        <v>연구소장</v>
      </c>
      <c r="X64" s="21" t="str">
        <f aca="false">IFERROR(INDEX(종합!X$3:X$501,MATCH(ROW()-2,종합!$AC$3:$AC$501,0))&amp;"","")</f>
        <v>02-581-3883</v>
      </c>
      <c r="Y64" s="21" t="str">
        <f aca="false">IFERROR(INDEX(종합!Y$3:Y$501,MATCH(ROW()-2,종합!$AC$3:$AC$501,0))&amp;"","")</f>
        <v>jhchoi@intellivix.ai</v>
      </c>
      <c r="Z64" s="21" t="str">
        <f aca="false">IFERROR(INDEX(종합!Z$3:Z$501,MATCH(ROW()-2,종합!$AC$3:$AC$501,0))&amp;"","")</f>
        <v>010-4763-9808</v>
      </c>
    </row>
    <row r="65" customFormat="false" ht="22.5" hidden="false" customHeight="true" outlineLevel="0" collapsed="false">
      <c r="A65" s="18" t="n">
        <f aca="false">IF(B65="","",ROW()-2)</f>
        <v>63</v>
      </c>
      <c r="B65" s="18" t="str">
        <f aca="false">IFERROR(INDEX(종합!B$3:B$501,MATCH(ROW()-2,종합!$AC$3:$AC$501,0))&amp;"","")</f>
        <v>메타빌드(주)</v>
      </c>
      <c r="C65" s="18" t="str">
        <f aca="false">IFERROR(INDEX(종합!C$3:C$501,MATCH(ROW()-2,종합!$AC$3:$AC$501,0))&amp;"","")</f>
        <v/>
      </c>
      <c r="D65" s="18" t="str">
        <f aca="false">IFERROR(INDEX(종합!D$3:D$501,MATCH(ROW()-2,종합!$AC$3:$AC$501,0))&amp;"","")</f>
        <v>O</v>
      </c>
      <c r="E65" s="18" t="str">
        <f aca="false">IFERROR(INDEX(종합!E$3:E$501,MATCH(ROW()-2,종합!$AC$3:$AC$501,0))&amp;"","")</f>
        <v/>
      </c>
      <c r="F65" s="18" t="str">
        <f aca="false">IFERROR(INDEX(종합!F$3:F$501,MATCH(ROW()-2,종합!$AC$3:$AC$501,0))&amp;"","")</f>
        <v/>
      </c>
      <c r="G65" s="18" t="str">
        <f aca="false">IFERROR(INDEX(종합!G$3:G$501,MATCH(ROW()-2,종합!$AC$3:$AC$501,0))&amp;"","")</f>
        <v>중소기업</v>
      </c>
      <c r="H65" s="21" t="str">
        <f aca="false">IFERROR(INDEX(종합!H$3:H$501,MATCH(ROW()-2,종합!$AC$3:$AC$501,0))&amp;"","")</f>
        <v>214-86-27387</v>
      </c>
      <c r="I65" s="21" t="str">
        <f aca="false">IFERROR(INDEX(종합!I$3:I$501,MATCH(ROW()-2,종합!$AC$3:$AC$501,0))&amp;"","")</f>
        <v>조풍연</v>
      </c>
      <c r="J65" s="21" t="str">
        <f aca="false">IFERROR(INDEX(종합!J$3:J$501,MATCH(ROW()-2,종합!$AC$3:$AC$501,0))&amp;"","")</f>
        <v>02-598-3327</v>
      </c>
      <c r="K65" s="21" t="str">
        <f aca="false">IFERROR(INDEX(종합!K$3:K$501,MATCH(ROW()-2,종합!$AC$3:$AC$501,0))&amp;"","")</f>
        <v>https://www.metabuild.co.kr</v>
      </c>
      <c r="L65" s="21" t="str">
        <f aca="false">IFERROR(INDEX(종합!L$3:L$501,MATCH(ROW()-2,종합!$AC$3:$AC$501,0))&amp;"","")</f>
        <v>kangtak.oh@gmail.com</v>
      </c>
      <c r="M65" s="21" t="str">
        <f aca="false">IFERROR(INDEX(종합!M$3:M$501,MATCH(ROW()-2,종합!$AC$3:$AC$501,0))&amp;"","")</f>
        <v>서울특별시 서초구 서초중앙로 62 메타빌드 빌딩</v>
      </c>
      <c r="N65" s="25" t="str">
        <f aca="false">IFERROR(INDEX(종합!N$3:N$501,MATCH(ROW()-2,종합!$AC$3:$AC$501,0))&amp;"","")</f>
        <v>AX플랫폼, AI연계미들웨어, 디지턹트윈/휴먼</v>
      </c>
      <c r="O65" s="21" t="str">
        <f aca="false">IFERROR(INDEX(종합!O$3:O$501,MATCH(ROW()-2,종합!$AC$3:$AC$501,0))&amp;"","")</f>
        <v>오강탁</v>
      </c>
      <c r="P65" s="21" t="str">
        <f aca="false">IFERROR(INDEX(종합!P$3:P$501,MATCH(ROW()-2,종합!$AC$3:$AC$501,0))&amp;"","")</f>
        <v>사업전략/제안본부</v>
      </c>
      <c r="Q65" s="21" t="str">
        <f aca="false">IFERROR(INDEX(종합!Q$3:Q$501,MATCH(ROW()-2,종합!$AC$3:$AC$501,0))&amp;"","")</f>
        <v>전무/총괄 본부장</v>
      </c>
      <c r="R65" s="21" t="str">
        <f aca="false">IFERROR(INDEX(종합!R$3:R$501,MATCH(ROW()-2,종합!$AC$3:$AC$501,0))&amp;"","")</f>
        <v>010-2742-5050</v>
      </c>
      <c r="S65" s="21" t="str">
        <f aca="false">IFERROR(INDEX(종합!S$3:S$501,MATCH(ROW()-2,종합!$AC$3:$AC$501,0))&amp;"","")</f>
        <v>okt@metabuild.co.kr</v>
      </c>
      <c r="T65" s="21" t="str">
        <f aca="false">IFERROR(INDEX(종합!T$3:T$501,MATCH(ROW()-2,종합!$AC$3:$AC$501,0))&amp;"","")</f>
        <v>010-2742-5050</v>
      </c>
      <c r="U65" s="21" t="str">
        <f aca="false">IFERROR(INDEX(종합!U$3:U$501,MATCH(ROW()-2,종합!$AC$3:$AC$501,0))&amp;"","")</f>
        <v>이지선</v>
      </c>
      <c r="V65" s="21" t="str">
        <f aca="false">IFERROR(INDEX(종합!V$3:V$501,MATCH(ROW()-2,종합!$AC$3:$AC$501,0))&amp;"","")</f>
        <v>사업전략/제안본부</v>
      </c>
      <c r="W65" s="21" t="str">
        <f aca="false">IFERROR(INDEX(종합!W$3:W$501,MATCH(ROW()-2,종합!$AC$3:$AC$501,0))&amp;"","")</f>
        <v>매니저/팀장</v>
      </c>
      <c r="X65" s="21" t="str">
        <f aca="false">IFERROR(INDEX(종합!X$3:X$501,MATCH(ROW()-2,종합!$AC$3:$AC$501,0))&amp;"","")</f>
        <v>010-5155-8299</v>
      </c>
      <c r="Y65" s="21" t="str">
        <f aca="false">IFERROR(INDEX(종합!Y$3:Y$501,MATCH(ROW()-2,종합!$AC$3:$AC$501,0))&amp;"","")</f>
        <v>jisun7lee@metabuild.co.kr</v>
      </c>
      <c r="Z65" s="21" t="str">
        <f aca="false">IFERROR(INDEX(종합!Z$3:Z$501,MATCH(ROW()-2,종합!$AC$3:$AC$501,0))&amp;"","")</f>
        <v>010-5155-8299</v>
      </c>
    </row>
    <row r="66" customFormat="false" ht="22.5" hidden="false" customHeight="true" outlineLevel="0" collapsed="false">
      <c r="A66" s="18" t="n">
        <f aca="false">IF(B66="","",ROW()-2)</f>
        <v>64</v>
      </c>
      <c r="B66" s="18" t="str">
        <f aca="false">IFERROR(INDEX(종합!B$3:B$501,MATCH(ROW()-2,종합!$AC$3:$AC$501,0))&amp;"","")</f>
        <v>(주)비인텍</v>
      </c>
      <c r="C66" s="18" t="str">
        <f aca="false">IFERROR(INDEX(종합!C$3:C$501,MATCH(ROW()-2,종합!$AC$3:$AC$501,0))&amp;"","")</f>
        <v/>
      </c>
      <c r="D66" s="18" t="str">
        <f aca="false">IFERROR(INDEX(종합!D$3:D$501,MATCH(ROW()-2,종합!$AC$3:$AC$501,0))&amp;"","")</f>
        <v>O</v>
      </c>
      <c r="E66" s="18" t="str">
        <f aca="false">IFERROR(INDEX(종합!E$3:E$501,MATCH(ROW()-2,종합!$AC$3:$AC$501,0))&amp;"","")</f>
        <v/>
      </c>
      <c r="F66" s="18" t="str">
        <f aca="false">IFERROR(INDEX(종합!F$3:F$501,MATCH(ROW()-2,종합!$AC$3:$AC$501,0))&amp;"","")</f>
        <v/>
      </c>
      <c r="G66" s="18" t="str">
        <f aca="false">IFERROR(INDEX(종합!G$3:G$501,MATCH(ROW()-2,종합!$AC$3:$AC$501,0))&amp;"","")</f>
        <v>중소기업</v>
      </c>
      <c r="H66" s="21" t="str">
        <f aca="false">IFERROR(INDEX(종합!H$3:H$501,MATCH(ROW()-2,종합!$AC$3:$AC$501,0))&amp;"","")</f>
        <v>211-87-29587</v>
      </c>
      <c r="I66" s="21" t="str">
        <f aca="false">IFERROR(INDEX(종합!I$3:I$501,MATCH(ROW()-2,종합!$AC$3:$AC$501,0))&amp;"","")</f>
        <v>장성학</v>
      </c>
      <c r="J66" s="21" t="str">
        <f aca="false">IFERROR(INDEX(종합!J$3:J$501,MATCH(ROW()-2,종합!$AC$3:$AC$501,0))&amp;"","")</f>
        <v>02-2109-6450</v>
      </c>
      <c r="K66" s="21" t="str">
        <f aca="false">IFERROR(INDEX(종합!K$3:K$501,MATCH(ROW()-2,종합!$AC$3:$AC$501,0))&amp;"","")</f>
        <v>https://www.beintech.co.kr/</v>
      </c>
      <c r="L66" s="21" t="str">
        <f aca="false">IFERROR(INDEX(종합!L$3:L$501,MATCH(ROW()-2,종합!$AC$3:$AC$501,0))&amp;"","")</f>
        <v>dudal3144@gmail.com</v>
      </c>
      <c r="M66" s="21" t="str">
        <f aca="false">IFERROR(INDEX(종합!M$3:M$501,MATCH(ROW()-2,종합!$AC$3:$AC$501,0))&amp;"","")</f>
        <v>서울 구로구 디지털로 273 에이스트윈타원 2차 1301호</v>
      </c>
      <c r="N66" s="25" t="str">
        <f aca="false">IFERROR(INDEX(종합!N$3:N$501,MATCH(ROW()-2,종합!$AC$3:$AC$501,0))&amp;"","")</f>
        <v>법제 업무 도메인, 솔루션 바로룰</v>
      </c>
      <c r="O66" s="21" t="str">
        <f aca="false">IFERROR(INDEX(종합!O$3:O$501,MATCH(ROW()-2,종합!$AC$3:$AC$501,0))&amp;"","")</f>
        <v>송일형</v>
      </c>
      <c r="P66" s="21" t="str">
        <f aca="false">IFERROR(INDEX(종합!P$3:P$501,MATCH(ROW()-2,종합!$AC$3:$AC$501,0))&amp;"","")</f>
        <v>경영지원부</v>
      </c>
      <c r="Q66" s="21" t="str">
        <f aca="false">IFERROR(INDEX(종합!Q$3:Q$501,MATCH(ROW()-2,종합!$AC$3:$AC$501,0))&amp;"","")</f>
        <v>전무</v>
      </c>
      <c r="R66" s="21" t="str">
        <f aca="false">IFERROR(INDEX(종합!R$3:R$501,MATCH(ROW()-2,종합!$AC$3:$AC$501,0))&amp;"","")</f>
        <v>010-5273-1469</v>
      </c>
      <c r="S66" s="21" t="str">
        <f aca="false">IFERROR(INDEX(종합!S$3:S$501,MATCH(ROW()-2,종합!$AC$3:$AC$501,0))&amp;"","")</f>
        <v>ihsong@beintech.co.kr</v>
      </c>
      <c r="T66" s="21" t="str">
        <f aca="false">IFERROR(INDEX(종합!T$3:T$501,MATCH(ROW()-2,종합!$AC$3:$AC$501,0))&amp;"","")</f>
        <v>010-5273-1469</v>
      </c>
      <c r="U66" s="21" t="str">
        <f aca="false">IFERROR(INDEX(종합!U$3:U$501,MATCH(ROW()-2,종합!$AC$3:$AC$501,0))&amp;"","")</f>
        <v>김영미</v>
      </c>
      <c r="V66" s="21" t="str">
        <f aca="false">IFERROR(INDEX(종합!V$3:V$501,MATCH(ROW()-2,종합!$AC$3:$AC$501,0))&amp;"","")</f>
        <v>사업개발팀</v>
      </c>
      <c r="W66" s="21" t="str">
        <f aca="false">IFERROR(INDEX(종합!W$3:W$501,MATCH(ROW()-2,종합!$AC$3:$AC$501,0))&amp;"","")</f>
        <v>부장</v>
      </c>
      <c r="X66" s="21" t="str">
        <f aca="false">IFERROR(INDEX(종합!X$3:X$501,MATCH(ROW()-2,종합!$AC$3:$AC$501,0))&amp;"","")</f>
        <v>010-9316-3144</v>
      </c>
      <c r="Y66" s="21" t="str">
        <f aca="false">IFERROR(INDEX(종합!Y$3:Y$501,MATCH(ROW()-2,종합!$AC$3:$AC$501,0))&amp;"","")</f>
        <v>ymkim@beintech.co.kr</v>
      </c>
      <c r="Z66" s="21" t="str">
        <f aca="false">IFERROR(INDEX(종합!Z$3:Z$501,MATCH(ROW()-2,종합!$AC$3:$AC$501,0))&amp;"","")</f>
        <v>010-9316-3144</v>
      </c>
    </row>
    <row r="67" customFormat="false" ht="47.25" hidden="false" customHeight="true" outlineLevel="0" collapsed="false">
      <c r="A67" s="18" t="n">
        <f aca="false">IF(B67="","",ROW()-2)</f>
        <v>65</v>
      </c>
      <c r="B67" s="18" t="str">
        <f aca="false">IFERROR(INDEX(종합!B$3:B$501,MATCH(ROW()-2,종합!$AC$3:$AC$501,0))&amp;"","")</f>
        <v>(주)데이콘인피니티</v>
      </c>
      <c r="C67" s="18" t="str">
        <f aca="false">IFERROR(INDEX(종합!C$3:C$501,MATCH(ROW()-2,종합!$AC$3:$AC$501,0))&amp;"","")</f>
        <v/>
      </c>
      <c r="D67" s="18" t="str">
        <f aca="false">IFERROR(INDEX(종합!D$3:D$501,MATCH(ROW()-2,종합!$AC$3:$AC$501,0))&amp;"","")</f>
        <v>O</v>
      </c>
      <c r="E67" s="18" t="str">
        <f aca="false">IFERROR(INDEX(종합!E$3:E$501,MATCH(ROW()-2,종합!$AC$3:$AC$501,0))&amp;"","")</f>
        <v/>
      </c>
      <c r="F67" s="18" t="str">
        <f aca="false">IFERROR(INDEX(종합!F$3:F$501,MATCH(ROW()-2,종합!$AC$3:$AC$501,0))&amp;"","")</f>
        <v/>
      </c>
      <c r="G67" s="18" t="str">
        <f aca="false">IFERROR(INDEX(종합!G$3:G$501,MATCH(ROW()-2,종합!$AC$3:$AC$501,0))&amp;"","")</f>
        <v>중소기업</v>
      </c>
      <c r="H67" s="21" t="str">
        <f aca="false">IFERROR(INDEX(종합!H$3:H$501,MATCH(ROW()-2,종합!$AC$3:$AC$501,0))&amp;"","")</f>
        <v>803-81-01557</v>
      </c>
      <c r="I67" s="21" t="str">
        <f aca="false">IFERROR(INDEX(종합!I$3:I$501,MATCH(ROW()-2,종합!$AC$3:$AC$501,0))&amp;"","")</f>
        <v>이장호</v>
      </c>
      <c r="J67" s="21" t="str">
        <f aca="false">IFERROR(INDEX(종합!J$3:J$501,MATCH(ROW()-2,종합!$AC$3:$AC$501,0))&amp;"","")</f>
        <v>02-780-1813</v>
      </c>
      <c r="K67" s="21" t="str">
        <f aca="false">IFERROR(INDEX(종합!K$3:K$501,MATCH(ROW()-2,종합!$AC$3:$AC$501,0))&amp;"","")</f>
        <v>www.dacon.kr</v>
      </c>
      <c r="L67" s="21" t="str">
        <f aca="false">IFERROR(INDEX(종합!L$3:L$501,MATCH(ROW()-2,종합!$AC$3:$AC$501,0))&amp;"","")</f>
        <v>daconinfinity@gmail.com</v>
      </c>
      <c r="M67" s="21" t="str">
        <f aca="false">IFERROR(INDEX(종합!M$3:M$501,MATCH(ROW()-2,종합!$AC$3:$AC$501,0))&amp;"","")</f>
        <v>서울특별시 영등포구 문래북로 116, 703,704호</v>
      </c>
      <c r="N67" s="25" t="str">
        <f aca="false">IFERROR(INDEX(종합!N$3:N$501,MATCH(ROW()-2,종합!$AC$3:$AC$501,0))&amp;"","")</f>
        <v>데이터 생명주기 기반 AI·데이터 플랫폼(Dflex,Mflex,Aflex)과 데이터 통합·거버넌스·AI분석·예측·추천 기술을 기반으로 빅데이터·AI 플랫폼 구축 서비스를 제공</v>
      </c>
      <c r="O67" s="21" t="str">
        <f aca="false">IFERROR(INDEX(종합!O$3:O$501,MATCH(ROW()-2,종합!$AC$3:$AC$501,0))&amp;"","")</f>
        <v>조현오</v>
      </c>
      <c r="P67" s="21" t="str">
        <f aca="false">IFERROR(INDEX(종합!P$3:P$501,MATCH(ROW()-2,종합!$AC$3:$AC$501,0))&amp;"","")</f>
        <v>솔루션본부</v>
      </c>
      <c r="Q67" s="21" t="str">
        <f aca="false">IFERROR(INDEX(종합!Q$3:Q$501,MATCH(ROW()-2,종합!$AC$3:$AC$501,0))&amp;"","")</f>
        <v>이사</v>
      </c>
      <c r="R67" s="21" t="str">
        <f aca="false">IFERROR(INDEX(종합!R$3:R$501,MATCH(ROW()-2,종합!$AC$3:$AC$501,0))&amp;"","")</f>
        <v>02-780-1813</v>
      </c>
      <c r="S67" s="21" t="str">
        <f aca="false">IFERROR(INDEX(종합!S$3:S$501,MATCH(ROW()-2,종합!$AC$3:$AC$501,0))&amp;"","")</f>
        <v>mis@dacon.kr</v>
      </c>
      <c r="T67" s="21" t="str">
        <f aca="false">IFERROR(INDEX(종합!T$3:T$501,MATCH(ROW()-2,종합!$AC$3:$AC$501,0))&amp;"","")</f>
        <v>010-5521-5941</v>
      </c>
      <c r="U67" s="21" t="str">
        <f aca="false">IFERROR(INDEX(종합!U$3:U$501,MATCH(ROW()-2,종합!$AC$3:$AC$501,0))&amp;"","")</f>
        <v>이삼희</v>
      </c>
      <c r="V67" s="21" t="str">
        <f aca="false">IFERROR(INDEX(종합!V$3:V$501,MATCH(ROW()-2,종합!$AC$3:$AC$501,0))&amp;"","")</f>
        <v>솔루션본부</v>
      </c>
      <c r="W67" s="21" t="str">
        <f aca="false">IFERROR(INDEX(종합!W$3:W$501,MATCH(ROW()-2,종합!$AC$3:$AC$501,0))&amp;"","")</f>
        <v>선임</v>
      </c>
      <c r="X67" s="21" t="str">
        <f aca="false">IFERROR(INDEX(종합!X$3:X$501,MATCH(ROW()-2,종합!$AC$3:$AC$501,0))&amp;"","")</f>
        <v>02-780-1813</v>
      </c>
      <c r="Y67" s="21" t="str">
        <f aca="false">IFERROR(INDEX(종합!Y$3:Y$501,MATCH(ROW()-2,종합!$AC$3:$AC$501,0))&amp;"","")</f>
        <v>sh.lee@dacon.kr</v>
      </c>
      <c r="Z67" s="21" t="str">
        <f aca="false">IFERROR(INDEX(종합!Z$3:Z$501,MATCH(ROW()-2,종합!$AC$3:$AC$501,0))&amp;"","")</f>
        <v>010-8353-1932</v>
      </c>
    </row>
    <row r="68" customFormat="false" ht="22.5" hidden="false" customHeight="true" outlineLevel="0" collapsed="false">
      <c r="A68" s="18" t="n">
        <f aca="false">IF(B68="","",ROW()-2)</f>
        <v>66</v>
      </c>
      <c r="B68" s="18" t="str">
        <f aca="false">IFERROR(INDEX(종합!B$3:B$501,MATCH(ROW()-2,종합!$AC$3:$AC$501,0))&amp;"","")</f>
        <v>주식회사 매쓰에이아이</v>
      </c>
      <c r="C68" s="18" t="str">
        <f aca="false">IFERROR(INDEX(종합!C$3:C$501,MATCH(ROW()-2,종합!$AC$3:$AC$501,0))&amp;"","")</f>
        <v/>
      </c>
      <c r="D68" s="18" t="str">
        <f aca="false">IFERROR(INDEX(종합!D$3:D$501,MATCH(ROW()-2,종합!$AC$3:$AC$501,0))&amp;"","")</f>
        <v>O</v>
      </c>
      <c r="E68" s="18" t="str">
        <f aca="false">IFERROR(INDEX(종합!E$3:E$501,MATCH(ROW()-2,종합!$AC$3:$AC$501,0))&amp;"","")</f>
        <v/>
      </c>
      <c r="F68" s="18" t="str">
        <f aca="false">IFERROR(INDEX(종합!F$3:F$501,MATCH(ROW()-2,종합!$AC$3:$AC$501,0))&amp;"","")</f>
        <v/>
      </c>
      <c r="G68" s="18" t="str">
        <f aca="false">IFERROR(INDEX(종합!G$3:G$501,MATCH(ROW()-2,종합!$AC$3:$AC$501,0))&amp;"","")</f>
        <v>중소기업</v>
      </c>
      <c r="H68" s="21" t="str">
        <f aca="false">IFERROR(INDEX(종합!H$3:H$501,MATCH(ROW()-2,종합!$AC$3:$AC$501,0))&amp;"","")</f>
        <v>789-86-01654</v>
      </c>
      <c r="I68" s="21" t="str">
        <f aca="false">IFERROR(INDEX(종합!I$3:I$501,MATCH(ROW()-2,종합!$AC$3:$AC$501,0))&amp;"","")</f>
        <v>허준</v>
      </c>
      <c r="J68" s="21" t="str">
        <f aca="false">IFERROR(INDEX(종합!J$3:J$501,MATCH(ROW()-2,종합!$AC$3:$AC$501,0))&amp;"","")</f>
        <v>070-7772-4643</v>
      </c>
      <c r="K68" s="21" t="str">
        <f aca="false">IFERROR(INDEX(종합!K$3:K$501,MATCH(ROW()-2,종합!$AC$3:$AC$501,0))&amp;"","")</f>
        <v>https://mathaix.com/</v>
      </c>
      <c r="L68" s="21" t="str">
        <f aca="false">IFERROR(INDEX(종합!L$3:L$501,MATCH(ROW()-2,종합!$AC$3:$AC$501,0))&amp;"","")</f>
        <v>sebbang@maiclass.com</v>
      </c>
      <c r="M68" s="21" t="str">
        <f aca="false">IFERROR(INDEX(종합!M$3:M$501,MATCH(ROW()-2,종합!$AC$3:$AC$501,0))&amp;"","")</f>
        <v>경기도 성남시 수정구 달래내로 46, A동 404호</v>
      </c>
      <c r="N68" s="25" t="str">
        <f aca="false">IFERROR(INDEX(종합!N$3:N$501,MATCH(ROW()-2,종합!$AC$3:$AC$501,0))&amp;"","")</f>
        <v>산업현장 다국어 번역 서비스, 청소년 대상 생성형AI</v>
      </c>
      <c r="O68" s="21" t="str">
        <f aca="false">IFERROR(INDEX(종합!O$3:O$501,MATCH(ROW()-2,종합!$AC$3:$AC$501,0))&amp;"","")</f>
        <v>허준</v>
      </c>
      <c r="P68" s="21" t="str">
        <f aca="false">IFERROR(INDEX(종합!P$3:P$501,MATCH(ROW()-2,종합!$AC$3:$AC$501,0))&amp;"","")</f>
        <v>경영관리팀</v>
      </c>
      <c r="Q68" s="21" t="str">
        <f aca="false">IFERROR(INDEX(종합!Q$3:Q$501,MATCH(ROW()-2,종합!$AC$3:$AC$501,0))&amp;"","")</f>
        <v>대표이사</v>
      </c>
      <c r="R68" s="21" t="str">
        <f aca="false">IFERROR(INDEX(종합!R$3:R$501,MATCH(ROW()-2,종합!$AC$3:$AC$501,0))&amp;"","")</f>
        <v>070-7772-4643</v>
      </c>
      <c r="S68" s="21" t="str">
        <f aca="false">IFERROR(INDEX(종합!S$3:S$501,MATCH(ROW()-2,종합!$AC$3:$AC$501,0))&amp;"","")</f>
        <v>heojoon@maiclass.com</v>
      </c>
      <c r="T68" s="21" t="str">
        <f aca="false">IFERROR(INDEX(종합!T$3:T$501,MATCH(ROW()-2,종합!$AC$3:$AC$501,0))&amp;"","")</f>
        <v>010-3543-4643</v>
      </c>
      <c r="U68" s="21" t="str">
        <f aca="false">IFERROR(INDEX(종합!U$3:U$501,MATCH(ROW()-2,종합!$AC$3:$AC$501,0))&amp;"","")</f>
        <v>박세영</v>
      </c>
      <c r="V68" s="21" t="str">
        <f aca="false">IFERROR(INDEX(종합!V$3:V$501,MATCH(ROW()-2,종합!$AC$3:$AC$501,0))&amp;"","")</f>
        <v>운영지원팀</v>
      </c>
      <c r="W68" s="21" t="str">
        <f aca="false">IFERROR(INDEX(종합!W$3:W$501,MATCH(ROW()-2,종합!$AC$3:$AC$501,0))&amp;"","")</f>
        <v>팀장</v>
      </c>
      <c r="X68" s="21" t="str">
        <f aca="false">IFERROR(INDEX(종합!X$3:X$501,MATCH(ROW()-2,종합!$AC$3:$AC$501,0))&amp;"","")</f>
        <v>070-7772-4643</v>
      </c>
      <c r="Y68" s="21" t="str">
        <f aca="false">IFERROR(INDEX(종합!Y$3:Y$501,MATCH(ROW()-2,종합!$AC$3:$AC$501,0))&amp;"","")</f>
        <v>sebbang@maiclass.com</v>
      </c>
      <c r="Z68" s="21" t="str">
        <f aca="false">IFERROR(INDEX(종합!Z$3:Z$501,MATCH(ROW()-2,종합!$AC$3:$AC$501,0))&amp;"","")</f>
        <v>010-8810-9348</v>
      </c>
    </row>
    <row r="69" customFormat="false" ht="22.5" hidden="false" customHeight="true" outlineLevel="0" collapsed="false">
      <c r="A69" s="18" t="n">
        <f aca="false">IF(B69="","",ROW()-2)</f>
        <v>67</v>
      </c>
      <c r="B69" s="18" t="str">
        <f aca="false">IFERROR(INDEX(종합!B$3:B$501,MATCH(ROW()-2,종합!$AC$3:$AC$501,0))&amp;"","")</f>
        <v>주식회사 로이드케이</v>
      </c>
      <c r="C69" s="18" t="str">
        <f aca="false">IFERROR(INDEX(종합!C$3:C$501,MATCH(ROW()-2,종합!$AC$3:$AC$501,0))&amp;"","")</f>
        <v/>
      </c>
      <c r="D69" s="18" t="str">
        <f aca="false">IFERROR(INDEX(종합!D$3:D$501,MATCH(ROW()-2,종합!$AC$3:$AC$501,0))&amp;"","")</f>
        <v>O</v>
      </c>
      <c r="E69" s="18" t="str">
        <f aca="false">IFERROR(INDEX(종합!E$3:E$501,MATCH(ROW()-2,종합!$AC$3:$AC$501,0))&amp;"","")</f>
        <v/>
      </c>
      <c r="F69" s="18" t="str">
        <f aca="false">IFERROR(INDEX(종합!F$3:F$501,MATCH(ROW()-2,종합!$AC$3:$AC$501,0))&amp;"","")</f>
        <v/>
      </c>
      <c r="G69" s="18" t="str">
        <f aca="false">IFERROR(INDEX(종합!G$3:G$501,MATCH(ROW()-2,종합!$AC$3:$AC$501,0))&amp;"","")</f>
        <v>중소기업</v>
      </c>
      <c r="H69" s="21" t="str">
        <f aca="false">IFERROR(INDEX(종합!H$3:H$501,MATCH(ROW()-2,종합!$AC$3:$AC$501,0))&amp;"","")</f>
        <v>120-87-67951</v>
      </c>
      <c r="I69" s="21" t="str">
        <f aca="false">IFERROR(INDEX(종합!I$3:I$501,MATCH(ROW()-2,종합!$AC$3:$AC$501,0))&amp;"","")</f>
        <v>김대훈</v>
      </c>
      <c r="J69" s="21" t="str">
        <f aca="false">IFERROR(INDEX(종합!J$3:J$501,MATCH(ROW()-2,종합!$AC$3:$AC$501,0))&amp;"","")</f>
        <v>031-8039-5171</v>
      </c>
      <c r="K69" s="21" t="str">
        <f aca="false">IFERROR(INDEX(종합!K$3:K$501,MATCH(ROW()-2,종합!$AC$3:$AC$501,0))&amp;"","")</f>
        <v>https://lloydk.co.kr</v>
      </c>
      <c r="L69" s="21" t="str">
        <f aca="false">IFERROR(INDEX(종합!L$3:L$501,MATCH(ROW()-2,종합!$AC$3:$AC$501,0))&amp;"","")</f>
        <v>yooksy8@gmail.com</v>
      </c>
      <c r="M69" s="21" t="str">
        <f aca="false">IFERROR(INDEX(종합!M$3:M$501,MATCH(ROW()-2,종합!$AC$3:$AC$501,0))&amp;"","")</f>
        <v>경기도 성남시 수정구 위례서일로 6 우대빌딩 4층</v>
      </c>
      <c r="N69" s="25" t="str">
        <f aca="false">IFERROR(INDEX(종합!N$3:N$501,MATCH(ROW()-2,종합!$AC$3:$AC$501,0))&amp;"","")</f>
        <v>DO Solution</v>
      </c>
      <c r="O69" s="21" t="str">
        <f aca="false">IFERROR(INDEX(종합!O$3:O$501,MATCH(ROW()-2,종합!$AC$3:$AC$501,0))&amp;"","")</f>
        <v>김대훈</v>
      </c>
      <c r="P69" s="21" t="str">
        <f aca="false">IFERROR(INDEX(종합!P$3:P$501,MATCH(ROW()-2,종합!$AC$3:$AC$501,0))&amp;"","")</f>
        <v>CEO</v>
      </c>
      <c r="Q69" s="21" t="str">
        <f aca="false">IFERROR(INDEX(종합!Q$3:Q$501,MATCH(ROW()-2,종합!$AC$3:$AC$501,0))&amp;"","")</f>
        <v>CEO</v>
      </c>
      <c r="R69" s="21" t="str">
        <f aca="false">IFERROR(INDEX(종합!R$3:R$501,MATCH(ROW()-2,종합!$AC$3:$AC$501,0))&amp;"","")</f>
        <v>010-8978-1954</v>
      </c>
      <c r="S69" s="21" t="str">
        <f aca="false">IFERROR(INDEX(종합!S$3:S$501,MATCH(ROW()-2,종합!$AC$3:$AC$501,0))&amp;"","")</f>
        <v>david@lloydk.co.kr</v>
      </c>
      <c r="T69" s="21" t="str">
        <f aca="false">IFERROR(INDEX(종합!T$3:T$501,MATCH(ROW()-2,종합!$AC$3:$AC$501,0))&amp;"","")</f>
        <v>010-8978-1954</v>
      </c>
      <c r="U69" s="21" t="str">
        <f aca="false">IFERROR(INDEX(종합!U$3:U$501,MATCH(ROW()-2,종합!$AC$3:$AC$501,0))&amp;"","")</f>
        <v>황광태</v>
      </c>
      <c r="V69" s="21" t="str">
        <f aca="false">IFERROR(INDEX(종합!V$3:V$501,MATCH(ROW()-2,종합!$AC$3:$AC$501,0))&amp;"","")</f>
        <v>커뮤니케이션팀</v>
      </c>
      <c r="W69" s="21" t="str">
        <f aca="false">IFERROR(INDEX(종합!W$3:W$501,MATCH(ROW()-2,종합!$AC$3:$AC$501,0))&amp;"","")</f>
        <v>PM</v>
      </c>
      <c r="X69" s="21" t="str">
        <f aca="false">IFERROR(INDEX(종합!X$3:X$501,MATCH(ROW()-2,종합!$AC$3:$AC$501,0))&amp;"","")</f>
        <v>010-7623-2507</v>
      </c>
      <c r="Y69" s="21" t="str">
        <f aca="false">IFERROR(INDEX(종합!Y$3:Y$501,MATCH(ROW()-2,종합!$AC$3:$AC$501,0))&amp;"","")</f>
        <v>simon.hwang@lloydk.co.kr</v>
      </c>
      <c r="Z69" s="21" t="str">
        <f aca="false">IFERROR(INDEX(종합!Z$3:Z$501,MATCH(ROW()-2,종합!$AC$3:$AC$501,0))&amp;"","")</f>
        <v>010-7623-2507</v>
      </c>
    </row>
    <row r="70" customFormat="false" ht="22.5" hidden="false" customHeight="true" outlineLevel="0" collapsed="false">
      <c r="A70" s="18" t="n">
        <f aca="false">IF(B70="","",ROW()-2)</f>
        <v>68</v>
      </c>
      <c r="B70" s="18" t="str">
        <f aca="false">IFERROR(INDEX(종합!B$3:B$501,MATCH(ROW()-2,종합!$AC$3:$AC$501,0))&amp;"","")</f>
        <v>㈜다비오</v>
      </c>
      <c r="C70" s="18" t="str">
        <f aca="false">IFERROR(INDEX(종합!C$3:C$501,MATCH(ROW()-2,종합!$AC$3:$AC$501,0))&amp;"","")</f>
        <v/>
      </c>
      <c r="D70" s="18" t="str">
        <f aca="false">IFERROR(INDEX(종합!D$3:D$501,MATCH(ROW()-2,종합!$AC$3:$AC$501,0))&amp;"","")</f>
        <v>O</v>
      </c>
      <c r="E70" s="18" t="str">
        <f aca="false">IFERROR(INDEX(종합!E$3:E$501,MATCH(ROW()-2,종합!$AC$3:$AC$501,0))&amp;"","")</f>
        <v/>
      </c>
      <c r="F70" s="18" t="str">
        <f aca="false">IFERROR(INDEX(종합!F$3:F$501,MATCH(ROW()-2,종합!$AC$3:$AC$501,0))&amp;"","")</f>
        <v/>
      </c>
      <c r="G70" s="18" t="str">
        <f aca="false">IFERROR(INDEX(종합!G$3:G$501,MATCH(ROW()-2,종합!$AC$3:$AC$501,0))&amp;"","")</f>
        <v>중소기업</v>
      </c>
      <c r="H70" s="21" t="str">
        <f aca="false">IFERROR(INDEX(종합!H$3:H$501,MATCH(ROW()-2,종합!$AC$3:$AC$501,0))&amp;"","")</f>
        <v>105-87-68437</v>
      </c>
      <c r="I70" s="21" t="str">
        <f aca="false">IFERROR(INDEX(종합!I$3:I$501,MATCH(ROW()-2,종합!$AC$3:$AC$501,0))&amp;"","")</f>
        <v>박주흠</v>
      </c>
      <c r="J70" s="21" t="str">
        <f aca="false">IFERROR(INDEX(종합!J$3:J$501,MATCH(ROW()-2,종합!$AC$3:$AC$501,0))&amp;"","")</f>
        <v>02-6376-0101</v>
      </c>
      <c r="K70" s="21" t="str">
        <f aca="false">IFERROR(INDEX(종합!K$3:K$501,MATCH(ROW()-2,종합!$AC$3:$AC$501,0))&amp;"","")</f>
        <v>https://dabeeo.com/</v>
      </c>
      <c r="L70" s="21" t="str">
        <f aca="false">IFERROR(INDEX(종합!L$3:L$501,MATCH(ROW()-2,종합!$AC$3:$AC$501,0))&amp;"","")</f>
        <v>joohyeon.kim@dabeeo.com</v>
      </c>
      <c r="M70" s="21" t="str">
        <f aca="false">IFERROR(INDEX(종합!M$3:M$501,MATCH(ROW()-2,종합!$AC$3:$AC$501,0))&amp;"","")</f>
        <v>서울시 마포구 마포대로 144, 8층 (공덕동, 마포T타운)</v>
      </c>
      <c r="N70" s="25" t="str">
        <f aca="false">IFERROR(INDEX(종합!N$3:N$501,MATCH(ROW()-2,종합!$AC$3:$AC$501,0))&amp;"","")</f>
        <v>Dabeeo Eartheye(다비오 어스아이)</v>
      </c>
      <c r="O70" s="21" t="str">
        <f aca="false">IFERROR(INDEX(종합!O$3:O$501,MATCH(ROW()-2,종합!$AC$3:$AC$501,0))&amp;"","")</f>
        <v>박인준</v>
      </c>
      <c r="P70" s="21" t="str">
        <f aca="false">IFERROR(INDEX(종합!P$3:P$501,MATCH(ROW()-2,종합!$AC$3:$AC$501,0))&amp;"","")</f>
        <v>사업전략그룹</v>
      </c>
      <c r="Q70" s="21" t="str">
        <f aca="false">IFERROR(INDEX(종합!Q$3:Q$501,MATCH(ROW()-2,종합!$AC$3:$AC$501,0))&amp;"","")</f>
        <v>이사/사업전략그룹장</v>
      </c>
      <c r="R70" s="21" t="str">
        <f aca="false">IFERROR(INDEX(종합!R$3:R$501,MATCH(ROW()-2,종합!$AC$3:$AC$501,0))&amp;"","")</f>
        <v>02-6376-0101</v>
      </c>
      <c r="S70" s="21" t="str">
        <f aca="false">IFERROR(INDEX(종합!S$3:S$501,MATCH(ROW()-2,종합!$AC$3:$AC$501,0))&amp;"","")</f>
        <v>injun.park@dabeeo.com</v>
      </c>
      <c r="T70" s="21" t="str">
        <f aca="false">IFERROR(INDEX(종합!T$3:T$501,MATCH(ROW()-2,종합!$AC$3:$AC$501,0))&amp;"","")</f>
        <v>010-5185-3980</v>
      </c>
      <c r="U70" s="21" t="str">
        <f aca="false">IFERROR(INDEX(종합!U$3:U$501,MATCH(ROW()-2,종합!$AC$3:$AC$501,0))&amp;"","")</f>
        <v>김주현</v>
      </c>
      <c r="V70" s="21" t="str">
        <f aca="false">IFERROR(INDEX(종합!V$3:V$501,MATCH(ROW()-2,종합!$AC$3:$AC$501,0))&amp;"","")</f>
        <v>사업기획팀</v>
      </c>
      <c r="W70" s="21" t="str">
        <f aca="false">IFERROR(INDEX(종합!W$3:W$501,MATCH(ROW()-2,종합!$AC$3:$AC$501,0))&amp;"","")</f>
        <v>책임</v>
      </c>
      <c r="X70" s="21" t="str">
        <f aca="false">IFERROR(INDEX(종합!X$3:X$501,MATCH(ROW()-2,종합!$AC$3:$AC$501,0))&amp;"","")</f>
        <v>02-6376-0101</v>
      </c>
      <c r="Y70" s="21" t="str">
        <f aca="false">IFERROR(INDEX(종합!Y$3:Y$501,MATCH(ROW()-2,종합!$AC$3:$AC$501,0))&amp;"","")</f>
        <v>team_biz-plan@dabeeo.com</v>
      </c>
      <c r="Z70" s="21" t="str">
        <f aca="false">IFERROR(INDEX(종합!Z$3:Z$501,MATCH(ROW()-2,종합!$AC$3:$AC$501,0))&amp;"","")</f>
        <v>010-9974-6385</v>
      </c>
    </row>
    <row r="71" customFormat="false" ht="22.5" hidden="false" customHeight="true" outlineLevel="0" collapsed="false">
      <c r="A71" s="18" t="n">
        <f aca="false">IF(B71="","",ROW()-2)</f>
        <v>69</v>
      </c>
      <c r="B71" s="18" t="str">
        <f aca="false">IFERROR(INDEX(종합!B$3:B$501,MATCH(ROW()-2,종합!$AC$3:$AC$501,0))&amp;"","")</f>
        <v>주식회사 라피치</v>
      </c>
      <c r="C71" s="18" t="str">
        <f aca="false">IFERROR(INDEX(종합!C$3:C$501,MATCH(ROW()-2,종합!$AC$3:$AC$501,0))&amp;"","")</f>
        <v/>
      </c>
      <c r="D71" s="18" t="str">
        <f aca="false">IFERROR(INDEX(종합!D$3:D$501,MATCH(ROW()-2,종합!$AC$3:$AC$501,0))&amp;"","")</f>
        <v>O</v>
      </c>
      <c r="E71" s="18" t="str">
        <f aca="false">IFERROR(INDEX(종합!E$3:E$501,MATCH(ROW()-2,종합!$AC$3:$AC$501,0))&amp;"","")</f>
        <v/>
      </c>
      <c r="F71" s="18" t="str">
        <f aca="false">IFERROR(INDEX(종합!F$3:F$501,MATCH(ROW()-2,종합!$AC$3:$AC$501,0))&amp;"","")</f>
        <v/>
      </c>
      <c r="G71" s="18" t="str">
        <f aca="false">IFERROR(INDEX(종합!G$3:G$501,MATCH(ROW()-2,종합!$AC$3:$AC$501,0))&amp;"","")</f>
        <v>중소기업</v>
      </c>
      <c r="H71" s="21" t="str">
        <f aca="false">IFERROR(INDEX(종합!H$3:H$501,MATCH(ROW()-2,종합!$AC$3:$AC$501,0))&amp;"","")</f>
        <v>220-87-18861</v>
      </c>
      <c r="I71" s="21" t="str">
        <f aca="false">IFERROR(INDEX(종합!I$3:I$501,MATCH(ROW()-2,종합!$AC$3:$AC$501,0))&amp;"","")</f>
        <v>김경회</v>
      </c>
      <c r="J71" s="21" t="str">
        <f aca="false">IFERROR(INDEX(종합!J$3:J$501,MATCH(ROW()-2,종합!$AC$3:$AC$501,0))&amp;"","")</f>
        <v>02-3420-9114</v>
      </c>
      <c r="K71" s="21" t="str">
        <f aca="false">IFERROR(INDEX(종합!K$3:K$501,MATCH(ROW()-2,종합!$AC$3:$AC$501,0))&amp;"","")</f>
        <v>www.rapeech.com</v>
      </c>
      <c r="L71" s="21" t="str">
        <f aca="false">IFERROR(INDEX(종합!L$3:L$501,MATCH(ROW()-2,종합!$AC$3:$AC$501,0))&amp;"","")</f>
        <v>uin.choi@rapeech.com</v>
      </c>
      <c r="M71" s="21" t="str">
        <f aca="false">IFERROR(INDEX(종합!M$3:M$501,MATCH(ROW()-2,종합!$AC$3:$AC$501,0))&amp;"","")</f>
        <v>서울특별시 강남구 도곡로8길 6 지호빌딩 3층</v>
      </c>
      <c r="N71" s="25" t="str">
        <f aca="false">IFERROR(INDEX(종합!N$3:N$501,MATCH(ROW()-2,종합!$AC$3:$AC$501,0))&amp;"","")</f>
        <v>Conversatioanl AI Service</v>
      </c>
      <c r="O71" s="21" t="str">
        <f aca="false">IFERROR(INDEX(종합!O$3:O$501,MATCH(ROW()-2,종합!$AC$3:$AC$501,0))&amp;"","")</f>
        <v>김경회</v>
      </c>
      <c r="P71" s="21" t="str">
        <f aca="false">IFERROR(INDEX(종합!P$3:P$501,MATCH(ROW()-2,종합!$AC$3:$AC$501,0))&amp;"","")</f>
        <v>CEO</v>
      </c>
      <c r="Q71" s="21" t="str">
        <f aca="false">IFERROR(INDEX(종합!Q$3:Q$501,MATCH(ROW()-2,종합!$AC$3:$AC$501,0))&amp;"","")</f>
        <v>대효이사</v>
      </c>
      <c r="R71" s="21" t="str">
        <f aca="false">IFERROR(INDEX(종합!R$3:R$501,MATCH(ROW()-2,종합!$AC$3:$AC$501,0))&amp;"","")</f>
        <v>02-3420-9114</v>
      </c>
      <c r="S71" s="21" t="str">
        <f aca="false">IFERROR(INDEX(종합!S$3:S$501,MATCH(ROW()-2,종합!$AC$3:$AC$501,0))&amp;"","")</f>
        <v>kyunghoi.kim@rapeech.com</v>
      </c>
      <c r="T71" s="21" t="str">
        <f aca="false">IFERROR(INDEX(종합!T$3:T$501,MATCH(ROW()-2,종합!$AC$3:$AC$501,0))&amp;"","")</f>
        <v>010-5540-2408</v>
      </c>
      <c r="U71" s="21" t="str">
        <f aca="false">IFERROR(INDEX(종합!U$3:U$501,MATCH(ROW()-2,종합!$AC$3:$AC$501,0))&amp;"","")</f>
        <v>최우인</v>
      </c>
      <c r="V71" s="21" t="str">
        <f aca="false">IFERROR(INDEX(종합!V$3:V$501,MATCH(ROW()-2,종합!$AC$3:$AC$501,0))&amp;"","")</f>
        <v>경영관리실</v>
      </c>
      <c r="W71" s="21" t="str">
        <f aca="false">IFERROR(INDEX(종합!W$3:W$501,MATCH(ROW()-2,종합!$AC$3:$AC$501,0))&amp;"","")</f>
        <v>과장</v>
      </c>
      <c r="X71" s="21" t="str">
        <f aca="false">IFERROR(INDEX(종합!X$3:X$501,MATCH(ROW()-2,종합!$AC$3:$AC$501,0))&amp;"","")</f>
        <v>02-3420-9114</v>
      </c>
      <c r="Y71" s="21" t="str">
        <f aca="false">IFERROR(INDEX(종합!Y$3:Y$501,MATCH(ROW()-2,종합!$AC$3:$AC$501,0))&amp;"","")</f>
        <v>uin.choi@rapeech.com</v>
      </c>
      <c r="Z71" s="21" t="str">
        <f aca="false">IFERROR(INDEX(종합!Z$3:Z$501,MATCH(ROW()-2,종합!$AC$3:$AC$501,0))&amp;"","")</f>
        <v>010-9915-0294</v>
      </c>
    </row>
    <row r="72" customFormat="false" ht="22.5" hidden="false" customHeight="true" outlineLevel="0" collapsed="false">
      <c r="A72" s="18" t="n">
        <f aca="false">IF(B72="","",ROW()-2)</f>
        <v>70</v>
      </c>
      <c r="B72" s="18" t="str">
        <f aca="false">IFERROR(INDEX(종합!B$3:B$501,MATCH(ROW()-2,종합!$AC$3:$AC$501,0))&amp;"","")</f>
        <v>주식회사 씨앤에이아이</v>
      </c>
      <c r="C72" s="18" t="str">
        <f aca="false">IFERROR(INDEX(종합!C$3:C$501,MATCH(ROW()-2,종합!$AC$3:$AC$501,0))&amp;"","")</f>
        <v/>
      </c>
      <c r="D72" s="18" t="str">
        <f aca="false">IFERROR(INDEX(종합!D$3:D$501,MATCH(ROW()-2,종합!$AC$3:$AC$501,0))&amp;"","")</f>
        <v>O</v>
      </c>
      <c r="E72" s="18" t="str">
        <f aca="false">IFERROR(INDEX(종합!E$3:E$501,MATCH(ROW()-2,종합!$AC$3:$AC$501,0))&amp;"","")</f>
        <v/>
      </c>
      <c r="F72" s="18" t="str">
        <f aca="false">IFERROR(INDEX(종합!F$3:F$501,MATCH(ROW()-2,종합!$AC$3:$AC$501,0))&amp;"","")</f>
        <v/>
      </c>
      <c r="G72" s="18" t="str">
        <f aca="false">IFERROR(INDEX(종합!G$3:G$501,MATCH(ROW()-2,종합!$AC$3:$AC$501,0))&amp;"","")</f>
        <v>중소기업</v>
      </c>
      <c r="H72" s="21" t="str">
        <f aca="false">IFERROR(INDEX(종합!H$3:H$501,MATCH(ROW()-2,종합!$AC$3:$AC$501,0))&amp;"","")</f>
        <v>231-81-10834</v>
      </c>
      <c r="I72" s="21" t="str">
        <f aca="false">IFERROR(INDEX(종합!I$3:I$501,MATCH(ROW()-2,종합!$AC$3:$AC$501,0))&amp;"","")</f>
        <v>장광호</v>
      </c>
      <c r="J72" s="21" t="str">
        <f aca="false">IFERROR(INDEX(종합!J$3:J$501,MATCH(ROW()-2,종합!$AC$3:$AC$501,0))&amp;"","")</f>
        <v>02-2088-1216</v>
      </c>
      <c r="K72" s="21" t="str">
        <f aca="false">IFERROR(INDEX(종합!K$3:K$501,MATCH(ROW()-2,종합!$AC$3:$AC$501,0))&amp;"","")</f>
        <v>https://www.cnai.ai/</v>
      </c>
      <c r="L72" s="21" t="str">
        <f aca="false">IFERROR(INDEX(종합!L$3:L$501,MATCH(ROW()-2,종합!$AC$3:$AC$501,0))&amp;"","")</f>
        <v>iy9290@gmail.com</v>
      </c>
      <c r="M72" s="21" t="str">
        <f aca="false">IFERROR(INDEX(종합!M$3:M$501,MATCH(ROW()-2,종합!$AC$3:$AC$501,0))&amp;"","")</f>
        <v>서울 강서구 마곡중앙14로 38 4층</v>
      </c>
      <c r="N72" s="25" t="str">
        <f aca="false">IFERROR(INDEX(종합!N$3:N$501,MATCH(ROW()-2,종합!$AC$3:$AC$501,0))&amp;"","")</f>
        <v>AI Human (솔루션_ Pola)</v>
      </c>
      <c r="O72" s="21" t="str">
        <f aca="false">IFERROR(INDEX(종합!O$3:O$501,MATCH(ROW()-2,종합!$AC$3:$AC$501,0))&amp;"","")</f>
        <v>장광호</v>
      </c>
      <c r="P72" s="21" t="str">
        <f aca="false">IFERROR(INDEX(종합!P$3:P$501,MATCH(ROW()-2,종합!$AC$3:$AC$501,0))&amp;"","")</f>
        <v>대표</v>
      </c>
      <c r="Q72" s="21" t="str">
        <f aca="false">IFERROR(INDEX(종합!Q$3:Q$501,MATCH(ROW()-2,종합!$AC$3:$AC$501,0))&amp;"","")</f>
        <v>대표</v>
      </c>
      <c r="R72" s="21" t="str">
        <f aca="false">IFERROR(INDEX(종합!R$3:R$501,MATCH(ROW()-2,종합!$AC$3:$AC$501,0))&amp;"","")</f>
        <v>02-2088-1216</v>
      </c>
      <c r="S72" s="21" t="str">
        <f aca="false">IFERROR(INDEX(종합!S$3:S$501,MATCH(ROW()-2,종합!$AC$3:$AC$501,0))&amp;"","")</f>
        <v>pathfinder@cnai.ai</v>
      </c>
      <c r="T72" s="21" t="str">
        <f aca="false">IFERROR(INDEX(종합!T$3:T$501,MATCH(ROW()-2,종합!$AC$3:$AC$501,0))&amp;"","")</f>
        <v>010-9763-0306</v>
      </c>
      <c r="U72" s="21" t="str">
        <f aca="false">IFERROR(INDEX(종합!U$3:U$501,MATCH(ROW()-2,종합!$AC$3:$AC$501,0))&amp;"","")</f>
        <v>이창희</v>
      </c>
      <c r="V72" s="21" t="str">
        <f aca="false">IFERROR(INDEX(종합!V$3:V$501,MATCH(ROW()-2,종합!$AC$3:$AC$501,0))&amp;"","")</f>
        <v>전략팀</v>
      </c>
      <c r="W72" s="21" t="str">
        <f aca="false">IFERROR(INDEX(종합!W$3:W$501,MATCH(ROW()-2,종합!$AC$3:$AC$501,0))&amp;"","")</f>
        <v>팀장</v>
      </c>
      <c r="X72" s="21" t="str">
        <f aca="false">IFERROR(INDEX(종합!X$3:X$501,MATCH(ROW()-2,종합!$AC$3:$AC$501,0))&amp;"","")</f>
        <v>02-2088-1216</v>
      </c>
      <c r="Y72" s="21" t="str">
        <f aca="false">IFERROR(INDEX(종합!Y$3:Y$501,MATCH(ROW()-2,종합!$AC$3:$AC$501,0))&amp;"","")</f>
        <v>t</v>
      </c>
      <c r="Z72" s="21" t="str">
        <f aca="false">IFERROR(INDEX(종합!Z$3:Z$501,MATCH(ROW()-2,종합!$AC$3:$AC$501,0))&amp;"","")</f>
        <v>010-3057-7541</v>
      </c>
    </row>
    <row r="73" customFormat="false" ht="47.25" hidden="false" customHeight="true" outlineLevel="0" collapsed="false">
      <c r="A73" s="18" t="n">
        <f aca="false">IF(B73="","",ROW()-2)</f>
        <v>71</v>
      </c>
      <c r="B73" s="18" t="str">
        <f aca="false">IFERROR(INDEX(종합!B$3:B$501,MATCH(ROW()-2,종합!$AC$3:$AC$501,0))&amp;"","")</f>
        <v>(주)워트인텔리전스</v>
      </c>
      <c r="C73" s="18" t="str">
        <f aca="false">IFERROR(INDEX(종합!C$3:C$501,MATCH(ROW()-2,종합!$AC$3:$AC$501,0))&amp;"","")</f>
        <v/>
      </c>
      <c r="D73" s="18" t="str">
        <f aca="false">IFERROR(INDEX(종합!D$3:D$501,MATCH(ROW()-2,종합!$AC$3:$AC$501,0))&amp;"","")</f>
        <v>O</v>
      </c>
      <c r="E73" s="18" t="str">
        <f aca="false">IFERROR(INDEX(종합!E$3:E$501,MATCH(ROW()-2,종합!$AC$3:$AC$501,0))&amp;"","")</f>
        <v/>
      </c>
      <c r="F73" s="18" t="str">
        <f aca="false">IFERROR(INDEX(종합!F$3:F$501,MATCH(ROW()-2,종합!$AC$3:$AC$501,0))&amp;"","")</f>
        <v/>
      </c>
      <c r="G73" s="18" t="str">
        <f aca="false">IFERROR(INDEX(종합!G$3:G$501,MATCH(ROW()-2,종합!$AC$3:$AC$501,0))&amp;"","")</f>
        <v>중소기업</v>
      </c>
      <c r="H73" s="21" t="str">
        <f aca="false">IFERROR(INDEX(종합!H$3:H$501,MATCH(ROW()-2,종합!$AC$3:$AC$501,0))&amp;"","")</f>
        <v>675-86-00133</v>
      </c>
      <c r="I73" s="21" t="str">
        <f aca="false">IFERROR(INDEX(종합!I$3:I$501,MATCH(ROW()-2,종합!$AC$3:$AC$501,0))&amp;"","")</f>
        <v>윤정호</v>
      </c>
      <c r="J73" s="21" t="str">
        <f aca="false">IFERROR(INDEX(종합!J$3:J$501,MATCH(ROW()-2,종합!$AC$3:$AC$501,0))&amp;"","")</f>
        <v>02-521-0110</v>
      </c>
      <c r="K73" s="21" t="str">
        <f aca="false">IFERROR(INDEX(종합!K$3:K$501,MATCH(ROW()-2,종합!$AC$3:$AC$501,0))&amp;"","")</f>
        <v>https://www.wertcorp.com/kr/main</v>
      </c>
      <c r="L73" s="21" t="str">
        <f aca="false">IFERROR(INDEX(종합!L$3:L$501,MATCH(ROW()-2,종합!$AC$3:$AC$501,0))&amp;"","")</f>
        <v>jhkang@wert.co.kr</v>
      </c>
      <c r="M73" s="21" t="str">
        <f aca="false">IFERROR(INDEX(종합!M$3:M$501,MATCH(ROW()-2,종합!$AC$3:$AC$501,0))&amp;"","")</f>
        <v>서울시 강남구 강남대로 464 6층</v>
      </c>
      <c r="N73" s="25" t="str">
        <f aca="false">IFERROR(INDEX(종합!N$3:N$501,MATCH(ROW()-2,종합!$AC$3:$AC$501,0))&amp;"","")</f>
        <v>AI 전문 분야: 기술문서 분석 및 인사이트 창출에 특화된  빅데이터분석, AX 종합컨설팅 / 보유서비스: 대화형 LLM 솔루션 keywert insight  및 자체 언어 모델 Pluto LM </v>
      </c>
      <c r="O73" s="21" t="str">
        <f aca="false">IFERROR(INDEX(종합!O$3:O$501,MATCH(ROW()-2,종합!$AC$3:$AC$501,0))&amp;"","")</f>
        <v>류제택</v>
      </c>
      <c r="P73" s="21" t="str">
        <f aca="false">IFERROR(INDEX(종합!P$3:P$501,MATCH(ROW()-2,종합!$AC$3:$AC$501,0))&amp;"","")</f>
        <v>AX전략팀</v>
      </c>
      <c r="Q73" s="21" t="str">
        <f aca="false">IFERROR(INDEX(종합!Q$3:Q$501,MATCH(ROW()-2,종합!$AC$3:$AC$501,0))&amp;"","")</f>
        <v>팀장</v>
      </c>
      <c r="R73" s="21" t="str">
        <f aca="false">IFERROR(INDEX(종합!R$3:R$501,MATCH(ROW()-2,종합!$AC$3:$AC$501,0))&amp;"","")</f>
        <v>010-9757-1410</v>
      </c>
      <c r="S73" s="21" t="str">
        <f aca="false">IFERROR(INDEX(종합!S$3:S$501,MATCH(ROW()-2,종합!$AC$3:$AC$501,0))&amp;"","")</f>
        <v>jtryu@wert.co.kr</v>
      </c>
      <c r="T73" s="21" t="str">
        <f aca="false">IFERROR(INDEX(종합!T$3:T$501,MATCH(ROW()-2,종합!$AC$3:$AC$501,0))&amp;"","")</f>
        <v>010-9757-1410</v>
      </c>
      <c r="U73" s="21" t="str">
        <f aca="false">IFERROR(INDEX(종합!U$3:U$501,MATCH(ROW()-2,종합!$AC$3:$AC$501,0))&amp;"","")</f>
        <v>강지훈</v>
      </c>
      <c r="V73" s="21" t="str">
        <f aca="false">IFERROR(INDEX(종합!V$3:V$501,MATCH(ROW()-2,종합!$AC$3:$AC$501,0))&amp;"","")</f>
        <v>AX전략팀</v>
      </c>
      <c r="W73" s="21" t="str">
        <f aca="false">IFERROR(INDEX(종합!W$3:W$501,MATCH(ROW()-2,종합!$AC$3:$AC$501,0))&amp;"","")</f>
        <v>수석컨설턴트</v>
      </c>
      <c r="X73" s="21" t="str">
        <f aca="false">IFERROR(INDEX(종합!X$3:X$501,MATCH(ROW()-2,종합!$AC$3:$AC$501,0))&amp;"","")</f>
        <v>010-5053-0474</v>
      </c>
      <c r="Y73" s="21" t="str">
        <f aca="false">IFERROR(INDEX(종합!Y$3:Y$501,MATCH(ROW()-2,종합!$AC$3:$AC$501,0))&amp;"","")</f>
        <v>jhkang@wert.co.kr</v>
      </c>
      <c r="Z73" s="21" t="str">
        <f aca="false">IFERROR(INDEX(종합!Z$3:Z$501,MATCH(ROW()-2,종합!$AC$3:$AC$501,0))&amp;"","")</f>
        <v>010-5053-0474</v>
      </c>
    </row>
    <row r="74" customFormat="false" ht="22.5" hidden="false" customHeight="true" outlineLevel="0" collapsed="false">
      <c r="A74" s="18" t="n">
        <f aca="false">IF(B74="","",ROW()-2)</f>
        <v>72</v>
      </c>
      <c r="B74" s="18" t="str">
        <f aca="false">IFERROR(INDEX(종합!B$3:B$501,MATCH(ROW()-2,종합!$AC$3:$AC$501,0))&amp;"","")</f>
        <v>디포커스(주)</v>
      </c>
      <c r="C74" s="18" t="str">
        <f aca="false">IFERROR(INDEX(종합!C$3:C$501,MATCH(ROW()-2,종합!$AC$3:$AC$501,0))&amp;"","")</f>
        <v/>
      </c>
      <c r="D74" s="18" t="str">
        <f aca="false">IFERROR(INDEX(종합!D$3:D$501,MATCH(ROW()-2,종합!$AC$3:$AC$501,0))&amp;"","")</f>
        <v>O</v>
      </c>
      <c r="E74" s="18" t="str">
        <f aca="false">IFERROR(INDEX(종합!E$3:E$501,MATCH(ROW()-2,종합!$AC$3:$AC$501,0))&amp;"","")</f>
        <v/>
      </c>
      <c r="F74" s="18" t="str">
        <f aca="false">IFERROR(INDEX(종합!F$3:F$501,MATCH(ROW()-2,종합!$AC$3:$AC$501,0))&amp;"","")</f>
        <v/>
      </c>
      <c r="G74" s="18" t="str">
        <f aca="false">IFERROR(INDEX(종합!G$3:G$501,MATCH(ROW()-2,종합!$AC$3:$AC$501,0))&amp;"","")</f>
        <v>중소기업</v>
      </c>
      <c r="H74" s="21" t="str">
        <f aca="false">IFERROR(INDEX(종합!H$3:H$501,MATCH(ROW()-2,종합!$AC$3:$AC$501,0))&amp;"","")</f>
        <v>109-81-70175</v>
      </c>
      <c r="I74" s="21" t="str">
        <f aca="false">IFERROR(INDEX(종합!I$3:I$501,MATCH(ROW()-2,종합!$AC$3:$AC$501,0))&amp;"","")</f>
        <v>선은두</v>
      </c>
      <c r="J74" s="21" t="str">
        <f aca="false">IFERROR(INDEX(종합!J$3:J$501,MATCH(ROW()-2,종합!$AC$3:$AC$501,0))&amp;"","")</f>
        <v>010-8540-0841</v>
      </c>
      <c r="K74" s="21" t="str">
        <f aca="false">IFERROR(INDEX(종합!K$3:K$501,MATCH(ROW()-2,종합!$AC$3:$AC$501,0))&amp;"","")</f>
        <v>www.dfocus.net</v>
      </c>
      <c r="L74" s="21" t="str">
        <f aca="false">IFERROR(INDEX(종합!L$3:L$501,MATCH(ROW()-2,종합!$AC$3:$AC$501,0))&amp;"","")</f>
        <v>edsun67@gmail.com</v>
      </c>
      <c r="M74" s="21" t="str">
        <f aca="false">IFERROR(INDEX(종합!M$3:M$501,MATCH(ROW()-2,종합!$AC$3:$AC$501,0))&amp;"","")</f>
        <v>서울특별시 구로구 디지털로 34길 55, 405호</v>
      </c>
      <c r="N74" s="25" t="str">
        <f aca="false">IFERROR(INDEX(종합!N$3:N$501,MATCH(ROW()-2,종합!$AC$3:$AC$501,0))&amp;"","")</f>
        <v>챗봇(DfocusGPT), 플랫폼(SeedAI)</v>
      </c>
      <c r="O74" s="21" t="str">
        <f aca="false">IFERROR(INDEX(종합!O$3:O$501,MATCH(ROW()-2,종합!$AC$3:$AC$501,0))&amp;"","")</f>
        <v>선은두</v>
      </c>
      <c r="P74" s="21" t="str">
        <f aca="false">IFERROR(INDEX(종합!P$3:P$501,MATCH(ROW()-2,종합!$AC$3:$AC$501,0))&amp;"","")</f>
        <v>경영</v>
      </c>
      <c r="Q74" s="21" t="str">
        <f aca="false">IFERROR(INDEX(종합!Q$3:Q$501,MATCH(ROW()-2,종합!$AC$3:$AC$501,0))&amp;"","")</f>
        <v>대표이사</v>
      </c>
      <c r="R74" s="21" t="str">
        <f aca="false">IFERROR(INDEX(종합!R$3:R$501,MATCH(ROW()-2,종합!$AC$3:$AC$501,0))&amp;"","")</f>
        <v>010-8540-0841</v>
      </c>
      <c r="S74" s="21" t="str">
        <f aca="false">IFERROR(INDEX(종합!S$3:S$501,MATCH(ROW()-2,종합!$AC$3:$AC$501,0))&amp;"","")</f>
        <v>sun@dfocus.net</v>
      </c>
      <c r="T74" s="21" t="str">
        <f aca="false">IFERROR(INDEX(종합!T$3:T$501,MATCH(ROW()-2,종합!$AC$3:$AC$501,0))&amp;"","")</f>
        <v>010-8540-0841</v>
      </c>
      <c r="U74" s="21" t="str">
        <f aca="false">IFERROR(INDEX(종합!U$3:U$501,MATCH(ROW()-2,종합!$AC$3:$AC$501,0))&amp;"","")</f>
        <v>이정호</v>
      </c>
      <c r="V74" s="21" t="str">
        <f aca="false">IFERROR(INDEX(종합!V$3:V$501,MATCH(ROW()-2,종합!$AC$3:$AC$501,0))&amp;"","")</f>
        <v>AI</v>
      </c>
      <c r="W74" s="21" t="str">
        <f aca="false">IFERROR(INDEX(종합!W$3:W$501,MATCH(ROW()-2,종합!$AC$3:$AC$501,0))&amp;"","")</f>
        <v>상무</v>
      </c>
      <c r="X74" s="21" t="str">
        <f aca="false">IFERROR(INDEX(종합!X$3:X$501,MATCH(ROW()-2,종합!$AC$3:$AC$501,0))&amp;"","")</f>
        <v>010-5508-2822</v>
      </c>
      <c r="Y74" s="21" t="str">
        <f aca="false">IFERROR(INDEX(종합!Y$3:Y$501,MATCH(ROW()-2,종합!$AC$3:$AC$501,0))&amp;"","")</f>
        <v>jhlee@dfocus.net</v>
      </c>
      <c r="Z74" s="21" t="str">
        <f aca="false">IFERROR(INDEX(종합!Z$3:Z$501,MATCH(ROW()-2,종합!$AC$3:$AC$501,0))&amp;"","")</f>
        <v>010-5508-2822</v>
      </c>
    </row>
    <row r="75" customFormat="false" ht="22.5" hidden="false" customHeight="true" outlineLevel="0" collapsed="false">
      <c r="A75" s="18" t="n">
        <f aca="false">IF(B75="","",ROW()-2)</f>
        <v>73</v>
      </c>
      <c r="B75" s="18" t="str">
        <f aca="false">IFERROR(INDEX(종합!B$3:B$501,MATCH(ROW()-2,종합!$AC$3:$AC$501,0))&amp;"","")</f>
        <v>주식회사 타임리</v>
      </c>
      <c r="C75" s="18" t="str">
        <f aca="false">IFERROR(INDEX(종합!C$3:C$501,MATCH(ROW()-2,종합!$AC$3:$AC$501,0))&amp;"","")</f>
        <v/>
      </c>
      <c r="D75" s="18" t="str">
        <f aca="false">IFERROR(INDEX(종합!D$3:D$501,MATCH(ROW()-2,종합!$AC$3:$AC$501,0))&amp;"","")</f>
        <v>O</v>
      </c>
      <c r="E75" s="18" t="str">
        <f aca="false">IFERROR(INDEX(종합!E$3:E$501,MATCH(ROW()-2,종합!$AC$3:$AC$501,0))&amp;"","")</f>
        <v/>
      </c>
      <c r="F75" s="18" t="str">
        <f aca="false">IFERROR(INDEX(종합!F$3:F$501,MATCH(ROW()-2,종합!$AC$3:$AC$501,0))&amp;"","")</f>
        <v/>
      </c>
      <c r="G75" s="18" t="str">
        <f aca="false">IFERROR(INDEX(종합!G$3:G$501,MATCH(ROW()-2,종합!$AC$3:$AC$501,0))&amp;"","")</f>
        <v>중소기업</v>
      </c>
      <c r="H75" s="21" t="str">
        <f aca="false">IFERROR(INDEX(종합!H$3:H$501,MATCH(ROW()-2,종합!$AC$3:$AC$501,0))&amp;"","")</f>
        <v>229-88-01044</v>
      </c>
      <c r="I75" s="21" t="str">
        <f aca="false">IFERROR(INDEX(종합!I$3:I$501,MATCH(ROW()-2,종합!$AC$3:$AC$501,0))&amp;"","")</f>
        <v>김대환</v>
      </c>
      <c r="J75" s="21" t="str">
        <f aca="false">IFERROR(INDEX(종합!J$3:J$501,MATCH(ROW()-2,종합!$AC$3:$AC$501,0))&amp;"","")</f>
        <v>053-325-4958</v>
      </c>
      <c r="K75" s="21" t="str">
        <f aca="false">IFERROR(INDEX(종합!K$3:K$501,MATCH(ROW()-2,종합!$AC$3:$AC$501,0))&amp;"","")</f>
        <v>www.timelygpt.co.kr</v>
      </c>
      <c r="L75" s="21" t="str">
        <f aca="false">IFERROR(INDEX(종합!L$3:L$501,MATCH(ROW()-2,종합!$AC$3:$AC$501,0))&amp;"","")</f>
        <v>jueunji116@gmail.com</v>
      </c>
      <c r="M75" s="21" t="str">
        <f aca="false">IFERROR(INDEX(종합!M$3:M$501,MATCH(ROW()-2,종합!$AC$3:$AC$501,0))&amp;"","")</f>
        <v>대구광역시 수성구 알파시티1로 160, 315호</v>
      </c>
      <c r="N75" s="25" t="str">
        <f aca="false">IFERROR(INDEX(종합!N$3:N$501,MATCH(ROW()-2,종합!$AC$3:$AC$501,0))&amp;"","")</f>
        <v>Agentic AI 및 AI Assistant 플랫폼</v>
      </c>
      <c r="O75" s="21" t="str">
        <f aca="false">IFERROR(INDEX(종합!O$3:O$501,MATCH(ROW()-2,종합!$AC$3:$AC$501,0))&amp;"","")</f>
        <v>김대환</v>
      </c>
      <c r="P75" s="21" t="str">
        <f aca="false">IFERROR(INDEX(종합!P$3:P$501,MATCH(ROW()-2,종합!$AC$3:$AC$501,0))&amp;"","")</f>
        <v>경영지원</v>
      </c>
      <c r="Q75" s="21" t="str">
        <f aca="false">IFERROR(INDEX(종합!Q$3:Q$501,MATCH(ROW()-2,종합!$AC$3:$AC$501,0))&amp;"","")</f>
        <v>대표이사</v>
      </c>
      <c r="R75" s="21" t="str">
        <f aca="false">IFERROR(INDEX(종합!R$3:R$501,MATCH(ROW()-2,종합!$AC$3:$AC$501,0))&amp;"","")</f>
        <v>053-325-4958</v>
      </c>
      <c r="S75" s="21" t="str">
        <f aca="false">IFERROR(INDEX(종합!S$3:S$501,MATCH(ROW()-2,종합!$AC$3:$AC$501,0))&amp;"","")</f>
        <v>dhkim@timely.kr</v>
      </c>
      <c r="T75" s="21" t="str">
        <f aca="false">IFERROR(INDEX(종합!T$3:T$501,MATCH(ROW()-2,종합!$AC$3:$AC$501,0))&amp;"","")</f>
        <v>010-7999-4807</v>
      </c>
      <c r="U75" s="21" t="str">
        <f aca="false">IFERROR(INDEX(종합!U$3:U$501,MATCH(ROW()-2,종합!$AC$3:$AC$501,0))&amp;"","")</f>
        <v>주은지</v>
      </c>
      <c r="V75" s="21" t="str">
        <f aca="false">IFERROR(INDEX(종합!V$3:V$501,MATCH(ROW()-2,종합!$AC$3:$AC$501,0))&amp;"","")</f>
        <v>경영지원</v>
      </c>
      <c r="W75" s="21" t="str">
        <f aca="false">IFERROR(INDEX(종합!W$3:W$501,MATCH(ROW()-2,종합!$AC$3:$AC$501,0))&amp;"","")</f>
        <v>대리</v>
      </c>
      <c r="X75" s="21" t="str">
        <f aca="false">IFERROR(INDEX(종합!X$3:X$501,MATCH(ROW()-2,종합!$AC$3:$AC$501,0))&amp;"","")</f>
        <v>053-325-4958</v>
      </c>
      <c r="Y75" s="21" t="str">
        <f aca="false">IFERROR(INDEX(종합!Y$3:Y$501,MATCH(ROW()-2,종합!$AC$3:$AC$501,0))&amp;"","")</f>
        <v>jkkim@timely.kr</v>
      </c>
      <c r="Z75" s="21" t="str">
        <f aca="false">IFERROR(INDEX(종합!Z$3:Z$501,MATCH(ROW()-2,종합!$AC$3:$AC$501,0))&amp;"","")</f>
        <v>010-6666-3691</v>
      </c>
    </row>
    <row r="76" customFormat="false" ht="47.25" hidden="false" customHeight="true" outlineLevel="0" collapsed="false">
      <c r="A76" s="18" t="n">
        <f aca="false">IF(B76="","",ROW()-2)</f>
        <v>74</v>
      </c>
      <c r="B76" s="18" t="str">
        <f aca="false">IFERROR(INDEX(종합!B$3:B$501,MATCH(ROW()-2,종합!$AC$3:$AC$501,0))&amp;"","")</f>
        <v>주식회사 알프레드</v>
      </c>
      <c r="C76" s="18" t="str">
        <f aca="false">IFERROR(INDEX(종합!C$3:C$501,MATCH(ROW()-2,종합!$AC$3:$AC$501,0))&amp;"","")</f>
        <v/>
      </c>
      <c r="D76" s="18" t="str">
        <f aca="false">IFERROR(INDEX(종합!D$3:D$501,MATCH(ROW()-2,종합!$AC$3:$AC$501,0))&amp;"","")</f>
        <v>O</v>
      </c>
      <c r="E76" s="18" t="str">
        <f aca="false">IFERROR(INDEX(종합!E$3:E$501,MATCH(ROW()-2,종합!$AC$3:$AC$501,0))&amp;"","")</f>
        <v/>
      </c>
      <c r="F76" s="18" t="str">
        <f aca="false">IFERROR(INDEX(종합!F$3:F$501,MATCH(ROW()-2,종합!$AC$3:$AC$501,0))&amp;"","")</f>
        <v/>
      </c>
      <c r="G76" s="18" t="str">
        <f aca="false">IFERROR(INDEX(종합!G$3:G$501,MATCH(ROW()-2,종합!$AC$3:$AC$501,0))&amp;"","")</f>
        <v>중소기업</v>
      </c>
      <c r="H76" s="21" t="str">
        <f aca="false">IFERROR(INDEX(종합!H$3:H$501,MATCH(ROW()-2,종합!$AC$3:$AC$501,0))&amp;"","")</f>
        <v>807-81-00564</v>
      </c>
      <c r="I76" s="21" t="str">
        <f aca="false">IFERROR(INDEX(종합!I$3:I$501,MATCH(ROW()-2,종합!$AC$3:$AC$501,0))&amp;"","")</f>
        <v>옥형석</v>
      </c>
      <c r="J76" s="21" t="str">
        <f aca="false">IFERROR(INDEX(종합!J$3:J$501,MATCH(ROW()-2,종합!$AC$3:$AC$501,0))&amp;"","")</f>
        <v>010-8708-8394</v>
      </c>
      <c r="K76" s="21" t="str">
        <f aca="false">IFERROR(INDEX(종합!K$3:K$501,MATCH(ROW()-2,종합!$AC$3:$AC$501,0))&amp;"","")</f>
        <v>https://www.heum.ai/ko/home</v>
      </c>
      <c r="L76" s="21" t="str">
        <f aca="false">IFERROR(INDEX(종합!L$3:L$501,MATCH(ROW()-2,종합!$AC$3:$AC$501,0))&amp;"","")</f>
        <v>ilgu.gim@heumlabs.io</v>
      </c>
      <c r="M76" s="21" t="str">
        <f aca="false">IFERROR(INDEX(종합!M$3:M$501,MATCH(ROW()-2,종합!$AC$3:$AC$501,0))&amp;"","")</f>
        <v>서울 강남구 테헤란로86길 13 지하2층, 2~4층</v>
      </c>
      <c r="N76" s="25" t="str">
        <f aca="false">IFERROR(INDEX(종합!N$3:N$501,MATCH(ROW()-2,종합!$AC$3:$AC$501,0))&amp;"","")</f>
        <v>사업자를 위한  금융 에이전트 - Heum은 초격차 기술을 기반으로   사업자를 위한 경리/급여/세무 에이전트를 개발합니다.</v>
      </c>
      <c r="O76" s="21" t="str">
        <f aca="false">IFERROR(INDEX(종합!O$3:O$501,MATCH(ROW()-2,종합!$AC$3:$AC$501,0))&amp;"","")</f>
        <v>옥형석</v>
      </c>
      <c r="P76" s="21" t="str">
        <f aca="false">IFERROR(INDEX(종합!P$3:P$501,MATCH(ROW()-2,종합!$AC$3:$AC$501,0))&amp;"","")</f>
        <v>총괄</v>
      </c>
      <c r="Q76" s="21" t="str">
        <f aca="false">IFERROR(INDEX(종합!Q$3:Q$501,MATCH(ROW()-2,종합!$AC$3:$AC$501,0))&amp;"","")</f>
        <v>대표</v>
      </c>
      <c r="R76" s="21" t="str">
        <f aca="false">IFERROR(INDEX(종합!R$3:R$501,MATCH(ROW()-2,종합!$AC$3:$AC$501,0))&amp;"","")</f>
        <v>010-8708-8394</v>
      </c>
      <c r="S76" s="21" t="str">
        <f aca="false">IFERROR(INDEX(종합!S$3:S$501,MATCH(ROW()-2,종합!$AC$3:$AC$501,0))&amp;"","")</f>
        <v>hs.ohk@heumlabs.io</v>
      </c>
      <c r="T76" s="21" t="str">
        <f aca="false">IFERROR(INDEX(종합!T$3:T$501,MATCH(ROW()-2,종합!$AC$3:$AC$501,0))&amp;"","")</f>
        <v>010-8708-8394</v>
      </c>
      <c r="U76" s="21" t="str">
        <f aca="false">IFERROR(INDEX(종합!U$3:U$501,MATCH(ROW()-2,종합!$AC$3:$AC$501,0))&amp;"","")</f>
        <v>김태호</v>
      </c>
      <c r="V76" s="21" t="str">
        <f aca="false">IFERROR(INDEX(종합!V$3:V$501,MATCH(ROW()-2,종합!$AC$3:$AC$501,0))&amp;"","")</f>
        <v>전략제휴팀</v>
      </c>
      <c r="W76" s="21" t="str">
        <f aca="false">IFERROR(INDEX(종합!W$3:W$501,MATCH(ROW()-2,종합!$AC$3:$AC$501,0))&amp;"","")</f>
        <v>매니저</v>
      </c>
      <c r="X76" s="21" t="str">
        <f aca="false">IFERROR(INDEX(종합!X$3:X$501,MATCH(ROW()-2,종합!$AC$3:$AC$501,0))&amp;"","")</f>
        <v>010-7149-2684</v>
      </c>
      <c r="Y76" s="21" t="str">
        <f aca="false">IFERROR(INDEX(종합!Y$3:Y$501,MATCH(ROW()-2,종합!$AC$3:$AC$501,0))&amp;"","")</f>
        <v>taeho.kim@heumlabs.io</v>
      </c>
      <c r="Z76" s="21" t="str">
        <f aca="false">IFERROR(INDEX(종합!Z$3:Z$501,MATCH(ROW()-2,종합!$AC$3:$AC$501,0))&amp;"","")</f>
        <v>010-7149-2684</v>
      </c>
    </row>
    <row r="77" customFormat="false" ht="33.75" hidden="false" customHeight="true" outlineLevel="0" collapsed="false">
      <c r="A77" s="18" t="n">
        <f aca="false">IF(B77="","",ROW()-2)</f>
        <v>75</v>
      </c>
      <c r="B77" s="18" t="str">
        <f aca="false">IFERROR(INDEX(종합!B$3:B$501,MATCH(ROW()-2,종합!$AC$3:$AC$501,0))&amp;"","")</f>
        <v>주식회사 모티버</v>
      </c>
      <c r="C77" s="18" t="str">
        <f aca="false">IFERROR(INDEX(종합!C$3:C$501,MATCH(ROW()-2,종합!$AC$3:$AC$501,0))&amp;"","")</f>
        <v/>
      </c>
      <c r="D77" s="18" t="str">
        <f aca="false">IFERROR(INDEX(종합!D$3:D$501,MATCH(ROW()-2,종합!$AC$3:$AC$501,0))&amp;"","")</f>
        <v>O</v>
      </c>
      <c r="E77" s="18" t="str">
        <f aca="false">IFERROR(INDEX(종합!E$3:E$501,MATCH(ROW()-2,종합!$AC$3:$AC$501,0))&amp;"","")</f>
        <v/>
      </c>
      <c r="F77" s="18" t="str">
        <f aca="false">IFERROR(INDEX(종합!F$3:F$501,MATCH(ROW()-2,종합!$AC$3:$AC$501,0))&amp;"","")</f>
        <v/>
      </c>
      <c r="G77" s="18" t="str">
        <f aca="false">IFERROR(INDEX(종합!G$3:G$501,MATCH(ROW()-2,종합!$AC$3:$AC$501,0))&amp;"","")</f>
        <v>중소기업</v>
      </c>
      <c r="H77" s="21" t="str">
        <f aca="false">IFERROR(INDEX(종합!H$3:H$501,MATCH(ROW()-2,종합!$AC$3:$AC$501,0))&amp;"","")</f>
        <v>828-81-01240</v>
      </c>
      <c r="I77" s="21" t="str">
        <f aca="false">IFERROR(INDEX(종합!I$3:I$501,MATCH(ROW()-2,종합!$AC$3:$AC$501,0))&amp;"","")</f>
        <v>황성원</v>
      </c>
      <c r="J77" s="21" t="str">
        <f aca="false">IFERROR(INDEX(종합!J$3:J$501,MATCH(ROW()-2,종합!$AC$3:$AC$501,0))&amp;"","")</f>
        <v>010-5504-2406</v>
      </c>
      <c r="K77" s="21" t="str">
        <f aca="false">IFERROR(INDEX(종합!K$3:K$501,MATCH(ROW()-2,종합!$AC$3:$AC$501,0))&amp;"","")</f>
        <v>www.motivr.co.kr</v>
      </c>
      <c r="L77" s="21" t="str">
        <f aca="false">IFERROR(INDEX(종합!L$3:L$501,MATCH(ROW()-2,종합!$AC$3:$AC$501,0))&amp;"","")</f>
        <v>motivr@motivr.co.kr</v>
      </c>
      <c r="M77" s="21" t="str">
        <f aca="false">IFERROR(INDEX(종합!M$3:M$501,MATCH(ROW()-2,종합!$AC$3:$AC$501,0))&amp;"","")</f>
        <v>대구 수성구 알파시티1로35길 17 2층</v>
      </c>
      <c r="N77" s="25" t="str">
        <f aca="false">IFERROR(INDEX(종합!N$3:N$501,MATCH(ROW()-2,종합!$AC$3:$AC$501,0))&amp;"","")</f>
        <v>3D 디지털트윈시스템 , 실감형 사격시뮬레이션 , 맞춤형 AI Agent 학습</v>
      </c>
      <c r="O77" s="21" t="str">
        <f aca="false">IFERROR(INDEX(종합!O$3:O$501,MATCH(ROW()-2,종합!$AC$3:$AC$501,0))&amp;"","")</f>
        <v>황성원</v>
      </c>
      <c r="P77" s="21" t="str">
        <f aca="false">IFERROR(INDEX(종합!P$3:P$501,MATCH(ROW()-2,종합!$AC$3:$AC$501,0))&amp;"","")</f>
        <v>총괄</v>
      </c>
      <c r="Q77" s="21" t="str">
        <f aca="false">IFERROR(INDEX(종합!Q$3:Q$501,MATCH(ROW()-2,종합!$AC$3:$AC$501,0))&amp;"","")</f>
        <v>대표</v>
      </c>
      <c r="R77" s="21" t="str">
        <f aca="false">IFERROR(INDEX(종합!R$3:R$501,MATCH(ROW()-2,종합!$AC$3:$AC$501,0))&amp;"","")</f>
        <v>010-5504-2406</v>
      </c>
      <c r="S77" s="21" t="str">
        <f aca="false">IFERROR(INDEX(종합!S$3:S$501,MATCH(ROW()-2,종합!$AC$3:$AC$501,0))&amp;"","")</f>
        <v>motivr@motivr.co.kr</v>
      </c>
      <c r="T77" s="21" t="str">
        <f aca="false">IFERROR(INDEX(종합!T$3:T$501,MATCH(ROW()-2,종합!$AC$3:$AC$501,0))&amp;"","")</f>
        <v>010-5504-2406</v>
      </c>
      <c r="U77" s="21" t="str">
        <f aca="false">IFERROR(INDEX(종합!U$3:U$501,MATCH(ROW()-2,종합!$AC$3:$AC$501,0))&amp;"","")</f>
        <v>권혁규</v>
      </c>
      <c r="V77" s="21" t="str">
        <f aca="false">IFERROR(INDEX(종합!V$3:V$501,MATCH(ROW()-2,종합!$AC$3:$AC$501,0))&amp;"","")</f>
        <v>개발</v>
      </c>
      <c r="W77" s="21" t="str">
        <f aca="false">IFERROR(INDEX(종합!W$3:W$501,MATCH(ROW()-2,종합!$AC$3:$AC$501,0))&amp;"","")</f>
        <v>책임연구원</v>
      </c>
      <c r="X77" s="21" t="str">
        <f aca="false">IFERROR(INDEX(종합!X$3:X$501,MATCH(ROW()-2,종합!$AC$3:$AC$501,0))&amp;"","")</f>
        <v>010-5504-2406</v>
      </c>
      <c r="Y77" s="21" t="str">
        <f aca="false">IFERROR(INDEX(종합!Y$3:Y$501,MATCH(ROW()-2,종합!$AC$3:$AC$501,0))&amp;"","")</f>
        <v>motivr@motivr.co.kr</v>
      </c>
      <c r="Z77" s="21" t="str">
        <f aca="false">IFERROR(INDEX(종합!Z$3:Z$501,MATCH(ROW()-2,종합!$AC$3:$AC$501,0))&amp;"","")</f>
        <v>010-4002-7519</v>
      </c>
    </row>
    <row r="78" customFormat="false" ht="22.5" hidden="false" customHeight="true" outlineLevel="0" collapsed="false">
      <c r="A78" s="18" t="n">
        <f aca="false">IF(B78="","",ROW()-2)</f>
        <v>76</v>
      </c>
      <c r="B78" s="18" t="str">
        <f aca="false">IFERROR(INDEX(종합!B$3:B$501,MATCH(ROW()-2,종합!$AC$3:$AC$501,0))&amp;"","")</f>
        <v>크리니티 주식회사</v>
      </c>
      <c r="C78" s="18" t="str">
        <f aca="false">IFERROR(INDEX(종합!C$3:C$501,MATCH(ROW()-2,종합!$AC$3:$AC$501,0))&amp;"","")</f>
        <v/>
      </c>
      <c r="D78" s="18" t="str">
        <f aca="false">IFERROR(INDEX(종합!D$3:D$501,MATCH(ROW()-2,종합!$AC$3:$AC$501,0))&amp;"","")</f>
        <v>O</v>
      </c>
      <c r="E78" s="18" t="str">
        <f aca="false">IFERROR(INDEX(종합!E$3:E$501,MATCH(ROW()-2,종합!$AC$3:$AC$501,0))&amp;"","")</f>
        <v/>
      </c>
      <c r="F78" s="18" t="str">
        <f aca="false">IFERROR(INDEX(종합!F$3:F$501,MATCH(ROW()-2,종합!$AC$3:$AC$501,0))&amp;"","")</f>
        <v/>
      </c>
      <c r="G78" s="18" t="str">
        <f aca="false">IFERROR(INDEX(종합!G$3:G$501,MATCH(ROW()-2,종합!$AC$3:$AC$501,0))&amp;"","")</f>
        <v>중소기업</v>
      </c>
      <c r="H78" s="21" t="str">
        <f aca="false">IFERROR(INDEX(종합!H$3:H$501,MATCH(ROW()-2,종합!$AC$3:$AC$501,0))&amp;"","")</f>
        <v>229-81-34605</v>
      </c>
      <c r="I78" s="21" t="str">
        <f aca="false">IFERROR(INDEX(종합!I$3:I$501,MATCH(ROW()-2,종합!$AC$3:$AC$501,0))&amp;"","")</f>
        <v>유병선</v>
      </c>
      <c r="J78" s="21" t="str">
        <f aca="false">IFERROR(INDEX(종합!J$3:J$501,MATCH(ROW()-2,종합!$AC$3:$AC$501,0))&amp;"","")</f>
        <v>070-7018-0030</v>
      </c>
      <c r="K78" s="21" t="str">
        <f aca="false">IFERROR(INDEX(종합!K$3:K$501,MATCH(ROW()-2,종합!$AC$3:$AC$501,0))&amp;"","")</f>
        <v>https://www.crinity.com/</v>
      </c>
      <c r="L78" s="21" t="str">
        <f aca="false">IFERROR(INDEX(종합!L$3:L$501,MATCH(ROW()-2,종합!$AC$3:$AC$501,0))&amp;"","")</f>
        <v>lhj20561@gmail.com</v>
      </c>
      <c r="M78" s="21" t="str">
        <f aca="false">IFERROR(INDEX(종합!M$3:M$501,MATCH(ROW()-2,종합!$AC$3:$AC$501,0))&amp;"","")</f>
        <v>서울시 금천구 벚꽃로 244 807~810호, 901호(가산동, 벽산디지털밸리5차)</v>
      </c>
      <c r="N78" s="25" t="str">
        <f aca="false">IFERROR(INDEX(종합!N$3:N$501,MATCH(ROW()-2,종합!$AC$3:$AC$501,0))&amp;"","")</f>
        <v>써팀(AI기반 소통 협업툴), G-CLD(공공 SaaS 웹메일)</v>
      </c>
      <c r="O78" s="21" t="str">
        <f aca="false">IFERROR(INDEX(종합!O$3:O$501,MATCH(ROW()-2,종합!$AC$3:$AC$501,0))&amp;"","")</f>
        <v>최훈</v>
      </c>
      <c r="P78" s="21" t="str">
        <f aca="false">IFERROR(INDEX(종합!P$3:P$501,MATCH(ROW()-2,종합!$AC$3:$AC$501,0))&amp;"","")</f>
        <v>DT유니트</v>
      </c>
      <c r="Q78" s="21" t="str">
        <f aca="false">IFERROR(INDEX(종합!Q$3:Q$501,MATCH(ROW()-2,종합!$AC$3:$AC$501,0))&amp;"","")</f>
        <v>이사/유니트장</v>
      </c>
      <c r="R78" s="21" t="str">
        <f aca="false">IFERROR(INDEX(종합!R$3:R$501,MATCH(ROW()-2,종합!$AC$3:$AC$501,0))&amp;"","")</f>
        <v>070-7018-9267</v>
      </c>
      <c r="S78" s="21" t="str">
        <f aca="false">IFERROR(INDEX(종합!S$3:S$501,MATCH(ROW()-2,종합!$AC$3:$AC$501,0))&amp;"","")</f>
        <v>ch197cm@crinity.com</v>
      </c>
      <c r="T78" s="21" t="str">
        <f aca="false">IFERROR(INDEX(종합!T$3:T$501,MATCH(ROW()-2,종합!$AC$3:$AC$501,0))&amp;"","")</f>
        <v>010-9052-7905</v>
      </c>
      <c r="U78" s="21" t="str">
        <f aca="false">IFERROR(INDEX(종합!U$3:U$501,MATCH(ROW()-2,종합!$AC$3:$AC$501,0))&amp;"","")</f>
        <v>이희준</v>
      </c>
      <c r="V78" s="21" t="str">
        <f aca="false">IFERROR(INDEX(종합!V$3:V$501,MATCH(ROW()-2,종합!$AC$3:$AC$501,0))&amp;"","")</f>
        <v>기획마케팅팀</v>
      </c>
      <c r="W78" s="21" t="str">
        <f aca="false">IFERROR(INDEX(종합!W$3:W$501,MATCH(ROW()-2,종합!$AC$3:$AC$501,0))&amp;"","")</f>
        <v>과장/팀원</v>
      </c>
      <c r="X78" s="21" t="str">
        <f aca="false">IFERROR(INDEX(종합!X$3:X$501,MATCH(ROW()-2,종합!$AC$3:$AC$501,0))&amp;"","")</f>
        <v>070-7018-9296</v>
      </c>
      <c r="Y78" s="21" t="str">
        <f aca="false">IFERROR(INDEX(종합!Y$3:Y$501,MATCH(ROW()-2,종합!$AC$3:$AC$501,0))&amp;"","")</f>
        <v>lhj@crinity.com</v>
      </c>
      <c r="Z78" s="21" t="str">
        <f aca="false">IFERROR(INDEX(종합!Z$3:Z$501,MATCH(ROW()-2,종합!$AC$3:$AC$501,0))&amp;"","")</f>
        <v>010-2507-6734</v>
      </c>
    </row>
    <row r="79" customFormat="false" ht="22.5" hidden="false" customHeight="true" outlineLevel="0" collapsed="false">
      <c r="A79" s="18" t="n">
        <f aca="false">IF(B79="","",ROW()-2)</f>
        <v>77</v>
      </c>
      <c r="B79" s="18" t="str">
        <f aca="false">IFERROR(INDEX(종합!B$3:B$501,MATCH(ROW()-2,종합!$AC$3:$AC$501,0))&amp;"","")</f>
        <v>코데이터솔루션 주식회사</v>
      </c>
      <c r="C79" s="18" t="str">
        <f aca="false">IFERROR(INDEX(종합!C$3:C$501,MATCH(ROW()-2,종합!$AC$3:$AC$501,0))&amp;"","")</f>
        <v/>
      </c>
      <c r="D79" s="18" t="str">
        <f aca="false">IFERROR(INDEX(종합!D$3:D$501,MATCH(ROW()-2,종합!$AC$3:$AC$501,0))&amp;"","")</f>
        <v>O</v>
      </c>
      <c r="E79" s="18" t="str">
        <f aca="false">IFERROR(INDEX(종합!E$3:E$501,MATCH(ROW()-2,종합!$AC$3:$AC$501,0))&amp;"","")</f>
        <v/>
      </c>
      <c r="F79" s="18" t="str">
        <f aca="false">IFERROR(INDEX(종합!F$3:F$501,MATCH(ROW()-2,종합!$AC$3:$AC$501,0))&amp;"","")</f>
        <v/>
      </c>
      <c r="G79" s="18" t="str">
        <f aca="false">IFERROR(INDEX(종합!G$3:G$501,MATCH(ROW()-2,종합!$AC$3:$AC$501,0))&amp;"","")</f>
        <v>중소기업</v>
      </c>
      <c r="H79" s="21" t="str">
        <f aca="false">IFERROR(INDEX(종합!H$3:H$501,MATCH(ROW()-2,종합!$AC$3:$AC$501,0))&amp;"","")</f>
        <v>575-86-02791</v>
      </c>
      <c r="I79" s="21" t="str">
        <f aca="false">IFERROR(INDEX(종합!I$3:I$501,MATCH(ROW()-2,종합!$AC$3:$AC$501,0))&amp;"","")</f>
        <v>문경록</v>
      </c>
      <c r="J79" s="21" t="str">
        <f aca="false">IFERROR(INDEX(종합!J$3:J$501,MATCH(ROW()-2,종합!$AC$3:$AC$501,0))&amp;"","")</f>
        <v>02-780-9871</v>
      </c>
      <c r="K79" s="21" t="str">
        <f aca="false">IFERROR(INDEX(종합!K$3:K$501,MATCH(ROW()-2,종합!$AC$3:$AC$501,0))&amp;"","")</f>
        <v>www.kodatasolution.co.kr</v>
      </c>
      <c r="L79" s="21" t="str">
        <f aca="false">IFERROR(INDEX(종합!L$3:L$501,MATCH(ROW()-2,종합!$AC$3:$AC$501,0))&amp;"","")</f>
        <v>cihbox21@gmail.com</v>
      </c>
      <c r="M79" s="21" t="str">
        <f aca="false">IFERROR(INDEX(종합!M$3:M$501,MATCH(ROW()-2,종합!$AC$3:$AC$501,0))&amp;"","")</f>
        <v>서울특별시 영등포구 의사당대로 21, 3층(여의도동, 한국평가데이터 빌딩)</v>
      </c>
      <c r="N79" s="25" t="str">
        <f aca="false">IFERROR(INDEX(종합!N$3:N$501,MATCH(ROW()-2,종합!$AC$3:$AC$501,0))&amp;"","")</f>
        <v>AI · 빅데이터 플랫폼 구축 등</v>
      </c>
      <c r="O79" s="21" t="str">
        <f aca="false">IFERROR(INDEX(종합!O$3:O$501,MATCH(ROW()-2,종합!$AC$3:$AC$501,0))&amp;"","")</f>
        <v>안영재</v>
      </c>
      <c r="P79" s="21" t="str">
        <f aca="false">IFERROR(INDEX(종합!P$3:P$501,MATCH(ROW()-2,종합!$AC$3:$AC$501,0))&amp;"","")</f>
        <v>데이터플랫폼본부</v>
      </c>
      <c r="Q79" s="21" t="str">
        <f aca="false">IFERROR(INDEX(종합!Q$3:Q$501,MATCH(ROW()-2,종합!$AC$3:$AC$501,0))&amp;"","")</f>
        <v>본부장</v>
      </c>
      <c r="R79" s="21" t="str">
        <f aca="false">IFERROR(INDEX(종합!R$3:R$501,MATCH(ROW()-2,종합!$AC$3:$AC$501,0))&amp;"","")</f>
        <v>02-780-9870</v>
      </c>
      <c r="S79" s="21" t="str">
        <f aca="false">IFERROR(INDEX(종합!S$3:S$501,MATCH(ROW()-2,종합!$AC$3:$AC$501,0))&amp;"","")</f>
        <v>yjan@kodatasolution.co.kr</v>
      </c>
      <c r="T79" s="21" t="str">
        <f aca="false">IFERROR(INDEX(종합!T$3:T$501,MATCH(ROW()-2,종합!$AC$3:$AC$501,0))&amp;"","")</f>
        <v>010-2010-0058</v>
      </c>
      <c r="U79" s="21" t="str">
        <f aca="false">IFERROR(INDEX(종합!U$3:U$501,MATCH(ROW()-2,종합!$AC$3:$AC$501,0))&amp;"","")</f>
        <v>차일환</v>
      </c>
      <c r="V79" s="21" t="str">
        <f aca="false">IFERROR(INDEX(종합!V$3:V$501,MATCH(ROW()-2,종합!$AC$3:$AC$501,0))&amp;"","")</f>
        <v>데이터플랫폼본부 AI테크팀</v>
      </c>
      <c r="W79" s="21" t="str">
        <f aca="false">IFERROR(INDEX(종합!W$3:W$501,MATCH(ROW()-2,종합!$AC$3:$AC$501,0))&amp;"","")</f>
        <v>팀장</v>
      </c>
      <c r="X79" s="21" t="str">
        <f aca="false">IFERROR(INDEX(종합!X$3:X$501,MATCH(ROW()-2,종합!$AC$3:$AC$501,0))&amp;"","")</f>
        <v>02-780-9830</v>
      </c>
      <c r="Y79" s="21" t="str">
        <f aca="false">IFERROR(INDEX(종합!Y$3:Y$501,MATCH(ROW()-2,종합!$AC$3:$AC$501,0))&amp;"","")</f>
        <v>ihcha@kodatasolution.co.kr</v>
      </c>
      <c r="Z79" s="21" t="str">
        <f aca="false">IFERROR(INDEX(종합!Z$3:Z$501,MATCH(ROW()-2,종합!$AC$3:$AC$501,0))&amp;"","")</f>
        <v>010-2028-6145</v>
      </c>
    </row>
    <row r="80" customFormat="false" ht="33.75" hidden="false" customHeight="true" outlineLevel="0" collapsed="false">
      <c r="A80" s="18" t="n">
        <f aca="false">IF(B80="","",ROW()-2)</f>
        <v>78</v>
      </c>
      <c r="B80" s="18" t="str">
        <f aca="false">IFERROR(INDEX(종합!B$3:B$501,MATCH(ROW()-2,종합!$AC$3:$AC$501,0))&amp;"","")</f>
        <v>(주)비큐에이아이</v>
      </c>
      <c r="C80" s="18" t="str">
        <f aca="false">IFERROR(INDEX(종합!C$3:C$501,MATCH(ROW()-2,종합!$AC$3:$AC$501,0))&amp;"","")</f>
        <v/>
      </c>
      <c r="D80" s="18" t="str">
        <f aca="false">IFERROR(INDEX(종합!D$3:D$501,MATCH(ROW()-2,종합!$AC$3:$AC$501,0))&amp;"","")</f>
        <v>O</v>
      </c>
      <c r="E80" s="18" t="str">
        <f aca="false">IFERROR(INDEX(종합!E$3:E$501,MATCH(ROW()-2,종합!$AC$3:$AC$501,0))&amp;"","")</f>
        <v/>
      </c>
      <c r="F80" s="18" t="str">
        <f aca="false">IFERROR(INDEX(종합!F$3:F$501,MATCH(ROW()-2,종합!$AC$3:$AC$501,0))&amp;"","")</f>
        <v/>
      </c>
      <c r="G80" s="18" t="str">
        <f aca="false">IFERROR(INDEX(종합!G$3:G$501,MATCH(ROW()-2,종합!$AC$3:$AC$501,0))&amp;"","")</f>
        <v>중소기업</v>
      </c>
      <c r="H80" s="21" t="str">
        <f aca="false">IFERROR(INDEX(종합!H$3:H$501,MATCH(ROW()-2,종합!$AC$3:$AC$501,0))&amp;"","")</f>
        <v>221-81-13339</v>
      </c>
      <c r="I80" s="21" t="str">
        <f aca="false">IFERROR(INDEX(종합!I$3:I$501,MATCH(ROW()-2,종합!$AC$3:$AC$501,0))&amp;"","")</f>
        <v>임경환</v>
      </c>
      <c r="J80" s="21" t="str">
        <f aca="false">IFERROR(INDEX(종합!J$3:J$501,MATCH(ROW()-2,종합!$AC$3:$AC$501,0))&amp;"","")</f>
        <v>02-3487-0215</v>
      </c>
      <c r="K80" s="21" t="str">
        <f aca="false">IFERROR(INDEX(종합!K$3:K$501,MATCH(ROW()-2,종합!$AC$3:$AC$501,0))&amp;"","")</f>
        <v>https://becuai.com/</v>
      </c>
      <c r="L80" s="21" t="str">
        <f aca="false">IFERROR(INDEX(종합!L$3:L$501,MATCH(ROW()-2,종합!$AC$3:$AC$501,0))&amp;"","")</f>
        <v>kangseok0126@gmail.com</v>
      </c>
      <c r="M80" s="21" t="str">
        <f aca="false">IFERROR(INDEX(종합!M$3:M$501,MATCH(ROW()-2,종합!$AC$3:$AC$501,0))&amp;"","")</f>
        <v>서울특별시 중구 퇴계로 385 준타워 5,6,9층</v>
      </c>
      <c r="N80" s="25" t="str">
        <f aca="false">IFERROR(INDEX(종합!N$3:N$501,MATCH(ROW()-2,종합!$AC$3:$AC$501,0))&amp;"","")</f>
        <v>AI기반 멀티모달 데이터 유통, 가공 및 서비스 / 뉴스 기반 추론 모델  RDP-N1</v>
      </c>
      <c r="O80" s="21" t="str">
        <f aca="false">IFERROR(INDEX(종합!O$3:O$501,MATCH(ROW()-2,종합!$AC$3:$AC$501,0))&amp;"","")</f>
        <v>김규태</v>
      </c>
      <c r="P80" s="21" t="str">
        <f aca="false">IFERROR(INDEX(종합!P$3:P$501,MATCH(ROW()-2,종합!$AC$3:$AC$501,0))&amp;"","")</f>
        <v>AI사업전략실</v>
      </c>
      <c r="Q80" s="21" t="str">
        <f aca="false">IFERROR(INDEX(종합!Q$3:Q$501,MATCH(ROW()-2,종합!$AC$3:$AC$501,0))&amp;"","")</f>
        <v>CDO/이사</v>
      </c>
      <c r="R80" s="21" t="str">
        <f aca="false">IFERROR(INDEX(종합!R$3:R$501,MATCH(ROW()-2,종합!$AC$3:$AC$501,0))&amp;"","")</f>
        <v>070-7091-8044</v>
      </c>
      <c r="S80" s="21" t="str">
        <f aca="false">IFERROR(INDEX(종합!S$3:S$501,MATCH(ROW()-2,종합!$AC$3:$AC$501,0))&amp;"","")</f>
        <v>tony@becuai.com</v>
      </c>
      <c r="T80" s="21" t="str">
        <f aca="false">IFERROR(INDEX(종합!T$3:T$501,MATCH(ROW()-2,종합!$AC$3:$AC$501,0))&amp;"","")</f>
        <v>010-9268-9311</v>
      </c>
      <c r="U80" s="21" t="str">
        <f aca="false">IFERROR(INDEX(종합!U$3:U$501,MATCH(ROW()-2,종합!$AC$3:$AC$501,0))&amp;"","")</f>
        <v>김강석</v>
      </c>
      <c r="V80" s="21" t="str">
        <f aca="false">IFERROR(INDEX(종합!V$3:V$501,MATCH(ROW()-2,종합!$AC$3:$AC$501,0))&amp;"","")</f>
        <v>AI사업전략실</v>
      </c>
      <c r="W80" s="21" t="str">
        <f aca="false">IFERROR(INDEX(종합!W$3:W$501,MATCH(ROW()-2,종합!$AC$3:$AC$501,0))&amp;"","")</f>
        <v>팀장</v>
      </c>
      <c r="X80" s="21" t="str">
        <f aca="false">IFERROR(INDEX(종합!X$3:X$501,MATCH(ROW()-2,종합!$AC$3:$AC$501,0))&amp;"","")</f>
        <v>070-4469-7556</v>
      </c>
      <c r="Y80" s="21" t="str">
        <f aca="false">IFERROR(INDEX(종합!Y$3:Y$501,MATCH(ROW()-2,종합!$AC$3:$AC$501,0))&amp;"","")</f>
        <v>kskim@becuai.com</v>
      </c>
      <c r="Z80" s="21" t="str">
        <f aca="false">IFERROR(INDEX(종합!Z$3:Z$501,MATCH(ROW()-2,종합!$AC$3:$AC$501,0))&amp;"","")</f>
        <v>010-5532-7196</v>
      </c>
    </row>
    <row r="81" customFormat="false" ht="22.5" hidden="false" customHeight="true" outlineLevel="0" collapsed="false">
      <c r="A81" s="18" t="n">
        <f aca="false">IF(B81="","",ROW()-2)</f>
        <v>79</v>
      </c>
      <c r="B81" s="18" t="str">
        <f aca="false">IFERROR(INDEX(종합!B$3:B$501,MATCH(ROW()-2,종합!$AC$3:$AC$501,0))&amp;"","")</f>
        <v>(주)퍼즐시스템즈</v>
      </c>
      <c r="C81" s="18" t="str">
        <f aca="false">IFERROR(INDEX(종합!C$3:C$501,MATCH(ROW()-2,종합!$AC$3:$AC$501,0))&amp;"","")</f>
        <v/>
      </c>
      <c r="D81" s="18" t="str">
        <f aca="false">IFERROR(INDEX(종합!D$3:D$501,MATCH(ROW()-2,종합!$AC$3:$AC$501,0))&amp;"","")</f>
        <v>O</v>
      </c>
      <c r="E81" s="18" t="str">
        <f aca="false">IFERROR(INDEX(종합!E$3:E$501,MATCH(ROW()-2,종합!$AC$3:$AC$501,0))&amp;"","")</f>
        <v/>
      </c>
      <c r="F81" s="18" t="str">
        <f aca="false">IFERROR(INDEX(종합!F$3:F$501,MATCH(ROW()-2,종합!$AC$3:$AC$501,0))&amp;"","")</f>
        <v/>
      </c>
      <c r="G81" s="18" t="str">
        <f aca="false">IFERROR(INDEX(종합!G$3:G$501,MATCH(ROW()-2,종합!$AC$3:$AC$501,0))&amp;"","")</f>
        <v>중소기업</v>
      </c>
      <c r="H81" s="21" t="str">
        <f aca="false">IFERROR(INDEX(종합!H$3:H$501,MATCH(ROW()-2,종합!$AC$3:$AC$501,0))&amp;"","")</f>
        <v>410-88-00976</v>
      </c>
      <c r="I81" s="21" t="str">
        <f aca="false">IFERROR(INDEX(종합!I$3:I$501,MATCH(ROW()-2,종합!$AC$3:$AC$501,0))&amp;"","")</f>
        <v>김영일</v>
      </c>
      <c r="J81" s="21" t="str">
        <f aca="false">IFERROR(INDEX(종합!J$3:J$501,MATCH(ROW()-2,종합!$AC$3:$AC$501,0))&amp;"","")</f>
        <v>02-2135-1338</v>
      </c>
      <c r="K81" s="21" t="str">
        <f aca="false">IFERROR(INDEX(종합!K$3:K$501,MATCH(ROW()-2,종합!$AC$3:$AC$501,0))&amp;"","")</f>
        <v>www.puzzlesystems.co.kr</v>
      </c>
      <c r="L81" s="21" t="str">
        <f aca="false">IFERROR(INDEX(종합!L$3:L$501,MATCH(ROW()-2,종합!$AC$3:$AC$501,0))&amp;"","")</f>
        <v>heinem10@gmail.com</v>
      </c>
      <c r="M81" s="21" t="str">
        <f aca="false">IFERROR(INDEX(종합!M$3:M$501,MATCH(ROW()-2,종합!$AC$3:$AC$501,0))&amp;"","")</f>
        <v>07207 서울특별시 영등포구 양평로21길 26, 2406호 2407호</v>
      </c>
      <c r="N81" s="25" t="str">
        <f aca="false">IFERROR(INDEX(종합!N$3:N$501,MATCH(ROW()-2,종합!$AC$3:$AC$501,0))&amp;"","")</f>
        <v>SaaS Multi-Agent 자동화</v>
      </c>
      <c r="O81" s="21" t="str">
        <f aca="false">IFERROR(INDEX(종합!O$3:O$501,MATCH(ROW()-2,종합!$AC$3:$AC$501,0))&amp;"","")</f>
        <v>정준수</v>
      </c>
      <c r="P81" s="21" t="str">
        <f aca="false">IFERROR(INDEX(종합!P$3:P$501,MATCH(ROW()-2,종합!$AC$3:$AC$501,0))&amp;"","")</f>
        <v>기업부설연구소</v>
      </c>
      <c r="Q81" s="21" t="str">
        <f aca="false">IFERROR(INDEX(종합!Q$3:Q$501,MATCH(ROW()-2,종합!$AC$3:$AC$501,0))&amp;"","")</f>
        <v>연구소장</v>
      </c>
      <c r="R81" s="21" t="str">
        <f aca="false">IFERROR(INDEX(종합!R$3:R$501,MATCH(ROW()-2,종합!$AC$3:$AC$501,0))&amp;"","")</f>
        <v>02-2135-1338</v>
      </c>
      <c r="S81" s="21" t="str">
        <f aca="false">IFERROR(INDEX(종합!S$3:S$501,MATCH(ROW()-2,종합!$AC$3:$AC$501,0))&amp;"","")</f>
        <v>jsjeong@puzzlesystems.co.kr</v>
      </c>
      <c r="T81" s="21" t="str">
        <f aca="false">IFERROR(INDEX(종합!T$3:T$501,MATCH(ROW()-2,종합!$AC$3:$AC$501,0))&amp;"","")</f>
        <v>010-5359-3644</v>
      </c>
      <c r="U81" s="21" t="str">
        <f aca="false">IFERROR(INDEX(종합!U$3:U$501,MATCH(ROW()-2,종합!$AC$3:$AC$501,0))&amp;"","")</f>
        <v>정준수</v>
      </c>
      <c r="V81" s="21" t="str">
        <f aca="false">IFERROR(INDEX(종합!V$3:V$501,MATCH(ROW()-2,종합!$AC$3:$AC$501,0))&amp;"","")</f>
        <v>기업부설연구소</v>
      </c>
      <c r="W81" s="21" t="str">
        <f aca="false">IFERROR(INDEX(종합!W$3:W$501,MATCH(ROW()-2,종합!$AC$3:$AC$501,0))&amp;"","")</f>
        <v>연구소장</v>
      </c>
      <c r="X81" s="21" t="str">
        <f aca="false">IFERROR(INDEX(종합!X$3:X$501,MATCH(ROW()-2,종합!$AC$3:$AC$501,0))&amp;"","")</f>
        <v>02-2135-1338</v>
      </c>
      <c r="Y81" s="21" t="str">
        <f aca="false">IFERROR(INDEX(종합!Y$3:Y$501,MATCH(ROW()-2,종합!$AC$3:$AC$501,0))&amp;"","")</f>
        <v>jsjeong@puzzlesystems.co.kr</v>
      </c>
      <c r="Z81" s="21" t="str">
        <f aca="false">IFERROR(INDEX(종합!Z$3:Z$501,MATCH(ROW()-2,종합!$AC$3:$AC$501,0))&amp;"","")</f>
        <v>010-5359-3644</v>
      </c>
    </row>
    <row r="82" customFormat="false" ht="22.5" hidden="false" customHeight="true" outlineLevel="0" collapsed="false">
      <c r="A82" s="18" t="n">
        <f aca="false">IF(B82="","",ROW()-2)</f>
        <v>80</v>
      </c>
      <c r="B82" s="18" t="str">
        <f aca="false">IFERROR(INDEX(종합!B$3:B$501,MATCH(ROW()-2,종합!$AC$3:$AC$501,0))&amp;"","")</f>
        <v>(주)유라클</v>
      </c>
      <c r="C82" s="18" t="str">
        <f aca="false">IFERROR(INDEX(종합!C$3:C$501,MATCH(ROW()-2,종합!$AC$3:$AC$501,0))&amp;"","")</f>
        <v/>
      </c>
      <c r="D82" s="18" t="str">
        <f aca="false">IFERROR(INDEX(종합!D$3:D$501,MATCH(ROW()-2,종합!$AC$3:$AC$501,0))&amp;"","")</f>
        <v>O</v>
      </c>
      <c r="E82" s="18" t="str">
        <f aca="false">IFERROR(INDEX(종합!E$3:E$501,MATCH(ROW()-2,종합!$AC$3:$AC$501,0))&amp;"","")</f>
        <v/>
      </c>
      <c r="F82" s="18" t="str">
        <f aca="false">IFERROR(INDEX(종합!F$3:F$501,MATCH(ROW()-2,종합!$AC$3:$AC$501,0))&amp;"","")</f>
        <v/>
      </c>
      <c r="G82" s="18" t="str">
        <f aca="false">IFERROR(INDEX(종합!G$3:G$501,MATCH(ROW()-2,종합!$AC$3:$AC$501,0))&amp;"","")</f>
        <v>중소기업</v>
      </c>
      <c r="H82" s="21" t="str">
        <f aca="false">IFERROR(INDEX(종합!H$3:H$501,MATCH(ROW()-2,종합!$AC$3:$AC$501,0))&amp;"","")</f>
        <v>220-86-04415</v>
      </c>
      <c r="I82" s="21" t="str">
        <f aca="false">IFERROR(INDEX(종합!I$3:I$501,MATCH(ROW()-2,종합!$AC$3:$AC$501,0))&amp;"","")</f>
        <v>조준희, 권태일</v>
      </c>
      <c r="J82" s="21" t="str">
        <f aca="false">IFERROR(INDEX(종합!J$3:J$501,MATCH(ROW()-2,종합!$AC$3:$AC$501,0))&amp;"","")</f>
        <v>02-3479-4400</v>
      </c>
      <c r="K82" s="21" t="str">
        <f aca="false">IFERROR(INDEX(종합!K$3:K$501,MATCH(ROW()-2,종합!$AC$3:$AC$501,0))&amp;"","")</f>
        <v>https://uracle.co.kr/</v>
      </c>
      <c r="L82" s="21" t="str">
        <f aca="false">IFERROR(INDEX(종합!L$3:L$501,MATCH(ROW()-2,종합!$AC$3:$AC$501,0))&amp;"","")</f>
        <v>jamsiluknow@gmail.com</v>
      </c>
      <c r="M82" s="21" t="str">
        <f aca="false">IFERROR(INDEX(종합!M$3:M$501,MATCH(ROW()-2,종합!$AC$3:$AC$501,0))&amp;"","")</f>
        <v>서울특별시 서초구 방배로 231</v>
      </c>
      <c r="N82" s="25" t="str">
        <f aca="false">IFERROR(INDEX(종합!N$3:N$501,MATCH(ROW()-2,종합!$AC$3:$AC$501,0))&amp;"","")</f>
        <v>AI플랫폼, AI인프라관리 솔루션, 코드어시스턴트 등 보유</v>
      </c>
      <c r="O82" s="21" t="str">
        <f aca="false">IFERROR(INDEX(종합!O$3:O$501,MATCH(ROW()-2,종합!$AC$3:$AC$501,0))&amp;"","")</f>
        <v>유웅진</v>
      </c>
      <c r="P82" s="21" t="str">
        <f aca="false">IFERROR(INDEX(종합!P$3:P$501,MATCH(ROW()-2,종합!$AC$3:$AC$501,0))&amp;"","")</f>
        <v>기획관리부문</v>
      </c>
      <c r="Q82" s="21" t="str">
        <f aca="false">IFERROR(INDEX(종합!Q$3:Q$501,MATCH(ROW()-2,종합!$AC$3:$AC$501,0))&amp;"","")</f>
        <v>전무</v>
      </c>
      <c r="R82" s="21" t="str">
        <f aca="false">IFERROR(INDEX(종합!R$3:R$501,MATCH(ROW()-2,종합!$AC$3:$AC$501,0))&amp;"","")</f>
        <v>02-3479-4432</v>
      </c>
      <c r="S82" s="21" t="str">
        <f aca="false">IFERROR(INDEX(종합!S$3:S$501,MATCH(ROW()-2,종합!$AC$3:$AC$501,0))&amp;"","")</f>
        <v>ungjin.yu@uracle.co.kr</v>
      </c>
      <c r="T82" s="21" t="str">
        <f aca="false">IFERROR(INDEX(종합!T$3:T$501,MATCH(ROW()-2,종합!$AC$3:$AC$501,0))&amp;"","")</f>
        <v>010-2015-0109</v>
      </c>
      <c r="U82" s="21" t="str">
        <f aca="false">IFERROR(INDEX(종합!U$3:U$501,MATCH(ROW()-2,종합!$AC$3:$AC$501,0))&amp;"","")</f>
        <v>윤서준</v>
      </c>
      <c r="V82" s="21" t="str">
        <f aca="false">IFERROR(INDEX(종합!V$3:V$501,MATCH(ROW()-2,종합!$AC$3:$AC$501,0))&amp;"","")</f>
        <v>컨설팅팀</v>
      </c>
      <c r="W82" s="21" t="str">
        <f aca="false">IFERROR(INDEX(종합!W$3:W$501,MATCH(ROW()-2,종합!$AC$3:$AC$501,0))&amp;"","")</f>
        <v>과장</v>
      </c>
      <c r="X82" s="21" t="str">
        <f aca="false">IFERROR(INDEX(종합!X$3:X$501,MATCH(ROW()-2,종합!$AC$3:$AC$501,0))&amp;"","")</f>
        <v>010-6545-1261</v>
      </c>
      <c r="Y82" s="21" t="str">
        <f aca="false">IFERROR(INDEX(종합!Y$3:Y$501,MATCH(ROW()-2,종합!$AC$3:$AC$501,0))&amp;"","")</f>
        <v>wsyt@uracle.co.kr</v>
      </c>
      <c r="Z82" s="21" t="str">
        <f aca="false">IFERROR(INDEX(종합!Z$3:Z$501,MATCH(ROW()-2,종합!$AC$3:$AC$501,0))&amp;"","")</f>
        <v>010-6545-1261</v>
      </c>
    </row>
    <row r="83" customFormat="false" ht="47.25" hidden="false" customHeight="true" outlineLevel="0" collapsed="false">
      <c r="A83" s="18" t="n">
        <f aca="false">IF(B83="","",ROW()-2)</f>
        <v>81</v>
      </c>
      <c r="B83" s="18" t="str">
        <f aca="false">IFERROR(INDEX(종합!B$3:B$501,MATCH(ROW()-2,종합!$AC$3:$AC$501,0))&amp;"","")</f>
        <v>주식회사 아이들</v>
      </c>
      <c r="C83" s="18" t="str">
        <f aca="false">IFERROR(INDEX(종합!C$3:C$501,MATCH(ROW()-2,종합!$AC$3:$AC$501,0))&amp;"","")</f>
        <v/>
      </c>
      <c r="D83" s="18" t="str">
        <f aca="false">IFERROR(INDEX(종합!D$3:D$501,MATCH(ROW()-2,종합!$AC$3:$AC$501,0))&amp;"","")</f>
        <v>O</v>
      </c>
      <c r="E83" s="18" t="str">
        <f aca="false">IFERROR(INDEX(종합!E$3:E$501,MATCH(ROW()-2,종합!$AC$3:$AC$501,0))&amp;"","")</f>
        <v>O</v>
      </c>
      <c r="F83" s="18" t="str">
        <f aca="false">IFERROR(INDEX(종합!F$3:F$501,MATCH(ROW()-2,종합!$AC$3:$AC$501,0))&amp;"","")</f>
        <v/>
      </c>
      <c r="G83" s="18" t="str">
        <f aca="false">IFERROR(INDEX(종합!G$3:G$501,MATCH(ROW()-2,종합!$AC$3:$AC$501,0))&amp;"","")</f>
        <v>중소기업</v>
      </c>
      <c r="H83" s="21" t="str">
        <f aca="false">IFERROR(INDEX(종합!H$3:H$501,MATCH(ROW()-2,종합!$AC$3:$AC$501,0))&amp;"","")</f>
        <v>820-81-02056</v>
      </c>
      <c r="I83" s="21" t="str">
        <f aca="false">IFERROR(INDEX(종합!I$3:I$501,MATCH(ROW()-2,종합!$AC$3:$AC$501,0))&amp;"","")</f>
        <v>허명구</v>
      </c>
      <c r="J83" s="21" t="str">
        <f aca="false">IFERROR(INDEX(종합!J$3:J$501,MATCH(ROW()-2,종합!$AC$3:$AC$501,0))&amp;"","")</f>
        <v>1551-1911</v>
      </c>
      <c r="K83" s="21" t="str">
        <f aca="false">IFERROR(INDEX(종합!K$3:K$501,MATCH(ROW()-2,종합!$AC$3:$AC$501,0))&amp;"","")</f>
        <v>yoaida.com</v>
      </c>
      <c r="L83" s="21" t="str">
        <f aca="false">IFERROR(INDEX(종합!L$3:L$501,MATCH(ROW()-2,종합!$AC$3:$AC$501,0))&amp;"","")</f>
        <v>supernine09@gmail.com</v>
      </c>
      <c r="M83" s="21" t="str">
        <f aca="false">IFERROR(INDEX(종합!M$3:M$501,MATCH(ROW()-2,종합!$AC$3:$AC$501,0))&amp;"","")</f>
        <v>강원특별자치도 춘천시 강원대학길 1, 보듬관 604호</v>
      </c>
      <c r="N83" s="25" t="str">
        <f aca="false">IFERROR(INDEX(종합!N$3:N$501,MATCH(ROW()-2,종합!$AC$3:$AC$501,0))&amp;"","")</f>
        <v>멀티 LLM, 다양한 AI 에이전트 (문서, 멀티모달 포함), RAG 기반 에이전트 등. AI에이전트 서비스 '요기 AI 다 있다' 요아이다 Saas형 솔루션</v>
      </c>
      <c r="O83" s="21" t="str">
        <f aca="false">IFERROR(INDEX(종합!O$3:O$501,MATCH(ROW()-2,종합!$AC$3:$AC$501,0))&amp;"","")</f>
        <v>허명구</v>
      </c>
      <c r="P83" s="21" t="str">
        <f aca="false">IFERROR(INDEX(종합!P$3:P$501,MATCH(ROW()-2,종합!$AC$3:$AC$501,0))&amp;"","")</f>
        <v>대표</v>
      </c>
      <c r="Q83" s="21" t="str">
        <f aca="false">IFERROR(INDEX(종합!Q$3:Q$501,MATCH(ROW()-2,종합!$AC$3:$AC$501,0))&amp;"","")</f>
        <v>대표</v>
      </c>
      <c r="R83" s="21" t="str">
        <f aca="false">IFERROR(INDEX(종합!R$3:R$501,MATCH(ROW()-2,종합!$AC$3:$AC$501,0))&amp;"","")</f>
        <v>1551-1911</v>
      </c>
      <c r="S83" s="21" t="str">
        <f aca="false">IFERROR(INDEX(종합!S$3:S$501,MATCH(ROW()-2,종합!$AC$3:$AC$501,0))&amp;"","")</f>
        <v>supernine@idl.land</v>
      </c>
      <c r="T83" s="21" t="str">
        <f aca="false">IFERROR(INDEX(종합!T$3:T$501,MATCH(ROW()-2,종합!$AC$3:$AC$501,0))&amp;"","")</f>
        <v>010-4409-7909</v>
      </c>
      <c r="U83" s="21" t="str">
        <f aca="false">IFERROR(INDEX(종합!U$3:U$501,MATCH(ROW()-2,종합!$AC$3:$AC$501,0))&amp;"","")</f>
        <v>용환준</v>
      </c>
      <c r="V83" s="21" t="str">
        <f aca="false">IFERROR(INDEX(종합!V$3:V$501,MATCH(ROW()-2,종합!$AC$3:$AC$501,0))&amp;"","")</f>
        <v>기획팀</v>
      </c>
      <c r="W83" s="21" t="str">
        <f aca="false">IFERROR(INDEX(종합!W$3:W$501,MATCH(ROW()-2,종합!$AC$3:$AC$501,0))&amp;"","")</f>
        <v>팀장</v>
      </c>
      <c r="X83" s="21" t="str">
        <f aca="false">IFERROR(INDEX(종합!X$3:X$501,MATCH(ROW()-2,종합!$AC$3:$AC$501,0))&amp;"","")</f>
        <v>1551-1911</v>
      </c>
      <c r="Y83" s="21" t="str">
        <f aca="false">IFERROR(INDEX(종합!Y$3:Y$501,MATCH(ROW()-2,종합!$AC$3:$AC$501,0))&amp;"","")</f>
        <v>yongpd@idl.land</v>
      </c>
      <c r="Z83" s="21" t="str">
        <f aca="false">IFERROR(INDEX(종합!Z$3:Z$501,MATCH(ROW()-2,종합!$AC$3:$AC$501,0))&amp;"","")</f>
        <v>010-4444-5451</v>
      </c>
    </row>
    <row r="84" customFormat="false" ht="47.25" hidden="false" customHeight="true" outlineLevel="0" collapsed="false">
      <c r="A84" s="18" t="n">
        <f aca="false">IF(B84="","",ROW()-2)</f>
        <v>82</v>
      </c>
      <c r="B84" s="18" t="str">
        <f aca="false">IFERROR(INDEX(종합!B$3:B$501,MATCH(ROW()-2,종합!$AC$3:$AC$501,0))&amp;"","")</f>
        <v>데이콘랩(주)</v>
      </c>
      <c r="C84" s="18" t="str">
        <f aca="false">IFERROR(INDEX(종합!C$3:C$501,MATCH(ROW()-2,종합!$AC$3:$AC$501,0))&amp;"","")</f>
        <v/>
      </c>
      <c r="D84" s="18" t="str">
        <f aca="false">IFERROR(INDEX(종합!D$3:D$501,MATCH(ROW()-2,종합!$AC$3:$AC$501,0))&amp;"","")</f>
        <v>O</v>
      </c>
      <c r="E84" s="18" t="str">
        <f aca="false">IFERROR(INDEX(종합!E$3:E$501,MATCH(ROW()-2,종합!$AC$3:$AC$501,0))&amp;"","")</f>
        <v/>
      </c>
      <c r="F84" s="18" t="str">
        <f aca="false">IFERROR(INDEX(종합!F$3:F$501,MATCH(ROW()-2,종합!$AC$3:$AC$501,0))&amp;"","")</f>
        <v/>
      </c>
      <c r="G84" s="18" t="str">
        <f aca="false">IFERROR(INDEX(종합!G$3:G$501,MATCH(ROW()-2,종합!$AC$3:$AC$501,0))&amp;"","")</f>
        <v>중소기업</v>
      </c>
      <c r="H84" s="21" t="str">
        <f aca="false">IFERROR(INDEX(종합!H$3:H$501,MATCH(ROW()-2,종합!$AC$3:$AC$501,0))&amp;"","")</f>
        <v>726-81-03414</v>
      </c>
      <c r="I84" s="21" t="str">
        <f aca="false">IFERROR(INDEX(종합!I$3:I$501,MATCH(ROW()-2,종합!$AC$3:$AC$501,0))&amp;"","")</f>
        <v>이상옥</v>
      </c>
      <c r="J84" s="21" t="str">
        <f aca="false">IFERROR(INDEX(종합!J$3:J$501,MATCH(ROW()-2,종합!$AC$3:$AC$501,0))&amp;"","")</f>
        <v>070-4350-2236</v>
      </c>
      <c r="K84" s="21" t="str">
        <f aca="false">IFERROR(INDEX(종합!K$3:K$501,MATCH(ROW()-2,종합!$AC$3:$AC$501,0))&amp;"","")</f>
        <v>없음</v>
      </c>
      <c r="L84" s="21" t="str">
        <f aca="false">IFERROR(INDEX(종합!L$3:L$501,MATCH(ROW()-2,종합!$AC$3:$AC$501,0))&amp;"","")</f>
        <v>joseonjooya@gmail.com</v>
      </c>
      <c r="M84" s="21" t="str">
        <f aca="false">IFERROR(INDEX(종합!M$3:M$501,MATCH(ROW()-2,종합!$AC$3:$AC$501,0))&amp;"","")</f>
        <v>대전광역시 유성구 궁동로18번길 47, 3층 301-Q03호(궁동)</v>
      </c>
      <c r="N84" s="25" t="str">
        <f aca="false">IFERROR(INDEX(종합!N$3:N$501,MATCH(ROW()-2,종합!$AC$3:$AC$501,0))&amp;"","")</f>
        <v>AIDE 기반 도메인 특화 LLM·문서지능·RAG 생성형 AI 기술을 활용한 비정형 문서 이해 및 연구·공공 데이터 AI 플랫폼 개발</v>
      </c>
      <c r="O84" s="21" t="str">
        <f aca="false">IFERROR(INDEX(종합!O$3:O$501,MATCH(ROW()-2,종합!$AC$3:$AC$501,0))&amp;"","")</f>
        <v>이상옥</v>
      </c>
      <c r="P84" s="21" t="str">
        <f aca="false">IFERROR(INDEX(종합!P$3:P$501,MATCH(ROW()-2,종합!$AC$3:$AC$501,0))&amp;"","")</f>
        <v>데이터본부</v>
      </c>
      <c r="Q84" s="21" t="str">
        <f aca="false">IFERROR(INDEX(종합!Q$3:Q$501,MATCH(ROW()-2,종합!$AC$3:$AC$501,0))&amp;"","")</f>
        <v>대표이사</v>
      </c>
      <c r="R84" s="21" t="str">
        <f aca="false">IFERROR(INDEX(종합!R$3:R$501,MATCH(ROW()-2,종합!$AC$3:$AC$501,0))&amp;"","")</f>
        <v>070-4350-2236</v>
      </c>
      <c r="S84" s="21" t="str">
        <f aca="false">IFERROR(INDEX(종합!S$3:S$501,MATCH(ROW()-2,종합!$AC$3:$AC$501,0))&amp;"","")</f>
        <v>soklee@dacon.ai</v>
      </c>
      <c r="T84" s="21" t="str">
        <f aca="false">IFERROR(INDEX(종합!T$3:T$501,MATCH(ROW()-2,종합!$AC$3:$AC$501,0))&amp;"","")</f>
        <v>070-4350-2236</v>
      </c>
      <c r="U84" s="21" t="str">
        <f aca="false">IFERROR(INDEX(종합!U$3:U$501,MATCH(ROW()-2,종합!$AC$3:$AC$501,0))&amp;"","")</f>
        <v>조선주</v>
      </c>
      <c r="V84" s="21" t="str">
        <f aca="false">IFERROR(INDEX(종합!V$3:V$501,MATCH(ROW()-2,종합!$AC$3:$AC$501,0))&amp;"","")</f>
        <v>경영기획팀</v>
      </c>
      <c r="W84" s="21" t="str">
        <f aca="false">IFERROR(INDEX(종합!W$3:W$501,MATCH(ROW()-2,종합!$AC$3:$AC$501,0))&amp;"","")</f>
        <v>책임</v>
      </c>
      <c r="X84" s="21" t="str">
        <f aca="false">IFERROR(INDEX(종합!X$3:X$501,MATCH(ROW()-2,종합!$AC$3:$AC$501,0))&amp;"","")</f>
        <v>070-4350-2236</v>
      </c>
      <c r="Y84" s="21" t="str">
        <f aca="false">IFERROR(INDEX(종합!Y$3:Y$501,MATCH(ROW()-2,종합!$AC$3:$AC$501,0))&amp;"","")</f>
        <v>csj24@dacon.ai</v>
      </c>
      <c r="Z84" s="21" t="str">
        <f aca="false">IFERROR(INDEX(종합!Z$3:Z$501,MATCH(ROW()-2,종합!$AC$3:$AC$501,0))&amp;"","")</f>
        <v>010-2350-0221</v>
      </c>
    </row>
    <row r="85" customFormat="false" ht="22.5" hidden="false" customHeight="true" outlineLevel="0" collapsed="false">
      <c r="A85" s="18" t="n">
        <f aca="false">IF(B85="","",ROW()-2)</f>
        <v>83</v>
      </c>
      <c r="B85" s="18" t="str">
        <f aca="false">IFERROR(INDEX(종합!B$3:B$501,MATCH(ROW()-2,종합!$AC$3:$AC$501,0))&amp;"","")</f>
        <v>(주)드림시큐리티</v>
      </c>
      <c r="C85" s="18" t="str">
        <f aca="false">IFERROR(INDEX(종합!C$3:C$501,MATCH(ROW()-2,종합!$AC$3:$AC$501,0))&amp;"","")</f>
        <v/>
      </c>
      <c r="D85" s="18" t="str">
        <f aca="false">IFERROR(INDEX(종합!D$3:D$501,MATCH(ROW()-2,종합!$AC$3:$AC$501,0))&amp;"","")</f>
        <v>O</v>
      </c>
      <c r="E85" s="18" t="str">
        <f aca="false">IFERROR(INDEX(종합!E$3:E$501,MATCH(ROW()-2,종합!$AC$3:$AC$501,0))&amp;"","")</f>
        <v/>
      </c>
      <c r="F85" s="18" t="str">
        <f aca="false">IFERROR(INDEX(종합!F$3:F$501,MATCH(ROW()-2,종합!$AC$3:$AC$501,0))&amp;"","")</f>
        <v/>
      </c>
      <c r="G85" s="18" t="str">
        <f aca="false">IFERROR(INDEX(종합!G$3:G$501,MATCH(ROW()-2,종합!$AC$3:$AC$501,0))&amp;"","")</f>
        <v>중소기업</v>
      </c>
      <c r="H85" s="21" t="str">
        <f aca="false">IFERROR(INDEX(종합!H$3:H$501,MATCH(ROW()-2,종합!$AC$3:$AC$501,0))&amp;"","")</f>
        <v>107-88-22434</v>
      </c>
      <c r="I85" s="21" t="str">
        <f aca="false">IFERROR(INDEX(종합!I$3:I$501,MATCH(ROW()-2,종합!$AC$3:$AC$501,0))&amp;"","")</f>
        <v>오석주</v>
      </c>
      <c r="J85" s="21" t="str">
        <f aca="false">IFERROR(INDEX(종합!J$3:J$501,MATCH(ROW()-2,종합!$AC$3:$AC$501,0))&amp;"","")</f>
        <v>02-2233-5533</v>
      </c>
      <c r="K85" s="21" t="str">
        <f aca="false">IFERROR(INDEX(종합!K$3:K$501,MATCH(ROW()-2,종합!$AC$3:$AC$501,0))&amp;"","")</f>
        <v>www.dreamsecurity.com</v>
      </c>
      <c r="L85" s="21" t="str">
        <f aca="false">IFERROR(INDEX(종합!L$3:L$501,MATCH(ROW()-2,종합!$AC$3:$AC$501,0))&amp;"","")</f>
        <v>jsdsecu@gmail.com</v>
      </c>
      <c r="M85" s="21" t="str">
        <f aca="false">IFERROR(INDEX(종합!M$3:M$501,MATCH(ROW()-2,종합!$AC$3:$AC$501,0))&amp;"","")</f>
        <v>서울특별시 성동구 아차산로 126 10층</v>
      </c>
      <c r="N85" s="25" t="str">
        <f aca="false">IFERROR(INDEX(종합!N$3:N$501,MATCH(ROW()-2,종합!$AC$3:$AC$501,0))&amp;"","")</f>
        <v>얼굴인증, 이상탐지, 양자내성암호, 사설인증체계 </v>
      </c>
      <c r="O85" s="21" t="str">
        <f aca="false">IFERROR(INDEX(종합!O$3:O$501,MATCH(ROW()-2,종합!$AC$3:$AC$501,0))&amp;"","")</f>
        <v>김봉필</v>
      </c>
      <c r="P85" s="21" t="str">
        <f aca="false">IFERROR(INDEX(종합!P$3:P$501,MATCH(ROW()-2,종합!$AC$3:$AC$501,0))&amp;"","")</f>
        <v>보안컨설팅실</v>
      </c>
      <c r="Q85" s="21" t="str">
        <f aca="false">IFERROR(INDEX(종합!Q$3:Q$501,MATCH(ROW()-2,종합!$AC$3:$AC$501,0))&amp;"","")</f>
        <v>실장 </v>
      </c>
      <c r="R85" s="21" t="str">
        <f aca="false">IFERROR(INDEX(종합!R$3:R$501,MATCH(ROW()-2,종합!$AC$3:$AC$501,0))&amp;"","")</f>
        <v>02-2146-2883</v>
      </c>
      <c r="S85" s="21" t="str">
        <f aca="false">IFERROR(INDEX(종합!S$3:S$501,MATCH(ROW()-2,종합!$AC$3:$AC$501,0))&amp;"","")</f>
        <v>bpkim@dreamsecurity.com</v>
      </c>
      <c r="T85" s="21" t="str">
        <f aca="false">IFERROR(INDEX(종합!T$3:T$501,MATCH(ROW()-2,종합!$AC$3:$AC$501,0))&amp;"","")</f>
        <v>010-7417-0055</v>
      </c>
      <c r="U85" s="21" t="str">
        <f aca="false">IFERROR(INDEX(종합!U$3:U$501,MATCH(ROW()-2,종합!$AC$3:$AC$501,0))&amp;"","")</f>
        <v>김주섭</v>
      </c>
      <c r="V85" s="21" t="str">
        <f aca="false">IFERROR(INDEX(종합!V$3:V$501,MATCH(ROW()-2,종합!$AC$3:$AC$501,0))&amp;"","")</f>
        <v>경영기획팀</v>
      </c>
      <c r="W85" s="21" t="str">
        <f aca="false">IFERROR(INDEX(종합!W$3:W$501,MATCH(ROW()-2,종합!$AC$3:$AC$501,0))&amp;"","")</f>
        <v>책임/팀장</v>
      </c>
      <c r="X85" s="21" t="str">
        <f aca="false">IFERROR(INDEX(종합!X$3:X$501,MATCH(ROW()-2,종합!$AC$3:$AC$501,0))&amp;"","")</f>
        <v>02-2146-9556</v>
      </c>
      <c r="Y85" s="21" t="str">
        <f aca="false">IFERROR(INDEX(종합!Y$3:Y$501,MATCH(ROW()-2,종합!$AC$3:$AC$501,0))&amp;"","")</f>
        <v>jooseob@dreamsecurity.com</v>
      </c>
      <c r="Z85" s="21" t="str">
        <f aca="false">IFERROR(INDEX(종합!Z$3:Z$501,MATCH(ROW()-2,종합!$AC$3:$AC$501,0))&amp;"","")</f>
        <v>010-5064-8080</v>
      </c>
    </row>
    <row r="86" customFormat="false" ht="22.5" hidden="false" customHeight="true" outlineLevel="0" collapsed="false">
      <c r="A86" s="18" t="n">
        <f aca="false">IF(B86="","",ROW()-2)</f>
        <v>84</v>
      </c>
      <c r="B86" s="18" t="str">
        <f aca="false">IFERROR(INDEX(종합!B$3:B$501,MATCH(ROW()-2,종합!$AC$3:$AC$501,0))&amp;"","")</f>
        <v>롯데 이노베이트㈜</v>
      </c>
      <c r="C86" s="18" t="str">
        <f aca="false">IFERROR(INDEX(종합!C$3:C$501,MATCH(ROW()-2,종합!$AC$3:$AC$501,0))&amp;"","")</f>
        <v/>
      </c>
      <c r="D86" s="18" t="str">
        <f aca="false">IFERROR(INDEX(종합!D$3:D$501,MATCH(ROW()-2,종합!$AC$3:$AC$501,0))&amp;"","")</f>
        <v>O</v>
      </c>
      <c r="E86" s="18" t="str">
        <f aca="false">IFERROR(INDEX(종합!E$3:E$501,MATCH(ROW()-2,종합!$AC$3:$AC$501,0))&amp;"","")</f>
        <v/>
      </c>
      <c r="F86" s="18" t="str">
        <f aca="false">IFERROR(INDEX(종합!F$3:F$501,MATCH(ROW()-2,종합!$AC$3:$AC$501,0))&amp;"","")</f>
        <v/>
      </c>
      <c r="G86" s="18" t="str">
        <f aca="false">IFERROR(INDEX(종합!G$3:G$501,MATCH(ROW()-2,종합!$AC$3:$AC$501,0))&amp;"","")</f>
        <v>대기업</v>
      </c>
      <c r="H86" s="21" t="str">
        <f aca="false">IFERROR(INDEX(종합!H$3:H$501,MATCH(ROW()-2,종합!$AC$3:$AC$501,0))&amp;"","")</f>
        <v>687-81-00785</v>
      </c>
      <c r="I86" s="21" t="str">
        <f aca="false">IFERROR(INDEX(종합!I$3:I$501,MATCH(ROW()-2,종합!$AC$3:$AC$501,0))&amp;"","")</f>
        <v>김경엽</v>
      </c>
      <c r="J86" s="21" t="str">
        <f aca="false">IFERROR(INDEX(종합!J$3:J$501,MATCH(ROW()-2,종합!$AC$3:$AC$501,0))&amp;"","")</f>
        <v>02-2626-4000</v>
      </c>
      <c r="K86" s="21" t="str">
        <f aca="false">IFERROR(INDEX(종합!K$3:K$501,MATCH(ROW()-2,종합!$AC$3:$AC$501,0))&amp;"","")</f>
        <v>https://www.lotteinnovate.com/</v>
      </c>
      <c r="L86" s="21" t="str">
        <f aca="false">IFERROR(INDEX(종합!L$3:L$501,MATCH(ROW()-2,종합!$AC$3:$AC$501,0))&amp;"","")</f>
        <v>jo2nyluv@gmail.com</v>
      </c>
      <c r="M86" s="21" t="str">
        <f aca="false">IFERROR(INDEX(종합!M$3:M$501,MATCH(ROW()-2,종합!$AC$3:$AC$501,0))&amp;"","")</f>
        <v>서울시 금천구 가산디지털2로 179 롯데센터</v>
      </c>
      <c r="N86" s="25" t="str">
        <f aca="false">IFERROR(INDEX(종합!N$3:N$501,MATCH(ROW()-2,종합!$AC$3:$AC$501,0))&amp;"","")</f>
        <v>자체 파운데이션 모델 및 AI 서비스 플랫폼</v>
      </c>
      <c r="O86" s="21" t="str">
        <f aca="false">IFERROR(INDEX(종합!O$3:O$501,MATCH(ROW()-2,종합!$AC$3:$AC$501,0))&amp;"","")</f>
        <v>오현식</v>
      </c>
      <c r="P86" s="21" t="str">
        <f aca="false">IFERROR(INDEX(종합!P$3:P$501,MATCH(ROW()-2,종합!$AC$3:$AC$501,0))&amp;"","")</f>
        <v>AI혁신센터</v>
      </c>
      <c r="Q86" s="21" t="str">
        <f aca="false">IFERROR(INDEX(종합!Q$3:Q$501,MATCH(ROW()-2,종합!$AC$3:$AC$501,0))&amp;"","")</f>
        <v>상무/AI혁신센터장</v>
      </c>
      <c r="R86" s="21" t="str">
        <f aca="false">IFERROR(INDEX(종합!R$3:R$501,MATCH(ROW()-2,종합!$AC$3:$AC$501,0))&amp;"","")</f>
        <v>010-2079-5727</v>
      </c>
      <c r="S86" s="21" t="str">
        <f aca="false">IFERROR(INDEX(종합!S$3:S$501,MATCH(ROW()-2,종합!$AC$3:$AC$501,0))&amp;"","")</f>
        <v>hyunsikoh@lotte.net</v>
      </c>
      <c r="T86" s="21" t="str">
        <f aca="false">IFERROR(INDEX(종합!T$3:T$501,MATCH(ROW()-2,종합!$AC$3:$AC$501,0))&amp;"","")</f>
        <v>010-2079-5727</v>
      </c>
      <c r="U86" s="21" t="str">
        <f aca="false">IFERROR(INDEX(종합!U$3:U$501,MATCH(ROW()-2,종합!$AC$3:$AC$501,0))&amp;"","")</f>
        <v>장지성</v>
      </c>
      <c r="V86" s="21" t="str">
        <f aca="false">IFERROR(INDEX(종합!V$3:V$501,MATCH(ROW()-2,종합!$AC$3:$AC$501,0))&amp;"","")</f>
        <v>AI혁신센터</v>
      </c>
      <c r="W86" s="21" t="str">
        <f aca="false">IFERROR(INDEX(종합!W$3:W$501,MATCH(ROW()-2,종합!$AC$3:$AC$501,0))&amp;"","")</f>
        <v>프로/AI혁신팀 매니저</v>
      </c>
      <c r="X86" s="21" t="str">
        <f aca="false">IFERROR(INDEX(종합!X$3:X$501,MATCH(ROW()-2,종합!$AC$3:$AC$501,0))&amp;"","")</f>
        <v>010-7644-2364</v>
      </c>
      <c r="Y86" s="21" t="str">
        <f aca="false">IFERROR(INDEX(종합!Y$3:Y$501,MATCH(ROW()-2,종합!$AC$3:$AC$501,0))&amp;"","")</f>
        <v>js_jang@lotte.net</v>
      </c>
      <c r="Z86" s="21" t="str">
        <f aca="false">IFERROR(INDEX(종합!Z$3:Z$501,MATCH(ROW()-2,종합!$AC$3:$AC$501,0))&amp;"","")</f>
        <v>010-7644-2364</v>
      </c>
    </row>
    <row r="87" customFormat="false" ht="22.5" hidden="false" customHeight="true" outlineLevel="0" collapsed="false">
      <c r="A87" s="18" t="n">
        <f aca="false">IF(B87="","",ROW()-2)</f>
        <v>85</v>
      </c>
      <c r="B87" s="18" t="str">
        <f aca="false">IFERROR(INDEX(종합!B$3:B$501,MATCH(ROW()-2,종합!$AC$3:$AC$501,0))&amp;"","")</f>
        <v>NC AI(주식회사 엔씨에이아이)</v>
      </c>
      <c r="C87" s="18" t="str">
        <f aca="false">IFERROR(INDEX(종합!C$3:C$501,MATCH(ROW()-2,종합!$AC$3:$AC$501,0))&amp;"","")</f>
        <v/>
      </c>
      <c r="D87" s="18" t="str">
        <f aca="false">IFERROR(INDEX(종합!D$3:D$501,MATCH(ROW()-2,종합!$AC$3:$AC$501,0))&amp;"","")</f>
        <v>O</v>
      </c>
      <c r="E87" s="18" t="str">
        <f aca="false">IFERROR(INDEX(종합!E$3:E$501,MATCH(ROW()-2,종합!$AC$3:$AC$501,0))&amp;"","")</f>
        <v/>
      </c>
      <c r="F87" s="18" t="str">
        <f aca="false">IFERROR(INDEX(종합!F$3:F$501,MATCH(ROW()-2,종합!$AC$3:$AC$501,0))&amp;"","")</f>
        <v/>
      </c>
      <c r="G87" s="18" t="str">
        <f aca="false">IFERROR(INDEX(종합!G$3:G$501,MATCH(ROW()-2,종합!$AC$3:$AC$501,0))&amp;"","")</f>
        <v>대기업</v>
      </c>
      <c r="H87" s="21" t="str">
        <f aca="false">IFERROR(INDEX(종합!H$3:H$501,MATCH(ROW()-2,종합!$AC$3:$AC$501,0))&amp;"","")</f>
        <v>444-88-03744</v>
      </c>
      <c r="I87" s="21" t="str">
        <f aca="false">IFERROR(INDEX(종합!I$3:I$501,MATCH(ROW()-2,종합!$AC$3:$AC$501,0))&amp;"","")</f>
        <v>이연수</v>
      </c>
      <c r="J87" s="21" t="str">
        <f aca="false">IFERROR(INDEX(종합!J$3:J$501,MATCH(ROW()-2,종합!$AC$3:$AC$501,0))&amp;"","")</f>
        <v>02-6201-0099</v>
      </c>
      <c r="K87" s="21" t="str">
        <f aca="false">IFERROR(INDEX(종합!K$3:K$501,MATCH(ROW()-2,종합!$AC$3:$AC$501,0))&amp;"","")</f>
        <v>https://nc-ai.com/ko</v>
      </c>
      <c r="L87" s="21" t="str">
        <f aca="false">IFERROR(INDEX(종합!L$3:L$501,MATCH(ROW()-2,종합!$AC$3:$AC$501,0))&amp;"","")</f>
        <v>jonghotab@gmail.com</v>
      </c>
      <c r="M87" s="21" t="str">
        <f aca="false">IFERROR(INDEX(종합!M$3:M$501,MATCH(ROW()-2,종합!$AC$3:$AC$501,0))&amp;"","")</f>
        <v>경기도 성남시 분당구 대왕판교로644번길 12, N타워 6층(삼평동, 엔씨소프트 판교R&amp;D센터)</v>
      </c>
      <c r="N87" s="25" t="str">
        <f aca="false">IFERROR(INDEX(종합!N$3:N$501,MATCH(ROW()-2,종합!$AC$3:$AC$501,0))&amp;"","")</f>
        <v>산업 특화 AI - VAETKI(배키), VARCO(바르코), 피지컬AI</v>
      </c>
      <c r="O87" s="21" t="str">
        <f aca="false">IFERROR(INDEX(종합!O$3:O$501,MATCH(ROW()-2,종합!$AC$3:$AC$501,0))&amp;"","")</f>
        <v>김근교</v>
      </c>
      <c r="P87" s="21" t="str">
        <f aca="false">IFERROR(INDEX(종합!P$3:P$501,MATCH(ROW()-2,종합!$AC$3:$AC$501,0))&amp;"","")</f>
        <v>글로벌사업실</v>
      </c>
      <c r="Q87" s="21" t="str">
        <f aca="false">IFERROR(INDEX(종합!Q$3:Q$501,MATCH(ROW()-2,종합!$AC$3:$AC$501,0))&amp;"","")</f>
        <v>실장</v>
      </c>
      <c r="R87" s="21" t="str">
        <f aca="false">IFERROR(INDEX(종합!R$3:R$501,MATCH(ROW()-2,종합!$AC$3:$AC$501,0))&amp;"","")</f>
        <v>010-8229-7240</v>
      </c>
      <c r="S87" s="21" t="str">
        <f aca="false">IFERROR(INDEX(종합!S$3:S$501,MATCH(ROW()-2,종합!$AC$3:$AC$501,0))&amp;"","")</f>
        <v>keunkyo@ncsoft.com</v>
      </c>
      <c r="T87" s="21" t="str">
        <f aca="false">IFERROR(INDEX(종합!T$3:T$501,MATCH(ROW()-2,종합!$AC$3:$AC$501,0))&amp;"","")</f>
        <v>010-8229-7240</v>
      </c>
      <c r="U87" s="21" t="str">
        <f aca="false">IFERROR(INDEX(종합!U$3:U$501,MATCH(ROW()-2,종합!$AC$3:$AC$501,0))&amp;"","")</f>
        <v>김종호</v>
      </c>
      <c r="V87" s="21" t="str">
        <f aca="false">IFERROR(INDEX(종합!V$3:V$501,MATCH(ROW()-2,종합!$AC$3:$AC$501,0))&amp;"","")</f>
        <v>글로벌사업실</v>
      </c>
      <c r="W87" s="21" t="str">
        <f aca="false">IFERROR(INDEX(종합!W$3:W$501,MATCH(ROW()-2,종합!$AC$3:$AC$501,0))&amp;"","")</f>
        <v>매니저</v>
      </c>
      <c r="X87" s="21" t="str">
        <f aca="false">IFERROR(INDEX(종합!X$3:X$501,MATCH(ROW()-2,종합!$AC$3:$AC$501,0))&amp;"","")</f>
        <v>010-4664-8687</v>
      </c>
      <c r="Y87" s="21" t="str">
        <f aca="false">IFERROR(INDEX(종합!Y$3:Y$501,MATCH(ROW()-2,종합!$AC$3:$AC$501,0))&amp;"","")</f>
        <v>jhkim8687@ncsoft.com</v>
      </c>
      <c r="Z87" s="21" t="str">
        <f aca="false">IFERROR(INDEX(종합!Z$3:Z$501,MATCH(ROW()-2,종합!$AC$3:$AC$501,0))&amp;"","")</f>
        <v>010-4664-8687</v>
      </c>
    </row>
    <row r="88" customFormat="false" ht="33.75" hidden="false" customHeight="true" outlineLevel="0" collapsed="false">
      <c r="A88" s="18" t="n">
        <f aca="false">IF(B88="","",ROW()-2)</f>
        <v>86</v>
      </c>
      <c r="B88" s="18" t="str">
        <f aca="false">IFERROR(INDEX(종합!B$3:B$501,MATCH(ROW()-2,종합!$AC$3:$AC$501,0))&amp;"","")</f>
        <v>사단법인 한국디지털인증협회</v>
      </c>
      <c r="C88" s="18" t="str">
        <f aca="false">IFERROR(INDEX(종합!C$3:C$501,MATCH(ROW()-2,종합!$AC$3:$AC$501,0))&amp;"","")</f>
        <v/>
      </c>
      <c r="D88" s="18" t="str">
        <f aca="false">IFERROR(INDEX(종합!D$3:D$501,MATCH(ROW()-2,종합!$AC$3:$AC$501,0))&amp;"","")</f>
        <v>O</v>
      </c>
      <c r="E88" s="18" t="str">
        <f aca="false">IFERROR(INDEX(종합!E$3:E$501,MATCH(ROW()-2,종합!$AC$3:$AC$501,0))&amp;"","")</f>
        <v>O</v>
      </c>
      <c r="F88" s="18" t="str">
        <f aca="false">IFERROR(INDEX(종합!F$3:F$501,MATCH(ROW()-2,종합!$AC$3:$AC$501,0))&amp;"","")</f>
        <v/>
      </c>
      <c r="G88" s="18" t="str">
        <f aca="false">IFERROR(INDEX(종합!G$3:G$501,MATCH(ROW()-2,종합!$AC$3:$AC$501,0))&amp;"","")</f>
        <v>협회·단체</v>
      </c>
      <c r="H88" s="21" t="str">
        <f aca="false">IFERROR(INDEX(종합!H$3:H$501,MATCH(ROW()-2,종합!$AC$3:$AC$501,0))&amp;"","")</f>
        <v>894-82-00089</v>
      </c>
      <c r="I88" s="21" t="str">
        <f aca="false">IFERROR(INDEX(종합!I$3:I$501,MATCH(ROW()-2,종합!$AC$3:$AC$501,0))&amp;"","")</f>
        <v>이기혁</v>
      </c>
      <c r="J88" s="21" t="str">
        <f aca="false">IFERROR(INDEX(종합!J$3:J$501,MATCH(ROW()-2,종합!$AC$3:$AC$501,0))&amp;"","")</f>
        <v>02-761-1060</v>
      </c>
      <c r="K88" s="21" t="str">
        <f aca="false">IFERROR(INDEX(종합!K$3:K$501,MATCH(ROW()-2,종합!$AC$3:$AC$501,0))&amp;"","")</f>
        <v>https://opendid.org/</v>
      </c>
      <c r="L88" s="21" t="str">
        <f aca="false">IFERROR(INDEX(종합!L$3:L$501,MATCH(ROW()-2,종합!$AC$3:$AC$501,0))&amp;"","")</f>
        <v>ldh3741@gmail.com</v>
      </c>
      <c r="M88" s="21" t="str">
        <f aca="false">IFERROR(INDEX(종합!M$3:M$501,MATCH(ROW()-2,종합!$AC$3:$AC$501,0))&amp;"","")</f>
        <v>서울시 영등포구 여의대로 108, 파크원빌딩 타워2 48층</v>
      </c>
      <c r="N88" s="25" t="str">
        <f aca="false">IFERROR(INDEX(종합!N$3:N$501,MATCH(ROW()-2,종합!$AC$3:$AC$501,0))&amp;"","")</f>
        <v>AAM(Agentic AI Management), 데이터 라벨링, Open DID, MainNet 등 </v>
      </c>
      <c r="O88" s="21" t="str">
        <f aca="false">IFERROR(INDEX(종합!O$3:O$501,MATCH(ROW()-2,종합!$AC$3:$AC$501,0))&amp;"","")</f>
        <v>임도현</v>
      </c>
      <c r="P88" s="21" t="str">
        <f aca="false">IFERROR(INDEX(종합!P$3:P$501,MATCH(ROW()-2,종합!$AC$3:$AC$501,0))&amp;"","")</f>
        <v>COO</v>
      </c>
      <c r="Q88" s="21" t="str">
        <f aca="false">IFERROR(INDEX(종합!Q$3:Q$501,MATCH(ROW()-2,종합!$AC$3:$AC$501,0))&amp;"","")</f>
        <v>상근부회장/COO</v>
      </c>
      <c r="R88" s="21" t="str">
        <f aca="false">IFERROR(INDEX(종합!R$3:R$501,MATCH(ROW()-2,종합!$AC$3:$AC$501,0))&amp;"","")</f>
        <v>02-761-1060</v>
      </c>
      <c r="S88" s="21" t="str">
        <f aca="false">IFERROR(INDEX(종합!S$3:S$501,MATCH(ROW()-2,종합!$AC$3:$AC$501,0))&amp;"","")</f>
        <v>david.lim@opendid.org</v>
      </c>
      <c r="T88" s="21" t="str">
        <f aca="false">IFERROR(INDEX(종합!T$3:T$501,MATCH(ROW()-2,종합!$AC$3:$AC$501,0))&amp;"","")</f>
        <v>010-5512-3330</v>
      </c>
      <c r="U88" s="21" t="str">
        <f aca="false">IFERROR(INDEX(종합!U$3:U$501,MATCH(ROW()-2,종합!$AC$3:$AC$501,0))&amp;"","")</f>
        <v>유호종</v>
      </c>
      <c r="V88" s="21" t="str">
        <f aca="false">IFERROR(INDEX(종합!V$3:V$501,MATCH(ROW()-2,종합!$AC$3:$AC$501,0))&amp;"","")</f>
        <v>사무국</v>
      </c>
      <c r="W88" s="21" t="str">
        <f aca="false">IFERROR(INDEX(종합!W$3:W$501,MATCH(ROW()-2,종합!$AC$3:$AC$501,0))&amp;"","")</f>
        <v>차장/기획팀</v>
      </c>
      <c r="X88" s="21" t="str">
        <f aca="false">IFERROR(INDEX(종합!X$3:X$501,MATCH(ROW()-2,종합!$AC$3:$AC$501,0))&amp;"","")</f>
        <v>02-761-1060</v>
      </c>
      <c r="Y88" s="21" t="str">
        <f aca="false">IFERROR(INDEX(종합!Y$3:Y$501,MATCH(ROW()-2,종합!$AC$3:$AC$501,0))&amp;"","")</f>
        <v>hjyoo@opendid.org</v>
      </c>
      <c r="Z88" s="21" t="str">
        <f aca="false">IFERROR(INDEX(종합!Z$3:Z$501,MATCH(ROW()-2,종합!$AC$3:$AC$501,0))&amp;"","")</f>
        <v>010-3715-8070</v>
      </c>
    </row>
    <row r="89" customFormat="false" ht="22.5" hidden="false" customHeight="true" outlineLevel="0" collapsed="false">
      <c r="A89" s="18" t="n">
        <f aca="false">IF(B89="","",ROW()-2)</f>
        <v>87</v>
      </c>
      <c r="B89" s="18" t="str">
        <f aca="false">IFERROR(INDEX(종합!B$3:B$501,MATCH(ROW()-2,종합!$AC$3:$AC$501,0))&amp;"","")</f>
        <v>주식회사 퓨리오사에이아이</v>
      </c>
      <c r="C89" s="18" t="str">
        <f aca="false">IFERROR(INDEX(종합!C$3:C$501,MATCH(ROW()-2,종합!$AC$3:$AC$501,0))&amp;"","")</f>
        <v/>
      </c>
      <c r="D89" s="18" t="str">
        <f aca="false">IFERROR(INDEX(종합!D$3:D$501,MATCH(ROW()-2,종합!$AC$3:$AC$501,0))&amp;"","")</f>
        <v>O</v>
      </c>
      <c r="E89" s="18" t="str">
        <f aca="false">IFERROR(INDEX(종합!E$3:E$501,MATCH(ROW()-2,종합!$AC$3:$AC$501,0))&amp;"","")</f>
        <v/>
      </c>
      <c r="F89" s="18" t="str">
        <f aca="false">IFERROR(INDEX(종합!F$3:F$501,MATCH(ROW()-2,종합!$AC$3:$AC$501,0))&amp;"","")</f>
        <v/>
      </c>
      <c r="G89" s="18" t="str">
        <f aca="false">IFERROR(INDEX(종합!G$3:G$501,MATCH(ROW()-2,종합!$AC$3:$AC$501,0))&amp;"","")</f>
        <v>중소기업</v>
      </c>
      <c r="H89" s="21" t="str">
        <f aca="false">IFERROR(INDEX(종합!H$3:H$501,MATCH(ROW()-2,종합!$AC$3:$AC$501,0))&amp;"","")</f>
        <v>860-87-00780</v>
      </c>
      <c r="I89" s="21" t="str">
        <f aca="false">IFERROR(INDEX(종합!I$3:I$501,MATCH(ROW()-2,종합!$AC$3:$AC$501,0))&amp;"","")</f>
        <v>백준호 대표</v>
      </c>
      <c r="J89" s="21" t="str">
        <f aca="false">IFERROR(INDEX(종합!J$3:J$501,MATCH(ROW()-2,종합!$AC$3:$AC$501,0))&amp;"","")</f>
        <v>-</v>
      </c>
      <c r="K89" s="21" t="str">
        <f aca="false">IFERROR(INDEX(종합!K$3:K$501,MATCH(ROW()-2,종합!$AC$3:$AC$501,0))&amp;"","")</f>
        <v>furiosa.ai</v>
      </c>
      <c r="L89" s="21" t="str">
        <f aca="false">IFERROR(INDEX(종합!L$3:L$501,MATCH(ROW()-2,종합!$AC$3:$AC$501,0))&amp;"","")</f>
        <v>jinsu.kim@furiosa.ai</v>
      </c>
      <c r="M89" s="21" t="str">
        <f aca="false">IFERROR(INDEX(종합!M$3:M$501,MATCH(ROW()-2,종합!$AC$3:$AC$501,0))&amp;"","")</f>
        <v>서울시 강남구 도산대로 145, 6층</v>
      </c>
      <c r="N89" s="25" t="str">
        <f aca="false">IFERROR(INDEX(종합!N$3:N$501,MATCH(ROW()-2,종합!$AC$3:$AC$501,0))&amp;"","")</f>
        <v>AI반도체</v>
      </c>
      <c r="O89" s="21" t="str">
        <f aca="false">IFERROR(INDEX(종합!O$3:O$501,MATCH(ROW()-2,종합!$AC$3:$AC$501,0))&amp;"","")</f>
        <v>김진수</v>
      </c>
      <c r="P89" s="21" t="str">
        <f aca="false">IFERROR(INDEX(종합!P$3:P$501,MATCH(ROW()-2,종합!$AC$3:$AC$501,0))&amp;"","")</f>
        <v>비즈니스</v>
      </c>
      <c r="Q89" s="21" t="str">
        <f aca="false">IFERROR(INDEX(종합!Q$3:Q$501,MATCH(ROW()-2,종합!$AC$3:$AC$501,0))&amp;"","")</f>
        <v>이사</v>
      </c>
      <c r="R89" s="21" t="str">
        <f aca="false">IFERROR(INDEX(종합!R$3:R$501,MATCH(ROW()-2,종합!$AC$3:$AC$501,0))&amp;"","")</f>
        <v>010-2888-8284</v>
      </c>
      <c r="S89" s="21" t="str">
        <f aca="false">IFERROR(INDEX(종합!S$3:S$501,MATCH(ROW()-2,종합!$AC$3:$AC$501,0))&amp;"","")</f>
        <v>jinsu.kim@furiosa.ai</v>
      </c>
      <c r="T89" s="21" t="str">
        <f aca="false">IFERROR(INDEX(종합!T$3:T$501,MATCH(ROW()-2,종합!$AC$3:$AC$501,0))&amp;"","")</f>
        <v>010-2888-8284</v>
      </c>
      <c r="U89" s="21" t="str">
        <f aca="false">IFERROR(INDEX(종합!U$3:U$501,MATCH(ROW()-2,종합!$AC$3:$AC$501,0))&amp;"","")</f>
        <v>김진호</v>
      </c>
      <c r="V89" s="21" t="str">
        <f aca="false">IFERROR(INDEX(종합!V$3:V$501,MATCH(ROW()-2,종합!$AC$3:$AC$501,0))&amp;"","")</f>
        <v>비즈니스</v>
      </c>
      <c r="W89" s="21" t="str">
        <f aca="false">IFERROR(INDEX(종합!W$3:W$501,MATCH(ROW()-2,종합!$AC$3:$AC$501,0))&amp;"","")</f>
        <v>대리</v>
      </c>
      <c r="X89" s="21" t="str">
        <f aca="false">IFERROR(INDEX(종합!X$3:X$501,MATCH(ROW()-2,종합!$AC$3:$AC$501,0))&amp;"","")</f>
        <v>010-2527-0940</v>
      </c>
      <c r="Y89" s="21" t="str">
        <f aca="false">IFERROR(INDEX(종합!Y$3:Y$501,MATCH(ROW()-2,종합!$AC$3:$AC$501,0))&amp;"","")</f>
        <v>jinho.kim@furiosa.ai</v>
      </c>
      <c r="Z89" s="21" t="str">
        <f aca="false">IFERROR(INDEX(종합!Z$3:Z$501,MATCH(ROW()-2,종합!$AC$3:$AC$501,0))&amp;"","")</f>
        <v>010-2527-0940</v>
      </c>
    </row>
    <row r="90" customFormat="false" ht="22.5" hidden="false" customHeight="true" outlineLevel="0" collapsed="false">
      <c r="A90" s="18" t="n">
        <f aca="false">IF(B90="","",ROW()-2)</f>
        <v>88</v>
      </c>
      <c r="B90" s="18" t="str">
        <f aca="false">IFERROR(INDEX(종합!B$3:B$501,MATCH(ROW()-2,종합!$AC$3:$AC$501,0))&amp;"","")</f>
        <v>삼도회계법인</v>
      </c>
      <c r="C90" s="18" t="str">
        <f aca="false">IFERROR(INDEX(종합!C$3:C$501,MATCH(ROW()-2,종합!$AC$3:$AC$501,0))&amp;"","")</f>
        <v/>
      </c>
      <c r="D90" s="18" t="str">
        <f aca="false">IFERROR(INDEX(종합!D$3:D$501,MATCH(ROW()-2,종합!$AC$3:$AC$501,0))&amp;"","")</f>
        <v>O</v>
      </c>
      <c r="E90" s="18" t="str">
        <f aca="false">IFERROR(INDEX(종합!E$3:E$501,MATCH(ROW()-2,종합!$AC$3:$AC$501,0))&amp;"","")</f>
        <v/>
      </c>
      <c r="F90" s="18" t="str">
        <f aca="false">IFERROR(INDEX(종합!F$3:F$501,MATCH(ROW()-2,종합!$AC$3:$AC$501,0))&amp;"","")</f>
        <v/>
      </c>
      <c r="G90" s="18" t="str">
        <f aca="false">IFERROR(INDEX(종합!G$3:G$501,MATCH(ROW()-2,종합!$AC$3:$AC$501,0))&amp;"","")</f>
        <v>중소기업</v>
      </c>
      <c r="H90" s="21" t="str">
        <f aca="false">IFERROR(INDEX(종합!H$3:H$501,MATCH(ROW()-2,종합!$AC$3:$AC$501,0))&amp;"","")</f>
        <v>575-81-00046</v>
      </c>
      <c r="I90" s="21" t="str">
        <f aca="false">IFERROR(INDEX(종합!I$3:I$501,MATCH(ROW()-2,종합!$AC$3:$AC$501,0))&amp;"","")</f>
        <v>오준석, 방찬식</v>
      </c>
      <c r="J90" s="21" t="str">
        <f aca="false">IFERROR(INDEX(종합!J$3:J$501,MATCH(ROW()-2,종합!$AC$3:$AC$501,0))&amp;"","")</f>
        <v>02-511-2460</v>
      </c>
      <c r="K90" s="21" t="str">
        <f aca="false">IFERROR(INDEX(종합!K$3:K$501,MATCH(ROW()-2,종합!$AC$3:$AC$501,0))&amp;"","")</f>
        <v>http://www.samdoacc.com/</v>
      </c>
      <c r="L90" s="21" t="str">
        <f aca="false">IFERROR(INDEX(종합!L$3:L$501,MATCH(ROW()-2,종합!$AC$3:$AC$501,0))&amp;"","")</f>
        <v>namcw77@gmail.com</v>
      </c>
      <c r="M90" s="21" t="str">
        <f aca="false">IFERROR(INDEX(종합!M$3:M$501,MATCH(ROW()-2,종합!$AC$3:$AC$501,0))&amp;"","")</f>
        <v>서울시 서초구 사평대로 361, 3층 (반포동, 청원빌딩)</v>
      </c>
      <c r="N90" s="25" t="str">
        <f aca="false">IFERROR(INDEX(종합!N$3:N$501,MATCH(ROW()-2,종합!$AC$3:$AC$501,0))&amp;"","")</f>
        <v>디지털 감사 및 AI 감사, AX 컨설팅 및 자문</v>
      </c>
      <c r="O90" s="21" t="str">
        <f aca="false">IFERROR(INDEX(종합!O$3:O$501,MATCH(ROW()-2,종합!$AC$3:$AC$501,0))&amp;"","")</f>
        <v>남철우</v>
      </c>
      <c r="P90" s="21" t="str">
        <f aca="false">IFERROR(INDEX(종합!P$3:P$501,MATCH(ROW()-2,종합!$AC$3:$AC$501,0))&amp;"","")</f>
        <v>4본부</v>
      </c>
      <c r="Q90" s="21" t="str">
        <f aca="false">IFERROR(INDEX(종합!Q$3:Q$501,MATCH(ROW()-2,종합!$AC$3:$AC$501,0))&amp;"","")</f>
        <v>IT상무</v>
      </c>
      <c r="R90" s="21" t="str">
        <f aca="false">IFERROR(INDEX(종합!R$3:R$501,MATCH(ROW()-2,종합!$AC$3:$AC$501,0))&amp;"","")</f>
        <v>02-511-2460</v>
      </c>
      <c r="S90" s="21" t="str">
        <f aca="false">IFERROR(INDEX(종합!S$3:S$501,MATCH(ROW()-2,종합!$AC$3:$AC$501,0))&amp;"","")</f>
        <v>77ncw@samdoacc.com / 77ncw@hanmail.net</v>
      </c>
      <c r="T90" s="21" t="str">
        <f aca="false">IFERROR(INDEX(종합!T$3:T$501,MATCH(ROW()-2,종합!$AC$3:$AC$501,0))&amp;"","")</f>
        <v>010-5382-5680</v>
      </c>
      <c r="U90" s="21" t="str">
        <f aca="false">IFERROR(INDEX(종합!U$3:U$501,MATCH(ROW()-2,종합!$AC$3:$AC$501,0))&amp;"","")</f>
        <v>남철우</v>
      </c>
      <c r="V90" s="21" t="str">
        <f aca="false">IFERROR(INDEX(종합!V$3:V$501,MATCH(ROW()-2,종합!$AC$3:$AC$501,0))&amp;"","")</f>
        <v>4본부</v>
      </c>
      <c r="W90" s="21" t="str">
        <f aca="false">IFERROR(INDEX(종합!W$3:W$501,MATCH(ROW()-2,종합!$AC$3:$AC$501,0))&amp;"","")</f>
        <v>IT상무</v>
      </c>
      <c r="X90" s="21" t="str">
        <f aca="false">IFERROR(INDEX(종합!X$3:X$501,MATCH(ROW()-2,종합!$AC$3:$AC$501,0))&amp;"","")</f>
        <v>02-511-2460</v>
      </c>
      <c r="Y90" s="21" t="str">
        <f aca="false">IFERROR(INDEX(종합!Y$3:Y$501,MATCH(ROW()-2,종합!$AC$3:$AC$501,0))&amp;"","")</f>
        <v>77ncw@samdoacc.com / 77ncw@hanmail.net</v>
      </c>
      <c r="Z90" s="21" t="str">
        <f aca="false">IFERROR(INDEX(종합!Z$3:Z$501,MATCH(ROW()-2,종합!$AC$3:$AC$501,0))&amp;"","")</f>
        <v>010-5382-5680</v>
      </c>
    </row>
    <row r="91" customFormat="false" ht="22.5" hidden="false" customHeight="true" outlineLevel="0" collapsed="false">
      <c r="A91" s="18" t="n">
        <f aca="false">IF(B91="","",ROW()-2)</f>
        <v>89</v>
      </c>
      <c r="B91" s="18" t="str">
        <f aca="false">IFERROR(INDEX(종합!B$3:B$501,MATCH(ROW()-2,종합!$AC$3:$AC$501,0))&amp;"","")</f>
        <v>(주) 엘지씨엔에스</v>
      </c>
      <c r="C91" s="18" t="str">
        <f aca="false">IFERROR(INDEX(종합!C$3:C$501,MATCH(ROW()-2,종합!$AC$3:$AC$501,0))&amp;"","")</f>
        <v/>
      </c>
      <c r="D91" s="18" t="str">
        <f aca="false">IFERROR(INDEX(종합!D$3:D$501,MATCH(ROW()-2,종합!$AC$3:$AC$501,0))&amp;"","")</f>
        <v>O</v>
      </c>
      <c r="E91" s="18" t="str">
        <f aca="false">IFERROR(INDEX(종합!E$3:E$501,MATCH(ROW()-2,종합!$AC$3:$AC$501,0))&amp;"","")</f>
        <v/>
      </c>
      <c r="F91" s="18" t="str">
        <f aca="false">IFERROR(INDEX(종합!F$3:F$501,MATCH(ROW()-2,종합!$AC$3:$AC$501,0))&amp;"","")</f>
        <v/>
      </c>
      <c r="G91" s="18" t="str">
        <f aca="false">IFERROR(INDEX(종합!G$3:G$501,MATCH(ROW()-2,종합!$AC$3:$AC$501,0))&amp;"","")</f>
        <v>대기업</v>
      </c>
      <c r="H91" s="21" t="str">
        <f aca="false">IFERROR(INDEX(종합!H$3:H$501,MATCH(ROW()-2,종합!$AC$3:$AC$501,0))&amp;"","")</f>
        <v>116-81-19477</v>
      </c>
      <c r="I91" s="21" t="str">
        <f aca="false">IFERROR(INDEX(종합!I$3:I$501,MATCH(ROW()-2,종합!$AC$3:$AC$501,0))&amp;"","")</f>
        <v>현신균</v>
      </c>
      <c r="J91" s="21" t="str">
        <f aca="false">IFERROR(INDEX(종합!J$3:J$501,MATCH(ROW()-2,종합!$AC$3:$AC$501,0))&amp;"","")</f>
        <v>02-2099-1097</v>
      </c>
      <c r="K91" s="21" t="str">
        <f aca="false">IFERROR(INDEX(종합!K$3:K$501,MATCH(ROW()-2,종합!$AC$3:$AC$501,0))&amp;"","")</f>
        <v>www.lgcns.com</v>
      </c>
      <c r="L91" s="21" t="str">
        <f aca="false">IFERROR(INDEX(종합!L$3:L$501,MATCH(ROW()-2,종합!$AC$3:$AC$501,0))&amp;"","")</f>
        <v>psb0807@gmail.com</v>
      </c>
      <c r="M91" s="21" t="str">
        <f aca="false">IFERROR(INDEX(종합!M$3:M$501,MATCH(ROW()-2,종합!$AC$3:$AC$501,0))&amp;"","")</f>
        <v>서울특별시 강서구 마곡중앙8로 71 E13</v>
      </c>
      <c r="N91" s="25" t="str">
        <f aca="false">IFERROR(INDEX(종합!N$3:N$501,MATCH(ROW()-2,종합!$AC$3:$AC$501,0))&amp;"","")</f>
        <v>에이전틱웍스, 에이엑스씽크</v>
      </c>
      <c r="O91" s="21" t="str">
        <f aca="false">IFERROR(INDEX(종합!O$3:O$501,MATCH(ROW()-2,종합!$AC$3:$AC$501,0))&amp;"","")</f>
        <v>임은영 </v>
      </c>
      <c r="P91" s="21" t="str">
        <f aca="false">IFERROR(INDEX(종합!P$3:P$501,MATCH(ROW()-2,종합!$AC$3:$AC$501,0))&amp;"","")</f>
        <v>AI클라우드사업부 AI센터 Agentic AI사업담당</v>
      </c>
      <c r="Q91" s="21" t="str">
        <f aca="false">IFERROR(INDEX(종합!Q$3:Q$501,MATCH(ROW()-2,종합!$AC$3:$AC$501,0))&amp;"","")</f>
        <v>담당</v>
      </c>
      <c r="R91" s="21" t="str">
        <f aca="false">IFERROR(INDEX(종합!R$3:R$501,MATCH(ROW()-2,종합!$AC$3:$AC$501,0))&amp;"","")</f>
        <v>010-7132-8937</v>
      </c>
      <c r="S91" s="21" t="str">
        <f aca="false">IFERROR(INDEX(종합!S$3:S$501,MATCH(ROW()-2,종합!$AC$3:$AC$501,0))&amp;"","")</f>
        <v>eylim@lgcns.com</v>
      </c>
      <c r="T91" s="21" t="str">
        <f aca="false">IFERROR(INDEX(종합!T$3:T$501,MATCH(ROW()-2,종합!$AC$3:$AC$501,0))&amp;"","")</f>
        <v>010-7132-8937</v>
      </c>
      <c r="U91" s="21" t="str">
        <f aca="false">IFERROR(INDEX(종합!U$3:U$501,MATCH(ROW()-2,종합!$AC$3:$AC$501,0))&amp;"","")</f>
        <v>이승아</v>
      </c>
      <c r="V91" s="21" t="str">
        <f aca="false">IFERROR(INDEX(종합!V$3:V$501,MATCH(ROW()-2,종합!$AC$3:$AC$501,0))&amp;"","")</f>
        <v>AI클라우드사업부 AI센터 AI전략/Alliance팀</v>
      </c>
      <c r="W91" s="21" t="str">
        <f aca="false">IFERROR(INDEX(종합!W$3:W$501,MATCH(ROW()-2,종합!$AC$3:$AC$501,0))&amp;"","")</f>
        <v> 팀장 </v>
      </c>
      <c r="X91" s="21" t="str">
        <f aca="false">IFERROR(INDEX(종합!X$3:X$501,MATCH(ROW()-2,종합!$AC$3:$AC$501,0))&amp;"","")</f>
        <v>010-3349-8729</v>
      </c>
      <c r="Y91" s="21" t="str">
        <f aca="false">IFERROR(INDEX(종합!Y$3:Y$501,MATCH(ROW()-2,종합!$AC$3:$AC$501,0))&amp;"","")</f>
        <v>chirosiro@lgcns.com</v>
      </c>
      <c r="Z91" s="21" t="str">
        <f aca="false">IFERROR(INDEX(종합!Z$3:Z$501,MATCH(ROW()-2,종합!$AC$3:$AC$501,0))&amp;"","")</f>
        <v>010-3349-8729</v>
      </c>
    </row>
    <row r="92" customFormat="false" ht="22.5" hidden="false" customHeight="true" outlineLevel="0" collapsed="false">
      <c r="A92" s="18" t="n">
        <f aca="false">IF(B92="","",ROW()-2)</f>
        <v>90</v>
      </c>
      <c r="B92" s="18" t="str">
        <f aca="false">IFERROR(INDEX(종합!B$3:B$501,MATCH(ROW()-2,종합!$AC$3:$AC$501,0))&amp;"","")</f>
        <v>SK텔레콤(주)</v>
      </c>
      <c r="C92" s="18" t="str">
        <f aca="false">IFERROR(INDEX(종합!C$3:C$501,MATCH(ROW()-2,종합!$AC$3:$AC$501,0))&amp;"","")</f>
        <v/>
      </c>
      <c r="D92" s="18" t="str">
        <f aca="false">IFERROR(INDEX(종합!D$3:D$501,MATCH(ROW()-2,종합!$AC$3:$AC$501,0))&amp;"","")</f>
        <v>O</v>
      </c>
      <c r="E92" s="18" t="str">
        <f aca="false">IFERROR(INDEX(종합!E$3:E$501,MATCH(ROW()-2,종합!$AC$3:$AC$501,0))&amp;"","")</f>
        <v/>
      </c>
      <c r="F92" s="18" t="str">
        <f aca="false">IFERROR(INDEX(종합!F$3:F$501,MATCH(ROW()-2,종합!$AC$3:$AC$501,0))&amp;"","")</f>
        <v/>
      </c>
      <c r="G92" s="18" t="str">
        <f aca="false">IFERROR(INDEX(종합!G$3:G$501,MATCH(ROW()-2,종합!$AC$3:$AC$501,0))&amp;"","")</f>
        <v>대기업</v>
      </c>
      <c r="H92" s="21" t="str">
        <f aca="false">IFERROR(INDEX(종합!H$3:H$501,MATCH(ROW()-2,종합!$AC$3:$AC$501,0))&amp;"","")</f>
        <v>104-81-37225</v>
      </c>
      <c r="I92" s="21" t="str">
        <f aca="false">IFERROR(INDEX(종합!I$3:I$501,MATCH(ROW()-2,종합!$AC$3:$AC$501,0))&amp;"","")</f>
        <v>유영상</v>
      </c>
      <c r="J92" s="21" t="str">
        <f aca="false">IFERROR(INDEX(종합!J$3:J$501,MATCH(ROW()-2,종합!$AC$3:$AC$501,0))&amp;"","")</f>
        <v>02-6100-2114</v>
      </c>
      <c r="K92" s="21" t="str">
        <f aca="false">IFERROR(INDEX(종합!K$3:K$501,MATCH(ROW()-2,종합!$AC$3:$AC$501,0))&amp;"","")</f>
        <v>https://www.sktelecom.com</v>
      </c>
      <c r="L92" s="21" t="str">
        <f aca="false">IFERROR(INDEX(종합!L$3:L$501,MATCH(ROW()-2,종합!$AC$3:$AC$501,0))&amp;"","")</f>
        <v>jongkeun.jung@gmail.com</v>
      </c>
      <c r="M92" s="21" t="str">
        <f aca="false">IFERROR(INDEX(종합!M$3:M$501,MATCH(ROW()-2,종합!$AC$3:$AC$501,0))&amp;"","")</f>
        <v>서울특별시 중구 을지로 65 SKT타워</v>
      </c>
      <c r="N92" s="25" t="str">
        <f aca="false">IFERROR(INDEX(종합!N$3:N$501,MATCH(ROW()-2,종합!$AC$3:$AC$501,0))&amp;"","")</f>
        <v>Foundation Model 및 서비스</v>
      </c>
      <c r="O92" s="21" t="str">
        <f aca="false">IFERROR(INDEX(종합!O$3:O$501,MATCH(ROW()-2,종합!$AC$3:$AC$501,0))&amp;"","")</f>
        <v>김지훈</v>
      </c>
      <c r="P92" s="21" t="str">
        <f aca="false">IFERROR(INDEX(종합!P$3:P$501,MATCH(ROW()-2,종합!$AC$3:$AC$501,0))&amp;"","")</f>
        <v>AI CIC 에이닷사업본부</v>
      </c>
      <c r="Q92" s="21" t="str">
        <f aca="false">IFERROR(INDEX(종합!Q$3:Q$501,MATCH(ROW()-2,종합!$AC$3:$AC$501,0))&amp;"","")</f>
        <v>담당(본부장)</v>
      </c>
      <c r="R92" s="21" t="str">
        <f aca="false">IFERROR(INDEX(종합!R$3:R$501,MATCH(ROW()-2,종합!$AC$3:$AC$501,0))&amp;"","")</f>
        <v>010-3129-1095</v>
      </c>
      <c r="S92" s="21" t="str">
        <f aca="false">IFERROR(INDEX(종합!S$3:S$501,MATCH(ROW()-2,종합!$AC$3:$AC$501,0))&amp;"","")</f>
        <v>jihoon.kim@sk.com</v>
      </c>
      <c r="T92" s="21" t="str">
        <f aca="false">IFERROR(INDEX(종합!T$3:T$501,MATCH(ROW()-2,종합!$AC$3:$AC$501,0))&amp;"","")</f>
        <v>010-3129-1095</v>
      </c>
      <c r="U92" s="21" t="str">
        <f aca="false">IFERROR(INDEX(종합!U$3:U$501,MATCH(ROW()-2,종합!$AC$3:$AC$501,0))&amp;"","")</f>
        <v>이승훈</v>
      </c>
      <c r="V92" s="21" t="str">
        <f aca="false">IFERROR(INDEX(종합!V$3:V$501,MATCH(ROW()-2,종합!$AC$3:$AC$501,0))&amp;"","")</f>
        <v>AI CIC 에이닷사업본부 에이닷사업전략팀</v>
      </c>
      <c r="W92" s="21" t="str">
        <f aca="false">IFERROR(INDEX(종합!W$3:W$501,MATCH(ROW()-2,종합!$AC$3:$AC$501,0))&amp;"","")</f>
        <v>팀장</v>
      </c>
      <c r="X92" s="21" t="str">
        <f aca="false">IFERROR(INDEX(종합!X$3:X$501,MATCH(ROW()-2,종합!$AC$3:$AC$501,0))&amp;"","")</f>
        <v>010-4129-0016</v>
      </c>
      <c r="Y92" s="21" t="str">
        <f aca="false">IFERROR(INDEX(종합!Y$3:Y$501,MATCH(ROW()-2,종합!$AC$3:$AC$501,0))&amp;"","")</f>
        <v>seunghoon@sk.com</v>
      </c>
      <c r="Z92" s="21" t="str">
        <f aca="false">IFERROR(INDEX(종합!Z$3:Z$501,MATCH(ROW()-2,종합!$AC$3:$AC$501,0))&amp;"","")</f>
        <v>010-4129-0016</v>
      </c>
    </row>
    <row r="93" customFormat="false" ht="47.25" hidden="false" customHeight="true" outlineLevel="0" collapsed="false">
      <c r="A93" s="18" t="n">
        <f aca="false">IF(B93="","",ROW()-2)</f>
        <v>91</v>
      </c>
      <c r="B93" s="18" t="str">
        <f aca="false">IFERROR(INDEX(종합!B$3:B$501,MATCH(ROW()-2,종합!$AC$3:$AC$501,0))&amp;"","")</f>
        <v>(주)섹타나인</v>
      </c>
      <c r="C93" s="18" t="str">
        <f aca="false">IFERROR(INDEX(종합!C$3:C$501,MATCH(ROW()-2,종합!$AC$3:$AC$501,0))&amp;"","")</f>
        <v/>
      </c>
      <c r="D93" s="18" t="str">
        <f aca="false">IFERROR(INDEX(종합!D$3:D$501,MATCH(ROW()-2,종합!$AC$3:$AC$501,0))&amp;"","")</f>
        <v>O</v>
      </c>
      <c r="E93" s="18" t="str">
        <f aca="false">IFERROR(INDEX(종합!E$3:E$501,MATCH(ROW()-2,종합!$AC$3:$AC$501,0))&amp;"","")</f>
        <v/>
      </c>
      <c r="F93" s="18" t="str">
        <f aca="false">IFERROR(INDEX(종합!F$3:F$501,MATCH(ROW()-2,종합!$AC$3:$AC$501,0))&amp;"","")</f>
        <v/>
      </c>
      <c r="G93" s="18" t="str">
        <f aca="false">IFERROR(INDEX(종합!G$3:G$501,MATCH(ROW()-2,종합!$AC$3:$AC$501,0))&amp;"","")</f>
        <v>중견기업</v>
      </c>
      <c r="H93" s="21" t="str">
        <f aca="false">IFERROR(INDEX(종합!H$3:H$501,MATCH(ROW()-2,종합!$AC$3:$AC$501,0))&amp;"","")</f>
        <v>113-86-10017</v>
      </c>
      <c r="I93" s="21" t="str">
        <f aca="false">IFERROR(INDEX(종합!I$3:I$501,MATCH(ROW()-2,종합!$AC$3:$AC$501,0))&amp;"","")</f>
        <v>김대일</v>
      </c>
      <c r="J93" s="21" t="str">
        <f aca="false">IFERROR(INDEX(종합!J$3:J$501,MATCH(ROW()-2,종합!$AC$3:$AC$501,0))&amp;"","")</f>
        <v>02-2276-6800</v>
      </c>
      <c r="K93" s="21" t="str">
        <f aca="false">IFERROR(INDEX(종합!K$3:K$501,MATCH(ROW()-2,종합!$AC$3:$AC$501,0))&amp;"","")</f>
        <v>https://www.secta9ine.co.kr</v>
      </c>
      <c r="L93" s="21" t="str">
        <f aca="false">IFERROR(INDEX(종합!L$3:L$501,MATCH(ROW()-2,종합!$AC$3:$AC$501,0))&amp;"","")</f>
        <v>s9.ms2.kim@gmail.com</v>
      </c>
      <c r="M93" s="21" t="str">
        <f aca="false">IFERROR(INDEX(종합!M$3:M$501,MATCH(ROW()-2,종합!$AC$3:$AC$501,0))&amp;"","")</f>
        <v>서울시 강남구 논현로 201</v>
      </c>
      <c r="N93" s="25" t="str">
        <f aca="false">IFERROR(INDEX(종합!N$3:N$501,MATCH(ROW()-2,종합!$AC$3:$AC$501,0))&amp;"","")</f>
        <v>  1. 그룹 자체 파운데이션 모델 구축 및 운영 2. 수십 년간의 식음료 고유 지적재산권 및 데이터를 특화한 다양한 AI NPD 솔루션들 존재. 3. AI RPA도입 및 활용 진행 중</v>
      </c>
      <c r="O93" s="21" t="str">
        <f aca="false">IFERROR(INDEX(종합!O$3:O$501,MATCH(ROW()-2,종합!$AC$3:$AC$501,0))&amp;"","")</f>
        <v>추연진</v>
      </c>
      <c r="P93" s="21" t="str">
        <f aca="false">IFERROR(INDEX(종합!P$3:P$501,MATCH(ROW()-2,종합!$AC$3:$AC$501,0))&amp;"","")</f>
        <v>CPO / CAIO 본부</v>
      </c>
      <c r="Q93" s="21" t="str">
        <f aca="false">IFERROR(INDEX(종합!Q$3:Q$501,MATCH(ROW()-2,종합!$AC$3:$AC$501,0))&amp;"","")</f>
        <v>본부장</v>
      </c>
      <c r="R93" s="21" t="str">
        <f aca="false">IFERROR(INDEX(종합!R$3:R$501,MATCH(ROW()-2,종합!$AC$3:$AC$501,0))&amp;"","")</f>
        <v>02-2276-6730</v>
      </c>
      <c r="S93" s="21" t="str">
        <f aca="false">IFERROR(INDEX(종합!S$3:S$501,MATCH(ROW()-2,종합!$AC$3:$AC$501,0))&amp;"","")</f>
        <v>andrew.chu@spc.co.kr</v>
      </c>
      <c r="T93" s="21" t="str">
        <f aca="false">IFERROR(INDEX(종합!T$3:T$501,MATCH(ROW()-2,종합!$AC$3:$AC$501,0))&amp;"","")</f>
        <v>010-3639-2210</v>
      </c>
      <c r="U93" s="21" t="str">
        <f aca="false">IFERROR(INDEX(종합!U$3:U$501,MATCH(ROW()-2,종합!$AC$3:$AC$501,0))&amp;"","")</f>
        <v>강성구</v>
      </c>
      <c r="V93" s="21" t="str">
        <f aca="false">IFERROR(INDEX(종합!V$3:V$501,MATCH(ROW()-2,종합!$AC$3:$AC$501,0))&amp;"","")</f>
        <v>Deep Sync</v>
      </c>
      <c r="W93" s="21" t="str">
        <f aca="false">IFERROR(INDEX(종합!W$3:W$501,MATCH(ROW()-2,종합!$AC$3:$AC$501,0))&amp;"","")</f>
        <v>담당</v>
      </c>
      <c r="X93" s="21" t="str">
        <f aca="false">IFERROR(INDEX(종합!X$3:X$501,MATCH(ROW()-2,종합!$AC$3:$AC$501,0))&amp;"","")</f>
        <v>010-3683-9079</v>
      </c>
      <c r="Y93" s="21" t="str">
        <f aca="false">IFERROR(INDEX(종합!Y$3:Y$501,MATCH(ROW()-2,종합!$AC$3:$AC$501,0))&amp;"","")</f>
        <v>seonggoo.kang@spc.co.kr</v>
      </c>
      <c r="Z93" s="21" t="str">
        <f aca="false">IFERROR(INDEX(종합!Z$3:Z$501,MATCH(ROW()-2,종합!$AC$3:$AC$501,0))&amp;"","")</f>
        <v>010-3683-9079</v>
      </c>
    </row>
    <row r="94" customFormat="false" ht="47.25" hidden="false" customHeight="true" outlineLevel="0" collapsed="false">
      <c r="A94" s="18" t="n">
        <f aca="false">IF(B94="","",ROW()-2)</f>
        <v>92</v>
      </c>
      <c r="B94" s="18" t="str">
        <f aca="false">IFERROR(INDEX(종합!B$3:B$501,MATCH(ROW()-2,종합!$AC$3:$AC$501,0))&amp;"","")</f>
        <v>(주)현대퓨처넷</v>
      </c>
      <c r="C94" s="18" t="str">
        <f aca="false">IFERROR(INDEX(종합!C$3:C$501,MATCH(ROW()-2,종합!$AC$3:$AC$501,0))&amp;"","")</f>
        <v/>
      </c>
      <c r="D94" s="18" t="str">
        <f aca="false">IFERROR(INDEX(종합!D$3:D$501,MATCH(ROW()-2,종합!$AC$3:$AC$501,0))&amp;"","")</f>
        <v>O</v>
      </c>
      <c r="E94" s="18" t="str">
        <f aca="false">IFERROR(INDEX(종합!E$3:E$501,MATCH(ROW()-2,종합!$AC$3:$AC$501,0))&amp;"","")</f>
        <v/>
      </c>
      <c r="F94" s="18" t="str">
        <f aca="false">IFERROR(INDEX(종합!F$3:F$501,MATCH(ROW()-2,종합!$AC$3:$AC$501,0))&amp;"","")</f>
        <v/>
      </c>
      <c r="G94" s="18" t="str">
        <f aca="false">IFERROR(INDEX(종합!G$3:G$501,MATCH(ROW()-2,종합!$AC$3:$AC$501,0))&amp;"","")</f>
        <v>대기업</v>
      </c>
      <c r="H94" s="21" t="str">
        <f aca="false">IFERROR(INDEX(종합!H$3:H$501,MATCH(ROW()-2,종합!$AC$3:$AC$501,0))&amp;"","")</f>
        <v>112-81-31178</v>
      </c>
      <c r="I94" s="21" t="str">
        <f aca="false">IFERROR(INDEX(종합!I$3:I$501,MATCH(ROW()-2,종합!$AC$3:$AC$501,0))&amp;"","")</f>
        <v>김성일</v>
      </c>
      <c r="J94" s="21" t="str">
        <f aca="false">IFERROR(INDEX(종합!J$3:J$501,MATCH(ROW()-2,종합!$AC$3:$AC$501,0))&amp;"","")</f>
        <v>02-3450-2233</v>
      </c>
      <c r="K94" s="21" t="str">
        <f aca="false">IFERROR(INDEX(종합!K$3:K$501,MATCH(ROW()-2,종합!$AC$3:$AC$501,0))&amp;"","")</f>
        <v>https://hyundaifuturenet.com</v>
      </c>
      <c r="L94" s="21" t="str">
        <f aca="false">IFERROR(INDEX(종합!L$3:L$501,MATCH(ROW()-2,종합!$AC$3:$AC$501,0))&amp;"","")</f>
        <v/>
      </c>
      <c r="M94" s="21" t="str">
        <f aca="false">IFERROR(INDEX(종합!M$3:M$501,MATCH(ROW()-2,종합!$AC$3:$AC$501,0))&amp;"","")</f>
        <v>서울시 강남구 테헤란로 98길 12. 6층 현대퓨처넷</v>
      </c>
      <c r="N94" s="25" t="str">
        <f aca="false">IFERROR(INDEX(종합!N$3:N$501,MATCH(ROW()-2,종합!$AC$3:$AC$501,0))&amp;"","")</f>
        <v>분야 : 벡터DB, 자연어쿼리, AI 에이전트, AI 모델 엔진/아키텍처 기술. 서비스 : AI카피라이터, AI TextEdit, AI Trend Brief, Vectocore, X Finder 등</v>
      </c>
      <c r="O94" s="21" t="str">
        <f aca="false">IFERROR(INDEX(종합!O$3:O$501,MATCH(ROW()-2,종합!$AC$3:$AC$501,0))&amp;"","")</f>
        <v>김석훈</v>
      </c>
      <c r="P94" s="21" t="str">
        <f aca="false">IFERROR(INDEX(종합!P$3:P$501,MATCH(ROW()-2,종합!$AC$3:$AC$501,0))&amp;"","")</f>
        <v>IT사업본부</v>
      </c>
      <c r="Q94" s="21" t="str">
        <f aca="false">IFERROR(INDEX(종합!Q$3:Q$501,MATCH(ROW()-2,종합!$AC$3:$AC$501,0))&amp;"","")</f>
        <v>상무/본부장</v>
      </c>
      <c r="R94" s="21" t="str">
        <f aca="false">IFERROR(INDEX(종합!R$3:R$501,MATCH(ROW()-2,종합!$AC$3:$AC$501,0))&amp;"","")</f>
        <v>02-6904-1710</v>
      </c>
      <c r="S94" s="21" t="str">
        <f aca="false">IFERROR(INDEX(종합!S$3:S$501,MATCH(ROW()-2,종합!$AC$3:$AC$501,0))&amp;"","")</f>
        <v>seoguny@hyundaifuturenet.co.kr</v>
      </c>
      <c r="T94" s="21" t="str">
        <f aca="false">IFERROR(INDEX(종합!T$3:T$501,MATCH(ROW()-2,종합!$AC$3:$AC$501,0))&amp;"","")</f>
        <v>010-3233-4212</v>
      </c>
      <c r="U94" s="21" t="str">
        <f aca="false">IFERROR(INDEX(종합!U$3:U$501,MATCH(ROW()-2,종합!$AC$3:$AC$501,0))&amp;"","")</f>
        <v>노시진
오숙</v>
      </c>
      <c r="V94" s="21" t="str">
        <f aca="false">IFERROR(INDEX(종합!V$3:V$501,MATCH(ROW()-2,종합!$AC$3:$AC$501,0))&amp;"","")</f>
        <v>AI Lab</v>
      </c>
      <c r="W94" s="21" t="str">
        <f aca="false">IFERROR(INDEX(종합!W$3:W$501,MATCH(ROW()-2,종합!$AC$3:$AC$501,0))&amp;"","")</f>
        <v>책임/팀장</v>
      </c>
      <c r="X94" s="21" t="str">
        <f aca="false">IFERROR(INDEX(종합!X$3:X$501,MATCH(ROW()-2,종합!$AC$3:$AC$501,0))&amp;"","")</f>
        <v>02-6904-1840</v>
      </c>
      <c r="Y94" s="21" t="str">
        <f aca="false">IFERROR(INDEX(종합!Y$3:Y$501,MATCH(ROW()-2,종합!$AC$3:$AC$501,0))&amp;"","")</f>
        <v>sijin@hyundaifuturenet.co.kr
happiness0402@hyundaifuturenet.co.kr</v>
      </c>
      <c r="Z94" s="21" t="str">
        <f aca="false">IFERROR(INDEX(종합!Z$3:Z$501,MATCH(ROW()-2,종합!$AC$3:$AC$501,0))&amp;"","")</f>
        <v>010-4772-3444</v>
      </c>
    </row>
    <row r="95" customFormat="false" ht="22.5" hidden="false" customHeight="true" outlineLevel="0" collapsed="false">
      <c r="A95" s="18" t="n">
        <f aca="false">IF(B95="","",ROW()-2)</f>
        <v>93</v>
      </c>
      <c r="B95" s="18" t="str">
        <f aca="false">IFERROR(INDEX(종합!B$3:B$501,MATCH(ROW()-2,종합!$AC$3:$AC$501,0))&amp;"","")</f>
        <v>한국도로공사</v>
      </c>
      <c r="C95" s="18" t="str">
        <f aca="false">IFERROR(INDEX(종합!C$3:C$501,MATCH(ROW()-2,종합!$AC$3:$AC$501,0))&amp;"","")</f>
        <v/>
      </c>
      <c r="D95" s="18" t="str">
        <f aca="false">IFERROR(INDEX(종합!D$3:D$501,MATCH(ROW()-2,종합!$AC$3:$AC$501,0))&amp;"","")</f>
        <v>O</v>
      </c>
      <c r="E95" s="18" t="str">
        <f aca="false">IFERROR(INDEX(종합!E$3:E$501,MATCH(ROW()-2,종합!$AC$3:$AC$501,0))&amp;"","")</f>
        <v/>
      </c>
      <c r="F95" s="18" t="str">
        <f aca="false">IFERROR(INDEX(종합!F$3:F$501,MATCH(ROW()-2,종합!$AC$3:$AC$501,0))&amp;"","")</f>
        <v/>
      </c>
      <c r="G95" s="18" t="str">
        <f aca="false">IFERROR(INDEX(종합!G$3:G$501,MATCH(ROW()-2,종합!$AC$3:$AC$501,0))&amp;"","")</f>
        <v>공공기관</v>
      </c>
      <c r="H95" s="21" t="str">
        <f aca="false">IFERROR(INDEX(종합!H$3:H$501,MATCH(ROW()-2,종합!$AC$3:$AC$501,0))&amp;"","")</f>
        <v>12-82-00103</v>
      </c>
      <c r="I95" s="21" t="str">
        <f aca="false">IFERROR(INDEX(종합!I$3:I$501,MATCH(ROW()-2,종합!$AC$3:$AC$501,0))&amp;"","")</f>
        <v>이상재(사장 직무대행)</v>
      </c>
      <c r="J95" s="21" t="str">
        <f aca="false">IFERROR(INDEX(종합!J$3:J$501,MATCH(ROW()-2,종합!$AC$3:$AC$501,0))&amp;"","")</f>
        <v>1588-2504</v>
      </c>
      <c r="K95" s="21" t="str">
        <f aca="false">IFERROR(INDEX(종합!K$3:K$501,MATCH(ROW()-2,종합!$AC$3:$AC$501,0))&amp;"","")</f>
        <v>www.ex.co.kr</v>
      </c>
      <c r="L95" s="21" t="str">
        <f aca="false">IFERROR(INDEX(종합!L$3:L$501,MATCH(ROW()-2,종합!$AC$3:$AC$501,0))&amp;"","")</f>
        <v/>
      </c>
      <c r="M95" s="21" t="str">
        <f aca="false">IFERROR(INDEX(종합!M$3:M$501,MATCH(ROW()-2,종합!$AC$3:$AC$501,0))&amp;"","")</f>
        <v>경상북도 김천시 혁신8로 77(율곡로)</v>
      </c>
      <c r="N95" s="25" t="str">
        <f aca="false">IFERROR(INDEX(종합!N$3:N$501,MATCH(ROW()-2,종합!$AC$3:$AC$501,0))&amp;"","")</f>
        <v>공공서비스(도로교통분야)</v>
      </c>
      <c r="O95" s="21" t="str">
        <f aca="false">IFERROR(INDEX(종합!O$3:O$501,MATCH(ROW()-2,종합!$AC$3:$AC$501,0))&amp;"","")</f>
        <v>백상현</v>
      </c>
      <c r="P95" s="21" t="str">
        <f aca="false">IFERROR(INDEX(종합!P$3:P$501,MATCH(ROW()-2,종합!$AC$3:$AC$501,0))&amp;"","")</f>
        <v>AX현신처</v>
      </c>
      <c r="Q95" s="21" t="str">
        <f aca="false">IFERROR(INDEX(종합!Q$3:Q$501,MATCH(ROW()-2,종합!$AC$3:$AC$501,0))&amp;"","")</f>
        <v>처장</v>
      </c>
      <c r="R95" s="21" t="str">
        <f aca="false">IFERROR(INDEX(종합!R$3:R$501,MATCH(ROW()-2,종합!$AC$3:$AC$501,0))&amp;"","")</f>
        <v>054-811-4501</v>
      </c>
      <c r="S95" s="21" t="str">
        <f aca="false">IFERROR(INDEX(종합!S$3:S$501,MATCH(ROW()-2,종합!$AC$3:$AC$501,0))&amp;"","")</f>
        <v>peak@ex.co.kr</v>
      </c>
      <c r="T95" s="21" t="str">
        <f aca="false">IFERROR(INDEX(종합!T$3:T$501,MATCH(ROW()-2,종합!$AC$3:$AC$501,0))&amp;"","")</f>
        <v>010-3158-8288</v>
      </c>
      <c r="U95" s="21" t="str">
        <f aca="false">IFERROR(INDEX(종합!U$3:U$501,MATCH(ROW()-2,종합!$AC$3:$AC$501,0))&amp;"","")</f>
        <v>최은경</v>
      </c>
      <c r="V95" s="21" t="str">
        <f aca="false">IFERROR(INDEX(종합!V$3:V$501,MATCH(ROW()-2,종합!$AC$3:$AC$501,0))&amp;"","")</f>
        <v>AX현신처</v>
      </c>
      <c r="W95" s="21" t="str">
        <f aca="false">IFERROR(INDEX(종합!W$3:W$501,MATCH(ROW()-2,종합!$AC$3:$AC$501,0))&amp;"","")</f>
        <v>차장</v>
      </c>
      <c r="X95" s="21" t="str">
        <f aca="false">IFERROR(INDEX(종합!X$3:X$501,MATCH(ROW()-2,종합!$AC$3:$AC$501,0))&amp;"","")</f>
        <v>054-811-4518</v>
      </c>
      <c r="Y95" s="21" t="str">
        <f aca="false">IFERROR(INDEX(종합!Y$3:Y$501,MATCH(ROW()-2,종합!$AC$3:$AC$501,0))&amp;"","")</f>
        <v>ekchoi@ex.co.kr</v>
      </c>
      <c r="Z95" s="21" t="str">
        <f aca="false">IFERROR(INDEX(종합!Z$3:Z$501,MATCH(ROW()-2,종합!$AC$3:$AC$501,0))&amp;"","")</f>
        <v>010-3439-1314</v>
      </c>
    </row>
    <row r="96" customFormat="false" ht="22.5" hidden="false" customHeight="true" outlineLevel="0" collapsed="false">
      <c r="A96" s="18" t="n">
        <f aca="false">IF(B96="","",ROW()-2)</f>
        <v>94</v>
      </c>
      <c r="B96" s="18" t="str">
        <f aca="false">IFERROR(INDEX(종합!B$3:B$501,MATCH(ROW()-2,종합!$AC$3:$AC$501,0))&amp;"","")</f>
        <v>주식회사 마키나락스</v>
      </c>
      <c r="C96" s="18" t="str">
        <f aca="false">IFERROR(INDEX(종합!C$3:C$501,MATCH(ROW()-2,종합!$AC$3:$AC$501,0))&amp;"","")</f>
        <v/>
      </c>
      <c r="D96" s="18" t="str">
        <f aca="false">IFERROR(INDEX(종합!D$3:D$501,MATCH(ROW()-2,종합!$AC$3:$AC$501,0))&amp;"","")</f>
        <v>O</v>
      </c>
      <c r="E96" s="18" t="str">
        <f aca="false">IFERROR(INDEX(종합!E$3:E$501,MATCH(ROW()-2,종합!$AC$3:$AC$501,0))&amp;"","")</f>
        <v/>
      </c>
      <c r="F96" s="18" t="str">
        <f aca="false">IFERROR(INDEX(종합!F$3:F$501,MATCH(ROW()-2,종합!$AC$3:$AC$501,0))&amp;"","")</f>
        <v/>
      </c>
      <c r="G96" s="18" t="str">
        <f aca="false">IFERROR(INDEX(종합!G$3:G$501,MATCH(ROW()-2,종합!$AC$3:$AC$501,0))&amp;"","")</f>
        <v>중소기업</v>
      </c>
      <c r="H96" s="21" t="str">
        <f aca="false">IFERROR(INDEX(종합!H$3:H$501,MATCH(ROW()-2,종합!$AC$3:$AC$501,0))&amp;"","")</f>
        <v>441-86-01015</v>
      </c>
      <c r="I96" s="21" t="str">
        <f aca="false">IFERROR(INDEX(종합!I$3:I$501,MATCH(ROW()-2,종합!$AC$3:$AC$501,0))&amp;"","")</f>
        <v>윤성호</v>
      </c>
      <c r="J96" s="21" t="str">
        <f aca="false">IFERROR(INDEX(종합!J$3:J$501,MATCH(ROW()-2,종합!$AC$3:$AC$501,0))&amp;"","")</f>
        <v>02-6245-1221</v>
      </c>
      <c r="K96" s="21" t="str">
        <f aca="false">IFERROR(INDEX(종합!K$3:K$501,MATCH(ROW()-2,종합!$AC$3:$AC$501,0))&amp;"","")</f>
        <v>www.makinarocks.ai</v>
      </c>
      <c r="L96" s="21" t="str">
        <f aca="false">IFERROR(INDEX(종합!L$3:L$501,MATCH(ROW()-2,종합!$AC$3:$AC$501,0))&amp;"","")</f>
        <v/>
      </c>
      <c r="M96" s="21" t="str">
        <f aca="false">IFERROR(INDEX(종합!M$3:M$501,MATCH(ROW()-2,종합!$AC$3:$AC$501,0))&amp;"","")</f>
        <v>서울특별시 서초구 강남대로 343, 신덕빌링 12층</v>
      </c>
      <c r="N96" s="25" t="str">
        <f aca="false">IFERROR(INDEX(종합!N$3:N$501,MATCH(ROW()-2,종합!$AC$3:$AC$501,0))&amp;"","")</f>
        <v>제조 / 국방 산업 특화 AI</v>
      </c>
      <c r="O96" s="21" t="str">
        <f aca="false">IFERROR(INDEX(종합!O$3:O$501,MATCH(ROW()-2,종합!$AC$3:$AC$501,0))&amp;"","")</f>
        <v>심상우</v>
      </c>
      <c r="P96" s="21" t="str">
        <f aca="false">IFERROR(INDEX(종합!P$3:P$501,MATCH(ROW()-2,종합!$AC$3:$AC$501,0))&amp;"","")</f>
        <v>FDE본부</v>
      </c>
      <c r="Q96" s="21" t="str">
        <f aca="false">IFERROR(INDEX(종합!Q$3:Q$501,MATCH(ROW()-2,종합!$AC$3:$AC$501,0))&amp;"","")</f>
        <v>CTO</v>
      </c>
      <c r="R96" s="21" t="str">
        <f aca="false">IFERROR(INDEX(종합!R$3:R$501,MATCH(ROW()-2,종합!$AC$3:$AC$501,0))&amp;"","")</f>
        <v>02-6245-1221</v>
      </c>
      <c r="S96" s="21" t="str">
        <f aca="false">IFERROR(INDEX(종합!S$3:S$501,MATCH(ROW()-2,종합!$AC$3:$AC$501,0))&amp;"","")</f>
        <v>sangwoo@makinarocks.ai</v>
      </c>
      <c r="T96" s="21" t="str">
        <f aca="false">IFERROR(INDEX(종합!T$3:T$501,MATCH(ROW()-2,종합!$AC$3:$AC$501,0))&amp;"","")</f>
        <v>010-2125-9520</v>
      </c>
      <c r="U96" s="21" t="str">
        <f aca="false">IFERROR(INDEX(종합!U$3:U$501,MATCH(ROW()-2,종합!$AC$3:$AC$501,0))&amp;"","")</f>
        <v>이주호</v>
      </c>
      <c r="V96" s="21" t="str">
        <f aca="false">IFERROR(INDEX(종합!V$3:V$501,MATCH(ROW()-2,종합!$AC$3:$AC$501,0))&amp;"","")</f>
        <v>사업화본부</v>
      </c>
      <c r="W96" s="21" t="str">
        <f aca="false">IFERROR(INDEX(종합!W$3:W$501,MATCH(ROW()-2,종합!$AC$3:$AC$501,0))&amp;"","")</f>
        <v>매니저</v>
      </c>
      <c r="X96" s="21" t="str">
        <f aca="false">IFERROR(INDEX(종합!X$3:X$501,MATCH(ROW()-2,종합!$AC$3:$AC$501,0))&amp;"","")</f>
        <v>010-4877-1828</v>
      </c>
      <c r="Y96" s="21" t="str">
        <f aca="false">IFERROR(INDEX(종합!Y$3:Y$501,MATCH(ROW()-2,종합!$AC$3:$AC$501,0))&amp;"","")</f>
        <v>juho.lee@makinarocks.ai</v>
      </c>
      <c r="Z96" s="21" t="str">
        <f aca="false">IFERROR(INDEX(종합!Z$3:Z$501,MATCH(ROW()-2,종합!$AC$3:$AC$501,0))&amp;"","")</f>
        <v>010-4877-1828</v>
      </c>
    </row>
    <row r="97" customFormat="false" ht="22.5" hidden="false" customHeight="true" outlineLevel="0" collapsed="false">
      <c r="A97" s="18" t="n">
        <f aca="false">IF(B97="","",ROW()-2)</f>
        <v>95</v>
      </c>
      <c r="B97" s="18" t="str">
        <f aca="false">IFERROR(INDEX(종합!B$3:B$501,MATCH(ROW()-2,종합!$AC$3:$AC$501,0))&amp;"","")</f>
        <v>주식회사 에이치엘엠코리아</v>
      </c>
      <c r="C97" s="18" t="str">
        <f aca="false">IFERROR(INDEX(종합!C$3:C$501,MATCH(ROW()-2,종합!$AC$3:$AC$501,0))&amp;"","")</f>
        <v/>
      </c>
      <c r="D97" s="18" t="str">
        <f aca="false">IFERROR(INDEX(종합!D$3:D$501,MATCH(ROW()-2,종합!$AC$3:$AC$501,0))&amp;"","")</f>
        <v>O</v>
      </c>
      <c r="E97" s="18" t="str">
        <f aca="false">IFERROR(INDEX(종합!E$3:E$501,MATCH(ROW()-2,종합!$AC$3:$AC$501,0))&amp;"","")</f>
        <v/>
      </c>
      <c r="F97" s="18" t="str">
        <f aca="false">IFERROR(INDEX(종합!F$3:F$501,MATCH(ROW()-2,종합!$AC$3:$AC$501,0))&amp;"","")</f>
        <v/>
      </c>
      <c r="G97" s="18" t="str">
        <f aca="false">IFERROR(INDEX(종합!G$3:G$501,MATCH(ROW()-2,종합!$AC$3:$AC$501,0))&amp;"","")</f>
        <v>중소기업</v>
      </c>
      <c r="H97" s="21" t="str">
        <f aca="false">IFERROR(INDEX(종합!H$3:H$501,MATCH(ROW()-2,종합!$AC$3:$AC$501,0))&amp;"","")</f>
        <v>741-81-03238</v>
      </c>
      <c r="I97" s="21" t="str">
        <f aca="false">IFERROR(INDEX(종합!I$3:I$501,MATCH(ROW()-2,종합!$AC$3:$AC$501,0))&amp;"","")</f>
        <v>이주원</v>
      </c>
      <c r="J97" s="21" t="str">
        <f aca="false">IFERROR(INDEX(종합!J$3:J$501,MATCH(ROW()-2,종합!$AC$3:$AC$501,0))&amp;"","")</f>
        <v>1577-5211</v>
      </c>
      <c r="K97" s="21" t="str">
        <f aca="false">IFERROR(INDEX(종합!K$3:K$501,MATCH(ROW()-2,종합!$AC$3:$AC$501,0))&amp;"","")</f>
        <v>별도 없음(전문 유통판매 도매사)</v>
      </c>
      <c r="L97" s="21" t="str">
        <f aca="false">IFERROR(INDEX(종합!L$3:L$501,MATCH(ROW()-2,종합!$AC$3:$AC$501,0))&amp;"","")</f>
        <v/>
      </c>
      <c r="M97" s="21" t="str">
        <f aca="false">IFERROR(INDEX(종합!M$3:M$501,MATCH(ROW()-2,종합!$AC$3:$AC$501,0))&amp;"","")</f>
        <v>서울 송파구 송파대로 201, 테라타워2 비동 U20</v>
      </c>
      <c r="N97" s="25" t="str">
        <f aca="false">IFERROR(INDEX(종합!N$3:N$501,MATCH(ROW()-2,종합!$AC$3:$AC$501,0))&amp;"","")</f>
        <v>의료소프트웨어 전문 판매사 </v>
      </c>
      <c r="O97" s="21" t="str">
        <f aca="false">IFERROR(INDEX(종합!O$3:O$501,MATCH(ROW()-2,종합!$AC$3:$AC$501,0))&amp;"","")</f>
        <v>이주원</v>
      </c>
      <c r="P97" s="21" t="str">
        <f aca="false">IFERROR(INDEX(종합!P$3:P$501,MATCH(ROW()-2,종합!$AC$3:$AC$501,0))&amp;"","")</f>
        <v>대표이사</v>
      </c>
      <c r="Q97" s="21" t="str">
        <f aca="false">IFERROR(INDEX(종합!Q$3:Q$501,MATCH(ROW()-2,종합!$AC$3:$AC$501,0))&amp;"","")</f>
        <v>대표이사</v>
      </c>
      <c r="R97" s="21" t="str">
        <f aca="false">IFERROR(INDEX(종합!R$3:R$501,MATCH(ROW()-2,종합!$AC$3:$AC$501,0))&amp;"","")</f>
        <v>010-9326-6873</v>
      </c>
      <c r="S97" s="21" t="str">
        <f aca="false">IFERROR(INDEX(종합!S$3:S$501,MATCH(ROW()-2,종합!$AC$3:$AC$501,0))&amp;"","")</f>
        <v>juwon.lee@hlmkorea.com</v>
      </c>
      <c r="T97" s="21" t="str">
        <f aca="false">IFERROR(INDEX(종합!T$3:T$501,MATCH(ROW()-2,종합!$AC$3:$AC$501,0))&amp;"","")</f>
        <v>010-9326-6873</v>
      </c>
      <c r="U97" s="21" t="str">
        <f aca="false">IFERROR(INDEX(종합!U$3:U$501,MATCH(ROW()-2,종합!$AC$3:$AC$501,0))&amp;"","")</f>
        <v>이주원</v>
      </c>
      <c r="V97" s="21" t="str">
        <f aca="false">IFERROR(INDEX(종합!V$3:V$501,MATCH(ROW()-2,종합!$AC$3:$AC$501,0))&amp;"","")</f>
        <v>대표이사</v>
      </c>
      <c r="W97" s="21" t="str">
        <f aca="false">IFERROR(INDEX(종합!W$3:W$501,MATCH(ROW()-2,종합!$AC$3:$AC$501,0))&amp;"","")</f>
        <v>대표이사</v>
      </c>
      <c r="X97" s="21" t="str">
        <f aca="false">IFERROR(INDEX(종합!X$3:X$501,MATCH(ROW()-2,종합!$AC$3:$AC$501,0))&amp;"","")</f>
        <v>010-9326-6873</v>
      </c>
      <c r="Y97" s="21" t="str">
        <f aca="false">IFERROR(INDEX(종합!Y$3:Y$501,MATCH(ROW()-2,종합!$AC$3:$AC$501,0))&amp;"","")</f>
        <v>juwon.lee@hlmkorea.com</v>
      </c>
      <c r="Z97" s="21" t="str">
        <f aca="false">IFERROR(INDEX(종합!Z$3:Z$501,MATCH(ROW()-2,종합!$AC$3:$AC$501,0))&amp;"","")</f>
        <v>010-9326-6873</v>
      </c>
    </row>
    <row r="98" customFormat="false" ht="33.75" hidden="false" customHeight="true" outlineLevel="0" collapsed="false">
      <c r="A98" s="18" t="n">
        <f aca="false">IF(B98="","",ROW()-2)</f>
        <v>96</v>
      </c>
      <c r="B98" s="18" t="str">
        <f aca="false">IFERROR(INDEX(종합!B$3:B$501,MATCH(ROW()-2,종합!$AC$3:$AC$501,0))&amp;"","")</f>
        <v>주식회사 시넥스</v>
      </c>
      <c r="C98" s="18" t="str">
        <f aca="false">IFERROR(INDEX(종합!C$3:C$501,MATCH(ROW()-2,종합!$AC$3:$AC$501,0))&amp;"","")</f>
        <v>O</v>
      </c>
      <c r="D98" s="18" t="str">
        <f aca="false">IFERROR(INDEX(종합!D$3:D$501,MATCH(ROW()-2,종합!$AC$3:$AC$501,0))&amp;"","")</f>
        <v>O</v>
      </c>
      <c r="E98" s="18" t="str">
        <f aca="false">IFERROR(INDEX(종합!E$3:E$501,MATCH(ROW()-2,종합!$AC$3:$AC$501,0))&amp;"","")</f>
        <v>O</v>
      </c>
      <c r="F98" s="18" t="str">
        <f aca="false">IFERROR(INDEX(종합!F$3:F$501,MATCH(ROW()-2,종합!$AC$3:$AC$501,0))&amp;"","")</f>
        <v/>
      </c>
      <c r="G98" s="18" t="str">
        <f aca="false">IFERROR(INDEX(종합!G$3:G$501,MATCH(ROW()-2,종합!$AC$3:$AC$501,0))&amp;"","")</f>
        <v>중소기업</v>
      </c>
      <c r="H98" s="21" t="str">
        <f aca="false">IFERROR(INDEX(종합!H$3:H$501,MATCH(ROW()-2,종합!$AC$3:$AC$501,0))&amp;"","")</f>
        <v>744-87-03807</v>
      </c>
      <c r="I98" s="21" t="str">
        <f aca="false">IFERROR(INDEX(종합!I$3:I$501,MATCH(ROW()-2,종합!$AC$3:$AC$501,0))&amp;"","")</f>
        <v>이대은</v>
      </c>
      <c r="J98" s="21" t="str">
        <f aca="false">IFERROR(INDEX(종합!J$3:J$501,MATCH(ROW()-2,종합!$AC$3:$AC$501,0))&amp;"","")</f>
        <v>010-2450-0854</v>
      </c>
      <c r="K98" s="21" t="str">
        <f aca="false">IFERROR(INDEX(종합!K$3:K$501,MATCH(ROW()-2,종합!$AC$3:$AC$501,0))&amp;"","")</f>
        <v>https://synnex.kr/</v>
      </c>
      <c r="L98" s="21" t="str">
        <f aca="false">IFERROR(INDEX(종합!L$3:L$501,MATCH(ROW()-2,종합!$AC$3:$AC$501,0))&amp;"","")</f>
        <v/>
      </c>
      <c r="M98" s="21" t="str">
        <f aca="false">IFERROR(INDEX(종합!M$3:M$501,MATCH(ROW()-2,종합!$AC$3:$AC$501,0))&amp;"","")</f>
        <v>서울시 강남구 논현로 10길 30, 505-J11호</v>
      </c>
      <c r="N98" s="25" t="str">
        <f aca="false">IFERROR(INDEX(종합!N$3:N$501,MATCH(ROW()-2,종합!$AC$3:$AC$501,0))&amp;"","")</f>
        <v>에듀테크 / AI 교육용 솔루션(AI co-Learner) / 개인 맞춤형 AI 역량강화 솔루션</v>
      </c>
      <c r="O98" s="21" t="str">
        <f aca="false">IFERROR(INDEX(종합!O$3:O$501,MATCH(ROW()-2,종합!$AC$3:$AC$501,0))&amp;"","")</f>
        <v>이대은</v>
      </c>
      <c r="P98" s="21" t="str">
        <f aca="false">IFERROR(INDEX(종합!P$3:P$501,MATCH(ROW()-2,종합!$AC$3:$AC$501,0))&amp;"","")</f>
        <v>임원실</v>
      </c>
      <c r="Q98" s="21" t="str">
        <f aca="false">IFERROR(INDEX(종합!Q$3:Q$501,MATCH(ROW()-2,종합!$AC$3:$AC$501,0))&amp;"","")</f>
        <v>대표이사</v>
      </c>
      <c r="R98" s="21" t="str">
        <f aca="false">IFERROR(INDEX(종합!R$3:R$501,MATCH(ROW()-2,종합!$AC$3:$AC$501,0))&amp;"","")</f>
        <v>010-2450-0854</v>
      </c>
      <c r="S98" s="21" t="str">
        <f aca="false">IFERROR(INDEX(종합!S$3:S$501,MATCH(ROW()-2,종합!$AC$3:$AC$501,0))&amp;"","")</f>
        <v>daeeun.lee@synnex.kr</v>
      </c>
      <c r="T98" s="21" t="str">
        <f aca="false">IFERROR(INDEX(종합!T$3:T$501,MATCH(ROW()-2,종합!$AC$3:$AC$501,0))&amp;"","")</f>
        <v>010-2450-0854</v>
      </c>
      <c r="U98" s="21" t="str">
        <f aca="false">IFERROR(INDEX(종합!U$3:U$501,MATCH(ROW()-2,종합!$AC$3:$AC$501,0))&amp;"","")</f>
        <v>이대은</v>
      </c>
      <c r="V98" s="21" t="str">
        <f aca="false">IFERROR(INDEX(종합!V$3:V$501,MATCH(ROW()-2,종합!$AC$3:$AC$501,0))&amp;"","")</f>
        <v>임원실</v>
      </c>
      <c r="W98" s="21" t="str">
        <f aca="false">IFERROR(INDEX(종합!W$3:W$501,MATCH(ROW()-2,종합!$AC$3:$AC$501,0))&amp;"","")</f>
        <v>대표이사</v>
      </c>
      <c r="X98" s="21" t="str">
        <f aca="false">IFERROR(INDEX(종합!X$3:X$501,MATCH(ROW()-2,종합!$AC$3:$AC$501,0))&amp;"","")</f>
        <v>010-2450-0854</v>
      </c>
      <c r="Y98" s="21" t="str">
        <f aca="false">IFERROR(INDEX(종합!Y$3:Y$501,MATCH(ROW()-2,종합!$AC$3:$AC$501,0))&amp;"","")</f>
        <v>daeeun.lee@synnex.kr</v>
      </c>
      <c r="Z98" s="21" t="str">
        <f aca="false">IFERROR(INDEX(종합!Z$3:Z$501,MATCH(ROW()-2,종합!$AC$3:$AC$501,0))&amp;"","")</f>
        <v>010-2450-0854</v>
      </c>
    </row>
    <row r="99" customFormat="false" ht="47.25" hidden="false" customHeight="true" outlineLevel="0" collapsed="false">
      <c r="A99" s="18" t="n">
        <f aca="false">IF(B99="","",ROW()-2)</f>
        <v>97</v>
      </c>
      <c r="B99" s="18" t="str">
        <f aca="false">IFERROR(INDEX(종합!B$3:B$501,MATCH(ROW()-2,종합!$AC$3:$AC$501,0))&amp;"","")</f>
        <v>(주)스위트케이</v>
      </c>
      <c r="C99" s="18" t="str">
        <f aca="false">IFERROR(INDEX(종합!C$3:C$501,MATCH(ROW()-2,종합!$AC$3:$AC$501,0))&amp;"","")</f>
        <v/>
      </c>
      <c r="D99" s="18" t="str">
        <f aca="false">IFERROR(INDEX(종합!D$3:D$501,MATCH(ROW()-2,종합!$AC$3:$AC$501,0))&amp;"","")</f>
        <v>O</v>
      </c>
      <c r="E99" s="18" t="str">
        <f aca="false">IFERROR(INDEX(종합!E$3:E$501,MATCH(ROW()-2,종합!$AC$3:$AC$501,0))&amp;"","")</f>
        <v/>
      </c>
      <c r="F99" s="18" t="str">
        <f aca="false">IFERROR(INDEX(종합!F$3:F$501,MATCH(ROW()-2,종합!$AC$3:$AC$501,0))&amp;"","")</f>
        <v/>
      </c>
      <c r="G99" s="18" t="str">
        <f aca="false">IFERROR(INDEX(종합!G$3:G$501,MATCH(ROW()-2,종합!$AC$3:$AC$501,0))&amp;"","")</f>
        <v>중소기업</v>
      </c>
      <c r="H99" s="21" t="str">
        <f aca="false">IFERROR(INDEX(종합!H$3:H$501,MATCH(ROW()-2,종합!$AC$3:$AC$501,0))&amp;"","")</f>
        <v>138-81-89385</v>
      </c>
      <c r="I99" s="21" t="str">
        <f aca="false">IFERROR(INDEX(종합!I$3:I$501,MATCH(ROW()-2,종합!$AC$3:$AC$501,0))&amp;"","")</f>
        <v>김민철</v>
      </c>
      <c r="J99" s="21" t="str">
        <f aca="false">IFERROR(INDEX(종합!J$3:J$501,MATCH(ROW()-2,종합!$AC$3:$AC$501,0))&amp;"","")</f>
        <v>010-2713-4421</v>
      </c>
      <c r="K99" s="21" t="str">
        <f aca="false">IFERROR(INDEX(종합!K$3:K$501,MATCH(ROW()-2,종합!$AC$3:$AC$501,0))&amp;"","")</f>
        <v>https://www.sweetk.co.kr/</v>
      </c>
      <c r="L99" s="21" t="str">
        <f aca="false">IFERROR(INDEX(종합!L$3:L$501,MATCH(ROW()-2,종합!$AC$3:$AC$501,0))&amp;"","")</f>
        <v/>
      </c>
      <c r="M99" s="21" t="str">
        <f aca="false">IFERROR(INDEX(종합!M$3:M$501,MATCH(ROW()-2,종합!$AC$3:$AC$501,0))&amp;"","")</f>
        <v>경기도 과천시 과천대로 7길 65, 상상자이타워 B동  1514-1515, 1501, 1519호</v>
      </c>
      <c r="N99" s="25" t="str">
        <f aca="false">IFERROR(INDEX(종합!N$3:N$501,MATCH(ROW()-2,종합!$AC$3:$AC$501,0))&amp;"","")</f>
        <v>스마트글라스-Physical AI 기반 실시간 설비 안전·운영 지원 AI 에이전트, 온프레미스 LLM/RAG 기반 AI 에이전트, 대규모 CCTV 객체추적·재식별 AI</v>
      </c>
      <c r="O99" s="21" t="str">
        <f aca="false">IFERROR(INDEX(종합!O$3:O$501,MATCH(ROW()-2,종합!$AC$3:$AC$501,0))&amp;"","")</f>
        <v>이준호</v>
      </c>
      <c r="P99" s="21" t="str">
        <f aca="false">IFERROR(INDEX(종합!P$3:P$501,MATCH(ROW()-2,종합!$AC$3:$AC$501,0))&amp;"","")</f>
        <v>AI연구본부</v>
      </c>
      <c r="Q99" s="21" t="str">
        <f aca="false">IFERROR(INDEX(종합!Q$3:Q$501,MATCH(ROW()-2,종합!$AC$3:$AC$501,0))&amp;"","")</f>
        <v>상무/본부장</v>
      </c>
      <c r="R99" s="21" t="str">
        <f aca="false">IFERROR(INDEX(종합!R$3:R$501,MATCH(ROW()-2,종합!$AC$3:$AC$501,0))&amp;"","")</f>
        <v>02-3434-3120</v>
      </c>
      <c r="S99" s="21" t="str">
        <f aca="false">IFERROR(INDEX(종합!S$3:S$501,MATCH(ROW()-2,종합!$AC$3:$AC$501,0))&amp;"","")</f>
        <v>jh.lee@sweetk.co.kr</v>
      </c>
      <c r="T99" s="21" t="str">
        <f aca="false">IFERROR(INDEX(종합!T$3:T$501,MATCH(ROW()-2,종합!$AC$3:$AC$501,0))&amp;"","")</f>
        <v>010-4937-9962</v>
      </c>
      <c r="U99" s="21" t="str">
        <f aca="false">IFERROR(INDEX(종합!U$3:U$501,MATCH(ROW()-2,종합!$AC$3:$AC$501,0))&amp;"","")</f>
        <v>이종혁</v>
      </c>
      <c r="V99" s="21" t="str">
        <f aca="false">IFERROR(INDEX(종합!V$3:V$501,MATCH(ROW()-2,종합!$AC$3:$AC$501,0))&amp;"","")</f>
        <v>AX사업본부</v>
      </c>
      <c r="W99" s="21" t="str">
        <f aca="false">IFERROR(INDEX(종합!W$3:W$501,MATCH(ROW()-2,종합!$AC$3:$AC$501,0))&amp;"","")</f>
        <v>차장/팀장</v>
      </c>
      <c r="X99" s="21" t="str">
        <f aca="false">IFERROR(INDEX(종합!X$3:X$501,MATCH(ROW()-2,종합!$AC$3:$AC$501,0))&amp;"","")</f>
        <v>02-3434-3120</v>
      </c>
      <c r="Y99" s="21" t="str">
        <f aca="false">IFERROR(INDEX(종합!Y$3:Y$501,MATCH(ROW()-2,종합!$AC$3:$AC$501,0))&amp;"","")</f>
        <v>jhlee@sweetk.co.kr</v>
      </c>
      <c r="Z99" s="21" t="str">
        <f aca="false">IFERROR(INDEX(종합!Z$3:Z$501,MATCH(ROW()-2,종합!$AC$3:$AC$501,0))&amp;"","")</f>
        <v>010-2677-2872</v>
      </c>
    </row>
    <row r="100" customFormat="false" ht="22.5" hidden="false" customHeight="true" outlineLevel="0" collapsed="false">
      <c r="A100" s="18" t="n">
        <f aca="false">IF(B100="","",ROW()-2)</f>
        <v>98</v>
      </c>
      <c r="B100" s="18" t="str">
        <f aca="false">IFERROR(INDEX(종합!B$3:B$501,MATCH(ROW()-2,종합!$AC$3:$AC$501,0))&amp;"","")</f>
        <v>(주)모비루스</v>
      </c>
      <c r="C100" s="18" t="str">
        <f aca="false">IFERROR(INDEX(종합!C$3:C$501,MATCH(ROW()-2,종합!$AC$3:$AC$501,0))&amp;"","")</f>
        <v/>
      </c>
      <c r="D100" s="18" t="str">
        <f aca="false">IFERROR(INDEX(종합!D$3:D$501,MATCH(ROW()-2,종합!$AC$3:$AC$501,0))&amp;"","")</f>
        <v>O</v>
      </c>
      <c r="E100" s="18" t="str">
        <f aca="false">IFERROR(INDEX(종합!E$3:E$501,MATCH(ROW()-2,종합!$AC$3:$AC$501,0))&amp;"","")</f>
        <v/>
      </c>
      <c r="F100" s="18" t="str">
        <f aca="false">IFERROR(INDEX(종합!F$3:F$501,MATCH(ROW()-2,종합!$AC$3:$AC$501,0))&amp;"","")</f>
        <v/>
      </c>
      <c r="G100" s="18" t="str">
        <f aca="false">IFERROR(INDEX(종합!G$3:G$501,MATCH(ROW()-2,종합!$AC$3:$AC$501,0))&amp;"","")</f>
        <v>중소기업</v>
      </c>
      <c r="H100" s="21" t="str">
        <f aca="false">IFERROR(INDEX(종합!H$3:H$501,MATCH(ROW()-2,종합!$AC$3:$AC$501,0))&amp;"","")</f>
        <v>504-81-60421</v>
      </c>
      <c r="I100" s="21" t="str">
        <f aca="false">IFERROR(INDEX(종합!I$3:I$501,MATCH(ROW()-2,종합!$AC$3:$AC$501,0))&amp;"","")</f>
        <v>조병호</v>
      </c>
      <c r="J100" s="21" t="str">
        <f aca="false">IFERROR(INDEX(종합!J$3:J$501,MATCH(ROW()-2,종합!$AC$3:$AC$501,0))&amp;"","")</f>
        <v>031-759-0744</v>
      </c>
      <c r="K100" s="21" t="str">
        <f aca="false">IFERROR(INDEX(종합!K$3:K$501,MATCH(ROW()-2,종합!$AC$3:$AC$501,0))&amp;"","")</f>
        <v>https://www.mobilus.ai</v>
      </c>
      <c r="L100" s="21" t="str">
        <f aca="false">IFERROR(INDEX(종합!L$3:L$501,MATCH(ROW()-2,종합!$AC$3:$AC$501,0))&amp;"","")</f>
        <v/>
      </c>
      <c r="M100" s="21" t="str">
        <f aca="false">IFERROR(INDEX(종합!M$3:M$501,MATCH(ROW()-2,종합!$AC$3:$AC$501,0))&amp;"","")</f>
        <v>경기도 성남시 수정구 창업로 43, A-311(판교글로벌비지니스센터)</v>
      </c>
      <c r="N100" s="25" t="str">
        <f aca="false">IFERROR(INDEX(종합!N$3:N$501,MATCH(ROW()-2,종합!$AC$3:$AC$501,0))&amp;"","")</f>
        <v>자율주행/자율작업 농기계 솔루션</v>
      </c>
      <c r="O100" s="21" t="str">
        <f aca="false">IFERROR(INDEX(종합!O$3:O$501,MATCH(ROW()-2,종합!$AC$3:$AC$501,0))&amp;"","")</f>
        <v>김재철</v>
      </c>
      <c r="P100" s="21" t="str">
        <f aca="false">IFERROR(INDEX(종합!P$3:P$501,MATCH(ROW()-2,종합!$AC$3:$AC$501,0))&amp;"","")</f>
        <v>사업개발본부</v>
      </c>
      <c r="Q100" s="21" t="str">
        <f aca="false">IFERROR(INDEX(종합!Q$3:Q$501,MATCH(ROW()-2,종합!$AC$3:$AC$501,0))&amp;"","")</f>
        <v>상무/본부장</v>
      </c>
      <c r="R100" s="21" t="str">
        <f aca="false">IFERROR(INDEX(종합!R$3:R$501,MATCH(ROW()-2,종합!$AC$3:$AC$501,0))&amp;"","")</f>
        <v>031-759-0744</v>
      </c>
      <c r="S100" s="21" t="str">
        <f aca="false">IFERROR(INDEX(종합!S$3:S$501,MATCH(ROW()-2,종합!$AC$3:$AC$501,0))&amp;"","")</f>
        <v>ratm1024@mobilus.ai</v>
      </c>
      <c r="T100" s="21" t="str">
        <f aca="false">IFERROR(INDEX(종합!T$3:T$501,MATCH(ROW()-2,종합!$AC$3:$AC$501,0))&amp;"","")</f>
        <v>010-8829-1459</v>
      </c>
      <c r="U100" s="21" t="str">
        <f aca="false">IFERROR(INDEX(종합!U$3:U$501,MATCH(ROW()-2,종합!$AC$3:$AC$501,0))&amp;"","")</f>
        <v>조승헌</v>
      </c>
      <c r="V100" s="21" t="str">
        <f aca="false">IFERROR(INDEX(종합!V$3:V$501,MATCH(ROW()-2,종합!$AC$3:$AC$501,0))&amp;"","")</f>
        <v>사업개발본부</v>
      </c>
      <c r="W100" s="21" t="str">
        <f aca="false">IFERROR(INDEX(종합!W$3:W$501,MATCH(ROW()-2,종합!$AC$3:$AC$501,0))&amp;"","")</f>
        <v>이사/기획실장</v>
      </c>
      <c r="X100" s="21" t="str">
        <f aca="false">IFERROR(INDEX(종합!X$3:X$501,MATCH(ROW()-2,종합!$AC$3:$AC$501,0))&amp;"","")</f>
        <v>031-759-0744</v>
      </c>
      <c r="Y100" s="21" t="str">
        <f aca="false">IFERROR(INDEX(종합!Y$3:Y$501,MATCH(ROW()-2,종합!$AC$3:$AC$501,0))&amp;"","")</f>
        <v>sh.cho@mobilus.ai</v>
      </c>
      <c r="Z100" s="21" t="str">
        <f aca="false">IFERROR(INDEX(종합!Z$3:Z$501,MATCH(ROW()-2,종합!$AC$3:$AC$501,0))&amp;"","")</f>
        <v>010-9132-0830</v>
      </c>
    </row>
    <row r="101" customFormat="false" ht="33.75" hidden="false" customHeight="true" outlineLevel="0" collapsed="false">
      <c r="A101" s="18" t="n">
        <f aca="false">IF(B101="","",ROW()-2)</f>
        <v>99</v>
      </c>
      <c r="B101" s="18" t="str">
        <f aca="false">IFERROR(INDEX(종합!B$3:B$501,MATCH(ROW()-2,종합!$AC$3:$AC$501,0))&amp;"","")</f>
        <v>베스핀글로벌 주식회사</v>
      </c>
      <c r="C101" s="18" t="str">
        <f aca="false">IFERROR(INDEX(종합!C$3:C$501,MATCH(ROW()-2,종합!$AC$3:$AC$501,0))&amp;"","")</f>
        <v/>
      </c>
      <c r="D101" s="18" t="str">
        <f aca="false">IFERROR(INDEX(종합!D$3:D$501,MATCH(ROW()-2,종합!$AC$3:$AC$501,0))&amp;"","")</f>
        <v>O</v>
      </c>
      <c r="E101" s="18" t="str">
        <f aca="false">IFERROR(INDEX(종합!E$3:E$501,MATCH(ROW()-2,종합!$AC$3:$AC$501,0))&amp;"","")</f>
        <v/>
      </c>
      <c r="F101" s="18" t="str">
        <f aca="false">IFERROR(INDEX(종합!F$3:F$501,MATCH(ROW()-2,종합!$AC$3:$AC$501,0))&amp;"","")</f>
        <v/>
      </c>
      <c r="G101" s="18" t="str">
        <f aca="false">IFERROR(INDEX(종합!G$3:G$501,MATCH(ROW()-2,종합!$AC$3:$AC$501,0))&amp;"","")</f>
        <v>중견기업</v>
      </c>
      <c r="H101" s="21" t="str">
        <f aca="false">IFERROR(INDEX(종합!H$3:H$501,MATCH(ROW()-2,종합!$AC$3:$AC$501,0))&amp;"","")</f>
        <v>638-87-00223</v>
      </c>
      <c r="I101" s="21" t="str">
        <f aca="false">IFERROR(INDEX(종합!I$3:I$501,MATCH(ROW()-2,종합!$AC$3:$AC$501,0))&amp;"","")</f>
        <v>허양호, KIM SUNNY(김써니)</v>
      </c>
      <c r="J101" s="21" t="str">
        <f aca="false">IFERROR(INDEX(종합!J$3:J$501,MATCH(ROW()-2,종합!$AC$3:$AC$501,0))&amp;"","")</f>
        <v>02-1668-1280</v>
      </c>
      <c r="K101" s="21" t="str">
        <f aca="false">IFERROR(INDEX(종합!K$3:K$501,MATCH(ROW()-2,종합!$AC$3:$AC$501,0))&amp;"","")</f>
        <v>https://www.bespinglobal.com/</v>
      </c>
      <c r="L101" s="21" t="str">
        <f aca="false">IFERROR(INDEX(종합!L$3:L$501,MATCH(ROW()-2,종합!$AC$3:$AC$501,0))&amp;"","")</f>
        <v/>
      </c>
      <c r="M101" s="21" t="str">
        <f aca="false">IFERROR(INDEX(종합!M$3:M$501,MATCH(ROW()-2,종합!$AC$3:$AC$501,0))&amp;"","")</f>
        <v>서울특별시 서초구 강남대로 327, 13, 14, 15, 16층(서초동, 대륭서초타워)</v>
      </c>
      <c r="N101" s="25" t="str">
        <f aca="false">IFERROR(INDEX(종합!N$3:N$501,MATCH(ROW()-2,종합!$AC$3:$AC$501,0))&amp;"","")</f>
        <v>HelpNow Agentic AI Platform</v>
      </c>
      <c r="O101" s="21" t="str">
        <f aca="false">IFERROR(INDEX(종합!O$3:O$501,MATCH(ROW()-2,종합!$AC$3:$AC$501,0))&amp;"","")</f>
        <v>박영진</v>
      </c>
      <c r="P101" s="21" t="str">
        <f aca="false">IFERROR(INDEX(종합!P$3:P$501,MATCH(ROW()-2,종합!$AC$3:$AC$501,0))&amp;"","")</f>
        <v>공공사업부</v>
      </c>
      <c r="Q101" s="21" t="str">
        <f aca="false">IFERROR(INDEX(종합!Q$3:Q$501,MATCH(ROW()-2,종합!$AC$3:$AC$501,0))&amp;"","")</f>
        <v>상무</v>
      </c>
      <c r="R101" s="21" t="str">
        <f aca="false">IFERROR(INDEX(종합!R$3:R$501,MATCH(ROW()-2,종합!$AC$3:$AC$501,0))&amp;"","")</f>
        <v>010-3741-3977</v>
      </c>
      <c r="S101" s="21" t="str">
        <f aca="false">IFERROR(INDEX(종합!S$3:S$501,MATCH(ROW()-2,종합!$AC$3:$AC$501,0))&amp;"","")</f>
        <v>youngjin.park@bespinglobal.com</v>
      </c>
      <c r="T101" s="21" t="str">
        <f aca="false">IFERROR(INDEX(종합!T$3:T$501,MATCH(ROW()-2,종합!$AC$3:$AC$501,0))&amp;"","")</f>
        <v>010-3741-3977</v>
      </c>
      <c r="U101" s="21" t="str">
        <f aca="false">IFERROR(INDEX(종합!U$3:U$501,MATCH(ROW()-2,종합!$AC$3:$AC$501,0))&amp;"","")</f>
        <v>최다혜</v>
      </c>
      <c r="V101" s="21" t="str">
        <f aca="false">IFERROR(INDEX(종합!V$3:V$501,MATCH(ROW()-2,종합!$AC$3:$AC$501,0))&amp;"","")</f>
        <v>공공사업부</v>
      </c>
      <c r="W101" s="21" t="str">
        <f aca="false">IFERROR(INDEX(종합!W$3:W$501,MATCH(ROW()-2,종합!$AC$3:$AC$501,0))&amp;"","")</f>
        <v>대리</v>
      </c>
      <c r="X101" s="21" t="str">
        <f aca="false">IFERROR(INDEX(종합!X$3:X$501,MATCH(ROW()-2,종합!$AC$3:$AC$501,0))&amp;"","")</f>
        <v>010-8114-3809</v>
      </c>
      <c r="Y101" s="21" t="str">
        <f aca="false">IFERROR(INDEX(종합!Y$3:Y$501,MATCH(ROW()-2,종합!$AC$3:$AC$501,0))&amp;"","")</f>
        <v>dahye.choi@bespinglobal.com</v>
      </c>
      <c r="Z101" s="21" t="str">
        <f aca="false">IFERROR(INDEX(종합!Z$3:Z$501,MATCH(ROW()-2,종합!$AC$3:$AC$501,0))&amp;"","")</f>
        <v>010-8114-3809</v>
      </c>
    </row>
    <row r="102" customFormat="false" ht="22.5" hidden="false" customHeight="true" outlineLevel="0" collapsed="false">
      <c r="A102" s="18" t="n">
        <f aca="false">IF(B102="","",ROW()-2)</f>
        <v>100</v>
      </c>
      <c r="B102" s="18" t="str">
        <f aca="false">IFERROR(INDEX(종합!B$3:B$501,MATCH(ROW()-2,종합!$AC$3:$AC$501,0))&amp;"","")</f>
        <v>주식회사 뷰텔</v>
      </c>
      <c r="C102" s="18" t="str">
        <f aca="false">IFERROR(INDEX(종합!C$3:C$501,MATCH(ROW()-2,종합!$AC$3:$AC$501,0))&amp;"","")</f>
        <v/>
      </c>
      <c r="D102" s="18" t="str">
        <f aca="false">IFERROR(INDEX(종합!D$3:D$501,MATCH(ROW()-2,종합!$AC$3:$AC$501,0))&amp;"","")</f>
        <v>O</v>
      </c>
      <c r="E102" s="18" t="str">
        <f aca="false">IFERROR(INDEX(종합!E$3:E$501,MATCH(ROW()-2,종합!$AC$3:$AC$501,0))&amp;"","")</f>
        <v/>
      </c>
      <c r="F102" s="18" t="str">
        <f aca="false">IFERROR(INDEX(종합!F$3:F$501,MATCH(ROW()-2,종합!$AC$3:$AC$501,0))&amp;"","")</f>
        <v/>
      </c>
      <c r="G102" s="18" t="str">
        <f aca="false">IFERROR(INDEX(종합!G$3:G$501,MATCH(ROW()-2,종합!$AC$3:$AC$501,0))&amp;"","")</f>
        <v>중소기업</v>
      </c>
      <c r="H102" s="21" t="str">
        <f aca="false">IFERROR(INDEX(종합!H$3:H$501,MATCH(ROW()-2,종합!$AC$3:$AC$501,0))&amp;"","")</f>
        <v>214-87-56744</v>
      </c>
      <c r="I102" s="21" t="str">
        <f aca="false">IFERROR(INDEX(종합!I$3:I$501,MATCH(ROW()-2,종합!$AC$3:$AC$501,0))&amp;"","")</f>
        <v>윤지현</v>
      </c>
      <c r="J102" s="21" t="str">
        <f aca="false">IFERROR(INDEX(종합!J$3:J$501,MATCH(ROW()-2,종합!$AC$3:$AC$501,0))&amp;"","")</f>
        <v>031-707-0314</v>
      </c>
      <c r="K102" s="21" t="str">
        <f aca="false">IFERROR(INDEX(종합!K$3:K$501,MATCH(ROW()-2,종합!$AC$3:$AC$501,0))&amp;"","")</f>
        <v>www.view-tel.co.kr</v>
      </c>
      <c r="L102" s="21" t="str">
        <f aca="false">IFERROR(INDEX(종합!L$3:L$501,MATCH(ROW()-2,종합!$AC$3:$AC$501,0))&amp;"","")</f>
        <v>dmjang@view-tel.co.kr</v>
      </c>
      <c r="M102" s="21" t="str">
        <f aca="false">IFERROR(INDEX(종합!M$3:M$501,MATCH(ROW()-2,종합!$AC$3:$AC$501,0))&amp;"","")</f>
        <v>경기도 성남시 수정구 산성대로75 에지오빌딩A동201호</v>
      </c>
      <c r="N102" s="25" t="str">
        <f aca="false">IFERROR(INDEX(종합!N$3:N$501,MATCH(ROW()-2,종합!$AC$3:$AC$501,0))&amp;"","")</f>
        <v>의료및 진단, 오픈클로</v>
      </c>
      <c r="O102" s="21" t="str">
        <f aca="false">IFERROR(INDEX(종합!O$3:O$501,MATCH(ROW()-2,종합!$AC$3:$AC$501,0))&amp;"","")</f>
        <v>장동만</v>
      </c>
      <c r="P102" s="21" t="str">
        <f aca="false">IFERROR(INDEX(종합!P$3:P$501,MATCH(ROW()-2,종합!$AC$3:$AC$501,0))&amp;"","")</f>
        <v>연구소</v>
      </c>
      <c r="Q102" s="21" t="str">
        <f aca="false">IFERROR(INDEX(종합!Q$3:Q$501,MATCH(ROW()-2,종합!$AC$3:$AC$501,0))&amp;"","")</f>
        <v>수석</v>
      </c>
      <c r="R102" s="21" t="str">
        <f aca="false">IFERROR(INDEX(종합!R$3:R$501,MATCH(ROW()-2,종합!$AC$3:$AC$501,0))&amp;"","")</f>
        <v>010-5388-8376</v>
      </c>
      <c r="S102" s="21" t="str">
        <f aca="false">IFERROR(INDEX(종합!S$3:S$501,MATCH(ROW()-2,종합!$AC$3:$AC$501,0))&amp;"","")</f>
        <v>dmjang@nate.com</v>
      </c>
      <c r="T102" s="21" t="str">
        <f aca="false">IFERROR(INDEX(종합!T$3:T$501,MATCH(ROW()-2,종합!$AC$3:$AC$501,0))&amp;"","")</f>
        <v>010-5388-8376</v>
      </c>
      <c r="U102" s="21" t="str">
        <f aca="false">IFERROR(INDEX(종합!U$3:U$501,MATCH(ROW()-2,종합!$AC$3:$AC$501,0))&amp;"","")</f>
        <v>장동만</v>
      </c>
      <c r="V102" s="21" t="str">
        <f aca="false">IFERROR(INDEX(종합!V$3:V$501,MATCH(ROW()-2,종합!$AC$3:$AC$501,0))&amp;"","")</f>
        <v>연구소</v>
      </c>
      <c r="W102" s="21" t="str">
        <f aca="false">IFERROR(INDEX(종합!W$3:W$501,MATCH(ROW()-2,종합!$AC$3:$AC$501,0))&amp;"","")</f>
        <v>수석</v>
      </c>
      <c r="X102" s="21" t="str">
        <f aca="false">IFERROR(INDEX(종합!X$3:X$501,MATCH(ROW()-2,종합!$AC$3:$AC$501,0))&amp;"","")</f>
        <v>010-5388-8376</v>
      </c>
      <c r="Y102" s="21" t="str">
        <f aca="false">IFERROR(INDEX(종합!Y$3:Y$501,MATCH(ROW()-2,종합!$AC$3:$AC$501,0))&amp;"","")</f>
        <v>dmjang@nate.com</v>
      </c>
      <c r="Z102" s="21" t="str">
        <f aca="false">IFERROR(INDEX(종합!Z$3:Z$501,MATCH(ROW()-2,종합!$AC$3:$AC$501,0))&amp;"","")</f>
        <v>010-5388-8376</v>
      </c>
    </row>
    <row r="103" customFormat="false" ht="114.75" hidden="false" customHeight="true" outlineLevel="0" collapsed="false">
      <c r="A103" s="18" t="n">
        <f aca="false">IF(B103="","",ROW()-2)</f>
        <v>101</v>
      </c>
      <c r="B103" s="18" t="str">
        <f aca="false">IFERROR(INDEX(종합!B$3:B$501,MATCH(ROW()-2,종합!$AC$3:$AC$501,0))&amp;"","")</f>
        <v>(주)디토닉</v>
      </c>
      <c r="C103" s="18" t="str">
        <f aca="false">IFERROR(INDEX(종합!C$3:C$501,MATCH(ROW()-2,종합!$AC$3:$AC$501,0))&amp;"","")</f>
        <v>O</v>
      </c>
      <c r="D103" s="18" t="str">
        <f aca="false">IFERROR(INDEX(종합!D$3:D$501,MATCH(ROW()-2,종합!$AC$3:$AC$501,0))&amp;"","")</f>
        <v>O</v>
      </c>
      <c r="E103" s="18" t="str">
        <f aca="false">IFERROR(INDEX(종합!E$3:E$501,MATCH(ROW()-2,종합!$AC$3:$AC$501,0))&amp;"","")</f>
        <v/>
      </c>
      <c r="F103" s="18" t="str">
        <f aca="false">IFERROR(INDEX(종합!F$3:F$501,MATCH(ROW()-2,종합!$AC$3:$AC$501,0))&amp;"","")</f>
        <v/>
      </c>
      <c r="G103" s="18" t="str">
        <f aca="false">IFERROR(INDEX(종합!G$3:G$501,MATCH(ROW()-2,종합!$AC$3:$AC$501,0))&amp;"","")</f>
        <v>중소기업</v>
      </c>
      <c r="H103" s="21" t="str">
        <f aca="false">IFERROR(INDEX(종합!H$3:H$501,MATCH(ROW()-2,종합!$AC$3:$AC$501,0))&amp;"","")</f>
        <v>264-81-37380</v>
      </c>
      <c r="I103" s="21" t="str">
        <f aca="false">IFERROR(INDEX(종합!I$3:I$501,MATCH(ROW()-2,종합!$AC$3:$AC$501,0))&amp;"","")</f>
        <v>전용주</v>
      </c>
      <c r="J103" s="21" t="str">
        <f aca="false">IFERROR(INDEX(종합!J$3:J$501,MATCH(ROW()-2,종합!$AC$3:$AC$501,0))&amp;"","")</f>
        <v>031-689-4770</v>
      </c>
      <c r="K103" s="21" t="str">
        <f aca="false">IFERROR(INDEX(종합!K$3:K$501,MATCH(ROW()-2,종합!$AC$3:$AC$501,0))&amp;"","")</f>
        <v>www.dtonic.io</v>
      </c>
      <c r="L103" s="21" t="str">
        <f aca="false">IFERROR(INDEX(종합!L$3:L$501,MATCH(ROW()-2,종합!$AC$3:$AC$501,0))&amp;"","")</f>
        <v>richard@dtonic.io</v>
      </c>
      <c r="M103" s="21" t="str">
        <f aca="false">IFERROR(INDEX(종합!M$3:M$501,MATCH(ROW()-2,종합!$AC$3:$AC$501,0))&amp;"","")</f>
        <v>경기도 성남시 분당구 서현로 200, 7층(서현동, 에스디바이오센서주식회사 분당빌딩)</v>
      </c>
      <c r="N103" s="25" t="str">
        <f aca="false">IFERROR(INDEX(종합!N$3:N$501,MATCH(ROW()-2,종합!$AC$3:$AC$501,0))&amp;"","")</f>
        <v>D.Hub : 다양한 도메인의 데이터를 수집 및 체계적으로 관리하며 요구되는 스마트 융합 응용 서비스에 전달하는
디지털 전환(DX) 실현이 가능한 핵심 플랫폼
D.Eview : AI/데이터 전환(AX/DX)을 희망하는 고객사들을 위해 ESL Display 및 기능을 활용하여 지능형 서비스를 제공하는 D.Eview
D.Edge : 다양한 도메인에서 발생하는 대용량 데이터를 현장에서 수집·분석하여 실시간 분석 서비스를 가능케하는 D.Edge 엣지 컴퓨팅 기반 AIoT 플랫폼</v>
      </c>
      <c r="O103" s="21" t="str">
        <f aca="false">IFERROR(INDEX(종합!O$3:O$501,MATCH(ROW()-2,종합!$AC$3:$AC$501,0))&amp;"","")</f>
        <v>김선영</v>
      </c>
      <c r="P103" s="21" t="str">
        <f aca="false">IFERROR(INDEX(종합!P$3:P$501,MATCH(ROW()-2,종합!$AC$3:$AC$501,0))&amp;"","")</f>
        <v>국방사업개발</v>
      </c>
      <c r="Q103" s="21" t="str">
        <f aca="false">IFERROR(INDEX(종합!Q$3:Q$501,MATCH(ROW()-2,종합!$AC$3:$AC$501,0))&amp;"","")</f>
        <v>이사</v>
      </c>
      <c r="R103" s="21" t="str">
        <f aca="false">IFERROR(INDEX(종합!R$3:R$501,MATCH(ROW()-2,종합!$AC$3:$AC$501,0))&amp;"","")</f>
        <v>031-689-4770</v>
      </c>
      <c r="S103" s="21" t="str">
        <f aca="false">IFERROR(INDEX(종합!S$3:S$501,MATCH(ROW()-2,종합!$AC$3:$AC$501,0))&amp;"","")</f>
        <v>nandakim@dtonic.io</v>
      </c>
      <c r="T103" s="21" t="str">
        <f aca="false">IFERROR(INDEX(종합!T$3:T$501,MATCH(ROW()-2,종합!$AC$3:$AC$501,0))&amp;"","")</f>
        <v>010-5819-6781</v>
      </c>
      <c r="U103" s="21" t="str">
        <f aca="false">IFERROR(INDEX(종합!U$3:U$501,MATCH(ROW()-2,종합!$AC$3:$AC$501,0))&amp;"","")</f>
        <v>유원주</v>
      </c>
      <c r="V103" s="21" t="str">
        <f aca="false">IFERROR(INDEX(종합!V$3:V$501,MATCH(ROW()-2,종합!$AC$3:$AC$501,0))&amp;"","")</f>
        <v>기술총괄</v>
      </c>
      <c r="W103" s="21" t="str">
        <f aca="false">IFERROR(INDEX(종합!W$3:W$501,MATCH(ROW()-2,종합!$AC$3:$AC$501,0))&amp;"","")</f>
        <v>이사</v>
      </c>
      <c r="X103" s="21" t="str">
        <f aca="false">IFERROR(INDEX(종합!X$3:X$501,MATCH(ROW()-2,종합!$AC$3:$AC$501,0))&amp;"","")</f>
        <v>031-689-4770</v>
      </c>
      <c r="Y103" s="21" t="str">
        <f aca="false">IFERROR(INDEX(종합!Y$3:Y$501,MATCH(ROW()-2,종합!$AC$3:$AC$501,0))&amp;"","")</f>
        <v>wonzoo.you@dtonic.io</v>
      </c>
      <c r="Z103" s="21" t="str">
        <f aca="false">IFERROR(INDEX(종합!Z$3:Z$501,MATCH(ROW()-2,종합!$AC$3:$AC$501,0))&amp;"","")</f>
        <v>010-8990-6844</v>
      </c>
    </row>
    <row r="104" customFormat="false" ht="22.5" hidden="false" customHeight="true" outlineLevel="0" collapsed="false">
      <c r="A104" s="18" t="n">
        <f aca="false">IF(B104="","",ROW()-2)</f>
        <v>102</v>
      </c>
      <c r="B104" s="18" t="str">
        <f aca="false">IFERROR(INDEX(종합!B$3:B$501,MATCH(ROW()-2,종합!$AC$3:$AC$501,0))&amp;"","")</f>
        <v>주식회사 마크노바</v>
      </c>
      <c r="C104" s="18" t="str">
        <f aca="false">IFERROR(INDEX(종합!C$3:C$501,MATCH(ROW()-2,종합!$AC$3:$AC$501,0))&amp;"","")</f>
        <v/>
      </c>
      <c r="D104" s="18" t="str">
        <f aca="false">IFERROR(INDEX(종합!D$3:D$501,MATCH(ROW()-2,종합!$AC$3:$AC$501,0))&amp;"","")</f>
        <v>O</v>
      </c>
      <c r="E104" s="18" t="str">
        <f aca="false">IFERROR(INDEX(종합!E$3:E$501,MATCH(ROW()-2,종합!$AC$3:$AC$501,0))&amp;"","")</f>
        <v/>
      </c>
      <c r="F104" s="18" t="str">
        <f aca="false">IFERROR(INDEX(종합!F$3:F$501,MATCH(ROW()-2,종합!$AC$3:$AC$501,0))&amp;"","")</f>
        <v/>
      </c>
      <c r="G104" s="18" t="str">
        <f aca="false">IFERROR(INDEX(종합!G$3:G$501,MATCH(ROW()-2,종합!$AC$3:$AC$501,0))&amp;"","")</f>
        <v>중소기업</v>
      </c>
      <c r="H104" s="21" t="str">
        <f aca="false">IFERROR(INDEX(종합!H$3:H$501,MATCH(ROW()-2,종합!$AC$3:$AC$501,0))&amp;"","")</f>
        <v>459-81-02382</v>
      </c>
      <c r="I104" s="21" t="str">
        <f aca="false">IFERROR(INDEX(종합!I$3:I$501,MATCH(ROW()-2,종합!$AC$3:$AC$501,0))&amp;"","")</f>
        <v>최혁</v>
      </c>
      <c r="J104" s="21" t="str">
        <f aca="false">IFERROR(INDEX(종합!J$3:J$501,MATCH(ROW()-2,종합!$AC$3:$AC$501,0))&amp;"","")</f>
        <v>1551-1564</v>
      </c>
      <c r="K104" s="21" t="str">
        <f aca="false">IFERROR(INDEX(종합!K$3:K$501,MATCH(ROW()-2,종합!$AC$3:$AC$501,0))&amp;"","")</f>
        <v>www.marknova.co.kr</v>
      </c>
      <c r="L104" s="21" t="str">
        <f aca="false">IFERROR(INDEX(종합!L$3:L$501,MATCH(ROW()-2,종합!$AC$3:$AC$501,0))&amp;"","")</f>
        <v>hello@marknova.co.kr</v>
      </c>
      <c r="M104" s="21" t="str">
        <f aca="false">IFERROR(INDEX(종합!M$3:M$501,MATCH(ROW()-2,종합!$AC$3:$AC$501,0))&amp;"","")</f>
        <v>경기도 성남시 분당구 성남대로 331번길 8, 킨스타워(정자동) 21층 2101호</v>
      </c>
      <c r="N104" s="25" t="str">
        <f aca="false">IFERROR(INDEX(종합!N$3:N$501,MATCH(ROW()-2,종합!$AC$3:$AC$501,0))&amp;"","")</f>
        <v>AI 시니어 홈 케어 서비스</v>
      </c>
      <c r="O104" s="21" t="str">
        <f aca="false">IFERROR(INDEX(종합!O$3:O$501,MATCH(ROW()-2,종합!$AC$3:$AC$501,0))&amp;"","")</f>
        <v>최창호</v>
      </c>
      <c r="P104" s="21" t="str">
        <f aca="false">IFERROR(INDEX(종합!P$3:P$501,MATCH(ROW()-2,종합!$AC$3:$AC$501,0))&amp;"","")</f>
        <v>전략기술팀</v>
      </c>
      <c r="Q104" s="21" t="str">
        <f aca="false">IFERROR(INDEX(종합!Q$3:Q$501,MATCH(ROW()-2,종합!$AC$3:$AC$501,0))&amp;"","")</f>
        <v>이사</v>
      </c>
      <c r="R104" s="21" t="str">
        <f aca="false">IFERROR(INDEX(종합!R$3:R$501,MATCH(ROW()-2,종합!$AC$3:$AC$501,0))&amp;"","")</f>
        <v>070-8671-3038</v>
      </c>
      <c r="S104" s="21" t="str">
        <f aca="false">IFERROR(INDEX(종합!S$3:S$501,MATCH(ROW()-2,종합!$AC$3:$AC$501,0))&amp;"","")</f>
        <v>chchoi@marknova.co.kr</v>
      </c>
      <c r="T104" s="21" t="str">
        <f aca="false">IFERROR(INDEX(종합!T$3:T$501,MATCH(ROW()-2,종합!$AC$3:$AC$501,0))&amp;"","")</f>
        <v>010-2718-0264</v>
      </c>
      <c r="U104" s="21" t="str">
        <f aca="false">IFERROR(INDEX(종합!U$3:U$501,MATCH(ROW()-2,종합!$AC$3:$AC$501,0))&amp;"","")</f>
        <v>이수빙</v>
      </c>
      <c r="V104" s="21" t="str">
        <f aca="false">IFERROR(INDEX(종합!V$3:V$501,MATCH(ROW()-2,종합!$AC$3:$AC$501,0))&amp;"","")</f>
        <v>헬스케어사업본부</v>
      </c>
      <c r="W104" s="21" t="str">
        <f aca="false">IFERROR(INDEX(종합!W$3:W$501,MATCH(ROW()-2,종합!$AC$3:$AC$501,0))&amp;"","")</f>
        <v>부장</v>
      </c>
      <c r="X104" s="21" t="str">
        <f aca="false">IFERROR(INDEX(종합!X$3:X$501,MATCH(ROW()-2,종합!$AC$3:$AC$501,0))&amp;"","")</f>
        <v>070-8671-3038</v>
      </c>
      <c r="Y104" s="21" t="str">
        <f aca="false">IFERROR(INDEX(종합!Y$3:Y$501,MATCH(ROW()-2,종합!$AC$3:$AC$501,0))&amp;"","")</f>
        <v>being@marknova.co.kr</v>
      </c>
      <c r="Z104" s="21" t="str">
        <f aca="false">IFERROR(INDEX(종합!Z$3:Z$501,MATCH(ROW()-2,종합!$AC$3:$AC$501,0))&amp;"","")</f>
        <v>010-9289-7568</v>
      </c>
    </row>
    <row r="105" customFormat="false" ht="60.75" hidden="false" customHeight="true" outlineLevel="0" collapsed="false">
      <c r="A105" s="18" t="n">
        <f aca="false">IF(B105="","",ROW()-2)</f>
        <v>103</v>
      </c>
      <c r="B105" s="18" t="str">
        <f aca="false">IFERROR(INDEX(종합!B$3:B$501,MATCH(ROW()-2,종합!$AC$3:$AC$501,0))&amp;"","")</f>
        <v>(주)더존비즈온</v>
      </c>
      <c r="C105" s="18" t="str">
        <f aca="false">IFERROR(INDEX(종합!C$3:C$501,MATCH(ROW()-2,종합!$AC$3:$AC$501,0))&amp;"","")</f>
        <v/>
      </c>
      <c r="D105" s="18" t="str">
        <f aca="false">IFERROR(INDEX(종합!D$3:D$501,MATCH(ROW()-2,종합!$AC$3:$AC$501,0))&amp;"","")</f>
        <v>O</v>
      </c>
      <c r="E105" s="18" t="str">
        <f aca="false">IFERROR(INDEX(종합!E$3:E$501,MATCH(ROW()-2,종합!$AC$3:$AC$501,0))&amp;"","")</f>
        <v/>
      </c>
      <c r="F105" s="18" t="str">
        <f aca="false">IFERROR(INDEX(종합!F$3:F$501,MATCH(ROW()-2,종합!$AC$3:$AC$501,0))&amp;"","")</f>
        <v/>
      </c>
      <c r="G105" s="18" t="str">
        <f aca="false">IFERROR(INDEX(종합!G$3:G$501,MATCH(ROW()-2,종합!$AC$3:$AC$501,0))&amp;"","")</f>
        <v>중견기업</v>
      </c>
      <c r="H105" s="21" t="str">
        <f aca="false">IFERROR(INDEX(종합!H$3:H$501,MATCH(ROW()-2,종합!$AC$3:$AC$501,0))&amp;"","")</f>
        <v>134-81-08473</v>
      </c>
      <c r="I105" s="21" t="str">
        <f aca="false">IFERROR(INDEX(종합!I$3:I$501,MATCH(ROW()-2,종합!$AC$3:$AC$501,0))&amp;"","")</f>
        <v>이강수, 지용구</v>
      </c>
      <c r="J105" s="21" t="str">
        <f aca="false">IFERROR(INDEX(종합!J$3:J$501,MATCH(ROW()-2,종합!$AC$3:$AC$501,0))&amp;"","")</f>
        <v>02-6233-3000</v>
      </c>
      <c r="K105" s="21" t="str">
        <f aca="false">IFERROR(INDEX(종합!K$3:K$501,MATCH(ROW()-2,종합!$AC$3:$AC$501,0))&amp;"","")</f>
        <v>www.douzone.com</v>
      </c>
      <c r="L105" s="21" t="str">
        <f aca="false">IFERROR(INDEX(종합!L$3:L$501,MATCH(ROW()-2,종합!$AC$3:$AC$501,0))&amp;"","")</f>
        <v/>
      </c>
      <c r="M105" s="21" t="str">
        <f aca="false">IFERROR(INDEX(종합!M$3:M$501,MATCH(ROW()-2,종합!$AC$3:$AC$501,0))&amp;"","")</f>
        <v>강원도 춘천시 남산면 수동리 749</v>
      </c>
      <c r="N105" s="25" t="str">
        <f aca="false">IFERROR(INDEX(종합!N$3:N$501,MATCH(ROW()-2,종합!$AC$3:$AC$501,0))&amp;"","")</f>
        <v>더존비즈온의 통합 업무 플랫폼에 내재화되어 기업의 데이터를 기반으로 사용자의 업무를 이해하고 맞춤형으로 지원함으로써 업무 효율성과 생산성을 향상시키는 기업용 통합 AI 솔루션, ONE AI</v>
      </c>
      <c r="O105" s="21" t="str">
        <f aca="false">IFERROR(INDEX(종합!O$3:O$501,MATCH(ROW()-2,종합!$AC$3:$AC$501,0))&amp;"","")</f>
        <v>이민우</v>
      </c>
      <c r="P105" s="21" t="str">
        <f aca="false">IFERROR(INDEX(종합!P$3:P$501,MATCH(ROW()-2,종합!$AC$3:$AC$501,0))&amp;"","")</f>
        <v>AX사업부문 AX신사업본부</v>
      </c>
      <c r="Q105" s="21" t="str">
        <f aca="false">IFERROR(INDEX(종합!Q$3:Q$501,MATCH(ROW()-2,종합!$AC$3:$AC$501,0))&amp;"","")</f>
        <v>상무/본부장</v>
      </c>
      <c r="R105" s="21" t="str">
        <f aca="false">IFERROR(INDEX(종합!R$3:R$501,MATCH(ROW()-2,종합!$AC$3:$AC$501,0))&amp;"","")</f>
        <v/>
      </c>
      <c r="S105" s="21" t="str">
        <f aca="false">IFERROR(INDEX(종합!S$3:S$501,MATCH(ROW()-2,종합!$AC$3:$AC$501,0))&amp;"","")</f>
        <v>mwlee1@douzone.com</v>
      </c>
      <c r="T105" s="21" t="str">
        <f aca="false">IFERROR(INDEX(종합!T$3:T$501,MATCH(ROW()-2,종합!$AC$3:$AC$501,0))&amp;"","")</f>
        <v>010-7119-7746</v>
      </c>
      <c r="U105" s="21" t="str">
        <f aca="false">IFERROR(INDEX(종합!U$3:U$501,MATCH(ROW()-2,종합!$AC$3:$AC$501,0))&amp;"","")</f>
        <v>김민상</v>
      </c>
      <c r="V105" s="21" t="str">
        <f aca="false">IFERROR(INDEX(종합!V$3:V$501,MATCH(ROW()-2,종합!$AC$3:$AC$501,0))&amp;"","")</f>
        <v>AX사업부문 사업기획본부 사업기획Unit</v>
      </c>
      <c r="W105" s="21" t="str">
        <f aca="false">IFERROR(INDEX(종합!W$3:W$501,MATCH(ROW()-2,종합!$AC$3:$AC$501,0))&amp;"","")</f>
        <v>차장</v>
      </c>
      <c r="X105" s="21" t="str">
        <f aca="false">IFERROR(INDEX(종합!X$3:X$501,MATCH(ROW()-2,종합!$AC$3:$AC$501,0))&amp;"","")</f>
        <v>02-6233-2572</v>
      </c>
      <c r="Y105" s="21" t="str">
        <f aca="false">IFERROR(INDEX(종합!Y$3:Y$501,MATCH(ROW()-2,종합!$AC$3:$AC$501,0))&amp;"","")</f>
        <v>kims8@douzone.com</v>
      </c>
      <c r="Z105" s="21" t="str">
        <f aca="false">IFERROR(INDEX(종합!Z$3:Z$501,MATCH(ROW()-2,종합!$AC$3:$AC$501,0))&amp;"","")</f>
        <v>010-6323-7648</v>
      </c>
    </row>
    <row r="106" customFormat="false" ht="22.5" hidden="false" customHeight="true" outlineLevel="0" collapsed="false">
      <c r="A106" s="18" t="n">
        <f aca="false">IF(B106="","",ROW()-2)</f>
        <v>104</v>
      </c>
      <c r="B106" s="18" t="str">
        <f aca="false">IFERROR(INDEX(종합!B$3:B$501,MATCH(ROW()-2,종합!$AC$3:$AC$501,0))&amp;"","")</f>
        <v>(주) 에이아이웍스</v>
      </c>
      <c r="C106" s="18" t="str">
        <f aca="false">IFERROR(INDEX(종합!C$3:C$501,MATCH(ROW()-2,종합!$AC$3:$AC$501,0))&amp;"","")</f>
        <v>O</v>
      </c>
      <c r="D106" s="18" t="str">
        <f aca="false">IFERROR(INDEX(종합!D$3:D$501,MATCH(ROW()-2,종합!$AC$3:$AC$501,0))&amp;"","")</f>
        <v>O</v>
      </c>
      <c r="E106" s="18" t="str">
        <f aca="false">IFERROR(INDEX(종합!E$3:E$501,MATCH(ROW()-2,종합!$AC$3:$AC$501,0))&amp;"","")</f>
        <v>O</v>
      </c>
      <c r="F106" s="18" t="str">
        <f aca="false">IFERROR(INDEX(종합!F$3:F$501,MATCH(ROW()-2,종합!$AC$3:$AC$501,0))&amp;"","")</f>
        <v>O</v>
      </c>
      <c r="G106" s="18" t="str">
        <f aca="false">IFERROR(INDEX(종합!G$3:G$501,MATCH(ROW()-2,종합!$AC$3:$AC$501,0))&amp;"","")</f>
        <v>중소기업</v>
      </c>
      <c r="H106" s="21" t="str">
        <f aca="false">IFERROR(INDEX(종합!H$3:H$501,MATCH(ROW()-2,종합!$AC$3:$AC$501,0))&amp;"","")</f>
        <v>517-88-00087</v>
      </c>
      <c r="I106" s="21" t="str">
        <f aca="false">IFERROR(INDEX(종합!I$3:I$501,MATCH(ROW()-2,종합!$AC$3:$AC$501,0))&amp;"","")</f>
        <v>윤석원</v>
      </c>
      <c r="J106" s="21" t="str">
        <f aca="false">IFERROR(INDEX(종합!J$3:J$501,MATCH(ROW()-2,종합!$AC$3:$AC$501,0))&amp;"","")</f>
        <v>02-423-5178</v>
      </c>
      <c r="K106" s="21" t="str">
        <f aca="false">IFERROR(INDEX(종합!K$3:K$501,MATCH(ROW()-2,종합!$AC$3:$AC$501,0))&amp;"","")</f>
        <v>https://aiworkx.ai/</v>
      </c>
      <c r="L106" s="21" t="str">
        <f aca="false">IFERROR(INDEX(종합!L$3:L$501,MATCH(ROW()-2,종합!$AC$3:$AC$501,0))&amp;"","")</f>
        <v>fireashedsoul@gmail.com</v>
      </c>
      <c r="M106" s="21" t="str">
        <f aca="false">IFERROR(INDEX(종합!M$3:M$501,MATCH(ROW()-2,종합!$AC$3:$AC$501,0))&amp;"","")</f>
        <v>경기도 화성시 삼성1로5길 6, 813호·814호 (석우동, 원희동탄캐슬)</v>
      </c>
      <c r="N106" s="25" t="str">
        <f aca="false">IFERROR(INDEX(종합!N$3:N$501,MATCH(ROW()-2,종합!$AC$3:$AC$501,0))&amp;"","")</f>
        <v>AI Agent 개발 및 검증 서비스</v>
      </c>
      <c r="O106" s="21" t="str">
        <f aca="false">IFERROR(INDEX(종합!O$3:O$501,MATCH(ROW()-2,종합!$AC$3:$AC$501,0))&amp;"","")</f>
        <v>김형복</v>
      </c>
      <c r="P106" s="21" t="str">
        <f aca="false">IFERROR(INDEX(종합!P$3:P$501,MATCH(ROW()-2,종합!$AC$3:$AC$501,0))&amp;"","")</f>
        <v>AI 개발본부</v>
      </c>
      <c r="Q106" s="21" t="str">
        <f aca="false">IFERROR(INDEX(종합!Q$3:Q$501,MATCH(ROW()-2,종합!$AC$3:$AC$501,0))&amp;"","")</f>
        <v>이사 / 본부장</v>
      </c>
      <c r="R106" s="21" t="str">
        <f aca="false">IFERROR(INDEX(종합!R$3:R$501,MATCH(ROW()-2,종합!$AC$3:$AC$501,0))&amp;"","")</f>
        <v>02-423-5178</v>
      </c>
      <c r="S106" s="21" t="str">
        <f aca="false">IFERROR(INDEX(종합!S$3:S$501,MATCH(ROW()-2,종합!$AC$3:$AC$501,0))&amp;"","")</f>
        <v>kimhyeongbok@aiworkx.ai</v>
      </c>
      <c r="T106" s="21" t="str">
        <f aca="false">IFERROR(INDEX(종합!T$3:T$501,MATCH(ROW()-2,종합!$AC$3:$AC$501,0))&amp;"","")</f>
        <v>010-9102-8135</v>
      </c>
      <c r="U106" s="21" t="str">
        <f aca="false">IFERROR(INDEX(종합!U$3:U$501,MATCH(ROW()-2,종합!$AC$3:$AC$501,0))&amp;"","")</f>
        <v>안상훈</v>
      </c>
      <c r="V106" s="21" t="str">
        <f aca="false">IFERROR(INDEX(종합!V$3:V$501,MATCH(ROW()-2,종합!$AC$3:$AC$501,0))&amp;"","")</f>
        <v>AI 개발본부</v>
      </c>
      <c r="W106" s="21" t="str">
        <f aca="false">IFERROR(INDEX(종합!W$3:W$501,MATCH(ROW()-2,종합!$AC$3:$AC$501,0))&amp;"","")</f>
        <v>책임연구원 / 팀장</v>
      </c>
      <c r="X106" s="21" t="str">
        <f aca="false">IFERROR(INDEX(종합!X$3:X$501,MATCH(ROW()-2,종합!$AC$3:$AC$501,0))&amp;"","")</f>
        <v>02-423-5178</v>
      </c>
      <c r="Y106" s="21" t="str">
        <f aca="false">IFERROR(INDEX(종합!Y$3:Y$501,MATCH(ROW()-2,종합!$AC$3:$AC$501,0))&amp;"","")</f>
        <v>shahn@aiworkx.ai</v>
      </c>
      <c r="Z106" s="21" t="str">
        <f aca="false">IFERROR(INDEX(종합!Z$3:Z$501,MATCH(ROW()-2,종합!$AC$3:$AC$501,0))&amp;"","")</f>
        <v>010-4720-7721</v>
      </c>
    </row>
    <row r="107" customFormat="false" ht="22.5" hidden="false" customHeight="true" outlineLevel="0" collapsed="false">
      <c r="A107" s="18" t="n">
        <f aca="false">IF(B107="","",ROW()-2)</f>
        <v>105</v>
      </c>
      <c r="B107" s="18" t="str">
        <f aca="false">IFERROR(INDEX(종합!B$3:B$501,MATCH(ROW()-2,종합!$AC$3:$AC$501,0))&amp;"","")</f>
        <v>㈜한글과컴퓨터</v>
      </c>
      <c r="C107" s="18" t="str">
        <f aca="false">IFERROR(INDEX(종합!C$3:C$501,MATCH(ROW()-2,종합!$AC$3:$AC$501,0))&amp;"","")</f>
        <v/>
      </c>
      <c r="D107" s="18" t="str">
        <f aca="false">IFERROR(INDEX(종합!D$3:D$501,MATCH(ROW()-2,종합!$AC$3:$AC$501,0))&amp;"","")</f>
        <v>O</v>
      </c>
      <c r="E107" s="18" t="str">
        <f aca="false">IFERROR(INDEX(종합!E$3:E$501,MATCH(ROW()-2,종합!$AC$3:$AC$501,0))&amp;"","")</f>
        <v/>
      </c>
      <c r="F107" s="18" t="str">
        <f aca="false">IFERROR(INDEX(종합!F$3:F$501,MATCH(ROW()-2,종합!$AC$3:$AC$501,0))&amp;"","")</f>
        <v/>
      </c>
      <c r="G107" s="18" t="str">
        <f aca="false">IFERROR(INDEX(종합!G$3:G$501,MATCH(ROW()-2,종합!$AC$3:$AC$501,0))&amp;"","")</f>
        <v>중견기업</v>
      </c>
      <c r="H107" s="21" t="str">
        <f aca="false">IFERROR(INDEX(종합!H$3:H$501,MATCH(ROW()-2,종합!$AC$3:$AC$501,0))&amp;"","")</f>
        <v>107-81-52230</v>
      </c>
      <c r="I107" s="21" t="str">
        <f aca="false">IFERROR(INDEX(종합!I$3:I$501,MATCH(ROW()-2,종합!$AC$3:$AC$501,0))&amp;"","")</f>
        <v>변성준, 김연수</v>
      </c>
      <c r="J107" s="21" t="str">
        <f aca="false">IFERROR(INDEX(종합!J$3:J$501,MATCH(ROW()-2,종합!$AC$3:$AC$501,0))&amp;"","")</f>
        <v>031-627-7600</v>
      </c>
      <c r="K107" s="21" t="str">
        <f aca="false">IFERROR(INDEX(종합!K$3:K$501,MATCH(ROW()-2,종합!$AC$3:$AC$501,0))&amp;"","")</f>
        <v>www.hancom.com</v>
      </c>
      <c r="L107" s="21" t="str">
        <f aca="false">IFERROR(INDEX(종합!L$3:L$501,MATCH(ROW()-2,종합!$AC$3:$AC$501,0))&amp;"","")</f>
        <v>jaimeyoon@hancom.com</v>
      </c>
      <c r="M107" s="21" t="str">
        <f aca="false">IFERROR(INDEX(종합!M$3:M$501,MATCH(ROW()-2,종합!$AC$3:$AC$501,0))&amp;"","")</f>
        <v>경기도 성남시 분당구 대왕판교로 644번길 49, 한컴타워10층</v>
      </c>
      <c r="N107" s="25" t="str">
        <f aca="false">IFERROR(INDEX(종합!N$3:N$501,MATCH(ROW()-2,종합!$AC$3:$AC$501,0))&amp;"","")</f>
        <v>AgenticOS</v>
      </c>
      <c r="O107" s="21" t="str">
        <f aca="false">IFERROR(INDEX(종합!O$3:O$501,MATCH(ROW()-2,종합!$AC$3:$AC$501,0))&amp;"","")</f>
        <v>김병후</v>
      </c>
      <c r="P107" s="21" t="str">
        <f aca="false">IFERROR(INDEX(종합!P$3:P$501,MATCH(ROW()-2,종합!$AC$3:$AC$501,0))&amp;"","")</f>
        <v>AX사업기획실</v>
      </c>
      <c r="Q107" s="21" t="str">
        <f aca="false">IFERROR(INDEX(종합!Q$3:Q$501,MATCH(ROW()-2,종합!$AC$3:$AC$501,0))&amp;"","")</f>
        <v>실장/부장</v>
      </c>
      <c r="R107" s="21" t="str">
        <f aca="false">IFERROR(INDEX(종합!R$3:R$501,MATCH(ROW()-2,종합!$AC$3:$AC$501,0))&amp;"","")</f>
        <v>010-5259-5850</v>
      </c>
      <c r="S107" s="21" t="str">
        <f aca="false">IFERROR(INDEX(종합!S$3:S$501,MATCH(ROW()-2,종합!$AC$3:$AC$501,0))&amp;"","")</f>
        <v>bhkim@hancom.com</v>
      </c>
      <c r="T107" s="21" t="str">
        <f aca="false">IFERROR(INDEX(종합!T$3:T$501,MATCH(ROW()-2,종합!$AC$3:$AC$501,0))&amp;"","")</f>
        <v>010-5259-5850</v>
      </c>
      <c r="U107" s="21" t="str">
        <f aca="false">IFERROR(INDEX(종합!U$3:U$501,MATCH(ROW()-2,종합!$AC$3:$AC$501,0))&amp;"","")</f>
        <v>김병후</v>
      </c>
      <c r="V107" s="21" t="str">
        <f aca="false">IFERROR(INDEX(종합!V$3:V$501,MATCH(ROW()-2,종합!$AC$3:$AC$501,0))&amp;"","")</f>
        <v>AX사업기획실</v>
      </c>
      <c r="W107" s="21" t="str">
        <f aca="false">IFERROR(INDEX(종합!W$3:W$501,MATCH(ROW()-2,종합!$AC$3:$AC$501,0))&amp;"","")</f>
        <v>실장/부장</v>
      </c>
      <c r="X107" s="21" t="str">
        <f aca="false">IFERROR(INDEX(종합!X$3:X$501,MATCH(ROW()-2,종합!$AC$3:$AC$501,0))&amp;"","")</f>
        <v>010-5259-5850</v>
      </c>
      <c r="Y107" s="21" t="str">
        <f aca="false">IFERROR(INDEX(종합!Y$3:Y$501,MATCH(ROW()-2,종합!$AC$3:$AC$501,0))&amp;"","")</f>
        <v>bhkim@hancom.com</v>
      </c>
      <c r="Z107" s="21" t="str">
        <f aca="false">IFERROR(INDEX(종합!Z$3:Z$501,MATCH(ROW()-2,종합!$AC$3:$AC$501,0))&amp;"","")</f>
        <v>010-5259-5850</v>
      </c>
    </row>
    <row r="108" customFormat="false" ht="22.5" hidden="false" customHeight="true" outlineLevel="0" collapsed="false">
      <c r="A108" s="18" t="n">
        <f aca="false">IF(B108="","",ROW()-2)</f>
        <v>106</v>
      </c>
      <c r="B108" s="18" t="str">
        <f aca="false">IFERROR(INDEX(종합!B$3:B$501,MATCH(ROW()-2,종합!$AC$3:$AC$501,0))&amp;"","")</f>
        <v>알서포트 주식회사</v>
      </c>
      <c r="C108" s="18" t="str">
        <f aca="false">IFERROR(INDEX(종합!C$3:C$501,MATCH(ROW()-2,종합!$AC$3:$AC$501,0))&amp;"","")</f>
        <v>O</v>
      </c>
      <c r="D108" s="18" t="str">
        <f aca="false">IFERROR(INDEX(종합!D$3:D$501,MATCH(ROW()-2,종합!$AC$3:$AC$501,0))&amp;"","")</f>
        <v>O</v>
      </c>
      <c r="E108" s="18" t="str">
        <f aca="false">IFERROR(INDEX(종합!E$3:E$501,MATCH(ROW()-2,종합!$AC$3:$AC$501,0))&amp;"","")</f>
        <v>O</v>
      </c>
      <c r="F108" s="18" t="str">
        <f aca="false">IFERROR(INDEX(종합!F$3:F$501,MATCH(ROW()-2,종합!$AC$3:$AC$501,0))&amp;"","")</f>
        <v>O</v>
      </c>
      <c r="G108" s="18" t="str">
        <f aca="false">IFERROR(INDEX(종합!G$3:G$501,MATCH(ROW()-2,종합!$AC$3:$AC$501,0))&amp;"","")</f>
        <v>중소기업</v>
      </c>
      <c r="H108" s="21" t="str">
        <f aca="false">IFERROR(INDEX(종합!H$3:H$501,MATCH(ROW()-2,종합!$AC$3:$AC$501,0))&amp;"","")</f>
        <v>114-86-82265</v>
      </c>
      <c r="I108" s="21" t="str">
        <f aca="false">IFERROR(INDEX(종합!I$3:I$501,MATCH(ROW()-2,종합!$AC$3:$AC$501,0))&amp;"","")</f>
        <v>서형수</v>
      </c>
      <c r="J108" s="21" t="str">
        <f aca="false">IFERROR(INDEX(종합!J$3:J$501,MATCH(ROW()-2,종합!$AC$3:$AC$501,0))&amp;"","")</f>
        <v>070-7011-3900</v>
      </c>
      <c r="K108" s="21" t="str">
        <f aca="false">IFERROR(INDEX(종합!K$3:K$501,MATCH(ROW()-2,종합!$AC$3:$AC$501,0))&amp;"","")</f>
        <v>https://www.rsupport.com/ko-kr/</v>
      </c>
      <c r="L108" s="21" t="str">
        <f aca="false">IFERROR(INDEX(종합!L$3:L$501,MATCH(ROW()-2,종합!$AC$3:$AC$501,0))&amp;"","")</f>
        <v>donghyung.shin@gmail.com</v>
      </c>
      <c r="M108" s="21" t="str">
        <f aca="false">IFERROR(INDEX(종합!M$3:M$501,MATCH(ROW()-2,종합!$AC$3:$AC$501,0))&amp;"","")</f>
        <v>서울특별시 강동구 고덕비즈밸리로2가길 12 (고덕동)</v>
      </c>
      <c r="N108" s="25" t="str">
        <f aca="false">IFERROR(INDEX(종합!N$3:N$501,MATCH(ROW()-2,종합!$AC$3:$AC$501,0))&amp;"","")</f>
        <v>AI 리포(AI:REPOTO) 및 AI Agents</v>
      </c>
      <c r="O108" s="21" t="str">
        <f aca="false">IFERROR(INDEX(종합!O$3:O$501,MATCH(ROW()-2,종합!$AC$3:$AC$501,0))&amp;"","")</f>
        <v>신동형</v>
      </c>
      <c r="P108" s="21" t="str">
        <f aca="false">IFERROR(INDEX(종합!P$3:P$501,MATCH(ROW()-2,종합!$AC$3:$AC$501,0))&amp;"","")</f>
        <v>전략기획팀</v>
      </c>
      <c r="Q108" s="21" t="str">
        <f aca="false">IFERROR(INDEX(종합!Q$3:Q$501,MATCH(ROW()-2,종합!$AC$3:$AC$501,0))&amp;"","")</f>
        <v>CSO</v>
      </c>
      <c r="R108" s="21" t="str">
        <f aca="false">IFERROR(INDEX(종합!R$3:R$501,MATCH(ROW()-2,종합!$AC$3:$AC$501,0))&amp;"","")</f>
        <v>010-2202-8761</v>
      </c>
      <c r="S108" s="21" t="str">
        <f aca="false">IFERROR(INDEX(종합!S$3:S$501,MATCH(ROW()-2,종합!$AC$3:$AC$501,0))&amp;"","")</f>
        <v>dhshin@rsupport.com</v>
      </c>
      <c r="T108" s="21" t="str">
        <f aca="false">IFERROR(INDEX(종합!T$3:T$501,MATCH(ROW()-2,종합!$AC$3:$AC$501,0))&amp;"","")</f>
        <v>010-2202-8761</v>
      </c>
      <c r="U108" s="21" t="str">
        <f aca="false">IFERROR(INDEX(종합!U$3:U$501,MATCH(ROW()-2,종합!$AC$3:$AC$501,0))&amp;"","")</f>
        <v>하승호</v>
      </c>
      <c r="V108" s="21" t="str">
        <f aca="false">IFERROR(INDEX(종합!V$3:V$501,MATCH(ROW()-2,종합!$AC$3:$AC$501,0))&amp;"","")</f>
        <v>연구기획팀</v>
      </c>
      <c r="W108" s="21" t="str">
        <f aca="false">IFERROR(INDEX(종합!W$3:W$501,MATCH(ROW()-2,종합!$AC$3:$AC$501,0))&amp;"","")</f>
        <v>책임</v>
      </c>
      <c r="X108" s="21" t="str">
        <f aca="false">IFERROR(INDEX(종합!X$3:X$501,MATCH(ROW()-2,종합!$AC$3:$AC$501,0))&amp;"","")</f>
        <v>010-4142-1220</v>
      </c>
      <c r="Y108" s="21" t="str">
        <f aca="false">IFERROR(INDEX(종합!Y$3:Y$501,MATCH(ROW()-2,종합!$AC$3:$AC$501,0))&amp;"","")</f>
        <v>shha@rsupport.com</v>
      </c>
      <c r="Z108" s="21" t="str">
        <f aca="false">IFERROR(INDEX(종합!Z$3:Z$501,MATCH(ROW()-2,종합!$AC$3:$AC$501,0))&amp;"","")</f>
        <v>010-4142-1220</v>
      </c>
    </row>
    <row r="109" customFormat="false" ht="22.5" hidden="false" customHeight="true" outlineLevel="0" collapsed="false">
      <c r="A109" s="18" t="n">
        <f aca="false">IF(B109="","",ROW()-2)</f>
        <v>107</v>
      </c>
      <c r="B109" s="18" t="str">
        <f aca="false">IFERROR(INDEX(종합!B$3:B$501,MATCH(ROW()-2,종합!$AC$3:$AC$501,0))&amp;"","")</f>
        <v>라크㈜</v>
      </c>
      <c r="C109" s="18" t="str">
        <f aca="false">IFERROR(INDEX(종합!C$3:C$501,MATCH(ROW()-2,종합!$AC$3:$AC$501,0))&amp;"","")</f>
        <v/>
      </c>
      <c r="D109" s="18" t="str">
        <f aca="false">IFERROR(INDEX(종합!D$3:D$501,MATCH(ROW()-2,종합!$AC$3:$AC$501,0))&amp;"","")</f>
        <v>O</v>
      </c>
      <c r="E109" s="18" t="str">
        <f aca="false">IFERROR(INDEX(종합!E$3:E$501,MATCH(ROW()-2,종합!$AC$3:$AC$501,0))&amp;"","")</f>
        <v/>
      </c>
      <c r="F109" s="18" t="str">
        <f aca="false">IFERROR(INDEX(종합!F$3:F$501,MATCH(ROW()-2,종합!$AC$3:$AC$501,0))&amp;"","")</f>
        <v/>
      </c>
      <c r="G109" s="18" t="str">
        <f aca="false">IFERROR(INDEX(종합!G$3:G$501,MATCH(ROW()-2,종합!$AC$3:$AC$501,0))&amp;"","")</f>
        <v>중소기업</v>
      </c>
      <c r="H109" s="21" t="str">
        <f aca="false">IFERROR(INDEX(종합!H$3:H$501,MATCH(ROW()-2,종합!$AC$3:$AC$501,0))&amp;"","")</f>
        <v>729-81-01545</v>
      </c>
      <c r="I109" s="21" t="str">
        <f aca="false">IFERROR(INDEX(종합!I$3:I$501,MATCH(ROW()-2,종합!$AC$3:$AC$501,0))&amp;"","")</f>
        <v>이재구</v>
      </c>
      <c r="J109" s="21" t="str">
        <f aca="false">IFERROR(INDEX(종합!J$3:J$501,MATCH(ROW()-2,종합!$AC$3:$AC$501,0))&amp;"","")</f>
        <v>02-2088-4244</v>
      </c>
      <c r="K109" s="21" t="str">
        <f aca="false">IFERROR(INDEX(종합!K$3:K$501,MATCH(ROW()-2,종합!$AC$3:$AC$501,0))&amp;"","")</f>
        <v>www.lacin.co.kr</v>
      </c>
      <c r="L109" s="21" t="str">
        <f aca="false">IFERROR(INDEX(종합!L$3:L$501,MATCH(ROW()-2,종합!$AC$3:$AC$501,0))&amp;"","")</f>
        <v>jklee25@hanmail.net</v>
      </c>
      <c r="M109" s="21" t="str">
        <f aca="false">IFERROR(INDEX(종합!M$3:M$501,MATCH(ROW()-2,종합!$AC$3:$AC$501,0))&amp;"","")</f>
        <v>서울특별시 금천구 서부샛길 606, 대성디폴리스 B동 1509호</v>
      </c>
      <c r="N109" s="25" t="str">
        <f aca="false">IFERROR(INDEX(종합!N$3:N$501,MATCH(ROW()-2,종합!$AC$3:$AC$501,0))&amp;"","")</f>
        <v>병리영상 AI분석, 대규모 영상분석, 산업장비 AI분석</v>
      </c>
      <c r="O109" s="21" t="str">
        <f aca="false">IFERROR(INDEX(종합!O$3:O$501,MATCH(ROW()-2,종합!$AC$3:$AC$501,0))&amp;"","")</f>
        <v>이재구</v>
      </c>
      <c r="P109" s="21" t="str">
        <f aca="false">IFERROR(INDEX(종합!P$3:P$501,MATCH(ROW()-2,종합!$AC$3:$AC$501,0))&amp;"","")</f>
        <v>임원실</v>
      </c>
      <c r="Q109" s="21" t="str">
        <f aca="false">IFERROR(INDEX(종합!Q$3:Q$501,MATCH(ROW()-2,종합!$AC$3:$AC$501,0))&amp;"","")</f>
        <v>대표</v>
      </c>
      <c r="R109" s="21" t="str">
        <f aca="false">IFERROR(INDEX(종합!R$3:R$501,MATCH(ROW()-2,종합!$AC$3:$AC$501,0))&amp;"","")</f>
        <v>02-2088-4244</v>
      </c>
      <c r="S109" s="21" t="str">
        <f aca="false">IFERROR(INDEX(종합!S$3:S$501,MATCH(ROW()-2,종합!$AC$3:$AC$501,0))&amp;"","")</f>
        <v>jklee25@hanmail.net</v>
      </c>
      <c r="T109" s="21" t="str">
        <f aca="false">IFERROR(INDEX(종합!T$3:T$501,MATCH(ROW()-2,종합!$AC$3:$AC$501,0))&amp;"","")</f>
        <v>010-3253-7424</v>
      </c>
      <c r="U109" s="21" t="str">
        <f aca="false">IFERROR(INDEX(종합!U$3:U$501,MATCH(ROW()-2,종합!$AC$3:$AC$501,0))&amp;"","")</f>
        <v>이재구</v>
      </c>
      <c r="V109" s="21" t="str">
        <f aca="false">IFERROR(INDEX(종합!V$3:V$501,MATCH(ROW()-2,종합!$AC$3:$AC$501,0))&amp;"","")</f>
        <v>임원</v>
      </c>
      <c r="W109" s="21" t="str">
        <f aca="false">IFERROR(INDEX(종합!W$3:W$501,MATCH(ROW()-2,종합!$AC$3:$AC$501,0))&amp;"","")</f>
        <v>대표</v>
      </c>
      <c r="X109" s="21" t="str">
        <f aca="false">IFERROR(INDEX(종합!X$3:X$501,MATCH(ROW()-2,종합!$AC$3:$AC$501,0))&amp;"","")</f>
        <v>02-2088-4244</v>
      </c>
      <c r="Y109" s="21" t="str">
        <f aca="false">IFERROR(INDEX(종합!Y$3:Y$501,MATCH(ROW()-2,종합!$AC$3:$AC$501,0))&amp;"","")</f>
        <v>jklee25@hanmail.net</v>
      </c>
      <c r="Z109" s="21" t="str">
        <f aca="false">IFERROR(INDEX(종합!Z$3:Z$501,MATCH(ROW()-2,종합!$AC$3:$AC$501,0))&amp;"","")</f>
        <v>010-3253-7424</v>
      </c>
    </row>
    <row r="110" customFormat="false" ht="22.5" hidden="false" customHeight="true" outlineLevel="0" collapsed="false">
      <c r="A110" s="18" t="n">
        <f aca="false">IF(B110="","",ROW()-2)</f>
        <v>108</v>
      </c>
      <c r="B110" s="18" t="str">
        <f aca="false">IFERROR(INDEX(종합!B$3:B$501,MATCH(ROW()-2,종합!$AC$3:$AC$501,0))&amp;"","")</f>
        <v>주식회사 인핸스</v>
      </c>
      <c r="C110" s="18" t="str">
        <f aca="false">IFERROR(INDEX(종합!C$3:C$501,MATCH(ROW()-2,종합!$AC$3:$AC$501,0))&amp;"","")</f>
        <v/>
      </c>
      <c r="D110" s="18" t="str">
        <f aca="false">IFERROR(INDEX(종합!D$3:D$501,MATCH(ROW()-2,종합!$AC$3:$AC$501,0))&amp;"","")</f>
        <v>O</v>
      </c>
      <c r="E110" s="18" t="str">
        <f aca="false">IFERROR(INDEX(종합!E$3:E$501,MATCH(ROW()-2,종합!$AC$3:$AC$501,0))&amp;"","")</f>
        <v/>
      </c>
      <c r="F110" s="18" t="str">
        <f aca="false">IFERROR(INDEX(종합!F$3:F$501,MATCH(ROW()-2,종합!$AC$3:$AC$501,0))&amp;"","")</f>
        <v/>
      </c>
      <c r="G110" s="18" t="str">
        <f aca="false">IFERROR(INDEX(종합!G$3:G$501,MATCH(ROW()-2,종합!$AC$3:$AC$501,0))&amp;"","")</f>
        <v>중소기업</v>
      </c>
      <c r="H110" s="21" t="str">
        <f aca="false">IFERROR(INDEX(종합!H$3:H$501,MATCH(ROW()-2,종합!$AC$3:$AC$501,0))&amp;"","")</f>
        <v>165-86-02221</v>
      </c>
      <c r="I110" s="21" t="str">
        <f aca="false">IFERROR(INDEX(종합!I$3:I$501,MATCH(ROW()-2,종합!$AC$3:$AC$501,0))&amp;"","")</f>
        <v>이승현</v>
      </c>
      <c r="J110" s="21" t="str">
        <f aca="false">IFERROR(INDEX(종합!J$3:J$501,MATCH(ROW()-2,종합!$AC$3:$AC$501,0))&amp;"","")</f>
        <v>070-8676-0191</v>
      </c>
      <c r="K110" s="21" t="str">
        <f aca="false">IFERROR(INDEX(종합!K$3:K$501,MATCH(ROW()-2,종합!$AC$3:$AC$501,0))&amp;"","")</f>
        <v>www.enhans.ai</v>
      </c>
      <c r="L110" s="21" t="str">
        <f aca="false">IFERROR(INDEX(종합!L$3:L$501,MATCH(ROW()-2,종합!$AC$3:$AC$501,0))&amp;"","")</f>
        <v>jaeyoon@enhans.ai</v>
      </c>
      <c r="M110" s="21" t="str">
        <f aca="false">IFERROR(INDEX(종합!M$3:M$501,MATCH(ROW()-2,종합!$AC$3:$AC$501,0))&amp;"","")</f>
        <v>서울특별시 서초구 서초중앙로8길 89-17</v>
      </c>
      <c r="N110" s="25" t="str">
        <f aca="false">IFERROR(INDEX(종합!N$3:N$501,MATCH(ROW()-2,종합!$AC$3:$AC$501,0))&amp;"","")</f>
        <v>AgentOS: 온톨로지 기반 엔터프라이즈 AI Agent 운영체제</v>
      </c>
      <c r="O110" s="21" t="str">
        <f aca="false">IFERROR(INDEX(종합!O$3:O$501,MATCH(ROW()-2,종합!$AC$3:$AC$501,0))&amp;"","")</f>
        <v>김도균</v>
      </c>
      <c r="P110" s="21" t="str">
        <f aca="false">IFERROR(INDEX(종합!P$3:P$501,MATCH(ROW()-2,종합!$AC$3:$AC$501,0))&amp;"","")</f>
        <v>AI</v>
      </c>
      <c r="Q110" s="21" t="str">
        <f aca="false">IFERROR(INDEX(종합!Q$3:Q$501,MATCH(ROW()-2,종합!$AC$3:$AC$501,0))&amp;"","")</f>
        <v>CAIO</v>
      </c>
      <c r="R110" s="21" t="str">
        <f aca="false">IFERROR(INDEX(종합!R$3:R$501,MATCH(ROW()-2,종합!$AC$3:$AC$501,0))&amp;"","")</f>
        <v>010-5603-1572</v>
      </c>
      <c r="S110" s="21" t="str">
        <f aca="false">IFERROR(INDEX(종합!S$3:S$501,MATCH(ROW()-2,종합!$AC$3:$AC$501,0))&amp;"","")</f>
        <v>dokyun@enhans.ai</v>
      </c>
      <c r="T110" s="21" t="str">
        <f aca="false">IFERROR(INDEX(종합!T$3:T$501,MATCH(ROW()-2,종합!$AC$3:$AC$501,0))&amp;"","")</f>
        <v>010-5603-1572</v>
      </c>
      <c r="U110" s="21" t="str">
        <f aca="false">IFERROR(INDEX(종합!U$3:U$501,MATCH(ROW()-2,종합!$AC$3:$AC$501,0))&amp;"","")</f>
        <v>심재윤</v>
      </c>
      <c r="V110" s="21" t="str">
        <f aca="false">IFERROR(INDEX(종합!V$3:V$501,MATCH(ROW()-2,종합!$AC$3:$AC$501,0))&amp;"","")</f>
        <v>Growth</v>
      </c>
      <c r="W110" s="21" t="str">
        <f aca="false">IFERROR(INDEX(종합!W$3:W$501,MATCH(ROW()-2,종합!$AC$3:$AC$501,0))&amp;"","")</f>
        <v>manager</v>
      </c>
      <c r="X110" s="21" t="str">
        <f aca="false">IFERROR(INDEX(종합!X$3:X$501,MATCH(ROW()-2,종합!$AC$3:$AC$501,0))&amp;"","")</f>
        <v>010-9550-4254</v>
      </c>
      <c r="Y110" s="21" t="str">
        <f aca="false">IFERROR(INDEX(종합!Y$3:Y$501,MATCH(ROW()-2,종합!$AC$3:$AC$501,0))&amp;"","")</f>
        <v>jaeyoon@enhans.ai</v>
      </c>
      <c r="Z110" s="21" t="str">
        <f aca="false">IFERROR(INDEX(종합!Z$3:Z$501,MATCH(ROW()-2,종합!$AC$3:$AC$501,0))&amp;"","")</f>
        <v>010-9550-4254</v>
      </c>
    </row>
    <row r="111" customFormat="false" ht="22.5" hidden="false" customHeight="true" outlineLevel="0" collapsed="false">
      <c r="A111" s="18" t="n">
        <f aca="false">IF(B111="","",ROW()-2)</f>
        <v>109</v>
      </c>
      <c r="B111" s="18" t="str">
        <f aca="false">IFERROR(INDEX(종합!B$3:B$501,MATCH(ROW()-2,종합!$AC$3:$AC$501,0))&amp;"","")</f>
        <v>디밀리언</v>
      </c>
      <c r="C111" s="18" t="str">
        <f aca="false">IFERROR(INDEX(종합!C$3:C$501,MATCH(ROW()-2,종합!$AC$3:$AC$501,0))&amp;"","")</f>
        <v>O</v>
      </c>
      <c r="D111" s="18" t="str">
        <f aca="false">IFERROR(INDEX(종합!D$3:D$501,MATCH(ROW()-2,종합!$AC$3:$AC$501,0))&amp;"","")</f>
        <v>O</v>
      </c>
      <c r="E111" s="18" t="str">
        <f aca="false">IFERROR(INDEX(종합!E$3:E$501,MATCH(ROW()-2,종합!$AC$3:$AC$501,0))&amp;"","")</f>
        <v>O</v>
      </c>
      <c r="F111" s="18" t="str">
        <f aca="false">IFERROR(INDEX(종합!F$3:F$501,MATCH(ROW()-2,종합!$AC$3:$AC$501,0))&amp;"","")</f>
        <v/>
      </c>
      <c r="G111" s="18" t="str">
        <f aca="false">IFERROR(INDEX(종합!G$3:G$501,MATCH(ROW()-2,종합!$AC$3:$AC$501,0))&amp;"","")</f>
        <v>중소기업</v>
      </c>
      <c r="H111" s="21" t="str">
        <f aca="false">IFERROR(INDEX(종합!H$3:H$501,MATCH(ROW()-2,종합!$AC$3:$AC$501,0))&amp;"","")</f>
        <v>704-87-02815</v>
      </c>
      <c r="I111" s="21" t="str">
        <f aca="false">IFERROR(INDEX(종합!I$3:I$501,MATCH(ROW()-2,종합!$AC$3:$AC$501,0))&amp;"","")</f>
        <v>한요한</v>
      </c>
      <c r="J111" s="21" t="str">
        <f aca="false">IFERROR(INDEX(종합!J$3:J$501,MATCH(ROW()-2,종합!$AC$3:$AC$501,0))&amp;"","")</f>
        <v>02-6914-6560</v>
      </c>
      <c r="K111" s="21" t="str">
        <f aca="false">IFERROR(INDEX(종합!K$3:K$501,MATCH(ROW()-2,종합!$AC$3:$AC$501,0))&amp;"","")</f>
        <v>www.dmillion.co.kr</v>
      </c>
      <c r="L111" s="21" t="str">
        <f aca="false">IFERROR(INDEX(종합!L$3:L$501,MATCH(ROW()-2,종합!$AC$3:$AC$501,0))&amp;"","")</f>
        <v>john@dmillions.co.kr</v>
      </c>
      <c r="M111" s="21" t="str">
        <f aca="false">IFERROR(INDEX(종합!M$3:M$501,MATCH(ROW()-2,종합!$AC$3:$AC$501,0))&amp;"","")</f>
        <v>경기도 광명시 일직로 43, GIDC A동 1612, 1613호</v>
      </c>
      <c r="N111" s="25" t="str">
        <f aca="false">IFERROR(INDEX(종합!N$3:N$501,MATCH(ROW()-2,종합!$AC$3:$AC$501,0))&amp;"","")</f>
        <v>사출성형공정 특화 AI Agent 자율운영솔루션</v>
      </c>
      <c r="O111" s="21" t="str">
        <f aca="false">IFERROR(INDEX(종합!O$3:O$501,MATCH(ROW()-2,종합!$AC$3:$AC$501,0))&amp;"","")</f>
        <v>한요한</v>
      </c>
      <c r="P111" s="21" t="str">
        <f aca="false">IFERROR(INDEX(종합!P$3:P$501,MATCH(ROW()-2,종합!$AC$3:$AC$501,0))&amp;"","")</f>
        <v>경영본부</v>
      </c>
      <c r="Q111" s="21" t="str">
        <f aca="false">IFERROR(INDEX(종합!Q$3:Q$501,MATCH(ROW()-2,종합!$AC$3:$AC$501,0))&amp;"","")</f>
        <v>대표이사</v>
      </c>
      <c r="R111" s="21" t="str">
        <f aca="false">IFERROR(INDEX(종합!R$3:R$501,MATCH(ROW()-2,종합!$AC$3:$AC$501,0))&amp;"","")</f>
        <v>010-5514-4279</v>
      </c>
      <c r="S111" s="21" t="str">
        <f aca="false">IFERROR(INDEX(종합!S$3:S$501,MATCH(ROW()-2,종합!$AC$3:$AC$501,0))&amp;"","")</f>
        <v>john@dmillions.co.kr</v>
      </c>
      <c r="T111" s="21" t="str">
        <f aca="false">IFERROR(INDEX(종합!T$3:T$501,MATCH(ROW()-2,종합!$AC$3:$AC$501,0))&amp;"","")</f>
        <v>010-5514-4279</v>
      </c>
      <c r="U111" s="21" t="str">
        <f aca="false">IFERROR(INDEX(종합!U$3:U$501,MATCH(ROW()-2,종합!$AC$3:$AC$501,0))&amp;"","")</f>
        <v>김웅섭</v>
      </c>
      <c r="V111" s="21" t="str">
        <f aca="false">IFERROR(INDEX(종합!V$3:V$501,MATCH(ROW()-2,종합!$AC$3:$AC$501,0))&amp;"","")</f>
        <v>AX사업본부</v>
      </c>
      <c r="W111" s="21" t="str">
        <f aca="false">IFERROR(INDEX(종합!W$3:W$501,MATCH(ROW()-2,종합!$AC$3:$AC$501,0))&amp;"","")</f>
        <v>이사</v>
      </c>
      <c r="X111" s="21" t="str">
        <f aca="false">IFERROR(INDEX(종합!X$3:X$501,MATCH(ROW()-2,종합!$AC$3:$AC$501,0))&amp;"","")</f>
        <v>02-6914-6560</v>
      </c>
      <c r="Y111" s="21" t="str">
        <f aca="false">IFERROR(INDEX(종합!Y$3:Y$501,MATCH(ROW()-2,종합!$AC$3:$AC$501,0))&amp;"","")</f>
        <v>uskim@dmillions.co.kr</v>
      </c>
      <c r="Z111" s="21" t="str">
        <f aca="false">IFERROR(INDEX(종합!Z$3:Z$501,MATCH(ROW()-2,종합!$AC$3:$AC$501,0))&amp;"","")</f>
        <v>010-2375-9958</v>
      </c>
    </row>
    <row r="112" customFormat="false" ht="22.5" hidden="false" customHeight="true" outlineLevel="0" collapsed="false">
      <c r="A112" s="18" t="n">
        <f aca="false">IF(B112="","",ROW()-2)</f>
        <v>110</v>
      </c>
      <c r="B112" s="18" t="str">
        <f aca="false">IFERROR(INDEX(종합!B$3:B$501,MATCH(ROW()-2,종합!$AC$3:$AC$501,0))&amp;"","")</f>
        <v>(주)윌로그</v>
      </c>
      <c r="C112" s="18" t="str">
        <f aca="false">IFERROR(INDEX(종합!C$3:C$501,MATCH(ROW()-2,종합!$AC$3:$AC$501,0))&amp;"","")</f>
        <v/>
      </c>
      <c r="D112" s="18" t="str">
        <f aca="false">IFERROR(INDEX(종합!D$3:D$501,MATCH(ROW()-2,종합!$AC$3:$AC$501,0))&amp;"","")</f>
        <v>O</v>
      </c>
      <c r="E112" s="18" t="str">
        <f aca="false">IFERROR(INDEX(종합!E$3:E$501,MATCH(ROW()-2,종합!$AC$3:$AC$501,0))&amp;"","")</f>
        <v/>
      </c>
      <c r="F112" s="18" t="str">
        <f aca="false">IFERROR(INDEX(종합!F$3:F$501,MATCH(ROW()-2,종합!$AC$3:$AC$501,0))&amp;"","")</f>
        <v/>
      </c>
      <c r="G112" s="18" t="str">
        <f aca="false">IFERROR(INDEX(종합!G$3:G$501,MATCH(ROW()-2,종합!$AC$3:$AC$501,0))&amp;"","")</f>
        <v>중소기업</v>
      </c>
      <c r="H112" s="21" t="str">
        <f aca="false">IFERROR(INDEX(종합!H$3:H$501,MATCH(ROW()-2,종합!$AC$3:$AC$501,0))&amp;"","")</f>
        <v>286-88-02459</v>
      </c>
      <c r="I112" s="21" t="str">
        <f aca="false">IFERROR(INDEX(종합!I$3:I$501,MATCH(ROW()-2,종합!$AC$3:$AC$501,0))&amp;"","")</f>
        <v>배성훈, 윤지현</v>
      </c>
      <c r="J112" s="21" t="str">
        <f aca="false">IFERROR(INDEX(종합!J$3:J$501,MATCH(ROW()-2,종합!$AC$3:$AC$501,0))&amp;"","")</f>
        <v>02-6959-0966</v>
      </c>
      <c r="K112" s="21" t="str">
        <f aca="false">IFERROR(INDEX(종합!K$3:K$501,MATCH(ROW()-2,종합!$AC$3:$AC$501,0))&amp;"","")</f>
        <v>willog.io</v>
      </c>
      <c r="L112" s="21" t="str">
        <f aca="false">IFERROR(INDEX(종합!L$3:L$501,MATCH(ROW()-2,종합!$AC$3:$AC$501,0))&amp;"","")</f>
        <v>rdp@willog.io</v>
      </c>
      <c r="M112" s="21" t="str">
        <f aca="false">IFERROR(INDEX(종합!M$3:M$501,MATCH(ROW()-2,종합!$AC$3:$AC$501,0))&amp;"","")</f>
        <v>서울시 강남구 삼성로 507 9층</v>
      </c>
      <c r="N112" s="25" t="str">
        <f aca="false">IFERROR(INDEX(종합!N$3:N$501,MATCH(ROW()-2,종합!$AC$3:$AC$501,0))&amp;"","")</f>
        <v>AIoT 공급망 인텔리전스</v>
      </c>
      <c r="O112" s="21" t="str">
        <f aca="false">IFERROR(INDEX(종합!O$3:O$501,MATCH(ROW()-2,종합!$AC$3:$AC$501,0))&amp;"","")</f>
        <v>배성훈</v>
      </c>
      <c r="P112" s="21" t="str">
        <f aca="false">IFERROR(INDEX(종합!P$3:P$501,MATCH(ROW()-2,종합!$AC$3:$AC$501,0))&amp;"","")</f>
        <v>대표이사</v>
      </c>
      <c r="Q112" s="21" t="str">
        <f aca="false">IFERROR(INDEX(종합!Q$3:Q$501,MATCH(ROW()-2,종합!$AC$3:$AC$501,0))&amp;"","")</f>
        <v>대표이사</v>
      </c>
      <c r="R112" s="21" t="str">
        <f aca="false">IFERROR(INDEX(종합!R$3:R$501,MATCH(ROW()-2,종합!$AC$3:$AC$501,0))&amp;"","")</f>
        <v>02-6959-0966</v>
      </c>
      <c r="S112" s="21" t="str">
        <f aca="false">IFERROR(INDEX(종합!S$3:S$501,MATCH(ROW()-2,종합!$AC$3:$AC$501,0))&amp;"","")</f>
        <v>rdp@willog.io</v>
      </c>
      <c r="T112" s="21" t="str">
        <f aca="false">IFERROR(INDEX(종합!T$3:T$501,MATCH(ROW()-2,종합!$AC$3:$AC$501,0))&amp;"","")</f>
        <v>010-6314-4447</v>
      </c>
      <c r="U112" s="21" t="str">
        <f aca="false">IFERROR(INDEX(종합!U$3:U$501,MATCH(ROW()-2,종합!$AC$3:$AC$501,0))&amp;"","")</f>
        <v>허범호</v>
      </c>
      <c r="V112" s="21" t="str">
        <f aca="false">IFERROR(INDEX(종합!V$3:V$501,MATCH(ROW()-2,종합!$AC$3:$AC$501,0))&amp;"","")</f>
        <v>연구기획</v>
      </c>
      <c r="W112" s="21" t="str">
        <f aca="false">IFERROR(INDEX(종합!W$3:W$501,MATCH(ROW()-2,종합!$AC$3:$AC$501,0))&amp;"","")</f>
        <v>팀장</v>
      </c>
      <c r="X112" s="21" t="str">
        <f aca="false">IFERROR(INDEX(종합!X$3:X$501,MATCH(ROW()-2,종합!$AC$3:$AC$501,0))&amp;"","")</f>
        <v>02-6959-0966</v>
      </c>
      <c r="Y112" s="21" t="str">
        <f aca="false">IFERROR(INDEX(종합!Y$3:Y$501,MATCH(ROW()-2,종합!$AC$3:$AC$501,0))&amp;"","")</f>
        <v>rdp@willog.io</v>
      </c>
      <c r="Z112" s="21" t="str">
        <f aca="false">IFERROR(INDEX(종합!Z$3:Z$501,MATCH(ROW()-2,종합!$AC$3:$AC$501,0))&amp;"","")</f>
        <v>010-2549-4494</v>
      </c>
    </row>
    <row r="113" customFormat="false" ht="33.75" hidden="false" customHeight="true" outlineLevel="0" collapsed="false">
      <c r="A113" s="18" t="n">
        <f aca="false">IF(B113="","",ROW()-2)</f>
        <v>111</v>
      </c>
      <c r="B113" s="18" t="str">
        <f aca="false">IFERROR(INDEX(종합!B$3:B$501,MATCH(ROW()-2,종합!$AC$3:$AC$501,0))&amp;"","")</f>
        <v>(주)브로드웨이브</v>
      </c>
      <c r="C113" s="18" t="str">
        <f aca="false">IFERROR(INDEX(종합!C$3:C$501,MATCH(ROW()-2,종합!$AC$3:$AC$501,0))&amp;"","")</f>
        <v>O</v>
      </c>
      <c r="D113" s="18" t="str">
        <f aca="false">IFERROR(INDEX(종합!D$3:D$501,MATCH(ROW()-2,종합!$AC$3:$AC$501,0))&amp;"","")</f>
        <v>O</v>
      </c>
      <c r="E113" s="18" t="str">
        <f aca="false">IFERROR(INDEX(종합!E$3:E$501,MATCH(ROW()-2,종합!$AC$3:$AC$501,0))&amp;"","")</f>
        <v>O</v>
      </c>
      <c r="F113" s="18" t="str">
        <f aca="false">IFERROR(INDEX(종합!F$3:F$501,MATCH(ROW()-2,종합!$AC$3:$AC$501,0))&amp;"","")</f>
        <v/>
      </c>
      <c r="G113" s="18" t="str">
        <f aca="false">IFERROR(INDEX(종합!G$3:G$501,MATCH(ROW()-2,종합!$AC$3:$AC$501,0))&amp;"","")</f>
        <v>중소기업</v>
      </c>
      <c r="H113" s="21" t="str">
        <f aca="false">IFERROR(INDEX(종합!H$3:H$501,MATCH(ROW()-2,종합!$AC$3:$AC$501,0))&amp;"","")</f>
        <v>105-86-66766</v>
      </c>
      <c r="I113" s="21" t="str">
        <f aca="false">IFERROR(INDEX(종합!I$3:I$501,MATCH(ROW()-2,종합!$AC$3:$AC$501,0))&amp;"","")</f>
        <v>이태진</v>
      </c>
      <c r="J113" s="21" t="str">
        <f aca="false">IFERROR(INDEX(종합!J$3:J$501,MATCH(ROW()-2,종합!$AC$3:$AC$501,0))&amp;"","")</f>
        <v>02-395-5651</v>
      </c>
      <c r="K113" s="21" t="str">
        <f aca="false">IFERROR(INDEX(종합!K$3:K$501,MATCH(ROW()-2,종합!$AC$3:$AC$501,0))&amp;"","")</f>
        <v>www.broadwave.co.kr</v>
      </c>
      <c r="L113" s="21" t="str">
        <f aca="false">IFERROR(INDEX(종합!L$3:L$501,MATCH(ROW()-2,종합!$AC$3:$AC$501,0))&amp;"","")</f>
        <v>broadwave.tj@gmail.com</v>
      </c>
      <c r="M113" s="21" t="str">
        <f aca="false">IFERROR(INDEX(종합!M$3:M$501,MATCH(ROW()-2,종합!$AC$3:$AC$501,0))&amp;"","")</f>
        <v>서울시 강서구 마곡중앙로 161-8 두산더랜드파크 B동 620호</v>
      </c>
      <c r="N113" s="25" t="str">
        <f aca="false">IFERROR(INDEX(종합!N$3:N$501,MATCH(ROW()-2,종합!$AC$3:$AC$501,0))&amp;"","")</f>
        <v>AI기반 시설물 안전진단기술, 맨홀 수위 측정을 이용한 침수예측기술</v>
      </c>
      <c r="O113" s="21" t="str">
        <f aca="false">IFERROR(INDEX(종합!O$3:O$501,MATCH(ROW()-2,종합!$AC$3:$AC$501,0))&amp;"","")</f>
        <v>이태진</v>
      </c>
      <c r="P113" s="21" t="str">
        <f aca="false">IFERROR(INDEX(종합!P$3:P$501,MATCH(ROW()-2,종합!$AC$3:$AC$501,0))&amp;"","")</f>
        <v>대표이사</v>
      </c>
      <c r="Q113" s="21" t="str">
        <f aca="false">IFERROR(INDEX(종합!Q$3:Q$501,MATCH(ROW()-2,종합!$AC$3:$AC$501,0))&amp;"","")</f>
        <v>대표이사</v>
      </c>
      <c r="R113" s="21" t="str">
        <f aca="false">IFERROR(INDEX(종합!R$3:R$501,MATCH(ROW()-2,종합!$AC$3:$AC$501,0))&amp;"","")</f>
        <v>02-395-5651</v>
      </c>
      <c r="S113" s="21" t="str">
        <f aca="false">IFERROR(INDEX(종합!S$3:S$501,MATCH(ROW()-2,종합!$AC$3:$AC$501,0))&amp;"","")</f>
        <v>LTJ@Broadwave.co.kr</v>
      </c>
      <c r="T113" s="21" t="str">
        <f aca="false">IFERROR(INDEX(종합!T$3:T$501,MATCH(ROW()-2,종합!$AC$3:$AC$501,0))&amp;"","")</f>
        <v>010-8960-0651</v>
      </c>
      <c r="U113" s="21" t="str">
        <f aca="false">IFERROR(INDEX(종합!U$3:U$501,MATCH(ROW()-2,종합!$AC$3:$AC$501,0))&amp;"","")</f>
        <v>이광연</v>
      </c>
      <c r="V113" s="21" t="str">
        <f aca="false">IFERROR(INDEX(종합!V$3:V$501,MATCH(ROW()-2,종합!$AC$3:$AC$501,0))&amp;"","")</f>
        <v>사업개발팀</v>
      </c>
      <c r="W113" s="21" t="str">
        <f aca="false">IFERROR(INDEX(종합!W$3:W$501,MATCH(ROW()-2,종합!$AC$3:$AC$501,0))&amp;"","")</f>
        <v>팀장</v>
      </c>
      <c r="X113" s="21" t="str">
        <f aca="false">IFERROR(INDEX(종합!X$3:X$501,MATCH(ROW()-2,종합!$AC$3:$AC$501,0))&amp;"","")</f>
        <v>02-395-5651</v>
      </c>
      <c r="Y113" s="21" t="str">
        <f aca="false">IFERROR(INDEX(종합!Y$3:Y$501,MATCH(ROW()-2,종합!$AC$3:$AC$501,0))&amp;"","")</f>
        <v>sirdky@broadwave.co.kr</v>
      </c>
      <c r="Z113" s="21" t="str">
        <f aca="false">IFERROR(INDEX(종합!Z$3:Z$501,MATCH(ROW()-2,종합!$AC$3:$AC$501,0))&amp;"","")</f>
        <v>010-2357-2799</v>
      </c>
    </row>
    <row r="114" customFormat="false" ht="22.5" hidden="false" customHeight="true" outlineLevel="0" collapsed="false">
      <c r="A114" s="18" t="n">
        <f aca="false">IF(B114="","",ROW()-2)</f>
        <v>112</v>
      </c>
      <c r="B114" s="18" t="str">
        <f aca="false">IFERROR(INDEX(종합!B$3:B$501,MATCH(ROW()-2,종합!$AC$3:$AC$501,0))&amp;"","")</f>
        <v>(주)시옷</v>
      </c>
      <c r="C114" s="18" t="str">
        <f aca="false">IFERROR(INDEX(종합!C$3:C$501,MATCH(ROW()-2,종합!$AC$3:$AC$501,0))&amp;"","")</f>
        <v>O</v>
      </c>
      <c r="D114" s="18" t="str">
        <f aca="false">IFERROR(INDEX(종합!D$3:D$501,MATCH(ROW()-2,종합!$AC$3:$AC$501,0))&amp;"","")</f>
        <v>O</v>
      </c>
      <c r="E114" s="18" t="str">
        <f aca="false">IFERROR(INDEX(종합!E$3:E$501,MATCH(ROW()-2,종합!$AC$3:$AC$501,0))&amp;"","")</f>
        <v>O</v>
      </c>
      <c r="F114" s="18" t="str">
        <f aca="false">IFERROR(INDEX(종합!F$3:F$501,MATCH(ROW()-2,종합!$AC$3:$AC$501,0))&amp;"","")</f>
        <v/>
      </c>
      <c r="G114" s="18" t="str">
        <f aca="false">IFERROR(INDEX(종합!G$3:G$501,MATCH(ROW()-2,종합!$AC$3:$AC$501,0))&amp;"","")</f>
        <v>중소기업</v>
      </c>
      <c r="H114" s="21" t="str">
        <f aca="false">IFERROR(INDEX(종합!H$3:H$501,MATCH(ROW()-2,종합!$AC$3:$AC$501,0))&amp;"","")</f>
        <v>264-81-47817</v>
      </c>
      <c r="I114" s="21" t="str">
        <f aca="false">IFERROR(INDEX(종합!I$3:I$501,MATCH(ROW()-2,종합!$AC$3:$AC$501,0))&amp;"","")</f>
        <v>박현주</v>
      </c>
      <c r="J114" s="21" t="str">
        <f aca="false">IFERROR(INDEX(종합!J$3:J$501,MATCH(ROW()-2,종합!$AC$3:$AC$501,0))&amp;"","")</f>
        <v>02-522-3107</v>
      </c>
      <c r="K114" s="21" t="str">
        <f aca="false">IFERROR(INDEX(종합!K$3:K$501,MATCH(ROW()-2,종합!$AC$3:$AC$501,0))&amp;"","")</f>
        <v>http://www.ciotsecurity.com</v>
      </c>
      <c r="L114" s="21" t="str">
        <f aca="false">IFERROR(INDEX(종합!L$3:L$501,MATCH(ROW()-2,종합!$AC$3:$AC$501,0))&amp;"","")</f>
        <v>susannapark106@gmail.com</v>
      </c>
      <c r="M114" s="21" t="str">
        <f aca="false">IFERROR(INDEX(종합!M$3:M$501,MATCH(ROW()-2,종합!$AC$3:$AC$501,0))&amp;"","")</f>
        <v>서울특별시 서초구 서초대로 74길 45, 엔데버빌딩 14층</v>
      </c>
      <c r="N114" s="25" t="str">
        <f aca="false">IFERROR(INDEX(종합!N$3:N$501,MATCH(ROW()-2,종합!$AC$3:$AC$501,0))&amp;"","")</f>
        <v>AI융합보안, 정보유출탐지솔루션</v>
      </c>
      <c r="O114" s="21" t="str">
        <f aca="false">IFERROR(INDEX(종합!O$3:O$501,MATCH(ROW()-2,종합!$AC$3:$AC$501,0))&amp;"","")</f>
        <v>박현주</v>
      </c>
      <c r="P114" s="21" t="str">
        <f aca="false">IFERROR(INDEX(종합!P$3:P$501,MATCH(ROW()-2,종합!$AC$3:$AC$501,0))&amp;"","")</f>
        <v>임원실</v>
      </c>
      <c r="Q114" s="21" t="str">
        <f aca="false">IFERROR(INDEX(종합!Q$3:Q$501,MATCH(ROW()-2,종합!$AC$3:$AC$501,0))&amp;"","")</f>
        <v>대표이사</v>
      </c>
      <c r="R114" s="21" t="str">
        <f aca="false">IFERROR(INDEX(종합!R$3:R$501,MATCH(ROW()-2,종합!$AC$3:$AC$501,0))&amp;"","")</f>
        <v>02-522-3107</v>
      </c>
      <c r="S114" s="21" t="str">
        <f aca="false">IFERROR(INDEX(종합!S$3:S$501,MATCH(ROW()-2,종합!$AC$3:$AC$501,0))&amp;"","")</f>
        <v>hjpark@ciotsecurity.com</v>
      </c>
      <c r="T114" s="21" t="str">
        <f aca="false">IFERROR(INDEX(종합!T$3:T$501,MATCH(ROW()-2,종합!$AC$3:$AC$501,0))&amp;"","")</f>
        <v>010-8645-5975</v>
      </c>
      <c r="U114" s="21" t="str">
        <f aca="false">IFERROR(INDEX(종합!U$3:U$501,MATCH(ROW()-2,종합!$AC$3:$AC$501,0))&amp;"","")</f>
        <v>이길용</v>
      </c>
      <c r="V114" s="21" t="str">
        <f aca="false">IFERROR(INDEX(종합!V$3:V$501,MATCH(ROW()-2,종합!$AC$3:$AC$501,0))&amp;"","")</f>
        <v>전략기획사업부</v>
      </c>
      <c r="W114" s="21" t="str">
        <f aca="false">IFERROR(INDEX(종합!W$3:W$501,MATCH(ROW()-2,종합!$AC$3:$AC$501,0))&amp;"","")</f>
        <v>상무</v>
      </c>
      <c r="X114" s="21" t="str">
        <f aca="false">IFERROR(INDEX(종합!X$3:X$501,MATCH(ROW()-2,종합!$AC$3:$AC$501,0))&amp;"","")</f>
        <v>02-522-3107</v>
      </c>
      <c r="Y114" s="21" t="str">
        <f aca="false">IFERROR(INDEX(종합!Y$3:Y$501,MATCH(ROW()-2,종합!$AC$3:$AC$501,0))&amp;"","")</f>
        <v>gylee@ciotsecurity.com</v>
      </c>
      <c r="Z114" s="21" t="str">
        <f aca="false">IFERROR(INDEX(종합!Z$3:Z$501,MATCH(ROW()-2,종합!$AC$3:$AC$501,0))&amp;"","")</f>
        <v>010-8679-0020</v>
      </c>
    </row>
    <row r="115" customFormat="false" ht="33.75" hidden="false" customHeight="true" outlineLevel="0" collapsed="false">
      <c r="A115" s="18" t="n">
        <f aca="false">IF(B115="","",ROW()-2)</f>
        <v>113</v>
      </c>
      <c r="B115" s="18" t="str">
        <f aca="false">IFERROR(INDEX(종합!B$3:B$501,MATCH(ROW()-2,종합!$AC$3:$AC$501,0))&amp;"","")</f>
        <v>클로아이(주)</v>
      </c>
      <c r="C115" s="18" t="str">
        <f aca="false">IFERROR(INDEX(종합!C$3:C$501,MATCH(ROW()-2,종합!$AC$3:$AC$501,0))&amp;"","")</f>
        <v>O</v>
      </c>
      <c r="D115" s="18" t="str">
        <f aca="false">IFERROR(INDEX(종합!D$3:D$501,MATCH(ROW()-2,종합!$AC$3:$AC$501,0))&amp;"","")</f>
        <v>O</v>
      </c>
      <c r="E115" s="18" t="str">
        <f aca="false">IFERROR(INDEX(종합!E$3:E$501,MATCH(ROW()-2,종합!$AC$3:$AC$501,0))&amp;"","")</f>
        <v>O</v>
      </c>
      <c r="F115" s="18" t="str">
        <f aca="false">IFERROR(INDEX(종합!F$3:F$501,MATCH(ROW()-2,종합!$AC$3:$AC$501,0))&amp;"","")</f>
        <v>O</v>
      </c>
      <c r="G115" s="18" t="str">
        <f aca="false">IFERROR(INDEX(종합!G$3:G$501,MATCH(ROW()-2,종합!$AC$3:$AC$501,0))&amp;"","")</f>
        <v>중소기업</v>
      </c>
      <c r="H115" s="21" t="str">
        <f aca="false">IFERROR(INDEX(종합!H$3:H$501,MATCH(ROW()-2,종합!$AC$3:$AC$501,0))&amp;"","")</f>
        <v>519-88-02650</v>
      </c>
      <c r="I115" s="21" t="str">
        <f aca="false">IFERROR(INDEX(종합!I$3:I$501,MATCH(ROW()-2,종합!$AC$3:$AC$501,0))&amp;"","")</f>
        <v>김성룡</v>
      </c>
      <c r="J115" s="21" t="str">
        <f aca="false">IFERROR(INDEX(종합!J$3:J$501,MATCH(ROW()-2,종합!$AC$3:$AC$501,0))&amp;"","")</f>
        <v>070-8095-9212</v>
      </c>
      <c r="K115" s="21" t="str">
        <f aca="false">IFERROR(INDEX(종합!K$3:K$501,MATCH(ROW()-2,종합!$AC$3:$AC$501,0))&amp;"","")</f>
        <v>http://www.cloai.co.kr</v>
      </c>
      <c r="L115" s="21" t="str">
        <f aca="false">IFERROR(INDEX(종합!L$3:L$501,MATCH(ROW()-2,종합!$AC$3:$AC$501,0))&amp;"","")</f>
        <v>sedragons@gmail.com</v>
      </c>
      <c r="M115" s="21" t="str">
        <f aca="false">IFERROR(INDEX(종합!M$3:M$501,MATCH(ROW()-2,종합!$AC$3:$AC$501,0))&amp;"","")</f>
        <v>서울시 강남구 테헤란로 34길14, 정인빌딩 401호</v>
      </c>
      <c r="N115" s="25" t="str">
        <f aca="false">IFERROR(INDEX(종합!N$3:N$501,MATCH(ROW()-2,종합!$AC$3:$AC$501,0))&amp;"","")</f>
        <v>AI 산업안전 도우미 LLM, 휴머노이드 로봇 행동인지 및 대화 시스템</v>
      </c>
      <c r="O115" s="21" t="str">
        <f aca="false">IFERROR(INDEX(종합!O$3:O$501,MATCH(ROW()-2,종합!$AC$3:$AC$501,0))&amp;"","")</f>
        <v>김성룡</v>
      </c>
      <c r="P115" s="21" t="str">
        <f aca="false">IFERROR(INDEX(종합!P$3:P$501,MATCH(ROW()-2,종합!$AC$3:$AC$501,0))&amp;"","")</f>
        <v>경영본부</v>
      </c>
      <c r="Q115" s="21" t="str">
        <f aca="false">IFERROR(INDEX(종합!Q$3:Q$501,MATCH(ROW()-2,종합!$AC$3:$AC$501,0))&amp;"","")</f>
        <v>CEO</v>
      </c>
      <c r="R115" s="21" t="str">
        <f aca="false">IFERROR(INDEX(종합!R$3:R$501,MATCH(ROW()-2,종합!$AC$3:$AC$501,0))&amp;"","")</f>
        <v>010-4880-9949</v>
      </c>
      <c r="S115" s="21" t="str">
        <f aca="false">IFERROR(INDEX(종합!S$3:S$501,MATCH(ROW()-2,종합!$AC$3:$AC$501,0))&amp;"","")</f>
        <v>cloai@cloai.co.kr</v>
      </c>
      <c r="T115" s="21" t="str">
        <f aca="false">IFERROR(INDEX(종합!T$3:T$501,MATCH(ROW()-2,종합!$AC$3:$AC$501,0))&amp;"","")</f>
        <v>010-4880-9949</v>
      </c>
      <c r="U115" s="21" t="str">
        <f aca="false">IFERROR(INDEX(종합!U$3:U$501,MATCH(ROW()-2,종합!$AC$3:$AC$501,0))&amp;"","")</f>
        <v>조세희</v>
      </c>
      <c r="V115" s="21" t="str">
        <f aca="false">IFERROR(INDEX(종합!V$3:V$501,MATCH(ROW()-2,종합!$AC$3:$AC$501,0))&amp;"","")</f>
        <v>AI사업부</v>
      </c>
      <c r="W115" s="21" t="str">
        <f aca="false">IFERROR(INDEX(종합!W$3:W$501,MATCH(ROW()-2,종합!$AC$3:$AC$501,0))&amp;"","")</f>
        <v>대리</v>
      </c>
      <c r="X115" s="21" t="str">
        <f aca="false">IFERROR(INDEX(종합!X$3:X$501,MATCH(ROW()-2,종합!$AC$3:$AC$501,0))&amp;"","")</f>
        <v>010-7338-9133</v>
      </c>
      <c r="Y115" s="21" t="str">
        <f aca="false">IFERROR(INDEX(종합!Y$3:Y$501,MATCH(ROW()-2,종합!$AC$3:$AC$501,0))&amp;"","")</f>
        <v>shjo@cloai.co.kr</v>
      </c>
      <c r="Z115" s="21" t="str">
        <f aca="false">IFERROR(INDEX(종합!Z$3:Z$501,MATCH(ROW()-2,종합!$AC$3:$AC$501,0))&amp;"","")</f>
        <v>010-7338-9133</v>
      </c>
    </row>
    <row r="116" customFormat="false" ht="22.5" hidden="false" customHeight="true" outlineLevel="0" collapsed="false">
      <c r="A116" s="18" t="n">
        <f aca="false">IF(B116="","",ROW()-2)</f>
        <v>114</v>
      </c>
      <c r="B116" s="18" t="str">
        <f aca="false">IFERROR(INDEX(종합!B$3:B$501,MATCH(ROW()-2,종합!$AC$3:$AC$501,0))&amp;"","")</f>
        <v>(주)한국키네티코엔지니어링</v>
      </c>
      <c r="C116" s="18" t="str">
        <f aca="false">IFERROR(INDEX(종합!C$3:C$501,MATCH(ROW()-2,종합!$AC$3:$AC$501,0))&amp;"","")</f>
        <v>O</v>
      </c>
      <c r="D116" s="18" t="str">
        <f aca="false">IFERROR(INDEX(종합!D$3:D$501,MATCH(ROW()-2,종합!$AC$3:$AC$501,0))&amp;"","")</f>
        <v>O</v>
      </c>
      <c r="E116" s="18" t="str">
        <f aca="false">IFERROR(INDEX(종합!E$3:E$501,MATCH(ROW()-2,종합!$AC$3:$AC$501,0))&amp;"","")</f>
        <v>O</v>
      </c>
      <c r="F116" s="18" t="str">
        <f aca="false">IFERROR(INDEX(종합!F$3:F$501,MATCH(ROW()-2,종합!$AC$3:$AC$501,0))&amp;"","")</f>
        <v>O</v>
      </c>
      <c r="G116" s="18" t="str">
        <f aca="false">IFERROR(INDEX(종합!G$3:G$501,MATCH(ROW()-2,종합!$AC$3:$AC$501,0))&amp;"","")</f>
        <v>중소기업</v>
      </c>
      <c r="H116" s="21" t="str">
        <f aca="false">IFERROR(INDEX(종합!H$3:H$501,MATCH(ROW()-2,종합!$AC$3:$AC$501,0))&amp;"","")</f>
        <v>501-81-18337</v>
      </c>
      <c r="I116" s="21" t="str">
        <f aca="false">IFERROR(INDEX(종합!I$3:I$501,MATCH(ROW()-2,종합!$AC$3:$AC$501,0))&amp;"","")</f>
        <v>오재완</v>
      </c>
      <c r="J116" s="21" t="str">
        <f aca="false">IFERROR(INDEX(종합!J$3:J$501,MATCH(ROW()-2,종합!$AC$3:$AC$501,0))&amp;"","")</f>
        <v>053-255-2583</v>
      </c>
      <c r="K116" s="21" t="str">
        <f aca="false">IFERROR(INDEX(종합!K$3:K$501,MATCH(ROW()-2,종합!$AC$3:$AC$501,0))&amp;"","")</f>
        <v>https://osgloture.org</v>
      </c>
      <c r="L116" s="21" t="str">
        <f aca="false">IFERROR(INDEX(종합!L$3:L$501,MATCH(ROW()-2,종합!$AC$3:$AC$501,0))&amp;"","")</f>
        <v>mso@osgloture.org</v>
      </c>
      <c r="M116" s="21" t="str">
        <f aca="false">IFERROR(INDEX(종합!M$3:M$501,MATCH(ROW()-2,종합!$AC$3:$AC$501,0))&amp;"","")</f>
        <v>대구 수성구 알파시티1로 194 602호</v>
      </c>
      <c r="N116" s="25" t="str">
        <f aca="false">IFERROR(INDEX(종합!N$3:N$501,MATCH(ROW()-2,종합!$AC$3:$AC$501,0))&amp;"","")</f>
        <v>온디바이스 AI</v>
      </c>
      <c r="O116" s="21" t="str">
        <f aca="false">IFERROR(INDEX(종합!O$3:O$501,MATCH(ROW()-2,종합!$AC$3:$AC$501,0))&amp;"","")</f>
        <v>오민수</v>
      </c>
      <c r="P116" s="21" t="str">
        <f aca="false">IFERROR(INDEX(종합!P$3:P$501,MATCH(ROW()-2,종합!$AC$3:$AC$501,0))&amp;"","")</f>
        <v>영업마케팅</v>
      </c>
      <c r="Q116" s="21" t="str">
        <f aca="false">IFERROR(INDEX(종합!Q$3:Q$501,MATCH(ROW()-2,종합!$AC$3:$AC$501,0))&amp;"","")</f>
        <v>팀장</v>
      </c>
      <c r="R116" s="21" t="str">
        <f aca="false">IFERROR(INDEX(종합!R$3:R$501,MATCH(ROW()-2,종합!$AC$3:$AC$501,0))&amp;"","")</f>
        <v>053-255-2583</v>
      </c>
      <c r="S116" s="21" t="str">
        <f aca="false">IFERROR(INDEX(종합!S$3:S$501,MATCH(ROW()-2,종합!$AC$3:$AC$501,0))&amp;"","")</f>
        <v>mso@osgloture.org</v>
      </c>
      <c r="T116" s="21" t="str">
        <f aca="false">IFERROR(INDEX(종합!T$3:T$501,MATCH(ROW()-2,종합!$AC$3:$AC$501,0))&amp;"","")</f>
        <v>010-8780-1771</v>
      </c>
      <c r="U116" s="21" t="str">
        <f aca="false">IFERROR(INDEX(종합!U$3:U$501,MATCH(ROW()-2,종합!$AC$3:$AC$501,0))&amp;"","")</f>
        <v>오민수</v>
      </c>
      <c r="V116" s="21" t="str">
        <f aca="false">IFERROR(INDEX(종합!V$3:V$501,MATCH(ROW()-2,종합!$AC$3:$AC$501,0))&amp;"","")</f>
        <v>영업마케팅</v>
      </c>
      <c r="W116" s="21" t="str">
        <f aca="false">IFERROR(INDEX(종합!W$3:W$501,MATCH(ROW()-2,종합!$AC$3:$AC$501,0))&amp;"","")</f>
        <v>팀장</v>
      </c>
      <c r="X116" s="21" t="str">
        <f aca="false">IFERROR(INDEX(종합!X$3:X$501,MATCH(ROW()-2,종합!$AC$3:$AC$501,0))&amp;"","")</f>
        <v>053-255-2583</v>
      </c>
      <c r="Y116" s="21" t="str">
        <f aca="false">IFERROR(INDEX(종합!Y$3:Y$501,MATCH(ROW()-2,종합!$AC$3:$AC$501,0))&amp;"","")</f>
        <v>mso@osgloture.org</v>
      </c>
      <c r="Z116" s="21" t="str">
        <f aca="false">IFERROR(INDEX(종합!Z$3:Z$501,MATCH(ROW()-2,종합!$AC$3:$AC$501,0))&amp;"","")</f>
        <v>010-8780-1771</v>
      </c>
    </row>
    <row r="117" customFormat="false" ht="22.5" hidden="false" customHeight="true" outlineLevel="0" collapsed="false">
      <c r="A117" s="18" t="n">
        <f aca="false">IF(B117="","",ROW()-2)</f>
        <v>115</v>
      </c>
      <c r="B117" s="18" t="str">
        <f aca="false">IFERROR(INDEX(종합!B$3:B$501,MATCH(ROW()-2,종합!$AC$3:$AC$501,0))&amp;"","")</f>
        <v>(주)페픽</v>
      </c>
      <c r="C117" s="18" t="str">
        <f aca="false">IFERROR(INDEX(종합!C$3:C$501,MATCH(ROW()-2,종합!$AC$3:$AC$501,0))&amp;"","")</f>
        <v>O</v>
      </c>
      <c r="D117" s="18" t="str">
        <f aca="false">IFERROR(INDEX(종합!D$3:D$501,MATCH(ROW()-2,종합!$AC$3:$AC$501,0))&amp;"","")</f>
        <v>O</v>
      </c>
      <c r="E117" s="18" t="str">
        <f aca="false">IFERROR(INDEX(종합!E$3:E$501,MATCH(ROW()-2,종합!$AC$3:$AC$501,0))&amp;"","")</f>
        <v>O</v>
      </c>
      <c r="F117" s="18" t="str">
        <f aca="false">IFERROR(INDEX(종합!F$3:F$501,MATCH(ROW()-2,종합!$AC$3:$AC$501,0))&amp;"","")</f>
        <v/>
      </c>
      <c r="G117" s="18" t="str">
        <f aca="false">IFERROR(INDEX(종합!G$3:G$501,MATCH(ROW()-2,종합!$AC$3:$AC$501,0))&amp;"","")</f>
        <v>중소기업</v>
      </c>
      <c r="H117" s="21" t="str">
        <f aca="false">IFERROR(INDEX(종합!H$3:H$501,MATCH(ROW()-2,종합!$AC$3:$AC$501,0))&amp;"","")</f>
        <v>268-86-02613</v>
      </c>
      <c r="I117" s="21" t="str">
        <f aca="false">IFERROR(INDEX(종합!I$3:I$501,MATCH(ROW()-2,종합!$AC$3:$AC$501,0))&amp;"","")</f>
        <v>유연수</v>
      </c>
      <c r="J117" s="21" t="str">
        <f aca="false">IFERROR(INDEX(종합!J$3:J$501,MATCH(ROW()-2,종합!$AC$3:$AC$501,0))&amp;"","")</f>
        <v>010-4454-1324</v>
      </c>
      <c r="K117" s="21" t="str">
        <f aca="false">IFERROR(INDEX(종합!K$3:K$501,MATCH(ROW()-2,종합!$AC$3:$AC$501,0))&amp;"","")</f>
        <v>https://pefic.ai</v>
      </c>
      <c r="L117" s="21" t="str">
        <f aca="false">IFERROR(INDEX(종합!L$3:L$501,MATCH(ROW()-2,종합!$AC$3:$AC$501,0))&amp;"","")</f>
        <v>kyungsan1117@gmail.com</v>
      </c>
      <c r="M117" s="21" t="str">
        <f aca="false">IFERROR(INDEX(종합!M$3:M$501,MATCH(ROW()-2,종합!$AC$3:$AC$501,0))&amp;"","")</f>
        <v>광주광역시 동구 동계천로 150, 506호</v>
      </c>
      <c r="N117" s="25" t="str">
        <f aca="false">IFERROR(INDEX(종합!N$3:N$501,MATCH(ROW()-2,종합!$AC$3:$AC$501,0))&amp;"","")</f>
        <v>생성형 AI 기반 챗봇, AI 에이전트, AI 영상 생성 기술 보유</v>
      </c>
      <c r="O117" s="21" t="str">
        <f aca="false">IFERROR(INDEX(종합!O$3:O$501,MATCH(ROW()-2,종합!$AC$3:$AC$501,0))&amp;"","")</f>
        <v>유연수</v>
      </c>
      <c r="P117" s="21" t="str">
        <f aca="false">IFERROR(INDEX(종합!P$3:P$501,MATCH(ROW()-2,종합!$AC$3:$AC$501,0))&amp;"","")</f>
        <v>임원</v>
      </c>
      <c r="Q117" s="21" t="str">
        <f aca="false">IFERROR(INDEX(종합!Q$3:Q$501,MATCH(ROW()-2,종합!$AC$3:$AC$501,0))&amp;"","")</f>
        <v>대표이사</v>
      </c>
      <c r="R117" s="21" t="str">
        <f aca="false">IFERROR(INDEX(종합!R$3:R$501,MATCH(ROW()-2,종합!$AC$3:$AC$501,0))&amp;"","")</f>
        <v>010-4454-1324</v>
      </c>
      <c r="S117" s="21" t="str">
        <f aca="false">IFERROR(INDEX(종합!S$3:S$501,MATCH(ROW()-2,종합!$AC$3:$AC$501,0))&amp;"","")</f>
        <v>powinz@pefic.ai</v>
      </c>
      <c r="T117" s="21" t="str">
        <f aca="false">IFERROR(INDEX(종합!T$3:T$501,MATCH(ROW()-2,종합!$AC$3:$AC$501,0))&amp;"","")</f>
        <v>010-4454-1324</v>
      </c>
      <c r="U117" s="21" t="str">
        <f aca="false">IFERROR(INDEX(종합!U$3:U$501,MATCH(ROW()-2,종합!$AC$3:$AC$501,0))&amp;"","")</f>
        <v>유연수</v>
      </c>
      <c r="V117" s="21" t="str">
        <f aca="false">IFERROR(INDEX(종합!V$3:V$501,MATCH(ROW()-2,종합!$AC$3:$AC$501,0))&amp;"","")</f>
        <v>임원</v>
      </c>
      <c r="W117" s="21" t="str">
        <f aca="false">IFERROR(INDEX(종합!W$3:W$501,MATCH(ROW()-2,종합!$AC$3:$AC$501,0))&amp;"","")</f>
        <v>대표이사</v>
      </c>
      <c r="X117" s="21" t="str">
        <f aca="false">IFERROR(INDEX(종합!X$3:X$501,MATCH(ROW()-2,종합!$AC$3:$AC$501,0))&amp;"","")</f>
        <v>010-4454-1324</v>
      </c>
      <c r="Y117" s="21" t="str">
        <f aca="false">IFERROR(INDEX(종합!Y$3:Y$501,MATCH(ROW()-2,종합!$AC$3:$AC$501,0))&amp;"","")</f>
        <v>powinz@pefic.ai</v>
      </c>
      <c r="Z117" s="21" t="str">
        <f aca="false">IFERROR(INDEX(종합!Z$3:Z$501,MATCH(ROW()-2,종합!$AC$3:$AC$501,0))&amp;"","")</f>
        <v>010-4454-1324</v>
      </c>
    </row>
    <row r="118" customFormat="false" ht="22.5" hidden="false" customHeight="true" outlineLevel="0" collapsed="false">
      <c r="A118" s="18" t="n">
        <f aca="false">IF(B118="","",ROW()-2)</f>
        <v>116</v>
      </c>
      <c r="B118" s="18" t="str">
        <f aca="false">IFERROR(INDEX(종합!B$3:B$501,MATCH(ROW()-2,종합!$AC$3:$AC$501,0))&amp;"","")</f>
        <v>타이아 주식회사</v>
      </c>
      <c r="C118" s="18" t="str">
        <f aca="false">IFERROR(INDEX(종합!C$3:C$501,MATCH(ROW()-2,종합!$AC$3:$AC$501,0))&amp;"","")</f>
        <v>O</v>
      </c>
      <c r="D118" s="18" t="str">
        <f aca="false">IFERROR(INDEX(종합!D$3:D$501,MATCH(ROW()-2,종합!$AC$3:$AC$501,0))&amp;"","")</f>
        <v>O</v>
      </c>
      <c r="E118" s="18" t="str">
        <f aca="false">IFERROR(INDEX(종합!E$3:E$501,MATCH(ROW()-2,종합!$AC$3:$AC$501,0))&amp;"","")</f>
        <v/>
      </c>
      <c r="F118" s="18" t="str">
        <f aca="false">IFERROR(INDEX(종합!F$3:F$501,MATCH(ROW()-2,종합!$AC$3:$AC$501,0))&amp;"","")</f>
        <v/>
      </c>
      <c r="G118" s="18" t="str">
        <f aca="false">IFERROR(INDEX(종합!G$3:G$501,MATCH(ROW()-2,종합!$AC$3:$AC$501,0))&amp;"","")</f>
        <v>중소기업</v>
      </c>
      <c r="H118" s="21" t="str">
        <f aca="false">IFERROR(INDEX(종합!H$3:H$501,MATCH(ROW()-2,종합!$AC$3:$AC$501,0))&amp;"","")</f>
        <v>410-86-17847</v>
      </c>
      <c r="I118" s="21" t="str">
        <f aca="false">IFERROR(INDEX(종합!I$3:I$501,MATCH(ROW()-2,종합!$AC$3:$AC$501,0))&amp;"","")</f>
        <v>진이진, 이성미</v>
      </c>
      <c r="J118" s="21" t="str">
        <f aca="false">IFERROR(INDEX(종합!J$3:J$501,MATCH(ROW()-2,종합!$AC$3:$AC$501,0))&amp;"","")</f>
        <v>062-973-0782</v>
      </c>
      <c r="K118" s="21" t="str">
        <f aca="false">IFERROR(INDEX(종합!K$3:K$501,MATCH(ROW()-2,종합!$AC$3:$AC$501,0))&amp;"","")</f>
        <v>www.tiasolution.net</v>
      </c>
      <c r="L118" s="21" t="str">
        <f aca="false">IFERROR(INDEX(종합!L$3:L$501,MATCH(ROW()-2,종합!$AC$3:$AC$501,0))&amp;"","")</f>
        <v>bhshs336@gmail.com</v>
      </c>
      <c r="M118" s="21" t="str">
        <f aca="false">IFERROR(INDEX(종합!M$3:M$501,MATCH(ROW()-2,종합!$AC$3:$AC$501,0))&amp;"","")</f>
        <v>광주광역시 광산구 신창로 127, 신창타워 7/8층</v>
      </c>
      <c r="N118" s="25" t="str">
        <f aca="false">IFERROR(INDEX(종합!N$3:N$501,MATCH(ROW()-2,종합!$AC$3:$AC$501,0))&amp;"","")</f>
        <v>Digital Twin, AX/DX, 스마트팩토리, 예지보전</v>
      </c>
      <c r="O118" s="21" t="str">
        <f aca="false">IFERROR(INDEX(종합!O$3:O$501,MATCH(ROW()-2,종합!$AC$3:$AC$501,0))&amp;"","")</f>
        <v>진이진</v>
      </c>
      <c r="P118" s="21" t="str">
        <f aca="false">IFERROR(INDEX(종합!P$3:P$501,MATCH(ROW()-2,종합!$AC$3:$AC$501,0))&amp;"","")</f>
        <v>-</v>
      </c>
      <c r="Q118" s="21" t="str">
        <f aca="false">IFERROR(INDEX(종합!Q$3:Q$501,MATCH(ROW()-2,종합!$AC$3:$AC$501,0))&amp;"","")</f>
        <v>대표이사</v>
      </c>
      <c r="R118" s="21" t="str">
        <f aca="false">IFERROR(INDEX(종합!R$3:R$501,MATCH(ROW()-2,종합!$AC$3:$AC$501,0))&amp;"","")</f>
        <v>062-973-0782</v>
      </c>
      <c r="S118" s="21" t="str">
        <f aca="false">IFERROR(INDEX(종합!S$3:S$501,MATCH(ROW()-2,종합!$AC$3:$AC$501,0))&amp;"","")</f>
        <v>leejin.jin@tiasolution.net</v>
      </c>
      <c r="T118" s="21" t="str">
        <f aca="false">IFERROR(INDEX(종합!T$3:T$501,MATCH(ROW()-2,종합!$AC$3:$AC$501,0))&amp;"","")</f>
        <v>010-2609-9558</v>
      </c>
      <c r="U118" s="21" t="str">
        <f aca="false">IFERROR(INDEX(종합!U$3:U$501,MATCH(ROW()-2,종합!$AC$3:$AC$501,0))&amp;"","")</f>
        <v>변혜선</v>
      </c>
      <c r="V118" s="21" t="str">
        <f aca="false">IFERROR(INDEX(종합!V$3:V$501,MATCH(ROW()-2,종합!$AC$3:$AC$501,0))&amp;"","")</f>
        <v>기획관리팀</v>
      </c>
      <c r="W118" s="21" t="str">
        <f aca="false">IFERROR(INDEX(종합!W$3:W$501,MATCH(ROW()-2,종합!$AC$3:$AC$501,0))&amp;"","")</f>
        <v>차장</v>
      </c>
      <c r="X118" s="21" t="str">
        <f aca="false">IFERROR(INDEX(종합!X$3:X$501,MATCH(ROW()-2,종합!$AC$3:$AC$501,0))&amp;"","")</f>
        <v>062-973-0782</v>
      </c>
      <c r="Y118" s="21" t="str">
        <f aca="false">IFERROR(INDEX(종합!Y$3:Y$501,MATCH(ROW()-2,종합!$AC$3:$AC$501,0))&amp;"","")</f>
        <v>hyesun.b@tiasolution.net</v>
      </c>
      <c r="Z118" s="21" t="str">
        <f aca="false">IFERROR(INDEX(종합!Z$3:Z$501,MATCH(ROW()-2,종합!$AC$3:$AC$501,0))&amp;"","")</f>
        <v>010-2548-1960</v>
      </c>
    </row>
    <row r="119" customFormat="false" ht="33.75" hidden="false" customHeight="true" outlineLevel="0" collapsed="false">
      <c r="A119" s="18" t="n">
        <f aca="false">IF(B119="","",ROW()-2)</f>
        <v>117</v>
      </c>
      <c r="B119" s="18" t="str">
        <f aca="false">IFERROR(INDEX(종합!B$3:B$501,MATCH(ROW()-2,종합!$AC$3:$AC$501,0))&amp;"","")</f>
        <v>펜타시스템테크놀러지(주)</v>
      </c>
      <c r="C119" s="18" t="str">
        <f aca="false">IFERROR(INDEX(종합!C$3:C$501,MATCH(ROW()-2,종합!$AC$3:$AC$501,0))&amp;"","")</f>
        <v>O</v>
      </c>
      <c r="D119" s="18" t="str">
        <f aca="false">IFERROR(INDEX(종합!D$3:D$501,MATCH(ROW()-2,종합!$AC$3:$AC$501,0))&amp;"","")</f>
        <v>O</v>
      </c>
      <c r="E119" s="18" t="str">
        <f aca="false">IFERROR(INDEX(종합!E$3:E$501,MATCH(ROW()-2,종합!$AC$3:$AC$501,0))&amp;"","")</f>
        <v>O</v>
      </c>
      <c r="F119" s="18" t="str">
        <f aca="false">IFERROR(INDEX(종합!F$3:F$501,MATCH(ROW()-2,종합!$AC$3:$AC$501,0))&amp;"","")</f>
        <v>O</v>
      </c>
      <c r="G119" s="18" t="str">
        <f aca="false">IFERROR(INDEX(종합!G$3:G$501,MATCH(ROW()-2,종합!$AC$3:$AC$501,0))&amp;"","")</f>
        <v>중견기업</v>
      </c>
      <c r="H119" s="21" t="str">
        <f aca="false">IFERROR(INDEX(종합!H$3:H$501,MATCH(ROW()-2,종합!$AC$3:$AC$501,0))&amp;"","")</f>
        <v>116-81-35346</v>
      </c>
      <c r="I119" s="21" t="str">
        <f aca="false">IFERROR(INDEX(종합!I$3:I$501,MATCH(ROW()-2,종합!$AC$3:$AC$501,0))&amp;"","")</f>
        <v>장종준</v>
      </c>
      <c r="J119" s="21" t="str">
        <f aca="false">IFERROR(INDEX(종합!J$3:J$501,MATCH(ROW()-2,종합!$AC$3:$AC$501,0))&amp;"","")</f>
        <v>02-769-9700</v>
      </c>
      <c r="K119" s="21" t="str">
        <f aca="false">IFERROR(INDEX(종합!K$3:K$501,MATCH(ROW()-2,종합!$AC$3:$AC$501,0))&amp;"","")</f>
        <v>www.penta.co.kr</v>
      </c>
      <c r="L119" s="21" t="str">
        <f aca="false">IFERROR(INDEX(종합!L$3:L$501,MATCH(ROW()-2,종합!$AC$3:$AC$501,0))&amp;"","")</f>
        <v>jukab2246@gmail.com</v>
      </c>
      <c r="M119" s="21" t="str">
        <f aca="false">IFERROR(INDEX(종합!M$3:M$501,MATCH(ROW()-2,종합!$AC$3:$AC$501,0))&amp;"","")</f>
        <v>서울특별시 영등포구 여의공원로 115 세우빌딩 10, 11</v>
      </c>
      <c r="N119" s="25" t="str">
        <f aca="false">IFERROR(INDEX(종합!N$3:N$501,MATCH(ROW()-2,종합!$AC$3:$AC$501,0))&amp;"","")</f>
        <v>학습데이터 생성을 위한 개인정보 비식별화 솔루션 및  AI Agent 포털 솔루션 보유</v>
      </c>
      <c r="O119" s="21" t="str">
        <f aca="false">IFERROR(INDEX(종합!O$3:O$501,MATCH(ROW()-2,종합!$AC$3:$AC$501,0))&amp;"","")</f>
        <v>김동한</v>
      </c>
      <c r="P119" s="21" t="str">
        <f aca="false">IFERROR(INDEX(종합!P$3:P$501,MATCH(ROW()-2,종합!$AC$3:$AC$501,0))&amp;"","")</f>
        <v>펜타 Lab5 고등기술연구소</v>
      </c>
      <c r="Q119" s="21" t="str">
        <f aca="false">IFERROR(INDEX(종합!Q$3:Q$501,MATCH(ROW()-2,종합!$AC$3:$AC$501,0))&amp;"","")</f>
        <v>전문위원/연구소장</v>
      </c>
      <c r="R119" s="21" t="str">
        <f aca="false">IFERROR(INDEX(종합!R$3:R$501,MATCH(ROW()-2,종합!$AC$3:$AC$501,0))&amp;"","")</f>
        <v>02-769-9773</v>
      </c>
      <c r="S119" s="21" t="str">
        <f aca="false">IFERROR(INDEX(종합!S$3:S$501,MATCH(ROW()-2,종합!$AC$3:$AC$501,0))&amp;"","")</f>
        <v>picollo@penta.co.kr</v>
      </c>
      <c r="T119" s="21" t="str">
        <f aca="false">IFERROR(INDEX(종합!T$3:T$501,MATCH(ROW()-2,종합!$AC$3:$AC$501,0))&amp;"","")</f>
        <v>010-9188-1021</v>
      </c>
      <c r="U119" s="21" t="str">
        <f aca="false">IFERROR(INDEX(종합!U$3:U$501,MATCH(ROW()-2,종합!$AC$3:$AC$501,0))&amp;"","")</f>
        <v>정광용</v>
      </c>
      <c r="V119" s="21" t="str">
        <f aca="false">IFERROR(INDEX(종합!V$3:V$501,MATCH(ROW()-2,종합!$AC$3:$AC$501,0))&amp;"","")</f>
        <v>DG팀</v>
      </c>
      <c r="W119" s="21" t="str">
        <f aca="false">IFERROR(INDEX(종합!W$3:W$501,MATCH(ROW()-2,종합!$AC$3:$AC$501,0))&amp;"","")</f>
        <v>기술위원/팀장</v>
      </c>
      <c r="X119" s="21" t="str">
        <f aca="false">IFERROR(INDEX(종합!X$3:X$501,MATCH(ROW()-2,종합!$AC$3:$AC$501,0))&amp;"","")</f>
        <v>02-769-9760</v>
      </c>
      <c r="Y119" s="21" t="str">
        <f aca="false">IFERROR(INDEX(종합!Y$3:Y$501,MATCH(ROW()-2,종합!$AC$3:$AC$501,0))&amp;"","")</f>
        <v>kychung@penta.co.kr</v>
      </c>
      <c r="Z119" s="21" t="str">
        <f aca="false">IFERROR(INDEX(종합!Z$3:Z$501,MATCH(ROW()-2,종합!$AC$3:$AC$501,0))&amp;"","")</f>
        <v>010-3264-5708</v>
      </c>
    </row>
    <row r="120" customFormat="false" ht="22.5" hidden="false" customHeight="true" outlineLevel="0" collapsed="false">
      <c r="A120" s="18" t="n">
        <f aca="false">IF(B120="","",ROW()-2)</f>
        <v>118</v>
      </c>
      <c r="B120" s="18" t="str">
        <f aca="false">IFERROR(INDEX(종합!B$3:B$501,MATCH(ROW()-2,종합!$AC$3:$AC$501,0))&amp;"","")</f>
        <v>(주)코난테크놀로지</v>
      </c>
      <c r="C120" s="18" t="str">
        <f aca="false">IFERROR(INDEX(종합!C$3:C$501,MATCH(ROW()-2,종합!$AC$3:$AC$501,0))&amp;"","")</f>
        <v>O</v>
      </c>
      <c r="D120" s="18" t="str">
        <f aca="false">IFERROR(INDEX(종합!D$3:D$501,MATCH(ROW()-2,종합!$AC$3:$AC$501,0))&amp;"","")</f>
        <v>O</v>
      </c>
      <c r="E120" s="18" t="str">
        <f aca="false">IFERROR(INDEX(종합!E$3:E$501,MATCH(ROW()-2,종합!$AC$3:$AC$501,0))&amp;"","")</f>
        <v/>
      </c>
      <c r="F120" s="18" t="str">
        <f aca="false">IFERROR(INDEX(종합!F$3:F$501,MATCH(ROW()-2,종합!$AC$3:$AC$501,0))&amp;"","")</f>
        <v>O</v>
      </c>
      <c r="G120" s="18" t="str">
        <f aca="false">IFERROR(INDEX(종합!G$3:G$501,MATCH(ROW()-2,종합!$AC$3:$AC$501,0))&amp;"","")</f>
        <v>중소기업</v>
      </c>
      <c r="H120" s="21" t="str">
        <f aca="false">IFERROR(INDEX(종합!H$3:H$501,MATCH(ROW()-2,종합!$AC$3:$AC$501,0))&amp;"","")</f>
        <v>229-81-37316</v>
      </c>
      <c r="I120" s="21" t="str">
        <f aca="false">IFERROR(INDEX(종합!I$3:I$501,MATCH(ROW()-2,종합!$AC$3:$AC$501,0))&amp;"","")</f>
        <v>김영섬</v>
      </c>
      <c r="J120" s="21" t="str">
        <f aca="false">IFERROR(INDEX(종합!J$3:J$501,MATCH(ROW()-2,종합!$AC$3:$AC$501,0))&amp;"","")</f>
        <v>1533-1614</v>
      </c>
      <c r="K120" s="21" t="str">
        <f aca="false">IFERROR(INDEX(종합!K$3:K$501,MATCH(ROW()-2,종합!$AC$3:$AC$501,0))&amp;"","")</f>
        <v>https://www.konantech.com/</v>
      </c>
      <c r="L120" s="21" t="str">
        <f aca="false">IFERROR(INDEX(종합!L$3:L$501,MATCH(ROW()-2,종합!$AC$3:$AC$501,0))&amp;"","")</f>
        <v>thdudfk898@gmail.com</v>
      </c>
      <c r="M120" s="21" t="str">
        <f aca="false">IFERROR(INDEX(종합!M$3:M$501,MATCH(ROW()-2,종합!$AC$3:$AC$501,0))&amp;"","")</f>
        <v>서울시 서초구 강남대로 327, 6,7,9층</v>
      </c>
      <c r="N120" s="25" t="str">
        <f aca="false">IFERROR(INDEX(종합!N$3:N$501,MATCH(ROW()-2,종합!$AC$3:$AC$501,0))&amp;"","")</f>
        <v>LLM, RAG-X, AIStation,Text AI, Vision AI</v>
      </c>
      <c r="O120" s="21" t="str">
        <f aca="false">IFERROR(INDEX(종합!O$3:O$501,MATCH(ROW()-2,종합!$AC$3:$AC$501,0))&amp;"","")</f>
        <v>이형주</v>
      </c>
      <c r="P120" s="21" t="str">
        <f aca="false">IFERROR(INDEX(종합!P$3:P$501,MATCH(ROW()-2,종합!$AC$3:$AC$501,0))&amp;"","")</f>
        <v>AX서비스 사업부</v>
      </c>
      <c r="Q120" s="21" t="str">
        <f aca="false">IFERROR(INDEX(종합!Q$3:Q$501,MATCH(ROW()-2,종합!$AC$3:$AC$501,0))&amp;"","")</f>
        <v>이사</v>
      </c>
      <c r="R120" s="21" t="str">
        <f aca="false">IFERROR(INDEX(종합!R$3:R$501,MATCH(ROW()-2,종합!$AC$3:$AC$501,0))&amp;"","")</f>
        <v>02-3469-8599</v>
      </c>
      <c r="S120" s="21" t="str">
        <f aca="false">IFERROR(INDEX(종합!S$3:S$501,MATCH(ROW()-2,종합!$AC$3:$AC$501,0))&amp;"","")</f>
        <v>hyungju.lee@konantech.com</v>
      </c>
      <c r="T120" s="21" t="str">
        <f aca="false">IFERROR(INDEX(종합!T$3:T$501,MATCH(ROW()-2,종합!$AC$3:$AC$501,0))&amp;"","")</f>
        <v>010-6224-0307</v>
      </c>
      <c r="U120" s="21" t="str">
        <f aca="false">IFERROR(INDEX(종합!U$3:U$501,MATCH(ROW()-2,종합!$AC$3:$AC$501,0))&amp;"","")</f>
        <v>김산</v>
      </c>
      <c r="V120" s="21" t="str">
        <f aca="false">IFERROR(INDEX(종합!V$3:V$501,MATCH(ROW()-2,종합!$AC$3:$AC$501,0))&amp;"","")</f>
        <v>AX서비스 사업부</v>
      </c>
      <c r="W120" s="21" t="str">
        <f aca="false">IFERROR(INDEX(종합!W$3:W$501,MATCH(ROW()-2,종합!$AC$3:$AC$501,0))&amp;"","")</f>
        <v>부장</v>
      </c>
      <c r="X120" s="21" t="str">
        <f aca="false">IFERROR(INDEX(종합!X$3:X$501,MATCH(ROW()-2,종합!$AC$3:$AC$501,0))&amp;"","")</f>
        <v>02-3469-8789</v>
      </c>
      <c r="Y120" s="21" t="str">
        <f aca="false">IFERROR(INDEX(종합!Y$3:Y$501,MATCH(ROW()-2,종합!$AC$3:$AC$501,0))&amp;"","")</f>
        <v>san.kim@konantech.com</v>
      </c>
      <c r="Z120" s="21" t="str">
        <f aca="false">IFERROR(INDEX(종합!Z$3:Z$501,MATCH(ROW()-2,종합!$AC$3:$AC$501,0))&amp;"","")</f>
        <v>010-8630-9677</v>
      </c>
    </row>
    <row r="121" customFormat="false" ht="22.5" hidden="false" customHeight="true" outlineLevel="0" collapsed="false">
      <c r="A121" s="18" t="n">
        <f aca="false">IF(B121="","",ROW()-2)</f>
        <v>119</v>
      </c>
      <c r="B121" s="18" t="str">
        <f aca="false">IFERROR(INDEX(종합!B$3:B$501,MATCH(ROW()-2,종합!$AC$3:$AC$501,0))&amp;"","")</f>
        <v>(주)시스원</v>
      </c>
      <c r="C121" s="18" t="str">
        <f aca="false">IFERROR(INDEX(종합!C$3:C$501,MATCH(ROW()-2,종합!$AC$3:$AC$501,0))&amp;"","")</f>
        <v>O</v>
      </c>
      <c r="D121" s="18" t="str">
        <f aca="false">IFERROR(INDEX(종합!D$3:D$501,MATCH(ROW()-2,종합!$AC$3:$AC$501,0))&amp;"","")</f>
        <v>O</v>
      </c>
      <c r="E121" s="18" t="str">
        <f aca="false">IFERROR(INDEX(종합!E$3:E$501,MATCH(ROW()-2,종합!$AC$3:$AC$501,0))&amp;"","")</f>
        <v/>
      </c>
      <c r="F121" s="18" t="str">
        <f aca="false">IFERROR(INDEX(종합!F$3:F$501,MATCH(ROW()-2,종합!$AC$3:$AC$501,0))&amp;"","")</f>
        <v/>
      </c>
      <c r="G121" s="18" t="str">
        <f aca="false">IFERROR(INDEX(종합!G$3:G$501,MATCH(ROW()-2,종합!$AC$3:$AC$501,0))&amp;"","")</f>
        <v>중소기업</v>
      </c>
      <c r="H121" s="21" t="str">
        <f aca="false">IFERROR(INDEX(종합!H$3:H$501,MATCH(ROW()-2,종합!$AC$3:$AC$501,0))&amp;"","")</f>
        <v>106-81-17749</v>
      </c>
      <c r="I121" s="21" t="str">
        <f aca="false">IFERROR(INDEX(종합!I$3:I$501,MATCH(ROW()-2,종합!$AC$3:$AC$501,0))&amp;"","")</f>
        <v>김영주</v>
      </c>
      <c r="J121" s="21" t="str">
        <f aca="false">IFERROR(INDEX(종합!J$3:J$501,MATCH(ROW()-2,종합!$AC$3:$AC$501,0))&amp;"","")</f>
        <v>031-778-8624</v>
      </c>
      <c r="K121" s="21" t="str">
        <f aca="false">IFERROR(INDEX(종합!K$3:K$501,MATCH(ROW()-2,종합!$AC$3:$AC$501,0))&amp;"","")</f>
        <v>www.sysone.co.kr</v>
      </c>
      <c r="L121" s="21" t="str">
        <f aca="false">IFERROR(INDEX(종합!L$3:L$501,MATCH(ROW()-2,종합!$AC$3:$AC$501,0))&amp;"","")</f>
        <v>hspark@sysone.co.kr</v>
      </c>
      <c r="M121" s="21" t="str">
        <f aca="false">IFERROR(INDEX(종합!M$3:M$501,MATCH(ROW()-2,종합!$AC$3:$AC$501,0))&amp;"","")</f>
        <v>서울특별시 강서구 마곡중앙14로 26</v>
      </c>
      <c r="N121" s="25" t="str">
        <f aca="false">IFERROR(INDEX(종합!N$3:N$501,MATCH(ROW()-2,종합!$AC$3:$AC$501,0))&amp;"","")</f>
        <v>AI에이전트 플랫폼</v>
      </c>
      <c r="O121" s="21" t="str">
        <f aca="false">IFERROR(INDEX(종합!O$3:O$501,MATCH(ROW()-2,종합!$AC$3:$AC$501,0))&amp;"","")</f>
        <v>노상록</v>
      </c>
      <c r="P121" s="21" t="str">
        <f aca="false">IFERROR(INDEX(종합!P$3:P$501,MATCH(ROW()-2,종합!$AC$3:$AC$501,0))&amp;"","")</f>
        <v>AX융합실</v>
      </c>
      <c r="Q121" s="21" t="str">
        <f aca="false">IFERROR(INDEX(종합!Q$3:Q$501,MATCH(ROW()-2,종합!$AC$3:$AC$501,0))&amp;"","")</f>
        <v>이사</v>
      </c>
      <c r="R121" s="21" t="str">
        <f aca="false">IFERROR(INDEX(종합!R$3:R$501,MATCH(ROW()-2,종합!$AC$3:$AC$501,0))&amp;"","")</f>
        <v>010-4735-1030</v>
      </c>
      <c r="S121" s="21" t="str">
        <f aca="false">IFERROR(INDEX(종합!S$3:S$501,MATCH(ROW()-2,종합!$AC$3:$AC$501,0))&amp;"","")</f>
        <v>sangrok@sysone.co.kr</v>
      </c>
      <c r="T121" s="21" t="str">
        <f aca="false">IFERROR(INDEX(종합!T$3:T$501,MATCH(ROW()-2,종합!$AC$3:$AC$501,0))&amp;"","")</f>
        <v>010-4735-1030</v>
      </c>
      <c r="U121" s="21" t="str">
        <f aca="false">IFERROR(INDEX(종합!U$3:U$501,MATCH(ROW()-2,종합!$AC$3:$AC$501,0))&amp;"","")</f>
        <v>박희승</v>
      </c>
      <c r="V121" s="21" t="str">
        <f aca="false">IFERROR(INDEX(종합!V$3:V$501,MATCH(ROW()-2,종합!$AC$3:$AC$501,0))&amp;"","")</f>
        <v>AX융합실</v>
      </c>
      <c r="W121" s="21" t="str">
        <f aca="false">IFERROR(INDEX(종합!W$3:W$501,MATCH(ROW()-2,종합!$AC$3:$AC$501,0))&amp;"","")</f>
        <v>이사</v>
      </c>
      <c r="X121" s="21" t="str">
        <f aca="false">IFERROR(INDEX(종합!X$3:X$501,MATCH(ROW()-2,종합!$AC$3:$AC$501,0))&amp;"","")</f>
        <v>031-778-8624</v>
      </c>
      <c r="Y121" s="21" t="str">
        <f aca="false">IFERROR(INDEX(종합!Y$3:Y$501,MATCH(ROW()-2,종합!$AC$3:$AC$501,0))&amp;"","")</f>
        <v>hspark@sysone.co.kr</v>
      </c>
      <c r="Z121" s="21" t="str">
        <f aca="false">IFERROR(INDEX(종합!Z$3:Z$501,MATCH(ROW()-2,종합!$AC$3:$AC$501,0))&amp;"","")</f>
        <v>010-4858-5028</v>
      </c>
    </row>
    <row r="122" customFormat="false" ht="22.5" hidden="false" customHeight="true" outlineLevel="0" collapsed="false">
      <c r="A122" s="18" t="n">
        <f aca="false">IF(B122="","",ROW()-2)</f>
        <v>120</v>
      </c>
      <c r="B122" s="18" t="str">
        <f aca="false">IFERROR(INDEX(종합!B$3:B$501,MATCH(ROW()-2,종합!$AC$3:$AC$501,0))&amp;"","")</f>
        <v>주식회사 젠다이브</v>
      </c>
      <c r="C122" s="18" t="str">
        <f aca="false">IFERROR(INDEX(종합!C$3:C$501,MATCH(ROW()-2,종합!$AC$3:$AC$501,0))&amp;"","")</f>
        <v>O</v>
      </c>
      <c r="D122" s="18" t="str">
        <f aca="false">IFERROR(INDEX(종합!D$3:D$501,MATCH(ROW()-2,종합!$AC$3:$AC$501,0))&amp;"","")</f>
        <v>O</v>
      </c>
      <c r="E122" s="18" t="str">
        <f aca="false">IFERROR(INDEX(종합!E$3:E$501,MATCH(ROW()-2,종합!$AC$3:$AC$501,0))&amp;"","")</f>
        <v>O</v>
      </c>
      <c r="F122" s="18" t="str">
        <f aca="false">IFERROR(INDEX(종합!F$3:F$501,MATCH(ROW()-2,종합!$AC$3:$AC$501,0))&amp;"","")</f>
        <v/>
      </c>
      <c r="G122" s="18" t="str">
        <f aca="false">IFERROR(INDEX(종합!G$3:G$501,MATCH(ROW()-2,종합!$AC$3:$AC$501,0))&amp;"","")</f>
        <v>중소기업</v>
      </c>
      <c r="H122" s="21" t="str">
        <f aca="false">IFERROR(INDEX(종합!H$3:H$501,MATCH(ROW()-2,종합!$AC$3:$AC$501,0))&amp;"","")</f>
        <v>449-87-02752</v>
      </c>
      <c r="I122" s="21" t="str">
        <f aca="false">IFERROR(INDEX(종합!I$3:I$501,MATCH(ROW()-2,종합!$AC$3:$AC$501,0))&amp;"","")</f>
        <v>함민혁</v>
      </c>
      <c r="J122" s="21" t="str">
        <f aca="false">IFERROR(INDEX(종합!J$3:J$501,MATCH(ROW()-2,종합!$AC$3:$AC$501,0))&amp;"","")</f>
        <v>070-4895-5550</v>
      </c>
      <c r="K122" s="21" t="str">
        <f aca="false">IFERROR(INDEX(종합!K$3:K$501,MATCH(ROW()-2,종합!$AC$3:$AC$501,0))&amp;"","")</f>
        <v>https://www.gendive.kr</v>
      </c>
      <c r="L122" s="21" t="str">
        <f aca="false">IFERROR(INDEX(종합!L$3:L$501,MATCH(ROW()-2,종합!$AC$3:$AC$501,0))&amp;"","")</f>
        <v>mh.ham@gendive.ai</v>
      </c>
      <c r="M122" s="21" t="str">
        <f aca="false">IFERROR(INDEX(종합!M$3:M$501,MATCH(ROW()-2,종합!$AC$3:$AC$501,0))&amp;"","")</f>
        <v>광주광역시 동구 금남로 193-22, 광주AI창업캠프 1호점 3층 308호</v>
      </c>
      <c r="N122" s="25" t="str">
        <f aca="false">IFERROR(INDEX(종합!N$3:N$501,MATCH(ROW()-2,종합!$AC$3:$AC$501,0))&amp;"","")</f>
        <v>AI로 일하는 기업을 만드는 AI WorkOS, 데브다이브</v>
      </c>
      <c r="O122" s="21" t="str">
        <f aca="false">IFERROR(INDEX(종합!O$3:O$501,MATCH(ROW()-2,종합!$AC$3:$AC$501,0))&amp;"","")</f>
        <v>함민혁</v>
      </c>
      <c r="P122" s="21" t="str">
        <f aca="false">IFERROR(INDEX(종합!P$3:P$501,MATCH(ROW()-2,종합!$AC$3:$AC$501,0))&amp;"","")</f>
        <v>AI사업부</v>
      </c>
      <c r="Q122" s="21" t="str">
        <f aca="false">IFERROR(INDEX(종합!Q$3:Q$501,MATCH(ROW()-2,종합!$AC$3:$AC$501,0))&amp;"","")</f>
        <v>대표이사</v>
      </c>
      <c r="R122" s="21" t="str">
        <f aca="false">IFERROR(INDEX(종합!R$3:R$501,MATCH(ROW()-2,종합!$AC$3:$AC$501,0))&amp;"","")</f>
        <v>070-4895-5550</v>
      </c>
      <c r="S122" s="21" t="str">
        <f aca="false">IFERROR(INDEX(종합!S$3:S$501,MATCH(ROW()-2,종합!$AC$3:$AC$501,0))&amp;"","")</f>
        <v>mh.ham@gendive.ai</v>
      </c>
      <c r="T122" s="21" t="str">
        <f aca="false">IFERROR(INDEX(종합!T$3:T$501,MATCH(ROW()-2,종합!$AC$3:$AC$501,0))&amp;"","")</f>
        <v>010-3047-6882</v>
      </c>
      <c r="U122" s="21" t="str">
        <f aca="false">IFERROR(INDEX(종합!U$3:U$501,MATCH(ROW()-2,종합!$AC$3:$AC$501,0))&amp;"","")</f>
        <v>함민혁</v>
      </c>
      <c r="V122" s="21" t="str">
        <f aca="false">IFERROR(INDEX(종합!V$3:V$501,MATCH(ROW()-2,종합!$AC$3:$AC$501,0))&amp;"","")</f>
        <v>AI사업부</v>
      </c>
      <c r="W122" s="21" t="str">
        <f aca="false">IFERROR(INDEX(종합!W$3:W$501,MATCH(ROW()-2,종합!$AC$3:$AC$501,0))&amp;"","")</f>
        <v>대표이사</v>
      </c>
      <c r="X122" s="21" t="str">
        <f aca="false">IFERROR(INDEX(종합!X$3:X$501,MATCH(ROW()-2,종합!$AC$3:$AC$501,0))&amp;"","")</f>
        <v>070-4895-5550</v>
      </c>
      <c r="Y122" s="21" t="str">
        <f aca="false">IFERROR(INDEX(종합!Y$3:Y$501,MATCH(ROW()-2,종합!$AC$3:$AC$501,0))&amp;"","")</f>
        <v>mh.ham@gendive.ai</v>
      </c>
      <c r="Z122" s="21" t="str">
        <f aca="false">IFERROR(INDEX(종합!Z$3:Z$501,MATCH(ROW()-2,종합!$AC$3:$AC$501,0))&amp;"","")</f>
        <v>010-3047-6882</v>
      </c>
    </row>
    <row r="123" customFormat="false" ht="22.5" hidden="false" customHeight="true" outlineLevel="0" collapsed="false">
      <c r="A123" s="18" t="n">
        <f aca="false">IF(B123="","",ROW()-2)</f>
        <v>121</v>
      </c>
      <c r="B123" s="18" t="str">
        <f aca="false">IFERROR(INDEX(종합!B$3:B$501,MATCH(ROW()-2,종합!$AC$3:$AC$501,0))&amp;"","")</f>
        <v>주식회사 웨인힐스브라이언트 에이아이 </v>
      </c>
      <c r="C123" s="18" t="str">
        <f aca="false">IFERROR(INDEX(종합!C$3:C$501,MATCH(ROW()-2,종합!$AC$3:$AC$501,0))&amp;"","")</f>
        <v/>
      </c>
      <c r="D123" s="18" t="str">
        <f aca="false">IFERROR(INDEX(종합!D$3:D$501,MATCH(ROW()-2,종합!$AC$3:$AC$501,0))&amp;"","")</f>
        <v>O</v>
      </c>
      <c r="E123" s="18" t="str">
        <f aca="false">IFERROR(INDEX(종합!E$3:E$501,MATCH(ROW()-2,종합!$AC$3:$AC$501,0))&amp;"","")</f>
        <v>O</v>
      </c>
      <c r="F123" s="18" t="str">
        <f aca="false">IFERROR(INDEX(종합!F$3:F$501,MATCH(ROW()-2,종합!$AC$3:$AC$501,0))&amp;"","")</f>
        <v/>
      </c>
      <c r="G123" s="18" t="str">
        <f aca="false">IFERROR(INDEX(종합!G$3:G$501,MATCH(ROW()-2,종합!$AC$3:$AC$501,0))&amp;"","")</f>
        <v>중소기업</v>
      </c>
      <c r="H123" s="21" t="str">
        <f aca="false">IFERROR(INDEX(종합!H$3:H$501,MATCH(ROW()-2,종합!$AC$3:$AC$501,0))&amp;"","")</f>
        <v>547-87-01358</v>
      </c>
      <c r="I123" s="21" t="str">
        <f aca="false">IFERROR(INDEX(종합!I$3:I$501,MATCH(ROW()-2,종합!$AC$3:$AC$501,0))&amp;"","")</f>
        <v>이수민 </v>
      </c>
      <c r="J123" s="21" t="str">
        <f aca="false">IFERROR(INDEX(종합!J$3:J$501,MATCH(ROW()-2,종합!$AC$3:$AC$501,0))&amp;"","")</f>
        <v>010-4111-9003</v>
      </c>
      <c r="K123" s="21" t="str">
        <f aca="false">IFERROR(INDEX(종합!K$3:K$501,MATCH(ROW()-2,종합!$AC$3:$AC$501,0))&amp;"","")</f>
        <v>waynehills.co</v>
      </c>
      <c r="L123" s="21" t="str">
        <f aca="false">IFERROR(INDEX(종합!L$3:L$501,MATCH(ROW()-2,종합!$AC$3:$AC$501,0))&amp;"","")</f>
        <v>waynehills.ventures@gmail.com</v>
      </c>
      <c r="M123" s="21" t="str">
        <f aca="false">IFERROR(INDEX(종합!M$3:M$501,MATCH(ROW()-2,종합!$AC$3:$AC$501,0))&amp;"","")</f>
        <v>서울 강서구 공항대로 165.원그로브 A동 3층</v>
      </c>
      <c r="N123" s="25" t="str">
        <f aca="false">IFERROR(INDEX(종합!N$3:N$501,MATCH(ROW()-2,종합!$AC$3:$AC$501,0))&amp;"","")</f>
        <v>영상생성 합성 기술</v>
      </c>
      <c r="O123" s="21" t="str">
        <f aca="false">IFERROR(INDEX(종합!O$3:O$501,MATCH(ROW()-2,종합!$AC$3:$AC$501,0))&amp;"","")</f>
        <v>이수민</v>
      </c>
      <c r="P123" s="21" t="str">
        <f aca="false">IFERROR(INDEX(종합!P$3:P$501,MATCH(ROW()-2,종합!$AC$3:$AC$501,0))&amp;"","")</f>
        <v>상동</v>
      </c>
      <c r="Q123" s="21" t="str">
        <f aca="false">IFERROR(INDEX(종합!Q$3:Q$501,MATCH(ROW()-2,종합!$AC$3:$AC$501,0))&amp;"","")</f>
        <v>대표</v>
      </c>
      <c r="R123" s="21" t="str">
        <f aca="false">IFERROR(INDEX(종합!R$3:R$501,MATCH(ROW()-2,종합!$AC$3:$AC$501,0))&amp;"","")</f>
        <v>010-4111-9003</v>
      </c>
      <c r="S123" s="21" t="str">
        <f aca="false">IFERROR(INDEX(종합!S$3:S$501,MATCH(ROW()-2,종합!$AC$3:$AC$501,0))&amp;"","")</f>
        <v>ceo@waynehills.co</v>
      </c>
      <c r="T123" s="21" t="str">
        <f aca="false">IFERROR(INDEX(종합!T$3:T$501,MATCH(ROW()-2,종합!$AC$3:$AC$501,0))&amp;"","")</f>
        <v>010-4111-9003</v>
      </c>
      <c r="U123" s="21" t="str">
        <f aca="false">IFERROR(INDEX(종합!U$3:U$501,MATCH(ROW()-2,종합!$AC$3:$AC$501,0))&amp;"","")</f>
        <v>이수민</v>
      </c>
      <c r="V123" s="21" t="str">
        <f aca="false">IFERROR(INDEX(종합!V$3:V$501,MATCH(ROW()-2,종합!$AC$3:$AC$501,0))&amp;"","")</f>
        <v>상동</v>
      </c>
      <c r="W123" s="21" t="str">
        <f aca="false">IFERROR(INDEX(종합!W$3:W$501,MATCH(ROW()-2,종합!$AC$3:$AC$501,0))&amp;"","")</f>
        <v>대표</v>
      </c>
      <c r="X123" s="21" t="str">
        <f aca="false">IFERROR(INDEX(종합!X$3:X$501,MATCH(ROW()-2,종합!$AC$3:$AC$501,0))&amp;"","")</f>
        <v>010-4111-9003</v>
      </c>
      <c r="Y123" s="21" t="str">
        <f aca="false">IFERROR(INDEX(종합!Y$3:Y$501,MATCH(ROW()-2,종합!$AC$3:$AC$501,0))&amp;"","")</f>
        <v>ceo@waynehills.co</v>
      </c>
      <c r="Z123" s="21" t="str">
        <f aca="false">IFERROR(INDEX(종합!Z$3:Z$501,MATCH(ROW()-2,종합!$AC$3:$AC$501,0))&amp;"","")</f>
        <v>010-4111-9003</v>
      </c>
    </row>
    <row r="124" customFormat="false" ht="22.5" hidden="false" customHeight="true" outlineLevel="0" collapsed="false">
      <c r="A124" s="18" t="n">
        <f aca="false">IF(B124="","",ROW()-2)</f>
        <v>122</v>
      </c>
      <c r="B124" s="18" t="str">
        <f aca="false">IFERROR(INDEX(종합!B$3:B$501,MATCH(ROW()-2,종합!$AC$3:$AC$501,0))&amp;"","")</f>
        <v>(주)테크트리이노베이션</v>
      </c>
      <c r="C124" s="18" t="str">
        <f aca="false">IFERROR(INDEX(종합!C$3:C$501,MATCH(ROW()-2,종합!$AC$3:$AC$501,0))&amp;"","")</f>
        <v/>
      </c>
      <c r="D124" s="18" t="str">
        <f aca="false">IFERROR(INDEX(종합!D$3:D$501,MATCH(ROW()-2,종합!$AC$3:$AC$501,0))&amp;"","")</f>
        <v>O</v>
      </c>
      <c r="E124" s="18" t="str">
        <f aca="false">IFERROR(INDEX(종합!E$3:E$501,MATCH(ROW()-2,종합!$AC$3:$AC$501,0))&amp;"","")</f>
        <v>O</v>
      </c>
      <c r="F124" s="18" t="str">
        <f aca="false">IFERROR(INDEX(종합!F$3:F$501,MATCH(ROW()-2,종합!$AC$3:$AC$501,0))&amp;"","")</f>
        <v/>
      </c>
      <c r="G124" s="18" t="str">
        <f aca="false">IFERROR(INDEX(종합!G$3:G$501,MATCH(ROW()-2,종합!$AC$3:$AC$501,0))&amp;"","")</f>
        <v>중소기업</v>
      </c>
      <c r="H124" s="21" t="str">
        <f aca="false">IFERROR(INDEX(종합!H$3:H$501,MATCH(ROW()-2,종합!$AC$3:$AC$501,0))&amp;"","")</f>
        <v>364-86-01299</v>
      </c>
      <c r="I124" s="21" t="str">
        <f aca="false">IFERROR(INDEX(종합!I$3:I$501,MATCH(ROW()-2,종합!$AC$3:$AC$501,0))&amp;"","")</f>
        <v>최승엽</v>
      </c>
      <c r="J124" s="21" t="str">
        <f aca="false">IFERROR(INDEX(종합!J$3:J$501,MATCH(ROW()-2,종합!$AC$3:$AC$501,0))&amp;"","")</f>
        <v>02-6951-4420</v>
      </c>
      <c r="K124" s="21" t="str">
        <f aca="false">IFERROR(INDEX(종합!K$3:K$501,MATCH(ROW()-2,종합!$AC$3:$AC$501,0))&amp;"","")</f>
        <v>https:/tt-inno.com</v>
      </c>
      <c r="L124" s="21" t="str">
        <f aca="false">IFERROR(INDEX(종합!L$3:L$501,MATCH(ROW()-2,종합!$AC$3:$AC$501,0))&amp;"","")</f>
        <v>mpaperstory@gmail.com</v>
      </c>
      <c r="M124" s="21" t="str">
        <f aca="false">IFERROR(INDEX(종합!M$3:M$501,MATCH(ROW()-2,종합!$AC$3:$AC$501,0))&amp;"","")</f>
        <v>서울시 서초구 반포대로 28길 24 2층</v>
      </c>
      <c r="N124" s="25" t="str">
        <f aca="false">IFERROR(INDEX(종합!N$3:N$501,MATCH(ROW()-2,종합!$AC$3:$AC$501,0))&amp;"","")</f>
        <v>광역 공간 디지털 트윈 및 환경 합성 데이터셋 (AROUND)</v>
      </c>
      <c r="O124" s="21" t="str">
        <f aca="false">IFERROR(INDEX(종합!O$3:O$501,MATCH(ROW()-2,종합!$AC$3:$AC$501,0))&amp;"","")</f>
        <v>최승엽</v>
      </c>
      <c r="P124" s="21" t="str">
        <f aca="false">IFERROR(INDEX(종합!P$3:P$501,MATCH(ROW()-2,종합!$AC$3:$AC$501,0))&amp;"","")</f>
        <v>대표이사</v>
      </c>
      <c r="Q124" s="21" t="str">
        <f aca="false">IFERROR(INDEX(종합!Q$3:Q$501,MATCH(ROW()-2,종합!$AC$3:$AC$501,0))&amp;"","")</f>
        <v>대표이사</v>
      </c>
      <c r="R124" s="21" t="str">
        <f aca="false">IFERROR(INDEX(종합!R$3:R$501,MATCH(ROW()-2,종합!$AC$3:$AC$501,0))&amp;"","")</f>
        <v>010-2271-6136</v>
      </c>
      <c r="S124" s="21" t="str">
        <f aca="false">IFERROR(INDEX(종합!S$3:S$501,MATCH(ROW()-2,종합!$AC$3:$AC$501,0))&amp;"","")</f>
        <v>csyrocker@naver.com</v>
      </c>
      <c r="T124" s="21" t="str">
        <f aca="false">IFERROR(INDEX(종합!T$3:T$501,MATCH(ROW()-2,종합!$AC$3:$AC$501,0))&amp;"","")</f>
        <v>010-2271-6136</v>
      </c>
      <c r="U124" s="21" t="str">
        <f aca="false">IFERROR(INDEX(종합!U$3:U$501,MATCH(ROW()-2,종합!$AC$3:$AC$501,0))&amp;"","")</f>
        <v>최승엽</v>
      </c>
      <c r="V124" s="21" t="str">
        <f aca="false">IFERROR(INDEX(종합!V$3:V$501,MATCH(ROW()-2,종합!$AC$3:$AC$501,0))&amp;"","")</f>
        <v>대표이사</v>
      </c>
      <c r="W124" s="21" t="str">
        <f aca="false">IFERROR(INDEX(종합!W$3:W$501,MATCH(ROW()-2,종합!$AC$3:$AC$501,0))&amp;"","")</f>
        <v>대표이사</v>
      </c>
      <c r="X124" s="21" t="str">
        <f aca="false">IFERROR(INDEX(종합!X$3:X$501,MATCH(ROW()-2,종합!$AC$3:$AC$501,0))&amp;"","")</f>
        <v>010-2271-6136</v>
      </c>
      <c r="Y124" s="21" t="str">
        <f aca="false">IFERROR(INDEX(종합!Y$3:Y$501,MATCH(ROW()-2,종합!$AC$3:$AC$501,0))&amp;"","")</f>
        <v>csyrocker@naver.com</v>
      </c>
      <c r="Z124" s="21" t="str">
        <f aca="false">IFERROR(INDEX(종합!Z$3:Z$501,MATCH(ROW()-2,종합!$AC$3:$AC$501,0))&amp;"","")</f>
        <v>010-2271-6136</v>
      </c>
    </row>
    <row r="125" customFormat="false" ht="33.75" hidden="false" customHeight="true" outlineLevel="0" collapsed="false">
      <c r="A125" s="18" t="n">
        <f aca="false">IF(B125="","",ROW()-2)</f>
        <v>123</v>
      </c>
      <c r="B125" s="18" t="str">
        <f aca="false">IFERROR(INDEX(종합!B$3:B$501,MATCH(ROW()-2,종합!$AC$3:$AC$501,0))&amp;"","")</f>
        <v>에스큐아이소프트(주)</v>
      </c>
      <c r="C125" s="18" t="str">
        <f aca="false">IFERROR(INDEX(종합!C$3:C$501,MATCH(ROW()-2,종합!$AC$3:$AC$501,0))&amp;"","")</f>
        <v>O</v>
      </c>
      <c r="D125" s="18" t="str">
        <f aca="false">IFERROR(INDEX(종합!D$3:D$501,MATCH(ROW()-2,종합!$AC$3:$AC$501,0))&amp;"","")</f>
        <v>O</v>
      </c>
      <c r="E125" s="18" t="str">
        <f aca="false">IFERROR(INDEX(종합!E$3:E$501,MATCH(ROW()-2,종합!$AC$3:$AC$501,0))&amp;"","")</f>
        <v>O</v>
      </c>
      <c r="F125" s="18" t="str">
        <f aca="false">IFERROR(INDEX(종합!F$3:F$501,MATCH(ROW()-2,종합!$AC$3:$AC$501,0))&amp;"","")</f>
        <v/>
      </c>
      <c r="G125" s="18" t="str">
        <f aca="false">IFERROR(INDEX(종합!G$3:G$501,MATCH(ROW()-2,종합!$AC$3:$AC$501,0))&amp;"","")</f>
        <v>중소기업</v>
      </c>
      <c r="H125" s="21" t="str">
        <f aca="false">IFERROR(INDEX(종합!H$3:H$501,MATCH(ROW()-2,종합!$AC$3:$AC$501,0))&amp;"","")</f>
        <v>107-81-74307</v>
      </c>
      <c r="I125" s="21" t="str">
        <f aca="false">IFERROR(INDEX(종합!I$3:I$501,MATCH(ROW()-2,종합!$AC$3:$AC$501,0))&amp;"","")</f>
        <v>조영준, 현재호</v>
      </c>
      <c r="J125" s="21" t="str">
        <f aca="false">IFERROR(INDEX(종합!J$3:J$501,MATCH(ROW()-2,종합!$AC$3:$AC$501,0))&amp;"","")</f>
        <v>02-2284-3333</v>
      </c>
      <c r="K125" s="21" t="str">
        <f aca="false">IFERROR(INDEX(종합!K$3:K$501,MATCH(ROW()-2,종합!$AC$3:$AC$501,0))&amp;"","")</f>
        <v>sqisoft.com</v>
      </c>
      <c r="L125" s="21" t="str">
        <f aca="false">IFERROR(INDEX(종합!L$3:L$501,MATCH(ROW()-2,종합!$AC$3:$AC$501,0))&amp;"","")</f>
        <v>my.you@sqisoft.com</v>
      </c>
      <c r="M125" s="21" t="str">
        <f aca="false">IFERROR(INDEX(종합!M$3:M$501,MATCH(ROW()-2,종합!$AC$3:$AC$501,0))&amp;"","")</f>
        <v>서울시 영등포구 선유로3길 10, 13층</v>
      </c>
      <c r="N125" s="25" t="str">
        <f aca="false">IFERROR(INDEX(종합!N$3:N$501,MATCH(ROW()-2,종합!$AC$3:$AC$501,0))&amp;"","")</f>
        <v>대화형 데이터 분석 서비스, 법률정보 제공 서비스, 의료 및 헬스케어 서비스</v>
      </c>
      <c r="O125" s="21" t="str">
        <f aca="false">IFERROR(INDEX(종합!O$3:O$501,MATCH(ROW()-2,종합!$AC$3:$AC$501,0))&amp;"","")</f>
        <v>송정학</v>
      </c>
      <c r="P125" s="21" t="str">
        <f aca="false">IFERROR(INDEX(종합!P$3:P$501,MATCH(ROW()-2,종합!$AC$3:$AC$501,0))&amp;"","")</f>
        <v>GX사업본부</v>
      </c>
      <c r="Q125" s="21" t="str">
        <f aca="false">IFERROR(INDEX(종합!Q$3:Q$501,MATCH(ROW()-2,종합!$AC$3:$AC$501,0))&amp;"","")</f>
        <v>전무</v>
      </c>
      <c r="R125" s="21" t="str">
        <f aca="false">IFERROR(INDEX(종합!R$3:R$501,MATCH(ROW()-2,종합!$AC$3:$AC$501,0))&amp;"","")</f>
        <v>031-795-0300</v>
      </c>
      <c r="S125" s="21" t="str">
        <f aca="false">IFERROR(INDEX(종합!S$3:S$501,MATCH(ROW()-2,종합!$AC$3:$AC$501,0))&amp;"","")</f>
        <v>asone@sqisoft.com</v>
      </c>
      <c r="T125" s="21" t="str">
        <f aca="false">IFERROR(INDEX(종합!T$3:T$501,MATCH(ROW()-2,종합!$AC$3:$AC$501,0))&amp;"","")</f>
        <v>010-2723-9814</v>
      </c>
      <c r="U125" s="21" t="str">
        <f aca="false">IFERROR(INDEX(종합!U$3:U$501,MATCH(ROW()-2,종합!$AC$3:$AC$501,0))&amp;"","")</f>
        <v>송정학</v>
      </c>
      <c r="V125" s="21" t="str">
        <f aca="false">IFERROR(INDEX(종합!V$3:V$501,MATCH(ROW()-2,종합!$AC$3:$AC$501,0))&amp;"","")</f>
        <v>GX사업본부</v>
      </c>
      <c r="W125" s="21" t="str">
        <f aca="false">IFERROR(INDEX(종합!W$3:W$501,MATCH(ROW()-2,종합!$AC$3:$AC$501,0))&amp;"","")</f>
        <v>전무</v>
      </c>
      <c r="X125" s="21" t="str">
        <f aca="false">IFERROR(INDEX(종합!X$3:X$501,MATCH(ROW()-2,종합!$AC$3:$AC$501,0))&amp;"","")</f>
        <v>031-795-0300</v>
      </c>
      <c r="Y125" s="21" t="str">
        <f aca="false">IFERROR(INDEX(종합!Y$3:Y$501,MATCH(ROW()-2,종합!$AC$3:$AC$501,0))&amp;"","")</f>
        <v>asone@sqisoft.com</v>
      </c>
      <c r="Z125" s="21" t="str">
        <f aca="false">IFERROR(INDEX(종합!Z$3:Z$501,MATCH(ROW()-2,종합!$AC$3:$AC$501,0))&amp;"","")</f>
        <v>010-2723-9814</v>
      </c>
    </row>
    <row r="126" customFormat="false" ht="33.75" hidden="false" customHeight="true" outlineLevel="0" collapsed="false">
      <c r="A126" s="18" t="n">
        <f aca="false">IF(B126="","",ROW()-2)</f>
        <v>124</v>
      </c>
      <c r="B126" s="18" t="str">
        <f aca="false">IFERROR(INDEX(종합!B$3:B$501,MATCH(ROW()-2,종합!$AC$3:$AC$501,0))&amp;"","")</f>
        <v>주식회사 디에이블</v>
      </c>
      <c r="C126" s="18" t="str">
        <f aca="false">IFERROR(INDEX(종합!C$3:C$501,MATCH(ROW()-2,종합!$AC$3:$AC$501,0))&amp;"","")</f>
        <v/>
      </c>
      <c r="D126" s="18" t="str">
        <f aca="false">IFERROR(INDEX(종합!D$3:D$501,MATCH(ROW()-2,종합!$AC$3:$AC$501,0))&amp;"","")</f>
        <v>O</v>
      </c>
      <c r="E126" s="18" t="str">
        <f aca="false">IFERROR(INDEX(종합!E$3:E$501,MATCH(ROW()-2,종합!$AC$3:$AC$501,0))&amp;"","")</f>
        <v>O</v>
      </c>
      <c r="F126" s="18" t="str">
        <f aca="false">IFERROR(INDEX(종합!F$3:F$501,MATCH(ROW()-2,종합!$AC$3:$AC$501,0))&amp;"","")</f>
        <v/>
      </c>
      <c r="G126" s="18" t="str">
        <f aca="false">IFERROR(INDEX(종합!G$3:G$501,MATCH(ROW()-2,종합!$AC$3:$AC$501,0))&amp;"","")</f>
        <v>중소기업</v>
      </c>
      <c r="H126" s="21" t="str">
        <f aca="false">IFERROR(INDEX(종합!H$3:H$501,MATCH(ROW()-2,종합!$AC$3:$AC$501,0))&amp;"","")</f>
        <v>122-87-02065</v>
      </c>
      <c r="I126" s="21" t="str">
        <f aca="false">IFERROR(INDEX(종합!I$3:I$501,MATCH(ROW()-2,종합!$AC$3:$AC$501,0))&amp;"","")</f>
        <v>소지영</v>
      </c>
      <c r="J126" s="21" t="str">
        <f aca="false">IFERROR(INDEX(종합!J$3:J$501,MATCH(ROW()-2,종합!$AC$3:$AC$501,0))&amp;"","")</f>
        <v>010-2065-7122</v>
      </c>
      <c r="K126" s="21" t="str">
        <f aca="false">IFERROR(INDEX(종합!K$3:K$501,MATCH(ROW()-2,종합!$AC$3:$AC$501,0))&amp;"","")</f>
        <v>https://aistudio.aivy.kr/</v>
      </c>
      <c r="L126" s="21" t="str">
        <f aca="false">IFERROR(INDEX(종합!L$3:L$501,MATCH(ROW()-2,종합!$AC$3:$AC$501,0))&amp;"","")</f>
        <v>healive.soh@gmail.com</v>
      </c>
      <c r="M126" s="21" t="str">
        <f aca="false">IFERROR(INDEX(종합!M$3:M$501,MATCH(ROW()-2,종합!$AC$3:$AC$501,0))&amp;"","")</f>
        <v>경기도 하남시 검단산로 239, 403호</v>
      </c>
      <c r="N126" s="25" t="str">
        <f aca="false">IFERROR(INDEX(종합!N$3:N$501,MATCH(ROW()-2,종합!$AC$3:$AC$501,0))&amp;"","")</f>
        <v>AI 기반 자동 서비스 생성 솔루션 (헬스케어, 에듀테크, 마케팅)</v>
      </c>
      <c r="O126" s="21" t="str">
        <f aca="false">IFERROR(INDEX(종합!O$3:O$501,MATCH(ROW()-2,종합!$AC$3:$AC$501,0))&amp;"","")</f>
        <v>소지영</v>
      </c>
      <c r="P126" s="21" t="str">
        <f aca="false">IFERROR(INDEX(종합!P$3:P$501,MATCH(ROW()-2,종합!$AC$3:$AC$501,0))&amp;"","")</f>
        <v>기술사업화부</v>
      </c>
      <c r="Q126" s="21" t="str">
        <f aca="false">IFERROR(INDEX(종합!Q$3:Q$501,MATCH(ROW()-2,종합!$AC$3:$AC$501,0))&amp;"","")</f>
        <v>대표</v>
      </c>
      <c r="R126" s="21" t="str">
        <f aca="false">IFERROR(INDEX(종합!R$3:R$501,MATCH(ROW()-2,종합!$AC$3:$AC$501,0))&amp;"","")</f>
        <v>010-2065-7122</v>
      </c>
      <c r="S126" s="21" t="str">
        <f aca="false">IFERROR(INDEX(종합!S$3:S$501,MATCH(ROW()-2,종합!$AC$3:$AC$501,0))&amp;"","")</f>
        <v>healive.soh@gmail.com</v>
      </c>
      <c r="T126" s="21" t="str">
        <f aca="false">IFERROR(INDEX(종합!T$3:T$501,MATCH(ROW()-2,종합!$AC$3:$AC$501,0))&amp;"","")</f>
        <v>010-2065-7122</v>
      </c>
      <c r="U126" s="21" t="str">
        <f aca="false">IFERROR(INDEX(종합!U$3:U$501,MATCH(ROW()-2,종합!$AC$3:$AC$501,0))&amp;"","")</f>
        <v>소지영</v>
      </c>
      <c r="V126" s="21" t="str">
        <f aca="false">IFERROR(INDEX(종합!V$3:V$501,MATCH(ROW()-2,종합!$AC$3:$AC$501,0))&amp;"","")</f>
        <v>기술사업화부</v>
      </c>
      <c r="W126" s="21" t="str">
        <f aca="false">IFERROR(INDEX(종합!W$3:W$501,MATCH(ROW()-2,종합!$AC$3:$AC$501,0))&amp;"","")</f>
        <v>대표</v>
      </c>
      <c r="X126" s="21" t="str">
        <f aca="false">IFERROR(INDEX(종합!X$3:X$501,MATCH(ROW()-2,종합!$AC$3:$AC$501,0))&amp;"","")</f>
        <v>010-2065-7122</v>
      </c>
      <c r="Y126" s="21" t="str">
        <f aca="false">IFERROR(INDEX(종합!Y$3:Y$501,MATCH(ROW()-2,종합!$AC$3:$AC$501,0))&amp;"","")</f>
        <v>healive.soh@gmail.com</v>
      </c>
      <c r="Z126" s="21" t="str">
        <f aca="false">IFERROR(INDEX(종합!Z$3:Z$501,MATCH(ROW()-2,종합!$AC$3:$AC$501,0))&amp;"","")</f>
        <v>010-2065-7122</v>
      </c>
    </row>
    <row r="127" customFormat="false" ht="22.5" hidden="false" customHeight="true" outlineLevel="0" collapsed="false">
      <c r="A127" s="18" t="n">
        <f aca="false">IF(B127="","",ROW()-2)</f>
        <v>125</v>
      </c>
      <c r="B127" s="18" t="str">
        <f aca="false">IFERROR(INDEX(종합!B$3:B$501,MATCH(ROW()-2,종합!$AC$3:$AC$501,0))&amp;"","")</f>
        <v>주식회사 포티투마루</v>
      </c>
      <c r="C127" s="18" t="str">
        <f aca="false">IFERROR(INDEX(종합!C$3:C$501,MATCH(ROW()-2,종합!$AC$3:$AC$501,0))&amp;"","")</f>
        <v/>
      </c>
      <c r="D127" s="18" t="str">
        <f aca="false">IFERROR(INDEX(종합!D$3:D$501,MATCH(ROW()-2,종합!$AC$3:$AC$501,0))&amp;"","")</f>
        <v>O</v>
      </c>
      <c r="E127" s="18" t="str">
        <f aca="false">IFERROR(INDEX(종합!E$3:E$501,MATCH(ROW()-2,종합!$AC$3:$AC$501,0))&amp;"","")</f>
        <v>O</v>
      </c>
      <c r="F127" s="18" t="str">
        <f aca="false">IFERROR(INDEX(종합!F$3:F$501,MATCH(ROW()-2,종합!$AC$3:$AC$501,0))&amp;"","")</f>
        <v/>
      </c>
      <c r="G127" s="18" t="str">
        <f aca="false">IFERROR(INDEX(종합!G$3:G$501,MATCH(ROW()-2,종합!$AC$3:$AC$501,0))&amp;"","")</f>
        <v>중소기업</v>
      </c>
      <c r="H127" s="21" t="str">
        <f aca="false">IFERROR(INDEX(종합!H$3:H$501,MATCH(ROW()-2,종합!$AC$3:$AC$501,0))&amp;"","")</f>
        <v>562-88-00151</v>
      </c>
      <c r="I127" s="21" t="str">
        <f aca="false">IFERROR(INDEX(종합!I$3:I$501,MATCH(ROW()-2,종합!$AC$3:$AC$501,0))&amp;"","")</f>
        <v>김동환</v>
      </c>
      <c r="J127" s="21" t="str">
        <f aca="false">IFERROR(INDEX(종합!J$3:J$501,MATCH(ROW()-2,종합!$AC$3:$AC$501,0))&amp;"","")</f>
        <v>02-6952-9201</v>
      </c>
      <c r="K127" s="21" t="str">
        <f aca="false">IFERROR(INDEX(종합!K$3:K$501,MATCH(ROW()-2,종합!$AC$3:$AC$501,0))&amp;"","")</f>
        <v>www.42maur.ai</v>
      </c>
      <c r="L127" s="21" t="str">
        <f aca="false">IFERROR(INDEX(종합!L$3:L$501,MATCH(ROW()-2,종합!$AC$3:$AC$501,0))&amp;"","")</f>
        <v>gilje@42maru.ai</v>
      </c>
      <c r="M127" s="21" t="str">
        <f aca="false">IFERROR(INDEX(종합!M$3:M$501,MATCH(ROW()-2,종합!$AC$3:$AC$501,0))&amp;"","")</f>
        <v>서울시 서초구 신반포로 310</v>
      </c>
      <c r="N127" s="25" t="str">
        <f aca="false">IFERROR(INDEX(종합!N$3:N$501,MATCH(ROW()-2,종합!$AC$3:$AC$501,0))&amp;"","")</f>
        <v>다양한 분야에 특화된 산업용 Agentic AI 솔루션</v>
      </c>
      <c r="O127" s="21" t="str">
        <f aca="false">IFERROR(INDEX(종합!O$3:O$501,MATCH(ROW()-2,종합!$AC$3:$AC$501,0))&amp;"","")</f>
        <v>김동환</v>
      </c>
      <c r="P127" s="21" t="str">
        <f aca="false">IFERROR(INDEX(종합!P$3:P$501,MATCH(ROW()-2,종합!$AC$3:$AC$501,0))&amp;"","")</f>
        <v>대표이사</v>
      </c>
      <c r="Q127" s="21" t="str">
        <f aca="false">IFERROR(INDEX(종합!Q$3:Q$501,MATCH(ROW()-2,종합!$AC$3:$AC$501,0))&amp;"","")</f>
        <v>대표이사</v>
      </c>
      <c r="R127" s="21" t="str">
        <f aca="false">IFERROR(INDEX(종합!R$3:R$501,MATCH(ROW()-2,종합!$AC$3:$AC$501,0))&amp;"","")</f>
        <v>02-6952-9201</v>
      </c>
      <c r="S127" s="21" t="str">
        <f aca="false">IFERROR(INDEX(종합!S$3:S$501,MATCH(ROW()-2,종합!$AC$3:$AC$501,0))&amp;"","")</f>
        <v>scissors@42maru.ai</v>
      </c>
      <c r="T127" s="21" t="str">
        <f aca="false">IFERROR(INDEX(종합!T$3:T$501,MATCH(ROW()-2,종합!$AC$3:$AC$501,0))&amp;"","")</f>
        <v>010-4569-7576</v>
      </c>
      <c r="U127" s="21" t="str">
        <f aca="false">IFERROR(INDEX(종합!U$3:U$501,MATCH(ROW()-2,종합!$AC$3:$AC$501,0))&amp;"","")</f>
        <v>김동환</v>
      </c>
      <c r="V127" s="21" t="str">
        <f aca="false">IFERROR(INDEX(종합!V$3:V$501,MATCH(ROW()-2,종합!$AC$3:$AC$501,0))&amp;"","")</f>
        <v>대표이사</v>
      </c>
      <c r="W127" s="21" t="str">
        <f aca="false">IFERROR(INDEX(종합!W$3:W$501,MATCH(ROW()-2,종합!$AC$3:$AC$501,0))&amp;"","")</f>
        <v>대표이사</v>
      </c>
      <c r="X127" s="21" t="str">
        <f aca="false">IFERROR(INDEX(종합!X$3:X$501,MATCH(ROW()-2,종합!$AC$3:$AC$501,0))&amp;"","")</f>
        <v>02-6952-9201</v>
      </c>
      <c r="Y127" s="21" t="str">
        <f aca="false">IFERROR(INDEX(종합!Y$3:Y$501,MATCH(ROW()-2,종합!$AC$3:$AC$501,0))&amp;"","")</f>
        <v>scissors@42maru.ai</v>
      </c>
      <c r="Z127" s="21" t="str">
        <f aca="false">IFERROR(INDEX(종합!Z$3:Z$501,MATCH(ROW()-2,종합!$AC$3:$AC$501,0))&amp;"","")</f>
        <v>010-4569-7576</v>
      </c>
    </row>
    <row r="128" customFormat="false" ht="47.25" hidden="false" customHeight="true" outlineLevel="0" collapsed="false">
      <c r="A128" s="18" t="n">
        <f aca="false">IF(B128="","",ROW()-2)</f>
        <v>126</v>
      </c>
      <c r="B128" s="18" t="str">
        <f aca="false">IFERROR(INDEX(종합!B$3:B$501,MATCH(ROW()-2,종합!$AC$3:$AC$501,0))&amp;"","")</f>
        <v>나이스지니데이타(주)</v>
      </c>
      <c r="C128" s="18" t="str">
        <f aca="false">IFERROR(INDEX(종합!C$3:C$501,MATCH(ROW()-2,종합!$AC$3:$AC$501,0))&amp;"","")</f>
        <v>O</v>
      </c>
      <c r="D128" s="18" t="str">
        <f aca="false">IFERROR(INDEX(종합!D$3:D$501,MATCH(ROW()-2,종합!$AC$3:$AC$501,0))&amp;"","")</f>
        <v>O</v>
      </c>
      <c r="E128" s="18" t="str">
        <f aca="false">IFERROR(INDEX(종합!E$3:E$501,MATCH(ROW()-2,종합!$AC$3:$AC$501,0))&amp;"","")</f>
        <v>O</v>
      </c>
      <c r="F128" s="18" t="str">
        <f aca="false">IFERROR(INDEX(종합!F$3:F$501,MATCH(ROW()-2,종합!$AC$3:$AC$501,0))&amp;"","")</f>
        <v/>
      </c>
      <c r="G128" s="18" t="str">
        <f aca="false">IFERROR(INDEX(종합!G$3:G$501,MATCH(ROW()-2,종합!$AC$3:$AC$501,0))&amp;"","")</f>
        <v>중견기업</v>
      </c>
      <c r="H128" s="21" t="str">
        <f aca="false">IFERROR(INDEX(종합!H$3:H$501,MATCH(ROW()-2,종합!$AC$3:$AC$501,0))&amp;"","")</f>
        <v>216-81-16917</v>
      </c>
      <c r="I128" s="21" t="str">
        <f aca="false">IFERROR(INDEX(종합!I$3:I$501,MATCH(ROW()-2,종합!$AC$3:$AC$501,0))&amp;"","")</f>
        <v>김민수</v>
      </c>
      <c r="J128" s="21" t="str">
        <f aca="false">IFERROR(INDEX(종합!J$3:J$501,MATCH(ROW()-2,종합!$AC$3:$AC$501,0))&amp;"","")</f>
        <v>02-3215-2800</v>
      </c>
      <c r="K128" s="21" t="str">
        <f aca="false">IFERROR(INDEX(종합!K$3:K$501,MATCH(ROW()-2,종합!$AC$3:$AC$501,0))&amp;"","")</f>
        <v>www.nicezinidata.com</v>
      </c>
      <c r="L128" s="21" t="str">
        <f aca="false">IFERROR(INDEX(종합!L$3:L$501,MATCH(ROW()-2,종합!$AC$3:$AC$501,0))&amp;"","")</f>
        <v>nicezinidata.st@gmail.com</v>
      </c>
      <c r="M128" s="21" t="str">
        <f aca="false">IFERROR(INDEX(종합!M$3:M$501,MATCH(ROW()-2,종합!$AC$3:$AC$501,0))&amp;"","")</f>
        <v>서울특별시 영등포구 은행로 30, 7층(신관)</v>
      </c>
      <c r="N128" s="25" t="str">
        <f aca="false">IFERROR(INDEX(종합!N$3:N$501,MATCH(ROW()-2,종합!$AC$3:$AC$501,0))&amp;"","")</f>
        <v>상권분석 AI 챗봇 서비스, 소상공인 마케팅 AI 챗봇 서비스, 검색광고 키워드 AI 분석 솔루션, AI 학습데이터 생성/검증 솔루션</v>
      </c>
      <c r="O128" s="21" t="str">
        <f aca="false">IFERROR(INDEX(종합!O$3:O$501,MATCH(ROW()-2,종합!$AC$3:$AC$501,0))&amp;"","")</f>
        <v>송재익</v>
      </c>
      <c r="P128" s="21" t="str">
        <f aca="false">IFERROR(INDEX(종합!P$3:P$501,MATCH(ROW()-2,종합!$AC$3:$AC$501,0))&amp;"","")</f>
        <v>데이터사업본부 전략사업실</v>
      </c>
      <c r="Q128" s="21" t="str">
        <f aca="false">IFERROR(INDEX(종합!Q$3:Q$501,MATCH(ROW()-2,종합!$AC$3:$AC$501,0))&amp;"","")</f>
        <v>실장</v>
      </c>
      <c r="R128" s="21" t="str">
        <f aca="false">IFERROR(INDEX(종합!R$3:R$501,MATCH(ROW()-2,종합!$AC$3:$AC$501,0))&amp;"","")</f>
        <v>02-3215-2880</v>
      </c>
      <c r="S128" s="21" t="str">
        <f aca="false">IFERROR(INDEX(종합!S$3:S$501,MATCH(ROW()-2,종합!$AC$3:$AC$501,0))&amp;"","")</f>
        <v>lovesong@nice.co.kr</v>
      </c>
      <c r="T128" s="21" t="str">
        <f aca="false">IFERROR(INDEX(종합!T$3:T$501,MATCH(ROW()-2,종합!$AC$3:$AC$501,0))&amp;"","")</f>
        <v>010-3800-7742</v>
      </c>
      <c r="U128" s="21" t="str">
        <f aca="false">IFERROR(INDEX(종합!U$3:U$501,MATCH(ROW()-2,종합!$AC$3:$AC$501,0))&amp;"","")</f>
        <v>송재익</v>
      </c>
      <c r="V128" s="21" t="str">
        <f aca="false">IFERROR(INDEX(종합!V$3:V$501,MATCH(ROW()-2,종합!$AC$3:$AC$501,0))&amp;"","")</f>
        <v>데이터사업본부 전략사업실</v>
      </c>
      <c r="W128" s="21" t="str">
        <f aca="false">IFERROR(INDEX(종합!W$3:W$501,MATCH(ROW()-2,종합!$AC$3:$AC$501,0))&amp;"","")</f>
        <v>실장</v>
      </c>
      <c r="X128" s="21" t="str">
        <f aca="false">IFERROR(INDEX(종합!X$3:X$501,MATCH(ROW()-2,종합!$AC$3:$AC$501,0))&amp;"","")</f>
        <v>02-3215-2880</v>
      </c>
      <c r="Y128" s="21" t="str">
        <f aca="false">IFERROR(INDEX(종합!Y$3:Y$501,MATCH(ROW()-2,종합!$AC$3:$AC$501,0))&amp;"","")</f>
        <v>lovesong@nice.co.kr</v>
      </c>
      <c r="Z128" s="21" t="str">
        <f aca="false">IFERROR(INDEX(종합!Z$3:Z$501,MATCH(ROW()-2,종합!$AC$3:$AC$501,0))&amp;"","")</f>
        <v>010-3800-7742</v>
      </c>
    </row>
    <row r="129" customFormat="false" ht="33.75" hidden="false" customHeight="true" outlineLevel="0" collapsed="false">
      <c r="A129" s="18" t="n">
        <f aca="false">IF(B129="","",ROW()-2)</f>
        <v>127</v>
      </c>
      <c r="B129" s="18" t="str">
        <f aca="false">IFERROR(INDEX(종합!B$3:B$501,MATCH(ROW()-2,종합!$AC$3:$AC$501,0))&amp;"","")</f>
        <v>(주)바이브컴퍼니</v>
      </c>
      <c r="C129" s="18" t="str">
        <f aca="false">IFERROR(INDEX(종합!C$3:C$501,MATCH(ROW()-2,종합!$AC$3:$AC$501,0))&amp;"","")</f>
        <v/>
      </c>
      <c r="D129" s="18" t="str">
        <f aca="false">IFERROR(INDEX(종합!D$3:D$501,MATCH(ROW()-2,종합!$AC$3:$AC$501,0))&amp;"","")</f>
        <v>O</v>
      </c>
      <c r="E129" s="18" t="str">
        <f aca="false">IFERROR(INDEX(종합!E$3:E$501,MATCH(ROW()-2,종합!$AC$3:$AC$501,0))&amp;"","")</f>
        <v>O</v>
      </c>
      <c r="F129" s="18" t="str">
        <f aca="false">IFERROR(INDEX(종합!F$3:F$501,MATCH(ROW()-2,종합!$AC$3:$AC$501,0))&amp;"","")</f>
        <v/>
      </c>
      <c r="G129" s="18" t="str">
        <f aca="false">IFERROR(INDEX(종합!G$3:G$501,MATCH(ROW()-2,종합!$AC$3:$AC$501,0))&amp;"","")</f>
        <v>중소기업</v>
      </c>
      <c r="H129" s="21" t="str">
        <f aca="false">IFERROR(INDEX(종합!H$3:H$501,MATCH(ROW()-2,종합!$AC$3:$AC$501,0))&amp;"","")</f>
        <v>120-86-08334</v>
      </c>
      <c r="I129" s="21" t="str">
        <f aca="false">IFERROR(INDEX(종합!I$3:I$501,MATCH(ROW()-2,종합!$AC$3:$AC$501,0))&amp;"","")</f>
        <v>김경서</v>
      </c>
      <c r="J129" s="21" t="str">
        <f aca="false">IFERROR(INDEX(종합!J$3:J$501,MATCH(ROW()-2,종합!$AC$3:$AC$501,0))&amp;"","")</f>
        <v>02-565-0531</v>
      </c>
      <c r="K129" s="21" t="str">
        <f aca="false">IFERROR(INDEX(종합!K$3:K$501,MATCH(ROW()-2,종합!$AC$3:$AC$501,0))&amp;"","")</f>
        <v>https://www.vaiv.kr/</v>
      </c>
      <c r="L129" s="21" t="str">
        <f aca="false">IFERROR(INDEX(종합!L$3:L$501,MATCH(ROW()-2,종합!$AC$3:$AC$501,0))&amp;"","")</f>
        <v/>
      </c>
      <c r="M129" s="21" t="str">
        <f aca="false">IFERROR(INDEX(종합!M$3:M$501,MATCH(ROW()-2,종합!$AC$3:$AC$501,0))&amp;"","")</f>
        <v>서울특별시 용산구 독서당로 97</v>
      </c>
      <c r="N129" s="25" t="str">
        <f aca="false">IFERROR(INDEX(종합!N$3:N$501,MATCH(ROW()-2,종합!$AC$3:$AC$501,0))&amp;"","")</f>
        <v>MCP 서버 개발, AI agent 빌더, AI 검색, AI 챗봇, AI KMS 등 다수 보유</v>
      </c>
      <c r="O129" s="21" t="str">
        <f aca="false">IFERROR(INDEX(종합!O$3:O$501,MATCH(ROW()-2,종합!$AC$3:$AC$501,0))&amp;"","")</f>
        <v>이호</v>
      </c>
      <c r="P129" s="21" t="str">
        <f aca="false">IFERROR(INDEX(종합!P$3:P$501,MATCH(ROW()-2,종합!$AC$3:$AC$501,0))&amp;"","")</f>
        <v>AI데이터부문</v>
      </c>
      <c r="Q129" s="21" t="str">
        <f aca="false">IFERROR(INDEX(종합!Q$3:Q$501,MATCH(ROW()-2,종합!$AC$3:$AC$501,0))&amp;"","")</f>
        <v>전무/부문장</v>
      </c>
      <c r="R129" s="21" t="str">
        <f aca="false">IFERROR(INDEX(종합!R$3:R$501,MATCH(ROW()-2,종합!$AC$3:$AC$501,0))&amp;"","")</f>
        <v>02-565-0531</v>
      </c>
      <c r="S129" s="21" t="str">
        <f aca="false">IFERROR(INDEX(종합!S$3:S$501,MATCH(ROW()-2,종합!$AC$3:$AC$501,0))&amp;"","")</f>
        <v>leeho@vaiv.kr</v>
      </c>
      <c r="T129" s="21" t="str">
        <f aca="false">IFERROR(INDEX(종합!T$3:T$501,MATCH(ROW()-2,종합!$AC$3:$AC$501,0))&amp;"","")</f>
        <v>010-2765-9771</v>
      </c>
      <c r="U129" s="21" t="str">
        <f aca="false">IFERROR(INDEX(종합!U$3:U$501,MATCH(ROW()-2,종합!$AC$3:$AC$501,0))&amp;"","")</f>
        <v>이호</v>
      </c>
      <c r="V129" s="21" t="str">
        <f aca="false">IFERROR(INDEX(종합!V$3:V$501,MATCH(ROW()-2,종합!$AC$3:$AC$501,0))&amp;"","")</f>
        <v>AI데이터부문</v>
      </c>
      <c r="W129" s="21" t="str">
        <f aca="false">IFERROR(INDEX(종합!W$3:W$501,MATCH(ROW()-2,종합!$AC$3:$AC$501,0))&amp;"","")</f>
        <v>전무/부문장</v>
      </c>
      <c r="X129" s="21" t="str">
        <f aca="false">IFERROR(INDEX(종합!X$3:X$501,MATCH(ROW()-2,종합!$AC$3:$AC$501,0))&amp;"","")</f>
        <v>02-565-0531</v>
      </c>
      <c r="Y129" s="21" t="str">
        <f aca="false">IFERROR(INDEX(종합!Y$3:Y$501,MATCH(ROW()-2,종합!$AC$3:$AC$501,0))&amp;"","")</f>
        <v>leeho@vaiv.kr</v>
      </c>
      <c r="Z129" s="21" t="str">
        <f aca="false">IFERROR(INDEX(종합!Z$3:Z$501,MATCH(ROW()-2,종합!$AC$3:$AC$501,0))&amp;"","")</f>
        <v>010-2765-9771</v>
      </c>
    </row>
    <row r="130" customFormat="false" ht="16.5" hidden="false" customHeight="true" outlineLevel="0" collapsed="false">
      <c r="A130" s="18" t="str">
        <f aca="false">IF(B130="","",ROW()-2)</f>
        <v/>
      </c>
      <c r="B130" s="18" t="str">
        <f aca="false">IFERROR(INDEX(종합!B$3:B$501,MATCH(ROW()-2,종합!$AC$3:$AC$501,0))&amp;"","")</f>
        <v/>
      </c>
      <c r="C130" s="18" t="str">
        <f aca="false">IFERROR(INDEX(종합!C$3:C$501,MATCH(ROW()-2,종합!$AC$3:$AC$501,0))&amp;"","")</f>
        <v/>
      </c>
      <c r="D130" s="18" t="str">
        <f aca="false">IFERROR(INDEX(종합!D$3:D$501,MATCH(ROW()-2,종합!$AC$3:$AC$501,0))&amp;"","")</f>
        <v/>
      </c>
      <c r="E130" s="18" t="str">
        <f aca="false">IFERROR(INDEX(종합!E$3:E$501,MATCH(ROW()-2,종합!$AC$3:$AC$501,0))&amp;"","")</f>
        <v/>
      </c>
      <c r="F130" s="18" t="str">
        <f aca="false">IFERROR(INDEX(종합!F$3:F$501,MATCH(ROW()-2,종합!$AC$3:$AC$501,0))&amp;"","")</f>
        <v/>
      </c>
      <c r="G130" s="18" t="str">
        <f aca="false">IFERROR(INDEX(종합!G$3:G$501,MATCH(ROW()-2,종합!$AC$3:$AC$501,0))&amp;"","")</f>
        <v/>
      </c>
      <c r="H130" s="21" t="str">
        <f aca="false">IFERROR(INDEX(종합!H$3:H$501,MATCH(ROW()-2,종합!$AC$3:$AC$501,0))&amp;"","")</f>
        <v/>
      </c>
      <c r="I130" s="21" t="str">
        <f aca="false">IFERROR(INDEX(종합!I$3:I$501,MATCH(ROW()-2,종합!$AC$3:$AC$501,0))&amp;"","")</f>
        <v/>
      </c>
      <c r="J130" s="21" t="str">
        <f aca="false">IFERROR(INDEX(종합!J$3:J$501,MATCH(ROW()-2,종합!$AC$3:$AC$501,0))&amp;"","")</f>
        <v/>
      </c>
      <c r="K130" s="21" t="str">
        <f aca="false">IFERROR(INDEX(종합!K$3:K$501,MATCH(ROW()-2,종합!$AC$3:$AC$501,0))&amp;"","")</f>
        <v/>
      </c>
      <c r="L130" s="21" t="str">
        <f aca="false">IFERROR(INDEX(종합!L$3:L$501,MATCH(ROW()-2,종합!$AC$3:$AC$501,0))&amp;"","")</f>
        <v/>
      </c>
      <c r="M130" s="21" t="str">
        <f aca="false">IFERROR(INDEX(종합!M$3:M$501,MATCH(ROW()-2,종합!$AC$3:$AC$501,0))&amp;"","")</f>
        <v/>
      </c>
      <c r="N130" s="25" t="str">
        <f aca="false">IFERROR(INDEX(종합!N$3:N$501,MATCH(ROW()-2,종합!$AC$3:$AC$501,0))&amp;"","")</f>
        <v/>
      </c>
      <c r="O130" s="21" t="str">
        <f aca="false">IFERROR(INDEX(종합!O$3:O$501,MATCH(ROW()-2,종합!$AC$3:$AC$501,0))&amp;"","")</f>
        <v/>
      </c>
      <c r="P130" s="21" t="str">
        <f aca="false">IFERROR(INDEX(종합!P$3:P$501,MATCH(ROW()-2,종합!$AC$3:$AC$501,0))&amp;"","")</f>
        <v/>
      </c>
      <c r="Q130" s="21" t="str">
        <f aca="false">IFERROR(INDEX(종합!Q$3:Q$501,MATCH(ROW()-2,종합!$AC$3:$AC$501,0))&amp;"","")</f>
        <v/>
      </c>
      <c r="R130" s="21" t="str">
        <f aca="false">IFERROR(INDEX(종합!R$3:R$501,MATCH(ROW()-2,종합!$AC$3:$AC$501,0))&amp;"","")</f>
        <v/>
      </c>
      <c r="S130" s="21" t="str">
        <f aca="false">IFERROR(INDEX(종합!S$3:S$501,MATCH(ROW()-2,종합!$AC$3:$AC$501,0))&amp;"","")</f>
        <v/>
      </c>
      <c r="T130" s="21" t="str">
        <f aca="false">IFERROR(INDEX(종합!T$3:T$501,MATCH(ROW()-2,종합!$AC$3:$AC$501,0))&amp;"","")</f>
        <v/>
      </c>
      <c r="U130" s="21" t="str">
        <f aca="false">IFERROR(INDEX(종합!U$3:U$501,MATCH(ROW()-2,종합!$AC$3:$AC$501,0))&amp;"","")</f>
        <v/>
      </c>
      <c r="V130" s="21" t="str">
        <f aca="false">IFERROR(INDEX(종합!V$3:V$501,MATCH(ROW()-2,종합!$AC$3:$AC$501,0))&amp;"","")</f>
        <v/>
      </c>
      <c r="W130" s="21" t="str">
        <f aca="false">IFERROR(INDEX(종합!W$3:W$501,MATCH(ROW()-2,종합!$AC$3:$AC$501,0))&amp;"","")</f>
        <v/>
      </c>
      <c r="X130" s="21" t="str">
        <f aca="false">IFERROR(INDEX(종합!X$3:X$501,MATCH(ROW()-2,종합!$AC$3:$AC$501,0))&amp;"","")</f>
        <v/>
      </c>
      <c r="Y130" s="21" t="str">
        <f aca="false">IFERROR(INDEX(종합!Y$3:Y$501,MATCH(ROW()-2,종합!$AC$3:$AC$501,0))&amp;"","")</f>
        <v/>
      </c>
      <c r="Z130" s="21" t="str">
        <f aca="false">IFERROR(INDEX(종합!Z$3:Z$501,MATCH(ROW()-2,종합!$AC$3:$AC$501,0))&amp;"","")</f>
        <v/>
      </c>
    </row>
    <row r="131" customFormat="false" ht="16.5" hidden="false" customHeight="true" outlineLevel="0" collapsed="false">
      <c r="A131" s="18" t="str">
        <f aca="false">IF(B131="","",ROW()-2)</f>
        <v/>
      </c>
      <c r="B131" s="18" t="str">
        <f aca="false">IFERROR(INDEX(종합!B$3:B$501,MATCH(ROW()-2,종합!$AC$3:$AC$501,0))&amp;"","")</f>
        <v/>
      </c>
      <c r="C131" s="18" t="str">
        <f aca="false">IFERROR(INDEX(종합!C$3:C$501,MATCH(ROW()-2,종합!$AC$3:$AC$501,0))&amp;"","")</f>
        <v/>
      </c>
      <c r="D131" s="18" t="str">
        <f aca="false">IFERROR(INDEX(종합!D$3:D$501,MATCH(ROW()-2,종합!$AC$3:$AC$501,0))&amp;"","")</f>
        <v/>
      </c>
      <c r="E131" s="18" t="str">
        <f aca="false">IFERROR(INDEX(종합!E$3:E$501,MATCH(ROW()-2,종합!$AC$3:$AC$501,0))&amp;"","")</f>
        <v/>
      </c>
      <c r="F131" s="18" t="str">
        <f aca="false">IFERROR(INDEX(종합!F$3:F$501,MATCH(ROW()-2,종합!$AC$3:$AC$501,0))&amp;"","")</f>
        <v/>
      </c>
      <c r="G131" s="18" t="str">
        <f aca="false">IFERROR(INDEX(종합!G$3:G$501,MATCH(ROW()-2,종합!$AC$3:$AC$501,0))&amp;"","")</f>
        <v/>
      </c>
      <c r="H131" s="21" t="str">
        <f aca="false">IFERROR(INDEX(종합!H$3:H$501,MATCH(ROW()-2,종합!$AC$3:$AC$501,0))&amp;"","")</f>
        <v/>
      </c>
      <c r="I131" s="21" t="str">
        <f aca="false">IFERROR(INDEX(종합!I$3:I$501,MATCH(ROW()-2,종합!$AC$3:$AC$501,0))&amp;"","")</f>
        <v/>
      </c>
      <c r="J131" s="21" t="str">
        <f aca="false">IFERROR(INDEX(종합!J$3:J$501,MATCH(ROW()-2,종합!$AC$3:$AC$501,0))&amp;"","")</f>
        <v/>
      </c>
      <c r="K131" s="21" t="str">
        <f aca="false">IFERROR(INDEX(종합!K$3:K$501,MATCH(ROW()-2,종합!$AC$3:$AC$501,0))&amp;"","")</f>
        <v/>
      </c>
      <c r="L131" s="21" t="str">
        <f aca="false">IFERROR(INDEX(종합!L$3:L$501,MATCH(ROW()-2,종합!$AC$3:$AC$501,0))&amp;"","")</f>
        <v/>
      </c>
      <c r="M131" s="21" t="str">
        <f aca="false">IFERROR(INDEX(종합!M$3:M$501,MATCH(ROW()-2,종합!$AC$3:$AC$501,0))&amp;"","")</f>
        <v/>
      </c>
      <c r="N131" s="25" t="str">
        <f aca="false">IFERROR(INDEX(종합!N$3:N$501,MATCH(ROW()-2,종합!$AC$3:$AC$501,0))&amp;"","")</f>
        <v/>
      </c>
      <c r="O131" s="21" t="str">
        <f aca="false">IFERROR(INDEX(종합!O$3:O$501,MATCH(ROW()-2,종합!$AC$3:$AC$501,0))&amp;"","")</f>
        <v/>
      </c>
      <c r="P131" s="21" t="str">
        <f aca="false">IFERROR(INDEX(종합!P$3:P$501,MATCH(ROW()-2,종합!$AC$3:$AC$501,0))&amp;"","")</f>
        <v/>
      </c>
      <c r="Q131" s="21" t="str">
        <f aca="false">IFERROR(INDEX(종합!Q$3:Q$501,MATCH(ROW()-2,종합!$AC$3:$AC$501,0))&amp;"","")</f>
        <v/>
      </c>
      <c r="R131" s="21" t="str">
        <f aca="false">IFERROR(INDEX(종합!R$3:R$501,MATCH(ROW()-2,종합!$AC$3:$AC$501,0))&amp;"","")</f>
        <v/>
      </c>
      <c r="S131" s="21" t="str">
        <f aca="false">IFERROR(INDEX(종합!S$3:S$501,MATCH(ROW()-2,종합!$AC$3:$AC$501,0))&amp;"","")</f>
        <v/>
      </c>
      <c r="T131" s="21" t="str">
        <f aca="false">IFERROR(INDEX(종합!T$3:T$501,MATCH(ROW()-2,종합!$AC$3:$AC$501,0))&amp;"","")</f>
        <v/>
      </c>
      <c r="U131" s="21" t="str">
        <f aca="false">IFERROR(INDEX(종합!U$3:U$501,MATCH(ROW()-2,종합!$AC$3:$AC$501,0))&amp;"","")</f>
        <v/>
      </c>
      <c r="V131" s="21" t="str">
        <f aca="false">IFERROR(INDEX(종합!V$3:V$501,MATCH(ROW()-2,종합!$AC$3:$AC$501,0))&amp;"","")</f>
        <v/>
      </c>
      <c r="W131" s="21" t="str">
        <f aca="false">IFERROR(INDEX(종합!W$3:W$501,MATCH(ROW()-2,종합!$AC$3:$AC$501,0))&amp;"","")</f>
        <v/>
      </c>
      <c r="X131" s="21" t="str">
        <f aca="false">IFERROR(INDEX(종합!X$3:X$501,MATCH(ROW()-2,종합!$AC$3:$AC$501,0))&amp;"","")</f>
        <v/>
      </c>
      <c r="Y131" s="21" t="str">
        <f aca="false">IFERROR(INDEX(종합!Y$3:Y$501,MATCH(ROW()-2,종합!$AC$3:$AC$501,0))&amp;"","")</f>
        <v/>
      </c>
      <c r="Z131" s="21" t="str">
        <f aca="false">IFERROR(INDEX(종합!Z$3:Z$501,MATCH(ROW()-2,종합!$AC$3:$AC$501,0))&amp;"","")</f>
        <v/>
      </c>
    </row>
    <row r="132" customFormat="false" ht="16.5" hidden="false" customHeight="true" outlineLevel="0" collapsed="false">
      <c r="A132" s="18" t="str">
        <f aca="false">IF(B132="","",ROW()-2)</f>
        <v/>
      </c>
      <c r="B132" s="18" t="str">
        <f aca="false">IFERROR(INDEX(종합!B$3:B$501,MATCH(ROW()-2,종합!$AC$3:$AC$501,0))&amp;"","")</f>
        <v/>
      </c>
      <c r="C132" s="18" t="str">
        <f aca="false">IFERROR(INDEX(종합!C$3:C$501,MATCH(ROW()-2,종합!$AC$3:$AC$501,0))&amp;"","")</f>
        <v/>
      </c>
      <c r="D132" s="18" t="str">
        <f aca="false">IFERROR(INDEX(종합!D$3:D$501,MATCH(ROW()-2,종합!$AC$3:$AC$501,0))&amp;"","")</f>
        <v/>
      </c>
      <c r="E132" s="18" t="str">
        <f aca="false">IFERROR(INDEX(종합!E$3:E$501,MATCH(ROW()-2,종합!$AC$3:$AC$501,0))&amp;"","")</f>
        <v/>
      </c>
      <c r="F132" s="18" t="str">
        <f aca="false">IFERROR(INDEX(종합!F$3:F$501,MATCH(ROW()-2,종합!$AC$3:$AC$501,0))&amp;"","")</f>
        <v/>
      </c>
      <c r="G132" s="18" t="str">
        <f aca="false">IFERROR(INDEX(종합!G$3:G$501,MATCH(ROW()-2,종합!$AC$3:$AC$501,0))&amp;"","")</f>
        <v/>
      </c>
      <c r="H132" s="21" t="str">
        <f aca="false">IFERROR(INDEX(종합!H$3:H$501,MATCH(ROW()-2,종합!$AC$3:$AC$501,0))&amp;"","")</f>
        <v/>
      </c>
      <c r="I132" s="21" t="str">
        <f aca="false">IFERROR(INDEX(종합!I$3:I$501,MATCH(ROW()-2,종합!$AC$3:$AC$501,0))&amp;"","")</f>
        <v/>
      </c>
      <c r="J132" s="21" t="str">
        <f aca="false">IFERROR(INDEX(종합!J$3:J$501,MATCH(ROW()-2,종합!$AC$3:$AC$501,0))&amp;"","")</f>
        <v/>
      </c>
      <c r="K132" s="21" t="str">
        <f aca="false">IFERROR(INDEX(종합!K$3:K$501,MATCH(ROW()-2,종합!$AC$3:$AC$501,0))&amp;"","")</f>
        <v/>
      </c>
      <c r="L132" s="21" t="str">
        <f aca="false">IFERROR(INDEX(종합!L$3:L$501,MATCH(ROW()-2,종합!$AC$3:$AC$501,0))&amp;"","")</f>
        <v/>
      </c>
      <c r="M132" s="21" t="str">
        <f aca="false">IFERROR(INDEX(종합!M$3:M$501,MATCH(ROW()-2,종합!$AC$3:$AC$501,0))&amp;"","")</f>
        <v/>
      </c>
      <c r="N132" s="25" t="str">
        <f aca="false">IFERROR(INDEX(종합!N$3:N$501,MATCH(ROW()-2,종합!$AC$3:$AC$501,0))&amp;"","")</f>
        <v/>
      </c>
      <c r="O132" s="21" t="str">
        <f aca="false">IFERROR(INDEX(종합!O$3:O$501,MATCH(ROW()-2,종합!$AC$3:$AC$501,0))&amp;"","")</f>
        <v/>
      </c>
      <c r="P132" s="21" t="str">
        <f aca="false">IFERROR(INDEX(종합!P$3:P$501,MATCH(ROW()-2,종합!$AC$3:$AC$501,0))&amp;"","")</f>
        <v/>
      </c>
      <c r="Q132" s="21" t="str">
        <f aca="false">IFERROR(INDEX(종합!Q$3:Q$501,MATCH(ROW()-2,종합!$AC$3:$AC$501,0))&amp;"","")</f>
        <v/>
      </c>
      <c r="R132" s="21" t="str">
        <f aca="false">IFERROR(INDEX(종합!R$3:R$501,MATCH(ROW()-2,종합!$AC$3:$AC$501,0))&amp;"","")</f>
        <v/>
      </c>
      <c r="S132" s="21" t="str">
        <f aca="false">IFERROR(INDEX(종합!S$3:S$501,MATCH(ROW()-2,종합!$AC$3:$AC$501,0))&amp;"","")</f>
        <v/>
      </c>
      <c r="T132" s="21" t="str">
        <f aca="false">IFERROR(INDEX(종합!T$3:T$501,MATCH(ROW()-2,종합!$AC$3:$AC$501,0))&amp;"","")</f>
        <v/>
      </c>
      <c r="U132" s="21" t="str">
        <f aca="false">IFERROR(INDEX(종합!U$3:U$501,MATCH(ROW()-2,종합!$AC$3:$AC$501,0))&amp;"","")</f>
        <v/>
      </c>
      <c r="V132" s="21" t="str">
        <f aca="false">IFERROR(INDEX(종합!V$3:V$501,MATCH(ROW()-2,종합!$AC$3:$AC$501,0))&amp;"","")</f>
        <v/>
      </c>
      <c r="W132" s="21" t="str">
        <f aca="false">IFERROR(INDEX(종합!W$3:W$501,MATCH(ROW()-2,종합!$AC$3:$AC$501,0))&amp;"","")</f>
        <v/>
      </c>
      <c r="X132" s="21" t="str">
        <f aca="false">IFERROR(INDEX(종합!X$3:X$501,MATCH(ROW()-2,종합!$AC$3:$AC$501,0))&amp;"","")</f>
        <v/>
      </c>
      <c r="Y132" s="21" t="str">
        <f aca="false">IFERROR(INDEX(종합!Y$3:Y$501,MATCH(ROW()-2,종합!$AC$3:$AC$501,0))&amp;"","")</f>
        <v/>
      </c>
      <c r="Z132" s="21" t="str">
        <f aca="false">IFERROR(INDEX(종합!Z$3:Z$501,MATCH(ROW()-2,종합!$AC$3:$AC$501,0))&amp;"","")</f>
        <v/>
      </c>
    </row>
    <row r="133" customFormat="false" ht="16.5" hidden="false" customHeight="true" outlineLevel="0" collapsed="false">
      <c r="A133" s="18" t="str">
        <f aca="false">IF(B133="","",ROW()-2)</f>
        <v/>
      </c>
      <c r="B133" s="18" t="str">
        <f aca="false">IFERROR(INDEX(종합!B$3:B$501,MATCH(ROW()-2,종합!$AC$3:$AC$501,0))&amp;"","")</f>
        <v/>
      </c>
      <c r="C133" s="18" t="str">
        <f aca="false">IFERROR(INDEX(종합!C$3:C$501,MATCH(ROW()-2,종합!$AC$3:$AC$501,0))&amp;"","")</f>
        <v/>
      </c>
      <c r="D133" s="18" t="str">
        <f aca="false">IFERROR(INDEX(종합!D$3:D$501,MATCH(ROW()-2,종합!$AC$3:$AC$501,0))&amp;"","")</f>
        <v/>
      </c>
      <c r="E133" s="18" t="str">
        <f aca="false">IFERROR(INDEX(종합!E$3:E$501,MATCH(ROW()-2,종합!$AC$3:$AC$501,0))&amp;"","")</f>
        <v/>
      </c>
      <c r="F133" s="18" t="str">
        <f aca="false">IFERROR(INDEX(종합!F$3:F$501,MATCH(ROW()-2,종합!$AC$3:$AC$501,0))&amp;"","")</f>
        <v/>
      </c>
      <c r="G133" s="18" t="str">
        <f aca="false">IFERROR(INDEX(종합!G$3:G$501,MATCH(ROW()-2,종합!$AC$3:$AC$501,0))&amp;"","")</f>
        <v/>
      </c>
      <c r="H133" s="21" t="str">
        <f aca="false">IFERROR(INDEX(종합!H$3:H$501,MATCH(ROW()-2,종합!$AC$3:$AC$501,0))&amp;"","")</f>
        <v/>
      </c>
      <c r="I133" s="21" t="str">
        <f aca="false">IFERROR(INDEX(종합!I$3:I$501,MATCH(ROW()-2,종합!$AC$3:$AC$501,0))&amp;"","")</f>
        <v/>
      </c>
      <c r="J133" s="21" t="str">
        <f aca="false">IFERROR(INDEX(종합!J$3:J$501,MATCH(ROW()-2,종합!$AC$3:$AC$501,0))&amp;"","")</f>
        <v/>
      </c>
      <c r="K133" s="21" t="str">
        <f aca="false">IFERROR(INDEX(종합!K$3:K$501,MATCH(ROW()-2,종합!$AC$3:$AC$501,0))&amp;"","")</f>
        <v/>
      </c>
      <c r="L133" s="21" t="str">
        <f aca="false">IFERROR(INDEX(종합!L$3:L$501,MATCH(ROW()-2,종합!$AC$3:$AC$501,0))&amp;"","")</f>
        <v/>
      </c>
      <c r="M133" s="21" t="str">
        <f aca="false">IFERROR(INDEX(종합!M$3:M$501,MATCH(ROW()-2,종합!$AC$3:$AC$501,0))&amp;"","")</f>
        <v/>
      </c>
      <c r="N133" s="25" t="str">
        <f aca="false">IFERROR(INDEX(종합!N$3:N$501,MATCH(ROW()-2,종합!$AC$3:$AC$501,0))&amp;"","")</f>
        <v/>
      </c>
      <c r="O133" s="21" t="str">
        <f aca="false">IFERROR(INDEX(종합!O$3:O$501,MATCH(ROW()-2,종합!$AC$3:$AC$501,0))&amp;"","")</f>
        <v/>
      </c>
      <c r="P133" s="21" t="str">
        <f aca="false">IFERROR(INDEX(종합!P$3:P$501,MATCH(ROW()-2,종합!$AC$3:$AC$501,0))&amp;"","")</f>
        <v/>
      </c>
      <c r="Q133" s="21" t="str">
        <f aca="false">IFERROR(INDEX(종합!Q$3:Q$501,MATCH(ROW()-2,종합!$AC$3:$AC$501,0))&amp;"","")</f>
        <v/>
      </c>
      <c r="R133" s="21" t="str">
        <f aca="false">IFERROR(INDEX(종합!R$3:R$501,MATCH(ROW()-2,종합!$AC$3:$AC$501,0))&amp;"","")</f>
        <v/>
      </c>
      <c r="S133" s="21" t="str">
        <f aca="false">IFERROR(INDEX(종합!S$3:S$501,MATCH(ROW()-2,종합!$AC$3:$AC$501,0))&amp;"","")</f>
        <v/>
      </c>
      <c r="T133" s="21" t="str">
        <f aca="false">IFERROR(INDEX(종합!T$3:T$501,MATCH(ROW()-2,종합!$AC$3:$AC$501,0))&amp;"","")</f>
        <v/>
      </c>
      <c r="U133" s="21" t="str">
        <f aca="false">IFERROR(INDEX(종합!U$3:U$501,MATCH(ROW()-2,종합!$AC$3:$AC$501,0))&amp;"","")</f>
        <v/>
      </c>
      <c r="V133" s="21" t="str">
        <f aca="false">IFERROR(INDEX(종합!V$3:V$501,MATCH(ROW()-2,종합!$AC$3:$AC$501,0))&amp;"","")</f>
        <v/>
      </c>
      <c r="W133" s="21" t="str">
        <f aca="false">IFERROR(INDEX(종합!W$3:W$501,MATCH(ROW()-2,종합!$AC$3:$AC$501,0))&amp;"","")</f>
        <v/>
      </c>
      <c r="X133" s="21" t="str">
        <f aca="false">IFERROR(INDEX(종합!X$3:X$501,MATCH(ROW()-2,종합!$AC$3:$AC$501,0))&amp;"","")</f>
        <v/>
      </c>
      <c r="Y133" s="21" t="str">
        <f aca="false">IFERROR(INDEX(종합!Y$3:Y$501,MATCH(ROW()-2,종합!$AC$3:$AC$501,0))&amp;"","")</f>
        <v/>
      </c>
      <c r="Z133" s="21" t="str">
        <f aca="false">IFERROR(INDEX(종합!Z$3:Z$501,MATCH(ROW()-2,종합!$AC$3:$AC$501,0))&amp;"","")</f>
        <v/>
      </c>
    </row>
    <row r="134" customFormat="false" ht="16.5" hidden="false" customHeight="true" outlineLevel="0" collapsed="false">
      <c r="A134" s="18" t="str">
        <f aca="false">IF(B134="","",ROW()-2)</f>
        <v/>
      </c>
      <c r="B134" s="18" t="str">
        <f aca="false">IFERROR(INDEX(종합!B$3:B$501,MATCH(ROW()-2,종합!$AC$3:$AC$501,0))&amp;"","")</f>
        <v/>
      </c>
      <c r="C134" s="18" t="str">
        <f aca="false">IFERROR(INDEX(종합!C$3:C$501,MATCH(ROW()-2,종합!$AC$3:$AC$501,0))&amp;"","")</f>
        <v/>
      </c>
      <c r="D134" s="18" t="str">
        <f aca="false">IFERROR(INDEX(종합!D$3:D$501,MATCH(ROW()-2,종합!$AC$3:$AC$501,0))&amp;"","")</f>
        <v/>
      </c>
      <c r="E134" s="18" t="str">
        <f aca="false">IFERROR(INDEX(종합!E$3:E$501,MATCH(ROW()-2,종합!$AC$3:$AC$501,0))&amp;"","")</f>
        <v/>
      </c>
      <c r="F134" s="18" t="str">
        <f aca="false">IFERROR(INDEX(종합!F$3:F$501,MATCH(ROW()-2,종합!$AC$3:$AC$501,0))&amp;"","")</f>
        <v/>
      </c>
      <c r="G134" s="18" t="str">
        <f aca="false">IFERROR(INDEX(종합!G$3:G$501,MATCH(ROW()-2,종합!$AC$3:$AC$501,0))&amp;"","")</f>
        <v/>
      </c>
      <c r="H134" s="21" t="str">
        <f aca="false">IFERROR(INDEX(종합!H$3:H$501,MATCH(ROW()-2,종합!$AC$3:$AC$501,0))&amp;"","")</f>
        <v/>
      </c>
      <c r="I134" s="21" t="str">
        <f aca="false">IFERROR(INDEX(종합!I$3:I$501,MATCH(ROW()-2,종합!$AC$3:$AC$501,0))&amp;"","")</f>
        <v/>
      </c>
      <c r="J134" s="21" t="str">
        <f aca="false">IFERROR(INDEX(종합!J$3:J$501,MATCH(ROW()-2,종합!$AC$3:$AC$501,0))&amp;"","")</f>
        <v/>
      </c>
      <c r="K134" s="21" t="str">
        <f aca="false">IFERROR(INDEX(종합!K$3:K$501,MATCH(ROW()-2,종합!$AC$3:$AC$501,0))&amp;"","")</f>
        <v/>
      </c>
      <c r="L134" s="21" t="str">
        <f aca="false">IFERROR(INDEX(종합!L$3:L$501,MATCH(ROW()-2,종합!$AC$3:$AC$501,0))&amp;"","")</f>
        <v/>
      </c>
      <c r="M134" s="21" t="str">
        <f aca="false">IFERROR(INDEX(종합!M$3:M$501,MATCH(ROW()-2,종합!$AC$3:$AC$501,0))&amp;"","")</f>
        <v/>
      </c>
      <c r="N134" s="25" t="str">
        <f aca="false">IFERROR(INDEX(종합!N$3:N$501,MATCH(ROW()-2,종합!$AC$3:$AC$501,0))&amp;"","")</f>
        <v/>
      </c>
      <c r="O134" s="21" t="str">
        <f aca="false">IFERROR(INDEX(종합!O$3:O$501,MATCH(ROW()-2,종합!$AC$3:$AC$501,0))&amp;"","")</f>
        <v/>
      </c>
      <c r="P134" s="21" t="str">
        <f aca="false">IFERROR(INDEX(종합!P$3:P$501,MATCH(ROW()-2,종합!$AC$3:$AC$501,0))&amp;"","")</f>
        <v/>
      </c>
      <c r="Q134" s="21" t="str">
        <f aca="false">IFERROR(INDEX(종합!Q$3:Q$501,MATCH(ROW()-2,종합!$AC$3:$AC$501,0))&amp;"","")</f>
        <v/>
      </c>
      <c r="R134" s="21" t="str">
        <f aca="false">IFERROR(INDEX(종합!R$3:R$501,MATCH(ROW()-2,종합!$AC$3:$AC$501,0))&amp;"","")</f>
        <v/>
      </c>
      <c r="S134" s="21" t="str">
        <f aca="false">IFERROR(INDEX(종합!S$3:S$501,MATCH(ROW()-2,종합!$AC$3:$AC$501,0))&amp;"","")</f>
        <v/>
      </c>
      <c r="T134" s="21" t="str">
        <f aca="false">IFERROR(INDEX(종합!T$3:T$501,MATCH(ROW()-2,종합!$AC$3:$AC$501,0))&amp;"","")</f>
        <v/>
      </c>
      <c r="U134" s="21" t="str">
        <f aca="false">IFERROR(INDEX(종합!U$3:U$501,MATCH(ROW()-2,종합!$AC$3:$AC$501,0))&amp;"","")</f>
        <v/>
      </c>
      <c r="V134" s="21" t="str">
        <f aca="false">IFERROR(INDEX(종합!V$3:V$501,MATCH(ROW()-2,종합!$AC$3:$AC$501,0))&amp;"","")</f>
        <v/>
      </c>
      <c r="W134" s="21" t="str">
        <f aca="false">IFERROR(INDEX(종합!W$3:W$501,MATCH(ROW()-2,종합!$AC$3:$AC$501,0))&amp;"","")</f>
        <v/>
      </c>
      <c r="X134" s="21" t="str">
        <f aca="false">IFERROR(INDEX(종합!X$3:X$501,MATCH(ROW()-2,종합!$AC$3:$AC$501,0))&amp;"","")</f>
        <v/>
      </c>
      <c r="Y134" s="21" t="str">
        <f aca="false">IFERROR(INDEX(종합!Y$3:Y$501,MATCH(ROW()-2,종합!$AC$3:$AC$501,0))&amp;"","")</f>
        <v/>
      </c>
      <c r="Z134" s="21" t="str">
        <f aca="false">IFERROR(INDEX(종합!Z$3:Z$501,MATCH(ROW()-2,종합!$AC$3:$AC$501,0))&amp;"","")</f>
        <v/>
      </c>
    </row>
    <row r="135" customFormat="false" ht="16.5" hidden="false" customHeight="true" outlineLevel="0" collapsed="false">
      <c r="A135" s="18" t="str">
        <f aca="false">IF(B135="","",ROW()-2)</f>
        <v/>
      </c>
      <c r="B135" s="18" t="str">
        <f aca="false">IFERROR(INDEX(종합!B$3:B$501,MATCH(ROW()-2,종합!$AC$3:$AC$501,0))&amp;"","")</f>
        <v/>
      </c>
      <c r="C135" s="18" t="str">
        <f aca="false">IFERROR(INDEX(종합!C$3:C$501,MATCH(ROW()-2,종합!$AC$3:$AC$501,0))&amp;"","")</f>
        <v/>
      </c>
      <c r="D135" s="18" t="str">
        <f aca="false">IFERROR(INDEX(종합!D$3:D$501,MATCH(ROW()-2,종합!$AC$3:$AC$501,0))&amp;"","")</f>
        <v/>
      </c>
      <c r="E135" s="18" t="str">
        <f aca="false">IFERROR(INDEX(종합!E$3:E$501,MATCH(ROW()-2,종합!$AC$3:$AC$501,0))&amp;"","")</f>
        <v/>
      </c>
      <c r="F135" s="18" t="str">
        <f aca="false">IFERROR(INDEX(종합!F$3:F$501,MATCH(ROW()-2,종합!$AC$3:$AC$501,0))&amp;"","")</f>
        <v/>
      </c>
      <c r="G135" s="18" t="str">
        <f aca="false">IFERROR(INDEX(종합!G$3:G$501,MATCH(ROW()-2,종합!$AC$3:$AC$501,0))&amp;"","")</f>
        <v/>
      </c>
      <c r="H135" s="21" t="str">
        <f aca="false">IFERROR(INDEX(종합!H$3:H$501,MATCH(ROW()-2,종합!$AC$3:$AC$501,0))&amp;"","")</f>
        <v/>
      </c>
      <c r="I135" s="21" t="str">
        <f aca="false">IFERROR(INDEX(종합!I$3:I$501,MATCH(ROW()-2,종합!$AC$3:$AC$501,0))&amp;"","")</f>
        <v/>
      </c>
      <c r="J135" s="21" t="str">
        <f aca="false">IFERROR(INDEX(종합!J$3:J$501,MATCH(ROW()-2,종합!$AC$3:$AC$501,0))&amp;"","")</f>
        <v/>
      </c>
      <c r="K135" s="21" t="str">
        <f aca="false">IFERROR(INDEX(종합!K$3:K$501,MATCH(ROW()-2,종합!$AC$3:$AC$501,0))&amp;"","")</f>
        <v/>
      </c>
      <c r="L135" s="21" t="str">
        <f aca="false">IFERROR(INDEX(종합!L$3:L$501,MATCH(ROW()-2,종합!$AC$3:$AC$501,0))&amp;"","")</f>
        <v/>
      </c>
      <c r="M135" s="21" t="str">
        <f aca="false">IFERROR(INDEX(종합!M$3:M$501,MATCH(ROW()-2,종합!$AC$3:$AC$501,0))&amp;"","")</f>
        <v/>
      </c>
      <c r="N135" s="25" t="str">
        <f aca="false">IFERROR(INDEX(종합!N$3:N$501,MATCH(ROW()-2,종합!$AC$3:$AC$501,0))&amp;"","")</f>
        <v/>
      </c>
      <c r="O135" s="21" t="str">
        <f aca="false">IFERROR(INDEX(종합!O$3:O$501,MATCH(ROW()-2,종합!$AC$3:$AC$501,0))&amp;"","")</f>
        <v/>
      </c>
      <c r="P135" s="21" t="str">
        <f aca="false">IFERROR(INDEX(종합!P$3:P$501,MATCH(ROW()-2,종합!$AC$3:$AC$501,0))&amp;"","")</f>
        <v/>
      </c>
      <c r="Q135" s="21" t="str">
        <f aca="false">IFERROR(INDEX(종합!Q$3:Q$501,MATCH(ROW()-2,종합!$AC$3:$AC$501,0))&amp;"","")</f>
        <v/>
      </c>
      <c r="R135" s="21" t="str">
        <f aca="false">IFERROR(INDEX(종합!R$3:R$501,MATCH(ROW()-2,종합!$AC$3:$AC$501,0))&amp;"","")</f>
        <v/>
      </c>
      <c r="S135" s="21" t="str">
        <f aca="false">IFERROR(INDEX(종합!S$3:S$501,MATCH(ROW()-2,종합!$AC$3:$AC$501,0))&amp;"","")</f>
        <v/>
      </c>
      <c r="T135" s="21" t="str">
        <f aca="false">IFERROR(INDEX(종합!T$3:T$501,MATCH(ROW()-2,종합!$AC$3:$AC$501,0))&amp;"","")</f>
        <v/>
      </c>
      <c r="U135" s="21" t="str">
        <f aca="false">IFERROR(INDEX(종합!U$3:U$501,MATCH(ROW()-2,종합!$AC$3:$AC$501,0))&amp;"","")</f>
        <v/>
      </c>
      <c r="V135" s="21" t="str">
        <f aca="false">IFERROR(INDEX(종합!V$3:V$501,MATCH(ROW()-2,종합!$AC$3:$AC$501,0))&amp;"","")</f>
        <v/>
      </c>
      <c r="W135" s="21" t="str">
        <f aca="false">IFERROR(INDEX(종합!W$3:W$501,MATCH(ROW()-2,종합!$AC$3:$AC$501,0))&amp;"","")</f>
        <v/>
      </c>
      <c r="X135" s="21" t="str">
        <f aca="false">IFERROR(INDEX(종합!X$3:X$501,MATCH(ROW()-2,종합!$AC$3:$AC$501,0))&amp;"","")</f>
        <v/>
      </c>
      <c r="Y135" s="21" t="str">
        <f aca="false">IFERROR(INDEX(종합!Y$3:Y$501,MATCH(ROW()-2,종합!$AC$3:$AC$501,0))&amp;"","")</f>
        <v/>
      </c>
      <c r="Z135" s="21" t="str">
        <f aca="false">IFERROR(INDEX(종합!Z$3:Z$501,MATCH(ROW()-2,종합!$AC$3:$AC$501,0))&amp;"","")</f>
        <v/>
      </c>
    </row>
    <row r="136" customFormat="false" ht="16.5" hidden="false" customHeight="true" outlineLevel="0" collapsed="false">
      <c r="A136" s="18" t="str">
        <f aca="false">IF(B136="","",ROW()-2)</f>
        <v/>
      </c>
      <c r="B136" s="18" t="str">
        <f aca="false">IFERROR(INDEX(종합!B$3:B$501,MATCH(ROW()-2,종합!$AC$3:$AC$501,0))&amp;"","")</f>
        <v/>
      </c>
      <c r="C136" s="18" t="str">
        <f aca="false">IFERROR(INDEX(종합!C$3:C$501,MATCH(ROW()-2,종합!$AC$3:$AC$501,0))&amp;"","")</f>
        <v/>
      </c>
      <c r="D136" s="18" t="str">
        <f aca="false">IFERROR(INDEX(종합!D$3:D$501,MATCH(ROW()-2,종합!$AC$3:$AC$501,0))&amp;"","")</f>
        <v/>
      </c>
      <c r="E136" s="18" t="str">
        <f aca="false">IFERROR(INDEX(종합!E$3:E$501,MATCH(ROW()-2,종합!$AC$3:$AC$501,0))&amp;"","")</f>
        <v/>
      </c>
      <c r="F136" s="18" t="str">
        <f aca="false">IFERROR(INDEX(종합!F$3:F$501,MATCH(ROW()-2,종합!$AC$3:$AC$501,0))&amp;"","")</f>
        <v/>
      </c>
      <c r="G136" s="18" t="str">
        <f aca="false">IFERROR(INDEX(종합!G$3:G$501,MATCH(ROW()-2,종합!$AC$3:$AC$501,0))&amp;"","")</f>
        <v/>
      </c>
      <c r="H136" s="21" t="str">
        <f aca="false">IFERROR(INDEX(종합!H$3:H$501,MATCH(ROW()-2,종합!$AC$3:$AC$501,0))&amp;"","")</f>
        <v/>
      </c>
      <c r="I136" s="21" t="str">
        <f aca="false">IFERROR(INDEX(종합!I$3:I$501,MATCH(ROW()-2,종합!$AC$3:$AC$501,0))&amp;"","")</f>
        <v/>
      </c>
      <c r="J136" s="21" t="str">
        <f aca="false">IFERROR(INDEX(종합!J$3:J$501,MATCH(ROW()-2,종합!$AC$3:$AC$501,0))&amp;"","")</f>
        <v/>
      </c>
      <c r="K136" s="21" t="str">
        <f aca="false">IFERROR(INDEX(종합!K$3:K$501,MATCH(ROW()-2,종합!$AC$3:$AC$501,0))&amp;"","")</f>
        <v/>
      </c>
      <c r="L136" s="21" t="str">
        <f aca="false">IFERROR(INDEX(종합!L$3:L$501,MATCH(ROW()-2,종합!$AC$3:$AC$501,0))&amp;"","")</f>
        <v/>
      </c>
      <c r="M136" s="21" t="str">
        <f aca="false">IFERROR(INDEX(종합!M$3:M$501,MATCH(ROW()-2,종합!$AC$3:$AC$501,0))&amp;"","")</f>
        <v/>
      </c>
      <c r="N136" s="25" t="str">
        <f aca="false">IFERROR(INDEX(종합!N$3:N$501,MATCH(ROW()-2,종합!$AC$3:$AC$501,0))&amp;"","")</f>
        <v/>
      </c>
      <c r="O136" s="21" t="str">
        <f aca="false">IFERROR(INDEX(종합!O$3:O$501,MATCH(ROW()-2,종합!$AC$3:$AC$501,0))&amp;"","")</f>
        <v/>
      </c>
      <c r="P136" s="21" t="str">
        <f aca="false">IFERROR(INDEX(종합!P$3:P$501,MATCH(ROW()-2,종합!$AC$3:$AC$501,0))&amp;"","")</f>
        <v/>
      </c>
      <c r="Q136" s="21" t="str">
        <f aca="false">IFERROR(INDEX(종합!Q$3:Q$501,MATCH(ROW()-2,종합!$AC$3:$AC$501,0))&amp;"","")</f>
        <v/>
      </c>
      <c r="R136" s="21" t="str">
        <f aca="false">IFERROR(INDEX(종합!R$3:R$501,MATCH(ROW()-2,종합!$AC$3:$AC$501,0))&amp;"","")</f>
        <v/>
      </c>
      <c r="S136" s="21" t="str">
        <f aca="false">IFERROR(INDEX(종합!S$3:S$501,MATCH(ROW()-2,종합!$AC$3:$AC$501,0))&amp;"","")</f>
        <v/>
      </c>
      <c r="T136" s="21" t="str">
        <f aca="false">IFERROR(INDEX(종합!T$3:T$501,MATCH(ROW()-2,종합!$AC$3:$AC$501,0))&amp;"","")</f>
        <v/>
      </c>
      <c r="U136" s="21" t="str">
        <f aca="false">IFERROR(INDEX(종합!U$3:U$501,MATCH(ROW()-2,종합!$AC$3:$AC$501,0))&amp;"","")</f>
        <v/>
      </c>
      <c r="V136" s="21" t="str">
        <f aca="false">IFERROR(INDEX(종합!V$3:V$501,MATCH(ROW()-2,종합!$AC$3:$AC$501,0))&amp;"","")</f>
        <v/>
      </c>
      <c r="W136" s="21" t="str">
        <f aca="false">IFERROR(INDEX(종합!W$3:W$501,MATCH(ROW()-2,종합!$AC$3:$AC$501,0))&amp;"","")</f>
        <v/>
      </c>
      <c r="X136" s="21" t="str">
        <f aca="false">IFERROR(INDEX(종합!X$3:X$501,MATCH(ROW()-2,종합!$AC$3:$AC$501,0))&amp;"","")</f>
        <v/>
      </c>
      <c r="Y136" s="21" t="str">
        <f aca="false">IFERROR(INDEX(종합!Y$3:Y$501,MATCH(ROW()-2,종합!$AC$3:$AC$501,0))&amp;"","")</f>
        <v/>
      </c>
      <c r="Z136" s="21" t="str">
        <f aca="false">IFERROR(INDEX(종합!Z$3:Z$501,MATCH(ROW()-2,종합!$AC$3:$AC$501,0))&amp;"","")</f>
        <v/>
      </c>
    </row>
    <row r="137" customFormat="false" ht="16.5" hidden="false" customHeight="true" outlineLevel="0" collapsed="false">
      <c r="A137" s="18" t="str">
        <f aca="false">IF(B137="","",ROW()-2)</f>
        <v/>
      </c>
      <c r="B137" s="18" t="str">
        <f aca="false">IFERROR(INDEX(종합!B$3:B$501,MATCH(ROW()-2,종합!$AC$3:$AC$501,0))&amp;"","")</f>
        <v/>
      </c>
      <c r="C137" s="18" t="str">
        <f aca="false">IFERROR(INDEX(종합!C$3:C$501,MATCH(ROW()-2,종합!$AC$3:$AC$501,0))&amp;"","")</f>
        <v/>
      </c>
      <c r="D137" s="18" t="str">
        <f aca="false">IFERROR(INDEX(종합!D$3:D$501,MATCH(ROW()-2,종합!$AC$3:$AC$501,0))&amp;"","")</f>
        <v/>
      </c>
      <c r="E137" s="18" t="str">
        <f aca="false">IFERROR(INDEX(종합!E$3:E$501,MATCH(ROW()-2,종합!$AC$3:$AC$501,0))&amp;"","")</f>
        <v/>
      </c>
      <c r="F137" s="18" t="str">
        <f aca="false">IFERROR(INDEX(종합!F$3:F$501,MATCH(ROW()-2,종합!$AC$3:$AC$501,0))&amp;"","")</f>
        <v/>
      </c>
      <c r="G137" s="18" t="str">
        <f aca="false">IFERROR(INDEX(종합!G$3:G$501,MATCH(ROW()-2,종합!$AC$3:$AC$501,0))&amp;"","")</f>
        <v/>
      </c>
      <c r="H137" s="21" t="str">
        <f aca="false">IFERROR(INDEX(종합!H$3:H$501,MATCH(ROW()-2,종합!$AC$3:$AC$501,0))&amp;"","")</f>
        <v/>
      </c>
      <c r="I137" s="21" t="str">
        <f aca="false">IFERROR(INDEX(종합!I$3:I$501,MATCH(ROW()-2,종합!$AC$3:$AC$501,0))&amp;"","")</f>
        <v/>
      </c>
      <c r="J137" s="21" t="str">
        <f aca="false">IFERROR(INDEX(종합!J$3:J$501,MATCH(ROW()-2,종합!$AC$3:$AC$501,0))&amp;"","")</f>
        <v/>
      </c>
      <c r="K137" s="21" t="str">
        <f aca="false">IFERROR(INDEX(종합!K$3:K$501,MATCH(ROW()-2,종합!$AC$3:$AC$501,0))&amp;"","")</f>
        <v/>
      </c>
      <c r="L137" s="21" t="str">
        <f aca="false">IFERROR(INDEX(종합!L$3:L$501,MATCH(ROW()-2,종합!$AC$3:$AC$501,0))&amp;"","")</f>
        <v/>
      </c>
      <c r="M137" s="21" t="str">
        <f aca="false">IFERROR(INDEX(종합!M$3:M$501,MATCH(ROW()-2,종합!$AC$3:$AC$501,0))&amp;"","")</f>
        <v/>
      </c>
      <c r="N137" s="25" t="str">
        <f aca="false">IFERROR(INDEX(종합!N$3:N$501,MATCH(ROW()-2,종합!$AC$3:$AC$501,0))&amp;"","")</f>
        <v/>
      </c>
      <c r="O137" s="21" t="str">
        <f aca="false">IFERROR(INDEX(종합!O$3:O$501,MATCH(ROW()-2,종합!$AC$3:$AC$501,0))&amp;"","")</f>
        <v/>
      </c>
      <c r="P137" s="21" t="str">
        <f aca="false">IFERROR(INDEX(종합!P$3:P$501,MATCH(ROW()-2,종합!$AC$3:$AC$501,0))&amp;"","")</f>
        <v/>
      </c>
      <c r="Q137" s="21" t="str">
        <f aca="false">IFERROR(INDEX(종합!Q$3:Q$501,MATCH(ROW()-2,종합!$AC$3:$AC$501,0))&amp;"","")</f>
        <v/>
      </c>
      <c r="R137" s="21" t="str">
        <f aca="false">IFERROR(INDEX(종합!R$3:R$501,MATCH(ROW()-2,종합!$AC$3:$AC$501,0))&amp;"","")</f>
        <v/>
      </c>
      <c r="S137" s="21" t="str">
        <f aca="false">IFERROR(INDEX(종합!S$3:S$501,MATCH(ROW()-2,종합!$AC$3:$AC$501,0))&amp;"","")</f>
        <v/>
      </c>
      <c r="T137" s="21" t="str">
        <f aca="false">IFERROR(INDEX(종합!T$3:T$501,MATCH(ROW()-2,종합!$AC$3:$AC$501,0))&amp;"","")</f>
        <v/>
      </c>
      <c r="U137" s="21" t="str">
        <f aca="false">IFERROR(INDEX(종합!U$3:U$501,MATCH(ROW()-2,종합!$AC$3:$AC$501,0))&amp;"","")</f>
        <v/>
      </c>
      <c r="V137" s="21" t="str">
        <f aca="false">IFERROR(INDEX(종합!V$3:V$501,MATCH(ROW()-2,종합!$AC$3:$AC$501,0))&amp;"","")</f>
        <v/>
      </c>
      <c r="W137" s="21" t="str">
        <f aca="false">IFERROR(INDEX(종합!W$3:W$501,MATCH(ROW()-2,종합!$AC$3:$AC$501,0))&amp;"","")</f>
        <v/>
      </c>
      <c r="X137" s="21" t="str">
        <f aca="false">IFERROR(INDEX(종합!X$3:X$501,MATCH(ROW()-2,종합!$AC$3:$AC$501,0))&amp;"","")</f>
        <v/>
      </c>
      <c r="Y137" s="21" t="str">
        <f aca="false">IFERROR(INDEX(종합!Y$3:Y$501,MATCH(ROW()-2,종합!$AC$3:$AC$501,0))&amp;"","")</f>
        <v/>
      </c>
      <c r="Z137" s="21" t="str">
        <f aca="false">IFERROR(INDEX(종합!Z$3:Z$501,MATCH(ROW()-2,종합!$AC$3:$AC$501,0))&amp;"","")</f>
        <v/>
      </c>
    </row>
    <row r="138" customFormat="false" ht="16.5" hidden="false" customHeight="true" outlineLevel="0" collapsed="false">
      <c r="A138" s="18" t="str">
        <f aca="false">IF(B138="","",ROW()-2)</f>
        <v/>
      </c>
      <c r="B138" s="18" t="str">
        <f aca="false">IFERROR(INDEX(종합!B$3:B$501,MATCH(ROW()-2,종합!$AC$3:$AC$501,0))&amp;"","")</f>
        <v/>
      </c>
      <c r="C138" s="18" t="str">
        <f aca="false">IFERROR(INDEX(종합!C$3:C$501,MATCH(ROW()-2,종합!$AC$3:$AC$501,0))&amp;"","")</f>
        <v/>
      </c>
      <c r="D138" s="18" t="str">
        <f aca="false">IFERROR(INDEX(종합!D$3:D$501,MATCH(ROW()-2,종합!$AC$3:$AC$501,0))&amp;"","")</f>
        <v/>
      </c>
      <c r="E138" s="18" t="str">
        <f aca="false">IFERROR(INDEX(종합!E$3:E$501,MATCH(ROW()-2,종합!$AC$3:$AC$501,0))&amp;"","")</f>
        <v/>
      </c>
      <c r="F138" s="18" t="str">
        <f aca="false">IFERROR(INDEX(종합!F$3:F$501,MATCH(ROW()-2,종합!$AC$3:$AC$501,0))&amp;"","")</f>
        <v/>
      </c>
      <c r="G138" s="18" t="str">
        <f aca="false">IFERROR(INDEX(종합!G$3:G$501,MATCH(ROW()-2,종합!$AC$3:$AC$501,0))&amp;"","")</f>
        <v/>
      </c>
      <c r="H138" s="21" t="str">
        <f aca="false">IFERROR(INDEX(종합!H$3:H$501,MATCH(ROW()-2,종합!$AC$3:$AC$501,0))&amp;"","")</f>
        <v/>
      </c>
      <c r="I138" s="21" t="str">
        <f aca="false">IFERROR(INDEX(종합!I$3:I$501,MATCH(ROW()-2,종합!$AC$3:$AC$501,0))&amp;"","")</f>
        <v/>
      </c>
      <c r="J138" s="21" t="str">
        <f aca="false">IFERROR(INDEX(종합!J$3:J$501,MATCH(ROW()-2,종합!$AC$3:$AC$501,0))&amp;"","")</f>
        <v/>
      </c>
      <c r="K138" s="21" t="str">
        <f aca="false">IFERROR(INDEX(종합!K$3:K$501,MATCH(ROW()-2,종합!$AC$3:$AC$501,0))&amp;"","")</f>
        <v/>
      </c>
      <c r="L138" s="21" t="str">
        <f aca="false">IFERROR(INDEX(종합!L$3:L$501,MATCH(ROW()-2,종합!$AC$3:$AC$501,0))&amp;"","")</f>
        <v/>
      </c>
      <c r="M138" s="21" t="str">
        <f aca="false">IFERROR(INDEX(종합!M$3:M$501,MATCH(ROW()-2,종합!$AC$3:$AC$501,0))&amp;"","")</f>
        <v/>
      </c>
      <c r="N138" s="25" t="str">
        <f aca="false">IFERROR(INDEX(종합!N$3:N$501,MATCH(ROW()-2,종합!$AC$3:$AC$501,0))&amp;"","")</f>
        <v/>
      </c>
      <c r="O138" s="21" t="str">
        <f aca="false">IFERROR(INDEX(종합!O$3:O$501,MATCH(ROW()-2,종합!$AC$3:$AC$501,0))&amp;"","")</f>
        <v/>
      </c>
      <c r="P138" s="21" t="str">
        <f aca="false">IFERROR(INDEX(종합!P$3:P$501,MATCH(ROW()-2,종합!$AC$3:$AC$501,0))&amp;"","")</f>
        <v/>
      </c>
      <c r="Q138" s="21" t="str">
        <f aca="false">IFERROR(INDEX(종합!Q$3:Q$501,MATCH(ROW()-2,종합!$AC$3:$AC$501,0))&amp;"","")</f>
        <v/>
      </c>
      <c r="R138" s="21" t="str">
        <f aca="false">IFERROR(INDEX(종합!R$3:R$501,MATCH(ROW()-2,종합!$AC$3:$AC$501,0))&amp;"","")</f>
        <v/>
      </c>
      <c r="S138" s="21" t="str">
        <f aca="false">IFERROR(INDEX(종합!S$3:S$501,MATCH(ROW()-2,종합!$AC$3:$AC$501,0))&amp;"","")</f>
        <v/>
      </c>
      <c r="T138" s="21" t="str">
        <f aca="false">IFERROR(INDEX(종합!T$3:T$501,MATCH(ROW()-2,종합!$AC$3:$AC$501,0))&amp;"","")</f>
        <v/>
      </c>
      <c r="U138" s="21" t="str">
        <f aca="false">IFERROR(INDEX(종합!U$3:U$501,MATCH(ROW()-2,종합!$AC$3:$AC$501,0))&amp;"","")</f>
        <v/>
      </c>
      <c r="V138" s="21" t="str">
        <f aca="false">IFERROR(INDEX(종합!V$3:V$501,MATCH(ROW()-2,종합!$AC$3:$AC$501,0))&amp;"","")</f>
        <v/>
      </c>
      <c r="W138" s="21" t="str">
        <f aca="false">IFERROR(INDEX(종합!W$3:W$501,MATCH(ROW()-2,종합!$AC$3:$AC$501,0))&amp;"","")</f>
        <v/>
      </c>
      <c r="X138" s="21" t="str">
        <f aca="false">IFERROR(INDEX(종합!X$3:X$501,MATCH(ROW()-2,종합!$AC$3:$AC$501,0))&amp;"","")</f>
        <v/>
      </c>
      <c r="Y138" s="21" t="str">
        <f aca="false">IFERROR(INDEX(종합!Y$3:Y$501,MATCH(ROW()-2,종합!$AC$3:$AC$501,0))&amp;"","")</f>
        <v/>
      </c>
      <c r="Z138" s="21" t="str">
        <f aca="false">IFERROR(INDEX(종합!Z$3:Z$501,MATCH(ROW()-2,종합!$AC$3:$AC$501,0))&amp;"","")</f>
        <v/>
      </c>
    </row>
    <row r="139" customFormat="false" ht="16.5" hidden="false" customHeight="true" outlineLevel="0" collapsed="false">
      <c r="A139" s="18" t="str">
        <f aca="false">IF(B139="","",ROW()-2)</f>
        <v/>
      </c>
      <c r="B139" s="18" t="str">
        <f aca="false">IFERROR(INDEX(종합!B$3:B$501,MATCH(ROW()-2,종합!$AC$3:$AC$501,0))&amp;"","")</f>
        <v/>
      </c>
      <c r="C139" s="18" t="str">
        <f aca="false">IFERROR(INDEX(종합!C$3:C$501,MATCH(ROW()-2,종합!$AC$3:$AC$501,0))&amp;"","")</f>
        <v/>
      </c>
      <c r="D139" s="18" t="str">
        <f aca="false">IFERROR(INDEX(종합!D$3:D$501,MATCH(ROW()-2,종합!$AC$3:$AC$501,0))&amp;"","")</f>
        <v/>
      </c>
      <c r="E139" s="18" t="str">
        <f aca="false">IFERROR(INDEX(종합!E$3:E$501,MATCH(ROW()-2,종합!$AC$3:$AC$501,0))&amp;"","")</f>
        <v/>
      </c>
      <c r="F139" s="18" t="str">
        <f aca="false">IFERROR(INDEX(종합!F$3:F$501,MATCH(ROW()-2,종합!$AC$3:$AC$501,0))&amp;"","")</f>
        <v/>
      </c>
      <c r="G139" s="18" t="str">
        <f aca="false">IFERROR(INDEX(종합!G$3:G$501,MATCH(ROW()-2,종합!$AC$3:$AC$501,0))&amp;"","")</f>
        <v/>
      </c>
      <c r="H139" s="21" t="str">
        <f aca="false">IFERROR(INDEX(종합!H$3:H$501,MATCH(ROW()-2,종합!$AC$3:$AC$501,0))&amp;"","")</f>
        <v/>
      </c>
      <c r="I139" s="21" t="str">
        <f aca="false">IFERROR(INDEX(종합!I$3:I$501,MATCH(ROW()-2,종합!$AC$3:$AC$501,0))&amp;"","")</f>
        <v/>
      </c>
      <c r="J139" s="21" t="str">
        <f aca="false">IFERROR(INDEX(종합!J$3:J$501,MATCH(ROW()-2,종합!$AC$3:$AC$501,0))&amp;"","")</f>
        <v/>
      </c>
      <c r="K139" s="21" t="str">
        <f aca="false">IFERROR(INDEX(종합!K$3:K$501,MATCH(ROW()-2,종합!$AC$3:$AC$501,0))&amp;"","")</f>
        <v/>
      </c>
      <c r="L139" s="21" t="str">
        <f aca="false">IFERROR(INDEX(종합!L$3:L$501,MATCH(ROW()-2,종합!$AC$3:$AC$501,0))&amp;"","")</f>
        <v/>
      </c>
      <c r="M139" s="21" t="str">
        <f aca="false">IFERROR(INDEX(종합!M$3:M$501,MATCH(ROW()-2,종합!$AC$3:$AC$501,0))&amp;"","")</f>
        <v/>
      </c>
      <c r="N139" s="25" t="str">
        <f aca="false">IFERROR(INDEX(종합!N$3:N$501,MATCH(ROW()-2,종합!$AC$3:$AC$501,0))&amp;"","")</f>
        <v/>
      </c>
      <c r="O139" s="21" t="str">
        <f aca="false">IFERROR(INDEX(종합!O$3:O$501,MATCH(ROW()-2,종합!$AC$3:$AC$501,0))&amp;"","")</f>
        <v/>
      </c>
      <c r="P139" s="21" t="str">
        <f aca="false">IFERROR(INDEX(종합!P$3:P$501,MATCH(ROW()-2,종합!$AC$3:$AC$501,0))&amp;"","")</f>
        <v/>
      </c>
      <c r="Q139" s="21" t="str">
        <f aca="false">IFERROR(INDEX(종합!Q$3:Q$501,MATCH(ROW()-2,종합!$AC$3:$AC$501,0))&amp;"","")</f>
        <v/>
      </c>
      <c r="R139" s="21" t="str">
        <f aca="false">IFERROR(INDEX(종합!R$3:R$501,MATCH(ROW()-2,종합!$AC$3:$AC$501,0))&amp;"","")</f>
        <v/>
      </c>
      <c r="S139" s="21" t="str">
        <f aca="false">IFERROR(INDEX(종합!S$3:S$501,MATCH(ROW()-2,종합!$AC$3:$AC$501,0))&amp;"","")</f>
        <v/>
      </c>
      <c r="T139" s="21" t="str">
        <f aca="false">IFERROR(INDEX(종합!T$3:T$501,MATCH(ROW()-2,종합!$AC$3:$AC$501,0))&amp;"","")</f>
        <v/>
      </c>
      <c r="U139" s="21" t="str">
        <f aca="false">IFERROR(INDEX(종합!U$3:U$501,MATCH(ROW()-2,종합!$AC$3:$AC$501,0))&amp;"","")</f>
        <v/>
      </c>
      <c r="V139" s="21" t="str">
        <f aca="false">IFERROR(INDEX(종합!V$3:V$501,MATCH(ROW()-2,종합!$AC$3:$AC$501,0))&amp;"","")</f>
        <v/>
      </c>
      <c r="W139" s="21" t="str">
        <f aca="false">IFERROR(INDEX(종합!W$3:W$501,MATCH(ROW()-2,종합!$AC$3:$AC$501,0))&amp;"","")</f>
        <v/>
      </c>
      <c r="X139" s="21" t="str">
        <f aca="false">IFERROR(INDEX(종합!X$3:X$501,MATCH(ROW()-2,종합!$AC$3:$AC$501,0))&amp;"","")</f>
        <v/>
      </c>
      <c r="Y139" s="21" t="str">
        <f aca="false">IFERROR(INDEX(종합!Y$3:Y$501,MATCH(ROW()-2,종합!$AC$3:$AC$501,0))&amp;"","")</f>
        <v/>
      </c>
      <c r="Z139" s="21" t="str">
        <f aca="false">IFERROR(INDEX(종합!Z$3:Z$501,MATCH(ROW()-2,종합!$AC$3:$AC$501,0))&amp;"","")</f>
        <v/>
      </c>
    </row>
    <row r="140" customFormat="false" ht="16.5" hidden="false" customHeight="true" outlineLevel="0" collapsed="false">
      <c r="A140" s="18" t="str">
        <f aca="false">IF(B140="","",ROW()-2)</f>
        <v/>
      </c>
      <c r="B140" s="18" t="str">
        <f aca="false">IFERROR(INDEX(종합!B$3:B$501,MATCH(ROW()-2,종합!$AC$3:$AC$501,0))&amp;"","")</f>
        <v/>
      </c>
      <c r="C140" s="18" t="str">
        <f aca="false">IFERROR(INDEX(종합!C$3:C$501,MATCH(ROW()-2,종합!$AC$3:$AC$501,0))&amp;"","")</f>
        <v/>
      </c>
      <c r="D140" s="18" t="str">
        <f aca="false">IFERROR(INDEX(종합!D$3:D$501,MATCH(ROW()-2,종합!$AC$3:$AC$501,0))&amp;"","")</f>
        <v/>
      </c>
      <c r="E140" s="18" t="str">
        <f aca="false">IFERROR(INDEX(종합!E$3:E$501,MATCH(ROW()-2,종합!$AC$3:$AC$501,0))&amp;"","")</f>
        <v/>
      </c>
      <c r="F140" s="18" t="str">
        <f aca="false">IFERROR(INDEX(종합!F$3:F$501,MATCH(ROW()-2,종합!$AC$3:$AC$501,0))&amp;"","")</f>
        <v/>
      </c>
      <c r="G140" s="18" t="str">
        <f aca="false">IFERROR(INDEX(종합!G$3:G$501,MATCH(ROW()-2,종합!$AC$3:$AC$501,0))&amp;"","")</f>
        <v/>
      </c>
      <c r="H140" s="21" t="str">
        <f aca="false">IFERROR(INDEX(종합!H$3:H$501,MATCH(ROW()-2,종합!$AC$3:$AC$501,0))&amp;"","")</f>
        <v/>
      </c>
      <c r="I140" s="21" t="str">
        <f aca="false">IFERROR(INDEX(종합!I$3:I$501,MATCH(ROW()-2,종합!$AC$3:$AC$501,0))&amp;"","")</f>
        <v/>
      </c>
      <c r="J140" s="21" t="str">
        <f aca="false">IFERROR(INDEX(종합!J$3:J$501,MATCH(ROW()-2,종합!$AC$3:$AC$501,0))&amp;"","")</f>
        <v/>
      </c>
      <c r="K140" s="21" t="str">
        <f aca="false">IFERROR(INDEX(종합!K$3:K$501,MATCH(ROW()-2,종합!$AC$3:$AC$501,0))&amp;"","")</f>
        <v/>
      </c>
      <c r="L140" s="21" t="str">
        <f aca="false">IFERROR(INDEX(종합!L$3:L$501,MATCH(ROW()-2,종합!$AC$3:$AC$501,0))&amp;"","")</f>
        <v/>
      </c>
      <c r="M140" s="21" t="str">
        <f aca="false">IFERROR(INDEX(종합!M$3:M$501,MATCH(ROW()-2,종합!$AC$3:$AC$501,0))&amp;"","")</f>
        <v/>
      </c>
      <c r="N140" s="25" t="str">
        <f aca="false">IFERROR(INDEX(종합!N$3:N$501,MATCH(ROW()-2,종합!$AC$3:$AC$501,0))&amp;"","")</f>
        <v/>
      </c>
      <c r="O140" s="21" t="str">
        <f aca="false">IFERROR(INDEX(종합!O$3:O$501,MATCH(ROW()-2,종합!$AC$3:$AC$501,0))&amp;"","")</f>
        <v/>
      </c>
      <c r="P140" s="21" t="str">
        <f aca="false">IFERROR(INDEX(종합!P$3:P$501,MATCH(ROW()-2,종합!$AC$3:$AC$501,0))&amp;"","")</f>
        <v/>
      </c>
      <c r="Q140" s="21" t="str">
        <f aca="false">IFERROR(INDEX(종합!Q$3:Q$501,MATCH(ROW()-2,종합!$AC$3:$AC$501,0))&amp;"","")</f>
        <v/>
      </c>
      <c r="R140" s="21" t="str">
        <f aca="false">IFERROR(INDEX(종합!R$3:R$501,MATCH(ROW()-2,종합!$AC$3:$AC$501,0))&amp;"","")</f>
        <v/>
      </c>
      <c r="S140" s="21" t="str">
        <f aca="false">IFERROR(INDEX(종합!S$3:S$501,MATCH(ROW()-2,종합!$AC$3:$AC$501,0))&amp;"","")</f>
        <v/>
      </c>
      <c r="T140" s="21" t="str">
        <f aca="false">IFERROR(INDEX(종합!T$3:T$501,MATCH(ROW()-2,종합!$AC$3:$AC$501,0))&amp;"","")</f>
        <v/>
      </c>
      <c r="U140" s="21" t="str">
        <f aca="false">IFERROR(INDEX(종합!U$3:U$501,MATCH(ROW()-2,종합!$AC$3:$AC$501,0))&amp;"","")</f>
        <v/>
      </c>
      <c r="V140" s="21" t="str">
        <f aca="false">IFERROR(INDEX(종합!V$3:V$501,MATCH(ROW()-2,종합!$AC$3:$AC$501,0))&amp;"","")</f>
        <v/>
      </c>
      <c r="W140" s="21" t="str">
        <f aca="false">IFERROR(INDEX(종합!W$3:W$501,MATCH(ROW()-2,종합!$AC$3:$AC$501,0))&amp;"","")</f>
        <v/>
      </c>
      <c r="X140" s="21" t="str">
        <f aca="false">IFERROR(INDEX(종합!X$3:X$501,MATCH(ROW()-2,종합!$AC$3:$AC$501,0))&amp;"","")</f>
        <v/>
      </c>
      <c r="Y140" s="21" t="str">
        <f aca="false">IFERROR(INDEX(종합!Y$3:Y$501,MATCH(ROW()-2,종합!$AC$3:$AC$501,0))&amp;"","")</f>
        <v/>
      </c>
      <c r="Z140" s="21" t="str">
        <f aca="false">IFERROR(INDEX(종합!Z$3:Z$501,MATCH(ROW()-2,종합!$AC$3:$AC$501,0))&amp;"","")</f>
        <v/>
      </c>
    </row>
    <row r="141" customFormat="false" ht="16.5" hidden="false" customHeight="true" outlineLevel="0" collapsed="false">
      <c r="A141" s="18" t="str">
        <f aca="false">IF(B141="","",ROW()-2)</f>
        <v/>
      </c>
      <c r="B141" s="18" t="str">
        <f aca="false">IFERROR(INDEX(종합!B$3:B$501,MATCH(ROW()-2,종합!$AC$3:$AC$501,0))&amp;"","")</f>
        <v/>
      </c>
      <c r="C141" s="18" t="str">
        <f aca="false">IFERROR(INDEX(종합!C$3:C$501,MATCH(ROW()-2,종합!$AC$3:$AC$501,0))&amp;"","")</f>
        <v/>
      </c>
      <c r="D141" s="18" t="str">
        <f aca="false">IFERROR(INDEX(종합!D$3:D$501,MATCH(ROW()-2,종합!$AC$3:$AC$501,0))&amp;"","")</f>
        <v/>
      </c>
      <c r="E141" s="18" t="str">
        <f aca="false">IFERROR(INDEX(종합!E$3:E$501,MATCH(ROW()-2,종합!$AC$3:$AC$501,0))&amp;"","")</f>
        <v/>
      </c>
      <c r="F141" s="18" t="str">
        <f aca="false">IFERROR(INDEX(종합!F$3:F$501,MATCH(ROW()-2,종합!$AC$3:$AC$501,0))&amp;"","")</f>
        <v/>
      </c>
      <c r="G141" s="18" t="str">
        <f aca="false">IFERROR(INDEX(종합!G$3:G$501,MATCH(ROW()-2,종합!$AC$3:$AC$501,0))&amp;"","")</f>
        <v/>
      </c>
      <c r="H141" s="21" t="str">
        <f aca="false">IFERROR(INDEX(종합!H$3:H$501,MATCH(ROW()-2,종합!$AC$3:$AC$501,0))&amp;"","")</f>
        <v/>
      </c>
      <c r="I141" s="21" t="str">
        <f aca="false">IFERROR(INDEX(종합!I$3:I$501,MATCH(ROW()-2,종합!$AC$3:$AC$501,0))&amp;"","")</f>
        <v/>
      </c>
      <c r="J141" s="21" t="str">
        <f aca="false">IFERROR(INDEX(종합!J$3:J$501,MATCH(ROW()-2,종합!$AC$3:$AC$501,0))&amp;"","")</f>
        <v/>
      </c>
      <c r="K141" s="21" t="str">
        <f aca="false">IFERROR(INDEX(종합!K$3:K$501,MATCH(ROW()-2,종합!$AC$3:$AC$501,0))&amp;"","")</f>
        <v/>
      </c>
      <c r="L141" s="21" t="str">
        <f aca="false">IFERROR(INDEX(종합!L$3:L$501,MATCH(ROW()-2,종합!$AC$3:$AC$501,0))&amp;"","")</f>
        <v/>
      </c>
      <c r="M141" s="21" t="str">
        <f aca="false">IFERROR(INDEX(종합!M$3:M$501,MATCH(ROW()-2,종합!$AC$3:$AC$501,0))&amp;"","")</f>
        <v/>
      </c>
      <c r="N141" s="25" t="str">
        <f aca="false">IFERROR(INDEX(종합!N$3:N$501,MATCH(ROW()-2,종합!$AC$3:$AC$501,0))&amp;"","")</f>
        <v/>
      </c>
      <c r="O141" s="21" t="str">
        <f aca="false">IFERROR(INDEX(종합!O$3:O$501,MATCH(ROW()-2,종합!$AC$3:$AC$501,0))&amp;"","")</f>
        <v/>
      </c>
      <c r="P141" s="21" t="str">
        <f aca="false">IFERROR(INDEX(종합!P$3:P$501,MATCH(ROW()-2,종합!$AC$3:$AC$501,0))&amp;"","")</f>
        <v/>
      </c>
      <c r="Q141" s="21" t="str">
        <f aca="false">IFERROR(INDEX(종합!Q$3:Q$501,MATCH(ROW()-2,종합!$AC$3:$AC$501,0))&amp;"","")</f>
        <v/>
      </c>
      <c r="R141" s="21" t="str">
        <f aca="false">IFERROR(INDEX(종합!R$3:R$501,MATCH(ROW()-2,종합!$AC$3:$AC$501,0))&amp;"","")</f>
        <v/>
      </c>
      <c r="S141" s="21" t="str">
        <f aca="false">IFERROR(INDEX(종합!S$3:S$501,MATCH(ROW()-2,종합!$AC$3:$AC$501,0))&amp;"","")</f>
        <v/>
      </c>
      <c r="T141" s="21" t="str">
        <f aca="false">IFERROR(INDEX(종합!T$3:T$501,MATCH(ROW()-2,종합!$AC$3:$AC$501,0))&amp;"","")</f>
        <v/>
      </c>
      <c r="U141" s="21" t="str">
        <f aca="false">IFERROR(INDEX(종합!U$3:U$501,MATCH(ROW()-2,종합!$AC$3:$AC$501,0))&amp;"","")</f>
        <v/>
      </c>
      <c r="V141" s="21" t="str">
        <f aca="false">IFERROR(INDEX(종합!V$3:V$501,MATCH(ROW()-2,종합!$AC$3:$AC$501,0))&amp;"","")</f>
        <v/>
      </c>
      <c r="W141" s="21" t="str">
        <f aca="false">IFERROR(INDEX(종합!W$3:W$501,MATCH(ROW()-2,종합!$AC$3:$AC$501,0))&amp;"","")</f>
        <v/>
      </c>
      <c r="X141" s="21" t="str">
        <f aca="false">IFERROR(INDEX(종합!X$3:X$501,MATCH(ROW()-2,종합!$AC$3:$AC$501,0))&amp;"","")</f>
        <v/>
      </c>
      <c r="Y141" s="21" t="str">
        <f aca="false">IFERROR(INDEX(종합!Y$3:Y$501,MATCH(ROW()-2,종합!$AC$3:$AC$501,0))&amp;"","")</f>
        <v/>
      </c>
      <c r="Z141" s="21" t="str">
        <f aca="false">IFERROR(INDEX(종합!Z$3:Z$501,MATCH(ROW()-2,종합!$AC$3:$AC$501,0))&amp;"","")</f>
        <v/>
      </c>
    </row>
    <row r="142" customFormat="false" ht="16.5" hidden="false" customHeight="true" outlineLevel="0" collapsed="false">
      <c r="A142" s="18" t="str">
        <f aca="false">IF(B142="","",ROW()-2)</f>
        <v/>
      </c>
      <c r="B142" s="18" t="str">
        <f aca="false">IFERROR(INDEX(종합!B$3:B$501,MATCH(ROW()-2,종합!$AC$3:$AC$501,0))&amp;"","")</f>
        <v/>
      </c>
      <c r="C142" s="18" t="str">
        <f aca="false">IFERROR(INDEX(종합!C$3:C$501,MATCH(ROW()-2,종합!$AC$3:$AC$501,0))&amp;"","")</f>
        <v/>
      </c>
      <c r="D142" s="18" t="str">
        <f aca="false">IFERROR(INDEX(종합!D$3:D$501,MATCH(ROW()-2,종합!$AC$3:$AC$501,0))&amp;"","")</f>
        <v/>
      </c>
      <c r="E142" s="18" t="str">
        <f aca="false">IFERROR(INDEX(종합!E$3:E$501,MATCH(ROW()-2,종합!$AC$3:$AC$501,0))&amp;"","")</f>
        <v/>
      </c>
      <c r="F142" s="18" t="str">
        <f aca="false">IFERROR(INDEX(종합!F$3:F$501,MATCH(ROW()-2,종합!$AC$3:$AC$501,0))&amp;"","")</f>
        <v/>
      </c>
      <c r="G142" s="18" t="str">
        <f aca="false">IFERROR(INDEX(종합!G$3:G$501,MATCH(ROW()-2,종합!$AC$3:$AC$501,0))&amp;"","")</f>
        <v/>
      </c>
      <c r="H142" s="21" t="str">
        <f aca="false">IFERROR(INDEX(종합!H$3:H$501,MATCH(ROW()-2,종합!$AC$3:$AC$501,0))&amp;"","")</f>
        <v/>
      </c>
      <c r="I142" s="21" t="str">
        <f aca="false">IFERROR(INDEX(종합!I$3:I$501,MATCH(ROW()-2,종합!$AC$3:$AC$501,0))&amp;"","")</f>
        <v/>
      </c>
      <c r="J142" s="21" t="str">
        <f aca="false">IFERROR(INDEX(종합!J$3:J$501,MATCH(ROW()-2,종합!$AC$3:$AC$501,0))&amp;"","")</f>
        <v/>
      </c>
      <c r="K142" s="21" t="str">
        <f aca="false">IFERROR(INDEX(종합!K$3:K$501,MATCH(ROW()-2,종합!$AC$3:$AC$501,0))&amp;"","")</f>
        <v/>
      </c>
      <c r="L142" s="21" t="str">
        <f aca="false">IFERROR(INDEX(종합!L$3:L$501,MATCH(ROW()-2,종합!$AC$3:$AC$501,0))&amp;"","")</f>
        <v/>
      </c>
      <c r="M142" s="21" t="str">
        <f aca="false">IFERROR(INDEX(종합!M$3:M$501,MATCH(ROW()-2,종합!$AC$3:$AC$501,0))&amp;"","")</f>
        <v/>
      </c>
      <c r="N142" s="25" t="str">
        <f aca="false">IFERROR(INDEX(종합!N$3:N$501,MATCH(ROW()-2,종합!$AC$3:$AC$501,0))&amp;"","")</f>
        <v/>
      </c>
      <c r="O142" s="21" t="str">
        <f aca="false">IFERROR(INDEX(종합!O$3:O$501,MATCH(ROW()-2,종합!$AC$3:$AC$501,0))&amp;"","")</f>
        <v/>
      </c>
      <c r="P142" s="21" t="str">
        <f aca="false">IFERROR(INDEX(종합!P$3:P$501,MATCH(ROW()-2,종합!$AC$3:$AC$501,0))&amp;"","")</f>
        <v/>
      </c>
      <c r="Q142" s="21" t="str">
        <f aca="false">IFERROR(INDEX(종합!Q$3:Q$501,MATCH(ROW()-2,종합!$AC$3:$AC$501,0))&amp;"","")</f>
        <v/>
      </c>
      <c r="R142" s="21" t="str">
        <f aca="false">IFERROR(INDEX(종합!R$3:R$501,MATCH(ROW()-2,종합!$AC$3:$AC$501,0))&amp;"","")</f>
        <v/>
      </c>
      <c r="S142" s="21" t="str">
        <f aca="false">IFERROR(INDEX(종합!S$3:S$501,MATCH(ROW()-2,종합!$AC$3:$AC$501,0))&amp;"","")</f>
        <v/>
      </c>
      <c r="T142" s="21" t="str">
        <f aca="false">IFERROR(INDEX(종합!T$3:T$501,MATCH(ROW()-2,종합!$AC$3:$AC$501,0))&amp;"","")</f>
        <v/>
      </c>
      <c r="U142" s="21" t="str">
        <f aca="false">IFERROR(INDEX(종합!U$3:U$501,MATCH(ROW()-2,종합!$AC$3:$AC$501,0))&amp;"","")</f>
        <v/>
      </c>
      <c r="V142" s="21" t="str">
        <f aca="false">IFERROR(INDEX(종합!V$3:V$501,MATCH(ROW()-2,종합!$AC$3:$AC$501,0))&amp;"","")</f>
        <v/>
      </c>
      <c r="W142" s="21" t="str">
        <f aca="false">IFERROR(INDEX(종합!W$3:W$501,MATCH(ROW()-2,종합!$AC$3:$AC$501,0))&amp;"","")</f>
        <v/>
      </c>
      <c r="X142" s="21" t="str">
        <f aca="false">IFERROR(INDEX(종합!X$3:X$501,MATCH(ROW()-2,종합!$AC$3:$AC$501,0))&amp;"","")</f>
        <v/>
      </c>
      <c r="Y142" s="21" t="str">
        <f aca="false">IFERROR(INDEX(종합!Y$3:Y$501,MATCH(ROW()-2,종합!$AC$3:$AC$501,0))&amp;"","")</f>
        <v/>
      </c>
      <c r="Z142" s="21" t="str">
        <f aca="false">IFERROR(INDEX(종합!Z$3:Z$501,MATCH(ROW()-2,종합!$AC$3:$AC$501,0))&amp;"","")</f>
        <v/>
      </c>
    </row>
    <row r="143" customFormat="false" ht="16.5" hidden="false" customHeight="true" outlineLevel="0" collapsed="false">
      <c r="A143" s="18" t="str">
        <f aca="false">IF(B143="","",ROW()-2)</f>
        <v/>
      </c>
      <c r="B143" s="18" t="str">
        <f aca="false">IFERROR(INDEX(종합!B$3:B$501,MATCH(ROW()-2,종합!$AC$3:$AC$501,0))&amp;"","")</f>
        <v/>
      </c>
      <c r="C143" s="18" t="str">
        <f aca="false">IFERROR(INDEX(종합!C$3:C$501,MATCH(ROW()-2,종합!$AC$3:$AC$501,0))&amp;"","")</f>
        <v/>
      </c>
      <c r="D143" s="18" t="str">
        <f aca="false">IFERROR(INDEX(종합!D$3:D$501,MATCH(ROW()-2,종합!$AC$3:$AC$501,0))&amp;"","")</f>
        <v/>
      </c>
      <c r="E143" s="18" t="str">
        <f aca="false">IFERROR(INDEX(종합!E$3:E$501,MATCH(ROW()-2,종합!$AC$3:$AC$501,0))&amp;"","")</f>
        <v/>
      </c>
      <c r="F143" s="18" t="str">
        <f aca="false">IFERROR(INDEX(종합!F$3:F$501,MATCH(ROW()-2,종합!$AC$3:$AC$501,0))&amp;"","")</f>
        <v/>
      </c>
      <c r="G143" s="18" t="str">
        <f aca="false">IFERROR(INDEX(종합!G$3:G$501,MATCH(ROW()-2,종합!$AC$3:$AC$501,0))&amp;"","")</f>
        <v/>
      </c>
      <c r="H143" s="21" t="str">
        <f aca="false">IFERROR(INDEX(종합!H$3:H$501,MATCH(ROW()-2,종합!$AC$3:$AC$501,0))&amp;"","")</f>
        <v/>
      </c>
      <c r="I143" s="21" t="str">
        <f aca="false">IFERROR(INDEX(종합!I$3:I$501,MATCH(ROW()-2,종합!$AC$3:$AC$501,0))&amp;"","")</f>
        <v/>
      </c>
      <c r="J143" s="21" t="str">
        <f aca="false">IFERROR(INDEX(종합!J$3:J$501,MATCH(ROW()-2,종합!$AC$3:$AC$501,0))&amp;"","")</f>
        <v/>
      </c>
      <c r="K143" s="21" t="str">
        <f aca="false">IFERROR(INDEX(종합!K$3:K$501,MATCH(ROW()-2,종합!$AC$3:$AC$501,0))&amp;"","")</f>
        <v/>
      </c>
      <c r="L143" s="21" t="str">
        <f aca="false">IFERROR(INDEX(종합!L$3:L$501,MATCH(ROW()-2,종합!$AC$3:$AC$501,0))&amp;"","")</f>
        <v/>
      </c>
      <c r="M143" s="21" t="str">
        <f aca="false">IFERROR(INDEX(종합!M$3:M$501,MATCH(ROW()-2,종합!$AC$3:$AC$501,0))&amp;"","")</f>
        <v/>
      </c>
      <c r="N143" s="25" t="str">
        <f aca="false">IFERROR(INDEX(종합!N$3:N$501,MATCH(ROW()-2,종합!$AC$3:$AC$501,0))&amp;"","")</f>
        <v/>
      </c>
      <c r="O143" s="21" t="str">
        <f aca="false">IFERROR(INDEX(종합!O$3:O$501,MATCH(ROW()-2,종합!$AC$3:$AC$501,0))&amp;"","")</f>
        <v/>
      </c>
      <c r="P143" s="21" t="str">
        <f aca="false">IFERROR(INDEX(종합!P$3:P$501,MATCH(ROW()-2,종합!$AC$3:$AC$501,0))&amp;"","")</f>
        <v/>
      </c>
      <c r="Q143" s="21" t="str">
        <f aca="false">IFERROR(INDEX(종합!Q$3:Q$501,MATCH(ROW()-2,종합!$AC$3:$AC$501,0))&amp;"","")</f>
        <v/>
      </c>
      <c r="R143" s="21" t="str">
        <f aca="false">IFERROR(INDEX(종합!R$3:R$501,MATCH(ROW()-2,종합!$AC$3:$AC$501,0))&amp;"","")</f>
        <v/>
      </c>
      <c r="S143" s="21" t="str">
        <f aca="false">IFERROR(INDEX(종합!S$3:S$501,MATCH(ROW()-2,종합!$AC$3:$AC$501,0))&amp;"","")</f>
        <v/>
      </c>
      <c r="T143" s="21" t="str">
        <f aca="false">IFERROR(INDEX(종합!T$3:T$501,MATCH(ROW()-2,종합!$AC$3:$AC$501,0))&amp;"","")</f>
        <v/>
      </c>
      <c r="U143" s="21" t="str">
        <f aca="false">IFERROR(INDEX(종합!U$3:U$501,MATCH(ROW()-2,종합!$AC$3:$AC$501,0))&amp;"","")</f>
        <v/>
      </c>
      <c r="V143" s="21" t="str">
        <f aca="false">IFERROR(INDEX(종합!V$3:V$501,MATCH(ROW()-2,종합!$AC$3:$AC$501,0))&amp;"","")</f>
        <v/>
      </c>
      <c r="W143" s="21" t="str">
        <f aca="false">IFERROR(INDEX(종합!W$3:W$501,MATCH(ROW()-2,종합!$AC$3:$AC$501,0))&amp;"","")</f>
        <v/>
      </c>
      <c r="X143" s="21" t="str">
        <f aca="false">IFERROR(INDEX(종합!X$3:X$501,MATCH(ROW()-2,종합!$AC$3:$AC$501,0))&amp;"","")</f>
        <v/>
      </c>
      <c r="Y143" s="21" t="str">
        <f aca="false">IFERROR(INDEX(종합!Y$3:Y$501,MATCH(ROW()-2,종합!$AC$3:$AC$501,0))&amp;"","")</f>
        <v/>
      </c>
      <c r="Z143" s="21" t="str">
        <f aca="false">IFERROR(INDEX(종합!Z$3:Z$501,MATCH(ROW()-2,종합!$AC$3:$AC$501,0))&amp;"","")</f>
        <v/>
      </c>
    </row>
    <row r="144" customFormat="false" ht="16.5" hidden="false" customHeight="true" outlineLevel="0" collapsed="false">
      <c r="A144" s="18" t="str">
        <f aca="false">IF(B144="","",ROW()-2)</f>
        <v/>
      </c>
      <c r="B144" s="18" t="str">
        <f aca="false">IFERROR(INDEX(종합!B$3:B$501,MATCH(ROW()-2,종합!$AC$3:$AC$501,0))&amp;"","")</f>
        <v/>
      </c>
      <c r="C144" s="18" t="str">
        <f aca="false">IFERROR(INDEX(종합!C$3:C$501,MATCH(ROW()-2,종합!$AC$3:$AC$501,0))&amp;"","")</f>
        <v/>
      </c>
      <c r="D144" s="18" t="str">
        <f aca="false">IFERROR(INDEX(종합!D$3:D$501,MATCH(ROW()-2,종합!$AC$3:$AC$501,0))&amp;"","")</f>
        <v/>
      </c>
      <c r="E144" s="18" t="str">
        <f aca="false">IFERROR(INDEX(종합!E$3:E$501,MATCH(ROW()-2,종합!$AC$3:$AC$501,0))&amp;"","")</f>
        <v/>
      </c>
      <c r="F144" s="18" t="str">
        <f aca="false">IFERROR(INDEX(종합!F$3:F$501,MATCH(ROW()-2,종합!$AC$3:$AC$501,0))&amp;"","")</f>
        <v/>
      </c>
      <c r="G144" s="18" t="str">
        <f aca="false">IFERROR(INDEX(종합!G$3:G$501,MATCH(ROW()-2,종합!$AC$3:$AC$501,0))&amp;"","")</f>
        <v/>
      </c>
      <c r="H144" s="21" t="str">
        <f aca="false">IFERROR(INDEX(종합!H$3:H$501,MATCH(ROW()-2,종합!$AC$3:$AC$501,0))&amp;"","")</f>
        <v/>
      </c>
      <c r="I144" s="21" t="str">
        <f aca="false">IFERROR(INDEX(종합!I$3:I$501,MATCH(ROW()-2,종합!$AC$3:$AC$501,0))&amp;"","")</f>
        <v/>
      </c>
      <c r="J144" s="21" t="str">
        <f aca="false">IFERROR(INDEX(종합!J$3:J$501,MATCH(ROW()-2,종합!$AC$3:$AC$501,0))&amp;"","")</f>
        <v/>
      </c>
      <c r="K144" s="21" t="str">
        <f aca="false">IFERROR(INDEX(종합!K$3:K$501,MATCH(ROW()-2,종합!$AC$3:$AC$501,0))&amp;"","")</f>
        <v/>
      </c>
      <c r="L144" s="21" t="str">
        <f aca="false">IFERROR(INDEX(종합!L$3:L$501,MATCH(ROW()-2,종합!$AC$3:$AC$501,0))&amp;"","")</f>
        <v/>
      </c>
      <c r="M144" s="21" t="str">
        <f aca="false">IFERROR(INDEX(종합!M$3:M$501,MATCH(ROW()-2,종합!$AC$3:$AC$501,0))&amp;"","")</f>
        <v/>
      </c>
      <c r="N144" s="25" t="str">
        <f aca="false">IFERROR(INDEX(종합!N$3:N$501,MATCH(ROW()-2,종합!$AC$3:$AC$501,0))&amp;"","")</f>
        <v/>
      </c>
      <c r="O144" s="21" t="str">
        <f aca="false">IFERROR(INDEX(종합!O$3:O$501,MATCH(ROW()-2,종합!$AC$3:$AC$501,0))&amp;"","")</f>
        <v/>
      </c>
      <c r="P144" s="21" t="str">
        <f aca="false">IFERROR(INDEX(종합!P$3:P$501,MATCH(ROW()-2,종합!$AC$3:$AC$501,0))&amp;"","")</f>
        <v/>
      </c>
      <c r="Q144" s="21" t="str">
        <f aca="false">IFERROR(INDEX(종합!Q$3:Q$501,MATCH(ROW()-2,종합!$AC$3:$AC$501,0))&amp;"","")</f>
        <v/>
      </c>
      <c r="R144" s="21" t="str">
        <f aca="false">IFERROR(INDEX(종합!R$3:R$501,MATCH(ROW()-2,종합!$AC$3:$AC$501,0))&amp;"","")</f>
        <v/>
      </c>
      <c r="S144" s="21" t="str">
        <f aca="false">IFERROR(INDEX(종합!S$3:S$501,MATCH(ROW()-2,종합!$AC$3:$AC$501,0))&amp;"","")</f>
        <v/>
      </c>
      <c r="T144" s="21" t="str">
        <f aca="false">IFERROR(INDEX(종합!T$3:T$501,MATCH(ROW()-2,종합!$AC$3:$AC$501,0))&amp;"","")</f>
        <v/>
      </c>
      <c r="U144" s="21" t="str">
        <f aca="false">IFERROR(INDEX(종합!U$3:U$501,MATCH(ROW()-2,종합!$AC$3:$AC$501,0))&amp;"","")</f>
        <v/>
      </c>
      <c r="V144" s="21" t="str">
        <f aca="false">IFERROR(INDEX(종합!V$3:V$501,MATCH(ROW()-2,종합!$AC$3:$AC$501,0))&amp;"","")</f>
        <v/>
      </c>
      <c r="W144" s="21" t="str">
        <f aca="false">IFERROR(INDEX(종합!W$3:W$501,MATCH(ROW()-2,종합!$AC$3:$AC$501,0))&amp;"","")</f>
        <v/>
      </c>
      <c r="X144" s="21" t="str">
        <f aca="false">IFERROR(INDEX(종합!X$3:X$501,MATCH(ROW()-2,종합!$AC$3:$AC$501,0))&amp;"","")</f>
        <v/>
      </c>
      <c r="Y144" s="21" t="str">
        <f aca="false">IFERROR(INDEX(종합!Y$3:Y$501,MATCH(ROW()-2,종합!$AC$3:$AC$501,0))&amp;"","")</f>
        <v/>
      </c>
      <c r="Z144" s="21" t="str">
        <f aca="false">IFERROR(INDEX(종합!Z$3:Z$501,MATCH(ROW()-2,종합!$AC$3:$AC$501,0))&amp;"","")</f>
        <v/>
      </c>
    </row>
    <row r="145" customFormat="false" ht="16.5" hidden="false" customHeight="true" outlineLevel="0" collapsed="false">
      <c r="A145" s="18" t="str">
        <f aca="false">IF(B145="","",ROW()-2)</f>
        <v/>
      </c>
      <c r="B145" s="18" t="str">
        <f aca="false">IFERROR(INDEX(종합!B$3:B$501,MATCH(ROW()-2,종합!$AC$3:$AC$501,0))&amp;"","")</f>
        <v/>
      </c>
      <c r="C145" s="18" t="str">
        <f aca="false">IFERROR(INDEX(종합!C$3:C$501,MATCH(ROW()-2,종합!$AC$3:$AC$501,0))&amp;"","")</f>
        <v/>
      </c>
      <c r="D145" s="18" t="str">
        <f aca="false">IFERROR(INDEX(종합!D$3:D$501,MATCH(ROW()-2,종합!$AC$3:$AC$501,0))&amp;"","")</f>
        <v/>
      </c>
      <c r="E145" s="18" t="str">
        <f aca="false">IFERROR(INDEX(종합!E$3:E$501,MATCH(ROW()-2,종합!$AC$3:$AC$501,0))&amp;"","")</f>
        <v/>
      </c>
      <c r="F145" s="18" t="str">
        <f aca="false">IFERROR(INDEX(종합!F$3:F$501,MATCH(ROW()-2,종합!$AC$3:$AC$501,0))&amp;"","")</f>
        <v/>
      </c>
      <c r="G145" s="18" t="str">
        <f aca="false">IFERROR(INDEX(종합!G$3:G$501,MATCH(ROW()-2,종합!$AC$3:$AC$501,0))&amp;"","")</f>
        <v/>
      </c>
      <c r="H145" s="21" t="str">
        <f aca="false">IFERROR(INDEX(종합!H$3:H$501,MATCH(ROW()-2,종합!$AC$3:$AC$501,0))&amp;"","")</f>
        <v/>
      </c>
      <c r="I145" s="21" t="str">
        <f aca="false">IFERROR(INDEX(종합!I$3:I$501,MATCH(ROW()-2,종합!$AC$3:$AC$501,0))&amp;"","")</f>
        <v/>
      </c>
      <c r="J145" s="21" t="str">
        <f aca="false">IFERROR(INDEX(종합!J$3:J$501,MATCH(ROW()-2,종합!$AC$3:$AC$501,0))&amp;"","")</f>
        <v/>
      </c>
      <c r="K145" s="21" t="str">
        <f aca="false">IFERROR(INDEX(종합!K$3:K$501,MATCH(ROW()-2,종합!$AC$3:$AC$501,0))&amp;"","")</f>
        <v/>
      </c>
      <c r="L145" s="21" t="str">
        <f aca="false">IFERROR(INDEX(종합!L$3:L$501,MATCH(ROW()-2,종합!$AC$3:$AC$501,0))&amp;"","")</f>
        <v/>
      </c>
      <c r="M145" s="21" t="str">
        <f aca="false">IFERROR(INDEX(종합!M$3:M$501,MATCH(ROW()-2,종합!$AC$3:$AC$501,0))&amp;"","")</f>
        <v/>
      </c>
      <c r="N145" s="25" t="str">
        <f aca="false">IFERROR(INDEX(종합!N$3:N$501,MATCH(ROW()-2,종합!$AC$3:$AC$501,0))&amp;"","")</f>
        <v/>
      </c>
      <c r="O145" s="21" t="str">
        <f aca="false">IFERROR(INDEX(종합!O$3:O$501,MATCH(ROW()-2,종합!$AC$3:$AC$501,0))&amp;"","")</f>
        <v/>
      </c>
      <c r="P145" s="21" t="str">
        <f aca="false">IFERROR(INDEX(종합!P$3:P$501,MATCH(ROW()-2,종합!$AC$3:$AC$501,0))&amp;"","")</f>
        <v/>
      </c>
      <c r="Q145" s="21" t="str">
        <f aca="false">IFERROR(INDEX(종합!Q$3:Q$501,MATCH(ROW()-2,종합!$AC$3:$AC$501,0))&amp;"","")</f>
        <v/>
      </c>
      <c r="R145" s="21" t="str">
        <f aca="false">IFERROR(INDEX(종합!R$3:R$501,MATCH(ROW()-2,종합!$AC$3:$AC$501,0))&amp;"","")</f>
        <v/>
      </c>
      <c r="S145" s="21" t="str">
        <f aca="false">IFERROR(INDEX(종합!S$3:S$501,MATCH(ROW()-2,종합!$AC$3:$AC$501,0))&amp;"","")</f>
        <v/>
      </c>
      <c r="T145" s="21" t="str">
        <f aca="false">IFERROR(INDEX(종합!T$3:T$501,MATCH(ROW()-2,종합!$AC$3:$AC$501,0))&amp;"","")</f>
        <v/>
      </c>
      <c r="U145" s="21" t="str">
        <f aca="false">IFERROR(INDEX(종합!U$3:U$501,MATCH(ROW()-2,종합!$AC$3:$AC$501,0))&amp;"","")</f>
        <v/>
      </c>
      <c r="V145" s="21" t="str">
        <f aca="false">IFERROR(INDEX(종합!V$3:V$501,MATCH(ROW()-2,종합!$AC$3:$AC$501,0))&amp;"","")</f>
        <v/>
      </c>
      <c r="W145" s="21" t="str">
        <f aca="false">IFERROR(INDEX(종합!W$3:W$501,MATCH(ROW()-2,종합!$AC$3:$AC$501,0))&amp;"","")</f>
        <v/>
      </c>
      <c r="X145" s="21" t="str">
        <f aca="false">IFERROR(INDEX(종합!X$3:X$501,MATCH(ROW()-2,종합!$AC$3:$AC$501,0))&amp;"","")</f>
        <v/>
      </c>
      <c r="Y145" s="21" t="str">
        <f aca="false">IFERROR(INDEX(종합!Y$3:Y$501,MATCH(ROW()-2,종합!$AC$3:$AC$501,0))&amp;"","")</f>
        <v/>
      </c>
      <c r="Z145" s="21" t="str">
        <f aca="false">IFERROR(INDEX(종합!Z$3:Z$501,MATCH(ROW()-2,종합!$AC$3:$AC$501,0))&amp;"","")</f>
        <v/>
      </c>
    </row>
    <row r="146" customFormat="false" ht="16.5" hidden="false" customHeight="true" outlineLevel="0" collapsed="false">
      <c r="A146" s="18" t="str">
        <f aca="false">IF(B146="","",ROW()-2)</f>
        <v/>
      </c>
      <c r="B146" s="18" t="str">
        <f aca="false">IFERROR(INDEX(종합!B$3:B$501,MATCH(ROW()-2,종합!$AC$3:$AC$501,0))&amp;"","")</f>
        <v/>
      </c>
      <c r="C146" s="18" t="str">
        <f aca="false">IFERROR(INDEX(종합!C$3:C$501,MATCH(ROW()-2,종합!$AC$3:$AC$501,0))&amp;"","")</f>
        <v/>
      </c>
      <c r="D146" s="18" t="str">
        <f aca="false">IFERROR(INDEX(종합!D$3:D$501,MATCH(ROW()-2,종합!$AC$3:$AC$501,0))&amp;"","")</f>
        <v/>
      </c>
      <c r="E146" s="18" t="str">
        <f aca="false">IFERROR(INDEX(종합!E$3:E$501,MATCH(ROW()-2,종합!$AC$3:$AC$501,0))&amp;"","")</f>
        <v/>
      </c>
      <c r="F146" s="18" t="str">
        <f aca="false">IFERROR(INDEX(종합!F$3:F$501,MATCH(ROW()-2,종합!$AC$3:$AC$501,0))&amp;"","")</f>
        <v/>
      </c>
      <c r="G146" s="18" t="str">
        <f aca="false">IFERROR(INDEX(종합!G$3:G$501,MATCH(ROW()-2,종합!$AC$3:$AC$501,0))&amp;"","")</f>
        <v/>
      </c>
      <c r="H146" s="21" t="str">
        <f aca="false">IFERROR(INDEX(종합!H$3:H$501,MATCH(ROW()-2,종합!$AC$3:$AC$501,0))&amp;"","")</f>
        <v/>
      </c>
      <c r="I146" s="21" t="str">
        <f aca="false">IFERROR(INDEX(종합!I$3:I$501,MATCH(ROW()-2,종합!$AC$3:$AC$501,0))&amp;"","")</f>
        <v/>
      </c>
      <c r="J146" s="21" t="str">
        <f aca="false">IFERROR(INDEX(종합!J$3:J$501,MATCH(ROW()-2,종합!$AC$3:$AC$501,0))&amp;"","")</f>
        <v/>
      </c>
      <c r="K146" s="21" t="str">
        <f aca="false">IFERROR(INDEX(종합!K$3:K$501,MATCH(ROW()-2,종합!$AC$3:$AC$501,0))&amp;"","")</f>
        <v/>
      </c>
      <c r="L146" s="21" t="str">
        <f aca="false">IFERROR(INDEX(종합!L$3:L$501,MATCH(ROW()-2,종합!$AC$3:$AC$501,0))&amp;"","")</f>
        <v/>
      </c>
      <c r="M146" s="21" t="str">
        <f aca="false">IFERROR(INDEX(종합!M$3:M$501,MATCH(ROW()-2,종합!$AC$3:$AC$501,0))&amp;"","")</f>
        <v/>
      </c>
      <c r="N146" s="25" t="str">
        <f aca="false">IFERROR(INDEX(종합!N$3:N$501,MATCH(ROW()-2,종합!$AC$3:$AC$501,0))&amp;"","")</f>
        <v/>
      </c>
      <c r="O146" s="21" t="str">
        <f aca="false">IFERROR(INDEX(종합!O$3:O$501,MATCH(ROW()-2,종합!$AC$3:$AC$501,0))&amp;"","")</f>
        <v/>
      </c>
      <c r="P146" s="21" t="str">
        <f aca="false">IFERROR(INDEX(종합!P$3:P$501,MATCH(ROW()-2,종합!$AC$3:$AC$501,0))&amp;"","")</f>
        <v/>
      </c>
      <c r="Q146" s="21" t="str">
        <f aca="false">IFERROR(INDEX(종합!Q$3:Q$501,MATCH(ROW()-2,종합!$AC$3:$AC$501,0))&amp;"","")</f>
        <v/>
      </c>
      <c r="R146" s="21" t="str">
        <f aca="false">IFERROR(INDEX(종합!R$3:R$501,MATCH(ROW()-2,종합!$AC$3:$AC$501,0))&amp;"","")</f>
        <v/>
      </c>
      <c r="S146" s="21" t="str">
        <f aca="false">IFERROR(INDEX(종합!S$3:S$501,MATCH(ROW()-2,종합!$AC$3:$AC$501,0))&amp;"","")</f>
        <v/>
      </c>
      <c r="T146" s="21" t="str">
        <f aca="false">IFERROR(INDEX(종합!T$3:T$501,MATCH(ROW()-2,종합!$AC$3:$AC$501,0))&amp;"","")</f>
        <v/>
      </c>
      <c r="U146" s="21" t="str">
        <f aca="false">IFERROR(INDEX(종합!U$3:U$501,MATCH(ROW()-2,종합!$AC$3:$AC$501,0))&amp;"","")</f>
        <v/>
      </c>
      <c r="V146" s="21" t="str">
        <f aca="false">IFERROR(INDEX(종합!V$3:V$501,MATCH(ROW()-2,종합!$AC$3:$AC$501,0))&amp;"","")</f>
        <v/>
      </c>
      <c r="W146" s="21" t="str">
        <f aca="false">IFERROR(INDEX(종합!W$3:W$501,MATCH(ROW()-2,종합!$AC$3:$AC$501,0))&amp;"","")</f>
        <v/>
      </c>
      <c r="X146" s="21" t="str">
        <f aca="false">IFERROR(INDEX(종합!X$3:X$501,MATCH(ROW()-2,종합!$AC$3:$AC$501,0))&amp;"","")</f>
        <v/>
      </c>
      <c r="Y146" s="21" t="str">
        <f aca="false">IFERROR(INDEX(종합!Y$3:Y$501,MATCH(ROW()-2,종합!$AC$3:$AC$501,0))&amp;"","")</f>
        <v/>
      </c>
      <c r="Z146" s="21" t="str">
        <f aca="false">IFERROR(INDEX(종합!Z$3:Z$501,MATCH(ROW()-2,종합!$AC$3:$AC$501,0))&amp;"","")</f>
        <v/>
      </c>
    </row>
    <row r="147" customFormat="false" ht="16.5" hidden="false" customHeight="true" outlineLevel="0" collapsed="false">
      <c r="A147" s="18" t="str">
        <f aca="false">IF(B147="","",ROW()-2)</f>
        <v/>
      </c>
      <c r="B147" s="18" t="str">
        <f aca="false">IFERROR(INDEX(종합!B$3:B$501,MATCH(ROW()-2,종합!$AC$3:$AC$501,0))&amp;"","")</f>
        <v/>
      </c>
      <c r="C147" s="18" t="str">
        <f aca="false">IFERROR(INDEX(종합!C$3:C$501,MATCH(ROW()-2,종합!$AC$3:$AC$501,0))&amp;"","")</f>
        <v/>
      </c>
      <c r="D147" s="18" t="str">
        <f aca="false">IFERROR(INDEX(종합!D$3:D$501,MATCH(ROW()-2,종합!$AC$3:$AC$501,0))&amp;"","")</f>
        <v/>
      </c>
      <c r="E147" s="18" t="str">
        <f aca="false">IFERROR(INDEX(종합!E$3:E$501,MATCH(ROW()-2,종합!$AC$3:$AC$501,0))&amp;"","")</f>
        <v/>
      </c>
      <c r="F147" s="18" t="str">
        <f aca="false">IFERROR(INDEX(종합!F$3:F$501,MATCH(ROW()-2,종합!$AC$3:$AC$501,0))&amp;"","")</f>
        <v/>
      </c>
      <c r="G147" s="18" t="str">
        <f aca="false">IFERROR(INDEX(종합!G$3:G$501,MATCH(ROW()-2,종합!$AC$3:$AC$501,0))&amp;"","")</f>
        <v/>
      </c>
      <c r="H147" s="21" t="str">
        <f aca="false">IFERROR(INDEX(종합!H$3:H$501,MATCH(ROW()-2,종합!$AC$3:$AC$501,0))&amp;"","")</f>
        <v/>
      </c>
      <c r="I147" s="21" t="str">
        <f aca="false">IFERROR(INDEX(종합!I$3:I$501,MATCH(ROW()-2,종합!$AC$3:$AC$501,0))&amp;"","")</f>
        <v/>
      </c>
      <c r="J147" s="21" t="str">
        <f aca="false">IFERROR(INDEX(종합!J$3:J$501,MATCH(ROW()-2,종합!$AC$3:$AC$501,0))&amp;"","")</f>
        <v/>
      </c>
      <c r="K147" s="21" t="str">
        <f aca="false">IFERROR(INDEX(종합!K$3:K$501,MATCH(ROW()-2,종합!$AC$3:$AC$501,0))&amp;"","")</f>
        <v/>
      </c>
      <c r="L147" s="21" t="str">
        <f aca="false">IFERROR(INDEX(종합!L$3:L$501,MATCH(ROW()-2,종합!$AC$3:$AC$501,0))&amp;"","")</f>
        <v/>
      </c>
      <c r="M147" s="21" t="str">
        <f aca="false">IFERROR(INDEX(종합!M$3:M$501,MATCH(ROW()-2,종합!$AC$3:$AC$501,0))&amp;"","")</f>
        <v/>
      </c>
      <c r="N147" s="25" t="str">
        <f aca="false">IFERROR(INDEX(종합!N$3:N$501,MATCH(ROW()-2,종합!$AC$3:$AC$501,0))&amp;"","")</f>
        <v/>
      </c>
      <c r="O147" s="21" t="str">
        <f aca="false">IFERROR(INDEX(종합!O$3:O$501,MATCH(ROW()-2,종합!$AC$3:$AC$501,0))&amp;"","")</f>
        <v/>
      </c>
      <c r="P147" s="21" t="str">
        <f aca="false">IFERROR(INDEX(종합!P$3:P$501,MATCH(ROW()-2,종합!$AC$3:$AC$501,0))&amp;"","")</f>
        <v/>
      </c>
      <c r="Q147" s="21" t="str">
        <f aca="false">IFERROR(INDEX(종합!Q$3:Q$501,MATCH(ROW()-2,종합!$AC$3:$AC$501,0))&amp;"","")</f>
        <v/>
      </c>
      <c r="R147" s="21" t="str">
        <f aca="false">IFERROR(INDEX(종합!R$3:R$501,MATCH(ROW()-2,종합!$AC$3:$AC$501,0))&amp;"","")</f>
        <v/>
      </c>
      <c r="S147" s="21" t="str">
        <f aca="false">IFERROR(INDEX(종합!S$3:S$501,MATCH(ROW()-2,종합!$AC$3:$AC$501,0))&amp;"","")</f>
        <v/>
      </c>
      <c r="T147" s="21" t="str">
        <f aca="false">IFERROR(INDEX(종합!T$3:T$501,MATCH(ROW()-2,종합!$AC$3:$AC$501,0))&amp;"","")</f>
        <v/>
      </c>
      <c r="U147" s="21" t="str">
        <f aca="false">IFERROR(INDEX(종합!U$3:U$501,MATCH(ROW()-2,종합!$AC$3:$AC$501,0))&amp;"","")</f>
        <v/>
      </c>
      <c r="V147" s="21" t="str">
        <f aca="false">IFERROR(INDEX(종합!V$3:V$501,MATCH(ROW()-2,종합!$AC$3:$AC$501,0))&amp;"","")</f>
        <v/>
      </c>
      <c r="W147" s="21" t="str">
        <f aca="false">IFERROR(INDEX(종합!W$3:W$501,MATCH(ROW()-2,종합!$AC$3:$AC$501,0))&amp;"","")</f>
        <v/>
      </c>
      <c r="X147" s="21" t="str">
        <f aca="false">IFERROR(INDEX(종합!X$3:X$501,MATCH(ROW()-2,종합!$AC$3:$AC$501,0))&amp;"","")</f>
        <v/>
      </c>
      <c r="Y147" s="21" t="str">
        <f aca="false">IFERROR(INDEX(종합!Y$3:Y$501,MATCH(ROW()-2,종합!$AC$3:$AC$501,0))&amp;"","")</f>
        <v/>
      </c>
      <c r="Z147" s="21" t="str">
        <f aca="false">IFERROR(INDEX(종합!Z$3:Z$501,MATCH(ROW()-2,종합!$AC$3:$AC$501,0))&amp;"","")</f>
        <v/>
      </c>
    </row>
    <row r="148" customFormat="false" ht="16.5" hidden="false" customHeight="true" outlineLevel="0" collapsed="false">
      <c r="A148" s="18" t="str">
        <f aca="false">IF(B148="","",ROW()-2)</f>
        <v/>
      </c>
      <c r="B148" s="18" t="str">
        <f aca="false">IFERROR(INDEX(종합!B$3:B$501,MATCH(ROW()-2,종합!$AC$3:$AC$501,0))&amp;"","")</f>
        <v/>
      </c>
      <c r="C148" s="18" t="str">
        <f aca="false">IFERROR(INDEX(종합!C$3:C$501,MATCH(ROW()-2,종합!$AC$3:$AC$501,0))&amp;"","")</f>
        <v/>
      </c>
      <c r="D148" s="18" t="str">
        <f aca="false">IFERROR(INDEX(종합!D$3:D$501,MATCH(ROW()-2,종합!$AC$3:$AC$501,0))&amp;"","")</f>
        <v/>
      </c>
      <c r="E148" s="18" t="str">
        <f aca="false">IFERROR(INDEX(종합!E$3:E$501,MATCH(ROW()-2,종합!$AC$3:$AC$501,0))&amp;"","")</f>
        <v/>
      </c>
      <c r="F148" s="18" t="str">
        <f aca="false">IFERROR(INDEX(종합!F$3:F$501,MATCH(ROW()-2,종합!$AC$3:$AC$501,0))&amp;"","")</f>
        <v/>
      </c>
      <c r="G148" s="18" t="str">
        <f aca="false">IFERROR(INDEX(종합!G$3:G$501,MATCH(ROW()-2,종합!$AC$3:$AC$501,0))&amp;"","")</f>
        <v/>
      </c>
      <c r="H148" s="21" t="str">
        <f aca="false">IFERROR(INDEX(종합!H$3:H$501,MATCH(ROW()-2,종합!$AC$3:$AC$501,0))&amp;"","")</f>
        <v/>
      </c>
      <c r="I148" s="21" t="str">
        <f aca="false">IFERROR(INDEX(종합!I$3:I$501,MATCH(ROW()-2,종합!$AC$3:$AC$501,0))&amp;"","")</f>
        <v/>
      </c>
      <c r="J148" s="21" t="str">
        <f aca="false">IFERROR(INDEX(종합!J$3:J$501,MATCH(ROW()-2,종합!$AC$3:$AC$501,0))&amp;"","")</f>
        <v/>
      </c>
      <c r="K148" s="21" t="str">
        <f aca="false">IFERROR(INDEX(종합!K$3:K$501,MATCH(ROW()-2,종합!$AC$3:$AC$501,0))&amp;"","")</f>
        <v/>
      </c>
      <c r="L148" s="21" t="str">
        <f aca="false">IFERROR(INDEX(종합!L$3:L$501,MATCH(ROW()-2,종합!$AC$3:$AC$501,0))&amp;"","")</f>
        <v/>
      </c>
      <c r="M148" s="21" t="str">
        <f aca="false">IFERROR(INDEX(종합!M$3:M$501,MATCH(ROW()-2,종합!$AC$3:$AC$501,0))&amp;"","")</f>
        <v/>
      </c>
      <c r="N148" s="25" t="str">
        <f aca="false">IFERROR(INDEX(종합!N$3:N$501,MATCH(ROW()-2,종합!$AC$3:$AC$501,0))&amp;"","")</f>
        <v/>
      </c>
      <c r="O148" s="21" t="str">
        <f aca="false">IFERROR(INDEX(종합!O$3:O$501,MATCH(ROW()-2,종합!$AC$3:$AC$501,0))&amp;"","")</f>
        <v/>
      </c>
      <c r="P148" s="21" t="str">
        <f aca="false">IFERROR(INDEX(종합!P$3:P$501,MATCH(ROW()-2,종합!$AC$3:$AC$501,0))&amp;"","")</f>
        <v/>
      </c>
      <c r="Q148" s="21" t="str">
        <f aca="false">IFERROR(INDEX(종합!Q$3:Q$501,MATCH(ROW()-2,종합!$AC$3:$AC$501,0))&amp;"","")</f>
        <v/>
      </c>
      <c r="R148" s="21" t="str">
        <f aca="false">IFERROR(INDEX(종합!R$3:R$501,MATCH(ROW()-2,종합!$AC$3:$AC$501,0))&amp;"","")</f>
        <v/>
      </c>
      <c r="S148" s="21" t="str">
        <f aca="false">IFERROR(INDEX(종합!S$3:S$501,MATCH(ROW()-2,종합!$AC$3:$AC$501,0))&amp;"","")</f>
        <v/>
      </c>
      <c r="T148" s="21" t="str">
        <f aca="false">IFERROR(INDEX(종합!T$3:T$501,MATCH(ROW()-2,종합!$AC$3:$AC$501,0))&amp;"","")</f>
        <v/>
      </c>
      <c r="U148" s="21" t="str">
        <f aca="false">IFERROR(INDEX(종합!U$3:U$501,MATCH(ROW()-2,종합!$AC$3:$AC$501,0))&amp;"","")</f>
        <v/>
      </c>
      <c r="V148" s="21" t="str">
        <f aca="false">IFERROR(INDEX(종합!V$3:V$501,MATCH(ROW()-2,종합!$AC$3:$AC$501,0))&amp;"","")</f>
        <v/>
      </c>
      <c r="W148" s="21" t="str">
        <f aca="false">IFERROR(INDEX(종합!W$3:W$501,MATCH(ROW()-2,종합!$AC$3:$AC$501,0))&amp;"","")</f>
        <v/>
      </c>
      <c r="X148" s="21" t="str">
        <f aca="false">IFERROR(INDEX(종합!X$3:X$501,MATCH(ROW()-2,종합!$AC$3:$AC$501,0))&amp;"","")</f>
        <v/>
      </c>
      <c r="Y148" s="21" t="str">
        <f aca="false">IFERROR(INDEX(종합!Y$3:Y$501,MATCH(ROW()-2,종합!$AC$3:$AC$501,0))&amp;"","")</f>
        <v/>
      </c>
      <c r="Z148" s="21" t="str">
        <f aca="false">IFERROR(INDEX(종합!Z$3:Z$501,MATCH(ROW()-2,종합!$AC$3:$AC$501,0))&amp;"","")</f>
        <v/>
      </c>
    </row>
    <row r="149" customFormat="false" ht="16.5" hidden="false" customHeight="true" outlineLevel="0" collapsed="false">
      <c r="A149" s="18" t="str">
        <f aca="false">IF(B149="","",ROW()-2)</f>
        <v/>
      </c>
      <c r="B149" s="18" t="str">
        <f aca="false">IFERROR(INDEX(종합!B$3:B$501,MATCH(ROW()-2,종합!$AC$3:$AC$501,0))&amp;"","")</f>
        <v/>
      </c>
      <c r="C149" s="18" t="str">
        <f aca="false">IFERROR(INDEX(종합!C$3:C$501,MATCH(ROW()-2,종합!$AC$3:$AC$501,0))&amp;"","")</f>
        <v/>
      </c>
      <c r="D149" s="18" t="str">
        <f aca="false">IFERROR(INDEX(종합!D$3:D$501,MATCH(ROW()-2,종합!$AC$3:$AC$501,0))&amp;"","")</f>
        <v/>
      </c>
      <c r="E149" s="18" t="str">
        <f aca="false">IFERROR(INDEX(종합!E$3:E$501,MATCH(ROW()-2,종합!$AC$3:$AC$501,0))&amp;"","")</f>
        <v/>
      </c>
      <c r="F149" s="18" t="str">
        <f aca="false">IFERROR(INDEX(종합!F$3:F$501,MATCH(ROW()-2,종합!$AC$3:$AC$501,0))&amp;"","")</f>
        <v/>
      </c>
      <c r="G149" s="18" t="str">
        <f aca="false">IFERROR(INDEX(종합!G$3:G$501,MATCH(ROW()-2,종합!$AC$3:$AC$501,0))&amp;"","")</f>
        <v/>
      </c>
      <c r="H149" s="21" t="str">
        <f aca="false">IFERROR(INDEX(종합!H$3:H$501,MATCH(ROW()-2,종합!$AC$3:$AC$501,0))&amp;"","")</f>
        <v/>
      </c>
      <c r="I149" s="21" t="str">
        <f aca="false">IFERROR(INDEX(종합!I$3:I$501,MATCH(ROW()-2,종합!$AC$3:$AC$501,0))&amp;"","")</f>
        <v/>
      </c>
      <c r="J149" s="21" t="str">
        <f aca="false">IFERROR(INDEX(종합!J$3:J$501,MATCH(ROW()-2,종합!$AC$3:$AC$501,0))&amp;"","")</f>
        <v/>
      </c>
      <c r="K149" s="21" t="str">
        <f aca="false">IFERROR(INDEX(종합!K$3:K$501,MATCH(ROW()-2,종합!$AC$3:$AC$501,0))&amp;"","")</f>
        <v/>
      </c>
      <c r="L149" s="21" t="str">
        <f aca="false">IFERROR(INDEX(종합!L$3:L$501,MATCH(ROW()-2,종합!$AC$3:$AC$501,0))&amp;"","")</f>
        <v/>
      </c>
      <c r="M149" s="21" t="str">
        <f aca="false">IFERROR(INDEX(종합!M$3:M$501,MATCH(ROW()-2,종합!$AC$3:$AC$501,0))&amp;"","")</f>
        <v/>
      </c>
      <c r="N149" s="25" t="str">
        <f aca="false">IFERROR(INDEX(종합!N$3:N$501,MATCH(ROW()-2,종합!$AC$3:$AC$501,0))&amp;"","")</f>
        <v/>
      </c>
      <c r="O149" s="21" t="str">
        <f aca="false">IFERROR(INDEX(종합!O$3:O$501,MATCH(ROW()-2,종합!$AC$3:$AC$501,0))&amp;"","")</f>
        <v/>
      </c>
      <c r="P149" s="21" t="str">
        <f aca="false">IFERROR(INDEX(종합!P$3:P$501,MATCH(ROW()-2,종합!$AC$3:$AC$501,0))&amp;"","")</f>
        <v/>
      </c>
      <c r="Q149" s="21" t="str">
        <f aca="false">IFERROR(INDEX(종합!Q$3:Q$501,MATCH(ROW()-2,종합!$AC$3:$AC$501,0))&amp;"","")</f>
        <v/>
      </c>
      <c r="R149" s="21" t="str">
        <f aca="false">IFERROR(INDEX(종합!R$3:R$501,MATCH(ROW()-2,종합!$AC$3:$AC$501,0))&amp;"","")</f>
        <v/>
      </c>
      <c r="S149" s="21" t="str">
        <f aca="false">IFERROR(INDEX(종합!S$3:S$501,MATCH(ROW()-2,종합!$AC$3:$AC$501,0))&amp;"","")</f>
        <v/>
      </c>
      <c r="T149" s="21" t="str">
        <f aca="false">IFERROR(INDEX(종합!T$3:T$501,MATCH(ROW()-2,종합!$AC$3:$AC$501,0))&amp;"","")</f>
        <v/>
      </c>
      <c r="U149" s="21" t="str">
        <f aca="false">IFERROR(INDEX(종합!U$3:U$501,MATCH(ROW()-2,종합!$AC$3:$AC$501,0))&amp;"","")</f>
        <v/>
      </c>
      <c r="V149" s="21" t="str">
        <f aca="false">IFERROR(INDEX(종합!V$3:V$501,MATCH(ROW()-2,종합!$AC$3:$AC$501,0))&amp;"","")</f>
        <v/>
      </c>
      <c r="W149" s="21" t="str">
        <f aca="false">IFERROR(INDEX(종합!W$3:W$501,MATCH(ROW()-2,종합!$AC$3:$AC$501,0))&amp;"","")</f>
        <v/>
      </c>
      <c r="X149" s="21" t="str">
        <f aca="false">IFERROR(INDEX(종합!X$3:X$501,MATCH(ROW()-2,종합!$AC$3:$AC$501,0))&amp;"","")</f>
        <v/>
      </c>
      <c r="Y149" s="21" t="str">
        <f aca="false">IFERROR(INDEX(종합!Y$3:Y$501,MATCH(ROW()-2,종합!$AC$3:$AC$501,0))&amp;"","")</f>
        <v/>
      </c>
      <c r="Z149" s="21" t="str">
        <f aca="false">IFERROR(INDEX(종합!Z$3:Z$501,MATCH(ROW()-2,종합!$AC$3:$AC$501,0))&amp;"","")</f>
        <v/>
      </c>
    </row>
    <row r="150" customFormat="false" ht="16.5" hidden="false" customHeight="true" outlineLevel="0" collapsed="false">
      <c r="A150" s="18" t="str">
        <f aca="false">IF(B150="","",ROW()-2)</f>
        <v/>
      </c>
      <c r="B150" s="18" t="str">
        <f aca="false">IFERROR(INDEX(종합!B$3:B$501,MATCH(ROW()-2,종합!$AC$3:$AC$501,0))&amp;"","")</f>
        <v/>
      </c>
      <c r="C150" s="18" t="str">
        <f aca="false">IFERROR(INDEX(종합!C$3:C$501,MATCH(ROW()-2,종합!$AC$3:$AC$501,0))&amp;"","")</f>
        <v/>
      </c>
      <c r="D150" s="18" t="str">
        <f aca="false">IFERROR(INDEX(종합!D$3:D$501,MATCH(ROW()-2,종합!$AC$3:$AC$501,0))&amp;"","")</f>
        <v/>
      </c>
      <c r="E150" s="18" t="str">
        <f aca="false">IFERROR(INDEX(종합!E$3:E$501,MATCH(ROW()-2,종합!$AC$3:$AC$501,0))&amp;"","")</f>
        <v/>
      </c>
      <c r="F150" s="18" t="str">
        <f aca="false">IFERROR(INDEX(종합!F$3:F$501,MATCH(ROW()-2,종합!$AC$3:$AC$501,0))&amp;"","")</f>
        <v/>
      </c>
      <c r="G150" s="18" t="str">
        <f aca="false">IFERROR(INDEX(종합!G$3:G$501,MATCH(ROW()-2,종합!$AC$3:$AC$501,0))&amp;"","")</f>
        <v/>
      </c>
      <c r="H150" s="21" t="str">
        <f aca="false">IFERROR(INDEX(종합!H$3:H$501,MATCH(ROW()-2,종합!$AC$3:$AC$501,0))&amp;"","")</f>
        <v/>
      </c>
      <c r="I150" s="21" t="str">
        <f aca="false">IFERROR(INDEX(종합!I$3:I$501,MATCH(ROW()-2,종합!$AC$3:$AC$501,0))&amp;"","")</f>
        <v/>
      </c>
      <c r="J150" s="21" t="str">
        <f aca="false">IFERROR(INDEX(종합!J$3:J$501,MATCH(ROW()-2,종합!$AC$3:$AC$501,0))&amp;"","")</f>
        <v/>
      </c>
      <c r="K150" s="21" t="str">
        <f aca="false">IFERROR(INDEX(종합!K$3:K$501,MATCH(ROW()-2,종합!$AC$3:$AC$501,0))&amp;"","")</f>
        <v/>
      </c>
      <c r="L150" s="21" t="str">
        <f aca="false">IFERROR(INDEX(종합!L$3:L$501,MATCH(ROW()-2,종합!$AC$3:$AC$501,0))&amp;"","")</f>
        <v/>
      </c>
      <c r="M150" s="21" t="str">
        <f aca="false">IFERROR(INDEX(종합!M$3:M$501,MATCH(ROW()-2,종합!$AC$3:$AC$501,0))&amp;"","")</f>
        <v/>
      </c>
      <c r="N150" s="25" t="str">
        <f aca="false">IFERROR(INDEX(종합!N$3:N$501,MATCH(ROW()-2,종합!$AC$3:$AC$501,0))&amp;"","")</f>
        <v/>
      </c>
      <c r="O150" s="21" t="str">
        <f aca="false">IFERROR(INDEX(종합!O$3:O$501,MATCH(ROW()-2,종합!$AC$3:$AC$501,0))&amp;"","")</f>
        <v/>
      </c>
      <c r="P150" s="21" t="str">
        <f aca="false">IFERROR(INDEX(종합!P$3:P$501,MATCH(ROW()-2,종합!$AC$3:$AC$501,0))&amp;"","")</f>
        <v/>
      </c>
      <c r="Q150" s="21" t="str">
        <f aca="false">IFERROR(INDEX(종합!Q$3:Q$501,MATCH(ROW()-2,종합!$AC$3:$AC$501,0))&amp;"","")</f>
        <v/>
      </c>
      <c r="R150" s="21" t="str">
        <f aca="false">IFERROR(INDEX(종합!R$3:R$501,MATCH(ROW()-2,종합!$AC$3:$AC$501,0))&amp;"","")</f>
        <v/>
      </c>
      <c r="S150" s="21" t="str">
        <f aca="false">IFERROR(INDEX(종합!S$3:S$501,MATCH(ROW()-2,종합!$AC$3:$AC$501,0))&amp;"","")</f>
        <v/>
      </c>
      <c r="T150" s="21" t="str">
        <f aca="false">IFERROR(INDEX(종합!T$3:T$501,MATCH(ROW()-2,종합!$AC$3:$AC$501,0))&amp;"","")</f>
        <v/>
      </c>
      <c r="U150" s="21" t="str">
        <f aca="false">IFERROR(INDEX(종합!U$3:U$501,MATCH(ROW()-2,종합!$AC$3:$AC$501,0))&amp;"","")</f>
        <v/>
      </c>
      <c r="V150" s="21" t="str">
        <f aca="false">IFERROR(INDEX(종합!V$3:V$501,MATCH(ROW()-2,종합!$AC$3:$AC$501,0))&amp;"","")</f>
        <v/>
      </c>
      <c r="W150" s="21" t="str">
        <f aca="false">IFERROR(INDEX(종합!W$3:W$501,MATCH(ROW()-2,종합!$AC$3:$AC$501,0))&amp;"","")</f>
        <v/>
      </c>
      <c r="X150" s="21" t="str">
        <f aca="false">IFERROR(INDEX(종합!X$3:X$501,MATCH(ROW()-2,종합!$AC$3:$AC$501,0))&amp;"","")</f>
        <v/>
      </c>
      <c r="Y150" s="21" t="str">
        <f aca="false">IFERROR(INDEX(종합!Y$3:Y$501,MATCH(ROW()-2,종합!$AC$3:$AC$501,0))&amp;"","")</f>
        <v/>
      </c>
      <c r="Z150" s="21" t="str">
        <f aca="false">IFERROR(INDEX(종합!Z$3:Z$501,MATCH(ROW()-2,종합!$AC$3:$AC$501,0))&amp;"","")</f>
        <v/>
      </c>
    </row>
    <row r="151" customFormat="false" ht="16.5" hidden="false" customHeight="true" outlineLevel="0" collapsed="false">
      <c r="A151" s="18" t="str">
        <f aca="false">IF(B151="","",ROW()-2)</f>
        <v/>
      </c>
      <c r="B151" s="18" t="str">
        <f aca="false">IFERROR(INDEX(종합!B$3:B$501,MATCH(ROW()-2,종합!$AC$3:$AC$501,0))&amp;"","")</f>
        <v/>
      </c>
      <c r="C151" s="18" t="str">
        <f aca="false">IFERROR(INDEX(종합!C$3:C$501,MATCH(ROW()-2,종합!$AC$3:$AC$501,0))&amp;"","")</f>
        <v/>
      </c>
      <c r="D151" s="18" t="str">
        <f aca="false">IFERROR(INDEX(종합!D$3:D$501,MATCH(ROW()-2,종합!$AC$3:$AC$501,0))&amp;"","")</f>
        <v/>
      </c>
      <c r="E151" s="18" t="str">
        <f aca="false">IFERROR(INDEX(종합!E$3:E$501,MATCH(ROW()-2,종합!$AC$3:$AC$501,0))&amp;"","")</f>
        <v/>
      </c>
      <c r="F151" s="18" t="str">
        <f aca="false">IFERROR(INDEX(종합!F$3:F$501,MATCH(ROW()-2,종합!$AC$3:$AC$501,0))&amp;"","")</f>
        <v/>
      </c>
      <c r="G151" s="18" t="str">
        <f aca="false">IFERROR(INDEX(종합!G$3:G$501,MATCH(ROW()-2,종합!$AC$3:$AC$501,0))&amp;"","")</f>
        <v/>
      </c>
      <c r="H151" s="21" t="str">
        <f aca="false">IFERROR(INDEX(종합!H$3:H$501,MATCH(ROW()-2,종합!$AC$3:$AC$501,0))&amp;"","")</f>
        <v/>
      </c>
      <c r="I151" s="21" t="str">
        <f aca="false">IFERROR(INDEX(종합!I$3:I$501,MATCH(ROW()-2,종합!$AC$3:$AC$501,0))&amp;"","")</f>
        <v/>
      </c>
      <c r="J151" s="21" t="str">
        <f aca="false">IFERROR(INDEX(종합!J$3:J$501,MATCH(ROW()-2,종합!$AC$3:$AC$501,0))&amp;"","")</f>
        <v/>
      </c>
      <c r="K151" s="21" t="str">
        <f aca="false">IFERROR(INDEX(종합!K$3:K$501,MATCH(ROW()-2,종합!$AC$3:$AC$501,0))&amp;"","")</f>
        <v/>
      </c>
      <c r="L151" s="21" t="str">
        <f aca="false">IFERROR(INDEX(종합!L$3:L$501,MATCH(ROW()-2,종합!$AC$3:$AC$501,0))&amp;"","")</f>
        <v/>
      </c>
      <c r="M151" s="21" t="str">
        <f aca="false">IFERROR(INDEX(종합!M$3:M$501,MATCH(ROW()-2,종합!$AC$3:$AC$501,0))&amp;"","")</f>
        <v/>
      </c>
      <c r="N151" s="25" t="str">
        <f aca="false">IFERROR(INDEX(종합!N$3:N$501,MATCH(ROW()-2,종합!$AC$3:$AC$501,0))&amp;"","")</f>
        <v/>
      </c>
      <c r="O151" s="21" t="str">
        <f aca="false">IFERROR(INDEX(종합!O$3:O$501,MATCH(ROW()-2,종합!$AC$3:$AC$501,0))&amp;"","")</f>
        <v/>
      </c>
      <c r="P151" s="21" t="str">
        <f aca="false">IFERROR(INDEX(종합!P$3:P$501,MATCH(ROW()-2,종합!$AC$3:$AC$501,0))&amp;"","")</f>
        <v/>
      </c>
      <c r="Q151" s="21" t="str">
        <f aca="false">IFERROR(INDEX(종합!Q$3:Q$501,MATCH(ROW()-2,종합!$AC$3:$AC$501,0))&amp;"","")</f>
        <v/>
      </c>
      <c r="R151" s="21" t="str">
        <f aca="false">IFERROR(INDEX(종합!R$3:R$501,MATCH(ROW()-2,종합!$AC$3:$AC$501,0))&amp;"","")</f>
        <v/>
      </c>
      <c r="S151" s="21" t="str">
        <f aca="false">IFERROR(INDEX(종합!S$3:S$501,MATCH(ROW()-2,종합!$AC$3:$AC$501,0))&amp;"","")</f>
        <v/>
      </c>
      <c r="T151" s="21" t="str">
        <f aca="false">IFERROR(INDEX(종합!T$3:T$501,MATCH(ROW()-2,종합!$AC$3:$AC$501,0))&amp;"","")</f>
        <v/>
      </c>
      <c r="U151" s="21" t="str">
        <f aca="false">IFERROR(INDEX(종합!U$3:U$501,MATCH(ROW()-2,종합!$AC$3:$AC$501,0))&amp;"","")</f>
        <v/>
      </c>
      <c r="V151" s="21" t="str">
        <f aca="false">IFERROR(INDEX(종합!V$3:V$501,MATCH(ROW()-2,종합!$AC$3:$AC$501,0))&amp;"","")</f>
        <v/>
      </c>
      <c r="W151" s="21" t="str">
        <f aca="false">IFERROR(INDEX(종합!W$3:W$501,MATCH(ROW()-2,종합!$AC$3:$AC$501,0))&amp;"","")</f>
        <v/>
      </c>
      <c r="X151" s="21" t="str">
        <f aca="false">IFERROR(INDEX(종합!X$3:X$501,MATCH(ROW()-2,종합!$AC$3:$AC$501,0))&amp;"","")</f>
        <v/>
      </c>
      <c r="Y151" s="21" t="str">
        <f aca="false">IFERROR(INDEX(종합!Y$3:Y$501,MATCH(ROW()-2,종합!$AC$3:$AC$501,0))&amp;"","")</f>
        <v/>
      </c>
      <c r="Z151" s="21" t="str">
        <f aca="false">IFERROR(INDEX(종합!Z$3:Z$501,MATCH(ROW()-2,종합!$AC$3:$AC$501,0))&amp;"","")</f>
        <v/>
      </c>
    </row>
    <row r="152" customFormat="false" ht="16.5" hidden="false" customHeight="true" outlineLevel="0" collapsed="false">
      <c r="A152" s="18" t="str">
        <f aca="false">IF(B152="","",ROW()-2)</f>
        <v/>
      </c>
      <c r="B152" s="18" t="str">
        <f aca="false">IFERROR(INDEX(종합!B$3:B$501,MATCH(ROW()-2,종합!$AC$3:$AC$501,0))&amp;"","")</f>
        <v/>
      </c>
      <c r="C152" s="18" t="str">
        <f aca="false">IFERROR(INDEX(종합!C$3:C$501,MATCH(ROW()-2,종합!$AC$3:$AC$501,0))&amp;"","")</f>
        <v/>
      </c>
      <c r="D152" s="18" t="str">
        <f aca="false">IFERROR(INDEX(종합!D$3:D$501,MATCH(ROW()-2,종합!$AC$3:$AC$501,0))&amp;"","")</f>
        <v/>
      </c>
      <c r="E152" s="18" t="str">
        <f aca="false">IFERROR(INDEX(종합!E$3:E$501,MATCH(ROW()-2,종합!$AC$3:$AC$501,0))&amp;"","")</f>
        <v/>
      </c>
      <c r="F152" s="18" t="str">
        <f aca="false">IFERROR(INDEX(종합!F$3:F$501,MATCH(ROW()-2,종합!$AC$3:$AC$501,0))&amp;"","")</f>
        <v/>
      </c>
      <c r="G152" s="18" t="str">
        <f aca="false">IFERROR(INDEX(종합!G$3:G$501,MATCH(ROW()-2,종합!$AC$3:$AC$501,0))&amp;"","")</f>
        <v/>
      </c>
      <c r="H152" s="21" t="str">
        <f aca="false">IFERROR(INDEX(종합!H$3:H$501,MATCH(ROW()-2,종합!$AC$3:$AC$501,0))&amp;"","")</f>
        <v/>
      </c>
      <c r="I152" s="21" t="str">
        <f aca="false">IFERROR(INDEX(종합!I$3:I$501,MATCH(ROW()-2,종합!$AC$3:$AC$501,0))&amp;"","")</f>
        <v/>
      </c>
      <c r="J152" s="21" t="str">
        <f aca="false">IFERROR(INDEX(종합!J$3:J$501,MATCH(ROW()-2,종합!$AC$3:$AC$501,0))&amp;"","")</f>
        <v/>
      </c>
      <c r="K152" s="21" t="str">
        <f aca="false">IFERROR(INDEX(종합!K$3:K$501,MATCH(ROW()-2,종합!$AC$3:$AC$501,0))&amp;"","")</f>
        <v/>
      </c>
      <c r="L152" s="21" t="str">
        <f aca="false">IFERROR(INDEX(종합!L$3:L$501,MATCH(ROW()-2,종합!$AC$3:$AC$501,0))&amp;"","")</f>
        <v/>
      </c>
      <c r="M152" s="21" t="str">
        <f aca="false">IFERROR(INDEX(종합!M$3:M$501,MATCH(ROW()-2,종합!$AC$3:$AC$501,0))&amp;"","")</f>
        <v/>
      </c>
      <c r="N152" s="25" t="str">
        <f aca="false">IFERROR(INDEX(종합!N$3:N$501,MATCH(ROW()-2,종합!$AC$3:$AC$501,0))&amp;"","")</f>
        <v/>
      </c>
      <c r="O152" s="21" t="str">
        <f aca="false">IFERROR(INDEX(종합!O$3:O$501,MATCH(ROW()-2,종합!$AC$3:$AC$501,0))&amp;"","")</f>
        <v/>
      </c>
      <c r="P152" s="21" t="str">
        <f aca="false">IFERROR(INDEX(종합!P$3:P$501,MATCH(ROW()-2,종합!$AC$3:$AC$501,0))&amp;"","")</f>
        <v/>
      </c>
      <c r="Q152" s="21" t="str">
        <f aca="false">IFERROR(INDEX(종합!Q$3:Q$501,MATCH(ROW()-2,종합!$AC$3:$AC$501,0))&amp;"","")</f>
        <v/>
      </c>
      <c r="R152" s="21" t="str">
        <f aca="false">IFERROR(INDEX(종합!R$3:R$501,MATCH(ROW()-2,종합!$AC$3:$AC$501,0))&amp;"","")</f>
        <v/>
      </c>
      <c r="S152" s="21" t="str">
        <f aca="false">IFERROR(INDEX(종합!S$3:S$501,MATCH(ROW()-2,종합!$AC$3:$AC$501,0))&amp;"","")</f>
        <v/>
      </c>
      <c r="T152" s="21" t="str">
        <f aca="false">IFERROR(INDEX(종합!T$3:T$501,MATCH(ROW()-2,종합!$AC$3:$AC$501,0))&amp;"","")</f>
        <v/>
      </c>
      <c r="U152" s="21" t="str">
        <f aca="false">IFERROR(INDEX(종합!U$3:U$501,MATCH(ROW()-2,종합!$AC$3:$AC$501,0))&amp;"","")</f>
        <v/>
      </c>
      <c r="V152" s="21" t="str">
        <f aca="false">IFERROR(INDEX(종합!V$3:V$501,MATCH(ROW()-2,종합!$AC$3:$AC$501,0))&amp;"","")</f>
        <v/>
      </c>
      <c r="W152" s="21" t="str">
        <f aca="false">IFERROR(INDEX(종합!W$3:W$501,MATCH(ROW()-2,종합!$AC$3:$AC$501,0))&amp;"","")</f>
        <v/>
      </c>
      <c r="X152" s="21" t="str">
        <f aca="false">IFERROR(INDEX(종합!X$3:X$501,MATCH(ROW()-2,종합!$AC$3:$AC$501,0))&amp;"","")</f>
        <v/>
      </c>
      <c r="Y152" s="21" t="str">
        <f aca="false">IFERROR(INDEX(종합!Y$3:Y$501,MATCH(ROW()-2,종합!$AC$3:$AC$501,0))&amp;"","")</f>
        <v/>
      </c>
      <c r="Z152" s="21" t="str">
        <f aca="false">IFERROR(INDEX(종합!Z$3:Z$501,MATCH(ROW()-2,종합!$AC$3:$AC$501,0))&amp;"","")</f>
        <v/>
      </c>
    </row>
    <row r="153" customFormat="false" ht="16.5" hidden="false" customHeight="true" outlineLevel="0" collapsed="false">
      <c r="A153" s="18" t="str">
        <f aca="false">IF(B153="","",ROW()-2)</f>
        <v/>
      </c>
      <c r="B153" s="18" t="str">
        <f aca="false">IFERROR(INDEX(종합!B$3:B$501,MATCH(ROW()-2,종합!$AC$3:$AC$501,0))&amp;"","")</f>
        <v/>
      </c>
      <c r="C153" s="18" t="str">
        <f aca="false">IFERROR(INDEX(종합!C$3:C$501,MATCH(ROW()-2,종합!$AC$3:$AC$501,0))&amp;"","")</f>
        <v/>
      </c>
      <c r="D153" s="18" t="str">
        <f aca="false">IFERROR(INDEX(종합!D$3:D$501,MATCH(ROW()-2,종합!$AC$3:$AC$501,0))&amp;"","")</f>
        <v/>
      </c>
      <c r="E153" s="18" t="str">
        <f aca="false">IFERROR(INDEX(종합!E$3:E$501,MATCH(ROW()-2,종합!$AC$3:$AC$501,0))&amp;"","")</f>
        <v/>
      </c>
      <c r="F153" s="18" t="str">
        <f aca="false">IFERROR(INDEX(종합!F$3:F$501,MATCH(ROW()-2,종합!$AC$3:$AC$501,0))&amp;"","")</f>
        <v/>
      </c>
      <c r="G153" s="18" t="str">
        <f aca="false">IFERROR(INDEX(종합!G$3:G$501,MATCH(ROW()-2,종합!$AC$3:$AC$501,0))&amp;"","")</f>
        <v/>
      </c>
      <c r="H153" s="21" t="str">
        <f aca="false">IFERROR(INDEX(종합!H$3:H$501,MATCH(ROW()-2,종합!$AC$3:$AC$501,0))&amp;"","")</f>
        <v/>
      </c>
      <c r="I153" s="21" t="str">
        <f aca="false">IFERROR(INDEX(종합!I$3:I$501,MATCH(ROW()-2,종합!$AC$3:$AC$501,0))&amp;"","")</f>
        <v/>
      </c>
      <c r="J153" s="21" t="str">
        <f aca="false">IFERROR(INDEX(종합!J$3:J$501,MATCH(ROW()-2,종합!$AC$3:$AC$501,0))&amp;"","")</f>
        <v/>
      </c>
      <c r="K153" s="21" t="str">
        <f aca="false">IFERROR(INDEX(종합!K$3:K$501,MATCH(ROW()-2,종합!$AC$3:$AC$501,0))&amp;"","")</f>
        <v/>
      </c>
      <c r="L153" s="21" t="str">
        <f aca="false">IFERROR(INDEX(종합!L$3:L$501,MATCH(ROW()-2,종합!$AC$3:$AC$501,0))&amp;"","")</f>
        <v/>
      </c>
      <c r="M153" s="21" t="str">
        <f aca="false">IFERROR(INDEX(종합!M$3:M$501,MATCH(ROW()-2,종합!$AC$3:$AC$501,0))&amp;"","")</f>
        <v/>
      </c>
      <c r="N153" s="25" t="str">
        <f aca="false">IFERROR(INDEX(종합!N$3:N$501,MATCH(ROW()-2,종합!$AC$3:$AC$501,0))&amp;"","")</f>
        <v/>
      </c>
      <c r="O153" s="21" t="str">
        <f aca="false">IFERROR(INDEX(종합!O$3:O$501,MATCH(ROW()-2,종합!$AC$3:$AC$501,0))&amp;"","")</f>
        <v/>
      </c>
      <c r="P153" s="21" t="str">
        <f aca="false">IFERROR(INDEX(종합!P$3:P$501,MATCH(ROW()-2,종합!$AC$3:$AC$501,0))&amp;"","")</f>
        <v/>
      </c>
      <c r="Q153" s="21" t="str">
        <f aca="false">IFERROR(INDEX(종합!Q$3:Q$501,MATCH(ROW()-2,종합!$AC$3:$AC$501,0))&amp;"","")</f>
        <v/>
      </c>
      <c r="R153" s="21" t="str">
        <f aca="false">IFERROR(INDEX(종합!R$3:R$501,MATCH(ROW()-2,종합!$AC$3:$AC$501,0))&amp;"","")</f>
        <v/>
      </c>
      <c r="S153" s="21" t="str">
        <f aca="false">IFERROR(INDEX(종합!S$3:S$501,MATCH(ROW()-2,종합!$AC$3:$AC$501,0))&amp;"","")</f>
        <v/>
      </c>
      <c r="T153" s="21" t="str">
        <f aca="false">IFERROR(INDEX(종합!T$3:T$501,MATCH(ROW()-2,종합!$AC$3:$AC$501,0))&amp;"","")</f>
        <v/>
      </c>
      <c r="U153" s="21" t="str">
        <f aca="false">IFERROR(INDEX(종합!U$3:U$501,MATCH(ROW()-2,종합!$AC$3:$AC$501,0))&amp;"","")</f>
        <v/>
      </c>
      <c r="V153" s="21" t="str">
        <f aca="false">IFERROR(INDEX(종합!V$3:V$501,MATCH(ROW()-2,종합!$AC$3:$AC$501,0))&amp;"","")</f>
        <v/>
      </c>
      <c r="W153" s="21" t="str">
        <f aca="false">IFERROR(INDEX(종합!W$3:W$501,MATCH(ROW()-2,종합!$AC$3:$AC$501,0))&amp;"","")</f>
        <v/>
      </c>
      <c r="X153" s="21" t="str">
        <f aca="false">IFERROR(INDEX(종합!X$3:X$501,MATCH(ROW()-2,종합!$AC$3:$AC$501,0))&amp;"","")</f>
        <v/>
      </c>
      <c r="Y153" s="21" t="str">
        <f aca="false">IFERROR(INDEX(종합!Y$3:Y$501,MATCH(ROW()-2,종합!$AC$3:$AC$501,0))&amp;"","")</f>
        <v/>
      </c>
      <c r="Z153" s="21" t="str">
        <f aca="false">IFERROR(INDEX(종합!Z$3:Z$501,MATCH(ROW()-2,종합!$AC$3:$AC$501,0))&amp;"","")</f>
        <v/>
      </c>
    </row>
    <row r="154" customFormat="false" ht="16.5" hidden="false" customHeight="true" outlineLevel="0" collapsed="false">
      <c r="A154" s="18" t="str">
        <f aca="false">IF(B154="","",ROW()-2)</f>
        <v/>
      </c>
      <c r="B154" s="18" t="str">
        <f aca="false">IFERROR(INDEX(종합!B$3:B$501,MATCH(ROW()-2,종합!$AC$3:$AC$501,0))&amp;"","")</f>
        <v/>
      </c>
      <c r="C154" s="18" t="str">
        <f aca="false">IFERROR(INDEX(종합!C$3:C$501,MATCH(ROW()-2,종합!$AC$3:$AC$501,0))&amp;"","")</f>
        <v/>
      </c>
      <c r="D154" s="18" t="str">
        <f aca="false">IFERROR(INDEX(종합!D$3:D$501,MATCH(ROW()-2,종합!$AC$3:$AC$501,0))&amp;"","")</f>
        <v/>
      </c>
      <c r="E154" s="18" t="str">
        <f aca="false">IFERROR(INDEX(종합!E$3:E$501,MATCH(ROW()-2,종합!$AC$3:$AC$501,0))&amp;"","")</f>
        <v/>
      </c>
      <c r="F154" s="18" t="str">
        <f aca="false">IFERROR(INDEX(종합!F$3:F$501,MATCH(ROW()-2,종합!$AC$3:$AC$501,0))&amp;"","")</f>
        <v/>
      </c>
      <c r="G154" s="18" t="str">
        <f aca="false">IFERROR(INDEX(종합!G$3:G$501,MATCH(ROW()-2,종합!$AC$3:$AC$501,0))&amp;"","")</f>
        <v/>
      </c>
      <c r="H154" s="21" t="str">
        <f aca="false">IFERROR(INDEX(종합!H$3:H$501,MATCH(ROW()-2,종합!$AC$3:$AC$501,0))&amp;"","")</f>
        <v/>
      </c>
      <c r="I154" s="21" t="str">
        <f aca="false">IFERROR(INDEX(종합!I$3:I$501,MATCH(ROW()-2,종합!$AC$3:$AC$501,0))&amp;"","")</f>
        <v/>
      </c>
      <c r="J154" s="21" t="str">
        <f aca="false">IFERROR(INDEX(종합!J$3:J$501,MATCH(ROW()-2,종합!$AC$3:$AC$501,0))&amp;"","")</f>
        <v/>
      </c>
      <c r="K154" s="21" t="str">
        <f aca="false">IFERROR(INDEX(종합!K$3:K$501,MATCH(ROW()-2,종합!$AC$3:$AC$501,0))&amp;"","")</f>
        <v/>
      </c>
      <c r="L154" s="21" t="str">
        <f aca="false">IFERROR(INDEX(종합!L$3:L$501,MATCH(ROW()-2,종합!$AC$3:$AC$501,0))&amp;"","")</f>
        <v/>
      </c>
      <c r="M154" s="21" t="str">
        <f aca="false">IFERROR(INDEX(종합!M$3:M$501,MATCH(ROW()-2,종합!$AC$3:$AC$501,0))&amp;"","")</f>
        <v/>
      </c>
      <c r="N154" s="25" t="str">
        <f aca="false">IFERROR(INDEX(종합!N$3:N$501,MATCH(ROW()-2,종합!$AC$3:$AC$501,0))&amp;"","")</f>
        <v/>
      </c>
      <c r="O154" s="21" t="str">
        <f aca="false">IFERROR(INDEX(종합!O$3:O$501,MATCH(ROW()-2,종합!$AC$3:$AC$501,0))&amp;"","")</f>
        <v/>
      </c>
      <c r="P154" s="21" t="str">
        <f aca="false">IFERROR(INDEX(종합!P$3:P$501,MATCH(ROW()-2,종합!$AC$3:$AC$501,0))&amp;"","")</f>
        <v/>
      </c>
      <c r="Q154" s="21" t="str">
        <f aca="false">IFERROR(INDEX(종합!Q$3:Q$501,MATCH(ROW()-2,종합!$AC$3:$AC$501,0))&amp;"","")</f>
        <v/>
      </c>
      <c r="R154" s="21" t="str">
        <f aca="false">IFERROR(INDEX(종합!R$3:R$501,MATCH(ROW()-2,종합!$AC$3:$AC$501,0))&amp;"","")</f>
        <v/>
      </c>
      <c r="S154" s="21" t="str">
        <f aca="false">IFERROR(INDEX(종합!S$3:S$501,MATCH(ROW()-2,종합!$AC$3:$AC$501,0))&amp;"","")</f>
        <v/>
      </c>
      <c r="T154" s="21" t="str">
        <f aca="false">IFERROR(INDEX(종합!T$3:T$501,MATCH(ROW()-2,종합!$AC$3:$AC$501,0))&amp;"","")</f>
        <v/>
      </c>
      <c r="U154" s="21" t="str">
        <f aca="false">IFERROR(INDEX(종합!U$3:U$501,MATCH(ROW()-2,종합!$AC$3:$AC$501,0))&amp;"","")</f>
        <v/>
      </c>
      <c r="V154" s="21" t="str">
        <f aca="false">IFERROR(INDEX(종합!V$3:V$501,MATCH(ROW()-2,종합!$AC$3:$AC$501,0))&amp;"","")</f>
        <v/>
      </c>
      <c r="W154" s="21" t="str">
        <f aca="false">IFERROR(INDEX(종합!W$3:W$501,MATCH(ROW()-2,종합!$AC$3:$AC$501,0))&amp;"","")</f>
        <v/>
      </c>
      <c r="X154" s="21" t="str">
        <f aca="false">IFERROR(INDEX(종합!X$3:X$501,MATCH(ROW()-2,종합!$AC$3:$AC$501,0))&amp;"","")</f>
        <v/>
      </c>
      <c r="Y154" s="21" t="str">
        <f aca="false">IFERROR(INDEX(종합!Y$3:Y$501,MATCH(ROW()-2,종합!$AC$3:$AC$501,0))&amp;"","")</f>
        <v/>
      </c>
      <c r="Z154" s="21" t="str">
        <f aca="false">IFERROR(INDEX(종합!Z$3:Z$501,MATCH(ROW()-2,종합!$AC$3:$AC$501,0))&amp;"","")</f>
        <v/>
      </c>
    </row>
    <row r="155" customFormat="false" ht="16.5" hidden="false" customHeight="true" outlineLevel="0" collapsed="false">
      <c r="A155" s="18" t="str">
        <f aca="false">IF(B155="","",ROW()-2)</f>
        <v/>
      </c>
      <c r="B155" s="18" t="str">
        <f aca="false">IFERROR(INDEX(종합!B$3:B$501,MATCH(ROW()-2,종합!$AC$3:$AC$501,0))&amp;"","")</f>
        <v/>
      </c>
      <c r="C155" s="18" t="str">
        <f aca="false">IFERROR(INDEX(종합!C$3:C$501,MATCH(ROW()-2,종합!$AC$3:$AC$501,0))&amp;"","")</f>
        <v/>
      </c>
      <c r="D155" s="18" t="str">
        <f aca="false">IFERROR(INDEX(종합!D$3:D$501,MATCH(ROW()-2,종합!$AC$3:$AC$501,0))&amp;"","")</f>
        <v/>
      </c>
      <c r="E155" s="18" t="str">
        <f aca="false">IFERROR(INDEX(종합!E$3:E$501,MATCH(ROW()-2,종합!$AC$3:$AC$501,0))&amp;"","")</f>
        <v/>
      </c>
      <c r="F155" s="18" t="str">
        <f aca="false">IFERROR(INDEX(종합!F$3:F$501,MATCH(ROW()-2,종합!$AC$3:$AC$501,0))&amp;"","")</f>
        <v/>
      </c>
      <c r="G155" s="18" t="str">
        <f aca="false">IFERROR(INDEX(종합!G$3:G$501,MATCH(ROW()-2,종합!$AC$3:$AC$501,0))&amp;"","")</f>
        <v/>
      </c>
      <c r="H155" s="21" t="str">
        <f aca="false">IFERROR(INDEX(종합!H$3:H$501,MATCH(ROW()-2,종합!$AC$3:$AC$501,0))&amp;"","")</f>
        <v/>
      </c>
      <c r="I155" s="21" t="str">
        <f aca="false">IFERROR(INDEX(종합!I$3:I$501,MATCH(ROW()-2,종합!$AC$3:$AC$501,0))&amp;"","")</f>
        <v/>
      </c>
      <c r="J155" s="21" t="str">
        <f aca="false">IFERROR(INDEX(종합!J$3:J$501,MATCH(ROW()-2,종합!$AC$3:$AC$501,0))&amp;"","")</f>
        <v/>
      </c>
      <c r="K155" s="21" t="str">
        <f aca="false">IFERROR(INDEX(종합!K$3:K$501,MATCH(ROW()-2,종합!$AC$3:$AC$501,0))&amp;"","")</f>
        <v/>
      </c>
      <c r="L155" s="21" t="str">
        <f aca="false">IFERROR(INDEX(종합!L$3:L$501,MATCH(ROW()-2,종합!$AC$3:$AC$501,0))&amp;"","")</f>
        <v/>
      </c>
      <c r="M155" s="21" t="str">
        <f aca="false">IFERROR(INDEX(종합!M$3:M$501,MATCH(ROW()-2,종합!$AC$3:$AC$501,0))&amp;"","")</f>
        <v/>
      </c>
      <c r="N155" s="25" t="str">
        <f aca="false">IFERROR(INDEX(종합!N$3:N$501,MATCH(ROW()-2,종합!$AC$3:$AC$501,0))&amp;"","")</f>
        <v/>
      </c>
      <c r="O155" s="21" t="str">
        <f aca="false">IFERROR(INDEX(종합!O$3:O$501,MATCH(ROW()-2,종합!$AC$3:$AC$501,0))&amp;"","")</f>
        <v/>
      </c>
      <c r="P155" s="21" t="str">
        <f aca="false">IFERROR(INDEX(종합!P$3:P$501,MATCH(ROW()-2,종합!$AC$3:$AC$501,0))&amp;"","")</f>
        <v/>
      </c>
      <c r="Q155" s="21" t="str">
        <f aca="false">IFERROR(INDEX(종합!Q$3:Q$501,MATCH(ROW()-2,종합!$AC$3:$AC$501,0))&amp;"","")</f>
        <v/>
      </c>
      <c r="R155" s="21" t="str">
        <f aca="false">IFERROR(INDEX(종합!R$3:R$501,MATCH(ROW()-2,종합!$AC$3:$AC$501,0))&amp;"","")</f>
        <v/>
      </c>
      <c r="S155" s="21" t="str">
        <f aca="false">IFERROR(INDEX(종합!S$3:S$501,MATCH(ROW()-2,종합!$AC$3:$AC$501,0))&amp;"","")</f>
        <v/>
      </c>
      <c r="T155" s="21" t="str">
        <f aca="false">IFERROR(INDEX(종합!T$3:T$501,MATCH(ROW()-2,종합!$AC$3:$AC$501,0))&amp;"","")</f>
        <v/>
      </c>
      <c r="U155" s="21" t="str">
        <f aca="false">IFERROR(INDEX(종합!U$3:U$501,MATCH(ROW()-2,종합!$AC$3:$AC$501,0))&amp;"","")</f>
        <v/>
      </c>
      <c r="V155" s="21" t="str">
        <f aca="false">IFERROR(INDEX(종합!V$3:V$501,MATCH(ROW()-2,종합!$AC$3:$AC$501,0))&amp;"","")</f>
        <v/>
      </c>
      <c r="W155" s="21" t="str">
        <f aca="false">IFERROR(INDEX(종합!W$3:W$501,MATCH(ROW()-2,종합!$AC$3:$AC$501,0))&amp;"","")</f>
        <v/>
      </c>
      <c r="X155" s="21" t="str">
        <f aca="false">IFERROR(INDEX(종합!X$3:X$501,MATCH(ROW()-2,종합!$AC$3:$AC$501,0))&amp;"","")</f>
        <v/>
      </c>
      <c r="Y155" s="21" t="str">
        <f aca="false">IFERROR(INDEX(종합!Y$3:Y$501,MATCH(ROW()-2,종합!$AC$3:$AC$501,0))&amp;"","")</f>
        <v/>
      </c>
      <c r="Z155" s="21" t="str">
        <f aca="false">IFERROR(INDEX(종합!Z$3:Z$501,MATCH(ROW()-2,종합!$AC$3:$AC$501,0))&amp;"","")</f>
        <v/>
      </c>
    </row>
    <row r="156" customFormat="false" ht="16.5" hidden="false" customHeight="true" outlineLevel="0" collapsed="false">
      <c r="A156" s="18" t="str">
        <f aca="false">IF(B156="","",ROW()-2)</f>
        <v/>
      </c>
      <c r="B156" s="18" t="str">
        <f aca="false">IFERROR(INDEX(종합!B$3:B$501,MATCH(ROW()-2,종합!$AC$3:$AC$501,0))&amp;"","")</f>
        <v/>
      </c>
      <c r="C156" s="18" t="str">
        <f aca="false">IFERROR(INDEX(종합!C$3:C$501,MATCH(ROW()-2,종합!$AC$3:$AC$501,0))&amp;"","")</f>
        <v/>
      </c>
      <c r="D156" s="18" t="str">
        <f aca="false">IFERROR(INDEX(종합!D$3:D$501,MATCH(ROW()-2,종합!$AC$3:$AC$501,0))&amp;"","")</f>
        <v/>
      </c>
      <c r="E156" s="18" t="str">
        <f aca="false">IFERROR(INDEX(종합!E$3:E$501,MATCH(ROW()-2,종합!$AC$3:$AC$501,0))&amp;"","")</f>
        <v/>
      </c>
      <c r="F156" s="18" t="str">
        <f aca="false">IFERROR(INDEX(종합!F$3:F$501,MATCH(ROW()-2,종합!$AC$3:$AC$501,0))&amp;"","")</f>
        <v/>
      </c>
      <c r="G156" s="18" t="str">
        <f aca="false">IFERROR(INDEX(종합!G$3:G$501,MATCH(ROW()-2,종합!$AC$3:$AC$501,0))&amp;"","")</f>
        <v/>
      </c>
      <c r="H156" s="21" t="str">
        <f aca="false">IFERROR(INDEX(종합!H$3:H$501,MATCH(ROW()-2,종합!$AC$3:$AC$501,0))&amp;"","")</f>
        <v/>
      </c>
      <c r="I156" s="21" t="str">
        <f aca="false">IFERROR(INDEX(종합!I$3:I$501,MATCH(ROW()-2,종합!$AC$3:$AC$501,0))&amp;"","")</f>
        <v/>
      </c>
      <c r="J156" s="21" t="str">
        <f aca="false">IFERROR(INDEX(종합!J$3:J$501,MATCH(ROW()-2,종합!$AC$3:$AC$501,0))&amp;"","")</f>
        <v/>
      </c>
      <c r="K156" s="21" t="str">
        <f aca="false">IFERROR(INDEX(종합!K$3:K$501,MATCH(ROW()-2,종합!$AC$3:$AC$501,0))&amp;"","")</f>
        <v/>
      </c>
      <c r="L156" s="21" t="str">
        <f aca="false">IFERROR(INDEX(종합!L$3:L$501,MATCH(ROW()-2,종합!$AC$3:$AC$501,0))&amp;"","")</f>
        <v/>
      </c>
      <c r="M156" s="21" t="str">
        <f aca="false">IFERROR(INDEX(종합!M$3:M$501,MATCH(ROW()-2,종합!$AC$3:$AC$501,0))&amp;"","")</f>
        <v/>
      </c>
      <c r="N156" s="25" t="str">
        <f aca="false">IFERROR(INDEX(종합!N$3:N$501,MATCH(ROW()-2,종합!$AC$3:$AC$501,0))&amp;"","")</f>
        <v/>
      </c>
      <c r="O156" s="21" t="str">
        <f aca="false">IFERROR(INDEX(종합!O$3:O$501,MATCH(ROW()-2,종합!$AC$3:$AC$501,0))&amp;"","")</f>
        <v/>
      </c>
      <c r="P156" s="21" t="str">
        <f aca="false">IFERROR(INDEX(종합!P$3:P$501,MATCH(ROW()-2,종합!$AC$3:$AC$501,0))&amp;"","")</f>
        <v/>
      </c>
      <c r="Q156" s="21" t="str">
        <f aca="false">IFERROR(INDEX(종합!Q$3:Q$501,MATCH(ROW()-2,종합!$AC$3:$AC$501,0))&amp;"","")</f>
        <v/>
      </c>
      <c r="R156" s="21" t="str">
        <f aca="false">IFERROR(INDEX(종합!R$3:R$501,MATCH(ROW()-2,종합!$AC$3:$AC$501,0))&amp;"","")</f>
        <v/>
      </c>
      <c r="S156" s="21" t="str">
        <f aca="false">IFERROR(INDEX(종합!S$3:S$501,MATCH(ROW()-2,종합!$AC$3:$AC$501,0))&amp;"","")</f>
        <v/>
      </c>
      <c r="T156" s="21" t="str">
        <f aca="false">IFERROR(INDEX(종합!T$3:T$501,MATCH(ROW()-2,종합!$AC$3:$AC$501,0))&amp;"","")</f>
        <v/>
      </c>
      <c r="U156" s="21" t="str">
        <f aca="false">IFERROR(INDEX(종합!U$3:U$501,MATCH(ROW()-2,종합!$AC$3:$AC$501,0))&amp;"","")</f>
        <v/>
      </c>
      <c r="V156" s="21" t="str">
        <f aca="false">IFERROR(INDEX(종합!V$3:V$501,MATCH(ROW()-2,종합!$AC$3:$AC$501,0))&amp;"","")</f>
        <v/>
      </c>
      <c r="W156" s="21" t="str">
        <f aca="false">IFERROR(INDEX(종합!W$3:W$501,MATCH(ROW()-2,종합!$AC$3:$AC$501,0))&amp;"","")</f>
        <v/>
      </c>
      <c r="X156" s="21" t="str">
        <f aca="false">IFERROR(INDEX(종합!X$3:X$501,MATCH(ROW()-2,종합!$AC$3:$AC$501,0))&amp;"","")</f>
        <v/>
      </c>
      <c r="Y156" s="21" t="str">
        <f aca="false">IFERROR(INDEX(종합!Y$3:Y$501,MATCH(ROW()-2,종합!$AC$3:$AC$501,0))&amp;"","")</f>
        <v/>
      </c>
      <c r="Z156" s="21" t="str">
        <f aca="false">IFERROR(INDEX(종합!Z$3:Z$501,MATCH(ROW()-2,종합!$AC$3:$AC$501,0))&amp;"","")</f>
        <v/>
      </c>
    </row>
    <row r="157" customFormat="false" ht="16.5" hidden="false" customHeight="true" outlineLevel="0" collapsed="false">
      <c r="A157" s="18" t="str">
        <f aca="false">IF(B157="","",ROW()-2)</f>
        <v/>
      </c>
      <c r="B157" s="18" t="str">
        <f aca="false">IFERROR(INDEX(종합!B$3:B$501,MATCH(ROW()-2,종합!$AC$3:$AC$501,0))&amp;"","")</f>
        <v/>
      </c>
      <c r="C157" s="18" t="str">
        <f aca="false">IFERROR(INDEX(종합!C$3:C$501,MATCH(ROW()-2,종합!$AC$3:$AC$501,0))&amp;"","")</f>
        <v/>
      </c>
      <c r="D157" s="18" t="str">
        <f aca="false">IFERROR(INDEX(종합!D$3:D$501,MATCH(ROW()-2,종합!$AC$3:$AC$501,0))&amp;"","")</f>
        <v/>
      </c>
      <c r="E157" s="18" t="str">
        <f aca="false">IFERROR(INDEX(종합!E$3:E$501,MATCH(ROW()-2,종합!$AC$3:$AC$501,0))&amp;"","")</f>
        <v/>
      </c>
      <c r="F157" s="18" t="str">
        <f aca="false">IFERROR(INDEX(종합!F$3:F$501,MATCH(ROW()-2,종합!$AC$3:$AC$501,0))&amp;"","")</f>
        <v/>
      </c>
      <c r="G157" s="18" t="str">
        <f aca="false">IFERROR(INDEX(종합!G$3:G$501,MATCH(ROW()-2,종합!$AC$3:$AC$501,0))&amp;"","")</f>
        <v/>
      </c>
      <c r="H157" s="21" t="str">
        <f aca="false">IFERROR(INDEX(종합!H$3:H$501,MATCH(ROW()-2,종합!$AC$3:$AC$501,0))&amp;"","")</f>
        <v/>
      </c>
      <c r="I157" s="21" t="str">
        <f aca="false">IFERROR(INDEX(종합!I$3:I$501,MATCH(ROW()-2,종합!$AC$3:$AC$501,0))&amp;"","")</f>
        <v/>
      </c>
      <c r="J157" s="21" t="str">
        <f aca="false">IFERROR(INDEX(종합!J$3:J$501,MATCH(ROW()-2,종합!$AC$3:$AC$501,0))&amp;"","")</f>
        <v/>
      </c>
      <c r="K157" s="21" t="str">
        <f aca="false">IFERROR(INDEX(종합!K$3:K$501,MATCH(ROW()-2,종합!$AC$3:$AC$501,0))&amp;"","")</f>
        <v/>
      </c>
      <c r="L157" s="21" t="str">
        <f aca="false">IFERROR(INDEX(종합!L$3:L$501,MATCH(ROW()-2,종합!$AC$3:$AC$501,0))&amp;"","")</f>
        <v/>
      </c>
      <c r="M157" s="21" t="str">
        <f aca="false">IFERROR(INDEX(종합!M$3:M$501,MATCH(ROW()-2,종합!$AC$3:$AC$501,0))&amp;"","")</f>
        <v/>
      </c>
      <c r="N157" s="25" t="str">
        <f aca="false">IFERROR(INDEX(종합!N$3:N$501,MATCH(ROW()-2,종합!$AC$3:$AC$501,0))&amp;"","")</f>
        <v/>
      </c>
      <c r="O157" s="21" t="str">
        <f aca="false">IFERROR(INDEX(종합!O$3:O$501,MATCH(ROW()-2,종합!$AC$3:$AC$501,0))&amp;"","")</f>
        <v/>
      </c>
      <c r="P157" s="21" t="str">
        <f aca="false">IFERROR(INDEX(종합!P$3:P$501,MATCH(ROW()-2,종합!$AC$3:$AC$501,0))&amp;"","")</f>
        <v/>
      </c>
      <c r="Q157" s="21" t="str">
        <f aca="false">IFERROR(INDEX(종합!Q$3:Q$501,MATCH(ROW()-2,종합!$AC$3:$AC$501,0))&amp;"","")</f>
        <v/>
      </c>
      <c r="R157" s="21" t="str">
        <f aca="false">IFERROR(INDEX(종합!R$3:R$501,MATCH(ROW()-2,종합!$AC$3:$AC$501,0))&amp;"","")</f>
        <v/>
      </c>
      <c r="S157" s="21" t="str">
        <f aca="false">IFERROR(INDEX(종합!S$3:S$501,MATCH(ROW()-2,종합!$AC$3:$AC$501,0))&amp;"","")</f>
        <v/>
      </c>
      <c r="T157" s="21" t="str">
        <f aca="false">IFERROR(INDEX(종합!T$3:T$501,MATCH(ROW()-2,종합!$AC$3:$AC$501,0))&amp;"","")</f>
        <v/>
      </c>
      <c r="U157" s="21" t="str">
        <f aca="false">IFERROR(INDEX(종합!U$3:U$501,MATCH(ROW()-2,종합!$AC$3:$AC$501,0))&amp;"","")</f>
        <v/>
      </c>
      <c r="V157" s="21" t="str">
        <f aca="false">IFERROR(INDEX(종합!V$3:V$501,MATCH(ROW()-2,종합!$AC$3:$AC$501,0))&amp;"","")</f>
        <v/>
      </c>
      <c r="W157" s="21" t="str">
        <f aca="false">IFERROR(INDEX(종합!W$3:W$501,MATCH(ROW()-2,종합!$AC$3:$AC$501,0))&amp;"","")</f>
        <v/>
      </c>
      <c r="X157" s="21" t="str">
        <f aca="false">IFERROR(INDEX(종합!X$3:X$501,MATCH(ROW()-2,종합!$AC$3:$AC$501,0))&amp;"","")</f>
        <v/>
      </c>
      <c r="Y157" s="21" t="str">
        <f aca="false">IFERROR(INDEX(종합!Y$3:Y$501,MATCH(ROW()-2,종합!$AC$3:$AC$501,0))&amp;"","")</f>
        <v/>
      </c>
      <c r="Z157" s="21" t="str">
        <f aca="false">IFERROR(INDEX(종합!Z$3:Z$501,MATCH(ROW()-2,종합!$AC$3:$AC$501,0))&amp;"","")</f>
        <v/>
      </c>
    </row>
    <row r="158" customFormat="false" ht="16.5" hidden="false" customHeight="true" outlineLevel="0" collapsed="false">
      <c r="A158" s="18" t="str">
        <f aca="false">IF(B158="","",ROW()-2)</f>
        <v/>
      </c>
      <c r="B158" s="18" t="str">
        <f aca="false">IFERROR(INDEX(종합!B$3:B$501,MATCH(ROW()-2,종합!$AC$3:$AC$501,0))&amp;"","")</f>
        <v/>
      </c>
      <c r="C158" s="18" t="str">
        <f aca="false">IFERROR(INDEX(종합!C$3:C$501,MATCH(ROW()-2,종합!$AC$3:$AC$501,0))&amp;"","")</f>
        <v/>
      </c>
      <c r="D158" s="18" t="str">
        <f aca="false">IFERROR(INDEX(종합!D$3:D$501,MATCH(ROW()-2,종합!$AC$3:$AC$501,0))&amp;"","")</f>
        <v/>
      </c>
      <c r="E158" s="18" t="str">
        <f aca="false">IFERROR(INDEX(종합!E$3:E$501,MATCH(ROW()-2,종합!$AC$3:$AC$501,0))&amp;"","")</f>
        <v/>
      </c>
      <c r="F158" s="18" t="str">
        <f aca="false">IFERROR(INDEX(종합!F$3:F$501,MATCH(ROW()-2,종합!$AC$3:$AC$501,0))&amp;"","")</f>
        <v/>
      </c>
      <c r="G158" s="18" t="str">
        <f aca="false">IFERROR(INDEX(종합!G$3:G$501,MATCH(ROW()-2,종합!$AC$3:$AC$501,0))&amp;"","")</f>
        <v/>
      </c>
      <c r="H158" s="21" t="str">
        <f aca="false">IFERROR(INDEX(종합!H$3:H$501,MATCH(ROW()-2,종합!$AC$3:$AC$501,0))&amp;"","")</f>
        <v/>
      </c>
      <c r="I158" s="21" t="str">
        <f aca="false">IFERROR(INDEX(종합!I$3:I$501,MATCH(ROW()-2,종합!$AC$3:$AC$501,0))&amp;"","")</f>
        <v/>
      </c>
      <c r="J158" s="21" t="str">
        <f aca="false">IFERROR(INDEX(종합!J$3:J$501,MATCH(ROW()-2,종합!$AC$3:$AC$501,0))&amp;"","")</f>
        <v/>
      </c>
      <c r="K158" s="21" t="str">
        <f aca="false">IFERROR(INDEX(종합!K$3:K$501,MATCH(ROW()-2,종합!$AC$3:$AC$501,0))&amp;"","")</f>
        <v/>
      </c>
      <c r="L158" s="21" t="str">
        <f aca="false">IFERROR(INDEX(종합!L$3:L$501,MATCH(ROW()-2,종합!$AC$3:$AC$501,0))&amp;"","")</f>
        <v/>
      </c>
      <c r="M158" s="21" t="str">
        <f aca="false">IFERROR(INDEX(종합!M$3:M$501,MATCH(ROW()-2,종합!$AC$3:$AC$501,0))&amp;"","")</f>
        <v/>
      </c>
      <c r="N158" s="25" t="str">
        <f aca="false">IFERROR(INDEX(종합!N$3:N$501,MATCH(ROW()-2,종합!$AC$3:$AC$501,0))&amp;"","")</f>
        <v/>
      </c>
      <c r="O158" s="21" t="str">
        <f aca="false">IFERROR(INDEX(종합!O$3:O$501,MATCH(ROW()-2,종합!$AC$3:$AC$501,0))&amp;"","")</f>
        <v/>
      </c>
      <c r="P158" s="21" t="str">
        <f aca="false">IFERROR(INDEX(종합!P$3:P$501,MATCH(ROW()-2,종합!$AC$3:$AC$501,0))&amp;"","")</f>
        <v/>
      </c>
      <c r="Q158" s="21" t="str">
        <f aca="false">IFERROR(INDEX(종합!Q$3:Q$501,MATCH(ROW()-2,종합!$AC$3:$AC$501,0))&amp;"","")</f>
        <v/>
      </c>
      <c r="R158" s="21" t="str">
        <f aca="false">IFERROR(INDEX(종합!R$3:R$501,MATCH(ROW()-2,종합!$AC$3:$AC$501,0))&amp;"","")</f>
        <v/>
      </c>
      <c r="S158" s="21" t="str">
        <f aca="false">IFERROR(INDEX(종합!S$3:S$501,MATCH(ROW()-2,종합!$AC$3:$AC$501,0))&amp;"","")</f>
        <v/>
      </c>
      <c r="T158" s="21" t="str">
        <f aca="false">IFERROR(INDEX(종합!T$3:T$501,MATCH(ROW()-2,종합!$AC$3:$AC$501,0))&amp;"","")</f>
        <v/>
      </c>
      <c r="U158" s="21" t="str">
        <f aca="false">IFERROR(INDEX(종합!U$3:U$501,MATCH(ROW()-2,종합!$AC$3:$AC$501,0))&amp;"","")</f>
        <v/>
      </c>
      <c r="V158" s="21" t="str">
        <f aca="false">IFERROR(INDEX(종합!V$3:V$501,MATCH(ROW()-2,종합!$AC$3:$AC$501,0))&amp;"","")</f>
        <v/>
      </c>
      <c r="W158" s="21" t="str">
        <f aca="false">IFERROR(INDEX(종합!W$3:W$501,MATCH(ROW()-2,종합!$AC$3:$AC$501,0))&amp;"","")</f>
        <v/>
      </c>
      <c r="X158" s="21" t="str">
        <f aca="false">IFERROR(INDEX(종합!X$3:X$501,MATCH(ROW()-2,종합!$AC$3:$AC$501,0))&amp;"","")</f>
        <v/>
      </c>
      <c r="Y158" s="21" t="str">
        <f aca="false">IFERROR(INDEX(종합!Y$3:Y$501,MATCH(ROW()-2,종합!$AC$3:$AC$501,0))&amp;"","")</f>
        <v/>
      </c>
      <c r="Z158" s="21" t="str">
        <f aca="false">IFERROR(INDEX(종합!Z$3:Z$501,MATCH(ROW()-2,종합!$AC$3:$AC$501,0))&amp;"","")</f>
        <v/>
      </c>
    </row>
    <row r="159" customFormat="false" ht="16.5" hidden="false" customHeight="true" outlineLevel="0" collapsed="false">
      <c r="A159" s="18" t="str">
        <f aca="false">IF(B159="","",ROW()-2)</f>
        <v/>
      </c>
      <c r="B159" s="18" t="str">
        <f aca="false">IFERROR(INDEX(종합!B$3:B$501,MATCH(ROW()-2,종합!$AC$3:$AC$501,0))&amp;"","")</f>
        <v/>
      </c>
      <c r="C159" s="18" t="str">
        <f aca="false">IFERROR(INDEX(종합!C$3:C$501,MATCH(ROW()-2,종합!$AC$3:$AC$501,0))&amp;"","")</f>
        <v/>
      </c>
      <c r="D159" s="18" t="str">
        <f aca="false">IFERROR(INDEX(종합!D$3:D$501,MATCH(ROW()-2,종합!$AC$3:$AC$501,0))&amp;"","")</f>
        <v/>
      </c>
      <c r="E159" s="18" t="str">
        <f aca="false">IFERROR(INDEX(종합!E$3:E$501,MATCH(ROW()-2,종합!$AC$3:$AC$501,0))&amp;"","")</f>
        <v/>
      </c>
      <c r="F159" s="18" t="str">
        <f aca="false">IFERROR(INDEX(종합!F$3:F$501,MATCH(ROW()-2,종합!$AC$3:$AC$501,0))&amp;"","")</f>
        <v/>
      </c>
      <c r="G159" s="18" t="str">
        <f aca="false">IFERROR(INDEX(종합!G$3:G$501,MATCH(ROW()-2,종합!$AC$3:$AC$501,0))&amp;"","")</f>
        <v/>
      </c>
      <c r="H159" s="21" t="str">
        <f aca="false">IFERROR(INDEX(종합!H$3:H$501,MATCH(ROW()-2,종합!$AC$3:$AC$501,0))&amp;"","")</f>
        <v/>
      </c>
      <c r="I159" s="21" t="str">
        <f aca="false">IFERROR(INDEX(종합!I$3:I$501,MATCH(ROW()-2,종합!$AC$3:$AC$501,0))&amp;"","")</f>
        <v/>
      </c>
      <c r="J159" s="21" t="str">
        <f aca="false">IFERROR(INDEX(종합!J$3:J$501,MATCH(ROW()-2,종합!$AC$3:$AC$501,0))&amp;"","")</f>
        <v/>
      </c>
      <c r="K159" s="21" t="str">
        <f aca="false">IFERROR(INDEX(종합!K$3:K$501,MATCH(ROW()-2,종합!$AC$3:$AC$501,0))&amp;"","")</f>
        <v/>
      </c>
      <c r="L159" s="21" t="str">
        <f aca="false">IFERROR(INDEX(종합!L$3:L$501,MATCH(ROW()-2,종합!$AC$3:$AC$501,0))&amp;"","")</f>
        <v/>
      </c>
      <c r="M159" s="21" t="str">
        <f aca="false">IFERROR(INDEX(종합!M$3:M$501,MATCH(ROW()-2,종합!$AC$3:$AC$501,0))&amp;"","")</f>
        <v/>
      </c>
      <c r="N159" s="25" t="str">
        <f aca="false">IFERROR(INDEX(종합!N$3:N$501,MATCH(ROW()-2,종합!$AC$3:$AC$501,0))&amp;"","")</f>
        <v/>
      </c>
      <c r="O159" s="21" t="str">
        <f aca="false">IFERROR(INDEX(종합!O$3:O$501,MATCH(ROW()-2,종합!$AC$3:$AC$501,0))&amp;"","")</f>
        <v/>
      </c>
      <c r="P159" s="21" t="str">
        <f aca="false">IFERROR(INDEX(종합!P$3:P$501,MATCH(ROW()-2,종합!$AC$3:$AC$501,0))&amp;"","")</f>
        <v/>
      </c>
      <c r="Q159" s="21" t="str">
        <f aca="false">IFERROR(INDEX(종합!Q$3:Q$501,MATCH(ROW()-2,종합!$AC$3:$AC$501,0))&amp;"","")</f>
        <v/>
      </c>
      <c r="R159" s="21" t="str">
        <f aca="false">IFERROR(INDEX(종합!R$3:R$501,MATCH(ROW()-2,종합!$AC$3:$AC$501,0))&amp;"","")</f>
        <v/>
      </c>
      <c r="S159" s="21" t="str">
        <f aca="false">IFERROR(INDEX(종합!S$3:S$501,MATCH(ROW()-2,종합!$AC$3:$AC$501,0))&amp;"","")</f>
        <v/>
      </c>
      <c r="T159" s="21" t="str">
        <f aca="false">IFERROR(INDEX(종합!T$3:T$501,MATCH(ROW()-2,종합!$AC$3:$AC$501,0))&amp;"","")</f>
        <v/>
      </c>
      <c r="U159" s="21" t="str">
        <f aca="false">IFERROR(INDEX(종합!U$3:U$501,MATCH(ROW()-2,종합!$AC$3:$AC$501,0))&amp;"","")</f>
        <v/>
      </c>
      <c r="V159" s="21" t="str">
        <f aca="false">IFERROR(INDEX(종합!V$3:V$501,MATCH(ROW()-2,종합!$AC$3:$AC$501,0))&amp;"","")</f>
        <v/>
      </c>
      <c r="W159" s="21" t="str">
        <f aca="false">IFERROR(INDEX(종합!W$3:W$501,MATCH(ROW()-2,종합!$AC$3:$AC$501,0))&amp;"","")</f>
        <v/>
      </c>
      <c r="X159" s="21" t="str">
        <f aca="false">IFERROR(INDEX(종합!X$3:X$501,MATCH(ROW()-2,종합!$AC$3:$AC$501,0))&amp;"","")</f>
        <v/>
      </c>
      <c r="Y159" s="21" t="str">
        <f aca="false">IFERROR(INDEX(종합!Y$3:Y$501,MATCH(ROW()-2,종합!$AC$3:$AC$501,0))&amp;"","")</f>
        <v/>
      </c>
      <c r="Z159" s="21" t="str">
        <f aca="false">IFERROR(INDEX(종합!Z$3:Z$501,MATCH(ROW()-2,종합!$AC$3:$AC$501,0))&amp;"","")</f>
        <v/>
      </c>
    </row>
    <row r="160" customFormat="false" ht="16.5" hidden="false" customHeight="true" outlineLevel="0" collapsed="false">
      <c r="A160" s="18" t="str">
        <f aca="false">IF(B160="","",ROW()-2)</f>
        <v/>
      </c>
      <c r="B160" s="18" t="str">
        <f aca="false">IFERROR(INDEX(종합!B$3:B$501,MATCH(ROW()-2,종합!$AC$3:$AC$501,0))&amp;"","")</f>
        <v/>
      </c>
      <c r="C160" s="18" t="str">
        <f aca="false">IFERROR(INDEX(종합!C$3:C$501,MATCH(ROW()-2,종합!$AC$3:$AC$501,0))&amp;"","")</f>
        <v/>
      </c>
      <c r="D160" s="18" t="str">
        <f aca="false">IFERROR(INDEX(종합!D$3:D$501,MATCH(ROW()-2,종합!$AC$3:$AC$501,0))&amp;"","")</f>
        <v/>
      </c>
      <c r="E160" s="18" t="str">
        <f aca="false">IFERROR(INDEX(종합!E$3:E$501,MATCH(ROW()-2,종합!$AC$3:$AC$501,0))&amp;"","")</f>
        <v/>
      </c>
      <c r="F160" s="18" t="str">
        <f aca="false">IFERROR(INDEX(종합!F$3:F$501,MATCH(ROW()-2,종합!$AC$3:$AC$501,0))&amp;"","")</f>
        <v/>
      </c>
      <c r="G160" s="18" t="str">
        <f aca="false">IFERROR(INDEX(종합!G$3:G$501,MATCH(ROW()-2,종합!$AC$3:$AC$501,0))&amp;"","")</f>
        <v/>
      </c>
      <c r="H160" s="21" t="str">
        <f aca="false">IFERROR(INDEX(종합!H$3:H$501,MATCH(ROW()-2,종합!$AC$3:$AC$501,0))&amp;"","")</f>
        <v/>
      </c>
      <c r="I160" s="21" t="str">
        <f aca="false">IFERROR(INDEX(종합!I$3:I$501,MATCH(ROW()-2,종합!$AC$3:$AC$501,0))&amp;"","")</f>
        <v/>
      </c>
      <c r="J160" s="21" t="str">
        <f aca="false">IFERROR(INDEX(종합!J$3:J$501,MATCH(ROW()-2,종합!$AC$3:$AC$501,0))&amp;"","")</f>
        <v/>
      </c>
      <c r="K160" s="21" t="str">
        <f aca="false">IFERROR(INDEX(종합!K$3:K$501,MATCH(ROW()-2,종합!$AC$3:$AC$501,0))&amp;"","")</f>
        <v/>
      </c>
      <c r="L160" s="21" t="str">
        <f aca="false">IFERROR(INDEX(종합!L$3:L$501,MATCH(ROW()-2,종합!$AC$3:$AC$501,0))&amp;"","")</f>
        <v/>
      </c>
      <c r="M160" s="21" t="str">
        <f aca="false">IFERROR(INDEX(종합!M$3:M$501,MATCH(ROW()-2,종합!$AC$3:$AC$501,0))&amp;"","")</f>
        <v/>
      </c>
      <c r="N160" s="25" t="str">
        <f aca="false">IFERROR(INDEX(종합!N$3:N$501,MATCH(ROW()-2,종합!$AC$3:$AC$501,0))&amp;"","")</f>
        <v/>
      </c>
      <c r="O160" s="21" t="str">
        <f aca="false">IFERROR(INDEX(종합!O$3:O$501,MATCH(ROW()-2,종합!$AC$3:$AC$501,0))&amp;"","")</f>
        <v/>
      </c>
      <c r="P160" s="21" t="str">
        <f aca="false">IFERROR(INDEX(종합!P$3:P$501,MATCH(ROW()-2,종합!$AC$3:$AC$501,0))&amp;"","")</f>
        <v/>
      </c>
      <c r="Q160" s="21" t="str">
        <f aca="false">IFERROR(INDEX(종합!Q$3:Q$501,MATCH(ROW()-2,종합!$AC$3:$AC$501,0))&amp;"","")</f>
        <v/>
      </c>
      <c r="R160" s="21" t="str">
        <f aca="false">IFERROR(INDEX(종합!R$3:R$501,MATCH(ROW()-2,종합!$AC$3:$AC$501,0))&amp;"","")</f>
        <v/>
      </c>
      <c r="S160" s="21" t="str">
        <f aca="false">IFERROR(INDEX(종합!S$3:S$501,MATCH(ROW()-2,종합!$AC$3:$AC$501,0))&amp;"","")</f>
        <v/>
      </c>
      <c r="T160" s="21" t="str">
        <f aca="false">IFERROR(INDEX(종합!T$3:T$501,MATCH(ROW()-2,종합!$AC$3:$AC$501,0))&amp;"","")</f>
        <v/>
      </c>
      <c r="U160" s="21" t="str">
        <f aca="false">IFERROR(INDEX(종합!U$3:U$501,MATCH(ROW()-2,종합!$AC$3:$AC$501,0))&amp;"","")</f>
        <v/>
      </c>
      <c r="V160" s="21" t="str">
        <f aca="false">IFERROR(INDEX(종합!V$3:V$501,MATCH(ROW()-2,종합!$AC$3:$AC$501,0))&amp;"","")</f>
        <v/>
      </c>
      <c r="W160" s="21" t="str">
        <f aca="false">IFERROR(INDEX(종합!W$3:W$501,MATCH(ROW()-2,종합!$AC$3:$AC$501,0))&amp;"","")</f>
        <v/>
      </c>
      <c r="X160" s="21" t="str">
        <f aca="false">IFERROR(INDEX(종합!X$3:X$501,MATCH(ROW()-2,종합!$AC$3:$AC$501,0))&amp;"","")</f>
        <v/>
      </c>
      <c r="Y160" s="21" t="str">
        <f aca="false">IFERROR(INDEX(종합!Y$3:Y$501,MATCH(ROW()-2,종합!$AC$3:$AC$501,0))&amp;"","")</f>
        <v/>
      </c>
      <c r="Z160" s="21" t="str">
        <f aca="false">IFERROR(INDEX(종합!Z$3:Z$501,MATCH(ROW()-2,종합!$AC$3:$AC$501,0))&amp;"","")</f>
        <v/>
      </c>
    </row>
    <row r="161" customFormat="false" ht="16.5" hidden="false" customHeight="true" outlineLevel="0" collapsed="false">
      <c r="A161" s="18" t="str">
        <f aca="false">IF(B161="","",ROW()-2)</f>
        <v/>
      </c>
      <c r="B161" s="18" t="str">
        <f aca="false">IFERROR(INDEX(종합!B$3:B$501,MATCH(ROW()-2,종합!$AC$3:$AC$501,0))&amp;"","")</f>
        <v/>
      </c>
      <c r="C161" s="18" t="str">
        <f aca="false">IFERROR(INDEX(종합!C$3:C$501,MATCH(ROW()-2,종합!$AC$3:$AC$501,0))&amp;"","")</f>
        <v/>
      </c>
      <c r="D161" s="18" t="str">
        <f aca="false">IFERROR(INDEX(종합!D$3:D$501,MATCH(ROW()-2,종합!$AC$3:$AC$501,0))&amp;"","")</f>
        <v/>
      </c>
      <c r="E161" s="18" t="str">
        <f aca="false">IFERROR(INDEX(종합!E$3:E$501,MATCH(ROW()-2,종합!$AC$3:$AC$501,0))&amp;"","")</f>
        <v/>
      </c>
      <c r="F161" s="18" t="str">
        <f aca="false">IFERROR(INDEX(종합!F$3:F$501,MATCH(ROW()-2,종합!$AC$3:$AC$501,0))&amp;"","")</f>
        <v/>
      </c>
      <c r="G161" s="18" t="str">
        <f aca="false">IFERROR(INDEX(종합!G$3:G$501,MATCH(ROW()-2,종합!$AC$3:$AC$501,0))&amp;"","")</f>
        <v/>
      </c>
      <c r="H161" s="21" t="str">
        <f aca="false">IFERROR(INDEX(종합!H$3:H$501,MATCH(ROW()-2,종합!$AC$3:$AC$501,0))&amp;"","")</f>
        <v/>
      </c>
      <c r="I161" s="21" t="str">
        <f aca="false">IFERROR(INDEX(종합!I$3:I$501,MATCH(ROW()-2,종합!$AC$3:$AC$501,0))&amp;"","")</f>
        <v/>
      </c>
      <c r="J161" s="21" t="str">
        <f aca="false">IFERROR(INDEX(종합!J$3:J$501,MATCH(ROW()-2,종합!$AC$3:$AC$501,0))&amp;"","")</f>
        <v/>
      </c>
      <c r="K161" s="21" t="str">
        <f aca="false">IFERROR(INDEX(종합!K$3:K$501,MATCH(ROW()-2,종합!$AC$3:$AC$501,0))&amp;"","")</f>
        <v/>
      </c>
      <c r="L161" s="21" t="str">
        <f aca="false">IFERROR(INDEX(종합!L$3:L$501,MATCH(ROW()-2,종합!$AC$3:$AC$501,0))&amp;"","")</f>
        <v/>
      </c>
      <c r="M161" s="21" t="str">
        <f aca="false">IFERROR(INDEX(종합!M$3:M$501,MATCH(ROW()-2,종합!$AC$3:$AC$501,0))&amp;"","")</f>
        <v/>
      </c>
      <c r="N161" s="25" t="str">
        <f aca="false">IFERROR(INDEX(종합!N$3:N$501,MATCH(ROW()-2,종합!$AC$3:$AC$501,0))&amp;"","")</f>
        <v/>
      </c>
      <c r="O161" s="21" t="str">
        <f aca="false">IFERROR(INDEX(종합!O$3:O$501,MATCH(ROW()-2,종합!$AC$3:$AC$501,0))&amp;"","")</f>
        <v/>
      </c>
      <c r="P161" s="21" t="str">
        <f aca="false">IFERROR(INDEX(종합!P$3:P$501,MATCH(ROW()-2,종합!$AC$3:$AC$501,0))&amp;"","")</f>
        <v/>
      </c>
      <c r="Q161" s="21" t="str">
        <f aca="false">IFERROR(INDEX(종합!Q$3:Q$501,MATCH(ROW()-2,종합!$AC$3:$AC$501,0))&amp;"","")</f>
        <v/>
      </c>
      <c r="R161" s="21" t="str">
        <f aca="false">IFERROR(INDEX(종합!R$3:R$501,MATCH(ROW()-2,종합!$AC$3:$AC$501,0))&amp;"","")</f>
        <v/>
      </c>
      <c r="S161" s="21" t="str">
        <f aca="false">IFERROR(INDEX(종합!S$3:S$501,MATCH(ROW()-2,종합!$AC$3:$AC$501,0))&amp;"","")</f>
        <v/>
      </c>
      <c r="T161" s="21" t="str">
        <f aca="false">IFERROR(INDEX(종합!T$3:T$501,MATCH(ROW()-2,종합!$AC$3:$AC$501,0))&amp;"","")</f>
        <v/>
      </c>
      <c r="U161" s="21" t="str">
        <f aca="false">IFERROR(INDEX(종합!U$3:U$501,MATCH(ROW()-2,종합!$AC$3:$AC$501,0))&amp;"","")</f>
        <v/>
      </c>
      <c r="V161" s="21" t="str">
        <f aca="false">IFERROR(INDEX(종합!V$3:V$501,MATCH(ROW()-2,종합!$AC$3:$AC$501,0))&amp;"","")</f>
        <v/>
      </c>
      <c r="W161" s="21" t="str">
        <f aca="false">IFERROR(INDEX(종합!W$3:W$501,MATCH(ROW()-2,종합!$AC$3:$AC$501,0))&amp;"","")</f>
        <v/>
      </c>
      <c r="X161" s="21" t="str">
        <f aca="false">IFERROR(INDEX(종합!X$3:X$501,MATCH(ROW()-2,종합!$AC$3:$AC$501,0))&amp;"","")</f>
        <v/>
      </c>
      <c r="Y161" s="21" t="str">
        <f aca="false">IFERROR(INDEX(종합!Y$3:Y$501,MATCH(ROW()-2,종합!$AC$3:$AC$501,0))&amp;"","")</f>
        <v/>
      </c>
      <c r="Z161" s="21" t="str">
        <f aca="false">IFERROR(INDEX(종합!Z$3:Z$501,MATCH(ROW()-2,종합!$AC$3:$AC$501,0))&amp;"","")</f>
        <v/>
      </c>
    </row>
    <row r="162" customFormat="false" ht="16.5" hidden="false" customHeight="true" outlineLevel="0" collapsed="false">
      <c r="A162" s="18" t="str">
        <f aca="false">IF(B162="","",ROW()-2)</f>
        <v/>
      </c>
      <c r="B162" s="18" t="str">
        <f aca="false">IFERROR(INDEX(종합!B$3:B$501,MATCH(ROW()-2,종합!$AC$3:$AC$501,0))&amp;"","")</f>
        <v/>
      </c>
      <c r="C162" s="18" t="str">
        <f aca="false">IFERROR(INDEX(종합!C$3:C$501,MATCH(ROW()-2,종합!$AC$3:$AC$501,0))&amp;"","")</f>
        <v/>
      </c>
      <c r="D162" s="18" t="str">
        <f aca="false">IFERROR(INDEX(종합!D$3:D$501,MATCH(ROW()-2,종합!$AC$3:$AC$501,0))&amp;"","")</f>
        <v/>
      </c>
      <c r="E162" s="18" t="str">
        <f aca="false">IFERROR(INDEX(종합!E$3:E$501,MATCH(ROW()-2,종합!$AC$3:$AC$501,0))&amp;"","")</f>
        <v/>
      </c>
      <c r="F162" s="18" t="str">
        <f aca="false">IFERROR(INDEX(종합!F$3:F$501,MATCH(ROW()-2,종합!$AC$3:$AC$501,0))&amp;"","")</f>
        <v/>
      </c>
      <c r="G162" s="18" t="str">
        <f aca="false">IFERROR(INDEX(종합!G$3:G$501,MATCH(ROW()-2,종합!$AC$3:$AC$501,0))&amp;"","")</f>
        <v/>
      </c>
      <c r="H162" s="21" t="str">
        <f aca="false">IFERROR(INDEX(종합!H$3:H$501,MATCH(ROW()-2,종합!$AC$3:$AC$501,0))&amp;"","")</f>
        <v/>
      </c>
      <c r="I162" s="21" t="str">
        <f aca="false">IFERROR(INDEX(종합!I$3:I$501,MATCH(ROW()-2,종합!$AC$3:$AC$501,0))&amp;"","")</f>
        <v/>
      </c>
      <c r="J162" s="21" t="str">
        <f aca="false">IFERROR(INDEX(종합!J$3:J$501,MATCH(ROW()-2,종합!$AC$3:$AC$501,0))&amp;"","")</f>
        <v/>
      </c>
      <c r="K162" s="21" t="str">
        <f aca="false">IFERROR(INDEX(종합!K$3:K$501,MATCH(ROW()-2,종합!$AC$3:$AC$501,0))&amp;"","")</f>
        <v/>
      </c>
      <c r="L162" s="21" t="str">
        <f aca="false">IFERROR(INDEX(종합!L$3:L$501,MATCH(ROW()-2,종합!$AC$3:$AC$501,0))&amp;"","")</f>
        <v/>
      </c>
      <c r="M162" s="21" t="str">
        <f aca="false">IFERROR(INDEX(종합!M$3:M$501,MATCH(ROW()-2,종합!$AC$3:$AC$501,0))&amp;"","")</f>
        <v/>
      </c>
      <c r="N162" s="25" t="str">
        <f aca="false">IFERROR(INDEX(종합!N$3:N$501,MATCH(ROW()-2,종합!$AC$3:$AC$501,0))&amp;"","")</f>
        <v/>
      </c>
      <c r="O162" s="21" t="str">
        <f aca="false">IFERROR(INDEX(종합!O$3:O$501,MATCH(ROW()-2,종합!$AC$3:$AC$501,0))&amp;"","")</f>
        <v/>
      </c>
      <c r="P162" s="21" t="str">
        <f aca="false">IFERROR(INDEX(종합!P$3:P$501,MATCH(ROW()-2,종합!$AC$3:$AC$501,0))&amp;"","")</f>
        <v/>
      </c>
      <c r="Q162" s="21" t="str">
        <f aca="false">IFERROR(INDEX(종합!Q$3:Q$501,MATCH(ROW()-2,종합!$AC$3:$AC$501,0))&amp;"","")</f>
        <v/>
      </c>
      <c r="R162" s="21" t="str">
        <f aca="false">IFERROR(INDEX(종합!R$3:R$501,MATCH(ROW()-2,종합!$AC$3:$AC$501,0))&amp;"","")</f>
        <v/>
      </c>
      <c r="S162" s="21" t="str">
        <f aca="false">IFERROR(INDEX(종합!S$3:S$501,MATCH(ROW()-2,종합!$AC$3:$AC$501,0))&amp;"","")</f>
        <v/>
      </c>
      <c r="T162" s="21" t="str">
        <f aca="false">IFERROR(INDEX(종합!T$3:T$501,MATCH(ROW()-2,종합!$AC$3:$AC$501,0))&amp;"","")</f>
        <v/>
      </c>
      <c r="U162" s="21" t="str">
        <f aca="false">IFERROR(INDEX(종합!U$3:U$501,MATCH(ROW()-2,종합!$AC$3:$AC$501,0))&amp;"","")</f>
        <v/>
      </c>
      <c r="V162" s="21" t="str">
        <f aca="false">IFERROR(INDEX(종합!V$3:V$501,MATCH(ROW()-2,종합!$AC$3:$AC$501,0))&amp;"","")</f>
        <v/>
      </c>
      <c r="W162" s="21" t="str">
        <f aca="false">IFERROR(INDEX(종합!W$3:W$501,MATCH(ROW()-2,종합!$AC$3:$AC$501,0))&amp;"","")</f>
        <v/>
      </c>
      <c r="X162" s="21" t="str">
        <f aca="false">IFERROR(INDEX(종합!X$3:X$501,MATCH(ROW()-2,종합!$AC$3:$AC$501,0))&amp;"","")</f>
        <v/>
      </c>
      <c r="Y162" s="21" t="str">
        <f aca="false">IFERROR(INDEX(종합!Y$3:Y$501,MATCH(ROW()-2,종합!$AC$3:$AC$501,0))&amp;"","")</f>
        <v/>
      </c>
      <c r="Z162" s="21" t="str">
        <f aca="false">IFERROR(INDEX(종합!Z$3:Z$501,MATCH(ROW()-2,종합!$AC$3:$AC$501,0))&amp;"","")</f>
        <v/>
      </c>
    </row>
    <row r="163" customFormat="false" ht="16.5" hidden="false" customHeight="true" outlineLevel="0" collapsed="false">
      <c r="A163" s="18" t="str">
        <f aca="false">IF(B163="","",ROW()-2)</f>
        <v/>
      </c>
      <c r="B163" s="18" t="str">
        <f aca="false">IFERROR(INDEX(종합!B$3:B$501,MATCH(ROW()-2,종합!$AC$3:$AC$501,0))&amp;"","")</f>
        <v/>
      </c>
      <c r="C163" s="18" t="str">
        <f aca="false">IFERROR(INDEX(종합!C$3:C$501,MATCH(ROW()-2,종합!$AC$3:$AC$501,0))&amp;"","")</f>
        <v/>
      </c>
      <c r="D163" s="18" t="str">
        <f aca="false">IFERROR(INDEX(종합!D$3:D$501,MATCH(ROW()-2,종합!$AC$3:$AC$501,0))&amp;"","")</f>
        <v/>
      </c>
      <c r="E163" s="18" t="str">
        <f aca="false">IFERROR(INDEX(종합!E$3:E$501,MATCH(ROW()-2,종합!$AC$3:$AC$501,0))&amp;"","")</f>
        <v/>
      </c>
      <c r="F163" s="18" t="str">
        <f aca="false">IFERROR(INDEX(종합!F$3:F$501,MATCH(ROW()-2,종합!$AC$3:$AC$501,0))&amp;"","")</f>
        <v/>
      </c>
      <c r="G163" s="18" t="str">
        <f aca="false">IFERROR(INDEX(종합!G$3:G$501,MATCH(ROW()-2,종합!$AC$3:$AC$501,0))&amp;"","")</f>
        <v/>
      </c>
      <c r="H163" s="21" t="str">
        <f aca="false">IFERROR(INDEX(종합!H$3:H$501,MATCH(ROW()-2,종합!$AC$3:$AC$501,0))&amp;"","")</f>
        <v/>
      </c>
      <c r="I163" s="21" t="str">
        <f aca="false">IFERROR(INDEX(종합!I$3:I$501,MATCH(ROW()-2,종합!$AC$3:$AC$501,0))&amp;"","")</f>
        <v/>
      </c>
      <c r="J163" s="21" t="str">
        <f aca="false">IFERROR(INDEX(종합!J$3:J$501,MATCH(ROW()-2,종합!$AC$3:$AC$501,0))&amp;"","")</f>
        <v/>
      </c>
      <c r="K163" s="21" t="str">
        <f aca="false">IFERROR(INDEX(종합!K$3:K$501,MATCH(ROW()-2,종합!$AC$3:$AC$501,0))&amp;"","")</f>
        <v/>
      </c>
      <c r="L163" s="21" t="str">
        <f aca="false">IFERROR(INDEX(종합!L$3:L$501,MATCH(ROW()-2,종합!$AC$3:$AC$501,0))&amp;"","")</f>
        <v/>
      </c>
      <c r="M163" s="21" t="str">
        <f aca="false">IFERROR(INDEX(종합!M$3:M$501,MATCH(ROW()-2,종합!$AC$3:$AC$501,0))&amp;"","")</f>
        <v/>
      </c>
      <c r="N163" s="25" t="str">
        <f aca="false">IFERROR(INDEX(종합!N$3:N$501,MATCH(ROW()-2,종합!$AC$3:$AC$501,0))&amp;"","")</f>
        <v/>
      </c>
      <c r="O163" s="21" t="str">
        <f aca="false">IFERROR(INDEX(종합!O$3:O$501,MATCH(ROW()-2,종합!$AC$3:$AC$501,0))&amp;"","")</f>
        <v/>
      </c>
      <c r="P163" s="21" t="str">
        <f aca="false">IFERROR(INDEX(종합!P$3:P$501,MATCH(ROW()-2,종합!$AC$3:$AC$501,0))&amp;"","")</f>
        <v/>
      </c>
      <c r="Q163" s="21" t="str">
        <f aca="false">IFERROR(INDEX(종합!Q$3:Q$501,MATCH(ROW()-2,종합!$AC$3:$AC$501,0))&amp;"","")</f>
        <v/>
      </c>
      <c r="R163" s="21" t="str">
        <f aca="false">IFERROR(INDEX(종합!R$3:R$501,MATCH(ROW()-2,종합!$AC$3:$AC$501,0))&amp;"","")</f>
        <v/>
      </c>
      <c r="S163" s="21" t="str">
        <f aca="false">IFERROR(INDEX(종합!S$3:S$501,MATCH(ROW()-2,종합!$AC$3:$AC$501,0))&amp;"","")</f>
        <v/>
      </c>
      <c r="T163" s="21" t="str">
        <f aca="false">IFERROR(INDEX(종합!T$3:T$501,MATCH(ROW()-2,종합!$AC$3:$AC$501,0))&amp;"","")</f>
        <v/>
      </c>
      <c r="U163" s="21" t="str">
        <f aca="false">IFERROR(INDEX(종합!U$3:U$501,MATCH(ROW()-2,종합!$AC$3:$AC$501,0))&amp;"","")</f>
        <v/>
      </c>
      <c r="V163" s="21" t="str">
        <f aca="false">IFERROR(INDEX(종합!V$3:V$501,MATCH(ROW()-2,종합!$AC$3:$AC$501,0))&amp;"","")</f>
        <v/>
      </c>
      <c r="W163" s="21" t="str">
        <f aca="false">IFERROR(INDEX(종합!W$3:W$501,MATCH(ROW()-2,종합!$AC$3:$AC$501,0))&amp;"","")</f>
        <v/>
      </c>
      <c r="X163" s="21" t="str">
        <f aca="false">IFERROR(INDEX(종합!X$3:X$501,MATCH(ROW()-2,종합!$AC$3:$AC$501,0))&amp;"","")</f>
        <v/>
      </c>
      <c r="Y163" s="21" t="str">
        <f aca="false">IFERROR(INDEX(종합!Y$3:Y$501,MATCH(ROW()-2,종합!$AC$3:$AC$501,0))&amp;"","")</f>
        <v/>
      </c>
      <c r="Z163" s="21" t="str">
        <f aca="false">IFERROR(INDEX(종합!Z$3:Z$501,MATCH(ROW()-2,종합!$AC$3:$AC$501,0))&amp;"","")</f>
        <v/>
      </c>
    </row>
    <row r="164" customFormat="false" ht="16.5" hidden="false" customHeight="true" outlineLevel="0" collapsed="false">
      <c r="A164" s="18" t="str">
        <f aca="false">IF(B164="","",ROW()-2)</f>
        <v/>
      </c>
      <c r="B164" s="18" t="str">
        <f aca="false">IFERROR(INDEX(종합!B$3:B$501,MATCH(ROW()-2,종합!$AC$3:$AC$501,0))&amp;"","")</f>
        <v/>
      </c>
      <c r="C164" s="18" t="str">
        <f aca="false">IFERROR(INDEX(종합!C$3:C$501,MATCH(ROW()-2,종합!$AC$3:$AC$501,0))&amp;"","")</f>
        <v/>
      </c>
      <c r="D164" s="18" t="str">
        <f aca="false">IFERROR(INDEX(종합!D$3:D$501,MATCH(ROW()-2,종합!$AC$3:$AC$501,0))&amp;"","")</f>
        <v/>
      </c>
      <c r="E164" s="18" t="str">
        <f aca="false">IFERROR(INDEX(종합!E$3:E$501,MATCH(ROW()-2,종합!$AC$3:$AC$501,0))&amp;"","")</f>
        <v/>
      </c>
      <c r="F164" s="18" t="str">
        <f aca="false">IFERROR(INDEX(종합!F$3:F$501,MATCH(ROW()-2,종합!$AC$3:$AC$501,0))&amp;"","")</f>
        <v/>
      </c>
      <c r="G164" s="18" t="str">
        <f aca="false">IFERROR(INDEX(종합!G$3:G$501,MATCH(ROW()-2,종합!$AC$3:$AC$501,0))&amp;"","")</f>
        <v/>
      </c>
      <c r="H164" s="21" t="str">
        <f aca="false">IFERROR(INDEX(종합!H$3:H$501,MATCH(ROW()-2,종합!$AC$3:$AC$501,0))&amp;"","")</f>
        <v/>
      </c>
      <c r="I164" s="21" t="str">
        <f aca="false">IFERROR(INDEX(종합!I$3:I$501,MATCH(ROW()-2,종합!$AC$3:$AC$501,0))&amp;"","")</f>
        <v/>
      </c>
      <c r="J164" s="21" t="str">
        <f aca="false">IFERROR(INDEX(종합!J$3:J$501,MATCH(ROW()-2,종합!$AC$3:$AC$501,0))&amp;"","")</f>
        <v/>
      </c>
      <c r="K164" s="21" t="str">
        <f aca="false">IFERROR(INDEX(종합!K$3:K$501,MATCH(ROW()-2,종합!$AC$3:$AC$501,0))&amp;"","")</f>
        <v/>
      </c>
      <c r="L164" s="21" t="str">
        <f aca="false">IFERROR(INDEX(종합!L$3:L$501,MATCH(ROW()-2,종합!$AC$3:$AC$501,0))&amp;"","")</f>
        <v/>
      </c>
      <c r="M164" s="21" t="str">
        <f aca="false">IFERROR(INDEX(종합!M$3:M$501,MATCH(ROW()-2,종합!$AC$3:$AC$501,0))&amp;"","")</f>
        <v/>
      </c>
      <c r="N164" s="25" t="str">
        <f aca="false">IFERROR(INDEX(종합!N$3:N$501,MATCH(ROW()-2,종합!$AC$3:$AC$501,0))&amp;"","")</f>
        <v/>
      </c>
      <c r="O164" s="21" t="str">
        <f aca="false">IFERROR(INDEX(종합!O$3:O$501,MATCH(ROW()-2,종합!$AC$3:$AC$501,0))&amp;"","")</f>
        <v/>
      </c>
      <c r="P164" s="21" t="str">
        <f aca="false">IFERROR(INDEX(종합!P$3:P$501,MATCH(ROW()-2,종합!$AC$3:$AC$501,0))&amp;"","")</f>
        <v/>
      </c>
      <c r="Q164" s="21" t="str">
        <f aca="false">IFERROR(INDEX(종합!Q$3:Q$501,MATCH(ROW()-2,종합!$AC$3:$AC$501,0))&amp;"","")</f>
        <v/>
      </c>
      <c r="R164" s="21" t="str">
        <f aca="false">IFERROR(INDEX(종합!R$3:R$501,MATCH(ROW()-2,종합!$AC$3:$AC$501,0))&amp;"","")</f>
        <v/>
      </c>
      <c r="S164" s="21" t="str">
        <f aca="false">IFERROR(INDEX(종합!S$3:S$501,MATCH(ROW()-2,종합!$AC$3:$AC$501,0))&amp;"","")</f>
        <v/>
      </c>
      <c r="T164" s="21" t="str">
        <f aca="false">IFERROR(INDEX(종합!T$3:T$501,MATCH(ROW()-2,종합!$AC$3:$AC$501,0))&amp;"","")</f>
        <v/>
      </c>
      <c r="U164" s="21" t="str">
        <f aca="false">IFERROR(INDEX(종합!U$3:U$501,MATCH(ROW()-2,종합!$AC$3:$AC$501,0))&amp;"","")</f>
        <v/>
      </c>
      <c r="V164" s="21" t="str">
        <f aca="false">IFERROR(INDEX(종합!V$3:V$501,MATCH(ROW()-2,종합!$AC$3:$AC$501,0))&amp;"","")</f>
        <v/>
      </c>
      <c r="W164" s="21" t="str">
        <f aca="false">IFERROR(INDEX(종합!W$3:W$501,MATCH(ROW()-2,종합!$AC$3:$AC$501,0))&amp;"","")</f>
        <v/>
      </c>
      <c r="X164" s="21" t="str">
        <f aca="false">IFERROR(INDEX(종합!X$3:X$501,MATCH(ROW()-2,종합!$AC$3:$AC$501,0))&amp;"","")</f>
        <v/>
      </c>
      <c r="Y164" s="21" t="str">
        <f aca="false">IFERROR(INDEX(종합!Y$3:Y$501,MATCH(ROW()-2,종합!$AC$3:$AC$501,0))&amp;"","")</f>
        <v/>
      </c>
      <c r="Z164" s="21" t="str">
        <f aca="false">IFERROR(INDEX(종합!Z$3:Z$501,MATCH(ROW()-2,종합!$AC$3:$AC$501,0))&amp;"","")</f>
        <v/>
      </c>
    </row>
    <row r="165" customFormat="false" ht="16.5" hidden="false" customHeight="true" outlineLevel="0" collapsed="false">
      <c r="A165" s="18" t="str">
        <f aca="false">IF(B165="","",ROW()-2)</f>
        <v/>
      </c>
      <c r="B165" s="18" t="str">
        <f aca="false">IFERROR(INDEX(종합!B$3:B$501,MATCH(ROW()-2,종합!$AC$3:$AC$501,0))&amp;"","")</f>
        <v/>
      </c>
      <c r="C165" s="18" t="str">
        <f aca="false">IFERROR(INDEX(종합!C$3:C$501,MATCH(ROW()-2,종합!$AC$3:$AC$501,0))&amp;"","")</f>
        <v/>
      </c>
      <c r="D165" s="18" t="str">
        <f aca="false">IFERROR(INDEX(종합!D$3:D$501,MATCH(ROW()-2,종합!$AC$3:$AC$501,0))&amp;"","")</f>
        <v/>
      </c>
      <c r="E165" s="18" t="str">
        <f aca="false">IFERROR(INDEX(종합!E$3:E$501,MATCH(ROW()-2,종합!$AC$3:$AC$501,0))&amp;"","")</f>
        <v/>
      </c>
      <c r="F165" s="18" t="str">
        <f aca="false">IFERROR(INDEX(종합!F$3:F$501,MATCH(ROW()-2,종합!$AC$3:$AC$501,0))&amp;"","")</f>
        <v/>
      </c>
      <c r="G165" s="18" t="str">
        <f aca="false">IFERROR(INDEX(종합!G$3:G$501,MATCH(ROW()-2,종합!$AC$3:$AC$501,0))&amp;"","")</f>
        <v/>
      </c>
      <c r="H165" s="21" t="str">
        <f aca="false">IFERROR(INDEX(종합!H$3:H$501,MATCH(ROW()-2,종합!$AC$3:$AC$501,0))&amp;"","")</f>
        <v/>
      </c>
      <c r="I165" s="21" t="str">
        <f aca="false">IFERROR(INDEX(종합!I$3:I$501,MATCH(ROW()-2,종합!$AC$3:$AC$501,0))&amp;"","")</f>
        <v/>
      </c>
      <c r="J165" s="21" t="str">
        <f aca="false">IFERROR(INDEX(종합!J$3:J$501,MATCH(ROW()-2,종합!$AC$3:$AC$501,0))&amp;"","")</f>
        <v/>
      </c>
      <c r="K165" s="21" t="str">
        <f aca="false">IFERROR(INDEX(종합!K$3:K$501,MATCH(ROW()-2,종합!$AC$3:$AC$501,0))&amp;"","")</f>
        <v/>
      </c>
      <c r="L165" s="21" t="str">
        <f aca="false">IFERROR(INDEX(종합!L$3:L$501,MATCH(ROW()-2,종합!$AC$3:$AC$501,0))&amp;"","")</f>
        <v/>
      </c>
      <c r="M165" s="21" t="str">
        <f aca="false">IFERROR(INDEX(종합!M$3:M$501,MATCH(ROW()-2,종합!$AC$3:$AC$501,0))&amp;"","")</f>
        <v/>
      </c>
      <c r="N165" s="25" t="str">
        <f aca="false">IFERROR(INDEX(종합!N$3:N$501,MATCH(ROW()-2,종합!$AC$3:$AC$501,0))&amp;"","")</f>
        <v/>
      </c>
      <c r="O165" s="21" t="str">
        <f aca="false">IFERROR(INDEX(종합!O$3:O$501,MATCH(ROW()-2,종합!$AC$3:$AC$501,0))&amp;"","")</f>
        <v/>
      </c>
      <c r="P165" s="21" t="str">
        <f aca="false">IFERROR(INDEX(종합!P$3:P$501,MATCH(ROW()-2,종합!$AC$3:$AC$501,0))&amp;"","")</f>
        <v/>
      </c>
      <c r="Q165" s="21" t="str">
        <f aca="false">IFERROR(INDEX(종합!Q$3:Q$501,MATCH(ROW()-2,종합!$AC$3:$AC$501,0))&amp;"","")</f>
        <v/>
      </c>
      <c r="R165" s="21" t="str">
        <f aca="false">IFERROR(INDEX(종합!R$3:R$501,MATCH(ROW()-2,종합!$AC$3:$AC$501,0))&amp;"","")</f>
        <v/>
      </c>
      <c r="S165" s="21" t="str">
        <f aca="false">IFERROR(INDEX(종합!S$3:S$501,MATCH(ROW()-2,종합!$AC$3:$AC$501,0))&amp;"","")</f>
        <v/>
      </c>
      <c r="T165" s="21" t="str">
        <f aca="false">IFERROR(INDEX(종합!T$3:T$501,MATCH(ROW()-2,종합!$AC$3:$AC$501,0))&amp;"","")</f>
        <v/>
      </c>
      <c r="U165" s="21" t="str">
        <f aca="false">IFERROR(INDEX(종합!U$3:U$501,MATCH(ROW()-2,종합!$AC$3:$AC$501,0))&amp;"","")</f>
        <v/>
      </c>
      <c r="V165" s="21" t="str">
        <f aca="false">IFERROR(INDEX(종합!V$3:V$501,MATCH(ROW()-2,종합!$AC$3:$AC$501,0))&amp;"","")</f>
        <v/>
      </c>
      <c r="W165" s="21" t="str">
        <f aca="false">IFERROR(INDEX(종합!W$3:W$501,MATCH(ROW()-2,종합!$AC$3:$AC$501,0))&amp;"","")</f>
        <v/>
      </c>
      <c r="X165" s="21" t="str">
        <f aca="false">IFERROR(INDEX(종합!X$3:X$501,MATCH(ROW()-2,종합!$AC$3:$AC$501,0))&amp;"","")</f>
        <v/>
      </c>
      <c r="Y165" s="21" t="str">
        <f aca="false">IFERROR(INDEX(종합!Y$3:Y$501,MATCH(ROW()-2,종합!$AC$3:$AC$501,0))&amp;"","")</f>
        <v/>
      </c>
      <c r="Z165" s="21" t="str">
        <f aca="false">IFERROR(INDEX(종합!Z$3:Z$501,MATCH(ROW()-2,종합!$AC$3:$AC$501,0))&amp;"","")</f>
        <v/>
      </c>
    </row>
    <row r="166" customFormat="false" ht="16.5" hidden="false" customHeight="true" outlineLevel="0" collapsed="false">
      <c r="A166" s="18" t="str">
        <f aca="false">IF(B166="","",ROW()-2)</f>
        <v/>
      </c>
      <c r="B166" s="18" t="str">
        <f aca="false">IFERROR(INDEX(종합!B$3:B$501,MATCH(ROW()-2,종합!$AC$3:$AC$501,0))&amp;"","")</f>
        <v/>
      </c>
      <c r="C166" s="18" t="str">
        <f aca="false">IFERROR(INDEX(종합!C$3:C$501,MATCH(ROW()-2,종합!$AC$3:$AC$501,0))&amp;"","")</f>
        <v/>
      </c>
      <c r="D166" s="18" t="str">
        <f aca="false">IFERROR(INDEX(종합!D$3:D$501,MATCH(ROW()-2,종합!$AC$3:$AC$501,0))&amp;"","")</f>
        <v/>
      </c>
      <c r="E166" s="18" t="str">
        <f aca="false">IFERROR(INDEX(종합!E$3:E$501,MATCH(ROW()-2,종합!$AC$3:$AC$501,0))&amp;"","")</f>
        <v/>
      </c>
      <c r="F166" s="18" t="str">
        <f aca="false">IFERROR(INDEX(종합!F$3:F$501,MATCH(ROW()-2,종합!$AC$3:$AC$501,0))&amp;"","")</f>
        <v/>
      </c>
      <c r="G166" s="18" t="str">
        <f aca="false">IFERROR(INDEX(종합!G$3:G$501,MATCH(ROW()-2,종합!$AC$3:$AC$501,0))&amp;"","")</f>
        <v/>
      </c>
      <c r="H166" s="21" t="str">
        <f aca="false">IFERROR(INDEX(종합!H$3:H$501,MATCH(ROW()-2,종합!$AC$3:$AC$501,0))&amp;"","")</f>
        <v/>
      </c>
      <c r="I166" s="21" t="str">
        <f aca="false">IFERROR(INDEX(종합!I$3:I$501,MATCH(ROW()-2,종합!$AC$3:$AC$501,0))&amp;"","")</f>
        <v/>
      </c>
      <c r="J166" s="21" t="str">
        <f aca="false">IFERROR(INDEX(종합!J$3:J$501,MATCH(ROW()-2,종합!$AC$3:$AC$501,0))&amp;"","")</f>
        <v/>
      </c>
      <c r="K166" s="21" t="str">
        <f aca="false">IFERROR(INDEX(종합!K$3:K$501,MATCH(ROW()-2,종합!$AC$3:$AC$501,0))&amp;"","")</f>
        <v/>
      </c>
      <c r="L166" s="21" t="str">
        <f aca="false">IFERROR(INDEX(종합!L$3:L$501,MATCH(ROW()-2,종합!$AC$3:$AC$501,0))&amp;"","")</f>
        <v/>
      </c>
      <c r="M166" s="21" t="str">
        <f aca="false">IFERROR(INDEX(종합!M$3:M$501,MATCH(ROW()-2,종합!$AC$3:$AC$501,0))&amp;"","")</f>
        <v/>
      </c>
      <c r="N166" s="25" t="str">
        <f aca="false">IFERROR(INDEX(종합!N$3:N$501,MATCH(ROW()-2,종합!$AC$3:$AC$501,0))&amp;"","")</f>
        <v/>
      </c>
      <c r="O166" s="21" t="str">
        <f aca="false">IFERROR(INDEX(종합!O$3:O$501,MATCH(ROW()-2,종합!$AC$3:$AC$501,0))&amp;"","")</f>
        <v/>
      </c>
      <c r="P166" s="21" t="str">
        <f aca="false">IFERROR(INDEX(종합!P$3:P$501,MATCH(ROW()-2,종합!$AC$3:$AC$501,0))&amp;"","")</f>
        <v/>
      </c>
      <c r="Q166" s="21" t="str">
        <f aca="false">IFERROR(INDEX(종합!Q$3:Q$501,MATCH(ROW()-2,종합!$AC$3:$AC$501,0))&amp;"","")</f>
        <v/>
      </c>
      <c r="R166" s="21" t="str">
        <f aca="false">IFERROR(INDEX(종합!R$3:R$501,MATCH(ROW()-2,종합!$AC$3:$AC$501,0))&amp;"","")</f>
        <v/>
      </c>
      <c r="S166" s="21" t="str">
        <f aca="false">IFERROR(INDEX(종합!S$3:S$501,MATCH(ROW()-2,종합!$AC$3:$AC$501,0))&amp;"","")</f>
        <v/>
      </c>
      <c r="T166" s="21" t="str">
        <f aca="false">IFERROR(INDEX(종합!T$3:T$501,MATCH(ROW()-2,종합!$AC$3:$AC$501,0))&amp;"","")</f>
        <v/>
      </c>
      <c r="U166" s="21" t="str">
        <f aca="false">IFERROR(INDEX(종합!U$3:U$501,MATCH(ROW()-2,종합!$AC$3:$AC$501,0))&amp;"","")</f>
        <v/>
      </c>
      <c r="V166" s="21" t="str">
        <f aca="false">IFERROR(INDEX(종합!V$3:V$501,MATCH(ROW()-2,종합!$AC$3:$AC$501,0))&amp;"","")</f>
        <v/>
      </c>
      <c r="W166" s="21" t="str">
        <f aca="false">IFERROR(INDEX(종합!W$3:W$501,MATCH(ROW()-2,종합!$AC$3:$AC$501,0))&amp;"","")</f>
        <v/>
      </c>
      <c r="X166" s="21" t="str">
        <f aca="false">IFERROR(INDEX(종합!X$3:X$501,MATCH(ROW()-2,종합!$AC$3:$AC$501,0))&amp;"","")</f>
        <v/>
      </c>
      <c r="Y166" s="21" t="str">
        <f aca="false">IFERROR(INDEX(종합!Y$3:Y$501,MATCH(ROW()-2,종합!$AC$3:$AC$501,0))&amp;"","")</f>
        <v/>
      </c>
      <c r="Z166" s="21" t="str">
        <f aca="false">IFERROR(INDEX(종합!Z$3:Z$501,MATCH(ROW()-2,종합!$AC$3:$AC$501,0))&amp;"","")</f>
        <v/>
      </c>
    </row>
    <row r="167" customFormat="false" ht="16.5" hidden="false" customHeight="true" outlineLevel="0" collapsed="false">
      <c r="A167" s="18" t="str">
        <f aca="false">IF(B167="","",ROW()-2)</f>
        <v/>
      </c>
      <c r="B167" s="18" t="str">
        <f aca="false">IFERROR(INDEX(종합!B$3:B$501,MATCH(ROW()-2,종합!$AC$3:$AC$501,0))&amp;"","")</f>
        <v/>
      </c>
      <c r="C167" s="18" t="str">
        <f aca="false">IFERROR(INDEX(종합!C$3:C$501,MATCH(ROW()-2,종합!$AC$3:$AC$501,0))&amp;"","")</f>
        <v/>
      </c>
      <c r="D167" s="18" t="str">
        <f aca="false">IFERROR(INDEX(종합!D$3:D$501,MATCH(ROW()-2,종합!$AC$3:$AC$501,0))&amp;"","")</f>
        <v/>
      </c>
      <c r="E167" s="18" t="str">
        <f aca="false">IFERROR(INDEX(종합!E$3:E$501,MATCH(ROW()-2,종합!$AC$3:$AC$501,0))&amp;"","")</f>
        <v/>
      </c>
      <c r="F167" s="18" t="str">
        <f aca="false">IFERROR(INDEX(종합!F$3:F$501,MATCH(ROW()-2,종합!$AC$3:$AC$501,0))&amp;"","")</f>
        <v/>
      </c>
      <c r="G167" s="18" t="str">
        <f aca="false">IFERROR(INDEX(종합!G$3:G$501,MATCH(ROW()-2,종합!$AC$3:$AC$501,0))&amp;"","")</f>
        <v/>
      </c>
      <c r="H167" s="21" t="str">
        <f aca="false">IFERROR(INDEX(종합!H$3:H$501,MATCH(ROW()-2,종합!$AC$3:$AC$501,0))&amp;"","")</f>
        <v/>
      </c>
      <c r="I167" s="21" t="str">
        <f aca="false">IFERROR(INDEX(종합!I$3:I$501,MATCH(ROW()-2,종합!$AC$3:$AC$501,0))&amp;"","")</f>
        <v/>
      </c>
      <c r="J167" s="21" t="str">
        <f aca="false">IFERROR(INDEX(종합!J$3:J$501,MATCH(ROW()-2,종합!$AC$3:$AC$501,0))&amp;"","")</f>
        <v/>
      </c>
      <c r="K167" s="21" t="str">
        <f aca="false">IFERROR(INDEX(종합!K$3:K$501,MATCH(ROW()-2,종합!$AC$3:$AC$501,0))&amp;"","")</f>
        <v/>
      </c>
      <c r="L167" s="21" t="str">
        <f aca="false">IFERROR(INDEX(종합!L$3:L$501,MATCH(ROW()-2,종합!$AC$3:$AC$501,0))&amp;"","")</f>
        <v/>
      </c>
      <c r="M167" s="21" t="str">
        <f aca="false">IFERROR(INDEX(종합!M$3:M$501,MATCH(ROW()-2,종합!$AC$3:$AC$501,0))&amp;"","")</f>
        <v/>
      </c>
      <c r="N167" s="25" t="str">
        <f aca="false">IFERROR(INDEX(종합!N$3:N$501,MATCH(ROW()-2,종합!$AC$3:$AC$501,0))&amp;"","")</f>
        <v/>
      </c>
      <c r="O167" s="21" t="str">
        <f aca="false">IFERROR(INDEX(종합!O$3:O$501,MATCH(ROW()-2,종합!$AC$3:$AC$501,0))&amp;"","")</f>
        <v/>
      </c>
      <c r="P167" s="21" t="str">
        <f aca="false">IFERROR(INDEX(종합!P$3:P$501,MATCH(ROW()-2,종합!$AC$3:$AC$501,0))&amp;"","")</f>
        <v/>
      </c>
      <c r="Q167" s="21" t="str">
        <f aca="false">IFERROR(INDEX(종합!Q$3:Q$501,MATCH(ROW()-2,종합!$AC$3:$AC$501,0))&amp;"","")</f>
        <v/>
      </c>
      <c r="R167" s="21" t="str">
        <f aca="false">IFERROR(INDEX(종합!R$3:R$501,MATCH(ROW()-2,종합!$AC$3:$AC$501,0))&amp;"","")</f>
        <v/>
      </c>
      <c r="S167" s="21" t="str">
        <f aca="false">IFERROR(INDEX(종합!S$3:S$501,MATCH(ROW()-2,종합!$AC$3:$AC$501,0))&amp;"","")</f>
        <v/>
      </c>
      <c r="T167" s="21" t="str">
        <f aca="false">IFERROR(INDEX(종합!T$3:T$501,MATCH(ROW()-2,종합!$AC$3:$AC$501,0))&amp;"","")</f>
        <v/>
      </c>
      <c r="U167" s="21" t="str">
        <f aca="false">IFERROR(INDEX(종합!U$3:U$501,MATCH(ROW()-2,종합!$AC$3:$AC$501,0))&amp;"","")</f>
        <v/>
      </c>
      <c r="V167" s="21" t="str">
        <f aca="false">IFERROR(INDEX(종합!V$3:V$501,MATCH(ROW()-2,종합!$AC$3:$AC$501,0))&amp;"","")</f>
        <v/>
      </c>
      <c r="W167" s="21" t="str">
        <f aca="false">IFERROR(INDEX(종합!W$3:W$501,MATCH(ROW()-2,종합!$AC$3:$AC$501,0))&amp;"","")</f>
        <v/>
      </c>
      <c r="X167" s="21" t="str">
        <f aca="false">IFERROR(INDEX(종합!X$3:X$501,MATCH(ROW()-2,종합!$AC$3:$AC$501,0))&amp;"","")</f>
        <v/>
      </c>
      <c r="Y167" s="21" t="str">
        <f aca="false">IFERROR(INDEX(종합!Y$3:Y$501,MATCH(ROW()-2,종합!$AC$3:$AC$501,0))&amp;"","")</f>
        <v/>
      </c>
      <c r="Z167" s="21" t="str">
        <f aca="false">IFERROR(INDEX(종합!Z$3:Z$501,MATCH(ROW()-2,종합!$AC$3:$AC$501,0))&amp;"","")</f>
        <v/>
      </c>
    </row>
    <row r="168" customFormat="false" ht="16.5" hidden="false" customHeight="true" outlineLevel="0" collapsed="false">
      <c r="A168" s="18" t="str">
        <f aca="false">IF(B168="","",ROW()-2)</f>
        <v/>
      </c>
      <c r="B168" s="18" t="str">
        <f aca="false">IFERROR(INDEX(종합!B$3:B$501,MATCH(ROW()-2,종합!$AC$3:$AC$501,0))&amp;"","")</f>
        <v/>
      </c>
      <c r="C168" s="18" t="str">
        <f aca="false">IFERROR(INDEX(종합!C$3:C$501,MATCH(ROW()-2,종합!$AC$3:$AC$501,0))&amp;"","")</f>
        <v/>
      </c>
      <c r="D168" s="18" t="str">
        <f aca="false">IFERROR(INDEX(종합!D$3:D$501,MATCH(ROW()-2,종합!$AC$3:$AC$501,0))&amp;"","")</f>
        <v/>
      </c>
      <c r="E168" s="18" t="str">
        <f aca="false">IFERROR(INDEX(종합!E$3:E$501,MATCH(ROW()-2,종합!$AC$3:$AC$501,0))&amp;"","")</f>
        <v/>
      </c>
      <c r="F168" s="18" t="str">
        <f aca="false">IFERROR(INDEX(종합!F$3:F$501,MATCH(ROW()-2,종합!$AC$3:$AC$501,0))&amp;"","")</f>
        <v/>
      </c>
      <c r="G168" s="18" t="str">
        <f aca="false">IFERROR(INDEX(종합!G$3:G$501,MATCH(ROW()-2,종합!$AC$3:$AC$501,0))&amp;"","")</f>
        <v/>
      </c>
      <c r="H168" s="21" t="str">
        <f aca="false">IFERROR(INDEX(종합!H$3:H$501,MATCH(ROW()-2,종합!$AC$3:$AC$501,0))&amp;"","")</f>
        <v/>
      </c>
      <c r="I168" s="21" t="str">
        <f aca="false">IFERROR(INDEX(종합!I$3:I$501,MATCH(ROW()-2,종합!$AC$3:$AC$501,0))&amp;"","")</f>
        <v/>
      </c>
      <c r="J168" s="21" t="str">
        <f aca="false">IFERROR(INDEX(종합!J$3:J$501,MATCH(ROW()-2,종합!$AC$3:$AC$501,0))&amp;"","")</f>
        <v/>
      </c>
      <c r="K168" s="21" t="str">
        <f aca="false">IFERROR(INDEX(종합!K$3:K$501,MATCH(ROW()-2,종합!$AC$3:$AC$501,0))&amp;"","")</f>
        <v/>
      </c>
      <c r="L168" s="21" t="str">
        <f aca="false">IFERROR(INDEX(종합!L$3:L$501,MATCH(ROW()-2,종합!$AC$3:$AC$501,0))&amp;"","")</f>
        <v/>
      </c>
      <c r="M168" s="21" t="str">
        <f aca="false">IFERROR(INDEX(종합!M$3:M$501,MATCH(ROW()-2,종합!$AC$3:$AC$501,0))&amp;"","")</f>
        <v/>
      </c>
      <c r="N168" s="25" t="str">
        <f aca="false">IFERROR(INDEX(종합!N$3:N$501,MATCH(ROW()-2,종합!$AC$3:$AC$501,0))&amp;"","")</f>
        <v/>
      </c>
      <c r="O168" s="21" t="str">
        <f aca="false">IFERROR(INDEX(종합!O$3:O$501,MATCH(ROW()-2,종합!$AC$3:$AC$501,0))&amp;"","")</f>
        <v/>
      </c>
      <c r="P168" s="21" t="str">
        <f aca="false">IFERROR(INDEX(종합!P$3:P$501,MATCH(ROW()-2,종합!$AC$3:$AC$501,0))&amp;"","")</f>
        <v/>
      </c>
      <c r="Q168" s="21" t="str">
        <f aca="false">IFERROR(INDEX(종합!Q$3:Q$501,MATCH(ROW()-2,종합!$AC$3:$AC$501,0))&amp;"","")</f>
        <v/>
      </c>
      <c r="R168" s="21" t="str">
        <f aca="false">IFERROR(INDEX(종합!R$3:R$501,MATCH(ROW()-2,종합!$AC$3:$AC$501,0))&amp;"","")</f>
        <v/>
      </c>
      <c r="S168" s="21" t="str">
        <f aca="false">IFERROR(INDEX(종합!S$3:S$501,MATCH(ROW()-2,종합!$AC$3:$AC$501,0))&amp;"","")</f>
        <v/>
      </c>
      <c r="T168" s="21" t="str">
        <f aca="false">IFERROR(INDEX(종합!T$3:T$501,MATCH(ROW()-2,종합!$AC$3:$AC$501,0))&amp;"","")</f>
        <v/>
      </c>
      <c r="U168" s="21" t="str">
        <f aca="false">IFERROR(INDEX(종합!U$3:U$501,MATCH(ROW()-2,종합!$AC$3:$AC$501,0))&amp;"","")</f>
        <v/>
      </c>
      <c r="V168" s="21" t="str">
        <f aca="false">IFERROR(INDEX(종합!V$3:V$501,MATCH(ROW()-2,종합!$AC$3:$AC$501,0))&amp;"","")</f>
        <v/>
      </c>
      <c r="W168" s="21" t="str">
        <f aca="false">IFERROR(INDEX(종합!W$3:W$501,MATCH(ROW()-2,종합!$AC$3:$AC$501,0))&amp;"","")</f>
        <v/>
      </c>
      <c r="X168" s="21" t="str">
        <f aca="false">IFERROR(INDEX(종합!X$3:X$501,MATCH(ROW()-2,종합!$AC$3:$AC$501,0))&amp;"","")</f>
        <v/>
      </c>
      <c r="Y168" s="21" t="str">
        <f aca="false">IFERROR(INDEX(종합!Y$3:Y$501,MATCH(ROW()-2,종합!$AC$3:$AC$501,0))&amp;"","")</f>
        <v/>
      </c>
      <c r="Z168" s="21" t="str">
        <f aca="false">IFERROR(INDEX(종합!Z$3:Z$501,MATCH(ROW()-2,종합!$AC$3:$AC$501,0))&amp;"","")</f>
        <v/>
      </c>
    </row>
    <row r="169" customFormat="false" ht="16.5" hidden="false" customHeight="true" outlineLevel="0" collapsed="false">
      <c r="A169" s="18" t="str">
        <f aca="false">IF(B169="","",ROW()-2)</f>
        <v/>
      </c>
      <c r="B169" s="18" t="str">
        <f aca="false">IFERROR(INDEX(종합!B$3:B$501,MATCH(ROW()-2,종합!$AC$3:$AC$501,0))&amp;"","")</f>
        <v/>
      </c>
      <c r="C169" s="18" t="str">
        <f aca="false">IFERROR(INDEX(종합!C$3:C$501,MATCH(ROW()-2,종합!$AC$3:$AC$501,0))&amp;"","")</f>
        <v/>
      </c>
      <c r="D169" s="18" t="str">
        <f aca="false">IFERROR(INDEX(종합!D$3:D$501,MATCH(ROW()-2,종합!$AC$3:$AC$501,0))&amp;"","")</f>
        <v/>
      </c>
      <c r="E169" s="18" t="str">
        <f aca="false">IFERROR(INDEX(종합!E$3:E$501,MATCH(ROW()-2,종합!$AC$3:$AC$501,0))&amp;"","")</f>
        <v/>
      </c>
      <c r="F169" s="18" t="str">
        <f aca="false">IFERROR(INDEX(종합!F$3:F$501,MATCH(ROW()-2,종합!$AC$3:$AC$501,0))&amp;"","")</f>
        <v/>
      </c>
      <c r="G169" s="18" t="str">
        <f aca="false">IFERROR(INDEX(종합!G$3:G$501,MATCH(ROW()-2,종합!$AC$3:$AC$501,0))&amp;"","")</f>
        <v/>
      </c>
      <c r="H169" s="21" t="str">
        <f aca="false">IFERROR(INDEX(종합!H$3:H$501,MATCH(ROW()-2,종합!$AC$3:$AC$501,0))&amp;"","")</f>
        <v/>
      </c>
      <c r="I169" s="21" t="str">
        <f aca="false">IFERROR(INDEX(종합!I$3:I$501,MATCH(ROW()-2,종합!$AC$3:$AC$501,0))&amp;"","")</f>
        <v/>
      </c>
      <c r="J169" s="21" t="str">
        <f aca="false">IFERROR(INDEX(종합!J$3:J$501,MATCH(ROW()-2,종합!$AC$3:$AC$501,0))&amp;"","")</f>
        <v/>
      </c>
      <c r="K169" s="21" t="str">
        <f aca="false">IFERROR(INDEX(종합!K$3:K$501,MATCH(ROW()-2,종합!$AC$3:$AC$501,0))&amp;"","")</f>
        <v/>
      </c>
      <c r="L169" s="21" t="str">
        <f aca="false">IFERROR(INDEX(종합!L$3:L$501,MATCH(ROW()-2,종합!$AC$3:$AC$501,0))&amp;"","")</f>
        <v/>
      </c>
      <c r="M169" s="21" t="str">
        <f aca="false">IFERROR(INDEX(종합!M$3:M$501,MATCH(ROW()-2,종합!$AC$3:$AC$501,0))&amp;"","")</f>
        <v/>
      </c>
      <c r="N169" s="25" t="str">
        <f aca="false">IFERROR(INDEX(종합!N$3:N$501,MATCH(ROW()-2,종합!$AC$3:$AC$501,0))&amp;"","")</f>
        <v/>
      </c>
      <c r="O169" s="21" t="str">
        <f aca="false">IFERROR(INDEX(종합!O$3:O$501,MATCH(ROW()-2,종합!$AC$3:$AC$501,0))&amp;"","")</f>
        <v/>
      </c>
      <c r="P169" s="21" t="str">
        <f aca="false">IFERROR(INDEX(종합!P$3:P$501,MATCH(ROW()-2,종합!$AC$3:$AC$501,0))&amp;"","")</f>
        <v/>
      </c>
      <c r="Q169" s="21" t="str">
        <f aca="false">IFERROR(INDEX(종합!Q$3:Q$501,MATCH(ROW()-2,종합!$AC$3:$AC$501,0))&amp;"","")</f>
        <v/>
      </c>
      <c r="R169" s="21" t="str">
        <f aca="false">IFERROR(INDEX(종합!R$3:R$501,MATCH(ROW()-2,종합!$AC$3:$AC$501,0))&amp;"","")</f>
        <v/>
      </c>
      <c r="S169" s="21" t="str">
        <f aca="false">IFERROR(INDEX(종합!S$3:S$501,MATCH(ROW()-2,종합!$AC$3:$AC$501,0))&amp;"","")</f>
        <v/>
      </c>
      <c r="T169" s="21" t="str">
        <f aca="false">IFERROR(INDEX(종합!T$3:T$501,MATCH(ROW()-2,종합!$AC$3:$AC$501,0))&amp;"","")</f>
        <v/>
      </c>
      <c r="U169" s="21" t="str">
        <f aca="false">IFERROR(INDEX(종합!U$3:U$501,MATCH(ROW()-2,종합!$AC$3:$AC$501,0))&amp;"","")</f>
        <v/>
      </c>
      <c r="V169" s="21" t="str">
        <f aca="false">IFERROR(INDEX(종합!V$3:V$501,MATCH(ROW()-2,종합!$AC$3:$AC$501,0))&amp;"","")</f>
        <v/>
      </c>
      <c r="W169" s="21" t="str">
        <f aca="false">IFERROR(INDEX(종합!W$3:W$501,MATCH(ROW()-2,종합!$AC$3:$AC$501,0))&amp;"","")</f>
        <v/>
      </c>
      <c r="X169" s="21" t="str">
        <f aca="false">IFERROR(INDEX(종합!X$3:X$501,MATCH(ROW()-2,종합!$AC$3:$AC$501,0))&amp;"","")</f>
        <v/>
      </c>
      <c r="Y169" s="21" t="str">
        <f aca="false">IFERROR(INDEX(종합!Y$3:Y$501,MATCH(ROW()-2,종합!$AC$3:$AC$501,0))&amp;"","")</f>
        <v/>
      </c>
      <c r="Z169" s="21" t="str">
        <f aca="false">IFERROR(INDEX(종합!Z$3:Z$501,MATCH(ROW()-2,종합!$AC$3:$AC$501,0))&amp;"","")</f>
        <v/>
      </c>
    </row>
    <row r="170" customFormat="false" ht="16.5" hidden="false" customHeight="true" outlineLevel="0" collapsed="false">
      <c r="A170" s="18" t="str">
        <f aca="false">IF(B170="","",ROW()-2)</f>
        <v/>
      </c>
      <c r="B170" s="18" t="str">
        <f aca="false">IFERROR(INDEX(종합!B$3:B$501,MATCH(ROW()-2,종합!$AC$3:$AC$501,0))&amp;"","")</f>
        <v/>
      </c>
      <c r="C170" s="18" t="str">
        <f aca="false">IFERROR(INDEX(종합!C$3:C$501,MATCH(ROW()-2,종합!$AC$3:$AC$501,0))&amp;"","")</f>
        <v/>
      </c>
      <c r="D170" s="18" t="str">
        <f aca="false">IFERROR(INDEX(종합!D$3:D$501,MATCH(ROW()-2,종합!$AC$3:$AC$501,0))&amp;"","")</f>
        <v/>
      </c>
      <c r="E170" s="18" t="str">
        <f aca="false">IFERROR(INDEX(종합!E$3:E$501,MATCH(ROW()-2,종합!$AC$3:$AC$501,0))&amp;"","")</f>
        <v/>
      </c>
      <c r="F170" s="18" t="str">
        <f aca="false">IFERROR(INDEX(종합!F$3:F$501,MATCH(ROW()-2,종합!$AC$3:$AC$501,0))&amp;"","")</f>
        <v/>
      </c>
      <c r="G170" s="18" t="str">
        <f aca="false">IFERROR(INDEX(종합!G$3:G$501,MATCH(ROW()-2,종합!$AC$3:$AC$501,0))&amp;"","")</f>
        <v/>
      </c>
      <c r="H170" s="21" t="str">
        <f aca="false">IFERROR(INDEX(종합!H$3:H$501,MATCH(ROW()-2,종합!$AC$3:$AC$501,0))&amp;"","")</f>
        <v/>
      </c>
      <c r="I170" s="21" t="str">
        <f aca="false">IFERROR(INDEX(종합!I$3:I$501,MATCH(ROW()-2,종합!$AC$3:$AC$501,0))&amp;"","")</f>
        <v/>
      </c>
      <c r="J170" s="21" t="str">
        <f aca="false">IFERROR(INDEX(종합!J$3:J$501,MATCH(ROW()-2,종합!$AC$3:$AC$501,0))&amp;"","")</f>
        <v/>
      </c>
      <c r="K170" s="21" t="str">
        <f aca="false">IFERROR(INDEX(종합!K$3:K$501,MATCH(ROW()-2,종합!$AC$3:$AC$501,0))&amp;"","")</f>
        <v/>
      </c>
      <c r="L170" s="21" t="str">
        <f aca="false">IFERROR(INDEX(종합!L$3:L$501,MATCH(ROW()-2,종합!$AC$3:$AC$501,0))&amp;"","")</f>
        <v/>
      </c>
      <c r="M170" s="21" t="str">
        <f aca="false">IFERROR(INDEX(종합!M$3:M$501,MATCH(ROW()-2,종합!$AC$3:$AC$501,0))&amp;"","")</f>
        <v/>
      </c>
      <c r="N170" s="25" t="str">
        <f aca="false">IFERROR(INDEX(종합!N$3:N$501,MATCH(ROW()-2,종합!$AC$3:$AC$501,0))&amp;"","")</f>
        <v/>
      </c>
      <c r="O170" s="21" t="str">
        <f aca="false">IFERROR(INDEX(종합!O$3:O$501,MATCH(ROW()-2,종합!$AC$3:$AC$501,0))&amp;"","")</f>
        <v/>
      </c>
      <c r="P170" s="21" t="str">
        <f aca="false">IFERROR(INDEX(종합!P$3:P$501,MATCH(ROW()-2,종합!$AC$3:$AC$501,0))&amp;"","")</f>
        <v/>
      </c>
      <c r="Q170" s="21" t="str">
        <f aca="false">IFERROR(INDEX(종합!Q$3:Q$501,MATCH(ROW()-2,종합!$AC$3:$AC$501,0))&amp;"","")</f>
        <v/>
      </c>
      <c r="R170" s="21" t="str">
        <f aca="false">IFERROR(INDEX(종합!R$3:R$501,MATCH(ROW()-2,종합!$AC$3:$AC$501,0))&amp;"","")</f>
        <v/>
      </c>
      <c r="S170" s="21" t="str">
        <f aca="false">IFERROR(INDEX(종합!S$3:S$501,MATCH(ROW()-2,종합!$AC$3:$AC$501,0))&amp;"","")</f>
        <v/>
      </c>
      <c r="T170" s="21" t="str">
        <f aca="false">IFERROR(INDEX(종합!T$3:T$501,MATCH(ROW()-2,종합!$AC$3:$AC$501,0))&amp;"","")</f>
        <v/>
      </c>
      <c r="U170" s="21" t="str">
        <f aca="false">IFERROR(INDEX(종합!U$3:U$501,MATCH(ROW()-2,종합!$AC$3:$AC$501,0))&amp;"","")</f>
        <v/>
      </c>
      <c r="V170" s="21" t="str">
        <f aca="false">IFERROR(INDEX(종합!V$3:V$501,MATCH(ROW()-2,종합!$AC$3:$AC$501,0))&amp;"","")</f>
        <v/>
      </c>
      <c r="W170" s="21" t="str">
        <f aca="false">IFERROR(INDEX(종합!W$3:W$501,MATCH(ROW()-2,종합!$AC$3:$AC$501,0))&amp;"","")</f>
        <v/>
      </c>
      <c r="X170" s="21" t="str">
        <f aca="false">IFERROR(INDEX(종합!X$3:X$501,MATCH(ROW()-2,종합!$AC$3:$AC$501,0))&amp;"","")</f>
        <v/>
      </c>
      <c r="Y170" s="21" t="str">
        <f aca="false">IFERROR(INDEX(종합!Y$3:Y$501,MATCH(ROW()-2,종합!$AC$3:$AC$501,0))&amp;"","")</f>
        <v/>
      </c>
      <c r="Z170" s="21" t="str">
        <f aca="false">IFERROR(INDEX(종합!Z$3:Z$501,MATCH(ROW()-2,종합!$AC$3:$AC$501,0))&amp;"","")</f>
        <v/>
      </c>
    </row>
    <row r="171" customFormat="false" ht="16.5" hidden="false" customHeight="true" outlineLevel="0" collapsed="false">
      <c r="A171" s="18" t="str">
        <f aca="false">IF(B171="","",ROW()-2)</f>
        <v/>
      </c>
      <c r="B171" s="18" t="str">
        <f aca="false">IFERROR(INDEX(종합!B$3:B$501,MATCH(ROW()-2,종합!$AC$3:$AC$501,0))&amp;"","")</f>
        <v/>
      </c>
      <c r="C171" s="18" t="str">
        <f aca="false">IFERROR(INDEX(종합!C$3:C$501,MATCH(ROW()-2,종합!$AC$3:$AC$501,0))&amp;"","")</f>
        <v/>
      </c>
      <c r="D171" s="18" t="str">
        <f aca="false">IFERROR(INDEX(종합!D$3:D$501,MATCH(ROW()-2,종합!$AC$3:$AC$501,0))&amp;"","")</f>
        <v/>
      </c>
      <c r="E171" s="18" t="str">
        <f aca="false">IFERROR(INDEX(종합!E$3:E$501,MATCH(ROW()-2,종합!$AC$3:$AC$501,0))&amp;"","")</f>
        <v/>
      </c>
      <c r="F171" s="18" t="str">
        <f aca="false">IFERROR(INDEX(종합!F$3:F$501,MATCH(ROW()-2,종합!$AC$3:$AC$501,0))&amp;"","")</f>
        <v/>
      </c>
      <c r="G171" s="18" t="str">
        <f aca="false">IFERROR(INDEX(종합!G$3:G$501,MATCH(ROW()-2,종합!$AC$3:$AC$501,0))&amp;"","")</f>
        <v/>
      </c>
      <c r="H171" s="21" t="str">
        <f aca="false">IFERROR(INDEX(종합!H$3:H$501,MATCH(ROW()-2,종합!$AC$3:$AC$501,0))&amp;"","")</f>
        <v/>
      </c>
      <c r="I171" s="21" t="str">
        <f aca="false">IFERROR(INDEX(종합!I$3:I$501,MATCH(ROW()-2,종합!$AC$3:$AC$501,0))&amp;"","")</f>
        <v/>
      </c>
      <c r="J171" s="21" t="str">
        <f aca="false">IFERROR(INDEX(종합!J$3:J$501,MATCH(ROW()-2,종합!$AC$3:$AC$501,0))&amp;"","")</f>
        <v/>
      </c>
      <c r="K171" s="21" t="str">
        <f aca="false">IFERROR(INDEX(종합!K$3:K$501,MATCH(ROW()-2,종합!$AC$3:$AC$501,0))&amp;"","")</f>
        <v/>
      </c>
      <c r="L171" s="21" t="str">
        <f aca="false">IFERROR(INDEX(종합!L$3:L$501,MATCH(ROW()-2,종합!$AC$3:$AC$501,0))&amp;"","")</f>
        <v/>
      </c>
      <c r="M171" s="21" t="str">
        <f aca="false">IFERROR(INDEX(종합!M$3:M$501,MATCH(ROW()-2,종합!$AC$3:$AC$501,0))&amp;"","")</f>
        <v/>
      </c>
      <c r="N171" s="25" t="str">
        <f aca="false">IFERROR(INDEX(종합!N$3:N$501,MATCH(ROW()-2,종합!$AC$3:$AC$501,0))&amp;"","")</f>
        <v/>
      </c>
      <c r="O171" s="21" t="str">
        <f aca="false">IFERROR(INDEX(종합!O$3:O$501,MATCH(ROW()-2,종합!$AC$3:$AC$501,0))&amp;"","")</f>
        <v/>
      </c>
      <c r="P171" s="21" t="str">
        <f aca="false">IFERROR(INDEX(종합!P$3:P$501,MATCH(ROW()-2,종합!$AC$3:$AC$501,0))&amp;"","")</f>
        <v/>
      </c>
      <c r="Q171" s="21" t="str">
        <f aca="false">IFERROR(INDEX(종합!Q$3:Q$501,MATCH(ROW()-2,종합!$AC$3:$AC$501,0))&amp;"","")</f>
        <v/>
      </c>
      <c r="R171" s="21" t="str">
        <f aca="false">IFERROR(INDEX(종합!R$3:R$501,MATCH(ROW()-2,종합!$AC$3:$AC$501,0))&amp;"","")</f>
        <v/>
      </c>
      <c r="S171" s="21" t="str">
        <f aca="false">IFERROR(INDEX(종합!S$3:S$501,MATCH(ROW()-2,종합!$AC$3:$AC$501,0))&amp;"","")</f>
        <v/>
      </c>
      <c r="T171" s="21" t="str">
        <f aca="false">IFERROR(INDEX(종합!T$3:T$501,MATCH(ROW()-2,종합!$AC$3:$AC$501,0))&amp;"","")</f>
        <v/>
      </c>
      <c r="U171" s="21" t="str">
        <f aca="false">IFERROR(INDEX(종합!U$3:U$501,MATCH(ROW()-2,종합!$AC$3:$AC$501,0))&amp;"","")</f>
        <v/>
      </c>
      <c r="V171" s="21" t="str">
        <f aca="false">IFERROR(INDEX(종합!V$3:V$501,MATCH(ROW()-2,종합!$AC$3:$AC$501,0))&amp;"","")</f>
        <v/>
      </c>
      <c r="W171" s="21" t="str">
        <f aca="false">IFERROR(INDEX(종합!W$3:W$501,MATCH(ROW()-2,종합!$AC$3:$AC$501,0))&amp;"","")</f>
        <v/>
      </c>
      <c r="X171" s="21" t="str">
        <f aca="false">IFERROR(INDEX(종합!X$3:X$501,MATCH(ROW()-2,종합!$AC$3:$AC$501,0))&amp;"","")</f>
        <v/>
      </c>
      <c r="Y171" s="21" t="str">
        <f aca="false">IFERROR(INDEX(종합!Y$3:Y$501,MATCH(ROW()-2,종합!$AC$3:$AC$501,0))&amp;"","")</f>
        <v/>
      </c>
      <c r="Z171" s="21" t="str">
        <f aca="false">IFERROR(INDEX(종합!Z$3:Z$501,MATCH(ROW()-2,종합!$AC$3:$AC$501,0))&amp;"","")</f>
        <v/>
      </c>
    </row>
    <row r="172" customFormat="false" ht="16.5" hidden="false" customHeight="true" outlineLevel="0" collapsed="false">
      <c r="A172" s="18" t="str">
        <f aca="false">IF(B172="","",ROW()-2)</f>
        <v/>
      </c>
      <c r="B172" s="18" t="str">
        <f aca="false">IFERROR(INDEX(종합!B$3:B$501,MATCH(ROW()-2,종합!$AC$3:$AC$501,0))&amp;"","")</f>
        <v/>
      </c>
      <c r="C172" s="18" t="str">
        <f aca="false">IFERROR(INDEX(종합!C$3:C$501,MATCH(ROW()-2,종합!$AC$3:$AC$501,0))&amp;"","")</f>
        <v/>
      </c>
      <c r="D172" s="18" t="str">
        <f aca="false">IFERROR(INDEX(종합!D$3:D$501,MATCH(ROW()-2,종합!$AC$3:$AC$501,0))&amp;"","")</f>
        <v/>
      </c>
      <c r="E172" s="18" t="str">
        <f aca="false">IFERROR(INDEX(종합!E$3:E$501,MATCH(ROW()-2,종합!$AC$3:$AC$501,0))&amp;"","")</f>
        <v/>
      </c>
      <c r="F172" s="18" t="str">
        <f aca="false">IFERROR(INDEX(종합!F$3:F$501,MATCH(ROW()-2,종합!$AC$3:$AC$501,0))&amp;"","")</f>
        <v/>
      </c>
      <c r="G172" s="18" t="str">
        <f aca="false">IFERROR(INDEX(종합!G$3:G$501,MATCH(ROW()-2,종합!$AC$3:$AC$501,0))&amp;"","")</f>
        <v/>
      </c>
      <c r="H172" s="21" t="str">
        <f aca="false">IFERROR(INDEX(종합!H$3:H$501,MATCH(ROW()-2,종합!$AC$3:$AC$501,0))&amp;"","")</f>
        <v/>
      </c>
      <c r="I172" s="21" t="str">
        <f aca="false">IFERROR(INDEX(종합!I$3:I$501,MATCH(ROW()-2,종합!$AC$3:$AC$501,0))&amp;"","")</f>
        <v/>
      </c>
      <c r="J172" s="21" t="str">
        <f aca="false">IFERROR(INDEX(종합!J$3:J$501,MATCH(ROW()-2,종합!$AC$3:$AC$501,0))&amp;"","")</f>
        <v/>
      </c>
      <c r="K172" s="21" t="str">
        <f aca="false">IFERROR(INDEX(종합!K$3:K$501,MATCH(ROW()-2,종합!$AC$3:$AC$501,0))&amp;"","")</f>
        <v/>
      </c>
      <c r="L172" s="21" t="str">
        <f aca="false">IFERROR(INDEX(종합!L$3:L$501,MATCH(ROW()-2,종합!$AC$3:$AC$501,0))&amp;"","")</f>
        <v/>
      </c>
      <c r="M172" s="21" t="str">
        <f aca="false">IFERROR(INDEX(종합!M$3:M$501,MATCH(ROW()-2,종합!$AC$3:$AC$501,0))&amp;"","")</f>
        <v/>
      </c>
      <c r="N172" s="25" t="str">
        <f aca="false">IFERROR(INDEX(종합!N$3:N$501,MATCH(ROW()-2,종합!$AC$3:$AC$501,0))&amp;"","")</f>
        <v/>
      </c>
      <c r="O172" s="21" t="str">
        <f aca="false">IFERROR(INDEX(종합!O$3:O$501,MATCH(ROW()-2,종합!$AC$3:$AC$501,0))&amp;"","")</f>
        <v/>
      </c>
      <c r="P172" s="21" t="str">
        <f aca="false">IFERROR(INDEX(종합!P$3:P$501,MATCH(ROW()-2,종합!$AC$3:$AC$501,0))&amp;"","")</f>
        <v/>
      </c>
      <c r="Q172" s="21" t="str">
        <f aca="false">IFERROR(INDEX(종합!Q$3:Q$501,MATCH(ROW()-2,종합!$AC$3:$AC$501,0))&amp;"","")</f>
        <v/>
      </c>
      <c r="R172" s="21" t="str">
        <f aca="false">IFERROR(INDEX(종합!R$3:R$501,MATCH(ROW()-2,종합!$AC$3:$AC$501,0))&amp;"","")</f>
        <v/>
      </c>
      <c r="S172" s="21" t="str">
        <f aca="false">IFERROR(INDEX(종합!S$3:S$501,MATCH(ROW()-2,종합!$AC$3:$AC$501,0))&amp;"","")</f>
        <v/>
      </c>
      <c r="T172" s="21" t="str">
        <f aca="false">IFERROR(INDEX(종합!T$3:T$501,MATCH(ROW()-2,종합!$AC$3:$AC$501,0))&amp;"","")</f>
        <v/>
      </c>
      <c r="U172" s="21" t="str">
        <f aca="false">IFERROR(INDEX(종합!U$3:U$501,MATCH(ROW()-2,종합!$AC$3:$AC$501,0))&amp;"","")</f>
        <v/>
      </c>
      <c r="V172" s="21" t="str">
        <f aca="false">IFERROR(INDEX(종합!V$3:V$501,MATCH(ROW()-2,종합!$AC$3:$AC$501,0))&amp;"","")</f>
        <v/>
      </c>
      <c r="W172" s="21" t="str">
        <f aca="false">IFERROR(INDEX(종합!W$3:W$501,MATCH(ROW()-2,종합!$AC$3:$AC$501,0))&amp;"","")</f>
        <v/>
      </c>
      <c r="X172" s="21" t="str">
        <f aca="false">IFERROR(INDEX(종합!X$3:X$501,MATCH(ROW()-2,종합!$AC$3:$AC$501,0))&amp;"","")</f>
        <v/>
      </c>
      <c r="Y172" s="21" t="str">
        <f aca="false">IFERROR(INDEX(종합!Y$3:Y$501,MATCH(ROW()-2,종합!$AC$3:$AC$501,0))&amp;"","")</f>
        <v/>
      </c>
      <c r="Z172" s="21" t="str">
        <f aca="false">IFERROR(INDEX(종합!Z$3:Z$501,MATCH(ROW()-2,종합!$AC$3:$AC$501,0))&amp;"","")</f>
        <v/>
      </c>
    </row>
    <row r="173" customFormat="false" ht="16.5" hidden="false" customHeight="true" outlineLevel="0" collapsed="false">
      <c r="A173" s="18" t="str">
        <f aca="false">IF(B173="","",ROW()-2)</f>
        <v/>
      </c>
      <c r="B173" s="18" t="str">
        <f aca="false">IFERROR(INDEX(종합!B$3:B$501,MATCH(ROW()-2,종합!$AC$3:$AC$501,0))&amp;"","")</f>
        <v/>
      </c>
      <c r="C173" s="18" t="str">
        <f aca="false">IFERROR(INDEX(종합!C$3:C$501,MATCH(ROW()-2,종합!$AC$3:$AC$501,0))&amp;"","")</f>
        <v/>
      </c>
      <c r="D173" s="18" t="str">
        <f aca="false">IFERROR(INDEX(종합!D$3:D$501,MATCH(ROW()-2,종합!$AC$3:$AC$501,0))&amp;"","")</f>
        <v/>
      </c>
      <c r="E173" s="18" t="str">
        <f aca="false">IFERROR(INDEX(종합!E$3:E$501,MATCH(ROW()-2,종합!$AC$3:$AC$501,0))&amp;"","")</f>
        <v/>
      </c>
      <c r="F173" s="18" t="str">
        <f aca="false">IFERROR(INDEX(종합!F$3:F$501,MATCH(ROW()-2,종합!$AC$3:$AC$501,0))&amp;"","")</f>
        <v/>
      </c>
      <c r="G173" s="18" t="str">
        <f aca="false">IFERROR(INDEX(종합!G$3:G$501,MATCH(ROW()-2,종합!$AC$3:$AC$501,0))&amp;"","")</f>
        <v/>
      </c>
      <c r="H173" s="21" t="str">
        <f aca="false">IFERROR(INDEX(종합!H$3:H$501,MATCH(ROW()-2,종합!$AC$3:$AC$501,0))&amp;"","")</f>
        <v/>
      </c>
      <c r="I173" s="21" t="str">
        <f aca="false">IFERROR(INDEX(종합!I$3:I$501,MATCH(ROW()-2,종합!$AC$3:$AC$501,0))&amp;"","")</f>
        <v/>
      </c>
      <c r="J173" s="21" t="str">
        <f aca="false">IFERROR(INDEX(종합!J$3:J$501,MATCH(ROW()-2,종합!$AC$3:$AC$501,0))&amp;"","")</f>
        <v/>
      </c>
      <c r="K173" s="21" t="str">
        <f aca="false">IFERROR(INDEX(종합!K$3:K$501,MATCH(ROW()-2,종합!$AC$3:$AC$501,0))&amp;"","")</f>
        <v/>
      </c>
      <c r="L173" s="21" t="str">
        <f aca="false">IFERROR(INDEX(종합!L$3:L$501,MATCH(ROW()-2,종합!$AC$3:$AC$501,0))&amp;"","")</f>
        <v/>
      </c>
      <c r="M173" s="21" t="str">
        <f aca="false">IFERROR(INDEX(종합!M$3:M$501,MATCH(ROW()-2,종합!$AC$3:$AC$501,0))&amp;"","")</f>
        <v/>
      </c>
      <c r="N173" s="25" t="str">
        <f aca="false">IFERROR(INDEX(종합!N$3:N$501,MATCH(ROW()-2,종합!$AC$3:$AC$501,0))&amp;"","")</f>
        <v/>
      </c>
      <c r="O173" s="21" t="str">
        <f aca="false">IFERROR(INDEX(종합!O$3:O$501,MATCH(ROW()-2,종합!$AC$3:$AC$501,0))&amp;"","")</f>
        <v/>
      </c>
      <c r="P173" s="21" t="str">
        <f aca="false">IFERROR(INDEX(종합!P$3:P$501,MATCH(ROW()-2,종합!$AC$3:$AC$501,0))&amp;"","")</f>
        <v/>
      </c>
      <c r="Q173" s="21" t="str">
        <f aca="false">IFERROR(INDEX(종합!Q$3:Q$501,MATCH(ROW()-2,종합!$AC$3:$AC$501,0))&amp;"","")</f>
        <v/>
      </c>
      <c r="R173" s="21" t="str">
        <f aca="false">IFERROR(INDEX(종합!R$3:R$501,MATCH(ROW()-2,종합!$AC$3:$AC$501,0))&amp;"","")</f>
        <v/>
      </c>
      <c r="S173" s="21" t="str">
        <f aca="false">IFERROR(INDEX(종합!S$3:S$501,MATCH(ROW()-2,종합!$AC$3:$AC$501,0))&amp;"","")</f>
        <v/>
      </c>
      <c r="T173" s="21" t="str">
        <f aca="false">IFERROR(INDEX(종합!T$3:T$501,MATCH(ROW()-2,종합!$AC$3:$AC$501,0))&amp;"","")</f>
        <v/>
      </c>
      <c r="U173" s="21" t="str">
        <f aca="false">IFERROR(INDEX(종합!U$3:U$501,MATCH(ROW()-2,종합!$AC$3:$AC$501,0))&amp;"","")</f>
        <v/>
      </c>
      <c r="V173" s="21" t="str">
        <f aca="false">IFERROR(INDEX(종합!V$3:V$501,MATCH(ROW()-2,종합!$AC$3:$AC$501,0))&amp;"","")</f>
        <v/>
      </c>
      <c r="W173" s="21" t="str">
        <f aca="false">IFERROR(INDEX(종합!W$3:W$501,MATCH(ROW()-2,종합!$AC$3:$AC$501,0))&amp;"","")</f>
        <v/>
      </c>
      <c r="X173" s="21" t="str">
        <f aca="false">IFERROR(INDEX(종합!X$3:X$501,MATCH(ROW()-2,종합!$AC$3:$AC$501,0))&amp;"","")</f>
        <v/>
      </c>
      <c r="Y173" s="21" t="str">
        <f aca="false">IFERROR(INDEX(종합!Y$3:Y$501,MATCH(ROW()-2,종합!$AC$3:$AC$501,0))&amp;"","")</f>
        <v/>
      </c>
      <c r="Z173" s="21" t="str">
        <f aca="false">IFERROR(INDEX(종합!Z$3:Z$501,MATCH(ROW()-2,종합!$AC$3:$AC$501,0))&amp;"","")</f>
        <v/>
      </c>
    </row>
    <row r="174" customFormat="false" ht="16.5" hidden="false" customHeight="true" outlineLevel="0" collapsed="false">
      <c r="A174" s="18" t="str">
        <f aca="false">IF(B174="","",ROW()-2)</f>
        <v/>
      </c>
      <c r="B174" s="18" t="str">
        <f aca="false">IFERROR(INDEX(종합!B$3:B$501,MATCH(ROW()-2,종합!$AC$3:$AC$501,0))&amp;"","")</f>
        <v/>
      </c>
      <c r="C174" s="18" t="str">
        <f aca="false">IFERROR(INDEX(종합!C$3:C$501,MATCH(ROW()-2,종합!$AC$3:$AC$501,0))&amp;"","")</f>
        <v/>
      </c>
      <c r="D174" s="18" t="str">
        <f aca="false">IFERROR(INDEX(종합!D$3:D$501,MATCH(ROW()-2,종합!$AC$3:$AC$501,0))&amp;"","")</f>
        <v/>
      </c>
      <c r="E174" s="18" t="str">
        <f aca="false">IFERROR(INDEX(종합!E$3:E$501,MATCH(ROW()-2,종합!$AC$3:$AC$501,0))&amp;"","")</f>
        <v/>
      </c>
      <c r="F174" s="18" t="str">
        <f aca="false">IFERROR(INDEX(종합!F$3:F$501,MATCH(ROW()-2,종합!$AC$3:$AC$501,0))&amp;"","")</f>
        <v/>
      </c>
      <c r="G174" s="18" t="str">
        <f aca="false">IFERROR(INDEX(종합!G$3:G$501,MATCH(ROW()-2,종합!$AC$3:$AC$501,0))&amp;"","")</f>
        <v/>
      </c>
      <c r="H174" s="21" t="str">
        <f aca="false">IFERROR(INDEX(종합!H$3:H$501,MATCH(ROW()-2,종합!$AC$3:$AC$501,0))&amp;"","")</f>
        <v/>
      </c>
      <c r="I174" s="21" t="str">
        <f aca="false">IFERROR(INDEX(종합!I$3:I$501,MATCH(ROW()-2,종합!$AC$3:$AC$501,0))&amp;"","")</f>
        <v/>
      </c>
      <c r="J174" s="21" t="str">
        <f aca="false">IFERROR(INDEX(종합!J$3:J$501,MATCH(ROW()-2,종합!$AC$3:$AC$501,0))&amp;"","")</f>
        <v/>
      </c>
      <c r="K174" s="21" t="str">
        <f aca="false">IFERROR(INDEX(종합!K$3:K$501,MATCH(ROW()-2,종합!$AC$3:$AC$501,0))&amp;"","")</f>
        <v/>
      </c>
      <c r="L174" s="21" t="str">
        <f aca="false">IFERROR(INDEX(종합!L$3:L$501,MATCH(ROW()-2,종합!$AC$3:$AC$501,0))&amp;"","")</f>
        <v/>
      </c>
      <c r="M174" s="21" t="str">
        <f aca="false">IFERROR(INDEX(종합!M$3:M$501,MATCH(ROW()-2,종합!$AC$3:$AC$501,0))&amp;"","")</f>
        <v/>
      </c>
      <c r="N174" s="25" t="str">
        <f aca="false">IFERROR(INDEX(종합!N$3:N$501,MATCH(ROW()-2,종합!$AC$3:$AC$501,0))&amp;"","")</f>
        <v/>
      </c>
      <c r="O174" s="21" t="str">
        <f aca="false">IFERROR(INDEX(종합!O$3:O$501,MATCH(ROW()-2,종합!$AC$3:$AC$501,0))&amp;"","")</f>
        <v/>
      </c>
      <c r="P174" s="21" t="str">
        <f aca="false">IFERROR(INDEX(종합!P$3:P$501,MATCH(ROW()-2,종합!$AC$3:$AC$501,0))&amp;"","")</f>
        <v/>
      </c>
      <c r="Q174" s="21" t="str">
        <f aca="false">IFERROR(INDEX(종합!Q$3:Q$501,MATCH(ROW()-2,종합!$AC$3:$AC$501,0))&amp;"","")</f>
        <v/>
      </c>
      <c r="R174" s="21" t="str">
        <f aca="false">IFERROR(INDEX(종합!R$3:R$501,MATCH(ROW()-2,종합!$AC$3:$AC$501,0))&amp;"","")</f>
        <v/>
      </c>
      <c r="S174" s="21" t="str">
        <f aca="false">IFERROR(INDEX(종합!S$3:S$501,MATCH(ROW()-2,종합!$AC$3:$AC$501,0))&amp;"","")</f>
        <v/>
      </c>
      <c r="T174" s="21" t="str">
        <f aca="false">IFERROR(INDEX(종합!T$3:T$501,MATCH(ROW()-2,종합!$AC$3:$AC$501,0))&amp;"","")</f>
        <v/>
      </c>
      <c r="U174" s="21" t="str">
        <f aca="false">IFERROR(INDEX(종합!U$3:U$501,MATCH(ROW()-2,종합!$AC$3:$AC$501,0))&amp;"","")</f>
        <v/>
      </c>
      <c r="V174" s="21" t="str">
        <f aca="false">IFERROR(INDEX(종합!V$3:V$501,MATCH(ROW()-2,종합!$AC$3:$AC$501,0))&amp;"","")</f>
        <v/>
      </c>
      <c r="W174" s="21" t="str">
        <f aca="false">IFERROR(INDEX(종합!W$3:W$501,MATCH(ROW()-2,종합!$AC$3:$AC$501,0))&amp;"","")</f>
        <v/>
      </c>
      <c r="X174" s="21" t="str">
        <f aca="false">IFERROR(INDEX(종합!X$3:X$501,MATCH(ROW()-2,종합!$AC$3:$AC$501,0))&amp;"","")</f>
        <v/>
      </c>
      <c r="Y174" s="21" t="str">
        <f aca="false">IFERROR(INDEX(종합!Y$3:Y$501,MATCH(ROW()-2,종합!$AC$3:$AC$501,0))&amp;"","")</f>
        <v/>
      </c>
      <c r="Z174" s="21" t="str">
        <f aca="false">IFERROR(INDEX(종합!Z$3:Z$501,MATCH(ROW()-2,종합!$AC$3:$AC$501,0))&amp;"","")</f>
        <v/>
      </c>
    </row>
    <row r="175" customFormat="false" ht="16.5" hidden="false" customHeight="true" outlineLevel="0" collapsed="false">
      <c r="A175" s="18" t="str">
        <f aca="false">IF(B175="","",ROW()-2)</f>
        <v/>
      </c>
      <c r="B175" s="18" t="str">
        <f aca="false">IFERROR(INDEX(종합!B$3:B$501,MATCH(ROW()-2,종합!$AC$3:$AC$501,0))&amp;"","")</f>
        <v/>
      </c>
      <c r="C175" s="18" t="str">
        <f aca="false">IFERROR(INDEX(종합!C$3:C$501,MATCH(ROW()-2,종합!$AC$3:$AC$501,0))&amp;"","")</f>
        <v/>
      </c>
      <c r="D175" s="18" t="str">
        <f aca="false">IFERROR(INDEX(종합!D$3:D$501,MATCH(ROW()-2,종합!$AC$3:$AC$501,0))&amp;"","")</f>
        <v/>
      </c>
      <c r="E175" s="18" t="str">
        <f aca="false">IFERROR(INDEX(종합!E$3:E$501,MATCH(ROW()-2,종합!$AC$3:$AC$501,0))&amp;"","")</f>
        <v/>
      </c>
      <c r="F175" s="18" t="str">
        <f aca="false">IFERROR(INDEX(종합!F$3:F$501,MATCH(ROW()-2,종합!$AC$3:$AC$501,0))&amp;"","")</f>
        <v/>
      </c>
      <c r="G175" s="18" t="str">
        <f aca="false">IFERROR(INDEX(종합!G$3:G$501,MATCH(ROW()-2,종합!$AC$3:$AC$501,0))&amp;"","")</f>
        <v/>
      </c>
      <c r="H175" s="21" t="str">
        <f aca="false">IFERROR(INDEX(종합!H$3:H$501,MATCH(ROW()-2,종합!$AC$3:$AC$501,0))&amp;"","")</f>
        <v/>
      </c>
      <c r="I175" s="21" t="str">
        <f aca="false">IFERROR(INDEX(종합!I$3:I$501,MATCH(ROW()-2,종합!$AC$3:$AC$501,0))&amp;"","")</f>
        <v/>
      </c>
      <c r="J175" s="21" t="str">
        <f aca="false">IFERROR(INDEX(종합!J$3:J$501,MATCH(ROW()-2,종합!$AC$3:$AC$501,0))&amp;"","")</f>
        <v/>
      </c>
      <c r="K175" s="21" t="str">
        <f aca="false">IFERROR(INDEX(종합!K$3:K$501,MATCH(ROW()-2,종합!$AC$3:$AC$501,0))&amp;"","")</f>
        <v/>
      </c>
      <c r="L175" s="21" t="str">
        <f aca="false">IFERROR(INDEX(종합!L$3:L$501,MATCH(ROW()-2,종합!$AC$3:$AC$501,0))&amp;"","")</f>
        <v/>
      </c>
      <c r="M175" s="21" t="str">
        <f aca="false">IFERROR(INDEX(종합!M$3:M$501,MATCH(ROW()-2,종합!$AC$3:$AC$501,0))&amp;"","")</f>
        <v/>
      </c>
      <c r="N175" s="25" t="str">
        <f aca="false">IFERROR(INDEX(종합!N$3:N$501,MATCH(ROW()-2,종합!$AC$3:$AC$501,0))&amp;"","")</f>
        <v/>
      </c>
      <c r="O175" s="21" t="str">
        <f aca="false">IFERROR(INDEX(종합!O$3:O$501,MATCH(ROW()-2,종합!$AC$3:$AC$501,0))&amp;"","")</f>
        <v/>
      </c>
      <c r="P175" s="21" t="str">
        <f aca="false">IFERROR(INDEX(종합!P$3:P$501,MATCH(ROW()-2,종합!$AC$3:$AC$501,0))&amp;"","")</f>
        <v/>
      </c>
      <c r="Q175" s="21" t="str">
        <f aca="false">IFERROR(INDEX(종합!Q$3:Q$501,MATCH(ROW()-2,종합!$AC$3:$AC$501,0))&amp;"","")</f>
        <v/>
      </c>
      <c r="R175" s="21" t="str">
        <f aca="false">IFERROR(INDEX(종합!R$3:R$501,MATCH(ROW()-2,종합!$AC$3:$AC$501,0))&amp;"","")</f>
        <v/>
      </c>
      <c r="S175" s="21" t="str">
        <f aca="false">IFERROR(INDEX(종합!S$3:S$501,MATCH(ROW()-2,종합!$AC$3:$AC$501,0))&amp;"","")</f>
        <v/>
      </c>
      <c r="T175" s="21" t="str">
        <f aca="false">IFERROR(INDEX(종합!T$3:T$501,MATCH(ROW()-2,종합!$AC$3:$AC$501,0))&amp;"","")</f>
        <v/>
      </c>
      <c r="U175" s="21" t="str">
        <f aca="false">IFERROR(INDEX(종합!U$3:U$501,MATCH(ROW()-2,종합!$AC$3:$AC$501,0))&amp;"","")</f>
        <v/>
      </c>
      <c r="V175" s="21" t="str">
        <f aca="false">IFERROR(INDEX(종합!V$3:V$501,MATCH(ROW()-2,종합!$AC$3:$AC$501,0))&amp;"","")</f>
        <v/>
      </c>
      <c r="W175" s="21" t="str">
        <f aca="false">IFERROR(INDEX(종합!W$3:W$501,MATCH(ROW()-2,종합!$AC$3:$AC$501,0))&amp;"","")</f>
        <v/>
      </c>
      <c r="X175" s="21" t="str">
        <f aca="false">IFERROR(INDEX(종합!X$3:X$501,MATCH(ROW()-2,종합!$AC$3:$AC$501,0))&amp;"","")</f>
        <v/>
      </c>
      <c r="Y175" s="21" t="str">
        <f aca="false">IFERROR(INDEX(종합!Y$3:Y$501,MATCH(ROW()-2,종합!$AC$3:$AC$501,0))&amp;"","")</f>
        <v/>
      </c>
      <c r="Z175" s="21" t="str">
        <f aca="false">IFERROR(INDEX(종합!Z$3:Z$501,MATCH(ROW()-2,종합!$AC$3:$AC$501,0))&amp;"","")</f>
        <v/>
      </c>
    </row>
    <row r="176" customFormat="false" ht="16.5" hidden="false" customHeight="true" outlineLevel="0" collapsed="false">
      <c r="A176" s="18" t="str">
        <f aca="false">IF(B176="","",ROW()-2)</f>
        <v/>
      </c>
      <c r="B176" s="18" t="str">
        <f aca="false">IFERROR(INDEX(종합!B$3:B$501,MATCH(ROW()-2,종합!$AC$3:$AC$501,0))&amp;"","")</f>
        <v/>
      </c>
      <c r="C176" s="18" t="str">
        <f aca="false">IFERROR(INDEX(종합!C$3:C$501,MATCH(ROW()-2,종합!$AC$3:$AC$501,0))&amp;"","")</f>
        <v/>
      </c>
      <c r="D176" s="18" t="str">
        <f aca="false">IFERROR(INDEX(종합!D$3:D$501,MATCH(ROW()-2,종합!$AC$3:$AC$501,0))&amp;"","")</f>
        <v/>
      </c>
      <c r="E176" s="18" t="str">
        <f aca="false">IFERROR(INDEX(종합!E$3:E$501,MATCH(ROW()-2,종합!$AC$3:$AC$501,0))&amp;"","")</f>
        <v/>
      </c>
      <c r="F176" s="18" t="str">
        <f aca="false">IFERROR(INDEX(종합!F$3:F$501,MATCH(ROW()-2,종합!$AC$3:$AC$501,0))&amp;"","")</f>
        <v/>
      </c>
      <c r="G176" s="18" t="str">
        <f aca="false">IFERROR(INDEX(종합!G$3:G$501,MATCH(ROW()-2,종합!$AC$3:$AC$501,0))&amp;"","")</f>
        <v/>
      </c>
      <c r="H176" s="21" t="str">
        <f aca="false">IFERROR(INDEX(종합!H$3:H$501,MATCH(ROW()-2,종합!$AC$3:$AC$501,0))&amp;"","")</f>
        <v/>
      </c>
      <c r="I176" s="21" t="str">
        <f aca="false">IFERROR(INDEX(종합!I$3:I$501,MATCH(ROW()-2,종합!$AC$3:$AC$501,0))&amp;"","")</f>
        <v/>
      </c>
      <c r="J176" s="21" t="str">
        <f aca="false">IFERROR(INDEX(종합!J$3:J$501,MATCH(ROW()-2,종합!$AC$3:$AC$501,0))&amp;"","")</f>
        <v/>
      </c>
      <c r="K176" s="21" t="str">
        <f aca="false">IFERROR(INDEX(종합!K$3:K$501,MATCH(ROW()-2,종합!$AC$3:$AC$501,0))&amp;"","")</f>
        <v/>
      </c>
      <c r="L176" s="21" t="str">
        <f aca="false">IFERROR(INDEX(종합!L$3:L$501,MATCH(ROW()-2,종합!$AC$3:$AC$501,0))&amp;"","")</f>
        <v/>
      </c>
      <c r="M176" s="21" t="str">
        <f aca="false">IFERROR(INDEX(종합!M$3:M$501,MATCH(ROW()-2,종합!$AC$3:$AC$501,0))&amp;"","")</f>
        <v/>
      </c>
      <c r="N176" s="25" t="str">
        <f aca="false">IFERROR(INDEX(종합!N$3:N$501,MATCH(ROW()-2,종합!$AC$3:$AC$501,0))&amp;"","")</f>
        <v/>
      </c>
      <c r="O176" s="21" t="str">
        <f aca="false">IFERROR(INDEX(종합!O$3:O$501,MATCH(ROW()-2,종합!$AC$3:$AC$501,0))&amp;"","")</f>
        <v/>
      </c>
      <c r="P176" s="21" t="str">
        <f aca="false">IFERROR(INDEX(종합!P$3:P$501,MATCH(ROW()-2,종합!$AC$3:$AC$501,0))&amp;"","")</f>
        <v/>
      </c>
      <c r="Q176" s="21" t="str">
        <f aca="false">IFERROR(INDEX(종합!Q$3:Q$501,MATCH(ROW()-2,종합!$AC$3:$AC$501,0))&amp;"","")</f>
        <v/>
      </c>
      <c r="R176" s="21" t="str">
        <f aca="false">IFERROR(INDEX(종합!R$3:R$501,MATCH(ROW()-2,종합!$AC$3:$AC$501,0))&amp;"","")</f>
        <v/>
      </c>
      <c r="S176" s="21" t="str">
        <f aca="false">IFERROR(INDEX(종합!S$3:S$501,MATCH(ROW()-2,종합!$AC$3:$AC$501,0))&amp;"","")</f>
        <v/>
      </c>
      <c r="T176" s="21" t="str">
        <f aca="false">IFERROR(INDEX(종합!T$3:T$501,MATCH(ROW()-2,종합!$AC$3:$AC$501,0))&amp;"","")</f>
        <v/>
      </c>
      <c r="U176" s="21" t="str">
        <f aca="false">IFERROR(INDEX(종합!U$3:U$501,MATCH(ROW()-2,종합!$AC$3:$AC$501,0))&amp;"","")</f>
        <v/>
      </c>
      <c r="V176" s="21" t="str">
        <f aca="false">IFERROR(INDEX(종합!V$3:V$501,MATCH(ROW()-2,종합!$AC$3:$AC$501,0))&amp;"","")</f>
        <v/>
      </c>
      <c r="W176" s="21" t="str">
        <f aca="false">IFERROR(INDEX(종합!W$3:W$501,MATCH(ROW()-2,종합!$AC$3:$AC$501,0))&amp;"","")</f>
        <v/>
      </c>
      <c r="X176" s="21" t="str">
        <f aca="false">IFERROR(INDEX(종합!X$3:X$501,MATCH(ROW()-2,종합!$AC$3:$AC$501,0))&amp;"","")</f>
        <v/>
      </c>
      <c r="Y176" s="21" t="str">
        <f aca="false">IFERROR(INDEX(종합!Y$3:Y$501,MATCH(ROW()-2,종합!$AC$3:$AC$501,0))&amp;"","")</f>
        <v/>
      </c>
      <c r="Z176" s="21" t="str">
        <f aca="false">IFERROR(INDEX(종합!Z$3:Z$501,MATCH(ROW()-2,종합!$AC$3:$AC$501,0))&amp;"","")</f>
        <v/>
      </c>
    </row>
    <row r="177" customFormat="false" ht="16.5" hidden="false" customHeight="true" outlineLevel="0" collapsed="false">
      <c r="A177" s="18" t="str">
        <f aca="false">IF(B177="","",ROW()-2)</f>
        <v/>
      </c>
      <c r="B177" s="18" t="str">
        <f aca="false">IFERROR(INDEX(종합!B$3:B$501,MATCH(ROW()-2,종합!$AC$3:$AC$501,0))&amp;"","")</f>
        <v/>
      </c>
      <c r="C177" s="18" t="str">
        <f aca="false">IFERROR(INDEX(종합!C$3:C$501,MATCH(ROW()-2,종합!$AC$3:$AC$501,0))&amp;"","")</f>
        <v/>
      </c>
      <c r="D177" s="18" t="str">
        <f aca="false">IFERROR(INDEX(종합!D$3:D$501,MATCH(ROW()-2,종합!$AC$3:$AC$501,0))&amp;"","")</f>
        <v/>
      </c>
      <c r="E177" s="18" t="str">
        <f aca="false">IFERROR(INDEX(종합!E$3:E$501,MATCH(ROW()-2,종합!$AC$3:$AC$501,0))&amp;"","")</f>
        <v/>
      </c>
      <c r="F177" s="18" t="str">
        <f aca="false">IFERROR(INDEX(종합!F$3:F$501,MATCH(ROW()-2,종합!$AC$3:$AC$501,0))&amp;"","")</f>
        <v/>
      </c>
      <c r="G177" s="18" t="str">
        <f aca="false">IFERROR(INDEX(종합!G$3:G$501,MATCH(ROW()-2,종합!$AC$3:$AC$501,0))&amp;"","")</f>
        <v/>
      </c>
      <c r="H177" s="21" t="str">
        <f aca="false">IFERROR(INDEX(종합!H$3:H$501,MATCH(ROW()-2,종합!$AC$3:$AC$501,0))&amp;"","")</f>
        <v/>
      </c>
      <c r="I177" s="21" t="str">
        <f aca="false">IFERROR(INDEX(종합!I$3:I$501,MATCH(ROW()-2,종합!$AC$3:$AC$501,0))&amp;"","")</f>
        <v/>
      </c>
      <c r="J177" s="21" t="str">
        <f aca="false">IFERROR(INDEX(종합!J$3:J$501,MATCH(ROW()-2,종합!$AC$3:$AC$501,0))&amp;"","")</f>
        <v/>
      </c>
      <c r="K177" s="21" t="str">
        <f aca="false">IFERROR(INDEX(종합!K$3:K$501,MATCH(ROW()-2,종합!$AC$3:$AC$501,0))&amp;"","")</f>
        <v/>
      </c>
      <c r="L177" s="21" t="str">
        <f aca="false">IFERROR(INDEX(종합!L$3:L$501,MATCH(ROW()-2,종합!$AC$3:$AC$501,0))&amp;"","")</f>
        <v/>
      </c>
      <c r="M177" s="21" t="str">
        <f aca="false">IFERROR(INDEX(종합!M$3:M$501,MATCH(ROW()-2,종합!$AC$3:$AC$501,0))&amp;"","")</f>
        <v/>
      </c>
      <c r="N177" s="25" t="str">
        <f aca="false">IFERROR(INDEX(종합!N$3:N$501,MATCH(ROW()-2,종합!$AC$3:$AC$501,0))&amp;"","")</f>
        <v/>
      </c>
      <c r="O177" s="21" t="str">
        <f aca="false">IFERROR(INDEX(종합!O$3:O$501,MATCH(ROW()-2,종합!$AC$3:$AC$501,0))&amp;"","")</f>
        <v/>
      </c>
      <c r="P177" s="21" t="str">
        <f aca="false">IFERROR(INDEX(종합!P$3:P$501,MATCH(ROW()-2,종합!$AC$3:$AC$501,0))&amp;"","")</f>
        <v/>
      </c>
      <c r="Q177" s="21" t="str">
        <f aca="false">IFERROR(INDEX(종합!Q$3:Q$501,MATCH(ROW()-2,종합!$AC$3:$AC$501,0))&amp;"","")</f>
        <v/>
      </c>
      <c r="R177" s="21" t="str">
        <f aca="false">IFERROR(INDEX(종합!R$3:R$501,MATCH(ROW()-2,종합!$AC$3:$AC$501,0))&amp;"","")</f>
        <v/>
      </c>
      <c r="S177" s="21" t="str">
        <f aca="false">IFERROR(INDEX(종합!S$3:S$501,MATCH(ROW()-2,종합!$AC$3:$AC$501,0))&amp;"","")</f>
        <v/>
      </c>
      <c r="T177" s="21" t="str">
        <f aca="false">IFERROR(INDEX(종합!T$3:T$501,MATCH(ROW()-2,종합!$AC$3:$AC$501,0))&amp;"","")</f>
        <v/>
      </c>
      <c r="U177" s="21" t="str">
        <f aca="false">IFERROR(INDEX(종합!U$3:U$501,MATCH(ROW()-2,종합!$AC$3:$AC$501,0))&amp;"","")</f>
        <v/>
      </c>
      <c r="V177" s="21" t="str">
        <f aca="false">IFERROR(INDEX(종합!V$3:V$501,MATCH(ROW()-2,종합!$AC$3:$AC$501,0))&amp;"","")</f>
        <v/>
      </c>
      <c r="W177" s="21" t="str">
        <f aca="false">IFERROR(INDEX(종합!W$3:W$501,MATCH(ROW()-2,종합!$AC$3:$AC$501,0))&amp;"","")</f>
        <v/>
      </c>
      <c r="X177" s="21" t="str">
        <f aca="false">IFERROR(INDEX(종합!X$3:X$501,MATCH(ROW()-2,종합!$AC$3:$AC$501,0))&amp;"","")</f>
        <v/>
      </c>
      <c r="Y177" s="21" t="str">
        <f aca="false">IFERROR(INDEX(종합!Y$3:Y$501,MATCH(ROW()-2,종합!$AC$3:$AC$501,0))&amp;"","")</f>
        <v/>
      </c>
      <c r="Z177" s="21" t="str">
        <f aca="false">IFERROR(INDEX(종합!Z$3:Z$501,MATCH(ROW()-2,종합!$AC$3:$AC$501,0))&amp;"","")</f>
        <v/>
      </c>
    </row>
    <row r="178" customFormat="false" ht="16.5" hidden="false" customHeight="true" outlineLevel="0" collapsed="false">
      <c r="A178" s="18" t="str">
        <f aca="false">IF(B178="","",ROW()-2)</f>
        <v/>
      </c>
      <c r="B178" s="18" t="str">
        <f aca="false">IFERROR(INDEX(종합!B$3:B$501,MATCH(ROW()-2,종합!$AC$3:$AC$501,0))&amp;"","")</f>
        <v/>
      </c>
      <c r="C178" s="18" t="str">
        <f aca="false">IFERROR(INDEX(종합!C$3:C$501,MATCH(ROW()-2,종합!$AC$3:$AC$501,0))&amp;"","")</f>
        <v/>
      </c>
      <c r="D178" s="18" t="str">
        <f aca="false">IFERROR(INDEX(종합!D$3:D$501,MATCH(ROW()-2,종합!$AC$3:$AC$501,0))&amp;"","")</f>
        <v/>
      </c>
      <c r="E178" s="18" t="str">
        <f aca="false">IFERROR(INDEX(종합!E$3:E$501,MATCH(ROW()-2,종합!$AC$3:$AC$501,0))&amp;"","")</f>
        <v/>
      </c>
      <c r="F178" s="18" t="str">
        <f aca="false">IFERROR(INDEX(종합!F$3:F$501,MATCH(ROW()-2,종합!$AC$3:$AC$501,0))&amp;"","")</f>
        <v/>
      </c>
      <c r="G178" s="18" t="str">
        <f aca="false">IFERROR(INDEX(종합!G$3:G$501,MATCH(ROW()-2,종합!$AC$3:$AC$501,0))&amp;"","")</f>
        <v/>
      </c>
      <c r="H178" s="21" t="str">
        <f aca="false">IFERROR(INDEX(종합!H$3:H$501,MATCH(ROW()-2,종합!$AC$3:$AC$501,0))&amp;"","")</f>
        <v/>
      </c>
      <c r="I178" s="21" t="str">
        <f aca="false">IFERROR(INDEX(종합!I$3:I$501,MATCH(ROW()-2,종합!$AC$3:$AC$501,0))&amp;"","")</f>
        <v/>
      </c>
      <c r="J178" s="21" t="str">
        <f aca="false">IFERROR(INDEX(종합!J$3:J$501,MATCH(ROW()-2,종합!$AC$3:$AC$501,0))&amp;"","")</f>
        <v/>
      </c>
      <c r="K178" s="21" t="str">
        <f aca="false">IFERROR(INDEX(종합!K$3:K$501,MATCH(ROW()-2,종합!$AC$3:$AC$501,0))&amp;"","")</f>
        <v/>
      </c>
      <c r="L178" s="21" t="str">
        <f aca="false">IFERROR(INDEX(종합!L$3:L$501,MATCH(ROW()-2,종합!$AC$3:$AC$501,0))&amp;"","")</f>
        <v/>
      </c>
      <c r="M178" s="21" t="str">
        <f aca="false">IFERROR(INDEX(종합!M$3:M$501,MATCH(ROW()-2,종합!$AC$3:$AC$501,0))&amp;"","")</f>
        <v/>
      </c>
      <c r="N178" s="25" t="str">
        <f aca="false">IFERROR(INDEX(종합!N$3:N$501,MATCH(ROW()-2,종합!$AC$3:$AC$501,0))&amp;"","")</f>
        <v/>
      </c>
      <c r="O178" s="21" t="str">
        <f aca="false">IFERROR(INDEX(종합!O$3:O$501,MATCH(ROW()-2,종합!$AC$3:$AC$501,0))&amp;"","")</f>
        <v/>
      </c>
      <c r="P178" s="21" t="str">
        <f aca="false">IFERROR(INDEX(종합!P$3:P$501,MATCH(ROW()-2,종합!$AC$3:$AC$501,0))&amp;"","")</f>
        <v/>
      </c>
      <c r="Q178" s="21" t="str">
        <f aca="false">IFERROR(INDEX(종합!Q$3:Q$501,MATCH(ROW()-2,종합!$AC$3:$AC$501,0))&amp;"","")</f>
        <v/>
      </c>
      <c r="R178" s="21" t="str">
        <f aca="false">IFERROR(INDEX(종합!R$3:R$501,MATCH(ROW()-2,종합!$AC$3:$AC$501,0))&amp;"","")</f>
        <v/>
      </c>
      <c r="S178" s="21" t="str">
        <f aca="false">IFERROR(INDEX(종합!S$3:S$501,MATCH(ROW()-2,종합!$AC$3:$AC$501,0))&amp;"","")</f>
        <v/>
      </c>
      <c r="T178" s="21" t="str">
        <f aca="false">IFERROR(INDEX(종합!T$3:T$501,MATCH(ROW()-2,종합!$AC$3:$AC$501,0))&amp;"","")</f>
        <v/>
      </c>
      <c r="U178" s="21" t="str">
        <f aca="false">IFERROR(INDEX(종합!U$3:U$501,MATCH(ROW()-2,종합!$AC$3:$AC$501,0))&amp;"","")</f>
        <v/>
      </c>
      <c r="V178" s="21" t="str">
        <f aca="false">IFERROR(INDEX(종합!V$3:V$501,MATCH(ROW()-2,종합!$AC$3:$AC$501,0))&amp;"","")</f>
        <v/>
      </c>
      <c r="W178" s="21" t="str">
        <f aca="false">IFERROR(INDEX(종합!W$3:W$501,MATCH(ROW()-2,종합!$AC$3:$AC$501,0))&amp;"","")</f>
        <v/>
      </c>
      <c r="X178" s="21" t="str">
        <f aca="false">IFERROR(INDEX(종합!X$3:X$501,MATCH(ROW()-2,종합!$AC$3:$AC$501,0))&amp;"","")</f>
        <v/>
      </c>
      <c r="Y178" s="21" t="str">
        <f aca="false">IFERROR(INDEX(종합!Y$3:Y$501,MATCH(ROW()-2,종합!$AC$3:$AC$501,0))&amp;"","")</f>
        <v/>
      </c>
      <c r="Z178" s="21" t="str">
        <f aca="false">IFERROR(INDEX(종합!Z$3:Z$501,MATCH(ROW()-2,종합!$AC$3:$AC$501,0))&amp;"","")</f>
        <v/>
      </c>
    </row>
    <row r="179" customFormat="false" ht="16.5" hidden="false" customHeight="true" outlineLevel="0" collapsed="false">
      <c r="A179" s="18" t="str">
        <f aca="false">IF(B179="","",ROW()-2)</f>
        <v/>
      </c>
      <c r="B179" s="18" t="str">
        <f aca="false">IFERROR(INDEX(종합!B$3:B$501,MATCH(ROW()-2,종합!$AC$3:$AC$501,0))&amp;"","")</f>
        <v/>
      </c>
      <c r="C179" s="18" t="str">
        <f aca="false">IFERROR(INDEX(종합!C$3:C$501,MATCH(ROW()-2,종합!$AC$3:$AC$501,0))&amp;"","")</f>
        <v/>
      </c>
      <c r="D179" s="18" t="str">
        <f aca="false">IFERROR(INDEX(종합!D$3:D$501,MATCH(ROW()-2,종합!$AC$3:$AC$501,0))&amp;"","")</f>
        <v/>
      </c>
      <c r="E179" s="18" t="str">
        <f aca="false">IFERROR(INDEX(종합!E$3:E$501,MATCH(ROW()-2,종합!$AC$3:$AC$501,0))&amp;"","")</f>
        <v/>
      </c>
      <c r="F179" s="18" t="str">
        <f aca="false">IFERROR(INDEX(종합!F$3:F$501,MATCH(ROW()-2,종합!$AC$3:$AC$501,0))&amp;"","")</f>
        <v/>
      </c>
      <c r="G179" s="18" t="str">
        <f aca="false">IFERROR(INDEX(종합!G$3:G$501,MATCH(ROW()-2,종합!$AC$3:$AC$501,0))&amp;"","")</f>
        <v/>
      </c>
      <c r="H179" s="21" t="str">
        <f aca="false">IFERROR(INDEX(종합!H$3:H$501,MATCH(ROW()-2,종합!$AC$3:$AC$501,0))&amp;"","")</f>
        <v/>
      </c>
      <c r="I179" s="21" t="str">
        <f aca="false">IFERROR(INDEX(종합!I$3:I$501,MATCH(ROW()-2,종합!$AC$3:$AC$501,0))&amp;"","")</f>
        <v/>
      </c>
      <c r="J179" s="21" t="str">
        <f aca="false">IFERROR(INDEX(종합!J$3:J$501,MATCH(ROW()-2,종합!$AC$3:$AC$501,0))&amp;"","")</f>
        <v/>
      </c>
      <c r="K179" s="21" t="str">
        <f aca="false">IFERROR(INDEX(종합!K$3:K$501,MATCH(ROW()-2,종합!$AC$3:$AC$501,0))&amp;"","")</f>
        <v/>
      </c>
      <c r="L179" s="21" t="str">
        <f aca="false">IFERROR(INDEX(종합!L$3:L$501,MATCH(ROW()-2,종합!$AC$3:$AC$501,0))&amp;"","")</f>
        <v/>
      </c>
      <c r="M179" s="21" t="str">
        <f aca="false">IFERROR(INDEX(종합!M$3:M$501,MATCH(ROW()-2,종합!$AC$3:$AC$501,0))&amp;"","")</f>
        <v/>
      </c>
      <c r="N179" s="25" t="str">
        <f aca="false">IFERROR(INDEX(종합!N$3:N$501,MATCH(ROW()-2,종합!$AC$3:$AC$501,0))&amp;"","")</f>
        <v/>
      </c>
      <c r="O179" s="21" t="str">
        <f aca="false">IFERROR(INDEX(종합!O$3:O$501,MATCH(ROW()-2,종합!$AC$3:$AC$501,0))&amp;"","")</f>
        <v/>
      </c>
      <c r="P179" s="21" t="str">
        <f aca="false">IFERROR(INDEX(종합!P$3:P$501,MATCH(ROW()-2,종합!$AC$3:$AC$501,0))&amp;"","")</f>
        <v/>
      </c>
      <c r="Q179" s="21" t="str">
        <f aca="false">IFERROR(INDEX(종합!Q$3:Q$501,MATCH(ROW()-2,종합!$AC$3:$AC$501,0))&amp;"","")</f>
        <v/>
      </c>
      <c r="R179" s="21" t="str">
        <f aca="false">IFERROR(INDEX(종합!R$3:R$501,MATCH(ROW()-2,종합!$AC$3:$AC$501,0))&amp;"","")</f>
        <v/>
      </c>
      <c r="S179" s="21" t="str">
        <f aca="false">IFERROR(INDEX(종합!S$3:S$501,MATCH(ROW()-2,종합!$AC$3:$AC$501,0))&amp;"","")</f>
        <v/>
      </c>
      <c r="T179" s="21" t="str">
        <f aca="false">IFERROR(INDEX(종합!T$3:T$501,MATCH(ROW()-2,종합!$AC$3:$AC$501,0))&amp;"","")</f>
        <v/>
      </c>
      <c r="U179" s="21" t="str">
        <f aca="false">IFERROR(INDEX(종합!U$3:U$501,MATCH(ROW()-2,종합!$AC$3:$AC$501,0))&amp;"","")</f>
        <v/>
      </c>
      <c r="V179" s="21" t="str">
        <f aca="false">IFERROR(INDEX(종합!V$3:V$501,MATCH(ROW()-2,종합!$AC$3:$AC$501,0))&amp;"","")</f>
        <v/>
      </c>
      <c r="W179" s="21" t="str">
        <f aca="false">IFERROR(INDEX(종합!W$3:W$501,MATCH(ROW()-2,종합!$AC$3:$AC$501,0))&amp;"","")</f>
        <v/>
      </c>
      <c r="X179" s="21" t="str">
        <f aca="false">IFERROR(INDEX(종합!X$3:X$501,MATCH(ROW()-2,종합!$AC$3:$AC$501,0))&amp;"","")</f>
        <v/>
      </c>
      <c r="Y179" s="21" t="str">
        <f aca="false">IFERROR(INDEX(종합!Y$3:Y$501,MATCH(ROW()-2,종합!$AC$3:$AC$501,0))&amp;"","")</f>
        <v/>
      </c>
      <c r="Z179" s="21" t="str">
        <f aca="false">IFERROR(INDEX(종합!Z$3:Z$501,MATCH(ROW()-2,종합!$AC$3:$AC$501,0))&amp;"","")</f>
        <v/>
      </c>
    </row>
    <row r="180" customFormat="false" ht="16.5" hidden="false" customHeight="true" outlineLevel="0" collapsed="false">
      <c r="A180" s="18" t="str">
        <f aca="false">IF(B180="","",ROW()-2)</f>
        <v/>
      </c>
      <c r="B180" s="18" t="str">
        <f aca="false">IFERROR(INDEX(종합!B$3:B$501,MATCH(ROW()-2,종합!$AC$3:$AC$501,0))&amp;"","")</f>
        <v/>
      </c>
      <c r="C180" s="18" t="str">
        <f aca="false">IFERROR(INDEX(종합!C$3:C$501,MATCH(ROW()-2,종합!$AC$3:$AC$501,0))&amp;"","")</f>
        <v/>
      </c>
      <c r="D180" s="18" t="str">
        <f aca="false">IFERROR(INDEX(종합!D$3:D$501,MATCH(ROW()-2,종합!$AC$3:$AC$501,0))&amp;"","")</f>
        <v/>
      </c>
      <c r="E180" s="18" t="str">
        <f aca="false">IFERROR(INDEX(종합!E$3:E$501,MATCH(ROW()-2,종합!$AC$3:$AC$501,0))&amp;"","")</f>
        <v/>
      </c>
      <c r="F180" s="18" t="str">
        <f aca="false">IFERROR(INDEX(종합!F$3:F$501,MATCH(ROW()-2,종합!$AC$3:$AC$501,0))&amp;"","")</f>
        <v/>
      </c>
      <c r="G180" s="18" t="str">
        <f aca="false">IFERROR(INDEX(종합!G$3:G$501,MATCH(ROW()-2,종합!$AC$3:$AC$501,0))&amp;"","")</f>
        <v/>
      </c>
      <c r="H180" s="21" t="str">
        <f aca="false">IFERROR(INDEX(종합!H$3:H$501,MATCH(ROW()-2,종합!$AC$3:$AC$501,0))&amp;"","")</f>
        <v/>
      </c>
      <c r="I180" s="21" t="str">
        <f aca="false">IFERROR(INDEX(종합!I$3:I$501,MATCH(ROW()-2,종합!$AC$3:$AC$501,0))&amp;"","")</f>
        <v/>
      </c>
      <c r="J180" s="21" t="str">
        <f aca="false">IFERROR(INDEX(종합!J$3:J$501,MATCH(ROW()-2,종합!$AC$3:$AC$501,0))&amp;"","")</f>
        <v/>
      </c>
      <c r="K180" s="21" t="str">
        <f aca="false">IFERROR(INDEX(종합!K$3:K$501,MATCH(ROW()-2,종합!$AC$3:$AC$501,0))&amp;"","")</f>
        <v/>
      </c>
      <c r="L180" s="21" t="str">
        <f aca="false">IFERROR(INDEX(종합!L$3:L$501,MATCH(ROW()-2,종합!$AC$3:$AC$501,0))&amp;"","")</f>
        <v/>
      </c>
      <c r="M180" s="21" t="str">
        <f aca="false">IFERROR(INDEX(종합!M$3:M$501,MATCH(ROW()-2,종합!$AC$3:$AC$501,0))&amp;"","")</f>
        <v/>
      </c>
      <c r="N180" s="25" t="str">
        <f aca="false">IFERROR(INDEX(종합!N$3:N$501,MATCH(ROW()-2,종합!$AC$3:$AC$501,0))&amp;"","")</f>
        <v/>
      </c>
      <c r="O180" s="21" t="str">
        <f aca="false">IFERROR(INDEX(종합!O$3:O$501,MATCH(ROW()-2,종합!$AC$3:$AC$501,0))&amp;"","")</f>
        <v/>
      </c>
      <c r="P180" s="21" t="str">
        <f aca="false">IFERROR(INDEX(종합!P$3:P$501,MATCH(ROW()-2,종합!$AC$3:$AC$501,0))&amp;"","")</f>
        <v/>
      </c>
      <c r="Q180" s="21" t="str">
        <f aca="false">IFERROR(INDEX(종합!Q$3:Q$501,MATCH(ROW()-2,종합!$AC$3:$AC$501,0))&amp;"","")</f>
        <v/>
      </c>
      <c r="R180" s="21" t="str">
        <f aca="false">IFERROR(INDEX(종합!R$3:R$501,MATCH(ROW()-2,종합!$AC$3:$AC$501,0))&amp;"","")</f>
        <v/>
      </c>
      <c r="S180" s="21" t="str">
        <f aca="false">IFERROR(INDEX(종합!S$3:S$501,MATCH(ROW()-2,종합!$AC$3:$AC$501,0))&amp;"","")</f>
        <v/>
      </c>
      <c r="T180" s="21" t="str">
        <f aca="false">IFERROR(INDEX(종합!T$3:T$501,MATCH(ROW()-2,종합!$AC$3:$AC$501,0))&amp;"","")</f>
        <v/>
      </c>
      <c r="U180" s="21" t="str">
        <f aca="false">IFERROR(INDEX(종합!U$3:U$501,MATCH(ROW()-2,종합!$AC$3:$AC$501,0))&amp;"","")</f>
        <v/>
      </c>
      <c r="V180" s="21" t="str">
        <f aca="false">IFERROR(INDEX(종합!V$3:V$501,MATCH(ROW()-2,종합!$AC$3:$AC$501,0))&amp;"","")</f>
        <v/>
      </c>
      <c r="W180" s="21" t="str">
        <f aca="false">IFERROR(INDEX(종합!W$3:W$501,MATCH(ROW()-2,종합!$AC$3:$AC$501,0))&amp;"","")</f>
        <v/>
      </c>
      <c r="X180" s="21" t="str">
        <f aca="false">IFERROR(INDEX(종합!X$3:X$501,MATCH(ROW()-2,종합!$AC$3:$AC$501,0))&amp;"","")</f>
        <v/>
      </c>
      <c r="Y180" s="21" t="str">
        <f aca="false">IFERROR(INDEX(종합!Y$3:Y$501,MATCH(ROW()-2,종합!$AC$3:$AC$501,0))&amp;"","")</f>
        <v/>
      </c>
      <c r="Z180" s="21" t="str">
        <f aca="false">IFERROR(INDEX(종합!Z$3:Z$501,MATCH(ROW()-2,종합!$AC$3:$AC$501,0))&amp;"","")</f>
        <v/>
      </c>
    </row>
    <row r="181" customFormat="false" ht="16.5" hidden="false" customHeight="true" outlineLevel="0" collapsed="false">
      <c r="A181" s="18" t="str">
        <f aca="false">IF(B181="","",ROW()-2)</f>
        <v/>
      </c>
      <c r="B181" s="18" t="str">
        <f aca="false">IFERROR(INDEX(종합!B$3:B$501,MATCH(ROW()-2,종합!$AC$3:$AC$501,0))&amp;"","")</f>
        <v/>
      </c>
      <c r="C181" s="18" t="str">
        <f aca="false">IFERROR(INDEX(종합!C$3:C$501,MATCH(ROW()-2,종합!$AC$3:$AC$501,0))&amp;"","")</f>
        <v/>
      </c>
      <c r="D181" s="18" t="str">
        <f aca="false">IFERROR(INDEX(종합!D$3:D$501,MATCH(ROW()-2,종합!$AC$3:$AC$501,0))&amp;"","")</f>
        <v/>
      </c>
      <c r="E181" s="18" t="str">
        <f aca="false">IFERROR(INDEX(종합!E$3:E$501,MATCH(ROW()-2,종합!$AC$3:$AC$501,0))&amp;"","")</f>
        <v/>
      </c>
      <c r="F181" s="18" t="str">
        <f aca="false">IFERROR(INDEX(종합!F$3:F$501,MATCH(ROW()-2,종합!$AC$3:$AC$501,0))&amp;"","")</f>
        <v/>
      </c>
      <c r="G181" s="18" t="str">
        <f aca="false">IFERROR(INDEX(종합!G$3:G$501,MATCH(ROW()-2,종합!$AC$3:$AC$501,0))&amp;"","")</f>
        <v/>
      </c>
      <c r="H181" s="21" t="str">
        <f aca="false">IFERROR(INDEX(종합!H$3:H$501,MATCH(ROW()-2,종합!$AC$3:$AC$501,0))&amp;"","")</f>
        <v/>
      </c>
      <c r="I181" s="21" t="str">
        <f aca="false">IFERROR(INDEX(종합!I$3:I$501,MATCH(ROW()-2,종합!$AC$3:$AC$501,0))&amp;"","")</f>
        <v/>
      </c>
      <c r="J181" s="21" t="str">
        <f aca="false">IFERROR(INDEX(종합!J$3:J$501,MATCH(ROW()-2,종합!$AC$3:$AC$501,0))&amp;"","")</f>
        <v/>
      </c>
      <c r="K181" s="21" t="str">
        <f aca="false">IFERROR(INDEX(종합!K$3:K$501,MATCH(ROW()-2,종합!$AC$3:$AC$501,0))&amp;"","")</f>
        <v/>
      </c>
      <c r="L181" s="21" t="str">
        <f aca="false">IFERROR(INDEX(종합!L$3:L$501,MATCH(ROW()-2,종합!$AC$3:$AC$501,0))&amp;"","")</f>
        <v/>
      </c>
      <c r="M181" s="21" t="str">
        <f aca="false">IFERROR(INDEX(종합!M$3:M$501,MATCH(ROW()-2,종합!$AC$3:$AC$501,0))&amp;"","")</f>
        <v/>
      </c>
      <c r="N181" s="25" t="str">
        <f aca="false">IFERROR(INDEX(종합!N$3:N$501,MATCH(ROW()-2,종합!$AC$3:$AC$501,0))&amp;"","")</f>
        <v/>
      </c>
      <c r="O181" s="21" t="str">
        <f aca="false">IFERROR(INDEX(종합!O$3:O$501,MATCH(ROW()-2,종합!$AC$3:$AC$501,0))&amp;"","")</f>
        <v/>
      </c>
      <c r="P181" s="21" t="str">
        <f aca="false">IFERROR(INDEX(종합!P$3:P$501,MATCH(ROW()-2,종합!$AC$3:$AC$501,0))&amp;"","")</f>
        <v/>
      </c>
      <c r="Q181" s="21" t="str">
        <f aca="false">IFERROR(INDEX(종합!Q$3:Q$501,MATCH(ROW()-2,종합!$AC$3:$AC$501,0))&amp;"","")</f>
        <v/>
      </c>
      <c r="R181" s="21" t="str">
        <f aca="false">IFERROR(INDEX(종합!R$3:R$501,MATCH(ROW()-2,종합!$AC$3:$AC$501,0))&amp;"","")</f>
        <v/>
      </c>
      <c r="S181" s="21" t="str">
        <f aca="false">IFERROR(INDEX(종합!S$3:S$501,MATCH(ROW()-2,종합!$AC$3:$AC$501,0))&amp;"","")</f>
        <v/>
      </c>
      <c r="T181" s="21" t="str">
        <f aca="false">IFERROR(INDEX(종합!T$3:T$501,MATCH(ROW()-2,종합!$AC$3:$AC$501,0))&amp;"","")</f>
        <v/>
      </c>
      <c r="U181" s="21" t="str">
        <f aca="false">IFERROR(INDEX(종합!U$3:U$501,MATCH(ROW()-2,종합!$AC$3:$AC$501,0))&amp;"","")</f>
        <v/>
      </c>
      <c r="V181" s="21" t="str">
        <f aca="false">IFERROR(INDEX(종합!V$3:V$501,MATCH(ROW()-2,종합!$AC$3:$AC$501,0))&amp;"","")</f>
        <v/>
      </c>
      <c r="W181" s="21" t="str">
        <f aca="false">IFERROR(INDEX(종합!W$3:W$501,MATCH(ROW()-2,종합!$AC$3:$AC$501,0))&amp;"","")</f>
        <v/>
      </c>
      <c r="X181" s="21" t="str">
        <f aca="false">IFERROR(INDEX(종합!X$3:X$501,MATCH(ROW()-2,종합!$AC$3:$AC$501,0))&amp;"","")</f>
        <v/>
      </c>
      <c r="Y181" s="21" t="str">
        <f aca="false">IFERROR(INDEX(종합!Y$3:Y$501,MATCH(ROW()-2,종합!$AC$3:$AC$501,0))&amp;"","")</f>
        <v/>
      </c>
      <c r="Z181" s="21" t="str">
        <f aca="false">IFERROR(INDEX(종합!Z$3:Z$501,MATCH(ROW()-2,종합!$AC$3:$AC$501,0))&amp;"","")</f>
        <v/>
      </c>
    </row>
    <row r="182" customFormat="false" ht="16.5" hidden="false" customHeight="true" outlineLevel="0" collapsed="false">
      <c r="A182" s="18" t="str">
        <f aca="false">IF(B182="","",ROW()-2)</f>
        <v/>
      </c>
      <c r="B182" s="18" t="str">
        <f aca="false">IFERROR(INDEX(종합!B$3:B$501,MATCH(ROW()-2,종합!$AC$3:$AC$501,0))&amp;"","")</f>
        <v/>
      </c>
      <c r="C182" s="18" t="str">
        <f aca="false">IFERROR(INDEX(종합!C$3:C$501,MATCH(ROW()-2,종합!$AC$3:$AC$501,0))&amp;"","")</f>
        <v/>
      </c>
      <c r="D182" s="18" t="str">
        <f aca="false">IFERROR(INDEX(종합!D$3:D$501,MATCH(ROW()-2,종합!$AC$3:$AC$501,0))&amp;"","")</f>
        <v/>
      </c>
      <c r="E182" s="18" t="str">
        <f aca="false">IFERROR(INDEX(종합!E$3:E$501,MATCH(ROW()-2,종합!$AC$3:$AC$501,0))&amp;"","")</f>
        <v/>
      </c>
      <c r="F182" s="18" t="str">
        <f aca="false">IFERROR(INDEX(종합!F$3:F$501,MATCH(ROW()-2,종합!$AC$3:$AC$501,0))&amp;"","")</f>
        <v/>
      </c>
      <c r="G182" s="18" t="str">
        <f aca="false">IFERROR(INDEX(종합!G$3:G$501,MATCH(ROW()-2,종합!$AC$3:$AC$501,0))&amp;"","")</f>
        <v/>
      </c>
      <c r="H182" s="21" t="str">
        <f aca="false">IFERROR(INDEX(종합!H$3:H$501,MATCH(ROW()-2,종합!$AC$3:$AC$501,0))&amp;"","")</f>
        <v/>
      </c>
      <c r="I182" s="21" t="str">
        <f aca="false">IFERROR(INDEX(종합!I$3:I$501,MATCH(ROW()-2,종합!$AC$3:$AC$501,0))&amp;"","")</f>
        <v/>
      </c>
      <c r="J182" s="21" t="str">
        <f aca="false">IFERROR(INDEX(종합!J$3:J$501,MATCH(ROW()-2,종합!$AC$3:$AC$501,0))&amp;"","")</f>
        <v/>
      </c>
      <c r="K182" s="21" t="str">
        <f aca="false">IFERROR(INDEX(종합!K$3:K$501,MATCH(ROW()-2,종합!$AC$3:$AC$501,0))&amp;"","")</f>
        <v/>
      </c>
      <c r="L182" s="21" t="str">
        <f aca="false">IFERROR(INDEX(종합!L$3:L$501,MATCH(ROW()-2,종합!$AC$3:$AC$501,0))&amp;"","")</f>
        <v/>
      </c>
      <c r="M182" s="21" t="str">
        <f aca="false">IFERROR(INDEX(종합!M$3:M$501,MATCH(ROW()-2,종합!$AC$3:$AC$501,0))&amp;"","")</f>
        <v/>
      </c>
      <c r="N182" s="25" t="str">
        <f aca="false">IFERROR(INDEX(종합!N$3:N$501,MATCH(ROW()-2,종합!$AC$3:$AC$501,0))&amp;"","")</f>
        <v/>
      </c>
      <c r="O182" s="21" t="str">
        <f aca="false">IFERROR(INDEX(종합!O$3:O$501,MATCH(ROW()-2,종합!$AC$3:$AC$501,0))&amp;"","")</f>
        <v/>
      </c>
      <c r="P182" s="21" t="str">
        <f aca="false">IFERROR(INDEX(종합!P$3:P$501,MATCH(ROW()-2,종합!$AC$3:$AC$501,0))&amp;"","")</f>
        <v/>
      </c>
      <c r="Q182" s="21" t="str">
        <f aca="false">IFERROR(INDEX(종합!Q$3:Q$501,MATCH(ROW()-2,종합!$AC$3:$AC$501,0))&amp;"","")</f>
        <v/>
      </c>
      <c r="R182" s="21" t="str">
        <f aca="false">IFERROR(INDEX(종합!R$3:R$501,MATCH(ROW()-2,종합!$AC$3:$AC$501,0))&amp;"","")</f>
        <v/>
      </c>
      <c r="S182" s="21" t="str">
        <f aca="false">IFERROR(INDEX(종합!S$3:S$501,MATCH(ROW()-2,종합!$AC$3:$AC$501,0))&amp;"","")</f>
        <v/>
      </c>
      <c r="T182" s="21" t="str">
        <f aca="false">IFERROR(INDEX(종합!T$3:T$501,MATCH(ROW()-2,종합!$AC$3:$AC$501,0))&amp;"","")</f>
        <v/>
      </c>
      <c r="U182" s="21" t="str">
        <f aca="false">IFERROR(INDEX(종합!U$3:U$501,MATCH(ROW()-2,종합!$AC$3:$AC$501,0))&amp;"","")</f>
        <v/>
      </c>
      <c r="V182" s="21" t="str">
        <f aca="false">IFERROR(INDEX(종합!V$3:V$501,MATCH(ROW()-2,종합!$AC$3:$AC$501,0))&amp;"","")</f>
        <v/>
      </c>
      <c r="W182" s="21" t="str">
        <f aca="false">IFERROR(INDEX(종합!W$3:W$501,MATCH(ROW()-2,종합!$AC$3:$AC$501,0))&amp;"","")</f>
        <v/>
      </c>
      <c r="X182" s="21" t="str">
        <f aca="false">IFERROR(INDEX(종합!X$3:X$501,MATCH(ROW()-2,종합!$AC$3:$AC$501,0))&amp;"","")</f>
        <v/>
      </c>
      <c r="Y182" s="21" t="str">
        <f aca="false">IFERROR(INDEX(종합!Y$3:Y$501,MATCH(ROW()-2,종합!$AC$3:$AC$501,0))&amp;"","")</f>
        <v/>
      </c>
      <c r="Z182" s="21" t="str">
        <f aca="false">IFERROR(INDEX(종합!Z$3:Z$501,MATCH(ROW()-2,종합!$AC$3:$AC$501,0))&amp;"","")</f>
        <v/>
      </c>
    </row>
    <row r="183" customFormat="false" ht="16.5" hidden="false" customHeight="true" outlineLevel="0" collapsed="false">
      <c r="A183" s="18" t="str">
        <f aca="false">IF(B183="","",ROW()-2)</f>
        <v/>
      </c>
      <c r="B183" s="18" t="str">
        <f aca="false">IFERROR(INDEX(종합!B$3:B$501,MATCH(ROW()-2,종합!$AC$3:$AC$501,0))&amp;"","")</f>
        <v/>
      </c>
      <c r="C183" s="18" t="str">
        <f aca="false">IFERROR(INDEX(종합!C$3:C$501,MATCH(ROW()-2,종합!$AC$3:$AC$501,0))&amp;"","")</f>
        <v/>
      </c>
      <c r="D183" s="18" t="str">
        <f aca="false">IFERROR(INDEX(종합!D$3:D$501,MATCH(ROW()-2,종합!$AC$3:$AC$501,0))&amp;"","")</f>
        <v/>
      </c>
      <c r="E183" s="18" t="str">
        <f aca="false">IFERROR(INDEX(종합!E$3:E$501,MATCH(ROW()-2,종합!$AC$3:$AC$501,0))&amp;"","")</f>
        <v/>
      </c>
      <c r="F183" s="18" t="str">
        <f aca="false">IFERROR(INDEX(종합!F$3:F$501,MATCH(ROW()-2,종합!$AC$3:$AC$501,0))&amp;"","")</f>
        <v/>
      </c>
      <c r="G183" s="18" t="str">
        <f aca="false">IFERROR(INDEX(종합!G$3:G$501,MATCH(ROW()-2,종합!$AC$3:$AC$501,0))&amp;"","")</f>
        <v/>
      </c>
      <c r="H183" s="21" t="str">
        <f aca="false">IFERROR(INDEX(종합!H$3:H$501,MATCH(ROW()-2,종합!$AC$3:$AC$501,0))&amp;"","")</f>
        <v/>
      </c>
      <c r="I183" s="21" t="str">
        <f aca="false">IFERROR(INDEX(종합!I$3:I$501,MATCH(ROW()-2,종합!$AC$3:$AC$501,0))&amp;"","")</f>
        <v/>
      </c>
      <c r="J183" s="21" t="str">
        <f aca="false">IFERROR(INDEX(종합!J$3:J$501,MATCH(ROW()-2,종합!$AC$3:$AC$501,0))&amp;"","")</f>
        <v/>
      </c>
      <c r="K183" s="21" t="str">
        <f aca="false">IFERROR(INDEX(종합!K$3:K$501,MATCH(ROW()-2,종합!$AC$3:$AC$501,0))&amp;"","")</f>
        <v/>
      </c>
      <c r="L183" s="21" t="str">
        <f aca="false">IFERROR(INDEX(종합!L$3:L$501,MATCH(ROW()-2,종합!$AC$3:$AC$501,0))&amp;"","")</f>
        <v/>
      </c>
      <c r="M183" s="21" t="str">
        <f aca="false">IFERROR(INDEX(종합!M$3:M$501,MATCH(ROW()-2,종합!$AC$3:$AC$501,0))&amp;"","")</f>
        <v/>
      </c>
      <c r="N183" s="25" t="str">
        <f aca="false">IFERROR(INDEX(종합!N$3:N$501,MATCH(ROW()-2,종합!$AC$3:$AC$501,0))&amp;"","")</f>
        <v/>
      </c>
      <c r="O183" s="21" t="str">
        <f aca="false">IFERROR(INDEX(종합!O$3:O$501,MATCH(ROW()-2,종합!$AC$3:$AC$501,0))&amp;"","")</f>
        <v/>
      </c>
      <c r="P183" s="21" t="str">
        <f aca="false">IFERROR(INDEX(종합!P$3:P$501,MATCH(ROW()-2,종합!$AC$3:$AC$501,0))&amp;"","")</f>
        <v/>
      </c>
      <c r="Q183" s="21" t="str">
        <f aca="false">IFERROR(INDEX(종합!Q$3:Q$501,MATCH(ROW()-2,종합!$AC$3:$AC$501,0))&amp;"","")</f>
        <v/>
      </c>
      <c r="R183" s="21" t="str">
        <f aca="false">IFERROR(INDEX(종합!R$3:R$501,MATCH(ROW()-2,종합!$AC$3:$AC$501,0))&amp;"","")</f>
        <v/>
      </c>
      <c r="S183" s="21" t="str">
        <f aca="false">IFERROR(INDEX(종합!S$3:S$501,MATCH(ROW()-2,종합!$AC$3:$AC$501,0))&amp;"","")</f>
        <v/>
      </c>
      <c r="T183" s="21" t="str">
        <f aca="false">IFERROR(INDEX(종합!T$3:T$501,MATCH(ROW()-2,종합!$AC$3:$AC$501,0))&amp;"","")</f>
        <v/>
      </c>
      <c r="U183" s="21" t="str">
        <f aca="false">IFERROR(INDEX(종합!U$3:U$501,MATCH(ROW()-2,종합!$AC$3:$AC$501,0))&amp;"","")</f>
        <v/>
      </c>
      <c r="V183" s="21" t="str">
        <f aca="false">IFERROR(INDEX(종합!V$3:V$501,MATCH(ROW()-2,종합!$AC$3:$AC$501,0))&amp;"","")</f>
        <v/>
      </c>
      <c r="W183" s="21" t="str">
        <f aca="false">IFERROR(INDEX(종합!W$3:W$501,MATCH(ROW()-2,종합!$AC$3:$AC$501,0))&amp;"","")</f>
        <v/>
      </c>
      <c r="X183" s="21" t="str">
        <f aca="false">IFERROR(INDEX(종합!X$3:X$501,MATCH(ROW()-2,종합!$AC$3:$AC$501,0))&amp;"","")</f>
        <v/>
      </c>
      <c r="Y183" s="21" t="str">
        <f aca="false">IFERROR(INDEX(종합!Y$3:Y$501,MATCH(ROW()-2,종합!$AC$3:$AC$501,0))&amp;"","")</f>
        <v/>
      </c>
      <c r="Z183" s="21" t="str">
        <f aca="false">IFERROR(INDEX(종합!Z$3:Z$501,MATCH(ROW()-2,종합!$AC$3:$AC$501,0))&amp;"","")</f>
        <v/>
      </c>
    </row>
    <row r="184" customFormat="false" ht="16.5" hidden="false" customHeight="true" outlineLevel="0" collapsed="false">
      <c r="A184" s="18" t="str">
        <f aca="false">IF(B184="","",ROW()-2)</f>
        <v/>
      </c>
      <c r="B184" s="18" t="str">
        <f aca="false">IFERROR(INDEX(종합!B$3:B$501,MATCH(ROW()-2,종합!$AC$3:$AC$501,0))&amp;"","")</f>
        <v/>
      </c>
      <c r="C184" s="18" t="str">
        <f aca="false">IFERROR(INDEX(종합!C$3:C$501,MATCH(ROW()-2,종합!$AC$3:$AC$501,0))&amp;"","")</f>
        <v/>
      </c>
      <c r="D184" s="18" t="str">
        <f aca="false">IFERROR(INDEX(종합!D$3:D$501,MATCH(ROW()-2,종합!$AC$3:$AC$501,0))&amp;"","")</f>
        <v/>
      </c>
      <c r="E184" s="18" t="str">
        <f aca="false">IFERROR(INDEX(종합!E$3:E$501,MATCH(ROW()-2,종합!$AC$3:$AC$501,0))&amp;"","")</f>
        <v/>
      </c>
      <c r="F184" s="18" t="str">
        <f aca="false">IFERROR(INDEX(종합!F$3:F$501,MATCH(ROW()-2,종합!$AC$3:$AC$501,0))&amp;"","")</f>
        <v/>
      </c>
      <c r="G184" s="18" t="str">
        <f aca="false">IFERROR(INDEX(종합!G$3:G$501,MATCH(ROW()-2,종합!$AC$3:$AC$501,0))&amp;"","")</f>
        <v/>
      </c>
      <c r="H184" s="21" t="str">
        <f aca="false">IFERROR(INDEX(종합!H$3:H$501,MATCH(ROW()-2,종합!$AC$3:$AC$501,0))&amp;"","")</f>
        <v/>
      </c>
      <c r="I184" s="21" t="str">
        <f aca="false">IFERROR(INDEX(종합!I$3:I$501,MATCH(ROW()-2,종합!$AC$3:$AC$501,0))&amp;"","")</f>
        <v/>
      </c>
      <c r="J184" s="21" t="str">
        <f aca="false">IFERROR(INDEX(종합!J$3:J$501,MATCH(ROW()-2,종합!$AC$3:$AC$501,0))&amp;"","")</f>
        <v/>
      </c>
      <c r="K184" s="21" t="str">
        <f aca="false">IFERROR(INDEX(종합!K$3:K$501,MATCH(ROW()-2,종합!$AC$3:$AC$501,0))&amp;"","")</f>
        <v/>
      </c>
      <c r="L184" s="21" t="str">
        <f aca="false">IFERROR(INDEX(종합!L$3:L$501,MATCH(ROW()-2,종합!$AC$3:$AC$501,0))&amp;"","")</f>
        <v/>
      </c>
      <c r="M184" s="21" t="str">
        <f aca="false">IFERROR(INDEX(종합!M$3:M$501,MATCH(ROW()-2,종합!$AC$3:$AC$501,0))&amp;"","")</f>
        <v/>
      </c>
      <c r="N184" s="25" t="str">
        <f aca="false">IFERROR(INDEX(종합!N$3:N$501,MATCH(ROW()-2,종합!$AC$3:$AC$501,0))&amp;"","")</f>
        <v/>
      </c>
      <c r="O184" s="21" t="str">
        <f aca="false">IFERROR(INDEX(종합!O$3:O$501,MATCH(ROW()-2,종합!$AC$3:$AC$501,0))&amp;"","")</f>
        <v/>
      </c>
      <c r="P184" s="21" t="str">
        <f aca="false">IFERROR(INDEX(종합!P$3:P$501,MATCH(ROW()-2,종합!$AC$3:$AC$501,0))&amp;"","")</f>
        <v/>
      </c>
      <c r="Q184" s="21" t="str">
        <f aca="false">IFERROR(INDEX(종합!Q$3:Q$501,MATCH(ROW()-2,종합!$AC$3:$AC$501,0))&amp;"","")</f>
        <v/>
      </c>
      <c r="R184" s="21" t="str">
        <f aca="false">IFERROR(INDEX(종합!R$3:R$501,MATCH(ROW()-2,종합!$AC$3:$AC$501,0))&amp;"","")</f>
        <v/>
      </c>
      <c r="S184" s="21" t="str">
        <f aca="false">IFERROR(INDEX(종합!S$3:S$501,MATCH(ROW()-2,종합!$AC$3:$AC$501,0))&amp;"","")</f>
        <v/>
      </c>
      <c r="T184" s="21" t="str">
        <f aca="false">IFERROR(INDEX(종합!T$3:T$501,MATCH(ROW()-2,종합!$AC$3:$AC$501,0))&amp;"","")</f>
        <v/>
      </c>
      <c r="U184" s="21" t="str">
        <f aca="false">IFERROR(INDEX(종합!U$3:U$501,MATCH(ROW()-2,종합!$AC$3:$AC$501,0))&amp;"","")</f>
        <v/>
      </c>
      <c r="V184" s="21" t="str">
        <f aca="false">IFERROR(INDEX(종합!V$3:V$501,MATCH(ROW()-2,종합!$AC$3:$AC$501,0))&amp;"","")</f>
        <v/>
      </c>
      <c r="W184" s="21" t="str">
        <f aca="false">IFERROR(INDEX(종합!W$3:W$501,MATCH(ROW()-2,종합!$AC$3:$AC$501,0))&amp;"","")</f>
        <v/>
      </c>
      <c r="X184" s="21" t="str">
        <f aca="false">IFERROR(INDEX(종합!X$3:X$501,MATCH(ROW()-2,종합!$AC$3:$AC$501,0))&amp;"","")</f>
        <v/>
      </c>
      <c r="Y184" s="21" t="str">
        <f aca="false">IFERROR(INDEX(종합!Y$3:Y$501,MATCH(ROW()-2,종합!$AC$3:$AC$501,0))&amp;"","")</f>
        <v/>
      </c>
      <c r="Z184" s="21" t="str">
        <f aca="false">IFERROR(INDEX(종합!Z$3:Z$501,MATCH(ROW()-2,종합!$AC$3:$AC$501,0))&amp;"","")</f>
        <v/>
      </c>
    </row>
    <row r="185" customFormat="false" ht="16.5" hidden="false" customHeight="true" outlineLevel="0" collapsed="false">
      <c r="A185" s="18" t="str">
        <f aca="false">IF(B185="","",ROW()-2)</f>
        <v/>
      </c>
      <c r="B185" s="18" t="str">
        <f aca="false">IFERROR(INDEX(종합!B$3:B$501,MATCH(ROW()-2,종합!$AC$3:$AC$501,0))&amp;"","")</f>
        <v/>
      </c>
      <c r="C185" s="18" t="str">
        <f aca="false">IFERROR(INDEX(종합!C$3:C$501,MATCH(ROW()-2,종합!$AC$3:$AC$501,0))&amp;"","")</f>
        <v/>
      </c>
      <c r="D185" s="18" t="str">
        <f aca="false">IFERROR(INDEX(종합!D$3:D$501,MATCH(ROW()-2,종합!$AC$3:$AC$501,0))&amp;"","")</f>
        <v/>
      </c>
      <c r="E185" s="18" t="str">
        <f aca="false">IFERROR(INDEX(종합!E$3:E$501,MATCH(ROW()-2,종합!$AC$3:$AC$501,0))&amp;"","")</f>
        <v/>
      </c>
      <c r="F185" s="18" t="str">
        <f aca="false">IFERROR(INDEX(종합!F$3:F$501,MATCH(ROW()-2,종합!$AC$3:$AC$501,0))&amp;"","")</f>
        <v/>
      </c>
      <c r="G185" s="18" t="str">
        <f aca="false">IFERROR(INDEX(종합!G$3:G$501,MATCH(ROW()-2,종합!$AC$3:$AC$501,0))&amp;"","")</f>
        <v/>
      </c>
      <c r="H185" s="21" t="str">
        <f aca="false">IFERROR(INDEX(종합!H$3:H$501,MATCH(ROW()-2,종합!$AC$3:$AC$501,0))&amp;"","")</f>
        <v/>
      </c>
      <c r="I185" s="21" t="str">
        <f aca="false">IFERROR(INDEX(종합!I$3:I$501,MATCH(ROW()-2,종합!$AC$3:$AC$501,0))&amp;"","")</f>
        <v/>
      </c>
      <c r="J185" s="21" t="str">
        <f aca="false">IFERROR(INDEX(종합!J$3:J$501,MATCH(ROW()-2,종합!$AC$3:$AC$501,0))&amp;"","")</f>
        <v/>
      </c>
      <c r="K185" s="21" t="str">
        <f aca="false">IFERROR(INDEX(종합!K$3:K$501,MATCH(ROW()-2,종합!$AC$3:$AC$501,0))&amp;"","")</f>
        <v/>
      </c>
      <c r="L185" s="21" t="str">
        <f aca="false">IFERROR(INDEX(종합!L$3:L$501,MATCH(ROW()-2,종합!$AC$3:$AC$501,0))&amp;"","")</f>
        <v/>
      </c>
      <c r="M185" s="21" t="str">
        <f aca="false">IFERROR(INDEX(종합!M$3:M$501,MATCH(ROW()-2,종합!$AC$3:$AC$501,0))&amp;"","")</f>
        <v/>
      </c>
      <c r="N185" s="25" t="str">
        <f aca="false">IFERROR(INDEX(종합!N$3:N$501,MATCH(ROW()-2,종합!$AC$3:$AC$501,0))&amp;"","")</f>
        <v/>
      </c>
      <c r="O185" s="21" t="str">
        <f aca="false">IFERROR(INDEX(종합!O$3:O$501,MATCH(ROW()-2,종합!$AC$3:$AC$501,0))&amp;"","")</f>
        <v/>
      </c>
      <c r="P185" s="21" t="str">
        <f aca="false">IFERROR(INDEX(종합!P$3:P$501,MATCH(ROW()-2,종합!$AC$3:$AC$501,0))&amp;"","")</f>
        <v/>
      </c>
      <c r="Q185" s="21" t="str">
        <f aca="false">IFERROR(INDEX(종합!Q$3:Q$501,MATCH(ROW()-2,종합!$AC$3:$AC$501,0))&amp;"","")</f>
        <v/>
      </c>
      <c r="R185" s="21" t="str">
        <f aca="false">IFERROR(INDEX(종합!R$3:R$501,MATCH(ROW()-2,종합!$AC$3:$AC$501,0))&amp;"","")</f>
        <v/>
      </c>
      <c r="S185" s="21" t="str">
        <f aca="false">IFERROR(INDEX(종합!S$3:S$501,MATCH(ROW()-2,종합!$AC$3:$AC$501,0))&amp;"","")</f>
        <v/>
      </c>
      <c r="T185" s="21" t="str">
        <f aca="false">IFERROR(INDEX(종합!T$3:T$501,MATCH(ROW()-2,종합!$AC$3:$AC$501,0))&amp;"","")</f>
        <v/>
      </c>
      <c r="U185" s="21" t="str">
        <f aca="false">IFERROR(INDEX(종합!U$3:U$501,MATCH(ROW()-2,종합!$AC$3:$AC$501,0))&amp;"","")</f>
        <v/>
      </c>
      <c r="V185" s="21" t="str">
        <f aca="false">IFERROR(INDEX(종합!V$3:V$501,MATCH(ROW()-2,종합!$AC$3:$AC$501,0))&amp;"","")</f>
        <v/>
      </c>
      <c r="W185" s="21" t="str">
        <f aca="false">IFERROR(INDEX(종합!W$3:W$501,MATCH(ROW()-2,종합!$AC$3:$AC$501,0))&amp;"","")</f>
        <v/>
      </c>
      <c r="X185" s="21" t="str">
        <f aca="false">IFERROR(INDEX(종합!X$3:X$501,MATCH(ROW()-2,종합!$AC$3:$AC$501,0))&amp;"","")</f>
        <v/>
      </c>
      <c r="Y185" s="21" t="str">
        <f aca="false">IFERROR(INDEX(종합!Y$3:Y$501,MATCH(ROW()-2,종합!$AC$3:$AC$501,0))&amp;"","")</f>
        <v/>
      </c>
      <c r="Z185" s="21" t="str">
        <f aca="false">IFERROR(INDEX(종합!Z$3:Z$501,MATCH(ROW()-2,종합!$AC$3:$AC$501,0))&amp;"","")</f>
        <v/>
      </c>
    </row>
    <row r="186" customFormat="false" ht="16.5" hidden="false" customHeight="true" outlineLevel="0" collapsed="false">
      <c r="A186" s="18" t="str">
        <f aca="false">IF(B186="","",ROW()-2)</f>
        <v/>
      </c>
      <c r="B186" s="18" t="str">
        <f aca="false">IFERROR(INDEX(종합!B$3:B$501,MATCH(ROW()-2,종합!$AC$3:$AC$501,0))&amp;"","")</f>
        <v/>
      </c>
      <c r="C186" s="18" t="str">
        <f aca="false">IFERROR(INDEX(종합!C$3:C$501,MATCH(ROW()-2,종합!$AC$3:$AC$501,0))&amp;"","")</f>
        <v/>
      </c>
      <c r="D186" s="18" t="str">
        <f aca="false">IFERROR(INDEX(종합!D$3:D$501,MATCH(ROW()-2,종합!$AC$3:$AC$501,0))&amp;"","")</f>
        <v/>
      </c>
      <c r="E186" s="18" t="str">
        <f aca="false">IFERROR(INDEX(종합!E$3:E$501,MATCH(ROW()-2,종합!$AC$3:$AC$501,0))&amp;"","")</f>
        <v/>
      </c>
      <c r="F186" s="18" t="str">
        <f aca="false">IFERROR(INDEX(종합!F$3:F$501,MATCH(ROW()-2,종합!$AC$3:$AC$501,0))&amp;"","")</f>
        <v/>
      </c>
      <c r="G186" s="18" t="str">
        <f aca="false">IFERROR(INDEX(종합!G$3:G$501,MATCH(ROW()-2,종합!$AC$3:$AC$501,0))&amp;"","")</f>
        <v/>
      </c>
      <c r="H186" s="21" t="str">
        <f aca="false">IFERROR(INDEX(종합!H$3:H$501,MATCH(ROW()-2,종합!$AC$3:$AC$501,0))&amp;"","")</f>
        <v/>
      </c>
      <c r="I186" s="21" t="str">
        <f aca="false">IFERROR(INDEX(종합!I$3:I$501,MATCH(ROW()-2,종합!$AC$3:$AC$501,0))&amp;"","")</f>
        <v/>
      </c>
      <c r="J186" s="21" t="str">
        <f aca="false">IFERROR(INDEX(종합!J$3:J$501,MATCH(ROW()-2,종합!$AC$3:$AC$501,0))&amp;"","")</f>
        <v/>
      </c>
      <c r="K186" s="21" t="str">
        <f aca="false">IFERROR(INDEX(종합!K$3:K$501,MATCH(ROW()-2,종합!$AC$3:$AC$501,0))&amp;"","")</f>
        <v/>
      </c>
      <c r="L186" s="21" t="str">
        <f aca="false">IFERROR(INDEX(종합!L$3:L$501,MATCH(ROW()-2,종합!$AC$3:$AC$501,0))&amp;"","")</f>
        <v/>
      </c>
      <c r="M186" s="21" t="str">
        <f aca="false">IFERROR(INDEX(종합!M$3:M$501,MATCH(ROW()-2,종합!$AC$3:$AC$501,0))&amp;"","")</f>
        <v/>
      </c>
      <c r="N186" s="25" t="str">
        <f aca="false">IFERROR(INDEX(종합!N$3:N$501,MATCH(ROW()-2,종합!$AC$3:$AC$501,0))&amp;"","")</f>
        <v/>
      </c>
      <c r="O186" s="21" t="str">
        <f aca="false">IFERROR(INDEX(종합!O$3:O$501,MATCH(ROW()-2,종합!$AC$3:$AC$501,0))&amp;"","")</f>
        <v/>
      </c>
      <c r="P186" s="21" t="str">
        <f aca="false">IFERROR(INDEX(종합!P$3:P$501,MATCH(ROW()-2,종합!$AC$3:$AC$501,0))&amp;"","")</f>
        <v/>
      </c>
      <c r="Q186" s="21" t="str">
        <f aca="false">IFERROR(INDEX(종합!Q$3:Q$501,MATCH(ROW()-2,종합!$AC$3:$AC$501,0))&amp;"","")</f>
        <v/>
      </c>
      <c r="R186" s="21" t="str">
        <f aca="false">IFERROR(INDEX(종합!R$3:R$501,MATCH(ROW()-2,종합!$AC$3:$AC$501,0))&amp;"","")</f>
        <v/>
      </c>
      <c r="S186" s="21" t="str">
        <f aca="false">IFERROR(INDEX(종합!S$3:S$501,MATCH(ROW()-2,종합!$AC$3:$AC$501,0))&amp;"","")</f>
        <v/>
      </c>
      <c r="T186" s="21" t="str">
        <f aca="false">IFERROR(INDEX(종합!T$3:T$501,MATCH(ROW()-2,종합!$AC$3:$AC$501,0))&amp;"","")</f>
        <v/>
      </c>
      <c r="U186" s="21" t="str">
        <f aca="false">IFERROR(INDEX(종합!U$3:U$501,MATCH(ROW()-2,종합!$AC$3:$AC$501,0))&amp;"","")</f>
        <v/>
      </c>
      <c r="V186" s="21" t="str">
        <f aca="false">IFERROR(INDEX(종합!V$3:V$501,MATCH(ROW()-2,종합!$AC$3:$AC$501,0))&amp;"","")</f>
        <v/>
      </c>
      <c r="W186" s="21" t="str">
        <f aca="false">IFERROR(INDEX(종합!W$3:W$501,MATCH(ROW()-2,종합!$AC$3:$AC$501,0))&amp;"","")</f>
        <v/>
      </c>
      <c r="X186" s="21" t="str">
        <f aca="false">IFERROR(INDEX(종합!X$3:X$501,MATCH(ROW()-2,종합!$AC$3:$AC$501,0))&amp;"","")</f>
        <v/>
      </c>
      <c r="Y186" s="21" t="str">
        <f aca="false">IFERROR(INDEX(종합!Y$3:Y$501,MATCH(ROW()-2,종합!$AC$3:$AC$501,0))&amp;"","")</f>
        <v/>
      </c>
      <c r="Z186" s="21" t="str">
        <f aca="false">IFERROR(INDEX(종합!Z$3:Z$501,MATCH(ROW()-2,종합!$AC$3:$AC$501,0))&amp;"","")</f>
        <v/>
      </c>
    </row>
    <row r="187" customFormat="false" ht="16.5" hidden="false" customHeight="true" outlineLevel="0" collapsed="false">
      <c r="A187" s="18" t="str">
        <f aca="false">IF(B187="","",ROW()-2)</f>
        <v/>
      </c>
      <c r="B187" s="18" t="str">
        <f aca="false">IFERROR(INDEX(종합!B$3:B$501,MATCH(ROW()-2,종합!$AC$3:$AC$501,0))&amp;"","")</f>
        <v/>
      </c>
      <c r="C187" s="18" t="str">
        <f aca="false">IFERROR(INDEX(종합!C$3:C$501,MATCH(ROW()-2,종합!$AC$3:$AC$501,0))&amp;"","")</f>
        <v/>
      </c>
      <c r="D187" s="18" t="str">
        <f aca="false">IFERROR(INDEX(종합!D$3:D$501,MATCH(ROW()-2,종합!$AC$3:$AC$501,0))&amp;"","")</f>
        <v/>
      </c>
      <c r="E187" s="18" t="str">
        <f aca="false">IFERROR(INDEX(종합!E$3:E$501,MATCH(ROW()-2,종합!$AC$3:$AC$501,0))&amp;"","")</f>
        <v/>
      </c>
      <c r="F187" s="18" t="str">
        <f aca="false">IFERROR(INDEX(종합!F$3:F$501,MATCH(ROW()-2,종합!$AC$3:$AC$501,0))&amp;"","")</f>
        <v/>
      </c>
      <c r="G187" s="18" t="str">
        <f aca="false">IFERROR(INDEX(종합!G$3:G$501,MATCH(ROW()-2,종합!$AC$3:$AC$501,0))&amp;"","")</f>
        <v/>
      </c>
      <c r="H187" s="21" t="str">
        <f aca="false">IFERROR(INDEX(종합!H$3:H$501,MATCH(ROW()-2,종합!$AC$3:$AC$501,0))&amp;"","")</f>
        <v/>
      </c>
      <c r="I187" s="21" t="str">
        <f aca="false">IFERROR(INDEX(종합!I$3:I$501,MATCH(ROW()-2,종합!$AC$3:$AC$501,0))&amp;"","")</f>
        <v/>
      </c>
      <c r="J187" s="21" t="str">
        <f aca="false">IFERROR(INDEX(종합!J$3:J$501,MATCH(ROW()-2,종합!$AC$3:$AC$501,0))&amp;"","")</f>
        <v/>
      </c>
      <c r="K187" s="21" t="str">
        <f aca="false">IFERROR(INDEX(종합!K$3:K$501,MATCH(ROW()-2,종합!$AC$3:$AC$501,0))&amp;"","")</f>
        <v/>
      </c>
      <c r="L187" s="21" t="str">
        <f aca="false">IFERROR(INDEX(종합!L$3:L$501,MATCH(ROW()-2,종합!$AC$3:$AC$501,0))&amp;"","")</f>
        <v/>
      </c>
      <c r="M187" s="21" t="str">
        <f aca="false">IFERROR(INDEX(종합!M$3:M$501,MATCH(ROW()-2,종합!$AC$3:$AC$501,0))&amp;"","")</f>
        <v/>
      </c>
      <c r="N187" s="25" t="str">
        <f aca="false">IFERROR(INDEX(종합!N$3:N$501,MATCH(ROW()-2,종합!$AC$3:$AC$501,0))&amp;"","")</f>
        <v/>
      </c>
      <c r="O187" s="21" t="str">
        <f aca="false">IFERROR(INDEX(종합!O$3:O$501,MATCH(ROW()-2,종합!$AC$3:$AC$501,0))&amp;"","")</f>
        <v/>
      </c>
      <c r="P187" s="21" t="str">
        <f aca="false">IFERROR(INDEX(종합!P$3:P$501,MATCH(ROW()-2,종합!$AC$3:$AC$501,0))&amp;"","")</f>
        <v/>
      </c>
      <c r="Q187" s="21" t="str">
        <f aca="false">IFERROR(INDEX(종합!Q$3:Q$501,MATCH(ROW()-2,종합!$AC$3:$AC$501,0))&amp;"","")</f>
        <v/>
      </c>
      <c r="R187" s="21" t="str">
        <f aca="false">IFERROR(INDEX(종합!R$3:R$501,MATCH(ROW()-2,종합!$AC$3:$AC$501,0))&amp;"","")</f>
        <v/>
      </c>
      <c r="S187" s="21" t="str">
        <f aca="false">IFERROR(INDEX(종합!S$3:S$501,MATCH(ROW()-2,종합!$AC$3:$AC$501,0))&amp;"","")</f>
        <v/>
      </c>
      <c r="T187" s="21" t="str">
        <f aca="false">IFERROR(INDEX(종합!T$3:T$501,MATCH(ROW()-2,종합!$AC$3:$AC$501,0))&amp;"","")</f>
        <v/>
      </c>
      <c r="U187" s="21" t="str">
        <f aca="false">IFERROR(INDEX(종합!U$3:U$501,MATCH(ROW()-2,종합!$AC$3:$AC$501,0))&amp;"","")</f>
        <v/>
      </c>
      <c r="V187" s="21" t="str">
        <f aca="false">IFERROR(INDEX(종합!V$3:V$501,MATCH(ROW()-2,종합!$AC$3:$AC$501,0))&amp;"","")</f>
        <v/>
      </c>
      <c r="W187" s="21" t="str">
        <f aca="false">IFERROR(INDEX(종합!W$3:W$501,MATCH(ROW()-2,종합!$AC$3:$AC$501,0))&amp;"","")</f>
        <v/>
      </c>
      <c r="X187" s="21" t="str">
        <f aca="false">IFERROR(INDEX(종합!X$3:X$501,MATCH(ROW()-2,종합!$AC$3:$AC$501,0))&amp;"","")</f>
        <v/>
      </c>
      <c r="Y187" s="21" t="str">
        <f aca="false">IFERROR(INDEX(종합!Y$3:Y$501,MATCH(ROW()-2,종합!$AC$3:$AC$501,0))&amp;"","")</f>
        <v/>
      </c>
      <c r="Z187" s="21" t="str">
        <f aca="false">IFERROR(INDEX(종합!Z$3:Z$501,MATCH(ROW()-2,종합!$AC$3:$AC$501,0))&amp;"","")</f>
        <v/>
      </c>
    </row>
    <row r="188" customFormat="false" ht="16.5" hidden="false" customHeight="true" outlineLevel="0" collapsed="false">
      <c r="A188" s="18" t="str">
        <f aca="false">IF(B188="","",ROW()-2)</f>
        <v/>
      </c>
      <c r="B188" s="18" t="str">
        <f aca="false">IFERROR(INDEX(종합!B$3:B$501,MATCH(ROW()-2,종합!$AC$3:$AC$501,0))&amp;"","")</f>
        <v/>
      </c>
      <c r="C188" s="18" t="str">
        <f aca="false">IFERROR(INDEX(종합!C$3:C$501,MATCH(ROW()-2,종합!$AC$3:$AC$501,0))&amp;"","")</f>
        <v/>
      </c>
      <c r="D188" s="18" t="str">
        <f aca="false">IFERROR(INDEX(종합!D$3:D$501,MATCH(ROW()-2,종합!$AC$3:$AC$501,0))&amp;"","")</f>
        <v/>
      </c>
      <c r="E188" s="18" t="str">
        <f aca="false">IFERROR(INDEX(종합!E$3:E$501,MATCH(ROW()-2,종합!$AC$3:$AC$501,0))&amp;"","")</f>
        <v/>
      </c>
      <c r="F188" s="18" t="str">
        <f aca="false">IFERROR(INDEX(종합!F$3:F$501,MATCH(ROW()-2,종합!$AC$3:$AC$501,0))&amp;"","")</f>
        <v/>
      </c>
      <c r="G188" s="18" t="str">
        <f aca="false">IFERROR(INDEX(종합!G$3:G$501,MATCH(ROW()-2,종합!$AC$3:$AC$501,0))&amp;"","")</f>
        <v/>
      </c>
      <c r="H188" s="21" t="str">
        <f aca="false">IFERROR(INDEX(종합!H$3:H$501,MATCH(ROW()-2,종합!$AC$3:$AC$501,0))&amp;"","")</f>
        <v/>
      </c>
      <c r="I188" s="21" t="str">
        <f aca="false">IFERROR(INDEX(종합!I$3:I$501,MATCH(ROW()-2,종합!$AC$3:$AC$501,0))&amp;"","")</f>
        <v/>
      </c>
      <c r="J188" s="21" t="str">
        <f aca="false">IFERROR(INDEX(종합!J$3:J$501,MATCH(ROW()-2,종합!$AC$3:$AC$501,0))&amp;"","")</f>
        <v/>
      </c>
      <c r="K188" s="21" t="str">
        <f aca="false">IFERROR(INDEX(종합!K$3:K$501,MATCH(ROW()-2,종합!$AC$3:$AC$501,0))&amp;"","")</f>
        <v/>
      </c>
      <c r="L188" s="21" t="str">
        <f aca="false">IFERROR(INDEX(종합!L$3:L$501,MATCH(ROW()-2,종합!$AC$3:$AC$501,0))&amp;"","")</f>
        <v/>
      </c>
      <c r="M188" s="21" t="str">
        <f aca="false">IFERROR(INDEX(종합!M$3:M$501,MATCH(ROW()-2,종합!$AC$3:$AC$501,0))&amp;"","")</f>
        <v/>
      </c>
      <c r="N188" s="25" t="str">
        <f aca="false">IFERROR(INDEX(종합!N$3:N$501,MATCH(ROW()-2,종합!$AC$3:$AC$501,0))&amp;"","")</f>
        <v/>
      </c>
      <c r="O188" s="21" t="str">
        <f aca="false">IFERROR(INDEX(종합!O$3:O$501,MATCH(ROW()-2,종합!$AC$3:$AC$501,0))&amp;"","")</f>
        <v/>
      </c>
      <c r="P188" s="21" t="str">
        <f aca="false">IFERROR(INDEX(종합!P$3:P$501,MATCH(ROW()-2,종합!$AC$3:$AC$501,0))&amp;"","")</f>
        <v/>
      </c>
      <c r="Q188" s="21" t="str">
        <f aca="false">IFERROR(INDEX(종합!Q$3:Q$501,MATCH(ROW()-2,종합!$AC$3:$AC$501,0))&amp;"","")</f>
        <v/>
      </c>
      <c r="R188" s="21" t="str">
        <f aca="false">IFERROR(INDEX(종합!R$3:R$501,MATCH(ROW()-2,종합!$AC$3:$AC$501,0))&amp;"","")</f>
        <v/>
      </c>
      <c r="S188" s="21" t="str">
        <f aca="false">IFERROR(INDEX(종합!S$3:S$501,MATCH(ROW()-2,종합!$AC$3:$AC$501,0))&amp;"","")</f>
        <v/>
      </c>
      <c r="T188" s="21" t="str">
        <f aca="false">IFERROR(INDEX(종합!T$3:T$501,MATCH(ROW()-2,종합!$AC$3:$AC$501,0))&amp;"","")</f>
        <v/>
      </c>
      <c r="U188" s="21" t="str">
        <f aca="false">IFERROR(INDEX(종합!U$3:U$501,MATCH(ROW()-2,종합!$AC$3:$AC$501,0))&amp;"","")</f>
        <v/>
      </c>
      <c r="V188" s="21" t="str">
        <f aca="false">IFERROR(INDEX(종합!V$3:V$501,MATCH(ROW()-2,종합!$AC$3:$AC$501,0))&amp;"","")</f>
        <v/>
      </c>
      <c r="W188" s="21" t="str">
        <f aca="false">IFERROR(INDEX(종합!W$3:W$501,MATCH(ROW()-2,종합!$AC$3:$AC$501,0))&amp;"","")</f>
        <v/>
      </c>
      <c r="X188" s="21" t="str">
        <f aca="false">IFERROR(INDEX(종합!X$3:X$501,MATCH(ROW()-2,종합!$AC$3:$AC$501,0))&amp;"","")</f>
        <v/>
      </c>
      <c r="Y188" s="21" t="str">
        <f aca="false">IFERROR(INDEX(종합!Y$3:Y$501,MATCH(ROW()-2,종합!$AC$3:$AC$501,0))&amp;"","")</f>
        <v/>
      </c>
      <c r="Z188" s="21" t="str">
        <f aca="false">IFERROR(INDEX(종합!Z$3:Z$501,MATCH(ROW()-2,종합!$AC$3:$AC$501,0))&amp;"","")</f>
        <v/>
      </c>
    </row>
    <row r="189" customFormat="false" ht="16.5" hidden="false" customHeight="true" outlineLevel="0" collapsed="false">
      <c r="A189" s="18" t="str">
        <f aca="false">IF(B189="","",ROW()-2)</f>
        <v/>
      </c>
      <c r="B189" s="18" t="str">
        <f aca="false">IFERROR(INDEX(종합!B$3:B$501,MATCH(ROW()-2,종합!$AC$3:$AC$501,0))&amp;"","")</f>
        <v/>
      </c>
      <c r="C189" s="18" t="str">
        <f aca="false">IFERROR(INDEX(종합!C$3:C$501,MATCH(ROW()-2,종합!$AC$3:$AC$501,0))&amp;"","")</f>
        <v/>
      </c>
      <c r="D189" s="18" t="str">
        <f aca="false">IFERROR(INDEX(종합!D$3:D$501,MATCH(ROW()-2,종합!$AC$3:$AC$501,0))&amp;"","")</f>
        <v/>
      </c>
      <c r="E189" s="18" t="str">
        <f aca="false">IFERROR(INDEX(종합!E$3:E$501,MATCH(ROW()-2,종합!$AC$3:$AC$501,0))&amp;"","")</f>
        <v/>
      </c>
      <c r="F189" s="18" t="str">
        <f aca="false">IFERROR(INDEX(종합!F$3:F$501,MATCH(ROW()-2,종합!$AC$3:$AC$501,0))&amp;"","")</f>
        <v/>
      </c>
      <c r="G189" s="18" t="str">
        <f aca="false">IFERROR(INDEX(종합!G$3:G$501,MATCH(ROW()-2,종합!$AC$3:$AC$501,0))&amp;"","")</f>
        <v/>
      </c>
      <c r="H189" s="21" t="str">
        <f aca="false">IFERROR(INDEX(종합!H$3:H$501,MATCH(ROW()-2,종합!$AC$3:$AC$501,0))&amp;"","")</f>
        <v/>
      </c>
      <c r="I189" s="21" t="str">
        <f aca="false">IFERROR(INDEX(종합!I$3:I$501,MATCH(ROW()-2,종합!$AC$3:$AC$501,0))&amp;"","")</f>
        <v/>
      </c>
      <c r="J189" s="21" t="str">
        <f aca="false">IFERROR(INDEX(종합!J$3:J$501,MATCH(ROW()-2,종합!$AC$3:$AC$501,0))&amp;"","")</f>
        <v/>
      </c>
      <c r="K189" s="21" t="str">
        <f aca="false">IFERROR(INDEX(종합!K$3:K$501,MATCH(ROW()-2,종합!$AC$3:$AC$501,0))&amp;"","")</f>
        <v/>
      </c>
      <c r="L189" s="21" t="str">
        <f aca="false">IFERROR(INDEX(종합!L$3:L$501,MATCH(ROW()-2,종합!$AC$3:$AC$501,0))&amp;"","")</f>
        <v/>
      </c>
      <c r="M189" s="21" t="str">
        <f aca="false">IFERROR(INDEX(종합!M$3:M$501,MATCH(ROW()-2,종합!$AC$3:$AC$501,0))&amp;"","")</f>
        <v/>
      </c>
      <c r="N189" s="25" t="str">
        <f aca="false">IFERROR(INDEX(종합!N$3:N$501,MATCH(ROW()-2,종합!$AC$3:$AC$501,0))&amp;"","")</f>
        <v/>
      </c>
      <c r="O189" s="21" t="str">
        <f aca="false">IFERROR(INDEX(종합!O$3:O$501,MATCH(ROW()-2,종합!$AC$3:$AC$501,0))&amp;"","")</f>
        <v/>
      </c>
      <c r="P189" s="21" t="str">
        <f aca="false">IFERROR(INDEX(종합!P$3:P$501,MATCH(ROW()-2,종합!$AC$3:$AC$501,0))&amp;"","")</f>
        <v/>
      </c>
      <c r="Q189" s="21" t="str">
        <f aca="false">IFERROR(INDEX(종합!Q$3:Q$501,MATCH(ROW()-2,종합!$AC$3:$AC$501,0))&amp;"","")</f>
        <v/>
      </c>
      <c r="R189" s="21" t="str">
        <f aca="false">IFERROR(INDEX(종합!R$3:R$501,MATCH(ROW()-2,종합!$AC$3:$AC$501,0))&amp;"","")</f>
        <v/>
      </c>
      <c r="S189" s="21" t="str">
        <f aca="false">IFERROR(INDEX(종합!S$3:S$501,MATCH(ROW()-2,종합!$AC$3:$AC$501,0))&amp;"","")</f>
        <v/>
      </c>
      <c r="T189" s="21" t="str">
        <f aca="false">IFERROR(INDEX(종합!T$3:T$501,MATCH(ROW()-2,종합!$AC$3:$AC$501,0))&amp;"","")</f>
        <v/>
      </c>
      <c r="U189" s="21" t="str">
        <f aca="false">IFERROR(INDEX(종합!U$3:U$501,MATCH(ROW()-2,종합!$AC$3:$AC$501,0))&amp;"","")</f>
        <v/>
      </c>
      <c r="V189" s="21" t="str">
        <f aca="false">IFERROR(INDEX(종합!V$3:V$501,MATCH(ROW()-2,종합!$AC$3:$AC$501,0))&amp;"","")</f>
        <v/>
      </c>
      <c r="W189" s="21" t="str">
        <f aca="false">IFERROR(INDEX(종합!W$3:W$501,MATCH(ROW()-2,종합!$AC$3:$AC$501,0))&amp;"","")</f>
        <v/>
      </c>
      <c r="X189" s="21" t="str">
        <f aca="false">IFERROR(INDEX(종합!X$3:X$501,MATCH(ROW()-2,종합!$AC$3:$AC$501,0))&amp;"","")</f>
        <v/>
      </c>
      <c r="Y189" s="21" t="str">
        <f aca="false">IFERROR(INDEX(종합!Y$3:Y$501,MATCH(ROW()-2,종합!$AC$3:$AC$501,0))&amp;"","")</f>
        <v/>
      </c>
      <c r="Z189" s="21" t="str">
        <f aca="false">IFERROR(INDEX(종합!Z$3:Z$501,MATCH(ROW()-2,종합!$AC$3:$AC$501,0))&amp;"","")</f>
        <v/>
      </c>
    </row>
    <row r="190" customFormat="false" ht="16.5" hidden="false" customHeight="true" outlineLevel="0" collapsed="false">
      <c r="A190" s="18" t="str">
        <f aca="false">IF(B190="","",ROW()-2)</f>
        <v/>
      </c>
      <c r="B190" s="18" t="str">
        <f aca="false">IFERROR(INDEX(종합!B$3:B$501,MATCH(ROW()-2,종합!$AC$3:$AC$501,0))&amp;"","")</f>
        <v/>
      </c>
      <c r="C190" s="18" t="str">
        <f aca="false">IFERROR(INDEX(종합!C$3:C$501,MATCH(ROW()-2,종합!$AC$3:$AC$501,0))&amp;"","")</f>
        <v/>
      </c>
      <c r="D190" s="18" t="str">
        <f aca="false">IFERROR(INDEX(종합!D$3:D$501,MATCH(ROW()-2,종합!$AC$3:$AC$501,0))&amp;"","")</f>
        <v/>
      </c>
      <c r="E190" s="18" t="str">
        <f aca="false">IFERROR(INDEX(종합!E$3:E$501,MATCH(ROW()-2,종합!$AC$3:$AC$501,0))&amp;"","")</f>
        <v/>
      </c>
      <c r="F190" s="18" t="str">
        <f aca="false">IFERROR(INDEX(종합!F$3:F$501,MATCH(ROW()-2,종합!$AC$3:$AC$501,0))&amp;"","")</f>
        <v/>
      </c>
      <c r="G190" s="18" t="str">
        <f aca="false">IFERROR(INDEX(종합!G$3:G$501,MATCH(ROW()-2,종합!$AC$3:$AC$501,0))&amp;"","")</f>
        <v/>
      </c>
      <c r="H190" s="21" t="str">
        <f aca="false">IFERROR(INDEX(종합!H$3:H$501,MATCH(ROW()-2,종합!$AC$3:$AC$501,0))&amp;"","")</f>
        <v/>
      </c>
      <c r="I190" s="21" t="str">
        <f aca="false">IFERROR(INDEX(종합!I$3:I$501,MATCH(ROW()-2,종합!$AC$3:$AC$501,0))&amp;"","")</f>
        <v/>
      </c>
      <c r="J190" s="21" t="str">
        <f aca="false">IFERROR(INDEX(종합!J$3:J$501,MATCH(ROW()-2,종합!$AC$3:$AC$501,0))&amp;"","")</f>
        <v/>
      </c>
      <c r="K190" s="21" t="str">
        <f aca="false">IFERROR(INDEX(종합!K$3:K$501,MATCH(ROW()-2,종합!$AC$3:$AC$501,0))&amp;"","")</f>
        <v/>
      </c>
      <c r="L190" s="21" t="str">
        <f aca="false">IFERROR(INDEX(종합!L$3:L$501,MATCH(ROW()-2,종합!$AC$3:$AC$501,0))&amp;"","")</f>
        <v/>
      </c>
      <c r="M190" s="21" t="str">
        <f aca="false">IFERROR(INDEX(종합!M$3:M$501,MATCH(ROW()-2,종합!$AC$3:$AC$501,0))&amp;"","")</f>
        <v/>
      </c>
      <c r="N190" s="25" t="str">
        <f aca="false">IFERROR(INDEX(종합!N$3:N$501,MATCH(ROW()-2,종합!$AC$3:$AC$501,0))&amp;"","")</f>
        <v/>
      </c>
      <c r="O190" s="21" t="str">
        <f aca="false">IFERROR(INDEX(종합!O$3:O$501,MATCH(ROW()-2,종합!$AC$3:$AC$501,0))&amp;"","")</f>
        <v/>
      </c>
      <c r="P190" s="21" t="str">
        <f aca="false">IFERROR(INDEX(종합!P$3:P$501,MATCH(ROW()-2,종합!$AC$3:$AC$501,0))&amp;"","")</f>
        <v/>
      </c>
      <c r="Q190" s="21" t="str">
        <f aca="false">IFERROR(INDEX(종합!Q$3:Q$501,MATCH(ROW()-2,종합!$AC$3:$AC$501,0))&amp;"","")</f>
        <v/>
      </c>
      <c r="R190" s="21" t="str">
        <f aca="false">IFERROR(INDEX(종합!R$3:R$501,MATCH(ROW()-2,종합!$AC$3:$AC$501,0))&amp;"","")</f>
        <v/>
      </c>
      <c r="S190" s="21" t="str">
        <f aca="false">IFERROR(INDEX(종합!S$3:S$501,MATCH(ROW()-2,종합!$AC$3:$AC$501,0))&amp;"","")</f>
        <v/>
      </c>
      <c r="T190" s="21" t="str">
        <f aca="false">IFERROR(INDEX(종합!T$3:T$501,MATCH(ROW()-2,종합!$AC$3:$AC$501,0))&amp;"","")</f>
        <v/>
      </c>
      <c r="U190" s="21" t="str">
        <f aca="false">IFERROR(INDEX(종합!U$3:U$501,MATCH(ROW()-2,종합!$AC$3:$AC$501,0))&amp;"","")</f>
        <v/>
      </c>
      <c r="V190" s="21" t="str">
        <f aca="false">IFERROR(INDEX(종합!V$3:V$501,MATCH(ROW()-2,종합!$AC$3:$AC$501,0))&amp;"","")</f>
        <v/>
      </c>
      <c r="W190" s="21" t="str">
        <f aca="false">IFERROR(INDEX(종합!W$3:W$501,MATCH(ROW()-2,종합!$AC$3:$AC$501,0))&amp;"","")</f>
        <v/>
      </c>
      <c r="X190" s="21" t="str">
        <f aca="false">IFERROR(INDEX(종합!X$3:X$501,MATCH(ROW()-2,종합!$AC$3:$AC$501,0))&amp;"","")</f>
        <v/>
      </c>
      <c r="Y190" s="21" t="str">
        <f aca="false">IFERROR(INDEX(종합!Y$3:Y$501,MATCH(ROW()-2,종합!$AC$3:$AC$501,0))&amp;"","")</f>
        <v/>
      </c>
      <c r="Z190" s="21" t="str">
        <f aca="false">IFERROR(INDEX(종합!Z$3:Z$501,MATCH(ROW()-2,종합!$AC$3:$AC$501,0))&amp;"","")</f>
        <v/>
      </c>
    </row>
    <row r="191" customFormat="false" ht="16.5" hidden="false" customHeight="true" outlineLevel="0" collapsed="false">
      <c r="A191" s="18" t="str">
        <f aca="false">IF(B191="","",ROW()-2)</f>
        <v/>
      </c>
      <c r="B191" s="18" t="str">
        <f aca="false">IFERROR(INDEX(종합!B$3:B$501,MATCH(ROW()-2,종합!$AC$3:$AC$501,0))&amp;"","")</f>
        <v/>
      </c>
      <c r="C191" s="18" t="str">
        <f aca="false">IFERROR(INDEX(종합!C$3:C$501,MATCH(ROW()-2,종합!$AC$3:$AC$501,0))&amp;"","")</f>
        <v/>
      </c>
      <c r="D191" s="18" t="str">
        <f aca="false">IFERROR(INDEX(종합!D$3:D$501,MATCH(ROW()-2,종합!$AC$3:$AC$501,0))&amp;"","")</f>
        <v/>
      </c>
      <c r="E191" s="18" t="str">
        <f aca="false">IFERROR(INDEX(종합!E$3:E$501,MATCH(ROW()-2,종합!$AC$3:$AC$501,0))&amp;"","")</f>
        <v/>
      </c>
      <c r="F191" s="18" t="str">
        <f aca="false">IFERROR(INDEX(종합!F$3:F$501,MATCH(ROW()-2,종합!$AC$3:$AC$501,0))&amp;"","")</f>
        <v/>
      </c>
      <c r="G191" s="18" t="str">
        <f aca="false">IFERROR(INDEX(종합!G$3:G$501,MATCH(ROW()-2,종합!$AC$3:$AC$501,0))&amp;"","")</f>
        <v/>
      </c>
      <c r="H191" s="21" t="str">
        <f aca="false">IFERROR(INDEX(종합!H$3:H$501,MATCH(ROW()-2,종합!$AC$3:$AC$501,0))&amp;"","")</f>
        <v/>
      </c>
      <c r="I191" s="21" t="str">
        <f aca="false">IFERROR(INDEX(종합!I$3:I$501,MATCH(ROW()-2,종합!$AC$3:$AC$501,0))&amp;"","")</f>
        <v/>
      </c>
      <c r="J191" s="21" t="str">
        <f aca="false">IFERROR(INDEX(종합!J$3:J$501,MATCH(ROW()-2,종합!$AC$3:$AC$501,0))&amp;"","")</f>
        <v/>
      </c>
      <c r="K191" s="21" t="str">
        <f aca="false">IFERROR(INDEX(종합!K$3:K$501,MATCH(ROW()-2,종합!$AC$3:$AC$501,0))&amp;"","")</f>
        <v/>
      </c>
      <c r="L191" s="21" t="str">
        <f aca="false">IFERROR(INDEX(종합!L$3:L$501,MATCH(ROW()-2,종합!$AC$3:$AC$501,0))&amp;"","")</f>
        <v/>
      </c>
      <c r="M191" s="21" t="str">
        <f aca="false">IFERROR(INDEX(종합!M$3:M$501,MATCH(ROW()-2,종합!$AC$3:$AC$501,0))&amp;"","")</f>
        <v/>
      </c>
      <c r="N191" s="25" t="str">
        <f aca="false">IFERROR(INDEX(종합!N$3:N$501,MATCH(ROW()-2,종합!$AC$3:$AC$501,0))&amp;"","")</f>
        <v/>
      </c>
      <c r="O191" s="21" t="str">
        <f aca="false">IFERROR(INDEX(종합!O$3:O$501,MATCH(ROW()-2,종합!$AC$3:$AC$501,0))&amp;"","")</f>
        <v/>
      </c>
      <c r="P191" s="21" t="str">
        <f aca="false">IFERROR(INDEX(종합!P$3:P$501,MATCH(ROW()-2,종합!$AC$3:$AC$501,0))&amp;"","")</f>
        <v/>
      </c>
      <c r="Q191" s="21" t="str">
        <f aca="false">IFERROR(INDEX(종합!Q$3:Q$501,MATCH(ROW()-2,종합!$AC$3:$AC$501,0))&amp;"","")</f>
        <v/>
      </c>
      <c r="R191" s="21" t="str">
        <f aca="false">IFERROR(INDEX(종합!R$3:R$501,MATCH(ROW()-2,종합!$AC$3:$AC$501,0))&amp;"","")</f>
        <v/>
      </c>
      <c r="S191" s="21" t="str">
        <f aca="false">IFERROR(INDEX(종합!S$3:S$501,MATCH(ROW()-2,종합!$AC$3:$AC$501,0))&amp;"","")</f>
        <v/>
      </c>
      <c r="T191" s="21" t="str">
        <f aca="false">IFERROR(INDEX(종합!T$3:T$501,MATCH(ROW()-2,종합!$AC$3:$AC$501,0))&amp;"","")</f>
        <v/>
      </c>
      <c r="U191" s="21" t="str">
        <f aca="false">IFERROR(INDEX(종합!U$3:U$501,MATCH(ROW()-2,종합!$AC$3:$AC$501,0))&amp;"","")</f>
        <v/>
      </c>
      <c r="V191" s="21" t="str">
        <f aca="false">IFERROR(INDEX(종합!V$3:V$501,MATCH(ROW()-2,종합!$AC$3:$AC$501,0))&amp;"","")</f>
        <v/>
      </c>
      <c r="W191" s="21" t="str">
        <f aca="false">IFERROR(INDEX(종합!W$3:W$501,MATCH(ROW()-2,종합!$AC$3:$AC$501,0))&amp;"","")</f>
        <v/>
      </c>
      <c r="X191" s="21" t="str">
        <f aca="false">IFERROR(INDEX(종합!X$3:X$501,MATCH(ROW()-2,종합!$AC$3:$AC$501,0))&amp;"","")</f>
        <v/>
      </c>
      <c r="Y191" s="21" t="str">
        <f aca="false">IFERROR(INDEX(종합!Y$3:Y$501,MATCH(ROW()-2,종합!$AC$3:$AC$501,0))&amp;"","")</f>
        <v/>
      </c>
      <c r="Z191" s="21" t="str">
        <f aca="false">IFERROR(INDEX(종합!Z$3:Z$501,MATCH(ROW()-2,종합!$AC$3:$AC$501,0))&amp;"","")</f>
        <v/>
      </c>
    </row>
    <row r="192" customFormat="false" ht="16.5" hidden="false" customHeight="true" outlineLevel="0" collapsed="false">
      <c r="A192" s="18" t="str">
        <f aca="false">IF(B192="","",ROW()-2)</f>
        <v/>
      </c>
      <c r="B192" s="18" t="str">
        <f aca="false">IFERROR(INDEX(종합!B$3:B$501,MATCH(ROW()-2,종합!$AC$3:$AC$501,0))&amp;"","")</f>
        <v/>
      </c>
      <c r="C192" s="18" t="str">
        <f aca="false">IFERROR(INDEX(종합!C$3:C$501,MATCH(ROW()-2,종합!$AC$3:$AC$501,0))&amp;"","")</f>
        <v/>
      </c>
      <c r="D192" s="18" t="str">
        <f aca="false">IFERROR(INDEX(종합!D$3:D$501,MATCH(ROW()-2,종합!$AC$3:$AC$501,0))&amp;"","")</f>
        <v/>
      </c>
      <c r="E192" s="18" t="str">
        <f aca="false">IFERROR(INDEX(종합!E$3:E$501,MATCH(ROW()-2,종합!$AC$3:$AC$501,0))&amp;"","")</f>
        <v/>
      </c>
      <c r="F192" s="18" t="str">
        <f aca="false">IFERROR(INDEX(종합!F$3:F$501,MATCH(ROW()-2,종합!$AC$3:$AC$501,0))&amp;"","")</f>
        <v/>
      </c>
      <c r="G192" s="18" t="str">
        <f aca="false">IFERROR(INDEX(종합!G$3:G$501,MATCH(ROW()-2,종합!$AC$3:$AC$501,0))&amp;"","")</f>
        <v/>
      </c>
      <c r="H192" s="21" t="str">
        <f aca="false">IFERROR(INDEX(종합!H$3:H$501,MATCH(ROW()-2,종합!$AC$3:$AC$501,0))&amp;"","")</f>
        <v/>
      </c>
      <c r="I192" s="21" t="str">
        <f aca="false">IFERROR(INDEX(종합!I$3:I$501,MATCH(ROW()-2,종합!$AC$3:$AC$501,0))&amp;"","")</f>
        <v/>
      </c>
      <c r="J192" s="21" t="str">
        <f aca="false">IFERROR(INDEX(종합!J$3:J$501,MATCH(ROW()-2,종합!$AC$3:$AC$501,0))&amp;"","")</f>
        <v/>
      </c>
      <c r="K192" s="21" t="str">
        <f aca="false">IFERROR(INDEX(종합!K$3:K$501,MATCH(ROW()-2,종합!$AC$3:$AC$501,0))&amp;"","")</f>
        <v/>
      </c>
      <c r="L192" s="21" t="str">
        <f aca="false">IFERROR(INDEX(종합!L$3:L$501,MATCH(ROW()-2,종합!$AC$3:$AC$501,0))&amp;"","")</f>
        <v/>
      </c>
      <c r="M192" s="21" t="str">
        <f aca="false">IFERROR(INDEX(종합!M$3:M$501,MATCH(ROW()-2,종합!$AC$3:$AC$501,0))&amp;"","")</f>
        <v/>
      </c>
      <c r="N192" s="25" t="str">
        <f aca="false">IFERROR(INDEX(종합!N$3:N$501,MATCH(ROW()-2,종합!$AC$3:$AC$501,0))&amp;"","")</f>
        <v/>
      </c>
      <c r="O192" s="21" t="str">
        <f aca="false">IFERROR(INDEX(종합!O$3:O$501,MATCH(ROW()-2,종합!$AC$3:$AC$501,0))&amp;"","")</f>
        <v/>
      </c>
      <c r="P192" s="21" t="str">
        <f aca="false">IFERROR(INDEX(종합!P$3:P$501,MATCH(ROW()-2,종합!$AC$3:$AC$501,0))&amp;"","")</f>
        <v/>
      </c>
      <c r="Q192" s="21" t="str">
        <f aca="false">IFERROR(INDEX(종합!Q$3:Q$501,MATCH(ROW()-2,종합!$AC$3:$AC$501,0))&amp;"","")</f>
        <v/>
      </c>
      <c r="R192" s="21" t="str">
        <f aca="false">IFERROR(INDEX(종합!R$3:R$501,MATCH(ROW()-2,종합!$AC$3:$AC$501,0))&amp;"","")</f>
        <v/>
      </c>
      <c r="S192" s="21" t="str">
        <f aca="false">IFERROR(INDEX(종합!S$3:S$501,MATCH(ROW()-2,종합!$AC$3:$AC$501,0))&amp;"","")</f>
        <v/>
      </c>
      <c r="T192" s="21" t="str">
        <f aca="false">IFERROR(INDEX(종합!T$3:T$501,MATCH(ROW()-2,종합!$AC$3:$AC$501,0))&amp;"","")</f>
        <v/>
      </c>
      <c r="U192" s="21" t="str">
        <f aca="false">IFERROR(INDEX(종합!U$3:U$501,MATCH(ROW()-2,종합!$AC$3:$AC$501,0))&amp;"","")</f>
        <v/>
      </c>
      <c r="V192" s="21" t="str">
        <f aca="false">IFERROR(INDEX(종합!V$3:V$501,MATCH(ROW()-2,종합!$AC$3:$AC$501,0))&amp;"","")</f>
        <v/>
      </c>
      <c r="W192" s="21" t="str">
        <f aca="false">IFERROR(INDEX(종합!W$3:W$501,MATCH(ROW()-2,종합!$AC$3:$AC$501,0))&amp;"","")</f>
        <v/>
      </c>
      <c r="X192" s="21" t="str">
        <f aca="false">IFERROR(INDEX(종합!X$3:X$501,MATCH(ROW()-2,종합!$AC$3:$AC$501,0))&amp;"","")</f>
        <v/>
      </c>
      <c r="Y192" s="21" t="str">
        <f aca="false">IFERROR(INDEX(종합!Y$3:Y$501,MATCH(ROW()-2,종합!$AC$3:$AC$501,0))&amp;"","")</f>
        <v/>
      </c>
      <c r="Z192" s="21" t="str">
        <f aca="false">IFERROR(INDEX(종합!Z$3:Z$501,MATCH(ROW()-2,종합!$AC$3:$AC$501,0))&amp;"","")</f>
        <v/>
      </c>
    </row>
    <row r="193" customFormat="false" ht="16.5" hidden="false" customHeight="true" outlineLevel="0" collapsed="false">
      <c r="A193" s="18" t="str">
        <f aca="false">IF(B193="","",ROW()-2)</f>
        <v/>
      </c>
      <c r="B193" s="18" t="str">
        <f aca="false">IFERROR(INDEX(종합!B$3:B$501,MATCH(ROW()-2,종합!$AC$3:$AC$501,0))&amp;"","")</f>
        <v/>
      </c>
      <c r="C193" s="18" t="str">
        <f aca="false">IFERROR(INDEX(종합!C$3:C$501,MATCH(ROW()-2,종합!$AC$3:$AC$501,0))&amp;"","")</f>
        <v/>
      </c>
      <c r="D193" s="18" t="str">
        <f aca="false">IFERROR(INDEX(종합!D$3:D$501,MATCH(ROW()-2,종합!$AC$3:$AC$501,0))&amp;"","")</f>
        <v/>
      </c>
      <c r="E193" s="18" t="str">
        <f aca="false">IFERROR(INDEX(종합!E$3:E$501,MATCH(ROW()-2,종합!$AC$3:$AC$501,0))&amp;"","")</f>
        <v/>
      </c>
      <c r="F193" s="18" t="str">
        <f aca="false">IFERROR(INDEX(종합!F$3:F$501,MATCH(ROW()-2,종합!$AC$3:$AC$501,0))&amp;"","")</f>
        <v/>
      </c>
      <c r="G193" s="18" t="str">
        <f aca="false">IFERROR(INDEX(종합!G$3:G$501,MATCH(ROW()-2,종합!$AC$3:$AC$501,0))&amp;"","")</f>
        <v/>
      </c>
      <c r="H193" s="21" t="str">
        <f aca="false">IFERROR(INDEX(종합!H$3:H$501,MATCH(ROW()-2,종합!$AC$3:$AC$501,0))&amp;"","")</f>
        <v/>
      </c>
      <c r="I193" s="21" t="str">
        <f aca="false">IFERROR(INDEX(종합!I$3:I$501,MATCH(ROW()-2,종합!$AC$3:$AC$501,0))&amp;"","")</f>
        <v/>
      </c>
      <c r="J193" s="21" t="str">
        <f aca="false">IFERROR(INDEX(종합!J$3:J$501,MATCH(ROW()-2,종합!$AC$3:$AC$501,0))&amp;"","")</f>
        <v/>
      </c>
      <c r="K193" s="21" t="str">
        <f aca="false">IFERROR(INDEX(종합!K$3:K$501,MATCH(ROW()-2,종합!$AC$3:$AC$501,0))&amp;"","")</f>
        <v/>
      </c>
      <c r="L193" s="21" t="str">
        <f aca="false">IFERROR(INDEX(종합!L$3:L$501,MATCH(ROW()-2,종합!$AC$3:$AC$501,0))&amp;"","")</f>
        <v/>
      </c>
      <c r="M193" s="21" t="str">
        <f aca="false">IFERROR(INDEX(종합!M$3:M$501,MATCH(ROW()-2,종합!$AC$3:$AC$501,0))&amp;"","")</f>
        <v/>
      </c>
      <c r="N193" s="25" t="str">
        <f aca="false">IFERROR(INDEX(종합!N$3:N$501,MATCH(ROW()-2,종합!$AC$3:$AC$501,0))&amp;"","")</f>
        <v/>
      </c>
      <c r="O193" s="21" t="str">
        <f aca="false">IFERROR(INDEX(종합!O$3:O$501,MATCH(ROW()-2,종합!$AC$3:$AC$501,0))&amp;"","")</f>
        <v/>
      </c>
      <c r="P193" s="21" t="str">
        <f aca="false">IFERROR(INDEX(종합!P$3:P$501,MATCH(ROW()-2,종합!$AC$3:$AC$501,0))&amp;"","")</f>
        <v/>
      </c>
      <c r="Q193" s="21" t="str">
        <f aca="false">IFERROR(INDEX(종합!Q$3:Q$501,MATCH(ROW()-2,종합!$AC$3:$AC$501,0))&amp;"","")</f>
        <v/>
      </c>
      <c r="R193" s="21" t="str">
        <f aca="false">IFERROR(INDEX(종합!R$3:R$501,MATCH(ROW()-2,종합!$AC$3:$AC$501,0))&amp;"","")</f>
        <v/>
      </c>
      <c r="S193" s="21" t="str">
        <f aca="false">IFERROR(INDEX(종합!S$3:S$501,MATCH(ROW()-2,종합!$AC$3:$AC$501,0))&amp;"","")</f>
        <v/>
      </c>
      <c r="T193" s="21" t="str">
        <f aca="false">IFERROR(INDEX(종합!T$3:T$501,MATCH(ROW()-2,종합!$AC$3:$AC$501,0))&amp;"","")</f>
        <v/>
      </c>
      <c r="U193" s="21" t="str">
        <f aca="false">IFERROR(INDEX(종합!U$3:U$501,MATCH(ROW()-2,종합!$AC$3:$AC$501,0))&amp;"","")</f>
        <v/>
      </c>
      <c r="V193" s="21" t="str">
        <f aca="false">IFERROR(INDEX(종합!V$3:V$501,MATCH(ROW()-2,종합!$AC$3:$AC$501,0))&amp;"","")</f>
        <v/>
      </c>
      <c r="W193" s="21" t="str">
        <f aca="false">IFERROR(INDEX(종합!W$3:W$501,MATCH(ROW()-2,종합!$AC$3:$AC$501,0))&amp;"","")</f>
        <v/>
      </c>
      <c r="X193" s="21" t="str">
        <f aca="false">IFERROR(INDEX(종합!X$3:X$501,MATCH(ROW()-2,종합!$AC$3:$AC$501,0))&amp;"","")</f>
        <v/>
      </c>
      <c r="Y193" s="21" t="str">
        <f aca="false">IFERROR(INDEX(종합!Y$3:Y$501,MATCH(ROW()-2,종합!$AC$3:$AC$501,0))&amp;"","")</f>
        <v/>
      </c>
      <c r="Z193" s="21" t="str">
        <f aca="false">IFERROR(INDEX(종합!Z$3:Z$501,MATCH(ROW()-2,종합!$AC$3:$AC$501,0))&amp;"","")</f>
        <v/>
      </c>
    </row>
    <row r="194" customFormat="false" ht="16.5" hidden="false" customHeight="true" outlineLevel="0" collapsed="false">
      <c r="A194" s="18" t="str">
        <f aca="false">IF(B194="","",ROW()-2)</f>
        <v/>
      </c>
      <c r="B194" s="18" t="str">
        <f aca="false">IFERROR(INDEX(종합!B$3:B$501,MATCH(ROW()-2,종합!$AC$3:$AC$501,0))&amp;"","")</f>
        <v/>
      </c>
      <c r="C194" s="18" t="str">
        <f aca="false">IFERROR(INDEX(종합!C$3:C$501,MATCH(ROW()-2,종합!$AC$3:$AC$501,0))&amp;"","")</f>
        <v/>
      </c>
      <c r="D194" s="18" t="str">
        <f aca="false">IFERROR(INDEX(종합!D$3:D$501,MATCH(ROW()-2,종합!$AC$3:$AC$501,0))&amp;"","")</f>
        <v/>
      </c>
      <c r="E194" s="18" t="str">
        <f aca="false">IFERROR(INDEX(종합!E$3:E$501,MATCH(ROW()-2,종합!$AC$3:$AC$501,0))&amp;"","")</f>
        <v/>
      </c>
      <c r="F194" s="18" t="str">
        <f aca="false">IFERROR(INDEX(종합!F$3:F$501,MATCH(ROW()-2,종합!$AC$3:$AC$501,0))&amp;"","")</f>
        <v/>
      </c>
      <c r="G194" s="18" t="str">
        <f aca="false">IFERROR(INDEX(종합!G$3:G$501,MATCH(ROW()-2,종합!$AC$3:$AC$501,0))&amp;"","")</f>
        <v/>
      </c>
      <c r="H194" s="21" t="str">
        <f aca="false">IFERROR(INDEX(종합!H$3:H$501,MATCH(ROW()-2,종합!$AC$3:$AC$501,0))&amp;"","")</f>
        <v/>
      </c>
      <c r="I194" s="21" t="str">
        <f aca="false">IFERROR(INDEX(종합!I$3:I$501,MATCH(ROW()-2,종합!$AC$3:$AC$501,0))&amp;"","")</f>
        <v/>
      </c>
      <c r="J194" s="21" t="str">
        <f aca="false">IFERROR(INDEX(종합!J$3:J$501,MATCH(ROW()-2,종합!$AC$3:$AC$501,0))&amp;"","")</f>
        <v/>
      </c>
      <c r="K194" s="21" t="str">
        <f aca="false">IFERROR(INDEX(종합!K$3:K$501,MATCH(ROW()-2,종합!$AC$3:$AC$501,0))&amp;"","")</f>
        <v/>
      </c>
      <c r="L194" s="21" t="str">
        <f aca="false">IFERROR(INDEX(종합!L$3:L$501,MATCH(ROW()-2,종합!$AC$3:$AC$501,0))&amp;"","")</f>
        <v/>
      </c>
      <c r="M194" s="21" t="str">
        <f aca="false">IFERROR(INDEX(종합!M$3:M$501,MATCH(ROW()-2,종합!$AC$3:$AC$501,0))&amp;"","")</f>
        <v/>
      </c>
      <c r="N194" s="25" t="str">
        <f aca="false">IFERROR(INDEX(종합!N$3:N$501,MATCH(ROW()-2,종합!$AC$3:$AC$501,0))&amp;"","")</f>
        <v/>
      </c>
      <c r="O194" s="21" t="str">
        <f aca="false">IFERROR(INDEX(종합!O$3:O$501,MATCH(ROW()-2,종합!$AC$3:$AC$501,0))&amp;"","")</f>
        <v/>
      </c>
      <c r="P194" s="21" t="str">
        <f aca="false">IFERROR(INDEX(종합!P$3:P$501,MATCH(ROW()-2,종합!$AC$3:$AC$501,0))&amp;"","")</f>
        <v/>
      </c>
      <c r="Q194" s="21" t="str">
        <f aca="false">IFERROR(INDEX(종합!Q$3:Q$501,MATCH(ROW()-2,종합!$AC$3:$AC$501,0))&amp;"","")</f>
        <v/>
      </c>
      <c r="R194" s="21" t="str">
        <f aca="false">IFERROR(INDEX(종합!R$3:R$501,MATCH(ROW()-2,종합!$AC$3:$AC$501,0))&amp;"","")</f>
        <v/>
      </c>
      <c r="S194" s="21" t="str">
        <f aca="false">IFERROR(INDEX(종합!S$3:S$501,MATCH(ROW()-2,종합!$AC$3:$AC$501,0))&amp;"","")</f>
        <v/>
      </c>
      <c r="T194" s="21" t="str">
        <f aca="false">IFERROR(INDEX(종합!T$3:T$501,MATCH(ROW()-2,종합!$AC$3:$AC$501,0))&amp;"","")</f>
        <v/>
      </c>
      <c r="U194" s="21" t="str">
        <f aca="false">IFERROR(INDEX(종합!U$3:U$501,MATCH(ROW()-2,종합!$AC$3:$AC$501,0))&amp;"","")</f>
        <v/>
      </c>
      <c r="V194" s="21" t="str">
        <f aca="false">IFERROR(INDEX(종합!V$3:V$501,MATCH(ROW()-2,종합!$AC$3:$AC$501,0))&amp;"","")</f>
        <v/>
      </c>
      <c r="W194" s="21" t="str">
        <f aca="false">IFERROR(INDEX(종합!W$3:W$501,MATCH(ROW()-2,종합!$AC$3:$AC$501,0))&amp;"","")</f>
        <v/>
      </c>
      <c r="X194" s="21" t="str">
        <f aca="false">IFERROR(INDEX(종합!X$3:X$501,MATCH(ROW()-2,종합!$AC$3:$AC$501,0))&amp;"","")</f>
        <v/>
      </c>
      <c r="Y194" s="21" t="str">
        <f aca="false">IFERROR(INDEX(종합!Y$3:Y$501,MATCH(ROW()-2,종합!$AC$3:$AC$501,0))&amp;"","")</f>
        <v/>
      </c>
      <c r="Z194" s="21" t="str">
        <f aca="false">IFERROR(INDEX(종합!Z$3:Z$501,MATCH(ROW()-2,종합!$AC$3:$AC$501,0))&amp;"","")</f>
        <v/>
      </c>
    </row>
    <row r="195" customFormat="false" ht="16.5" hidden="false" customHeight="true" outlineLevel="0" collapsed="false">
      <c r="A195" s="18" t="str">
        <f aca="false">IF(B195="","",ROW()-2)</f>
        <v/>
      </c>
      <c r="B195" s="18" t="str">
        <f aca="false">IFERROR(INDEX(종합!B$3:B$501,MATCH(ROW()-2,종합!$AC$3:$AC$501,0))&amp;"","")</f>
        <v/>
      </c>
      <c r="C195" s="18" t="str">
        <f aca="false">IFERROR(INDEX(종합!C$3:C$501,MATCH(ROW()-2,종합!$AC$3:$AC$501,0))&amp;"","")</f>
        <v/>
      </c>
      <c r="D195" s="18" t="str">
        <f aca="false">IFERROR(INDEX(종합!D$3:D$501,MATCH(ROW()-2,종합!$AC$3:$AC$501,0))&amp;"","")</f>
        <v/>
      </c>
      <c r="E195" s="18" t="str">
        <f aca="false">IFERROR(INDEX(종합!E$3:E$501,MATCH(ROW()-2,종합!$AC$3:$AC$501,0))&amp;"","")</f>
        <v/>
      </c>
      <c r="F195" s="18" t="str">
        <f aca="false">IFERROR(INDEX(종합!F$3:F$501,MATCH(ROW()-2,종합!$AC$3:$AC$501,0))&amp;"","")</f>
        <v/>
      </c>
      <c r="G195" s="18" t="str">
        <f aca="false">IFERROR(INDEX(종합!G$3:G$501,MATCH(ROW()-2,종합!$AC$3:$AC$501,0))&amp;"","")</f>
        <v/>
      </c>
      <c r="H195" s="21" t="str">
        <f aca="false">IFERROR(INDEX(종합!H$3:H$501,MATCH(ROW()-2,종합!$AC$3:$AC$501,0))&amp;"","")</f>
        <v/>
      </c>
      <c r="I195" s="21" t="str">
        <f aca="false">IFERROR(INDEX(종합!I$3:I$501,MATCH(ROW()-2,종합!$AC$3:$AC$501,0))&amp;"","")</f>
        <v/>
      </c>
      <c r="J195" s="21" t="str">
        <f aca="false">IFERROR(INDEX(종합!J$3:J$501,MATCH(ROW()-2,종합!$AC$3:$AC$501,0))&amp;"","")</f>
        <v/>
      </c>
      <c r="K195" s="21" t="str">
        <f aca="false">IFERROR(INDEX(종합!K$3:K$501,MATCH(ROW()-2,종합!$AC$3:$AC$501,0))&amp;"","")</f>
        <v/>
      </c>
      <c r="L195" s="21" t="str">
        <f aca="false">IFERROR(INDEX(종합!L$3:L$501,MATCH(ROW()-2,종합!$AC$3:$AC$501,0))&amp;"","")</f>
        <v/>
      </c>
      <c r="M195" s="21" t="str">
        <f aca="false">IFERROR(INDEX(종합!M$3:M$501,MATCH(ROW()-2,종합!$AC$3:$AC$501,0))&amp;"","")</f>
        <v/>
      </c>
      <c r="N195" s="25" t="str">
        <f aca="false">IFERROR(INDEX(종합!N$3:N$501,MATCH(ROW()-2,종합!$AC$3:$AC$501,0))&amp;"","")</f>
        <v/>
      </c>
      <c r="O195" s="21" t="str">
        <f aca="false">IFERROR(INDEX(종합!O$3:O$501,MATCH(ROW()-2,종합!$AC$3:$AC$501,0))&amp;"","")</f>
        <v/>
      </c>
      <c r="P195" s="21" t="str">
        <f aca="false">IFERROR(INDEX(종합!P$3:P$501,MATCH(ROW()-2,종합!$AC$3:$AC$501,0))&amp;"","")</f>
        <v/>
      </c>
      <c r="Q195" s="21" t="str">
        <f aca="false">IFERROR(INDEX(종합!Q$3:Q$501,MATCH(ROW()-2,종합!$AC$3:$AC$501,0))&amp;"","")</f>
        <v/>
      </c>
      <c r="R195" s="21" t="str">
        <f aca="false">IFERROR(INDEX(종합!R$3:R$501,MATCH(ROW()-2,종합!$AC$3:$AC$501,0))&amp;"","")</f>
        <v/>
      </c>
      <c r="S195" s="21" t="str">
        <f aca="false">IFERROR(INDEX(종합!S$3:S$501,MATCH(ROW()-2,종합!$AC$3:$AC$501,0))&amp;"","")</f>
        <v/>
      </c>
      <c r="T195" s="21" t="str">
        <f aca="false">IFERROR(INDEX(종합!T$3:T$501,MATCH(ROW()-2,종합!$AC$3:$AC$501,0))&amp;"","")</f>
        <v/>
      </c>
      <c r="U195" s="21" t="str">
        <f aca="false">IFERROR(INDEX(종합!U$3:U$501,MATCH(ROW()-2,종합!$AC$3:$AC$501,0))&amp;"","")</f>
        <v/>
      </c>
      <c r="V195" s="21" t="str">
        <f aca="false">IFERROR(INDEX(종합!V$3:V$501,MATCH(ROW()-2,종합!$AC$3:$AC$501,0))&amp;"","")</f>
        <v/>
      </c>
      <c r="W195" s="21" t="str">
        <f aca="false">IFERROR(INDEX(종합!W$3:W$501,MATCH(ROW()-2,종합!$AC$3:$AC$501,0))&amp;"","")</f>
        <v/>
      </c>
      <c r="X195" s="21" t="str">
        <f aca="false">IFERROR(INDEX(종합!X$3:X$501,MATCH(ROW()-2,종합!$AC$3:$AC$501,0))&amp;"","")</f>
        <v/>
      </c>
      <c r="Y195" s="21" t="str">
        <f aca="false">IFERROR(INDEX(종합!Y$3:Y$501,MATCH(ROW()-2,종합!$AC$3:$AC$501,0))&amp;"","")</f>
        <v/>
      </c>
      <c r="Z195" s="21" t="str">
        <f aca="false">IFERROR(INDEX(종합!Z$3:Z$501,MATCH(ROW()-2,종합!$AC$3:$AC$501,0))&amp;"","")</f>
        <v/>
      </c>
    </row>
    <row r="196" customFormat="false" ht="16.5" hidden="false" customHeight="true" outlineLevel="0" collapsed="false">
      <c r="A196" s="18" t="str">
        <f aca="false">IF(B196="","",ROW()-2)</f>
        <v/>
      </c>
      <c r="B196" s="18" t="str">
        <f aca="false">IFERROR(INDEX(종합!B$3:B$501,MATCH(ROW()-2,종합!$AC$3:$AC$501,0))&amp;"","")</f>
        <v/>
      </c>
      <c r="C196" s="18" t="str">
        <f aca="false">IFERROR(INDEX(종합!C$3:C$501,MATCH(ROW()-2,종합!$AC$3:$AC$501,0))&amp;"","")</f>
        <v/>
      </c>
      <c r="D196" s="18" t="str">
        <f aca="false">IFERROR(INDEX(종합!D$3:D$501,MATCH(ROW()-2,종합!$AC$3:$AC$501,0))&amp;"","")</f>
        <v/>
      </c>
      <c r="E196" s="18" t="str">
        <f aca="false">IFERROR(INDEX(종합!E$3:E$501,MATCH(ROW()-2,종합!$AC$3:$AC$501,0))&amp;"","")</f>
        <v/>
      </c>
      <c r="F196" s="18" t="str">
        <f aca="false">IFERROR(INDEX(종합!F$3:F$501,MATCH(ROW()-2,종합!$AC$3:$AC$501,0))&amp;"","")</f>
        <v/>
      </c>
      <c r="G196" s="18" t="str">
        <f aca="false">IFERROR(INDEX(종합!G$3:G$501,MATCH(ROW()-2,종합!$AC$3:$AC$501,0))&amp;"","")</f>
        <v/>
      </c>
      <c r="H196" s="21" t="str">
        <f aca="false">IFERROR(INDEX(종합!H$3:H$501,MATCH(ROW()-2,종합!$AC$3:$AC$501,0))&amp;"","")</f>
        <v/>
      </c>
      <c r="I196" s="21" t="str">
        <f aca="false">IFERROR(INDEX(종합!I$3:I$501,MATCH(ROW()-2,종합!$AC$3:$AC$501,0))&amp;"","")</f>
        <v/>
      </c>
      <c r="J196" s="21" t="str">
        <f aca="false">IFERROR(INDEX(종합!J$3:J$501,MATCH(ROW()-2,종합!$AC$3:$AC$501,0))&amp;"","")</f>
        <v/>
      </c>
      <c r="K196" s="21" t="str">
        <f aca="false">IFERROR(INDEX(종합!K$3:K$501,MATCH(ROW()-2,종합!$AC$3:$AC$501,0))&amp;"","")</f>
        <v/>
      </c>
      <c r="L196" s="21" t="str">
        <f aca="false">IFERROR(INDEX(종합!L$3:L$501,MATCH(ROW()-2,종합!$AC$3:$AC$501,0))&amp;"","")</f>
        <v/>
      </c>
      <c r="M196" s="21" t="str">
        <f aca="false">IFERROR(INDEX(종합!M$3:M$501,MATCH(ROW()-2,종합!$AC$3:$AC$501,0))&amp;"","")</f>
        <v/>
      </c>
      <c r="N196" s="25" t="str">
        <f aca="false">IFERROR(INDEX(종합!N$3:N$501,MATCH(ROW()-2,종합!$AC$3:$AC$501,0))&amp;"","")</f>
        <v/>
      </c>
      <c r="O196" s="21" t="str">
        <f aca="false">IFERROR(INDEX(종합!O$3:O$501,MATCH(ROW()-2,종합!$AC$3:$AC$501,0))&amp;"","")</f>
        <v/>
      </c>
      <c r="P196" s="21" t="str">
        <f aca="false">IFERROR(INDEX(종합!P$3:P$501,MATCH(ROW()-2,종합!$AC$3:$AC$501,0))&amp;"","")</f>
        <v/>
      </c>
      <c r="Q196" s="21" t="str">
        <f aca="false">IFERROR(INDEX(종합!Q$3:Q$501,MATCH(ROW()-2,종합!$AC$3:$AC$501,0))&amp;"","")</f>
        <v/>
      </c>
      <c r="R196" s="21" t="str">
        <f aca="false">IFERROR(INDEX(종합!R$3:R$501,MATCH(ROW()-2,종합!$AC$3:$AC$501,0))&amp;"","")</f>
        <v/>
      </c>
      <c r="S196" s="21" t="str">
        <f aca="false">IFERROR(INDEX(종합!S$3:S$501,MATCH(ROW()-2,종합!$AC$3:$AC$501,0))&amp;"","")</f>
        <v/>
      </c>
      <c r="T196" s="21" t="str">
        <f aca="false">IFERROR(INDEX(종합!T$3:T$501,MATCH(ROW()-2,종합!$AC$3:$AC$501,0))&amp;"","")</f>
        <v/>
      </c>
      <c r="U196" s="21" t="str">
        <f aca="false">IFERROR(INDEX(종합!U$3:U$501,MATCH(ROW()-2,종합!$AC$3:$AC$501,0))&amp;"","")</f>
        <v/>
      </c>
      <c r="V196" s="21" t="str">
        <f aca="false">IFERROR(INDEX(종합!V$3:V$501,MATCH(ROW()-2,종합!$AC$3:$AC$501,0))&amp;"","")</f>
        <v/>
      </c>
      <c r="W196" s="21" t="str">
        <f aca="false">IFERROR(INDEX(종합!W$3:W$501,MATCH(ROW()-2,종합!$AC$3:$AC$501,0))&amp;"","")</f>
        <v/>
      </c>
      <c r="X196" s="21" t="str">
        <f aca="false">IFERROR(INDEX(종합!X$3:X$501,MATCH(ROW()-2,종합!$AC$3:$AC$501,0))&amp;"","")</f>
        <v/>
      </c>
      <c r="Y196" s="21" t="str">
        <f aca="false">IFERROR(INDEX(종합!Y$3:Y$501,MATCH(ROW()-2,종합!$AC$3:$AC$501,0))&amp;"","")</f>
        <v/>
      </c>
      <c r="Z196" s="21" t="str">
        <f aca="false">IFERROR(INDEX(종합!Z$3:Z$501,MATCH(ROW()-2,종합!$AC$3:$AC$501,0))&amp;"","")</f>
        <v/>
      </c>
    </row>
    <row r="197" customFormat="false" ht="16.5" hidden="false" customHeight="true" outlineLevel="0" collapsed="false">
      <c r="A197" s="18" t="str">
        <f aca="false">IF(B197="","",ROW()-2)</f>
        <v/>
      </c>
      <c r="B197" s="18" t="str">
        <f aca="false">IFERROR(INDEX(종합!B$3:B$501,MATCH(ROW()-2,종합!$AC$3:$AC$501,0))&amp;"","")</f>
        <v/>
      </c>
      <c r="C197" s="18" t="str">
        <f aca="false">IFERROR(INDEX(종합!C$3:C$501,MATCH(ROW()-2,종합!$AC$3:$AC$501,0))&amp;"","")</f>
        <v/>
      </c>
      <c r="D197" s="18" t="str">
        <f aca="false">IFERROR(INDEX(종합!D$3:D$501,MATCH(ROW()-2,종합!$AC$3:$AC$501,0))&amp;"","")</f>
        <v/>
      </c>
      <c r="E197" s="18" t="str">
        <f aca="false">IFERROR(INDEX(종합!E$3:E$501,MATCH(ROW()-2,종합!$AC$3:$AC$501,0))&amp;"","")</f>
        <v/>
      </c>
      <c r="F197" s="18" t="str">
        <f aca="false">IFERROR(INDEX(종합!F$3:F$501,MATCH(ROW()-2,종합!$AC$3:$AC$501,0))&amp;"","")</f>
        <v/>
      </c>
      <c r="G197" s="18" t="str">
        <f aca="false">IFERROR(INDEX(종합!G$3:G$501,MATCH(ROW()-2,종합!$AC$3:$AC$501,0))&amp;"","")</f>
        <v/>
      </c>
      <c r="H197" s="21" t="str">
        <f aca="false">IFERROR(INDEX(종합!H$3:H$501,MATCH(ROW()-2,종합!$AC$3:$AC$501,0))&amp;"","")</f>
        <v/>
      </c>
      <c r="I197" s="21" t="str">
        <f aca="false">IFERROR(INDEX(종합!I$3:I$501,MATCH(ROW()-2,종합!$AC$3:$AC$501,0))&amp;"","")</f>
        <v/>
      </c>
      <c r="J197" s="21" t="str">
        <f aca="false">IFERROR(INDEX(종합!J$3:J$501,MATCH(ROW()-2,종합!$AC$3:$AC$501,0))&amp;"","")</f>
        <v/>
      </c>
      <c r="K197" s="21" t="str">
        <f aca="false">IFERROR(INDEX(종합!K$3:K$501,MATCH(ROW()-2,종합!$AC$3:$AC$501,0))&amp;"","")</f>
        <v/>
      </c>
      <c r="L197" s="21" t="str">
        <f aca="false">IFERROR(INDEX(종합!L$3:L$501,MATCH(ROW()-2,종합!$AC$3:$AC$501,0))&amp;"","")</f>
        <v/>
      </c>
      <c r="M197" s="21" t="str">
        <f aca="false">IFERROR(INDEX(종합!M$3:M$501,MATCH(ROW()-2,종합!$AC$3:$AC$501,0))&amp;"","")</f>
        <v/>
      </c>
      <c r="N197" s="25" t="str">
        <f aca="false">IFERROR(INDEX(종합!N$3:N$501,MATCH(ROW()-2,종합!$AC$3:$AC$501,0))&amp;"","")</f>
        <v/>
      </c>
      <c r="O197" s="21" t="str">
        <f aca="false">IFERROR(INDEX(종합!O$3:O$501,MATCH(ROW()-2,종합!$AC$3:$AC$501,0))&amp;"","")</f>
        <v/>
      </c>
      <c r="P197" s="21" t="str">
        <f aca="false">IFERROR(INDEX(종합!P$3:P$501,MATCH(ROW()-2,종합!$AC$3:$AC$501,0))&amp;"","")</f>
        <v/>
      </c>
      <c r="Q197" s="21" t="str">
        <f aca="false">IFERROR(INDEX(종합!Q$3:Q$501,MATCH(ROW()-2,종합!$AC$3:$AC$501,0))&amp;"","")</f>
        <v/>
      </c>
      <c r="R197" s="21" t="str">
        <f aca="false">IFERROR(INDEX(종합!R$3:R$501,MATCH(ROW()-2,종합!$AC$3:$AC$501,0))&amp;"","")</f>
        <v/>
      </c>
      <c r="S197" s="21" t="str">
        <f aca="false">IFERROR(INDEX(종합!S$3:S$501,MATCH(ROW()-2,종합!$AC$3:$AC$501,0))&amp;"","")</f>
        <v/>
      </c>
      <c r="T197" s="21" t="str">
        <f aca="false">IFERROR(INDEX(종합!T$3:T$501,MATCH(ROW()-2,종합!$AC$3:$AC$501,0))&amp;"","")</f>
        <v/>
      </c>
      <c r="U197" s="21" t="str">
        <f aca="false">IFERROR(INDEX(종합!U$3:U$501,MATCH(ROW()-2,종합!$AC$3:$AC$501,0))&amp;"","")</f>
        <v/>
      </c>
      <c r="V197" s="21" t="str">
        <f aca="false">IFERROR(INDEX(종합!V$3:V$501,MATCH(ROW()-2,종합!$AC$3:$AC$501,0))&amp;"","")</f>
        <v/>
      </c>
      <c r="W197" s="21" t="str">
        <f aca="false">IFERROR(INDEX(종합!W$3:W$501,MATCH(ROW()-2,종합!$AC$3:$AC$501,0))&amp;"","")</f>
        <v/>
      </c>
      <c r="X197" s="21" t="str">
        <f aca="false">IFERROR(INDEX(종합!X$3:X$501,MATCH(ROW()-2,종합!$AC$3:$AC$501,0))&amp;"","")</f>
        <v/>
      </c>
      <c r="Y197" s="21" t="str">
        <f aca="false">IFERROR(INDEX(종합!Y$3:Y$501,MATCH(ROW()-2,종합!$AC$3:$AC$501,0))&amp;"","")</f>
        <v/>
      </c>
      <c r="Z197" s="21" t="str">
        <f aca="false">IFERROR(INDEX(종합!Z$3:Z$501,MATCH(ROW()-2,종합!$AC$3:$AC$501,0))&amp;"","")</f>
        <v/>
      </c>
    </row>
    <row r="198" customFormat="false" ht="16.5" hidden="false" customHeight="true" outlineLevel="0" collapsed="false">
      <c r="A198" s="18" t="str">
        <f aca="false">IF(B198="","",ROW()-2)</f>
        <v/>
      </c>
      <c r="B198" s="18" t="str">
        <f aca="false">IFERROR(INDEX(종합!B$3:B$501,MATCH(ROW()-2,종합!$AC$3:$AC$501,0))&amp;"","")</f>
        <v/>
      </c>
      <c r="C198" s="18" t="str">
        <f aca="false">IFERROR(INDEX(종합!C$3:C$501,MATCH(ROW()-2,종합!$AC$3:$AC$501,0))&amp;"","")</f>
        <v/>
      </c>
      <c r="D198" s="18" t="str">
        <f aca="false">IFERROR(INDEX(종합!D$3:D$501,MATCH(ROW()-2,종합!$AC$3:$AC$501,0))&amp;"","")</f>
        <v/>
      </c>
      <c r="E198" s="18" t="str">
        <f aca="false">IFERROR(INDEX(종합!E$3:E$501,MATCH(ROW()-2,종합!$AC$3:$AC$501,0))&amp;"","")</f>
        <v/>
      </c>
      <c r="F198" s="18" t="str">
        <f aca="false">IFERROR(INDEX(종합!F$3:F$501,MATCH(ROW()-2,종합!$AC$3:$AC$501,0))&amp;"","")</f>
        <v/>
      </c>
      <c r="G198" s="18" t="str">
        <f aca="false">IFERROR(INDEX(종합!G$3:G$501,MATCH(ROW()-2,종합!$AC$3:$AC$501,0))&amp;"","")</f>
        <v/>
      </c>
      <c r="H198" s="21" t="str">
        <f aca="false">IFERROR(INDEX(종합!H$3:H$501,MATCH(ROW()-2,종합!$AC$3:$AC$501,0))&amp;"","")</f>
        <v/>
      </c>
      <c r="I198" s="21" t="str">
        <f aca="false">IFERROR(INDEX(종합!I$3:I$501,MATCH(ROW()-2,종합!$AC$3:$AC$501,0))&amp;"","")</f>
        <v/>
      </c>
      <c r="J198" s="21" t="str">
        <f aca="false">IFERROR(INDEX(종합!J$3:J$501,MATCH(ROW()-2,종합!$AC$3:$AC$501,0))&amp;"","")</f>
        <v/>
      </c>
      <c r="K198" s="21" t="str">
        <f aca="false">IFERROR(INDEX(종합!K$3:K$501,MATCH(ROW()-2,종합!$AC$3:$AC$501,0))&amp;"","")</f>
        <v/>
      </c>
      <c r="L198" s="21" t="str">
        <f aca="false">IFERROR(INDEX(종합!L$3:L$501,MATCH(ROW()-2,종합!$AC$3:$AC$501,0))&amp;"","")</f>
        <v/>
      </c>
      <c r="M198" s="21" t="str">
        <f aca="false">IFERROR(INDEX(종합!M$3:M$501,MATCH(ROW()-2,종합!$AC$3:$AC$501,0))&amp;"","")</f>
        <v/>
      </c>
      <c r="N198" s="25" t="str">
        <f aca="false">IFERROR(INDEX(종합!N$3:N$501,MATCH(ROW()-2,종합!$AC$3:$AC$501,0))&amp;"","")</f>
        <v/>
      </c>
      <c r="O198" s="21" t="str">
        <f aca="false">IFERROR(INDEX(종합!O$3:O$501,MATCH(ROW()-2,종합!$AC$3:$AC$501,0))&amp;"","")</f>
        <v/>
      </c>
      <c r="P198" s="21" t="str">
        <f aca="false">IFERROR(INDEX(종합!P$3:P$501,MATCH(ROW()-2,종합!$AC$3:$AC$501,0))&amp;"","")</f>
        <v/>
      </c>
      <c r="Q198" s="21" t="str">
        <f aca="false">IFERROR(INDEX(종합!Q$3:Q$501,MATCH(ROW()-2,종합!$AC$3:$AC$501,0))&amp;"","")</f>
        <v/>
      </c>
      <c r="R198" s="21" t="str">
        <f aca="false">IFERROR(INDEX(종합!R$3:R$501,MATCH(ROW()-2,종합!$AC$3:$AC$501,0))&amp;"","")</f>
        <v/>
      </c>
      <c r="S198" s="21" t="str">
        <f aca="false">IFERROR(INDEX(종합!S$3:S$501,MATCH(ROW()-2,종합!$AC$3:$AC$501,0))&amp;"","")</f>
        <v/>
      </c>
      <c r="T198" s="21" t="str">
        <f aca="false">IFERROR(INDEX(종합!T$3:T$501,MATCH(ROW()-2,종합!$AC$3:$AC$501,0))&amp;"","")</f>
        <v/>
      </c>
      <c r="U198" s="21" t="str">
        <f aca="false">IFERROR(INDEX(종합!U$3:U$501,MATCH(ROW()-2,종합!$AC$3:$AC$501,0))&amp;"","")</f>
        <v/>
      </c>
      <c r="V198" s="21" t="str">
        <f aca="false">IFERROR(INDEX(종합!V$3:V$501,MATCH(ROW()-2,종합!$AC$3:$AC$501,0))&amp;"","")</f>
        <v/>
      </c>
      <c r="W198" s="21" t="str">
        <f aca="false">IFERROR(INDEX(종합!W$3:W$501,MATCH(ROW()-2,종합!$AC$3:$AC$501,0))&amp;"","")</f>
        <v/>
      </c>
      <c r="X198" s="21" t="str">
        <f aca="false">IFERROR(INDEX(종합!X$3:X$501,MATCH(ROW()-2,종합!$AC$3:$AC$501,0))&amp;"","")</f>
        <v/>
      </c>
      <c r="Y198" s="21" t="str">
        <f aca="false">IFERROR(INDEX(종합!Y$3:Y$501,MATCH(ROW()-2,종합!$AC$3:$AC$501,0))&amp;"","")</f>
        <v/>
      </c>
      <c r="Z198" s="21" t="str">
        <f aca="false">IFERROR(INDEX(종합!Z$3:Z$501,MATCH(ROW()-2,종합!$AC$3:$AC$501,0))&amp;"","")</f>
        <v/>
      </c>
    </row>
    <row r="199" customFormat="false" ht="16.5" hidden="false" customHeight="true" outlineLevel="0" collapsed="false">
      <c r="A199" s="18" t="str">
        <f aca="false">IF(B199="","",ROW()-2)</f>
        <v/>
      </c>
      <c r="B199" s="18" t="str">
        <f aca="false">IFERROR(INDEX(종합!B$3:B$501,MATCH(ROW()-2,종합!$AC$3:$AC$501,0))&amp;"","")</f>
        <v/>
      </c>
      <c r="C199" s="18" t="str">
        <f aca="false">IFERROR(INDEX(종합!C$3:C$501,MATCH(ROW()-2,종합!$AC$3:$AC$501,0))&amp;"","")</f>
        <v/>
      </c>
      <c r="D199" s="18" t="str">
        <f aca="false">IFERROR(INDEX(종합!D$3:D$501,MATCH(ROW()-2,종합!$AC$3:$AC$501,0))&amp;"","")</f>
        <v/>
      </c>
      <c r="E199" s="18" t="str">
        <f aca="false">IFERROR(INDEX(종합!E$3:E$501,MATCH(ROW()-2,종합!$AC$3:$AC$501,0))&amp;"","")</f>
        <v/>
      </c>
      <c r="F199" s="18" t="str">
        <f aca="false">IFERROR(INDEX(종합!F$3:F$501,MATCH(ROW()-2,종합!$AC$3:$AC$501,0))&amp;"","")</f>
        <v/>
      </c>
      <c r="G199" s="18" t="str">
        <f aca="false">IFERROR(INDEX(종합!G$3:G$501,MATCH(ROW()-2,종합!$AC$3:$AC$501,0))&amp;"","")</f>
        <v/>
      </c>
      <c r="H199" s="21" t="str">
        <f aca="false">IFERROR(INDEX(종합!H$3:H$501,MATCH(ROW()-2,종합!$AC$3:$AC$501,0))&amp;"","")</f>
        <v/>
      </c>
      <c r="I199" s="21" t="str">
        <f aca="false">IFERROR(INDEX(종합!I$3:I$501,MATCH(ROW()-2,종합!$AC$3:$AC$501,0))&amp;"","")</f>
        <v/>
      </c>
      <c r="J199" s="21" t="str">
        <f aca="false">IFERROR(INDEX(종합!J$3:J$501,MATCH(ROW()-2,종합!$AC$3:$AC$501,0))&amp;"","")</f>
        <v/>
      </c>
      <c r="K199" s="21" t="str">
        <f aca="false">IFERROR(INDEX(종합!K$3:K$501,MATCH(ROW()-2,종합!$AC$3:$AC$501,0))&amp;"","")</f>
        <v/>
      </c>
      <c r="L199" s="21" t="str">
        <f aca="false">IFERROR(INDEX(종합!L$3:L$501,MATCH(ROW()-2,종합!$AC$3:$AC$501,0))&amp;"","")</f>
        <v/>
      </c>
      <c r="M199" s="21" t="str">
        <f aca="false">IFERROR(INDEX(종합!M$3:M$501,MATCH(ROW()-2,종합!$AC$3:$AC$501,0))&amp;"","")</f>
        <v/>
      </c>
      <c r="N199" s="25" t="str">
        <f aca="false">IFERROR(INDEX(종합!N$3:N$501,MATCH(ROW()-2,종합!$AC$3:$AC$501,0))&amp;"","")</f>
        <v/>
      </c>
      <c r="O199" s="21" t="str">
        <f aca="false">IFERROR(INDEX(종합!O$3:O$501,MATCH(ROW()-2,종합!$AC$3:$AC$501,0))&amp;"","")</f>
        <v/>
      </c>
      <c r="P199" s="21" t="str">
        <f aca="false">IFERROR(INDEX(종합!P$3:P$501,MATCH(ROW()-2,종합!$AC$3:$AC$501,0))&amp;"","")</f>
        <v/>
      </c>
      <c r="Q199" s="21" t="str">
        <f aca="false">IFERROR(INDEX(종합!Q$3:Q$501,MATCH(ROW()-2,종합!$AC$3:$AC$501,0))&amp;"","")</f>
        <v/>
      </c>
      <c r="R199" s="21" t="str">
        <f aca="false">IFERROR(INDEX(종합!R$3:R$501,MATCH(ROW()-2,종합!$AC$3:$AC$501,0))&amp;"","")</f>
        <v/>
      </c>
      <c r="S199" s="21" t="str">
        <f aca="false">IFERROR(INDEX(종합!S$3:S$501,MATCH(ROW()-2,종합!$AC$3:$AC$501,0))&amp;"","")</f>
        <v/>
      </c>
      <c r="T199" s="21" t="str">
        <f aca="false">IFERROR(INDEX(종합!T$3:T$501,MATCH(ROW()-2,종합!$AC$3:$AC$501,0))&amp;"","")</f>
        <v/>
      </c>
      <c r="U199" s="21" t="str">
        <f aca="false">IFERROR(INDEX(종합!U$3:U$501,MATCH(ROW()-2,종합!$AC$3:$AC$501,0))&amp;"","")</f>
        <v/>
      </c>
      <c r="V199" s="21" t="str">
        <f aca="false">IFERROR(INDEX(종합!V$3:V$501,MATCH(ROW()-2,종합!$AC$3:$AC$501,0))&amp;"","")</f>
        <v/>
      </c>
      <c r="W199" s="21" t="str">
        <f aca="false">IFERROR(INDEX(종합!W$3:W$501,MATCH(ROW()-2,종합!$AC$3:$AC$501,0))&amp;"","")</f>
        <v/>
      </c>
      <c r="X199" s="21" t="str">
        <f aca="false">IFERROR(INDEX(종합!X$3:X$501,MATCH(ROW()-2,종합!$AC$3:$AC$501,0))&amp;"","")</f>
        <v/>
      </c>
      <c r="Y199" s="21" t="str">
        <f aca="false">IFERROR(INDEX(종합!Y$3:Y$501,MATCH(ROW()-2,종합!$AC$3:$AC$501,0))&amp;"","")</f>
        <v/>
      </c>
      <c r="Z199" s="21" t="str">
        <f aca="false">IFERROR(INDEX(종합!Z$3:Z$501,MATCH(ROW()-2,종합!$AC$3:$AC$501,0))&amp;"","")</f>
        <v/>
      </c>
    </row>
    <row r="200" customFormat="false" ht="16.5" hidden="false" customHeight="true" outlineLevel="0" collapsed="false">
      <c r="A200" s="18" t="str">
        <f aca="false">IF(B200="","",ROW()-2)</f>
        <v/>
      </c>
      <c r="B200" s="18" t="str">
        <f aca="false">IFERROR(INDEX(종합!B$3:B$501,MATCH(ROW()-2,종합!$AC$3:$AC$501,0))&amp;"","")</f>
        <v/>
      </c>
      <c r="C200" s="18" t="str">
        <f aca="false">IFERROR(INDEX(종합!C$3:C$501,MATCH(ROW()-2,종합!$AC$3:$AC$501,0))&amp;"","")</f>
        <v/>
      </c>
      <c r="D200" s="18" t="str">
        <f aca="false">IFERROR(INDEX(종합!D$3:D$501,MATCH(ROW()-2,종합!$AC$3:$AC$501,0))&amp;"","")</f>
        <v/>
      </c>
      <c r="E200" s="18" t="str">
        <f aca="false">IFERROR(INDEX(종합!E$3:E$501,MATCH(ROW()-2,종합!$AC$3:$AC$501,0))&amp;"","")</f>
        <v/>
      </c>
      <c r="F200" s="18" t="str">
        <f aca="false">IFERROR(INDEX(종합!F$3:F$501,MATCH(ROW()-2,종합!$AC$3:$AC$501,0))&amp;"","")</f>
        <v/>
      </c>
      <c r="G200" s="18" t="str">
        <f aca="false">IFERROR(INDEX(종합!G$3:G$501,MATCH(ROW()-2,종합!$AC$3:$AC$501,0))&amp;"","")</f>
        <v/>
      </c>
      <c r="H200" s="21" t="str">
        <f aca="false">IFERROR(INDEX(종합!H$3:H$501,MATCH(ROW()-2,종합!$AC$3:$AC$501,0))&amp;"","")</f>
        <v/>
      </c>
      <c r="I200" s="21" t="str">
        <f aca="false">IFERROR(INDEX(종합!I$3:I$501,MATCH(ROW()-2,종합!$AC$3:$AC$501,0))&amp;"","")</f>
        <v/>
      </c>
      <c r="J200" s="21" t="str">
        <f aca="false">IFERROR(INDEX(종합!J$3:J$501,MATCH(ROW()-2,종합!$AC$3:$AC$501,0))&amp;"","")</f>
        <v/>
      </c>
      <c r="K200" s="21" t="str">
        <f aca="false">IFERROR(INDEX(종합!K$3:K$501,MATCH(ROW()-2,종합!$AC$3:$AC$501,0))&amp;"","")</f>
        <v/>
      </c>
      <c r="L200" s="21" t="str">
        <f aca="false">IFERROR(INDEX(종합!L$3:L$501,MATCH(ROW()-2,종합!$AC$3:$AC$501,0))&amp;"","")</f>
        <v/>
      </c>
      <c r="M200" s="21" t="str">
        <f aca="false">IFERROR(INDEX(종합!M$3:M$501,MATCH(ROW()-2,종합!$AC$3:$AC$501,0))&amp;"","")</f>
        <v/>
      </c>
      <c r="N200" s="25" t="str">
        <f aca="false">IFERROR(INDEX(종합!N$3:N$501,MATCH(ROW()-2,종합!$AC$3:$AC$501,0))&amp;"","")</f>
        <v/>
      </c>
      <c r="O200" s="21" t="str">
        <f aca="false">IFERROR(INDEX(종합!O$3:O$501,MATCH(ROW()-2,종합!$AC$3:$AC$501,0))&amp;"","")</f>
        <v/>
      </c>
      <c r="P200" s="21" t="str">
        <f aca="false">IFERROR(INDEX(종합!P$3:P$501,MATCH(ROW()-2,종합!$AC$3:$AC$501,0))&amp;"","")</f>
        <v/>
      </c>
      <c r="Q200" s="21" t="str">
        <f aca="false">IFERROR(INDEX(종합!Q$3:Q$501,MATCH(ROW()-2,종합!$AC$3:$AC$501,0))&amp;"","")</f>
        <v/>
      </c>
      <c r="R200" s="21" t="str">
        <f aca="false">IFERROR(INDEX(종합!R$3:R$501,MATCH(ROW()-2,종합!$AC$3:$AC$501,0))&amp;"","")</f>
        <v/>
      </c>
      <c r="S200" s="21" t="str">
        <f aca="false">IFERROR(INDEX(종합!S$3:S$501,MATCH(ROW()-2,종합!$AC$3:$AC$501,0))&amp;"","")</f>
        <v/>
      </c>
      <c r="T200" s="21" t="str">
        <f aca="false">IFERROR(INDEX(종합!T$3:T$501,MATCH(ROW()-2,종합!$AC$3:$AC$501,0))&amp;"","")</f>
        <v/>
      </c>
      <c r="U200" s="21" t="str">
        <f aca="false">IFERROR(INDEX(종합!U$3:U$501,MATCH(ROW()-2,종합!$AC$3:$AC$501,0))&amp;"","")</f>
        <v/>
      </c>
      <c r="V200" s="21" t="str">
        <f aca="false">IFERROR(INDEX(종합!V$3:V$501,MATCH(ROW()-2,종합!$AC$3:$AC$501,0))&amp;"","")</f>
        <v/>
      </c>
      <c r="W200" s="21" t="str">
        <f aca="false">IFERROR(INDEX(종합!W$3:W$501,MATCH(ROW()-2,종합!$AC$3:$AC$501,0))&amp;"","")</f>
        <v/>
      </c>
      <c r="X200" s="21" t="str">
        <f aca="false">IFERROR(INDEX(종합!X$3:X$501,MATCH(ROW()-2,종합!$AC$3:$AC$501,0))&amp;"","")</f>
        <v/>
      </c>
      <c r="Y200" s="21" t="str">
        <f aca="false">IFERROR(INDEX(종합!Y$3:Y$501,MATCH(ROW()-2,종합!$AC$3:$AC$501,0))&amp;"","")</f>
        <v/>
      </c>
      <c r="Z200" s="21" t="str">
        <f aca="false">IFERROR(INDEX(종합!Z$3:Z$501,MATCH(ROW()-2,종합!$AC$3:$AC$501,0))&amp;"","")</f>
        <v/>
      </c>
    </row>
    <row r="201" customFormat="false" ht="16.5" hidden="false" customHeight="true" outlineLevel="0" collapsed="false">
      <c r="A201" s="18" t="str">
        <f aca="false">IF(B201="","",ROW()-2)</f>
        <v/>
      </c>
      <c r="B201" s="18" t="str">
        <f aca="false">IFERROR(INDEX(종합!B$3:B$501,MATCH(ROW()-2,종합!$AC$3:$AC$501,0))&amp;"","")</f>
        <v/>
      </c>
      <c r="C201" s="18" t="str">
        <f aca="false">IFERROR(INDEX(종합!C$3:C$501,MATCH(ROW()-2,종합!$AC$3:$AC$501,0))&amp;"","")</f>
        <v/>
      </c>
      <c r="D201" s="18" t="str">
        <f aca="false">IFERROR(INDEX(종합!D$3:D$501,MATCH(ROW()-2,종합!$AC$3:$AC$501,0))&amp;"","")</f>
        <v/>
      </c>
      <c r="E201" s="18" t="str">
        <f aca="false">IFERROR(INDEX(종합!E$3:E$501,MATCH(ROW()-2,종합!$AC$3:$AC$501,0))&amp;"","")</f>
        <v/>
      </c>
      <c r="F201" s="18" t="str">
        <f aca="false">IFERROR(INDEX(종합!F$3:F$501,MATCH(ROW()-2,종합!$AC$3:$AC$501,0))&amp;"","")</f>
        <v/>
      </c>
      <c r="G201" s="18" t="str">
        <f aca="false">IFERROR(INDEX(종합!G$3:G$501,MATCH(ROW()-2,종합!$AC$3:$AC$501,0))&amp;"","")</f>
        <v/>
      </c>
      <c r="H201" s="21" t="str">
        <f aca="false">IFERROR(INDEX(종합!H$3:H$501,MATCH(ROW()-2,종합!$AC$3:$AC$501,0))&amp;"","")</f>
        <v/>
      </c>
      <c r="I201" s="21" t="str">
        <f aca="false">IFERROR(INDEX(종합!I$3:I$501,MATCH(ROW()-2,종합!$AC$3:$AC$501,0))&amp;"","")</f>
        <v/>
      </c>
      <c r="J201" s="21" t="str">
        <f aca="false">IFERROR(INDEX(종합!J$3:J$501,MATCH(ROW()-2,종합!$AC$3:$AC$501,0))&amp;"","")</f>
        <v/>
      </c>
      <c r="K201" s="21" t="str">
        <f aca="false">IFERROR(INDEX(종합!K$3:K$501,MATCH(ROW()-2,종합!$AC$3:$AC$501,0))&amp;"","")</f>
        <v/>
      </c>
      <c r="L201" s="21" t="str">
        <f aca="false">IFERROR(INDEX(종합!L$3:L$501,MATCH(ROW()-2,종합!$AC$3:$AC$501,0))&amp;"","")</f>
        <v/>
      </c>
      <c r="M201" s="21" t="str">
        <f aca="false">IFERROR(INDEX(종합!M$3:M$501,MATCH(ROW()-2,종합!$AC$3:$AC$501,0))&amp;"","")</f>
        <v/>
      </c>
      <c r="N201" s="25" t="str">
        <f aca="false">IFERROR(INDEX(종합!N$3:N$501,MATCH(ROW()-2,종합!$AC$3:$AC$501,0))&amp;"","")</f>
        <v/>
      </c>
      <c r="O201" s="21" t="str">
        <f aca="false">IFERROR(INDEX(종합!O$3:O$501,MATCH(ROW()-2,종합!$AC$3:$AC$501,0))&amp;"","")</f>
        <v/>
      </c>
      <c r="P201" s="21" t="str">
        <f aca="false">IFERROR(INDEX(종합!P$3:P$501,MATCH(ROW()-2,종합!$AC$3:$AC$501,0))&amp;"","")</f>
        <v/>
      </c>
      <c r="Q201" s="21" t="str">
        <f aca="false">IFERROR(INDEX(종합!Q$3:Q$501,MATCH(ROW()-2,종합!$AC$3:$AC$501,0))&amp;"","")</f>
        <v/>
      </c>
      <c r="R201" s="21" t="str">
        <f aca="false">IFERROR(INDEX(종합!R$3:R$501,MATCH(ROW()-2,종합!$AC$3:$AC$501,0))&amp;"","")</f>
        <v/>
      </c>
      <c r="S201" s="21" t="str">
        <f aca="false">IFERROR(INDEX(종합!S$3:S$501,MATCH(ROW()-2,종합!$AC$3:$AC$501,0))&amp;"","")</f>
        <v/>
      </c>
      <c r="T201" s="21" t="str">
        <f aca="false">IFERROR(INDEX(종합!T$3:T$501,MATCH(ROW()-2,종합!$AC$3:$AC$501,0))&amp;"","")</f>
        <v/>
      </c>
      <c r="U201" s="21" t="str">
        <f aca="false">IFERROR(INDEX(종합!U$3:U$501,MATCH(ROW()-2,종합!$AC$3:$AC$501,0))&amp;"","")</f>
        <v/>
      </c>
      <c r="V201" s="21" t="str">
        <f aca="false">IFERROR(INDEX(종합!V$3:V$501,MATCH(ROW()-2,종합!$AC$3:$AC$501,0))&amp;"","")</f>
        <v/>
      </c>
      <c r="W201" s="21" t="str">
        <f aca="false">IFERROR(INDEX(종합!W$3:W$501,MATCH(ROW()-2,종합!$AC$3:$AC$501,0))&amp;"","")</f>
        <v/>
      </c>
      <c r="X201" s="21" t="str">
        <f aca="false">IFERROR(INDEX(종합!X$3:X$501,MATCH(ROW()-2,종합!$AC$3:$AC$501,0))&amp;"","")</f>
        <v/>
      </c>
      <c r="Y201" s="21" t="str">
        <f aca="false">IFERROR(INDEX(종합!Y$3:Y$501,MATCH(ROW()-2,종합!$AC$3:$AC$501,0))&amp;"","")</f>
        <v/>
      </c>
      <c r="Z201" s="21" t="str">
        <f aca="false">IFERROR(INDEX(종합!Z$3:Z$501,MATCH(ROW()-2,종합!$AC$3:$AC$501,0))&amp;"","")</f>
        <v/>
      </c>
    </row>
    <row r="202" customFormat="false" ht="16.5" hidden="false" customHeight="true" outlineLevel="0" collapsed="false">
      <c r="A202" s="18" t="str">
        <f aca="false">IF(B202="","",ROW()-2)</f>
        <v/>
      </c>
      <c r="B202" s="18" t="str">
        <f aca="false">IFERROR(INDEX(종합!B$3:B$501,MATCH(ROW()-2,종합!$AC$3:$AC$501,0))&amp;"","")</f>
        <v/>
      </c>
      <c r="C202" s="18" t="str">
        <f aca="false">IFERROR(INDEX(종합!C$3:C$501,MATCH(ROW()-2,종합!$AC$3:$AC$501,0))&amp;"","")</f>
        <v/>
      </c>
      <c r="D202" s="18" t="str">
        <f aca="false">IFERROR(INDEX(종합!D$3:D$501,MATCH(ROW()-2,종합!$AC$3:$AC$501,0))&amp;"","")</f>
        <v/>
      </c>
      <c r="E202" s="18" t="str">
        <f aca="false">IFERROR(INDEX(종합!E$3:E$501,MATCH(ROW()-2,종합!$AC$3:$AC$501,0))&amp;"","")</f>
        <v/>
      </c>
      <c r="F202" s="18" t="str">
        <f aca="false">IFERROR(INDEX(종합!F$3:F$501,MATCH(ROW()-2,종합!$AC$3:$AC$501,0))&amp;"","")</f>
        <v/>
      </c>
      <c r="G202" s="18" t="str">
        <f aca="false">IFERROR(INDEX(종합!G$3:G$501,MATCH(ROW()-2,종합!$AC$3:$AC$501,0))&amp;"","")</f>
        <v/>
      </c>
      <c r="H202" s="21" t="str">
        <f aca="false">IFERROR(INDEX(종합!H$3:H$501,MATCH(ROW()-2,종합!$AC$3:$AC$501,0))&amp;"","")</f>
        <v/>
      </c>
      <c r="I202" s="21" t="str">
        <f aca="false">IFERROR(INDEX(종합!I$3:I$501,MATCH(ROW()-2,종합!$AC$3:$AC$501,0))&amp;"","")</f>
        <v/>
      </c>
      <c r="J202" s="21" t="str">
        <f aca="false">IFERROR(INDEX(종합!J$3:J$501,MATCH(ROW()-2,종합!$AC$3:$AC$501,0))&amp;"","")</f>
        <v/>
      </c>
      <c r="K202" s="21" t="str">
        <f aca="false">IFERROR(INDEX(종합!K$3:K$501,MATCH(ROW()-2,종합!$AC$3:$AC$501,0))&amp;"","")</f>
        <v/>
      </c>
      <c r="L202" s="21" t="str">
        <f aca="false">IFERROR(INDEX(종합!L$3:L$501,MATCH(ROW()-2,종합!$AC$3:$AC$501,0))&amp;"","")</f>
        <v/>
      </c>
      <c r="M202" s="21" t="str">
        <f aca="false">IFERROR(INDEX(종합!M$3:M$501,MATCH(ROW()-2,종합!$AC$3:$AC$501,0))&amp;"","")</f>
        <v/>
      </c>
      <c r="N202" s="25" t="str">
        <f aca="false">IFERROR(INDEX(종합!N$3:N$501,MATCH(ROW()-2,종합!$AC$3:$AC$501,0))&amp;"","")</f>
        <v/>
      </c>
      <c r="O202" s="21" t="str">
        <f aca="false">IFERROR(INDEX(종합!O$3:O$501,MATCH(ROW()-2,종합!$AC$3:$AC$501,0))&amp;"","")</f>
        <v/>
      </c>
      <c r="P202" s="21" t="str">
        <f aca="false">IFERROR(INDEX(종합!P$3:P$501,MATCH(ROW()-2,종합!$AC$3:$AC$501,0))&amp;"","")</f>
        <v/>
      </c>
      <c r="Q202" s="21" t="str">
        <f aca="false">IFERROR(INDEX(종합!Q$3:Q$501,MATCH(ROW()-2,종합!$AC$3:$AC$501,0))&amp;"","")</f>
        <v/>
      </c>
      <c r="R202" s="21" t="str">
        <f aca="false">IFERROR(INDEX(종합!R$3:R$501,MATCH(ROW()-2,종합!$AC$3:$AC$501,0))&amp;"","")</f>
        <v/>
      </c>
      <c r="S202" s="21" t="str">
        <f aca="false">IFERROR(INDEX(종합!S$3:S$501,MATCH(ROW()-2,종합!$AC$3:$AC$501,0))&amp;"","")</f>
        <v/>
      </c>
      <c r="T202" s="21" t="str">
        <f aca="false">IFERROR(INDEX(종합!T$3:T$501,MATCH(ROW()-2,종합!$AC$3:$AC$501,0))&amp;"","")</f>
        <v/>
      </c>
      <c r="U202" s="21" t="str">
        <f aca="false">IFERROR(INDEX(종합!U$3:U$501,MATCH(ROW()-2,종합!$AC$3:$AC$501,0))&amp;"","")</f>
        <v/>
      </c>
      <c r="V202" s="21" t="str">
        <f aca="false">IFERROR(INDEX(종합!V$3:V$501,MATCH(ROW()-2,종합!$AC$3:$AC$501,0))&amp;"","")</f>
        <v/>
      </c>
      <c r="W202" s="21" t="str">
        <f aca="false">IFERROR(INDEX(종합!W$3:W$501,MATCH(ROW()-2,종합!$AC$3:$AC$501,0))&amp;"","")</f>
        <v/>
      </c>
      <c r="X202" s="21" t="str">
        <f aca="false">IFERROR(INDEX(종합!X$3:X$501,MATCH(ROW()-2,종합!$AC$3:$AC$501,0))&amp;"","")</f>
        <v/>
      </c>
      <c r="Y202" s="21" t="str">
        <f aca="false">IFERROR(INDEX(종합!Y$3:Y$501,MATCH(ROW()-2,종합!$AC$3:$AC$501,0))&amp;"","")</f>
        <v/>
      </c>
      <c r="Z202" s="21" t="str">
        <f aca="false">IFERROR(INDEX(종합!Z$3:Z$501,MATCH(ROW()-2,종합!$AC$3:$AC$501,0))&amp;"","")</f>
        <v/>
      </c>
    </row>
    <row r="203" customFormat="false" ht="16.5" hidden="false" customHeight="true" outlineLevel="0" collapsed="false">
      <c r="A203" s="18" t="str">
        <f aca="false">IF(B203="","",ROW()-2)</f>
        <v/>
      </c>
      <c r="B203" s="18" t="str">
        <f aca="false">IFERROR(INDEX(종합!B$3:B$501,MATCH(ROW()-2,종합!$AC$3:$AC$501,0))&amp;"","")</f>
        <v/>
      </c>
      <c r="C203" s="18" t="str">
        <f aca="false">IFERROR(INDEX(종합!C$3:C$501,MATCH(ROW()-2,종합!$AC$3:$AC$501,0))&amp;"","")</f>
        <v/>
      </c>
      <c r="D203" s="18" t="str">
        <f aca="false">IFERROR(INDEX(종합!D$3:D$501,MATCH(ROW()-2,종합!$AC$3:$AC$501,0))&amp;"","")</f>
        <v/>
      </c>
      <c r="E203" s="18" t="str">
        <f aca="false">IFERROR(INDEX(종합!E$3:E$501,MATCH(ROW()-2,종합!$AC$3:$AC$501,0))&amp;"","")</f>
        <v/>
      </c>
      <c r="F203" s="18" t="str">
        <f aca="false">IFERROR(INDEX(종합!F$3:F$501,MATCH(ROW()-2,종합!$AC$3:$AC$501,0))&amp;"","")</f>
        <v/>
      </c>
      <c r="G203" s="18" t="str">
        <f aca="false">IFERROR(INDEX(종합!G$3:G$501,MATCH(ROW()-2,종합!$AC$3:$AC$501,0))&amp;"","")</f>
        <v/>
      </c>
      <c r="H203" s="21" t="str">
        <f aca="false">IFERROR(INDEX(종합!H$3:H$501,MATCH(ROW()-2,종합!$AC$3:$AC$501,0))&amp;"","")</f>
        <v/>
      </c>
      <c r="I203" s="21" t="str">
        <f aca="false">IFERROR(INDEX(종합!I$3:I$501,MATCH(ROW()-2,종합!$AC$3:$AC$501,0))&amp;"","")</f>
        <v/>
      </c>
      <c r="J203" s="21" t="str">
        <f aca="false">IFERROR(INDEX(종합!J$3:J$501,MATCH(ROW()-2,종합!$AC$3:$AC$501,0))&amp;"","")</f>
        <v/>
      </c>
      <c r="K203" s="21" t="str">
        <f aca="false">IFERROR(INDEX(종합!K$3:K$501,MATCH(ROW()-2,종합!$AC$3:$AC$501,0))&amp;"","")</f>
        <v/>
      </c>
      <c r="L203" s="21" t="str">
        <f aca="false">IFERROR(INDEX(종합!L$3:L$501,MATCH(ROW()-2,종합!$AC$3:$AC$501,0))&amp;"","")</f>
        <v/>
      </c>
      <c r="M203" s="21" t="str">
        <f aca="false">IFERROR(INDEX(종합!M$3:M$501,MATCH(ROW()-2,종합!$AC$3:$AC$501,0))&amp;"","")</f>
        <v/>
      </c>
      <c r="N203" s="25" t="str">
        <f aca="false">IFERROR(INDEX(종합!N$3:N$501,MATCH(ROW()-2,종합!$AC$3:$AC$501,0))&amp;"","")</f>
        <v/>
      </c>
      <c r="O203" s="21" t="str">
        <f aca="false">IFERROR(INDEX(종합!O$3:O$501,MATCH(ROW()-2,종합!$AC$3:$AC$501,0))&amp;"","")</f>
        <v/>
      </c>
      <c r="P203" s="21" t="str">
        <f aca="false">IFERROR(INDEX(종합!P$3:P$501,MATCH(ROW()-2,종합!$AC$3:$AC$501,0))&amp;"","")</f>
        <v/>
      </c>
      <c r="Q203" s="21" t="str">
        <f aca="false">IFERROR(INDEX(종합!Q$3:Q$501,MATCH(ROW()-2,종합!$AC$3:$AC$501,0))&amp;"","")</f>
        <v/>
      </c>
      <c r="R203" s="21" t="str">
        <f aca="false">IFERROR(INDEX(종합!R$3:R$501,MATCH(ROW()-2,종합!$AC$3:$AC$501,0))&amp;"","")</f>
        <v/>
      </c>
      <c r="S203" s="21" t="str">
        <f aca="false">IFERROR(INDEX(종합!S$3:S$501,MATCH(ROW()-2,종합!$AC$3:$AC$501,0))&amp;"","")</f>
        <v/>
      </c>
      <c r="T203" s="21" t="str">
        <f aca="false">IFERROR(INDEX(종합!T$3:T$501,MATCH(ROW()-2,종합!$AC$3:$AC$501,0))&amp;"","")</f>
        <v/>
      </c>
      <c r="U203" s="21" t="str">
        <f aca="false">IFERROR(INDEX(종합!U$3:U$501,MATCH(ROW()-2,종합!$AC$3:$AC$501,0))&amp;"","")</f>
        <v/>
      </c>
      <c r="V203" s="21" t="str">
        <f aca="false">IFERROR(INDEX(종합!V$3:V$501,MATCH(ROW()-2,종합!$AC$3:$AC$501,0))&amp;"","")</f>
        <v/>
      </c>
      <c r="W203" s="21" t="str">
        <f aca="false">IFERROR(INDEX(종합!W$3:W$501,MATCH(ROW()-2,종합!$AC$3:$AC$501,0))&amp;"","")</f>
        <v/>
      </c>
      <c r="X203" s="21" t="str">
        <f aca="false">IFERROR(INDEX(종합!X$3:X$501,MATCH(ROW()-2,종합!$AC$3:$AC$501,0))&amp;"","")</f>
        <v/>
      </c>
      <c r="Y203" s="21" t="str">
        <f aca="false">IFERROR(INDEX(종합!Y$3:Y$501,MATCH(ROW()-2,종합!$AC$3:$AC$501,0))&amp;"","")</f>
        <v/>
      </c>
      <c r="Z203" s="21" t="str">
        <f aca="false">IFERROR(INDEX(종합!Z$3:Z$501,MATCH(ROW()-2,종합!$AC$3:$AC$501,0))&amp;"","")</f>
        <v/>
      </c>
    </row>
    <row r="204" customFormat="false" ht="16.5" hidden="false" customHeight="true" outlineLevel="0" collapsed="false">
      <c r="A204" s="18" t="str">
        <f aca="false">IF(B204="","",ROW()-2)</f>
        <v/>
      </c>
      <c r="B204" s="18" t="str">
        <f aca="false">IFERROR(INDEX(종합!B$3:B$501,MATCH(ROW()-2,종합!$AC$3:$AC$501,0))&amp;"","")</f>
        <v/>
      </c>
      <c r="C204" s="18" t="str">
        <f aca="false">IFERROR(INDEX(종합!C$3:C$501,MATCH(ROW()-2,종합!$AC$3:$AC$501,0))&amp;"","")</f>
        <v/>
      </c>
      <c r="D204" s="18" t="str">
        <f aca="false">IFERROR(INDEX(종합!D$3:D$501,MATCH(ROW()-2,종합!$AC$3:$AC$501,0))&amp;"","")</f>
        <v/>
      </c>
      <c r="E204" s="18" t="str">
        <f aca="false">IFERROR(INDEX(종합!E$3:E$501,MATCH(ROW()-2,종합!$AC$3:$AC$501,0))&amp;"","")</f>
        <v/>
      </c>
      <c r="F204" s="18" t="str">
        <f aca="false">IFERROR(INDEX(종합!F$3:F$501,MATCH(ROW()-2,종합!$AC$3:$AC$501,0))&amp;"","")</f>
        <v/>
      </c>
      <c r="G204" s="18" t="str">
        <f aca="false">IFERROR(INDEX(종합!G$3:G$501,MATCH(ROW()-2,종합!$AC$3:$AC$501,0))&amp;"","")</f>
        <v/>
      </c>
      <c r="H204" s="21" t="str">
        <f aca="false">IFERROR(INDEX(종합!H$3:H$501,MATCH(ROW()-2,종합!$AC$3:$AC$501,0))&amp;"","")</f>
        <v/>
      </c>
      <c r="I204" s="21" t="str">
        <f aca="false">IFERROR(INDEX(종합!I$3:I$501,MATCH(ROW()-2,종합!$AC$3:$AC$501,0))&amp;"","")</f>
        <v/>
      </c>
      <c r="J204" s="21" t="str">
        <f aca="false">IFERROR(INDEX(종합!J$3:J$501,MATCH(ROW()-2,종합!$AC$3:$AC$501,0))&amp;"","")</f>
        <v/>
      </c>
      <c r="K204" s="21" t="str">
        <f aca="false">IFERROR(INDEX(종합!K$3:K$501,MATCH(ROW()-2,종합!$AC$3:$AC$501,0))&amp;"","")</f>
        <v/>
      </c>
      <c r="L204" s="21" t="str">
        <f aca="false">IFERROR(INDEX(종합!L$3:L$501,MATCH(ROW()-2,종합!$AC$3:$AC$501,0))&amp;"","")</f>
        <v/>
      </c>
      <c r="M204" s="21" t="str">
        <f aca="false">IFERROR(INDEX(종합!M$3:M$501,MATCH(ROW()-2,종합!$AC$3:$AC$501,0))&amp;"","")</f>
        <v/>
      </c>
      <c r="N204" s="25" t="str">
        <f aca="false">IFERROR(INDEX(종합!N$3:N$501,MATCH(ROW()-2,종합!$AC$3:$AC$501,0))&amp;"","")</f>
        <v/>
      </c>
      <c r="O204" s="21" t="str">
        <f aca="false">IFERROR(INDEX(종합!O$3:O$501,MATCH(ROW()-2,종합!$AC$3:$AC$501,0))&amp;"","")</f>
        <v/>
      </c>
      <c r="P204" s="21" t="str">
        <f aca="false">IFERROR(INDEX(종합!P$3:P$501,MATCH(ROW()-2,종합!$AC$3:$AC$501,0))&amp;"","")</f>
        <v/>
      </c>
      <c r="Q204" s="21" t="str">
        <f aca="false">IFERROR(INDEX(종합!Q$3:Q$501,MATCH(ROW()-2,종합!$AC$3:$AC$501,0))&amp;"","")</f>
        <v/>
      </c>
      <c r="R204" s="21" t="str">
        <f aca="false">IFERROR(INDEX(종합!R$3:R$501,MATCH(ROW()-2,종합!$AC$3:$AC$501,0))&amp;"","")</f>
        <v/>
      </c>
      <c r="S204" s="21" t="str">
        <f aca="false">IFERROR(INDEX(종합!S$3:S$501,MATCH(ROW()-2,종합!$AC$3:$AC$501,0))&amp;"","")</f>
        <v/>
      </c>
      <c r="T204" s="21" t="str">
        <f aca="false">IFERROR(INDEX(종합!T$3:T$501,MATCH(ROW()-2,종합!$AC$3:$AC$501,0))&amp;"","")</f>
        <v/>
      </c>
      <c r="U204" s="21" t="str">
        <f aca="false">IFERROR(INDEX(종합!U$3:U$501,MATCH(ROW()-2,종합!$AC$3:$AC$501,0))&amp;"","")</f>
        <v/>
      </c>
      <c r="V204" s="21" t="str">
        <f aca="false">IFERROR(INDEX(종합!V$3:V$501,MATCH(ROW()-2,종합!$AC$3:$AC$501,0))&amp;"","")</f>
        <v/>
      </c>
      <c r="W204" s="21" t="str">
        <f aca="false">IFERROR(INDEX(종합!W$3:W$501,MATCH(ROW()-2,종합!$AC$3:$AC$501,0))&amp;"","")</f>
        <v/>
      </c>
      <c r="X204" s="21" t="str">
        <f aca="false">IFERROR(INDEX(종합!X$3:X$501,MATCH(ROW()-2,종합!$AC$3:$AC$501,0))&amp;"","")</f>
        <v/>
      </c>
      <c r="Y204" s="21" t="str">
        <f aca="false">IFERROR(INDEX(종합!Y$3:Y$501,MATCH(ROW()-2,종합!$AC$3:$AC$501,0))&amp;"","")</f>
        <v/>
      </c>
      <c r="Z204" s="21" t="str">
        <f aca="false">IFERROR(INDEX(종합!Z$3:Z$501,MATCH(ROW()-2,종합!$AC$3:$AC$501,0))&amp;"","")</f>
        <v/>
      </c>
    </row>
    <row r="205" customFormat="false" ht="16.5" hidden="false" customHeight="true" outlineLevel="0" collapsed="false">
      <c r="A205" s="18" t="str">
        <f aca="false">IF(B205="","",ROW()-2)</f>
        <v/>
      </c>
      <c r="B205" s="18" t="str">
        <f aca="false">IFERROR(INDEX(종합!B$3:B$501,MATCH(ROW()-2,종합!$AC$3:$AC$501,0))&amp;"","")</f>
        <v/>
      </c>
      <c r="C205" s="18" t="str">
        <f aca="false">IFERROR(INDEX(종합!C$3:C$501,MATCH(ROW()-2,종합!$AC$3:$AC$501,0))&amp;"","")</f>
        <v/>
      </c>
      <c r="D205" s="18" t="str">
        <f aca="false">IFERROR(INDEX(종합!D$3:D$501,MATCH(ROW()-2,종합!$AC$3:$AC$501,0))&amp;"","")</f>
        <v/>
      </c>
      <c r="E205" s="18" t="str">
        <f aca="false">IFERROR(INDEX(종합!E$3:E$501,MATCH(ROW()-2,종합!$AC$3:$AC$501,0))&amp;"","")</f>
        <v/>
      </c>
      <c r="F205" s="18" t="str">
        <f aca="false">IFERROR(INDEX(종합!F$3:F$501,MATCH(ROW()-2,종합!$AC$3:$AC$501,0))&amp;"","")</f>
        <v/>
      </c>
      <c r="G205" s="18" t="str">
        <f aca="false">IFERROR(INDEX(종합!G$3:G$501,MATCH(ROW()-2,종합!$AC$3:$AC$501,0))&amp;"","")</f>
        <v/>
      </c>
      <c r="H205" s="21" t="str">
        <f aca="false">IFERROR(INDEX(종합!H$3:H$501,MATCH(ROW()-2,종합!$AC$3:$AC$501,0))&amp;"","")</f>
        <v/>
      </c>
      <c r="I205" s="21" t="str">
        <f aca="false">IFERROR(INDEX(종합!I$3:I$501,MATCH(ROW()-2,종합!$AC$3:$AC$501,0))&amp;"","")</f>
        <v/>
      </c>
      <c r="J205" s="21" t="str">
        <f aca="false">IFERROR(INDEX(종합!J$3:J$501,MATCH(ROW()-2,종합!$AC$3:$AC$501,0))&amp;"","")</f>
        <v/>
      </c>
      <c r="K205" s="21" t="str">
        <f aca="false">IFERROR(INDEX(종합!K$3:K$501,MATCH(ROW()-2,종합!$AC$3:$AC$501,0))&amp;"","")</f>
        <v/>
      </c>
      <c r="L205" s="21" t="str">
        <f aca="false">IFERROR(INDEX(종합!L$3:L$501,MATCH(ROW()-2,종합!$AC$3:$AC$501,0))&amp;"","")</f>
        <v/>
      </c>
      <c r="M205" s="21" t="str">
        <f aca="false">IFERROR(INDEX(종합!M$3:M$501,MATCH(ROW()-2,종합!$AC$3:$AC$501,0))&amp;"","")</f>
        <v/>
      </c>
      <c r="N205" s="25" t="str">
        <f aca="false">IFERROR(INDEX(종합!N$3:N$501,MATCH(ROW()-2,종합!$AC$3:$AC$501,0))&amp;"","")</f>
        <v/>
      </c>
      <c r="O205" s="21" t="str">
        <f aca="false">IFERROR(INDEX(종합!O$3:O$501,MATCH(ROW()-2,종합!$AC$3:$AC$501,0))&amp;"","")</f>
        <v/>
      </c>
      <c r="P205" s="21" t="str">
        <f aca="false">IFERROR(INDEX(종합!P$3:P$501,MATCH(ROW()-2,종합!$AC$3:$AC$501,0))&amp;"","")</f>
        <v/>
      </c>
      <c r="Q205" s="21" t="str">
        <f aca="false">IFERROR(INDEX(종합!Q$3:Q$501,MATCH(ROW()-2,종합!$AC$3:$AC$501,0))&amp;"","")</f>
        <v/>
      </c>
      <c r="R205" s="21" t="str">
        <f aca="false">IFERROR(INDEX(종합!R$3:R$501,MATCH(ROW()-2,종합!$AC$3:$AC$501,0))&amp;"","")</f>
        <v/>
      </c>
      <c r="S205" s="21" t="str">
        <f aca="false">IFERROR(INDEX(종합!S$3:S$501,MATCH(ROW()-2,종합!$AC$3:$AC$501,0))&amp;"","")</f>
        <v/>
      </c>
      <c r="T205" s="21" t="str">
        <f aca="false">IFERROR(INDEX(종합!T$3:T$501,MATCH(ROW()-2,종합!$AC$3:$AC$501,0))&amp;"","")</f>
        <v/>
      </c>
      <c r="U205" s="21" t="str">
        <f aca="false">IFERROR(INDEX(종합!U$3:U$501,MATCH(ROW()-2,종합!$AC$3:$AC$501,0))&amp;"","")</f>
        <v/>
      </c>
      <c r="V205" s="21" t="str">
        <f aca="false">IFERROR(INDEX(종합!V$3:V$501,MATCH(ROW()-2,종합!$AC$3:$AC$501,0))&amp;"","")</f>
        <v/>
      </c>
      <c r="W205" s="21" t="str">
        <f aca="false">IFERROR(INDEX(종합!W$3:W$501,MATCH(ROW()-2,종합!$AC$3:$AC$501,0))&amp;"","")</f>
        <v/>
      </c>
      <c r="X205" s="21" t="str">
        <f aca="false">IFERROR(INDEX(종합!X$3:X$501,MATCH(ROW()-2,종합!$AC$3:$AC$501,0))&amp;"","")</f>
        <v/>
      </c>
      <c r="Y205" s="21" t="str">
        <f aca="false">IFERROR(INDEX(종합!Y$3:Y$501,MATCH(ROW()-2,종합!$AC$3:$AC$501,0))&amp;"","")</f>
        <v/>
      </c>
      <c r="Z205" s="21" t="str">
        <f aca="false">IFERROR(INDEX(종합!Z$3:Z$501,MATCH(ROW()-2,종합!$AC$3:$AC$501,0))&amp;"","")</f>
        <v/>
      </c>
    </row>
    <row r="206" customFormat="false" ht="16.5" hidden="false" customHeight="true" outlineLevel="0" collapsed="false">
      <c r="A206" s="18" t="str">
        <f aca="false">IF(B206="","",ROW()-2)</f>
        <v/>
      </c>
      <c r="B206" s="18" t="str">
        <f aca="false">IFERROR(INDEX(종합!B$3:B$501,MATCH(ROW()-2,종합!$AC$3:$AC$501,0))&amp;"","")</f>
        <v/>
      </c>
      <c r="C206" s="18" t="str">
        <f aca="false">IFERROR(INDEX(종합!C$3:C$501,MATCH(ROW()-2,종합!$AC$3:$AC$501,0))&amp;"","")</f>
        <v/>
      </c>
      <c r="D206" s="18" t="str">
        <f aca="false">IFERROR(INDEX(종합!D$3:D$501,MATCH(ROW()-2,종합!$AC$3:$AC$501,0))&amp;"","")</f>
        <v/>
      </c>
      <c r="E206" s="18" t="str">
        <f aca="false">IFERROR(INDEX(종합!E$3:E$501,MATCH(ROW()-2,종합!$AC$3:$AC$501,0))&amp;"","")</f>
        <v/>
      </c>
      <c r="F206" s="18" t="str">
        <f aca="false">IFERROR(INDEX(종합!F$3:F$501,MATCH(ROW()-2,종합!$AC$3:$AC$501,0))&amp;"","")</f>
        <v/>
      </c>
      <c r="G206" s="18" t="str">
        <f aca="false">IFERROR(INDEX(종합!G$3:G$501,MATCH(ROW()-2,종합!$AC$3:$AC$501,0))&amp;"","")</f>
        <v/>
      </c>
      <c r="H206" s="21" t="str">
        <f aca="false">IFERROR(INDEX(종합!H$3:H$501,MATCH(ROW()-2,종합!$AC$3:$AC$501,0))&amp;"","")</f>
        <v/>
      </c>
      <c r="I206" s="21" t="str">
        <f aca="false">IFERROR(INDEX(종합!I$3:I$501,MATCH(ROW()-2,종합!$AC$3:$AC$501,0))&amp;"","")</f>
        <v/>
      </c>
      <c r="J206" s="21" t="str">
        <f aca="false">IFERROR(INDEX(종합!J$3:J$501,MATCH(ROW()-2,종합!$AC$3:$AC$501,0))&amp;"","")</f>
        <v/>
      </c>
      <c r="K206" s="21" t="str">
        <f aca="false">IFERROR(INDEX(종합!K$3:K$501,MATCH(ROW()-2,종합!$AC$3:$AC$501,0))&amp;"","")</f>
        <v/>
      </c>
      <c r="L206" s="21" t="str">
        <f aca="false">IFERROR(INDEX(종합!L$3:L$501,MATCH(ROW()-2,종합!$AC$3:$AC$501,0))&amp;"","")</f>
        <v/>
      </c>
      <c r="M206" s="21" t="str">
        <f aca="false">IFERROR(INDEX(종합!M$3:M$501,MATCH(ROW()-2,종합!$AC$3:$AC$501,0))&amp;"","")</f>
        <v/>
      </c>
      <c r="N206" s="25" t="str">
        <f aca="false">IFERROR(INDEX(종합!N$3:N$501,MATCH(ROW()-2,종합!$AC$3:$AC$501,0))&amp;"","")</f>
        <v/>
      </c>
      <c r="O206" s="21" t="str">
        <f aca="false">IFERROR(INDEX(종합!O$3:O$501,MATCH(ROW()-2,종합!$AC$3:$AC$501,0))&amp;"","")</f>
        <v/>
      </c>
      <c r="P206" s="21" t="str">
        <f aca="false">IFERROR(INDEX(종합!P$3:P$501,MATCH(ROW()-2,종합!$AC$3:$AC$501,0))&amp;"","")</f>
        <v/>
      </c>
      <c r="Q206" s="21" t="str">
        <f aca="false">IFERROR(INDEX(종합!Q$3:Q$501,MATCH(ROW()-2,종합!$AC$3:$AC$501,0))&amp;"","")</f>
        <v/>
      </c>
      <c r="R206" s="21" t="str">
        <f aca="false">IFERROR(INDEX(종합!R$3:R$501,MATCH(ROW()-2,종합!$AC$3:$AC$501,0))&amp;"","")</f>
        <v/>
      </c>
      <c r="S206" s="21" t="str">
        <f aca="false">IFERROR(INDEX(종합!S$3:S$501,MATCH(ROW()-2,종합!$AC$3:$AC$501,0))&amp;"","")</f>
        <v/>
      </c>
      <c r="T206" s="21" t="str">
        <f aca="false">IFERROR(INDEX(종합!T$3:T$501,MATCH(ROW()-2,종합!$AC$3:$AC$501,0))&amp;"","")</f>
        <v/>
      </c>
      <c r="U206" s="21" t="str">
        <f aca="false">IFERROR(INDEX(종합!U$3:U$501,MATCH(ROW()-2,종합!$AC$3:$AC$501,0))&amp;"","")</f>
        <v/>
      </c>
      <c r="V206" s="21" t="str">
        <f aca="false">IFERROR(INDEX(종합!V$3:V$501,MATCH(ROW()-2,종합!$AC$3:$AC$501,0))&amp;"","")</f>
        <v/>
      </c>
      <c r="W206" s="21" t="str">
        <f aca="false">IFERROR(INDEX(종합!W$3:W$501,MATCH(ROW()-2,종합!$AC$3:$AC$501,0))&amp;"","")</f>
        <v/>
      </c>
      <c r="X206" s="21" t="str">
        <f aca="false">IFERROR(INDEX(종합!X$3:X$501,MATCH(ROW()-2,종합!$AC$3:$AC$501,0))&amp;"","")</f>
        <v/>
      </c>
      <c r="Y206" s="21" t="str">
        <f aca="false">IFERROR(INDEX(종합!Y$3:Y$501,MATCH(ROW()-2,종합!$AC$3:$AC$501,0))&amp;"","")</f>
        <v/>
      </c>
      <c r="Z206" s="21" t="str">
        <f aca="false">IFERROR(INDEX(종합!Z$3:Z$501,MATCH(ROW()-2,종합!$AC$3:$AC$501,0))&amp;"","")</f>
        <v/>
      </c>
    </row>
    <row r="207" customFormat="false" ht="16.5" hidden="false" customHeight="true" outlineLevel="0" collapsed="false">
      <c r="A207" s="18" t="str">
        <f aca="false">IF(B207="","",ROW()-2)</f>
        <v/>
      </c>
      <c r="B207" s="18" t="str">
        <f aca="false">IFERROR(INDEX(종합!B$3:B$501,MATCH(ROW()-2,종합!$AC$3:$AC$501,0))&amp;"","")</f>
        <v/>
      </c>
      <c r="C207" s="18" t="str">
        <f aca="false">IFERROR(INDEX(종합!C$3:C$501,MATCH(ROW()-2,종합!$AC$3:$AC$501,0))&amp;"","")</f>
        <v/>
      </c>
      <c r="D207" s="18" t="str">
        <f aca="false">IFERROR(INDEX(종합!D$3:D$501,MATCH(ROW()-2,종합!$AC$3:$AC$501,0))&amp;"","")</f>
        <v/>
      </c>
      <c r="E207" s="18" t="str">
        <f aca="false">IFERROR(INDEX(종합!E$3:E$501,MATCH(ROW()-2,종합!$AC$3:$AC$501,0))&amp;"","")</f>
        <v/>
      </c>
      <c r="F207" s="18" t="str">
        <f aca="false">IFERROR(INDEX(종합!F$3:F$501,MATCH(ROW()-2,종합!$AC$3:$AC$501,0))&amp;"","")</f>
        <v/>
      </c>
      <c r="G207" s="18" t="str">
        <f aca="false">IFERROR(INDEX(종합!G$3:G$501,MATCH(ROW()-2,종합!$AC$3:$AC$501,0))&amp;"","")</f>
        <v/>
      </c>
      <c r="H207" s="21" t="str">
        <f aca="false">IFERROR(INDEX(종합!H$3:H$501,MATCH(ROW()-2,종합!$AC$3:$AC$501,0))&amp;"","")</f>
        <v/>
      </c>
      <c r="I207" s="21" t="str">
        <f aca="false">IFERROR(INDEX(종합!I$3:I$501,MATCH(ROW()-2,종합!$AC$3:$AC$501,0))&amp;"","")</f>
        <v/>
      </c>
      <c r="J207" s="21" t="str">
        <f aca="false">IFERROR(INDEX(종합!J$3:J$501,MATCH(ROW()-2,종합!$AC$3:$AC$501,0))&amp;"","")</f>
        <v/>
      </c>
      <c r="K207" s="21" t="str">
        <f aca="false">IFERROR(INDEX(종합!K$3:K$501,MATCH(ROW()-2,종합!$AC$3:$AC$501,0))&amp;"","")</f>
        <v/>
      </c>
      <c r="L207" s="21" t="str">
        <f aca="false">IFERROR(INDEX(종합!L$3:L$501,MATCH(ROW()-2,종합!$AC$3:$AC$501,0))&amp;"","")</f>
        <v/>
      </c>
      <c r="M207" s="21" t="str">
        <f aca="false">IFERROR(INDEX(종합!M$3:M$501,MATCH(ROW()-2,종합!$AC$3:$AC$501,0))&amp;"","")</f>
        <v/>
      </c>
      <c r="N207" s="25" t="str">
        <f aca="false">IFERROR(INDEX(종합!N$3:N$501,MATCH(ROW()-2,종합!$AC$3:$AC$501,0))&amp;"","")</f>
        <v/>
      </c>
      <c r="O207" s="21" t="str">
        <f aca="false">IFERROR(INDEX(종합!O$3:O$501,MATCH(ROW()-2,종합!$AC$3:$AC$501,0))&amp;"","")</f>
        <v/>
      </c>
      <c r="P207" s="21" t="str">
        <f aca="false">IFERROR(INDEX(종합!P$3:P$501,MATCH(ROW()-2,종합!$AC$3:$AC$501,0))&amp;"","")</f>
        <v/>
      </c>
      <c r="Q207" s="21" t="str">
        <f aca="false">IFERROR(INDEX(종합!Q$3:Q$501,MATCH(ROW()-2,종합!$AC$3:$AC$501,0))&amp;"","")</f>
        <v/>
      </c>
      <c r="R207" s="21" t="str">
        <f aca="false">IFERROR(INDEX(종합!R$3:R$501,MATCH(ROW()-2,종합!$AC$3:$AC$501,0))&amp;"","")</f>
        <v/>
      </c>
      <c r="S207" s="21" t="str">
        <f aca="false">IFERROR(INDEX(종합!S$3:S$501,MATCH(ROW()-2,종합!$AC$3:$AC$501,0))&amp;"","")</f>
        <v/>
      </c>
      <c r="T207" s="21" t="str">
        <f aca="false">IFERROR(INDEX(종합!T$3:T$501,MATCH(ROW()-2,종합!$AC$3:$AC$501,0))&amp;"","")</f>
        <v/>
      </c>
      <c r="U207" s="21" t="str">
        <f aca="false">IFERROR(INDEX(종합!U$3:U$501,MATCH(ROW()-2,종합!$AC$3:$AC$501,0))&amp;"","")</f>
        <v/>
      </c>
      <c r="V207" s="21" t="str">
        <f aca="false">IFERROR(INDEX(종합!V$3:V$501,MATCH(ROW()-2,종합!$AC$3:$AC$501,0))&amp;"","")</f>
        <v/>
      </c>
      <c r="W207" s="21" t="str">
        <f aca="false">IFERROR(INDEX(종합!W$3:W$501,MATCH(ROW()-2,종합!$AC$3:$AC$501,0))&amp;"","")</f>
        <v/>
      </c>
      <c r="X207" s="21" t="str">
        <f aca="false">IFERROR(INDEX(종합!X$3:X$501,MATCH(ROW()-2,종합!$AC$3:$AC$501,0))&amp;"","")</f>
        <v/>
      </c>
      <c r="Y207" s="21" t="str">
        <f aca="false">IFERROR(INDEX(종합!Y$3:Y$501,MATCH(ROW()-2,종합!$AC$3:$AC$501,0))&amp;"","")</f>
        <v/>
      </c>
      <c r="Z207" s="21" t="str">
        <f aca="false">IFERROR(INDEX(종합!Z$3:Z$501,MATCH(ROW()-2,종합!$AC$3:$AC$501,0))&amp;"","")</f>
        <v/>
      </c>
    </row>
    <row r="208" customFormat="false" ht="16.5" hidden="false" customHeight="true" outlineLevel="0" collapsed="false">
      <c r="A208" s="18" t="str">
        <f aca="false">IF(B208="","",ROW()-2)</f>
        <v/>
      </c>
      <c r="B208" s="18" t="str">
        <f aca="false">IFERROR(INDEX(종합!B$3:B$501,MATCH(ROW()-2,종합!$AC$3:$AC$501,0))&amp;"","")</f>
        <v/>
      </c>
      <c r="C208" s="18" t="str">
        <f aca="false">IFERROR(INDEX(종합!C$3:C$501,MATCH(ROW()-2,종합!$AC$3:$AC$501,0))&amp;"","")</f>
        <v/>
      </c>
      <c r="D208" s="18" t="str">
        <f aca="false">IFERROR(INDEX(종합!D$3:D$501,MATCH(ROW()-2,종합!$AC$3:$AC$501,0))&amp;"","")</f>
        <v/>
      </c>
      <c r="E208" s="18" t="str">
        <f aca="false">IFERROR(INDEX(종합!E$3:E$501,MATCH(ROW()-2,종합!$AC$3:$AC$501,0))&amp;"","")</f>
        <v/>
      </c>
      <c r="F208" s="18" t="str">
        <f aca="false">IFERROR(INDEX(종합!F$3:F$501,MATCH(ROW()-2,종합!$AC$3:$AC$501,0))&amp;"","")</f>
        <v/>
      </c>
      <c r="G208" s="18" t="str">
        <f aca="false">IFERROR(INDEX(종합!G$3:G$501,MATCH(ROW()-2,종합!$AC$3:$AC$501,0))&amp;"","")</f>
        <v/>
      </c>
      <c r="H208" s="21" t="str">
        <f aca="false">IFERROR(INDEX(종합!H$3:H$501,MATCH(ROW()-2,종합!$AC$3:$AC$501,0))&amp;"","")</f>
        <v/>
      </c>
      <c r="I208" s="21" t="str">
        <f aca="false">IFERROR(INDEX(종합!I$3:I$501,MATCH(ROW()-2,종합!$AC$3:$AC$501,0))&amp;"","")</f>
        <v/>
      </c>
      <c r="J208" s="21" t="str">
        <f aca="false">IFERROR(INDEX(종합!J$3:J$501,MATCH(ROW()-2,종합!$AC$3:$AC$501,0))&amp;"","")</f>
        <v/>
      </c>
      <c r="K208" s="21" t="str">
        <f aca="false">IFERROR(INDEX(종합!K$3:K$501,MATCH(ROW()-2,종합!$AC$3:$AC$501,0))&amp;"","")</f>
        <v/>
      </c>
      <c r="L208" s="21" t="str">
        <f aca="false">IFERROR(INDEX(종합!L$3:L$501,MATCH(ROW()-2,종합!$AC$3:$AC$501,0))&amp;"","")</f>
        <v/>
      </c>
      <c r="M208" s="21" t="str">
        <f aca="false">IFERROR(INDEX(종합!M$3:M$501,MATCH(ROW()-2,종합!$AC$3:$AC$501,0))&amp;"","")</f>
        <v/>
      </c>
      <c r="N208" s="25" t="str">
        <f aca="false">IFERROR(INDEX(종합!N$3:N$501,MATCH(ROW()-2,종합!$AC$3:$AC$501,0))&amp;"","")</f>
        <v/>
      </c>
      <c r="O208" s="21" t="str">
        <f aca="false">IFERROR(INDEX(종합!O$3:O$501,MATCH(ROW()-2,종합!$AC$3:$AC$501,0))&amp;"","")</f>
        <v/>
      </c>
      <c r="P208" s="21" t="str">
        <f aca="false">IFERROR(INDEX(종합!P$3:P$501,MATCH(ROW()-2,종합!$AC$3:$AC$501,0))&amp;"","")</f>
        <v/>
      </c>
      <c r="Q208" s="21" t="str">
        <f aca="false">IFERROR(INDEX(종합!Q$3:Q$501,MATCH(ROW()-2,종합!$AC$3:$AC$501,0))&amp;"","")</f>
        <v/>
      </c>
      <c r="R208" s="21" t="str">
        <f aca="false">IFERROR(INDEX(종합!R$3:R$501,MATCH(ROW()-2,종합!$AC$3:$AC$501,0))&amp;"","")</f>
        <v/>
      </c>
      <c r="S208" s="21" t="str">
        <f aca="false">IFERROR(INDEX(종합!S$3:S$501,MATCH(ROW()-2,종합!$AC$3:$AC$501,0))&amp;"","")</f>
        <v/>
      </c>
      <c r="T208" s="21" t="str">
        <f aca="false">IFERROR(INDEX(종합!T$3:T$501,MATCH(ROW()-2,종합!$AC$3:$AC$501,0))&amp;"","")</f>
        <v/>
      </c>
      <c r="U208" s="21" t="str">
        <f aca="false">IFERROR(INDEX(종합!U$3:U$501,MATCH(ROW()-2,종합!$AC$3:$AC$501,0))&amp;"","")</f>
        <v/>
      </c>
      <c r="V208" s="21" t="str">
        <f aca="false">IFERROR(INDEX(종합!V$3:V$501,MATCH(ROW()-2,종합!$AC$3:$AC$501,0))&amp;"","")</f>
        <v/>
      </c>
      <c r="W208" s="21" t="str">
        <f aca="false">IFERROR(INDEX(종합!W$3:W$501,MATCH(ROW()-2,종합!$AC$3:$AC$501,0))&amp;"","")</f>
        <v/>
      </c>
      <c r="X208" s="21" t="str">
        <f aca="false">IFERROR(INDEX(종합!X$3:X$501,MATCH(ROW()-2,종합!$AC$3:$AC$501,0))&amp;"","")</f>
        <v/>
      </c>
      <c r="Y208" s="21" t="str">
        <f aca="false">IFERROR(INDEX(종합!Y$3:Y$501,MATCH(ROW()-2,종합!$AC$3:$AC$501,0))&amp;"","")</f>
        <v/>
      </c>
      <c r="Z208" s="21" t="str">
        <f aca="false">IFERROR(INDEX(종합!Z$3:Z$501,MATCH(ROW()-2,종합!$AC$3:$AC$501,0))&amp;"","")</f>
        <v/>
      </c>
    </row>
    <row r="209" customFormat="false" ht="16.5" hidden="false" customHeight="true" outlineLevel="0" collapsed="false">
      <c r="A209" s="18" t="str">
        <f aca="false">IF(B209="","",ROW()-2)</f>
        <v/>
      </c>
      <c r="B209" s="18" t="str">
        <f aca="false">IFERROR(INDEX(종합!B$3:B$501,MATCH(ROW()-2,종합!$AC$3:$AC$501,0))&amp;"","")</f>
        <v/>
      </c>
      <c r="C209" s="18" t="str">
        <f aca="false">IFERROR(INDEX(종합!C$3:C$501,MATCH(ROW()-2,종합!$AC$3:$AC$501,0))&amp;"","")</f>
        <v/>
      </c>
      <c r="D209" s="18" t="str">
        <f aca="false">IFERROR(INDEX(종합!D$3:D$501,MATCH(ROW()-2,종합!$AC$3:$AC$501,0))&amp;"","")</f>
        <v/>
      </c>
      <c r="E209" s="18" t="str">
        <f aca="false">IFERROR(INDEX(종합!E$3:E$501,MATCH(ROW()-2,종합!$AC$3:$AC$501,0))&amp;"","")</f>
        <v/>
      </c>
      <c r="F209" s="18" t="str">
        <f aca="false">IFERROR(INDEX(종합!F$3:F$501,MATCH(ROW()-2,종합!$AC$3:$AC$501,0))&amp;"","")</f>
        <v/>
      </c>
      <c r="G209" s="18" t="str">
        <f aca="false">IFERROR(INDEX(종합!G$3:G$501,MATCH(ROW()-2,종합!$AC$3:$AC$501,0))&amp;"","")</f>
        <v/>
      </c>
      <c r="H209" s="21" t="str">
        <f aca="false">IFERROR(INDEX(종합!H$3:H$501,MATCH(ROW()-2,종합!$AC$3:$AC$501,0))&amp;"","")</f>
        <v/>
      </c>
      <c r="I209" s="21" t="str">
        <f aca="false">IFERROR(INDEX(종합!I$3:I$501,MATCH(ROW()-2,종합!$AC$3:$AC$501,0))&amp;"","")</f>
        <v/>
      </c>
      <c r="J209" s="21" t="str">
        <f aca="false">IFERROR(INDEX(종합!J$3:J$501,MATCH(ROW()-2,종합!$AC$3:$AC$501,0))&amp;"","")</f>
        <v/>
      </c>
      <c r="K209" s="21" t="str">
        <f aca="false">IFERROR(INDEX(종합!K$3:K$501,MATCH(ROW()-2,종합!$AC$3:$AC$501,0))&amp;"","")</f>
        <v/>
      </c>
      <c r="L209" s="21" t="str">
        <f aca="false">IFERROR(INDEX(종합!L$3:L$501,MATCH(ROW()-2,종합!$AC$3:$AC$501,0))&amp;"","")</f>
        <v/>
      </c>
      <c r="M209" s="21" t="str">
        <f aca="false">IFERROR(INDEX(종합!M$3:M$501,MATCH(ROW()-2,종합!$AC$3:$AC$501,0))&amp;"","")</f>
        <v/>
      </c>
      <c r="N209" s="25" t="str">
        <f aca="false">IFERROR(INDEX(종합!N$3:N$501,MATCH(ROW()-2,종합!$AC$3:$AC$501,0))&amp;"","")</f>
        <v/>
      </c>
      <c r="O209" s="21" t="str">
        <f aca="false">IFERROR(INDEX(종합!O$3:O$501,MATCH(ROW()-2,종합!$AC$3:$AC$501,0))&amp;"","")</f>
        <v/>
      </c>
      <c r="P209" s="21" t="str">
        <f aca="false">IFERROR(INDEX(종합!P$3:P$501,MATCH(ROW()-2,종합!$AC$3:$AC$501,0))&amp;"","")</f>
        <v/>
      </c>
      <c r="Q209" s="21" t="str">
        <f aca="false">IFERROR(INDEX(종합!Q$3:Q$501,MATCH(ROW()-2,종합!$AC$3:$AC$501,0))&amp;"","")</f>
        <v/>
      </c>
      <c r="R209" s="21" t="str">
        <f aca="false">IFERROR(INDEX(종합!R$3:R$501,MATCH(ROW()-2,종합!$AC$3:$AC$501,0))&amp;"","")</f>
        <v/>
      </c>
      <c r="S209" s="21" t="str">
        <f aca="false">IFERROR(INDEX(종합!S$3:S$501,MATCH(ROW()-2,종합!$AC$3:$AC$501,0))&amp;"","")</f>
        <v/>
      </c>
      <c r="T209" s="21" t="str">
        <f aca="false">IFERROR(INDEX(종합!T$3:T$501,MATCH(ROW()-2,종합!$AC$3:$AC$501,0))&amp;"","")</f>
        <v/>
      </c>
      <c r="U209" s="21" t="str">
        <f aca="false">IFERROR(INDEX(종합!U$3:U$501,MATCH(ROW()-2,종합!$AC$3:$AC$501,0))&amp;"","")</f>
        <v/>
      </c>
      <c r="V209" s="21" t="str">
        <f aca="false">IFERROR(INDEX(종합!V$3:V$501,MATCH(ROW()-2,종합!$AC$3:$AC$501,0))&amp;"","")</f>
        <v/>
      </c>
      <c r="W209" s="21" t="str">
        <f aca="false">IFERROR(INDEX(종합!W$3:W$501,MATCH(ROW()-2,종합!$AC$3:$AC$501,0))&amp;"","")</f>
        <v/>
      </c>
      <c r="X209" s="21" t="str">
        <f aca="false">IFERROR(INDEX(종합!X$3:X$501,MATCH(ROW()-2,종합!$AC$3:$AC$501,0))&amp;"","")</f>
        <v/>
      </c>
      <c r="Y209" s="21" t="str">
        <f aca="false">IFERROR(INDEX(종합!Y$3:Y$501,MATCH(ROW()-2,종합!$AC$3:$AC$501,0))&amp;"","")</f>
        <v/>
      </c>
      <c r="Z209" s="21" t="str">
        <f aca="false">IFERROR(INDEX(종합!Z$3:Z$501,MATCH(ROW()-2,종합!$AC$3:$AC$501,0))&amp;"","")</f>
        <v/>
      </c>
    </row>
    <row r="210" customFormat="false" ht="16.5" hidden="false" customHeight="true" outlineLevel="0" collapsed="false">
      <c r="A210" s="18" t="str">
        <f aca="false">IF(B210="","",ROW()-2)</f>
        <v/>
      </c>
      <c r="B210" s="18" t="str">
        <f aca="false">IFERROR(INDEX(종합!B$3:B$501,MATCH(ROW()-2,종합!$AC$3:$AC$501,0))&amp;"","")</f>
        <v/>
      </c>
      <c r="C210" s="18" t="str">
        <f aca="false">IFERROR(INDEX(종합!C$3:C$501,MATCH(ROW()-2,종합!$AC$3:$AC$501,0))&amp;"","")</f>
        <v/>
      </c>
      <c r="D210" s="18" t="str">
        <f aca="false">IFERROR(INDEX(종합!D$3:D$501,MATCH(ROW()-2,종합!$AC$3:$AC$501,0))&amp;"","")</f>
        <v/>
      </c>
      <c r="E210" s="18" t="str">
        <f aca="false">IFERROR(INDEX(종합!E$3:E$501,MATCH(ROW()-2,종합!$AC$3:$AC$501,0))&amp;"","")</f>
        <v/>
      </c>
      <c r="F210" s="18" t="str">
        <f aca="false">IFERROR(INDEX(종합!F$3:F$501,MATCH(ROW()-2,종합!$AC$3:$AC$501,0))&amp;"","")</f>
        <v/>
      </c>
      <c r="G210" s="18" t="str">
        <f aca="false">IFERROR(INDEX(종합!G$3:G$501,MATCH(ROW()-2,종합!$AC$3:$AC$501,0))&amp;"","")</f>
        <v/>
      </c>
      <c r="H210" s="21" t="str">
        <f aca="false">IFERROR(INDEX(종합!H$3:H$501,MATCH(ROW()-2,종합!$AC$3:$AC$501,0))&amp;"","")</f>
        <v/>
      </c>
      <c r="I210" s="21" t="str">
        <f aca="false">IFERROR(INDEX(종합!I$3:I$501,MATCH(ROW()-2,종합!$AC$3:$AC$501,0))&amp;"","")</f>
        <v/>
      </c>
      <c r="J210" s="21" t="str">
        <f aca="false">IFERROR(INDEX(종합!J$3:J$501,MATCH(ROW()-2,종합!$AC$3:$AC$501,0))&amp;"","")</f>
        <v/>
      </c>
      <c r="K210" s="21" t="str">
        <f aca="false">IFERROR(INDEX(종합!K$3:K$501,MATCH(ROW()-2,종합!$AC$3:$AC$501,0))&amp;"","")</f>
        <v/>
      </c>
      <c r="L210" s="21" t="str">
        <f aca="false">IFERROR(INDEX(종합!L$3:L$501,MATCH(ROW()-2,종합!$AC$3:$AC$501,0))&amp;"","")</f>
        <v/>
      </c>
      <c r="M210" s="21" t="str">
        <f aca="false">IFERROR(INDEX(종합!M$3:M$501,MATCH(ROW()-2,종합!$AC$3:$AC$501,0))&amp;"","")</f>
        <v/>
      </c>
      <c r="N210" s="25" t="str">
        <f aca="false">IFERROR(INDEX(종합!N$3:N$501,MATCH(ROW()-2,종합!$AC$3:$AC$501,0))&amp;"","")</f>
        <v/>
      </c>
      <c r="O210" s="21" t="str">
        <f aca="false">IFERROR(INDEX(종합!O$3:O$501,MATCH(ROW()-2,종합!$AC$3:$AC$501,0))&amp;"","")</f>
        <v/>
      </c>
      <c r="P210" s="21" t="str">
        <f aca="false">IFERROR(INDEX(종합!P$3:P$501,MATCH(ROW()-2,종합!$AC$3:$AC$501,0))&amp;"","")</f>
        <v/>
      </c>
      <c r="Q210" s="21" t="str">
        <f aca="false">IFERROR(INDEX(종합!Q$3:Q$501,MATCH(ROW()-2,종합!$AC$3:$AC$501,0))&amp;"","")</f>
        <v/>
      </c>
      <c r="R210" s="21" t="str">
        <f aca="false">IFERROR(INDEX(종합!R$3:R$501,MATCH(ROW()-2,종합!$AC$3:$AC$501,0))&amp;"","")</f>
        <v/>
      </c>
      <c r="S210" s="21" t="str">
        <f aca="false">IFERROR(INDEX(종합!S$3:S$501,MATCH(ROW()-2,종합!$AC$3:$AC$501,0))&amp;"","")</f>
        <v/>
      </c>
      <c r="T210" s="21" t="str">
        <f aca="false">IFERROR(INDEX(종합!T$3:T$501,MATCH(ROW()-2,종합!$AC$3:$AC$501,0))&amp;"","")</f>
        <v/>
      </c>
      <c r="U210" s="21" t="str">
        <f aca="false">IFERROR(INDEX(종합!U$3:U$501,MATCH(ROW()-2,종합!$AC$3:$AC$501,0))&amp;"","")</f>
        <v/>
      </c>
      <c r="V210" s="21" t="str">
        <f aca="false">IFERROR(INDEX(종합!V$3:V$501,MATCH(ROW()-2,종합!$AC$3:$AC$501,0))&amp;"","")</f>
        <v/>
      </c>
      <c r="W210" s="21" t="str">
        <f aca="false">IFERROR(INDEX(종합!W$3:W$501,MATCH(ROW()-2,종합!$AC$3:$AC$501,0))&amp;"","")</f>
        <v/>
      </c>
      <c r="X210" s="21" t="str">
        <f aca="false">IFERROR(INDEX(종합!X$3:X$501,MATCH(ROW()-2,종합!$AC$3:$AC$501,0))&amp;"","")</f>
        <v/>
      </c>
      <c r="Y210" s="21" t="str">
        <f aca="false">IFERROR(INDEX(종합!Y$3:Y$501,MATCH(ROW()-2,종합!$AC$3:$AC$501,0))&amp;"","")</f>
        <v/>
      </c>
      <c r="Z210" s="21" t="str">
        <f aca="false">IFERROR(INDEX(종합!Z$3:Z$501,MATCH(ROW()-2,종합!$AC$3:$AC$501,0))&amp;"","")</f>
        <v/>
      </c>
    </row>
    <row r="211" customFormat="false" ht="16.5" hidden="false" customHeight="true" outlineLevel="0" collapsed="false">
      <c r="A211" s="18" t="str">
        <f aca="false">IF(B211="","",ROW()-2)</f>
        <v/>
      </c>
      <c r="B211" s="18" t="str">
        <f aca="false">IFERROR(INDEX(종합!B$3:B$501,MATCH(ROW()-2,종합!$AC$3:$AC$501,0))&amp;"","")</f>
        <v/>
      </c>
      <c r="C211" s="18" t="str">
        <f aca="false">IFERROR(INDEX(종합!C$3:C$501,MATCH(ROW()-2,종합!$AC$3:$AC$501,0))&amp;"","")</f>
        <v/>
      </c>
      <c r="D211" s="18" t="str">
        <f aca="false">IFERROR(INDEX(종합!D$3:D$501,MATCH(ROW()-2,종합!$AC$3:$AC$501,0))&amp;"","")</f>
        <v/>
      </c>
      <c r="E211" s="18" t="str">
        <f aca="false">IFERROR(INDEX(종합!E$3:E$501,MATCH(ROW()-2,종합!$AC$3:$AC$501,0))&amp;"","")</f>
        <v/>
      </c>
      <c r="F211" s="18" t="str">
        <f aca="false">IFERROR(INDEX(종합!F$3:F$501,MATCH(ROW()-2,종합!$AC$3:$AC$501,0))&amp;"","")</f>
        <v/>
      </c>
      <c r="G211" s="18" t="str">
        <f aca="false">IFERROR(INDEX(종합!G$3:G$501,MATCH(ROW()-2,종합!$AC$3:$AC$501,0))&amp;"","")</f>
        <v/>
      </c>
      <c r="H211" s="21" t="str">
        <f aca="false">IFERROR(INDEX(종합!H$3:H$501,MATCH(ROW()-2,종합!$AC$3:$AC$501,0))&amp;"","")</f>
        <v/>
      </c>
      <c r="I211" s="21" t="str">
        <f aca="false">IFERROR(INDEX(종합!I$3:I$501,MATCH(ROW()-2,종합!$AC$3:$AC$501,0))&amp;"","")</f>
        <v/>
      </c>
      <c r="J211" s="21" t="str">
        <f aca="false">IFERROR(INDEX(종합!J$3:J$501,MATCH(ROW()-2,종합!$AC$3:$AC$501,0))&amp;"","")</f>
        <v/>
      </c>
      <c r="K211" s="21" t="str">
        <f aca="false">IFERROR(INDEX(종합!K$3:K$501,MATCH(ROW()-2,종합!$AC$3:$AC$501,0))&amp;"","")</f>
        <v/>
      </c>
      <c r="L211" s="21" t="str">
        <f aca="false">IFERROR(INDEX(종합!L$3:L$501,MATCH(ROW()-2,종합!$AC$3:$AC$501,0))&amp;"","")</f>
        <v/>
      </c>
      <c r="M211" s="21" t="str">
        <f aca="false">IFERROR(INDEX(종합!M$3:M$501,MATCH(ROW()-2,종합!$AC$3:$AC$501,0))&amp;"","")</f>
        <v/>
      </c>
      <c r="N211" s="25" t="str">
        <f aca="false">IFERROR(INDEX(종합!N$3:N$501,MATCH(ROW()-2,종합!$AC$3:$AC$501,0))&amp;"","")</f>
        <v/>
      </c>
      <c r="O211" s="21" t="str">
        <f aca="false">IFERROR(INDEX(종합!O$3:O$501,MATCH(ROW()-2,종합!$AC$3:$AC$501,0))&amp;"","")</f>
        <v/>
      </c>
      <c r="P211" s="21" t="str">
        <f aca="false">IFERROR(INDEX(종합!P$3:P$501,MATCH(ROW()-2,종합!$AC$3:$AC$501,0))&amp;"","")</f>
        <v/>
      </c>
      <c r="Q211" s="21" t="str">
        <f aca="false">IFERROR(INDEX(종합!Q$3:Q$501,MATCH(ROW()-2,종합!$AC$3:$AC$501,0))&amp;"","")</f>
        <v/>
      </c>
      <c r="R211" s="21" t="str">
        <f aca="false">IFERROR(INDEX(종합!R$3:R$501,MATCH(ROW()-2,종합!$AC$3:$AC$501,0))&amp;"","")</f>
        <v/>
      </c>
      <c r="S211" s="21" t="str">
        <f aca="false">IFERROR(INDEX(종합!S$3:S$501,MATCH(ROW()-2,종합!$AC$3:$AC$501,0))&amp;"","")</f>
        <v/>
      </c>
      <c r="T211" s="21" t="str">
        <f aca="false">IFERROR(INDEX(종합!T$3:T$501,MATCH(ROW()-2,종합!$AC$3:$AC$501,0))&amp;"","")</f>
        <v/>
      </c>
      <c r="U211" s="21" t="str">
        <f aca="false">IFERROR(INDEX(종합!U$3:U$501,MATCH(ROW()-2,종합!$AC$3:$AC$501,0))&amp;"","")</f>
        <v/>
      </c>
      <c r="V211" s="21" t="str">
        <f aca="false">IFERROR(INDEX(종합!V$3:V$501,MATCH(ROW()-2,종합!$AC$3:$AC$501,0))&amp;"","")</f>
        <v/>
      </c>
      <c r="W211" s="21" t="str">
        <f aca="false">IFERROR(INDEX(종합!W$3:W$501,MATCH(ROW()-2,종합!$AC$3:$AC$501,0))&amp;"","")</f>
        <v/>
      </c>
      <c r="X211" s="21" t="str">
        <f aca="false">IFERROR(INDEX(종합!X$3:X$501,MATCH(ROW()-2,종합!$AC$3:$AC$501,0))&amp;"","")</f>
        <v/>
      </c>
      <c r="Y211" s="21" t="str">
        <f aca="false">IFERROR(INDEX(종합!Y$3:Y$501,MATCH(ROW()-2,종합!$AC$3:$AC$501,0))&amp;"","")</f>
        <v/>
      </c>
      <c r="Z211" s="21" t="str">
        <f aca="false">IFERROR(INDEX(종합!Z$3:Z$501,MATCH(ROW()-2,종합!$AC$3:$AC$501,0))&amp;"","")</f>
        <v/>
      </c>
    </row>
    <row r="212" customFormat="false" ht="16.5" hidden="false" customHeight="true" outlineLevel="0" collapsed="false">
      <c r="A212" s="18" t="str">
        <f aca="false">IF(B212="","",ROW()-2)</f>
        <v/>
      </c>
      <c r="B212" s="18" t="str">
        <f aca="false">IFERROR(INDEX(종합!B$3:B$501,MATCH(ROW()-2,종합!$AC$3:$AC$501,0))&amp;"","")</f>
        <v/>
      </c>
      <c r="C212" s="18" t="str">
        <f aca="false">IFERROR(INDEX(종합!C$3:C$501,MATCH(ROW()-2,종합!$AC$3:$AC$501,0))&amp;"","")</f>
        <v/>
      </c>
      <c r="D212" s="18" t="str">
        <f aca="false">IFERROR(INDEX(종합!D$3:D$501,MATCH(ROW()-2,종합!$AC$3:$AC$501,0))&amp;"","")</f>
        <v/>
      </c>
      <c r="E212" s="18" t="str">
        <f aca="false">IFERROR(INDEX(종합!E$3:E$501,MATCH(ROW()-2,종합!$AC$3:$AC$501,0))&amp;"","")</f>
        <v/>
      </c>
      <c r="F212" s="18" t="str">
        <f aca="false">IFERROR(INDEX(종합!F$3:F$501,MATCH(ROW()-2,종합!$AC$3:$AC$501,0))&amp;"","")</f>
        <v/>
      </c>
      <c r="G212" s="18" t="str">
        <f aca="false">IFERROR(INDEX(종합!G$3:G$501,MATCH(ROW()-2,종합!$AC$3:$AC$501,0))&amp;"","")</f>
        <v/>
      </c>
      <c r="H212" s="21" t="str">
        <f aca="false">IFERROR(INDEX(종합!H$3:H$501,MATCH(ROW()-2,종합!$AC$3:$AC$501,0))&amp;"","")</f>
        <v/>
      </c>
      <c r="I212" s="21" t="str">
        <f aca="false">IFERROR(INDEX(종합!I$3:I$501,MATCH(ROW()-2,종합!$AC$3:$AC$501,0))&amp;"","")</f>
        <v/>
      </c>
      <c r="J212" s="21" t="str">
        <f aca="false">IFERROR(INDEX(종합!J$3:J$501,MATCH(ROW()-2,종합!$AC$3:$AC$501,0))&amp;"","")</f>
        <v/>
      </c>
      <c r="K212" s="21" t="str">
        <f aca="false">IFERROR(INDEX(종합!K$3:K$501,MATCH(ROW()-2,종합!$AC$3:$AC$501,0))&amp;"","")</f>
        <v/>
      </c>
      <c r="L212" s="21" t="str">
        <f aca="false">IFERROR(INDEX(종합!L$3:L$501,MATCH(ROW()-2,종합!$AC$3:$AC$501,0))&amp;"","")</f>
        <v/>
      </c>
      <c r="M212" s="21" t="str">
        <f aca="false">IFERROR(INDEX(종합!M$3:M$501,MATCH(ROW()-2,종합!$AC$3:$AC$501,0))&amp;"","")</f>
        <v/>
      </c>
      <c r="N212" s="25" t="str">
        <f aca="false">IFERROR(INDEX(종합!N$3:N$501,MATCH(ROW()-2,종합!$AC$3:$AC$501,0))&amp;"","")</f>
        <v/>
      </c>
      <c r="O212" s="21" t="str">
        <f aca="false">IFERROR(INDEX(종합!O$3:O$501,MATCH(ROW()-2,종합!$AC$3:$AC$501,0))&amp;"","")</f>
        <v/>
      </c>
      <c r="P212" s="21" t="str">
        <f aca="false">IFERROR(INDEX(종합!P$3:P$501,MATCH(ROW()-2,종합!$AC$3:$AC$501,0))&amp;"","")</f>
        <v/>
      </c>
      <c r="Q212" s="21" t="str">
        <f aca="false">IFERROR(INDEX(종합!Q$3:Q$501,MATCH(ROW()-2,종합!$AC$3:$AC$501,0))&amp;"","")</f>
        <v/>
      </c>
      <c r="R212" s="21" t="str">
        <f aca="false">IFERROR(INDEX(종합!R$3:R$501,MATCH(ROW()-2,종합!$AC$3:$AC$501,0))&amp;"","")</f>
        <v/>
      </c>
      <c r="S212" s="21" t="str">
        <f aca="false">IFERROR(INDEX(종합!S$3:S$501,MATCH(ROW()-2,종합!$AC$3:$AC$501,0))&amp;"","")</f>
        <v/>
      </c>
      <c r="T212" s="21" t="str">
        <f aca="false">IFERROR(INDEX(종합!T$3:T$501,MATCH(ROW()-2,종합!$AC$3:$AC$501,0))&amp;"","")</f>
        <v/>
      </c>
      <c r="U212" s="21" t="str">
        <f aca="false">IFERROR(INDEX(종합!U$3:U$501,MATCH(ROW()-2,종합!$AC$3:$AC$501,0))&amp;"","")</f>
        <v/>
      </c>
      <c r="V212" s="21" t="str">
        <f aca="false">IFERROR(INDEX(종합!V$3:V$501,MATCH(ROW()-2,종합!$AC$3:$AC$501,0))&amp;"","")</f>
        <v/>
      </c>
      <c r="W212" s="21" t="str">
        <f aca="false">IFERROR(INDEX(종합!W$3:W$501,MATCH(ROW()-2,종합!$AC$3:$AC$501,0))&amp;"","")</f>
        <v/>
      </c>
      <c r="X212" s="21" t="str">
        <f aca="false">IFERROR(INDEX(종합!X$3:X$501,MATCH(ROW()-2,종합!$AC$3:$AC$501,0))&amp;"","")</f>
        <v/>
      </c>
      <c r="Y212" s="21" t="str">
        <f aca="false">IFERROR(INDEX(종합!Y$3:Y$501,MATCH(ROW()-2,종합!$AC$3:$AC$501,0))&amp;"","")</f>
        <v/>
      </c>
      <c r="Z212" s="21" t="str">
        <f aca="false">IFERROR(INDEX(종합!Z$3:Z$501,MATCH(ROW()-2,종합!$AC$3:$AC$501,0))&amp;"","")</f>
        <v/>
      </c>
    </row>
    <row r="213" customFormat="false" ht="16.5" hidden="false" customHeight="true" outlineLevel="0" collapsed="false">
      <c r="A213" s="18" t="str">
        <f aca="false">IF(B213="","",ROW()-2)</f>
        <v/>
      </c>
      <c r="B213" s="18" t="str">
        <f aca="false">IFERROR(INDEX(종합!B$3:B$501,MATCH(ROW()-2,종합!$AC$3:$AC$501,0))&amp;"","")</f>
        <v/>
      </c>
      <c r="C213" s="18" t="str">
        <f aca="false">IFERROR(INDEX(종합!C$3:C$501,MATCH(ROW()-2,종합!$AC$3:$AC$501,0))&amp;"","")</f>
        <v/>
      </c>
      <c r="D213" s="18" t="str">
        <f aca="false">IFERROR(INDEX(종합!D$3:D$501,MATCH(ROW()-2,종합!$AC$3:$AC$501,0))&amp;"","")</f>
        <v/>
      </c>
      <c r="E213" s="18" t="str">
        <f aca="false">IFERROR(INDEX(종합!E$3:E$501,MATCH(ROW()-2,종합!$AC$3:$AC$501,0))&amp;"","")</f>
        <v/>
      </c>
      <c r="F213" s="18" t="str">
        <f aca="false">IFERROR(INDEX(종합!F$3:F$501,MATCH(ROW()-2,종합!$AC$3:$AC$501,0))&amp;"","")</f>
        <v/>
      </c>
      <c r="G213" s="18" t="str">
        <f aca="false">IFERROR(INDEX(종합!G$3:G$501,MATCH(ROW()-2,종합!$AC$3:$AC$501,0))&amp;"","")</f>
        <v/>
      </c>
      <c r="H213" s="21" t="str">
        <f aca="false">IFERROR(INDEX(종합!H$3:H$501,MATCH(ROW()-2,종합!$AC$3:$AC$501,0))&amp;"","")</f>
        <v/>
      </c>
      <c r="I213" s="21" t="str">
        <f aca="false">IFERROR(INDEX(종합!I$3:I$501,MATCH(ROW()-2,종합!$AC$3:$AC$501,0))&amp;"","")</f>
        <v/>
      </c>
      <c r="J213" s="21" t="str">
        <f aca="false">IFERROR(INDEX(종합!J$3:J$501,MATCH(ROW()-2,종합!$AC$3:$AC$501,0))&amp;"","")</f>
        <v/>
      </c>
      <c r="K213" s="21" t="str">
        <f aca="false">IFERROR(INDEX(종합!K$3:K$501,MATCH(ROW()-2,종합!$AC$3:$AC$501,0))&amp;"","")</f>
        <v/>
      </c>
      <c r="L213" s="21" t="str">
        <f aca="false">IFERROR(INDEX(종합!L$3:L$501,MATCH(ROW()-2,종합!$AC$3:$AC$501,0))&amp;"","")</f>
        <v/>
      </c>
      <c r="M213" s="21" t="str">
        <f aca="false">IFERROR(INDEX(종합!M$3:M$501,MATCH(ROW()-2,종합!$AC$3:$AC$501,0))&amp;"","")</f>
        <v/>
      </c>
      <c r="N213" s="25" t="str">
        <f aca="false">IFERROR(INDEX(종합!N$3:N$501,MATCH(ROW()-2,종합!$AC$3:$AC$501,0))&amp;"","")</f>
        <v/>
      </c>
      <c r="O213" s="21" t="str">
        <f aca="false">IFERROR(INDEX(종합!O$3:O$501,MATCH(ROW()-2,종합!$AC$3:$AC$501,0))&amp;"","")</f>
        <v/>
      </c>
      <c r="P213" s="21" t="str">
        <f aca="false">IFERROR(INDEX(종합!P$3:P$501,MATCH(ROW()-2,종합!$AC$3:$AC$501,0))&amp;"","")</f>
        <v/>
      </c>
      <c r="Q213" s="21" t="str">
        <f aca="false">IFERROR(INDEX(종합!Q$3:Q$501,MATCH(ROW()-2,종합!$AC$3:$AC$501,0))&amp;"","")</f>
        <v/>
      </c>
      <c r="R213" s="21" t="str">
        <f aca="false">IFERROR(INDEX(종합!R$3:R$501,MATCH(ROW()-2,종합!$AC$3:$AC$501,0))&amp;"","")</f>
        <v/>
      </c>
      <c r="S213" s="21" t="str">
        <f aca="false">IFERROR(INDEX(종합!S$3:S$501,MATCH(ROW()-2,종합!$AC$3:$AC$501,0))&amp;"","")</f>
        <v/>
      </c>
      <c r="T213" s="21" t="str">
        <f aca="false">IFERROR(INDEX(종합!T$3:T$501,MATCH(ROW()-2,종합!$AC$3:$AC$501,0))&amp;"","")</f>
        <v/>
      </c>
      <c r="U213" s="21" t="str">
        <f aca="false">IFERROR(INDEX(종합!U$3:U$501,MATCH(ROW()-2,종합!$AC$3:$AC$501,0))&amp;"","")</f>
        <v/>
      </c>
      <c r="V213" s="21" t="str">
        <f aca="false">IFERROR(INDEX(종합!V$3:V$501,MATCH(ROW()-2,종합!$AC$3:$AC$501,0))&amp;"","")</f>
        <v/>
      </c>
      <c r="W213" s="21" t="str">
        <f aca="false">IFERROR(INDEX(종합!W$3:W$501,MATCH(ROW()-2,종합!$AC$3:$AC$501,0))&amp;"","")</f>
        <v/>
      </c>
      <c r="X213" s="21" t="str">
        <f aca="false">IFERROR(INDEX(종합!X$3:X$501,MATCH(ROW()-2,종합!$AC$3:$AC$501,0))&amp;"","")</f>
        <v/>
      </c>
      <c r="Y213" s="21" t="str">
        <f aca="false">IFERROR(INDEX(종합!Y$3:Y$501,MATCH(ROW()-2,종합!$AC$3:$AC$501,0))&amp;"","")</f>
        <v/>
      </c>
      <c r="Z213" s="21" t="str">
        <f aca="false">IFERROR(INDEX(종합!Z$3:Z$501,MATCH(ROW()-2,종합!$AC$3:$AC$501,0))&amp;"","")</f>
        <v/>
      </c>
    </row>
    <row r="214" customFormat="false" ht="16.5" hidden="false" customHeight="true" outlineLevel="0" collapsed="false">
      <c r="A214" s="18" t="str">
        <f aca="false">IF(B214="","",ROW()-2)</f>
        <v/>
      </c>
      <c r="B214" s="18" t="str">
        <f aca="false">IFERROR(INDEX(종합!B$3:B$501,MATCH(ROW()-2,종합!$AC$3:$AC$501,0))&amp;"","")</f>
        <v/>
      </c>
      <c r="C214" s="18" t="str">
        <f aca="false">IFERROR(INDEX(종합!C$3:C$501,MATCH(ROW()-2,종합!$AC$3:$AC$501,0))&amp;"","")</f>
        <v/>
      </c>
      <c r="D214" s="18" t="str">
        <f aca="false">IFERROR(INDEX(종합!D$3:D$501,MATCH(ROW()-2,종합!$AC$3:$AC$501,0))&amp;"","")</f>
        <v/>
      </c>
      <c r="E214" s="18" t="str">
        <f aca="false">IFERROR(INDEX(종합!E$3:E$501,MATCH(ROW()-2,종합!$AC$3:$AC$501,0))&amp;"","")</f>
        <v/>
      </c>
      <c r="F214" s="18" t="str">
        <f aca="false">IFERROR(INDEX(종합!F$3:F$501,MATCH(ROW()-2,종합!$AC$3:$AC$501,0))&amp;"","")</f>
        <v/>
      </c>
      <c r="G214" s="18" t="str">
        <f aca="false">IFERROR(INDEX(종합!G$3:G$501,MATCH(ROW()-2,종합!$AC$3:$AC$501,0))&amp;"","")</f>
        <v/>
      </c>
      <c r="H214" s="21" t="str">
        <f aca="false">IFERROR(INDEX(종합!H$3:H$501,MATCH(ROW()-2,종합!$AC$3:$AC$501,0))&amp;"","")</f>
        <v/>
      </c>
      <c r="I214" s="21" t="str">
        <f aca="false">IFERROR(INDEX(종합!I$3:I$501,MATCH(ROW()-2,종합!$AC$3:$AC$501,0))&amp;"","")</f>
        <v/>
      </c>
      <c r="J214" s="21" t="str">
        <f aca="false">IFERROR(INDEX(종합!J$3:J$501,MATCH(ROW()-2,종합!$AC$3:$AC$501,0))&amp;"","")</f>
        <v/>
      </c>
      <c r="K214" s="21" t="str">
        <f aca="false">IFERROR(INDEX(종합!K$3:K$501,MATCH(ROW()-2,종합!$AC$3:$AC$501,0))&amp;"","")</f>
        <v/>
      </c>
      <c r="L214" s="21" t="str">
        <f aca="false">IFERROR(INDEX(종합!L$3:L$501,MATCH(ROW()-2,종합!$AC$3:$AC$501,0))&amp;"","")</f>
        <v/>
      </c>
      <c r="M214" s="21" t="str">
        <f aca="false">IFERROR(INDEX(종합!M$3:M$501,MATCH(ROW()-2,종합!$AC$3:$AC$501,0))&amp;"","")</f>
        <v/>
      </c>
      <c r="N214" s="25" t="str">
        <f aca="false">IFERROR(INDEX(종합!N$3:N$501,MATCH(ROW()-2,종합!$AC$3:$AC$501,0))&amp;"","")</f>
        <v/>
      </c>
      <c r="O214" s="21" t="str">
        <f aca="false">IFERROR(INDEX(종합!O$3:O$501,MATCH(ROW()-2,종합!$AC$3:$AC$501,0))&amp;"","")</f>
        <v/>
      </c>
      <c r="P214" s="21" t="str">
        <f aca="false">IFERROR(INDEX(종합!P$3:P$501,MATCH(ROW()-2,종합!$AC$3:$AC$501,0))&amp;"","")</f>
        <v/>
      </c>
      <c r="Q214" s="21" t="str">
        <f aca="false">IFERROR(INDEX(종합!Q$3:Q$501,MATCH(ROW()-2,종합!$AC$3:$AC$501,0))&amp;"","")</f>
        <v/>
      </c>
      <c r="R214" s="21" t="str">
        <f aca="false">IFERROR(INDEX(종합!R$3:R$501,MATCH(ROW()-2,종합!$AC$3:$AC$501,0))&amp;"","")</f>
        <v/>
      </c>
      <c r="S214" s="21" t="str">
        <f aca="false">IFERROR(INDEX(종합!S$3:S$501,MATCH(ROW()-2,종합!$AC$3:$AC$501,0))&amp;"","")</f>
        <v/>
      </c>
      <c r="T214" s="21" t="str">
        <f aca="false">IFERROR(INDEX(종합!T$3:T$501,MATCH(ROW()-2,종합!$AC$3:$AC$501,0))&amp;"","")</f>
        <v/>
      </c>
      <c r="U214" s="21" t="str">
        <f aca="false">IFERROR(INDEX(종합!U$3:U$501,MATCH(ROW()-2,종합!$AC$3:$AC$501,0))&amp;"","")</f>
        <v/>
      </c>
      <c r="V214" s="21" t="str">
        <f aca="false">IFERROR(INDEX(종합!V$3:V$501,MATCH(ROW()-2,종합!$AC$3:$AC$501,0))&amp;"","")</f>
        <v/>
      </c>
      <c r="W214" s="21" t="str">
        <f aca="false">IFERROR(INDEX(종합!W$3:W$501,MATCH(ROW()-2,종합!$AC$3:$AC$501,0))&amp;"","")</f>
        <v/>
      </c>
      <c r="X214" s="21" t="str">
        <f aca="false">IFERROR(INDEX(종합!X$3:X$501,MATCH(ROW()-2,종합!$AC$3:$AC$501,0))&amp;"","")</f>
        <v/>
      </c>
      <c r="Y214" s="21" t="str">
        <f aca="false">IFERROR(INDEX(종합!Y$3:Y$501,MATCH(ROW()-2,종합!$AC$3:$AC$501,0))&amp;"","")</f>
        <v/>
      </c>
      <c r="Z214" s="21" t="str">
        <f aca="false">IFERROR(INDEX(종합!Z$3:Z$501,MATCH(ROW()-2,종합!$AC$3:$AC$501,0))&amp;"","")</f>
        <v/>
      </c>
    </row>
    <row r="215" customFormat="false" ht="16.5" hidden="false" customHeight="true" outlineLevel="0" collapsed="false">
      <c r="A215" s="18" t="str">
        <f aca="false">IF(B215="","",ROW()-2)</f>
        <v/>
      </c>
      <c r="B215" s="18" t="str">
        <f aca="false">IFERROR(INDEX(종합!B$3:B$501,MATCH(ROW()-2,종합!$AC$3:$AC$501,0))&amp;"","")</f>
        <v/>
      </c>
      <c r="C215" s="18" t="str">
        <f aca="false">IFERROR(INDEX(종합!C$3:C$501,MATCH(ROW()-2,종합!$AC$3:$AC$501,0))&amp;"","")</f>
        <v/>
      </c>
      <c r="D215" s="18" t="str">
        <f aca="false">IFERROR(INDEX(종합!D$3:D$501,MATCH(ROW()-2,종합!$AC$3:$AC$501,0))&amp;"","")</f>
        <v/>
      </c>
      <c r="E215" s="18" t="str">
        <f aca="false">IFERROR(INDEX(종합!E$3:E$501,MATCH(ROW()-2,종합!$AC$3:$AC$501,0))&amp;"","")</f>
        <v/>
      </c>
      <c r="F215" s="18" t="str">
        <f aca="false">IFERROR(INDEX(종합!F$3:F$501,MATCH(ROW()-2,종합!$AC$3:$AC$501,0))&amp;"","")</f>
        <v/>
      </c>
      <c r="G215" s="18" t="str">
        <f aca="false">IFERROR(INDEX(종합!G$3:G$501,MATCH(ROW()-2,종합!$AC$3:$AC$501,0))&amp;"","")</f>
        <v/>
      </c>
      <c r="H215" s="21" t="str">
        <f aca="false">IFERROR(INDEX(종합!H$3:H$501,MATCH(ROW()-2,종합!$AC$3:$AC$501,0))&amp;"","")</f>
        <v/>
      </c>
      <c r="I215" s="21" t="str">
        <f aca="false">IFERROR(INDEX(종합!I$3:I$501,MATCH(ROW()-2,종합!$AC$3:$AC$501,0))&amp;"","")</f>
        <v/>
      </c>
      <c r="J215" s="21" t="str">
        <f aca="false">IFERROR(INDEX(종합!J$3:J$501,MATCH(ROW()-2,종합!$AC$3:$AC$501,0))&amp;"","")</f>
        <v/>
      </c>
      <c r="K215" s="21" t="str">
        <f aca="false">IFERROR(INDEX(종합!K$3:K$501,MATCH(ROW()-2,종합!$AC$3:$AC$501,0))&amp;"","")</f>
        <v/>
      </c>
      <c r="L215" s="21" t="str">
        <f aca="false">IFERROR(INDEX(종합!L$3:L$501,MATCH(ROW()-2,종합!$AC$3:$AC$501,0))&amp;"","")</f>
        <v/>
      </c>
      <c r="M215" s="21" t="str">
        <f aca="false">IFERROR(INDEX(종합!M$3:M$501,MATCH(ROW()-2,종합!$AC$3:$AC$501,0))&amp;"","")</f>
        <v/>
      </c>
      <c r="N215" s="25" t="str">
        <f aca="false">IFERROR(INDEX(종합!N$3:N$501,MATCH(ROW()-2,종합!$AC$3:$AC$501,0))&amp;"","")</f>
        <v/>
      </c>
      <c r="O215" s="21" t="str">
        <f aca="false">IFERROR(INDEX(종합!O$3:O$501,MATCH(ROW()-2,종합!$AC$3:$AC$501,0))&amp;"","")</f>
        <v/>
      </c>
      <c r="P215" s="21" t="str">
        <f aca="false">IFERROR(INDEX(종합!P$3:P$501,MATCH(ROW()-2,종합!$AC$3:$AC$501,0))&amp;"","")</f>
        <v/>
      </c>
      <c r="Q215" s="21" t="str">
        <f aca="false">IFERROR(INDEX(종합!Q$3:Q$501,MATCH(ROW()-2,종합!$AC$3:$AC$501,0))&amp;"","")</f>
        <v/>
      </c>
      <c r="R215" s="21" t="str">
        <f aca="false">IFERROR(INDEX(종합!R$3:R$501,MATCH(ROW()-2,종합!$AC$3:$AC$501,0))&amp;"","")</f>
        <v/>
      </c>
      <c r="S215" s="21" t="str">
        <f aca="false">IFERROR(INDEX(종합!S$3:S$501,MATCH(ROW()-2,종합!$AC$3:$AC$501,0))&amp;"","")</f>
        <v/>
      </c>
      <c r="T215" s="21" t="str">
        <f aca="false">IFERROR(INDEX(종합!T$3:T$501,MATCH(ROW()-2,종합!$AC$3:$AC$501,0))&amp;"","")</f>
        <v/>
      </c>
      <c r="U215" s="21" t="str">
        <f aca="false">IFERROR(INDEX(종합!U$3:U$501,MATCH(ROW()-2,종합!$AC$3:$AC$501,0))&amp;"","")</f>
        <v/>
      </c>
      <c r="V215" s="21" t="str">
        <f aca="false">IFERROR(INDEX(종합!V$3:V$501,MATCH(ROW()-2,종합!$AC$3:$AC$501,0))&amp;"","")</f>
        <v/>
      </c>
      <c r="W215" s="21" t="str">
        <f aca="false">IFERROR(INDEX(종합!W$3:W$501,MATCH(ROW()-2,종합!$AC$3:$AC$501,0))&amp;"","")</f>
        <v/>
      </c>
      <c r="X215" s="21" t="str">
        <f aca="false">IFERROR(INDEX(종합!X$3:X$501,MATCH(ROW()-2,종합!$AC$3:$AC$501,0))&amp;"","")</f>
        <v/>
      </c>
      <c r="Y215" s="21" t="str">
        <f aca="false">IFERROR(INDEX(종합!Y$3:Y$501,MATCH(ROW()-2,종합!$AC$3:$AC$501,0))&amp;"","")</f>
        <v/>
      </c>
      <c r="Z215" s="21" t="str">
        <f aca="false">IFERROR(INDEX(종합!Z$3:Z$501,MATCH(ROW()-2,종합!$AC$3:$AC$501,0))&amp;"","")</f>
        <v/>
      </c>
    </row>
    <row r="216" customFormat="false" ht="16.5" hidden="false" customHeight="true" outlineLevel="0" collapsed="false">
      <c r="A216" s="18" t="str">
        <f aca="false">IF(B216="","",ROW()-2)</f>
        <v/>
      </c>
      <c r="B216" s="18" t="str">
        <f aca="false">IFERROR(INDEX(종합!B$3:B$501,MATCH(ROW()-2,종합!$AC$3:$AC$501,0))&amp;"","")</f>
        <v/>
      </c>
      <c r="C216" s="18" t="str">
        <f aca="false">IFERROR(INDEX(종합!C$3:C$501,MATCH(ROW()-2,종합!$AC$3:$AC$501,0))&amp;"","")</f>
        <v/>
      </c>
      <c r="D216" s="18" t="str">
        <f aca="false">IFERROR(INDEX(종합!D$3:D$501,MATCH(ROW()-2,종합!$AC$3:$AC$501,0))&amp;"","")</f>
        <v/>
      </c>
      <c r="E216" s="18" t="str">
        <f aca="false">IFERROR(INDEX(종합!E$3:E$501,MATCH(ROW()-2,종합!$AC$3:$AC$501,0))&amp;"","")</f>
        <v/>
      </c>
      <c r="F216" s="18" t="str">
        <f aca="false">IFERROR(INDEX(종합!F$3:F$501,MATCH(ROW()-2,종합!$AC$3:$AC$501,0))&amp;"","")</f>
        <v/>
      </c>
      <c r="G216" s="18" t="str">
        <f aca="false">IFERROR(INDEX(종합!G$3:G$501,MATCH(ROW()-2,종합!$AC$3:$AC$501,0))&amp;"","")</f>
        <v/>
      </c>
      <c r="H216" s="21" t="str">
        <f aca="false">IFERROR(INDEX(종합!H$3:H$501,MATCH(ROW()-2,종합!$AC$3:$AC$501,0))&amp;"","")</f>
        <v/>
      </c>
      <c r="I216" s="21" t="str">
        <f aca="false">IFERROR(INDEX(종합!I$3:I$501,MATCH(ROW()-2,종합!$AC$3:$AC$501,0))&amp;"","")</f>
        <v/>
      </c>
      <c r="J216" s="21" t="str">
        <f aca="false">IFERROR(INDEX(종합!J$3:J$501,MATCH(ROW()-2,종합!$AC$3:$AC$501,0))&amp;"","")</f>
        <v/>
      </c>
      <c r="K216" s="21" t="str">
        <f aca="false">IFERROR(INDEX(종합!K$3:K$501,MATCH(ROW()-2,종합!$AC$3:$AC$501,0))&amp;"","")</f>
        <v/>
      </c>
      <c r="L216" s="21" t="str">
        <f aca="false">IFERROR(INDEX(종합!L$3:L$501,MATCH(ROW()-2,종합!$AC$3:$AC$501,0))&amp;"","")</f>
        <v/>
      </c>
      <c r="M216" s="21" t="str">
        <f aca="false">IFERROR(INDEX(종합!M$3:M$501,MATCH(ROW()-2,종합!$AC$3:$AC$501,0))&amp;"","")</f>
        <v/>
      </c>
      <c r="N216" s="25" t="str">
        <f aca="false">IFERROR(INDEX(종합!N$3:N$501,MATCH(ROW()-2,종합!$AC$3:$AC$501,0))&amp;"","")</f>
        <v/>
      </c>
      <c r="O216" s="21" t="str">
        <f aca="false">IFERROR(INDEX(종합!O$3:O$501,MATCH(ROW()-2,종합!$AC$3:$AC$501,0))&amp;"","")</f>
        <v/>
      </c>
      <c r="P216" s="21" t="str">
        <f aca="false">IFERROR(INDEX(종합!P$3:P$501,MATCH(ROW()-2,종합!$AC$3:$AC$501,0))&amp;"","")</f>
        <v/>
      </c>
      <c r="Q216" s="21" t="str">
        <f aca="false">IFERROR(INDEX(종합!Q$3:Q$501,MATCH(ROW()-2,종합!$AC$3:$AC$501,0))&amp;"","")</f>
        <v/>
      </c>
      <c r="R216" s="21" t="str">
        <f aca="false">IFERROR(INDEX(종합!R$3:R$501,MATCH(ROW()-2,종합!$AC$3:$AC$501,0))&amp;"","")</f>
        <v/>
      </c>
      <c r="S216" s="21" t="str">
        <f aca="false">IFERROR(INDEX(종합!S$3:S$501,MATCH(ROW()-2,종합!$AC$3:$AC$501,0))&amp;"","")</f>
        <v/>
      </c>
      <c r="T216" s="21" t="str">
        <f aca="false">IFERROR(INDEX(종합!T$3:T$501,MATCH(ROW()-2,종합!$AC$3:$AC$501,0))&amp;"","")</f>
        <v/>
      </c>
      <c r="U216" s="21" t="str">
        <f aca="false">IFERROR(INDEX(종합!U$3:U$501,MATCH(ROW()-2,종합!$AC$3:$AC$501,0))&amp;"","")</f>
        <v/>
      </c>
      <c r="V216" s="21" t="str">
        <f aca="false">IFERROR(INDEX(종합!V$3:V$501,MATCH(ROW()-2,종합!$AC$3:$AC$501,0))&amp;"","")</f>
        <v/>
      </c>
      <c r="W216" s="21" t="str">
        <f aca="false">IFERROR(INDEX(종합!W$3:W$501,MATCH(ROW()-2,종합!$AC$3:$AC$501,0))&amp;"","")</f>
        <v/>
      </c>
      <c r="X216" s="21" t="str">
        <f aca="false">IFERROR(INDEX(종합!X$3:X$501,MATCH(ROW()-2,종합!$AC$3:$AC$501,0))&amp;"","")</f>
        <v/>
      </c>
      <c r="Y216" s="21" t="str">
        <f aca="false">IFERROR(INDEX(종합!Y$3:Y$501,MATCH(ROW()-2,종합!$AC$3:$AC$501,0))&amp;"","")</f>
        <v/>
      </c>
      <c r="Z216" s="21" t="str">
        <f aca="false">IFERROR(INDEX(종합!Z$3:Z$501,MATCH(ROW()-2,종합!$AC$3:$AC$501,0))&amp;"","")</f>
        <v/>
      </c>
    </row>
    <row r="217" customFormat="false" ht="16.5" hidden="false" customHeight="true" outlineLevel="0" collapsed="false">
      <c r="A217" s="18" t="str">
        <f aca="false">IF(B217="","",ROW()-2)</f>
        <v/>
      </c>
      <c r="B217" s="18" t="str">
        <f aca="false">IFERROR(INDEX(종합!B$3:B$501,MATCH(ROW()-2,종합!$AC$3:$AC$501,0))&amp;"","")</f>
        <v/>
      </c>
      <c r="C217" s="18" t="str">
        <f aca="false">IFERROR(INDEX(종합!C$3:C$501,MATCH(ROW()-2,종합!$AC$3:$AC$501,0))&amp;"","")</f>
        <v/>
      </c>
      <c r="D217" s="18" t="str">
        <f aca="false">IFERROR(INDEX(종합!D$3:D$501,MATCH(ROW()-2,종합!$AC$3:$AC$501,0))&amp;"","")</f>
        <v/>
      </c>
      <c r="E217" s="18" t="str">
        <f aca="false">IFERROR(INDEX(종합!E$3:E$501,MATCH(ROW()-2,종합!$AC$3:$AC$501,0))&amp;"","")</f>
        <v/>
      </c>
      <c r="F217" s="18" t="str">
        <f aca="false">IFERROR(INDEX(종합!F$3:F$501,MATCH(ROW()-2,종합!$AC$3:$AC$501,0))&amp;"","")</f>
        <v/>
      </c>
      <c r="G217" s="18" t="str">
        <f aca="false">IFERROR(INDEX(종합!G$3:G$501,MATCH(ROW()-2,종합!$AC$3:$AC$501,0))&amp;"","")</f>
        <v/>
      </c>
      <c r="H217" s="21" t="str">
        <f aca="false">IFERROR(INDEX(종합!H$3:H$501,MATCH(ROW()-2,종합!$AC$3:$AC$501,0))&amp;"","")</f>
        <v/>
      </c>
      <c r="I217" s="21" t="str">
        <f aca="false">IFERROR(INDEX(종합!I$3:I$501,MATCH(ROW()-2,종합!$AC$3:$AC$501,0))&amp;"","")</f>
        <v/>
      </c>
      <c r="J217" s="21" t="str">
        <f aca="false">IFERROR(INDEX(종합!J$3:J$501,MATCH(ROW()-2,종합!$AC$3:$AC$501,0))&amp;"","")</f>
        <v/>
      </c>
      <c r="K217" s="21" t="str">
        <f aca="false">IFERROR(INDEX(종합!K$3:K$501,MATCH(ROW()-2,종합!$AC$3:$AC$501,0))&amp;"","")</f>
        <v/>
      </c>
      <c r="L217" s="21" t="str">
        <f aca="false">IFERROR(INDEX(종합!L$3:L$501,MATCH(ROW()-2,종합!$AC$3:$AC$501,0))&amp;"","")</f>
        <v/>
      </c>
      <c r="M217" s="21" t="str">
        <f aca="false">IFERROR(INDEX(종합!M$3:M$501,MATCH(ROW()-2,종합!$AC$3:$AC$501,0))&amp;"","")</f>
        <v/>
      </c>
      <c r="N217" s="25" t="str">
        <f aca="false">IFERROR(INDEX(종합!N$3:N$501,MATCH(ROW()-2,종합!$AC$3:$AC$501,0))&amp;"","")</f>
        <v/>
      </c>
      <c r="O217" s="21" t="str">
        <f aca="false">IFERROR(INDEX(종합!O$3:O$501,MATCH(ROW()-2,종합!$AC$3:$AC$501,0))&amp;"","")</f>
        <v/>
      </c>
      <c r="P217" s="21" t="str">
        <f aca="false">IFERROR(INDEX(종합!P$3:P$501,MATCH(ROW()-2,종합!$AC$3:$AC$501,0))&amp;"","")</f>
        <v/>
      </c>
      <c r="Q217" s="21" t="str">
        <f aca="false">IFERROR(INDEX(종합!Q$3:Q$501,MATCH(ROW()-2,종합!$AC$3:$AC$501,0))&amp;"","")</f>
        <v/>
      </c>
      <c r="R217" s="21" t="str">
        <f aca="false">IFERROR(INDEX(종합!R$3:R$501,MATCH(ROW()-2,종합!$AC$3:$AC$501,0))&amp;"","")</f>
        <v/>
      </c>
      <c r="S217" s="21" t="str">
        <f aca="false">IFERROR(INDEX(종합!S$3:S$501,MATCH(ROW()-2,종합!$AC$3:$AC$501,0))&amp;"","")</f>
        <v/>
      </c>
      <c r="T217" s="21" t="str">
        <f aca="false">IFERROR(INDEX(종합!T$3:T$501,MATCH(ROW()-2,종합!$AC$3:$AC$501,0))&amp;"","")</f>
        <v/>
      </c>
      <c r="U217" s="21" t="str">
        <f aca="false">IFERROR(INDEX(종합!U$3:U$501,MATCH(ROW()-2,종합!$AC$3:$AC$501,0))&amp;"","")</f>
        <v/>
      </c>
      <c r="V217" s="21" t="str">
        <f aca="false">IFERROR(INDEX(종합!V$3:V$501,MATCH(ROW()-2,종합!$AC$3:$AC$501,0))&amp;"","")</f>
        <v/>
      </c>
      <c r="W217" s="21" t="str">
        <f aca="false">IFERROR(INDEX(종합!W$3:W$501,MATCH(ROW()-2,종합!$AC$3:$AC$501,0))&amp;"","")</f>
        <v/>
      </c>
      <c r="X217" s="21" t="str">
        <f aca="false">IFERROR(INDEX(종합!X$3:X$501,MATCH(ROW()-2,종합!$AC$3:$AC$501,0))&amp;"","")</f>
        <v/>
      </c>
      <c r="Y217" s="21" t="str">
        <f aca="false">IFERROR(INDEX(종합!Y$3:Y$501,MATCH(ROW()-2,종합!$AC$3:$AC$501,0))&amp;"","")</f>
        <v/>
      </c>
      <c r="Z217" s="21" t="str">
        <f aca="false">IFERROR(INDEX(종합!Z$3:Z$501,MATCH(ROW()-2,종합!$AC$3:$AC$501,0))&amp;"","")</f>
        <v/>
      </c>
    </row>
    <row r="218" customFormat="false" ht="16.5" hidden="false" customHeight="true" outlineLevel="0" collapsed="false">
      <c r="A218" s="18" t="str">
        <f aca="false">IF(B218="","",ROW()-2)</f>
        <v/>
      </c>
      <c r="B218" s="18" t="str">
        <f aca="false">IFERROR(INDEX(종합!B$3:B$501,MATCH(ROW()-2,종합!$AC$3:$AC$501,0))&amp;"","")</f>
        <v/>
      </c>
      <c r="C218" s="18" t="str">
        <f aca="false">IFERROR(INDEX(종합!C$3:C$501,MATCH(ROW()-2,종합!$AC$3:$AC$501,0))&amp;"","")</f>
        <v/>
      </c>
      <c r="D218" s="18" t="str">
        <f aca="false">IFERROR(INDEX(종합!D$3:D$501,MATCH(ROW()-2,종합!$AC$3:$AC$501,0))&amp;"","")</f>
        <v/>
      </c>
      <c r="E218" s="18" t="str">
        <f aca="false">IFERROR(INDEX(종합!E$3:E$501,MATCH(ROW()-2,종합!$AC$3:$AC$501,0))&amp;"","")</f>
        <v/>
      </c>
      <c r="F218" s="18" t="str">
        <f aca="false">IFERROR(INDEX(종합!F$3:F$501,MATCH(ROW()-2,종합!$AC$3:$AC$501,0))&amp;"","")</f>
        <v/>
      </c>
      <c r="G218" s="18" t="str">
        <f aca="false">IFERROR(INDEX(종합!G$3:G$501,MATCH(ROW()-2,종합!$AC$3:$AC$501,0))&amp;"","")</f>
        <v/>
      </c>
      <c r="H218" s="21" t="str">
        <f aca="false">IFERROR(INDEX(종합!H$3:H$501,MATCH(ROW()-2,종합!$AC$3:$AC$501,0))&amp;"","")</f>
        <v/>
      </c>
      <c r="I218" s="21" t="str">
        <f aca="false">IFERROR(INDEX(종합!I$3:I$501,MATCH(ROW()-2,종합!$AC$3:$AC$501,0))&amp;"","")</f>
        <v/>
      </c>
      <c r="J218" s="21" t="str">
        <f aca="false">IFERROR(INDEX(종합!J$3:J$501,MATCH(ROW()-2,종합!$AC$3:$AC$501,0))&amp;"","")</f>
        <v/>
      </c>
      <c r="K218" s="21" t="str">
        <f aca="false">IFERROR(INDEX(종합!K$3:K$501,MATCH(ROW()-2,종합!$AC$3:$AC$501,0))&amp;"","")</f>
        <v/>
      </c>
      <c r="L218" s="21" t="str">
        <f aca="false">IFERROR(INDEX(종합!L$3:L$501,MATCH(ROW()-2,종합!$AC$3:$AC$501,0))&amp;"","")</f>
        <v/>
      </c>
      <c r="M218" s="21" t="str">
        <f aca="false">IFERROR(INDEX(종합!M$3:M$501,MATCH(ROW()-2,종합!$AC$3:$AC$501,0))&amp;"","")</f>
        <v/>
      </c>
      <c r="N218" s="25" t="str">
        <f aca="false">IFERROR(INDEX(종합!N$3:N$501,MATCH(ROW()-2,종합!$AC$3:$AC$501,0))&amp;"","")</f>
        <v/>
      </c>
      <c r="O218" s="21" t="str">
        <f aca="false">IFERROR(INDEX(종합!O$3:O$501,MATCH(ROW()-2,종합!$AC$3:$AC$501,0))&amp;"","")</f>
        <v/>
      </c>
      <c r="P218" s="21" t="str">
        <f aca="false">IFERROR(INDEX(종합!P$3:P$501,MATCH(ROW()-2,종합!$AC$3:$AC$501,0))&amp;"","")</f>
        <v/>
      </c>
      <c r="Q218" s="21" t="str">
        <f aca="false">IFERROR(INDEX(종합!Q$3:Q$501,MATCH(ROW()-2,종합!$AC$3:$AC$501,0))&amp;"","")</f>
        <v/>
      </c>
      <c r="R218" s="21" t="str">
        <f aca="false">IFERROR(INDEX(종합!R$3:R$501,MATCH(ROW()-2,종합!$AC$3:$AC$501,0))&amp;"","")</f>
        <v/>
      </c>
      <c r="S218" s="21" t="str">
        <f aca="false">IFERROR(INDEX(종합!S$3:S$501,MATCH(ROW()-2,종합!$AC$3:$AC$501,0))&amp;"","")</f>
        <v/>
      </c>
      <c r="T218" s="21" t="str">
        <f aca="false">IFERROR(INDEX(종합!T$3:T$501,MATCH(ROW()-2,종합!$AC$3:$AC$501,0))&amp;"","")</f>
        <v/>
      </c>
      <c r="U218" s="21" t="str">
        <f aca="false">IFERROR(INDEX(종합!U$3:U$501,MATCH(ROW()-2,종합!$AC$3:$AC$501,0))&amp;"","")</f>
        <v/>
      </c>
      <c r="V218" s="21" t="str">
        <f aca="false">IFERROR(INDEX(종합!V$3:V$501,MATCH(ROW()-2,종합!$AC$3:$AC$501,0))&amp;"","")</f>
        <v/>
      </c>
      <c r="W218" s="21" t="str">
        <f aca="false">IFERROR(INDEX(종합!W$3:W$501,MATCH(ROW()-2,종합!$AC$3:$AC$501,0))&amp;"","")</f>
        <v/>
      </c>
      <c r="X218" s="21" t="str">
        <f aca="false">IFERROR(INDEX(종합!X$3:X$501,MATCH(ROW()-2,종합!$AC$3:$AC$501,0))&amp;"","")</f>
        <v/>
      </c>
      <c r="Y218" s="21" t="str">
        <f aca="false">IFERROR(INDEX(종합!Y$3:Y$501,MATCH(ROW()-2,종합!$AC$3:$AC$501,0))&amp;"","")</f>
        <v/>
      </c>
      <c r="Z218" s="21" t="str">
        <f aca="false">IFERROR(INDEX(종합!Z$3:Z$501,MATCH(ROW()-2,종합!$AC$3:$AC$501,0))&amp;"","")</f>
        <v/>
      </c>
    </row>
    <row r="219" customFormat="false" ht="16.5" hidden="false" customHeight="true" outlineLevel="0" collapsed="false">
      <c r="A219" s="18" t="str">
        <f aca="false">IF(B219="","",ROW()-2)</f>
        <v/>
      </c>
      <c r="B219" s="18" t="str">
        <f aca="false">IFERROR(INDEX(종합!B$3:B$501,MATCH(ROW()-2,종합!$AC$3:$AC$501,0))&amp;"","")</f>
        <v/>
      </c>
      <c r="C219" s="18" t="str">
        <f aca="false">IFERROR(INDEX(종합!C$3:C$501,MATCH(ROW()-2,종합!$AC$3:$AC$501,0))&amp;"","")</f>
        <v/>
      </c>
      <c r="D219" s="18" t="str">
        <f aca="false">IFERROR(INDEX(종합!D$3:D$501,MATCH(ROW()-2,종합!$AC$3:$AC$501,0))&amp;"","")</f>
        <v/>
      </c>
      <c r="E219" s="18" t="str">
        <f aca="false">IFERROR(INDEX(종합!E$3:E$501,MATCH(ROW()-2,종합!$AC$3:$AC$501,0))&amp;"","")</f>
        <v/>
      </c>
      <c r="F219" s="18" t="str">
        <f aca="false">IFERROR(INDEX(종합!F$3:F$501,MATCH(ROW()-2,종합!$AC$3:$AC$501,0))&amp;"","")</f>
        <v/>
      </c>
      <c r="G219" s="18" t="str">
        <f aca="false">IFERROR(INDEX(종합!G$3:G$501,MATCH(ROW()-2,종합!$AC$3:$AC$501,0))&amp;"","")</f>
        <v/>
      </c>
      <c r="H219" s="21" t="str">
        <f aca="false">IFERROR(INDEX(종합!H$3:H$501,MATCH(ROW()-2,종합!$AC$3:$AC$501,0))&amp;"","")</f>
        <v/>
      </c>
      <c r="I219" s="21" t="str">
        <f aca="false">IFERROR(INDEX(종합!I$3:I$501,MATCH(ROW()-2,종합!$AC$3:$AC$501,0))&amp;"","")</f>
        <v/>
      </c>
      <c r="J219" s="21" t="str">
        <f aca="false">IFERROR(INDEX(종합!J$3:J$501,MATCH(ROW()-2,종합!$AC$3:$AC$501,0))&amp;"","")</f>
        <v/>
      </c>
      <c r="K219" s="21" t="str">
        <f aca="false">IFERROR(INDEX(종합!K$3:K$501,MATCH(ROW()-2,종합!$AC$3:$AC$501,0))&amp;"","")</f>
        <v/>
      </c>
      <c r="L219" s="21" t="str">
        <f aca="false">IFERROR(INDEX(종합!L$3:L$501,MATCH(ROW()-2,종합!$AC$3:$AC$501,0))&amp;"","")</f>
        <v/>
      </c>
      <c r="M219" s="21" t="str">
        <f aca="false">IFERROR(INDEX(종합!M$3:M$501,MATCH(ROW()-2,종합!$AC$3:$AC$501,0))&amp;"","")</f>
        <v/>
      </c>
      <c r="N219" s="25" t="str">
        <f aca="false">IFERROR(INDEX(종합!N$3:N$501,MATCH(ROW()-2,종합!$AC$3:$AC$501,0))&amp;"","")</f>
        <v/>
      </c>
      <c r="O219" s="21" t="str">
        <f aca="false">IFERROR(INDEX(종합!O$3:O$501,MATCH(ROW()-2,종합!$AC$3:$AC$501,0))&amp;"","")</f>
        <v/>
      </c>
      <c r="P219" s="21" t="str">
        <f aca="false">IFERROR(INDEX(종합!P$3:P$501,MATCH(ROW()-2,종합!$AC$3:$AC$501,0))&amp;"","")</f>
        <v/>
      </c>
      <c r="Q219" s="21" t="str">
        <f aca="false">IFERROR(INDEX(종합!Q$3:Q$501,MATCH(ROW()-2,종합!$AC$3:$AC$501,0))&amp;"","")</f>
        <v/>
      </c>
      <c r="R219" s="21" t="str">
        <f aca="false">IFERROR(INDEX(종합!R$3:R$501,MATCH(ROW()-2,종합!$AC$3:$AC$501,0))&amp;"","")</f>
        <v/>
      </c>
      <c r="S219" s="21" t="str">
        <f aca="false">IFERROR(INDEX(종합!S$3:S$501,MATCH(ROW()-2,종합!$AC$3:$AC$501,0))&amp;"","")</f>
        <v/>
      </c>
      <c r="T219" s="21" t="str">
        <f aca="false">IFERROR(INDEX(종합!T$3:T$501,MATCH(ROW()-2,종합!$AC$3:$AC$501,0))&amp;"","")</f>
        <v/>
      </c>
      <c r="U219" s="21" t="str">
        <f aca="false">IFERROR(INDEX(종합!U$3:U$501,MATCH(ROW()-2,종합!$AC$3:$AC$501,0))&amp;"","")</f>
        <v/>
      </c>
      <c r="V219" s="21" t="str">
        <f aca="false">IFERROR(INDEX(종합!V$3:V$501,MATCH(ROW()-2,종합!$AC$3:$AC$501,0))&amp;"","")</f>
        <v/>
      </c>
      <c r="W219" s="21" t="str">
        <f aca="false">IFERROR(INDEX(종합!W$3:W$501,MATCH(ROW()-2,종합!$AC$3:$AC$501,0))&amp;"","")</f>
        <v/>
      </c>
      <c r="X219" s="21" t="str">
        <f aca="false">IFERROR(INDEX(종합!X$3:X$501,MATCH(ROW()-2,종합!$AC$3:$AC$501,0))&amp;"","")</f>
        <v/>
      </c>
      <c r="Y219" s="21" t="str">
        <f aca="false">IFERROR(INDEX(종합!Y$3:Y$501,MATCH(ROW()-2,종합!$AC$3:$AC$501,0))&amp;"","")</f>
        <v/>
      </c>
      <c r="Z219" s="21" t="str">
        <f aca="false">IFERROR(INDEX(종합!Z$3:Z$501,MATCH(ROW()-2,종합!$AC$3:$AC$501,0))&amp;"","")</f>
        <v/>
      </c>
    </row>
    <row r="220" customFormat="false" ht="16.5" hidden="false" customHeight="true" outlineLevel="0" collapsed="false">
      <c r="A220" s="18" t="str">
        <f aca="false">IF(B220="","",ROW()-2)</f>
        <v/>
      </c>
      <c r="B220" s="18" t="str">
        <f aca="false">IFERROR(INDEX(종합!B$3:B$501,MATCH(ROW()-2,종합!$AC$3:$AC$501,0))&amp;"","")</f>
        <v/>
      </c>
      <c r="C220" s="18" t="str">
        <f aca="false">IFERROR(INDEX(종합!C$3:C$501,MATCH(ROW()-2,종합!$AC$3:$AC$501,0))&amp;"","")</f>
        <v/>
      </c>
      <c r="D220" s="18" t="str">
        <f aca="false">IFERROR(INDEX(종합!D$3:D$501,MATCH(ROW()-2,종합!$AC$3:$AC$501,0))&amp;"","")</f>
        <v/>
      </c>
      <c r="E220" s="18" t="str">
        <f aca="false">IFERROR(INDEX(종합!E$3:E$501,MATCH(ROW()-2,종합!$AC$3:$AC$501,0))&amp;"","")</f>
        <v/>
      </c>
      <c r="F220" s="18" t="str">
        <f aca="false">IFERROR(INDEX(종합!F$3:F$501,MATCH(ROW()-2,종합!$AC$3:$AC$501,0))&amp;"","")</f>
        <v/>
      </c>
      <c r="G220" s="18" t="str">
        <f aca="false">IFERROR(INDEX(종합!G$3:G$501,MATCH(ROW()-2,종합!$AC$3:$AC$501,0))&amp;"","")</f>
        <v/>
      </c>
      <c r="H220" s="21" t="str">
        <f aca="false">IFERROR(INDEX(종합!H$3:H$501,MATCH(ROW()-2,종합!$AC$3:$AC$501,0))&amp;"","")</f>
        <v/>
      </c>
      <c r="I220" s="21" t="str">
        <f aca="false">IFERROR(INDEX(종합!I$3:I$501,MATCH(ROW()-2,종합!$AC$3:$AC$501,0))&amp;"","")</f>
        <v/>
      </c>
      <c r="J220" s="21" t="str">
        <f aca="false">IFERROR(INDEX(종합!J$3:J$501,MATCH(ROW()-2,종합!$AC$3:$AC$501,0))&amp;"","")</f>
        <v/>
      </c>
      <c r="K220" s="21" t="str">
        <f aca="false">IFERROR(INDEX(종합!K$3:K$501,MATCH(ROW()-2,종합!$AC$3:$AC$501,0))&amp;"","")</f>
        <v/>
      </c>
      <c r="L220" s="21" t="str">
        <f aca="false">IFERROR(INDEX(종합!L$3:L$501,MATCH(ROW()-2,종합!$AC$3:$AC$501,0))&amp;"","")</f>
        <v/>
      </c>
      <c r="M220" s="21" t="str">
        <f aca="false">IFERROR(INDEX(종합!M$3:M$501,MATCH(ROW()-2,종합!$AC$3:$AC$501,0))&amp;"","")</f>
        <v/>
      </c>
      <c r="N220" s="25" t="str">
        <f aca="false">IFERROR(INDEX(종합!N$3:N$501,MATCH(ROW()-2,종합!$AC$3:$AC$501,0))&amp;"","")</f>
        <v/>
      </c>
      <c r="O220" s="21" t="str">
        <f aca="false">IFERROR(INDEX(종합!O$3:O$501,MATCH(ROW()-2,종합!$AC$3:$AC$501,0))&amp;"","")</f>
        <v/>
      </c>
      <c r="P220" s="21" t="str">
        <f aca="false">IFERROR(INDEX(종합!P$3:P$501,MATCH(ROW()-2,종합!$AC$3:$AC$501,0))&amp;"","")</f>
        <v/>
      </c>
      <c r="Q220" s="21" t="str">
        <f aca="false">IFERROR(INDEX(종합!Q$3:Q$501,MATCH(ROW()-2,종합!$AC$3:$AC$501,0))&amp;"","")</f>
        <v/>
      </c>
      <c r="R220" s="21" t="str">
        <f aca="false">IFERROR(INDEX(종합!R$3:R$501,MATCH(ROW()-2,종합!$AC$3:$AC$501,0))&amp;"","")</f>
        <v/>
      </c>
      <c r="S220" s="21" t="str">
        <f aca="false">IFERROR(INDEX(종합!S$3:S$501,MATCH(ROW()-2,종합!$AC$3:$AC$501,0))&amp;"","")</f>
        <v/>
      </c>
      <c r="T220" s="21" t="str">
        <f aca="false">IFERROR(INDEX(종합!T$3:T$501,MATCH(ROW()-2,종합!$AC$3:$AC$501,0))&amp;"","")</f>
        <v/>
      </c>
      <c r="U220" s="21" t="str">
        <f aca="false">IFERROR(INDEX(종합!U$3:U$501,MATCH(ROW()-2,종합!$AC$3:$AC$501,0))&amp;"","")</f>
        <v/>
      </c>
      <c r="V220" s="21" t="str">
        <f aca="false">IFERROR(INDEX(종합!V$3:V$501,MATCH(ROW()-2,종합!$AC$3:$AC$501,0))&amp;"","")</f>
        <v/>
      </c>
      <c r="W220" s="21" t="str">
        <f aca="false">IFERROR(INDEX(종합!W$3:W$501,MATCH(ROW()-2,종합!$AC$3:$AC$501,0))&amp;"","")</f>
        <v/>
      </c>
      <c r="X220" s="21" t="str">
        <f aca="false">IFERROR(INDEX(종합!X$3:X$501,MATCH(ROW()-2,종합!$AC$3:$AC$501,0))&amp;"","")</f>
        <v/>
      </c>
      <c r="Y220" s="21" t="str">
        <f aca="false">IFERROR(INDEX(종합!Y$3:Y$501,MATCH(ROW()-2,종합!$AC$3:$AC$501,0))&amp;"","")</f>
        <v/>
      </c>
      <c r="Z220" s="21" t="str">
        <f aca="false">IFERROR(INDEX(종합!Z$3:Z$501,MATCH(ROW()-2,종합!$AC$3:$AC$501,0))&amp;"","")</f>
        <v/>
      </c>
    </row>
    <row r="221" customFormat="false" ht="16.5" hidden="false" customHeight="true" outlineLevel="0" collapsed="false">
      <c r="A221" s="18" t="str">
        <f aca="false">IF(B221="","",ROW()-2)</f>
        <v/>
      </c>
      <c r="B221" s="18" t="str">
        <f aca="false">IFERROR(INDEX(종합!B$3:B$501,MATCH(ROW()-2,종합!$AC$3:$AC$501,0))&amp;"","")</f>
        <v/>
      </c>
      <c r="C221" s="18" t="str">
        <f aca="false">IFERROR(INDEX(종합!C$3:C$501,MATCH(ROW()-2,종합!$AC$3:$AC$501,0))&amp;"","")</f>
        <v/>
      </c>
      <c r="D221" s="18" t="str">
        <f aca="false">IFERROR(INDEX(종합!D$3:D$501,MATCH(ROW()-2,종합!$AC$3:$AC$501,0))&amp;"","")</f>
        <v/>
      </c>
      <c r="E221" s="18" t="str">
        <f aca="false">IFERROR(INDEX(종합!E$3:E$501,MATCH(ROW()-2,종합!$AC$3:$AC$501,0))&amp;"","")</f>
        <v/>
      </c>
      <c r="F221" s="18" t="str">
        <f aca="false">IFERROR(INDEX(종합!F$3:F$501,MATCH(ROW()-2,종합!$AC$3:$AC$501,0))&amp;"","")</f>
        <v/>
      </c>
      <c r="G221" s="18" t="str">
        <f aca="false">IFERROR(INDEX(종합!G$3:G$501,MATCH(ROW()-2,종합!$AC$3:$AC$501,0))&amp;"","")</f>
        <v/>
      </c>
      <c r="H221" s="21" t="str">
        <f aca="false">IFERROR(INDEX(종합!H$3:H$501,MATCH(ROW()-2,종합!$AC$3:$AC$501,0))&amp;"","")</f>
        <v/>
      </c>
      <c r="I221" s="21" t="str">
        <f aca="false">IFERROR(INDEX(종합!I$3:I$501,MATCH(ROW()-2,종합!$AC$3:$AC$501,0))&amp;"","")</f>
        <v/>
      </c>
      <c r="J221" s="21" t="str">
        <f aca="false">IFERROR(INDEX(종합!J$3:J$501,MATCH(ROW()-2,종합!$AC$3:$AC$501,0))&amp;"","")</f>
        <v/>
      </c>
      <c r="K221" s="21" t="str">
        <f aca="false">IFERROR(INDEX(종합!K$3:K$501,MATCH(ROW()-2,종합!$AC$3:$AC$501,0))&amp;"","")</f>
        <v/>
      </c>
      <c r="L221" s="21" t="str">
        <f aca="false">IFERROR(INDEX(종합!L$3:L$501,MATCH(ROW()-2,종합!$AC$3:$AC$501,0))&amp;"","")</f>
        <v/>
      </c>
      <c r="M221" s="21" t="str">
        <f aca="false">IFERROR(INDEX(종합!M$3:M$501,MATCH(ROW()-2,종합!$AC$3:$AC$501,0))&amp;"","")</f>
        <v/>
      </c>
      <c r="N221" s="25" t="str">
        <f aca="false">IFERROR(INDEX(종합!N$3:N$501,MATCH(ROW()-2,종합!$AC$3:$AC$501,0))&amp;"","")</f>
        <v/>
      </c>
      <c r="O221" s="21" t="str">
        <f aca="false">IFERROR(INDEX(종합!O$3:O$501,MATCH(ROW()-2,종합!$AC$3:$AC$501,0))&amp;"","")</f>
        <v/>
      </c>
      <c r="P221" s="21" t="str">
        <f aca="false">IFERROR(INDEX(종합!P$3:P$501,MATCH(ROW()-2,종합!$AC$3:$AC$501,0))&amp;"","")</f>
        <v/>
      </c>
      <c r="Q221" s="21" t="str">
        <f aca="false">IFERROR(INDEX(종합!Q$3:Q$501,MATCH(ROW()-2,종합!$AC$3:$AC$501,0))&amp;"","")</f>
        <v/>
      </c>
      <c r="R221" s="21" t="str">
        <f aca="false">IFERROR(INDEX(종합!R$3:R$501,MATCH(ROW()-2,종합!$AC$3:$AC$501,0))&amp;"","")</f>
        <v/>
      </c>
      <c r="S221" s="21" t="str">
        <f aca="false">IFERROR(INDEX(종합!S$3:S$501,MATCH(ROW()-2,종합!$AC$3:$AC$501,0))&amp;"","")</f>
        <v/>
      </c>
      <c r="T221" s="21" t="str">
        <f aca="false">IFERROR(INDEX(종합!T$3:T$501,MATCH(ROW()-2,종합!$AC$3:$AC$501,0))&amp;"","")</f>
        <v/>
      </c>
      <c r="U221" s="21" t="str">
        <f aca="false">IFERROR(INDEX(종합!U$3:U$501,MATCH(ROW()-2,종합!$AC$3:$AC$501,0))&amp;"","")</f>
        <v/>
      </c>
      <c r="V221" s="21" t="str">
        <f aca="false">IFERROR(INDEX(종합!V$3:V$501,MATCH(ROW()-2,종합!$AC$3:$AC$501,0))&amp;"","")</f>
        <v/>
      </c>
      <c r="W221" s="21" t="str">
        <f aca="false">IFERROR(INDEX(종합!W$3:W$501,MATCH(ROW()-2,종합!$AC$3:$AC$501,0))&amp;"","")</f>
        <v/>
      </c>
      <c r="X221" s="21" t="str">
        <f aca="false">IFERROR(INDEX(종합!X$3:X$501,MATCH(ROW()-2,종합!$AC$3:$AC$501,0))&amp;"","")</f>
        <v/>
      </c>
      <c r="Y221" s="21" t="str">
        <f aca="false">IFERROR(INDEX(종합!Y$3:Y$501,MATCH(ROW()-2,종합!$AC$3:$AC$501,0))&amp;"","")</f>
        <v/>
      </c>
      <c r="Z221" s="21" t="str">
        <f aca="false">IFERROR(INDEX(종합!Z$3:Z$501,MATCH(ROW()-2,종합!$AC$3:$AC$501,0))&amp;"","")</f>
        <v/>
      </c>
    </row>
    <row r="222" customFormat="false" ht="16.5" hidden="false" customHeight="true" outlineLevel="0" collapsed="false">
      <c r="A222" s="18" t="str">
        <f aca="false">IF(B222="","",ROW()-2)</f>
        <v/>
      </c>
      <c r="B222" s="18" t="str">
        <f aca="false">IFERROR(INDEX(종합!B$3:B$501,MATCH(ROW()-2,종합!$AC$3:$AC$501,0))&amp;"","")</f>
        <v/>
      </c>
      <c r="C222" s="18" t="str">
        <f aca="false">IFERROR(INDEX(종합!C$3:C$501,MATCH(ROW()-2,종합!$AC$3:$AC$501,0))&amp;"","")</f>
        <v/>
      </c>
      <c r="D222" s="18" t="str">
        <f aca="false">IFERROR(INDEX(종합!D$3:D$501,MATCH(ROW()-2,종합!$AC$3:$AC$501,0))&amp;"","")</f>
        <v/>
      </c>
      <c r="E222" s="18" t="str">
        <f aca="false">IFERROR(INDEX(종합!E$3:E$501,MATCH(ROW()-2,종합!$AC$3:$AC$501,0))&amp;"","")</f>
        <v/>
      </c>
      <c r="F222" s="18" t="str">
        <f aca="false">IFERROR(INDEX(종합!F$3:F$501,MATCH(ROW()-2,종합!$AC$3:$AC$501,0))&amp;"","")</f>
        <v/>
      </c>
      <c r="G222" s="18" t="str">
        <f aca="false">IFERROR(INDEX(종합!G$3:G$501,MATCH(ROW()-2,종합!$AC$3:$AC$501,0))&amp;"","")</f>
        <v/>
      </c>
      <c r="H222" s="21" t="str">
        <f aca="false">IFERROR(INDEX(종합!H$3:H$501,MATCH(ROW()-2,종합!$AC$3:$AC$501,0))&amp;"","")</f>
        <v/>
      </c>
      <c r="I222" s="21" t="str">
        <f aca="false">IFERROR(INDEX(종합!I$3:I$501,MATCH(ROW()-2,종합!$AC$3:$AC$501,0))&amp;"","")</f>
        <v/>
      </c>
      <c r="J222" s="21" t="str">
        <f aca="false">IFERROR(INDEX(종합!J$3:J$501,MATCH(ROW()-2,종합!$AC$3:$AC$501,0))&amp;"","")</f>
        <v/>
      </c>
      <c r="K222" s="21" t="str">
        <f aca="false">IFERROR(INDEX(종합!K$3:K$501,MATCH(ROW()-2,종합!$AC$3:$AC$501,0))&amp;"","")</f>
        <v/>
      </c>
      <c r="L222" s="21" t="str">
        <f aca="false">IFERROR(INDEX(종합!L$3:L$501,MATCH(ROW()-2,종합!$AC$3:$AC$501,0))&amp;"","")</f>
        <v/>
      </c>
      <c r="M222" s="21" t="str">
        <f aca="false">IFERROR(INDEX(종합!M$3:M$501,MATCH(ROW()-2,종합!$AC$3:$AC$501,0))&amp;"","")</f>
        <v/>
      </c>
      <c r="N222" s="25" t="str">
        <f aca="false">IFERROR(INDEX(종합!N$3:N$501,MATCH(ROW()-2,종합!$AC$3:$AC$501,0))&amp;"","")</f>
        <v/>
      </c>
      <c r="O222" s="21" t="str">
        <f aca="false">IFERROR(INDEX(종합!O$3:O$501,MATCH(ROW()-2,종합!$AC$3:$AC$501,0))&amp;"","")</f>
        <v/>
      </c>
      <c r="P222" s="21" t="str">
        <f aca="false">IFERROR(INDEX(종합!P$3:P$501,MATCH(ROW()-2,종합!$AC$3:$AC$501,0))&amp;"","")</f>
        <v/>
      </c>
      <c r="Q222" s="21" t="str">
        <f aca="false">IFERROR(INDEX(종합!Q$3:Q$501,MATCH(ROW()-2,종합!$AC$3:$AC$501,0))&amp;"","")</f>
        <v/>
      </c>
      <c r="R222" s="21" t="str">
        <f aca="false">IFERROR(INDEX(종합!R$3:R$501,MATCH(ROW()-2,종합!$AC$3:$AC$501,0))&amp;"","")</f>
        <v/>
      </c>
      <c r="S222" s="21" t="str">
        <f aca="false">IFERROR(INDEX(종합!S$3:S$501,MATCH(ROW()-2,종합!$AC$3:$AC$501,0))&amp;"","")</f>
        <v/>
      </c>
      <c r="T222" s="21" t="str">
        <f aca="false">IFERROR(INDEX(종합!T$3:T$501,MATCH(ROW()-2,종합!$AC$3:$AC$501,0))&amp;"","")</f>
        <v/>
      </c>
      <c r="U222" s="21" t="str">
        <f aca="false">IFERROR(INDEX(종합!U$3:U$501,MATCH(ROW()-2,종합!$AC$3:$AC$501,0))&amp;"","")</f>
        <v/>
      </c>
      <c r="V222" s="21" t="str">
        <f aca="false">IFERROR(INDEX(종합!V$3:V$501,MATCH(ROW()-2,종합!$AC$3:$AC$501,0))&amp;"","")</f>
        <v/>
      </c>
      <c r="W222" s="21" t="str">
        <f aca="false">IFERROR(INDEX(종합!W$3:W$501,MATCH(ROW()-2,종합!$AC$3:$AC$501,0))&amp;"","")</f>
        <v/>
      </c>
      <c r="X222" s="21" t="str">
        <f aca="false">IFERROR(INDEX(종합!X$3:X$501,MATCH(ROW()-2,종합!$AC$3:$AC$501,0))&amp;"","")</f>
        <v/>
      </c>
      <c r="Y222" s="21" t="str">
        <f aca="false">IFERROR(INDEX(종합!Y$3:Y$501,MATCH(ROW()-2,종합!$AC$3:$AC$501,0))&amp;"","")</f>
        <v/>
      </c>
      <c r="Z222" s="21" t="str">
        <f aca="false">IFERROR(INDEX(종합!Z$3:Z$501,MATCH(ROW()-2,종합!$AC$3:$AC$501,0))&amp;"","")</f>
        <v/>
      </c>
    </row>
    <row r="223" customFormat="false" ht="16.5" hidden="false" customHeight="true" outlineLevel="0" collapsed="false">
      <c r="A223" s="18" t="str">
        <f aca="false">IF(B223="","",ROW()-2)</f>
        <v/>
      </c>
      <c r="B223" s="18" t="str">
        <f aca="false">IFERROR(INDEX(종합!B$3:B$501,MATCH(ROW()-2,종합!$AC$3:$AC$501,0))&amp;"","")</f>
        <v/>
      </c>
      <c r="C223" s="18" t="str">
        <f aca="false">IFERROR(INDEX(종합!C$3:C$501,MATCH(ROW()-2,종합!$AC$3:$AC$501,0))&amp;"","")</f>
        <v/>
      </c>
      <c r="D223" s="18" t="str">
        <f aca="false">IFERROR(INDEX(종합!D$3:D$501,MATCH(ROW()-2,종합!$AC$3:$AC$501,0))&amp;"","")</f>
        <v/>
      </c>
      <c r="E223" s="18" t="str">
        <f aca="false">IFERROR(INDEX(종합!E$3:E$501,MATCH(ROW()-2,종합!$AC$3:$AC$501,0))&amp;"","")</f>
        <v/>
      </c>
      <c r="F223" s="18" t="str">
        <f aca="false">IFERROR(INDEX(종합!F$3:F$501,MATCH(ROW()-2,종합!$AC$3:$AC$501,0))&amp;"","")</f>
        <v/>
      </c>
      <c r="G223" s="18" t="str">
        <f aca="false">IFERROR(INDEX(종합!G$3:G$501,MATCH(ROW()-2,종합!$AC$3:$AC$501,0))&amp;"","")</f>
        <v/>
      </c>
      <c r="H223" s="21" t="str">
        <f aca="false">IFERROR(INDEX(종합!H$3:H$501,MATCH(ROW()-2,종합!$AC$3:$AC$501,0))&amp;"","")</f>
        <v/>
      </c>
      <c r="I223" s="21" t="str">
        <f aca="false">IFERROR(INDEX(종합!I$3:I$501,MATCH(ROW()-2,종합!$AC$3:$AC$501,0))&amp;"","")</f>
        <v/>
      </c>
      <c r="J223" s="21" t="str">
        <f aca="false">IFERROR(INDEX(종합!J$3:J$501,MATCH(ROW()-2,종합!$AC$3:$AC$501,0))&amp;"","")</f>
        <v/>
      </c>
      <c r="K223" s="21" t="str">
        <f aca="false">IFERROR(INDEX(종합!K$3:K$501,MATCH(ROW()-2,종합!$AC$3:$AC$501,0))&amp;"","")</f>
        <v/>
      </c>
      <c r="L223" s="21" t="str">
        <f aca="false">IFERROR(INDEX(종합!L$3:L$501,MATCH(ROW()-2,종합!$AC$3:$AC$501,0))&amp;"","")</f>
        <v/>
      </c>
      <c r="M223" s="21" t="str">
        <f aca="false">IFERROR(INDEX(종합!M$3:M$501,MATCH(ROW()-2,종합!$AC$3:$AC$501,0))&amp;"","")</f>
        <v/>
      </c>
      <c r="N223" s="25" t="str">
        <f aca="false">IFERROR(INDEX(종합!N$3:N$501,MATCH(ROW()-2,종합!$AC$3:$AC$501,0))&amp;"","")</f>
        <v/>
      </c>
      <c r="O223" s="21" t="str">
        <f aca="false">IFERROR(INDEX(종합!O$3:O$501,MATCH(ROW()-2,종합!$AC$3:$AC$501,0))&amp;"","")</f>
        <v/>
      </c>
      <c r="P223" s="21" t="str">
        <f aca="false">IFERROR(INDEX(종합!P$3:P$501,MATCH(ROW()-2,종합!$AC$3:$AC$501,0))&amp;"","")</f>
        <v/>
      </c>
      <c r="Q223" s="21" t="str">
        <f aca="false">IFERROR(INDEX(종합!Q$3:Q$501,MATCH(ROW()-2,종합!$AC$3:$AC$501,0))&amp;"","")</f>
        <v/>
      </c>
      <c r="R223" s="21" t="str">
        <f aca="false">IFERROR(INDEX(종합!R$3:R$501,MATCH(ROW()-2,종합!$AC$3:$AC$501,0))&amp;"","")</f>
        <v/>
      </c>
      <c r="S223" s="21" t="str">
        <f aca="false">IFERROR(INDEX(종합!S$3:S$501,MATCH(ROW()-2,종합!$AC$3:$AC$501,0))&amp;"","")</f>
        <v/>
      </c>
      <c r="T223" s="21" t="str">
        <f aca="false">IFERROR(INDEX(종합!T$3:T$501,MATCH(ROW()-2,종합!$AC$3:$AC$501,0))&amp;"","")</f>
        <v/>
      </c>
      <c r="U223" s="21" t="str">
        <f aca="false">IFERROR(INDEX(종합!U$3:U$501,MATCH(ROW()-2,종합!$AC$3:$AC$501,0))&amp;"","")</f>
        <v/>
      </c>
      <c r="V223" s="21" t="str">
        <f aca="false">IFERROR(INDEX(종합!V$3:V$501,MATCH(ROW()-2,종합!$AC$3:$AC$501,0))&amp;"","")</f>
        <v/>
      </c>
      <c r="W223" s="21" t="str">
        <f aca="false">IFERROR(INDEX(종합!W$3:W$501,MATCH(ROW()-2,종합!$AC$3:$AC$501,0))&amp;"","")</f>
        <v/>
      </c>
      <c r="X223" s="21" t="str">
        <f aca="false">IFERROR(INDEX(종합!X$3:X$501,MATCH(ROW()-2,종합!$AC$3:$AC$501,0))&amp;"","")</f>
        <v/>
      </c>
      <c r="Y223" s="21" t="str">
        <f aca="false">IFERROR(INDEX(종합!Y$3:Y$501,MATCH(ROW()-2,종합!$AC$3:$AC$501,0))&amp;"","")</f>
        <v/>
      </c>
      <c r="Z223" s="21" t="str">
        <f aca="false">IFERROR(INDEX(종합!Z$3:Z$501,MATCH(ROW()-2,종합!$AC$3:$AC$501,0))&amp;"","")</f>
        <v/>
      </c>
    </row>
    <row r="224" customFormat="false" ht="16.5" hidden="false" customHeight="true" outlineLevel="0" collapsed="false">
      <c r="A224" s="18" t="str">
        <f aca="false">IF(B224="","",ROW()-2)</f>
        <v/>
      </c>
      <c r="B224" s="18" t="str">
        <f aca="false">IFERROR(INDEX(종합!B$3:B$501,MATCH(ROW()-2,종합!$AC$3:$AC$501,0))&amp;"","")</f>
        <v/>
      </c>
      <c r="C224" s="18" t="str">
        <f aca="false">IFERROR(INDEX(종합!C$3:C$501,MATCH(ROW()-2,종합!$AC$3:$AC$501,0))&amp;"","")</f>
        <v/>
      </c>
      <c r="D224" s="18" t="str">
        <f aca="false">IFERROR(INDEX(종합!D$3:D$501,MATCH(ROW()-2,종합!$AC$3:$AC$501,0))&amp;"","")</f>
        <v/>
      </c>
      <c r="E224" s="18" t="str">
        <f aca="false">IFERROR(INDEX(종합!E$3:E$501,MATCH(ROW()-2,종합!$AC$3:$AC$501,0))&amp;"","")</f>
        <v/>
      </c>
      <c r="F224" s="18" t="str">
        <f aca="false">IFERROR(INDEX(종합!F$3:F$501,MATCH(ROW()-2,종합!$AC$3:$AC$501,0))&amp;"","")</f>
        <v/>
      </c>
      <c r="G224" s="18" t="str">
        <f aca="false">IFERROR(INDEX(종합!G$3:G$501,MATCH(ROW()-2,종합!$AC$3:$AC$501,0))&amp;"","")</f>
        <v/>
      </c>
      <c r="H224" s="21" t="str">
        <f aca="false">IFERROR(INDEX(종합!H$3:H$501,MATCH(ROW()-2,종합!$AC$3:$AC$501,0))&amp;"","")</f>
        <v/>
      </c>
      <c r="I224" s="21" t="str">
        <f aca="false">IFERROR(INDEX(종합!I$3:I$501,MATCH(ROW()-2,종합!$AC$3:$AC$501,0))&amp;"","")</f>
        <v/>
      </c>
      <c r="J224" s="21" t="str">
        <f aca="false">IFERROR(INDEX(종합!J$3:J$501,MATCH(ROW()-2,종합!$AC$3:$AC$501,0))&amp;"","")</f>
        <v/>
      </c>
      <c r="K224" s="21" t="str">
        <f aca="false">IFERROR(INDEX(종합!K$3:K$501,MATCH(ROW()-2,종합!$AC$3:$AC$501,0))&amp;"","")</f>
        <v/>
      </c>
      <c r="L224" s="21" t="str">
        <f aca="false">IFERROR(INDEX(종합!L$3:L$501,MATCH(ROW()-2,종합!$AC$3:$AC$501,0))&amp;"","")</f>
        <v/>
      </c>
      <c r="M224" s="21" t="str">
        <f aca="false">IFERROR(INDEX(종합!M$3:M$501,MATCH(ROW()-2,종합!$AC$3:$AC$501,0))&amp;"","")</f>
        <v/>
      </c>
      <c r="N224" s="25" t="str">
        <f aca="false">IFERROR(INDEX(종합!N$3:N$501,MATCH(ROW()-2,종합!$AC$3:$AC$501,0))&amp;"","")</f>
        <v/>
      </c>
      <c r="O224" s="21" t="str">
        <f aca="false">IFERROR(INDEX(종합!O$3:O$501,MATCH(ROW()-2,종합!$AC$3:$AC$501,0))&amp;"","")</f>
        <v/>
      </c>
      <c r="P224" s="21" t="str">
        <f aca="false">IFERROR(INDEX(종합!P$3:P$501,MATCH(ROW()-2,종합!$AC$3:$AC$501,0))&amp;"","")</f>
        <v/>
      </c>
      <c r="Q224" s="21" t="str">
        <f aca="false">IFERROR(INDEX(종합!Q$3:Q$501,MATCH(ROW()-2,종합!$AC$3:$AC$501,0))&amp;"","")</f>
        <v/>
      </c>
      <c r="R224" s="21" t="str">
        <f aca="false">IFERROR(INDEX(종합!R$3:R$501,MATCH(ROW()-2,종합!$AC$3:$AC$501,0))&amp;"","")</f>
        <v/>
      </c>
      <c r="S224" s="21" t="str">
        <f aca="false">IFERROR(INDEX(종합!S$3:S$501,MATCH(ROW()-2,종합!$AC$3:$AC$501,0))&amp;"","")</f>
        <v/>
      </c>
      <c r="T224" s="21" t="str">
        <f aca="false">IFERROR(INDEX(종합!T$3:T$501,MATCH(ROW()-2,종합!$AC$3:$AC$501,0))&amp;"","")</f>
        <v/>
      </c>
      <c r="U224" s="21" t="str">
        <f aca="false">IFERROR(INDEX(종합!U$3:U$501,MATCH(ROW()-2,종합!$AC$3:$AC$501,0))&amp;"","")</f>
        <v/>
      </c>
      <c r="V224" s="21" t="str">
        <f aca="false">IFERROR(INDEX(종합!V$3:V$501,MATCH(ROW()-2,종합!$AC$3:$AC$501,0))&amp;"","")</f>
        <v/>
      </c>
      <c r="W224" s="21" t="str">
        <f aca="false">IFERROR(INDEX(종합!W$3:W$501,MATCH(ROW()-2,종합!$AC$3:$AC$501,0))&amp;"","")</f>
        <v/>
      </c>
      <c r="X224" s="21" t="str">
        <f aca="false">IFERROR(INDEX(종합!X$3:X$501,MATCH(ROW()-2,종합!$AC$3:$AC$501,0))&amp;"","")</f>
        <v/>
      </c>
      <c r="Y224" s="21" t="str">
        <f aca="false">IFERROR(INDEX(종합!Y$3:Y$501,MATCH(ROW()-2,종합!$AC$3:$AC$501,0))&amp;"","")</f>
        <v/>
      </c>
      <c r="Z224" s="21" t="str">
        <f aca="false">IFERROR(INDEX(종합!Z$3:Z$501,MATCH(ROW()-2,종합!$AC$3:$AC$501,0))&amp;"","")</f>
        <v/>
      </c>
    </row>
    <row r="225" customFormat="false" ht="16.5" hidden="false" customHeight="true" outlineLevel="0" collapsed="false">
      <c r="A225" s="18" t="str">
        <f aca="false">IF(B225="","",ROW()-2)</f>
        <v/>
      </c>
      <c r="B225" s="18" t="str">
        <f aca="false">IFERROR(INDEX(종합!B$3:B$501,MATCH(ROW()-2,종합!$AC$3:$AC$501,0))&amp;"","")</f>
        <v/>
      </c>
      <c r="C225" s="18" t="str">
        <f aca="false">IFERROR(INDEX(종합!C$3:C$501,MATCH(ROW()-2,종합!$AC$3:$AC$501,0))&amp;"","")</f>
        <v/>
      </c>
      <c r="D225" s="18" t="str">
        <f aca="false">IFERROR(INDEX(종합!D$3:D$501,MATCH(ROW()-2,종합!$AC$3:$AC$501,0))&amp;"","")</f>
        <v/>
      </c>
      <c r="E225" s="18" t="str">
        <f aca="false">IFERROR(INDEX(종합!E$3:E$501,MATCH(ROW()-2,종합!$AC$3:$AC$501,0))&amp;"","")</f>
        <v/>
      </c>
      <c r="F225" s="18" t="str">
        <f aca="false">IFERROR(INDEX(종합!F$3:F$501,MATCH(ROW()-2,종합!$AC$3:$AC$501,0))&amp;"","")</f>
        <v/>
      </c>
      <c r="G225" s="18" t="str">
        <f aca="false">IFERROR(INDEX(종합!G$3:G$501,MATCH(ROW()-2,종합!$AC$3:$AC$501,0))&amp;"","")</f>
        <v/>
      </c>
      <c r="H225" s="21" t="str">
        <f aca="false">IFERROR(INDEX(종합!H$3:H$501,MATCH(ROW()-2,종합!$AC$3:$AC$501,0))&amp;"","")</f>
        <v/>
      </c>
      <c r="I225" s="21" t="str">
        <f aca="false">IFERROR(INDEX(종합!I$3:I$501,MATCH(ROW()-2,종합!$AC$3:$AC$501,0))&amp;"","")</f>
        <v/>
      </c>
      <c r="J225" s="21" t="str">
        <f aca="false">IFERROR(INDEX(종합!J$3:J$501,MATCH(ROW()-2,종합!$AC$3:$AC$501,0))&amp;"","")</f>
        <v/>
      </c>
      <c r="K225" s="21" t="str">
        <f aca="false">IFERROR(INDEX(종합!K$3:K$501,MATCH(ROW()-2,종합!$AC$3:$AC$501,0))&amp;"","")</f>
        <v/>
      </c>
      <c r="L225" s="21" t="str">
        <f aca="false">IFERROR(INDEX(종합!L$3:L$501,MATCH(ROW()-2,종합!$AC$3:$AC$501,0))&amp;"","")</f>
        <v/>
      </c>
      <c r="M225" s="21" t="str">
        <f aca="false">IFERROR(INDEX(종합!M$3:M$501,MATCH(ROW()-2,종합!$AC$3:$AC$501,0))&amp;"","")</f>
        <v/>
      </c>
      <c r="N225" s="25" t="str">
        <f aca="false">IFERROR(INDEX(종합!N$3:N$501,MATCH(ROW()-2,종합!$AC$3:$AC$501,0))&amp;"","")</f>
        <v/>
      </c>
      <c r="O225" s="21" t="str">
        <f aca="false">IFERROR(INDEX(종합!O$3:O$501,MATCH(ROW()-2,종합!$AC$3:$AC$501,0))&amp;"","")</f>
        <v/>
      </c>
      <c r="P225" s="21" t="str">
        <f aca="false">IFERROR(INDEX(종합!P$3:P$501,MATCH(ROW()-2,종합!$AC$3:$AC$501,0))&amp;"","")</f>
        <v/>
      </c>
      <c r="Q225" s="21" t="str">
        <f aca="false">IFERROR(INDEX(종합!Q$3:Q$501,MATCH(ROW()-2,종합!$AC$3:$AC$501,0))&amp;"","")</f>
        <v/>
      </c>
      <c r="R225" s="21" t="str">
        <f aca="false">IFERROR(INDEX(종합!R$3:R$501,MATCH(ROW()-2,종합!$AC$3:$AC$501,0))&amp;"","")</f>
        <v/>
      </c>
      <c r="S225" s="21" t="str">
        <f aca="false">IFERROR(INDEX(종합!S$3:S$501,MATCH(ROW()-2,종합!$AC$3:$AC$501,0))&amp;"","")</f>
        <v/>
      </c>
      <c r="T225" s="21" t="str">
        <f aca="false">IFERROR(INDEX(종합!T$3:T$501,MATCH(ROW()-2,종합!$AC$3:$AC$501,0))&amp;"","")</f>
        <v/>
      </c>
      <c r="U225" s="21" t="str">
        <f aca="false">IFERROR(INDEX(종합!U$3:U$501,MATCH(ROW()-2,종합!$AC$3:$AC$501,0))&amp;"","")</f>
        <v/>
      </c>
      <c r="V225" s="21" t="str">
        <f aca="false">IFERROR(INDEX(종합!V$3:V$501,MATCH(ROW()-2,종합!$AC$3:$AC$501,0))&amp;"","")</f>
        <v/>
      </c>
      <c r="W225" s="21" t="str">
        <f aca="false">IFERROR(INDEX(종합!W$3:W$501,MATCH(ROW()-2,종합!$AC$3:$AC$501,0))&amp;"","")</f>
        <v/>
      </c>
      <c r="X225" s="21" t="str">
        <f aca="false">IFERROR(INDEX(종합!X$3:X$501,MATCH(ROW()-2,종합!$AC$3:$AC$501,0))&amp;"","")</f>
        <v/>
      </c>
      <c r="Y225" s="21" t="str">
        <f aca="false">IFERROR(INDEX(종합!Y$3:Y$501,MATCH(ROW()-2,종합!$AC$3:$AC$501,0))&amp;"","")</f>
        <v/>
      </c>
      <c r="Z225" s="21" t="str">
        <f aca="false">IFERROR(INDEX(종합!Z$3:Z$501,MATCH(ROW()-2,종합!$AC$3:$AC$501,0))&amp;"","")</f>
        <v/>
      </c>
    </row>
    <row r="226" customFormat="false" ht="16.5" hidden="false" customHeight="true" outlineLevel="0" collapsed="false">
      <c r="A226" s="18" t="str">
        <f aca="false">IF(B226="","",ROW()-2)</f>
        <v/>
      </c>
      <c r="B226" s="18" t="str">
        <f aca="false">IFERROR(INDEX(종합!B$3:B$501,MATCH(ROW()-2,종합!$AC$3:$AC$501,0))&amp;"","")</f>
        <v/>
      </c>
      <c r="C226" s="18" t="str">
        <f aca="false">IFERROR(INDEX(종합!C$3:C$501,MATCH(ROW()-2,종합!$AC$3:$AC$501,0))&amp;"","")</f>
        <v/>
      </c>
      <c r="D226" s="18" t="str">
        <f aca="false">IFERROR(INDEX(종합!D$3:D$501,MATCH(ROW()-2,종합!$AC$3:$AC$501,0))&amp;"","")</f>
        <v/>
      </c>
      <c r="E226" s="18" t="str">
        <f aca="false">IFERROR(INDEX(종합!E$3:E$501,MATCH(ROW()-2,종합!$AC$3:$AC$501,0))&amp;"","")</f>
        <v/>
      </c>
      <c r="F226" s="18" t="str">
        <f aca="false">IFERROR(INDEX(종합!F$3:F$501,MATCH(ROW()-2,종합!$AC$3:$AC$501,0))&amp;"","")</f>
        <v/>
      </c>
      <c r="G226" s="18" t="str">
        <f aca="false">IFERROR(INDEX(종합!G$3:G$501,MATCH(ROW()-2,종합!$AC$3:$AC$501,0))&amp;"","")</f>
        <v/>
      </c>
      <c r="H226" s="21" t="str">
        <f aca="false">IFERROR(INDEX(종합!H$3:H$501,MATCH(ROW()-2,종합!$AC$3:$AC$501,0))&amp;"","")</f>
        <v/>
      </c>
      <c r="I226" s="21" t="str">
        <f aca="false">IFERROR(INDEX(종합!I$3:I$501,MATCH(ROW()-2,종합!$AC$3:$AC$501,0))&amp;"","")</f>
        <v/>
      </c>
      <c r="J226" s="21" t="str">
        <f aca="false">IFERROR(INDEX(종합!J$3:J$501,MATCH(ROW()-2,종합!$AC$3:$AC$501,0))&amp;"","")</f>
        <v/>
      </c>
      <c r="K226" s="21" t="str">
        <f aca="false">IFERROR(INDEX(종합!K$3:K$501,MATCH(ROW()-2,종합!$AC$3:$AC$501,0))&amp;"","")</f>
        <v/>
      </c>
      <c r="L226" s="21" t="str">
        <f aca="false">IFERROR(INDEX(종합!L$3:L$501,MATCH(ROW()-2,종합!$AC$3:$AC$501,0))&amp;"","")</f>
        <v/>
      </c>
      <c r="M226" s="21" t="str">
        <f aca="false">IFERROR(INDEX(종합!M$3:M$501,MATCH(ROW()-2,종합!$AC$3:$AC$501,0))&amp;"","")</f>
        <v/>
      </c>
      <c r="N226" s="25" t="str">
        <f aca="false">IFERROR(INDEX(종합!N$3:N$501,MATCH(ROW()-2,종합!$AC$3:$AC$501,0))&amp;"","")</f>
        <v/>
      </c>
      <c r="O226" s="21" t="str">
        <f aca="false">IFERROR(INDEX(종합!O$3:O$501,MATCH(ROW()-2,종합!$AC$3:$AC$501,0))&amp;"","")</f>
        <v/>
      </c>
      <c r="P226" s="21" t="str">
        <f aca="false">IFERROR(INDEX(종합!P$3:P$501,MATCH(ROW()-2,종합!$AC$3:$AC$501,0))&amp;"","")</f>
        <v/>
      </c>
      <c r="Q226" s="21" t="str">
        <f aca="false">IFERROR(INDEX(종합!Q$3:Q$501,MATCH(ROW()-2,종합!$AC$3:$AC$501,0))&amp;"","")</f>
        <v/>
      </c>
      <c r="R226" s="21" t="str">
        <f aca="false">IFERROR(INDEX(종합!R$3:R$501,MATCH(ROW()-2,종합!$AC$3:$AC$501,0))&amp;"","")</f>
        <v/>
      </c>
      <c r="S226" s="21" t="str">
        <f aca="false">IFERROR(INDEX(종합!S$3:S$501,MATCH(ROW()-2,종합!$AC$3:$AC$501,0))&amp;"","")</f>
        <v/>
      </c>
      <c r="T226" s="21" t="str">
        <f aca="false">IFERROR(INDEX(종합!T$3:T$501,MATCH(ROW()-2,종합!$AC$3:$AC$501,0))&amp;"","")</f>
        <v/>
      </c>
      <c r="U226" s="21" t="str">
        <f aca="false">IFERROR(INDEX(종합!U$3:U$501,MATCH(ROW()-2,종합!$AC$3:$AC$501,0))&amp;"","")</f>
        <v/>
      </c>
      <c r="V226" s="21" t="str">
        <f aca="false">IFERROR(INDEX(종합!V$3:V$501,MATCH(ROW()-2,종합!$AC$3:$AC$501,0))&amp;"","")</f>
        <v/>
      </c>
      <c r="W226" s="21" t="str">
        <f aca="false">IFERROR(INDEX(종합!W$3:W$501,MATCH(ROW()-2,종합!$AC$3:$AC$501,0))&amp;"","")</f>
        <v/>
      </c>
      <c r="X226" s="21" t="str">
        <f aca="false">IFERROR(INDEX(종합!X$3:X$501,MATCH(ROW()-2,종합!$AC$3:$AC$501,0))&amp;"","")</f>
        <v/>
      </c>
      <c r="Y226" s="21" t="str">
        <f aca="false">IFERROR(INDEX(종합!Y$3:Y$501,MATCH(ROW()-2,종합!$AC$3:$AC$501,0))&amp;"","")</f>
        <v/>
      </c>
      <c r="Z226" s="21" t="str">
        <f aca="false">IFERROR(INDEX(종합!Z$3:Z$501,MATCH(ROW()-2,종합!$AC$3:$AC$501,0))&amp;"","")</f>
        <v/>
      </c>
    </row>
    <row r="227" customFormat="false" ht="16.5" hidden="false" customHeight="true" outlineLevel="0" collapsed="false">
      <c r="A227" s="18" t="str">
        <f aca="false">IF(B227="","",ROW()-2)</f>
        <v/>
      </c>
      <c r="B227" s="18" t="str">
        <f aca="false">IFERROR(INDEX(종합!B$3:B$501,MATCH(ROW()-2,종합!$AC$3:$AC$501,0))&amp;"","")</f>
        <v/>
      </c>
      <c r="C227" s="18" t="str">
        <f aca="false">IFERROR(INDEX(종합!C$3:C$501,MATCH(ROW()-2,종합!$AC$3:$AC$501,0))&amp;"","")</f>
        <v/>
      </c>
      <c r="D227" s="18" t="str">
        <f aca="false">IFERROR(INDEX(종합!D$3:D$501,MATCH(ROW()-2,종합!$AC$3:$AC$501,0))&amp;"","")</f>
        <v/>
      </c>
      <c r="E227" s="18" t="str">
        <f aca="false">IFERROR(INDEX(종합!E$3:E$501,MATCH(ROW()-2,종합!$AC$3:$AC$501,0))&amp;"","")</f>
        <v/>
      </c>
      <c r="F227" s="18" t="str">
        <f aca="false">IFERROR(INDEX(종합!F$3:F$501,MATCH(ROW()-2,종합!$AC$3:$AC$501,0))&amp;"","")</f>
        <v/>
      </c>
      <c r="G227" s="18" t="str">
        <f aca="false">IFERROR(INDEX(종합!G$3:G$501,MATCH(ROW()-2,종합!$AC$3:$AC$501,0))&amp;"","")</f>
        <v/>
      </c>
      <c r="H227" s="21" t="str">
        <f aca="false">IFERROR(INDEX(종합!H$3:H$501,MATCH(ROW()-2,종합!$AC$3:$AC$501,0))&amp;"","")</f>
        <v/>
      </c>
      <c r="I227" s="21" t="str">
        <f aca="false">IFERROR(INDEX(종합!I$3:I$501,MATCH(ROW()-2,종합!$AC$3:$AC$501,0))&amp;"","")</f>
        <v/>
      </c>
      <c r="J227" s="21" t="str">
        <f aca="false">IFERROR(INDEX(종합!J$3:J$501,MATCH(ROW()-2,종합!$AC$3:$AC$501,0))&amp;"","")</f>
        <v/>
      </c>
      <c r="K227" s="21" t="str">
        <f aca="false">IFERROR(INDEX(종합!K$3:K$501,MATCH(ROW()-2,종합!$AC$3:$AC$501,0))&amp;"","")</f>
        <v/>
      </c>
      <c r="L227" s="21" t="str">
        <f aca="false">IFERROR(INDEX(종합!L$3:L$501,MATCH(ROW()-2,종합!$AC$3:$AC$501,0))&amp;"","")</f>
        <v/>
      </c>
      <c r="M227" s="21" t="str">
        <f aca="false">IFERROR(INDEX(종합!M$3:M$501,MATCH(ROW()-2,종합!$AC$3:$AC$501,0))&amp;"","")</f>
        <v/>
      </c>
      <c r="N227" s="25" t="str">
        <f aca="false">IFERROR(INDEX(종합!N$3:N$501,MATCH(ROW()-2,종합!$AC$3:$AC$501,0))&amp;"","")</f>
        <v/>
      </c>
      <c r="O227" s="21" t="str">
        <f aca="false">IFERROR(INDEX(종합!O$3:O$501,MATCH(ROW()-2,종합!$AC$3:$AC$501,0))&amp;"","")</f>
        <v/>
      </c>
      <c r="P227" s="21" t="str">
        <f aca="false">IFERROR(INDEX(종합!P$3:P$501,MATCH(ROW()-2,종합!$AC$3:$AC$501,0))&amp;"","")</f>
        <v/>
      </c>
      <c r="Q227" s="21" t="str">
        <f aca="false">IFERROR(INDEX(종합!Q$3:Q$501,MATCH(ROW()-2,종합!$AC$3:$AC$501,0))&amp;"","")</f>
        <v/>
      </c>
      <c r="R227" s="21" t="str">
        <f aca="false">IFERROR(INDEX(종합!R$3:R$501,MATCH(ROW()-2,종합!$AC$3:$AC$501,0))&amp;"","")</f>
        <v/>
      </c>
      <c r="S227" s="21" t="str">
        <f aca="false">IFERROR(INDEX(종합!S$3:S$501,MATCH(ROW()-2,종합!$AC$3:$AC$501,0))&amp;"","")</f>
        <v/>
      </c>
      <c r="T227" s="21" t="str">
        <f aca="false">IFERROR(INDEX(종합!T$3:T$501,MATCH(ROW()-2,종합!$AC$3:$AC$501,0))&amp;"","")</f>
        <v/>
      </c>
      <c r="U227" s="21" t="str">
        <f aca="false">IFERROR(INDEX(종합!U$3:U$501,MATCH(ROW()-2,종합!$AC$3:$AC$501,0))&amp;"","")</f>
        <v/>
      </c>
      <c r="V227" s="21" t="str">
        <f aca="false">IFERROR(INDEX(종합!V$3:V$501,MATCH(ROW()-2,종합!$AC$3:$AC$501,0))&amp;"","")</f>
        <v/>
      </c>
      <c r="W227" s="21" t="str">
        <f aca="false">IFERROR(INDEX(종합!W$3:W$501,MATCH(ROW()-2,종합!$AC$3:$AC$501,0))&amp;"","")</f>
        <v/>
      </c>
      <c r="X227" s="21" t="str">
        <f aca="false">IFERROR(INDEX(종합!X$3:X$501,MATCH(ROW()-2,종합!$AC$3:$AC$501,0))&amp;"","")</f>
        <v/>
      </c>
      <c r="Y227" s="21" t="str">
        <f aca="false">IFERROR(INDEX(종합!Y$3:Y$501,MATCH(ROW()-2,종합!$AC$3:$AC$501,0))&amp;"","")</f>
        <v/>
      </c>
      <c r="Z227" s="21" t="str">
        <f aca="false">IFERROR(INDEX(종합!Z$3:Z$501,MATCH(ROW()-2,종합!$AC$3:$AC$501,0))&amp;"","")</f>
        <v/>
      </c>
    </row>
    <row r="228" customFormat="false" ht="16.5" hidden="false" customHeight="true" outlineLevel="0" collapsed="false">
      <c r="A228" s="18" t="str">
        <f aca="false">IF(B228="","",ROW()-2)</f>
        <v/>
      </c>
      <c r="B228" s="18" t="str">
        <f aca="false">IFERROR(INDEX(종합!B$3:B$501,MATCH(ROW()-2,종합!$AC$3:$AC$501,0))&amp;"","")</f>
        <v/>
      </c>
      <c r="C228" s="18" t="str">
        <f aca="false">IFERROR(INDEX(종합!C$3:C$501,MATCH(ROW()-2,종합!$AC$3:$AC$501,0))&amp;"","")</f>
        <v/>
      </c>
      <c r="D228" s="18" t="str">
        <f aca="false">IFERROR(INDEX(종합!D$3:D$501,MATCH(ROW()-2,종합!$AC$3:$AC$501,0))&amp;"","")</f>
        <v/>
      </c>
      <c r="E228" s="18" t="str">
        <f aca="false">IFERROR(INDEX(종합!E$3:E$501,MATCH(ROW()-2,종합!$AC$3:$AC$501,0))&amp;"","")</f>
        <v/>
      </c>
      <c r="F228" s="18" t="str">
        <f aca="false">IFERROR(INDEX(종합!F$3:F$501,MATCH(ROW()-2,종합!$AC$3:$AC$501,0))&amp;"","")</f>
        <v/>
      </c>
      <c r="G228" s="18" t="str">
        <f aca="false">IFERROR(INDEX(종합!G$3:G$501,MATCH(ROW()-2,종합!$AC$3:$AC$501,0))&amp;"","")</f>
        <v/>
      </c>
      <c r="H228" s="21" t="str">
        <f aca="false">IFERROR(INDEX(종합!H$3:H$501,MATCH(ROW()-2,종합!$AC$3:$AC$501,0))&amp;"","")</f>
        <v/>
      </c>
      <c r="I228" s="21" t="str">
        <f aca="false">IFERROR(INDEX(종합!I$3:I$501,MATCH(ROW()-2,종합!$AC$3:$AC$501,0))&amp;"","")</f>
        <v/>
      </c>
      <c r="J228" s="21" t="str">
        <f aca="false">IFERROR(INDEX(종합!J$3:J$501,MATCH(ROW()-2,종합!$AC$3:$AC$501,0))&amp;"","")</f>
        <v/>
      </c>
      <c r="K228" s="21" t="str">
        <f aca="false">IFERROR(INDEX(종합!K$3:K$501,MATCH(ROW()-2,종합!$AC$3:$AC$501,0))&amp;"","")</f>
        <v/>
      </c>
      <c r="L228" s="21" t="str">
        <f aca="false">IFERROR(INDEX(종합!L$3:L$501,MATCH(ROW()-2,종합!$AC$3:$AC$501,0))&amp;"","")</f>
        <v/>
      </c>
      <c r="M228" s="21" t="str">
        <f aca="false">IFERROR(INDEX(종합!M$3:M$501,MATCH(ROW()-2,종합!$AC$3:$AC$501,0))&amp;"","")</f>
        <v/>
      </c>
      <c r="N228" s="25" t="str">
        <f aca="false">IFERROR(INDEX(종합!N$3:N$501,MATCH(ROW()-2,종합!$AC$3:$AC$501,0))&amp;"","")</f>
        <v/>
      </c>
      <c r="O228" s="21" t="str">
        <f aca="false">IFERROR(INDEX(종합!O$3:O$501,MATCH(ROW()-2,종합!$AC$3:$AC$501,0))&amp;"","")</f>
        <v/>
      </c>
      <c r="P228" s="21" t="str">
        <f aca="false">IFERROR(INDEX(종합!P$3:P$501,MATCH(ROW()-2,종합!$AC$3:$AC$501,0))&amp;"","")</f>
        <v/>
      </c>
      <c r="Q228" s="21" t="str">
        <f aca="false">IFERROR(INDEX(종합!Q$3:Q$501,MATCH(ROW()-2,종합!$AC$3:$AC$501,0))&amp;"","")</f>
        <v/>
      </c>
      <c r="R228" s="21" t="str">
        <f aca="false">IFERROR(INDEX(종합!R$3:R$501,MATCH(ROW()-2,종합!$AC$3:$AC$501,0))&amp;"","")</f>
        <v/>
      </c>
      <c r="S228" s="21" t="str">
        <f aca="false">IFERROR(INDEX(종합!S$3:S$501,MATCH(ROW()-2,종합!$AC$3:$AC$501,0))&amp;"","")</f>
        <v/>
      </c>
      <c r="T228" s="21" t="str">
        <f aca="false">IFERROR(INDEX(종합!T$3:T$501,MATCH(ROW()-2,종합!$AC$3:$AC$501,0))&amp;"","")</f>
        <v/>
      </c>
      <c r="U228" s="21" t="str">
        <f aca="false">IFERROR(INDEX(종합!U$3:U$501,MATCH(ROW()-2,종합!$AC$3:$AC$501,0))&amp;"","")</f>
        <v/>
      </c>
      <c r="V228" s="21" t="str">
        <f aca="false">IFERROR(INDEX(종합!V$3:V$501,MATCH(ROW()-2,종합!$AC$3:$AC$501,0))&amp;"","")</f>
        <v/>
      </c>
      <c r="W228" s="21" t="str">
        <f aca="false">IFERROR(INDEX(종합!W$3:W$501,MATCH(ROW()-2,종합!$AC$3:$AC$501,0))&amp;"","")</f>
        <v/>
      </c>
      <c r="X228" s="21" t="str">
        <f aca="false">IFERROR(INDEX(종합!X$3:X$501,MATCH(ROW()-2,종합!$AC$3:$AC$501,0))&amp;"","")</f>
        <v/>
      </c>
      <c r="Y228" s="21" t="str">
        <f aca="false">IFERROR(INDEX(종합!Y$3:Y$501,MATCH(ROW()-2,종합!$AC$3:$AC$501,0))&amp;"","")</f>
        <v/>
      </c>
      <c r="Z228" s="21" t="str">
        <f aca="false">IFERROR(INDEX(종합!Z$3:Z$501,MATCH(ROW()-2,종합!$AC$3:$AC$501,0))&amp;"","")</f>
        <v/>
      </c>
    </row>
    <row r="229" customFormat="false" ht="16.5" hidden="false" customHeight="true" outlineLevel="0" collapsed="false">
      <c r="A229" s="18" t="str">
        <f aca="false">IF(B229="","",ROW()-2)</f>
        <v/>
      </c>
      <c r="B229" s="18" t="str">
        <f aca="false">IFERROR(INDEX(종합!B$3:B$501,MATCH(ROW()-2,종합!$AC$3:$AC$501,0))&amp;"","")</f>
        <v/>
      </c>
      <c r="C229" s="18" t="str">
        <f aca="false">IFERROR(INDEX(종합!C$3:C$501,MATCH(ROW()-2,종합!$AC$3:$AC$501,0))&amp;"","")</f>
        <v/>
      </c>
      <c r="D229" s="18" t="str">
        <f aca="false">IFERROR(INDEX(종합!D$3:D$501,MATCH(ROW()-2,종합!$AC$3:$AC$501,0))&amp;"","")</f>
        <v/>
      </c>
      <c r="E229" s="18" t="str">
        <f aca="false">IFERROR(INDEX(종합!E$3:E$501,MATCH(ROW()-2,종합!$AC$3:$AC$501,0))&amp;"","")</f>
        <v/>
      </c>
      <c r="F229" s="18" t="str">
        <f aca="false">IFERROR(INDEX(종합!F$3:F$501,MATCH(ROW()-2,종합!$AC$3:$AC$501,0))&amp;"","")</f>
        <v/>
      </c>
      <c r="G229" s="18" t="str">
        <f aca="false">IFERROR(INDEX(종합!G$3:G$501,MATCH(ROW()-2,종합!$AC$3:$AC$501,0))&amp;"","")</f>
        <v/>
      </c>
      <c r="H229" s="21" t="str">
        <f aca="false">IFERROR(INDEX(종합!H$3:H$501,MATCH(ROW()-2,종합!$AC$3:$AC$501,0))&amp;"","")</f>
        <v/>
      </c>
      <c r="I229" s="21" t="str">
        <f aca="false">IFERROR(INDEX(종합!I$3:I$501,MATCH(ROW()-2,종합!$AC$3:$AC$501,0))&amp;"","")</f>
        <v/>
      </c>
      <c r="J229" s="21" t="str">
        <f aca="false">IFERROR(INDEX(종합!J$3:J$501,MATCH(ROW()-2,종합!$AC$3:$AC$501,0))&amp;"","")</f>
        <v/>
      </c>
      <c r="K229" s="21" t="str">
        <f aca="false">IFERROR(INDEX(종합!K$3:K$501,MATCH(ROW()-2,종합!$AC$3:$AC$501,0))&amp;"","")</f>
        <v/>
      </c>
      <c r="L229" s="21" t="str">
        <f aca="false">IFERROR(INDEX(종합!L$3:L$501,MATCH(ROW()-2,종합!$AC$3:$AC$501,0))&amp;"","")</f>
        <v/>
      </c>
      <c r="M229" s="21" t="str">
        <f aca="false">IFERROR(INDEX(종합!M$3:M$501,MATCH(ROW()-2,종합!$AC$3:$AC$501,0))&amp;"","")</f>
        <v/>
      </c>
      <c r="N229" s="25" t="str">
        <f aca="false">IFERROR(INDEX(종합!N$3:N$501,MATCH(ROW()-2,종합!$AC$3:$AC$501,0))&amp;"","")</f>
        <v/>
      </c>
      <c r="O229" s="21" t="str">
        <f aca="false">IFERROR(INDEX(종합!O$3:O$501,MATCH(ROW()-2,종합!$AC$3:$AC$501,0))&amp;"","")</f>
        <v/>
      </c>
      <c r="P229" s="21" t="str">
        <f aca="false">IFERROR(INDEX(종합!P$3:P$501,MATCH(ROW()-2,종합!$AC$3:$AC$501,0))&amp;"","")</f>
        <v/>
      </c>
      <c r="Q229" s="21" t="str">
        <f aca="false">IFERROR(INDEX(종합!Q$3:Q$501,MATCH(ROW()-2,종합!$AC$3:$AC$501,0))&amp;"","")</f>
        <v/>
      </c>
      <c r="R229" s="21" t="str">
        <f aca="false">IFERROR(INDEX(종합!R$3:R$501,MATCH(ROW()-2,종합!$AC$3:$AC$501,0))&amp;"","")</f>
        <v/>
      </c>
      <c r="S229" s="21" t="str">
        <f aca="false">IFERROR(INDEX(종합!S$3:S$501,MATCH(ROW()-2,종합!$AC$3:$AC$501,0))&amp;"","")</f>
        <v/>
      </c>
      <c r="T229" s="21" t="str">
        <f aca="false">IFERROR(INDEX(종합!T$3:T$501,MATCH(ROW()-2,종합!$AC$3:$AC$501,0))&amp;"","")</f>
        <v/>
      </c>
      <c r="U229" s="21" t="str">
        <f aca="false">IFERROR(INDEX(종합!U$3:U$501,MATCH(ROW()-2,종합!$AC$3:$AC$501,0))&amp;"","")</f>
        <v/>
      </c>
      <c r="V229" s="21" t="str">
        <f aca="false">IFERROR(INDEX(종합!V$3:V$501,MATCH(ROW()-2,종합!$AC$3:$AC$501,0))&amp;"","")</f>
        <v/>
      </c>
      <c r="W229" s="21" t="str">
        <f aca="false">IFERROR(INDEX(종합!W$3:W$501,MATCH(ROW()-2,종합!$AC$3:$AC$501,0))&amp;"","")</f>
        <v/>
      </c>
      <c r="X229" s="21" t="str">
        <f aca="false">IFERROR(INDEX(종합!X$3:X$501,MATCH(ROW()-2,종합!$AC$3:$AC$501,0))&amp;"","")</f>
        <v/>
      </c>
      <c r="Y229" s="21" t="str">
        <f aca="false">IFERROR(INDEX(종합!Y$3:Y$501,MATCH(ROW()-2,종합!$AC$3:$AC$501,0))&amp;"","")</f>
        <v/>
      </c>
      <c r="Z229" s="21" t="str">
        <f aca="false">IFERROR(INDEX(종합!Z$3:Z$501,MATCH(ROW()-2,종합!$AC$3:$AC$501,0))&amp;"","")</f>
        <v/>
      </c>
    </row>
    <row r="230" customFormat="false" ht="16.5" hidden="false" customHeight="true" outlineLevel="0" collapsed="false">
      <c r="A230" s="18" t="str">
        <f aca="false">IF(B230="","",ROW()-2)</f>
        <v/>
      </c>
      <c r="B230" s="18" t="str">
        <f aca="false">IFERROR(INDEX(종합!B$3:B$501,MATCH(ROW()-2,종합!$AC$3:$AC$501,0))&amp;"","")</f>
        <v/>
      </c>
      <c r="C230" s="18" t="str">
        <f aca="false">IFERROR(INDEX(종합!C$3:C$501,MATCH(ROW()-2,종합!$AC$3:$AC$501,0))&amp;"","")</f>
        <v/>
      </c>
      <c r="D230" s="18" t="str">
        <f aca="false">IFERROR(INDEX(종합!D$3:D$501,MATCH(ROW()-2,종합!$AC$3:$AC$501,0))&amp;"","")</f>
        <v/>
      </c>
      <c r="E230" s="18" t="str">
        <f aca="false">IFERROR(INDEX(종합!E$3:E$501,MATCH(ROW()-2,종합!$AC$3:$AC$501,0))&amp;"","")</f>
        <v/>
      </c>
      <c r="F230" s="18" t="str">
        <f aca="false">IFERROR(INDEX(종합!F$3:F$501,MATCH(ROW()-2,종합!$AC$3:$AC$501,0))&amp;"","")</f>
        <v/>
      </c>
      <c r="G230" s="18" t="str">
        <f aca="false">IFERROR(INDEX(종합!G$3:G$501,MATCH(ROW()-2,종합!$AC$3:$AC$501,0))&amp;"","")</f>
        <v/>
      </c>
      <c r="H230" s="21" t="str">
        <f aca="false">IFERROR(INDEX(종합!H$3:H$501,MATCH(ROW()-2,종합!$AC$3:$AC$501,0))&amp;"","")</f>
        <v/>
      </c>
      <c r="I230" s="21" t="str">
        <f aca="false">IFERROR(INDEX(종합!I$3:I$501,MATCH(ROW()-2,종합!$AC$3:$AC$501,0))&amp;"","")</f>
        <v/>
      </c>
      <c r="J230" s="21" t="str">
        <f aca="false">IFERROR(INDEX(종합!J$3:J$501,MATCH(ROW()-2,종합!$AC$3:$AC$501,0))&amp;"","")</f>
        <v/>
      </c>
      <c r="K230" s="21" t="str">
        <f aca="false">IFERROR(INDEX(종합!K$3:K$501,MATCH(ROW()-2,종합!$AC$3:$AC$501,0))&amp;"","")</f>
        <v/>
      </c>
      <c r="L230" s="21" t="str">
        <f aca="false">IFERROR(INDEX(종합!L$3:L$501,MATCH(ROW()-2,종합!$AC$3:$AC$501,0))&amp;"","")</f>
        <v/>
      </c>
      <c r="M230" s="21" t="str">
        <f aca="false">IFERROR(INDEX(종합!M$3:M$501,MATCH(ROW()-2,종합!$AC$3:$AC$501,0))&amp;"","")</f>
        <v/>
      </c>
      <c r="N230" s="25" t="str">
        <f aca="false">IFERROR(INDEX(종합!N$3:N$501,MATCH(ROW()-2,종합!$AC$3:$AC$501,0))&amp;"","")</f>
        <v/>
      </c>
      <c r="O230" s="21" t="str">
        <f aca="false">IFERROR(INDEX(종합!O$3:O$501,MATCH(ROW()-2,종합!$AC$3:$AC$501,0))&amp;"","")</f>
        <v/>
      </c>
      <c r="P230" s="21" t="str">
        <f aca="false">IFERROR(INDEX(종합!P$3:P$501,MATCH(ROW()-2,종합!$AC$3:$AC$501,0))&amp;"","")</f>
        <v/>
      </c>
      <c r="Q230" s="21" t="str">
        <f aca="false">IFERROR(INDEX(종합!Q$3:Q$501,MATCH(ROW()-2,종합!$AC$3:$AC$501,0))&amp;"","")</f>
        <v/>
      </c>
      <c r="R230" s="21" t="str">
        <f aca="false">IFERROR(INDEX(종합!R$3:R$501,MATCH(ROW()-2,종합!$AC$3:$AC$501,0))&amp;"","")</f>
        <v/>
      </c>
      <c r="S230" s="21" t="str">
        <f aca="false">IFERROR(INDEX(종합!S$3:S$501,MATCH(ROW()-2,종합!$AC$3:$AC$501,0))&amp;"","")</f>
        <v/>
      </c>
      <c r="T230" s="21" t="str">
        <f aca="false">IFERROR(INDEX(종합!T$3:T$501,MATCH(ROW()-2,종합!$AC$3:$AC$501,0))&amp;"","")</f>
        <v/>
      </c>
      <c r="U230" s="21" t="str">
        <f aca="false">IFERROR(INDEX(종합!U$3:U$501,MATCH(ROW()-2,종합!$AC$3:$AC$501,0))&amp;"","")</f>
        <v/>
      </c>
      <c r="V230" s="21" t="str">
        <f aca="false">IFERROR(INDEX(종합!V$3:V$501,MATCH(ROW()-2,종합!$AC$3:$AC$501,0))&amp;"","")</f>
        <v/>
      </c>
      <c r="W230" s="21" t="str">
        <f aca="false">IFERROR(INDEX(종합!W$3:W$501,MATCH(ROW()-2,종합!$AC$3:$AC$501,0))&amp;"","")</f>
        <v/>
      </c>
      <c r="X230" s="21" t="str">
        <f aca="false">IFERROR(INDEX(종합!X$3:X$501,MATCH(ROW()-2,종합!$AC$3:$AC$501,0))&amp;"","")</f>
        <v/>
      </c>
      <c r="Y230" s="21" t="str">
        <f aca="false">IFERROR(INDEX(종합!Y$3:Y$501,MATCH(ROW()-2,종합!$AC$3:$AC$501,0))&amp;"","")</f>
        <v/>
      </c>
      <c r="Z230" s="21" t="str">
        <f aca="false">IFERROR(INDEX(종합!Z$3:Z$501,MATCH(ROW()-2,종합!$AC$3:$AC$501,0))&amp;"","")</f>
        <v/>
      </c>
    </row>
    <row r="231" customFormat="false" ht="16.5" hidden="false" customHeight="true" outlineLevel="0" collapsed="false">
      <c r="A231" s="18" t="str">
        <f aca="false">IF(B231="","",ROW()-2)</f>
        <v/>
      </c>
      <c r="B231" s="18" t="str">
        <f aca="false">IFERROR(INDEX(종합!B$3:B$501,MATCH(ROW()-2,종합!$AC$3:$AC$501,0))&amp;"","")</f>
        <v/>
      </c>
      <c r="C231" s="18" t="str">
        <f aca="false">IFERROR(INDEX(종합!C$3:C$501,MATCH(ROW()-2,종합!$AC$3:$AC$501,0))&amp;"","")</f>
        <v/>
      </c>
      <c r="D231" s="18" t="str">
        <f aca="false">IFERROR(INDEX(종합!D$3:D$501,MATCH(ROW()-2,종합!$AC$3:$AC$501,0))&amp;"","")</f>
        <v/>
      </c>
      <c r="E231" s="18" t="str">
        <f aca="false">IFERROR(INDEX(종합!E$3:E$501,MATCH(ROW()-2,종합!$AC$3:$AC$501,0))&amp;"","")</f>
        <v/>
      </c>
      <c r="F231" s="18" t="str">
        <f aca="false">IFERROR(INDEX(종합!F$3:F$501,MATCH(ROW()-2,종합!$AC$3:$AC$501,0))&amp;"","")</f>
        <v/>
      </c>
      <c r="G231" s="18" t="str">
        <f aca="false">IFERROR(INDEX(종합!G$3:G$501,MATCH(ROW()-2,종합!$AC$3:$AC$501,0))&amp;"","")</f>
        <v/>
      </c>
      <c r="H231" s="21" t="str">
        <f aca="false">IFERROR(INDEX(종합!H$3:H$501,MATCH(ROW()-2,종합!$AC$3:$AC$501,0))&amp;"","")</f>
        <v/>
      </c>
      <c r="I231" s="21" t="str">
        <f aca="false">IFERROR(INDEX(종합!I$3:I$501,MATCH(ROW()-2,종합!$AC$3:$AC$501,0))&amp;"","")</f>
        <v/>
      </c>
      <c r="J231" s="21" t="str">
        <f aca="false">IFERROR(INDEX(종합!J$3:J$501,MATCH(ROW()-2,종합!$AC$3:$AC$501,0))&amp;"","")</f>
        <v/>
      </c>
      <c r="K231" s="21" t="str">
        <f aca="false">IFERROR(INDEX(종합!K$3:K$501,MATCH(ROW()-2,종합!$AC$3:$AC$501,0))&amp;"","")</f>
        <v/>
      </c>
      <c r="L231" s="21" t="str">
        <f aca="false">IFERROR(INDEX(종합!L$3:L$501,MATCH(ROW()-2,종합!$AC$3:$AC$501,0))&amp;"","")</f>
        <v/>
      </c>
      <c r="M231" s="21" t="str">
        <f aca="false">IFERROR(INDEX(종합!M$3:M$501,MATCH(ROW()-2,종합!$AC$3:$AC$501,0))&amp;"","")</f>
        <v/>
      </c>
      <c r="N231" s="25" t="str">
        <f aca="false">IFERROR(INDEX(종합!N$3:N$501,MATCH(ROW()-2,종합!$AC$3:$AC$501,0))&amp;"","")</f>
        <v/>
      </c>
      <c r="O231" s="21" t="str">
        <f aca="false">IFERROR(INDEX(종합!O$3:O$501,MATCH(ROW()-2,종합!$AC$3:$AC$501,0))&amp;"","")</f>
        <v/>
      </c>
      <c r="P231" s="21" t="str">
        <f aca="false">IFERROR(INDEX(종합!P$3:P$501,MATCH(ROW()-2,종합!$AC$3:$AC$501,0))&amp;"","")</f>
        <v/>
      </c>
      <c r="Q231" s="21" t="str">
        <f aca="false">IFERROR(INDEX(종합!Q$3:Q$501,MATCH(ROW()-2,종합!$AC$3:$AC$501,0))&amp;"","")</f>
        <v/>
      </c>
      <c r="R231" s="21" t="str">
        <f aca="false">IFERROR(INDEX(종합!R$3:R$501,MATCH(ROW()-2,종합!$AC$3:$AC$501,0))&amp;"","")</f>
        <v/>
      </c>
      <c r="S231" s="21" t="str">
        <f aca="false">IFERROR(INDEX(종합!S$3:S$501,MATCH(ROW()-2,종합!$AC$3:$AC$501,0))&amp;"","")</f>
        <v/>
      </c>
      <c r="T231" s="21" t="str">
        <f aca="false">IFERROR(INDEX(종합!T$3:T$501,MATCH(ROW()-2,종합!$AC$3:$AC$501,0))&amp;"","")</f>
        <v/>
      </c>
      <c r="U231" s="21" t="str">
        <f aca="false">IFERROR(INDEX(종합!U$3:U$501,MATCH(ROW()-2,종합!$AC$3:$AC$501,0))&amp;"","")</f>
        <v/>
      </c>
      <c r="V231" s="21" t="str">
        <f aca="false">IFERROR(INDEX(종합!V$3:V$501,MATCH(ROW()-2,종합!$AC$3:$AC$501,0))&amp;"","")</f>
        <v/>
      </c>
      <c r="W231" s="21" t="str">
        <f aca="false">IFERROR(INDEX(종합!W$3:W$501,MATCH(ROW()-2,종합!$AC$3:$AC$501,0))&amp;"","")</f>
        <v/>
      </c>
      <c r="X231" s="21" t="str">
        <f aca="false">IFERROR(INDEX(종합!X$3:X$501,MATCH(ROW()-2,종합!$AC$3:$AC$501,0))&amp;"","")</f>
        <v/>
      </c>
      <c r="Y231" s="21" t="str">
        <f aca="false">IFERROR(INDEX(종합!Y$3:Y$501,MATCH(ROW()-2,종합!$AC$3:$AC$501,0))&amp;"","")</f>
        <v/>
      </c>
      <c r="Z231" s="21" t="str">
        <f aca="false">IFERROR(INDEX(종합!Z$3:Z$501,MATCH(ROW()-2,종합!$AC$3:$AC$501,0))&amp;"","")</f>
        <v/>
      </c>
    </row>
    <row r="232" customFormat="false" ht="16.5" hidden="false" customHeight="true" outlineLevel="0" collapsed="false">
      <c r="A232" s="18" t="str">
        <f aca="false">IF(B232="","",ROW()-2)</f>
        <v/>
      </c>
      <c r="B232" s="18" t="str">
        <f aca="false">IFERROR(INDEX(종합!B$3:B$501,MATCH(ROW()-2,종합!$AC$3:$AC$501,0))&amp;"","")</f>
        <v/>
      </c>
      <c r="C232" s="18" t="str">
        <f aca="false">IFERROR(INDEX(종합!C$3:C$501,MATCH(ROW()-2,종합!$AC$3:$AC$501,0))&amp;"","")</f>
        <v/>
      </c>
      <c r="D232" s="18" t="str">
        <f aca="false">IFERROR(INDEX(종합!D$3:D$501,MATCH(ROW()-2,종합!$AC$3:$AC$501,0))&amp;"","")</f>
        <v/>
      </c>
      <c r="E232" s="18" t="str">
        <f aca="false">IFERROR(INDEX(종합!E$3:E$501,MATCH(ROW()-2,종합!$AC$3:$AC$501,0))&amp;"","")</f>
        <v/>
      </c>
      <c r="F232" s="18" t="str">
        <f aca="false">IFERROR(INDEX(종합!F$3:F$501,MATCH(ROW()-2,종합!$AC$3:$AC$501,0))&amp;"","")</f>
        <v/>
      </c>
      <c r="G232" s="18" t="str">
        <f aca="false">IFERROR(INDEX(종합!G$3:G$501,MATCH(ROW()-2,종합!$AC$3:$AC$501,0))&amp;"","")</f>
        <v/>
      </c>
      <c r="H232" s="21" t="str">
        <f aca="false">IFERROR(INDEX(종합!H$3:H$501,MATCH(ROW()-2,종합!$AC$3:$AC$501,0))&amp;"","")</f>
        <v/>
      </c>
      <c r="I232" s="21" t="str">
        <f aca="false">IFERROR(INDEX(종합!I$3:I$501,MATCH(ROW()-2,종합!$AC$3:$AC$501,0))&amp;"","")</f>
        <v/>
      </c>
      <c r="J232" s="21" t="str">
        <f aca="false">IFERROR(INDEX(종합!J$3:J$501,MATCH(ROW()-2,종합!$AC$3:$AC$501,0))&amp;"","")</f>
        <v/>
      </c>
      <c r="K232" s="21" t="str">
        <f aca="false">IFERROR(INDEX(종합!K$3:K$501,MATCH(ROW()-2,종합!$AC$3:$AC$501,0))&amp;"","")</f>
        <v/>
      </c>
      <c r="L232" s="21" t="str">
        <f aca="false">IFERROR(INDEX(종합!L$3:L$501,MATCH(ROW()-2,종합!$AC$3:$AC$501,0))&amp;"","")</f>
        <v/>
      </c>
      <c r="M232" s="21" t="str">
        <f aca="false">IFERROR(INDEX(종합!M$3:M$501,MATCH(ROW()-2,종합!$AC$3:$AC$501,0))&amp;"","")</f>
        <v/>
      </c>
      <c r="N232" s="25" t="str">
        <f aca="false">IFERROR(INDEX(종합!N$3:N$501,MATCH(ROW()-2,종합!$AC$3:$AC$501,0))&amp;"","")</f>
        <v/>
      </c>
      <c r="O232" s="21" t="str">
        <f aca="false">IFERROR(INDEX(종합!O$3:O$501,MATCH(ROW()-2,종합!$AC$3:$AC$501,0))&amp;"","")</f>
        <v/>
      </c>
      <c r="P232" s="21" t="str">
        <f aca="false">IFERROR(INDEX(종합!P$3:P$501,MATCH(ROW()-2,종합!$AC$3:$AC$501,0))&amp;"","")</f>
        <v/>
      </c>
      <c r="Q232" s="21" t="str">
        <f aca="false">IFERROR(INDEX(종합!Q$3:Q$501,MATCH(ROW()-2,종합!$AC$3:$AC$501,0))&amp;"","")</f>
        <v/>
      </c>
      <c r="R232" s="21" t="str">
        <f aca="false">IFERROR(INDEX(종합!R$3:R$501,MATCH(ROW()-2,종합!$AC$3:$AC$501,0))&amp;"","")</f>
        <v/>
      </c>
      <c r="S232" s="21" t="str">
        <f aca="false">IFERROR(INDEX(종합!S$3:S$501,MATCH(ROW()-2,종합!$AC$3:$AC$501,0))&amp;"","")</f>
        <v/>
      </c>
      <c r="T232" s="21" t="str">
        <f aca="false">IFERROR(INDEX(종합!T$3:T$501,MATCH(ROW()-2,종합!$AC$3:$AC$501,0))&amp;"","")</f>
        <v/>
      </c>
      <c r="U232" s="21" t="str">
        <f aca="false">IFERROR(INDEX(종합!U$3:U$501,MATCH(ROW()-2,종합!$AC$3:$AC$501,0))&amp;"","")</f>
        <v/>
      </c>
      <c r="V232" s="21" t="str">
        <f aca="false">IFERROR(INDEX(종합!V$3:V$501,MATCH(ROW()-2,종합!$AC$3:$AC$501,0))&amp;"","")</f>
        <v/>
      </c>
      <c r="W232" s="21" t="str">
        <f aca="false">IFERROR(INDEX(종합!W$3:W$501,MATCH(ROW()-2,종합!$AC$3:$AC$501,0))&amp;"","")</f>
        <v/>
      </c>
      <c r="X232" s="21" t="str">
        <f aca="false">IFERROR(INDEX(종합!X$3:X$501,MATCH(ROW()-2,종합!$AC$3:$AC$501,0))&amp;"","")</f>
        <v/>
      </c>
      <c r="Y232" s="21" t="str">
        <f aca="false">IFERROR(INDEX(종합!Y$3:Y$501,MATCH(ROW()-2,종합!$AC$3:$AC$501,0))&amp;"","")</f>
        <v/>
      </c>
      <c r="Z232" s="21" t="str">
        <f aca="false">IFERROR(INDEX(종합!Z$3:Z$501,MATCH(ROW()-2,종합!$AC$3:$AC$501,0))&amp;"","")</f>
        <v/>
      </c>
    </row>
    <row r="233" customFormat="false" ht="16.5" hidden="false" customHeight="true" outlineLevel="0" collapsed="false">
      <c r="A233" s="18" t="str">
        <f aca="false">IF(B233="","",ROW()-2)</f>
        <v/>
      </c>
      <c r="B233" s="18" t="str">
        <f aca="false">IFERROR(INDEX(종합!B$3:B$501,MATCH(ROW()-2,종합!$AC$3:$AC$501,0))&amp;"","")</f>
        <v/>
      </c>
      <c r="C233" s="18" t="str">
        <f aca="false">IFERROR(INDEX(종합!C$3:C$501,MATCH(ROW()-2,종합!$AC$3:$AC$501,0))&amp;"","")</f>
        <v/>
      </c>
      <c r="D233" s="18" t="str">
        <f aca="false">IFERROR(INDEX(종합!D$3:D$501,MATCH(ROW()-2,종합!$AC$3:$AC$501,0))&amp;"","")</f>
        <v/>
      </c>
      <c r="E233" s="18" t="str">
        <f aca="false">IFERROR(INDEX(종합!E$3:E$501,MATCH(ROW()-2,종합!$AC$3:$AC$501,0))&amp;"","")</f>
        <v/>
      </c>
      <c r="F233" s="18" t="str">
        <f aca="false">IFERROR(INDEX(종합!F$3:F$501,MATCH(ROW()-2,종합!$AC$3:$AC$501,0))&amp;"","")</f>
        <v/>
      </c>
      <c r="G233" s="18" t="str">
        <f aca="false">IFERROR(INDEX(종합!G$3:G$501,MATCH(ROW()-2,종합!$AC$3:$AC$501,0))&amp;"","")</f>
        <v/>
      </c>
      <c r="H233" s="21" t="str">
        <f aca="false">IFERROR(INDEX(종합!H$3:H$501,MATCH(ROW()-2,종합!$AC$3:$AC$501,0))&amp;"","")</f>
        <v/>
      </c>
      <c r="I233" s="21" t="str">
        <f aca="false">IFERROR(INDEX(종합!I$3:I$501,MATCH(ROW()-2,종합!$AC$3:$AC$501,0))&amp;"","")</f>
        <v/>
      </c>
      <c r="J233" s="21" t="str">
        <f aca="false">IFERROR(INDEX(종합!J$3:J$501,MATCH(ROW()-2,종합!$AC$3:$AC$501,0))&amp;"","")</f>
        <v/>
      </c>
      <c r="K233" s="21" t="str">
        <f aca="false">IFERROR(INDEX(종합!K$3:K$501,MATCH(ROW()-2,종합!$AC$3:$AC$501,0))&amp;"","")</f>
        <v/>
      </c>
      <c r="L233" s="21" t="str">
        <f aca="false">IFERROR(INDEX(종합!L$3:L$501,MATCH(ROW()-2,종합!$AC$3:$AC$501,0))&amp;"","")</f>
        <v/>
      </c>
      <c r="M233" s="21" t="str">
        <f aca="false">IFERROR(INDEX(종합!M$3:M$501,MATCH(ROW()-2,종합!$AC$3:$AC$501,0))&amp;"","")</f>
        <v/>
      </c>
      <c r="N233" s="25" t="str">
        <f aca="false">IFERROR(INDEX(종합!N$3:N$501,MATCH(ROW()-2,종합!$AC$3:$AC$501,0))&amp;"","")</f>
        <v/>
      </c>
      <c r="O233" s="21" t="str">
        <f aca="false">IFERROR(INDEX(종합!O$3:O$501,MATCH(ROW()-2,종합!$AC$3:$AC$501,0))&amp;"","")</f>
        <v/>
      </c>
      <c r="P233" s="21" t="str">
        <f aca="false">IFERROR(INDEX(종합!P$3:P$501,MATCH(ROW()-2,종합!$AC$3:$AC$501,0))&amp;"","")</f>
        <v/>
      </c>
      <c r="Q233" s="21" t="str">
        <f aca="false">IFERROR(INDEX(종합!Q$3:Q$501,MATCH(ROW()-2,종합!$AC$3:$AC$501,0))&amp;"","")</f>
        <v/>
      </c>
      <c r="R233" s="21" t="str">
        <f aca="false">IFERROR(INDEX(종합!R$3:R$501,MATCH(ROW()-2,종합!$AC$3:$AC$501,0))&amp;"","")</f>
        <v/>
      </c>
      <c r="S233" s="21" t="str">
        <f aca="false">IFERROR(INDEX(종합!S$3:S$501,MATCH(ROW()-2,종합!$AC$3:$AC$501,0))&amp;"","")</f>
        <v/>
      </c>
      <c r="T233" s="21" t="str">
        <f aca="false">IFERROR(INDEX(종합!T$3:T$501,MATCH(ROW()-2,종합!$AC$3:$AC$501,0))&amp;"","")</f>
        <v/>
      </c>
      <c r="U233" s="21" t="str">
        <f aca="false">IFERROR(INDEX(종합!U$3:U$501,MATCH(ROW()-2,종합!$AC$3:$AC$501,0))&amp;"","")</f>
        <v/>
      </c>
      <c r="V233" s="21" t="str">
        <f aca="false">IFERROR(INDEX(종합!V$3:V$501,MATCH(ROW()-2,종합!$AC$3:$AC$501,0))&amp;"","")</f>
        <v/>
      </c>
      <c r="W233" s="21" t="str">
        <f aca="false">IFERROR(INDEX(종합!W$3:W$501,MATCH(ROW()-2,종합!$AC$3:$AC$501,0))&amp;"","")</f>
        <v/>
      </c>
      <c r="X233" s="21" t="str">
        <f aca="false">IFERROR(INDEX(종합!X$3:X$501,MATCH(ROW()-2,종합!$AC$3:$AC$501,0))&amp;"","")</f>
        <v/>
      </c>
      <c r="Y233" s="21" t="str">
        <f aca="false">IFERROR(INDEX(종합!Y$3:Y$501,MATCH(ROW()-2,종합!$AC$3:$AC$501,0))&amp;"","")</f>
        <v/>
      </c>
      <c r="Z233" s="21" t="str">
        <f aca="false">IFERROR(INDEX(종합!Z$3:Z$501,MATCH(ROW()-2,종합!$AC$3:$AC$501,0))&amp;"","")</f>
        <v/>
      </c>
    </row>
    <row r="234" customFormat="false" ht="16.5" hidden="false" customHeight="true" outlineLevel="0" collapsed="false">
      <c r="A234" s="18" t="str">
        <f aca="false">IF(B234="","",ROW()-2)</f>
        <v/>
      </c>
      <c r="B234" s="18" t="str">
        <f aca="false">IFERROR(INDEX(종합!B$3:B$501,MATCH(ROW()-2,종합!$AC$3:$AC$501,0))&amp;"","")</f>
        <v/>
      </c>
      <c r="C234" s="18" t="str">
        <f aca="false">IFERROR(INDEX(종합!C$3:C$501,MATCH(ROW()-2,종합!$AC$3:$AC$501,0))&amp;"","")</f>
        <v/>
      </c>
      <c r="D234" s="18" t="str">
        <f aca="false">IFERROR(INDEX(종합!D$3:D$501,MATCH(ROW()-2,종합!$AC$3:$AC$501,0))&amp;"","")</f>
        <v/>
      </c>
      <c r="E234" s="18" t="str">
        <f aca="false">IFERROR(INDEX(종합!E$3:E$501,MATCH(ROW()-2,종합!$AC$3:$AC$501,0))&amp;"","")</f>
        <v/>
      </c>
      <c r="F234" s="18" t="str">
        <f aca="false">IFERROR(INDEX(종합!F$3:F$501,MATCH(ROW()-2,종합!$AC$3:$AC$501,0))&amp;"","")</f>
        <v/>
      </c>
      <c r="G234" s="18" t="str">
        <f aca="false">IFERROR(INDEX(종합!G$3:G$501,MATCH(ROW()-2,종합!$AC$3:$AC$501,0))&amp;"","")</f>
        <v/>
      </c>
      <c r="H234" s="21" t="str">
        <f aca="false">IFERROR(INDEX(종합!H$3:H$501,MATCH(ROW()-2,종합!$AC$3:$AC$501,0))&amp;"","")</f>
        <v/>
      </c>
      <c r="I234" s="21" t="str">
        <f aca="false">IFERROR(INDEX(종합!I$3:I$501,MATCH(ROW()-2,종합!$AC$3:$AC$501,0))&amp;"","")</f>
        <v/>
      </c>
      <c r="J234" s="21" t="str">
        <f aca="false">IFERROR(INDEX(종합!J$3:J$501,MATCH(ROW()-2,종합!$AC$3:$AC$501,0))&amp;"","")</f>
        <v/>
      </c>
      <c r="K234" s="21" t="str">
        <f aca="false">IFERROR(INDEX(종합!K$3:K$501,MATCH(ROW()-2,종합!$AC$3:$AC$501,0))&amp;"","")</f>
        <v/>
      </c>
      <c r="L234" s="21" t="str">
        <f aca="false">IFERROR(INDEX(종합!L$3:L$501,MATCH(ROW()-2,종합!$AC$3:$AC$501,0))&amp;"","")</f>
        <v/>
      </c>
      <c r="M234" s="21" t="str">
        <f aca="false">IFERROR(INDEX(종합!M$3:M$501,MATCH(ROW()-2,종합!$AC$3:$AC$501,0))&amp;"","")</f>
        <v/>
      </c>
      <c r="N234" s="25" t="str">
        <f aca="false">IFERROR(INDEX(종합!N$3:N$501,MATCH(ROW()-2,종합!$AC$3:$AC$501,0))&amp;"","")</f>
        <v/>
      </c>
      <c r="O234" s="21" t="str">
        <f aca="false">IFERROR(INDEX(종합!O$3:O$501,MATCH(ROW()-2,종합!$AC$3:$AC$501,0))&amp;"","")</f>
        <v/>
      </c>
      <c r="P234" s="21" t="str">
        <f aca="false">IFERROR(INDEX(종합!P$3:P$501,MATCH(ROW()-2,종합!$AC$3:$AC$501,0))&amp;"","")</f>
        <v/>
      </c>
      <c r="Q234" s="21" t="str">
        <f aca="false">IFERROR(INDEX(종합!Q$3:Q$501,MATCH(ROW()-2,종합!$AC$3:$AC$501,0))&amp;"","")</f>
        <v/>
      </c>
      <c r="R234" s="21" t="str">
        <f aca="false">IFERROR(INDEX(종합!R$3:R$501,MATCH(ROW()-2,종합!$AC$3:$AC$501,0))&amp;"","")</f>
        <v/>
      </c>
      <c r="S234" s="21" t="str">
        <f aca="false">IFERROR(INDEX(종합!S$3:S$501,MATCH(ROW()-2,종합!$AC$3:$AC$501,0))&amp;"","")</f>
        <v/>
      </c>
      <c r="T234" s="21" t="str">
        <f aca="false">IFERROR(INDEX(종합!T$3:T$501,MATCH(ROW()-2,종합!$AC$3:$AC$501,0))&amp;"","")</f>
        <v/>
      </c>
      <c r="U234" s="21" t="str">
        <f aca="false">IFERROR(INDEX(종합!U$3:U$501,MATCH(ROW()-2,종합!$AC$3:$AC$501,0))&amp;"","")</f>
        <v/>
      </c>
      <c r="V234" s="21" t="str">
        <f aca="false">IFERROR(INDEX(종합!V$3:V$501,MATCH(ROW()-2,종합!$AC$3:$AC$501,0))&amp;"","")</f>
        <v/>
      </c>
      <c r="W234" s="21" t="str">
        <f aca="false">IFERROR(INDEX(종합!W$3:W$501,MATCH(ROW()-2,종합!$AC$3:$AC$501,0))&amp;"","")</f>
        <v/>
      </c>
      <c r="X234" s="21" t="str">
        <f aca="false">IFERROR(INDEX(종합!X$3:X$501,MATCH(ROW()-2,종합!$AC$3:$AC$501,0))&amp;"","")</f>
        <v/>
      </c>
      <c r="Y234" s="21" t="str">
        <f aca="false">IFERROR(INDEX(종합!Y$3:Y$501,MATCH(ROW()-2,종합!$AC$3:$AC$501,0))&amp;"","")</f>
        <v/>
      </c>
      <c r="Z234" s="21" t="str">
        <f aca="false">IFERROR(INDEX(종합!Z$3:Z$501,MATCH(ROW()-2,종합!$AC$3:$AC$501,0))&amp;"","")</f>
        <v/>
      </c>
    </row>
    <row r="235" customFormat="false" ht="16.5" hidden="false" customHeight="true" outlineLevel="0" collapsed="false">
      <c r="A235" s="18" t="str">
        <f aca="false">IF(B235="","",ROW()-2)</f>
        <v/>
      </c>
      <c r="B235" s="18" t="str">
        <f aca="false">IFERROR(INDEX(종합!B$3:B$501,MATCH(ROW()-2,종합!$AC$3:$AC$501,0))&amp;"","")</f>
        <v/>
      </c>
      <c r="C235" s="18" t="str">
        <f aca="false">IFERROR(INDEX(종합!C$3:C$501,MATCH(ROW()-2,종합!$AC$3:$AC$501,0))&amp;"","")</f>
        <v/>
      </c>
      <c r="D235" s="18" t="str">
        <f aca="false">IFERROR(INDEX(종합!D$3:D$501,MATCH(ROW()-2,종합!$AC$3:$AC$501,0))&amp;"","")</f>
        <v/>
      </c>
      <c r="E235" s="18" t="str">
        <f aca="false">IFERROR(INDEX(종합!E$3:E$501,MATCH(ROW()-2,종합!$AC$3:$AC$501,0))&amp;"","")</f>
        <v/>
      </c>
      <c r="F235" s="18" t="str">
        <f aca="false">IFERROR(INDEX(종합!F$3:F$501,MATCH(ROW()-2,종합!$AC$3:$AC$501,0))&amp;"","")</f>
        <v/>
      </c>
      <c r="G235" s="18" t="str">
        <f aca="false">IFERROR(INDEX(종합!G$3:G$501,MATCH(ROW()-2,종합!$AC$3:$AC$501,0))&amp;"","")</f>
        <v/>
      </c>
      <c r="H235" s="21" t="str">
        <f aca="false">IFERROR(INDEX(종합!H$3:H$501,MATCH(ROW()-2,종합!$AC$3:$AC$501,0))&amp;"","")</f>
        <v/>
      </c>
      <c r="I235" s="21" t="str">
        <f aca="false">IFERROR(INDEX(종합!I$3:I$501,MATCH(ROW()-2,종합!$AC$3:$AC$501,0))&amp;"","")</f>
        <v/>
      </c>
      <c r="J235" s="21" t="str">
        <f aca="false">IFERROR(INDEX(종합!J$3:J$501,MATCH(ROW()-2,종합!$AC$3:$AC$501,0))&amp;"","")</f>
        <v/>
      </c>
      <c r="K235" s="21" t="str">
        <f aca="false">IFERROR(INDEX(종합!K$3:K$501,MATCH(ROW()-2,종합!$AC$3:$AC$501,0))&amp;"","")</f>
        <v/>
      </c>
      <c r="L235" s="21" t="str">
        <f aca="false">IFERROR(INDEX(종합!L$3:L$501,MATCH(ROW()-2,종합!$AC$3:$AC$501,0))&amp;"","")</f>
        <v/>
      </c>
      <c r="M235" s="21" t="str">
        <f aca="false">IFERROR(INDEX(종합!M$3:M$501,MATCH(ROW()-2,종합!$AC$3:$AC$501,0))&amp;"","")</f>
        <v/>
      </c>
      <c r="N235" s="25" t="str">
        <f aca="false">IFERROR(INDEX(종합!N$3:N$501,MATCH(ROW()-2,종합!$AC$3:$AC$501,0))&amp;"","")</f>
        <v/>
      </c>
      <c r="O235" s="21" t="str">
        <f aca="false">IFERROR(INDEX(종합!O$3:O$501,MATCH(ROW()-2,종합!$AC$3:$AC$501,0))&amp;"","")</f>
        <v/>
      </c>
      <c r="P235" s="21" t="str">
        <f aca="false">IFERROR(INDEX(종합!P$3:P$501,MATCH(ROW()-2,종합!$AC$3:$AC$501,0))&amp;"","")</f>
        <v/>
      </c>
      <c r="Q235" s="21" t="str">
        <f aca="false">IFERROR(INDEX(종합!Q$3:Q$501,MATCH(ROW()-2,종합!$AC$3:$AC$501,0))&amp;"","")</f>
        <v/>
      </c>
      <c r="R235" s="21" t="str">
        <f aca="false">IFERROR(INDEX(종합!R$3:R$501,MATCH(ROW()-2,종합!$AC$3:$AC$501,0))&amp;"","")</f>
        <v/>
      </c>
      <c r="S235" s="21" t="str">
        <f aca="false">IFERROR(INDEX(종합!S$3:S$501,MATCH(ROW()-2,종합!$AC$3:$AC$501,0))&amp;"","")</f>
        <v/>
      </c>
      <c r="T235" s="21" t="str">
        <f aca="false">IFERROR(INDEX(종합!T$3:T$501,MATCH(ROW()-2,종합!$AC$3:$AC$501,0))&amp;"","")</f>
        <v/>
      </c>
      <c r="U235" s="21" t="str">
        <f aca="false">IFERROR(INDEX(종합!U$3:U$501,MATCH(ROW()-2,종합!$AC$3:$AC$501,0))&amp;"","")</f>
        <v/>
      </c>
      <c r="V235" s="21" t="str">
        <f aca="false">IFERROR(INDEX(종합!V$3:V$501,MATCH(ROW()-2,종합!$AC$3:$AC$501,0))&amp;"","")</f>
        <v/>
      </c>
      <c r="W235" s="21" t="str">
        <f aca="false">IFERROR(INDEX(종합!W$3:W$501,MATCH(ROW()-2,종합!$AC$3:$AC$501,0))&amp;"","")</f>
        <v/>
      </c>
      <c r="X235" s="21" t="str">
        <f aca="false">IFERROR(INDEX(종합!X$3:X$501,MATCH(ROW()-2,종합!$AC$3:$AC$501,0))&amp;"","")</f>
        <v/>
      </c>
      <c r="Y235" s="21" t="str">
        <f aca="false">IFERROR(INDEX(종합!Y$3:Y$501,MATCH(ROW()-2,종합!$AC$3:$AC$501,0))&amp;"","")</f>
        <v/>
      </c>
      <c r="Z235" s="21" t="str">
        <f aca="false">IFERROR(INDEX(종합!Z$3:Z$501,MATCH(ROW()-2,종합!$AC$3:$AC$501,0))&amp;"","")</f>
        <v/>
      </c>
    </row>
    <row r="236" customFormat="false" ht="16.5" hidden="false" customHeight="true" outlineLevel="0" collapsed="false">
      <c r="A236" s="18" t="str">
        <f aca="false">IF(B236="","",ROW()-2)</f>
        <v/>
      </c>
      <c r="B236" s="18" t="str">
        <f aca="false">IFERROR(INDEX(종합!B$3:B$501,MATCH(ROW()-2,종합!$AC$3:$AC$501,0))&amp;"","")</f>
        <v/>
      </c>
      <c r="C236" s="18" t="str">
        <f aca="false">IFERROR(INDEX(종합!C$3:C$501,MATCH(ROW()-2,종합!$AC$3:$AC$501,0))&amp;"","")</f>
        <v/>
      </c>
      <c r="D236" s="18" t="str">
        <f aca="false">IFERROR(INDEX(종합!D$3:D$501,MATCH(ROW()-2,종합!$AC$3:$AC$501,0))&amp;"","")</f>
        <v/>
      </c>
      <c r="E236" s="18" t="str">
        <f aca="false">IFERROR(INDEX(종합!E$3:E$501,MATCH(ROW()-2,종합!$AC$3:$AC$501,0))&amp;"","")</f>
        <v/>
      </c>
      <c r="F236" s="18" t="str">
        <f aca="false">IFERROR(INDEX(종합!F$3:F$501,MATCH(ROW()-2,종합!$AC$3:$AC$501,0))&amp;"","")</f>
        <v/>
      </c>
      <c r="G236" s="18" t="str">
        <f aca="false">IFERROR(INDEX(종합!G$3:G$501,MATCH(ROW()-2,종합!$AC$3:$AC$501,0))&amp;"","")</f>
        <v/>
      </c>
      <c r="H236" s="21" t="str">
        <f aca="false">IFERROR(INDEX(종합!H$3:H$501,MATCH(ROW()-2,종합!$AC$3:$AC$501,0))&amp;"","")</f>
        <v/>
      </c>
      <c r="I236" s="21" t="str">
        <f aca="false">IFERROR(INDEX(종합!I$3:I$501,MATCH(ROW()-2,종합!$AC$3:$AC$501,0))&amp;"","")</f>
        <v/>
      </c>
      <c r="J236" s="21" t="str">
        <f aca="false">IFERROR(INDEX(종합!J$3:J$501,MATCH(ROW()-2,종합!$AC$3:$AC$501,0))&amp;"","")</f>
        <v/>
      </c>
      <c r="K236" s="21" t="str">
        <f aca="false">IFERROR(INDEX(종합!K$3:K$501,MATCH(ROW()-2,종합!$AC$3:$AC$501,0))&amp;"","")</f>
        <v/>
      </c>
      <c r="L236" s="21" t="str">
        <f aca="false">IFERROR(INDEX(종합!L$3:L$501,MATCH(ROW()-2,종합!$AC$3:$AC$501,0))&amp;"","")</f>
        <v/>
      </c>
      <c r="M236" s="21" t="str">
        <f aca="false">IFERROR(INDEX(종합!M$3:M$501,MATCH(ROW()-2,종합!$AC$3:$AC$501,0))&amp;"","")</f>
        <v/>
      </c>
      <c r="N236" s="25" t="str">
        <f aca="false">IFERROR(INDEX(종합!N$3:N$501,MATCH(ROW()-2,종합!$AC$3:$AC$501,0))&amp;"","")</f>
        <v/>
      </c>
      <c r="O236" s="21" t="str">
        <f aca="false">IFERROR(INDEX(종합!O$3:O$501,MATCH(ROW()-2,종합!$AC$3:$AC$501,0))&amp;"","")</f>
        <v/>
      </c>
      <c r="P236" s="21" t="str">
        <f aca="false">IFERROR(INDEX(종합!P$3:P$501,MATCH(ROW()-2,종합!$AC$3:$AC$501,0))&amp;"","")</f>
        <v/>
      </c>
      <c r="Q236" s="21" t="str">
        <f aca="false">IFERROR(INDEX(종합!Q$3:Q$501,MATCH(ROW()-2,종합!$AC$3:$AC$501,0))&amp;"","")</f>
        <v/>
      </c>
      <c r="R236" s="21" t="str">
        <f aca="false">IFERROR(INDEX(종합!R$3:R$501,MATCH(ROW()-2,종합!$AC$3:$AC$501,0))&amp;"","")</f>
        <v/>
      </c>
      <c r="S236" s="21" t="str">
        <f aca="false">IFERROR(INDEX(종합!S$3:S$501,MATCH(ROW()-2,종합!$AC$3:$AC$501,0))&amp;"","")</f>
        <v/>
      </c>
      <c r="T236" s="21" t="str">
        <f aca="false">IFERROR(INDEX(종합!T$3:T$501,MATCH(ROW()-2,종합!$AC$3:$AC$501,0))&amp;"","")</f>
        <v/>
      </c>
      <c r="U236" s="21" t="str">
        <f aca="false">IFERROR(INDEX(종합!U$3:U$501,MATCH(ROW()-2,종합!$AC$3:$AC$501,0))&amp;"","")</f>
        <v/>
      </c>
      <c r="V236" s="21" t="str">
        <f aca="false">IFERROR(INDEX(종합!V$3:V$501,MATCH(ROW()-2,종합!$AC$3:$AC$501,0))&amp;"","")</f>
        <v/>
      </c>
      <c r="W236" s="21" t="str">
        <f aca="false">IFERROR(INDEX(종합!W$3:W$501,MATCH(ROW()-2,종합!$AC$3:$AC$501,0))&amp;"","")</f>
        <v/>
      </c>
      <c r="X236" s="21" t="str">
        <f aca="false">IFERROR(INDEX(종합!X$3:X$501,MATCH(ROW()-2,종합!$AC$3:$AC$501,0))&amp;"","")</f>
        <v/>
      </c>
      <c r="Y236" s="21" t="str">
        <f aca="false">IFERROR(INDEX(종합!Y$3:Y$501,MATCH(ROW()-2,종합!$AC$3:$AC$501,0))&amp;"","")</f>
        <v/>
      </c>
      <c r="Z236" s="21" t="str">
        <f aca="false">IFERROR(INDEX(종합!Z$3:Z$501,MATCH(ROW()-2,종합!$AC$3:$AC$501,0))&amp;"","")</f>
        <v/>
      </c>
    </row>
    <row r="237" customFormat="false" ht="16.5" hidden="false" customHeight="true" outlineLevel="0" collapsed="false">
      <c r="A237" s="18" t="str">
        <f aca="false">IF(B237="","",ROW()-2)</f>
        <v/>
      </c>
      <c r="B237" s="18" t="str">
        <f aca="false">IFERROR(INDEX(종합!B$3:B$501,MATCH(ROW()-2,종합!$AC$3:$AC$501,0))&amp;"","")</f>
        <v/>
      </c>
      <c r="C237" s="18" t="str">
        <f aca="false">IFERROR(INDEX(종합!C$3:C$501,MATCH(ROW()-2,종합!$AC$3:$AC$501,0))&amp;"","")</f>
        <v/>
      </c>
      <c r="D237" s="18" t="str">
        <f aca="false">IFERROR(INDEX(종합!D$3:D$501,MATCH(ROW()-2,종합!$AC$3:$AC$501,0))&amp;"","")</f>
        <v/>
      </c>
      <c r="E237" s="18" t="str">
        <f aca="false">IFERROR(INDEX(종합!E$3:E$501,MATCH(ROW()-2,종합!$AC$3:$AC$501,0))&amp;"","")</f>
        <v/>
      </c>
      <c r="F237" s="18" t="str">
        <f aca="false">IFERROR(INDEX(종합!F$3:F$501,MATCH(ROW()-2,종합!$AC$3:$AC$501,0))&amp;"","")</f>
        <v/>
      </c>
      <c r="G237" s="18" t="str">
        <f aca="false">IFERROR(INDEX(종합!G$3:G$501,MATCH(ROW()-2,종합!$AC$3:$AC$501,0))&amp;"","")</f>
        <v/>
      </c>
      <c r="H237" s="21" t="str">
        <f aca="false">IFERROR(INDEX(종합!H$3:H$501,MATCH(ROW()-2,종합!$AC$3:$AC$501,0))&amp;"","")</f>
        <v/>
      </c>
      <c r="I237" s="21" t="str">
        <f aca="false">IFERROR(INDEX(종합!I$3:I$501,MATCH(ROW()-2,종합!$AC$3:$AC$501,0))&amp;"","")</f>
        <v/>
      </c>
      <c r="J237" s="21" t="str">
        <f aca="false">IFERROR(INDEX(종합!J$3:J$501,MATCH(ROW()-2,종합!$AC$3:$AC$501,0))&amp;"","")</f>
        <v/>
      </c>
      <c r="K237" s="21" t="str">
        <f aca="false">IFERROR(INDEX(종합!K$3:K$501,MATCH(ROW()-2,종합!$AC$3:$AC$501,0))&amp;"","")</f>
        <v/>
      </c>
      <c r="L237" s="21" t="str">
        <f aca="false">IFERROR(INDEX(종합!L$3:L$501,MATCH(ROW()-2,종합!$AC$3:$AC$501,0))&amp;"","")</f>
        <v/>
      </c>
      <c r="M237" s="21" t="str">
        <f aca="false">IFERROR(INDEX(종합!M$3:M$501,MATCH(ROW()-2,종합!$AC$3:$AC$501,0))&amp;"","")</f>
        <v/>
      </c>
      <c r="N237" s="25" t="str">
        <f aca="false">IFERROR(INDEX(종합!N$3:N$501,MATCH(ROW()-2,종합!$AC$3:$AC$501,0))&amp;"","")</f>
        <v/>
      </c>
      <c r="O237" s="21" t="str">
        <f aca="false">IFERROR(INDEX(종합!O$3:O$501,MATCH(ROW()-2,종합!$AC$3:$AC$501,0))&amp;"","")</f>
        <v/>
      </c>
      <c r="P237" s="21" t="str">
        <f aca="false">IFERROR(INDEX(종합!P$3:P$501,MATCH(ROW()-2,종합!$AC$3:$AC$501,0))&amp;"","")</f>
        <v/>
      </c>
      <c r="Q237" s="21" t="str">
        <f aca="false">IFERROR(INDEX(종합!Q$3:Q$501,MATCH(ROW()-2,종합!$AC$3:$AC$501,0))&amp;"","")</f>
        <v/>
      </c>
      <c r="R237" s="21" t="str">
        <f aca="false">IFERROR(INDEX(종합!R$3:R$501,MATCH(ROW()-2,종합!$AC$3:$AC$501,0))&amp;"","")</f>
        <v/>
      </c>
      <c r="S237" s="21" t="str">
        <f aca="false">IFERROR(INDEX(종합!S$3:S$501,MATCH(ROW()-2,종합!$AC$3:$AC$501,0))&amp;"","")</f>
        <v/>
      </c>
      <c r="T237" s="21" t="str">
        <f aca="false">IFERROR(INDEX(종합!T$3:T$501,MATCH(ROW()-2,종합!$AC$3:$AC$501,0))&amp;"","")</f>
        <v/>
      </c>
      <c r="U237" s="21" t="str">
        <f aca="false">IFERROR(INDEX(종합!U$3:U$501,MATCH(ROW()-2,종합!$AC$3:$AC$501,0))&amp;"","")</f>
        <v/>
      </c>
      <c r="V237" s="21" t="str">
        <f aca="false">IFERROR(INDEX(종합!V$3:V$501,MATCH(ROW()-2,종합!$AC$3:$AC$501,0))&amp;"","")</f>
        <v/>
      </c>
      <c r="W237" s="21" t="str">
        <f aca="false">IFERROR(INDEX(종합!W$3:W$501,MATCH(ROW()-2,종합!$AC$3:$AC$501,0))&amp;"","")</f>
        <v/>
      </c>
      <c r="X237" s="21" t="str">
        <f aca="false">IFERROR(INDEX(종합!X$3:X$501,MATCH(ROW()-2,종합!$AC$3:$AC$501,0))&amp;"","")</f>
        <v/>
      </c>
      <c r="Y237" s="21" t="str">
        <f aca="false">IFERROR(INDEX(종합!Y$3:Y$501,MATCH(ROW()-2,종합!$AC$3:$AC$501,0))&amp;"","")</f>
        <v/>
      </c>
      <c r="Z237" s="21" t="str">
        <f aca="false">IFERROR(INDEX(종합!Z$3:Z$501,MATCH(ROW()-2,종합!$AC$3:$AC$501,0))&amp;"","")</f>
        <v/>
      </c>
    </row>
    <row r="238" customFormat="false" ht="16.5" hidden="false" customHeight="true" outlineLevel="0" collapsed="false">
      <c r="A238" s="18" t="str">
        <f aca="false">IF(B238="","",ROW()-2)</f>
        <v/>
      </c>
      <c r="B238" s="18" t="str">
        <f aca="false">IFERROR(INDEX(종합!B$3:B$501,MATCH(ROW()-2,종합!$AC$3:$AC$501,0))&amp;"","")</f>
        <v/>
      </c>
      <c r="C238" s="18" t="str">
        <f aca="false">IFERROR(INDEX(종합!C$3:C$501,MATCH(ROW()-2,종합!$AC$3:$AC$501,0))&amp;"","")</f>
        <v/>
      </c>
      <c r="D238" s="18" t="str">
        <f aca="false">IFERROR(INDEX(종합!D$3:D$501,MATCH(ROW()-2,종합!$AC$3:$AC$501,0))&amp;"","")</f>
        <v/>
      </c>
      <c r="E238" s="18" t="str">
        <f aca="false">IFERROR(INDEX(종합!E$3:E$501,MATCH(ROW()-2,종합!$AC$3:$AC$501,0))&amp;"","")</f>
        <v/>
      </c>
      <c r="F238" s="18" t="str">
        <f aca="false">IFERROR(INDEX(종합!F$3:F$501,MATCH(ROW()-2,종합!$AC$3:$AC$501,0))&amp;"","")</f>
        <v/>
      </c>
      <c r="G238" s="18" t="str">
        <f aca="false">IFERROR(INDEX(종합!G$3:G$501,MATCH(ROW()-2,종합!$AC$3:$AC$501,0))&amp;"","")</f>
        <v/>
      </c>
      <c r="H238" s="21" t="str">
        <f aca="false">IFERROR(INDEX(종합!H$3:H$501,MATCH(ROW()-2,종합!$AC$3:$AC$501,0))&amp;"","")</f>
        <v/>
      </c>
      <c r="I238" s="21" t="str">
        <f aca="false">IFERROR(INDEX(종합!I$3:I$501,MATCH(ROW()-2,종합!$AC$3:$AC$501,0))&amp;"","")</f>
        <v/>
      </c>
      <c r="J238" s="21" t="str">
        <f aca="false">IFERROR(INDEX(종합!J$3:J$501,MATCH(ROW()-2,종합!$AC$3:$AC$501,0))&amp;"","")</f>
        <v/>
      </c>
      <c r="K238" s="21" t="str">
        <f aca="false">IFERROR(INDEX(종합!K$3:K$501,MATCH(ROW()-2,종합!$AC$3:$AC$501,0))&amp;"","")</f>
        <v/>
      </c>
      <c r="L238" s="21" t="str">
        <f aca="false">IFERROR(INDEX(종합!L$3:L$501,MATCH(ROW()-2,종합!$AC$3:$AC$501,0))&amp;"","")</f>
        <v/>
      </c>
      <c r="M238" s="21" t="str">
        <f aca="false">IFERROR(INDEX(종합!M$3:M$501,MATCH(ROW()-2,종합!$AC$3:$AC$501,0))&amp;"","")</f>
        <v/>
      </c>
      <c r="N238" s="25" t="str">
        <f aca="false">IFERROR(INDEX(종합!N$3:N$501,MATCH(ROW()-2,종합!$AC$3:$AC$501,0))&amp;"","")</f>
        <v/>
      </c>
      <c r="O238" s="21" t="str">
        <f aca="false">IFERROR(INDEX(종합!O$3:O$501,MATCH(ROW()-2,종합!$AC$3:$AC$501,0))&amp;"","")</f>
        <v/>
      </c>
      <c r="P238" s="21" t="str">
        <f aca="false">IFERROR(INDEX(종합!P$3:P$501,MATCH(ROW()-2,종합!$AC$3:$AC$501,0))&amp;"","")</f>
        <v/>
      </c>
      <c r="Q238" s="21" t="str">
        <f aca="false">IFERROR(INDEX(종합!Q$3:Q$501,MATCH(ROW()-2,종합!$AC$3:$AC$501,0))&amp;"","")</f>
        <v/>
      </c>
      <c r="R238" s="21" t="str">
        <f aca="false">IFERROR(INDEX(종합!R$3:R$501,MATCH(ROW()-2,종합!$AC$3:$AC$501,0))&amp;"","")</f>
        <v/>
      </c>
      <c r="S238" s="21" t="str">
        <f aca="false">IFERROR(INDEX(종합!S$3:S$501,MATCH(ROW()-2,종합!$AC$3:$AC$501,0))&amp;"","")</f>
        <v/>
      </c>
      <c r="T238" s="21" t="str">
        <f aca="false">IFERROR(INDEX(종합!T$3:T$501,MATCH(ROW()-2,종합!$AC$3:$AC$501,0))&amp;"","")</f>
        <v/>
      </c>
      <c r="U238" s="21" t="str">
        <f aca="false">IFERROR(INDEX(종합!U$3:U$501,MATCH(ROW()-2,종합!$AC$3:$AC$501,0))&amp;"","")</f>
        <v/>
      </c>
      <c r="V238" s="21" t="str">
        <f aca="false">IFERROR(INDEX(종합!V$3:V$501,MATCH(ROW()-2,종합!$AC$3:$AC$501,0))&amp;"","")</f>
        <v/>
      </c>
      <c r="W238" s="21" t="str">
        <f aca="false">IFERROR(INDEX(종합!W$3:W$501,MATCH(ROW()-2,종합!$AC$3:$AC$501,0))&amp;"","")</f>
        <v/>
      </c>
      <c r="X238" s="21" t="str">
        <f aca="false">IFERROR(INDEX(종합!X$3:X$501,MATCH(ROW()-2,종합!$AC$3:$AC$501,0))&amp;"","")</f>
        <v/>
      </c>
      <c r="Y238" s="21" t="str">
        <f aca="false">IFERROR(INDEX(종합!Y$3:Y$501,MATCH(ROW()-2,종합!$AC$3:$AC$501,0))&amp;"","")</f>
        <v/>
      </c>
      <c r="Z238" s="21" t="str">
        <f aca="false">IFERROR(INDEX(종합!Z$3:Z$501,MATCH(ROW()-2,종합!$AC$3:$AC$501,0))&amp;"","")</f>
        <v/>
      </c>
    </row>
    <row r="239" customFormat="false" ht="16.5" hidden="false" customHeight="true" outlineLevel="0" collapsed="false">
      <c r="A239" s="18" t="str">
        <f aca="false">IF(B239="","",ROW()-2)</f>
        <v/>
      </c>
      <c r="B239" s="18" t="str">
        <f aca="false">IFERROR(INDEX(종합!B$3:B$501,MATCH(ROW()-2,종합!$AC$3:$AC$501,0))&amp;"","")</f>
        <v/>
      </c>
      <c r="C239" s="18" t="str">
        <f aca="false">IFERROR(INDEX(종합!C$3:C$501,MATCH(ROW()-2,종합!$AC$3:$AC$501,0))&amp;"","")</f>
        <v/>
      </c>
      <c r="D239" s="18" t="str">
        <f aca="false">IFERROR(INDEX(종합!D$3:D$501,MATCH(ROW()-2,종합!$AC$3:$AC$501,0))&amp;"","")</f>
        <v/>
      </c>
      <c r="E239" s="18" t="str">
        <f aca="false">IFERROR(INDEX(종합!E$3:E$501,MATCH(ROW()-2,종합!$AC$3:$AC$501,0))&amp;"","")</f>
        <v/>
      </c>
      <c r="F239" s="18" t="str">
        <f aca="false">IFERROR(INDEX(종합!F$3:F$501,MATCH(ROW()-2,종합!$AC$3:$AC$501,0))&amp;"","")</f>
        <v/>
      </c>
      <c r="G239" s="18" t="str">
        <f aca="false">IFERROR(INDEX(종합!G$3:G$501,MATCH(ROW()-2,종합!$AC$3:$AC$501,0))&amp;"","")</f>
        <v/>
      </c>
      <c r="H239" s="21" t="str">
        <f aca="false">IFERROR(INDEX(종합!H$3:H$501,MATCH(ROW()-2,종합!$AC$3:$AC$501,0))&amp;"","")</f>
        <v/>
      </c>
      <c r="I239" s="21" t="str">
        <f aca="false">IFERROR(INDEX(종합!I$3:I$501,MATCH(ROW()-2,종합!$AC$3:$AC$501,0))&amp;"","")</f>
        <v/>
      </c>
      <c r="J239" s="21" t="str">
        <f aca="false">IFERROR(INDEX(종합!J$3:J$501,MATCH(ROW()-2,종합!$AC$3:$AC$501,0))&amp;"","")</f>
        <v/>
      </c>
      <c r="K239" s="21" t="str">
        <f aca="false">IFERROR(INDEX(종합!K$3:K$501,MATCH(ROW()-2,종합!$AC$3:$AC$501,0))&amp;"","")</f>
        <v/>
      </c>
      <c r="L239" s="21" t="str">
        <f aca="false">IFERROR(INDEX(종합!L$3:L$501,MATCH(ROW()-2,종합!$AC$3:$AC$501,0))&amp;"","")</f>
        <v/>
      </c>
      <c r="M239" s="21" t="str">
        <f aca="false">IFERROR(INDEX(종합!M$3:M$501,MATCH(ROW()-2,종합!$AC$3:$AC$501,0))&amp;"","")</f>
        <v/>
      </c>
      <c r="N239" s="25" t="str">
        <f aca="false">IFERROR(INDEX(종합!N$3:N$501,MATCH(ROW()-2,종합!$AC$3:$AC$501,0))&amp;"","")</f>
        <v/>
      </c>
      <c r="O239" s="21" t="str">
        <f aca="false">IFERROR(INDEX(종합!O$3:O$501,MATCH(ROW()-2,종합!$AC$3:$AC$501,0))&amp;"","")</f>
        <v/>
      </c>
      <c r="P239" s="21" t="str">
        <f aca="false">IFERROR(INDEX(종합!P$3:P$501,MATCH(ROW()-2,종합!$AC$3:$AC$501,0))&amp;"","")</f>
        <v/>
      </c>
      <c r="Q239" s="21" t="str">
        <f aca="false">IFERROR(INDEX(종합!Q$3:Q$501,MATCH(ROW()-2,종합!$AC$3:$AC$501,0))&amp;"","")</f>
        <v/>
      </c>
      <c r="R239" s="21" t="str">
        <f aca="false">IFERROR(INDEX(종합!R$3:R$501,MATCH(ROW()-2,종합!$AC$3:$AC$501,0))&amp;"","")</f>
        <v/>
      </c>
      <c r="S239" s="21" t="str">
        <f aca="false">IFERROR(INDEX(종합!S$3:S$501,MATCH(ROW()-2,종합!$AC$3:$AC$501,0))&amp;"","")</f>
        <v/>
      </c>
      <c r="T239" s="21" t="str">
        <f aca="false">IFERROR(INDEX(종합!T$3:T$501,MATCH(ROW()-2,종합!$AC$3:$AC$501,0))&amp;"","")</f>
        <v/>
      </c>
      <c r="U239" s="21" t="str">
        <f aca="false">IFERROR(INDEX(종합!U$3:U$501,MATCH(ROW()-2,종합!$AC$3:$AC$501,0))&amp;"","")</f>
        <v/>
      </c>
      <c r="V239" s="21" t="str">
        <f aca="false">IFERROR(INDEX(종합!V$3:V$501,MATCH(ROW()-2,종합!$AC$3:$AC$501,0))&amp;"","")</f>
        <v/>
      </c>
      <c r="W239" s="21" t="str">
        <f aca="false">IFERROR(INDEX(종합!W$3:W$501,MATCH(ROW()-2,종합!$AC$3:$AC$501,0))&amp;"","")</f>
        <v/>
      </c>
      <c r="X239" s="21" t="str">
        <f aca="false">IFERROR(INDEX(종합!X$3:X$501,MATCH(ROW()-2,종합!$AC$3:$AC$501,0))&amp;"","")</f>
        <v/>
      </c>
      <c r="Y239" s="21" t="str">
        <f aca="false">IFERROR(INDEX(종합!Y$3:Y$501,MATCH(ROW()-2,종합!$AC$3:$AC$501,0))&amp;"","")</f>
        <v/>
      </c>
      <c r="Z239" s="21" t="str">
        <f aca="false">IFERROR(INDEX(종합!Z$3:Z$501,MATCH(ROW()-2,종합!$AC$3:$AC$501,0))&amp;"","")</f>
        <v/>
      </c>
    </row>
    <row r="240" customFormat="false" ht="16.5" hidden="false" customHeight="true" outlineLevel="0" collapsed="false">
      <c r="A240" s="18" t="str">
        <f aca="false">IF(B240="","",ROW()-2)</f>
        <v/>
      </c>
      <c r="B240" s="18" t="str">
        <f aca="false">IFERROR(INDEX(종합!B$3:B$501,MATCH(ROW()-2,종합!$AC$3:$AC$501,0))&amp;"","")</f>
        <v/>
      </c>
      <c r="C240" s="18" t="str">
        <f aca="false">IFERROR(INDEX(종합!C$3:C$501,MATCH(ROW()-2,종합!$AC$3:$AC$501,0))&amp;"","")</f>
        <v/>
      </c>
      <c r="D240" s="18" t="str">
        <f aca="false">IFERROR(INDEX(종합!D$3:D$501,MATCH(ROW()-2,종합!$AC$3:$AC$501,0))&amp;"","")</f>
        <v/>
      </c>
      <c r="E240" s="18" t="str">
        <f aca="false">IFERROR(INDEX(종합!E$3:E$501,MATCH(ROW()-2,종합!$AC$3:$AC$501,0))&amp;"","")</f>
        <v/>
      </c>
      <c r="F240" s="18" t="str">
        <f aca="false">IFERROR(INDEX(종합!F$3:F$501,MATCH(ROW()-2,종합!$AC$3:$AC$501,0))&amp;"","")</f>
        <v/>
      </c>
      <c r="G240" s="18" t="str">
        <f aca="false">IFERROR(INDEX(종합!G$3:G$501,MATCH(ROW()-2,종합!$AC$3:$AC$501,0))&amp;"","")</f>
        <v/>
      </c>
      <c r="H240" s="21" t="str">
        <f aca="false">IFERROR(INDEX(종합!H$3:H$501,MATCH(ROW()-2,종합!$AC$3:$AC$501,0))&amp;"","")</f>
        <v/>
      </c>
      <c r="I240" s="21" t="str">
        <f aca="false">IFERROR(INDEX(종합!I$3:I$501,MATCH(ROW()-2,종합!$AC$3:$AC$501,0))&amp;"","")</f>
        <v/>
      </c>
      <c r="J240" s="21" t="str">
        <f aca="false">IFERROR(INDEX(종합!J$3:J$501,MATCH(ROW()-2,종합!$AC$3:$AC$501,0))&amp;"","")</f>
        <v/>
      </c>
      <c r="K240" s="21" t="str">
        <f aca="false">IFERROR(INDEX(종합!K$3:K$501,MATCH(ROW()-2,종합!$AC$3:$AC$501,0))&amp;"","")</f>
        <v/>
      </c>
      <c r="L240" s="21" t="str">
        <f aca="false">IFERROR(INDEX(종합!L$3:L$501,MATCH(ROW()-2,종합!$AC$3:$AC$501,0))&amp;"","")</f>
        <v/>
      </c>
      <c r="M240" s="21" t="str">
        <f aca="false">IFERROR(INDEX(종합!M$3:M$501,MATCH(ROW()-2,종합!$AC$3:$AC$501,0))&amp;"","")</f>
        <v/>
      </c>
      <c r="N240" s="25" t="str">
        <f aca="false">IFERROR(INDEX(종합!N$3:N$501,MATCH(ROW()-2,종합!$AC$3:$AC$501,0))&amp;"","")</f>
        <v/>
      </c>
      <c r="O240" s="21" t="str">
        <f aca="false">IFERROR(INDEX(종합!O$3:O$501,MATCH(ROW()-2,종합!$AC$3:$AC$501,0))&amp;"","")</f>
        <v/>
      </c>
      <c r="P240" s="21" t="str">
        <f aca="false">IFERROR(INDEX(종합!P$3:P$501,MATCH(ROW()-2,종합!$AC$3:$AC$501,0))&amp;"","")</f>
        <v/>
      </c>
      <c r="Q240" s="21" t="str">
        <f aca="false">IFERROR(INDEX(종합!Q$3:Q$501,MATCH(ROW()-2,종합!$AC$3:$AC$501,0))&amp;"","")</f>
        <v/>
      </c>
      <c r="R240" s="21" t="str">
        <f aca="false">IFERROR(INDEX(종합!R$3:R$501,MATCH(ROW()-2,종합!$AC$3:$AC$501,0))&amp;"","")</f>
        <v/>
      </c>
      <c r="S240" s="21" t="str">
        <f aca="false">IFERROR(INDEX(종합!S$3:S$501,MATCH(ROW()-2,종합!$AC$3:$AC$501,0))&amp;"","")</f>
        <v/>
      </c>
      <c r="T240" s="21" t="str">
        <f aca="false">IFERROR(INDEX(종합!T$3:T$501,MATCH(ROW()-2,종합!$AC$3:$AC$501,0))&amp;"","")</f>
        <v/>
      </c>
      <c r="U240" s="21" t="str">
        <f aca="false">IFERROR(INDEX(종합!U$3:U$501,MATCH(ROW()-2,종합!$AC$3:$AC$501,0))&amp;"","")</f>
        <v/>
      </c>
      <c r="V240" s="21" t="str">
        <f aca="false">IFERROR(INDEX(종합!V$3:V$501,MATCH(ROW()-2,종합!$AC$3:$AC$501,0))&amp;"","")</f>
        <v/>
      </c>
      <c r="W240" s="21" t="str">
        <f aca="false">IFERROR(INDEX(종합!W$3:W$501,MATCH(ROW()-2,종합!$AC$3:$AC$501,0))&amp;"","")</f>
        <v/>
      </c>
      <c r="X240" s="21" t="str">
        <f aca="false">IFERROR(INDEX(종합!X$3:X$501,MATCH(ROW()-2,종합!$AC$3:$AC$501,0))&amp;"","")</f>
        <v/>
      </c>
      <c r="Y240" s="21" t="str">
        <f aca="false">IFERROR(INDEX(종합!Y$3:Y$501,MATCH(ROW()-2,종합!$AC$3:$AC$501,0))&amp;"","")</f>
        <v/>
      </c>
      <c r="Z240" s="21" t="str">
        <f aca="false">IFERROR(INDEX(종합!Z$3:Z$501,MATCH(ROW()-2,종합!$AC$3:$AC$501,0))&amp;"","")</f>
        <v/>
      </c>
    </row>
    <row r="241" customFormat="false" ht="16.5" hidden="false" customHeight="true" outlineLevel="0" collapsed="false">
      <c r="A241" s="18" t="str">
        <f aca="false">IF(B241="","",ROW()-2)</f>
        <v/>
      </c>
      <c r="B241" s="18" t="str">
        <f aca="false">IFERROR(INDEX(종합!B$3:B$501,MATCH(ROW()-2,종합!$AC$3:$AC$501,0))&amp;"","")</f>
        <v/>
      </c>
      <c r="C241" s="18" t="str">
        <f aca="false">IFERROR(INDEX(종합!C$3:C$501,MATCH(ROW()-2,종합!$AC$3:$AC$501,0))&amp;"","")</f>
        <v/>
      </c>
      <c r="D241" s="18" t="str">
        <f aca="false">IFERROR(INDEX(종합!D$3:D$501,MATCH(ROW()-2,종합!$AC$3:$AC$501,0))&amp;"","")</f>
        <v/>
      </c>
      <c r="E241" s="18" t="str">
        <f aca="false">IFERROR(INDEX(종합!E$3:E$501,MATCH(ROW()-2,종합!$AC$3:$AC$501,0))&amp;"","")</f>
        <v/>
      </c>
      <c r="F241" s="18" t="str">
        <f aca="false">IFERROR(INDEX(종합!F$3:F$501,MATCH(ROW()-2,종합!$AC$3:$AC$501,0))&amp;"","")</f>
        <v/>
      </c>
      <c r="G241" s="18" t="str">
        <f aca="false">IFERROR(INDEX(종합!G$3:G$501,MATCH(ROW()-2,종합!$AC$3:$AC$501,0))&amp;"","")</f>
        <v/>
      </c>
      <c r="H241" s="21" t="str">
        <f aca="false">IFERROR(INDEX(종합!H$3:H$501,MATCH(ROW()-2,종합!$AC$3:$AC$501,0))&amp;"","")</f>
        <v/>
      </c>
      <c r="I241" s="21" t="str">
        <f aca="false">IFERROR(INDEX(종합!I$3:I$501,MATCH(ROW()-2,종합!$AC$3:$AC$501,0))&amp;"","")</f>
        <v/>
      </c>
      <c r="J241" s="21" t="str">
        <f aca="false">IFERROR(INDEX(종합!J$3:J$501,MATCH(ROW()-2,종합!$AC$3:$AC$501,0))&amp;"","")</f>
        <v/>
      </c>
      <c r="K241" s="21" t="str">
        <f aca="false">IFERROR(INDEX(종합!K$3:K$501,MATCH(ROW()-2,종합!$AC$3:$AC$501,0))&amp;"","")</f>
        <v/>
      </c>
      <c r="L241" s="21" t="str">
        <f aca="false">IFERROR(INDEX(종합!L$3:L$501,MATCH(ROW()-2,종합!$AC$3:$AC$501,0))&amp;"","")</f>
        <v/>
      </c>
      <c r="M241" s="21" t="str">
        <f aca="false">IFERROR(INDEX(종합!M$3:M$501,MATCH(ROW()-2,종합!$AC$3:$AC$501,0))&amp;"","")</f>
        <v/>
      </c>
      <c r="N241" s="25" t="str">
        <f aca="false">IFERROR(INDEX(종합!N$3:N$501,MATCH(ROW()-2,종합!$AC$3:$AC$501,0))&amp;"","")</f>
        <v/>
      </c>
      <c r="O241" s="21" t="str">
        <f aca="false">IFERROR(INDEX(종합!O$3:O$501,MATCH(ROW()-2,종합!$AC$3:$AC$501,0))&amp;"","")</f>
        <v/>
      </c>
      <c r="P241" s="21" t="str">
        <f aca="false">IFERROR(INDEX(종합!P$3:P$501,MATCH(ROW()-2,종합!$AC$3:$AC$501,0))&amp;"","")</f>
        <v/>
      </c>
      <c r="Q241" s="21" t="str">
        <f aca="false">IFERROR(INDEX(종합!Q$3:Q$501,MATCH(ROW()-2,종합!$AC$3:$AC$501,0))&amp;"","")</f>
        <v/>
      </c>
      <c r="R241" s="21" t="str">
        <f aca="false">IFERROR(INDEX(종합!R$3:R$501,MATCH(ROW()-2,종합!$AC$3:$AC$501,0))&amp;"","")</f>
        <v/>
      </c>
      <c r="S241" s="21" t="str">
        <f aca="false">IFERROR(INDEX(종합!S$3:S$501,MATCH(ROW()-2,종합!$AC$3:$AC$501,0))&amp;"","")</f>
        <v/>
      </c>
      <c r="T241" s="21" t="str">
        <f aca="false">IFERROR(INDEX(종합!T$3:T$501,MATCH(ROW()-2,종합!$AC$3:$AC$501,0))&amp;"","")</f>
        <v/>
      </c>
      <c r="U241" s="21" t="str">
        <f aca="false">IFERROR(INDEX(종합!U$3:U$501,MATCH(ROW()-2,종합!$AC$3:$AC$501,0))&amp;"","")</f>
        <v/>
      </c>
      <c r="V241" s="21" t="str">
        <f aca="false">IFERROR(INDEX(종합!V$3:V$501,MATCH(ROW()-2,종합!$AC$3:$AC$501,0))&amp;"","")</f>
        <v/>
      </c>
      <c r="W241" s="21" t="str">
        <f aca="false">IFERROR(INDEX(종합!W$3:W$501,MATCH(ROW()-2,종합!$AC$3:$AC$501,0))&amp;"","")</f>
        <v/>
      </c>
      <c r="X241" s="21" t="str">
        <f aca="false">IFERROR(INDEX(종합!X$3:X$501,MATCH(ROW()-2,종합!$AC$3:$AC$501,0))&amp;"","")</f>
        <v/>
      </c>
      <c r="Y241" s="21" t="str">
        <f aca="false">IFERROR(INDEX(종합!Y$3:Y$501,MATCH(ROW()-2,종합!$AC$3:$AC$501,0))&amp;"","")</f>
        <v/>
      </c>
      <c r="Z241" s="21" t="str">
        <f aca="false">IFERROR(INDEX(종합!Z$3:Z$501,MATCH(ROW()-2,종합!$AC$3:$AC$501,0))&amp;"","")</f>
        <v/>
      </c>
    </row>
    <row r="242" customFormat="false" ht="16.5" hidden="false" customHeight="true" outlineLevel="0" collapsed="false">
      <c r="A242" s="18" t="str">
        <f aca="false">IF(B242="","",ROW()-2)</f>
        <v/>
      </c>
      <c r="B242" s="18" t="str">
        <f aca="false">IFERROR(INDEX(종합!B$3:B$501,MATCH(ROW()-2,종합!$AC$3:$AC$501,0))&amp;"","")</f>
        <v/>
      </c>
      <c r="C242" s="18" t="str">
        <f aca="false">IFERROR(INDEX(종합!C$3:C$501,MATCH(ROW()-2,종합!$AC$3:$AC$501,0))&amp;"","")</f>
        <v/>
      </c>
      <c r="D242" s="18" t="str">
        <f aca="false">IFERROR(INDEX(종합!D$3:D$501,MATCH(ROW()-2,종합!$AC$3:$AC$501,0))&amp;"","")</f>
        <v/>
      </c>
      <c r="E242" s="18" t="str">
        <f aca="false">IFERROR(INDEX(종합!E$3:E$501,MATCH(ROW()-2,종합!$AC$3:$AC$501,0))&amp;"","")</f>
        <v/>
      </c>
      <c r="F242" s="18" t="str">
        <f aca="false">IFERROR(INDEX(종합!F$3:F$501,MATCH(ROW()-2,종합!$AC$3:$AC$501,0))&amp;"","")</f>
        <v/>
      </c>
      <c r="G242" s="18" t="str">
        <f aca="false">IFERROR(INDEX(종합!G$3:G$501,MATCH(ROW()-2,종합!$AC$3:$AC$501,0))&amp;"","")</f>
        <v/>
      </c>
      <c r="H242" s="21" t="str">
        <f aca="false">IFERROR(INDEX(종합!H$3:H$501,MATCH(ROW()-2,종합!$AC$3:$AC$501,0))&amp;"","")</f>
        <v/>
      </c>
      <c r="I242" s="21" t="str">
        <f aca="false">IFERROR(INDEX(종합!I$3:I$501,MATCH(ROW()-2,종합!$AC$3:$AC$501,0))&amp;"","")</f>
        <v/>
      </c>
      <c r="J242" s="21" t="str">
        <f aca="false">IFERROR(INDEX(종합!J$3:J$501,MATCH(ROW()-2,종합!$AC$3:$AC$501,0))&amp;"","")</f>
        <v/>
      </c>
      <c r="K242" s="21" t="str">
        <f aca="false">IFERROR(INDEX(종합!K$3:K$501,MATCH(ROW()-2,종합!$AC$3:$AC$501,0))&amp;"","")</f>
        <v/>
      </c>
      <c r="L242" s="21" t="str">
        <f aca="false">IFERROR(INDEX(종합!L$3:L$501,MATCH(ROW()-2,종합!$AC$3:$AC$501,0))&amp;"","")</f>
        <v/>
      </c>
      <c r="M242" s="21" t="str">
        <f aca="false">IFERROR(INDEX(종합!M$3:M$501,MATCH(ROW()-2,종합!$AC$3:$AC$501,0))&amp;"","")</f>
        <v/>
      </c>
      <c r="N242" s="25" t="str">
        <f aca="false">IFERROR(INDEX(종합!N$3:N$501,MATCH(ROW()-2,종합!$AC$3:$AC$501,0))&amp;"","")</f>
        <v/>
      </c>
      <c r="O242" s="21" t="str">
        <f aca="false">IFERROR(INDEX(종합!O$3:O$501,MATCH(ROW()-2,종합!$AC$3:$AC$501,0))&amp;"","")</f>
        <v/>
      </c>
      <c r="P242" s="21" t="str">
        <f aca="false">IFERROR(INDEX(종합!P$3:P$501,MATCH(ROW()-2,종합!$AC$3:$AC$501,0))&amp;"","")</f>
        <v/>
      </c>
      <c r="Q242" s="21" t="str">
        <f aca="false">IFERROR(INDEX(종합!Q$3:Q$501,MATCH(ROW()-2,종합!$AC$3:$AC$501,0))&amp;"","")</f>
        <v/>
      </c>
      <c r="R242" s="21" t="str">
        <f aca="false">IFERROR(INDEX(종합!R$3:R$501,MATCH(ROW()-2,종합!$AC$3:$AC$501,0))&amp;"","")</f>
        <v/>
      </c>
      <c r="S242" s="21" t="str">
        <f aca="false">IFERROR(INDEX(종합!S$3:S$501,MATCH(ROW()-2,종합!$AC$3:$AC$501,0))&amp;"","")</f>
        <v/>
      </c>
      <c r="T242" s="21" t="str">
        <f aca="false">IFERROR(INDEX(종합!T$3:T$501,MATCH(ROW()-2,종합!$AC$3:$AC$501,0))&amp;"","")</f>
        <v/>
      </c>
      <c r="U242" s="21" t="str">
        <f aca="false">IFERROR(INDEX(종합!U$3:U$501,MATCH(ROW()-2,종합!$AC$3:$AC$501,0))&amp;"","")</f>
        <v/>
      </c>
      <c r="V242" s="21" t="str">
        <f aca="false">IFERROR(INDEX(종합!V$3:V$501,MATCH(ROW()-2,종합!$AC$3:$AC$501,0))&amp;"","")</f>
        <v/>
      </c>
      <c r="W242" s="21" t="str">
        <f aca="false">IFERROR(INDEX(종합!W$3:W$501,MATCH(ROW()-2,종합!$AC$3:$AC$501,0))&amp;"","")</f>
        <v/>
      </c>
      <c r="X242" s="21" t="str">
        <f aca="false">IFERROR(INDEX(종합!X$3:X$501,MATCH(ROW()-2,종합!$AC$3:$AC$501,0))&amp;"","")</f>
        <v/>
      </c>
      <c r="Y242" s="21" t="str">
        <f aca="false">IFERROR(INDEX(종합!Y$3:Y$501,MATCH(ROW()-2,종합!$AC$3:$AC$501,0))&amp;"","")</f>
        <v/>
      </c>
      <c r="Z242" s="21" t="str">
        <f aca="false">IFERROR(INDEX(종합!Z$3:Z$501,MATCH(ROW()-2,종합!$AC$3:$AC$501,0))&amp;"","")</f>
        <v/>
      </c>
    </row>
    <row r="243" customFormat="false" ht="16.5" hidden="false" customHeight="true" outlineLevel="0" collapsed="false">
      <c r="A243" s="18" t="str">
        <f aca="false">IF(B243="","",ROW()-2)</f>
        <v/>
      </c>
      <c r="B243" s="18" t="str">
        <f aca="false">IFERROR(INDEX(종합!B$3:B$501,MATCH(ROW()-2,종합!$AC$3:$AC$501,0))&amp;"","")</f>
        <v/>
      </c>
      <c r="C243" s="18" t="str">
        <f aca="false">IFERROR(INDEX(종합!C$3:C$501,MATCH(ROW()-2,종합!$AC$3:$AC$501,0))&amp;"","")</f>
        <v/>
      </c>
      <c r="D243" s="18" t="str">
        <f aca="false">IFERROR(INDEX(종합!D$3:D$501,MATCH(ROW()-2,종합!$AC$3:$AC$501,0))&amp;"","")</f>
        <v/>
      </c>
      <c r="E243" s="18" t="str">
        <f aca="false">IFERROR(INDEX(종합!E$3:E$501,MATCH(ROW()-2,종합!$AC$3:$AC$501,0))&amp;"","")</f>
        <v/>
      </c>
      <c r="F243" s="18" t="str">
        <f aca="false">IFERROR(INDEX(종합!F$3:F$501,MATCH(ROW()-2,종합!$AC$3:$AC$501,0))&amp;"","")</f>
        <v/>
      </c>
      <c r="G243" s="18" t="str">
        <f aca="false">IFERROR(INDEX(종합!G$3:G$501,MATCH(ROW()-2,종합!$AC$3:$AC$501,0))&amp;"","")</f>
        <v/>
      </c>
      <c r="H243" s="21" t="str">
        <f aca="false">IFERROR(INDEX(종합!H$3:H$501,MATCH(ROW()-2,종합!$AC$3:$AC$501,0))&amp;"","")</f>
        <v/>
      </c>
      <c r="I243" s="21" t="str">
        <f aca="false">IFERROR(INDEX(종합!I$3:I$501,MATCH(ROW()-2,종합!$AC$3:$AC$501,0))&amp;"","")</f>
        <v/>
      </c>
      <c r="J243" s="21" t="str">
        <f aca="false">IFERROR(INDEX(종합!J$3:J$501,MATCH(ROW()-2,종합!$AC$3:$AC$501,0))&amp;"","")</f>
        <v/>
      </c>
      <c r="K243" s="21" t="str">
        <f aca="false">IFERROR(INDEX(종합!K$3:K$501,MATCH(ROW()-2,종합!$AC$3:$AC$501,0))&amp;"","")</f>
        <v/>
      </c>
      <c r="L243" s="21" t="str">
        <f aca="false">IFERROR(INDEX(종합!L$3:L$501,MATCH(ROW()-2,종합!$AC$3:$AC$501,0))&amp;"","")</f>
        <v/>
      </c>
      <c r="M243" s="21" t="str">
        <f aca="false">IFERROR(INDEX(종합!M$3:M$501,MATCH(ROW()-2,종합!$AC$3:$AC$501,0))&amp;"","")</f>
        <v/>
      </c>
      <c r="N243" s="25" t="str">
        <f aca="false">IFERROR(INDEX(종합!N$3:N$501,MATCH(ROW()-2,종합!$AC$3:$AC$501,0))&amp;"","")</f>
        <v/>
      </c>
      <c r="O243" s="21" t="str">
        <f aca="false">IFERROR(INDEX(종합!O$3:O$501,MATCH(ROW()-2,종합!$AC$3:$AC$501,0))&amp;"","")</f>
        <v/>
      </c>
      <c r="P243" s="21" t="str">
        <f aca="false">IFERROR(INDEX(종합!P$3:P$501,MATCH(ROW()-2,종합!$AC$3:$AC$501,0))&amp;"","")</f>
        <v/>
      </c>
      <c r="Q243" s="21" t="str">
        <f aca="false">IFERROR(INDEX(종합!Q$3:Q$501,MATCH(ROW()-2,종합!$AC$3:$AC$501,0))&amp;"","")</f>
        <v/>
      </c>
      <c r="R243" s="21" t="str">
        <f aca="false">IFERROR(INDEX(종합!R$3:R$501,MATCH(ROW()-2,종합!$AC$3:$AC$501,0))&amp;"","")</f>
        <v/>
      </c>
      <c r="S243" s="21" t="str">
        <f aca="false">IFERROR(INDEX(종합!S$3:S$501,MATCH(ROW()-2,종합!$AC$3:$AC$501,0))&amp;"","")</f>
        <v/>
      </c>
      <c r="T243" s="21" t="str">
        <f aca="false">IFERROR(INDEX(종합!T$3:T$501,MATCH(ROW()-2,종합!$AC$3:$AC$501,0))&amp;"","")</f>
        <v/>
      </c>
      <c r="U243" s="21" t="str">
        <f aca="false">IFERROR(INDEX(종합!U$3:U$501,MATCH(ROW()-2,종합!$AC$3:$AC$501,0))&amp;"","")</f>
        <v/>
      </c>
      <c r="V243" s="21" t="str">
        <f aca="false">IFERROR(INDEX(종합!V$3:V$501,MATCH(ROW()-2,종합!$AC$3:$AC$501,0))&amp;"","")</f>
        <v/>
      </c>
      <c r="W243" s="21" t="str">
        <f aca="false">IFERROR(INDEX(종합!W$3:W$501,MATCH(ROW()-2,종합!$AC$3:$AC$501,0))&amp;"","")</f>
        <v/>
      </c>
      <c r="X243" s="21" t="str">
        <f aca="false">IFERROR(INDEX(종합!X$3:X$501,MATCH(ROW()-2,종합!$AC$3:$AC$501,0))&amp;"","")</f>
        <v/>
      </c>
      <c r="Y243" s="21" t="str">
        <f aca="false">IFERROR(INDEX(종합!Y$3:Y$501,MATCH(ROW()-2,종합!$AC$3:$AC$501,0))&amp;"","")</f>
        <v/>
      </c>
      <c r="Z243" s="21" t="str">
        <f aca="false">IFERROR(INDEX(종합!Z$3:Z$501,MATCH(ROW()-2,종합!$AC$3:$AC$501,0))&amp;"","")</f>
        <v/>
      </c>
    </row>
    <row r="244" customFormat="false" ht="16.5" hidden="false" customHeight="true" outlineLevel="0" collapsed="false">
      <c r="A244" s="18" t="str">
        <f aca="false">IF(B244="","",ROW()-2)</f>
        <v/>
      </c>
      <c r="B244" s="18" t="str">
        <f aca="false">IFERROR(INDEX(종합!B$3:B$501,MATCH(ROW()-2,종합!$AC$3:$AC$501,0))&amp;"","")</f>
        <v/>
      </c>
      <c r="C244" s="18" t="str">
        <f aca="false">IFERROR(INDEX(종합!C$3:C$501,MATCH(ROW()-2,종합!$AC$3:$AC$501,0))&amp;"","")</f>
        <v/>
      </c>
      <c r="D244" s="18" t="str">
        <f aca="false">IFERROR(INDEX(종합!D$3:D$501,MATCH(ROW()-2,종합!$AC$3:$AC$501,0))&amp;"","")</f>
        <v/>
      </c>
      <c r="E244" s="18" t="str">
        <f aca="false">IFERROR(INDEX(종합!E$3:E$501,MATCH(ROW()-2,종합!$AC$3:$AC$501,0))&amp;"","")</f>
        <v/>
      </c>
      <c r="F244" s="18" t="str">
        <f aca="false">IFERROR(INDEX(종합!F$3:F$501,MATCH(ROW()-2,종합!$AC$3:$AC$501,0))&amp;"","")</f>
        <v/>
      </c>
      <c r="G244" s="18" t="str">
        <f aca="false">IFERROR(INDEX(종합!G$3:G$501,MATCH(ROW()-2,종합!$AC$3:$AC$501,0))&amp;"","")</f>
        <v/>
      </c>
      <c r="H244" s="21" t="str">
        <f aca="false">IFERROR(INDEX(종합!H$3:H$501,MATCH(ROW()-2,종합!$AC$3:$AC$501,0))&amp;"","")</f>
        <v/>
      </c>
      <c r="I244" s="21" t="str">
        <f aca="false">IFERROR(INDEX(종합!I$3:I$501,MATCH(ROW()-2,종합!$AC$3:$AC$501,0))&amp;"","")</f>
        <v/>
      </c>
      <c r="J244" s="21" t="str">
        <f aca="false">IFERROR(INDEX(종합!J$3:J$501,MATCH(ROW()-2,종합!$AC$3:$AC$501,0))&amp;"","")</f>
        <v/>
      </c>
      <c r="K244" s="21" t="str">
        <f aca="false">IFERROR(INDEX(종합!K$3:K$501,MATCH(ROW()-2,종합!$AC$3:$AC$501,0))&amp;"","")</f>
        <v/>
      </c>
      <c r="L244" s="21" t="str">
        <f aca="false">IFERROR(INDEX(종합!L$3:L$501,MATCH(ROW()-2,종합!$AC$3:$AC$501,0))&amp;"","")</f>
        <v/>
      </c>
      <c r="M244" s="21" t="str">
        <f aca="false">IFERROR(INDEX(종합!M$3:M$501,MATCH(ROW()-2,종합!$AC$3:$AC$501,0))&amp;"","")</f>
        <v/>
      </c>
      <c r="N244" s="25" t="str">
        <f aca="false">IFERROR(INDEX(종합!N$3:N$501,MATCH(ROW()-2,종합!$AC$3:$AC$501,0))&amp;"","")</f>
        <v/>
      </c>
      <c r="O244" s="21" t="str">
        <f aca="false">IFERROR(INDEX(종합!O$3:O$501,MATCH(ROW()-2,종합!$AC$3:$AC$501,0))&amp;"","")</f>
        <v/>
      </c>
      <c r="P244" s="21" t="str">
        <f aca="false">IFERROR(INDEX(종합!P$3:P$501,MATCH(ROW()-2,종합!$AC$3:$AC$501,0))&amp;"","")</f>
        <v/>
      </c>
      <c r="Q244" s="21" t="str">
        <f aca="false">IFERROR(INDEX(종합!Q$3:Q$501,MATCH(ROW()-2,종합!$AC$3:$AC$501,0))&amp;"","")</f>
        <v/>
      </c>
      <c r="R244" s="21" t="str">
        <f aca="false">IFERROR(INDEX(종합!R$3:R$501,MATCH(ROW()-2,종합!$AC$3:$AC$501,0))&amp;"","")</f>
        <v/>
      </c>
      <c r="S244" s="21" t="str">
        <f aca="false">IFERROR(INDEX(종합!S$3:S$501,MATCH(ROW()-2,종합!$AC$3:$AC$501,0))&amp;"","")</f>
        <v/>
      </c>
      <c r="T244" s="21" t="str">
        <f aca="false">IFERROR(INDEX(종합!T$3:T$501,MATCH(ROW()-2,종합!$AC$3:$AC$501,0))&amp;"","")</f>
        <v/>
      </c>
      <c r="U244" s="21" t="str">
        <f aca="false">IFERROR(INDEX(종합!U$3:U$501,MATCH(ROW()-2,종합!$AC$3:$AC$501,0))&amp;"","")</f>
        <v/>
      </c>
      <c r="V244" s="21" t="str">
        <f aca="false">IFERROR(INDEX(종합!V$3:V$501,MATCH(ROW()-2,종합!$AC$3:$AC$501,0))&amp;"","")</f>
        <v/>
      </c>
      <c r="W244" s="21" t="str">
        <f aca="false">IFERROR(INDEX(종합!W$3:W$501,MATCH(ROW()-2,종합!$AC$3:$AC$501,0))&amp;"","")</f>
        <v/>
      </c>
      <c r="X244" s="21" t="str">
        <f aca="false">IFERROR(INDEX(종합!X$3:X$501,MATCH(ROW()-2,종합!$AC$3:$AC$501,0))&amp;"","")</f>
        <v/>
      </c>
      <c r="Y244" s="21" t="str">
        <f aca="false">IFERROR(INDEX(종합!Y$3:Y$501,MATCH(ROW()-2,종합!$AC$3:$AC$501,0))&amp;"","")</f>
        <v/>
      </c>
      <c r="Z244" s="21" t="str">
        <f aca="false">IFERROR(INDEX(종합!Z$3:Z$501,MATCH(ROW()-2,종합!$AC$3:$AC$501,0))&amp;"","")</f>
        <v/>
      </c>
    </row>
    <row r="245" customFormat="false" ht="16.5" hidden="false" customHeight="true" outlineLevel="0" collapsed="false">
      <c r="A245" s="18" t="str">
        <f aca="false">IF(B245="","",ROW()-2)</f>
        <v/>
      </c>
      <c r="B245" s="18" t="str">
        <f aca="false">IFERROR(INDEX(종합!B$3:B$501,MATCH(ROW()-2,종합!$AC$3:$AC$501,0))&amp;"","")</f>
        <v/>
      </c>
      <c r="C245" s="18" t="str">
        <f aca="false">IFERROR(INDEX(종합!C$3:C$501,MATCH(ROW()-2,종합!$AC$3:$AC$501,0))&amp;"","")</f>
        <v/>
      </c>
      <c r="D245" s="18" t="str">
        <f aca="false">IFERROR(INDEX(종합!D$3:D$501,MATCH(ROW()-2,종합!$AC$3:$AC$501,0))&amp;"","")</f>
        <v/>
      </c>
      <c r="E245" s="18" t="str">
        <f aca="false">IFERROR(INDEX(종합!E$3:E$501,MATCH(ROW()-2,종합!$AC$3:$AC$501,0))&amp;"","")</f>
        <v/>
      </c>
      <c r="F245" s="18" t="str">
        <f aca="false">IFERROR(INDEX(종합!F$3:F$501,MATCH(ROW()-2,종합!$AC$3:$AC$501,0))&amp;"","")</f>
        <v/>
      </c>
      <c r="G245" s="18" t="str">
        <f aca="false">IFERROR(INDEX(종합!G$3:G$501,MATCH(ROW()-2,종합!$AC$3:$AC$501,0))&amp;"","")</f>
        <v/>
      </c>
      <c r="H245" s="21" t="str">
        <f aca="false">IFERROR(INDEX(종합!H$3:H$501,MATCH(ROW()-2,종합!$AC$3:$AC$501,0))&amp;"","")</f>
        <v/>
      </c>
      <c r="I245" s="21" t="str">
        <f aca="false">IFERROR(INDEX(종합!I$3:I$501,MATCH(ROW()-2,종합!$AC$3:$AC$501,0))&amp;"","")</f>
        <v/>
      </c>
      <c r="J245" s="21" t="str">
        <f aca="false">IFERROR(INDEX(종합!J$3:J$501,MATCH(ROW()-2,종합!$AC$3:$AC$501,0))&amp;"","")</f>
        <v/>
      </c>
      <c r="K245" s="21" t="str">
        <f aca="false">IFERROR(INDEX(종합!K$3:K$501,MATCH(ROW()-2,종합!$AC$3:$AC$501,0))&amp;"","")</f>
        <v/>
      </c>
      <c r="L245" s="21" t="str">
        <f aca="false">IFERROR(INDEX(종합!L$3:L$501,MATCH(ROW()-2,종합!$AC$3:$AC$501,0))&amp;"","")</f>
        <v/>
      </c>
      <c r="M245" s="21" t="str">
        <f aca="false">IFERROR(INDEX(종합!M$3:M$501,MATCH(ROW()-2,종합!$AC$3:$AC$501,0))&amp;"","")</f>
        <v/>
      </c>
      <c r="N245" s="25" t="str">
        <f aca="false">IFERROR(INDEX(종합!N$3:N$501,MATCH(ROW()-2,종합!$AC$3:$AC$501,0))&amp;"","")</f>
        <v/>
      </c>
      <c r="O245" s="21" t="str">
        <f aca="false">IFERROR(INDEX(종합!O$3:O$501,MATCH(ROW()-2,종합!$AC$3:$AC$501,0))&amp;"","")</f>
        <v/>
      </c>
      <c r="P245" s="21" t="str">
        <f aca="false">IFERROR(INDEX(종합!P$3:P$501,MATCH(ROW()-2,종합!$AC$3:$AC$501,0))&amp;"","")</f>
        <v/>
      </c>
      <c r="Q245" s="21" t="str">
        <f aca="false">IFERROR(INDEX(종합!Q$3:Q$501,MATCH(ROW()-2,종합!$AC$3:$AC$501,0))&amp;"","")</f>
        <v/>
      </c>
      <c r="R245" s="21" t="str">
        <f aca="false">IFERROR(INDEX(종합!R$3:R$501,MATCH(ROW()-2,종합!$AC$3:$AC$501,0))&amp;"","")</f>
        <v/>
      </c>
      <c r="S245" s="21" t="str">
        <f aca="false">IFERROR(INDEX(종합!S$3:S$501,MATCH(ROW()-2,종합!$AC$3:$AC$501,0))&amp;"","")</f>
        <v/>
      </c>
      <c r="T245" s="21" t="str">
        <f aca="false">IFERROR(INDEX(종합!T$3:T$501,MATCH(ROW()-2,종합!$AC$3:$AC$501,0))&amp;"","")</f>
        <v/>
      </c>
      <c r="U245" s="21" t="str">
        <f aca="false">IFERROR(INDEX(종합!U$3:U$501,MATCH(ROW()-2,종합!$AC$3:$AC$501,0))&amp;"","")</f>
        <v/>
      </c>
      <c r="V245" s="21" t="str">
        <f aca="false">IFERROR(INDEX(종합!V$3:V$501,MATCH(ROW()-2,종합!$AC$3:$AC$501,0))&amp;"","")</f>
        <v/>
      </c>
      <c r="W245" s="21" t="str">
        <f aca="false">IFERROR(INDEX(종합!W$3:W$501,MATCH(ROW()-2,종합!$AC$3:$AC$501,0))&amp;"","")</f>
        <v/>
      </c>
      <c r="X245" s="21" t="str">
        <f aca="false">IFERROR(INDEX(종합!X$3:X$501,MATCH(ROW()-2,종합!$AC$3:$AC$501,0))&amp;"","")</f>
        <v/>
      </c>
      <c r="Y245" s="21" t="str">
        <f aca="false">IFERROR(INDEX(종합!Y$3:Y$501,MATCH(ROW()-2,종합!$AC$3:$AC$501,0))&amp;"","")</f>
        <v/>
      </c>
      <c r="Z245" s="21" t="str">
        <f aca="false">IFERROR(INDEX(종합!Z$3:Z$501,MATCH(ROW()-2,종합!$AC$3:$AC$501,0))&amp;"","")</f>
        <v/>
      </c>
    </row>
    <row r="246" customFormat="false" ht="16.5" hidden="false" customHeight="true" outlineLevel="0" collapsed="false">
      <c r="A246" s="18" t="str">
        <f aca="false">IF(B246="","",ROW()-2)</f>
        <v/>
      </c>
      <c r="B246" s="18" t="str">
        <f aca="false">IFERROR(INDEX(종합!B$3:B$501,MATCH(ROW()-2,종합!$AC$3:$AC$501,0))&amp;"","")</f>
        <v/>
      </c>
      <c r="C246" s="18" t="str">
        <f aca="false">IFERROR(INDEX(종합!C$3:C$501,MATCH(ROW()-2,종합!$AC$3:$AC$501,0))&amp;"","")</f>
        <v/>
      </c>
      <c r="D246" s="18" t="str">
        <f aca="false">IFERROR(INDEX(종합!D$3:D$501,MATCH(ROW()-2,종합!$AC$3:$AC$501,0))&amp;"","")</f>
        <v/>
      </c>
      <c r="E246" s="18" t="str">
        <f aca="false">IFERROR(INDEX(종합!E$3:E$501,MATCH(ROW()-2,종합!$AC$3:$AC$501,0))&amp;"","")</f>
        <v/>
      </c>
      <c r="F246" s="18" t="str">
        <f aca="false">IFERROR(INDEX(종합!F$3:F$501,MATCH(ROW()-2,종합!$AC$3:$AC$501,0))&amp;"","")</f>
        <v/>
      </c>
      <c r="G246" s="18" t="str">
        <f aca="false">IFERROR(INDEX(종합!G$3:G$501,MATCH(ROW()-2,종합!$AC$3:$AC$501,0))&amp;"","")</f>
        <v/>
      </c>
      <c r="H246" s="21" t="str">
        <f aca="false">IFERROR(INDEX(종합!H$3:H$501,MATCH(ROW()-2,종합!$AC$3:$AC$501,0))&amp;"","")</f>
        <v/>
      </c>
      <c r="I246" s="21" t="str">
        <f aca="false">IFERROR(INDEX(종합!I$3:I$501,MATCH(ROW()-2,종합!$AC$3:$AC$501,0))&amp;"","")</f>
        <v/>
      </c>
      <c r="J246" s="21" t="str">
        <f aca="false">IFERROR(INDEX(종합!J$3:J$501,MATCH(ROW()-2,종합!$AC$3:$AC$501,0))&amp;"","")</f>
        <v/>
      </c>
      <c r="K246" s="21" t="str">
        <f aca="false">IFERROR(INDEX(종합!K$3:K$501,MATCH(ROW()-2,종합!$AC$3:$AC$501,0))&amp;"","")</f>
        <v/>
      </c>
      <c r="L246" s="21" t="str">
        <f aca="false">IFERROR(INDEX(종합!L$3:L$501,MATCH(ROW()-2,종합!$AC$3:$AC$501,0))&amp;"","")</f>
        <v/>
      </c>
      <c r="M246" s="21" t="str">
        <f aca="false">IFERROR(INDEX(종합!M$3:M$501,MATCH(ROW()-2,종합!$AC$3:$AC$501,0))&amp;"","")</f>
        <v/>
      </c>
      <c r="N246" s="25" t="str">
        <f aca="false">IFERROR(INDEX(종합!N$3:N$501,MATCH(ROW()-2,종합!$AC$3:$AC$501,0))&amp;"","")</f>
        <v/>
      </c>
      <c r="O246" s="21" t="str">
        <f aca="false">IFERROR(INDEX(종합!O$3:O$501,MATCH(ROW()-2,종합!$AC$3:$AC$501,0))&amp;"","")</f>
        <v/>
      </c>
      <c r="P246" s="21" t="str">
        <f aca="false">IFERROR(INDEX(종합!P$3:P$501,MATCH(ROW()-2,종합!$AC$3:$AC$501,0))&amp;"","")</f>
        <v/>
      </c>
      <c r="Q246" s="21" t="str">
        <f aca="false">IFERROR(INDEX(종합!Q$3:Q$501,MATCH(ROW()-2,종합!$AC$3:$AC$501,0))&amp;"","")</f>
        <v/>
      </c>
      <c r="R246" s="21" t="str">
        <f aca="false">IFERROR(INDEX(종합!R$3:R$501,MATCH(ROW()-2,종합!$AC$3:$AC$501,0))&amp;"","")</f>
        <v/>
      </c>
      <c r="S246" s="21" t="str">
        <f aca="false">IFERROR(INDEX(종합!S$3:S$501,MATCH(ROW()-2,종합!$AC$3:$AC$501,0))&amp;"","")</f>
        <v/>
      </c>
      <c r="T246" s="21" t="str">
        <f aca="false">IFERROR(INDEX(종합!T$3:T$501,MATCH(ROW()-2,종합!$AC$3:$AC$501,0))&amp;"","")</f>
        <v/>
      </c>
      <c r="U246" s="21" t="str">
        <f aca="false">IFERROR(INDEX(종합!U$3:U$501,MATCH(ROW()-2,종합!$AC$3:$AC$501,0))&amp;"","")</f>
        <v/>
      </c>
      <c r="V246" s="21" t="str">
        <f aca="false">IFERROR(INDEX(종합!V$3:V$501,MATCH(ROW()-2,종합!$AC$3:$AC$501,0))&amp;"","")</f>
        <v/>
      </c>
      <c r="W246" s="21" t="str">
        <f aca="false">IFERROR(INDEX(종합!W$3:W$501,MATCH(ROW()-2,종합!$AC$3:$AC$501,0))&amp;"","")</f>
        <v/>
      </c>
      <c r="X246" s="21" t="str">
        <f aca="false">IFERROR(INDEX(종합!X$3:X$501,MATCH(ROW()-2,종합!$AC$3:$AC$501,0))&amp;"","")</f>
        <v/>
      </c>
      <c r="Y246" s="21" t="str">
        <f aca="false">IFERROR(INDEX(종합!Y$3:Y$501,MATCH(ROW()-2,종합!$AC$3:$AC$501,0))&amp;"","")</f>
        <v/>
      </c>
      <c r="Z246" s="21" t="str">
        <f aca="false">IFERROR(INDEX(종합!Z$3:Z$501,MATCH(ROW()-2,종합!$AC$3:$AC$501,0))&amp;"","")</f>
        <v/>
      </c>
    </row>
    <row r="247" customFormat="false" ht="16.5" hidden="false" customHeight="true" outlineLevel="0" collapsed="false">
      <c r="A247" s="18" t="str">
        <f aca="false">IF(B247="","",ROW()-2)</f>
        <v/>
      </c>
      <c r="B247" s="18" t="str">
        <f aca="false">IFERROR(INDEX(종합!B$3:B$501,MATCH(ROW()-2,종합!$AC$3:$AC$501,0))&amp;"","")</f>
        <v/>
      </c>
      <c r="C247" s="18" t="str">
        <f aca="false">IFERROR(INDEX(종합!C$3:C$501,MATCH(ROW()-2,종합!$AC$3:$AC$501,0))&amp;"","")</f>
        <v/>
      </c>
      <c r="D247" s="18" t="str">
        <f aca="false">IFERROR(INDEX(종합!D$3:D$501,MATCH(ROW()-2,종합!$AC$3:$AC$501,0))&amp;"","")</f>
        <v/>
      </c>
      <c r="E247" s="18" t="str">
        <f aca="false">IFERROR(INDEX(종합!E$3:E$501,MATCH(ROW()-2,종합!$AC$3:$AC$501,0))&amp;"","")</f>
        <v/>
      </c>
      <c r="F247" s="18" t="str">
        <f aca="false">IFERROR(INDEX(종합!F$3:F$501,MATCH(ROW()-2,종합!$AC$3:$AC$501,0))&amp;"","")</f>
        <v/>
      </c>
      <c r="G247" s="18" t="str">
        <f aca="false">IFERROR(INDEX(종합!G$3:G$501,MATCH(ROW()-2,종합!$AC$3:$AC$501,0))&amp;"","")</f>
        <v/>
      </c>
      <c r="H247" s="21" t="str">
        <f aca="false">IFERROR(INDEX(종합!H$3:H$501,MATCH(ROW()-2,종합!$AC$3:$AC$501,0))&amp;"","")</f>
        <v/>
      </c>
      <c r="I247" s="21" t="str">
        <f aca="false">IFERROR(INDEX(종합!I$3:I$501,MATCH(ROW()-2,종합!$AC$3:$AC$501,0))&amp;"","")</f>
        <v/>
      </c>
      <c r="J247" s="21" t="str">
        <f aca="false">IFERROR(INDEX(종합!J$3:J$501,MATCH(ROW()-2,종합!$AC$3:$AC$501,0))&amp;"","")</f>
        <v/>
      </c>
      <c r="K247" s="21" t="str">
        <f aca="false">IFERROR(INDEX(종합!K$3:K$501,MATCH(ROW()-2,종합!$AC$3:$AC$501,0))&amp;"","")</f>
        <v/>
      </c>
      <c r="L247" s="21" t="str">
        <f aca="false">IFERROR(INDEX(종합!L$3:L$501,MATCH(ROW()-2,종합!$AC$3:$AC$501,0))&amp;"","")</f>
        <v/>
      </c>
      <c r="M247" s="21" t="str">
        <f aca="false">IFERROR(INDEX(종합!M$3:M$501,MATCH(ROW()-2,종합!$AC$3:$AC$501,0))&amp;"","")</f>
        <v/>
      </c>
      <c r="N247" s="25" t="str">
        <f aca="false">IFERROR(INDEX(종합!N$3:N$501,MATCH(ROW()-2,종합!$AC$3:$AC$501,0))&amp;"","")</f>
        <v/>
      </c>
      <c r="O247" s="21" t="str">
        <f aca="false">IFERROR(INDEX(종합!O$3:O$501,MATCH(ROW()-2,종합!$AC$3:$AC$501,0))&amp;"","")</f>
        <v/>
      </c>
      <c r="P247" s="21" t="str">
        <f aca="false">IFERROR(INDEX(종합!P$3:P$501,MATCH(ROW()-2,종합!$AC$3:$AC$501,0))&amp;"","")</f>
        <v/>
      </c>
      <c r="Q247" s="21" t="str">
        <f aca="false">IFERROR(INDEX(종합!Q$3:Q$501,MATCH(ROW()-2,종합!$AC$3:$AC$501,0))&amp;"","")</f>
        <v/>
      </c>
      <c r="R247" s="21" t="str">
        <f aca="false">IFERROR(INDEX(종합!R$3:R$501,MATCH(ROW()-2,종합!$AC$3:$AC$501,0))&amp;"","")</f>
        <v/>
      </c>
      <c r="S247" s="21" t="str">
        <f aca="false">IFERROR(INDEX(종합!S$3:S$501,MATCH(ROW()-2,종합!$AC$3:$AC$501,0))&amp;"","")</f>
        <v/>
      </c>
      <c r="T247" s="21" t="str">
        <f aca="false">IFERROR(INDEX(종합!T$3:T$501,MATCH(ROW()-2,종합!$AC$3:$AC$501,0))&amp;"","")</f>
        <v/>
      </c>
      <c r="U247" s="21" t="str">
        <f aca="false">IFERROR(INDEX(종합!U$3:U$501,MATCH(ROW()-2,종합!$AC$3:$AC$501,0))&amp;"","")</f>
        <v/>
      </c>
      <c r="V247" s="21" t="str">
        <f aca="false">IFERROR(INDEX(종합!V$3:V$501,MATCH(ROW()-2,종합!$AC$3:$AC$501,0))&amp;"","")</f>
        <v/>
      </c>
      <c r="W247" s="21" t="str">
        <f aca="false">IFERROR(INDEX(종합!W$3:W$501,MATCH(ROW()-2,종합!$AC$3:$AC$501,0))&amp;"","")</f>
        <v/>
      </c>
      <c r="X247" s="21" t="str">
        <f aca="false">IFERROR(INDEX(종합!X$3:X$501,MATCH(ROW()-2,종합!$AC$3:$AC$501,0))&amp;"","")</f>
        <v/>
      </c>
      <c r="Y247" s="21" t="str">
        <f aca="false">IFERROR(INDEX(종합!Y$3:Y$501,MATCH(ROW()-2,종합!$AC$3:$AC$501,0))&amp;"","")</f>
        <v/>
      </c>
      <c r="Z247" s="21" t="str">
        <f aca="false">IFERROR(INDEX(종합!Z$3:Z$501,MATCH(ROW()-2,종합!$AC$3:$AC$501,0))&amp;"","")</f>
        <v/>
      </c>
    </row>
    <row r="248" customFormat="false" ht="16.5" hidden="false" customHeight="true" outlineLevel="0" collapsed="false">
      <c r="A248" s="18" t="str">
        <f aca="false">IF(B248="","",ROW()-2)</f>
        <v/>
      </c>
      <c r="B248" s="18" t="str">
        <f aca="false">IFERROR(INDEX(종합!B$3:B$501,MATCH(ROW()-2,종합!$AC$3:$AC$501,0))&amp;"","")</f>
        <v/>
      </c>
      <c r="C248" s="18" t="str">
        <f aca="false">IFERROR(INDEX(종합!C$3:C$501,MATCH(ROW()-2,종합!$AC$3:$AC$501,0))&amp;"","")</f>
        <v/>
      </c>
      <c r="D248" s="18" t="str">
        <f aca="false">IFERROR(INDEX(종합!D$3:D$501,MATCH(ROW()-2,종합!$AC$3:$AC$501,0))&amp;"","")</f>
        <v/>
      </c>
      <c r="E248" s="18" t="str">
        <f aca="false">IFERROR(INDEX(종합!E$3:E$501,MATCH(ROW()-2,종합!$AC$3:$AC$501,0))&amp;"","")</f>
        <v/>
      </c>
      <c r="F248" s="18" t="str">
        <f aca="false">IFERROR(INDEX(종합!F$3:F$501,MATCH(ROW()-2,종합!$AC$3:$AC$501,0))&amp;"","")</f>
        <v/>
      </c>
      <c r="G248" s="18" t="str">
        <f aca="false">IFERROR(INDEX(종합!G$3:G$501,MATCH(ROW()-2,종합!$AC$3:$AC$501,0))&amp;"","")</f>
        <v/>
      </c>
      <c r="H248" s="21" t="str">
        <f aca="false">IFERROR(INDEX(종합!H$3:H$501,MATCH(ROW()-2,종합!$AC$3:$AC$501,0))&amp;"","")</f>
        <v/>
      </c>
      <c r="I248" s="21" t="str">
        <f aca="false">IFERROR(INDEX(종합!I$3:I$501,MATCH(ROW()-2,종합!$AC$3:$AC$501,0))&amp;"","")</f>
        <v/>
      </c>
      <c r="J248" s="21" t="str">
        <f aca="false">IFERROR(INDEX(종합!J$3:J$501,MATCH(ROW()-2,종합!$AC$3:$AC$501,0))&amp;"","")</f>
        <v/>
      </c>
      <c r="K248" s="21" t="str">
        <f aca="false">IFERROR(INDEX(종합!K$3:K$501,MATCH(ROW()-2,종합!$AC$3:$AC$501,0))&amp;"","")</f>
        <v/>
      </c>
      <c r="L248" s="21" t="str">
        <f aca="false">IFERROR(INDEX(종합!L$3:L$501,MATCH(ROW()-2,종합!$AC$3:$AC$501,0))&amp;"","")</f>
        <v/>
      </c>
      <c r="M248" s="21" t="str">
        <f aca="false">IFERROR(INDEX(종합!M$3:M$501,MATCH(ROW()-2,종합!$AC$3:$AC$501,0))&amp;"","")</f>
        <v/>
      </c>
      <c r="N248" s="25" t="str">
        <f aca="false">IFERROR(INDEX(종합!N$3:N$501,MATCH(ROW()-2,종합!$AC$3:$AC$501,0))&amp;"","")</f>
        <v/>
      </c>
      <c r="O248" s="21" t="str">
        <f aca="false">IFERROR(INDEX(종합!O$3:O$501,MATCH(ROW()-2,종합!$AC$3:$AC$501,0))&amp;"","")</f>
        <v/>
      </c>
      <c r="P248" s="21" t="str">
        <f aca="false">IFERROR(INDEX(종합!P$3:P$501,MATCH(ROW()-2,종합!$AC$3:$AC$501,0))&amp;"","")</f>
        <v/>
      </c>
      <c r="Q248" s="21" t="str">
        <f aca="false">IFERROR(INDEX(종합!Q$3:Q$501,MATCH(ROW()-2,종합!$AC$3:$AC$501,0))&amp;"","")</f>
        <v/>
      </c>
      <c r="R248" s="21" t="str">
        <f aca="false">IFERROR(INDEX(종합!R$3:R$501,MATCH(ROW()-2,종합!$AC$3:$AC$501,0))&amp;"","")</f>
        <v/>
      </c>
      <c r="S248" s="21" t="str">
        <f aca="false">IFERROR(INDEX(종합!S$3:S$501,MATCH(ROW()-2,종합!$AC$3:$AC$501,0))&amp;"","")</f>
        <v/>
      </c>
      <c r="T248" s="21" t="str">
        <f aca="false">IFERROR(INDEX(종합!T$3:T$501,MATCH(ROW()-2,종합!$AC$3:$AC$501,0))&amp;"","")</f>
        <v/>
      </c>
      <c r="U248" s="21" t="str">
        <f aca="false">IFERROR(INDEX(종합!U$3:U$501,MATCH(ROW()-2,종합!$AC$3:$AC$501,0))&amp;"","")</f>
        <v/>
      </c>
      <c r="V248" s="21" t="str">
        <f aca="false">IFERROR(INDEX(종합!V$3:V$501,MATCH(ROW()-2,종합!$AC$3:$AC$501,0))&amp;"","")</f>
        <v/>
      </c>
      <c r="W248" s="21" t="str">
        <f aca="false">IFERROR(INDEX(종합!W$3:W$501,MATCH(ROW()-2,종합!$AC$3:$AC$501,0))&amp;"","")</f>
        <v/>
      </c>
      <c r="X248" s="21" t="str">
        <f aca="false">IFERROR(INDEX(종합!X$3:X$501,MATCH(ROW()-2,종합!$AC$3:$AC$501,0))&amp;"","")</f>
        <v/>
      </c>
      <c r="Y248" s="21" t="str">
        <f aca="false">IFERROR(INDEX(종합!Y$3:Y$501,MATCH(ROW()-2,종합!$AC$3:$AC$501,0))&amp;"","")</f>
        <v/>
      </c>
      <c r="Z248" s="21" t="str">
        <f aca="false">IFERROR(INDEX(종합!Z$3:Z$501,MATCH(ROW()-2,종합!$AC$3:$AC$501,0))&amp;"","")</f>
        <v/>
      </c>
    </row>
    <row r="249" customFormat="false" ht="16.5" hidden="false" customHeight="true" outlineLevel="0" collapsed="false">
      <c r="A249" s="18" t="str">
        <f aca="false">IF(B249="","",ROW()-2)</f>
        <v/>
      </c>
      <c r="B249" s="18" t="str">
        <f aca="false">IFERROR(INDEX(종합!B$3:B$501,MATCH(ROW()-2,종합!$AC$3:$AC$501,0))&amp;"","")</f>
        <v/>
      </c>
      <c r="C249" s="18" t="str">
        <f aca="false">IFERROR(INDEX(종합!C$3:C$501,MATCH(ROW()-2,종합!$AC$3:$AC$501,0))&amp;"","")</f>
        <v/>
      </c>
      <c r="D249" s="18" t="str">
        <f aca="false">IFERROR(INDEX(종합!D$3:D$501,MATCH(ROW()-2,종합!$AC$3:$AC$501,0))&amp;"","")</f>
        <v/>
      </c>
      <c r="E249" s="18" t="str">
        <f aca="false">IFERROR(INDEX(종합!E$3:E$501,MATCH(ROW()-2,종합!$AC$3:$AC$501,0))&amp;"","")</f>
        <v/>
      </c>
      <c r="F249" s="18" t="str">
        <f aca="false">IFERROR(INDEX(종합!F$3:F$501,MATCH(ROW()-2,종합!$AC$3:$AC$501,0))&amp;"","")</f>
        <v/>
      </c>
      <c r="G249" s="18" t="str">
        <f aca="false">IFERROR(INDEX(종합!G$3:G$501,MATCH(ROW()-2,종합!$AC$3:$AC$501,0))&amp;"","")</f>
        <v/>
      </c>
      <c r="H249" s="21" t="str">
        <f aca="false">IFERROR(INDEX(종합!H$3:H$501,MATCH(ROW()-2,종합!$AC$3:$AC$501,0))&amp;"","")</f>
        <v/>
      </c>
      <c r="I249" s="21" t="str">
        <f aca="false">IFERROR(INDEX(종합!I$3:I$501,MATCH(ROW()-2,종합!$AC$3:$AC$501,0))&amp;"","")</f>
        <v/>
      </c>
      <c r="J249" s="21" t="str">
        <f aca="false">IFERROR(INDEX(종합!J$3:J$501,MATCH(ROW()-2,종합!$AC$3:$AC$501,0))&amp;"","")</f>
        <v/>
      </c>
      <c r="K249" s="21" t="str">
        <f aca="false">IFERROR(INDEX(종합!K$3:K$501,MATCH(ROW()-2,종합!$AC$3:$AC$501,0))&amp;"","")</f>
        <v/>
      </c>
      <c r="L249" s="21" t="str">
        <f aca="false">IFERROR(INDEX(종합!L$3:L$501,MATCH(ROW()-2,종합!$AC$3:$AC$501,0))&amp;"","")</f>
        <v/>
      </c>
      <c r="M249" s="21" t="str">
        <f aca="false">IFERROR(INDEX(종합!M$3:M$501,MATCH(ROW()-2,종합!$AC$3:$AC$501,0))&amp;"","")</f>
        <v/>
      </c>
      <c r="N249" s="25" t="str">
        <f aca="false">IFERROR(INDEX(종합!N$3:N$501,MATCH(ROW()-2,종합!$AC$3:$AC$501,0))&amp;"","")</f>
        <v/>
      </c>
      <c r="O249" s="21" t="str">
        <f aca="false">IFERROR(INDEX(종합!O$3:O$501,MATCH(ROW()-2,종합!$AC$3:$AC$501,0))&amp;"","")</f>
        <v/>
      </c>
      <c r="P249" s="21" t="str">
        <f aca="false">IFERROR(INDEX(종합!P$3:P$501,MATCH(ROW()-2,종합!$AC$3:$AC$501,0))&amp;"","")</f>
        <v/>
      </c>
      <c r="Q249" s="21" t="str">
        <f aca="false">IFERROR(INDEX(종합!Q$3:Q$501,MATCH(ROW()-2,종합!$AC$3:$AC$501,0))&amp;"","")</f>
        <v/>
      </c>
      <c r="R249" s="21" t="str">
        <f aca="false">IFERROR(INDEX(종합!R$3:R$501,MATCH(ROW()-2,종합!$AC$3:$AC$501,0))&amp;"","")</f>
        <v/>
      </c>
      <c r="S249" s="21" t="str">
        <f aca="false">IFERROR(INDEX(종합!S$3:S$501,MATCH(ROW()-2,종합!$AC$3:$AC$501,0))&amp;"","")</f>
        <v/>
      </c>
      <c r="T249" s="21" t="str">
        <f aca="false">IFERROR(INDEX(종합!T$3:T$501,MATCH(ROW()-2,종합!$AC$3:$AC$501,0))&amp;"","")</f>
        <v/>
      </c>
      <c r="U249" s="21" t="str">
        <f aca="false">IFERROR(INDEX(종합!U$3:U$501,MATCH(ROW()-2,종합!$AC$3:$AC$501,0))&amp;"","")</f>
        <v/>
      </c>
      <c r="V249" s="21" t="str">
        <f aca="false">IFERROR(INDEX(종합!V$3:V$501,MATCH(ROW()-2,종합!$AC$3:$AC$501,0))&amp;"","")</f>
        <v/>
      </c>
      <c r="W249" s="21" t="str">
        <f aca="false">IFERROR(INDEX(종합!W$3:W$501,MATCH(ROW()-2,종합!$AC$3:$AC$501,0))&amp;"","")</f>
        <v/>
      </c>
      <c r="X249" s="21" t="str">
        <f aca="false">IFERROR(INDEX(종합!X$3:X$501,MATCH(ROW()-2,종합!$AC$3:$AC$501,0))&amp;"","")</f>
        <v/>
      </c>
      <c r="Y249" s="21" t="str">
        <f aca="false">IFERROR(INDEX(종합!Y$3:Y$501,MATCH(ROW()-2,종합!$AC$3:$AC$501,0))&amp;"","")</f>
        <v/>
      </c>
      <c r="Z249" s="21" t="str">
        <f aca="false">IFERROR(INDEX(종합!Z$3:Z$501,MATCH(ROW()-2,종합!$AC$3:$AC$501,0))&amp;"","")</f>
        <v/>
      </c>
    </row>
    <row r="250" customFormat="false" ht="16.5" hidden="false" customHeight="true" outlineLevel="0" collapsed="false">
      <c r="A250" s="18" t="str">
        <f aca="false">IF(B250="","",ROW()-2)</f>
        <v/>
      </c>
      <c r="B250" s="18" t="str">
        <f aca="false">IFERROR(INDEX(종합!B$3:B$501,MATCH(ROW()-2,종합!$AC$3:$AC$501,0))&amp;"","")</f>
        <v/>
      </c>
      <c r="C250" s="18" t="str">
        <f aca="false">IFERROR(INDEX(종합!C$3:C$501,MATCH(ROW()-2,종합!$AC$3:$AC$501,0))&amp;"","")</f>
        <v/>
      </c>
      <c r="D250" s="18" t="str">
        <f aca="false">IFERROR(INDEX(종합!D$3:D$501,MATCH(ROW()-2,종합!$AC$3:$AC$501,0))&amp;"","")</f>
        <v/>
      </c>
      <c r="E250" s="18" t="str">
        <f aca="false">IFERROR(INDEX(종합!E$3:E$501,MATCH(ROW()-2,종합!$AC$3:$AC$501,0))&amp;"","")</f>
        <v/>
      </c>
      <c r="F250" s="18" t="str">
        <f aca="false">IFERROR(INDEX(종합!F$3:F$501,MATCH(ROW()-2,종합!$AC$3:$AC$501,0))&amp;"","")</f>
        <v/>
      </c>
      <c r="G250" s="18" t="str">
        <f aca="false">IFERROR(INDEX(종합!G$3:G$501,MATCH(ROW()-2,종합!$AC$3:$AC$501,0))&amp;"","")</f>
        <v/>
      </c>
      <c r="H250" s="21" t="str">
        <f aca="false">IFERROR(INDEX(종합!H$3:H$501,MATCH(ROW()-2,종합!$AC$3:$AC$501,0))&amp;"","")</f>
        <v/>
      </c>
      <c r="I250" s="21" t="str">
        <f aca="false">IFERROR(INDEX(종합!I$3:I$501,MATCH(ROW()-2,종합!$AC$3:$AC$501,0))&amp;"","")</f>
        <v/>
      </c>
      <c r="J250" s="21" t="str">
        <f aca="false">IFERROR(INDEX(종합!J$3:J$501,MATCH(ROW()-2,종합!$AC$3:$AC$501,0))&amp;"","")</f>
        <v/>
      </c>
      <c r="K250" s="21" t="str">
        <f aca="false">IFERROR(INDEX(종합!K$3:K$501,MATCH(ROW()-2,종합!$AC$3:$AC$501,0))&amp;"","")</f>
        <v/>
      </c>
      <c r="L250" s="21" t="str">
        <f aca="false">IFERROR(INDEX(종합!L$3:L$501,MATCH(ROW()-2,종합!$AC$3:$AC$501,0))&amp;"","")</f>
        <v/>
      </c>
      <c r="M250" s="21" t="str">
        <f aca="false">IFERROR(INDEX(종합!M$3:M$501,MATCH(ROW()-2,종합!$AC$3:$AC$501,0))&amp;"","")</f>
        <v/>
      </c>
      <c r="N250" s="25" t="str">
        <f aca="false">IFERROR(INDEX(종합!N$3:N$501,MATCH(ROW()-2,종합!$AC$3:$AC$501,0))&amp;"","")</f>
        <v/>
      </c>
      <c r="O250" s="21" t="str">
        <f aca="false">IFERROR(INDEX(종합!O$3:O$501,MATCH(ROW()-2,종합!$AC$3:$AC$501,0))&amp;"","")</f>
        <v/>
      </c>
      <c r="P250" s="21" t="str">
        <f aca="false">IFERROR(INDEX(종합!P$3:P$501,MATCH(ROW()-2,종합!$AC$3:$AC$501,0))&amp;"","")</f>
        <v/>
      </c>
      <c r="Q250" s="21" t="str">
        <f aca="false">IFERROR(INDEX(종합!Q$3:Q$501,MATCH(ROW()-2,종합!$AC$3:$AC$501,0))&amp;"","")</f>
        <v/>
      </c>
      <c r="R250" s="21" t="str">
        <f aca="false">IFERROR(INDEX(종합!R$3:R$501,MATCH(ROW()-2,종합!$AC$3:$AC$501,0))&amp;"","")</f>
        <v/>
      </c>
      <c r="S250" s="21" t="str">
        <f aca="false">IFERROR(INDEX(종합!S$3:S$501,MATCH(ROW()-2,종합!$AC$3:$AC$501,0))&amp;"","")</f>
        <v/>
      </c>
      <c r="T250" s="21" t="str">
        <f aca="false">IFERROR(INDEX(종합!T$3:T$501,MATCH(ROW()-2,종합!$AC$3:$AC$501,0))&amp;"","")</f>
        <v/>
      </c>
      <c r="U250" s="21" t="str">
        <f aca="false">IFERROR(INDEX(종합!U$3:U$501,MATCH(ROW()-2,종합!$AC$3:$AC$501,0))&amp;"","")</f>
        <v/>
      </c>
      <c r="V250" s="21" t="str">
        <f aca="false">IFERROR(INDEX(종합!V$3:V$501,MATCH(ROW()-2,종합!$AC$3:$AC$501,0))&amp;"","")</f>
        <v/>
      </c>
      <c r="W250" s="21" t="str">
        <f aca="false">IFERROR(INDEX(종합!W$3:W$501,MATCH(ROW()-2,종합!$AC$3:$AC$501,0))&amp;"","")</f>
        <v/>
      </c>
      <c r="X250" s="21" t="str">
        <f aca="false">IFERROR(INDEX(종합!X$3:X$501,MATCH(ROW()-2,종합!$AC$3:$AC$501,0))&amp;"","")</f>
        <v/>
      </c>
      <c r="Y250" s="21" t="str">
        <f aca="false">IFERROR(INDEX(종합!Y$3:Y$501,MATCH(ROW()-2,종합!$AC$3:$AC$501,0))&amp;"","")</f>
        <v/>
      </c>
      <c r="Z250" s="21" t="str">
        <f aca="false">IFERROR(INDEX(종합!Z$3:Z$501,MATCH(ROW()-2,종합!$AC$3:$AC$501,0))&amp;"","")</f>
        <v/>
      </c>
    </row>
    <row r="251" customFormat="false" ht="16.5" hidden="false" customHeight="true" outlineLevel="0" collapsed="false">
      <c r="A251" s="18" t="str">
        <f aca="false">IF(B251="","",ROW()-2)</f>
        <v/>
      </c>
      <c r="B251" s="18" t="str">
        <f aca="false">IFERROR(INDEX(종합!B$3:B$501,MATCH(ROW()-2,종합!$AC$3:$AC$501,0))&amp;"","")</f>
        <v/>
      </c>
      <c r="C251" s="18" t="str">
        <f aca="false">IFERROR(INDEX(종합!C$3:C$501,MATCH(ROW()-2,종합!$AC$3:$AC$501,0))&amp;"","")</f>
        <v/>
      </c>
      <c r="D251" s="18" t="str">
        <f aca="false">IFERROR(INDEX(종합!D$3:D$501,MATCH(ROW()-2,종합!$AC$3:$AC$501,0))&amp;"","")</f>
        <v/>
      </c>
      <c r="E251" s="18" t="str">
        <f aca="false">IFERROR(INDEX(종합!E$3:E$501,MATCH(ROW()-2,종합!$AC$3:$AC$501,0))&amp;"","")</f>
        <v/>
      </c>
      <c r="F251" s="18" t="str">
        <f aca="false">IFERROR(INDEX(종합!F$3:F$501,MATCH(ROW()-2,종합!$AC$3:$AC$501,0))&amp;"","")</f>
        <v/>
      </c>
      <c r="G251" s="18" t="str">
        <f aca="false">IFERROR(INDEX(종합!G$3:G$501,MATCH(ROW()-2,종합!$AC$3:$AC$501,0))&amp;"","")</f>
        <v/>
      </c>
      <c r="H251" s="21" t="str">
        <f aca="false">IFERROR(INDEX(종합!H$3:H$501,MATCH(ROW()-2,종합!$AC$3:$AC$501,0))&amp;"","")</f>
        <v/>
      </c>
      <c r="I251" s="21" t="str">
        <f aca="false">IFERROR(INDEX(종합!I$3:I$501,MATCH(ROW()-2,종합!$AC$3:$AC$501,0))&amp;"","")</f>
        <v/>
      </c>
      <c r="J251" s="21" t="str">
        <f aca="false">IFERROR(INDEX(종합!J$3:J$501,MATCH(ROW()-2,종합!$AC$3:$AC$501,0))&amp;"","")</f>
        <v/>
      </c>
      <c r="K251" s="21" t="str">
        <f aca="false">IFERROR(INDEX(종합!K$3:K$501,MATCH(ROW()-2,종합!$AC$3:$AC$501,0))&amp;"","")</f>
        <v/>
      </c>
      <c r="L251" s="21" t="str">
        <f aca="false">IFERROR(INDEX(종합!L$3:L$501,MATCH(ROW()-2,종합!$AC$3:$AC$501,0))&amp;"","")</f>
        <v/>
      </c>
      <c r="M251" s="21" t="str">
        <f aca="false">IFERROR(INDEX(종합!M$3:M$501,MATCH(ROW()-2,종합!$AC$3:$AC$501,0))&amp;"","")</f>
        <v/>
      </c>
      <c r="N251" s="25" t="str">
        <f aca="false">IFERROR(INDEX(종합!N$3:N$501,MATCH(ROW()-2,종합!$AC$3:$AC$501,0))&amp;"","")</f>
        <v/>
      </c>
      <c r="O251" s="21" t="str">
        <f aca="false">IFERROR(INDEX(종합!O$3:O$501,MATCH(ROW()-2,종합!$AC$3:$AC$501,0))&amp;"","")</f>
        <v/>
      </c>
      <c r="P251" s="21" t="str">
        <f aca="false">IFERROR(INDEX(종합!P$3:P$501,MATCH(ROW()-2,종합!$AC$3:$AC$501,0))&amp;"","")</f>
        <v/>
      </c>
      <c r="Q251" s="21" t="str">
        <f aca="false">IFERROR(INDEX(종합!Q$3:Q$501,MATCH(ROW()-2,종합!$AC$3:$AC$501,0))&amp;"","")</f>
        <v/>
      </c>
      <c r="R251" s="21" t="str">
        <f aca="false">IFERROR(INDEX(종합!R$3:R$501,MATCH(ROW()-2,종합!$AC$3:$AC$501,0))&amp;"","")</f>
        <v/>
      </c>
      <c r="S251" s="21" t="str">
        <f aca="false">IFERROR(INDEX(종합!S$3:S$501,MATCH(ROW()-2,종합!$AC$3:$AC$501,0))&amp;"","")</f>
        <v/>
      </c>
      <c r="T251" s="21" t="str">
        <f aca="false">IFERROR(INDEX(종합!T$3:T$501,MATCH(ROW()-2,종합!$AC$3:$AC$501,0))&amp;"","")</f>
        <v/>
      </c>
      <c r="U251" s="21" t="str">
        <f aca="false">IFERROR(INDEX(종합!U$3:U$501,MATCH(ROW()-2,종합!$AC$3:$AC$501,0))&amp;"","")</f>
        <v/>
      </c>
      <c r="V251" s="21" t="str">
        <f aca="false">IFERROR(INDEX(종합!V$3:V$501,MATCH(ROW()-2,종합!$AC$3:$AC$501,0))&amp;"","")</f>
        <v/>
      </c>
      <c r="W251" s="21" t="str">
        <f aca="false">IFERROR(INDEX(종합!W$3:W$501,MATCH(ROW()-2,종합!$AC$3:$AC$501,0))&amp;"","")</f>
        <v/>
      </c>
      <c r="X251" s="21" t="str">
        <f aca="false">IFERROR(INDEX(종합!X$3:X$501,MATCH(ROW()-2,종합!$AC$3:$AC$501,0))&amp;"","")</f>
        <v/>
      </c>
      <c r="Y251" s="21" t="str">
        <f aca="false">IFERROR(INDEX(종합!Y$3:Y$501,MATCH(ROW()-2,종합!$AC$3:$AC$501,0))&amp;"","")</f>
        <v/>
      </c>
      <c r="Z251" s="21" t="str">
        <f aca="false">IFERROR(INDEX(종합!Z$3:Z$501,MATCH(ROW()-2,종합!$AC$3:$AC$501,0))&amp;"","")</f>
        <v/>
      </c>
    </row>
    <row r="252" customFormat="false" ht="16.5" hidden="false" customHeight="true" outlineLevel="0" collapsed="false">
      <c r="A252" s="18" t="str">
        <f aca="false">IF(B252="","",ROW()-2)</f>
        <v/>
      </c>
      <c r="B252" s="18" t="str">
        <f aca="false">IFERROR(INDEX(종합!B$3:B$501,MATCH(ROW()-2,종합!$AC$3:$AC$501,0))&amp;"","")</f>
        <v/>
      </c>
      <c r="C252" s="18" t="str">
        <f aca="false">IFERROR(INDEX(종합!C$3:C$501,MATCH(ROW()-2,종합!$AC$3:$AC$501,0))&amp;"","")</f>
        <v/>
      </c>
      <c r="D252" s="18" t="str">
        <f aca="false">IFERROR(INDEX(종합!D$3:D$501,MATCH(ROW()-2,종합!$AC$3:$AC$501,0))&amp;"","")</f>
        <v/>
      </c>
      <c r="E252" s="18" t="str">
        <f aca="false">IFERROR(INDEX(종합!E$3:E$501,MATCH(ROW()-2,종합!$AC$3:$AC$501,0))&amp;"","")</f>
        <v/>
      </c>
      <c r="F252" s="18" t="str">
        <f aca="false">IFERROR(INDEX(종합!F$3:F$501,MATCH(ROW()-2,종합!$AC$3:$AC$501,0))&amp;"","")</f>
        <v/>
      </c>
      <c r="G252" s="18" t="str">
        <f aca="false">IFERROR(INDEX(종합!G$3:G$501,MATCH(ROW()-2,종합!$AC$3:$AC$501,0))&amp;"","")</f>
        <v/>
      </c>
      <c r="H252" s="21" t="str">
        <f aca="false">IFERROR(INDEX(종합!H$3:H$501,MATCH(ROW()-2,종합!$AC$3:$AC$501,0))&amp;"","")</f>
        <v/>
      </c>
      <c r="I252" s="21" t="str">
        <f aca="false">IFERROR(INDEX(종합!I$3:I$501,MATCH(ROW()-2,종합!$AC$3:$AC$501,0))&amp;"","")</f>
        <v/>
      </c>
      <c r="J252" s="21" t="str">
        <f aca="false">IFERROR(INDEX(종합!J$3:J$501,MATCH(ROW()-2,종합!$AC$3:$AC$501,0))&amp;"","")</f>
        <v/>
      </c>
      <c r="K252" s="21" t="str">
        <f aca="false">IFERROR(INDEX(종합!K$3:K$501,MATCH(ROW()-2,종합!$AC$3:$AC$501,0))&amp;"","")</f>
        <v/>
      </c>
      <c r="L252" s="21" t="str">
        <f aca="false">IFERROR(INDEX(종합!L$3:L$501,MATCH(ROW()-2,종합!$AC$3:$AC$501,0))&amp;"","")</f>
        <v/>
      </c>
      <c r="M252" s="21" t="str">
        <f aca="false">IFERROR(INDEX(종합!M$3:M$501,MATCH(ROW()-2,종합!$AC$3:$AC$501,0))&amp;"","")</f>
        <v/>
      </c>
      <c r="N252" s="25" t="str">
        <f aca="false">IFERROR(INDEX(종합!N$3:N$501,MATCH(ROW()-2,종합!$AC$3:$AC$501,0))&amp;"","")</f>
        <v/>
      </c>
      <c r="O252" s="21" t="str">
        <f aca="false">IFERROR(INDEX(종합!O$3:O$501,MATCH(ROW()-2,종합!$AC$3:$AC$501,0))&amp;"","")</f>
        <v/>
      </c>
      <c r="P252" s="21" t="str">
        <f aca="false">IFERROR(INDEX(종합!P$3:P$501,MATCH(ROW()-2,종합!$AC$3:$AC$501,0))&amp;"","")</f>
        <v/>
      </c>
      <c r="Q252" s="21" t="str">
        <f aca="false">IFERROR(INDEX(종합!Q$3:Q$501,MATCH(ROW()-2,종합!$AC$3:$AC$501,0))&amp;"","")</f>
        <v/>
      </c>
      <c r="R252" s="21" t="str">
        <f aca="false">IFERROR(INDEX(종합!R$3:R$501,MATCH(ROW()-2,종합!$AC$3:$AC$501,0))&amp;"","")</f>
        <v/>
      </c>
      <c r="S252" s="21" t="str">
        <f aca="false">IFERROR(INDEX(종합!S$3:S$501,MATCH(ROW()-2,종합!$AC$3:$AC$501,0))&amp;"","")</f>
        <v/>
      </c>
      <c r="T252" s="21" t="str">
        <f aca="false">IFERROR(INDEX(종합!T$3:T$501,MATCH(ROW()-2,종합!$AC$3:$AC$501,0))&amp;"","")</f>
        <v/>
      </c>
      <c r="U252" s="21" t="str">
        <f aca="false">IFERROR(INDEX(종합!U$3:U$501,MATCH(ROW()-2,종합!$AC$3:$AC$501,0))&amp;"","")</f>
        <v/>
      </c>
      <c r="V252" s="21" t="str">
        <f aca="false">IFERROR(INDEX(종합!V$3:V$501,MATCH(ROW()-2,종합!$AC$3:$AC$501,0))&amp;"","")</f>
        <v/>
      </c>
      <c r="W252" s="21" t="str">
        <f aca="false">IFERROR(INDEX(종합!W$3:W$501,MATCH(ROW()-2,종합!$AC$3:$AC$501,0))&amp;"","")</f>
        <v/>
      </c>
      <c r="X252" s="21" t="str">
        <f aca="false">IFERROR(INDEX(종합!X$3:X$501,MATCH(ROW()-2,종합!$AC$3:$AC$501,0))&amp;"","")</f>
        <v/>
      </c>
      <c r="Y252" s="21" t="str">
        <f aca="false">IFERROR(INDEX(종합!Y$3:Y$501,MATCH(ROW()-2,종합!$AC$3:$AC$501,0))&amp;"","")</f>
        <v/>
      </c>
      <c r="Z252" s="21" t="str">
        <f aca="false">IFERROR(INDEX(종합!Z$3:Z$501,MATCH(ROW()-2,종합!$AC$3:$AC$501,0))&amp;"","")</f>
        <v/>
      </c>
    </row>
    <row r="253" customFormat="false" ht="16.5" hidden="false" customHeight="true" outlineLevel="0" collapsed="false">
      <c r="A253" s="18" t="str">
        <f aca="false">IF(B253="","",ROW()-2)</f>
        <v/>
      </c>
      <c r="B253" s="18" t="str">
        <f aca="false">IFERROR(INDEX(종합!B$3:B$501,MATCH(ROW()-2,종합!$AC$3:$AC$501,0))&amp;"","")</f>
        <v/>
      </c>
      <c r="C253" s="18" t="str">
        <f aca="false">IFERROR(INDEX(종합!C$3:C$501,MATCH(ROW()-2,종합!$AC$3:$AC$501,0))&amp;"","")</f>
        <v/>
      </c>
      <c r="D253" s="18" t="str">
        <f aca="false">IFERROR(INDEX(종합!D$3:D$501,MATCH(ROW()-2,종합!$AC$3:$AC$501,0))&amp;"","")</f>
        <v/>
      </c>
      <c r="E253" s="18" t="str">
        <f aca="false">IFERROR(INDEX(종합!E$3:E$501,MATCH(ROW()-2,종합!$AC$3:$AC$501,0))&amp;"","")</f>
        <v/>
      </c>
      <c r="F253" s="18" t="str">
        <f aca="false">IFERROR(INDEX(종합!F$3:F$501,MATCH(ROW()-2,종합!$AC$3:$AC$501,0))&amp;"","")</f>
        <v/>
      </c>
      <c r="G253" s="18" t="str">
        <f aca="false">IFERROR(INDEX(종합!G$3:G$501,MATCH(ROW()-2,종합!$AC$3:$AC$501,0))&amp;"","")</f>
        <v/>
      </c>
      <c r="H253" s="21" t="str">
        <f aca="false">IFERROR(INDEX(종합!H$3:H$501,MATCH(ROW()-2,종합!$AC$3:$AC$501,0))&amp;"","")</f>
        <v/>
      </c>
      <c r="I253" s="21" t="str">
        <f aca="false">IFERROR(INDEX(종합!I$3:I$501,MATCH(ROW()-2,종합!$AC$3:$AC$501,0))&amp;"","")</f>
        <v/>
      </c>
      <c r="J253" s="21" t="str">
        <f aca="false">IFERROR(INDEX(종합!J$3:J$501,MATCH(ROW()-2,종합!$AC$3:$AC$501,0))&amp;"","")</f>
        <v/>
      </c>
      <c r="K253" s="21" t="str">
        <f aca="false">IFERROR(INDEX(종합!K$3:K$501,MATCH(ROW()-2,종합!$AC$3:$AC$501,0))&amp;"","")</f>
        <v/>
      </c>
      <c r="L253" s="21" t="str">
        <f aca="false">IFERROR(INDEX(종합!L$3:L$501,MATCH(ROW()-2,종합!$AC$3:$AC$501,0))&amp;"","")</f>
        <v/>
      </c>
      <c r="M253" s="21" t="str">
        <f aca="false">IFERROR(INDEX(종합!M$3:M$501,MATCH(ROW()-2,종합!$AC$3:$AC$501,0))&amp;"","")</f>
        <v/>
      </c>
      <c r="N253" s="25" t="str">
        <f aca="false">IFERROR(INDEX(종합!N$3:N$501,MATCH(ROW()-2,종합!$AC$3:$AC$501,0))&amp;"","")</f>
        <v/>
      </c>
      <c r="O253" s="21" t="str">
        <f aca="false">IFERROR(INDEX(종합!O$3:O$501,MATCH(ROW()-2,종합!$AC$3:$AC$501,0))&amp;"","")</f>
        <v/>
      </c>
      <c r="P253" s="21" t="str">
        <f aca="false">IFERROR(INDEX(종합!P$3:P$501,MATCH(ROW()-2,종합!$AC$3:$AC$501,0))&amp;"","")</f>
        <v/>
      </c>
      <c r="Q253" s="21" t="str">
        <f aca="false">IFERROR(INDEX(종합!Q$3:Q$501,MATCH(ROW()-2,종합!$AC$3:$AC$501,0))&amp;"","")</f>
        <v/>
      </c>
      <c r="R253" s="21" t="str">
        <f aca="false">IFERROR(INDEX(종합!R$3:R$501,MATCH(ROW()-2,종합!$AC$3:$AC$501,0))&amp;"","")</f>
        <v/>
      </c>
      <c r="S253" s="21" t="str">
        <f aca="false">IFERROR(INDEX(종합!S$3:S$501,MATCH(ROW()-2,종합!$AC$3:$AC$501,0))&amp;"","")</f>
        <v/>
      </c>
      <c r="T253" s="21" t="str">
        <f aca="false">IFERROR(INDEX(종합!T$3:T$501,MATCH(ROW()-2,종합!$AC$3:$AC$501,0))&amp;"","")</f>
        <v/>
      </c>
      <c r="U253" s="21" t="str">
        <f aca="false">IFERROR(INDEX(종합!U$3:U$501,MATCH(ROW()-2,종합!$AC$3:$AC$501,0))&amp;"","")</f>
        <v/>
      </c>
      <c r="V253" s="21" t="str">
        <f aca="false">IFERROR(INDEX(종합!V$3:V$501,MATCH(ROW()-2,종합!$AC$3:$AC$501,0))&amp;"","")</f>
        <v/>
      </c>
      <c r="W253" s="21" t="str">
        <f aca="false">IFERROR(INDEX(종합!W$3:W$501,MATCH(ROW()-2,종합!$AC$3:$AC$501,0))&amp;"","")</f>
        <v/>
      </c>
      <c r="X253" s="21" t="str">
        <f aca="false">IFERROR(INDEX(종합!X$3:X$501,MATCH(ROW()-2,종합!$AC$3:$AC$501,0))&amp;"","")</f>
        <v/>
      </c>
      <c r="Y253" s="21" t="str">
        <f aca="false">IFERROR(INDEX(종합!Y$3:Y$501,MATCH(ROW()-2,종합!$AC$3:$AC$501,0))&amp;"","")</f>
        <v/>
      </c>
      <c r="Z253" s="21" t="str">
        <f aca="false">IFERROR(INDEX(종합!Z$3:Z$501,MATCH(ROW()-2,종합!$AC$3:$AC$501,0))&amp;"","")</f>
        <v/>
      </c>
    </row>
    <row r="254" customFormat="false" ht="16.5" hidden="false" customHeight="true" outlineLevel="0" collapsed="false">
      <c r="A254" s="18" t="str">
        <f aca="false">IF(B254="","",ROW()-2)</f>
        <v/>
      </c>
      <c r="B254" s="18" t="str">
        <f aca="false">IFERROR(INDEX(종합!B$3:B$501,MATCH(ROW()-2,종합!$AC$3:$AC$501,0))&amp;"","")</f>
        <v/>
      </c>
      <c r="C254" s="18" t="str">
        <f aca="false">IFERROR(INDEX(종합!C$3:C$501,MATCH(ROW()-2,종합!$AC$3:$AC$501,0))&amp;"","")</f>
        <v/>
      </c>
      <c r="D254" s="18" t="str">
        <f aca="false">IFERROR(INDEX(종합!D$3:D$501,MATCH(ROW()-2,종합!$AC$3:$AC$501,0))&amp;"","")</f>
        <v/>
      </c>
      <c r="E254" s="18" t="str">
        <f aca="false">IFERROR(INDEX(종합!E$3:E$501,MATCH(ROW()-2,종합!$AC$3:$AC$501,0))&amp;"","")</f>
        <v/>
      </c>
      <c r="F254" s="18" t="str">
        <f aca="false">IFERROR(INDEX(종합!F$3:F$501,MATCH(ROW()-2,종합!$AC$3:$AC$501,0))&amp;"","")</f>
        <v/>
      </c>
      <c r="G254" s="18" t="str">
        <f aca="false">IFERROR(INDEX(종합!G$3:G$501,MATCH(ROW()-2,종합!$AC$3:$AC$501,0))&amp;"","")</f>
        <v/>
      </c>
      <c r="H254" s="21" t="str">
        <f aca="false">IFERROR(INDEX(종합!H$3:H$501,MATCH(ROW()-2,종합!$AC$3:$AC$501,0))&amp;"","")</f>
        <v/>
      </c>
      <c r="I254" s="21" t="str">
        <f aca="false">IFERROR(INDEX(종합!I$3:I$501,MATCH(ROW()-2,종합!$AC$3:$AC$501,0))&amp;"","")</f>
        <v/>
      </c>
      <c r="J254" s="21" t="str">
        <f aca="false">IFERROR(INDEX(종합!J$3:J$501,MATCH(ROW()-2,종합!$AC$3:$AC$501,0))&amp;"","")</f>
        <v/>
      </c>
      <c r="K254" s="21" t="str">
        <f aca="false">IFERROR(INDEX(종합!K$3:K$501,MATCH(ROW()-2,종합!$AC$3:$AC$501,0))&amp;"","")</f>
        <v/>
      </c>
      <c r="L254" s="21" t="str">
        <f aca="false">IFERROR(INDEX(종합!L$3:L$501,MATCH(ROW()-2,종합!$AC$3:$AC$501,0))&amp;"","")</f>
        <v/>
      </c>
      <c r="M254" s="21" t="str">
        <f aca="false">IFERROR(INDEX(종합!M$3:M$501,MATCH(ROW()-2,종합!$AC$3:$AC$501,0))&amp;"","")</f>
        <v/>
      </c>
      <c r="N254" s="25" t="str">
        <f aca="false">IFERROR(INDEX(종합!N$3:N$501,MATCH(ROW()-2,종합!$AC$3:$AC$501,0))&amp;"","")</f>
        <v/>
      </c>
      <c r="O254" s="21" t="str">
        <f aca="false">IFERROR(INDEX(종합!O$3:O$501,MATCH(ROW()-2,종합!$AC$3:$AC$501,0))&amp;"","")</f>
        <v/>
      </c>
      <c r="P254" s="21" t="str">
        <f aca="false">IFERROR(INDEX(종합!P$3:P$501,MATCH(ROW()-2,종합!$AC$3:$AC$501,0))&amp;"","")</f>
        <v/>
      </c>
      <c r="Q254" s="21" t="str">
        <f aca="false">IFERROR(INDEX(종합!Q$3:Q$501,MATCH(ROW()-2,종합!$AC$3:$AC$501,0))&amp;"","")</f>
        <v/>
      </c>
      <c r="R254" s="21" t="str">
        <f aca="false">IFERROR(INDEX(종합!R$3:R$501,MATCH(ROW()-2,종합!$AC$3:$AC$501,0))&amp;"","")</f>
        <v/>
      </c>
      <c r="S254" s="21" t="str">
        <f aca="false">IFERROR(INDEX(종합!S$3:S$501,MATCH(ROW()-2,종합!$AC$3:$AC$501,0))&amp;"","")</f>
        <v/>
      </c>
      <c r="T254" s="21" t="str">
        <f aca="false">IFERROR(INDEX(종합!T$3:T$501,MATCH(ROW()-2,종합!$AC$3:$AC$501,0))&amp;"","")</f>
        <v/>
      </c>
      <c r="U254" s="21" t="str">
        <f aca="false">IFERROR(INDEX(종합!U$3:U$501,MATCH(ROW()-2,종합!$AC$3:$AC$501,0))&amp;"","")</f>
        <v/>
      </c>
      <c r="V254" s="21" t="str">
        <f aca="false">IFERROR(INDEX(종합!V$3:V$501,MATCH(ROW()-2,종합!$AC$3:$AC$501,0))&amp;"","")</f>
        <v/>
      </c>
      <c r="W254" s="21" t="str">
        <f aca="false">IFERROR(INDEX(종합!W$3:W$501,MATCH(ROW()-2,종합!$AC$3:$AC$501,0))&amp;"","")</f>
        <v/>
      </c>
      <c r="X254" s="21" t="str">
        <f aca="false">IFERROR(INDEX(종합!X$3:X$501,MATCH(ROW()-2,종합!$AC$3:$AC$501,0))&amp;"","")</f>
        <v/>
      </c>
      <c r="Y254" s="21" t="str">
        <f aca="false">IFERROR(INDEX(종합!Y$3:Y$501,MATCH(ROW()-2,종합!$AC$3:$AC$501,0))&amp;"","")</f>
        <v/>
      </c>
      <c r="Z254" s="21" t="str">
        <f aca="false">IFERROR(INDEX(종합!Z$3:Z$501,MATCH(ROW()-2,종합!$AC$3:$AC$501,0))&amp;"","")</f>
        <v/>
      </c>
    </row>
    <row r="255" customFormat="false" ht="16.5" hidden="false" customHeight="true" outlineLevel="0" collapsed="false">
      <c r="A255" s="18" t="str">
        <f aca="false">IF(B255="","",ROW()-2)</f>
        <v/>
      </c>
      <c r="B255" s="18" t="str">
        <f aca="false">IFERROR(INDEX(종합!B$3:B$501,MATCH(ROW()-2,종합!$AC$3:$AC$501,0))&amp;"","")</f>
        <v/>
      </c>
      <c r="C255" s="18" t="str">
        <f aca="false">IFERROR(INDEX(종합!C$3:C$501,MATCH(ROW()-2,종합!$AC$3:$AC$501,0))&amp;"","")</f>
        <v/>
      </c>
      <c r="D255" s="18" t="str">
        <f aca="false">IFERROR(INDEX(종합!D$3:D$501,MATCH(ROW()-2,종합!$AC$3:$AC$501,0))&amp;"","")</f>
        <v/>
      </c>
      <c r="E255" s="18" t="str">
        <f aca="false">IFERROR(INDEX(종합!E$3:E$501,MATCH(ROW()-2,종합!$AC$3:$AC$501,0))&amp;"","")</f>
        <v/>
      </c>
      <c r="F255" s="18" t="str">
        <f aca="false">IFERROR(INDEX(종합!F$3:F$501,MATCH(ROW()-2,종합!$AC$3:$AC$501,0))&amp;"","")</f>
        <v/>
      </c>
      <c r="G255" s="18" t="str">
        <f aca="false">IFERROR(INDEX(종합!G$3:G$501,MATCH(ROW()-2,종합!$AC$3:$AC$501,0))&amp;"","")</f>
        <v/>
      </c>
      <c r="H255" s="21" t="str">
        <f aca="false">IFERROR(INDEX(종합!H$3:H$501,MATCH(ROW()-2,종합!$AC$3:$AC$501,0))&amp;"","")</f>
        <v/>
      </c>
      <c r="I255" s="21" t="str">
        <f aca="false">IFERROR(INDEX(종합!I$3:I$501,MATCH(ROW()-2,종합!$AC$3:$AC$501,0))&amp;"","")</f>
        <v/>
      </c>
      <c r="J255" s="21" t="str">
        <f aca="false">IFERROR(INDEX(종합!J$3:J$501,MATCH(ROW()-2,종합!$AC$3:$AC$501,0))&amp;"","")</f>
        <v/>
      </c>
      <c r="K255" s="21" t="str">
        <f aca="false">IFERROR(INDEX(종합!K$3:K$501,MATCH(ROW()-2,종합!$AC$3:$AC$501,0))&amp;"","")</f>
        <v/>
      </c>
      <c r="L255" s="21" t="str">
        <f aca="false">IFERROR(INDEX(종합!L$3:L$501,MATCH(ROW()-2,종합!$AC$3:$AC$501,0))&amp;"","")</f>
        <v/>
      </c>
      <c r="M255" s="21" t="str">
        <f aca="false">IFERROR(INDEX(종합!M$3:M$501,MATCH(ROW()-2,종합!$AC$3:$AC$501,0))&amp;"","")</f>
        <v/>
      </c>
      <c r="N255" s="25" t="str">
        <f aca="false">IFERROR(INDEX(종합!N$3:N$501,MATCH(ROW()-2,종합!$AC$3:$AC$501,0))&amp;"","")</f>
        <v/>
      </c>
      <c r="O255" s="21" t="str">
        <f aca="false">IFERROR(INDEX(종합!O$3:O$501,MATCH(ROW()-2,종합!$AC$3:$AC$501,0))&amp;"","")</f>
        <v/>
      </c>
      <c r="P255" s="21" t="str">
        <f aca="false">IFERROR(INDEX(종합!P$3:P$501,MATCH(ROW()-2,종합!$AC$3:$AC$501,0))&amp;"","")</f>
        <v/>
      </c>
      <c r="Q255" s="21" t="str">
        <f aca="false">IFERROR(INDEX(종합!Q$3:Q$501,MATCH(ROW()-2,종합!$AC$3:$AC$501,0))&amp;"","")</f>
        <v/>
      </c>
      <c r="R255" s="21" t="str">
        <f aca="false">IFERROR(INDEX(종합!R$3:R$501,MATCH(ROW()-2,종합!$AC$3:$AC$501,0))&amp;"","")</f>
        <v/>
      </c>
      <c r="S255" s="21" t="str">
        <f aca="false">IFERROR(INDEX(종합!S$3:S$501,MATCH(ROW()-2,종합!$AC$3:$AC$501,0))&amp;"","")</f>
        <v/>
      </c>
      <c r="T255" s="21" t="str">
        <f aca="false">IFERROR(INDEX(종합!T$3:T$501,MATCH(ROW()-2,종합!$AC$3:$AC$501,0))&amp;"","")</f>
        <v/>
      </c>
      <c r="U255" s="21" t="str">
        <f aca="false">IFERROR(INDEX(종합!U$3:U$501,MATCH(ROW()-2,종합!$AC$3:$AC$501,0))&amp;"","")</f>
        <v/>
      </c>
      <c r="V255" s="21" t="str">
        <f aca="false">IFERROR(INDEX(종합!V$3:V$501,MATCH(ROW()-2,종합!$AC$3:$AC$501,0))&amp;"","")</f>
        <v/>
      </c>
      <c r="W255" s="21" t="str">
        <f aca="false">IFERROR(INDEX(종합!W$3:W$501,MATCH(ROW()-2,종합!$AC$3:$AC$501,0))&amp;"","")</f>
        <v/>
      </c>
      <c r="X255" s="21" t="str">
        <f aca="false">IFERROR(INDEX(종합!X$3:X$501,MATCH(ROW()-2,종합!$AC$3:$AC$501,0))&amp;"","")</f>
        <v/>
      </c>
      <c r="Y255" s="21" t="str">
        <f aca="false">IFERROR(INDEX(종합!Y$3:Y$501,MATCH(ROW()-2,종합!$AC$3:$AC$501,0))&amp;"","")</f>
        <v/>
      </c>
      <c r="Z255" s="21" t="str">
        <f aca="false">IFERROR(INDEX(종합!Z$3:Z$501,MATCH(ROW()-2,종합!$AC$3:$AC$501,0))&amp;"","")</f>
        <v/>
      </c>
    </row>
    <row r="256" customFormat="false" ht="16.5" hidden="false" customHeight="true" outlineLevel="0" collapsed="false">
      <c r="A256" s="18" t="str">
        <f aca="false">IF(B256="","",ROW()-2)</f>
        <v/>
      </c>
      <c r="B256" s="18" t="str">
        <f aca="false">IFERROR(INDEX(종합!B$3:B$501,MATCH(ROW()-2,종합!$AC$3:$AC$501,0))&amp;"","")</f>
        <v/>
      </c>
      <c r="C256" s="18" t="str">
        <f aca="false">IFERROR(INDEX(종합!C$3:C$501,MATCH(ROW()-2,종합!$AC$3:$AC$501,0))&amp;"","")</f>
        <v/>
      </c>
      <c r="D256" s="18" t="str">
        <f aca="false">IFERROR(INDEX(종합!D$3:D$501,MATCH(ROW()-2,종합!$AC$3:$AC$501,0))&amp;"","")</f>
        <v/>
      </c>
      <c r="E256" s="18" t="str">
        <f aca="false">IFERROR(INDEX(종합!E$3:E$501,MATCH(ROW()-2,종합!$AC$3:$AC$501,0))&amp;"","")</f>
        <v/>
      </c>
      <c r="F256" s="18" t="str">
        <f aca="false">IFERROR(INDEX(종합!F$3:F$501,MATCH(ROW()-2,종합!$AC$3:$AC$501,0))&amp;"","")</f>
        <v/>
      </c>
      <c r="G256" s="18" t="str">
        <f aca="false">IFERROR(INDEX(종합!G$3:G$501,MATCH(ROW()-2,종합!$AC$3:$AC$501,0))&amp;"","")</f>
        <v/>
      </c>
      <c r="H256" s="21" t="str">
        <f aca="false">IFERROR(INDEX(종합!H$3:H$501,MATCH(ROW()-2,종합!$AC$3:$AC$501,0))&amp;"","")</f>
        <v/>
      </c>
      <c r="I256" s="21" t="str">
        <f aca="false">IFERROR(INDEX(종합!I$3:I$501,MATCH(ROW()-2,종합!$AC$3:$AC$501,0))&amp;"","")</f>
        <v/>
      </c>
      <c r="J256" s="21" t="str">
        <f aca="false">IFERROR(INDEX(종합!J$3:J$501,MATCH(ROW()-2,종합!$AC$3:$AC$501,0))&amp;"","")</f>
        <v/>
      </c>
      <c r="K256" s="21" t="str">
        <f aca="false">IFERROR(INDEX(종합!K$3:K$501,MATCH(ROW()-2,종합!$AC$3:$AC$501,0))&amp;"","")</f>
        <v/>
      </c>
      <c r="L256" s="21" t="str">
        <f aca="false">IFERROR(INDEX(종합!L$3:L$501,MATCH(ROW()-2,종합!$AC$3:$AC$501,0))&amp;"","")</f>
        <v/>
      </c>
      <c r="M256" s="21" t="str">
        <f aca="false">IFERROR(INDEX(종합!M$3:M$501,MATCH(ROW()-2,종합!$AC$3:$AC$501,0))&amp;"","")</f>
        <v/>
      </c>
      <c r="N256" s="25" t="str">
        <f aca="false">IFERROR(INDEX(종합!N$3:N$501,MATCH(ROW()-2,종합!$AC$3:$AC$501,0))&amp;"","")</f>
        <v/>
      </c>
      <c r="O256" s="21" t="str">
        <f aca="false">IFERROR(INDEX(종합!O$3:O$501,MATCH(ROW()-2,종합!$AC$3:$AC$501,0))&amp;"","")</f>
        <v/>
      </c>
      <c r="P256" s="21" t="str">
        <f aca="false">IFERROR(INDEX(종합!P$3:P$501,MATCH(ROW()-2,종합!$AC$3:$AC$501,0))&amp;"","")</f>
        <v/>
      </c>
      <c r="Q256" s="21" t="str">
        <f aca="false">IFERROR(INDEX(종합!Q$3:Q$501,MATCH(ROW()-2,종합!$AC$3:$AC$501,0))&amp;"","")</f>
        <v/>
      </c>
      <c r="R256" s="21" t="str">
        <f aca="false">IFERROR(INDEX(종합!R$3:R$501,MATCH(ROW()-2,종합!$AC$3:$AC$501,0))&amp;"","")</f>
        <v/>
      </c>
      <c r="S256" s="21" t="str">
        <f aca="false">IFERROR(INDEX(종합!S$3:S$501,MATCH(ROW()-2,종합!$AC$3:$AC$501,0))&amp;"","")</f>
        <v/>
      </c>
      <c r="T256" s="21" t="str">
        <f aca="false">IFERROR(INDEX(종합!T$3:T$501,MATCH(ROW()-2,종합!$AC$3:$AC$501,0))&amp;"","")</f>
        <v/>
      </c>
      <c r="U256" s="21" t="str">
        <f aca="false">IFERROR(INDEX(종합!U$3:U$501,MATCH(ROW()-2,종합!$AC$3:$AC$501,0))&amp;"","")</f>
        <v/>
      </c>
      <c r="V256" s="21" t="str">
        <f aca="false">IFERROR(INDEX(종합!V$3:V$501,MATCH(ROW()-2,종합!$AC$3:$AC$501,0))&amp;"","")</f>
        <v/>
      </c>
      <c r="W256" s="21" t="str">
        <f aca="false">IFERROR(INDEX(종합!W$3:W$501,MATCH(ROW()-2,종합!$AC$3:$AC$501,0))&amp;"","")</f>
        <v/>
      </c>
      <c r="X256" s="21" t="str">
        <f aca="false">IFERROR(INDEX(종합!X$3:X$501,MATCH(ROW()-2,종합!$AC$3:$AC$501,0))&amp;"","")</f>
        <v/>
      </c>
      <c r="Y256" s="21" t="str">
        <f aca="false">IFERROR(INDEX(종합!Y$3:Y$501,MATCH(ROW()-2,종합!$AC$3:$AC$501,0))&amp;"","")</f>
        <v/>
      </c>
      <c r="Z256" s="21" t="str">
        <f aca="false">IFERROR(INDEX(종합!Z$3:Z$501,MATCH(ROW()-2,종합!$AC$3:$AC$501,0))&amp;"","")</f>
        <v/>
      </c>
    </row>
    <row r="257" customFormat="false" ht="16.5" hidden="false" customHeight="true" outlineLevel="0" collapsed="false">
      <c r="A257" s="18" t="str">
        <f aca="false">IF(B257="","",ROW()-2)</f>
        <v/>
      </c>
      <c r="B257" s="18" t="str">
        <f aca="false">IFERROR(INDEX(종합!B$3:B$501,MATCH(ROW()-2,종합!$AC$3:$AC$501,0))&amp;"","")</f>
        <v/>
      </c>
      <c r="C257" s="18" t="str">
        <f aca="false">IFERROR(INDEX(종합!C$3:C$501,MATCH(ROW()-2,종합!$AC$3:$AC$501,0))&amp;"","")</f>
        <v/>
      </c>
      <c r="D257" s="18" t="str">
        <f aca="false">IFERROR(INDEX(종합!D$3:D$501,MATCH(ROW()-2,종합!$AC$3:$AC$501,0))&amp;"","")</f>
        <v/>
      </c>
      <c r="E257" s="18" t="str">
        <f aca="false">IFERROR(INDEX(종합!E$3:E$501,MATCH(ROW()-2,종합!$AC$3:$AC$501,0))&amp;"","")</f>
        <v/>
      </c>
      <c r="F257" s="18" t="str">
        <f aca="false">IFERROR(INDEX(종합!F$3:F$501,MATCH(ROW()-2,종합!$AC$3:$AC$501,0))&amp;"","")</f>
        <v/>
      </c>
      <c r="G257" s="18" t="str">
        <f aca="false">IFERROR(INDEX(종합!G$3:G$501,MATCH(ROW()-2,종합!$AC$3:$AC$501,0))&amp;"","")</f>
        <v/>
      </c>
      <c r="H257" s="21" t="str">
        <f aca="false">IFERROR(INDEX(종합!H$3:H$501,MATCH(ROW()-2,종합!$AC$3:$AC$501,0))&amp;"","")</f>
        <v/>
      </c>
      <c r="I257" s="21" t="str">
        <f aca="false">IFERROR(INDEX(종합!I$3:I$501,MATCH(ROW()-2,종합!$AC$3:$AC$501,0))&amp;"","")</f>
        <v/>
      </c>
      <c r="J257" s="21" t="str">
        <f aca="false">IFERROR(INDEX(종합!J$3:J$501,MATCH(ROW()-2,종합!$AC$3:$AC$501,0))&amp;"","")</f>
        <v/>
      </c>
      <c r="K257" s="21" t="str">
        <f aca="false">IFERROR(INDEX(종합!K$3:K$501,MATCH(ROW()-2,종합!$AC$3:$AC$501,0))&amp;"","")</f>
        <v/>
      </c>
      <c r="L257" s="21" t="str">
        <f aca="false">IFERROR(INDEX(종합!L$3:L$501,MATCH(ROW()-2,종합!$AC$3:$AC$501,0))&amp;"","")</f>
        <v/>
      </c>
      <c r="M257" s="21" t="str">
        <f aca="false">IFERROR(INDEX(종합!M$3:M$501,MATCH(ROW()-2,종합!$AC$3:$AC$501,0))&amp;"","")</f>
        <v/>
      </c>
      <c r="N257" s="25" t="str">
        <f aca="false">IFERROR(INDEX(종합!N$3:N$501,MATCH(ROW()-2,종합!$AC$3:$AC$501,0))&amp;"","")</f>
        <v/>
      </c>
      <c r="O257" s="21" t="str">
        <f aca="false">IFERROR(INDEX(종합!O$3:O$501,MATCH(ROW()-2,종합!$AC$3:$AC$501,0))&amp;"","")</f>
        <v/>
      </c>
      <c r="P257" s="21" t="str">
        <f aca="false">IFERROR(INDEX(종합!P$3:P$501,MATCH(ROW()-2,종합!$AC$3:$AC$501,0))&amp;"","")</f>
        <v/>
      </c>
      <c r="Q257" s="21" t="str">
        <f aca="false">IFERROR(INDEX(종합!Q$3:Q$501,MATCH(ROW()-2,종합!$AC$3:$AC$501,0))&amp;"","")</f>
        <v/>
      </c>
      <c r="R257" s="21" t="str">
        <f aca="false">IFERROR(INDEX(종합!R$3:R$501,MATCH(ROW()-2,종합!$AC$3:$AC$501,0))&amp;"","")</f>
        <v/>
      </c>
      <c r="S257" s="21" t="str">
        <f aca="false">IFERROR(INDEX(종합!S$3:S$501,MATCH(ROW()-2,종합!$AC$3:$AC$501,0))&amp;"","")</f>
        <v/>
      </c>
      <c r="T257" s="21" t="str">
        <f aca="false">IFERROR(INDEX(종합!T$3:T$501,MATCH(ROW()-2,종합!$AC$3:$AC$501,0))&amp;"","")</f>
        <v/>
      </c>
      <c r="U257" s="21" t="str">
        <f aca="false">IFERROR(INDEX(종합!U$3:U$501,MATCH(ROW()-2,종합!$AC$3:$AC$501,0))&amp;"","")</f>
        <v/>
      </c>
      <c r="V257" s="21" t="str">
        <f aca="false">IFERROR(INDEX(종합!V$3:V$501,MATCH(ROW()-2,종합!$AC$3:$AC$501,0))&amp;"","")</f>
        <v/>
      </c>
      <c r="W257" s="21" t="str">
        <f aca="false">IFERROR(INDEX(종합!W$3:W$501,MATCH(ROW()-2,종합!$AC$3:$AC$501,0))&amp;"","")</f>
        <v/>
      </c>
      <c r="X257" s="21" t="str">
        <f aca="false">IFERROR(INDEX(종합!X$3:X$501,MATCH(ROW()-2,종합!$AC$3:$AC$501,0))&amp;"","")</f>
        <v/>
      </c>
      <c r="Y257" s="21" t="str">
        <f aca="false">IFERROR(INDEX(종합!Y$3:Y$501,MATCH(ROW()-2,종합!$AC$3:$AC$501,0))&amp;"","")</f>
        <v/>
      </c>
      <c r="Z257" s="21" t="str">
        <f aca="false">IFERROR(INDEX(종합!Z$3:Z$501,MATCH(ROW()-2,종합!$AC$3:$AC$501,0))&amp;"","")</f>
        <v/>
      </c>
    </row>
    <row r="258" customFormat="false" ht="16.5" hidden="false" customHeight="true" outlineLevel="0" collapsed="false">
      <c r="A258" s="18" t="str">
        <f aca="false">IF(B258="","",ROW()-2)</f>
        <v/>
      </c>
      <c r="B258" s="18" t="str">
        <f aca="false">IFERROR(INDEX(종합!B$3:B$501,MATCH(ROW()-2,종합!$AC$3:$AC$501,0))&amp;"","")</f>
        <v/>
      </c>
      <c r="C258" s="18" t="str">
        <f aca="false">IFERROR(INDEX(종합!C$3:C$501,MATCH(ROW()-2,종합!$AC$3:$AC$501,0))&amp;"","")</f>
        <v/>
      </c>
      <c r="D258" s="18" t="str">
        <f aca="false">IFERROR(INDEX(종합!D$3:D$501,MATCH(ROW()-2,종합!$AC$3:$AC$501,0))&amp;"","")</f>
        <v/>
      </c>
      <c r="E258" s="18" t="str">
        <f aca="false">IFERROR(INDEX(종합!E$3:E$501,MATCH(ROW()-2,종합!$AC$3:$AC$501,0))&amp;"","")</f>
        <v/>
      </c>
      <c r="F258" s="18" t="str">
        <f aca="false">IFERROR(INDEX(종합!F$3:F$501,MATCH(ROW()-2,종합!$AC$3:$AC$501,0))&amp;"","")</f>
        <v/>
      </c>
      <c r="G258" s="18" t="str">
        <f aca="false">IFERROR(INDEX(종합!G$3:G$501,MATCH(ROW()-2,종합!$AC$3:$AC$501,0))&amp;"","")</f>
        <v/>
      </c>
      <c r="H258" s="21" t="str">
        <f aca="false">IFERROR(INDEX(종합!H$3:H$501,MATCH(ROW()-2,종합!$AC$3:$AC$501,0))&amp;"","")</f>
        <v/>
      </c>
      <c r="I258" s="21" t="str">
        <f aca="false">IFERROR(INDEX(종합!I$3:I$501,MATCH(ROW()-2,종합!$AC$3:$AC$501,0))&amp;"","")</f>
        <v/>
      </c>
      <c r="J258" s="21" t="str">
        <f aca="false">IFERROR(INDEX(종합!J$3:J$501,MATCH(ROW()-2,종합!$AC$3:$AC$501,0))&amp;"","")</f>
        <v/>
      </c>
      <c r="K258" s="21" t="str">
        <f aca="false">IFERROR(INDEX(종합!K$3:K$501,MATCH(ROW()-2,종합!$AC$3:$AC$501,0))&amp;"","")</f>
        <v/>
      </c>
      <c r="L258" s="21" t="str">
        <f aca="false">IFERROR(INDEX(종합!L$3:L$501,MATCH(ROW()-2,종합!$AC$3:$AC$501,0))&amp;"","")</f>
        <v/>
      </c>
      <c r="M258" s="21" t="str">
        <f aca="false">IFERROR(INDEX(종합!M$3:M$501,MATCH(ROW()-2,종합!$AC$3:$AC$501,0))&amp;"","")</f>
        <v/>
      </c>
      <c r="N258" s="25" t="str">
        <f aca="false">IFERROR(INDEX(종합!N$3:N$501,MATCH(ROW()-2,종합!$AC$3:$AC$501,0))&amp;"","")</f>
        <v/>
      </c>
      <c r="O258" s="21" t="str">
        <f aca="false">IFERROR(INDEX(종합!O$3:O$501,MATCH(ROW()-2,종합!$AC$3:$AC$501,0))&amp;"","")</f>
        <v/>
      </c>
      <c r="P258" s="21" t="str">
        <f aca="false">IFERROR(INDEX(종합!P$3:P$501,MATCH(ROW()-2,종합!$AC$3:$AC$501,0))&amp;"","")</f>
        <v/>
      </c>
      <c r="Q258" s="21" t="str">
        <f aca="false">IFERROR(INDEX(종합!Q$3:Q$501,MATCH(ROW()-2,종합!$AC$3:$AC$501,0))&amp;"","")</f>
        <v/>
      </c>
      <c r="R258" s="21" t="str">
        <f aca="false">IFERROR(INDEX(종합!R$3:R$501,MATCH(ROW()-2,종합!$AC$3:$AC$501,0))&amp;"","")</f>
        <v/>
      </c>
      <c r="S258" s="21" t="str">
        <f aca="false">IFERROR(INDEX(종합!S$3:S$501,MATCH(ROW()-2,종합!$AC$3:$AC$501,0))&amp;"","")</f>
        <v/>
      </c>
      <c r="T258" s="21" t="str">
        <f aca="false">IFERROR(INDEX(종합!T$3:T$501,MATCH(ROW()-2,종합!$AC$3:$AC$501,0))&amp;"","")</f>
        <v/>
      </c>
      <c r="U258" s="21" t="str">
        <f aca="false">IFERROR(INDEX(종합!U$3:U$501,MATCH(ROW()-2,종합!$AC$3:$AC$501,0))&amp;"","")</f>
        <v/>
      </c>
      <c r="V258" s="21" t="str">
        <f aca="false">IFERROR(INDEX(종합!V$3:V$501,MATCH(ROW()-2,종합!$AC$3:$AC$501,0))&amp;"","")</f>
        <v/>
      </c>
      <c r="W258" s="21" t="str">
        <f aca="false">IFERROR(INDEX(종합!W$3:W$501,MATCH(ROW()-2,종합!$AC$3:$AC$501,0))&amp;"","")</f>
        <v/>
      </c>
      <c r="X258" s="21" t="str">
        <f aca="false">IFERROR(INDEX(종합!X$3:X$501,MATCH(ROW()-2,종합!$AC$3:$AC$501,0))&amp;"","")</f>
        <v/>
      </c>
      <c r="Y258" s="21" t="str">
        <f aca="false">IFERROR(INDEX(종합!Y$3:Y$501,MATCH(ROW()-2,종합!$AC$3:$AC$501,0))&amp;"","")</f>
        <v/>
      </c>
      <c r="Z258" s="21" t="str">
        <f aca="false">IFERROR(INDEX(종합!Z$3:Z$501,MATCH(ROW()-2,종합!$AC$3:$AC$501,0))&amp;"","")</f>
        <v/>
      </c>
    </row>
    <row r="259" customFormat="false" ht="16.5" hidden="false" customHeight="true" outlineLevel="0" collapsed="false">
      <c r="A259" s="18" t="str">
        <f aca="false">IF(B259="","",ROW()-2)</f>
        <v/>
      </c>
      <c r="B259" s="18" t="str">
        <f aca="false">IFERROR(INDEX(종합!B$3:B$501,MATCH(ROW()-2,종합!$AC$3:$AC$501,0))&amp;"","")</f>
        <v/>
      </c>
      <c r="C259" s="18" t="str">
        <f aca="false">IFERROR(INDEX(종합!C$3:C$501,MATCH(ROW()-2,종합!$AC$3:$AC$501,0))&amp;"","")</f>
        <v/>
      </c>
      <c r="D259" s="18" t="str">
        <f aca="false">IFERROR(INDEX(종합!D$3:D$501,MATCH(ROW()-2,종합!$AC$3:$AC$501,0))&amp;"","")</f>
        <v/>
      </c>
      <c r="E259" s="18" t="str">
        <f aca="false">IFERROR(INDEX(종합!E$3:E$501,MATCH(ROW()-2,종합!$AC$3:$AC$501,0))&amp;"","")</f>
        <v/>
      </c>
      <c r="F259" s="18" t="str">
        <f aca="false">IFERROR(INDEX(종합!F$3:F$501,MATCH(ROW()-2,종합!$AC$3:$AC$501,0))&amp;"","")</f>
        <v/>
      </c>
      <c r="G259" s="18" t="str">
        <f aca="false">IFERROR(INDEX(종합!G$3:G$501,MATCH(ROW()-2,종합!$AC$3:$AC$501,0))&amp;"","")</f>
        <v/>
      </c>
      <c r="H259" s="21" t="str">
        <f aca="false">IFERROR(INDEX(종합!H$3:H$501,MATCH(ROW()-2,종합!$AC$3:$AC$501,0))&amp;"","")</f>
        <v/>
      </c>
      <c r="I259" s="21" t="str">
        <f aca="false">IFERROR(INDEX(종합!I$3:I$501,MATCH(ROW()-2,종합!$AC$3:$AC$501,0))&amp;"","")</f>
        <v/>
      </c>
      <c r="J259" s="21" t="str">
        <f aca="false">IFERROR(INDEX(종합!J$3:J$501,MATCH(ROW()-2,종합!$AC$3:$AC$501,0))&amp;"","")</f>
        <v/>
      </c>
      <c r="K259" s="21" t="str">
        <f aca="false">IFERROR(INDEX(종합!K$3:K$501,MATCH(ROW()-2,종합!$AC$3:$AC$501,0))&amp;"","")</f>
        <v/>
      </c>
      <c r="L259" s="21" t="str">
        <f aca="false">IFERROR(INDEX(종합!L$3:L$501,MATCH(ROW()-2,종합!$AC$3:$AC$501,0))&amp;"","")</f>
        <v/>
      </c>
      <c r="M259" s="21" t="str">
        <f aca="false">IFERROR(INDEX(종합!M$3:M$501,MATCH(ROW()-2,종합!$AC$3:$AC$501,0))&amp;"","")</f>
        <v/>
      </c>
      <c r="N259" s="25" t="str">
        <f aca="false">IFERROR(INDEX(종합!N$3:N$501,MATCH(ROW()-2,종합!$AC$3:$AC$501,0))&amp;"","")</f>
        <v/>
      </c>
      <c r="O259" s="21" t="str">
        <f aca="false">IFERROR(INDEX(종합!O$3:O$501,MATCH(ROW()-2,종합!$AC$3:$AC$501,0))&amp;"","")</f>
        <v/>
      </c>
      <c r="P259" s="21" t="str">
        <f aca="false">IFERROR(INDEX(종합!P$3:P$501,MATCH(ROW()-2,종합!$AC$3:$AC$501,0))&amp;"","")</f>
        <v/>
      </c>
      <c r="Q259" s="21" t="str">
        <f aca="false">IFERROR(INDEX(종합!Q$3:Q$501,MATCH(ROW()-2,종합!$AC$3:$AC$501,0))&amp;"","")</f>
        <v/>
      </c>
      <c r="R259" s="21" t="str">
        <f aca="false">IFERROR(INDEX(종합!R$3:R$501,MATCH(ROW()-2,종합!$AC$3:$AC$501,0))&amp;"","")</f>
        <v/>
      </c>
      <c r="S259" s="21" t="str">
        <f aca="false">IFERROR(INDEX(종합!S$3:S$501,MATCH(ROW()-2,종합!$AC$3:$AC$501,0))&amp;"","")</f>
        <v/>
      </c>
      <c r="T259" s="21" t="str">
        <f aca="false">IFERROR(INDEX(종합!T$3:T$501,MATCH(ROW()-2,종합!$AC$3:$AC$501,0))&amp;"","")</f>
        <v/>
      </c>
      <c r="U259" s="21" t="str">
        <f aca="false">IFERROR(INDEX(종합!U$3:U$501,MATCH(ROW()-2,종합!$AC$3:$AC$501,0))&amp;"","")</f>
        <v/>
      </c>
      <c r="V259" s="21" t="str">
        <f aca="false">IFERROR(INDEX(종합!V$3:V$501,MATCH(ROW()-2,종합!$AC$3:$AC$501,0))&amp;"","")</f>
        <v/>
      </c>
      <c r="W259" s="21" t="str">
        <f aca="false">IFERROR(INDEX(종합!W$3:W$501,MATCH(ROW()-2,종합!$AC$3:$AC$501,0))&amp;"","")</f>
        <v/>
      </c>
      <c r="X259" s="21" t="str">
        <f aca="false">IFERROR(INDEX(종합!X$3:X$501,MATCH(ROW()-2,종합!$AC$3:$AC$501,0))&amp;"","")</f>
        <v/>
      </c>
      <c r="Y259" s="21" t="str">
        <f aca="false">IFERROR(INDEX(종합!Y$3:Y$501,MATCH(ROW()-2,종합!$AC$3:$AC$501,0))&amp;"","")</f>
        <v/>
      </c>
      <c r="Z259" s="21" t="str">
        <f aca="false">IFERROR(INDEX(종합!Z$3:Z$501,MATCH(ROW()-2,종합!$AC$3:$AC$501,0))&amp;"","")</f>
        <v/>
      </c>
    </row>
    <row r="260" customFormat="false" ht="16.5" hidden="false" customHeight="true" outlineLevel="0" collapsed="false">
      <c r="A260" s="18" t="str">
        <f aca="false">IF(B260="","",ROW()-2)</f>
        <v/>
      </c>
      <c r="B260" s="18" t="str">
        <f aca="false">IFERROR(INDEX(종합!B$3:B$501,MATCH(ROW()-2,종합!$AC$3:$AC$501,0))&amp;"","")</f>
        <v/>
      </c>
      <c r="C260" s="18" t="str">
        <f aca="false">IFERROR(INDEX(종합!C$3:C$501,MATCH(ROW()-2,종합!$AC$3:$AC$501,0))&amp;"","")</f>
        <v/>
      </c>
      <c r="D260" s="18" t="str">
        <f aca="false">IFERROR(INDEX(종합!D$3:D$501,MATCH(ROW()-2,종합!$AC$3:$AC$501,0))&amp;"","")</f>
        <v/>
      </c>
      <c r="E260" s="18" t="str">
        <f aca="false">IFERROR(INDEX(종합!E$3:E$501,MATCH(ROW()-2,종합!$AC$3:$AC$501,0))&amp;"","")</f>
        <v/>
      </c>
      <c r="F260" s="18" t="str">
        <f aca="false">IFERROR(INDEX(종합!F$3:F$501,MATCH(ROW()-2,종합!$AC$3:$AC$501,0))&amp;"","")</f>
        <v/>
      </c>
      <c r="G260" s="18" t="str">
        <f aca="false">IFERROR(INDEX(종합!G$3:G$501,MATCH(ROW()-2,종합!$AC$3:$AC$501,0))&amp;"","")</f>
        <v/>
      </c>
      <c r="H260" s="21" t="str">
        <f aca="false">IFERROR(INDEX(종합!H$3:H$501,MATCH(ROW()-2,종합!$AC$3:$AC$501,0))&amp;"","")</f>
        <v/>
      </c>
      <c r="I260" s="21" t="str">
        <f aca="false">IFERROR(INDEX(종합!I$3:I$501,MATCH(ROW()-2,종합!$AC$3:$AC$501,0))&amp;"","")</f>
        <v/>
      </c>
      <c r="J260" s="21" t="str">
        <f aca="false">IFERROR(INDEX(종합!J$3:J$501,MATCH(ROW()-2,종합!$AC$3:$AC$501,0))&amp;"","")</f>
        <v/>
      </c>
      <c r="K260" s="21" t="str">
        <f aca="false">IFERROR(INDEX(종합!K$3:K$501,MATCH(ROW()-2,종합!$AC$3:$AC$501,0))&amp;"","")</f>
        <v/>
      </c>
      <c r="L260" s="21" t="str">
        <f aca="false">IFERROR(INDEX(종합!L$3:L$501,MATCH(ROW()-2,종합!$AC$3:$AC$501,0))&amp;"","")</f>
        <v/>
      </c>
      <c r="M260" s="21" t="str">
        <f aca="false">IFERROR(INDEX(종합!M$3:M$501,MATCH(ROW()-2,종합!$AC$3:$AC$501,0))&amp;"","")</f>
        <v/>
      </c>
      <c r="N260" s="25" t="str">
        <f aca="false">IFERROR(INDEX(종합!N$3:N$501,MATCH(ROW()-2,종합!$AC$3:$AC$501,0))&amp;"","")</f>
        <v/>
      </c>
      <c r="O260" s="21" t="str">
        <f aca="false">IFERROR(INDEX(종합!O$3:O$501,MATCH(ROW()-2,종합!$AC$3:$AC$501,0))&amp;"","")</f>
        <v/>
      </c>
      <c r="P260" s="21" t="str">
        <f aca="false">IFERROR(INDEX(종합!P$3:P$501,MATCH(ROW()-2,종합!$AC$3:$AC$501,0))&amp;"","")</f>
        <v/>
      </c>
      <c r="Q260" s="21" t="str">
        <f aca="false">IFERROR(INDEX(종합!Q$3:Q$501,MATCH(ROW()-2,종합!$AC$3:$AC$501,0))&amp;"","")</f>
        <v/>
      </c>
      <c r="R260" s="21" t="str">
        <f aca="false">IFERROR(INDEX(종합!R$3:R$501,MATCH(ROW()-2,종합!$AC$3:$AC$501,0))&amp;"","")</f>
        <v/>
      </c>
      <c r="S260" s="21" t="str">
        <f aca="false">IFERROR(INDEX(종합!S$3:S$501,MATCH(ROW()-2,종합!$AC$3:$AC$501,0))&amp;"","")</f>
        <v/>
      </c>
      <c r="T260" s="21" t="str">
        <f aca="false">IFERROR(INDEX(종합!T$3:T$501,MATCH(ROW()-2,종합!$AC$3:$AC$501,0))&amp;"","")</f>
        <v/>
      </c>
      <c r="U260" s="21" t="str">
        <f aca="false">IFERROR(INDEX(종합!U$3:U$501,MATCH(ROW()-2,종합!$AC$3:$AC$501,0))&amp;"","")</f>
        <v/>
      </c>
      <c r="V260" s="21" t="str">
        <f aca="false">IFERROR(INDEX(종합!V$3:V$501,MATCH(ROW()-2,종합!$AC$3:$AC$501,0))&amp;"","")</f>
        <v/>
      </c>
      <c r="W260" s="21" t="str">
        <f aca="false">IFERROR(INDEX(종합!W$3:W$501,MATCH(ROW()-2,종합!$AC$3:$AC$501,0))&amp;"","")</f>
        <v/>
      </c>
      <c r="X260" s="21" t="str">
        <f aca="false">IFERROR(INDEX(종합!X$3:X$501,MATCH(ROW()-2,종합!$AC$3:$AC$501,0))&amp;"","")</f>
        <v/>
      </c>
      <c r="Y260" s="21" t="str">
        <f aca="false">IFERROR(INDEX(종합!Y$3:Y$501,MATCH(ROW()-2,종합!$AC$3:$AC$501,0))&amp;"","")</f>
        <v/>
      </c>
      <c r="Z260" s="21" t="str">
        <f aca="false">IFERROR(INDEX(종합!Z$3:Z$501,MATCH(ROW()-2,종합!$AC$3:$AC$501,0))&amp;"","")</f>
        <v/>
      </c>
    </row>
    <row r="261" customFormat="false" ht="16.5" hidden="false" customHeight="true" outlineLevel="0" collapsed="false">
      <c r="A261" s="18" t="str">
        <f aca="false">IF(B261="","",ROW()-2)</f>
        <v/>
      </c>
      <c r="B261" s="18" t="str">
        <f aca="false">IFERROR(INDEX(종합!B$3:B$501,MATCH(ROW()-2,종합!$AC$3:$AC$501,0))&amp;"","")</f>
        <v/>
      </c>
      <c r="C261" s="18" t="str">
        <f aca="false">IFERROR(INDEX(종합!C$3:C$501,MATCH(ROW()-2,종합!$AC$3:$AC$501,0))&amp;"","")</f>
        <v/>
      </c>
      <c r="D261" s="18" t="str">
        <f aca="false">IFERROR(INDEX(종합!D$3:D$501,MATCH(ROW()-2,종합!$AC$3:$AC$501,0))&amp;"","")</f>
        <v/>
      </c>
      <c r="E261" s="18" t="str">
        <f aca="false">IFERROR(INDEX(종합!E$3:E$501,MATCH(ROW()-2,종합!$AC$3:$AC$501,0))&amp;"","")</f>
        <v/>
      </c>
      <c r="F261" s="18" t="str">
        <f aca="false">IFERROR(INDEX(종합!F$3:F$501,MATCH(ROW()-2,종합!$AC$3:$AC$501,0))&amp;"","")</f>
        <v/>
      </c>
      <c r="G261" s="18" t="str">
        <f aca="false">IFERROR(INDEX(종합!G$3:G$501,MATCH(ROW()-2,종합!$AC$3:$AC$501,0))&amp;"","")</f>
        <v/>
      </c>
      <c r="H261" s="21" t="str">
        <f aca="false">IFERROR(INDEX(종합!H$3:H$501,MATCH(ROW()-2,종합!$AC$3:$AC$501,0))&amp;"","")</f>
        <v/>
      </c>
      <c r="I261" s="21" t="str">
        <f aca="false">IFERROR(INDEX(종합!I$3:I$501,MATCH(ROW()-2,종합!$AC$3:$AC$501,0))&amp;"","")</f>
        <v/>
      </c>
      <c r="J261" s="21" t="str">
        <f aca="false">IFERROR(INDEX(종합!J$3:J$501,MATCH(ROW()-2,종합!$AC$3:$AC$501,0))&amp;"","")</f>
        <v/>
      </c>
      <c r="K261" s="21" t="str">
        <f aca="false">IFERROR(INDEX(종합!K$3:K$501,MATCH(ROW()-2,종합!$AC$3:$AC$501,0))&amp;"","")</f>
        <v/>
      </c>
      <c r="L261" s="21" t="str">
        <f aca="false">IFERROR(INDEX(종합!L$3:L$501,MATCH(ROW()-2,종합!$AC$3:$AC$501,0))&amp;"","")</f>
        <v/>
      </c>
      <c r="M261" s="21" t="str">
        <f aca="false">IFERROR(INDEX(종합!M$3:M$501,MATCH(ROW()-2,종합!$AC$3:$AC$501,0))&amp;"","")</f>
        <v/>
      </c>
      <c r="N261" s="25" t="str">
        <f aca="false">IFERROR(INDEX(종합!N$3:N$501,MATCH(ROW()-2,종합!$AC$3:$AC$501,0))&amp;"","")</f>
        <v/>
      </c>
      <c r="O261" s="21" t="str">
        <f aca="false">IFERROR(INDEX(종합!O$3:O$501,MATCH(ROW()-2,종합!$AC$3:$AC$501,0))&amp;"","")</f>
        <v/>
      </c>
      <c r="P261" s="21" t="str">
        <f aca="false">IFERROR(INDEX(종합!P$3:P$501,MATCH(ROW()-2,종합!$AC$3:$AC$501,0))&amp;"","")</f>
        <v/>
      </c>
      <c r="Q261" s="21" t="str">
        <f aca="false">IFERROR(INDEX(종합!Q$3:Q$501,MATCH(ROW()-2,종합!$AC$3:$AC$501,0))&amp;"","")</f>
        <v/>
      </c>
      <c r="R261" s="21" t="str">
        <f aca="false">IFERROR(INDEX(종합!R$3:R$501,MATCH(ROW()-2,종합!$AC$3:$AC$501,0))&amp;"","")</f>
        <v/>
      </c>
      <c r="S261" s="21" t="str">
        <f aca="false">IFERROR(INDEX(종합!S$3:S$501,MATCH(ROW()-2,종합!$AC$3:$AC$501,0))&amp;"","")</f>
        <v/>
      </c>
      <c r="T261" s="21" t="str">
        <f aca="false">IFERROR(INDEX(종합!T$3:T$501,MATCH(ROW()-2,종합!$AC$3:$AC$501,0))&amp;"","")</f>
        <v/>
      </c>
      <c r="U261" s="21" t="str">
        <f aca="false">IFERROR(INDEX(종합!U$3:U$501,MATCH(ROW()-2,종합!$AC$3:$AC$501,0))&amp;"","")</f>
        <v/>
      </c>
      <c r="V261" s="21" t="str">
        <f aca="false">IFERROR(INDEX(종합!V$3:V$501,MATCH(ROW()-2,종합!$AC$3:$AC$501,0))&amp;"","")</f>
        <v/>
      </c>
      <c r="W261" s="21" t="str">
        <f aca="false">IFERROR(INDEX(종합!W$3:W$501,MATCH(ROW()-2,종합!$AC$3:$AC$501,0))&amp;"","")</f>
        <v/>
      </c>
      <c r="X261" s="21" t="str">
        <f aca="false">IFERROR(INDEX(종합!X$3:X$501,MATCH(ROW()-2,종합!$AC$3:$AC$501,0))&amp;"","")</f>
        <v/>
      </c>
      <c r="Y261" s="21" t="str">
        <f aca="false">IFERROR(INDEX(종합!Y$3:Y$501,MATCH(ROW()-2,종합!$AC$3:$AC$501,0))&amp;"","")</f>
        <v/>
      </c>
      <c r="Z261" s="21" t="str">
        <f aca="false">IFERROR(INDEX(종합!Z$3:Z$501,MATCH(ROW()-2,종합!$AC$3:$AC$501,0))&amp;"","")</f>
        <v/>
      </c>
    </row>
    <row r="262" customFormat="false" ht="16.5" hidden="false" customHeight="true" outlineLevel="0" collapsed="false">
      <c r="A262" s="18" t="str">
        <f aca="false">IF(B262="","",ROW()-2)</f>
        <v/>
      </c>
      <c r="B262" s="18" t="str">
        <f aca="false">IFERROR(INDEX(종합!B$3:B$501,MATCH(ROW()-2,종합!$AC$3:$AC$501,0))&amp;"","")</f>
        <v/>
      </c>
      <c r="C262" s="18" t="str">
        <f aca="false">IFERROR(INDEX(종합!C$3:C$501,MATCH(ROW()-2,종합!$AC$3:$AC$501,0))&amp;"","")</f>
        <v/>
      </c>
      <c r="D262" s="18" t="str">
        <f aca="false">IFERROR(INDEX(종합!D$3:D$501,MATCH(ROW()-2,종합!$AC$3:$AC$501,0))&amp;"","")</f>
        <v/>
      </c>
      <c r="E262" s="18" t="str">
        <f aca="false">IFERROR(INDEX(종합!E$3:E$501,MATCH(ROW()-2,종합!$AC$3:$AC$501,0))&amp;"","")</f>
        <v/>
      </c>
      <c r="F262" s="18" t="str">
        <f aca="false">IFERROR(INDEX(종합!F$3:F$501,MATCH(ROW()-2,종합!$AC$3:$AC$501,0))&amp;"","")</f>
        <v/>
      </c>
      <c r="G262" s="18" t="str">
        <f aca="false">IFERROR(INDEX(종합!G$3:G$501,MATCH(ROW()-2,종합!$AC$3:$AC$501,0))&amp;"","")</f>
        <v/>
      </c>
      <c r="H262" s="21" t="str">
        <f aca="false">IFERROR(INDEX(종합!H$3:H$501,MATCH(ROW()-2,종합!$AC$3:$AC$501,0))&amp;"","")</f>
        <v/>
      </c>
      <c r="I262" s="21" t="str">
        <f aca="false">IFERROR(INDEX(종합!I$3:I$501,MATCH(ROW()-2,종합!$AC$3:$AC$501,0))&amp;"","")</f>
        <v/>
      </c>
      <c r="J262" s="21" t="str">
        <f aca="false">IFERROR(INDEX(종합!J$3:J$501,MATCH(ROW()-2,종합!$AC$3:$AC$501,0))&amp;"","")</f>
        <v/>
      </c>
      <c r="K262" s="21" t="str">
        <f aca="false">IFERROR(INDEX(종합!K$3:K$501,MATCH(ROW()-2,종합!$AC$3:$AC$501,0))&amp;"","")</f>
        <v/>
      </c>
      <c r="L262" s="21" t="str">
        <f aca="false">IFERROR(INDEX(종합!L$3:L$501,MATCH(ROW()-2,종합!$AC$3:$AC$501,0))&amp;"","")</f>
        <v/>
      </c>
      <c r="M262" s="21" t="str">
        <f aca="false">IFERROR(INDEX(종합!M$3:M$501,MATCH(ROW()-2,종합!$AC$3:$AC$501,0))&amp;"","")</f>
        <v/>
      </c>
      <c r="N262" s="25" t="str">
        <f aca="false">IFERROR(INDEX(종합!N$3:N$501,MATCH(ROW()-2,종합!$AC$3:$AC$501,0))&amp;"","")</f>
        <v/>
      </c>
      <c r="O262" s="21" t="str">
        <f aca="false">IFERROR(INDEX(종합!O$3:O$501,MATCH(ROW()-2,종합!$AC$3:$AC$501,0))&amp;"","")</f>
        <v/>
      </c>
      <c r="P262" s="21" t="str">
        <f aca="false">IFERROR(INDEX(종합!P$3:P$501,MATCH(ROW()-2,종합!$AC$3:$AC$501,0))&amp;"","")</f>
        <v/>
      </c>
      <c r="Q262" s="21" t="str">
        <f aca="false">IFERROR(INDEX(종합!Q$3:Q$501,MATCH(ROW()-2,종합!$AC$3:$AC$501,0))&amp;"","")</f>
        <v/>
      </c>
      <c r="R262" s="21" t="str">
        <f aca="false">IFERROR(INDEX(종합!R$3:R$501,MATCH(ROW()-2,종합!$AC$3:$AC$501,0))&amp;"","")</f>
        <v/>
      </c>
      <c r="S262" s="21" t="str">
        <f aca="false">IFERROR(INDEX(종합!S$3:S$501,MATCH(ROW()-2,종합!$AC$3:$AC$501,0))&amp;"","")</f>
        <v/>
      </c>
      <c r="T262" s="21" t="str">
        <f aca="false">IFERROR(INDEX(종합!T$3:T$501,MATCH(ROW()-2,종합!$AC$3:$AC$501,0))&amp;"","")</f>
        <v/>
      </c>
      <c r="U262" s="21" t="str">
        <f aca="false">IFERROR(INDEX(종합!U$3:U$501,MATCH(ROW()-2,종합!$AC$3:$AC$501,0))&amp;"","")</f>
        <v/>
      </c>
      <c r="V262" s="21" t="str">
        <f aca="false">IFERROR(INDEX(종합!V$3:V$501,MATCH(ROW()-2,종합!$AC$3:$AC$501,0))&amp;"","")</f>
        <v/>
      </c>
      <c r="W262" s="21" t="str">
        <f aca="false">IFERROR(INDEX(종합!W$3:W$501,MATCH(ROW()-2,종합!$AC$3:$AC$501,0))&amp;"","")</f>
        <v/>
      </c>
      <c r="X262" s="21" t="str">
        <f aca="false">IFERROR(INDEX(종합!X$3:X$501,MATCH(ROW()-2,종합!$AC$3:$AC$501,0))&amp;"","")</f>
        <v/>
      </c>
      <c r="Y262" s="21" t="str">
        <f aca="false">IFERROR(INDEX(종합!Y$3:Y$501,MATCH(ROW()-2,종합!$AC$3:$AC$501,0))&amp;"","")</f>
        <v/>
      </c>
      <c r="Z262" s="21" t="str">
        <f aca="false">IFERROR(INDEX(종합!Z$3:Z$501,MATCH(ROW()-2,종합!$AC$3:$AC$501,0))&amp;"","")</f>
        <v/>
      </c>
    </row>
    <row r="263" customFormat="false" ht="16.5" hidden="false" customHeight="true" outlineLevel="0" collapsed="false">
      <c r="A263" s="18" t="str">
        <f aca="false">IF(B263="","",ROW()-2)</f>
        <v/>
      </c>
      <c r="B263" s="18" t="str">
        <f aca="false">IFERROR(INDEX(종합!B$3:B$501,MATCH(ROW()-2,종합!$AC$3:$AC$501,0))&amp;"","")</f>
        <v/>
      </c>
      <c r="C263" s="18" t="str">
        <f aca="false">IFERROR(INDEX(종합!C$3:C$501,MATCH(ROW()-2,종합!$AC$3:$AC$501,0))&amp;"","")</f>
        <v/>
      </c>
      <c r="D263" s="18" t="str">
        <f aca="false">IFERROR(INDEX(종합!D$3:D$501,MATCH(ROW()-2,종합!$AC$3:$AC$501,0))&amp;"","")</f>
        <v/>
      </c>
      <c r="E263" s="18" t="str">
        <f aca="false">IFERROR(INDEX(종합!E$3:E$501,MATCH(ROW()-2,종합!$AC$3:$AC$501,0))&amp;"","")</f>
        <v/>
      </c>
      <c r="F263" s="18" t="str">
        <f aca="false">IFERROR(INDEX(종합!F$3:F$501,MATCH(ROW()-2,종합!$AC$3:$AC$501,0))&amp;"","")</f>
        <v/>
      </c>
      <c r="G263" s="18" t="str">
        <f aca="false">IFERROR(INDEX(종합!G$3:G$501,MATCH(ROW()-2,종합!$AC$3:$AC$501,0))&amp;"","")</f>
        <v/>
      </c>
      <c r="H263" s="21" t="str">
        <f aca="false">IFERROR(INDEX(종합!H$3:H$501,MATCH(ROW()-2,종합!$AC$3:$AC$501,0))&amp;"","")</f>
        <v/>
      </c>
      <c r="I263" s="21" t="str">
        <f aca="false">IFERROR(INDEX(종합!I$3:I$501,MATCH(ROW()-2,종합!$AC$3:$AC$501,0))&amp;"","")</f>
        <v/>
      </c>
      <c r="J263" s="21" t="str">
        <f aca="false">IFERROR(INDEX(종합!J$3:J$501,MATCH(ROW()-2,종합!$AC$3:$AC$501,0))&amp;"","")</f>
        <v/>
      </c>
      <c r="K263" s="21" t="str">
        <f aca="false">IFERROR(INDEX(종합!K$3:K$501,MATCH(ROW()-2,종합!$AC$3:$AC$501,0))&amp;"","")</f>
        <v/>
      </c>
      <c r="L263" s="21" t="str">
        <f aca="false">IFERROR(INDEX(종합!L$3:L$501,MATCH(ROW()-2,종합!$AC$3:$AC$501,0))&amp;"","")</f>
        <v/>
      </c>
      <c r="M263" s="21" t="str">
        <f aca="false">IFERROR(INDEX(종합!M$3:M$501,MATCH(ROW()-2,종합!$AC$3:$AC$501,0))&amp;"","")</f>
        <v/>
      </c>
      <c r="N263" s="25" t="str">
        <f aca="false">IFERROR(INDEX(종합!N$3:N$501,MATCH(ROW()-2,종합!$AC$3:$AC$501,0))&amp;"","")</f>
        <v/>
      </c>
      <c r="O263" s="21" t="str">
        <f aca="false">IFERROR(INDEX(종합!O$3:O$501,MATCH(ROW()-2,종합!$AC$3:$AC$501,0))&amp;"","")</f>
        <v/>
      </c>
      <c r="P263" s="21" t="str">
        <f aca="false">IFERROR(INDEX(종합!P$3:P$501,MATCH(ROW()-2,종합!$AC$3:$AC$501,0))&amp;"","")</f>
        <v/>
      </c>
      <c r="Q263" s="21" t="str">
        <f aca="false">IFERROR(INDEX(종합!Q$3:Q$501,MATCH(ROW()-2,종합!$AC$3:$AC$501,0))&amp;"","")</f>
        <v/>
      </c>
      <c r="R263" s="21" t="str">
        <f aca="false">IFERROR(INDEX(종합!R$3:R$501,MATCH(ROW()-2,종합!$AC$3:$AC$501,0))&amp;"","")</f>
        <v/>
      </c>
      <c r="S263" s="21" t="str">
        <f aca="false">IFERROR(INDEX(종합!S$3:S$501,MATCH(ROW()-2,종합!$AC$3:$AC$501,0))&amp;"","")</f>
        <v/>
      </c>
      <c r="T263" s="21" t="str">
        <f aca="false">IFERROR(INDEX(종합!T$3:T$501,MATCH(ROW()-2,종합!$AC$3:$AC$501,0))&amp;"","")</f>
        <v/>
      </c>
      <c r="U263" s="21" t="str">
        <f aca="false">IFERROR(INDEX(종합!U$3:U$501,MATCH(ROW()-2,종합!$AC$3:$AC$501,0))&amp;"","")</f>
        <v/>
      </c>
      <c r="V263" s="21" t="str">
        <f aca="false">IFERROR(INDEX(종합!V$3:V$501,MATCH(ROW()-2,종합!$AC$3:$AC$501,0))&amp;"","")</f>
        <v/>
      </c>
      <c r="W263" s="21" t="str">
        <f aca="false">IFERROR(INDEX(종합!W$3:W$501,MATCH(ROW()-2,종합!$AC$3:$AC$501,0))&amp;"","")</f>
        <v/>
      </c>
      <c r="X263" s="21" t="str">
        <f aca="false">IFERROR(INDEX(종합!X$3:X$501,MATCH(ROW()-2,종합!$AC$3:$AC$501,0))&amp;"","")</f>
        <v/>
      </c>
      <c r="Y263" s="21" t="str">
        <f aca="false">IFERROR(INDEX(종합!Y$3:Y$501,MATCH(ROW()-2,종합!$AC$3:$AC$501,0))&amp;"","")</f>
        <v/>
      </c>
      <c r="Z263" s="21" t="str">
        <f aca="false">IFERROR(INDEX(종합!Z$3:Z$501,MATCH(ROW()-2,종합!$AC$3:$AC$501,0))&amp;"","")</f>
        <v/>
      </c>
    </row>
    <row r="264" customFormat="false" ht="16.5" hidden="false" customHeight="true" outlineLevel="0" collapsed="false">
      <c r="A264" s="18" t="str">
        <f aca="false">IF(B264="","",ROW()-2)</f>
        <v/>
      </c>
      <c r="B264" s="18" t="str">
        <f aca="false">IFERROR(INDEX(종합!B$3:B$501,MATCH(ROW()-2,종합!$AC$3:$AC$501,0))&amp;"","")</f>
        <v/>
      </c>
      <c r="C264" s="18" t="str">
        <f aca="false">IFERROR(INDEX(종합!C$3:C$501,MATCH(ROW()-2,종합!$AC$3:$AC$501,0))&amp;"","")</f>
        <v/>
      </c>
      <c r="D264" s="18" t="str">
        <f aca="false">IFERROR(INDEX(종합!D$3:D$501,MATCH(ROW()-2,종합!$AC$3:$AC$501,0))&amp;"","")</f>
        <v/>
      </c>
      <c r="E264" s="18" t="str">
        <f aca="false">IFERROR(INDEX(종합!E$3:E$501,MATCH(ROW()-2,종합!$AC$3:$AC$501,0))&amp;"","")</f>
        <v/>
      </c>
      <c r="F264" s="18" t="str">
        <f aca="false">IFERROR(INDEX(종합!F$3:F$501,MATCH(ROW()-2,종합!$AC$3:$AC$501,0))&amp;"","")</f>
        <v/>
      </c>
      <c r="G264" s="18" t="str">
        <f aca="false">IFERROR(INDEX(종합!G$3:G$501,MATCH(ROW()-2,종합!$AC$3:$AC$501,0))&amp;"","")</f>
        <v/>
      </c>
      <c r="H264" s="21" t="str">
        <f aca="false">IFERROR(INDEX(종합!H$3:H$501,MATCH(ROW()-2,종합!$AC$3:$AC$501,0))&amp;"","")</f>
        <v/>
      </c>
      <c r="I264" s="21" t="str">
        <f aca="false">IFERROR(INDEX(종합!I$3:I$501,MATCH(ROW()-2,종합!$AC$3:$AC$501,0))&amp;"","")</f>
        <v/>
      </c>
      <c r="J264" s="21" t="str">
        <f aca="false">IFERROR(INDEX(종합!J$3:J$501,MATCH(ROW()-2,종합!$AC$3:$AC$501,0))&amp;"","")</f>
        <v/>
      </c>
      <c r="K264" s="21" t="str">
        <f aca="false">IFERROR(INDEX(종합!K$3:K$501,MATCH(ROW()-2,종합!$AC$3:$AC$501,0))&amp;"","")</f>
        <v/>
      </c>
      <c r="L264" s="21" t="str">
        <f aca="false">IFERROR(INDEX(종합!L$3:L$501,MATCH(ROW()-2,종합!$AC$3:$AC$501,0))&amp;"","")</f>
        <v/>
      </c>
      <c r="M264" s="21" t="str">
        <f aca="false">IFERROR(INDEX(종합!M$3:M$501,MATCH(ROW()-2,종합!$AC$3:$AC$501,0))&amp;"","")</f>
        <v/>
      </c>
      <c r="N264" s="25" t="str">
        <f aca="false">IFERROR(INDEX(종합!N$3:N$501,MATCH(ROW()-2,종합!$AC$3:$AC$501,0))&amp;"","")</f>
        <v/>
      </c>
      <c r="O264" s="21" t="str">
        <f aca="false">IFERROR(INDEX(종합!O$3:O$501,MATCH(ROW()-2,종합!$AC$3:$AC$501,0))&amp;"","")</f>
        <v/>
      </c>
      <c r="P264" s="21" t="str">
        <f aca="false">IFERROR(INDEX(종합!P$3:P$501,MATCH(ROW()-2,종합!$AC$3:$AC$501,0))&amp;"","")</f>
        <v/>
      </c>
      <c r="Q264" s="21" t="str">
        <f aca="false">IFERROR(INDEX(종합!Q$3:Q$501,MATCH(ROW()-2,종합!$AC$3:$AC$501,0))&amp;"","")</f>
        <v/>
      </c>
      <c r="R264" s="21" t="str">
        <f aca="false">IFERROR(INDEX(종합!R$3:R$501,MATCH(ROW()-2,종합!$AC$3:$AC$501,0))&amp;"","")</f>
        <v/>
      </c>
      <c r="S264" s="21" t="str">
        <f aca="false">IFERROR(INDEX(종합!S$3:S$501,MATCH(ROW()-2,종합!$AC$3:$AC$501,0))&amp;"","")</f>
        <v/>
      </c>
      <c r="T264" s="21" t="str">
        <f aca="false">IFERROR(INDEX(종합!T$3:T$501,MATCH(ROW()-2,종합!$AC$3:$AC$501,0))&amp;"","")</f>
        <v/>
      </c>
      <c r="U264" s="21" t="str">
        <f aca="false">IFERROR(INDEX(종합!U$3:U$501,MATCH(ROW()-2,종합!$AC$3:$AC$501,0))&amp;"","")</f>
        <v/>
      </c>
      <c r="V264" s="21" t="str">
        <f aca="false">IFERROR(INDEX(종합!V$3:V$501,MATCH(ROW()-2,종합!$AC$3:$AC$501,0))&amp;"","")</f>
        <v/>
      </c>
      <c r="W264" s="21" t="str">
        <f aca="false">IFERROR(INDEX(종합!W$3:W$501,MATCH(ROW()-2,종합!$AC$3:$AC$501,0))&amp;"","")</f>
        <v/>
      </c>
      <c r="X264" s="21" t="str">
        <f aca="false">IFERROR(INDEX(종합!X$3:X$501,MATCH(ROW()-2,종합!$AC$3:$AC$501,0))&amp;"","")</f>
        <v/>
      </c>
      <c r="Y264" s="21" t="str">
        <f aca="false">IFERROR(INDEX(종합!Y$3:Y$501,MATCH(ROW()-2,종합!$AC$3:$AC$501,0))&amp;"","")</f>
        <v/>
      </c>
      <c r="Z264" s="21" t="str">
        <f aca="false">IFERROR(INDEX(종합!Z$3:Z$501,MATCH(ROW()-2,종합!$AC$3:$AC$501,0))&amp;"","")</f>
        <v/>
      </c>
    </row>
    <row r="265" customFormat="false" ht="16.5" hidden="false" customHeight="true" outlineLevel="0" collapsed="false">
      <c r="A265" s="18" t="str">
        <f aca="false">IF(B265="","",ROW()-2)</f>
        <v/>
      </c>
      <c r="B265" s="18" t="str">
        <f aca="false">IFERROR(INDEX(종합!B$3:B$501,MATCH(ROW()-2,종합!$AC$3:$AC$501,0))&amp;"","")</f>
        <v/>
      </c>
      <c r="C265" s="18" t="str">
        <f aca="false">IFERROR(INDEX(종합!C$3:C$501,MATCH(ROW()-2,종합!$AC$3:$AC$501,0))&amp;"","")</f>
        <v/>
      </c>
      <c r="D265" s="18" t="str">
        <f aca="false">IFERROR(INDEX(종합!D$3:D$501,MATCH(ROW()-2,종합!$AC$3:$AC$501,0))&amp;"","")</f>
        <v/>
      </c>
      <c r="E265" s="18" t="str">
        <f aca="false">IFERROR(INDEX(종합!E$3:E$501,MATCH(ROW()-2,종합!$AC$3:$AC$501,0))&amp;"","")</f>
        <v/>
      </c>
      <c r="F265" s="18" t="str">
        <f aca="false">IFERROR(INDEX(종합!F$3:F$501,MATCH(ROW()-2,종합!$AC$3:$AC$501,0))&amp;"","")</f>
        <v/>
      </c>
      <c r="G265" s="18" t="str">
        <f aca="false">IFERROR(INDEX(종합!G$3:G$501,MATCH(ROW()-2,종합!$AC$3:$AC$501,0))&amp;"","")</f>
        <v/>
      </c>
      <c r="H265" s="21" t="str">
        <f aca="false">IFERROR(INDEX(종합!H$3:H$501,MATCH(ROW()-2,종합!$AC$3:$AC$501,0))&amp;"","")</f>
        <v/>
      </c>
      <c r="I265" s="21" t="str">
        <f aca="false">IFERROR(INDEX(종합!I$3:I$501,MATCH(ROW()-2,종합!$AC$3:$AC$501,0))&amp;"","")</f>
        <v/>
      </c>
      <c r="J265" s="21" t="str">
        <f aca="false">IFERROR(INDEX(종합!J$3:J$501,MATCH(ROW()-2,종합!$AC$3:$AC$501,0))&amp;"","")</f>
        <v/>
      </c>
      <c r="K265" s="21" t="str">
        <f aca="false">IFERROR(INDEX(종합!K$3:K$501,MATCH(ROW()-2,종합!$AC$3:$AC$501,0))&amp;"","")</f>
        <v/>
      </c>
      <c r="L265" s="21" t="str">
        <f aca="false">IFERROR(INDEX(종합!L$3:L$501,MATCH(ROW()-2,종합!$AC$3:$AC$501,0))&amp;"","")</f>
        <v/>
      </c>
      <c r="M265" s="21" t="str">
        <f aca="false">IFERROR(INDEX(종합!M$3:M$501,MATCH(ROW()-2,종합!$AC$3:$AC$501,0))&amp;"","")</f>
        <v/>
      </c>
      <c r="N265" s="25" t="str">
        <f aca="false">IFERROR(INDEX(종합!N$3:N$501,MATCH(ROW()-2,종합!$AC$3:$AC$501,0))&amp;"","")</f>
        <v/>
      </c>
      <c r="O265" s="21" t="str">
        <f aca="false">IFERROR(INDEX(종합!O$3:O$501,MATCH(ROW()-2,종합!$AC$3:$AC$501,0))&amp;"","")</f>
        <v/>
      </c>
      <c r="P265" s="21" t="str">
        <f aca="false">IFERROR(INDEX(종합!P$3:P$501,MATCH(ROW()-2,종합!$AC$3:$AC$501,0))&amp;"","")</f>
        <v/>
      </c>
      <c r="Q265" s="21" t="str">
        <f aca="false">IFERROR(INDEX(종합!Q$3:Q$501,MATCH(ROW()-2,종합!$AC$3:$AC$501,0))&amp;"","")</f>
        <v/>
      </c>
      <c r="R265" s="21" t="str">
        <f aca="false">IFERROR(INDEX(종합!R$3:R$501,MATCH(ROW()-2,종합!$AC$3:$AC$501,0))&amp;"","")</f>
        <v/>
      </c>
      <c r="S265" s="21" t="str">
        <f aca="false">IFERROR(INDEX(종합!S$3:S$501,MATCH(ROW()-2,종합!$AC$3:$AC$501,0))&amp;"","")</f>
        <v/>
      </c>
      <c r="T265" s="21" t="str">
        <f aca="false">IFERROR(INDEX(종합!T$3:T$501,MATCH(ROW()-2,종합!$AC$3:$AC$501,0))&amp;"","")</f>
        <v/>
      </c>
      <c r="U265" s="21" t="str">
        <f aca="false">IFERROR(INDEX(종합!U$3:U$501,MATCH(ROW()-2,종합!$AC$3:$AC$501,0))&amp;"","")</f>
        <v/>
      </c>
      <c r="V265" s="21" t="str">
        <f aca="false">IFERROR(INDEX(종합!V$3:V$501,MATCH(ROW()-2,종합!$AC$3:$AC$501,0))&amp;"","")</f>
        <v/>
      </c>
      <c r="W265" s="21" t="str">
        <f aca="false">IFERROR(INDEX(종합!W$3:W$501,MATCH(ROW()-2,종합!$AC$3:$AC$501,0))&amp;"","")</f>
        <v/>
      </c>
      <c r="X265" s="21" t="str">
        <f aca="false">IFERROR(INDEX(종합!X$3:X$501,MATCH(ROW()-2,종합!$AC$3:$AC$501,0))&amp;"","")</f>
        <v/>
      </c>
      <c r="Y265" s="21" t="str">
        <f aca="false">IFERROR(INDEX(종합!Y$3:Y$501,MATCH(ROW()-2,종합!$AC$3:$AC$501,0))&amp;"","")</f>
        <v/>
      </c>
      <c r="Z265" s="21" t="str">
        <f aca="false">IFERROR(INDEX(종합!Z$3:Z$501,MATCH(ROW()-2,종합!$AC$3:$AC$501,0))&amp;"","")</f>
        <v/>
      </c>
    </row>
    <row r="266" customFormat="false" ht="16.5" hidden="false" customHeight="true" outlineLevel="0" collapsed="false">
      <c r="A266" s="18" t="str">
        <f aca="false">IF(B266="","",ROW()-2)</f>
        <v/>
      </c>
      <c r="B266" s="18" t="str">
        <f aca="false">IFERROR(INDEX(종합!B$3:B$501,MATCH(ROW()-2,종합!$AC$3:$AC$501,0))&amp;"","")</f>
        <v/>
      </c>
      <c r="C266" s="18" t="str">
        <f aca="false">IFERROR(INDEX(종합!C$3:C$501,MATCH(ROW()-2,종합!$AC$3:$AC$501,0))&amp;"","")</f>
        <v/>
      </c>
      <c r="D266" s="18" t="str">
        <f aca="false">IFERROR(INDEX(종합!D$3:D$501,MATCH(ROW()-2,종합!$AC$3:$AC$501,0))&amp;"","")</f>
        <v/>
      </c>
      <c r="E266" s="18" t="str">
        <f aca="false">IFERROR(INDEX(종합!E$3:E$501,MATCH(ROW()-2,종합!$AC$3:$AC$501,0))&amp;"","")</f>
        <v/>
      </c>
      <c r="F266" s="18" t="str">
        <f aca="false">IFERROR(INDEX(종합!F$3:F$501,MATCH(ROW()-2,종합!$AC$3:$AC$501,0))&amp;"","")</f>
        <v/>
      </c>
      <c r="G266" s="18" t="str">
        <f aca="false">IFERROR(INDEX(종합!G$3:G$501,MATCH(ROW()-2,종합!$AC$3:$AC$501,0))&amp;"","")</f>
        <v/>
      </c>
      <c r="H266" s="21" t="str">
        <f aca="false">IFERROR(INDEX(종합!H$3:H$501,MATCH(ROW()-2,종합!$AC$3:$AC$501,0))&amp;"","")</f>
        <v/>
      </c>
      <c r="I266" s="21" t="str">
        <f aca="false">IFERROR(INDEX(종합!I$3:I$501,MATCH(ROW()-2,종합!$AC$3:$AC$501,0))&amp;"","")</f>
        <v/>
      </c>
      <c r="J266" s="21" t="str">
        <f aca="false">IFERROR(INDEX(종합!J$3:J$501,MATCH(ROW()-2,종합!$AC$3:$AC$501,0))&amp;"","")</f>
        <v/>
      </c>
      <c r="K266" s="21" t="str">
        <f aca="false">IFERROR(INDEX(종합!K$3:K$501,MATCH(ROW()-2,종합!$AC$3:$AC$501,0))&amp;"","")</f>
        <v/>
      </c>
      <c r="L266" s="21" t="str">
        <f aca="false">IFERROR(INDEX(종합!L$3:L$501,MATCH(ROW()-2,종합!$AC$3:$AC$501,0))&amp;"","")</f>
        <v/>
      </c>
      <c r="M266" s="21" t="str">
        <f aca="false">IFERROR(INDEX(종합!M$3:M$501,MATCH(ROW()-2,종합!$AC$3:$AC$501,0))&amp;"","")</f>
        <v/>
      </c>
      <c r="N266" s="25" t="str">
        <f aca="false">IFERROR(INDEX(종합!N$3:N$501,MATCH(ROW()-2,종합!$AC$3:$AC$501,0))&amp;"","")</f>
        <v/>
      </c>
      <c r="O266" s="21" t="str">
        <f aca="false">IFERROR(INDEX(종합!O$3:O$501,MATCH(ROW()-2,종합!$AC$3:$AC$501,0))&amp;"","")</f>
        <v/>
      </c>
      <c r="P266" s="21" t="str">
        <f aca="false">IFERROR(INDEX(종합!P$3:P$501,MATCH(ROW()-2,종합!$AC$3:$AC$501,0))&amp;"","")</f>
        <v/>
      </c>
      <c r="Q266" s="21" t="str">
        <f aca="false">IFERROR(INDEX(종합!Q$3:Q$501,MATCH(ROW()-2,종합!$AC$3:$AC$501,0))&amp;"","")</f>
        <v/>
      </c>
      <c r="R266" s="21" t="str">
        <f aca="false">IFERROR(INDEX(종합!R$3:R$501,MATCH(ROW()-2,종합!$AC$3:$AC$501,0))&amp;"","")</f>
        <v/>
      </c>
      <c r="S266" s="21" t="str">
        <f aca="false">IFERROR(INDEX(종합!S$3:S$501,MATCH(ROW()-2,종합!$AC$3:$AC$501,0))&amp;"","")</f>
        <v/>
      </c>
      <c r="T266" s="21" t="str">
        <f aca="false">IFERROR(INDEX(종합!T$3:T$501,MATCH(ROW()-2,종합!$AC$3:$AC$501,0))&amp;"","")</f>
        <v/>
      </c>
      <c r="U266" s="21" t="str">
        <f aca="false">IFERROR(INDEX(종합!U$3:U$501,MATCH(ROW()-2,종합!$AC$3:$AC$501,0))&amp;"","")</f>
        <v/>
      </c>
      <c r="V266" s="21" t="str">
        <f aca="false">IFERROR(INDEX(종합!V$3:V$501,MATCH(ROW()-2,종합!$AC$3:$AC$501,0))&amp;"","")</f>
        <v/>
      </c>
      <c r="W266" s="21" t="str">
        <f aca="false">IFERROR(INDEX(종합!W$3:W$501,MATCH(ROW()-2,종합!$AC$3:$AC$501,0))&amp;"","")</f>
        <v/>
      </c>
      <c r="X266" s="21" t="str">
        <f aca="false">IFERROR(INDEX(종합!X$3:X$501,MATCH(ROW()-2,종합!$AC$3:$AC$501,0))&amp;"","")</f>
        <v/>
      </c>
      <c r="Y266" s="21" t="str">
        <f aca="false">IFERROR(INDEX(종합!Y$3:Y$501,MATCH(ROW()-2,종합!$AC$3:$AC$501,0))&amp;"","")</f>
        <v/>
      </c>
      <c r="Z266" s="21" t="str">
        <f aca="false">IFERROR(INDEX(종합!Z$3:Z$501,MATCH(ROW()-2,종합!$AC$3:$AC$501,0))&amp;"","")</f>
        <v/>
      </c>
    </row>
    <row r="267" customFormat="false" ht="16.5" hidden="false" customHeight="true" outlineLevel="0" collapsed="false">
      <c r="A267" s="18" t="str">
        <f aca="false">IF(B267="","",ROW()-2)</f>
        <v/>
      </c>
      <c r="B267" s="18" t="str">
        <f aca="false">IFERROR(INDEX(종합!B$3:B$501,MATCH(ROW()-2,종합!$AC$3:$AC$501,0))&amp;"","")</f>
        <v/>
      </c>
      <c r="C267" s="18" t="str">
        <f aca="false">IFERROR(INDEX(종합!C$3:C$501,MATCH(ROW()-2,종합!$AC$3:$AC$501,0))&amp;"","")</f>
        <v/>
      </c>
      <c r="D267" s="18" t="str">
        <f aca="false">IFERROR(INDEX(종합!D$3:D$501,MATCH(ROW()-2,종합!$AC$3:$AC$501,0))&amp;"","")</f>
        <v/>
      </c>
      <c r="E267" s="18" t="str">
        <f aca="false">IFERROR(INDEX(종합!E$3:E$501,MATCH(ROW()-2,종합!$AC$3:$AC$501,0))&amp;"","")</f>
        <v/>
      </c>
      <c r="F267" s="18" t="str">
        <f aca="false">IFERROR(INDEX(종합!F$3:F$501,MATCH(ROW()-2,종합!$AC$3:$AC$501,0))&amp;"","")</f>
        <v/>
      </c>
      <c r="G267" s="18" t="str">
        <f aca="false">IFERROR(INDEX(종합!G$3:G$501,MATCH(ROW()-2,종합!$AC$3:$AC$501,0))&amp;"","")</f>
        <v/>
      </c>
      <c r="H267" s="21" t="str">
        <f aca="false">IFERROR(INDEX(종합!H$3:H$501,MATCH(ROW()-2,종합!$AC$3:$AC$501,0))&amp;"","")</f>
        <v/>
      </c>
      <c r="I267" s="21" t="str">
        <f aca="false">IFERROR(INDEX(종합!I$3:I$501,MATCH(ROW()-2,종합!$AC$3:$AC$501,0))&amp;"","")</f>
        <v/>
      </c>
      <c r="J267" s="21" t="str">
        <f aca="false">IFERROR(INDEX(종합!J$3:J$501,MATCH(ROW()-2,종합!$AC$3:$AC$501,0))&amp;"","")</f>
        <v/>
      </c>
      <c r="K267" s="21" t="str">
        <f aca="false">IFERROR(INDEX(종합!K$3:K$501,MATCH(ROW()-2,종합!$AC$3:$AC$501,0))&amp;"","")</f>
        <v/>
      </c>
      <c r="L267" s="21" t="str">
        <f aca="false">IFERROR(INDEX(종합!L$3:L$501,MATCH(ROW()-2,종합!$AC$3:$AC$501,0))&amp;"","")</f>
        <v/>
      </c>
      <c r="M267" s="21" t="str">
        <f aca="false">IFERROR(INDEX(종합!M$3:M$501,MATCH(ROW()-2,종합!$AC$3:$AC$501,0))&amp;"","")</f>
        <v/>
      </c>
      <c r="N267" s="25" t="str">
        <f aca="false">IFERROR(INDEX(종합!N$3:N$501,MATCH(ROW()-2,종합!$AC$3:$AC$501,0))&amp;"","")</f>
        <v/>
      </c>
      <c r="O267" s="21" t="str">
        <f aca="false">IFERROR(INDEX(종합!O$3:O$501,MATCH(ROW()-2,종합!$AC$3:$AC$501,0))&amp;"","")</f>
        <v/>
      </c>
      <c r="P267" s="21" t="str">
        <f aca="false">IFERROR(INDEX(종합!P$3:P$501,MATCH(ROW()-2,종합!$AC$3:$AC$501,0))&amp;"","")</f>
        <v/>
      </c>
      <c r="Q267" s="21" t="str">
        <f aca="false">IFERROR(INDEX(종합!Q$3:Q$501,MATCH(ROW()-2,종합!$AC$3:$AC$501,0))&amp;"","")</f>
        <v/>
      </c>
      <c r="R267" s="21" t="str">
        <f aca="false">IFERROR(INDEX(종합!R$3:R$501,MATCH(ROW()-2,종합!$AC$3:$AC$501,0))&amp;"","")</f>
        <v/>
      </c>
      <c r="S267" s="21" t="str">
        <f aca="false">IFERROR(INDEX(종합!S$3:S$501,MATCH(ROW()-2,종합!$AC$3:$AC$501,0))&amp;"","")</f>
        <v/>
      </c>
      <c r="T267" s="21" t="str">
        <f aca="false">IFERROR(INDEX(종합!T$3:T$501,MATCH(ROW()-2,종합!$AC$3:$AC$501,0))&amp;"","")</f>
        <v/>
      </c>
      <c r="U267" s="21" t="str">
        <f aca="false">IFERROR(INDEX(종합!U$3:U$501,MATCH(ROW()-2,종합!$AC$3:$AC$501,0))&amp;"","")</f>
        <v/>
      </c>
      <c r="V267" s="21" t="str">
        <f aca="false">IFERROR(INDEX(종합!V$3:V$501,MATCH(ROW()-2,종합!$AC$3:$AC$501,0))&amp;"","")</f>
        <v/>
      </c>
      <c r="W267" s="21" t="str">
        <f aca="false">IFERROR(INDEX(종합!W$3:W$501,MATCH(ROW()-2,종합!$AC$3:$AC$501,0))&amp;"","")</f>
        <v/>
      </c>
      <c r="X267" s="21" t="str">
        <f aca="false">IFERROR(INDEX(종합!X$3:X$501,MATCH(ROW()-2,종합!$AC$3:$AC$501,0))&amp;"","")</f>
        <v/>
      </c>
      <c r="Y267" s="21" t="str">
        <f aca="false">IFERROR(INDEX(종합!Y$3:Y$501,MATCH(ROW()-2,종합!$AC$3:$AC$501,0))&amp;"","")</f>
        <v/>
      </c>
      <c r="Z267" s="21" t="str">
        <f aca="false">IFERROR(INDEX(종합!Z$3:Z$501,MATCH(ROW()-2,종합!$AC$3:$AC$501,0))&amp;"","")</f>
        <v/>
      </c>
    </row>
    <row r="268" customFormat="false" ht="16.5" hidden="false" customHeight="true" outlineLevel="0" collapsed="false">
      <c r="A268" s="18" t="str">
        <f aca="false">IF(B268="","",ROW()-2)</f>
        <v/>
      </c>
      <c r="B268" s="18" t="str">
        <f aca="false">IFERROR(INDEX(종합!B$3:B$501,MATCH(ROW()-2,종합!$AC$3:$AC$501,0))&amp;"","")</f>
        <v/>
      </c>
      <c r="C268" s="18" t="str">
        <f aca="false">IFERROR(INDEX(종합!C$3:C$501,MATCH(ROW()-2,종합!$AC$3:$AC$501,0))&amp;"","")</f>
        <v/>
      </c>
      <c r="D268" s="18" t="str">
        <f aca="false">IFERROR(INDEX(종합!D$3:D$501,MATCH(ROW()-2,종합!$AC$3:$AC$501,0))&amp;"","")</f>
        <v/>
      </c>
      <c r="E268" s="18" t="str">
        <f aca="false">IFERROR(INDEX(종합!E$3:E$501,MATCH(ROW()-2,종합!$AC$3:$AC$501,0))&amp;"","")</f>
        <v/>
      </c>
      <c r="F268" s="18" t="str">
        <f aca="false">IFERROR(INDEX(종합!F$3:F$501,MATCH(ROW()-2,종합!$AC$3:$AC$501,0))&amp;"","")</f>
        <v/>
      </c>
      <c r="G268" s="18" t="str">
        <f aca="false">IFERROR(INDEX(종합!G$3:G$501,MATCH(ROW()-2,종합!$AC$3:$AC$501,0))&amp;"","")</f>
        <v/>
      </c>
      <c r="H268" s="21" t="str">
        <f aca="false">IFERROR(INDEX(종합!H$3:H$501,MATCH(ROW()-2,종합!$AC$3:$AC$501,0))&amp;"","")</f>
        <v/>
      </c>
      <c r="I268" s="21" t="str">
        <f aca="false">IFERROR(INDEX(종합!I$3:I$501,MATCH(ROW()-2,종합!$AC$3:$AC$501,0))&amp;"","")</f>
        <v/>
      </c>
      <c r="J268" s="21" t="str">
        <f aca="false">IFERROR(INDEX(종합!J$3:J$501,MATCH(ROW()-2,종합!$AC$3:$AC$501,0))&amp;"","")</f>
        <v/>
      </c>
      <c r="K268" s="21" t="str">
        <f aca="false">IFERROR(INDEX(종합!K$3:K$501,MATCH(ROW()-2,종합!$AC$3:$AC$501,0))&amp;"","")</f>
        <v/>
      </c>
      <c r="L268" s="21" t="str">
        <f aca="false">IFERROR(INDEX(종합!L$3:L$501,MATCH(ROW()-2,종합!$AC$3:$AC$501,0))&amp;"","")</f>
        <v/>
      </c>
      <c r="M268" s="21" t="str">
        <f aca="false">IFERROR(INDEX(종합!M$3:M$501,MATCH(ROW()-2,종합!$AC$3:$AC$501,0))&amp;"","")</f>
        <v/>
      </c>
      <c r="N268" s="25" t="str">
        <f aca="false">IFERROR(INDEX(종합!N$3:N$501,MATCH(ROW()-2,종합!$AC$3:$AC$501,0))&amp;"","")</f>
        <v/>
      </c>
      <c r="O268" s="21" t="str">
        <f aca="false">IFERROR(INDEX(종합!O$3:O$501,MATCH(ROW()-2,종합!$AC$3:$AC$501,0))&amp;"","")</f>
        <v/>
      </c>
      <c r="P268" s="21" t="str">
        <f aca="false">IFERROR(INDEX(종합!P$3:P$501,MATCH(ROW()-2,종합!$AC$3:$AC$501,0))&amp;"","")</f>
        <v/>
      </c>
      <c r="Q268" s="21" t="str">
        <f aca="false">IFERROR(INDEX(종합!Q$3:Q$501,MATCH(ROW()-2,종합!$AC$3:$AC$501,0))&amp;"","")</f>
        <v/>
      </c>
      <c r="R268" s="21" t="str">
        <f aca="false">IFERROR(INDEX(종합!R$3:R$501,MATCH(ROW()-2,종합!$AC$3:$AC$501,0))&amp;"","")</f>
        <v/>
      </c>
      <c r="S268" s="21" t="str">
        <f aca="false">IFERROR(INDEX(종합!S$3:S$501,MATCH(ROW()-2,종합!$AC$3:$AC$501,0))&amp;"","")</f>
        <v/>
      </c>
      <c r="T268" s="21" t="str">
        <f aca="false">IFERROR(INDEX(종합!T$3:T$501,MATCH(ROW()-2,종합!$AC$3:$AC$501,0))&amp;"","")</f>
        <v/>
      </c>
      <c r="U268" s="21" t="str">
        <f aca="false">IFERROR(INDEX(종합!U$3:U$501,MATCH(ROW()-2,종합!$AC$3:$AC$501,0))&amp;"","")</f>
        <v/>
      </c>
      <c r="V268" s="21" t="str">
        <f aca="false">IFERROR(INDEX(종합!V$3:V$501,MATCH(ROW()-2,종합!$AC$3:$AC$501,0))&amp;"","")</f>
        <v/>
      </c>
      <c r="W268" s="21" t="str">
        <f aca="false">IFERROR(INDEX(종합!W$3:W$501,MATCH(ROW()-2,종합!$AC$3:$AC$501,0))&amp;"","")</f>
        <v/>
      </c>
      <c r="X268" s="21" t="str">
        <f aca="false">IFERROR(INDEX(종합!X$3:X$501,MATCH(ROW()-2,종합!$AC$3:$AC$501,0))&amp;"","")</f>
        <v/>
      </c>
      <c r="Y268" s="21" t="str">
        <f aca="false">IFERROR(INDEX(종합!Y$3:Y$501,MATCH(ROW()-2,종합!$AC$3:$AC$501,0))&amp;"","")</f>
        <v/>
      </c>
      <c r="Z268" s="21" t="str">
        <f aca="false">IFERROR(INDEX(종합!Z$3:Z$501,MATCH(ROW()-2,종합!$AC$3:$AC$501,0))&amp;"","")</f>
        <v/>
      </c>
    </row>
    <row r="269" customFormat="false" ht="16.5" hidden="false" customHeight="true" outlineLevel="0" collapsed="false">
      <c r="A269" s="18" t="str">
        <f aca="false">IF(B269="","",ROW()-2)</f>
        <v/>
      </c>
      <c r="B269" s="18" t="str">
        <f aca="false">IFERROR(INDEX(종합!B$3:B$501,MATCH(ROW()-2,종합!$AC$3:$AC$501,0))&amp;"","")</f>
        <v/>
      </c>
      <c r="C269" s="18" t="str">
        <f aca="false">IFERROR(INDEX(종합!C$3:C$501,MATCH(ROW()-2,종합!$AC$3:$AC$501,0))&amp;"","")</f>
        <v/>
      </c>
      <c r="D269" s="18" t="str">
        <f aca="false">IFERROR(INDEX(종합!D$3:D$501,MATCH(ROW()-2,종합!$AC$3:$AC$501,0))&amp;"","")</f>
        <v/>
      </c>
      <c r="E269" s="18" t="str">
        <f aca="false">IFERROR(INDEX(종합!E$3:E$501,MATCH(ROW()-2,종합!$AC$3:$AC$501,0))&amp;"","")</f>
        <v/>
      </c>
      <c r="F269" s="18" t="str">
        <f aca="false">IFERROR(INDEX(종합!F$3:F$501,MATCH(ROW()-2,종합!$AC$3:$AC$501,0))&amp;"","")</f>
        <v/>
      </c>
      <c r="G269" s="18" t="str">
        <f aca="false">IFERROR(INDEX(종합!G$3:G$501,MATCH(ROW()-2,종합!$AC$3:$AC$501,0))&amp;"","")</f>
        <v/>
      </c>
      <c r="H269" s="21" t="str">
        <f aca="false">IFERROR(INDEX(종합!H$3:H$501,MATCH(ROW()-2,종합!$AC$3:$AC$501,0))&amp;"","")</f>
        <v/>
      </c>
      <c r="I269" s="21" t="str">
        <f aca="false">IFERROR(INDEX(종합!I$3:I$501,MATCH(ROW()-2,종합!$AC$3:$AC$501,0))&amp;"","")</f>
        <v/>
      </c>
      <c r="J269" s="21" t="str">
        <f aca="false">IFERROR(INDEX(종합!J$3:J$501,MATCH(ROW()-2,종합!$AC$3:$AC$501,0))&amp;"","")</f>
        <v/>
      </c>
      <c r="K269" s="21" t="str">
        <f aca="false">IFERROR(INDEX(종합!K$3:K$501,MATCH(ROW()-2,종합!$AC$3:$AC$501,0))&amp;"","")</f>
        <v/>
      </c>
      <c r="L269" s="21" t="str">
        <f aca="false">IFERROR(INDEX(종합!L$3:L$501,MATCH(ROW()-2,종합!$AC$3:$AC$501,0))&amp;"","")</f>
        <v/>
      </c>
      <c r="M269" s="21" t="str">
        <f aca="false">IFERROR(INDEX(종합!M$3:M$501,MATCH(ROW()-2,종합!$AC$3:$AC$501,0))&amp;"","")</f>
        <v/>
      </c>
      <c r="N269" s="25" t="str">
        <f aca="false">IFERROR(INDEX(종합!N$3:N$501,MATCH(ROW()-2,종합!$AC$3:$AC$501,0))&amp;"","")</f>
        <v/>
      </c>
      <c r="O269" s="21" t="str">
        <f aca="false">IFERROR(INDEX(종합!O$3:O$501,MATCH(ROW()-2,종합!$AC$3:$AC$501,0))&amp;"","")</f>
        <v/>
      </c>
      <c r="P269" s="21" t="str">
        <f aca="false">IFERROR(INDEX(종합!P$3:P$501,MATCH(ROW()-2,종합!$AC$3:$AC$501,0))&amp;"","")</f>
        <v/>
      </c>
      <c r="Q269" s="21" t="str">
        <f aca="false">IFERROR(INDEX(종합!Q$3:Q$501,MATCH(ROW()-2,종합!$AC$3:$AC$501,0))&amp;"","")</f>
        <v/>
      </c>
      <c r="R269" s="21" t="str">
        <f aca="false">IFERROR(INDEX(종합!R$3:R$501,MATCH(ROW()-2,종합!$AC$3:$AC$501,0))&amp;"","")</f>
        <v/>
      </c>
      <c r="S269" s="21" t="str">
        <f aca="false">IFERROR(INDEX(종합!S$3:S$501,MATCH(ROW()-2,종합!$AC$3:$AC$501,0))&amp;"","")</f>
        <v/>
      </c>
      <c r="T269" s="21" t="str">
        <f aca="false">IFERROR(INDEX(종합!T$3:T$501,MATCH(ROW()-2,종합!$AC$3:$AC$501,0))&amp;"","")</f>
        <v/>
      </c>
      <c r="U269" s="21" t="str">
        <f aca="false">IFERROR(INDEX(종합!U$3:U$501,MATCH(ROW()-2,종합!$AC$3:$AC$501,0))&amp;"","")</f>
        <v/>
      </c>
      <c r="V269" s="21" t="str">
        <f aca="false">IFERROR(INDEX(종합!V$3:V$501,MATCH(ROW()-2,종합!$AC$3:$AC$501,0))&amp;"","")</f>
        <v/>
      </c>
      <c r="W269" s="21" t="str">
        <f aca="false">IFERROR(INDEX(종합!W$3:W$501,MATCH(ROW()-2,종합!$AC$3:$AC$501,0))&amp;"","")</f>
        <v/>
      </c>
      <c r="X269" s="21" t="str">
        <f aca="false">IFERROR(INDEX(종합!X$3:X$501,MATCH(ROW()-2,종합!$AC$3:$AC$501,0))&amp;"","")</f>
        <v/>
      </c>
      <c r="Y269" s="21" t="str">
        <f aca="false">IFERROR(INDEX(종합!Y$3:Y$501,MATCH(ROW()-2,종합!$AC$3:$AC$501,0))&amp;"","")</f>
        <v/>
      </c>
      <c r="Z269" s="21" t="str">
        <f aca="false">IFERROR(INDEX(종합!Z$3:Z$501,MATCH(ROW()-2,종합!$AC$3:$AC$501,0))&amp;"","")</f>
        <v/>
      </c>
    </row>
    <row r="270" customFormat="false" ht="16.5" hidden="false" customHeight="true" outlineLevel="0" collapsed="false">
      <c r="A270" s="18" t="str">
        <f aca="false">IF(B270="","",ROW()-2)</f>
        <v/>
      </c>
      <c r="B270" s="18" t="str">
        <f aca="false">IFERROR(INDEX(종합!B$3:B$501,MATCH(ROW()-2,종합!$AC$3:$AC$501,0))&amp;"","")</f>
        <v/>
      </c>
      <c r="C270" s="18" t="str">
        <f aca="false">IFERROR(INDEX(종합!C$3:C$501,MATCH(ROW()-2,종합!$AC$3:$AC$501,0))&amp;"","")</f>
        <v/>
      </c>
      <c r="D270" s="18" t="str">
        <f aca="false">IFERROR(INDEX(종합!D$3:D$501,MATCH(ROW()-2,종합!$AC$3:$AC$501,0))&amp;"","")</f>
        <v/>
      </c>
      <c r="E270" s="18" t="str">
        <f aca="false">IFERROR(INDEX(종합!E$3:E$501,MATCH(ROW()-2,종합!$AC$3:$AC$501,0))&amp;"","")</f>
        <v/>
      </c>
      <c r="F270" s="18" t="str">
        <f aca="false">IFERROR(INDEX(종합!F$3:F$501,MATCH(ROW()-2,종합!$AC$3:$AC$501,0))&amp;"","")</f>
        <v/>
      </c>
      <c r="G270" s="18" t="str">
        <f aca="false">IFERROR(INDEX(종합!G$3:G$501,MATCH(ROW()-2,종합!$AC$3:$AC$501,0))&amp;"","")</f>
        <v/>
      </c>
      <c r="H270" s="21" t="str">
        <f aca="false">IFERROR(INDEX(종합!H$3:H$501,MATCH(ROW()-2,종합!$AC$3:$AC$501,0))&amp;"","")</f>
        <v/>
      </c>
      <c r="I270" s="21" t="str">
        <f aca="false">IFERROR(INDEX(종합!I$3:I$501,MATCH(ROW()-2,종합!$AC$3:$AC$501,0))&amp;"","")</f>
        <v/>
      </c>
      <c r="J270" s="21" t="str">
        <f aca="false">IFERROR(INDEX(종합!J$3:J$501,MATCH(ROW()-2,종합!$AC$3:$AC$501,0))&amp;"","")</f>
        <v/>
      </c>
      <c r="K270" s="21" t="str">
        <f aca="false">IFERROR(INDEX(종합!K$3:K$501,MATCH(ROW()-2,종합!$AC$3:$AC$501,0))&amp;"","")</f>
        <v/>
      </c>
      <c r="L270" s="21" t="str">
        <f aca="false">IFERROR(INDEX(종합!L$3:L$501,MATCH(ROW()-2,종합!$AC$3:$AC$501,0))&amp;"","")</f>
        <v/>
      </c>
      <c r="M270" s="21" t="str">
        <f aca="false">IFERROR(INDEX(종합!M$3:M$501,MATCH(ROW()-2,종합!$AC$3:$AC$501,0))&amp;"","")</f>
        <v/>
      </c>
      <c r="N270" s="25" t="str">
        <f aca="false">IFERROR(INDEX(종합!N$3:N$501,MATCH(ROW()-2,종합!$AC$3:$AC$501,0))&amp;"","")</f>
        <v/>
      </c>
      <c r="O270" s="21" t="str">
        <f aca="false">IFERROR(INDEX(종합!O$3:O$501,MATCH(ROW()-2,종합!$AC$3:$AC$501,0))&amp;"","")</f>
        <v/>
      </c>
      <c r="P270" s="21" t="str">
        <f aca="false">IFERROR(INDEX(종합!P$3:P$501,MATCH(ROW()-2,종합!$AC$3:$AC$501,0))&amp;"","")</f>
        <v/>
      </c>
      <c r="Q270" s="21" t="str">
        <f aca="false">IFERROR(INDEX(종합!Q$3:Q$501,MATCH(ROW()-2,종합!$AC$3:$AC$501,0))&amp;"","")</f>
        <v/>
      </c>
      <c r="R270" s="21" t="str">
        <f aca="false">IFERROR(INDEX(종합!R$3:R$501,MATCH(ROW()-2,종합!$AC$3:$AC$501,0))&amp;"","")</f>
        <v/>
      </c>
      <c r="S270" s="21" t="str">
        <f aca="false">IFERROR(INDEX(종합!S$3:S$501,MATCH(ROW()-2,종합!$AC$3:$AC$501,0))&amp;"","")</f>
        <v/>
      </c>
      <c r="T270" s="21" t="str">
        <f aca="false">IFERROR(INDEX(종합!T$3:T$501,MATCH(ROW()-2,종합!$AC$3:$AC$501,0))&amp;"","")</f>
        <v/>
      </c>
      <c r="U270" s="21" t="str">
        <f aca="false">IFERROR(INDEX(종합!U$3:U$501,MATCH(ROW()-2,종합!$AC$3:$AC$501,0))&amp;"","")</f>
        <v/>
      </c>
      <c r="V270" s="21" t="str">
        <f aca="false">IFERROR(INDEX(종합!V$3:V$501,MATCH(ROW()-2,종합!$AC$3:$AC$501,0))&amp;"","")</f>
        <v/>
      </c>
      <c r="W270" s="21" t="str">
        <f aca="false">IFERROR(INDEX(종합!W$3:W$501,MATCH(ROW()-2,종합!$AC$3:$AC$501,0))&amp;"","")</f>
        <v/>
      </c>
      <c r="X270" s="21" t="str">
        <f aca="false">IFERROR(INDEX(종합!X$3:X$501,MATCH(ROW()-2,종합!$AC$3:$AC$501,0))&amp;"","")</f>
        <v/>
      </c>
      <c r="Y270" s="21" t="str">
        <f aca="false">IFERROR(INDEX(종합!Y$3:Y$501,MATCH(ROW()-2,종합!$AC$3:$AC$501,0))&amp;"","")</f>
        <v/>
      </c>
      <c r="Z270" s="21" t="str">
        <f aca="false">IFERROR(INDEX(종합!Z$3:Z$501,MATCH(ROW()-2,종합!$AC$3:$AC$501,0))&amp;"","")</f>
        <v/>
      </c>
    </row>
    <row r="271" customFormat="false" ht="16.5" hidden="false" customHeight="true" outlineLevel="0" collapsed="false">
      <c r="A271" s="18" t="str">
        <f aca="false">IF(B271="","",ROW()-2)</f>
        <v/>
      </c>
      <c r="B271" s="18" t="str">
        <f aca="false">IFERROR(INDEX(종합!B$3:B$501,MATCH(ROW()-2,종합!$AC$3:$AC$501,0))&amp;"","")</f>
        <v/>
      </c>
      <c r="C271" s="18" t="str">
        <f aca="false">IFERROR(INDEX(종합!C$3:C$501,MATCH(ROW()-2,종합!$AC$3:$AC$501,0))&amp;"","")</f>
        <v/>
      </c>
      <c r="D271" s="18" t="str">
        <f aca="false">IFERROR(INDEX(종합!D$3:D$501,MATCH(ROW()-2,종합!$AC$3:$AC$501,0))&amp;"","")</f>
        <v/>
      </c>
      <c r="E271" s="18" t="str">
        <f aca="false">IFERROR(INDEX(종합!E$3:E$501,MATCH(ROW()-2,종합!$AC$3:$AC$501,0))&amp;"","")</f>
        <v/>
      </c>
      <c r="F271" s="18" t="str">
        <f aca="false">IFERROR(INDEX(종합!F$3:F$501,MATCH(ROW()-2,종합!$AC$3:$AC$501,0))&amp;"","")</f>
        <v/>
      </c>
      <c r="G271" s="18" t="str">
        <f aca="false">IFERROR(INDEX(종합!G$3:G$501,MATCH(ROW()-2,종합!$AC$3:$AC$501,0))&amp;"","")</f>
        <v/>
      </c>
      <c r="H271" s="21" t="str">
        <f aca="false">IFERROR(INDEX(종합!H$3:H$501,MATCH(ROW()-2,종합!$AC$3:$AC$501,0))&amp;"","")</f>
        <v/>
      </c>
      <c r="I271" s="21" t="str">
        <f aca="false">IFERROR(INDEX(종합!I$3:I$501,MATCH(ROW()-2,종합!$AC$3:$AC$501,0))&amp;"","")</f>
        <v/>
      </c>
      <c r="J271" s="21" t="str">
        <f aca="false">IFERROR(INDEX(종합!J$3:J$501,MATCH(ROW()-2,종합!$AC$3:$AC$501,0))&amp;"","")</f>
        <v/>
      </c>
      <c r="K271" s="21" t="str">
        <f aca="false">IFERROR(INDEX(종합!K$3:K$501,MATCH(ROW()-2,종합!$AC$3:$AC$501,0))&amp;"","")</f>
        <v/>
      </c>
      <c r="L271" s="21" t="str">
        <f aca="false">IFERROR(INDEX(종합!L$3:L$501,MATCH(ROW()-2,종합!$AC$3:$AC$501,0))&amp;"","")</f>
        <v/>
      </c>
      <c r="M271" s="21" t="str">
        <f aca="false">IFERROR(INDEX(종합!M$3:M$501,MATCH(ROW()-2,종합!$AC$3:$AC$501,0))&amp;"","")</f>
        <v/>
      </c>
      <c r="N271" s="25" t="str">
        <f aca="false">IFERROR(INDEX(종합!N$3:N$501,MATCH(ROW()-2,종합!$AC$3:$AC$501,0))&amp;"","")</f>
        <v/>
      </c>
      <c r="O271" s="21" t="str">
        <f aca="false">IFERROR(INDEX(종합!O$3:O$501,MATCH(ROW()-2,종합!$AC$3:$AC$501,0))&amp;"","")</f>
        <v/>
      </c>
      <c r="P271" s="21" t="str">
        <f aca="false">IFERROR(INDEX(종합!P$3:P$501,MATCH(ROW()-2,종합!$AC$3:$AC$501,0))&amp;"","")</f>
        <v/>
      </c>
      <c r="Q271" s="21" t="str">
        <f aca="false">IFERROR(INDEX(종합!Q$3:Q$501,MATCH(ROW()-2,종합!$AC$3:$AC$501,0))&amp;"","")</f>
        <v/>
      </c>
      <c r="R271" s="21" t="str">
        <f aca="false">IFERROR(INDEX(종합!R$3:R$501,MATCH(ROW()-2,종합!$AC$3:$AC$501,0))&amp;"","")</f>
        <v/>
      </c>
      <c r="S271" s="21" t="str">
        <f aca="false">IFERROR(INDEX(종합!S$3:S$501,MATCH(ROW()-2,종합!$AC$3:$AC$501,0))&amp;"","")</f>
        <v/>
      </c>
      <c r="T271" s="21" t="str">
        <f aca="false">IFERROR(INDEX(종합!T$3:T$501,MATCH(ROW()-2,종합!$AC$3:$AC$501,0))&amp;"","")</f>
        <v/>
      </c>
      <c r="U271" s="21" t="str">
        <f aca="false">IFERROR(INDEX(종합!U$3:U$501,MATCH(ROW()-2,종합!$AC$3:$AC$501,0))&amp;"","")</f>
        <v/>
      </c>
      <c r="V271" s="21" t="str">
        <f aca="false">IFERROR(INDEX(종합!V$3:V$501,MATCH(ROW()-2,종합!$AC$3:$AC$501,0))&amp;"","")</f>
        <v/>
      </c>
      <c r="W271" s="21" t="str">
        <f aca="false">IFERROR(INDEX(종합!W$3:W$501,MATCH(ROW()-2,종합!$AC$3:$AC$501,0))&amp;"","")</f>
        <v/>
      </c>
      <c r="X271" s="21" t="str">
        <f aca="false">IFERROR(INDEX(종합!X$3:X$501,MATCH(ROW()-2,종합!$AC$3:$AC$501,0))&amp;"","")</f>
        <v/>
      </c>
      <c r="Y271" s="21" t="str">
        <f aca="false">IFERROR(INDEX(종합!Y$3:Y$501,MATCH(ROW()-2,종합!$AC$3:$AC$501,0))&amp;"","")</f>
        <v/>
      </c>
      <c r="Z271" s="21" t="str">
        <f aca="false">IFERROR(INDEX(종합!Z$3:Z$501,MATCH(ROW()-2,종합!$AC$3:$AC$501,0))&amp;"","")</f>
        <v/>
      </c>
    </row>
    <row r="272" customFormat="false" ht="16.5" hidden="false" customHeight="true" outlineLevel="0" collapsed="false">
      <c r="A272" s="18" t="str">
        <f aca="false">IF(B272="","",ROW()-2)</f>
        <v/>
      </c>
      <c r="B272" s="18" t="str">
        <f aca="false">IFERROR(INDEX(종합!B$3:B$501,MATCH(ROW()-2,종합!$AC$3:$AC$501,0))&amp;"","")</f>
        <v/>
      </c>
      <c r="C272" s="18" t="str">
        <f aca="false">IFERROR(INDEX(종합!C$3:C$501,MATCH(ROW()-2,종합!$AC$3:$AC$501,0))&amp;"","")</f>
        <v/>
      </c>
      <c r="D272" s="18" t="str">
        <f aca="false">IFERROR(INDEX(종합!D$3:D$501,MATCH(ROW()-2,종합!$AC$3:$AC$501,0))&amp;"","")</f>
        <v/>
      </c>
      <c r="E272" s="18" t="str">
        <f aca="false">IFERROR(INDEX(종합!E$3:E$501,MATCH(ROW()-2,종합!$AC$3:$AC$501,0))&amp;"","")</f>
        <v/>
      </c>
      <c r="F272" s="18" t="str">
        <f aca="false">IFERROR(INDEX(종합!F$3:F$501,MATCH(ROW()-2,종합!$AC$3:$AC$501,0))&amp;"","")</f>
        <v/>
      </c>
      <c r="G272" s="18" t="str">
        <f aca="false">IFERROR(INDEX(종합!G$3:G$501,MATCH(ROW()-2,종합!$AC$3:$AC$501,0))&amp;"","")</f>
        <v/>
      </c>
      <c r="H272" s="21" t="str">
        <f aca="false">IFERROR(INDEX(종합!H$3:H$501,MATCH(ROW()-2,종합!$AC$3:$AC$501,0))&amp;"","")</f>
        <v/>
      </c>
      <c r="I272" s="21" t="str">
        <f aca="false">IFERROR(INDEX(종합!I$3:I$501,MATCH(ROW()-2,종합!$AC$3:$AC$501,0))&amp;"","")</f>
        <v/>
      </c>
      <c r="J272" s="21" t="str">
        <f aca="false">IFERROR(INDEX(종합!J$3:J$501,MATCH(ROW()-2,종합!$AC$3:$AC$501,0))&amp;"","")</f>
        <v/>
      </c>
      <c r="K272" s="21" t="str">
        <f aca="false">IFERROR(INDEX(종합!K$3:K$501,MATCH(ROW()-2,종합!$AC$3:$AC$501,0))&amp;"","")</f>
        <v/>
      </c>
      <c r="L272" s="21" t="str">
        <f aca="false">IFERROR(INDEX(종합!L$3:L$501,MATCH(ROW()-2,종합!$AC$3:$AC$501,0))&amp;"","")</f>
        <v/>
      </c>
      <c r="M272" s="21" t="str">
        <f aca="false">IFERROR(INDEX(종합!M$3:M$501,MATCH(ROW()-2,종합!$AC$3:$AC$501,0))&amp;"","")</f>
        <v/>
      </c>
      <c r="N272" s="25" t="str">
        <f aca="false">IFERROR(INDEX(종합!N$3:N$501,MATCH(ROW()-2,종합!$AC$3:$AC$501,0))&amp;"","")</f>
        <v/>
      </c>
      <c r="O272" s="21" t="str">
        <f aca="false">IFERROR(INDEX(종합!O$3:O$501,MATCH(ROW()-2,종합!$AC$3:$AC$501,0))&amp;"","")</f>
        <v/>
      </c>
      <c r="P272" s="21" t="str">
        <f aca="false">IFERROR(INDEX(종합!P$3:P$501,MATCH(ROW()-2,종합!$AC$3:$AC$501,0))&amp;"","")</f>
        <v/>
      </c>
      <c r="Q272" s="21" t="str">
        <f aca="false">IFERROR(INDEX(종합!Q$3:Q$501,MATCH(ROW()-2,종합!$AC$3:$AC$501,0))&amp;"","")</f>
        <v/>
      </c>
      <c r="R272" s="21" t="str">
        <f aca="false">IFERROR(INDEX(종합!R$3:R$501,MATCH(ROW()-2,종합!$AC$3:$AC$501,0))&amp;"","")</f>
        <v/>
      </c>
      <c r="S272" s="21" t="str">
        <f aca="false">IFERROR(INDEX(종합!S$3:S$501,MATCH(ROW()-2,종합!$AC$3:$AC$501,0))&amp;"","")</f>
        <v/>
      </c>
      <c r="T272" s="21" t="str">
        <f aca="false">IFERROR(INDEX(종합!T$3:T$501,MATCH(ROW()-2,종합!$AC$3:$AC$501,0))&amp;"","")</f>
        <v/>
      </c>
      <c r="U272" s="21" t="str">
        <f aca="false">IFERROR(INDEX(종합!U$3:U$501,MATCH(ROW()-2,종합!$AC$3:$AC$501,0))&amp;"","")</f>
        <v/>
      </c>
      <c r="V272" s="21" t="str">
        <f aca="false">IFERROR(INDEX(종합!V$3:V$501,MATCH(ROW()-2,종합!$AC$3:$AC$501,0))&amp;"","")</f>
        <v/>
      </c>
      <c r="W272" s="21" t="str">
        <f aca="false">IFERROR(INDEX(종합!W$3:W$501,MATCH(ROW()-2,종합!$AC$3:$AC$501,0))&amp;"","")</f>
        <v/>
      </c>
      <c r="X272" s="21" t="str">
        <f aca="false">IFERROR(INDEX(종합!X$3:X$501,MATCH(ROW()-2,종합!$AC$3:$AC$501,0))&amp;"","")</f>
        <v/>
      </c>
      <c r="Y272" s="21" t="str">
        <f aca="false">IFERROR(INDEX(종합!Y$3:Y$501,MATCH(ROW()-2,종합!$AC$3:$AC$501,0))&amp;"","")</f>
        <v/>
      </c>
      <c r="Z272" s="21" t="str">
        <f aca="false">IFERROR(INDEX(종합!Z$3:Z$501,MATCH(ROW()-2,종합!$AC$3:$AC$501,0))&amp;"","")</f>
        <v/>
      </c>
    </row>
    <row r="273" customFormat="false" ht="16.5" hidden="false" customHeight="true" outlineLevel="0" collapsed="false">
      <c r="A273" s="18" t="str">
        <f aca="false">IF(B273="","",ROW()-2)</f>
        <v/>
      </c>
      <c r="B273" s="18" t="str">
        <f aca="false">IFERROR(INDEX(종합!B$3:B$501,MATCH(ROW()-2,종합!$AC$3:$AC$501,0))&amp;"","")</f>
        <v/>
      </c>
      <c r="C273" s="18" t="str">
        <f aca="false">IFERROR(INDEX(종합!C$3:C$501,MATCH(ROW()-2,종합!$AC$3:$AC$501,0))&amp;"","")</f>
        <v/>
      </c>
      <c r="D273" s="18" t="str">
        <f aca="false">IFERROR(INDEX(종합!D$3:D$501,MATCH(ROW()-2,종합!$AC$3:$AC$501,0))&amp;"","")</f>
        <v/>
      </c>
      <c r="E273" s="18" t="str">
        <f aca="false">IFERROR(INDEX(종합!E$3:E$501,MATCH(ROW()-2,종합!$AC$3:$AC$501,0))&amp;"","")</f>
        <v/>
      </c>
      <c r="F273" s="18" t="str">
        <f aca="false">IFERROR(INDEX(종합!F$3:F$501,MATCH(ROW()-2,종합!$AC$3:$AC$501,0))&amp;"","")</f>
        <v/>
      </c>
      <c r="G273" s="18" t="str">
        <f aca="false">IFERROR(INDEX(종합!G$3:G$501,MATCH(ROW()-2,종합!$AC$3:$AC$501,0))&amp;"","")</f>
        <v/>
      </c>
      <c r="H273" s="21" t="str">
        <f aca="false">IFERROR(INDEX(종합!H$3:H$501,MATCH(ROW()-2,종합!$AC$3:$AC$501,0))&amp;"","")</f>
        <v/>
      </c>
      <c r="I273" s="21" t="str">
        <f aca="false">IFERROR(INDEX(종합!I$3:I$501,MATCH(ROW()-2,종합!$AC$3:$AC$501,0))&amp;"","")</f>
        <v/>
      </c>
      <c r="J273" s="21" t="str">
        <f aca="false">IFERROR(INDEX(종합!J$3:J$501,MATCH(ROW()-2,종합!$AC$3:$AC$501,0))&amp;"","")</f>
        <v/>
      </c>
      <c r="K273" s="21" t="str">
        <f aca="false">IFERROR(INDEX(종합!K$3:K$501,MATCH(ROW()-2,종합!$AC$3:$AC$501,0))&amp;"","")</f>
        <v/>
      </c>
      <c r="L273" s="21" t="str">
        <f aca="false">IFERROR(INDEX(종합!L$3:L$501,MATCH(ROW()-2,종합!$AC$3:$AC$501,0))&amp;"","")</f>
        <v/>
      </c>
      <c r="M273" s="21" t="str">
        <f aca="false">IFERROR(INDEX(종합!M$3:M$501,MATCH(ROW()-2,종합!$AC$3:$AC$501,0))&amp;"","")</f>
        <v/>
      </c>
      <c r="N273" s="25" t="str">
        <f aca="false">IFERROR(INDEX(종합!N$3:N$501,MATCH(ROW()-2,종합!$AC$3:$AC$501,0))&amp;"","")</f>
        <v/>
      </c>
      <c r="O273" s="21" t="str">
        <f aca="false">IFERROR(INDEX(종합!O$3:O$501,MATCH(ROW()-2,종합!$AC$3:$AC$501,0))&amp;"","")</f>
        <v/>
      </c>
      <c r="P273" s="21" t="str">
        <f aca="false">IFERROR(INDEX(종합!P$3:P$501,MATCH(ROW()-2,종합!$AC$3:$AC$501,0))&amp;"","")</f>
        <v/>
      </c>
      <c r="Q273" s="21" t="str">
        <f aca="false">IFERROR(INDEX(종합!Q$3:Q$501,MATCH(ROW()-2,종합!$AC$3:$AC$501,0))&amp;"","")</f>
        <v/>
      </c>
      <c r="R273" s="21" t="str">
        <f aca="false">IFERROR(INDEX(종합!R$3:R$501,MATCH(ROW()-2,종합!$AC$3:$AC$501,0))&amp;"","")</f>
        <v/>
      </c>
      <c r="S273" s="21" t="str">
        <f aca="false">IFERROR(INDEX(종합!S$3:S$501,MATCH(ROW()-2,종합!$AC$3:$AC$501,0))&amp;"","")</f>
        <v/>
      </c>
      <c r="T273" s="21" t="str">
        <f aca="false">IFERROR(INDEX(종합!T$3:T$501,MATCH(ROW()-2,종합!$AC$3:$AC$501,0))&amp;"","")</f>
        <v/>
      </c>
      <c r="U273" s="21" t="str">
        <f aca="false">IFERROR(INDEX(종합!U$3:U$501,MATCH(ROW()-2,종합!$AC$3:$AC$501,0))&amp;"","")</f>
        <v/>
      </c>
      <c r="V273" s="21" t="str">
        <f aca="false">IFERROR(INDEX(종합!V$3:V$501,MATCH(ROW()-2,종합!$AC$3:$AC$501,0))&amp;"","")</f>
        <v/>
      </c>
      <c r="W273" s="21" t="str">
        <f aca="false">IFERROR(INDEX(종합!W$3:W$501,MATCH(ROW()-2,종합!$AC$3:$AC$501,0))&amp;"","")</f>
        <v/>
      </c>
      <c r="X273" s="21" t="str">
        <f aca="false">IFERROR(INDEX(종합!X$3:X$501,MATCH(ROW()-2,종합!$AC$3:$AC$501,0))&amp;"","")</f>
        <v/>
      </c>
      <c r="Y273" s="21" t="str">
        <f aca="false">IFERROR(INDEX(종합!Y$3:Y$501,MATCH(ROW()-2,종합!$AC$3:$AC$501,0))&amp;"","")</f>
        <v/>
      </c>
      <c r="Z273" s="21" t="str">
        <f aca="false">IFERROR(INDEX(종합!Z$3:Z$501,MATCH(ROW()-2,종합!$AC$3:$AC$501,0))&amp;"","")</f>
        <v/>
      </c>
    </row>
    <row r="274" customFormat="false" ht="16.5" hidden="false" customHeight="true" outlineLevel="0" collapsed="false">
      <c r="A274" s="18" t="str">
        <f aca="false">IF(B274="","",ROW()-2)</f>
        <v/>
      </c>
      <c r="B274" s="18" t="str">
        <f aca="false">IFERROR(INDEX(종합!B$3:B$501,MATCH(ROW()-2,종합!$AC$3:$AC$501,0))&amp;"","")</f>
        <v/>
      </c>
      <c r="C274" s="18" t="str">
        <f aca="false">IFERROR(INDEX(종합!C$3:C$501,MATCH(ROW()-2,종합!$AC$3:$AC$501,0))&amp;"","")</f>
        <v/>
      </c>
      <c r="D274" s="18" t="str">
        <f aca="false">IFERROR(INDEX(종합!D$3:D$501,MATCH(ROW()-2,종합!$AC$3:$AC$501,0))&amp;"","")</f>
        <v/>
      </c>
      <c r="E274" s="18" t="str">
        <f aca="false">IFERROR(INDEX(종합!E$3:E$501,MATCH(ROW()-2,종합!$AC$3:$AC$501,0))&amp;"","")</f>
        <v/>
      </c>
      <c r="F274" s="18" t="str">
        <f aca="false">IFERROR(INDEX(종합!F$3:F$501,MATCH(ROW()-2,종합!$AC$3:$AC$501,0))&amp;"","")</f>
        <v/>
      </c>
      <c r="G274" s="18" t="str">
        <f aca="false">IFERROR(INDEX(종합!G$3:G$501,MATCH(ROW()-2,종합!$AC$3:$AC$501,0))&amp;"","")</f>
        <v/>
      </c>
      <c r="H274" s="21" t="str">
        <f aca="false">IFERROR(INDEX(종합!H$3:H$501,MATCH(ROW()-2,종합!$AC$3:$AC$501,0))&amp;"","")</f>
        <v/>
      </c>
      <c r="I274" s="21" t="str">
        <f aca="false">IFERROR(INDEX(종합!I$3:I$501,MATCH(ROW()-2,종합!$AC$3:$AC$501,0))&amp;"","")</f>
        <v/>
      </c>
      <c r="J274" s="21" t="str">
        <f aca="false">IFERROR(INDEX(종합!J$3:J$501,MATCH(ROW()-2,종합!$AC$3:$AC$501,0))&amp;"","")</f>
        <v/>
      </c>
      <c r="K274" s="21" t="str">
        <f aca="false">IFERROR(INDEX(종합!K$3:K$501,MATCH(ROW()-2,종합!$AC$3:$AC$501,0))&amp;"","")</f>
        <v/>
      </c>
      <c r="L274" s="21" t="str">
        <f aca="false">IFERROR(INDEX(종합!L$3:L$501,MATCH(ROW()-2,종합!$AC$3:$AC$501,0))&amp;"","")</f>
        <v/>
      </c>
      <c r="M274" s="21" t="str">
        <f aca="false">IFERROR(INDEX(종합!M$3:M$501,MATCH(ROW()-2,종합!$AC$3:$AC$501,0))&amp;"","")</f>
        <v/>
      </c>
      <c r="N274" s="25" t="str">
        <f aca="false">IFERROR(INDEX(종합!N$3:N$501,MATCH(ROW()-2,종합!$AC$3:$AC$501,0))&amp;"","")</f>
        <v/>
      </c>
      <c r="O274" s="21" t="str">
        <f aca="false">IFERROR(INDEX(종합!O$3:O$501,MATCH(ROW()-2,종합!$AC$3:$AC$501,0))&amp;"","")</f>
        <v/>
      </c>
      <c r="P274" s="21" t="str">
        <f aca="false">IFERROR(INDEX(종합!P$3:P$501,MATCH(ROW()-2,종합!$AC$3:$AC$501,0))&amp;"","")</f>
        <v/>
      </c>
      <c r="Q274" s="21" t="str">
        <f aca="false">IFERROR(INDEX(종합!Q$3:Q$501,MATCH(ROW()-2,종합!$AC$3:$AC$501,0))&amp;"","")</f>
        <v/>
      </c>
      <c r="R274" s="21" t="str">
        <f aca="false">IFERROR(INDEX(종합!R$3:R$501,MATCH(ROW()-2,종합!$AC$3:$AC$501,0))&amp;"","")</f>
        <v/>
      </c>
      <c r="S274" s="21" t="str">
        <f aca="false">IFERROR(INDEX(종합!S$3:S$501,MATCH(ROW()-2,종합!$AC$3:$AC$501,0))&amp;"","")</f>
        <v/>
      </c>
      <c r="T274" s="21" t="str">
        <f aca="false">IFERROR(INDEX(종합!T$3:T$501,MATCH(ROW()-2,종합!$AC$3:$AC$501,0))&amp;"","")</f>
        <v/>
      </c>
      <c r="U274" s="21" t="str">
        <f aca="false">IFERROR(INDEX(종합!U$3:U$501,MATCH(ROW()-2,종합!$AC$3:$AC$501,0))&amp;"","")</f>
        <v/>
      </c>
      <c r="V274" s="21" t="str">
        <f aca="false">IFERROR(INDEX(종합!V$3:V$501,MATCH(ROW()-2,종합!$AC$3:$AC$501,0))&amp;"","")</f>
        <v/>
      </c>
      <c r="W274" s="21" t="str">
        <f aca="false">IFERROR(INDEX(종합!W$3:W$501,MATCH(ROW()-2,종합!$AC$3:$AC$501,0))&amp;"","")</f>
        <v/>
      </c>
      <c r="X274" s="21" t="str">
        <f aca="false">IFERROR(INDEX(종합!X$3:X$501,MATCH(ROW()-2,종합!$AC$3:$AC$501,0))&amp;"","")</f>
        <v/>
      </c>
      <c r="Y274" s="21" t="str">
        <f aca="false">IFERROR(INDEX(종합!Y$3:Y$501,MATCH(ROW()-2,종합!$AC$3:$AC$501,0))&amp;"","")</f>
        <v/>
      </c>
      <c r="Z274" s="21" t="str">
        <f aca="false">IFERROR(INDEX(종합!Z$3:Z$501,MATCH(ROW()-2,종합!$AC$3:$AC$501,0))&amp;"","")</f>
        <v/>
      </c>
    </row>
    <row r="275" customFormat="false" ht="16.5" hidden="false" customHeight="true" outlineLevel="0" collapsed="false">
      <c r="A275" s="18" t="str">
        <f aca="false">IF(B275="","",ROW()-2)</f>
        <v/>
      </c>
      <c r="B275" s="18" t="str">
        <f aca="false">IFERROR(INDEX(종합!B$3:B$501,MATCH(ROW()-2,종합!$AC$3:$AC$501,0))&amp;"","")</f>
        <v/>
      </c>
      <c r="C275" s="18" t="str">
        <f aca="false">IFERROR(INDEX(종합!C$3:C$501,MATCH(ROW()-2,종합!$AC$3:$AC$501,0))&amp;"","")</f>
        <v/>
      </c>
      <c r="D275" s="18" t="str">
        <f aca="false">IFERROR(INDEX(종합!D$3:D$501,MATCH(ROW()-2,종합!$AC$3:$AC$501,0))&amp;"","")</f>
        <v/>
      </c>
      <c r="E275" s="18" t="str">
        <f aca="false">IFERROR(INDEX(종합!E$3:E$501,MATCH(ROW()-2,종합!$AC$3:$AC$501,0))&amp;"","")</f>
        <v/>
      </c>
      <c r="F275" s="18" t="str">
        <f aca="false">IFERROR(INDEX(종합!F$3:F$501,MATCH(ROW()-2,종합!$AC$3:$AC$501,0))&amp;"","")</f>
        <v/>
      </c>
      <c r="G275" s="18" t="str">
        <f aca="false">IFERROR(INDEX(종합!G$3:G$501,MATCH(ROW()-2,종합!$AC$3:$AC$501,0))&amp;"","")</f>
        <v/>
      </c>
      <c r="H275" s="21" t="str">
        <f aca="false">IFERROR(INDEX(종합!H$3:H$501,MATCH(ROW()-2,종합!$AC$3:$AC$501,0))&amp;"","")</f>
        <v/>
      </c>
      <c r="I275" s="21" t="str">
        <f aca="false">IFERROR(INDEX(종합!I$3:I$501,MATCH(ROW()-2,종합!$AC$3:$AC$501,0))&amp;"","")</f>
        <v/>
      </c>
      <c r="J275" s="21" t="str">
        <f aca="false">IFERROR(INDEX(종합!J$3:J$501,MATCH(ROW()-2,종합!$AC$3:$AC$501,0))&amp;"","")</f>
        <v/>
      </c>
      <c r="K275" s="21" t="str">
        <f aca="false">IFERROR(INDEX(종합!K$3:K$501,MATCH(ROW()-2,종합!$AC$3:$AC$501,0))&amp;"","")</f>
        <v/>
      </c>
      <c r="L275" s="21" t="str">
        <f aca="false">IFERROR(INDEX(종합!L$3:L$501,MATCH(ROW()-2,종합!$AC$3:$AC$501,0))&amp;"","")</f>
        <v/>
      </c>
      <c r="M275" s="21" t="str">
        <f aca="false">IFERROR(INDEX(종합!M$3:M$501,MATCH(ROW()-2,종합!$AC$3:$AC$501,0))&amp;"","")</f>
        <v/>
      </c>
      <c r="N275" s="25" t="str">
        <f aca="false">IFERROR(INDEX(종합!N$3:N$501,MATCH(ROW()-2,종합!$AC$3:$AC$501,0))&amp;"","")</f>
        <v/>
      </c>
      <c r="O275" s="21" t="str">
        <f aca="false">IFERROR(INDEX(종합!O$3:O$501,MATCH(ROW()-2,종합!$AC$3:$AC$501,0))&amp;"","")</f>
        <v/>
      </c>
      <c r="P275" s="21" t="str">
        <f aca="false">IFERROR(INDEX(종합!P$3:P$501,MATCH(ROW()-2,종합!$AC$3:$AC$501,0))&amp;"","")</f>
        <v/>
      </c>
      <c r="Q275" s="21" t="str">
        <f aca="false">IFERROR(INDEX(종합!Q$3:Q$501,MATCH(ROW()-2,종합!$AC$3:$AC$501,0))&amp;"","")</f>
        <v/>
      </c>
      <c r="R275" s="21" t="str">
        <f aca="false">IFERROR(INDEX(종합!R$3:R$501,MATCH(ROW()-2,종합!$AC$3:$AC$501,0))&amp;"","")</f>
        <v/>
      </c>
      <c r="S275" s="21" t="str">
        <f aca="false">IFERROR(INDEX(종합!S$3:S$501,MATCH(ROW()-2,종합!$AC$3:$AC$501,0))&amp;"","")</f>
        <v/>
      </c>
      <c r="T275" s="21" t="str">
        <f aca="false">IFERROR(INDEX(종합!T$3:T$501,MATCH(ROW()-2,종합!$AC$3:$AC$501,0))&amp;"","")</f>
        <v/>
      </c>
      <c r="U275" s="21" t="str">
        <f aca="false">IFERROR(INDEX(종합!U$3:U$501,MATCH(ROW()-2,종합!$AC$3:$AC$501,0))&amp;"","")</f>
        <v/>
      </c>
      <c r="V275" s="21" t="str">
        <f aca="false">IFERROR(INDEX(종합!V$3:V$501,MATCH(ROW()-2,종합!$AC$3:$AC$501,0))&amp;"","")</f>
        <v/>
      </c>
      <c r="W275" s="21" t="str">
        <f aca="false">IFERROR(INDEX(종합!W$3:W$501,MATCH(ROW()-2,종합!$AC$3:$AC$501,0))&amp;"","")</f>
        <v/>
      </c>
      <c r="X275" s="21" t="str">
        <f aca="false">IFERROR(INDEX(종합!X$3:X$501,MATCH(ROW()-2,종합!$AC$3:$AC$501,0))&amp;"","")</f>
        <v/>
      </c>
      <c r="Y275" s="21" t="str">
        <f aca="false">IFERROR(INDEX(종합!Y$3:Y$501,MATCH(ROW()-2,종합!$AC$3:$AC$501,0))&amp;"","")</f>
        <v/>
      </c>
      <c r="Z275" s="21" t="str">
        <f aca="false">IFERROR(INDEX(종합!Z$3:Z$501,MATCH(ROW()-2,종합!$AC$3:$AC$501,0))&amp;"","")</f>
        <v/>
      </c>
    </row>
    <row r="276" customFormat="false" ht="16.5" hidden="false" customHeight="true" outlineLevel="0" collapsed="false">
      <c r="A276" s="18" t="str">
        <f aca="false">IF(B276="","",ROW()-2)</f>
        <v/>
      </c>
      <c r="B276" s="18" t="str">
        <f aca="false">IFERROR(INDEX(종합!B$3:B$501,MATCH(ROW()-2,종합!$AC$3:$AC$501,0))&amp;"","")</f>
        <v/>
      </c>
      <c r="C276" s="18" t="str">
        <f aca="false">IFERROR(INDEX(종합!C$3:C$501,MATCH(ROW()-2,종합!$AC$3:$AC$501,0))&amp;"","")</f>
        <v/>
      </c>
      <c r="D276" s="18" t="str">
        <f aca="false">IFERROR(INDEX(종합!D$3:D$501,MATCH(ROW()-2,종합!$AC$3:$AC$501,0))&amp;"","")</f>
        <v/>
      </c>
      <c r="E276" s="18" t="str">
        <f aca="false">IFERROR(INDEX(종합!E$3:E$501,MATCH(ROW()-2,종합!$AC$3:$AC$501,0))&amp;"","")</f>
        <v/>
      </c>
      <c r="F276" s="18" t="str">
        <f aca="false">IFERROR(INDEX(종합!F$3:F$501,MATCH(ROW()-2,종합!$AC$3:$AC$501,0))&amp;"","")</f>
        <v/>
      </c>
      <c r="G276" s="18" t="str">
        <f aca="false">IFERROR(INDEX(종합!G$3:G$501,MATCH(ROW()-2,종합!$AC$3:$AC$501,0))&amp;"","")</f>
        <v/>
      </c>
      <c r="H276" s="21" t="str">
        <f aca="false">IFERROR(INDEX(종합!H$3:H$501,MATCH(ROW()-2,종합!$AC$3:$AC$501,0))&amp;"","")</f>
        <v/>
      </c>
      <c r="I276" s="21" t="str">
        <f aca="false">IFERROR(INDEX(종합!I$3:I$501,MATCH(ROW()-2,종합!$AC$3:$AC$501,0))&amp;"","")</f>
        <v/>
      </c>
      <c r="J276" s="21" t="str">
        <f aca="false">IFERROR(INDEX(종합!J$3:J$501,MATCH(ROW()-2,종합!$AC$3:$AC$501,0))&amp;"","")</f>
        <v/>
      </c>
      <c r="K276" s="21" t="str">
        <f aca="false">IFERROR(INDEX(종합!K$3:K$501,MATCH(ROW()-2,종합!$AC$3:$AC$501,0))&amp;"","")</f>
        <v/>
      </c>
      <c r="L276" s="21" t="str">
        <f aca="false">IFERROR(INDEX(종합!L$3:L$501,MATCH(ROW()-2,종합!$AC$3:$AC$501,0))&amp;"","")</f>
        <v/>
      </c>
      <c r="M276" s="21" t="str">
        <f aca="false">IFERROR(INDEX(종합!M$3:M$501,MATCH(ROW()-2,종합!$AC$3:$AC$501,0))&amp;"","")</f>
        <v/>
      </c>
      <c r="N276" s="25" t="str">
        <f aca="false">IFERROR(INDEX(종합!N$3:N$501,MATCH(ROW()-2,종합!$AC$3:$AC$501,0))&amp;"","")</f>
        <v/>
      </c>
      <c r="O276" s="21" t="str">
        <f aca="false">IFERROR(INDEX(종합!O$3:O$501,MATCH(ROW()-2,종합!$AC$3:$AC$501,0))&amp;"","")</f>
        <v/>
      </c>
      <c r="P276" s="21" t="str">
        <f aca="false">IFERROR(INDEX(종합!P$3:P$501,MATCH(ROW()-2,종합!$AC$3:$AC$501,0))&amp;"","")</f>
        <v/>
      </c>
      <c r="Q276" s="21" t="str">
        <f aca="false">IFERROR(INDEX(종합!Q$3:Q$501,MATCH(ROW()-2,종합!$AC$3:$AC$501,0))&amp;"","")</f>
        <v/>
      </c>
      <c r="R276" s="21" t="str">
        <f aca="false">IFERROR(INDEX(종합!R$3:R$501,MATCH(ROW()-2,종합!$AC$3:$AC$501,0))&amp;"","")</f>
        <v/>
      </c>
      <c r="S276" s="21" t="str">
        <f aca="false">IFERROR(INDEX(종합!S$3:S$501,MATCH(ROW()-2,종합!$AC$3:$AC$501,0))&amp;"","")</f>
        <v/>
      </c>
      <c r="T276" s="21" t="str">
        <f aca="false">IFERROR(INDEX(종합!T$3:T$501,MATCH(ROW()-2,종합!$AC$3:$AC$501,0))&amp;"","")</f>
        <v/>
      </c>
      <c r="U276" s="21" t="str">
        <f aca="false">IFERROR(INDEX(종합!U$3:U$501,MATCH(ROW()-2,종합!$AC$3:$AC$501,0))&amp;"","")</f>
        <v/>
      </c>
      <c r="V276" s="21" t="str">
        <f aca="false">IFERROR(INDEX(종합!V$3:V$501,MATCH(ROW()-2,종합!$AC$3:$AC$501,0))&amp;"","")</f>
        <v/>
      </c>
      <c r="W276" s="21" t="str">
        <f aca="false">IFERROR(INDEX(종합!W$3:W$501,MATCH(ROW()-2,종합!$AC$3:$AC$501,0))&amp;"","")</f>
        <v/>
      </c>
      <c r="X276" s="21" t="str">
        <f aca="false">IFERROR(INDEX(종합!X$3:X$501,MATCH(ROW()-2,종합!$AC$3:$AC$501,0))&amp;"","")</f>
        <v/>
      </c>
      <c r="Y276" s="21" t="str">
        <f aca="false">IFERROR(INDEX(종합!Y$3:Y$501,MATCH(ROW()-2,종합!$AC$3:$AC$501,0))&amp;"","")</f>
        <v/>
      </c>
      <c r="Z276" s="21" t="str">
        <f aca="false">IFERROR(INDEX(종합!Z$3:Z$501,MATCH(ROW()-2,종합!$AC$3:$AC$501,0))&amp;"","")</f>
        <v/>
      </c>
    </row>
    <row r="277" customFormat="false" ht="16.5" hidden="false" customHeight="true" outlineLevel="0" collapsed="false">
      <c r="A277" s="18" t="str">
        <f aca="false">IF(B277="","",ROW()-2)</f>
        <v/>
      </c>
      <c r="B277" s="18" t="str">
        <f aca="false">IFERROR(INDEX(종합!B$3:B$501,MATCH(ROW()-2,종합!$AC$3:$AC$501,0))&amp;"","")</f>
        <v/>
      </c>
      <c r="C277" s="18" t="str">
        <f aca="false">IFERROR(INDEX(종합!C$3:C$501,MATCH(ROW()-2,종합!$AC$3:$AC$501,0))&amp;"","")</f>
        <v/>
      </c>
      <c r="D277" s="18" t="str">
        <f aca="false">IFERROR(INDEX(종합!D$3:D$501,MATCH(ROW()-2,종합!$AC$3:$AC$501,0))&amp;"","")</f>
        <v/>
      </c>
      <c r="E277" s="18" t="str">
        <f aca="false">IFERROR(INDEX(종합!E$3:E$501,MATCH(ROW()-2,종합!$AC$3:$AC$501,0))&amp;"","")</f>
        <v/>
      </c>
      <c r="F277" s="18" t="str">
        <f aca="false">IFERROR(INDEX(종합!F$3:F$501,MATCH(ROW()-2,종합!$AC$3:$AC$501,0))&amp;"","")</f>
        <v/>
      </c>
      <c r="G277" s="18" t="str">
        <f aca="false">IFERROR(INDEX(종합!G$3:G$501,MATCH(ROW()-2,종합!$AC$3:$AC$501,0))&amp;"","")</f>
        <v/>
      </c>
      <c r="H277" s="21" t="str">
        <f aca="false">IFERROR(INDEX(종합!H$3:H$501,MATCH(ROW()-2,종합!$AC$3:$AC$501,0))&amp;"","")</f>
        <v/>
      </c>
      <c r="I277" s="21" t="str">
        <f aca="false">IFERROR(INDEX(종합!I$3:I$501,MATCH(ROW()-2,종합!$AC$3:$AC$501,0))&amp;"","")</f>
        <v/>
      </c>
      <c r="J277" s="21" t="str">
        <f aca="false">IFERROR(INDEX(종합!J$3:J$501,MATCH(ROW()-2,종합!$AC$3:$AC$501,0))&amp;"","")</f>
        <v/>
      </c>
      <c r="K277" s="21" t="str">
        <f aca="false">IFERROR(INDEX(종합!K$3:K$501,MATCH(ROW()-2,종합!$AC$3:$AC$501,0))&amp;"","")</f>
        <v/>
      </c>
      <c r="L277" s="21" t="str">
        <f aca="false">IFERROR(INDEX(종합!L$3:L$501,MATCH(ROW()-2,종합!$AC$3:$AC$501,0))&amp;"","")</f>
        <v/>
      </c>
      <c r="M277" s="21" t="str">
        <f aca="false">IFERROR(INDEX(종합!M$3:M$501,MATCH(ROW()-2,종합!$AC$3:$AC$501,0))&amp;"","")</f>
        <v/>
      </c>
      <c r="N277" s="25" t="str">
        <f aca="false">IFERROR(INDEX(종합!N$3:N$501,MATCH(ROW()-2,종합!$AC$3:$AC$501,0))&amp;"","")</f>
        <v/>
      </c>
      <c r="O277" s="21" t="str">
        <f aca="false">IFERROR(INDEX(종합!O$3:O$501,MATCH(ROW()-2,종합!$AC$3:$AC$501,0))&amp;"","")</f>
        <v/>
      </c>
      <c r="P277" s="21" t="str">
        <f aca="false">IFERROR(INDEX(종합!P$3:P$501,MATCH(ROW()-2,종합!$AC$3:$AC$501,0))&amp;"","")</f>
        <v/>
      </c>
      <c r="Q277" s="21" t="str">
        <f aca="false">IFERROR(INDEX(종합!Q$3:Q$501,MATCH(ROW()-2,종합!$AC$3:$AC$501,0))&amp;"","")</f>
        <v/>
      </c>
      <c r="R277" s="21" t="str">
        <f aca="false">IFERROR(INDEX(종합!R$3:R$501,MATCH(ROW()-2,종합!$AC$3:$AC$501,0))&amp;"","")</f>
        <v/>
      </c>
      <c r="S277" s="21" t="str">
        <f aca="false">IFERROR(INDEX(종합!S$3:S$501,MATCH(ROW()-2,종합!$AC$3:$AC$501,0))&amp;"","")</f>
        <v/>
      </c>
      <c r="T277" s="21" t="str">
        <f aca="false">IFERROR(INDEX(종합!T$3:T$501,MATCH(ROW()-2,종합!$AC$3:$AC$501,0))&amp;"","")</f>
        <v/>
      </c>
      <c r="U277" s="21" t="str">
        <f aca="false">IFERROR(INDEX(종합!U$3:U$501,MATCH(ROW()-2,종합!$AC$3:$AC$501,0))&amp;"","")</f>
        <v/>
      </c>
      <c r="V277" s="21" t="str">
        <f aca="false">IFERROR(INDEX(종합!V$3:V$501,MATCH(ROW()-2,종합!$AC$3:$AC$501,0))&amp;"","")</f>
        <v/>
      </c>
      <c r="W277" s="21" t="str">
        <f aca="false">IFERROR(INDEX(종합!W$3:W$501,MATCH(ROW()-2,종합!$AC$3:$AC$501,0))&amp;"","")</f>
        <v/>
      </c>
      <c r="X277" s="21" t="str">
        <f aca="false">IFERROR(INDEX(종합!X$3:X$501,MATCH(ROW()-2,종합!$AC$3:$AC$501,0))&amp;"","")</f>
        <v/>
      </c>
      <c r="Y277" s="21" t="str">
        <f aca="false">IFERROR(INDEX(종합!Y$3:Y$501,MATCH(ROW()-2,종합!$AC$3:$AC$501,0))&amp;"","")</f>
        <v/>
      </c>
      <c r="Z277" s="21" t="str">
        <f aca="false">IFERROR(INDEX(종합!Z$3:Z$501,MATCH(ROW()-2,종합!$AC$3:$AC$501,0))&amp;"","")</f>
        <v/>
      </c>
    </row>
    <row r="278" customFormat="false" ht="16.5" hidden="false" customHeight="true" outlineLevel="0" collapsed="false">
      <c r="A278" s="18" t="str">
        <f aca="false">IF(B278="","",ROW()-2)</f>
        <v/>
      </c>
      <c r="B278" s="18" t="str">
        <f aca="false">IFERROR(INDEX(종합!B$3:B$501,MATCH(ROW()-2,종합!$AC$3:$AC$501,0))&amp;"","")</f>
        <v/>
      </c>
      <c r="C278" s="18" t="str">
        <f aca="false">IFERROR(INDEX(종합!C$3:C$501,MATCH(ROW()-2,종합!$AC$3:$AC$501,0))&amp;"","")</f>
        <v/>
      </c>
      <c r="D278" s="18" t="str">
        <f aca="false">IFERROR(INDEX(종합!D$3:D$501,MATCH(ROW()-2,종합!$AC$3:$AC$501,0))&amp;"","")</f>
        <v/>
      </c>
      <c r="E278" s="18" t="str">
        <f aca="false">IFERROR(INDEX(종합!E$3:E$501,MATCH(ROW()-2,종합!$AC$3:$AC$501,0))&amp;"","")</f>
        <v/>
      </c>
      <c r="F278" s="18" t="str">
        <f aca="false">IFERROR(INDEX(종합!F$3:F$501,MATCH(ROW()-2,종합!$AC$3:$AC$501,0))&amp;"","")</f>
        <v/>
      </c>
      <c r="G278" s="18" t="str">
        <f aca="false">IFERROR(INDEX(종합!G$3:G$501,MATCH(ROW()-2,종합!$AC$3:$AC$501,0))&amp;"","")</f>
        <v/>
      </c>
      <c r="H278" s="21" t="str">
        <f aca="false">IFERROR(INDEX(종합!H$3:H$501,MATCH(ROW()-2,종합!$AC$3:$AC$501,0))&amp;"","")</f>
        <v/>
      </c>
      <c r="I278" s="21" t="str">
        <f aca="false">IFERROR(INDEX(종합!I$3:I$501,MATCH(ROW()-2,종합!$AC$3:$AC$501,0))&amp;"","")</f>
        <v/>
      </c>
      <c r="J278" s="21" t="str">
        <f aca="false">IFERROR(INDEX(종합!J$3:J$501,MATCH(ROW()-2,종합!$AC$3:$AC$501,0))&amp;"","")</f>
        <v/>
      </c>
      <c r="K278" s="21" t="str">
        <f aca="false">IFERROR(INDEX(종합!K$3:K$501,MATCH(ROW()-2,종합!$AC$3:$AC$501,0))&amp;"","")</f>
        <v/>
      </c>
      <c r="L278" s="21" t="str">
        <f aca="false">IFERROR(INDEX(종합!L$3:L$501,MATCH(ROW()-2,종합!$AC$3:$AC$501,0))&amp;"","")</f>
        <v/>
      </c>
      <c r="M278" s="21" t="str">
        <f aca="false">IFERROR(INDEX(종합!M$3:M$501,MATCH(ROW()-2,종합!$AC$3:$AC$501,0))&amp;"","")</f>
        <v/>
      </c>
      <c r="N278" s="25" t="str">
        <f aca="false">IFERROR(INDEX(종합!N$3:N$501,MATCH(ROW()-2,종합!$AC$3:$AC$501,0))&amp;"","")</f>
        <v/>
      </c>
      <c r="O278" s="21" t="str">
        <f aca="false">IFERROR(INDEX(종합!O$3:O$501,MATCH(ROW()-2,종합!$AC$3:$AC$501,0))&amp;"","")</f>
        <v/>
      </c>
      <c r="P278" s="21" t="str">
        <f aca="false">IFERROR(INDEX(종합!P$3:P$501,MATCH(ROW()-2,종합!$AC$3:$AC$501,0))&amp;"","")</f>
        <v/>
      </c>
      <c r="Q278" s="21" t="str">
        <f aca="false">IFERROR(INDEX(종합!Q$3:Q$501,MATCH(ROW()-2,종합!$AC$3:$AC$501,0))&amp;"","")</f>
        <v/>
      </c>
      <c r="R278" s="21" t="str">
        <f aca="false">IFERROR(INDEX(종합!R$3:R$501,MATCH(ROW()-2,종합!$AC$3:$AC$501,0))&amp;"","")</f>
        <v/>
      </c>
      <c r="S278" s="21" t="str">
        <f aca="false">IFERROR(INDEX(종합!S$3:S$501,MATCH(ROW()-2,종합!$AC$3:$AC$501,0))&amp;"","")</f>
        <v/>
      </c>
      <c r="T278" s="21" t="str">
        <f aca="false">IFERROR(INDEX(종합!T$3:T$501,MATCH(ROW()-2,종합!$AC$3:$AC$501,0))&amp;"","")</f>
        <v/>
      </c>
      <c r="U278" s="21" t="str">
        <f aca="false">IFERROR(INDEX(종합!U$3:U$501,MATCH(ROW()-2,종합!$AC$3:$AC$501,0))&amp;"","")</f>
        <v/>
      </c>
      <c r="V278" s="21" t="str">
        <f aca="false">IFERROR(INDEX(종합!V$3:V$501,MATCH(ROW()-2,종합!$AC$3:$AC$501,0))&amp;"","")</f>
        <v/>
      </c>
      <c r="W278" s="21" t="str">
        <f aca="false">IFERROR(INDEX(종합!W$3:W$501,MATCH(ROW()-2,종합!$AC$3:$AC$501,0))&amp;"","")</f>
        <v/>
      </c>
      <c r="X278" s="21" t="str">
        <f aca="false">IFERROR(INDEX(종합!X$3:X$501,MATCH(ROW()-2,종합!$AC$3:$AC$501,0))&amp;"","")</f>
        <v/>
      </c>
      <c r="Y278" s="21" t="str">
        <f aca="false">IFERROR(INDEX(종합!Y$3:Y$501,MATCH(ROW()-2,종합!$AC$3:$AC$501,0))&amp;"","")</f>
        <v/>
      </c>
      <c r="Z278" s="21" t="str">
        <f aca="false">IFERROR(INDEX(종합!Z$3:Z$501,MATCH(ROW()-2,종합!$AC$3:$AC$501,0))&amp;"","")</f>
        <v/>
      </c>
    </row>
    <row r="279" customFormat="false" ht="16.5" hidden="false" customHeight="true" outlineLevel="0" collapsed="false">
      <c r="A279" s="18" t="str">
        <f aca="false">IF(B279="","",ROW()-2)</f>
        <v/>
      </c>
      <c r="B279" s="18" t="str">
        <f aca="false">IFERROR(INDEX(종합!B$3:B$501,MATCH(ROW()-2,종합!$AC$3:$AC$501,0))&amp;"","")</f>
        <v/>
      </c>
      <c r="C279" s="18" t="str">
        <f aca="false">IFERROR(INDEX(종합!C$3:C$501,MATCH(ROW()-2,종합!$AC$3:$AC$501,0))&amp;"","")</f>
        <v/>
      </c>
      <c r="D279" s="18" t="str">
        <f aca="false">IFERROR(INDEX(종합!D$3:D$501,MATCH(ROW()-2,종합!$AC$3:$AC$501,0))&amp;"","")</f>
        <v/>
      </c>
      <c r="E279" s="18" t="str">
        <f aca="false">IFERROR(INDEX(종합!E$3:E$501,MATCH(ROW()-2,종합!$AC$3:$AC$501,0))&amp;"","")</f>
        <v/>
      </c>
      <c r="F279" s="18" t="str">
        <f aca="false">IFERROR(INDEX(종합!F$3:F$501,MATCH(ROW()-2,종합!$AC$3:$AC$501,0))&amp;"","")</f>
        <v/>
      </c>
      <c r="G279" s="18" t="str">
        <f aca="false">IFERROR(INDEX(종합!G$3:G$501,MATCH(ROW()-2,종합!$AC$3:$AC$501,0))&amp;"","")</f>
        <v/>
      </c>
      <c r="H279" s="21" t="str">
        <f aca="false">IFERROR(INDEX(종합!H$3:H$501,MATCH(ROW()-2,종합!$AC$3:$AC$501,0))&amp;"","")</f>
        <v/>
      </c>
      <c r="I279" s="21" t="str">
        <f aca="false">IFERROR(INDEX(종합!I$3:I$501,MATCH(ROW()-2,종합!$AC$3:$AC$501,0))&amp;"","")</f>
        <v/>
      </c>
      <c r="J279" s="21" t="str">
        <f aca="false">IFERROR(INDEX(종합!J$3:J$501,MATCH(ROW()-2,종합!$AC$3:$AC$501,0))&amp;"","")</f>
        <v/>
      </c>
      <c r="K279" s="21" t="str">
        <f aca="false">IFERROR(INDEX(종합!K$3:K$501,MATCH(ROW()-2,종합!$AC$3:$AC$501,0))&amp;"","")</f>
        <v/>
      </c>
      <c r="L279" s="21" t="str">
        <f aca="false">IFERROR(INDEX(종합!L$3:L$501,MATCH(ROW()-2,종합!$AC$3:$AC$501,0))&amp;"","")</f>
        <v/>
      </c>
      <c r="M279" s="21" t="str">
        <f aca="false">IFERROR(INDEX(종합!M$3:M$501,MATCH(ROW()-2,종합!$AC$3:$AC$501,0))&amp;"","")</f>
        <v/>
      </c>
      <c r="N279" s="25" t="str">
        <f aca="false">IFERROR(INDEX(종합!N$3:N$501,MATCH(ROW()-2,종합!$AC$3:$AC$501,0))&amp;"","")</f>
        <v/>
      </c>
      <c r="O279" s="21" t="str">
        <f aca="false">IFERROR(INDEX(종합!O$3:O$501,MATCH(ROW()-2,종합!$AC$3:$AC$501,0))&amp;"","")</f>
        <v/>
      </c>
      <c r="P279" s="21" t="str">
        <f aca="false">IFERROR(INDEX(종합!P$3:P$501,MATCH(ROW()-2,종합!$AC$3:$AC$501,0))&amp;"","")</f>
        <v/>
      </c>
      <c r="Q279" s="21" t="str">
        <f aca="false">IFERROR(INDEX(종합!Q$3:Q$501,MATCH(ROW()-2,종합!$AC$3:$AC$501,0))&amp;"","")</f>
        <v/>
      </c>
      <c r="R279" s="21" t="str">
        <f aca="false">IFERROR(INDEX(종합!R$3:R$501,MATCH(ROW()-2,종합!$AC$3:$AC$501,0))&amp;"","")</f>
        <v/>
      </c>
      <c r="S279" s="21" t="str">
        <f aca="false">IFERROR(INDEX(종합!S$3:S$501,MATCH(ROW()-2,종합!$AC$3:$AC$501,0))&amp;"","")</f>
        <v/>
      </c>
      <c r="T279" s="21" t="str">
        <f aca="false">IFERROR(INDEX(종합!T$3:T$501,MATCH(ROW()-2,종합!$AC$3:$AC$501,0))&amp;"","")</f>
        <v/>
      </c>
      <c r="U279" s="21" t="str">
        <f aca="false">IFERROR(INDEX(종합!U$3:U$501,MATCH(ROW()-2,종합!$AC$3:$AC$501,0))&amp;"","")</f>
        <v/>
      </c>
      <c r="V279" s="21" t="str">
        <f aca="false">IFERROR(INDEX(종합!V$3:V$501,MATCH(ROW()-2,종합!$AC$3:$AC$501,0))&amp;"","")</f>
        <v/>
      </c>
      <c r="W279" s="21" t="str">
        <f aca="false">IFERROR(INDEX(종합!W$3:W$501,MATCH(ROW()-2,종합!$AC$3:$AC$501,0))&amp;"","")</f>
        <v/>
      </c>
      <c r="X279" s="21" t="str">
        <f aca="false">IFERROR(INDEX(종합!X$3:X$501,MATCH(ROW()-2,종합!$AC$3:$AC$501,0))&amp;"","")</f>
        <v/>
      </c>
      <c r="Y279" s="21" t="str">
        <f aca="false">IFERROR(INDEX(종합!Y$3:Y$501,MATCH(ROW()-2,종합!$AC$3:$AC$501,0))&amp;"","")</f>
        <v/>
      </c>
      <c r="Z279" s="21" t="str">
        <f aca="false">IFERROR(INDEX(종합!Z$3:Z$501,MATCH(ROW()-2,종합!$AC$3:$AC$501,0))&amp;"","")</f>
        <v/>
      </c>
    </row>
    <row r="280" customFormat="false" ht="16.5" hidden="false" customHeight="true" outlineLevel="0" collapsed="false">
      <c r="A280" s="18" t="str">
        <f aca="false">IF(B280="","",ROW()-2)</f>
        <v/>
      </c>
      <c r="B280" s="18" t="str">
        <f aca="false">IFERROR(INDEX(종합!B$3:B$501,MATCH(ROW()-2,종합!$AC$3:$AC$501,0))&amp;"","")</f>
        <v/>
      </c>
      <c r="C280" s="18" t="str">
        <f aca="false">IFERROR(INDEX(종합!C$3:C$501,MATCH(ROW()-2,종합!$AC$3:$AC$501,0))&amp;"","")</f>
        <v/>
      </c>
      <c r="D280" s="18" t="str">
        <f aca="false">IFERROR(INDEX(종합!D$3:D$501,MATCH(ROW()-2,종합!$AC$3:$AC$501,0))&amp;"","")</f>
        <v/>
      </c>
      <c r="E280" s="18" t="str">
        <f aca="false">IFERROR(INDEX(종합!E$3:E$501,MATCH(ROW()-2,종합!$AC$3:$AC$501,0))&amp;"","")</f>
        <v/>
      </c>
      <c r="F280" s="18" t="str">
        <f aca="false">IFERROR(INDEX(종합!F$3:F$501,MATCH(ROW()-2,종합!$AC$3:$AC$501,0))&amp;"","")</f>
        <v/>
      </c>
      <c r="G280" s="18" t="str">
        <f aca="false">IFERROR(INDEX(종합!G$3:G$501,MATCH(ROW()-2,종합!$AC$3:$AC$501,0))&amp;"","")</f>
        <v/>
      </c>
      <c r="H280" s="21" t="str">
        <f aca="false">IFERROR(INDEX(종합!H$3:H$501,MATCH(ROW()-2,종합!$AC$3:$AC$501,0))&amp;"","")</f>
        <v/>
      </c>
      <c r="I280" s="21" t="str">
        <f aca="false">IFERROR(INDEX(종합!I$3:I$501,MATCH(ROW()-2,종합!$AC$3:$AC$501,0))&amp;"","")</f>
        <v/>
      </c>
      <c r="J280" s="21" t="str">
        <f aca="false">IFERROR(INDEX(종합!J$3:J$501,MATCH(ROW()-2,종합!$AC$3:$AC$501,0))&amp;"","")</f>
        <v/>
      </c>
      <c r="K280" s="21" t="str">
        <f aca="false">IFERROR(INDEX(종합!K$3:K$501,MATCH(ROW()-2,종합!$AC$3:$AC$501,0))&amp;"","")</f>
        <v/>
      </c>
      <c r="L280" s="21" t="str">
        <f aca="false">IFERROR(INDEX(종합!L$3:L$501,MATCH(ROW()-2,종합!$AC$3:$AC$501,0))&amp;"","")</f>
        <v/>
      </c>
      <c r="M280" s="21" t="str">
        <f aca="false">IFERROR(INDEX(종합!M$3:M$501,MATCH(ROW()-2,종합!$AC$3:$AC$501,0))&amp;"","")</f>
        <v/>
      </c>
      <c r="N280" s="25" t="str">
        <f aca="false">IFERROR(INDEX(종합!N$3:N$501,MATCH(ROW()-2,종합!$AC$3:$AC$501,0))&amp;"","")</f>
        <v/>
      </c>
      <c r="O280" s="21" t="str">
        <f aca="false">IFERROR(INDEX(종합!O$3:O$501,MATCH(ROW()-2,종합!$AC$3:$AC$501,0))&amp;"","")</f>
        <v/>
      </c>
      <c r="P280" s="21" t="str">
        <f aca="false">IFERROR(INDEX(종합!P$3:P$501,MATCH(ROW()-2,종합!$AC$3:$AC$501,0))&amp;"","")</f>
        <v/>
      </c>
      <c r="Q280" s="21" t="str">
        <f aca="false">IFERROR(INDEX(종합!Q$3:Q$501,MATCH(ROW()-2,종합!$AC$3:$AC$501,0))&amp;"","")</f>
        <v/>
      </c>
      <c r="R280" s="21" t="str">
        <f aca="false">IFERROR(INDEX(종합!R$3:R$501,MATCH(ROW()-2,종합!$AC$3:$AC$501,0))&amp;"","")</f>
        <v/>
      </c>
      <c r="S280" s="21" t="str">
        <f aca="false">IFERROR(INDEX(종합!S$3:S$501,MATCH(ROW()-2,종합!$AC$3:$AC$501,0))&amp;"","")</f>
        <v/>
      </c>
      <c r="T280" s="21" t="str">
        <f aca="false">IFERROR(INDEX(종합!T$3:T$501,MATCH(ROW()-2,종합!$AC$3:$AC$501,0))&amp;"","")</f>
        <v/>
      </c>
      <c r="U280" s="21" t="str">
        <f aca="false">IFERROR(INDEX(종합!U$3:U$501,MATCH(ROW()-2,종합!$AC$3:$AC$501,0))&amp;"","")</f>
        <v/>
      </c>
      <c r="V280" s="21" t="str">
        <f aca="false">IFERROR(INDEX(종합!V$3:V$501,MATCH(ROW()-2,종합!$AC$3:$AC$501,0))&amp;"","")</f>
        <v/>
      </c>
      <c r="W280" s="21" t="str">
        <f aca="false">IFERROR(INDEX(종합!W$3:W$501,MATCH(ROW()-2,종합!$AC$3:$AC$501,0))&amp;"","")</f>
        <v/>
      </c>
      <c r="X280" s="21" t="str">
        <f aca="false">IFERROR(INDEX(종합!X$3:X$501,MATCH(ROW()-2,종합!$AC$3:$AC$501,0))&amp;"","")</f>
        <v/>
      </c>
      <c r="Y280" s="21" t="str">
        <f aca="false">IFERROR(INDEX(종합!Y$3:Y$501,MATCH(ROW()-2,종합!$AC$3:$AC$501,0))&amp;"","")</f>
        <v/>
      </c>
      <c r="Z280" s="21" t="str">
        <f aca="false">IFERROR(INDEX(종합!Z$3:Z$501,MATCH(ROW()-2,종합!$AC$3:$AC$501,0))&amp;"","")</f>
        <v/>
      </c>
    </row>
    <row r="281" customFormat="false" ht="16.5" hidden="false" customHeight="true" outlineLevel="0" collapsed="false">
      <c r="A281" s="18" t="str">
        <f aca="false">IF(B281="","",ROW()-2)</f>
        <v/>
      </c>
      <c r="B281" s="18" t="str">
        <f aca="false">IFERROR(INDEX(종합!B$3:B$501,MATCH(ROW()-2,종합!$AC$3:$AC$501,0))&amp;"","")</f>
        <v/>
      </c>
      <c r="C281" s="18" t="str">
        <f aca="false">IFERROR(INDEX(종합!C$3:C$501,MATCH(ROW()-2,종합!$AC$3:$AC$501,0))&amp;"","")</f>
        <v/>
      </c>
      <c r="D281" s="18" t="str">
        <f aca="false">IFERROR(INDEX(종합!D$3:D$501,MATCH(ROW()-2,종합!$AC$3:$AC$501,0))&amp;"","")</f>
        <v/>
      </c>
      <c r="E281" s="18" t="str">
        <f aca="false">IFERROR(INDEX(종합!E$3:E$501,MATCH(ROW()-2,종합!$AC$3:$AC$501,0))&amp;"","")</f>
        <v/>
      </c>
      <c r="F281" s="18" t="str">
        <f aca="false">IFERROR(INDEX(종합!F$3:F$501,MATCH(ROW()-2,종합!$AC$3:$AC$501,0))&amp;"","")</f>
        <v/>
      </c>
      <c r="G281" s="18" t="str">
        <f aca="false">IFERROR(INDEX(종합!G$3:G$501,MATCH(ROW()-2,종합!$AC$3:$AC$501,0))&amp;"","")</f>
        <v/>
      </c>
      <c r="H281" s="21" t="str">
        <f aca="false">IFERROR(INDEX(종합!H$3:H$501,MATCH(ROW()-2,종합!$AC$3:$AC$501,0))&amp;"","")</f>
        <v/>
      </c>
      <c r="I281" s="21" t="str">
        <f aca="false">IFERROR(INDEX(종합!I$3:I$501,MATCH(ROW()-2,종합!$AC$3:$AC$501,0))&amp;"","")</f>
        <v/>
      </c>
      <c r="J281" s="21" t="str">
        <f aca="false">IFERROR(INDEX(종합!J$3:J$501,MATCH(ROW()-2,종합!$AC$3:$AC$501,0))&amp;"","")</f>
        <v/>
      </c>
      <c r="K281" s="21" t="str">
        <f aca="false">IFERROR(INDEX(종합!K$3:K$501,MATCH(ROW()-2,종합!$AC$3:$AC$501,0))&amp;"","")</f>
        <v/>
      </c>
      <c r="L281" s="21" t="str">
        <f aca="false">IFERROR(INDEX(종합!L$3:L$501,MATCH(ROW()-2,종합!$AC$3:$AC$501,0))&amp;"","")</f>
        <v/>
      </c>
      <c r="M281" s="21" t="str">
        <f aca="false">IFERROR(INDEX(종합!M$3:M$501,MATCH(ROW()-2,종합!$AC$3:$AC$501,0))&amp;"","")</f>
        <v/>
      </c>
      <c r="N281" s="25" t="str">
        <f aca="false">IFERROR(INDEX(종합!N$3:N$501,MATCH(ROW()-2,종합!$AC$3:$AC$501,0))&amp;"","")</f>
        <v/>
      </c>
      <c r="O281" s="21" t="str">
        <f aca="false">IFERROR(INDEX(종합!O$3:O$501,MATCH(ROW()-2,종합!$AC$3:$AC$501,0))&amp;"","")</f>
        <v/>
      </c>
      <c r="P281" s="21" t="str">
        <f aca="false">IFERROR(INDEX(종합!P$3:P$501,MATCH(ROW()-2,종합!$AC$3:$AC$501,0))&amp;"","")</f>
        <v/>
      </c>
      <c r="Q281" s="21" t="str">
        <f aca="false">IFERROR(INDEX(종합!Q$3:Q$501,MATCH(ROW()-2,종합!$AC$3:$AC$501,0))&amp;"","")</f>
        <v/>
      </c>
      <c r="R281" s="21" t="str">
        <f aca="false">IFERROR(INDEX(종합!R$3:R$501,MATCH(ROW()-2,종합!$AC$3:$AC$501,0))&amp;"","")</f>
        <v/>
      </c>
      <c r="S281" s="21" t="str">
        <f aca="false">IFERROR(INDEX(종합!S$3:S$501,MATCH(ROW()-2,종합!$AC$3:$AC$501,0))&amp;"","")</f>
        <v/>
      </c>
      <c r="T281" s="21" t="str">
        <f aca="false">IFERROR(INDEX(종합!T$3:T$501,MATCH(ROW()-2,종합!$AC$3:$AC$501,0))&amp;"","")</f>
        <v/>
      </c>
      <c r="U281" s="21" t="str">
        <f aca="false">IFERROR(INDEX(종합!U$3:U$501,MATCH(ROW()-2,종합!$AC$3:$AC$501,0))&amp;"","")</f>
        <v/>
      </c>
      <c r="V281" s="21" t="str">
        <f aca="false">IFERROR(INDEX(종합!V$3:V$501,MATCH(ROW()-2,종합!$AC$3:$AC$501,0))&amp;"","")</f>
        <v/>
      </c>
      <c r="W281" s="21" t="str">
        <f aca="false">IFERROR(INDEX(종합!W$3:W$501,MATCH(ROW()-2,종합!$AC$3:$AC$501,0))&amp;"","")</f>
        <v/>
      </c>
      <c r="X281" s="21" t="str">
        <f aca="false">IFERROR(INDEX(종합!X$3:X$501,MATCH(ROW()-2,종합!$AC$3:$AC$501,0))&amp;"","")</f>
        <v/>
      </c>
      <c r="Y281" s="21" t="str">
        <f aca="false">IFERROR(INDEX(종합!Y$3:Y$501,MATCH(ROW()-2,종합!$AC$3:$AC$501,0))&amp;"","")</f>
        <v/>
      </c>
      <c r="Z281" s="21" t="str">
        <f aca="false">IFERROR(INDEX(종합!Z$3:Z$501,MATCH(ROW()-2,종합!$AC$3:$AC$501,0))&amp;"","")</f>
        <v/>
      </c>
    </row>
    <row r="282" customFormat="false" ht="16.5" hidden="false" customHeight="true" outlineLevel="0" collapsed="false">
      <c r="A282" s="18" t="str">
        <f aca="false">IF(B282="","",ROW()-2)</f>
        <v/>
      </c>
      <c r="B282" s="18" t="str">
        <f aca="false">IFERROR(INDEX(종합!B$3:B$501,MATCH(ROW()-2,종합!$AC$3:$AC$501,0))&amp;"","")</f>
        <v/>
      </c>
      <c r="C282" s="18" t="str">
        <f aca="false">IFERROR(INDEX(종합!C$3:C$501,MATCH(ROW()-2,종합!$AC$3:$AC$501,0))&amp;"","")</f>
        <v/>
      </c>
      <c r="D282" s="18" t="str">
        <f aca="false">IFERROR(INDEX(종합!D$3:D$501,MATCH(ROW()-2,종합!$AC$3:$AC$501,0))&amp;"","")</f>
        <v/>
      </c>
      <c r="E282" s="18" t="str">
        <f aca="false">IFERROR(INDEX(종합!E$3:E$501,MATCH(ROW()-2,종합!$AC$3:$AC$501,0))&amp;"","")</f>
        <v/>
      </c>
      <c r="F282" s="18" t="str">
        <f aca="false">IFERROR(INDEX(종합!F$3:F$501,MATCH(ROW()-2,종합!$AC$3:$AC$501,0))&amp;"","")</f>
        <v/>
      </c>
      <c r="G282" s="18" t="str">
        <f aca="false">IFERROR(INDEX(종합!G$3:G$501,MATCH(ROW()-2,종합!$AC$3:$AC$501,0))&amp;"","")</f>
        <v/>
      </c>
      <c r="H282" s="21" t="str">
        <f aca="false">IFERROR(INDEX(종합!H$3:H$501,MATCH(ROW()-2,종합!$AC$3:$AC$501,0))&amp;"","")</f>
        <v/>
      </c>
      <c r="I282" s="21" t="str">
        <f aca="false">IFERROR(INDEX(종합!I$3:I$501,MATCH(ROW()-2,종합!$AC$3:$AC$501,0))&amp;"","")</f>
        <v/>
      </c>
      <c r="J282" s="21" t="str">
        <f aca="false">IFERROR(INDEX(종합!J$3:J$501,MATCH(ROW()-2,종합!$AC$3:$AC$501,0))&amp;"","")</f>
        <v/>
      </c>
      <c r="K282" s="21" t="str">
        <f aca="false">IFERROR(INDEX(종합!K$3:K$501,MATCH(ROW()-2,종합!$AC$3:$AC$501,0))&amp;"","")</f>
        <v/>
      </c>
      <c r="L282" s="21" t="str">
        <f aca="false">IFERROR(INDEX(종합!L$3:L$501,MATCH(ROW()-2,종합!$AC$3:$AC$501,0))&amp;"","")</f>
        <v/>
      </c>
      <c r="M282" s="21" t="str">
        <f aca="false">IFERROR(INDEX(종합!M$3:M$501,MATCH(ROW()-2,종합!$AC$3:$AC$501,0))&amp;"","")</f>
        <v/>
      </c>
      <c r="N282" s="25" t="str">
        <f aca="false">IFERROR(INDEX(종합!N$3:N$501,MATCH(ROW()-2,종합!$AC$3:$AC$501,0))&amp;"","")</f>
        <v/>
      </c>
      <c r="O282" s="21" t="str">
        <f aca="false">IFERROR(INDEX(종합!O$3:O$501,MATCH(ROW()-2,종합!$AC$3:$AC$501,0))&amp;"","")</f>
        <v/>
      </c>
      <c r="P282" s="21" t="str">
        <f aca="false">IFERROR(INDEX(종합!P$3:P$501,MATCH(ROW()-2,종합!$AC$3:$AC$501,0))&amp;"","")</f>
        <v/>
      </c>
      <c r="Q282" s="21" t="str">
        <f aca="false">IFERROR(INDEX(종합!Q$3:Q$501,MATCH(ROW()-2,종합!$AC$3:$AC$501,0))&amp;"","")</f>
        <v/>
      </c>
      <c r="R282" s="21" t="str">
        <f aca="false">IFERROR(INDEX(종합!R$3:R$501,MATCH(ROW()-2,종합!$AC$3:$AC$501,0))&amp;"","")</f>
        <v/>
      </c>
      <c r="S282" s="21" t="str">
        <f aca="false">IFERROR(INDEX(종합!S$3:S$501,MATCH(ROW()-2,종합!$AC$3:$AC$501,0))&amp;"","")</f>
        <v/>
      </c>
      <c r="T282" s="21" t="str">
        <f aca="false">IFERROR(INDEX(종합!T$3:T$501,MATCH(ROW()-2,종합!$AC$3:$AC$501,0))&amp;"","")</f>
        <v/>
      </c>
      <c r="U282" s="21" t="str">
        <f aca="false">IFERROR(INDEX(종합!U$3:U$501,MATCH(ROW()-2,종합!$AC$3:$AC$501,0))&amp;"","")</f>
        <v/>
      </c>
      <c r="V282" s="21" t="str">
        <f aca="false">IFERROR(INDEX(종합!V$3:V$501,MATCH(ROW()-2,종합!$AC$3:$AC$501,0))&amp;"","")</f>
        <v/>
      </c>
      <c r="W282" s="21" t="str">
        <f aca="false">IFERROR(INDEX(종합!W$3:W$501,MATCH(ROW()-2,종합!$AC$3:$AC$501,0))&amp;"","")</f>
        <v/>
      </c>
      <c r="X282" s="21" t="str">
        <f aca="false">IFERROR(INDEX(종합!X$3:X$501,MATCH(ROW()-2,종합!$AC$3:$AC$501,0))&amp;"","")</f>
        <v/>
      </c>
      <c r="Y282" s="21" t="str">
        <f aca="false">IFERROR(INDEX(종합!Y$3:Y$501,MATCH(ROW()-2,종합!$AC$3:$AC$501,0))&amp;"","")</f>
        <v/>
      </c>
      <c r="Z282" s="21" t="str">
        <f aca="false">IFERROR(INDEX(종합!Z$3:Z$501,MATCH(ROW()-2,종합!$AC$3:$AC$501,0))&amp;"","")</f>
        <v/>
      </c>
    </row>
    <row r="283" customFormat="false" ht="16.5" hidden="false" customHeight="true" outlineLevel="0" collapsed="false">
      <c r="A283" s="18" t="str">
        <f aca="false">IF(B283="","",ROW()-2)</f>
        <v/>
      </c>
      <c r="B283" s="18" t="str">
        <f aca="false">IFERROR(INDEX(종합!B$3:B$501,MATCH(ROW()-2,종합!$AC$3:$AC$501,0))&amp;"","")</f>
        <v/>
      </c>
      <c r="C283" s="18" t="str">
        <f aca="false">IFERROR(INDEX(종합!C$3:C$501,MATCH(ROW()-2,종합!$AC$3:$AC$501,0))&amp;"","")</f>
        <v/>
      </c>
      <c r="D283" s="18" t="str">
        <f aca="false">IFERROR(INDEX(종합!D$3:D$501,MATCH(ROW()-2,종합!$AC$3:$AC$501,0))&amp;"","")</f>
        <v/>
      </c>
      <c r="E283" s="18" t="str">
        <f aca="false">IFERROR(INDEX(종합!E$3:E$501,MATCH(ROW()-2,종합!$AC$3:$AC$501,0))&amp;"","")</f>
        <v/>
      </c>
      <c r="F283" s="18" t="str">
        <f aca="false">IFERROR(INDEX(종합!F$3:F$501,MATCH(ROW()-2,종합!$AC$3:$AC$501,0))&amp;"","")</f>
        <v/>
      </c>
      <c r="G283" s="18" t="str">
        <f aca="false">IFERROR(INDEX(종합!G$3:G$501,MATCH(ROW()-2,종합!$AC$3:$AC$501,0))&amp;"","")</f>
        <v/>
      </c>
      <c r="H283" s="21" t="str">
        <f aca="false">IFERROR(INDEX(종합!H$3:H$501,MATCH(ROW()-2,종합!$AC$3:$AC$501,0))&amp;"","")</f>
        <v/>
      </c>
      <c r="I283" s="21" t="str">
        <f aca="false">IFERROR(INDEX(종합!I$3:I$501,MATCH(ROW()-2,종합!$AC$3:$AC$501,0))&amp;"","")</f>
        <v/>
      </c>
      <c r="J283" s="21" t="str">
        <f aca="false">IFERROR(INDEX(종합!J$3:J$501,MATCH(ROW()-2,종합!$AC$3:$AC$501,0))&amp;"","")</f>
        <v/>
      </c>
      <c r="K283" s="21" t="str">
        <f aca="false">IFERROR(INDEX(종합!K$3:K$501,MATCH(ROW()-2,종합!$AC$3:$AC$501,0))&amp;"","")</f>
        <v/>
      </c>
      <c r="L283" s="21" t="str">
        <f aca="false">IFERROR(INDEX(종합!L$3:L$501,MATCH(ROW()-2,종합!$AC$3:$AC$501,0))&amp;"","")</f>
        <v/>
      </c>
      <c r="M283" s="21" t="str">
        <f aca="false">IFERROR(INDEX(종합!M$3:M$501,MATCH(ROW()-2,종합!$AC$3:$AC$501,0))&amp;"","")</f>
        <v/>
      </c>
      <c r="N283" s="25" t="str">
        <f aca="false">IFERROR(INDEX(종합!N$3:N$501,MATCH(ROW()-2,종합!$AC$3:$AC$501,0))&amp;"","")</f>
        <v/>
      </c>
      <c r="O283" s="21" t="str">
        <f aca="false">IFERROR(INDEX(종합!O$3:O$501,MATCH(ROW()-2,종합!$AC$3:$AC$501,0))&amp;"","")</f>
        <v/>
      </c>
      <c r="P283" s="21" t="str">
        <f aca="false">IFERROR(INDEX(종합!P$3:P$501,MATCH(ROW()-2,종합!$AC$3:$AC$501,0))&amp;"","")</f>
        <v/>
      </c>
      <c r="Q283" s="21" t="str">
        <f aca="false">IFERROR(INDEX(종합!Q$3:Q$501,MATCH(ROW()-2,종합!$AC$3:$AC$501,0))&amp;"","")</f>
        <v/>
      </c>
      <c r="R283" s="21" t="str">
        <f aca="false">IFERROR(INDEX(종합!R$3:R$501,MATCH(ROW()-2,종합!$AC$3:$AC$501,0))&amp;"","")</f>
        <v/>
      </c>
      <c r="S283" s="21" t="str">
        <f aca="false">IFERROR(INDEX(종합!S$3:S$501,MATCH(ROW()-2,종합!$AC$3:$AC$501,0))&amp;"","")</f>
        <v/>
      </c>
      <c r="T283" s="21" t="str">
        <f aca="false">IFERROR(INDEX(종합!T$3:T$501,MATCH(ROW()-2,종합!$AC$3:$AC$501,0))&amp;"","")</f>
        <v/>
      </c>
      <c r="U283" s="21" t="str">
        <f aca="false">IFERROR(INDEX(종합!U$3:U$501,MATCH(ROW()-2,종합!$AC$3:$AC$501,0))&amp;"","")</f>
        <v/>
      </c>
      <c r="V283" s="21" t="str">
        <f aca="false">IFERROR(INDEX(종합!V$3:V$501,MATCH(ROW()-2,종합!$AC$3:$AC$501,0))&amp;"","")</f>
        <v/>
      </c>
      <c r="W283" s="21" t="str">
        <f aca="false">IFERROR(INDEX(종합!W$3:W$501,MATCH(ROW()-2,종합!$AC$3:$AC$501,0))&amp;"","")</f>
        <v/>
      </c>
      <c r="X283" s="21" t="str">
        <f aca="false">IFERROR(INDEX(종합!X$3:X$501,MATCH(ROW()-2,종합!$AC$3:$AC$501,0))&amp;"","")</f>
        <v/>
      </c>
      <c r="Y283" s="21" t="str">
        <f aca="false">IFERROR(INDEX(종합!Y$3:Y$501,MATCH(ROW()-2,종합!$AC$3:$AC$501,0))&amp;"","")</f>
        <v/>
      </c>
      <c r="Z283" s="21" t="str">
        <f aca="false">IFERROR(INDEX(종합!Z$3:Z$501,MATCH(ROW()-2,종합!$AC$3:$AC$501,0))&amp;"","")</f>
        <v/>
      </c>
    </row>
    <row r="284" customFormat="false" ht="16.5" hidden="false" customHeight="true" outlineLevel="0" collapsed="false">
      <c r="A284" s="18" t="str">
        <f aca="false">IF(B284="","",ROW()-2)</f>
        <v/>
      </c>
      <c r="B284" s="18" t="str">
        <f aca="false">IFERROR(INDEX(종합!B$3:B$501,MATCH(ROW()-2,종합!$AC$3:$AC$501,0))&amp;"","")</f>
        <v/>
      </c>
      <c r="C284" s="18" t="str">
        <f aca="false">IFERROR(INDEX(종합!C$3:C$501,MATCH(ROW()-2,종합!$AC$3:$AC$501,0))&amp;"","")</f>
        <v/>
      </c>
      <c r="D284" s="18" t="str">
        <f aca="false">IFERROR(INDEX(종합!D$3:D$501,MATCH(ROW()-2,종합!$AC$3:$AC$501,0))&amp;"","")</f>
        <v/>
      </c>
      <c r="E284" s="18" t="str">
        <f aca="false">IFERROR(INDEX(종합!E$3:E$501,MATCH(ROW()-2,종합!$AC$3:$AC$501,0))&amp;"","")</f>
        <v/>
      </c>
      <c r="F284" s="18" t="str">
        <f aca="false">IFERROR(INDEX(종합!F$3:F$501,MATCH(ROW()-2,종합!$AC$3:$AC$501,0))&amp;"","")</f>
        <v/>
      </c>
      <c r="G284" s="18" t="str">
        <f aca="false">IFERROR(INDEX(종합!G$3:G$501,MATCH(ROW()-2,종합!$AC$3:$AC$501,0))&amp;"","")</f>
        <v/>
      </c>
      <c r="H284" s="21" t="str">
        <f aca="false">IFERROR(INDEX(종합!H$3:H$501,MATCH(ROW()-2,종합!$AC$3:$AC$501,0))&amp;"","")</f>
        <v/>
      </c>
      <c r="I284" s="21" t="str">
        <f aca="false">IFERROR(INDEX(종합!I$3:I$501,MATCH(ROW()-2,종합!$AC$3:$AC$501,0))&amp;"","")</f>
        <v/>
      </c>
      <c r="J284" s="21" t="str">
        <f aca="false">IFERROR(INDEX(종합!J$3:J$501,MATCH(ROW()-2,종합!$AC$3:$AC$501,0))&amp;"","")</f>
        <v/>
      </c>
      <c r="K284" s="21" t="str">
        <f aca="false">IFERROR(INDEX(종합!K$3:K$501,MATCH(ROW()-2,종합!$AC$3:$AC$501,0))&amp;"","")</f>
        <v/>
      </c>
      <c r="L284" s="21" t="str">
        <f aca="false">IFERROR(INDEX(종합!L$3:L$501,MATCH(ROW()-2,종합!$AC$3:$AC$501,0))&amp;"","")</f>
        <v/>
      </c>
      <c r="M284" s="21" t="str">
        <f aca="false">IFERROR(INDEX(종합!M$3:M$501,MATCH(ROW()-2,종합!$AC$3:$AC$501,0))&amp;"","")</f>
        <v/>
      </c>
      <c r="N284" s="25" t="str">
        <f aca="false">IFERROR(INDEX(종합!N$3:N$501,MATCH(ROW()-2,종합!$AC$3:$AC$501,0))&amp;"","")</f>
        <v/>
      </c>
      <c r="O284" s="21" t="str">
        <f aca="false">IFERROR(INDEX(종합!O$3:O$501,MATCH(ROW()-2,종합!$AC$3:$AC$501,0))&amp;"","")</f>
        <v/>
      </c>
      <c r="P284" s="21" t="str">
        <f aca="false">IFERROR(INDEX(종합!P$3:P$501,MATCH(ROW()-2,종합!$AC$3:$AC$501,0))&amp;"","")</f>
        <v/>
      </c>
      <c r="Q284" s="21" t="str">
        <f aca="false">IFERROR(INDEX(종합!Q$3:Q$501,MATCH(ROW()-2,종합!$AC$3:$AC$501,0))&amp;"","")</f>
        <v/>
      </c>
      <c r="R284" s="21" t="str">
        <f aca="false">IFERROR(INDEX(종합!R$3:R$501,MATCH(ROW()-2,종합!$AC$3:$AC$501,0))&amp;"","")</f>
        <v/>
      </c>
      <c r="S284" s="21" t="str">
        <f aca="false">IFERROR(INDEX(종합!S$3:S$501,MATCH(ROW()-2,종합!$AC$3:$AC$501,0))&amp;"","")</f>
        <v/>
      </c>
      <c r="T284" s="21" t="str">
        <f aca="false">IFERROR(INDEX(종합!T$3:T$501,MATCH(ROW()-2,종합!$AC$3:$AC$501,0))&amp;"","")</f>
        <v/>
      </c>
      <c r="U284" s="21" t="str">
        <f aca="false">IFERROR(INDEX(종합!U$3:U$501,MATCH(ROW()-2,종합!$AC$3:$AC$501,0))&amp;"","")</f>
        <v/>
      </c>
      <c r="V284" s="21" t="str">
        <f aca="false">IFERROR(INDEX(종합!V$3:V$501,MATCH(ROW()-2,종합!$AC$3:$AC$501,0))&amp;"","")</f>
        <v/>
      </c>
      <c r="W284" s="21" t="str">
        <f aca="false">IFERROR(INDEX(종합!W$3:W$501,MATCH(ROW()-2,종합!$AC$3:$AC$501,0))&amp;"","")</f>
        <v/>
      </c>
      <c r="X284" s="21" t="str">
        <f aca="false">IFERROR(INDEX(종합!X$3:X$501,MATCH(ROW()-2,종합!$AC$3:$AC$501,0))&amp;"","")</f>
        <v/>
      </c>
      <c r="Y284" s="21" t="str">
        <f aca="false">IFERROR(INDEX(종합!Y$3:Y$501,MATCH(ROW()-2,종합!$AC$3:$AC$501,0))&amp;"","")</f>
        <v/>
      </c>
      <c r="Z284" s="21" t="str">
        <f aca="false">IFERROR(INDEX(종합!Z$3:Z$501,MATCH(ROW()-2,종합!$AC$3:$AC$501,0))&amp;"","")</f>
        <v/>
      </c>
    </row>
    <row r="285" customFormat="false" ht="16.5" hidden="false" customHeight="true" outlineLevel="0" collapsed="false">
      <c r="A285" s="18" t="str">
        <f aca="false">IF(B285="","",ROW()-2)</f>
        <v/>
      </c>
      <c r="B285" s="18" t="str">
        <f aca="false">IFERROR(INDEX(종합!B$3:B$501,MATCH(ROW()-2,종합!$AC$3:$AC$501,0))&amp;"","")</f>
        <v/>
      </c>
      <c r="C285" s="18" t="str">
        <f aca="false">IFERROR(INDEX(종합!C$3:C$501,MATCH(ROW()-2,종합!$AC$3:$AC$501,0))&amp;"","")</f>
        <v/>
      </c>
      <c r="D285" s="18" t="str">
        <f aca="false">IFERROR(INDEX(종합!D$3:D$501,MATCH(ROW()-2,종합!$AC$3:$AC$501,0))&amp;"","")</f>
        <v/>
      </c>
      <c r="E285" s="18" t="str">
        <f aca="false">IFERROR(INDEX(종합!E$3:E$501,MATCH(ROW()-2,종합!$AC$3:$AC$501,0))&amp;"","")</f>
        <v/>
      </c>
      <c r="F285" s="18" t="str">
        <f aca="false">IFERROR(INDEX(종합!F$3:F$501,MATCH(ROW()-2,종합!$AC$3:$AC$501,0))&amp;"","")</f>
        <v/>
      </c>
      <c r="G285" s="18" t="str">
        <f aca="false">IFERROR(INDEX(종합!G$3:G$501,MATCH(ROW()-2,종합!$AC$3:$AC$501,0))&amp;"","")</f>
        <v/>
      </c>
      <c r="H285" s="21" t="str">
        <f aca="false">IFERROR(INDEX(종합!H$3:H$501,MATCH(ROW()-2,종합!$AC$3:$AC$501,0))&amp;"","")</f>
        <v/>
      </c>
      <c r="I285" s="21" t="str">
        <f aca="false">IFERROR(INDEX(종합!I$3:I$501,MATCH(ROW()-2,종합!$AC$3:$AC$501,0))&amp;"","")</f>
        <v/>
      </c>
      <c r="J285" s="21" t="str">
        <f aca="false">IFERROR(INDEX(종합!J$3:J$501,MATCH(ROW()-2,종합!$AC$3:$AC$501,0))&amp;"","")</f>
        <v/>
      </c>
      <c r="K285" s="21" t="str">
        <f aca="false">IFERROR(INDEX(종합!K$3:K$501,MATCH(ROW()-2,종합!$AC$3:$AC$501,0))&amp;"","")</f>
        <v/>
      </c>
      <c r="L285" s="21" t="str">
        <f aca="false">IFERROR(INDEX(종합!L$3:L$501,MATCH(ROW()-2,종합!$AC$3:$AC$501,0))&amp;"","")</f>
        <v/>
      </c>
      <c r="M285" s="21" t="str">
        <f aca="false">IFERROR(INDEX(종합!M$3:M$501,MATCH(ROW()-2,종합!$AC$3:$AC$501,0))&amp;"","")</f>
        <v/>
      </c>
      <c r="N285" s="25" t="str">
        <f aca="false">IFERROR(INDEX(종합!N$3:N$501,MATCH(ROW()-2,종합!$AC$3:$AC$501,0))&amp;"","")</f>
        <v/>
      </c>
      <c r="O285" s="21" t="str">
        <f aca="false">IFERROR(INDEX(종합!O$3:O$501,MATCH(ROW()-2,종합!$AC$3:$AC$501,0))&amp;"","")</f>
        <v/>
      </c>
      <c r="P285" s="21" t="str">
        <f aca="false">IFERROR(INDEX(종합!P$3:P$501,MATCH(ROW()-2,종합!$AC$3:$AC$501,0))&amp;"","")</f>
        <v/>
      </c>
      <c r="Q285" s="21" t="str">
        <f aca="false">IFERROR(INDEX(종합!Q$3:Q$501,MATCH(ROW()-2,종합!$AC$3:$AC$501,0))&amp;"","")</f>
        <v/>
      </c>
      <c r="R285" s="21" t="str">
        <f aca="false">IFERROR(INDEX(종합!R$3:R$501,MATCH(ROW()-2,종합!$AC$3:$AC$501,0))&amp;"","")</f>
        <v/>
      </c>
      <c r="S285" s="21" t="str">
        <f aca="false">IFERROR(INDEX(종합!S$3:S$501,MATCH(ROW()-2,종합!$AC$3:$AC$501,0))&amp;"","")</f>
        <v/>
      </c>
      <c r="T285" s="21" t="str">
        <f aca="false">IFERROR(INDEX(종합!T$3:T$501,MATCH(ROW()-2,종합!$AC$3:$AC$501,0))&amp;"","")</f>
        <v/>
      </c>
      <c r="U285" s="21" t="str">
        <f aca="false">IFERROR(INDEX(종합!U$3:U$501,MATCH(ROW()-2,종합!$AC$3:$AC$501,0))&amp;"","")</f>
        <v/>
      </c>
      <c r="V285" s="21" t="str">
        <f aca="false">IFERROR(INDEX(종합!V$3:V$501,MATCH(ROW()-2,종합!$AC$3:$AC$501,0))&amp;"","")</f>
        <v/>
      </c>
      <c r="W285" s="21" t="str">
        <f aca="false">IFERROR(INDEX(종합!W$3:W$501,MATCH(ROW()-2,종합!$AC$3:$AC$501,0))&amp;"","")</f>
        <v/>
      </c>
      <c r="X285" s="21" t="str">
        <f aca="false">IFERROR(INDEX(종합!X$3:X$501,MATCH(ROW()-2,종합!$AC$3:$AC$501,0))&amp;"","")</f>
        <v/>
      </c>
      <c r="Y285" s="21" t="str">
        <f aca="false">IFERROR(INDEX(종합!Y$3:Y$501,MATCH(ROW()-2,종합!$AC$3:$AC$501,0))&amp;"","")</f>
        <v/>
      </c>
      <c r="Z285" s="21" t="str">
        <f aca="false">IFERROR(INDEX(종합!Z$3:Z$501,MATCH(ROW()-2,종합!$AC$3:$AC$501,0))&amp;"","")</f>
        <v/>
      </c>
    </row>
    <row r="286" customFormat="false" ht="16.5" hidden="false" customHeight="true" outlineLevel="0" collapsed="false">
      <c r="A286" s="18" t="str">
        <f aca="false">IF(B286="","",ROW()-2)</f>
        <v/>
      </c>
      <c r="B286" s="18" t="str">
        <f aca="false">IFERROR(INDEX(종합!B$3:B$501,MATCH(ROW()-2,종합!$AC$3:$AC$501,0))&amp;"","")</f>
        <v/>
      </c>
      <c r="C286" s="18" t="str">
        <f aca="false">IFERROR(INDEX(종합!C$3:C$501,MATCH(ROW()-2,종합!$AC$3:$AC$501,0))&amp;"","")</f>
        <v/>
      </c>
      <c r="D286" s="18" t="str">
        <f aca="false">IFERROR(INDEX(종합!D$3:D$501,MATCH(ROW()-2,종합!$AC$3:$AC$501,0))&amp;"","")</f>
        <v/>
      </c>
      <c r="E286" s="18" t="str">
        <f aca="false">IFERROR(INDEX(종합!E$3:E$501,MATCH(ROW()-2,종합!$AC$3:$AC$501,0))&amp;"","")</f>
        <v/>
      </c>
      <c r="F286" s="18" t="str">
        <f aca="false">IFERROR(INDEX(종합!F$3:F$501,MATCH(ROW()-2,종합!$AC$3:$AC$501,0))&amp;"","")</f>
        <v/>
      </c>
      <c r="G286" s="18" t="str">
        <f aca="false">IFERROR(INDEX(종합!G$3:G$501,MATCH(ROW()-2,종합!$AC$3:$AC$501,0))&amp;"","")</f>
        <v/>
      </c>
      <c r="H286" s="21" t="str">
        <f aca="false">IFERROR(INDEX(종합!H$3:H$501,MATCH(ROW()-2,종합!$AC$3:$AC$501,0))&amp;"","")</f>
        <v/>
      </c>
      <c r="I286" s="21" t="str">
        <f aca="false">IFERROR(INDEX(종합!I$3:I$501,MATCH(ROW()-2,종합!$AC$3:$AC$501,0))&amp;"","")</f>
        <v/>
      </c>
      <c r="J286" s="21" t="str">
        <f aca="false">IFERROR(INDEX(종합!J$3:J$501,MATCH(ROW()-2,종합!$AC$3:$AC$501,0))&amp;"","")</f>
        <v/>
      </c>
      <c r="K286" s="21" t="str">
        <f aca="false">IFERROR(INDEX(종합!K$3:K$501,MATCH(ROW()-2,종합!$AC$3:$AC$501,0))&amp;"","")</f>
        <v/>
      </c>
      <c r="L286" s="21" t="str">
        <f aca="false">IFERROR(INDEX(종합!L$3:L$501,MATCH(ROW()-2,종합!$AC$3:$AC$501,0))&amp;"","")</f>
        <v/>
      </c>
      <c r="M286" s="21" t="str">
        <f aca="false">IFERROR(INDEX(종합!M$3:M$501,MATCH(ROW()-2,종합!$AC$3:$AC$501,0))&amp;"","")</f>
        <v/>
      </c>
      <c r="N286" s="25" t="str">
        <f aca="false">IFERROR(INDEX(종합!N$3:N$501,MATCH(ROW()-2,종합!$AC$3:$AC$501,0))&amp;"","")</f>
        <v/>
      </c>
      <c r="O286" s="21" t="str">
        <f aca="false">IFERROR(INDEX(종합!O$3:O$501,MATCH(ROW()-2,종합!$AC$3:$AC$501,0))&amp;"","")</f>
        <v/>
      </c>
      <c r="P286" s="21" t="str">
        <f aca="false">IFERROR(INDEX(종합!P$3:P$501,MATCH(ROW()-2,종합!$AC$3:$AC$501,0))&amp;"","")</f>
        <v/>
      </c>
      <c r="Q286" s="21" t="str">
        <f aca="false">IFERROR(INDEX(종합!Q$3:Q$501,MATCH(ROW()-2,종합!$AC$3:$AC$501,0))&amp;"","")</f>
        <v/>
      </c>
      <c r="R286" s="21" t="str">
        <f aca="false">IFERROR(INDEX(종합!R$3:R$501,MATCH(ROW()-2,종합!$AC$3:$AC$501,0))&amp;"","")</f>
        <v/>
      </c>
      <c r="S286" s="21" t="str">
        <f aca="false">IFERROR(INDEX(종합!S$3:S$501,MATCH(ROW()-2,종합!$AC$3:$AC$501,0))&amp;"","")</f>
        <v/>
      </c>
      <c r="T286" s="21" t="str">
        <f aca="false">IFERROR(INDEX(종합!T$3:T$501,MATCH(ROW()-2,종합!$AC$3:$AC$501,0))&amp;"","")</f>
        <v/>
      </c>
      <c r="U286" s="21" t="str">
        <f aca="false">IFERROR(INDEX(종합!U$3:U$501,MATCH(ROW()-2,종합!$AC$3:$AC$501,0))&amp;"","")</f>
        <v/>
      </c>
      <c r="V286" s="21" t="str">
        <f aca="false">IFERROR(INDEX(종합!V$3:V$501,MATCH(ROW()-2,종합!$AC$3:$AC$501,0))&amp;"","")</f>
        <v/>
      </c>
      <c r="W286" s="21" t="str">
        <f aca="false">IFERROR(INDEX(종합!W$3:W$501,MATCH(ROW()-2,종합!$AC$3:$AC$501,0))&amp;"","")</f>
        <v/>
      </c>
      <c r="X286" s="21" t="str">
        <f aca="false">IFERROR(INDEX(종합!X$3:X$501,MATCH(ROW()-2,종합!$AC$3:$AC$501,0))&amp;"","")</f>
        <v/>
      </c>
      <c r="Y286" s="21" t="str">
        <f aca="false">IFERROR(INDEX(종합!Y$3:Y$501,MATCH(ROW()-2,종합!$AC$3:$AC$501,0))&amp;"","")</f>
        <v/>
      </c>
      <c r="Z286" s="21" t="str">
        <f aca="false">IFERROR(INDEX(종합!Z$3:Z$501,MATCH(ROW()-2,종합!$AC$3:$AC$501,0))&amp;"","")</f>
        <v/>
      </c>
    </row>
    <row r="287" customFormat="false" ht="16.5" hidden="false" customHeight="true" outlineLevel="0" collapsed="false">
      <c r="A287" s="18" t="str">
        <f aca="false">IF(B287="","",ROW()-2)</f>
        <v/>
      </c>
      <c r="B287" s="18" t="str">
        <f aca="false">IFERROR(INDEX(종합!B$3:B$501,MATCH(ROW()-2,종합!$AC$3:$AC$501,0))&amp;"","")</f>
        <v/>
      </c>
      <c r="C287" s="18" t="str">
        <f aca="false">IFERROR(INDEX(종합!C$3:C$501,MATCH(ROW()-2,종합!$AC$3:$AC$501,0))&amp;"","")</f>
        <v/>
      </c>
      <c r="D287" s="18" t="str">
        <f aca="false">IFERROR(INDEX(종합!D$3:D$501,MATCH(ROW()-2,종합!$AC$3:$AC$501,0))&amp;"","")</f>
        <v/>
      </c>
      <c r="E287" s="18" t="str">
        <f aca="false">IFERROR(INDEX(종합!E$3:E$501,MATCH(ROW()-2,종합!$AC$3:$AC$501,0))&amp;"","")</f>
        <v/>
      </c>
      <c r="F287" s="18" t="str">
        <f aca="false">IFERROR(INDEX(종합!F$3:F$501,MATCH(ROW()-2,종합!$AC$3:$AC$501,0))&amp;"","")</f>
        <v/>
      </c>
      <c r="G287" s="18" t="str">
        <f aca="false">IFERROR(INDEX(종합!G$3:G$501,MATCH(ROW()-2,종합!$AC$3:$AC$501,0))&amp;"","")</f>
        <v/>
      </c>
      <c r="H287" s="21" t="str">
        <f aca="false">IFERROR(INDEX(종합!H$3:H$501,MATCH(ROW()-2,종합!$AC$3:$AC$501,0))&amp;"","")</f>
        <v/>
      </c>
      <c r="I287" s="21" t="str">
        <f aca="false">IFERROR(INDEX(종합!I$3:I$501,MATCH(ROW()-2,종합!$AC$3:$AC$501,0))&amp;"","")</f>
        <v/>
      </c>
      <c r="J287" s="21" t="str">
        <f aca="false">IFERROR(INDEX(종합!J$3:J$501,MATCH(ROW()-2,종합!$AC$3:$AC$501,0))&amp;"","")</f>
        <v/>
      </c>
      <c r="K287" s="21" t="str">
        <f aca="false">IFERROR(INDEX(종합!K$3:K$501,MATCH(ROW()-2,종합!$AC$3:$AC$501,0))&amp;"","")</f>
        <v/>
      </c>
      <c r="L287" s="21" t="str">
        <f aca="false">IFERROR(INDEX(종합!L$3:L$501,MATCH(ROW()-2,종합!$AC$3:$AC$501,0))&amp;"","")</f>
        <v/>
      </c>
      <c r="M287" s="21" t="str">
        <f aca="false">IFERROR(INDEX(종합!M$3:M$501,MATCH(ROW()-2,종합!$AC$3:$AC$501,0))&amp;"","")</f>
        <v/>
      </c>
      <c r="N287" s="25" t="str">
        <f aca="false">IFERROR(INDEX(종합!N$3:N$501,MATCH(ROW()-2,종합!$AC$3:$AC$501,0))&amp;"","")</f>
        <v/>
      </c>
      <c r="O287" s="21" t="str">
        <f aca="false">IFERROR(INDEX(종합!O$3:O$501,MATCH(ROW()-2,종합!$AC$3:$AC$501,0))&amp;"","")</f>
        <v/>
      </c>
      <c r="P287" s="21" t="str">
        <f aca="false">IFERROR(INDEX(종합!P$3:P$501,MATCH(ROW()-2,종합!$AC$3:$AC$501,0))&amp;"","")</f>
        <v/>
      </c>
      <c r="Q287" s="21" t="str">
        <f aca="false">IFERROR(INDEX(종합!Q$3:Q$501,MATCH(ROW()-2,종합!$AC$3:$AC$501,0))&amp;"","")</f>
        <v/>
      </c>
      <c r="R287" s="21" t="str">
        <f aca="false">IFERROR(INDEX(종합!R$3:R$501,MATCH(ROW()-2,종합!$AC$3:$AC$501,0))&amp;"","")</f>
        <v/>
      </c>
      <c r="S287" s="21" t="str">
        <f aca="false">IFERROR(INDEX(종합!S$3:S$501,MATCH(ROW()-2,종합!$AC$3:$AC$501,0))&amp;"","")</f>
        <v/>
      </c>
      <c r="T287" s="21" t="str">
        <f aca="false">IFERROR(INDEX(종합!T$3:T$501,MATCH(ROW()-2,종합!$AC$3:$AC$501,0))&amp;"","")</f>
        <v/>
      </c>
      <c r="U287" s="21" t="str">
        <f aca="false">IFERROR(INDEX(종합!U$3:U$501,MATCH(ROW()-2,종합!$AC$3:$AC$501,0))&amp;"","")</f>
        <v/>
      </c>
      <c r="V287" s="21" t="str">
        <f aca="false">IFERROR(INDEX(종합!V$3:V$501,MATCH(ROW()-2,종합!$AC$3:$AC$501,0))&amp;"","")</f>
        <v/>
      </c>
      <c r="W287" s="21" t="str">
        <f aca="false">IFERROR(INDEX(종합!W$3:W$501,MATCH(ROW()-2,종합!$AC$3:$AC$501,0))&amp;"","")</f>
        <v/>
      </c>
      <c r="X287" s="21" t="str">
        <f aca="false">IFERROR(INDEX(종합!X$3:X$501,MATCH(ROW()-2,종합!$AC$3:$AC$501,0))&amp;"","")</f>
        <v/>
      </c>
      <c r="Y287" s="21" t="str">
        <f aca="false">IFERROR(INDEX(종합!Y$3:Y$501,MATCH(ROW()-2,종합!$AC$3:$AC$501,0))&amp;"","")</f>
        <v/>
      </c>
      <c r="Z287" s="21" t="str">
        <f aca="false">IFERROR(INDEX(종합!Z$3:Z$501,MATCH(ROW()-2,종합!$AC$3:$AC$501,0))&amp;"","")</f>
        <v/>
      </c>
    </row>
    <row r="288" customFormat="false" ht="16.5" hidden="false" customHeight="true" outlineLevel="0" collapsed="false">
      <c r="A288" s="18" t="str">
        <f aca="false">IF(B288="","",ROW()-2)</f>
        <v/>
      </c>
      <c r="B288" s="18" t="str">
        <f aca="false">IFERROR(INDEX(종합!B$3:B$501,MATCH(ROW()-2,종합!$AC$3:$AC$501,0))&amp;"","")</f>
        <v/>
      </c>
      <c r="C288" s="18" t="str">
        <f aca="false">IFERROR(INDEX(종합!C$3:C$501,MATCH(ROW()-2,종합!$AC$3:$AC$501,0))&amp;"","")</f>
        <v/>
      </c>
      <c r="D288" s="18" t="str">
        <f aca="false">IFERROR(INDEX(종합!D$3:D$501,MATCH(ROW()-2,종합!$AC$3:$AC$501,0))&amp;"","")</f>
        <v/>
      </c>
      <c r="E288" s="18" t="str">
        <f aca="false">IFERROR(INDEX(종합!E$3:E$501,MATCH(ROW()-2,종합!$AC$3:$AC$501,0))&amp;"","")</f>
        <v/>
      </c>
      <c r="F288" s="18" t="str">
        <f aca="false">IFERROR(INDEX(종합!F$3:F$501,MATCH(ROW()-2,종합!$AC$3:$AC$501,0))&amp;"","")</f>
        <v/>
      </c>
      <c r="G288" s="18" t="str">
        <f aca="false">IFERROR(INDEX(종합!G$3:G$501,MATCH(ROW()-2,종합!$AC$3:$AC$501,0))&amp;"","")</f>
        <v/>
      </c>
      <c r="H288" s="21" t="str">
        <f aca="false">IFERROR(INDEX(종합!H$3:H$501,MATCH(ROW()-2,종합!$AC$3:$AC$501,0))&amp;"","")</f>
        <v/>
      </c>
      <c r="I288" s="21" t="str">
        <f aca="false">IFERROR(INDEX(종합!I$3:I$501,MATCH(ROW()-2,종합!$AC$3:$AC$501,0))&amp;"","")</f>
        <v/>
      </c>
      <c r="J288" s="21" t="str">
        <f aca="false">IFERROR(INDEX(종합!J$3:J$501,MATCH(ROW()-2,종합!$AC$3:$AC$501,0))&amp;"","")</f>
        <v/>
      </c>
      <c r="K288" s="21" t="str">
        <f aca="false">IFERROR(INDEX(종합!K$3:K$501,MATCH(ROW()-2,종합!$AC$3:$AC$501,0))&amp;"","")</f>
        <v/>
      </c>
      <c r="L288" s="21" t="str">
        <f aca="false">IFERROR(INDEX(종합!L$3:L$501,MATCH(ROW()-2,종합!$AC$3:$AC$501,0))&amp;"","")</f>
        <v/>
      </c>
      <c r="M288" s="21" t="str">
        <f aca="false">IFERROR(INDEX(종합!M$3:M$501,MATCH(ROW()-2,종합!$AC$3:$AC$501,0))&amp;"","")</f>
        <v/>
      </c>
      <c r="N288" s="25" t="str">
        <f aca="false">IFERROR(INDEX(종합!N$3:N$501,MATCH(ROW()-2,종합!$AC$3:$AC$501,0))&amp;"","")</f>
        <v/>
      </c>
      <c r="O288" s="21" t="str">
        <f aca="false">IFERROR(INDEX(종합!O$3:O$501,MATCH(ROW()-2,종합!$AC$3:$AC$501,0))&amp;"","")</f>
        <v/>
      </c>
      <c r="P288" s="21" t="str">
        <f aca="false">IFERROR(INDEX(종합!P$3:P$501,MATCH(ROW()-2,종합!$AC$3:$AC$501,0))&amp;"","")</f>
        <v/>
      </c>
      <c r="Q288" s="21" t="str">
        <f aca="false">IFERROR(INDEX(종합!Q$3:Q$501,MATCH(ROW()-2,종합!$AC$3:$AC$501,0))&amp;"","")</f>
        <v/>
      </c>
      <c r="R288" s="21" t="str">
        <f aca="false">IFERROR(INDEX(종합!R$3:R$501,MATCH(ROW()-2,종합!$AC$3:$AC$501,0))&amp;"","")</f>
        <v/>
      </c>
      <c r="S288" s="21" t="str">
        <f aca="false">IFERROR(INDEX(종합!S$3:S$501,MATCH(ROW()-2,종합!$AC$3:$AC$501,0))&amp;"","")</f>
        <v/>
      </c>
      <c r="T288" s="21" t="str">
        <f aca="false">IFERROR(INDEX(종합!T$3:T$501,MATCH(ROW()-2,종합!$AC$3:$AC$501,0))&amp;"","")</f>
        <v/>
      </c>
      <c r="U288" s="21" t="str">
        <f aca="false">IFERROR(INDEX(종합!U$3:U$501,MATCH(ROW()-2,종합!$AC$3:$AC$501,0))&amp;"","")</f>
        <v/>
      </c>
      <c r="V288" s="21" t="str">
        <f aca="false">IFERROR(INDEX(종합!V$3:V$501,MATCH(ROW()-2,종합!$AC$3:$AC$501,0))&amp;"","")</f>
        <v/>
      </c>
      <c r="W288" s="21" t="str">
        <f aca="false">IFERROR(INDEX(종합!W$3:W$501,MATCH(ROW()-2,종합!$AC$3:$AC$501,0))&amp;"","")</f>
        <v/>
      </c>
      <c r="X288" s="21" t="str">
        <f aca="false">IFERROR(INDEX(종합!X$3:X$501,MATCH(ROW()-2,종합!$AC$3:$AC$501,0))&amp;"","")</f>
        <v/>
      </c>
      <c r="Y288" s="21" t="str">
        <f aca="false">IFERROR(INDEX(종합!Y$3:Y$501,MATCH(ROW()-2,종합!$AC$3:$AC$501,0))&amp;"","")</f>
        <v/>
      </c>
      <c r="Z288" s="21" t="str">
        <f aca="false">IFERROR(INDEX(종합!Z$3:Z$501,MATCH(ROW()-2,종합!$AC$3:$AC$501,0))&amp;"","")</f>
        <v/>
      </c>
    </row>
    <row r="289" customFormat="false" ht="16.5" hidden="false" customHeight="true" outlineLevel="0" collapsed="false">
      <c r="A289" s="18" t="str">
        <f aca="false">IF(B289="","",ROW()-2)</f>
        <v/>
      </c>
      <c r="B289" s="18" t="str">
        <f aca="false">IFERROR(INDEX(종합!B$3:B$501,MATCH(ROW()-2,종합!$AC$3:$AC$501,0))&amp;"","")</f>
        <v/>
      </c>
      <c r="C289" s="18" t="str">
        <f aca="false">IFERROR(INDEX(종합!C$3:C$501,MATCH(ROW()-2,종합!$AC$3:$AC$501,0))&amp;"","")</f>
        <v/>
      </c>
      <c r="D289" s="18" t="str">
        <f aca="false">IFERROR(INDEX(종합!D$3:D$501,MATCH(ROW()-2,종합!$AC$3:$AC$501,0))&amp;"","")</f>
        <v/>
      </c>
      <c r="E289" s="18" t="str">
        <f aca="false">IFERROR(INDEX(종합!E$3:E$501,MATCH(ROW()-2,종합!$AC$3:$AC$501,0))&amp;"","")</f>
        <v/>
      </c>
      <c r="F289" s="18" t="str">
        <f aca="false">IFERROR(INDEX(종합!F$3:F$501,MATCH(ROW()-2,종합!$AC$3:$AC$501,0))&amp;"","")</f>
        <v/>
      </c>
      <c r="G289" s="18" t="str">
        <f aca="false">IFERROR(INDEX(종합!G$3:G$501,MATCH(ROW()-2,종합!$AC$3:$AC$501,0))&amp;"","")</f>
        <v/>
      </c>
      <c r="H289" s="21" t="str">
        <f aca="false">IFERROR(INDEX(종합!H$3:H$501,MATCH(ROW()-2,종합!$AC$3:$AC$501,0))&amp;"","")</f>
        <v/>
      </c>
      <c r="I289" s="21" t="str">
        <f aca="false">IFERROR(INDEX(종합!I$3:I$501,MATCH(ROW()-2,종합!$AC$3:$AC$501,0))&amp;"","")</f>
        <v/>
      </c>
      <c r="J289" s="21" t="str">
        <f aca="false">IFERROR(INDEX(종합!J$3:J$501,MATCH(ROW()-2,종합!$AC$3:$AC$501,0))&amp;"","")</f>
        <v/>
      </c>
      <c r="K289" s="21" t="str">
        <f aca="false">IFERROR(INDEX(종합!K$3:K$501,MATCH(ROW()-2,종합!$AC$3:$AC$501,0))&amp;"","")</f>
        <v/>
      </c>
      <c r="L289" s="21" t="str">
        <f aca="false">IFERROR(INDEX(종합!L$3:L$501,MATCH(ROW()-2,종합!$AC$3:$AC$501,0))&amp;"","")</f>
        <v/>
      </c>
      <c r="M289" s="21" t="str">
        <f aca="false">IFERROR(INDEX(종합!M$3:M$501,MATCH(ROW()-2,종합!$AC$3:$AC$501,0))&amp;"","")</f>
        <v/>
      </c>
      <c r="N289" s="25" t="str">
        <f aca="false">IFERROR(INDEX(종합!N$3:N$501,MATCH(ROW()-2,종합!$AC$3:$AC$501,0))&amp;"","")</f>
        <v/>
      </c>
      <c r="O289" s="21" t="str">
        <f aca="false">IFERROR(INDEX(종합!O$3:O$501,MATCH(ROW()-2,종합!$AC$3:$AC$501,0))&amp;"","")</f>
        <v/>
      </c>
      <c r="P289" s="21" t="str">
        <f aca="false">IFERROR(INDEX(종합!P$3:P$501,MATCH(ROW()-2,종합!$AC$3:$AC$501,0))&amp;"","")</f>
        <v/>
      </c>
      <c r="Q289" s="21" t="str">
        <f aca="false">IFERROR(INDEX(종합!Q$3:Q$501,MATCH(ROW()-2,종합!$AC$3:$AC$501,0))&amp;"","")</f>
        <v/>
      </c>
      <c r="R289" s="21" t="str">
        <f aca="false">IFERROR(INDEX(종합!R$3:R$501,MATCH(ROW()-2,종합!$AC$3:$AC$501,0))&amp;"","")</f>
        <v/>
      </c>
      <c r="S289" s="21" t="str">
        <f aca="false">IFERROR(INDEX(종합!S$3:S$501,MATCH(ROW()-2,종합!$AC$3:$AC$501,0))&amp;"","")</f>
        <v/>
      </c>
      <c r="T289" s="21" t="str">
        <f aca="false">IFERROR(INDEX(종합!T$3:T$501,MATCH(ROW()-2,종합!$AC$3:$AC$501,0))&amp;"","")</f>
        <v/>
      </c>
      <c r="U289" s="21" t="str">
        <f aca="false">IFERROR(INDEX(종합!U$3:U$501,MATCH(ROW()-2,종합!$AC$3:$AC$501,0))&amp;"","")</f>
        <v/>
      </c>
      <c r="V289" s="21" t="str">
        <f aca="false">IFERROR(INDEX(종합!V$3:V$501,MATCH(ROW()-2,종합!$AC$3:$AC$501,0))&amp;"","")</f>
        <v/>
      </c>
      <c r="W289" s="21" t="str">
        <f aca="false">IFERROR(INDEX(종합!W$3:W$501,MATCH(ROW()-2,종합!$AC$3:$AC$501,0))&amp;"","")</f>
        <v/>
      </c>
      <c r="X289" s="21" t="str">
        <f aca="false">IFERROR(INDEX(종합!X$3:X$501,MATCH(ROW()-2,종합!$AC$3:$AC$501,0))&amp;"","")</f>
        <v/>
      </c>
      <c r="Y289" s="21" t="str">
        <f aca="false">IFERROR(INDEX(종합!Y$3:Y$501,MATCH(ROW()-2,종합!$AC$3:$AC$501,0))&amp;"","")</f>
        <v/>
      </c>
      <c r="Z289" s="21" t="str">
        <f aca="false">IFERROR(INDEX(종합!Z$3:Z$501,MATCH(ROW()-2,종합!$AC$3:$AC$501,0))&amp;"","")</f>
        <v/>
      </c>
    </row>
    <row r="290" customFormat="false" ht="16.5" hidden="false" customHeight="true" outlineLevel="0" collapsed="false">
      <c r="A290" s="18" t="str">
        <f aca="false">IF(B290="","",ROW()-2)</f>
        <v/>
      </c>
      <c r="B290" s="18" t="str">
        <f aca="false">IFERROR(INDEX(종합!B$3:B$501,MATCH(ROW()-2,종합!$AC$3:$AC$501,0))&amp;"","")</f>
        <v/>
      </c>
      <c r="C290" s="18" t="str">
        <f aca="false">IFERROR(INDEX(종합!C$3:C$501,MATCH(ROW()-2,종합!$AC$3:$AC$501,0))&amp;"","")</f>
        <v/>
      </c>
      <c r="D290" s="18" t="str">
        <f aca="false">IFERROR(INDEX(종합!D$3:D$501,MATCH(ROW()-2,종합!$AC$3:$AC$501,0))&amp;"","")</f>
        <v/>
      </c>
      <c r="E290" s="18" t="str">
        <f aca="false">IFERROR(INDEX(종합!E$3:E$501,MATCH(ROW()-2,종합!$AC$3:$AC$501,0))&amp;"","")</f>
        <v/>
      </c>
      <c r="F290" s="18" t="str">
        <f aca="false">IFERROR(INDEX(종합!F$3:F$501,MATCH(ROW()-2,종합!$AC$3:$AC$501,0))&amp;"","")</f>
        <v/>
      </c>
      <c r="G290" s="18" t="str">
        <f aca="false">IFERROR(INDEX(종합!G$3:G$501,MATCH(ROW()-2,종합!$AC$3:$AC$501,0))&amp;"","")</f>
        <v/>
      </c>
      <c r="H290" s="21" t="str">
        <f aca="false">IFERROR(INDEX(종합!H$3:H$501,MATCH(ROW()-2,종합!$AC$3:$AC$501,0))&amp;"","")</f>
        <v/>
      </c>
      <c r="I290" s="21" t="str">
        <f aca="false">IFERROR(INDEX(종합!I$3:I$501,MATCH(ROW()-2,종합!$AC$3:$AC$501,0))&amp;"","")</f>
        <v/>
      </c>
      <c r="J290" s="21" t="str">
        <f aca="false">IFERROR(INDEX(종합!J$3:J$501,MATCH(ROW()-2,종합!$AC$3:$AC$501,0))&amp;"","")</f>
        <v/>
      </c>
      <c r="K290" s="21" t="str">
        <f aca="false">IFERROR(INDEX(종합!K$3:K$501,MATCH(ROW()-2,종합!$AC$3:$AC$501,0))&amp;"","")</f>
        <v/>
      </c>
      <c r="L290" s="21" t="str">
        <f aca="false">IFERROR(INDEX(종합!L$3:L$501,MATCH(ROW()-2,종합!$AC$3:$AC$501,0))&amp;"","")</f>
        <v/>
      </c>
      <c r="M290" s="21" t="str">
        <f aca="false">IFERROR(INDEX(종합!M$3:M$501,MATCH(ROW()-2,종합!$AC$3:$AC$501,0))&amp;"","")</f>
        <v/>
      </c>
      <c r="N290" s="25" t="str">
        <f aca="false">IFERROR(INDEX(종합!N$3:N$501,MATCH(ROW()-2,종합!$AC$3:$AC$501,0))&amp;"","")</f>
        <v/>
      </c>
      <c r="O290" s="21" t="str">
        <f aca="false">IFERROR(INDEX(종합!O$3:O$501,MATCH(ROW()-2,종합!$AC$3:$AC$501,0))&amp;"","")</f>
        <v/>
      </c>
      <c r="P290" s="21" t="str">
        <f aca="false">IFERROR(INDEX(종합!P$3:P$501,MATCH(ROW()-2,종합!$AC$3:$AC$501,0))&amp;"","")</f>
        <v/>
      </c>
      <c r="Q290" s="21" t="str">
        <f aca="false">IFERROR(INDEX(종합!Q$3:Q$501,MATCH(ROW()-2,종합!$AC$3:$AC$501,0))&amp;"","")</f>
        <v/>
      </c>
      <c r="R290" s="21" t="str">
        <f aca="false">IFERROR(INDEX(종합!R$3:R$501,MATCH(ROW()-2,종합!$AC$3:$AC$501,0))&amp;"","")</f>
        <v/>
      </c>
      <c r="S290" s="21" t="str">
        <f aca="false">IFERROR(INDEX(종합!S$3:S$501,MATCH(ROW()-2,종합!$AC$3:$AC$501,0))&amp;"","")</f>
        <v/>
      </c>
      <c r="T290" s="21" t="str">
        <f aca="false">IFERROR(INDEX(종합!T$3:T$501,MATCH(ROW()-2,종합!$AC$3:$AC$501,0))&amp;"","")</f>
        <v/>
      </c>
      <c r="U290" s="21" t="str">
        <f aca="false">IFERROR(INDEX(종합!U$3:U$501,MATCH(ROW()-2,종합!$AC$3:$AC$501,0))&amp;"","")</f>
        <v/>
      </c>
      <c r="V290" s="21" t="str">
        <f aca="false">IFERROR(INDEX(종합!V$3:V$501,MATCH(ROW()-2,종합!$AC$3:$AC$501,0))&amp;"","")</f>
        <v/>
      </c>
      <c r="W290" s="21" t="str">
        <f aca="false">IFERROR(INDEX(종합!W$3:W$501,MATCH(ROW()-2,종합!$AC$3:$AC$501,0))&amp;"","")</f>
        <v/>
      </c>
      <c r="X290" s="21" t="str">
        <f aca="false">IFERROR(INDEX(종합!X$3:X$501,MATCH(ROW()-2,종합!$AC$3:$AC$501,0))&amp;"","")</f>
        <v/>
      </c>
      <c r="Y290" s="21" t="str">
        <f aca="false">IFERROR(INDEX(종합!Y$3:Y$501,MATCH(ROW()-2,종합!$AC$3:$AC$501,0))&amp;"","")</f>
        <v/>
      </c>
      <c r="Z290" s="21" t="str">
        <f aca="false">IFERROR(INDEX(종합!Z$3:Z$501,MATCH(ROW()-2,종합!$AC$3:$AC$501,0))&amp;"","")</f>
        <v/>
      </c>
    </row>
    <row r="291" customFormat="false" ht="16.5" hidden="false" customHeight="true" outlineLevel="0" collapsed="false">
      <c r="A291" s="18" t="str">
        <f aca="false">IF(B291="","",ROW()-2)</f>
        <v/>
      </c>
      <c r="B291" s="18" t="str">
        <f aca="false">IFERROR(INDEX(종합!B$3:B$501,MATCH(ROW()-2,종합!$AC$3:$AC$501,0))&amp;"","")</f>
        <v/>
      </c>
      <c r="C291" s="18" t="str">
        <f aca="false">IFERROR(INDEX(종합!C$3:C$501,MATCH(ROW()-2,종합!$AC$3:$AC$501,0))&amp;"","")</f>
        <v/>
      </c>
      <c r="D291" s="18" t="str">
        <f aca="false">IFERROR(INDEX(종합!D$3:D$501,MATCH(ROW()-2,종합!$AC$3:$AC$501,0))&amp;"","")</f>
        <v/>
      </c>
      <c r="E291" s="18" t="str">
        <f aca="false">IFERROR(INDEX(종합!E$3:E$501,MATCH(ROW()-2,종합!$AC$3:$AC$501,0))&amp;"","")</f>
        <v/>
      </c>
      <c r="F291" s="18" t="str">
        <f aca="false">IFERROR(INDEX(종합!F$3:F$501,MATCH(ROW()-2,종합!$AC$3:$AC$501,0))&amp;"","")</f>
        <v/>
      </c>
      <c r="G291" s="18" t="str">
        <f aca="false">IFERROR(INDEX(종합!G$3:G$501,MATCH(ROW()-2,종합!$AC$3:$AC$501,0))&amp;"","")</f>
        <v/>
      </c>
      <c r="H291" s="21" t="str">
        <f aca="false">IFERROR(INDEX(종합!H$3:H$501,MATCH(ROW()-2,종합!$AC$3:$AC$501,0))&amp;"","")</f>
        <v/>
      </c>
      <c r="I291" s="21" t="str">
        <f aca="false">IFERROR(INDEX(종합!I$3:I$501,MATCH(ROW()-2,종합!$AC$3:$AC$501,0))&amp;"","")</f>
        <v/>
      </c>
      <c r="J291" s="21" t="str">
        <f aca="false">IFERROR(INDEX(종합!J$3:J$501,MATCH(ROW()-2,종합!$AC$3:$AC$501,0))&amp;"","")</f>
        <v/>
      </c>
      <c r="K291" s="21" t="str">
        <f aca="false">IFERROR(INDEX(종합!K$3:K$501,MATCH(ROW()-2,종합!$AC$3:$AC$501,0))&amp;"","")</f>
        <v/>
      </c>
      <c r="L291" s="21" t="str">
        <f aca="false">IFERROR(INDEX(종합!L$3:L$501,MATCH(ROW()-2,종합!$AC$3:$AC$501,0))&amp;"","")</f>
        <v/>
      </c>
      <c r="M291" s="21" t="str">
        <f aca="false">IFERROR(INDEX(종합!M$3:M$501,MATCH(ROW()-2,종합!$AC$3:$AC$501,0))&amp;"","")</f>
        <v/>
      </c>
      <c r="N291" s="25" t="str">
        <f aca="false">IFERROR(INDEX(종합!N$3:N$501,MATCH(ROW()-2,종합!$AC$3:$AC$501,0))&amp;"","")</f>
        <v/>
      </c>
      <c r="O291" s="21" t="str">
        <f aca="false">IFERROR(INDEX(종합!O$3:O$501,MATCH(ROW()-2,종합!$AC$3:$AC$501,0))&amp;"","")</f>
        <v/>
      </c>
      <c r="P291" s="21" t="str">
        <f aca="false">IFERROR(INDEX(종합!P$3:P$501,MATCH(ROW()-2,종합!$AC$3:$AC$501,0))&amp;"","")</f>
        <v/>
      </c>
      <c r="Q291" s="21" t="str">
        <f aca="false">IFERROR(INDEX(종합!Q$3:Q$501,MATCH(ROW()-2,종합!$AC$3:$AC$501,0))&amp;"","")</f>
        <v/>
      </c>
      <c r="R291" s="21" t="str">
        <f aca="false">IFERROR(INDEX(종합!R$3:R$501,MATCH(ROW()-2,종합!$AC$3:$AC$501,0))&amp;"","")</f>
        <v/>
      </c>
      <c r="S291" s="21" t="str">
        <f aca="false">IFERROR(INDEX(종합!S$3:S$501,MATCH(ROW()-2,종합!$AC$3:$AC$501,0))&amp;"","")</f>
        <v/>
      </c>
      <c r="T291" s="21" t="str">
        <f aca="false">IFERROR(INDEX(종합!T$3:T$501,MATCH(ROW()-2,종합!$AC$3:$AC$501,0))&amp;"","")</f>
        <v/>
      </c>
      <c r="U291" s="21" t="str">
        <f aca="false">IFERROR(INDEX(종합!U$3:U$501,MATCH(ROW()-2,종합!$AC$3:$AC$501,0))&amp;"","")</f>
        <v/>
      </c>
      <c r="V291" s="21" t="str">
        <f aca="false">IFERROR(INDEX(종합!V$3:V$501,MATCH(ROW()-2,종합!$AC$3:$AC$501,0))&amp;"","")</f>
        <v/>
      </c>
      <c r="W291" s="21" t="str">
        <f aca="false">IFERROR(INDEX(종합!W$3:W$501,MATCH(ROW()-2,종합!$AC$3:$AC$501,0))&amp;"","")</f>
        <v/>
      </c>
      <c r="X291" s="21" t="str">
        <f aca="false">IFERROR(INDEX(종합!X$3:X$501,MATCH(ROW()-2,종합!$AC$3:$AC$501,0))&amp;"","")</f>
        <v/>
      </c>
      <c r="Y291" s="21" t="str">
        <f aca="false">IFERROR(INDEX(종합!Y$3:Y$501,MATCH(ROW()-2,종합!$AC$3:$AC$501,0))&amp;"","")</f>
        <v/>
      </c>
      <c r="Z291" s="21" t="str">
        <f aca="false">IFERROR(INDEX(종합!Z$3:Z$501,MATCH(ROW()-2,종합!$AC$3:$AC$501,0))&amp;"","")</f>
        <v/>
      </c>
    </row>
    <row r="292" customFormat="false" ht="16.5" hidden="false" customHeight="true" outlineLevel="0" collapsed="false">
      <c r="A292" s="18" t="str">
        <f aca="false">IF(B292="","",ROW()-2)</f>
        <v/>
      </c>
      <c r="B292" s="18" t="str">
        <f aca="false">IFERROR(INDEX(종합!B$3:B$501,MATCH(ROW()-2,종합!$AC$3:$AC$501,0))&amp;"","")</f>
        <v/>
      </c>
      <c r="C292" s="18" t="str">
        <f aca="false">IFERROR(INDEX(종합!C$3:C$501,MATCH(ROW()-2,종합!$AC$3:$AC$501,0))&amp;"","")</f>
        <v/>
      </c>
      <c r="D292" s="18" t="str">
        <f aca="false">IFERROR(INDEX(종합!D$3:D$501,MATCH(ROW()-2,종합!$AC$3:$AC$501,0))&amp;"","")</f>
        <v/>
      </c>
      <c r="E292" s="18" t="str">
        <f aca="false">IFERROR(INDEX(종합!E$3:E$501,MATCH(ROW()-2,종합!$AC$3:$AC$501,0))&amp;"","")</f>
        <v/>
      </c>
      <c r="F292" s="18" t="str">
        <f aca="false">IFERROR(INDEX(종합!F$3:F$501,MATCH(ROW()-2,종합!$AC$3:$AC$501,0))&amp;"","")</f>
        <v/>
      </c>
      <c r="G292" s="18" t="str">
        <f aca="false">IFERROR(INDEX(종합!G$3:G$501,MATCH(ROW()-2,종합!$AC$3:$AC$501,0))&amp;"","")</f>
        <v/>
      </c>
      <c r="H292" s="21" t="str">
        <f aca="false">IFERROR(INDEX(종합!H$3:H$501,MATCH(ROW()-2,종합!$AC$3:$AC$501,0))&amp;"","")</f>
        <v/>
      </c>
      <c r="I292" s="21" t="str">
        <f aca="false">IFERROR(INDEX(종합!I$3:I$501,MATCH(ROW()-2,종합!$AC$3:$AC$501,0))&amp;"","")</f>
        <v/>
      </c>
      <c r="J292" s="21" t="str">
        <f aca="false">IFERROR(INDEX(종합!J$3:J$501,MATCH(ROW()-2,종합!$AC$3:$AC$501,0))&amp;"","")</f>
        <v/>
      </c>
      <c r="K292" s="21" t="str">
        <f aca="false">IFERROR(INDEX(종합!K$3:K$501,MATCH(ROW()-2,종합!$AC$3:$AC$501,0))&amp;"","")</f>
        <v/>
      </c>
      <c r="L292" s="21" t="str">
        <f aca="false">IFERROR(INDEX(종합!L$3:L$501,MATCH(ROW()-2,종합!$AC$3:$AC$501,0))&amp;"","")</f>
        <v/>
      </c>
      <c r="M292" s="21" t="str">
        <f aca="false">IFERROR(INDEX(종합!M$3:M$501,MATCH(ROW()-2,종합!$AC$3:$AC$501,0))&amp;"","")</f>
        <v/>
      </c>
      <c r="N292" s="25" t="str">
        <f aca="false">IFERROR(INDEX(종합!N$3:N$501,MATCH(ROW()-2,종합!$AC$3:$AC$501,0))&amp;"","")</f>
        <v/>
      </c>
      <c r="O292" s="21" t="str">
        <f aca="false">IFERROR(INDEX(종합!O$3:O$501,MATCH(ROW()-2,종합!$AC$3:$AC$501,0))&amp;"","")</f>
        <v/>
      </c>
      <c r="P292" s="21" t="str">
        <f aca="false">IFERROR(INDEX(종합!P$3:P$501,MATCH(ROW()-2,종합!$AC$3:$AC$501,0))&amp;"","")</f>
        <v/>
      </c>
      <c r="Q292" s="21" t="str">
        <f aca="false">IFERROR(INDEX(종합!Q$3:Q$501,MATCH(ROW()-2,종합!$AC$3:$AC$501,0))&amp;"","")</f>
        <v/>
      </c>
      <c r="R292" s="21" t="str">
        <f aca="false">IFERROR(INDEX(종합!R$3:R$501,MATCH(ROW()-2,종합!$AC$3:$AC$501,0))&amp;"","")</f>
        <v/>
      </c>
      <c r="S292" s="21" t="str">
        <f aca="false">IFERROR(INDEX(종합!S$3:S$501,MATCH(ROW()-2,종합!$AC$3:$AC$501,0))&amp;"","")</f>
        <v/>
      </c>
      <c r="T292" s="21" t="str">
        <f aca="false">IFERROR(INDEX(종합!T$3:T$501,MATCH(ROW()-2,종합!$AC$3:$AC$501,0))&amp;"","")</f>
        <v/>
      </c>
      <c r="U292" s="21" t="str">
        <f aca="false">IFERROR(INDEX(종합!U$3:U$501,MATCH(ROW()-2,종합!$AC$3:$AC$501,0))&amp;"","")</f>
        <v/>
      </c>
      <c r="V292" s="21" t="str">
        <f aca="false">IFERROR(INDEX(종합!V$3:V$501,MATCH(ROW()-2,종합!$AC$3:$AC$501,0))&amp;"","")</f>
        <v/>
      </c>
      <c r="W292" s="21" t="str">
        <f aca="false">IFERROR(INDEX(종합!W$3:W$501,MATCH(ROW()-2,종합!$AC$3:$AC$501,0))&amp;"","")</f>
        <v/>
      </c>
      <c r="X292" s="21" t="str">
        <f aca="false">IFERROR(INDEX(종합!X$3:X$501,MATCH(ROW()-2,종합!$AC$3:$AC$501,0))&amp;"","")</f>
        <v/>
      </c>
      <c r="Y292" s="21" t="str">
        <f aca="false">IFERROR(INDEX(종합!Y$3:Y$501,MATCH(ROW()-2,종합!$AC$3:$AC$501,0))&amp;"","")</f>
        <v/>
      </c>
      <c r="Z292" s="21" t="str">
        <f aca="false">IFERROR(INDEX(종합!Z$3:Z$501,MATCH(ROW()-2,종합!$AC$3:$AC$501,0))&amp;"","")</f>
        <v/>
      </c>
    </row>
    <row r="293" customFormat="false" ht="16.5" hidden="false" customHeight="true" outlineLevel="0" collapsed="false">
      <c r="A293" s="18" t="str">
        <f aca="false">IF(B293="","",ROW()-2)</f>
        <v/>
      </c>
      <c r="B293" s="18" t="str">
        <f aca="false">IFERROR(INDEX(종합!B$3:B$501,MATCH(ROW()-2,종합!$AC$3:$AC$501,0))&amp;"","")</f>
        <v/>
      </c>
      <c r="C293" s="18" t="str">
        <f aca="false">IFERROR(INDEX(종합!C$3:C$501,MATCH(ROW()-2,종합!$AC$3:$AC$501,0))&amp;"","")</f>
        <v/>
      </c>
      <c r="D293" s="18" t="str">
        <f aca="false">IFERROR(INDEX(종합!D$3:D$501,MATCH(ROW()-2,종합!$AC$3:$AC$501,0))&amp;"","")</f>
        <v/>
      </c>
      <c r="E293" s="18" t="str">
        <f aca="false">IFERROR(INDEX(종합!E$3:E$501,MATCH(ROW()-2,종합!$AC$3:$AC$501,0))&amp;"","")</f>
        <v/>
      </c>
      <c r="F293" s="18" t="str">
        <f aca="false">IFERROR(INDEX(종합!F$3:F$501,MATCH(ROW()-2,종합!$AC$3:$AC$501,0))&amp;"","")</f>
        <v/>
      </c>
      <c r="G293" s="18" t="str">
        <f aca="false">IFERROR(INDEX(종합!G$3:G$501,MATCH(ROW()-2,종합!$AC$3:$AC$501,0))&amp;"","")</f>
        <v/>
      </c>
      <c r="H293" s="21" t="str">
        <f aca="false">IFERROR(INDEX(종합!H$3:H$501,MATCH(ROW()-2,종합!$AC$3:$AC$501,0))&amp;"","")</f>
        <v/>
      </c>
      <c r="I293" s="21" t="str">
        <f aca="false">IFERROR(INDEX(종합!I$3:I$501,MATCH(ROW()-2,종합!$AC$3:$AC$501,0))&amp;"","")</f>
        <v/>
      </c>
      <c r="J293" s="21" t="str">
        <f aca="false">IFERROR(INDEX(종합!J$3:J$501,MATCH(ROW()-2,종합!$AC$3:$AC$501,0))&amp;"","")</f>
        <v/>
      </c>
      <c r="K293" s="21" t="str">
        <f aca="false">IFERROR(INDEX(종합!K$3:K$501,MATCH(ROW()-2,종합!$AC$3:$AC$501,0))&amp;"","")</f>
        <v/>
      </c>
      <c r="L293" s="21" t="str">
        <f aca="false">IFERROR(INDEX(종합!L$3:L$501,MATCH(ROW()-2,종합!$AC$3:$AC$501,0))&amp;"","")</f>
        <v/>
      </c>
      <c r="M293" s="21" t="str">
        <f aca="false">IFERROR(INDEX(종합!M$3:M$501,MATCH(ROW()-2,종합!$AC$3:$AC$501,0))&amp;"","")</f>
        <v/>
      </c>
      <c r="N293" s="25" t="str">
        <f aca="false">IFERROR(INDEX(종합!N$3:N$501,MATCH(ROW()-2,종합!$AC$3:$AC$501,0))&amp;"","")</f>
        <v/>
      </c>
      <c r="O293" s="21" t="str">
        <f aca="false">IFERROR(INDEX(종합!O$3:O$501,MATCH(ROW()-2,종합!$AC$3:$AC$501,0))&amp;"","")</f>
        <v/>
      </c>
      <c r="P293" s="21" t="str">
        <f aca="false">IFERROR(INDEX(종합!P$3:P$501,MATCH(ROW()-2,종합!$AC$3:$AC$501,0))&amp;"","")</f>
        <v/>
      </c>
      <c r="Q293" s="21" t="str">
        <f aca="false">IFERROR(INDEX(종합!Q$3:Q$501,MATCH(ROW()-2,종합!$AC$3:$AC$501,0))&amp;"","")</f>
        <v/>
      </c>
      <c r="R293" s="21" t="str">
        <f aca="false">IFERROR(INDEX(종합!R$3:R$501,MATCH(ROW()-2,종합!$AC$3:$AC$501,0))&amp;"","")</f>
        <v/>
      </c>
      <c r="S293" s="21" t="str">
        <f aca="false">IFERROR(INDEX(종합!S$3:S$501,MATCH(ROW()-2,종합!$AC$3:$AC$501,0))&amp;"","")</f>
        <v/>
      </c>
      <c r="T293" s="21" t="str">
        <f aca="false">IFERROR(INDEX(종합!T$3:T$501,MATCH(ROW()-2,종합!$AC$3:$AC$501,0))&amp;"","")</f>
        <v/>
      </c>
      <c r="U293" s="21" t="str">
        <f aca="false">IFERROR(INDEX(종합!U$3:U$501,MATCH(ROW()-2,종합!$AC$3:$AC$501,0))&amp;"","")</f>
        <v/>
      </c>
      <c r="V293" s="21" t="str">
        <f aca="false">IFERROR(INDEX(종합!V$3:V$501,MATCH(ROW()-2,종합!$AC$3:$AC$501,0))&amp;"","")</f>
        <v/>
      </c>
      <c r="W293" s="21" t="str">
        <f aca="false">IFERROR(INDEX(종합!W$3:W$501,MATCH(ROW()-2,종합!$AC$3:$AC$501,0))&amp;"","")</f>
        <v/>
      </c>
      <c r="X293" s="21" t="str">
        <f aca="false">IFERROR(INDEX(종합!X$3:X$501,MATCH(ROW()-2,종합!$AC$3:$AC$501,0))&amp;"","")</f>
        <v/>
      </c>
      <c r="Y293" s="21" t="str">
        <f aca="false">IFERROR(INDEX(종합!Y$3:Y$501,MATCH(ROW()-2,종합!$AC$3:$AC$501,0))&amp;"","")</f>
        <v/>
      </c>
      <c r="Z293" s="21" t="str">
        <f aca="false">IFERROR(INDEX(종합!Z$3:Z$501,MATCH(ROW()-2,종합!$AC$3:$AC$501,0))&amp;"","")</f>
        <v/>
      </c>
    </row>
    <row r="294" customFormat="false" ht="16.5" hidden="false" customHeight="true" outlineLevel="0" collapsed="false">
      <c r="A294" s="18" t="str">
        <f aca="false">IF(B294="","",ROW()-2)</f>
        <v/>
      </c>
      <c r="B294" s="18" t="str">
        <f aca="false">IFERROR(INDEX(종합!B$3:B$501,MATCH(ROW()-2,종합!$AC$3:$AC$501,0))&amp;"","")</f>
        <v/>
      </c>
      <c r="C294" s="18" t="str">
        <f aca="false">IFERROR(INDEX(종합!C$3:C$501,MATCH(ROW()-2,종합!$AC$3:$AC$501,0))&amp;"","")</f>
        <v/>
      </c>
      <c r="D294" s="18" t="str">
        <f aca="false">IFERROR(INDEX(종합!D$3:D$501,MATCH(ROW()-2,종합!$AC$3:$AC$501,0))&amp;"","")</f>
        <v/>
      </c>
      <c r="E294" s="18" t="str">
        <f aca="false">IFERROR(INDEX(종합!E$3:E$501,MATCH(ROW()-2,종합!$AC$3:$AC$501,0))&amp;"","")</f>
        <v/>
      </c>
      <c r="F294" s="18" t="str">
        <f aca="false">IFERROR(INDEX(종합!F$3:F$501,MATCH(ROW()-2,종합!$AC$3:$AC$501,0))&amp;"","")</f>
        <v/>
      </c>
      <c r="G294" s="18" t="str">
        <f aca="false">IFERROR(INDEX(종합!G$3:G$501,MATCH(ROW()-2,종합!$AC$3:$AC$501,0))&amp;"","")</f>
        <v/>
      </c>
      <c r="H294" s="21" t="str">
        <f aca="false">IFERROR(INDEX(종합!H$3:H$501,MATCH(ROW()-2,종합!$AC$3:$AC$501,0))&amp;"","")</f>
        <v/>
      </c>
      <c r="I294" s="21" t="str">
        <f aca="false">IFERROR(INDEX(종합!I$3:I$501,MATCH(ROW()-2,종합!$AC$3:$AC$501,0))&amp;"","")</f>
        <v/>
      </c>
      <c r="J294" s="21" t="str">
        <f aca="false">IFERROR(INDEX(종합!J$3:J$501,MATCH(ROW()-2,종합!$AC$3:$AC$501,0))&amp;"","")</f>
        <v/>
      </c>
      <c r="K294" s="21" t="str">
        <f aca="false">IFERROR(INDEX(종합!K$3:K$501,MATCH(ROW()-2,종합!$AC$3:$AC$501,0))&amp;"","")</f>
        <v/>
      </c>
      <c r="L294" s="21" t="str">
        <f aca="false">IFERROR(INDEX(종합!L$3:L$501,MATCH(ROW()-2,종합!$AC$3:$AC$501,0))&amp;"","")</f>
        <v/>
      </c>
      <c r="M294" s="21" t="str">
        <f aca="false">IFERROR(INDEX(종합!M$3:M$501,MATCH(ROW()-2,종합!$AC$3:$AC$501,0))&amp;"","")</f>
        <v/>
      </c>
      <c r="N294" s="25" t="str">
        <f aca="false">IFERROR(INDEX(종합!N$3:N$501,MATCH(ROW()-2,종합!$AC$3:$AC$501,0))&amp;"","")</f>
        <v/>
      </c>
      <c r="O294" s="21" t="str">
        <f aca="false">IFERROR(INDEX(종합!O$3:O$501,MATCH(ROW()-2,종합!$AC$3:$AC$501,0))&amp;"","")</f>
        <v/>
      </c>
      <c r="P294" s="21" t="str">
        <f aca="false">IFERROR(INDEX(종합!P$3:P$501,MATCH(ROW()-2,종합!$AC$3:$AC$501,0))&amp;"","")</f>
        <v/>
      </c>
      <c r="Q294" s="21" t="str">
        <f aca="false">IFERROR(INDEX(종합!Q$3:Q$501,MATCH(ROW()-2,종합!$AC$3:$AC$501,0))&amp;"","")</f>
        <v/>
      </c>
      <c r="R294" s="21" t="str">
        <f aca="false">IFERROR(INDEX(종합!R$3:R$501,MATCH(ROW()-2,종합!$AC$3:$AC$501,0))&amp;"","")</f>
        <v/>
      </c>
      <c r="S294" s="21" t="str">
        <f aca="false">IFERROR(INDEX(종합!S$3:S$501,MATCH(ROW()-2,종합!$AC$3:$AC$501,0))&amp;"","")</f>
        <v/>
      </c>
      <c r="T294" s="21" t="str">
        <f aca="false">IFERROR(INDEX(종합!T$3:T$501,MATCH(ROW()-2,종합!$AC$3:$AC$501,0))&amp;"","")</f>
        <v/>
      </c>
      <c r="U294" s="21" t="str">
        <f aca="false">IFERROR(INDEX(종합!U$3:U$501,MATCH(ROW()-2,종합!$AC$3:$AC$501,0))&amp;"","")</f>
        <v/>
      </c>
      <c r="V294" s="21" t="str">
        <f aca="false">IFERROR(INDEX(종합!V$3:V$501,MATCH(ROW()-2,종합!$AC$3:$AC$501,0))&amp;"","")</f>
        <v/>
      </c>
      <c r="W294" s="21" t="str">
        <f aca="false">IFERROR(INDEX(종합!W$3:W$501,MATCH(ROW()-2,종합!$AC$3:$AC$501,0))&amp;"","")</f>
        <v/>
      </c>
      <c r="X294" s="21" t="str">
        <f aca="false">IFERROR(INDEX(종합!X$3:X$501,MATCH(ROW()-2,종합!$AC$3:$AC$501,0))&amp;"","")</f>
        <v/>
      </c>
      <c r="Y294" s="21" t="str">
        <f aca="false">IFERROR(INDEX(종합!Y$3:Y$501,MATCH(ROW()-2,종합!$AC$3:$AC$501,0))&amp;"","")</f>
        <v/>
      </c>
      <c r="Z294" s="21" t="str">
        <f aca="false">IFERROR(INDEX(종합!Z$3:Z$501,MATCH(ROW()-2,종합!$AC$3:$AC$501,0))&amp;"","")</f>
        <v/>
      </c>
    </row>
    <row r="295" customFormat="false" ht="16.5" hidden="false" customHeight="true" outlineLevel="0" collapsed="false">
      <c r="A295" s="18" t="str">
        <f aca="false">IF(B295="","",ROW()-2)</f>
        <v/>
      </c>
      <c r="B295" s="18" t="str">
        <f aca="false">IFERROR(INDEX(종합!B$3:B$501,MATCH(ROW()-2,종합!$AC$3:$AC$501,0))&amp;"","")</f>
        <v/>
      </c>
      <c r="C295" s="18" t="str">
        <f aca="false">IFERROR(INDEX(종합!C$3:C$501,MATCH(ROW()-2,종합!$AC$3:$AC$501,0))&amp;"","")</f>
        <v/>
      </c>
      <c r="D295" s="18" t="str">
        <f aca="false">IFERROR(INDEX(종합!D$3:D$501,MATCH(ROW()-2,종합!$AC$3:$AC$501,0))&amp;"","")</f>
        <v/>
      </c>
      <c r="E295" s="18" t="str">
        <f aca="false">IFERROR(INDEX(종합!E$3:E$501,MATCH(ROW()-2,종합!$AC$3:$AC$501,0))&amp;"","")</f>
        <v/>
      </c>
      <c r="F295" s="18" t="str">
        <f aca="false">IFERROR(INDEX(종합!F$3:F$501,MATCH(ROW()-2,종합!$AC$3:$AC$501,0))&amp;"","")</f>
        <v/>
      </c>
      <c r="G295" s="18" t="str">
        <f aca="false">IFERROR(INDEX(종합!G$3:G$501,MATCH(ROW()-2,종합!$AC$3:$AC$501,0))&amp;"","")</f>
        <v/>
      </c>
      <c r="H295" s="21" t="str">
        <f aca="false">IFERROR(INDEX(종합!H$3:H$501,MATCH(ROW()-2,종합!$AC$3:$AC$501,0))&amp;"","")</f>
        <v/>
      </c>
      <c r="I295" s="21" t="str">
        <f aca="false">IFERROR(INDEX(종합!I$3:I$501,MATCH(ROW()-2,종합!$AC$3:$AC$501,0))&amp;"","")</f>
        <v/>
      </c>
      <c r="J295" s="21" t="str">
        <f aca="false">IFERROR(INDEX(종합!J$3:J$501,MATCH(ROW()-2,종합!$AC$3:$AC$501,0))&amp;"","")</f>
        <v/>
      </c>
      <c r="K295" s="21" t="str">
        <f aca="false">IFERROR(INDEX(종합!K$3:K$501,MATCH(ROW()-2,종합!$AC$3:$AC$501,0))&amp;"","")</f>
        <v/>
      </c>
      <c r="L295" s="21" t="str">
        <f aca="false">IFERROR(INDEX(종합!L$3:L$501,MATCH(ROW()-2,종합!$AC$3:$AC$501,0))&amp;"","")</f>
        <v/>
      </c>
      <c r="M295" s="21" t="str">
        <f aca="false">IFERROR(INDEX(종합!M$3:M$501,MATCH(ROW()-2,종합!$AC$3:$AC$501,0))&amp;"","")</f>
        <v/>
      </c>
      <c r="N295" s="25" t="str">
        <f aca="false">IFERROR(INDEX(종합!N$3:N$501,MATCH(ROW()-2,종합!$AC$3:$AC$501,0))&amp;"","")</f>
        <v/>
      </c>
      <c r="O295" s="21" t="str">
        <f aca="false">IFERROR(INDEX(종합!O$3:O$501,MATCH(ROW()-2,종합!$AC$3:$AC$501,0))&amp;"","")</f>
        <v/>
      </c>
      <c r="P295" s="21" t="str">
        <f aca="false">IFERROR(INDEX(종합!P$3:P$501,MATCH(ROW()-2,종합!$AC$3:$AC$501,0))&amp;"","")</f>
        <v/>
      </c>
      <c r="Q295" s="21" t="str">
        <f aca="false">IFERROR(INDEX(종합!Q$3:Q$501,MATCH(ROW()-2,종합!$AC$3:$AC$501,0))&amp;"","")</f>
        <v/>
      </c>
      <c r="R295" s="21" t="str">
        <f aca="false">IFERROR(INDEX(종합!R$3:R$501,MATCH(ROW()-2,종합!$AC$3:$AC$501,0))&amp;"","")</f>
        <v/>
      </c>
      <c r="S295" s="21" t="str">
        <f aca="false">IFERROR(INDEX(종합!S$3:S$501,MATCH(ROW()-2,종합!$AC$3:$AC$501,0))&amp;"","")</f>
        <v/>
      </c>
      <c r="T295" s="21" t="str">
        <f aca="false">IFERROR(INDEX(종합!T$3:T$501,MATCH(ROW()-2,종합!$AC$3:$AC$501,0))&amp;"","")</f>
        <v/>
      </c>
      <c r="U295" s="21" t="str">
        <f aca="false">IFERROR(INDEX(종합!U$3:U$501,MATCH(ROW()-2,종합!$AC$3:$AC$501,0))&amp;"","")</f>
        <v/>
      </c>
      <c r="V295" s="21" t="str">
        <f aca="false">IFERROR(INDEX(종합!V$3:V$501,MATCH(ROW()-2,종합!$AC$3:$AC$501,0))&amp;"","")</f>
        <v/>
      </c>
      <c r="W295" s="21" t="str">
        <f aca="false">IFERROR(INDEX(종합!W$3:W$501,MATCH(ROW()-2,종합!$AC$3:$AC$501,0))&amp;"","")</f>
        <v/>
      </c>
      <c r="X295" s="21" t="str">
        <f aca="false">IFERROR(INDEX(종합!X$3:X$501,MATCH(ROW()-2,종합!$AC$3:$AC$501,0))&amp;"","")</f>
        <v/>
      </c>
      <c r="Y295" s="21" t="str">
        <f aca="false">IFERROR(INDEX(종합!Y$3:Y$501,MATCH(ROW()-2,종합!$AC$3:$AC$501,0))&amp;"","")</f>
        <v/>
      </c>
      <c r="Z295" s="21" t="str">
        <f aca="false">IFERROR(INDEX(종합!Z$3:Z$501,MATCH(ROW()-2,종합!$AC$3:$AC$501,0))&amp;"","")</f>
        <v/>
      </c>
    </row>
    <row r="296" customFormat="false" ht="16.5" hidden="false" customHeight="true" outlineLevel="0" collapsed="false">
      <c r="A296" s="18" t="str">
        <f aca="false">IF(B296="","",ROW()-2)</f>
        <v/>
      </c>
      <c r="B296" s="18" t="str">
        <f aca="false">IFERROR(INDEX(종합!B$3:B$501,MATCH(ROW()-2,종합!$AC$3:$AC$501,0))&amp;"","")</f>
        <v/>
      </c>
      <c r="C296" s="18" t="str">
        <f aca="false">IFERROR(INDEX(종합!C$3:C$501,MATCH(ROW()-2,종합!$AC$3:$AC$501,0))&amp;"","")</f>
        <v/>
      </c>
      <c r="D296" s="18" t="str">
        <f aca="false">IFERROR(INDEX(종합!D$3:D$501,MATCH(ROW()-2,종합!$AC$3:$AC$501,0))&amp;"","")</f>
        <v/>
      </c>
      <c r="E296" s="18" t="str">
        <f aca="false">IFERROR(INDEX(종합!E$3:E$501,MATCH(ROW()-2,종합!$AC$3:$AC$501,0))&amp;"","")</f>
        <v/>
      </c>
      <c r="F296" s="18" t="str">
        <f aca="false">IFERROR(INDEX(종합!F$3:F$501,MATCH(ROW()-2,종합!$AC$3:$AC$501,0))&amp;"","")</f>
        <v/>
      </c>
      <c r="G296" s="18" t="str">
        <f aca="false">IFERROR(INDEX(종합!G$3:G$501,MATCH(ROW()-2,종합!$AC$3:$AC$501,0))&amp;"","")</f>
        <v/>
      </c>
      <c r="H296" s="21" t="str">
        <f aca="false">IFERROR(INDEX(종합!H$3:H$501,MATCH(ROW()-2,종합!$AC$3:$AC$501,0))&amp;"","")</f>
        <v/>
      </c>
      <c r="I296" s="21" t="str">
        <f aca="false">IFERROR(INDEX(종합!I$3:I$501,MATCH(ROW()-2,종합!$AC$3:$AC$501,0))&amp;"","")</f>
        <v/>
      </c>
      <c r="J296" s="21" t="str">
        <f aca="false">IFERROR(INDEX(종합!J$3:J$501,MATCH(ROW()-2,종합!$AC$3:$AC$501,0))&amp;"","")</f>
        <v/>
      </c>
      <c r="K296" s="21" t="str">
        <f aca="false">IFERROR(INDEX(종합!K$3:K$501,MATCH(ROW()-2,종합!$AC$3:$AC$501,0))&amp;"","")</f>
        <v/>
      </c>
      <c r="L296" s="21" t="str">
        <f aca="false">IFERROR(INDEX(종합!L$3:L$501,MATCH(ROW()-2,종합!$AC$3:$AC$501,0))&amp;"","")</f>
        <v/>
      </c>
      <c r="M296" s="21" t="str">
        <f aca="false">IFERROR(INDEX(종합!M$3:M$501,MATCH(ROW()-2,종합!$AC$3:$AC$501,0))&amp;"","")</f>
        <v/>
      </c>
      <c r="N296" s="25" t="str">
        <f aca="false">IFERROR(INDEX(종합!N$3:N$501,MATCH(ROW()-2,종합!$AC$3:$AC$501,0))&amp;"","")</f>
        <v/>
      </c>
      <c r="O296" s="21" t="str">
        <f aca="false">IFERROR(INDEX(종합!O$3:O$501,MATCH(ROW()-2,종합!$AC$3:$AC$501,0))&amp;"","")</f>
        <v/>
      </c>
      <c r="P296" s="21" t="str">
        <f aca="false">IFERROR(INDEX(종합!P$3:P$501,MATCH(ROW()-2,종합!$AC$3:$AC$501,0))&amp;"","")</f>
        <v/>
      </c>
      <c r="Q296" s="21" t="str">
        <f aca="false">IFERROR(INDEX(종합!Q$3:Q$501,MATCH(ROW()-2,종합!$AC$3:$AC$501,0))&amp;"","")</f>
        <v/>
      </c>
      <c r="R296" s="21" t="str">
        <f aca="false">IFERROR(INDEX(종합!R$3:R$501,MATCH(ROW()-2,종합!$AC$3:$AC$501,0))&amp;"","")</f>
        <v/>
      </c>
      <c r="S296" s="21" t="str">
        <f aca="false">IFERROR(INDEX(종합!S$3:S$501,MATCH(ROW()-2,종합!$AC$3:$AC$501,0))&amp;"","")</f>
        <v/>
      </c>
      <c r="T296" s="21" t="str">
        <f aca="false">IFERROR(INDEX(종합!T$3:T$501,MATCH(ROW()-2,종합!$AC$3:$AC$501,0))&amp;"","")</f>
        <v/>
      </c>
      <c r="U296" s="21" t="str">
        <f aca="false">IFERROR(INDEX(종합!U$3:U$501,MATCH(ROW()-2,종합!$AC$3:$AC$501,0))&amp;"","")</f>
        <v/>
      </c>
      <c r="V296" s="21" t="str">
        <f aca="false">IFERROR(INDEX(종합!V$3:V$501,MATCH(ROW()-2,종합!$AC$3:$AC$501,0))&amp;"","")</f>
        <v/>
      </c>
      <c r="W296" s="21" t="str">
        <f aca="false">IFERROR(INDEX(종합!W$3:W$501,MATCH(ROW()-2,종합!$AC$3:$AC$501,0))&amp;"","")</f>
        <v/>
      </c>
      <c r="X296" s="21" t="str">
        <f aca="false">IFERROR(INDEX(종합!X$3:X$501,MATCH(ROW()-2,종합!$AC$3:$AC$501,0))&amp;"","")</f>
        <v/>
      </c>
      <c r="Y296" s="21" t="str">
        <f aca="false">IFERROR(INDEX(종합!Y$3:Y$501,MATCH(ROW()-2,종합!$AC$3:$AC$501,0))&amp;"","")</f>
        <v/>
      </c>
      <c r="Z296" s="21" t="str">
        <f aca="false">IFERROR(INDEX(종합!Z$3:Z$501,MATCH(ROW()-2,종합!$AC$3:$AC$501,0))&amp;"","")</f>
        <v/>
      </c>
    </row>
    <row r="297" customFormat="false" ht="16.5" hidden="false" customHeight="true" outlineLevel="0" collapsed="false">
      <c r="A297" s="18" t="str">
        <f aca="false">IF(B297="","",ROW()-2)</f>
        <v/>
      </c>
      <c r="B297" s="18" t="str">
        <f aca="false">IFERROR(INDEX(종합!B$3:B$501,MATCH(ROW()-2,종합!$AC$3:$AC$501,0))&amp;"","")</f>
        <v/>
      </c>
      <c r="C297" s="18" t="str">
        <f aca="false">IFERROR(INDEX(종합!C$3:C$501,MATCH(ROW()-2,종합!$AC$3:$AC$501,0))&amp;"","")</f>
        <v/>
      </c>
      <c r="D297" s="18" t="str">
        <f aca="false">IFERROR(INDEX(종합!D$3:D$501,MATCH(ROW()-2,종합!$AC$3:$AC$501,0))&amp;"","")</f>
        <v/>
      </c>
      <c r="E297" s="18" t="str">
        <f aca="false">IFERROR(INDEX(종합!E$3:E$501,MATCH(ROW()-2,종합!$AC$3:$AC$501,0))&amp;"","")</f>
        <v/>
      </c>
      <c r="F297" s="18" t="str">
        <f aca="false">IFERROR(INDEX(종합!F$3:F$501,MATCH(ROW()-2,종합!$AC$3:$AC$501,0))&amp;"","")</f>
        <v/>
      </c>
      <c r="G297" s="18" t="str">
        <f aca="false">IFERROR(INDEX(종합!G$3:G$501,MATCH(ROW()-2,종합!$AC$3:$AC$501,0))&amp;"","")</f>
        <v/>
      </c>
      <c r="H297" s="21" t="str">
        <f aca="false">IFERROR(INDEX(종합!H$3:H$501,MATCH(ROW()-2,종합!$AC$3:$AC$501,0))&amp;"","")</f>
        <v/>
      </c>
      <c r="I297" s="21" t="str">
        <f aca="false">IFERROR(INDEX(종합!I$3:I$501,MATCH(ROW()-2,종합!$AC$3:$AC$501,0))&amp;"","")</f>
        <v/>
      </c>
      <c r="J297" s="21" t="str">
        <f aca="false">IFERROR(INDEX(종합!J$3:J$501,MATCH(ROW()-2,종합!$AC$3:$AC$501,0))&amp;"","")</f>
        <v/>
      </c>
      <c r="K297" s="21" t="str">
        <f aca="false">IFERROR(INDEX(종합!K$3:K$501,MATCH(ROW()-2,종합!$AC$3:$AC$501,0))&amp;"","")</f>
        <v/>
      </c>
      <c r="L297" s="21" t="str">
        <f aca="false">IFERROR(INDEX(종합!L$3:L$501,MATCH(ROW()-2,종합!$AC$3:$AC$501,0))&amp;"","")</f>
        <v/>
      </c>
      <c r="M297" s="21" t="str">
        <f aca="false">IFERROR(INDEX(종합!M$3:M$501,MATCH(ROW()-2,종합!$AC$3:$AC$501,0))&amp;"","")</f>
        <v/>
      </c>
      <c r="N297" s="25" t="str">
        <f aca="false">IFERROR(INDEX(종합!N$3:N$501,MATCH(ROW()-2,종합!$AC$3:$AC$501,0))&amp;"","")</f>
        <v/>
      </c>
      <c r="O297" s="21" t="str">
        <f aca="false">IFERROR(INDEX(종합!O$3:O$501,MATCH(ROW()-2,종합!$AC$3:$AC$501,0))&amp;"","")</f>
        <v/>
      </c>
      <c r="P297" s="21" t="str">
        <f aca="false">IFERROR(INDEX(종합!P$3:P$501,MATCH(ROW()-2,종합!$AC$3:$AC$501,0))&amp;"","")</f>
        <v/>
      </c>
      <c r="Q297" s="21" t="str">
        <f aca="false">IFERROR(INDEX(종합!Q$3:Q$501,MATCH(ROW()-2,종합!$AC$3:$AC$501,0))&amp;"","")</f>
        <v/>
      </c>
      <c r="R297" s="21" t="str">
        <f aca="false">IFERROR(INDEX(종합!R$3:R$501,MATCH(ROW()-2,종합!$AC$3:$AC$501,0))&amp;"","")</f>
        <v/>
      </c>
      <c r="S297" s="21" t="str">
        <f aca="false">IFERROR(INDEX(종합!S$3:S$501,MATCH(ROW()-2,종합!$AC$3:$AC$501,0))&amp;"","")</f>
        <v/>
      </c>
      <c r="T297" s="21" t="str">
        <f aca="false">IFERROR(INDEX(종합!T$3:T$501,MATCH(ROW()-2,종합!$AC$3:$AC$501,0))&amp;"","")</f>
        <v/>
      </c>
      <c r="U297" s="21" t="str">
        <f aca="false">IFERROR(INDEX(종합!U$3:U$501,MATCH(ROW()-2,종합!$AC$3:$AC$501,0))&amp;"","")</f>
        <v/>
      </c>
      <c r="V297" s="21" t="str">
        <f aca="false">IFERROR(INDEX(종합!V$3:V$501,MATCH(ROW()-2,종합!$AC$3:$AC$501,0))&amp;"","")</f>
        <v/>
      </c>
      <c r="W297" s="21" t="str">
        <f aca="false">IFERROR(INDEX(종합!W$3:W$501,MATCH(ROW()-2,종합!$AC$3:$AC$501,0))&amp;"","")</f>
        <v/>
      </c>
      <c r="X297" s="21" t="str">
        <f aca="false">IFERROR(INDEX(종합!X$3:X$501,MATCH(ROW()-2,종합!$AC$3:$AC$501,0))&amp;"","")</f>
        <v/>
      </c>
      <c r="Y297" s="21" t="str">
        <f aca="false">IFERROR(INDEX(종합!Y$3:Y$501,MATCH(ROW()-2,종합!$AC$3:$AC$501,0))&amp;"","")</f>
        <v/>
      </c>
      <c r="Z297" s="21" t="str">
        <f aca="false">IFERROR(INDEX(종합!Z$3:Z$501,MATCH(ROW()-2,종합!$AC$3:$AC$501,0))&amp;"","")</f>
        <v/>
      </c>
    </row>
    <row r="298" customFormat="false" ht="16.5" hidden="false" customHeight="true" outlineLevel="0" collapsed="false">
      <c r="A298" s="18" t="str">
        <f aca="false">IF(B298="","",ROW()-2)</f>
        <v/>
      </c>
      <c r="B298" s="18" t="str">
        <f aca="false">IFERROR(INDEX(종합!B$3:B$501,MATCH(ROW()-2,종합!$AC$3:$AC$501,0))&amp;"","")</f>
        <v/>
      </c>
      <c r="C298" s="18" t="str">
        <f aca="false">IFERROR(INDEX(종합!C$3:C$501,MATCH(ROW()-2,종합!$AC$3:$AC$501,0))&amp;"","")</f>
        <v/>
      </c>
      <c r="D298" s="18" t="str">
        <f aca="false">IFERROR(INDEX(종합!D$3:D$501,MATCH(ROW()-2,종합!$AC$3:$AC$501,0))&amp;"","")</f>
        <v/>
      </c>
      <c r="E298" s="18" t="str">
        <f aca="false">IFERROR(INDEX(종합!E$3:E$501,MATCH(ROW()-2,종합!$AC$3:$AC$501,0))&amp;"","")</f>
        <v/>
      </c>
      <c r="F298" s="18" t="str">
        <f aca="false">IFERROR(INDEX(종합!F$3:F$501,MATCH(ROW()-2,종합!$AC$3:$AC$501,0))&amp;"","")</f>
        <v/>
      </c>
      <c r="G298" s="18" t="str">
        <f aca="false">IFERROR(INDEX(종합!G$3:G$501,MATCH(ROW()-2,종합!$AC$3:$AC$501,0))&amp;"","")</f>
        <v/>
      </c>
      <c r="H298" s="21" t="str">
        <f aca="false">IFERROR(INDEX(종합!H$3:H$501,MATCH(ROW()-2,종합!$AC$3:$AC$501,0))&amp;"","")</f>
        <v/>
      </c>
      <c r="I298" s="21" t="str">
        <f aca="false">IFERROR(INDEX(종합!I$3:I$501,MATCH(ROW()-2,종합!$AC$3:$AC$501,0))&amp;"","")</f>
        <v/>
      </c>
      <c r="J298" s="21" t="str">
        <f aca="false">IFERROR(INDEX(종합!J$3:J$501,MATCH(ROW()-2,종합!$AC$3:$AC$501,0))&amp;"","")</f>
        <v/>
      </c>
      <c r="K298" s="21" t="str">
        <f aca="false">IFERROR(INDEX(종합!K$3:K$501,MATCH(ROW()-2,종합!$AC$3:$AC$501,0))&amp;"","")</f>
        <v/>
      </c>
      <c r="L298" s="21" t="str">
        <f aca="false">IFERROR(INDEX(종합!L$3:L$501,MATCH(ROW()-2,종합!$AC$3:$AC$501,0))&amp;"","")</f>
        <v/>
      </c>
      <c r="M298" s="21" t="str">
        <f aca="false">IFERROR(INDEX(종합!M$3:M$501,MATCH(ROW()-2,종합!$AC$3:$AC$501,0))&amp;"","")</f>
        <v/>
      </c>
      <c r="N298" s="25" t="str">
        <f aca="false">IFERROR(INDEX(종합!N$3:N$501,MATCH(ROW()-2,종합!$AC$3:$AC$501,0))&amp;"","")</f>
        <v/>
      </c>
      <c r="O298" s="21" t="str">
        <f aca="false">IFERROR(INDEX(종합!O$3:O$501,MATCH(ROW()-2,종합!$AC$3:$AC$501,0))&amp;"","")</f>
        <v/>
      </c>
      <c r="P298" s="21" t="str">
        <f aca="false">IFERROR(INDEX(종합!P$3:P$501,MATCH(ROW()-2,종합!$AC$3:$AC$501,0))&amp;"","")</f>
        <v/>
      </c>
      <c r="Q298" s="21" t="str">
        <f aca="false">IFERROR(INDEX(종합!Q$3:Q$501,MATCH(ROW()-2,종합!$AC$3:$AC$501,0))&amp;"","")</f>
        <v/>
      </c>
      <c r="R298" s="21" t="str">
        <f aca="false">IFERROR(INDEX(종합!R$3:R$501,MATCH(ROW()-2,종합!$AC$3:$AC$501,0))&amp;"","")</f>
        <v/>
      </c>
      <c r="S298" s="21" t="str">
        <f aca="false">IFERROR(INDEX(종합!S$3:S$501,MATCH(ROW()-2,종합!$AC$3:$AC$501,0))&amp;"","")</f>
        <v/>
      </c>
      <c r="T298" s="21" t="str">
        <f aca="false">IFERROR(INDEX(종합!T$3:T$501,MATCH(ROW()-2,종합!$AC$3:$AC$501,0))&amp;"","")</f>
        <v/>
      </c>
      <c r="U298" s="21" t="str">
        <f aca="false">IFERROR(INDEX(종합!U$3:U$501,MATCH(ROW()-2,종합!$AC$3:$AC$501,0))&amp;"","")</f>
        <v/>
      </c>
      <c r="V298" s="21" t="str">
        <f aca="false">IFERROR(INDEX(종합!V$3:V$501,MATCH(ROW()-2,종합!$AC$3:$AC$501,0))&amp;"","")</f>
        <v/>
      </c>
      <c r="W298" s="21" t="str">
        <f aca="false">IFERROR(INDEX(종합!W$3:W$501,MATCH(ROW()-2,종합!$AC$3:$AC$501,0))&amp;"","")</f>
        <v/>
      </c>
      <c r="X298" s="21" t="str">
        <f aca="false">IFERROR(INDEX(종합!X$3:X$501,MATCH(ROW()-2,종합!$AC$3:$AC$501,0))&amp;"","")</f>
        <v/>
      </c>
      <c r="Y298" s="21" t="str">
        <f aca="false">IFERROR(INDEX(종합!Y$3:Y$501,MATCH(ROW()-2,종합!$AC$3:$AC$501,0))&amp;"","")</f>
        <v/>
      </c>
      <c r="Z298" s="21" t="str">
        <f aca="false">IFERROR(INDEX(종합!Z$3:Z$501,MATCH(ROW()-2,종합!$AC$3:$AC$501,0))&amp;"","")</f>
        <v/>
      </c>
    </row>
    <row r="299" customFormat="false" ht="16.5" hidden="false" customHeight="true" outlineLevel="0" collapsed="false">
      <c r="A299" s="18" t="str">
        <f aca="false">IF(B299="","",ROW()-2)</f>
        <v/>
      </c>
      <c r="B299" s="18" t="str">
        <f aca="false">IFERROR(INDEX(종합!B$3:B$501,MATCH(ROW()-2,종합!$AC$3:$AC$501,0))&amp;"","")</f>
        <v/>
      </c>
      <c r="C299" s="18" t="str">
        <f aca="false">IFERROR(INDEX(종합!C$3:C$501,MATCH(ROW()-2,종합!$AC$3:$AC$501,0))&amp;"","")</f>
        <v/>
      </c>
      <c r="D299" s="18" t="str">
        <f aca="false">IFERROR(INDEX(종합!D$3:D$501,MATCH(ROW()-2,종합!$AC$3:$AC$501,0))&amp;"","")</f>
        <v/>
      </c>
      <c r="E299" s="18" t="str">
        <f aca="false">IFERROR(INDEX(종합!E$3:E$501,MATCH(ROW()-2,종합!$AC$3:$AC$501,0))&amp;"","")</f>
        <v/>
      </c>
      <c r="F299" s="18" t="str">
        <f aca="false">IFERROR(INDEX(종합!F$3:F$501,MATCH(ROW()-2,종합!$AC$3:$AC$501,0))&amp;"","")</f>
        <v/>
      </c>
      <c r="G299" s="18" t="str">
        <f aca="false">IFERROR(INDEX(종합!G$3:G$501,MATCH(ROW()-2,종합!$AC$3:$AC$501,0))&amp;"","")</f>
        <v/>
      </c>
      <c r="H299" s="21" t="str">
        <f aca="false">IFERROR(INDEX(종합!H$3:H$501,MATCH(ROW()-2,종합!$AC$3:$AC$501,0))&amp;"","")</f>
        <v/>
      </c>
      <c r="I299" s="21" t="str">
        <f aca="false">IFERROR(INDEX(종합!I$3:I$501,MATCH(ROW()-2,종합!$AC$3:$AC$501,0))&amp;"","")</f>
        <v/>
      </c>
      <c r="J299" s="21" t="str">
        <f aca="false">IFERROR(INDEX(종합!J$3:J$501,MATCH(ROW()-2,종합!$AC$3:$AC$501,0))&amp;"","")</f>
        <v/>
      </c>
      <c r="K299" s="21" t="str">
        <f aca="false">IFERROR(INDEX(종합!K$3:K$501,MATCH(ROW()-2,종합!$AC$3:$AC$501,0))&amp;"","")</f>
        <v/>
      </c>
      <c r="L299" s="21" t="str">
        <f aca="false">IFERROR(INDEX(종합!L$3:L$501,MATCH(ROW()-2,종합!$AC$3:$AC$501,0))&amp;"","")</f>
        <v/>
      </c>
      <c r="M299" s="21" t="str">
        <f aca="false">IFERROR(INDEX(종합!M$3:M$501,MATCH(ROW()-2,종합!$AC$3:$AC$501,0))&amp;"","")</f>
        <v/>
      </c>
      <c r="N299" s="25" t="str">
        <f aca="false">IFERROR(INDEX(종합!N$3:N$501,MATCH(ROW()-2,종합!$AC$3:$AC$501,0))&amp;"","")</f>
        <v/>
      </c>
      <c r="O299" s="21" t="str">
        <f aca="false">IFERROR(INDEX(종합!O$3:O$501,MATCH(ROW()-2,종합!$AC$3:$AC$501,0))&amp;"","")</f>
        <v/>
      </c>
      <c r="P299" s="21" t="str">
        <f aca="false">IFERROR(INDEX(종합!P$3:P$501,MATCH(ROW()-2,종합!$AC$3:$AC$501,0))&amp;"","")</f>
        <v/>
      </c>
      <c r="Q299" s="21" t="str">
        <f aca="false">IFERROR(INDEX(종합!Q$3:Q$501,MATCH(ROW()-2,종합!$AC$3:$AC$501,0))&amp;"","")</f>
        <v/>
      </c>
      <c r="R299" s="21" t="str">
        <f aca="false">IFERROR(INDEX(종합!R$3:R$501,MATCH(ROW()-2,종합!$AC$3:$AC$501,0))&amp;"","")</f>
        <v/>
      </c>
      <c r="S299" s="21" t="str">
        <f aca="false">IFERROR(INDEX(종합!S$3:S$501,MATCH(ROW()-2,종합!$AC$3:$AC$501,0))&amp;"","")</f>
        <v/>
      </c>
      <c r="T299" s="21" t="str">
        <f aca="false">IFERROR(INDEX(종합!T$3:T$501,MATCH(ROW()-2,종합!$AC$3:$AC$501,0))&amp;"","")</f>
        <v/>
      </c>
      <c r="U299" s="21" t="str">
        <f aca="false">IFERROR(INDEX(종합!U$3:U$501,MATCH(ROW()-2,종합!$AC$3:$AC$501,0))&amp;"","")</f>
        <v/>
      </c>
      <c r="V299" s="21" t="str">
        <f aca="false">IFERROR(INDEX(종합!V$3:V$501,MATCH(ROW()-2,종합!$AC$3:$AC$501,0))&amp;"","")</f>
        <v/>
      </c>
      <c r="W299" s="21" t="str">
        <f aca="false">IFERROR(INDEX(종합!W$3:W$501,MATCH(ROW()-2,종합!$AC$3:$AC$501,0))&amp;"","")</f>
        <v/>
      </c>
      <c r="X299" s="21" t="str">
        <f aca="false">IFERROR(INDEX(종합!X$3:X$501,MATCH(ROW()-2,종합!$AC$3:$AC$501,0))&amp;"","")</f>
        <v/>
      </c>
      <c r="Y299" s="21" t="str">
        <f aca="false">IFERROR(INDEX(종합!Y$3:Y$501,MATCH(ROW()-2,종합!$AC$3:$AC$501,0))&amp;"","")</f>
        <v/>
      </c>
      <c r="Z299" s="21" t="str">
        <f aca="false">IFERROR(INDEX(종합!Z$3:Z$501,MATCH(ROW()-2,종합!$AC$3:$AC$501,0))&amp;"","")</f>
        <v/>
      </c>
    </row>
    <row r="300" customFormat="false" ht="16.5" hidden="false" customHeight="true" outlineLevel="0" collapsed="false">
      <c r="A300" s="18" t="str">
        <f aca="false">IF(B300="","",ROW()-2)</f>
        <v/>
      </c>
      <c r="B300" s="18" t="str">
        <f aca="false">IFERROR(INDEX(종합!B$3:B$501,MATCH(ROW()-2,종합!$AC$3:$AC$501,0))&amp;"","")</f>
        <v/>
      </c>
      <c r="C300" s="18" t="str">
        <f aca="false">IFERROR(INDEX(종합!C$3:C$501,MATCH(ROW()-2,종합!$AC$3:$AC$501,0))&amp;"","")</f>
        <v/>
      </c>
      <c r="D300" s="18" t="str">
        <f aca="false">IFERROR(INDEX(종합!D$3:D$501,MATCH(ROW()-2,종합!$AC$3:$AC$501,0))&amp;"","")</f>
        <v/>
      </c>
      <c r="E300" s="18" t="str">
        <f aca="false">IFERROR(INDEX(종합!E$3:E$501,MATCH(ROW()-2,종합!$AC$3:$AC$501,0))&amp;"","")</f>
        <v/>
      </c>
      <c r="F300" s="18" t="str">
        <f aca="false">IFERROR(INDEX(종합!F$3:F$501,MATCH(ROW()-2,종합!$AC$3:$AC$501,0))&amp;"","")</f>
        <v/>
      </c>
      <c r="G300" s="18" t="str">
        <f aca="false">IFERROR(INDEX(종합!G$3:G$501,MATCH(ROW()-2,종합!$AC$3:$AC$501,0))&amp;"","")</f>
        <v/>
      </c>
      <c r="H300" s="21" t="str">
        <f aca="false">IFERROR(INDEX(종합!H$3:H$501,MATCH(ROW()-2,종합!$AC$3:$AC$501,0))&amp;"","")</f>
        <v/>
      </c>
      <c r="I300" s="21" t="str">
        <f aca="false">IFERROR(INDEX(종합!I$3:I$501,MATCH(ROW()-2,종합!$AC$3:$AC$501,0))&amp;"","")</f>
        <v/>
      </c>
      <c r="J300" s="21" t="str">
        <f aca="false">IFERROR(INDEX(종합!J$3:J$501,MATCH(ROW()-2,종합!$AC$3:$AC$501,0))&amp;"","")</f>
        <v/>
      </c>
      <c r="K300" s="21" t="str">
        <f aca="false">IFERROR(INDEX(종합!K$3:K$501,MATCH(ROW()-2,종합!$AC$3:$AC$501,0))&amp;"","")</f>
        <v/>
      </c>
      <c r="L300" s="21" t="str">
        <f aca="false">IFERROR(INDEX(종합!L$3:L$501,MATCH(ROW()-2,종합!$AC$3:$AC$501,0))&amp;"","")</f>
        <v/>
      </c>
      <c r="M300" s="21" t="str">
        <f aca="false">IFERROR(INDEX(종합!M$3:M$501,MATCH(ROW()-2,종합!$AC$3:$AC$501,0))&amp;"","")</f>
        <v/>
      </c>
      <c r="N300" s="25" t="str">
        <f aca="false">IFERROR(INDEX(종합!N$3:N$501,MATCH(ROW()-2,종합!$AC$3:$AC$501,0))&amp;"","")</f>
        <v/>
      </c>
      <c r="O300" s="21" t="str">
        <f aca="false">IFERROR(INDEX(종합!O$3:O$501,MATCH(ROW()-2,종합!$AC$3:$AC$501,0))&amp;"","")</f>
        <v/>
      </c>
      <c r="P300" s="21" t="str">
        <f aca="false">IFERROR(INDEX(종합!P$3:P$501,MATCH(ROW()-2,종합!$AC$3:$AC$501,0))&amp;"","")</f>
        <v/>
      </c>
      <c r="Q300" s="21" t="str">
        <f aca="false">IFERROR(INDEX(종합!Q$3:Q$501,MATCH(ROW()-2,종합!$AC$3:$AC$501,0))&amp;"","")</f>
        <v/>
      </c>
      <c r="R300" s="21" t="str">
        <f aca="false">IFERROR(INDEX(종합!R$3:R$501,MATCH(ROW()-2,종합!$AC$3:$AC$501,0))&amp;"","")</f>
        <v/>
      </c>
      <c r="S300" s="21" t="str">
        <f aca="false">IFERROR(INDEX(종합!S$3:S$501,MATCH(ROW()-2,종합!$AC$3:$AC$501,0))&amp;"","")</f>
        <v/>
      </c>
      <c r="T300" s="21" t="str">
        <f aca="false">IFERROR(INDEX(종합!T$3:T$501,MATCH(ROW()-2,종합!$AC$3:$AC$501,0))&amp;"","")</f>
        <v/>
      </c>
      <c r="U300" s="21" t="str">
        <f aca="false">IFERROR(INDEX(종합!U$3:U$501,MATCH(ROW()-2,종합!$AC$3:$AC$501,0))&amp;"","")</f>
        <v/>
      </c>
      <c r="V300" s="21" t="str">
        <f aca="false">IFERROR(INDEX(종합!V$3:V$501,MATCH(ROW()-2,종합!$AC$3:$AC$501,0))&amp;"","")</f>
        <v/>
      </c>
      <c r="W300" s="21" t="str">
        <f aca="false">IFERROR(INDEX(종합!W$3:W$501,MATCH(ROW()-2,종합!$AC$3:$AC$501,0))&amp;"","")</f>
        <v/>
      </c>
      <c r="X300" s="21" t="str">
        <f aca="false">IFERROR(INDEX(종합!X$3:X$501,MATCH(ROW()-2,종합!$AC$3:$AC$501,0))&amp;"","")</f>
        <v/>
      </c>
      <c r="Y300" s="21" t="str">
        <f aca="false">IFERROR(INDEX(종합!Y$3:Y$501,MATCH(ROW()-2,종합!$AC$3:$AC$501,0))&amp;"","")</f>
        <v/>
      </c>
      <c r="Z300" s="21" t="str">
        <f aca="false">IFERROR(INDEX(종합!Z$3:Z$501,MATCH(ROW()-2,종합!$AC$3:$AC$501,0))&amp;"","")</f>
        <v/>
      </c>
    </row>
    <row r="301" customFormat="false" ht="16.5" hidden="false" customHeight="true" outlineLevel="0" collapsed="false">
      <c r="A301" s="18" t="str">
        <f aca="false">IF(B301="","",ROW()-2)</f>
        <v/>
      </c>
      <c r="B301" s="18" t="str">
        <f aca="false">IFERROR(INDEX(종합!B$3:B$501,MATCH(ROW()-2,종합!$AC$3:$AC$501,0))&amp;"","")</f>
        <v/>
      </c>
      <c r="C301" s="18" t="str">
        <f aca="false">IFERROR(INDEX(종합!C$3:C$501,MATCH(ROW()-2,종합!$AC$3:$AC$501,0))&amp;"","")</f>
        <v/>
      </c>
      <c r="D301" s="18" t="str">
        <f aca="false">IFERROR(INDEX(종합!D$3:D$501,MATCH(ROW()-2,종합!$AC$3:$AC$501,0))&amp;"","")</f>
        <v/>
      </c>
      <c r="E301" s="18" t="str">
        <f aca="false">IFERROR(INDEX(종합!E$3:E$501,MATCH(ROW()-2,종합!$AC$3:$AC$501,0))&amp;"","")</f>
        <v/>
      </c>
      <c r="F301" s="18" t="str">
        <f aca="false">IFERROR(INDEX(종합!F$3:F$501,MATCH(ROW()-2,종합!$AC$3:$AC$501,0))&amp;"","")</f>
        <v/>
      </c>
      <c r="G301" s="18" t="str">
        <f aca="false">IFERROR(INDEX(종합!G$3:G$501,MATCH(ROW()-2,종합!$AC$3:$AC$501,0))&amp;"","")</f>
        <v/>
      </c>
      <c r="H301" s="21" t="str">
        <f aca="false">IFERROR(INDEX(종합!H$3:H$501,MATCH(ROW()-2,종합!$AC$3:$AC$501,0))&amp;"","")</f>
        <v/>
      </c>
      <c r="I301" s="21" t="str">
        <f aca="false">IFERROR(INDEX(종합!I$3:I$501,MATCH(ROW()-2,종합!$AC$3:$AC$501,0))&amp;"","")</f>
        <v/>
      </c>
      <c r="J301" s="21" t="str">
        <f aca="false">IFERROR(INDEX(종합!J$3:J$501,MATCH(ROW()-2,종합!$AC$3:$AC$501,0))&amp;"","")</f>
        <v/>
      </c>
      <c r="K301" s="21" t="str">
        <f aca="false">IFERROR(INDEX(종합!K$3:K$501,MATCH(ROW()-2,종합!$AC$3:$AC$501,0))&amp;"","")</f>
        <v/>
      </c>
      <c r="L301" s="21" t="str">
        <f aca="false">IFERROR(INDEX(종합!L$3:L$501,MATCH(ROW()-2,종합!$AC$3:$AC$501,0))&amp;"","")</f>
        <v/>
      </c>
      <c r="M301" s="21" t="str">
        <f aca="false">IFERROR(INDEX(종합!M$3:M$501,MATCH(ROW()-2,종합!$AC$3:$AC$501,0))&amp;"","")</f>
        <v/>
      </c>
      <c r="N301" s="25" t="str">
        <f aca="false">IFERROR(INDEX(종합!N$3:N$501,MATCH(ROW()-2,종합!$AC$3:$AC$501,0))&amp;"","")</f>
        <v/>
      </c>
      <c r="O301" s="21" t="str">
        <f aca="false">IFERROR(INDEX(종합!O$3:O$501,MATCH(ROW()-2,종합!$AC$3:$AC$501,0))&amp;"","")</f>
        <v/>
      </c>
      <c r="P301" s="21" t="str">
        <f aca="false">IFERROR(INDEX(종합!P$3:P$501,MATCH(ROW()-2,종합!$AC$3:$AC$501,0))&amp;"","")</f>
        <v/>
      </c>
      <c r="Q301" s="21" t="str">
        <f aca="false">IFERROR(INDEX(종합!Q$3:Q$501,MATCH(ROW()-2,종합!$AC$3:$AC$501,0))&amp;"","")</f>
        <v/>
      </c>
      <c r="R301" s="21" t="str">
        <f aca="false">IFERROR(INDEX(종합!R$3:R$501,MATCH(ROW()-2,종합!$AC$3:$AC$501,0))&amp;"","")</f>
        <v/>
      </c>
      <c r="S301" s="21" t="str">
        <f aca="false">IFERROR(INDEX(종합!S$3:S$501,MATCH(ROW()-2,종합!$AC$3:$AC$501,0))&amp;"","")</f>
        <v/>
      </c>
      <c r="T301" s="21" t="str">
        <f aca="false">IFERROR(INDEX(종합!T$3:T$501,MATCH(ROW()-2,종합!$AC$3:$AC$501,0))&amp;"","")</f>
        <v/>
      </c>
      <c r="U301" s="21" t="str">
        <f aca="false">IFERROR(INDEX(종합!U$3:U$501,MATCH(ROW()-2,종합!$AC$3:$AC$501,0))&amp;"","")</f>
        <v/>
      </c>
      <c r="V301" s="21" t="str">
        <f aca="false">IFERROR(INDEX(종합!V$3:V$501,MATCH(ROW()-2,종합!$AC$3:$AC$501,0))&amp;"","")</f>
        <v/>
      </c>
      <c r="W301" s="21" t="str">
        <f aca="false">IFERROR(INDEX(종합!W$3:W$501,MATCH(ROW()-2,종합!$AC$3:$AC$501,0))&amp;"","")</f>
        <v/>
      </c>
      <c r="X301" s="21" t="str">
        <f aca="false">IFERROR(INDEX(종합!X$3:X$501,MATCH(ROW()-2,종합!$AC$3:$AC$501,0))&amp;"","")</f>
        <v/>
      </c>
      <c r="Y301" s="21" t="str">
        <f aca="false">IFERROR(INDEX(종합!Y$3:Y$501,MATCH(ROW()-2,종합!$AC$3:$AC$501,0))&amp;"","")</f>
        <v/>
      </c>
      <c r="Z301" s="21" t="str">
        <f aca="false">IFERROR(INDEX(종합!Z$3:Z$501,MATCH(ROW()-2,종합!$AC$3:$AC$501,0))&amp;"","")</f>
        <v/>
      </c>
    </row>
    <row r="302" customFormat="false" ht="16.5" hidden="false" customHeight="true" outlineLevel="0" collapsed="false">
      <c r="A302" s="18" t="str">
        <f aca="false">IF(B302="","",ROW()-2)</f>
        <v/>
      </c>
      <c r="B302" s="18" t="str">
        <f aca="false">IFERROR(INDEX(종합!B$3:B$501,MATCH(ROW()-2,종합!$AC$3:$AC$501,0))&amp;"","")</f>
        <v/>
      </c>
      <c r="C302" s="18" t="str">
        <f aca="false">IFERROR(INDEX(종합!C$3:C$501,MATCH(ROW()-2,종합!$AC$3:$AC$501,0))&amp;"","")</f>
        <v/>
      </c>
      <c r="D302" s="18" t="str">
        <f aca="false">IFERROR(INDEX(종합!D$3:D$501,MATCH(ROW()-2,종합!$AC$3:$AC$501,0))&amp;"","")</f>
        <v/>
      </c>
      <c r="E302" s="18" t="str">
        <f aca="false">IFERROR(INDEX(종합!E$3:E$501,MATCH(ROW()-2,종합!$AC$3:$AC$501,0))&amp;"","")</f>
        <v/>
      </c>
      <c r="F302" s="18" t="str">
        <f aca="false">IFERROR(INDEX(종합!F$3:F$501,MATCH(ROW()-2,종합!$AC$3:$AC$501,0))&amp;"","")</f>
        <v/>
      </c>
      <c r="G302" s="18" t="str">
        <f aca="false">IFERROR(INDEX(종합!G$3:G$501,MATCH(ROW()-2,종합!$AC$3:$AC$501,0))&amp;"","")</f>
        <v/>
      </c>
      <c r="H302" s="21" t="str">
        <f aca="false">IFERROR(INDEX(종합!H$3:H$501,MATCH(ROW()-2,종합!$AC$3:$AC$501,0))&amp;"","")</f>
        <v/>
      </c>
      <c r="I302" s="21" t="str">
        <f aca="false">IFERROR(INDEX(종합!I$3:I$501,MATCH(ROW()-2,종합!$AC$3:$AC$501,0))&amp;"","")</f>
        <v/>
      </c>
      <c r="J302" s="21" t="str">
        <f aca="false">IFERROR(INDEX(종합!J$3:J$501,MATCH(ROW()-2,종합!$AC$3:$AC$501,0))&amp;"","")</f>
        <v/>
      </c>
      <c r="K302" s="21" t="str">
        <f aca="false">IFERROR(INDEX(종합!K$3:K$501,MATCH(ROW()-2,종합!$AC$3:$AC$501,0))&amp;"","")</f>
        <v/>
      </c>
      <c r="L302" s="21" t="str">
        <f aca="false">IFERROR(INDEX(종합!L$3:L$501,MATCH(ROW()-2,종합!$AC$3:$AC$501,0))&amp;"","")</f>
        <v/>
      </c>
      <c r="M302" s="21" t="str">
        <f aca="false">IFERROR(INDEX(종합!M$3:M$501,MATCH(ROW()-2,종합!$AC$3:$AC$501,0))&amp;"","")</f>
        <v/>
      </c>
      <c r="N302" s="25" t="str">
        <f aca="false">IFERROR(INDEX(종합!N$3:N$501,MATCH(ROW()-2,종합!$AC$3:$AC$501,0))&amp;"","")</f>
        <v/>
      </c>
      <c r="O302" s="21" t="str">
        <f aca="false">IFERROR(INDEX(종합!O$3:O$501,MATCH(ROW()-2,종합!$AC$3:$AC$501,0))&amp;"","")</f>
        <v/>
      </c>
      <c r="P302" s="21" t="str">
        <f aca="false">IFERROR(INDEX(종합!P$3:P$501,MATCH(ROW()-2,종합!$AC$3:$AC$501,0))&amp;"","")</f>
        <v/>
      </c>
      <c r="Q302" s="21" t="str">
        <f aca="false">IFERROR(INDEX(종합!Q$3:Q$501,MATCH(ROW()-2,종합!$AC$3:$AC$501,0))&amp;"","")</f>
        <v/>
      </c>
      <c r="R302" s="21" t="str">
        <f aca="false">IFERROR(INDEX(종합!R$3:R$501,MATCH(ROW()-2,종합!$AC$3:$AC$501,0))&amp;"","")</f>
        <v/>
      </c>
      <c r="S302" s="21" t="str">
        <f aca="false">IFERROR(INDEX(종합!S$3:S$501,MATCH(ROW()-2,종합!$AC$3:$AC$501,0))&amp;"","")</f>
        <v/>
      </c>
      <c r="T302" s="21" t="str">
        <f aca="false">IFERROR(INDEX(종합!T$3:T$501,MATCH(ROW()-2,종합!$AC$3:$AC$501,0))&amp;"","")</f>
        <v/>
      </c>
      <c r="U302" s="21" t="str">
        <f aca="false">IFERROR(INDEX(종합!U$3:U$501,MATCH(ROW()-2,종합!$AC$3:$AC$501,0))&amp;"","")</f>
        <v/>
      </c>
      <c r="V302" s="21" t="str">
        <f aca="false">IFERROR(INDEX(종합!V$3:V$501,MATCH(ROW()-2,종합!$AC$3:$AC$501,0))&amp;"","")</f>
        <v/>
      </c>
      <c r="W302" s="21" t="str">
        <f aca="false">IFERROR(INDEX(종합!W$3:W$501,MATCH(ROW()-2,종합!$AC$3:$AC$501,0))&amp;"","")</f>
        <v/>
      </c>
      <c r="X302" s="21" t="str">
        <f aca="false">IFERROR(INDEX(종합!X$3:X$501,MATCH(ROW()-2,종합!$AC$3:$AC$501,0))&amp;"","")</f>
        <v/>
      </c>
      <c r="Y302" s="21" t="str">
        <f aca="false">IFERROR(INDEX(종합!Y$3:Y$501,MATCH(ROW()-2,종합!$AC$3:$AC$501,0))&amp;"","")</f>
        <v/>
      </c>
      <c r="Z302" s="21" t="str">
        <f aca="false">IFERROR(INDEX(종합!Z$3:Z$501,MATCH(ROW()-2,종합!$AC$3:$AC$501,0))&amp;"","")</f>
        <v/>
      </c>
    </row>
    <row r="303" customFormat="false" ht="16.5" hidden="false" customHeight="true" outlineLevel="0" collapsed="false">
      <c r="A303" s="18" t="str">
        <f aca="false">IF(B303="","",ROW()-2)</f>
        <v/>
      </c>
      <c r="B303" s="18" t="str">
        <f aca="false">IFERROR(INDEX(종합!B$3:B$501,MATCH(ROW()-2,종합!$AC$3:$AC$501,0))&amp;"","")</f>
        <v/>
      </c>
      <c r="C303" s="18" t="str">
        <f aca="false">IFERROR(INDEX(종합!C$3:C$501,MATCH(ROW()-2,종합!$AC$3:$AC$501,0))&amp;"","")</f>
        <v/>
      </c>
      <c r="D303" s="18" t="str">
        <f aca="false">IFERROR(INDEX(종합!D$3:D$501,MATCH(ROW()-2,종합!$AC$3:$AC$501,0))&amp;"","")</f>
        <v/>
      </c>
      <c r="E303" s="18" t="str">
        <f aca="false">IFERROR(INDEX(종합!E$3:E$501,MATCH(ROW()-2,종합!$AC$3:$AC$501,0))&amp;"","")</f>
        <v/>
      </c>
      <c r="F303" s="18" t="str">
        <f aca="false">IFERROR(INDEX(종합!F$3:F$501,MATCH(ROW()-2,종합!$AC$3:$AC$501,0))&amp;"","")</f>
        <v/>
      </c>
      <c r="G303" s="18" t="str">
        <f aca="false">IFERROR(INDEX(종합!G$3:G$501,MATCH(ROW()-2,종합!$AC$3:$AC$501,0))&amp;"","")</f>
        <v/>
      </c>
      <c r="H303" s="21" t="str">
        <f aca="false">IFERROR(INDEX(종합!H$3:H$501,MATCH(ROW()-2,종합!$AC$3:$AC$501,0))&amp;"","")</f>
        <v/>
      </c>
      <c r="I303" s="21" t="str">
        <f aca="false">IFERROR(INDEX(종합!I$3:I$501,MATCH(ROW()-2,종합!$AC$3:$AC$501,0))&amp;"","")</f>
        <v/>
      </c>
      <c r="J303" s="21" t="str">
        <f aca="false">IFERROR(INDEX(종합!J$3:J$501,MATCH(ROW()-2,종합!$AC$3:$AC$501,0))&amp;"","")</f>
        <v/>
      </c>
      <c r="K303" s="21" t="str">
        <f aca="false">IFERROR(INDEX(종합!K$3:K$501,MATCH(ROW()-2,종합!$AC$3:$AC$501,0))&amp;"","")</f>
        <v/>
      </c>
      <c r="L303" s="21" t="str">
        <f aca="false">IFERROR(INDEX(종합!L$3:L$501,MATCH(ROW()-2,종합!$AC$3:$AC$501,0))&amp;"","")</f>
        <v/>
      </c>
      <c r="M303" s="21" t="str">
        <f aca="false">IFERROR(INDEX(종합!M$3:M$501,MATCH(ROW()-2,종합!$AC$3:$AC$501,0))&amp;"","")</f>
        <v/>
      </c>
      <c r="N303" s="25" t="str">
        <f aca="false">IFERROR(INDEX(종합!N$3:N$501,MATCH(ROW()-2,종합!$AC$3:$AC$501,0))&amp;"","")</f>
        <v/>
      </c>
      <c r="O303" s="21" t="str">
        <f aca="false">IFERROR(INDEX(종합!O$3:O$501,MATCH(ROW()-2,종합!$AC$3:$AC$501,0))&amp;"","")</f>
        <v/>
      </c>
      <c r="P303" s="21" t="str">
        <f aca="false">IFERROR(INDEX(종합!P$3:P$501,MATCH(ROW()-2,종합!$AC$3:$AC$501,0))&amp;"","")</f>
        <v/>
      </c>
      <c r="Q303" s="21" t="str">
        <f aca="false">IFERROR(INDEX(종합!Q$3:Q$501,MATCH(ROW()-2,종합!$AC$3:$AC$501,0))&amp;"","")</f>
        <v/>
      </c>
      <c r="R303" s="21" t="str">
        <f aca="false">IFERROR(INDEX(종합!R$3:R$501,MATCH(ROW()-2,종합!$AC$3:$AC$501,0))&amp;"","")</f>
        <v/>
      </c>
      <c r="S303" s="21" t="str">
        <f aca="false">IFERROR(INDEX(종합!S$3:S$501,MATCH(ROW()-2,종합!$AC$3:$AC$501,0))&amp;"","")</f>
        <v/>
      </c>
      <c r="T303" s="21" t="str">
        <f aca="false">IFERROR(INDEX(종합!T$3:T$501,MATCH(ROW()-2,종합!$AC$3:$AC$501,0))&amp;"","")</f>
        <v/>
      </c>
      <c r="U303" s="21" t="str">
        <f aca="false">IFERROR(INDEX(종합!U$3:U$501,MATCH(ROW()-2,종합!$AC$3:$AC$501,0))&amp;"","")</f>
        <v/>
      </c>
      <c r="V303" s="21" t="str">
        <f aca="false">IFERROR(INDEX(종합!V$3:V$501,MATCH(ROW()-2,종합!$AC$3:$AC$501,0))&amp;"","")</f>
        <v/>
      </c>
      <c r="W303" s="21" t="str">
        <f aca="false">IFERROR(INDEX(종합!W$3:W$501,MATCH(ROW()-2,종합!$AC$3:$AC$501,0))&amp;"","")</f>
        <v/>
      </c>
      <c r="X303" s="21" t="str">
        <f aca="false">IFERROR(INDEX(종합!X$3:X$501,MATCH(ROW()-2,종합!$AC$3:$AC$501,0))&amp;"","")</f>
        <v/>
      </c>
      <c r="Y303" s="21" t="str">
        <f aca="false">IFERROR(INDEX(종합!Y$3:Y$501,MATCH(ROW()-2,종합!$AC$3:$AC$501,0))&amp;"","")</f>
        <v/>
      </c>
      <c r="Z303" s="21" t="str">
        <f aca="false">IFERROR(INDEX(종합!Z$3:Z$501,MATCH(ROW()-2,종합!$AC$3:$AC$501,0))&amp;"","")</f>
        <v/>
      </c>
    </row>
    <row r="304" customFormat="false" ht="16.5" hidden="false" customHeight="true" outlineLevel="0" collapsed="false">
      <c r="A304" s="18" t="str">
        <f aca="false">IF(B304="","",ROW()-2)</f>
        <v/>
      </c>
      <c r="B304" s="18" t="str">
        <f aca="false">IFERROR(INDEX(종합!B$3:B$501,MATCH(ROW()-2,종합!$AC$3:$AC$501,0))&amp;"","")</f>
        <v/>
      </c>
      <c r="C304" s="18" t="str">
        <f aca="false">IFERROR(INDEX(종합!C$3:C$501,MATCH(ROW()-2,종합!$AC$3:$AC$501,0))&amp;"","")</f>
        <v/>
      </c>
      <c r="D304" s="18" t="str">
        <f aca="false">IFERROR(INDEX(종합!D$3:D$501,MATCH(ROW()-2,종합!$AC$3:$AC$501,0))&amp;"","")</f>
        <v/>
      </c>
      <c r="E304" s="18" t="str">
        <f aca="false">IFERROR(INDEX(종합!E$3:E$501,MATCH(ROW()-2,종합!$AC$3:$AC$501,0))&amp;"","")</f>
        <v/>
      </c>
      <c r="F304" s="18" t="str">
        <f aca="false">IFERROR(INDEX(종합!F$3:F$501,MATCH(ROW()-2,종합!$AC$3:$AC$501,0))&amp;"","")</f>
        <v/>
      </c>
      <c r="G304" s="18" t="str">
        <f aca="false">IFERROR(INDEX(종합!G$3:G$501,MATCH(ROW()-2,종합!$AC$3:$AC$501,0))&amp;"","")</f>
        <v/>
      </c>
      <c r="H304" s="21" t="str">
        <f aca="false">IFERROR(INDEX(종합!H$3:H$501,MATCH(ROW()-2,종합!$AC$3:$AC$501,0))&amp;"","")</f>
        <v/>
      </c>
      <c r="I304" s="21" t="str">
        <f aca="false">IFERROR(INDEX(종합!I$3:I$501,MATCH(ROW()-2,종합!$AC$3:$AC$501,0))&amp;"","")</f>
        <v/>
      </c>
      <c r="J304" s="21" t="str">
        <f aca="false">IFERROR(INDEX(종합!J$3:J$501,MATCH(ROW()-2,종합!$AC$3:$AC$501,0))&amp;"","")</f>
        <v/>
      </c>
      <c r="K304" s="21" t="str">
        <f aca="false">IFERROR(INDEX(종합!K$3:K$501,MATCH(ROW()-2,종합!$AC$3:$AC$501,0))&amp;"","")</f>
        <v/>
      </c>
      <c r="L304" s="21" t="str">
        <f aca="false">IFERROR(INDEX(종합!L$3:L$501,MATCH(ROW()-2,종합!$AC$3:$AC$501,0))&amp;"","")</f>
        <v/>
      </c>
      <c r="M304" s="21" t="str">
        <f aca="false">IFERROR(INDEX(종합!M$3:M$501,MATCH(ROW()-2,종합!$AC$3:$AC$501,0))&amp;"","")</f>
        <v/>
      </c>
      <c r="N304" s="25" t="str">
        <f aca="false">IFERROR(INDEX(종합!N$3:N$501,MATCH(ROW()-2,종합!$AC$3:$AC$501,0))&amp;"","")</f>
        <v/>
      </c>
      <c r="O304" s="21" t="str">
        <f aca="false">IFERROR(INDEX(종합!O$3:O$501,MATCH(ROW()-2,종합!$AC$3:$AC$501,0))&amp;"","")</f>
        <v/>
      </c>
      <c r="P304" s="21" t="str">
        <f aca="false">IFERROR(INDEX(종합!P$3:P$501,MATCH(ROW()-2,종합!$AC$3:$AC$501,0))&amp;"","")</f>
        <v/>
      </c>
      <c r="Q304" s="21" t="str">
        <f aca="false">IFERROR(INDEX(종합!Q$3:Q$501,MATCH(ROW()-2,종합!$AC$3:$AC$501,0))&amp;"","")</f>
        <v/>
      </c>
      <c r="R304" s="21" t="str">
        <f aca="false">IFERROR(INDEX(종합!R$3:R$501,MATCH(ROW()-2,종합!$AC$3:$AC$501,0))&amp;"","")</f>
        <v/>
      </c>
      <c r="S304" s="21" t="str">
        <f aca="false">IFERROR(INDEX(종합!S$3:S$501,MATCH(ROW()-2,종합!$AC$3:$AC$501,0))&amp;"","")</f>
        <v/>
      </c>
      <c r="T304" s="21" t="str">
        <f aca="false">IFERROR(INDEX(종합!T$3:T$501,MATCH(ROW()-2,종합!$AC$3:$AC$501,0))&amp;"","")</f>
        <v/>
      </c>
      <c r="U304" s="21" t="str">
        <f aca="false">IFERROR(INDEX(종합!U$3:U$501,MATCH(ROW()-2,종합!$AC$3:$AC$501,0))&amp;"","")</f>
        <v/>
      </c>
      <c r="V304" s="21" t="str">
        <f aca="false">IFERROR(INDEX(종합!V$3:V$501,MATCH(ROW()-2,종합!$AC$3:$AC$501,0))&amp;"","")</f>
        <v/>
      </c>
      <c r="W304" s="21" t="str">
        <f aca="false">IFERROR(INDEX(종합!W$3:W$501,MATCH(ROW()-2,종합!$AC$3:$AC$501,0))&amp;"","")</f>
        <v/>
      </c>
      <c r="X304" s="21" t="str">
        <f aca="false">IFERROR(INDEX(종합!X$3:X$501,MATCH(ROW()-2,종합!$AC$3:$AC$501,0))&amp;"","")</f>
        <v/>
      </c>
      <c r="Y304" s="21" t="str">
        <f aca="false">IFERROR(INDEX(종합!Y$3:Y$501,MATCH(ROW()-2,종합!$AC$3:$AC$501,0))&amp;"","")</f>
        <v/>
      </c>
      <c r="Z304" s="21" t="str">
        <f aca="false">IFERROR(INDEX(종합!Z$3:Z$501,MATCH(ROW()-2,종합!$AC$3:$AC$501,0))&amp;"","")</f>
        <v/>
      </c>
    </row>
    <row r="305" customFormat="false" ht="16.5" hidden="false" customHeight="true" outlineLevel="0" collapsed="false">
      <c r="A305" s="18" t="str">
        <f aca="false">IF(B305="","",ROW()-2)</f>
        <v/>
      </c>
      <c r="B305" s="18" t="str">
        <f aca="false">IFERROR(INDEX(종합!B$3:B$501,MATCH(ROW()-2,종합!$AC$3:$AC$501,0))&amp;"","")</f>
        <v/>
      </c>
      <c r="C305" s="18" t="str">
        <f aca="false">IFERROR(INDEX(종합!C$3:C$501,MATCH(ROW()-2,종합!$AC$3:$AC$501,0))&amp;"","")</f>
        <v/>
      </c>
      <c r="D305" s="18" t="str">
        <f aca="false">IFERROR(INDEX(종합!D$3:D$501,MATCH(ROW()-2,종합!$AC$3:$AC$501,0))&amp;"","")</f>
        <v/>
      </c>
      <c r="E305" s="18" t="str">
        <f aca="false">IFERROR(INDEX(종합!E$3:E$501,MATCH(ROW()-2,종합!$AC$3:$AC$501,0))&amp;"","")</f>
        <v/>
      </c>
      <c r="F305" s="18" t="str">
        <f aca="false">IFERROR(INDEX(종합!F$3:F$501,MATCH(ROW()-2,종합!$AC$3:$AC$501,0))&amp;"","")</f>
        <v/>
      </c>
      <c r="G305" s="18" t="str">
        <f aca="false">IFERROR(INDEX(종합!G$3:G$501,MATCH(ROW()-2,종합!$AC$3:$AC$501,0))&amp;"","")</f>
        <v/>
      </c>
      <c r="H305" s="21" t="str">
        <f aca="false">IFERROR(INDEX(종합!H$3:H$501,MATCH(ROW()-2,종합!$AC$3:$AC$501,0))&amp;"","")</f>
        <v/>
      </c>
      <c r="I305" s="21" t="str">
        <f aca="false">IFERROR(INDEX(종합!I$3:I$501,MATCH(ROW()-2,종합!$AC$3:$AC$501,0))&amp;"","")</f>
        <v/>
      </c>
      <c r="J305" s="21" t="str">
        <f aca="false">IFERROR(INDEX(종합!J$3:J$501,MATCH(ROW()-2,종합!$AC$3:$AC$501,0))&amp;"","")</f>
        <v/>
      </c>
      <c r="K305" s="21" t="str">
        <f aca="false">IFERROR(INDEX(종합!K$3:K$501,MATCH(ROW()-2,종합!$AC$3:$AC$501,0))&amp;"","")</f>
        <v/>
      </c>
      <c r="L305" s="21" t="str">
        <f aca="false">IFERROR(INDEX(종합!L$3:L$501,MATCH(ROW()-2,종합!$AC$3:$AC$501,0))&amp;"","")</f>
        <v/>
      </c>
      <c r="M305" s="21" t="str">
        <f aca="false">IFERROR(INDEX(종합!M$3:M$501,MATCH(ROW()-2,종합!$AC$3:$AC$501,0))&amp;"","")</f>
        <v/>
      </c>
      <c r="N305" s="25" t="str">
        <f aca="false">IFERROR(INDEX(종합!N$3:N$501,MATCH(ROW()-2,종합!$AC$3:$AC$501,0))&amp;"","")</f>
        <v/>
      </c>
      <c r="O305" s="21" t="str">
        <f aca="false">IFERROR(INDEX(종합!O$3:O$501,MATCH(ROW()-2,종합!$AC$3:$AC$501,0))&amp;"","")</f>
        <v/>
      </c>
      <c r="P305" s="21" t="str">
        <f aca="false">IFERROR(INDEX(종합!P$3:P$501,MATCH(ROW()-2,종합!$AC$3:$AC$501,0))&amp;"","")</f>
        <v/>
      </c>
      <c r="Q305" s="21" t="str">
        <f aca="false">IFERROR(INDEX(종합!Q$3:Q$501,MATCH(ROW()-2,종합!$AC$3:$AC$501,0))&amp;"","")</f>
        <v/>
      </c>
      <c r="R305" s="21" t="str">
        <f aca="false">IFERROR(INDEX(종합!R$3:R$501,MATCH(ROW()-2,종합!$AC$3:$AC$501,0))&amp;"","")</f>
        <v/>
      </c>
      <c r="S305" s="21" t="str">
        <f aca="false">IFERROR(INDEX(종합!S$3:S$501,MATCH(ROW()-2,종합!$AC$3:$AC$501,0))&amp;"","")</f>
        <v/>
      </c>
      <c r="T305" s="21" t="str">
        <f aca="false">IFERROR(INDEX(종합!T$3:T$501,MATCH(ROW()-2,종합!$AC$3:$AC$501,0))&amp;"","")</f>
        <v/>
      </c>
      <c r="U305" s="21" t="str">
        <f aca="false">IFERROR(INDEX(종합!U$3:U$501,MATCH(ROW()-2,종합!$AC$3:$AC$501,0))&amp;"","")</f>
        <v/>
      </c>
      <c r="V305" s="21" t="str">
        <f aca="false">IFERROR(INDEX(종합!V$3:V$501,MATCH(ROW()-2,종합!$AC$3:$AC$501,0))&amp;"","")</f>
        <v/>
      </c>
      <c r="W305" s="21" t="str">
        <f aca="false">IFERROR(INDEX(종합!W$3:W$501,MATCH(ROW()-2,종합!$AC$3:$AC$501,0))&amp;"","")</f>
        <v/>
      </c>
      <c r="X305" s="21" t="str">
        <f aca="false">IFERROR(INDEX(종합!X$3:X$501,MATCH(ROW()-2,종합!$AC$3:$AC$501,0))&amp;"","")</f>
        <v/>
      </c>
      <c r="Y305" s="21" t="str">
        <f aca="false">IFERROR(INDEX(종합!Y$3:Y$501,MATCH(ROW()-2,종합!$AC$3:$AC$501,0))&amp;"","")</f>
        <v/>
      </c>
      <c r="Z305" s="21" t="str">
        <f aca="false">IFERROR(INDEX(종합!Z$3:Z$501,MATCH(ROW()-2,종합!$AC$3:$AC$501,0))&amp;"","")</f>
        <v/>
      </c>
    </row>
    <row r="306" customFormat="false" ht="16.5" hidden="false" customHeight="true" outlineLevel="0" collapsed="false">
      <c r="A306" s="18" t="str">
        <f aca="false">IF(B306="","",ROW()-2)</f>
        <v/>
      </c>
      <c r="B306" s="18" t="str">
        <f aca="false">IFERROR(INDEX(종합!B$3:B$501,MATCH(ROW()-2,종합!$AC$3:$AC$501,0))&amp;"","")</f>
        <v/>
      </c>
      <c r="C306" s="18" t="str">
        <f aca="false">IFERROR(INDEX(종합!C$3:C$501,MATCH(ROW()-2,종합!$AC$3:$AC$501,0))&amp;"","")</f>
        <v/>
      </c>
      <c r="D306" s="18" t="str">
        <f aca="false">IFERROR(INDEX(종합!D$3:D$501,MATCH(ROW()-2,종합!$AC$3:$AC$501,0))&amp;"","")</f>
        <v/>
      </c>
      <c r="E306" s="18" t="str">
        <f aca="false">IFERROR(INDEX(종합!E$3:E$501,MATCH(ROW()-2,종합!$AC$3:$AC$501,0))&amp;"","")</f>
        <v/>
      </c>
      <c r="F306" s="18" t="str">
        <f aca="false">IFERROR(INDEX(종합!F$3:F$501,MATCH(ROW()-2,종합!$AC$3:$AC$501,0))&amp;"","")</f>
        <v/>
      </c>
      <c r="G306" s="18" t="str">
        <f aca="false">IFERROR(INDEX(종합!G$3:G$501,MATCH(ROW()-2,종합!$AC$3:$AC$501,0))&amp;"","")</f>
        <v/>
      </c>
      <c r="H306" s="21" t="str">
        <f aca="false">IFERROR(INDEX(종합!H$3:H$501,MATCH(ROW()-2,종합!$AC$3:$AC$501,0))&amp;"","")</f>
        <v/>
      </c>
      <c r="I306" s="21" t="str">
        <f aca="false">IFERROR(INDEX(종합!I$3:I$501,MATCH(ROW()-2,종합!$AC$3:$AC$501,0))&amp;"","")</f>
        <v/>
      </c>
      <c r="J306" s="21" t="str">
        <f aca="false">IFERROR(INDEX(종합!J$3:J$501,MATCH(ROW()-2,종합!$AC$3:$AC$501,0))&amp;"","")</f>
        <v/>
      </c>
      <c r="K306" s="21" t="str">
        <f aca="false">IFERROR(INDEX(종합!K$3:K$501,MATCH(ROW()-2,종합!$AC$3:$AC$501,0))&amp;"","")</f>
        <v/>
      </c>
      <c r="L306" s="21" t="str">
        <f aca="false">IFERROR(INDEX(종합!L$3:L$501,MATCH(ROW()-2,종합!$AC$3:$AC$501,0))&amp;"","")</f>
        <v/>
      </c>
      <c r="M306" s="21" t="str">
        <f aca="false">IFERROR(INDEX(종합!M$3:M$501,MATCH(ROW()-2,종합!$AC$3:$AC$501,0))&amp;"","")</f>
        <v/>
      </c>
      <c r="N306" s="25" t="str">
        <f aca="false">IFERROR(INDEX(종합!N$3:N$501,MATCH(ROW()-2,종합!$AC$3:$AC$501,0))&amp;"","")</f>
        <v/>
      </c>
      <c r="O306" s="21" t="str">
        <f aca="false">IFERROR(INDEX(종합!O$3:O$501,MATCH(ROW()-2,종합!$AC$3:$AC$501,0))&amp;"","")</f>
        <v/>
      </c>
      <c r="P306" s="21" t="str">
        <f aca="false">IFERROR(INDEX(종합!P$3:P$501,MATCH(ROW()-2,종합!$AC$3:$AC$501,0))&amp;"","")</f>
        <v/>
      </c>
      <c r="Q306" s="21" t="str">
        <f aca="false">IFERROR(INDEX(종합!Q$3:Q$501,MATCH(ROW()-2,종합!$AC$3:$AC$501,0))&amp;"","")</f>
        <v/>
      </c>
      <c r="R306" s="21" t="str">
        <f aca="false">IFERROR(INDEX(종합!R$3:R$501,MATCH(ROW()-2,종합!$AC$3:$AC$501,0))&amp;"","")</f>
        <v/>
      </c>
      <c r="S306" s="21" t="str">
        <f aca="false">IFERROR(INDEX(종합!S$3:S$501,MATCH(ROW()-2,종합!$AC$3:$AC$501,0))&amp;"","")</f>
        <v/>
      </c>
      <c r="T306" s="21" t="str">
        <f aca="false">IFERROR(INDEX(종합!T$3:T$501,MATCH(ROW()-2,종합!$AC$3:$AC$501,0))&amp;"","")</f>
        <v/>
      </c>
      <c r="U306" s="21" t="str">
        <f aca="false">IFERROR(INDEX(종합!U$3:U$501,MATCH(ROW()-2,종합!$AC$3:$AC$501,0))&amp;"","")</f>
        <v/>
      </c>
      <c r="V306" s="21" t="str">
        <f aca="false">IFERROR(INDEX(종합!V$3:V$501,MATCH(ROW()-2,종합!$AC$3:$AC$501,0))&amp;"","")</f>
        <v/>
      </c>
      <c r="W306" s="21" t="str">
        <f aca="false">IFERROR(INDEX(종합!W$3:W$501,MATCH(ROW()-2,종합!$AC$3:$AC$501,0))&amp;"","")</f>
        <v/>
      </c>
      <c r="X306" s="21" t="str">
        <f aca="false">IFERROR(INDEX(종합!X$3:X$501,MATCH(ROW()-2,종합!$AC$3:$AC$501,0))&amp;"","")</f>
        <v/>
      </c>
      <c r="Y306" s="21" t="str">
        <f aca="false">IFERROR(INDEX(종합!Y$3:Y$501,MATCH(ROW()-2,종합!$AC$3:$AC$501,0))&amp;"","")</f>
        <v/>
      </c>
      <c r="Z306" s="21" t="str">
        <f aca="false">IFERROR(INDEX(종합!Z$3:Z$501,MATCH(ROW()-2,종합!$AC$3:$AC$501,0))&amp;"","")</f>
        <v/>
      </c>
    </row>
    <row r="307" customFormat="false" ht="16.5" hidden="false" customHeight="true" outlineLevel="0" collapsed="false">
      <c r="A307" s="18" t="str">
        <f aca="false">IF(B307="","",ROW()-2)</f>
        <v/>
      </c>
      <c r="B307" s="18" t="str">
        <f aca="false">IFERROR(INDEX(종합!B$3:B$501,MATCH(ROW()-2,종합!$AC$3:$AC$501,0))&amp;"","")</f>
        <v/>
      </c>
      <c r="C307" s="18" t="str">
        <f aca="false">IFERROR(INDEX(종합!C$3:C$501,MATCH(ROW()-2,종합!$AC$3:$AC$501,0))&amp;"","")</f>
        <v/>
      </c>
      <c r="D307" s="18" t="str">
        <f aca="false">IFERROR(INDEX(종합!D$3:D$501,MATCH(ROW()-2,종합!$AC$3:$AC$501,0))&amp;"","")</f>
        <v/>
      </c>
      <c r="E307" s="18" t="str">
        <f aca="false">IFERROR(INDEX(종합!E$3:E$501,MATCH(ROW()-2,종합!$AC$3:$AC$501,0))&amp;"","")</f>
        <v/>
      </c>
      <c r="F307" s="18" t="str">
        <f aca="false">IFERROR(INDEX(종합!F$3:F$501,MATCH(ROW()-2,종합!$AC$3:$AC$501,0))&amp;"","")</f>
        <v/>
      </c>
      <c r="G307" s="18" t="str">
        <f aca="false">IFERROR(INDEX(종합!G$3:G$501,MATCH(ROW()-2,종합!$AC$3:$AC$501,0))&amp;"","")</f>
        <v/>
      </c>
      <c r="H307" s="21" t="str">
        <f aca="false">IFERROR(INDEX(종합!H$3:H$501,MATCH(ROW()-2,종합!$AC$3:$AC$501,0))&amp;"","")</f>
        <v/>
      </c>
      <c r="I307" s="21" t="str">
        <f aca="false">IFERROR(INDEX(종합!I$3:I$501,MATCH(ROW()-2,종합!$AC$3:$AC$501,0))&amp;"","")</f>
        <v/>
      </c>
      <c r="J307" s="21" t="str">
        <f aca="false">IFERROR(INDEX(종합!J$3:J$501,MATCH(ROW()-2,종합!$AC$3:$AC$501,0))&amp;"","")</f>
        <v/>
      </c>
      <c r="K307" s="21" t="str">
        <f aca="false">IFERROR(INDEX(종합!K$3:K$501,MATCH(ROW()-2,종합!$AC$3:$AC$501,0))&amp;"","")</f>
        <v/>
      </c>
      <c r="L307" s="21" t="str">
        <f aca="false">IFERROR(INDEX(종합!L$3:L$501,MATCH(ROW()-2,종합!$AC$3:$AC$501,0))&amp;"","")</f>
        <v/>
      </c>
      <c r="M307" s="21" t="str">
        <f aca="false">IFERROR(INDEX(종합!M$3:M$501,MATCH(ROW()-2,종합!$AC$3:$AC$501,0))&amp;"","")</f>
        <v/>
      </c>
      <c r="N307" s="25" t="str">
        <f aca="false">IFERROR(INDEX(종합!N$3:N$501,MATCH(ROW()-2,종합!$AC$3:$AC$501,0))&amp;"","")</f>
        <v/>
      </c>
      <c r="O307" s="21" t="str">
        <f aca="false">IFERROR(INDEX(종합!O$3:O$501,MATCH(ROW()-2,종합!$AC$3:$AC$501,0))&amp;"","")</f>
        <v/>
      </c>
      <c r="P307" s="21" t="str">
        <f aca="false">IFERROR(INDEX(종합!P$3:P$501,MATCH(ROW()-2,종합!$AC$3:$AC$501,0))&amp;"","")</f>
        <v/>
      </c>
      <c r="Q307" s="21" t="str">
        <f aca="false">IFERROR(INDEX(종합!Q$3:Q$501,MATCH(ROW()-2,종합!$AC$3:$AC$501,0))&amp;"","")</f>
        <v/>
      </c>
      <c r="R307" s="21" t="str">
        <f aca="false">IFERROR(INDEX(종합!R$3:R$501,MATCH(ROW()-2,종합!$AC$3:$AC$501,0))&amp;"","")</f>
        <v/>
      </c>
      <c r="S307" s="21" t="str">
        <f aca="false">IFERROR(INDEX(종합!S$3:S$501,MATCH(ROW()-2,종합!$AC$3:$AC$501,0))&amp;"","")</f>
        <v/>
      </c>
      <c r="T307" s="21" t="str">
        <f aca="false">IFERROR(INDEX(종합!T$3:T$501,MATCH(ROW()-2,종합!$AC$3:$AC$501,0))&amp;"","")</f>
        <v/>
      </c>
      <c r="U307" s="21" t="str">
        <f aca="false">IFERROR(INDEX(종합!U$3:U$501,MATCH(ROW()-2,종합!$AC$3:$AC$501,0))&amp;"","")</f>
        <v/>
      </c>
      <c r="V307" s="21" t="str">
        <f aca="false">IFERROR(INDEX(종합!V$3:V$501,MATCH(ROW()-2,종합!$AC$3:$AC$501,0))&amp;"","")</f>
        <v/>
      </c>
      <c r="W307" s="21" t="str">
        <f aca="false">IFERROR(INDEX(종합!W$3:W$501,MATCH(ROW()-2,종합!$AC$3:$AC$501,0))&amp;"","")</f>
        <v/>
      </c>
      <c r="X307" s="21" t="str">
        <f aca="false">IFERROR(INDEX(종합!X$3:X$501,MATCH(ROW()-2,종합!$AC$3:$AC$501,0))&amp;"","")</f>
        <v/>
      </c>
      <c r="Y307" s="21" t="str">
        <f aca="false">IFERROR(INDEX(종합!Y$3:Y$501,MATCH(ROW()-2,종합!$AC$3:$AC$501,0))&amp;"","")</f>
        <v/>
      </c>
      <c r="Z307" s="21" t="str">
        <f aca="false">IFERROR(INDEX(종합!Z$3:Z$501,MATCH(ROW()-2,종합!$AC$3:$AC$501,0))&amp;"","")</f>
        <v/>
      </c>
    </row>
    <row r="308" customFormat="false" ht="16.5" hidden="false" customHeight="true" outlineLevel="0" collapsed="false">
      <c r="A308" s="18" t="str">
        <f aca="false">IF(B308="","",ROW()-2)</f>
        <v/>
      </c>
      <c r="B308" s="18" t="str">
        <f aca="false">IFERROR(INDEX(종합!B$3:B$501,MATCH(ROW()-2,종합!$AC$3:$AC$501,0))&amp;"","")</f>
        <v/>
      </c>
      <c r="C308" s="18" t="str">
        <f aca="false">IFERROR(INDEX(종합!C$3:C$501,MATCH(ROW()-2,종합!$AC$3:$AC$501,0))&amp;"","")</f>
        <v/>
      </c>
      <c r="D308" s="18" t="str">
        <f aca="false">IFERROR(INDEX(종합!D$3:D$501,MATCH(ROW()-2,종합!$AC$3:$AC$501,0))&amp;"","")</f>
        <v/>
      </c>
      <c r="E308" s="18" t="str">
        <f aca="false">IFERROR(INDEX(종합!E$3:E$501,MATCH(ROW()-2,종합!$AC$3:$AC$501,0))&amp;"","")</f>
        <v/>
      </c>
      <c r="F308" s="18" t="str">
        <f aca="false">IFERROR(INDEX(종합!F$3:F$501,MATCH(ROW()-2,종합!$AC$3:$AC$501,0))&amp;"","")</f>
        <v/>
      </c>
      <c r="G308" s="18" t="str">
        <f aca="false">IFERROR(INDEX(종합!G$3:G$501,MATCH(ROW()-2,종합!$AC$3:$AC$501,0))&amp;"","")</f>
        <v/>
      </c>
      <c r="H308" s="21" t="str">
        <f aca="false">IFERROR(INDEX(종합!H$3:H$501,MATCH(ROW()-2,종합!$AC$3:$AC$501,0))&amp;"","")</f>
        <v/>
      </c>
      <c r="I308" s="21" t="str">
        <f aca="false">IFERROR(INDEX(종합!I$3:I$501,MATCH(ROW()-2,종합!$AC$3:$AC$501,0))&amp;"","")</f>
        <v/>
      </c>
      <c r="J308" s="21" t="str">
        <f aca="false">IFERROR(INDEX(종합!J$3:J$501,MATCH(ROW()-2,종합!$AC$3:$AC$501,0))&amp;"","")</f>
        <v/>
      </c>
      <c r="K308" s="21" t="str">
        <f aca="false">IFERROR(INDEX(종합!K$3:K$501,MATCH(ROW()-2,종합!$AC$3:$AC$501,0))&amp;"","")</f>
        <v/>
      </c>
      <c r="L308" s="21" t="str">
        <f aca="false">IFERROR(INDEX(종합!L$3:L$501,MATCH(ROW()-2,종합!$AC$3:$AC$501,0))&amp;"","")</f>
        <v/>
      </c>
      <c r="M308" s="21" t="str">
        <f aca="false">IFERROR(INDEX(종합!M$3:M$501,MATCH(ROW()-2,종합!$AC$3:$AC$501,0))&amp;"","")</f>
        <v/>
      </c>
      <c r="N308" s="25" t="str">
        <f aca="false">IFERROR(INDEX(종합!N$3:N$501,MATCH(ROW()-2,종합!$AC$3:$AC$501,0))&amp;"","")</f>
        <v/>
      </c>
      <c r="O308" s="21" t="str">
        <f aca="false">IFERROR(INDEX(종합!O$3:O$501,MATCH(ROW()-2,종합!$AC$3:$AC$501,0))&amp;"","")</f>
        <v/>
      </c>
      <c r="P308" s="21" t="str">
        <f aca="false">IFERROR(INDEX(종합!P$3:P$501,MATCH(ROW()-2,종합!$AC$3:$AC$501,0))&amp;"","")</f>
        <v/>
      </c>
      <c r="Q308" s="21" t="str">
        <f aca="false">IFERROR(INDEX(종합!Q$3:Q$501,MATCH(ROW()-2,종합!$AC$3:$AC$501,0))&amp;"","")</f>
        <v/>
      </c>
      <c r="R308" s="21" t="str">
        <f aca="false">IFERROR(INDEX(종합!R$3:R$501,MATCH(ROW()-2,종합!$AC$3:$AC$501,0))&amp;"","")</f>
        <v/>
      </c>
      <c r="S308" s="21" t="str">
        <f aca="false">IFERROR(INDEX(종합!S$3:S$501,MATCH(ROW()-2,종합!$AC$3:$AC$501,0))&amp;"","")</f>
        <v/>
      </c>
      <c r="T308" s="21" t="str">
        <f aca="false">IFERROR(INDEX(종합!T$3:T$501,MATCH(ROW()-2,종합!$AC$3:$AC$501,0))&amp;"","")</f>
        <v/>
      </c>
      <c r="U308" s="21" t="str">
        <f aca="false">IFERROR(INDEX(종합!U$3:U$501,MATCH(ROW()-2,종합!$AC$3:$AC$501,0))&amp;"","")</f>
        <v/>
      </c>
      <c r="V308" s="21" t="str">
        <f aca="false">IFERROR(INDEX(종합!V$3:V$501,MATCH(ROW()-2,종합!$AC$3:$AC$501,0))&amp;"","")</f>
        <v/>
      </c>
      <c r="W308" s="21" t="str">
        <f aca="false">IFERROR(INDEX(종합!W$3:W$501,MATCH(ROW()-2,종합!$AC$3:$AC$501,0))&amp;"","")</f>
        <v/>
      </c>
      <c r="X308" s="21" t="str">
        <f aca="false">IFERROR(INDEX(종합!X$3:X$501,MATCH(ROW()-2,종합!$AC$3:$AC$501,0))&amp;"","")</f>
        <v/>
      </c>
      <c r="Y308" s="21" t="str">
        <f aca="false">IFERROR(INDEX(종합!Y$3:Y$501,MATCH(ROW()-2,종합!$AC$3:$AC$501,0))&amp;"","")</f>
        <v/>
      </c>
      <c r="Z308" s="21" t="str">
        <f aca="false">IFERROR(INDEX(종합!Z$3:Z$501,MATCH(ROW()-2,종합!$AC$3:$AC$501,0))&amp;"","")</f>
        <v/>
      </c>
    </row>
    <row r="309" customFormat="false" ht="16.5" hidden="false" customHeight="true" outlineLevel="0" collapsed="false">
      <c r="A309" s="18" t="str">
        <f aca="false">IF(B309="","",ROW()-2)</f>
        <v/>
      </c>
      <c r="B309" s="18" t="str">
        <f aca="false">IFERROR(INDEX(종합!B$3:B$501,MATCH(ROW()-2,종합!$AC$3:$AC$501,0))&amp;"","")</f>
        <v/>
      </c>
      <c r="C309" s="18" t="str">
        <f aca="false">IFERROR(INDEX(종합!C$3:C$501,MATCH(ROW()-2,종합!$AC$3:$AC$501,0))&amp;"","")</f>
        <v/>
      </c>
      <c r="D309" s="18" t="str">
        <f aca="false">IFERROR(INDEX(종합!D$3:D$501,MATCH(ROW()-2,종합!$AC$3:$AC$501,0))&amp;"","")</f>
        <v/>
      </c>
      <c r="E309" s="18" t="str">
        <f aca="false">IFERROR(INDEX(종합!E$3:E$501,MATCH(ROW()-2,종합!$AC$3:$AC$501,0))&amp;"","")</f>
        <v/>
      </c>
      <c r="F309" s="18" t="str">
        <f aca="false">IFERROR(INDEX(종합!F$3:F$501,MATCH(ROW()-2,종합!$AC$3:$AC$501,0))&amp;"","")</f>
        <v/>
      </c>
      <c r="G309" s="18" t="str">
        <f aca="false">IFERROR(INDEX(종합!G$3:G$501,MATCH(ROW()-2,종합!$AC$3:$AC$501,0))&amp;"","")</f>
        <v/>
      </c>
      <c r="H309" s="21" t="str">
        <f aca="false">IFERROR(INDEX(종합!H$3:H$501,MATCH(ROW()-2,종합!$AC$3:$AC$501,0))&amp;"","")</f>
        <v/>
      </c>
      <c r="I309" s="21" t="str">
        <f aca="false">IFERROR(INDEX(종합!I$3:I$501,MATCH(ROW()-2,종합!$AC$3:$AC$501,0))&amp;"","")</f>
        <v/>
      </c>
      <c r="J309" s="21" t="str">
        <f aca="false">IFERROR(INDEX(종합!J$3:J$501,MATCH(ROW()-2,종합!$AC$3:$AC$501,0))&amp;"","")</f>
        <v/>
      </c>
      <c r="K309" s="21" t="str">
        <f aca="false">IFERROR(INDEX(종합!K$3:K$501,MATCH(ROW()-2,종합!$AC$3:$AC$501,0))&amp;"","")</f>
        <v/>
      </c>
      <c r="L309" s="21" t="str">
        <f aca="false">IFERROR(INDEX(종합!L$3:L$501,MATCH(ROW()-2,종합!$AC$3:$AC$501,0))&amp;"","")</f>
        <v/>
      </c>
      <c r="M309" s="21" t="str">
        <f aca="false">IFERROR(INDEX(종합!M$3:M$501,MATCH(ROW()-2,종합!$AC$3:$AC$501,0))&amp;"","")</f>
        <v/>
      </c>
      <c r="N309" s="25" t="str">
        <f aca="false">IFERROR(INDEX(종합!N$3:N$501,MATCH(ROW()-2,종합!$AC$3:$AC$501,0))&amp;"","")</f>
        <v/>
      </c>
      <c r="O309" s="21" t="str">
        <f aca="false">IFERROR(INDEX(종합!O$3:O$501,MATCH(ROW()-2,종합!$AC$3:$AC$501,0))&amp;"","")</f>
        <v/>
      </c>
      <c r="P309" s="21" t="str">
        <f aca="false">IFERROR(INDEX(종합!P$3:P$501,MATCH(ROW()-2,종합!$AC$3:$AC$501,0))&amp;"","")</f>
        <v/>
      </c>
      <c r="Q309" s="21" t="str">
        <f aca="false">IFERROR(INDEX(종합!Q$3:Q$501,MATCH(ROW()-2,종합!$AC$3:$AC$501,0))&amp;"","")</f>
        <v/>
      </c>
      <c r="R309" s="21" t="str">
        <f aca="false">IFERROR(INDEX(종합!R$3:R$501,MATCH(ROW()-2,종합!$AC$3:$AC$501,0))&amp;"","")</f>
        <v/>
      </c>
      <c r="S309" s="21" t="str">
        <f aca="false">IFERROR(INDEX(종합!S$3:S$501,MATCH(ROW()-2,종합!$AC$3:$AC$501,0))&amp;"","")</f>
        <v/>
      </c>
      <c r="T309" s="21" t="str">
        <f aca="false">IFERROR(INDEX(종합!T$3:T$501,MATCH(ROW()-2,종합!$AC$3:$AC$501,0))&amp;"","")</f>
        <v/>
      </c>
      <c r="U309" s="21" t="str">
        <f aca="false">IFERROR(INDEX(종합!U$3:U$501,MATCH(ROW()-2,종합!$AC$3:$AC$501,0))&amp;"","")</f>
        <v/>
      </c>
      <c r="V309" s="21" t="str">
        <f aca="false">IFERROR(INDEX(종합!V$3:V$501,MATCH(ROW()-2,종합!$AC$3:$AC$501,0))&amp;"","")</f>
        <v/>
      </c>
      <c r="W309" s="21" t="str">
        <f aca="false">IFERROR(INDEX(종합!W$3:W$501,MATCH(ROW()-2,종합!$AC$3:$AC$501,0))&amp;"","")</f>
        <v/>
      </c>
      <c r="X309" s="21" t="str">
        <f aca="false">IFERROR(INDEX(종합!X$3:X$501,MATCH(ROW()-2,종합!$AC$3:$AC$501,0))&amp;"","")</f>
        <v/>
      </c>
      <c r="Y309" s="21" t="str">
        <f aca="false">IFERROR(INDEX(종합!Y$3:Y$501,MATCH(ROW()-2,종합!$AC$3:$AC$501,0))&amp;"","")</f>
        <v/>
      </c>
      <c r="Z309" s="21" t="str">
        <f aca="false">IFERROR(INDEX(종합!Z$3:Z$501,MATCH(ROW()-2,종합!$AC$3:$AC$501,0))&amp;"","")</f>
        <v/>
      </c>
    </row>
    <row r="310" customFormat="false" ht="16.5" hidden="false" customHeight="true" outlineLevel="0" collapsed="false">
      <c r="A310" s="18" t="str">
        <f aca="false">IF(B310="","",ROW()-2)</f>
        <v/>
      </c>
      <c r="B310" s="18" t="str">
        <f aca="false">IFERROR(INDEX(종합!B$3:B$501,MATCH(ROW()-2,종합!$AC$3:$AC$501,0))&amp;"","")</f>
        <v/>
      </c>
      <c r="C310" s="18" t="str">
        <f aca="false">IFERROR(INDEX(종합!C$3:C$501,MATCH(ROW()-2,종합!$AC$3:$AC$501,0))&amp;"","")</f>
        <v/>
      </c>
      <c r="D310" s="18" t="str">
        <f aca="false">IFERROR(INDEX(종합!D$3:D$501,MATCH(ROW()-2,종합!$AC$3:$AC$501,0))&amp;"","")</f>
        <v/>
      </c>
      <c r="E310" s="18" t="str">
        <f aca="false">IFERROR(INDEX(종합!E$3:E$501,MATCH(ROW()-2,종합!$AC$3:$AC$501,0))&amp;"","")</f>
        <v/>
      </c>
      <c r="F310" s="18" t="str">
        <f aca="false">IFERROR(INDEX(종합!F$3:F$501,MATCH(ROW()-2,종합!$AC$3:$AC$501,0))&amp;"","")</f>
        <v/>
      </c>
      <c r="G310" s="18" t="str">
        <f aca="false">IFERROR(INDEX(종합!G$3:G$501,MATCH(ROW()-2,종합!$AC$3:$AC$501,0))&amp;"","")</f>
        <v/>
      </c>
      <c r="H310" s="21" t="str">
        <f aca="false">IFERROR(INDEX(종합!H$3:H$501,MATCH(ROW()-2,종합!$AC$3:$AC$501,0))&amp;"","")</f>
        <v/>
      </c>
      <c r="I310" s="21" t="str">
        <f aca="false">IFERROR(INDEX(종합!I$3:I$501,MATCH(ROW()-2,종합!$AC$3:$AC$501,0))&amp;"","")</f>
        <v/>
      </c>
      <c r="J310" s="21" t="str">
        <f aca="false">IFERROR(INDEX(종합!J$3:J$501,MATCH(ROW()-2,종합!$AC$3:$AC$501,0))&amp;"","")</f>
        <v/>
      </c>
      <c r="K310" s="21" t="str">
        <f aca="false">IFERROR(INDEX(종합!K$3:K$501,MATCH(ROW()-2,종합!$AC$3:$AC$501,0))&amp;"","")</f>
        <v/>
      </c>
      <c r="L310" s="21" t="str">
        <f aca="false">IFERROR(INDEX(종합!L$3:L$501,MATCH(ROW()-2,종합!$AC$3:$AC$501,0))&amp;"","")</f>
        <v/>
      </c>
      <c r="M310" s="21" t="str">
        <f aca="false">IFERROR(INDEX(종합!M$3:M$501,MATCH(ROW()-2,종합!$AC$3:$AC$501,0))&amp;"","")</f>
        <v/>
      </c>
      <c r="N310" s="25" t="str">
        <f aca="false">IFERROR(INDEX(종합!N$3:N$501,MATCH(ROW()-2,종합!$AC$3:$AC$501,0))&amp;"","")</f>
        <v/>
      </c>
      <c r="O310" s="21" t="str">
        <f aca="false">IFERROR(INDEX(종합!O$3:O$501,MATCH(ROW()-2,종합!$AC$3:$AC$501,0))&amp;"","")</f>
        <v/>
      </c>
      <c r="P310" s="21" t="str">
        <f aca="false">IFERROR(INDEX(종합!P$3:P$501,MATCH(ROW()-2,종합!$AC$3:$AC$501,0))&amp;"","")</f>
        <v/>
      </c>
      <c r="Q310" s="21" t="str">
        <f aca="false">IFERROR(INDEX(종합!Q$3:Q$501,MATCH(ROW()-2,종합!$AC$3:$AC$501,0))&amp;"","")</f>
        <v/>
      </c>
      <c r="R310" s="21" t="str">
        <f aca="false">IFERROR(INDEX(종합!R$3:R$501,MATCH(ROW()-2,종합!$AC$3:$AC$501,0))&amp;"","")</f>
        <v/>
      </c>
      <c r="S310" s="21" t="str">
        <f aca="false">IFERROR(INDEX(종합!S$3:S$501,MATCH(ROW()-2,종합!$AC$3:$AC$501,0))&amp;"","")</f>
        <v/>
      </c>
      <c r="T310" s="21" t="str">
        <f aca="false">IFERROR(INDEX(종합!T$3:T$501,MATCH(ROW()-2,종합!$AC$3:$AC$501,0))&amp;"","")</f>
        <v/>
      </c>
      <c r="U310" s="21" t="str">
        <f aca="false">IFERROR(INDEX(종합!U$3:U$501,MATCH(ROW()-2,종합!$AC$3:$AC$501,0))&amp;"","")</f>
        <v/>
      </c>
      <c r="V310" s="21" t="str">
        <f aca="false">IFERROR(INDEX(종합!V$3:V$501,MATCH(ROW()-2,종합!$AC$3:$AC$501,0))&amp;"","")</f>
        <v/>
      </c>
      <c r="W310" s="21" t="str">
        <f aca="false">IFERROR(INDEX(종합!W$3:W$501,MATCH(ROW()-2,종합!$AC$3:$AC$501,0))&amp;"","")</f>
        <v/>
      </c>
      <c r="X310" s="21" t="str">
        <f aca="false">IFERROR(INDEX(종합!X$3:X$501,MATCH(ROW()-2,종합!$AC$3:$AC$501,0))&amp;"","")</f>
        <v/>
      </c>
      <c r="Y310" s="21" t="str">
        <f aca="false">IFERROR(INDEX(종합!Y$3:Y$501,MATCH(ROW()-2,종합!$AC$3:$AC$501,0))&amp;"","")</f>
        <v/>
      </c>
      <c r="Z310" s="21" t="str">
        <f aca="false">IFERROR(INDEX(종합!Z$3:Z$501,MATCH(ROW()-2,종합!$AC$3:$AC$501,0))&amp;"","")</f>
        <v/>
      </c>
    </row>
    <row r="311" customFormat="false" ht="16.5" hidden="false" customHeight="true" outlineLevel="0" collapsed="false">
      <c r="A311" s="18" t="str">
        <f aca="false">IF(B311="","",ROW()-2)</f>
        <v/>
      </c>
      <c r="B311" s="18" t="str">
        <f aca="false">IFERROR(INDEX(종합!B$3:B$501,MATCH(ROW()-2,종합!$AC$3:$AC$501,0))&amp;"","")</f>
        <v/>
      </c>
      <c r="C311" s="18" t="str">
        <f aca="false">IFERROR(INDEX(종합!C$3:C$501,MATCH(ROW()-2,종합!$AC$3:$AC$501,0))&amp;"","")</f>
        <v/>
      </c>
      <c r="D311" s="18" t="str">
        <f aca="false">IFERROR(INDEX(종합!D$3:D$501,MATCH(ROW()-2,종합!$AC$3:$AC$501,0))&amp;"","")</f>
        <v/>
      </c>
      <c r="E311" s="18" t="str">
        <f aca="false">IFERROR(INDEX(종합!E$3:E$501,MATCH(ROW()-2,종합!$AC$3:$AC$501,0))&amp;"","")</f>
        <v/>
      </c>
      <c r="F311" s="18" t="str">
        <f aca="false">IFERROR(INDEX(종합!F$3:F$501,MATCH(ROW()-2,종합!$AC$3:$AC$501,0))&amp;"","")</f>
        <v/>
      </c>
      <c r="G311" s="18" t="str">
        <f aca="false">IFERROR(INDEX(종합!G$3:G$501,MATCH(ROW()-2,종합!$AC$3:$AC$501,0))&amp;"","")</f>
        <v/>
      </c>
      <c r="H311" s="21" t="str">
        <f aca="false">IFERROR(INDEX(종합!H$3:H$501,MATCH(ROW()-2,종합!$AC$3:$AC$501,0))&amp;"","")</f>
        <v/>
      </c>
      <c r="I311" s="21" t="str">
        <f aca="false">IFERROR(INDEX(종합!I$3:I$501,MATCH(ROW()-2,종합!$AC$3:$AC$501,0))&amp;"","")</f>
        <v/>
      </c>
      <c r="J311" s="21" t="str">
        <f aca="false">IFERROR(INDEX(종합!J$3:J$501,MATCH(ROW()-2,종합!$AC$3:$AC$501,0))&amp;"","")</f>
        <v/>
      </c>
      <c r="K311" s="21" t="str">
        <f aca="false">IFERROR(INDEX(종합!K$3:K$501,MATCH(ROW()-2,종합!$AC$3:$AC$501,0))&amp;"","")</f>
        <v/>
      </c>
      <c r="L311" s="21" t="str">
        <f aca="false">IFERROR(INDEX(종합!L$3:L$501,MATCH(ROW()-2,종합!$AC$3:$AC$501,0))&amp;"","")</f>
        <v/>
      </c>
      <c r="M311" s="21" t="str">
        <f aca="false">IFERROR(INDEX(종합!M$3:M$501,MATCH(ROW()-2,종합!$AC$3:$AC$501,0))&amp;"","")</f>
        <v/>
      </c>
      <c r="N311" s="25" t="str">
        <f aca="false">IFERROR(INDEX(종합!N$3:N$501,MATCH(ROW()-2,종합!$AC$3:$AC$501,0))&amp;"","")</f>
        <v/>
      </c>
      <c r="O311" s="21" t="str">
        <f aca="false">IFERROR(INDEX(종합!O$3:O$501,MATCH(ROW()-2,종합!$AC$3:$AC$501,0))&amp;"","")</f>
        <v/>
      </c>
      <c r="P311" s="21" t="str">
        <f aca="false">IFERROR(INDEX(종합!P$3:P$501,MATCH(ROW()-2,종합!$AC$3:$AC$501,0))&amp;"","")</f>
        <v/>
      </c>
      <c r="Q311" s="21" t="str">
        <f aca="false">IFERROR(INDEX(종합!Q$3:Q$501,MATCH(ROW()-2,종합!$AC$3:$AC$501,0))&amp;"","")</f>
        <v/>
      </c>
      <c r="R311" s="21" t="str">
        <f aca="false">IFERROR(INDEX(종합!R$3:R$501,MATCH(ROW()-2,종합!$AC$3:$AC$501,0))&amp;"","")</f>
        <v/>
      </c>
      <c r="S311" s="21" t="str">
        <f aca="false">IFERROR(INDEX(종합!S$3:S$501,MATCH(ROW()-2,종합!$AC$3:$AC$501,0))&amp;"","")</f>
        <v/>
      </c>
      <c r="T311" s="21" t="str">
        <f aca="false">IFERROR(INDEX(종합!T$3:T$501,MATCH(ROW()-2,종합!$AC$3:$AC$501,0))&amp;"","")</f>
        <v/>
      </c>
      <c r="U311" s="21" t="str">
        <f aca="false">IFERROR(INDEX(종합!U$3:U$501,MATCH(ROW()-2,종합!$AC$3:$AC$501,0))&amp;"","")</f>
        <v/>
      </c>
      <c r="V311" s="21" t="str">
        <f aca="false">IFERROR(INDEX(종합!V$3:V$501,MATCH(ROW()-2,종합!$AC$3:$AC$501,0))&amp;"","")</f>
        <v/>
      </c>
      <c r="W311" s="21" t="str">
        <f aca="false">IFERROR(INDEX(종합!W$3:W$501,MATCH(ROW()-2,종합!$AC$3:$AC$501,0))&amp;"","")</f>
        <v/>
      </c>
      <c r="X311" s="21" t="str">
        <f aca="false">IFERROR(INDEX(종합!X$3:X$501,MATCH(ROW()-2,종합!$AC$3:$AC$501,0))&amp;"","")</f>
        <v/>
      </c>
      <c r="Y311" s="21" t="str">
        <f aca="false">IFERROR(INDEX(종합!Y$3:Y$501,MATCH(ROW()-2,종합!$AC$3:$AC$501,0))&amp;"","")</f>
        <v/>
      </c>
      <c r="Z311" s="21" t="str">
        <f aca="false">IFERROR(INDEX(종합!Z$3:Z$501,MATCH(ROW()-2,종합!$AC$3:$AC$501,0))&amp;"","")</f>
        <v/>
      </c>
    </row>
    <row r="312" customFormat="false" ht="16.5" hidden="false" customHeight="true" outlineLevel="0" collapsed="false">
      <c r="A312" s="18" t="str">
        <f aca="false">IF(B312="","",ROW()-2)</f>
        <v/>
      </c>
      <c r="B312" s="18" t="str">
        <f aca="false">IFERROR(INDEX(종합!B$3:B$501,MATCH(ROW()-2,종합!$AC$3:$AC$501,0))&amp;"","")</f>
        <v/>
      </c>
      <c r="C312" s="18" t="str">
        <f aca="false">IFERROR(INDEX(종합!C$3:C$501,MATCH(ROW()-2,종합!$AC$3:$AC$501,0))&amp;"","")</f>
        <v/>
      </c>
      <c r="D312" s="18" t="str">
        <f aca="false">IFERROR(INDEX(종합!D$3:D$501,MATCH(ROW()-2,종합!$AC$3:$AC$501,0))&amp;"","")</f>
        <v/>
      </c>
      <c r="E312" s="18" t="str">
        <f aca="false">IFERROR(INDEX(종합!E$3:E$501,MATCH(ROW()-2,종합!$AC$3:$AC$501,0))&amp;"","")</f>
        <v/>
      </c>
      <c r="F312" s="18" t="str">
        <f aca="false">IFERROR(INDEX(종합!F$3:F$501,MATCH(ROW()-2,종합!$AC$3:$AC$501,0))&amp;"","")</f>
        <v/>
      </c>
      <c r="G312" s="18" t="str">
        <f aca="false">IFERROR(INDEX(종합!G$3:G$501,MATCH(ROW()-2,종합!$AC$3:$AC$501,0))&amp;"","")</f>
        <v/>
      </c>
      <c r="H312" s="21" t="str">
        <f aca="false">IFERROR(INDEX(종합!H$3:H$501,MATCH(ROW()-2,종합!$AC$3:$AC$501,0))&amp;"","")</f>
        <v/>
      </c>
      <c r="I312" s="21" t="str">
        <f aca="false">IFERROR(INDEX(종합!I$3:I$501,MATCH(ROW()-2,종합!$AC$3:$AC$501,0))&amp;"","")</f>
        <v/>
      </c>
      <c r="J312" s="21" t="str">
        <f aca="false">IFERROR(INDEX(종합!J$3:J$501,MATCH(ROW()-2,종합!$AC$3:$AC$501,0))&amp;"","")</f>
        <v/>
      </c>
      <c r="K312" s="21" t="str">
        <f aca="false">IFERROR(INDEX(종합!K$3:K$501,MATCH(ROW()-2,종합!$AC$3:$AC$501,0))&amp;"","")</f>
        <v/>
      </c>
      <c r="L312" s="21" t="str">
        <f aca="false">IFERROR(INDEX(종합!L$3:L$501,MATCH(ROW()-2,종합!$AC$3:$AC$501,0))&amp;"","")</f>
        <v/>
      </c>
      <c r="M312" s="21" t="str">
        <f aca="false">IFERROR(INDEX(종합!M$3:M$501,MATCH(ROW()-2,종합!$AC$3:$AC$501,0))&amp;"","")</f>
        <v/>
      </c>
      <c r="N312" s="25" t="str">
        <f aca="false">IFERROR(INDEX(종합!N$3:N$501,MATCH(ROW()-2,종합!$AC$3:$AC$501,0))&amp;"","")</f>
        <v/>
      </c>
      <c r="O312" s="21" t="str">
        <f aca="false">IFERROR(INDEX(종합!O$3:O$501,MATCH(ROW()-2,종합!$AC$3:$AC$501,0))&amp;"","")</f>
        <v/>
      </c>
      <c r="P312" s="21" t="str">
        <f aca="false">IFERROR(INDEX(종합!P$3:P$501,MATCH(ROW()-2,종합!$AC$3:$AC$501,0))&amp;"","")</f>
        <v/>
      </c>
      <c r="Q312" s="21" t="str">
        <f aca="false">IFERROR(INDEX(종합!Q$3:Q$501,MATCH(ROW()-2,종합!$AC$3:$AC$501,0))&amp;"","")</f>
        <v/>
      </c>
      <c r="R312" s="21" t="str">
        <f aca="false">IFERROR(INDEX(종합!R$3:R$501,MATCH(ROW()-2,종합!$AC$3:$AC$501,0))&amp;"","")</f>
        <v/>
      </c>
      <c r="S312" s="21" t="str">
        <f aca="false">IFERROR(INDEX(종합!S$3:S$501,MATCH(ROW()-2,종합!$AC$3:$AC$501,0))&amp;"","")</f>
        <v/>
      </c>
      <c r="T312" s="21" t="str">
        <f aca="false">IFERROR(INDEX(종합!T$3:T$501,MATCH(ROW()-2,종합!$AC$3:$AC$501,0))&amp;"","")</f>
        <v/>
      </c>
      <c r="U312" s="21" t="str">
        <f aca="false">IFERROR(INDEX(종합!U$3:U$501,MATCH(ROW()-2,종합!$AC$3:$AC$501,0))&amp;"","")</f>
        <v/>
      </c>
      <c r="V312" s="21" t="str">
        <f aca="false">IFERROR(INDEX(종합!V$3:V$501,MATCH(ROW()-2,종합!$AC$3:$AC$501,0))&amp;"","")</f>
        <v/>
      </c>
      <c r="W312" s="21" t="str">
        <f aca="false">IFERROR(INDEX(종합!W$3:W$501,MATCH(ROW()-2,종합!$AC$3:$AC$501,0))&amp;"","")</f>
        <v/>
      </c>
      <c r="X312" s="21" t="str">
        <f aca="false">IFERROR(INDEX(종합!X$3:X$501,MATCH(ROW()-2,종합!$AC$3:$AC$501,0))&amp;"","")</f>
        <v/>
      </c>
      <c r="Y312" s="21" t="str">
        <f aca="false">IFERROR(INDEX(종합!Y$3:Y$501,MATCH(ROW()-2,종합!$AC$3:$AC$501,0))&amp;"","")</f>
        <v/>
      </c>
      <c r="Z312" s="21" t="str">
        <f aca="false">IFERROR(INDEX(종합!Z$3:Z$501,MATCH(ROW()-2,종합!$AC$3:$AC$501,0))&amp;"","")</f>
        <v/>
      </c>
    </row>
    <row r="313" customFormat="false" ht="16.5" hidden="false" customHeight="true" outlineLevel="0" collapsed="false">
      <c r="A313" s="18" t="str">
        <f aca="false">IF(B313="","",ROW()-2)</f>
        <v/>
      </c>
      <c r="B313" s="18" t="str">
        <f aca="false">IFERROR(INDEX(종합!B$3:B$501,MATCH(ROW()-2,종합!$AC$3:$AC$501,0))&amp;"","")</f>
        <v/>
      </c>
      <c r="C313" s="18" t="str">
        <f aca="false">IFERROR(INDEX(종합!C$3:C$501,MATCH(ROW()-2,종합!$AC$3:$AC$501,0))&amp;"","")</f>
        <v/>
      </c>
      <c r="D313" s="18" t="str">
        <f aca="false">IFERROR(INDEX(종합!D$3:D$501,MATCH(ROW()-2,종합!$AC$3:$AC$501,0))&amp;"","")</f>
        <v/>
      </c>
      <c r="E313" s="18" t="str">
        <f aca="false">IFERROR(INDEX(종합!E$3:E$501,MATCH(ROW()-2,종합!$AC$3:$AC$501,0))&amp;"","")</f>
        <v/>
      </c>
      <c r="F313" s="18" t="str">
        <f aca="false">IFERROR(INDEX(종합!F$3:F$501,MATCH(ROW()-2,종합!$AC$3:$AC$501,0))&amp;"","")</f>
        <v/>
      </c>
      <c r="G313" s="18" t="str">
        <f aca="false">IFERROR(INDEX(종합!G$3:G$501,MATCH(ROW()-2,종합!$AC$3:$AC$501,0))&amp;"","")</f>
        <v/>
      </c>
      <c r="H313" s="21" t="str">
        <f aca="false">IFERROR(INDEX(종합!H$3:H$501,MATCH(ROW()-2,종합!$AC$3:$AC$501,0))&amp;"","")</f>
        <v/>
      </c>
      <c r="I313" s="21" t="str">
        <f aca="false">IFERROR(INDEX(종합!I$3:I$501,MATCH(ROW()-2,종합!$AC$3:$AC$501,0))&amp;"","")</f>
        <v/>
      </c>
      <c r="J313" s="21" t="str">
        <f aca="false">IFERROR(INDEX(종합!J$3:J$501,MATCH(ROW()-2,종합!$AC$3:$AC$501,0))&amp;"","")</f>
        <v/>
      </c>
      <c r="K313" s="21" t="str">
        <f aca="false">IFERROR(INDEX(종합!K$3:K$501,MATCH(ROW()-2,종합!$AC$3:$AC$501,0))&amp;"","")</f>
        <v/>
      </c>
      <c r="L313" s="21" t="str">
        <f aca="false">IFERROR(INDEX(종합!L$3:L$501,MATCH(ROW()-2,종합!$AC$3:$AC$501,0))&amp;"","")</f>
        <v/>
      </c>
      <c r="M313" s="21" t="str">
        <f aca="false">IFERROR(INDEX(종합!M$3:M$501,MATCH(ROW()-2,종합!$AC$3:$AC$501,0))&amp;"","")</f>
        <v/>
      </c>
      <c r="N313" s="25" t="str">
        <f aca="false">IFERROR(INDEX(종합!N$3:N$501,MATCH(ROW()-2,종합!$AC$3:$AC$501,0))&amp;"","")</f>
        <v/>
      </c>
      <c r="O313" s="21" t="str">
        <f aca="false">IFERROR(INDEX(종합!O$3:O$501,MATCH(ROW()-2,종합!$AC$3:$AC$501,0))&amp;"","")</f>
        <v/>
      </c>
      <c r="P313" s="21" t="str">
        <f aca="false">IFERROR(INDEX(종합!P$3:P$501,MATCH(ROW()-2,종합!$AC$3:$AC$501,0))&amp;"","")</f>
        <v/>
      </c>
      <c r="Q313" s="21" t="str">
        <f aca="false">IFERROR(INDEX(종합!Q$3:Q$501,MATCH(ROW()-2,종합!$AC$3:$AC$501,0))&amp;"","")</f>
        <v/>
      </c>
      <c r="R313" s="21" t="str">
        <f aca="false">IFERROR(INDEX(종합!R$3:R$501,MATCH(ROW()-2,종합!$AC$3:$AC$501,0))&amp;"","")</f>
        <v/>
      </c>
      <c r="S313" s="21" t="str">
        <f aca="false">IFERROR(INDEX(종합!S$3:S$501,MATCH(ROW()-2,종합!$AC$3:$AC$501,0))&amp;"","")</f>
        <v/>
      </c>
      <c r="T313" s="21" t="str">
        <f aca="false">IFERROR(INDEX(종합!T$3:T$501,MATCH(ROW()-2,종합!$AC$3:$AC$501,0))&amp;"","")</f>
        <v/>
      </c>
      <c r="U313" s="21" t="str">
        <f aca="false">IFERROR(INDEX(종합!U$3:U$501,MATCH(ROW()-2,종합!$AC$3:$AC$501,0))&amp;"","")</f>
        <v/>
      </c>
      <c r="V313" s="21" t="str">
        <f aca="false">IFERROR(INDEX(종합!V$3:V$501,MATCH(ROW()-2,종합!$AC$3:$AC$501,0))&amp;"","")</f>
        <v/>
      </c>
      <c r="W313" s="21" t="str">
        <f aca="false">IFERROR(INDEX(종합!W$3:W$501,MATCH(ROW()-2,종합!$AC$3:$AC$501,0))&amp;"","")</f>
        <v/>
      </c>
      <c r="X313" s="21" t="str">
        <f aca="false">IFERROR(INDEX(종합!X$3:X$501,MATCH(ROW()-2,종합!$AC$3:$AC$501,0))&amp;"","")</f>
        <v/>
      </c>
      <c r="Y313" s="21" t="str">
        <f aca="false">IFERROR(INDEX(종합!Y$3:Y$501,MATCH(ROW()-2,종합!$AC$3:$AC$501,0))&amp;"","")</f>
        <v/>
      </c>
      <c r="Z313" s="21" t="str">
        <f aca="false">IFERROR(INDEX(종합!Z$3:Z$501,MATCH(ROW()-2,종합!$AC$3:$AC$501,0))&amp;"","")</f>
        <v/>
      </c>
    </row>
    <row r="314" customFormat="false" ht="16.5" hidden="false" customHeight="true" outlineLevel="0" collapsed="false">
      <c r="A314" s="18" t="str">
        <f aca="false">IF(B314="","",ROW()-2)</f>
        <v/>
      </c>
      <c r="B314" s="18" t="str">
        <f aca="false">IFERROR(INDEX(종합!B$3:B$501,MATCH(ROW()-2,종합!$AC$3:$AC$501,0))&amp;"","")</f>
        <v/>
      </c>
      <c r="C314" s="18" t="str">
        <f aca="false">IFERROR(INDEX(종합!C$3:C$501,MATCH(ROW()-2,종합!$AC$3:$AC$501,0))&amp;"","")</f>
        <v/>
      </c>
      <c r="D314" s="18" t="str">
        <f aca="false">IFERROR(INDEX(종합!D$3:D$501,MATCH(ROW()-2,종합!$AC$3:$AC$501,0))&amp;"","")</f>
        <v/>
      </c>
      <c r="E314" s="18" t="str">
        <f aca="false">IFERROR(INDEX(종합!E$3:E$501,MATCH(ROW()-2,종합!$AC$3:$AC$501,0))&amp;"","")</f>
        <v/>
      </c>
      <c r="F314" s="18" t="str">
        <f aca="false">IFERROR(INDEX(종합!F$3:F$501,MATCH(ROW()-2,종합!$AC$3:$AC$501,0))&amp;"","")</f>
        <v/>
      </c>
      <c r="G314" s="18" t="str">
        <f aca="false">IFERROR(INDEX(종합!G$3:G$501,MATCH(ROW()-2,종합!$AC$3:$AC$501,0))&amp;"","")</f>
        <v/>
      </c>
      <c r="H314" s="21" t="str">
        <f aca="false">IFERROR(INDEX(종합!H$3:H$501,MATCH(ROW()-2,종합!$AC$3:$AC$501,0))&amp;"","")</f>
        <v/>
      </c>
      <c r="I314" s="21" t="str">
        <f aca="false">IFERROR(INDEX(종합!I$3:I$501,MATCH(ROW()-2,종합!$AC$3:$AC$501,0))&amp;"","")</f>
        <v/>
      </c>
      <c r="J314" s="21" t="str">
        <f aca="false">IFERROR(INDEX(종합!J$3:J$501,MATCH(ROW()-2,종합!$AC$3:$AC$501,0))&amp;"","")</f>
        <v/>
      </c>
      <c r="K314" s="21" t="str">
        <f aca="false">IFERROR(INDEX(종합!K$3:K$501,MATCH(ROW()-2,종합!$AC$3:$AC$501,0))&amp;"","")</f>
        <v/>
      </c>
      <c r="L314" s="21" t="str">
        <f aca="false">IFERROR(INDEX(종합!L$3:L$501,MATCH(ROW()-2,종합!$AC$3:$AC$501,0))&amp;"","")</f>
        <v/>
      </c>
      <c r="M314" s="21" t="str">
        <f aca="false">IFERROR(INDEX(종합!M$3:M$501,MATCH(ROW()-2,종합!$AC$3:$AC$501,0))&amp;"","")</f>
        <v/>
      </c>
      <c r="N314" s="25" t="str">
        <f aca="false">IFERROR(INDEX(종합!N$3:N$501,MATCH(ROW()-2,종합!$AC$3:$AC$501,0))&amp;"","")</f>
        <v/>
      </c>
      <c r="O314" s="21" t="str">
        <f aca="false">IFERROR(INDEX(종합!O$3:O$501,MATCH(ROW()-2,종합!$AC$3:$AC$501,0))&amp;"","")</f>
        <v/>
      </c>
      <c r="P314" s="21" t="str">
        <f aca="false">IFERROR(INDEX(종합!P$3:P$501,MATCH(ROW()-2,종합!$AC$3:$AC$501,0))&amp;"","")</f>
        <v/>
      </c>
      <c r="Q314" s="21" t="str">
        <f aca="false">IFERROR(INDEX(종합!Q$3:Q$501,MATCH(ROW()-2,종합!$AC$3:$AC$501,0))&amp;"","")</f>
        <v/>
      </c>
      <c r="R314" s="21" t="str">
        <f aca="false">IFERROR(INDEX(종합!R$3:R$501,MATCH(ROW()-2,종합!$AC$3:$AC$501,0))&amp;"","")</f>
        <v/>
      </c>
      <c r="S314" s="21" t="str">
        <f aca="false">IFERROR(INDEX(종합!S$3:S$501,MATCH(ROW()-2,종합!$AC$3:$AC$501,0))&amp;"","")</f>
        <v/>
      </c>
      <c r="T314" s="21" t="str">
        <f aca="false">IFERROR(INDEX(종합!T$3:T$501,MATCH(ROW()-2,종합!$AC$3:$AC$501,0))&amp;"","")</f>
        <v/>
      </c>
      <c r="U314" s="21" t="str">
        <f aca="false">IFERROR(INDEX(종합!U$3:U$501,MATCH(ROW()-2,종합!$AC$3:$AC$501,0))&amp;"","")</f>
        <v/>
      </c>
      <c r="V314" s="21" t="str">
        <f aca="false">IFERROR(INDEX(종합!V$3:V$501,MATCH(ROW()-2,종합!$AC$3:$AC$501,0))&amp;"","")</f>
        <v/>
      </c>
      <c r="W314" s="21" t="str">
        <f aca="false">IFERROR(INDEX(종합!W$3:W$501,MATCH(ROW()-2,종합!$AC$3:$AC$501,0))&amp;"","")</f>
        <v/>
      </c>
      <c r="X314" s="21" t="str">
        <f aca="false">IFERROR(INDEX(종합!X$3:X$501,MATCH(ROW()-2,종합!$AC$3:$AC$501,0))&amp;"","")</f>
        <v/>
      </c>
      <c r="Y314" s="21" t="str">
        <f aca="false">IFERROR(INDEX(종합!Y$3:Y$501,MATCH(ROW()-2,종합!$AC$3:$AC$501,0))&amp;"","")</f>
        <v/>
      </c>
      <c r="Z314" s="21" t="str">
        <f aca="false">IFERROR(INDEX(종합!Z$3:Z$501,MATCH(ROW()-2,종합!$AC$3:$AC$501,0))&amp;"","")</f>
        <v/>
      </c>
    </row>
    <row r="315" customFormat="false" ht="16.5" hidden="false" customHeight="true" outlineLevel="0" collapsed="false">
      <c r="A315" s="18" t="str">
        <f aca="false">IF(B315="","",ROW()-2)</f>
        <v/>
      </c>
      <c r="B315" s="18" t="str">
        <f aca="false">IFERROR(INDEX(종합!B$3:B$501,MATCH(ROW()-2,종합!$AC$3:$AC$501,0))&amp;"","")</f>
        <v/>
      </c>
      <c r="C315" s="18" t="str">
        <f aca="false">IFERROR(INDEX(종합!C$3:C$501,MATCH(ROW()-2,종합!$AC$3:$AC$501,0))&amp;"","")</f>
        <v/>
      </c>
      <c r="D315" s="18" t="str">
        <f aca="false">IFERROR(INDEX(종합!D$3:D$501,MATCH(ROW()-2,종합!$AC$3:$AC$501,0))&amp;"","")</f>
        <v/>
      </c>
      <c r="E315" s="18" t="str">
        <f aca="false">IFERROR(INDEX(종합!E$3:E$501,MATCH(ROW()-2,종합!$AC$3:$AC$501,0))&amp;"","")</f>
        <v/>
      </c>
      <c r="F315" s="18" t="str">
        <f aca="false">IFERROR(INDEX(종합!F$3:F$501,MATCH(ROW()-2,종합!$AC$3:$AC$501,0))&amp;"","")</f>
        <v/>
      </c>
      <c r="G315" s="18" t="str">
        <f aca="false">IFERROR(INDEX(종합!G$3:G$501,MATCH(ROW()-2,종합!$AC$3:$AC$501,0))&amp;"","")</f>
        <v/>
      </c>
      <c r="H315" s="21" t="str">
        <f aca="false">IFERROR(INDEX(종합!H$3:H$501,MATCH(ROW()-2,종합!$AC$3:$AC$501,0))&amp;"","")</f>
        <v/>
      </c>
      <c r="I315" s="21" t="str">
        <f aca="false">IFERROR(INDEX(종합!I$3:I$501,MATCH(ROW()-2,종합!$AC$3:$AC$501,0))&amp;"","")</f>
        <v/>
      </c>
      <c r="J315" s="21" t="str">
        <f aca="false">IFERROR(INDEX(종합!J$3:J$501,MATCH(ROW()-2,종합!$AC$3:$AC$501,0))&amp;"","")</f>
        <v/>
      </c>
      <c r="K315" s="21" t="str">
        <f aca="false">IFERROR(INDEX(종합!K$3:K$501,MATCH(ROW()-2,종합!$AC$3:$AC$501,0))&amp;"","")</f>
        <v/>
      </c>
      <c r="L315" s="21" t="str">
        <f aca="false">IFERROR(INDEX(종합!L$3:L$501,MATCH(ROW()-2,종합!$AC$3:$AC$501,0))&amp;"","")</f>
        <v/>
      </c>
      <c r="M315" s="21" t="str">
        <f aca="false">IFERROR(INDEX(종합!M$3:M$501,MATCH(ROW()-2,종합!$AC$3:$AC$501,0))&amp;"","")</f>
        <v/>
      </c>
      <c r="N315" s="25" t="str">
        <f aca="false">IFERROR(INDEX(종합!N$3:N$501,MATCH(ROW()-2,종합!$AC$3:$AC$501,0))&amp;"","")</f>
        <v/>
      </c>
      <c r="O315" s="21" t="str">
        <f aca="false">IFERROR(INDEX(종합!O$3:O$501,MATCH(ROW()-2,종합!$AC$3:$AC$501,0))&amp;"","")</f>
        <v/>
      </c>
      <c r="P315" s="21" t="str">
        <f aca="false">IFERROR(INDEX(종합!P$3:P$501,MATCH(ROW()-2,종합!$AC$3:$AC$501,0))&amp;"","")</f>
        <v/>
      </c>
      <c r="Q315" s="21" t="str">
        <f aca="false">IFERROR(INDEX(종합!Q$3:Q$501,MATCH(ROW()-2,종합!$AC$3:$AC$501,0))&amp;"","")</f>
        <v/>
      </c>
      <c r="R315" s="21" t="str">
        <f aca="false">IFERROR(INDEX(종합!R$3:R$501,MATCH(ROW()-2,종합!$AC$3:$AC$501,0))&amp;"","")</f>
        <v/>
      </c>
      <c r="S315" s="21" t="str">
        <f aca="false">IFERROR(INDEX(종합!S$3:S$501,MATCH(ROW()-2,종합!$AC$3:$AC$501,0))&amp;"","")</f>
        <v/>
      </c>
      <c r="T315" s="21" t="str">
        <f aca="false">IFERROR(INDEX(종합!T$3:T$501,MATCH(ROW()-2,종합!$AC$3:$AC$501,0))&amp;"","")</f>
        <v/>
      </c>
      <c r="U315" s="21" t="str">
        <f aca="false">IFERROR(INDEX(종합!U$3:U$501,MATCH(ROW()-2,종합!$AC$3:$AC$501,0))&amp;"","")</f>
        <v/>
      </c>
      <c r="V315" s="21" t="str">
        <f aca="false">IFERROR(INDEX(종합!V$3:V$501,MATCH(ROW()-2,종합!$AC$3:$AC$501,0))&amp;"","")</f>
        <v/>
      </c>
      <c r="W315" s="21" t="str">
        <f aca="false">IFERROR(INDEX(종합!W$3:W$501,MATCH(ROW()-2,종합!$AC$3:$AC$501,0))&amp;"","")</f>
        <v/>
      </c>
      <c r="X315" s="21" t="str">
        <f aca="false">IFERROR(INDEX(종합!X$3:X$501,MATCH(ROW()-2,종합!$AC$3:$AC$501,0))&amp;"","")</f>
        <v/>
      </c>
      <c r="Y315" s="21" t="str">
        <f aca="false">IFERROR(INDEX(종합!Y$3:Y$501,MATCH(ROW()-2,종합!$AC$3:$AC$501,0))&amp;"","")</f>
        <v/>
      </c>
      <c r="Z315" s="21" t="str">
        <f aca="false">IFERROR(INDEX(종합!Z$3:Z$501,MATCH(ROW()-2,종합!$AC$3:$AC$501,0))&amp;"","")</f>
        <v/>
      </c>
    </row>
    <row r="316" customFormat="false" ht="16.5" hidden="false" customHeight="true" outlineLevel="0" collapsed="false">
      <c r="A316" s="18" t="str">
        <f aca="false">IF(B316="","",ROW()-2)</f>
        <v/>
      </c>
      <c r="B316" s="18" t="str">
        <f aca="false">IFERROR(INDEX(종합!B$3:B$501,MATCH(ROW()-2,종합!$AC$3:$AC$501,0))&amp;"","")</f>
        <v/>
      </c>
      <c r="C316" s="18" t="str">
        <f aca="false">IFERROR(INDEX(종합!C$3:C$501,MATCH(ROW()-2,종합!$AC$3:$AC$501,0))&amp;"","")</f>
        <v/>
      </c>
      <c r="D316" s="18" t="str">
        <f aca="false">IFERROR(INDEX(종합!D$3:D$501,MATCH(ROW()-2,종합!$AC$3:$AC$501,0))&amp;"","")</f>
        <v/>
      </c>
      <c r="E316" s="18" t="str">
        <f aca="false">IFERROR(INDEX(종합!E$3:E$501,MATCH(ROW()-2,종합!$AC$3:$AC$501,0))&amp;"","")</f>
        <v/>
      </c>
      <c r="F316" s="18" t="str">
        <f aca="false">IFERROR(INDEX(종합!F$3:F$501,MATCH(ROW()-2,종합!$AC$3:$AC$501,0))&amp;"","")</f>
        <v/>
      </c>
      <c r="G316" s="18" t="str">
        <f aca="false">IFERROR(INDEX(종합!G$3:G$501,MATCH(ROW()-2,종합!$AC$3:$AC$501,0))&amp;"","")</f>
        <v/>
      </c>
      <c r="H316" s="21" t="str">
        <f aca="false">IFERROR(INDEX(종합!H$3:H$501,MATCH(ROW()-2,종합!$AC$3:$AC$501,0))&amp;"","")</f>
        <v/>
      </c>
      <c r="I316" s="21" t="str">
        <f aca="false">IFERROR(INDEX(종합!I$3:I$501,MATCH(ROW()-2,종합!$AC$3:$AC$501,0))&amp;"","")</f>
        <v/>
      </c>
      <c r="J316" s="21" t="str">
        <f aca="false">IFERROR(INDEX(종합!J$3:J$501,MATCH(ROW()-2,종합!$AC$3:$AC$501,0))&amp;"","")</f>
        <v/>
      </c>
      <c r="K316" s="21" t="str">
        <f aca="false">IFERROR(INDEX(종합!K$3:K$501,MATCH(ROW()-2,종합!$AC$3:$AC$501,0))&amp;"","")</f>
        <v/>
      </c>
      <c r="L316" s="21" t="str">
        <f aca="false">IFERROR(INDEX(종합!L$3:L$501,MATCH(ROW()-2,종합!$AC$3:$AC$501,0))&amp;"","")</f>
        <v/>
      </c>
      <c r="M316" s="21" t="str">
        <f aca="false">IFERROR(INDEX(종합!M$3:M$501,MATCH(ROW()-2,종합!$AC$3:$AC$501,0))&amp;"","")</f>
        <v/>
      </c>
      <c r="N316" s="25" t="str">
        <f aca="false">IFERROR(INDEX(종합!N$3:N$501,MATCH(ROW()-2,종합!$AC$3:$AC$501,0))&amp;"","")</f>
        <v/>
      </c>
      <c r="O316" s="21" t="str">
        <f aca="false">IFERROR(INDEX(종합!O$3:O$501,MATCH(ROW()-2,종합!$AC$3:$AC$501,0))&amp;"","")</f>
        <v/>
      </c>
      <c r="P316" s="21" t="str">
        <f aca="false">IFERROR(INDEX(종합!P$3:P$501,MATCH(ROW()-2,종합!$AC$3:$AC$501,0))&amp;"","")</f>
        <v/>
      </c>
      <c r="Q316" s="21" t="str">
        <f aca="false">IFERROR(INDEX(종합!Q$3:Q$501,MATCH(ROW()-2,종합!$AC$3:$AC$501,0))&amp;"","")</f>
        <v/>
      </c>
      <c r="R316" s="21" t="str">
        <f aca="false">IFERROR(INDEX(종합!R$3:R$501,MATCH(ROW()-2,종합!$AC$3:$AC$501,0))&amp;"","")</f>
        <v/>
      </c>
      <c r="S316" s="21" t="str">
        <f aca="false">IFERROR(INDEX(종합!S$3:S$501,MATCH(ROW()-2,종합!$AC$3:$AC$501,0))&amp;"","")</f>
        <v/>
      </c>
      <c r="T316" s="21" t="str">
        <f aca="false">IFERROR(INDEX(종합!T$3:T$501,MATCH(ROW()-2,종합!$AC$3:$AC$501,0))&amp;"","")</f>
        <v/>
      </c>
      <c r="U316" s="21" t="str">
        <f aca="false">IFERROR(INDEX(종합!U$3:U$501,MATCH(ROW()-2,종합!$AC$3:$AC$501,0))&amp;"","")</f>
        <v/>
      </c>
      <c r="V316" s="21" t="str">
        <f aca="false">IFERROR(INDEX(종합!V$3:V$501,MATCH(ROW()-2,종합!$AC$3:$AC$501,0))&amp;"","")</f>
        <v/>
      </c>
      <c r="W316" s="21" t="str">
        <f aca="false">IFERROR(INDEX(종합!W$3:W$501,MATCH(ROW()-2,종합!$AC$3:$AC$501,0))&amp;"","")</f>
        <v/>
      </c>
      <c r="X316" s="21" t="str">
        <f aca="false">IFERROR(INDEX(종합!X$3:X$501,MATCH(ROW()-2,종합!$AC$3:$AC$501,0))&amp;"","")</f>
        <v/>
      </c>
      <c r="Y316" s="21" t="str">
        <f aca="false">IFERROR(INDEX(종합!Y$3:Y$501,MATCH(ROW()-2,종합!$AC$3:$AC$501,0))&amp;"","")</f>
        <v/>
      </c>
      <c r="Z316" s="21" t="str">
        <f aca="false">IFERROR(INDEX(종합!Z$3:Z$501,MATCH(ROW()-2,종합!$AC$3:$AC$501,0))&amp;"","")</f>
        <v/>
      </c>
    </row>
    <row r="317" customFormat="false" ht="16.5" hidden="false" customHeight="true" outlineLevel="0" collapsed="false">
      <c r="A317" s="18" t="str">
        <f aca="false">IF(B317="","",ROW()-2)</f>
        <v/>
      </c>
      <c r="B317" s="18" t="str">
        <f aca="false">IFERROR(INDEX(종합!B$3:B$501,MATCH(ROW()-2,종합!$AC$3:$AC$501,0))&amp;"","")</f>
        <v/>
      </c>
      <c r="C317" s="18" t="str">
        <f aca="false">IFERROR(INDEX(종합!C$3:C$501,MATCH(ROW()-2,종합!$AC$3:$AC$501,0))&amp;"","")</f>
        <v/>
      </c>
      <c r="D317" s="18" t="str">
        <f aca="false">IFERROR(INDEX(종합!D$3:D$501,MATCH(ROW()-2,종합!$AC$3:$AC$501,0))&amp;"","")</f>
        <v/>
      </c>
      <c r="E317" s="18" t="str">
        <f aca="false">IFERROR(INDEX(종합!E$3:E$501,MATCH(ROW()-2,종합!$AC$3:$AC$501,0))&amp;"","")</f>
        <v/>
      </c>
      <c r="F317" s="18" t="str">
        <f aca="false">IFERROR(INDEX(종합!F$3:F$501,MATCH(ROW()-2,종합!$AC$3:$AC$501,0))&amp;"","")</f>
        <v/>
      </c>
      <c r="G317" s="18" t="str">
        <f aca="false">IFERROR(INDEX(종합!G$3:G$501,MATCH(ROW()-2,종합!$AC$3:$AC$501,0))&amp;"","")</f>
        <v/>
      </c>
      <c r="H317" s="21" t="str">
        <f aca="false">IFERROR(INDEX(종합!H$3:H$501,MATCH(ROW()-2,종합!$AC$3:$AC$501,0))&amp;"","")</f>
        <v/>
      </c>
      <c r="I317" s="21" t="str">
        <f aca="false">IFERROR(INDEX(종합!I$3:I$501,MATCH(ROW()-2,종합!$AC$3:$AC$501,0))&amp;"","")</f>
        <v/>
      </c>
      <c r="J317" s="21" t="str">
        <f aca="false">IFERROR(INDEX(종합!J$3:J$501,MATCH(ROW()-2,종합!$AC$3:$AC$501,0))&amp;"","")</f>
        <v/>
      </c>
      <c r="K317" s="21" t="str">
        <f aca="false">IFERROR(INDEX(종합!K$3:K$501,MATCH(ROW()-2,종합!$AC$3:$AC$501,0))&amp;"","")</f>
        <v/>
      </c>
      <c r="L317" s="21" t="str">
        <f aca="false">IFERROR(INDEX(종합!L$3:L$501,MATCH(ROW()-2,종합!$AC$3:$AC$501,0))&amp;"","")</f>
        <v/>
      </c>
      <c r="M317" s="21" t="str">
        <f aca="false">IFERROR(INDEX(종합!M$3:M$501,MATCH(ROW()-2,종합!$AC$3:$AC$501,0))&amp;"","")</f>
        <v/>
      </c>
      <c r="N317" s="25" t="str">
        <f aca="false">IFERROR(INDEX(종합!N$3:N$501,MATCH(ROW()-2,종합!$AC$3:$AC$501,0))&amp;"","")</f>
        <v/>
      </c>
      <c r="O317" s="21" t="str">
        <f aca="false">IFERROR(INDEX(종합!O$3:O$501,MATCH(ROW()-2,종합!$AC$3:$AC$501,0))&amp;"","")</f>
        <v/>
      </c>
      <c r="P317" s="21" t="str">
        <f aca="false">IFERROR(INDEX(종합!P$3:P$501,MATCH(ROW()-2,종합!$AC$3:$AC$501,0))&amp;"","")</f>
        <v/>
      </c>
      <c r="Q317" s="21" t="str">
        <f aca="false">IFERROR(INDEX(종합!Q$3:Q$501,MATCH(ROW()-2,종합!$AC$3:$AC$501,0))&amp;"","")</f>
        <v/>
      </c>
      <c r="R317" s="21" t="str">
        <f aca="false">IFERROR(INDEX(종합!R$3:R$501,MATCH(ROW()-2,종합!$AC$3:$AC$501,0))&amp;"","")</f>
        <v/>
      </c>
      <c r="S317" s="21" t="str">
        <f aca="false">IFERROR(INDEX(종합!S$3:S$501,MATCH(ROW()-2,종합!$AC$3:$AC$501,0))&amp;"","")</f>
        <v/>
      </c>
      <c r="T317" s="21" t="str">
        <f aca="false">IFERROR(INDEX(종합!T$3:T$501,MATCH(ROW()-2,종합!$AC$3:$AC$501,0))&amp;"","")</f>
        <v/>
      </c>
      <c r="U317" s="21" t="str">
        <f aca="false">IFERROR(INDEX(종합!U$3:U$501,MATCH(ROW()-2,종합!$AC$3:$AC$501,0))&amp;"","")</f>
        <v/>
      </c>
      <c r="V317" s="21" t="str">
        <f aca="false">IFERROR(INDEX(종합!V$3:V$501,MATCH(ROW()-2,종합!$AC$3:$AC$501,0))&amp;"","")</f>
        <v/>
      </c>
      <c r="W317" s="21" t="str">
        <f aca="false">IFERROR(INDEX(종합!W$3:W$501,MATCH(ROW()-2,종합!$AC$3:$AC$501,0))&amp;"","")</f>
        <v/>
      </c>
      <c r="X317" s="21" t="str">
        <f aca="false">IFERROR(INDEX(종합!X$3:X$501,MATCH(ROW()-2,종합!$AC$3:$AC$501,0))&amp;"","")</f>
        <v/>
      </c>
      <c r="Y317" s="21" t="str">
        <f aca="false">IFERROR(INDEX(종합!Y$3:Y$501,MATCH(ROW()-2,종합!$AC$3:$AC$501,0))&amp;"","")</f>
        <v/>
      </c>
      <c r="Z317" s="21" t="str">
        <f aca="false">IFERROR(INDEX(종합!Z$3:Z$501,MATCH(ROW()-2,종합!$AC$3:$AC$501,0))&amp;"","")</f>
        <v/>
      </c>
    </row>
    <row r="318" customFormat="false" ht="16.5" hidden="false" customHeight="true" outlineLevel="0" collapsed="false">
      <c r="A318" s="18" t="str">
        <f aca="false">IF(B318="","",ROW()-2)</f>
        <v/>
      </c>
      <c r="B318" s="18" t="str">
        <f aca="false">IFERROR(INDEX(종합!B$3:B$501,MATCH(ROW()-2,종합!$AC$3:$AC$501,0))&amp;"","")</f>
        <v/>
      </c>
      <c r="C318" s="18" t="str">
        <f aca="false">IFERROR(INDEX(종합!C$3:C$501,MATCH(ROW()-2,종합!$AC$3:$AC$501,0))&amp;"","")</f>
        <v/>
      </c>
      <c r="D318" s="18" t="str">
        <f aca="false">IFERROR(INDEX(종합!D$3:D$501,MATCH(ROW()-2,종합!$AC$3:$AC$501,0))&amp;"","")</f>
        <v/>
      </c>
      <c r="E318" s="18" t="str">
        <f aca="false">IFERROR(INDEX(종합!E$3:E$501,MATCH(ROW()-2,종합!$AC$3:$AC$501,0))&amp;"","")</f>
        <v/>
      </c>
      <c r="F318" s="18" t="str">
        <f aca="false">IFERROR(INDEX(종합!F$3:F$501,MATCH(ROW()-2,종합!$AC$3:$AC$501,0))&amp;"","")</f>
        <v/>
      </c>
      <c r="G318" s="18" t="str">
        <f aca="false">IFERROR(INDEX(종합!G$3:G$501,MATCH(ROW()-2,종합!$AC$3:$AC$501,0))&amp;"","")</f>
        <v/>
      </c>
      <c r="H318" s="21" t="str">
        <f aca="false">IFERROR(INDEX(종합!H$3:H$501,MATCH(ROW()-2,종합!$AC$3:$AC$501,0))&amp;"","")</f>
        <v/>
      </c>
      <c r="I318" s="21" t="str">
        <f aca="false">IFERROR(INDEX(종합!I$3:I$501,MATCH(ROW()-2,종합!$AC$3:$AC$501,0))&amp;"","")</f>
        <v/>
      </c>
      <c r="J318" s="21" t="str">
        <f aca="false">IFERROR(INDEX(종합!J$3:J$501,MATCH(ROW()-2,종합!$AC$3:$AC$501,0))&amp;"","")</f>
        <v/>
      </c>
      <c r="K318" s="21" t="str">
        <f aca="false">IFERROR(INDEX(종합!K$3:K$501,MATCH(ROW()-2,종합!$AC$3:$AC$501,0))&amp;"","")</f>
        <v/>
      </c>
      <c r="L318" s="21" t="str">
        <f aca="false">IFERROR(INDEX(종합!L$3:L$501,MATCH(ROW()-2,종합!$AC$3:$AC$501,0))&amp;"","")</f>
        <v/>
      </c>
      <c r="M318" s="21" t="str">
        <f aca="false">IFERROR(INDEX(종합!M$3:M$501,MATCH(ROW()-2,종합!$AC$3:$AC$501,0))&amp;"","")</f>
        <v/>
      </c>
      <c r="N318" s="25" t="str">
        <f aca="false">IFERROR(INDEX(종합!N$3:N$501,MATCH(ROW()-2,종합!$AC$3:$AC$501,0))&amp;"","")</f>
        <v/>
      </c>
      <c r="O318" s="21" t="str">
        <f aca="false">IFERROR(INDEX(종합!O$3:O$501,MATCH(ROW()-2,종합!$AC$3:$AC$501,0))&amp;"","")</f>
        <v/>
      </c>
      <c r="P318" s="21" t="str">
        <f aca="false">IFERROR(INDEX(종합!P$3:P$501,MATCH(ROW()-2,종합!$AC$3:$AC$501,0))&amp;"","")</f>
        <v/>
      </c>
      <c r="Q318" s="21" t="str">
        <f aca="false">IFERROR(INDEX(종합!Q$3:Q$501,MATCH(ROW()-2,종합!$AC$3:$AC$501,0))&amp;"","")</f>
        <v/>
      </c>
      <c r="R318" s="21" t="str">
        <f aca="false">IFERROR(INDEX(종합!R$3:R$501,MATCH(ROW()-2,종합!$AC$3:$AC$501,0))&amp;"","")</f>
        <v/>
      </c>
      <c r="S318" s="21" t="str">
        <f aca="false">IFERROR(INDEX(종합!S$3:S$501,MATCH(ROW()-2,종합!$AC$3:$AC$501,0))&amp;"","")</f>
        <v/>
      </c>
      <c r="T318" s="21" t="str">
        <f aca="false">IFERROR(INDEX(종합!T$3:T$501,MATCH(ROW()-2,종합!$AC$3:$AC$501,0))&amp;"","")</f>
        <v/>
      </c>
      <c r="U318" s="21" t="str">
        <f aca="false">IFERROR(INDEX(종합!U$3:U$501,MATCH(ROW()-2,종합!$AC$3:$AC$501,0))&amp;"","")</f>
        <v/>
      </c>
      <c r="V318" s="21" t="str">
        <f aca="false">IFERROR(INDEX(종합!V$3:V$501,MATCH(ROW()-2,종합!$AC$3:$AC$501,0))&amp;"","")</f>
        <v/>
      </c>
      <c r="W318" s="21" t="str">
        <f aca="false">IFERROR(INDEX(종합!W$3:W$501,MATCH(ROW()-2,종합!$AC$3:$AC$501,0))&amp;"","")</f>
        <v/>
      </c>
      <c r="X318" s="21" t="str">
        <f aca="false">IFERROR(INDEX(종합!X$3:X$501,MATCH(ROW()-2,종합!$AC$3:$AC$501,0))&amp;"","")</f>
        <v/>
      </c>
      <c r="Y318" s="21" t="str">
        <f aca="false">IFERROR(INDEX(종합!Y$3:Y$501,MATCH(ROW()-2,종합!$AC$3:$AC$501,0))&amp;"","")</f>
        <v/>
      </c>
      <c r="Z318" s="21" t="str">
        <f aca="false">IFERROR(INDEX(종합!Z$3:Z$501,MATCH(ROW()-2,종합!$AC$3:$AC$501,0))&amp;"","")</f>
        <v/>
      </c>
    </row>
    <row r="319" customFormat="false" ht="16.5" hidden="false" customHeight="true" outlineLevel="0" collapsed="false">
      <c r="A319" s="18" t="str">
        <f aca="false">IF(B319="","",ROW()-2)</f>
        <v/>
      </c>
      <c r="B319" s="18" t="str">
        <f aca="false">IFERROR(INDEX(종합!B$3:B$501,MATCH(ROW()-2,종합!$AC$3:$AC$501,0))&amp;"","")</f>
        <v/>
      </c>
      <c r="C319" s="18" t="str">
        <f aca="false">IFERROR(INDEX(종합!C$3:C$501,MATCH(ROW()-2,종합!$AC$3:$AC$501,0))&amp;"","")</f>
        <v/>
      </c>
      <c r="D319" s="18" t="str">
        <f aca="false">IFERROR(INDEX(종합!D$3:D$501,MATCH(ROW()-2,종합!$AC$3:$AC$501,0))&amp;"","")</f>
        <v/>
      </c>
      <c r="E319" s="18" t="str">
        <f aca="false">IFERROR(INDEX(종합!E$3:E$501,MATCH(ROW()-2,종합!$AC$3:$AC$501,0))&amp;"","")</f>
        <v/>
      </c>
      <c r="F319" s="18" t="str">
        <f aca="false">IFERROR(INDEX(종합!F$3:F$501,MATCH(ROW()-2,종합!$AC$3:$AC$501,0))&amp;"","")</f>
        <v/>
      </c>
      <c r="G319" s="18" t="str">
        <f aca="false">IFERROR(INDEX(종합!G$3:G$501,MATCH(ROW()-2,종합!$AC$3:$AC$501,0))&amp;"","")</f>
        <v/>
      </c>
      <c r="H319" s="21" t="str">
        <f aca="false">IFERROR(INDEX(종합!H$3:H$501,MATCH(ROW()-2,종합!$AC$3:$AC$501,0))&amp;"","")</f>
        <v/>
      </c>
      <c r="I319" s="21" t="str">
        <f aca="false">IFERROR(INDEX(종합!I$3:I$501,MATCH(ROW()-2,종합!$AC$3:$AC$501,0))&amp;"","")</f>
        <v/>
      </c>
      <c r="J319" s="21" t="str">
        <f aca="false">IFERROR(INDEX(종합!J$3:J$501,MATCH(ROW()-2,종합!$AC$3:$AC$501,0))&amp;"","")</f>
        <v/>
      </c>
      <c r="K319" s="21" t="str">
        <f aca="false">IFERROR(INDEX(종합!K$3:K$501,MATCH(ROW()-2,종합!$AC$3:$AC$501,0))&amp;"","")</f>
        <v/>
      </c>
      <c r="L319" s="21" t="str">
        <f aca="false">IFERROR(INDEX(종합!L$3:L$501,MATCH(ROW()-2,종합!$AC$3:$AC$501,0))&amp;"","")</f>
        <v/>
      </c>
      <c r="M319" s="21" t="str">
        <f aca="false">IFERROR(INDEX(종합!M$3:M$501,MATCH(ROW()-2,종합!$AC$3:$AC$501,0))&amp;"","")</f>
        <v/>
      </c>
      <c r="N319" s="25" t="str">
        <f aca="false">IFERROR(INDEX(종합!N$3:N$501,MATCH(ROW()-2,종합!$AC$3:$AC$501,0))&amp;"","")</f>
        <v/>
      </c>
      <c r="O319" s="21" t="str">
        <f aca="false">IFERROR(INDEX(종합!O$3:O$501,MATCH(ROW()-2,종합!$AC$3:$AC$501,0))&amp;"","")</f>
        <v/>
      </c>
      <c r="P319" s="21" t="str">
        <f aca="false">IFERROR(INDEX(종합!P$3:P$501,MATCH(ROW()-2,종합!$AC$3:$AC$501,0))&amp;"","")</f>
        <v/>
      </c>
      <c r="Q319" s="21" t="str">
        <f aca="false">IFERROR(INDEX(종합!Q$3:Q$501,MATCH(ROW()-2,종합!$AC$3:$AC$501,0))&amp;"","")</f>
        <v/>
      </c>
      <c r="R319" s="21" t="str">
        <f aca="false">IFERROR(INDEX(종합!R$3:R$501,MATCH(ROW()-2,종합!$AC$3:$AC$501,0))&amp;"","")</f>
        <v/>
      </c>
      <c r="S319" s="21" t="str">
        <f aca="false">IFERROR(INDEX(종합!S$3:S$501,MATCH(ROW()-2,종합!$AC$3:$AC$501,0))&amp;"","")</f>
        <v/>
      </c>
      <c r="T319" s="21" t="str">
        <f aca="false">IFERROR(INDEX(종합!T$3:T$501,MATCH(ROW()-2,종합!$AC$3:$AC$501,0))&amp;"","")</f>
        <v/>
      </c>
      <c r="U319" s="21" t="str">
        <f aca="false">IFERROR(INDEX(종합!U$3:U$501,MATCH(ROW()-2,종합!$AC$3:$AC$501,0))&amp;"","")</f>
        <v/>
      </c>
      <c r="V319" s="21" t="str">
        <f aca="false">IFERROR(INDEX(종합!V$3:V$501,MATCH(ROW()-2,종합!$AC$3:$AC$501,0))&amp;"","")</f>
        <v/>
      </c>
      <c r="W319" s="21" t="str">
        <f aca="false">IFERROR(INDEX(종합!W$3:W$501,MATCH(ROW()-2,종합!$AC$3:$AC$501,0))&amp;"","")</f>
        <v/>
      </c>
      <c r="X319" s="21" t="str">
        <f aca="false">IFERROR(INDEX(종합!X$3:X$501,MATCH(ROW()-2,종합!$AC$3:$AC$501,0))&amp;"","")</f>
        <v/>
      </c>
      <c r="Y319" s="21" t="str">
        <f aca="false">IFERROR(INDEX(종합!Y$3:Y$501,MATCH(ROW()-2,종합!$AC$3:$AC$501,0))&amp;"","")</f>
        <v/>
      </c>
      <c r="Z319" s="21" t="str">
        <f aca="false">IFERROR(INDEX(종합!Z$3:Z$501,MATCH(ROW()-2,종합!$AC$3:$AC$501,0))&amp;"","")</f>
        <v/>
      </c>
    </row>
    <row r="320" customFormat="false" ht="16.5" hidden="false" customHeight="true" outlineLevel="0" collapsed="false">
      <c r="A320" s="18" t="str">
        <f aca="false">IF(B320="","",ROW()-2)</f>
        <v/>
      </c>
      <c r="B320" s="18" t="str">
        <f aca="false">IFERROR(INDEX(종합!B$3:B$501,MATCH(ROW()-2,종합!$AC$3:$AC$501,0))&amp;"","")</f>
        <v/>
      </c>
      <c r="C320" s="18" t="str">
        <f aca="false">IFERROR(INDEX(종합!C$3:C$501,MATCH(ROW()-2,종합!$AC$3:$AC$501,0))&amp;"","")</f>
        <v/>
      </c>
      <c r="D320" s="18" t="str">
        <f aca="false">IFERROR(INDEX(종합!D$3:D$501,MATCH(ROW()-2,종합!$AC$3:$AC$501,0))&amp;"","")</f>
        <v/>
      </c>
      <c r="E320" s="18" t="str">
        <f aca="false">IFERROR(INDEX(종합!E$3:E$501,MATCH(ROW()-2,종합!$AC$3:$AC$501,0))&amp;"","")</f>
        <v/>
      </c>
      <c r="F320" s="18" t="str">
        <f aca="false">IFERROR(INDEX(종합!F$3:F$501,MATCH(ROW()-2,종합!$AC$3:$AC$501,0))&amp;"","")</f>
        <v/>
      </c>
      <c r="G320" s="18" t="str">
        <f aca="false">IFERROR(INDEX(종합!G$3:G$501,MATCH(ROW()-2,종합!$AC$3:$AC$501,0))&amp;"","")</f>
        <v/>
      </c>
      <c r="H320" s="21" t="str">
        <f aca="false">IFERROR(INDEX(종합!H$3:H$501,MATCH(ROW()-2,종합!$AC$3:$AC$501,0))&amp;"","")</f>
        <v/>
      </c>
      <c r="I320" s="21" t="str">
        <f aca="false">IFERROR(INDEX(종합!I$3:I$501,MATCH(ROW()-2,종합!$AC$3:$AC$501,0))&amp;"","")</f>
        <v/>
      </c>
      <c r="J320" s="21" t="str">
        <f aca="false">IFERROR(INDEX(종합!J$3:J$501,MATCH(ROW()-2,종합!$AC$3:$AC$501,0))&amp;"","")</f>
        <v/>
      </c>
      <c r="K320" s="21" t="str">
        <f aca="false">IFERROR(INDEX(종합!K$3:K$501,MATCH(ROW()-2,종합!$AC$3:$AC$501,0))&amp;"","")</f>
        <v/>
      </c>
      <c r="L320" s="21" t="str">
        <f aca="false">IFERROR(INDEX(종합!L$3:L$501,MATCH(ROW()-2,종합!$AC$3:$AC$501,0))&amp;"","")</f>
        <v/>
      </c>
      <c r="M320" s="21" t="str">
        <f aca="false">IFERROR(INDEX(종합!M$3:M$501,MATCH(ROW()-2,종합!$AC$3:$AC$501,0))&amp;"","")</f>
        <v/>
      </c>
      <c r="N320" s="25" t="str">
        <f aca="false">IFERROR(INDEX(종합!N$3:N$501,MATCH(ROW()-2,종합!$AC$3:$AC$501,0))&amp;"","")</f>
        <v/>
      </c>
      <c r="O320" s="21" t="str">
        <f aca="false">IFERROR(INDEX(종합!O$3:O$501,MATCH(ROW()-2,종합!$AC$3:$AC$501,0))&amp;"","")</f>
        <v/>
      </c>
      <c r="P320" s="21" t="str">
        <f aca="false">IFERROR(INDEX(종합!P$3:P$501,MATCH(ROW()-2,종합!$AC$3:$AC$501,0))&amp;"","")</f>
        <v/>
      </c>
      <c r="Q320" s="21" t="str">
        <f aca="false">IFERROR(INDEX(종합!Q$3:Q$501,MATCH(ROW()-2,종합!$AC$3:$AC$501,0))&amp;"","")</f>
        <v/>
      </c>
      <c r="R320" s="21" t="str">
        <f aca="false">IFERROR(INDEX(종합!R$3:R$501,MATCH(ROW()-2,종합!$AC$3:$AC$501,0))&amp;"","")</f>
        <v/>
      </c>
      <c r="S320" s="21" t="str">
        <f aca="false">IFERROR(INDEX(종합!S$3:S$501,MATCH(ROW()-2,종합!$AC$3:$AC$501,0))&amp;"","")</f>
        <v/>
      </c>
      <c r="T320" s="21" t="str">
        <f aca="false">IFERROR(INDEX(종합!T$3:T$501,MATCH(ROW()-2,종합!$AC$3:$AC$501,0))&amp;"","")</f>
        <v/>
      </c>
      <c r="U320" s="21" t="str">
        <f aca="false">IFERROR(INDEX(종합!U$3:U$501,MATCH(ROW()-2,종합!$AC$3:$AC$501,0))&amp;"","")</f>
        <v/>
      </c>
      <c r="V320" s="21" t="str">
        <f aca="false">IFERROR(INDEX(종합!V$3:V$501,MATCH(ROW()-2,종합!$AC$3:$AC$501,0))&amp;"","")</f>
        <v/>
      </c>
      <c r="W320" s="21" t="str">
        <f aca="false">IFERROR(INDEX(종합!W$3:W$501,MATCH(ROW()-2,종합!$AC$3:$AC$501,0))&amp;"","")</f>
        <v/>
      </c>
      <c r="X320" s="21" t="str">
        <f aca="false">IFERROR(INDEX(종합!X$3:X$501,MATCH(ROW()-2,종합!$AC$3:$AC$501,0))&amp;"","")</f>
        <v/>
      </c>
      <c r="Y320" s="21" t="str">
        <f aca="false">IFERROR(INDEX(종합!Y$3:Y$501,MATCH(ROW()-2,종합!$AC$3:$AC$501,0))&amp;"","")</f>
        <v/>
      </c>
      <c r="Z320" s="21" t="str">
        <f aca="false">IFERROR(INDEX(종합!Z$3:Z$501,MATCH(ROW()-2,종합!$AC$3:$AC$501,0))&amp;"","")</f>
        <v/>
      </c>
    </row>
    <row r="321" customFormat="false" ht="16.5" hidden="false" customHeight="true" outlineLevel="0" collapsed="false">
      <c r="A321" s="18" t="str">
        <f aca="false">IF(B321="","",ROW()-2)</f>
        <v/>
      </c>
      <c r="B321" s="18" t="str">
        <f aca="false">IFERROR(INDEX(종합!B$3:B$501,MATCH(ROW()-2,종합!$AC$3:$AC$501,0))&amp;"","")</f>
        <v/>
      </c>
      <c r="C321" s="18" t="str">
        <f aca="false">IFERROR(INDEX(종합!C$3:C$501,MATCH(ROW()-2,종합!$AC$3:$AC$501,0))&amp;"","")</f>
        <v/>
      </c>
      <c r="D321" s="18" t="str">
        <f aca="false">IFERROR(INDEX(종합!D$3:D$501,MATCH(ROW()-2,종합!$AC$3:$AC$501,0))&amp;"","")</f>
        <v/>
      </c>
      <c r="E321" s="18" t="str">
        <f aca="false">IFERROR(INDEX(종합!E$3:E$501,MATCH(ROW()-2,종합!$AC$3:$AC$501,0))&amp;"","")</f>
        <v/>
      </c>
      <c r="F321" s="18" t="str">
        <f aca="false">IFERROR(INDEX(종합!F$3:F$501,MATCH(ROW()-2,종합!$AC$3:$AC$501,0))&amp;"","")</f>
        <v/>
      </c>
      <c r="G321" s="18" t="str">
        <f aca="false">IFERROR(INDEX(종합!G$3:G$501,MATCH(ROW()-2,종합!$AC$3:$AC$501,0))&amp;"","")</f>
        <v/>
      </c>
      <c r="H321" s="21" t="str">
        <f aca="false">IFERROR(INDEX(종합!H$3:H$501,MATCH(ROW()-2,종합!$AC$3:$AC$501,0))&amp;"","")</f>
        <v/>
      </c>
      <c r="I321" s="21" t="str">
        <f aca="false">IFERROR(INDEX(종합!I$3:I$501,MATCH(ROW()-2,종합!$AC$3:$AC$501,0))&amp;"","")</f>
        <v/>
      </c>
      <c r="J321" s="21" t="str">
        <f aca="false">IFERROR(INDEX(종합!J$3:J$501,MATCH(ROW()-2,종합!$AC$3:$AC$501,0))&amp;"","")</f>
        <v/>
      </c>
      <c r="K321" s="21" t="str">
        <f aca="false">IFERROR(INDEX(종합!K$3:K$501,MATCH(ROW()-2,종합!$AC$3:$AC$501,0))&amp;"","")</f>
        <v/>
      </c>
      <c r="L321" s="21" t="str">
        <f aca="false">IFERROR(INDEX(종합!L$3:L$501,MATCH(ROW()-2,종합!$AC$3:$AC$501,0))&amp;"","")</f>
        <v/>
      </c>
      <c r="M321" s="21" t="str">
        <f aca="false">IFERROR(INDEX(종합!M$3:M$501,MATCH(ROW()-2,종합!$AC$3:$AC$501,0))&amp;"","")</f>
        <v/>
      </c>
      <c r="N321" s="25" t="str">
        <f aca="false">IFERROR(INDEX(종합!N$3:N$501,MATCH(ROW()-2,종합!$AC$3:$AC$501,0))&amp;"","")</f>
        <v/>
      </c>
      <c r="O321" s="21" t="str">
        <f aca="false">IFERROR(INDEX(종합!O$3:O$501,MATCH(ROW()-2,종합!$AC$3:$AC$501,0))&amp;"","")</f>
        <v/>
      </c>
      <c r="P321" s="21" t="str">
        <f aca="false">IFERROR(INDEX(종합!P$3:P$501,MATCH(ROW()-2,종합!$AC$3:$AC$501,0))&amp;"","")</f>
        <v/>
      </c>
      <c r="Q321" s="21" t="str">
        <f aca="false">IFERROR(INDEX(종합!Q$3:Q$501,MATCH(ROW()-2,종합!$AC$3:$AC$501,0))&amp;"","")</f>
        <v/>
      </c>
      <c r="R321" s="21" t="str">
        <f aca="false">IFERROR(INDEX(종합!R$3:R$501,MATCH(ROW()-2,종합!$AC$3:$AC$501,0))&amp;"","")</f>
        <v/>
      </c>
      <c r="S321" s="21" t="str">
        <f aca="false">IFERROR(INDEX(종합!S$3:S$501,MATCH(ROW()-2,종합!$AC$3:$AC$501,0))&amp;"","")</f>
        <v/>
      </c>
      <c r="T321" s="21" t="str">
        <f aca="false">IFERROR(INDEX(종합!T$3:T$501,MATCH(ROW()-2,종합!$AC$3:$AC$501,0))&amp;"","")</f>
        <v/>
      </c>
      <c r="U321" s="21" t="str">
        <f aca="false">IFERROR(INDEX(종합!U$3:U$501,MATCH(ROW()-2,종합!$AC$3:$AC$501,0))&amp;"","")</f>
        <v/>
      </c>
      <c r="V321" s="21" t="str">
        <f aca="false">IFERROR(INDEX(종합!V$3:V$501,MATCH(ROW()-2,종합!$AC$3:$AC$501,0))&amp;"","")</f>
        <v/>
      </c>
      <c r="W321" s="21" t="str">
        <f aca="false">IFERROR(INDEX(종합!W$3:W$501,MATCH(ROW()-2,종합!$AC$3:$AC$501,0))&amp;"","")</f>
        <v/>
      </c>
      <c r="X321" s="21" t="str">
        <f aca="false">IFERROR(INDEX(종합!X$3:X$501,MATCH(ROW()-2,종합!$AC$3:$AC$501,0))&amp;"","")</f>
        <v/>
      </c>
      <c r="Y321" s="21" t="str">
        <f aca="false">IFERROR(INDEX(종합!Y$3:Y$501,MATCH(ROW()-2,종합!$AC$3:$AC$501,0))&amp;"","")</f>
        <v/>
      </c>
      <c r="Z321" s="21" t="str">
        <f aca="false">IFERROR(INDEX(종합!Z$3:Z$501,MATCH(ROW()-2,종합!$AC$3:$AC$501,0))&amp;"","")</f>
        <v/>
      </c>
    </row>
    <row r="322" customFormat="false" ht="16.5" hidden="false" customHeight="true" outlineLevel="0" collapsed="false">
      <c r="A322" s="18" t="str">
        <f aca="false">IF(B322="","",ROW()-2)</f>
        <v/>
      </c>
      <c r="B322" s="18" t="str">
        <f aca="false">IFERROR(INDEX(종합!B$3:B$501,MATCH(ROW()-2,종합!$AC$3:$AC$501,0))&amp;"","")</f>
        <v/>
      </c>
      <c r="C322" s="18" t="str">
        <f aca="false">IFERROR(INDEX(종합!C$3:C$501,MATCH(ROW()-2,종합!$AC$3:$AC$501,0))&amp;"","")</f>
        <v/>
      </c>
      <c r="D322" s="18" t="str">
        <f aca="false">IFERROR(INDEX(종합!D$3:D$501,MATCH(ROW()-2,종합!$AC$3:$AC$501,0))&amp;"","")</f>
        <v/>
      </c>
      <c r="E322" s="18" t="str">
        <f aca="false">IFERROR(INDEX(종합!E$3:E$501,MATCH(ROW()-2,종합!$AC$3:$AC$501,0))&amp;"","")</f>
        <v/>
      </c>
      <c r="F322" s="18" t="str">
        <f aca="false">IFERROR(INDEX(종합!F$3:F$501,MATCH(ROW()-2,종합!$AC$3:$AC$501,0))&amp;"","")</f>
        <v/>
      </c>
      <c r="G322" s="18" t="str">
        <f aca="false">IFERROR(INDEX(종합!G$3:G$501,MATCH(ROW()-2,종합!$AC$3:$AC$501,0))&amp;"","")</f>
        <v/>
      </c>
      <c r="H322" s="21" t="str">
        <f aca="false">IFERROR(INDEX(종합!H$3:H$501,MATCH(ROW()-2,종합!$AC$3:$AC$501,0))&amp;"","")</f>
        <v/>
      </c>
      <c r="I322" s="21" t="str">
        <f aca="false">IFERROR(INDEX(종합!I$3:I$501,MATCH(ROW()-2,종합!$AC$3:$AC$501,0))&amp;"","")</f>
        <v/>
      </c>
      <c r="J322" s="21" t="str">
        <f aca="false">IFERROR(INDEX(종합!J$3:J$501,MATCH(ROW()-2,종합!$AC$3:$AC$501,0))&amp;"","")</f>
        <v/>
      </c>
      <c r="K322" s="21" t="str">
        <f aca="false">IFERROR(INDEX(종합!K$3:K$501,MATCH(ROW()-2,종합!$AC$3:$AC$501,0))&amp;"","")</f>
        <v/>
      </c>
      <c r="L322" s="21" t="str">
        <f aca="false">IFERROR(INDEX(종합!L$3:L$501,MATCH(ROW()-2,종합!$AC$3:$AC$501,0))&amp;"","")</f>
        <v/>
      </c>
      <c r="M322" s="21" t="str">
        <f aca="false">IFERROR(INDEX(종합!M$3:M$501,MATCH(ROW()-2,종합!$AC$3:$AC$501,0))&amp;"","")</f>
        <v/>
      </c>
      <c r="N322" s="25" t="str">
        <f aca="false">IFERROR(INDEX(종합!N$3:N$501,MATCH(ROW()-2,종합!$AC$3:$AC$501,0))&amp;"","")</f>
        <v/>
      </c>
      <c r="O322" s="21" t="str">
        <f aca="false">IFERROR(INDEX(종합!O$3:O$501,MATCH(ROW()-2,종합!$AC$3:$AC$501,0))&amp;"","")</f>
        <v/>
      </c>
      <c r="P322" s="21" t="str">
        <f aca="false">IFERROR(INDEX(종합!P$3:P$501,MATCH(ROW()-2,종합!$AC$3:$AC$501,0))&amp;"","")</f>
        <v/>
      </c>
      <c r="Q322" s="21" t="str">
        <f aca="false">IFERROR(INDEX(종합!Q$3:Q$501,MATCH(ROW()-2,종합!$AC$3:$AC$501,0))&amp;"","")</f>
        <v/>
      </c>
      <c r="R322" s="21" t="str">
        <f aca="false">IFERROR(INDEX(종합!R$3:R$501,MATCH(ROW()-2,종합!$AC$3:$AC$501,0))&amp;"","")</f>
        <v/>
      </c>
      <c r="S322" s="21" t="str">
        <f aca="false">IFERROR(INDEX(종합!S$3:S$501,MATCH(ROW()-2,종합!$AC$3:$AC$501,0))&amp;"","")</f>
        <v/>
      </c>
      <c r="T322" s="21" t="str">
        <f aca="false">IFERROR(INDEX(종합!T$3:T$501,MATCH(ROW()-2,종합!$AC$3:$AC$501,0))&amp;"","")</f>
        <v/>
      </c>
      <c r="U322" s="21" t="str">
        <f aca="false">IFERROR(INDEX(종합!U$3:U$501,MATCH(ROW()-2,종합!$AC$3:$AC$501,0))&amp;"","")</f>
        <v/>
      </c>
      <c r="V322" s="21" t="str">
        <f aca="false">IFERROR(INDEX(종합!V$3:V$501,MATCH(ROW()-2,종합!$AC$3:$AC$501,0))&amp;"","")</f>
        <v/>
      </c>
      <c r="W322" s="21" t="str">
        <f aca="false">IFERROR(INDEX(종합!W$3:W$501,MATCH(ROW()-2,종합!$AC$3:$AC$501,0))&amp;"","")</f>
        <v/>
      </c>
      <c r="X322" s="21" t="str">
        <f aca="false">IFERROR(INDEX(종합!X$3:X$501,MATCH(ROW()-2,종합!$AC$3:$AC$501,0))&amp;"","")</f>
        <v/>
      </c>
      <c r="Y322" s="21" t="str">
        <f aca="false">IFERROR(INDEX(종합!Y$3:Y$501,MATCH(ROW()-2,종합!$AC$3:$AC$501,0))&amp;"","")</f>
        <v/>
      </c>
      <c r="Z322" s="21" t="str">
        <f aca="false">IFERROR(INDEX(종합!Z$3:Z$501,MATCH(ROW()-2,종합!$AC$3:$AC$501,0))&amp;"","")</f>
        <v/>
      </c>
    </row>
    <row r="323" customFormat="false" ht="16.5" hidden="false" customHeight="true" outlineLevel="0" collapsed="false">
      <c r="A323" s="18" t="str">
        <f aca="false">IF(B323="","",ROW()-2)</f>
        <v/>
      </c>
      <c r="B323" s="18" t="str">
        <f aca="false">IFERROR(INDEX(종합!B$3:B$501,MATCH(ROW()-2,종합!$AC$3:$AC$501,0))&amp;"","")</f>
        <v/>
      </c>
      <c r="C323" s="18" t="str">
        <f aca="false">IFERROR(INDEX(종합!C$3:C$501,MATCH(ROW()-2,종합!$AC$3:$AC$501,0))&amp;"","")</f>
        <v/>
      </c>
      <c r="D323" s="18" t="str">
        <f aca="false">IFERROR(INDEX(종합!D$3:D$501,MATCH(ROW()-2,종합!$AC$3:$AC$501,0))&amp;"","")</f>
        <v/>
      </c>
      <c r="E323" s="18" t="str">
        <f aca="false">IFERROR(INDEX(종합!E$3:E$501,MATCH(ROW()-2,종합!$AC$3:$AC$501,0))&amp;"","")</f>
        <v/>
      </c>
      <c r="F323" s="18" t="str">
        <f aca="false">IFERROR(INDEX(종합!F$3:F$501,MATCH(ROW()-2,종합!$AC$3:$AC$501,0))&amp;"","")</f>
        <v/>
      </c>
      <c r="G323" s="18" t="str">
        <f aca="false">IFERROR(INDEX(종합!G$3:G$501,MATCH(ROW()-2,종합!$AC$3:$AC$501,0))&amp;"","")</f>
        <v/>
      </c>
      <c r="H323" s="21" t="str">
        <f aca="false">IFERROR(INDEX(종합!H$3:H$501,MATCH(ROW()-2,종합!$AC$3:$AC$501,0))&amp;"","")</f>
        <v/>
      </c>
      <c r="I323" s="21" t="str">
        <f aca="false">IFERROR(INDEX(종합!I$3:I$501,MATCH(ROW()-2,종합!$AC$3:$AC$501,0))&amp;"","")</f>
        <v/>
      </c>
      <c r="J323" s="21" t="str">
        <f aca="false">IFERROR(INDEX(종합!J$3:J$501,MATCH(ROW()-2,종합!$AC$3:$AC$501,0))&amp;"","")</f>
        <v/>
      </c>
      <c r="K323" s="21" t="str">
        <f aca="false">IFERROR(INDEX(종합!K$3:K$501,MATCH(ROW()-2,종합!$AC$3:$AC$501,0))&amp;"","")</f>
        <v/>
      </c>
      <c r="L323" s="21" t="str">
        <f aca="false">IFERROR(INDEX(종합!L$3:L$501,MATCH(ROW()-2,종합!$AC$3:$AC$501,0))&amp;"","")</f>
        <v/>
      </c>
      <c r="M323" s="21" t="str">
        <f aca="false">IFERROR(INDEX(종합!M$3:M$501,MATCH(ROW()-2,종합!$AC$3:$AC$501,0))&amp;"","")</f>
        <v/>
      </c>
      <c r="N323" s="25" t="str">
        <f aca="false">IFERROR(INDEX(종합!N$3:N$501,MATCH(ROW()-2,종합!$AC$3:$AC$501,0))&amp;"","")</f>
        <v/>
      </c>
      <c r="O323" s="21" t="str">
        <f aca="false">IFERROR(INDEX(종합!O$3:O$501,MATCH(ROW()-2,종합!$AC$3:$AC$501,0))&amp;"","")</f>
        <v/>
      </c>
      <c r="P323" s="21" t="str">
        <f aca="false">IFERROR(INDEX(종합!P$3:P$501,MATCH(ROW()-2,종합!$AC$3:$AC$501,0))&amp;"","")</f>
        <v/>
      </c>
      <c r="Q323" s="21" t="str">
        <f aca="false">IFERROR(INDEX(종합!Q$3:Q$501,MATCH(ROW()-2,종합!$AC$3:$AC$501,0))&amp;"","")</f>
        <v/>
      </c>
      <c r="R323" s="21" t="str">
        <f aca="false">IFERROR(INDEX(종합!R$3:R$501,MATCH(ROW()-2,종합!$AC$3:$AC$501,0))&amp;"","")</f>
        <v/>
      </c>
      <c r="S323" s="21" t="str">
        <f aca="false">IFERROR(INDEX(종합!S$3:S$501,MATCH(ROW()-2,종합!$AC$3:$AC$501,0))&amp;"","")</f>
        <v/>
      </c>
      <c r="T323" s="21" t="str">
        <f aca="false">IFERROR(INDEX(종합!T$3:T$501,MATCH(ROW()-2,종합!$AC$3:$AC$501,0))&amp;"","")</f>
        <v/>
      </c>
      <c r="U323" s="21" t="str">
        <f aca="false">IFERROR(INDEX(종합!U$3:U$501,MATCH(ROW()-2,종합!$AC$3:$AC$501,0))&amp;"","")</f>
        <v/>
      </c>
      <c r="V323" s="21" t="str">
        <f aca="false">IFERROR(INDEX(종합!V$3:V$501,MATCH(ROW()-2,종합!$AC$3:$AC$501,0))&amp;"","")</f>
        <v/>
      </c>
      <c r="W323" s="21" t="str">
        <f aca="false">IFERROR(INDEX(종합!W$3:W$501,MATCH(ROW()-2,종합!$AC$3:$AC$501,0))&amp;"","")</f>
        <v/>
      </c>
      <c r="X323" s="21" t="str">
        <f aca="false">IFERROR(INDEX(종합!X$3:X$501,MATCH(ROW()-2,종합!$AC$3:$AC$501,0))&amp;"","")</f>
        <v/>
      </c>
      <c r="Y323" s="21" t="str">
        <f aca="false">IFERROR(INDEX(종합!Y$3:Y$501,MATCH(ROW()-2,종합!$AC$3:$AC$501,0))&amp;"","")</f>
        <v/>
      </c>
      <c r="Z323" s="21" t="str">
        <f aca="false">IFERROR(INDEX(종합!Z$3:Z$501,MATCH(ROW()-2,종합!$AC$3:$AC$501,0))&amp;"","")</f>
        <v/>
      </c>
    </row>
    <row r="324" customFormat="false" ht="16.5" hidden="false" customHeight="true" outlineLevel="0" collapsed="false">
      <c r="A324" s="18" t="str">
        <f aca="false">IF(B324="","",ROW()-2)</f>
        <v/>
      </c>
      <c r="B324" s="18" t="str">
        <f aca="false">IFERROR(INDEX(종합!B$3:B$501,MATCH(ROW()-2,종합!$AC$3:$AC$501,0))&amp;"","")</f>
        <v/>
      </c>
      <c r="C324" s="18" t="str">
        <f aca="false">IFERROR(INDEX(종합!C$3:C$501,MATCH(ROW()-2,종합!$AC$3:$AC$501,0))&amp;"","")</f>
        <v/>
      </c>
      <c r="D324" s="18" t="str">
        <f aca="false">IFERROR(INDEX(종합!D$3:D$501,MATCH(ROW()-2,종합!$AC$3:$AC$501,0))&amp;"","")</f>
        <v/>
      </c>
      <c r="E324" s="18" t="str">
        <f aca="false">IFERROR(INDEX(종합!E$3:E$501,MATCH(ROW()-2,종합!$AC$3:$AC$501,0))&amp;"","")</f>
        <v/>
      </c>
      <c r="F324" s="18" t="str">
        <f aca="false">IFERROR(INDEX(종합!F$3:F$501,MATCH(ROW()-2,종합!$AC$3:$AC$501,0))&amp;"","")</f>
        <v/>
      </c>
      <c r="G324" s="18" t="str">
        <f aca="false">IFERROR(INDEX(종합!G$3:G$501,MATCH(ROW()-2,종합!$AC$3:$AC$501,0))&amp;"","")</f>
        <v/>
      </c>
      <c r="H324" s="21" t="str">
        <f aca="false">IFERROR(INDEX(종합!H$3:H$501,MATCH(ROW()-2,종합!$AC$3:$AC$501,0))&amp;"","")</f>
        <v/>
      </c>
      <c r="I324" s="21" t="str">
        <f aca="false">IFERROR(INDEX(종합!I$3:I$501,MATCH(ROW()-2,종합!$AC$3:$AC$501,0))&amp;"","")</f>
        <v/>
      </c>
      <c r="J324" s="21" t="str">
        <f aca="false">IFERROR(INDEX(종합!J$3:J$501,MATCH(ROW()-2,종합!$AC$3:$AC$501,0))&amp;"","")</f>
        <v/>
      </c>
      <c r="K324" s="21" t="str">
        <f aca="false">IFERROR(INDEX(종합!K$3:K$501,MATCH(ROW()-2,종합!$AC$3:$AC$501,0))&amp;"","")</f>
        <v/>
      </c>
      <c r="L324" s="21" t="str">
        <f aca="false">IFERROR(INDEX(종합!L$3:L$501,MATCH(ROW()-2,종합!$AC$3:$AC$501,0))&amp;"","")</f>
        <v/>
      </c>
      <c r="M324" s="21" t="str">
        <f aca="false">IFERROR(INDEX(종합!M$3:M$501,MATCH(ROW()-2,종합!$AC$3:$AC$501,0))&amp;"","")</f>
        <v/>
      </c>
      <c r="N324" s="25" t="str">
        <f aca="false">IFERROR(INDEX(종합!N$3:N$501,MATCH(ROW()-2,종합!$AC$3:$AC$501,0))&amp;"","")</f>
        <v/>
      </c>
      <c r="O324" s="21" t="str">
        <f aca="false">IFERROR(INDEX(종합!O$3:O$501,MATCH(ROW()-2,종합!$AC$3:$AC$501,0))&amp;"","")</f>
        <v/>
      </c>
      <c r="P324" s="21" t="str">
        <f aca="false">IFERROR(INDEX(종합!P$3:P$501,MATCH(ROW()-2,종합!$AC$3:$AC$501,0))&amp;"","")</f>
        <v/>
      </c>
      <c r="Q324" s="21" t="str">
        <f aca="false">IFERROR(INDEX(종합!Q$3:Q$501,MATCH(ROW()-2,종합!$AC$3:$AC$501,0))&amp;"","")</f>
        <v/>
      </c>
      <c r="R324" s="21" t="str">
        <f aca="false">IFERROR(INDEX(종합!R$3:R$501,MATCH(ROW()-2,종합!$AC$3:$AC$501,0))&amp;"","")</f>
        <v/>
      </c>
      <c r="S324" s="21" t="str">
        <f aca="false">IFERROR(INDEX(종합!S$3:S$501,MATCH(ROW()-2,종합!$AC$3:$AC$501,0))&amp;"","")</f>
        <v/>
      </c>
      <c r="T324" s="21" t="str">
        <f aca="false">IFERROR(INDEX(종합!T$3:T$501,MATCH(ROW()-2,종합!$AC$3:$AC$501,0))&amp;"","")</f>
        <v/>
      </c>
      <c r="U324" s="21" t="str">
        <f aca="false">IFERROR(INDEX(종합!U$3:U$501,MATCH(ROW()-2,종합!$AC$3:$AC$501,0))&amp;"","")</f>
        <v/>
      </c>
      <c r="V324" s="21" t="str">
        <f aca="false">IFERROR(INDEX(종합!V$3:V$501,MATCH(ROW()-2,종합!$AC$3:$AC$501,0))&amp;"","")</f>
        <v/>
      </c>
      <c r="W324" s="21" t="str">
        <f aca="false">IFERROR(INDEX(종합!W$3:W$501,MATCH(ROW()-2,종합!$AC$3:$AC$501,0))&amp;"","")</f>
        <v/>
      </c>
      <c r="X324" s="21" t="str">
        <f aca="false">IFERROR(INDEX(종합!X$3:X$501,MATCH(ROW()-2,종합!$AC$3:$AC$501,0))&amp;"","")</f>
        <v/>
      </c>
      <c r="Y324" s="21" t="str">
        <f aca="false">IFERROR(INDEX(종합!Y$3:Y$501,MATCH(ROW()-2,종합!$AC$3:$AC$501,0))&amp;"","")</f>
        <v/>
      </c>
      <c r="Z324" s="21" t="str">
        <f aca="false">IFERROR(INDEX(종합!Z$3:Z$501,MATCH(ROW()-2,종합!$AC$3:$AC$501,0))&amp;"","")</f>
        <v/>
      </c>
    </row>
    <row r="325" customFormat="false" ht="16.5" hidden="false" customHeight="true" outlineLevel="0" collapsed="false">
      <c r="A325" s="18" t="str">
        <f aca="false">IF(B325="","",ROW()-2)</f>
        <v/>
      </c>
      <c r="B325" s="18" t="str">
        <f aca="false">IFERROR(INDEX(종합!B$3:B$501,MATCH(ROW()-2,종합!$AC$3:$AC$501,0))&amp;"","")</f>
        <v/>
      </c>
      <c r="C325" s="18" t="str">
        <f aca="false">IFERROR(INDEX(종합!C$3:C$501,MATCH(ROW()-2,종합!$AC$3:$AC$501,0))&amp;"","")</f>
        <v/>
      </c>
      <c r="D325" s="18" t="str">
        <f aca="false">IFERROR(INDEX(종합!D$3:D$501,MATCH(ROW()-2,종합!$AC$3:$AC$501,0))&amp;"","")</f>
        <v/>
      </c>
      <c r="E325" s="18" t="str">
        <f aca="false">IFERROR(INDEX(종합!E$3:E$501,MATCH(ROW()-2,종합!$AC$3:$AC$501,0))&amp;"","")</f>
        <v/>
      </c>
      <c r="F325" s="18" t="str">
        <f aca="false">IFERROR(INDEX(종합!F$3:F$501,MATCH(ROW()-2,종합!$AC$3:$AC$501,0))&amp;"","")</f>
        <v/>
      </c>
      <c r="G325" s="18" t="str">
        <f aca="false">IFERROR(INDEX(종합!G$3:G$501,MATCH(ROW()-2,종합!$AC$3:$AC$501,0))&amp;"","")</f>
        <v/>
      </c>
      <c r="H325" s="21" t="str">
        <f aca="false">IFERROR(INDEX(종합!H$3:H$501,MATCH(ROW()-2,종합!$AC$3:$AC$501,0))&amp;"","")</f>
        <v/>
      </c>
      <c r="I325" s="21" t="str">
        <f aca="false">IFERROR(INDEX(종합!I$3:I$501,MATCH(ROW()-2,종합!$AC$3:$AC$501,0))&amp;"","")</f>
        <v/>
      </c>
      <c r="J325" s="21" t="str">
        <f aca="false">IFERROR(INDEX(종합!J$3:J$501,MATCH(ROW()-2,종합!$AC$3:$AC$501,0))&amp;"","")</f>
        <v/>
      </c>
      <c r="K325" s="21" t="str">
        <f aca="false">IFERROR(INDEX(종합!K$3:K$501,MATCH(ROW()-2,종합!$AC$3:$AC$501,0))&amp;"","")</f>
        <v/>
      </c>
      <c r="L325" s="21" t="str">
        <f aca="false">IFERROR(INDEX(종합!L$3:L$501,MATCH(ROW()-2,종합!$AC$3:$AC$501,0))&amp;"","")</f>
        <v/>
      </c>
      <c r="M325" s="21" t="str">
        <f aca="false">IFERROR(INDEX(종합!M$3:M$501,MATCH(ROW()-2,종합!$AC$3:$AC$501,0))&amp;"","")</f>
        <v/>
      </c>
      <c r="N325" s="25" t="str">
        <f aca="false">IFERROR(INDEX(종합!N$3:N$501,MATCH(ROW()-2,종합!$AC$3:$AC$501,0))&amp;"","")</f>
        <v/>
      </c>
      <c r="O325" s="21" t="str">
        <f aca="false">IFERROR(INDEX(종합!O$3:O$501,MATCH(ROW()-2,종합!$AC$3:$AC$501,0))&amp;"","")</f>
        <v/>
      </c>
      <c r="P325" s="21" t="str">
        <f aca="false">IFERROR(INDEX(종합!P$3:P$501,MATCH(ROW()-2,종합!$AC$3:$AC$501,0))&amp;"","")</f>
        <v/>
      </c>
      <c r="Q325" s="21" t="str">
        <f aca="false">IFERROR(INDEX(종합!Q$3:Q$501,MATCH(ROW()-2,종합!$AC$3:$AC$501,0))&amp;"","")</f>
        <v/>
      </c>
      <c r="R325" s="21" t="str">
        <f aca="false">IFERROR(INDEX(종합!R$3:R$501,MATCH(ROW()-2,종합!$AC$3:$AC$501,0))&amp;"","")</f>
        <v/>
      </c>
      <c r="S325" s="21" t="str">
        <f aca="false">IFERROR(INDEX(종합!S$3:S$501,MATCH(ROW()-2,종합!$AC$3:$AC$501,0))&amp;"","")</f>
        <v/>
      </c>
      <c r="T325" s="21" t="str">
        <f aca="false">IFERROR(INDEX(종합!T$3:T$501,MATCH(ROW()-2,종합!$AC$3:$AC$501,0))&amp;"","")</f>
        <v/>
      </c>
      <c r="U325" s="21" t="str">
        <f aca="false">IFERROR(INDEX(종합!U$3:U$501,MATCH(ROW()-2,종합!$AC$3:$AC$501,0))&amp;"","")</f>
        <v/>
      </c>
      <c r="V325" s="21" t="str">
        <f aca="false">IFERROR(INDEX(종합!V$3:V$501,MATCH(ROW()-2,종합!$AC$3:$AC$501,0))&amp;"","")</f>
        <v/>
      </c>
      <c r="W325" s="21" t="str">
        <f aca="false">IFERROR(INDEX(종합!W$3:W$501,MATCH(ROW()-2,종합!$AC$3:$AC$501,0))&amp;"","")</f>
        <v/>
      </c>
      <c r="X325" s="21" t="str">
        <f aca="false">IFERROR(INDEX(종합!X$3:X$501,MATCH(ROW()-2,종합!$AC$3:$AC$501,0))&amp;"","")</f>
        <v/>
      </c>
      <c r="Y325" s="21" t="str">
        <f aca="false">IFERROR(INDEX(종합!Y$3:Y$501,MATCH(ROW()-2,종합!$AC$3:$AC$501,0))&amp;"","")</f>
        <v/>
      </c>
      <c r="Z325" s="21" t="str">
        <f aca="false">IFERROR(INDEX(종합!Z$3:Z$501,MATCH(ROW()-2,종합!$AC$3:$AC$501,0))&amp;"","")</f>
        <v/>
      </c>
    </row>
    <row r="326" customFormat="false" ht="16.5" hidden="false" customHeight="true" outlineLevel="0" collapsed="false">
      <c r="A326" s="18" t="str">
        <f aca="false">IF(B326="","",ROW()-2)</f>
        <v/>
      </c>
      <c r="B326" s="18" t="str">
        <f aca="false">IFERROR(INDEX(종합!B$3:B$501,MATCH(ROW()-2,종합!$AC$3:$AC$501,0))&amp;"","")</f>
        <v/>
      </c>
      <c r="C326" s="18" t="str">
        <f aca="false">IFERROR(INDEX(종합!C$3:C$501,MATCH(ROW()-2,종합!$AC$3:$AC$501,0))&amp;"","")</f>
        <v/>
      </c>
      <c r="D326" s="18" t="str">
        <f aca="false">IFERROR(INDEX(종합!D$3:D$501,MATCH(ROW()-2,종합!$AC$3:$AC$501,0))&amp;"","")</f>
        <v/>
      </c>
      <c r="E326" s="18" t="str">
        <f aca="false">IFERROR(INDEX(종합!E$3:E$501,MATCH(ROW()-2,종합!$AC$3:$AC$501,0))&amp;"","")</f>
        <v/>
      </c>
      <c r="F326" s="18" t="str">
        <f aca="false">IFERROR(INDEX(종합!F$3:F$501,MATCH(ROW()-2,종합!$AC$3:$AC$501,0))&amp;"","")</f>
        <v/>
      </c>
      <c r="G326" s="18" t="str">
        <f aca="false">IFERROR(INDEX(종합!G$3:G$501,MATCH(ROW()-2,종합!$AC$3:$AC$501,0))&amp;"","")</f>
        <v/>
      </c>
      <c r="H326" s="21" t="str">
        <f aca="false">IFERROR(INDEX(종합!H$3:H$501,MATCH(ROW()-2,종합!$AC$3:$AC$501,0))&amp;"","")</f>
        <v/>
      </c>
      <c r="I326" s="21" t="str">
        <f aca="false">IFERROR(INDEX(종합!I$3:I$501,MATCH(ROW()-2,종합!$AC$3:$AC$501,0))&amp;"","")</f>
        <v/>
      </c>
      <c r="J326" s="21" t="str">
        <f aca="false">IFERROR(INDEX(종합!J$3:J$501,MATCH(ROW()-2,종합!$AC$3:$AC$501,0))&amp;"","")</f>
        <v/>
      </c>
      <c r="K326" s="21" t="str">
        <f aca="false">IFERROR(INDEX(종합!K$3:K$501,MATCH(ROW()-2,종합!$AC$3:$AC$501,0))&amp;"","")</f>
        <v/>
      </c>
      <c r="L326" s="21" t="str">
        <f aca="false">IFERROR(INDEX(종합!L$3:L$501,MATCH(ROW()-2,종합!$AC$3:$AC$501,0))&amp;"","")</f>
        <v/>
      </c>
      <c r="M326" s="21" t="str">
        <f aca="false">IFERROR(INDEX(종합!M$3:M$501,MATCH(ROW()-2,종합!$AC$3:$AC$501,0))&amp;"","")</f>
        <v/>
      </c>
      <c r="N326" s="25" t="str">
        <f aca="false">IFERROR(INDEX(종합!N$3:N$501,MATCH(ROW()-2,종합!$AC$3:$AC$501,0))&amp;"","")</f>
        <v/>
      </c>
      <c r="O326" s="21" t="str">
        <f aca="false">IFERROR(INDEX(종합!O$3:O$501,MATCH(ROW()-2,종합!$AC$3:$AC$501,0))&amp;"","")</f>
        <v/>
      </c>
      <c r="P326" s="21" t="str">
        <f aca="false">IFERROR(INDEX(종합!P$3:P$501,MATCH(ROW()-2,종합!$AC$3:$AC$501,0))&amp;"","")</f>
        <v/>
      </c>
      <c r="Q326" s="21" t="str">
        <f aca="false">IFERROR(INDEX(종합!Q$3:Q$501,MATCH(ROW()-2,종합!$AC$3:$AC$501,0))&amp;"","")</f>
        <v/>
      </c>
      <c r="R326" s="21" t="str">
        <f aca="false">IFERROR(INDEX(종합!R$3:R$501,MATCH(ROW()-2,종합!$AC$3:$AC$501,0))&amp;"","")</f>
        <v/>
      </c>
      <c r="S326" s="21" t="str">
        <f aca="false">IFERROR(INDEX(종합!S$3:S$501,MATCH(ROW()-2,종합!$AC$3:$AC$501,0))&amp;"","")</f>
        <v/>
      </c>
      <c r="T326" s="21" t="str">
        <f aca="false">IFERROR(INDEX(종합!T$3:T$501,MATCH(ROW()-2,종합!$AC$3:$AC$501,0))&amp;"","")</f>
        <v/>
      </c>
      <c r="U326" s="21" t="str">
        <f aca="false">IFERROR(INDEX(종합!U$3:U$501,MATCH(ROW()-2,종합!$AC$3:$AC$501,0))&amp;"","")</f>
        <v/>
      </c>
      <c r="V326" s="21" t="str">
        <f aca="false">IFERROR(INDEX(종합!V$3:V$501,MATCH(ROW()-2,종합!$AC$3:$AC$501,0))&amp;"","")</f>
        <v/>
      </c>
      <c r="W326" s="21" t="str">
        <f aca="false">IFERROR(INDEX(종합!W$3:W$501,MATCH(ROW()-2,종합!$AC$3:$AC$501,0))&amp;"","")</f>
        <v/>
      </c>
      <c r="X326" s="21" t="str">
        <f aca="false">IFERROR(INDEX(종합!X$3:X$501,MATCH(ROW()-2,종합!$AC$3:$AC$501,0))&amp;"","")</f>
        <v/>
      </c>
      <c r="Y326" s="21" t="str">
        <f aca="false">IFERROR(INDEX(종합!Y$3:Y$501,MATCH(ROW()-2,종합!$AC$3:$AC$501,0))&amp;"","")</f>
        <v/>
      </c>
      <c r="Z326" s="21" t="str">
        <f aca="false">IFERROR(INDEX(종합!Z$3:Z$501,MATCH(ROW()-2,종합!$AC$3:$AC$501,0))&amp;"","")</f>
        <v/>
      </c>
    </row>
    <row r="327" customFormat="false" ht="16.5" hidden="false" customHeight="true" outlineLevel="0" collapsed="false">
      <c r="A327" s="18" t="str">
        <f aca="false">IF(B327="","",ROW()-2)</f>
        <v/>
      </c>
      <c r="B327" s="18" t="str">
        <f aca="false">IFERROR(INDEX(종합!B$3:B$501,MATCH(ROW()-2,종합!$AC$3:$AC$501,0))&amp;"","")</f>
        <v/>
      </c>
      <c r="C327" s="18" t="str">
        <f aca="false">IFERROR(INDEX(종합!C$3:C$501,MATCH(ROW()-2,종합!$AC$3:$AC$501,0))&amp;"","")</f>
        <v/>
      </c>
      <c r="D327" s="18" t="str">
        <f aca="false">IFERROR(INDEX(종합!D$3:D$501,MATCH(ROW()-2,종합!$AC$3:$AC$501,0))&amp;"","")</f>
        <v/>
      </c>
      <c r="E327" s="18" t="str">
        <f aca="false">IFERROR(INDEX(종합!E$3:E$501,MATCH(ROW()-2,종합!$AC$3:$AC$501,0))&amp;"","")</f>
        <v/>
      </c>
      <c r="F327" s="18" t="str">
        <f aca="false">IFERROR(INDEX(종합!F$3:F$501,MATCH(ROW()-2,종합!$AC$3:$AC$501,0))&amp;"","")</f>
        <v/>
      </c>
      <c r="G327" s="18" t="str">
        <f aca="false">IFERROR(INDEX(종합!G$3:G$501,MATCH(ROW()-2,종합!$AC$3:$AC$501,0))&amp;"","")</f>
        <v/>
      </c>
      <c r="H327" s="21" t="str">
        <f aca="false">IFERROR(INDEX(종합!H$3:H$501,MATCH(ROW()-2,종합!$AC$3:$AC$501,0))&amp;"","")</f>
        <v/>
      </c>
      <c r="I327" s="21" t="str">
        <f aca="false">IFERROR(INDEX(종합!I$3:I$501,MATCH(ROW()-2,종합!$AC$3:$AC$501,0))&amp;"","")</f>
        <v/>
      </c>
      <c r="J327" s="21" t="str">
        <f aca="false">IFERROR(INDEX(종합!J$3:J$501,MATCH(ROW()-2,종합!$AC$3:$AC$501,0))&amp;"","")</f>
        <v/>
      </c>
      <c r="K327" s="21" t="str">
        <f aca="false">IFERROR(INDEX(종합!K$3:K$501,MATCH(ROW()-2,종합!$AC$3:$AC$501,0))&amp;"","")</f>
        <v/>
      </c>
      <c r="L327" s="21" t="str">
        <f aca="false">IFERROR(INDEX(종합!L$3:L$501,MATCH(ROW()-2,종합!$AC$3:$AC$501,0))&amp;"","")</f>
        <v/>
      </c>
      <c r="M327" s="21" t="str">
        <f aca="false">IFERROR(INDEX(종합!M$3:M$501,MATCH(ROW()-2,종합!$AC$3:$AC$501,0))&amp;"","")</f>
        <v/>
      </c>
      <c r="N327" s="25" t="str">
        <f aca="false">IFERROR(INDEX(종합!N$3:N$501,MATCH(ROW()-2,종합!$AC$3:$AC$501,0))&amp;"","")</f>
        <v/>
      </c>
      <c r="O327" s="21" t="str">
        <f aca="false">IFERROR(INDEX(종합!O$3:O$501,MATCH(ROW()-2,종합!$AC$3:$AC$501,0))&amp;"","")</f>
        <v/>
      </c>
      <c r="P327" s="21" t="str">
        <f aca="false">IFERROR(INDEX(종합!P$3:P$501,MATCH(ROW()-2,종합!$AC$3:$AC$501,0))&amp;"","")</f>
        <v/>
      </c>
      <c r="Q327" s="21" t="str">
        <f aca="false">IFERROR(INDEX(종합!Q$3:Q$501,MATCH(ROW()-2,종합!$AC$3:$AC$501,0))&amp;"","")</f>
        <v/>
      </c>
      <c r="R327" s="21" t="str">
        <f aca="false">IFERROR(INDEX(종합!R$3:R$501,MATCH(ROW()-2,종합!$AC$3:$AC$501,0))&amp;"","")</f>
        <v/>
      </c>
      <c r="S327" s="21" t="str">
        <f aca="false">IFERROR(INDEX(종합!S$3:S$501,MATCH(ROW()-2,종합!$AC$3:$AC$501,0))&amp;"","")</f>
        <v/>
      </c>
      <c r="T327" s="21" t="str">
        <f aca="false">IFERROR(INDEX(종합!T$3:T$501,MATCH(ROW()-2,종합!$AC$3:$AC$501,0))&amp;"","")</f>
        <v/>
      </c>
      <c r="U327" s="21" t="str">
        <f aca="false">IFERROR(INDEX(종합!U$3:U$501,MATCH(ROW()-2,종합!$AC$3:$AC$501,0))&amp;"","")</f>
        <v/>
      </c>
      <c r="V327" s="21" t="str">
        <f aca="false">IFERROR(INDEX(종합!V$3:V$501,MATCH(ROW()-2,종합!$AC$3:$AC$501,0))&amp;"","")</f>
        <v/>
      </c>
      <c r="W327" s="21" t="str">
        <f aca="false">IFERROR(INDEX(종합!W$3:W$501,MATCH(ROW()-2,종합!$AC$3:$AC$501,0))&amp;"","")</f>
        <v/>
      </c>
      <c r="X327" s="21" t="str">
        <f aca="false">IFERROR(INDEX(종합!X$3:X$501,MATCH(ROW()-2,종합!$AC$3:$AC$501,0))&amp;"","")</f>
        <v/>
      </c>
      <c r="Y327" s="21" t="str">
        <f aca="false">IFERROR(INDEX(종합!Y$3:Y$501,MATCH(ROW()-2,종합!$AC$3:$AC$501,0))&amp;"","")</f>
        <v/>
      </c>
      <c r="Z327" s="21" t="str">
        <f aca="false">IFERROR(INDEX(종합!Z$3:Z$501,MATCH(ROW()-2,종합!$AC$3:$AC$501,0))&amp;"","")</f>
        <v/>
      </c>
    </row>
    <row r="328" customFormat="false" ht="16.5" hidden="false" customHeight="true" outlineLevel="0" collapsed="false">
      <c r="A328" s="18" t="str">
        <f aca="false">IF(B328="","",ROW()-2)</f>
        <v/>
      </c>
      <c r="B328" s="18" t="str">
        <f aca="false">IFERROR(INDEX(종합!B$3:B$501,MATCH(ROW()-2,종합!$AC$3:$AC$501,0))&amp;"","")</f>
        <v/>
      </c>
      <c r="C328" s="18" t="str">
        <f aca="false">IFERROR(INDEX(종합!C$3:C$501,MATCH(ROW()-2,종합!$AC$3:$AC$501,0))&amp;"","")</f>
        <v/>
      </c>
      <c r="D328" s="18" t="str">
        <f aca="false">IFERROR(INDEX(종합!D$3:D$501,MATCH(ROW()-2,종합!$AC$3:$AC$501,0))&amp;"","")</f>
        <v/>
      </c>
      <c r="E328" s="18" t="str">
        <f aca="false">IFERROR(INDEX(종합!E$3:E$501,MATCH(ROW()-2,종합!$AC$3:$AC$501,0))&amp;"","")</f>
        <v/>
      </c>
      <c r="F328" s="18" t="str">
        <f aca="false">IFERROR(INDEX(종합!F$3:F$501,MATCH(ROW()-2,종합!$AC$3:$AC$501,0))&amp;"","")</f>
        <v/>
      </c>
      <c r="G328" s="18" t="str">
        <f aca="false">IFERROR(INDEX(종합!G$3:G$501,MATCH(ROW()-2,종합!$AC$3:$AC$501,0))&amp;"","")</f>
        <v/>
      </c>
      <c r="H328" s="21" t="str">
        <f aca="false">IFERROR(INDEX(종합!H$3:H$501,MATCH(ROW()-2,종합!$AC$3:$AC$501,0))&amp;"","")</f>
        <v/>
      </c>
      <c r="I328" s="21" t="str">
        <f aca="false">IFERROR(INDEX(종합!I$3:I$501,MATCH(ROW()-2,종합!$AC$3:$AC$501,0))&amp;"","")</f>
        <v/>
      </c>
      <c r="J328" s="21" t="str">
        <f aca="false">IFERROR(INDEX(종합!J$3:J$501,MATCH(ROW()-2,종합!$AC$3:$AC$501,0))&amp;"","")</f>
        <v/>
      </c>
      <c r="K328" s="21" t="str">
        <f aca="false">IFERROR(INDEX(종합!K$3:K$501,MATCH(ROW()-2,종합!$AC$3:$AC$501,0))&amp;"","")</f>
        <v/>
      </c>
      <c r="L328" s="21" t="str">
        <f aca="false">IFERROR(INDEX(종합!L$3:L$501,MATCH(ROW()-2,종합!$AC$3:$AC$501,0))&amp;"","")</f>
        <v/>
      </c>
      <c r="M328" s="21" t="str">
        <f aca="false">IFERROR(INDEX(종합!M$3:M$501,MATCH(ROW()-2,종합!$AC$3:$AC$501,0))&amp;"","")</f>
        <v/>
      </c>
      <c r="N328" s="25" t="str">
        <f aca="false">IFERROR(INDEX(종합!N$3:N$501,MATCH(ROW()-2,종합!$AC$3:$AC$501,0))&amp;"","")</f>
        <v/>
      </c>
      <c r="O328" s="21" t="str">
        <f aca="false">IFERROR(INDEX(종합!O$3:O$501,MATCH(ROW()-2,종합!$AC$3:$AC$501,0))&amp;"","")</f>
        <v/>
      </c>
      <c r="P328" s="21" t="str">
        <f aca="false">IFERROR(INDEX(종합!P$3:P$501,MATCH(ROW()-2,종합!$AC$3:$AC$501,0))&amp;"","")</f>
        <v/>
      </c>
      <c r="Q328" s="21" t="str">
        <f aca="false">IFERROR(INDEX(종합!Q$3:Q$501,MATCH(ROW()-2,종합!$AC$3:$AC$501,0))&amp;"","")</f>
        <v/>
      </c>
      <c r="R328" s="21" t="str">
        <f aca="false">IFERROR(INDEX(종합!R$3:R$501,MATCH(ROW()-2,종합!$AC$3:$AC$501,0))&amp;"","")</f>
        <v/>
      </c>
      <c r="S328" s="21" t="str">
        <f aca="false">IFERROR(INDEX(종합!S$3:S$501,MATCH(ROW()-2,종합!$AC$3:$AC$501,0))&amp;"","")</f>
        <v/>
      </c>
      <c r="T328" s="21" t="str">
        <f aca="false">IFERROR(INDEX(종합!T$3:T$501,MATCH(ROW()-2,종합!$AC$3:$AC$501,0))&amp;"","")</f>
        <v/>
      </c>
      <c r="U328" s="21" t="str">
        <f aca="false">IFERROR(INDEX(종합!U$3:U$501,MATCH(ROW()-2,종합!$AC$3:$AC$501,0))&amp;"","")</f>
        <v/>
      </c>
      <c r="V328" s="21" t="str">
        <f aca="false">IFERROR(INDEX(종합!V$3:V$501,MATCH(ROW()-2,종합!$AC$3:$AC$501,0))&amp;"","")</f>
        <v/>
      </c>
      <c r="W328" s="21" t="str">
        <f aca="false">IFERROR(INDEX(종합!W$3:W$501,MATCH(ROW()-2,종합!$AC$3:$AC$501,0))&amp;"","")</f>
        <v/>
      </c>
      <c r="X328" s="21" t="str">
        <f aca="false">IFERROR(INDEX(종합!X$3:X$501,MATCH(ROW()-2,종합!$AC$3:$AC$501,0))&amp;"","")</f>
        <v/>
      </c>
      <c r="Y328" s="21" t="str">
        <f aca="false">IFERROR(INDEX(종합!Y$3:Y$501,MATCH(ROW()-2,종합!$AC$3:$AC$501,0))&amp;"","")</f>
        <v/>
      </c>
      <c r="Z328" s="21" t="str">
        <f aca="false">IFERROR(INDEX(종합!Z$3:Z$501,MATCH(ROW()-2,종합!$AC$3:$AC$501,0))&amp;"","")</f>
        <v/>
      </c>
    </row>
    <row r="329" customFormat="false" ht="16.5" hidden="false" customHeight="true" outlineLevel="0" collapsed="false">
      <c r="A329" s="18" t="str">
        <f aca="false">IF(B329="","",ROW()-2)</f>
        <v/>
      </c>
      <c r="B329" s="18" t="str">
        <f aca="false">IFERROR(INDEX(종합!B$3:B$501,MATCH(ROW()-2,종합!$AC$3:$AC$501,0))&amp;"","")</f>
        <v/>
      </c>
      <c r="C329" s="18" t="str">
        <f aca="false">IFERROR(INDEX(종합!C$3:C$501,MATCH(ROW()-2,종합!$AC$3:$AC$501,0))&amp;"","")</f>
        <v/>
      </c>
      <c r="D329" s="18" t="str">
        <f aca="false">IFERROR(INDEX(종합!D$3:D$501,MATCH(ROW()-2,종합!$AC$3:$AC$501,0))&amp;"","")</f>
        <v/>
      </c>
      <c r="E329" s="18" t="str">
        <f aca="false">IFERROR(INDEX(종합!E$3:E$501,MATCH(ROW()-2,종합!$AC$3:$AC$501,0))&amp;"","")</f>
        <v/>
      </c>
      <c r="F329" s="18" t="str">
        <f aca="false">IFERROR(INDEX(종합!F$3:F$501,MATCH(ROW()-2,종합!$AC$3:$AC$501,0))&amp;"","")</f>
        <v/>
      </c>
      <c r="G329" s="18" t="str">
        <f aca="false">IFERROR(INDEX(종합!G$3:G$501,MATCH(ROW()-2,종합!$AC$3:$AC$501,0))&amp;"","")</f>
        <v/>
      </c>
      <c r="H329" s="21" t="str">
        <f aca="false">IFERROR(INDEX(종합!H$3:H$501,MATCH(ROW()-2,종합!$AC$3:$AC$501,0))&amp;"","")</f>
        <v/>
      </c>
      <c r="I329" s="21" t="str">
        <f aca="false">IFERROR(INDEX(종합!I$3:I$501,MATCH(ROW()-2,종합!$AC$3:$AC$501,0))&amp;"","")</f>
        <v/>
      </c>
      <c r="J329" s="21" t="str">
        <f aca="false">IFERROR(INDEX(종합!J$3:J$501,MATCH(ROW()-2,종합!$AC$3:$AC$501,0))&amp;"","")</f>
        <v/>
      </c>
      <c r="K329" s="21" t="str">
        <f aca="false">IFERROR(INDEX(종합!K$3:K$501,MATCH(ROW()-2,종합!$AC$3:$AC$501,0))&amp;"","")</f>
        <v/>
      </c>
      <c r="L329" s="21" t="str">
        <f aca="false">IFERROR(INDEX(종합!L$3:L$501,MATCH(ROW()-2,종합!$AC$3:$AC$501,0))&amp;"","")</f>
        <v/>
      </c>
      <c r="M329" s="21" t="str">
        <f aca="false">IFERROR(INDEX(종합!M$3:M$501,MATCH(ROW()-2,종합!$AC$3:$AC$501,0))&amp;"","")</f>
        <v/>
      </c>
      <c r="N329" s="25" t="str">
        <f aca="false">IFERROR(INDEX(종합!N$3:N$501,MATCH(ROW()-2,종합!$AC$3:$AC$501,0))&amp;"","")</f>
        <v/>
      </c>
      <c r="O329" s="21" t="str">
        <f aca="false">IFERROR(INDEX(종합!O$3:O$501,MATCH(ROW()-2,종합!$AC$3:$AC$501,0))&amp;"","")</f>
        <v/>
      </c>
      <c r="P329" s="21" t="str">
        <f aca="false">IFERROR(INDEX(종합!P$3:P$501,MATCH(ROW()-2,종합!$AC$3:$AC$501,0))&amp;"","")</f>
        <v/>
      </c>
      <c r="Q329" s="21" t="str">
        <f aca="false">IFERROR(INDEX(종합!Q$3:Q$501,MATCH(ROW()-2,종합!$AC$3:$AC$501,0))&amp;"","")</f>
        <v/>
      </c>
      <c r="R329" s="21" t="str">
        <f aca="false">IFERROR(INDEX(종합!R$3:R$501,MATCH(ROW()-2,종합!$AC$3:$AC$501,0))&amp;"","")</f>
        <v/>
      </c>
      <c r="S329" s="21" t="str">
        <f aca="false">IFERROR(INDEX(종합!S$3:S$501,MATCH(ROW()-2,종합!$AC$3:$AC$501,0))&amp;"","")</f>
        <v/>
      </c>
      <c r="T329" s="21" t="str">
        <f aca="false">IFERROR(INDEX(종합!T$3:T$501,MATCH(ROW()-2,종합!$AC$3:$AC$501,0))&amp;"","")</f>
        <v/>
      </c>
      <c r="U329" s="21" t="str">
        <f aca="false">IFERROR(INDEX(종합!U$3:U$501,MATCH(ROW()-2,종합!$AC$3:$AC$501,0))&amp;"","")</f>
        <v/>
      </c>
      <c r="V329" s="21" t="str">
        <f aca="false">IFERROR(INDEX(종합!V$3:V$501,MATCH(ROW()-2,종합!$AC$3:$AC$501,0))&amp;"","")</f>
        <v/>
      </c>
      <c r="W329" s="21" t="str">
        <f aca="false">IFERROR(INDEX(종합!W$3:W$501,MATCH(ROW()-2,종합!$AC$3:$AC$501,0))&amp;"","")</f>
        <v/>
      </c>
      <c r="X329" s="21" t="str">
        <f aca="false">IFERROR(INDEX(종합!X$3:X$501,MATCH(ROW()-2,종합!$AC$3:$AC$501,0))&amp;"","")</f>
        <v/>
      </c>
      <c r="Y329" s="21" t="str">
        <f aca="false">IFERROR(INDEX(종합!Y$3:Y$501,MATCH(ROW()-2,종합!$AC$3:$AC$501,0))&amp;"","")</f>
        <v/>
      </c>
      <c r="Z329" s="21" t="str">
        <f aca="false">IFERROR(INDEX(종합!Z$3:Z$501,MATCH(ROW()-2,종합!$AC$3:$AC$501,0))&amp;"","")</f>
        <v/>
      </c>
    </row>
    <row r="330" customFormat="false" ht="16.5" hidden="false" customHeight="true" outlineLevel="0" collapsed="false">
      <c r="A330" s="18" t="str">
        <f aca="false">IF(B330="","",ROW()-2)</f>
        <v/>
      </c>
      <c r="B330" s="18" t="str">
        <f aca="false">IFERROR(INDEX(종합!B$3:B$501,MATCH(ROW()-2,종합!$AC$3:$AC$501,0))&amp;"","")</f>
        <v/>
      </c>
      <c r="C330" s="18" t="str">
        <f aca="false">IFERROR(INDEX(종합!C$3:C$501,MATCH(ROW()-2,종합!$AC$3:$AC$501,0))&amp;"","")</f>
        <v/>
      </c>
      <c r="D330" s="18" t="str">
        <f aca="false">IFERROR(INDEX(종합!D$3:D$501,MATCH(ROW()-2,종합!$AC$3:$AC$501,0))&amp;"","")</f>
        <v/>
      </c>
      <c r="E330" s="18" t="str">
        <f aca="false">IFERROR(INDEX(종합!E$3:E$501,MATCH(ROW()-2,종합!$AC$3:$AC$501,0))&amp;"","")</f>
        <v/>
      </c>
      <c r="F330" s="18" t="str">
        <f aca="false">IFERROR(INDEX(종합!F$3:F$501,MATCH(ROW()-2,종합!$AC$3:$AC$501,0))&amp;"","")</f>
        <v/>
      </c>
      <c r="G330" s="18" t="str">
        <f aca="false">IFERROR(INDEX(종합!G$3:G$501,MATCH(ROW()-2,종합!$AC$3:$AC$501,0))&amp;"","")</f>
        <v/>
      </c>
      <c r="H330" s="21" t="str">
        <f aca="false">IFERROR(INDEX(종합!H$3:H$501,MATCH(ROW()-2,종합!$AC$3:$AC$501,0))&amp;"","")</f>
        <v/>
      </c>
      <c r="I330" s="21" t="str">
        <f aca="false">IFERROR(INDEX(종합!I$3:I$501,MATCH(ROW()-2,종합!$AC$3:$AC$501,0))&amp;"","")</f>
        <v/>
      </c>
      <c r="J330" s="21" t="str">
        <f aca="false">IFERROR(INDEX(종합!J$3:J$501,MATCH(ROW()-2,종합!$AC$3:$AC$501,0))&amp;"","")</f>
        <v/>
      </c>
      <c r="K330" s="21" t="str">
        <f aca="false">IFERROR(INDEX(종합!K$3:K$501,MATCH(ROW()-2,종합!$AC$3:$AC$501,0))&amp;"","")</f>
        <v/>
      </c>
      <c r="L330" s="21" t="str">
        <f aca="false">IFERROR(INDEX(종합!L$3:L$501,MATCH(ROW()-2,종합!$AC$3:$AC$501,0))&amp;"","")</f>
        <v/>
      </c>
      <c r="M330" s="21" t="str">
        <f aca="false">IFERROR(INDEX(종합!M$3:M$501,MATCH(ROW()-2,종합!$AC$3:$AC$501,0))&amp;"","")</f>
        <v/>
      </c>
      <c r="N330" s="25" t="str">
        <f aca="false">IFERROR(INDEX(종합!N$3:N$501,MATCH(ROW()-2,종합!$AC$3:$AC$501,0))&amp;"","")</f>
        <v/>
      </c>
      <c r="O330" s="21" t="str">
        <f aca="false">IFERROR(INDEX(종합!O$3:O$501,MATCH(ROW()-2,종합!$AC$3:$AC$501,0))&amp;"","")</f>
        <v/>
      </c>
      <c r="P330" s="21" t="str">
        <f aca="false">IFERROR(INDEX(종합!P$3:P$501,MATCH(ROW()-2,종합!$AC$3:$AC$501,0))&amp;"","")</f>
        <v/>
      </c>
      <c r="Q330" s="21" t="str">
        <f aca="false">IFERROR(INDEX(종합!Q$3:Q$501,MATCH(ROW()-2,종합!$AC$3:$AC$501,0))&amp;"","")</f>
        <v/>
      </c>
      <c r="R330" s="21" t="str">
        <f aca="false">IFERROR(INDEX(종합!R$3:R$501,MATCH(ROW()-2,종합!$AC$3:$AC$501,0))&amp;"","")</f>
        <v/>
      </c>
      <c r="S330" s="21" t="str">
        <f aca="false">IFERROR(INDEX(종합!S$3:S$501,MATCH(ROW()-2,종합!$AC$3:$AC$501,0))&amp;"","")</f>
        <v/>
      </c>
      <c r="T330" s="21" t="str">
        <f aca="false">IFERROR(INDEX(종합!T$3:T$501,MATCH(ROW()-2,종합!$AC$3:$AC$501,0))&amp;"","")</f>
        <v/>
      </c>
      <c r="U330" s="21" t="str">
        <f aca="false">IFERROR(INDEX(종합!U$3:U$501,MATCH(ROW()-2,종합!$AC$3:$AC$501,0))&amp;"","")</f>
        <v/>
      </c>
      <c r="V330" s="21" t="str">
        <f aca="false">IFERROR(INDEX(종합!V$3:V$501,MATCH(ROW()-2,종합!$AC$3:$AC$501,0))&amp;"","")</f>
        <v/>
      </c>
      <c r="W330" s="21" t="str">
        <f aca="false">IFERROR(INDEX(종합!W$3:W$501,MATCH(ROW()-2,종합!$AC$3:$AC$501,0))&amp;"","")</f>
        <v/>
      </c>
      <c r="X330" s="21" t="str">
        <f aca="false">IFERROR(INDEX(종합!X$3:X$501,MATCH(ROW()-2,종합!$AC$3:$AC$501,0))&amp;"","")</f>
        <v/>
      </c>
      <c r="Y330" s="21" t="str">
        <f aca="false">IFERROR(INDEX(종합!Y$3:Y$501,MATCH(ROW()-2,종합!$AC$3:$AC$501,0))&amp;"","")</f>
        <v/>
      </c>
      <c r="Z330" s="21" t="str">
        <f aca="false">IFERROR(INDEX(종합!Z$3:Z$501,MATCH(ROW()-2,종합!$AC$3:$AC$501,0))&amp;"","")</f>
        <v/>
      </c>
    </row>
    <row r="331" customFormat="false" ht="16.5" hidden="false" customHeight="true" outlineLevel="0" collapsed="false">
      <c r="A331" s="18" t="str">
        <f aca="false">IF(B331="","",ROW()-2)</f>
        <v/>
      </c>
      <c r="B331" s="18" t="str">
        <f aca="false">IFERROR(INDEX(종합!B$3:B$501,MATCH(ROW()-2,종합!$AC$3:$AC$501,0))&amp;"","")</f>
        <v/>
      </c>
      <c r="C331" s="18" t="str">
        <f aca="false">IFERROR(INDEX(종합!C$3:C$501,MATCH(ROW()-2,종합!$AC$3:$AC$501,0))&amp;"","")</f>
        <v/>
      </c>
      <c r="D331" s="18" t="str">
        <f aca="false">IFERROR(INDEX(종합!D$3:D$501,MATCH(ROW()-2,종합!$AC$3:$AC$501,0))&amp;"","")</f>
        <v/>
      </c>
      <c r="E331" s="18" t="str">
        <f aca="false">IFERROR(INDEX(종합!E$3:E$501,MATCH(ROW()-2,종합!$AC$3:$AC$501,0))&amp;"","")</f>
        <v/>
      </c>
      <c r="F331" s="18" t="str">
        <f aca="false">IFERROR(INDEX(종합!F$3:F$501,MATCH(ROW()-2,종합!$AC$3:$AC$501,0))&amp;"","")</f>
        <v/>
      </c>
      <c r="G331" s="18" t="str">
        <f aca="false">IFERROR(INDEX(종합!G$3:G$501,MATCH(ROW()-2,종합!$AC$3:$AC$501,0))&amp;"","")</f>
        <v/>
      </c>
      <c r="H331" s="21" t="str">
        <f aca="false">IFERROR(INDEX(종합!H$3:H$501,MATCH(ROW()-2,종합!$AC$3:$AC$501,0))&amp;"","")</f>
        <v/>
      </c>
      <c r="I331" s="21" t="str">
        <f aca="false">IFERROR(INDEX(종합!I$3:I$501,MATCH(ROW()-2,종합!$AC$3:$AC$501,0))&amp;"","")</f>
        <v/>
      </c>
      <c r="J331" s="21" t="str">
        <f aca="false">IFERROR(INDEX(종합!J$3:J$501,MATCH(ROW()-2,종합!$AC$3:$AC$501,0))&amp;"","")</f>
        <v/>
      </c>
      <c r="K331" s="21" t="str">
        <f aca="false">IFERROR(INDEX(종합!K$3:K$501,MATCH(ROW()-2,종합!$AC$3:$AC$501,0))&amp;"","")</f>
        <v/>
      </c>
      <c r="L331" s="21" t="str">
        <f aca="false">IFERROR(INDEX(종합!L$3:L$501,MATCH(ROW()-2,종합!$AC$3:$AC$501,0))&amp;"","")</f>
        <v/>
      </c>
      <c r="M331" s="21" t="str">
        <f aca="false">IFERROR(INDEX(종합!M$3:M$501,MATCH(ROW()-2,종합!$AC$3:$AC$501,0))&amp;"","")</f>
        <v/>
      </c>
      <c r="N331" s="25" t="str">
        <f aca="false">IFERROR(INDEX(종합!N$3:N$501,MATCH(ROW()-2,종합!$AC$3:$AC$501,0))&amp;"","")</f>
        <v/>
      </c>
      <c r="O331" s="21" t="str">
        <f aca="false">IFERROR(INDEX(종합!O$3:O$501,MATCH(ROW()-2,종합!$AC$3:$AC$501,0))&amp;"","")</f>
        <v/>
      </c>
      <c r="P331" s="21" t="str">
        <f aca="false">IFERROR(INDEX(종합!P$3:P$501,MATCH(ROW()-2,종합!$AC$3:$AC$501,0))&amp;"","")</f>
        <v/>
      </c>
      <c r="Q331" s="21" t="str">
        <f aca="false">IFERROR(INDEX(종합!Q$3:Q$501,MATCH(ROW()-2,종합!$AC$3:$AC$501,0))&amp;"","")</f>
        <v/>
      </c>
      <c r="R331" s="21" t="str">
        <f aca="false">IFERROR(INDEX(종합!R$3:R$501,MATCH(ROW()-2,종합!$AC$3:$AC$501,0))&amp;"","")</f>
        <v/>
      </c>
      <c r="S331" s="21" t="str">
        <f aca="false">IFERROR(INDEX(종합!S$3:S$501,MATCH(ROW()-2,종합!$AC$3:$AC$501,0))&amp;"","")</f>
        <v/>
      </c>
      <c r="T331" s="21" t="str">
        <f aca="false">IFERROR(INDEX(종합!T$3:T$501,MATCH(ROW()-2,종합!$AC$3:$AC$501,0))&amp;"","")</f>
        <v/>
      </c>
      <c r="U331" s="21" t="str">
        <f aca="false">IFERROR(INDEX(종합!U$3:U$501,MATCH(ROW()-2,종합!$AC$3:$AC$501,0))&amp;"","")</f>
        <v/>
      </c>
      <c r="V331" s="21" t="str">
        <f aca="false">IFERROR(INDEX(종합!V$3:V$501,MATCH(ROW()-2,종합!$AC$3:$AC$501,0))&amp;"","")</f>
        <v/>
      </c>
      <c r="W331" s="21" t="str">
        <f aca="false">IFERROR(INDEX(종합!W$3:W$501,MATCH(ROW()-2,종합!$AC$3:$AC$501,0))&amp;"","")</f>
        <v/>
      </c>
      <c r="X331" s="21" t="str">
        <f aca="false">IFERROR(INDEX(종합!X$3:X$501,MATCH(ROW()-2,종합!$AC$3:$AC$501,0))&amp;"","")</f>
        <v/>
      </c>
      <c r="Y331" s="21" t="str">
        <f aca="false">IFERROR(INDEX(종합!Y$3:Y$501,MATCH(ROW()-2,종합!$AC$3:$AC$501,0))&amp;"","")</f>
        <v/>
      </c>
      <c r="Z331" s="21" t="str">
        <f aca="false">IFERROR(INDEX(종합!Z$3:Z$501,MATCH(ROW()-2,종합!$AC$3:$AC$501,0))&amp;"","")</f>
        <v/>
      </c>
    </row>
    <row r="332" customFormat="false" ht="16.5" hidden="false" customHeight="true" outlineLevel="0" collapsed="false">
      <c r="A332" s="18" t="str">
        <f aca="false">IF(B332="","",ROW()-2)</f>
        <v/>
      </c>
      <c r="B332" s="18" t="str">
        <f aca="false">IFERROR(INDEX(종합!B$3:B$501,MATCH(ROW()-2,종합!$AC$3:$AC$501,0))&amp;"","")</f>
        <v/>
      </c>
      <c r="C332" s="18" t="str">
        <f aca="false">IFERROR(INDEX(종합!C$3:C$501,MATCH(ROW()-2,종합!$AC$3:$AC$501,0))&amp;"","")</f>
        <v/>
      </c>
      <c r="D332" s="18" t="str">
        <f aca="false">IFERROR(INDEX(종합!D$3:D$501,MATCH(ROW()-2,종합!$AC$3:$AC$501,0))&amp;"","")</f>
        <v/>
      </c>
      <c r="E332" s="18" t="str">
        <f aca="false">IFERROR(INDEX(종합!E$3:E$501,MATCH(ROW()-2,종합!$AC$3:$AC$501,0))&amp;"","")</f>
        <v/>
      </c>
      <c r="F332" s="18" t="str">
        <f aca="false">IFERROR(INDEX(종합!F$3:F$501,MATCH(ROW()-2,종합!$AC$3:$AC$501,0))&amp;"","")</f>
        <v/>
      </c>
      <c r="G332" s="18" t="str">
        <f aca="false">IFERROR(INDEX(종합!G$3:G$501,MATCH(ROW()-2,종합!$AC$3:$AC$501,0))&amp;"","")</f>
        <v/>
      </c>
      <c r="H332" s="21" t="str">
        <f aca="false">IFERROR(INDEX(종합!H$3:H$501,MATCH(ROW()-2,종합!$AC$3:$AC$501,0))&amp;"","")</f>
        <v/>
      </c>
      <c r="I332" s="21" t="str">
        <f aca="false">IFERROR(INDEX(종합!I$3:I$501,MATCH(ROW()-2,종합!$AC$3:$AC$501,0))&amp;"","")</f>
        <v/>
      </c>
      <c r="J332" s="21" t="str">
        <f aca="false">IFERROR(INDEX(종합!J$3:J$501,MATCH(ROW()-2,종합!$AC$3:$AC$501,0))&amp;"","")</f>
        <v/>
      </c>
      <c r="K332" s="21" t="str">
        <f aca="false">IFERROR(INDEX(종합!K$3:K$501,MATCH(ROW()-2,종합!$AC$3:$AC$501,0))&amp;"","")</f>
        <v/>
      </c>
      <c r="L332" s="21" t="str">
        <f aca="false">IFERROR(INDEX(종합!L$3:L$501,MATCH(ROW()-2,종합!$AC$3:$AC$501,0))&amp;"","")</f>
        <v/>
      </c>
      <c r="M332" s="21" t="str">
        <f aca="false">IFERROR(INDEX(종합!M$3:M$501,MATCH(ROW()-2,종합!$AC$3:$AC$501,0))&amp;"","")</f>
        <v/>
      </c>
      <c r="N332" s="25" t="str">
        <f aca="false">IFERROR(INDEX(종합!N$3:N$501,MATCH(ROW()-2,종합!$AC$3:$AC$501,0))&amp;"","")</f>
        <v/>
      </c>
      <c r="O332" s="21" t="str">
        <f aca="false">IFERROR(INDEX(종합!O$3:O$501,MATCH(ROW()-2,종합!$AC$3:$AC$501,0))&amp;"","")</f>
        <v/>
      </c>
      <c r="P332" s="21" t="str">
        <f aca="false">IFERROR(INDEX(종합!P$3:P$501,MATCH(ROW()-2,종합!$AC$3:$AC$501,0))&amp;"","")</f>
        <v/>
      </c>
      <c r="Q332" s="21" t="str">
        <f aca="false">IFERROR(INDEX(종합!Q$3:Q$501,MATCH(ROW()-2,종합!$AC$3:$AC$501,0))&amp;"","")</f>
        <v/>
      </c>
      <c r="R332" s="21" t="str">
        <f aca="false">IFERROR(INDEX(종합!R$3:R$501,MATCH(ROW()-2,종합!$AC$3:$AC$501,0))&amp;"","")</f>
        <v/>
      </c>
      <c r="S332" s="21" t="str">
        <f aca="false">IFERROR(INDEX(종합!S$3:S$501,MATCH(ROW()-2,종합!$AC$3:$AC$501,0))&amp;"","")</f>
        <v/>
      </c>
      <c r="T332" s="21" t="str">
        <f aca="false">IFERROR(INDEX(종합!T$3:T$501,MATCH(ROW()-2,종합!$AC$3:$AC$501,0))&amp;"","")</f>
        <v/>
      </c>
      <c r="U332" s="21" t="str">
        <f aca="false">IFERROR(INDEX(종합!U$3:U$501,MATCH(ROW()-2,종합!$AC$3:$AC$501,0))&amp;"","")</f>
        <v/>
      </c>
      <c r="V332" s="21" t="str">
        <f aca="false">IFERROR(INDEX(종합!V$3:V$501,MATCH(ROW()-2,종합!$AC$3:$AC$501,0))&amp;"","")</f>
        <v/>
      </c>
      <c r="W332" s="21" t="str">
        <f aca="false">IFERROR(INDEX(종합!W$3:W$501,MATCH(ROW()-2,종합!$AC$3:$AC$501,0))&amp;"","")</f>
        <v/>
      </c>
      <c r="X332" s="21" t="str">
        <f aca="false">IFERROR(INDEX(종합!X$3:X$501,MATCH(ROW()-2,종합!$AC$3:$AC$501,0))&amp;"","")</f>
        <v/>
      </c>
      <c r="Y332" s="21" t="str">
        <f aca="false">IFERROR(INDEX(종합!Y$3:Y$501,MATCH(ROW()-2,종합!$AC$3:$AC$501,0))&amp;"","")</f>
        <v/>
      </c>
      <c r="Z332" s="21" t="str">
        <f aca="false">IFERROR(INDEX(종합!Z$3:Z$501,MATCH(ROW()-2,종합!$AC$3:$AC$501,0))&amp;"","")</f>
        <v/>
      </c>
    </row>
    <row r="333" customFormat="false" ht="16.5" hidden="false" customHeight="true" outlineLevel="0" collapsed="false">
      <c r="A333" s="18" t="str">
        <f aca="false">IF(B333="","",ROW()-2)</f>
        <v/>
      </c>
      <c r="B333" s="18" t="str">
        <f aca="false">IFERROR(INDEX(종합!B$3:B$501,MATCH(ROW()-2,종합!$AC$3:$AC$501,0))&amp;"","")</f>
        <v/>
      </c>
      <c r="C333" s="18" t="str">
        <f aca="false">IFERROR(INDEX(종합!C$3:C$501,MATCH(ROW()-2,종합!$AC$3:$AC$501,0))&amp;"","")</f>
        <v/>
      </c>
      <c r="D333" s="18" t="str">
        <f aca="false">IFERROR(INDEX(종합!D$3:D$501,MATCH(ROW()-2,종합!$AC$3:$AC$501,0))&amp;"","")</f>
        <v/>
      </c>
      <c r="E333" s="18" t="str">
        <f aca="false">IFERROR(INDEX(종합!E$3:E$501,MATCH(ROW()-2,종합!$AC$3:$AC$501,0))&amp;"","")</f>
        <v/>
      </c>
      <c r="F333" s="18" t="str">
        <f aca="false">IFERROR(INDEX(종합!F$3:F$501,MATCH(ROW()-2,종합!$AC$3:$AC$501,0))&amp;"","")</f>
        <v/>
      </c>
      <c r="G333" s="18" t="str">
        <f aca="false">IFERROR(INDEX(종합!G$3:G$501,MATCH(ROW()-2,종합!$AC$3:$AC$501,0))&amp;"","")</f>
        <v/>
      </c>
      <c r="H333" s="21" t="str">
        <f aca="false">IFERROR(INDEX(종합!H$3:H$501,MATCH(ROW()-2,종합!$AC$3:$AC$501,0))&amp;"","")</f>
        <v/>
      </c>
      <c r="I333" s="21" t="str">
        <f aca="false">IFERROR(INDEX(종합!I$3:I$501,MATCH(ROW()-2,종합!$AC$3:$AC$501,0))&amp;"","")</f>
        <v/>
      </c>
      <c r="J333" s="21" t="str">
        <f aca="false">IFERROR(INDEX(종합!J$3:J$501,MATCH(ROW()-2,종합!$AC$3:$AC$501,0))&amp;"","")</f>
        <v/>
      </c>
      <c r="K333" s="21" t="str">
        <f aca="false">IFERROR(INDEX(종합!K$3:K$501,MATCH(ROW()-2,종합!$AC$3:$AC$501,0))&amp;"","")</f>
        <v/>
      </c>
      <c r="L333" s="21" t="str">
        <f aca="false">IFERROR(INDEX(종합!L$3:L$501,MATCH(ROW()-2,종합!$AC$3:$AC$501,0))&amp;"","")</f>
        <v/>
      </c>
      <c r="M333" s="21" t="str">
        <f aca="false">IFERROR(INDEX(종합!M$3:M$501,MATCH(ROW()-2,종합!$AC$3:$AC$501,0))&amp;"","")</f>
        <v/>
      </c>
      <c r="N333" s="25" t="str">
        <f aca="false">IFERROR(INDEX(종합!N$3:N$501,MATCH(ROW()-2,종합!$AC$3:$AC$501,0))&amp;"","")</f>
        <v/>
      </c>
      <c r="O333" s="21" t="str">
        <f aca="false">IFERROR(INDEX(종합!O$3:O$501,MATCH(ROW()-2,종합!$AC$3:$AC$501,0))&amp;"","")</f>
        <v/>
      </c>
      <c r="P333" s="21" t="str">
        <f aca="false">IFERROR(INDEX(종합!P$3:P$501,MATCH(ROW()-2,종합!$AC$3:$AC$501,0))&amp;"","")</f>
        <v/>
      </c>
      <c r="Q333" s="21" t="str">
        <f aca="false">IFERROR(INDEX(종합!Q$3:Q$501,MATCH(ROW()-2,종합!$AC$3:$AC$501,0))&amp;"","")</f>
        <v/>
      </c>
      <c r="R333" s="21" t="str">
        <f aca="false">IFERROR(INDEX(종합!R$3:R$501,MATCH(ROW()-2,종합!$AC$3:$AC$501,0))&amp;"","")</f>
        <v/>
      </c>
      <c r="S333" s="21" t="str">
        <f aca="false">IFERROR(INDEX(종합!S$3:S$501,MATCH(ROW()-2,종합!$AC$3:$AC$501,0))&amp;"","")</f>
        <v/>
      </c>
      <c r="T333" s="21" t="str">
        <f aca="false">IFERROR(INDEX(종합!T$3:T$501,MATCH(ROW()-2,종합!$AC$3:$AC$501,0))&amp;"","")</f>
        <v/>
      </c>
      <c r="U333" s="21" t="str">
        <f aca="false">IFERROR(INDEX(종합!U$3:U$501,MATCH(ROW()-2,종합!$AC$3:$AC$501,0))&amp;"","")</f>
        <v/>
      </c>
      <c r="V333" s="21" t="str">
        <f aca="false">IFERROR(INDEX(종합!V$3:V$501,MATCH(ROW()-2,종합!$AC$3:$AC$501,0))&amp;"","")</f>
        <v/>
      </c>
      <c r="W333" s="21" t="str">
        <f aca="false">IFERROR(INDEX(종합!W$3:W$501,MATCH(ROW()-2,종합!$AC$3:$AC$501,0))&amp;"","")</f>
        <v/>
      </c>
      <c r="X333" s="21" t="str">
        <f aca="false">IFERROR(INDEX(종합!X$3:X$501,MATCH(ROW()-2,종합!$AC$3:$AC$501,0))&amp;"","")</f>
        <v/>
      </c>
      <c r="Y333" s="21" t="str">
        <f aca="false">IFERROR(INDEX(종합!Y$3:Y$501,MATCH(ROW()-2,종합!$AC$3:$AC$501,0))&amp;"","")</f>
        <v/>
      </c>
      <c r="Z333" s="21" t="str">
        <f aca="false">IFERROR(INDEX(종합!Z$3:Z$501,MATCH(ROW()-2,종합!$AC$3:$AC$501,0))&amp;"","")</f>
        <v/>
      </c>
    </row>
    <row r="334" customFormat="false" ht="16.5" hidden="false" customHeight="true" outlineLevel="0" collapsed="false">
      <c r="A334" s="18" t="str">
        <f aca="false">IF(B334="","",ROW()-2)</f>
        <v/>
      </c>
      <c r="B334" s="18" t="str">
        <f aca="false">IFERROR(INDEX(종합!B$3:B$501,MATCH(ROW()-2,종합!$AC$3:$AC$501,0))&amp;"","")</f>
        <v/>
      </c>
      <c r="C334" s="18" t="str">
        <f aca="false">IFERROR(INDEX(종합!C$3:C$501,MATCH(ROW()-2,종합!$AC$3:$AC$501,0))&amp;"","")</f>
        <v/>
      </c>
      <c r="D334" s="18" t="str">
        <f aca="false">IFERROR(INDEX(종합!D$3:D$501,MATCH(ROW()-2,종합!$AC$3:$AC$501,0))&amp;"","")</f>
        <v/>
      </c>
      <c r="E334" s="18" t="str">
        <f aca="false">IFERROR(INDEX(종합!E$3:E$501,MATCH(ROW()-2,종합!$AC$3:$AC$501,0))&amp;"","")</f>
        <v/>
      </c>
      <c r="F334" s="18" t="str">
        <f aca="false">IFERROR(INDEX(종합!F$3:F$501,MATCH(ROW()-2,종합!$AC$3:$AC$501,0))&amp;"","")</f>
        <v/>
      </c>
      <c r="G334" s="18" t="str">
        <f aca="false">IFERROR(INDEX(종합!G$3:G$501,MATCH(ROW()-2,종합!$AC$3:$AC$501,0))&amp;"","")</f>
        <v/>
      </c>
      <c r="H334" s="21" t="str">
        <f aca="false">IFERROR(INDEX(종합!H$3:H$501,MATCH(ROW()-2,종합!$AC$3:$AC$501,0))&amp;"","")</f>
        <v/>
      </c>
      <c r="I334" s="21" t="str">
        <f aca="false">IFERROR(INDEX(종합!I$3:I$501,MATCH(ROW()-2,종합!$AC$3:$AC$501,0))&amp;"","")</f>
        <v/>
      </c>
      <c r="J334" s="21" t="str">
        <f aca="false">IFERROR(INDEX(종합!J$3:J$501,MATCH(ROW()-2,종합!$AC$3:$AC$501,0))&amp;"","")</f>
        <v/>
      </c>
      <c r="K334" s="21" t="str">
        <f aca="false">IFERROR(INDEX(종합!K$3:K$501,MATCH(ROW()-2,종합!$AC$3:$AC$501,0))&amp;"","")</f>
        <v/>
      </c>
      <c r="L334" s="21" t="str">
        <f aca="false">IFERROR(INDEX(종합!L$3:L$501,MATCH(ROW()-2,종합!$AC$3:$AC$501,0))&amp;"","")</f>
        <v/>
      </c>
      <c r="M334" s="21" t="str">
        <f aca="false">IFERROR(INDEX(종합!M$3:M$501,MATCH(ROW()-2,종합!$AC$3:$AC$501,0))&amp;"","")</f>
        <v/>
      </c>
      <c r="N334" s="25" t="str">
        <f aca="false">IFERROR(INDEX(종합!N$3:N$501,MATCH(ROW()-2,종합!$AC$3:$AC$501,0))&amp;"","")</f>
        <v/>
      </c>
      <c r="O334" s="21" t="str">
        <f aca="false">IFERROR(INDEX(종합!O$3:O$501,MATCH(ROW()-2,종합!$AC$3:$AC$501,0))&amp;"","")</f>
        <v/>
      </c>
      <c r="P334" s="21" t="str">
        <f aca="false">IFERROR(INDEX(종합!P$3:P$501,MATCH(ROW()-2,종합!$AC$3:$AC$501,0))&amp;"","")</f>
        <v/>
      </c>
      <c r="Q334" s="21" t="str">
        <f aca="false">IFERROR(INDEX(종합!Q$3:Q$501,MATCH(ROW()-2,종합!$AC$3:$AC$501,0))&amp;"","")</f>
        <v/>
      </c>
      <c r="R334" s="21" t="str">
        <f aca="false">IFERROR(INDEX(종합!R$3:R$501,MATCH(ROW()-2,종합!$AC$3:$AC$501,0))&amp;"","")</f>
        <v/>
      </c>
      <c r="S334" s="21" t="str">
        <f aca="false">IFERROR(INDEX(종합!S$3:S$501,MATCH(ROW()-2,종합!$AC$3:$AC$501,0))&amp;"","")</f>
        <v/>
      </c>
      <c r="T334" s="21" t="str">
        <f aca="false">IFERROR(INDEX(종합!T$3:T$501,MATCH(ROW()-2,종합!$AC$3:$AC$501,0))&amp;"","")</f>
        <v/>
      </c>
      <c r="U334" s="21" t="str">
        <f aca="false">IFERROR(INDEX(종합!U$3:U$501,MATCH(ROW()-2,종합!$AC$3:$AC$501,0))&amp;"","")</f>
        <v/>
      </c>
      <c r="V334" s="21" t="str">
        <f aca="false">IFERROR(INDEX(종합!V$3:V$501,MATCH(ROW()-2,종합!$AC$3:$AC$501,0))&amp;"","")</f>
        <v/>
      </c>
      <c r="W334" s="21" t="str">
        <f aca="false">IFERROR(INDEX(종합!W$3:W$501,MATCH(ROW()-2,종합!$AC$3:$AC$501,0))&amp;"","")</f>
        <v/>
      </c>
      <c r="X334" s="21" t="str">
        <f aca="false">IFERROR(INDEX(종합!X$3:X$501,MATCH(ROW()-2,종합!$AC$3:$AC$501,0))&amp;"","")</f>
        <v/>
      </c>
      <c r="Y334" s="21" t="str">
        <f aca="false">IFERROR(INDEX(종합!Y$3:Y$501,MATCH(ROW()-2,종합!$AC$3:$AC$501,0))&amp;"","")</f>
        <v/>
      </c>
      <c r="Z334" s="21" t="str">
        <f aca="false">IFERROR(INDEX(종합!Z$3:Z$501,MATCH(ROW()-2,종합!$AC$3:$AC$501,0))&amp;"","")</f>
        <v/>
      </c>
    </row>
    <row r="335" customFormat="false" ht="16.5" hidden="false" customHeight="true" outlineLevel="0" collapsed="false">
      <c r="A335" s="18" t="str">
        <f aca="false">IF(B335="","",ROW()-2)</f>
        <v/>
      </c>
      <c r="B335" s="18" t="str">
        <f aca="false">IFERROR(INDEX(종합!B$3:B$501,MATCH(ROW()-2,종합!$AC$3:$AC$501,0))&amp;"","")</f>
        <v/>
      </c>
      <c r="C335" s="18" t="str">
        <f aca="false">IFERROR(INDEX(종합!C$3:C$501,MATCH(ROW()-2,종합!$AC$3:$AC$501,0))&amp;"","")</f>
        <v/>
      </c>
      <c r="D335" s="18" t="str">
        <f aca="false">IFERROR(INDEX(종합!D$3:D$501,MATCH(ROW()-2,종합!$AC$3:$AC$501,0))&amp;"","")</f>
        <v/>
      </c>
      <c r="E335" s="18" t="str">
        <f aca="false">IFERROR(INDEX(종합!E$3:E$501,MATCH(ROW()-2,종합!$AC$3:$AC$501,0))&amp;"","")</f>
        <v/>
      </c>
      <c r="F335" s="18" t="str">
        <f aca="false">IFERROR(INDEX(종합!F$3:F$501,MATCH(ROW()-2,종합!$AC$3:$AC$501,0))&amp;"","")</f>
        <v/>
      </c>
      <c r="G335" s="18" t="str">
        <f aca="false">IFERROR(INDEX(종합!G$3:G$501,MATCH(ROW()-2,종합!$AC$3:$AC$501,0))&amp;"","")</f>
        <v/>
      </c>
      <c r="H335" s="21" t="str">
        <f aca="false">IFERROR(INDEX(종합!H$3:H$501,MATCH(ROW()-2,종합!$AC$3:$AC$501,0))&amp;"","")</f>
        <v/>
      </c>
      <c r="I335" s="21" t="str">
        <f aca="false">IFERROR(INDEX(종합!I$3:I$501,MATCH(ROW()-2,종합!$AC$3:$AC$501,0))&amp;"","")</f>
        <v/>
      </c>
      <c r="J335" s="21" t="str">
        <f aca="false">IFERROR(INDEX(종합!J$3:J$501,MATCH(ROW()-2,종합!$AC$3:$AC$501,0))&amp;"","")</f>
        <v/>
      </c>
      <c r="K335" s="21" t="str">
        <f aca="false">IFERROR(INDEX(종합!K$3:K$501,MATCH(ROW()-2,종합!$AC$3:$AC$501,0))&amp;"","")</f>
        <v/>
      </c>
      <c r="L335" s="21" t="str">
        <f aca="false">IFERROR(INDEX(종합!L$3:L$501,MATCH(ROW()-2,종합!$AC$3:$AC$501,0))&amp;"","")</f>
        <v/>
      </c>
      <c r="M335" s="21" t="str">
        <f aca="false">IFERROR(INDEX(종합!M$3:M$501,MATCH(ROW()-2,종합!$AC$3:$AC$501,0))&amp;"","")</f>
        <v/>
      </c>
      <c r="N335" s="25" t="str">
        <f aca="false">IFERROR(INDEX(종합!N$3:N$501,MATCH(ROW()-2,종합!$AC$3:$AC$501,0))&amp;"","")</f>
        <v/>
      </c>
      <c r="O335" s="21" t="str">
        <f aca="false">IFERROR(INDEX(종합!O$3:O$501,MATCH(ROW()-2,종합!$AC$3:$AC$501,0))&amp;"","")</f>
        <v/>
      </c>
      <c r="P335" s="21" t="str">
        <f aca="false">IFERROR(INDEX(종합!P$3:P$501,MATCH(ROW()-2,종합!$AC$3:$AC$501,0))&amp;"","")</f>
        <v/>
      </c>
      <c r="Q335" s="21" t="str">
        <f aca="false">IFERROR(INDEX(종합!Q$3:Q$501,MATCH(ROW()-2,종합!$AC$3:$AC$501,0))&amp;"","")</f>
        <v/>
      </c>
      <c r="R335" s="21" t="str">
        <f aca="false">IFERROR(INDEX(종합!R$3:R$501,MATCH(ROW()-2,종합!$AC$3:$AC$501,0))&amp;"","")</f>
        <v/>
      </c>
      <c r="S335" s="21" t="str">
        <f aca="false">IFERROR(INDEX(종합!S$3:S$501,MATCH(ROW()-2,종합!$AC$3:$AC$501,0))&amp;"","")</f>
        <v/>
      </c>
      <c r="T335" s="21" t="str">
        <f aca="false">IFERROR(INDEX(종합!T$3:T$501,MATCH(ROW()-2,종합!$AC$3:$AC$501,0))&amp;"","")</f>
        <v/>
      </c>
      <c r="U335" s="21" t="str">
        <f aca="false">IFERROR(INDEX(종합!U$3:U$501,MATCH(ROW()-2,종합!$AC$3:$AC$501,0))&amp;"","")</f>
        <v/>
      </c>
      <c r="V335" s="21" t="str">
        <f aca="false">IFERROR(INDEX(종합!V$3:V$501,MATCH(ROW()-2,종합!$AC$3:$AC$501,0))&amp;"","")</f>
        <v/>
      </c>
      <c r="W335" s="21" t="str">
        <f aca="false">IFERROR(INDEX(종합!W$3:W$501,MATCH(ROW()-2,종합!$AC$3:$AC$501,0))&amp;"","")</f>
        <v/>
      </c>
      <c r="X335" s="21" t="str">
        <f aca="false">IFERROR(INDEX(종합!X$3:X$501,MATCH(ROW()-2,종합!$AC$3:$AC$501,0))&amp;"","")</f>
        <v/>
      </c>
      <c r="Y335" s="21" t="str">
        <f aca="false">IFERROR(INDEX(종합!Y$3:Y$501,MATCH(ROW()-2,종합!$AC$3:$AC$501,0))&amp;"","")</f>
        <v/>
      </c>
      <c r="Z335" s="21" t="str">
        <f aca="false">IFERROR(INDEX(종합!Z$3:Z$501,MATCH(ROW()-2,종합!$AC$3:$AC$501,0))&amp;"","")</f>
        <v/>
      </c>
    </row>
    <row r="336" customFormat="false" ht="16.5" hidden="false" customHeight="true" outlineLevel="0" collapsed="false">
      <c r="A336" s="18" t="str">
        <f aca="false">IF(B336="","",ROW()-2)</f>
        <v/>
      </c>
      <c r="B336" s="18" t="str">
        <f aca="false">IFERROR(INDEX(종합!B$3:B$501,MATCH(ROW()-2,종합!$AC$3:$AC$501,0))&amp;"","")</f>
        <v/>
      </c>
      <c r="C336" s="18" t="str">
        <f aca="false">IFERROR(INDEX(종합!C$3:C$501,MATCH(ROW()-2,종합!$AC$3:$AC$501,0))&amp;"","")</f>
        <v/>
      </c>
      <c r="D336" s="18" t="str">
        <f aca="false">IFERROR(INDEX(종합!D$3:D$501,MATCH(ROW()-2,종합!$AC$3:$AC$501,0))&amp;"","")</f>
        <v/>
      </c>
      <c r="E336" s="18" t="str">
        <f aca="false">IFERROR(INDEX(종합!E$3:E$501,MATCH(ROW()-2,종합!$AC$3:$AC$501,0))&amp;"","")</f>
        <v/>
      </c>
      <c r="F336" s="18" t="str">
        <f aca="false">IFERROR(INDEX(종합!F$3:F$501,MATCH(ROW()-2,종합!$AC$3:$AC$501,0))&amp;"","")</f>
        <v/>
      </c>
      <c r="G336" s="18" t="str">
        <f aca="false">IFERROR(INDEX(종합!G$3:G$501,MATCH(ROW()-2,종합!$AC$3:$AC$501,0))&amp;"","")</f>
        <v/>
      </c>
      <c r="H336" s="21" t="str">
        <f aca="false">IFERROR(INDEX(종합!H$3:H$501,MATCH(ROW()-2,종합!$AC$3:$AC$501,0))&amp;"","")</f>
        <v/>
      </c>
      <c r="I336" s="21" t="str">
        <f aca="false">IFERROR(INDEX(종합!I$3:I$501,MATCH(ROW()-2,종합!$AC$3:$AC$501,0))&amp;"","")</f>
        <v/>
      </c>
      <c r="J336" s="21" t="str">
        <f aca="false">IFERROR(INDEX(종합!J$3:J$501,MATCH(ROW()-2,종합!$AC$3:$AC$501,0))&amp;"","")</f>
        <v/>
      </c>
      <c r="K336" s="21" t="str">
        <f aca="false">IFERROR(INDEX(종합!K$3:K$501,MATCH(ROW()-2,종합!$AC$3:$AC$501,0))&amp;"","")</f>
        <v/>
      </c>
      <c r="L336" s="21" t="str">
        <f aca="false">IFERROR(INDEX(종합!L$3:L$501,MATCH(ROW()-2,종합!$AC$3:$AC$501,0))&amp;"","")</f>
        <v/>
      </c>
      <c r="M336" s="21" t="str">
        <f aca="false">IFERROR(INDEX(종합!M$3:M$501,MATCH(ROW()-2,종합!$AC$3:$AC$501,0))&amp;"","")</f>
        <v/>
      </c>
      <c r="N336" s="25" t="str">
        <f aca="false">IFERROR(INDEX(종합!N$3:N$501,MATCH(ROW()-2,종합!$AC$3:$AC$501,0))&amp;"","")</f>
        <v/>
      </c>
      <c r="O336" s="21" t="str">
        <f aca="false">IFERROR(INDEX(종합!O$3:O$501,MATCH(ROW()-2,종합!$AC$3:$AC$501,0))&amp;"","")</f>
        <v/>
      </c>
      <c r="P336" s="21" t="str">
        <f aca="false">IFERROR(INDEX(종합!P$3:P$501,MATCH(ROW()-2,종합!$AC$3:$AC$501,0))&amp;"","")</f>
        <v/>
      </c>
      <c r="Q336" s="21" t="str">
        <f aca="false">IFERROR(INDEX(종합!Q$3:Q$501,MATCH(ROW()-2,종합!$AC$3:$AC$501,0))&amp;"","")</f>
        <v/>
      </c>
      <c r="R336" s="21" t="str">
        <f aca="false">IFERROR(INDEX(종합!R$3:R$501,MATCH(ROW()-2,종합!$AC$3:$AC$501,0))&amp;"","")</f>
        <v/>
      </c>
      <c r="S336" s="21" t="str">
        <f aca="false">IFERROR(INDEX(종합!S$3:S$501,MATCH(ROW()-2,종합!$AC$3:$AC$501,0))&amp;"","")</f>
        <v/>
      </c>
      <c r="T336" s="21" t="str">
        <f aca="false">IFERROR(INDEX(종합!T$3:T$501,MATCH(ROW()-2,종합!$AC$3:$AC$501,0))&amp;"","")</f>
        <v/>
      </c>
      <c r="U336" s="21" t="str">
        <f aca="false">IFERROR(INDEX(종합!U$3:U$501,MATCH(ROW()-2,종합!$AC$3:$AC$501,0))&amp;"","")</f>
        <v/>
      </c>
      <c r="V336" s="21" t="str">
        <f aca="false">IFERROR(INDEX(종합!V$3:V$501,MATCH(ROW()-2,종합!$AC$3:$AC$501,0))&amp;"","")</f>
        <v/>
      </c>
      <c r="W336" s="21" t="str">
        <f aca="false">IFERROR(INDEX(종합!W$3:W$501,MATCH(ROW()-2,종합!$AC$3:$AC$501,0))&amp;"","")</f>
        <v/>
      </c>
      <c r="X336" s="21" t="str">
        <f aca="false">IFERROR(INDEX(종합!X$3:X$501,MATCH(ROW()-2,종합!$AC$3:$AC$501,0))&amp;"","")</f>
        <v/>
      </c>
      <c r="Y336" s="21" t="str">
        <f aca="false">IFERROR(INDEX(종합!Y$3:Y$501,MATCH(ROW()-2,종합!$AC$3:$AC$501,0))&amp;"","")</f>
        <v/>
      </c>
      <c r="Z336" s="21" t="str">
        <f aca="false">IFERROR(INDEX(종합!Z$3:Z$501,MATCH(ROW()-2,종합!$AC$3:$AC$501,0))&amp;"","")</f>
        <v/>
      </c>
    </row>
    <row r="337" customFormat="false" ht="16.5" hidden="false" customHeight="true" outlineLevel="0" collapsed="false">
      <c r="A337" s="18" t="str">
        <f aca="false">IF(B337="","",ROW()-2)</f>
        <v/>
      </c>
      <c r="B337" s="18" t="str">
        <f aca="false">IFERROR(INDEX(종합!B$3:B$501,MATCH(ROW()-2,종합!$AC$3:$AC$501,0))&amp;"","")</f>
        <v/>
      </c>
      <c r="C337" s="18" t="str">
        <f aca="false">IFERROR(INDEX(종합!C$3:C$501,MATCH(ROW()-2,종합!$AC$3:$AC$501,0))&amp;"","")</f>
        <v/>
      </c>
      <c r="D337" s="18" t="str">
        <f aca="false">IFERROR(INDEX(종합!D$3:D$501,MATCH(ROW()-2,종합!$AC$3:$AC$501,0))&amp;"","")</f>
        <v/>
      </c>
      <c r="E337" s="18" t="str">
        <f aca="false">IFERROR(INDEX(종합!E$3:E$501,MATCH(ROW()-2,종합!$AC$3:$AC$501,0))&amp;"","")</f>
        <v/>
      </c>
      <c r="F337" s="18" t="str">
        <f aca="false">IFERROR(INDEX(종합!F$3:F$501,MATCH(ROW()-2,종합!$AC$3:$AC$501,0))&amp;"","")</f>
        <v/>
      </c>
      <c r="G337" s="18" t="str">
        <f aca="false">IFERROR(INDEX(종합!G$3:G$501,MATCH(ROW()-2,종합!$AC$3:$AC$501,0))&amp;"","")</f>
        <v/>
      </c>
      <c r="H337" s="21" t="str">
        <f aca="false">IFERROR(INDEX(종합!H$3:H$501,MATCH(ROW()-2,종합!$AC$3:$AC$501,0))&amp;"","")</f>
        <v/>
      </c>
      <c r="I337" s="21" t="str">
        <f aca="false">IFERROR(INDEX(종합!I$3:I$501,MATCH(ROW()-2,종합!$AC$3:$AC$501,0))&amp;"","")</f>
        <v/>
      </c>
      <c r="J337" s="21" t="str">
        <f aca="false">IFERROR(INDEX(종합!J$3:J$501,MATCH(ROW()-2,종합!$AC$3:$AC$501,0))&amp;"","")</f>
        <v/>
      </c>
      <c r="K337" s="21" t="str">
        <f aca="false">IFERROR(INDEX(종합!K$3:K$501,MATCH(ROW()-2,종합!$AC$3:$AC$501,0))&amp;"","")</f>
        <v/>
      </c>
      <c r="L337" s="21" t="str">
        <f aca="false">IFERROR(INDEX(종합!L$3:L$501,MATCH(ROW()-2,종합!$AC$3:$AC$501,0))&amp;"","")</f>
        <v/>
      </c>
      <c r="M337" s="21" t="str">
        <f aca="false">IFERROR(INDEX(종합!M$3:M$501,MATCH(ROW()-2,종합!$AC$3:$AC$501,0))&amp;"","")</f>
        <v/>
      </c>
      <c r="N337" s="25" t="str">
        <f aca="false">IFERROR(INDEX(종합!N$3:N$501,MATCH(ROW()-2,종합!$AC$3:$AC$501,0))&amp;"","")</f>
        <v/>
      </c>
      <c r="O337" s="21" t="str">
        <f aca="false">IFERROR(INDEX(종합!O$3:O$501,MATCH(ROW()-2,종합!$AC$3:$AC$501,0))&amp;"","")</f>
        <v/>
      </c>
      <c r="P337" s="21" t="str">
        <f aca="false">IFERROR(INDEX(종합!P$3:P$501,MATCH(ROW()-2,종합!$AC$3:$AC$501,0))&amp;"","")</f>
        <v/>
      </c>
      <c r="Q337" s="21" t="str">
        <f aca="false">IFERROR(INDEX(종합!Q$3:Q$501,MATCH(ROW()-2,종합!$AC$3:$AC$501,0))&amp;"","")</f>
        <v/>
      </c>
      <c r="R337" s="21" t="str">
        <f aca="false">IFERROR(INDEX(종합!R$3:R$501,MATCH(ROW()-2,종합!$AC$3:$AC$501,0))&amp;"","")</f>
        <v/>
      </c>
      <c r="S337" s="21" t="str">
        <f aca="false">IFERROR(INDEX(종합!S$3:S$501,MATCH(ROW()-2,종합!$AC$3:$AC$501,0))&amp;"","")</f>
        <v/>
      </c>
      <c r="T337" s="21" t="str">
        <f aca="false">IFERROR(INDEX(종합!T$3:T$501,MATCH(ROW()-2,종합!$AC$3:$AC$501,0))&amp;"","")</f>
        <v/>
      </c>
      <c r="U337" s="21" t="str">
        <f aca="false">IFERROR(INDEX(종합!U$3:U$501,MATCH(ROW()-2,종합!$AC$3:$AC$501,0))&amp;"","")</f>
        <v/>
      </c>
      <c r="V337" s="21" t="str">
        <f aca="false">IFERROR(INDEX(종합!V$3:V$501,MATCH(ROW()-2,종합!$AC$3:$AC$501,0))&amp;"","")</f>
        <v/>
      </c>
      <c r="W337" s="21" t="str">
        <f aca="false">IFERROR(INDEX(종합!W$3:W$501,MATCH(ROW()-2,종합!$AC$3:$AC$501,0))&amp;"","")</f>
        <v/>
      </c>
      <c r="X337" s="21" t="str">
        <f aca="false">IFERROR(INDEX(종합!X$3:X$501,MATCH(ROW()-2,종합!$AC$3:$AC$501,0))&amp;"","")</f>
        <v/>
      </c>
      <c r="Y337" s="21" t="str">
        <f aca="false">IFERROR(INDEX(종합!Y$3:Y$501,MATCH(ROW()-2,종합!$AC$3:$AC$501,0))&amp;"","")</f>
        <v/>
      </c>
      <c r="Z337" s="21" t="str">
        <f aca="false">IFERROR(INDEX(종합!Z$3:Z$501,MATCH(ROW()-2,종합!$AC$3:$AC$501,0))&amp;"","")</f>
        <v/>
      </c>
    </row>
    <row r="338" customFormat="false" ht="16.5" hidden="false" customHeight="true" outlineLevel="0" collapsed="false">
      <c r="A338" s="18" t="str">
        <f aca="false">IF(B338="","",ROW()-2)</f>
        <v/>
      </c>
      <c r="B338" s="18" t="str">
        <f aca="false">IFERROR(INDEX(종합!B$3:B$501,MATCH(ROW()-2,종합!$AC$3:$AC$501,0))&amp;"","")</f>
        <v/>
      </c>
      <c r="C338" s="18" t="str">
        <f aca="false">IFERROR(INDEX(종합!C$3:C$501,MATCH(ROW()-2,종합!$AC$3:$AC$501,0))&amp;"","")</f>
        <v/>
      </c>
      <c r="D338" s="18" t="str">
        <f aca="false">IFERROR(INDEX(종합!D$3:D$501,MATCH(ROW()-2,종합!$AC$3:$AC$501,0))&amp;"","")</f>
        <v/>
      </c>
      <c r="E338" s="18" t="str">
        <f aca="false">IFERROR(INDEX(종합!E$3:E$501,MATCH(ROW()-2,종합!$AC$3:$AC$501,0))&amp;"","")</f>
        <v/>
      </c>
      <c r="F338" s="18" t="str">
        <f aca="false">IFERROR(INDEX(종합!F$3:F$501,MATCH(ROW()-2,종합!$AC$3:$AC$501,0))&amp;"","")</f>
        <v/>
      </c>
      <c r="G338" s="18" t="str">
        <f aca="false">IFERROR(INDEX(종합!G$3:G$501,MATCH(ROW()-2,종합!$AC$3:$AC$501,0))&amp;"","")</f>
        <v/>
      </c>
      <c r="H338" s="21" t="str">
        <f aca="false">IFERROR(INDEX(종합!H$3:H$501,MATCH(ROW()-2,종합!$AC$3:$AC$501,0))&amp;"","")</f>
        <v/>
      </c>
      <c r="I338" s="21" t="str">
        <f aca="false">IFERROR(INDEX(종합!I$3:I$501,MATCH(ROW()-2,종합!$AC$3:$AC$501,0))&amp;"","")</f>
        <v/>
      </c>
      <c r="J338" s="21" t="str">
        <f aca="false">IFERROR(INDEX(종합!J$3:J$501,MATCH(ROW()-2,종합!$AC$3:$AC$501,0))&amp;"","")</f>
        <v/>
      </c>
      <c r="K338" s="21" t="str">
        <f aca="false">IFERROR(INDEX(종합!K$3:K$501,MATCH(ROW()-2,종합!$AC$3:$AC$501,0))&amp;"","")</f>
        <v/>
      </c>
      <c r="L338" s="21" t="str">
        <f aca="false">IFERROR(INDEX(종합!L$3:L$501,MATCH(ROW()-2,종합!$AC$3:$AC$501,0))&amp;"","")</f>
        <v/>
      </c>
      <c r="M338" s="21" t="str">
        <f aca="false">IFERROR(INDEX(종합!M$3:M$501,MATCH(ROW()-2,종합!$AC$3:$AC$501,0))&amp;"","")</f>
        <v/>
      </c>
      <c r="N338" s="25" t="str">
        <f aca="false">IFERROR(INDEX(종합!N$3:N$501,MATCH(ROW()-2,종합!$AC$3:$AC$501,0))&amp;"","")</f>
        <v/>
      </c>
      <c r="O338" s="21" t="str">
        <f aca="false">IFERROR(INDEX(종합!O$3:O$501,MATCH(ROW()-2,종합!$AC$3:$AC$501,0))&amp;"","")</f>
        <v/>
      </c>
      <c r="P338" s="21" t="str">
        <f aca="false">IFERROR(INDEX(종합!P$3:P$501,MATCH(ROW()-2,종합!$AC$3:$AC$501,0))&amp;"","")</f>
        <v/>
      </c>
      <c r="Q338" s="21" t="str">
        <f aca="false">IFERROR(INDEX(종합!Q$3:Q$501,MATCH(ROW()-2,종합!$AC$3:$AC$501,0))&amp;"","")</f>
        <v/>
      </c>
      <c r="R338" s="21" t="str">
        <f aca="false">IFERROR(INDEX(종합!R$3:R$501,MATCH(ROW()-2,종합!$AC$3:$AC$501,0))&amp;"","")</f>
        <v/>
      </c>
      <c r="S338" s="21" t="str">
        <f aca="false">IFERROR(INDEX(종합!S$3:S$501,MATCH(ROW()-2,종합!$AC$3:$AC$501,0))&amp;"","")</f>
        <v/>
      </c>
      <c r="T338" s="21" t="str">
        <f aca="false">IFERROR(INDEX(종합!T$3:T$501,MATCH(ROW()-2,종합!$AC$3:$AC$501,0))&amp;"","")</f>
        <v/>
      </c>
      <c r="U338" s="21" t="str">
        <f aca="false">IFERROR(INDEX(종합!U$3:U$501,MATCH(ROW()-2,종합!$AC$3:$AC$501,0))&amp;"","")</f>
        <v/>
      </c>
      <c r="V338" s="21" t="str">
        <f aca="false">IFERROR(INDEX(종합!V$3:V$501,MATCH(ROW()-2,종합!$AC$3:$AC$501,0))&amp;"","")</f>
        <v/>
      </c>
      <c r="W338" s="21" t="str">
        <f aca="false">IFERROR(INDEX(종합!W$3:W$501,MATCH(ROW()-2,종합!$AC$3:$AC$501,0))&amp;"","")</f>
        <v/>
      </c>
      <c r="X338" s="21" t="str">
        <f aca="false">IFERROR(INDEX(종합!X$3:X$501,MATCH(ROW()-2,종합!$AC$3:$AC$501,0))&amp;"","")</f>
        <v/>
      </c>
      <c r="Y338" s="21" t="str">
        <f aca="false">IFERROR(INDEX(종합!Y$3:Y$501,MATCH(ROW()-2,종합!$AC$3:$AC$501,0))&amp;"","")</f>
        <v/>
      </c>
      <c r="Z338" s="21" t="str">
        <f aca="false">IFERROR(INDEX(종합!Z$3:Z$501,MATCH(ROW()-2,종합!$AC$3:$AC$501,0))&amp;"","")</f>
        <v/>
      </c>
    </row>
    <row r="339" customFormat="false" ht="16.5" hidden="false" customHeight="true" outlineLevel="0" collapsed="false">
      <c r="A339" s="18" t="str">
        <f aca="false">IF(B339="","",ROW()-2)</f>
        <v/>
      </c>
      <c r="B339" s="18" t="str">
        <f aca="false">IFERROR(INDEX(종합!B$3:B$501,MATCH(ROW()-2,종합!$AC$3:$AC$501,0))&amp;"","")</f>
        <v/>
      </c>
      <c r="C339" s="18" t="str">
        <f aca="false">IFERROR(INDEX(종합!C$3:C$501,MATCH(ROW()-2,종합!$AC$3:$AC$501,0))&amp;"","")</f>
        <v/>
      </c>
      <c r="D339" s="18" t="str">
        <f aca="false">IFERROR(INDEX(종합!D$3:D$501,MATCH(ROW()-2,종합!$AC$3:$AC$501,0))&amp;"","")</f>
        <v/>
      </c>
      <c r="E339" s="18" t="str">
        <f aca="false">IFERROR(INDEX(종합!E$3:E$501,MATCH(ROW()-2,종합!$AC$3:$AC$501,0))&amp;"","")</f>
        <v/>
      </c>
      <c r="F339" s="18" t="str">
        <f aca="false">IFERROR(INDEX(종합!F$3:F$501,MATCH(ROW()-2,종합!$AC$3:$AC$501,0))&amp;"","")</f>
        <v/>
      </c>
      <c r="G339" s="18" t="str">
        <f aca="false">IFERROR(INDEX(종합!G$3:G$501,MATCH(ROW()-2,종합!$AC$3:$AC$501,0))&amp;"","")</f>
        <v/>
      </c>
      <c r="H339" s="21" t="str">
        <f aca="false">IFERROR(INDEX(종합!H$3:H$501,MATCH(ROW()-2,종합!$AC$3:$AC$501,0))&amp;"","")</f>
        <v/>
      </c>
      <c r="I339" s="21" t="str">
        <f aca="false">IFERROR(INDEX(종합!I$3:I$501,MATCH(ROW()-2,종합!$AC$3:$AC$501,0))&amp;"","")</f>
        <v/>
      </c>
      <c r="J339" s="21" t="str">
        <f aca="false">IFERROR(INDEX(종합!J$3:J$501,MATCH(ROW()-2,종합!$AC$3:$AC$501,0))&amp;"","")</f>
        <v/>
      </c>
      <c r="K339" s="21" t="str">
        <f aca="false">IFERROR(INDEX(종합!K$3:K$501,MATCH(ROW()-2,종합!$AC$3:$AC$501,0))&amp;"","")</f>
        <v/>
      </c>
      <c r="L339" s="21" t="str">
        <f aca="false">IFERROR(INDEX(종합!L$3:L$501,MATCH(ROW()-2,종합!$AC$3:$AC$501,0))&amp;"","")</f>
        <v/>
      </c>
      <c r="M339" s="21" t="str">
        <f aca="false">IFERROR(INDEX(종합!M$3:M$501,MATCH(ROW()-2,종합!$AC$3:$AC$501,0))&amp;"","")</f>
        <v/>
      </c>
      <c r="N339" s="25" t="str">
        <f aca="false">IFERROR(INDEX(종합!N$3:N$501,MATCH(ROW()-2,종합!$AC$3:$AC$501,0))&amp;"","")</f>
        <v/>
      </c>
      <c r="O339" s="21" t="str">
        <f aca="false">IFERROR(INDEX(종합!O$3:O$501,MATCH(ROW()-2,종합!$AC$3:$AC$501,0))&amp;"","")</f>
        <v/>
      </c>
      <c r="P339" s="21" t="str">
        <f aca="false">IFERROR(INDEX(종합!P$3:P$501,MATCH(ROW()-2,종합!$AC$3:$AC$501,0))&amp;"","")</f>
        <v/>
      </c>
      <c r="Q339" s="21" t="str">
        <f aca="false">IFERROR(INDEX(종합!Q$3:Q$501,MATCH(ROW()-2,종합!$AC$3:$AC$501,0))&amp;"","")</f>
        <v/>
      </c>
      <c r="R339" s="21" t="str">
        <f aca="false">IFERROR(INDEX(종합!R$3:R$501,MATCH(ROW()-2,종합!$AC$3:$AC$501,0))&amp;"","")</f>
        <v/>
      </c>
      <c r="S339" s="21" t="str">
        <f aca="false">IFERROR(INDEX(종합!S$3:S$501,MATCH(ROW()-2,종합!$AC$3:$AC$501,0))&amp;"","")</f>
        <v/>
      </c>
      <c r="T339" s="21" t="str">
        <f aca="false">IFERROR(INDEX(종합!T$3:T$501,MATCH(ROW()-2,종합!$AC$3:$AC$501,0))&amp;"","")</f>
        <v/>
      </c>
      <c r="U339" s="21" t="str">
        <f aca="false">IFERROR(INDEX(종합!U$3:U$501,MATCH(ROW()-2,종합!$AC$3:$AC$501,0))&amp;"","")</f>
        <v/>
      </c>
      <c r="V339" s="21" t="str">
        <f aca="false">IFERROR(INDEX(종합!V$3:V$501,MATCH(ROW()-2,종합!$AC$3:$AC$501,0))&amp;"","")</f>
        <v/>
      </c>
      <c r="W339" s="21" t="str">
        <f aca="false">IFERROR(INDEX(종합!W$3:W$501,MATCH(ROW()-2,종합!$AC$3:$AC$501,0))&amp;"","")</f>
        <v/>
      </c>
      <c r="X339" s="21" t="str">
        <f aca="false">IFERROR(INDEX(종합!X$3:X$501,MATCH(ROW()-2,종합!$AC$3:$AC$501,0))&amp;"","")</f>
        <v/>
      </c>
      <c r="Y339" s="21" t="str">
        <f aca="false">IFERROR(INDEX(종합!Y$3:Y$501,MATCH(ROW()-2,종합!$AC$3:$AC$501,0))&amp;"","")</f>
        <v/>
      </c>
      <c r="Z339" s="21" t="str">
        <f aca="false">IFERROR(INDEX(종합!Z$3:Z$501,MATCH(ROW()-2,종합!$AC$3:$AC$501,0))&amp;"","")</f>
        <v/>
      </c>
    </row>
    <row r="340" customFormat="false" ht="16.5" hidden="false" customHeight="true" outlineLevel="0" collapsed="false">
      <c r="A340" s="18" t="str">
        <f aca="false">IF(B340="","",ROW()-2)</f>
        <v/>
      </c>
      <c r="B340" s="18" t="str">
        <f aca="false">IFERROR(INDEX(종합!B$3:B$501,MATCH(ROW()-2,종합!$AC$3:$AC$501,0))&amp;"","")</f>
        <v/>
      </c>
      <c r="C340" s="18" t="str">
        <f aca="false">IFERROR(INDEX(종합!C$3:C$501,MATCH(ROW()-2,종합!$AC$3:$AC$501,0))&amp;"","")</f>
        <v/>
      </c>
      <c r="D340" s="18" t="str">
        <f aca="false">IFERROR(INDEX(종합!D$3:D$501,MATCH(ROW()-2,종합!$AC$3:$AC$501,0))&amp;"","")</f>
        <v/>
      </c>
      <c r="E340" s="18" t="str">
        <f aca="false">IFERROR(INDEX(종합!E$3:E$501,MATCH(ROW()-2,종합!$AC$3:$AC$501,0))&amp;"","")</f>
        <v/>
      </c>
      <c r="F340" s="18" t="str">
        <f aca="false">IFERROR(INDEX(종합!F$3:F$501,MATCH(ROW()-2,종합!$AC$3:$AC$501,0))&amp;"","")</f>
        <v/>
      </c>
      <c r="G340" s="18" t="str">
        <f aca="false">IFERROR(INDEX(종합!G$3:G$501,MATCH(ROW()-2,종합!$AC$3:$AC$501,0))&amp;"","")</f>
        <v/>
      </c>
      <c r="H340" s="21" t="str">
        <f aca="false">IFERROR(INDEX(종합!H$3:H$501,MATCH(ROW()-2,종합!$AC$3:$AC$501,0))&amp;"","")</f>
        <v/>
      </c>
      <c r="I340" s="21" t="str">
        <f aca="false">IFERROR(INDEX(종합!I$3:I$501,MATCH(ROW()-2,종합!$AC$3:$AC$501,0))&amp;"","")</f>
        <v/>
      </c>
      <c r="J340" s="21" t="str">
        <f aca="false">IFERROR(INDEX(종합!J$3:J$501,MATCH(ROW()-2,종합!$AC$3:$AC$501,0))&amp;"","")</f>
        <v/>
      </c>
      <c r="K340" s="21" t="str">
        <f aca="false">IFERROR(INDEX(종합!K$3:K$501,MATCH(ROW()-2,종합!$AC$3:$AC$501,0))&amp;"","")</f>
        <v/>
      </c>
      <c r="L340" s="21" t="str">
        <f aca="false">IFERROR(INDEX(종합!L$3:L$501,MATCH(ROW()-2,종합!$AC$3:$AC$501,0))&amp;"","")</f>
        <v/>
      </c>
      <c r="M340" s="21" t="str">
        <f aca="false">IFERROR(INDEX(종합!M$3:M$501,MATCH(ROW()-2,종합!$AC$3:$AC$501,0))&amp;"","")</f>
        <v/>
      </c>
      <c r="N340" s="25" t="str">
        <f aca="false">IFERROR(INDEX(종합!N$3:N$501,MATCH(ROW()-2,종합!$AC$3:$AC$501,0))&amp;"","")</f>
        <v/>
      </c>
      <c r="O340" s="21" t="str">
        <f aca="false">IFERROR(INDEX(종합!O$3:O$501,MATCH(ROW()-2,종합!$AC$3:$AC$501,0))&amp;"","")</f>
        <v/>
      </c>
      <c r="P340" s="21" t="str">
        <f aca="false">IFERROR(INDEX(종합!P$3:P$501,MATCH(ROW()-2,종합!$AC$3:$AC$501,0))&amp;"","")</f>
        <v/>
      </c>
      <c r="Q340" s="21" t="str">
        <f aca="false">IFERROR(INDEX(종합!Q$3:Q$501,MATCH(ROW()-2,종합!$AC$3:$AC$501,0))&amp;"","")</f>
        <v/>
      </c>
      <c r="R340" s="21" t="str">
        <f aca="false">IFERROR(INDEX(종합!R$3:R$501,MATCH(ROW()-2,종합!$AC$3:$AC$501,0))&amp;"","")</f>
        <v/>
      </c>
      <c r="S340" s="21" t="str">
        <f aca="false">IFERROR(INDEX(종합!S$3:S$501,MATCH(ROW()-2,종합!$AC$3:$AC$501,0))&amp;"","")</f>
        <v/>
      </c>
      <c r="T340" s="21" t="str">
        <f aca="false">IFERROR(INDEX(종합!T$3:T$501,MATCH(ROW()-2,종합!$AC$3:$AC$501,0))&amp;"","")</f>
        <v/>
      </c>
      <c r="U340" s="21" t="str">
        <f aca="false">IFERROR(INDEX(종합!U$3:U$501,MATCH(ROW()-2,종합!$AC$3:$AC$501,0))&amp;"","")</f>
        <v/>
      </c>
      <c r="V340" s="21" t="str">
        <f aca="false">IFERROR(INDEX(종합!V$3:V$501,MATCH(ROW()-2,종합!$AC$3:$AC$501,0))&amp;"","")</f>
        <v/>
      </c>
      <c r="W340" s="21" t="str">
        <f aca="false">IFERROR(INDEX(종합!W$3:W$501,MATCH(ROW()-2,종합!$AC$3:$AC$501,0))&amp;"","")</f>
        <v/>
      </c>
      <c r="X340" s="21" t="str">
        <f aca="false">IFERROR(INDEX(종합!X$3:X$501,MATCH(ROW()-2,종합!$AC$3:$AC$501,0))&amp;"","")</f>
        <v/>
      </c>
      <c r="Y340" s="21" t="str">
        <f aca="false">IFERROR(INDEX(종합!Y$3:Y$501,MATCH(ROW()-2,종합!$AC$3:$AC$501,0))&amp;"","")</f>
        <v/>
      </c>
      <c r="Z340" s="21" t="str">
        <f aca="false">IFERROR(INDEX(종합!Z$3:Z$501,MATCH(ROW()-2,종합!$AC$3:$AC$501,0))&amp;"","")</f>
        <v/>
      </c>
    </row>
    <row r="341" customFormat="false" ht="16.5" hidden="false" customHeight="true" outlineLevel="0" collapsed="false">
      <c r="A341" s="18" t="str">
        <f aca="false">IF(B341="","",ROW()-2)</f>
        <v/>
      </c>
      <c r="B341" s="18" t="str">
        <f aca="false">IFERROR(INDEX(종합!B$3:B$501,MATCH(ROW()-2,종합!$AC$3:$AC$501,0))&amp;"","")</f>
        <v/>
      </c>
      <c r="C341" s="18" t="str">
        <f aca="false">IFERROR(INDEX(종합!C$3:C$501,MATCH(ROW()-2,종합!$AC$3:$AC$501,0))&amp;"","")</f>
        <v/>
      </c>
      <c r="D341" s="18" t="str">
        <f aca="false">IFERROR(INDEX(종합!D$3:D$501,MATCH(ROW()-2,종합!$AC$3:$AC$501,0))&amp;"","")</f>
        <v/>
      </c>
      <c r="E341" s="18" t="str">
        <f aca="false">IFERROR(INDEX(종합!E$3:E$501,MATCH(ROW()-2,종합!$AC$3:$AC$501,0))&amp;"","")</f>
        <v/>
      </c>
      <c r="F341" s="18" t="str">
        <f aca="false">IFERROR(INDEX(종합!F$3:F$501,MATCH(ROW()-2,종합!$AC$3:$AC$501,0))&amp;"","")</f>
        <v/>
      </c>
      <c r="G341" s="18" t="str">
        <f aca="false">IFERROR(INDEX(종합!G$3:G$501,MATCH(ROW()-2,종합!$AC$3:$AC$501,0))&amp;"","")</f>
        <v/>
      </c>
      <c r="H341" s="21" t="str">
        <f aca="false">IFERROR(INDEX(종합!H$3:H$501,MATCH(ROW()-2,종합!$AC$3:$AC$501,0))&amp;"","")</f>
        <v/>
      </c>
      <c r="I341" s="21" t="str">
        <f aca="false">IFERROR(INDEX(종합!I$3:I$501,MATCH(ROW()-2,종합!$AC$3:$AC$501,0))&amp;"","")</f>
        <v/>
      </c>
      <c r="J341" s="21" t="str">
        <f aca="false">IFERROR(INDEX(종합!J$3:J$501,MATCH(ROW()-2,종합!$AC$3:$AC$501,0))&amp;"","")</f>
        <v/>
      </c>
      <c r="K341" s="21" t="str">
        <f aca="false">IFERROR(INDEX(종합!K$3:K$501,MATCH(ROW()-2,종합!$AC$3:$AC$501,0))&amp;"","")</f>
        <v/>
      </c>
      <c r="L341" s="21" t="str">
        <f aca="false">IFERROR(INDEX(종합!L$3:L$501,MATCH(ROW()-2,종합!$AC$3:$AC$501,0))&amp;"","")</f>
        <v/>
      </c>
      <c r="M341" s="21" t="str">
        <f aca="false">IFERROR(INDEX(종합!M$3:M$501,MATCH(ROW()-2,종합!$AC$3:$AC$501,0))&amp;"","")</f>
        <v/>
      </c>
      <c r="N341" s="25" t="str">
        <f aca="false">IFERROR(INDEX(종합!N$3:N$501,MATCH(ROW()-2,종합!$AC$3:$AC$501,0))&amp;"","")</f>
        <v/>
      </c>
      <c r="O341" s="21" t="str">
        <f aca="false">IFERROR(INDEX(종합!O$3:O$501,MATCH(ROW()-2,종합!$AC$3:$AC$501,0))&amp;"","")</f>
        <v/>
      </c>
      <c r="P341" s="21" t="str">
        <f aca="false">IFERROR(INDEX(종합!P$3:P$501,MATCH(ROW()-2,종합!$AC$3:$AC$501,0))&amp;"","")</f>
        <v/>
      </c>
      <c r="Q341" s="21" t="str">
        <f aca="false">IFERROR(INDEX(종합!Q$3:Q$501,MATCH(ROW()-2,종합!$AC$3:$AC$501,0))&amp;"","")</f>
        <v/>
      </c>
      <c r="R341" s="21" t="str">
        <f aca="false">IFERROR(INDEX(종합!R$3:R$501,MATCH(ROW()-2,종합!$AC$3:$AC$501,0))&amp;"","")</f>
        <v/>
      </c>
      <c r="S341" s="21" t="str">
        <f aca="false">IFERROR(INDEX(종합!S$3:S$501,MATCH(ROW()-2,종합!$AC$3:$AC$501,0))&amp;"","")</f>
        <v/>
      </c>
      <c r="T341" s="21" t="str">
        <f aca="false">IFERROR(INDEX(종합!T$3:T$501,MATCH(ROW()-2,종합!$AC$3:$AC$501,0))&amp;"","")</f>
        <v/>
      </c>
      <c r="U341" s="21" t="str">
        <f aca="false">IFERROR(INDEX(종합!U$3:U$501,MATCH(ROW()-2,종합!$AC$3:$AC$501,0))&amp;"","")</f>
        <v/>
      </c>
      <c r="V341" s="21" t="str">
        <f aca="false">IFERROR(INDEX(종합!V$3:V$501,MATCH(ROW()-2,종합!$AC$3:$AC$501,0))&amp;"","")</f>
        <v/>
      </c>
      <c r="W341" s="21" t="str">
        <f aca="false">IFERROR(INDEX(종합!W$3:W$501,MATCH(ROW()-2,종합!$AC$3:$AC$501,0))&amp;"","")</f>
        <v/>
      </c>
      <c r="X341" s="21" t="str">
        <f aca="false">IFERROR(INDEX(종합!X$3:X$501,MATCH(ROW()-2,종합!$AC$3:$AC$501,0))&amp;"","")</f>
        <v/>
      </c>
      <c r="Y341" s="21" t="str">
        <f aca="false">IFERROR(INDEX(종합!Y$3:Y$501,MATCH(ROW()-2,종합!$AC$3:$AC$501,0))&amp;"","")</f>
        <v/>
      </c>
      <c r="Z341" s="21" t="str">
        <f aca="false">IFERROR(INDEX(종합!Z$3:Z$501,MATCH(ROW()-2,종합!$AC$3:$AC$501,0))&amp;"","")</f>
        <v/>
      </c>
    </row>
    <row r="342" customFormat="false" ht="16.5" hidden="false" customHeight="true" outlineLevel="0" collapsed="false">
      <c r="A342" s="18" t="str">
        <f aca="false">IF(B342="","",ROW()-2)</f>
        <v/>
      </c>
      <c r="B342" s="18" t="str">
        <f aca="false">IFERROR(INDEX(종합!B$3:B$501,MATCH(ROW()-2,종합!$AC$3:$AC$501,0))&amp;"","")</f>
        <v/>
      </c>
      <c r="C342" s="18" t="str">
        <f aca="false">IFERROR(INDEX(종합!C$3:C$501,MATCH(ROW()-2,종합!$AC$3:$AC$501,0))&amp;"","")</f>
        <v/>
      </c>
      <c r="D342" s="18" t="str">
        <f aca="false">IFERROR(INDEX(종합!D$3:D$501,MATCH(ROW()-2,종합!$AC$3:$AC$501,0))&amp;"","")</f>
        <v/>
      </c>
      <c r="E342" s="18" t="str">
        <f aca="false">IFERROR(INDEX(종합!E$3:E$501,MATCH(ROW()-2,종합!$AC$3:$AC$501,0))&amp;"","")</f>
        <v/>
      </c>
      <c r="F342" s="18" t="str">
        <f aca="false">IFERROR(INDEX(종합!F$3:F$501,MATCH(ROW()-2,종합!$AC$3:$AC$501,0))&amp;"","")</f>
        <v/>
      </c>
      <c r="G342" s="18" t="str">
        <f aca="false">IFERROR(INDEX(종합!G$3:G$501,MATCH(ROW()-2,종합!$AC$3:$AC$501,0))&amp;"","")</f>
        <v/>
      </c>
      <c r="H342" s="21" t="str">
        <f aca="false">IFERROR(INDEX(종합!H$3:H$501,MATCH(ROW()-2,종합!$AC$3:$AC$501,0))&amp;"","")</f>
        <v/>
      </c>
      <c r="I342" s="21" t="str">
        <f aca="false">IFERROR(INDEX(종합!I$3:I$501,MATCH(ROW()-2,종합!$AC$3:$AC$501,0))&amp;"","")</f>
        <v/>
      </c>
      <c r="J342" s="21" t="str">
        <f aca="false">IFERROR(INDEX(종합!J$3:J$501,MATCH(ROW()-2,종합!$AC$3:$AC$501,0))&amp;"","")</f>
        <v/>
      </c>
      <c r="K342" s="21" t="str">
        <f aca="false">IFERROR(INDEX(종합!K$3:K$501,MATCH(ROW()-2,종합!$AC$3:$AC$501,0))&amp;"","")</f>
        <v/>
      </c>
      <c r="L342" s="21" t="str">
        <f aca="false">IFERROR(INDEX(종합!L$3:L$501,MATCH(ROW()-2,종합!$AC$3:$AC$501,0))&amp;"","")</f>
        <v/>
      </c>
      <c r="M342" s="21" t="str">
        <f aca="false">IFERROR(INDEX(종합!M$3:M$501,MATCH(ROW()-2,종합!$AC$3:$AC$501,0))&amp;"","")</f>
        <v/>
      </c>
      <c r="N342" s="25" t="str">
        <f aca="false">IFERROR(INDEX(종합!N$3:N$501,MATCH(ROW()-2,종합!$AC$3:$AC$501,0))&amp;"","")</f>
        <v/>
      </c>
      <c r="O342" s="21" t="str">
        <f aca="false">IFERROR(INDEX(종합!O$3:O$501,MATCH(ROW()-2,종합!$AC$3:$AC$501,0))&amp;"","")</f>
        <v/>
      </c>
      <c r="P342" s="21" t="str">
        <f aca="false">IFERROR(INDEX(종합!P$3:P$501,MATCH(ROW()-2,종합!$AC$3:$AC$501,0))&amp;"","")</f>
        <v/>
      </c>
      <c r="Q342" s="21" t="str">
        <f aca="false">IFERROR(INDEX(종합!Q$3:Q$501,MATCH(ROW()-2,종합!$AC$3:$AC$501,0))&amp;"","")</f>
        <v/>
      </c>
      <c r="R342" s="21" t="str">
        <f aca="false">IFERROR(INDEX(종합!R$3:R$501,MATCH(ROW()-2,종합!$AC$3:$AC$501,0))&amp;"","")</f>
        <v/>
      </c>
      <c r="S342" s="21" t="str">
        <f aca="false">IFERROR(INDEX(종합!S$3:S$501,MATCH(ROW()-2,종합!$AC$3:$AC$501,0))&amp;"","")</f>
        <v/>
      </c>
      <c r="T342" s="21" t="str">
        <f aca="false">IFERROR(INDEX(종합!T$3:T$501,MATCH(ROW()-2,종합!$AC$3:$AC$501,0))&amp;"","")</f>
        <v/>
      </c>
      <c r="U342" s="21" t="str">
        <f aca="false">IFERROR(INDEX(종합!U$3:U$501,MATCH(ROW()-2,종합!$AC$3:$AC$501,0))&amp;"","")</f>
        <v/>
      </c>
      <c r="V342" s="21" t="str">
        <f aca="false">IFERROR(INDEX(종합!V$3:V$501,MATCH(ROW()-2,종합!$AC$3:$AC$501,0))&amp;"","")</f>
        <v/>
      </c>
      <c r="W342" s="21" t="str">
        <f aca="false">IFERROR(INDEX(종합!W$3:W$501,MATCH(ROW()-2,종합!$AC$3:$AC$501,0))&amp;"","")</f>
        <v/>
      </c>
      <c r="X342" s="21" t="str">
        <f aca="false">IFERROR(INDEX(종합!X$3:X$501,MATCH(ROW()-2,종합!$AC$3:$AC$501,0))&amp;"","")</f>
        <v/>
      </c>
      <c r="Y342" s="21" t="str">
        <f aca="false">IFERROR(INDEX(종합!Y$3:Y$501,MATCH(ROW()-2,종합!$AC$3:$AC$501,0))&amp;"","")</f>
        <v/>
      </c>
      <c r="Z342" s="21" t="str">
        <f aca="false">IFERROR(INDEX(종합!Z$3:Z$501,MATCH(ROW()-2,종합!$AC$3:$AC$501,0))&amp;"","")</f>
        <v/>
      </c>
    </row>
    <row r="343" customFormat="false" ht="16.5" hidden="false" customHeight="true" outlineLevel="0" collapsed="false">
      <c r="A343" s="18" t="str">
        <f aca="false">IF(B343="","",ROW()-2)</f>
        <v/>
      </c>
      <c r="B343" s="18" t="str">
        <f aca="false">IFERROR(INDEX(종합!B$3:B$501,MATCH(ROW()-2,종합!$AC$3:$AC$501,0))&amp;"","")</f>
        <v/>
      </c>
      <c r="C343" s="18" t="str">
        <f aca="false">IFERROR(INDEX(종합!C$3:C$501,MATCH(ROW()-2,종합!$AC$3:$AC$501,0))&amp;"","")</f>
        <v/>
      </c>
      <c r="D343" s="18" t="str">
        <f aca="false">IFERROR(INDEX(종합!D$3:D$501,MATCH(ROW()-2,종합!$AC$3:$AC$501,0))&amp;"","")</f>
        <v/>
      </c>
      <c r="E343" s="18" t="str">
        <f aca="false">IFERROR(INDEX(종합!E$3:E$501,MATCH(ROW()-2,종합!$AC$3:$AC$501,0))&amp;"","")</f>
        <v/>
      </c>
      <c r="F343" s="18" t="str">
        <f aca="false">IFERROR(INDEX(종합!F$3:F$501,MATCH(ROW()-2,종합!$AC$3:$AC$501,0))&amp;"","")</f>
        <v/>
      </c>
      <c r="G343" s="18" t="str">
        <f aca="false">IFERROR(INDEX(종합!G$3:G$501,MATCH(ROW()-2,종합!$AC$3:$AC$501,0))&amp;"","")</f>
        <v/>
      </c>
      <c r="H343" s="21" t="str">
        <f aca="false">IFERROR(INDEX(종합!H$3:H$501,MATCH(ROW()-2,종합!$AC$3:$AC$501,0))&amp;"","")</f>
        <v/>
      </c>
      <c r="I343" s="21" t="str">
        <f aca="false">IFERROR(INDEX(종합!I$3:I$501,MATCH(ROW()-2,종합!$AC$3:$AC$501,0))&amp;"","")</f>
        <v/>
      </c>
      <c r="J343" s="21" t="str">
        <f aca="false">IFERROR(INDEX(종합!J$3:J$501,MATCH(ROW()-2,종합!$AC$3:$AC$501,0))&amp;"","")</f>
        <v/>
      </c>
      <c r="K343" s="21" t="str">
        <f aca="false">IFERROR(INDEX(종합!K$3:K$501,MATCH(ROW()-2,종합!$AC$3:$AC$501,0))&amp;"","")</f>
        <v/>
      </c>
      <c r="L343" s="21" t="str">
        <f aca="false">IFERROR(INDEX(종합!L$3:L$501,MATCH(ROW()-2,종합!$AC$3:$AC$501,0))&amp;"","")</f>
        <v/>
      </c>
      <c r="M343" s="21" t="str">
        <f aca="false">IFERROR(INDEX(종합!M$3:M$501,MATCH(ROW()-2,종합!$AC$3:$AC$501,0))&amp;"","")</f>
        <v/>
      </c>
      <c r="N343" s="25" t="str">
        <f aca="false">IFERROR(INDEX(종합!N$3:N$501,MATCH(ROW()-2,종합!$AC$3:$AC$501,0))&amp;"","")</f>
        <v/>
      </c>
      <c r="O343" s="21" t="str">
        <f aca="false">IFERROR(INDEX(종합!O$3:O$501,MATCH(ROW()-2,종합!$AC$3:$AC$501,0))&amp;"","")</f>
        <v/>
      </c>
      <c r="P343" s="21" t="str">
        <f aca="false">IFERROR(INDEX(종합!P$3:P$501,MATCH(ROW()-2,종합!$AC$3:$AC$501,0))&amp;"","")</f>
        <v/>
      </c>
      <c r="Q343" s="21" t="str">
        <f aca="false">IFERROR(INDEX(종합!Q$3:Q$501,MATCH(ROW()-2,종합!$AC$3:$AC$501,0))&amp;"","")</f>
        <v/>
      </c>
      <c r="R343" s="21" t="str">
        <f aca="false">IFERROR(INDEX(종합!R$3:R$501,MATCH(ROW()-2,종합!$AC$3:$AC$501,0))&amp;"","")</f>
        <v/>
      </c>
      <c r="S343" s="21" t="str">
        <f aca="false">IFERROR(INDEX(종합!S$3:S$501,MATCH(ROW()-2,종합!$AC$3:$AC$501,0))&amp;"","")</f>
        <v/>
      </c>
      <c r="T343" s="21" t="str">
        <f aca="false">IFERROR(INDEX(종합!T$3:T$501,MATCH(ROW()-2,종합!$AC$3:$AC$501,0))&amp;"","")</f>
        <v/>
      </c>
      <c r="U343" s="21" t="str">
        <f aca="false">IFERROR(INDEX(종합!U$3:U$501,MATCH(ROW()-2,종합!$AC$3:$AC$501,0))&amp;"","")</f>
        <v/>
      </c>
      <c r="V343" s="21" t="str">
        <f aca="false">IFERROR(INDEX(종합!V$3:V$501,MATCH(ROW()-2,종합!$AC$3:$AC$501,0))&amp;"","")</f>
        <v/>
      </c>
      <c r="W343" s="21" t="str">
        <f aca="false">IFERROR(INDEX(종합!W$3:W$501,MATCH(ROW()-2,종합!$AC$3:$AC$501,0))&amp;"","")</f>
        <v/>
      </c>
      <c r="X343" s="21" t="str">
        <f aca="false">IFERROR(INDEX(종합!X$3:X$501,MATCH(ROW()-2,종합!$AC$3:$AC$501,0))&amp;"","")</f>
        <v/>
      </c>
      <c r="Y343" s="21" t="str">
        <f aca="false">IFERROR(INDEX(종합!Y$3:Y$501,MATCH(ROW()-2,종합!$AC$3:$AC$501,0))&amp;"","")</f>
        <v/>
      </c>
      <c r="Z343" s="21" t="str">
        <f aca="false">IFERROR(INDEX(종합!Z$3:Z$501,MATCH(ROW()-2,종합!$AC$3:$AC$501,0))&amp;"","")</f>
        <v/>
      </c>
    </row>
    <row r="344" customFormat="false" ht="16.5" hidden="false" customHeight="true" outlineLevel="0" collapsed="false">
      <c r="A344" s="18" t="str">
        <f aca="false">IF(B344="","",ROW()-2)</f>
        <v/>
      </c>
      <c r="B344" s="18" t="str">
        <f aca="false">IFERROR(INDEX(종합!B$3:B$501,MATCH(ROW()-2,종합!$AC$3:$AC$501,0))&amp;"","")</f>
        <v/>
      </c>
      <c r="C344" s="18" t="str">
        <f aca="false">IFERROR(INDEX(종합!C$3:C$501,MATCH(ROW()-2,종합!$AC$3:$AC$501,0))&amp;"","")</f>
        <v/>
      </c>
      <c r="D344" s="18" t="str">
        <f aca="false">IFERROR(INDEX(종합!D$3:D$501,MATCH(ROW()-2,종합!$AC$3:$AC$501,0))&amp;"","")</f>
        <v/>
      </c>
      <c r="E344" s="18" t="str">
        <f aca="false">IFERROR(INDEX(종합!E$3:E$501,MATCH(ROW()-2,종합!$AC$3:$AC$501,0))&amp;"","")</f>
        <v/>
      </c>
      <c r="F344" s="18" t="str">
        <f aca="false">IFERROR(INDEX(종합!F$3:F$501,MATCH(ROW()-2,종합!$AC$3:$AC$501,0))&amp;"","")</f>
        <v/>
      </c>
      <c r="G344" s="18" t="str">
        <f aca="false">IFERROR(INDEX(종합!G$3:G$501,MATCH(ROW()-2,종합!$AC$3:$AC$501,0))&amp;"","")</f>
        <v/>
      </c>
      <c r="H344" s="21" t="str">
        <f aca="false">IFERROR(INDEX(종합!H$3:H$501,MATCH(ROW()-2,종합!$AC$3:$AC$501,0))&amp;"","")</f>
        <v/>
      </c>
      <c r="I344" s="21" t="str">
        <f aca="false">IFERROR(INDEX(종합!I$3:I$501,MATCH(ROW()-2,종합!$AC$3:$AC$501,0))&amp;"","")</f>
        <v/>
      </c>
      <c r="J344" s="21" t="str">
        <f aca="false">IFERROR(INDEX(종합!J$3:J$501,MATCH(ROW()-2,종합!$AC$3:$AC$501,0))&amp;"","")</f>
        <v/>
      </c>
      <c r="K344" s="21" t="str">
        <f aca="false">IFERROR(INDEX(종합!K$3:K$501,MATCH(ROW()-2,종합!$AC$3:$AC$501,0))&amp;"","")</f>
        <v/>
      </c>
      <c r="L344" s="21" t="str">
        <f aca="false">IFERROR(INDEX(종합!L$3:L$501,MATCH(ROW()-2,종합!$AC$3:$AC$501,0))&amp;"","")</f>
        <v/>
      </c>
      <c r="M344" s="21" t="str">
        <f aca="false">IFERROR(INDEX(종합!M$3:M$501,MATCH(ROW()-2,종합!$AC$3:$AC$501,0))&amp;"","")</f>
        <v/>
      </c>
      <c r="N344" s="25" t="str">
        <f aca="false">IFERROR(INDEX(종합!N$3:N$501,MATCH(ROW()-2,종합!$AC$3:$AC$501,0))&amp;"","")</f>
        <v/>
      </c>
      <c r="O344" s="21" t="str">
        <f aca="false">IFERROR(INDEX(종합!O$3:O$501,MATCH(ROW()-2,종합!$AC$3:$AC$501,0))&amp;"","")</f>
        <v/>
      </c>
      <c r="P344" s="21" t="str">
        <f aca="false">IFERROR(INDEX(종합!P$3:P$501,MATCH(ROW()-2,종합!$AC$3:$AC$501,0))&amp;"","")</f>
        <v/>
      </c>
      <c r="Q344" s="21" t="str">
        <f aca="false">IFERROR(INDEX(종합!Q$3:Q$501,MATCH(ROW()-2,종합!$AC$3:$AC$501,0))&amp;"","")</f>
        <v/>
      </c>
      <c r="R344" s="21" t="str">
        <f aca="false">IFERROR(INDEX(종합!R$3:R$501,MATCH(ROW()-2,종합!$AC$3:$AC$501,0))&amp;"","")</f>
        <v/>
      </c>
      <c r="S344" s="21" t="str">
        <f aca="false">IFERROR(INDEX(종합!S$3:S$501,MATCH(ROW()-2,종합!$AC$3:$AC$501,0))&amp;"","")</f>
        <v/>
      </c>
      <c r="T344" s="21" t="str">
        <f aca="false">IFERROR(INDEX(종합!T$3:T$501,MATCH(ROW()-2,종합!$AC$3:$AC$501,0))&amp;"","")</f>
        <v/>
      </c>
      <c r="U344" s="21" t="str">
        <f aca="false">IFERROR(INDEX(종합!U$3:U$501,MATCH(ROW()-2,종합!$AC$3:$AC$501,0))&amp;"","")</f>
        <v/>
      </c>
      <c r="V344" s="21" t="str">
        <f aca="false">IFERROR(INDEX(종합!V$3:V$501,MATCH(ROW()-2,종합!$AC$3:$AC$501,0))&amp;"","")</f>
        <v/>
      </c>
      <c r="W344" s="21" t="str">
        <f aca="false">IFERROR(INDEX(종합!W$3:W$501,MATCH(ROW()-2,종합!$AC$3:$AC$501,0))&amp;"","")</f>
        <v/>
      </c>
      <c r="X344" s="21" t="str">
        <f aca="false">IFERROR(INDEX(종합!X$3:X$501,MATCH(ROW()-2,종합!$AC$3:$AC$501,0))&amp;"","")</f>
        <v/>
      </c>
      <c r="Y344" s="21" t="str">
        <f aca="false">IFERROR(INDEX(종합!Y$3:Y$501,MATCH(ROW()-2,종합!$AC$3:$AC$501,0))&amp;"","")</f>
        <v/>
      </c>
      <c r="Z344" s="21" t="str">
        <f aca="false">IFERROR(INDEX(종합!Z$3:Z$501,MATCH(ROW()-2,종합!$AC$3:$AC$501,0))&amp;"","")</f>
        <v/>
      </c>
    </row>
    <row r="345" customFormat="false" ht="16.5" hidden="false" customHeight="true" outlineLevel="0" collapsed="false">
      <c r="A345" s="18" t="str">
        <f aca="false">IF(B345="","",ROW()-2)</f>
        <v/>
      </c>
      <c r="B345" s="18" t="str">
        <f aca="false">IFERROR(INDEX(종합!B$3:B$501,MATCH(ROW()-2,종합!$AC$3:$AC$501,0))&amp;"","")</f>
        <v/>
      </c>
      <c r="C345" s="18" t="str">
        <f aca="false">IFERROR(INDEX(종합!C$3:C$501,MATCH(ROW()-2,종합!$AC$3:$AC$501,0))&amp;"","")</f>
        <v/>
      </c>
      <c r="D345" s="18" t="str">
        <f aca="false">IFERROR(INDEX(종합!D$3:D$501,MATCH(ROW()-2,종합!$AC$3:$AC$501,0))&amp;"","")</f>
        <v/>
      </c>
      <c r="E345" s="18" t="str">
        <f aca="false">IFERROR(INDEX(종합!E$3:E$501,MATCH(ROW()-2,종합!$AC$3:$AC$501,0))&amp;"","")</f>
        <v/>
      </c>
      <c r="F345" s="18" t="str">
        <f aca="false">IFERROR(INDEX(종합!F$3:F$501,MATCH(ROW()-2,종합!$AC$3:$AC$501,0))&amp;"","")</f>
        <v/>
      </c>
      <c r="G345" s="18" t="str">
        <f aca="false">IFERROR(INDEX(종합!G$3:G$501,MATCH(ROW()-2,종합!$AC$3:$AC$501,0))&amp;"","")</f>
        <v/>
      </c>
      <c r="H345" s="21" t="str">
        <f aca="false">IFERROR(INDEX(종합!H$3:H$501,MATCH(ROW()-2,종합!$AC$3:$AC$501,0))&amp;"","")</f>
        <v/>
      </c>
      <c r="I345" s="21" t="str">
        <f aca="false">IFERROR(INDEX(종합!I$3:I$501,MATCH(ROW()-2,종합!$AC$3:$AC$501,0))&amp;"","")</f>
        <v/>
      </c>
      <c r="J345" s="21" t="str">
        <f aca="false">IFERROR(INDEX(종합!J$3:J$501,MATCH(ROW()-2,종합!$AC$3:$AC$501,0))&amp;"","")</f>
        <v/>
      </c>
      <c r="K345" s="21" t="str">
        <f aca="false">IFERROR(INDEX(종합!K$3:K$501,MATCH(ROW()-2,종합!$AC$3:$AC$501,0))&amp;"","")</f>
        <v/>
      </c>
      <c r="L345" s="21" t="str">
        <f aca="false">IFERROR(INDEX(종합!L$3:L$501,MATCH(ROW()-2,종합!$AC$3:$AC$501,0))&amp;"","")</f>
        <v/>
      </c>
      <c r="M345" s="21" t="str">
        <f aca="false">IFERROR(INDEX(종합!M$3:M$501,MATCH(ROW()-2,종합!$AC$3:$AC$501,0))&amp;"","")</f>
        <v/>
      </c>
      <c r="N345" s="25" t="str">
        <f aca="false">IFERROR(INDEX(종합!N$3:N$501,MATCH(ROW()-2,종합!$AC$3:$AC$501,0))&amp;"","")</f>
        <v/>
      </c>
      <c r="O345" s="21" t="str">
        <f aca="false">IFERROR(INDEX(종합!O$3:O$501,MATCH(ROW()-2,종합!$AC$3:$AC$501,0))&amp;"","")</f>
        <v/>
      </c>
      <c r="P345" s="21" t="str">
        <f aca="false">IFERROR(INDEX(종합!P$3:P$501,MATCH(ROW()-2,종합!$AC$3:$AC$501,0))&amp;"","")</f>
        <v/>
      </c>
      <c r="Q345" s="21" t="str">
        <f aca="false">IFERROR(INDEX(종합!Q$3:Q$501,MATCH(ROW()-2,종합!$AC$3:$AC$501,0))&amp;"","")</f>
        <v/>
      </c>
      <c r="R345" s="21" t="str">
        <f aca="false">IFERROR(INDEX(종합!R$3:R$501,MATCH(ROW()-2,종합!$AC$3:$AC$501,0))&amp;"","")</f>
        <v/>
      </c>
      <c r="S345" s="21" t="str">
        <f aca="false">IFERROR(INDEX(종합!S$3:S$501,MATCH(ROW()-2,종합!$AC$3:$AC$501,0))&amp;"","")</f>
        <v/>
      </c>
      <c r="T345" s="21" t="str">
        <f aca="false">IFERROR(INDEX(종합!T$3:T$501,MATCH(ROW()-2,종합!$AC$3:$AC$501,0))&amp;"","")</f>
        <v/>
      </c>
      <c r="U345" s="21" t="str">
        <f aca="false">IFERROR(INDEX(종합!U$3:U$501,MATCH(ROW()-2,종합!$AC$3:$AC$501,0))&amp;"","")</f>
        <v/>
      </c>
      <c r="V345" s="21" t="str">
        <f aca="false">IFERROR(INDEX(종합!V$3:V$501,MATCH(ROW()-2,종합!$AC$3:$AC$501,0))&amp;"","")</f>
        <v/>
      </c>
      <c r="W345" s="21" t="str">
        <f aca="false">IFERROR(INDEX(종합!W$3:W$501,MATCH(ROW()-2,종합!$AC$3:$AC$501,0))&amp;"","")</f>
        <v/>
      </c>
      <c r="X345" s="21" t="str">
        <f aca="false">IFERROR(INDEX(종합!X$3:X$501,MATCH(ROW()-2,종합!$AC$3:$AC$501,0))&amp;"","")</f>
        <v/>
      </c>
      <c r="Y345" s="21" t="str">
        <f aca="false">IFERROR(INDEX(종합!Y$3:Y$501,MATCH(ROW()-2,종합!$AC$3:$AC$501,0))&amp;"","")</f>
        <v/>
      </c>
      <c r="Z345" s="21" t="str">
        <f aca="false">IFERROR(INDEX(종합!Z$3:Z$501,MATCH(ROW()-2,종합!$AC$3:$AC$501,0))&amp;"","")</f>
        <v/>
      </c>
    </row>
    <row r="346" customFormat="false" ht="16.5" hidden="false" customHeight="true" outlineLevel="0" collapsed="false">
      <c r="A346" s="18" t="str">
        <f aca="false">IF(B346="","",ROW()-2)</f>
        <v/>
      </c>
      <c r="B346" s="18" t="str">
        <f aca="false">IFERROR(INDEX(종합!B$3:B$501,MATCH(ROW()-2,종합!$AC$3:$AC$501,0))&amp;"","")</f>
        <v/>
      </c>
      <c r="C346" s="18" t="str">
        <f aca="false">IFERROR(INDEX(종합!C$3:C$501,MATCH(ROW()-2,종합!$AC$3:$AC$501,0))&amp;"","")</f>
        <v/>
      </c>
      <c r="D346" s="18" t="str">
        <f aca="false">IFERROR(INDEX(종합!D$3:D$501,MATCH(ROW()-2,종합!$AC$3:$AC$501,0))&amp;"","")</f>
        <v/>
      </c>
      <c r="E346" s="18" t="str">
        <f aca="false">IFERROR(INDEX(종합!E$3:E$501,MATCH(ROW()-2,종합!$AC$3:$AC$501,0))&amp;"","")</f>
        <v/>
      </c>
      <c r="F346" s="18" t="str">
        <f aca="false">IFERROR(INDEX(종합!F$3:F$501,MATCH(ROW()-2,종합!$AC$3:$AC$501,0))&amp;"","")</f>
        <v/>
      </c>
      <c r="G346" s="18" t="str">
        <f aca="false">IFERROR(INDEX(종합!G$3:G$501,MATCH(ROW()-2,종합!$AC$3:$AC$501,0))&amp;"","")</f>
        <v/>
      </c>
      <c r="H346" s="21" t="str">
        <f aca="false">IFERROR(INDEX(종합!H$3:H$501,MATCH(ROW()-2,종합!$AC$3:$AC$501,0))&amp;"","")</f>
        <v/>
      </c>
      <c r="I346" s="21" t="str">
        <f aca="false">IFERROR(INDEX(종합!I$3:I$501,MATCH(ROW()-2,종합!$AC$3:$AC$501,0))&amp;"","")</f>
        <v/>
      </c>
      <c r="J346" s="21" t="str">
        <f aca="false">IFERROR(INDEX(종합!J$3:J$501,MATCH(ROW()-2,종합!$AC$3:$AC$501,0))&amp;"","")</f>
        <v/>
      </c>
      <c r="K346" s="21" t="str">
        <f aca="false">IFERROR(INDEX(종합!K$3:K$501,MATCH(ROW()-2,종합!$AC$3:$AC$501,0))&amp;"","")</f>
        <v/>
      </c>
      <c r="L346" s="21" t="str">
        <f aca="false">IFERROR(INDEX(종합!L$3:L$501,MATCH(ROW()-2,종합!$AC$3:$AC$501,0))&amp;"","")</f>
        <v/>
      </c>
      <c r="M346" s="21" t="str">
        <f aca="false">IFERROR(INDEX(종합!M$3:M$501,MATCH(ROW()-2,종합!$AC$3:$AC$501,0))&amp;"","")</f>
        <v/>
      </c>
      <c r="N346" s="25" t="str">
        <f aca="false">IFERROR(INDEX(종합!N$3:N$501,MATCH(ROW()-2,종합!$AC$3:$AC$501,0))&amp;"","")</f>
        <v/>
      </c>
      <c r="O346" s="21" t="str">
        <f aca="false">IFERROR(INDEX(종합!O$3:O$501,MATCH(ROW()-2,종합!$AC$3:$AC$501,0))&amp;"","")</f>
        <v/>
      </c>
      <c r="P346" s="21" t="str">
        <f aca="false">IFERROR(INDEX(종합!P$3:P$501,MATCH(ROW()-2,종합!$AC$3:$AC$501,0))&amp;"","")</f>
        <v/>
      </c>
      <c r="Q346" s="21" t="str">
        <f aca="false">IFERROR(INDEX(종합!Q$3:Q$501,MATCH(ROW()-2,종합!$AC$3:$AC$501,0))&amp;"","")</f>
        <v/>
      </c>
      <c r="R346" s="21" t="str">
        <f aca="false">IFERROR(INDEX(종합!R$3:R$501,MATCH(ROW()-2,종합!$AC$3:$AC$501,0))&amp;"","")</f>
        <v/>
      </c>
      <c r="S346" s="21" t="str">
        <f aca="false">IFERROR(INDEX(종합!S$3:S$501,MATCH(ROW()-2,종합!$AC$3:$AC$501,0))&amp;"","")</f>
        <v/>
      </c>
      <c r="T346" s="21" t="str">
        <f aca="false">IFERROR(INDEX(종합!T$3:T$501,MATCH(ROW()-2,종합!$AC$3:$AC$501,0))&amp;"","")</f>
        <v/>
      </c>
      <c r="U346" s="21" t="str">
        <f aca="false">IFERROR(INDEX(종합!U$3:U$501,MATCH(ROW()-2,종합!$AC$3:$AC$501,0))&amp;"","")</f>
        <v/>
      </c>
      <c r="V346" s="21" t="str">
        <f aca="false">IFERROR(INDEX(종합!V$3:V$501,MATCH(ROW()-2,종합!$AC$3:$AC$501,0))&amp;"","")</f>
        <v/>
      </c>
      <c r="W346" s="21" t="str">
        <f aca="false">IFERROR(INDEX(종합!W$3:W$501,MATCH(ROW()-2,종합!$AC$3:$AC$501,0))&amp;"","")</f>
        <v/>
      </c>
      <c r="X346" s="21" t="str">
        <f aca="false">IFERROR(INDEX(종합!X$3:X$501,MATCH(ROW()-2,종합!$AC$3:$AC$501,0))&amp;"","")</f>
        <v/>
      </c>
      <c r="Y346" s="21" t="str">
        <f aca="false">IFERROR(INDEX(종합!Y$3:Y$501,MATCH(ROW()-2,종합!$AC$3:$AC$501,0))&amp;"","")</f>
        <v/>
      </c>
      <c r="Z346" s="21" t="str">
        <f aca="false">IFERROR(INDEX(종합!Z$3:Z$501,MATCH(ROW()-2,종합!$AC$3:$AC$501,0))&amp;"","")</f>
        <v/>
      </c>
    </row>
    <row r="347" customFormat="false" ht="16.5" hidden="false" customHeight="true" outlineLevel="0" collapsed="false">
      <c r="A347" s="18" t="str">
        <f aca="false">IF(B347="","",ROW()-2)</f>
        <v/>
      </c>
      <c r="B347" s="18" t="str">
        <f aca="false">IFERROR(INDEX(종합!B$3:B$501,MATCH(ROW()-2,종합!$AC$3:$AC$501,0))&amp;"","")</f>
        <v/>
      </c>
      <c r="C347" s="18" t="str">
        <f aca="false">IFERROR(INDEX(종합!C$3:C$501,MATCH(ROW()-2,종합!$AC$3:$AC$501,0))&amp;"","")</f>
        <v/>
      </c>
      <c r="D347" s="18" t="str">
        <f aca="false">IFERROR(INDEX(종합!D$3:D$501,MATCH(ROW()-2,종합!$AC$3:$AC$501,0))&amp;"","")</f>
        <v/>
      </c>
      <c r="E347" s="18" t="str">
        <f aca="false">IFERROR(INDEX(종합!E$3:E$501,MATCH(ROW()-2,종합!$AC$3:$AC$501,0))&amp;"","")</f>
        <v/>
      </c>
      <c r="F347" s="18" t="str">
        <f aca="false">IFERROR(INDEX(종합!F$3:F$501,MATCH(ROW()-2,종합!$AC$3:$AC$501,0))&amp;"","")</f>
        <v/>
      </c>
      <c r="G347" s="18" t="str">
        <f aca="false">IFERROR(INDEX(종합!G$3:G$501,MATCH(ROW()-2,종합!$AC$3:$AC$501,0))&amp;"","")</f>
        <v/>
      </c>
      <c r="H347" s="21" t="str">
        <f aca="false">IFERROR(INDEX(종합!H$3:H$501,MATCH(ROW()-2,종합!$AC$3:$AC$501,0))&amp;"","")</f>
        <v/>
      </c>
      <c r="I347" s="21" t="str">
        <f aca="false">IFERROR(INDEX(종합!I$3:I$501,MATCH(ROW()-2,종합!$AC$3:$AC$501,0))&amp;"","")</f>
        <v/>
      </c>
      <c r="J347" s="21" t="str">
        <f aca="false">IFERROR(INDEX(종합!J$3:J$501,MATCH(ROW()-2,종합!$AC$3:$AC$501,0))&amp;"","")</f>
        <v/>
      </c>
      <c r="K347" s="21" t="str">
        <f aca="false">IFERROR(INDEX(종합!K$3:K$501,MATCH(ROW()-2,종합!$AC$3:$AC$501,0))&amp;"","")</f>
        <v/>
      </c>
      <c r="L347" s="21" t="str">
        <f aca="false">IFERROR(INDEX(종합!L$3:L$501,MATCH(ROW()-2,종합!$AC$3:$AC$501,0))&amp;"","")</f>
        <v/>
      </c>
      <c r="M347" s="21" t="str">
        <f aca="false">IFERROR(INDEX(종합!M$3:M$501,MATCH(ROW()-2,종합!$AC$3:$AC$501,0))&amp;"","")</f>
        <v/>
      </c>
      <c r="N347" s="25" t="str">
        <f aca="false">IFERROR(INDEX(종합!N$3:N$501,MATCH(ROW()-2,종합!$AC$3:$AC$501,0))&amp;"","")</f>
        <v/>
      </c>
      <c r="O347" s="21" t="str">
        <f aca="false">IFERROR(INDEX(종합!O$3:O$501,MATCH(ROW()-2,종합!$AC$3:$AC$501,0))&amp;"","")</f>
        <v/>
      </c>
      <c r="P347" s="21" t="str">
        <f aca="false">IFERROR(INDEX(종합!P$3:P$501,MATCH(ROW()-2,종합!$AC$3:$AC$501,0))&amp;"","")</f>
        <v/>
      </c>
      <c r="Q347" s="21" t="str">
        <f aca="false">IFERROR(INDEX(종합!Q$3:Q$501,MATCH(ROW()-2,종합!$AC$3:$AC$501,0))&amp;"","")</f>
        <v/>
      </c>
      <c r="R347" s="21" t="str">
        <f aca="false">IFERROR(INDEX(종합!R$3:R$501,MATCH(ROW()-2,종합!$AC$3:$AC$501,0))&amp;"","")</f>
        <v/>
      </c>
      <c r="S347" s="21" t="str">
        <f aca="false">IFERROR(INDEX(종합!S$3:S$501,MATCH(ROW()-2,종합!$AC$3:$AC$501,0))&amp;"","")</f>
        <v/>
      </c>
      <c r="T347" s="21" t="str">
        <f aca="false">IFERROR(INDEX(종합!T$3:T$501,MATCH(ROW()-2,종합!$AC$3:$AC$501,0))&amp;"","")</f>
        <v/>
      </c>
      <c r="U347" s="21" t="str">
        <f aca="false">IFERROR(INDEX(종합!U$3:U$501,MATCH(ROW()-2,종합!$AC$3:$AC$501,0))&amp;"","")</f>
        <v/>
      </c>
      <c r="V347" s="21" t="str">
        <f aca="false">IFERROR(INDEX(종합!V$3:V$501,MATCH(ROW()-2,종합!$AC$3:$AC$501,0))&amp;"","")</f>
        <v/>
      </c>
      <c r="W347" s="21" t="str">
        <f aca="false">IFERROR(INDEX(종합!W$3:W$501,MATCH(ROW()-2,종합!$AC$3:$AC$501,0))&amp;"","")</f>
        <v/>
      </c>
      <c r="X347" s="21" t="str">
        <f aca="false">IFERROR(INDEX(종합!X$3:X$501,MATCH(ROW()-2,종합!$AC$3:$AC$501,0))&amp;"","")</f>
        <v/>
      </c>
      <c r="Y347" s="21" t="str">
        <f aca="false">IFERROR(INDEX(종합!Y$3:Y$501,MATCH(ROW()-2,종합!$AC$3:$AC$501,0))&amp;"","")</f>
        <v/>
      </c>
      <c r="Z347" s="21" t="str">
        <f aca="false">IFERROR(INDEX(종합!Z$3:Z$501,MATCH(ROW()-2,종합!$AC$3:$AC$501,0))&amp;"","")</f>
        <v/>
      </c>
    </row>
    <row r="348" customFormat="false" ht="16.5" hidden="false" customHeight="true" outlineLevel="0" collapsed="false">
      <c r="A348" s="18" t="str">
        <f aca="false">IF(B348="","",ROW()-2)</f>
        <v/>
      </c>
      <c r="B348" s="18" t="str">
        <f aca="false">IFERROR(INDEX(종합!B$3:B$501,MATCH(ROW()-2,종합!$AC$3:$AC$501,0))&amp;"","")</f>
        <v/>
      </c>
      <c r="C348" s="18" t="str">
        <f aca="false">IFERROR(INDEX(종합!C$3:C$501,MATCH(ROW()-2,종합!$AC$3:$AC$501,0))&amp;"","")</f>
        <v/>
      </c>
      <c r="D348" s="18" t="str">
        <f aca="false">IFERROR(INDEX(종합!D$3:D$501,MATCH(ROW()-2,종합!$AC$3:$AC$501,0))&amp;"","")</f>
        <v/>
      </c>
      <c r="E348" s="18" t="str">
        <f aca="false">IFERROR(INDEX(종합!E$3:E$501,MATCH(ROW()-2,종합!$AC$3:$AC$501,0))&amp;"","")</f>
        <v/>
      </c>
      <c r="F348" s="18" t="str">
        <f aca="false">IFERROR(INDEX(종합!F$3:F$501,MATCH(ROW()-2,종합!$AC$3:$AC$501,0))&amp;"","")</f>
        <v/>
      </c>
      <c r="G348" s="18" t="str">
        <f aca="false">IFERROR(INDEX(종합!G$3:G$501,MATCH(ROW()-2,종합!$AC$3:$AC$501,0))&amp;"","")</f>
        <v/>
      </c>
      <c r="H348" s="21" t="str">
        <f aca="false">IFERROR(INDEX(종합!H$3:H$501,MATCH(ROW()-2,종합!$AC$3:$AC$501,0))&amp;"","")</f>
        <v/>
      </c>
      <c r="I348" s="21" t="str">
        <f aca="false">IFERROR(INDEX(종합!I$3:I$501,MATCH(ROW()-2,종합!$AC$3:$AC$501,0))&amp;"","")</f>
        <v/>
      </c>
      <c r="J348" s="21" t="str">
        <f aca="false">IFERROR(INDEX(종합!J$3:J$501,MATCH(ROW()-2,종합!$AC$3:$AC$501,0))&amp;"","")</f>
        <v/>
      </c>
      <c r="K348" s="21" t="str">
        <f aca="false">IFERROR(INDEX(종합!K$3:K$501,MATCH(ROW()-2,종합!$AC$3:$AC$501,0))&amp;"","")</f>
        <v/>
      </c>
      <c r="L348" s="21" t="str">
        <f aca="false">IFERROR(INDEX(종합!L$3:L$501,MATCH(ROW()-2,종합!$AC$3:$AC$501,0))&amp;"","")</f>
        <v/>
      </c>
      <c r="M348" s="21" t="str">
        <f aca="false">IFERROR(INDEX(종합!M$3:M$501,MATCH(ROW()-2,종합!$AC$3:$AC$501,0))&amp;"","")</f>
        <v/>
      </c>
      <c r="N348" s="25" t="str">
        <f aca="false">IFERROR(INDEX(종합!N$3:N$501,MATCH(ROW()-2,종합!$AC$3:$AC$501,0))&amp;"","")</f>
        <v/>
      </c>
      <c r="O348" s="21" t="str">
        <f aca="false">IFERROR(INDEX(종합!O$3:O$501,MATCH(ROW()-2,종합!$AC$3:$AC$501,0))&amp;"","")</f>
        <v/>
      </c>
      <c r="P348" s="21" t="str">
        <f aca="false">IFERROR(INDEX(종합!P$3:P$501,MATCH(ROW()-2,종합!$AC$3:$AC$501,0))&amp;"","")</f>
        <v/>
      </c>
      <c r="Q348" s="21" t="str">
        <f aca="false">IFERROR(INDEX(종합!Q$3:Q$501,MATCH(ROW()-2,종합!$AC$3:$AC$501,0))&amp;"","")</f>
        <v/>
      </c>
      <c r="R348" s="21" t="str">
        <f aca="false">IFERROR(INDEX(종합!R$3:R$501,MATCH(ROW()-2,종합!$AC$3:$AC$501,0))&amp;"","")</f>
        <v/>
      </c>
      <c r="S348" s="21" t="str">
        <f aca="false">IFERROR(INDEX(종합!S$3:S$501,MATCH(ROW()-2,종합!$AC$3:$AC$501,0))&amp;"","")</f>
        <v/>
      </c>
      <c r="T348" s="21" t="str">
        <f aca="false">IFERROR(INDEX(종합!T$3:T$501,MATCH(ROW()-2,종합!$AC$3:$AC$501,0))&amp;"","")</f>
        <v/>
      </c>
      <c r="U348" s="21" t="str">
        <f aca="false">IFERROR(INDEX(종합!U$3:U$501,MATCH(ROW()-2,종합!$AC$3:$AC$501,0))&amp;"","")</f>
        <v/>
      </c>
      <c r="V348" s="21" t="str">
        <f aca="false">IFERROR(INDEX(종합!V$3:V$501,MATCH(ROW()-2,종합!$AC$3:$AC$501,0))&amp;"","")</f>
        <v/>
      </c>
      <c r="W348" s="21" t="str">
        <f aca="false">IFERROR(INDEX(종합!W$3:W$501,MATCH(ROW()-2,종합!$AC$3:$AC$501,0))&amp;"","")</f>
        <v/>
      </c>
      <c r="X348" s="21" t="str">
        <f aca="false">IFERROR(INDEX(종합!X$3:X$501,MATCH(ROW()-2,종합!$AC$3:$AC$501,0))&amp;"","")</f>
        <v/>
      </c>
      <c r="Y348" s="21" t="str">
        <f aca="false">IFERROR(INDEX(종합!Y$3:Y$501,MATCH(ROW()-2,종합!$AC$3:$AC$501,0))&amp;"","")</f>
        <v/>
      </c>
      <c r="Z348" s="21" t="str">
        <f aca="false">IFERROR(INDEX(종합!Z$3:Z$501,MATCH(ROW()-2,종합!$AC$3:$AC$501,0))&amp;"","")</f>
        <v/>
      </c>
    </row>
    <row r="349" customFormat="false" ht="16.5" hidden="false" customHeight="true" outlineLevel="0" collapsed="false">
      <c r="A349" s="18" t="str">
        <f aca="false">IF(B349="","",ROW()-2)</f>
        <v/>
      </c>
      <c r="B349" s="18" t="str">
        <f aca="false">IFERROR(INDEX(종합!B$3:B$501,MATCH(ROW()-2,종합!$AC$3:$AC$501,0))&amp;"","")</f>
        <v/>
      </c>
      <c r="C349" s="18" t="str">
        <f aca="false">IFERROR(INDEX(종합!C$3:C$501,MATCH(ROW()-2,종합!$AC$3:$AC$501,0))&amp;"","")</f>
        <v/>
      </c>
      <c r="D349" s="18" t="str">
        <f aca="false">IFERROR(INDEX(종합!D$3:D$501,MATCH(ROW()-2,종합!$AC$3:$AC$501,0))&amp;"","")</f>
        <v/>
      </c>
      <c r="E349" s="18" t="str">
        <f aca="false">IFERROR(INDEX(종합!E$3:E$501,MATCH(ROW()-2,종합!$AC$3:$AC$501,0))&amp;"","")</f>
        <v/>
      </c>
      <c r="F349" s="18" t="str">
        <f aca="false">IFERROR(INDEX(종합!F$3:F$501,MATCH(ROW()-2,종합!$AC$3:$AC$501,0))&amp;"","")</f>
        <v/>
      </c>
      <c r="G349" s="18" t="str">
        <f aca="false">IFERROR(INDEX(종합!G$3:G$501,MATCH(ROW()-2,종합!$AC$3:$AC$501,0))&amp;"","")</f>
        <v/>
      </c>
      <c r="H349" s="21" t="str">
        <f aca="false">IFERROR(INDEX(종합!H$3:H$501,MATCH(ROW()-2,종합!$AC$3:$AC$501,0))&amp;"","")</f>
        <v/>
      </c>
      <c r="I349" s="21" t="str">
        <f aca="false">IFERROR(INDEX(종합!I$3:I$501,MATCH(ROW()-2,종합!$AC$3:$AC$501,0))&amp;"","")</f>
        <v/>
      </c>
      <c r="J349" s="21" t="str">
        <f aca="false">IFERROR(INDEX(종합!J$3:J$501,MATCH(ROW()-2,종합!$AC$3:$AC$501,0))&amp;"","")</f>
        <v/>
      </c>
      <c r="K349" s="21" t="str">
        <f aca="false">IFERROR(INDEX(종합!K$3:K$501,MATCH(ROW()-2,종합!$AC$3:$AC$501,0))&amp;"","")</f>
        <v/>
      </c>
      <c r="L349" s="21" t="str">
        <f aca="false">IFERROR(INDEX(종합!L$3:L$501,MATCH(ROW()-2,종합!$AC$3:$AC$501,0))&amp;"","")</f>
        <v/>
      </c>
      <c r="M349" s="21" t="str">
        <f aca="false">IFERROR(INDEX(종합!M$3:M$501,MATCH(ROW()-2,종합!$AC$3:$AC$501,0))&amp;"","")</f>
        <v/>
      </c>
      <c r="N349" s="25" t="str">
        <f aca="false">IFERROR(INDEX(종합!N$3:N$501,MATCH(ROW()-2,종합!$AC$3:$AC$501,0))&amp;"","")</f>
        <v/>
      </c>
      <c r="O349" s="21" t="str">
        <f aca="false">IFERROR(INDEX(종합!O$3:O$501,MATCH(ROW()-2,종합!$AC$3:$AC$501,0))&amp;"","")</f>
        <v/>
      </c>
      <c r="P349" s="21" t="str">
        <f aca="false">IFERROR(INDEX(종합!P$3:P$501,MATCH(ROW()-2,종합!$AC$3:$AC$501,0))&amp;"","")</f>
        <v/>
      </c>
      <c r="Q349" s="21" t="str">
        <f aca="false">IFERROR(INDEX(종합!Q$3:Q$501,MATCH(ROW()-2,종합!$AC$3:$AC$501,0))&amp;"","")</f>
        <v/>
      </c>
      <c r="R349" s="21" t="str">
        <f aca="false">IFERROR(INDEX(종합!R$3:R$501,MATCH(ROW()-2,종합!$AC$3:$AC$501,0))&amp;"","")</f>
        <v/>
      </c>
      <c r="S349" s="21" t="str">
        <f aca="false">IFERROR(INDEX(종합!S$3:S$501,MATCH(ROW()-2,종합!$AC$3:$AC$501,0))&amp;"","")</f>
        <v/>
      </c>
      <c r="T349" s="21" t="str">
        <f aca="false">IFERROR(INDEX(종합!T$3:T$501,MATCH(ROW()-2,종합!$AC$3:$AC$501,0))&amp;"","")</f>
        <v/>
      </c>
      <c r="U349" s="21" t="str">
        <f aca="false">IFERROR(INDEX(종합!U$3:U$501,MATCH(ROW()-2,종합!$AC$3:$AC$501,0))&amp;"","")</f>
        <v/>
      </c>
      <c r="V349" s="21" t="str">
        <f aca="false">IFERROR(INDEX(종합!V$3:V$501,MATCH(ROW()-2,종합!$AC$3:$AC$501,0))&amp;"","")</f>
        <v/>
      </c>
      <c r="W349" s="21" t="str">
        <f aca="false">IFERROR(INDEX(종합!W$3:W$501,MATCH(ROW()-2,종합!$AC$3:$AC$501,0))&amp;"","")</f>
        <v/>
      </c>
      <c r="X349" s="21" t="str">
        <f aca="false">IFERROR(INDEX(종합!X$3:X$501,MATCH(ROW()-2,종합!$AC$3:$AC$501,0))&amp;"","")</f>
        <v/>
      </c>
      <c r="Y349" s="21" t="str">
        <f aca="false">IFERROR(INDEX(종합!Y$3:Y$501,MATCH(ROW()-2,종합!$AC$3:$AC$501,0))&amp;"","")</f>
        <v/>
      </c>
      <c r="Z349" s="21" t="str">
        <f aca="false">IFERROR(INDEX(종합!Z$3:Z$501,MATCH(ROW()-2,종합!$AC$3:$AC$501,0))&amp;"","")</f>
        <v/>
      </c>
    </row>
    <row r="350" customFormat="false" ht="16.5" hidden="false" customHeight="true" outlineLevel="0" collapsed="false">
      <c r="A350" s="18" t="str">
        <f aca="false">IF(B350="","",ROW()-2)</f>
        <v/>
      </c>
      <c r="B350" s="18" t="str">
        <f aca="false">IFERROR(INDEX(종합!B$3:B$501,MATCH(ROW()-2,종합!$AC$3:$AC$501,0))&amp;"","")</f>
        <v/>
      </c>
      <c r="C350" s="18" t="str">
        <f aca="false">IFERROR(INDEX(종합!C$3:C$501,MATCH(ROW()-2,종합!$AC$3:$AC$501,0))&amp;"","")</f>
        <v/>
      </c>
      <c r="D350" s="18" t="str">
        <f aca="false">IFERROR(INDEX(종합!D$3:D$501,MATCH(ROW()-2,종합!$AC$3:$AC$501,0))&amp;"","")</f>
        <v/>
      </c>
      <c r="E350" s="18" t="str">
        <f aca="false">IFERROR(INDEX(종합!E$3:E$501,MATCH(ROW()-2,종합!$AC$3:$AC$501,0))&amp;"","")</f>
        <v/>
      </c>
      <c r="F350" s="18" t="str">
        <f aca="false">IFERROR(INDEX(종합!F$3:F$501,MATCH(ROW()-2,종합!$AC$3:$AC$501,0))&amp;"","")</f>
        <v/>
      </c>
      <c r="G350" s="18" t="str">
        <f aca="false">IFERROR(INDEX(종합!G$3:G$501,MATCH(ROW()-2,종합!$AC$3:$AC$501,0))&amp;"","")</f>
        <v/>
      </c>
      <c r="H350" s="21" t="str">
        <f aca="false">IFERROR(INDEX(종합!H$3:H$501,MATCH(ROW()-2,종합!$AC$3:$AC$501,0))&amp;"","")</f>
        <v/>
      </c>
      <c r="I350" s="21" t="str">
        <f aca="false">IFERROR(INDEX(종합!I$3:I$501,MATCH(ROW()-2,종합!$AC$3:$AC$501,0))&amp;"","")</f>
        <v/>
      </c>
      <c r="J350" s="21" t="str">
        <f aca="false">IFERROR(INDEX(종합!J$3:J$501,MATCH(ROW()-2,종합!$AC$3:$AC$501,0))&amp;"","")</f>
        <v/>
      </c>
      <c r="K350" s="21" t="str">
        <f aca="false">IFERROR(INDEX(종합!K$3:K$501,MATCH(ROW()-2,종합!$AC$3:$AC$501,0))&amp;"","")</f>
        <v/>
      </c>
      <c r="L350" s="21" t="str">
        <f aca="false">IFERROR(INDEX(종합!L$3:L$501,MATCH(ROW()-2,종합!$AC$3:$AC$501,0))&amp;"","")</f>
        <v/>
      </c>
      <c r="M350" s="21" t="str">
        <f aca="false">IFERROR(INDEX(종합!M$3:M$501,MATCH(ROW()-2,종합!$AC$3:$AC$501,0))&amp;"","")</f>
        <v/>
      </c>
      <c r="N350" s="25" t="str">
        <f aca="false">IFERROR(INDEX(종합!N$3:N$501,MATCH(ROW()-2,종합!$AC$3:$AC$501,0))&amp;"","")</f>
        <v/>
      </c>
      <c r="O350" s="21" t="str">
        <f aca="false">IFERROR(INDEX(종합!O$3:O$501,MATCH(ROW()-2,종합!$AC$3:$AC$501,0))&amp;"","")</f>
        <v/>
      </c>
      <c r="P350" s="21" t="str">
        <f aca="false">IFERROR(INDEX(종합!P$3:P$501,MATCH(ROW()-2,종합!$AC$3:$AC$501,0))&amp;"","")</f>
        <v/>
      </c>
      <c r="Q350" s="21" t="str">
        <f aca="false">IFERROR(INDEX(종합!Q$3:Q$501,MATCH(ROW()-2,종합!$AC$3:$AC$501,0))&amp;"","")</f>
        <v/>
      </c>
      <c r="R350" s="21" t="str">
        <f aca="false">IFERROR(INDEX(종합!R$3:R$501,MATCH(ROW()-2,종합!$AC$3:$AC$501,0))&amp;"","")</f>
        <v/>
      </c>
      <c r="S350" s="21" t="str">
        <f aca="false">IFERROR(INDEX(종합!S$3:S$501,MATCH(ROW()-2,종합!$AC$3:$AC$501,0))&amp;"","")</f>
        <v/>
      </c>
      <c r="T350" s="21" t="str">
        <f aca="false">IFERROR(INDEX(종합!T$3:T$501,MATCH(ROW()-2,종합!$AC$3:$AC$501,0))&amp;"","")</f>
        <v/>
      </c>
      <c r="U350" s="21" t="str">
        <f aca="false">IFERROR(INDEX(종합!U$3:U$501,MATCH(ROW()-2,종합!$AC$3:$AC$501,0))&amp;"","")</f>
        <v/>
      </c>
      <c r="V350" s="21" t="str">
        <f aca="false">IFERROR(INDEX(종합!V$3:V$501,MATCH(ROW()-2,종합!$AC$3:$AC$501,0))&amp;"","")</f>
        <v/>
      </c>
      <c r="W350" s="21" t="str">
        <f aca="false">IFERROR(INDEX(종합!W$3:W$501,MATCH(ROW()-2,종합!$AC$3:$AC$501,0))&amp;"","")</f>
        <v/>
      </c>
      <c r="X350" s="21" t="str">
        <f aca="false">IFERROR(INDEX(종합!X$3:X$501,MATCH(ROW()-2,종합!$AC$3:$AC$501,0))&amp;"","")</f>
        <v/>
      </c>
      <c r="Y350" s="21" t="str">
        <f aca="false">IFERROR(INDEX(종합!Y$3:Y$501,MATCH(ROW()-2,종합!$AC$3:$AC$501,0))&amp;"","")</f>
        <v/>
      </c>
      <c r="Z350" s="21" t="str">
        <f aca="false">IFERROR(INDEX(종합!Z$3:Z$501,MATCH(ROW()-2,종합!$AC$3:$AC$501,0))&amp;"","")</f>
        <v/>
      </c>
    </row>
    <row r="351" customFormat="false" ht="16.5" hidden="false" customHeight="true" outlineLevel="0" collapsed="false">
      <c r="A351" s="18" t="str">
        <f aca="false">IF(B351="","",ROW()-2)</f>
        <v/>
      </c>
      <c r="B351" s="18" t="str">
        <f aca="false">IFERROR(INDEX(종합!B$3:B$501,MATCH(ROW()-2,종합!$AC$3:$AC$501,0))&amp;"","")</f>
        <v/>
      </c>
      <c r="C351" s="18" t="str">
        <f aca="false">IFERROR(INDEX(종합!C$3:C$501,MATCH(ROW()-2,종합!$AC$3:$AC$501,0))&amp;"","")</f>
        <v/>
      </c>
      <c r="D351" s="18" t="str">
        <f aca="false">IFERROR(INDEX(종합!D$3:D$501,MATCH(ROW()-2,종합!$AC$3:$AC$501,0))&amp;"","")</f>
        <v/>
      </c>
      <c r="E351" s="18" t="str">
        <f aca="false">IFERROR(INDEX(종합!E$3:E$501,MATCH(ROW()-2,종합!$AC$3:$AC$501,0))&amp;"","")</f>
        <v/>
      </c>
      <c r="F351" s="18" t="str">
        <f aca="false">IFERROR(INDEX(종합!F$3:F$501,MATCH(ROW()-2,종합!$AC$3:$AC$501,0))&amp;"","")</f>
        <v/>
      </c>
      <c r="G351" s="18" t="str">
        <f aca="false">IFERROR(INDEX(종합!G$3:G$501,MATCH(ROW()-2,종합!$AC$3:$AC$501,0))&amp;"","")</f>
        <v/>
      </c>
      <c r="H351" s="21" t="str">
        <f aca="false">IFERROR(INDEX(종합!H$3:H$501,MATCH(ROW()-2,종합!$AC$3:$AC$501,0))&amp;"","")</f>
        <v/>
      </c>
      <c r="I351" s="21" t="str">
        <f aca="false">IFERROR(INDEX(종합!I$3:I$501,MATCH(ROW()-2,종합!$AC$3:$AC$501,0))&amp;"","")</f>
        <v/>
      </c>
      <c r="J351" s="21" t="str">
        <f aca="false">IFERROR(INDEX(종합!J$3:J$501,MATCH(ROW()-2,종합!$AC$3:$AC$501,0))&amp;"","")</f>
        <v/>
      </c>
      <c r="K351" s="21" t="str">
        <f aca="false">IFERROR(INDEX(종합!K$3:K$501,MATCH(ROW()-2,종합!$AC$3:$AC$501,0))&amp;"","")</f>
        <v/>
      </c>
      <c r="L351" s="21" t="str">
        <f aca="false">IFERROR(INDEX(종합!L$3:L$501,MATCH(ROW()-2,종합!$AC$3:$AC$501,0))&amp;"","")</f>
        <v/>
      </c>
      <c r="M351" s="21" t="str">
        <f aca="false">IFERROR(INDEX(종합!M$3:M$501,MATCH(ROW()-2,종합!$AC$3:$AC$501,0))&amp;"","")</f>
        <v/>
      </c>
      <c r="N351" s="25" t="str">
        <f aca="false">IFERROR(INDEX(종합!N$3:N$501,MATCH(ROW()-2,종합!$AC$3:$AC$501,0))&amp;"","")</f>
        <v/>
      </c>
      <c r="O351" s="21" t="str">
        <f aca="false">IFERROR(INDEX(종합!O$3:O$501,MATCH(ROW()-2,종합!$AC$3:$AC$501,0))&amp;"","")</f>
        <v/>
      </c>
      <c r="P351" s="21" t="str">
        <f aca="false">IFERROR(INDEX(종합!P$3:P$501,MATCH(ROW()-2,종합!$AC$3:$AC$501,0))&amp;"","")</f>
        <v/>
      </c>
      <c r="Q351" s="21" t="str">
        <f aca="false">IFERROR(INDEX(종합!Q$3:Q$501,MATCH(ROW()-2,종합!$AC$3:$AC$501,0))&amp;"","")</f>
        <v/>
      </c>
      <c r="R351" s="21" t="str">
        <f aca="false">IFERROR(INDEX(종합!R$3:R$501,MATCH(ROW()-2,종합!$AC$3:$AC$501,0))&amp;"","")</f>
        <v/>
      </c>
      <c r="S351" s="21" t="str">
        <f aca="false">IFERROR(INDEX(종합!S$3:S$501,MATCH(ROW()-2,종합!$AC$3:$AC$501,0))&amp;"","")</f>
        <v/>
      </c>
      <c r="T351" s="21" t="str">
        <f aca="false">IFERROR(INDEX(종합!T$3:T$501,MATCH(ROW()-2,종합!$AC$3:$AC$501,0))&amp;"","")</f>
        <v/>
      </c>
      <c r="U351" s="21" t="str">
        <f aca="false">IFERROR(INDEX(종합!U$3:U$501,MATCH(ROW()-2,종합!$AC$3:$AC$501,0))&amp;"","")</f>
        <v/>
      </c>
      <c r="V351" s="21" t="str">
        <f aca="false">IFERROR(INDEX(종합!V$3:V$501,MATCH(ROW()-2,종합!$AC$3:$AC$501,0))&amp;"","")</f>
        <v/>
      </c>
      <c r="W351" s="21" t="str">
        <f aca="false">IFERROR(INDEX(종합!W$3:W$501,MATCH(ROW()-2,종합!$AC$3:$AC$501,0))&amp;"","")</f>
        <v/>
      </c>
      <c r="X351" s="21" t="str">
        <f aca="false">IFERROR(INDEX(종합!X$3:X$501,MATCH(ROW()-2,종합!$AC$3:$AC$501,0))&amp;"","")</f>
        <v/>
      </c>
      <c r="Y351" s="21" t="str">
        <f aca="false">IFERROR(INDEX(종합!Y$3:Y$501,MATCH(ROW()-2,종합!$AC$3:$AC$501,0))&amp;"","")</f>
        <v/>
      </c>
      <c r="Z351" s="21" t="str">
        <f aca="false">IFERROR(INDEX(종합!Z$3:Z$501,MATCH(ROW()-2,종합!$AC$3:$AC$501,0))&amp;"","")</f>
        <v/>
      </c>
    </row>
    <row r="352" customFormat="false" ht="16.5" hidden="false" customHeight="true" outlineLevel="0" collapsed="false">
      <c r="A352" s="18" t="str">
        <f aca="false">IF(B352="","",ROW()-2)</f>
        <v/>
      </c>
      <c r="B352" s="18" t="str">
        <f aca="false">IFERROR(INDEX(종합!B$3:B$501,MATCH(ROW()-2,종합!$AC$3:$AC$501,0))&amp;"","")</f>
        <v/>
      </c>
      <c r="C352" s="18" t="str">
        <f aca="false">IFERROR(INDEX(종합!C$3:C$501,MATCH(ROW()-2,종합!$AC$3:$AC$501,0))&amp;"","")</f>
        <v/>
      </c>
      <c r="D352" s="18" t="str">
        <f aca="false">IFERROR(INDEX(종합!D$3:D$501,MATCH(ROW()-2,종합!$AC$3:$AC$501,0))&amp;"","")</f>
        <v/>
      </c>
      <c r="E352" s="18" t="str">
        <f aca="false">IFERROR(INDEX(종합!E$3:E$501,MATCH(ROW()-2,종합!$AC$3:$AC$501,0))&amp;"","")</f>
        <v/>
      </c>
      <c r="F352" s="18" t="str">
        <f aca="false">IFERROR(INDEX(종합!F$3:F$501,MATCH(ROW()-2,종합!$AC$3:$AC$501,0))&amp;"","")</f>
        <v/>
      </c>
      <c r="G352" s="18" t="str">
        <f aca="false">IFERROR(INDEX(종합!G$3:G$501,MATCH(ROW()-2,종합!$AC$3:$AC$501,0))&amp;"","")</f>
        <v/>
      </c>
      <c r="H352" s="21" t="str">
        <f aca="false">IFERROR(INDEX(종합!H$3:H$501,MATCH(ROW()-2,종합!$AC$3:$AC$501,0))&amp;"","")</f>
        <v/>
      </c>
      <c r="I352" s="21" t="str">
        <f aca="false">IFERROR(INDEX(종합!I$3:I$501,MATCH(ROW()-2,종합!$AC$3:$AC$501,0))&amp;"","")</f>
        <v/>
      </c>
      <c r="J352" s="21" t="str">
        <f aca="false">IFERROR(INDEX(종합!J$3:J$501,MATCH(ROW()-2,종합!$AC$3:$AC$501,0))&amp;"","")</f>
        <v/>
      </c>
      <c r="K352" s="21" t="str">
        <f aca="false">IFERROR(INDEX(종합!K$3:K$501,MATCH(ROW()-2,종합!$AC$3:$AC$501,0))&amp;"","")</f>
        <v/>
      </c>
      <c r="L352" s="21" t="str">
        <f aca="false">IFERROR(INDEX(종합!L$3:L$501,MATCH(ROW()-2,종합!$AC$3:$AC$501,0))&amp;"","")</f>
        <v/>
      </c>
      <c r="M352" s="21" t="str">
        <f aca="false">IFERROR(INDEX(종합!M$3:M$501,MATCH(ROW()-2,종합!$AC$3:$AC$501,0))&amp;"","")</f>
        <v/>
      </c>
      <c r="N352" s="25" t="str">
        <f aca="false">IFERROR(INDEX(종합!N$3:N$501,MATCH(ROW()-2,종합!$AC$3:$AC$501,0))&amp;"","")</f>
        <v/>
      </c>
      <c r="O352" s="21" t="str">
        <f aca="false">IFERROR(INDEX(종합!O$3:O$501,MATCH(ROW()-2,종합!$AC$3:$AC$501,0))&amp;"","")</f>
        <v/>
      </c>
      <c r="P352" s="21" t="str">
        <f aca="false">IFERROR(INDEX(종합!P$3:P$501,MATCH(ROW()-2,종합!$AC$3:$AC$501,0))&amp;"","")</f>
        <v/>
      </c>
      <c r="Q352" s="21" t="str">
        <f aca="false">IFERROR(INDEX(종합!Q$3:Q$501,MATCH(ROW()-2,종합!$AC$3:$AC$501,0))&amp;"","")</f>
        <v/>
      </c>
      <c r="R352" s="21" t="str">
        <f aca="false">IFERROR(INDEX(종합!R$3:R$501,MATCH(ROW()-2,종합!$AC$3:$AC$501,0))&amp;"","")</f>
        <v/>
      </c>
      <c r="S352" s="21" t="str">
        <f aca="false">IFERROR(INDEX(종합!S$3:S$501,MATCH(ROW()-2,종합!$AC$3:$AC$501,0))&amp;"","")</f>
        <v/>
      </c>
      <c r="T352" s="21" t="str">
        <f aca="false">IFERROR(INDEX(종합!T$3:T$501,MATCH(ROW()-2,종합!$AC$3:$AC$501,0))&amp;"","")</f>
        <v/>
      </c>
      <c r="U352" s="21" t="str">
        <f aca="false">IFERROR(INDEX(종합!U$3:U$501,MATCH(ROW()-2,종합!$AC$3:$AC$501,0))&amp;"","")</f>
        <v/>
      </c>
      <c r="V352" s="21" t="str">
        <f aca="false">IFERROR(INDEX(종합!V$3:V$501,MATCH(ROW()-2,종합!$AC$3:$AC$501,0))&amp;"","")</f>
        <v/>
      </c>
      <c r="W352" s="21" t="str">
        <f aca="false">IFERROR(INDEX(종합!W$3:W$501,MATCH(ROW()-2,종합!$AC$3:$AC$501,0))&amp;"","")</f>
        <v/>
      </c>
      <c r="X352" s="21" t="str">
        <f aca="false">IFERROR(INDEX(종합!X$3:X$501,MATCH(ROW()-2,종합!$AC$3:$AC$501,0))&amp;"","")</f>
        <v/>
      </c>
      <c r="Y352" s="21" t="str">
        <f aca="false">IFERROR(INDEX(종합!Y$3:Y$501,MATCH(ROW()-2,종합!$AC$3:$AC$501,0))&amp;"","")</f>
        <v/>
      </c>
      <c r="Z352" s="21" t="str">
        <f aca="false">IFERROR(INDEX(종합!Z$3:Z$501,MATCH(ROW()-2,종합!$AC$3:$AC$501,0))&amp;"","")</f>
        <v/>
      </c>
    </row>
    <row r="353" customFormat="false" ht="16.5" hidden="false" customHeight="true" outlineLevel="0" collapsed="false">
      <c r="A353" s="18" t="str">
        <f aca="false">IF(B353="","",ROW()-2)</f>
        <v/>
      </c>
      <c r="B353" s="18" t="str">
        <f aca="false">IFERROR(INDEX(종합!B$3:B$501,MATCH(ROW()-2,종합!$AC$3:$AC$501,0))&amp;"","")</f>
        <v/>
      </c>
      <c r="C353" s="18" t="str">
        <f aca="false">IFERROR(INDEX(종합!C$3:C$501,MATCH(ROW()-2,종합!$AC$3:$AC$501,0))&amp;"","")</f>
        <v/>
      </c>
      <c r="D353" s="18" t="str">
        <f aca="false">IFERROR(INDEX(종합!D$3:D$501,MATCH(ROW()-2,종합!$AC$3:$AC$501,0))&amp;"","")</f>
        <v/>
      </c>
      <c r="E353" s="18" t="str">
        <f aca="false">IFERROR(INDEX(종합!E$3:E$501,MATCH(ROW()-2,종합!$AC$3:$AC$501,0))&amp;"","")</f>
        <v/>
      </c>
      <c r="F353" s="18" t="str">
        <f aca="false">IFERROR(INDEX(종합!F$3:F$501,MATCH(ROW()-2,종합!$AC$3:$AC$501,0))&amp;"","")</f>
        <v/>
      </c>
      <c r="G353" s="18" t="str">
        <f aca="false">IFERROR(INDEX(종합!G$3:G$501,MATCH(ROW()-2,종합!$AC$3:$AC$501,0))&amp;"","")</f>
        <v/>
      </c>
      <c r="H353" s="21" t="str">
        <f aca="false">IFERROR(INDEX(종합!H$3:H$501,MATCH(ROW()-2,종합!$AC$3:$AC$501,0))&amp;"","")</f>
        <v/>
      </c>
      <c r="I353" s="21" t="str">
        <f aca="false">IFERROR(INDEX(종합!I$3:I$501,MATCH(ROW()-2,종합!$AC$3:$AC$501,0))&amp;"","")</f>
        <v/>
      </c>
      <c r="J353" s="21" t="str">
        <f aca="false">IFERROR(INDEX(종합!J$3:J$501,MATCH(ROW()-2,종합!$AC$3:$AC$501,0))&amp;"","")</f>
        <v/>
      </c>
      <c r="K353" s="21" t="str">
        <f aca="false">IFERROR(INDEX(종합!K$3:K$501,MATCH(ROW()-2,종합!$AC$3:$AC$501,0))&amp;"","")</f>
        <v/>
      </c>
      <c r="L353" s="21" t="str">
        <f aca="false">IFERROR(INDEX(종합!L$3:L$501,MATCH(ROW()-2,종합!$AC$3:$AC$501,0))&amp;"","")</f>
        <v/>
      </c>
      <c r="M353" s="21" t="str">
        <f aca="false">IFERROR(INDEX(종합!M$3:M$501,MATCH(ROW()-2,종합!$AC$3:$AC$501,0))&amp;"","")</f>
        <v/>
      </c>
      <c r="N353" s="25" t="str">
        <f aca="false">IFERROR(INDEX(종합!N$3:N$501,MATCH(ROW()-2,종합!$AC$3:$AC$501,0))&amp;"","")</f>
        <v/>
      </c>
      <c r="O353" s="21" t="str">
        <f aca="false">IFERROR(INDEX(종합!O$3:O$501,MATCH(ROW()-2,종합!$AC$3:$AC$501,0))&amp;"","")</f>
        <v/>
      </c>
      <c r="P353" s="21" t="str">
        <f aca="false">IFERROR(INDEX(종합!P$3:P$501,MATCH(ROW()-2,종합!$AC$3:$AC$501,0))&amp;"","")</f>
        <v/>
      </c>
      <c r="Q353" s="21" t="str">
        <f aca="false">IFERROR(INDEX(종합!Q$3:Q$501,MATCH(ROW()-2,종합!$AC$3:$AC$501,0))&amp;"","")</f>
        <v/>
      </c>
      <c r="R353" s="21" t="str">
        <f aca="false">IFERROR(INDEX(종합!R$3:R$501,MATCH(ROW()-2,종합!$AC$3:$AC$501,0))&amp;"","")</f>
        <v/>
      </c>
      <c r="S353" s="21" t="str">
        <f aca="false">IFERROR(INDEX(종합!S$3:S$501,MATCH(ROW()-2,종합!$AC$3:$AC$501,0))&amp;"","")</f>
        <v/>
      </c>
      <c r="T353" s="21" t="str">
        <f aca="false">IFERROR(INDEX(종합!T$3:T$501,MATCH(ROW()-2,종합!$AC$3:$AC$501,0))&amp;"","")</f>
        <v/>
      </c>
      <c r="U353" s="21" t="str">
        <f aca="false">IFERROR(INDEX(종합!U$3:U$501,MATCH(ROW()-2,종합!$AC$3:$AC$501,0))&amp;"","")</f>
        <v/>
      </c>
      <c r="V353" s="21" t="str">
        <f aca="false">IFERROR(INDEX(종합!V$3:V$501,MATCH(ROW()-2,종합!$AC$3:$AC$501,0))&amp;"","")</f>
        <v/>
      </c>
      <c r="W353" s="21" t="str">
        <f aca="false">IFERROR(INDEX(종합!W$3:W$501,MATCH(ROW()-2,종합!$AC$3:$AC$501,0))&amp;"","")</f>
        <v/>
      </c>
      <c r="X353" s="21" t="str">
        <f aca="false">IFERROR(INDEX(종합!X$3:X$501,MATCH(ROW()-2,종합!$AC$3:$AC$501,0))&amp;"","")</f>
        <v/>
      </c>
      <c r="Y353" s="21" t="str">
        <f aca="false">IFERROR(INDEX(종합!Y$3:Y$501,MATCH(ROW()-2,종합!$AC$3:$AC$501,0))&amp;"","")</f>
        <v/>
      </c>
      <c r="Z353" s="21" t="str">
        <f aca="false">IFERROR(INDEX(종합!Z$3:Z$501,MATCH(ROW()-2,종합!$AC$3:$AC$501,0))&amp;"","")</f>
        <v/>
      </c>
    </row>
    <row r="354" customFormat="false" ht="16.5" hidden="false" customHeight="true" outlineLevel="0" collapsed="false">
      <c r="A354" s="18" t="str">
        <f aca="false">IF(B354="","",ROW()-2)</f>
        <v/>
      </c>
      <c r="B354" s="18" t="str">
        <f aca="false">IFERROR(INDEX(종합!B$3:B$501,MATCH(ROW()-2,종합!$AC$3:$AC$501,0))&amp;"","")</f>
        <v/>
      </c>
      <c r="C354" s="18" t="str">
        <f aca="false">IFERROR(INDEX(종합!C$3:C$501,MATCH(ROW()-2,종합!$AC$3:$AC$501,0))&amp;"","")</f>
        <v/>
      </c>
      <c r="D354" s="18" t="str">
        <f aca="false">IFERROR(INDEX(종합!D$3:D$501,MATCH(ROW()-2,종합!$AC$3:$AC$501,0))&amp;"","")</f>
        <v/>
      </c>
      <c r="E354" s="18" t="str">
        <f aca="false">IFERROR(INDEX(종합!E$3:E$501,MATCH(ROW()-2,종합!$AC$3:$AC$501,0))&amp;"","")</f>
        <v/>
      </c>
      <c r="F354" s="18" t="str">
        <f aca="false">IFERROR(INDEX(종합!F$3:F$501,MATCH(ROW()-2,종합!$AC$3:$AC$501,0))&amp;"","")</f>
        <v/>
      </c>
      <c r="G354" s="18" t="str">
        <f aca="false">IFERROR(INDEX(종합!G$3:G$501,MATCH(ROW()-2,종합!$AC$3:$AC$501,0))&amp;"","")</f>
        <v/>
      </c>
      <c r="H354" s="21" t="str">
        <f aca="false">IFERROR(INDEX(종합!H$3:H$501,MATCH(ROW()-2,종합!$AC$3:$AC$501,0))&amp;"","")</f>
        <v/>
      </c>
      <c r="I354" s="21" t="str">
        <f aca="false">IFERROR(INDEX(종합!I$3:I$501,MATCH(ROW()-2,종합!$AC$3:$AC$501,0))&amp;"","")</f>
        <v/>
      </c>
      <c r="J354" s="21" t="str">
        <f aca="false">IFERROR(INDEX(종합!J$3:J$501,MATCH(ROW()-2,종합!$AC$3:$AC$501,0))&amp;"","")</f>
        <v/>
      </c>
      <c r="K354" s="21" t="str">
        <f aca="false">IFERROR(INDEX(종합!K$3:K$501,MATCH(ROW()-2,종합!$AC$3:$AC$501,0))&amp;"","")</f>
        <v/>
      </c>
      <c r="L354" s="21" t="str">
        <f aca="false">IFERROR(INDEX(종합!L$3:L$501,MATCH(ROW()-2,종합!$AC$3:$AC$501,0))&amp;"","")</f>
        <v/>
      </c>
      <c r="M354" s="21" t="str">
        <f aca="false">IFERROR(INDEX(종합!M$3:M$501,MATCH(ROW()-2,종합!$AC$3:$AC$501,0))&amp;"","")</f>
        <v/>
      </c>
      <c r="N354" s="25" t="str">
        <f aca="false">IFERROR(INDEX(종합!N$3:N$501,MATCH(ROW()-2,종합!$AC$3:$AC$501,0))&amp;"","")</f>
        <v/>
      </c>
      <c r="O354" s="21" t="str">
        <f aca="false">IFERROR(INDEX(종합!O$3:O$501,MATCH(ROW()-2,종합!$AC$3:$AC$501,0))&amp;"","")</f>
        <v/>
      </c>
      <c r="P354" s="21" t="str">
        <f aca="false">IFERROR(INDEX(종합!P$3:P$501,MATCH(ROW()-2,종합!$AC$3:$AC$501,0))&amp;"","")</f>
        <v/>
      </c>
      <c r="Q354" s="21" t="str">
        <f aca="false">IFERROR(INDEX(종합!Q$3:Q$501,MATCH(ROW()-2,종합!$AC$3:$AC$501,0))&amp;"","")</f>
        <v/>
      </c>
      <c r="R354" s="21" t="str">
        <f aca="false">IFERROR(INDEX(종합!R$3:R$501,MATCH(ROW()-2,종합!$AC$3:$AC$501,0))&amp;"","")</f>
        <v/>
      </c>
      <c r="S354" s="21" t="str">
        <f aca="false">IFERROR(INDEX(종합!S$3:S$501,MATCH(ROW()-2,종합!$AC$3:$AC$501,0))&amp;"","")</f>
        <v/>
      </c>
      <c r="T354" s="21" t="str">
        <f aca="false">IFERROR(INDEX(종합!T$3:T$501,MATCH(ROW()-2,종합!$AC$3:$AC$501,0))&amp;"","")</f>
        <v/>
      </c>
      <c r="U354" s="21" t="str">
        <f aca="false">IFERROR(INDEX(종합!U$3:U$501,MATCH(ROW()-2,종합!$AC$3:$AC$501,0))&amp;"","")</f>
        <v/>
      </c>
      <c r="V354" s="21" t="str">
        <f aca="false">IFERROR(INDEX(종합!V$3:V$501,MATCH(ROW()-2,종합!$AC$3:$AC$501,0))&amp;"","")</f>
        <v/>
      </c>
      <c r="W354" s="21" t="str">
        <f aca="false">IFERROR(INDEX(종합!W$3:W$501,MATCH(ROW()-2,종합!$AC$3:$AC$501,0))&amp;"","")</f>
        <v/>
      </c>
      <c r="X354" s="21" t="str">
        <f aca="false">IFERROR(INDEX(종합!X$3:X$501,MATCH(ROW()-2,종합!$AC$3:$AC$501,0))&amp;"","")</f>
        <v/>
      </c>
      <c r="Y354" s="21" t="str">
        <f aca="false">IFERROR(INDEX(종합!Y$3:Y$501,MATCH(ROW()-2,종합!$AC$3:$AC$501,0))&amp;"","")</f>
        <v/>
      </c>
      <c r="Z354" s="21" t="str">
        <f aca="false">IFERROR(INDEX(종합!Z$3:Z$501,MATCH(ROW()-2,종합!$AC$3:$AC$501,0))&amp;"","")</f>
        <v/>
      </c>
    </row>
    <row r="355" customFormat="false" ht="16.5" hidden="false" customHeight="true" outlineLevel="0" collapsed="false">
      <c r="A355" s="18" t="str">
        <f aca="false">IF(B355="","",ROW()-2)</f>
        <v/>
      </c>
      <c r="B355" s="18" t="str">
        <f aca="false">IFERROR(INDEX(종합!B$3:B$501,MATCH(ROW()-2,종합!$AC$3:$AC$501,0))&amp;"","")</f>
        <v/>
      </c>
      <c r="C355" s="18" t="str">
        <f aca="false">IFERROR(INDEX(종합!C$3:C$501,MATCH(ROW()-2,종합!$AC$3:$AC$501,0))&amp;"","")</f>
        <v/>
      </c>
      <c r="D355" s="18" t="str">
        <f aca="false">IFERROR(INDEX(종합!D$3:D$501,MATCH(ROW()-2,종합!$AC$3:$AC$501,0))&amp;"","")</f>
        <v/>
      </c>
      <c r="E355" s="18" t="str">
        <f aca="false">IFERROR(INDEX(종합!E$3:E$501,MATCH(ROW()-2,종합!$AC$3:$AC$501,0))&amp;"","")</f>
        <v/>
      </c>
      <c r="F355" s="18" t="str">
        <f aca="false">IFERROR(INDEX(종합!F$3:F$501,MATCH(ROW()-2,종합!$AC$3:$AC$501,0))&amp;"","")</f>
        <v/>
      </c>
      <c r="G355" s="18" t="str">
        <f aca="false">IFERROR(INDEX(종합!G$3:G$501,MATCH(ROW()-2,종합!$AC$3:$AC$501,0))&amp;"","")</f>
        <v/>
      </c>
      <c r="H355" s="21" t="str">
        <f aca="false">IFERROR(INDEX(종합!H$3:H$501,MATCH(ROW()-2,종합!$AC$3:$AC$501,0))&amp;"","")</f>
        <v/>
      </c>
      <c r="I355" s="21" t="str">
        <f aca="false">IFERROR(INDEX(종합!I$3:I$501,MATCH(ROW()-2,종합!$AC$3:$AC$501,0))&amp;"","")</f>
        <v/>
      </c>
      <c r="J355" s="21" t="str">
        <f aca="false">IFERROR(INDEX(종합!J$3:J$501,MATCH(ROW()-2,종합!$AC$3:$AC$501,0))&amp;"","")</f>
        <v/>
      </c>
      <c r="K355" s="21" t="str">
        <f aca="false">IFERROR(INDEX(종합!K$3:K$501,MATCH(ROW()-2,종합!$AC$3:$AC$501,0))&amp;"","")</f>
        <v/>
      </c>
      <c r="L355" s="21" t="str">
        <f aca="false">IFERROR(INDEX(종합!L$3:L$501,MATCH(ROW()-2,종합!$AC$3:$AC$501,0))&amp;"","")</f>
        <v/>
      </c>
      <c r="M355" s="21" t="str">
        <f aca="false">IFERROR(INDEX(종합!M$3:M$501,MATCH(ROW()-2,종합!$AC$3:$AC$501,0))&amp;"","")</f>
        <v/>
      </c>
      <c r="N355" s="25" t="str">
        <f aca="false">IFERROR(INDEX(종합!N$3:N$501,MATCH(ROW()-2,종합!$AC$3:$AC$501,0))&amp;"","")</f>
        <v/>
      </c>
      <c r="O355" s="21" t="str">
        <f aca="false">IFERROR(INDEX(종합!O$3:O$501,MATCH(ROW()-2,종합!$AC$3:$AC$501,0))&amp;"","")</f>
        <v/>
      </c>
      <c r="P355" s="21" t="str">
        <f aca="false">IFERROR(INDEX(종합!P$3:P$501,MATCH(ROW()-2,종합!$AC$3:$AC$501,0))&amp;"","")</f>
        <v/>
      </c>
      <c r="Q355" s="21" t="str">
        <f aca="false">IFERROR(INDEX(종합!Q$3:Q$501,MATCH(ROW()-2,종합!$AC$3:$AC$501,0))&amp;"","")</f>
        <v/>
      </c>
      <c r="R355" s="21" t="str">
        <f aca="false">IFERROR(INDEX(종합!R$3:R$501,MATCH(ROW()-2,종합!$AC$3:$AC$501,0))&amp;"","")</f>
        <v/>
      </c>
      <c r="S355" s="21" t="str">
        <f aca="false">IFERROR(INDEX(종합!S$3:S$501,MATCH(ROW()-2,종합!$AC$3:$AC$501,0))&amp;"","")</f>
        <v/>
      </c>
      <c r="T355" s="21" t="str">
        <f aca="false">IFERROR(INDEX(종합!T$3:T$501,MATCH(ROW()-2,종합!$AC$3:$AC$501,0))&amp;"","")</f>
        <v/>
      </c>
      <c r="U355" s="21" t="str">
        <f aca="false">IFERROR(INDEX(종합!U$3:U$501,MATCH(ROW()-2,종합!$AC$3:$AC$501,0))&amp;"","")</f>
        <v/>
      </c>
      <c r="V355" s="21" t="str">
        <f aca="false">IFERROR(INDEX(종합!V$3:V$501,MATCH(ROW()-2,종합!$AC$3:$AC$501,0))&amp;"","")</f>
        <v/>
      </c>
      <c r="W355" s="21" t="str">
        <f aca="false">IFERROR(INDEX(종합!W$3:W$501,MATCH(ROW()-2,종합!$AC$3:$AC$501,0))&amp;"","")</f>
        <v/>
      </c>
      <c r="X355" s="21" t="str">
        <f aca="false">IFERROR(INDEX(종합!X$3:X$501,MATCH(ROW()-2,종합!$AC$3:$AC$501,0))&amp;"","")</f>
        <v/>
      </c>
      <c r="Y355" s="21" t="str">
        <f aca="false">IFERROR(INDEX(종합!Y$3:Y$501,MATCH(ROW()-2,종합!$AC$3:$AC$501,0))&amp;"","")</f>
        <v/>
      </c>
      <c r="Z355" s="21" t="str">
        <f aca="false">IFERROR(INDEX(종합!Z$3:Z$501,MATCH(ROW()-2,종합!$AC$3:$AC$501,0))&amp;"","")</f>
        <v/>
      </c>
    </row>
    <row r="356" customFormat="false" ht="16.5" hidden="false" customHeight="true" outlineLevel="0" collapsed="false">
      <c r="A356" s="18" t="str">
        <f aca="false">IF(B356="","",ROW()-2)</f>
        <v/>
      </c>
      <c r="B356" s="18" t="str">
        <f aca="false">IFERROR(INDEX(종합!B$3:B$501,MATCH(ROW()-2,종합!$AC$3:$AC$501,0))&amp;"","")</f>
        <v/>
      </c>
      <c r="C356" s="18" t="str">
        <f aca="false">IFERROR(INDEX(종합!C$3:C$501,MATCH(ROW()-2,종합!$AC$3:$AC$501,0))&amp;"","")</f>
        <v/>
      </c>
      <c r="D356" s="18" t="str">
        <f aca="false">IFERROR(INDEX(종합!D$3:D$501,MATCH(ROW()-2,종합!$AC$3:$AC$501,0))&amp;"","")</f>
        <v/>
      </c>
      <c r="E356" s="18" t="str">
        <f aca="false">IFERROR(INDEX(종합!E$3:E$501,MATCH(ROW()-2,종합!$AC$3:$AC$501,0))&amp;"","")</f>
        <v/>
      </c>
      <c r="F356" s="18" t="str">
        <f aca="false">IFERROR(INDEX(종합!F$3:F$501,MATCH(ROW()-2,종합!$AC$3:$AC$501,0))&amp;"","")</f>
        <v/>
      </c>
      <c r="G356" s="18" t="str">
        <f aca="false">IFERROR(INDEX(종합!G$3:G$501,MATCH(ROW()-2,종합!$AC$3:$AC$501,0))&amp;"","")</f>
        <v/>
      </c>
      <c r="H356" s="21" t="str">
        <f aca="false">IFERROR(INDEX(종합!H$3:H$501,MATCH(ROW()-2,종합!$AC$3:$AC$501,0))&amp;"","")</f>
        <v/>
      </c>
      <c r="I356" s="21" t="str">
        <f aca="false">IFERROR(INDEX(종합!I$3:I$501,MATCH(ROW()-2,종합!$AC$3:$AC$501,0))&amp;"","")</f>
        <v/>
      </c>
      <c r="J356" s="21" t="str">
        <f aca="false">IFERROR(INDEX(종합!J$3:J$501,MATCH(ROW()-2,종합!$AC$3:$AC$501,0))&amp;"","")</f>
        <v/>
      </c>
      <c r="K356" s="21" t="str">
        <f aca="false">IFERROR(INDEX(종합!K$3:K$501,MATCH(ROW()-2,종합!$AC$3:$AC$501,0))&amp;"","")</f>
        <v/>
      </c>
      <c r="L356" s="21" t="str">
        <f aca="false">IFERROR(INDEX(종합!L$3:L$501,MATCH(ROW()-2,종합!$AC$3:$AC$501,0))&amp;"","")</f>
        <v/>
      </c>
      <c r="M356" s="21" t="str">
        <f aca="false">IFERROR(INDEX(종합!M$3:M$501,MATCH(ROW()-2,종합!$AC$3:$AC$501,0))&amp;"","")</f>
        <v/>
      </c>
      <c r="N356" s="25" t="str">
        <f aca="false">IFERROR(INDEX(종합!N$3:N$501,MATCH(ROW()-2,종합!$AC$3:$AC$501,0))&amp;"","")</f>
        <v/>
      </c>
      <c r="O356" s="21" t="str">
        <f aca="false">IFERROR(INDEX(종합!O$3:O$501,MATCH(ROW()-2,종합!$AC$3:$AC$501,0))&amp;"","")</f>
        <v/>
      </c>
      <c r="P356" s="21" t="str">
        <f aca="false">IFERROR(INDEX(종합!P$3:P$501,MATCH(ROW()-2,종합!$AC$3:$AC$501,0))&amp;"","")</f>
        <v/>
      </c>
      <c r="Q356" s="21" t="str">
        <f aca="false">IFERROR(INDEX(종합!Q$3:Q$501,MATCH(ROW()-2,종합!$AC$3:$AC$501,0))&amp;"","")</f>
        <v/>
      </c>
      <c r="R356" s="21" t="str">
        <f aca="false">IFERROR(INDEX(종합!R$3:R$501,MATCH(ROW()-2,종합!$AC$3:$AC$501,0))&amp;"","")</f>
        <v/>
      </c>
      <c r="S356" s="21" t="str">
        <f aca="false">IFERROR(INDEX(종합!S$3:S$501,MATCH(ROW()-2,종합!$AC$3:$AC$501,0))&amp;"","")</f>
        <v/>
      </c>
      <c r="T356" s="21" t="str">
        <f aca="false">IFERROR(INDEX(종합!T$3:T$501,MATCH(ROW()-2,종합!$AC$3:$AC$501,0))&amp;"","")</f>
        <v/>
      </c>
      <c r="U356" s="21" t="str">
        <f aca="false">IFERROR(INDEX(종합!U$3:U$501,MATCH(ROW()-2,종합!$AC$3:$AC$501,0))&amp;"","")</f>
        <v/>
      </c>
      <c r="V356" s="21" t="str">
        <f aca="false">IFERROR(INDEX(종합!V$3:V$501,MATCH(ROW()-2,종합!$AC$3:$AC$501,0))&amp;"","")</f>
        <v/>
      </c>
      <c r="W356" s="21" t="str">
        <f aca="false">IFERROR(INDEX(종합!W$3:W$501,MATCH(ROW()-2,종합!$AC$3:$AC$501,0))&amp;"","")</f>
        <v/>
      </c>
      <c r="X356" s="21" t="str">
        <f aca="false">IFERROR(INDEX(종합!X$3:X$501,MATCH(ROW()-2,종합!$AC$3:$AC$501,0))&amp;"","")</f>
        <v/>
      </c>
      <c r="Y356" s="21" t="str">
        <f aca="false">IFERROR(INDEX(종합!Y$3:Y$501,MATCH(ROW()-2,종합!$AC$3:$AC$501,0))&amp;"","")</f>
        <v/>
      </c>
      <c r="Z356" s="21" t="str">
        <f aca="false">IFERROR(INDEX(종합!Z$3:Z$501,MATCH(ROW()-2,종합!$AC$3:$AC$501,0))&amp;"","")</f>
        <v/>
      </c>
    </row>
    <row r="357" customFormat="false" ht="16.5" hidden="false" customHeight="true" outlineLevel="0" collapsed="false">
      <c r="A357" s="18" t="str">
        <f aca="false">IF(B357="","",ROW()-2)</f>
        <v/>
      </c>
      <c r="B357" s="18" t="str">
        <f aca="false">IFERROR(INDEX(종합!B$3:B$501,MATCH(ROW()-2,종합!$AC$3:$AC$501,0))&amp;"","")</f>
        <v/>
      </c>
      <c r="C357" s="18" t="str">
        <f aca="false">IFERROR(INDEX(종합!C$3:C$501,MATCH(ROW()-2,종합!$AC$3:$AC$501,0))&amp;"","")</f>
        <v/>
      </c>
      <c r="D357" s="18" t="str">
        <f aca="false">IFERROR(INDEX(종합!D$3:D$501,MATCH(ROW()-2,종합!$AC$3:$AC$501,0))&amp;"","")</f>
        <v/>
      </c>
      <c r="E357" s="18" t="str">
        <f aca="false">IFERROR(INDEX(종합!E$3:E$501,MATCH(ROW()-2,종합!$AC$3:$AC$501,0))&amp;"","")</f>
        <v/>
      </c>
      <c r="F357" s="18" t="str">
        <f aca="false">IFERROR(INDEX(종합!F$3:F$501,MATCH(ROW()-2,종합!$AC$3:$AC$501,0))&amp;"","")</f>
        <v/>
      </c>
      <c r="G357" s="18" t="str">
        <f aca="false">IFERROR(INDEX(종합!G$3:G$501,MATCH(ROW()-2,종합!$AC$3:$AC$501,0))&amp;"","")</f>
        <v/>
      </c>
      <c r="H357" s="21" t="str">
        <f aca="false">IFERROR(INDEX(종합!H$3:H$501,MATCH(ROW()-2,종합!$AC$3:$AC$501,0))&amp;"","")</f>
        <v/>
      </c>
      <c r="I357" s="21" t="str">
        <f aca="false">IFERROR(INDEX(종합!I$3:I$501,MATCH(ROW()-2,종합!$AC$3:$AC$501,0))&amp;"","")</f>
        <v/>
      </c>
      <c r="J357" s="21" t="str">
        <f aca="false">IFERROR(INDEX(종합!J$3:J$501,MATCH(ROW()-2,종합!$AC$3:$AC$501,0))&amp;"","")</f>
        <v/>
      </c>
      <c r="K357" s="21" t="str">
        <f aca="false">IFERROR(INDEX(종합!K$3:K$501,MATCH(ROW()-2,종합!$AC$3:$AC$501,0))&amp;"","")</f>
        <v/>
      </c>
      <c r="L357" s="21" t="str">
        <f aca="false">IFERROR(INDEX(종합!L$3:L$501,MATCH(ROW()-2,종합!$AC$3:$AC$501,0))&amp;"","")</f>
        <v/>
      </c>
      <c r="M357" s="21" t="str">
        <f aca="false">IFERROR(INDEX(종합!M$3:M$501,MATCH(ROW()-2,종합!$AC$3:$AC$501,0))&amp;"","")</f>
        <v/>
      </c>
      <c r="N357" s="25" t="str">
        <f aca="false">IFERROR(INDEX(종합!N$3:N$501,MATCH(ROW()-2,종합!$AC$3:$AC$501,0))&amp;"","")</f>
        <v/>
      </c>
      <c r="O357" s="21" t="str">
        <f aca="false">IFERROR(INDEX(종합!O$3:O$501,MATCH(ROW()-2,종합!$AC$3:$AC$501,0))&amp;"","")</f>
        <v/>
      </c>
      <c r="P357" s="21" t="str">
        <f aca="false">IFERROR(INDEX(종합!P$3:P$501,MATCH(ROW()-2,종합!$AC$3:$AC$501,0))&amp;"","")</f>
        <v/>
      </c>
      <c r="Q357" s="21" t="str">
        <f aca="false">IFERROR(INDEX(종합!Q$3:Q$501,MATCH(ROW()-2,종합!$AC$3:$AC$501,0))&amp;"","")</f>
        <v/>
      </c>
      <c r="R357" s="21" t="str">
        <f aca="false">IFERROR(INDEX(종합!R$3:R$501,MATCH(ROW()-2,종합!$AC$3:$AC$501,0))&amp;"","")</f>
        <v/>
      </c>
      <c r="S357" s="21" t="str">
        <f aca="false">IFERROR(INDEX(종합!S$3:S$501,MATCH(ROW()-2,종합!$AC$3:$AC$501,0))&amp;"","")</f>
        <v/>
      </c>
      <c r="T357" s="21" t="str">
        <f aca="false">IFERROR(INDEX(종합!T$3:T$501,MATCH(ROW()-2,종합!$AC$3:$AC$501,0))&amp;"","")</f>
        <v/>
      </c>
      <c r="U357" s="21" t="str">
        <f aca="false">IFERROR(INDEX(종합!U$3:U$501,MATCH(ROW()-2,종합!$AC$3:$AC$501,0))&amp;"","")</f>
        <v/>
      </c>
      <c r="V357" s="21" t="str">
        <f aca="false">IFERROR(INDEX(종합!V$3:V$501,MATCH(ROW()-2,종합!$AC$3:$AC$501,0))&amp;"","")</f>
        <v/>
      </c>
      <c r="W357" s="21" t="str">
        <f aca="false">IFERROR(INDEX(종합!W$3:W$501,MATCH(ROW()-2,종합!$AC$3:$AC$501,0))&amp;"","")</f>
        <v/>
      </c>
      <c r="X357" s="21" t="str">
        <f aca="false">IFERROR(INDEX(종합!X$3:X$501,MATCH(ROW()-2,종합!$AC$3:$AC$501,0))&amp;"","")</f>
        <v/>
      </c>
      <c r="Y357" s="21" t="str">
        <f aca="false">IFERROR(INDEX(종합!Y$3:Y$501,MATCH(ROW()-2,종합!$AC$3:$AC$501,0))&amp;"","")</f>
        <v/>
      </c>
      <c r="Z357" s="21" t="str">
        <f aca="false">IFERROR(INDEX(종합!Z$3:Z$501,MATCH(ROW()-2,종합!$AC$3:$AC$501,0))&amp;"","")</f>
        <v/>
      </c>
    </row>
    <row r="358" customFormat="false" ht="16.5" hidden="false" customHeight="true" outlineLevel="0" collapsed="false">
      <c r="A358" s="18" t="str">
        <f aca="false">IF(B358="","",ROW()-2)</f>
        <v/>
      </c>
      <c r="B358" s="18" t="str">
        <f aca="false">IFERROR(INDEX(종합!B$3:B$501,MATCH(ROW()-2,종합!$AC$3:$AC$501,0))&amp;"","")</f>
        <v/>
      </c>
      <c r="C358" s="18" t="str">
        <f aca="false">IFERROR(INDEX(종합!C$3:C$501,MATCH(ROW()-2,종합!$AC$3:$AC$501,0))&amp;"","")</f>
        <v/>
      </c>
      <c r="D358" s="18" t="str">
        <f aca="false">IFERROR(INDEX(종합!D$3:D$501,MATCH(ROW()-2,종합!$AC$3:$AC$501,0))&amp;"","")</f>
        <v/>
      </c>
      <c r="E358" s="18" t="str">
        <f aca="false">IFERROR(INDEX(종합!E$3:E$501,MATCH(ROW()-2,종합!$AC$3:$AC$501,0))&amp;"","")</f>
        <v/>
      </c>
      <c r="F358" s="18" t="str">
        <f aca="false">IFERROR(INDEX(종합!F$3:F$501,MATCH(ROW()-2,종합!$AC$3:$AC$501,0))&amp;"","")</f>
        <v/>
      </c>
      <c r="G358" s="18" t="str">
        <f aca="false">IFERROR(INDEX(종합!G$3:G$501,MATCH(ROW()-2,종합!$AC$3:$AC$501,0))&amp;"","")</f>
        <v/>
      </c>
      <c r="H358" s="21" t="str">
        <f aca="false">IFERROR(INDEX(종합!H$3:H$501,MATCH(ROW()-2,종합!$AC$3:$AC$501,0))&amp;"","")</f>
        <v/>
      </c>
      <c r="I358" s="21" t="str">
        <f aca="false">IFERROR(INDEX(종합!I$3:I$501,MATCH(ROW()-2,종합!$AC$3:$AC$501,0))&amp;"","")</f>
        <v/>
      </c>
      <c r="J358" s="21" t="str">
        <f aca="false">IFERROR(INDEX(종합!J$3:J$501,MATCH(ROW()-2,종합!$AC$3:$AC$501,0))&amp;"","")</f>
        <v/>
      </c>
      <c r="K358" s="21" t="str">
        <f aca="false">IFERROR(INDEX(종합!K$3:K$501,MATCH(ROW()-2,종합!$AC$3:$AC$501,0))&amp;"","")</f>
        <v/>
      </c>
      <c r="L358" s="21" t="str">
        <f aca="false">IFERROR(INDEX(종합!L$3:L$501,MATCH(ROW()-2,종합!$AC$3:$AC$501,0))&amp;"","")</f>
        <v/>
      </c>
      <c r="M358" s="21" t="str">
        <f aca="false">IFERROR(INDEX(종합!M$3:M$501,MATCH(ROW()-2,종합!$AC$3:$AC$501,0))&amp;"","")</f>
        <v/>
      </c>
      <c r="N358" s="25" t="str">
        <f aca="false">IFERROR(INDEX(종합!N$3:N$501,MATCH(ROW()-2,종합!$AC$3:$AC$501,0))&amp;"","")</f>
        <v/>
      </c>
      <c r="O358" s="21" t="str">
        <f aca="false">IFERROR(INDEX(종합!O$3:O$501,MATCH(ROW()-2,종합!$AC$3:$AC$501,0))&amp;"","")</f>
        <v/>
      </c>
      <c r="P358" s="21" t="str">
        <f aca="false">IFERROR(INDEX(종합!P$3:P$501,MATCH(ROW()-2,종합!$AC$3:$AC$501,0))&amp;"","")</f>
        <v/>
      </c>
      <c r="Q358" s="21" t="str">
        <f aca="false">IFERROR(INDEX(종합!Q$3:Q$501,MATCH(ROW()-2,종합!$AC$3:$AC$501,0))&amp;"","")</f>
        <v/>
      </c>
      <c r="R358" s="21" t="str">
        <f aca="false">IFERROR(INDEX(종합!R$3:R$501,MATCH(ROW()-2,종합!$AC$3:$AC$501,0))&amp;"","")</f>
        <v/>
      </c>
      <c r="S358" s="21" t="str">
        <f aca="false">IFERROR(INDEX(종합!S$3:S$501,MATCH(ROW()-2,종합!$AC$3:$AC$501,0))&amp;"","")</f>
        <v/>
      </c>
      <c r="T358" s="21" t="str">
        <f aca="false">IFERROR(INDEX(종합!T$3:T$501,MATCH(ROW()-2,종합!$AC$3:$AC$501,0))&amp;"","")</f>
        <v/>
      </c>
      <c r="U358" s="21" t="str">
        <f aca="false">IFERROR(INDEX(종합!U$3:U$501,MATCH(ROW()-2,종합!$AC$3:$AC$501,0))&amp;"","")</f>
        <v/>
      </c>
      <c r="V358" s="21" t="str">
        <f aca="false">IFERROR(INDEX(종합!V$3:V$501,MATCH(ROW()-2,종합!$AC$3:$AC$501,0))&amp;"","")</f>
        <v/>
      </c>
      <c r="W358" s="21" t="str">
        <f aca="false">IFERROR(INDEX(종합!W$3:W$501,MATCH(ROW()-2,종합!$AC$3:$AC$501,0))&amp;"","")</f>
        <v/>
      </c>
      <c r="X358" s="21" t="str">
        <f aca="false">IFERROR(INDEX(종합!X$3:X$501,MATCH(ROW()-2,종합!$AC$3:$AC$501,0))&amp;"","")</f>
        <v/>
      </c>
      <c r="Y358" s="21" t="str">
        <f aca="false">IFERROR(INDEX(종합!Y$3:Y$501,MATCH(ROW()-2,종합!$AC$3:$AC$501,0))&amp;"","")</f>
        <v/>
      </c>
      <c r="Z358" s="21" t="str">
        <f aca="false">IFERROR(INDEX(종합!Z$3:Z$501,MATCH(ROW()-2,종합!$AC$3:$AC$501,0))&amp;"","")</f>
        <v/>
      </c>
    </row>
    <row r="359" customFormat="false" ht="16.5" hidden="false" customHeight="true" outlineLevel="0" collapsed="false">
      <c r="A359" s="18" t="str">
        <f aca="false">IF(B359="","",ROW()-2)</f>
        <v/>
      </c>
      <c r="B359" s="18" t="str">
        <f aca="false">IFERROR(INDEX(종합!B$3:B$501,MATCH(ROW()-2,종합!$AC$3:$AC$501,0))&amp;"","")</f>
        <v/>
      </c>
      <c r="C359" s="18" t="str">
        <f aca="false">IFERROR(INDEX(종합!C$3:C$501,MATCH(ROW()-2,종합!$AC$3:$AC$501,0))&amp;"","")</f>
        <v/>
      </c>
      <c r="D359" s="18" t="str">
        <f aca="false">IFERROR(INDEX(종합!D$3:D$501,MATCH(ROW()-2,종합!$AC$3:$AC$501,0))&amp;"","")</f>
        <v/>
      </c>
      <c r="E359" s="18" t="str">
        <f aca="false">IFERROR(INDEX(종합!E$3:E$501,MATCH(ROW()-2,종합!$AC$3:$AC$501,0))&amp;"","")</f>
        <v/>
      </c>
      <c r="F359" s="18" t="str">
        <f aca="false">IFERROR(INDEX(종합!F$3:F$501,MATCH(ROW()-2,종합!$AC$3:$AC$501,0))&amp;"","")</f>
        <v/>
      </c>
      <c r="G359" s="18" t="str">
        <f aca="false">IFERROR(INDEX(종합!G$3:G$501,MATCH(ROW()-2,종합!$AC$3:$AC$501,0))&amp;"","")</f>
        <v/>
      </c>
      <c r="H359" s="21" t="str">
        <f aca="false">IFERROR(INDEX(종합!H$3:H$501,MATCH(ROW()-2,종합!$AC$3:$AC$501,0))&amp;"","")</f>
        <v/>
      </c>
      <c r="I359" s="21" t="str">
        <f aca="false">IFERROR(INDEX(종합!I$3:I$501,MATCH(ROW()-2,종합!$AC$3:$AC$501,0))&amp;"","")</f>
        <v/>
      </c>
      <c r="J359" s="21" t="str">
        <f aca="false">IFERROR(INDEX(종합!J$3:J$501,MATCH(ROW()-2,종합!$AC$3:$AC$501,0))&amp;"","")</f>
        <v/>
      </c>
      <c r="K359" s="21" t="str">
        <f aca="false">IFERROR(INDEX(종합!K$3:K$501,MATCH(ROW()-2,종합!$AC$3:$AC$501,0))&amp;"","")</f>
        <v/>
      </c>
      <c r="L359" s="21" t="str">
        <f aca="false">IFERROR(INDEX(종합!L$3:L$501,MATCH(ROW()-2,종합!$AC$3:$AC$501,0))&amp;"","")</f>
        <v/>
      </c>
      <c r="M359" s="21" t="str">
        <f aca="false">IFERROR(INDEX(종합!M$3:M$501,MATCH(ROW()-2,종합!$AC$3:$AC$501,0))&amp;"","")</f>
        <v/>
      </c>
      <c r="N359" s="25" t="str">
        <f aca="false">IFERROR(INDEX(종합!N$3:N$501,MATCH(ROW()-2,종합!$AC$3:$AC$501,0))&amp;"","")</f>
        <v/>
      </c>
      <c r="O359" s="21" t="str">
        <f aca="false">IFERROR(INDEX(종합!O$3:O$501,MATCH(ROW()-2,종합!$AC$3:$AC$501,0))&amp;"","")</f>
        <v/>
      </c>
      <c r="P359" s="21" t="str">
        <f aca="false">IFERROR(INDEX(종합!P$3:P$501,MATCH(ROW()-2,종합!$AC$3:$AC$501,0))&amp;"","")</f>
        <v/>
      </c>
      <c r="Q359" s="21" t="str">
        <f aca="false">IFERROR(INDEX(종합!Q$3:Q$501,MATCH(ROW()-2,종합!$AC$3:$AC$501,0))&amp;"","")</f>
        <v/>
      </c>
      <c r="R359" s="21" t="str">
        <f aca="false">IFERROR(INDEX(종합!R$3:R$501,MATCH(ROW()-2,종합!$AC$3:$AC$501,0))&amp;"","")</f>
        <v/>
      </c>
      <c r="S359" s="21" t="str">
        <f aca="false">IFERROR(INDEX(종합!S$3:S$501,MATCH(ROW()-2,종합!$AC$3:$AC$501,0))&amp;"","")</f>
        <v/>
      </c>
      <c r="T359" s="21" t="str">
        <f aca="false">IFERROR(INDEX(종합!T$3:T$501,MATCH(ROW()-2,종합!$AC$3:$AC$501,0))&amp;"","")</f>
        <v/>
      </c>
      <c r="U359" s="21" t="str">
        <f aca="false">IFERROR(INDEX(종합!U$3:U$501,MATCH(ROW()-2,종합!$AC$3:$AC$501,0))&amp;"","")</f>
        <v/>
      </c>
      <c r="V359" s="21" t="str">
        <f aca="false">IFERROR(INDEX(종합!V$3:V$501,MATCH(ROW()-2,종합!$AC$3:$AC$501,0))&amp;"","")</f>
        <v/>
      </c>
      <c r="W359" s="21" t="str">
        <f aca="false">IFERROR(INDEX(종합!W$3:W$501,MATCH(ROW()-2,종합!$AC$3:$AC$501,0))&amp;"","")</f>
        <v/>
      </c>
      <c r="X359" s="21" t="str">
        <f aca="false">IFERROR(INDEX(종합!X$3:X$501,MATCH(ROW()-2,종합!$AC$3:$AC$501,0))&amp;"","")</f>
        <v/>
      </c>
      <c r="Y359" s="21" t="str">
        <f aca="false">IFERROR(INDEX(종합!Y$3:Y$501,MATCH(ROW()-2,종합!$AC$3:$AC$501,0))&amp;"","")</f>
        <v/>
      </c>
      <c r="Z359" s="21" t="str">
        <f aca="false">IFERROR(INDEX(종합!Z$3:Z$501,MATCH(ROW()-2,종합!$AC$3:$AC$501,0))&amp;"","")</f>
        <v/>
      </c>
    </row>
    <row r="360" customFormat="false" ht="16.5" hidden="false" customHeight="true" outlineLevel="0" collapsed="false">
      <c r="A360" s="18" t="str">
        <f aca="false">IF(B360="","",ROW()-2)</f>
        <v/>
      </c>
      <c r="B360" s="18" t="str">
        <f aca="false">IFERROR(INDEX(종합!B$3:B$501,MATCH(ROW()-2,종합!$AC$3:$AC$501,0))&amp;"","")</f>
        <v/>
      </c>
      <c r="C360" s="18" t="str">
        <f aca="false">IFERROR(INDEX(종합!C$3:C$501,MATCH(ROW()-2,종합!$AC$3:$AC$501,0))&amp;"","")</f>
        <v/>
      </c>
      <c r="D360" s="18" t="str">
        <f aca="false">IFERROR(INDEX(종합!D$3:D$501,MATCH(ROW()-2,종합!$AC$3:$AC$501,0))&amp;"","")</f>
        <v/>
      </c>
      <c r="E360" s="18" t="str">
        <f aca="false">IFERROR(INDEX(종합!E$3:E$501,MATCH(ROW()-2,종합!$AC$3:$AC$501,0))&amp;"","")</f>
        <v/>
      </c>
      <c r="F360" s="18" t="str">
        <f aca="false">IFERROR(INDEX(종합!F$3:F$501,MATCH(ROW()-2,종합!$AC$3:$AC$501,0))&amp;"","")</f>
        <v/>
      </c>
      <c r="G360" s="18" t="str">
        <f aca="false">IFERROR(INDEX(종합!G$3:G$501,MATCH(ROW()-2,종합!$AC$3:$AC$501,0))&amp;"","")</f>
        <v/>
      </c>
      <c r="H360" s="21" t="str">
        <f aca="false">IFERROR(INDEX(종합!H$3:H$501,MATCH(ROW()-2,종합!$AC$3:$AC$501,0))&amp;"","")</f>
        <v/>
      </c>
      <c r="I360" s="21" t="str">
        <f aca="false">IFERROR(INDEX(종합!I$3:I$501,MATCH(ROW()-2,종합!$AC$3:$AC$501,0))&amp;"","")</f>
        <v/>
      </c>
      <c r="J360" s="21" t="str">
        <f aca="false">IFERROR(INDEX(종합!J$3:J$501,MATCH(ROW()-2,종합!$AC$3:$AC$501,0))&amp;"","")</f>
        <v/>
      </c>
      <c r="K360" s="21" t="str">
        <f aca="false">IFERROR(INDEX(종합!K$3:K$501,MATCH(ROW()-2,종합!$AC$3:$AC$501,0))&amp;"","")</f>
        <v/>
      </c>
      <c r="L360" s="21" t="str">
        <f aca="false">IFERROR(INDEX(종합!L$3:L$501,MATCH(ROW()-2,종합!$AC$3:$AC$501,0))&amp;"","")</f>
        <v/>
      </c>
      <c r="M360" s="21" t="str">
        <f aca="false">IFERROR(INDEX(종합!M$3:M$501,MATCH(ROW()-2,종합!$AC$3:$AC$501,0))&amp;"","")</f>
        <v/>
      </c>
      <c r="N360" s="25" t="str">
        <f aca="false">IFERROR(INDEX(종합!N$3:N$501,MATCH(ROW()-2,종합!$AC$3:$AC$501,0))&amp;"","")</f>
        <v/>
      </c>
      <c r="O360" s="21" t="str">
        <f aca="false">IFERROR(INDEX(종합!O$3:O$501,MATCH(ROW()-2,종합!$AC$3:$AC$501,0))&amp;"","")</f>
        <v/>
      </c>
      <c r="P360" s="21" t="str">
        <f aca="false">IFERROR(INDEX(종합!P$3:P$501,MATCH(ROW()-2,종합!$AC$3:$AC$501,0))&amp;"","")</f>
        <v/>
      </c>
      <c r="Q360" s="21" t="str">
        <f aca="false">IFERROR(INDEX(종합!Q$3:Q$501,MATCH(ROW()-2,종합!$AC$3:$AC$501,0))&amp;"","")</f>
        <v/>
      </c>
      <c r="R360" s="21" t="str">
        <f aca="false">IFERROR(INDEX(종합!R$3:R$501,MATCH(ROW()-2,종합!$AC$3:$AC$501,0))&amp;"","")</f>
        <v/>
      </c>
      <c r="S360" s="21" t="str">
        <f aca="false">IFERROR(INDEX(종합!S$3:S$501,MATCH(ROW()-2,종합!$AC$3:$AC$501,0))&amp;"","")</f>
        <v/>
      </c>
      <c r="T360" s="21" t="str">
        <f aca="false">IFERROR(INDEX(종합!T$3:T$501,MATCH(ROW()-2,종합!$AC$3:$AC$501,0))&amp;"","")</f>
        <v/>
      </c>
      <c r="U360" s="21" t="str">
        <f aca="false">IFERROR(INDEX(종합!U$3:U$501,MATCH(ROW()-2,종합!$AC$3:$AC$501,0))&amp;"","")</f>
        <v/>
      </c>
      <c r="V360" s="21" t="str">
        <f aca="false">IFERROR(INDEX(종합!V$3:V$501,MATCH(ROW()-2,종합!$AC$3:$AC$501,0))&amp;"","")</f>
        <v/>
      </c>
      <c r="W360" s="21" t="str">
        <f aca="false">IFERROR(INDEX(종합!W$3:W$501,MATCH(ROW()-2,종합!$AC$3:$AC$501,0))&amp;"","")</f>
        <v/>
      </c>
      <c r="X360" s="21" t="str">
        <f aca="false">IFERROR(INDEX(종합!X$3:X$501,MATCH(ROW()-2,종합!$AC$3:$AC$501,0))&amp;"","")</f>
        <v/>
      </c>
      <c r="Y360" s="21" t="str">
        <f aca="false">IFERROR(INDEX(종합!Y$3:Y$501,MATCH(ROW()-2,종합!$AC$3:$AC$501,0))&amp;"","")</f>
        <v/>
      </c>
      <c r="Z360" s="21" t="str">
        <f aca="false">IFERROR(INDEX(종합!Z$3:Z$501,MATCH(ROW()-2,종합!$AC$3:$AC$501,0))&amp;"","")</f>
        <v/>
      </c>
    </row>
    <row r="361" customFormat="false" ht="16.5" hidden="false" customHeight="true" outlineLevel="0" collapsed="false">
      <c r="A361" s="18" t="str">
        <f aca="false">IF(B361="","",ROW()-2)</f>
        <v/>
      </c>
      <c r="B361" s="18" t="str">
        <f aca="false">IFERROR(INDEX(종합!B$3:B$501,MATCH(ROW()-2,종합!$AC$3:$AC$501,0))&amp;"","")</f>
        <v/>
      </c>
      <c r="C361" s="18" t="str">
        <f aca="false">IFERROR(INDEX(종합!C$3:C$501,MATCH(ROW()-2,종합!$AC$3:$AC$501,0))&amp;"","")</f>
        <v/>
      </c>
      <c r="D361" s="18" t="str">
        <f aca="false">IFERROR(INDEX(종합!D$3:D$501,MATCH(ROW()-2,종합!$AC$3:$AC$501,0))&amp;"","")</f>
        <v/>
      </c>
      <c r="E361" s="18" t="str">
        <f aca="false">IFERROR(INDEX(종합!E$3:E$501,MATCH(ROW()-2,종합!$AC$3:$AC$501,0))&amp;"","")</f>
        <v/>
      </c>
      <c r="F361" s="18" t="str">
        <f aca="false">IFERROR(INDEX(종합!F$3:F$501,MATCH(ROW()-2,종합!$AC$3:$AC$501,0))&amp;"","")</f>
        <v/>
      </c>
      <c r="G361" s="18" t="str">
        <f aca="false">IFERROR(INDEX(종합!G$3:G$501,MATCH(ROW()-2,종합!$AC$3:$AC$501,0))&amp;"","")</f>
        <v/>
      </c>
      <c r="H361" s="21" t="str">
        <f aca="false">IFERROR(INDEX(종합!H$3:H$501,MATCH(ROW()-2,종합!$AC$3:$AC$501,0))&amp;"","")</f>
        <v/>
      </c>
      <c r="I361" s="21" t="str">
        <f aca="false">IFERROR(INDEX(종합!I$3:I$501,MATCH(ROW()-2,종합!$AC$3:$AC$501,0))&amp;"","")</f>
        <v/>
      </c>
      <c r="J361" s="21" t="str">
        <f aca="false">IFERROR(INDEX(종합!J$3:J$501,MATCH(ROW()-2,종합!$AC$3:$AC$501,0))&amp;"","")</f>
        <v/>
      </c>
      <c r="K361" s="21" t="str">
        <f aca="false">IFERROR(INDEX(종합!K$3:K$501,MATCH(ROW()-2,종합!$AC$3:$AC$501,0))&amp;"","")</f>
        <v/>
      </c>
      <c r="L361" s="21" t="str">
        <f aca="false">IFERROR(INDEX(종합!L$3:L$501,MATCH(ROW()-2,종합!$AC$3:$AC$501,0))&amp;"","")</f>
        <v/>
      </c>
      <c r="M361" s="21" t="str">
        <f aca="false">IFERROR(INDEX(종합!M$3:M$501,MATCH(ROW()-2,종합!$AC$3:$AC$501,0))&amp;"","")</f>
        <v/>
      </c>
      <c r="N361" s="25" t="str">
        <f aca="false">IFERROR(INDEX(종합!N$3:N$501,MATCH(ROW()-2,종합!$AC$3:$AC$501,0))&amp;"","")</f>
        <v/>
      </c>
      <c r="O361" s="21" t="str">
        <f aca="false">IFERROR(INDEX(종합!O$3:O$501,MATCH(ROW()-2,종합!$AC$3:$AC$501,0))&amp;"","")</f>
        <v/>
      </c>
      <c r="P361" s="21" t="str">
        <f aca="false">IFERROR(INDEX(종합!P$3:P$501,MATCH(ROW()-2,종합!$AC$3:$AC$501,0))&amp;"","")</f>
        <v/>
      </c>
      <c r="Q361" s="21" t="str">
        <f aca="false">IFERROR(INDEX(종합!Q$3:Q$501,MATCH(ROW()-2,종합!$AC$3:$AC$501,0))&amp;"","")</f>
        <v/>
      </c>
      <c r="R361" s="21" t="str">
        <f aca="false">IFERROR(INDEX(종합!R$3:R$501,MATCH(ROW()-2,종합!$AC$3:$AC$501,0))&amp;"","")</f>
        <v/>
      </c>
      <c r="S361" s="21" t="str">
        <f aca="false">IFERROR(INDEX(종합!S$3:S$501,MATCH(ROW()-2,종합!$AC$3:$AC$501,0))&amp;"","")</f>
        <v/>
      </c>
      <c r="T361" s="21" t="str">
        <f aca="false">IFERROR(INDEX(종합!T$3:T$501,MATCH(ROW()-2,종합!$AC$3:$AC$501,0))&amp;"","")</f>
        <v/>
      </c>
      <c r="U361" s="21" t="str">
        <f aca="false">IFERROR(INDEX(종합!U$3:U$501,MATCH(ROW()-2,종합!$AC$3:$AC$501,0))&amp;"","")</f>
        <v/>
      </c>
      <c r="V361" s="21" t="str">
        <f aca="false">IFERROR(INDEX(종합!V$3:V$501,MATCH(ROW()-2,종합!$AC$3:$AC$501,0))&amp;"","")</f>
        <v/>
      </c>
      <c r="W361" s="21" t="str">
        <f aca="false">IFERROR(INDEX(종합!W$3:W$501,MATCH(ROW()-2,종합!$AC$3:$AC$501,0))&amp;"","")</f>
        <v/>
      </c>
      <c r="X361" s="21" t="str">
        <f aca="false">IFERROR(INDEX(종합!X$3:X$501,MATCH(ROW()-2,종합!$AC$3:$AC$501,0))&amp;"","")</f>
        <v/>
      </c>
      <c r="Y361" s="21" t="str">
        <f aca="false">IFERROR(INDEX(종합!Y$3:Y$501,MATCH(ROW()-2,종합!$AC$3:$AC$501,0))&amp;"","")</f>
        <v/>
      </c>
      <c r="Z361" s="21" t="str">
        <f aca="false">IFERROR(INDEX(종합!Z$3:Z$501,MATCH(ROW()-2,종합!$AC$3:$AC$501,0))&amp;"","")</f>
        <v/>
      </c>
    </row>
    <row r="362" customFormat="false" ht="16.5" hidden="false" customHeight="true" outlineLevel="0" collapsed="false">
      <c r="A362" s="18" t="str">
        <f aca="false">IF(B362="","",ROW()-2)</f>
        <v/>
      </c>
      <c r="B362" s="18" t="str">
        <f aca="false">IFERROR(INDEX(종합!B$3:B$501,MATCH(ROW()-2,종합!$AC$3:$AC$501,0))&amp;"","")</f>
        <v/>
      </c>
      <c r="C362" s="18" t="str">
        <f aca="false">IFERROR(INDEX(종합!C$3:C$501,MATCH(ROW()-2,종합!$AC$3:$AC$501,0))&amp;"","")</f>
        <v/>
      </c>
      <c r="D362" s="18" t="str">
        <f aca="false">IFERROR(INDEX(종합!D$3:D$501,MATCH(ROW()-2,종합!$AC$3:$AC$501,0))&amp;"","")</f>
        <v/>
      </c>
      <c r="E362" s="18" t="str">
        <f aca="false">IFERROR(INDEX(종합!E$3:E$501,MATCH(ROW()-2,종합!$AC$3:$AC$501,0))&amp;"","")</f>
        <v/>
      </c>
      <c r="F362" s="18" t="str">
        <f aca="false">IFERROR(INDEX(종합!F$3:F$501,MATCH(ROW()-2,종합!$AC$3:$AC$501,0))&amp;"","")</f>
        <v/>
      </c>
      <c r="G362" s="18" t="str">
        <f aca="false">IFERROR(INDEX(종합!G$3:G$501,MATCH(ROW()-2,종합!$AC$3:$AC$501,0))&amp;"","")</f>
        <v/>
      </c>
      <c r="H362" s="21" t="str">
        <f aca="false">IFERROR(INDEX(종합!H$3:H$501,MATCH(ROW()-2,종합!$AC$3:$AC$501,0))&amp;"","")</f>
        <v/>
      </c>
      <c r="I362" s="21" t="str">
        <f aca="false">IFERROR(INDEX(종합!I$3:I$501,MATCH(ROW()-2,종합!$AC$3:$AC$501,0))&amp;"","")</f>
        <v/>
      </c>
      <c r="J362" s="21" t="str">
        <f aca="false">IFERROR(INDEX(종합!J$3:J$501,MATCH(ROW()-2,종합!$AC$3:$AC$501,0))&amp;"","")</f>
        <v/>
      </c>
      <c r="K362" s="21" t="str">
        <f aca="false">IFERROR(INDEX(종합!K$3:K$501,MATCH(ROW()-2,종합!$AC$3:$AC$501,0))&amp;"","")</f>
        <v/>
      </c>
      <c r="L362" s="21" t="str">
        <f aca="false">IFERROR(INDEX(종합!L$3:L$501,MATCH(ROW()-2,종합!$AC$3:$AC$501,0))&amp;"","")</f>
        <v/>
      </c>
      <c r="M362" s="21" t="str">
        <f aca="false">IFERROR(INDEX(종합!M$3:M$501,MATCH(ROW()-2,종합!$AC$3:$AC$501,0))&amp;"","")</f>
        <v/>
      </c>
      <c r="N362" s="25" t="str">
        <f aca="false">IFERROR(INDEX(종합!N$3:N$501,MATCH(ROW()-2,종합!$AC$3:$AC$501,0))&amp;"","")</f>
        <v/>
      </c>
      <c r="O362" s="21" t="str">
        <f aca="false">IFERROR(INDEX(종합!O$3:O$501,MATCH(ROW()-2,종합!$AC$3:$AC$501,0))&amp;"","")</f>
        <v/>
      </c>
      <c r="P362" s="21" t="str">
        <f aca="false">IFERROR(INDEX(종합!P$3:P$501,MATCH(ROW()-2,종합!$AC$3:$AC$501,0))&amp;"","")</f>
        <v/>
      </c>
      <c r="Q362" s="21" t="str">
        <f aca="false">IFERROR(INDEX(종합!Q$3:Q$501,MATCH(ROW()-2,종합!$AC$3:$AC$501,0))&amp;"","")</f>
        <v/>
      </c>
      <c r="R362" s="21" t="str">
        <f aca="false">IFERROR(INDEX(종합!R$3:R$501,MATCH(ROW()-2,종합!$AC$3:$AC$501,0))&amp;"","")</f>
        <v/>
      </c>
      <c r="S362" s="21" t="str">
        <f aca="false">IFERROR(INDEX(종합!S$3:S$501,MATCH(ROW()-2,종합!$AC$3:$AC$501,0))&amp;"","")</f>
        <v/>
      </c>
      <c r="T362" s="21" t="str">
        <f aca="false">IFERROR(INDEX(종합!T$3:T$501,MATCH(ROW()-2,종합!$AC$3:$AC$501,0))&amp;"","")</f>
        <v/>
      </c>
      <c r="U362" s="21" t="str">
        <f aca="false">IFERROR(INDEX(종합!U$3:U$501,MATCH(ROW()-2,종합!$AC$3:$AC$501,0))&amp;"","")</f>
        <v/>
      </c>
      <c r="V362" s="21" t="str">
        <f aca="false">IFERROR(INDEX(종합!V$3:V$501,MATCH(ROW()-2,종합!$AC$3:$AC$501,0))&amp;"","")</f>
        <v/>
      </c>
      <c r="W362" s="21" t="str">
        <f aca="false">IFERROR(INDEX(종합!W$3:W$501,MATCH(ROW()-2,종합!$AC$3:$AC$501,0))&amp;"","")</f>
        <v/>
      </c>
      <c r="X362" s="21" t="str">
        <f aca="false">IFERROR(INDEX(종합!X$3:X$501,MATCH(ROW()-2,종합!$AC$3:$AC$501,0))&amp;"","")</f>
        <v/>
      </c>
      <c r="Y362" s="21" t="str">
        <f aca="false">IFERROR(INDEX(종합!Y$3:Y$501,MATCH(ROW()-2,종합!$AC$3:$AC$501,0))&amp;"","")</f>
        <v/>
      </c>
      <c r="Z362" s="21" t="str">
        <f aca="false">IFERROR(INDEX(종합!Z$3:Z$501,MATCH(ROW()-2,종합!$AC$3:$AC$501,0))&amp;"","")</f>
        <v/>
      </c>
    </row>
    <row r="363" customFormat="false" ht="16.5" hidden="false" customHeight="true" outlineLevel="0" collapsed="false">
      <c r="A363" s="18" t="str">
        <f aca="false">IF(B363="","",ROW()-2)</f>
        <v/>
      </c>
      <c r="B363" s="18" t="str">
        <f aca="false">IFERROR(INDEX(종합!B$3:B$501,MATCH(ROW()-2,종합!$AC$3:$AC$501,0))&amp;"","")</f>
        <v/>
      </c>
      <c r="C363" s="18" t="str">
        <f aca="false">IFERROR(INDEX(종합!C$3:C$501,MATCH(ROW()-2,종합!$AC$3:$AC$501,0))&amp;"","")</f>
        <v/>
      </c>
      <c r="D363" s="18" t="str">
        <f aca="false">IFERROR(INDEX(종합!D$3:D$501,MATCH(ROW()-2,종합!$AC$3:$AC$501,0))&amp;"","")</f>
        <v/>
      </c>
      <c r="E363" s="18" t="str">
        <f aca="false">IFERROR(INDEX(종합!E$3:E$501,MATCH(ROW()-2,종합!$AC$3:$AC$501,0))&amp;"","")</f>
        <v/>
      </c>
      <c r="F363" s="18" t="str">
        <f aca="false">IFERROR(INDEX(종합!F$3:F$501,MATCH(ROW()-2,종합!$AC$3:$AC$501,0))&amp;"","")</f>
        <v/>
      </c>
      <c r="G363" s="18" t="str">
        <f aca="false">IFERROR(INDEX(종합!G$3:G$501,MATCH(ROW()-2,종합!$AC$3:$AC$501,0))&amp;"","")</f>
        <v/>
      </c>
      <c r="H363" s="21" t="str">
        <f aca="false">IFERROR(INDEX(종합!H$3:H$501,MATCH(ROW()-2,종합!$AC$3:$AC$501,0))&amp;"","")</f>
        <v/>
      </c>
      <c r="I363" s="21" t="str">
        <f aca="false">IFERROR(INDEX(종합!I$3:I$501,MATCH(ROW()-2,종합!$AC$3:$AC$501,0))&amp;"","")</f>
        <v/>
      </c>
      <c r="J363" s="21" t="str">
        <f aca="false">IFERROR(INDEX(종합!J$3:J$501,MATCH(ROW()-2,종합!$AC$3:$AC$501,0))&amp;"","")</f>
        <v/>
      </c>
      <c r="K363" s="21" t="str">
        <f aca="false">IFERROR(INDEX(종합!K$3:K$501,MATCH(ROW()-2,종합!$AC$3:$AC$501,0))&amp;"","")</f>
        <v/>
      </c>
      <c r="L363" s="21" t="str">
        <f aca="false">IFERROR(INDEX(종합!L$3:L$501,MATCH(ROW()-2,종합!$AC$3:$AC$501,0))&amp;"","")</f>
        <v/>
      </c>
      <c r="M363" s="21" t="str">
        <f aca="false">IFERROR(INDEX(종합!M$3:M$501,MATCH(ROW()-2,종합!$AC$3:$AC$501,0))&amp;"","")</f>
        <v/>
      </c>
      <c r="N363" s="25" t="str">
        <f aca="false">IFERROR(INDEX(종합!N$3:N$501,MATCH(ROW()-2,종합!$AC$3:$AC$501,0))&amp;"","")</f>
        <v/>
      </c>
      <c r="O363" s="21" t="str">
        <f aca="false">IFERROR(INDEX(종합!O$3:O$501,MATCH(ROW()-2,종합!$AC$3:$AC$501,0))&amp;"","")</f>
        <v/>
      </c>
      <c r="P363" s="21" t="str">
        <f aca="false">IFERROR(INDEX(종합!P$3:P$501,MATCH(ROW()-2,종합!$AC$3:$AC$501,0))&amp;"","")</f>
        <v/>
      </c>
      <c r="Q363" s="21" t="str">
        <f aca="false">IFERROR(INDEX(종합!Q$3:Q$501,MATCH(ROW()-2,종합!$AC$3:$AC$501,0))&amp;"","")</f>
        <v/>
      </c>
      <c r="R363" s="21" t="str">
        <f aca="false">IFERROR(INDEX(종합!R$3:R$501,MATCH(ROW()-2,종합!$AC$3:$AC$501,0))&amp;"","")</f>
        <v/>
      </c>
      <c r="S363" s="21" t="str">
        <f aca="false">IFERROR(INDEX(종합!S$3:S$501,MATCH(ROW()-2,종합!$AC$3:$AC$501,0))&amp;"","")</f>
        <v/>
      </c>
      <c r="T363" s="21" t="str">
        <f aca="false">IFERROR(INDEX(종합!T$3:T$501,MATCH(ROW()-2,종합!$AC$3:$AC$501,0))&amp;"","")</f>
        <v/>
      </c>
      <c r="U363" s="21" t="str">
        <f aca="false">IFERROR(INDEX(종합!U$3:U$501,MATCH(ROW()-2,종합!$AC$3:$AC$501,0))&amp;"","")</f>
        <v/>
      </c>
      <c r="V363" s="21" t="str">
        <f aca="false">IFERROR(INDEX(종합!V$3:V$501,MATCH(ROW()-2,종합!$AC$3:$AC$501,0))&amp;"","")</f>
        <v/>
      </c>
      <c r="W363" s="21" t="str">
        <f aca="false">IFERROR(INDEX(종합!W$3:W$501,MATCH(ROW()-2,종합!$AC$3:$AC$501,0))&amp;"","")</f>
        <v/>
      </c>
      <c r="X363" s="21" t="str">
        <f aca="false">IFERROR(INDEX(종합!X$3:X$501,MATCH(ROW()-2,종합!$AC$3:$AC$501,0))&amp;"","")</f>
        <v/>
      </c>
      <c r="Y363" s="21" t="str">
        <f aca="false">IFERROR(INDEX(종합!Y$3:Y$501,MATCH(ROW()-2,종합!$AC$3:$AC$501,0))&amp;"","")</f>
        <v/>
      </c>
      <c r="Z363" s="21" t="str">
        <f aca="false">IFERROR(INDEX(종합!Z$3:Z$501,MATCH(ROW()-2,종합!$AC$3:$AC$501,0))&amp;"","")</f>
        <v/>
      </c>
    </row>
    <row r="364" customFormat="false" ht="16.5" hidden="false" customHeight="true" outlineLevel="0" collapsed="false">
      <c r="A364" s="18" t="str">
        <f aca="false">IF(B364="","",ROW()-2)</f>
        <v/>
      </c>
      <c r="B364" s="18" t="str">
        <f aca="false">IFERROR(INDEX(종합!B$3:B$501,MATCH(ROW()-2,종합!$AC$3:$AC$501,0))&amp;"","")</f>
        <v/>
      </c>
      <c r="C364" s="18" t="str">
        <f aca="false">IFERROR(INDEX(종합!C$3:C$501,MATCH(ROW()-2,종합!$AC$3:$AC$501,0))&amp;"","")</f>
        <v/>
      </c>
      <c r="D364" s="18" t="str">
        <f aca="false">IFERROR(INDEX(종합!D$3:D$501,MATCH(ROW()-2,종합!$AC$3:$AC$501,0))&amp;"","")</f>
        <v/>
      </c>
      <c r="E364" s="18" t="str">
        <f aca="false">IFERROR(INDEX(종합!E$3:E$501,MATCH(ROW()-2,종합!$AC$3:$AC$501,0))&amp;"","")</f>
        <v/>
      </c>
      <c r="F364" s="18" t="str">
        <f aca="false">IFERROR(INDEX(종합!F$3:F$501,MATCH(ROW()-2,종합!$AC$3:$AC$501,0))&amp;"","")</f>
        <v/>
      </c>
      <c r="G364" s="18" t="str">
        <f aca="false">IFERROR(INDEX(종합!G$3:G$501,MATCH(ROW()-2,종합!$AC$3:$AC$501,0))&amp;"","")</f>
        <v/>
      </c>
      <c r="H364" s="21" t="str">
        <f aca="false">IFERROR(INDEX(종합!H$3:H$501,MATCH(ROW()-2,종합!$AC$3:$AC$501,0))&amp;"","")</f>
        <v/>
      </c>
      <c r="I364" s="21" t="str">
        <f aca="false">IFERROR(INDEX(종합!I$3:I$501,MATCH(ROW()-2,종합!$AC$3:$AC$501,0))&amp;"","")</f>
        <v/>
      </c>
      <c r="J364" s="21" t="str">
        <f aca="false">IFERROR(INDEX(종합!J$3:J$501,MATCH(ROW()-2,종합!$AC$3:$AC$501,0))&amp;"","")</f>
        <v/>
      </c>
      <c r="K364" s="21" t="str">
        <f aca="false">IFERROR(INDEX(종합!K$3:K$501,MATCH(ROW()-2,종합!$AC$3:$AC$501,0))&amp;"","")</f>
        <v/>
      </c>
      <c r="L364" s="21" t="str">
        <f aca="false">IFERROR(INDEX(종합!L$3:L$501,MATCH(ROW()-2,종합!$AC$3:$AC$501,0))&amp;"","")</f>
        <v/>
      </c>
      <c r="M364" s="21" t="str">
        <f aca="false">IFERROR(INDEX(종합!M$3:M$501,MATCH(ROW()-2,종합!$AC$3:$AC$501,0))&amp;"","")</f>
        <v/>
      </c>
      <c r="N364" s="25" t="str">
        <f aca="false">IFERROR(INDEX(종합!N$3:N$501,MATCH(ROW()-2,종합!$AC$3:$AC$501,0))&amp;"","")</f>
        <v/>
      </c>
      <c r="O364" s="21" t="str">
        <f aca="false">IFERROR(INDEX(종합!O$3:O$501,MATCH(ROW()-2,종합!$AC$3:$AC$501,0))&amp;"","")</f>
        <v/>
      </c>
      <c r="P364" s="21" t="str">
        <f aca="false">IFERROR(INDEX(종합!P$3:P$501,MATCH(ROW()-2,종합!$AC$3:$AC$501,0))&amp;"","")</f>
        <v/>
      </c>
      <c r="Q364" s="21" t="str">
        <f aca="false">IFERROR(INDEX(종합!Q$3:Q$501,MATCH(ROW()-2,종합!$AC$3:$AC$501,0))&amp;"","")</f>
        <v/>
      </c>
      <c r="R364" s="21" t="str">
        <f aca="false">IFERROR(INDEX(종합!R$3:R$501,MATCH(ROW()-2,종합!$AC$3:$AC$501,0))&amp;"","")</f>
        <v/>
      </c>
      <c r="S364" s="21" t="str">
        <f aca="false">IFERROR(INDEX(종합!S$3:S$501,MATCH(ROW()-2,종합!$AC$3:$AC$501,0))&amp;"","")</f>
        <v/>
      </c>
      <c r="T364" s="21" t="str">
        <f aca="false">IFERROR(INDEX(종합!T$3:T$501,MATCH(ROW()-2,종합!$AC$3:$AC$501,0))&amp;"","")</f>
        <v/>
      </c>
      <c r="U364" s="21" t="str">
        <f aca="false">IFERROR(INDEX(종합!U$3:U$501,MATCH(ROW()-2,종합!$AC$3:$AC$501,0))&amp;"","")</f>
        <v/>
      </c>
      <c r="V364" s="21" t="str">
        <f aca="false">IFERROR(INDEX(종합!V$3:V$501,MATCH(ROW()-2,종합!$AC$3:$AC$501,0))&amp;"","")</f>
        <v/>
      </c>
      <c r="W364" s="21" t="str">
        <f aca="false">IFERROR(INDEX(종합!W$3:W$501,MATCH(ROW()-2,종합!$AC$3:$AC$501,0))&amp;"","")</f>
        <v/>
      </c>
      <c r="X364" s="21" t="str">
        <f aca="false">IFERROR(INDEX(종합!X$3:X$501,MATCH(ROW()-2,종합!$AC$3:$AC$501,0))&amp;"","")</f>
        <v/>
      </c>
      <c r="Y364" s="21" t="str">
        <f aca="false">IFERROR(INDEX(종합!Y$3:Y$501,MATCH(ROW()-2,종합!$AC$3:$AC$501,0))&amp;"","")</f>
        <v/>
      </c>
      <c r="Z364" s="21" t="str">
        <f aca="false">IFERROR(INDEX(종합!Z$3:Z$501,MATCH(ROW()-2,종합!$AC$3:$AC$501,0))&amp;"","")</f>
        <v/>
      </c>
    </row>
    <row r="365" customFormat="false" ht="16.5" hidden="false" customHeight="true" outlineLevel="0" collapsed="false">
      <c r="A365" s="18" t="str">
        <f aca="false">IF(B365="","",ROW()-2)</f>
        <v/>
      </c>
      <c r="B365" s="18" t="str">
        <f aca="false">IFERROR(INDEX(종합!B$3:B$501,MATCH(ROW()-2,종합!$AC$3:$AC$501,0))&amp;"","")</f>
        <v/>
      </c>
      <c r="C365" s="18" t="str">
        <f aca="false">IFERROR(INDEX(종합!C$3:C$501,MATCH(ROW()-2,종합!$AC$3:$AC$501,0))&amp;"","")</f>
        <v/>
      </c>
      <c r="D365" s="18" t="str">
        <f aca="false">IFERROR(INDEX(종합!D$3:D$501,MATCH(ROW()-2,종합!$AC$3:$AC$501,0))&amp;"","")</f>
        <v/>
      </c>
      <c r="E365" s="18" t="str">
        <f aca="false">IFERROR(INDEX(종합!E$3:E$501,MATCH(ROW()-2,종합!$AC$3:$AC$501,0))&amp;"","")</f>
        <v/>
      </c>
      <c r="F365" s="18" t="str">
        <f aca="false">IFERROR(INDEX(종합!F$3:F$501,MATCH(ROW()-2,종합!$AC$3:$AC$501,0))&amp;"","")</f>
        <v/>
      </c>
      <c r="G365" s="18" t="str">
        <f aca="false">IFERROR(INDEX(종합!G$3:G$501,MATCH(ROW()-2,종합!$AC$3:$AC$501,0))&amp;"","")</f>
        <v/>
      </c>
      <c r="H365" s="21" t="str">
        <f aca="false">IFERROR(INDEX(종합!H$3:H$501,MATCH(ROW()-2,종합!$AC$3:$AC$501,0))&amp;"","")</f>
        <v/>
      </c>
      <c r="I365" s="21" t="str">
        <f aca="false">IFERROR(INDEX(종합!I$3:I$501,MATCH(ROW()-2,종합!$AC$3:$AC$501,0))&amp;"","")</f>
        <v/>
      </c>
      <c r="J365" s="21" t="str">
        <f aca="false">IFERROR(INDEX(종합!J$3:J$501,MATCH(ROW()-2,종합!$AC$3:$AC$501,0))&amp;"","")</f>
        <v/>
      </c>
      <c r="K365" s="21" t="str">
        <f aca="false">IFERROR(INDEX(종합!K$3:K$501,MATCH(ROW()-2,종합!$AC$3:$AC$501,0))&amp;"","")</f>
        <v/>
      </c>
      <c r="L365" s="21" t="str">
        <f aca="false">IFERROR(INDEX(종합!L$3:L$501,MATCH(ROW()-2,종합!$AC$3:$AC$501,0))&amp;"","")</f>
        <v/>
      </c>
      <c r="M365" s="21" t="str">
        <f aca="false">IFERROR(INDEX(종합!M$3:M$501,MATCH(ROW()-2,종합!$AC$3:$AC$501,0))&amp;"","")</f>
        <v/>
      </c>
      <c r="N365" s="25" t="str">
        <f aca="false">IFERROR(INDEX(종합!N$3:N$501,MATCH(ROW()-2,종합!$AC$3:$AC$501,0))&amp;"","")</f>
        <v/>
      </c>
      <c r="O365" s="21" t="str">
        <f aca="false">IFERROR(INDEX(종합!O$3:O$501,MATCH(ROW()-2,종합!$AC$3:$AC$501,0))&amp;"","")</f>
        <v/>
      </c>
      <c r="P365" s="21" t="str">
        <f aca="false">IFERROR(INDEX(종합!P$3:P$501,MATCH(ROW()-2,종합!$AC$3:$AC$501,0))&amp;"","")</f>
        <v/>
      </c>
      <c r="Q365" s="21" t="str">
        <f aca="false">IFERROR(INDEX(종합!Q$3:Q$501,MATCH(ROW()-2,종합!$AC$3:$AC$501,0))&amp;"","")</f>
        <v/>
      </c>
      <c r="R365" s="21" t="str">
        <f aca="false">IFERROR(INDEX(종합!R$3:R$501,MATCH(ROW()-2,종합!$AC$3:$AC$501,0))&amp;"","")</f>
        <v/>
      </c>
      <c r="S365" s="21" t="str">
        <f aca="false">IFERROR(INDEX(종합!S$3:S$501,MATCH(ROW()-2,종합!$AC$3:$AC$501,0))&amp;"","")</f>
        <v/>
      </c>
      <c r="T365" s="21" t="str">
        <f aca="false">IFERROR(INDEX(종합!T$3:T$501,MATCH(ROW()-2,종합!$AC$3:$AC$501,0))&amp;"","")</f>
        <v/>
      </c>
      <c r="U365" s="21" t="str">
        <f aca="false">IFERROR(INDEX(종합!U$3:U$501,MATCH(ROW()-2,종합!$AC$3:$AC$501,0))&amp;"","")</f>
        <v/>
      </c>
      <c r="V365" s="21" t="str">
        <f aca="false">IFERROR(INDEX(종합!V$3:V$501,MATCH(ROW()-2,종합!$AC$3:$AC$501,0))&amp;"","")</f>
        <v/>
      </c>
      <c r="W365" s="21" t="str">
        <f aca="false">IFERROR(INDEX(종합!W$3:W$501,MATCH(ROW()-2,종합!$AC$3:$AC$501,0))&amp;"","")</f>
        <v/>
      </c>
      <c r="X365" s="21" t="str">
        <f aca="false">IFERROR(INDEX(종합!X$3:X$501,MATCH(ROW()-2,종합!$AC$3:$AC$501,0))&amp;"","")</f>
        <v/>
      </c>
      <c r="Y365" s="21" t="str">
        <f aca="false">IFERROR(INDEX(종합!Y$3:Y$501,MATCH(ROW()-2,종합!$AC$3:$AC$501,0))&amp;"","")</f>
        <v/>
      </c>
      <c r="Z365" s="21" t="str">
        <f aca="false">IFERROR(INDEX(종합!Z$3:Z$501,MATCH(ROW()-2,종합!$AC$3:$AC$501,0))&amp;"","")</f>
        <v/>
      </c>
    </row>
    <row r="366" customFormat="false" ht="16.5" hidden="false" customHeight="true" outlineLevel="0" collapsed="false">
      <c r="A366" s="18" t="str">
        <f aca="false">IF(B366="","",ROW()-2)</f>
        <v/>
      </c>
      <c r="B366" s="18" t="str">
        <f aca="false">IFERROR(INDEX(종합!B$3:B$501,MATCH(ROW()-2,종합!$AC$3:$AC$501,0))&amp;"","")</f>
        <v/>
      </c>
      <c r="C366" s="18" t="str">
        <f aca="false">IFERROR(INDEX(종합!C$3:C$501,MATCH(ROW()-2,종합!$AC$3:$AC$501,0))&amp;"","")</f>
        <v/>
      </c>
      <c r="D366" s="18" t="str">
        <f aca="false">IFERROR(INDEX(종합!D$3:D$501,MATCH(ROW()-2,종합!$AC$3:$AC$501,0))&amp;"","")</f>
        <v/>
      </c>
      <c r="E366" s="18" t="str">
        <f aca="false">IFERROR(INDEX(종합!E$3:E$501,MATCH(ROW()-2,종합!$AC$3:$AC$501,0))&amp;"","")</f>
        <v/>
      </c>
      <c r="F366" s="18" t="str">
        <f aca="false">IFERROR(INDEX(종합!F$3:F$501,MATCH(ROW()-2,종합!$AC$3:$AC$501,0))&amp;"","")</f>
        <v/>
      </c>
      <c r="G366" s="18" t="str">
        <f aca="false">IFERROR(INDEX(종합!G$3:G$501,MATCH(ROW()-2,종합!$AC$3:$AC$501,0))&amp;"","")</f>
        <v/>
      </c>
      <c r="H366" s="21" t="str">
        <f aca="false">IFERROR(INDEX(종합!H$3:H$501,MATCH(ROW()-2,종합!$AC$3:$AC$501,0))&amp;"","")</f>
        <v/>
      </c>
      <c r="I366" s="21" t="str">
        <f aca="false">IFERROR(INDEX(종합!I$3:I$501,MATCH(ROW()-2,종합!$AC$3:$AC$501,0))&amp;"","")</f>
        <v/>
      </c>
      <c r="J366" s="21" t="str">
        <f aca="false">IFERROR(INDEX(종합!J$3:J$501,MATCH(ROW()-2,종합!$AC$3:$AC$501,0))&amp;"","")</f>
        <v/>
      </c>
      <c r="K366" s="21" t="str">
        <f aca="false">IFERROR(INDEX(종합!K$3:K$501,MATCH(ROW()-2,종합!$AC$3:$AC$501,0))&amp;"","")</f>
        <v/>
      </c>
      <c r="L366" s="21" t="str">
        <f aca="false">IFERROR(INDEX(종합!L$3:L$501,MATCH(ROW()-2,종합!$AC$3:$AC$501,0))&amp;"","")</f>
        <v/>
      </c>
      <c r="M366" s="21" t="str">
        <f aca="false">IFERROR(INDEX(종합!M$3:M$501,MATCH(ROW()-2,종합!$AC$3:$AC$501,0))&amp;"","")</f>
        <v/>
      </c>
      <c r="N366" s="25" t="str">
        <f aca="false">IFERROR(INDEX(종합!N$3:N$501,MATCH(ROW()-2,종합!$AC$3:$AC$501,0))&amp;"","")</f>
        <v/>
      </c>
      <c r="O366" s="21" t="str">
        <f aca="false">IFERROR(INDEX(종합!O$3:O$501,MATCH(ROW()-2,종합!$AC$3:$AC$501,0))&amp;"","")</f>
        <v/>
      </c>
      <c r="P366" s="21" t="str">
        <f aca="false">IFERROR(INDEX(종합!P$3:P$501,MATCH(ROW()-2,종합!$AC$3:$AC$501,0))&amp;"","")</f>
        <v/>
      </c>
      <c r="Q366" s="21" t="str">
        <f aca="false">IFERROR(INDEX(종합!Q$3:Q$501,MATCH(ROW()-2,종합!$AC$3:$AC$501,0))&amp;"","")</f>
        <v/>
      </c>
      <c r="R366" s="21" t="str">
        <f aca="false">IFERROR(INDEX(종합!R$3:R$501,MATCH(ROW()-2,종합!$AC$3:$AC$501,0))&amp;"","")</f>
        <v/>
      </c>
      <c r="S366" s="21" t="str">
        <f aca="false">IFERROR(INDEX(종합!S$3:S$501,MATCH(ROW()-2,종합!$AC$3:$AC$501,0))&amp;"","")</f>
        <v/>
      </c>
      <c r="T366" s="21" t="str">
        <f aca="false">IFERROR(INDEX(종합!T$3:T$501,MATCH(ROW()-2,종합!$AC$3:$AC$501,0))&amp;"","")</f>
        <v/>
      </c>
      <c r="U366" s="21" t="str">
        <f aca="false">IFERROR(INDEX(종합!U$3:U$501,MATCH(ROW()-2,종합!$AC$3:$AC$501,0))&amp;"","")</f>
        <v/>
      </c>
      <c r="V366" s="21" t="str">
        <f aca="false">IFERROR(INDEX(종합!V$3:V$501,MATCH(ROW()-2,종합!$AC$3:$AC$501,0))&amp;"","")</f>
        <v/>
      </c>
      <c r="W366" s="21" t="str">
        <f aca="false">IFERROR(INDEX(종합!W$3:W$501,MATCH(ROW()-2,종합!$AC$3:$AC$501,0))&amp;"","")</f>
        <v/>
      </c>
      <c r="X366" s="21" t="str">
        <f aca="false">IFERROR(INDEX(종합!X$3:X$501,MATCH(ROW()-2,종합!$AC$3:$AC$501,0))&amp;"","")</f>
        <v/>
      </c>
      <c r="Y366" s="21" t="str">
        <f aca="false">IFERROR(INDEX(종합!Y$3:Y$501,MATCH(ROW()-2,종합!$AC$3:$AC$501,0))&amp;"","")</f>
        <v/>
      </c>
      <c r="Z366" s="21" t="str">
        <f aca="false">IFERROR(INDEX(종합!Z$3:Z$501,MATCH(ROW()-2,종합!$AC$3:$AC$501,0))&amp;"","")</f>
        <v/>
      </c>
    </row>
    <row r="367" customFormat="false" ht="16.5" hidden="false" customHeight="true" outlineLevel="0" collapsed="false">
      <c r="A367" s="18" t="str">
        <f aca="false">IF(B367="","",ROW()-2)</f>
        <v/>
      </c>
      <c r="B367" s="18" t="str">
        <f aca="false">IFERROR(INDEX(종합!B$3:B$501,MATCH(ROW()-2,종합!$AC$3:$AC$501,0))&amp;"","")</f>
        <v/>
      </c>
      <c r="C367" s="18" t="str">
        <f aca="false">IFERROR(INDEX(종합!C$3:C$501,MATCH(ROW()-2,종합!$AC$3:$AC$501,0))&amp;"","")</f>
        <v/>
      </c>
      <c r="D367" s="18" t="str">
        <f aca="false">IFERROR(INDEX(종합!D$3:D$501,MATCH(ROW()-2,종합!$AC$3:$AC$501,0))&amp;"","")</f>
        <v/>
      </c>
      <c r="E367" s="18" t="str">
        <f aca="false">IFERROR(INDEX(종합!E$3:E$501,MATCH(ROW()-2,종합!$AC$3:$AC$501,0))&amp;"","")</f>
        <v/>
      </c>
      <c r="F367" s="18" t="str">
        <f aca="false">IFERROR(INDEX(종합!F$3:F$501,MATCH(ROW()-2,종합!$AC$3:$AC$501,0))&amp;"","")</f>
        <v/>
      </c>
      <c r="G367" s="18" t="str">
        <f aca="false">IFERROR(INDEX(종합!G$3:G$501,MATCH(ROW()-2,종합!$AC$3:$AC$501,0))&amp;"","")</f>
        <v/>
      </c>
      <c r="H367" s="21" t="str">
        <f aca="false">IFERROR(INDEX(종합!H$3:H$501,MATCH(ROW()-2,종합!$AC$3:$AC$501,0))&amp;"","")</f>
        <v/>
      </c>
      <c r="I367" s="21" t="str">
        <f aca="false">IFERROR(INDEX(종합!I$3:I$501,MATCH(ROW()-2,종합!$AC$3:$AC$501,0))&amp;"","")</f>
        <v/>
      </c>
      <c r="J367" s="21" t="str">
        <f aca="false">IFERROR(INDEX(종합!J$3:J$501,MATCH(ROW()-2,종합!$AC$3:$AC$501,0))&amp;"","")</f>
        <v/>
      </c>
      <c r="K367" s="21" t="str">
        <f aca="false">IFERROR(INDEX(종합!K$3:K$501,MATCH(ROW()-2,종합!$AC$3:$AC$501,0))&amp;"","")</f>
        <v/>
      </c>
      <c r="L367" s="21" t="str">
        <f aca="false">IFERROR(INDEX(종합!L$3:L$501,MATCH(ROW()-2,종합!$AC$3:$AC$501,0))&amp;"","")</f>
        <v/>
      </c>
      <c r="M367" s="21" t="str">
        <f aca="false">IFERROR(INDEX(종합!M$3:M$501,MATCH(ROW()-2,종합!$AC$3:$AC$501,0))&amp;"","")</f>
        <v/>
      </c>
      <c r="N367" s="25" t="str">
        <f aca="false">IFERROR(INDEX(종합!N$3:N$501,MATCH(ROW()-2,종합!$AC$3:$AC$501,0))&amp;"","")</f>
        <v/>
      </c>
      <c r="O367" s="21" t="str">
        <f aca="false">IFERROR(INDEX(종합!O$3:O$501,MATCH(ROW()-2,종합!$AC$3:$AC$501,0))&amp;"","")</f>
        <v/>
      </c>
      <c r="P367" s="21" t="str">
        <f aca="false">IFERROR(INDEX(종합!P$3:P$501,MATCH(ROW()-2,종합!$AC$3:$AC$501,0))&amp;"","")</f>
        <v/>
      </c>
      <c r="Q367" s="21" t="str">
        <f aca="false">IFERROR(INDEX(종합!Q$3:Q$501,MATCH(ROW()-2,종합!$AC$3:$AC$501,0))&amp;"","")</f>
        <v/>
      </c>
      <c r="R367" s="21" t="str">
        <f aca="false">IFERROR(INDEX(종합!R$3:R$501,MATCH(ROW()-2,종합!$AC$3:$AC$501,0))&amp;"","")</f>
        <v/>
      </c>
      <c r="S367" s="21" t="str">
        <f aca="false">IFERROR(INDEX(종합!S$3:S$501,MATCH(ROW()-2,종합!$AC$3:$AC$501,0))&amp;"","")</f>
        <v/>
      </c>
      <c r="T367" s="21" t="str">
        <f aca="false">IFERROR(INDEX(종합!T$3:T$501,MATCH(ROW()-2,종합!$AC$3:$AC$501,0))&amp;"","")</f>
        <v/>
      </c>
      <c r="U367" s="21" t="str">
        <f aca="false">IFERROR(INDEX(종합!U$3:U$501,MATCH(ROW()-2,종합!$AC$3:$AC$501,0))&amp;"","")</f>
        <v/>
      </c>
      <c r="V367" s="21" t="str">
        <f aca="false">IFERROR(INDEX(종합!V$3:V$501,MATCH(ROW()-2,종합!$AC$3:$AC$501,0))&amp;"","")</f>
        <v/>
      </c>
      <c r="W367" s="21" t="str">
        <f aca="false">IFERROR(INDEX(종합!W$3:W$501,MATCH(ROW()-2,종합!$AC$3:$AC$501,0))&amp;"","")</f>
        <v/>
      </c>
      <c r="X367" s="21" t="str">
        <f aca="false">IFERROR(INDEX(종합!X$3:X$501,MATCH(ROW()-2,종합!$AC$3:$AC$501,0))&amp;"","")</f>
        <v/>
      </c>
      <c r="Y367" s="21" t="str">
        <f aca="false">IFERROR(INDEX(종합!Y$3:Y$501,MATCH(ROW()-2,종합!$AC$3:$AC$501,0))&amp;"","")</f>
        <v/>
      </c>
      <c r="Z367" s="21" t="str">
        <f aca="false">IFERROR(INDEX(종합!Z$3:Z$501,MATCH(ROW()-2,종합!$AC$3:$AC$501,0))&amp;"","")</f>
        <v/>
      </c>
    </row>
    <row r="368" customFormat="false" ht="16.5" hidden="false" customHeight="true" outlineLevel="0" collapsed="false">
      <c r="A368" s="18" t="str">
        <f aca="false">IF(B368="","",ROW()-2)</f>
        <v/>
      </c>
      <c r="B368" s="18" t="str">
        <f aca="false">IFERROR(INDEX(종합!B$3:B$501,MATCH(ROW()-2,종합!$AC$3:$AC$501,0))&amp;"","")</f>
        <v/>
      </c>
      <c r="C368" s="18" t="str">
        <f aca="false">IFERROR(INDEX(종합!C$3:C$501,MATCH(ROW()-2,종합!$AC$3:$AC$501,0))&amp;"","")</f>
        <v/>
      </c>
      <c r="D368" s="18" t="str">
        <f aca="false">IFERROR(INDEX(종합!D$3:D$501,MATCH(ROW()-2,종합!$AC$3:$AC$501,0))&amp;"","")</f>
        <v/>
      </c>
      <c r="E368" s="18" t="str">
        <f aca="false">IFERROR(INDEX(종합!E$3:E$501,MATCH(ROW()-2,종합!$AC$3:$AC$501,0))&amp;"","")</f>
        <v/>
      </c>
      <c r="F368" s="18" t="str">
        <f aca="false">IFERROR(INDEX(종합!F$3:F$501,MATCH(ROW()-2,종합!$AC$3:$AC$501,0))&amp;"","")</f>
        <v/>
      </c>
      <c r="G368" s="18" t="str">
        <f aca="false">IFERROR(INDEX(종합!G$3:G$501,MATCH(ROW()-2,종합!$AC$3:$AC$501,0))&amp;"","")</f>
        <v/>
      </c>
      <c r="H368" s="21" t="str">
        <f aca="false">IFERROR(INDEX(종합!H$3:H$501,MATCH(ROW()-2,종합!$AC$3:$AC$501,0))&amp;"","")</f>
        <v/>
      </c>
      <c r="I368" s="21" t="str">
        <f aca="false">IFERROR(INDEX(종합!I$3:I$501,MATCH(ROW()-2,종합!$AC$3:$AC$501,0))&amp;"","")</f>
        <v/>
      </c>
      <c r="J368" s="21" t="str">
        <f aca="false">IFERROR(INDEX(종합!J$3:J$501,MATCH(ROW()-2,종합!$AC$3:$AC$501,0))&amp;"","")</f>
        <v/>
      </c>
      <c r="K368" s="21" t="str">
        <f aca="false">IFERROR(INDEX(종합!K$3:K$501,MATCH(ROW()-2,종합!$AC$3:$AC$501,0))&amp;"","")</f>
        <v/>
      </c>
      <c r="L368" s="21" t="str">
        <f aca="false">IFERROR(INDEX(종합!L$3:L$501,MATCH(ROW()-2,종합!$AC$3:$AC$501,0))&amp;"","")</f>
        <v/>
      </c>
      <c r="M368" s="21" t="str">
        <f aca="false">IFERROR(INDEX(종합!M$3:M$501,MATCH(ROW()-2,종합!$AC$3:$AC$501,0))&amp;"","")</f>
        <v/>
      </c>
      <c r="N368" s="25" t="str">
        <f aca="false">IFERROR(INDEX(종합!N$3:N$501,MATCH(ROW()-2,종합!$AC$3:$AC$501,0))&amp;"","")</f>
        <v/>
      </c>
      <c r="O368" s="21" t="str">
        <f aca="false">IFERROR(INDEX(종합!O$3:O$501,MATCH(ROW()-2,종합!$AC$3:$AC$501,0))&amp;"","")</f>
        <v/>
      </c>
      <c r="P368" s="21" t="str">
        <f aca="false">IFERROR(INDEX(종합!P$3:P$501,MATCH(ROW()-2,종합!$AC$3:$AC$501,0))&amp;"","")</f>
        <v/>
      </c>
      <c r="Q368" s="21" t="str">
        <f aca="false">IFERROR(INDEX(종합!Q$3:Q$501,MATCH(ROW()-2,종합!$AC$3:$AC$501,0))&amp;"","")</f>
        <v/>
      </c>
      <c r="R368" s="21" t="str">
        <f aca="false">IFERROR(INDEX(종합!R$3:R$501,MATCH(ROW()-2,종합!$AC$3:$AC$501,0))&amp;"","")</f>
        <v/>
      </c>
      <c r="S368" s="21" t="str">
        <f aca="false">IFERROR(INDEX(종합!S$3:S$501,MATCH(ROW()-2,종합!$AC$3:$AC$501,0))&amp;"","")</f>
        <v/>
      </c>
      <c r="T368" s="21" t="str">
        <f aca="false">IFERROR(INDEX(종합!T$3:T$501,MATCH(ROW()-2,종합!$AC$3:$AC$501,0))&amp;"","")</f>
        <v/>
      </c>
      <c r="U368" s="21" t="str">
        <f aca="false">IFERROR(INDEX(종합!U$3:U$501,MATCH(ROW()-2,종합!$AC$3:$AC$501,0))&amp;"","")</f>
        <v/>
      </c>
      <c r="V368" s="21" t="str">
        <f aca="false">IFERROR(INDEX(종합!V$3:V$501,MATCH(ROW()-2,종합!$AC$3:$AC$501,0))&amp;"","")</f>
        <v/>
      </c>
      <c r="W368" s="21" t="str">
        <f aca="false">IFERROR(INDEX(종합!W$3:W$501,MATCH(ROW()-2,종합!$AC$3:$AC$501,0))&amp;"","")</f>
        <v/>
      </c>
      <c r="X368" s="21" t="str">
        <f aca="false">IFERROR(INDEX(종합!X$3:X$501,MATCH(ROW()-2,종합!$AC$3:$AC$501,0))&amp;"","")</f>
        <v/>
      </c>
      <c r="Y368" s="21" t="str">
        <f aca="false">IFERROR(INDEX(종합!Y$3:Y$501,MATCH(ROW()-2,종합!$AC$3:$AC$501,0))&amp;"","")</f>
        <v/>
      </c>
      <c r="Z368" s="21" t="str">
        <f aca="false">IFERROR(INDEX(종합!Z$3:Z$501,MATCH(ROW()-2,종합!$AC$3:$AC$501,0))&amp;"","")</f>
        <v/>
      </c>
    </row>
    <row r="369" customFormat="false" ht="16.5" hidden="false" customHeight="true" outlineLevel="0" collapsed="false">
      <c r="A369" s="18" t="str">
        <f aca="false">IF(B369="","",ROW()-2)</f>
        <v/>
      </c>
      <c r="B369" s="18" t="str">
        <f aca="false">IFERROR(INDEX(종합!B$3:B$501,MATCH(ROW()-2,종합!$AC$3:$AC$501,0))&amp;"","")</f>
        <v/>
      </c>
      <c r="C369" s="18" t="str">
        <f aca="false">IFERROR(INDEX(종합!C$3:C$501,MATCH(ROW()-2,종합!$AC$3:$AC$501,0))&amp;"","")</f>
        <v/>
      </c>
      <c r="D369" s="18" t="str">
        <f aca="false">IFERROR(INDEX(종합!D$3:D$501,MATCH(ROW()-2,종합!$AC$3:$AC$501,0))&amp;"","")</f>
        <v/>
      </c>
      <c r="E369" s="18" t="str">
        <f aca="false">IFERROR(INDEX(종합!E$3:E$501,MATCH(ROW()-2,종합!$AC$3:$AC$501,0))&amp;"","")</f>
        <v/>
      </c>
      <c r="F369" s="18" t="str">
        <f aca="false">IFERROR(INDEX(종합!F$3:F$501,MATCH(ROW()-2,종합!$AC$3:$AC$501,0))&amp;"","")</f>
        <v/>
      </c>
      <c r="G369" s="18" t="str">
        <f aca="false">IFERROR(INDEX(종합!G$3:G$501,MATCH(ROW()-2,종합!$AC$3:$AC$501,0))&amp;"","")</f>
        <v/>
      </c>
      <c r="H369" s="21" t="str">
        <f aca="false">IFERROR(INDEX(종합!H$3:H$501,MATCH(ROW()-2,종합!$AC$3:$AC$501,0))&amp;"","")</f>
        <v/>
      </c>
      <c r="I369" s="21" t="str">
        <f aca="false">IFERROR(INDEX(종합!I$3:I$501,MATCH(ROW()-2,종합!$AC$3:$AC$501,0))&amp;"","")</f>
        <v/>
      </c>
      <c r="J369" s="21" t="str">
        <f aca="false">IFERROR(INDEX(종합!J$3:J$501,MATCH(ROW()-2,종합!$AC$3:$AC$501,0))&amp;"","")</f>
        <v/>
      </c>
      <c r="K369" s="21" t="str">
        <f aca="false">IFERROR(INDEX(종합!K$3:K$501,MATCH(ROW()-2,종합!$AC$3:$AC$501,0))&amp;"","")</f>
        <v/>
      </c>
      <c r="L369" s="21" t="str">
        <f aca="false">IFERROR(INDEX(종합!L$3:L$501,MATCH(ROW()-2,종합!$AC$3:$AC$501,0))&amp;"","")</f>
        <v/>
      </c>
      <c r="M369" s="21" t="str">
        <f aca="false">IFERROR(INDEX(종합!M$3:M$501,MATCH(ROW()-2,종합!$AC$3:$AC$501,0))&amp;"","")</f>
        <v/>
      </c>
      <c r="N369" s="25" t="str">
        <f aca="false">IFERROR(INDEX(종합!N$3:N$501,MATCH(ROW()-2,종합!$AC$3:$AC$501,0))&amp;"","")</f>
        <v/>
      </c>
      <c r="O369" s="21" t="str">
        <f aca="false">IFERROR(INDEX(종합!O$3:O$501,MATCH(ROW()-2,종합!$AC$3:$AC$501,0))&amp;"","")</f>
        <v/>
      </c>
      <c r="P369" s="21" t="str">
        <f aca="false">IFERROR(INDEX(종합!P$3:P$501,MATCH(ROW()-2,종합!$AC$3:$AC$501,0))&amp;"","")</f>
        <v/>
      </c>
      <c r="Q369" s="21" t="str">
        <f aca="false">IFERROR(INDEX(종합!Q$3:Q$501,MATCH(ROW()-2,종합!$AC$3:$AC$501,0))&amp;"","")</f>
        <v/>
      </c>
      <c r="R369" s="21" t="str">
        <f aca="false">IFERROR(INDEX(종합!R$3:R$501,MATCH(ROW()-2,종합!$AC$3:$AC$501,0))&amp;"","")</f>
        <v/>
      </c>
      <c r="S369" s="21" t="str">
        <f aca="false">IFERROR(INDEX(종합!S$3:S$501,MATCH(ROW()-2,종합!$AC$3:$AC$501,0))&amp;"","")</f>
        <v/>
      </c>
      <c r="T369" s="21" t="str">
        <f aca="false">IFERROR(INDEX(종합!T$3:T$501,MATCH(ROW()-2,종합!$AC$3:$AC$501,0))&amp;"","")</f>
        <v/>
      </c>
      <c r="U369" s="21" t="str">
        <f aca="false">IFERROR(INDEX(종합!U$3:U$501,MATCH(ROW()-2,종합!$AC$3:$AC$501,0))&amp;"","")</f>
        <v/>
      </c>
      <c r="V369" s="21" t="str">
        <f aca="false">IFERROR(INDEX(종합!V$3:V$501,MATCH(ROW()-2,종합!$AC$3:$AC$501,0))&amp;"","")</f>
        <v/>
      </c>
      <c r="W369" s="21" t="str">
        <f aca="false">IFERROR(INDEX(종합!W$3:W$501,MATCH(ROW()-2,종합!$AC$3:$AC$501,0))&amp;"","")</f>
        <v/>
      </c>
      <c r="X369" s="21" t="str">
        <f aca="false">IFERROR(INDEX(종합!X$3:X$501,MATCH(ROW()-2,종합!$AC$3:$AC$501,0))&amp;"","")</f>
        <v/>
      </c>
      <c r="Y369" s="21" t="str">
        <f aca="false">IFERROR(INDEX(종합!Y$3:Y$501,MATCH(ROW()-2,종합!$AC$3:$AC$501,0))&amp;"","")</f>
        <v/>
      </c>
      <c r="Z369" s="21" t="str">
        <f aca="false">IFERROR(INDEX(종합!Z$3:Z$501,MATCH(ROW()-2,종합!$AC$3:$AC$501,0))&amp;"","")</f>
        <v/>
      </c>
    </row>
    <row r="370" customFormat="false" ht="16.5" hidden="false" customHeight="true" outlineLevel="0" collapsed="false">
      <c r="A370" s="18" t="str">
        <f aca="false">IF(B370="","",ROW()-2)</f>
        <v/>
      </c>
      <c r="B370" s="18" t="str">
        <f aca="false">IFERROR(INDEX(종합!B$3:B$501,MATCH(ROW()-2,종합!$AC$3:$AC$501,0))&amp;"","")</f>
        <v/>
      </c>
      <c r="C370" s="18" t="str">
        <f aca="false">IFERROR(INDEX(종합!C$3:C$501,MATCH(ROW()-2,종합!$AC$3:$AC$501,0))&amp;"","")</f>
        <v/>
      </c>
      <c r="D370" s="18" t="str">
        <f aca="false">IFERROR(INDEX(종합!D$3:D$501,MATCH(ROW()-2,종합!$AC$3:$AC$501,0))&amp;"","")</f>
        <v/>
      </c>
      <c r="E370" s="18" t="str">
        <f aca="false">IFERROR(INDEX(종합!E$3:E$501,MATCH(ROW()-2,종합!$AC$3:$AC$501,0))&amp;"","")</f>
        <v/>
      </c>
      <c r="F370" s="18" t="str">
        <f aca="false">IFERROR(INDEX(종합!F$3:F$501,MATCH(ROW()-2,종합!$AC$3:$AC$501,0))&amp;"","")</f>
        <v/>
      </c>
      <c r="G370" s="18" t="str">
        <f aca="false">IFERROR(INDEX(종합!G$3:G$501,MATCH(ROW()-2,종합!$AC$3:$AC$501,0))&amp;"","")</f>
        <v/>
      </c>
      <c r="H370" s="21" t="str">
        <f aca="false">IFERROR(INDEX(종합!H$3:H$501,MATCH(ROW()-2,종합!$AC$3:$AC$501,0))&amp;"","")</f>
        <v/>
      </c>
      <c r="I370" s="21" t="str">
        <f aca="false">IFERROR(INDEX(종합!I$3:I$501,MATCH(ROW()-2,종합!$AC$3:$AC$501,0))&amp;"","")</f>
        <v/>
      </c>
      <c r="J370" s="21" t="str">
        <f aca="false">IFERROR(INDEX(종합!J$3:J$501,MATCH(ROW()-2,종합!$AC$3:$AC$501,0))&amp;"","")</f>
        <v/>
      </c>
      <c r="K370" s="21" t="str">
        <f aca="false">IFERROR(INDEX(종합!K$3:K$501,MATCH(ROW()-2,종합!$AC$3:$AC$501,0))&amp;"","")</f>
        <v/>
      </c>
      <c r="L370" s="21" t="str">
        <f aca="false">IFERROR(INDEX(종합!L$3:L$501,MATCH(ROW()-2,종합!$AC$3:$AC$501,0))&amp;"","")</f>
        <v/>
      </c>
      <c r="M370" s="21" t="str">
        <f aca="false">IFERROR(INDEX(종합!M$3:M$501,MATCH(ROW()-2,종합!$AC$3:$AC$501,0))&amp;"","")</f>
        <v/>
      </c>
      <c r="N370" s="25" t="str">
        <f aca="false">IFERROR(INDEX(종합!N$3:N$501,MATCH(ROW()-2,종합!$AC$3:$AC$501,0))&amp;"","")</f>
        <v/>
      </c>
      <c r="O370" s="21" t="str">
        <f aca="false">IFERROR(INDEX(종합!O$3:O$501,MATCH(ROW()-2,종합!$AC$3:$AC$501,0))&amp;"","")</f>
        <v/>
      </c>
      <c r="P370" s="21" t="str">
        <f aca="false">IFERROR(INDEX(종합!P$3:P$501,MATCH(ROW()-2,종합!$AC$3:$AC$501,0))&amp;"","")</f>
        <v/>
      </c>
      <c r="Q370" s="21" t="str">
        <f aca="false">IFERROR(INDEX(종합!Q$3:Q$501,MATCH(ROW()-2,종합!$AC$3:$AC$501,0))&amp;"","")</f>
        <v/>
      </c>
      <c r="R370" s="21" t="str">
        <f aca="false">IFERROR(INDEX(종합!R$3:R$501,MATCH(ROW()-2,종합!$AC$3:$AC$501,0))&amp;"","")</f>
        <v/>
      </c>
      <c r="S370" s="21" t="str">
        <f aca="false">IFERROR(INDEX(종합!S$3:S$501,MATCH(ROW()-2,종합!$AC$3:$AC$501,0))&amp;"","")</f>
        <v/>
      </c>
      <c r="T370" s="21" t="str">
        <f aca="false">IFERROR(INDEX(종합!T$3:T$501,MATCH(ROW()-2,종합!$AC$3:$AC$501,0))&amp;"","")</f>
        <v/>
      </c>
      <c r="U370" s="21" t="str">
        <f aca="false">IFERROR(INDEX(종합!U$3:U$501,MATCH(ROW()-2,종합!$AC$3:$AC$501,0))&amp;"","")</f>
        <v/>
      </c>
      <c r="V370" s="21" t="str">
        <f aca="false">IFERROR(INDEX(종합!V$3:V$501,MATCH(ROW()-2,종합!$AC$3:$AC$501,0))&amp;"","")</f>
        <v/>
      </c>
      <c r="W370" s="21" t="str">
        <f aca="false">IFERROR(INDEX(종합!W$3:W$501,MATCH(ROW()-2,종합!$AC$3:$AC$501,0))&amp;"","")</f>
        <v/>
      </c>
      <c r="X370" s="21" t="str">
        <f aca="false">IFERROR(INDEX(종합!X$3:X$501,MATCH(ROW()-2,종합!$AC$3:$AC$501,0))&amp;"","")</f>
        <v/>
      </c>
      <c r="Y370" s="21" t="str">
        <f aca="false">IFERROR(INDEX(종합!Y$3:Y$501,MATCH(ROW()-2,종합!$AC$3:$AC$501,0))&amp;"","")</f>
        <v/>
      </c>
      <c r="Z370" s="21" t="str">
        <f aca="false">IFERROR(INDEX(종합!Z$3:Z$501,MATCH(ROW()-2,종합!$AC$3:$AC$501,0))&amp;"","")</f>
        <v/>
      </c>
    </row>
    <row r="371" customFormat="false" ht="16.5" hidden="false" customHeight="true" outlineLevel="0" collapsed="false">
      <c r="A371" s="18" t="str">
        <f aca="false">IF(B371="","",ROW()-2)</f>
        <v/>
      </c>
      <c r="B371" s="18" t="str">
        <f aca="false">IFERROR(INDEX(종합!B$3:B$501,MATCH(ROW()-2,종합!$AC$3:$AC$501,0))&amp;"","")</f>
        <v/>
      </c>
      <c r="C371" s="18" t="str">
        <f aca="false">IFERROR(INDEX(종합!C$3:C$501,MATCH(ROW()-2,종합!$AC$3:$AC$501,0))&amp;"","")</f>
        <v/>
      </c>
      <c r="D371" s="18" t="str">
        <f aca="false">IFERROR(INDEX(종합!D$3:D$501,MATCH(ROW()-2,종합!$AC$3:$AC$501,0))&amp;"","")</f>
        <v/>
      </c>
      <c r="E371" s="18" t="str">
        <f aca="false">IFERROR(INDEX(종합!E$3:E$501,MATCH(ROW()-2,종합!$AC$3:$AC$501,0))&amp;"","")</f>
        <v/>
      </c>
      <c r="F371" s="18" t="str">
        <f aca="false">IFERROR(INDEX(종합!F$3:F$501,MATCH(ROW()-2,종합!$AC$3:$AC$501,0))&amp;"","")</f>
        <v/>
      </c>
      <c r="G371" s="18" t="str">
        <f aca="false">IFERROR(INDEX(종합!G$3:G$501,MATCH(ROW()-2,종합!$AC$3:$AC$501,0))&amp;"","")</f>
        <v/>
      </c>
      <c r="H371" s="21" t="str">
        <f aca="false">IFERROR(INDEX(종합!H$3:H$501,MATCH(ROW()-2,종합!$AC$3:$AC$501,0))&amp;"","")</f>
        <v/>
      </c>
      <c r="I371" s="21" t="str">
        <f aca="false">IFERROR(INDEX(종합!I$3:I$501,MATCH(ROW()-2,종합!$AC$3:$AC$501,0))&amp;"","")</f>
        <v/>
      </c>
      <c r="J371" s="21" t="str">
        <f aca="false">IFERROR(INDEX(종합!J$3:J$501,MATCH(ROW()-2,종합!$AC$3:$AC$501,0))&amp;"","")</f>
        <v/>
      </c>
      <c r="K371" s="21" t="str">
        <f aca="false">IFERROR(INDEX(종합!K$3:K$501,MATCH(ROW()-2,종합!$AC$3:$AC$501,0))&amp;"","")</f>
        <v/>
      </c>
      <c r="L371" s="21" t="str">
        <f aca="false">IFERROR(INDEX(종합!L$3:L$501,MATCH(ROW()-2,종합!$AC$3:$AC$501,0))&amp;"","")</f>
        <v/>
      </c>
      <c r="M371" s="21" t="str">
        <f aca="false">IFERROR(INDEX(종합!M$3:M$501,MATCH(ROW()-2,종합!$AC$3:$AC$501,0))&amp;"","")</f>
        <v/>
      </c>
      <c r="N371" s="25" t="str">
        <f aca="false">IFERROR(INDEX(종합!N$3:N$501,MATCH(ROW()-2,종합!$AC$3:$AC$501,0))&amp;"","")</f>
        <v/>
      </c>
      <c r="O371" s="21" t="str">
        <f aca="false">IFERROR(INDEX(종합!O$3:O$501,MATCH(ROW()-2,종합!$AC$3:$AC$501,0))&amp;"","")</f>
        <v/>
      </c>
      <c r="P371" s="21" t="str">
        <f aca="false">IFERROR(INDEX(종합!P$3:P$501,MATCH(ROW()-2,종합!$AC$3:$AC$501,0))&amp;"","")</f>
        <v/>
      </c>
      <c r="Q371" s="21" t="str">
        <f aca="false">IFERROR(INDEX(종합!Q$3:Q$501,MATCH(ROW()-2,종합!$AC$3:$AC$501,0))&amp;"","")</f>
        <v/>
      </c>
      <c r="R371" s="21" t="str">
        <f aca="false">IFERROR(INDEX(종합!R$3:R$501,MATCH(ROW()-2,종합!$AC$3:$AC$501,0))&amp;"","")</f>
        <v/>
      </c>
      <c r="S371" s="21" t="str">
        <f aca="false">IFERROR(INDEX(종합!S$3:S$501,MATCH(ROW()-2,종합!$AC$3:$AC$501,0))&amp;"","")</f>
        <v/>
      </c>
      <c r="T371" s="21" t="str">
        <f aca="false">IFERROR(INDEX(종합!T$3:T$501,MATCH(ROW()-2,종합!$AC$3:$AC$501,0))&amp;"","")</f>
        <v/>
      </c>
      <c r="U371" s="21" t="str">
        <f aca="false">IFERROR(INDEX(종합!U$3:U$501,MATCH(ROW()-2,종합!$AC$3:$AC$501,0))&amp;"","")</f>
        <v/>
      </c>
      <c r="V371" s="21" t="str">
        <f aca="false">IFERROR(INDEX(종합!V$3:V$501,MATCH(ROW()-2,종합!$AC$3:$AC$501,0))&amp;"","")</f>
        <v/>
      </c>
      <c r="W371" s="21" t="str">
        <f aca="false">IFERROR(INDEX(종합!W$3:W$501,MATCH(ROW()-2,종합!$AC$3:$AC$501,0))&amp;"","")</f>
        <v/>
      </c>
      <c r="X371" s="21" t="str">
        <f aca="false">IFERROR(INDEX(종합!X$3:X$501,MATCH(ROW()-2,종합!$AC$3:$AC$501,0))&amp;"","")</f>
        <v/>
      </c>
      <c r="Y371" s="21" t="str">
        <f aca="false">IFERROR(INDEX(종합!Y$3:Y$501,MATCH(ROW()-2,종합!$AC$3:$AC$501,0))&amp;"","")</f>
        <v/>
      </c>
      <c r="Z371" s="21" t="str">
        <f aca="false">IFERROR(INDEX(종합!Z$3:Z$501,MATCH(ROW()-2,종합!$AC$3:$AC$501,0))&amp;"","")</f>
        <v/>
      </c>
    </row>
    <row r="372" customFormat="false" ht="16.5" hidden="false" customHeight="true" outlineLevel="0" collapsed="false">
      <c r="A372" s="18" t="str">
        <f aca="false">IF(B372="","",ROW()-2)</f>
        <v/>
      </c>
      <c r="B372" s="18" t="str">
        <f aca="false">IFERROR(INDEX(종합!B$3:B$501,MATCH(ROW()-2,종합!$AC$3:$AC$501,0))&amp;"","")</f>
        <v/>
      </c>
      <c r="C372" s="18" t="str">
        <f aca="false">IFERROR(INDEX(종합!C$3:C$501,MATCH(ROW()-2,종합!$AC$3:$AC$501,0))&amp;"","")</f>
        <v/>
      </c>
      <c r="D372" s="18" t="str">
        <f aca="false">IFERROR(INDEX(종합!D$3:D$501,MATCH(ROW()-2,종합!$AC$3:$AC$501,0))&amp;"","")</f>
        <v/>
      </c>
      <c r="E372" s="18" t="str">
        <f aca="false">IFERROR(INDEX(종합!E$3:E$501,MATCH(ROW()-2,종합!$AC$3:$AC$501,0))&amp;"","")</f>
        <v/>
      </c>
      <c r="F372" s="18" t="str">
        <f aca="false">IFERROR(INDEX(종합!F$3:F$501,MATCH(ROW()-2,종합!$AC$3:$AC$501,0))&amp;"","")</f>
        <v/>
      </c>
      <c r="G372" s="18" t="str">
        <f aca="false">IFERROR(INDEX(종합!G$3:G$501,MATCH(ROW()-2,종합!$AC$3:$AC$501,0))&amp;"","")</f>
        <v/>
      </c>
      <c r="H372" s="21" t="str">
        <f aca="false">IFERROR(INDEX(종합!H$3:H$501,MATCH(ROW()-2,종합!$AC$3:$AC$501,0))&amp;"","")</f>
        <v/>
      </c>
      <c r="I372" s="21" t="str">
        <f aca="false">IFERROR(INDEX(종합!I$3:I$501,MATCH(ROW()-2,종합!$AC$3:$AC$501,0))&amp;"","")</f>
        <v/>
      </c>
      <c r="J372" s="21" t="str">
        <f aca="false">IFERROR(INDEX(종합!J$3:J$501,MATCH(ROW()-2,종합!$AC$3:$AC$501,0))&amp;"","")</f>
        <v/>
      </c>
      <c r="K372" s="21" t="str">
        <f aca="false">IFERROR(INDEX(종합!K$3:K$501,MATCH(ROW()-2,종합!$AC$3:$AC$501,0))&amp;"","")</f>
        <v/>
      </c>
      <c r="L372" s="21" t="str">
        <f aca="false">IFERROR(INDEX(종합!L$3:L$501,MATCH(ROW()-2,종합!$AC$3:$AC$501,0))&amp;"","")</f>
        <v/>
      </c>
      <c r="M372" s="21" t="str">
        <f aca="false">IFERROR(INDEX(종합!M$3:M$501,MATCH(ROW()-2,종합!$AC$3:$AC$501,0))&amp;"","")</f>
        <v/>
      </c>
      <c r="N372" s="25" t="str">
        <f aca="false">IFERROR(INDEX(종합!N$3:N$501,MATCH(ROW()-2,종합!$AC$3:$AC$501,0))&amp;"","")</f>
        <v/>
      </c>
      <c r="O372" s="21" t="str">
        <f aca="false">IFERROR(INDEX(종합!O$3:O$501,MATCH(ROW()-2,종합!$AC$3:$AC$501,0))&amp;"","")</f>
        <v/>
      </c>
      <c r="P372" s="21" t="str">
        <f aca="false">IFERROR(INDEX(종합!P$3:P$501,MATCH(ROW()-2,종합!$AC$3:$AC$501,0))&amp;"","")</f>
        <v/>
      </c>
      <c r="Q372" s="21" t="str">
        <f aca="false">IFERROR(INDEX(종합!Q$3:Q$501,MATCH(ROW()-2,종합!$AC$3:$AC$501,0))&amp;"","")</f>
        <v/>
      </c>
      <c r="R372" s="21" t="str">
        <f aca="false">IFERROR(INDEX(종합!R$3:R$501,MATCH(ROW()-2,종합!$AC$3:$AC$501,0))&amp;"","")</f>
        <v/>
      </c>
      <c r="S372" s="21" t="str">
        <f aca="false">IFERROR(INDEX(종합!S$3:S$501,MATCH(ROW()-2,종합!$AC$3:$AC$501,0))&amp;"","")</f>
        <v/>
      </c>
      <c r="T372" s="21" t="str">
        <f aca="false">IFERROR(INDEX(종합!T$3:T$501,MATCH(ROW()-2,종합!$AC$3:$AC$501,0))&amp;"","")</f>
        <v/>
      </c>
      <c r="U372" s="21" t="str">
        <f aca="false">IFERROR(INDEX(종합!U$3:U$501,MATCH(ROW()-2,종합!$AC$3:$AC$501,0))&amp;"","")</f>
        <v/>
      </c>
      <c r="V372" s="21" t="str">
        <f aca="false">IFERROR(INDEX(종합!V$3:V$501,MATCH(ROW()-2,종합!$AC$3:$AC$501,0))&amp;"","")</f>
        <v/>
      </c>
      <c r="W372" s="21" t="str">
        <f aca="false">IFERROR(INDEX(종합!W$3:W$501,MATCH(ROW()-2,종합!$AC$3:$AC$501,0))&amp;"","")</f>
        <v/>
      </c>
      <c r="X372" s="21" t="str">
        <f aca="false">IFERROR(INDEX(종합!X$3:X$501,MATCH(ROW()-2,종합!$AC$3:$AC$501,0))&amp;"","")</f>
        <v/>
      </c>
      <c r="Y372" s="21" t="str">
        <f aca="false">IFERROR(INDEX(종합!Y$3:Y$501,MATCH(ROW()-2,종합!$AC$3:$AC$501,0))&amp;"","")</f>
        <v/>
      </c>
      <c r="Z372" s="21" t="str">
        <f aca="false">IFERROR(INDEX(종합!Z$3:Z$501,MATCH(ROW()-2,종합!$AC$3:$AC$501,0))&amp;"","")</f>
        <v/>
      </c>
    </row>
    <row r="373" customFormat="false" ht="16.5" hidden="false" customHeight="true" outlineLevel="0" collapsed="false">
      <c r="A373" s="18" t="str">
        <f aca="false">IF(B373="","",ROW()-2)</f>
        <v/>
      </c>
      <c r="B373" s="18" t="str">
        <f aca="false">IFERROR(INDEX(종합!B$3:B$501,MATCH(ROW()-2,종합!$AC$3:$AC$501,0))&amp;"","")</f>
        <v/>
      </c>
      <c r="C373" s="18" t="str">
        <f aca="false">IFERROR(INDEX(종합!C$3:C$501,MATCH(ROW()-2,종합!$AC$3:$AC$501,0))&amp;"","")</f>
        <v/>
      </c>
      <c r="D373" s="18" t="str">
        <f aca="false">IFERROR(INDEX(종합!D$3:D$501,MATCH(ROW()-2,종합!$AC$3:$AC$501,0))&amp;"","")</f>
        <v/>
      </c>
      <c r="E373" s="18" t="str">
        <f aca="false">IFERROR(INDEX(종합!E$3:E$501,MATCH(ROW()-2,종합!$AC$3:$AC$501,0))&amp;"","")</f>
        <v/>
      </c>
      <c r="F373" s="18" t="str">
        <f aca="false">IFERROR(INDEX(종합!F$3:F$501,MATCH(ROW()-2,종합!$AC$3:$AC$501,0))&amp;"","")</f>
        <v/>
      </c>
      <c r="G373" s="18" t="str">
        <f aca="false">IFERROR(INDEX(종합!G$3:G$501,MATCH(ROW()-2,종합!$AC$3:$AC$501,0))&amp;"","")</f>
        <v/>
      </c>
      <c r="H373" s="21" t="str">
        <f aca="false">IFERROR(INDEX(종합!H$3:H$501,MATCH(ROW()-2,종합!$AC$3:$AC$501,0))&amp;"","")</f>
        <v/>
      </c>
      <c r="I373" s="21" t="str">
        <f aca="false">IFERROR(INDEX(종합!I$3:I$501,MATCH(ROW()-2,종합!$AC$3:$AC$501,0))&amp;"","")</f>
        <v/>
      </c>
      <c r="J373" s="21" t="str">
        <f aca="false">IFERROR(INDEX(종합!J$3:J$501,MATCH(ROW()-2,종합!$AC$3:$AC$501,0))&amp;"","")</f>
        <v/>
      </c>
      <c r="K373" s="21" t="str">
        <f aca="false">IFERROR(INDEX(종합!K$3:K$501,MATCH(ROW()-2,종합!$AC$3:$AC$501,0))&amp;"","")</f>
        <v/>
      </c>
      <c r="L373" s="21" t="str">
        <f aca="false">IFERROR(INDEX(종합!L$3:L$501,MATCH(ROW()-2,종합!$AC$3:$AC$501,0))&amp;"","")</f>
        <v/>
      </c>
      <c r="M373" s="21" t="str">
        <f aca="false">IFERROR(INDEX(종합!M$3:M$501,MATCH(ROW()-2,종합!$AC$3:$AC$501,0))&amp;"","")</f>
        <v/>
      </c>
      <c r="N373" s="25" t="str">
        <f aca="false">IFERROR(INDEX(종합!N$3:N$501,MATCH(ROW()-2,종합!$AC$3:$AC$501,0))&amp;"","")</f>
        <v/>
      </c>
      <c r="O373" s="21" t="str">
        <f aca="false">IFERROR(INDEX(종합!O$3:O$501,MATCH(ROW()-2,종합!$AC$3:$AC$501,0))&amp;"","")</f>
        <v/>
      </c>
      <c r="P373" s="21" t="str">
        <f aca="false">IFERROR(INDEX(종합!P$3:P$501,MATCH(ROW()-2,종합!$AC$3:$AC$501,0))&amp;"","")</f>
        <v/>
      </c>
      <c r="Q373" s="21" t="str">
        <f aca="false">IFERROR(INDEX(종합!Q$3:Q$501,MATCH(ROW()-2,종합!$AC$3:$AC$501,0))&amp;"","")</f>
        <v/>
      </c>
      <c r="R373" s="21" t="str">
        <f aca="false">IFERROR(INDEX(종합!R$3:R$501,MATCH(ROW()-2,종합!$AC$3:$AC$501,0))&amp;"","")</f>
        <v/>
      </c>
      <c r="S373" s="21" t="str">
        <f aca="false">IFERROR(INDEX(종합!S$3:S$501,MATCH(ROW()-2,종합!$AC$3:$AC$501,0))&amp;"","")</f>
        <v/>
      </c>
      <c r="T373" s="21" t="str">
        <f aca="false">IFERROR(INDEX(종합!T$3:T$501,MATCH(ROW()-2,종합!$AC$3:$AC$501,0))&amp;"","")</f>
        <v/>
      </c>
      <c r="U373" s="21" t="str">
        <f aca="false">IFERROR(INDEX(종합!U$3:U$501,MATCH(ROW()-2,종합!$AC$3:$AC$501,0))&amp;"","")</f>
        <v/>
      </c>
      <c r="V373" s="21" t="str">
        <f aca="false">IFERROR(INDEX(종합!V$3:V$501,MATCH(ROW()-2,종합!$AC$3:$AC$501,0))&amp;"","")</f>
        <v/>
      </c>
      <c r="W373" s="21" t="str">
        <f aca="false">IFERROR(INDEX(종합!W$3:W$501,MATCH(ROW()-2,종합!$AC$3:$AC$501,0))&amp;"","")</f>
        <v/>
      </c>
      <c r="X373" s="21" t="str">
        <f aca="false">IFERROR(INDEX(종합!X$3:X$501,MATCH(ROW()-2,종합!$AC$3:$AC$501,0))&amp;"","")</f>
        <v/>
      </c>
      <c r="Y373" s="21" t="str">
        <f aca="false">IFERROR(INDEX(종합!Y$3:Y$501,MATCH(ROW()-2,종합!$AC$3:$AC$501,0))&amp;"","")</f>
        <v/>
      </c>
      <c r="Z373" s="21" t="str">
        <f aca="false">IFERROR(INDEX(종합!Z$3:Z$501,MATCH(ROW()-2,종합!$AC$3:$AC$501,0))&amp;"","")</f>
        <v/>
      </c>
    </row>
    <row r="374" customFormat="false" ht="16.5" hidden="false" customHeight="true" outlineLevel="0" collapsed="false">
      <c r="A374" s="18" t="str">
        <f aca="false">IF(B374="","",ROW()-2)</f>
        <v/>
      </c>
      <c r="B374" s="18" t="str">
        <f aca="false">IFERROR(INDEX(종합!B$3:B$501,MATCH(ROW()-2,종합!$AC$3:$AC$501,0))&amp;"","")</f>
        <v/>
      </c>
      <c r="C374" s="18" t="str">
        <f aca="false">IFERROR(INDEX(종합!C$3:C$501,MATCH(ROW()-2,종합!$AC$3:$AC$501,0))&amp;"","")</f>
        <v/>
      </c>
      <c r="D374" s="18" t="str">
        <f aca="false">IFERROR(INDEX(종합!D$3:D$501,MATCH(ROW()-2,종합!$AC$3:$AC$501,0))&amp;"","")</f>
        <v/>
      </c>
      <c r="E374" s="18" t="str">
        <f aca="false">IFERROR(INDEX(종합!E$3:E$501,MATCH(ROW()-2,종합!$AC$3:$AC$501,0))&amp;"","")</f>
        <v/>
      </c>
      <c r="F374" s="18" t="str">
        <f aca="false">IFERROR(INDEX(종합!F$3:F$501,MATCH(ROW()-2,종합!$AC$3:$AC$501,0))&amp;"","")</f>
        <v/>
      </c>
      <c r="G374" s="18" t="str">
        <f aca="false">IFERROR(INDEX(종합!G$3:G$501,MATCH(ROW()-2,종합!$AC$3:$AC$501,0))&amp;"","")</f>
        <v/>
      </c>
      <c r="H374" s="21" t="str">
        <f aca="false">IFERROR(INDEX(종합!H$3:H$501,MATCH(ROW()-2,종합!$AC$3:$AC$501,0))&amp;"","")</f>
        <v/>
      </c>
      <c r="I374" s="21" t="str">
        <f aca="false">IFERROR(INDEX(종합!I$3:I$501,MATCH(ROW()-2,종합!$AC$3:$AC$501,0))&amp;"","")</f>
        <v/>
      </c>
      <c r="J374" s="21" t="str">
        <f aca="false">IFERROR(INDEX(종합!J$3:J$501,MATCH(ROW()-2,종합!$AC$3:$AC$501,0))&amp;"","")</f>
        <v/>
      </c>
      <c r="K374" s="21" t="str">
        <f aca="false">IFERROR(INDEX(종합!K$3:K$501,MATCH(ROW()-2,종합!$AC$3:$AC$501,0))&amp;"","")</f>
        <v/>
      </c>
      <c r="L374" s="21" t="str">
        <f aca="false">IFERROR(INDEX(종합!L$3:L$501,MATCH(ROW()-2,종합!$AC$3:$AC$501,0))&amp;"","")</f>
        <v/>
      </c>
      <c r="M374" s="21" t="str">
        <f aca="false">IFERROR(INDEX(종합!M$3:M$501,MATCH(ROW()-2,종합!$AC$3:$AC$501,0))&amp;"","")</f>
        <v/>
      </c>
      <c r="N374" s="25" t="str">
        <f aca="false">IFERROR(INDEX(종합!N$3:N$501,MATCH(ROW()-2,종합!$AC$3:$AC$501,0))&amp;"","")</f>
        <v/>
      </c>
      <c r="O374" s="21" t="str">
        <f aca="false">IFERROR(INDEX(종합!O$3:O$501,MATCH(ROW()-2,종합!$AC$3:$AC$501,0))&amp;"","")</f>
        <v/>
      </c>
      <c r="P374" s="21" t="str">
        <f aca="false">IFERROR(INDEX(종합!P$3:P$501,MATCH(ROW()-2,종합!$AC$3:$AC$501,0))&amp;"","")</f>
        <v/>
      </c>
      <c r="Q374" s="21" t="str">
        <f aca="false">IFERROR(INDEX(종합!Q$3:Q$501,MATCH(ROW()-2,종합!$AC$3:$AC$501,0))&amp;"","")</f>
        <v/>
      </c>
      <c r="R374" s="21" t="str">
        <f aca="false">IFERROR(INDEX(종합!R$3:R$501,MATCH(ROW()-2,종합!$AC$3:$AC$501,0))&amp;"","")</f>
        <v/>
      </c>
      <c r="S374" s="21" t="str">
        <f aca="false">IFERROR(INDEX(종합!S$3:S$501,MATCH(ROW()-2,종합!$AC$3:$AC$501,0))&amp;"","")</f>
        <v/>
      </c>
      <c r="T374" s="21" t="str">
        <f aca="false">IFERROR(INDEX(종합!T$3:T$501,MATCH(ROW()-2,종합!$AC$3:$AC$501,0))&amp;"","")</f>
        <v/>
      </c>
      <c r="U374" s="21" t="str">
        <f aca="false">IFERROR(INDEX(종합!U$3:U$501,MATCH(ROW()-2,종합!$AC$3:$AC$501,0))&amp;"","")</f>
        <v/>
      </c>
      <c r="V374" s="21" t="str">
        <f aca="false">IFERROR(INDEX(종합!V$3:V$501,MATCH(ROW()-2,종합!$AC$3:$AC$501,0))&amp;"","")</f>
        <v/>
      </c>
      <c r="W374" s="21" t="str">
        <f aca="false">IFERROR(INDEX(종합!W$3:W$501,MATCH(ROW()-2,종합!$AC$3:$AC$501,0))&amp;"","")</f>
        <v/>
      </c>
      <c r="X374" s="21" t="str">
        <f aca="false">IFERROR(INDEX(종합!X$3:X$501,MATCH(ROW()-2,종합!$AC$3:$AC$501,0))&amp;"","")</f>
        <v/>
      </c>
      <c r="Y374" s="21" t="str">
        <f aca="false">IFERROR(INDEX(종합!Y$3:Y$501,MATCH(ROW()-2,종합!$AC$3:$AC$501,0))&amp;"","")</f>
        <v/>
      </c>
      <c r="Z374" s="21" t="str">
        <f aca="false">IFERROR(INDEX(종합!Z$3:Z$501,MATCH(ROW()-2,종합!$AC$3:$AC$501,0))&amp;"","")</f>
        <v/>
      </c>
    </row>
    <row r="375" customFormat="false" ht="16.5" hidden="false" customHeight="true" outlineLevel="0" collapsed="false">
      <c r="A375" s="18" t="str">
        <f aca="false">IF(B375="","",ROW()-2)</f>
        <v/>
      </c>
      <c r="B375" s="18" t="str">
        <f aca="false">IFERROR(INDEX(종합!B$3:B$501,MATCH(ROW()-2,종합!$AC$3:$AC$501,0))&amp;"","")</f>
        <v/>
      </c>
      <c r="C375" s="18" t="str">
        <f aca="false">IFERROR(INDEX(종합!C$3:C$501,MATCH(ROW()-2,종합!$AC$3:$AC$501,0))&amp;"","")</f>
        <v/>
      </c>
      <c r="D375" s="18" t="str">
        <f aca="false">IFERROR(INDEX(종합!D$3:D$501,MATCH(ROW()-2,종합!$AC$3:$AC$501,0))&amp;"","")</f>
        <v/>
      </c>
      <c r="E375" s="18" t="str">
        <f aca="false">IFERROR(INDEX(종합!E$3:E$501,MATCH(ROW()-2,종합!$AC$3:$AC$501,0))&amp;"","")</f>
        <v/>
      </c>
      <c r="F375" s="18" t="str">
        <f aca="false">IFERROR(INDEX(종합!F$3:F$501,MATCH(ROW()-2,종합!$AC$3:$AC$501,0))&amp;"","")</f>
        <v/>
      </c>
      <c r="G375" s="18" t="str">
        <f aca="false">IFERROR(INDEX(종합!G$3:G$501,MATCH(ROW()-2,종합!$AC$3:$AC$501,0))&amp;"","")</f>
        <v/>
      </c>
      <c r="H375" s="21" t="str">
        <f aca="false">IFERROR(INDEX(종합!H$3:H$501,MATCH(ROW()-2,종합!$AC$3:$AC$501,0))&amp;"","")</f>
        <v/>
      </c>
      <c r="I375" s="21" t="str">
        <f aca="false">IFERROR(INDEX(종합!I$3:I$501,MATCH(ROW()-2,종합!$AC$3:$AC$501,0))&amp;"","")</f>
        <v/>
      </c>
      <c r="J375" s="21" t="str">
        <f aca="false">IFERROR(INDEX(종합!J$3:J$501,MATCH(ROW()-2,종합!$AC$3:$AC$501,0))&amp;"","")</f>
        <v/>
      </c>
      <c r="K375" s="21" t="str">
        <f aca="false">IFERROR(INDEX(종합!K$3:K$501,MATCH(ROW()-2,종합!$AC$3:$AC$501,0))&amp;"","")</f>
        <v/>
      </c>
      <c r="L375" s="21" t="str">
        <f aca="false">IFERROR(INDEX(종합!L$3:L$501,MATCH(ROW()-2,종합!$AC$3:$AC$501,0))&amp;"","")</f>
        <v/>
      </c>
      <c r="M375" s="21" t="str">
        <f aca="false">IFERROR(INDEX(종합!M$3:M$501,MATCH(ROW()-2,종합!$AC$3:$AC$501,0))&amp;"","")</f>
        <v/>
      </c>
      <c r="N375" s="25" t="str">
        <f aca="false">IFERROR(INDEX(종합!N$3:N$501,MATCH(ROW()-2,종합!$AC$3:$AC$501,0))&amp;"","")</f>
        <v/>
      </c>
      <c r="O375" s="21" t="str">
        <f aca="false">IFERROR(INDEX(종합!O$3:O$501,MATCH(ROW()-2,종합!$AC$3:$AC$501,0))&amp;"","")</f>
        <v/>
      </c>
      <c r="P375" s="21" t="str">
        <f aca="false">IFERROR(INDEX(종합!P$3:P$501,MATCH(ROW()-2,종합!$AC$3:$AC$501,0))&amp;"","")</f>
        <v/>
      </c>
      <c r="Q375" s="21" t="str">
        <f aca="false">IFERROR(INDEX(종합!Q$3:Q$501,MATCH(ROW()-2,종합!$AC$3:$AC$501,0))&amp;"","")</f>
        <v/>
      </c>
      <c r="R375" s="21" t="str">
        <f aca="false">IFERROR(INDEX(종합!R$3:R$501,MATCH(ROW()-2,종합!$AC$3:$AC$501,0))&amp;"","")</f>
        <v/>
      </c>
      <c r="S375" s="21" t="str">
        <f aca="false">IFERROR(INDEX(종합!S$3:S$501,MATCH(ROW()-2,종합!$AC$3:$AC$501,0))&amp;"","")</f>
        <v/>
      </c>
      <c r="T375" s="21" t="str">
        <f aca="false">IFERROR(INDEX(종합!T$3:T$501,MATCH(ROW()-2,종합!$AC$3:$AC$501,0))&amp;"","")</f>
        <v/>
      </c>
      <c r="U375" s="21" t="str">
        <f aca="false">IFERROR(INDEX(종합!U$3:U$501,MATCH(ROW()-2,종합!$AC$3:$AC$501,0))&amp;"","")</f>
        <v/>
      </c>
      <c r="V375" s="21" t="str">
        <f aca="false">IFERROR(INDEX(종합!V$3:V$501,MATCH(ROW()-2,종합!$AC$3:$AC$501,0))&amp;"","")</f>
        <v/>
      </c>
      <c r="W375" s="21" t="str">
        <f aca="false">IFERROR(INDEX(종합!W$3:W$501,MATCH(ROW()-2,종합!$AC$3:$AC$501,0))&amp;"","")</f>
        <v/>
      </c>
      <c r="X375" s="21" t="str">
        <f aca="false">IFERROR(INDEX(종합!X$3:X$501,MATCH(ROW()-2,종합!$AC$3:$AC$501,0))&amp;"","")</f>
        <v/>
      </c>
      <c r="Y375" s="21" t="str">
        <f aca="false">IFERROR(INDEX(종합!Y$3:Y$501,MATCH(ROW()-2,종합!$AC$3:$AC$501,0))&amp;"","")</f>
        <v/>
      </c>
      <c r="Z375" s="21" t="str">
        <f aca="false">IFERROR(INDEX(종합!Z$3:Z$501,MATCH(ROW()-2,종합!$AC$3:$AC$501,0))&amp;"","")</f>
        <v/>
      </c>
    </row>
    <row r="376" customFormat="false" ht="16.5" hidden="false" customHeight="true" outlineLevel="0" collapsed="false">
      <c r="A376" s="18" t="str">
        <f aca="false">IF(B376="","",ROW()-2)</f>
        <v/>
      </c>
      <c r="B376" s="18" t="str">
        <f aca="false">IFERROR(INDEX(종합!B$3:B$501,MATCH(ROW()-2,종합!$AC$3:$AC$501,0))&amp;"","")</f>
        <v/>
      </c>
      <c r="C376" s="18" t="str">
        <f aca="false">IFERROR(INDEX(종합!C$3:C$501,MATCH(ROW()-2,종합!$AC$3:$AC$501,0))&amp;"","")</f>
        <v/>
      </c>
      <c r="D376" s="18" t="str">
        <f aca="false">IFERROR(INDEX(종합!D$3:D$501,MATCH(ROW()-2,종합!$AC$3:$AC$501,0))&amp;"","")</f>
        <v/>
      </c>
      <c r="E376" s="18" t="str">
        <f aca="false">IFERROR(INDEX(종합!E$3:E$501,MATCH(ROW()-2,종합!$AC$3:$AC$501,0))&amp;"","")</f>
        <v/>
      </c>
      <c r="F376" s="18" t="str">
        <f aca="false">IFERROR(INDEX(종합!F$3:F$501,MATCH(ROW()-2,종합!$AC$3:$AC$501,0))&amp;"","")</f>
        <v/>
      </c>
      <c r="G376" s="18" t="str">
        <f aca="false">IFERROR(INDEX(종합!G$3:G$501,MATCH(ROW()-2,종합!$AC$3:$AC$501,0))&amp;"","")</f>
        <v/>
      </c>
      <c r="H376" s="21" t="str">
        <f aca="false">IFERROR(INDEX(종합!H$3:H$501,MATCH(ROW()-2,종합!$AC$3:$AC$501,0))&amp;"","")</f>
        <v/>
      </c>
      <c r="I376" s="21" t="str">
        <f aca="false">IFERROR(INDEX(종합!I$3:I$501,MATCH(ROW()-2,종합!$AC$3:$AC$501,0))&amp;"","")</f>
        <v/>
      </c>
      <c r="J376" s="21" t="str">
        <f aca="false">IFERROR(INDEX(종합!J$3:J$501,MATCH(ROW()-2,종합!$AC$3:$AC$501,0))&amp;"","")</f>
        <v/>
      </c>
      <c r="K376" s="21" t="str">
        <f aca="false">IFERROR(INDEX(종합!K$3:K$501,MATCH(ROW()-2,종합!$AC$3:$AC$501,0))&amp;"","")</f>
        <v/>
      </c>
      <c r="L376" s="21" t="str">
        <f aca="false">IFERROR(INDEX(종합!L$3:L$501,MATCH(ROW()-2,종합!$AC$3:$AC$501,0))&amp;"","")</f>
        <v/>
      </c>
      <c r="M376" s="21" t="str">
        <f aca="false">IFERROR(INDEX(종합!M$3:M$501,MATCH(ROW()-2,종합!$AC$3:$AC$501,0))&amp;"","")</f>
        <v/>
      </c>
      <c r="N376" s="25" t="str">
        <f aca="false">IFERROR(INDEX(종합!N$3:N$501,MATCH(ROW()-2,종합!$AC$3:$AC$501,0))&amp;"","")</f>
        <v/>
      </c>
      <c r="O376" s="21" t="str">
        <f aca="false">IFERROR(INDEX(종합!O$3:O$501,MATCH(ROW()-2,종합!$AC$3:$AC$501,0))&amp;"","")</f>
        <v/>
      </c>
      <c r="P376" s="21" t="str">
        <f aca="false">IFERROR(INDEX(종합!P$3:P$501,MATCH(ROW()-2,종합!$AC$3:$AC$501,0))&amp;"","")</f>
        <v/>
      </c>
      <c r="Q376" s="21" t="str">
        <f aca="false">IFERROR(INDEX(종합!Q$3:Q$501,MATCH(ROW()-2,종합!$AC$3:$AC$501,0))&amp;"","")</f>
        <v/>
      </c>
      <c r="R376" s="21" t="str">
        <f aca="false">IFERROR(INDEX(종합!R$3:R$501,MATCH(ROW()-2,종합!$AC$3:$AC$501,0))&amp;"","")</f>
        <v/>
      </c>
      <c r="S376" s="21" t="str">
        <f aca="false">IFERROR(INDEX(종합!S$3:S$501,MATCH(ROW()-2,종합!$AC$3:$AC$501,0))&amp;"","")</f>
        <v/>
      </c>
      <c r="T376" s="21" t="str">
        <f aca="false">IFERROR(INDEX(종합!T$3:T$501,MATCH(ROW()-2,종합!$AC$3:$AC$501,0))&amp;"","")</f>
        <v/>
      </c>
      <c r="U376" s="21" t="str">
        <f aca="false">IFERROR(INDEX(종합!U$3:U$501,MATCH(ROW()-2,종합!$AC$3:$AC$501,0))&amp;"","")</f>
        <v/>
      </c>
      <c r="V376" s="21" t="str">
        <f aca="false">IFERROR(INDEX(종합!V$3:V$501,MATCH(ROW()-2,종합!$AC$3:$AC$501,0))&amp;"","")</f>
        <v/>
      </c>
      <c r="W376" s="21" t="str">
        <f aca="false">IFERROR(INDEX(종합!W$3:W$501,MATCH(ROW()-2,종합!$AC$3:$AC$501,0))&amp;"","")</f>
        <v/>
      </c>
      <c r="X376" s="21" t="str">
        <f aca="false">IFERROR(INDEX(종합!X$3:X$501,MATCH(ROW()-2,종합!$AC$3:$AC$501,0))&amp;"","")</f>
        <v/>
      </c>
      <c r="Y376" s="21" t="str">
        <f aca="false">IFERROR(INDEX(종합!Y$3:Y$501,MATCH(ROW()-2,종합!$AC$3:$AC$501,0))&amp;"","")</f>
        <v/>
      </c>
      <c r="Z376" s="21" t="str">
        <f aca="false">IFERROR(INDEX(종합!Z$3:Z$501,MATCH(ROW()-2,종합!$AC$3:$AC$501,0))&amp;"","")</f>
        <v/>
      </c>
    </row>
    <row r="377" customFormat="false" ht="16.5" hidden="false" customHeight="true" outlineLevel="0" collapsed="false">
      <c r="A377" s="18" t="str">
        <f aca="false">IF(B377="","",ROW()-2)</f>
        <v/>
      </c>
      <c r="B377" s="18" t="str">
        <f aca="false">IFERROR(INDEX(종합!B$3:B$501,MATCH(ROW()-2,종합!$AC$3:$AC$501,0))&amp;"","")</f>
        <v/>
      </c>
      <c r="C377" s="18" t="str">
        <f aca="false">IFERROR(INDEX(종합!C$3:C$501,MATCH(ROW()-2,종합!$AC$3:$AC$501,0))&amp;"","")</f>
        <v/>
      </c>
      <c r="D377" s="18" t="str">
        <f aca="false">IFERROR(INDEX(종합!D$3:D$501,MATCH(ROW()-2,종합!$AC$3:$AC$501,0))&amp;"","")</f>
        <v/>
      </c>
      <c r="E377" s="18" t="str">
        <f aca="false">IFERROR(INDEX(종합!E$3:E$501,MATCH(ROW()-2,종합!$AC$3:$AC$501,0))&amp;"","")</f>
        <v/>
      </c>
      <c r="F377" s="18" t="str">
        <f aca="false">IFERROR(INDEX(종합!F$3:F$501,MATCH(ROW()-2,종합!$AC$3:$AC$501,0))&amp;"","")</f>
        <v/>
      </c>
      <c r="G377" s="18" t="str">
        <f aca="false">IFERROR(INDEX(종합!G$3:G$501,MATCH(ROW()-2,종합!$AC$3:$AC$501,0))&amp;"","")</f>
        <v/>
      </c>
      <c r="H377" s="21" t="str">
        <f aca="false">IFERROR(INDEX(종합!H$3:H$501,MATCH(ROW()-2,종합!$AC$3:$AC$501,0))&amp;"","")</f>
        <v/>
      </c>
      <c r="I377" s="21" t="str">
        <f aca="false">IFERROR(INDEX(종합!I$3:I$501,MATCH(ROW()-2,종합!$AC$3:$AC$501,0))&amp;"","")</f>
        <v/>
      </c>
      <c r="J377" s="21" t="str">
        <f aca="false">IFERROR(INDEX(종합!J$3:J$501,MATCH(ROW()-2,종합!$AC$3:$AC$501,0))&amp;"","")</f>
        <v/>
      </c>
      <c r="K377" s="21" t="str">
        <f aca="false">IFERROR(INDEX(종합!K$3:K$501,MATCH(ROW()-2,종합!$AC$3:$AC$501,0))&amp;"","")</f>
        <v/>
      </c>
      <c r="L377" s="21" t="str">
        <f aca="false">IFERROR(INDEX(종합!L$3:L$501,MATCH(ROW()-2,종합!$AC$3:$AC$501,0))&amp;"","")</f>
        <v/>
      </c>
      <c r="M377" s="21" t="str">
        <f aca="false">IFERROR(INDEX(종합!M$3:M$501,MATCH(ROW()-2,종합!$AC$3:$AC$501,0))&amp;"","")</f>
        <v/>
      </c>
      <c r="N377" s="25" t="str">
        <f aca="false">IFERROR(INDEX(종합!N$3:N$501,MATCH(ROW()-2,종합!$AC$3:$AC$501,0))&amp;"","")</f>
        <v/>
      </c>
      <c r="O377" s="21" t="str">
        <f aca="false">IFERROR(INDEX(종합!O$3:O$501,MATCH(ROW()-2,종합!$AC$3:$AC$501,0))&amp;"","")</f>
        <v/>
      </c>
      <c r="P377" s="21" t="str">
        <f aca="false">IFERROR(INDEX(종합!P$3:P$501,MATCH(ROW()-2,종합!$AC$3:$AC$501,0))&amp;"","")</f>
        <v/>
      </c>
      <c r="Q377" s="21" t="str">
        <f aca="false">IFERROR(INDEX(종합!Q$3:Q$501,MATCH(ROW()-2,종합!$AC$3:$AC$501,0))&amp;"","")</f>
        <v/>
      </c>
      <c r="R377" s="21" t="str">
        <f aca="false">IFERROR(INDEX(종합!R$3:R$501,MATCH(ROW()-2,종합!$AC$3:$AC$501,0))&amp;"","")</f>
        <v/>
      </c>
      <c r="S377" s="21" t="str">
        <f aca="false">IFERROR(INDEX(종합!S$3:S$501,MATCH(ROW()-2,종합!$AC$3:$AC$501,0))&amp;"","")</f>
        <v/>
      </c>
      <c r="T377" s="21" t="str">
        <f aca="false">IFERROR(INDEX(종합!T$3:T$501,MATCH(ROW()-2,종합!$AC$3:$AC$501,0))&amp;"","")</f>
        <v/>
      </c>
      <c r="U377" s="21" t="str">
        <f aca="false">IFERROR(INDEX(종합!U$3:U$501,MATCH(ROW()-2,종합!$AC$3:$AC$501,0))&amp;"","")</f>
        <v/>
      </c>
      <c r="V377" s="21" t="str">
        <f aca="false">IFERROR(INDEX(종합!V$3:V$501,MATCH(ROW()-2,종합!$AC$3:$AC$501,0))&amp;"","")</f>
        <v/>
      </c>
      <c r="W377" s="21" t="str">
        <f aca="false">IFERROR(INDEX(종합!W$3:W$501,MATCH(ROW()-2,종합!$AC$3:$AC$501,0))&amp;"","")</f>
        <v/>
      </c>
      <c r="X377" s="21" t="str">
        <f aca="false">IFERROR(INDEX(종합!X$3:X$501,MATCH(ROW()-2,종합!$AC$3:$AC$501,0))&amp;"","")</f>
        <v/>
      </c>
      <c r="Y377" s="21" t="str">
        <f aca="false">IFERROR(INDEX(종합!Y$3:Y$501,MATCH(ROW()-2,종합!$AC$3:$AC$501,0))&amp;"","")</f>
        <v/>
      </c>
      <c r="Z377" s="21" t="str">
        <f aca="false">IFERROR(INDEX(종합!Z$3:Z$501,MATCH(ROW()-2,종합!$AC$3:$AC$501,0))&amp;"","")</f>
        <v/>
      </c>
    </row>
    <row r="378" customFormat="false" ht="16.5" hidden="false" customHeight="true" outlineLevel="0" collapsed="false">
      <c r="A378" s="18" t="str">
        <f aca="false">IF(B378="","",ROW()-2)</f>
        <v/>
      </c>
      <c r="B378" s="18" t="str">
        <f aca="false">IFERROR(INDEX(종합!B$3:B$501,MATCH(ROW()-2,종합!$AC$3:$AC$501,0))&amp;"","")</f>
        <v/>
      </c>
      <c r="C378" s="18" t="str">
        <f aca="false">IFERROR(INDEX(종합!C$3:C$501,MATCH(ROW()-2,종합!$AC$3:$AC$501,0))&amp;"","")</f>
        <v/>
      </c>
      <c r="D378" s="18" t="str">
        <f aca="false">IFERROR(INDEX(종합!D$3:D$501,MATCH(ROW()-2,종합!$AC$3:$AC$501,0))&amp;"","")</f>
        <v/>
      </c>
      <c r="E378" s="18" t="str">
        <f aca="false">IFERROR(INDEX(종합!E$3:E$501,MATCH(ROW()-2,종합!$AC$3:$AC$501,0))&amp;"","")</f>
        <v/>
      </c>
      <c r="F378" s="18" t="str">
        <f aca="false">IFERROR(INDEX(종합!F$3:F$501,MATCH(ROW()-2,종합!$AC$3:$AC$501,0))&amp;"","")</f>
        <v/>
      </c>
      <c r="G378" s="18" t="str">
        <f aca="false">IFERROR(INDEX(종합!G$3:G$501,MATCH(ROW()-2,종합!$AC$3:$AC$501,0))&amp;"","")</f>
        <v/>
      </c>
      <c r="H378" s="21" t="str">
        <f aca="false">IFERROR(INDEX(종합!H$3:H$501,MATCH(ROW()-2,종합!$AC$3:$AC$501,0))&amp;"","")</f>
        <v/>
      </c>
      <c r="I378" s="21" t="str">
        <f aca="false">IFERROR(INDEX(종합!I$3:I$501,MATCH(ROW()-2,종합!$AC$3:$AC$501,0))&amp;"","")</f>
        <v/>
      </c>
      <c r="J378" s="21" t="str">
        <f aca="false">IFERROR(INDEX(종합!J$3:J$501,MATCH(ROW()-2,종합!$AC$3:$AC$501,0))&amp;"","")</f>
        <v/>
      </c>
      <c r="K378" s="21" t="str">
        <f aca="false">IFERROR(INDEX(종합!K$3:K$501,MATCH(ROW()-2,종합!$AC$3:$AC$501,0))&amp;"","")</f>
        <v/>
      </c>
      <c r="L378" s="21" t="str">
        <f aca="false">IFERROR(INDEX(종합!L$3:L$501,MATCH(ROW()-2,종합!$AC$3:$AC$501,0))&amp;"","")</f>
        <v/>
      </c>
      <c r="M378" s="21" t="str">
        <f aca="false">IFERROR(INDEX(종합!M$3:M$501,MATCH(ROW()-2,종합!$AC$3:$AC$501,0))&amp;"","")</f>
        <v/>
      </c>
      <c r="N378" s="25" t="str">
        <f aca="false">IFERROR(INDEX(종합!N$3:N$501,MATCH(ROW()-2,종합!$AC$3:$AC$501,0))&amp;"","")</f>
        <v/>
      </c>
      <c r="O378" s="21" t="str">
        <f aca="false">IFERROR(INDEX(종합!O$3:O$501,MATCH(ROW()-2,종합!$AC$3:$AC$501,0))&amp;"","")</f>
        <v/>
      </c>
      <c r="P378" s="21" t="str">
        <f aca="false">IFERROR(INDEX(종합!P$3:P$501,MATCH(ROW()-2,종합!$AC$3:$AC$501,0))&amp;"","")</f>
        <v/>
      </c>
      <c r="Q378" s="21" t="str">
        <f aca="false">IFERROR(INDEX(종합!Q$3:Q$501,MATCH(ROW()-2,종합!$AC$3:$AC$501,0))&amp;"","")</f>
        <v/>
      </c>
      <c r="R378" s="21" t="str">
        <f aca="false">IFERROR(INDEX(종합!R$3:R$501,MATCH(ROW()-2,종합!$AC$3:$AC$501,0))&amp;"","")</f>
        <v/>
      </c>
      <c r="S378" s="21" t="str">
        <f aca="false">IFERROR(INDEX(종합!S$3:S$501,MATCH(ROW()-2,종합!$AC$3:$AC$501,0))&amp;"","")</f>
        <v/>
      </c>
      <c r="T378" s="21" t="str">
        <f aca="false">IFERROR(INDEX(종합!T$3:T$501,MATCH(ROW()-2,종합!$AC$3:$AC$501,0))&amp;"","")</f>
        <v/>
      </c>
      <c r="U378" s="21" t="str">
        <f aca="false">IFERROR(INDEX(종합!U$3:U$501,MATCH(ROW()-2,종합!$AC$3:$AC$501,0))&amp;"","")</f>
        <v/>
      </c>
      <c r="V378" s="21" t="str">
        <f aca="false">IFERROR(INDEX(종합!V$3:V$501,MATCH(ROW()-2,종합!$AC$3:$AC$501,0))&amp;"","")</f>
        <v/>
      </c>
      <c r="W378" s="21" t="str">
        <f aca="false">IFERROR(INDEX(종합!W$3:W$501,MATCH(ROW()-2,종합!$AC$3:$AC$501,0))&amp;"","")</f>
        <v/>
      </c>
      <c r="X378" s="21" t="str">
        <f aca="false">IFERROR(INDEX(종합!X$3:X$501,MATCH(ROW()-2,종합!$AC$3:$AC$501,0))&amp;"","")</f>
        <v/>
      </c>
      <c r="Y378" s="21" t="str">
        <f aca="false">IFERROR(INDEX(종합!Y$3:Y$501,MATCH(ROW()-2,종합!$AC$3:$AC$501,0))&amp;"","")</f>
        <v/>
      </c>
      <c r="Z378" s="21" t="str">
        <f aca="false">IFERROR(INDEX(종합!Z$3:Z$501,MATCH(ROW()-2,종합!$AC$3:$AC$501,0))&amp;"","")</f>
        <v/>
      </c>
    </row>
    <row r="379" customFormat="false" ht="16.5" hidden="false" customHeight="true" outlineLevel="0" collapsed="false">
      <c r="A379" s="18" t="str">
        <f aca="false">IF(B379="","",ROW()-2)</f>
        <v/>
      </c>
      <c r="B379" s="18" t="str">
        <f aca="false">IFERROR(INDEX(종합!B$3:B$501,MATCH(ROW()-2,종합!$AC$3:$AC$501,0))&amp;"","")</f>
        <v/>
      </c>
      <c r="C379" s="18" t="str">
        <f aca="false">IFERROR(INDEX(종합!C$3:C$501,MATCH(ROW()-2,종합!$AC$3:$AC$501,0))&amp;"","")</f>
        <v/>
      </c>
      <c r="D379" s="18" t="str">
        <f aca="false">IFERROR(INDEX(종합!D$3:D$501,MATCH(ROW()-2,종합!$AC$3:$AC$501,0))&amp;"","")</f>
        <v/>
      </c>
      <c r="E379" s="18" t="str">
        <f aca="false">IFERROR(INDEX(종합!E$3:E$501,MATCH(ROW()-2,종합!$AC$3:$AC$501,0))&amp;"","")</f>
        <v/>
      </c>
      <c r="F379" s="18" t="str">
        <f aca="false">IFERROR(INDEX(종합!F$3:F$501,MATCH(ROW()-2,종합!$AC$3:$AC$501,0))&amp;"","")</f>
        <v/>
      </c>
      <c r="G379" s="18" t="str">
        <f aca="false">IFERROR(INDEX(종합!G$3:G$501,MATCH(ROW()-2,종합!$AC$3:$AC$501,0))&amp;"","")</f>
        <v/>
      </c>
      <c r="H379" s="21" t="str">
        <f aca="false">IFERROR(INDEX(종합!H$3:H$501,MATCH(ROW()-2,종합!$AC$3:$AC$501,0))&amp;"","")</f>
        <v/>
      </c>
      <c r="I379" s="21" t="str">
        <f aca="false">IFERROR(INDEX(종합!I$3:I$501,MATCH(ROW()-2,종합!$AC$3:$AC$501,0))&amp;"","")</f>
        <v/>
      </c>
      <c r="J379" s="21" t="str">
        <f aca="false">IFERROR(INDEX(종합!J$3:J$501,MATCH(ROW()-2,종합!$AC$3:$AC$501,0))&amp;"","")</f>
        <v/>
      </c>
      <c r="K379" s="21" t="str">
        <f aca="false">IFERROR(INDEX(종합!K$3:K$501,MATCH(ROW()-2,종합!$AC$3:$AC$501,0))&amp;"","")</f>
        <v/>
      </c>
      <c r="L379" s="21" t="str">
        <f aca="false">IFERROR(INDEX(종합!L$3:L$501,MATCH(ROW()-2,종합!$AC$3:$AC$501,0))&amp;"","")</f>
        <v/>
      </c>
      <c r="M379" s="21" t="str">
        <f aca="false">IFERROR(INDEX(종합!M$3:M$501,MATCH(ROW()-2,종합!$AC$3:$AC$501,0))&amp;"","")</f>
        <v/>
      </c>
      <c r="N379" s="25" t="str">
        <f aca="false">IFERROR(INDEX(종합!N$3:N$501,MATCH(ROW()-2,종합!$AC$3:$AC$501,0))&amp;"","")</f>
        <v/>
      </c>
      <c r="O379" s="21" t="str">
        <f aca="false">IFERROR(INDEX(종합!O$3:O$501,MATCH(ROW()-2,종합!$AC$3:$AC$501,0))&amp;"","")</f>
        <v/>
      </c>
      <c r="P379" s="21" t="str">
        <f aca="false">IFERROR(INDEX(종합!P$3:P$501,MATCH(ROW()-2,종합!$AC$3:$AC$501,0))&amp;"","")</f>
        <v/>
      </c>
      <c r="Q379" s="21" t="str">
        <f aca="false">IFERROR(INDEX(종합!Q$3:Q$501,MATCH(ROW()-2,종합!$AC$3:$AC$501,0))&amp;"","")</f>
        <v/>
      </c>
      <c r="R379" s="21" t="str">
        <f aca="false">IFERROR(INDEX(종합!R$3:R$501,MATCH(ROW()-2,종합!$AC$3:$AC$501,0))&amp;"","")</f>
        <v/>
      </c>
      <c r="S379" s="21" t="str">
        <f aca="false">IFERROR(INDEX(종합!S$3:S$501,MATCH(ROW()-2,종합!$AC$3:$AC$501,0))&amp;"","")</f>
        <v/>
      </c>
      <c r="T379" s="21" t="str">
        <f aca="false">IFERROR(INDEX(종합!T$3:T$501,MATCH(ROW()-2,종합!$AC$3:$AC$501,0))&amp;"","")</f>
        <v/>
      </c>
      <c r="U379" s="21" t="str">
        <f aca="false">IFERROR(INDEX(종합!U$3:U$501,MATCH(ROW()-2,종합!$AC$3:$AC$501,0))&amp;"","")</f>
        <v/>
      </c>
      <c r="V379" s="21" t="str">
        <f aca="false">IFERROR(INDEX(종합!V$3:V$501,MATCH(ROW()-2,종합!$AC$3:$AC$501,0))&amp;"","")</f>
        <v/>
      </c>
      <c r="W379" s="21" t="str">
        <f aca="false">IFERROR(INDEX(종합!W$3:W$501,MATCH(ROW()-2,종합!$AC$3:$AC$501,0))&amp;"","")</f>
        <v/>
      </c>
      <c r="X379" s="21" t="str">
        <f aca="false">IFERROR(INDEX(종합!X$3:X$501,MATCH(ROW()-2,종합!$AC$3:$AC$501,0))&amp;"","")</f>
        <v/>
      </c>
      <c r="Y379" s="21" t="str">
        <f aca="false">IFERROR(INDEX(종합!Y$3:Y$501,MATCH(ROW()-2,종합!$AC$3:$AC$501,0))&amp;"","")</f>
        <v/>
      </c>
      <c r="Z379" s="21" t="str">
        <f aca="false">IFERROR(INDEX(종합!Z$3:Z$501,MATCH(ROW()-2,종합!$AC$3:$AC$501,0))&amp;"","")</f>
        <v/>
      </c>
    </row>
    <row r="380" customFormat="false" ht="16.5" hidden="false" customHeight="true" outlineLevel="0" collapsed="false">
      <c r="A380" s="18" t="str">
        <f aca="false">IF(B380="","",ROW()-2)</f>
        <v/>
      </c>
      <c r="B380" s="18" t="str">
        <f aca="false">IFERROR(INDEX(종합!B$3:B$501,MATCH(ROW()-2,종합!$AC$3:$AC$501,0))&amp;"","")</f>
        <v/>
      </c>
      <c r="C380" s="18" t="str">
        <f aca="false">IFERROR(INDEX(종합!C$3:C$501,MATCH(ROW()-2,종합!$AC$3:$AC$501,0))&amp;"","")</f>
        <v/>
      </c>
      <c r="D380" s="18" t="str">
        <f aca="false">IFERROR(INDEX(종합!D$3:D$501,MATCH(ROW()-2,종합!$AC$3:$AC$501,0))&amp;"","")</f>
        <v/>
      </c>
      <c r="E380" s="18" t="str">
        <f aca="false">IFERROR(INDEX(종합!E$3:E$501,MATCH(ROW()-2,종합!$AC$3:$AC$501,0))&amp;"","")</f>
        <v/>
      </c>
      <c r="F380" s="18" t="str">
        <f aca="false">IFERROR(INDEX(종합!F$3:F$501,MATCH(ROW()-2,종합!$AC$3:$AC$501,0))&amp;"","")</f>
        <v/>
      </c>
      <c r="G380" s="18" t="str">
        <f aca="false">IFERROR(INDEX(종합!G$3:G$501,MATCH(ROW()-2,종합!$AC$3:$AC$501,0))&amp;"","")</f>
        <v/>
      </c>
      <c r="H380" s="21" t="str">
        <f aca="false">IFERROR(INDEX(종합!H$3:H$501,MATCH(ROW()-2,종합!$AC$3:$AC$501,0))&amp;"","")</f>
        <v/>
      </c>
      <c r="I380" s="21" t="str">
        <f aca="false">IFERROR(INDEX(종합!I$3:I$501,MATCH(ROW()-2,종합!$AC$3:$AC$501,0))&amp;"","")</f>
        <v/>
      </c>
      <c r="J380" s="21" t="str">
        <f aca="false">IFERROR(INDEX(종합!J$3:J$501,MATCH(ROW()-2,종합!$AC$3:$AC$501,0))&amp;"","")</f>
        <v/>
      </c>
      <c r="K380" s="21" t="str">
        <f aca="false">IFERROR(INDEX(종합!K$3:K$501,MATCH(ROW()-2,종합!$AC$3:$AC$501,0))&amp;"","")</f>
        <v/>
      </c>
      <c r="L380" s="21" t="str">
        <f aca="false">IFERROR(INDEX(종합!L$3:L$501,MATCH(ROW()-2,종합!$AC$3:$AC$501,0))&amp;"","")</f>
        <v/>
      </c>
      <c r="M380" s="21" t="str">
        <f aca="false">IFERROR(INDEX(종합!M$3:M$501,MATCH(ROW()-2,종합!$AC$3:$AC$501,0))&amp;"","")</f>
        <v/>
      </c>
      <c r="N380" s="25" t="str">
        <f aca="false">IFERROR(INDEX(종합!N$3:N$501,MATCH(ROW()-2,종합!$AC$3:$AC$501,0))&amp;"","")</f>
        <v/>
      </c>
      <c r="O380" s="21" t="str">
        <f aca="false">IFERROR(INDEX(종합!O$3:O$501,MATCH(ROW()-2,종합!$AC$3:$AC$501,0))&amp;"","")</f>
        <v/>
      </c>
      <c r="P380" s="21" t="str">
        <f aca="false">IFERROR(INDEX(종합!P$3:P$501,MATCH(ROW()-2,종합!$AC$3:$AC$501,0))&amp;"","")</f>
        <v/>
      </c>
      <c r="Q380" s="21" t="str">
        <f aca="false">IFERROR(INDEX(종합!Q$3:Q$501,MATCH(ROW()-2,종합!$AC$3:$AC$501,0))&amp;"","")</f>
        <v/>
      </c>
      <c r="R380" s="21" t="str">
        <f aca="false">IFERROR(INDEX(종합!R$3:R$501,MATCH(ROW()-2,종합!$AC$3:$AC$501,0))&amp;"","")</f>
        <v/>
      </c>
      <c r="S380" s="21" t="str">
        <f aca="false">IFERROR(INDEX(종합!S$3:S$501,MATCH(ROW()-2,종합!$AC$3:$AC$501,0))&amp;"","")</f>
        <v/>
      </c>
      <c r="T380" s="21" t="str">
        <f aca="false">IFERROR(INDEX(종합!T$3:T$501,MATCH(ROW()-2,종합!$AC$3:$AC$501,0))&amp;"","")</f>
        <v/>
      </c>
      <c r="U380" s="21" t="str">
        <f aca="false">IFERROR(INDEX(종합!U$3:U$501,MATCH(ROW()-2,종합!$AC$3:$AC$501,0))&amp;"","")</f>
        <v/>
      </c>
      <c r="V380" s="21" t="str">
        <f aca="false">IFERROR(INDEX(종합!V$3:V$501,MATCH(ROW()-2,종합!$AC$3:$AC$501,0))&amp;"","")</f>
        <v/>
      </c>
      <c r="W380" s="21" t="str">
        <f aca="false">IFERROR(INDEX(종합!W$3:W$501,MATCH(ROW()-2,종합!$AC$3:$AC$501,0))&amp;"","")</f>
        <v/>
      </c>
      <c r="X380" s="21" t="str">
        <f aca="false">IFERROR(INDEX(종합!X$3:X$501,MATCH(ROW()-2,종합!$AC$3:$AC$501,0))&amp;"","")</f>
        <v/>
      </c>
      <c r="Y380" s="21" t="str">
        <f aca="false">IFERROR(INDEX(종합!Y$3:Y$501,MATCH(ROW()-2,종합!$AC$3:$AC$501,0))&amp;"","")</f>
        <v/>
      </c>
      <c r="Z380" s="21" t="str">
        <f aca="false">IFERROR(INDEX(종합!Z$3:Z$501,MATCH(ROW()-2,종합!$AC$3:$AC$501,0))&amp;"","")</f>
        <v/>
      </c>
    </row>
    <row r="381" customFormat="false" ht="16.5" hidden="false" customHeight="true" outlineLevel="0" collapsed="false">
      <c r="A381" s="18" t="str">
        <f aca="false">IF(B381="","",ROW()-2)</f>
        <v/>
      </c>
      <c r="B381" s="18" t="str">
        <f aca="false">IFERROR(INDEX(종합!B$3:B$501,MATCH(ROW()-2,종합!$AC$3:$AC$501,0))&amp;"","")</f>
        <v/>
      </c>
      <c r="C381" s="18" t="str">
        <f aca="false">IFERROR(INDEX(종합!C$3:C$501,MATCH(ROW()-2,종합!$AC$3:$AC$501,0))&amp;"","")</f>
        <v/>
      </c>
      <c r="D381" s="18" t="str">
        <f aca="false">IFERROR(INDEX(종합!D$3:D$501,MATCH(ROW()-2,종합!$AC$3:$AC$501,0))&amp;"","")</f>
        <v/>
      </c>
      <c r="E381" s="18" t="str">
        <f aca="false">IFERROR(INDEX(종합!E$3:E$501,MATCH(ROW()-2,종합!$AC$3:$AC$501,0))&amp;"","")</f>
        <v/>
      </c>
      <c r="F381" s="18" t="str">
        <f aca="false">IFERROR(INDEX(종합!F$3:F$501,MATCH(ROW()-2,종합!$AC$3:$AC$501,0))&amp;"","")</f>
        <v/>
      </c>
      <c r="G381" s="18" t="str">
        <f aca="false">IFERROR(INDEX(종합!G$3:G$501,MATCH(ROW()-2,종합!$AC$3:$AC$501,0))&amp;"","")</f>
        <v/>
      </c>
      <c r="H381" s="21" t="str">
        <f aca="false">IFERROR(INDEX(종합!H$3:H$501,MATCH(ROW()-2,종합!$AC$3:$AC$501,0))&amp;"","")</f>
        <v/>
      </c>
      <c r="I381" s="21" t="str">
        <f aca="false">IFERROR(INDEX(종합!I$3:I$501,MATCH(ROW()-2,종합!$AC$3:$AC$501,0))&amp;"","")</f>
        <v/>
      </c>
      <c r="J381" s="21" t="str">
        <f aca="false">IFERROR(INDEX(종합!J$3:J$501,MATCH(ROW()-2,종합!$AC$3:$AC$501,0))&amp;"","")</f>
        <v/>
      </c>
      <c r="K381" s="21" t="str">
        <f aca="false">IFERROR(INDEX(종합!K$3:K$501,MATCH(ROW()-2,종합!$AC$3:$AC$501,0))&amp;"","")</f>
        <v/>
      </c>
      <c r="L381" s="21" t="str">
        <f aca="false">IFERROR(INDEX(종합!L$3:L$501,MATCH(ROW()-2,종합!$AC$3:$AC$501,0))&amp;"","")</f>
        <v/>
      </c>
      <c r="M381" s="21" t="str">
        <f aca="false">IFERROR(INDEX(종합!M$3:M$501,MATCH(ROW()-2,종합!$AC$3:$AC$501,0))&amp;"","")</f>
        <v/>
      </c>
      <c r="N381" s="25" t="str">
        <f aca="false">IFERROR(INDEX(종합!N$3:N$501,MATCH(ROW()-2,종합!$AC$3:$AC$501,0))&amp;"","")</f>
        <v/>
      </c>
      <c r="O381" s="21" t="str">
        <f aca="false">IFERROR(INDEX(종합!O$3:O$501,MATCH(ROW()-2,종합!$AC$3:$AC$501,0))&amp;"","")</f>
        <v/>
      </c>
      <c r="P381" s="21" t="str">
        <f aca="false">IFERROR(INDEX(종합!P$3:P$501,MATCH(ROW()-2,종합!$AC$3:$AC$501,0))&amp;"","")</f>
        <v/>
      </c>
      <c r="Q381" s="21" t="str">
        <f aca="false">IFERROR(INDEX(종합!Q$3:Q$501,MATCH(ROW()-2,종합!$AC$3:$AC$501,0))&amp;"","")</f>
        <v/>
      </c>
      <c r="R381" s="21" t="str">
        <f aca="false">IFERROR(INDEX(종합!R$3:R$501,MATCH(ROW()-2,종합!$AC$3:$AC$501,0))&amp;"","")</f>
        <v/>
      </c>
      <c r="S381" s="21" t="str">
        <f aca="false">IFERROR(INDEX(종합!S$3:S$501,MATCH(ROW()-2,종합!$AC$3:$AC$501,0))&amp;"","")</f>
        <v/>
      </c>
      <c r="T381" s="21" t="str">
        <f aca="false">IFERROR(INDEX(종합!T$3:T$501,MATCH(ROW()-2,종합!$AC$3:$AC$501,0))&amp;"","")</f>
        <v/>
      </c>
      <c r="U381" s="21" t="str">
        <f aca="false">IFERROR(INDEX(종합!U$3:U$501,MATCH(ROW()-2,종합!$AC$3:$AC$501,0))&amp;"","")</f>
        <v/>
      </c>
      <c r="V381" s="21" t="str">
        <f aca="false">IFERROR(INDEX(종합!V$3:V$501,MATCH(ROW()-2,종합!$AC$3:$AC$501,0))&amp;"","")</f>
        <v/>
      </c>
      <c r="W381" s="21" t="str">
        <f aca="false">IFERROR(INDEX(종합!W$3:W$501,MATCH(ROW()-2,종합!$AC$3:$AC$501,0))&amp;"","")</f>
        <v/>
      </c>
      <c r="X381" s="21" t="str">
        <f aca="false">IFERROR(INDEX(종합!X$3:X$501,MATCH(ROW()-2,종합!$AC$3:$AC$501,0))&amp;"","")</f>
        <v/>
      </c>
      <c r="Y381" s="21" t="str">
        <f aca="false">IFERROR(INDEX(종합!Y$3:Y$501,MATCH(ROW()-2,종합!$AC$3:$AC$501,0))&amp;"","")</f>
        <v/>
      </c>
      <c r="Z381" s="21" t="str">
        <f aca="false">IFERROR(INDEX(종합!Z$3:Z$501,MATCH(ROW()-2,종합!$AC$3:$AC$501,0))&amp;"","")</f>
        <v/>
      </c>
    </row>
    <row r="382" customFormat="false" ht="16.5" hidden="false" customHeight="true" outlineLevel="0" collapsed="false">
      <c r="A382" s="18" t="str">
        <f aca="false">IF(B382="","",ROW()-2)</f>
        <v/>
      </c>
      <c r="B382" s="18" t="str">
        <f aca="false">IFERROR(INDEX(종합!B$3:B$501,MATCH(ROW()-2,종합!$AC$3:$AC$501,0))&amp;"","")</f>
        <v/>
      </c>
      <c r="C382" s="18" t="str">
        <f aca="false">IFERROR(INDEX(종합!C$3:C$501,MATCH(ROW()-2,종합!$AC$3:$AC$501,0))&amp;"","")</f>
        <v/>
      </c>
      <c r="D382" s="18" t="str">
        <f aca="false">IFERROR(INDEX(종합!D$3:D$501,MATCH(ROW()-2,종합!$AC$3:$AC$501,0))&amp;"","")</f>
        <v/>
      </c>
      <c r="E382" s="18" t="str">
        <f aca="false">IFERROR(INDEX(종합!E$3:E$501,MATCH(ROW()-2,종합!$AC$3:$AC$501,0))&amp;"","")</f>
        <v/>
      </c>
      <c r="F382" s="18" t="str">
        <f aca="false">IFERROR(INDEX(종합!F$3:F$501,MATCH(ROW()-2,종합!$AC$3:$AC$501,0))&amp;"","")</f>
        <v/>
      </c>
      <c r="G382" s="18" t="str">
        <f aca="false">IFERROR(INDEX(종합!G$3:G$501,MATCH(ROW()-2,종합!$AC$3:$AC$501,0))&amp;"","")</f>
        <v/>
      </c>
      <c r="H382" s="21" t="str">
        <f aca="false">IFERROR(INDEX(종합!H$3:H$501,MATCH(ROW()-2,종합!$AC$3:$AC$501,0))&amp;"","")</f>
        <v/>
      </c>
      <c r="I382" s="21" t="str">
        <f aca="false">IFERROR(INDEX(종합!I$3:I$501,MATCH(ROW()-2,종합!$AC$3:$AC$501,0))&amp;"","")</f>
        <v/>
      </c>
      <c r="J382" s="21" t="str">
        <f aca="false">IFERROR(INDEX(종합!J$3:J$501,MATCH(ROW()-2,종합!$AC$3:$AC$501,0))&amp;"","")</f>
        <v/>
      </c>
      <c r="K382" s="21" t="str">
        <f aca="false">IFERROR(INDEX(종합!K$3:K$501,MATCH(ROW()-2,종합!$AC$3:$AC$501,0))&amp;"","")</f>
        <v/>
      </c>
      <c r="L382" s="21" t="str">
        <f aca="false">IFERROR(INDEX(종합!L$3:L$501,MATCH(ROW()-2,종합!$AC$3:$AC$501,0))&amp;"","")</f>
        <v/>
      </c>
      <c r="M382" s="21" t="str">
        <f aca="false">IFERROR(INDEX(종합!M$3:M$501,MATCH(ROW()-2,종합!$AC$3:$AC$501,0))&amp;"","")</f>
        <v/>
      </c>
      <c r="N382" s="25" t="str">
        <f aca="false">IFERROR(INDEX(종합!N$3:N$501,MATCH(ROW()-2,종합!$AC$3:$AC$501,0))&amp;"","")</f>
        <v/>
      </c>
      <c r="O382" s="21" t="str">
        <f aca="false">IFERROR(INDEX(종합!O$3:O$501,MATCH(ROW()-2,종합!$AC$3:$AC$501,0))&amp;"","")</f>
        <v/>
      </c>
      <c r="P382" s="21" t="str">
        <f aca="false">IFERROR(INDEX(종합!P$3:P$501,MATCH(ROW()-2,종합!$AC$3:$AC$501,0))&amp;"","")</f>
        <v/>
      </c>
      <c r="Q382" s="21" t="str">
        <f aca="false">IFERROR(INDEX(종합!Q$3:Q$501,MATCH(ROW()-2,종합!$AC$3:$AC$501,0))&amp;"","")</f>
        <v/>
      </c>
      <c r="R382" s="21" t="str">
        <f aca="false">IFERROR(INDEX(종합!R$3:R$501,MATCH(ROW()-2,종합!$AC$3:$AC$501,0))&amp;"","")</f>
        <v/>
      </c>
      <c r="S382" s="21" t="str">
        <f aca="false">IFERROR(INDEX(종합!S$3:S$501,MATCH(ROW()-2,종합!$AC$3:$AC$501,0))&amp;"","")</f>
        <v/>
      </c>
      <c r="T382" s="21" t="str">
        <f aca="false">IFERROR(INDEX(종합!T$3:T$501,MATCH(ROW()-2,종합!$AC$3:$AC$501,0))&amp;"","")</f>
        <v/>
      </c>
      <c r="U382" s="21" t="str">
        <f aca="false">IFERROR(INDEX(종합!U$3:U$501,MATCH(ROW()-2,종합!$AC$3:$AC$501,0))&amp;"","")</f>
        <v/>
      </c>
      <c r="V382" s="21" t="str">
        <f aca="false">IFERROR(INDEX(종합!V$3:V$501,MATCH(ROW()-2,종합!$AC$3:$AC$501,0))&amp;"","")</f>
        <v/>
      </c>
      <c r="W382" s="21" t="str">
        <f aca="false">IFERROR(INDEX(종합!W$3:W$501,MATCH(ROW()-2,종합!$AC$3:$AC$501,0))&amp;"","")</f>
        <v/>
      </c>
      <c r="X382" s="21" t="str">
        <f aca="false">IFERROR(INDEX(종합!X$3:X$501,MATCH(ROW()-2,종합!$AC$3:$AC$501,0))&amp;"","")</f>
        <v/>
      </c>
      <c r="Y382" s="21" t="str">
        <f aca="false">IFERROR(INDEX(종합!Y$3:Y$501,MATCH(ROW()-2,종합!$AC$3:$AC$501,0))&amp;"","")</f>
        <v/>
      </c>
      <c r="Z382" s="21" t="str">
        <f aca="false">IFERROR(INDEX(종합!Z$3:Z$501,MATCH(ROW()-2,종합!$AC$3:$AC$501,0))&amp;"","")</f>
        <v/>
      </c>
    </row>
    <row r="383" customFormat="false" ht="16.5" hidden="false" customHeight="true" outlineLevel="0" collapsed="false">
      <c r="A383" s="18" t="str">
        <f aca="false">IF(B383="","",ROW()-2)</f>
        <v/>
      </c>
      <c r="B383" s="18" t="str">
        <f aca="false">IFERROR(INDEX(종합!B$3:B$501,MATCH(ROW()-2,종합!$AC$3:$AC$501,0))&amp;"","")</f>
        <v/>
      </c>
      <c r="C383" s="18" t="str">
        <f aca="false">IFERROR(INDEX(종합!C$3:C$501,MATCH(ROW()-2,종합!$AC$3:$AC$501,0))&amp;"","")</f>
        <v/>
      </c>
      <c r="D383" s="18" t="str">
        <f aca="false">IFERROR(INDEX(종합!D$3:D$501,MATCH(ROW()-2,종합!$AC$3:$AC$501,0))&amp;"","")</f>
        <v/>
      </c>
      <c r="E383" s="18" t="str">
        <f aca="false">IFERROR(INDEX(종합!E$3:E$501,MATCH(ROW()-2,종합!$AC$3:$AC$501,0))&amp;"","")</f>
        <v/>
      </c>
      <c r="F383" s="18" t="str">
        <f aca="false">IFERROR(INDEX(종합!F$3:F$501,MATCH(ROW()-2,종합!$AC$3:$AC$501,0))&amp;"","")</f>
        <v/>
      </c>
      <c r="G383" s="18" t="str">
        <f aca="false">IFERROR(INDEX(종합!G$3:G$501,MATCH(ROW()-2,종합!$AC$3:$AC$501,0))&amp;"","")</f>
        <v/>
      </c>
      <c r="H383" s="21" t="str">
        <f aca="false">IFERROR(INDEX(종합!H$3:H$501,MATCH(ROW()-2,종합!$AC$3:$AC$501,0))&amp;"","")</f>
        <v/>
      </c>
      <c r="I383" s="21" t="str">
        <f aca="false">IFERROR(INDEX(종합!I$3:I$501,MATCH(ROW()-2,종합!$AC$3:$AC$501,0))&amp;"","")</f>
        <v/>
      </c>
      <c r="J383" s="21" t="str">
        <f aca="false">IFERROR(INDEX(종합!J$3:J$501,MATCH(ROW()-2,종합!$AC$3:$AC$501,0))&amp;"","")</f>
        <v/>
      </c>
      <c r="K383" s="21" t="str">
        <f aca="false">IFERROR(INDEX(종합!K$3:K$501,MATCH(ROW()-2,종합!$AC$3:$AC$501,0))&amp;"","")</f>
        <v/>
      </c>
      <c r="L383" s="21" t="str">
        <f aca="false">IFERROR(INDEX(종합!L$3:L$501,MATCH(ROW()-2,종합!$AC$3:$AC$501,0))&amp;"","")</f>
        <v/>
      </c>
      <c r="M383" s="21" t="str">
        <f aca="false">IFERROR(INDEX(종합!M$3:M$501,MATCH(ROW()-2,종합!$AC$3:$AC$501,0))&amp;"","")</f>
        <v/>
      </c>
      <c r="N383" s="25" t="str">
        <f aca="false">IFERROR(INDEX(종합!N$3:N$501,MATCH(ROW()-2,종합!$AC$3:$AC$501,0))&amp;"","")</f>
        <v/>
      </c>
      <c r="O383" s="21" t="str">
        <f aca="false">IFERROR(INDEX(종합!O$3:O$501,MATCH(ROW()-2,종합!$AC$3:$AC$501,0))&amp;"","")</f>
        <v/>
      </c>
      <c r="P383" s="21" t="str">
        <f aca="false">IFERROR(INDEX(종합!P$3:P$501,MATCH(ROW()-2,종합!$AC$3:$AC$501,0))&amp;"","")</f>
        <v/>
      </c>
      <c r="Q383" s="21" t="str">
        <f aca="false">IFERROR(INDEX(종합!Q$3:Q$501,MATCH(ROW()-2,종합!$AC$3:$AC$501,0))&amp;"","")</f>
        <v/>
      </c>
      <c r="R383" s="21" t="str">
        <f aca="false">IFERROR(INDEX(종합!R$3:R$501,MATCH(ROW()-2,종합!$AC$3:$AC$501,0))&amp;"","")</f>
        <v/>
      </c>
      <c r="S383" s="21" t="str">
        <f aca="false">IFERROR(INDEX(종합!S$3:S$501,MATCH(ROW()-2,종합!$AC$3:$AC$501,0))&amp;"","")</f>
        <v/>
      </c>
      <c r="T383" s="21" t="str">
        <f aca="false">IFERROR(INDEX(종합!T$3:T$501,MATCH(ROW()-2,종합!$AC$3:$AC$501,0))&amp;"","")</f>
        <v/>
      </c>
      <c r="U383" s="21" t="str">
        <f aca="false">IFERROR(INDEX(종합!U$3:U$501,MATCH(ROW()-2,종합!$AC$3:$AC$501,0))&amp;"","")</f>
        <v/>
      </c>
      <c r="V383" s="21" t="str">
        <f aca="false">IFERROR(INDEX(종합!V$3:V$501,MATCH(ROW()-2,종합!$AC$3:$AC$501,0))&amp;"","")</f>
        <v/>
      </c>
      <c r="W383" s="21" t="str">
        <f aca="false">IFERROR(INDEX(종합!W$3:W$501,MATCH(ROW()-2,종합!$AC$3:$AC$501,0))&amp;"","")</f>
        <v/>
      </c>
      <c r="X383" s="21" t="str">
        <f aca="false">IFERROR(INDEX(종합!X$3:X$501,MATCH(ROW()-2,종합!$AC$3:$AC$501,0))&amp;"","")</f>
        <v/>
      </c>
      <c r="Y383" s="21" t="str">
        <f aca="false">IFERROR(INDEX(종합!Y$3:Y$501,MATCH(ROW()-2,종합!$AC$3:$AC$501,0))&amp;"","")</f>
        <v/>
      </c>
      <c r="Z383" s="21" t="str">
        <f aca="false">IFERROR(INDEX(종합!Z$3:Z$501,MATCH(ROW()-2,종합!$AC$3:$AC$501,0))&amp;"","")</f>
        <v/>
      </c>
    </row>
    <row r="384" customFormat="false" ht="16.5" hidden="false" customHeight="true" outlineLevel="0" collapsed="false">
      <c r="A384" s="18" t="str">
        <f aca="false">IF(B384="","",ROW()-2)</f>
        <v/>
      </c>
      <c r="B384" s="18" t="str">
        <f aca="false">IFERROR(INDEX(종합!B$3:B$501,MATCH(ROW()-2,종합!$AC$3:$AC$501,0))&amp;"","")</f>
        <v/>
      </c>
      <c r="C384" s="18" t="str">
        <f aca="false">IFERROR(INDEX(종합!C$3:C$501,MATCH(ROW()-2,종합!$AC$3:$AC$501,0))&amp;"","")</f>
        <v/>
      </c>
      <c r="D384" s="18" t="str">
        <f aca="false">IFERROR(INDEX(종합!D$3:D$501,MATCH(ROW()-2,종합!$AC$3:$AC$501,0))&amp;"","")</f>
        <v/>
      </c>
      <c r="E384" s="18" t="str">
        <f aca="false">IFERROR(INDEX(종합!E$3:E$501,MATCH(ROW()-2,종합!$AC$3:$AC$501,0))&amp;"","")</f>
        <v/>
      </c>
      <c r="F384" s="18" t="str">
        <f aca="false">IFERROR(INDEX(종합!F$3:F$501,MATCH(ROW()-2,종합!$AC$3:$AC$501,0))&amp;"","")</f>
        <v/>
      </c>
      <c r="G384" s="18" t="str">
        <f aca="false">IFERROR(INDEX(종합!G$3:G$501,MATCH(ROW()-2,종합!$AC$3:$AC$501,0))&amp;"","")</f>
        <v/>
      </c>
      <c r="H384" s="21" t="str">
        <f aca="false">IFERROR(INDEX(종합!H$3:H$501,MATCH(ROW()-2,종합!$AC$3:$AC$501,0))&amp;"","")</f>
        <v/>
      </c>
      <c r="I384" s="21" t="str">
        <f aca="false">IFERROR(INDEX(종합!I$3:I$501,MATCH(ROW()-2,종합!$AC$3:$AC$501,0))&amp;"","")</f>
        <v/>
      </c>
      <c r="J384" s="21" t="str">
        <f aca="false">IFERROR(INDEX(종합!J$3:J$501,MATCH(ROW()-2,종합!$AC$3:$AC$501,0))&amp;"","")</f>
        <v/>
      </c>
      <c r="K384" s="21" t="str">
        <f aca="false">IFERROR(INDEX(종합!K$3:K$501,MATCH(ROW()-2,종합!$AC$3:$AC$501,0))&amp;"","")</f>
        <v/>
      </c>
      <c r="L384" s="21" t="str">
        <f aca="false">IFERROR(INDEX(종합!L$3:L$501,MATCH(ROW()-2,종합!$AC$3:$AC$501,0))&amp;"","")</f>
        <v/>
      </c>
      <c r="M384" s="21" t="str">
        <f aca="false">IFERROR(INDEX(종합!M$3:M$501,MATCH(ROW()-2,종합!$AC$3:$AC$501,0))&amp;"","")</f>
        <v/>
      </c>
      <c r="N384" s="25" t="str">
        <f aca="false">IFERROR(INDEX(종합!N$3:N$501,MATCH(ROW()-2,종합!$AC$3:$AC$501,0))&amp;"","")</f>
        <v/>
      </c>
      <c r="O384" s="21" t="str">
        <f aca="false">IFERROR(INDEX(종합!O$3:O$501,MATCH(ROW()-2,종합!$AC$3:$AC$501,0))&amp;"","")</f>
        <v/>
      </c>
      <c r="P384" s="21" t="str">
        <f aca="false">IFERROR(INDEX(종합!P$3:P$501,MATCH(ROW()-2,종합!$AC$3:$AC$501,0))&amp;"","")</f>
        <v/>
      </c>
      <c r="Q384" s="21" t="str">
        <f aca="false">IFERROR(INDEX(종합!Q$3:Q$501,MATCH(ROW()-2,종합!$AC$3:$AC$501,0))&amp;"","")</f>
        <v/>
      </c>
      <c r="R384" s="21" t="str">
        <f aca="false">IFERROR(INDEX(종합!R$3:R$501,MATCH(ROW()-2,종합!$AC$3:$AC$501,0))&amp;"","")</f>
        <v/>
      </c>
      <c r="S384" s="21" t="str">
        <f aca="false">IFERROR(INDEX(종합!S$3:S$501,MATCH(ROW()-2,종합!$AC$3:$AC$501,0))&amp;"","")</f>
        <v/>
      </c>
      <c r="T384" s="21" t="str">
        <f aca="false">IFERROR(INDEX(종합!T$3:T$501,MATCH(ROW()-2,종합!$AC$3:$AC$501,0))&amp;"","")</f>
        <v/>
      </c>
      <c r="U384" s="21" t="str">
        <f aca="false">IFERROR(INDEX(종합!U$3:U$501,MATCH(ROW()-2,종합!$AC$3:$AC$501,0))&amp;"","")</f>
        <v/>
      </c>
      <c r="V384" s="21" t="str">
        <f aca="false">IFERROR(INDEX(종합!V$3:V$501,MATCH(ROW()-2,종합!$AC$3:$AC$501,0))&amp;"","")</f>
        <v/>
      </c>
      <c r="W384" s="21" t="str">
        <f aca="false">IFERROR(INDEX(종합!W$3:W$501,MATCH(ROW()-2,종합!$AC$3:$AC$501,0))&amp;"","")</f>
        <v/>
      </c>
      <c r="X384" s="21" t="str">
        <f aca="false">IFERROR(INDEX(종합!X$3:X$501,MATCH(ROW()-2,종합!$AC$3:$AC$501,0))&amp;"","")</f>
        <v/>
      </c>
      <c r="Y384" s="21" t="str">
        <f aca="false">IFERROR(INDEX(종합!Y$3:Y$501,MATCH(ROW()-2,종합!$AC$3:$AC$501,0))&amp;"","")</f>
        <v/>
      </c>
      <c r="Z384" s="21" t="str">
        <f aca="false">IFERROR(INDEX(종합!Z$3:Z$501,MATCH(ROW()-2,종합!$AC$3:$AC$501,0))&amp;"","")</f>
        <v/>
      </c>
    </row>
    <row r="385" customFormat="false" ht="16.5" hidden="false" customHeight="true" outlineLevel="0" collapsed="false">
      <c r="A385" s="18" t="str">
        <f aca="false">IF(B385="","",ROW()-2)</f>
        <v/>
      </c>
      <c r="B385" s="18" t="str">
        <f aca="false">IFERROR(INDEX(종합!B$3:B$501,MATCH(ROW()-2,종합!$AC$3:$AC$501,0))&amp;"","")</f>
        <v/>
      </c>
      <c r="C385" s="18" t="str">
        <f aca="false">IFERROR(INDEX(종합!C$3:C$501,MATCH(ROW()-2,종합!$AC$3:$AC$501,0))&amp;"","")</f>
        <v/>
      </c>
      <c r="D385" s="18" t="str">
        <f aca="false">IFERROR(INDEX(종합!D$3:D$501,MATCH(ROW()-2,종합!$AC$3:$AC$501,0))&amp;"","")</f>
        <v/>
      </c>
      <c r="E385" s="18" t="str">
        <f aca="false">IFERROR(INDEX(종합!E$3:E$501,MATCH(ROW()-2,종합!$AC$3:$AC$501,0))&amp;"","")</f>
        <v/>
      </c>
      <c r="F385" s="18" t="str">
        <f aca="false">IFERROR(INDEX(종합!F$3:F$501,MATCH(ROW()-2,종합!$AC$3:$AC$501,0))&amp;"","")</f>
        <v/>
      </c>
      <c r="G385" s="18" t="str">
        <f aca="false">IFERROR(INDEX(종합!G$3:G$501,MATCH(ROW()-2,종합!$AC$3:$AC$501,0))&amp;"","")</f>
        <v/>
      </c>
      <c r="H385" s="21" t="str">
        <f aca="false">IFERROR(INDEX(종합!H$3:H$501,MATCH(ROW()-2,종합!$AC$3:$AC$501,0))&amp;"","")</f>
        <v/>
      </c>
      <c r="I385" s="21" t="str">
        <f aca="false">IFERROR(INDEX(종합!I$3:I$501,MATCH(ROW()-2,종합!$AC$3:$AC$501,0))&amp;"","")</f>
        <v/>
      </c>
      <c r="J385" s="21" t="str">
        <f aca="false">IFERROR(INDEX(종합!J$3:J$501,MATCH(ROW()-2,종합!$AC$3:$AC$501,0))&amp;"","")</f>
        <v/>
      </c>
      <c r="K385" s="21" t="str">
        <f aca="false">IFERROR(INDEX(종합!K$3:K$501,MATCH(ROW()-2,종합!$AC$3:$AC$501,0))&amp;"","")</f>
        <v/>
      </c>
      <c r="L385" s="21" t="str">
        <f aca="false">IFERROR(INDEX(종합!L$3:L$501,MATCH(ROW()-2,종합!$AC$3:$AC$501,0))&amp;"","")</f>
        <v/>
      </c>
      <c r="M385" s="21" t="str">
        <f aca="false">IFERROR(INDEX(종합!M$3:M$501,MATCH(ROW()-2,종합!$AC$3:$AC$501,0))&amp;"","")</f>
        <v/>
      </c>
      <c r="N385" s="25" t="str">
        <f aca="false">IFERROR(INDEX(종합!N$3:N$501,MATCH(ROW()-2,종합!$AC$3:$AC$501,0))&amp;"","")</f>
        <v/>
      </c>
      <c r="O385" s="21" t="str">
        <f aca="false">IFERROR(INDEX(종합!O$3:O$501,MATCH(ROW()-2,종합!$AC$3:$AC$501,0))&amp;"","")</f>
        <v/>
      </c>
      <c r="P385" s="21" t="str">
        <f aca="false">IFERROR(INDEX(종합!P$3:P$501,MATCH(ROW()-2,종합!$AC$3:$AC$501,0))&amp;"","")</f>
        <v/>
      </c>
      <c r="Q385" s="21" t="str">
        <f aca="false">IFERROR(INDEX(종합!Q$3:Q$501,MATCH(ROW()-2,종합!$AC$3:$AC$501,0))&amp;"","")</f>
        <v/>
      </c>
      <c r="R385" s="21" t="str">
        <f aca="false">IFERROR(INDEX(종합!R$3:R$501,MATCH(ROW()-2,종합!$AC$3:$AC$501,0))&amp;"","")</f>
        <v/>
      </c>
      <c r="S385" s="21" t="str">
        <f aca="false">IFERROR(INDEX(종합!S$3:S$501,MATCH(ROW()-2,종합!$AC$3:$AC$501,0))&amp;"","")</f>
        <v/>
      </c>
      <c r="T385" s="21" t="str">
        <f aca="false">IFERROR(INDEX(종합!T$3:T$501,MATCH(ROW()-2,종합!$AC$3:$AC$501,0))&amp;"","")</f>
        <v/>
      </c>
      <c r="U385" s="21" t="str">
        <f aca="false">IFERROR(INDEX(종합!U$3:U$501,MATCH(ROW()-2,종합!$AC$3:$AC$501,0))&amp;"","")</f>
        <v/>
      </c>
      <c r="V385" s="21" t="str">
        <f aca="false">IFERROR(INDEX(종합!V$3:V$501,MATCH(ROW()-2,종합!$AC$3:$AC$501,0))&amp;"","")</f>
        <v/>
      </c>
      <c r="W385" s="21" t="str">
        <f aca="false">IFERROR(INDEX(종합!W$3:W$501,MATCH(ROW()-2,종합!$AC$3:$AC$501,0))&amp;"","")</f>
        <v/>
      </c>
      <c r="X385" s="21" t="str">
        <f aca="false">IFERROR(INDEX(종합!X$3:X$501,MATCH(ROW()-2,종합!$AC$3:$AC$501,0))&amp;"","")</f>
        <v/>
      </c>
      <c r="Y385" s="21" t="str">
        <f aca="false">IFERROR(INDEX(종합!Y$3:Y$501,MATCH(ROW()-2,종합!$AC$3:$AC$501,0))&amp;"","")</f>
        <v/>
      </c>
      <c r="Z385" s="21" t="str">
        <f aca="false">IFERROR(INDEX(종합!Z$3:Z$501,MATCH(ROW()-2,종합!$AC$3:$AC$501,0))&amp;"","")</f>
        <v/>
      </c>
    </row>
    <row r="386" customFormat="false" ht="16.5" hidden="false" customHeight="true" outlineLevel="0" collapsed="false">
      <c r="A386" s="18" t="str">
        <f aca="false">IF(B386="","",ROW()-2)</f>
        <v/>
      </c>
      <c r="B386" s="18" t="str">
        <f aca="false">IFERROR(INDEX(종합!B$3:B$501,MATCH(ROW()-2,종합!$AC$3:$AC$501,0))&amp;"","")</f>
        <v/>
      </c>
      <c r="C386" s="18" t="str">
        <f aca="false">IFERROR(INDEX(종합!C$3:C$501,MATCH(ROW()-2,종합!$AC$3:$AC$501,0))&amp;"","")</f>
        <v/>
      </c>
      <c r="D386" s="18" t="str">
        <f aca="false">IFERROR(INDEX(종합!D$3:D$501,MATCH(ROW()-2,종합!$AC$3:$AC$501,0))&amp;"","")</f>
        <v/>
      </c>
      <c r="E386" s="18" t="str">
        <f aca="false">IFERROR(INDEX(종합!E$3:E$501,MATCH(ROW()-2,종합!$AC$3:$AC$501,0))&amp;"","")</f>
        <v/>
      </c>
      <c r="F386" s="18" t="str">
        <f aca="false">IFERROR(INDEX(종합!F$3:F$501,MATCH(ROW()-2,종합!$AC$3:$AC$501,0))&amp;"","")</f>
        <v/>
      </c>
      <c r="G386" s="18" t="str">
        <f aca="false">IFERROR(INDEX(종합!G$3:G$501,MATCH(ROW()-2,종합!$AC$3:$AC$501,0))&amp;"","")</f>
        <v/>
      </c>
      <c r="H386" s="21" t="str">
        <f aca="false">IFERROR(INDEX(종합!H$3:H$501,MATCH(ROW()-2,종합!$AC$3:$AC$501,0))&amp;"","")</f>
        <v/>
      </c>
      <c r="I386" s="21" t="str">
        <f aca="false">IFERROR(INDEX(종합!I$3:I$501,MATCH(ROW()-2,종합!$AC$3:$AC$501,0))&amp;"","")</f>
        <v/>
      </c>
      <c r="J386" s="21" t="str">
        <f aca="false">IFERROR(INDEX(종합!J$3:J$501,MATCH(ROW()-2,종합!$AC$3:$AC$501,0))&amp;"","")</f>
        <v/>
      </c>
      <c r="K386" s="21" t="str">
        <f aca="false">IFERROR(INDEX(종합!K$3:K$501,MATCH(ROW()-2,종합!$AC$3:$AC$501,0))&amp;"","")</f>
        <v/>
      </c>
      <c r="L386" s="21" t="str">
        <f aca="false">IFERROR(INDEX(종합!L$3:L$501,MATCH(ROW()-2,종합!$AC$3:$AC$501,0))&amp;"","")</f>
        <v/>
      </c>
      <c r="M386" s="21" t="str">
        <f aca="false">IFERROR(INDEX(종합!M$3:M$501,MATCH(ROW()-2,종합!$AC$3:$AC$501,0))&amp;"","")</f>
        <v/>
      </c>
      <c r="N386" s="25" t="str">
        <f aca="false">IFERROR(INDEX(종합!N$3:N$501,MATCH(ROW()-2,종합!$AC$3:$AC$501,0))&amp;"","")</f>
        <v/>
      </c>
      <c r="O386" s="21" t="str">
        <f aca="false">IFERROR(INDEX(종합!O$3:O$501,MATCH(ROW()-2,종합!$AC$3:$AC$501,0))&amp;"","")</f>
        <v/>
      </c>
      <c r="P386" s="21" t="str">
        <f aca="false">IFERROR(INDEX(종합!P$3:P$501,MATCH(ROW()-2,종합!$AC$3:$AC$501,0))&amp;"","")</f>
        <v/>
      </c>
      <c r="Q386" s="21" t="str">
        <f aca="false">IFERROR(INDEX(종합!Q$3:Q$501,MATCH(ROW()-2,종합!$AC$3:$AC$501,0))&amp;"","")</f>
        <v/>
      </c>
      <c r="R386" s="21" t="str">
        <f aca="false">IFERROR(INDEX(종합!R$3:R$501,MATCH(ROW()-2,종합!$AC$3:$AC$501,0))&amp;"","")</f>
        <v/>
      </c>
      <c r="S386" s="21" t="str">
        <f aca="false">IFERROR(INDEX(종합!S$3:S$501,MATCH(ROW()-2,종합!$AC$3:$AC$501,0))&amp;"","")</f>
        <v/>
      </c>
      <c r="T386" s="21" t="str">
        <f aca="false">IFERROR(INDEX(종합!T$3:T$501,MATCH(ROW()-2,종합!$AC$3:$AC$501,0))&amp;"","")</f>
        <v/>
      </c>
      <c r="U386" s="21" t="str">
        <f aca="false">IFERROR(INDEX(종합!U$3:U$501,MATCH(ROW()-2,종합!$AC$3:$AC$501,0))&amp;"","")</f>
        <v/>
      </c>
      <c r="V386" s="21" t="str">
        <f aca="false">IFERROR(INDEX(종합!V$3:V$501,MATCH(ROW()-2,종합!$AC$3:$AC$501,0))&amp;"","")</f>
        <v/>
      </c>
      <c r="W386" s="21" t="str">
        <f aca="false">IFERROR(INDEX(종합!W$3:W$501,MATCH(ROW()-2,종합!$AC$3:$AC$501,0))&amp;"","")</f>
        <v/>
      </c>
      <c r="X386" s="21" t="str">
        <f aca="false">IFERROR(INDEX(종합!X$3:X$501,MATCH(ROW()-2,종합!$AC$3:$AC$501,0))&amp;"","")</f>
        <v/>
      </c>
      <c r="Y386" s="21" t="str">
        <f aca="false">IFERROR(INDEX(종합!Y$3:Y$501,MATCH(ROW()-2,종합!$AC$3:$AC$501,0))&amp;"","")</f>
        <v/>
      </c>
      <c r="Z386" s="21" t="str">
        <f aca="false">IFERROR(INDEX(종합!Z$3:Z$501,MATCH(ROW()-2,종합!$AC$3:$AC$501,0))&amp;"","")</f>
        <v/>
      </c>
    </row>
    <row r="387" customFormat="false" ht="16.5" hidden="false" customHeight="true" outlineLevel="0" collapsed="false">
      <c r="A387" s="18" t="str">
        <f aca="false">IF(B387="","",ROW()-2)</f>
        <v/>
      </c>
      <c r="B387" s="18" t="str">
        <f aca="false">IFERROR(INDEX(종합!B$3:B$501,MATCH(ROW()-2,종합!$AC$3:$AC$501,0))&amp;"","")</f>
        <v/>
      </c>
      <c r="C387" s="18" t="str">
        <f aca="false">IFERROR(INDEX(종합!C$3:C$501,MATCH(ROW()-2,종합!$AC$3:$AC$501,0))&amp;"","")</f>
        <v/>
      </c>
      <c r="D387" s="18" t="str">
        <f aca="false">IFERROR(INDEX(종합!D$3:D$501,MATCH(ROW()-2,종합!$AC$3:$AC$501,0))&amp;"","")</f>
        <v/>
      </c>
      <c r="E387" s="18" t="str">
        <f aca="false">IFERROR(INDEX(종합!E$3:E$501,MATCH(ROW()-2,종합!$AC$3:$AC$501,0))&amp;"","")</f>
        <v/>
      </c>
      <c r="F387" s="18" t="str">
        <f aca="false">IFERROR(INDEX(종합!F$3:F$501,MATCH(ROW()-2,종합!$AC$3:$AC$501,0))&amp;"","")</f>
        <v/>
      </c>
      <c r="G387" s="18" t="str">
        <f aca="false">IFERROR(INDEX(종합!G$3:G$501,MATCH(ROW()-2,종합!$AC$3:$AC$501,0))&amp;"","")</f>
        <v/>
      </c>
      <c r="H387" s="21" t="str">
        <f aca="false">IFERROR(INDEX(종합!H$3:H$501,MATCH(ROW()-2,종합!$AC$3:$AC$501,0))&amp;"","")</f>
        <v/>
      </c>
      <c r="I387" s="21" t="str">
        <f aca="false">IFERROR(INDEX(종합!I$3:I$501,MATCH(ROW()-2,종합!$AC$3:$AC$501,0))&amp;"","")</f>
        <v/>
      </c>
      <c r="J387" s="21" t="str">
        <f aca="false">IFERROR(INDEX(종합!J$3:J$501,MATCH(ROW()-2,종합!$AC$3:$AC$501,0))&amp;"","")</f>
        <v/>
      </c>
      <c r="K387" s="21" t="str">
        <f aca="false">IFERROR(INDEX(종합!K$3:K$501,MATCH(ROW()-2,종합!$AC$3:$AC$501,0))&amp;"","")</f>
        <v/>
      </c>
      <c r="L387" s="21" t="str">
        <f aca="false">IFERROR(INDEX(종합!L$3:L$501,MATCH(ROW()-2,종합!$AC$3:$AC$501,0))&amp;"","")</f>
        <v/>
      </c>
      <c r="M387" s="21" t="str">
        <f aca="false">IFERROR(INDEX(종합!M$3:M$501,MATCH(ROW()-2,종합!$AC$3:$AC$501,0))&amp;"","")</f>
        <v/>
      </c>
      <c r="N387" s="25" t="str">
        <f aca="false">IFERROR(INDEX(종합!N$3:N$501,MATCH(ROW()-2,종합!$AC$3:$AC$501,0))&amp;"","")</f>
        <v/>
      </c>
      <c r="O387" s="21" t="str">
        <f aca="false">IFERROR(INDEX(종합!O$3:O$501,MATCH(ROW()-2,종합!$AC$3:$AC$501,0))&amp;"","")</f>
        <v/>
      </c>
      <c r="P387" s="21" t="str">
        <f aca="false">IFERROR(INDEX(종합!P$3:P$501,MATCH(ROW()-2,종합!$AC$3:$AC$501,0))&amp;"","")</f>
        <v/>
      </c>
      <c r="Q387" s="21" t="str">
        <f aca="false">IFERROR(INDEX(종합!Q$3:Q$501,MATCH(ROW()-2,종합!$AC$3:$AC$501,0))&amp;"","")</f>
        <v/>
      </c>
      <c r="R387" s="21" t="str">
        <f aca="false">IFERROR(INDEX(종합!R$3:R$501,MATCH(ROW()-2,종합!$AC$3:$AC$501,0))&amp;"","")</f>
        <v/>
      </c>
      <c r="S387" s="21" t="str">
        <f aca="false">IFERROR(INDEX(종합!S$3:S$501,MATCH(ROW()-2,종합!$AC$3:$AC$501,0))&amp;"","")</f>
        <v/>
      </c>
      <c r="T387" s="21" t="str">
        <f aca="false">IFERROR(INDEX(종합!T$3:T$501,MATCH(ROW()-2,종합!$AC$3:$AC$501,0))&amp;"","")</f>
        <v/>
      </c>
      <c r="U387" s="21" t="str">
        <f aca="false">IFERROR(INDEX(종합!U$3:U$501,MATCH(ROW()-2,종합!$AC$3:$AC$501,0))&amp;"","")</f>
        <v/>
      </c>
      <c r="V387" s="21" t="str">
        <f aca="false">IFERROR(INDEX(종합!V$3:V$501,MATCH(ROW()-2,종합!$AC$3:$AC$501,0))&amp;"","")</f>
        <v/>
      </c>
      <c r="W387" s="21" t="str">
        <f aca="false">IFERROR(INDEX(종합!W$3:W$501,MATCH(ROW()-2,종합!$AC$3:$AC$501,0))&amp;"","")</f>
        <v/>
      </c>
      <c r="X387" s="21" t="str">
        <f aca="false">IFERROR(INDEX(종합!X$3:X$501,MATCH(ROW()-2,종합!$AC$3:$AC$501,0))&amp;"","")</f>
        <v/>
      </c>
      <c r="Y387" s="21" t="str">
        <f aca="false">IFERROR(INDEX(종합!Y$3:Y$501,MATCH(ROW()-2,종합!$AC$3:$AC$501,0))&amp;"","")</f>
        <v/>
      </c>
      <c r="Z387" s="21" t="str">
        <f aca="false">IFERROR(INDEX(종합!Z$3:Z$501,MATCH(ROW()-2,종합!$AC$3:$AC$501,0))&amp;"","")</f>
        <v/>
      </c>
    </row>
    <row r="388" customFormat="false" ht="16.5" hidden="false" customHeight="true" outlineLevel="0" collapsed="false">
      <c r="A388" s="18" t="str">
        <f aca="false">IF(B388="","",ROW()-2)</f>
        <v/>
      </c>
      <c r="B388" s="18" t="str">
        <f aca="false">IFERROR(INDEX(종합!B$3:B$501,MATCH(ROW()-2,종합!$AC$3:$AC$501,0))&amp;"","")</f>
        <v/>
      </c>
      <c r="C388" s="18" t="str">
        <f aca="false">IFERROR(INDEX(종합!C$3:C$501,MATCH(ROW()-2,종합!$AC$3:$AC$501,0))&amp;"","")</f>
        <v/>
      </c>
      <c r="D388" s="18" t="str">
        <f aca="false">IFERROR(INDEX(종합!D$3:D$501,MATCH(ROW()-2,종합!$AC$3:$AC$501,0))&amp;"","")</f>
        <v/>
      </c>
      <c r="E388" s="18" t="str">
        <f aca="false">IFERROR(INDEX(종합!E$3:E$501,MATCH(ROW()-2,종합!$AC$3:$AC$501,0))&amp;"","")</f>
        <v/>
      </c>
      <c r="F388" s="18" t="str">
        <f aca="false">IFERROR(INDEX(종합!F$3:F$501,MATCH(ROW()-2,종합!$AC$3:$AC$501,0))&amp;"","")</f>
        <v/>
      </c>
      <c r="G388" s="18" t="str">
        <f aca="false">IFERROR(INDEX(종합!G$3:G$501,MATCH(ROW()-2,종합!$AC$3:$AC$501,0))&amp;"","")</f>
        <v/>
      </c>
      <c r="H388" s="21" t="str">
        <f aca="false">IFERROR(INDEX(종합!H$3:H$501,MATCH(ROW()-2,종합!$AC$3:$AC$501,0))&amp;"","")</f>
        <v/>
      </c>
      <c r="I388" s="21" t="str">
        <f aca="false">IFERROR(INDEX(종합!I$3:I$501,MATCH(ROW()-2,종합!$AC$3:$AC$501,0))&amp;"","")</f>
        <v/>
      </c>
      <c r="J388" s="21" t="str">
        <f aca="false">IFERROR(INDEX(종합!J$3:J$501,MATCH(ROW()-2,종합!$AC$3:$AC$501,0))&amp;"","")</f>
        <v/>
      </c>
      <c r="K388" s="21" t="str">
        <f aca="false">IFERROR(INDEX(종합!K$3:K$501,MATCH(ROW()-2,종합!$AC$3:$AC$501,0))&amp;"","")</f>
        <v/>
      </c>
      <c r="L388" s="21" t="str">
        <f aca="false">IFERROR(INDEX(종합!L$3:L$501,MATCH(ROW()-2,종합!$AC$3:$AC$501,0))&amp;"","")</f>
        <v/>
      </c>
      <c r="M388" s="21" t="str">
        <f aca="false">IFERROR(INDEX(종합!M$3:M$501,MATCH(ROW()-2,종합!$AC$3:$AC$501,0))&amp;"","")</f>
        <v/>
      </c>
      <c r="N388" s="25" t="str">
        <f aca="false">IFERROR(INDEX(종합!N$3:N$501,MATCH(ROW()-2,종합!$AC$3:$AC$501,0))&amp;"","")</f>
        <v/>
      </c>
      <c r="O388" s="21" t="str">
        <f aca="false">IFERROR(INDEX(종합!O$3:O$501,MATCH(ROW()-2,종합!$AC$3:$AC$501,0))&amp;"","")</f>
        <v/>
      </c>
      <c r="P388" s="21" t="str">
        <f aca="false">IFERROR(INDEX(종합!P$3:P$501,MATCH(ROW()-2,종합!$AC$3:$AC$501,0))&amp;"","")</f>
        <v/>
      </c>
      <c r="Q388" s="21" t="str">
        <f aca="false">IFERROR(INDEX(종합!Q$3:Q$501,MATCH(ROW()-2,종합!$AC$3:$AC$501,0))&amp;"","")</f>
        <v/>
      </c>
      <c r="R388" s="21" t="str">
        <f aca="false">IFERROR(INDEX(종합!R$3:R$501,MATCH(ROW()-2,종합!$AC$3:$AC$501,0))&amp;"","")</f>
        <v/>
      </c>
      <c r="S388" s="21" t="str">
        <f aca="false">IFERROR(INDEX(종합!S$3:S$501,MATCH(ROW()-2,종합!$AC$3:$AC$501,0))&amp;"","")</f>
        <v/>
      </c>
      <c r="T388" s="21" t="str">
        <f aca="false">IFERROR(INDEX(종합!T$3:T$501,MATCH(ROW()-2,종합!$AC$3:$AC$501,0))&amp;"","")</f>
        <v/>
      </c>
      <c r="U388" s="21" t="str">
        <f aca="false">IFERROR(INDEX(종합!U$3:U$501,MATCH(ROW()-2,종합!$AC$3:$AC$501,0))&amp;"","")</f>
        <v/>
      </c>
      <c r="V388" s="21" t="str">
        <f aca="false">IFERROR(INDEX(종합!V$3:V$501,MATCH(ROW()-2,종합!$AC$3:$AC$501,0))&amp;"","")</f>
        <v/>
      </c>
      <c r="W388" s="21" t="str">
        <f aca="false">IFERROR(INDEX(종합!W$3:W$501,MATCH(ROW()-2,종합!$AC$3:$AC$501,0))&amp;"","")</f>
        <v/>
      </c>
      <c r="X388" s="21" t="str">
        <f aca="false">IFERROR(INDEX(종합!X$3:X$501,MATCH(ROW()-2,종합!$AC$3:$AC$501,0))&amp;"","")</f>
        <v/>
      </c>
      <c r="Y388" s="21" t="str">
        <f aca="false">IFERROR(INDEX(종합!Y$3:Y$501,MATCH(ROW()-2,종합!$AC$3:$AC$501,0))&amp;"","")</f>
        <v/>
      </c>
      <c r="Z388" s="21" t="str">
        <f aca="false">IFERROR(INDEX(종합!Z$3:Z$501,MATCH(ROW()-2,종합!$AC$3:$AC$501,0))&amp;"","")</f>
        <v/>
      </c>
    </row>
    <row r="389" customFormat="false" ht="16.5" hidden="false" customHeight="true" outlineLevel="0" collapsed="false">
      <c r="A389" s="18" t="str">
        <f aca="false">IF(B389="","",ROW()-2)</f>
        <v/>
      </c>
      <c r="B389" s="18" t="str">
        <f aca="false">IFERROR(INDEX(종합!B$3:B$501,MATCH(ROW()-2,종합!$AC$3:$AC$501,0))&amp;"","")</f>
        <v/>
      </c>
      <c r="C389" s="18" t="str">
        <f aca="false">IFERROR(INDEX(종합!C$3:C$501,MATCH(ROW()-2,종합!$AC$3:$AC$501,0))&amp;"","")</f>
        <v/>
      </c>
      <c r="D389" s="18" t="str">
        <f aca="false">IFERROR(INDEX(종합!D$3:D$501,MATCH(ROW()-2,종합!$AC$3:$AC$501,0))&amp;"","")</f>
        <v/>
      </c>
      <c r="E389" s="18" t="str">
        <f aca="false">IFERROR(INDEX(종합!E$3:E$501,MATCH(ROW()-2,종합!$AC$3:$AC$501,0))&amp;"","")</f>
        <v/>
      </c>
      <c r="F389" s="18" t="str">
        <f aca="false">IFERROR(INDEX(종합!F$3:F$501,MATCH(ROW()-2,종합!$AC$3:$AC$501,0))&amp;"","")</f>
        <v/>
      </c>
      <c r="G389" s="18" t="str">
        <f aca="false">IFERROR(INDEX(종합!G$3:G$501,MATCH(ROW()-2,종합!$AC$3:$AC$501,0))&amp;"","")</f>
        <v/>
      </c>
      <c r="H389" s="21" t="str">
        <f aca="false">IFERROR(INDEX(종합!H$3:H$501,MATCH(ROW()-2,종합!$AC$3:$AC$501,0))&amp;"","")</f>
        <v/>
      </c>
      <c r="I389" s="21" t="str">
        <f aca="false">IFERROR(INDEX(종합!I$3:I$501,MATCH(ROW()-2,종합!$AC$3:$AC$501,0))&amp;"","")</f>
        <v/>
      </c>
      <c r="J389" s="21" t="str">
        <f aca="false">IFERROR(INDEX(종합!J$3:J$501,MATCH(ROW()-2,종합!$AC$3:$AC$501,0))&amp;"","")</f>
        <v/>
      </c>
      <c r="K389" s="21" t="str">
        <f aca="false">IFERROR(INDEX(종합!K$3:K$501,MATCH(ROW()-2,종합!$AC$3:$AC$501,0))&amp;"","")</f>
        <v/>
      </c>
      <c r="L389" s="21" t="str">
        <f aca="false">IFERROR(INDEX(종합!L$3:L$501,MATCH(ROW()-2,종합!$AC$3:$AC$501,0))&amp;"","")</f>
        <v/>
      </c>
      <c r="M389" s="21" t="str">
        <f aca="false">IFERROR(INDEX(종합!M$3:M$501,MATCH(ROW()-2,종합!$AC$3:$AC$501,0))&amp;"","")</f>
        <v/>
      </c>
      <c r="N389" s="25" t="str">
        <f aca="false">IFERROR(INDEX(종합!N$3:N$501,MATCH(ROW()-2,종합!$AC$3:$AC$501,0))&amp;"","")</f>
        <v/>
      </c>
      <c r="O389" s="21" t="str">
        <f aca="false">IFERROR(INDEX(종합!O$3:O$501,MATCH(ROW()-2,종합!$AC$3:$AC$501,0))&amp;"","")</f>
        <v/>
      </c>
      <c r="P389" s="21" t="str">
        <f aca="false">IFERROR(INDEX(종합!P$3:P$501,MATCH(ROW()-2,종합!$AC$3:$AC$501,0))&amp;"","")</f>
        <v/>
      </c>
      <c r="Q389" s="21" t="str">
        <f aca="false">IFERROR(INDEX(종합!Q$3:Q$501,MATCH(ROW()-2,종합!$AC$3:$AC$501,0))&amp;"","")</f>
        <v/>
      </c>
      <c r="R389" s="21" t="str">
        <f aca="false">IFERROR(INDEX(종합!R$3:R$501,MATCH(ROW()-2,종합!$AC$3:$AC$501,0))&amp;"","")</f>
        <v/>
      </c>
      <c r="S389" s="21" t="str">
        <f aca="false">IFERROR(INDEX(종합!S$3:S$501,MATCH(ROW()-2,종합!$AC$3:$AC$501,0))&amp;"","")</f>
        <v/>
      </c>
      <c r="T389" s="21" t="str">
        <f aca="false">IFERROR(INDEX(종합!T$3:T$501,MATCH(ROW()-2,종합!$AC$3:$AC$501,0))&amp;"","")</f>
        <v/>
      </c>
      <c r="U389" s="21" t="str">
        <f aca="false">IFERROR(INDEX(종합!U$3:U$501,MATCH(ROW()-2,종합!$AC$3:$AC$501,0))&amp;"","")</f>
        <v/>
      </c>
      <c r="V389" s="21" t="str">
        <f aca="false">IFERROR(INDEX(종합!V$3:V$501,MATCH(ROW()-2,종합!$AC$3:$AC$501,0))&amp;"","")</f>
        <v/>
      </c>
      <c r="W389" s="21" t="str">
        <f aca="false">IFERROR(INDEX(종합!W$3:W$501,MATCH(ROW()-2,종합!$AC$3:$AC$501,0))&amp;"","")</f>
        <v/>
      </c>
      <c r="X389" s="21" t="str">
        <f aca="false">IFERROR(INDEX(종합!X$3:X$501,MATCH(ROW()-2,종합!$AC$3:$AC$501,0))&amp;"","")</f>
        <v/>
      </c>
      <c r="Y389" s="21" t="str">
        <f aca="false">IFERROR(INDEX(종합!Y$3:Y$501,MATCH(ROW()-2,종합!$AC$3:$AC$501,0))&amp;"","")</f>
        <v/>
      </c>
      <c r="Z389" s="21" t="str">
        <f aca="false">IFERROR(INDEX(종합!Z$3:Z$501,MATCH(ROW()-2,종합!$AC$3:$AC$501,0))&amp;"","")</f>
        <v/>
      </c>
    </row>
    <row r="390" customFormat="false" ht="16.5" hidden="false" customHeight="true" outlineLevel="0" collapsed="false">
      <c r="A390" s="18" t="str">
        <f aca="false">IF(B390="","",ROW()-2)</f>
        <v/>
      </c>
      <c r="B390" s="18" t="str">
        <f aca="false">IFERROR(INDEX(종합!B$3:B$501,MATCH(ROW()-2,종합!$AC$3:$AC$501,0))&amp;"","")</f>
        <v/>
      </c>
      <c r="C390" s="18" t="str">
        <f aca="false">IFERROR(INDEX(종합!C$3:C$501,MATCH(ROW()-2,종합!$AC$3:$AC$501,0))&amp;"","")</f>
        <v/>
      </c>
      <c r="D390" s="18" t="str">
        <f aca="false">IFERROR(INDEX(종합!D$3:D$501,MATCH(ROW()-2,종합!$AC$3:$AC$501,0))&amp;"","")</f>
        <v/>
      </c>
      <c r="E390" s="18" t="str">
        <f aca="false">IFERROR(INDEX(종합!E$3:E$501,MATCH(ROW()-2,종합!$AC$3:$AC$501,0))&amp;"","")</f>
        <v/>
      </c>
      <c r="F390" s="18" t="str">
        <f aca="false">IFERROR(INDEX(종합!F$3:F$501,MATCH(ROW()-2,종합!$AC$3:$AC$501,0))&amp;"","")</f>
        <v/>
      </c>
      <c r="G390" s="18" t="str">
        <f aca="false">IFERROR(INDEX(종합!G$3:G$501,MATCH(ROW()-2,종합!$AC$3:$AC$501,0))&amp;"","")</f>
        <v/>
      </c>
      <c r="H390" s="21" t="str">
        <f aca="false">IFERROR(INDEX(종합!H$3:H$501,MATCH(ROW()-2,종합!$AC$3:$AC$501,0))&amp;"","")</f>
        <v/>
      </c>
      <c r="I390" s="21" t="str">
        <f aca="false">IFERROR(INDEX(종합!I$3:I$501,MATCH(ROW()-2,종합!$AC$3:$AC$501,0))&amp;"","")</f>
        <v/>
      </c>
      <c r="J390" s="21" t="str">
        <f aca="false">IFERROR(INDEX(종합!J$3:J$501,MATCH(ROW()-2,종합!$AC$3:$AC$501,0))&amp;"","")</f>
        <v/>
      </c>
      <c r="K390" s="21" t="str">
        <f aca="false">IFERROR(INDEX(종합!K$3:K$501,MATCH(ROW()-2,종합!$AC$3:$AC$501,0))&amp;"","")</f>
        <v/>
      </c>
      <c r="L390" s="21" t="str">
        <f aca="false">IFERROR(INDEX(종합!L$3:L$501,MATCH(ROW()-2,종합!$AC$3:$AC$501,0))&amp;"","")</f>
        <v/>
      </c>
      <c r="M390" s="21" t="str">
        <f aca="false">IFERROR(INDEX(종합!M$3:M$501,MATCH(ROW()-2,종합!$AC$3:$AC$501,0))&amp;"","")</f>
        <v/>
      </c>
      <c r="N390" s="25" t="str">
        <f aca="false">IFERROR(INDEX(종합!N$3:N$501,MATCH(ROW()-2,종합!$AC$3:$AC$501,0))&amp;"","")</f>
        <v/>
      </c>
      <c r="O390" s="21" t="str">
        <f aca="false">IFERROR(INDEX(종합!O$3:O$501,MATCH(ROW()-2,종합!$AC$3:$AC$501,0))&amp;"","")</f>
        <v/>
      </c>
      <c r="P390" s="21" t="str">
        <f aca="false">IFERROR(INDEX(종합!P$3:P$501,MATCH(ROW()-2,종합!$AC$3:$AC$501,0))&amp;"","")</f>
        <v/>
      </c>
      <c r="Q390" s="21" t="str">
        <f aca="false">IFERROR(INDEX(종합!Q$3:Q$501,MATCH(ROW()-2,종합!$AC$3:$AC$501,0))&amp;"","")</f>
        <v/>
      </c>
      <c r="R390" s="21" t="str">
        <f aca="false">IFERROR(INDEX(종합!R$3:R$501,MATCH(ROW()-2,종합!$AC$3:$AC$501,0))&amp;"","")</f>
        <v/>
      </c>
      <c r="S390" s="21" t="str">
        <f aca="false">IFERROR(INDEX(종합!S$3:S$501,MATCH(ROW()-2,종합!$AC$3:$AC$501,0))&amp;"","")</f>
        <v/>
      </c>
      <c r="T390" s="21" t="str">
        <f aca="false">IFERROR(INDEX(종합!T$3:T$501,MATCH(ROW()-2,종합!$AC$3:$AC$501,0))&amp;"","")</f>
        <v/>
      </c>
      <c r="U390" s="21" t="str">
        <f aca="false">IFERROR(INDEX(종합!U$3:U$501,MATCH(ROW()-2,종합!$AC$3:$AC$501,0))&amp;"","")</f>
        <v/>
      </c>
      <c r="V390" s="21" t="str">
        <f aca="false">IFERROR(INDEX(종합!V$3:V$501,MATCH(ROW()-2,종합!$AC$3:$AC$501,0))&amp;"","")</f>
        <v/>
      </c>
      <c r="W390" s="21" t="str">
        <f aca="false">IFERROR(INDEX(종합!W$3:W$501,MATCH(ROW()-2,종합!$AC$3:$AC$501,0))&amp;"","")</f>
        <v/>
      </c>
      <c r="X390" s="21" t="str">
        <f aca="false">IFERROR(INDEX(종합!X$3:X$501,MATCH(ROW()-2,종합!$AC$3:$AC$501,0))&amp;"","")</f>
        <v/>
      </c>
      <c r="Y390" s="21" t="str">
        <f aca="false">IFERROR(INDEX(종합!Y$3:Y$501,MATCH(ROW()-2,종합!$AC$3:$AC$501,0))&amp;"","")</f>
        <v/>
      </c>
      <c r="Z390" s="21" t="str">
        <f aca="false">IFERROR(INDEX(종합!Z$3:Z$501,MATCH(ROW()-2,종합!$AC$3:$AC$501,0))&amp;"","")</f>
        <v/>
      </c>
    </row>
    <row r="391" customFormat="false" ht="16.5" hidden="false" customHeight="true" outlineLevel="0" collapsed="false">
      <c r="A391" s="18" t="str">
        <f aca="false">IF(B391="","",ROW()-2)</f>
        <v/>
      </c>
      <c r="B391" s="18" t="str">
        <f aca="false">IFERROR(INDEX(종합!B$3:B$501,MATCH(ROW()-2,종합!$AC$3:$AC$501,0))&amp;"","")</f>
        <v/>
      </c>
      <c r="C391" s="18" t="str">
        <f aca="false">IFERROR(INDEX(종합!C$3:C$501,MATCH(ROW()-2,종합!$AC$3:$AC$501,0))&amp;"","")</f>
        <v/>
      </c>
      <c r="D391" s="18" t="str">
        <f aca="false">IFERROR(INDEX(종합!D$3:D$501,MATCH(ROW()-2,종합!$AC$3:$AC$501,0))&amp;"","")</f>
        <v/>
      </c>
      <c r="E391" s="18" t="str">
        <f aca="false">IFERROR(INDEX(종합!E$3:E$501,MATCH(ROW()-2,종합!$AC$3:$AC$501,0))&amp;"","")</f>
        <v/>
      </c>
      <c r="F391" s="18" t="str">
        <f aca="false">IFERROR(INDEX(종합!F$3:F$501,MATCH(ROW()-2,종합!$AC$3:$AC$501,0))&amp;"","")</f>
        <v/>
      </c>
      <c r="G391" s="18" t="str">
        <f aca="false">IFERROR(INDEX(종합!G$3:G$501,MATCH(ROW()-2,종합!$AC$3:$AC$501,0))&amp;"","")</f>
        <v/>
      </c>
      <c r="H391" s="21" t="str">
        <f aca="false">IFERROR(INDEX(종합!H$3:H$501,MATCH(ROW()-2,종합!$AC$3:$AC$501,0))&amp;"","")</f>
        <v/>
      </c>
      <c r="I391" s="21" t="str">
        <f aca="false">IFERROR(INDEX(종합!I$3:I$501,MATCH(ROW()-2,종합!$AC$3:$AC$501,0))&amp;"","")</f>
        <v/>
      </c>
      <c r="J391" s="21" t="str">
        <f aca="false">IFERROR(INDEX(종합!J$3:J$501,MATCH(ROW()-2,종합!$AC$3:$AC$501,0))&amp;"","")</f>
        <v/>
      </c>
      <c r="K391" s="21" t="str">
        <f aca="false">IFERROR(INDEX(종합!K$3:K$501,MATCH(ROW()-2,종합!$AC$3:$AC$501,0))&amp;"","")</f>
        <v/>
      </c>
      <c r="L391" s="21" t="str">
        <f aca="false">IFERROR(INDEX(종합!L$3:L$501,MATCH(ROW()-2,종합!$AC$3:$AC$501,0))&amp;"","")</f>
        <v/>
      </c>
      <c r="M391" s="21" t="str">
        <f aca="false">IFERROR(INDEX(종합!M$3:M$501,MATCH(ROW()-2,종합!$AC$3:$AC$501,0))&amp;"","")</f>
        <v/>
      </c>
      <c r="N391" s="25" t="str">
        <f aca="false">IFERROR(INDEX(종합!N$3:N$501,MATCH(ROW()-2,종합!$AC$3:$AC$501,0))&amp;"","")</f>
        <v/>
      </c>
      <c r="O391" s="21" t="str">
        <f aca="false">IFERROR(INDEX(종합!O$3:O$501,MATCH(ROW()-2,종합!$AC$3:$AC$501,0))&amp;"","")</f>
        <v/>
      </c>
      <c r="P391" s="21" t="str">
        <f aca="false">IFERROR(INDEX(종합!P$3:P$501,MATCH(ROW()-2,종합!$AC$3:$AC$501,0))&amp;"","")</f>
        <v/>
      </c>
      <c r="Q391" s="21" t="str">
        <f aca="false">IFERROR(INDEX(종합!Q$3:Q$501,MATCH(ROW()-2,종합!$AC$3:$AC$501,0))&amp;"","")</f>
        <v/>
      </c>
      <c r="R391" s="21" t="str">
        <f aca="false">IFERROR(INDEX(종합!R$3:R$501,MATCH(ROW()-2,종합!$AC$3:$AC$501,0))&amp;"","")</f>
        <v/>
      </c>
      <c r="S391" s="21" t="str">
        <f aca="false">IFERROR(INDEX(종합!S$3:S$501,MATCH(ROW()-2,종합!$AC$3:$AC$501,0))&amp;"","")</f>
        <v/>
      </c>
      <c r="T391" s="21" t="str">
        <f aca="false">IFERROR(INDEX(종합!T$3:T$501,MATCH(ROW()-2,종합!$AC$3:$AC$501,0))&amp;"","")</f>
        <v/>
      </c>
      <c r="U391" s="21" t="str">
        <f aca="false">IFERROR(INDEX(종합!U$3:U$501,MATCH(ROW()-2,종합!$AC$3:$AC$501,0))&amp;"","")</f>
        <v/>
      </c>
      <c r="V391" s="21" t="str">
        <f aca="false">IFERROR(INDEX(종합!V$3:V$501,MATCH(ROW()-2,종합!$AC$3:$AC$501,0))&amp;"","")</f>
        <v/>
      </c>
      <c r="W391" s="21" t="str">
        <f aca="false">IFERROR(INDEX(종합!W$3:W$501,MATCH(ROW()-2,종합!$AC$3:$AC$501,0))&amp;"","")</f>
        <v/>
      </c>
      <c r="X391" s="21" t="str">
        <f aca="false">IFERROR(INDEX(종합!X$3:X$501,MATCH(ROW()-2,종합!$AC$3:$AC$501,0))&amp;"","")</f>
        <v/>
      </c>
      <c r="Y391" s="21" t="str">
        <f aca="false">IFERROR(INDEX(종합!Y$3:Y$501,MATCH(ROW()-2,종합!$AC$3:$AC$501,0))&amp;"","")</f>
        <v/>
      </c>
      <c r="Z391" s="21" t="str">
        <f aca="false">IFERROR(INDEX(종합!Z$3:Z$501,MATCH(ROW()-2,종합!$AC$3:$AC$501,0))&amp;"","")</f>
        <v/>
      </c>
    </row>
    <row r="392" customFormat="false" ht="16.5" hidden="false" customHeight="true" outlineLevel="0" collapsed="false">
      <c r="A392" s="18" t="str">
        <f aca="false">IF(B392="","",ROW()-2)</f>
        <v/>
      </c>
      <c r="B392" s="18" t="str">
        <f aca="false">IFERROR(INDEX(종합!B$3:B$501,MATCH(ROW()-2,종합!$AC$3:$AC$501,0))&amp;"","")</f>
        <v/>
      </c>
      <c r="C392" s="18" t="str">
        <f aca="false">IFERROR(INDEX(종합!C$3:C$501,MATCH(ROW()-2,종합!$AC$3:$AC$501,0))&amp;"","")</f>
        <v/>
      </c>
      <c r="D392" s="18" t="str">
        <f aca="false">IFERROR(INDEX(종합!D$3:D$501,MATCH(ROW()-2,종합!$AC$3:$AC$501,0))&amp;"","")</f>
        <v/>
      </c>
      <c r="E392" s="18" t="str">
        <f aca="false">IFERROR(INDEX(종합!E$3:E$501,MATCH(ROW()-2,종합!$AC$3:$AC$501,0))&amp;"","")</f>
        <v/>
      </c>
      <c r="F392" s="18" t="str">
        <f aca="false">IFERROR(INDEX(종합!F$3:F$501,MATCH(ROW()-2,종합!$AC$3:$AC$501,0))&amp;"","")</f>
        <v/>
      </c>
      <c r="G392" s="18" t="str">
        <f aca="false">IFERROR(INDEX(종합!G$3:G$501,MATCH(ROW()-2,종합!$AC$3:$AC$501,0))&amp;"","")</f>
        <v/>
      </c>
      <c r="H392" s="21" t="str">
        <f aca="false">IFERROR(INDEX(종합!H$3:H$501,MATCH(ROW()-2,종합!$AC$3:$AC$501,0))&amp;"","")</f>
        <v/>
      </c>
      <c r="I392" s="21" t="str">
        <f aca="false">IFERROR(INDEX(종합!I$3:I$501,MATCH(ROW()-2,종합!$AC$3:$AC$501,0))&amp;"","")</f>
        <v/>
      </c>
      <c r="J392" s="21" t="str">
        <f aca="false">IFERROR(INDEX(종합!J$3:J$501,MATCH(ROW()-2,종합!$AC$3:$AC$501,0))&amp;"","")</f>
        <v/>
      </c>
      <c r="K392" s="21" t="str">
        <f aca="false">IFERROR(INDEX(종합!K$3:K$501,MATCH(ROW()-2,종합!$AC$3:$AC$501,0))&amp;"","")</f>
        <v/>
      </c>
      <c r="L392" s="21" t="str">
        <f aca="false">IFERROR(INDEX(종합!L$3:L$501,MATCH(ROW()-2,종합!$AC$3:$AC$501,0))&amp;"","")</f>
        <v/>
      </c>
      <c r="M392" s="21" t="str">
        <f aca="false">IFERROR(INDEX(종합!M$3:M$501,MATCH(ROW()-2,종합!$AC$3:$AC$501,0))&amp;"","")</f>
        <v/>
      </c>
      <c r="N392" s="25" t="str">
        <f aca="false">IFERROR(INDEX(종합!N$3:N$501,MATCH(ROW()-2,종합!$AC$3:$AC$501,0))&amp;"","")</f>
        <v/>
      </c>
      <c r="O392" s="21" t="str">
        <f aca="false">IFERROR(INDEX(종합!O$3:O$501,MATCH(ROW()-2,종합!$AC$3:$AC$501,0))&amp;"","")</f>
        <v/>
      </c>
      <c r="P392" s="21" t="str">
        <f aca="false">IFERROR(INDEX(종합!P$3:P$501,MATCH(ROW()-2,종합!$AC$3:$AC$501,0))&amp;"","")</f>
        <v/>
      </c>
      <c r="Q392" s="21" t="str">
        <f aca="false">IFERROR(INDEX(종합!Q$3:Q$501,MATCH(ROW()-2,종합!$AC$3:$AC$501,0))&amp;"","")</f>
        <v/>
      </c>
      <c r="R392" s="21" t="str">
        <f aca="false">IFERROR(INDEX(종합!R$3:R$501,MATCH(ROW()-2,종합!$AC$3:$AC$501,0))&amp;"","")</f>
        <v/>
      </c>
      <c r="S392" s="21" t="str">
        <f aca="false">IFERROR(INDEX(종합!S$3:S$501,MATCH(ROW()-2,종합!$AC$3:$AC$501,0))&amp;"","")</f>
        <v/>
      </c>
      <c r="T392" s="21" t="str">
        <f aca="false">IFERROR(INDEX(종합!T$3:T$501,MATCH(ROW()-2,종합!$AC$3:$AC$501,0))&amp;"","")</f>
        <v/>
      </c>
      <c r="U392" s="21" t="str">
        <f aca="false">IFERROR(INDEX(종합!U$3:U$501,MATCH(ROW()-2,종합!$AC$3:$AC$501,0))&amp;"","")</f>
        <v/>
      </c>
      <c r="V392" s="21" t="str">
        <f aca="false">IFERROR(INDEX(종합!V$3:V$501,MATCH(ROW()-2,종합!$AC$3:$AC$501,0))&amp;"","")</f>
        <v/>
      </c>
      <c r="W392" s="21" t="str">
        <f aca="false">IFERROR(INDEX(종합!W$3:W$501,MATCH(ROW()-2,종합!$AC$3:$AC$501,0))&amp;"","")</f>
        <v/>
      </c>
      <c r="X392" s="21" t="str">
        <f aca="false">IFERROR(INDEX(종합!X$3:X$501,MATCH(ROW()-2,종합!$AC$3:$AC$501,0))&amp;"","")</f>
        <v/>
      </c>
      <c r="Y392" s="21" t="str">
        <f aca="false">IFERROR(INDEX(종합!Y$3:Y$501,MATCH(ROW()-2,종합!$AC$3:$AC$501,0))&amp;"","")</f>
        <v/>
      </c>
      <c r="Z392" s="21" t="str">
        <f aca="false">IFERROR(INDEX(종합!Z$3:Z$501,MATCH(ROW()-2,종합!$AC$3:$AC$501,0))&amp;"","")</f>
        <v/>
      </c>
    </row>
    <row r="393" customFormat="false" ht="16.5" hidden="false" customHeight="true" outlineLevel="0" collapsed="false">
      <c r="A393" s="18" t="str">
        <f aca="false">IF(B393="","",ROW()-2)</f>
        <v/>
      </c>
      <c r="B393" s="18" t="str">
        <f aca="false">IFERROR(INDEX(종합!B$3:B$501,MATCH(ROW()-2,종합!$AC$3:$AC$501,0))&amp;"","")</f>
        <v/>
      </c>
      <c r="C393" s="18" t="str">
        <f aca="false">IFERROR(INDEX(종합!C$3:C$501,MATCH(ROW()-2,종합!$AC$3:$AC$501,0))&amp;"","")</f>
        <v/>
      </c>
      <c r="D393" s="18" t="str">
        <f aca="false">IFERROR(INDEX(종합!D$3:D$501,MATCH(ROW()-2,종합!$AC$3:$AC$501,0))&amp;"","")</f>
        <v/>
      </c>
      <c r="E393" s="18" t="str">
        <f aca="false">IFERROR(INDEX(종합!E$3:E$501,MATCH(ROW()-2,종합!$AC$3:$AC$501,0))&amp;"","")</f>
        <v/>
      </c>
      <c r="F393" s="18" t="str">
        <f aca="false">IFERROR(INDEX(종합!F$3:F$501,MATCH(ROW()-2,종합!$AC$3:$AC$501,0))&amp;"","")</f>
        <v/>
      </c>
      <c r="G393" s="18" t="str">
        <f aca="false">IFERROR(INDEX(종합!G$3:G$501,MATCH(ROW()-2,종합!$AC$3:$AC$501,0))&amp;"","")</f>
        <v/>
      </c>
      <c r="H393" s="21" t="str">
        <f aca="false">IFERROR(INDEX(종합!H$3:H$501,MATCH(ROW()-2,종합!$AC$3:$AC$501,0))&amp;"","")</f>
        <v/>
      </c>
      <c r="I393" s="21" t="str">
        <f aca="false">IFERROR(INDEX(종합!I$3:I$501,MATCH(ROW()-2,종합!$AC$3:$AC$501,0))&amp;"","")</f>
        <v/>
      </c>
      <c r="J393" s="21" t="str">
        <f aca="false">IFERROR(INDEX(종합!J$3:J$501,MATCH(ROW()-2,종합!$AC$3:$AC$501,0))&amp;"","")</f>
        <v/>
      </c>
      <c r="K393" s="21" t="str">
        <f aca="false">IFERROR(INDEX(종합!K$3:K$501,MATCH(ROW()-2,종합!$AC$3:$AC$501,0))&amp;"","")</f>
        <v/>
      </c>
      <c r="L393" s="21" t="str">
        <f aca="false">IFERROR(INDEX(종합!L$3:L$501,MATCH(ROW()-2,종합!$AC$3:$AC$501,0))&amp;"","")</f>
        <v/>
      </c>
      <c r="M393" s="21" t="str">
        <f aca="false">IFERROR(INDEX(종합!M$3:M$501,MATCH(ROW()-2,종합!$AC$3:$AC$501,0))&amp;"","")</f>
        <v/>
      </c>
      <c r="N393" s="25" t="str">
        <f aca="false">IFERROR(INDEX(종합!N$3:N$501,MATCH(ROW()-2,종합!$AC$3:$AC$501,0))&amp;"","")</f>
        <v/>
      </c>
      <c r="O393" s="21" t="str">
        <f aca="false">IFERROR(INDEX(종합!O$3:O$501,MATCH(ROW()-2,종합!$AC$3:$AC$501,0))&amp;"","")</f>
        <v/>
      </c>
      <c r="P393" s="21" t="str">
        <f aca="false">IFERROR(INDEX(종합!P$3:P$501,MATCH(ROW()-2,종합!$AC$3:$AC$501,0))&amp;"","")</f>
        <v/>
      </c>
      <c r="Q393" s="21" t="str">
        <f aca="false">IFERROR(INDEX(종합!Q$3:Q$501,MATCH(ROW()-2,종합!$AC$3:$AC$501,0))&amp;"","")</f>
        <v/>
      </c>
      <c r="R393" s="21" t="str">
        <f aca="false">IFERROR(INDEX(종합!R$3:R$501,MATCH(ROW()-2,종합!$AC$3:$AC$501,0))&amp;"","")</f>
        <v/>
      </c>
      <c r="S393" s="21" t="str">
        <f aca="false">IFERROR(INDEX(종합!S$3:S$501,MATCH(ROW()-2,종합!$AC$3:$AC$501,0))&amp;"","")</f>
        <v/>
      </c>
      <c r="T393" s="21" t="str">
        <f aca="false">IFERROR(INDEX(종합!T$3:T$501,MATCH(ROW()-2,종합!$AC$3:$AC$501,0))&amp;"","")</f>
        <v/>
      </c>
      <c r="U393" s="21" t="str">
        <f aca="false">IFERROR(INDEX(종합!U$3:U$501,MATCH(ROW()-2,종합!$AC$3:$AC$501,0))&amp;"","")</f>
        <v/>
      </c>
      <c r="V393" s="21" t="str">
        <f aca="false">IFERROR(INDEX(종합!V$3:V$501,MATCH(ROW()-2,종합!$AC$3:$AC$501,0))&amp;"","")</f>
        <v/>
      </c>
      <c r="W393" s="21" t="str">
        <f aca="false">IFERROR(INDEX(종합!W$3:W$501,MATCH(ROW()-2,종합!$AC$3:$AC$501,0))&amp;"","")</f>
        <v/>
      </c>
      <c r="X393" s="21" t="str">
        <f aca="false">IFERROR(INDEX(종합!X$3:X$501,MATCH(ROW()-2,종합!$AC$3:$AC$501,0))&amp;"","")</f>
        <v/>
      </c>
      <c r="Y393" s="21" t="str">
        <f aca="false">IFERROR(INDEX(종합!Y$3:Y$501,MATCH(ROW()-2,종합!$AC$3:$AC$501,0))&amp;"","")</f>
        <v/>
      </c>
      <c r="Z393" s="21" t="str">
        <f aca="false">IFERROR(INDEX(종합!Z$3:Z$501,MATCH(ROW()-2,종합!$AC$3:$AC$501,0))&amp;"","")</f>
        <v/>
      </c>
    </row>
    <row r="394" customFormat="false" ht="16.5" hidden="false" customHeight="true" outlineLevel="0" collapsed="false">
      <c r="A394" s="18" t="str">
        <f aca="false">IF(B394="","",ROW()-2)</f>
        <v/>
      </c>
      <c r="B394" s="18" t="str">
        <f aca="false">IFERROR(INDEX(종합!B$3:B$501,MATCH(ROW()-2,종합!$AC$3:$AC$501,0))&amp;"","")</f>
        <v/>
      </c>
      <c r="C394" s="18" t="str">
        <f aca="false">IFERROR(INDEX(종합!C$3:C$501,MATCH(ROW()-2,종합!$AC$3:$AC$501,0))&amp;"","")</f>
        <v/>
      </c>
      <c r="D394" s="18" t="str">
        <f aca="false">IFERROR(INDEX(종합!D$3:D$501,MATCH(ROW()-2,종합!$AC$3:$AC$501,0))&amp;"","")</f>
        <v/>
      </c>
      <c r="E394" s="18" t="str">
        <f aca="false">IFERROR(INDEX(종합!E$3:E$501,MATCH(ROW()-2,종합!$AC$3:$AC$501,0))&amp;"","")</f>
        <v/>
      </c>
      <c r="F394" s="18" t="str">
        <f aca="false">IFERROR(INDEX(종합!F$3:F$501,MATCH(ROW()-2,종합!$AC$3:$AC$501,0))&amp;"","")</f>
        <v/>
      </c>
      <c r="G394" s="18" t="str">
        <f aca="false">IFERROR(INDEX(종합!G$3:G$501,MATCH(ROW()-2,종합!$AC$3:$AC$501,0))&amp;"","")</f>
        <v/>
      </c>
      <c r="H394" s="21" t="str">
        <f aca="false">IFERROR(INDEX(종합!H$3:H$501,MATCH(ROW()-2,종합!$AC$3:$AC$501,0))&amp;"","")</f>
        <v/>
      </c>
      <c r="I394" s="21" t="str">
        <f aca="false">IFERROR(INDEX(종합!I$3:I$501,MATCH(ROW()-2,종합!$AC$3:$AC$501,0))&amp;"","")</f>
        <v/>
      </c>
      <c r="J394" s="21" t="str">
        <f aca="false">IFERROR(INDEX(종합!J$3:J$501,MATCH(ROW()-2,종합!$AC$3:$AC$501,0))&amp;"","")</f>
        <v/>
      </c>
      <c r="K394" s="21" t="str">
        <f aca="false">IFERROR(INDEX(종합!K$3:K$501,MATCH(ROW()-2,종합!$AC$3:$AC$501,0))&amp;"","")</f>
        <v/>
      </c>
      <c r="L394" s="21" t="str">
        <f aca="false">IFERROR(INDEX(종합!L$3:L$501,MATCH(ROW()-2,종합!$AC$3:$AC$501,0))&amp;"","")</f>
        <v/>
      </c>
      <c r="M394" s="21" t="str">
        <f aca="false">IFERROR(INDEX(종합!M$3:M$501,MATCH(ROW()-2,종합!$AC$3:$AC$501,0))&amp;"","")</f>
        <v/>
      </c>
      <c r="N394" s="25" t="str">
        <f aca="false">IFERROR(INDEX(종합!N$3:N$501,MATCH(ROW()-2,종합!$AC$3:$AC$501,0))&amp;"","")</f>
        <v/>
      </c>
      <c r="O394" s="21" t="str">
        <f aca="false">IFERROR(INDEX(종합!O$3:O$501,MATCH(ROW()-2,종합!$AC$3:$AC$501,0))&amp;"","")</f>
        <v/>
      </c>
      <c r="P394" s="21" t="str">
        <f aca="false">IFERROR(INDEX(종합!P$3:P$501,MATCH(ROW()-2,종합!$AC$3:$AC$501,0))&amp;"","")</f>
        <v/>
      </c>
      <c r="Q394" s="21" t="str">
        <f aca="false">IFERROR(INDEX(종합!Q$3:Q$501,MATCH(ROW()-2,종합!$AC$3:$AC$501,0))&amp;"","")</f>
        <v/>
      </c>
      <c r="R394" s="21" t="str">
        <f aca="false">IFERROR(INDEX(종합!R$3:R$501,MATCH(ROW()-2,종합!$AC$3:$AC$501,0))&amp;"","")</f>
        <v/>
      </c>
      <c r="S394" s="21" t="str">
        <f aca="false">IFERROR(INDEX(종합!S$3:S$501,MATCH(ROW()-2,종합!$AC$3:$AC$501,0))&amp;"","")</f>
        <v/>
      </c>
      <c r="T394" s="21" t="str">
        <f aca="false">IFERROR(INDEX(종합!T$3:T$501,MATCH(ROW()-2,종합!$AC$3:$AC$501,0))&amp;"","")</f>
        <v/>
      </c>
      <c r="U394" s="21" t="str">
        <f aca="false">IFERROR(INDEX(종합!U$3:U$501,MATCH(ROW()-2,종합!$AC$3:$AC$501,0))&amp;"","")</f>
        <v/>
      </c>
      <c r="V394" s="21" t="str">
        <f aca="false">IFERROR(INDEX(종합!V$3:V$501,MATCH(ROW()-2,종합!$AC$3:$AC$501,0))&amp;"","")</f>
        <v/>
      </c>
      <c r="W394" s="21" t="str">
        <f aca="false">IFERROR(INDEX(종합!W$3:W$501,MATCH(ROW()-2,종합!$AC$3:$AC$501,0))&amp;"","")</f>
        <v/>
      </c>
      <c r="X394" s="21" t="str">
        <f aca="false">IFERROR(INDEX(종합!X$3:X$501,MATCH(ROW()-2,종합!$AC$3:$AC$501,0))&amp;"","")</f>
        <v/>
      </c>
      <c r="Y394" s="21" t="str">
        <f aca="false">IFERROR(INDEX(종합!Y$3:Y$501,MATCH(ROW()-2,종합!$AC$3:$AC$501,0))&amp;"","")</f>
        <v/>
      </c>
      <c r="Z394" s="21" t="str">
        <f aca="false">IFERROR(INDEX(종합!Z$3:Z$501,MATCH(ROW()-2,종합!$AC$3:$AC$501,0))&amp;"","")</f>
        <v/>
      </c>
    </row>
    <row r="395" customFormat="false" ht="16.5" hidden="false" customHeight="true" outlineLevel="0" collapsed="false">
      <c r="A395" s="18" t="str">
        <f aca="false">IF(B395="","",ROW()-2)</f>
        <v/>
      </c>
      <c r="B395" s="18" t="str">
        <f aca="false">IFERROR(INDEX(종합!B$3:B$501,MATCH(ROW()-2,종합!$AC$3:$AC$501,0))&amp;"","")</f>
        <v/>
      </c>
      <c r="C395" s="18" t="str">
        <f aca="false">IFERROR(INDEX(종합!C$3:C$501,MATCH(ROW()-2,종합!$AC$3:$AC$501,0))&amp;"","")</f>
        <v/>
      </c>
      <c r="D395" s="18" t="str">
        <f aca="false">IFERROR(INDEX(종합!D$3:D$501,MATCH(ROW()-2,종합!$AC$3:$AC$501,0))&amp;"","")</f>
        <v/>
      </c>
      <c r="E395" s="18" t="str">
        <f aca="false">IFERROR(INDEX(종합!E$3:E$501,MATCH(ROW()-2,종합!$AC$3:$AC$501,0))&amp;"","")</f>
        <v/>
      </c>
      <c r="F395" s="18" t="str">
        <f aca="false">IFERROR(INDEX(종합!F$3:F$501,MATCH(ROW()-2,종합!$AC$3:$AC$501,0))&amp;"","")</f>
        <v/>
      </c>
      <c r="G395" s="18" t="str">
        <f aca="false">IFERROR(INDEX(종합!G$3:G$501,MATCH(ROW()-2,종합!$AC$3:$AC$501,0))&amp;"","")</f>
        <v/>
      </c>
      <c r="H395" s="21" t="str">
        <f aca="false">IFERROR(INDEX(종합!H$3:H$501,MATCH(ROW()-2,종합!$AC$3:$AC$501,0))&amp;"","")</f>
        <v/>
      </c>
      <c r="I395" s="21" t="str">
        <f aca="false">IFERROR(INDEX(종합!I$3:I$501,MATCH(ROW()-2,종합!$AC$3:$AC$501,0))&amp;"","")</f>
        <v/>
      </c>
      <c r="J395" s="21" t="str">
        <f aca="false">IFERROR(INDEX(종합!J$3:J$501,MATCH(ROW()-2,종합!$AC$3:$AC$501,0))&amp;"","")</f>
        <v/>
      </c>
      <c r="K395" s="21" t="str">
        <f aca="false">IFERROR(INDEX(종합!K$3:K$501,MATCH(ROW()-2,종합!$AC$3:$AC$501,0))&amp;"","")</f>
        <v/>
      </c>
      <c r="L395" s="21" t="str">
        <f aca="false">IFERROR(INDEX(종합!L$3:L$501,MATCH(ROW()-2,종합!$AC$3:$AC$501,0))&amp;"","")</f>
        <v/>
      </c>
      <c r="M395" s="21" t="str">
        <f aca="false">IFERROR(INDEX(종합!M$3:M$501,MATCH(ROW()-2,종합!$AC$3:$AC$501,0))&amp;"","")</f>
        <v/>
      </c>
      <c r="N395" s="25" t="str">
        <f aca="false">IFERROR(INDEX(종합!N$3:N$501,MATCH(ROW()-2,종합!$AC$3:$AC$501,0))&amp;"","")</f>
        <v/>
      </c>
      <c r="O395" s="21" t="str">
        <f aca="false">IFERROR(INDEX(종합!O$3:O$501,MATCH(ROW()-2,종합!$AC$3:$AC$501,0))&amp;"","")</f>
        <v/>
      </c>
      <c r="P395" s="21" t="str">
        <f aca="false">IFERROR(INDEX(종합!P$3:P$501,MATCH(ROW()-2,종합!$AC$3:$AC$501,0))&amp;"","")</f>
        <v/>
      </c>
      <c r="Q395" s="21" t="str">
        <f aca="false">IFERROR(INDEX(종합!Q$3:Q$501,MATCH(ROW()-2,종합!$AC$3:$AC$501,0))&amp;"","")</f>
        <v/>
      </c>
      <c r="R395" s="21" t="str">
        <f aca="false">IFERROR(INDEX(종합!R$3:R$501,MATCH(ROW()-2,종합!$AC$3:$AC$501,0))&amp;"","")</f>
        <v/>
      </c>
      <c r="S395" s="21" t="str">
        <f aca="false">IFERROR(INDEX(종합!S$3:S$501,MATCH(ROW()-2,종합!$AC$3:$AC$501,0))&amp;"","")</f>
        <v/>
      </c>
      <c r="T395" s="21" t="str">
        <f aca="false">IFERROR(INDEX(종합!T$3:T$501,MATCH(ROW()-2,종합!$AC$3:$AC$501,0))&amp;"","")</f>
        <v/>
      </c>
      <c r="U395" s="21" t="str">
        <f aca="false">IFERROR(INDEX(종합!U$3:U$501,MATCH(ROW()-2,종합!$AC$3:$AC$501,0))&amp;"","")</f>
        <v/>
      </c>
      <c r="V395" s="21" t="str">
        <f aca="false">IFERROR(INDEX(종합!V$3:V$501,MATCH(ROW()-2,종합!$AC$3:$AC$501,0))&amp;"","")</f>
        <v/>
      </c>
      <c r="W395" s="21" t="str">
        <f aca="false">IFERROR(INDEX(종합!W$3:W$501,MATCH(ROW()-2,종합!$AC$3:$AC$501,0))&amp;"","")</f>
        <v/>
      </c>
      <c r="X395" s="21" t="str">
        <f aca="false">IFERROR(INDEX(종합!X$3:X$501,MATCH(ROW()-2,종합!$AC$3:$AC$501,0))&amp;"","")</f>
        <v/>
      </c>
      <c r="Y395" s="21" t="str">
        <f aca="false">IFERROR(INDEX(종합!Y$3:Y$501,MATCH(ROW()-2,종합!$AC$3:$AC$501,0))&amp;"","")</f>
        <v/>
      </c>
      <c r="Z395" s="21" t="str">
        <f aca="false">IFERROR(INDEX(종합!Z$3:Z$501,MATCH(ROW()-2,종합!$AC$3:$AC$501,0))&amp;"","")</f>
        <v/>
      </c>
    </row>
    <row r="396" customFormat="false" ht="16.5" hidden="false" customHeight="true" outlineLevel="0" collapsed="false">
      <c r="A396" s="18" t="str">
        <f aca="false">IF(B396="","",ROW()-2)</f>
        <v/>
      </c>
      <c r="B396" s="18" t="str">
        <f aca="false">IFERROR(INDEX(종합!B$3:B$501,MATCH(ROW()-2,종합!$AC$3:$AC$501,0))&amp;"","")</f>
        <v/>
      </c>
      <c r="C396" s="18" t="str">
        <f aca="false">IFERROR(INDEX(종합!C$3:C$501,MATCH(ROW()-2,종합!$AC$3:$AC$501,0))&amp;"","")</f>
        <v/>
      </c>
      <c r="D396" s="18" t="str">
        <f aca="false">IFERROR(INDEX(종합!D$3:D$501,MATCH(ROW()-2,종합!$AC$3:$AC$501,0))&amp;"","")</f>
        <v/>
      </c>
      <c r="E396" s="18" t="str">
        <f aca="false">IFERROR(INDEX(종합!E$3:E$501,MATCH(ROW()-2,종합!$AC$3:$AC$501,0))&amp;"","")</f>
        <v/>
      </c>
      <c r="F396" s="18" t="str">
        <f aca="false">IFERROR(INDEX(종합!F$3:F$501,MATCH(ROW()-2,종합!$AC$3:$AC$501,0))&amp;"","")</f>
        <v/>
      </c>
      <c r="G396" s="18" t="str">
        <f aca="false">IFERROR(INDEX(종합!G$3:G$501,MATCH(ROW()-2,종합!$AC$3:$AC$501,0))&amp;"","")</f>
        <v/>
      </c>
      <c r="H396" s="21" t="str">
        <f aca="false">IFERROR(INDEX(종합!H$3:H$501,MATCH(ROW()-2,종합!$AC$3:$AC$501,0))&amp;"","")</f>
        <v/>
      </c>
      <c r="I396" s="21" t="str">
        <f aca="false">IFERROR(INDEX(종합!I$3:I$501,MATCH(ROW()-2,종합!$AC$3:$AC$501,0))&amp;"","")</f>
        <v/>
      </c>
      <c r="J396" s="21" t="str">
        <f aca="false">IFERROR(INDEX(종합!J$3:J$501,MATCH(ROW()-2,종합!$AC$3:$AC$501,0))&amp;"","")</f>
        <v/>
      </c>
      <c r="K396" s="21" t="str">
        <f aca="false">IFERROR(INDEX(종합!K$3:K$501,MATCH(ROW()-2,종합!$AC$3:$AC$501,0))&amp;"","")</f>
        <v/>
      </c>
      <c r="L396" s="21" t="str">
        <f aca="false">IFERROR(INDEX(종합!L$3:L$501,MATCH(ROW()-2,종합!$AC$3:$AC$501,0))&amp;"","")</f>
        <v/>
      </c>
      <c r="M396" s="21" t="str">
        <f aca="false">IFERROR(INDEX(종합!M$3:M$501,MATCH(ROW()-2,종합!$AC$3:$AC$501,0))&amp;"","")</f>
        <v/>
      </c>
      <c r="N396" s="25" t="str">
        <f aca="false">IFERROR(INDEX(종합!N$3:N$501,MATCH(ROW()-2,종합!$AC$3:$AC$501,0))&amp;"","")</f>
        <v/>
      </c>
      <c r="O396" s="21" t="str">
        <f aca="false">IFERROR(INDEX(종합!O$3:O$501,MATCH(ROW()-2,종합!$AC$3:$AC$501,0))&amp;"","")</f>
        <v/>
      </c>
      <c r="P396" s="21" t="str">
        <f aca="false">IFERROR(INDEX(종합!P$3:P$501,MATCH(ROW()-2,종합!$AC$3:$AC$501,0))&amp;"","")</f>
        <v/>
      </c>
      <c r="Q396" s="21" t="str">
        <f aca="false">IFERROR(INDEX(종합!Q$3:Q$501,MATCH(ROW()-2,종합!$AC$3:$AC$501,0))&amp;"","")</f>
        <v/>
      </c>
      <c r="R396" s="21" t="str">
        <f aca="false">IFERROR(INDEX(종합!R$3:R$501,MATCH(ROW()-2,종합!$AC$3:$AC$501,0))&amp;"","")</f>
        <v/>
      </c>
      <c r="S396" s="21" t="str">
        <f aca="false">IFERROR(INDEX(종합!S$3:S$501,MATCH(ROW()-2,종합!$AC$3:$AC$501,0))&amp;"","")</f>
        <v/>
      </c>
      <c r="T396" s="21" t="str">
        <f aca="false">IFERROR(INDEX(종합!T$3:T$501,MATCH(ROW()-2,종합!$AC$3:$AC$501,0))&amp;"","")</f>
        <v/>
      </c>
      <c r="U396" s="21" t="str">
        <f aca="false">IFERROR(INDEX(종합!U$3:U$501,MATCH(ROW()-2,종합!$AC$3:$AC$501,0))&amp;"","")</f>
        <v/>
      </c>
      <c r="V396" s="21" t="str">
        <f aca="false">IFERROR(INDEX(종합!V$3:V$501,MATCH(ROW()-2,종합!$AC$3:$AC$501,0))&amp;"","")</f>
        <v/>
      </c>
      <c r="W396" s="21" t="str">
        <f aca="false">IFERROR(INDEX(종합!W$3:W$501,MATCH(ROW()-2,종합!$AC$3:$AC$501,0))&amp;"","")</f>
        <v/>
      </c>
      <c r="X396" s="21" t="str">
        <f aca="false">IFERROR(INDEX(종합!X$3:X$501,MATCH(ROW()-2,종합!$AC$3:$AC$501,0))&amp;"","")</f>
        <v/>
      </c>
      <c r="Y396" s="21" t="str">
        <f aca="false">IFERROR(INDEX(종합!Y$3:Y$501,MATCH(ROW()-2,종합!$AC$3:$AC$501,0))&amp;"","")</f>
        <v/>
      </c>
      <c r="Z396" s="21" t="str">
        <f aca="false">IFERROR(INDEX(종합!Z$3:Z$501,MATCH(ROW()-2,종합!$AC$3:$AC$501,0))&amp;"","")</f>
        <v/>
      </c>
    </row>
    <row r="397" customFormat="false" ht="16.5" hidden="false" customHeight="true" outlineLevel="0" collapsed="false">
      <c r="A397" s="18" t="str">
        <f aca="false">IF(B397="","",ROW()-2)</f>
        <v/>
      </c>
      <c r="B397" s="18" t="str">
        <f aca="false">IFERROR(INDEX(종합!B$3:B$501,MATCH(ROW()-2,종합!$AC$3:$AC$501,0))&amp;"","")</f>
        <v/>
      </c>
      <c r="C397" s="18" t="str">
        <f aca="false">IFERROR(INDEX(종합!C$3:C$501,MATCH(ROW()-2,종합!$AC$3:$AC$501,0))&amp;"","")</f>
        <v/>
      </c>
      <c r="D397" s="18" t="str">
        <f aca="false">IFERROR(INDEX(종합!D$3:D$501,MATCH(ROW()-2,종합!$AC$3:$AC$501,0))&amp;"","")</f>
        <v/>
      </c>
      <c r="E397" s="18" t="str">
        <f aca="false">IFERROR(INDEX(종합!E$3:E$501,MATCH(ROW()-2,종합!$AC$3:$AC$501,0))&amp;"","")</f>
        <v/>
      </c>
      <c r="F397" s="18" t="str">
        <f aca="false">IFERROR(INDEX(종합!F$3:F$501,MATCH(ROW()-2,종합!$AC$3:$AC$501,0))&amp;"","")</f>
        <v/>
      </c>
      <c r="G397" s="18" t="str">
        <f aca="false">IFERROR(INDEX(종합!G$3:G$501,MATCH(ROW()-2,종합!$AC$3:$AC$501,0))&amp;"","")</f>
        <v/>
      </c>
      <c r="H397" s="21" t="str">
        <f aca="false">IFERROR(INDEX(종합!H$3:H$501,MATCH(ROW()-2,종합!$AC$3:$AC$501,0))&amp;"","")</f>
        <v/>
      </c>
      <c r="I397" s="21" t="str">
        <f aca="false">IFERROR(INDEX(종합!I$3:I$501,MATCH(ROW()-2,종합!$AC$3:$AC$501,0))&amp;"","")</f>
        <v/>
      </c>
      <c r="J397" s="21" t="str">
        <f aca="false">IFERROR(INDEX(종합!J$3:J$501,MATCH(ROW()-2,종합!$AC$3:$AC$501,0))&amp;"","")</f>
        <v/>
      </c>
      <c r="K397" s="21" t="str">
        <f aca="false">IFERROR(INDEX(종합!K$3:K$501,MATCH(ROW()-2,종합!$AC$3:$AC$501,0))&amp;"","")</f>
        <v/>
      </c>
      <c r="L397" s="21" t="str">
        <f aca="false">IFERROR(INDEX(종합!L$3:L$501,MATCH(ROW()-2,종합!$AC$3:$AC$501,0))&amp;"","")</f>
        <v/>
      </c>
      <c r="M397" s="21" t="str">
        <f aca="false">IFERROR(INDEX(종합!M$3:M$501,MATCH(ROW()-2,종합!$AC$3:$AC$501,0))&amp;"","")</f>
        <v/>
      </c>
      <c r="N397" s="25" t="str">
        <f aca="false">IFERROR(INDEX(종합!N$3:N$501,MATCH(ROW()-2,종합!$AC$3:$AC$501,0))&amp;"","")</f>
        <v/>
      </c>
      <c r="O397" s="21" t="str">
        <f aca="false">IFERROR(INDEX(종합!O$3:O$501,MATCH(ROW()-2,종합!$AC$3:$AC$501,0))&amp;"","")</f>
        <v/>
      </c>
      <c r="P397" s="21" t="str">
        <f aca="false">IFERROR(INDEX(종합!P$3:P$501,MATCH(ROW()-2,종합!$AC$3:$AC$501,0))&amp;"","")</f>
        <v/>
      </c>
      <c r="Q397" s="21" t="str">
        <f aca="false">IFERROR(INDEX(종합!Q$3:Q$501,MATCH(ROW()-2,종합!$AC$3:$AC$501,0))&amp;"","")</f>
        <v/>
      </c>
      <c r="R397" s="21" t="str">
        <f aca="false">IFERROR(INDEX(종합!R$3:R$501,MATCH(ROW()-2,종합!$AC$3:$AC$501,0))&amp;"","")</f>
        <v/>
      </c>
      <c r="S397" s="21" t="str">
        <f aca="false">IFERROR(INDEX(종합!S$3:S$501,MATCH(ROW()-2,종합!$AC$3:$AC$501,0))&amp;"","")</f>
        <v/>
      </c>
      <c r="T397" s="21" t="str">
        <f aca="false">IFERROR(INDEX(종합!T$3:T$501,MATCH(ROW()-2,종합!$AC$3:$AC$501,0))&amp;"","")</f>
        <v/>
      </c>
      <c r="U397" s="21" t="str">
        <f aca="false">IFERROR(INDEX(종합!U$3:U$501,MATCH(ROW()-2,종합!$AC$3:$AC$501,0))&amp;"","")</f>
        <v/>
      </c>
      <c r="V397" s="21" t="str">
        <f aca="false">IFERROR(INDEX(종합!V$3:V$501,MATCH(ROW()-2,종합!$AC$3:$AC$501,0))&amp;"","")</f>
        <v/>
      </c>
      <c r="W397" s="21" t="str">
        <f aca="false">IFERROR(INDEX(종합!W$3:W$501,MATCH(ROW()-2,종합!$AC$3:$AC$501,0))&amp;"","")</f>
        <v/>
      </c>
      <c r="X397" s="21" t="str">
        <f aca="false">IFERROR(INDEX(종합!X$3:X$501,MATCH(ROW()-2,종합!$AC$3:$AC$501,0))&amp;"","")</f>
        <v/>
      </c>
      <c r="Y397" s="21" t="str">
        <f aca="false">IFERROR(INDEX(종합!Y$3:Y$501,MATCH(ROW()-2,종합!$AC$3:$AC$501,0))&amp;"","")</f>
        <v/>
      </c>
      <c r="Z397" s="21" t="str">
        <f aca="false">IFERROR(INDEX(종합!Z$3:Z$501,MATCH(ROW()-2,종합!$AC$3:$AC$501,0))&amp;"","")</f>
        <v/>
      </c>
    </row>
    <row r="398" customFormat="false" ht="16.5" hidden="false" customHeight="true" outlineLevel="0" collapsed="false">
      <c r="A398" s="18" t="str">
        <f aca="false">IF(B398="","",ROW()-2)</f>
        <v/>
      </c>
      <c r="B398" s="18" t="str">
        <f aca="false">IFERROR(INDEX(종합!B$3:B$501,MATCH(ROW()-2,종합!$AC$3:$AC$501,0))&amp;"","")</f>
        <v/>
      </c>
      <c r="C398" s="18" t="str">
        <f aca="false">IFERROR(INDEX(종합!C$3:C$501,MATCH(ROW()-2,종합!$AC$3:$AC$501,0))&amp;"","")</f>
        <v/>
      </c>
      <c r="D398" s="18" t="str">
        <f aca="false">IFERROR(INDEX(종합!D$3:D$501,MATCH(ROW()-2,종합!$AC$3:$AC$501,0))&amp;"","")</f>
        <v/>
      </c>
      <c r="E398" s="18" t="str">
        <f aca="false">IFERROR(INDEX(종합!E$3:E$501,MATCH(ROW()-2,종합!$AC$3:$AC$501,0))&amp;"","")</f>
        <v/>
      </c>
      <c r="F398" s="18" t="str">
        <f aca="false">IFERROR(INDEX(종합!F$3:F$501,MATCH(ROW()-2,종합!$AC$3:$AC$501,0))&amp;"","")</f>
        <v/>
      </c>
      <c r="G398" s="18" t="str">
        <f aca="false">IFERROR(INDEX(종합!G$3:G$501,MATCH(ROW()-2,종합!$AC$3:$AC$501,0))&amp;"","")</f>
        <v/>
      </c>
      <c r="H398" s="21" t="str">
        <f aca="false">IFERROR(INDEX(종합!H$3:H$501,MATCH(ROW()-2,종합!$AC$3:$AC$501,0))&amp;"","")</f>
        <v/>
      </c>
      <c r="I398" s="21" t="str">
        <f aca="false">IFERROR(INDEX(종합!I$3:I$501,MATCH(ROW()-2,종합!$AC$3:$AC$501,0))&amp;"","")</f>
        <v/>
      </c>
      <c r="J398" s="21" t="str">
        <f aca="false">IFERROR(INDEX(종합!J$3:J$501,MATCH(ROW()-2,종합!$AC$3:$AC$501,0))&amp;"","")</f>
        <v/>
      </c>
      <c r="K398" s="21" t="str">
        <f aca="false">IFERROR(INDEX(종합!K$3:K$501,MATCH(ROW()-2,종합!$AC$3:$AC$501,0))&amp;"","")</f>
        <v/>
      </c>
      <c r="L398" s="21" t="str">
        <f aca="false">IFERROR(INDEX(종합!L$3:L$501,MATCH(ROW()-2,종합!$AC$3:$AC$501,0))&amp;"","")</f>
        <v/>
      </c>
      <c r="M398" s="21" t="str">
        <f aca="false">IFERROR(INDEX(종합!M$3:M$501,MATCH(ROW()-2,종합!$AC$3:$AC$501,0))&amp;"","")</f>
        <v/>
      </c>
      <c r="N398" s="25" t="str">
        <f aca="false">IFERROR(INDEX(종합!N$3:N$501,MATCH(ROW()-2,종합!$AC$3:$AC$501,0))&amp;"","")</f>
        <v/>
      </c>
      <c r="O398" s="21" t="str">
        <f aca="false">IFERROR(INDEX(종합!O$3:O$501,MATCH(ROW()-2,종합!$AC$3:$AC$501,0))&amp;"","")</f>
        <v/>
      </c>
      <c r="P398" s="21" t="str">
        <f aca="false">IFERROR(INDEX(종합!P$3:P$501,MATCH(ROW()-2,종합!$AC$3:$AC$501,0))&amp;"","")</f>
        <v/>
      </c>
      <c r="Q398" s="21" t="str">
        <f aca="false">IFERROR(INDEX(종합!Q$3:Q$501,MATCH(ROW()-2,종합!$AC$3:$AC$501,0))&amp;"","")</f>
        <v/>
      </c>
      <c r="R398" s="21" t="str">
        <f aca="false">IFERROR(INDEX(종합!R$3:R$501,MATCH(ROW()-2,종합!$AC$3:$AC$501,0))&amp;"","")</f>
        <v/>
      </c>
      <c r="S398" s="21" t="str">
        <f aca="false">IFERROR(INDEX(종합!S$3:S$501,MATCH(ROW()-2,종합!$AC$3:$AC$501,0))&amp;"","")</f>
        <v/>
      </c>
      <c r="T398" s="21" t="str">
        <f aca="false">IFERROR(INDEX(종합!T$3:T$501,MATCH(ROW()-2,종합!$AC$3:$AC$501,0))&amp;"","")</f>
        <v/>
      </c>
      <c r="U398" s="21" t="str">
        <f aca="false">IFERROR(INDEX(종합!U$3:U$501,MATCH(ROW()-2,종합!$AC$3:$AC$501,0))&amp;"","")</f>
        <v/>
      </c>
      <c r="V398" s="21" t="str">
        <f aca="false">IFERROR(INDEX(종합!V$3:V$501,MATCH(ROW()-2,종합!$AC$3:$AC$501,0))&amp;"","")</f>
        <v/>
      </c>
      <c r="W398" s="21" t="str">
        <f aca="false">IFERROR(INDEX(종합!W$3:W$501,MATCH(ROW()-2,종합!$AC$3:$AC$501,0))&amp;"","")</f>
        <v/>
      </c>
      <c r="X398" s="21" t="str">
        <f aca="false">IFERROR(INDEX(종합!X$3:X$501,MATCH(ROW()-2,종합!$AC$3:$AC$501,0))&amp;"","")</f>
        <v/>
      </c>
      <c r="Y398" s="21" t="str">
        <f aca="false">IFERROR(INDEX(종합!Y$3:Y$501,MATCH(ROW()-2,종합!$AC$3:$AC$501,0))&amp;"","")</f>
        <v/>
      </c>
      <c r="Z398" s="21" t="str">
        <f aca="false">IFERROR(INDEX(종합!Z$3:Z$501,MATCH(ROW()-2,종합!$AC$3:$AC$501,0))&amp;"","")</f>
        <v/>
      </c>
    </row>
    <row r="399" customFormat="false" ht="16.5" hidden="false" customHeight="true" outlineLevel="0" collapsed="false">
      <c r="A399" s="18" t="str">
        <f aca="false">IF(B399="","",ROW()-2)</f>
        <v/>
      </c>
      <c r="B399" s="18" t="str">
        <f aca="false">IFERROR(INDEX(종합!B$3:B$501,MATCH(ROW()-2,종합!$AC$3:$AC$501,0))&amp;"","")</f>
        <v/>
      </c>
      <c r="C399" s="18" t="str">
        <f aca="false">IFERROR(INDEX(종합!C$3:C$501,MATCH(ROW()-2,종합!$AC$3:$AC$501,0))&amp;"","")</f>
        <v/>
      </c>
      <c r="D399" s="18" t="str">
        <f aca="false">IFERROR(INDEX(종합!D$3:D$501,MATCH(ROW()-2,종합!$AC$3:$AC$501,0))&amp;"","")</f>
        <v/>
      </c>
      <c r="E399" s="18" t="str">
        <f aca="false">IFERROR(INDEX(종합!E$3:E$501,MATCH(ROW()-2,종합!$AC$3:$AC$501,0))&amp;"","")</f>
        <v/>
      </c>
      <c r="F399" s="18" t="str">
        <f aca="false">IFERROR(INDEX(종합!F$3:F$501,MATCH(ROW()-2,종합!$AC$3:$AC$501,0))&amp;"","")</f>
        <v/>
      </c>
      <c r="G399" s="18" t="str">
        <f aca="false">IFERROR(INDEX(종합!G$3:G$501,MATCH(ROW()-2,종합!$AC$3:$AC$501,0))&amp;"","")</f>
        <v/>
      </c>
      <c r="H399" s="21" t="str">
        <f aca="false">IFERROR(INDEX(종합!H$3:H$501,MATCH(ROW()-2,종합!$AC$3:$AC$501,0))&amp;"","")</f>
        <v/>
      </c>
      <c r="I399" s="21" t="str">
        <f aca="false">IFERROR(INDEX(종합!I$3:I$501,MATCH(ROW()-2,종합!$AC$3:$AC$501,0))&amp;"","")</f>
        <v/>
      </c>
      <c r="J399" s="21" t="str">
        <f aca="false">IFERROR(INDEX(종합!J$3:J$501,MATCH(ROW()-2,종합!$AC$3:$AC$501,0))&amp;"","")</f>
        <v/>
      </c>
      <c r="K399" s="21" t="str">
        <f aca="false">IFERROR(INDEX(종합!K$3:K$501,MATCH(ROW()-2,종합!$AC$3:$AC$501,0))&amp;"","")</f>
        <v/>
      </c>
      <c r="L399" s="21" t="str">
        <f aca="false">IFERROR(INDEX(종합!L$3:L$501,MATCH(ROW()-2,종합!$AC$3:$AC$501,0))&amp;"","")</f>
        <v/>
      </c>
      <c r="M399" s="21" t="str">
        <f aca="false">IFERROR(INDEX(종합!M$3:M$501,MATCH(ROW()-2,종합!$AC$3:$AC$501,0))&amp;"","")</f>
        <v/>
      </c>
      <c r="N399" s="25" t="str">
        <f aca="false">IFERROR(INDEX(종합!N$3:N$501,MATCH(ROW()-2,종합!$AC$3:$AC$501,0))&amp;"","")</f>
        <v/>
      </c>
      <c r="O399" s="21" t="str">
        <f aca="false">IFERROR(INDEX(종합!O$3:O$501,MATCH(ROW()-2,종합!$AC$3:$AC$501,0))&amp;"","")</f>
        <v/>
      </c>
      <c r="P399" s="21" t="str">
        <f aca="false">IFERROR(INDEX(종합!P$3:P$501,MATCH(ROW()-2,종합!$AC$3:$AC$501,0))&amp;"","")</f>
        <v/>
      </c>
      <c r="Q399" s="21" t="str">
        <f aca="false">IFERROR(INDEX(종합!Q$3:Q$501,MATCH(ROW()-2,종합!$AC$3:$AC$501,0))&amp;"","")</f>
        <v/>
      </c>
      <c r="R399" s="21" t="str">
        <f aca="false">IFERROR(INDEX(종합!R$3:R$501,MATCH(ROW()-2,종합!$AC$3:$AC$501,0))&amp;"","")</f>
        <v/>
      </c>
      <c r="S399" s="21" t="str">
        <f aca="false">IFERROR(INDEX(종합!S$3:S$501,MATCH(ROW()-2,종합!$AC$3:$AC$501,0))&amp;"","")</f>
        <v/>
      </c>
      <c r="T399" s="21" t="str">
        <f aca="false">IFERROR(INDEX(종합!T$3:T$501,MATCH(ROW()-2,종합!$AC$3:$AC$501,0))&amp;"","")</f>
        <v/>
      </c>
      <c r="U399" s="21" t="str">
        <f aca="false">IFERROR(INDEX(종합!U$3:U$501,MATCH(ROW()-2,종합!$AC$3:$AC$501,0))&amp;"","")</f>
        <v/>
      </c>
      <c r="V399" s="21" t="str">
        <f aca="false">IFERROR(INDEX(종합!V$3:V$501,MATCH(ROW()-2,종합!$AC$3:$AC$501,0))&amp;"","")</f>
        <v/>
      </c>
      <c r="W399" s="21" t="str">
        <f aca="false">IFERROR(INDEX(종합!W$3:W$501,MATCH(ROW()-2,종합!$AC$3:$AC$501,0))&amp;"","")</f>
        <v/>
      </c>
      <c r="X399" s="21" t="str">
        <f aca="false">IFERROR(INDEX(종합!X$3:X$501,MATCH(ROW()-2,종합!$AC$3:$AC$501,0))&amp;"","")</f>
        <v/>
      </c>
      <c r="Y399" s="21" t="str">
        <f aca="false">IFERROR(INDEX(종합!Y$3:Y$501,MATCH(ROW()-2,종합!$AC$3:$AC$501,0))&amp;"","")</f>
        <v/>
      </c>
      <c r="Z399" s="21" t="str">
        <f aca="false">IFERROR(INDEX(종합!Z$3:Z$501,MATCH(ROW()-2,종합!$AC$3:$AC$501,0))&amp;"","")</f>
        <v/>
      </c>
    </row>
    <row r="400" customFormat="false" ht="16.5" hidden="false" customHeight="true" outlineLevel="0" collapsed="false">
      <c r="A400" s="18" t="str">
        <f aca="false">IF(B400="","",ROW()-2)</f>
        <v/>
      </c>
      <c r="B400" s="18" t="str">
        <f aca="false">IFERROR(INDEX(종합!B$3:B$501,MATCH(ROW()-2,종합!$AC$3:$AC$501,0))&amp;"","")</f>
        <v/>
      </c>
      <c r="C400" s="18" t="str">
        <f aca="false">IFERROR(INDEX(종합!C$3:C$501,MATCH(ROW()-2,종합!$AC$3:$AC$501,0))&amp;"","")</f>
        <v/>
      </c>
      <c r="D400" s="18" t="str">
        <f aca="false">IFERROR(INDEX(종합!D$3:D$501,MATCH(ROW()-2,종합!$AC$3:$AC$501,0))&amp;"","")</f>
        <v/>
      </c>
      <c r="E400" s="18" t="str">
        <f aca="false">IFERROR(INDEX(종합!E$3:E$501,MATCH(ROW()-2,종합!$AC$3:$AC$501,0))&amp;"","")</f>
        <v/>
      </c>
      <c r="F400" s="18" t="str">
        <f aca="false">IFERROR(INDEX(종합!F$3:F$501,MATCH(ROW()-2,종합!$AC$3:$AC$501,0))&amp;"","")</f>
        <v/>
      </c>
      <c r="G400" s="18" t="str">
        <f aca="false">IFERROR(INDEX(종합!G$3:G$501,MATCH(ROW()-2,종합!$AC$3:$AC$501,0))&amp;"","")</f>
        <v/>
      </c>
      <c r="H400" s="21" t="str">
        <f aca="false">IFERROR(INDEX(종합!H$3:H$501,MATCH(ROW()-2,종합!$AC$3:$AC$501,0))&amp;"","")</f>
        <v/>
      </c>
      <c r="I400" s="21" t="str">
        <f aca="false">IFERROR(INDEX(종합!I$3:I$501,MATCH(ROW()-2,종합!$AC$3:$AC$501,0))&amp;"","")</f>
        <v/>
      </c>
      <c r="J400" s="21" t="str">
        <f aca="false">IFERROR(INDEX(종합!J$3:J$501,MATCH(ROW()-2,종합!$AC$3:$AC$501,0))&amp;"","")</f>
        <v/>
      </c>
      <c r="K400" s="21" t="str">
        <f aca="false">IFERROR(INDEX(종합!K$3:K$501,MATCH(ROW()-2,종합!$AC$3:$AC$501,0))&amp;"","")</f>
        <v/>
      </c>
      <c r="L400" s="21" t="str">
        <f aca="false">IFERROR(INDEX(종합!L$3:L$501,MATCH(ROW()-2,종합!$AC$3:$AC$501,0))&amp;"","")</f>
        <v/>
      </c>
      <c r="M400" s="21" t="str">
        <f aca="false">IFERROR(INDEX(종합!M$3:M$501,MATCH(ROW()-2,종합!$AC$3:$AC$501,0))&amp;"","")</f>
        <v/>
      </c>
      <c r="N400" s="25" t="str">
        <f aca="false">IFERROR(INDEX(종합!N$3:N$501,MATCH(ROW()-2,종합!$AC$3:$AC$501,0))&amp;"","")</f>
        <v/>
      </c>
      <c r="O400" s="21" t="str">
        <f aca="false">IFERROR(INDEX(종합!O$3:O$501,MATCH(ROW()-2,종합!$AC$3:$AC$501,0))&amp;"","")</f>
        <v/>
      </c>
      <c r="P400" s="21" t="str">
        <f aca="false">IFERROR(INDEX(종합!P$3:P$501,MATCH(ROW()-2,종합!$AC$3:$AC$501,0))&amp;"","")</f>
        <v/>
      </c>
      <c r="Q400" s="21" t="str">
        <f aca="false">IFERROR(INDEX(종합!Q$3:Q$501,MATCH(ROW()-2,종합!$AC$3:$AC$501,0))&amp;"","")</f>
        <v/>
      </c>
      <c r="R400" s="21" t="str">
        <f aca="false">IFERROR(INDEX(종합!R$3:R$501,MATCH(ROW()-2,종합!$AC$3:$AC$501,0))&amp;"","")</f>
        <v/>
      </c>
      <c r="S400" s="21" t="str">
        <f aca="false">IFERROR(INDEX(종합!S$3:S$501,MATCH(ROW()-2,종합!$AC$3:$AC$501,0))&amp;"","")</f>
        <v/>
      </c>
      <c r="T400" s="21" t="str">
        <f aca="false">IFERROR(INDEX(종합!T$3:T$501,MATCH(ROW()-2,종합!$AC$3:$AC$501,0))&amp;"","")</f>
        <v/>
      </c>
      <c r="U400" s="21" t="str">
        <f aca="false">IFERROR(INDEX(종합!U$3:U$501,MATCH(ROW()-2,종합!$AC$3:$AC$501,0))&amp;"","")</f>
        <v/>
      </c>
      <c r="V400" s="21" t="str">
        <f aca="false">IFERROR(INDEX(종합!V$3:V$501,MATCH(ROW()-2,종합!$AC$3:$AC$501,0))&amp;"","")</f>
        <v/>
      </c>
      <c r="W400" s="21" t="str">
        <f aca="false">IFERROR(INDEX(종합!W$3:W$501,MATCH(ROW()-2,종합!$AC$3:$AC$501,0))&amp;"","")</f>
        <v/>
      </c>
      <c r="X400" s="21" t="str">
        <f aca="false">IFERROR(INDEX(종합!X$3:X$501,MATCH(ROW()-2,종합!$AC$3:$AC$501,0))&amp;"","")</f>
        <v/>
      </c>
      <c r="Y400" s="21" t="str">
        <f aca="false">IFERROR(INDEX(종합!Y$3:Y$501,MATCH(ROW()-2,종합!$AC$3:$AC$501,0))&amp;"","")</f>
        <v/>
      </c>
      <c r="Z400" s="21" t="str">
        <f aca="false">IFERROR(INDEX(종합!Z$3:Z$501,MATCH(ROW()-2,종합!$AC$3:$AC$501,0))&amp;"","")</f>
        <v/>
      </c>
    </row>
    <row r="401" customFormat="false" ht="16.5" hidden="false" customHeight="true" outlineLevel="0" collapsed="false">
      <c r="A401" s="18" t="str">
        <f aca="false">IF(B401="","",ROW()-2)</f>
        <v/>
      </c>
      <c r="B401" s="18" t="str">
        <f aca="false">IFERROR(INDEX(종합!B$3:B$501,MATCH(ROW()-2,종합!$AC$3:$AC$501,0))&amp;"","")</f>
        <v/>
      </c>
      <c r="C401" s="18" t="str">
        <f aca="false">IFERROR(INDEX(종합!C$3:C$501,MATCH(ROW()-2,종합!$AC$3:$AC$501,0))&amp;"","")</f>
        <v/>
      </c>
      <c r="D401" s="18" t="str">
        <f aca="false">IFERROR(INDEX(종합!D$3:D$501,MATCH(ROW()-2,종합!$AC$3:$AC$501,0))&amp;"","")</f>
        <v/>
      </c>
      <c r="E401" s="18" t="str">
        <f aca="false">IFERROR(INDEX(종합!E$3:E$501,MATCH(ROW()-2,종합!$AC$3:$AC$501,0))&amp;"","")</f>
        <v/>
      </c>
      <c r="F401" s="18" t="str">
        <f aca="false">IFERROR(INDEX(종합!F$3:F$501,MATCH(ROW()-2,종합!$AC$3:$AC$501,0))&amp;"","")</f>
        <v/>
      </c>
      <c r="G401" s="18" t="str">
        <f aca="false">IFERROR(INDEX(종합!G$3:G$501,MATCH(ROW()-2,종합!$AC$3:$AC$501,0))&amp;"","")</f>
        <v/>
      </c>
      <c r="H401" s="21" t="str">
        <f aca="false">IFERROR(INDEX(종합!H$3:H$501,MATCH(ROW()-2,종합!$AC$3:$AC$501,0))&amp;"","")</f>
        <v/>
      </c>
      <c r="I401" s="21" t="str">
        <f aca="false">IFERROR(INDEX(종합!I$3:I$501,MATCH(ROW()-2,종합!$AC$3:$AC$501,0))&amp;"","")</f>
        <v/>
      </c>
      <c r="J401" s="21" t="str">
        <f aca="false">IFERROR(INDEX(종합!J$3:J$501,MATCH(ROW()-2,종합!$AC$3:$AC$501,0))&amp;"","")</f>
        <v/>
      </c>
      <c r="K401" s="21" t="str">
        <f aca="false">IFERROR(INDEX(종합!K$3:K$501,MATCH(ROW()-2,종합!$AC$3:$AC$501,0))&amp;"","")</f>
        <v/>
      </c>
      <c r="L401" s="21" t="str">
        <f aca="false">IFERROR(INDEX(종합!L$3:L$501,MATCH(ROW()-2,종합!$AC$3:$AC$501,0))&amp;"","")</f>
        <v/>
      </c>
      <c r="M401" s="21" t="str">
        <f aca="false">IFERROR(INDEX(종합!M$3:M$501,MATCH(ROW()-2,종합!$AC$3:$AC$501,0))&amp;"","")</f>
        <v/>
      </c>
      <c r="N401" s="25" t="str">
        <f aca="false">IFERROR(INDEX(종합!N$3:N$501,MATCH(ROW()-2,종합!$AC$3:$AC$501,0))&amp;"","")</f>
        <v/>
      </c>
      <c r="O401" s="21" t="str">
        <f aca="false">IFERROR(INDEX(종합!O$3:O$501,MATCH(ROW()-2,종합!$AC$3:$AC$501,0))&amp;"","")</f>
        <v/>
      </c>
      <c r="P401" s="21" t="str">
        <f aca="false">IFERROR(INDEX(종합!P$3:P$501,MATCH(ROW()-2,종합!$AC$3:$AC$501,0))&amp;"","")</f>
        <v/>
      </c>
      <c r="Q401" s="21" t="str">
        <f aca="false">IFERROR(INDEX(종합!Q$3:Q$501,MATCH(ROW()-2,종합!$AC$3:$AC$501,0))&amp;"","")</f>
        <v/>
      </c>
      <c r="R401" s="21" t="str">
        <f aca="false">IFERROR(INDEX(종합!R$3:R$501,MATCH(ROW()-2,종합!$AC$3:$AC$501,0))&amp;"","")</f>
        <v/>
      </c>
      <c r="S401" s="21" t="str">
        <f aca="false">IFERROR(INDEX(종합!S$3:S$501,MATCH(ROW()-2,종합!$AC$3:$AC$501,0))&amp;"","")</f>
        <v/>
      </c>
      <c r="T401" s="21" t="str">
        <f aca="false">IFERROR(INDEX(종합!T$3:T$501,MATCH(ROW()-2,종합!$AC$3:$AC$501,0))&amp;"","")</f>
        <v/>
      </c>
      <c r="U401" s="21" t="str">
        <f aca="false">IFERROR(INDEX(종합!U$3:U$501,MATCH(ROW()-2,종합!$AC$3:$AC$501,0))&amp;"","")</f>
        <v/>
      </c>
      <c r="V401" s="21" t="str">
        <f aca="false">IFERROR(INDEX(종합!V$3:V$501,MATCH(ROW()-2,종합!$AC$3:$AC$501,0))&amp;"","")</f>
        <v/>
      </c>
      <c r="W401" s="21" t="str">
        <f aca="false">IFERROR(INDEX(종합!W$3:W$501,MATCH(ROW()-2,종합!$AC$3:$AC$501,0))&amp;"","")</f>
        <v/>
      </c>
      <c r="X401" s="21" t="str">
        <f aca="false">IFERROR(INDEX(종합!X$3:X$501,MATCH(ROW()-2,종합!$AC$3:$AC$501,0))&amp;"","")</f>
        <v/>
      </c>
      <c r="Y401" s="21" t="str">
        <f aca="false">IFERROR(INDEX(종합!Y$3:Y$501,MATCH(ROW()-2,종합!$AC$3:$AC$501,0))&amp;"","")</f>
        <v/>
      </c>
      <c r="Z401" s="21" t="str">
        <f aca="false">IFERROR(INDEX(종합!Z$3:Z$501,MATCH(ROW()-2,종합!$AC$3:$AC$501,0))&amp;"","")</f>
        <v/>
      </c>
    </row>
    <row r="402" customFormat="false" ht="16.5" hidden="false" customHeight="true" outlineLevel="0" collapsed="false">
      <c r="A402" s="18" t="str">
        <f aca="false">IF(B402="","",ROW()-2)</f>
        <v/>
      </c>
      <c r="B402" s="18" t="str">
        <f aca="false">IFERROR(INDEX(종합!B$3:B$501,MATCH(ROW()-2,종합!$AC$3:$AC$501,0))&amp;"","")</f>
        <v/>
      </c>
      <c r="C402" s="18" t="str">
        <f aca="false">IFERROR(INDEX(종합!C$3:C$501,MATCH(ROW()-2,종합!$AC$3:$AC$501,0))&amp;"","")</f>
        <v/>
      </c>
      <c r="D402" s="18" t="str">
        <f aca="false">IFERROR(INDEX(종합!D$3:D$501,MATCH(ROW()-2,종합!$AC$3:$AC$501,0))&amp;"","")</f>
        <v/>
      </c>
      <c r="E402" s="18" t="str">
        <f aca="false">IFERROR(INDEX(종합!E$3:E$501,MATCH(ROW()-2,종합!$AC$3:$AC$501,0))&amp;"","")</f>
        <v/>
      </c>
      <c r="F402" s="18" t="str">
        <f aca="false">IFERROR(INDEX(종합!F$3:F$501,MATCH(ROW()-2,종합!$AC$3:$AC$501,0))&amp;"","")</f>
        <v/>
      </c>
      <c r="G402" s="18" t="str">
        <f aca="false">IFERROR(INDEX(종합!G$3:G$501,MATCH(ROW()-2,종합!$AC$3:$AC$501,0))&amp;"","")</f>
        <v/>
      </c>
      <c r="H402" s="21" t="str">
        <f aca="false">IFERROR(INDEX(종합!H$3:H$501,MATCH(ROW()-2,종합!$AC$3:$AC$501,0))&amp;"","")</f>
        <v/>
      </c>
      <c r="I402" s="21" t="str">
        <f aca="false">IFERROR(INDEX(종합!I$3:I$501,MATCH(ROW()-2,종합!$AC$3:$AC$501,0))&amp;"","")</f>
        <v/>
      </c>
      <c r="J402" s="21" t="str">
        <f aca="false">IFERROR(INDEX(종합!J$3:J$501,MATCH(ROW()-2,종합!$AC$3:$AC$501,0))&amp;"","")</f>
        <v/>
      </c>
      <c r="K402" s="21" t="str">
        <f aca="false">IFERROR(INDEX(종합!K$3:K$501,MATCH(ROW()-2,종합!$AC$3:$AC$501,0))&amp;"","")</f>
        <v/>
      </c>
      <c r="L402" s="21" t="str">
        <f aca="false">IFERROR(INDEX(종합!L$3:L$501,MATCH(ROW()-2,종합!$AC$3:$AC$501,0))&amp;"","")</f>
        <v/>
      </c>
      <c r="M402" s="21" t="str">
        <f aca="false">IFERROR(INDEX(종합!M$3:M$501,MATCH(ROW()-2,종합!$AC$3:$AC$501,0))&amp;"","")</f>
        <v/>
      </c>
      <c r="N402" s="25" t="str">
        <f aca="false">IFERROR(INDEX(종합!N$3:N$501,MATCH(ROW()-2,종합!$AC$3:$AC$501,0))&amp;"","")</f>
        <v/>
      </c>
      <c r="O402" s="21" t="str">
        <f aca="false">IFERROR(INDEX(종합!O$3:O$501,MATCH(ROW()-2,종합!$AC$3:$AC$501,0))&amp;"","")</f>
        <v/>
      </c>
      <c r="P402" s="21" t="str">
        <f aca="false">IFERROR(INDEX(종합!P$3:P$501,MATCH(ROW()-2,종합!$AC$3:$AC$501,0))&amp;"","")</f>
        <v/>
      </c>
      <c r="Q402" s="21" t="str">
        <f aca="false">IFERROR(INDEX(종합!Q$3:Q$501,MATCH(ROW()-2,종합!$AC$3:$AC$501,0))&amp;"","")</f>
        <v/>
      </c>
      <c r="R402" s="21" t="str">
        <f aca="false">IFERROR(INDEX(종합!R$3:R$501,MATCH(ROW()-2,종합!$AC$3:$AC$501,0))&amp;"","")</f>
        <v/>
      </c>
      <c r="S402" s="21" t="str">
        <f aca="false">IFERROR(INDEX(종합!S$3:S$501,MATCH(ROW()-2,종합!$AC$3:$AC$501,0))&amp;"","")</f>
        <v/>
      </c>
      <c r="T402" s="21" t="str">
        <f aca="false">IFERROR(INDEX(종합!T$3:T$501,MATCH(ROW()-2,종합!$AC$3:$AC$501,0))&amp;"","")</f>
        <v/>
      </c>
      <c r="U402" s="21" t="str">
        <f aca="false">IFERROR(INDEX(종합!U$3:U$501,MATCH(ROW()-2,종합!$AC$3:$AC$501,0))&amp;"","")</f>
        <v/>
      </c>
      <c r="V402" s="21" t="str">
        <f aca="false">IFERROR(INDEX(종합!V$3:V$501,MATCH(ROW()-2,종합!$AC$3:$AC$501,0))&amp;"","")</f>
        <v/>
      </c>
      <c r="W402" s="21" t="str">
        <f aca="false">IFERROR(INDEX(종합!W$3:W$501,MATCH(ROW()-2,종합!$AC$3:$AC$501,0))&amp;"","")</f>
        <v/>
      </c>
      <c r="X402" s="21" t="str">
        <f aca="false">IFERROR(INDEX(종합!X$3:X$501,MATCH(ROW()-2,종합!$AC$3:$AC$501,0))&amp;"","")</f>
        <v/>
      </c>
      <c r="Y402" s="21" t="str">
        <f aca="false">IFERROR(INDEX(종합!Y$3:Y$501,MATCH(ROW()-2,종합!$AC$3:$AC$501,0))&amp;"","")</f>
        <v/>
      </c>
      <c r="Z402" s="21" t="str">
        <f aca="false">IFERROR(INDEX(종합!Z$3:Z$501,MATCH(ROW()-2,종합!$AC$3:$AC$501,0))&amp;"","")</f>
        <v/>
      </c>
    </row>
    <row r="403" customFormat="false" ht="16.5" hidden="false" customHeight="true" outlineLevel="0" collapsed="false">
      <c r="A403" s="18" t="str">
        <f aca="false">IF(B403="","",ROW()-2)</f>
        <v/>
      </c>
      <c r="B403" s="18" t="str">
        <f aca="false">IFERROR(INDEX(종합!B$3:B$501,MATCH(ROW()-2,종합!$AC$3:$AC$501,0))&amp;"","")</f>
        <v/>
      </c>
      <c r="C403" s="18" t="str">
        <f aca="false">IFERROR(INDEX(종합!C$3:C$501,MATCH(ROW()-2,종합!$AC$3:$AC$501,0))&amp;"","")</f>
        <v/>
      </c>
      <c r="D403" s="18" t="str">
        <f aca="false">IFERROR(INDEX(종합!D$3:D$501,MATCH(ROW()-2,종합!$AC$3:$AC$501,0))&amp;"","")</f>
        <v/>
      </c>
      <c r="E403" s="18" t="str">
        <f aca="false">IFERROR(INDEX(종합!E$3:E$501,MATCH(ROW()-2,종합!$AC$3:$AC$501,0))&amp;"","")</f>
        <v/>
      </c>
      <c r="F403" s="18" t="str">
        <f aca="false">IFERROR(INDEX(종합!F$3:F$501,MATCH(ROW()-2,종합!$AC$3:$AC$501,0))&amp;"","")</f>
        <v/>
      </c>
      <c r="G403" s="18" t="str">
        <f aca="false">IFERROR(INDEX(종합!G$3:G$501,MATCH(ROW()-2,종합!$AC$3:$AC$501,0))&amp;"","")</f>
        <v/>
      </c>
      <c r="H403" s="21" t="str">
        <f aca="false">IFERROR(INDEX(종합!H$3:H$501,MATCH(ROW()-2,종합!$AC$3:$AC$501,0))&amp;"","")</f>
        <v/>
      </c>
      <c r="I403" s="21" t="str">
        <f aca="false">IFERROR(INDEX(종합!I$3:I$501,MATCH(ROW()-2,종합!$AC$3:$AC$501,0))&amp;"","")</f>
        <v/>
      </c>
      <c r="J403" s="21" t="str">
        <f aca="false">IFERROR(INDEX(종합!J$3:J$501,MATCH(ROW()-2,종합!$AC$3:$AC$501,0))&amp;"","")</f>
        <v/>
      </c>
      <c r="K403" s="21" t="str">
        <f aca="false">IFERROR(INDEX(종합!K$3:K$501,MATCH(ROW()-2,종합!$AC$3:$AC$501,0))&amp;"","")</f>
        <v/>
      </c>
      <c r="L403" s="21" t="str">
        <f aca="false">IFERROR(INDEX(종합!L$3:L$501,MATCH(ROW()-2,종합!$AC$3:$AC$501,0))&amp;"","")</f>
        <v/>
      </c>
      <c r="M403" s="21" t="str">
        <f aca="false">IFERROR(INDEX(종합!M$3:M$501,MATCH(ROW()-2,종합!$AC$3:$AC$501,0))&amp;"","")</f>
        <v/>
      </c>
      <c r="N403" s="25" t="str">
        <f aca="false">IFERROR(INDEX(종합!N$3:N$501,MATCH(ROW()-2,종합!$AC$3:$AC$501,0))&amp;"","")</f>
        <v/>
      </c>
      <c r="O403" s="21" t="str">
        <f aca="false">IFERROR(INDEX(종합!O$3:O$501,MATCH(ROW()-2,종합!$AC$3:$AC$501,0))&amp;"","")</f>
        <v/>
      </c>
      <c r="P403" s="21" t="str">
        <f aca="false">IFERROR(INDEX(종합!P$3:P$501,MATCH(ROW()-2,종합!$AC$3:$AC$501,0))&amp;"","")</f>
        <v/>
      </c>
      <c r="Q403" s="21" t="str">
        <f aca="false">IFERROR(INDEX(종합!Q$3:Q$501,MATCH(ROW()-2,종합!$AC$3:$AC$501,0))&amp;"","")</f>
        <v/>
      </c>
      <c r="R403" s="21" t="str">
        <f aca="false">IFERROR(INDEX(종합!R$3:R$501,MATCH(ROW()-2,종합!$AC$3:$AC$501,0))&amp;"","")</f>
        <v/>
      </c>
      <c r="S403" s="21" t="str">
        <f aca="false">IFERROR(INDEX(종합!S$3:S$501,MATCH(ROW()-2,종합!$AC$3:$AC$501,0))&amp;"","")</f>
        <v/>
      </c>
      <c r="T403" s="21" t="str">
        <f aca="false">IFERROR(INDEX(종합!T$3:T$501,MATCH(ROW()-2,종합!$AC$3:$AC$501,0))&amp;"","")</f>
        <v/>
      </c>
      <c r="U403" s="21" t="str">
        <f aca="false">IFERROR(INDEX(종합!U$3:U$501,MATCH(ROW()-2,종합!$AC$3:$AC$501,0))&amp;"","")</f>
        <v/>
      </c>
      <c r="V403" s="21" t="str">
        <f aca="false">IFERROR(INDEX(종합!V$3:V$501,MATCH(ROW()-2,종합!$AC$3:$AC$501,0))&amp;"","")</f>
        <v/>
      </c>
      <c r="W403" s="21" t="str">
        <f aca="false">IFERROR(INDEX(종합!W$3:W$501,MATCH(ROW()-2,종합!$AC$3:$AC$501,0))&amp;"","")</f>
        <v/>
      </c>
      <c r="X403" s="21" t="str">
        <f aca="false">IFERROR(INDEX(종합!X$3:X$501,MATCH(ROW()-2,종합!$AC$3:$AC$501,0))&amp;"","")</f>
        <v/>
      </c>
      <c r="Y403" s="21" t="str">
        <f aca="false">IFERROR(INDEX(종합!Y$3:Y$501,MATCH(ROW()-2,종합!$AC$3:$AC$501,0))&amp;"","")</f>
        <v/>
      </c>
      <c r="Z403" s="21" t="str">
        <f aca="false">IFERROR(INDEX(종합!Z$3:Z$501,MATCH(ROW()-2,종합!$AC$3:$AC$501,0))&amp;"","")</f>
        <v/>
      </c>
    </row>
    <row r="404" customFormat="false" ht="16.5" hidden="false" customHeight="true" outlineLevel="0" collapsed="false">
      <c r="A404" s="18" t="str">
        <f aca="false">IF(B404="","",ROW()-2)</f>
        <v/>
      </c>
      <c r="B404" s="18" t="str">
        <f aca="false">IFERROR(INDEX(종합!B$3:B$501,MATCH(ROW()-2,종합!$AC$3:$AC$501,0))&amp;"","")</f>
        <v/>
      </c>
      <c r="C404" s="18" t="str">
        <f aca="false">IFERROR(INDEX(종합!C$3:C$501,MATCH(ROW()-2,종합!$AC$3:$AC$501,0))&amp;"","")</f>
        <v/>
      </c>
      <c r="D404" s="18" t="str">
        <f aca="false">IFERROR(INDEX(종합!D$3:D$501,MATCH(ROW()-2,종합!$AC$3:$AC$501,0))&amp;"","")</f>
        <v/>
      </c>
      <c r="E404" s="18" t="str">
        <f aca="false">IFERROR(INDEX(종합!E$3:E$501,MATCH(ROW()-2,종합!$AC$3:$AC$501,0))&amp;"","")</f>
        <v/>
      </c>
      <c r="F404" s="18" t="str">
        <f aca="false">IFERROR(INDEX(종합!F$3:F$501,MATCH(ROW()-2,종합!$AC$3:$AC$501,0))&amp;"","")</f>
        <v/>
      </c>
      <c r="G404" s="18" t="str">
        <f aca="false">IFERROR(INDEX(종합!G$3:G$501,MATCH(ROW()-2,종합!$AC$3:$AC$501,0))&amp;"","")</f>
        <v/>
      </c>
      <c r="H404" s="21" t="str">
        <f aca="false">IFERROR(INDEX(종합!H$3:H$501,MATCH(ROW()-2,종합!$AC$3:$AC$501,0))&amp;"","")</f>
        <v/>
      </c>
      <c r="I404" s="21" t="str">
        <f aca="false">IFERROR(INDEX(종합!I$3:I$501,MATCH(ROW()-2,종합!$AC$3:$AC$501,0))&amp;"","")</f>
        <v/>
      </c>
      <c r="J404" s="21" t="str">
        <f aca="false">IFERROR(INDEX(종합!J$3:J$501,MATCH(ROW()-2,종합!$AC$3:$AC$501,0))&amp;"","")</f>
        <v/>
      </c>
      <c r="K404" s="21" t="str">
        <f aca="false">IFERROR(INDEX(종합!K$3:K$501,MATCH(ROW()-2,종합!$AC$3:$AC$501,0))&amp;"","")</f>
        <v/>
      </c>
      <c r="L404" s="21" t="str">
        <f aca="false">IFERROR(INDEX(종합!L$3:L$501,MATCH(ROW()-2,종합!$AC$3:$AC$501,0))&amp;"","")</f>
        <v/>
      </c>
      <c r="M404" s="21" t="str">
        <f aca="false">IFERROR(INDEX(종합!M$3:M$501,MATCH(ROW()-2,종합!$AC$3:$AC$501,0))&amp;"","")</f>
        <v/>
      </c>
      <c r="N404" s="25" t="str">
        <f aca="false">IFERROR(INDEX(종합!N$3:N$501,MATCH(ROW()-2,종합!$AC$3:$AC$501,0))&amp;"","")</f>
        <v/>
      </c>
      <c r="O404" s="21" t="str">
        <f aca="false">IFERROR(INDEX(종합!O$3:O$501,MATCH(ROW()-2,종합!$AC$3:$AC$501,0))&amp;"","")</f>
        <v/>
      </c>
      <c r="P404" s="21" t="str">
        <f aca="false">IFERROR(INDEX(종합!P$3:P$501,MATCH(ROW()-2,종합!$AC$3:$AC$501,0))&amp;"","")</f>
        <v/>
      </c>
      <c r="Q404" s="21" t="str">
        <f aca="false">IFERROR(INDEX(종합!Q$3:Q$501,MATCH(ROW()-2,종합!$AC$3:$AC$501,0))&amp;"","")</f>
        <v/>
      </c>
      <c r="R404" s="21" t="str">
        <f aca="false">IFERROR(INDEX(종합!R$3:R$501,MATCH(ROW()-2,종합!$AC$3:$AC$501,0))&amp;"","")</f>
        <v/>
      </c>
      <c r="S404" s="21" t="str">
        <f aca="false">IFERROR(INDEX(종합!S$3:S$501,MATCH(ROW()-2,종합!$AC$3:$AC$501,0))&amp;"","")</f>
        <v/>
      </c>
      <c r="T404" s="21" t="str">
        <f aca="false">IFERROR(INDEX(종합!T$3:T$501,MATCH(ROW()-2,종합!$AC$3:$AC$501,0))&amp;"","")</f>
        <v/>
      </c>
      <c r="U404" s="21" t="str">
        <f aca="false">IFERROR(INDEX(종합!U$3:U$501,MATCH(ROW()-2,종합!$AC$3:$AC$501,0))&amp;"","")</f>
        <v/>
      </c>
      <c r="V404" s="21" t="str">
        <f aca="false">IFERROR(INDEX(종합!V$3:V$501,MATCH(ROW()-2,종합!$AC$3:$AC$501,0))&amp;"","")</f>
        <v/>
      </c>
      <c r="W404" s="21" t="str">
        <f aca="false">IFERROR(INDEX(종합!W$3:W$501,MATCH(ROW()-2,종합!$AC$3:$AC$501,0))&amp;"","")</f>
        <v/>
      </c>
      <c r="X404" s="21" t="str">
        <f aca="false">IFERROR(INDEX(종합!X$3:X$501,MATCH(ROW()-2,종합!$AC$3:$AC$501,0))&amp;"","")</f>
        <v/>
      </c>
      <c r="Y404" s="21" t="str">
        <f aca="false">IFERROR(INDEX(종합!Y$3:Y$501,MATCH(ROW()-2,종합!$AC$3:$AC$501,0))&amp;"","")</f>
        <v/>
      </c>
      <c r="Z404" s="21" t="str">
        <f aca="false">IFERROR(INDEX(종합!Z$3:Z$501,MATCH(ROW()-2,종합!$AC$3:$AC$501,0))&amp;"","")</f>
        <v/>
      </c>
    </row>
    <row r="405" customFormat="false" ht="16.5" hidden="false" customHeight="true" outlineLevel="0" collapsed="false">
      <c r="A405" s="18" t="str">
        <f aca="false">IF(B405="","",ROW()-2)</f>
        <v/>
      </c>
      <c r="B405" s="18" t="str">
        <f aca="false">IFERROR(INDEX(종합!B$3:B$501,MATCH(ROW()-2,종합!$AC$3:$AC$501,0))&amp;"","")</f>
        <v/>
      </c>
      <c r="C405" s="18" t="str">
        <f aca="false">IFERROR(INDEX(종합!C$3:C$501,MATCH(ROW()-2,종합!$AC$3:$AC$501,0))&amp;"","")</f>
        <v/>
      </c>
      <c r="D405" s="18" t="str">
        <f aca="false">IFERROR(INDEX(종합!D$3:D$501,MATCH(ROW()-2,종합!$AC$3:$AC$501,0))&amp;"","")</f>
        <v/>
      </c>
      <c r="E405" s="18" t="str">
        <f aca="false">IFERROR(INDEX(종합!E$3:E$501,MATCH(ROW()-2,종합!$AC$3:$AC$501,0))&amp;"","")</f>
        <v/>
      </c>
      <c r="F405" s="18" t="str">
        <f aca="false">IFERROR(INDEX(종합!F$3:F$501,MATCH(ROW()-2,종합!$AC$3:$AC$501,0))&amp;"","")</f>
        <v/>
      </c>
      <c r="G405" s="18" t="str">
        <f aca="false">IFERROR(INDEX(종합!G$3:G$501,MATCH(ROW()-2,종합!$AC$3:$AC$501,0))&amp;"","")</f>
        <v/>
      </c>
      <c r="H405" s="21" t="str">
        <f aca="false">IFERROR(INDEX(종합!H$3:H$501,MATCH(ROW()-2,종합!$AC$3:$AC$501,0))&amp;"","")</f>
        <v/>
      </c>
      <c r="I405" s="21" t="str">
        <f aca="false">IFERROR(INDEX(종합!I$3:I$501,MATCH(ROW()-2,종합!$AC$3:$AC$501,0))&amp;"","")</f>
        <v/>
      </c>
      <c r="J405" s="21" t="str">
        <f aca="false">IFERROR(INDEX(종합!J$3:J$501,MATCH(ROW()-2,종합!$AC$3:$AC$501,0))&amp;"","")</f>
        <v/>
      </c>
      <c r="K405" s="21" t="str">
        <f aca="false">IFERROR(INDEX(종합!K$3:K$501,MATCH(ROW()-2,종합!$AC$3:$AC$501,0))&amp;"","")</f>
        <v/>
      </c>
      <c r="L405" s="21" t="str">
        <f aca="false">IFERROR(INDEX(종합!L$3:L$501,MATCH(ROW()-2,종합!$AC$3:$AC$501,0))&amp;"","")</f>
        <v/>
      </c>
      <c r="M405" s="21" t="str">
        <f aca="false">IFERROR(INDEX(종합!M$3:M$501,MATCH(ROW()-2,종합!$AC$3:$AC$501,0))&amp;"","")</f>
        <v/>
      </c>
      <c r="N405" s="25" t="str">
        <f aca="false">IFERROR(INDEX(종합!N$3:N$501,MATCH(ROW()-2,종합!$AC$3:$AC$501,0))&amp;"","")</f>
        <v/>
      </c>
      <c r="O405" s="21" t="str">
        <f aca="false">IFERROR(INDEX(종합!O$3:O$501,MATCH(ROW()-2,종합!$AC$3:$AC$501,0))&amp;"","")</f>
        <v/>
      </c>
      <c r="P405" s="21" t="str">
        <f aca="false">IFERROR(INDEX(종합!P$3:P$501,MATCH(ROW()-2,종합!$AC$3:$AC$501,0))&amp;"","")</f>
        <v/>
      </c>
      <c r="Q405" s="21" t="str">
        <f aca="false">IFERROR(INDEX(종합!Q$3:Q$501,MATCH(ROW()-2,종합!$AC$3:$AC$501,0))&amp;"","")</f>
        <v/>
      </c>
      <c r="R405" s="21" t="str">
        <f aca="false">IFERROR(INDEX(종합!R$3:R$501,MATCH(ROW()-2,종합!$AC$3:$AC$501,0))&amp;"","")</f>
        <v/>
      </c>
      <c r="S405" s="21" t="str">
        <f aca="false">IFERROR(INDEX(종합!S$3:S$501,MATCH(ROW()-2,종합!$AC$3:$AC$501,0))&amp;"","")</f>
        <v/>
      </c>
      <c r="T405" s="21" t="str">
        <f aca="false">IFERROR(INDEX(종합!T$3:T$501,MATCH(ROW()-2,종합!$AC$3:$AC$501,0))&amp;"","")</f>
        <v/>
      </c>
      <c r="U405" s="21" t="str">
        <f aca="false">IFERROR(INDEX(종합!U$3:U$501,MATCH(ROW()-2,종합!$AC$3:$AC$501,0))&amp;"","")</f>
        <v/>
      </c>
      <c r="V405" s="21" t="str">
        <f aca="false">IFERROR(INDEX(종합!V$3:V$501,MATCH(ROW()-2,종합!$AC$3:$AC$501,0))&amp;"","")</f>
        <v/>
      </c>
      <c r="W405" s="21" t="str">
        <f aca="false">IFERROR(INDEX(종합!W$3:W$501,MATCH(ROW()-2,종합!$AC$3:$AC$501,0))&amp;"","")</f>
        <v/>
      </c>
      <c r="X405" s="21" t="str">
        <f aca="false">IFERROR(INDEX(종합!X$3:X$501,MATCH(ROW()-2,종합!$AC$3:$AC$501,0))&amp;"","")</f>
        <v/>
      </c>
      <c r="Y405" s="21" t="str">
        <f aca="false">IFERROR(INDEX(종합!Y$3:Y$501,MATCH(ROW()-2,종합!$AC$3:$AC$501,0))&amp;"","")</f>
        <v/>
      </c>
      <c r="Z405" s="21" t="str">
        <f aca="false">IFERROR(INDEX(종합!Z$3:Z$501,MATCH(ROW()-2,종합!$AC$3:$AC$501,0))&amp;"","")</f>
        <v/>
      </c>
    </row>
    <row r="406" customFormat="false" ht="16.5" hidden="false" customHeight="true" outlineLevel="0" collapsed="false">
      <c r="A406" s="18" t="str">
        <f aca="false">IF(B406="","",ROW()-2)</f>
        <v/>
      </c>
      <c r="B406" s="18" t="str">
        <f aca="false">IFERROR(INDEX(종합!B$3:B$501,MATCH(ROW()-2,종합!$AC$3:$AC$501,0))&amp;"","")</f>
        <v/>
      </c>
      <c r="C406" s="18" t="str">
        <f aca="false">IFERROR(INDEX(종합!C$3:C$501,MATCH(ROW()-2,종합!$AC$3:$AC$501,0))&amp;"","")</f>
        <v/>
      </c>
      <c r="D406" s="18" t="str">
        <f aca="false">IFERROR(INDEX(종합!D$3:D$501,MATCH(ROW()-2,종합!$AC$3:$AC$501,0))&amp;"","")</f>
        <v/>
      </c>
      <c r="E406" s="18" t="str">
        <f aca="false">IFERROR(INDEX(종합!E$3:E$501,MATCH(ROW()-2,종합!$AC$3:$AC$501,0))&amp;"","")</f>
        <v/>
      </c>
      <c r="F406" s="18" t="str">
        <f aca="false">IFERROR(INDEX(종합!F$3:F$501,MATCH(ROW()-2,종합!$AC$3:$AC$501,0))&amp;"","")</f>
        <v/>
      </c>
      <c r="G406" s="18" t="str">
        <f aca="false">IFERROR(INDEX(종합!G$3:G$501,MATCH(ROW()-2,종합!$AC$3:$AC$501,0))&amp;"","")</f>
        <v/>
      </c>
      <c r="H406" s="21" t="str">
        <f aca="false">IFERROR(INDEX(종합!H$3:H$501,MATCH(ROW()-2,종합!$AC$3:$AC$501,0))&amp;"","")</f>
        <v/>
      </c>
      <c r="I406" s="21" t="str">
        <f aca="false">IFERROR(INDEX(종합!I$3:I$501,MATCH(ROW()-2,종합!$AC$3:$AC$501,0))&amp;"","")</f>
        <v/>
      </c>
      <c r="J406" s="21" t="str">
        <f aca="false">IFERROR(INDEX(종합!J$3:J$501,MATCH(ROW()-2,종합!$AC$3:$AC$501,0))&amp;"","")</f>
        <v/>
      </c>
      <c r="K406" s="21" t="str">
        <f aca="false">IFERROR(INDEX(종합!K$3:K$501,MATCH(ROW()-2,종합!$AC$3:$AC$501,0))&amp;"","")</f>
        <v/>
      </c>
      <c r="L406" s="21" t="str">
        <f aca="false">IFERROR(INDEX(종합!L$3:L$501,MATCH(ROW()-2,종합!$AC$3:$AC$501,0))&amp;"","")</f>
        <v/>
      </c>
      <c r="M406" s="21" t="str">
        <f aca="false">IFERROR(INDEX(종합!M$3:M$501,MATCH(ROW()-2,종합!$AC$3:$AC$501,0))&amp;"","")</f>
        <v/>
      </c>
      <c r="N406" s="25" t="str">
        <f aca="false">IFERROR(INDEX(종합!N$3:N$501,MATCH(ROW()-2,종합!$AC$3:$AC$501,0))&amp;"","")</f>
        <v/>
      </c>
      <c r="O406" s="21" t="str">
        <f aca="false">IFERROR(INDEX(종합!O$3:O$501,MATCH(ROW()-2,종합!$AC$3:$AC$501,0))&amp;"","")</f>
        <v/>
      </c>
      <c r="P406" s="21" t="str">
        <f aca="false">IFERROR(INDEX(종합!P$3:P$501,MATCH(ROW()-2,종합!$AC$3:$AC$501,0))&amp;"","")</f>
        <v/>
      </c>
      <c r="Q406" s="21" t="str">
        <f aca="false">IFERROR(INDEX(종합!Q$3:Q$501,MATCH(ROW()-2,종합!$AC$3:$AC$501,0))&amp;"","")</f>
        <v/>
      </c>
      <c r="R406" s="21" t="str">
        <f aca="false">IFERROR(INDEX(종합!R$3:R$501,MATCH(ROW()-2,종합!$AC$3:$AC$501,0))&amp;"","")</f>
        <v/>
      </c>
      <c r="S406" s="21" t="str">
        <f aca="false">IFERROR(INDEX(종합!S$3:S$501,MATCH(ROW()-2,종합!$AC$3:$AC$501,0))&amp;"","")</f>
        <v/>
      </c>
      <c r="T406" s="21" t="str">
        <f aca="false">IFERROR(INDEX(종합!T$3:T$501,MATCH(ROW()-2,종합!$AC$3:$AC$501,0))&amp;"","")</f>
        <v/>
      </c>
      <c r="U406" s="21" t="str">
        <f aca="false">IFERROR(INDEX(종합!U$3:U$501,MATCH(ROW()-2,종합!$AC$3:$AC$501,0))&amp;"","")</f>
        <v/>
      </c>
      <c r="V406" s="21" t="str">
        <f aca="false">IFERROR(INDEX(종합!V$3:V$501,MATCH(ROW()-2,종합!$AC$3:$AC$501,0))&amp;"","")</f>
        <v/>
      </c>
      <c r="W406" s="21" t="str">
        <f aca="false">IFERROR(INDEX(종합!W$3:W$501,MATCH(ROW()-2,종합!$AC$3:$AC$501,0))&amp;"","")</f>
        <v/>
      </c>
      <c r="X406" s="21" t="str">
        <f aca="false">IFERROR(INDEX(종합!X$3:X$501,MATCH(ROW()-2,종합!$AC$3:$AC$501,0))&amp;"","")</f>
        <v/>
      </c>
      <c r="Y406" s="21" t="str">
        <f aca="false">IFERROR(INDEX(종합!Y$3:Y$501,MATCH(ROW()-2,종합!$AC$3:$AC$501,0))&amp;"","")</f>
        <v/>
      </c>
      <c r="Z406" s="21" t="str">
        <f aca="false">IFERROR(INDEX(종합!Z$3:Z$501,MATCH(ROW()-2,종합!$AC$3:$AC$501,0))&amp;"","")</f>
        <v/>
      </c>
    </row>
    <row r="407" customFormat="false" ht="16.5" hidden="false" customHeight="true" outlineLevel="0" collapsed="false">
      <c r="A407" s="18" t="str">
        <f aca="false">IF(B407="","",ROW()-2)</f>
        <v/>
      </c>
      <c r="B407" s="18" t="str">
        <f aca="false">IFERROR(INDEX(종합!B$3:B$501,MATCH(ROW()-2,종합!$AC$3:$AC$501,0))&amp;"","")</f>
        <v/>
      </c>
      <c r="C407" s="18" t="str">
        <f aca="false">IFERROR(INDEX(종합!C$3:C$501,MATCH(ROW()-2,종합!$AC$3:$AC$501,0))&amp;"","")</f>
        <v/>
      </c>
      <c r="D407" s="18" t="str">
        <f aca="false">IFERROR(INDEX(종합!D$3:D$501,MATCH(ROW()-2,종합!$AC$3:$AC$501,0))&amp;"","")</f>
        <v/>
      </c>
      <c r="E407" s="18" t="str">
        <f aca="false">IFERROR(INDEX(종합!E$3:E$501,MATCH(ROW()-2,종합!$AC$3:$AC$501,0))&amp;"","")</f>
        <v/>
      </c>
      <c r="F407" s="18" t="str">
        <f aca="false">IFERROR(INDEX(종합!F$3:F$501,MATCH(ROW()-2,종합!$AC$3:$AC$501,0))&amp;"","")</f>
        <v/>
      </c>
      <c r="G407" s="18" t="str">
        <f aca="false">IFERROR(INDEX(종합!G$3:G$501,MATCH(ROW()-2,종합!$AC$3:$AC$501,0))&amp;"","")</f>
        <v/>
      </c>
      <c r="H407" s="21" t="str">
        <f aca="false">IFERROR(INDEX(종합!H$3:H$501,MATCH(ROW()-2,종합!$AC$3:$AC$501,0))&amp;"","")</f>
        <v/>
      </c>
      <c r="I407" s="21" t="str">
        <f aca="false">IFERROR(INDEX(종합!I$3:I$501,MATCH(ROW()-2,종합!$AC$3:$AC$501,0))&amp;"","")</f>
        <v/>
      </c>
      <c r="J407" s="21" t="str">
        <f aca="false">IFERROR(INDEX(종합!J$3:J$501,MATCH(ROW()-2,종합!$AC$3:$AC$501,0))&amp;"","")</f>
        <v/>
      </c>
      <c r="K407" s="21" t="str">
        <f aca="false">IFERROR(INDEX(종합!K$3:K$501,MATCH(ROW()-2,종합!$AC$3:$AC$501,0))&amp;"","")</f>
        <v/>
      </c>
      <c r="L407" s="21" t="str">
        <f aca="false">IFERROR(INDEX(종합!L$3:L$501,MATCH(ROW()-2,종합!$AC$3:$AC$501,0))&amp;"","")</f>
        <v/>
      </c>
      <c r="M407" s="21" t="str">
        <f aca="false">IFERROR(INDEX(종합!M$3:M$501,MATCH(ROW()-2,종합!$AC$3:$AC$501,0))&amp;"","")</f>
        <v/>
      </c>
      <c r="N407" s="25" t="str">
        <f aca="false">IFERROR(INDEX(종합!N$3:N$501,MATCH(ROW()-2,종합!$AC$3:$AC$501,0))&amp;"","")</f>
        <v/>
      </c>
      <c r="O407" s="21" t="str">
        <f aca="false">IFERROR(INDEX(종합!O$3:O$501,MATCH(ROW()-2,종합!$AC$3:$AC$501,0))&amp;"","")</f>
        <v/>
      </c>
      <c r="P407" s="21" t="str">
        <f aca="false">IFERROR(INDEX(종합!P$3:P$501,MATCH(ROW()-2,종합!$AC$3:$AC$501,0))&amp;"","")</f>
        <v/>
      </c>
      <c r="Q407" s="21" t="str">
        <f aca="false">IFERROR(INDEX(종합!Q$3:Q$501,MATCH(ROW()-2,종합!$AC$3:$AC$501,0))&amp;"","")</f>
        <v/>
      </c>
      <c r="R407" s="21" t="str">
        <f aca="false">IFERROR(INDEX(종합!R$3:R$501,MATCH(ROW()-2,종합!$AC$3:$AC$501,0))&amp;"","")</f>
        <v/>
      </c>
      <c r="S407" s="21" t="str">
        <f aca="false">IFERROR(INDEX(종합!S$3:S$501,MATCH(ROW()-2,종합!$AC$3:$AC$501,0))&amp;"","")</f>
        <v/>
      </c>
      <c r="T407" s="21" t="str">
        <f aca="false">IFERROR(INDEX(종합!T$3:T$501,MATCH(ROW()-2,종합!$AC$3:$AC$501,0))&amp;"","")</f>
        <v/>
      </c>
      <c r="U407" s="21" t="str">
        <f aca="false">IFERROR(INDEX(종합!U$3:U$501,MATCH(ROW()-2,종합!$AC$3:$AC$501,0))&amp;"","")</f>
        <v/>
      </c>
      <c r="V407" s="21" t="str">
        <f aca="false">IFERROR(INDEX(종합!V$3:V$501,MATCH(ROW()-2,종합!$AC$3:$AC$501,0))&amp;"","")</f>
        <v/>
      </c>
      <c r="W407" s="21" t="str">
        <f aca="false">IFERROR(INDEX(종합!W$3:W$501,MATCH(ROW()-2,종합!$AC$3:$AC$501,0))&amp;"","")</f>
        <v/>
      </c>
      <c r="X407" s="21" t="str">
        <f aca="false">IFERROR(INDEX(종합!X$3:X$501,MATCH(ROW()-2,종합!$AC$3:$AC$501,0))&amp;"","")</f>
        <v/>
      </c>
      <c r="Y407" s="21" t="str">
        <f aca="false">IFERROR(INDEX(종합!Y$3:Y$501,MATCH(ROW()-2,종합!$AC$3:$AC$501,0))&amp;"","")</f>
        <v/>
      </c>
      <c r="Z407" s="21" t="str">
        <f aca="false">IFERROR(INDEX(종합!Z$3:Z$501,MATCH(ROW()-2,종합!$AC$3:$AC$501,0))&amp;"","")</f>
        <v/>
      </c>
    </row>
    <row r="408" customFormat="false" ht="16.5" hidden="false" customHeight="true" outlineLevel="0" collapsed="false">
      <c r="A408" s="18" t="str">
        <f aca="false">IF(B408="","",ROW()-2)</f>
        <v/>
      </c>
      <c r="B408" s="18" t="str">
        <f aca="false">IFERROR(INDEX(종합!B$3:B$501,MATCH(ROW()-2,종합!$AC$3:$AC$501,0))&amp;"","")</f>
        <v/>
      </c>
      <c r="C408" s="18" t="str">
        <f aca="false">IFERROR(INDEX(종합!C$3:C$501,MATCH(ROW()-2,종합!$AC$3:$AC$501,0))&amp;"","")</f>
        <v/>
      </c>
      <c r="D408" s="18" t="str">
        <f aca="false">IFERROR(INDEX(종합!D$3:D$501,MATCH(ROW()-2,종합!$AC$3:$AC$501,0))&amp;"","")</f>
        <v/>
      </c>
      <c r="E408" s="18" t="str">
        <f aca="false">IFERROR(INDEX(종합!E$3:E$501,MATCH(ROW()-2,종합!$AC$3:$AC$501,0))&amp;"","")</f>
        <v/>
      </c>
      <c r="F408" s="18" t="str">
        <f aca="false">IFERROR(INDEX(종합!F$3:F$501,MATCH(ROW()-2,종합!$AC$3:$AC$501,0))&amp;"","")</f>
        <v/>
      </c>
      <c r="G408" s="18" t="str">
        <f aca="false">IFERROR(INDEX(종합!G$3:G$501,MATCH(ROW()-2,종합!$AC$3:$AC$501,0))&amp;"","")</f>
        <v/>
      </c>
      <c r="H408" s="21" t="str">
        <f aca="false">IFERROR(INDEX(종합!H$3:H$501,MATCH(ROW()-2,종합!$AC$3:$AC$501,0))&amp;"","")</f>
        <v/>
      </c>
      <c r="I408" s="21" t="str">
        <f aca="false">IFERROR(INDEX(종합!I$3:I$501,MATCH(ROW()-2,종합!$AC$3:$AC$501,0))&amp;"","")</f>
        <v/>
      </c>
      <c r="J408" s="21" t="str">
        <f aca="false">IFERROR(INDEX(종합!J$3:J$501,MATCH(ROW()-2,종합!$AC$3:$AC$501,0))&amp;"","")</f>
        <v/>
      </c>
      <c r="K408" s="21" t="str">
        <f aca="false">IFERROR(INDEX(종합!K$3:K$501,MATCH(ROW()-2,종합!$AC$3:$AC$501,0))&amp;"","")</f>
        <v/>
      </c>
      <c r="L408" s="21" t="str">
        <f aca="false">IFERROR(INDEX(종합!L$3:L$501,MATCH(ROW()-2,종합!$AC$3:$AC$501,0))&amp;"","")</f>
        <v/>
      </c>
      <c r="M408" s="21" t="str">
        <f aca="false">IFERROR(INDEX(종합!M$3:M$501,MATCH(ROW()-2,종합!$AC$3:$AC$501,0))&amp;"","")</f>
        <v/>
      </c>
      <c r="N408" s="25" t="str">
        <f aca="false">IFERROR(INDEX(종합!N$3:N$501,MATCH(ROW()-2,종합!$AC$3:$AC$501,0))&amp;"","")</f>
        <v/>
      </c>
      <c r="O408" s="21" t="str">
        <f aca="false">IFERROR(INDEX(종합!O$3:O$501,MATCH(ROW()-2,종합!$AC$3:$AC$501,0))&amp;"","")</f>
        <v/>
      </c>
      <c r="P408" s="21" t="str">
        <f aca="false">IFERROR(INDEX(종합!P$3:P$501,MATCH(ROW()-2,종합!$AC$3:$AC$501,0))&amp;"","")</f>
        <v/>
      </c>
      <c r="Q408" s="21" t="str">
        <f aca="false">IFERROR(INDEX(종합!Q$3:Q$501,MATCH(ROW()-2,종합!$AC$3:$AC$501,0))&amp;"","")</f>
        <v/>
      </c>
      <c r="R408" s="21" t="str">
        <f aca="false">IFERROR(INDEX(종합!R$3:R$501,MATCH(ROW()-2,종합!$AC$3:$AC$501,0))&amp;"","")</f>
        <v/>
      </c>
      <c r="S408" s="21" t="str">
        <f aca="false">IFERROR(INDEX(종합!S$3:S$501,MATCH(ROW()-2,종합!$AC$3:$AC$501,0))&amp;"","")</f>
        <v/>
      </c>
      <c r="T408" s="21" t="str">
        <f aca="false">IFERROR(INDEX(종합!T$3:T$501,MATCH(ROW()-2,종합!$AC$3:$AC$501,0))&amp;"","")</f>
        <v/>
      </c>
      <c r="U408" s="21" t="str">
        <f aca="false">IFERROR(INDEX(종합!U$3:U$501,MATCH(ROW()-2,종합!$AC$3:$AC$501,0))&amp;"","")</f>
        <v/>
      </c>
      <c r="V408" s="21" t="str">
        <f aca="false">IFERROR(INDEX(종합!V$3:V$501,MATCH(ROW()-2,종합!$AC$3:$AC$501,0))&amp;"","")</f>
        <v/>
      </c>
      <c r="W408" s="21" t="str">
        <f aca="false">IFERROR(INDEX(종합!W$3:W$501,MATCH(ROW()-2,종합!$AC$3:$AC$501,0))&amp;"","")</f>
        <v/>
      </c>
      <c r="X408" s="21" t="str">
        <f aca="false">IFERROR(INDEX(종합!X$3:X$501,MATCH(ROW()-2,종합!$AC$3:$AC$501,0))&amp;"","")</f>
        <v/>
      </c>
      <c r="Y408" s="21" t="str">
        <f aca="false">IFERROR(INDEX(종합!Y$3:Y$501,MATCH(ROW()-2,종합!$AC$3:$AC$501,0))&amp;"","")</f>
        <v/>
      </c>
      <c r="Z408" s="21" t="str">
        <f aca="false">IFERROR(INDEX(종합!Z$3:Z$501,MATCH(ROW()-2,종합!$AC$3:$AC$501,0))&amp;"","")</f>
        <v/>
      </c>
    </row>
    <row r="409" customFormat="false" ht="16.5" hidden="false" customHeight="true" outlineLevel="0" collapsed="false">
      <c r="A409" s="18" t="str">
        <f aca="false">IF(B409="","",ROW()-2)</f>
        <v/>
      </c>
      <c r="B409" s="18" t="str">
        <f aca="false">IFERROR(INDEX(종합!B$3:B$501,MATCH(ROW()-2,종합!$AC$3:$AC$501,0))&amp;"","")</f>
        <v/>
      </c>
      <c r="C409" s="18" t="str">
        <f aca="false">IFERROR(INDEX(종합!C$3:C$501,MATCH(ROW()-2,종합!$AC$3:$AC$501,0))&amp;"","")</f>
        <v/>
      </c>
      <c r="D409" s="18" t="str">
        <f aca="false">IFERROR(INDEX(종합!D$3:D$501,MATCH(ROW()-2,종합!$AC$3:$AC$501,0))&amp;"","")</f>
        <v/>
      </c>
      <c r="E409" s="18" t="str">
        <f aca="false">IFERROR(INDEX(종합!E$3:E$501,MATCH(ROW()-2,종합!$AC$3:$AC$501,0))&amp;"","")</f>
        <v/>
      </c>
      <c r="F409" s="18" t="str">
        <f aca="false">IFERROR(INDEX(종합!F$3:F$501,MATCH(ROW()-2,종합!$AC$3:$AC$501,0))&amp;"","")</f>
        <v/>
      </c>
      <c r="G409" s="18" t="str">
        <f aca="false">IFERROR(INDEX(종합!G$3:G$501,MATCH(ROW()-2,종합!$AC$3:$AC$501,0))&amp;"","")</f>
        <v/>
      </c>
      <c r="H409" s="21" t="str">
        <f aca="false">IFERROR(INDEX(종합!H$3:H$501,MATCH(ROW()-2,종합!$AC$3:$AC$501,0))&amp;"","")</f>
        <v/>
      </c>
      <c r="I409" s="21" t="str">
        <f aca="false">IFERROR(INDEX(종합!I$3:I$501,MATCH(ROW()-2,종합!$AC$3:$AC$501,0))&amp;"","")</f>
        <v/>
      </c>
      <c r="J409" s="21" t="str">
        <f aca="false">IFERROR(INDEX(종합!J$3:J$501,MATCH(ROW()-2,종합!$AC$3:$AC$501,0))&amp;"","")</f>
        <v/>
      </c>
      <c r="K409" s="21" t="str">
        <f aca="false">IFERROR(INDEX(종합!K$3:K$501,MATCH(ROW()-2,종합!$AC$3:$AC$501,0))&amp;"","")</f>
        <v/>
      </c>
      <c r="L409" s="21" t="str">
        <f aca="false">IFERROR(INDEX(종합!L$3:L$501,MATCH(ROW()-2,종합!$AC$3:$AC$501,0))&amp;"","")</f>
        <v/>
      </c>
      <c r="M409" s="21" t="str">
        <f aca="false">IFERROR(INDEX(종합!M$3:M$501,MATCH(ROW()-2,종합!$AC$3:$AC$501,0))&amp;"","")</f>
        <v/>
      </c>
      <c r="N409" s="25" t="str">
        <f aca="false">IFERROR(INDEX(종합!N$3:N$501,MATCH(ROW()-2,종합!$AC$3:$AC$501,0))&amp;"","")</f>
        <v/>
      </c>
      <c r="O409" s="21" t="str">
        <f aca="false">IFERROR(INDEX(종합!O$3:O$501,MATCH(ROW()-2,종합!$AC$3:$AC$501,0))&amp;"","")</f>
        <v/>
      </c>
      <c r="P409" s="21" t="str">
        <f aca="false">IFERROR(INDEX(종합!P$3:P$501,MATCH(ROW()-2,종합!$AC$3:$AC$501,0))&amp;"","")</f>
        <v/>
      </c>
      <c r="Q409" s="21" t="str">
        <f aca="false">IFERROR(INDEX(종합!Q$3:Q$501,MATCH(ROW()-2,종합!$AC$3:$AC$501,0))&amp;"","")</f>
        <v/>
      </c>
      <c r="R409" s="21" t="str">
        <f aca="false">IFERROR(INDEX(종합!R$3:R$501,MATCH(ROW()-2,종합!$AC$3:$AC$501,0))&amp;"","")</f>
        <v/>
      </c>
      <c r="S409" s="21" t="str">
        <f aca="false">IFERROR(INDEX(종합!S$3:S$501,MATCH(ROW()-2,종합!$AC$3:$AC$501,0))&amp;"","")</f>
        <v/>
      </c>
      <c r="T409" s="21" t="str">
        <f aca="false">IFERROR(INDEX(종합!T$3:T$501,MATCH(ROW()-2,종합!$AC$3:$AC$501,0))&amp;"","")</f>
        <v/>
      </c>
      <c r="U409" s="21" t="str">
        <f aca="false">IFERROR(INDEX(종합!U$3:U$501,MATCH(ROW()-2,종합!$AC$3:$AC$501,0))&amp;"","")</f>
        <v/>
      </c>
      <c r="V409" s="21" t="str">
        <f aca="false">IFERROR(INDEX(종합!V$3:V$501,MATCH(ROW()-2,종합!$AC$3:$AC$501,0))&amp;"","")</f>
        <v/>
      </c>
      <c r="W409" s="21" t="str">
        <f aca="false">IFERROR(INDEX(종합!W$3:W$501,MATCH(ROW()-2,종합!$AC$3:$AC$501,0))&amp;"","")</f>
        <v/>
      </c>
      <c r="X409" s="21" t="str">
        <f aca="false">IFERROR(INDEX(종합!X$3:X$501,MATCH(ROW()-2,종합!$AC$3:$AC$501,0))&amp;"","")</f>
        <v/>
      </c>
      <c r="Y409" s="21" t="str">
        <f aca="false">IFERROR(INDEX(종합!Y$3:Y$501,MATCH(ROW()-2,종합!$AC$3:$AC$501,0))&amp;"","")</f>
        <v/>
      </c>
      <c r="Z409" s="21" t="str">
        <f aca="false">IFERROR(INDEX(종합!Z$3:Z$501,MATCH(ROW()-2,종합!$AC$3:$AC$501,0))&amp;"","")</f>
        <v/>
      </c>
    </row>
    <row r="410" customFormat="false" ht="16.5" hidden="false" customHeight="true" outlineLevel="0" collapsed="false">
      <c r="A410" s="18" t="str">
        <f aca="false">IF(B410="","",ROW()-2)</f>
        <v/>
      </c>
      <c r="B410" s="18" t="str">
        <f aca="false">IFERROR(INDEX(종합!B$3:B$501,MATCH(ROW()-2,종합!$AC$3:$AC$501,0))&amp;"","")</f>
        <v/>
      </c>
      <c r="C410" s="18" t="str">
        <f aca="false">IFERROR(INDEX(종합!C$3:C$501,MATCH(ROW()-2,종합!$AC$3:$AC$501,0))&amp;"","")</f>
        <v/>
      </c>
      <c r="D410" s="18" t="str">
        <f aca="false">IFERROR(INDEX(종합!D$3:D$501,MATCH(ROW()-2,종합!$AC$3:$AC$501,0))&amp;"","")</f>
        <v/>
      </c>
      <c r="E410" s="18" t="str">
        <f aca="false">IFERROR(INDEX(종합!E$3:E$501,MATCH(ROW()-2,종합!$AC$3:$AC$501,0))&amp;"","")</f>
        <v/>
      </c>
      <c r="F410" s="18" t="str">
        <f aca="false">IFERROR(INDEX(종합!F$3:F$501,MATCH(ROW()-2,종합!$AC$3:$AC$501,0))&amp;"","")</f>
        <v/>
      </c>
      <c r="G410" s="18" t="str">
        <f aca="false">IFERROR(INDEX(종합!G$3:G$501,MATCH(ROW()-2,종합!$AC$3:$AC$501,0))&amp;"","")</f>
        <v/>
      </c>
      <c r="H410" s="21" t="str">
        <f aca="false">IFERROR(INDEX(종합!H$3:H$501,MATCH(ROW()-2,종합!$AC$3:$AC$501,0))&amp;"","")</f>
        <v/>
      </c>
      <c r="I410" s="21" t="str">
        <f aca="false">IFERROR(INDEX(종합!I$3:I$501,MATCH(ROW()-2,종합!$AC$3:$AC$501,0))&amp;"","")</f>
        <v/>
      </c>
      <c r="J410" s="21" t="str">
        <f aca="false">IFERROR(INDEX(종합!J$3:J$501,MATCH(ROW()-2,종합!$AC$3:$AC$501,0))&amp;"","")</f>
        <v/>
      </c>
      <c r="K410" s="21" t="str">
        <f aca="false">IFERROR(INDEX(종합!K$3:K$501,MATCH(ROW()-2,종합!$AC$3:$AC$501,0))&amp;"","")</f>
        <v/>
      </c>
      <c r="L410" s="21" t="str">
        <f aca="false">IFERROR(INDEX(종합!L$3:L$501,MATCH(ROW()-2,종합!$AC$3:$AC$501,0))&amp;"","")</f>
        <v/>
      </c>
      <c r="M410" s="21" t="str">
        <f aca="false">IFERROR(INDEX(종합!M$3:M$501,MATCH(ROW()-2,종합!$AC$3:$AC$501,0))&amp;"","")</f>
        <v/>
      </c>
      <c r="N410" s="25" t="str">
        <f aca="false">IFERROR(INDEX(종합!N$3:N$501,MATCH(ROW()-2,종합!$AC$3:$AC$501,0))&amp;"","")</f>
        <v/>
      </c>
      <c r="O410" s="21" t="str">
        <f aca="false">IFERROR(INDEX(종합!O$3:O$501,MATCH(ROW()-2,종합!$AC$3:$AC$501,0))&amp;"","")</f>
        <v/>
      </c>
      <c r="P410" s="21" t="str">
        <f aca="false">IFERROR(INDEX(종합!P$3:P$501,MATCH(ROW()-2,종합!$AC$3:$AC$501,0))&amp;"","")</f>
        <v/>
      </c>
      <c r="Q410" s="21" t="str">
        <f aca="false">IFERROR(INDEX(종합!Q$3:Q$501,MATCH(ROW()-2,종합!$AC$3:$AC$501,0))&amp;"","")</f>
        <v/>
      </c>
      <c r="R410" s="21" t="str">
        <f aca="false">IFERROR(INDEX(종합!R$3:R$501,MATCH(ROW()-2,종합!$AC$3:$AC$501,0))&amp;"","")</f>
        <v/>
      </c>
      <c r="S410" s="21" t="str">
        <f aca="false">IFERROR(INDEX(종합!S$3:S$501,MATCH(ROW()-2,종합!$AC$3:$AC$501,0))&amp;"","")</f>
        <v/>
      </c>
      <c r="T410" s="21" t="str">
        <f aca="false">IFERROR(INDEX(종합!T$3:T$501,MATCH(ROW()-2,종합!$AC$3:$AC$501,0))&amp;"","")</f>
        <v/>
      </c>
      <c r="U410" s="21" t="str">
        <f aca="false">IFERROR(INDEX(종합!U$3:U$501,MATCH(ROW()-2,종합!$AC$3:$AC$501,0))&amp;"","")</f>
        <v/>
      </c>
      <c r="V410" s="21" t="str">
        <f aca="false">IFERROR(INDEX(종합!V$3:V$501,MATCH(ROW()-2,종합!$AC$3:$AC$501,0))&amp;"","")</f>
        <v/>
      </c>
      <c r="W410" s="21" t="str">
        <f aca="false">IFERROR(INDEX(종합!W$3:W$501,MATCH(ROW()-2,종합!$AC$3:$AC$501,0))&amp;"","")</f>
        <v/>
      </c>
      <c r="X410" s="21" t="str">
        <f aca="false">IFERROR(INDEX(종합!X$3:X$501,MATCH(ROW()-2,종합!$AC$3:$AC$501,0))&amp;"","")</f>
        <v/>
      </c>
      <c r="Y410" s="21" t="str">
        <f aca="false">IFERROR(INDEX(종합!Y$3:Y$501,MATCH(ROW()-2,종합!$AC$3:$AC$501,0))&amp;"","")</f>
        <v/>
      </c>
      <c r="Z410" s="21" t="str">
        <f aca="false">IFERROR(INDEX(종합!Z$3:Z$501,MATCH(ROW()-2,종합!$AC$3:$AC$501,0))&amp;"","")</f>
        <v/>
      </c>
    </row>
    <row r="411" customFormat="false" ht="16.5" hidden="false" customHeight="true" outlineLevel="0" collapsed="false">
      <c r="A411" s="18" t="str">
        <f aca="false">IF(B411="","",ROW()-2)</f>
        <v/>
      </c>
      <c r="B411" s="18" t="str">
        <f aca="false">IFERROR(INDEX(종합!B$3:B$501,MATCH(ROW()-2,종합!$AC$3:$AC$501,0))&amp;"","")</f>
        <v/>
      </c>
      <c r="C411" s="18" t="str">
        <f aca="false">IFERROR(INDEX(종합!C$3:C$501,MATCH(ROW()-2,종합!$AC$3:$AC$501,0))&amp;"","")</f>
        <v/>
      </c>
      <c r="D411" s="18" t="str">
        <f aca="false">IFERROR(INDEX(종합!D$3:D$501,MATCH(ROW()-2,종합!$AC$3:$AC$501,0))&amp;"","")</f>
        <v/>
      </c>
      <c r="E411" s="18" t="str">
        <f aca="false">IFERROR(INDEX(종합!E$3:E$501,MATCH(ROW()-2,종합!$AC$3:$AC$501,0))&amp;"","")</f>
        <v/>
      </c>
      <c r="F411" s="18" t="str">
        <f aca="false">IFERROR(INDEX(종합!F$3:F$501,MATCH(ROW()-2,종합!$AC$3:$AC$501,0))&amp;"","")</f>
        <v/>
      </c>
      <c r="G411" s="18" t="str">
        <f aca="false">IFERROR(INDEX(종합!G$3:G$501,MATCH(ROW()-2,종합!$AC$3:$AC$501,0))&amp;"","")</f>
        <v/>
      </c>
      <c r="H411" s="21" t="str">
        <f aca="false">IFERROR(INDEX(종합!H$3:H$501,MATCH(ROW()-2,종합!$AC$3:$AC$501,0))&amp;"","")</f>
        <v/>
      </c>
      <c r="I411" s="21" t="str">
        <f aca="false">IFERROR(INDEX(종합!I$3:I$501,MATCH(ROW()-2,종합!$AC$3:$AC$501,0))&amp;"","")</f>
        <v/>
      </c>
      <c r="J411" s="21" t="str">
        <f aca="false">IFERROR(INDEX(종합!J$3:J$501,MATCH(ROW()-2,종합!$AC$3:$AC$501,0))&amp;"","")</f>
        <v/>
      </c>
      <c r="K411" s="21" t="str">
        <f aca="false">IFERROR(INDEX(종합!K$3:K$501,MATCH(ROW()-2,종합!$AC$3:$AC$501,0))&amp;"","")</f>
        <v/>
      </c>
      <c r="L411" s="21" t="str">
        <f aca="false">IFERROR(INDEX(종합!L$3:L$501,MATCH(ROW()-2,종합!$AC$3:$AC$501,0))&amp;"","")</f>
        <v/>
      </c>
      <c r="M411" s="21" t="str">
        <f aca="false">IFERROR(INDEX(종합!M$3:M$501,MATCH(ROW()-2,종합!$AC$3:$AC$501,0))&amp;"","")</f>
        <v/>
      </c>
      <c r="N411" s="25" t="str">
        <f aca="false">IFERROR(INDEX(종합!N$3:N$501,MATCH(ROW()-2,종합!$AC$3:$AC$501,0))&amp;"","")</f>
        <v/>
      </c>
      <c r="O411" s="21" t="str">
        <f aca="false">IFERROR(INDEX(종합!O$3:O$501,MATCH(ROW()-2,종합!$AC$3:$AC$501,0))&amp;"","")</f>
        <v/>
      </c>
      <c r="P411" s="21" t="str">
        <f aca="false">IFERROR(INDEX(종합!P$3:P$501,MATCH(ROW()-2,종합!$AC$3:$AC$501,0))&amp;"","")</f>
        <v/>
      </c>
      <c r="Q411" s="21" t="str">
        <f aca="false">IFERROR(INDEX(종합!Q$3:Q$501,MATCH(ROW()-2,종합!$AC$3:$AC$501,0))&amp;"","")</f>
        <v/>
      </c>
      <c r="R411" s="21" t="str">
        <f aca="false">IFERROR(INDEX(종합!R$3:R$501,MATCH(ROW()-2,종합!$AC$3:$AC$501,0))&amp;"","")</f>
        <v/>
      </c>
      <c r="S411" s="21" t="str">
        <f aca="false">IFERROR(INDEX(종합!S$3:S$501,MATCH(ROW()-2,종합!$AC$3:$AC$501,0))&amp;"","")</f>
        <v/>
      </c>
      <c r="T411" s="21" t="str">
        <f aca="false">IFERROR(INDEX(종합!T$3:T$501,MATCH(ROW()-2,종합!$AC$3:$AC$501,0))&amp;"","")</f>
        <v/>
      </c>
      <c r="U411" s="21" t="str">
        <f aca="false">IFERROR(INDEX(종합!U$3:U$501,MATCH(ROW()-2,종합!$AC$3:$AC$501,0))&amp;"","")</f>
        <v/>
      </c>
      <c r="V411" s="21" t="str">
        <f aca="false">IFERROR(INDEX(종합!V$3:V$501,MATCH(ROW()-2,종합!$AC$3:$AC$501,0))&amp;"","")</f>
        <v/>
      </c>
      <c r="W411" s="21" t="str">
        <f aca="false">IFERROR(INDEX(종합!W$3:W$501,MATCH(ROW()-2,종합!$AC$3:$AC$501,0))&amp;"","")</f>
        <v/>
      </c>
      <c r="X411" s="21" t="str">
        <f aca="false">IFERROR(INDEX(종합!X$3:X$501,MATCH(ROW()-2,종합!$AC$3:$AC$501,0))&amp;"","")</f>
        <v/>
      </c>
      <c r="Y411" s="21" t="str">
        <f aca="false">IFERROR(INDEX(종합!Y$3:Y$501,MATCH(ROW()-2,종합!$AC$3:$AC$501,0))&amp;"","")</f>
        <v/>
      </c>
      <c r="Z411" s="21" t="str">
        <f aca="false">IFERROR(INDEX(종합!Z$3:Z$501,MATCH(ROW()-2,종합!$AC$3:$AC$501,0))&amp;"","")</f>
        <v/>
      </c>
    </row>
    <row r="412" customFormat="false" ht="16.5" hidden="false" customHeight="true" outlineLevel="0" collapsed="false">
      <c r="A412" s="18" t="str">
        <f aca="false">IF(B412="","",ROW()-2)</f>
        <v/>
      </c>
      <c r="B412" s="18" t="str">
        <f aca="false">IFERROR(INDEX(종합!B$3:B$501,MATCH(ROW()-2,종합!$AC$3:$AC$501,0))&amp;"","")</f>
        <v/>
      </c>
      <c r="C412" s="18" t="str">
        <f aca="false">IFERROR(INDEX(종합!C$3:C$501,MATCH(ROW()-2,종합!$AC$3:$AC$501,0))&amp;"","")</f>
        <v/>
      </c>
      <c r="D412" s="18" t="str">
        <f aca="false">IFERROR(INDEX(종합!D$3:D$501,MATCH(ROW()-2,종합!$AC$3:$AC$501,0))&amp;"","")</f>
        <v/>
      </c>
      <c r="E412" s="18" t="str">
        <f aca="false">IFERROR(INDEX(종합!E$3:E$501,MATCH(ROW()-2,종합!$AC$3:$AC$501,0))&amp;"","")</f>
        <v/>
      </c>
      <c r="F412" s="18" t="str">
        <f aca="false">IFERROR(INDEX(종합!F$3:F$501,MATCH(ROW()-2,종합!$AC$3:$AC$501,0))&amp;"","")</f>
        <v/>
      </c>
      <c r="G412" s="18" t="str">
        <f aca="false">IFERROR(INDEX(종합!G$3:G$501,MATCH(ROW()-2,종합!$AC$3:$AC$501,0))&amp;"","")</f>
        <v/>
      </c>
      <c r="H412" s="21" t="str">
        <f aca="false">IFERROR(INDEX(종합!H$3:H$501,MATCH(ROW()-2,종합!$AC$3:$AC$501,0))&amp;"","")</f>
        <v/>
      </c>
      <c r="I412" s="21" t="str">
        <f aca="false">IFERROR(INDEX(종합!I$3:I$501,MATCH(ROW()-2,종합!$AC$3:$AC$501,0))&amp;"","")</f>
        <v/>
      </c>
      <c r="J412" s="21" t="str">
        <f aca="false">IFERROR(INDEX(종합!J$3:J$501,MATCH(ROW()-2,종합!$AC$3:$AC$501,0))&amp;"","")</f>
        <v/>
      </c>
      <c r="K412" s="21" t="str">
        <f aca="false">IFERROR(INDEX(종합!K$3:K$501,MATCH(ROW()-2,종합!$AC$3:$AC$501,0))&amp;"","")</f>
        <v/>
      </c>
      <c r="L412" s="21" t="str">
        <f aca="false">IFERROR(INDEX(종합!L$3:L$501,MATCH(ROW()-2,종합!$AC$3:$AC$501,0))&amp;"","")</f>
        <v/>
      </c>
      <c r="M412" s="21" t="str">
        <f aca="false">IFERROR(INDEX(종합!M$3:M$501,MATCH(ROW()-2,종합!$AC$3:$AC$501,0))&amp;"","")</f>
        <v/>
      </c>
      <c r="N412" s="25" t="str">
        <f aca="false">IFERROR(INDEX(종합!N$3:N$501,MATCH(ROW()-2,종합!$AC$3:$AC$501,0))&amp;"","")</f>
        <v/>
      </c>
      <c r="O412" s="21" t="str">
        <f aca="false">IFERROR(INDEX(종합!O$3:O$501,MATCH(ROW()-2,종합!$AC$3:$AC$501,0))&amp;"","")</f>
        <v/>
      </c>
      <c r="P412" s="21" t="str">
        <f aca="false">IFERROR(INDEX(종합!P$3:P$501,MATCH(ROW()-2,종합!$AC$3:$AC$501,0))&amp;"","")</f>
        <v/>
      </c>
      <c r="Q412" s="21" t="str">
        <f aca="false">IFERROR(INDEX(종합!Q$3:Q$501,MATCH(ROW()-2,종합!$AC$3:$AC$501,0))&amp;"","")</f>
        <v/>
      </c>
      <c r="R412" s="21" t="str">
        <f aca="false">IFERROR(INDEX(종합!R$3:R$501,MATCH(ROW()-2,종합!$AC$3:$AC$501,0))&amp;"","")</f>
        <v/>
      </c>
      <c r="S412" s="21" t="str">
        <f aca="false">IFERROR(INDEX(종합!S$3:S$501,MATCH(ROW()-2,종합!$AC$3:$AC$501,0))&amp;"","")</f>
        <v/>
      </c>
      <c r="T412" s="21" t="str">
        <f aca="false">IFERROR(INDEX(종합!T$3:T$501,MATCH(ROW()-2,종합!$AC$3:$AC$501,0))&amp;"","")</f>
        <v/>
      </c>
      <c r="U412" s="21" t="str">
        <f aca="false">IFERROR(INDEX(종합!U$3:U$501,MATCH(ROW()-2,종합!$AC$3:$AC$501,0))&amp;"","")</f>
        <v/>
      </c>
      <c r="V412" s="21" t="str">
        <f aca="false">IFERROR(INDEX(종합!V$3:V$501,MATCH(ROW()-2,종합!$AC$3:$AC$501,0))&amp;"","")</f>
        <v/>
      </c>
      <c r="W412" s="21" t="str">
        <f aca="false">IFERROR(INDEX(종합!W$3:W$501,MATCH(ROW()-2,종합!$AC$3:$AC$501,0))&amp;"","")</f>
        <v/>
      </c>
      <c r="X412" s="21" t="str">
        <f aca="false">IFERROR(INDEX(종합!X$3:X$501,MATCH(ROW()-2,종합!$AC$3:$AC$501,0))&amp;"","")</f>
        <v/>
      </c>
      <c r="Y412" s="21" t="str">
        <f aca="false">IFERROR(INDEX(종합!Y$3:Y$501,MATCH(ROW()-2,종합!$AC$3:$AC$501,0))&amp;"","")</f>
        <v/>
      </c>
      <c r="Z412" s="21" t="str">
        <f aca="false">IFERROR(INDEX(종합!Z$3:Z$501,MATCH(ROW()-2,종합!$AC$3:$AC$501,0))&amp;"","")</f>
        <v/>
      </c>
    </row>
    <row r="413" customFormat="false" ht="16.5" hidden="false" customHeight="true" outlineLevel="0" collapsed="false">
      <c r="A413" s="18" t="str">
        <f aca="false">IF(B413="","",ROW()-2)</f>
        <v/>
      </c>
      <c r="B413" s="18" t="str">
        <f aca="false">IFERROR(INDEX(종합!B$3:B$501,MATCH(ROW()-2,종합!$AC$3:$AC$501,0))&amp;"","")</f>
        <v/>
      </c>
      <c r="C413" s="18" t="str">
        <f aca="false">IFERROR(INDEX(종합!C$3:C$501,MATCH(ROW()-2,종합!$AC$3:$AC$501,0))&amp;"","")</f>
        <v/>
      </c>
      <c r="D413" s="18" t="str">
        <f aca="false">IFERROR(INDEX(종합!D$3:D$501,MATCH(ROW()-2,종합!$AC$3:$AC$501,0))&amp;"","")</f>
        <v/>
      </c>
      <c r="E413" s="18" t="str">
        <f aca="false">IFERROR(INDEX(종합!E$3:E$501,MATCH(ROW()-2,종합!$AC$3:$AC$501,0))&amp;"","")</f>
        <v/>
      </c>
      <c r="F413" s="18" t="str">
        <f aca="false">IFERROR(INDEX(종합!F$3:F$501,MATCH(ROW()-2,종합!$AC$3:$AC$501,0))&amp;"","")</f>
        <v/>
      </c>
      <c r="G413" s="18" t="str">
        <f aca="false">IFERROR(INDEX(종합!G$3:G$501,MATCH(ROW()-2,종합!$AC$3:$AC$501,0))&amp;"","")</f>
        <v/>
      </c>
      <c r="H413" s="21" t="str">
        <f aca="false">IFERROR(INDEX(종합!H$3:H$501,MATCH(ROW()-2,종합!$AC$3:$AC$501,0))&amp;"","")</f>
        <v/>
      </c>
      <c r="I413" s="21" t="str">
        <f aca="false">IFERROR(INDEX(종합!I$3:I$501,MATCH(ROW()-2,종합!$AC$3:$AC$501,0))&amp;"","")</f>
        <v/>
      </c>
      <c r="J413" s="21" t="str">
        <f aca="false">IFERROR(INDEX(종합!J$3:J$501,MATCH(ROW()-2,종합!$AC$3:$AC$501,0))&amp;"","")</f>
        <v/>
      </c>
      <c r="K413" s="21" t="str">
        <f aca="false">IFERROR(INDEX(종합!K$3:K$501,MATCH(ROW()-2,종합!$AC$3:$AC$501,0))&amp;"","")</f>
        <v/>
      </c>
      <c r="L413" s="21" t="str">
        <f aca="false">IFERROR(INDEX(종합!L$3:L$501,MATCH(ROW()-2,종합!$AC$3:$AC$501,0))&amp;"","")</f>
        <v/>
      </c>
      <c r="M413" s="21" t="str">
        <f aca="false">IFERROR(INDEX(종합!M$3:M$501,MATCH(ROW()-2,종합!$AC$3:$AC$501,0))&amp;"","")</f>
        <v/>
      </c>
      <c r="N413" s="25" t="str">
        <f aca="false">IFERROR(INDEX(종합!N$3:N$501,MATCH(ROW()-2,종합!$AC$3:$AC$501,0))&amp;"","")</f>
        <v/>
      </c>
      <c r="O413" s="21" t="str">
        <f aca="false">IFERROR(INDEX(종합!O$3:O$501,MATCH(ROW()-2,종합!$AC$3:$AC$501,0))&amp;"","")</f>
        <v/>
      </c>
      <c r="P413" s="21" t="str">
        <f aca="false">IFERROR(INDEX(종합!P$3:P$501,MATCH(ROW()-2,종합!$AC$3:$AC$501,0))&amp;"","")</f>
        <v/>
      </c>
      <c r="Q413" s="21" t="str">
        <f aca="false">IFERROR(INDEX(종합!Q$3:Q$501,MATCH(ROW()-2,종합!$AC$3:$AC$501,0))&amp;"","")</f>
        <v/>
      </c>
      <c r="R413" s="21" t="str">
        <f aca="false">IFERROR(INDEX(종합!R$3:R$501,MATCH(ROW()-2,종합!$AC$3:$AC$501,0))&amp;"","")</f>
        <v/>
      </c>
      <c r="S413" s="21" t="str">
        <f aca="false">IFERROR(INDEX(종합!S$3:S$501,MATCH(ROW()-2,종합!$AC$3:$AC$501,0))&amp;"","")</f>
        <v/>
      </c>
      <c r="T413" s="21" t="str">
        <f aca="false">IFERROR(INDEX(종합!T$3:T$501,MATCH(ROW()-2,종합!$AC$3:$AC$501,0))&amp;"","")</f>
        <v/>
      </c>
      <c r="U413" s="21" t="str">
        <f aca="false">IFERROR(INDEX(종합!U$3:U$501,MATCH(ROW()-2,종합!$AC$3:$AC$501,0))&amp;"","")</f>
        <v/>
      </c>
      <c r="V413" s="21" t="str">
        <f aca="false">IFERROR(INDEX(종합!V$3:V$501,MATCH(ROW()-2,종합!$AC$3:$AC$501,0))&amp;"","")</f>
        <v/>
      </c>
      <c r="W413" s="21" t="str">
        <f aca="false">IFERROR(INDEX(종합!W$3:W$501,MATCH(ROW()-2,종합!$AC$3:$AC$501,0))&amp;"","")</f>
        <v/>
      </c>
      <c r="X413" s="21" t="str">
        <f aca="false">IFERROR(INDEX(종합!X$3:X$501,MATCH(ROW()-2,종합!$AC$3:$AC$501,0))&amp;"","")</f>
        <v/>
      </c>
      <c r="Y413" s="21" t="str">
        <f aca="false">IFERROR(INDEX(종합!Y$3:Y$501,MATCH(ROW()-2,종합!$AC$3:$AC$501,0))&amp;"","")</f>
        <v/>
      </c>
      <c r="Z413" s="21" t="str">
        <f aca="false">IFERROR(INDEX(종합!Z$3:Z$501,MATCH(ROW()-2,종합!$AC$3:$AC$501,0))&amp;"","")</f>
        <v/>
      </c>
    </row>
    <row r="414" customFormat="false" ht="16.5" hidden="false" customHeight="true" outlineLevel="0" collapsed="false">
      <c r="A414" s="18" t="str">
        <f aca="false">IF(B414="","",ROW()-2)</f>
        <v/>
      </c>
      <c r="B414" s="18" t="str">
        <f aca="false">IFERROR(INDEX(종합!B$3:B$501,MATCH(ROW()-2,종합!$AC$3:$AC$501,0))&amp;"","")</f>
        <v/>
      </c>
      <c r="C414" s="18" t="str">
        <f aca="false">IFERROR(INDEX(종합!C$3:C$501,MATCH(ROW()-2,종합!$AC$3:$AC$501,0))&amp;"","")</f>
        <v/>
      </c>
      <c r="D414" s="18" t="str">
        <f aca="false">IFERROR(INDEX(종합!D$3:D$501,MATCH(ROW()-2,종합!$AC$3:$AC$501,0))&amp;"","")</f>
        <v/>
      </c>
      <c r="E414" s="18" t="str">
        <f aca="false">IFERROR(INDEX(종합!E$3:E$501,MATCH(ROW()-2,종합!$AC$3:$AC$501,0))&amp;"","")</f>
        <v/>
      </c>
      <c r="F414" s="18" t="str">
        <f aca="false">IFERROR(INDEX(종합!F$3:F$501,MATCH(ROW()-2,종합!$AC$3:$AC$501,0))&amp;"","")</f>
        <v/>
      </c>
      <c r="G414" s="18" t="str">
        <f aca="false">IFERROR(INDEX(종합!G$3:G$501,MATCH(ROW()-2,종합!$AC$3:$AC$501,0))&amp;"","")</f>
        <v/>
      </c>
      <c r="H414" s="21" t="str">
        <f aca="false">IFERROR(INDEX(종합!H$3:H$501,MATCH(ROW()-2,종합!$AC$3:$AC$501,0))&amp;"","")</f>
        <v/>
      </c>
      <c r="I414" s="21" t="str">
        <f aca="false">IFERROR(INDEX(종합!I$3:I$501,MATCH(ROW()-2,종합!$AC$3:$AC$501,0))&amp;"","")</f>
        <v/>
      </c>
      <c r="J414" s="21" t="str">
        <f aca="false">IFERROR(INDEX(종합!J$3:J$501,MATCH(ROW()-2,종합!$AC$3:$AC$501,0))&amp;"","")</f>
        <v/>
      </c>
      <c r="K414" s="21" t="str">
        <f aca="false">IFERROR(INDEX(종합!K$3:K$501,MATCH(ROW()-2,종합!$AC$3:$AC$501,0))&amp;"","")</f>
        <v/>
      </c>
      <c r="L414" s="21" t="str">
        <f aca="false">IFERROR(INDEX(종합!L$3:L$501,MATCH(ROW()-2,종합!$AC$3:$AC$501,0))&amp;"","")</f>
        <v/>
      </c>
      <c r="M414" s="21" t="str">
        <f aca="false">IFERROR(INDEX(종합!M$3:M$501,MATCH(ROW()-2,종합!$AC$3:$AC$501,0))&amp;"","")</f>
        <v/>
      </c>
      <c r="N414" s="25" t="str">
        <f aca="false">IFERROR(INDEX(종합!N$3:N$501,MATCH(ROW()-2,종합!$AC$3:$AC$501,0))&amp;"","")</f>
        <v/>
      </c>
      <c r="O414" s="21" t="str">
        <f aca="false">IFERROR(INDEX(종합!O$3:O$501,MATCH(ROW()-2,종합!$AC$3:$AC$501,0))&amp;"","")</f>
        <v/>
      </c>
      <c r="P414" s="21" t="str">
        <f aca="false">IFERROR(INDEX(종합!P$3:P$501,MATCH(ROW()-2,종합!$AC$3:$AC$501,0))&amp;"","")</f>
        <v/>
      </c>
      <c r="Q414" s="21" t="str">
        <f aca="false">IFERROR(INDEX(종합!Q$3:Q$501,MATCH(ROW()-2,종합!$AC$3:$AC$501,0))&amp;"","")</f>
        <v/>
      </c>
      <c r="R414" s="21" t="str">
        <f aca="false">IFERROR(INDEX(종합!R$3:R$501,MATCH(ROW()-2,종합!$AC$3:$AC$501,0))&amp;"","")</f>
        <v/>
      </c>
      <c r="S414" s="21" t="str">
        <f aca="false">IFERROR(INDEX(종합!S$3:S$501,MATCH(ROW()-2,종합!$AC$3:$AC$501,0))&amp;"","")</f>
        <v/>
      </c>
      <c r="T414" s="21" t="str">
        <f aca="false">IFERROR(INDEX(종합!T$3:T$501,MATCH(ROW()-2,종합!$AC$3:$AC$501,0))&amp;"","")</f>
        <v/>
      </c>
      <c r="U414" s="21" t="str">
        <f aca="false">IFERROR(INDEX(종합!U$3:U$501,MATCH(ROW()-2,종합!$AC$3:$AC$501,0))&amp;"","")</f>
        <v/>
      </c>
      <c r="V414" s="21" t="str">
        <f aca="false">IFERROR(INDEX(종합!V$3:V$501,MATCH(ROW()-2,종합!$AC$3:$AC$501,0))&amp;"","")</f>
        <v/>
      </c>
      <c r="W414" s="21" t="str">
        <f aca="false">IFERROR(INDEX(종합!W$3:W$501,MATCH(ROW()-2,종합!$AC$3:$AC$501,0))&amp;"","")</f>
        <v/>
      </c>
      <c r="X414" s="21" t="str">
        <f aca="false">IFERROR(INDEX(종합!X$3:X$501,MATCH(ROW()-2,종합!$AC$3:$AC$501,0))&amp;"","")</f>
        <v/>
      </c>
      <c r="Y414" s="21" t="str">
        <f aca="false">IFERROR(INDEX(종합!Y$3:Y$501,MATCH(ROW()-2,종합!$AC$3:$AC$501,0))&amp;"","")</f>
        <v/>
      </c>
      <c r="Z414" s="21" t="str">
        <f aca="false">IFERROR(INDEX(종합!Z$3:Z$501,MATCH(ROW()-2,종합!$AC$3:$AC$501,0))&amp;"","")</f>
        <v/>
      </c>
    </row>
    <row r="415" customFormat="false" ht="16.5" hidden="false" customHeight="true" outlineLevel="0" collapsed="false">
      <c r="A415" s="18" t="str">
        <f aca="false">IF(B415="","",ROW()-2)</f>
        <v/>
      </c>
      <c r="B415" s="18" t="str">
        <f aca="false">IFERROR(INDEX(종합!B$3:B$501,MATCH(ROW()-2,종합!$AC$3:$AC$501,0))&amp;"","")</f>
        <v/>
      </c>
      <c r="C415" s="18" t="str">
        <f aca="false">IFERROR(INDEX(종합!C$3:C$501,MATCH(ROW()-2,종합!$AC$3:$AC$501,0))&amp;"","")</f>
        <v/>
      </c>
      <c r="D415" s="18" t="str">
        <f aca="false">IFERROR(INDEX(종합!D$3:D$501,MATCH(ROW()-2,종합!$AC$3:$AC$501,0))&amp;"","")</f>
        <v/>
      </c>
      <c r="E415" s="18" t="str">
        <f aca="false">IFERROR(INDEX(종합!E$3:E$501,MATCH(ROW()-2,종합!$AC$3:$AC$501,0))&amp;"","")</f>
        <v/>
      </c>
      <c r="F415" s="18" t="str">
        <f aca="false">IFERROR(INDEX(종합!F$3:F$501,MATCH(ROW()-2,종합!$AC$3:$AC$501,0))&amp;"","")</f>
        <v/>
      </c>
      <c r="G415" s="18" t="str">
        <f aca="false">IFERROR(INDEX(종합!G$3:G$501,MATCH(ROW()-2,종합!$AC$3:$AC$501,0))&amp;"","")</f>
        <v/>
      </c>
      <c r="H415" s="21" t="str">
        <f aca="false">IFERROR(INDEX(종합!H$3:H$501,MATCH(ROW()-2,종합!$AC$3:$AC$501,0))&amp;"","")</f>
        <v/>
      </c>
      <c r="I415" s="21" t="str">
        <f aca="false">IFERROR(INDEX(종합!I$3:I$501,MATCH(ROW()-2,종합!$AC$3:$AC$501,0))&amp;"","")</f>
        <v/>
      </c>
      <c r="J415" s="21" t="str">
        <f aca="false">IFERROR(INDEX(종합!J$3:J$501,MATCH(ROW()-2,종합!$AC$3:$AC$501,0))&amp;"","")</f>
        <v/>
      </c>
      <c r="K415" s="21" t="str">
        <f aca="false">IFERROR(INDEX(종합!K$3:K$501,MATCH(ROW()-2,종합!$AC$3:$AC$501,0))&amp;"","")</f>
        <v/>
      </c>
      <c r="L415" s="21" t="str">
        <f aca="false">IFERROR(INDEX(종합!L$3:L$501,MATCH(ROW()-2,종합!$AC$3:$AC$501,0))&amp;"","")</f>
        <v/>
      </c>
      <c r="M415" s="21" t="str">
        <f aca="false">IFERROR(INDEX(종합!M$3:M$501,MATCH(ROW()-2,종합!$AC$3:$AC$501,0))&amp;"","")</f>
        <v/>
      </c>
      <c r="N415" s="25" t="str">
        <f aca="false">IFERROR(INDEX(종합!N$3:N$501,MATCH(ROW()-2,종합!$AC$3:$AC$501,0))&amp;"","")</f>
        <v/>
      </c>
      <c r="O415" s="21" t="str">
        <f aca="false">IFERROR(INDEX(종합!O$3:O$501,MATCH(ROW()-2,종합!$AC$3:$AC$501,0))&amp;"","")</f>
        <v/>
      </c>
      <c r="P415" s="21" t="str">
        <f aca="false">IFERROR(INDEX(종합!P$3:P$501,MATCH(ROW()-2,종합!$AC$3:$AC$501,0))&amp;"","")</f>
        <v/>
      </c>
      <c r="Q415" s="21" t="str">
        <f aca="false">IFERROR(INDEX(종합!Q$3:Q$501,MATCH(ROW()-2,종합!$AC$3:$AC$501,0))&amp;"","")</f>
        <v/>
      </c>
      <c r="R415" s="21" t="str">
        <f aca="false">IFERROR(INDEX(종합!R$3:R$501,MATCH(ROW()-2,종합!$AC$3:$AC$501,0))&amp;"","")</f>
        <v/>
      </c>
      <c r="S415" s="21" t="str">
        <f aca="false">IFERROR(INDEX(종합!S$3:S$501,MATCH(ROW()-2,종합!$AC$3:$AC$501,0))&amp;"","")</f>
        <v/>
      </c>
      <c r="T415" s="21" t="str">
        <f aca="false">IFERROR(INDEX(종합!T$3:T$501,MATCH(ROW()-2,종합!$AC$3:$AC$501,0))&amp;"","")</f>
        <v/>
      </c>
      <c r="U415" s="21" t="str">
        <f aca="false">IFERROR(INDEX(종합!U$3:U$501,MATCH(ROW()-2,종합!$AC$3:$AC$501,0))&amp;"","")</f>
        <v/>
      </c>
      <c r="V415" s="21" t="str">
        <f aca="false">IFERROR(INDEX(종합!V$3:V$501,MATCH(ROW()-2,종합!$AC$3:$AC$501,0))&amp;"","")</f>
        <v/>
      </c>
      <c r="W415" s="21" t="str">
        <f aca="false">IFERROR(INDEX(종합!W$3:W$501,MATCH(ROW()-2,종합!$AC$3:$AC$501,0))&amp;"","")</f>
        <v/>
      </c>
      <c r="X415" s="21" t="str">
        <f aca="false">IFERROR(INDEX(종합!X$3:X$501,MATCH(ROW()-2,종합!$AC$3:$AC$501,0))&amp;"","")</f>
        <v/>
      </c>
      <c r="Y415" s="21" t="str">
        <f aca="false">IFERROR(INDEX(종합!Y$3:Y$501,MATCH(ROW()-2,종합!$AC$3:$AC$501,0))&amp;"","")</f>
        <v/>
      </c>
      <c r="Z415" s="21" t="str">
        <f aca="false">IFERROR(INDEX(종합!Z$3:Z$501,MATCH(ROW()-2,종합!$AC$3:$AC$501,0))&amp;"","")</f>
        <v/>
      </c>
    </row>
    <row r="416" customFormat="false" ht="16.5" hidden="false" customHeight="true" outlineLevel="0" collapsed="false">
      <c r="A416" s="18" t="str">
        <f aca="false">IF(B416="","",ROW()-2)</f>
        <v/>
      </c>
      <c r="B416" s="18" t="str">
        <f aca="false">IFERROR(INDEX(종합!B$3:B$501,MATCH(ROW()-2,종합!$AC$3:$AC$501,0))&amp;"","")</f>
        <v/>
      </c>
      <c r="C416" s="18" t="str">
        <f aca="false">IFERROR(INDEX(종합!C$3:C$501,MATCH(ROW()-2,종합!$AC$3:$AC$501,0))&amp;"","")</f>
        <v/>
      </c>
      <c r="D416" s="18" t="str">
        <f aca="false">IFERROR(INDEX(종합!D$3:D$501,MATCH(ROW()-2,종합!$AC$3:$AC$501,0))&amp;"","")</f>
        <v/>
      </c>
      <c r="E416" s="18" t="str">
        <f aca="false">IFERROR(INDEX(종합!E$3:E$501,MATCH(ROW()-2,종합!$AC$3:$AC$501,0))&amp;"","")</f>
        <v/>
      </c>
      <c r="F416" s="18" t="str">
        <f aca="false">IFERROR(INDEX(종합!F$3:F$501,MATCH(ROW()-2,종합!$AC$3:$AC$501,0))&amp;"","")</f>
        <v/>
      </c>
      <c r="G416" s="18" t="str">
        <f aca="false">IFERROR(INDEX(종합!G$3:G$501,MATCH(ROW()-2,종합!$AC$3:$AC$501,0))&amp;"","")</f>
        <v/>
      </c>
      <c r="H416" s="21" t="str">
        <f aca="false">IFERROR(INDEX(종합!H$3:H$501,MATCH(ROW()-2,종합!$AC$3:$AC$501,0))&amp;"","")</f>
        <v/>
      </c>
      <c r="I416" s="21" t="str">
        <f aca="false">IFERROR(INDEX(종합!I$3:I$501,MATCH(ROW()-2,종합!$AC$3:$AC$501,0))&amp;"","")</f>
        <v/>
      </c>
      <c r="J416" s="21" t="str">
        <f aca="false">IFERROR(INDEX(종합!J$3:J$501,MATCH(ROW()-2,종합!$AC$3:$AC$501,0))&amp;"","")</f>
        <v/>
      </c>
      <c r="K416" s="21" t="str">
        <f aca="false">IFERROR(INDEX(종합!K$3:K$501,MATCH(ROW()-2,종합!$AC$3:$AC$501,0))&amp;"","")</f>
        <v/>
      </c>
      <c r="L416" s="21" t="str">
        <f aca="false">IFERROR(INDEX(종합!L$3:L$501,MATCH(ROW()-2,종합!$AC$3:$AC$501,0))&amp;"","")</f>
        <v/>
      </c>
      <c r="M416" s="21" t="str">
        <f aca="false">IFERROR(INDEX(종합!M$3:M$501,MATCH(ROW()-2,종합!$AC$3:$AC$501,0))&amp;"","")</f>
        <v/>
      </c>
      <c r="N416" s="25" t="str">
        <f aca="false">IFERROR(INDEX(종합!N$3:N$501,MATCH(ROW()-2,종합!$AC$3:$AC$501,0))&amp;"","")</f>
        <v/>
      </c>
      <c r="O416" s="21" t="str">
        <f aca="false">IFERROR(INDEX(종합!O$3:O$501,MATCH(ROW()-2,종합!$AC$3:$AC$501,0))&amp;"","")</f>
        <v/>
      </c>
      <c r="P416" s="21" t="str">
        <f aca="false">IFERROR(INDEX(종합!P$3:P$501,MATCH(ROW()-2,종합!$AC$3:$AC$501,0))&amp;"","")</f>
        <v/>
      </c>
      <c r="Q416" s="21" t="str">
        <f aca="false">IFERROR(INDEX(종합!Q$3:Q$501,MATCH(ROW()-2,종합!$AC$3:$AC$501,0))&amp;"","")</f>
        <v/>
      </c>
      <c r="R416" s="21" t="str">
        <f aca="false">IFERROR(INDEX(종합!R$3:R$501,MATCH(ROW()-2,종합!$AC$3:$AC$501,0))&amp;"","")</f>
        <v/>
      </c>
      <c r="S416" s="21" t="str">
        <f aca="false">IFERROR(INDEX(종합!S$3:S$501,MATCH(ROW()-2,종합!$AC$3:$AC$501,0))&amp;"","")</f>
        <v/>
      </c>
      <c r="T416" s="21" t="str">
        <f aca="false">IFERROR(INDEX(종합!T$3:T$501,MATCH(ROW()-2,종합!$AC$3:$AC$501,0))&amp;"","")</f>
        <v/>
      </c>
      <c r="U416" s="21" t="str">
        <f aca="false">IFERROR(INDEX(종합!U$3:U$501,MATCH(ROW()-2,종합!$AC$3:$AC$501,0))&amp;"","")</f>
        <v/>
      </c>
      <c r="V416" s="21" t="str">
        <f aca="false">IFERROR(INDEX(종합!V$3:V$501,MATCH(ROW()-2,종합!$AC$3:$AC$501,0))&amp;"","")</f>
        <v/>
      </c>
      <c r="W416" s="21" t="str">
        <f aca="false">IFERROR(INDEX(종합!W$3:W$501,MATCH(ROW()-2,종합!$AC$3:$AC$501,0))&amp;"","")</f>
        <v/>
      </c>
      <c r="X416" s="21" t="str">
        <f aca="false">IFERROR(INDEX(종합!X$3:X$501,MATCH(ROW()-2,종합!$AC$3:$AC$501,0))&amp;"","")</f>
        <v/>
      </c>
      <c r="Y416" s="21" t="str">
        <f aca="false">IFERROR(INDEX(종합!Y$3:Y$501,MATCH(ROW()-2,종합!$AC$3:$AC$501,0))&amp;"","")</f>
        <v/>
      </c>
      <c r="Z416" s="21" t="str">
        <f aca="false">IFERROR(INDEX(종합!Z$3:Z$501,MATCH(ROW()-2,종합!$AC$3:$AC$501,0))&amp;"","")</f>
        <v/>
      </c>
    </row>
    <row r="417" customFormat="false" ht="16.5" hidden="false" customHeight="true" outlineLevel="0" collapsed="false">
      <c r="A417" s="18" t="str">
        <f aca="false">IF(B417="","",ROW()-2)</f>
        <v/>
      </c>
      <c r="B417" s="18" t="str">
        <f aca="false">IFERROR(INDEX(종합!B$3:B$501,MATCH(ROW()-2,종합!$AC$3:$AC$501,0))&amp;"","")</f>
        <v/>
      </c>
      <c r="C417" s="18" t="str">
        <f aca="false">IFERROR(INDEX(종합!C$3:C$501,MATCH(ROW()-2,종합!$AC$3:$AC$501,0))&amp;"","")</f>
        <v/>
      </c>
      <c r="D417" s="18" t="str">
        <f aca="false">IFERROR(INDEX(종합!D$3:D$501,MATCH(ROW()-2,종합!$AC$3:$AC$501,0))&amp;"","")</f>
        <v/>
      </c>
      <c r="E417" s="18" t="str">
        <f aca="false">IFERROR(INDEX(종합!E$3:E$501,MATCH(ROW()-2,종합!$AC$3:$AC$501,0))&amp;"","")</f>
        <v/>
      </c>
      <c r="F417" s="18" t="str">
        <f aca="false">IFERROR(INDEX(종합!F$3:F$501,MATCH(ROW()-2,종합!$AC$3:$AC$501,0))&amp;"","")</f>
        <v/>
      </c>
      <c r="G417" s="18" t="str">
        <f aca="false">IFERROR(INDEX(종합!G$3:G$501,MATCH(ROW()-2,종합!$AC$3:$AC$501,0))&amp;"","")</f>
        <v/>
      </c>
      <c r="H417" s="21" t="str">
        <f aca="false">IFERROR(INDEX(종합!H$3:H$501,MATCH(ROW()-2,종합!$AC$3:$AC$501,0))&amp;"","")</f>
        <v/>
      </c>
      <c r="I417" s="21" t="str">
        <f aca="false">IFERROR(INDEX(종합!I$3:I$501,MATCH(ROW()-2,종합!$AC$3:$AC$501,0))&amp;"","")</f>
        <v/>
      </c>
      <c r="J417" s="21" t="str">
        <f aca="false">IFERROR(INDEX(종합!J$3:J$501,MATCH(ROW()-2,종합!$AC$3:$AC$501,0))&amp;"","")</f>
        <v/>
      </c>
      <c r="K417" s="21" t="str">
        <f aca="false">IFERROR(INDEX(종합!K$3:K$501,MATCH(ROW()-2,종합!$AC$3:$AC$501,0))&amp;"","")</f>
        <v/>
      </c>
      <c r="L417" s="21" t="str">
        <f aca="false">IFERROR(INDEX(종합!L$3:L$501,MATCH(ROW()-2,종합!$AC$3:$AC$501,0))&amp;"","")</f>
        <v/>
      </c>
      <c r="M417" s="21" t="str">
        <f aca="false">IFERROR(INDEX(종합!M$3:M$501,MATCH(ROW()-2,종합!$AC$3:$AC$501,0))&amp;"","")</f>
        <v/>
      </c>
      <c r="N417" s="25" t="str">
        <f aca="false">IFERROR(INDEX(종합!N$3:N$501,MATCH(ROW()-2,종합!$AC$3:$AC$501,0))&amp;"","")</f>
        <v/>
      </c>
      <c r="O417" s="21" t="str">
        <f aca="false">IFERROR(INDEX(종합!O$3:O$501,MATCH(ROW()-2,종합!$AC$3:$AC$501,0))&amp;"","")</f>
        <v/>
      </c>
      <c r="P417" s="21" t="str">
        <f aca="false">IFERROR(INDEX(종합!P$3:P$501,MATCH(ROW()-2,종합!$AC$3:$AC$501,0))&amp;"","")</f>
        <v/>
      </c>
      <c r="Q417" s="21" t="str">
        <f aca="false">IFERROR(INDEX(종합!Q$3:Q$501,MATCH(ROW()-2,종합!$AC$3:$AC$501,0))&amp;"","")</f>
        <v/>
      </c>
      <c r="R417" s="21" t="str">
        <f aca="false">IFERROR(INDEX(종합!R$3:R$501,MATCH(ROW()-2,종합!$AC$3:$AC$501,0))&amp;"","")</f>
        <v/>
      </c>
      <c r="S417" s="21" t="str">
        <f aca="false">IFERROR(INDEX(종합!S$3:S$501,MATCH(ROW()-2,종합!$AC$3:$AC$501,0))&amp;"","")</f>
        <v/>
      </c>
      <c r="T417" s="21" t="str">
        <f aca="false">IFERROR(INDEX(종합!T$3:T$501,MATCH(ROW()-2,종합!$AC$3:$AC$501,0))&amp;"","")</f>
        <v/>
      </c>
      <c r="U417" s="21" t="str">
        <f aca="false">IFERROR(INDEX(종합!U$3:U$501,MATCH(ROW()-2,종합!$AC$3:$AC$501,0))&amp;"","")</f>
        <v/>
      </c>
      <c r="V417" s="21" t="str">
        <f aca="false">IFERROR(INDEX(종합!V$3:V$501,MATCH(ROW()-2,종합!$AC$3:$AC$501,0))&amp;"","")</f>
        <v/>
      </c>
      <c r="W417" s="21" t="str">
        <f aca="false">IFERROR(INDEX(종합!W$3:W$501,MATCH(ROW()-2,종합!$AC$3:$AC$501,0))&amp;"","")</f>
        <v/>
      </c>
      <c r="X417" s="21" t="str">
        <f aca="false">IFERROR(INDEX(종합!X$3:X$501,MATCH(ROW()-2,종합!$AC$3:$AC$501,0))&amp;"","")</f>
        <v/>
      </c>
      <c r="Y417" s="21" t="str">
        <f aca="false">IFERROR(INDEX(종합!Y$3:Y$501,MATCH(ROW()-2,종합!$AC$3:$AC$501,0))&amp;"","")</f>
        <v/>
      </c>
      <c r="Z417" s="21" t="str">
        <f aca="false">IFERROR(INDEX(종합!Z$3:Z$501,MATCH(ROW()-2,종합!$AC$3:$AC$501,0))&amp;"","")</f>
        <v/>
      </c>
    </row>
    <row r="418" customFormat="false" ht="16.5" hidden="false" customHeight="true" outlineLevel="0" collapsed="false">
      <c r="A418" s="18" t="str">
        <f aca="false">IF(B418="","",ROW()-2)</f>
        <v/>
      </c>
      <c r="B418" s="18" t="str">
        <f aca="false">IFERROR(INDEX(종합!B$3:B$501,MATCH(ROW()-2,종합!$AC$3:$AC$501,0))&amp;"","")</f>
        <v/>
      </c>
      <c r="C418" s="18" t="str">
        <f aca="false">IFERROR(INDEX(종합!C$3:C$501,MATCH(ROW()-2,종합!$AC$3:$AC$501,0))&amp;"","")</f>
        <v/>
      </c>
      <c r="D418" s="18" t="str">
        <f aca="false">IFERROR(INDEX(종합!D$3:D$501,MATCH(ROW()-2,종합!$AC$3:$AC$501,0))&amp;"","")</f>
        <v/>
      </c>
      <c r="E418" s="18" t="str">
        <f aca="false">IFERROR(INDEX(종합!E$3:E$501,MATCH(ROW()-2,종합!$AC$3:$AC$501,0))&amp;"","")</f>
        <v/>
      </c>
      <c r="F418" s="18" t="str">
        <f aca="false">IFERROR(INDEX(종합!F$3:F$501,MATCH(ROW()-2,종합!$AC$3:$AC$501,0))&amp;"","")</f>
        <v/>
      </c>
      <c r="G418" s="18" t="str">
        <f aca="false">IFERROR(INDEX(종합!G$3:G$501,MATCH(ROW()-2,종합!$AC$3:$AC$501,0))&amp;"","")</f>
        <v/>
      </c>
      <c r="H418" s="21" t="str">
        <f aca="false">IFERROR(INDEX(종합!H$3:H$501,MATCH(ROW()-2,종합!$AC$3:$AC$501,0))&amp;"","")</f>
        <v/>
      </c>
      <c r="I418" s="21" t="str">
        <f aca="false">IFERROR(INDEX(종합!I$3:I$501,MATCH(ROW()-2,종합!$AC$3:$AC$501,0))&amp;"","")</f>
        <v/>
      </c>
      <c r="J418" s="21" t="str">
        <f aca="false">IFERROR(INDEX(종합!J$3:J$501,MATCH(ROW()-2,종합!$AC$3:$AC$501,0))&amp;"","")</f>
        <v/>
      </c>
      <c r="K418" s="21" t="str">
        <f aca="false">IFERROR(INDEX(종합!K$3:K$501,MATCH(ROW()-2,종합!$AC$3:$AC$501,0))&amp;"","")</f>
        <v/>
      </c>
      <c r="L418" s="21" t="str">
        <f aca="false">IFERROR(INDEX(종합!L$3:L$501,MATCH(ROW()-2,종합!$AC$3:$AC$501,0))&amp;"","")</f>
        <v/>
      </c>
      <c r="M418" s="21" t="str">
        <f aca="false">IFERROR(INDEX(종합!M$3:M$501,MATCH(ROW()-2,종합!$AC$3:$AC$501,0))&amp;"","")</f>
        <v/>
      </c>
      <c r="N418" s="25" t="str">
        <f aca="false">IFERROR(INDEX(종합!N$3:N$501,MATCH(ROW()-2,종합!$AC$3:$AC$501,0))&amp;"","")</f>
        <v/>
      </c>
      <c r="O418" s="21" t="str">
        <f aca="false">IFERROR(INDEX(종합!O$3:O$501,MATCH(ROW()-2,종합!$AC$3:$AC$501,0))&amp;"","")</f>
        <v/>
      </c>
      <c r="P418" s="21" t="str">
        <f aca="false">IFERROR(INDEX(종합!P$3:P$501,MATCH(ROW()-2,종합!$AC$3:$AC$501,0))&amp;"","")</f>
        <v/>
      </c>
      <c r="Q418" s="21" t="str">
        <f aca="false">IFERROR(INDEX(종합!Q$3:Q$501,MATCH(ROW()-2,종합!$AC$3:$AC$501,0))&amp;"","")</f>
        <v/>
      </c>
      <c r="R418" s="21" t="str">
        <f aca="false">IFERROR(INDEX(종합!R$3:R$501,MATCH(ROW()-2,종합!$AC$3:$AC$501,0))&amp;"","")</f>
        <v/>
      </c>
      <c r="S418" s="21" t="str">
        <f aca="false">IFERROR(INDEX(종합!S$3:S$501,MATCH(ROW()-2,종합!$AC$3:$AC$501,0))&amp;"","")</f>
        <v/>
      </c>
      <c r="T418" s="21" t="str">
        <f aca="false">IFERROR(INDEX(종합!T$3:T$501,MATCH(ROW()-2,종합!$AC$3:$AC$501,0))&amp;"","")</f>
        <v/>
      </c>
      <c r="U418" s="21" t="str">
        <f aca="false">IFERROR(INDEX(종합!U$3:U$501,MATCH(ROW()-2,종합!$AC$3:$AC$501,0))&amp;"","")</f>
        <v/>
      </c>
      <c r="V418" s="21" t="str">
        <f aca="false">IFERROR(INDEX(종합!V$3:V$501,MATCH(ROW()-2,종합!$AC$3:$AC$501,0))&amp;"","")</f>
        <v/>
      </c>
      <c r="W418" s="21" t="str">
        <f aca="false">IFERROR(INDEX(종합!W$3:W$501,MATCH(ROW()-2,종합!$AC$3:$AC$501,0))&amp;"","")</f>
        <v/>
      </c>
      <c r="X418" s="21" t="str">
        <f aca="false">IFERROR(INDEX(종합!X$3:X$501,MATCH(ROW()-2,종합!$AC$3:$AC$501,0))&amp;"","")</f>
        <v/>
      </c>
      <c r="Y418" s="21" t="str">
        <f aca="false">IFERROR(INDEX(종합!Y$3:Y$501,MATCH(ROW()-2,종합!$AC$3:$AC$501,0))&amp;"","")</f>
        <v/>
      </c>
      <c r="Z418" s="21" t="str">
        <f aca="false">IFERROR(INDEX(종합!Z$3:Z$501,MATCH(ROW()-2,종합!$AC$3:$AC$501,0))&amp;"","")</f>
        <v/>
      </c>
    </row>
    <row r="419" customFormat="false" ht="16.5" hidden="false" customHeight="true" outlineLevel="0" collapsed="false">
      <c r="A419" s="18" t="str">
        <f aca="false">IF(B419="","",ROW()-2)</f>
        <v/>
      </c>
      <c r="B419" s="18" t="str">
        <f aca="false">IFERROR(INDEX(종합!B$3:B$501,MATCH(ROW()-2,종합!$AC$3:$AC$501,0))&amp;"","")</f>
        <v/>
      </c>
      <c r="C419" s="18" t="str">
        <f aca="false">IFERROR(INDEX(종합!C$3:C$501,MATCH(ROW()-2,종합!$AC$3:$AC$501,0))&amp;"","")</f>
        <v/>
      </c>
      <c r="D419" s="18" t="str">
        <f aca="false">IFERROR(INDEX(종합!D$3:D$501,MATCH(ROW()-2,종합!$AC$3:$AC$501,0))&amp;"","")</f>
        <v/>
      </c>
      <c r="E419" s="18" t="str">
        <f aca="false">IFERROR(INDEX(종합!E$3:E$501,MATCH(ROW()-2,종합!$AC$3:$AC$501,0))&amp;"","")</f>
        <v/>
      </c>
      <c r="F419" s="18" t="str">
        <f aca="false">IFERROR(INDEX(종합!F$3:F$501,MATCH(ROW()-2,종합!$AC$3:$AC$501,0))&amp;"","")</f>
        <v/>
      </c>
      <c r="G419" s="18" t="str">
        <f aca="false">IFERROR(INDEX(종합!G$3:G$501,MATCH(ROW()-2,종합!$AC$3:$AC$501,0))&amp;"","")</f>
        <v/>
      </c>
      <c r="H419" s="21" t="str">
        <f aca="false">IFERROR(INDEX(종합!H$3:H$501,MATCH(ROW()-2,종합!$AC$3:$AC$501,0))&amp;"","")</f>
        <v/>
      </c>
      <c r="I419" s="21" t="str">
        <f aca="false">IFERROR(INDEX(종합!I$3:I$501,MATCH(ROW()-2,종합!$AC$3:$AC$501,0))&amp;"","")</f>
        <v/>
      </c>
      <c r="J419" s="21" t="str">
        <f aca="false">IFERROR(INDEX(종합!J$3:J$501,MATCH(ROW()-2,종합!$AC$3:$AC$501,0))&amp;"","")</f>
        <v/>
      </c>
      <c r="K419" s="21" t="str">
        <f aca="false">IFERROR(INDEX(종합!K$3:K$501,MATCH(ROW()-2,종합!$AC$3:$AC$501,0))&amp;"","")</f>
        <v/>
      </c>
      <c r="L419" s="21" t="str">
        <f aca="false">IFERROR(INDEX(종합!L$3:L$501,MATCH(ROW()-2,종합!$AC$3:$AC$501,0))&amp;"","")</f>
        <v/>
      </c>
      <c r="M419" s="21" t="str">
        <f aca="false">IFERROR(INDEX(종합!M$3:M$501,MATCH(ROW()-2,종합!$AC$3:$AC$501,0))&amp;"","")</f>
        <v/>
      </c>
      <c r="N419" s="25" t="str">
        <f aca="false">IFERROR(INDEX(종합!N$3:N$501,MATCH(ROW()-2,종합!$AC$3:$AC$501,0))&amp;"","")</f>
        <v/>
      </c>
      <c r="O419" s="21" t="str">
        <f aca="false">IFERROR(INDEX(종합!O$3:O$501,MATCH(ROW()-2,종합!$AC$3:$AC$501,0))&amp;"","")</f>
        <v/>
      </c>
      <c r="P419" s="21" t="str">
        <f aca="false">IFERROR(INDEX(종합!P$3:P$501,MATCH(ROW()-2,종합!$AC$3:$AC$501,0))&amp;"","")</f>
        <v/>
      </c>
      <c r="Q419" s="21" t="str">
        <f aca="false">IFERROR(INDEX(종합!Q$3:Q$501,MATCH(ROW()-2,종합!$AC$3:$AC$501,0))&amp;"","")</f>
        <v/>
      </c>
      <c r="R419" s="21" t="str">
        <f aca="false">IFERROR(INDEX(종합!R$3:R$501,MATCH(ROW()-2,종합!$AC$3:$AC$501,0))&amp;"","")</f>
        <v/>
      </c>
      <c r="S419" s="21" t="str">
        <f aca="false">IFERROR(INDEX(종합!S$3:S$501,MATCH(ROW()-2,종합!$AC$3:$AC$501,0))&amp;"","")</f>
        <v/>
      </c>
      <c r="T419" s="21" t="str">
        <f aca="false">IFERROR(INDEX(종합!T$3:T$501,MATCH(ROW()-2,종합!$AC$3:$AC$501,0))&amp;"","")</f>
        <v/>
      </c>
      <c r="U419" s="21" t="str">
        <f aca="false">IFERROR(INDEX(종합!U$3:U$501,MATCH(ROW()-2,종합!$AC$3:$AC$501,0))&amp;"","")</f>
        <v/>
      </c>
      <c r="V419" s="21" t="str">
        <f aca="false">IFERROR(INDEX(종합!V$3:V$501,MATCH(ROW()-2,종합!$AC$3:$AC$501,0))&amp;"","")</f>
        <v/>
      </c>
      <c r="W419" s="21" t="str">
        <f aca="false">IFERROR(INDEX(종합!W$3:W$501,MATCH(ROW()-2,종합!$AC$3:$AC$501,0))&amp;"","")</f>
        <v/>
      </c>
      <c r="X419" s="21" t="str">
        <f aca="false">IFERROR(INDEX(종합!X$3:X$501,MATCH(ROW()-2,종합!$AC$3:$AC$501,0))&amp;"","")</f>
        <v/>
      </c>
      <c r="Y419" s="21" t="str">
        <f aca="false">IFERROR(INDEX(종합!Y$3:Y$501,MATCH(ROW()-2,종합!$AC$3:$AC$501,0))&amp;"","")</f>
        <v/>
      </c>
      <c r="Z419" s="21" t="str">
        <f aca="false">IFERROR(INDEX(종합!Z$3:Z$501,MATCH(ROW()-2,종합!$AC$3:$AC$501,0))&amp;"","")</f>
        <v/>
      </c>
    </row>
    <row r="420" customFormat="false" ht="16.5" hidden="false" customHeight="true" outlineLevel="0" collapsed="false">
      <c r="A420" s="18" t="str">
        <f aca="false">IF(B420="","",ROW()-2)</f>
        <v/>
      </c>
      <c r="B420" s="18" t="str">
        <f aca="false">IFERROR(INDEX(종합!B$3:B$501,MATCH(ROW()-2,종합!$AC$3:$AC$501,0))&amp;"","")</f>
        <v/>
      </c>
      <c r="C420" s="18" t="str">
        <f aca="false">IFERROR(INDEX(종합!C$3:C$501,MATCH(ROW()-2,종합!$AC$3:$AC$501,0))&amp;"","")</f>
        <v/>
      </c>
      <c r="D420" s="18" t="str">
        <f aca="false">IFERROR(INDEX(종합!D$3:D$501,MATCH(ROW()-2,종합!$AC$3:$AC$501,0))&amp;"","")</f>
        <v/>
      </c>
      <c r="E420" s="18" t="str">
        <f aca="false">IFERROR(INDEX(종합!E$3:E$501,MATCH(ROW()-2,종합!$AC$3:$AC$501,0))&amp;"","")</f>
        <v/>
      </c>
      <c r="F420" s="18" t="str">
        <f aca="false">IFERROR(INDEX(종합!F$3:F$501,MATCH(ROW()-2,종합!$AC$3:$AC$501,0))&amp;"","")</f>
        <v/>
      </c>
      <c r="G420" s="18" t="str">
        <f aca="false">IFERROR(INDEX(종합!G$3:G$501,MATCH(ROW()-2,종합!$AC$3:$AC$501,0))&amp;"","")</f>
        <v/>
      </c>
      <c r="H420" s="21" t="str">
        <f aca="false">IFERROR(INDEX(종합!H$3:H$501,MATCH(ROW()-2,종합!$AC$3:$AC$501,0))&amp;"","")</f>
        <v/>
      </c>
      <c r="I420" s="21" t="str">
        <f aca="false">IFERROR(INDEX(종합!I$3:I$501,MATCH(ROW()-2,종합!$AC$3:$AC$501,0))&amp;"","")</f>
        <v/>
      </c>
      <c r="J420" s="21" t="str">
        <f aca="false">IFERROR(INDEX(종합!J$3:J$501,MATCH(ROW()-2,종합!$AC$3:$AC$501,0))&amp;"","")</f>
        <v/>
      </c>
      <c r="K420" s="21" t="str">
        <f aca="false">IFERROR(INDEX(종합!K$3:K$501,MATCH(ROW()-2,종합!$AC$3:$AC$501,0))&amp;"","")</f>
        <v/>
      </c>
      <c r="L420" s="21" t="str">
        <f aca="false">IFERROR(INDEX(종합!L$3:L$501,MATCH(ROW()-2,종합!$AC$3:$AC$501,0))&amp;"","")</f>
        <v/>
      </c>
      <c r="M420" s="21" t="str">
        <f aca="false">IFERROR(INDEX(종합!M$3:M$501,MATCH(ROW()-2,종합!$AC$3:$AC$501,0))&amp;"","")</f>
        <v/>
      </c>
      <c r="N420" s="25" t="str">
        <f aca="false">IFERROR(INDEX(종합!N$3:N$501,MATCH(ROW()-2,종합!$AC$3:$AC$501,0))&amp;"","")</f>
        <v/>
      </c>
      <c r="O420" s="21" t="str">
        <f aca="false">IFERROR(INDEX(종합!O$3:O$501,MATCH(ROW()-2,종합!$AC$3:$AC$501,0))&amp;"","")</f>
        <v/>
      </c>
      <c r="P420" s="21" t="str">
        <f aca="false">IFERROR(INDEX(종합!P$3:P$501,MATCH(ROW()-2,종합!$AC$3:$AC$501,0))&amp;"","")</f>
        <v/>
      </c>
      <c r="Q420" s="21" t="str">
        <f aca="false">IFERROR(INDEX(종합!Q$3:Q$501,MATCH(ROW()-2,종합!$AC$3:$AC$501,0))&amp;"","")</f>
        <v/>
      </c>
      <c r="R420" s="21" t="str">
        <f aca="false">IFERROR(INDEX(종합!R$3:R$501,MATCH(ROW()-2,종합!$AC$3:$AC$501,0))&amp;"","")</f>
        <v/>
      </c>
      <c r="S420" s="21" t="str">
        <f aca="false">IFERROR(INDEX(종합!S$3:S$501,MATCH(ROW()-2,종합!$AC$3:$AC$501,0))&amp;"","")</f>
        <v/>
      </c>
      <c r="T420" s="21" t="str">
        <f aca="false">IFERROR(INDEX(종합!T$3:T$501,MATCH(ROW()-2,종합!$AC$3:$AC$501,0))&amp;"","")</f>
        <v/>
      </c>
      <c r="U420" s="21" t="str">
        <f aca="false">IFERROR(INDEX(종합!U$3:U$501,MATCH(ROW()-2,종합!$AC$3:$AC$501,0))&amp;"","")</f>
        <v/>
      </c>
      <c r="V420" s="21" t="str">
        <f aca="false">IFERROR(INDEX(종합!V$3:V$501,MATCH(ROW()-2,종합!$AC$3:$AC$501,0))&amp;"","")</f>
        <v/>
      </c>
      <c r="W420" s="21" t="str">
        <f aca="false">IFERROR(INDEX(종합!W$3:W$501,MATCH(ROW()-2,종합!$AC$3:$AC$501,0))&amp;"","")</f>
        <v/>
      </c>
      <c r="X420" s="21" t="str">
        <f aca="false">IFERROR(INDEX(종합!X$3:X$501,MATCH(ROW()-2,종합!$AC$3:$AC$501,0))&amp;"","")</f>
        <v/>
      </c>
      <c r="Y420" s="21" t="str">
        <f aca="false">IFERROR(INDEX(종합!Y$3:Y$501,MATCH(ROW()-2,종합!$AC$3:$AC$501,0))&amp;"","")</f>
        <v/>
      </c>
      <c r="Z420" s="21" t="str">
        <f aca="false">IFERROR(INDEX(종합!Z$3:Z$501,MATCH(ROW()-2,종합!$AC$3:$AC$501,0))&amp;"","")</f>
        <v/>
      </c>
    </row>
    <row r="421" customFormat="false" ht="16.5" hidden="false" customHeight="true" outlineLevel="0" collapsed="false">
      <c r="A421" s="18" t="str">
        <f aca="false">IF(B421="","",ROW()-2)</f>
        <v/>
      </c>
      <c r="B421" s="18" t="str">
        <f aca="false">IFERROR(INDEX(종합!B$3:B$501,MATCH(ROW()-2,종합!$AC$3:$AC$501,0))&amp;"","")</f>
        <v/>
      </c>
      <c r="C421" s="18" t="str">
        <f aca="false">IFERROR(INDEX(종합!C$3:C$501,MATCH(ROW()-2,종합!$AC$3:$AC$501,0))&amp;"","")</f>
        <v/>
      </c>
      <c r="D421" s="18" t="str">
        <f aca="false">IFERROR(INDEX(종합!D$3:D$501,MATCH(ROW()-2,종합!$AC$3:$AC$501,0))&amp;"","")</f>
        <v/>
      </c>
      <c r="E421" s="18" t="str">
        <f aca="false">IFERROR(INDEX(종합!E$3:E$501,MATCH(ROW()-2,종합!$AC$3:$AC$501,0))&amp;"","")</f>
        <v/>
      </c>
      <c r="F421" s="18" t="str">
        <f aca="false">IFERROR(INDEX(종합!F$3:F$501,MATCH(ROW()-2,종합!$AC$3:$AC$501,0))&amp;"","")</f>
        <v/>
      </c>
      <c r="G421" s="18" t="str">
        <f aca="false">IFERROR(INDEX(종합!G$3:G$501,MATCH(ROW()-2,종합!$AC$3:$AC$501,0))&amp;"","")</f>
        <v/>
      </c>
      <c r="H421" s="21" t="str">
        <f aca="false">IFERROR(INDEX(종합!H$3:H$501,MATCH(ROW()-2,종합!$AC$3:$AC$501,0))&amp;"","")</f>
        <v/>
      </c>
      <c r="I421" s="21" t="str">
        <f aca="false">IFERROR(INDEX(종합!I$3:I$501,MATCH(ROW()-2,종합!$AC$3:$AC$501,0))&amp;"","")</f>
        <v/>
      </c>
      <c r="J421" s="21" t="str">
        <f aca="false">IFERROR(INDEX(종합!J$3:J$501,MATCH(ROW()-2,종합!$AC$3:$AC$501,0))&amp;"","")</f>
        <v/>
      </c>
      <c r="K421" s="21" t="str">
        <f aca="false">IFERROR(INDEX(종합!K$3:K$501,MATCH(ROW()-2,종합!$AC$3:$AC$501,0))&amp;"","")</f>
        <v/>
      </c>
      <c r="L421" s="21" t="str">
        <f aca="false">IFERROR(INDEX(종합!L$3:L$501,MATCH(ROW()-2,종합!$AC$3:$AC$501,0))&amp;"","")</f>
        <v/>
      </c>
      <c r="M421" s="21" t="str">
        <f aca="false">IFERROR(INDEX(종합!M$3:M$501,MATCH(ROW()-2,종합!$AC$3:$AC$501,0))&amp;"","")</f>
        <v/>
      </c>
      <c r="N421" s="25" t="str">
        <f aca="false">IFERROR(INDEX(종합!N$3:N$501,MATCH(ROW()-2,종합!$AC$3:$AC$501,0))&amp;"","")</f>
        <v/>
      </c>
      <c r="O421" s="21" t="str">
        <f aca="false">IFERROR(INDEX(종합!O$3:O$501,MATCH(ROW()-2,종합!$AC$3:$AC$501,0))&amp;"","")</f>
        <v/>
      </c>
      <c r="P421" s="21" t="str">
        <f aca="false">IFERROR(INDEX(종합!P$3:P$501,MATCH(ROW()-2,종합!$AC$3:$AC$501,0))&amp;"","")</f>
        <v/>
      </c>
      <c r="Q421" s="21" t="str">
        <f aca="false">IFERROR(INDEX(종합!Q$3:Q$501,MATCH(ROW()-2,종합!$AC$3:$AC$501,0))&amp;"","")</f>
        <v/>
      </c>
      <c r="R421" s="21" t="str">
        <f aca="false">IFERROR(INDEX(종합!R$3:R$501,MATCH(ROW()-2,종합!$AC$3:$AC$501,0))&amp;"","")</f>
        <v/>
      </c>
      <c r="S421" s="21" t="str">
        <f aca="false">IFERROR(INDEX(종합!S$3:S$501,MATCH(ROW()-2,종합!$AC$3:$AC$501,0))&amp;"","")</f>
        <v/>
      </c>
      <c r="T421" s="21" t="str">
        <f aca="false">IFERROR(INDEX(종합!T$3:T$501,MATCH(ROW()-2,종합!$AC$3:$AC$501,0))&amp;"","")</f>
        <v/>
      </c>
      <c r="U421" s="21" t="str">
        <f aca="false">IFERROR(INDEX(종합!U$3:U$501,MATCH(ROW()-2,종합!$AC$3:$AC$501,0))&amp;"","")</f>
        <v/>
      </c>
      <c r="V421" s="21" t="str">
        <f aca="false">IFERROR(INDEX(종합!V$3:V$501,MATCH(ROW()-2,종합!$AC$3:$AC$501,0))&amp;"","")</f>
        <v/>
      </c>
      <c r="W421" s="21" t="str">
        <f aca="false">IFERROR(INDEX(종합!W$3:W$501,MATCH(ROW()-2,종합!$AC$3:$AC$501,0))&amp;"","")</f>
        <v/>
      </c>
      <c r="X421" s="21" t="str">
        <f aca="false">IFERROR(INDEX(종합!X$3:X$501,MATCH(ROW()-2,종합!$AC$3:$AC$501,0))&amp;"","")</f>
        <v/>
      </c>
      <c r="Y421" s="21" t="str">
        <f aca="false">IFERROR(INDEX(종합!Y$3:Y$501,MATCH(ROW()-2,종합!$AC$3:$AC$501,0))&amp;"","")</f>
        <v/>
      </c>
      <c r="Z421" s="21" t="str">
        <f aca="false">IFERROR(INDEX(종합!Z$3:Z$501,MATCH(ROW()-2,종합!$AC$3:$AC$501,0))&amp;"","")</f>
        <v/>
      </c>
    </row>
    <row r="422" customFormat="false" ht="16.5" hidden="false" customHeight="true" outlineLevel="0" collapsed="false">
      <c r="A422" s="18" t="str">
        <f aca="false">IF(B422="","",ROW()-2)</f>
        <v/>
      </c>
      <c r="B422" s="18" t="str">
        <f aca="false">IFERROR(INDEX(종합!B$3:B$501,MATCH(ROW()-2,종합!$AC$3:$AC$501,0))&amp;"","")</f>
        <v/>
      </c>
      <c r="C422" s="18" t="str">
        <f aca="false">IFERROR(INDEX(종합!C$3:C$501,MATCH(ROW()-2,종합!$AC$3:$AC$501,0))&amp;"","")</f>
        <v/>
      </c>
      <c r="D422" s="18" t="str">
        <f aca="false">IFERROR(INDEX(종합!D$3:D$501,MATCH(ROW()-2,종합!$AC$3:$AC$501,0))&amp;"","")</f>
        <v/>
      </c>
      <c r="E422" s="18" t="str">
        <f aca="false">IFERROR(INDEX(종합!E$3:E$501,MATCH(ROW()-2,종합!$AC$3:$AC$501,0))&amp;"","")</f>
        <v/>
      </c>
      <c r="F422" s="18" t="str">
        <f aca="false">IFERROR(INDEX(종합!F$3:F$501,MATCH(ROW()-2,종합!$AC$3:$AC$501,0))&amp;"","")</f>
        <v/>
      </c>
      <c r="G422" s="18" t="str">
        <f aca="false">IFERROR(INDEX(종합!G$3:G$501,MATCH(ROW()-2,종합!$AC$3:$AC$501,0))&amp;"","")</f>
        <v/>
      </c>
      <c r="H422" s="21" t="str">
        <f aca="false">IFERROR(INDEX(종합!H$3:H$501,MATCH(ROW()-2,종합!$AC$3:$AC$501,0))&amp;"","")</f>
        <v/>
      </c>
      <c r="I422" s="21" t="str">
        <f aca="false">IFERROR(INDEX(종합!I$3:I$501,MATCH(ROW()-2,종합!$AC$3:$AC$501,0))&amp;"","")</f>
        <v/>
      </c>
      <c r="J422" s="21" t="str">
        <f aca="false">IFERROR(INDEX(종합!J$3:J$501,MATCH(ROW()-2,종합!$AC$3:$AC$501,0))&amp;"","")</f>
        <v/>
      </c>
      <c r="K422" s="21" t="str">
        <f aca="false">IFERROR(INDEX(종합!K$3:K$501,MATCH(ROW()-2,종합!$AC$3:$AC$501,0))&amp;"","")</f>
        <v/>
      </c>
      <c r="L422" s="21" t="str">
        <f aca="false">IFERROR(INDEX(종합!L$3:L$501,MATCH(ROW()-2,종합!$AC$3:$AC$501,0))&amp;"","")</f>
        <v/>
      </c>
      <c r="M422" s="21" t="str">
        <f aca="false">IFERROR(INDEX(종합!M$3:M$501,MATCH(ROW()-2,종합!$AC$3:$AC$501,0))&amp;"","")</f>
        <v/>
      </c>
      <c r="N422" s="25" t="str">
        <f aca="false">IFERROR(INDEX(종합!N$3:N$501,MATCH(ROW()-2,종합!$AC$3:$AC$501,0))&amp;"","")</f>
        <v/>
      </c>
      <c r="O422" s="21" t="str">
        <f aca="false">IFERROR(INDEX(종합!O$3:O$501,MATCH(ROW()-2,종합!$AC$3:$AC$501,0))&amp;"","")</f>
        <v/>
      </c>
      <c r="P422" s="21" t="str">
        <f aca="false">IFERROR(INDEX(종합!P$3:P$501,MATCH(ROW()-2,종합!$AC$3:$AC$501,0))&amp;"","")</f>
        <v/>
      </c>
      <c r="Q422" s="21" t="str">
        <f aca="false">IFERROR(INDEX(종합!Q$3:Q$501,MATCH(ROW()-2,종합!$AC$3:$AC$501,0))&amp;"","")</f>
        <v/>
      </c>
      <c r="R422" s="21" t="str">
        <f aca="false">IFERROR(INDEX(종합!R$3:R$501,MATCH(ROW()-2,종합!$AC$3:$AC$501,0))&amp;"","")</f>
        <v/>
      </c>
      <c r="S422" s="21" t="str">
        <f aca="false">IFERROR(INDEX(종합!S$3:S$501,MATCH(ROW()-2,종합!$AC$3:$AC$501,0))&amp;"","")</f>
        <v/>
      </c>
      <c r="T422" s="21" t="str">
        <f aca="false">IFERROR(INDEX(종합!T$3:T$501,MATCH(ROW()-2,종합!$AC$3:$AC$501,0))&amp;"","")</f>
        <v/>
      </c>
      <c r="U422" s="21" t="str">
        <f aca="false">IFERROR(INDEX(종합!U$3:U$501,MATCH(ROW()-2,종합!$AC$3:$AC$501,0))&amp;"","")</f>
        <v/>
      </c>
      <c r="V422" s="21" t="str">
        <f aca="false">IFERROR(INDEX(종합!V$3:V$501,MATCH(ROW()-2,종합!$AC$3:$AC$501,0))&amp;"","")</f>
        <v/>
      </c>
      <c r="W422" s="21" t="str">
        <f aca="false">IFERROR(INDEX(종합!W$3:W$501,MATCH(ROW()-2,종합!$AC$3:$AC$501,0))&amp;"","")</f>
        <v/>
      </c>
      <c r="X422" s="21" t="str">
        <f aca="false">IFERROR(INDEX(종합!X$3:X$501,MATCH(ROW()-2,종합!$AC$3:$AC$501,0))&amp;"","")</f>
        <v/>
      </c>
      <c r="Y422" s="21" t="str">
        <f aca="false">IFERROR(INDEX(종합!Y$3:Y$501,MATCH(ROW()-2,종합!$AC$3:$AC$501,0))&amp;"","")</f>
        <v/>
      </c>
      <c r="Z422" s="21" t="str">
        <f aca="false">IFERROR(INDEX(종합!Z$3:Z$501,MATCH(ROW()-2,종합!$AC$3:$AC$501,0))&amp;"","")</f>
        <v/>
      </c>
    </row>
    <row r="423" customFormat="false" ht="16.5" hidden="false" customHeight="true" outlineLevel="0" collapsed="false">
      <c r="A423" s="18" t="str">
        <f aca="false">IF(B423="","",ROW()-2)</f>
        <v/>
      </c>
      <c r="B423" s="18" t="str">
        <f aca="false">IFERROR(INDEX(종합!B$3:B$501,MATCH(ROW()-2,종합!$AC$3:$AC$501,0))&amp;"","")</f>
        <v/>
      </c>
      <c r="C423" s="18" t="str">
        <f aca="false">IFERROR(INDEX(종합!C$3:C$501,MATCH(ROW()-2,종합!$AC$3:$AC$501,0))&amp;"","")</f>
        <v/>
      </c>
      <c r="D423" s="18" t="str">
        <f aca="false">IFERROR(INDEX(종합!D$3:D$501,MATCH(ROW()-2,종합!$AC$3:$AC$501,0))&amp;"","")</f>
        <v/>
      </c>
      <c r="E423" s="18" t="str">
        <f aca="false">IFERROR(INDEX(종합!E$3:E$501,MATCH(ROW()-2,종합!$AC$3:$AC$501,0))&amp;"","")</f>
        <v/>
      </c>
      <c r="F423" s="18" t="str">
        <f aca="false">IFERROR(INDEX(종합!F$3:F$501,MATCH(ROW()-2,종합!$AC$3:$AC$501,0))&amp;"","")</f>
        <v/>
      </c>
      <c r="G423" s="18" t="str">
        <f aca="false">IFERROR(INDEX(종합!G$3:G$501,MATCH(ROW()-2,종합!$AC$3:$AC$501,0))&amp;"","")</f>
        <v/>
      </c>
      <c r="H423" s="21" t="str">
        <f aca="false">IFERROR(INDEX(종합!H$3:H$501,MATCH(ROW()-2,종합!$AC$3:$AC$501,0))&amp;"","")</f>
        <v/>
      </c>
      <c r="I423" s="21" t="str">
        <f aca="false">IFERROR(INDEX(종합!I$3:I$501,MATCH(ROW()-2,종합!$AC$3:$AC$501,0))&amp;"","")</f>
        <v/>
      </c>
      <c r="J423" s="21" t="str">
        <f aca="false">IFERROR(INDEX(종합!J$3:J$501,MATCH(ROW()-2,종합!$AC$3:$AC$501,0))&amp;"","")</f>
        <v/>
      </c>
      <c r="K423" s="21" t="str">
        <f aca="false">IFERROR(INDEX(종합!K$3:K$501,MATCH(ROW()-2,종합!$AC$3:$AC$501,0))&amp;"","")</f>
        <v/>
      </c>
      <c r="L423" s="21" t="str">
        <f aca="false">IFERROR(INDEX(종합!L$3:L$501,MATCH(ROW()-2,종합!$AC$3:$AC$501,0))&amp;"","")</f>
        <v/>
      </c>
      <c r="M423" s="21" t="str">
        <f aca="false">IFERROR(INDEX(종합!M$3:M$501,MATCH(ROW()-2,종합!$AC$3:$AC$501,0))&amp;"","")</f>
        <v/>
      </c>
      <c r="N423" s="25" t="str">
        <f aca="false">IFERROR(INDEX(종합!N$3:N$501,MATCH(ROW()-2,종합!$AC$3:$AC$501,0))&amp;"","")</f>
        <v/>
      </c>
      <c r="O423" s="21" t="str">
        <f aca="false">IFERROR(INDEX(종합!O$3:O$501,MATCH(ROW()-2,종합!$AC$3:$AC$501,0))&amp;"","")</f>
        <v/>
      </c>
      <c r="P423" s="21" t="str">
        <f aca="false">IFERROR(INDEX(종합!P$3:P$501,MATCH(ROW()-2,종합!$AC$3:$AC$501,0))&amp;"","")</f>
        <v/>
      </c>
      <c r="Q423" s="21" t="str">
        <f aca="false">IFERROR(INDEX(종합!Q$3:Q$501,MATCH(ROW()-2,종합!$AC$3:$AC$501,0))&amp;"","")</f>
        <v/>
      </c>
      <c r="R423" s="21" t="str">
        <f aca="false">IFERROR(INDEX(종합!R$3:R$501,MATCH(ROW()-2,종합!$AC$3:$AC$501,0))&amp;"","")</f>
        <v/>
      </c>
      <c r="S423" s="21" t="str">
        <f aca="false">IFERROR(INDEX(종합!S$3:S$501,MATCH(ROW()-2,종합!$AC$3:$AC$501,0))&amp;"","")</f>
        <v/>
      </c>
      <c r="T423" s="21" t="str">
        <f aca="false">IFERROR(INDEX(종합!T$3:T$501,MATCH(ROW()-2,종합!$AC$3:$AC$501,0))&amp;"","")</f>
        <v/>
      </c>
      <c r="U423" s="21" t="str">
        <f aca="false">IFERROR(INDEX(종합!U$3:U$501,MATCH(ROW()-2,종합!$AC$3:$AC$501,0))&amp;"","")</f>
        <v/>
      </c>
      <c r="V423" s="21" t="str">
        <f aca="false">IFERROR(INDEX(종합!V$3:V$501,MATCH(ROW()-2,종합!$AC$3:$AC$501,0))&amp;"","")</f>
        <v/>
      </c>
      <c r="W423" s="21" t="str">
        <f aca="false">IFERROR(INDEX(종합!W$3:W$501,MATCH(ROW()-2,종합!$AC$3:$AC$501,0))&amp;"","")</f>
        <v/>
      </c>
      <c r="X423" s="21" t="str">
        <f aca="false">IFERROR(INDEX(종합!X$3:X$501,MATCH(ROW()-2,종합!$AC$3:$AC$501,0))&amp;"","")</f>
        <v/>
      </c>
      <c r="Y423" s="21" t="str">
        <f aca="false">IFERROR(INDEX(종합!Y$3:Y$501,MATCH(ROW()-2,종합!$AC$3:$AC$501,0))&amp;"","")</f>
        <v/>
      </c>
      <c r="Z423" s="21" t="str">
        <f aca="false">IFERROR(INDEX(종합!Z$3:Z$501,MATCH(ROW()-2,종합!$AC$3:$AC$501,0))&amp;"","")</f>
        <v/>
      </c>
    </row>
    <row r="424" customFormat="false" ht="16.5" hidden="false" customHeight="true" outlineLevel="0" collapsed="false">
      <c r="A424" s="18" t="str">
        <f aca="false">IF(B424="","",ROW()-2)</f>
        <v/>
      </c>
      <c r="B424" s="18" t="str">
        <f aca="false">IFERROR(INDEX(종합!B$3:B$501,MATCH(ROW()-2,종합!$AC$3:$AC$501,0))&amp;"","")</f>
        <v/>
      </c>
      <c r="C424" s="18" t="str">
        <f aca="false">IFERROR(INDEX(종합!C$3:C$501,MATCH(ROW()-2,종합!$AC$3:$AC$501,0))&amp;"","")</f>
        <v/>
      </c>
      <c r="D424" s="18" t="str">
        <f aca="false">IFERROR(INDEX(종합!D$3:D$501,MATCH(ROW()-2,종합!$AC$3:$AC$501,0))&amp;"","")</f>
        <v/>
      </c>
      <c r="E424" s="18" t="str">
        <f aca="false">IFERROR(INDEX(종합!E$3:E$501,MATCH(ROW()-2,종합!$AC$3:$AC$501,0))&amp;"","")</f>
        <v/>
      </c>
      <c r="F424" s="18" t="str">
        <f aca="false">IFERROR(INDEX(종합!F$3:F$501,MATCH(ROW()-2,종합!$AC$3:$AC$501,0))&amp;"","")</f>
        <v/>
      </c>
      <c r="G424" s="18" t="str">
        <f aca="false">IFERROR(INDEX(종합!G$3:G$501,MATCH(ROW()-2,종합!$AC$3:$AC$501,0))&amp;"","")</f>
        <v/>
      </c>
      <c r="H424" s="21" t="str">
        <f aca="false">IFERROR(INDEX(종합!H$3:H$501,MATCH(ROW()-2,종합!$AC$3:$AC$501,0))&amp;"","")</f>
        <v/>
      </c>
      <c r="I424" s="21" t="str">
        <f aca="false">IFERROR(INDEX(종합!I$3:I$501,MATCH(ROW()-2,종합!$AC$3:$AC$501,0))&amp;"","")</f>
        <v/>
      </c>
      <c r="J424" s="21" t="str">
        <f aca="false">IFERROR(INDEX(종합!J$3:J$501,MATCH(ROW()-2,종합!$AC$3:$AC$501,0))&amp;"","")</f>
        <v/>
      </c>
      <c r="K424" s="21" t="str">
        <f aca="false">IFERROR(INDEX(종합!K$3:K$501,MATCH(ROW()-2,종합!$AC$3:$AC$501,0))&amp;"","")</f>
        <v/>
      </c>
      <c r="L424" s="21" t="str">
        <f aca="false">IFERROR(INDEX(종합!L$3:L$501,MATCH(ROW()-2,종합!$AC$3:$AC$501,0))&amp;"","")</f>
        <v/>
      </c>
      <c r="M424" s="21" t="str">
        <f aca="false">IFERROR(INDEX(종합!M$3:M$501,MATCH(ROW()-2,종합!$AC$3:$AC$501,0))&amp;"","")</f>
        <v/>
      </c>
      <c r="N424" s="25" t="str">
        <f aca="false">IFERROR(INDEX(종합!N$3:N$501,MATCH(ROW()-2,종합!$AC$3:$AC$501,0))&amp;"","")</f>
        <v/>
      </c>
      <c r="O424" s="21" t="str">
        <f aca="false">IFERROR(INDEX(종합!O$3:O$501,MATCH(ROW()-2,종합!$AC$3:$AC$501,0))&amp;"","")</f>
        <v/>
      </c>
      <c r="P424" s="21" t="str">
        <f aca="false">IFERROR(INDEX(종합!P$3:P$501,MATCH(ROW()-2,종합!$AC$3:$AC$501,0))&amp;"","")</f>
        <v/>
      </c>
      <c r="Q424" s="21" t="str">
        <f aca="false">IFERROR(INDEX(종합!Q$3:Q$501,MATCH(ROW()-2,종합!$AC$3:$AC$501,0))&amp;"","")</f>
        <v/>
      </c>
      <c r="R424" s="21" t="str">
        <f aca="false">IFERROR(INDEX(종합!R$3:R$501,MATCH(ROW()-2,종합!$AC$3:$AC$501,0))&amp;"","")</f>
        <v/>
      </c>
      <c r="S424" s="21" t="str">
        <f aca="false">IFERROR(INDEX(종합!S$3:S$501,MATCH(ROW()-2,종합!$AC$3:$AC$501,0))&amp;"","")</f>
        <v/>
      </c>
      <c r="T424" s="21" t="str">
        <f aca="false">IFERROR(INDEX(종합!T$3:T$501,MATCH(ROW()-2,종합!$AC$3:$AC$501,0))&amp;"","")</f>
        <v/>
      </c>
      <c r="U424" s="21" t="str">
        <f aca="false">IFERROR(INDEX(종합!U$3:U$501,MATCH(ROW()-2,종합!$AC$3:$AC$501,0))&amp;"","")</f>
        <v/>
      </c>
      <c r="V424" s="21" t="str">
        <f aca="false">IFERROR(INDEX(종합!V$3:V$501,MATCH(ROW()-2,종합!$AC$3:$AC$501,0))&amp;"","")</f>
        <v/>
      </c>
      <c r="W424" s="21" t="str">
        <f aca="false">IFERROR(INDEX(종합!W$3:W$501,MATCH(ROW()-2,종합!$AC$3:$AC$501,0))&amp;"","")</f>
        <v/>
      </c>
      <c r="X424" s="21" t="str">
        <f aca="false">IFERROR(INDEX(종합!X$3:X$501,MATCH(ROW()-2,종합!$AC$3:$AC$501,0))&amp;"","")</f>
        <v/>
      </c>
      <c r="Y424" s="21" t="str">
        <f aca="false">IFERROR(INDEX(종합!Y$3:Y$501,MATCH(ROW()-2,종합!$AC$3:$AC$501,0))&amp;"","")</f>
        <v/>
      </c>
      <c r="Z424" s="21" t="str">
        <f aca="false">IFERROR(INDEX(종합!Z$3:Z$501,MATCH(ROW()-2,종합!$AC$3:$AC$501,0))&amp;"","")</f>
        <v/>
      </c>
    </row>
    <row r="425" customFormat="false" ht="16.5" hidden="false" customHeight="true" outlineLevel="0" collapsed="false">
      <c r="A425" s="18" t="str">
        <f aca="false">IF(B425="","",ROW()-2)</f>
        <v/>
      </c>
      <c r="B425" s="18" t="str">
        <f aca="false">IFERROR(INDEX(종합!B$3:B$501,MATCH(ROW()-2,종합!$AC$3:$AC$501,0))&amp;"","")</f>
        <v/>
      </c>
      <c r="C425" s="18" t="str">
        <f aca="false">IFERROR(INDEX(종합!C$3:C$501,MATCH(ROW()-2,종합!$AC$3:$AC$501,0))&amp;"","")</f>
        <v/>
      </c>
      <c r="D425" s="18" t="str">
        <f aca="false">IFERROR(INDEX(종합!D$3:D$501,MATCH(ROW()-2,종합!$AC$3:$AC$501,0))&amp;"","")</f>
        <v/>
      </c>
      <c r="E425" s="18" t="str">
        <f aca="false">IFERROR(INDEX(종합!E$3:E$501,MATCH(ROW()-2,종합!$AC$3:$AC$501,0))&amp;"","")</f>
        <v/>
      </c>
      <c r="F425" s="18" t="str">
        <f aca="false">IFERROR(INDEX(종합!F$3:F$501,MATCH(ROW()-2,종합!$AC$3:$AC$501,0))&amp;"","")</f>
        <v/>
      </c>
      <c r="G425" s="18" t="str">
        <f aca="false">IFERROR(INDEX(종합!G$3:G$501,MATCH(ROW()-2,종합!$AC$3:$AC$501,0))&amp;"","")</f>
        <v/>
      </c>
      <c r="H425" s="21" t="str">
        <f aca="false">IFERROR(INDEX(종합!H$3:H$501,MATCH(ROW()-2,종합!$AC$3:$AC$501,0))&amp;"","")</f>
        <v/>
      </c>
      <c r="I425" s="21" t="str">
        <f aca="false">IFERROR(INDEX(종합!I$3:I$501,MATCH(ROW()-2,종합!$AC$3:$AC$501,0))&amp;"","")</f>
        <v/>
      </c>
      <c r="J425" s="21" t="str">
        <f aca="false">IFERROR(INDEX(종합!J$3:J$501,MATCH(ROW()-2,종합!$AC$3:$AC$501,0))&amp;"","")</f>
        <v/>
      </c>
      <c r="K425" s="21" t="str">
        <f aca="false">IFERROR(INDEX(종합!K$3:K$501,MATCH(ROW()-2,종합!$AC$3:$AC$501,0))&amp;"","")</f>
        <v/>
      </c>
      <c r="L425" s="21" t="str">
        <f aca="false">IFERROR(INDEX(종합!L$3:L$501,MATCH(ROW()-2,종합!$AC$3:$AC$501,0))&amp;"","")</f>
        <v/>
      </c>
      <c r="M425" s="21" t="str">
        <f aca="false">IFERROR(INDEX(종합!M$3:M$501,MATCH(ROW()-2,종합!$AC$3:$AC$501,0))&amp;"","")</f>
        <v/>
      </c>
      <c r="N425" s="25" t="str">
        <f aca="false">IFERROR(INDEX(종합!N$3:N$501,MATCH(ROW()-2,종합!$AC$3:$AC$501,0))&amp;"","")</f>
        <v/>
      </c>
      <c r="O425" s="21" t="str">
        <f aca="false">IFERROR(INDEX(종합!O$3:O$501,MATCH(ROW()-2,종합!$AC$3:$AC$501,0))&amp;"","")</f>
        <v/>
      </c>
      <c r="P425" s="21" t="str">
        <f aca="false">IFERROR(INDEX(종합!P$3:P$501,MATCH(ROW()-2,종합!$AC$3:$AC$501,0))&amp;"","")</f>
        <v/>
      </c>
      <c r="Q425" s="21" t="str">
        <f aca="false">IFERROR(INDEX(종합!Q$3:Q$501,MATCH(ROW()-2,종합!$AC$3:$AC$501,0))&amp;"","")</f>
        <v/>
      </c>
      <c r="R425" s="21" t="str">
        <f aca="false">IFERROR(INDEX(종합!R$3:R$501,MATCH(ROW()-2,종합!$AC$3:$AC$501,0))&amp;"","")</f>
        <v/>
      </c>
      <c r="S425" s="21" t="str">
        <f aca="false">IFERROR(INDEX(종합!S$3:S$501,MATCH(ROW()-2,종합!$AC$3:$AC$501,0))&amp;"","")</f>
        <v/>
      </c>
      <c r="T425" s="21" t="str">
        <f aca="false">IFERROR(INDEX(종합!T$3:T$501,MATCH(ROW()-2,종합!$AC$3:$AC$501,0))&amp;"","")</f>
        <v/>
      </c>
      <c r="U425" s="21" t="str">
        <f aca="false">IFERROR(INDEX(종합!U$3:U$501,MATCH(ROW()-2,종합!$AC$3:$AC$501,0))&amp;"","")</f>
        <v/>
      </c>
      <c r="V425" s="21" t="str">
        <f aca="false">IFERROR(INDEX(종합!V$3:V$501,MATCH(ROW()-2,종합!$AC$3:$AC$501,0))&amp;"","")</f>
        <v/>
      </c>
      <c r="W425" s="21" t="str">
        <f aca="false">IFERROR(INDEX(종합!W$3:W$501,MATCH(ROW()-2,종합!$AC$3:$AC$501,0))&amp;"","")</f>
        <v/>
      </c>
      <c r="X425" s="21" t="str">
        <f aca="false">IFERROR(INDEX(종합!X$3:X$501,MATCH(ROW()-2,종합!$AC$3:$AC$501,0))&amp;"","")</f>
        <v/>
      </c>
      <c r="Y425" s="21" t="str">
        <f aca="false">IFERROR(INDEX(종합!Y$3:Y$501,MATCH(ROW()-2,종합!$AC$3:$AC$501,0))&amp;"","")</f>
        <v/>
      </c>
      <c r="Z425" s="21" t="str">
        <f aca="false">IFERROR(INDEX(종합!Z$3:Z$501,MATCH(ROW()-2,종합!$AC$3:$AC$501,0))&amp;"","")</f>
        <v/>
      </c>
    </row>
    <row r="426" customFormat="false" ht="16.5" hidden="false" customHeight="true" outlineLevel="0" collapsed="false">
      <c r="A426" s="18" t="str">
        <f aca="false">IF(B426="","",ROW()-2)</f>
        <v/>
      </c>
      <c r="B426" s="18" t="str">
        <f aca="false">IFERROR(INDEX(종합!B$3:B$501,MATCH(ROW()-2,종합!$AC$3:$AC$501,0))&amp;"","")</f>
        <v/>
      </c>
      <c r="C426" s="18" t="str">
        <f aca="false">IFERROR(INDEX(종합!C$3:C$501,MATCH(ROW()-2,종합!$AC$3:$AC$501,0))&amp;"","")</f>
        <v/>
      </c>
      <c r="D426" s="18" t="str">
        <f aca="false">IFERROR(INDEX(종합!D$3:D$501,MATCH(ROW()-2,종합!$AC$3:$AC$501,0))&amp;"","")</f>
        <v/>
      </c>
      <c r="E426" s="18" t="str">
        <f aca="false">IFERROR(INDEX(종합!E$3:E$501,MATCH(ROW()-2,종합!$AC$3:$AC$501,0))&amp;"","")</f>
        <v/>
      </c>
      <c r="F426" s="18" t="str">
        <f aca="false">IFERROR(INDEX(종합!F$3:F$501,MATCH(ROW()-2,종합!$AC$3:$AC$501,0))&amp;"","")</f>
        <v/>
      </c>
      <c r="G426" s="18" t="str">
        <f aca="false">IFERROR(INDEX(종합!G$3:G$501,MATCH(ROW()-2,종합!$AC$3:$AC$501,0))&amp;"","")</f>
        <v/>
      </c>
      <c r="H426" s="21" t="str">
        <f aca="false">IFERROR(INDEX(종합!H$3:H$501,MATCH(ROW()-2,종합!$AC$3:$AC$501,0))&amp;"","")</f>
        <v/>
      </c>
      <c r="I426" s="21" t="str">
        <f aca="false">IFERROR(INDEX(종합!I$3:I$501,MATCH(ROW()-2,종합!$AC$3:$AC$501,0))&amp;"","")</f>
        <v/>
      </c>
      <c r="J426" s="21" t="str">
        <f aca="false">IFERROR(INDEX(종합!J$3:J$501,MATCH(ROW()-2,종합!$AC$3:$AC$501,0))&amp;"","")</f>
        <v/>
      </c>
      <c r="K426" s="21" t="str">
        <f aca="false">IFERROR(INDEX(종합!K$3:K$501,MATCH(ROW()-2,종합!$AC$3:$AC$501,0))&amp;"","")</f>
        <v/>
      </c>
      <c r="L426" s="21" t="str">
        <f aca="false">IFERROR(INDEX(종합!L$3:L$501,MATCH(ROW()-2,종합!$AC$3:$AC$501,0))&amp;"","")</f>
        <v/>
      </c>
      <c r="M426" s="21" t="str">
        <f aca="false">IFERROR(INDEX(종합!M$3:M$501,MATCH(ROW()-2,종합!$AC$3:$AC$501,0))&amp;"","")</f>
        <v/>
      </c>
      <c r="N426" s="25" t="str">
        <f aca="false">IFERROR(INDEX(종합!N$3:N$501,MATCH(ROW()-2,종합!$AC$3:$AC$501,0))&amp;"","")</f>
        <v/>
      </c>
      <c r="O426" s="21" t="str">
        <f aca="false">IFERROR(INDEX(종합!O$3:O$501,MATCH(ROW()-2,종합!$AC$3:$AC$501,0))&amp;"","")</f>
        <v/>
      </c>
      <c r="P426" s="21" t="str">
        <f aca="false">IFERROR(INDEX(종합!P$3:P$501,MATCH(ROW()-2,종합!$AC$3:$AC$501,0))&amp;"","")</f>
        <v/>
      </c>
      <c r="Q426" s="21" t="str">
        <f aca="false">IFERROR(INDEX(종합!Q$3:Q$501,MATCH(ROW()-2,종합!$AC$3:$AC$501,0))&amp;"","")</f>
        <v/>
      </c>
      <c r="R426" s="21" t="str">
        <f aca="false">IFERROR(INDEX(종합!R$3:R$501,MATCH(ROW()-2,종합!$AC$3:$AC$501,0))&amp;"","")</f>
        <v/>
      </c>
      <c r="S426" s="21" t="str">
        <f aca="false">IFERROR(INDEX(종합!S$3:S$501,MATCH(ROW()-2,종합!$AC$3:$AC$501,0))&amp;"","")</f>
        <v/>
      </c>
      <c r="T426" s="21" t="str">
        <f aca="false">IFERROR(INDEX(종합!T$3:T$501,MATCH(ROW()-2,종합!$AC$3:$AC$501,0))&amp;"","")</f>
        <v/>
      </c>
      <c r="U426" s="21" t="str">
        <f aca="false">IFERROR(INDEX(종합!U$3:U$501,MATCH(ROW()-2,종합!$AC$3:$AC$501,0))&amp;"","")</f>
        <v/>
      </c>
      <c r="V426" s="21" t="str">
        <f aca="false">IFERROR(INDEX(종합!V$3:V$501,MATCH(ROW()-2,종합!$AC$3:$AC$501,0))&amp;"","")</f>
        <v/>
      </c>
      <c r="W426" s="21" t="str">
        <f aca="false">IFERROR(INDEX(종합!W$3:W$501,MATCH(ROW()-2,종합!$AC$3:$AC$501,0))&amp;"","")</f>
        <v/>
      </c>
      <c r="X426" s="21" t="str">
        <f aca="false">IFERROR(INDEX(종합!X$3:X$501,MATCH(ROW()-2,종합!$AC$3:$AC$501,0))&amp;"","")</f>
        <v/>
      </c>
      <c r="Y426" s="21" t="str">
        <f aca="false">IFERROR(INDEX(종합!Y$3:Y$501,MATCH(ROW()-2,종합!$AC$3:$AC$501,0))&amp;"","")</f>
        <v/>
      </c>
      <c r="Z426" s="21" t="str">
        <f aca="false">IFERROR(INDEX(종합!Z$3:Z$501,MATCH(ROW()-2,종합!$AC$3:$AC$501,0))&amp;"","")</f>
        <v/>
      </c>
    </row>
    <row r="427" customFormat="false" ht="16.5" hidden="false" customHeight="true" outlineLevel="0" collapsed="false">
      <c r="A427" s="18" t="str">
        <f aca="false">IF(B427="","",ROW()-2)</f>
        <v/>
      </c>
      <c r="B427" s="18" t="str">
        <f aca="false">IFERROR(INDEX(종합!B$3:B$501,MATCH(ROW()-2,종합!$AC$3:$AC$501,0))&amp;"","")</f>
        <v/>
      </c>
      <c r="C427" s="18" t="str">
        <f aca="false">IFERROR(INDEX(종합!C$3:C$501,MATCH(ROW()-2,종합!$AC$3:$AC$501,0))&amp;"","")</f>
        <v/>
      </c>
      <c r="D427" s="18" t="str">
        <f aca="false">IFERROR(INDEX(종합!D$3:D$501,MATCH(ROW()-2,종합!$AC$3:$AC$501,0))&amp;"","")</f>
        <v/>
      </c>
      <c r="E427" s="18" t="str">
        <f aca="false">IFERROR(INDEX(종합!E$3:E$501,MATCH(ROW()-2,종합!$AC$3:$AC$501,0))&amp;"","")</f>
        <v/>
      </c>
      <c r="F427" s="18" t="str">
        <f aca="false">IFERROR(INDEX(종합!F$3:F$501,MATCH(ROW()-2,종합!$AC$3:$AC$501,0))&amp;"","")</f>
        <v/>
      </c>
      <c r="G427" s="18" t="str">
        <f aca="false">IFERROR(INDEX(종합!G$3:G$501,MATCH(ROW()-2,종합!$AC$3:$AC$501,0))&amp;"","")</f>
        <v/>
      </c>
      <c r="H427" s="21" t="str">
        <f aca="false">IFERROR(INDEX(종합!H$3:H$501,MATCH(ROW()-2,종합!$AC$3:$AC$501,0))&amp;"","")</f>
        <v/>
      </c>
      <c r="I427" s="21" t="str">
        <f aca="false">IFERROR(INDEX(종합!I$3:I$501,MATCH(ROW()-2,종합!$AC$3:$AC$501,0))&amp;"","")</f>
        <v/>
      </c>
      <c r="J427" s="21" t="str">
        <f aca="false">IFERROR(INDEX(종합!J$3:J$501,MATCH(ROW()-2,종합!$AC$3:$AC$501,0))&amp;"","")</f>
        <v/>
      </c>
      <c r="K427" s="21" t="str">
        <f aca="false">IFERROR(INDEX(종합!K$3:K$501,MATCH(ROW()-2,종합!$AC$3:$AC$501,0))&amp;"","")</f>
        <v/>
      </c>
      <c r="L427" s="21" t="str">
        <f aca="false">IFERROR(INDEX(종합!L$3:L$501,MATCH(ROW()-2,종합!$AC$3:$AC$501,0))&amp;"","")</f>
        <v/>
      </c>
      <c r="M427" s="21" t="str">
        <f aca="false">IFERROR(INDEX(종합!M$3:M$501,MATCH(ROW()-2,종합!$AC$3:$AC$501,0))&amp;"","")</f>
        <v/>
      </c>
      <c r="N427" s="25" t="str">
        <f aca="false">IFERROR(INDEX(종합!N$3:N$501,MATCH(ROW()-2,종합!$AC$3:$AC$501,0))&amp;"","")</f>
        <v/>
      </c>
      <c r="O427" s="21" t="str">
        <f aca="false">IFERROR(INDEX(종합!O$3:O$501,MATCH(ROW()-2,종합!$AC$3:$AC$501,0))&amp;"","")</f>
        <v/>
      </c>
      <c r="P427" s="21" t="str">
        <f aca="false">IFERROR(INDEX(종합!P$3:P$501,MATCH(ROW()-2,종합!$AC$3:$AC$501,0))&amp;"","")</f>
        <v/>
      </c>
      <c r="Q427" s="21" t="str">
        <f aca="false">IFERROR(INDEX(종합!Q$3:Q$501,MATCH(ROW()-2,종합!$AC$3:$AC$501,0))&amp;"","")</f>
        <v/>
      </c>
      <c r="R427" s="21" t="str">
        <f aca="false">IFERROR(INDEX(종합!R$3:R$501,MATCH(ROW()-2,종합!$AC$3:$AC$501,0))&amp;"","")</f>
        <v/>
      </c>
      <c r="S427" s="21" t="str">
        <f aca="false">IFERROR(INDEX(종합!S$3:S$501,MATCH(ROW()-2,종합!$AC$3:$AC$501,0))&amp;"","")</f>
        <v/>
      </c>
      <c r="T427" s="21" t="str">
        <f aca="false">IFERROR(INDEX(종합!T$3:T$501,MATCH(ROW()-2,종합!$AC$3:$AC$501,0))&amp;"","")</f>
        <v/>
      </c>
      <c r="U427" s="21" t="str">
        <f aca="false">IFERROR(INDEX(종합!U$3:U$501,MATCH(ROW()-2,종합!$AC$3:$AC$501,0))&amp;"","")</f>
        <v/>
      </c>
      <c r="V427" s="21" t="str">
        <f aca="false">IFERROR(INDEX(종합!V$3:V$501,MATCH(ROW()-2,종합!$AC$3:$AC$501,0))&amp;"","")</f>
        <v/>
      </c>
      <c r="W427" s="21" t="str">
        <f aca="false">IFERROR(INDEX(종합!W$3:W$501,MATCH(ROW()-2,종합!$AC$3:$AC$501,0))&amp;"","")</f>
        <v/>
      </c>
      <c r="X427" s="21" t="str">
        <f aca="false">IFERROR(INDEX(종합!X$3:X$501,MATCH(ROW()-2,종합!$AC$3:$AC$501,0))&amp;"","")</f>
        <v/>
      </c>
      <c r="Y427" s="21" t="str">
        <f aca="false">IFERROR(INDEX(종합!Y$3:Y$501,MATCH(ROW()-2,종합!$AC$3:$AC$501,0))&amp;"","")</f>
        <v/>
      </c>
      <c r="Z427" s="21" t="str">
        <f aca="false">IFERROR(INDEX(종합!Z$3:Z$501,MATCH(ROW()-2,종합!$AC$3:$AC$501,0))&amp;"","")</f>
        <v/>
      </c>
    </row>
    <row r="428" customFormat="false" ht="16.5" hidden="false" customHeight="true" outlineLevel="0" collapsed="false">
      <c r="A428" s="18" t="str">
        <f aca="false">IF(B428="","",ROW()-2)</f>
        <v/>
      </c>
      <c r="B428" s="18" t="str">
        <f aca="false">IFERROR(INDEX(종합!B$3:B$501,MATCH(ROW()-2,종합!$AC$3:$AC$501,0))&amp;"","")</f>
        <v/>
      </c>
      <c r="C428" s="18" t="str">
        <f aca="false">IFERROR(INDEX(종합!C$3:C$501,MATCH(ROW()-2,종합!$AC$3:$AC$501,0))&amp;"","")</f>
        <v/>
      </c>
      <c r="D428" s="18" t="str">
        <f aca="false">IFERROR(INDEX(종합!D$3:D$501,MATCH(ROW()-2,종합!$AC$3:$AC$501,0))&amp;"","")</f>
        <v/>
      </c>
      <c r="E428" s="18" t="str">
        <f aca="false">IFERROR(INDEX(종합!E$3:E$501,MATCH(ROW()-2,종합!$AC$3:$AC$501,0))&amp;"","")</f>
        <v/>
      </c>
      <c r="F428" s="18" t="str">
        <f aca="false">IFERROR(INDEX(종합!F$3:F$501,MATCH(ROW()-2,종합!$AC$3:$AC$501,0))&amp;"","")</f>
        <v/>
      </c>
      <c r="G428" s="18" t="str">
        <f aca="false">IFERROR(INDEX(종합!G$3:G$501,MATCH(ROW()-2,종합!$AC$3:$AC$501,0))&amp;"","")</f>
        <v/>
      </c>
      <c r="H428" s="21" t="str">
        <f aca="false">IFERROR(INDEX(종합!H$3:H$501,MATCH(ROW()-2,종합!$AC$3:$AC$501,0))&amp;"","")</f>
        <v/>
      </c>
      <c r="I428" s="21" t="str">
        <f aca="false">IFERROR(INDEX(종합!I$3:I$501,MATCH(ROW()-2,종합!$AC$3:$AC$501,0))&amp;"","")</f>
        <v/>
      </c>
      <c r="J428" s="21" t="str">
        <f aca="false">IFERROR(INDEX(종합!J$3:J$501,MATCH(ROW()-2,종합!$AC$3:$AC$501,0))&amp;"","")</f>
        <v/>
      </c>
      <c r="K428" s="21" t="str">
        <f aca="false">IFERROR(INDEX(종합!K$3:K$501,MATCH(ROW()-2,종합!$AC$3:$AC$501,0))&amp;"","")</f>
        <v/>
      </c>
      <c r="L428" s="21" t="str">
        <f aca="false">IFERROR(INDEX(종합!L$3:L$501,MATCH(ROW()-2,종합!$AC$3:$AC$501,0))&amp;"","")</f>
        <v/>
      </c>
      <c r="M428" s="21" t="str">
        <f aca="false">IFERROR(INDEX(종합!M$3:M$501,MATCH(ROW()-2,종합!$AC$3:$AC$501,0))&amp;"","")</f>
        <v/>
      </c>
      <c r="N428" s="25" t="str">
        <f aca="false">IFERROR(INDEX(종합!N$3:N$501,MATCH(ROW()-2,종합!$AC$3:$AC$501,0))&amp;"","")</f>
        <v/>
      </c>
      <c r="O428" s="21" t="str">
        <f aca="false">IFERROR(INDEX(종합!O$3:O$501,MATCH(ROW()-2,종합!$AC$3:$AC$501,0))&amp;"","")</f>
        <v/>
      </c>
      <c r="P428" s="21" t="str">
        <f aca="false">IFERROR(INDEX(종합!P$3:P$501,MATCH(ROW()-2,종합!$AC$3:$AC$501,0))&amp;"","")</f>
        <v/>
      </c>
      <c r="Q428" s="21" t="str">
        <f aca="false">IFERROR(INDEX(종합!Q$3:Q$501,MATCH(ROW()-2,종합!$AC$3:$AC$501,0))&amp;"","")</f>
        <v/>
      </c>
      <c r="R428" s="21" t="str">
        <f aca="false">IFERROR(INDEX(종합!R$3:R$501,MATCH(ROW()-2,종합!$AC$3:$AC$501,0))&amp;"","")</f>
        <v/>
      </c>
      <c r="S428" s="21" t="str">
        <f aca="false">IFERROR(INDEX(종합!S$3:S$501,MATCH(ROW()-2,종합!$AC$3:$AC$501,0))&amp;"","")</f>
        <v/>
      </c>
      <c r="T428" s="21" t="str">
        <f aca="false">IFERROR(INDEX(종합!T$3:T$501,MATCH(ROW()-2,종합!$AC$3:$AC$501,0))&amp;"","")</f>
        <v/>
      </c>
      <c r="U428" s="21" t="str">
        <f aca="false">IFERROR(INDEX(종합!U$3:U$501,MATCH(ROW()-2,종합!$AC$3:$AC$501,0))&amp;"","")</f>
        <v/>
      </c>
      <c r="V428" s="21" t="str">
        <f aca="false">IFERROR(INDEX(종합!V$3:V$501,MATCH(ROW()-2,종합!$AC$3:$AC$501,0))&amp;"","")</f>
        <v/>
      </c>
      <c r="W428" s="21" t="str">
        <f aca="false">IFERROR(INDEX(종합!W$3:W$501,MATCH(ROW()-2,종합!$AC$3:$AC$501,0))&amp;"","")</f>
        <v/>
      </c>
      <c r="X428" s="21" t="str">
        <f aca="false">IFERROR(INDEX(종합!X$3:X$501,MATCH(ROW()-2,종합!$AC$3:$AC$501,0))&amp;"","")</f>
        <v/>
      </c>
      <c r="Y428" s="21" t="str">
        <f aca="false">IFERROR(INDEX(종합!Y$3:Y$501,MATCH(ROW()-2,종합!$AC$3:$AC$501,0))&amp;"","")</f>
        <v/>
      </c>
      <c r="Z428" s="21" t="str">
        <f aca="false">IFERROR(INDEX(종합!Z$3:Z$501,MATCH(ROW()-2,종합!$AC$3:$AC$501,0))&amp;"","")</f>
        <v/>
      </c>
    </row>
    <row r="429" customFormat="false" ht="16.5" hidden="false" customHeight="true" outlineLevel="0" collapsed="false">
      <c r="A429" s="18" t="str">
        <f aca="false">IF(B429="","",ROW()-2)</f>
        <v/>
      </c>
      <c r="B429" s="18" t="str">
        <f aca="false">IFERROR(INDEX(종합!B$3:B$501,MATCH(ROW()-2,종합!$AC$3:$AC$501,0))&amp;"","")</f>
        <v/>
      </c>
      <c r="C429" s="18" t="str">
        <f aca="false">IFERROR(INDEX(종합!C$3:C$501,MATCH(ROW()-2,종합!$AC$3:$AC$501,0))&amp;"","")</f>
        <v/>
      </c>
      <c r="D429" s="18" t="str">
        <f aca="false">IFERROR(INDEX(종합!D$3:D$501,MATCH(ROW()-2,종합!$AC$3:$AC$501,0))&amp;"","")</f>
        <v/>
      </c>
      <c r="E429" s="18" t="str">
        <f aca="false">IFERROR(INDEX(종합!E$3:E$501,MATCH(ROW()-2,종합!$AC$3:$AC$501,0))&amp;"","")</f>
        <v/>
      </c>
      <c r="F429" s="18" t="str">
        <f aca="false">IFERROR(INDEX(종합!F$3:F$501,MATCH(ROW()-2,종합!$AC$3:$AC$501,0))&amp;"","")</f>
        <v/>
      </c>
      <c r="G429" s="18" t="str">
        <f aca="false">IFERROR(INDEX(종합!G$3:G$501,MATCH(ROW()-2,종합!$AC$3:$AC$501,0))&amp;"","")</f>
        <v/>
      </c>
      <c r="H429" s="21" t="str">
        <f aca="false">IFERROR(INDEX(종합!H$3:H$501,MATCH(ROW()-2,종합!$AC$3:$AC$501,0))&amp;"","")</f>
        <v/>
      </c>
      <c r="I429" s="21" t="str">
        <f aca="false">IFERROR(INDEX(종합!I$3:I$501,MATCH(ROW()-2,종합!$AC$3:$AC$501,0))&amp;"","")</f>
        <v/>
      </c>
      <c r="J429" s="21" t="str">
        <f aca="false">IFERROR(INDEX(종합!J$3:J$501,MATCH(ROW()-2,종합!$AC$3:$AC$501,0))&amp;"","")</f>
        <v/>
      </c>
      <c r="K429" s="21" t="str">
        <f aca="false">IFERROR(INDEX(종합!K$3:K$501,MATCH(ROW()-2,종합!$AC$3:$AC$501,0))&amp;"","")</f>
        <v/>
      </c>
      <c r="L429" s="21" t="str">
        <f aca="false">IFERROR(INDEX(종합!L$3:L$501,MATCH(ROW()-2,종합!$AC$3:$AC$501,0))&amp;"","")</f>
        <v/>
      </c>
      <c r="M429" s="21" t="str">
        <f aca="false">IFERROR(INDEX(종합!M$3:M$501,MATCH(ROW()-2,종합!$AC$3:$AC$501,0))&amp;"","")</f>
        <v/>
      </c>
      <c r="N429" s="25" t="str">
        <f aca="false">IFERROR(INDEX(종합!N$3:N$501,MATCH(ROW()-2,종합!$AC$3:$AC$501,0))&amp;"","")</f>
        <v/>
      </c>
      <c r="O429" s="21" t="str">
        <f aca="false">IFERROR(INDEX(종합!O$3:O$501,MATCH(ROW()-2,종합!$AC$3:$AC$501,0))&amp;"","")</f>
        <v/>
      </c>
      <c r="P429" s="21" t="str">
        <f aca="false">IFERROR(INDEX(종합!P$3:P$501,MATCH(ROW()-2,종합!$AC$3:$AC$501,0))&amp;"","")</f>
        <v/>
      </c>
      <c r="Q429" s="21" t="str">
        <f aca="false">IFERROR(INDEX(종합!Q$3:Q$501,MATCH(ROW()-2,종합!$AC$3:$AC$501,0))&amp;"","")</f>
        <v/>
      </c>
      <c r="R429" s="21" t="str">
        <f aca="false">IFERROR(INDEX(종합!R$3:R$501,MATCH(ROW()-2,종합!$AC$3:$AC$501,0))&amp;"","")</f>
        <v/>
      </c>
      <c r="S429" s="21" t="str">
        <f aca="false">IFERROR(INDEX(종합!S$3:S$501,MATCH(ROW()-2,종합!$AC$3:$AC$501,0))&amp;"","")</f>
        <v/>
      </c>
      <c r="T429" s="21" t="str">
        <f aca="false">IFERROR(INDEX(종합!T$3:T$501,MATCH(ROW()-2,종합!$AC$3:$AC$501,0))&amp;"","")</f>
        <v/>
      </c>
      <c r="U429" s="21" t="str">
        <f aca="false">IFERROR(INDEX(종합!U$3:U$501,MATCH(ROW()-2,종합!$AC$3:$AC$501,0))&amp;"","")</f>
        <v/>
      </c>
      <c r="V429" s="21" t="str">
        <f aca="false">IFERROR(INDEX(종합!V$3:V$501,MATCH(ROW()-2,종합!$AC$3:$AC$501,0))&amp;"","")</f>
        <v/>
      </c>
      <c r="W429" s="21" t="str">
        <f aca="false">IFERROR(INDEX(종합!W$3:W$501,MATCH(ROW()-2,종합!$AC$3:$AC$501,0))&amp;"","")</f>
        <v/>
      </c>
      <c r="X429" s="21" t="str">
        <f aca="false">IFERROR(INDEX(종합!X$3:X$501,MATCH(ROW()-2,종합!$AC$3:$AC$501,0))&amp;"","")</f>
        <v/>
      </c>
      <c r="Y429" s="21" t="str">
        <f aca="false">IFERROR(INDEX(종합!Y$3:Y$501,MATCH(ROW()-2,종합!$AC$3:$AC$501,0))&amp;"","")</f>
        <v/>
      </c>
      <c r="Z429" s="21" t="str">
        <f aca="false">IFERROR(INDEX(종합!Z$3:Z$501,MATCH(ROW()-2,종합!$AC$3:$AC$501,0))&amp;"","")</f>
        <v/>
      </c>
    </row>
    <row r="430" customFormat="false" ht="16.5" hidden="false" customHeight="true" outlineLevel="0" collapsed="false">
      <c r="A430" s="18" t="str">
        <f aca="false">IF(B430="","",ROW()-2)</f>
        <v/>
      </c>
      <c r="B430" s="18" t="str">
        <f aca="false">IFERROR(INDEX(종합!B$3:B$501,MATCH(ROW()-2,종합!$AC$3:$AC$501,0))&amp;"","")</f>
        <v/>
      </c>
      <c r="C430" s="18" t="str">
        <f aca="false">IFERROR(INDEX(종합!C$3:C$501,MATCH(ROW()-2,종합!$AC$3:$AC$501,0))&amp;"","")</f>
        <v/>
      </c>
      <c r="D430" s="18" t="str">
        <f aca="false">IFERROR(INDEX(종합!D$3:D$501,MATCH(ROW()-2,종합!$AC$3:$AC$501,0))&amp;"","")</f>
        <v/>
      </c>
      <c r="E430" s="18" t="str">
        <f aca="false">IFERROR(INDEX(종합!E$3:E$501,MATCH(ROW()-2,종합!$AC$3:$AC$501,0))&amp;"","")</f>
        <v/>
      </c>
      <c r="F430" s="18" t="str">
        <f aca="false">IFERROR(INDEX(종합!F$3:F$501,MATCH(ROW()-2,종합!$AC$3:$AC$501,0))&amp;"","")</f>
        <v/>
      </c>
      <c r="G430" s="18" t="str">
        <f aca="false">IFERROR(INDEX(종합!G$3:G$501,MATCH(ROW()-2,종합!$AC$3:$AC$501,0))&amp;"","")</f>
        <v/>
      </c>
      <c r="H430" s="21" t="str">
        <f aca="false">IFERROR(INDEX(종합!H$3:H$501,MATCH(ROW()-2,종합!$AC$3:$AC$501,0))&amp;"","")</f>
        <v/>
      </c>
      <c r="I430" s="21" t="str">
        <f aca="false">IFERROR(INDEX(종합!I$3:I$501,MATCH(ROW()-2,종합!$AC$3:$AC$501,0))&amp;"","")</f>
        <v/>
      </c>
      <c r="J430" s="21" t="str">
        <f aca="false">IFERROR(INDEX(종합!J$3:J$501,MATCH(ROW()-2,종합!$AC$3:$AC$501,0))&amp;"","")</f>
        <v/>
      </c>
      <c r="K430" s="21" t="str">
        <f aca="false">IFERROR(INDEX(종합!K$3:K$501,MATCH(ROW()-2,종합!$AC$3:$AC$501,0))&amp;"","")</f>
        <v/>
      </c>
      <c r="L430" s="21" t="str">
        <f aca="false">IFERROR(INDEX(종합!L$3:L$501,MATCH(ROW()-2,종합!$AC$3:$AC$501,0))&amp;"","")</f>
        <v/>
      </c>
      <c r="M430" s="21" t="str">
        <f aca="false">IFERROR(INDEX(종합!M$3:M$501,MATCH(ROW()-2,종합!$AC$3:$AC$501,0))&amp;"","")</f>
        <v/>
      </c>
      <c r="N430" s="25" t="str">
        <f aca="false">IFERROR(INDEX(종합!N$3:N$501,MATCH(ROW()-2,종합!$AC$3:$AC$501,0))&amp;"","")</f>
        <v/>
      </c>
      <c r="O430" s="21" t="str">
        <f aca="false">IFERROR(INDEX(종합!O$3:O$501,MATCH(ROW()-2,종합!$AC$3:$AC$501,0))&amp;"","")</f>
        <v/>
      </c>
      <c r="P430" s="21" t="str">
        <f aca="false">IFERROR(INDEX(종합!P$3:P$501,MATCH(ROW()-2,종합!$AC$3:$AC$501,0))&amp;"","")</f>
        <v/>
      </c>
      <c r="Q430" s="21" t="str">
        <f aca="false">IFERROR(INDEX(종합!Q$3:Q$501,MATCH(ROW()-2,종합!$AC$3:$AC$501,0))&amp;"","")</f>
        <v/>
      </c>
      <c r="R430" s="21" t="str">
        <f aca="false">IFERROR(INDEX(종합!R$3:R$501,MATCH(ROW()-2,종합!$AC$3:$AC$501,0))&amp;"","")</f>
        <v/>
      </c>
      <c r="S430" s="21" t="str">
        <f aca="false">IFERROR(INDEX(종합!S$3:S$501,MATCH(ROW()-2,종합!$AC$3:$AC$501,0))&amp;"","")</f>
        <v/>
      </c>
      <c r="T430" s="21" t="str">
        <f aca="false">IFERROR(INDEX(종합!T$3:T$501,MATCH(ROW()-2,종합!$AC$3:$AC$501,0))&amp;"","")</f>
        <v/>
      </c>
      <c r="U430" s="21" t="str">
        <f aca="false">IFERROR(INDEX(종합!U$3:U$501,MATCH(ROW()-2,종합!$AC$3:$AC$501,0))&amp;"","")</f>
        <v/>
      </c>
      <c r="V430" s="21" t="str">
        <f aca="false">IFERROR(INDEX(종합!V$3:V$501,MATCH(ROW()-2,종합!$AC$3:$AC$501,0))&amp;"","")</f>
        <v/>
      </c>
      <c r="W430" s="21" t="str">
        <f aca="false">IFERROR(INDEX(종합!W$3:W$501,MATCH(ROW()-2,종합!$AC$3:$AC$501,0))&amp;"","")</f>
        <v/>
      </c>
      <c r="X430" s="21" t="str">
        <f aca="false">IFERROR(INDEX(종합!X$3:X$501,MATCH(ROW()-2,종합!$AC$3:$AC$501,0))&amp;"","")</f>
        <v/>
      </c>
      <c r="Y430" s="21" t="str">
        <f aca="false">IFERROR(INDEX(종합!Y$3:Y$501,MATCH(ROW()-2,종합!$AC$3:$AC$501,0))&amp;"","")</f>
        <v/>
      </c>
      <c r="Z430" s="21" t="str">
        <f aca="false">IFERROR(INDEX(종합!Z$3:Z$501,MATCH(ROW()-2,종합!$AC$3:$AC$501,0))&amp;"","")</f>
        <v/>
      </c>
    </row>
    <row r="431" customFormat="false" ht="16.5" hidden="false" customHeight="true" outlineLevel="0" collapsed="false">
      <c r="A431" s="18" t="str">
        <f aca="false">IF(B431="","",ROW()-2)</f>
        <v/>
      </c>
      <c r="B431" s="18" t="str">
        <f aca="false">IFERROR(INDEX(종합!B$3:B$501,MATCH(ROW()-2,종합!$AC$3:$AC$501,0))&amp;"","")</f>
        <v/>
      </c>
      <c r="C431" s="18" t="str">
        <f aca="false">IFERROR(INDEX(종합!C$3:C$501,MATCH(ROW()-2,종합!$AC$3:$AC$501,0))&amp;"","")</f>
        <v/>
      </c>
      <c r="D431" s="18" t="str">
        <f aca="false">IFERROR(INDEX(종합!D$3:D$501,MATCH(ROW()-2,종합!$AC$3:$AC$501,0))&amp;"","")</f>
        <v/>
      </c>
      <c r="E431" s="18" t="str">
        <f aca="false">IFERROR(INDEX(종합!E$3:E$501,MATCH(ROW()-2,종합!$AC$3:$AC$501,0))&amp;"","")</f>
        <v/>
      </c>
      <c r="F431" s="18" t="str">
        <f aca="false">IFERROR(INDEX(종합!F$3:F$501,MATCH(ROW()-2,종합!$AC$3:$AC$501,0))&amp;"","")</f>
        <v/>
      </c>
      <c r="G431" s="18" t="str">
        <f aca="false">IFERROR(INDEX(종합!G$3:G$501,MATCH(ROW()-2,종합!$AC$3:$AC$501,0))&amp;"","")</f>
        <v/>
      </c>
      <c r="H431" s="21" t="str">
        <f aca="false">IFERROR(INDEX(종합!H$3:H$501,MATCH(ROW()-2,종합!$AC$3:$AC$501,0))&amp;"","")</f>
        <v/>
      </c>
      <c r="I431" s="21" t="str">
        <f aca="false">IFERROR(INDEX(종합!I$3:I$501,MATCH(ROW()-2,종합!$AC$3:$AC$501,0))&amp;"","")</f>
        <v/>
      </c>
      <c r="J431" s="21" t="str">
        <f aca="false">IFERROR(INDEX(종합!J$3:J$501,MATCH(ROW()-2,종합!$AC$3:$AC$501,0))&amp;"","")</f>
        <v/>
      </c>
      <c r="K431" s="21" t="str">
        <f aca="false">IFERROR(INDEX(종합!K$3:K$501,MATCH(ROW()-2,종합!$AC$3:$AC$501,0))&amp;"","")</f>
        <v/>
      </c>
      <c r="L431" s="21" t="str">
        <f aca="false">IFERROR(INDEX(종합!L$3:L$501,MATCH(ROW()-2,종합!$AC$3:$AC$501,0))&amp;"","")</f>
        <v/>
      </c>
      <c r="M431" s="21" t="str">
        <f aca="false">IFERROR(INDEX(종합!M$3:M$501,MATCH(ROW()-2,종합!$AC$3:$AC$501,0))&amp;"","")</f>
        <v/>
      </c>
      <c r="N431" s="25" t="str">
        <f aca="false">IFERROR(INDEX(종합!N$3:N$501,MATCH(ROW()-2,종합!$AC$3:$AC$501,0))&amp;"","")</f>
        <v/>
      </c>
      <c r="O431" s="21" t="str">
        <f aca="false">IFERROR(INDEX(종합!O$3:O$501,MATCH(ROW()-2,종합!$AC$3:$AC$501,0))&amp;"","")</f>
        <v/>
      </c>
      <c r="P431" s="21" t="str">
        <f aca="false">IFERROR(INDEX(종합!P$3:P$501,MATCH(ROW()-2,종합!$AC$3:$AC$501,0))&amp;"","")</f>
        <v/>
      </c>
      <c r="Q431" s="21" t="str">
        <f aca="false">IFERROR(INDEX(종합!Q$3:Q$501,MATCH(ROW()-2,종합!$AC$3:$AC$501,0))&amp;"","")</f>
        <v/>
      </c>
      <c r="R431" s="21" t="str">
        <f aca="false">IFERROR(INDEX(종합!R$3:R$501,MATCH(ROW()-2,종합!$AC$3:$AC$501,0))&amp;"","")</f>
        <v/>
      </c>
      <c r="S431" s="21" t="str">
        <f aca="false">IFERROR(INDEX(종합!S$3:S$501,MATCH(ROW()-2,종합!$AC$3:$AC$501,0))&amp;"","")</f>
        <v/>
      </c>
      <c r="T431" s="21" t="str">
        <f aca="false">IFERROR(INDEX(종합!T$3:T$501,MATCH(ROW()-2,종합!$AC$3:$AC$501,0))&amp;"","")</f>
        <v/>
      </c>
      <c r="U431" s="21" t="str">
        <f aca="false">IFERROR(INDEX(종합!U$3:U$501,MATCH(ROW()-2,종합!$AC$3:$AC$501,0))&amp;"","")</f>
        <v/>
      </c>
      <c r="V431" s="21" t="str">
        <f aca="false">IFERROR(INDEX(종합!V$3:V$501,MATCH(ROW()-2,종합!$AC$3:$AC$501,0))&amp;"","")</f>
        <v/>
      </c>
      <c r="W431" s="21" t="str">
        <f aca="false">IFERROR(INDEX(종합!W$3:W$501,MATCH(ROW()-2,종합!$AC$3:$AC$501,0))&amp;"","")</f>
        <v/>
      </c>
      <c r="X431" s="21" t="str">
        <f aca="false">IFERROR(INDEX(종합!X$3:X$501,MATCH(ROW()-2,종합!$AC$3:$AC$501,0))&amp;"","")</f>
        <v/>
      </c>
      <c r="Y431" s="21" t="str">
        <f aca="false">IFERROR(INDEX(종합!Y$3:Y$501,MATCH(ROW()-2,종합!$AC$3:$AC$501,0))&amp;"","")</f>
        <v/>
      </c>
      <c r="Z431" s="21" t="str">
        <f aca="false">IFERROR(INDEX(종합!Z$3:Z$501,MATCH(ROW()-2,종합!$AC$3:$AC$501,0))&amp;"","")</f>
        <v/>
      </c>
    </row>
    <row r="432" customFormat="false" ht="16.5" hidden="false" customHeight="true" outlineLevel="0" collapsed="false">
      <c r="A432" s="18" t="str">
        <f aca="false">IF(B432="","",ROW()-2)</f>
        <v/>
      </c>
      <c r="B432" s="18" t="str">
        <f aca="false">IFERROR(INDEX(종합!B$3:B$501,MATCH(ROW()-2,종합!$AC$3:$AC$501,0))&amp;"","")</f>
        <v/>
      </c>
      <c r="C432" s="18" t="str">
        <f aca="false">IFERROR(INDEX(종합!C$3:C$501,MATCH(ROW()-2,종합!$AC$3:$AC$501,0))&amp;"","")</f>
        <v/>
      </c>
      <c r="D432" s="18" t="str">
        <f aca="false">IFERROR(INDEX(종합!D$3:D$501,MATCH(ROW()-2,종합!$AC$3:$AC$501,0))&amp;"","")</f>
        <v/>
      </c>
      <c r="E432" s="18" t="str">
        <f aca="false">IFERROR(INDEX(종합!E$3:E$501,MATCH(ROW()-2,종합!$AC$3:$AC$501,0))&amp;"","")</f>
        <v/>
      </c>
      <c r="F432" s="18" t="str">
        <f aca="false">IFERROR(INDEX(종합!F$3:F$501,MATCH(ROW()-2,종합!$AC$3:$AC$501,0))&amp;"","")</f>
        <v/>
      </c>
      <c r="G432" s="18" t="str">
        <f aca="false">IFERROR(INDEX(종합!G$3:G$501,MATCH(ROW()-2,종합!$AC$3:$AC$501,0))&amp;"","")</f>
        <v/>
      </c>
      <c r="H432" s="21" t="str">
        <f aca="false">IFERROR(INDEX(종합!H$3:H$501,MATCH(ROW()-2,종합!$AC$3:$AC$501,0))&amp;"","")</f>
        <v/>
      </c>
      <c r="I432" s="21" t="str">
        <f aca="false">IFERROR(INDEX(종합!I$3:I$501,MATCH(ROW()-2,종합!$AC$3:$AC$501,0))&amp;"","")</f>
        <v/>
      </c>
      <c r="J432" s="21" t="str">
        <f aca="false">IFERROR(INDEX(종합!J$3:J$501,MATCH(ROW()-2,종합!$AC$3:$AC$501,0))&amp;"","")</f>
        <v/>
      </c>
      <c r="K432" s="21" t="str">
        <f aca="false">IFERROR(INDEX(종합!K$3:K$501,MATCH(ROW()-2,종합!$AC$3:$AC$501,0))&amp;"","")</f>
        <v/>
      </c>
      <c r="L432" s="21" t="str">
        <f aca="false">IFERROR(INDEX(종합!L$3:L$501,MATCH(ROW()-2,종합!$AC$3:$AC$501,0))&amp;"","")</f>
        <v/>
      </c>
      <c r="M432" s="21" t="str">
        <f aca="false">IFERROR(INDEX(종합!M$3:M$501,MATCH(ROW()-2,종합!$AC$3:$AC$501,0))&amp;"","")</f>
        <v/>
      </c>
      <c r="N432" s="25" t="str">
        <f aca="false">IFERROR(INDEX(종합!N$3:N$501,MATCH(ROW()-2,종합!$AC$3:$AC$501,0))&amp;"","")</f>
        <v/>
      </c>
      <c r="O432" s="21" t="str">
        <f aca="false">IFERROR(INDEX(종합!O$3:O$501,MATCH(ROW()-2,종합!$AC$3:$AC$501,0))&amp;"","")</f>
        <v/>
      </c>
      <c r="P432" s="21" t="str">
        <f aca="false">IFERROR(INDEX(종합!P$3:P$501,MATCH(ROW()-2,종합!$AC$3:$AC$501,0))&amp;"","")</f>
        <v/>
      </c>
      <c r="Q432" s="21" t="str">
        <f aca="false">IFERROR(INDEX(종합!Q$3:Q$501,MATCH(ROW()-2,종합!$AC$3:$AC$501,0))&amp;"","")</f>
        <v/>
      </c>
      <c r="R432" s="21" t="str">
        <f aca="false">IFERROR(INDEX(종합!R$3:R$501,MATCH(ROW()-2,종합!$AC$3:$AC$501,0))&amp;"","")</f>
        <v/>
      </c>
      <c r="S432" s="21" t="str">
        <f aca="false">IFERROR(INDEX(종합!S$3:S$501,MATCH(ROW()-2,종합!$AC$3:$AC$501,0))&amp;"","")</f>
        <v/>
      </c>
      <c r="T432" s="21" t="str">
        <f aca="false">IFERROR(INDEX(종합!T$3:T$501,MATCH(ROW()-2,종합!$AC$3:$AC$501,0))&amp;"","")</f>
        <v/>
      </c>
      <c r="U432" s="21" t="str">
        <f aca="false">IFERROR(INDEX(종합!U$3:U$501,MATCH(ROW()-2,종합!$AC$3:$AC$501,0))&amp;"","")</f>
        <v/>
      </c>
      <c r="V432" s="21" t="str">
        <f aca="false">IFERROR(INDEX(종합!V$3:V$501,MATCH(ROW()-2,종합!$AC$3:$AC$501,0))&amp;"","")</f>
        <v/>
      </c>
      <c r="W432" s="21" t="str">
        <f aca="false">IFERROR(INDEX(종합!W$3:W$501,MATCH(ROW()-2,종합!$AC$3:$AC$501,0))&amp;"","")</f>
        <v/>
      </c>
      <c r="X432" s="21" t="str">
        <f aca="false">IFERROR(INDEX(종합!X$3:X$501,MATCH(ROW()-2,종합!$AC$3:$AC$501,0))&amp;"","")</f>
        <v/>
      </c>
      <c r="Y432" s="21" t="str">
        <f aca="false">IFERROR(INDEX(종합!Y$3:Y$501,MATCH(ROW()-2,종합!$AC$3:$AC$501,0))&amp;"","")</f>
        <v/>
      </c>
      <c r="Z432" s="21" t="str">
        <f aca="false">IFERROR(INDEX(종합!Z$3:Z$501,MATCH(ROW()-2,종합!$AC$3:$AC$501,0))&amp;"","")</f>
        <v/>
      </c>
    </row>
    <row r="433" customFormat="false" ht="16.5" hidden="false" customHeight="true" outlineLevel="0" collapsed="false">
      <c r="A433" s="18" t="str">
        <f aca="false">IF(B433="","",ROW()-2)</f>
        <v/>
      </c>
      <c r="B433" s="18" t="str">
        <f aca="false">IFERROR(INDEX(종합!B$3:B$501,MATCH(ROW()-2,종합!$AC$3:$AC$501,0))&amp;"","")</f>
        <v/>
      </c>
      <c r="C433" s="18" t="str">
        <f aca="false">IFERROR(INDEX(종합!C$3:C$501,MATCH(ROW()-2,종합!$AC$3:$AC$501,0))&amp;"","")</f>
        <v/>
      </c>
      <c r="D433" s="18" t="str">
        <f aca="false">IFERROR(INDEX(종합!D$3:D$501,MATCH(ROW()-2,종합!$AC$3:$AC$501,0))&amp;"","")</f>
        <v/>
      </c>
      <c r="E433" s="18" t="str">
        <f aca="false">IFERROR(INDEX(종합!E$3:E$501,MATCH(ROW()-2,종합!$AC$3:$AC$501,0))&amp;"","")</f>
        <v/>
      </c>
      <c r="F433" s="18" t="str">
        <f aca="false">IFERROR(INDEX(종합!F$3:F$501,MATCH(ROW()-2,종합!$AC$3:$AC$501,0))&amp;"","")</f>
        <v/>
      </c>
      <c r="G433" s="18" t="str">
        <f aca="false">IFERROR(INDEX(종합!G$3:G$501,MATCH(ROW()-2,종합!$AC$3:$AC$501,0))&amp;"","")</f>
        <v/>
      </c>
      <c r="H433" s="21" t="str">
        <f aca="false">IFERROR(INDEX(종합!H$3:H$501,MATCH(ROW()-2,종합!$AC$3:$AC$501,0))&amp;"","")</f>
        <v/>
      </c>
      <c r="I433" s="21" t="str">
        <f aca="false">IFERROR(INDEX(종합!I$3:I$501,MATCH(ROW()-2,종합!$AC$3:$AC$501,0))&amp;"","")</f>
        <v/>
      </c>
      <c r="J433" s="21" t="str">
        <f aca="false">IFERROR(INDEX(종합!J$3:J$501,MATCH(ROW()-2,종합!$AC$3:$AC$501,0))&amp;"","")</f>
        <v/>
      </c>
      <c r="K433" s="21" t="str">
        <f aca="false">IFERROR(INDEX(종합!K$3:K$501,MATCH(ROW()-2,종합!$AC$3:$AC$501,0))&amp;"","")</f>
        <v/>
      </c>
      <c r="L433" s="21" t="str">
        <f aca="false">IFERROR(INDEX(종합!L$3:L$501,MATCH(ROW()-2,종합!$AC$3:$AC$501,0))&amp;"","")</f>
        <v/>
      </c>
      <c r="M433" s="21" t="str">
        <f aca="false">IFERROR(INDEX(종합!M$3:M$501,MATCH(ROW()-2,종합!$AC$3:$AC$501,0))&amp;"","")</f>
        <v/>
      </c>
      <c r="N433" s="25" t="str">
        <f aca="false">IFERROR(INDEX(종합!N$3:N$501,MATCH(ROW()-2,종합!$AC$3:$AC$501,0))&amp;"","")</f>
        <v/>
      </c>
      <c r="O433" s="21" t="str">
        <f aca="false">IFERROR(INDEX(종합!O$3:O$501,MATCH(ROW()-2,종합!$AC$3:$AC$501,0))&amp;"","")</f>
        <v/>
      </c>
      <c r="P433" s="21" t="str">
        <f aca="false">IFERROR(INDEX(종합!P$3:P$501,MATCH(ROW()-2,종합!$AC$3:$AC$501,0))&amp;"","")</f>
        <v/>
      </c>
      <c r="Q433" s="21" t="str">
        <f aca="false">IFERROR(INDEX(종합!Q$3:Q$501,MATCH(ROW()-2,종합!$AC$3:$AC$501,0))&amp;"","")</f>
        <v/>
      </c>
      <c r="R433" s="21" t="str">
        <f aca="false">IFERROR(INDEX(종합!R$3:R$501,MATCH(ROW()-2,종합!$AC$3:$AC$501,0))&amp;"","")</f>
        <v/>
      </c>
      <c r="S433" s="21" t="str">
        <f aca="false">IFERROR(INDEX(종합!S$3:S$501,MATCH(ROW()-2,종합!$AC$3:$AC$501,0))&amp;"","")</f>
        <v/>
      </c>
      <c r="T433" s="21" t="str">
        <f aca="false">IFERROR(INDEX(종합!T$3:T$501,MATCH(ROW()-2,종합!$AC$3:$AC$501,0))&amp;"","")</f>
        <v/>
      </c>
      <c r="U433" s="21" t="str">
        <f aca="false">IFERROR(INDEX(종합!U$3:U$501,MATCH(ROW()-2,종합!$AC$3:$AC$501,0))&amp;"","")</f>
        <v/>
      </c>
      <c r="V433" s="21" t="str">
        <f aca="false">IFERROR(INDEX(종합!V$3:V$501,MATCH(ROW()-2,종합!$AC$3:$AC$501,0))&amp;"","")</f>
        <v/>
      </c>
      <c r="W433" s="21" t="str">
        <f aca="false">IFERROR(INDEX(종합!W$3:W$501,MATCH(ROW()-2,종합!$AC$3:$AC$501,0))&amp;"","")</f>
        <v/>
      </c>
      <c r="X433" s="21" t="str">
        <f aca="false">IFERROR(INDEX(종합!X$3:X$501,MATCH(ROW()-2,종합!$AC$3:$AC$501,0))&amp;"","")</f>
        <v/>
      </c>
      <c r="Y433" s="21" t="str">
        <f aca="false">IFERROR(INDEX(종합!Y$3:Y$501,MATCH(ROW()-2,종합!$AC$3:$AC$501,0))&amp;"","")</f>
        <v/>
      </c>
      <c r="Z433" s="21" t="str">
        <f aca="false">IFERROR(INDEX(종합!Z$3:Z$501,MATCH(ROW()-2,종합!$AC$3:$AC$501,0))&amp;"","")</f>
        <v/>
      </c>
    </row>
    <row r="434" customFormat="false" ht="16.5" hidden="false" customHeight="true" outlineLevel="0" collapsed="false">
      <c r="A434" s="18" t="str">
        <f aca="false">IF(B434="","",ROW()-2)</f>
        <v/>
      </c>
      <c r="B434" s="18" t="str">
        <f aca="false">IFERROR(INDEX(종합!B$3:B$501,MATCH(ROW()-2,종합!$AC$3:$AC$501,0))&amp;"","")</f>
        <v/>
      </c>
      <c r="C434" s="18" t="str">
        <f aca="false">IFERROR(INDEX(종합!C$3:C$501,MATCH(ROW()-2,종합!$AC$3:$AC$501,0))&amp;"","")</f>
        <v/>
      </c>
      <c r="D434" s="18" t="str">
        <f aca="false">IFERROR(INDEX(종합!D$3:D$501,MATCH(ROW()-2,종합!$AC$3:$AC$501,0))&amp;"","")</f>
        <v/>
      </c>
      <c r="E434" s="18" t="str">
        <f aca="false">IFERROR(INDEX(종합!E$3:E$501,MATCH(ROW()-2,종합!$AC$3:$AC$501,0))&amp;"","")</f>
        <v/>
      </c>
      <c r="F434" s="18" t="str">
        <f aca="false">IFERROR(INDEX(종합!F$3:F$501,MATCH(ROW()-2,종합!$AC$3:$AC$501,0))&amp;"","")</f>
        <v/>
      </c>
      <c r="G434" s="18" t="str">
        <f aca="false">IFERROR(INDEX(종합!G$3:G$501,MATCH(ROW()-2,종합!$AC$3:$AC$501,0))&amp;"","")</f>
        <v/>
      </c>
      <c r="H434" s="21" t="str">
        <f aca="false">IFERROR(INDEX(종합!H$3:H$501,MATCH(ROW()-2,종합!$AC$3:$AC$501,0))&amp;"","")</f>
        <v/>
      </c>
      <c r="I434" s="21" t="str">
        <f aca="false">IFERROR(INDEX(종합!I$3:I$501,MATCH(ROW()-2,종합!$AC$3:$AC$501,0))&amp;"","")</f>
        <v/>
      </c>
      <c r="J434" s="21" t="str">
        <f aca="false">IFERROR(INDEX(종합!J$3:J$501,MATCH(ROW()-2,종합!$AC$3:$AC$501,0))&amp;"","")</f>
        <v/>
      </c>
      <c r="K434" s="21" t="str">
        <f aca="false">IFERROR(INDEX(종합!K$3:K$501,MATCH(ROW()-2,종합!$AC$3:$AC$501,0))&amp;"","")</f>
        <v/>
      </c>
      <c r="L434" s="21" t="str">
        <f aca="false">IFERROR(INDEX(종합!L$3:L$501,MATCH(ROW()-2,종합!$AC$3:$AC$501,0))&amp;"","")</f>
        <v/>
      </c>
      <c r="M434" s="21" t="str">
        <f aca="false">IFERROR(INDEX(종합!M$3:M$501,MATCH(ROW()-2,종합!$AC$3:$AC$501,0))&amp;"","")</f>
        <v/>
      </c>
      <c r="N434" s="25" t="str">
        <f aca="false">IFERROR(INDEX(종합!N$3:N$501,MATCH(ROW()-2,종합!$AC$3:$AC$501,0))&amp;"","")</f>
        <v/>
      </c>
      <c r="O434" s="21" t="str">
        <f aca="false">IFERROR(INDEX(종합!O$3:O$501,MATCH(ROW()-2,종합!$AC$3:$AC$501,0))&amp;"","")</f>
        <v/>
      </c>
      <c r="P434" s="21" t="str">
        <f aca="false">IFERROR(INDEX(종합!P$3:P$501,MATCH(ROW()-2,종합!$AC$3:$AC$501,0))&amp;"","")</f>
        <v/>
      </c>
      <c r="Q434" s="21" t="str">
        <f aca="false">IFERROR(INDEX(종합!Q$3:Q$501,MATCH(ROW()-2,종합!$AC$3:$AC$501,0))&amp;"","")</f>
        <v/>
      </c>
      <c r="R434" s="21" t="str">
        <f aca="false">IFERROR(INDEX(종합!R$3:R$501,MATCH(ROW()-2,종합!$AC$3:$AC$501,0))&amp;"","")</f>
        <v/>
      </c>
      <c r="S434" s="21" t="str">
        <f aca="false">IFERROR(INDEX(종합!S$3:S$501,MATCH(ROW()-2,종합!$AC$3:$AC$501,0))&amp;"","")</f>
        <v/>
      </c>
      <c r="T434" s="21" t="str">
        <f aca="false">IFERROR(INDEX(종합!T$3:T$501,MATCH(ROW()-2,종합!$AC$3:$AC$501,0))&amp;"","")</f>
        <v/>
      </c>
      <c r="U434" s="21" t="str">
        <f aca="false">IFERROR(INDEX(종합!U$3:U$501,MATCH(ROW()-2,종합!$AC$3:$AC$501,0))&amp;"","")</f>
        <v/>
      </c>
      <c r="V434" s="21" t="str">
        <f aca="false">IFERROR(INDEX(종합!V$3:V$501,MATCH(ROW()-2,종합!$AC$3:$AC$501,0))&amp;"","")</f>
        <v/>
      </c>
      <c r="W434" s="21" t="str">
        <f aca="false">IFERROR(INDEX(종합!W$3:W$501,MATCH(ROW()-2,종합!$AC$3:$AC$501,0))&amp;"","")</f>
        <v/>
      </c>
      <c r="X434" s="21" t="str">
        <f aca="false">IFERROR(INDEX(종합!X$3:X$501,MATCH(ROW()-2,종합!$AC$3:$AC$501,0))&amp;"","")</f>
        <v/>
      </c>
      <c r="Y434" s="21" t="str">
        <f aca="false">IFERROR(INDEX(종합!Y$3:Y$501,MATCH(ROW()-2,종합!$AC$3:$AC$501,0))&amp;"","")</f>
        <v/>
      </c>
      <c r="Z434" s="21" t="str">
        <f aca="false">IFERROR(INDEX(종합!Z$3:Z$501,MATCH(ROW()-2,종합!$AC$3:$AC$501,0))&amp;"","")</f>
        <v/>
      </c>
    </row>
    <row r="435" customFormat="false" ht="16.5" hidden="false" customHeight="true" outlineLevel="0" collapsed="false">
      <c r="A435" s="18" t="str">
        <f aca="false">IF(B435="","",ROW()-2)</f>
        <v/>
      </c>
      <c r="B435" s="18" t="str">
        <f aca="false">IFERROR(INDEX(종합!B$3:B$501,MATCH(ROW()-2,종합!$AC$3:$AC$501,0))&amp;"","")</f>
        <v/>
      </c>
      <c r="C435" s="18" t="str">
        <f aca="false">IFERROR(INDEX(종합!C$3:C$501,MATCH(ROW()-2,종합!$AC$3:$AC$501,0))&amp;"","")</f>
        <v/>
      </c>
      <c r="D435" s="18" t="str">
        <f aca="false">IFERROR(INDEX(종합!D$3:D$501,MATCH(ROW()-2,종합!$AC$3:$AC$501,0))&amp;"","")</f>
        <v/>
      </c>
      <c r="E435" s="18" t="str">
        <f aca="false">IFERROR(INDEX(종합!E$3:E$501,MATCH(ROW()-2,종합!$AC$3:$AC$501,0))&amp;"","")</f>
        <v/>
      </c>
      <c r="F435" s="18" t="str">
        <f aca="false">IFERROR(INDEX(종합!F$3:F$501,MATCH(ROW()-2,종합!$AC$3:$AC$501,0))&amp;"","")</f>
        <v/>
      </c>
      <c r="G435" s="18" t="str">
        <f aca="false">IFERROR(INDEX(종합!G$3:G$501,MATCH(ROW()-2,종합!$AC$3:$AC$501,0))&amp;"","")</f>
        <v/>
      </c>
      <c r="H435" s="21" t="str">
        <f aca="false">IFERROR(INDEX(종합!H$3:H$501,MATCH(ROW()-2,종합!$AC$3:$AC$501,0))&amp;"","")</f>
        <v/>
      </c>
      <c r="I435" s="21" t="str">
        <f aca="false">IFERROR(INDEX(종합!I$3:I$501,MATCH(ROW()-2,종합!$AC$3:$AC$501,0))&amp;"","")</f>
        <v/>
      </c>
      <c r="J435" s="21" t="str">
        <f aca="false">IFERROR(INDEX(종합!J$3:J$501,MATCH(ROW()-2,종합!$AC$3:$AC$501,0))&amp;"","")</f>
        <v/>
      </c>
      <c r="K435" s="21" t="str">
        <f aca="false">IFERROR(INDEX(종합!K$3:K$501,MATCH(ROW()-2,종합!$AC$3:$AC$501,0))&amp;"","")</f>
        <v/>
      </c>
      <c r="L435" s="21" t="str">
        <f aca="false">IFERROR(INDEX(종합!L$3:L$501,MATCH(ROW()-2,종합!$AC$3:$AC$501,0))&amp;"","")</f>
        <v/>
      </c>
      <c r="M435" s="21" t="str">
        <f aca="false">IFERROR(INDEX(종합!M$3:M$501,MATCH(ROW()-2,종합!$AC$3:$AC$501,0))&amp;"","")</f>
        <v/>
      </c>
      <c r="N435" s="25" t="str">
        <f aca="false">IFERROR(INDEX(종합!N$3:N$501,MATCH(ROW()-2,종합!$AC$3:$AC$501,0))&amp;"","")</f>
        <v/>
      </c>
      <c r="O435" s="21" t="str">
        <f aca="false">IFERROR(INDEX(종합!O$3:O$501,MATCH(ROW()-2,종합!$AC$3:$AC$501,0))&amp;"","")</f>
        <v/>
      </c>
      <c r="P435" s="21" t="str">
        <f aca="false">IFERROR(INDEX(종합!P$3:P$501,MATCH(ROW()-2,종합!$AC$3:$AC$501,0))&amp;"","")</f>
        <v/>
      </c>
      <c r="Q435" s="21" t="str">
        <f aca="false">IFERROR(INDEX(종합!Q$3:Q$501,MATCH(ROW()-2,종합!$AC$3:$AC$501,0))&amp;"","")</f>
        <v/>
      </c>
      <c r="R435" s="21" t="str">
        <f aca="false">IFERROR(INDEX(종합!R$3:R$501,MATCH(ROW()-2,종합!$AC$3:$AC$501,0))&amp;"","")</f>
        <v/>
      </c>
      <c r="S435" s="21" t="str">
        <f aca="false">IFERROR(INDEX(종합!S$3:S$501,MATCH(ROW()-2,종합!$AC$3:$AC$501,0))&amp;"","")</f>
        <v/>
      </c>
      <c r="T435" s="21" t="str">
        <f aca="false">IFERROR(INDEX(종합!T$3:T$501,MATCH(ROW()-2,종합!$AC$3:$AC$501,0))&amp;"","")</f>
        <v/>
      </c>
      <c r="U435" s="21" t="str">
        <f aca="false">IFERROR(INDEX(종합!U$3:U$501,MATCH(ROW()-2,종합!$AC$3:$AC$501,0))&amp;"","")</f>
        <v/>
      </c>
      <c r="V435" s="21" t="str">
        <f aca="false">IFERROR(INDEX(종합!V$3:V$501,MATCH(ROW()-2,종합!$AC$3:$AC$501,0))&amp;"","")</f>
        <v/>
      </c>
      <c r="W435" s="21" t="str">
        <f aca="false">IFERROR(INDEX(종합!W$3:W$501,MATCH(ROW()-2,종합!$AC$3:$AC$501,0))&amp;"","")</f>
        <v/>
      </c>
      <c r="X435" s="21" t="str">
        <f aca="false">IFERROR(INDEX(종합!X$3:X$501,MATCH(ROW()-2,종합!$AC$3:$AC$501,0))&amp;"","")</f>
        <v/>
      </c>
      <c r="Y435" s="21" t="str">
        <f aca="false">IFERROR(INDEX(종합!Y$3:Y$501,MATCH(ROW()-2,종합!$AC$3:$AC$501,0))&amp;"","")</f>
        <v/>
      </c>
      <c r="Z435" s="21" t="str">
        <f aca="false">IFERROR(INDEX(종합!Z$3:Z$501,MATCH(ROW()-2,종합!$AC$3:$AC$501,0))&amp;"","")</f>
        <v/>
      </c>
    </row>
    <row r="436" customFormat="false" ht="16.5" hidden="false" customHeight="true" outlineLevel="0" collapsed="false">
      <c r="A436" s="18" t="str">
        <f aca="false">IF(B436="","",ROW()-2)</f>
        <v/>
      </c>
      <c r="B436" s="18" t="str">
        <f aca="false">IFERROR(INDEX(종합!B$3:B$501,MATCH(ROW()-2,종합!$AC$3:$AC$501,0))&amp;"","")</f>
        <v/>
      </c>
      <c r="C436" s="18" t="str">
        <f aca="false">IFERROR(INDEX(종합!C$3:C$501,MATCH(ROW()-2,종합!$AC$3:$AC$501,0))&amp;"","")</f>
        <v/>
      </c>
      <c r="D436" s="18" t="str">
        <f aca="false">IFERROR(INDEX(종합!D$3:D$501,MATCH(ROW()-2,종합!$AC$3:$AC$501,0))&amp;"","")</f>
        <v/>
      </c>
      <c r="E436" s="18" t="str">
        <f aca="false">IFERROR(INDEX(종합!E$3:E$501,MATCH(ROW()-2,종합!$AC$3:$AC$501,0))&amp;"","")</f>
        <v/>
      </c>
      <c r="F436" s="18" t="str">
        <f aca="false">IFERROR(INDEX(종합!F$3:F$501,MATCH(ROW()-2,종합!$AC$3:$AC$501,0))&amp;"","")</f>
        <v/>
      </c>
      <c r="G436" s="18" t="str">
        <f aca="false">IFERROR(INDEX(종합!G$3:G$501,MATCH(ROW()-2,종합!$AC$3:$AC$501,0))&amp;"","")</f>
        <v/>
      </c>
      <c r="H436" s="21" t="str">
        <f aca="false">IFERROR(INDEX(종합!H$3:H$501,MATCH(ROW()-2,종합!$AC$3:$AC$501,0))&amp;"","")</f>
        <v/>
      </c>
      <c r="I436" s="21" t="str">
        <f aca="false">IFERROR(INDEX(종합!I$3:I$501,MATCH(ROW()-2,종합!$AC$3:$AC$501,0))&amp;"","")</f>
        <v/>
      </c>
      <c r="J436" s="21" t="str">
        <f aca="false">IFERROR(INDEX(종합!J$3:J$501,MATCH(ROW()-2,종합!$AC$3:$AC$501,0))&amp;"","")</f>
        <v/>
      </c>
      <c r="K436" s="21" t="str">
        <f aca="false">IFERROR(INDEX(종합!K$3:K$501,MATCH(ROW()-2,종합!$AC$3:$AC$501,0))&amp;"","")</f>
        <v/>
      </c>
      <c r="L436" s="21" t="str">
        <f aca="false">IFERROR(INDEX(종합!L$3:L$501,MATCH(ROW()-2,종합!$AC$3:$AC$501,0))&amp;"","")</f>
        <v/>
      </c>
      <c r="M436" s="21" t="str">
        <f aca="false">IFERROR(INDEX(종합!M$3:M$501,MATCH(ROW()-2,종합!$AC$3:$AC$501,0))&amp;"","")</f>
        <v/>
      </c>
      <c r="N436" s="25" t="str">
        <f aca="false">IFERROR(INDEX(종합!N$3:N$501,MATCH(ROW()-2,종합!$AC$3:$AC$501,0))&amp;"","")</f>
        <v/>
      </c>
      <c r="O436" s="21" t="str">
        <f aca="false">IFERROR(INDEX(종합!O$3:O$501,MATCH(ROW()-2,종합!$AC$3:$AC$501,0))&amp;"","")</f>
        <v/>
      </c>
      <c r="P436" s="21" t="str">
        <f aca="false">IFERROR(INDEX(종합!P$3:P$501,MATCH(ROW()-2,종합!$AC$3:$AC$501,0))&amp;"","")</f>
        <v/>
      </c>
      <c r="Q436" s="21" t="str">
        <f aca="false">IFERROR(INDEX(종합!Q$3:Q$501,MATCH(ROW()-2,종합!$AC$3:$AC$501,0))&amp;"","")</f>
        <v/>
      </c>
      <c r="R436" s="21" t="str">
        <f aca="false">IFERROR(INDEX(종합!R$3:R$501,MATCH(ROW()-2,종합!$AC$3:$AC$501,0))&amp;"","")</f>
        <v/>
      </c>
      <c r="S436" s="21" t="str">
        <f aca="false">IFERROR(INDEX(종합!S$3:S$501,MATCH(ROW()-2,종합!$AC$3:$AC$501,0))&amp;"","")</f>
        <v/>
      </c>
      <c r="T436" s="21" t="str">
        <f aca="false">IFERROR(INDEX(종합!T$3:T$501,MATCH(ROW()-2,종합!$AC$3:$AC$501,0))&amp;"","")</f>
        <v/>
      </c>
      <c r="U436" s="21" t="str">
        <f aca="false">IFERROR(INDEX(종합!U$3:U$501,MATCH(ROW()-2,종합!$AC$3:$AC$501,0))&amp;"","")</f>
        <v/>
      </c>
      <c r="V436" s="21" t="str">
        <f aca="false">IFERROR(INDEX(종합!V$3:V$501,MATCH(ROW()-2,종합!$AC$3:$AC$501,0))&amp;"","")</f>
        <v/>
      </c>
      <c r="W436" s="21" t="str">
        <f aca="false">IFERROR(INDEX(종합!W$3:W$501,MATCH(ROW()-2,종합!$AC$3:$AC$501,0))&amp;"","")</f>
        <v/>
      </c>
      <c r="X436" s="21" t="str">
        <f aca="false">IFERROR(INDEX(종합!X$3:X$501,MATCH(ROW()-2,종합!$AC$3:$AC$501,0))&amp;"","")</f>
        <v/>
      </c>
      <c r="Y436" s="21" t="str">
        <f aca="false">IFERROR(INDEX(종합!Y$3:Y$501,MATCH(ROW()-2,종합!$AC$3:$AC$501,0))&amp;"","")</f>
        <v/>
      </c>
      <c r="Z436" s="21" t="str">
        <f aca="false">IFERROR(INDEX(종합!Z$3:Z$501,MATCH(ROW()-2,종합!$AC$3:$AC$501,0))&amp;"","")</f>
        <v/>
      </c>
    </row>
    <row r="437" customFormat="false" ht="16.5" hidden="false" customHeight="true" outlineLevel="0" collapsed="false">
      <c r="A437" s="18" t="str">
        <f aca="false">IF(B437="","",ROW()-2)</f>
        <v/>
      </c>
      <c r="B437" s="18" t="str">
        <f aca="false">IFERROR(INDEX(종합!B$3:B$501,MATCH(ROW()-2,종합!$AC$3:$AC$501,0))&amp;"","")</f>
        <v/>
      </c>
      <c r="C437" s="18" t="str">
        <f aca="false">IFERROR(INDEX(종합!C$3:C$501,MATCH(ROW()-2,종합!$AC$3:$AC$501,0))&amp;"","")</f>
        <v/>
      </c>
      <c r="D437" s="18" t="str">
        <f aca="false">IFERROR(INDEX(종합!D$3:D$501,MATCH(ROW()-2,종합!$AC$3:$AC$501,0))&amp;"","")</f>
        <v/>
      </c>
      <c r="E437" s="18" t="str">
        <f aca="false">IFERROR(INDEX(종합!E$3:E$501,MATCH(ROW()-2,종합!$AC$3:$AC$501,0))&amp;"","")</f>
        <v/>
      </c>
      <c r="F437" s="18" t="str">
        <f aca="false">IFERROR(INDEX(종합!F$3:F$501,MATCH(ROW()-2,종합!$AC$3:$AC$501,0))&amp;"","")</f>
        <v/>
      </c>
      <c r="G437" s="18" t="str">
        <f aca="false">IFERROR(INDEX(종합!G$3:G$501,MATCH(ROW()-2,종합!$AC$3:$AC$501,0))&amp;"","")</f>
        <v/>
      </c>
      <c r="H437" s="21" t="str">
        <f aca="false">IFERROR(INDEX(종합!H$3:H$501,MATCH(ROW()-2,종합!$AC$3:$AC$501,0))&amp;"","")</f>
        <v/>
      </c>
      <c r="I437" s="21" t="str">
        <f aca="false">IFERROR(INDEX(종합!I$3:I$501,MATCH(ROW()-2,종합!$AC$3:$AC$501,0))&amp;"","")</f>
        <v/>
      </c>
      <c r="J437" s="21" t="str">
        <f aca="false">IFERROR(INDEX(종합!J$3:J$501,MATCH(ROW()-2,종합!$AC$3:$AC$501,0))&amp;"","")</f>
        <v/>
      </c>
      <c r="K437" s="21" t="str">
        <f aca="false">IFERROR(INDEX(종합!K$3:K$501,MATCH(ROW()-2,종합!$AC$3:$AC$501,0))&amp;"","")</f>
        <v/>
      </c>
      <c r="L437" s="21" t="str">
        <f aca="false">IFERROR(INDEX(종합!L$3:L$501,MATCH(ROW()-2,종합!$AC$3:$AC$501,0))&amp;"","")</f>
        <v/>
      </c>
      <c r="M437" s="21" t="str">
        <f aca="false">IFERROR(INDEX(종합!M$3:M$501,MATCH(ROW()-2,종합!$AC$3:$AC$501,0))&amp;"","")</f>
        <v/>
      </c>
      <c r="N437" s="25" t="str">
        <f aca="false">IFERROR(INDEX(종합!N$3:N$501,MATCH(ROW()-2,종합!$AC$3:$AC$501,0))&amp;"","")</f>
        <v/>
      </c>
      <c r="O437" s="21" t="str">
        <f aca="false">IFERROR(INDEX(종합!O$3:O$501,MATCH(ROW()-2,종합!$AC$3:$AC$501,0))&amp;"","")</f>
        <v/>
      </c>
      <c r="P437" s="21" t="str">
        <f aca="false">IFERROR(INDEX(종합!P$3:P$501,MATCH(ROW()-2,종합!$AC$3:$AC$501,0))&amp;"","")</f>
        <v/>
      </c>
      <c r="Q437" s="21" t="str">
        <f aca="false">IFERROR(INDEX(종합!Q$3:Q$501,MATCH(ROW()-2,종합!$AC$3:$AC$501,0))&amp;"","")</f>
        <v/>
      </c>
      <c r="R437" s="21" t="str">
        <f aca="false">IFERROR(INDEX(종합!R$3:R$501,MATCH(ROW()-2,종합!$AC$3:$AC$501,0))&amp;"","")</f>
        <v/>
      </c>
      <c r="S437" s="21" t="str">
        <f aca="false">IFERROR(INDEX(종합!S$3:S$501,MATCH(ROW()-2,종합!$AC$3:$AC$501,0))&amp;"","")</f>
        <v/>
      </c>
      <c r="T437" s="21" t="str">
        <f aca="false">IFERROR(INDEX(종합!T$3:T$501,MATCH(ROW()-2,종합!$AC$3:$AC$501,0))&amp;"","")</f>
        <v/>
      </c>
      <c r="U437" s="21" t="str">
        <f aca="false">IFERROR(INDEX(종합!U$3:U$501,MATCH(ROW()-2,종합!$AC$3:$AC$501,0))&amp;"","")</f>
        <v/>
      </c>
      <c r="V437" s="21" t="str">
        <f aca="false">IFERROR(INDEX(종합!V$3:V$501,MATCH(ROW()-2,종합!$AC$3:$AC$501,0))&amp;"","")</f>
        <v/>
      </c>
      <c r="W437" s="21" t="str">
        <f aca="false">IFERROR(INDEX(종합!W$3:W$501,MATCH(ROW()-2,종합!$AC$3:$AC$501,0))&amp;"","")</f>
        <v/>
      </c>
      <c r="X437" s="21" t="str">
        <f aca="false">IFERROR(INDEX(종합!X$3:X$501,MATCH(ROW()-2,종합!$AC$3:$AC$501,0))&amp;"","")</f>
        <v/>
      </c>
      <c r="Y437" s="21" t="str">
        <f aca="false">IFERROR(INDEX(종합!Y$3:Y$501,MATCH(ROW()-2,종합!$AC$3:$AC$501,0))&amp;"","")</f>
        <v/>
      </c>
      <c r="Z437" s="21" t="str">
        <f aca="false">IFERROR(INDEX(종합!Z$3:Z$501,MATCH(ROW()-2,종합!$AC$3:$AC$501,0))&amp;"","")</f>
        <v/>
      </c>
    </row>
    <row r="438" customFormat="false" ht="16.5" hidden="false" customHeight="true" outlineLevel="0" collapsed="false">
      <c r="A438" s="18" t="str">
        <f aca="false">IF(B438="","",ROW()-2)</f>
        <v/>
      </c>
      <c r="B438" s="18" t="str">
        <f aca="false">IFERROR(INDEX(종합!B$3:B$501,MATCH(ROW()-2,종합!$AC$3:$AC$501,0))&amp;"","")</f>
        <v/>
      </c>
      <c r="C438" s="18" t="str">
        <f aca="false">IFERROR(INDEX(종합!C$3:C$501,MATCH(ROW()-2,종합!$AC$3:$AC$501,0))&amp;"","")</f>
        <v/>
      </c>
      <c r="D438" s="18" t="str">
        <f aca="false">IFERROR(INDEX(종합!D$3:D$501,MATCH(ROW()-2,종합!$AC$3:$AC$501,0))&amp;"","")</f>
        <v/>
      </c>
      <c r="E438" s="18" t="str">
        <f aca="false">IFERROR(INDEX(종합!E$3:E$501,MATCH(ROW()-2,종합!$AC$3:$AC$501,0))&amp;"","")</f>
        <v/>
      </c>
      <c r="F438" s="18" t="str">
        <f aca="false">IFERROR(INDEX(종합!F$3:F$501,MATCH(ROW()-2,종합!$AC$3:$AC$501,0))&amp;"","")</f>
        <v/>
      </c>
      <c r="G438" s="18" t="str">
        <f aca="false">IFERROR(INDEX(종합!G$3:G$501,MATCH(ROW()-2,종합!$AC$3:$AC$501,0))&amp;"","")</f>
        <v/>
      </c>
      <c r="H438" s="21" t="str">
        <f aca="false">IFERROR(INDEX(종합!H$3:H$501,MATCH(ROW()-2,종합!$AC$3:$AC$501,0))&amp;"","")</f>
        <v/>
      </c>
      <c r="I438" s="21" t="str">
        <f aca="false">IFERROR(INDEX(종합!I$3:I$501,MATCH(ROW()-2,종합!$AC$3:$AC$501,0))&amp;"","")</f>
        <v/>
      </c>
      <c r="J438" s="21" t="str">
        <f aca="false">IFERROR(INDEX(종합!J$3:J$501,MATCH(ROW()-2,종합!$AC$3:$AC$501,0))&amp;"","")</f>
        <v/>
      </c>
      <c r="K438" s="21" t="str">
        <f aca="false">IFERROR(INDEX(종합!K$3:K$501,MATCH(ROW()-2,종합!$AC$3:$AC$501,0))&amp;"","")</f>
        <v/>
      </c>
      <c r="L438" s="21" t="str">
        <f aca="false">IFERROR(INDEX(종합!L$3:L$501,MATCH(ROW()-2,종합!$AC$3:$AC$501,0))&amp;"","")</f>
        <v/>
      </c>
      <c r="M438" s="21" t="str">
        <f aca="false">IFERROR(INDEX(종합!M$3:M$501,MATCH(ROW()-2,종합!$AC$3:$AC$501,0))&amp;"","")</f>
        <v/>
      </c>
      <c r="N438" s="25" t="str">
        <f aca="false">IFERROR(INDEX(종합!N$3:N$501,MATCH(ROW()-2,종합!$AC$3:$AC$501,0))&amp;"","")</f>
        <v/>
      </c>
      <c r="O438" s="21" t="str">
        <f aca="false">IFERROR(INDEX(종합!O$3:O$501,MATCH(ROW()-2,종합!$AC$3:$AC$501,0))&amp;"","")</f>
        <v/>
      </c>
      <c r="P438" s="21" t="str">
        <f aca="false">IFERROR(INDEX(종합!P$3:P$501,MATCH(ROW()-2,종합!$AC$3:$AC$501,0))&amp;"","")</f>
        <v/>
      </c>
      <c r="Q438" s="21" t="str">
        <f aca="false">IFERROR(INDEX(종합!Q$3:Q$501,MATCH(ROW()-2,종합!$AC$3:$AC$501,0))&amp;"","")</f>
        <v/>
      </c>
      <c r="R438" s="21" t="str">
        <f aca="false">IFERROR(INDEX(종합!R$3:R$501,MATCH(ROW()-2,종합!$AC$3:$AC$501,0))&amp;"","")</f>
        <v/>
      </c>
      <c r="S438" s="21" t="str">
        <f aca="false">IFERROR(INDEX(종합!S$3:S$501,MATCH(ROW()-2,종합!$AC$3:$AC$501,0))&amp;"","")</f>
        <v/>
      </c>
      <c r="T438" s="21" t="str">
        <f aca="false">IFERROR(INDEX(종합!T$3:T$501,MATCH(ROW()-2,종합!$AC$3:$AC$501,0))&amp;"","")</f>
        <v/>
      </c>
      <c r="U438" s="21" t="str">
        <f aca="false">IFERROR(INDEX(종합!U$3:U$501,MATCH(ROW()-2,종합!$AC$3:$AC$501,0))&amp;"","")</f>
        <v/>
      </c>
      <c r="V438" s="21" t="str">
        <f aca="false">IFERROR(INDEX(종합!V$3:V$501,MATCH(ROW()-2,종합!$AC$3:$AC$501,0))&amp;"","")</f>
        <v/>
      </c>
      <c r="W438" s="21" t="str">
        <f aca="false">IFERROR(INDEX(종합!W$3:W$501,MATCH(ROW()-2,종합!$AC$3:$AC$501,0))&amp;"","")</f>
        <v/>
      </c>
      <c r="X438" s="21" t="str">
        <f aca="false">IFERROR(INDEX(종합!X$3:X$501,MATCH(ROW()-2,종합!$AC$3:$AC$501,0))&amp;"","")</f>
        <v/>
      </c>
      <c r="Y438" s="21" t="str">
        <f aca="false">IFERROR(INDEX(종합!Y$3:Y$501,MATCH(ROW()-2,종합!$AC$3:$AC$501,0))&amp;"","")</f>
        <v/>
      </c>
      <c r="Z438" s="21" t="str">
        <f aca="false">IFERROR(INDEX(종합!Z$3:Z$501,MATCH(ROW()-2,종합!$AC$3:$AC$501,0))&amp;"","")</f>
        <v/>
      </c>
    </row>
    <row r="439" customFormat="false" ht="16.5" hidden="false" customHeight="true" outlineLevel="0" collapsed="false">
      <c r="A439" s="18" t="str">
        <f aca="false">IF(B439="","",ROW()-2)</f>
        <v/>
      </c>
      <c r="B439" s="18" t="str">
        <f aca="false">IFERROR(INDEX(종합!B$3:B$501,MATCH(ROW()-2,종합!$AC$3:$AC$501,0))&amp;"","")</f>
        <v/>
      </c>
      <c r="C439" s="18" t="str">
        <f aca="false">IFERROR(INDEX(종합!C$3:C$501,MATCH(ROW()-2,종합!$AC$3:$AC$501,0))&amp;"","")</f>
        <v/>
      </c>
      <c r="D439" s="18" t="str">
        <f aca="false">IFERROR(INDEX(종합!D$3:D$501,MATCH(ROW()-2,종합!$AC$3:$AC$501,0))&amp;"","")</f>
        <v/>
      </c>
      <c r="E439" s="18" t="str">
        <f aca="false">IFERROR(INDEX(종합!E$3:E$501,MATCH(ROW()-2,종합!$AC$3:$AC$501,0))&amp;"","")</f>
        <v/>
      </c>
      <c r="F439" s="18" t="str">
        <f aca="false">IFERROR(INDEX(종합!F$3:F$501,MATCH(ROW()-2,종합!$AC$3:$AC$501,0))&amp;"","")</f>
        <v/>
      </c>
      <c r="G439" s="18" t="str">
        <f aca="false">IFERROR(INDEX(종합!G$3:G$501,MATCH(ROW()-2,종합!$AC$3:$AC$501,0))&amp;"","")</f>
        <v/>
      </c>
      <c r="H439" s="21" t="str">
        <f aca="false">IFERROR(INDEX(종합!H$3:H$501,MATCH(ROW()-2,종합!$AC$3:$AC$501,0))&amp;"","")</f>
        <v/>
      </c>
      <c r="I439" s="21" t="str">
        <f aca="false">IFERROR(INDEX(종합!I$3:I$501,MATCH(ROW()-2,종합!$AC$3:$AC$501,0))&amp;"","")</f>
        <v/>
      </c>
      <c r="J439" s="21" t="str">
        <f aca="false">IFERROR(INDEX(종합!J$3:J$501,MATCH(ROW()-2,종합!$AC$3:$AC$501,0))&amp;"","")</f>
        <v/>
      </c>
      <c r="K439" s="21" t="str">
        <f aca="false">IFERROR(INDEX(종합!K$3:K$501,MATCH(ROW()-2,종합!$AC$3:$AC$501,0))&amp;"","")</f>
        <v/>
      </c>
      <c r="L439" s="21" t="str">
        <f aca="false">IFERROR(INDEX(종합!L$3:L$501,MATCH(ROW()-2,종합!$AC$3:$AC$501,0))&amp;"","")</f>
        <v/>
      </c>
      <c r="M439" s="21" t="str">
        <f aca="false">IFERROR(INDEX(종합!M$3:M$501,MATCH(ROW()-2,종합!$AC$3:$AC$501,0))&amp;"","")</f>
        <v/>
      </c>
      <c r="N439" s="25" t="str">
        <f aca="false">IFERROR(INDEX(종합!N$3:N$501,MATCH(ROW()-2,종합!$AC$3:$AC$501,0))&amp;"","")</f>
        <v/>
      </c>
      <c r="O439" s="21" t="str">
        <f aca="false">IFERROR(INDEX(종합!O$3:O$501,MATCH(ROW()-2,종합!$AC$3:$AC$501,0))&amp;"","")</f>
        <v/>
      </c>
      <c r="P439" s="21" t="str">
        <f aca="false">IFERROR(INDEX(종합!P$3:P$501,MATCH(ROW()-2,종합!$AC$3:$AC$501,0))&amp;"","")</f>
        <v/>
      </c>
      <c r="Q439" s="21" t="str">
        <f aca="false">IFERROR(INDEX(종합!Q$3:Q$501,MATCH(ROW()-2,종합!$AC$3:$AC$501,0))&amp;"","")</f>
        <v/>
      </c>
      <c r="R439" s="21" t="str">
        <f aca="false">IFERROR(INDEX(종합!R$3:R$501,MATCH(ROW()-2,종합!$AC$3:$AC$501,0))&amp;"","")</f>
        <v/>
      </c>
      <c r="S439" s="21" t="str">
        <f aca="false">IFERROR(INDEX(종합!S$3:S$501,MATCH(ROW()-2,종합!$AC$3:$AC$501,0))&amp;"","")</f>
        <v/>
      </c>
      <c r="T439" s="21" t="str">
        <f aca="false">IFERROR(INDEX(종합!T$3:T$501,MATCH(ROW()-2,종합!$AC$3:$AC$501,0))&amp;"","")</f>
        <v/>
      </c>
      <c r="U439" s="21" t="str">
        <f aca="false">IFERROR(INDEX(종합!U$3:U$501,MATCH(ROW()-2,종합!$AC$3:$AC$501,0))&amp;"","")</f>
        <v/>
      </c>
      <c r="V439" s="21" t="str">
        <f aca="false">IFERROR(INDEX(종합!V$3:V$501,MATCH(ROW()-2,종합!$AC$3:$AC$501,0))&amp;"","")</f>
        <v/>
      </c>
      <c r="W439" s="21" t="str">
        <f aca="false">IFERROR(INDEX(종합!W$3:W$501,MATCH(ROW()-2,종합!$AC$3:$AC$501,0))&amp;"","")</f>
        <v/>
      </c>
      <c r="X439" s="21" t="str">
        <f aca="false">IFERROR(INDEX(종합!X$3:X$501,MATCH(ROW()-2,종합!$AC$3:$AC$501,0))&amp;"","")</f>
        <v/>
      </c>
      <c r="Y439" s="21" t="str">
        <f aca="false">IFERROR(INDEX(종합!Y$3:Y$501,MATCH(ROW()-2,종합!$AC$3:$AC$501,0))&amp;"","")</f>
        <v/>
      </c>
      <c r="Z439" s="21" t="str">
        <f aca="false">IFERROR(INDEX(종합!Z$3:Z$501,MATCH(ROW()-2,종합!$AC$3:$AC$501,0))&amp;"","")</f>
        <v/>
      </c>
    </row>
    <row r="440" customFormat="false" ht="16.5" hidden="false" customHeight="true" outlineLevel="0" collapsed="false">
      <c r="A440" s="18" t="str">
        <f aca="false">IF(B440="","",ROW()-2)</f>
        <v/>
      </c>
      <c r="B440" s="18" t="str">
        <f aca="false">IFERROR(INDEX(종합!B$3:B$501,MATCH(ROW()-2,종합!$AC$3:$AC$501,0))&amp;"","")</f>
        <v/>
      </c>
      <c r="C440" s="18" t="str">
        <f aca="false">IFERROR(INDEX(종합!C$3:C$501,MATCH(ROW()-2,종합!$AC$3:$AC$501,0))&amp;"","")</f>
        <v/>
      </c>
      <c r="D440" s="18" t="str">
        <f aca="false">IFERROR(INDEX(종합!D$3:D$501,MATCH(ROW()-2,종합!$AC$3:$AC$501,0))&amp;"","")</f>
        <v/>
      </c>
      <c r="E440" s="18" t="str">
        <f aca="false">IFERROR(INDEX(종합!E$3:E$501,MATCH(ROW()-2,종합!$AC$3:$AC$501,0))&amp;"","")</f>
        <v/>
      </c>
      <c r="F440" s="18" t="str">
        <f aca="false">IFERROR(INDEX(종합!F$3:F$501,MATCH(ROW()-2,종합!$AC$3:$AC$501,0))&amp;"","")</f>
        <v/>
      </c>
      <c r="G440" s="18" t="str">
        <f aca="false">IFERROR(INDEX(종합!G$3:G$501,MATCH(ROW()-2,종합!$AC$3:$AC$501,0))&amp;"","")</f>
        <v/>
      </c>
      <c r="H440" s="21" t="str">
        <f aca="false">IFERROR(INDEX(종합!H$3:H$501,MATCH(ROW()-2,종합!$AC$3:$AC$501,0))&amp;"","")</f>
        <v/>
      </c>
      <c r="I440" s="21" t="str">
        <f aca="false">IFERROR(INDEX(종합!I$3:I$501,MATCH(ROW()-2,종합!$AC$3:$AC$501,0))&amp;"","")</f>
        <v/>
      </c>
      <c r="J440" s="21" t="str">
        <f aca="false">IFERROR(INDEX(종합!J$3:J$501,MATCH(ROW()-2,종합!$AC$3:$AC$501,0))&amp;"","")</f>
        <v/>
      </c>
      <c r="K440" s="21" t="str">
        <f aca="false">IFERROR(INDEX(종합!K$3:K$501,MATCH(ROW()-2,종합!$AC$3:$AC$501,0))&amp;"","")</f>
        <v/>
      </c>
      <c r="L440" s="21" t="str">
        <f aca="false">IFERROR(INDEX(종합!L$3:L$501,MATCH(ROW()-2,종합!$AC$3:$AC$501,0))&amp;"","")</f>
        <v/>
      </c>
      <c r="M440" s="21" t="str">
        <f aca="false">IFERROR(INDEX(종합!M$3:M$501,MATCH(ROW()-2,종합!$AC$3:$AC$501,0))&amp;"","")</f>
        <v/>
      </c>
      <c r="N440" s="25" t="str">
        <f aca="false">IFERROR(INDEX(종합!N$3:N$501,MATCH(ROW()-2,종합!$AC$3:$AC$501,0))&amp;"","")</f>
        <v/>
      </c>
      <c r="O440" s="21" t="str">
        <f aca="false">IFERROR(INDEX(종합!O$3:O$501,MATCH(ROW()-2,종합!$AC$3:$AC$501,0))&amp;"","")</f>
        <v/>
      </c>
      <c r="P440" s="21" t="str">
        <f aca="false">IFERROR(INDEX(종합!P$3:P$501,MATCH(ROW()-2,종합!$AC$3:$AC$501,0))&amp;"","")</f>
        <v/>
      </c>
      <c r="Q440" s="21" t="str">
        <f aca="false">IFERROR(INDEX(종합!Q$3:Q$501,MATCH(ROW()-2,종합!$AC$3:$AC$501,0))&amp;"","")</f>
        <v/>
      </c>
      <c r="R440" s="21" t="str">
        <f aca="false">IFERROR(INDEX(종합!R$3:R$501,MATCH(ROW()-2,종합!$AC$3:$AC$501,0))&amp;"","")</f>
        <v/>
      </c>
      <c r="S440" s="21" t="str">
        <f aca="false">IFERROR(INDEX(종합!S$3:S$501,MATCH(ROW()-2,종합!$AC$3:$AC$501,0))&amp;"","")</f>
        <v/>
      </c>
      <c r="T440" s="21" t="str">
        <f aca="false">IFERROR(INDEX(종합!T$3:T$501,MATCH(ROW()-2,종합!$AC$3:$AC$501,0))&amp;"","")</f>
        <v/>
      </c>
      <c r="U440" s="21" t="str">
        <f aca="false">IFERROR(INDEX(종합!U$3:U$501,MATCH(ROW()-2,종합!$AC$3:$AC$501,0))&amp;"","")</f>
        <v/>
      </c>
      <c r="V440" s="21" t="str">
        <f aca="false">IFERROR(INDEX(종합!V$3:V$501,MATCH(ROW()-2,종합!$AC$3:$AC$501,0))&amp;"","")</f>
        <v/>
      </c>
      <c r="W440" s="21" t="str">
        <f aca="false">IFERROR(INDEX(종합!W$3:W$501,MATCH(ROW()-2,종합!$AC$3:$AC$501,0))&amp;"","")</f>
        <v/>
      </c>
      <c r="X440" s="21" t="str">
        <f aca="false">IFERROR(INDEX(종합!X$3:X$501,MATCH(ROW()-2,종합!$AC$3:$AC$501,0))&amp;"","")</f>
        <v/>
      </c>
      <c r="Y440" s="21" t="str">
        <f aca="false">IFERROR(INDEX(종합!Y$3:Y$501,MATCH(ROW()-2,종합!$AC$3:$AC$501,0))&amp;"","")</f>
        <v/>
      </c>
      <c r="Z440" s="21" t="str">
        <f aca="false">IFERROR(INDEX(종합!Z$3:Z$501,MATCH(ROW()-2,종합!$AC$3:$AC$501,0))&amp;"","")</f>
        <v/>
      </c>
    </row>
    <row r="441" customFormat="false" ht="16.5" hidden="false" customHeight="true" outlineLevel="0" collapsed="false">
      <c r="A441" s="18" t="str">
        <f aca="false">IF(B441="","",ROW()-2)</f>
        <v/>
      </c>
      <c r="B441" s="18" t="str">
        <f aca="false">IFERROR(INDEX(종합!B$3:B$501,MATCH(ROW()-2,종합!$AC$3:$AC$501,0))&amp;"","")</f>
        <v/>
      </c>
      <c r="C441" s="18" t="str">
        <f aca="false">IFERROR(INDEX(종합!C$3:C$501,MATCH(ROW()-2,종합!$AC$3:$AC$501,0))&amp;"","")</f>
        <v/>
      </c>
      <c r="D441" s="18" t="str">
        <f aca="false">IFERROR(INDEX(종합!D$3:D$501,MATCH(ROW()-2,종합!$AC$3:$AC$501,0))&amp;"","")</f>
        <v/>
      </c>
      <c r="E441" s="18" t="str">
        <f aca="false">IFERROR(INDEX(종합!E$3:E$501,MATCH(ROW()-2,종합!$AC$3:$AC$501,0))&amp;"","")</f>
        <v/>
      </c>
      <c r="F441" s="18" t="str">
        <f aca="false">IFERROR(INDEX(종합!F$3:F$501,MATCH(ROW()-2,종합!$AC$3:$AC$501,0))&amp;"","")</f>
        <v/>
      </c>
      <c r="G441" s="18" t="str">
        <f aca="false">IFERROR(INDEX(종합!G$3:G$501,MATCH(ROW()-2,종합!$AC$3:$AC$501,0))&amp;"","")</f>
        <v/>
      </c>
      <c r="H441" s="21" t="str">
        <f aca="false">IFERROR(INDEX(종합!H$3:H$501,MATCH(ROW()-2,종합!$AC$3:$AC$501,0))&amp;"","")</f>
        <v/>
      </c>
      <c r="I441" s="21" t="str">
        <f aca="false">IFERROR(INDEX(종합!I$3:I$501,MATCH(ROW()-2,종합!$AC$3:$AC$501,0))&amp;"","")</f>
        <v/>
      </c>
      <c r="J441" s="21" t="str">
        <f aca="false">IFERROR(INDEX(종합!J$3:J$501,MATCH(ROW()-2,종합!$AC$3:$AC$501,0))&amp;"","")</f>
        <v/>
      </c>
      <c r="K441" s="21" t="str">
        <f aca="false">IFERROR(INDEX(종합!K$3:K$501,MATCH(ROW()-2,종합!$AC$3:$AC$501,0))&amp;"","")</f>
        <v/>
      </c>
      <c r="L441" s="21" t="str">
        <f aca="false">IFERROR(INDEX(종합!L$3:L$501,MATCH(ROW()-2,종합!$AC$3:$AC$501,0))&amp;"","")</f>
        <v/>
      </c>
      <c r="M441" s="21" t="str">
        <f aca="false">IFERROR(INDEX(종합!M$3:M$501,MATCH(ROW()-2,종합!$AC$3:$AC$501,0))&amp;"","")</f>
        <v/>
      </c>
      <c r="N441" s="25" t="str">
        <f aca="false">IFERROR(INDEX(종합!N$3:N$501,MATCH(ROW()-2,종합!$AC$3:$AC$501,0))&amp;"","")</f>
        <v/>
      </c>
      <c r="O441" s="21" t="str">
        <f aca="false">IFERROR(INDEX(종합!O$3:O$501,MATCH(ROW()-2,종합!$AC$3:$AC$501,0))&amp;"","")</f>
        <v/>
      </c>
      <c r="P441" s="21" t="str">
        <f aca="false">IFERROR(INDEX(종합!P$3:P$501,MATCH(ROW()-2,종합!$AC$3:$AC$501,0))&amp;"","")</f>
        <v/>
      </c>
      <c r="Q441" s="21" t="str">
        <f aca="false">IFERROR(INDEX(종합!Q$3:Q$501,MATCH(ROW()-2,종합!$AC$3:$AC$501,0))&amp;"","")</f>
        <v/>
      </c>
      <c r="R441" s="21" t="str">
        <f aca="false">IFERROR(INDEX(종합!R$3:R$501,MATCH(ROW()-2,종합!$AC$3:$AC$501,0))&amp;"","")</f>
        <v/>
      </c>
      <c r="S441" s="21" t="str">
        <f aca="false">IFERROR(INDEX(종합!S$3:S$501,MATCH(ROW()-2,종합!$AC$3:$AC$501,0))&amp;"","")</f>
        <v/>
      </c>
      <c r="T441" s="21" t="str">
        <f aca="false">IFERROR(INDEX(종합!T$3:T$501,MATCH(ROW()-2,종합!$AC$3:$AC$501,0))&amp;"","")</f>
        <v/>
      </c>
      <c r="U441" s="21" t="str">
        <f aca="false">IFERROR(INDEX(종합!U$3:U$501,MATCH(ROW()-2,종합!$AC$3:$AC$501,0))&amp;"","")</f>
        <v/>
      </c>
      <c r="V441" s="21" t="str">
        <f aca="false">IFERROR(INDEX(종합!V$3:V$501,MATCH(ROW()-2,종합!$AC$3:$AC$501,0))&amp;"","")</f>
        <v/>
      </c>
      <c r="W441" s="21" t="str">
        <f aca="false">IFERROR(INDEX(종합!W$3:W$501,MATCH(ROW()-2,종합!$AC$3:$AC$501,0))&amp;"","")</f>
        <v/>
      </c>
      <c r="X441" s="21" t="str">
        <f aca="false">IFERROR(INDEX(종합!X$3:X$501,MATCH(ROW()-2,종합!$AC$3:$AC$501,0))&amp;"","")</f>
        <v/>
      </c>
      <c r="Y441" s="21" t="str">
        <f aca="false">IFERROR(INDEX(종합!Y$3:Y$501,MATCH(ROW()-2,종합!$AC$3:$AC$501,0))&amp;"","")</f>
        <v/>
      </c>
      <c r="Z441" s="21" t="str">
        <f aca="false">IFERROR(INDEX(종합!Z$3:Z$501,MATCH(ROW()-2,종합!$AC$3:$AC$501,0))&amp;"","")</f>
        <v/>
      </c>
    </row>
    <row r="442" customFormat="false" ht="16.5" hidden="false" customHeight="true" outlineLevel="0" collapsed="false">
      <c r="A442" s="18" t="str">
        <f aca="false">IF(B442="","",ROW()-2)</f>
        <v/>
      </c>
      <c r="B442" s="18" t="str">
        <f aca="false">IFERROR(INDEX(종합!B$3:B$501,MATCH(ROW()-2,종합!$AC$3:$AC$501,0))&amp;"","")</f>
        <v/>
      </c>
      <c r="C442" s="18" t="str">
        <f aca="false">IFERROR(INDEX(종합!C$3:C$501,MATCH(ROW()-2,종합!$AC$3:$AC$501,0))&amp;"","")</f>
        <v/>
      </c>
      <c r="D442" s="18" t="str">
        <f aca="false">IFERROR(INDEX(종합!D$3:D$501,MATCH(ROW()-2,종합!$AC$3:$AC$501,0))&amp;"","")</f>
        <v/>
      </c>
      <c r="E442" s="18" t="str">
        <f aca="false">IFERROR(INDEX(종합!E$3:E$501,MATCH(ROW()-2,종합!$AC$3:$AC$501,0))&amp;"","")</f>
        <v/>
      </c>
      <c r="F442" s="18" t="str">
        <f aca="false">IFERROR(INDEX(종합!F$3:F$501,MATCH(ROW()-2,종합!$AC$3:$AC$501,0))&amp;"","")</f>
        <v/>
      </c>
      <c r="G442" s="18" t="str">
        <f aca="false">IFERROR(INDEX(종합!G$3:G$501,MATCH(ROW()-2,종합!$AC$3:$AC$501,0))&amp;"","")</f>
        <v/>
      </c>
      <c r="H442" s="21" t="str">
        <f aca="false">IFERROR(INDEX(종합!H$3:H$501,MATCH(ROW()-2,종합!$AC$3:$AC$501,0))&amp;"","")</f>
        <v/>
      </c>
      <c r="I442" s="21" t="str">
        <f aca="false">IFERROR(INDEX(종합!I$3:I$501,MATCH(ROW()-2,종합!$AC$3:$AC$501,0))&amp;"","")</f>
        <v/>
      </c>
      <c r="J442" s="21" t="str">
        <f aca="false">IFERROR(INDEX(종합!J$3:J$501,MATCH(ROW()-2,종합!$AC$3:$AC$501,0))&amp;"","")</f>
        <v/>
      </c>
      <c r="K442" s="21" t="str">
        <f aca="false">IFERROR(INDEX(종합!K$3:K$501,MATCH(ROW()-2,종합!$AC$3:$AC$501,0))&amp;"","")</f>
        <v/>
      </c>
      <c r="L442" s="21" t="str">
        <f aca="false">IFERROR(INDEX(종합!L$3:L$501,MATCH(ROW()-2,종합!$AC$3:$AC$501,0))&amp;"","")</f>
        <v/>
      </c>
      <c r="M442" s="21" t="str">
        <f aca="false">IFERROR(INDEX(종합!M$3:M$501,MATCH(ROW()-2,종합!$AC$3:$AC$501,0))&amp;"","")</f>
        <v/>
      </c>
      <c r="N442" s="25" t="str">
        <f aca="false">IFERROR(INDEX(종합!N$3:N$501,MATCH(ROW()-2,종합!$AC$3:$AC$501,0))&amp;"","")</f>
        <v/>
      </c>
      <c r="O442" s="21" t="str">
        <f aca="false">IFERROR(INDEX(종합!O$3:O$501,MATCH(ROW()-2,종합!$AC$3:$AC$501,0))&amp;"","")</f>
        <v/>
      </c>
      <c r="P442" s="21" t="str">
        <f aca="false">IFERROR(INDEX(종합!P$3:P$501,MATCH(ROW()-2,종합!$AC$3:$AC$501,0))&amp;"","")</f>
        <v/>
      </c>
      <c r="Q442" s="21" t="str">
        <f aca="false">IFERROR(INDEX(종합!Q$3:Q$501,MATCH(ROW()-2,종합!$AC$3:$AC$501,0))&amp;"","")</f>
        <v/>
      </c>
      <c r="R442" s="21" t="str">
        <f aca="false">IFERROR(INDEX(종합!R$3:R$501,MATCH(ROW()-2,종합!$AC$3:$AC$501,0))&amp;"","")</f>
        <v/>
      </c>
      <c r="S442" s="21" t="str">
        <f aca="false">IFERROR(INDEX(종합!S$3:S$501,MATCH(ROW()-2,종합!$AC$3:$AC$501,0))&amp;"","")</f>
        <v/>
      </c>
      <c r="T442" s="21" t="str">
        <f aca="false">IFERROR(INDEX(종합!T$3:T$501,MATCH(ROW()-2,종합!$AC$3:$AC$501,0))&amp;"","")</f>
        <v/>
      </c>
      <c r="U442" s="21" t="str">
        <f aca="false">IFERROR(INDEX(종합!U$3:U$501,MATCH(ROW()-2,종합!$AC$3:$AC$501,0))&amp;"","")</f>
        <v/>
      </c>
      <c r="V442" s="21" t="str">
        <f aca="false">IFERROR(INDEX(종합!V$3:V$501,MATCH(ROW()-2,종합!$AC$3:$AC$501,0))&amp;"","")</f>
        <v/>
      </c>
      <c r="W442" s="21" t="str">
        <f aca="false">IFERROR(INDEX(종합!W$3:W$501,MATCH(ROW()-2,종합!$AC$3:$AC$501,0))&amp;"","")</f>
        <v/>
      </c>
      <c r="X442" s="21" t="str">
        <f aca="false">IFERROR(INDEX(종합!X$3:X$501,MATCH(ROW()-2,종합!$AC$3:$AC$501,0))&amp;"","")</f>
        <v/>
      </c>
      <c r="Y442" s="21" t="str">
        <f aca="false">IFERROR(INDEX(종합!Y$3:Y$501,MATCH(ROW()-2,종합!$AC$3:$AC$501,0))&amp;"","")</f>
        <v/>
      </c>
      <c r="Z442" s="21" t="str">
        <f aca="false">IFERROR(INDEX(종합!Z$3:Z$501,MATCH(ROW()-2,종합!$AC$3:$AC$501,0))&amp;"","")</f>
        <v/>
      </c>
    </row>
    <row r="443" customFormat="false" ht="16.5" hidden="false" customHeight="true" outlineLevel="0" collapsed="false">
      <c r="A443" s="18" t="str">
        <f aca="false">IF(B443="","",ROW()-2)</f>
        <v/>
      </c>
      <c r="B443" s="18" t="str">
        <f aca="false">IFERROR(INDEX(종합!B$3:B$501,MATCH(ROW()-2,종합!$AC$3:$AC$501,0))&amp;"","")</f>
        <v/>
      </c>
      <c r="C443" s="18" t="str">
        <f aca="false">IFERROR(INDEX(종합!C$3:C$501,MATCH(ROW()-2,종합!$AC$3:$AC$501,0))&amp;"","")</f>
        <v/>
      </c>
      <c r="D443" s="18" t="str">
        <f aca="false">IFERROR(INDEX(종합!D$3:D$501,MATCH(ROW()-2,종합!$AC$3:$AC$501,0))&amp;"","")</f>
        <v/>
      </c>
      <c r="E443" s="18" t="str">
        <f aca="false">IFERROR(INDEX(종합!E$3:E$501,MATCH(ROW()-2,종합!$AC$3:$AC$501,0))&amp;"","")</f>
        <v/>
      </c>
      <c r="F443" s="18" t="str">
        <f aca="false">IFERROR(INDEX(종합!F$3:F$501,MATCH(ROW()-2,종합!$AC$3:$AC$501,0))&amp;"","")</f>
        <v/>
      </c>
      <c r="G443" s="18" t="str">
        <f aca="false">IFERROR(INDEX(종합!G$3:G$501,MATCH(ROW()-2,종합!$AC$3:$AC$501,0))&amp;"","")</f>
        <v/>
      </c>
      <c r="H443" s="21" t="str">
        <f aca="false">IFERROR(INDEX(종합!H$3:H$501,MATCH(ROW()-2,종합!$AC$3:$AC$501,0))&amp;"","")</f>
        <v/>
      </c>
      <c r="I443" s="21" t="str">
        <f aca="false">IFERROR(INDEX(종합!I$3:I$501,MATCH(ROW()-2,종합!$AC$3:$AC$501,0))&amp;"","")</f>
        <v/>
      </c>
      <c r="J443" s="21" t="str">
        <f aca="false">IFERROR(INDEX(종합!J$3:J$501,MATCH(ROW()-2,종합!$AC$3:$AC$501,0))&amp;"","")</f>
        <v/>
      </c>
      <c r="K443" s="21" t="str">
        <f aca="false">IFERROR(INDEX(종합!K$3:K$501,MATCH(ROW()-2,종합!$AC$3:$AC$501,0))&amp;"","")</f>
        <v/>
      </c>
      <c r="L443" s="21" t="str">
        <f aca="false">IFERROR(INDEX(종합!L$3:L$501,MATCH(ROW()-2,종합!$AC$3:$AC$501,0))&amp;"","")</f>
        <v/>
      </c>
      <c r="M443" s="21" t="str">
        <f aca="false">IFERROR(INDEX(종합!M$3:M$501,MATCH(ROW()-2,종합!$AC$3:$AC$501,0))&amp;"","")</f>
        <v/>
      </c>
      <c r="N443" s="25" t="str">
        <f aca="false">IFERROR(INDEX(종합!N$3:N$501,MATCH(ROW()-2,종합!$AC$3:$AC$501,0))&amp;"","")</f>
        <v/>
      </c>
      <c r="O443" s="21" t="str">
        <f aca="false">IFERROR(INDEX(종합!O$3:O$501,MATCH(ROW()-2,종합!$AC$3:$AC$501,0))&amp;"","")</f>
        <v/>
      </c>
      <c r="P443" s="21" t="str">
        <f aca="false">IFERROR(INDEX(종합!P$3:P$501,MATCH(ROW()-2,종합!$AC$3:$AC$501,0))&amp;"","")</f>
        <v/>
      </c>
      <c r="Q443" s="21" t="str">
        <f aca="false">IFERROR(INDEX(종합!Q$3:Q$501,MATCH(ROW()-2,종합!$AC$3:$AC$501,0))&amp;"","")</f>
        <v/>
      </c>
      <c r="R443" s="21" t="str">
        <f aca="false">IFERROR(INDEX(종합!R$3:R$501,MATCH(ROW()-2,종합!$AC$3:$AC$501,0))&amp;"","")</f>
        <v/>
      </c>
      <c r="S443" s="21" t="str">
        <f aca="false">IFERROR(INDEX(종합!S$3:S$501,MATCH(ROW()-2,종합!$AC$3:$AC$501,0))&amp;"","")</f>
        <v/>
      </c>
      <c r="T443" s="21" t="str">
        <f aca="false">IFERROR(INDEX(종합!T$3:T$501,MATCH(ROW()-2,종합!$AC$3:$AC$501,0))&amp;"","")</f>
        <v/>
      </c>
      <c r="U443" s="21" t="str">
        <f aca="false">IFERROR(INDEX(종합!U$3:U$501,MATCH(ROW()-2,종합!$AC$3:$AC$501,0))&amp;"","")</f>
        <v/>
      </c>
      <c r="V443" s="21" t="str">
        <f aca="false">IFERROR(INDEX(종합!V$3:V$501,MATCH(ROW()-2,종합!$AC$3:$AC$501,0))&amp;"","")</f>
        <v/>
      </c>
      <c r="W443" s="21" t="str">
        <f aca="false">IFERROR(INDEX(종합!W$3:W$501,MATCH(ROW()-2,종합!$AC$3:$AC$501,0))&amp;"","")</f>
        <v/>
      </c>
      <c r="X443" s="21" t="str">
        <f aca="false">IFERROR(INDEX(종합!X$3:X$501,MATCH(ROW()-2,종합!$AC$3:$AC$501,0))&amp;"","")</f>
        <v/>
      </c>
      <c r="Y443" s="21" t="str">
        <f aca="false">IFERROR(INDEX(종합!Y$3:Y$501,MATCH(ROW()-2,종합!$AC$3:$AC$501,0))&amp;"","")</f>
        <v/>
      </c>
      <c r="Z443" s="21" t="str">
        <f aca="false">IFERROR(INDEX(종합!Z$3:Z$501,MATCH(ROW()-2,종합!$AC$3:$AC$501,0))&amp;"","")</f>
        <v/>
      </c>
    </row>
    <row r="444" customFormat="false" ht="16.5" hidden="false" customHeight="true" outlineLevel="0" collapsed="false">
      <c r="A444" s="18" t="str">
        <f aca="false">IF(B444="","",ROW()-2)</f>
        <v/>
      </c>
      <c r="B444" s="18" t="str">
        <f aca="false">IFERROR(INDEX(종합!B$3:B$501,MATCH(ROW()-2,종합!$AC$3:$AC$501,0))&amp;"","")</f>
        <v/>
      </c>
      <c r="C444" s="18" t="str">
        <f aca="false">IFERROR(INDEX(종합!C$3:C$501,MATCH(ROW()-2,종합!$AC$3:$AC$501,0))&amp;"","")</f>
        <v/>
      </c>
      <c r="D444" s="18" t="str">
        <f aca="false">IFERROR(INDEX(종합!D$3:D$501,MATCH(ROW()-2,종합!$AC$3:$AC$501,0))&amp;"","")</f>
        <v/>
      </c>
      <c r="E444" s="18" t="str">
        <f aca="false">IFERROR(INDEX(종합!E$3:E$501,MATCH(ROW()-2,종합!$AC$3:$AC$501,0))&amp;"","")</f>
        <v/>
      </c>
      <c r="F444" s="18" t="str">
        <f aca="false">IFERROR(INDEX(종합!F$3:F$501,MATCH(ROW()-2,종합!$AC$3:$AC$501,0))&amp;"","")</f>
        <v/>
      </c>
      <c r="G444" s="18" t="str">
        <f aca="false">IFERROR(INDEX(종합!G$3:G$501,MATCH(ROW()-2,종합!$AC$3:$AC$501,0))&amp;"","")</f>
        <v/>
      </c>
      <c r="H444" s="21" t="str">
        <f aca="false">IFERROR(INDEX(종합!H$3:H$501,MATCH(ROW()-2,종합!$AC$3:$AC$501,0))&amp;"","")</f>
        <v/>
      </c>
      <c r="I444" s="21" t="str">
        <f aca="false">IFERROR(INDEX(종합!I$3:I$501,MATCH(ROW()-2,종합!$AC$3:$AC$501,0))&amp;"","")</f>
        <v/>
      </c>
      <c r="J444" s="21" t="str">
        <f aca="false">IFERROR(INDEX(종합!J$3:J$501,MATCH(ROW()-2,종합!$AC$3:$AC$501,0))&amp;"","")</f>
        <v/>
      </c>
      <c r="K444" s="21" t="str">
        <f aca="false">IFERROR(INDEX(종합!K$3:K$501,MATCH(ROW()-2,종합!$AC$3:$AC$501,0))&amp;"","")</f>
        <v/>
      </c>
      <c r="L444" s="21" t="str">
        <f aca="false">IFERROR(INDEX(종합!L$3:L$501,MATCH(ROW()-2,종합!$AC$3:$AC$501,0))&amp;"","")</f>
        <v/>
      </c>
      <c r="M444" s="21" t="str">
        <f aca="false">IFERROR(INDEX(종합!M$3:M$501,MATCH(ROW()-2,종합!$AC$3:$AC$501,0))&amp;"","")</f>
        <v/>
      </c>
      <c r="N444" s="25" t="str">
        <f aca="false">IFERROR(INDEX(종합!N$3:N$501,MATCH(ROW()-2,종합!$AC$3:$AC$501,0))&amp;"","")</f>
        <v/>
      </c>
      <c r="O444" s="21" t="str">
        <f aca="false">IFERROR(INDEX(종합!O$3:O$501,MATCH(ROW()-2,종합!$AC$3:$AC$501,0))&amp;"","")</f>
        <v/>
      </c>
      <c r="P444" s="21" t="str">
        <f aca="false">IFERROR(INDEX(종합!P$3:P$501,MATCH(ROW()-2,종합!$AC$3:$AC$501,0))&amp;"","")</f>
        <v/>
      </c>
      <c r="Q444" s="21" t="str">
        <f aca="false">IFERROR(INDEX(종합!Q$3:Q$501,MATCH(ROW()-2,종합!$AC$3:$AC$501,0))&amp;"","")</f>
        <v/>
      </c>
      <c r="R444" s="21" t="str">
        <f aca="false">IFERROR(INDEX(종합!R$3:R$501,MATCH(ROW()-2,종합!$AC$3:$AC$501,0))&amp;"","")</f>
        <v/>
      </c>
      <c r="S444" s="21" t="str">
        <f aca="false">IFERROR(INDEX(종합!S$3:S$501,MATCH(ROW()-2,종합!$AC$3:$AC$501,0))&amp;"","")</f>
        <v/>
      </c>
      <c r="T444" s="21" t="str">
        <f aca="false">IFERROR(INDEX(종합!T$3:T$501,MATCH(ROW()-2,종합!$AC$3:$AC$501,0))&amp;"","")</f>
        <v/>
      </c>
      <c r="U444" s="21" t="str">
        <f aca="false">IFERROR(INDEX(종합!U$3:U$501,MATCH(ROW()-2,종합!$AC$3:$AC$501,0))&amp;"","")</f>
        <v/>
      </c>
      <c r="V444" s="21" t="str">
        <f aca="false">IFERROR(INDEX(종합!V$3:V$501,MATCH(ROW()-2,종합!$AC$3:$AC$501,0))&amp;"","")</f>
        <v/>
      </c>
      <c r="W444" s="21" t="str">
        <f aca="false">IFERROR(INDEX(종합!W$3:W$501,MATCH(ROW()-2,종합!$AC$3:$AC$501,0))&amp;"","")</f>
        <v/>
      </c>
      <c r="X444" s="21" t="str">
        <f aca="false">IFERROR(INDEX(종합!X$3:X$501,MATCH(ROW()-2,종합!$AC$3:$AC$501,0))&amp;"","")</f>
        <v/>
      </c>
      <c r="Y444" s="21" t="str">
        <f aca="false">IFERROR(INDEX(종합!Y$3:Y$501,MATCH(ROW()-2,종합!$AC$3:$AC$501,0))&amp;"","")</f>
        <v/>
      </c>
      <c r="Z444" s="21" t="str">
        <f aca="false">IFERROR(INDEX(종합!Z$3:Z$501,MATCH(ROW()-2,종합!$AC$3:$AC$501,0))&amp;"","")</f>
        <v/>
      </c>
    </row>
    <row r="445" customFormat="false" ht="16.5" hidden="false" customHeight="true" outlineLevel="0" collapsed="false">
      <c r="A445" s="18" t="str">
        <f aca="false">IF(B445="","",ROW()-2)</f>
        <v/>
      </c>
      <c r="B445" s="18" t="str">
        <f aca="false">IFERROR(INDEX(종합!B$3:B$501,MATCH(ROW()-2,종합!$AC$3:$AC$501,0))&amp;"","")</f>
        <v/>
      </c>
      <c r="C445" s="18" t="str">
        <f aca="false">IFERROR(INDEX(종합!C$3:C$501,MATCH(ROW()-2,종합!$AC$3:$AC$501,0))&amp;"","")</f>
        <v/>
      </c>
      <c r="D445" s="18" t="str">
        <f aca="false">IFERROR(INDEX(종합!D$3:D$501,MATCH(ROW()-2,종합!$AC$3:$AC$501,0))&amp;"","")</f>
        <v/>
      </c>
      <c r="E445" s="18" t="str">
        <f aca="false">IFERROR(INDEX(종합!E$3:E$501,MATCH(ROW()-2,종합!$AC$3:$AC$501,0))&amp;"","")</f>
        <v/>
      </c>
      <c r="F445" s="18" t="str">
        <f aca="false">IFERROR(INDEX(종합!F$3:F$501,MATCH(ROW()-2,종합!$AC$3:$AC$501,0))&amp;"","")</f>
        <v/>
      </c>
      <c r="G445" s="18" t="str">
        <f aca="false">IFERROR(INDEX(종합!G$3:G$501,MATCH(ROW()-2,종합!$AC$3:$AC$501,0))&amp;"","")</f>
        <v/>
      </c>
      <c r="H445" s="21" t="str">
        <f aca="false">IFERROR(INDEX(종합!H$3:H$501,MATCH(ROW()-2,종합!$AC$3:$AC$501,0))&amp;"","")</f>
        <v/>
      </c>
      <c r="I445" s="21" t="str">
        <f aca="false">IFERROR(INDEX(종합!I$3:I$501,MATCH(ROW()-2,종합!$AC$3:$AC$501,0))&amp;"","")</f>
        <v/>
      </c>
      <c r="J445" s="21" t="str">
        <f aca="false">IFERROR(INDEX(종합!J$3:J$501,MATCH(ROW()-2,종합!$AC$3:$AC$501,0))&amp;"","")</f>
        <v/>
      </c>
      <c r="K445" s="21" t="str">
        <f aca="false">IFERROR(INDEX(종합!K$3:K$501,MATCH(ROW()-2,종합!$AC$3:$AC$501,0))&amp;"","")</f>
        <v/>
      </c>
      <c r="L445" s="21" t="str">
        <f aca="false">IFERROR(INDEX(종합!L$3:L$501,MATCH(ROW()-2,종합!$AC$3:$AC$501,0))&amp;"","")</f>
        <v/>
      </c>
      <c r="M445" s="21" t="str">
        <f aca="false">IFERROR(INDEX(종합!M$3:M$501,MATCH(ROW()-2,종합!$AC$3:$AC$501,0))&amp;"","")</f>
        <v/>
      </c>
      <c r="N445" s="25" t="str">
        <f aca="false">IFERROR(INDEX(종합!N$3:N$501,MATCH(ROW()-2,종합!$AC$3:$AC$501,0))&amp;"","")</f>
        <v/>
      </c>
      <c r="O445" s="21" t="str">
        <f aca="false">IFERROR(INDEX(종합!O$3:O$501,MATCH(ROW()-2,종합!$AC$3:$AC$501,0))&amp;"","")</f>
        <v/>
      </c>
      <c r="P445" s="21" t="str">
        <f aca="false">IFERROR(INDEX(종합!P$3:P$501,MATCH(ROW()-2,종합!$AC$3:$AC$501,0))&amp;"","")</f>
        <v/>
      </c>
      <c r="Q445" s="21" t="str">
        <f aca="false">IFERROR(INDEX(종합!Q$3:Q$501,MATCH(ROW()-2,종합!$AC$3:$AC$501,0))&amp;"","")</f>
        <v/>
      </c>
      <c r="R445" s="21" t="str">
        <f aca="false">IFERROR(INDEX(종합!R$3:R$501,MATCH(ROW()-2,종합!$AC$3:$AC$501,0))&amp;"","")</f>
        <v/>
      </c>
      <c r="S445" s="21" t="str">
        <f aca="false">IFERROR(INDEX(종합!S$3:S$501,MATCH(ROW()-2,종합!$AC$3:$AC$501,0))&amp;"","")</f>
        <v/>
      </c>
      <c r="T445" s="21" t="str">
        <f aca="false">IFERROR(INDEX(종합!T$3:T$501,MATCH(ROW()-2,종합!$AC$3:$AC$501,0))&amp;"","")</f>
        <v/>
      </c>
      <c r="U445" s="21" t="str">
        <f aca="false">IFERROR(INDEX(종합!U$3:U$501,MATCH(ROW()-2,종합!$AC$3:$AC$501,0))&amp;"","")</f>
        <v/>
      </c>
      <c r="V445" s="21" t="str">
        <f aca="false">IFERROR(INDEX(종합!V$3:V$501,MATCH(ROW()-2,종합!$AC$3:$AC$501,0))&amp;"","")</f>
        <v/>
      </c>
      <c r="W445" s="21" t="str">
        <f aca="false">IFERROR(INDEX(종합!W$3:W$501,MATCH(ROW()-2,종합!$AC$3:$AC$501,0))&amp;"","")</f>
        <v/>
      </c>
      <c r="X445" s="21" t="str">
        <f aca="false">IFERROR(INDEX(종합!X$3:X$501,MATCH(ROW()-2,종합!$AC$3:$AC$501,0))&amp;"","")</f>
        <v/>
      </c>
      <c r="Y445" s="21" t="str">
        <f aca="false">IFERROR(INDEX(종합!Y$3:Y$501,MATCH(ROW()-2,종합!$AC$3:$AC$501,0))&amp;"","")</f>
        <v/>
      </c>
      <c r="Z445" s="21" t="str">
        <f aca="false">IFERROR(INDEX(종합!Z$3:Z$501,MATCH(ROW()-2,종합!$AC$3:$AC$501,0))&amp;"","")</f>
        <v/>
      </c>
    </row>
    <row r="446" customFormat="false" ht="16.5" hidden="false" customHeight="true" outlineLevel="0" collapsed="false">
      <c r="A446" s="18" t="str">
        <f aca="false">IF(B446="","",ROW()-2)</f>
        <v/>
      </c>
      <c r="B446" s="18" t="str">
        <f aca="false">IFERROR(INDEX(종합!B$3:B$501,MATCH(ROW()-2,종합!$AC$3:$AC$501,0))&amp;"","")</f>
        <v/>
      </c>
      <c r="C446" s="18" t="str">
        <f aca="false">IFERROR(INDEX(종합!C$3:C$501,MATCH(ROW()-2,종합!$AC$3:$AC$501,0))&amp;"","")</f>
        <v/>
      </c>
      <c r="D446" s="18" t="str">
        <f aca="false">IFERROR(INDEX(종합!D$3:D$501,MATCH(ROW()-2,종합!$AC$3:$AC$501,0))&amp;"","")</f>
        <v/>
      </c>
      <c r="E446" s="18" t="str">
        <f aca="false">IFERROR(INDEX(종합!E$3:E$501,MATCH(ROW()-2,종합!$AC$3:$AC$501,0))&amp;"","")</f>
        <v/>
      </c>
      <c r="F446" s="18" t="str">
        <f aca="false">IFERROR(INDEX(종합!F$3:F$501,MATCH(ROW()-2,종합!$AC$3:$AC$501,0))&amp;"","")</f>
        <v/>
      </c>
      <c r="G446" s="18" t="str">
        <f aca="false">IFERROR(INDEX(종합!G$3:G$501,MATCH(ROW()-2,종합!$AC$3:$AC$501,0))&amp;"","")</f>
        <v/>
      </c>
      <c r="H446" s="21" t="str">
        <f aca="false">IFERROR(INDEX(종합!H$3:H$501,MATCH(ROW()-2,종합!$AC$3:$AC$501,0))&amp;"","")</f>
        <v/>
      </c>
      <c r="I446" s="21" t="str">
        <f aca="false">IFERROR(INDEX(종합!I$3:I$501,MATCH(ROW()-2,종합!$AC$3:$AC$501,0))&amp;"","")</f>
        <v/>
      </c>
      <c r="J446" s="21" t="str">
        <f aca="false">IFERROR(INDEX(종합!J$3:J$501,MATCH(ROW()-2,종합!$AC$3:$AC$501,0))&amp;"","")</f>
        <v/>
      </c>
      <c r="K446" s="21" t="str">
        <f aca="false">IFERROR(INDEX(종합!K$3:K$501,MATCH(ROW()-2,종합!$AC$3:$AC$501,0))&amp;"","")</f>
        <v/>
      </c>
      <c r="L446" s="21" t="str">
        <f aca="false">IFERROR(INDEX(종합!L$3:L$501,MATCH(ROW()-2,종합!$AC$3:$AC$501,0))&amp;"","")</f>
        <v/>
      </c>
      <c r="M446" s="21" t="str">
        <f aca="false">IFERROR(INDEX(종합!M$3:M$501,MATCH(ROW()-2,종합!$AC$3:$AC$501,0))&amp;"","")</f>
        <v/>
      </c>
      <c r="N446" s="25" t="str">
        <f aca="false">IFERROR(INDEX(종합!N$3:N$501,MATCH(ROW()-2,종합!$AC$3:$AC$501,0))&amp;"","")</f>
        <v/>
      </c>
      <c r="O446" s="21" t="str">
        <f aca="false">IFERROR(INDEX(종합!O$3:O$501,MATCH(ROW()-2,종합!$AC$3:$AC$501,0))&amp;"","")</f>
        <v/>
      </c>
      <c r="P446" s="21" t="str">
        <f aca="false">IFERROR(INDEX(종합!P$3:P$501,MATCH(ROW()-2,종합!$AC$3:$AC$501,0))&amp;"","")</f>
        <v/>
      </c>
      <c r="Q446" s="21" t="str">
        <f aca="false">IFERROR(INDEX(종합!Q$3:Q$501,MATCH(ROW()-2,종합!$AC$3:$AC$501,0))&amp;"","")</f>
        <v/>
      </c>
      <c r="R446" s="21" t="str">
        <f aca="false">IFERROR(INDEX(종합!R$3:R$501,MATCH(ROW()-2,종합!$AC$3:$AC$501,0))&amp;"","")</f>
        <v/>
      </c>
      <c r="S446" s="21" t="str">
        <f aca="false">IFERROR(INDEX(종합!S$3:S$501,MATCH(ROW()-2,종합!$AC$3:$AC$501,0))&amp;"","")</f>
        <v/>
      </c>
      <c r="T446" s="21" t="str">
        <f aca="false">IFERROR(INDEX(종합!T$3:T$501,MATCH(ROW()-2,종합!$AC$3:$AC$501,0))&amp;"","")</f>
        <v/>
      </c>
      <c r="U446" s="21" t="str">
        <f aca="false">IFERROR(INDEX(종합!U$3:U$501,MATCH(ROW()-2,종합!$AC$3:$AC$501,0))&amp;"","")</f>
        <v/>
      </c>
      <c r="V446" s="21" t="str">
        <f aca="false">IFERROR(INDEX(종합!V$3:V$501,MATCH(ROW()-2,종합!$AC$3:$AC$501,0))&amp;"","")</f>
        <v/>
      </c>
      <c r="W446" s="21" t="str">
        <f aca="false">IFERROR(INDEX(종합!W$3:W$501,MATCH(ROW()-2,종합!$AC$3:$AC$501,0))&amp;"","")</f>
        <v/>
      </c>
      <c r="X446" s="21" t="str">
        <f aca="false">IFERROR(INDEX(종합!X$3:X$501,MATCH(ROW()-2,종합!$AC$3:$AC$501,0))&amp;"","")</f>
        <v/>
      </c>
      <c r="Y446" s="21" t="str">
        <f aca="false">IFERROR(INDEX(종합!Y$3:Y$501,MATCH(ROW()-2,종합!$AC$3:$AC$501,0))&amp;"","")</f>
        <v/>
      </c>
      <c r="Z446" s="21" t="str">
        <f aca="false">IFERROR(INDEX(종합!Z$3:Z$501,MATCH(ROW()-2,종합!$AC$3:$AC$501,0))&amp;"","")</f>
        <v/>
      </c>
    </row>
    <row r="447" customFormat="false" ht="16.5" hidden="false" customHeight="true" outlineLevel="0" collapsed="false">
      <c r="A447" s="18" t="str">
        <f aca="false">IF(B447="","",ROW()-2)</f>
        <v/>
      </c>
      <c r="B447" s="18" t="str">
        <f aca="false">IFERROR(INDEX(종합!B$3:B$501,MATCH(ROW()-2,종합!$AC$3:$AC$501,0))&amp;"","")</f>
        <v/>
      </c>
      <c r="C447" s="18" t="str">
        <f aca="false">IFERROR(INDEX(종합!C$3:C$501,MATCH(ROW()-2,종합!$AC$3:$AC$501,0))&amp;"","")</f>
        <v/>
      </c>
      <c r="D447" s="18" t="str">
        <f aca="false">IFERROR(INDEX(종합!D$3:D$501,MATCH(ROW()-2,종합!$AC$3:$AC$501,0))&amp;"","")</f>
        <v/>
      </c>
      <c r="E447" s="18" t="str">
        <f aca="false">IFERROR(INDEX(종합!E$3:E$501,MATCH(ROW()-2,종합!$AC$3:$AC$501,0))&amp;"","")</f>
        <v/>
      </c>
      <c r="F447" s="18" t="str">
        <f aca="false">IFERROR(INDEX(종합!F$3:F$501,MATCH(ROW()-2,종합!$AC$3:$AC$501,0))&amp;"","")</f>
        <v/>
      </c>
      <c r="G447" s="18" t="str">
        <f aca="false">IFERROR(INDEX(종합!G$3:G$501,MATCH(ROW()-2,종합!$AC$3:$AC$501,0))&amp;"","")</f>
        <v/>
      </c>
      <c r="H447" s="21" t="str">
        <f aca="false">IFERROR(INDEX(종합!H$3:H$501,MATCH(ROW()-2,종합!$AC$3:$AC$501,0))&amp;"","")</f>
        <v/>
      </c>
      <c r="I447" s="21" t="str">
        <f aca="false">IFERROR(INDEX(종합!I$3:I$501,MATCH(ROW()-2,종합!$AC$3:$AC$501,0))&amp;"","")</f>
        <v/>
      </c>
      <c r="J447" s="21" t="str">
        <f aca="false">IFERROR(INDEX(종합!J$3:J$501,MATCH(ROW()-2,종합!$AC$3:$AC$501,0))&amp;"","")</f>
        <v/>
      </c>
      <c r="K447" s="21" t="str">
        <f aca="false">IFERROR(INDEX(종합!K$3:K$501,MATCH(ROW()-2,종합!$AC$3:$AC$501,0))&amp;"","")</f>
        <v/>
      </c>
      <c r="L447" s="21" t="str">
        <f aca="false">IFERROR(INDEX(종합!L$3:L$501,MATCH(ROW()-2,종합!$AC$3:$AC$501,0))&amp;"","")</f>
        <v/>
      </c>
      <c r="M447" s="21" t="str">
        <f aca="false">IFERROR(INDEX(종합!M$3:M$501,MATCH(ROW()-2,종합!$AC$3:$AC$501,0))&amp;"","")</f>
        <v/>
      </c>
      <c r="N447" s="25" t="str">
        <f aca="false">IFERROR(INDEX(종합!N$3:N$501,MATCH(ROW()-2,종합!$AC$3:$AC$501,0))&amp;"","")</f>
        <v/>
      </c>
      <c r="O447" s="21" t="str">
        <f aca="false">IFERROR(INDEX(종합!O$3:O$501,MATCH(ROW()-2,종합!$AC$3:$AC$501,0))&amp;"","")</f>
        <v/>
      </c>
      <c r="P447" s="21" t="str">
        <f aca="false">IFERROR(INDEX(종합!P$3:P$501,MATCH(ROW()-2,종합!$AC$3:$AC$501,0))&amp;"","")</f>
        <v/>
      </c>
      <c r="Q447" s="21" t="str">
        <f aca="false">IFERROR(INDEX(종합!Q$3:Q$501,MATCH(ROW()-2,종합!$AC$3:$AC$501,0))&amp;"","")</f>
        <v/>
      </c>
      <c r="R447" s="21" t="str">
        <f aca="false">IFERROR(INDEX(종합!R$3:R$501,MATCH(ROW()-2,종합!$AC$3:$AC$501,0))&amp;"","")</f>
        <v/>
      </c>
      <c r="S447" s="21" t="str">
        <f aca="false">IFERROR(INDEX(종합!S$3:S$501,MATCH(ROW()-2,종합!$AC$3:$AC$501,0))&amp;"","")</f>
        <v/>
      </c>
      <c r="T447" s="21" t="str">
        <f aca="false">IFERROR(INDEX(종합!T$3:T$501,MATCH(ROW()-2,종합!$AC$3:$AC$501,0))&amp;"","")</f>
        <v/>
      </c>
      <c r="U447" s="21" t="str">
        <f aca="false">IFERROR(INDEX(종합!U$3:U$501,MATCH(ROW()-2,종합!$AC$3:$AC$501,0))&amp;"","")</f>
        <v/>
      </c>
      <c r="V447" s="21" t="str">
        <f aca="false">IFERROR(INDEX(종합!V$3:V$501,MATCH(ROW()-2,종합!$AC$3:$AC$501,0))&amp;"","")</f>
        <v/>
      </c>
      <c r="W447" s="21" t="str">
        <f aca="false">IFERROR(INDEX(종합!W$3:W$501,MATCH(ROW()-2,종합!$AC$3:$AC$501,0))&amp;"","")</f>
        <v/>
      </c>
      <c r="X447" s="21" t="str">
        <f aca="false">IFERROR(INDEX(종합!X$3:X$501,MATCH(ROW()-2,종합!$AC$3:$AC$501,0))&amp;"","")</f>
        <v/>
      </c>
      <c r="Y447" s="21" t="str">
        <f aca="false">IFERROR(INDEX(종합!Y$3:Y$501,MATCH(ROW()-2,종합!$AC$3:$AC$501,0))&amp;"","")</f>
        <v/>
      </c>
      <c r="Z447" s="21" t="str">
        <f aca="false">IFERROR(INDEX(종합!Z$3:Z$501,MATCH(ROW()-2,종합!$AC$3:$AC$501,0))&amp;"","")</f>
        <v/>
      </c>
    </row>
    <row r="448" customFormat="false" ht="16.5" hidden="false" customHeight="true" outlineLevel="0" collapsed="false">
      <c r="A448" s="18" t="str">
        <f aca="false">IF(B448="","",ROW()-2)</f>
        <v/>
      </c>
      <c r="B448" s="18" t="str">
        <f aca="false">IFERROR(INDEX(종합!B$3:B$501,MATCH(ROW()-2,종합!$AC$3:$AC$501,0))&amp;"","")</f>
        <v/>
      </c>
      <c r="C448" s="18" t="str">
        <f aca="false">IFERROR(INDEX(종합!C$3:C$501,MATCH(ROW()-2,종합!$AC$3:$AC$501,0))&amp;"","")</f>
        <v/>
      </c>
      <c r="D448" s="18" t="str">
        <f aca="false">IFERROR(INDEX(종합!D$3:D$501,MATCH(ROW()-2,종합!$AC$3:$AC$501,0))&amp;"","")</f>
        <v/>
      </c>
      <c r="E448" s="18" t="str">
        <f aca="false">IFERROR(INDEX(종합!E$3:E$501,MATCH(ROW()-2,종합!$AC$3:$AC$501,0))&amp;"","")</f>
        <v/>
      </c>
      <c r="F448" s="18" t="str">
        <f aca="false">IFERROR(INDEX(종합!F$3:F$501,MATCH(ROW()-2,종합!$AC$3:$AC$501,0))&amp;"","")</f>
        <v/>
      </c>
      <c r="G448" s="18" t="str">
        <f aca="false">IFERROR(INDEX(종합!G$3:G$501,MATCH(ROW()-2,종합!$AC$3:$AC$501,0))&amp;"","")</f>
        <v/>
      </c>
      <c r="H448" s="21" t="str">
        <f aca="false">IFERROR(INDEX(종합!H$3:H$501,MATCH(ROW()-2,종합!$AC$3:$AC$501,0))&amp;"","")</f>
        <v/>
      </c>
      <c r="I448" s="21" t="str">
        <f aca="false">IFERROR(INDEX(종합!I$3:I$501,MATCH(ROW()-2,종합!$AC$3:$AC$501,0))&amp;"","")</f>
        <v/>
      </c>
      <c r="J448" s="21" t="str">
        <f aca="false">IFERROR(INDEX(종합!J$3:J$501,MATCH(ROW()-2,종합!$AC$3:$AC$501,0))&amp;"","")</f>
        <v/>
      </c>
      <c r="K448" s="21" t="str">
        <f aca="false">IFERROR(INDEX(종합!K$3:K$501,MATCH(ROW()-2,종합!$AC$3:$AC$501,0))&amp;"","")</f>
        <v/>
      </c>
      <c r="L448" s="21" t="str">
        <f aca="false">IFERROR(INDEX(종합!L$3:L$501,MATCH(ROW()-2,종합!$AC$3:$AC$501,0))&amp;"","")</f>
        <v/>
      </c>
      <c r="M448" s="21" t="str">
        <f aca="false">IFERROR(INDEX(종합!M$3:M$501,MATCH(ROW()-2,종합!$AC$3:$AC$501,0))&amp;"","")</f>
        <v/>
      </c>
      <c r="N448" s="25" t="str">
        <f aca="false">IFERROR(INDEX(종합!N$3:N$501,MATCH(ROW()-2,종합!$AC$3:$AC$501,0))&amp;"","")</f>
        <v/>
      </c>
      <c r="O448" s="21" t="str">
        <f aca="false">IFERROR(INDEX(종합!O$3:O$501,MATCH(ROW()-2,종합!$AC$3:$AC$501,0))&amp;"","")</f>
        <v/>
      </c>
      <c r="P448" s="21" t="str">
        <f aca="false">IFERROR(INDEX(종합!P$3:P$501,MATCH(ROW()-2,종합!$AC$3:$AC$501,0))&amp;"","")</f>
        <v/>
      </c>
      <c r="Q448" s="21" t="str">
        <f aca="false">IFERROR(INDEX(종합!Q$3:Q$501,MATCH(ROW()-2,종합!$AC$3:$AC$501,0))&amp;"","")</f>
        <v/>
      </c>
      <c r="R448" s="21" t="str">
        <f aca="false">IFERROR(INDEX(종합!R$3:R$501,MATCH(ROW()-2,종합!$AC$3:$AC$501,0))&amp;"","")</f>
        <v/>
      </c>
      <c r="S448" s="21" t="str">
        <f aca="false">IFERROR(INDEX(종합!S$3:S$501,MATCH(ROW()-2,종합!$AC$3:$AC$501,0))&amp;"","")</f>
        <v/>
      </c>
      <c r="T448" s="21" t="str">
        <f aca="false">IFERROR(INDEX(종합!T$3:T$501,MATCH(ROW()-2,종합!$AC$3:$AC$501,0))&amp;"","")</f>
        <v/>
      </c>
      <c r="U448" s="21" t="str">
        <f aca="false">IFERROR(INDEX(종합!U$3:U$501,MATCH(ROW()-2,종합!$AC$3:$AC$501,0))&amp;"","")</f>
        <v/>
      </c>
      <c r="V448" s="21" t="str">
        <f aca="false">IFERROR(INDEX(종합!V$3:V$501,MATCH(ROW()-2,종합!$AC$3:$AC$501,0))&amp;"","")</f>
        <v/>
      </c>
      <c r="W448" s="21" t="str">
        <f aca="false">IFERROR(INDEX(종합!W$3:W$501,MATCH(ROW()-2,종합!$AC$3:$AC$501,0))&amp;"","")</f>
        <v/>
      </c>
      <c r="X448" s="21" t="str">
        <f aca="false">IFERROR(INDEX(종합!X$3:X$501,MATCH(ROW()-2,종합!$AC$3:$AC$501,0))&amp;"","")</f>
        <v/>
      </c>
      <c r="Y448" s="21" t="str">
        <f aca="false">IFERROR(INDEX(종합!Y$3:Y$501,MATCH(ROW()-2,종합!$AC$3:$AC$501,0))&amp;"","")</f>
        <v/>
      </c>
      <c r="Z448" s="21" t="str">
        <f aca="false">IFERROR(INDEX(종합!Z$3:Z$501,MATCH(ROW()-2,종합!$AC$3:$AC$501,0))&amp;"","")</f>
        <v/>
      </c>
    </row>
    <row r="449" customFormat="false" ht="16.5" hidden="false" customHeight="true" outlineLevel="0" collapsed="false">
      <c r="A449" s="18" t="str">
        <f aca="false">IF(B449="","",ROW()-2)</f>
        <v/>
      </c>
      <c r="B449" s="18" t="str">
        <f aca="false">IFERROR(INDEX(종합!B$3:B$501,MATCH(ROW()-2,종합!$AC$3:$AC$501,0))&amp;"","")</f>
        <v/>
      </c>
      <c r="C449" s="18" t="str">
        <f aca="false">IFERROR(INDEX(종합!C$3:C$501,MATCH(ROW()-2,종합!$AC$3:$AC$501,0))&amp;"","")</f>
        <v/>
      </c>
      <c r="D449" s="18" t="str">
        <f aca="false">IFERROR(INDEX(종합!D$3:D$501,MATCH(ROW()-2,종합!$AC$3:$AC$501,0))&amp;"","")</f>
        <v/>
      </c>
      <c r="E449" s="18" t="str">
        <f aca="false">IFERROR(INDEX(종합!E$3:E$501,MATCH(ROW()-2,종합!$AC$3:$AC$501,0))&amp;"","")</f>
        <v/>
      </c>
      <c r="F449" s="18" t="str">
        <f aca="false">IFERROR(INDEX(종합!F$3:F$501,MATCH(ROW()-2,종합!$AC$3:$AC$501,0))&amp;"","")</f>
        <v/>
      </c>
      <c r="G449" s="18" t="str">
        <f aca="false">IFERROR(INDEX(종합!G$3:G$501,MATCH(ROW()-2,종합!$AC$3:$AC$501,0))&amp;"","")</f>
        <v/>
      </c>
      <c r="H449" s="21" t="str">
        <f aca="false">IFERROR(INDEX(종합!H$3:H$501,MATCH(ROW()-2,종합!$AC$3:$AC$501,0))&amp;"","")</f>
        <v/>
      </c>
      <c r="I449" s="21" t="str">
        <f aca="false">IFERROR(INDEX(종합!I$3:I$501,MATCH(ROW()-2,종합!$AC$3:$AC$501,0))&amp;"","")</f>
        <v/>
      </c>
      <c r="J449" s="21" t="str">
        <f aca="false">IFERROR(INDEX(종합!J$3:J$501,MATCH(ROW()-2,종합!$AC$3:$AC$501,0))&amp;"","")</f>
        <v/>
      </c>
      <c r="K449" s="21" t="str">
        <f aca="false">IFERROR(INDEX(종합!K$3:K$501,MATCH(ROW()-2,종합!$AC$3:$AC$501,0))&amp;"","")</f>
        <v/>
      </c>
      <c r="L449" s="21" t="str">
        <f aca="false">IFERROR(INDEX(종합!L$3:L$501,MATCH(ROW()-2,종합!$AC$3:$AC$501,0))&amp;"","")</f>
        <v/>
      </c>
      <c r="M449" s="21" t="str">
        <f aca="false">IFERROR(INDEX(종합!M$3:M$501,MATCH(ROW()-2,종합!$AC$3:$AC$501,0))&amp;"","")</f>
        <v/>
      </c>
      <c r="N449" s="25" t="str">
        <f aca="false">IFERROR(INDEX(종합!N$3:N$501,MATCH(ROW()-2,종합!$AC$3:$AC$501,0))&amp;"","")</f>
        <v/>
      </c>
      <c r="O449" s="21" t="str">
        <f aca="false">IFERROR(INDEX(종합!O$3:O$501,MATCH(ROW()-2,종합!$AC$3:$AC$501,0))&amp;"","")</f>
        <v/>
      </c>
      <c r="P449" s="21" t="str">
        <f aca="false">IFERROR(INDEX(종합!P$3:P$501,MATCH(ROW()-2,종합!$AC$3:$AC$501,0))&amp;"","")</f>
        <v/>
      </c>
      <c r="Q449" s="21" t="str">
        <f aca="false">IFERROR(INDEX(종합!Q$3:Q$501,MATCH(ROW()-2,종합!$AC$3:$AC$501,0))&amp;"","")</f>
        <v/>
      </c>
      <c r="R449" s="21" t="str">
        <f aca="false">IFERROR(INDEX(종합!R$3:R$501,MATCH(ROW()-2,종합!$AC$3:$AC$501,0))&amp;"","")</f>
        <v/>
      </c>
      <c r="S449" s="21" t="str">
        <f aca="false">IFERROR(INDEX(종합!S$3:S$501,MATCH(ROW()-2,종합!$AC$3:$AC$501,0))&amp;"","")</f>
        <v/>
      </c>
      <c r="T449" s="21" t="str">
        <f aca="false">IFERROR(INDEX(종합!T$3:T$501,MATCH(ROW()-2,종합!$AC$3:$AC$501,0))&amp;"","")</f>
        <v/>
      </c>
      <c r="U449" s="21" t="str">
        <f aca="false">IFERROR(INDEX(종합!U$3:U$501,MATCH(ROW()-2,종합!$AC$3:$AC$501,0))&amp;"","")</f>
        <v/>
      </c>
      <c r="V449" s="21" t="str">
        <f aca="false">IFERROR(INDEX(종합!V$3:V$501,MATCH(ROW()-2,종합!$AC$3:$AC$501,0))&amp;"","")</f>
        <v/>
      </c>
      <c r="W449" s="21" t="str">
        <f aca="false">IFERROR(INDEX(종합!W$3:W$501,MATCH(ROW()-2,종합!$AC$3:$AC$501,0))&amp;"","")</f>
        <v/>
      </c>
      <c r="X449" s="21" t="str">
        <f aca="false">IFERROR(INDEX(종합!X$3:X$501,MATCH(ROW()-2,종합!$AC$3:$AC$501,0))&amp;"","")</f>
        <v/>
      </c>
      <c r="Y449" s="21" t="str">
        <f aca="false">IFERROR(INDEX(종합!Y$3:Y$501,MATCH(ROW()-2,종합!$AC$3:$AC$501,0))&amp;"","")</f>
        <v/>
      </c>
      <c r="Z449" s="21" t="str">
        <f aca="false">IFERROR(INDEX(종합!Z$3:Z$501,MATCH(ROW()-2,종합!$AC$3:$AC$501,0))&amp;"","")</f>
        <v/>
      </c>
    </row>
    <row r="450" customFormat="false" ht="16.5" hidden="false" customHeight="true" outlineLevel="0" collapsed="false">
      <c r="A450" s="18" t="str">
        <f aca="false">IF(B450="","",ROW()-2)</f>
        <v/>
      </c>
      <c r="B450" s="18" t="str">
        <f aca="false">IFERROR(INDEX(종합!B$3:B$501,MATCH(ROW()-2,종합!$AC$3:$AC$501,0))&amp;"","")</f>
        <v/>
      </c>
      <c r="C450" s="18" t="str">
        <f aca="false">IFERROR(INDEX(종합!C$3:C$501,MATCH(ROW()-2,종합!$AC$3:$AC$501,0))&amp;"","")</f>
        <v/>
      </c>
      <c r="D450" s="18" t="str">
        <f aca="false">IFERROR(INDEX(종합!D$3:D$501,MATCH(ROW()-2,종합!$AC$3:$AC$501,0))&amp;"","")</f>
        <v/>
      </c>
      <c r="E450" s="18" t="str">
        <f aca="false">IFERROR(INDEX(종합!E$3:E$501,MATCH(ROW()-2,종합!$AC$3:$AC$501,0))&amp;"","")</f>
        <v/>
      </c>
      <c r="F450" s="18" t="str">
        <f aca="false">IFERROR(INDEX(종합!F$3:F$501,MATCH(ROW()-2,종합!$AC$3:$AC$501,0))&amp;"","")</f>
        <v/>
      </c>
      <c r="G450" s="18" t="str">
        <f aca="false">IFERROR(INDEX(종합!G$3:G$501,MATCH(ROW()-2,종합!$AC$3:$AC$501,0))&amp;"","")</f>
        <v/>
      </c>
      <c r="H450" s="21" t="str">
        <f aca="false">IFERROR(INDEX(종합!H$3:H$501,MATCH(ROW()-2,종합!$AC$3:$AC$501,0))&amp;"","")</f>
        <v/>
      </c>
      <c r="I450" s="21" t="str">
        <f aca="false">IFERROR(INDEX(종합!I$3:I$501,MATCH(ROW()-2,종합!$AC$3:$AC$501,0))&amp;"","")</f>
        <v/>
      </c>
      <c r="J450" s="21" t="str">
        <f aca="false">IFERROR(INDEX(종합!J$3:J$501,MATCH(ROW()-2,종합!$AC$3:$AC$501,0))&amp;"","")</f>
        <v/>
      </c>
      <c r="K450" s="21" t="str">
        <f aca="false">IFERROR(INDEX(종합!K$3:K$501,MATCH(ROW()-2,종합!$AC$3:$AC$501,0))&amp;"","")</f>
        <v/>
      </c>
      <c r="L450" s="21" t="str">
        <f aca="false">IFERROR(INDEX(종합!L$3:L$501,MATCH(ROW()-2,종합!$AC$3:$AC$501,0))&amp;"","")</f>
        <v/>
      </c>
      <c r="M450" s="21" t="str">
        <f aca="false">IFERROR(INDEX(종합!M$3:M$501,MATCH(ROW()-2,종합!$AC$3:$AC$501,0))&amp;"","")</f>
        <v/>
      </c>
      <c r="N450" s="25" t="str">
        <f aca="false">IFERROR(INDEX(종합!N$3:N$501,MATCH(ROW()-2,종합!$AC$3:$AC$501,0))&amp;"","")</f>
        <v/>
      </c>
      <c r="O450" s="21" t="str">
        <f aca="false">IFERROR(INDEX(종합!O$3:O$501,MATCH(ROW()-2,종합!$AC$3:$AC$501,0))&amp;"","")</f>
        <v/>
      </c>
      <c r="P450" s="21" t="str">
        <f aca="false">IFERROR(INDEX(종합!P$3:P$501,MATCH(ROW()-2,종합!$AC$3:$AC$501,0))&amp;"","")</f>
        <v/>
      </c>
      <c r="Q450" s="21" t="str">
        <f aca="false">IFERROR(INDEX(종합!Q$3:Q$501,MATCH(ROW()-2,종합!$AC$3:$AC$501,0))&amp;"","")</f>
        <v/>
      </c>
      <c r="R450" s="21" t="str">
        <f aca="false">IFERROR(INDEX(종합!R$3:R$501,MATCH(ROW()-2,종합!$AC$3:$AC$501,0))&amp;"","")</f>
        <v/>
      </c>
      <c r="S450" s="21" t="str">
        <f aca="false">IFERROR(INDEX(종합!S$3:S$501,MATCH(ROW()-2,종합!$AC$3:$AC$501,0))&amp;"","")</f>
        <v/>
      </c>
      <c r="T450" s="21" t="str">
        <f aca="false">IFERROR(INDEX(종합!T$3:T$501,MATCH(ROW()-2,종합!$AC$3:$AC$501,0))&amp;"","")</f>
        <v/>
      </c>
      <c r="U450" s="21" t="str">
        <f aca="false">IFERROR(INDEX(종합!U$3:U$501,MATCH(ROW()-2,종합!$AC$3:$AC$501,0))&amp;"","")</f>
        <v/>
      </c>
      <c r="V450" s="21" t="str">
        <f aca="false">IFERROR(INDEX(종합!V$3:V$501,MATCH(ROW()-2,종합!$AC$3:$AC$501,0))&amp;"","")</f>
        <v/>
      </c>
      <c r="W450" s="21" t="str">
        <f aca="false">IFERROR(INDEX(종합!W$3:W$501,MATCH(ROW()-2,종합!$AC$3:$AC$501,0))&amp;"","")</f>
        <v/>
      </c>
      <c r="X450" s="21" t="str">
        <f aca="false">IFERROR(INDEX(종합!X$3:X$501,MATCH(ROW()-2,종합!$AC$3:$AC$501,0))&amp;"","")</f>
        <v/>
      </c>
      <c r="Y450" s="21" t="str">
        <f aca="false">IFERROR(INDEX(종합!Y$3:Y$501,MATCH(ROW()-2,종합!$AC$3:$AC$501,0))&amp;"","")</f>
        <v/>
      </c>
      <c r="Z450" s="21" t="str">
        <f aca="false">IFERROR(INDEX(종합!Z$3:Z$501,MATCH(ROW()-2,종합!$AC$3:$AC$501,0))&amp;"","")</f>
        <v/>
      </c>
    </row>
    <row r="451" customFormat="false" ht="16.5" hidden="false" customHeight="true" outlineLevel="0" collapsed="false">
      <c r="A451" s="18" t="str">
        <f aca="false">IF(B451="","",ROW()-2)</f>
        <v/>
      </c>
      <c r="B451" s="18" t="str">
        <f aca="false">IFERROR(INDEX(종합!B$3:B$501,MATCH(ROW()-2,종합!$AC$3:$AC$501,0))&amp;"","")</f>
        <v/>
      </c>
      <c r="C451" s="18" t="str">
        <f aca="false">IFERROR(INDEX(종합!C$3:C$501,MATCH(ROW()-2,종합!$AC$3:$AC$501,0))&amp;"","")</f>
        <v/>
      </c>
      <c r="D451" s="18" t="str">
        <f aca="false">IFERROR(INDEX(종합!D$3:D$501,MATCH(ROW()-2,종합!$AC$3:$AC$501,0))&amp;"","")</f>
        <v/>
      </c>
      <c r="E451" s="18" t="str">
        <f aca="false">IFERROR(INDEX(종합!E$3:E$501,MATCH(ROW()-2,종합!$AC$3:$AC$501,0))&amp;"","")</f>
        <v/>
      </c>
      <c r="F451" s="18" t="str">
        <f aca="false">IFERROR(INDEX(종합!F$3:F$501,MATCH(ROW()-2,종합!$AC$3:$AC$501,0))&amp;"","")</f>
        <v/>
      </c>
      <c r="G451" s="18" t="str">
        <f aca="false">IFERROR(INDEX(종합!G$3:G$501,MATCH(ROW()-2,종합!$AC$3:$AC$501,0))&amp;"","")</f>
        <v/>
      </c>
      <c r="H451" s="21" t="str">
        <f aca="false">IFERROR(INDEX(종합!H$3:H$501,MATCH(ROW()-2,종합!$AC$3:$AC$501,0))&amp;"","")</f>
        <v/>
      </c>
      <c r="I451" s="21" t="str">
        <f aca="false">IFERROR(INDEX(종합!I$3:I$501,MATCH(ROW()-2,종합!$AC$3:$AC$501,0))&amp;"","")</f>
        <v/>
      </c>
      <c r="J451" s="21" t="str">
        <f aca="false">IFERROR(INDEX(종합!J$3:J$501,MATCH(ROW()-2,종합!$AC$3:$AC$501,0))&amp;"","")</f>
        <v/>
      </c>
      <c r="K451" s="21" t="str">
        <f aca="false">IFERROR(INDEX(종합!K$3:K$501,MATCH(ROW()-2,종합!$AC$3:$AC$501,0))&amp;"","")</f>
        <v/>
      </c>
      <c r="L451" s="21" t="str">
        <f aca="false">IFERROR(INDEX(종합!L$3:L$501,MATCH(ROW()-2,종합!$AC$3:$AC$501,0))&amp;"","")</f>
        <v/>
      </c>
      <c r="M451" s="21" t="str">
        <f aca="false">IFERROR(INDEX(종합!M$3:M$501,MATCH(ROW()-2,종합!$AC$3:$AC$501,0))&amp;"","")</f>
        <v/>
      </c>
      <c r="N451" s="25" t="str">
        <f aca="false">IFERROR(INDEX(종합!N$3:N$501,MATCH(ROW()-2,종합!$AC$3:$AC$501,0))&amp;"","")</f>
        <v/>
      </c>
      <c r="O451" s="21" t="str">
        <f aca="false">IFERROR(INDEX(종합!O$3:O$501,MATCH(ROW()-2,종합!$AC$3:$AC$501,0))&amp;"","")</f>
        <v/>
      </c>
      <c r="P451" s="21" t="str">
        <f aca="false">IFERROR(INDEX(종합!P$3:P$501,MATCH(ROW()-2,종합!$AC$3:$AC$501,0))&amp;"","")</f>
        <v/>
      </c>
      <c r="Q451" s="21" t="str">
        <f aca="false">IFERROR(INDEX(종합!Q$3:Q$501,MATCH(ROW()-2,종합!$AC$3:$AC$501,0))&amp;"","")</f>
        <v/>
      </c>
      <c r="R451" s="21" t="str">
        <f aca="false">IFERROR(INDEX(종합!R$3:R$501,MATCH(ROW()-2,종합!$AC$3:$AC$501,0))&amp;"","")</f>
        <v/>
      </c>
      <c r="S451" s="21" t="str">
        <f aca="false">IFERROR(INDEX(종합!S$3:S$501,MATCH(ROW()-2,종합!$AC$3:$AC$501,0))&amp;"","")</f>
        <v/>
      </c>
      <c r="T451" s="21" t="str">
        <f aca="false">IFERROR(INDEX(종합!T$3:T$501,MATCH(ROW()-2,종합!$AC$3:$AC$501,0))&amp;"","")</f>
        <v/>
      </c>
      <c r="U451" s="21" t="str">
        <f aca="false">IFERROR(INDEX(종합!U$3:U$501,MATCH(ROW()-2,종합!$AC$3:$AC$501,0))&amp;"","")</f>
        <v/>
      </c>
      <c r="V451" s="21" t="str">
        <f aca="false">IFERROR(INDEX(종합!V$3:V$501,MATCH(ROW()-2,종합!$AC$3:$AC$501,0))&amp;"","")</f>
        <v/>
      </c>
      <c r="W451" s="21" t="str">
        <f aca="false">IFERROR(INDEX(종합!W$3:W$501,MATCH(ROW()-2,종합!$AC$3:$AC$501,0))&amp;"","")</f>
        <v/>
      </c>
      <c r="X451" s="21" t="str">
        <f aca="false">IFERROR(INDEX(종합!X$3:X$501,MATCH(ROW()-2,종합!$AC$3:$AC$501,0))&amp;"","")</f>
        <v/>
      </c>
      <c r="Y451" s="21" t="str">
        <f aca="false">IFERROR(INDEX(종합!Y$3:Y$501,MATCH(ROW()-2,종합!$AC$3:$AC$501,0))&amp;"","")</f>
        <v/>
      </c>
      <c r="Z451" s="21" t="str">
        <f aca="false">IFERROR(INDEX(종합!Z$3:Z$501,MATCH(ROW()-2,종합!$AC$3:$AC$501,0))&amp;"","")</f>
        <v/>
      </c>
    </row>
    <row r="452" customFormat="false" ht="16.5" hidden="false" customHeight="true" outlineLevel="0" collapsed="false">
      <c r="A452" s="18" t="str">
        <f aca="false">IF(B452="","",ROW()-2)</f>
        <v/>
      </c>
      <c r="B452" s="18" t="str">
        <f aca="false">IFERROR(INDEX(종합!B$3:B$501,MATCH(ROW()-2,종합!$AC$3:$AC$501,0))&amp;"","")</f>
        <v/>
      </c>
      <c r="C452" s="18" t="str">
        <f aca="false">IFERROR(INDEX(종합!C$3:C$501,MATCH(ROW()-2,종합!$AC$3:$AC$501,0))&amp;"","")</f>
        <v/>
      </c>
      <c r="D452" s="18" t="str">
        <f aca="false">IFERROR(INDEX(종합!D$3:D$501,MATCH(ROW()-2,종합!$AC$3:$AC$501,0))&amp;"","")</f>
        <v/>
      </c>
      <c r="E452" s="18" t="str">
        <f aca="false">IFERROR(INDEX(종합!E$3:E$501,MATCH(ROW()-2,종합!$AC$3:$AC$501,0))&amp;"","")</f>
        <v/>
      </c>
      <c r="F452" s="18" t="str">
        <f aca="false">IFERROR(INDEX(종합!F$3:F$501,MATCH(ROW()-2,종합!$AC$3:$AC$501,0))&amp;"","")</f>
        <v/>
      </c>
      <c r="G452" s="18" t="str">
        <f aca="false">IFERROR(INDEX(종합!G$3:G$501,MATCH(ROW()-2,종합!$AC$3:$AC$501,0))&amp;"","")</f>
        <v/>
      </c>
      <c r="H452" s="21" t="str">
        <f aca="false">IFERROR(INDEX(종합!H$3:H$501,MATCH(ROW()-2,종합!$AC$3:$AC$501,0))&amp;"","")</f>
        <v/>
      </c>
      <c r="I452" s="21" t="str">
        <f aca="false">IFERROR(INDEX(종합!I$3:I$501,MATCH(ROW()-2,종합!$AC$3:$AC$501,0))&amp;"","")</f>
        <v/>
      </c>
      <c r="J452" s="21" t="str">
        <f aca="false">IFERROR(INDEX(종합!J$3:J$501,MATCH(ROW()-2,종합!$AC$3:$AC$501,0))&amp;"","")</f>
        <v/>
      </c>
      <c r="K452" s="21" t="str">
        <f aca="false">IFERROR(INDEX(종합!K$3:K$501,MATCH(ROW()-2,종합!$AC$3:$AC$501,0))&amp;"","")</f>
        <v/>
      </c>
      <c r="L452" s="21" t="str">
        <f aca="false">IFERROR(INDEX(종합!L$3:L$501,MATCH(ROW()-2,종합!$AC$3:$AC$501,0))&amp;"","")</f>
        <v/>
      </c>
      <c r="M452" s="21" t="str">
        <f aca="false">IFERROR(INDEX(종합!M$3:M$501,MATCH(ROW()-2,종합!$AC$3:$AC$501,0))&amp;"","")</f>
        <v/>
      </c>
      <c r="N452" s="25" t="str">
        <f aca="false">IFERROR(INDEX(종합!N$3:N$501,MATCH(ROW()-2,종합!$AC$3:$AC$501,0))&amp;"","")</f>
        <v/>
      </c>
      <c r="O452" s="21" t="str">
        <f aca="false">IFERROR(INDEX(종합!O$3:O$501,MATCH(ROW()-2,종합!$AC$3:$AC$501,0))&amp;"","")</f>
        <v/>
      </c>
      <c r="P452" s="21" t="str">
        <f aca="false">IFERROR(INDEX(종합!P$3:P$501,MATCH(ROW()-2,종합!$AC$3:$AC$501,0))&amp;"","")</f>
        <v/>
      </c>
      <c r="Q452" s="21" t="str">
        <f aca="false">IFERROR(INDEX(종합!Q$3:Q$501,MATCH(ROW()-2,종합!$AC$3:$AC$501,0))&amp;"","")</f>
        <v/>
      </c>
      <c r="R452" s="21" t="str">
        <f aca="false">IFERROR(INDEX(종합!R$3:R$501,MATCH(ROW()-2,종합!$AC$3:$AC$501,0))&amp;"","")</f>
        <v/>
      </c>
      <c r="S452" s="21" t="str">
        <f aca="false">IFERROR(INDEX(종합!S$3:S$501,MATCH(ROW()-2,종합!$AC$3:$AC$501,0))&amp;"","")</f>
        <v/>
      </c>
      <c r="T452" s="21" t="str">
        <f aca="false">IFERROR(INDEX(종합!T$3:T$501,MATCH(ROW()-2,종합!$AC$3:$AC$501,0))&amp;"","")</f>
        <v/>
      </c>
      <c r="U452" s="21" t="str">
        <f aca="false">IFERROR(INDEX(종합!U$3:U$501,MATCH(ROW()-2,종합!$AC$3:$AC$501,0))&amp;"","")</f>
        <v/>
      </c>
      <c r="V452" s="21" t="str">
        <f aca="false">IFERROR(INDEX(종합!V$3:V$501,MATCH(ROW()-2,종합!$AC$3:$AC$501,0))&amp;"","")</f>
        <v/>
      </c>
      <c r="W452" s="21" t="str">
        <f aca="false">IFERROR(INDEX(종합!W$3:W$501,MATCH(ROW()-2,종합!$AC$3:$AC$501,0))&amp;"","")</f>
        <v/>
      </c>
      <c r="X452" s="21" t="str">
        <f aca="false">IFERROR(INDEX(종합!X$3:X$501,MATCH(ROW()-2,종합!$AC$3:$AC$501,0))&amp;"","")</f>
        <v/>
      </c>
      <c r="Y452" s="21" t="str">
        <f aca="false">IFERROR(INDEX(종합!Y$3:Y$501,MATCH(ROW()-2,종합!$AC$3:$AC$501,0))&amp;"","")</f>
        <v/>
      </c>
      <c r="Z452" s="21" t="str">
        <f aca="false">IFERROR(INDEX(종합!Z$3:Z$501,MATCH(ROW()-2,종합!$AC$3:$AC$501,0))&amp;"","")</f>
        <v/>
      </c>
    </row>
  </sheetData>
  <mergeCells count="3">
    <mergeCell ref="A1:N1"/>
    <mergeCell ref="O1:T1"/>
    <mergeCell ref="U1:Z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A452"/>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A1" activeCellId="0" sqref="AA1"/>
    </sheetView>
  </sheetViews>
  <sheetFormatPr defaultColWidth="8.83203125" defaultRowHeight="16.5" zeroHeight="false" outlineLevelRow="0" outlineLevelCol="0"/>
  <cols>
    <col collapsed="false" customWidth="true" hidden="false" outlineLevel="0" max="1" min="1" style="1" width="6"/>
    <col collapsed="false" customWidth="true" hidden="false" outlineLevel="0" max="2" min="2" style="1" width="47"/>
    <col collapsed="false" customWidth="true" hidden="false" outlineLevel="0" max="5" min="3" style="1" width="8"/>
    <col collapsed="false" customWidth="true" hidden="false" outlineLevel="0" max="6" min="6" style="1" width="10"/>
    <col collapsed="false" customWidth="true" hidden="false" outlineLevel="0" max="7" min="7" style="1" width="12"/>
    <col collapsed="false" customWidth="true" hidden="false" outlineLevel="0" max="8" min="8" style="1" width="16"/>
    <col collapsed="false" customWidth="true" hidden="false" outlineLevel="0" max="9" min="9" style="1" width="28"/>
    <col collapsed="false" customWidth="true" hidden="false" outlineLevel="0" max="10" min="10" style="1" width="17"/>
    <col collapsed="false" customWidth="true" hidden="false" outlineLevel="0" max="11" min="11" style="1" width="47"/>
    <col collapsed="false" customWidth="true" hidden="false" outlineLevel="0" max="12" min="12" style="1" width="34"/>
    <col collapsed="false" customWidth="true" hidden="false" outlineLevel="0" max="13" min="13" style="1" width="90"/>
    <col collapsed="false" customWidth="true" hidden="false" outlineLevel="0" max="14" min="14" style="1" width="60"/>
    <col collapsed="false" customWidth="true" hidden="false" outlineLevel="0" max="15" min="15" style="1" width="13"/>
    <col collapsed="false" customWidth="true" hidden="false" outlineLevel="0" max="16" min="16" style="1" width="54"/>
    <col collapsed="false" customWidth="true" hidden="false" outlineLevel="0" max="17" min="17" style="1" width="31"/>
    <col collapsed="false" customWidth="true" hidden="false" outlineLevel="0" max="18" min="18" style="1" width="26"/>
    <col collapsed="false" customWidth="true" hidden="false" outlineLevel="0" max="19" min="19" style="1" width="41"/>
    <col collapsed="false" customWidth="true" hidden="false" outlineLevel="0" max="20" min="20" style="1" width="17"/>
    <col collapsed="false" customWidth="true" hidden="false" outlineLevel="0" max="21" min="21" style="1" width="29"/>
    <col collapsed="false" customWidth="true" hidden="false" outlineLevel="0" max="22" min="22" style="1" width="53"/>
    <col collapsed="false" customWidth="true" hidden="false" outlineLevel="0" max="23" min="23" style="1" width="35"/>
    <col collapsed="false" customWidth="true" hidden="false" outlineLevel="0" max="24" min="24" style="1" width="29"/>
    <col collapsed="false" customWidth="true" hidden="false" outlineLevel="0" max="25" min="25" style="1" width="68"/>
    <col collapsed="false" customWidth="true" hidden="false" outlineLevel="0" max="26" min="26" style="1" width="29"/>
    <col collapsed="false" customWidth="true" hidden="false" outlineLevel="0" max="27" min="27" style="1" width="30"/>
  </cols>
  <sheetData>
    <row r="1" customFormat="false" ht="20.25" hidden="false" customHeight="true" outlineLevel="0" collapsed="false">
      <c r="A1" s="12" t="s">
        <v>27</v>
      </c>
      <c r="B1" s="12"/>
      <c r="C1" s="12"/>
      <c r="D1" s="12"/>
      <c r="E1" s="12"/>
      <c r="F1" s="12"/>
      <c r="G1" s="12"/>
      <c r="H1" s="12"/>
      <c r="I1" s="12"/>
      <c r="J1" s="12"/>
      <c r="K1" s="12"/>
      <c r="L1" s="12"/>
      <c r="M1" s="12"/>
      <c r="N1" s="12"/>
      <c r="O1" s="12" t="s">
        <v>28</v>
      </c>
      <c r="P1" s="12"/>
      <c r="Q1" s="12"/>
      <c r="R1" s="12"/>
      <c r="S1" s="12"/>
      <c r="T1" s="12"/>
      <c r="U1" s="12" t="s">
        <v>29</v>
      </c>
      <c r="V1" s="12"/>
      <c r="W1" s="12"/>
      <c r="X1" s="12"/>
      <c r="Y1" s="12"/>
      <c r="Z1" s="12"/>
      <c r="AA1" s="32"/>
    </row>
    <row r="2" customFormat="false" ht="46.5" hidden="false" customHeight="true" outlineLevel="0" collapsed="false">
      <c r="A2" s="14" t="s">
        <v>31</v>
      </c>
      <c r="B2" s="15" t="s">
        <v>32</v>
      </c>
      <c r="C2" s="15" t="s">
        <v>6</v>
      </c>
      <c r="D2" s="15" t="s">
        <v>7</v>
      </c>
      <c r="E2" s="15" t="s">
        <v>8</v>
      </c>
      <c r="F2" s="15" t="s">
        <v>9</v>
      </c>
      <c r="G2" s="15" t="s">
        <v>10</v>
      </c>
      <c r="H2" s="15" t="s">
        <v>33</v>
      </c>
      <c r="I2" s="15" t="s">
        <v>34</v>
      </c>
      <c r="J2" s="15" t="s">
        <v>35</v>
      </c>
      <c r="K2" s="15" t="s">
        <v>36</v>
      </c>
      <c r="L2" s="15" t="s">
        <v>37</v>
      </c>
      <c r="M2" s="15" t="s">
        <v>38</v>
      </c>
      <c r="N2" s="14" t="s">
        <v>39</v>
      </c>
      <c r="O2" s="15" t="s">
        <v>40</v>
      </c>
      <c r="P2" s="15" t="s">
        <v>41</v>
      </c>
      <c r="Q2" s="15" t="s">
        <v>42</v>
      </c>
      <c r="R2" s="15" t="s">
        <v>43</v>
      </c>
      <c r="S2" s="15" t="s">
        <v>44</v>
      </c>
      <c r="T2" s="15" t="s">
        <v>45</v>
      </c>
      <c r="U2" s="15" t="s">
        <v>46</v>
      </c>
      <c r="V2" s="15" t="s">
        <v>47</v>
      </c>
      <c r="W2" s="15" t="s">
        <v>48</v>
      </c>
      <c r="X2" s="15" t="s">
        <v>49</v>
      </c>
      <c r="Y2" s="15" t="s">
        <v>50</v>
      </c>
      <c r="Z2" s="15" t="s">
        <v>51</v>
      </c>
      <c r="AA2" s="15" t="s">
        <v>52</v>
      </c>
    </row>
    <row r="3" customFormat="false" ht="33.75" hidden="false" customHeight="true" outlineLevel="0" collapsed="false">
      <c r="A3" s="18" t="n">
        <f aca="false">IF(B3="","",ROW()-2)</f>
        <v>1</v>
      </c>
      <c r="B3" s="18" t="str">
        <f aca="false">IFERROR(INDEX(종합!B$3:B$501,MATCH(ROW()-2,종합!$AD$3:$AD$501,0))&amp;"","")</f>
        <v>(주)사이냅소프트</v>
      </c>
      <c r="C3" s="18" t="str">
        <f aca="false">IFERROR(INDEX(종합!C$3:C$501,MATCH(ROW()-2,종합!$AD$3:$AD$501,0))&amp;"","")</f>
        <v/>
      </c>
      <c r="D3" s="18" t="str">
        <f aca="false">IFERROR(INDEX(종합!D$3:D$501,MATCH(ROW()-2,종합!$AD$3:$AD$501,0))&amp;"","")</f>
        <v>O</v>
      </c>
      <c r="E3" s="18" t="str">
        <f aca="false">IFERROR(INDEX(종합!E$3:E$501,MATCH(ROW()-2,종합!$AD$3:$AD$501,0))&amp;"","")</f>
        <v>O</v>
      </c>
      <c r="F3" s="18" t="str">
        <f aca="false">IFERROR(INDEX(종합!F$3:F$501,MATCH(ROW()-2,종합!$AD$3:$AD$501,0))&amp;"","")</f>
        <v/>
      </c>
      <c r="G3" s="18" t="str">
        <f aca="false">IFERROR(INDEX(종합!G$3:G$501,MATCH(ROW()-2,종합!$AD$3:$AD$501,0))&amp;"","")</f>
        <v>중소기업</v>
      </c>
      <c r="H3" s="21" t="str">
        <f aca="false">IFERROR(INDEX(종합!H$3:H$501,MATCH(ROW()-2,종합!$AD$3:$AD$501,0))&amp;"","")</f>
        <v>214-86-64984</v>
      </c>
      <c r="I3" s="21" t="str">
        <f aca="false">IFERROR(INDEX(종합!I$3:I$501,MATCH(ROW()-2,종합!$AD$3:$AD$501,0))&amp;"","")</f>
        <v>전경헌</v>
      </c>
      <c r="J3" s="21" t="str">
        <f aca="false">IFERROR(INDEX(종합!J$3:J$501,MATCH(ROW()-2,종합!$AD$3:$AD$501,0))&amp;"","")</f>
        <v>02-2039-3780</v>
      </c>
      <c r="K3" s="21" t="str">
        <f aca="false">IFERROR(INDEX(종합!K$3:K$501,MATCH(ROW()-2,종합!$AD$3:$AD$501,0))&amp;"","")</f>
        <v>https://www.synapsoft.co.kr/</v>
      </c>
      <c r="L3" s="21" t="str">
        <f aca="false">IFERROR(INDEX(종합!L$3:L$501,MATCH(ROW()-2,종합!$AD$3:$AD$501,0))&amp;"","")</f>
        <v>synapsoft@gmail.com</v>
      </c>
      <c r="M3" s="21" t="str">
        <f aca="false">IFERROR(INDEX(종합!M$3:M$501,MATCH(ROW()-2,종합!$AD$3:$AD$501,0))&amp;"","")</f>
        <v>서울 강서구 마곡중앙4로 62 사이냅소프트</v>
      </c>
      <c r="N3" s="25" t="str">
        <f aca="false">IFERROR(INDEX(종합!N$3:N$501,MATCH(ROW()-2,종합!$AD$3:$AD$501,0))&amp;"","")</f>
        <v>사이냅 어시스턴트, 사이냅 도큐애널라이저 , 사이냅 OCR, 보이스애널라이저 등</v>
      </c>
      <c r="O3" s="21" t="str">
        <f aca="false">IFERROR(INDEX(종합!O$3:O$501,MATCH(ROW()-2,종합!$AD$3:$AD$501,0))&amp;"","")</f>
        <v>정진남</v>
      </c>
      <c r="P3" s="21" t="str">
        <f aca="false">IFERROR(INDEX(종합!P$3:P$501,MATCH(ROW()-2,종합!$AD$3:$AD$501,0))&amp;"","")</f>
        <v>공공영업팀</v>
      </c>
      <c r="Q3" s="21" t="str">
        <f aca="false">IFERROR(INDEX(종합!Q$3:Q$501,MATCH(ROW()-2,종합!$AD$3:$AD$501,0))&amp;"","")</f>
        <v>이사</v>
      </c>
      <c r="R3" s="21" t="str">
        <f aca="false">IFERROR(INDEX(종합!R$3:R$501,MATCH(ROW()-2,종합!$AD$3:$AD$501,0))&amp;"","")</f>
        <v>010-8759-7923</v>
      </c>
      <c r="S3" s="21" t="str">
        <f aca="false">IFERROR(INDEX(종합!S$3:S$501,MATCH(ROW()-2,종합!$AD$3:$AD$501,0))&amp;"","")</f>
        <v>jjn0802@synapsoft.co.kr</v>
      </c>
      <c r="T3" s="21" t="str">
        <f aca="false">IFERROR(INDEX(종합!T$3:T$501,MATCH(ROW()-2,종합!$AD$3:$AD$501,0))&amp;"","")</f>
        <v>010-8759-7923</v>
      </c>
      <c r="U3" s="21" t="str">
        <f aca="false">IFERROR(INDEX(종합!U$3:U$501,MATCH(ROW()-2,종합!$AD$3:$AD$501,0))&amp;"","")</f>
        <v>김윤서</v>
      </c>
      <c r="V3" s="21" t="str">
        <f aca="false">IFERROR(INDEX(종합!V$3:V$501,MATCH(ROW()-2,종합!$AD$3:$AD$501,0))&amp;"","")</f>
        <v>마케팅</v>
      </c>
      <c r="W3" s="21" t="str">
        <f aca="false">IFERROR(INDEX(종합!W$3:W$501,MATCH(ROW()-2,종합!$AD$3:$AD$501,0))&amp;"","")</f>
        <v>사원</v>
      </c>
      <c r="X3" s="21" t="str">
        <f aca="false">IFERROR(INDEX(종합!X$3:X$501,MATCH(ROW()-2,종합!$AD$3:$AD$501,0))&amp;"","")</f>
        <v>010-3012-9110</v>
      </c>
      <c r="Y3" s="21" t="str">
        <f aca="false">IFERROR(INDEX(종합!Y$3:Y$501,MATCH(ROW()-2,종합!$AD$3:$AD$501,0))&amp;"","")</f>
        <v>rdyun25@synapsoft.co.kr</v>
      </c>
      <c r="Z3" s="21" t="str">
        <f aca="false">IFERROR(INDEX(종합!Z$3:Z$501,MATCH(ROW()-2,종합!$AD$3:$AD$501,0))&amp;"","")</f>
        <v>010-3012-9110</v>
      </c>
      <c r="AA3" s="23" t="str">
        <f aca="false">IFERROR(INDEX(종합!AA$3:AA$501,MATCH(ROW()-2,종합!$AD$3:$AD$501,0))&amp;"","")</f>
        <v/>
      </c>
    </row>
    <row r="4" customFormat="false" ht="22.5" hidden="false" customHeight="true" outlineLevel="0" collapsed="false">
      <c r="A4" s="18" t="n">
        <f aca="false">IF(B4="","",ROW()-2)</f>
        <v>2</v>
      </c>
      <c r="B4" s="18" t="str">
        <f aca="false">IFERROR(INDEX(종합!B$3:B$501,MATCH(ROW()-2,종합!$AD$3:$AD$501,0))&amp;"","")</f>
        <v>앵글컴퍼니 주식회사</v>
      </c>
      <c r="C4" s="18" t="str">
        <f aca="false">IFERROR(INDEX(종합!C$3:C$501,MATCH(ROW()-2,종합!$AD$3:$AD$501,0))&amp;"","")</f>
        <v>O</v>
      </c>
      <c r="D4" s="18" t="str">
        <f aca="false">IFERROR(INDEX(종합!D$3:D$501,MATCH(ROW()-2,종합!$AD$3:$AD$501,0))&amp;"","")</f>
        <v>O</v>
      </c>
      <c r="E4" s="18" t="str">
        <f aca="false">IFERROR(INDEX(종합!E$3:E$501,MATCH(ROW()-2,종합!$AD$3:$AD$501,0))&amp;"","")</f>
        <v>O</v>
      </c>
      <c r="F4" s="18" t="str">
        <f aca="false">IFERROR(INDEX(종합!F$3:F$501,MATCH(ROW()-2,종합!$AD$3:$AD$501,0))&amp;"","")</f>
        <v/>
      </c>
      <c r="G4" s="18" t="str">
        <f aca="false">IFERROR(INDEX(종합!G$3:G$501,MATCH(ROW()-2,종합!$AD$3:$AD$501,0))&amp;"","")</f>
        <v>중소기업</v>
      </c>
      <c r="H4" s="21" t="str">
        <f aca="false">IFERROR(INDEX(종합!H$3:H$501,MATCH(ROW()-2,종합!$AD$3:$AD$501,0))&amp;"","")</f>
        <v>172-88-02621</v>
      </c>
      <c r="I4" s="21" t="str">
        <f aca="false">IFERROR(INDEX(종합!I$3:I$501,MATCH(ROW()-2,종합!$AD$3:$AD$501,0))&amp;"","")</f>
        <v>박재범</v>
      </c>
      <c r="J4" s="21" t="str">
        <f aca="false">IFERROR(INDEX(종합!J$3:J$501,MATCH(ROW()-2,종합!$AD$3:$AD$501,0))&amp;"","")</f>
        <v>010-4717-8478</v>
      </c>
      <c r="K4" s="21" t="str">
        <f aca="false">IFERROR(INDEX(종합!K$3:K$501,MATCH(ROW()-2,종합!$AD$3:$AD$501,0))&amp;"","")</f>
        <v>https://www.angle.im</v>
      </c>
      <c r="L4" s="21" t="str">
        <f aca="false">IFERROR(INDEX(종합!L$3:L$501,MATCH(ROW()-2,종합!$AD$3:$AD$501,0))&amp;"","")</f>
        <v>pjb@angle.im</v>
      </c>
      <c r="M4" s="21" t="str">
        <f aca="false">IFERROR(INDEX(종합!M$3:M$501,MATCH(ROW()-2,종합!$AD$3:$AD$501,0))&amp;"","")</f>
        <v>서울시 강남구 테헤란로 79길 6, 3층</v>
      </c>
      <c r="N4" s="25" t="str">
        <f aca="false">IFERROR(INDEX(종합!N$3:N$501,MATCH(ROW()-2,종합!$AD$3:$AD$501,0))&amp;"","")</f>
        <v>헬스케어, 보험, 커머스, 제조 분야의 에이전틱 AI 에이전트 솔루션</v>
      </c>
      <c r="O4" s="21" t="str">
        <f aca="false">IFERROR(INDEX(종합!O$3:O$501,MATCH(ROW()-2,종합!$AD$3:$AD$501,0))&amp;"","")</f>
        <v>박재범</v>
      </c>
      <c r="P4" s="21" t="str">
        <f aca="false">IFERROR(INDEX(종합!P$3:P$501,MATCH(ROW()-2,종합!$AD$3:$AD$501,0))&amp;"","")</f>
        <v>대표이사</v>
      </c>
      <c r="Q4" s="21" t="str">
        <f aca="false">IFERROR(INDEX(종합!Q$3:Q$501,MATCH(ROW()-2,종합!$AD$3:$AD$501,0))&amp;"","")</f>
        <v>대표이사</v>
      </c>
      <c r="R4" s="21" t="str">
        <f aca="false">IFERROR(INDEX(종합!R$3:R$501,MATCH(ROW()-2,종합!$AD$3:$AD$501,0))&amp;"","")</f>
        <v>010-4717-8478</v>
      </c>
      <c r="S4" s="21" t="str">
        <f aca="false">IFERROR(INDEX(종합!S$3:S$501,MATCH(ROW()-2,종합!$AD$3:$AD$501,0))&amp;"","")</f>
        <v>pjb@angle.im</v>
      </c>
      <c r="T4" s="21" t="str">
        <f aca="false">IFERROR(INDEX(종합!T$3:T$501,MATCH(ROW()-2,종합!$AD$3:$AD$501,0))&amp;"","")</f>
        <v>010-4717-8478</v>
      </c>
      <c r="U4" s="21" t="str">
        <f aca="false">IFERROR(INDEX(종합!U$3:U$501,MATCH(ROW()-2,종합!$AD$3:$AD$501,0))&amp;"","")</f>
        <v>박재범</v>
      </c>
      <c r="V4" s="21" t="str">
        <f aca="false">IFERROR(INDEX(종합!V$3:V$501,MATCH(ROW()-2,종합!$AD$3:$AD$501,0))&amp;"","")</f>
        <v>대표이사</v>
      </c>
      <c r="W4" s="21" t="str">
        <f aca="false">IFERROR(INDEX(종합!W$3:W$501,MATCH(ROW()-2,종합!$AD$3:$AD$501,0))&amp;"","")</f>
        <v>대표이사</v>
      </c>
      <c r="X4" s="21" t="str">
        <f aca="false">IFERROR(INDEX(종합!X$3:X$501,MATCH(ROW()-2,종합!$AD$3:$AD$501,0))&amp;"","")</f>
        <v>010-4717-8478</v>
      </c>
      <c r="Y4" s="21" t="str">
        <f aca="false">IFERROR(INDEX(종합!Y$3:Y$501,MATCH(ROW()-2,종합!$AD$3:$AD$501,0))&amp;"","")</f>
        <v>pjb@angle.im</v>
      </c>
      <c r="Z4" s="21" t="str">
        <f aca="false">IFERROR(INDEX(종합!Z$3:Z$501,MATCH(ROW()-2,종합!$AD$3:$AD$501,0))&amp;"","")</f>
        <v>010-4717-8478</v>
      </c>
      <c r="AA4" s="23" t="str">
        <f aca="false">IFERROR(INDEX(종합!AA$3:AA$501,MATCH(ROW()-2,종합!$AD$3:$AD$501,0))&amp;"","")</f>
        <v/>
      </c>
    </row>
    <row r="5" customFormat="false" ht="33.75" hidden="false" customHeight="true" outlineLevel="0" collapsed="false">
      <c r="A5" s="18" t="n">
        <f aca="false">IF(B5="","",ROW()-2)</f>
        <v>3</v>
      </c>
      <c r="B5" s="18" t="str">
        <f aca="false">IFERROR(INDEX(종합!B$3:B$501,MATCH(ROW()-2,종합!$AD$3:$AD$501,0))&amp;"","")</f>
        <v>(주)필라테크</v>
      </c>
      <c r="C5" s="18" t="str">
        <f aca="false">IFERROR(INDEX(종합!C$3:C$501,MATCH(ROW()-2,종합!$AD$3:$AD$501,0))&amp;"","")</f>
        <v/>
      </c>
      <c r="D5" s="18" t="str">
        <f aca="false">IFERROR(INDEX(종합!D$3:D$501,MATCH(ROW()-2,종합!$AD$3:$AD$501,0))&amp;"","")</f>
        <v>O</v>
      </c>
      <c r="E5" s="18" t="str">
        <f aca="false">IFERROR(INDEX(종합!E$3:E$501,MATCH(ROW()-2,종합!$AD$3:$AD$501,0))&amp;"","")</f>
        <v>O</v>
      </c>
      <c r="F5" s="18" t="str">
        <f aca="false">IFERROR(INDEX(종합!F$3:F$501,MATCH(ROW()-2,종합!$AD$3:$AD$501,0))&amp;"","")</f>
        <v/>
      </c>
      <c r="G5" s="18" t="str">
        <f aca="false">IFERROR(INDEX(종합!G$3:G$501,MATCH(ROW()-2,종합!$AD$3:$AD$501,0))&amp;"","")</f>
        <v>중소기업</v>
      </c>
      <c r="H5" s="21" t="str">
        <f aca="false">IFERROR(INDEX(종합!H$3:H$501,MATCH(ROW()-2,종합!$AD$3:$AD$501,0))&amp;"","")</f>
        <v>211-87-13620</v>
      </c>
      <c r="I5" s="21" t="str">
        <f aca="false">IFERROR(INDEX(종합!I$3:I$501,MATCH(ROW()-2,종합!$AD$3:$AD$501,0))&amp;"","")</f>
        <v>박동현</v>
      </c>
      <c r="J5" s="21" t="str">
        <f aca="false">IFERROR(INDEX(종합!J$3:J$501,MATCH(ROW()-2,종합!$AD$3:$AD$501,0))&amp;"","")</f>
        <v>02-3654-3654</v>
      </c>
      <c r="K5" s="21" t="str">
        <f aca="false">IFERROR(INDEX(종합!K$3:K$501,MATCH(ROW()-2,종합!$AD$3:$AD$501,0))&amp;"","")</f>
        <v>https://www.feelatech.com/</v>
      </c>
      <c r="L5" s="21" t="str">
        <f aca="false">IFERROR(INDEX(종합!L$3:L$501,MATCH(ROW()-2,종합!$AD$3:$AD$501,0))&amp;"","")</f>
        <v>choisw3421@gmail.com</v>
      </c>
      <c r="M5" s="21" t="str">
        <f aca="false">IFERROR(INDEX(종합!M$3:M$501,MATCH(ROW()-2,종합!$AD$3:$AD$501,0))&amp;"","")</f>
        <v>(06099) 서울시 강남구 선릉로125길 10, 3~5층 (논현동 242-43 수창빌딩) </v>
      </c>
      <c r="N5" s="25" t="str">
        <f aca="false">IFERROR(INDEX(종합!N$3:N$501,MATCH(ROW()-2,종합!$AD$3:$AD$501,0))&amp;"","")</f>
        <v>HPE Private Cloud AI, AI 인프라 설계 및 구축</v>
      </c>
      <c r="O5" s="21" t="str">
        <f aca="false">IFERROR(INDEX(종합!O$3:O$501,MATCH(ROW()-2,종합!$AD$3:$AD$501,0))&amp;"","")</f>
        <v>최성원</v>
      </c>
      <c r="P5" s="21" t="str">
        <f aca="false">IFERROR(INDEX(종합!P$3:P$501,MATCH(ROW()-2,종합!$AD$3:$AD$501,0))&amp;"","")</f>
        <v>인프라사업본부</v>
      </c>
      <c r="Q5" s="21" t="str">
        <f aca="false">IFERROR(INDEX(종합!Q$3:Q$501,MATCH(ROW()-2,종합!$AD$3:$AD$501,0))&amp;"","")</f>
        <v>이사 / 본부장</v>
      </c>
      <c r="R5" s="21" t="str">
        <f aca="false">IFERROR(INDEX(종합!R$3:R$501,MATCH(ROW()-2,종합!$AD$3:$AD$501,0))&amp;"","")</f>
        <v>02-3654-3654</v>
      </c>
      <c r="S5" s="21" t="str">
        <f aca="false">IFERROR(INDEX(종합!S$3:S$501,MATCH(ROW()-2,종합!$AD$3:$AD$501,0))&amp;"","")</f>
        <v>swchoi@feelatech.com</v>
      </c>
      <c r="T5" s="21" t="str">
        <f aca="false">IFERROR(INDEX(종합!T$3:T$501,MATCH(ROW()-2,종합!$AD$3:$AD$501,0))&amp;"","")</f>
        <v>010-2500-3421</v>
      </c>
      <c r="U5" s="21" t="str">
        <f aca="false">IFERROR(INDEX(종합!U$3:U$501,MATCH(ROW()-2,종합!$AD$3:$AD$501,0))&amp;"","")</f>
        <v>신민철</v>
      </c>
      <c r="V5" s="21" t="str">
        <f aca="false">IFERROR(INDEX(종합!V$3:V$501,MATCH(ROW()-2,종합!$AD$3:$AD$501,0))&amp;"","")</f>
        <v>인프라사업본부/시스템사업팀</v>
      </c>
      <c r="W5" s="21" t="str">
        <f aca="false">IFERROR(INDEX(종합!W$3:W$501,MATCH(ROW()-2,종합!$AD$3:$AD$501,0))&amp;"","")</f>
        <v>부장/팀장</v>
      </c>
      <c r="X5" s="21" t="str">
        <f aca="false">IFERROR(INDEX(종합!X$3:X$501,MATCH(ROW()-2,종합!$AD$3:$AD$501,0))&amp;"","")</f>
        <v>02-3654-3654</v>
      </c>
      <c r="Y5" s="21" t="str">
        <f aca="false">IFERROR(INDEX(종합!Y$3:Y$501,MATCH(ROW()-2,종합!$AD$3:$AD$501,0))&amp;"","")</f>
        <v>shinmc@feelatech.com</v>
      </c>
      <c r="Z5" s="21" t="str">
        <f aca="false">IFERROR(INDEX(종합!Z$3:Z$501,MATCH(ROW()-2,종합!$AD$3:$AD$501,0))&amp;"","")</f>
        <v>010-2898-6521</v>
      </c>
      <c r="AA5" s="23" t="str">
        <f aca="false">IFERROR(INDEX(종합!AA$3:AA$501,MATCH(ROW()-2,종합!$AD$3:$AD$501,0))&amp;"","")</f>
        <v/>
      </c>
    </row>
    <row r="6" customFormat="false" ht="33.75" hidden="false" customHeight="true" outlineLevel="0" collapsed="false">
      <c r="A6" s="18" t="n">
        <f aca="false">IF(B6="","",ROW()-2)</f>
        <v>4</v>
      </c>
      <c r="B6" s="18" t="str">
        <f aca="false">IFERROR(INDEX(종합!B$3:B$501,MATCH(ROW()-2,종합!$AD$3:$AD$501,0))&amp;"","")</f>
        <v>주식회사 아이들</v>
      </c>
      <c r="C6" s="18" t="str">
        <f aca="false">IFERROR(INDEX(종합!C$3:C$501,MATCH(ROW()-2,종합!$AD$3:$AD$501,0))&amp;"","")</f>
        <v/>
      </c>
      <c r="D6" s="18" t="str">
        <f aca="false">IFERROR(INDEX(종합!D$3:D$501,MATCH(ROW()-2,종합!$AD$3:$AD$501,0))&amp;"","")</f>
        <v>O</v>
      </c>
      <c r="E6" s="18" t="str">
        <f aca="false">IFERROR(INDEX(종합!E$3:E$501,MATCH(ROW()-2,종합!$AD$3:$AD$501,0))&amp;"","")</f>
        <v>O</v>
      </c>
      <c r="F6" s="18" t="str">
        <f aca="false">IFERROR(INDEX(종합!F$3:F$501,MATCH(ROW()-2,종합!$AD$3:$AD$501,0))&amp;"","")</f>
        <v/>
      </c>
      <c r="G6" s="18" t="str">
        <f aca="false">IFERROR(INDEX(종합!G$3:G$501,MATCH(ROW()-2,종합!$AD$3:$AD$501,0))&amp;"","")</f>
        <v>중소기업</v>
      </c>
      <c r="H6" s="21" t="str">
        <f aca="false">IFERROR(INDEX(종합!H$3:H$501,MATCH(ROW()-2,종합!$AD$3:$AD$501,0))&amp;"","")</f>
        <v>820-81-02056</v>
      </c>
      <c r="I6" s="21" t="str">
        <f aca="false">IFERROR(INDEX(종합!I$3:I$501,MATCH(ROW()-2,종합!$AD$3:$AD$501,0))&amp;"","")</f>
        <v>허명구</v>
      </c>
      <c r="J6" s="21" t="str">
        <f aca="false">IFERROR(INDEX(종합!J$3:J$501,MATCH(ROW()-2,종합!$AD$3:$AD$501,0))&amp;"","")</f>
        <v>1551-1911</v>
      </c>
      <c r="K6" s="21" t="str">
        <f aca="false">IFERROR(INDEX(종합!K$3:K$501,MATCH(ROW()-2,종합!$AD$3:$AD$501,0))&amp;"","")</f>
        <v>yoaida.com</v>
      </c>
      <c r="L6" s="21" t="str">
        <f aca="false">IFERROR(INDEX(종합!L$3:L$501,MATCH(ROW()-2,종합!$AD$3:$AD$501,0))&amp;"","")</f>
        <v>supernine09@gmail.com</v>
      </c>
      <c r="M6" s="21" t="str">
        <f aca="false">IFERROR(INDEX(종합!M$3:M$501,MATCH(ROW()-2,종합!$AD$3:$AD$501,0))&amp;"","")</f>
        <v>강원특별자치도 춘천시 강원대학길 1, 보듬관 604호</v>
      </c>
      <c r="N6" s="25" t="str">
        <f aca="false">IFERROR(INDEX(종합!N$3:N$501,MATCH(ROW()-2,종합!$AD$3:$AD$501,0))&amp;"","")</f>
        <v>멀티 LLM, 다양한 AI 에이전트 (문서, 멀티모달 포함), RAG 기반 에이전트 등. AI에이전트 서비스 '요기 AI 다 있다' 요아이다 Saas형 솔루션</v>
      </c>
      <c r="O6" s="21" t="str">
        <f aca="false">IFERROR(INDEX(종합!O$3:O$501,MATCH(ROW()-2,종합!$AD$3:$AD$501,0))&amp;"","")</f>
        <v>허명구</v>
      </c>
      <c r="P6" s="21" t="str">
        <f aca="false">IFERROR(INDEX(종합!P$3:P$501,MATCH(ROW()-2,종합!$AD$3:$AD$501,0))&amp;"","")</f>
        <v>대표</v>
      </c>
      <c r="Q6" s="21" t="str">
        <f aca="false">IFERROR(INDEX(종합!Q$3:Q$501,MATCH(ROW()-2,종합!$AD$3:$AD$501,0))&amp;"","")</f>
        <v>대표</v>
      </c>
      <c r="R6" s="21" t="str">
        <f aca="false">IFERROR(INDEX(종합!R$3:R$501,MATCH(ROW()-2,종합!$AD$3:$AD$501,0))&amp;"","")</f>
        <v>1551-1911</v>
      </c>
      <c r="S6" s="21" t="str">
        <f aca="false">IFERROR(INDEX(종합!S$3:S$501,MATCH(ROW()-2,종합!$AD$3:$AD$501,0))&amp;"","")</f>
        <v>supernine@idl.land</v>
      </c>
      <c r="T6" s="21" t="str">
        <f aca="false">IFERROR(INDEX(종합!T$3:T$501,MATCH(ROW()-2,종합!$AD$3:$AD$501,0))&amp;"","")</f>
        <v>010-4409-7909</v>
      </c>
      <c r="U6" s="21" t="str">
        <f aca="false">IFERROR(INDEX(종합!U$3:U$501,MATCH(ROW()-2,종합!$AD$3:$AD$501,0))&amp;"","")</f>
        <v>용환준</v>
      </c>
      <c r="V6" s="21" t="str">
        <f aca="false">IFERROR(INDEX(종합!V$3:V$501,MATCH(ROW()-2,종합!$AD$3:$AD$501,0))&amp;"","")</f>
        <v>기획팀</v>
      </c>
      <c r="W6" s="21" t="str">
        <f aca="false">IFERROR(INDEX(종합!W$3:W$501,MATCH(ROW()-2,종합!$AD$3:$AD$501,0))&amp;"","")</f>
        <v>팀장</v>
      </c>
      <c r="X6" s="21" t="str">
        <f aca="false">IFERROR(INDEX(종합!X$3:X$501,MATCH(ROW()-2,종합!$AD$3:$AD$501,0))&amp;"","")</f>
        <v>1551-1911</v>
      </c>
      <c r="Y6" s="21" t="str">
        <f aca="false">IFERROR(INDEX(종합!Y$3:Y$501,MATCH(ROW()-2,종합!$AD$3:$AD$501,0))&amp;"","")</f>
        <v>yongpd@idl.land</v>
      </c>
      <c r="Z6" s="21" t="str">
        <f aca="false">IFERROR(INDEX(종합!Z$3:Z$501,MATCH(ROW()-2,종합!$AD$3:$AD$501,0))&amp;"","")</f>
        <v>010-4444-5451</v>
      </c>
      <c r="AA6" s="23" t="str">
        <f aca="false">IFERROR(INDEX(종합!AA$3:AA$501,MATCH(ROW()-2,종합!$AD$3:$AD$501,0))&amp;"","")</f>
        <v/>
      </c>
    </row>
    <row r="7" customFormat="false" ht="22.5" hidden="false" customHeight="true" outlineLevel="0" collapsed="false">
      <c r="A7" s="18" t="n">
        <f aca="false">IF(B7="","",ROW()-2)</f>
        <v>5</v>
      </c>
      <c r="B7" s="18" t="str">
        <f aca="false">IFERROR(INDEX(종합!B$3:B$501,MATCH(ROW()-2,종합!$AD$3:$AD$501,0))&amp;"","")</f>
        <v>사단법인 한국디지털인증협회</v>
      </c>
      <c r="C7" s="18" t="str">
        <f aca="false">IFERROR(INDEX(종합!C$3:C$501,MATCH(ROW()-2,종합!$AD$3:$AD$501,0))&amp;"","")</f>
        <v/>
      </c>
      <c r="D7" s="18" t="str">
        <f aca="false">IFERROR(INDEX(종합!D$3:D$501,MATCH(ROW()-2,종합!$AD$3:$AD$501,0))&amp;"","")</f>
        <v>O</v>
      </c>
      <c r="E7" s="18" t="str">
        <f aca="false">IFERROR(INDEX(종합!E$3:E$501,MATCH(ROW()-2,종합!$AD$3:$AD$501,0))&amp;"","")</f>
        <v>O</v>
      </c>
      <c r="F7" s="18" t="str">
        <f aca="false">IFERROR(INDEX(종합!F$3:F$501,MATCH(ROW()-2,종합!$AD$3:$AD$501,0))&amp;"","")</f>
        <v/>
      </c>
      <c r="G7" s="18" t="str">
        <f aca="false">IFERROR(INDEX(종합!G$3:G$501,MATCH(ROW()-2,종합!$AD$3:$AD$501,0))&amp;"","")</f>
        <v>협회·단체</v>
      </c>
      <c r="H7" s="21" t="str">
        <f aca="false">IFERROR(INDEX(종합!H$3:H$501,MATCH(ROW()-2,종합!$AD$3:$AD$501,0))&amp;"","")</f>
        <v>894-82-00089</v>
      </c>
      <c r="I7" s="21" t="str">
        <f aca="false">IFERROR(INDEX(종합!I$3:I$501,MATCH(ROW()-2,종합!$AD$3:$AD$501,0))&amp;"","")</f>
        <v>이기혁</v>
      </c>
      <c r="J7" s="21" t="str">
        <f aca="false">IFERROR(INDEX(종합!J$3:J$501,MATCH(ROW()-2,종합!$AD$3:$AD$501,0))&amp;"","")</f>
        <v>02-761-1060</v>
      </c>
      <c r="K7" s="21" t="str">
        <f aca="false">IFERROR(INDEX(종합!K$3:K$501,MATCH(ROW()-2,종합!$AD$3:$AD$501,0))&amp;"","")</f>
        <v>https://opendid.org/</v>
      </c>
      <c r="L7" s="21" t="str">
        <f aca="false">IFERROR(INDEX(종합!L$3:L$501,MATCH(ROW()-2,종합!$AD$3:$AD$501,0))&amp;"","")</f>
        <v>ldh3741@gmail.com</v>
      </c>
      <c r="M7" s="21" t="str">
        <f aca="false">IFERROR(INDEX(종합!M$3:M$501,MATCH(ROW()-2,종합!$AD$3:$AD$501,0))&amp;"","")</f>
        <v>서울시 영등포구 여의대로 108, 파크원빌딩 타워2 48층</v>
      </c>
      <c r="N7" s="25" t="str">
        <f aca="false">IFERROR(INDEX(종합!N$3:N$501,MATCH(ROW()-2,종합!$AD$3:$AD$501,0))&amp;"","")</f>
        <v>AAM(Agentic AI Management), 데이터 라벨링, Open DID, MainNet 등 </v>
      </c>
      <c r="O7" s="21" t="str">
        <f aca="false">IFERROR(INDEX(종합!O$3:O$501,MATCH(ROW()-2,종합!$AD$3:$AD$501,0))&amp;"","")</f>
        <v>임도현</v>
      </c>
      <c r="P7" s="21" t="str">
        <f aca="false">IFERROR(INDEX(종합!P$3:P$501,MATCH(ROW()-2,종합!$AD$3:$AD$501,0))&amp;"","")</f>
        <v>COO</v>
      </c>
      <c r="Q7" s="21" t="str">
        <f aca="false">IFERROR(INDEX(종합!Q$3:Q$501,MATCH(ROW()-2,종합!$AD$3:$AD$501,0))&amp;"","")</f>
        <v>상근부회장/COO</v>
      </c>
      <c r="R7" s="21" t="str">
        <f aca="false">IFERROR(INDEX(종합!R$3:R$501,MATCH(ROW()-2,종합!$AD$3:$AD$501,0))&amp;"","")</f>
        <v>02-761-1060</v>
      </c>
      <c r="S7" s="21" t="str">
        <f aca="false">IFERROR(INDEX(종합!S$3:S$501,MATCH(ROW()-2,종합!$AD$3:$AD$501,0))&amp;"","")</f>
        <v>david.lim@opendid.org</v>
      </c>
      <c r="T7" s="21" t="str">
        <f aca="false">IFERROR(INDEX(종합!T$3:T$501,MATCH(ROW()-2,종합!$AD$3:$AD$501,0))&amp;"","")</f>
        <v>010-5512-3330</v>
      </c>
      <c r="U7" s="21" t="str">
        <f aca="false">IFERROR(INDEX(종합!U$3:U$501,MATCH(ROW()-2,종합!$AD$3:$AD$501,0))&amp;"","")</f>
        <v>유호종</v>
      </c>
      <c r="V7" s="21" t="str">
        <f aca="false">IFERROR(INDEX(종합!V$3:V$501,MATCH(ROW()-2,종합!$AD$3:$AD$501,0))&amp;"","")</f>
        <v>사무국</v>
      </c>
      <c r="W7" s="21" t="str">
        <f aca="false">IFERROR(INDEX(종합!W$3:W$501,MATCH(ROW()-2,종합!$AD$3:$AD$501,0))&amp;"","")</f>
        <v>차장/기획팀</v>
      </c>
      <c r="X7" s="21" t="str">
        <f aca="false">IFERROR(INDEX(종합!X$3:X$501,MATCH(ROW()-2,종합!$AD$3:$AD$501,0))&amp;"","")</f>
        <v>02-761-1060</v>
      </c>
      <c r="Y7" s="21" t="str">
        <f aca="false">IFERROR(INDEX(종합!Y$3:Y$501,MATCH(ROW()-2,종합!$AD$3:$AD$501,0))&amp;"","")</f>
        <v>hjyoo@opendid.org</v>
      </c>
      <c r="Z7" s="21" t="str">
        <f aca="false">IFERROR(INDEX(종합!Z$3:Z$501,MATCH(ROW()-2,종합!$AD$3:$AD$501,0))&amp;"","")</f>
        <v>010-3715-8070</v>
      </c>
      <c r="AA7" s="23" t="str">
        <f aca="false">IFERROR(INDEX(종합!AA$3:AA$501,MATCH(ROW()-2,종합!$AD$3:$AD$501,0))&amp;"","")</f>
        <v/>
      </c>
    </row>
    <row r="8" customFormat="false" ht="47.25" hidden="false" customHeight="true" outlineLevel="0" collapsed="false">
      <c r="A8" s="18" t="n">
        <f aca="false">IF(B8="","",ROW()-2)</f>
        <v>6</v>
      </c>
      <c r="B8" s="18" t="str">
        <f aca="false">IFERROR(INDEX(종합!B$3:B$501,MATCH(ROW()-2,종합!$AD$3:$AD$501,0))&amp;"","")</f>
        <v>주식회사 시넥스</v>
      </c>
      <c r="C8" s="18" t="str">
        <f aca="false">IFERROR(INDEX(종합!C$3:C$501,MATCH(ROW()-2,종합!$AD$3:$AD$501,0))&amp;"","")</f>
        <v>O</v>
      </c>
      <c r="D8" s="18" t="str">
        <f aca="false">IFERROR(INDEX(종합!D$3:D$501,MATCH(ROW()-2,종합!$AD$3:$AD$501,0))&amp;"","")</f>
        <v>O</v>
      </c>
      <c r="E8" s="18" t="str">
        <f aca="false">IFERROR(INDEX(종합!E$3:E$501,MATCH(ROW()-2,종합!$AD$3:$AD$501,0))&amp;"","")</f>
        <v>O</v>
      </c>
      <c r="F8" s="18" t="str">
        <f aca="false">IFERROR(INDEX(종합!F$3:F$501,MATCH(ROW()-2,종합!$AD$3:$AD$501,0))&amp;"","")</f>
        <v/>
      </c>
      <c r="G8" s="18" t="str">
        <f aca="false">IFERROR(INDEX(종합!G$3:G$501,MATCH(ROW()-2,종합!$AD$3:$AD$501,0))&amp;"","")</f>
        <v>중소기업</v>
      </c>
      <c r="H8" s="21" t="str">
        <f aca="false">IFERROR(INDEX(종합!H$3:H$501,MATCH(ROW()-2,종합!$AD$3:$AD$501,0))&amp;"","")</f>
        <v>744-87-03807</v>
      </c>
      <c r="I8" s="21" t="str">
        <f aca="false">IFERROR(INDEX(종합!I$3:I$501,MATCH(ROW()-2,종합!$AD$3:$AD$501,0))&amp;"","")</f>
        <v>이대은</v>
      </c>
      <c r="J8" s="21" t="str">
        <f aca="false">IFERROR(INDEX(종합!J$3:J$501,MATCH(ROW()-2,종합!$AD$3:$AD$501,0))&amp;"","")</f>
        <v>010-2450-0854</v>
      </c>
      <c r="K8" s="21" t="str">
        <f aca="false">IFERROR(INDEX(종합!K$3:K$501,MATCH(ROW()-2,종합!$AD$3:$AD$501,0))&amp;"","")</f>
        <v>https://synnex.kr/</v>
      </c>
      <c r="L8" s="21" t="str">
        <f aca="false">IFERROR(INDEX(종합!L$3:L$501,MATCH(ROW()-2,종합!$AD$3:$AD$501,0))&amp;"","")</f>
        <v/>
      </c>
      <c r="M8" s="21" t="str">
        <f aca="false">IFERROR(INDEX(종합!M$3:M$501,MATCH(ROW()-2,종합!$AD$3:$AD$501,0))&amp;"","")</f>
        <v>서울시 강남구 논현로 10길 30, 505-J11호</v>
      </c>
      <c r="N8" s="25" t="str">
        <f aca="false">IFERROR(INDEX(종합!N$3:N$501,MATCH(ROW()-2,종합!$AD$3:$AD$501,0))&amp;"","")</f>
        <v>에듀테크 / AI 교육용 솔루션(AI co-Learner) / 개인 맞춤형 AI 역량강화 솔루션</v>
      </c>
      <c r="O8" s="21" t="str">
        <f aca="false">IFERROR(INDEX(종합!O$3:O$501,MATCH(ROW()-2,종합!$AD$3:$AD$501,0))&amp;"","")</f>
        <v>이대은</v>
      </c>
      <c r="P8" s="21" t="str">
        <f aca="false">IFERROR(INDEX(종합!P$3:P$501,MATCH(ROW()-2,종합!$AD$3:$AD$501,0))&amp;"","")</f>
        <v>임원실</v>
      </c>
      <c r="Q8" s="21" t="str">
        <f aca="false">IFERROR(INDEX(종합!Q$3:Q$501,MATCH(ROW()-2,종합!$AD$3:$AD$501,0))&amp;"","")</f>
        <v>대표이사</v>
      </c>
      <c r="R8" s="21" t="str">
        <f aca="false">IFERROR(INDEX(종합!R$3:R$501,MATCH(ROW()-2,종합!$AD$3:$AD$501,0))&amp;"","")</f>
        <v>010-2450-0854</v>
      </c>
      <c r="S8" s="21" t="str">
        <f aca="false">IFERROR(INDEX(종합!S$3:S$501,MATCH(ROW()-2,종합!$AD$3:$AD$501,0))&amp;"","")</f>
        <v>daeeun.lee@synnex.kr</v>
      </c>
      <c r="T8" s="21" t="str">
        <f aca="false">IFERROR(INDEX(종합!T$3:T$501,MATCH(ROW()-2,종합!$AD$3:$AD$501,0))&amp;"","")</f>
        <v>010-2450-0854</v>
      </c>
      <c r="U8" s="21" t="str">
        <f aca="false">IFERROR(INDEX(종합!U$3:U$501,MATCH(ROW()-2,종합!$AD$3:$AD$501,0))&amp;"","")</f>
        <v>이대은</v>
      </c>
      <c r="V8" s="21" t="str">
        <f aca="false">IFERROR(INDEX(종합!V$3:V$501,MATCH(ROW()-2,종합!$AD$3:$AD$501,0))&amp;"","")</f>
        <v>임원실</v>
      </c>
      <c r="W8" s="21" t="str">
        <f aca="false">IFERROR(INDEX(종합!W$3:W$501,MATCH(ROW()-2,종합!$AD$3:$AD$501,0))&amp;"","")</f>
        <v>대표이사</v>
      </c>
      <c r="X8" s="21" t="str">
        <f aca="false">IFERROR(INDEX(종합!X$3:X$501,MATCH(ROW()-2,종합!$AD$3:$AD$501,0))&amp;"","")</f>
        <v>010-2450-0854</v>
      </c>
      <c r="Y8" s="21" t="str">
        <f aca="false">IFERROR(INDEX(종합!Y$3:Y$501,MATCH(ROW()-2,종합!$AD$3:$AD$501,0))&amp;"","")</f>
        <v>daeeun.lee@synnex.kr</v>
      </c>
      <c r="Z8" s="21" t="str">
        <f aca="false">IFERROR(INDEX(종합!Z$3:Z$501,MATCH(ROW()-2,종합!$AD$3:$AD$501,0))&amp;"","")</f>
        <v>010-2450-0854</v>
      </c>
      <c r="AA8" s="23" t="str">
        <f aca="false">IFERROR(INDEX(종합!AA$3:AA$501,MATCH(ROW()-2,종합!$AD$3:$AD$501,0))&amp;"","")</f>
        <v/>
      </c>
    </row>
    <row r="9" customFormat="false" ht="33.75" hidden="false" customHeight="true" outlineLevel="0" collapsed="false">
      <c r="A9" s="18" t="n">
        <f aca="false">IF(B9="","",ROW()-2)</f>
        <v>7</v>
      </c>
      <c r="B9" s="18" t="str">
        <f aca="false">IFERROR(INDEX(종합!B$3:B$501,MATCH(ROW()-2,종합!$AD$3:$AD$501,0))&amp;"","")</f>
        <v>(주) 에이아이웍스</v>
      </c>
      <c r="C9" s="18" t="str">
        <f aca="false">IFERROR(INDEX(종합!C$3:C$501,MATCH(ROW()-2,종합!$AD$3:$AD$501,0))&amp;"","")</f>
        <v>O</v>
      </c>
      <c r="D9" s="18" t="str">
        <f aca="false">IFERROR(INDEX(종합!D$3:D$501,MATCH(ROW()-2,종합!$AD$3:$AD$501,0))&amp;"","")</f>
        <v>O</v>
      </c>
      <c r="E9" s="18" t="str">
        <f aca="false">IFERROR(INDEX(종합!E$3:E$501,MATCH(ROW()-2,종합!$AD$3:$AD$501,0))&amp;"","")</f>
        <v>O</v>
      </c>
      <c r="F9" s="18" t="str">
        <f aca="false">IFERROR(INDEX(종합!F$3:F$501,MATCH(ROW()-2,종합!$AD$3:$AD$501,0))&amp;"","")</f>
        <v>O</v>
      </c>
      <c r="G9" s="18" t="str">
        <f aca="false">IFERROR(INDEX(종합!G$3:G$501,MATCH(ROW()-2,종합!$AD$3:$AD$501,0))&amp;"","")</f>
        <v>중소기업</v>
      </c>
      <c r="H9" s="21" t="str">
        <f aca="false">IFERROR(INDEX(종합!H$3:H$501,MATCH(ROW()-2,종합!$AD$3:$AD$501,0))&amp;"","")</f>
        <v>517-88-00087</v>
      </c>
      <c r="I9" s="21" t="str">
        <f aca="false">IFERROR(INDEX(종합!I$3:I$501,MATCH(ROW()-2,종합!$AD$3:$AD$501,0))&amp;"","")</f>
        <v>윤석원</v>
      </c>
      <c r="J9" s="21" t="str">
        <f aca="false">IFERROR(INDEX(종합!J$3:J$501,MATCH(ROW()-2,종합!$AD$3:$AD$501,0))&amp;"","")</f>
        <v>02-423-5178</v>
      </c>
      <c r="K9" s="21" t="str">
        <f aca="false">IFERROR(INDEX(종합!K$3:K$501,MATCH(ROW()-2,종합!$AD$3:$AD$501,0))&amp;"","")</f>
        <v>https://aiworkx.ai/</v>
      </c>
      <c r="L9" s="21" t="str">
        <f aca="false">IFERROR(INDEX(종합!L$3:L$501,MATCH(ROW()-2,종합!$AD$3:$AD$501,0))&amp;"","")</f>
        <v>fireashedsoul@gmail.com</v>
      </c>
      <c r="M9" s="21" t="str">
        <f aca="false">IFERROR(INDEX(종합!M$3:M$501,MATCH(ROW()-2,종합!$AD$3:$AD$501,0))&amp;"","")</f>
        <v>경기도 화성시 삼성1로5길 6, 813호·814호 (석우동, 원희동탄캐슬)</v>
      </c>
      <c r="N9" s="25" t="str">
        <f aca="false">IFERROR(INDEX(종합!N$3:N$501,MATCH(ROW()-2,종합!$AD$3:$AD$501,0))&amp;"","")</f>
        <v>AI Agent 개발 및 검증 서비스</v>
      </c>
      <c r="O9" s="21" t="str">
        <f aca="false">IFERROR(INDEX(종합!O$3:O$501,MATCH(ROW()-2,종합!$AD$3:$AD$501,0))&amp;"","")</f>
        <v>김형복</v>
      </c>
      <c r="P9" s="21" t="str">
        <f aca="false">IFERROR(INDEX(종합!P$3:P$501,MATCH(ROW()-2,종합!$AD$3:$AD$501,0))&amp;"","")</f>
        <v>AI 개발본부</v>
      </c>
      <c r="Q9" s="21" t="str">
        <f aca="false">IFERROR(INDEX(종합!Q$3:Q$501,MATCH(ROW()-2,종합!$AD$3:$AD$501,0))&amp;"","")</f>
        <v>이사 / 본부장</v>
      </c>
      <c r="R9" s="21" t="str">
        <f aca="false">IFERROR(INDEX(종합!R$3:R$501,MATCH(ROW()-2,종합!$AD$3:$AD$501,0))&amp;"","")</f>
        <v>02-423-5178</v>
      </c>
      <c r="S9" s="21" t="str">
        <f aca="false">IFERROR(INDEX(종합!S$3:S$501,MATCH(ROW()-2,종합!$AD$3:$AD$501,0))&amp;"","")</f>
        <v>kimhyeongbok@aiworkx.ai</v>
      </c>
      <c r="T9" s="21" t="str">
        <f aca="false">IFERROR(INDEX(종합!T$3:T$501,MATCH(ROW()-2,종합!$AD$3:$AD$501,0))&amp;"","")</f>
        <v>010-9102-8135</v>
      </c>
      <c r="U9" s="21" t="str">
        <f aca="false">IFERROR(INDEX(종합!U$3:U$501,MATCH(ROW()-2,종합!$AD$3:$AD$501,0))&amp;"","")</f>
        <v>안상훈</v>
      </c>
      <c r="V9" s="21" t="str">
        <f aca="false">IFERROR(INDEX(종합!V$3:V$501,MATCH(ROW()-2,종합!$AD$3:$AD$501,0))&amp;"","")</f>
        <v>AI 개발본부</v>
      </c>
      <c r="W9" s="21" t="str">
        <f aca="false">IFERROR(INDEX(종합!W$3:W$501,MATCH(ROW()-2,종합!$AD$3:$AD$501,0))&amp;"","")</f>
        <v>책임연구원 / 팀장</v>
      </c>
      <c r="X9" s="21" t="str">
        <f aca="false">IFERROR(INDEX(종합!X$3:X$501,MATCH(ROW()-2,종합!$AD$3:$AD$501,0))&amp;"","")</f>
        <v>02-423-5178</v>
      </c>
      <c r="Y9" s="21" t="str">
        <f aca="false">IFERROR(INDEX(종합!Y$3:Y$501,MATCH(ROW()-2,종합!$AD$3:$AD$501,0))&amp;"","")</f>
        <v>shahn@aiworkx.ai</v>
      </c>
      <c r="Z9" s="21" t="str">
        <f aca="false">IFERROR(INDEX(종합!Z$3:Z$501,MATCH(ROW()-2,종합!$AD$3:$AD$501,0))&amp;"","")</f>
        <v>010-4720-7721</v>
      </c>
      <c r="AA9" s="23" t="str">
        <f aca="false">IFERROR(INDEX(종합!AA$3:AA$501,MATCH(ROW()-2,종합!$AD$3:$AD$501,0))&amp;"","")</f>
        <v/>
      </c>
    </row>
    <row r="10" customFormat="false" ht="60.75" hidden="false" customHeight="true" outlineLevel="0" collapsed="false">
      <c r="A10" s="18" t="n">
        <f aca="false">IF(B10="","",ROW()-2)</f>
        <v>8</v>
      </c>
      <c r="B10" s="18" t="str">
        <f aca="false">IFERROR(INDEX(종합!B$3:B$501,MATCH(ROW()-2,종합!$AD$3:$AD$501,0))&amp;"","")</f>
        <v>알서포트 주식회사</v>
      </c>
      <c r="C10" s="18" t="str">
        <f aca="false">IFERROR(INDEX(종합!C$3:C$501,MATCH(ROW()-2,종합!$AD$3:$AD$501,0))&amp;"","")</f>
        <v>O</v>
      </c>
      <c r="D10" s="18" t="str">
        <f aca="false">IFERROR(INDEX(종합!D$3:D$501,MATCH(ROW()-2,종합!$AD$3:$AD$501,0))&amp;"","")</f>
        <v>O</v>
      </c>
      <c r="E10" s="18" t="str">
        <f aca="false">IFERROR(INDEX(종합!E$3:E$501,MATCH(ROW()-2,종합!$AD$3:$AD$501,0))&amp;"","")</f>
        <v>O</v>
      </c>
      <c r="F10" s="18" t="str">
        <f aca="false">IFERROR(INDEX(종합!F$3:F$501,MATCH(ROW()-2,종합!$AD$3:$AD$501,0))&amp;"","")</f>
        <v>O</v>
      </c>
      <c r="G10" s="18" t="str">
        <f aca="false">IFERROR(INDEX(종합!G$3:G$501,MATCH(ROW()-2,종합!$AD$3:$AD$501,0))&amp;"","")</f>
        <v>중소기업</v>
      </c>
      <c r="H10" s="21" t="str">
        <f aca="false">IFERROR(INDEX(종합!H$3:H$501,MATCH(ROW()-2,종합!$AD$3:$AD$501,0))&amp;"","")</f>
        <v>114-86-82265</v>
      </c>
      <c r="I10" s="21" t="str">
        <f aca="false">IFERROR(INDEX(종합!I$3:I$501,MATCH(ROW()-2,종합!$AD$3:$AD$501,0))&amp;"","")</f>
        <v>서형수</v>
      </c>
      <c r="J10" s="21" t="str">
        <f aca="false">IFERROR(INDEX(종합!J$3:J$501,MATCH(ROW()-2,종합!$AD$3:$AD$501,0))&amp;"","")</f>
        <v>070-7011-3900</v>
      </c>
      <c r="K10" s="21" t="str">
        <f aca="false">IFERROR(INDEX(종합!K$3:K$501,MATCH(ROW()-2,종합!$AD$3:$AD$501,0))&amp;"","")</f>
        <v>https://www.rsupport.com/ko-kr/</v>
      </c>
      <c r="L10" s="21" t="str">
        <f aca="false">IFERROR(INDEX(종합!L$3:L$501,MATCH(ROW()-2,종합!$AD$3:$AD$501,0))&amp;"","")</f>
        <v>donghyung.shin@gmail.com</v>
      </c>
      <c r="M10" s="21" t="str">
        <f aca="false">IFERROR(INDEX(종합!M$3:M$501,MATCH(ROW()-2,종합!$AD$3:$AD$501,0))&amp;"","")</f>
        <v>서울특별시 강동구 고덕비즈밸리로2가길 12 (고덕동)</v>
      </c>
      <c r="N10" s="25" t="str">
        <f aca="false">IFERROR(INDEX(종합!N$3:N$501,MATCH(ROW()-2,종합!$AD$3:$AD$501,0))&amp;"","")</f>
        <v>AI 리포(AI:REPOTO) 및 AI Agents</v>
      </c>
      <c r="O10" s="21" t="str">
        <f aca="false">IFERROR(INDEX(종합!O$3:O$501,MATCH(ROW()-2,종합!$AD$3:$AD$501,0))&amp;"","")</f>
        <v>신동형</v>
      </c>
      <c r="P10" s="21" t="str">
        <f aca="false">IFERROR(INDEX(종합!P$3:P$501,MATCH(ROW()-2,종합!$AD$3:$AD$501,0))&amp;"","")</f>
        <v>전략기획팀</v>
      </c>
      <c r="Q10" s="21" t="str">
        <f aca="false">IFERROR(INDEX(종합!Q$3:Q$501,MATCH(ROW()-2,종합!$AD$3:$AD$501,0))&amp;"","")</f>
        <v>CSO</v>
      </c>
      <c r="R10" s="21" t="str">
        <f aca="false">IFERROR(INDEX(종합!R$3:R$501,MATCH(ROW()-2,종합!$AD$3:$AD$501,0))&amp;"","")</f>
        <v>010-2202-8761</v>
      </c>
      <c r="S10" s="21" t="str">
        <f aca="false">IFERROR(INDEX(종합!S$3:S$501,MATCH(ROW()-2,종합!$AD$3:$AD$501,0))&amp;"","")</f>
        <v>dhshin@rsupport.com</v>
      </c>
      <c r="T10" s="21" t="str">
        <f aca="false">IFERROR(INDEX(종합!T$3:T$501,MATCH(ROW()-2,종합!$AD$3:$AD$501,0))&amp;"","")</f>
        <v>010-2202-8761</v>
      </c>
      <c r="U10" s="21" t="str">
        <f aca="false">IFERROR(INDEX(종합!U$3:U$501,MATCH(ROW()-2,종합!$AD$3:$AD$501,0))&amp;"","")</f>
        <v>하승호</v>
      </c>
      <c r="V10" s="21" t="str">
        <f aca="false">IFERROR(INDEX(종합!V$3:V$501,MATCH(ROW()-2,종합!$AD$3:$AD$501,0))&amp;"","")</f>
        <v>연구기획팀</v>
      </c>
      <c r="W10" s="21" t="str">
        <f aca="false">IFERROR(INDEX(종합!W$3:W$501,MATCH(ROW()-2,종합!$AD$3:$AD$501,0))&amp;"","")</f>
        <v>책임</v>
      </c>
      <c r="X10" s="21" t="str">
        <f aca="false">IFERROR(INDEX(종합!X$3:X$501,MATCH(ROW()-2,종합!$AD$3:$AD$501,0))&amp;"","")</f>
        <v>010-4142-1220</v>
      </c>
      <c r="Y10" s="21" t="str">
        <f aca="false">IFERROR(INDEX(종합!Y$3:Y$501,MATCH(ROW()-2,종합!$AD$3:$AD$501,0))&amp;"","")</f>
        <v>shha@rsupport.com</v>
      </c>
      <c r="Z10" s="21" t="str">
        <f aca="false">IFERROR(INDEX(종합!Z$3:Z$501,MATCH(ROW()-2,종합!$AD$3:$AD$501,0))&amp;"","")</f>
        <v>010-4142-1220</v>
      </c>
      <c r="AA10" s="23" t="str">
        <f aca="false">IFERROR(INDEX(종합!AA$3:AA$501,MATCH(ROW()-2,종합!$AD$3:$AD$501,0))&amp;"","")</f>
        <v/>
      </c>
    </row>
    <row r="11" customFormat="false" ht="33.75" hidden="false" customHeight="true" outlineLevel="0" collapsed="false">
      <c r="A11" s="18" t="n">
        <f aca="false">IF(B11="","",ROW()-2)</f>
        <v>9</v>
      </c>
      <c r="B11" s="18" t="str">
        <f aca="false">IFERROR(INDEX(종합!B$3:B$501,MATCH(ROW()-2,종합!$AD$3:$AD$501,0))&amp;"","")</f>
        <v>디밀리언</v>
      </c>
      <c r="C11" s="18" t="str">
        <f aca="false">IFERROR(INDEX(종합!C$3:C$501,MATCH(ROW()-2,종합!$AD$3:$AD$501,0))&amp;"","")</f>
        <v>O</v>
      </c>
      <c r="D11" s="18" t="str">
        <f aca="false">IFERROR(INDEX(종합!D$3:D$501,MATCH(ROW()-2,종합!$AD$3:$AD$501,0))&amp;"","")</f>
        <v>O</v>
      </c>
      <c r="E11" s="18" t="str">
        <f aca="false">IFERROR(INDEX(종합!E$3:E$501,MATCH(ROW()-2,종합!$AD$3:$AD$501,0))&amp;"","")</f>
        <v>O</v>
      </c>
      <c r="F11" s="18" t="str">
        <f aca="false">IFERROR(INDEX(종합!F$3:F$501,MATCH(ROW()-2,종합!$AD$3:$AD$501,0))&amp;"","")</f>
        <v/>
      </c>
      <c r="G11" s="18" t="str">
        <f aca="false">IFERROR(INDEX(종합!G$3:G$501,MATCH(ROW()-2,종합!$AD$3:$AD$501,0))&amp;"","")</f>
        <v>중소기업</v>
      </c>
      <c r="H11" s="21" t="str">
        <f aca="false">IFERROR(INDEX(종합!H$3:H$501,MATCH(ROW()-2,종합!$AD$3:$AD$501,0))&amp;"","")</f>
        <v>704-87-02815</v>
      </c>
      <c r="I11" s="21" t="str">
        <f aca="false">IFERROR(INDEX(종합!I$3:I$501,MATCH(ROW()-2,종합!$AD$3:$AD$501,0))&amp;"","")</f>
        <v>한요한</v>
      </c>
      <c r="J11" s="21" t="str">
        <f aca="false">IFERROR(INDEX(종합!J$3:J$501,MATCH(ROW()-2,종합!$AD$3:$AD$501,0))&amp;"","")</f>
        <v>02-6914-6560</v>
      </c>
      <c r="K11" s="21" t="str">
        <f aca="false">IFERROR(INDEX(종합!K$3:K$501,MATCH(ROW()-2,종합!$AD$3:$AD$501,0))&amp;"","")</f>
        <v>www.dmillion.co.kr</v>
      </c>
      <c r="L11" s="21" t="str">
        <f aca="false">IFERROR(INDEX(종합!L$3:L$501,MATCH(ROW()-2,종합!$AD$3:$AD$501,0))&amp;"","")</f>
        <v>john@dmillions.co.kr</v>
      </c>
      <c r="M11" s="21" t="str">
        <f aca="false">IFERROR(INDEX(종합!M$3:M$501,MATCH(ROW()-2,종합!$AD$3:$AD$501,0))&amp;"","")</f>
        <v>경기도 광명시 일직로 43, GIDC A동 1612, 1613호</v>
      </c>
      <c r="N11" s="25" t="str">
        <f aca="false">IFERROR(INDEX(종합!N$3:N$501,MATCH(ROW()-2,종합!$AD$3:$AD$501,0))&amp;"","")</f>
        <v>사출성형공정 특화 AI Agent 자율운영솔루션</v>
      </c>
      <c r="O11" s="21" t="str">
        <f aca="false">IFERROR(INDEX(종합!O$3:O$501,MATCH(ROW()-2,종합!$AD$3:$AD$501,0))&amp;"","")</f>
        <v>한요한</v>
      </c>
      <c r="P11" s="21" t="str">
        <f aca="false">IFERROR(INDEX(종합!P$3:P$501,MATCH(ROW()-2,종합!$AD$3:$AD$501,0))&amp;"","")</f>
        <v>경영본부</v>
      </c>
      <c r="Q11" s="21" t="str">
        <f aca="false">IFERROR(INDEX(종합!Q$3:Q$501,MATCH(ROW()-2,종합!$AD$3:$AD$501,0))&amp;"","")</f>
        <v>대표이사</v>
      </c>
      <c r="R11" s="21" t="str">
        <f aca="false">IFERROR(INDEX(종합!R$3:R$501,MATCH(ROW()-2,종합!$AD$3:$AD$501,0))&amp;"","")</f>
        <v>010-5514-4279</v>
      </c>
      <c r="S11" s="21" t="str">
        <f aca="false">IFERROR(INDEX(종합!S$3:S$501,MATCH(ROW()-2,종합!$AD$3:$AD$501,0))&amp;"","")</f>
        <v>john@dmillions.co.kr</v>
      </c>
      <c r="T11" s="21" t="str">
        <f aca="false">IFERROR(INDEX(종합!T$3:T$501,MATCH(ROW()-2,종합!$AD$3:$AD$501,0))&amp;"","")</f>
        <v>010-5514-4279</v>
      </c>
      <c r="U11" s="21" t="str">
        <f aca="false">IFERROR(INDEX(종합!U$3:U$501,MATCH(ROW()-2,종합!$AD$3:$AD$501,0))&amp;"","")</f>
        <v>김웅섭</v>
      </c>
      <c r="V11" s="21" t="str">
        <f aca="false">IFERROR(INDEX(종합!V$3:V$501,MATCH(ROW()-2,종합!$AD$3:$AD$501,0))&amp;"","")</f>
        <v>AX사업본부</v>
      </c>
      <c r="W11" s="21" t="str">
        <f aca="false">IFERROR(INDEX(종합!W$3:W$501,MATCH(ROW()-2,종합!$AD$3:$AD$501,0))&amp;"","")</f>
        <v>이사</v>
      </c>
      <c r="X11" s="21" t="str">
        <f aca="false">IFERROR(INDEX(종합!X$3:X$501,MATCH(ROW()-2,종합!$AD$3:$AD$501,0))&amp;"","")</f>
        <v>02-6914-6560</v>
      </c>
      <c r="Y11" s="21" t="str">
        <f aca="false">IFERROR(INDEX(종합!Y$3:Y$501,MATCH(ROW()-2,종합!$AD$3:$AD$501,0))&amp;"","")</f>
        <v>uskim@dmillions.co.kr</v>
      </c>
      <c r="Z11" s="21" t="str">
        <f aca="false">IFERROR(INDEX(종합!Z$3:Z$501,MATCH(ROW()-2,종합!$AD$3:$AD$501,0))&amp;"","")</f>
        <v>010-2375-9958</v>
      </c>
      <c r="AA11" s="23" t="str">
        <f aca="false">IFERROR(INDEX(종합!AA$3:AA$501,MATCH(ROW()-2,종합!$AD$3:$AD$501,0))&amp;"","")</f>
        <v/>
      </c>
    </row>
    <row r="12" customFormat="false" ht="33.75" hidden="false" customHeight="true" outlineLevel="0" collapsed="false">
      <c r="A12" s="18" t="n">
        <f aca="false">IF(B12="","",ROW()-2)</f>
        <v>10</v>
      </c>
      <c r="B12" s="18" t="str">
        <f aca="false">IFERROR(INDEX(종합!B$3:B$501,MATCH(ROW()-2,종합!$AD$3:$AD$501,0))&amp;"","")</f>
        <v>(주)브로드웨이브</v>
      </c>
      <c r="C12" s="18" t="str">
        <f aca="false">IFERROR(INDEX(종합!C$3:C$501,MATCH(ROW()-2,종합!$AD$3:$AD$501,0))&amp;"","")</f>
        <v>O</v>
      </c>
      <c r="D12" s="18" t="str">
        <f aca="false">IFERROR(INDEX(종합!D$3:D$501,MATCH(ROW()-2,종합!$AD$3:$AD$501,0))&amp;"","")</f>
        <v>O</v>
      </c>
      <c r="E12" s="18" t="str">
        <f aca="false">IFERROR(INDEX(종합!E$3:E$501,MATCH(ROW()-2,종합!$AD$3:$AD$501,0))&amp;"","")</f>
        <v>O</v>
      </c>
      <c r="F12" s="18" t="str">
        <f aca="false">IFERROR(INDEX(종합!F$3:F$501,MATCH(ROW()-2,종합!$AD$3:$AD$501,0))&amp;"","")</f>
        <v/>
      </c>
      <c r="G12" s="18" t="str">
        <f aca="false">IFERROR(INDEX(종합!G$3:G$501,MATCH(ROW()-2,종합!$AD$3:$AD$501,0))&amp;"","")</f>
        <v>중소기업</v>
      </c>
      <c r="H12" s="21" t="str">
        <f aca="false">IFERROR(INDEX(종합!H$3:H$501,MATCH(ROW()-2,종합!$AD$3:$AD$501,0))&amp;"","")</f>
        <v>105-86-66766</v>
      </c>
      <c r="I12" s="21" t="str">
        <f aca="false">IFERROR(INDEX(종합!I$3:I$501,MATCH(ROW()-2,종합!$AD$3:$AD$501,0))&amp;"","")</f>
        <v>이태진</v>
      </c>
      <c r="J12" s="21" t="str">
        <f aca="false">IFERROR(INDEX(종합!J$3:J$501,MATCH(ROW()-2,종합!$AD$3:$AD$501,0))&amp;"","")</f>
        <v>02-395-5651</v>
      </c>
      <c r="K12" s="21" t="str">
        <f aca="false">IFERROR(INDEX(종합!K$3:K$501,MATCH(ROW()-2,종합!$AD$3:$AD$501,0))&amp;"","")</f>
        <v>www.broadwave.co.kr</v>
      </c>
      <c r="L12" s="21" t="str">
        <f aca="false">IFERROR(INDEX(종합!L$3:L$501,MATCH(ROW()-2,종합!$AD$3:$AD$501,0))&amp;"","")</f>
        <v>broadwave.tj@gmail.com</v>
      </c>
      <c r="M12" s="21" t="str">
        <f aca="false">IFERROR(INDEX(종합!M$3:M$501,MATCH(ROW()-2,종합!$AD$3:$AD$501,0))&amp;"","")</f>
        <v>서울시 강서구 마곡중앙로 161-8 두산더랜드파크 B동 620호</v>
      </c>
      <c r="N12" s="25" t="str">
        <f aca="false">IFERROR(INDEX(종합!N$3:N$501,MATCH(ROW()-2,종합!$AD$3:$AD$501,0))&amp;"","")</f>
        <v>AI기반 시설물 안전진단기술, 맨홀 수위 측정을 이용한 침수예측기술</v>
      </c>
      <c r="O12" s="21" t="str">
        <f aca="false">IFERROR(INDEX(종합!O$3:O$501,MATCH(ROW()-2,종합!$AD$3:$AD$501,0))&amp;"","")</f>
        <v>이태진</v>
      </c>
      <c r="P12" s="21" t="str">
        <f aca="false">IFERROR(INDEX(종합!P$3:P$501,MATCH(ROW()-2,종합!$AD$3:$AD$501,0))&amp;"","")</f>
        <v>대표이사</v>
      </c>
      <c r="Q12" s="21" t="str">
        <f aca="false">IFERROR(INDEX(종합!Q$3:Q$501,MATCH(ROW()-2,종합!$AD$3:$AD$501,0))&amp;"","")</f>
        <v>대표이사</v>
      </c>
      <c r="R12" s="21" t="str">
        <f aca="false">IFERROR(INDEX(종합!R$3:R$501,MATCH(ROW()-2,종합!$AD$3:$AD$501,0))&amp;"","")</f>
        <v>02-395-5651</v>
      </c>
      <c r="S12" s="21" t="str">
        <f aca="false">IFERROR(INDEX(종합!S$3:S$501,MATCH(ROW()-2,종합!$AD$3:$AD$501,0))&amp;"","")</f>
        <v>LTJ@Broadwave.co.kr</v>
      </c>
      <c r="T12" s="21" t="str">
        <f aca="false">IFERROR(INDEX(종합!T$3:T$501,MATCH(ROW()-2,종합!$AD$3:$AD$501,0))&amp;"","")</f>
        <v>010-8960-0651</v>
      </c>
      <c r="U12" s="21" t="str">
        <f aca="false">IFERROR(INDEX(종합!U$3:U$501,MATCH(ROW()-2,종합!$AD$3:$AD$501,0))&amp;"","")</f>
        <v>이광연</v>
      </c>
      <c r="V12" s="21" t="str">
        <f aca="false">IFERROR(INDEX(종합!V$3:V$501,MATCH(ROW()-2,종합!$AD$3:$AD$501,0))&amp;"","")</f>
        <v>사업개발팀</v>
      </c>
      <c r="W12" s="21" t="str">
        <f aca="false">IFERROR(INDEX(종합!W$3:W$501,MATCH(ROW()-2,종합!$AD$3:$AD$501,0))&amp;"","")</f>
        <v>팀장</v>
      </c>
      <c r="X12" s="21" t="str">
        <f aca="false">IFERROR(INDEX(종합!X$3:X$501,MATCH(ROW()-2,종합!$AD$3:$AD$501,0))&amp;"","")</f>
        <v>02-395-5651</v>
      </c>
      <c r="Y12" s="21" t="str">
        <f aca="false">IFERROR(INDEX(종합!Y$3:Y$501,MATCH(ROW()-2,종합!$AD$3:$AD$501,0))&amp;"","")</f>
        <v>sirdky@broadwave.co.kr</v>
      </c>
      <c r="Z12" s="21" t="str">
        <f aca="false">IFERROR(INDEX(종합!Z$3:Z$501,MATCH(ROW()-2,종합!$AD$3:$AD$501,0))&amp;"","")</f>
        <v>010-2357-2799</v>
      </c>
      <c r="AA12" s="23" t="str">
        <f aca="false">IFERROR(INDEX(종합!AA$3:AA$501,MATCH(ROW()-2,종합!$AD$3:$AD$501,0))&amp;"","")</f>
        <v/>
      </c>
    </row>
    <row r="13" customFormat="false" ht="33.75" hidden="false" customHeight="true" outlineLevel="0" collapsed="false">
      <c r="A13" s="18" t="n">
        <f aca="false">IF(B13="","",ROW()-2)</f>
        <v>11</v>
      </c>
      <c r="B13" s="18" t="str">
        <f aca="false">IFERROR(INDEX(종합!B$3:B$501,MATCH(ROW()-2,종합!$AD$3:$AD$501,0))&amp;"","")</f>
        <v>(주)나라지식정보</v>
      </c>
      <c r="C13" s="18" t="str">
        <f aca="false">IFERROR(INDEX(종합!C$3:C$501,MATCH(ROW()-2,종합!$AD$3:$AD$501,0))&amp;"","")</f>
        <v>O</v>
      </c>
      <c r="D13" s="18" t="str">
        <f aca="false">IFERROR(INDEX(종합!D$3:D$501,MATCH(ROW()-2,종합!$AD$3:$AD$501,0))&amp;"","")</f>
        <v/>
      </c>
      <c r="E13" s="18" t="str">
        <f aca="false">IFERROR(INDEX(종합!E$3:E$501,MATCH(ROW()-2,종합!$AD$3:$AD$501,0))&amp;"","")</f>
        <v>O</v>
      </c>
      <c r="F13" s="18" t="str">
        <f aca="false">IFERROR(INDEX(종합!F$3:F$501,MATCH(ROW()-2,종합!$AD$3:$AD$501,0))&amp;"","")</f>
        <v>O</v>
      </c>
      <c r="G13" s="18" t="str">
        <f aca="false">IFERROR(INDEX(종합!G$3:G$501,MATCH(ROW()-2,종합!$AD$3:$AD$501,0))&amp;"","")</f>
        <v>중소기업</v>
      </c>
      <c r="H13" s="21" t="str">
        <f aca="false">IFERROR(INDEX(종합!H$3:H$501,MATCH(ROW()-2,종합!$AD$3:$AD$501,0))&amp;"","")</f>
        <v>105-87-16808</v>
      </c>
      <c r="I13" s="21" t="str">
        <f aca="false">IFERROR(INDEX(종합!I$3:I$501,MATCH(ROW()-2,종합!$AD$3:$AD$501,0))&amp;"","")</f>
        <v>손영호</v>
      </c>
      <c r="J13" s="21" t="str">
        <f aca="false">IFERROR(INDEX(종합!J$3:J$501,MATCH(ROW()-2,종합!$AD$3:$AD$501,0))&amp;"","")</f>
        <v>02-3141-7644</v>
      </c>
      <c r="K13" s="21" t="str">
        <f aca="false">IFERROR(INDEX(종합!K$3:K$501,MATCH(ROW()-2,종합!$AD$3:$AD$501,0))&amp;"","")</f>
        <v>www.narainformation.com</v>
      </c>
      <c r="L13" s="21" t="str">
        <f aca="false">IFERROR(INDEX(종합!L$3:L$501,MATCH(ROW()-2,종합!$AD$3:$AD$501,0))&amp;"","")</f>
        <v>shinnanta88@gmail.com</v>
      </c>
      <c r="M13" s="21" t="str">
        <f aca="false">IFERROR(INDEX(종합!M$3:M$501,MATCH(ROW()-2,종합!$AD$3:$AD$501,0))&amp;"","")</f>
        <v>서울 종로구 삼봉로81, 409호(두산위브파빌리온)</v>
      </c>
      <c r="N13" s="25" t="str">
        <f aca="false">IFERROR(INDEX(종합!N$3:N$501,MATCH(ROW()-2,종합!$AD$3:$AD$501,0))&amp;"","")</f>
        <v>NARA OCR(비정형 강점 범용 OCR-RAG LLM), A Doc Cube(고문헌/훼손문서OCR). 주춧돌LM(근대문서 연구 AI Agent), NA-LLM(NA-LLM 민원처리 RAG, NA-LLM-REF vLLM 기반 자연어 지식 검색 시스템-근거제시 XAI), NARA READ VOICE(스마트 키보드.시각장애인 업무보조 스마트 기술 및 기기), Metaverse Blind(시각장애인 접근성지원 메타버스콘텐츠),NARA Detection AI(영상기반 쓰러짐 감지 AI)</v>
      </c>
      <c r="O13" s="21" t="str">
        <f aca="false">IFERROR(INDEX(종합!O$3:O$501,MATCH(ROW()-2,종합!$AD$3:$AD$501,0))&amp;"","")</f>
        <v>김소정</v>
      </c>
      <c r="P13" s="21" t="str">
        <f aca="false">IFERROR(INDEX(종합!P$3:P$501,MATCH(ROW()-2,종합!$AD$3:$AD$501,0))&amp;"","")</f>
        <v>인문인공지능연구소</v>
      </c>
      <c r="Q13" s="21" t="str">
        <f aca="false">IFERROR(INDEX(종합!Q$3:Q$501,MATCH(ROW()-2,종합!$AD$3:$AD$501,0))&amp;"","")</f>
        <v>소장</v>
      </c>
      <c r="R13" s="21" t="str">
        <f aca="false">IFERROR(INDEX(종합!R$3:R$501,MATCH(ROW()-2,종합!$AD$3:$AD$501,0))&amp;"","")</f>
        <v>02-3141-7644</v>
      </c>
      <c r="S13" s="21" t="str">
        <f aca="false">IFERROR(INDEX(종합!S$3:S$501,MATCH(ROW()-2,종합!$AD$3:$AD$501,0))&amp;"","")</f>
        <v>sojung.kim@narainformation.com</v>
      </c>
      <c r="T13" s="21" t="str">
        <f aca="false">IFERROR(INDEX(종합!T$3:T$501,MATCH(ROW()-2,종합!$AD$3:$AD$501,0))&amp;"","")</f>
        <v>010-4634-8773</v>
      </c>
      <c r="U13" s="21" t="str">
        <f aca="false">IFERROR(INDEX(종합!U$3:U$501,MATCH(ROW()-2,종합!$AD$3:$AD$501,0))&amp;"","")</f>
        <v>신난타</v>
      </c>
      <c r="V13" s="21" t="str">
        <f aca="false">IFERROR(INDEX(종합!V$3:V$501,MATCH(ROW()-2,종합!$AD$3:$AD$501,0))&amp;"","")</f>
        <v>경영기획실</v>
      </c>
      <c r="W13" s="21" t="str">
        <f aca="false">IFERROR(INDEX(종합!W$3:W$501,MATCH(ROW()-2,종합!$AD$3:$AD$501,0))&amp;"","")</f>
        <v>부장/브랜드혁신기술부장</v>
      </c>
      <c r="X13" s="21" t="str">
        <f aca="false">IFERROR(INDEX(종합!X$3:X$501,MATCH(ROW()-2,종합!$AD$3:$AD$501,0))&amp;"","")</f>
        <v>02-3141-7644</v>
      </c>
      <c r="Y13" s="21" t="str">
        <f aca="false">IFERROR(INDEX(종합!Y$3:Y$501,MATCH(ROW()-2,종합!$AD$3:$AD$501,0))&amp;"","")</f>
        <v>shinnanta88@narainformation.com</v>
      </c>
      <c r="Z13" s="21" t="str">
        <f aca="false">IFERROR(INDEX(종합!Z$3:Z$501,MATCH(ROW()-2,종합!$AD$3:$AD$501,0))&amp;"","")</f>
        <v>010-6289-5425</v>
      </c>
      <c r="AA13" s="23" t="str">
        <f aca="false">IFERROR(INDEX(종합!AA$3:AA$501,MATCH(ROW()-2,종합!$AD$3:$AD$501,0))&amp;"","")</f>
        <v/>
      </c>
    </row>
    <row r="14" customFormat="false" ht="33.75" hidden="false" customHeight="true" outlineLevel="0" collapsed="false">
      <c r="A14" s="18" t="n">
        <f aca="false">IF(B14="","",ROW()-2)</f>
        <v>12</v>
      </c>
      <c r="B14" s="18" t="str">
        <f aca="false">IFERROR(INDEX(종합!B$3:B$501,MATCH(ROW()-2,종합!$AD$3:$AD$501,0))&amp;"","")</f>
        <v>(주)시옷</v>
      </c>
      <c r="C14" s="18" t="str">
        <f aca="false">IFERROR(INDEX(종합!C$3:C$501,MATCH(ROW()-2,종합!$AD$3:$AD$501,0))&amp;"","")</f>
        <v>O</v>
      </c>
      <c r="D14" s="18" t="str">
        <f aca="false">IFERROR(INDEX(종합!D$3:D$501,MATCH(ROW()-2,종합!$AD$3:$AD$501,0))&amp;"","")</f>
        <v>O</v>
      </c>
      <c r="E14" s="18" t="str">
        <f aca="false">IFERROR(INDEX(종합!E$3:E$501,MATCH(ROW()-2,종합!$AD$3:$AD$501,0))&amp;"","")</f>
        <v>O</v>
      </c>
      <c r="F14" s="18" t="str">
        <f aca="false">IFERROR(INDEX(종합!F$3:F$501,MATCH(ROW()-2,종합!$AD$3:$AD$501,0))&amp;"","")</f>
        <v/>
      </c>
      <c r="G14" s="18" t="str">
        <f aca="false">IFERROR(INDEX(종합!G$3:G$501,MATCH(ROW()-2,종합!$AD$3:$AD$501,0))&amp;"","")</f>
        <v>중소기업</v>
      </c>
      <c r="H14" s="21" t="str">
        <f aca="false">IFERROR(INDEX(종합!H$3:H$501,MATCH(ROW()-2,종합!$AD$3:$AD$501,0))&amp;"","")</f>
        <v>264-81-47817</v>
      </c>
      <c r="I14" s="21" t="str">
        <f aca="false">IFERROR(INDEX(종합!I$3:I$501,MATCH(ROW()-2,종합!$AD$3:$AD$501,0))&amp;"","")</f>
        <v>박현주</v>
      </c>
      <c r="J14" s="21" t="str">
        <f aca="false">IFERROR(INDEX(종합!J$3:J$501,MATCH(ROW()-2,종합!$AD$3:$AD$501,0))&amp;"","")</f>
        <v>02-522-3107</v>
      </c>
      <c r="K14" s="21" t="str">
        <f aca="false">IFERROR(INDEX(종합!K$3:K$501,MATCH(ROW()-2,종합!$AD$3:$AD$501,0))&amp;"","")</f>
        <v>http://www.ciotsecurity.com</v>
      </c>
      <c r="L14" s="21" t="str">
        <f aca="false">IFERROR(INDEX(종합!L$3:L$501,MATCH(ROW()-2,종합!$AD$3:$AD$501,0))&amp;"","")</f>
        <v>susannapark106@gmail.com</v>
      </c>
      <c r="M14" s="21" t="str">
        <f aca="false">IFERROR(INDEX(종합!M$3:M$501,MATCH(ROW()-2,종합!$AD$3:$AD$501,0))&amp;"","")</f>
        <v>서울특별시 서초구 서초대로 74길 45, 엔데버빌딩 14층</v>
      </c>
      <c r="N14" s="25" t="str">
        <f aca="false">IFERROR(INDEX(종합!N$3:N$501,MATCH(ROW()-2,종합!$AD$3:$AD$501,0))&amp;"","")</f>
        <v>AI융합보안, 정보유출탐지솔루션</v>
      </c>
      <c r="O14" s="21" t="str">
        <f aca="false">IFERROR(INDEX(종합!O$3:O$501,MATCH(ROW()-2,종합!$AD$3:$AD$501,0))&amp;"","")</f>
        <v>박현주</v>
      </c>
      <c r="P14" s="21" t="str">
        <f aca="false">IFERROR(INDEX(종합!P$3:P$501,MATCH(ROW()-2,종합!$AD$3:$AD$501,0))&amp;"","")</f>
        <v>임원실</v>
      </c>
      <c r="Q14" s="21" t="str">
        <f aca="false">IFERROR(INDEX(종합!Q$3:Q$501,MATCH(ROW()-2,종합!$AD$3:$AD$501,0))&amp;"","")</f>
        <v>대표이사</v>
      </c>
      <c r="R14" s="21" t="str">
        <f aca="false">IFERROR(INDEX(종합!R$3:R$501,MATCH(ROW()-2,종합!$AD$3:$AD$501,0))&amp;"","")</f>
        <v>02-522-3107</v>
      </c>
      <c r="S14" s="21" t="str">
        <f aca="false">IFERROR(INDEX(종합!S$3:S$501,MATCH(ROW()-2,종합!$AD$3:$AD$501,0))&amp;"","")</f>
        <v>hjpark@ciotsecurity.com</v>
      </c>
      <c r="T14" s="21" t="str">
        <f aca="false">IFERROR(INDEX(종합!T$3:T$501,MATCH(ROW()-2,종합!$AD$3:$AD$501,0))&amp;"","")</f>
        <v>010-8645-5975</v>
      </c>
      <c r="U14" s="21" t="str">
        <f aca="false">IFERROR(INDEX(종합!U$3:U$501,MATCH(ROW()-2,종합!$AD$3:$AD$501,0))&amp;"","")</f>
        <v>이길용</v>
      </c>
      <c r="V14" s="21" t="str">
        <f aca="false">IFERROR(INDEX(종합!V$3:V$501,MATCH(ROW()-2,종합!$AD$3:$AD$501,0))&amp;"","")</f>
        <v>전략기획사업부</v>
      </c>
      <c r="W14" s="21" t="str">
        <f aca="false">IFERROR(INDEX(종합!W$3:W$501,MATCH(ROW()-2,종합!$AD$3:$AD$501,0))&amp;"","")</f>
        <v>상무</v>
      </c>
      <c r="X14" s="21" t="str">
        <f aca="false">IFERROR(INDEX(종합!X$3:X$501,MATCH(ROW()-2,종합!$AD$3:$AD$501,0))&amp;"","")</f>
        <v>02-522-3107</v>
      </c>
      <c r="Y14" s="21" t="str">
        <f aca="false">IFERROR(INDEX(종합!Y$3:Y$501,MATCH(ROW()-2,종합!$AD$3:$AD$501,0))&amp;"","")</f>
        <v>gylee@ciotsecurity.com</v>
      </c>
      <c r="Z14" s="21" t="str">
        <f aca="false">IFERROR(INDEX(종합!Z$3:Z$501,MATCH(ROW()-2,종합!$AD$3:$AD$501,0))&amp;"","")</f>
        <v>010-8679-0020</v>
      </c>
      <c r="AA14" s="23" t="str">
        <f aca="false">IFERROR(INDEX(종합!AA$3:AA$501,MATCH(ROW()-2,종합!$AD$3:$AD$501,0))&amp;"","")</f>
        <v/>
      </c>
    </row>
    <row r="15" customFormat="false" ht="22.5" hidden="false" customHeight="true" outlineLevel="0" collapsed="false">
      <c r="A15" s="18" t="n">
        <f aca="false">IF(B15="","",ROW()-2)</f>
        <v>13</v>
      </c>
      <c r="B15" s="18" t="str">
        <f aca="false">IFERROR(INDEX(종합!B$3:B$501,MATCH(ROW()-2,종합!$AD$3:$AD$501,0))&amp;"","")</f>
        <v>클로아이(주)</v>
      </c>
      <c r="C15" s="18" t="str">
        <f aca="false">IFERROR(INDEX(종합!C$3:C$501,MATCH(ROW()-2,종합!$AD$3:$AD$501,0))&amp;"","")</f>
        <v>O</v>
      </c>
      <c r="D15" s="18" t="str">
        <f aca="false">IFERROR(INDEX(종합!D$3:D$501,MATCH(ROW()-2,종합!$AD$3:$AD$501,0))&amp;"","")</f>
        <v>O</v>
      </c>
      <c r="E15" s="18" t="str">
        <f aca="false">IFERROR(INDEX(종합!E$3:E$501,MATCH(ROW()-2,종합!$AD$3:$AD$501,0))&amp;"","")</f>
        <v>O</v>
      </c>
      <c r="F15" s="18" t="str">
        <f aca="false">IFERROR(INDEX(종합!F$3:F$501,MATCH(ROW()-2,종합!$AD$3:$AD$501,0))&amp;"","")</f>
        <v>O</v>
      </c>
      <c r="G15" s="18" t="str">
        <f aca="false">IFERROR(INDEX(종합!G$3:G$501,MATCH(ROW()-2,종합!$AD$3:$AD$501,0))&amp;"","")</f>
        <v>중소기업</v>
      </c>
      <c r="H15" s="21" t="str">
        <f aca="false">IFERROR(INDEX(종합!H$3:H$501,MATCH(ROW()-2,종합!$AD$3:$AD$501,0))&amp;"","")</f>
        <v>519-88-02650</v>
      </c>
      <c r="I15" s="21" t="str">
        <f aca="false">IFERROR(INDEX(종합!I$3:I$501,MATCH(ROW()-2,종합!$AD$3:$AD$501,0))&amp;"","")</f>
        <v>김성룡</v>
      </c>
      <c r="J15" s="21" t="str">
        <f aca="false">IFERROR(INDEX(종합!J$3:J$501,MATCH(ROW()-2,종합!$AD$3:$AD$501,0))&amp;"","")</f>
        <v>070-8095-9212</v>
      </c>
      <c r="K15" s="21" t="str">
        <f aca="false">IFERROR(INDEX(종합!K$3:K$501,MATCH(ROW()-2,종합!$AD$3:$AD$501,0))&amp;"","")</f>
        <v>http://www.cloai.co.kr</v>
      </c>
      <c r="L15" s="21" t="str">
        <f aca="false">IFERROR(INDEX(종합!L$3:L$501,MATCH(ROW()-2,종합!$AD$3:$AD$501,0))&amp;"","")</f>
        <v>sedragons@gmail.com</v>
      </c>
      <c r="M15" s="21" t="str">
        <f aca="false">IFERROR(INDEX(종합!M$3:M$501,MATCH(ROW()-2,종합!$AD$3:$AD$501,0))&amp;"","")</f>
        <v>서울시 강남구 테헤란로 34길14, 정인빌딩 401호</v>
      </c>
      <c r="N15" s="25" t="str">
        <f aca="false">IFERROR(INDEX(종합!N$3:N$501,MATCH(ROW()-2,종합!$AD$3:$AD$501,0))&amp;"","")</f>
        <v>AI 산업안전 도우미 LLM, 휴머노이드 로봇 행동인지 및 대화 시스템</v>
      </c>
      <c r="O15" s="21" t="str">
        <f aca="false">IFERROR(INDEX(종합!O$3:O$501,MATCH(ROW()-2,종합!$AD$3:$AD$501,0))&amp;"","")</f>
        <v>김성룡</v>
      </c>
      <c r="P15" s="21" t="str">
        <f aca="false">IFERROR(INDEX(종합!P$3:P$501,MATCH(ROW()-2,종합!$AD$3:$AD$501,0))&amp;"","")</f>
        <v>경영본부</v>
      </c>
      <c r="Q15" s="21" t="str">
        <f aca="false">IFERROR(INDEX(종합!Q$3:Q$501,MATCH(ROW()-2,종합!$AD$3:$AD$501,0))&amp;"","")</f>
        <v>CEO</v>
      </c>
      <c r="R15" s="21" t="str">
        <f aca="false">IFERROR(INDEX(종합!R$3:R$501,MATCH(ROW()-2,종합!$AD$3:$AD$501,0))&amp;"","")</f>
        <v>010-4880-9949</v>
      </c>
      <c r="S15" s="21" t="str">
        <f aca="false">IFERROR(INDEX(종합!S$3:S$501,MATCH(ROW()-2,종합!$AD$3:$AD$501,0))&amp;"","")</f>
        <v>cloai@cloai.co.kr</v>
      </c>
      <c r="T15" s="21" t="str">
        <f aca="false">IFERROR(INDEX(종합!T$3:T$501,MATCH(ROW()-2,종합!$AD$3:$AD$501,0))&amp;"","")</f>
        <v>010-4880-9949</v>
      </c>
      <c r="U15" s="21" t="str">
        <f aca="false">IFERROR(INDEX(종합!U$3:U$501,MATCH(ROW()-2,종합!$AD$3:$AD$501,0))&amp;"","")</f>
        <v>조세희</v>
      </c>
      <c r="V15" s="21" t="str">
        <f aca="false">IFERROR(INDEX(종합!V$3:V$501,MATCH(ROW()-2,종합!$AD$3:$AD$501,0))&amp;"","")</f>
        <v>AI사업부</v>
      </c>
      <c r="W15" s="21" t="str">
        <f aca="false">IFERROR(INDEX(종합!W$3:W$501,MATCH(ROW()-2,종합!$AD$3:$AD$501,0))&amp;"","")</f>
        <v>대리</v>
      </c>
      <c r="X15" s="21" t="str">
        <f aca="false">IFERROR(INDEX(종합!X$3:X$501,MATCH(ROW()-2,종합!$AD$3:$AD$501,0))&amp;"","")</f>
        <v>010-7338-9133</v>
      </c>
      <c r="Y15" s="21" t="str">
        <f aca="false">IFERROR(INDEX(종합!Y$3:Y$501,MATCH(ROW()-2,종합!$AD$3:$AD$501,0))&amp;"","")</f>
        <v>shjo@cloai.co.kr</v>
      </c>
      <c r="Z15" s="21" t="str">
        <f aca="false">IFERROR(INDEX(종합!Z$3:Z$501,MATCH(ROW()-2,종합!$AD$3:$AD$501,0))&amp;"","")</f>
        <v>010-7338-9133</v>
      </c>
      <c r="AA15" s="23" t="str">
        <f aca="false">IFERROR(INDEX(종합!AA$3:AA$501,MATCH(ROW()-2,종합!$AD$3:$AD$501,0))&amp;"","")</f>
        <v/>
      </c>
    </row>
    <row r="16" customFormat="false" ht="33.75" hidden="false" customHeight="true" outlineLevel="0" collapsed="false">
      <c r="A16" s="18" t="n">
        <f aca="false">IF(B16="","",ROW()-2)</f>
        <v>14</v>
      </c>
      <c r="B16" s="18" t="str">
        <f aca="false">IFERROR(INDEX(종합!B$3:B$501,MATCH(ROW()-2,종합!$AD$3:$AD$501,0))&amp;"","")</f>
        <v>(주)한국키네티코엔지니어링</v>
      </c>
      <c r="C16" s="18" t="str">
        <f aca="false">IFERROR(INDEX(종합!C$3:C$501,MATCH(ROW()-2,종합!$AD$3:$AD$501,0))&amp;"","")</f>
        <v>O</v>
      </c>
      <c r="D16" s="18" t="str">
        <f aca="false">IFERROR(INDEX(종합!D$3:D$501,MATCH(ROW()-2,종합!$AD$3:$AD$501,0))&amp;"","")</f>
        <v>O</v>
      </c>
      <c r="E16" s="18" t="str">
        <f aca="false">IFERROR(INDEX(종합!E$3:E$501,MATCH(ROW()-2,종합!$AD$3:$AD$501,0))&amp;"","")</f>
        <v>O</v>
      </c>
      <c r="F16" s="18" t="str">
        <f aca="false">IFERROR(INDEX(종합!F$3:F$501,MATCH(ROW()-2,종합!$AD$3:$AD$501,0))&amp;"","")</f>
        <v>O</v>
      </c>
      <c r="G16" s="18" t="str">
        <f aca="false">IFERROR(INDEX(종합!G$3:G$501,MATCH(ROW()-2,종합!$AD$3:$AD$501,0))&amp;"","")</f>
        <v>중소기업</v>
      </c>
      <c r="H16" s="21" t="str">
        <f aca="false">IFERROR(INDEX(종합!H$3:H$501,MATCH(ROW()-2,종합!$AD$3:$AD$501,0))&amp;"","")</f>
        <v>501-81-18337</v>
      </c>
      <c r="I16" s="21" t="str">
        <f aca="false">IFERROR(INDEX(종합!I$3:I$501,MATCH(ROW()-2,종합!$AD$3:$AD$501,0))&amp;"","")</f>
        <v>오재완</v>
      </c>
      <c r="J16" s="21" t="str">
        <f aca="false">IFERROR(INDEX(종합!J$3:J$501,MATCH(ROW()-2,종합!$AD$3:$AD$501,0))&amp;"","")</f>
        <v>053-255-2583</v>
      </c>
      <c r="K16" s="21" t="str">
        <f aca="false">IFERROR(INDEX(종합!K$3:K$501,MATCH(ROW()-2,종합!$AD$3:$AD$501,0))&amp;"","")</f>
        <v>https://osgloture.org</v>
      </c>
      <c r="L16" s="21" t="str">
        <f aca="false">IFERROR(INDEX(종합!L$3:L$501,MATCH(ROW()-2,종합!$AD$3:$AD$501,0))&amp;"","")</f>
        <v>mso@osgloture.org</v>
      </c>
      <c r="M16" s="21" t="str">
        <f aca="false">IFERROR(INDEX(종합!M$3:M$501,MATCH(ROW()-2,종합!$AD$3:$AD$501,0))&amp;"","")</f>
        <v>대구 수성구 알파시티1로 194 602호</v>
      </c>
      <c r="N16" s="25" t="str">
        <f aca="false">IFERROR(INDEX(종합!N$3:N$501,MATCH(ROW()-2,종합!$AD$3:$AD$501,0))&amp;"","")</f>
        <v>온디바이스 AI</v>
      </c>
      <c r="O16" s="21" t="str">
        <f aca="false">IFERROR(INDEX(종합!O$3:O$501,MATCH(ROW()-2,종합!$AD$3:$AD$501,0))&amp;"","")</f>
        <v>오민수</v>
      </c>
      <c r="P16" s="21" t="str">
        <f aca="false">IFERROR(INDEX(종합!P$3:P$501,MATCH(ROW()-2,종합!$AD$3:$AD$501,0))&amp;"","")</f>
        <v>영업마케팅</v>
      </c>
      <c r="Q16" s="21" t="str">
        <f aca="false">IFERROR(INDEX(종합!Q$3:Q$501,MATCH(ROW()-2,종합!$AD$3:$AD$501,0))&amp;"","")</f>
        <v>팀장</v>
      </c>
      <c r="R16" s="21" t="str">
        <f aca="false">IFERROR(INDEX(종합!R$3:R$501,MATCH(ROW()-2,종합!$AD$3:$AD$501,0))&amp;"","")</f>
        <v>053-255-2583</v>
      </c>
      <c r="S16" s="21" t="str">
        <f aca="false">IFERROR(INDEX(종합!S$3:S$501,MATCH(ROW()-2,종합!$AD$3:$AD$501,0))&amp;"","")</f>
        <v>mso@osgloture.org</v>
      </c>
      <c r="T16" s="21" t="str">
        <f aca="false">IFERROR(INDEX(종합!T$3:T$501,MATCH(ROW()-2,종합!$AD$3:$AD$501,0))&amp;"","")</f>
        <v>010-8780-1771</v>
      </c>
      <c r="U16" s="21" t="str">
        <f aca="false">IFERROR(INDEX(종합!U$3:U$501,MATCH(ROW()-2,종합!$AD$3:$AD$501,0))&amp;"","")</f>
        <v>오민수</v>
      </c>
      <c r="V16" s="21" t="str">
        <f aca="false">IFERROR(INDEX(종합!V$3:V$501,MATCH(ROW()-2,종합!$AD$3:$AD$501,0))&amp;"","")</f>
        <v>영업마케팅</v>
      </c>
      <c r="W16" s="21" t="str">
        <f aca="false">IFERROR(INDEX(종합!W$3:W$501,MATCH(ROW()-2,종합!$AD$3:$AD$501,0))&amp;"","")</f>
        <v>팀장</v>
      </c>
      <c r="X16" s="21" t="str">
        <f aca="false">IFERROR(INDEX(종합!X$3:X$501,MATCH(ROW()-2,종합!$AD$3:$AD$501,0))&amp;"","")</f>
        <v>053-255-2583</v>
      </c>
      <c r="Y16" s="21" t="str">
        <f aca="false">IFERROR(INDEX(종합!Y$3:Y$501,MATCH(ROW()-2,종합!$AD$3:$AD$501,0))&amp;"","")</f>
        <v>mso@osgloture.org</v>
      </c>
      <c r="Z16" s="21" t="str">
        <f aca="false">IFERROR(INDEX(종합!Z$3:Z$501,MATCH(ROW()-2,종합!$AD$3:$AD$501,0))&amp;"","")</f>
        <v>010-8780-1771</v>
      </c>
      <c r="AA16" s="23" t="str">
        <f aca="false">IFERROR(INDEX(종합!AA$3:AA$501,MATCH(ROW()-2,종합!$AD$3:$AD$501,0))&amp;"","")</f>
        <v/>
      </c>
    </row>
    <row r="17" customFormat="false" ht="47.25" hidden="false" customHeight="true" outlineLevel="0" collapsed="false">
      <c r="A17" s="18" t="n">
        <f aca="false">IF(B17="","",ROW()-2)</f>
        <v>15</v>
      </c>
      <c r="B17" s="18" t="str">
        <f aca="false">IFERROR(INDEX(종합!B$3:B$501,MATCH(ROW()-2,종합!$AD$3:$AD$501,0))&amp;"","")</f>
        <v>(주)페픽</v>
      </c>
      <c r="C17" s="18" t="str">
        <f aca="false">IFERROR(INDEX(종합!C$3:C$501,MATCH(ROW()-2,종합!$AD$3:$AD$501,0))&amp;"","")</f>
        <v>O</v>
      </c>
      <c r="D17" s="18" t="str">
        <f aca="false">IFERROR(INDEX(종합!D$3:D$501,MATCH(ROW()-2,종합!$AD$3:$AD$501,0))&amp;"","")</f>
        <v>O</v>
      </c>
      <c r="E17" s="18" t="str">
        <f aca="false">IFERROR(INDEX(종합!E$3:E$501,MATCH(ROW()-2,종합!$AD$3:$AD$501,0))&amp;"","")</f>
        <v>O</v>
      </c>
      <c r="F17" s="18" t="str">
        <f aca="false">IFERROR(INDEX(종합!F$3:F$501,MATCH(ROW()-2,종합!$AD$3:$AD$501,0))&amp;"","")</f>
        <v/>
      </c>
      <c r="G17" s="18" t="str">
        <f aca="false">IFERROR(INDEX(종합!G$3:G$501,MATCH(ROW()-2,종합!$AD$3:$AD$501,0))&amp;"","")</f>
        <v>중소기업</v>
      </c>
      <c r="H17" s="21" t="str">
        <f aca="false">IFERROR(INDEX(종합!H$3:H$501,MATCH(ROW()-2,종합!$AD$3:$AD$501,0))&amp;"","")</f>
        <v>268-86-02613</v>
      </c>
      <c r="I17" s="21" t="str">
        <f aca="false">IFERROR(INDEX(종합!I$3:I$501,MATCH(ROW()-2,종합!$AD$3:$AD$501,0))&amp;"","")</f>
        <v>유연수</v>
      </c>
      <c r="J17" s="21" t="str">
        <f aca="false">IFERROR(INDEX(종합!J$3:J$501,MATCH(ROW()-2,종합!$AD$3:$AD$501,0))&amp;"","")</f>
        <v>010-4454-1324</v>
      </c>
      <c r="K17" s="21" t="str">
        <f aca="false">IFERROR(INDEX(종합!K$3:K$501,MATCH(ROW()-2,종합!$AD$3:$AD$501,0))&amp;"","")</f>
        <v>https://pefic.ai</v>
      </c>
      <c r="L17" s="21" t="str">
        <f aca="false">IFERROR(INDEX(종합!L$3:L$501,MATCH(ROW()-2,종합!$AD$3:$AD$501,0))&amp;"","")</f>
        <v>kyungsan1117@gmail.com</v>
      </c>
      <c r="M17" s="21" t="str">
        <f aca="false">IFERROR(INDEX(종합!M$3:M$501,MATCH(ROW()-2,종합!$AD$3:$AD$501,0))&amp;"","")</f>
        <v>광주광역시 동구 동계천로 150, 506호</v>
      </c>
      <c r="N17" s="25" t="str">
        <f aca="false">IFERROR(INDEX(종합!N$3:N$501,MATCH(ROW()-2,종합!$AD$3:$AD$501,0))&amp;"","")</f>
        <v>생성형 AI 기반 챗봇, AI 에이전트, AI 영상 생성 기술 보유</v>
      </c>
      <c r="O17" s="21" t="str">
        <f aca="false">IFERROR(INDEX(종합!O$3:O$501,MATCH(ROW()-2,종합!$AD$3:$AD$501,0))&amp;"","")</f>
        <v>유연수</v>
      </c>
      <c r="P17" s="21" t="str">
        <f aca="false">IFERROR(INDEX(종합!P$3:P$501,MATCH(ROW()-2,종합!$AD$3:$AD$501,0))&amp;"","")</f>
        <v>임원</v>
      </c>
      <c r="Q17" s="21" t="str">
        <f aca="false">IFERROR(INDEX(종합!Q$3:Q$501,MATCH(ROW()-2,종합!$AD$3:$AD$501,0))&amp;"","")</f>
        <v>대표이사</v>
      </c>
      <c r="R17" s="21" t="str">
        <f aca="false">IFERROR(INDEX(종합!R$3:R$501,MATCH(ROW()-2,종합!$AD$3:$AD$501,0))&amp;"","")</f>
        <v>010-4454-1324</v>
      </c>
      <c r="S17" s="21" t="str">
        <f aca="false">IFERROR(INDEX(종합!S$3:S$501,MATCH(ROW()-2,종합!$AD$3:$AD$501,0))&amp;"","")</f>
        <v>powinz@pefic.ai</v>
      </c>
      <c r="T17" s="21" t="str">
        <f aca="false">IFERROR(INDEX(종합!T$3:T$501,MATCH(ROW()-2,종합!$AD$3:$AD$501,0))&amp;"","")</f>
        <v>010-4454-1324</v>
      </c>
      <c r="U17" s="21" t="str">
        <f aca="false">IFERROR(INDEX(종합!U$3:U$501,MATCH(ROW()-2,종합!$AD$3:$AD$501,0))&amp;"","")</f>
        <v>유연수</v>
      </c>
      <c r="V17" s="21" t="str">
        <f aca="false">IFERROR(INDEX(종합!V$3:V$501,MATCH(ROW()-2,종합!$AD$3:$AD$501,0))&amp;"","")</f>
        <v>임원</v>
      </c>
      <c r="W17" s="21" t="str">
        <f aca="false">IFERROR(INDEX(종합!W$3:W$501,MATCH(ROW()-2,종합!$AD$3:$AD$501,0))&amp;"","")</f>
        <v>대표이사</v>
      </c>
      <c r="X17" s="21" t="str">
        <f aca="false">IFERROR(INDEX(종합!X$3:X$501,MATCH(ROW()-2,종합!$AD$3:$AD$501,0))&amp;"","")</f>
        <v>010-4454-1324</v>
      </c>
      <c r="Y17" s="21" t="str">
        <f aca="false">IFERROR(INDEX(종합!Y$3:Y$501,MATCH(ROW()-2,종합!$AD$3:$AD$501,0))&amp;"","")</f>
        <v>powinz@pefic.ai</v>
      </c>
      <c r="Z17" s="21" t="str">
        <f aca="false">IFERROR(INDEX(종합!Z$3:Z$501,MATCH(ROW()-2,종합!$AD$3:$AD$501,0))&amp;"","")</f>
        <v>010-4454-1324</v>
      </c>
      <c r="AA17" s="23" t="str">
        <f aca="false">IFERROR(INDEX(종합!AA$3:AA$501,MATCH(ROW()-2,종합!$AD$3:$AD$501,0))&amp;"","")</f>
        <v/>
      </c>
    </row>
    <row r="18" customFormat="false" ht="33.75" hidden="false" customHeight="true" outlineLevel="0" collapsed="false">
      <c r="A18" s="18" t="n">
        <f aca="false">IF(B18="","",ROW()-2)</f>
        <v>16</v>
      </c>
      <c r="B18" s="18" t="str">
        <f aca="false">IFERROR(INDEX(종합!B$3:B$501,MATCH(ROW()-2,종합!$AD$3:$AD$501,0))&amp;"","")</f>
        <v>(주)심스리얼리티</v>
      </c>
      <c r="C18" s="18" t="str">
        <f aca="false">IFERROR(INDEX(종합!C$3:C$501,MATCH(ROW()-2,종합!$AD$3:$AD$501,0))&amp;"","")</f>
        <v>O</v>
      </c>
      <c r="D18" s="18" t="str">
        <f aca="false">IFERROR(INDEX(종합!D$3:D$501,MATCH(ROW()-2,종합!$AD$3:$AD$501,0))&amp;"","")</f>
        <v/>
      </c>
      <c r="E18" s="18" t="str">
        <f aca="false">IFERROR(INDEX(종합!E$3:E$501,MATCH(ROW()-2,종합!$AD$3:$AD$501,0))&amp;"","")</f>
        <v>O</v>
      </c>
      <c r="F18" s="18" t="str">
        <f aca="false">IFERROR(INDEX(종합!F$3:F$501,MATCH(ROW()-2,종합!$AD$3:$AD$501,0))&amp;"","")</f>
        <v/>
      </c>
      <c r="G18" s="18" t="str">
        <f aca="false">IFERROR(INDEX(종합!G$3:G$501,MATCH(ROW()-2,종합!$AD$3:$AD$501,0))&amp;"","")</f>
        <v>중소기업</v>
      </c>
      <c r="H18" s="21" t="str">
        <f aca="false">IFERROR(INDEX(종합!H$3:H$501,MATCH(ROW()-2,종합!$AD$3:$AD$501,0))&amp;"","")</f>
        <v>292-86-00919</v>
      </c>
      <c r="I18" s="21" t="str">
        <f aca="false">IFERROR(INDEX(종합!I$3:I$501,MATCH(ROW()-2,종합!$AD$3:$AD$501,0))&amp;"","")</f>
        <v>김명환</v>
      </c>
      <c r="J18" s="21" t="str">
        <f aca="false">IFERROR(INDEX(종합!J$3:J$501,MATCH(ROW()-2,종합!$AD$3:$AD$501,0))&amp;"","")</f>
        <v>042-934-1801</v>
      </c>
      <c r="K18" s="21" t="str">
        <f aca="false">IFERROR(INDEX(종합!K$3:K$501,MATCH(ROW()-2,종합!$AD$3:$AD$501,0))&amp;"","")</f>
        <v>http://www.simsreality.com</v>
      </c>
      <c r="L18" s="21" t="str">
        <f aca="false">IFERROR(INDEX(종합!L$3:L$501,MATCH(ROW()-2,종합!$AD$3:$AD$501,0))&amp;"","")</f>
        <v>wwwhunycom07@gmail.com</v>
      </c>
      <c r="M18" s="21" t="str">
        <f aca="false">IFERROR(INDEX(종합!M$3:M$501,MATCH(ROW()-2,종합!$AD$3:$AD$501,0))&amp;"","")</f>
        <v>대전광역시 유성구 테크노4로 43, 2층(관평동, 현광빌딩)</v>
      </c>
      <c r="N18" s="25" t="str">
        <f aca="false">IFERROR(INDEX(종합!N$3:N$501,MATCH(ROW()-2,종합!$AD$3:$AD$501,0))&amp;"","")</f>
        <v>보유기술: 초개인화 패션 도메인 특화 Agentic AI솔루션 및 가상 피팅 서비스 / 보유기술: 1. Agentic AI 오케스트레이션, 2. 멀티에이전트 협업, 3. 생성형AI기반 2D의류를 3D자동변환 및 제어기술</v>
      </c>
      <c r="O18" s="21" t="str">
        <f aca="false">IFERROR(INDEX(종합!O$3:O$501,MATCH(ROW()-2,종합!$AD$3:$AD$501,0))&amp;"","")</f>
        <v>김명환</v>
      </c>
      <c r="P18" s="21" t="str">
        <f aca="false">IFERROR(INDEX(종합!P$3:P$501,MATCH(ROW()-2,종합!$AD$3:$AD$501,0))&amp;"","")</f>
        <v>경영</v>
      </c>
      <c r="Q18" s="21" t="str">
        <f aca="false">IFERROR(INDEX(종합!Q$3:Q$501,MATCH(ROW()-2,종합!$AD$3:$AD$501,0))&amp;"","")</f>
        <v>대표이사</v>
      </c>
      <c r="R18" s="21" t="str">
        <f aca="false">IFERROR(INDEX(종합!R$3:R$501,MATCH(ROW()-2,종합!$AD$3:$AD$501,0))&amp;"","")</f>
        <v>042-934-1801</v>
      </c>
      <c r="S18" s="21" t="str">
        <f aca="false">IFERROR(INDEX(종합!S$3:S$501,MATCH(ROW()-2,종합!$AD$3:$AD$501,0))&amp;"","")</f>
        <v>oops@simsreality.com</v>
      </c>
      <c r="T18" s="21" t="str">
        <f aca="false">IFERROR(INDEX(종합!T$3:T$501,MATCH(ROW()-2,종합!$AD$3:$AD$501,0))&amp;"","")</f>
        <v>010-2365-6569</v>
      </c>
      <c r="U18" s="21" t="str">
        <f aca="false">IFERROR(INDEX(종합!U$3:U$501,MATCH(ROW()-2,종합!$AD$3:$AD$501,0))&amp;"","")</f>
        <v>허상훈</v>
      </c>
      <c r="V18" s="21" t="str">
        <f aca="false">IFERROR(INDEX(종합!V$3:V$501,MATCH(ROW()-2,종합!$AD$3:$AD$501,0))&amp;"","")</f>
        <v>전략기획실</v>
      </c>
      <c r="W18" s="21" t="str">
        <f aca="false">IFERROR(INDEX(종합!W$3:W$501,MATCH(ROW()-2,종합!$AD$3:$AD$501,0))&amp;"","")</f>
        <v>PM</v>
      </c>
      <c r="X18" s="21" t="str">
        <f aca="false">IFERROR(INDEX(종합!X$3:X$501,MATCH(ROW()-2,종합!$AD$3:$AD$501,0))&amp;"","")</f>
        <v>042-934-1801</v>
      </c>
      <c r="Y18" s="21" t="str">
        <f aca="false">IFERROR(INDEX(종합!Y$3:Y$501,MATCH(ROW()-2,종합!$AD$3:$AD$501,0))&amp;"","")</f>
        <v>hunycom@simsreality.com</v>
      </c>
      <c r="Z18" s="21" t="str">
        <f aca="false">IFERROR(INDEX(종합!Z$3:Z$501,MATCH(ROW()-2,종합!$AD$3:$AD$501,0))&amp;"","")</f>
        <v>010-6689-3508</v>
      </c>
      <c r="AA18" s="23" t="str">
        <f aca="false">IFERROR(INDEX(종합!AA$3:AA$501,MATCH(ROW()-2,종합!$AD$3:$AD$501,0))&amp;"","")</f>
        <v/>
      </c>
    </row>
    <row r="19" customFormat="false" ht="22.5" hidden="false" customHeight="true" outlineLevel="0" collapsed="false">
      <c r="A19" s="18" t="n">
        <f aca="false">IF(B19="","",ROW()-2)</f>
        <v>17</v>
      </c>
      <c r="B19" s="18" t="str">
        <f aca="false">IFERROR(INDEX(종합!B$3:B$501,MATCH(ROW()-2,종합!$AD$3:$AD$501,0))&amp;"","")</f>
        <v>주식회사 쿼리시스템즈</v>
      </c>
      <c r="C19" s="18" t="str">
        <f aca="false">IFERROR(INDEX(종합!C$3:C$501,MATCH(ROW()-2,종합!$AD$3:$AD$501,0))&amp;"","")</f>
        <v>O</v>
      </c>
      <c r="D19" s="18" t="str">
        <f aca="false">IFERROR(INDEX(종합!D$3:D$501,MATCH(ROW()-2,종합!$AD$3:$AD$501,0))&amp;"","")</f>
        <v/>
      </c>
      <c r="E19" s="18" t="str">
        <f aca="false">IFERROR(INDEX(종합!E$3:E$501,MATCH(ROW()-2,종합!$AD$3:$AD$501,0))&amp;"","")</f>
        <v>O</v>
      </c>
      <c r="F19" s="18" t="str">
        <f aca="false">IFERROR(INDEX(종합!F$3:F$501,MATCH(ROW()-2,종합!$AD$3:$AD$501,0))&amp;"","")</f>
        <v/>
      </c>
      <c r="G19" s="18" t="str">
        <f aca="false">IFERROR(INDEX(종합!G$3:G$501,MATCH(ROW()-2,종합!$AD$3:$AD$501,0))&amp;"","")</f>
        <v>중소기업</v>
      </c>
      <c r="H19" s="21" t="str">
        <f aca="false">IFERROR(INDEX(종합!H$3:H$501,MATCH(ROW()-2,종합!$AD$3:$AD$501,0))&amp;"","")</f>
        <v>215-87-03537</v>
      </c>
      <c r="I19" s="21" t="str">
        <f aca="false">IFERROR(INDEX(종합!I$3:I$501,MATCH(ROW()-2,종합!$AD$3:$AD$501,0))&amp;"","")</f>
        <v>현원필</v>
      </c>
      <c r="J19" s="21" t="str">
        <f aca="false">IFERROR(INDEX(종합!J$3:J$501,MATCH(ROW()-2,종합!$AD$3:$AD$501,0))&amp;"","")</f>
        <v>02-421-8858</v>
      </c>
      <c r="K19" s="21" t="str">
        <f aca="false">IFERROR(INDEX(종합!K$3:K$501,MATCH(ROW()-2,종합!$AD$3:$AD$501,0))&amp;"","")</f>
        <v>https://quarry.kr/</v>
      </c>
      <c r="L19" s="21" t="str">
        <f aca="false">IFERROR(INDEX(종합!L$3:L$501,MATCH(ROW()-2,종합!$AD$3:$AD$501,0))&amp;"","")</f>
        <v>brianmoonkr@gmail.com</v>
      </c>
      <c r="M19" s="21" t="str">
        <f aca="false">IFERROR(INDEX(종합!M$3:M$501,MATCH(ROW()-2,종합!$AD$3:$AD$501,0))&amp;"","")</f>
        <v>서울시 강남구 영동대로85길 13 송석빌딩 4층</v>
      </c>
      <c r="N19" s="25" t="str">
        <f aca="false">IFERROR(INDEX(종합!N$3:N$501,MATCH(ROW()-2,종합!$AD$3:$AD$501,0))&amp;"","")</f>
        <v>QTIE / AI Agent 기반 Smart Assistsant 솔루션</v>
      </c>
      <c r="O19" s="21" t="str">
        <f aca="false">IFERROR(INDEX(종합!O$3:O$501,MATCH(ROW()-2,종합!$AD$3:$AD$501,0))&amp;"","")</f>
        <v>문승완</v>
      </c>
      <c r="P19" s="21" t="str">
        <f aca="false">IFERROR(INDEX(종합!P$3:P$501,MATCH(ROW()-2,종합!$AD$3:$AD$501,0))&amp;"","")</f>
        <v>기술연구소</v>
      </c>
      <c r="Q19" s="21" t="str">
        <f aca="false">IFERROR(INDEX(종합!Q$3:Q$501,MATCH(ROW()-2,종합!$AD$3:$AD$501,0))&amp;"","")</f>
        <v>이사</v>
      </c>
      <c r="R19" s="21" t="str">
        <f aca="false">IFERROR(INDEX(종합!R$3:R$501,MATCH(ROW()-2,종합!$AD$3:$AD$501,0))&amp;"","")</f>
        <v>010-2727-2783</v>
      </c>
      <c r="S19" s="21" t="str">
        <f aca="false">IFERROR(INDEX(종합!S$3:S$501,MATCH(ROW()-2,종합!$AD$3:$AD$501,0))&amp;"","")</f>
        <v>swmoon@quarry.kr</v>
      </c>
      <c r="T19" s="21" t="str">
        <f aca="false">IFERROR(INDEX(종합!T$3:T$501,MATCH(ROW()-2,종합!$AD$3:$AD$501,0))&amp;"","")</f>
        <v>010-2727-2783</v>
      </c>
      <c r="U19" s="21" t="str">
        <f aca="false">IFERROR(INDEX(종합!U$3:U$501,MATCH(ROW()-2,종합!$AD$3:$AD$501,0))&amp;"","")</f>
        <v>문승완</v>
      </c>
      <c r="V19" s="21" t="str">
        <f aca="false">IFERROR(INDEX(종합!V$3:V$501,MATCH(ROW()-2,종합!$AD$3:$AD$501,0))&amp;"","")</f>
        <v>기술연구소</v>
      </c>
      <c r="W19" s="21" t="str">
        <f aca="false">IFERROR(INDEX(종합!W$3:W$501,MATCH(ROW()-2,종합!$AD$3:$AD$501,0))&amp;"","")</f>
        <v>이사</v>
      </c>
      <c r="X19" s="21" t="str">
        <f aca="false">IFERROR(INDEX(종합!X$3:X$501,MATCH(ROW()-2,종합!$AD$3:$AD$501,0))&amp;"","")</f>
        <v>010-2727-2783</v>
      </c>
      <c r="Y19" s="21" t="str">
        <f aca="false">IFERROR(INDEX(종합!Y$3:Y$501,MATCH(ROW()-2,종합!$AD$3:$AD$501,0))&amp;"","")</f>
        <v>swmoon@quarry.kr</v>
      </c>
      <c r="Z19" s="21" t="str">
        <f aca="false">IFERROR(INDEX(종합!Z$3:Z$501,MATCH(ROW()-2,종합!$AD$3:$AD$501,0))&amp;"","")</f>
        <v>010-2727-2783</v>
      </c>
      <c r="AA19" s="23" t="str">
        <f aca="false">IFERROR(INDEX(종합!AA$3:AA$501,MATCH(ROW()-2,종합!$AD$3:$AD$501,0))&amp;"","")</f>
        <v/>
      </c>
    </row>
    <row r="20" customFormat="false" ht="22.5" hidden="false" customHeight="true" outlineLevel="0" collapsed="false">
      <c r="A20" s="18" t="n">
        <f aca="false">IF(B20="","",ROW()-2)</f>
        <v>18</v>
      </c>
      <c r="B20" s="18" t="str">
        <f aca="false">IFERROR(INDEX(종합!B$3:B$501,MATCH(ROW()-2,종합!$AD$3:$AD$501,0))&amp;"","")</f>
        <v>펜타시스템테크놀러지(주)</v>
      </c>
      <c r="C20" s="18" t="str">
        <f aca="false">IFERROR(INDEX(종합!C$3:C$501,MATCH(ROW()-2,종합!$AD$3:$AD$501,0))&amp;"","")</f>
        <v>O</v>
      </c>
      <c r="D20" s="18" t="str">
        <f aca="false">IFERROR(INDEX(종합!D$3:D$501,MATCH(ROW()-2,종합!$AD$3:$AD$501,0))&amp;"","")</f>
        <v>O</v>
      </c>
      <c r="E20" s="18" t="str">
        <f aca="false">IFERROR(INDEX(종합!E$3:E$501,MATCH(ROW()-2,종합!$AD$3:$AD$501,0))&amp;"","")</f>
        <v>O</v>
      </c>
      <c r="F20" s="18" t="str">
        <f aca="false">IFERROR(INDEX(종합!F$3:F$501,MATCH(ROW()-2,종합!$AD$3:$AD$501,0))&amp;"","")</f>
        <v>O</v>
      </c>
      <c r="G20" s="18" t="str">
        <f aca="false">IFERROR(INDEX(종합!G$3:G$501,MATCH(ROW()-2,종합!$AD$3:$AD$501,0))&amp;"","")</f>
        <v>중견기업</v>
      </c>
      <c r="H20" s="21" t="str">
        <f aca="false">IFERROR(INDEX(종합!H$3:H$501,MATCH(ROW()-2,종합!$AD$3:$AD$501,0))&amp;"","")</f>
        <v>116-81-35346</v>
      </c>
      <c r="I20" s="21" t="str">
        <f aca="false">IFERROR(INDEX(종합!I$3:I$501,MATCH(ROW()-2,종합!$AD$3:$AD$501,0))&amp;"","")</f>
        <v>장종준</v>
      </c>
      <c r="J20" s="21" t="str">
        <f aca="false">IFERROR(INDEX(종합!J$3:J$501,MATCH(ROW()-2,종합!$AD$3:$AD$501,0))&amp;"","")</f>
        <v>02-769-9700</v>
      </c>
      <c r="K20" s="21" t="str">
        <f aca="false">IFERROR(INDEX(종합!K$3:K$501,MATCH(ROW()-2,종합!$AD$3:$AD$501,0))&amp;"","")</f>
        <v>www.penta.co.kr</v>
      </c>
      <c r="L20" s="21" t="str">
        <f aca="false">IFERROR(INDEX(종합!L$3:L$501,MATCH(ROW()-2,종합!$AD$3:$AD$501,0))&amp;"","")</f>
        <v>jukab2246@gmail.com</v>
      </c>
      <c r="M20" s="21" t="str">
        <f aca="false">IFERROR(INDEX(종합!M$3:M$501,MATCH(ROW()-2,종합!$AD$3:$AD$501,0))&amp;"","")</f>
        <v>서울특별시 영등포구 여의공원로 115 세우빌딩 10, 11</v>
      </c>
      <c r="N20" s="25" t="str">
        <f aca="false">IFERROR(INDEX(종합!N$3:N$501,MATCH(ROW()-2,종합!$AD$3:$AD$501,0))&amp;"","")</f>
        <v>학습데이터 생성을 위한 개인정보 비식별화 솔루션 및  AI Agent 포털 솔루션 보유</v>
      </c>
      <c r="O20" s="21" t="str">
        <f aca="false">IFERROR(INDEX(종합!O$3:O$501,MATCH(ROW()-2,종합!$AD$3:$AD$501,0))&amp;"","")</f>
        <v>김동한</v>
      </c>
      <c r="P20" s="21" t="str">
        <f aca="false">IFERROR(INDEX(종합!P$3:P$501,MATCH(ROW()-2,종합!$AD$3:$AD$501,0))&amp;"","")</f>
        <v>펜타 Lab5 고등기술연구소</v>
      </c>
      <c r="Q20" s="21" t="str">
        <f aca="false">IFERROR(INDEX(종합!Q$3:Q$501,MATCH(ROW()-2,종합!$AD$3:$AD$501,0))&amp;"","")</f>
        <v>전문위원/연구소장</v>
      </c>
      <c r="R20" s="21" t="str">
        <f aca="false">IFERROR(INDEX(종합!R$3:R$501,MATCH(ROW()-2,종합!$AD$3:$AD$501,0))&amp;"","")</f>
        <v>02-769-9773</v>
      </c>
      <c r="S20" s="21" t="str">
        <f aca="false">IFERROR(INDEX(종합!S$3:S$501,MATCH(ROW()-2,종합!$AD$3:$AD$501,0))&amp;"","")</f>
        <v>picollo@penta.co.kr</v>
      </c>
      <c r="T20" s="21" t="str">
        <f aca="false">IFERROR(INDEX(종합!T$3:T$501,MATCH(ROW()-2,종합!$AD$3:$AD$501,0))&amp;"","")</f>
        <v>010-9188-1021</v>
      </c>
      <c r="U20" s="21" t="str">
        <f aca="false">IFERROR(INDEX(종합!U$3:U$501,MATCH(ROW()-2,종합!$AD$3:$AD$501,0))&amp;"","")</f>
        <v>정광용</v>
      </c>
      <c r="V20" s="21" t="str">
        <f aca="false">IFERROR(INDEX(종합!V$3:V$501,MATCH(ROW()-2,종합!$AD$3:$AD$501,0))&amp;"","")</f>
        <v>DG팀</v>
      </c>
      <c r="W20" s="21" t="str">
        <f aca="false">IFERROR(INDEX(종합!W$3:W$501,MATCH(ROW()-2,종합!$AD$3:$AD$501,0))&amp;"","")</f>
        <v>기술위원/팀장</v>
      </c>
      <c r="X20" s="21" t="str">
        <f aca="false">IFERROR(INDEX(종합!X$3:X$501,MATCH(ROW()-2,종합!$AD$3:$AD$501,0))&amp;"","")</f>
        <v>02-769-9760</v>
      </c>
      <c r="Y20" s="21" t="str">
        <f aca="false">IFERROR(INDEX(종합!Y$3:Y$501,MATCH(ROW()-2,종합!$AD$3:$AD$501,0))&amp;"","")</f>
        <v>kychung@penta.co.kr</v>
      </c>
      <c r="Z20" s="21" t="str">
        <f aca="false">IFERROR(INDEX(종합!Z$3:Z$501,MATCH(ROW()-2,종합!$AD$3:$AD$501,0))&amp;"","")</f>
        <v>010-3264-5708</v>
      </c>
      <c r="AA20" s="23" t="str">
        <f aca="false">IFERROR(INDEX(종합!AA$3:AA$501,MATCH(ROW()-2,종합!$AD$3:$AD$501,0))&amp;"","")</f>
        <v/>
      </c>
    </row>
    <row r="21" customFormat="false" ht="33.75" hidden="false" customHeight="true" outlineLevel="0" collapsed="false">
      <c r="A21" s="18" t="n">
        <f aca="false">IF(B21="","",ROW()-2)</f>
        <v>19</v>
      </c>
      <c r="B21" s="18" t="str">
        <f aca="false">IFERROR(INDEX(종합!B$3:B$501,MATCH(ROW()-2,종합!$AD$3:$AD$501,0))&amp;"","")</f>
        <v>주식회사 젠다이브</v>
      </c>
      <c r="C21" s="18" t="str">
        <f aca="false">IFERROR(INDEX(종합!C$3:C$501,MATCH(ROW()-2,종합!$AD$3:$AD$501,0))&amp;"","")</f>
        <v>O</v>
      </c>
      <c r="D21" s="18" t="str">
        <f aca="false">IFERROR(INDEX(종합!D$3:D$501,MATCH(ROW()-2,종합!$AD$3:$AD$501,0))&amp;"","")</f>
        <v>O</v>
      </c>
      <c r="E21" s="18" t="str">
        <f aca="false">IFERROR(INDEX(종합!E$3:E$501,MATCH(ROW()-2,종합!$AD$3:$AD$501,0))&amp;"","")</f>
        <v>O</v>
      </c>
      <c r="F21" s="18" t="str">
        <f aca="false">IFERROR(INDEX(종합!F$3:F$501,MATCH(ROW()-2,종합!$AD$3:$AD$501,0))&amp;"","")</f>
        <v/>
      </c>
      <c r="G21" s="18" t="str">
        <f aca="false">IFERROR(INDEX(종합!G$3:G$501,MATCH(ROW()-2,종합!$AD$3:$AD$501,0))&amp;"","")</f>
        <v>중소기업</v>
      </c>
      <c r="H21" s="21" t="str">
        <f aca="false">IFERROR(INDEX(종합!H$3:H$501,MATCH(ROW()-2,종합!$AD$3:$AD$501,0))&amp;"","")</f>
        <v>449-87-02752</v>
      </c>
      <c r="I21" s="21" t="str">
        <f aca="false">IFERROR(INDEX(종합!I$3:I$501,MATCH(ROW()-2,종합!$AD$3:$AD$501,0))&amp;"","")</f>
        <v>함민혁</v>
      </c>
      <c r="J21" s="21" t="str">
        <f aca="false">IFERROR(INDEX(종합!J$3:J$501,MATCH(ROW()-2,종합!$AD$3:$AD$501,0))&amp;"","")</f>
        <v>070-4895-5550</v>
      </c>
      <c r="K21" s="21" t="str">
        <f aca="false">IFERROR(INDEX(종합!K$3:K$501,MATCH(ROW()-2,종합!$AD$3:$AD$501,0))&amp;"","")</f>
        <v>https://www.gendive.kr</v>
      </c>
      <c r="L21" s="21" t="str">
        <f aca="false">IFERROR(INDEX(종합!L$3:L$501,MATCH(ROW()-2,종합!$AD$3:$AD$501,0))&amp;"","")</f>
        <v>mh.ham@gendive.ai</v>
      </c>
      <c r="M21" s="21" t="str">
        <f aca="false">IFERROR(INDEX(종합!M$3:M$501,MATCH(ROW()-2,종합!$AD$3:$AD$501,0))&amp;"","")</f>
        <v>광주광역시 동구 금남로 193-22, 광주AI창업캠프 1호점 3층 308호</v>
      </c>
      <c r="N21" s="25" t="str">
        <f aca="false">IFERROR(INDEX(종합!N$3:N$501,MATCH(ROW()-2,종합!$AD$3:$AD$501,0))&amp;"","")</f>
        <v>AI로 일하는 기업을 만드는 AI WorkOS, 데브다이브</v>
      </c>
      <c r="O21" s="21" t="str">
        <f aca="false">IFERROR(INDEX(종합!O$3:O$501,MATCH(ROW()-2,종합!$AD$3:$AD$501,0))&amp;"","")</f>
        <v>함민혁</v>
      </c>
      <c r="P21" s="21" t="str">
        <f aca="false">IFERROR(INDEX(종합!P$3:P$501,MATCH(ROW()-2,종합!$AD$3:$AD$501,0))&amp;"","")</f>
        <v>AI사업부</v>
      </c>
      <c r="Q21" s="21" t="str">
        <f aca="false">IFERROR(INDEX(종합!Q$3:Q$501,MATCH(ROW()-2,종합!$AD$3:$AD$501,0))&amp;"","")</f>
        <v>대표이사</v>
      </c>
      <c r="R21" s="21" t="str">
        <f aca="false">IFERROR(INDEX(종합!R$3:R$501,MATCH(ROW()-2,종합!$AD$3:$AD$501,0))&amp;"","")</f>
        <v>070-4895-5550</v>
      </c>
      <c r="S21" s="21" t="str">
        <f aca="false">IFERROR(INDEX(종합!S$3:S$501,MATCH(ROW()-2,종합!$AD$3:$AD$501,0))&amp;"","")</f>
        <v>mh.ham@gendive.ai</v>
      </c>
      <c r="T21" s="21" t="str">
        <f aca="false">IFERROR(INDEX(종합!T$3:T$501,MATCH(ROW()-2,종합!$AD$3:$AD$501,0))&amp;"","")</f>
        <v>010-3047-6882</v>
      </c>
      <c r="U21" s="21" t="str">
        <f aca="false">IFERROR(INDEX(종합!U$3:U$501,MATCH(ROW()-2,종합!$AD$3:$AD$501,0))&amp;"","")</f>
        <v>함민혁</v>
      </c>
      <c r="V21" s="21" t="str">
        <f aca="false">IFERROR(INDEX(종합!V$3:V$501,MATCH(ROW()-2,종합!$AD$3:$AD$501,0))&amp;"","")</f>
        <v>AI사업부</v>
      </c>
      <c r="W21" s="21" t="str">
        <f aca="false">IFERROR(INDEX(종합!W$3:W$501,MATCH(ROW()-2,종합!$AD$3:$AD$501,0))&amp;"","")</f>
        <v>대표이사</v>
      </c>
      <c r="X21" s="21" t="str">
        <f aca="false">IFERROR(INDEX(종합!X$3:X$501,MATCH(ROW()-2,종합!$AD$3:$AD$501,0))&amp;"","")</f>
        <v>070-4895-5550</v>
      </c>
      <c r="Y21" s="21" t="str">
        <f aca="false">IFERROR(INDEX(종합!Y$3:Y$501,MATCH(ROW()-2,종합!$AD$3:$AD$501,0))&amp;"","")</f>
        <v>mh.ham@gendive.ai</v>
      </c>
      <c r="Z21" s="21" t="str">
        <f aca="false">IFERROR(INDEX(종합!Z$3:Z$501,MATCH(ROW()-2,종합!$AD$3:$AD$501,0))&amp;"","")</f>
        <v>010-3047-6882</v>
      </c>
      <c r="AA21" s="23" t="str">
        <f aca="false">IFERROR(INDEX(종합!AA$3:AA$501,MATCH(ROW()-2,종합!$AD$3:$AD$501,0))&amp;"","")</f>
        <v/>
      </c>
    </row>
    <row r="22" customFormat="false" ht="22.5" hidden="false" customHeight="true" outlineLevel="0" collapsed="false">
      <c r="A22" s="18" t="n">
        <f aca="false">IF(B22="","",ROW()-2)</f>
        <v>20</v>
      </c>
      <c r="B22" s="18" t="str">
        <f aca="false">IFERROR(INDEX(종합!B$3:B$501,MATCH(ROW()-2,종합!$AD$3:$AD$501,0))&amp;"","")</f>
        <v>주식회사 웨인힐스브라이언트 에이아이 </v>
      </c>
      <c r="C22" s="18" t="str">
        <f aca="false">IFERROR(INDEX(종합!C$3:C$501,MATCH(ROW()-2,종합!$AD$3:$AD$501,0))&amp;"","")</f>
        <v/>
      </c>
      <c r="D22" s="18" t="str">
        <f aca="false">IFERROR(INDEX(종합!D$3:D$501,MATCH(ROW()-2,종합!$AD$3:$AD$501,0))&amp;"","")</f>
        <v>O</v>
      </c>
      <c r="E22" s="18" t="str">
        <f aca="false">IFERROR(INDEX(종합!E$3:E$501,MATCH(ROW()-2,종합!$AD$3:$AD$501,0))&amp;"","")</f>
        <v>O</v>
      </c>
      <c r="F22" s="18" t="str">
        <f aca="false">IFERROR(INDEX(종합!F$3:F$501,MATCH(ROW()-2,종합!$AD$3:$AD$501,0))&amp;"","")</f>
        <v/>
      </c>
      <c r="G22" s="18" t="str">
        <f aca="false">IFERROR(INDEX(종합!G$3:G$501,MATCH(ROW()-2,종합!$AD$3:$AD$501,0))&amp;"","")</f>
        <v>중소기업</v>
      </c>
      <c r="H22" s="21" t="str">
        <f aca="false">IFERROR(INDEX(종합!H$3:H$501,MATCH(ROW()-2,종합!$AD$3:$AD$501,0))&amp;"","")</f>
        <v>547-87-01358</v>
      </c>
      <c r="I22" s="21" t="str">
        <f aca="false">IFERROR(INDEX(종합!I$3:I$501,MATCH(ROW()-2,종합!$AD$3:$AD$501,0))&amp;"","")</f>
        <v>이수민 </v>
      </c>
      <c r="J22" s="21" t="str">
        <f aca="false">IFERROR(INDEX(종합!J$3:J$501,MATCH(ROW()-2,종합!$AD$3:$AD$501,0))&amp;"","")</f>
        <v>010-4111-9003</v>
      </c>
      <c r="K22" s="21" t="str">
        <f aca="false">IFERROR(INDEX(종합!K$3:K$501,MATCH(ROW()-2,종합!$AD$3:$AD$501,0))&amp;"","")</f>
        <v>waynehills.co</v>
      </c>
      <c r="L22" s="21" t="str">
        <f aca="false">IFERROR(INDEX(종합!L$3:L$501,MATCH(ROW()-2,종합!$AD$3:$AD$501,0))&amp;"","")</f>
        <v>waynehills.ventures@gmail.com</v>
      </c>
      <c r="M22" s="21" t="str">
        <f aca="false">IFERROR(INDEX(종합!M$3:M$501,MATCH(ROW()-2,종합!$AD$3:$AD$501,0))&amp;"","")</f>
        <v>서울 강서구 공항대로 165.원그로브 A동 3층</v>
      </c>
      <c r="N22" s="25" t="str">
        <f aca="false">IFERROR(INDEX(종합!N$3:N$501,MATCH(ROW()-2,종합!$AD$3:$AD$501,0))&amp;"","")</f>
        <v>영상생성 합성 기술</v>
      </c>
      <c r="O22" s="21" t="str">
        <f aca="false">IFERROR(INDEX(종합!O$3:O$501,MATCH(ROW()-2,종합!$AD$3:$AD$501,0))&amp;"","")</f>
        <v>이수민</v>
      </c>
      <c r="P22" s="21" t="str">
        <f aca="false">IFERROR(INDEX(종합!P$3:P$501,MATCH(ROW()-2,종합!$AD$3:$AD$501,0))&amp;"","")</f>
        <v>상동</v>
      </c>
      <c r="Q22" s="21" t="str">
        <f aca="false">IFERROR(INDEX(종합!Q$3:Q$501,MATCH(ROW()-2,종합!$AD$3:$AD$501,0))&amp;"","")</f>
        <v>대표</v>
      </c>
      <c r="R22" s="21" t="str">
        <f aca="false">IFERROR(INDEX(종합!R$3:R$501,MATCH(ROW()-2,종합!$AD$3:$AD$501,0))&amp;"","")</f>
        <v>010-4111-9003</v>
      </c>
      <c r="S22" s="21" t="str">
        <f aca="false">IFERROR(INDEX(종합!S$3:S$501,MATCH(ROW()-2,종합!$AD$3:$AD$501,0))&amp;"","")</f>
        <v>ceo@waynehills.co</v>
      </c>
      <c r="T22" s="21" t="str">
        <f aca="false">IFERROR(INDEX(종합!T$3:T$501,MATCH(ROW()-2,종합!$AD$3:$AD$501,0))&amp;"","")</f>
        <v>010-4111-9003</v>
      </c>
      <c r="U22" s="21" t="str">
        <f aca="false">IFERROR(INDEX(종합!U$3:U$501,MATCH(ROW()-2,종합!$AD$3:$AD$501,0))&amp;"","")</f>
        <v>이수민</v>
      </c>
      <c r="V22" s="21" t="str">
        <f aca="false">IFERROR(INDEX(종합!V$3:V$501,MATCH(ROW()-2,종합!$AD$3:$AD$501,0))&amp;"","")</f>
        <v>상동</v>
      </c>
      <c r="W22" s="21" t="str">
        <f aca="false">IFERROR(INDEX(종합!W$3:W$501,MATCH(ROW()-2,종합!$AD$3:$AD$501,0))&amp;"","")</f>
        <v>대표</v>
      </c>
      <c r="X22" s="21" t="str">
        <f aca="false">IFERROR(INDEX(종합!X$3:X$501,MATCH(ROW()-2,종합!$AD$3:$AD$501,0))&amp;"","")</f>
        <v>010-4111-9003</v>
      </c>
      <c r="Y22" s="21" t="str">
        <f aca="false">IFERROR(INDEX(종합!Y$3:Y$501,MATCH(ROW()-2,종합!$AD$3:$AD$501,0))&amp;"","")</f>
        <v>ceo@waynehills.co</v>
      </c>
      <c r="Z22" s="21" t="str">
        <f aca="false">IFERROR(INDEX(종합!Z$3:Z$501,MATCH(ROW()-2,종합!$AD$3:$AD$501,0))&amp;"","")</f>
        <v>010-4111-9003</v>
      </c>
      <c r="AA22" s="23" t="str">
        <f aca="false">IFERROR(INDEX(종합!AA$3:AA$501,MATCH(ROW()-2,종합!$AD$3:$AD$501,0))&amp;"","")</f>
        <v/>
      </c>
    </row>
    <row r="23" customFormat="false" ht="22.5" hidden="false" customHeight="true" outlineLevel="0" collapsed="false">
      <c r="A23" s="18" t="n">
        <f aca="false">IF(B23="","",ROW()-2)</f>
        <v>21</v>
      </c>
      <c r="B23" s="18" t="str">
        <f aca="false">IFERROR(INDEX(종합!B$3:B$501,MATCH(ROW()-2,종합!$AD$3:$AD$501,0))&amp;"","")</f>
        <v>쓰리알이노베이션(주)</v>
      </c>
      <c r="C23" s="18" t="str">
        <f aca="false">IFERROR(INDEX(종합!C$3:C$501,MATCH(ROW()-2,종합!$AD$3:$AD$501,0))&amp;"","")</f>
        <v/>
      </c>
      <c r="D23" s="18" t="str">
        <f aca="false">IFERROR(INDEX(종합!D$3:D$501,MATCH(ROW()-2,종합!$AD$3:$AD$501,0))&amp;"","")</f>
        <v/>
      </c>
      <c r="E23" s="18" t="str">
        <f aca="false">IFERROR(INDEX(종합!E$3:E$501,MATCH(ROW()-2,종합!$AD$3:$AD$501,0))&amp;"","")</f>
        <v>O</v>
      </c>
      <c r="F23" s="18" t="str">
        <f aca="false">IFERROR(INDEX(종합!F$3:F$501,MATCH(ROW()-2,종합!$AD$3:$AD$501,0))&amp;"","")</f>
        <v/>
      </c>
      <c r="G23" s="18" t="str">
        <f aca="false">IFERROR(INDEX(종합!G$3:G$501,MATCH(ROW()-2,종합!$AD$3:$AD$501,0))&amp;"","")</f>
        <v>중소기업</v>
      </c>
      <c r="H23" s="21" t="str">
        <f aca="false">IFERROR(INDEX(종합!H$3:H$501,MATCH(ROW()-2,종합!$AD$3:$AD$501,0))&amp;"","")</f>
        <v>245-81-02274</v>
      </c>
      <c r="I23" s="21" t="str">
        <f aca="false">IFERROR(INDEX(종합!I$3:I$501,MATCH(ROW()-2,종합!$AD$3:$AD$501,0))&amp;"","")</f>
        <v>조광수</v>
      </c>
      <c r="J23" s="21" t="str">
        <f aca="false">IFERROR(INDEX(종합!J$3:J$501,MATCH(ROW()-2,종합!$AD$3:$AD$501,0))&amp;"","")</f>
        <v>070-8064-3336</v>
      </c>
      <c r="K23" s="21" t="str">
        <f aca="false">IFERROR(INDEX(종합!K$3:K$501,MATCH(ROW()-2,종합!$AD$3:$AD$501,0))&amp;"","")</f>
        <v>https://3rinnovation.com</v>
      </c>
      <c r="L23" s="21" t="str">
        <f aca="false">IFERROR(INDEX(종합!L$3:L$501,MATCH(ROW()-2,종합!$AD$3:$AD$501,0))&amp;"","")</f>
        <v>kc@focuspang.com</v>
      </c>
      <c r="M23" s="21" t="str">
        <f aca="false">IFERROR(INDEX(종합!M$3:M$501,MATCH(ROW()-2,종합!$AD$3:$AD$501,0))&amp;"","")</f>
        <v>대전 서구 둔지로 60</v>
      </c>
      <c r="N23" s="25" t="str">
        <f aca="false">IFERROR(INDEX(종합!N$3:N$501,MATCH(ROW()-2,종합!$AD$3:$AD$501,0))&amp;"","")</f>
        <v>Multimodal Timeseries Sensor Data Modeling; Specialized LLM; Digital Phenotyping</v>
      </c>
      <c r="O23" s="21" t="str">
        <f aca="false">IFERROR(INDEX(종합!O$3:O$501,MATCH(ROW()-2,종합!$AD$3:$AD$501,0))&amp;"","")</f>
        <v>조광수</v>
      </c>
      <c r="P23" s="21" t="str">
        <f aca="false">IFERROR(INDEX(종합!P$3:P$501,MATCH(ROW()-2,종합!$AD$3:$AD$501,0))&amp;"","")</f>
        <v>경영</v>
      </c>
      <c r="Q23" s="21" t="str">
        <f aca="false">IFERROR(INDEX(종합!Q$3:Q$501,MATCH(ROW()-2,종합!$AD$3:$AD$501,0))&amp;"","")</f>
        <v>대표</v>
      </c>
      <c r="R23" s="21" t="str">
        <f aca="false">IFERROR(INDEX(종합!R$3:R$501,MATCH(ROW()-2,종합!$AD$3:$AD$501,0))&amp;"","")</f>
        <v>070-8064-3336</v>
      </c>
      <c r="S23" s="21" t="str">
        <f aca="false">IFERROR(INDEX(종합!S$3:S$501,MATCH(ROW()-2,종합!$AD$3:$AD$501,0))&amp;"","")</f>
        <v>kc@focuspang.com</v>
      </c>
      <c r="T23" s="21" t="str">
        <f aca="false">IFERROR(INDEX(종합!T$3:T$501,MATCH(ROW()-2,종합!$AD$3:$AD$501,0))&amp;"","")</f>
        <v>010-6747-0322</v>
      </c>
      <c r="U23" s="21" t="str">
        <f aca="false">IFERROR(INDEX(종합!U$3:U$501,MATCH(ROW()-2,종합!$AD$3:$AD$501,0))&amp;"","")</f>
        <v>조광수</v>
      </c>
      <c r="V23" s="21" t="str">
        <f aca="false">IFERROR(INDEX(종합!V$3:V$501,MATCH(ROW()-2,종합!$AD$3:$AD$501,0))&amp;"","")</f>
        <v>경영</v>
      </c>
      <c r="W23" s="21" t="str">
        <f aca="false">IFERROR(INDEX(종합!W$3:W$501,MATCH(ROW()-2,종합!$AD$3:$AD$501,0))&amp;"","")</f>
        <v>대표</v>
      </c>
      <c r="X23" s="21" t="str">
        <f aca="false">IFERROR(INDEX(종합!X$3:X$501,MATCH(ROW()-2,종합!$AD$3:$AD$501,0))&amp;"","")</f>
        <v>070-8064-3336</v>
      </c>
      <c r="Y23" s="21" t="str">
        <f aca="false">IFERROR(INDEX(종합!Y$3:Y$501,MATCH(ROW()-2,종합!$AD$3:$AD$501,0))&amp;"","")</f>
        <v>kc@focuspang.com</v>
      </c>
      <c r="Z23" s="21" t="str">
        <f aca="false">IFERROR(INDEX(종합!Z$3:Z$501,MATCH(ROW()-2,종합!$AD$3:$AD$501,0))&amp;"","")</f>
        <v>010-6747-0322</v>
      </c>
      <c r="AA23" s="23" t="str">
        <f aca="false">IFERROR(INDEX(종합!AA$3:AA$501,MATCH(ROW()-2,종합!$AD$3:$AD$501,0))&amp;"","")</f>
        <v/>
      </c>
    </row>
    <row r="24" customFormat="false" ht="22.5" hidden="false" customHeight="true" outlineLevel="0" collapsed="false">
      <c r="A24" s="18" t="n">
        <f aca="false">IF(B24="","",ROW()-2)</f>
        <v>22</v>
      </c>
      <c r="B24" s="18" t="str">
        <f aca="false">IFERROR(INDEX(종합!B$3:B$501,MATCH(ROW()-2,종합!$AD$3:$AD$501,0))&amp;"","")</f>
        <v>국가유산진흥원</v>
      </c>
      <c r="C24" s="18" t="str">
        <f aca="false">IFERROR(INDEX(종합!C$3:C$501,MATCH(ROW()-2,종합!$AD$3:$AD$501,0))&amp;"","")</f>
        <v/>
      </c>
      <c r="D24" s="18" t="str">
        <f aca="false">IFERROR(INDEX(종합!D$3:D$501,MATCH(ROW()-2,종합!$AD$3:$AD$501,0))&amp;"","")</f>
        <v/>
      </c>
      <c r="E24" s="18" t="str">
        <f aca="false">IFERROR(INDEX(종합!E$3:E$501,MATCH(ROW()-2,종합!$AD$3:$AD$501,0))&amp;"","")</f>
        <v>O</v>
      </c>
      <c r="F24" s="18" t="str">
        <f aca="false">IFERROR(INDEX(종합!F$3:F$501,MATCH(ROW()-2,종합!$AD$3:$AD$501,0))&amp;"","")</f>
        <v/>
      </c>
      <c r="G24" s="18" t="str">
        <f aca="false">IFERROR(INDEX(종합!G$3:G$501,MATCH(ROW()-2,종합!$AD$3:$AD$501,0))&amp;"","")</f>
        <v>공공기관</v>
      </c>
      <c r="H24" s="21" t="str">
        <f aca="false">IFERROR(INDEX(종합!H$3:H$501,MATCH(ROW()-2,종합!$AD$3:$AD$501,0))&amp;"","")</f>
        <v>203-82-02904</v>
      </c>
      <c r="I24" s="21" t="str">
        <f aca="false">IFERROR(INDEX(종합!I$3:I$501,MATCH(ROW()-2,종합!$AD$3:$AD$501,0))&amp;"","")</f>
        <v>이귀영</v>
      </c>
      <c r="J24" s="21" t="str">
        <f aca="false">IFERROR(INDEX(종합!J$3:J$501,MATCH(ROW()-2,종합!$AD$3:$AD$501,0))&amp;"","")</f>
        <v>02-3011-2671</v>
      </c>
      <c r="K24" s="21" t="str">
        <f aca="false">IFERROR(INDEX(종합!K$3:K$501,MATCH(ROW()-2,종합!$AD$3:$AD$501,0))&amp;"","")</f>
        <v>https://www.kh.or.kr</v>
      </c>
      <c r="L24" s="21" t="str">
        <f aca="false">IFERROR(INDEX(종합!L$3:L$501,MATCH(ROW()-2,종합!$AD$3:$AD$501,0))&amp;"","")</f>
        <v>jungteck@gmail.com</v>
      </c>
      <c r="M24" s="21" t="str">
        <f aca="false">IFERROR(INDEX(종합!M$3:M$501,MATCH(ROW()-2,종합!$AD$3:$AD$501,0))&amp;"","")</f>
        <v>서울시 봉은사로 406, 국가유산진흥원 5층, AI데이터팀</v>
      </c>
      <c r="N24" s="25" t="str">
        <f aca="false">IFERROR(INDEX(종합!N$3:N$501,MATCH(ROW()-2,종합!$AD$3:$AD$501,0))&amp;"","")</f>
        <v>문화유산 AI, 소버린 AI, 데이터 분석</v>
      </c>
      <c r="O24" s="21" t="str">
        <f aca="false">IFERROR(INDEX(종합!O$3:O$501,MATCH(ROW()-2,종합!$AD$3:$AD$501,0))&amp;"","")</f>
        <v>심정택</v>
      </c>
      <c r="P24" s="21" t="str">
        <f aca="false">IFERROR(INDEX(종합!P$3:P$501,MATCH(ROW()-2,종합!$AD$3:$AD$501,0))&amp;"","")</f>
        <v>AI데이터팀</v>
      </c>
      <c r="Q24" s="21" t="str">
        <f aca="false">IFERROR(INDEX(종합!Q$3:Q$501,MATCH(ROW()-2,종합!$AD$3:$AD$501,0))&amp;"","")</f>
        <v>팀장</v>
      </c>
      <c r="R24" s="21" t="str">
        <f aca="false">IFERROR(INDEX(종합!R$3:R$501,MATCH(ROW()-2,종합!$AD$3:$AD$501,0))&amp;"","")</f>
        <v>02-3011-2671</v>
      </c>
      <c r="S24" s="21" t="str">
        <f aca="false">IFERROR(INDEX(종합!S$3:S$501,MATCH(ROW()-2,종합!$AD$3:$AD$501,0))&amp;"","")</f>
        <v>t@kh.or.kr</v>
      </c>
      <c r="T24" s="21" t="str">
        <f aca="false">IFERROR(INDEX(종합!T$3:T$501,MATCH(ROW()-2,종합!$AD$3:$AD$501,0))&amp;"","")</f>
        <v>010-4092-2440</v>
      </c>
      <c r="U24" s="21" t="str">
        <f aca="false">IFERROR(INDEX(종합!U$3:U$501,MATCH(ROW()-2,종합!$AD$3:$AD$501,0))&amp;"","")</f>
        <v>심정택</v>
      </c>
      <c r="V24" s="21" t="str">
        <f aca="false">IFERROR(INDEX(종합!V$3:V$501,MATCH(ROW()-2,종합!$AD$3:$AD$501,0))&amp;"","")</f>
        <v>AI데이터팀</v>
      </c>
      <c r="W24" s="21" t="str">
        <f aca="false">IFERROR(INDEX(종합!W$3:W$501,MATCH(ROW()-2,종합!$AD$3:$AD$501,0))&amp;"","")</f>
        <v>팀장</v>
      </c>
      <c r="X24" s="21" t="str">
        <f aca="false">IFERROR(INDEX(종합!X$3:X$501,MATCH(ROW()-2,종합!$AD$3:$AD$501,0))&amp;"","")</f>
        <v>02-3011-2671</v>
      </c>
      <c r="Y24" s="21" t="str">
        <f aca="false">IFERROR(INDEX(종합!Y$3:Y$501,MATCH(ROW()-2,종합!$AD$3:$AD$501,0))&amp;"","")</f>
        <v>t@kh.or.kr</v>
      </c>
      <c r="Z24" s="21" t="str">
        <f aca="false">IFERROR(INDEX(종합!Z$3:Z$501,MATCH(ROW()-2,종합!$AD$3:$AD$501,0))&amp;"","")</f>
        <v>010-4092-2440</v>
      </c>
      <c r="AA24" s="23" t="str">
        <f aca="false">IFERROR(INDEX(종합!AA$3:AA$501,MATCH(ROW()-2,종합!$AD$3:$AD$501,0))&amp;"","")</f>
        <v/>
      </c>
    </row>
    <row r="25" customFormat="false" ht="22.5" hidden="false" customHeight="true" outlineLevel="0" collapsed="false">
      <c r="A25" s="18" t="n">
        <f aca="false">IF(B25="","",ROW()-2)</f>
        <v>23</v>
      </c>
      <c r="B25" s="18" t="str">
        <f aca="false">IFERROR(INDEX(종합!B$3:B$501,MATCH(ROW()-2,종합!$AD$3:$AD$501,0))&amp;"","")</f>
        <v>(주)테크트리이노베이션</v>
      </c>
      <c r="C25" s="18" t="str">
        <f aca="false">IFERROR(INDEX(종합!C$3:C$501,MATCH(ROW()-2,종합!$AD$3:$AD$501,0))&amp;"","")</f>
        <v/>
      </c>
      <c r="D25" s="18" t="str">
        <f aca="false">IFERROR(INDEX(종합!D$3:D$501,MATCH(ROW()-2,종합!$AD$3:$AD$501,0))&amp;"","")</f>
        <v>O</v>
      </c>
      <c r="E25" s="18" t="str">
        <f aca="false">IFERROR(INDEX(종합!E$3:E$501,MATCH(ROW()-2,종합!$AD$3:$AD$501,0))&amp;"","")</f>
        <v>O</v>
      </c>
      <c r="F25" s="18" t="str">
        <f aca="false">IFERROR(INDEX(종합!F$3:F$501,MATCH(ROW()-2,종합!$AD$3:$AD$501,0))&amp;"","")</f>
        <v/>
      </c>
      <c r="G25" s="18" t="str">
        <f aca="false">IFERROR(INDEX(종합!G$3:G$501,MATCH(ROW()-2,종합!$AD$3:$AD$501,0))&amp;"","")</f>
        <v>중소기업</v>
      </c>
      <c r="H25" s="21" t="str">
        <f aca="false">IFERROR(INDEX(종합!H$3:H$501,MATCH(ROW()-2,종합!$AD$3:$AD$501,0))&amp;"","")</f>
        <v>364-86-01299</v>
      </c>
      <c r="I25" s="21" t="str">
        <f aca="false">IFERROR(INDEX(종합!I$3:I$501,MATCH(ROW()-2,종합!$AD$3:$AD$501,0))&amp;"","")</f>
        <v>최승엽</v>
      </c>
      <c r="J25" s="21" t="str">
        <f aca="false">IFERROR(INDEX(종합!J$3:J$501,MATCH(ROW()-2,종합!$AD$3:$AD$501,0))&amp;"","")</f>
        <v>02-6951-4420</v>
      </c>
      <c r="K25" s="21" t="str">
        <f aca="false">IFERROR(INDEX(종합!K$3:K$501,MATCH(ROW()-2,종합!$AD$3:$AD$501,0))&amp;"","")</f>
        <v>https:/tt-inno.com</v>
      </c>
      <c r="L25" s="21" t="str">
        <f aca="false">IFERROR(INDEX(종합!L$3:L$501,MATCH(ROW()-2,종합!$AD$3:$AD$501,0))&amp;"","")</f>
        <v>mpaperstory@gmail.com</v>
      </c>
      <c r="M25" s="21" t="str">
        <f aca="false">IFERROR(INDEX(종합!M$3:M$501,MATCH(ROW()-2,종합!$AD$3:$AD$501,0))&amp;"","")</f>
        <v>서울시 서초구 반포대로 28길 24 2층</v>
      </c>
      <c r="N25" s="25" t="str">
        <f aca="false">IFERROR(INDEX(종합!N$3:N$501,MATCH(ROW()-2,종합!$AD$3:$AD$501,0))&amp;"","")</f>
        <v>광역 공간 디지털 트윈 및 환경 합성 데이터셋 (AROUND)</v>
      </c>
      <c r="O25" s="21" t="str">
        <f aca="false">IFERROR(INDEX(종합!O$3:O$501,MATCH(ROW()-2,종합!$AD$3:$AD$501,0))&amp;"","")</f>
        <v>최승엽</v>
      </c>
      <c r="P25" s="21" t="str">
        <f aca="false">IFERROR(INDEX(종합!P$3:P$501,MATCH(ROW()-2,종합!$AD$3:$AD$501,0))&amp;"","")</f>
        <v>대표이사</v>
      </c>
      <c r="Q25" s="21" t="str">
        <f aca="false">IFERROR(INDEX(종합!Q$3:Q$501,MATCH(ROW()-2,종합!$AD$3:$AD$501,0))&amp;"","")</f>
        <v>대표이사</v>
      </c>
      <c r="R25" s="21" t="str">
        <f aca="false">IFERROR(INDEX(종합!R$3:R$501,MATCH(ROW()-2,종합!$AD$3:$AD$501,0))&amp;"","")</f>
        <v>010-2271-6136</v>
      </c>
      <c r="S25" s="21" t="str">
        <f aca="false">IFERROR(INDEX(종합!S$3:S$501,MATCH(ROW()-2,종합!$AD$3:$AD$501,0))&amp;"","")</f>
        <v>csyrocker@naver.com</v>
      </c>
      <c r="T25" s="21" t="str">
        <f aca="false">IFERROR(INDEX(종합!T$3:T$501,MATCH(ROW()-2,종합!$AD$3:$AD$501,0))&amp;"","")</f>
        <v>010-2271-6136</v>
      </c>
      <c r="U25" s="21" t="str">
        <f aca="false">IFERROR(INDEX(종합!U$3:U$501,MATCH(ROW()-2,종합!$AD$3:$AD$501,0))&amp;"","")</f>
        <v>최승엽</v>
      </c>
      <c r="V25" s="21" t="str">
        <f aca="false">IFERROR(INDEX(종합!V$3:V$501,MATCH(ROW()-2,종합!$AD$3:$AD$501,0))&amp;"","")</f>
        <v>대표이사</v>
      </c>
      <c r="W25" s="21" t="str">
        <f aca="false">IFERROR(INDEX(종합!W$3:W$501,MATCH(ROW()-2,종합!$AD$3:$AD$501,0))&amp;"","")</f>
        <v>대표이사</v>
      </c>
      <c r="X25" s="21" t="str">
        <f aca="false">IFERROR(INDEX(종합!X$3:X$501,MATCH(ROW()-2,종합!$AD$3:$AD$501,0))&amp;"","")</f>
        <v>010-2271-6136</v>
      </c>
      <c r="Y25" s="21" t="str">
        <f aca="false">IFERROR(INDEX(종합!Y$3:Y$501,MATCH(ROW()-2,종합!$AD$3:$AD$501,0))&amp;"","")</f>
        <v>csyrocker@naver.com</v>
      </c>
      <c r="Z25" s="21" t="str">
        <f aca="false">IFERROR(INDEX(종합!Z$3:Z$501,MATCH(ROW()-2,종합!$AD$3:$AD$501,0))&amp;"","")</f>
        <v>010-2271-6136</v>
      </c>
      <c r="AA25" s="23" t="str">
        <f aca="false">IFERROR(INDEX(종합!AA$3:AA$501,MATCH(ROW()-2,종합!$AD$3:$AD$501,0))&amp;"","")</f>
        <v/>
      </c>
    </row>
    <row r="26" customFormat="false" ht="22.5" hidden="false" customHeight="true" outlineLevel="0" collapsed="false">
      <c r="A26" s="18" t="n">
        <f aca="false">IF(B26="","",ROW()-2)</f>
        <v>24</v>
      </c>
      <c r="B26" s="18" t="str">
        <f aca="false">IFERROR(INDEX(종합!B$3:B$501,MATCH(ROW()-2,종합!$AD$3:$AD$501,0))&amp;"","")</f>
        <v>주식회사 엘비에스테크</v>
      </c>
      <c r="C26" s="18" t="str">
        <f aca="false">IFERROR(INDEX(종합!C$3:C$501,MATCH(ROW()-2,종합!$AD$3:$AD$501,0))&amp;"","")</f>
        <v/>
      </c>
      <c r="D26" s="18" t="str">
        <f aca="false">IFERROR(INDEX(종합!D$3:D$501,MATCH(ROW()-2,종합!$AD$3:$AD$501,0))&amp;"","")</f>
        <v/>
      </c>
      <c r="E26" s="18" t="str">
        <f aca="false">IFERROR(INDEX(종합!E$3:E$501,MATCH(ROW()-2,종합!$AD$3:$AD$501,0))&amp;"","")</f>
        <v>O</v>
      </c>
      <c r="F26" s="18" t="str">
        <f aca="false">IFERROR(INDEX(종합!F$3:F$501,MATCH(ROW()-2,종합!$AD$3:$AD$501,0))&amp;"","")</f>
        <v/>
      </c>
      <c r="G26" s="18" t="str">
        <f aca="false">IFERROR(INDEX(종합!G$3:G$501,MATCH(ROW()-2,종합!$AD$3:$AD$501,0))&amp;"","")</f>
        <v>중소기업</v>
      </c>
      <c r="H26" s="21" t="str">
        <f aca="false">IFERROR(INDEX(종합!H$3:H$501,MATCH(ROW()-2,종합!$AD$3:$AD$501,0))&amp;"","")</f>
        <v>865-86-01322</v>
      </c>
      <c r="I26" s="21" t="str">
        <f aca="false">IFERROR(INDEX(종합!I$3:I$501,MATCH(ROW()-2,종합!$AD$3:$AD$501,0))&amp;"","")</f>
        <v>이시완</v>
      </c>
      <c r="J26" s="21" t="str">
        <f aca="false">IFERROR(INDEX(종합!J$3:J$501,MATCH(ROW()-2,종합!$AD$3:$AD$501,0))&amp;"","")</f>
        <v>010-4610-0706</v>
      </c>
      <c r="K26" s="21" t="str">
        <f aca="false">IFERROR(INDEX(종합!K$3:K$501,MATCH(ROW()-2,종합!$AD$3:$AD$501,0))&amp;"","")</f>
        <v>https://www.lbstech.net/</v>
      </c>
      <c r="L26" s="21" t="str">
        <f aca="false">IFERROR(INDEX(종합!L$3:L$501,MATCH(ROW()-2,종합!$AD$3:$AD$501,0))&amp;"","")</f>
        <v>igyoo@lbstech.net</v>
      </c>
      <c r="M26" s="21" t="str">
        <f aca="false">IFERROR(INDEX(종합!M$3:M$501,MATCH(ROW()-2,종합!$AD$3:$AD$501,0))&amp;"","")</f>
        <v>인천광역시 남동구 남동대로215번길 30, 711호</v>
      </c>
      <c r="N26" s="25" t="str">
        <f aca="false">IFERROR(INDEX(종합!N$3:N$501,MATCH(ROW()-2,종합!$AD$3:$AD$501,0))&amp;"","")</f>
        <v>시각지능 기반 위치 측위(VPS), 멀티모달 인터페이스, AI 기반 배리어프리(Barrier-free) 도시 플랫폼</v>
      </c>
      <c r="O26" s="21" t="str">
        <f aca="false">IFERROR(INDEX(종합!O$3:O$501,MATCH(ROW()-2,종합!$AD$3:$AD$501,0))&amp;"","")</f>
        <v>이시완</v>
      </c>
      <c r="P26" s="21" t="str">
        <f aca="false">IFERROR(INDEX(종합!P$3:P$501,MATCH(ROW()-2,종합!$AD$3:$AD$501,0))&amp;"","")</f>
        <v>사업총괄</v>
      </c>
      <c r="Q26" s="21" t="str">
        <f aca="false">IFERROR(INDEX(종합!Q$3:Q$501,MATCH(ROW()-2,종합!$AD$3:$AD$501,0))&amp;"","")</f>
        <v>대표</v>
      </c>
      <c r="R26" s="21" t="str">
        <f aca="false">IFERROR(INDEX(종합!R$3:R$501,MATCH(ROW()-2,종합!$AD$3:$AD$501,0))&amp;"","")</f>
        <v>070-8667-0706</v>
      </c>
      <c r="S26" s="21" t="str">
        <f aca="false">IFERROR(INDEX(종합!S$3:S$501,MATCH(ROW()-2,종합!$AD$3:$AD$501,0))&amp;"","")</f>
        <v>swlee@lbstech.net</v>
      </c>
      <c r="T26" s="21" t="str">
        <f aca="false">IFERROR(INDEX(종합!T$3:T$501,MATCH(ROW()-2,종합!$AD$3:$AD$501,0))&amp;"","")</f>
        <v>010-4610-0706</v>
      </c>
      <c r="U26" s="21" t="str">
        <f aca="false">IFERROR(INDEX(종합!U$3:U$501,MATCH(ROW()-2,종합!$AD$3:$AD$501,0))&amp;"","")</f>
        <v>이시완</v>
      </c>
      <c r="V26" s="21" t="str">
        <f aca="false">IFERROR(INDEX(종합!V$3:V$501,MATCH(ROW()-2,종합!$AD$3:$AD$501,0))&amp;"","")</f>
        <v>사업총괄</v>
      </c>
      <c r="W26" s="21" t="str">
        <f aca="false">IFERROR(INDEX(종합!W$3:W$501,MATCH(ROW()-2,종합!$AD$3:$AD$501,0))&amp;"","")</f>
        <v>대표</v>
      </c>
      <c r="X26" s="21" t="str">
        <f aca="false">IFERROR(INDEX(종합!X$3:X$501,MATCH(ROW()-2,종합!$AD$3:$AD$501,0))&amp;"","")</f>
        <v>070-8667-0706</v>
      </c>
      <c r="Y26" s="21" t="str">
        <f aca="false">IFERROR(INDEX(종합!Y$3:Y$501,MATCH(ROW()-2,종합!$AD$3:$AD$501,0))&amp;"","")</f>
        <v>swlee@lbstech.net</v>
      </c>
      <c r="Z26" s="21" t="str">
        <f aca="false">IFERROR(INDEX(종합!Z$3:Z$501,MATCH(ROW()-2,종합!$AD$3:$AD$501,0))&amp;"","")</f>
        <v>010-4610-0706</v>
      </c>
      <c r="AA26" s="23" t="str">
        <f aca="false">IFERROR(INDEX(종합!AA$3:AA$501,MATCH(ROW()-2,종합!$AD$3:$AD$501,0))&amp;"","")</f>
        <v/>
      </c>
    </row>
    <row r="27" customFormat="false" ht="22.5" hidden="false" customHeight="true" outlineLevel="0" collapsed="false">
      <c r="A27" s="18" t="n">
        <f aca="false">IF(B27="","",ROW()-2)</f>
        <v>25</v>
      </c>
      <c r="B27" s="18" t="str">
        <f aca="false">IFERROR(INDEX(종합!B$3:B$501,MATCH(ROW()-2,종합!$AD$3:$AD$501,0))&amp;"","")</f>
        <v>쿠도커뮤니케이션(주)</v>
      </c>
      <c r="C27" s="18" t="str">
        <f aca="false">IFERROR(INDEX(종합!C$3:C$501,MATCH(ROW()-2,종합!$AD$3:$AD$501,0))&amp;"","")</f>
        <v/>
      </c>
      <c r="D27" s="18" t="str">
        <f aca="false">IFERROR(INDEX(종합!D$3:D$501,MATCH(ROW()-2,종합!$AD$3:$AD$501,0))&amp;"","")</f>
        <v/>
      </c>
      <c r="E27" s="18" t="str">
        <f aca="false">IFERROR(INDEX(종합!E$3:E$501,MATCH(ROW()-2,종합!$AD$3:$AD$501,0))&amp;"","")</f>
        <v>O</v>
      </c>
      <c r="F27" s="18" t="str">
        <f aca="false">IFERROR(INDEX(종합!F$3:F$501,MATCH(ROW()-2,종합!$AD$3:$AD$501,0))&amp;"","")</f>
        <v/>
      </c>
      <c r="G27" s="18" t="str">
        <f aca="false">IFERROR(INDEX(종합!G$3:G$501,MATCH(ROW()-2,종합!$AD$3:$AD$501,0))&amp;"","")</f>
        <v>중소기업</v>
      </c>
      <c r="H27" s="21" t="str">
        <f aca="false">IFERROR(INDEX(종합!H$3:H$501,MATCH(ROW()-2,종합!$AD$3:$AD$501,0))&amp;"","")</f>
        <v>104-81-57634</v>
      </c>
      <c r="I27" s="21" t="str">
        <f aca="false">IFERROR(INDEX(종합!I$3:I$501,MATCH(ROW()-2,종합!$AD$3:$AD$501,0))&amp;"","")</f>
        <v>김용식</v>
      </c>
      <c r="J27" s="21" t="str">
        <f aca="false">IFERROR(INDEX(종합!J$3:J$501,MATCH(ROW()-2,종합!$AD$3:$AD$501,0))&amp;"","")</f>
        <v>010-8853-0465</v>
      </c>
      <c r="K27" s="21" t="str">
        <f aca="false">IFERROR(INDEX(종합!K$3:K$501,MATCH(ROW()-2,종합!$AD$3:$AD$501,0))&amp;"","")</f>
        <v>https://www.cudo.co.kr</v>
      </c>
      <c r="L27" s="21" t="str">
        <f aca="false">IFERROR(INDEX(종합!L$3:L$501,MATCH(ROW()-2,종합!$AD$3:$AD$501,0))&amp;"","")</f>
        <v>hccheon85@gmail.com</v>
      </c>
      <c r="M27" s="21" t="str">
        <f aca="false">IFERROR(INDEX(종합!M$3:M$501,MATCH(ROW()-2,종합!$AD$3:$AD$501,0))&amp;"","")</f>
        <v>경기도 과천시 과천대로 7나길 9. DX타워 </v>
      </c>
      <c r="N27" s="25" t="str">
        <f aca="false">IFERROR(INDEX(종합!N$3:N$501,MATCH(ROW()-2,종합!$AD$3:$AD$501,0))&amp;"","")</f>
        <v>통합플랫폼(제품명: CUVIA), AI헬스케어(제품명: HEALLO)</v>
      </c>
      <c r="O27" s="21" t="str">
        <f aca="false">IFERROR(INDEX(종합!O$3:O$501,MATCH(ROW()-2,종합!$AD$3:$AD$501,0))&amp;"","")</f>
        <v>천효창</v>
      </c>
      <c r="P27" s="21" t="str">
        <f aca="false">IFERROR(INDEX(종합!P$3:P$501,MATCH(ROW()-2,종합!$AD$3:$AD$501,0))&amp;"","")</f>
        <v>DX사업부 AI-Agent연구소</v>
      </c>
      <c r="Q27" s="21" t="str">
        <f aca="false">IFERROR(INDEX(종합!Q$3:Q$501,MATCH(ROW()-2,종합!$AD$3:$AD$501,0))&amp;"","")</f>
        <v>부장/연구소장</v>
      </c>
      <c r="R27" s="21" t="str">
        <f aca="false">IFERROR(INDEX(종합!R$3:R$501,MATCH(ROW()-2,종합!$AD$3:$AD$501,0))&amp;"","")</f>
        <v>010-8853-0465</v>
      </c>
      <c r="S27" s="21" t="str">
        <f aca="false">IFERROR(INDEX(종합!S$3:S$501,MATCH(ROW()-2,종합!$AD$3:$AD$501,0))&amp;"","")</f>
        <v>hcc@cudo.co.kr</v>
      </c>
      <c r="T27" s="21" t="str">
        <f aca="false">IFERROR(INDEX(종합!T$3:T$501,MATCH(ROW()-2,종합!$AD$3:$AD$501,0))&amp;"","")</f>
        <v>010-8853-0465</v>
      </c>
      <c r="U27" s="21" t="str">
        <f aca="false">IFERROR(INDEX(종합!U$3:U$501,MATCH(ROW()-2,종합!$AD$3:$AD$501,0))&amp;"","")</f>
        <v>천효창</v>
      </c>
      <c r="V27" s="21" t="str">
        <f aca="false">IFERROR(INDEX(종합!V$3:V$501,MATCH(ROW()-2,종합!$AD$3:$AD$501,0))&amp;"","")</f>
        <v>DX사업부 AI-Agent연구소</v>
      </c>
      <c r="W27" s="21" t="str">
        <f aca="false">IFERROR(INDEX(종합!W$3:W$501,MATCH(ROW()-2,종합!$AD$3:$AD$501,0))&amp;"","")</f>
        <v>부장/연구소장</v>
      </c>
      <c r="X27" s="21" t="str">
        <f aca="false">IFERROR(INDEX(종합!X$3:X$501,MATCH(ROW()-2,종합!$AD$3:$AD$501,0))&amp;"","")</f>
        <v>010-8853-0465</v>
      </c>
      <c r="Y27" s="21" t="str">
        <f aca="false">IFERROR(INDEX(종합!Y$3:Y$501,MATCH(ROW()-2,종합!$AD$3:$AD$501,0))&amp;"","")</f>
        <v>hcc@cudo.co.kr</v>
      </c>
      <c r="Z27" s="21" t="str">
        <f aca="false">IFERROR(INDEX(종합!Z$3:Z$501,MATCH(ROW()-2,종합!$AD$3:$AD$501,0))&amp;"","")</f>
        <v>010-8853-0465</v>
      </c>
      <c r="AA27" s="23" t="str">
        <f aca="false">IFERROR(INDEX(종합!AA$3:AA$501,MATCH(ROW()-2,종합!$AD$3:$AD$501,0))&amp;"","")</f>
        <v/>
      </c>
    </row>
    <row r="28" customFormat="false" ht="33.75" hidden="false" customHeight="true" outlineLevel="0" collapsed="false">
      <c r="A28" s="18" t="n">
        <f aca="false">IF(B28="","",ROW()-2)</f>
        <v>26</v>
      </c>
      <c r="B28" s="18" t="str">
        <f aca="false">IFERROR(INDEX(종합!B$3:B$501,MATCH(ROW()-2,종합!$AD$3:$AD$501,0))&amp;"","")</f>
        <v>에스큐아이소프트(주)</v>
      </c>
      <c r="C28" s="18" t="str">
        <f aca="false">IFERROR(INDEX(종합!C$3:C$501,MATCH(ROW()-2,종합!$AD$3:$AD$501,0))&amp;"","")</f>
        <v>O</v>
      </c>
      <c r="D28" s="18" t="str">
        <f aca="false">IFERROR(INDEX(종합!D$3:D$501,MATCH(ROW()-2,종합!$AD$3:$AD$501,0))&amp;"","")</f>
        <v>O</v>
      </c>
      <c r="E28" s="18" t="str">
        <f aca="false">IFERROR(INDEX(종합!E$3:E$501,MATCH(ROW()-2,종합!$AD$3:$AD$501,0))&amp;"","")</f>
        <v>O</v>
      </c>
      <c r="F28" s="18" t="str">
        <f aca="false">IFERROR(INDEX(종합!F$3:F$501,MATCH(ROW()-2,종합!$AD$3:$AD$501,0))&amp;"","")</f>
        <v/>
      </c>
      <c r="G28" s="18" t="str">
        <f aca="false">IFERROR(INDEX(종합!G$3:G$501,MATCH(ROW()-2,종합!$AD$3:$AD$501,0))&amp;"","")</f>
        <v>중소기업</v>
      </c>
      <c r="H28" s="21" t="str">
        <f aca="false">IFERROR(INDEX(종합!H$3:H$501,MATCH(ROW()-2,종합!$AD$3:$AD$501,0))&amp;"","")</f>
        <v>107-81-74307</v>
      </c>
      <c r="I28" s="21" t="str">
        <f aca="false">IFERROR(INDEX(종합!I$3:I$501,MATCH(ROW()-2,종합!$AD$3:$AD$501,0))&amp;"","")</f>
        <v>조영준, 현재호</v>
      </c>
      <c r="J28" s="21" t="str">
        <f aca="false">IFERROR(INDEX(종합!J$3:J$501,MATCH(ROW()-2,종합!$AD$3:$AD$501,0))&amp;"","")</f>
        <v>02-2284-3333</v>
      </c>
      <c r="K28" s="21" t="str">
        <f aca="false">IFERROR(INDEX(종합!K$3:K$501,MATCH(ROW()-2,종합!$AD$3:$AD$501,0))&amp;"","")</f>
        <v>sqisoft.com</v>
      </c>
      <c r="L28" s="21" t="str">
        <f aca="false">IFERROR(INDEX(종합!L$3:L$501,MATCH(ROW()-2,종합!$AD$3:$AD$501,0))&amp;"","")</f>
        <v>my.you@sqisoft.com</v>
      </c>
      <c r="M28" s="21" t="str">
        <f aca="false">IFERROR(INDEX(종합!M$3:M$501,MATCH(ROW()-2,종합!$AD$3:$AD$501,0))&amp;"","")</f>
        <v>서울시 영등포구 선유로3길 10, 13층</v>
      </c>
      <c r="N28" s="25" t="str">
        <f aca="false">IFERROR(INDEX(종합!N$3:N$501,MATCH(ROW()-2,종합!$AD$3:$AD$501,0))&amp;"","")</f>
        <v>대화형 데이터 분석 서비스, 법률정보 제공 서비스, 의료 및 헬스케어 서비스</v>
      </c>
      <c r="O28" s="21" t="str">
        <f aca="false">IFERROR(INDEX(종합!O$3:O$501,MATCH(ROW()-2,종합!$AD$3:$AD$501,0))&amp;"","")</f>
        <v>송정학</v>
      </c>
      <c r="P28" s="21" t="str">
        <f aca="false">IFERROR(INDEX(종합!P$3:P$501,MATCH(ROW()-2,종합!$AD$3:$AD$501,0))&amp;"","")</f>
        <v>GX사업본부</v>
      </c>
      <c r="Q28" s="21" t="str">
        <f aca="false">IFERROR(INDEX(종합!Q$3:Q$501,MATCH(ROW()-2,종합!$AD$3:$AD$501,0))&amp;"","")</f>
        <v>전무</v>
      </c>
      <c r="R28" s="21" t="str">
        <f aca="false">IFERROR(INDEX(종합!R$3:R$501,MATCH(ROW()-2,종합!$AD$3:$AD$501,0))&amp;"","")</f>
        <v>031-795-0300</v>
      </c>
      <c r="S28" s="21" t="str">
        <f aca="false">IFERROR(INDEX(종합!S$3:S$501,MATCH(ROW()-2,종합!$AD$3:$AD$501,0))&amp;"","")</f>
        <v>asone@sqisoft.com</v>
      </c>
      <c r="T28" s="21" t="str">
        <f aca="false">IFERROR(INDEX(종합!T$3:T$501,MATCH(ROW()-2,종합!$AD$3:$AD$501,0))&amp;"","")</f>
        <v>010-2723-9814</v>
      </c>
      <c r="U28" s="21" t="str">
        <f aca="false">IFERROR(INDEX(종합!U$3:U$501,MATCH(ROW()-2,종합!$AD$3:$AD$501,0))&amp;"","")</f>
        <v>송정학</v>
      </c>
      <c r="V28" s="21" t="str">
        <f aca="false">IFERROR(INDEX(종합!V$3:V$501,MATCH(ROW()-2,종합!$AD$3:$AD$501,0))&amp;"","")</f>
        <v>GX사업본부</v>
      </c>
      <c r="W28" s="21" t="str">
        <f aca="false">IFERROR(INDEX(종합!W$3:W$501,MATCH(ROW()-2,종합!$AD$3:$AD$501,0))&amp;"","")</f>
        <v>전무</v>
      </c>
      <c r="X28" s="21" t="str">
        <f aca="false">IFERROR(INDEX(종합!X$3:X$501,MATCH(ROW()-2,종합!$AD$3:$AD$501,0))&amp;"","")</f>
        <v>031-795-0300</v>
      </c>
      <c r="Y28" s="21" t="str">
        <f aca="false">IFERROR(INDEX(종합!Y$3:Y$501,MATCH(ROW()-2,종합!$AD$3:$AD$501,0))&amp;"","")</f>
        <v>asone@sqisoft.com</v>
      </c>
      <c r="Z28" s="21" t="str">
        <f aca="false">IFERROR(INDEX(종합!Z$3:Z$501,MATCH(ROW()-2,종합!$AD$3:$AD$501,0))&amp;"","")</f>
        <v>010-2723-9814</v>
      </c>
      <c r="AA28" s="23" t="str">
        <f aca="false">IFERROR(INDEX(종합!AA$3:AA$501,MATCH(ROW()-2,종합!$AD$3:$AD$501,0))&amp;"","")</f>
        <v/>
      </c>
    </row>
    <row r="29" customFormat="false" ht="22.5" hidden="false" customHeight="true" outlineLevel="0" collapsed="false">
      <c r="A29" s="18" t="n">
        <f aca="false">IF(B29="","",ROW()-2)</f>
        <v>27</v>
      </c>
      <c r="B29" s="18" t="str">
        <f aca="false">IFERROR(INDEX(종합!B$3:B$501,MATCH(ROW()-2,종합!$AD$3:$AD$501,0))&amp;"","")</f>
        <v>주식회사 디에이블</v>
      </c>
      <c r="C29" s="18" t="str">
        <f aca="false">IFERROR(INDEX(종합!C$3:C$501,MATCH(ROW()-2,종합!$AD$3:$AD$501,0))&amp;"","")</f>
        <v/>
      </c>
      <c r="D29" s="18" t="str">
        <f aca="false">IFERROR(INDEX(종합!D$3:D$501,MATCH(ROW()-2,종합!$AD$3:$AD$501,0))&amp;"","")</f>
        <v>O</v>
      </c>
      <c r="E29" s="18" t="str">
        <f aca="false">IFERROR(INDEX(종합!E$3:E$501,MATCH(ROW()-2,종합!$AD$3:$AD$501,0))&amp;"","")</f>
        <v>O</v>
      </c>
      <c r="F29" s="18" t="str">
        <f aca="false">IFERROR(INDEX(종합!F$3:F$501,MATCH(ROW()-2,종합!$AD$3:$AD$501,0))&amp;"","")</f>
        <v/>
      </c>
      <c r="G29" s="18" t="str">
        <f aca="false">IFERROR(INDEX(종합!G$3:G$501,MATCH(ROW()-2,종합!$AD$3:$AD$501,0))&amp;"","")</f>
        <v>중소기업</v>
      </c>
      <c r="H29" s="21" t="str">
        <f aca="false">IFERROR(INDEX(종합!H$3:H$501,MATCH(ROW()-2,종합!$AD$3:$AD$501,0))&amp;"","")</f>
        <v>122-87-02065</v>
      </c>
      <c r="I29" s="21" t="str">
        <f aca="false">IFERROR(INDEX(종합!I$3:I$501,MATCH(ROW()-2,종합!$AD$3:$AD$501,0))&amp;"","")</f>
        <v>소지영</v>
      </c>
      <c r="J29" s="21" t="str">
        <f aca="false">IFERROR(INDEX(종합!J$3:J$501,MATCH(ROW()-2,종합!$AD$3:$AD$501,0))&amp;"","")</f>
        <v>010-2065-7122</v>
      </c>
      <c r="K29" s="21" t="str">
        <f aca="false">IFERROR(INDEX(종합!K$3:K$501,MATCH(ROW()-2,종합!$AD$3:$AD$501,0))&amp;"","")</f>
        <v>https://aistudio.aivy.kr/</v>
      </c>
      <c r="L29" s="21" t="str">
        <f aca="false">IFERROR(INDEX(종합!L$3:L$501,MATCH(ROW()-2,종합!$AD$3:$AD$501,0))&amp;"","")</f>
        <v>healive.soh@gmail.com</v>
      </c>
      <c r="M29" s="21" t="str">
        <f aca="false">IFERROR(INDEX(종합!M$3:M$501,MATCH(ROW()-2,종합!$AD$3:$AD$501,0))&amp;"","")</f>
        <v>경기도 하남시 검단산로 239, 403호</v>
      </c>
      <c r="N29" s="25" t="str">
        <f aca="false">IFERROR(INDEX(종합!N$3:N$501,MATCH(ROW()-2,종합!$AD$3:$AD$501,0))&amp;"","")</f>
        <v>AI 기반 자동 서비스 생성 솔루션 (헬스케어, 에듀테크, 마케팅)</v>
      </c>
      <c r="O29" s="21" t="str">
        <f aca="false">IFERROR(INDEX(종합!O$3:O$501,MATCH(ROW()-2,종합!$AD$3:$AD$501,0))&amp;"","")</f>
        <v>소지영</v>
      </c>
      <c r="P29" s="21" t="str">
        <f aca="false">IFERROR(INDEX(종합!P$3:P$501,MATCH(ROW()-2,종합!$AD$3:$AD$501,0))&amp;"","")</f>
        <v>기술사업화부</v>
      </c>
      <c r="Q29" s="21" t="str">
        <f aca="false">IFERROR(INDEX(종합!Q$3:Q$501,MATCH(ROW()-2,종합!$AD$3:$AD$501,0))&amp;"","")</f>
        <v>대표</v>
      </c>
      <c r="R29" s="21" t="str">
        <f aca="false">IFERROR(INDEX(종합!R$3:R$501,MATCH(ROW()-2,종합!$AD$3:$AD$501,0))&amp;"","")</f>
        <v>010-2065-7122</v>
      </c>
      <c r="S29" s="21" t="str">
        <f aca="false">IFERROR(INDEX(종합!S$3:S$501,MATCH(ROW()-2,종합!$AD$3:$AD$501,0))&amp;"","")</f>
        <v>healive.soh@gmail.com</v>
      </c>
      <c r="T29" s="21" t="str">
        <f aca="false">IFERROR(INDEX(종합!T$3:T$501,MATCH(ROW()-2,종합!$AD$3:$AD$501,0))&amp;"","")</f>
        <v>010-2065-7122</v>
      </c>
      <c r="U29" s="21" t="str">
        <f aca="false">IFERROR(INDEX(종합!U$3:U$501,MATCH(ROW()-2,종합!$AD$3:$AD$501,0))&amp;"","")</f>
        <v>소지영</v>
      </c>
      <c r="V29" s="21" t="str">
        <f aca="false">IFERROR(INDEX(종합!V$3:V$501,MATCH(ROW()-2,종합!$AD$3:$AD$501,0))&amp;"","")</f>
        <v>기술사업화부</v>
      </c>
      <c r="W29" s="21" t="str">
        <f aca="false">IFERROR(INDEX(종합!W$3:W$501,MATCH(ROW()-2,종합!$AD$3:$AD$501,0))&amp;"","")</f>
        <v>대표</v>
      </c>
      <c r="X29" s="21" t="str">
        <f aca="false">IFERROR(INDEX(종합!X$3:X$501,MATCH(ROW()-2,종합!$AD$3:$AD$501,0))&amp;"","")</f>
        <v>010-2065-7122</v>
      </c>
      <c r="Y29" s="21" t="str">
        <f aca="false">IFERROR(INDEX(종합!Y$3:Y$501,MATCH(ROW()-2,종합!$AD$3:$AD$501,0))&amp;"","")</f>
        <v>healive.soh@gmail.com</v>
      </c>
      <c r="Z29" s="21" t="str">
        <f aca="false">IFERROR(INDEX(종합!Z$3:Z$501,MATCH(ROW()-2,종합!$AD$3:$AD$501,0))&amp;"","")</f>
        <v>010-2065-7122</v>
      </c>
      <c r="AA29" s="23" t="str">
        <f aca="false">IFERROR(INDEX(종합!AA$3:AA$501,MATCH(ROW()-2,종합!$AD$3:$AD$501,0))&amp;"","")</f>
        <v/>
      </c>
    </row>
    <row r="30" customFormat="false" ht="22.5" hidden="false" customHeight="true" outlineLevel="0" collapsed="false">
      <c r="A30" s="18" t="n">
        <f aca="false">IF(B30="","",ROW()-2)</f>
        <v>28</v>
      </c>
      <c r="B30" s="18" t="str">
        <f aca="false">IFERROR(INDEX(종합!B$3:B$501,MATCH(ROW()-2,종합!$AD$3:$AD$501,0))&amp;"","")</f>
        <v>주식회사 새눈</v>
      </c>
      <c r="C30" s="18" t="str">
        <f aca="false">IFERROR(INDEX(종합!C$3:C$501,MATCH(ROW()-2,종합!$AD$3:$AD$501,0))&amp;"","")</f>
        <v/>
      </c>
      <c r="D30" s="18" t="str">
        <f aca="false">IFERROR(INDEX(종합!D$3:D$501,MATCH(ROW()-2,종합!$AD$3:$AD$501,0))&amp;"","")</f>
        <v/>
      </c>
      <c r="E30" s="18" t="str">
        <f aca="false">IFERROR(INDEX(종합!E$3:E$501,MATCH(ROW()-2,종합!$AD$3:$AD$501,0))&amp;"","")</f>
        <v>O</v>
      </c>
      <c r="F30" s="18" t="str">
        <f aca="false">IFERROR(INDEX(종합!F$3:F$501,MATCH(ROW()-2,종합!$AD$3:$AD$501,0))&amp;"","")</f>
        <v/>
      </c>
      <c r="G30" s="18" t="str">
        <f aca="false">IFERROR(INDEX(종합!G$3:G$501,MATCH(ROW()-2,종합!$AD$3:$AD$501,0))&amp;"","")</f>
        <v>중소기업</v>
      </c>
      <c r="H30" s="21" t="str">
        <f aca="false">IFERROR(INDEX(종합!H$3:H$501,MATCH(ROW()-2,종합!$AD$3:$AD$501,0))&amp;"","")</f>
        <v>402-86-06811</v>
      </c>
      <c r="I30" s="21" t="str">
        <f aca="false">IFERROR(INDEX(종합!I$3:I$501,MATCH(ROW()-2,종합!$AD$3:$AD$501,0))&amp;"","")</f>
        <v>백청열</v>
      </c>
      <c r="J30" s="21" t="str">
        <f aca="false">IFERROR(INDEX(종합!J$3:J$501,MATCH(ROW()-2,종합!$AD$3:$AD$501,0))&amp;"","")</f>
        <v>063-715-6531</v>
      </c>
      <c r="K30" s="21" t="str">
        <f aca="false">IFERROR(INDEX(종합!K$3:K$501,MATCH(ROW()-2,종합!$AD$3:$AD$501,0))&amp;"","")</f>
        <v>www.saenoon.co.kr</v>
      </c>
      <c r="L30" s="21" t="str">
        <f aca="false">IFERROR(INDEX(종합!L$3:L$501,MATCH(ROW()-2,종합!$AD$3:$AD$501,0))&amp;"","")</f>
        <v>freeman1157@gmail.com</v>
      </c>
      <c r="M30" s="21" t="str">
        <f aca="false">IFERROR(INDEX(종합!M$3:M$501,MATCH(ROW()-2,종합!$AD$3:$AD$501,0))&amp;"","")</f>
        <v>전북특별자치도 완주군 삼례읍 테크노밸리로 96-70</v>
      </c>
      <c r="N30" s="25" t="str">
        <f aca="false">IFERROR(INDEX(종합!N$3:N$501,MATCH(ROW()-2,종합!$AD$3:$AD$501,0))&amp;"","")</f>
        <v>불법주정차 단속 솔루션, 전기차충전소 불법주정차 스마트대응관리솔루션</v>
      </c>
      <c r="O30" s="21" t="str">
        <f aca="false">IFERROR(INDEX(종합!O$3:O$501,MATCH(ROW()-2,종합!$AD$3:$AD$501,0))&amp;"","")</f>
        <v>최재원</v>
      </c>
      <c r="P30" s="21" t="str">
        <f aca="false">IFERROR(INDEX(종합!P$3:P$501,MATCH(ROW()-2,종합!$AD$3:$AD$501,0))&amp;"","")</f>
        <v>영업지원본부</v>
      </c>
      <c r="Q30" s="21" t="str">
        <f aca="false">IFERROR(INDEX(종합!Q$3:Q$501,MATCH(ROW()-2,종합!$AD$3:$AD$501,0))&amp;"","")</f>
        <v>부장/본부장</v>
      </c>
      <c r="R30" s="21" t="str">
        <f aca="false">IFERROR(INDEX(종합!R$3:R$501,MATCH(ROW()-2,종합!$AD$3:$AD$501,0))&amp;"","")</f>
        <v>070-4035-2086</v>
      </c>
      <c r="S30" s="21" t="str">
        <f aca="false">IFERROR(INDEX(종합!S$3:S$501,MATCH(ROW()-2,종합!$AD$3:$AD$501,0))&amp;"","")</f>
        <v>cjw@saenoon.co.kr</v>
      </c>
      <c r="T30" s="21" t="str">
        <f aca="false">IFERROR(INDEX(종합!T$3:T$501,MATCH(ROW()-2,종합!$AD$3:$AD$501,0))&amp;"","")</f>
        <v>010-4728-9218</v>
      </c>
      <c r="U30" s="21" t="str">
        <f aca="false">IFERROR(INDEX(종합!U$3:U$501,MATCH(ROW()-2,종합!$AD$3:$AD$501,0))&amp;"","")</f>
        <v>최재원</v>
      </c>
      <c r="V30" s="21" t="str">
        <f aca="false">IFERROR(INDEX(종합!V$3:V$501,MATCH(ROW()-2,종합!$AD$3:$AD$501,0))&amp;"","")</f>
        <v>영업지원본부</v>
      </c>
      <c r="W30" s="21" t="str">
        <f aca="false">IFERROR(INDEX(종합!W$3:W$501,MATCH(ROW()-2,종합!$AD$3:$AD$501,0))&amp;"","")</f>
        <v>부장/본부장</v>
      </c>
      <c r="X30" s="21" t="str">
        <f aca="false">IFERROR(INDEX(종합!X$3:X$501,MATCH(ROW()-2,종합!$AD$3:$AD$501,0))&amp;"","")</f>
        <v>070-4035-2086</v>
      </c>
      <c r="Y30" s="21" t="str">
        <f aca="false">IFERROR(INDEX(종합!Y$3:Y$501,MATCH(ROW()-2,종합!$AD$3:$AD$501,0))&amp;"","")</f>
        <v>cjw@saenoon.co.kr</v>
      </c>
      <c r="Z30" s="21" t="str">
        <f aca="false">IFERROR(INDEX(종합!Z$3:Z$501,MATCH(ROW()-2,종합!$AD$3:$AD$501,0))&amp;"","")</f>
        <v>010-4728-9218</v>
      </c>
      <c r="AA30" s="23" t="str">
        <f aca="false">IFERROR(INDEX(종합!AA$3:AA$501,MATCH(ROW()-2,종합!$AD$3:$AD$501,0))&amp;"","")</f>
        <v/>
      </c>
    </row>
    <row r="31" customFormat="false" ht="22.5" hidden="false" customHeight="true" outlineLevel="0" collapsed="false">
      <c r="A31" s="18" t="n">
        <f aca="false">IF(B31="","",ROW()-2)</f>
        <v>29</v>
      </c>
      <c r="B31" s="18" t="str">
        <f aca="false">IFERROR(INDEX(종합!B$3:B$501,MATCH(ROW()-2,종합!$AD$3:$AD$501,0))&amp;"","")</f>
        <v>(주)한국갈등관리디지털진흥원</v>
      </c>
      <c r="C31" s="18" t="str">
        <f aca="false">IFERROR(INDEX(종합!C$3:C$501,MATCH(ROW()-2,종합!$AD$3:$AD$501,0))&amp;"","")</f>
        <v/>
      </c>
      <c r="D31" s="18" t="str">
        <f aca="false">IFERROR(INDEX(종합!D$3:D$501,MATCH(ROW()-2,종합!$AD$3:$AD$501,0))&amp;"","")</f>
        <v/>
      </c>
      <c r="E31" s="18" t="str">
        <f aca="false">IFERROR(INDEX(종합!E$3:E$501,MATCH(ROW()-2,종합!$AD$3:$AD$501,0))&amp;"","")</f>
        <v>O</v>
      </c>
      <c r="F31" s="18" t="str">
        <f aca="false">IFERROR(INDEX(종합!F$3:F$501,MATCH(ROW()-2,종합!$AD$3:$AD$501,0))&amp;"","")</f>
        <v/>
      </c>
      <c r="G31" s="18" t="str">
        <f aca="false">IFERROR(INDEX(종합!G$3:G$501,MATCH(ROW()-2,종합!$AD$3:$AD$501,0))&amp;"","")</f>
        <v>중소기업</v>
      </c>
      <c r="H31" s="21" t="str">
        <f aca="false">IFERROR(INDEX(종합!H$3:H$501,MATCH(ROW()-2,종합!$AD$3:$AD$501,0))&amp;"","")</f>
        <v>217-86-01071</v>
      </c>
      <c r="I31" s="21" t="str">
        <f aca="false">IFERROR(INDEX(종합!I$3:I$501,MATCH(ROW()-2,종합!$AD$3:$AD$501,0))&amp;"","")</f>
        <v>지성현</v>
      </c>
      <c r="J31" s="21" t="str">
        <f aca="false">IFERROR(INDEX(종합!J$3:J$501,MATCH(ROW()-2,종합!$AD$3:$AD$501,0))&amp;"","")</f>
        <v>02-456-9110</v>
      </c>
      <c r="K31" s="21" t="str">
        <f aca="false">IFERROR(INDEX(종합!K$3:K$501,MATCH(ROW()-2,종합!$AD$3:$AD$501,0))&amp;"","")</f>
        <v>bounce9110.com</v>
      </c>
      <c r="L31" s="21" t="str">
        <f aca="false">IFERROR(INDEX(종합!L$3:L$501,MATCH(ROW()-2,종합!$AD$3:$AD$501,0))&amp;"","")</f>
        <v>bounce9110@gmail.com</v>
      </c>
      <c r="M31" s="21" t="str">
        <f aca="false">IFERROR(INDEX(종합!M$3:M$501,MATCH(ROW()-2,종합!$AD$3:$AD$501,0))&amp;"","")</f>
        <v>대전시 유성구 궁동로2번길 81 대전스타트업파크 306호</v>
      </c>
      <c r="N31" s="25" t="str">
        <f aca="false">IFERROR(INDEX(종합!N$3:N$501,MATCH(ROW()-2,종합!$AD$3:$AD$501,0))&amp;"","")</f>
        <v>자연어 처리 기반 AI 학습모델 구축 및 원천 기술 개발</v>
      </c>
      <c r="O31" s="21" t="str">
        <f aca="false">IFERROR(INDEX(종합!O$3:O$501,MATCH(ROW()-2,종합!$AD$3:$AD$501,0))&amp;"","")</f>
        <v>조정혜</v>
      </c>
      <c r="P31" s="21" t="str">
        <f aca="false">IFERROR(INDEX(종합!P$3:P$501,MATCH(ROW()-2,종합!$AD$3:$AD$501,0))&amp;"","")</f>
        <v>기업부설연구소</v>
      </c>
      <c r="Q31" s="21" t="str">
        <f aca="false">IFERROR(INDEX(종합!Q$3:Q$501,MATCH(ROW()-2,종합!$AD$3:$AD$501,0))&amp;"","")</f>
        <v>소장</v>
      </c>
      <c r="R31" s="21" t="str">
        <f aca="false">IFERROR(INDEX(종합!R$3:R$501,MATCH(ROW()-2,종합!$AD$3:$AD$501,0))&amp;"","")</f>
        <v>042-825-9115</v>
      </c>
      <c r="S31" s="21" t="str">
        <f aca="false">IFERROR(INDEX(종합!S$3:S$501,MATCH(ROW()-2,종합!$AD$3:$AD$501,0))&amp;"","")</f>
        <v>ceo@bounce9110.com</v>
      </c>
      <c r="T31" s="21" t="str">
        <f aca="false">IFERROR(INDEX(종합!T$3:T$501,MATCH(ROW()-2,종합!$AD$3:$AD$501,0))&amp;"","")</f>
        <v>010-4253-9753</v>
      </c>
      <c r="U31" s="21" t="str">
        <f aca="false">IFERROR(INDEX(종합!U$3:U$501,MATCH(ROW()-2,종합!$AD$3:$AD$501,0))&amp;"","")</f>
        <v>조정혜</v>
      </c>
      <c r="V31" s="21" t="str">
        <f aca="false">IFERROR(INDEX(종합!V$3:V$501,MATCH(ROW()-2,종합!$AD$3:$AD$501,0))&amp;"","")</f>
        <v>기업부설연구소</v>
      </c>
      <c r="W31" s="21" t="str">
        <f aca="false">IFERROR(INDEX(종합!W$3:W$501,MATCH(ROW()-2,종합!$AD$3:$AD$501,0))&amp;"","")</f>
        <v>소장</v>
      </c>
      <c r="X31" s="21" t="str">
        <f aca="false">IFERROR(INDEX(종합!X$3:X$501,MATCH(ROW()-2,종합!$AD$3:$AD$501,0))&amp;"","")</f>
        <v>042-825-9115</v>
      </c>
      <c r="Y31" s="21" t="str">
        <f aca="false">IFERROR(INDEX(종합!Y$3:Y$501,MATCH(ROW()-2,종합!$AD$3:$AD$501,0))&amp;"","")</f>
        <v>ceo@bounce9110.com</v>
      </c>
      <c r="Z31" s="21" t="str">
        <f aca="false">IFERROR(INDEX(종합!Z$3:Z$501,MATCH(ROW()-2,종합!$AD$3:$AD$501,0))&amp;"","")</f>
        <v>010-4253-9753</v>
      </c>
      <c r="AA31" s="23" t="str">
        <f aca="false">IFERROR(INDEX(종합!AA$3:AA$501,MATCH(ROW()-2,종합!$AD$3:$AD$501,0))&amp;"","")</f>
        <v/>
      </c>
    </row>
    <row r="32" customFormat="false" ht="22.5" hidden="false" customHeight="true" outlineLevel="0" collapsed="false">
      <c r="A32" s="18" t="n">
        <f aca="false">IF(B32="","",ROW()-2)</f>
        <v>30</v>
      </c>
      <c r="B32" s="18" t="str">
        <f aca="false">IFERROR(INDEX(종합!B$3:B$501,MATCH(ROW()-2,종합!$AD$3:$AD$501,0))&amp;"","")</f>
        <v>(주)구루미</v>
      </c>
      <c r="C32" s="18" t="str">
        <f aca="false">IFERROR(INDEX(종합!C$3:C$501,MATCH(ROW()-2,종합!$AD$3:$AD$501,0))&amp;"","")</f>
        <v/>
      </c>
      <c r="D32" s="18" t="str">
        <f aca="false">IFERROR(INDEX(종합!D$3:D$501,MATCH(ROW()-2,종합!$AD$3:$AD$501,0))&amp;"","")</f>
        <v/>
      </c>
      <c r="E32" s="18" t="str">
        <f aca="false">IFERROR(INDEX(종합!E$3:E$501,MATCH(ROW()-2,종합!$AD$3:$AD$501,0))&amp;"","")</f>
        <v>O</v>
      </c>
      <c r="F32" s="18" t="str">
        <f aca="false">IFERROR(INDEX(종합!F$3:F$501,MATCH(ROW()-2,종합!$AD$3:$AD$501,0))&amp;"","")</f>
        <v/>
      </c>
      <c r="G32" s="18" t="str">
        <f aca="false">IFERROR(INDEX(종합!G$3:G$501,MATCH(ROW()-2,종합!$AD$3:$AD$501,0))&amp;"","")</f>
        <v>중소기업</v>
      </c>
      <c r="H32" s="21" t="str">
        <f aca="false">IFERROR(INDEX(종합!H$3:H$501,MATCH(ROW()-2,종합!$AD$3:$AD$501,0))&amp;"","")</f>
        <v>165-87-00161</v>
      </c>
      <c r="I32" s="21" t="str">
        <f aca="false">IFERROR(INDEX(종합!I$3:I$501,MATCH(ROW()-2,종합!$AD$3:$AD$501,0))&amp;"","")</f>
        <v>이랑혁</v>
      </c>
      <c r="J32" s="21" t="str">
        <f aca="false">IFERROR(INDEX(종합!J$3:J$501,MATCH(ROW()-2,종합!$AD$3:$AD$501,0))&amp;"","")</f>
        <v>02-1833-9229</v>
      </c>
      <c r="K32" s="21" t="str">
        <f aca="false">IFERROR(INDEX(종합!K$3:K$501,MATCH(ROW()-2,종합!$AD$3:$AD$501,0))&amp;"","")</f>
        <v>https://gooroomee.com</v>
      </c>
      <c r="L32" s="21" t="str">
        <f aca="false">IFERROR(INDEX(종합!L$3:L$501,MATCH(ROW()-2,종합!$AD$3:$AD$501,0))&amp;"","")</f>
        <v>gene.park@gooroomee.com</v>
      </c>
      <c r="M32" s="21" t="str">
        <f aca="false">IFERROR(INDEX(종합!M$3:M$501,MATCH(ROW()-2,종합!$AD$3:$AD$501,0))&amp;"","")</f>
        <v>경기도 성남시 수정구 금토로 80번길 40, B동 스타트업스퀘어 11층</v>
      </c>
      <c r="N32" s="25" t="str">
        <f aca="false">IFERROR(INDEX(종합!N$3:N$501,MATCH(ROW()-2,종합!$AD$3:$AD$501,0))&amp;"","")</f>
        <v>영상음성 AI분석, AI챗봇, AI상담, AI산업매뉴얼 제공 기술</v>
      </c>
      <c r="O32" s="21" t="str">
        <f aca="false">IFERROR(INDEX(종합!O$3:O$501,MATCH(ROW()-2,종합!$AD$3:$AD$501,0))&amp;"","")</f>
        <v>이랑혁</v>
      </c>
      <c r="P32" s="21" t="str">
        <f aca="false">IFERROR(INDEX(종합!P$3:P$501,MATCH(ROW()-2,종합!$AD$3:$AD$501,0))&amp;"","")</f>
        <v>비즈본부</v>
      </c>
      <c r="Q32" s="21" t="str">
        <f aca="false">IFERROR(INDEX(종합!Q$3:Q$501,MATCH(ROW()-2,종합!$AD$3:$AD$501,0))&amp;"","")</f>
        <v>대표</v>
      </c>
      <c r="R32" s="21" t="str">
        <f aca="false">IFERROR(INDEX(종합!R$3:R$501,MATCH(ROW()-2,종합!$AD$3:$AD$501,0))&amp;"","")</f>
        <v>02-1833-9229</v>
      </c>
      <c r="S32" s="21" t="str">
        <f aca="false">IFERROR(INDEX(종합!S$3:S$501,MATCH(ROW()-2,종합!$AD$3:$AD$501,0))&amp;"","")</f>
        <v>lucas.lee@gooroomee.com</v>
      </c>
      <c r="T32" s="21" t="str">
        <f aca="false">IFERROR(INDEX(종합!T$3:T$501,MATCH(ROW()-2,종합!$AD$3:$AD$501,0))&amp;"","")</f>
        <v>010-3392-7888</v>
      </c>
      <c r="U32" s="21" t="str">
        <f aca="false">IFERROR(INDEX(종합!U$3:U$501,MATCH(ROW()-2,종합!$AD$3:$AD$501,0))&amp;"","")</f>
        <v>이랑혁</v>
      </c>
      <c r="V32" s="21" t="str">
        <f aca="false">IFERROR(INDEX(종합!V$3:V$501,MATCH(ROW()-2,종합!$AD$3:$AD$501,0))&amp;"","")</f>
        <v>비즈본부</v>
      </c>
      <c r="W32" s="21" t="str">
        <f aca="false">IFERROR(INDEX(종합!W$3:W$501,MATCH(ROW()-2,종합!$AD$3:$AD$501,0))&amp;"","")</f>
        <v>대표</v>
      </c>
      <c r="X32" s="21" t="str">
        <f aca="false">IFERROR(INDEX(종합!X$3:X$501,MATCH(ROW()-2,종합!$AD$3:$AD$501,0))&amp;"","")</f>
        <v>02-1833-9229</v>
      </c>
      <c r="Y32" s="21" t="str">
        <f aca="false">IFERROR(INDEX(종합!Y$3:Y$501,MATCH(ROW()-2,종합!$AD$3:$AD$501,0))&amp;"","")</f>
        <v>lucas.lee@gooroomee.com</v>
      </c>
      <c r="Z32" s="21" t="str">
        <f aca="false">IFERROR(INDEX(종합!Z$3:Z$501,MATCH(ROW()-2,종합!$AD$3:$AD$501,0))&amp;"","")</f>
        <v>010-3392-7888</v>
      </c>
      <c r="AA32" s="23" t="str">
        <f aca="false">IFERROR(INDEX(종합!AA$3:AA$501,MATCH(ROW()-2,종합!$AD$3:$AD$501,0))&amp;"","")</f>
        <v/>
      </c>
    </row>
    <row r="33" customFormat="false" ht="22.5" hidden="false" customHeight="true" outlineLevel="0" collapsed="false">
      <c r="A33" s="18" t="n">
        <f aca="false">IF(B33="","",ROW()-2)</f>
        <v>31</v>
      </c>
      <c r="B33" s="18" t="str">
        <f aca="false">IFERROR(INDEX(종합!B$3:B$501,MATCH(ROW()-2,종합!$AD$3:$AD$501,0))&amp;"","")</f>
        <v>주식회사 지오클로버랩스 </v>
      </c>
      <c r="C33" s="18" t="str">
        <f aca="false">IFERROR(INDEX(종합!C$3:C$501,MATCH(ROW()-2,종합!$AD$3:$AD$501,0))&amp;"","")</f>
        <v/>
      </c>
      <c r="D33" s="18" t="str">
        <f aca="false">IFERROR(INDEX(종합!D$3:D$501,MATCH(ROW()-2,종합!$AD$3:$AD$501,0))&amp;"","")</f>
        <v/>
      </c>
      <c r="E33" s="18" t="str">
        <f aca="false">IFERROR(INDEX(종합!E$3:E$501,MATCH(ROW()-2,종합!$AD$3:$AD$501,0))&amp;"","")</f>
        <v>O</v>
      </c>
      <c r="F33" s="18" t="str">
        <f aca="false">IFERROR(INDEX(종합!F$3:F$501,MATCH(ROW()-2,종합!$AD$3:$AD$501,0))&amp;"","")</f>
        <v/>
      </c>
      <c r="G33" s="18" t="str">
        <f aca="false">IFERROR(INDEX(종합!G$3:G$501,MATCH(ROW()-2,종합!$AD$3:$AD$501,0))&amp;"","")</f>
        <v>중소기업</v>
      </c>
      <c r="H33" s="21" t="str">
        <f aca="false">IFERROR(INDEX(종합!H$3:H$501,MATCH(ROW()-2,종합!$AD$3:$AD$501,0))&amp;"","")</f>
        <v>715-88-03728</v>
      </c>
      <c r="I33" s="21" t="str">
        <f aca="false">IFERROR(INDEX(종합!I$3:I$501,MATCH(ROW()-2,종합!$AD$3:$AD$501,0))&amp;"","")</f>
        <v>최돈정 </v>
      </c>
      <c r="J33" s="21" t="str">
        <f aca="false">IFERROR(INDEX(종합!J$3:J$501,MATCH(ROW()-2,종합!$AD$3:$AD$501,0))&amp;"","")</f>
        <v>010-5021-7260</v>
      </c>
      <c r="K33" s="21" t="str">
        <f aca="false">IFERROR(INDEX(종합!K$3:K$501,MATCH(ROW()-2,종합!$AD$3:$AD$501,0))&amp;"","")</f>
        <v>없음 </v>
      </c>
      <c r="L33" s="21" t="str">
        <f aca="false">IFERROR(INDEX(종합!L$3:L$501,MATCH(ROW()-2,종합!$AD$3:$AD$501,0))&amp;"","")</f>
        <v>choidonjeong@gmail.com</v>
      </c>
      <c r="M33" s="21" t="str">
        <f aca="false">IFERROR(INDEX(종합!M$3:M$501,MATCH(ROW()-2,종합!$AD$3:$AD$501,0))&amp;"","")</f>
        <v>강원특별자치도 강릉시 성덕포남로 184 2층  </v>
      </c>
      <c r="N33" s="25" t="str">
        <f aca="false">IFERROR(INDEX(종합!N$3:N$501,MATCH(ROW()-2,종합!$AD$3:$AD$501,0))&amp;"","")</f>
        <v>공간, 행정 데이터 기반 AI, 시공간 AI 분석역량, GovTech AI</v>
      </c>
      <c r="O33" s="21" t="str">
        <f aca="false">IFERROR(INDEX(종합!O$3:O$501,MATCH(ROW()-2,종합!$AD$3:$AD$501,0))&amp;"","")</f>
        <v>최돈정 </v>
      </c>
      <c r="P33" s="21" t="str">
        <f aca="false">IFERROR(INDEX(종합!P$3:P$501,MATCH(ROW()-2,종합!$AD$3:$AD$501,0))&amp;"","")</f>
        <v>기술 연구소 </v>
      </c>
      <c r="Q33" s="21" t="str">
        <f aca="false">IFERROR(INDEX(종합!Q$3:Q$501,MATCH(ROW()-2,종합!$AD$3:$AD$501,0))&amp;"","")</f>
        <v>대표이사 </v>
      </c>
      <c r="R33" s="21" t="str">
        <f aca="false">IFERROR(INDEX(종합!R$3:R$501,MATCH(ROW()-2,종합!$AD$3:$AD$501,0))&amp;"","")</f>
        <v>033-823-0121</v>
      </c>
      <c r="S33" s="21" t="str">
        <f aca="false">IFERROR(INDEX(종합!S$3:S$501,MATCH(ROW()-2,종합!$AD$3:$AD$501,0))&amp;"","")</f>
        <v>choidonjeong@gmail.com</v>
      </c>
      <c r="T33" s="21" t="str">
        <f aca="false">IFERROR(INDEX(종합!T$3:T$501,MATCH(ROW()-2,종합!$AD$3:$AD$501,0))&amp;"","")</f>
        <v>010-5021-7260</v>
      </c>
      <c r="U33" s="21" t="str">
        <f aca="false">IFERROR(INDEX(종합!U$3:U$501,MATCH(ROW()-2,종합!$AD$3:$AD$501,0))&amp;"","")</f>
        <v>최돈정 </v>
      </c>
      <c r="V33" s="21" t="str">
        <f aca="false">IFERROR(INDEX(종합!V$3:V$501,MATCH(ROW()-2,종합!$AD$3:$AD$501,0))&amp;"","")</f>
        <v>기술 연구소 </v>
      </c>
      <c r="W33" s="21" t="str">
        <f aca="false">IFERROR(INDEX(종합!W$3:W$501,MATCH(ROW()-2,종합!$AD$3:$AD$501,0))&amp;"","")</f>
        <v>대표이사 </v>
      </c>
      <c r="X33" s="21" t="str">
        <f aca="false">IFERROR(INDEX(종합!X$3:X$501,MATCH(ROW()-2,종합!$AD$3:$AD$501,0))&amp;"","")</f>
        <v>033-823-0121</v>
      </c>
      <c r="Y33" s="21" t="str">
        <f aca="false">IFERROR(INDEX(종합!Y$3:Y$501,MATCH(ROW()-2,종합!$AD$3:$AD$501,0))&amp;"","")</f>
        <v>choidonjeong@gmail.com</v>
      </c>
      <c r="Z33" s="21" t="str">
        <f aca="false">IFERROR(INDEX(종합!Z$3:Z$501,MATCH(ROW()-2,종합!$AD$3:$AD$501,0))&amp;"","")</f>
        <v>010-5021-7260</v>
      </c>
      <c r="AA33" s="23" t="str">
        <f aca="false">IFERROR(INDEX(종합!AA$3:AA$501,MATCH(ROW()-2,종합!$AD$3:$AD$501,0))&amp;"","")</f>
        <v/>
      </c>
    </row>
    <row r="34" customFormat="false" ht="47.25" hidden="false" customHeight="true" outlineLevel="0" collapsed="false">
      <c r="A34" s="18" t="n">
        <f aca="false">IF(B34="","",ROW()-2)</f>
        <v>32</v>
      </c>
      <c r="B34" s="18" t="str">
        <f aca="false">IFERROR(INDEX(종합!B$3:B$501,MATCH(ROW()-2,종합!$AD$3:$AD$501,0))&amp;"","")</f>
        <v>사단법인 한국국어능력평가협회</v>
      </c>
      <c r="C34" s="18" t="str">
        <f aca="false">IFERROR(INDEX(종합!C$3:C$501,MATCH(ROW()-2,종합!$AD$3:$AD$501,0))&amp;"","")</f>
        <v/>
      </c>
      <c r="D34" s="18" t="str">
        <f aca="false">IFERROR(INDEX(종합!D$3:D$501,MATCH(ROW()-2,종합!$AD$3:$AD$501,0))&amp;"","")</f>
        <v/>
      </c>
      <c r="E34" s="18" t="str">
        <f aca="false">IFERROR(INDEX(종합!E$3:E$501,MATCH(ROW()-2,종합!$AD$3:$AD$501,0))&amp;"","")</f>
        <v>O</v>
      </c>
      <c r="F34" s="18" t="str">
        <f aca="false">IFERROR(INDEX(종합!F$3:F$501,MATCH(ROW()-2,종합!$AD$3:$AD$501,0))&amp;"","")</f>
        <v/>
      </c>
      <c r="G34" s="18" t="str">
        <f aca="false">IFERROR(INDEX(종합!G$3:G$501,MATCH(ROW()-2,종합!$AD$3:$AD$501,0))&amp;"","")</f>
        <v>협회·단체</v>
      </c>
      <c r="H34" s="21" t="str">
        <f aca="false">IFERROR(INDEX(종합!H$3:H$501,MATCH(ROW()-2,종합!$AD$3:$AD$501,0))&amp;"","")</f>
        <v>119-82-02574</v>
      </c>
      <c r="I34" s="21" t="str">
        <f aca="false">IFERROR(INDEX(종합!I$3:I$501,MATCH(ROW()-2,종합!$AD$3:$AD$501,0))&amp;"","")</f>
        <v>박귀수</v>
      </c>
      <c r="J34" s="21" t="str">
        <f aca="false">IFERROR(INDEX(종합!J$3:J$501,MATCH(ROW()-2,종합!$AD$3:$AD$501,0))&amp;"","")</f>
        <v>02-2064-0306</v>
      </c>
      <c r="K34" s="21" t="str">
        <f aca="false">IFERROR(INDEX(종합!K$3:K$501,MATCH(ROW()-2,종합!$AD$3:$AD$501,0))&amp;"","")</f>
        <v>https://www.klata.or.kr</v>
      </c>
      <c r="L34" s="21" t="str">
        <f aca="false">IFERROR(INDEX(종합!L$3:L$501,MATCH(ROW()-2,종합!$AD$3:$AD$501,0))&amp;"","")</f>
        <v>hopekbj33@gmail.com</v>
      </c>
      <c r="M34" s="21" t="str">
        <f aca="false">IFERROR(INDEX(종합!M$3:M$501,MATCH(ROW()-2,종합!$AD$3:$AD$501,0))&amp;"","")</f>
        <v>서울특별시 금천구 벚꽃로 298 대륭포스트타워 6차 1901호</v>
      </c>
      <c r="N34" s="25" t="str">
        <f aca="false">IFERROR(INDEX(종합!N$3:N$501,MATCH(ROW()-2,종합!$AD$3:$AD$501,0))&amp;"","")</f>
        <v>자연처처리/ 교육</v>
      </c>
      <c r="O34" s="21" t="str">
        <f aca="false">IFERROR(INDEX(종합!O$3:O$501,MATCH(ROW()-2,종합!$AD$3:$AD$501,0))&amp;"","")</f>
        <v>박귀수</v>
      </c>
      <c r="P34" s="21" t="str">
        <f aca="false">IFERROR(INDEX(종합!P$3:P$501,MATCH(ROW()-2,종합!$AD$3:$AD$501,0))&amp;"","")</f>
        <v>이사장실</v>
      </c>
      <c r="Q34" s="21" t="str">
        <f aca="false">IFERROR(INDEX(종합!Q$3:Q$501,MATCH(ROW()-2,종합!$AD$3:$AD$501,0))&amp;"","")</f>
        <v>이사장</v>
      </c>
      <c r="R34" s="21" t="str">
        <f aca="false">IFERROR(INDEX(종합!R$3:R$501,MATCH(ROW()-2,종합!$AD$3:$AD$501,0))&amp;"","")</f>
        <v>02-2064-0306</v>
      </c>
      <c r="S34" s="21" t="str">
        <f aca="false">IFERROR(INDEX(종합!S$3:S$501,MATCH(ROW()-2,종합!$AD$3:$AD$501,0))&amp;"","")</f>
        <v>guisu828@klata.or.kr</v>
      </c>
      <c r="T34" s="21" t="str">
        <f aca="false">IFERROR(INDEX(종합!T$3:T$501,MATCH(ROW()-2,종합!$AD$3:$AD$501,0))&amp;"","")</f>
        <v>010-7239-0001</v>
      </c>
      <c r="U34" s="21" t="str">
        <f aca="false">IFERROR(INDEX(종합!U$3:U$501,MATCH(ROW()-2,종합!$AD$3:$AD$501,0))&amp;"","")</f>
        <v>박귀수</v>
      </c>
      <c r="V34" s="21" t="str">
        <f aca="false">IFERROR(INDEX(종합!V$3:V$501,MATCH(ROW()-2,종합!$AD$3:$AD$501,0))&amp;"","")</f>
        <v>이사장실</v>
      </c>
      <c r="W34" s="21" t="str">
        <f aca="false">IFERROR(INDEX(종합!W$3:W$501,MATCH(ROW()-2,종합!$AD$3:$AD$501,0))&amp;"","")</f>
        <v>이사장</v>
      </c>
      <c r="X34" s="21" t="str">
        <f aca="false">IFERROR(INDEX(종합!X$3:X$501,MATCH(ROW()-2,종합!$AD$3:$AD$501,0))&amp;"","")</f>
        <v>02-2064-0306</v>
      </c>
      <c r="Y34" s="21" t="str">
        <f aca="false">IFERROR(INDEX(종합!Y$3:Y$501,MATCH(ROW()-2,종합!$AD$3:$AD$501,0))&amp;"","")</f>
        <v>guisu828@klata.or.kr</v>
      </c>
      <c r="Z34" s="21" t="str">
        <f aca="false">IFERROR(INDEX(종합!Z$3:Z$501,MATCH(ROW()-2,종합!$AD$3:$AD$501,0))&amp;"","")</f>
        <v>010-7239-0001</v>
      </c>
      <c r="AA34" s="23" t="str">
        <f aca="false">IFERROR(INDEX(종합!AA$3:AA$501,MATCH(ROW()-2,종합!$AD$3:$AD$501,0))&amp;"","")</f>
        <v/>
      </c>
    </row>
    <row r="35" customFormat="false" ht="33.75" hidden="false" customHeight="true" outlineLevel="0" collapsed="false">
      <c r="A35" s="18" t="n">
        <f aca="false">IF(B35="","",ROW()-2)</f>
        <v>33</v>
      </c>
      <c r="B35" s="18" t="str">
        <f aca="false">IFERROR(INDEX(종합!B$3:B$501,MATCH(ROW()-2,종합!$AD$3:$AD$501,0))&amp;"","")</f>
        <v>(주)일루넥스</v>
      </c>
      <c r="C35" s="18" t="str">
        <f aca="false">IFERROR(INDEX(종합!C$3:C$501,MATCH(ROW()-2,종합!$AD$3:$AD$501,0))&amp;"","")</f>
        <v/>
      </c>
      <c r="D35" s="18" t="str">
        <f aca="false">IFERROR(INDEX(종합!D$3:D$501,MATCH(ROW()-2,종합!$AD$3:$AD$501,0))&amp;"","")</f>
        <v/>
      </c>
      <c r="E35" s="18" t="str">
        <f aca="false">IFERROR(INDEX(종합!E$3:E$501,MATCH(ROW()-2,종합!$AD$3:$AD$501,0))&amp;"","")</f>
        <v>O</v>
      </c>
      <c r="F35" s="18" t="str">
        <f aca="false">IFERROR(INDEX(종합!F$3:F$501,MATCH(ROW()-2,종합!$AD$3:$AD$501,0))&amp;"","")</f>
        <v/>
      </c>
      <c r="G35" s="18" t="str">
        <f aca="false">IFERROR(INDEX(종합!G$3:G$501,MATCH(ROW()-2,종합!$AD$3:$AD$501,0))&amp;"","")</f>
        <v>중소기업</v>
      </c>
      <c r="H35" s="21" t="str">
        <f aca="false">IFERROR(INDEX(종합!H$3:H$501,MATCH(ROW()-2,종합!$AD$3:$AD$501,0))&amp;"","")</f>
        <v>638-88-01059</v>
      </c>
      <c r="I35" s="21" t="str">
        <f aca="false">IFERROR(INDEX(종합!I$3:I$501,MATCH(ROW()-2,종합!$AD$3:$AD$501,0))&amp;"","")</f>
        <v>박진혁</v>
      </c>
      <c r="J35" s="21" t="str">
        <f aca="false">IFERROR(INDEX(종합!J$3:J$501,MATCH(ROW()-2,종합!$AD$3:$AD$501,0))&amp;"","")</f>
        <v>070-4441-4580</v>
      </c>
      <c r="K35" s="21" t="str">
        <f aca="false">IFERROR(INDEX(종합!K$3:K$501,MATCH(ROW()-2,종합!$AD$3:$AD$501,0))&amp;"","")</f>
        <v>https://illunex.com/</v>
      </c>
      <c r="L35" s="21" t="str">
        <f aca="false">IFERROR(INDEX(종합!L$3:L$501,MATCH(ROW()-2,종합!$AD$3:$AD$501,0))&amp;"","")</f>
        <v>yslee@illunex.com</v>
      </c>
      <c r="M35" s="21" t="str">
        <f aca="false">IFERROR(INDEX(종합!M$3:M$501,MATCH(ROW()-2,종합!$AD$3:$AD$501,0))&amp;"","")</f>
        <v>경기도 고양시 덕양구 향기로 180, 10층 DMC마스터원 1005-1012호</v>
      </c>
      <c r="N35" s="25" t="str">
        <f aca="false">IFERROR(INDEX(종합!N$3:N$501,MATCH(ROW()-2,종합!$AD$3:$AD$501,0))&amp;"","")</f>
        <v>EM-GPT</v>
      </c>
      <c r="O35" s="21" t="str">
        <f aca="false">IFERROR(INDEX(종합!O$3:O$501,MATCH(ROW()-2,종합!$AD$3:$AD$501,0))&amp;"","")</f>
        <v>이양수</v>
      </c>
      <c r="P35" s="21" t="str">
        <f aca="false">IFERROR(INDEX(종합!P$3:P$501,MATCH(ROW()-2,종합!$AD$3:$AD$501,0))&amp;"","")</f>
        <v>전략기획본부</v>
      </c>
      <c r="Q35" s="21" t="str">
        <f aca="false">IFERROR(INDEX(종합!Q$3:Q$501,MATCH(ROW()-2,종합!$AD$3:$AD$501,0))&amp;"","")</f>
        <v>이사 / CSO</v>
      </c>
      <c r="R35" s="21" t="str">
        <f aca="false">IFERROR(INDEX(종합!R$3:R$501,MATCH(ROW()-2,종합!$AD$3:$AD$501,0))&amp;"","")</f>
        <v>010-6878-8824</v>
      </c>
      <c r="S35" s="21" t="str">
        <f aca="false">IFERROR(INDEX(종합!S$3:S$501,MATCH(ROW()-2,종합!$AD$3:$AD$501,0))&amp;"","")</f>
        <v>yslee@illunex.com</v>
      </c>
      <c r="T35" s="21" t="str">
        <f aca="false">IFERROR(INDEX(종합!T$3:T$501,MATCH(ROW()-2,종합!$AD$3:$AD$501,0))&amp;"","")</f>
        <v>010-6878-8824</v>
      </c>
      <c r="U35" s="21" t="str">
        <f aca="false">IFERROR(INDEX(종합!U$3:U$501,MATCH(ROW()-2,종합!$AD$3:$AD$501,0))&amp;"","")</f>
        <v>이양수</v>
      </c>
      <c r="V35" s="21" t="str">
        <f aca="false">IFERROR(INDEX(종합!V$3:V$501,MATCH(ROW()-2,종합!$AD$3:$AD$501,0))&amp;"","")</f>
        <v>전략기획본부</v>
      </c>
      <c r="W35" s="21" t="str">
        <f aca="false">IFERROR(INDEX(종합!W$3:W$501,MATCH(ROW()-2,종합!$AD$3:$AD$501,0))&amp;"","")</f>
        <v>이사 / CSO</v>
      </c>
      <c r="X35" s="21" t="str">
        <f aca="false">IFERROR(INDEX(종합!X$3:X$501,MATCH(ROW()-2,종합!$AD$3:$AD$501,0))&amp;"","")</f>
        <v>010-6878-8824</v>
      </c>
      <c r="Y35" s="21" t="str">
        <f aca="false">IFERROR(INDEX(종합!Y$3:Y$501,MATCH(ROW()-2,종합!$AD$3:$AD$501,0))&amp;"","")</f>
        <v>yslee@illunex.com</v>
      </c>
      <c r="Z35" s="21" t="str">
        <f aca="false">IFERROR(INDEX(종합!Z$3:Z$501,MATCH(ROW()-2,종합!$AD$3:$AD$501,0))&amp;"","")</f>
        <v>010-6878-8824</v>
      </c>
      <c r="AA35" s="23" t="str">
        <f aca="false">IFERROR(INDEX(종합!AA$3:AA$501,MATCH(ROW()-2,종합!$AD$3:$AD$501,0))&amp;"","")</f>
        <v/>
      </c>
    </row>
    <row r="36" customFormat="false" ht="22.5" hidden="false" customHeight="true" outlineLevel="0" collapsed="false">
      <c r="A36" s="18" t="n">
        <f aca="false">IF(B36="","",ROW()-2)</f>
        <v>34</v>
      </c>
      <c r="B36" s="18" t="str">
        <f aca="false">IFERROR(INDEX(종합!B$3:B$501,MATCH(ROW()-2,종합!$AD$3:$AD$501,0))&amp;"","")</f>
        <v>(주)갈렙앤컴퍼니</v>
      </c>
      <c r="C36" s="18" t="str">
        <f aca="false">IFERROR(INDEX(종합!C$3:C$501,MATCH(ROW()-2,종합!$AD$3:$AD$501,0))&amp;"","")</f>
        <v/>
      </c>
      <c r="D36" s="18" t="str">
        <f aca="false">IFERROR(INDEX(종합!D$3:D$501,MATCH(ROW()-2,종합!$AD$3:$AD$501,0))&amp;"","")</f>
        <v/>
      </c>
      <c r="E36" s="18" t="str">
        <f aca="false">IFERROR(INDEX(종합!E$3:E$501,MATCH(ROW()-2,종합!$AD$3:$AD$501,0))&amp;"","")</f>
        <v>O</v>
      </c>
      <c r="F36" s="18" t="str">
        <f aca="false">IFERROR(INDEX(종합!F$3:F$501,MATCH(ROW()-2,종합!$AD$3:$AD$501,0))&amp;"","")</f>
        <v/>
      </c>
      <c r="G36" s="18" t="str">
        <f aca="false">IFERROR(INDEX(종합!G$3:G$501,MATCH(ROW()-2,종합!$AD$3:$AD$501,0))&amp;"","")</f>
        <v>중소기업</v>
      </c>
      <c r="H36" s="21" t="str">
        <f aca="false">IFERROR(INDEX(종합!H$3:H$501,MATCH(ROW()-2,종합!$AD$3:$AD$501,0))&amp;"","")</f>
        <v>220-81-40982</v>
      </c>
      <c r="I36" s="21" t="str">
        <f aca="false">IFERROR(INDEX(종합!I$3:I$501,MATCH(ROW()-2,종합!$AD$3:$AD$501,0))&amp;"","")</f>
        <v>김규영</v>
      </c>
      <c r="J36" s="21" t="str">
        <f aca="false">IFERROR(INDEX(종합!J$3:J$501,MATCH(ROW()-2,종합!$AD$3:$AD$501,0))&amp;"","")</f>
        <v>02-3775-2001</v>
      </c>
      <c r="K36" s="21" t="str">
        <f aca="false">IFERROR(INDEX(종합!K$3:K$501,MATCH(ROW()-2,종합!$AD$3:$AD$501,0))&amp;"","")</f>
        <v>www.calebglobal.com</v>
      </c>
      <c r="L36" s="21" t="str">
        <f aca="false">IFERROR(INDEX(종합!L$3:L$501,MATCH(ROW()-2,종합!$AD$3:$AD$501,0))&amp;"","")</f>
        <v>dsshin@calebglobal.com</v>
      </c>
      <c r="M36" s="21" t="str">
        <f aca="false">IFERROR(INDEX(종합!M$3:M$501,MATCH(ROW()-2,종합!$AD$3:$AD$501,0))&amp;"","")</f>
        <v>서울 성동구 연무장4가길 7, 511호</v>
      </c>
      <c r="N36" s="25" t="str">
        <f aca="false">IFERROR(INDEX(종합!N$3:N$501,MATCH(ROW()-2,종합!$AD$3:$AD$501,0))&amp;"","")</f>
        <v>AX ISP 컨설팅</v>
      </c>
      <c r="O36" s="21" t="str">
        <f aca="false">IFERROR(INDEX(종합!O$3:O$501,MATCH(ROW()-2,종합!$AD$3:$AD$501,0))&amp;"","")</f>
        <v>신덕순</v>
      </c>
      <c r="P36" s="21" t="str">
        <f aca="false">IFERROR(INDEX(종합!P$3:P$501,MATCH(ROW()-2,종합!$AD$3:$AD$501,0))&amp;"","")</f>
        <v>MNT</v>
      </c>
      <c r="Q36" s="21" t="str">
        <f aca="false">IFERROR(INDEX(종합!Q$3:Q$501,MATCH(ROW()-2,종합!$AD$3:$AD$501,0))&amp;"","")</f>
        <v>부사장</v>
      </c>
      <c r="R36" s="21" t="str">
        <f aca="false">IFERROR(INDEX(종합!R$3:R$501,MATCH(ROW()-2,종합!$AD$3:$AD$501,0))&amp;"","")</f>
        <v>02-3775-2001</v>
      </c>
      <c r="S36" s="21" t="str">
        <f aca="false">IFERROR(INDEX(종합!S$3:S$501,MATCH(ROW()-2,종합!$AD$3:$AD$501,0))&amp;"","")</f>
        <v>dsshin@calebglobal.com</v>
      </c>
      <c r="T36" s="21" t="str">
        <f aca="false">IFERROR(INDEX(종합!T$3:T$501,MATCH(ROW()-2,종합!$AD$3:$AD$501,0))&amp;"","")</f>
        <v>010-7157-6294</v>
      </c>
      <c r="U36" s="21" t="str">
        <f aca="false">IFERROR(INDEX(종합!U$3:U$501,MATCH(ROW()-2,종합!$AD$3:$AD$501,0))&amp;"","")</f>
        <v>신덕순</v>
      </c>
      <c r="V36" s="21" t="str">
        <f aca="false">IFERROR(INDEX(종합!V$3:V$501,MATCH(ROW()-2,종합!$AD$3:$AD$501,0))&amp;"","")</f>
        <v>MNT</v>
      </c>
      <c r="W36" s="21" t="str">
        <f aca="false">IFERROR(INDEX(종합!W$3:W$501,MATCH(ROW()-2,종합!$AD$3:$AD$501,0))&amp;"","")</f>
        <v>부사장</v>
      </c>
      <c r="X36" s="21" t="str">
        <f aca="false">IFERROR(INDEX(종합!X$3:X$501,MATCH(ROW()-2,종합!$AD$3:$AD$501,0))&amp;"","")</f>
        <v>02-3775-2001</v>
      </c>
      <c r="Y36" s="21" t="str">
        <f aca="false">IFERROR(INDEX(종합!Y$3:Y$501,MATCH(ROW()-2,종합!$AD$3:$AD$501,0))&amp;"","")</f>
        <v>dsshin@calebglobal.com</v>
      </c>
      <c r="Z36" s="21" t="str">
        <f aca="false">IFERROR(INDEX(종합!Z$3:Z$501,MATCH(ROW()-2,종합!$AD$3:$AD$501,0))&amp;"","")</f>
        <v>010-7157-6294</v>
      </c>
      <c r="AA36" s="23" t="str">
        <f aca="false">IFERROR(INDEX(종합!AA$3:AA$501,MATCH(ROW()-2,종합!$AD$3:$AD$501,0))&amp;"","")</f>
        <v/>
      </c>
    </row>
    <row r="37" customFormat="false" ht="22.5" hidden="false" customHeight="true" outlineLevel="0" collapsed="false">
      <c r="A37" s="18" t="n">
        <f aca="false">IF(B37="","",ROW()-2)</f>
        <v>35</v>
      </c>
      <c r="B37" s="18" t="str">
        <f aca="false">IFERROR(INDEX(종합!B$3:B$501,MATCH(ROW()-2,종합!$AD$3:$AD$501,0))&amp;"","")</f>
        <v>(주)타이거컴퍼니</v>
      </c>
      <c r="C37" s="18" t="str">
        <f aca="false">IFERROR(INDEX(종합!C$3:C$501,MATCH(ROW()-2,종합!$AD$3:$AD$501,0))&amp;"","")</f>
        <v/>
      </c>
      <c r="D37" s="18" t="str">
        <f aca="false">IFERROR(INDEX(종합!D$3:D$501,MATCH(ROW()-2,종합!$AD$3:$AD$501,0))&amp;"","")</f>
        <v/>
      </c>
      <c r="E37" s="18" t="str">
        <f aca="false">IFERROR(INDEX(종합!E$3:E$501,MATCH(ROW()-2,종합!$AD$3:$AD$501,0))&amp;"","")</f>
        <v>O</v>
      </c>
      <c r="F37" s="18" t="str">
        <f aca="false">IFERROR(INDEX(종합!F$3:F$501,MATCH(ROW()-2,종합!$AD$3:$AD$501,0))&amp;"","")</f>
        <v/>
      </c>
      <c r="G37" s="18" t="str">
        <f aca="false">IFERROR(INDEX(종합!G$3:G$501,MATCH(ROW()-2,종합!$AD$3:$AD$501,0))&amp;"","")</f>
        <v>중소기업</v>
      </c>
      <c r="H37" s="21" t="str">
        <f aca="false">IFERROR(INDEX(종합!H$3:H$501,MATCH(ROW()-2,종합!$AD$3:$AD$501,0))&amp;"","")</f>
        <v>105-87-55645</v>
      </c>
      <c r="I37" s="21" t="str">
        <f aca="false">IFERROR(INDEX(종합!I$3:I$501,MATCH(ROW()-2,종합!$AD$3:$AD$501,0))&amp;"","")</f>
        <v>김범진</v>
      </c>
      <c r="J37" s="21" t="str">
        <f aca="false">IFERROR(INDEX(종합!J$3:J$501,MATCH(ROW()-2,종합!$AD$3:$AD$501,0))&amp;"","")</f>
        <v>1668-3708</v>
      </c>
      <c r="K37" s="21" t="str">
        <f aca="false">IFERROR(INDEX(종합!K$3:K$501,MATCH(ROW()-2,종합!$AD$3:$AD$501,0))&amp;"","")</f>
        <v>https://tigris.cloud/</v>
      </c>
      <c r="L37" s="21" t="str">
        <f aca="false">IFERROR(INDEX(종합!L$3:L$501,MATCH(ROW()-2,종합!$AD$3:$AD$501,0))&amp;"","")</f>
        <v>spe2645@gmail.com</v>
      </c>
      <c r="M37" s="21" t="str">
        <f aca="false">IFERROR(INDEX(종합!M$3:M$501,MATCH(ROW()-2,종합!$AD$3:$AD$501,0))&amp;"","")</f>
        <v>서울시 송파구 법원로 128, B동 1707호~1710호(문정역 SKV1)</v>
      </c>
      <c r="N37" s="25" t="str">
        <f aca="false">IFERROR(INDEX(종합!N$3:N$501,MATCH(ROW()-2,종합!$AD$3:$AD$501,0))&amp;"","")</f>
        <v>티그리스 AI+</v>
      </c>
      <c r="O37" s="21" t="str">
        <f aca="false">IFERROR(INDEX(종합!O$3:O$501,MATCH(ROW()-2,종합!$AD$3:$AD$501,0))&amp;"","")</f>
        <v>한형주</v>
      </c>
      <c r="P37" s="21" t="str">
        <f aca="false">IFERROR(INDEX(종합!P$3:P$501,MATCH(ROW()-2,종합!$AD$3:$AD$501,0))&amp;"","")</f>
        <v>드림경영실</v>
      </c>
      <c r="Q37" s="21" t="str">
        <f aca="false">IFERROR(INDEX(종합!Q$3:Q$501,MATCH(ROW()-2,종합!$AD$3:$AD$501,0))&amp;"","")</f>
        <v>상무이사</v>
      </c>
      <c r="R37" s="21" t="str">
        <f aca="false">IFERROR(INDEX(종합!R$3:R$501,MATCH(ROW()-2,종합!$AD$3:$AD$501,0))&amp;"","")</f>
        <v>010-6278-4413</v>
      </c>
      <c r="S37" s="21" t="str">
        <f aca="false">IFERROR(INDEX(종합!S$3:S$501,MATCH(ROW()-2,종합!$AD$3:$AD$501,0))&amp;"","")</f>
        <v>alexhan@tigrison.com</v>
      </c>
      <c r="T37" s="21" t="str">
        <f aca="false">IFERROR(INDEX(종합!T$3:T$501,MATCH(ROW()-2,종합!$AD$3:$AD$501,0))&amp;"","")</f>
        <v>010-6278-4413</v>
      </c>
      <c r="U37" s="21" t="str">
        <f aca="false">IFERROR(INDEX(종합!U$3:U$501,MATCH(ROW()-2,종합!$AD$3:$AD$501,0))&amp;"","")</f>
        <v>한형주</v>
      </c>
      <c r="V37" s="21" t="str">
        <f aca="false">IFERROR(INDEX(종합!V$3:V$501,MATCH(ROW()-2,종합!$AD$3:$AD$501,0))&amp;"","")</f>
        <v>드림경영실</v>
      </c>
      <c r="W37" s="21" t="str">
        <f aca="false">IFERROR(INDEX(종합!W$3:W$501,MATCH(ROW()-2,종합!$AD$3:$AD$501,0))&amp;"","")</f>
        <v>상무이사</v>
      </c>
      <c r="X37" s="21" t="str">
        <f aca="false">IFERROR(INDEX(종합!X$3:X$501,MATCH(ROW()-2,종합!$AD$3:$AD$501,0))&amp;"","")</f>
        <v>010-6278-4413</v>
      </c>
      <c r="Y37" s="21" t="str">
        <f aca="false">IFERROR(INDEX(종합!Y$3:Y$501,MATCH(ROW()-2,종합!$AD$3:$AD$501,0))&amp;"","")</f>
        <v>alexhan@tigrison.com</v>
      </c>
      <c r="Z37" s="21" t="str">
        <f aca="false">IFERROR(INDEX(종합!Z$3:Z$501,MATCH(ROW()-2,종합!$AD$3:$AD$501,0))&amp;"","")</f>
        <v>010-6278-4413</v>
      </c>
      <c r="AA37" s="23" t="str">
        <f aca="false">IFERROR(INDEX(종합!AA$3:AA$501,MATCH(ROW()-2,종합!$AD$3:$AD$501,0))&amp;"","")</f>
        <v/>
      </c>
    </row>
    <row r="38" customFormat="false" ht="22.5" hidden="false" customHeight="true" outlineLevel="0" collapsed="false">
      <c r="A38" s="18" t="n">
        <f aca="false">IF(B38="","",ROW()-2)</f>
        <v>36</v>
      </c>
      <c r="B38" s="18" t="str">
        <f aca="false">IFERROR(INDEX(종합!B$3:B$501,MATCH(ROW()-2,종합!$AD$3:$AD$501,0))&amp;"","")</f>
        <v>주식회사 포티투마루</v>
      </c>
      <c r="C38" s="18" t="str">
        <f aca="false">IFERROR(INDEX(종합!C$3:C$501,MATCH(ROW()-2,종합!$AD$3:$AD$501,0))&amp;"","")</f>
        <v/>
      </c>
      <c r="D38" s="18" t="str">
        <f aca="false">IFERROR(INDEX(종합!D$3:D$501,MATCH(ROW()-2,종합!$AD$3:$AD$501,0))&amp;"","")</f>
        <v>O</v>
      </c>
      <c r="E38" s="18" t="str">
        <f aca="false">IFERROR(INDEX(종합!E$3:E$501,MATCH(ROW()-2,종합!$AD$3:$AD$501,0))&amp;"","")</f>
        <v>O</v>
      </c>
      <c r="F38" s="18" t="str">
        <f aca="false">IFERROR(INDEX(종합!F$3:F$501,MATCH(ROW()-2,종합!$AD$3:$AD$501,0))&amp;"","")</f>
        <v/>
      </c>
      <c r="G38" s="18" t="str">
        <f aca="false">IFERROR(INDEX(종합!G$3:G$501,MATCH(ROW()-2,종합!$AD$3:$AD$501,0))&amp;"","")</f>
        <v>중소기업</v>
      </c>
      <c r="H38" s="21" t="str">
        <f aca="false">IFERROR(INDEX(종합!H$3:H$501,MATCH(ROW()-2,종합!$AD$3:$AD$501,0))&amp;"","")</f>
        <v>562-88-00151</v>
      </c>
      <c r="I38" s="21" t="str">
        <f aca="false">IFERROR(INDEX(종합!I$3:I$501,MATCH(ROW()-2,종합!$AD$3:$AD$501,0))&amp;"","")</f>
        <v>김동환</v>
      </c>
      <c r="J38" s="21" t="str">
        <f aca="false">IFERROR(INDEX(종합!J$3:J$501,MATCH(ROW()-2,종합!$AD$3:$AD$501,0))&amp;"","")</f>
        <v>02-6952-9201</v>
      </c>
      <c r="K38" s="21" t="str">
        <f aca="false">IFERROR(INDEX(종합!K$3:K$501,MATCH(ROW()-2,종합!$AD$3:$AD$501,0))&amp;"","")</f>
        <v>www.42maur.ai</v>
      </c>
      <c r="L38" s="21" t="str">
        <f aca="false">IFERROR(INDEX(종합!L$3:L$501,MATCH(ROW()-2,종합!$AD$3:$AD$501,0))&amp;"","")</f>
        <v>gilje@42maru.ai</v>
      </c>
      <c r="M38" s="21" t="str">
        <f aca="false">IFERROR(INDEX(종합!M$3:M$501,MATCH(ROW()-2,종합!$AD$3:$AD$501,0))&amp;"","")</f>
        <v>서울시 서초구 신반포로 310</v>
      </c>
      <c r="N38" s="25" t="str">
        <f aca="false">IFERROR(INDEX(종합!N$3:N$501,MATCH(ROW()-2,종합!$AD$3:$AD$501,0))&amp;"","")</f>
        <v>다양한 분야에 특화된 산업용 Agentic AI 솔루션</v>
      </c>
      <c r="O38" s="21" t="str">
        <f aca="false">IFERROR(INDEX(종합!O$3:O$501,MATCH(ROW()-2,종합!$AD$3:$AD$501,0))&amp;"","")</f>
        <v>김동환</v>
      </c>
      <c r="P38" s="21" t="str">
        <f aca="false">IFERROR(INDEX(종합!P$3:P$501,MATCH(ROW()-2,종합!$AD$3:$AD$501,0))&amp;"","")</f>
        <v>대표이사</v>
      </c>
      <c r="Q38" s="21" t="str">
        <f aca="false">IFERROR(INDEX(종합!Q$3:Q$501,MATCH(ROW()-2,종합!$AD$3:$AD$501,0))&amp;"","")</f>
        <v>대표이사</v>
      </c>
      <c r="R38" s="21" t="str">
        <f aca="false">IFERROR(INDEX(종합!R$3:R$501,MATCH(ROW()-2,종합!$AD$3:$AD$501,0))&amp;"","")</f>
        <v>02-6952-9201</v>
      </c>
      <c r="S38" s="21" t="str">
        <f aca="false">IFERROR(INDEX(종합!S$3:S$501,MATCH(ROW()-2,종합!$AD$3:$AD$501,0))&amp;"","")</f>
        <v>scissors@42maru.ai</v>
      </c>
      <c r="T38" s="21" t="str">
        <f aca="false">IFERROR(INDEX(종합!T$3:T$501,MATCH(ROW()-2,종합!$AD$3:$AD$501,0))&amp;"","")</f>
        <v>010-4569-7576</v>
      </c>
      <c r="U38" s="21" t="str">
        <f aca="false">IFERROR(INDEX(종합!U$3:U$501,MATCH(ROW()-2,종합!$AD$3:$AD$501,0))&amp;"","")</f>
        <v>김동환</v>
      </c>
      <c r="V38" s="21" t="str">
        <f aca="false">IFERROR(INDEX(종합!V$3:V$501,MATCH(ROW()-2,종합!$AD$3:$AD$501,0))&amp;"","")</f>
        <v>대표이사</v>
      </c>
      <c r="W38" s="21" t="str">
        <f aca="false">IFERROR(INDEX(종합!W$3:W$501,MATCH(ROW()-2,종합!$AD$3:$AD$501,0))&amp;"","")</f>
        <v>대표이사</v>
      </c>
      <c r="X38" s="21" t="str">
        <f aca="false">IFERROR(INDEX(종합!X$3:X$501,MATCH(ROW()-2,종합!$AD$3:$AD$501,0))&amp;"","")</f>
        <v>02-6952-9201</v>
      </c>
      <c r="Y38" s="21" t="str">
        <f aca="false">IFERROR(INDEX(종합!Y$3:Y$501,MATCH(ROW()-2,종합!$AD$3:$AD$501,0))&amp;"","")</f>
        <v>scissors@42maru.ai</v>
      </c>
      <c r="Z38" s="21" t="str">
        <f aca="false">IFERROR(INDEX(종합!Z$3:Z$501,MATCH(ROW()-2,종합!$AD$3:$AD$501,0))&amp;"","")</f>
        <v>010-4569-7576</v>
      </c>
      <c r="AA38" s="23" t="str">
        <f aca="false">IFERROR(INDEX(종합!AA$3:AA$501,MATCH(ROW()-2,종합!$AD$3:$AD$501,0))&amp;"","")</f>
        <v/>
      </c>
    </row>
    <row r="39" customFormat="false" ht="22.5" hidden="false" customHeight="true" outlineLevel="0" collapsed="false">
      <c r="A39" s="18" t="n">
        <f aca="false">IF(B39="","",ROW()-2)</f>
        <v>37</v>
      </c>
      <c r="B39" s="18" t="str">
        <f aca="false">IFERROR(INDEX(종합!B$3:B$501,MATCH(ROW()-2,종합!$AD$3:$AD$501,0))&amp;"","")</f>
        <v>(주)이글루코퍼레이션</v>
      </c>
      <c r="C39" s="18" t="str">
        <f aca="false">IFERROR(INDEX(종합!C$3:C$501,MATCH(ROW()-2,종합!$AD$3:$AD$501,0))&amp;"","")</f>
        <v/>
      </c>
      <c r="D39" s="18" t="str">
        <f aca="false">IFERROR(INDEX(종합!D$3:D$501,MATCH(ROW()-2,종합!$AD$3:$AD$501,0))&amp;"","")</f>
        <v/>
      </c>
      <c r="E39" s="18" t="str">
        <f aca="false">IFERROR(INDEX(종합!E$3:E$501,MATCH(ROW()-2,종합!$AD$3:$AD$501,0))&amp;"","")</f>
        <v>O</v>
      </c>
      <c r="F39" s="18" t="str">
        <f aca="false">IFERROR(INDEX(종합!F$3:F$501,MATCH(ROW()-2,종합!$AD$3:$AD$501,0))&amp;"","")</f>
        <v/>
      </c>
      <c r="G39" s="18" t="str">
        <f aca="false">IFERROR(INDEX(종합!G$3:G$501,MATCH(ROW()-2,종합!$AD$3:$AD$501,0))&amp;"","")</f>
        <v>중견기업</v>
      </c>
      <c r="H39" s="21" t="str">
        <f aca="false">IFERROR(INDEX(종합!H$3:H$501,MATCH(ROW()-2,종합!$AD$3:$AD$501,0))&amp;"","")</f>
        <v>107-81-72385</v>
      </c>
      <c r="I39" s="21" t="str">
        <f aca="false">IFERROR(INDEX(종합!I$3:I$501,MATCH(ROW()-2,종합!$AD$3:$AD$501,0))&amp;"","")</f>
        <v>이득춘</v>
      </c>
      <c r="J39" s="21" t="str">
        <f aca="false">IFERROR(INDEX(종합!J$3:J$501,MATCH(ROW()-2,종합!$AD$3:$AD$501,0))&amp;"","")</f>
        <v>02-3452-8815</v>
      </c>
      <c r="K39" s="21" t="str">
        <f aca="false">IFERROR(INDEX(종합!K$3:K$501,MATCH(ROW()-2,종합!$AD$3:$AD$501,0))&amp;"","")</f>
        <v>https://www.igloo.co.kr/</v>
      </c>
      <c r="L39" s="21" t="str">
        <f aca="false">IFERROR(INDEX(종합!L$3:L$501,MATCH(ROW()-2,종합!$AD$3:$AD$501,0))&amp;"","")</f>
        <v>dolgubooki@gmail.com</v>
      </c>
      <c r="M39" s="21" t="str">
        <f aca="false">IFERROR(INDEX(종합!M$3:M$501,MATCH(ROW()-2,종합!$AD$3:$AD$501,0))&amp;"","")</f>
        <v>서울시 송파구 정의로 8길 7 한스빌딩 6층(5-8층)</v>
      </c>
      <c r="N39" s="25" t="str">
        <f aca="false">IFERROR(INDEX(종합!N$3:N$501,MATCH(ROW()-2,종합!$AD$3:$AD$501,0))&amp;"","")</f>
        <v>AI기반 보안관제, AI기반 통합보안관제솔루션, 보안특화 AI Agent</v>
      </c>
      <c r="O39" s="21" t="str">
        <f aca="false">IFERROR(INDEX(종합!O$3:O$501,MATCH(ROW()-2,종합!$AD$3:$AD$501,0))&amp;"","")</f>
        <v>정일옥</v>
      </c>
      <c r="P39" s="21" t="str">
        <f aca="false">IFERROR(INDEX(종합!P$3:P$501,MATCH(ROW()-2,종합!$AD$3:$AD$501,0))&amp;"","")</f>
        <v>연구개발본부</v>
      </c>
      <c r="Q39" s="21" t="str">
        <f aca="false">IFERROR(INDEX(종합!Q$3:Q$501,MATCH(ROW()-2,종합!$AD$3:$AD$501,0))&amp;"","")</f>
        <v>연구위원(이사)/AI연구실 실장</v>
      </c>
      <c r="R39" s="21" t="str">
        <f aca="false">IFERROR(INDEX(종합!R$3:R$501,MATCH(ROW()-2,종합!$AD$3:$AD$501,0))&amp;"","")</f>
        <v>010-8508-0150</v>
      </c>
      <c r="S39" s="21" t="str">
        <f aca="false">IFERROR(INDEX(종합!S$3:S$501,MATCH(ROW()-2,종합!$AD$3:$AD$501,0))&amp;"","")</f>
        <v>ilok.jung@igloo.co.kr</v>
      </c>
      <c r="T39" s="21" t="str">
        <f aca="false">IFERROR(INDEX(종합!T$3:T$501,MATCH(ROW()-2,종합!$AD$3:$AD$501,0))&amp;"","")</f>
        <v>010-8508-0150</v>
      </c>
      <c r="U39" s="21" t="str">
        <f aca="false">IFERROR(INDEX(종합!U$3:U$501,MATCH(ROW()-2,종합!$AD$3:$AD$501,0))&amp;"","")</f>
        <v>정일옥</v>
      </c>
      <c r="V39" s="21" t="str">
        <f aca="false">IFERROR(INDEX(종합!V$3:V$501,MATCH(ROW()-2,종합!$AD$3:$AD$501,0))&amp;"","")</f>
        <v>연구개발본부</v>
      </c>
      <c r="W39" s="21" t="str">
        <f aca="false">IFERROR(INDEX(종합!W$3:W$501,MATCH(ROW()-2,종합!$AD$3:$AD$501,0))&amp;"","")</f>
        <v>연구위원(이사)/AI연구실 실장</v>
      </c>
      <c r="X39" s="21" t="str">
        <f aca="false">IFERROR(INDEX(종합!X$3:X$501,MATCH(ROW()-2,종합!$AD$3:$AD$501,0))&amp;"","")</f>
        <v>010-8508-0150</v>
      </c>
      <c r="Y39" s="21" t="str">
        <f aca="false">IFERROR(INDEX(종합!Y$3:Y$501,MATCH(ROW()-2,종합!$AD$3:$AD$501,0))&amp;"","")</f>
        <v>ilok.jung@igloo.co.kr</v>
      </c>
      <c r="Z39" s="21" t="str">
        <f aca="false">IFERROR(INDEX(종합!Z$3:Z$501,MATCH(ROW()-2,종합!$AD$3:$AD$501,0))&amp;"","")</f>
        <v>010-8508-0150</v>
      </c>
      <c r="AA39" s="23" t="str">
        <f aca="false">IFERROR(INDEX(종합!AA$3:AA$501,MATCH(ROW()-2,종합!$AD$3:$AD$501,0))&amp;"","")</f>
        <v/>
      </c>
    </row>
    <row r="40" customFormat="false" ht="22.5" hidden="false" customHeight="true" outlineLevel="0" collapsed="false">
      <c r="A40" s="18" t="n">
        <f aca="false">IF(B40="","",ROW()-2)</f>
        <v>38</v>
      </c>
      <c r="B40" s="18" t="str">
        <f aca="false">IFERROR(INDEX(종합!B$3:B$501,MATCH(ROW()-2,종합!$AD$3:$AD$501,0))&amp;"","")</f>
        <v>아토랩 주식회사</v>
      </c>
      <c r="C40" s="18" t="str">
        <f aca="false">IFERROR(INDEX(종합!C$3:C$501,MATCH(ROW()-2,종합!$AD$3:$AD$501,0))&amp;"","")</f>
        <v/>
      </c>
      <c r="D40" s="18" t="str">
        <f aca="false">IFERROR(INDEX(종합!D$3:D$501,MATCH(ROW()-2,종합!$AD$3:$AD$501,0))&amp;"","")</f>
        <v/>
      </c>
      <c r="E40" s="18" t="str">
        <f aca="false">IFERROR(INDEX(종합!E$3:E$501,MATCH(ROW()-2,종합!$AD$3:$AD$501,0))&amp;"","")</f>
        <v>O</v>
      </c>
      <c r="F40" s="18" t="str">
        <f aca="false">IFERROR(INDEX(종합!F$3:F$501,MATCH(ROW()-2,종합!$AD$3:$AD$501,0))&amp;"","")</f>
        <v/>
      </c>
      <c r="G40" s="18" t="str">
        <f aca="false">IFERROR(INDEX(종합!G$3:G$501,MATCH(ROW()-2,종합!$AD$3:$AD$501,0))&amp;"","")</f>
        <v>중소기업</v>
      </c>
      <c r="H40" s="21" t="str">
        <f aca="false">IFERROR(INDEX(종합!H$3:H$501,MATCH(ROW()-2,종합!$AD$3:$AD$501,0))&amp;"","")</f>
        <v>749-81-03440</v>
      </c>
      <c r="I40" s="21" t="str">
        <f aca="false">IFERROR(INDEX(종합!I$3:I$501,MATCH(ROW()-2,종합!$AD$3:$AD$501,0))&amp;"","")</f>
        <v>박석준</v>
      </c>
      <c r="J40" s="21" t="str">
        <f aca="false">IFERROR(INDEX(종합!J$3:J$501,MATCH(ROW()-2,종합!$AD$3:$AD$501,0))&amp;"","")</f>
        <v>02-6093-1401</v>
      </c>
      <c r="K40" s="21" t="str">
        <f aca="false">IFERROR(INDEX(종합!K$3:K$501,MATCH(ROW()-2,종합!$AD$3:$AD$501,0))&amp;"","")</f>
        <v>https://www.atto-research.com</v>
      </c>
      <c r="L40" s="21" t="str">
        <f aca="false">IFERROR(INDEX(종합!L$3:L$501,MATCH(ROW()-2,종합!$AD$3:$AD$501,0))&amp;"","")</f>
        <v>taekyung.lee@atto-research.com</v>
      </c>
      <c r="M40" s="21" t="str">
        <f aca="false">IFERROR(INDEX(종합!M$3:M$501,MATCH(ROW()-2,종합!$AD$3:$AD$501,0))&amp;"","")</f>
        <v>(06729) 서울특별시 서초구 강남대로 43길 6, 2층</v>
      </c>
      <c r="N40" s="25" t="str">
        <f aca="false">IFERROR(INDEX(종합!N$3:N$501,MATCH(ROW()-2,종합!$AD$3:$AD$501,0))&amp;"","")</f>
        <v>AI 인프라관리 기술 및 솔루션 (AI클라우드, AI네트워크)</v>
      </c>
      <c r="O40" s="21" t="str">
        <f aca="false">IFERROR(INDEX(종합!O$3:O$501,MATCH(ROW()-2,종합!$AD$3:$AD$501,0))&amp;"","")</f>
        <v>이태경</v>
      </c>
      <c r="P40" s="21" t="str">
        <f aca="false">IFERROR(INDEX(종합!P$3:P$501,MATCH(ROW()-2,종합!$AD$3:$AD$501,0))&amp;"","")</f>
        <v>AI인프라개발팀</v>
      </c>
      <c r="Q40" s="21" t="str">
        <f aca="false">IFERROR(INDEX(종합!Q$3:Q$501,MATCH(ROW()-2,종합!$AD$3:$AD$501,0))&amp;"","")</f>
        <v>수석</v>
      </c>
      <c r="R40" s="21" t="str">
        <f aca="false">IFERROR(INDEX(종합!R$3:R$501,MATCH(ROW()-2,종합!$AD$3:$AD$501,0))&amp;"","")</f>
        <v>010-3595-0132</v>
      </c>
      <c r="S40" s="21" t="str">
        <f aca="false">IFERROR(INDEX(종합!S$3:S$501,MATCH(ROW()-2,종합!$AD$3:$AD$501,0))&amp;"","")</f>
        <v>taekyung.lee@atto-research.com</v>
      </c>
      <c r="T40" s="21" t="str">
        <f aca="false">IFERROR(INDEX(종합!T$3:T$501,MATCH(ROW()-2,종합!$AD$3:$AD$501,0))&amp;"","")</f>
        <v>010-3595-0132</v>
      </c>
      <c r="U40" s="21" t="str">
        <f aca="false">IFERROR(INDEX(종합!U$3:U$501,MATCH(ROW()-2,종합!$AD$3:$AD$501,0))&amp;"","")</f>
        <v>이태경</v>
      </c>
      <c r="V40" s="21" t="str">
        <f aca="false">IFERROR(INDEX(종합!V$3:V$501,MATCH(ROW()-2,종합!$AD$3:$AD$501,0))&amp;"","")</f>
        <v>AI인프라개발팀</v>
      </c>
      <c r="W40" s="21" t="str">
        <f aca="false">IFERROR(INDEX(종합!W$3:W$501,MATCH(ROW()-2,종합!$AD$3:$AD$501,0))&amp;"","")</f>
        <v>수석</v>
      </c>
      <c r="X40" s="21" t="str">
        <f aca="false">IFERROR(INDEX(종합!X$3:X$501,MATCH(ROW()-2,종합!$AD$3:$AD$501,0))&amp;"","")</f>
        <v>010-3595-0132</v>
      </c>
      <c r="Y40" s="21" t="str">
        <f aca="false">IFERROR(INDEX(종합!Y$3:Y$501,MATCH(ROW()-2,종합!$AD$3:$AD$501,0))&amp;"","")</f>
        <v>taekyung.lee@atto-research.com</v>
      </c>
      <c r="Z40" s="21" t="str">
        <f aca="false">IFERROR(INDEX(종합!Z$3:Z$501,MATCH(ROW()-2,종합!$AD$3:$AD$501,0))&amp;"","")</f>
        <v>010-3595-0132</v>
      </c>
      <c r="AA40" s="23" t="str">
        <f aca="false">IFERROR(INDEX(종합!AA$3:AA$501,MATCH(ROW()-2,종합!$AD$3:$AD$501,0))&amp;"","")</f>
        <v/>
      </c>
    </row>
    <row r="41" customFormat="false" ht="22.5" hidden="false" customHeight="true" outlineLevel="0" collapsed="false">
      <c r="A41" s="18" t="n">
        <f aca="false">IF(B41="","",ROW()-2)</f>
        <v>39</v>
      </c>
      <c r="B41" s="18" t="str">
        <f aca="false">IFERROR(INDEX(종합!B$3:B$501,MATCH(ROW()-2,종합!$AD$3:$AD$501,0))&amp;"","")</f>
        <v>한국정보통신기술협회</v>
      </c>
      <c r="C41" s="18" t="str">
        <f aca="false">IFERROR(INDEX(종합!C$3:C$501,MATCH(ROW()-2,종합!$AD$3:$AD$501,0))&amp;"","")</f>
        <v/>
      </c>
      <c r="D41" s="18" t="str">
        <f aca="false">IFERROR(INDEX(종합!D$3:D$501,MATCH(ROW()-2,종합!$AD$3:$AD$501,0))&amp;"","")</f>
        <v/>
      </c>
      <c r="E41" s="18" t="str">
        <f aca="false">IFERROR(INDEX(종합!E$3:E$501,MATCH(ROW()-2,종합!$AD$3:$AD$501,0))&amp;"","")</f>
        <v>O</v>
      </c>
      <c r="F41" s="18" t="str">
        <f aca="false">IFERROR(INDEX(종합!F$3:F$501,MATCH(ROW()-2,종합!$AD$3:$AD$501,0))&amp;"","")</f>
        <v/>
      </c>
      <c r="G41" s="18" t="str">
        <f aca="false">IFERROR(INDEX(종합!G$3:G$501,MATCH(ROW()-2,종합!$AD$3:$AD$501,0))&amp;"","")</f>
        <v>협회·단체</v>
      </c>
      <c r="H41" s="21" t="str">
        <f aca="false">IFERROR(INDEX(종합!H$3:H$501,MATCH(ROW()-2,종합!$AD$3:$AD$501,0))&amp;"","")</f>
        <v>102-82-07886</v>
      </c>
      <c r="I41" s="21" t="str">
        <f aca="false">IFERROR(INDEX(종합!I$3:I$501,MATCH(ROW()-2,종합!$AD$3:$AD$501,0))&amp;"","")</f>
        <v>손승현</v>
      </c>
      <c r="J41" s="21" t="str">
        <f aca="false">IFERROR(INDEX(종합!J$3:J$501,MATCH(ROW()-2,종합!$AD$3:$AD$501,0))&amp;"","")</f>
        <v>031-724-0114</v>
      </c>
      <c r="K41" s="21" t="str">
        <f aca="false">IFERROR(INDEX(종합!K$3:K$501,MATCH(ROW()-2,종합!$AD$3:$AD$501,0))&amp;"","")</f>
        <v>https://www.tta.or.kr</v>
      </c>
      <c r="L41" s="21" t="str">
        <f aca="false">IFERROR(INDEX(종합!L$3:L$501,MATCH(ROW()-2,종합!$AD$3:$AD$501,0))&amp;"","")</f>
        <v>jhko@tta.or.kr</v>
      </c>
      <c r="M41" s="21" t="str">
        <f aca="false">IFERROR(INDEX(종합!M$3:M$501,MATCH(ROW()-2,종합!$AD$3:$AD$501,0))&amp;"","")</f>
        <v>경기도 성남시 분당구 분당로 47</v>
      </c>
      <c r="N41" s="25" t="str">
        <f aca="false">IFERROR(INDEX(종합!N$3:N$501,MATCH(ROW()-2,종합!$AD$3:$AD$501,0))&amp;"","")</f>
        <v>표준</v>
      </c>
      <c r="O41" s="21" t="str">
        <f aca="false">IFERROR(INDEX(종합!O$3:O$501,MATCH(ROW()-2,종합!$AD$3:$AD$501,0))&amp;"","")</f>
        <v>김정헌</v>
      </c>
      <c r="P41" s="21" t="str">
        <f aca="false">IFERROR(INDEX(종합!P$3:P$501,MATCH(ROW()-2,종합!$AD$3:$AD$501,0))&amp;"","")</f>
        <v>AI융합표준단</v>
      </c>
      <c r="Q41" s="21" t="str">
        <f aca="false">IFERROR(INDEX(종합!Q$3:Q$501,MATCH(ROW()-2,종합!$AD$3:$AD$501,0))&amp;"","")</f>
        <v>팀장</v>
      </c>
      <c r="R41" s="21" t="str">
        <f aca="false">IFERROR(INDEX(종합!R$3:R$501,MATCH(ROW()-2,종합!$AD$3:$AD$501,0))&amp;"","")</f>
        <v>010-5111-1075</v>
      </c>
      <c r="S41" s="21" t="str">
        <f aca="false">IFERROR(INDEX(종합!S$3:S$501,MATCH(ROW()-2,종합!$AD$3:$AD$501,0))&amp;"","")</f>
        <v>hun@tta.or.kr</v>
      </c>
      <c r="T41" s="21" t="str">
        <f aca="false">IFERROR(INDEX(종합!T$3:T$501,MATCH(ROW()-2,종합!$AD$3:$AD$501,0))&amp;"","")</f>
        <v>010-5111-1075</v>
      </c>
      <c r="U41" s="21" t="str">
        <f aca="false">IFERROR(INDEX(종합!U$3:U$501,MATCH(ROW()-2,종합!$AD$3:$AD$501,0))&amp;"","")</f>
        <v>김정헌</v>
      </c>
      <c r="V41" s="21" t="str">
        <f aca="false">IFERROR(INDEX(종합!V$3:V$501,MATCH(ROW()-2,종합!$AD$3:$AD$501,0))&amp;"","")</f>
        <v>AI융합표준단</v>
      </c>
      <c r="W41" s="21" t="str">
        <f aca="false">IFERROR(INDEX(종합!W$3:W$501,MATCH(ROW()-2,종합!$AD$3:$AD$501,0))&amp;"","")</f>
        <v>팀장</v>
      </c>
      <c r="X41" s="21" t="str">
        <f aca="false">IFERROR(INDEX(종합!X$3:X$501,MATCH(ROW()-2,종합!$AD$3:$AD$501,0))&amp;"","")</f>
        <v>010-5111-1075</v>
      </c>
      <c r="Y41" s="21" t="str">
        <f aca="false">IFERROR(INDEX(종합!Y$3:Y$501,MATCH(ROW()-2,종합!$AD$3:$AD$501,0))&amp;"","")</f>
        <v>hun@tta.or.kr</v>
      </c>
      <c r="Z41" s="21" t="str">
        <f aca="false">IFERROR(INDEX(종합!Z$3:Z$501,MATCH(ROW()-2,종합!$AD$3:$AD$501,0))&amp;"","")</f>
        <v>010-5111-1075</v>
      </c>
      <c r="AA41" s="23" t="str">
        <f aca="false">IFERROR(INDEX(종합!AA$3:AA$501,MATCH(ROW()-2,종합!$AD$3:$AD$501,0))&amp;"","")</f>
        <v/>
      </c>
    </row>
    <row r="42" customFormat="false" ht="33.75" hidden="false" customHeight="true" outlineLevel="0" collapsed="false">
      <c r="A42" s="18" t="n">
        <f aca="false">IF(B42="","",ROW()-2)</f>
        <v>40</v>
      </c>
      <c r="B42" s="18" t="str">
        <f aca="false">IFERROR(INDEX(종합!B$3:B$501,MATCH(ROW()-2,종합!$AD$3:$AD$501,0))&amp;"","")</f>
        <v>주식회사 업스테이지</v>
      </c>
      <c r="C42" s="18" t="str">
        <f aca="false">IFERROR(INDEX(종합!C$3:C$501,MATCH(ROW()-2,종합!$AD$3:$AD$501,0))&amp;"","")</f>
        <v/>
      </c>
      <c r="D42" s="18" t="str">
        <f aca="false">IFERROR(INDEX(종합!D$3:D$501,MATCH(ROW()-2,종합!$AD$3:$AD$501,0))&amp;"","")</f>
        <v/>
      </c>
      <c r="E42" s="18" t="str">
        <f aca="false">IFERROR(INDEX(종합!E$3:E$501,MATCH(ROW()-2,종합!$AD$3:$AD$501,0))&amp;"","")</f>
        <v>O</v>
      </c>
      <c r="F42" s="18" t="str">
        <f aca="false">IFERROR(INDEX(종합!F$3:F$501,MATCH(ROW()-2,종합!$AD$3:$AD$501,0))&amp;"","")</f>
        <v/>
      </c>
      <c r="G42" s="18" t="str">
        <f aca="false">IFERROR(INDEX(종합!G$3:G$501,MATCH(ROW()-2,종합!$AD$3:$AD$501,0))&amp;"","")</f>
        <v>중소기업</v>
      </c>
      <c r="H42" s="21" t="str">
        <f aca="false">IFERROR(INDEX(종합!H$3:H$501,MATCH(ROW()-2,종합!$AD$3:$AD$501,0))&amp;"","")</f>
        <v>830-88-01918</v>
      </c>
      <c r="I42" s="21" t="str">
        <f aca="false">IFERROR(INDEX(종합!I$3:I$501,MATCH(ROW()-2,종합!$AD$3:$AD$501,0))&amp;"","")</f>
        <v>김성훈</v>
      </c>
      <c r="J42" s="21" t="str">
        <f aca="false">IFERROR(INDEX(종합!J$3:J$501,MATCH(ROW()-2,종합!$AD$3:$AD$501,0))&amp;"","")</f>
        <v>070-8098-3023</v>
      </c>
      <c r="K42" s="21" t="str">
        <f aca="false">IFERROR(INDEX(종합!K$3:K$501,MATCH(ROW()-2,종합!$AD$3:$AD$501,0))&amp;"","")</f>
        <v>https://www.upstage.ai/</v>
      </c>
      <c r="L42" s="21" t="str">
        <f aca="false">IFERROR(INDEX(종합!L$3:L$501,MATCH(ROW()-2,종합!$AD$3:$AD$501,0))&amp;"","")</f>
        <v>soonil.kwon@upstage.ai</v>
      </c>
      <c r="M42" s="21" t="str">
        <f aca="false">IFERROR(INDEX(종합!M$3:M$501,MATCH(ROW()-2,종합!$AD$3:$AD$501,0))&amp;"","")</f>
        <v>경기도 용인시 수지구 광교중앙로338 A동 815호 (우편번호: 16942) -&gt; 3월 변경 예정 : 서울 강남구 테헤란로7길 22 한국과학기술회관 2관, 스파크플러스 강남5호점 812~817호 </v>
      </c>
      <c r="N42" s="25" t="str">
        <f aca="false">IFERROR(INDEX(종합!N$3:N$501,MATCH(ROW()-2,종합!$AD$3:$AD$501,0))&amp;"","")</f>
        <v>Parser, LLM, Agent</v>
      </c>
      <c r="O42" s="21" t="str">
        <f aca="false">IFERROR(INDEX(종합!O$3:O$501,MATCH(ROW()-2,종합!$AD$3:$AD$501,0))&amp;"","")</f>
        <v>권순일</v>
      </c>
      <c r="P42" s="21" t="str">
        <f aca="false">IFERROR(INDEX(종합!P$3:P$501,MATCH(ROW()-2,종합!$AD$3:$AD$501,0))&amp;"","")</f>
        <v>전략부문</v>
      </c>
      <c r="Q42" s="21" t="str">
        <f aca="false">IFERROR(INDEX(종합!Q$3:Q$501,MATCH(ROW()-2,종합!$AD$3:$AD$501,0))&amp;"","")</f>
        <v>CSO, 부사장</v>
      </c>
      <c r="R42" s="21" t="str">
        <f aca="false">IFERROR(INDEX(종합!R$3:R$501,MATCH(ROW()-2,종합!$AD$3:$AD$501,0))&amp;"","")</f>
        <v>010-4630-6008</v>
      </c>
      <c r="S42" s="21" t="str">
        <f aca="false">IFERROR(INDEX(종합!S$3:S$501,MATCH(ROW()-2,종합!$AD$3:$AD$501,0))&amp;"","")</f>
        <v>soonil.kwon@upstage.ai</v>
      </c>
      <c r="T42" s="21" t="str">
        <f aca="false">IFERROR(INDEX(종합!T$3:T$501,MATCH(ROW()-2,종합!$AD$3:$AD$501,0))&amp;"","")</f>
        <v>010-4630-6008</v>
      </c>
      <c r="U42" s="21" t="str">
        <f aca="false">IFERROR(INDEX(종합!U$3:U$501,MATCH(ROW()-2,종합!$AD$3:$AD$501,0))&amp;"","")</f>
        <v>권순일</v>
      </c>
      <c r="V42" s="21" t="str">
        <f aca="false">IFERROR(INDEX(종합!V$3:V$501,MATCH(ROW()-2,종합!$AD$3:$AD$501,0))&amp;"","")</f>
        <v>전략부문</v>
      </c>
      <c r="W42" s="21" t="str">
        <f aca="false">IFERROR(INDEX(종합!W$3:W$501,MATCH(ROW()-2,종합!$AD$3:$AD$501,0))&amp;"","")</f>
        <v>CSO, 부사장</v>
      </c>
      <c r="X42" s="21" t="str">
        <f aca="false">IFERROR(INDEX(종합!X$3:X$501,MATCH(ROW()-2,종합!$AD$3:$AD$501,0))&amp;"","")</f>
        <v>010-4630-6008</v>
      </c>
      <c r="Y42" s="21" t="str">
        <f aca="false">IFERROR(INDEX(종합!Y$3:Y$501,MATCH(ROW()-2,종합!$AD$3:$AD$501,0))&amp;"","")</f>
        <v>soonil.kwon@upstage.ai</v>
      </c>
      <c r="Z42" s="21" t="str">
        <f aca="false">IFERROR(INDEX(종합!Z$3:Z$501,MATCH(ROW()-2,종합!$AD$3:$AD$501,0))&amp;"","")</f>
        <v>010-4630-6008</v>
      </c>
      <c r="AA42" s="23" t="str">
        <f aca="false">IFERROR(INDEX(종합!AA$3:AA$501,MATCH(ROW()-2,종합!$AD$3:$AD$501,0))&amp;"","")</f>
        <v/>
      </c>
    </row>
    <row r="43" customFormat="false" ht="22.5" hidden="false" customHeight="true" outlineLevel="0" collapsed="false">
      <c r="A43" s="18" t="n">
        <f aca="false">IF(B43="","",ROW()-2)</f>
        <v>41</v>
      </c>
      <c r="B43" s="18" t="str">
        <f aca="false">IFERROR(INDEX(종합!B$3:B$501,MATCH(ROW()-2,종합!$AD$3:$AD$501,0))&amp;"","")</f>
        <v>나무기술(주)</v>
      </c>
      <c r="C43" s="18" t="str">
        <f aca="false">IFERROR(INDEX(종합!C$3:C$501,MATCH(ROW()-2,종합!$AD$3:$AD$501,0))&amp;"","")</f>
        <v/>
      </c>
      <c r="D43" s="18" t="str">
        <f aca="false">IFERROR(INDEX(종합!D$3:D$501,MATCH(ROW()-2,종합!$AD$3:$AD$501,0))&amp;"","")</f>
        <v/>
      </c>
      <c r="E43" s="18" t="str">
        <f aca="false">IFERROR(INDEX(종합!E$3:E$501,MATCH(ROW()-2,종합!$AD$3:$AD$501,0))&amp;"","")</f>
        <v>O</v>
      </c>
      <c r="F43" s="18" t="str">
        <f aca="false">IFERROR(INDEX(종합!F$3:F$501,MATCH(ROW()-2,종합!$AD$3:$AD$501,0))&amp;"","")</f>
        <v/>
      </c>
      <c r="G43" s="18" t="str">
        <f aca="false">IFERROR(INDEX(종합!G$3:G$501,MATCH(ROW()-2,종합!$AD$3:$AD$501,0))&amp;"","")</f>
        <v>중소기업</v>
      </c>
      <c r="H43" s="21" t="str">
        <f aca="false">IFERROR(INDEX(종합!H$3:H$501,MATCH(ROW()-2,종합!$AD$3:$AD$501,0))&amp;"","")</f>
        <v>638-81-00309</v>
      </c>
      <c r="I43" s="21" t="str">
        <f aca="false">IFERROR(INDEX(종합!I$3:I$501,MATCH(ROW()-2,종합!$AD$3:$AD$501,0))&amp;"","")</f>
        <v>정철</v>
      </c>
      <c r="J43" s="21" t="str">
        <f aca="false">IFERROR(INDEX(종합!J$3:J$501,MATCH(ROW()-2,종합!$AD$3:$AD$501,0))&amp;"","")</f>
        <v>02-3288-8110</v>
      </c>
      <c r="K43" s="21" t="str">
        <f aca="false">IFERROR(INDEX(종합!K$3:K$501,MATCH(ROW()-2,종합!$AD$3:$AD$501,0))&amp;"","")</f>
        <v>www.namutech.co.kr</v>
      </c>
      <c r="L43" s="21" t="str">
        <f aca="false">IFERROR(INDEX(종합!L$3:L$501,MATCH(ROW()-2,종합!$AD$3:$AD$501,0))&amp;"","")</f>
        <v>josh.ko@namutech.co.kr</v>
      </c>
      <c r="M43" s="21" t="str">
        <f aca="false">IFERROR(INDEX(종합!M$3:M$501,MATCH(ROW()-2,종합!$AD$3:$AD$501,0))&amp;"","")</f>
        <v>서울시 강서구 마곡중앙8로3길 41</v>
      </c>
      <c r="N43" s="25" t="str">
        <f aca="false">IFERROR(INDEX(종합!N$3:N$501,MATCH(ROW()-2,종합!$AD$3:$AD$501,0))&amp;"","")</f>
        <v>NAA - 엔터프라이즈 AI Agent 플랫폼, LLMOps</v>
      </c>
      <c r="O43" s="21" t="str">
        <f aca="false">IFERROR(INDEX(종합!O$3:O$501,MATCH(ROW()-2,종합!$AD$3:$AD$501,0))&amp;"","")</f>
        <v>고우주</v>
      </c>
      <c r="P43" s="21" t="str">
        <f aca="false">IFERROR(INDEX(종합!P$3:P$501,MATCH(ROW()-2,종합!$AD$3:$AD$501,0))&amp;"","")</f>
        <v>AI본부</v>
      </c>
      <c r="Q43" s="21" t="str">
        <f aca="false">IFERROR(INDEX(종합!Q$3:Q$501,MATCH(ROW()-2,종합!$AD$3:$AD$501,0))&amp;"","")</f>
        <v>상무/CAIO</v>
      </c>
      <c r="R43" s="21" t="str">
        <f aca="false">IFERROR(INDEX(종합!R$3:R$501,MATCH(ROW()-2,종합!$AD$3:$AD$501,0))&amp;"","")</f>
        <v>02-3288-7900</v>
      </c>
      <c r="S43" s="21" t="str">
        <f aca="false">IFERROR(INDEX(종합!S$3:S$501,MATCH(ROW()-2,종합!$AD$3:$AD$501,0))&amp;"","")</f>
        <v>josh.ko@namutech.co.kr</v>
      </c>
      <c r="T43" s="21" t="str">
        <f aca="false">IFERROR(INDEX(종합!T$3:T$501,MATCH(ROW()-2,종합!$AD$3:$AD$501,0))&amp;"","")</f>
        <v>010-4142-8313</v>
      </c>
      <c r="U43" s="21" t="str">
        <f aca="false">IFERROR(INDEX(종합!U$3:U$501,MATCH(ROW()-2,종합!$AD$3:$AD$501,0))&amp;"","")</f>
        <v>고우주</v>
      </c>
      <c r="V43" s="21" t="str">
        <f aca="false">IFERROR(INDEX(종합!V$3:V$501,MATCH(ROW()-2,종합!$AD$3:$AD$501,0))&amp;"","")</f>
        <v>AI본부</v>
      </c>
      <c r="W43" s="21" t="str">
        <f aca="false">IFERROR(INDEX(종합!W$3:W$501,MATCH(ROW()-2,종합!$AD$3:$AD$501,0))&amp;"","")</f>
        <v>상무/CAIO</v>
      </c>
      <c r="X43" s="21" t="str">
        <f aca="false">IFERROR(INDEX(종합!X$3:X$501,MATCH(ROW()-2,종합!$AD$3:$AD$501,0))&amp;"","")</f>
        <v>02-3288-7900</v>
      </c>
      <c r="Y43" s="21" t="str">
        <f aca="false">IFERROR(INDEX(종합!Y$3:Y$501,MATCH(ROW()-2,종합!$AD$3:$AD$501,0))&amp;"","")</f>
        <v>josh.ko@namutech.co.kr</v>
      </c>
      <c r="Z43" s="21" t="str">
        <f aca="false">IFERROR(INDEX(종합!Z$3:Z$501,MATCH(ROW()-2,종합!$AD$3:$AD$501,0))&amp;"","")</f>
        <v>010-4142-8313</v>
      </c>
      <c r="AA43" s="23" t="str">
        <f aca="false">IFERROR(INDEX(종합!AA$3:AA$501,MATCH(ROW()-2,종합!$AD$3:$AD$501,0))&amp;"","")</f>
        <v/>
      </c>
    </row>
    <row r="44" customFormat="false" ht="22.5" hidden="false" customHeight="true" outlineLevel="0" collapsed="false">
      <c r="A44" s="18" t="n">
        <f aca="false">IF(B44="","",ROW()-2)</f>
        <v>42</v>
      </c>
      <c r="B44" s="18" t="str">
        <f aca="false">IFERROR(INDEX(종합!B$3:B$501,MATCH(ROW()-2,종합!$AD$3:$AD$501,0))&amp;"","")</f>
        <v>주식회사 아이티센글로벌</v>
      </c>
      <c r="C44" s="18" t="str">
        <f aca="false">IFERROR(INDEX(종합!C$3:C$501,MATCH(ROW()-2,종합!$AD$3:$AD$501,0))&amp;"","")</f>
        <v/>
      </c>
      <c r="D44" s="18" t="str">
        <f aca="false">IFERROR(INDEX(종합!D$3:D$501,MATCH(ROW()-2,종합!$AD$3:$AD$501,0))&amp;"","")</f>
        <v/>
      </c>
      <c r="E44" s="18" t="str">
        <f aca="false">IFERROR(INDEX(종합!E$3:E$501,MATCH(ROW()-2,종합!$AD$3:$AD$501,0))&amp;"","")</f>
        <v>O</v>
      </c>
      <c r="F44" s="18" t="str">
        <f aca="false">IFERROR(INDEX(종합!F$3:F$501,MATCH(ROW()-2,종합!$AD$3:$AD$501,0))&amp;"","")</f>
        <v/>
      </c>
      <c r="G44" s="18" t="str">
        <f aca="false">IFERROR(INDEX(종합!G$3:G$501,MATCH(ROW()-2,종합!$AD$3:$AD$501,0))&amp;"","")</f>
        <v>중견기업</v>
      </c>
      <c r="H44" s="21" t="str">
        <f aca="false">IFERROR(INDEX(종합!H$3:H$501,MATCH(ROW()-2,종합!$AD$3:$AD$501,0))&amp;"","")</f>
        <v>120-86-81451</v>
      </c>
      <c r="I44" s="21" t="str">
        <f aca="false">IFERROR(INDEX(종합!I$3:I$501,MATCH(ROW()-2,종합!$AD$3:$AD$501,0))&amp;"","")</f>
        <v>강진모</v>
      </c>
      <c r="J44" s="21" t="str">
        <f aca="false">IFERROR(INDEX(종합!J$3:J$501,MATCH(ROW()-2,종합!$AD$3:$AD$501,0))&amp;"","")</f>
        <v>02-3497-8300</v>
      </c>
      <c r="K44" s="21" t="str">
        <f aca="false">IFERROR(INDEX(종합!K$3:K$501,MATCH(ROW()-2,종합!$AD$3:$AD$501,0))&amp;"","")</f>
        <v>https://itcenglobal.com</v>
      </c>
      <c r="L44" s="21" t="str">
        <f aca="false">IFERROR(INDEX(종합!L$3:L$501,MATCH(ROW()-2,종합!$AD$3:$AD$501,0))&amp;"","")</f>
        <v>nagskang@gmail.com</v>
      </c>
      <c r="M44" s="21" t="str">
        <f aca="false">IFERROR(INDEX(종합!M$3:M$501,MATCH(ROW()-2,종합!$AD$3:$AD$501,0))&amp;"","")</f>
        <v>경기도 과천시 과천대로 12길 117, 과천펜타원 E동(아이티센타워)</v>
      </c>
      <c r="N44" s="25" t="str">
        <f aca="false">IFERROR(INDEX(종합!N$3:N$501,MATCH(ROW()-2,종합!$AD$3:$AD$501,0))&amp;"","")</f>
        <v>Multi AI Agent Management Platform</v>
      </c>
      <c r="O44" s="21" t="str">
        <f aca="false">IFERROR(INDEX(종합!O$3:O$501,MATCH(ROW()-2,종합!$AD$3:$AD$501,0))&amp;"","")</f>
        <v>강기식</v>
      </c>
      <c r="P44" s="21" t="str">
        <f aca="false">IFERROR(INDEX(종합!P$3:P$501,MATCH(ROW()-2,종합!$AD$3:$AD$501,0))&amp;"","")</f>
        <v>AI이노베이션센터</v>
      </c>
      <c r="Q44" s="21" t="str">
        <f aca="false">IFERROR(INDEX(종합!Q$3:Q$501,MATCH(ROW()-2,종합!$AD$3:$AD$501,0))&amp;"","")</f>
        <v>전무/AI이노베이션센터장</v>
      </c>
      <c r="R44" s="21" t="str">
        <f aca="false">IFERROR(INDEX(종합!R$3:R$501,MATCH(ROW()-2,종합!$AD$3:$AD$501,0))&amp;"","")</f>
        <v>010-4740-3750</v>
      </c>
      <c r="S44" s="21" t="str">
        <f aca="false">IFERROR(INDEX(종합!S$3:S$501,MATCH(ROW()-2,종합!$AD$3:$AD$501,0))&amp;"","")</f>
        <v>gskang@itcen.com</v>
      </c>
      <c r="T44" s="21" t="str">
        <f aca="false">IFERROR(INDEX(종합!T$3:T$501,MATCH(ROW()-2,종합!$AD$3:$AD$501,0))&amp;"","")</f>
        <v>010-4740-3750</v>
      </c>
      <c r="U44" s="21" t="str">
        <f aca="false">IFERROR(INDEX(종합!U$3:U$501,MATCH(ROW()-2,종합!$AD$3:$AD$501,0))&amp;"","")</f>
        <v>강기식</v>
      </c>
      <c r="V44" s="21" t="str">
        <f aca="false">IFERROR(INDEX(종합!V$3:V$501,MATCH(ROW()-2,종합!$AD$3:$AD$501,0))&amp;"","")</f>
        <v>AI이노베이션센터</v>
      </c>
      <c r="W44" s="21" t="str">
        <f aca="false">IFERROR(INDEX(종합!W$3:W$501,MATCH(ROW()-2,종합!$AD$3:$AD$501,0))&amp;"","")</f>
        <v>전무/AI이노베이션센터장</v>
      </c>
      <c r="X44" s="21" t="str">
        <f aca="false">IFERROR(INDEX(종합!X$3:X$501,MATCH(ROW()-2,종합!$AD$3:$AD$501,0))&amp;"","")</f>
        <v>010-4740-3750</v>
      </c>
      <c r="Y44" s="21" t="str">
        <f aca="false">IFERROR(INDEX(종합!Y$3:Y$501,MATCH(ROW()-2,종합!$AD$3:$AD$501,0))&amp;"","")</f>
        <v>gskang@itcen.com</v>
      </c>
      <c r="Z44" s="21" t="str">
        <f aca="false">IFERROR(INDEX(종합!Z$3:Z$501,MATCH(ROW()-2,종합!$AD$3:$AD$501,0))&amp;"","")</f>
        <v>010-4740-3750</v>
      </c>
      <c r="AA44" s="23" t="str">
        <f aca="false">IFERROR(INDEX(종합!AA$3:AA$501,MATCH(ROW()-2,종합!$AD$3:$AD$501,0))&amp;"","")</f>
        <v/>
      </c>
    </row>
    <row r="45" customFormat="false" ht="47.25" hidden="false" customHeight="true" outlineLevel="0" collapsed="false">
      <c r="A45" s="18" t="n">
        <f aca="false">IF(B45="","",ROW()-2)</f>
        <v>43</v>
      </c>
      <c r="B45" s="18" t="str">
        <f aca="false">IFERROR(INDEX(종합!B$3:B$501,MATCH(ROW()-2,종합!$AD$3:$AD$501,0))&amp;"","")</f>
        <v>(주)한컴인스페이스</v>
      </c>
      <c r="C45" s="18" t="str">
        <f aca="false">IFERROR(INDEX(종합!C$3:C$501,MATCH(ROW()-2,종합!$AD$3:$AD$501,0))&amp;"","")</f>
        <v/>
      </c>
      <c r="D45" s="18" t="str">
        <f aca="false">IFERROR(INDEX(종합!D$3:D$501,MATCH(ROW()-2,종합!$AD$3:$AD$501,0))&amp;"","")</f>
        <v/>
      </c>
      <c r="E45" s="18" t="str">
        <f aca="false">IFERROR(INDEX(종합!E$3:E$501,MATCH(ROW()-2,종합!$AD$3:$AD$501,0))&amp;"","")</f>
        <v>O</v>
      </c>
      <c r="F45" s="18" t="str">
        <f aca="false">IFERROR(INDEX(종합!F$3:F$501,MATCH(ROW()-2,종합!$AD$3:$AD$501,0))&amp;"","")</f>
        <v/>
      </c>
      <c r="G45" s="18" t="str">
        <f aca="false">IFERROR(INDEX(종합!G$3:G$501,MATCH(ROW()-2,종합!$AD$3:$AD$501,0))&amp;"","")</f>
        <v>중소기업</v>
      </c>
      <c r="H45" s="21" t="str">
        <f aca="false">IFERROR(INDEX(종합!H$3:H$501,MATCH(ROW()-2,종합!$AD$3:$AD$501,0))&amp;"","")</f>
        <v>314-86-31838</v>
      </c>
      <c r="I45" s="21" t="str">
        <f aca="false">IFERROR(INDEX(종합!I$3:I$501,MATCH(ROW()-2,종합!$AD$3:$AD$501,0))&amp;"","")</f>
        <v>최명진</v>
      </c>
      <c r="J45" s="21" t="str">
        <f aca="false">IFERROR(INDEX(종합!J$3:J$501,MATCH(ROW()-2,종합!$AD$3:$AD$501,0))&amp;"","")</f>
        <v>042-862-2779</v>
      </c>
      <c r="K45" s="21" t="str">
        <f aca="false">IFERROR(INDEX(종합!K$3:K$501,MATCH(ROW()-2,종합!$AD$3:$AD$501,0))&amp;"","")</f>
        <v>https://www.inspace.co.kr/</v>
      </c>
      <c r="L45" s="21" t="str">
        <f aca="false">IFERROR(INDEX(종합!L$3:L$501,MATCH(ROW()-2,종합!$AD$3:$AD$501,0))&amp;"","")</f>
        <v>kmj@inspace.re.kr</v>
      </c>
      <c r="M45" s="21" t="str">
        <f aca="false">IFERROR(INDEX(종합!M$3:M$501,MATCH(ROW()-2,종합!$AD$3:$AD$501,0))&amp;"","")</f>
        <v>대전광역시 유성구 엑스포로 1, 12층</v>
      </c>
      <c r="N45" s="25" t="str">
        <f aca="false">IFERROR(INDEX(종합!N$3:N$501,MATCH(ROW()-2,종합!$AD$3:$AD$501,0))&amp;"","")</f>
        <v>Multi-Intelligence 솔루션(우주, 국방 등)</v>
      </c>
      <c r="O45" s="21" t="str">
        <f aca="false">IFERROR(INDEX(종합!O$3:O$501,MATCH(ROW()-2,종합!$AD$3:$AD$501,0))&amp;"","")</f>
        <v>김민재</v>
      </c>
      <c r="P45" s="21" t="str">
        <f aca="false">IFERROR(INDEX(종합!P$3:P$501,MATCH(ROW()-2,종합!$AD$3:$AD$501,0))&amp;"","")</f>
        <v>다중정보융합사업단</v>
      </c>
      <c r="Q45" s="21" t="str">
        <f aca="false">IFERROR(INDEX(종합!Q$3:Q$501,MATCH(ROW()-2,종합!$AD$3:$AD$501,0))&amp;"","")</f>
        <v>단장</v>
      </c>
      <c r="R45" s="21" t="str">
        <f aca="false">IFERROR(INDEX(종합!R$3:R$501,MATCH(ROW()-2,종합!$AD$3:$AD$501,0))&amp;"","")</f>
        <v>010-6680-4875</v>
      </c>
      <c r="S45" s="21" t="str">
        <f aca="false">IFERROR(INDEX(종합!S$3:S$501,MATCH(ROW()-2,종합!$AD$3:$AD$501,0))&amp;"","")</f>
        <v>kmj@inspace.re.kr</v>
      </c>
      <c r="T45" s="21" t="str">
        <f aca="false">IFERROR(INDEX(종합!T$3:T$501,MATCH(ROW()-2,종합!$AD$3:$AD$501,0))&amp;"","")</f>
        <v>010-6680-4875</v>
      </c>
      <c r="U45" s="21" t="str">
        <f aca="false">IFERROR(INDEX(종합!U$3:U$501,MATCH(ROW()-2,종합!$AD$3:$AD$501,0))&amp;"","")</f>
        <v>김민재</v>
      </c>
      <c r="V45" s="21" t="str">
        <f aca="false">IFERROR(INDEX(종합!V$3:V$501,MATCH(ROW()-2,종합!$AD$3:$AD$501,0))&amp;"","")</f>
        <v>다중정보융합사업단</v>
      </c>
      <c r="W45" s="21" t="str">
        <f aca="false">IFERROR(INDEX(종합!W$3:W$501,MATCH(ROW()-2,종합!$AD$3:$AD$501,0))&amp;"","")</f>
        <v>단장</v>
      </c>
      <c r="X45" s="21" t="str">
        <f aca="false">IFERROR(INDEX(종합!X$3:X$501,MATCH(ROW()-2,종합!$AD$3:$AD$501,0))&amp;"","")</f>
        <v>010-6680-4875</v>
      </c>
      <c r="Y45" s="21" t="str">
        <f aca="false">IFERROR(INDEX(종합!Y$3:Y$501,MATCH(ROW()-2,종합!$AD$3:$AD$501,0))&amp;"","")</f>
        <v>kmj@inspace.re.kr</v>
      </c>
      <c r="Z45" s="21" t="str">
        <f aca="false">IFERROR(INDEX(종합!Z$3:Z$501,MATCH(ROW()-2,종합!$AD$3:$AD$501,0))&amp;"","")</f>
        <v>010-6680-4875</v>
      </c>
      <c r="AA45" s="23" t="str">
        <f aca="false">IFERROR(INDEX(종합!AA$3:AA$501,MATCH(ROW()-2,종합!$AD$3:$AD$501,0))&amp;"","")</f>
        <v/>
      </c>
    </row>
    <row r="46" customFormat="false" ht="47.25" hidden="false" customHeight="true" outlineLevel="0" collapsed="false">
      <c r="A46" s="18" t="n">
        <f aca="false">IF(B46="","",ROW()-2)</f>
        <v>44</v>
      </c>
      <c r="B46" s="18" t="str">
        <f aca="false">IFERROR(INDEX(종합!B$3:B$501,MATCH(ROW()-2,종합!$AD$3:$AD$501,0))&amp;"","")</f>
        <v>한국표준협회</v>
      </c>
      <c r="C46" s="18" t="str">
        <f aca="false">IFERROR(INDEX(종합!C$3:C$501,MATCH(ROW()-2,종합!$AD$3:$AD$501,0))&amp;"","")</f>
        <v/>
      </c>
      <c r="D46" s="18" t="str">
        <f aca="false">IFERROR(INDEX(종합!D$3:D$501,MATCH(ROW()-2,종합!$AD$3:$AD$501,0))&amp;"","")</f>
        <v/>
      </c>
      <c r="E46" s="18" t="str">
        <f aca="false">IFERROR(INDEX(종합!E$3:E$501,MATCH(ROW()-2,종합!$AD$3:$AD$501,0))&amp;"","")</f>
        <v>O</v>
      </c>
      <c r="F46" s="18" t="str">
        <f aca="false">IFERROR(INDEX(종합!F$3:F$501,MATCH(ROW()-2,종합!$AD$3:$AD$501,0))&amp;"","")</f>
        <v/>
      </c>
      <c r="G46" s="18" t="str">
        <f aca="false">IFERROR(INDEX(종합!G$3:G$501,MATCH(ROW()-2,종합!$AD$3:$AD$501,0))&amp;"","")</f>
        <v>협회·단체</v>
      </c>
      <c r="H46" s="21" t="str">
        <f aca="false">IFERROR(INDEX(종합!H$3:H$501,MATCH(ROW()-2,종합!$AD$3:$AD$501,0))&amp;"","")</f>
        <v>105-82-00617</v>
      </c>
      <c r="I46" s="21" t="str">
        <f aca="false">IFERROR(INDEX(종합!I$3:I$501,MATCH(ROW()-2,종합!$AD$3:$AD$501,0))&amp;"","")</f>
        <v>문동민</v>
      </c>
      <c r="J46" s="21" t="str">
        <f aca="false">IFERROR(INDEX(종합!J$3:J$501,MATCH(ROW()-2,종합!$AD$3:$AD$501,0))&amp;"","")</f>
        <v>02-6240-4882</v>
      </c>
      <c r="K46" s="21" t="str">
        <f aca="false">IFERROR(INDEX(종합!K$3:K$501,MATCH(ROW()-2,종합!$AD$3:$AD$501,0))&amp;"","")</f>
        <v>www.ksa.or.kr</v>
      </c>
      <c r="L46" s="21" t="str">
        <f aca="false">IFERROR(INDEX(종합!L$3:L$501,MATCH(ROW()-2,종합!$AD$3:$AD$501,0))&amp;"","")</f>
        <v>lgs.gaby@gmail.com</v>
      </c>
      <c r="M46" s="21" t="str">
        <f aca="false">IFERROR(INDEX(종합!M$3:M$501,MATCH(ROW()-2,종합!$AD$3:$AD$501,0))&amp;"","")</f>
        <v>서울시 강남구 테헤란로69길 5 한국표준협회 DT센터</v>
      </c>
      <c r="N46" s="25" t="str">
        <f aca="false">IFERROR(INDEX(종합!N$3:N$501,MATCH(ROW()-2,종합!$AD$3:$AD$501,0))&amp;"","")</f>
        <v>AI 교육 서비스, 인공지능 경영 시스템 인증 서비스(ISO/IEC 42001)</v>
      </c>
      <c r="O46" s="21" t="str">
        <f aca="false">IFERROR(INDEX(종합!O$3:O$501,MATCH(ROW()-2,종합!$AD$3:$AD$501,0))&amp;"","")</f>
        <v>장경호</v>
      </c>
      <c r="P46" s="21" t="str">
        <f aca="false">IFERROR(INDEX(종합!P$3:P$501,MATCH(ROW()-2,종합!$AD$3:$AD$501,0))&amp;"","")</f>
        <v>AX역량개발센터</v>
      </c>
      <c r="Q46" s="21" t="str">
        <f aca="false">IFERROR(INDEX(종합!Q$3:Q$501,MATCH(ROW()-2,종합!$AD$3:$AD$501,0))&amp;"","")</f>
        <v>센터장</v>
      </c>
      <c r="R46" s="21" t="str">
        <f aca="false">IFERROR(INDEX(종합!R$3:R$501,MATCH(ROW()-2,종합!$AD$3:$AD$501,0))&amp;"","")</f>
        <v>02-6240-4880</v>
      </c>
      <c r="S46" s="21" t="str">
        <f aca="false">IFERROR(INDEX(종합!S$3:S$501,MATCH(ROW()-2,종합!$AD$3:$AD$501,0))&amp;"","")</f>
        <v>kho@ksa.or.kr</v>
      </c>
      <c r="T46" s="21" t="str">
        <f aca="false">IFERROR(INDEX(종합!T$3:T$501,MATCH(ROW()-2,종합!$AD$3:$AD$501,0))&amp;"","")</f>
        <v>010-3350-6587</v>
      </c>
      <c r="U46" s="21" t="str">
        <f aca="false">IFERROR(INDEX(종합!U$3:U$501,MATCH(ROW()-2,종합!$AD$3:$AD$501,0))&amp;"","")</f>
        <v>장경호</v>
      </c>
      <c r="V46" s="21" t="str">
        <f aca="false">IFERROR(INDEX(종합!V$3:V$501,MATCH(ROW()-2,종합!$AD$3:$AD$501,0))&amp;"","")</f>
        <v>AX역량개발센터</v>
      </c>
      <c r="W46" s="21" t="str">
        <f aca="false">IFERROR(INDEX(종합!W$3:W$501,MATCH(ROW()-2,종합!$AD$3:$AD$501,0))&amp;"","")</f>
        <v>센터장</v>
      </c>
      <c r="X46" s="21" t="str">
        <f aca="false">IFERROR(INDEX(종합!X$3:X$501,MATCH(ROW()-2,종합!$AD$3:$AD$501,0))&amp;"","")</f>
        <v>02-6240-4880</v>
      </c>
      <c r="Y46" s="21" t="str">
        <f aca="false">IFERROR(INDEX(종합!Y$3:Y$501,MATCH(ROW()-2,종합!$AD$3:$AD$501,0))&amp;"","")</f>
        <v>kho@ksa.or.kr</v>
      </c>
      <c r="Z46" s="21" t="str">
        <f aca="false">IFERROR(INDEX(종합!Z$3:Z$501,MATCH(ROW()-2,종합!$AD$3:$AD$501,0))&amp;"","")</f>
        <v>010-3350-6587</v>
      </c>
      <c r="AA46" s="23" t="str">
        <f aca="false">IFERROR(INDEX(종합!AA$3:AA$501,MATCH(ROW()-2,종합!$AD$3:$AD$501,0))&amp;"","")</f>
        <v/>
      </c>
    </row>
    <row r="47" customFormat="false" ht="33.75" hidden="false" customHeight="true" outlineLevel="0" collapsed="false">
      <c r="A47" s="18" t="n">
        <f aca="false">IF(B47="","",ROW()-2)</f>
        <v>45</v>
      </c>
      <c r="B47" s="18" t="str">
        <f aca="false">IFERROR(INDEX(종합!B$3:B$501,MATCH(ROW()-2,종합!$AD$3:$AD$501,0))&amp;"","")</f>
        <v>(주)티맥스소프트</v>
      </c>
      <c r="C47" s="18" t="str">
        <f aca="false">IFERROR(INDEX(종합!C$3:C$501,MATCH(ROW()-2,종합!$AD$3:$AD$501,0))&amp;"","")</f>
        <v>O</v>
      </c>
      <c r="D47" s="18" t="str">
        <f aca="false">IFERROR(INDEX(종합!D$3:D$501,MATCH(ROW()-2,종합!$AD$3:$AD$501,0))&amp;"","")</f>
        <v/>
      </c>
      <c r="E47" s="18" t="str">
        <f aca="false">IFERROR(INDEX(종합!E$3:E$501,MATCH(ROW()-2,종합!$AD$3:$AD$501,0))&amp;"","")</f>
        <v>O</v>
      </c>
      <c r="F47" s="18" t="str">
        <f aca="false">IFERROR(INDEX(종합!F$3:F$501,MATCH(ROW()-2,종합!$AD$3:$AD$501,0))&amp;"","")</f>
        <v/>
      </c>
      <c r="G47" s="18" t="str">
        <f aca="false">IFERROR(INDEX(종합!G$3:G$501,MATCH(ROW()-2,종합!$AD$3:$AD$501,0))&amp;"","")</f>
        <v>중견기업</v>
      </c>
      <c r="H47" s="21" t="str">
        <f aca="false">IFERROR(INDEX(종합!H$3:H$501,MATCH(ROW()-2,종합!$AD$3:$AD$501,0))&amp;"","")</f>
        <v>220-81-45181</v>
      </c>
      <c r="I47" s="21" t="str">
        <f aca="false">IFERROR(INDEX(종합!I$3:I$501,MATCH(ROW()-2,종합!$AD$3:$AD$501,0))&amp;"","")</f>
        <v>이형용</v>
      </c>
      <c r="J47" s="21" t="str">
        <f aca="false">IFERROR(INDEX(종합!J$3:J$501,MATCH(ROW()-2,종합!$AD$3:$AD$501,0))&amp;"","")</f>
        <v>031-8018-1000</v>
      </c>
      <c r="K47" s="21" t="str">
        <f aca="false">IFERROR(INDEX(종합!K$3:K$501,MATCH(ROW()-2,종합!$AD$3:$AD$501,0))&amp;"","")</f>
        <v>www.tmaxsoft.com</v>
      </c>
      <c r="L47" s="21" t="str">
        <f aca="false">IFERROR(INDEX(종합!L$3:L$501,MATCH(ROW()-2,종합!$AD$3:$AD$501,0))&amp;"","")</f>
        <v>iamyaw2@gmail.com</v>
      </c>
      <c r="M47" s="21" t="str">
        <f aca="false">IFERROR(INDEX(종합!M$3:M$501,MATCH(ROW()-2,종합!$AD$3:$AD$501,0))&amp;"","")</f>
        <v>경기도 성남시 분당구 정자일로 45, 티맥스소프트타워</v>
      </c>
      <c r="N47" s="25" t="str">
        <f aca="false">IFERROR(INDEX(종합!N$3:N$501,MATCH(ROW()-2,종합!$AD$3:$AD$501,0))&amp;"","")</f>
        <v>AI Business Framework</v>
      </c>
      <c r="O47" s="21" t="str">
        <f aca="false">IFERROR(INDEX(종합!O$3:O$501,MATCH(ROW()-2,종합!$AD$3:$AD$501,0))&amp;"","")</f>
        <v>박기은</v>
      </c>
      <c r="P47" s="21" t="str">
        <f aca="false">IFERROR(INDEX(종합!P$3:P$501,MATCH(ROW()-2,종합!$AD$3:$AD$501,0))&amp;"","")</f>
        <v>연구본부</v>
      </c>
      <c r="Q47" s="21" t="str">
        <f aca="false">IFERROR(INDEX(종합!Q$3:Q$501,MATCH(ROW()-2,종합!$AD$3:$AD$501,0))&amp;"","")</f>
        <v>부사장/연구본부장/CTO/CISO</v>
      </c>
      <c r="R47" s="21" t="str">
        <f aca="false">IFERROR(INDEX(종합!R$3:R$501,MATCH(ROW()-2,종합!$AD$3:$AD$501,0))&amp;"","")</f>
        <v>010-8974-4319</v>
      </c>
      <c r="S47" s="21" t="str">
        <f aca="false">IFERROR(INDEX(종합!S$3:S$501,MATCH(ROW()-2,종합!$AD$3:$AD$501,0))&amp;"","")</f>
        <v>rnd@tmaxsoft.com</v>
      </c>
      <c r="T47" s="21" t="str">
        <f aca="false">IFERROR(INDEX(종합!T$3:T$501,MATCH(ROW()-2,종합!$AD$3:$AD$501,0))&amp;"","")</f>
        <v>010-8974-4319</v>
      </c>
      <c r="U47" s="21" t="str">
        <f aca="false">IFERROR(INDEX(종합!U$3:U$501,MATCH(ROW()-2,종합!$AD$3:$AD$501,0))&amp;"","")</f>
        <v>박기은</v>
      </c>
      <c r="V47" s="21" t="str">
        <f aca="false">IFERROR(INDEX(종합!V$3:V$501,MATCH(ROW()-2,종합!$AD$3:$AD$501,0))&amp;"","")</f>
        <v>연구본부</v>
      </c>
      <c r="W47" s="21" t="str">
        <f aca="false">IFERROR(INDEX(종합!W$3:W$501,MATCH(ROW()-2,종합!$AD$3:$AD$501,0))&amp;"","")</f>
        <v>부사장/연구본부장/CTO/CISO</v>
      </c>
      <c r="X47" s="21" t="str">
        <f aca="false">IFERROR(INDEX(종합!X$3:X$501,MATCH(ROW()-2,종합!$AD$3:$AD$501,0))&amp;"","")</f>
        <v>010-8974-4319</v>
      </c>
      <c r="Y47" s="21" t="str">
        <f aca="false">IFERROR(INDEX(종합!Y$3:Y$501,MATCH(ROW()-2,종합!$AD$3:$AD$501,0))&amp;"","")</f>
        <v>rnd@tmaxsoft.com</v>
      </c>
      <c r="Z47" s="21" t="str">
        <f aca="false">IFERROR(INDEX(종합!Z$3:Z$501,MATCH(ROW()-2,종합!$AD$3:$AD$501,0))&amp;"","")</f>
        <v>010-8974-4319</v>
      </c>
      <c r="AA47" s="23" t="str">
        <f aca="false">IFERROR(INDEX(종합!AA$3:AA$501,MATCH(ROW()-2,종합!$AD$3:$AD$501,0))&amp;"","")</f>
        <v/>
      </c>
    </row>
    <row r="48" customFormat="false" ht="22.5" hidden="false" customHeight="true" outlineLevel="0" collapsed="false">
      <c r="A48" s="18" t="n">
        <f aca="false">IF(B48="","",ROW()-2)</f>
        <v>46</v>
      </c>
      <c r="B48" s="18" t="str">
        <f aca="false">IFERROR(INDEX(종합!B$3:B$501,MATCH(ROW()-2,종합!$AD$3:$AD$501,0))&amp;"","")</f>
        <v>주식회사 라이너</v>
      </c>
      <c r="C48" s="18" t="str">
        <f aca="false">IFERROR(INDEX(종합!C$3:C$501,MATCH(ROW()-2,종합!$AD$3:$AD$501,0))&amp;"","")</f>
        <v/>
      </c>
      <c r="D48" s="18" t="str">
        <f aca="false">IFERROR(INDEX(종합!D$3:D$501,MATCH(ROW()-2,종합!$AD$3:$AD$501,0))&amp;"","")</f>
        <v/>
      </c>
      <c r="E48" s="18" t="str">
        <f aca="false">IFERROR(INDEX(종합!E$3:E$501,MATCH(ROW()-2,종합!$AD$3:$AD$501,0))&amp;"","")</f>
        <v>O</v>
      </c>
      <c r="F48" s="18" t="str">
        <f aca="false">IFERROR(INDEX(종합!F$3:F$501,MATCH(ROW()-2,종합!$AD$3:$AD$501,0))&amp;"","")</f>
        <v/>
      </c>
      <c r="G48" s="18" t="str">
        <f aca="false">IFERROR(INDEX(종합!G$3:G$501,MATCH(ROW()-2,종합!$AD$3:$AD$501,0))&amp;"","")</f>
        <v>중소기업</v>
      </c>
      <c r="H48" s="21" t="str">
        <f aca="false">IFERROR(INDEX(종합!H$3:H$501,MATCH(ROW()-2,종합!$AD$3:$AD$501,0))&amp;"","")</f>
        <v>105-87-77955</v>
      </c>
      <c r="I48" s="21" t="str">
        <f aca="false">IFERROR(INDEX(종합!I$3:I$501,MATCH(ROW()-2,종합!$AD$3:$AD$501,0))&amp;"","")</f>
        <v>김진우</v>
      </c>
      <c r="J48" s="21" t="str">
        <f aca="false">IFERROR(INDEX(종합!J$3:J$501,MATCH(ROW()-2,종합!$AD$3:$AD$501,0))&amp;"","")</f>
        <v>02-6232-1555</v>
      </c>
      <c r="K48" s="21" t="str">
        <f aca="false">IFERROR(INDEX(종합!K$3:K$501,MATCH(ROW()-2,종합!$AD$3:$AD$501,0))&amp;"","")</f>
        <v>https://liner.com/ko</v>
      </c>
      <c r="L48" s="21" t="str">
        <f aca="false">IFERROR(INDEX(종합!L$3:L$501,MATCH(ROW()-2,종합!$AD$3:$AD$501,0))&amp;"","")</f>
        <v>tommy@linercorp.com</v>
      </c>
      <c r="M48" s="21" t="str">
        <f aca="false">IFERROR(INDEX(종합!M$3:M$501,MATCH(ROW()-2,종합!$AD$3:$AD$501,0))&amp;"","")</f>
        <v>서울특별시 마포구 양화로 140, 8층(동교동)</v>
      </c>
      <c r="N48" s="25" t="str">
        <f aca="false">IFERROR(INDEX(종합!N$3:N$501,MATCH(ROW()-2,종합!$AD$3:$AD$501,0))&amp;"","")</f>
        <v>AI 검색 서비스, 에이전트 서비스</v>
      </c>
      <c r="O48" s="21" t="str">
        <f aca="false">IFERROR(INDEX(종합!O$3:O$501,MATCH(ROW()-2,종합!$AD$3:$AD$501,0))&amp;"","")</f>
        <v>박동민</v>
      </c>
      <c r="P48" s="21" t="str">
        <f aca="false">IFERROR(INDEX(종합!P$3:P$501,MATCH(ROW()-2,종합!$AD$3:$AD$501,0))&amp;"","")</f>
        <v>대외협력실</v>
      </c>
      <c r="Q48" s="21" t="str">
        <f aca="false">IFERROR(INDEX(종합!Q$3:Q$501,MATCH(ROW()-2,종합!$AD$3:$AD$501,0))&amp;"","")</f>
        <v>실장</v>
      </c>
      <c r="R48" s="21" t="str">
        <f aca="false">IFERROR(INDEX(종합!R$3:R$501,MATCH(ROW()-2,종합!$AD$3:$AD$501,0))&amp;"","")</f>
        <v>010-9343-8384</v>
      </c>
      <c r="S48" s="21" t="str">
        <f aca="false">IFERROR(INDEX(종합!S$3:S$501,MATCH(ROW()-2,종합!$AD$3:$AD$501,0))&amp;"","")</f>
        <v>tommy@linercorp.com</v>
      </c>
      <c r="T48" s="21" t="str">
        <f aca="false">IFERROR(INDEX(종합!T$3:T$501,MATCH(ROW()-2,종합!$AD$3:$AD$501,0))&amp;"","")</f>
        <v>010-9343-8384</v>
      </c>
      <c r="U48" s="21" t="str">
        <f aca="false">IFERROR(INDEX(종합!U$3:U$501,MATCH(ROW()-2,종합!$AD$3:$AD$501,0))&amp;"","")</f>
        <v>박동민</v>
      </c>
      <c r="V48" s="21" t="str">
        <f aca="false">IFERROR(INDEX(종합!V$3:V$501,MATCH(ROW()-2,종합!$AD$3:$AD$501,0))&amp;"","")</f>
        <v>대외협력실</v>
      </c>
      <c r="W48" s="21" t="str">
        <f aca="false">IFERROR(INDEX(종합!W$3:W$501,MATCH(ROW()-2,종합!$AD$3:$AD$501,0))&amp;"","")</f>
        <v>실장</v>
      </c>
      <c r="X48" s="21" t="str">
        <f aca="false">IFERROR(INDEX(종합!X$3:X$501,MATCH(ROW()-2,종합!$AD$3:$AD$501,0))&amp;"","")</f>
        <v>010-9343-8384</v>
      </c>
      <c r="Y48" s="21" t="str">
        <f aca="false">IFERROR(INDEX(종합!Y$3:Y$501,MATCH(ROW()-2,종합!$AD$3:$AD$501,0))&amp;"","")</f>
        <v>tommy@linercorp.com</v>
      </c>
      <c r="Z48" s="21" t="str">
        <f aca="false">IFERROR(INDEX(종합!Z$3:Z$501,MATCH(ROW()-2,종합!$AD$3:$AD$501,0))&amp;"","")</f>
        <v>010-9343-8384</v>
      </c>
      <c r="AA48" s="23" t="str">
        <f aca="false">IFERROR(INDEX(종합!AA$3:AA$501,MATCH(ROW()-2,종합!$AD$3:$AD$501,0))&amp;"","")</f>
        <v/>
      </c>
    </row>
    <row r="49" customFormat="false" ht="22.5" hidden="false" customHeight="true" outlineLevel="0" collapsed="false">
      <c r="A49" s="18" t="n">
        <f aca="false">IF(B49="","",ROW()-2)</f>
        <v>47</v>
      </c>
      <c r="B49" s="18" t="str">
        <f aca="false">IFERROR(INDEX(종합!B$3:B$501,MATCH(ROW()-2,종합!$AD$3:$AD$501,0))&amp;"","")</f>
        <v>주식회사 폴라리스오피스</v>
      </c>
      <c r="C49" s="18" t="str">
        <f aca="false">IFERROR(INDEX(종합!C$3:C$501,MATCH(ROW()-2,종합!$AD$3:$AD$501,0))&amp;"","")</f>
        <v/>
      </c>
      <c r="D49" s="18" t="str">
        <f aca="false">IFERROR(INDEX(종합!D$3:D$501,MATCH(ROW()-2,종합!$AD$3:$AD$501,0))&amp;"","")</f>
        <v/>
      </c>
      <c r="E49" s="18" t="str">
        <f aca="false">IFERROR(INDEX(종합!E$3:E$501,MATCH(ROW()-2,종합!$AD$3:$AD$501,0))&amp;"","")</f>
        <v>O</v>
      </c>
      <c r="F49" s="18" t="str">
        <f aca="false">IFERROR(INDEX(종합!F$3:F$501,MATCH(ROW()-2,종합!$AD$3:$AD$501,0))&amp;"","")</f>
        <v/>
      </c>
      <c r="G49" s="18" t="str">
        <f aca="false">IFERROR(INDEX(종합!G$3:G$501,MATCH(ROW()-2,종합!$AD$3:$AD$501,0))&amp;"","")</f>
        <v>중소기업</v>
      </c>
      <c r="H49" s="21" t="str">
        <f aca="false">IFERROR(INDEX(종합!H$3:H$501,MATCH(ROW()-2,종합!$AD$3:$AD$501,0))&amp;"","")</f>
        <v>220-81-43747</v>
      </c>
      <c r="I49" s="21" t="str">
        <f aca="false">IFERROR(INDEX(종합!I$3:I$501,MATCH(ROW()-2,종합!$AD$3:$AD$501,0))&amp;"","")</f>
        <v>지준경</v>
      </c>
      <c r="J49" s="21" t="str">
        <f aca="false">IFERROR(INDEX(종합!J$3:J$501,MATCH(ROW()-2,종합!$AD$3:$AD$501,0))&amp;"","")</f>
        <v>02-537-0538</v>
      </c>
      <c r="K49" s="21" t="str">
        <f aca="false">IFERROR(INDEX(종합!K$3:K$501,MATCH(ROW()-2,종합!$AD$3:$AD$501,0))&amp;"","")</f>
        <v>https://www.polarisoffice.com</v>
      </c>
      <c r="L49" s="21" t="str">
        <f aca="false">IFERROR(INDEX(종합!L$3:L$501,MATCH(ROW()-2,종합!$AD$3:$AD$501,0))&amp;"","")</f>
        <v>infradev5@gmail.com</v>
      </c>
      <c r="M49" s="21" t="str">
        <f aca="false">IFERROR(INDEX(종합!M$3:M$501,MATCH(ROW()-2,종합!$AD$3:$AD$501,0))&amp;"","")</f>
        <v>서울 구로구 디지털로31길 12 TP타워 11층</v>
      </c>
      <c r="N49" s="25" t="str">
        <f aca="false">IFERROR(INDEX(종합!N$3:N$501,MATCH(ROW()-2,종합!$AD$3:$AD$501,0))&amp;"","")</f>
        <v>AI Agent(NOVA), RAG 문서 분석(Ask-Docs), 고성능 문서 파서(AI DataInsight) 및 온디바이스·온프레미스 AI Add-on</v>
      </c>
      <c r="O49" s="21" t="str">
        <f aca="false">IFERROR(INDEX(종합!O$3:O$501,MATCH(ROW()-2,종합!$AD$3:$AD$501,0))&amp;"","")</f>
        <v>엄태광</v>
      </c>
      <c r="P49" s="21" t="str">
        <f aca="false">IFERROR(INDEX(종합!P$3:P$501,MATCH(ROW()-2,종합!$AD$3:$AD$501,0))&amp;"","")</f>
        <v>AI신사업개발실</v>
      </c>
      <c r="Q49" s="21" t="str">
        <f aca="false">IFERROR(INDEX(종합!Q$3:Q$501,MATCH(ROW()-2,종합!$AD$3:$AD$501,0))&amp;"","")</f>
        <v>이사/실장</v>
      </c>
      <c r="R49" s="21" t="str">
        <f aca="false">IFERROR(INDEX(종합!R$3:R$501,MATCH(ROW()-2,종합!$AD$3:$AD$501,0))&amp;"","")</f>
        <v>010-4746-0901</v>
      </c>
      <c r="S49" s="21" t="str">
        <f aca="false">IFERROR(INDEX(종합!S$3:S$501,MATCH(ROW()-2,종합!$AD$3:$AD$501,0))&amp;"","")</f>
        <v>eternil@polarisoffice.com</v>
      </c>
      <c r="T49" s="21" t="str">
        <f aca="false">IFERROR(INDEX(종합!T$3:T$501,MATCH(ROW()-2,종합!$AD$3:$AD$501,0))&amp;"","")</f>
        <v>010-4746-0901</v>
      </c>
      <c r="U49" s="21" t="str">
        <f aca="false">IFERROR(INDEX(종합!U$3:U$501,MATCH(ROW()-2,종합!$AD$3:$AD$501,0))&amp;"","")</f>
        <v>엄태광</v>
      </c>
      <c r="V49" s="21" t="str">
        <f aca="false">IFERROR(INDEX(종합!V$3:V$501,MATCH(ROW()-2,종합!$AD$3:$AD$501,0))&amp;"","")</f>
        <v>AI신사업개발실</v>
      </c>
      <c r="W49" s="21" t="str">
        <f aca="false">IFERROR(INDEX(종합!W$3:W$501,MATCH(ROW()-2,종합!$AD$3:$AD$501,0))&amp;"","")</f>
        <v>이사/실장</v>
      </c>
      <c r="X49" s="21" t="str">
        <f aca="false">IFERROR(INDEX(종합!X$3:X$501,MATCH(ROW()-2,종합!$AD$3:$AD$501,0))&amp;"","")</f>
        <v>010-4746-0901</v>
      </c>
      <c r="Y49" s="21" t="str">
        <f aca="false">IFERROR(INDEX(종합!Y$3:Y$501,MATCH(ROW()-2,종합!$AD$3:$AD$501,0))&amp;"","")</f>
        <v>eternil@polarisoffice.com</v>
      </c>
      <c r="Z49" s="21" t="str">
        <f aca="false">IFERROR(INDEX(종합!Z$3:Z$501,MATCH(ROW()-2,종합!$AD$3:$AD$501,0))&amp;"","")</f>
        <v>010-4746-0901</v>
      </c>
      <c r="AA49" s="23" t="str">
        <f aca="false">IFERROR(INDEX(종합!AA$3:AA$501,MATCH(ROW()-2,종합!$AD$3:$AD$501,0))&amp;"","")</f>
        <v/>
      </c>
    </row>
    <row r="50" customFormat="false" ht="22.5" hidden="false" customHeight="true" outlineLevel="0" collapsed="false">
      <c r="A50" s="18" t="n">
        <f aca="false">IF(B50="","",ROW()-2)</f>
        <v>48</v>
      </c>
      <c r="B50" s="18" t="str">
        <f aca="false">IFERROR(INDEX(종합!B$3:B$501,MATCH(ROW()-2,종합!$AD$3:$AD$501,0))&amp;"","")</f>
        <v>(사)한국정보통신진흥협회</v>
      </c>
      <c r="C50" s="18" t="str">
        <f aca="false">IFERROR(INDEX(종합!C$3:C$501,MATCH(ROW()-2,종합!$AD$3:$AD$501,0))&amp;"","")</f>
        <v/>
      </c>
      <c r="D50" s="18" t="str">
        <f aca="false">IFERROR(INDEX(종합!D$3:D$501,MATCH(ROW()-2,종합!$AD$3:$AD$501,0))&amp;"","")</f>
        <v/>
      </c>
      <c r="E50" s="18" t="str">
        <f aca="false">IFERROR(INDEX(종합!E$3:E$501,MATCH(ROW()-2,종합!$AD$3:$AD$501,0))&amp;"","")</f>
        <v>O</v>
      </c>
      <c r="F50" s="18" t="str">
        <f aca="false">IFERROR(INDEX(종합!F$3:F$501,MATCH(ROW()-2,종합!$AD$3:$AD$501,0))&amp;"","")</f>
        <v/>
      </c>
      <c r="G50" s="18" t="str">
        <f aca="false">IFERROR(INDEX(종합!G$3:G$501,MATCH(ROW()-2,종합!$AD$3:$AD$501,0))&amp;"","")</f>
        <v>협회·단체</v>
      </c>
      <c r="H50" s="21" t="str">
        <f aca="false">IFERROR(INDEX(종합!H$3:H$501,MATCH(ROW()-2,종합!$AD$3:$AD$501,0))&amp;"","")</f>
        <v>211-82-11990</v>
      </c>
      <c r="I50" s="21" t="str">
        <f aca="false">IFERROR(INDEX(종합!I$3:I$501,MATCH(ROW()-2,종합!$AD$3:$AD$501,0))&amp;"","")</f>
        <v>유영상</v>
      </c>
      <c r="J50" s="21" t="str">
        <f aca="false">IFERROR(INDEX(종합!J$3:J$501,MATCH(ROW()-2,종합!$AD$3:$AD$501,0))&amp;"","")</f>
        <v>02-580-0580</v>
      </c>
      <c r="K50" s="21" t="str">
        <f aca="false">IFERROR(INDEX(종합!K$3:K$501,MATCH(ROW()-2,종합!$AD$3:$AD$501,0))&amp;"","")</f>
        <v>https://www.kait.or.kr/</v>
      </c>
      <c r="L50" s="21" t="str">
        <f aca="false">IFERROR(INDEX(종합!L$3:L$501,MATCH(ROW()-2,종합!$AD$3:$AD$501,0))&amp;"","")</f>
        <v>smheart1004@gmail.com</v>
      </c>
      <c r="M50" s="21" t="str">
        <f aca="false">IFERROR(INDEX(종합!M$3:M$501,MATCH(ROW()-2,종합!$AD$3:$AD$501,0))&amp;"","")</f>
        <v>서울특별시 강남구 역삼로 111</v>
      </c>
      <c r="N50" s="25" t="str">
        <f aca="false">IFERROR(INDEX(종합!N$3:N$501,MATCH(ROW()-2,종합!$AD$3:$AD$501,0))&amp;"","")</f>
        <v>통신업권 마이데이터 중계기관(공공, 금융)</v>
      </c>
      <c r="O50" s="21" t="str">
        <f aca="false">IFERROR(INDEX(종합!O$3:O$501,MATCH(ROW()-2,종합!$AD$3:$AD$501,0))&amp;"","")</f>
        <v>한문승</v>
      </c>
      <c r="P50" s="21" t="str">
        <f aca="false">IFERROR(INDEX(종합!P$3:P$501,MATCH(ROW()-2,종합!$AD$3:$AD$501,0))&amp;"","")</f>
        <v>ICT서비스사업본부</v>
      </c>
      <c r="Q50" s="21" t="str">
        <f aca="false">IFERROR(INDEX(종합!Q$3:Q$501,MATCH(ROW()-2,종합!$AD$3:$AD$501,0))&amp;"","")</f>
        <v>본부장</v>
      </c>
      <c r="R50" s="21" t="str">
        <f aca="false">IFERROR(INDEX(종합!R$3:R$501,MATCH(ROW()-2,종합!$AD$3:$AD$501,0))&amp;"","")</f>
        <v>02-580-0550</v>
      </c>
      <c r="S50" s="21" t="str">
        <f aca="false">IFERROR(INDEX(종합!S$3:S$501,MATCH(ROW()-2,종합!$AD$3:$AD$501,0))&amp;"","")</f>
        <v>hans@kait.or.kr</v>
      </c>
      <c r="T50" s="21" t="str">
        <f aca="false">IFERROR(INDEX(종합!T$3:T$501,MATCH(ROW()-2,종합!$AD$3:$AD$501,0))&amp;"","")</f>
        <v>010-7757-2527</v>
      </c>
      <c r="U50" s="21" t="str">
        <f aca="false">IFERROR(INDEX(종합!U$3:U$501,MATCH(ROW()-2,종합!$AD$3:$AD$501,0))&amp;"","")</f>
        <v>한문승</v>
      </c>
      <c r="V50" s="21" t="str">
        <f aca="false">IFERROR(INDEX(종합!V$3:V$501,MATCH(ROW()-2,종합!$AD$3:$AD$501,0))&amp;"","")</f>
        <v>ICT서비스사업본부</v>
      </c>
      <c r="W50" s="21" t="str">
        <f aca="false">IFERROR(INDEX(종합!W$3:W$501,MATCH(ROW()-2,종합!$AD$3:$AD$501,0))&amp;"","")</f>
        <v>본부장</v>
      </c>
      <c r="X50" s="21" t="str">
        <f aca="false">IFERROR(INDEX(종합!X$3:X$501,MATCH(ROW()-2,종합!$AD$3:$AD$501,0))&amp;"","")</f>
        <v>02-580-0550</v>
      </c>
      <c r="Y50" s="21" t="str">
        <f aca="false">IFERROR(INDEX(종합!Y$3:Y$501,MATCH(ROW()-2,종합!$AD$3:$AD$501,0))&amp;"","")</f>
        <v>hans@kait.or.kr</v>
      </c>
      <c r="Z50" s="21" t="str">
        <f aca="false">IFERROR(INDEX(종합!Z$3:Z$501,MATCH(ROW()-2,종합!$AD$3:$AD$501,0))&amp;"","")</f>
        <v>010-7757-2527</v>
      </c>
      <c r="AA50" s="23" t="str">
        <f aca="false">IFERROR(INDEX(종합!AA$3:AA$501,MATCH(ROW()-2,종합!$AD$3:$AD$501,0))&amp;"","")</f>
        <v/>
      </c>
    </row>
    <row r="51" customFormat="false" ht="22.5" hidden="false" customHeight="true" outlineLevel="0" collapsed="false">
      <c r="A51" s="18" t="n">
        <f aca="false">IF(B51="","",ROW()-2)</f>
        <v>49</v>
      </c>
      <c r="B51" s="18" t="str">
        <f aca="false">IFERROR(INDEX(종합!B$3:B$501,MATCH(ROW()-2,종합!$AD$3:$AD$501,0))&amp;"","")</f>
        <v>사단법인 한국정보산업연합회</v>
      </c>
      <c r="C51" s="18" t="str">
        <f aca="false">IFERROR(INDEX(종합!C$3:C$501,MATCH(ROW()-2,종합!$AD$3:$AD$501,0))&amp;"","")</f>
        <v/>
      </c>
      <c r="D51" s="18" t="str">
        <f aca="false">IFERROR(INDEX(종합!D$3:D$501,MATCH(ROW()-2,종합!$AD$3:$AD$501,0))&amp;"","")</f>
        <v/>
      </c>
      <c r="E51" s="18" t="str">
        <f aca="false">IFERROR(INDEX(종합!E$3:E$501,MATCH(ROW()-2,종합!$AD$3:$AD$501,0))&amp;"","")</f>
        <v>O</v>
      </c>
      <c r="F51" s="18" t="str">
        <f aca="false">IFERROR(INDEX(종합!F$3:F$501,MATCH(ROW()-2,종합!$AD$3:$AD$501,0))&amp;"","")</f>
        <v/>
      </c>
      <c r="G51" s="18" t="str">
        <f aca="false">IFERROR(INDEX(종합!G$3:G$501,MATCH(ROW()-2,종합!$AD$3:$AD$501,0))&amp;"","")</f>
        <v>협회·단체</v>
      </c>
      <c r="H51" s="21" t="str">
        <f aca="false">IFERROR(INDEX(종합!H$3:H$501,MATCH(ROW()-2,종합!$AD$3:$AD$501,0))&amp;"","")</f>
        <v>116-82-01595</v>
      </c>
      <c r="I51" s="21" t="str">
        <f aca="false">IFERROR(INDEX(종합!I$3:I$501,MATCH(ROW()-2,종합!$AD$3:$AD$501,0))&amp;"","")</f>
        <v>정진섭, 유은종</v>
      </c>
      <c r="J51" s="21" t="str">
        <f aca="false">IFERROR(INDEX(종합!J$3:J$501,MATCH(ROW()-2,종합!$AD$3:$AD$501,0))&amp;"","")</f>
        <v>02-2046-1431</v>
      </c>
      <c r="K51" s="21" t="str">
        <f aca="false">IFERROR(INDEX(종합!K$3:K$501,MATCH(ROW()-2,종합!$AD$3:$AD$501,0))&amp;"","")</f>
        <v>https://www.fkii.org/</v>
      </c>
      <c r="L51" s="21" t="str">
        <f aca="false">IFERROR(INDEX(종합!L$3:L$501,MATCH(ROW()-2,종합!$AD$3:$AD$501,0))&amp;"","")</f>
        <v>choiduddns21@gmail.com</v>
      </c>
      <c r="M51" s="21" t="str">
        <f aca="false">IFERROR(INDEX(종합!M$3:M$501,MATCH(ROW()-2,종합!$AD$3:$AD$501,0))&amp;"","")</f>
        <v>서울시 강남구 테헤란로 222(역삼동, 도원빌딩3.4층)</v>
      </c>
      <c r="N51" s="25" t="str">
        <f aca="false">IFERROR(INDEX(종합!N$3:N$501,MATCH(ROW()-2,종합!$AD$3:$AD$501,0))&amp;"","")</f>
        <v>글로벌 AI 비즈 얼라이언스 (협의체) 운영</v>
      </c>
      <c r="O51" s="21" t="str">
        <f aca="false">IFERROR(INDEX(종합!O$3:O$501,MATCH(ROW()-2,종합!$AD$3:$AD$501,0))&amp;"","")</f>
        <v>문정현</v>
      </c>
      <c r="P51" s="21" t="str">
        <f aca="false">IFERROR(INDEX(종합!P$3:P$501,MATCH(ROW()-2,종합!$AD$3:$AD$501,0))&amp;"","")</f>
        <v>임원실</v>
      </c>
      <c r="Q51" s="21" t="str">
        <f aca="false">IFERROR(INDEX(종합!Q$3:Q$501,MATCH(ROW()-2,종합!$AD$3:$AD$501,0))&amp;"","")</f>
        <v>전무</v>
      </c>
      <c r="R51" s="21" t="str">
        <f aca="false">IFERROR(INDEX(종합!R$3:R$501,MATCH(ROW()-2,종합!$AD$3:$AD$501,0))&amp;"","")</f>
        <v>010-2523-7279</v>
      </c>
      <c r="S51" s="21" t="str">
        <f aca="false">IFERROR(INDEX(종합!S$3:S$501,MATCH(ROW()-2,종합!$AD$3:$AD$501,0))&amp;"","")</f>
        <v>jasonmoon@fkii.org</v>
      </c>
      <c r="T51" s="21" t="str">
        <f aca="false">IFERROR(INDEX(종합!T$3:T$501,MATCH(ROW()-2,종합!$AD$3:$AD$501,0))&amp;"","")</f>
        <v>010-2523-7279</v>
      </c>
      <c r="U51" s="21" t="str">
        <f aca="false">IFERROR(INDEX(종합!U$3:U$501,MATCH(ROW()-2,종합!$AD$3:$AD$501,0))&amp;"","")</f>
        <v>문정현</v>
      </c>
      <c r="V51" s="21" t="str">
        <f aca="false">IFERROR(INDEX(종합!V$3:V$501,MATCH(ROW()-2,종합!$AD$3:$AD$501,0))&amp;"","")</f>
        <v>임원실</v>
      </c>
      <c r="W51" s="21" t="str">
        <f aca="false">IFERROR(INDEX(종합!W$3:W$501,MATCH(ROW()-2,종합!$AD$3:$AD$501,0))&amp;"","")</f>
        <v>전무</v>
      </c>
      <c r="X51" s="21" t="str">
        <f aca="false">IFERROR(INDEX(종합!X$3:X$501,MATCH(ROW()-2,종합!$AD$3:$AD$501,0))&amp;"","")</f>
        <v>010-2523-7279</v>
      </c>
      <c r="Y51" s="21" t="str">
        <f aca="false">IFERROR(INDEX(종합!Y$3:Y$501,MATCH(ROW()-2,종합!$AD$3:$AD$501,0))&amp;"","")</f>
        <v>jasonmoon@fkii.org</v>
      </c>
      <c r="Z51" s="21" t="str">
        <f aca="false">IFERROR(INDEX(종합!Z$3:Z$501,MATCH(ROW()-2,종합!$AD$3:$AD$501,0))&amp;"","")</f>
        <v>010-2523-7279</v>
      </c>
      <c r="AA51" s="23" t="str">
        <f aca="false">IFERROR(INDEX(종합!AA$3:AA$501,MATCH(ROW()-2,종합!$AD$3:$AD$501,0))&amp;"","")</f>
        <v/>
      </c>
    </row>
    <row r="52" customFormat="false" ht="47.25" hidden="false" customHeight="true" outlineLevel="0" collapsed="false">
      <c r="A52" s="18" t="n">
        <f aca="false">IF(B52="","",ROW()-2)</f>
        <v>50</v>
      </c>
      <c r="B52" s="18" t="str">
        <f aca="false">IFERROR(INDEX(종합!B$3:B$501,MATCH(ROW()-2,종합!$AD$3:$AD$501,0))&amp;"","")</f>
        <v>HFR  모바일</v>
      </c>
      <c r="C52" s="18" t="str">
        <f aca="false">IFERROR(INDEX(종합!C$3:C$501,MATCH(ROW()-2,종합!$AD$3:$AD$501,0))&amp;"","")</f>
        <v/>
      </c>
      <c r="D52" s="18" t="str">
        <f aca="false">IFERROR(INDEX(종합!D$3:D$501,MATCH(ROW()-2,종합!$AD$3:$AD$501,0))&amp;"","")</f>
        <v/>
      </c>
      <c r="E52" s="18" t="str">
        <f aca="false">IFERROR(INDEX(종합!E$3:E$501,MATCH(ROW()-2,종합!$AD$3:$AD$501,0))&amp;"","")</f>
        <v>O</v>
      </c>
      <c r="F52" s="18" t="str">
        <f aca="false">IFERROR(INDEX(종합!F$3:F$501,MATCH(ROW()-2,종합!$AD$3:$AD$501,0))&amp;"","")</f>
        <v/>
      </c>
      <c r="G52" s="18" t="str">
        <f aca="false">IFERROR(INDEX(종합!G$3:G$501,MATCH(ROW()-2,종합!$AD$3:$AD$501,0))&amp;"","")</f>
        <v>중소기업</v>
      </c>
      <c r="H52" s="21" t="str">
        <f aca="false">IFERROR(INDEX(종합!H$3:H$501,MATCH(ROW()-2,종합!$AD$3:$AD$501,0))&amp;"","")</f>
        <v>347-87-01461</v>
      </c>
      <c r="I52" s="21" t="str">
        <f aca="false">IFERROR(INDEX(종합!I$3:I$501,MATCH(ROW()-2,종합!$AD$3:$AD$501,0))&amp;"","")</f>
        <v>이일영</v>
      </c>
      <c r="J52" s="21" t="str">
        <f aca="false">IFERROR(INDEX(종합!J$3:J$501,MATCH(ROW()-2,종합!$AD$3:$AD$501,0))&amp;"","")</f>
        <v>010-5430-0255</v>
      </c>
      <c r="K52" s="21" t="str">
        <f aca="false">IFERROR(INDEX(종합!K$3:K$501,MATCH(ROW()-2,종합!$AD$3:$AD$501,0))&amp;"","")</f>
        <v>www.hfr-mobile.com</v>
      </c>
      <c r="L52" s="21" t="str">
        <f aca="false">IFERROR(INDEX(종합!L$3:L$501,MATCH(ROW()-2,종합!$AD$3:$AD$501,0))&amp;"","")</f>
        <v>hkjung1234@gmail.com</v>
      </c>
      <c r="M52" s="21" t="str">
        <f aca="false">IFERROR(INDEX(종합!M$3:M$501,MATCH(ROW()-2,종합!$AD$3:$AD$501,0))&amp;"","")</f>
        <v>경기도 성남시 분당구 성남대로43번길 10 5층</v>
      </c>
      <c r="N52" s="25" t="str">
        <f aca="false">IFERROR(INDEX(종합!N$3:N$501,MATCH(ROW()-2,종합!$AD$3:$AD$501,0))&amp;"","")</f>
        <v>5G 특화망</v>
      </c>
      <c r="O52" s="21" t="str">
        <f aca="false">IFERROR(INDEX(종합!O$3:O$501,MATCH(ROW()-2,종합!$AD$3:$AD$501,0))&amp;"","")</f>
        <v>정해관</v>
      </c>
      <c r="P52" s="21" t="str">
        <f aca="false">IFERROR(INDEX(종합!P$3:P$501,MATCH(ROW()-2,종합!$AD$3:$AD$501,0))&amp;"","")</f>
        <v>공공기업사업본부</v>
      </c>
      <c r="Q52" s="21" t="str">
        <f aca="false">IFERROR(INDEX(종합!Q$3:Q$501,MATCH(ROW()-2,종합!$AD$3:$AD$501,0))&amp;"","")</f>
        <v>본부장</v>
      </c>
      <c r="R52" s="21" t="str">
        <f aca="false">IFERROR(INDEX(종합!R$3:R$501,MATCH(ROW()-2,종합!$AD$3:$AD$501,0))&amp;"","")</f>
        <v>010-5430-0255</v>
      </c>
      <c r="S52" s="21" t="str">
        <f aca="false">IFERROR(INDEX(종합!S$3:S$501,MATCH(ROW()-2,종합!$AD$3:$AD$501,0))&amp;"","")</f>
        <v>hkjung@hfr-mobile.com</v>
      </c>
      <c r="T52" s="21" t="str">
        <f aca="false">IFERROR(INDEX(종합!T$3:T$501,MATCH(ROW()-2,종합!$AD$3:$AD$501,0))&amp;"","")</f>
        <v>010-5430-0255</v>
      </c>
      <c r="U52" s="21" t="str">
        <f aca="false">IFERROR(INDEX(종합!U$3:U$501,MATCH(ROW()-2,종합!$AD$3:$AD$501,0))&amp;"","")</f>
        <v>정해관</v>
      </c>
      <c r="V52" s="21" t="str">
        <f aca="false">IFERROR(INDEX(종합!V$3:V$501,MATCH(ROW()-2,종합!$AD$3:$AD$501,0))&amp;"","")</f>
        <v>공공기업사업본부</v>
      </c>
      <c r="W52" s="21" t="str">
        <f aca="false">IFERROR(INDEX(종합!W$3:W$501,MATCH(ROW()-2,종합!$AD$3:$AD$501,0))&amp;"","")</f>
        <v>본부장</v>
      </c>
      <c r="X52" s="21" t="str">
        <f aca="false">IFERROR(INDEX(종합!X$3:X$501,MATCH(ROW()-2,종합!$AD$3:$AD$501,0))&amp;"","")</f>
        <v>010-5430-0255</v>
      </c>
      <c r="Y52" s="21" t="str">
        <f aca="false">IFERROR(INDEX(종합!Y$3:Y$501,MATCH(ROW()-2,종합!$AD$3:$AD$501,0))&amp;"","")</f>
        <v>hkjung@hfr-mobile.com</v>
      </c>
      <c r="Z52" s="21" t="str">
        <f aca="false">IFERROR(INDEX(종합!Z$3:Z$501,MATCH(ROW()-2,종합!$AD$3:$AD$501,0))&amp;"","")</f>
        <v>010-5430-0255</v>
      </c>
      <c r="AA52" s="23" t="str">
        <f aca="false">IFERROR(INDEX(종합!AA$3:AA$501,MATCH(ROW()-2,종합!$AD$3:$AD$501,0))&amp;"","")</f>
        <v/>
      </c>
    </row>
    <row r="53" customFormat="false" ht="22.5" hidden="false" customHeight="true" outlineLevel="0" collapsed="false">
      <c r="A53" s="18" t="n">
        <f aca="false">IF(B53="","",ROW()-2)</f>
        <v>51</v>
      </c>
      <c r="B53" s="18" t="str">
        <f aca="false">IFERROR(INDEX(종합!B$3:B$501,MATCH(ROW()-2,종합!$AD$3:$AD$501,0))&amp;"","")</f>
        <v>주식회사 야놀자</v>
      </c>
      <c r="C53" s="18" t="str">
        <f aca="false">IFERROR(INDEX(종합!C$3:C$501,MATCH(ROW()-2,종합!$AD$3:$AD$501,0))&amp;"","")</f>
        <v/>
      </c>
      <c r="D53" s="18" t="str">
        <f aca="false">IFERROR(INDEX(종합!D$3:D$501,MATCH(ROW()-2,종합!$AD$3:$AD$501,0))&amp;"","")</f>
        <v/>
      </c>
      <c r="E53" s="18" t="str">
        <f aca="false">IFERROR(INDEX(종합!E$3:E$501,MATCH(ROW()-2,종합!$AD$3:$AD$501,0))&amp;"","")</f>
        <v>O</v>
      </c>
      <c r="F53" s="18" t="str">
        <f aca="false">IFERROR(INDEX(종합!F$3:F$501,MATCH(ROW()-2,종합!$AD$3:$AD$501,0))&amp;"","")</f>
        <v/>
      </c>
      <c r="G53" s="18" t="str">
        <f aca="false">IFERROR(INDEX(종합!G$3:G$501,MATCH(ROW()-2,종합!$AD$3:$AD$501,0))&amp;"","")</f>
        <v>중견기업</v>
      </c>
      <c r="H53" s="21" t="str">
        <f aca="false">IFERROR(INDEX(종합!H$3:H$501,MATCH(ROW()-2,종합!$AD$3:$AD$501,0))&amp;"","")</f>
        <v>220-87-42885</v>
      </c>
      <c r="I53" s="21" t="str">
        <f aca="false">IFERROR(INDEX(종합!I$3:I$501,MATCH(ROW()-2,종합!$AD$3:$AD$501,0))&amp;"","")</f>
        <v>이수진</v>
      </c>
      <c r="J53" s="21" t="str">
        <f aca="false">IFERROR(INDEX(종합!J$3:J$501,MATCH(ROW()-2,종합!$AD$3:$AD$501,0))&amp;"","")</f>
        <v>02-1644-1346</v>
      </c>
      <c r="K53" s="21" t="str">
        <f aca="false">IFERROR(INDEX(종합!K$3:K$501,MATCH(ROW()-2,종합!$AD$3:$AD$501,0))&amp;"","")</f>
        <v>https://www.yanoljagroup.com/ko</v>
      </c>
      <c r="L53" s="21" t="str">
        <f aca="false">IFERROR(INDEX(종합!L$3:L$501,MATCH(ROW()-2,종합!$AD$3:$AD$501,0))&amp;"","")</f>
        <v>limsewon@yanolja.com</v>
      </c>
      <c r="M53" s="21" t="str">
        <f aca="false">IFERROR(INDEX(종합!M$3:M$501,MATCH(ROW()-2,종합!$AD$3:$AD$501,0))&amp;"","")</f>
        <v>서울특별시 강남구 테헤란로108길 42 엠디엠타워</v>
      </c>
      <c r="N53" s="25" t="str">
        <f aca="false">IFERROR(INDEX(종합!N$3:N$501,MATCH(ROW()-2,종합!$AD$3:$AD$501,0))&amp;"","")</f>
        <v>숙박·여행 산업에 특화된 B2B/엔터프라이즈 버티컬 AI, 숙박·여행 도메인에 최적화된 버티컬 AI와 sLLM 기반 서비스</v>
      </c>
      <c r="O53" s="21" t="str">
        <f aca="false">IFERROR(INDEX(종합!O$3:O$501,MATCH(ROW()-2,종합!$AD$3:$AD$501,0))&amp;"","")</f>
        <v>이준영</v>
      </c>
      <c r="P53" s="21" t="str">
        <f aca="false">IFERROR(INDEX(종합!P$3:P$501,MATCH(ROW()-2,종합!$AD$3:$AD$501,0))&amp;"","")</f>
        <v>Enterprise Solutions</v>
      </c>
      <c r="Q53" s="21" t="str">
        <f aca="false">IFERROR(INDEX(종합!Q$3:Q$501,MATCH(ROW()-2,종합!$AD$3:$AD$501,0))&amp;"","")</f>
        <v>대표</v>
      </c>
      <c r="R53" s="21" t="str">
        <f aca="false">IFERROR(INDEX(종합!R$3:R$501,MATCH(ROW()-2,종합!$AD$3:$AD$501,0))&amp;"","")</f>
        <v>010-3709-3190</v>
      </c>
      <c r="S53" s="21" t="str">
        <f aca="false">IFERROR(INDEX(종합!S$3:S$501,MATCH(ROW()-2,종합!$AD$3:$AD$501,0))&amp;"","")</f>
        <v>junyoung@yanolja.com</v>
      </c>
      <c r="T53" s="21" t="str">
        <f aca="false">IFERROR(INDEX(종합!T$3:T$501,MATCH(ROW()-2,종합!$AD$3:$AD$501,0))&amp;"","")</f>
        <v>010-3709-3190</v>
      </c>
      <c r="U53" s="21" t="str">
        <f aca="false">IFERROR(INDEX(종합!U$3:U$501,MATCH(ROW()-2,종합!$AD$3:$AD$501,0))&amp;"","")</f>
        <v>이준영</v>
      </c>
      <c r="V53" s="21" t="str">
        <f aca="false">IFERROR(INDEX(종합!V$3:V$501,MATCH(ROW()-2,종합!$AD$3:$AD$501,0))&amp;"","")</f>
        <v>Enterprise Solutions</v>
      </c>
      <c r="W53" s="21" t="str">
        <f aca="false">IFERROR(INDEX(종합!W$3:W$501,MATCH(ROW()-2,종합!$AD$3:$AD$501,0))&amp;"","")</f>
        <v>대표</v>
      </c>
      <c r="X53" s="21" t="str">
        <f aca="false">IFERROR(INDEX(종합!X$3:X$501,MATCH(ROW()-2,종합!$AD$3:$AD$501,0))&amp;"","")</f>
        <v>010-3709-3190</v>
      </c>
      <c r="Y53" s="21" t="str">
        <f aca="false">IFERROR(INDEX(종합!Y$3:Y$501,MATCH(ROW()-2,종합!$AD$3:$AD$501,0))&amp;"","")</f>
        <v>junyoung@yanolja.com</v>
      </c>
      <c r="Z53" s="21" t="str">
        <f aca="false">IFERROR(INDEX(종합!Z$3:Z$501,MATCH(ROW()-2,종합!$AD$3:$AD$501,0))&amp;"","")</f>
        <v>010-3709-3190</v>
      </c>
      <c r="AA53" s="23" t="str">
        <f aca="false">IFERROR(INDEX(종합!AA$3:AA$501,MATCH(ROW()-2,종합!$AD$3:$AD$501,0))&amp;"","")</f>
        <v/>
      </c>
    </row>
    <row r="54" customFormat="false" ht="33.75" hidden="false" customHeight="true" outlineLevel="0" collapsed="false">
      <c r="A54" s="18" t="n">
        <f aca="false">IF(B54="","",ROW()-2)</f>
        <v>52</v>
      </c>
      <c r="B54" s="18" t="str">
        <f aca="false">IFERROR(INDEX(종합!B$3:B$501,MATCH(ROW()-2,종합!$AD$3:$AD$501,0))&amp;"","")</f>
        <v>신한카드 주식회사</v>
      </c>
      <c r="C54" s="18" t="str">
        <f aca="false">IFERROR(INDEX(종합!C$3:C$501,MATCH(ROW()-2,종합!$AD$3:$AD$501,0))&amp;"","")</f>
        <v/>
      </c>
      <c r="D54" s="18" t="str">
        <f aca="false">IFERROR(INDEX(종합!D$3:D$501,MATCH(ROW()-2,종합!$AD$3:$AD$501,0))&amp;"","")</f>
        <v/>
      </c>
      <c r="E54" s="18" t="str">
        <f aca="false">IFERROR(INDEX(종합!E$3:E$501,MATCH(ROW()-2,종합!$AD$3:$AD$501,0))&amp;"","")</f>
        <v>O</v>
      </c>
      <c r="F54" s="18" t="str">
        <f aca="false">IFERROR(INDEX(종합!F$3:F$501,MATCH(ROW()-2,종합!$AD$3:$AD$501,0))&amp;"","")</f>
        <v/>
      </c>
      <c r="G54" s="18" t="str">
        <f aca="false">IFERROR(INDEX(종합!G$3:G$501,MATCH(ROW()-2,종합!$AD$3:$AD$501,0))&amp;"","")</f>
        <v>대기업</v>
      </c>
      <c r="H54" s="21" t="str">
        <f aca="false">IFERROR(INDEX(종합!H$3:H$501,MATCH(ROW()-2,종합!$AD$3:$AD$501,0))&amp;"","")</f>
        <v>202-81-48079</v>
      </c>
      <c r="I54" s="21" t="str">
        <f aca="false">IFERROR(INDEX(종합!I$3:I$501,MATCH(ROW()-2,종합!$AD$3:$AD$501,0))&amp;"","")</f>
        <v>박창훈</v>
      </c>
      <c r="J54" s="21" t="str">
        <f aca="false">IFERROR(INDEX(종합!J$3:J$501,MATCH(ROW()-2,종합!$AD$3:$AD$501,0))&amp;"","")</f>
        <v>1544-7000</v>
      </c>
      <c r="K54" s="21" t="str">
        <f aca="false">IFERROR(INDEX(종합!K$3:K$501,MATCH(ROW()-2,종합!$AD$3:$AD$501,0))&amp;"","")</f>
        <v>shinhancard.com</v>
      </c>
      <c r="L54" s="21" t="str">
        <f aca="false">IFERROR(INDEX(종합!L$3:L$501,MATCH(ROW()-2,종합!$AD$3:$AD$501,0))&amp;"","")</f>
        <v>didgurwls24@gmail.com</v>
      </c>
      <c r="M54" s="21" t="str">
        <f aca="false">IFERROR(INDEX(종합!M$3:M$501,MATCH(ROW()-2,종합!$AD$3:$AD$501,0))&amp;"","")</f>
        <v>서울특별시 중구 을지로100, 파인에비뉴(A동)</v>
      </c>
      <c r="N54" s="25" t="str">
        <f aca="false">IFERROR(INDEX(종합!N$3:N$501,MATCH(ROW()-2,종합!$AD$3:$AD$501,0))&amp;"","")</f>
        <v>금융업 특화 AI서비스 개발을 통해 대직원 업무 효율화, 대고객 경험 혁신, AI 기반 리스크 관리 고도화</v>
      </c>
      <c r="O54" s="21" t="str">
        <f aca="false">IFERROR(INDEX(종합!O$3:O$501,MATCH(ROW()-2,종합!$AD$3:$AD$501,0))&amp;"","")</f>
        <v>안성희</v>
      </c>
      <c r="P54" s="21" t="str">
        <f aca="false">IFERROR(INDEX(종합!P$3:P$501,MATCH(ROW()-2,종합!$AD$3:$AD$501,0))&amp;"","")</f>
        <v>AX연구소</v>
      </c>
      <c r="Q54" s="21" t="str">
        <f aca="false">IFERROR(INDEX(종합!Q$3:Q$501,MATCH(ROW()-2,종합!$AD$3:$AD$501,0))&amp;"","")</f>
        <v>상무/AX연구소장</v>
      </c>
      <c r="R54" s="21" t="str">
        <f aca="false">IFERROR(INDEX(종합!R$3:R$501,MATCH(ROW()-2,종합!$AD$3:$AD$501,0))&amp;"","")</f>
        <v>02-6950-7489</v>
      </c>
      <c r="S54" s="21" t="str">
        <f aca="false">IFERROR(INDEX(종합!S$3:S$501,MATCH(ROW()-2,종합!$AD$3:$AD$501,0))&amp;"","")</f>
        <v>moment91@shinhan.com</v>
      </c>
      <c r="T54" s="21" t="str">
        <f aca="false">IFERROR(INDEX(종합!T$3:T$501,MATCH(ROW()-2,종합!$AD$3:$AD$501,0))&amp;"","")</f>
        <v>010-8183-2022</v>
      </c>
      <c r="U54" s="21" t="str">
        <f aca="false">IFERROR(INDEX(종합!U$3:U$501,MATCH(ROW()-2,종합!$AD$3:$AD$501,0))&amp;"","")</f>
        <v>류석원</v>
      </c>
      <c r="V54" s="21" t="str">
        <f aca="false">IFERROR(INDEX(종합!V$3:V$501,MATCH(ROW()-2,종합!$AD$3:$AD$501,0))&amp;"","")</f>
        <v>AX기획부</v>
      </c>
      <c r="W54" s="21" t="str">
        <f aca="false">IFERROR(INDEX(종합!W$3:W$501,MATCH(ROW()-2,종합!$AD$3:$AD$501,0))&amp;"","")</f>
        <v>프로</v>
      </c>
      <c r="X54" s="21" t="str">
        <f aca="false">IFERROR(INDEX(종합!X$3:X$501,MATCH(ROW()-2,종합!$AD$3:$AD$501,0))&amp;"","")</f>
        <v>02-6950-7558</v>
      </c>
      <c r="Y54" s="21" t="str">
        <f aca="false">IFERROR(INDEX(종합!Y$3:Y$501,MATCH(ROW()-2,종합!$AD$3:$AD$501,0))&amp;"","")</f>
        <v>ringo@shinhan.com</v>
      </c>
      <c r="Z54" s="21" t="str">
        <f aca="false">IFERROR(INDEX(종합!Z$3:Z$501,MATCH(ROW()-2,종합!$AD$3:$AD$501,0))&amp;"","")</f>
        <v>010-3491-2648</v>
      </c>
      <c r="AA54" s="23" t="str">
        <f aca="false">IFERROR(INDEX(종합!AA$3:AA$501,MATCH(ROW()-2,종합!$AD$3:$AD$501,0))&amp;"","")</f>
        <v/>
      </c>
    </row>
    <row r="55" customFormat="false" ht="47.25" hidden="false" customHeight="true" outlineLevel="0" collapsed="false">
      <c r="A55" s="18" t="n">
        <f aca="false">IF(B55="","",ROW()-2)</f>
        <v>53</v>
      </c>
      <c r="B55" s="18" t="str">
        <f aca="false">IFERROR(INDEX(종합!B$3:B$501,MATCH(ROW()-2,종합!$AD$3:$AD$501,0))&amp;"","")</f>
        <v>래블업 주식회사</v>
      </c>
      <c r="C55" s="18" t="str">
        <f aca="false">IFERROR(INDEX(종합!C$3:C$501,MATCH(ROW()-2,종합!$AD$3:$AD$501,0))&amp;"","")</f>
        <v/>
      </c>
      <c r="D55" s="18" t="str">
        <f aca="false">IFERROR(INDEX(종합!D$3:D$501,MATCH(ROW()-2,종합!$AD$3:$AD$501,0))&amp;"","")</f>
        <v/>
      </c>
      <c r="E55" s="18" t="str">
        <f aca="false">IFERROR(INDEX(종합!E$3:E$501,MATCH(ROW()-2,종합!$AD$3:$AD$501,0))&amp;"","")</f>
        <v>O</v>
      </c>
      <c r="F55" s="18" t="str">
        <f aca="false">IFERROR(INDEX(종합!F$3:F$501,MATCH(ROW()-2,종합!$AD$3:$AD$501,0))&amp;"","")</f>
        <v/>
      </c>
      <c r="G55" s="18" t="str">
        <f aca="false">IFERROR(INDEX(종합!G$3:G$501,MATCH(ROW()-2,종합!$AD$3:$AD$501,0))&amp;"","")</f>
        <v>중소기업</v>
      </c>
      <c r="H55" s="21" t="str">
        <f aca="false">IFERROR(INDEX(종합!H$3:H$501,MATCH(ROW()-2,종합!$AD$3:$AD$501,0))&amp;"","")</f>
        <v>864-88-00080</v>
      </c>
      <c r="I55" s="21" t="str">
        <f aca="false">IFERROR(INDEX(종합!I$3:I$501,MATCH(ROW()-2,종합!$AD$3:$AD$501,0))&amp;"","")</f>
        <v>신정규</v>
      </c>
      <c r="J55" s="21" t="str">
        <f aca="false">IFERROR(INDEX(종합!J$3:J$501,MATCH(ROW()-2,종합!$AD$3:$AD$501,0))&amp;"","")</f>
        <v>070-8200-2587</v>
      </c>
      <c r="K55" s="21" t="str">
        <f aca="false">IFERROR(INDEX(종합!K$3:K$501,MATCH(ROW()-2,종합!$AD$3:$AD$501,0))&amp;"","")</f>
        <v>www.lablup.com</v>
      </c>
      <c r="L55" s="21" t="str">
        <f aca="false">IFERROR(INDEX(종합!L$3:L$501,MATCH(ROW()-2,종합!$AD$3:$AD$501,0))&amp;"","")</f>
        <v>spicalong@gmail.com</v>
      </c>
      <c r="M55" s="21" t="str">
        <f aca="false">IFERROR(INDEX(종합!M$3:M$501,MATCH(ROW()-2,종합!$AD$3:$AD$501,0))&amp;"","")</f>
        <v>서울시 강남구 선릉로 577 CR타워 8층</v>
      </c>
      <c r="N55" s="25" t="str">
        <f aca="false">IFERROR(INDEX(종합!N$3:N$501,MATCH(ROW()-2,종합!$AD$3:$AD$501,0))&amp;"","")</f>
        <v>AI Infrastructure Operating Platform</v>
      </c>
      <c r="O55" s="21" t="str">
        <f aca="false">IFERROR(INDEX(종합!O$3:O$501,MATCH(ROW()-2,종합!$AD$3:$AD$501,0))&amp;"","")</f>
        <v>신정규</v>
      </c>
      <c r="P55" s="21" t="str">
        <f aca="false">IFERROR(INDEX(종합!P$3:P$501,MATCH(ROW()-2,종합!$AD$3:$AD$501,0))&amp;"","")</f>
        <v>-</v>
      </c>
      <c r="Q55" s="21" t="str">
        <f aca="false">IFERROR(INDEX(종합!Q$3:Q$501,MATCH(ROW()-2,종합!$AD$3:$AD$501,0))&amp;"","")</f>
        <v>CEO</v>
      </c>
      <c r="R55" s="21" t="str">
        <f aca="false">IFERROR(INDEX(종합!R$3:R$501,MATCH(ROW()-2,종합!$AD$3:$AD$501,0))&amp;"","")</f>
        <v>-</v>
      </c>
      <c r="S55" s="21" t="str">
        <f aca="false">IFERROR(INDEX(종합!S$3:S$501,MATCH(ROW()-2,종합!$AD$3:$AD$501,0))&amp;"","")</f>
        <v>jshin@lablup.com</v>
      </c>
      <c r="T55" s="21" t="str">
        <f aca="false">IFERROR(INDEX(종합!T$3:T$501,MATCH(ROW()-2,종합!$AD$3:$AD$501,0))&amp;"","")</f>
        <v>010-2708-5605</v>
      </c>
      <c r="U55" s="21" t="str">
        <f aca="false">IFERROR(INDEX(종합!U$3:U$501,MATCH(ROW()-2,종합!$AD$3:$AD$501,0))&amp;"","")</f>
        <v>신정규</v>
      </c>
      <c r="V55" s="21" t="str">
        <f aca="false">IFERROR(INDEX(종합!V$3:V$501,MATCH(ROW()-2,종합!$AD$3:$AD$501,0))&amp;"","")</f>
        <v>-</v>
      </c>
      <c r="W55" s="21" t="str">
        <f aca="false">IFERROR(INDEX(종합!W$3:W$501,MATCH(ROW()-2,종합!$AD$3:$AD$501,0))&amp;"","")</f>
        <v>CEO</v>
      </c>
      <c r="X55" s="21" t="str">
        <f aca="false">IFERROR(INDEX(종합!X$3:X$501,MATCH(ROW()-2,종합!$AD$3:$AD$501,0))&amp;"","")</f>
        <v>-</v>
      </c>
      <c r="Y55" s="21" t="str">
        <f aca="false">IFERROR(INDEX(종합!Y$3:Y$501,MATCH(ROW()-2,종합!$AD$3:$AD$501,0))&amp;"","")</f>
        <v>jshin@lablup.com</v>
      </c>
      <c r="Z55" s="21" t="str">
        <f aca="false">IFERROR(INDEX(종합!Z$3:Z$501,MATCH(ROW()-2,종합!$AD$3:$AD$501,0))&amp;"","")</f>
        <v>010-2708-5605</v>
      </c>
      <c r="AA55" s="23" t="str">
        <f aca="false">IFERROR(INDEX(종합!AA$3:AA$501,MATCH(ROW()-2,종합!$AD$3:$AD$501,0))&amp;"","")</f>
        <v/>
      </c>
    </row>
    <row r="56" customFormat="false" ht="33.75" hidden="false" customHeight="true" outlineLevel="0" collapsed="false">
      <c r="A56" s="18" t="n">
        <f aca="false">IF(B56="","",ROW()-2)</f>
        <v>54</v>
      </c>
      <c r="B56" s="18" t="str">
        <f aca="false">IFERROR(INDEX(종합!B$3:B$501,MATCH(ROW()-2,종합!$AD$3:$AD$501,0))&amp;"","")</f>
        <v>MBN</v>
      </c>
      <c r="C56" s="18" t="str">
        <f aca="false">IFERROR(INDEX(종합!C$3:C$501,MATCH(ROW()-2,종합!$AD$3:$AD$501,0))&amp;"","")</f>
        <v/>
      </c>
      <c r="D56" s="18" t="str">
        <f aca="false">IFERROR(INDEX(종합!D$3:D$501,MATCH(ROW()-2,종합!$AD$3:$AD$501,0))&amp;"","")</f>
        <v/>
      </c>
      <c r="E56" s="18" t="str">
        <f aca="false">IFERROR(INDEX(종합!E$3:E$501,MATCH(ROW()-2,종합!$AD$3:$AD$501,0))&amp;"","")</f>
        <v>O</v>
      </c>
      <c r="F56" s="18" t="str">
        <f aca="false">IFERROR(INDEX(종합!F$3:F$501,MATCH(ROW()-2,종합!$AD$3:$AD$501,0))&amp;"","")</f>
        <v/>
      </c>
      <c r="G56" s="18" t="str">
        <f aca="false">IFERROR(INDEX(종합!G$3:G$501,MATCH(ROW()-2,종합!$AD$3:$AD$501,0))&amp;"","")</f>
        <v>중견기업</v>
      </c>
      <c r="H56" s="21" t="str">
        <f aca="false">IFERROR(INDEX(종합!H$3:H$501,MATCH(ROW()-2,종합!$AD$3:$AD$501,0))&amp;"","")</f>
        <v>203-81-53328</v>
      </c>
      <c r="I56" s="21" t="str">
        <f aca="false">IFERROR(INDEX(종합!I$3:I$501,MATCH(ROW()-2,종합!$AD$3:$AD$501,0))&amp;"","")</f>
        <v>이동원</v>
      </c>
      <c r="J56" s="21" t="str">
        <f aca="false">IFERROR(INDEX(종합!J$3:J$501,MATCH(ROW()-2,종합!$AD$3:$AD$501,0))&amp;"","")</f>
        <v>02-2000-3114</v>
      </c>
      <c r="K56" s="21" t="str">
        <f aca="false">IFERROR(INDEX(종합!K$3:K$501,MATCH(ROW()-2,종합!$AD$3:$AD$501,0))&amp;"","")</f>
        <v>https://www.mbn.co.kr/</v>
      </c>
      <c r="L56" s="21" t="str">
        <f aca="false">IFERROR(INDEX(종합!L$3:L$501,MATCH(ROW()-2,종합!$AD$3:$AD$501,0))&amp;"","")</f>
        <v>helloaisong@gmail.com</v>
      </c>
      <c r="M56" s="21" t="str">
        <f aca="false">IFERROR(INDEX(종합!M$3:M$501,MATCH(ROW()-2,종합!$AD$3:$AD$501,0))&amp;"","")</f>
        <v>서울시 중구 퇴계로 190</v>
      </c>
      <c r="N56" s="25" t="str">
        <f aca="false">IFERROR(INDEX(종합!N$3:N$501,MATCH(ROW()-2,종합!$AD$3:$AD$501,0))&amp;"","")</f>
        <v>AI 활용 미디어 서비스</v>
      </c>
      <c r="O56" s="21" t="str">
        <f aca="false">IFERROR(INDEX(종합!O$3:O$501,MATCH(ROW()-2,종합!$AD$3:$AD$501,0))&amp;"","")</f>
        <v>박대일</v>
      </c>
      <c r="P56" s="21" t="str">
        <f aca="false">IFERROR(INDEX(종합!P$3:P$501,MATCH(ROW()-2,종합!$AD$3:$AD$501,0))&amp;"","")</f>
        <v>디지털AI본부</v>
      </c>
      <c r="Q56" s="21" t="str">
        <f aca="false">IFERROR(INDEX(종합!Q$3:Q$501,MATCH(ROW()-2,종합!$AD$3:$AD$501,0))&amp;"","")</f>
        <v>본부장</v>
      </c>
      <c r="R56" s="21" t="str">
        <f aca="false">IFERROR(INDEX(종합!R$3:R$501,MATCH(ROW()-2,종합!$AD$3:$AD$501,0))&amp;"","")</f>
        <v>02-2000-3162</v>
      </c>
      <c r="S56" s="21" t="str">
        <f aca="false">IFERROR(INDEX(종합!S$3:S$501,MATCH(ROW()-2,종합!$AD$3:$AD$501,0))&amp;"","")</f>
        <v>park.daeil@mbn.co.kr</v>
      </c>
      <c r="T56" s="21" t="str">
        <f aca="false">IFERROR(INDEX(종합!T$3:T$501,MATCH(ROW()-2,종합!$AD$3:$AD$501,0))&amp;"","")</f>
        <v>010-8100-0284</v>
      </c>
      <c r="U56" s="21" t="str">
        <f aca="false">IFERROR(INDEX(종합!U$3:U$501,MATCH(ROW()-2,종합!$AD$3:$AD$501,0))&amp;"","")</f>
        <v>박대일</v>
      </c>
      <c r="V56" s="21" t="str">
        <f aca="false">IFERROR(INDEX(종합!V$3:V$501,MATCH(ROW()-2,종합!$AD$3:$AD$501,0))&amp;"","")</f>
        <v>디지털AI본부</v>
      </c>
      <c r="W56" s="21" t="str">
        <f aca="false">IFERROR(INDEX(종합!W$3:W$501,MATCH(ROW()-2,종합!$AD$3:$AD$501,0))&amp;"","")</f>
        <v>본부장</v>
      </c>
      <c r="X56" s="21" t="str">
        <f aca="false">IFERROR(INDEX(종합!X$3:X$501,MATCH(ROW()-2,종합!$AD$3:$AD$501,0))&amp;"","")</f>
        <v>02-2000-3162</v>
      </c>
      <c r="Y56" s="21" t="str">
        <f aca="false">IFERROR(INDEX(종합!Y$3:Y$501,MATCH(ROW()-2,종합!$AD$3:$AD$501,0))&amp;"","")</f>
        <v>park.daeil@mbn.co.kr</v>
      </c>
      <c r="Z56" s="21" t="str">
        <f aca="false">IFERROR(INDEX(종합!Z$3:Z$501,MATCH(ROW()-2,종합!$AD$3:$AD$501,0))&amp;"","")</f>
        <v>010-8100-0284</v>
      </c>
      <c r="AA56" s="23" t="str">
        <f aca="false">IFERROR(INDEX(종합!AA$3:AA$501,MATCH(ROW()-2,종합!$AD$3:$AD$501,0))&amp;"","")</f>
        <v/>
      </c>
    </row>
    <row r="57" customFormat="false" ht="22.5" hidden="false" customHeight="true" outlineLevel="0" collapsed="false">
      <c r="A57" s="18" t="n">
        <f aca="false">IF(B57="","",ROW()-2)</f>
        <v>55</v>
      </c>
      <c r="B57" s="18" t="str">
        <f aca="false">IFERROR(INDEX(종합!B$3:B$501,MATCH(ROW()-2,종합!$AD$3:$AD$501,0))&amp;"","")</f>
        <v>새솔테크 주식회사</v>
      </c>
      <c r="C57" s="18" t="str">
        <f aca="false">IFERROR(INDEX(종합!C$3:C$501,MATCH(ROW()-2,종합!$AD$3:$AD$501,0))&amp;"","")</f>
        <v/>
      </c>
      <c r="D57" s="18" t="str">
        <f aca="false">IFERROR(INDEX(종합!D$3:D$501,MATCH(ROW()-2,종합!$AD$3:$AD$501,0))&amp;"","")</f>
        <v/>
      </c>
      <c r="E57" s="18" t="str">
        <f aca="false">IFERROR(INDEX(종합!E$3:E$501,MATCH(ROW()-2,종합!$AD$3:$AD$501,0))&amp;"","")</f>
        <v>O</v>
      </c>
      <c r="F57" s="18" t="str">
        <f aca="false">IFERROR(INDEX(종합!F$3:F$501,MATCH(ROW()-2,종합!$AD$3:$AD$501,0))&amp;"","")</f>
        <v/>
      </c>
      <c r="G57" s="18" t="str">
        <f aca="false">IFERROR(INDEX(종합!G$3:G$501,MATCH(ROW()-2,종합!$AD$3:$AD$501,0))&amp;"","")</f>
        <v>중소기업</v>
      </c>
      <c r="H57" s="21" t="str">
        <f aca="false">IFERROR(INDEX(종합!H$3:H$501,MATCH(ROW()-2,종합!$AD$3:$AD$501,0))&amp;"","")</f>
        <v>484-81-02321</v>
      </c>
      <c r="I57" s="21" t="str">
        <f aca="false">IFERROR(INDEX(종합!I$3:I$501,MATCH(ROW()-2,종합!$AD$3:$AD$501,0))&amp;"","")</f>
        <v>한준혁</v>
      </c>
      <c r="J57" s="21" t="str">
        <f aca="false">IFERROR(INDEX(종합!J$3:J$501,MATCH(ROW()-2,종합!$AD$3:$AD$501,0))&amp;"","")</f>
        <v>031-687-8286</v>
      </c>
      <c r="K57" s="21" t="str">
        <f aca="false">IFERROR(INDEX(종합!K$3:K$501,MATCH(ROW()-2,종합!$AD$3:$AD$501,0))&amp;"","")</f>
        <v>https://www.saesol.tech/</v>
      </c>
      <c r="L57" s="21" t="str">
        <f aca="false">IFERROR(INDEX(종합!L$3:L$501,MATCH(ROW()-2,종합!$AD$3:$AD$501,0))&amp;"","")</f>
        <v>jayden.yoo@saesol.tech</v>
      </c>
      <c r="M57" s="21" t="str">
        <f aca="false">IFERROR(INDEX(종합!M$3:M$501,MATCH(ROW()-2,종합!$AD$3:$AD$501,0))&amp;"","")</f>
        <v>경기도 안양시 동안구 부림로 146</v>
      </c>
      <c r="N57" s="25" t="str">
        <f aca="false">IFERROR(INDEX(종합!N$3:N$501,MATCH(ROW()-2,종합!$AD$3:$AD$501,0))&amp;"","")</f>
        <v>V2X 보안 플랫폼, PKI 기반 보안 인증 서버, KCMVP 기반 구간암호화</v>
      </c>
      <c r="O57" s="21" t="str">
        <f aca="false">IFERROR(INDEX(종합!O$3:O$501,MATCH(ROW()-2,종합!$AD$3:$AD$501,0))&amp;"","")</f>
        <v>앙연형</v>
      </c>
      <c r="P57" s="21" t="str">
        <f aca="false">IFERROR(INDEX(종합!P$3:P$501,MATCH(ROW()-2,종합!$AD$3:$AD$501,0))&amp;"","")</f>
        <v>선행기술그룹-선행2팀</v>
      </c>
      <c r="Q57" s="21" t="str">
        <f aca="false">IFERROR(INDEX(종합!Q$3:Q$501,MATCH(ROW()-2,종합!$AD$3:$AD$501,0))&amp;"","")</f>
        <v>연구위원,이사/팀장</v>
      </c>
      <c r="R57" s="21" t="str">
        <f aca="false">IFERROR(INDEX(종합!R$3:R$501,MATCH(ROW()-2,종합!$AD$3:$AD$501,0))&amp;"","")</f>
        <v>010-8866-5946</v>
      </c>
      <c r="S57" s="21" t="str">
        <f aca="false">IFERROR(INDEX(종합!S$3:S$501,MATCH(ROW()-2,종합!$AD$3:$AD$501,0))&amp;"","")</f>
        <v> eliot.yang@saesol.tech</v>
      </c>
      <c r="T57" s="21" t="str">
        <f aca="false">IFERROR(INDEX(종합!T$3:T$501,MATCH(ROW()-2,종합!$AD$3:$AD$501,0))&amp;"","")</f>
        <v>010-8866-5946</v>
      </c>
      <c r="U57" s="21" t="str">
        <f aca="false">IFERROR(INDEX(종합!U$3:U$501,MATCH(ROW()-2,종합!$AD$3:$AD$501,0))&amp;"","")</f>
        <v>앙연형</v>
      </c>
      <c r="V57" s="21" t="str">
        <f aca="false">IFERROR(INDEX(종합!V$3:V$501,MATCH(ROW()-2,종합!$AD$3:$AD$501,0))&amp;"","")</f>
        <v>선행기술그룹-선행2팀</v>
      </c>
      <c r="W57" s="21" t="str">
        <f aca="false">IFERROR(INDEX(종합!W$3:W$501,MATCH(ROW()-2,종합!$AD$3:$AD$501,0))&amp;"","")</f>
        <v>연구위원,이사/팀장</v>
      </c>
      <c r="X57" s="21" t="str">
        <f aca="false">IFERROR(INDEX(종합!X$3:X$501,MATCH(ROW()-2,종합!$AD$3:$AD$501,0))&amp;"","")</f>
        <v>010-8866-5946</v>
      </c>
      <c r="Y57" s="21" t="str">
        <f aca="false">IFERROR(INDEX(종합!Y$3:Y$501,MATCH(ROW()-2,종합!$AD$3:$AD$501,0))&amp;"","")</f>
        <v> eliot.yang@saesol.tech</v>
      </c>
      <c r="Z57" s="21" t="str">
        <f aca="false">IFERROR(INDEX(종합!Z$3:Z$501,MATCH(ROW()-2,종합!$AD$3:$AD$501,0))&amp;"","")</f>
        <v>010-8866-5946</v>
      </c>
      <c r="AA57" s="23" t="str">
        <f aca="false">IFERROR(INDEX(종합!AA$3:AA$501,MATCH(ROW()-2,종합!$AD$3:$AD$501,0))&amp;"","")</f>
        <v/>
      </c>
    </row>
    <row r="58" customFormat="false" ht="22.5" hidden="false" customHeight="true" outlineLevel="0" collapsed="false">
      <c r="A58" s="18" t="n">
        <f aca="false">IF(B58="","",ROW()-2)</f>
        <v>56</v>
      </c>
      <c r="B58" s="18" t="str">
        <f aca="false">IFERROR(INDEX(종합!B$3:B$501,MATCH(ROW()-2,종합!$AD$3:$AD$501,0))&amp;"","")</f>
        <v>(사)금융결제원</v>
      </c>
      <c r="C58" s="18" t="str">
        <f aca="false">IFERROR(INDEX(종합!C$3:C$501,MATCH(ROW()-2,종합!$AD$3:$AD$501,0))&amp;"","")</f>
        <v/>
      </c>
      <c r="D58" s="18" t="str">
        <f aca="false">IFERROR(INDEX(종합!D$3:D$501,MATCH(ROW()-2,종합!$AD$3:$AD$501,0))&amp;"","")</f>
        <v/>
      </c>
      <c r="E58" s="18" t="str">
        <f aca="false">IFERROR(INDEX(종합!E$3:E$501,MATCH(ROW()-2,종합!$AD$3:$AD$501,0))&amp;"","")</f>
        <v>O</v>
      </c>
      <c r="F58" s="18" t="str">
        <f aca="false">IFERROR(INDEX(종합!F$3:F$501,MATCH(ROW()-2,종합!$AD$3:$AD$501,0))&amp;"","")</f>
        <v/>
      </c>
      <c r="G58" s="18" t="str">
        <f aca="false">IFERROR(INDEX(종합!G$3:G$501,MATCH(ROW()-2,종합!$AD$3:$AD$501,0))&amp;"","")</f>
        <v>협회·단체</v>
      </c>
      <c r="H58" s="21" t="str">
        <f aca="false">IFERROR(INDEX(종합!H$3:H$501,MATCH(ROW()-2,종합!$AD$3:$AD$501,0))&amp;"","")</f>
        <v>220-82-01439</v>
      </c>
      <c r="I58" s="21" t="str">
        <f aca="false">IFERROR(INDEX(종합!I$3:I$501,MATCH(ROW()-2,종합!$AD$3:$AD$501,0))&amp;"","")</f>
        <v>박종석</v>
      </c>
      <c r="J58" s="21" t="str">
        <f aca="false">IFERROR(INDEX(종합!J$3:J$501,MATCH(ROW()-2,종합!$AD$3:$AD$501,0))&amp;"","")</f>
        <v>1577-5500</v>
      </c>
      <c r="K58" s="21" t="str">
        <f aca="false">IFERROR(INDEX(종합!K$3:K$501,MATCH(ROW()-2,종합!$AD$3:$AD$501,0))&amp;"","")</f>
        <v>kftc.or.kr</v>
      </c>
      <c r="L58" s="21" t="str">
        <f aca="false">IFERROR(INDEX(종합!L$3:L$501,MATCH(ROW()-2,종합!$AD$3:$AD$501,0))&amp;"","")</f>
        <v>sjpark054@gmail.com</v>
      </c>
      <c r="M58" s="21" t="str">
        <f aca="false">IFERROR(INDEX(종합!M$3:M$501,MATCH(ROW()-2,종합!$AD$3:$AD$501,0))&amp;"","")</f>
        <v>서울시 중구 퇴계로 110(회현동 3가)</v>
      </c>
      <c r="N58" s="25" t="str">
        <f aca="false">IFERROR(INDEX(종합!N$3:N$501,MATCH(ROW()-2,종합!$AD$3:$AD$501,0))&amp;"","")</f>
        <v>금융 특화 llm/벤치마크, 오픈뱅킹 등 지급결제시스템, 에이전트 활용 환경, AI 기반 금융거래 분석</v>
      </c>
      <c r="O58" s="21" t="str">
        <f aca="false">IFERROR(INDEX(종합!O$3:O$501,MATCH(ROW()-2,종합!$AD$3:$AD$501,0))&amp;"","")</f>
        <v>류재수</v>
      </c>
      <c r="P58" s="21" t="str">
        <f aca="false">IFERROR(INDEX(종합!P$3:P$501,MATCH(ROW()-2,종합!$AD$3:$AD$501,0))&amp;"","")</f>
        <v>금융결제원</v>
      </c>
      <c r="Q58" s="21" t="str">
        <f aca="false">IFERROR(INDEX(종합!Q$3:Q$501,MATCH(ROW()-2,종합!$AD$3:$AD$501,0))&amp;"","")</f>
        <v>전무이사</v>
      </c>
      <c r="R58" s="21" t="str">
        <f aca="false">IFERROR(INDEX(종합!R$3:R$501,MATCH(ROW()-2,종합!$AD$3:$AD$501,0))&amp;"","")</f>
        <v>02-531-1022</v>
      </c>
      <c r="S58" s="21" t="str">
        <f aca="false">IFERROR(INDEX(종합!S$3:S$501,MATCH(ROW()-2,종합!$AD$3:$AD$501,0))&amp;"","")</f>
        <v>해당없음</v>
      </c>
      <c r="T58" s="21" t="str">
        <f aca="false">IFERROR(INDEX(종합!T$3:T$501,MATCH(ROW()-2,종합!$AD$3:$AD$501,0))&amp;"","")</f>
        <v>해당없음</v>
      </c>
      <c r="U58" s="21" t="str">
        <f aca="false">IFERROR(INDEX(종합!U$3:U$501,MATCH(ROW()-2,종합!$AD$3:$AD$501,0))&amp;"","")</f>
        <v>임선규</v>
      </c>
      <c r="V58" s="21" t="str">
        <f aca="false">IFERROR(INDEX(종합!V$3:V$501,MATCH(ROW()-2,종합!$AD$3:$AD$501,0))&amp;"","")</f>
        <v>금융결제원</v>
      </c>
      <c r="W58" s="21" t="str">
        <f aca="false">IFERROR(INDEX(종합!W$3:W$501,MATCH(ROW()-2,종합!$AD$3:$AD$501,0))&amp;"","")</f>
        <v>반장</v>
      </c>
      <c r="X58" s="21" t="str">
        <f aca="false">IFERROR(INDEX(종합!X$3:X$501,MATCH(ROW()-2,종합!$AD$3:$AD$501,0))&amp;"","")</f>
        <v>02-531-3250</v>
      </c>
      <c r="Y58" s="21" t="str">
        <f aca="false">IFERROR(INDEX(종합!Y$3:Y$501,MATCH(ROW()-2,종합!$AD$3:$AD$501,0))&amp;"","")</f>
        <v>sklim@kftc.or.kr</v>
      </c>
      <c r="Z58" s="21" t="str">
        <f aca="false">IFERROR(INDEX(종합!Z$3:Z$501,MATCH(ROW()-2,종합!$AD$3:$AD$501,0))&amp;"","")</f>
        <v>010-8603-3390</v>
      </c>
      <c r="AA58" s="23" t="str">
        <f aca="false">IFERROR(INDEX(종합!AA$3:AA$501,MATCH(ROW()-2,종합!$AD$3:$AD$501,0))&amp;"","")</f>
        <v/>
      </c>
    </row>
    <row r="59" customFormat="false" ht="22.5" hidden="false" customHeight="true" outlineLevel="0" collapsed="false">
      <c r="A59" s="18" t="n">
        <f aca="false">IF(B59="","",ROW()-2)</f>
        <v>57</v>
      </c>
      <c r="B59" s="18" t="str">
        <f aca="false">IFERROR(INDEX(종합!B$3:B$501,MATCH(ROW()-2,종합!$AD$3:$AD$501,0))&amp;"","")</f>
        <v>주식회사 웰로</v>
      </c>
      <c r="C59" s="18" t="str">
        <f aca="false">IFERROR(INDEX(종합!C$3:C$501,MATCH(ROW()-2,종합!$AD$3:$AD$501,0))&amp;"","")</f>
        <v/>
      </c>
      <c r="D59" s="18" t="str">
        <f aca="false">IFERROR(INDEX(종합!D$3:D$501,MATCH(ROW()-2,종합!$AD$3:$AD$501,0))&amp;"","")</f>
        <v/>
      </c>
      <c r="E59" s="18" t="str">
        <f aca="false">IFERROR(INDEX(종합!E$3:E$501,MATCH(ROW()-2,종합!$AD$3:$AD$501,0))&amp;"","")</f>
        <v>O</v>
      </c>
      <c r="F59" s="18" t="str">
        <f aca="false">IFERROR(INDEX(종합!F$3:F$501,MATCH(ROW()-2,종합!$AD$3:$AD$501,0))&amp;"","")</f>
        <v/>
      </c>
      <c r="G59" s="18" t="str">
        <f aca="false">IFERROR(INDEX(종합!G$3:G$501,MATCH(ROW()-2,종합!$AD$3:$AD$501,0))&amp;"","")</f>
        <v>중소기업</v>
      </c>
      <c r="H59" s="21" t="str">
        <f aca="false">IFERROR(INDEX(종합!H$3:H$501,MATCH(ROW()-2,종합!$AD$3:$AD$501,0))&amp;"","")</f>
        <v>705-86-02126</v>
      </c>
      <c r="I59" s="21" t="str">
        <f aca="false">IFERROR(INDEX(종합!I$3:I$501,MATCH(ROW()-2,종합!$AD$3:$AD$501,0))&amp;"","")</f>
        <v>김유리안나</v>
      </c>
      <c r="J59" s="21" t="str">
        <f aca="false">IFERROR(INDEX(종합!J$3:J$501,MATCH(ROW()-2,종합!$AD$3:$AD$501,0))&amp;"","")</f>
        <v>02-889-9269</v>
      </c>
      <c r="K59" s="21" t="str">
        <f aca="false">IFERROR(INDEX(종합!K$3:K$501,MATCH(ROW()-2,종합!$AD$3:$AD$501,0))&amp;"","")</f>
        <v>wello.info</v>
      </c>
      <c r="L59" s="21" t="str">
        <f aca="false">IFERROR(INDEX(종합!L$3:L$501,MATCH(ROW()-2,종합!$AD$3:$AD$501,0))&amp;"","")</f>
        <v>yuri@wello.info</v>
      </c>
      <c r="M59" s="21" t="str">
        <f aca="false">IFERROR(INDEX(종합!M$3:M$501,MATCH(ROW()-2,종합!$AD$3:$AD$501,0))&amp;"","")</f>
        <v>서울 관악구 남부순환로 1933, 8층</v>
      </c>
      <c r="N59" s="25" t="str">
        <f aca="false">IFERROR(INDEX(종합!N$3:N$501,MATCH(ROW()-2,종합!$AD$3:$AD$501,0))&amp;"","")</f>
        <v>GovTech 분야 / 공공 문서 및 규제데이터 해석 및 개인-기업-정부 추천서비스</v>
      </c>
      <c r="O59" s="21" t="str">
        <f aca="false">IFERROR(INDEX(종합!O$3:O$501,MATCH(ROW()-2,종합!$AD$3:$AD$501,0))&amp;"","")</f>
        <v>김유리안나</v>
      </c>
      <c r="P59" s="21" t="str">
        <f aca="false">IFERROR(INDEX(종합!P$3:P$501,MATCH(ROW()-2,종합!$AD$3:$AD$501,0))&amp;"","")</f>
        <v>경영</v>
      </c>
      <c r="Q59" s="21" t="str">
        <f aca="false">IFERROR(INDEX(종합!Q$3:Q$501,MATCH(ROW()-2,종합!$AD$3:$AD$501,0))&amp;"","")</f>
        <v>대표</v>
      </c>
      <c r="R59" s="21" t="str">
        <f aca="false">IFERROR(INDEX(종합!R$3:R$501,MATCH(ROW()-2,종합!$AD$3:$AD$501,0))&amp;"","")</f>
        <v>02-889-9369</v>
      </c>
      <c r="S59" s="21" t="str">
        <f aca="false">IFERROR(INDEX(종합!S$3:S$501,MATCH(ROW()-2,종합!$AD$3:$AD$501,0))&amp;"","")</f>
        <v>yuri@wello.info</v>
      </c>
      <c r="T59" s="21" t="str">
        <f aca="false">IFERROR(INDEX(종합!T$3:T$501,MATCH(ROW()-2,종합!$AD$3:$AD$501,0))&amp;"","")</f>
        <v>010-8248-7729</v>
      </c>
      <c r="U59" s="21" t="str">
        <f aca="false">IFERROR(INDEX(종합!U$3:U$501,MATCH(ROW()-2,종합!$AD$3:$AD$501,0))&amp;"","")</f>
        <v>김유리안나</v>
      </c>
      <c r="V59" s="21" t="str">
        <f aca="false">IFERROR(INDEX(종합!V$3:V$501,MATCH(ROW()-2,종합!$AD$3:$AD$501,0))&amp;"","")</f>
        <v>경영</v>
      </c>
      <c r="W59" s="21" t="str">
        <f aca="false">IFERROR(INDEX(종합!W$3:W$501,MATCH(ROW()-2,종합!$AD$3:$AD$501,0))&amp;"","")</f>
        <v>대표</v>
      </c>
      <c r="X59" s="21" t="str">
        <f aca="false">IFERROR(INDEX(종합!X$3:X$501,MATCH(ROW()-2,종합!$AD$3:$AD$501,0))&amp;"","")</f>
        <v>02-889-9369</v>
      </c>
      <c r="Y59" s="21" t="str">
        <f aca="false">IFERROR(INDEX(종합!Y$3:Y$501,MATCH(ROW()-2,종합!$AD$3:$AD$501,0))&amp;"","")</f>
        <v>yuri@wello.info</v>
      </c>
      <c r="Z59" s="21" t="str">
        <f aca="false">IFERROR(INDEX(종합!Z$3:Z$501,MATCH(ROW()-2,종합!$AD$3:$AD$501,0))&amp;"","")</f>
        <v>010-8248-7729</v>
      </c>
      <c r="AA59" s="23" t="str">
        <f aca="false">IFERROR(INDEX(종합!AA$3:AA$501,MATCH(ROW()-2,종합!$AD$3:$AD$501,0))&amp;"","")</f>
        <v/>
      </c>
    </row>
    <row r="60" customFormat="false" ht="22.5" hidden="false" customHeight="true" outlineLevel="0" collapsed="false">
      <c r="A60" s="18" t="n">
        <f aca="false">IF(B60="","",ROW()-2)</f>
        <v>58</v>
      </c>
      <c r="B60" s="18" t="str">
        <f aca="false">IFERROR(INDEX(종합!B$3:B$501,MATCH(ROW()-2,종합!$AD$3:$AD$501,0))&amp;"","")</f>
        <v>한솔피엔에스(주)</v>
      </c>
      <c r="C60" s="18" t="str">
        <f aca="false">IFERROR(INDEX(종합!C$3:C$501,MATCH(ROW()-2,종합!$AD$3:$AD$501,0))&amp;"","")</f>
        <v/>
      </c>
      <c r="D60" s="18" t="str">
        <f aca="false">IFERROR(INDEX(종합!D$3:D$501,MATCH(ROW()-2,종합!$AD$3:$AD$501,0))&amp;"","")</f>
        <v/>
      </c>
      <c r="E60" s="18" t="str">
        <f aca="false">IFERROR(INDEX(종합!E$3:E$501,MATCH(ROW()-2,종합!$AD$3:$AD$501,0))&amp;"","")</f>
        <v>O</v>
      </c>
      <c r="F60" s="18" t="str">
        <f aca="false">IFERROR(INDEX(종합!F$3:F$501,MATCH(ROW()-2,종합!$AD$3:$AD$501,0))&amp;"","")</f>
        <v/>
      </c>
      <c r="G60" s="18" t="str">
        <f aca="false">IFERROR(INDEX(종합!G$3:G$501,MATCH(ROW()-2,종합!$AD$3:$AD$501,0))&amp;"","")</f>
        <v>중견기업</v>
      </c>
      <c r="H60" s="21" t="str">
        <f aca="false">IFERROR(INDEX(종합!H$3:H$501,MATCH(ROW()-2,종합!$AD$3:$AD$501,0))&amp;"","")</f>
        <v>206-85-29451</v>
      </c>
      <c r="I60" s="21" t="str">
        <f aca="false">IFERROR(INDEX(종합!I$3:I$501,MATCH(ROW()-2,종합!$AD$3:$AD$501,0))&amp;"","")</f>
        <v>김형준</v>
      </c>
      <c r="J60" s="21" t="str">
        <f aca="false">IFERROR(INDEX(종합!J$3:J$501,MATCH(ROW()-2,종합!$AD$3:$AD$501,0))&amp;"","")</f>
        <v>02-6244-9700</v>
      </c>
      <c r="K60" s="21" t="str">
        <f aca="false">IFERROR(INDEX(종합!K$3:K$501,MATCH(ROW()-2,종합!$AD$3:$AD$501,0))&amp;"","")</f>
        <v>https://www.hansolpns.com</v>
      </c>
      <c r="L60" s="21" t="str">
        <f aca="false">IFERROR(INDEX(종합!L$3:L$501,MATCH(ROW()-2,종합!$AD$3:$AD$501,0))&amp;"","")</f>
        <v>brotherjinho@gmail.com</v>
      </c>
      <c r="M60" s="21" t="str">
        <f aca="false">IFERROR(INDEX(종합!M$3:M$501,MATCH(ROW()-2,종합!$AD$3:$AD$501,0))&amp;"","")</f>
        <v>서울특별시 강서구 양천로 570, NH서울타워 6층</v>
      </c>
      <c r="N60" s="25" t="str">
        <f aca="false">IFERROR(INDEX(종합!N$3:N$501,MATCH(ROW()-2,종합!$AD$3:$AD$501,0))&amp;"","")</f>
        <v>AI Atlas </v>
      </c>
      <c r="O60" s="21" t="str">
        <f aca="false">IFERROR(INDEX(종합!O$3:O$501,MATCH(ROW()-2,종합!$AD$3:$AD$501,0))&amp;"","")</f>
        <v>조선건</v>
      </c>
      <c r="P60" s="21" t="str">
        <f aca="false">IFERROR(INDEX(종합!P$3:P$501,MATCH(ROW()-2,종합!$AD$3:$AD$501,0))&amp;"","")</f>
        <v>개발부문</v>
      </c>
      <c r="Q60" s="21" t="str">
        <f aca="false">IFERROR(INDEX(종합!Q$3:Q$501,MATCH(ROW()-2,종합!$AD$3:$AD$501,0))&amp;"","")</f>
        <v>부문장</v>
      </c>
      <c r="R60" s="21" t="str">
        <f aca="false">IFERROR(INDEX(종합!R$3:R$501,MATCH(ROW()-2,종합!$AD$3:$AD$501,0))&amp;"","")</f>
        <v>02-6244-9837</v>
      </c>
      <c r="S60" s="21" t="str">
        <f aca="false">IFERROR(INDEX(종합!S$3:S$501,MATCH(ROW()-2,종합!$AD$3:$AD$501,0))&amp;"","")</f>
        <v>sungun.cho@hansol.com</v>
      </c>
      <c r="T60" s="21" t="str">
        <f aca="false">IFERROR(INDEX(종합!T$3:T$501,MATCH(ROW()-2,종합!$AD$3:$AD$501,0))&amp;"","")</f>
        <v>010-7461-1201</v>
      </c>
      <c r="U60" s="21" t="str">
        <f aca="false">IFERROR(INDEX(종합!U$3:U$501,MATCH(ROW()-2,종합!$AD$3:$AD$501,0))&amp;"","")</f>
        <v>조선건</v>
      </c>
      <c r="V60" s="21" t="str">
        <f aca="false">IFERROR(INDEX(종합!V$3:V$501,MATCH(ROW()-2,종합!$AD$3:$AD$501,0))&amp;"","")</f>
        <v>개발부문</v>
      </c>
      <c r="W60" s="21" t="str">
        <f aca="false">IFERROR(INDEX(종합!W$3:W$501,MATCH(ROW()-2,종합!$AD$3:$AD$501,0))&amp;"","")</f>
        <v>부문장</v>
      </c>
      <c r="X60" s="21" t="str">
        <f aca="false">IFERROR(INDEX(종합!X$3:X$501,MATCH(ROW()-2,종합!$AD$3:$AD$501,0))&amp;"","")</f>
        <v>02-6244-9837</v>
      </c>
      <c r="Y60" s="21" t="str">
        <f aca="false">IFERROR(INDEX(종합!Y$3:Y$501,MATCH(ROW()-2,종합!$AD$3:$AD$501,0))&amp;"","")</f>
        <v>sungun.cho@hansol.com</v>
      </c>
      <c r="Z60" s="21" t="str">
        <f aca="false">IFERROR(INDEX(종합!Z$3:Z$501,MATCH(ROW()-2,종합!$AD$3:$AD$501,0))&amp;"","")</f>
        <v>010-7461-1201</v>
      </c>
      <c r="AA60" s="23" t="str">
        <f aca="false">IFERROR(INDEX(종합!AA$3:AA$501,MATCH(ROW()-2,종합!$AD$3:$AD$501,0))&amp;"","")</f>
        <v/>
      </c>
    </row>
    <row r="61" customFormat="false" ht="22.5" hidden="false" customHeight="true" outlineLevel="0" collapsed="false">
      <c r="A61" s="18" t="n">
        <f aca="false">IF(B61="","",ROW()-2)</f>
        <v>59</v>
      </c>
      <c r="B61" s="18" t="str">
        <f aca="false">IFERROR(INDEX(종합!B$3:B$501,MATCH(ROW()-2,종합!$AD$3:$AD$501,0))&amp;"","")</f>
        <v>나이스지니데이타(주)</v>
      </c>
      <c r="C61" s="18" t="str">
        <f aca="false">IFERROR(INDEX(종합!C$3:C$501,MATCH(ROW()-2,종합!$AD$3:$AD$501,0))&amp;"","")</f>
        <v>O</v>
      </c>
      <c r="D61" s="18" t="str">
        <f aca="false">IFERROR(INDEX(종합!D$3:D$501,MATCH(ROW()-2,종합!$AD$3:$AD$501,0))&amp;"","")</f>
        <v>O</v>
      </c>
      <c r="E61" s="18" t="str">
        <f aca="false">IFERROR(INDEX(종합!E$3:E$501,MATCH(ROW()-2,종합!$AD$3:$AD$501,0))&amp;"","")</f>
        <v>O</v>
      </c>
      <c r="F61" s="18" t="str">
        <f aca="false">IFERROR(INDEX(종합!F$3:F$501,MATCH(ROW()-2,종합!$AD$3:$AD$501,0))&amp;"","")</f>
        <v/>
      </c>
      <c r="G61" s="18" t="str">
        <f aca="false">IFERROR(INDEX(종합!G$3:G$501,MATCH(ROW()-2,종합!$AD$3:$AD$501,0))&amp;"","")</f>
        <v>중견기업</v>
      </c>
      <c r="H61" s="21" t="str">
        <f aca="false">IFERROR(INDEX(종합!H$3:H$501,MATCH(ROW()-2,종합!$AD$3:$AD$501,0))&amp;"","")</f>
        <v>216-81-16917</v>
      </c>
      <c r="I61" s="21" t="str">
        <f aca="false">IFERROR(INDEX(종합!I$3:I$501,MATCH(ROW()-2,종합!$AD$3:$AD$501,0))&amp;"","")</f>
        <v>김민수</v>
      </c>
      <c r="J61" s="21" t="str">
        <f aca="false">IFERROR(INDEX(종합!J$3:J$501,MATCH(ROW()-2,종합!$AD$3:$AD$501,0))&amp;"","")</f>
        <v>02-3215-2800</v>
      </c>
      <c r="K61" s="21" t="str">
        <f aca="false">IFERROR(INDEX(종합!K$3:K$501,MATCH(ROW()-2,종합!$AD$3:$AD$501,0))&amp;"","")</f>
        <v>www.nicezinidata.com</v>
      </c>
      <c r="L61" s="21" t="str">
        <f aca="false">IFERROR(INDEX(종합!L$3:L$501,MATCH(ROW()-2,종합!$AD$3:$AD$501,0))&amp;"","")</f>
        <v>nicezinidata.st@gmail.com</v>
      </c>
      <c r="M61" s="21" t="str">
        <f aca="false">IFERROR(INDEX(종합!M$3:M$501,MATCH(ROW()-2,종합!$AD$3:$AD$501,0))&amp;"","")</f>
        <v>서울특별시 영등포구 은행로 30, 7층(신관)</v>
      </c>
      <c r="N61" s="25" t="str">
        <f aca="false">IFERROR(INDEX(종합!N$3:N$501,MATCH(ROW()-2,종합!$AD$3:$AD$501,0))&amp;"","")</f>
        <v>상권분석 AI 챗봇 서비스, 소상공인 마케팅 AI 챗봇 서비스, 검색광고 키워드 AI 분석 솔루션, AI 학습데이터 생성/검증 솔루션</v>
      </c>
      <c r="O61" s="21" t="str">
        <f aca="false">IFERROR(INDEX(종합!O$3:O$501,MATCH(ROW()-2,종합!$AD$3:$AD$501,0))&amp;"","")</f>
        <v>송재익</v>
      </c>
      <c r="P61" s="21" t="str">
        <f aca="false">IFERROR(INDEX(종합!P$3:P$501,MATCH(ROW()-2,종합!$AD$3:$AD$501,0))&amp;"","")</f>
        <v>데이터사업본부 전략사업실</v>
      </c>
      <c r="Q61" s="21" t="str">
        <f aca="false">IFERROR(INDEX(종합!Q$3:Q$501,MATCH(ROW()-2,종합!$AD$3:$AD$501,0))&amp;"","")</f>
        <v>실장</v>
      </c>
      <c r="R61" s="21" t="str">
        <f aca="false">IFERROR(INDEX(종합!R$3:R$501,MATCH(ROW()-2,종합!$AD$3:$AD$501,0))&amp;"","")</f>
        <v>02-3215-2880</v>
      </c>
      <c r="S61" s="21" t="str">
        <f aca="false">IFERROR(INDEX(종합!S$3:S$501,MATCH(ROW()-2,종합!$AD$3:$AD$501,0))&amp;"","")</f>
        <v>lovesong@nice.co.kr</v>
      </c>
      <c r="T61" s="21" t="str">
        <f aca="false">IFERROR(INDEX(종합!T$3:T$501,MATCH(ROW()-2,종합!$AD$3:$AD$501,0))&amp;"","")</f>
        <v>010-3800-7742</v>
      </c>
      <c r="U61" s="21" t="str">
        <f aca="false">IFERROR(INDEX(종합!U$3:U$501,MATCH(ROW()-2,종합!$AD$3:$AD$501,0))&amp;"","")</f>
        <v>송재익</v>
      </c>
      <c r="V61" s="21" t="str">
        <f aca="false">IFERROR(INDEX(종합!V$3:V$501,MATCH(ROW()-2,종합!$AD$3:$AD$501,0))&amp;"","")</f>
        <v>데이터사업본부 전략사업실</v>
      </c>
      <c r="W61" s="21" t="str">
        <f aca="false">IFERROR(INDEX(종합!W$3:W$501,MATCH(ROW()-2,종합!$AD$3:$AD$501,0))&amp;"","")</f>
        <v>실장</v>
      </c>
      <c r="X61" s="21" t="str">
        <f aca="false">IFERROR(INDEX(종합!X$3:X$501,MATCH(ROW()-2,종합!$AD$3:$AD$501,0))&amp;"","")</f>
        <v>02-3215-2880</v>
      </c>
      <c r="Y61" s="21" t="str">
        <f aca="false">IFERROR(INDEX(종합!Y$3:Y$501,MATCH(ROW()-2,종합!$AD$3:$AD$501,0))&amp;"","")</f>
        <v>lovesong@nice.co.kr</v>
      </c>
      <c r="Z61" s="21" t="str">
        <f aca="false">IFERROR(INDEX(종합!Z$3:Z$501,MATCH(ROW()-2,종합!$AD$3:$AD$501,0))&amp;"","")</f>
        <v>010-3800-7742</v>
      </c>
      <c r="AA61" s="23" t="str">
        <f aca="false">IFERROR(INDEX(종합!AA$3:AA$501,MATCH(ROW()-2,종합!$AD$3:$AD$501,0))&amp;"","")</f>
        <v/>
      </c>
    </row>
    <row r="62" customFormat="false" ht="33.75" hidden="false" customHeight="true" outlineLevel="0" collapsed="false">
      <c r="A62" s="18" t="n">
        <f aca="false">IF(B62="","",ROW()-2)</f>
        <v>60</v>
      </c>
      <c r="B62" s="18" t="str">
        <f aca="false">IFERROR(INDEX(종합!B$3:B$501,MATCH(ROW()-2,종합!$AD$3:$AD$501,0))&amp;"","")</f>
        <v>올거나이즈코리아 주식회사</v>
      </c>
      <c r="C62" s="18" t="str">
        <f aca="false">IFERROR(INDEX(종합!C$3:C$501,MATCH(ROW()-2,종합!$AD$3:$AD$501,0))&amp;"","")</f>
        <v/>
      </c>
      <c r="D62" s="18" t="str">
        <f aca="false">IFERROR(INDEX(종합!D$3:D$501,MATCH(ROW()-2,종합!$AD$3:$AD$501,0))&amp;"","")</f>
        <v/>
      </c>
      <c r="E62" s="18" t="str">
        <f aca="false">IFERROR(INDEX(종합!E$3:E$501,MATCH(ROW()-2,종합!$AD$3:$AD$501,0))&amp;"","")</f>
        <v>O</v>
      </c>
      <c r="F62" s="18" t="str">
        <f aca="false">IFERROR(INDEX(종합!F$3:F$501,MATCH(ROW()-2,종합!$AD$3:$AD$501,0))&amp;"","")</f>
        <v/>
      </c>
      <c r="G62" s="18" t="str">
        <f aca="false">IFERROR(INDEX(종합!G$3:G$501,MATCH(ROW()-2,종합!$AD$3:$AD$501,0))&amp;"","")</f>
        <v>중소기업</v>
      </c>
      <c r="H62" s="21" t="str">
        <f aca="false">IFERROR(INDEX(종합!H$3:H$501,MATCH(ROW()-2,종합!$AD$3:$AD$501,0))&amp;"","")</f>
        <v>733-81-01035</v>
      </c>
      <c r="I62" s="21" t="str">
        <f aca="false">IFERROR(INDEX(종합!I$3:I$501,MATCH(ROW()-2,종합!$AD$3:$AD$501,0))&amp;"","")</f>
        <v>이창수</v>
      </c>
      <c r="J62" s="21" t="str">
        <f aca="false">IFERROR(INDEX(종합!J$3:J$501,MATCH(ROW()-2,종합!$AD$3:$AD$501,0))&amp;"","")</f>
        <v>02-561-0103</v>
      </c>
      <c r="K62" s="21" t="str">
        <f aca="false">IFERROR(INDEX(종합!K$3:K$501,MATCH(ROW()-2,종합!$AD$3:$AD$501,0))&amp;"","")</f>
        <v>https://www.allganize.ai/ko/home</v>
      </c>
      <c r="L62" s="21" t="str">
        <f aca="false">IFERROR(INDEX(종합!L$3:L$501,MATCH(ROW()-2,종합!$AD$3:$AD$501,0))&amp;"","")</f>
        <v>wonkang.lee@allganize.io</v>
      </c>
      <c r="M62" s="21" t="str">
        <f aca="false">IFERROR(INDEX(종합!M$3:M$501,MATCH(ROW()-2,종합!$AD$3:$AD$501,0))&amp;"","")</f>
        <v>서울시 강남구 테헤란로20길 5, 4층, 5층(역삼동, 양화타워)</v>
      </c>
      <c r="N62" s="25" t="str">
        <f aca="false">IFERROR(INDEX(종합!N$3:N$501,MATCH(ROW()-2,종합!$AD$3:$AD$501,0))&amp;"","")</f>
        <v>업무용 올인원 LLM 플랫폼 솔루션(알리, Alli) / MCP 기반 AI Agent 빌더</v>
      </c>
      <c r="O62" s="21" t="str">
        <f aca="false">IFERROR(INDEX(종합!O$3:O$501,MATCH(ROW()-2,종합!$AD$3:$AD$501,0))&amp;"","")</f>
        <v>이원강</v>
      </c>
      <c r="P62" s="21" t="str">
        <f aca="false">IFERROR(INDEX(종합!P$3:P$501,MATCH(ROW()-2,종합!$AD$3:$AD$501,0))&amp;"","")</f>
        <v>전략경영실</v>
      </c>
      <c r="Q62" s="21" t="str">
        <f aca="false">IFERROR(INDEX(종합!Q$3:Q$501,MATCH(ROW()-2,종합!$AD$3:$AD$501,0))&amp;"","")</f>
        <v>부대표</v>
      </c>
      <c r="R62" s="21" t="str">
        <f aca="false">IFERROR(INDEX(종합!R$3:R$501,MATCH(ROW()-2,종합!$AD$3:$AD$501,0))&amp;"","")</f>
        <v>010-4873-6760</v>
      </c>
      <c r="S62" s="21" t="str">
        <f aca="false">IFERROR(INDEX(종합!S$3:S$501,MATCH(ROW()-2,종합!$AD$3:$AD$501,0))&amp;"","")</f>
        <v>wonkang.lee@allganize.ai</v>
      </c>
      <c r="T62" s="21" t="str">
        <f aca="false">IFERROR(INDEX(종합!T$3:T$501,MATCH(ROW()-2,종합!$AD$3:$AD$501,0))&amp;"","")</f>
        <v>010-4873-6760</v>
      </c>
      <c r="U62" s="21" t="str">
        <f aca="false">IFERROR(INDEX(종합!U$3:U$501,MATCH(ROW()-2,종합!$AD$3:$AD$501,0))&amp;"","")</f>
        <v>이원강</v>
      </c>
      <c r="V62" s="21" t="str">
        <f aca="false">IFERROR(INDEX(종합!V$3:V$501,MATCH(ROW()-2,종합!$AD$3:$AD$501,0))&amp;"","")</f>
        <v>전략경영실</v>
      </c>
      <c r="W62" s="21" t="str">
        <f aca="false">IFERROR(INDEX(종합!W$3:W$501,MATCH(ROW()-2,종합!$AD$3:$AD$501,0))&amp;"","")</f>
        <v>부대표</v>
      </c>
      <c r="X62" s="21" t="str">
        <f aca="false">IFERROR(INDEX(종합!X$3:X$501,MATCH(ROW()-2,종합!$AD$3:$AD$501,0))&amp;"","")</f>
        <v>010-4873-6760</v>
      </c>
      <c r="Y62" s="21" t="str">
        <f aca="false">IFERROR(INDEX(종합!Y$3:Y$501,MATCH(ROW()-2,종합!$AD$3:$AD$501,0))&amp;"","")</f>
        <v>wonkang.lee@allganize.ai</v>
      </c>
      <c r="Z62" s="21" t="str">
        <f aca="false">IFERROR(INDEX(종합!Z$3:Z$501,MATCH(ROW()-2,종합!$AD$3:$AD$501,0))&amp;"","")</f>
        <v>010-4873-6760</v>
      </c>
      <c r="AA62" s="23" t="str">
        <f aca="false">IFERROR(INDEX(종합!AA$3:AA$501,MATCH(ROW()-2,종합!$AD$3:$AD$501,0))&amp;"","")</f>
        <v/>
      </c>
    </row>
    <row r="63" customFormat="false" ht="33.75" hidden="false" customHeight="true" outlineLevel="0" collapsed="false">
      <c r="A63" s="18" t="n">
        <f aca="false">IF(B63="","",ROW()-2)</f>
        <v>61</v>
      </c>
      <c r="B63" s="18" t="str">
        <f aca="false">IFERROR(INDEX(종합!B$3:B$501,MATCH(ROW()-2,종합!$AD$3:$AD$501,0))&amp;"","")</f>
        <v>카카오</v>
      </c>
      <c r="C63" s="18" t="str">
        <f aca="false">IFERROR(INDEX(종합!C$3:C$501,MATCH(ROW()-2,종합!$AD$3:$AD$501,0))&amp;"","")</f>
        <v/>
      </c>
      <c r="D63" s="18" t="str">
        <f aca="false">IFERROR(INDEX(종합!D$3:D$501,MATCH(ROW()-2,종합!$AD$3:$AD$501,0))&amp;"","")</f>
        <v/>
      </c>
      <c r="E63" s="18" t="str">
        <f aca="false">IFERROR(INDEX(종합!E$3:E$501,MATCH(ROW()-2,종합!$AD$3:$AD$501,0))&amp;"","")</f>
        <v>O</v>
      </c>
      <c r="F63" s="18" t="str">
        <f aca="false">IFERROR(INDEX(종합!F$3:F$501,MATCH(ROW()-2,종합!$AD$3:$AD$501,0))&amp;"","")</f>
        <v/>
      </c>
      <c r="G63" s="18" t="str">
        <f aca="false">IFERROR(INDEX(종합!G$3:G$501,MATCH(ROW()-2,종합!$AD$3:$AD$501,0))&amp;"","")</f>
        <v>대기업</v>
      </c>
      <c r="H63" s="21" t="str">
        <f aca="false">IFERROR(INDEX(종합!H$3:H$501,MATCH(ROW()-2,종합!$AD$3:$AD$501,0))&amp;"","")</f>
        <v/>
      </c>
      <c r="I63" s="21" t="str">
        <f aca="false">IFERROR(INDEX(종합!I$3:I$501,MATCH(ROW()-2,종합!$AD$3:$AD$501,0))&amp;"","")</f>
        <v/>
      </c>
      <c r="J63" s="21" t="str">
        <f aca="false">IFERROR(INDEX(종합!J$3:J$501,MATCH(ROW()-2,종합!$AD$3:$AD$501,0))&amp;"","")</f>
        <v/>
      </c>
      <c r="K63" s="21" t="str">
        <f aca="false">IFERROR(INDEX(종합!K$3:K$501,MATCH(ROW()-2,종합!$AD$3:$AD$501,0))&amp;"","")</f>
        <v/>
      </c>
      <c r="L63" s="21" t="str">
        <f aca="false">IFERROR(INDEX(종합!L$3:L$501,MATCH(ROW()-2,종합!$AD$3:$AD$501,0))&amp;"","")</f>
        <v/>
      </c>
      <c r="M63" s="21" t="str">
        <f aca="false">IFERROR(INDEX(종합!M$3:M$501,MATCH(ROW()-2,종합!$AD$3:$AD$501,0))&amp;"","")</f>
        <v/>
      </c>
      <c r="N63" s="25" t="str">
        <f aca="false">IFERROR(INDEX(종합!N$3:N$501,MATCH(ROW()-2,종합!$AD$3:$AD$501,0))&amp;"","")</f>
        <v/>
      </c>
      <c r="O63" s="21" t="str">
        <f aca="false">IFERROR(INDEX(종합!O$3:O$501,MATCH(ROW()-2,종합!$AD$3:$AD$501,0))&amp;"","")</f>
        <v/>
      </c>
      <c r="P63" s="21" t="str">
        <f aca="false">IFERROR(INDEX(종합!P$3:P$501,MATCH(ROW()-2,종합!$AD$3:$AD$501,0))&amp;"","")</f>
        <v/>
      </c>
      <c r="Q63" s="21" t="str">
        <f aca="false">IFERROR(INDEX(종합!Q$3:Q$501,MATCH(ROW()-2,종합!$AD$3:$AD$501,0))&amp;"","")</f>
        <v/>
      </c>
      <c r="R63" s="21" t="str">
        <f aca="false">IFERROR(INDEX(종합!R$3:R$501,MATCH(ROW()-2,종합!$AD$3:$AD$501,0))&amp;"","")</f>
        <v/>
      </c>
      <c r="S63" s="21" t="str">
        <f aca="false">IFERROR(INDEX(종합!S$3:S$501,MATCH(ROW()-2,종합!$AD$3:$AD$501,0))&amp;"","")</f>
        <v/>
      </c>
      <c r="T63" s="21" t="str">
        <f aca="false">IFERROR(INDEX(종합!T$3:T$501,MATCH(ROW()-2,종합!$AD$3:$AD$501,0))&amp;"","")</f>
        <v/>
      </c>
      <c r="U63" s="21" t="str">
        <f aca="false">IFERROR(INDEX(종합!U$3:U$501,MATCH(ROW()-2,종합!$AD$3:$AD$501,0))&amp;"","")</f>
        <v/>
      </c>
      <c r="V63" s="21" t="str">
        <f aca="false">IFERROR(INDEX(종합!V$3:V$501,MATCH(ROW()-2,종합!$AD$3:$AD$501,0))&amp;"","")</f>
        <v/>
      </c>
      <c r="W63" s="21" t="str">
        <f aca="false">IFERROR(INDEX(종합!W$3:W$501,MATCH(ROW()-2,종합!$AD$3:$AD$501,0))&amp;"","")</f>
        <v/>
      </c>
      <c r="X63" s="21" t="str">
        <f aca="false">IFERROR(INDEX(종합!X$3:X$501,MATCH(ROW()-2,종합!$AD$3:$AD$501,0))&amp;"","")</f>
        <v/>
      </c>
      <c r="Y63" s="21" t="str">
        <f aca="false">IFERROR(INDEX(종합!Y$3:Y$501,MATCH(ROW()-2,종합!$AD$3:$AD$501,0))&amp;"","")</f>
        <v/>
      </c>
      <c r="Z63" s="21" t="str">
        <f aca="false">IFERROR(INDEX(종합!Z$3:Z$501,MATCH(ROW()-2,종합!$AD$3:$AD$501,0))&amp;"","")</f>
        <v/>
      </c>
      <c r="AA63" s="23" t="str">
        <f aca="false">IFERROR(INDEX(종합!AA$3:AA$501,MATCH(ROW()-2,종합!$AD$3:$AD$501,0))&amp;"","")</f>
        <v/>
      </c>
    </row>
    <row r="64" customFormat="false" ht="22.5" hidden="false" customHeight="true" outlineLevel="0" collapsed="false">
      <c r="A64" s="18" t="n">
        <f aca="false">IF(B64="","",ROW()-2)</f>
        <v>62</v>
      </c>
      <c r="B64" s="18" t="str">
        <f aca="false">IFERROR(INDEX(종합!B$3:B$501,MATCH(ROW()-2,종합!$AD$3:$AD$501,0))&amp;"","")</f>
        <v>(주)바이브컴퍼니</v>
      </c>
      <c r="C64" s="18" t="str">
        <f aca="false">IFERROR(INDEX(종합!C$3:C$501,MATCH(ROW()-2,종합!$AD$3:$AD$501,0))&amp;"","")</f>
        <v/>
      </c>
      <c r="D64" s="18" t="str">
        <f aca="false">IFERROR(INDEX(종합!D$3:D$501,MATCH(ROW()-2,종합!$AD$3:$AD$501,0))&amp;"","")</f>
        <v>O</v>
      </c>
      <c r="E64" s="18" t="str">
        <f aca="false">IFERROR(INDEX(종합!E$3:E$501,MATCH(ROW()-2,종합!$AD$3:$AD$501,0))&amp;"","")</f>
        <v>O</v>
      </c>
      <c r="F64" s="18" t="str">
        <f aca="false">IFERROR(INDEX(종합!F$3:F$501,MATCH(ROW()-2,종합!$AD$3:$AD$501,0))&amp;"","")</f>
        <v/>
      </c>
      <c r="G64" s="18" t="str">
        <f aca="false">IFERROR(INDEX(종합!G$3:G$501,MATCH(ROW()-2,종합!$AD$3:$AD$501,0))&amp;"","")</f>
        <v>중소기업</v>
      </c>
      <c r="H64" s="21" t="str">
        <f aca="false">IFERROR(INDEX(종합!H$3:H$501,MATCH(ROW()-2,종합!$AD$3:$AD$501,0))&amp;"","")</f>
        <v>120-86-08334</v>
      </c>
      <c r="I64" s="21" t="str">
        <f aca="false">IFERROR(INDEX(종합!I$3:I$501,MATCH(ROW()-2,종합!$AD$3:$AD$501,0))&amp;"","")</f>
        <v>김경서</v>
      </c>
      <c r="J64" s="21" t="str">
        <f aca="false">IFERROR(INDEX(종합!J$3:J$501,MATCH(ROW()-2,종합!$AD$3:$AD$501,0))&amp;"","")</f>
        <v>02-565-0531</v>
      </c>
      <c r="K64" s="21" t="str">
        <f aca="false">IFERROR(INDEX(종합!K$3:K$501,MATCH(ROW()-2,종합!$AD$3:$AD$501,0))&amp;"","")</f>
        <v>https://www.vaiv.kr/</v>
      </c>
      <c r="L64" s="21" t="str">
        <f aca="false">IFERROR(INDEX(종합!L$3:L$501,MATCH(ROW()-2,종합!$AD$3:$AD$501,0))&amp;"","")</f>
        <v/>
      </c>
      <c r="M64" s="21" t="str">
        <f aca="false">IFERROR(INDEX(종합!M$3:M$501,MATCH(ROW()-2,종합!$AD$3:$AD$501,0))&amp;"","")</f>
        <v>서울특별시 용산구 독서당로 97</v>
      </c>
      <c r="N64" s="25" t="str">
        <f aca="false">IFERROR(INDEX(종합!N$3:N$501,MATCH(ROW()-2,종합!$AD$3:$AD$501,0))&amp;"","")</f>
        <v>MCP 서버 개발, AI agent 빌더, AI 검색, AI 챗봇, AI KMS 등 다수 보유</v>
      </c>
      <c r="O64" s="21" t="str">
        <f aca="false">IFERROR(INDEX(종합!O$3:O$501,MATCH(ROW()-2,종합!$AD$3:$AD$501,0))&amp;"","")</f>
        <v>이호</v>
      </c>
      <c r="P64" s="21" t="str">
        <f aca="false">IFERROR(INDEX(종합!P$3:P$501,MATCH(ROW()-2,종합!$AD$3:$AD$501,0))&amp;"","")</f>
        <v>AI데이터부문</v>
      </c>
      <c r="Q64" s="21" t="str">
        <f aca="false">IFERROR(INDEX(종합!Q$3:Q$501,MATCH(ROW()-2,종합!$AD$3:$AD$501,0))&amp;"","")</f>
        <v>전무/부문장</v>
      </c>
      <c r="R64" s="21" t="str">
        <f aca="false">IFERROR(INDEX(종합!R$3:R$501,MATCH(ROW()-2,종합!$AD$3:$AD$501,0))&amp;"","")</f>
        <v>02-565-0531</v>
      </c>
      <c r="S64" s="21" t="str">
        <f aca="false">IFERROR(INDEX(종합!S$3:S$501,MATCH(ROW()-2,종합!$AD$3:$AD$501,0))&amp;"","")</f>
        <v>leeho@vaiv.kr</v>
      </c>
      <c r="T64" s="21" t="str">
        <f aca="false">IFERROR(INDEX(종합!T$3:T$501,MATCH(ROW()-2,종합!$AD$3:$AD$501,0))&amp;"","")</f>
        <v>010-2765-9771</v>
      </c>
      <c r="U64" s="21" t="str">
        <f aca="false">IFERROR(INDEX(종합!U$3:U$501,MATCH(ROW()-2,종합!$AD$3:$AD$501,0))&amp;"","")</f>
        <v>이호</v>
      </c>
      <c r="V64" s="21" t="str">
        <f aca="false">IFERROR(INDEX(종합!V$3:V$501,MATCH(ROW()-2,종합!$AD$3:$AD$501,0))&amp;"","")</f>
        <v>AI데이터부문</v>
      </c>
      <c r="W64" s="21" t="str">
        <f aca="false">IFERROR(INDEX(종합!W$3:W$501,MATCH(ROW()-2,종합!$AD$3:$AD$501,0))&amp;"","")</f>
        <v>전무/부문장</v>
      </c>
      <c r="X64" s="21" t="str">
        <f aca="false">IFERROR(INDEX(종합!X$3:X$501,MATCH(ROW()-2,종합!$AD$3:$AD$501,0))&amp;"","")</f>
        <v>02-565-0531</v>
      </c>
      <c r="Y64" s="21" t="str">
        <f aca="false">IFERROR(INDEX(종합!Y$3:Y$501,MATCH(ROW()-2,종합!$AD$3:$AD$501,0))&amp;"","")</f>
        <v>leeho@vaiv.kr</v>
      </c>
      <c r="Z64" s="21" t="str">
        <f aca="false">IFERROR(INDEX(종합!Z$3:Z$501,MATCH(ROW()-2,종합!$AD$3:$AD$501,0))&amp;"","")</f>
        <v>010-2765-9771</v>
      </c>
      <c r="AA64" s="23" t="str">
        <f aca="false">IFERROR(INDEX(종합!AA$3:AA$501,MATCH(ROW()-2,종합!$AD$3:$AD$501,0))&amp;"","")</f>
        <v/>
      </c>
    </row>
    <row r="65" customFormat="false" ht="22.5" hidden="false" customHeight="true" outlineLevel="0" collapsed="false">
      <c r="A65" s="18" t="n">
        <f aca="false">IF(B65="","",ROW()-2)</f>
        <v>63</v>
      </c>
      <c r="B65" s="18" t="str">
        <f aca="false">IFERROR(INDEX(종합!B$3:B$501,MATCH(ROW()-2,종합!$AD$3:$AD$501,0))&amp;"","")</f>
        <v>메가존(주)</v>
      </c>
      <c r="C65" s="18" t="str">
        <f aca="false">IFERROR(INDEX(종합!C$3:C$501,MATCH(ROW()-2,종합!$AD$3:$AD$501,0))&amp;"","")</f>
        <v/>
      </c>
      <c r="D65" s="18" t="str">
        <f aca="false">IFERROR(INDEX(종합!D$3:D$501,MATCH(ROW()-2,종합!$AD$3:$AD$501,0))&amp;"","")</f>
        <v/>
      </c>
      <c r="E65" s="18" t="str">
        <f aca="false">IFERROR(INDEX(종합!E$3:E$501,MATCH(ROW()-2,종합!$AD$3:$AD$501,0))&amp;"","")</f>
        <v>O</v>
      </c>
      <c r="F65" s="18" t="str">
        <f aca="false">IFERROR(INDEX(종합!F$3:F$501,MATCH(ROW()-2,종합!$AD$3:$AD$501,0))&amp;"","")</f>
        <v/>
      </c>
      <c r="G65" s="18" t="str">
        <f aca="false">IFERROR(INDEX(종합!G$3:G$501,MATCH(ROW()-2,종합!$AD$3:$AD$501,0))&amp;"","")</f>
        <v>중견기업</v>
      </c>
      <c r="H65" s="21" t="str">
        <f aca="false">IFERROR(INDEX(종합!H$3:H$501,MATCH(ROW()-2,종합!$AD$3:$AD$501,0))&amp;"","")</f>
        <v>214-86-79342</v>
      </c>
      <c r="I65" s="21" t="str">
        <f aca="false">IFERROR(INDEX(종합!I$3:I$501,MATCH(ROW()-2,종합!$AD$3:$AD$501,0))&amp;"","")</f>
        <v>장지황</v>
      </c>
      <c r="J65" s="21" t="str">
        <f aca="false">IFERROR(INDEX(종합!J$3:J$501,MATCH(ROW()-2,종합!$AD$3:$AD$501,0))&amp;"","")</f>
        <v>02-2109-2500</v>
      </c>
      <c r="K65" s="21" t="str">
        <f aca="false">IFERROR(INDEX(종합!K$3:K$501,MATCH(ROW()-2,종합!$AD$3:$AD$501,0))&amp;"","")</f>
        <v>https://megazone.digital/</v>
      </c>
      <c r="L65" s="21" t="str">
        <f aca="false">IFERROR(INDEX(종합!L$3:L$501,MATCH(ROW()-2,종합!$AD$3:$AD$501,0))&amp;"","")</f>
        <v/>
      </c>
      <c r="M65" s="21" t="str">
        <f aca="false">IFERROR(INDEX(종합!M$3:M$501,MATCH(ROW()-2,종합!$AD$3:$AD$501,0))&amp;"","")</f>
        <v>서울시 강남구 논현로 85길 46, 10층</v>
      </c>
      <c r="N65" s="25" t="str">
        <f aca="false">IFERROR(INDEX(종합!N$3:N$501,MATCH(ROW()-2,종합!$AD$3:$AD$501,0))&amp;"","")</f>
        <v>AX/DX, Agentic AI, AI Governance</v>
      </c>
      <c r="O65" s="21" t="str">
        <f aca="false">IFERROR(INDEX(종합!O$3:O$501,MATCH(ROW()-2,종합!$AD$3:$AD$501,0))&amp;"","")</f>
        <v>이정미</v>
      </c>
      <c r="P65" s="21" t="str">
        <f aca="false">IFERROR(INDEX(종합!P$3:P$501,MATCH(ROW()-2,종합!$AD$3:$AD$501,0))&amp;"","")</f>
        <v>공공DX센터</v>
      </c>
      <c r="Q65" s="21" t="str">
        <f aca="false">IFERROR(INDEX(종합!Q$3:Q$501,MATCH(ROW()-2,종합!$AD$3:$AD$501,0))&amp;"","")</f>
        <v>상무</v>
      </c>
      <c r="R65" s="21" t="str">
        <f aca="false">IFERROR(INDEX(종합!R$3:R$501,MATCH(ROW()-2,종합!$AD$3:$AD$501,0))&amp;"","")</f>
        <v>010-2259-4099</v>
      </c>
      <c r="S65" s="21" t="str">
        <f aca="false">IFERROR(INDEX(종합!S$3:S$501,MATCH(ROW()-2,종합!$AD$3:$AD$501,0))&amp;"","")</f>
        <v>jungmi.lee@mz.co.kr</v>
      </c>
      <c r="T65" s="21" t="str">
        <f aca="false">IFERROR(INDEX(종합!T$3:T$501,MATCH(ROW()-2,종합!$AD$3:$AD$501,0))&amp;"","")</f>
        <v>010-2259-4099</v>
      </c>
      <c r="U65" s="21" t="str">
        <f aca="false">IFERROR(INDEX(종합!U$3:U$501,MATCH(ROW()-2,종합!$AD$3:$AD$501,0))&amp;"","")</f>
        <v>이정미</v>
      </c>
      <c r="V65" s="21" t="str">
        <f aca="false">IFERROR(INDEX(종합!V$3:V$501,MATCH(ROW()-2,종합!$AD$3:$AD$501,0))&amp;"","")</f>
        <v>공공DX센터</v>
      </c>
      <c r="W65" s="21" t="str">
        <f aca="false">IFERROR(INDEX(종합!W$3:W$501,MATCH(ROW()-2,종합!$AD$3:$AD$501,0))&amp;"","")</f>
        <v>상무</v>
      </c>
      <c r="X65" s="21" t="str">
        <f aca="false">IFERROR(INDEX(종합!X$3:X$501,MATCH(ROW()-2,종합!$AD$3:$AD$501,0))&amp;"","")</f>
        <v>010-2259-4099</v>
      </c>
      <c r="Y65" s="21" t="str">
        <f aca="false">IFERROR(INDEX(종합!Y$3:Y$501,MATCH(ROW()-2,종합!$AD$3:$AD$501,0))&amp;"","")</f>
        <v>jungmi.lee@mz.co.kr</v>
      </c>
      <c r="Z65" s="21" t="str">
        <f aca="false">IFERROR(INDEX(종합!Z$3:Z$501,MATCH(ROW()-2,종합!$AD$3:$AD$501,0))&amp;"","")</f>
        <v>010-2259-4099</v>
      </c>
      <c r="AA65" s="23" t="str">
        <f aca="false">IFERROR(INDEX(종합!AA$3:AA$501,MATCH(ROW()-2,종합!$AD$3:$AD$501,0))&amp;"","")</f>
        <v/>
      </c>
    </row>
    <row r="66" customFormat="false" ht="22.5" hidden="false" customHeight="true" outlineLevel="0" collapsed="false">
      <c r="A66" s="18" t="n">
        <f aca="false">IF(B66="","",ROW()-2)</f>
        <v>64</v>
      </c>
      <c r="B66" s="18" t="str">
        <f aca="false">IFERROR(INDEX(종합!B$3:B$501,MATCH(ROW()-2,종합!$AD$3:$AD$501,0))&amp;"","")</f>
        <v>주식회사 큐빅</v>
      </c>
      <c r="C66" s="18" t="str">
        <f aca="false">IFERROR(INDEX(종합!C$3:C$501,MATCH(ROW()-2,종합!$AD$3:$AD$501,0))&amp;"","")</f>
        <v/>
      </c>
      <c r="D66" s="18" t="str">
        <f aca="false">IFERROR(INDEX(종합!D$3:D$501,MATCH(ROW()-2,종합!$AD$3:$AD$501,0))&amp;"","")</f>
        <v/>
      </c>
      <c r="E66" s="18" t="str">
        <f aca="false">IFERROR(INDEX(종합!E$3:E$501,MATCH(ROW()-2,종합!$AD$3:$AD$501,0))&amp;"","")</f>
        <v>O</v>
      </c>
      <c r="F66" s="18" t="str">
        <f aca="false">IFERROR(INDEX(종합!F$3:F$501,MATCH(ROW()-2,종합!$AD$3:$AD$501,0))&amp;"","")</f>
        <v/>
      </c>
      <c r="G66" s="18" t="str">
        <f aca="false">IFERROR(INDEX(종합!G$3:G$501,MATCH(ROW()-2,종합!$AD$3:$AD$501,0))&amp;"","")</f>
        <v>중소기업</v>
      </c>
      <c r="H66" s="21" t="str">
        <f aca="false">IFERROR(INDEX(종합!H$3:H$501,MATCH(ROW()-2,종합!$AD$3:$AD$501,0))&amp;"","")</f>
        <v>133-81-45679</v>
      </c>
      <c r="I66" s="21" t="str">
        <f aca="false">IFERROR(INDEX(종합!I$3:I$501,MATCH(ROW()-2,종합!$AD$3:$AD$501,0))&amp;"","")</f>
        <v>배호, 정민찬</v>
      </c>
      <c r="J66" s="21" t="str">
        <f aca="false">IFERROR(INDEX(종합!J$3:J$501,MATCH(ROW()-2,종합!$AD$3:$AD$501,0))&amp;"","")</f>
        <v>02-582-1113</v>
      </c>
      <c r="K66" s="21" t="str">
        <f aca="false">IFERROR(INDEX(종합!K$3:K$501,MATCH(ROW()-2,종합!$AD$3:$AD$501,0))&amp;"","")</f>
        <v>www.cubig.ai</v>
      </c>
      <c r="L66" s="21" t="str">
        <f aca="false">IFERROR(INDEX(종합!L$3:L$501,MATCH(ROW()-2,종합!$AD$3:$AD$501,0))&amp;"","")</f>
        <v>ssun@cubig.ai</v>
      </c>
      <c r="M66" s="21" t="str">
        <f aca="false">IFERROR(INDEX(종합!M$3:M$501,MATCH(ROW()-2,종합!$AD$3:$AD$501,0))&amp;"","")</f>
        <v>경기도 성남시 분당구 정자일로 95 (정자동)경 4층</v>
      </c>
      <c r="N66" s="25" t="str">
        <f aca="false">IFERROR(INDEX(종합!N$3:N$501,MATCH(ROW()-2,종합!$AD$3:$AD$501,0))&amp;"","")</f>
        <v>AI-Ready 데이터 구축을 위한 데이터 분석·검증·가공 및 합성데이터 생성·평가기술과 개인정보 보호 기반 데이터 결합 기술을 보유하고, Agent 기반 AI 활용을 위한 데이터 처리·운영 솔루션을 제공함. 차등 개인정보보호(DP) 및 PET 기반 보안 기술을 바탕으로 비정형·시계열 데이터의 공공·산업 분야 AI 적용을 지원함.</v>
      </c>
      <c r="O66" s="21" t="str">
        <f aca="false">IFERROR(INDEX(종합!O$3:O$501,MATCH(ROW()-2,종합!$AD$3:$AD$501,0))&amp;"","")</f>
        <v>배호</v>
      </c>
      <c r="P66" s="21" t="str">
        <f aca="false">IFERROR(INDEX(종합!P$3:P$501,MATCH(ROW()-2,종합!$AD$3:$AD$501,0))&amp;"","")</f>
        <v>총괄</v>
      </c>
      <c r="Q66" s="21" t="str">
        <f aca="false">IFERROR(INDEX(종합!Q$3:Q$501,MATCH(ROW()-2,종합!$AD$3:$AD$501,0))&amp;"","")</f>
        <v>대표</v>
      </c>
      <c r="R66" s="21" t="str">
        <f aca="false">IFERROR(INDEX(종합!R$3:R$501,MATCH(ROW()-2,종합!$AD$3:$AD$501,0))&amp;"","")</f>
        <v>02-582-1113</v>
      </c>
      <c r="S66" s="21" t="str">
        <f aca="false">IFERROR(INDEX(종합!S$3:S$501,MATCH(ROW()-2,종합!$AD$3:$AD$501,0))&amp;"","")</f>
        <v>hobae@cubig.ai</v>
      </c>
      <c r="T66" s="21" t="str">
        <f aca="false">IFERROR(INDEX(종합!T$3:T$501,MATCH(ROW()-2,종합!$AD$3:$AD$501,0))&amp;"","")</f>
        <v>010-3779-2921</v>
      </c>
      <c r="U66" s="21" t="str">
        <f aca="false">IFERROR(INDEX(종합!U$3:U$501,MATCH(ROW()-2,종합!$AD$3:$AD$501,0))&amp;"","")</f>
        <v>신대우</v>
      </c>
      <c r="V66" s="21" t="str">
        <f aca="false">IFERROR(INDEX(종합!V$3:V$501,MATCH(ROW()-2,종합!$AD$3:$AD$501,0))&amp;"","")</f>
        <v>국내사업팀 </v>
      </c>
      <c r="W66" s="21" t="str">
        <f aca="false">IFERROR(INDEX(종합!W$3:W$501,MATCH(ROW()-2,종합!$AD$3:$AD$501,0))&amp;"","")</f>
        <v>팀장</v>
      </c>
      <c r="X66" s="21" t="str">
        <f aca="false">IFERROR(INDEX(종합!X$3:X$501,MATCH(ROW()-2,종합!$AD$3:$AD$501,0))&amp;"","")</f>
        <v>02-582-1113</v>
      </c>
      <c r="Y66" s="21" t="str">
        <f aca="false">IFERROR(INDEX(종합!Y$3:Y$501,MATCH(ROW()-2,종합!$AD$3:$AD$501,0))&amp;"","")</f>
        <v>dwshin@cubig.ai</v>
      </c>
      <c r="Z66" s="21" t="str">
        <f aca="false">IFERROR(INDEX(종합!Z$3:Z$501,MATCH(ROW()-2,종합!$AD$3:$AD$501,0))&amp;"","")</f>
        <v>010-7488-0021</v>
      </c>
      <c r="AA66" s="23" t="str">
        <f aca="false">IFERROR(INDEX(종합!AA$3:AA$501,MATCH(ROW()-2,종합!$AD$3:$AD$501,0))&amp;"","")</f>
        <v/>
      </c>
    </row>
    <row r="67" customFormat="false" ht="33.75" hidden="false" customHeight="true" outlineLevel="0" collapsed="false">
      <c r="A67" s="18" t="n">
        <f aca="false">IF(B67="","",ROW()-2)</f>
        <v>65</v>
      </c>
      <c r="B67" s="18" t="str">
        <f aca="false">IFERROR(INDEX(종합!B$3:B$501,MATCH(ROW()-2,종합!$AD$3:$AD$501,0))&amp;"","")</f>
        <v>사단법인 한국AI스마트홈산업협회</v>
      </c>
      <c r="C67" s="18" t="str">
        <f aca="false">IFERROR(INDEX(종합!C$3:C$501,MATCH(ROW()-2,종합!$AD$3:$AD$501,0))&amp;"","")</f>
        <v>O</v>
      </c>
      <c r="D67" s="18" t="str">
        <f aca="false">IFERROR(INDEX(종합!D$3:D$501,MATCH(ROW()-2,종합!$AD$3:$AD$501,0))&amp;"","")</f>
        <v/>
      </c>
      <c r="E67" s="18" t="str">
        <f aca="false">IFERROR(INDEX(종합!E$3:E$501,MATCH(ROW()-2,종합!$AD$3:$AD$501,0))&amp;"","")</f>
        <v>O</v>
      </c>
      <c r="F67" s="18" t="str">
        <f aca="false">IFERROR(INDEX(종합!F$3:F$501,MATCH(ROW()-2,종합!$AD$3:$AD$501,0))&amp;"","")</f>
        <v/>
      </c>
      <c r="G67" s="18" t="str">
        <f aca="false">IFERROR(INDEX(종합!G$3:G$501,MATCH(ROW()-2,종합!$AD$3:$AD$501,0))&amp;"","")</f>
        <v>협회·단체</v>
      </c>
      <c r="H67" s="21" t="str">
        <f aca="false">IFERROR(INDEX(종합!H$3:H$501,MATCH(ROW()-2,종합!$AD$3:$AD$501,0))&amp;"","")</f>
        <v>114-82-07778</v>
      </c>
      <c r="I67" s="21" t="str">
        <f aca="false">IFERROR(INDEX(종합!I$3:I$501,MATCH(ROW()-2,종합!$AD$3:$AD$501,0))&amp;"","")</f>
        <v>최승범</v>
      </c>
      <c r="J67" s="21" t="str">
        <f aca="false">IFERROR(INDEX(종합!J$3:J$501,MATCH(ROW()-2,종합!$AD$3:$AD$501,0))&amp;"","")</f>
        <v>070-8233-3403</v>
      </c>
      <c r="K67" s="21" t="str">
        <f aca="false">IFERROR(INDEX(종합!K$3:K$501,MATCH(ROW()-2,종합!$AD$3:$AD$501,0))&amp;"","")</f>
        <v>www.kashi.or.kr</v>
      </c>
      <c r="L67" s="21" t="str">
        <f aca="false">IFERROR(INDEX(종합!L$3:L$501,MATCH(ROW()-2,종합!$AD$3:$AD$501,0))&amp;"","")</f>
        <v/>
      </c>
      <c r="M67" s="21" t="str">
        <f aca="false">IFERROR(INDEX(종합!M$3:M$501,MATCH(ROW()-2,종합!$AD$3:$AD$501,0))&amp;"","")</f>
        <v>서울시 금천구 가산디지털2로98, 2동 710호</v>
      </c>
      <c r="N67" s="25" t="str">
        <f aca="false">IFERROR(INDEX(종합!N$3:N$501,MATCH(ROW()-2,종합!$AD$3:$AD$501,0))&amp;"","")</f>
        <v>홈 내 허브, 단지서버, 클라우드를 이용한 외부 서비스망(에너지, 헬스케어, 쇼핑, 시티등) 접속</v>
      </c>
      <c r="O67" s="21" t="str">
        <f aca="false">IFERROR(INDEX(종합!O$3:O$501,MATCH(ROW()-2,종합!$AD$3:$AD$501,0))&amp;"","")</f>
        <v>최상만</v>
      </c>
      <c r="P67" s="21" t="str">
        <f aca="false">IFERROR(INDEX(종합!P$3:P$501,MATCH(ROW()-2,종합!$AD$3:$AD$501,0))&amp;"","")</f>
        <v>경영기획본부</v>
      </c>
      <c r="Q67" s="21" t="str">
        <f aca="false">IFERROR(INDEX(종합!Q$3:Q$501,MATCH(ROW()-2,종합!$AD$3:$AD$501,0))&amp;"","")</f>
        <v>본부장</v>
      </c>
      <c r="R67" s="21" t="str">
        <f aca="false">IFERROR(INDEX(종합!R$3:R$501,MATCH(ROW()-2,종합!$AD$3:$AD$501,0))&amp;"","")</f>
        <v>070-8233-3410</v>
      </c>
      <c r="S67" s="21" t="str">
        <f aca="false">IFERROR(INDEX(종합!S$3:S$501,MATCH(ROW()-2,종합!$AD$3:$AD$501,0))&amp;"","")</f>
        <v>smc@kashi.or.kr</v>
      </c>
      <c r="T67" s="21" t="str">
        <f aca="false">IFERROR(INDEX(종합!T$3:T$501,MATCH(ROW()-2,종합!$AD$3:$AD$501,0))&amp;"","")</f>
        <v>010-2275-6321</v>
      </c>
      <c r="U67" s="21" t="str">
        <f aca="false">IFERROR(INDEX(종합!U$3:U$501,MATCH(ROW()-2,종합!$AD$3:$AD$501,0))&amp;"","")</f>
        <v>이병헌</v>
      </c>
      <c r="V67" s="21" t="str">
        <f aca="false">IFERROR(INDEX(종합!V$3:V$501,MATCH(ROW()-2,종합!$AD$3:$AD$501,0))&amp;"","")</f>
        <v>융합표준본부</v>
      </c>
      <c r="W67" s="21" t="str">
        <f aca="false">IFERROR(INDEX(종합!W$3:W$501,MATCH(ROW()-2,종합!$AD$3:$AD$501,0))&amp;"","")</f>
        <v>차장/팀장</v>
      </c>
      <c r="X67" s="21" t="str">
        <f aca="false">IFERROR(INDEX(종합!X$3:X$501,MATCH(ROW()-2,종합!$AD$3:$AD$501,0))&amp;"","")</f>
        <v>070-8233-3403</v>
      </c>
      <c r="Y67" s="21" t="str">
        <f aca="false">IFERROR(INDEX(종합!Y$3:Y$501,MATCH(ROW()-2,종합!$AD$3:$AD$501,0))&amp;"","")</f>
        <v>bhlee@kashi.or.kr</v>
      </c>
      <c r="Z67" s="21" t="str">
        <f aca="false">IFERROR(INDEX(종합!Z$3:Z$501,MATCH(ROW()-2,종합!$AD$3:$AD$501,0))&amp;"","")</f>
        <v>010-4198-2367</v>
      </c>
      <c r="AA67" s="23" t="str">
        <f aca="false">IFERROR(INDEX(종합!AA$3:AA$501,MATCH(ROW()-2,종합!$AD$3:$AD$501,0))&amp;"","")</f>
        <v/>
      </c>
    </row>
    <row r="68" customFormat="false" ht="22.5" hidden="false" customHeight="true" outlineLevel="0" collapsed="false">
      <c r="A68" s="18" t="str">
        <f aca="false">IF(B68="","",ROW()-2)</f>
        <v/>
      </c>
      <c r="B68" s="18" t="str">
        <f aca="false">IFERROR(INDEX(종합!B$3:B$501,MATCH(ROW()-2,종합!$AD$3:$AD$501,0))&amp;"","")</f>
        <v/>
      </c>
      <c r="C68" s="18" t="str">
        <f aca="false">IFERROR(INDEX(종합!C$3:C$501,MATCH(ROW()-2,종합!$AD$3:$AD$501,0))&amp;"","")</f>
        <v/>
      </c>
      <c r="D68" s="18" t="str">
        <f aca="false">IFERROR(INDEX(종합!D$3:D$501,MATCH(ROW()-2,종합!$AD$3:$AD$501,0))&amp;"","")</f>
        <v/>
      </c>
      <c r="E68" s="18" t="str">
        <f aca="false">IFERROR(INDEX(종합!E$3:E$501,MATCH(ROW()-2,종합!$AD$3:$AD$501,0))&amp;"","")</f>
        <v/>
      </c>
      <c r="F68" s="18" t="str">
        <f aca="false">IFERROR(INDEX(종합!F$3:F$501,MATCH(ROW()-2,종합!$AD$3:$AD$501,0))&amp;"","")</f>
        <v/>
      </c>
      <c r="G68" s="18" t="str">
        <f aca="false">IFERROR(INDEX(종합!G$3:G$501,MATCH(ROW()-2,종합!$AD$3:$AD$501,0))&amp;"","")</f>
        <v/>
      </c>
      <c r="H68" s="21" t="str">
        <f aca="false">IFERROR(INDEX(종합!H$3:H$501,MATCH(ROW()-2,종합!$AD$3:$AD$501,0))&amp;"","")</f>
        <v/>
      </c>
      <c r="I68" s="21" t="str">
        <f aca="false">IFERROR(INDEX(종합!I$3:I$501,MATCH(ROW()-2,종합!$AD$3:$AD$501,0))&amp;"","")</f>
        <v/>
      </c>
      <c r="J68" s="21" t="str">
        <f aca="false">IFERROR(INDEX(종합!J$3:J$501,MATCH(ROW()-2,종합!$AD$3:$AD$501,0))&amp;"","")</f>
        <v/>
      </c>
      <c r="K68" s="21" t="str">
        <f aca="false">IFERROR(INDEX(종합!K$3:K$501,MATCH(ROW()-2,종합!$AD$3:$AD$501,0))&amp;"","")</f>
        <v/>
      </c>
      <c r="L68" s="21" t="str">
        <f aca="false">IFERROR(INDEX(종합!L$3:L$501,MATCH(ROW()-2,종합!$AD$3:$AD$501,0))&amp;"","")</f>
        <v/>
      </c>
      <c r="M68" s="21" t="str">
        <f aca="false">IFERROR(INDEX(종합!M$3:M$501,MATCH(ROW()-2,종합!$AD$3:$AD$501,0))&amp;"","")</f>
        <v/>
      </c>
      <c r="N68" s="25" t="str">
        <f aca="false">IFERROR(INDEX(종합!N$3:N$501,MATCH(ROW()-2,종합!$AD$3:$AD$501,0))&amp;"","")</f>
        <v/>
      </c>
      <c r="O68" s="21" t="str">
        <f aca="false">IFERROR(INDEX(종합!O$3:O$501,MATCH(ROW()-2,종합!$AD$3:$AD$501,0))&amp;"","")</f>
        <v/>
      </c>
      <c r="P68" s="21" t="str">
        <f aca="false">IFERROR(INDEX(종합!P$3:P$501,MATCH(ROW()-2,종합!$AD$3:$AD$501,0))&amp;"","")</f>
        <v/>
      </c>
      <c r="Q68" s="21" t="str">
        <f aca="false">IFERROR(INDEX(종합!Q$3:Q$501,MATCH(ROW()-2,종합!$AD$3:$AD$501,0))&amp;"","")</f>
        <v/>
      </c>
      <c r="R68" s="21" t="str">
        <f aca="false">IFERROR(INDEX(종합!R$3:R$501,MATCH(ROW()-2,종합!$AD$3:$AD$501,0))&amp;"","")</f>
        <v/>
      </c>
      <c r="S68" s="21" t="str">
        <f aca="false">IFERROR(INDEX(종합!S$3:S$501,MATCH(ROW()-2,종합!$AD$3:$AD$501,0))&amp;"","")</f>
        <v/>
      </c>
      <c r="T68" s="21" t="str">
        <f aca="false">IFERROR(INDEX(종합!T$3:T$501,MATCH(ROW()-2,종합!$AD$3:$AD$501,0))&amp;"","")</f>
        <v/>
      </c>
      <c r="U68" s="21" t="str">
        <f aca="false">IFERROR(INDEX(종합!U$3:U$501,MATCH(ROW()-2,종합!$AD$3:$AD$501,0))&amp;"","")</f>
        <v/>
      </c>
      <c r="V68" s="21" t="str">
        <f aca="false">IFERROR(INDEX(종합!V$3:V$501,MATCH(ROW()-2,종합!$AD$3:$AD$501,0))&amp;"","")</f>
        <v/>
      </c>
      <c r="W68" s="21" t="str">
        <f aca="false">IFERROR(INDEX(종합!W$3:W$501,MATCH(ROW()-2,종합!$AD$3:$AD$501,0))&amp;"","")</f>
        <v/>
      </c>
      <c r="X68" s="21" t="str">
        <f aca="false">IFERROR(INDEX(종합!X$3:X$501,MATCH(ROW()-2,종합!$AD$3:$AD$501,0))&amp;"","")</f>
        <v/>
      </c>
      <c r="Y68" s="21" t="str">
        <f aca="false">IFERROR(INDEX(종합!Y$3:Y$501,MATCH(ROW()-2,종합!$AD$3:$AD$501,0))&amp;"","")</f>
        <v/>
      </c>
      <c r="Z68" s="21" t="str">
        <f aca="false">IFERROR(INDEX(종합!Z$3:Z$501,MATCH(ROW()-2,종합!$AD$3:$AD$501,0))&amp;"","")</f>
        <v/>
      </c>
      <c r="AA68" s="23" t="str">
        <f aca="false">IFERROR(INDEX(종합!AA$3:AA$501,MATCH(ROW()-2,종합!$AD$3:$AD$501,0))&amp;"","")</f>
        <v/>
      </c>
    </row>
    <row r="69" customFormat="false" ht="33.75" hidden="false" customHeight="true" outlineLevel="0" collapsed="false">
      <c r="A69" s="18" t="str">
        <f aca="false">IF(B69="","",ROW()-2)</f>
        <v/>
      </c>
      <c r="B69" s="18" t="str">
        <f aca="false">IFERROR(INDEX(종합!B$3:B$501,MATCH(ROW()-2,종합!$AD$3:$AD$501,0))&amp;"","")</f>
        <v/>
      </c>
      <c r="C69" s="18" t="str">
        <f aca="false">IFERROR(INDEX(종합!C$3:C$501,MATCH(ROW()-2,종합!$AD$3:$AD$501,0))&amp;"","")</f>
        <v/>
      </c>
      <c r="D69" s="18" t="str">
        <f aca="false">IFERROR(INDEX(종합!D$3:D$501,MATCH(ROW()-2,종합!$AD$3:$AD$501,0))&amp;"","")</f>
        <v/>
      </c>
      <c r="E69" s="18" t="str">
        <f aca="false">IFERROR(INDEX(종합!E$3:E$501,MATCH(ROW()-2,종합!$AD$3:$AD$501,0))&amp;"","")</f>
        <v/>
      </c>
      <c r="F69" s="18" t="str">
        <f aca="false">IFERROR(INDEX(종합!F$3:F$501,MATCH(ROW()-2,종합!$AD$3:$AD$501,0))&amp;"","")</f>
        <v/>
      </c>
      <c r="G69" s="18" t="str">
        <f aca="false">IFERROR(INDEX(종합!G$3:G$501,MATCH(ROW()-2,종합!$AD$3:$AD$501,0))&amp;"","")</f>
        <v/>
      </c>
      <c r="H69" s="21" t="str">
        <f aca="false">IFERROR(INDEX(종합!H$3:H$501,MATCH(ROW()-2,종합!$AD$3:$AD$501,0))&amp;"","")</f>
        <v/>
      </c>
      <c r="I69" s="21" t="str">
        <f aca="false">IFERROR(INDEX(종합!I$3:I$501,MATCH(ROW()-2,종합!$AD$3:$AD$501,0))&amp;"","")</f>
        <v/>
      </c>
      <c r="J69" s="21" t="str">
        <f aca="false">IFERROR(INDEX(종합!J$3:J$501,MATCH(ROW()-2,종합!$AD$3:$AD$501,0))&amp;"","")</f>
        <v/>
      </c>
      <c r="K69" s="21" t="str">
        <f aca="false">IFERROR(INDEX(종합!K$3:K$501,MATCH(ROW()-2,종합!$AD$3:$AD$501,0))&amp;"","")</f>
        <v/>
      </c>
      <c r="L69" s="21" t="str">
        <f aca="false">IFERROR(INDEX(종합!L$3:L$501,MATCH(ROW()-2,종합!$AD$3:$AD$501,0))&amp;"","")</f>
        <v/>
      </c>
      <c r="M69" s="21" t="str">
        <f aca="false">IFERROR(INDEX(종합!M$3:M$501,MATCH(ROW()-2,종합!$AD$3:$AD$501,0))&amp;"","")</f>
        <v/>
      </c>
      <c r="N69" s="25" t="str">
        <f aca="false">IFERROR(INDEX(종합!N$3:N$501,MATCH(ROW()-2,종합!$AD$3:$AD$501,0))&amp;"","")</f>
        <v/>
      </c>
      <c r="O69" s="21" t="str">
        <f aca="false">IFERROR(INDEX(종합!O$3:O$501,MATCH(ROW()-2,종합!$AD$3:$AD$501,0))&amp;"","")</f>
        <v/>
      </c>
      <c r="P69" s="21" t="str">
        <f aca="false">IFERROR(INDEX(종합!P$3:P$501,MATCH(ROW()-2,종합!$AD$3:$AD$501,0))&amp;"","")</f>
        <v/>
      </c>
      <c r="Q69" s="21" t="str">
        <f aca="false">IFERROR(INDEX(종합!Q$3:Q$501,MATCH(ROW()-2,종합!$AD$3:$AD$501,0))&amp;"","")</f>
        <v/>
      </c>
      <c r="R69" s="21" t="str">
        <f aca="false">IFERROR(INDEX(종합!R$3:R$501,MATCH(ROW()-2,종합!$AD$3:$AD$501,0))&amp;"","")</f>
        <v/>
      </c>
      <c r="S69" s="21" t="str">
        <f aca="false">IFERROR(INDEX(종합!S$3:S$501,MATCH(ROW()-2,종합!$AD$3:$AD$501,0))&amp;"","")</f>
        <v/>
      </c>
      <c r="T69" s="21" t="str">
        <f aca="false">IFERROR(INDEX(종합!T$3:T$501,MATCH(ROW()-2,종합!$AD$3:$AD$501,0))&amp;"","")</f>
        <v/>
      </c>
      <c r="U69" s="21" t="str">
        <f aca="false">IFERROR(INDEX(종합!U$3:U$501,MATCH(ROW()-2,종합!$AD$3:$AD$501,0))&amp;"","")</f>
        <v/>
      </c>
      <c r="V69" s="21" t="str">
        <f aca="false">IFERROR(INDEX(종합!V$3:V$501,MATCH(ROW()-2,종합!$AD$3:$AD$501,0))&amp;"","")</f>
        <v/>
      </c>
      <c r="W69" s="21" t="str">
        <f aca="false">IFERROR(INDEX(종합!W$3:W$501,MATCH(ROW()-2,종합!$AD$3:$AD$501,0))&amp;"","")</f>
        <v/>
      </c>
      <c r="X69" s="21" t="str">
        <f aca="false">IFERROR(INDEX(종합!X$3:X$501,MATCH(ROW()-2,종합!$AD$3:$AD$501,0))&amp;"","")</f>
        <v/>
      </c>
      <c r="Y69" s="21" t="str">
        <f aca="false">IFERROR(INDEX(종합!Y$3:Y$501,MATCH(ROW()-2,종합!$AD$3:$AD$501,0))&amp;"","")</f>
        <v/>
      </c>
      <c r="Z69" s="21" t="str">
        <f aca="false">IFERROR(INDEX(종합!Z$3:Z$501,MATCH(ROW()-2,종합!$AD$3:$AD$501,0))&amp;"","")</f>
        <v/>
      </c>
      <c r="AA69" s="23" t="str">
        <f aca="false">IFERROR(INDEX(종합!AA$3:AA$501,MATCH(ROW()-2,종합!$AD$3:$AD$501,0))&amp;"","")</f>
        <v/>
      </c>
    </row>
    <row r="70" customFormat="false" ht="22.5" hidden="false" customHeight="true" outlineLevel="0" collapsed="false">
      <c r="A70" s="18" t="str">
        <f aca="false">IF(B70="","",ROW()-2)</f>
        <v/>
      </c>
      <c r="B70" s="18" t="str">
        <f aca="false">IFERROR(INDEX(종합!B$3:B$501,MATCH(ROW()-2,종합!$AD$3:$AD$501,0))&amp;"","")</f>
        <v/>
      </c>
      <c r="C70" s="18" t="str">
        <f aca="false">IFERROR(INDEX(종합!C$3:C$501,MATCH(ROW()-2,종합!$AD$3:$AD$501,0))&amp;"","")</f>
        <v/>
      </c>
      <c r="D70" s="18" t="str">
        <f aca="false">IFERROR(INDEX(종합!D$3:D$501,MATCH(ROW()-2,종합!$AD$3:$AD$501,0))&amp;"","")</f>
        <v/>
      </c>
      <c r="E70" s="18" t="str">
        <f aca="false">IFERROR(INDEX(종합!E$3:E$501,MATCH(ROW()-2,종합!$AD$3:$AD$501,0))&amp;"","")</f>
        <v/>
      </c>
      <c r="F70" s="18" t="str">
        <f aca="false">IFERROR(INDEX(종합!F$3:F$501,MATCH(ROW()-2,종합!$AD$3:$AD$501,0))&amp;"","")</f>
        <v/>
      </c>
      <c r="G70" s="18" t="str">
        <f aca="false">IFERROR(INDEX(종합!G$3:G$501,MATCH(ROW()-2,종합!$AD$3:$AD$501,0))&amp;"","")</f>
        <v/>
      </c>
      <c r="H70" s="21" t="str">
        <f aca="false">IFERROR(INDEX(종합!H$3:H$501,MATCH(ROW()-2,종합!$AD$3:$AD$501,0))&amp;"","")</f>
        <v/>
      </c>
      <c r="I70" s="21" t="str">
        <f aca="false">IFERROR(INDEX(종합!I$3:I$501,MATCH(ROW()-2,종합!$AD$3:$AD$501,0))&amp;"","")</f>
        <v/>
      </c>
      <c r="J70" s="21" t="str">
        <f aca="false">IFERROR(INDEX(종합!J$3:J$501,MATCH(ROW()-2,종합!$AD$3:$AD$501,0))&amp;"","")</f>
        <v/>
      </c>
      <c r="K70" s="21" t="str">
        <f aca="false">IFERROR(INDEX(종합!K$3:K$501,MATCH(ROW()-2,종합!$AD$3:$AD$501,0))&amp;"","")</f>
        <v/>
      </c>
      <c r="L70" s="21" t="str">
        <f aca="false">IFERROR(INDEX(종합!L$3:L$501,MATCH(ROW()-2,종합!$AD$3:$AD$501,0))&amp;"","")</f>
        <v/>
      </c>
      <c r="M70" s="21" t="str">
        <f aca="false">IFERROR(INDEX(종합!M$3:M$501,MATCH(ROW()-2,종합!$AD$3:$AD$501,0))&amp;"","")</f>
        <v/>
      </c>
      <c r="N70" s="25" t="str">
        <f aca="false">IFERROR(INDEX(종합!N$3:N$501,MATCH(ROW()-2,종합!$AD$3:$AD$501,0))&amp;"","")</f>
        <v/>
      </c>
      <c r="O70" s="21" t="str">
        <f aca="false">IFERROR(INDEX(종합!O$3:O$501,MATCH(ROW()-2,종합!$AD$3:$AD$501,0))&amp;"","")</f>
        <v/>
      </c>
      <c r="P70" s="21" t="str">
        <f aca="false">IFERROR(INDEX(종합!P$3:P$501,MATCH(ROW()-2,종합!$AD$3:$AD$501,0))&amp;"","")</f>
        <v/>
      </c>
      <c r="Q70" s="21" t="str">
        <f aca="false">IFERROR(INDEX(종합!Q$3:Q$501,MATCH(ROW()-2,종합!$AD$3:$AD$501,0))&amp;"","")</f>
        <v/>
      </c>
      <c r="R70" s="21" t="str">
        <f aca="false">IFERROR(INDEX(종합!R$3:R$501,MATCH(ROW()-2,종합!$AD$3:$AD$501,0))&amp;"","")</f>
        <v/>
      </c>
      <c r="S70" s="21" t="str">
        <f aca="false">IFERROR(INDEX(종합!S$3:S$501,MATCH(ROW()-2,종합!$AD$3:$AD$501,0))&amp;"","")</f>
        <v/>
      </c>
      <c r="T70" s="21" t="str">
        <f aca="false">IFERROR(INDEX(종합!T$3:T$501,MATCH(ROW()-2,종합!$AD$3:$AD$501,0))&amp;"","")</f>
        <v/>
      </c>
      <c r="U70" s="21" t="str">
        <f aca="false">IFERROR(INDEX(종합!U$3:U$501,MATCH(ROW()-2,종합!$AD$3:$AD$501,0))&amp;"","")</f>
        <v/>
      </c>
      <c r="V70" s="21" t="str">
        <f aca="false">IFERROR(INDEX(종합!V$3:V$501,MATCH(ROW()-2,종합!$AD$3:$AD$501,0))&amp;"","")</f>
        <v/>
      </c>
      <c r="W70" s="21" t="str">
        <f aca="false">IFERROR(INDEX(종합!W$3:W$501,MATCH(ROW()-2,종합!$AD$3:$AD$501,0))&amp;"","")</f>
        <v/>
      </c>
      <c r="X70" s="21" t="str">
        <f aca="false">IFERROR(INDEX(종합!X$3:X$501,MATCH(ROW()-2,종합!$AD$3:$AD$501,0))&amp;"","")</f>
        <v/>
      </c>
      <c r="Y70" s="21" t="str">
        <f aca="false">IFERROR(INDEX(종합!Y$3:Y$501,MATCH(ROW()-2,종합!$AD$3:$AD$501,0))&amp;"","")</f>
        <v/>
      </c>
      <c r="Z70" s="21" t="str">
        <f aca="false">IFERROR(INDEX(종합!Z$3:Z$501,MATCH(ROW()-2,종합!$AD$3:$AD$501,0))&amp;"","")</f>
        <v/>
      </c>
      <c r="AA70" s="23" t="str">
        <f aca="false">IFERROR(INDEX(종합!AA$3:AA$501,MATCH(ROW()-2,종합!$AD$3:$AD$501,0))&amp;"","")</f>
        <v/>
      </c>
    </row>
    <row r="71" customFormat="false" ht="33.75" hidden="false" customHeight="true" outlineLevel="0" collapsed="false">
      <c r="A71" s="18" t="str">
        <f aca="false">IF(B71="","",ROW()-2)</f>
        <v/>
      </c>
      <c r="B71" s="18" t="str">
        <f aca="false">IFERROR(INDEX(종합!B$3:B$501,MATCH(ROW()-2,종합!$AD$3:$AD$501,0))&amp;"","")</f>
        <v/>
      </c>
      <c r="C71" s="18" t="str">
        <f aca="false">IFERROR(INDEX(종합!C$3:C$501,MATCH(ROW()-2,종합!$AD$3:$AD$501,0))&amp;"","")</f>
        <v/>
      </c>
      <c r="D71" s="18" t="str">
        <f aca="false">IFERROR(INDEX(종합!D$3:D$501,MATCH(ROW()-2,종합!$AD$3:$AD$501,0))&amp;"","")</f>
        <v/>
      </c>
      <c r="E71" s="18" t="str">
        <f aca="false">IFERROR(INDEX(종합!E$3:E$501,MATCH(ROW()-2,종합!$AD$3:$AD$501,0))&amp;"","")</f>
        <v/>
      </c>
      <c r="F71" s="18" t="str">
        <f aca="false">IFERROR(INDEX(종합!F$3:F$501,MATCH(ROW()-2,종합!$AD$3:$AD$501,0))&amp;"","")</f>
        <v/>
      </c>
      <c r="G71" s="18" t="str">
        <f aca="false">IFERROR(INDEX(종합!G$3:G$501,MATCH(ROW()-2,종합!$AD$3:$AD$501,0))&amp;"","")</f>
        <v/>
      </c>
      <c r="H71" s="21" t="str">
        <f aca="false">IFERROR(INDEX(종합!H$3:H$501,MATCH(ROW()-2,종합!$AD$3:$AD$501,0))&amp;"","")</f>
        <v/>
      </c>
      <c r="I71" s="21" t="str">
        <f aca="false">IFERROR(INDEX(종합!I$3:I$501,MATCH(ROW()-2,종합!$AD$3:$AD$501,0))&amp;"","")</f>
        <v/>
      </c>
      <c r="J71" s="21" t="str">
        <f aca="false">IFERROR(INDEX(종합!J$3:J$501,MATCH(ROW()-2,종합!$AD$3:$AD$501,0))&amp;"","")</f>
        <v/>
      </c>
      <c r="K71" s="21" t="str">
        <f aca="false">IFERROR(INDEX(종합!K$3:K$501,MATCH(ROW()-2,종합!$AD$3:$AD$501,0))&amp;"","")</f>
        <v/>
      </c>
      <c r="L71" s="21" t="str">
        <f aca="false">IFERROR(INDEX(종합!L$3:L$501,MATCH(ROW()-2,종합!$AD$3:$AD$501,0))&amp;"","")</f>
        <v/>
      </c>
      <c r="M71" s="21" t="str">
        <f aca="false">IFERROR(INDEX(종합!M$3:M$501,MATCH(ROW()-2,종합!$AD$3:$AD$501,0))&amp;"","")</f>
        <v/>
      </c>
      <c r="N71" s="25" t="str">
        <f aca="false">IFERROR(INDEX(종합!N$3:N$501,MATCH(ROW()-2,종합!$AD$3:$AD$501,0))&amp;"","")</f>
        <v/>
      </c>
      <c r="O71" s="21" t="str">
        <f aca="false">IFERROR(INDEX(종합!O$3:O$501,MATCH(ROW()-2,종합!$AD$3:$AD$501,0))&amp;"","")</f>
        <v/>
      </c>
      <c r="P71" s="21" t="str">
        <f aca="false">IFERROR(INDEX(종합!P$3:P$501,MATCH(ROW()-2,종합!$AD$3:$AD$501,0))&amp;"","")</f>
        <v/>
      </c>
      <c r="Q71" s="21" t="str">
        <f aca="false">IFERROR(INDEX(종합!Q$3:Q$501,MATCH(ROW()-2,종합!$AD$3:$AD$501,0))&amp;"","")</f>
        <v/>
      </c>
      <c r="R71" s="21" t="str">
        <f aca="false">IFERROR(INDEX(종합!R$3:R$501,MATCH(ROW()-2,종합!$AD$3:$AD$501,0))&amp;"","")</f>
        <v/>
      </c>
      <c r="S71" s="21" t="str">
        <f aca="false">IFERROR(INDEX(종합!S$3:S$501,MATCH(ROW()-2,종합!$AD$3:$AD$501,0))&amp;"","")</f>
        <v/>
      </c>
      <c r="T71" s="21" t="str">
        <f aca="false">IFERROR(INDEX(종합!T$3:T$501,MATCH(ROW()-2,종합!$AD$3:$AD$501,0))&amp;"","")</f>
        <v/>
      </c>
      <c r="U71" s="21" t="str">
        <f aca="false">IFERROR(INDEX(종합!U$3:U$501,MATCH(ROW()-2,종합!$AD$3:$AD$501,0))&amp;"","")</f>
        <v/>
      </c>
      <c r="V71" s="21" t="str">
        <f aca="false">IFERROR(INDEX(종합!V$3:V$501,MATCH(ROW()-2,종합!$AD$3:$AD$501,0))&amp;"","")</f>
        <v/>
      </c>
      <c r="W71" s="21" t="str">
        <f aca="false">IFERROR(INDEX(종합!W$3:W$501,MATCH(ROW()-2,종합!$AD$3:$AD$501,0))&amp;"","")</f>
        <v/>
      </c>
      <c r="X71" s="21" t="str">
        <f aca="false">IFERROR(INDEX(종합!X$3:X$501,MATCH(ROW()-2,종합!$AD$3:$AD$501,0))&amp;"","")</f>
        <v/>
      </c>
      <c r="Y71" s="21" t="str">
        <f aca="false">IFERROR(INDEX(종합!Y$3:Y$501,MATCH(ROW()-2,종합!$AD$3:$AD$501,0))&amp;"","")</f>
        <v/>
      </c>
      <c r="Z71" s="21" t="str">
        <f aca="false">IFERROR(INDEX(종합!Z$3:Z$501,MATCH(ROW()-2,종합!$AD$3:$AD$501,0))&amp;"","")</f>
        <v/>
      </c>
      <c r="AA71" s="23" t="str">
        <f aca="false">IFERROR(INDEX(종합!AA$3:AA$501,MATCH(ROW()-2,종합!$AD$3:$AD$501,0))&amp;"","")</f>
        <v/>
      </c>
    </row>
    <row r="72" customFormat="false" ht="101.25" hidden="false" customHeight="true" outlineLevel="0" collapsed="false">
      <c r="A72" s="18" t="str">
        <f aca="false">IF(B72="","",ROW()-2)</f>
        <v/>
      </c>
      <c r="B72" s="18" t="str">
        <f aca="false">IFERROR(INDEX(종합!B$3:B$501,MATCH(ROW()-2,종합!$AD$3:$AD$501,0))&amp;"","")</f>
        <v/>
      </c>
      <c r="C72" s="18" t="str">
        <f aca="false">IFERROR(INDEX(종합!C$3:C$501,MATCH(ROW()-2,종합!$AD$3:$AD$501,0))&amp;"","")</f>
        <v/>
      </c>
      <c r="D72" s="18" t="str">
        <f aca="false">IFERROR(INDEX(종합!D$3:D$501,MATCH(ROW()-2,종합!$AD$3:$AD$501,0))&amp;"","")</f>
        <v/>
      </c>
      <c r="E72" s="18" t="str">
        <f aca="false">IFERROR(INDEX(종합!E$3:E$501,MATCH(ROW()-2,종합!$AD$3:$AD$501,0))&amp;"","")</f>
        <v/>
      </c>
      <c r="F72" s="18" t="str">
        <f aca="false">IFERROR(INDEX(종합!F$3:F$501,MATCH(ROW()-2,종합!$AD$3:$AD$501,0))&amp;"","")</f>
        <v/>
      </c>
      <c r="G72" s="18" t="str">
        <f aca="false">IFERROR(INDEX(종합!G$3:G$501,MATCH(ROW()-2,종합!$AD$3:$AD$501,0))&amp;"","")</f>
        <v/>
      </c>
      <c r="H72" s="21" t="str">
        <f aca="false">IFERROR(INDEX(종합!H$3:H$501,MATCH(ROW()-2,종합!$AD$3:$AD$501,0))&amp;"","")</f>
        <v/>
      </c>
      <c r="I72" s="21" t="str">
        <f aca="false">IFERROR(INDEX(종합!I$3:I$501,MATCH(ROW()-2,종합!$AD$3:$AD$501,0))&amp;"","")</f>
        <v/>
      </c>
      <c r="J72" s="21" t="str">
        <f aca="false">IFERROR(INDEX(종합!J$3:J$501,MATCH(ROW()-2,종합!$AD$3:$AD$501,0))&amp;"","")</f>
        <v/>
      </c>
      <c r="K72" s="21" t="str">
        <f aca="false">IFERROR(INDEX(종합!K$3:K$501,MATCH(ROW()-2,종합!$AD$3:$AD$501,0))&amp;"","")</f>
        <v/>
      </c>
      <c r="L72" s="21" t="str">
        <f aca="false">IFERROR(INDEX(종합!L$3:L$501,MATCH(ROW()-2,종합!$AD$3:$AD$501,0))&amp;"","")</f>
        <v/>
      </c>
      <c r="M72" s="21" t="str">
        <f aca="false">IFERROR(INDEX(종합!M$3:M$501,MATCH(ROW()-2,종합!$AD$3:$AD$501,0))&amp;"","")</f>
        <v/>
      </c>
      <c r="N72" s="25" t="str">
        <f aca="false">IFERROR(INDEX(종합!N$3:N$501,MATCH(ROW()-2,종합!$AD$3:$AD$501,0))&amp;"","")</f>
        <v/>
      </c>
      <c r="O72" s="21" t="str">
        <f aca="false">IFERROR(INDEX(종합!O$3:O$501,MATCH(ROW()-2,종합!$AD$3:$AD$501,0))&amp;"","")</f>
        <v/>
      </c>
      <c r="P72" s="21" t="str">
        <f aca="false">IFERROR(INDEX(종합!P$3:P$501,MATCH(ROW()-2,종합!$AD$3:$AD$501,0))&amp;"","")</f>
        <v/>
      </c>
      <c r="Q72" s="21" t="str">
        <f aca="false">IFERROR(INDEX(종합!Q$3:Q$501,MATCH(ROW()-2,종합!$AD$3:$AD$501,0))&amp;"","")</f>
        <v/>
      </c>
      <c r="R72" s="21" t="str">
        <f aca="false">IFERROR(INDEX(종합!R$3:R$501,MATCH(ROW()-2,종합!$AD$3:$AD$501,0))&amp;"","")</f>
        <v/>
      </c>
      <c r="S72" s="21" t="str">
        <f aca="false">IFERROR(INDEX(종합!S$3:S$501,MATCH(ROW()-2,종합!$AD$3:$AD$501,0))&amp;"","")</f>
        <v/>
      </c>
      <c r="T72" s="21" t="str">
        <f aca="false">IFERROR(INDEX(종합!T$3:T$501,MATCH(ROW()-2,종합!$AD$3:$AD$501,0))&amp;"","")</f>
        <v/>
      </c>
      <c r="U72" s="21" t="str">
        <f aca="false">IFERROR(INDEX(종합!U$3:U$501,MATCH(ROW()-2,종합!$AD$3:$AD$501,0))&amp;"","")</f>
        <v/>
      </c>
      <c r="V72" s="21" t="str">
        <f aca="false">IFERROR(INDEX(종합!V$3:V$501,MATCH(ROW()-2,종합!$AD$3:$AD$501,0))&amp;"","")</f>
        <v/>
      </c>
      <c r="W72" s="21" t="str">
        <f aca="false">IFERROR(INDEX(종합!W$3:W$501,MATCH(ROW()-2,종합!$AD$3:$AD$501,0))&amp;"","")</f>
        <v/>
      </c>
      <c r="X72" s="21" t="str">
        <f aca="false">IFERROR(INDEX(종합!X$3:X$501,MATCH(ROW()-2,종합!$AD$3:$AD$501,0))&amp;"","")</f>
        <v/>
      </c>
      <c r="Y72" s="21" t="str">
        <f aca="false">IFERROR(INDEX(종합!Y$3:Y$501,MATCH(ROW()-2,종합!$AD$3:$AD$501,0))&amp;"","")</f>
        <v/>
      </c>
      <c r="Z72" s="21" t="str">
        <f aca="false">IFERROR(INDEX(종합!Z$3:Z$501,MATCH(ROW()-2,종합!$AD$3:$AD$501,0))&amp;"","")</f>
        <v/>
      </c>
      <c r="AA72" s="23" t="str">
        <f aca="false">IFERROR(INDEX(종합!AA$3:AA$501,MATCH(ROW()-2,종합!$AD$3:$AD$501,0))&amp;"","")</f>
        <v/>
      </c>
    </row>
    <row r="73" customFormat="false" ht="22.5" hidden="false" customHeight="true" outlineLevel="0" collapsed="false">
      <c r="A73" s="18" t="str">
        <f aca="false">IF(B73="","",ROW()-2)</f>
        <v/>
      </c>
      <c r="B73" s="18" t="str">
        <f aca="false">IFERROR(INDEX(종합!B$3:B$501,MATCH(ROW()-2,종합!$AD$3:$AD$501,0))&amp;"","")</f>
        <v/>
      </c>
      <c r="C73" s="18" t="str">
        <f aca="false">IFERROR(INDEX(종합!C$3:C$501,MATCH(ROW()-2,종합!$AD$3:$AD$501,0))&amp;"","")</f>
        <v/>
      </c>
      <c r="D73" s="18" t="str">
        <f aca="false">IFERROR(INDEX(종합!D$3:D$501,MATCH(ROW()-2,종합!$AD$3:$AD$501,0))&amp;"","")</f>
        <v/>
      </c>
      <c r="E73" s="18" t="str">
        <f aca="false">IFERROR(INDEX(종합!E$3:E$501,MATCH(ROW()-2,종합!$AD$3:$AD$501,0))&amp;"","")</f>
        <v/>
      </c>
      <c r="F73" s="18" t="str">
        <f aca="false">IFERROR(INDEX(종합!F$3:F$501,MATCH(ROW()-2,종합!$AD$3:$AD$501,0))&amp;"","")</f>
        <v/>
      </c>
      <c r="G73" s="18" t="str">
        <f aca="false">IFERROR(INDEX(종합!G$3:G$501,MATCH(ROW()-2,종합!$AD$3:$AD$501,0))&amp;"","")</f>
        <v/>
      </c>
      <c r="H73" s="21" t="str">
        <f aca="false">IFERROR(INDEX(종합!H$3:H$501,MATCH(ROW()-2,종합!$AD$3:$AD$501,0))&amp;"","")</f>
        <v/>
      </c>
      <c r="I73" s="21" t="str">
        <f aca="false">IFERROR(INDEX(종합!I$3:I$501,MATCH(ROW()-2,종합!$AD$3:$AD$501,0))&amp;"","")</f>
        <v/>
      </c>
      <c r="J73" s="21" t="str">
        <f aca="false">IFERROR(INDEX(종합!J$3:J$501,MATCH(ROW()-2,종합!$AD$3:$AD$501,0))&amp;"","")</f>
        <v/>
      </c>
      <c r="K73" s="21" t="str">
        <f aca="false">IFERROR(INDEX(종합!K$3:K$501,MATCH(ROW()-2,종합!$AD$3:$AD$501,0))&amp;"","")</f>
        <v/>
      </c>
      <c r="L73" s="21" t="str">
        <f aca="false">IFERROR(INDEX(종합!L$3:L$501,MATCH(ROW()-2,종합!$AD$3:$AD$501,0))&amp;"","")</f>
        <v/>
      </c>
      <c r="M73" s="21" t="str">
        <f aca="false">IFERROR(INDEX(종합!M$3:M$501,MATCH(ROW()-2,종합!$AD$3:$AD$501,0))&amp;"","")</f>
        <v/>
      </c>
      <c r="N73" s="25" t="str">
        <f aca="false">IFERROR(INDEX(종합!N$3:N$501,MATCH(ROW()-2,종합!$AD$3:$AD$501,0))&amp;"","")</f>
        <v/>
      </c>
      <c r="O73" s="21" t="str">
        <f aca="false">IFERROR(INDEX(종합!O$3:O$501,MATCH(ROW()-2,종합!$AD$3:$AD$501,0))&amp;"","")</f>
        <v/>
      </c>
      <c r="P73" s="21" t="str">
        <f aca="false">IFERROR(INDEX(종합!P$3:P$501,MATCH(ROW()-2,종합!$AD$3:$AD$501,0))&amp;"","")</f>
        <v/>
      </c>
      <c r="Q73" s="21" t="str">
        <f aca="false">IFERROR(INDEX(종합!Q$3:Q$501,MATCH(ROW()-2,종합!$AD$3:$AD$501,0))&amp;"","")</f>
        <v/>
      </c>
      <c r="R73" s="21" t="str">
        <f aca="false">IFERROR(INDEX(종합!R$3:R$501,MATCH(ROW()-2,종합!$AD$3:$AD$501,0))&amp;"","")</f>
        <v/>
      </c>
      <c r="S73" s="21" t="str">
        <f aca="false">IFERROR(INDEX(종합!S$3:S$501,MATCH(ROW()-2,종합!$AD$3:$AD$501,0))&amp;"","")</f>
        <v/>
      </c>
      <c r="T73" s="21" t="str">
        <f aca="false">IFERROR(INDEX(종합!T$3:T$501,MATCH(ROW()-2,종합!$AD$3:$AD$501,0))&amp;"","")</f>
        <v/>
      </c>
      <c r="U73" s="21" t="str">
        <f aca="false">IFERROR(INDEX(종합!U$3:U$501,MATCH(ROW()-2,종합!$AD$3:$AD$501,0))&amp;"","")</f>
        <v/>
      </c>
      <c r="V73" s="21" t="str">
        <f aca="false">IFERROR(INDEX(종합!V$3:V$501,MATCH(ROW()-2,종합!$AD$3:$AD$501,0))&amp;"","")</f>
        <v/>
      </c>
      <c r="W73" s="21" t="str">
        <f aca="false">IFERROR(INDEX(종합!W$3:W$501,MATCH(ROW()-2,종합!$AD$3:$AD$501,0))&amp;"","")</f>
        <v/>
      </c>
      <c r="X73" s="21" t="str">
        <f aca="false">IFERROR(INDEX(종합!X$3:X$501,MATCH(ROW()-2,종합!$AD$3:$AD$501,0))&amp;"","")</f>
        <v/>
      </c>
      <c r="Y73" s="21" t="str">
        <f aca="false">IFERROR(INDEX(종합!Y$3:Y$501,MATCH(ROW()-2,종합!$AD$3:$AD$501,0))&amp;"","")</f>
        <v/>
      </c>
      <c r="Z73" s="21" t="str">
        <f aca="false">IFERROR(INDEX(종합!Z$3:Z$501,MATCH(ROW()-2,종합!$AD$3:$AD$501,0))&amp;"","")</f>
        <v/>
      </c>
      <c r="AA73" s="23" t="str">
        <f aca="false">IFERROR(INDEX(종합!AA$3:AA$501,MATCH(ROW()-2,종합!$AD$3:$AD$501,0))&amp;"","")</f>
        <v/>
      </c>
    </row>
    <row r="74" customFormat="false" ht="22.5" hidden="false" customHeight="true" outlineLevel="0" collapsed="false">
      <c r="A74" s="18" t="str">
        <f aca="false">IF(B74="","",ROW()-2)</f>
        <v/>
      </c>
      <c r="B74" s="18" t="str">
        <f aca="false">IFERROR(INDEX(종합!B$3:B$501,MATCH(ROW()-2,종합!$AD$3:$AD$501,0))&amp;"","")</f>
        <v/>
      </c>
      <c r="C74" s="18" t="str">
        <f aca="false">IFERROR(INDEX(종합!C$3:C$501,MATCH(ROW()-2,종합!$AD$3:$AD$501,0))&amp;"","")</f>
        <v/>
      </c>
      <c r="D74" s="18" t="str">
        <f aca="false">IFERROR(INDEX(종합!D$3:D$501,MATCH(ROW()-2,종합!$AD$3:$AD$501,0))&amp;"","")</f>
        <v/>
      </c>
      <c r="E74" s="18" t="str">
        <f aca="false">IFERROR(INDEX(종합!E$3:E$501,MATCH(ROW()-2,종합!$AD$3:$AD$501,0))&amp;"","")</f>
        <v/>
      </c>
      <c r="F74" s="18" t="str">
        <f aca="false">IFERROR(INDEX(종합!F$3:F$501,MATCH(ROW()-2,종합!$AD$3:$AD$501,0))&amp;"","")</f>
        <v/>
      </c>
      <c r="G74" s="18" t="str">
        <f aca="false">IFERROR(INDEX(종합!G$3:G$501,MATCH(ROW()-2,종합!$AD$3:$AD$501,0))&amp;"","")</f>
        <v/>
      </c>
      <c r="H74" s="21" t="str">
        <f aca="false">IFERROR(INDEX(종합!H$3:H$501,MATCH(ROW()-2,종합!$AD$3:$AD$501,0))&amp;"","")</f>
        <v/>
      </c>
      <c r="I74" s="21" t="str">
        <f aca="false">IFERROR(INDEX(종합!I$3:I$501,MATCH(ROW()-2,종합!$AD$3:$AD$501,0))&amp;"","")</f>
        <v/>
      </c>
      <c r="J74" s="21" t="str">
        <f aca="false">IFERROR(INDEX(종합!J$3:J$501,MATCH(ROW()-2,종합!$AD$3:$AD$501,0))&amp;"","")</f>
        <v/>
      </c>
      <c r="K74" s="21" t="str">
        <f aca="false">IFERROR(INDEX(종합!K$3:K$501,MATCH(ROW()-2,종합!$AD$3:$AD$501,0))&amp;"","")</f>
        <v/>
      </c>
      <c r="L74" s="21" t="str">
        <f aca="false">IFERROR(INDEX(종합!L$3:L$501,MATCH(ROW()-2,종합!$AD$3:$AD$501,0))&amp;"","")</f>
        <v/>
      </c>
      <c r="M74" s="21" t="str">
        <f aca="false">IFERROR(INDEX(종합!M$3:M$501,MATCH(ROW()-2,종합!$AD$3:$AD$501,0))&amp;"","")</f>
        <v/>
      </c>
      <c r="N74" s="25" t="str">
        <f aca="false">IFERROR(INDEX(종합!N$3:N$501,MATCH(ROW()-2,종합!$AD$3:$AD$501,0))&amp;"","")</f>
        <v/>
      </c>
      <c r="O74" s="21" t="str">
        <f aca="false">IFERROR(INDEX(종합!O$3:O$501,MATCH(ROW()-2,종합!$AD$3:$AD$501,0))&amp;"","")</f>
        <v/>
      </c>
      <c r="P74" s="21" t="str">
        <f aca="false">IFERROR(INDEX(종합!P$3:P$501,MATCH(ROW()-2,종합!$AD$3:$AD$501,0))&amp;"","")</f>
        <v/>
      </c>
      <c r="Q74" s="21" t="str">
        <f aca="false">IFERROR(INDEX(종합!Q$3:Q$501,MATCH(ROW()-2,종합!$AD$3:$AD$501,0))&amp;"","")</f>
        <v/>
      </c>
      <c r="R74" s="21" t="str">
        <f aca="false">IFERROR(INDEX(종합!R$3:R$501,MATCH(ROW()-2,종합!$AD$3:$AD$501,0))&amp;"","")</f>
        <v/>
      </c>
      <c r="S74" s="21" t="str">
        <f aca="false">IFERROR(INDEX(종합!S$3:S$501,MATCH(ROW()-2,종합!$AD$3:$AD$501,0))&amp;"","")</f>
        <v/>
      </c>
      <c r="T74" s="21" t="str">
        <f aca="false">IFERROR(INDEX(종합!T$3:T$501,MATCH(ROW()-2,종합!$AD$3:$AD$501,0))&amp;"","")</f>
        <v/>
      </c>
      <c r="U74" s="21" t="str">
        <f aca="false">IFERROR(INDEX(종합!U$3:U$501,MATCH(ROW()-2,종합!$AD$3:$AD$501,0))&amp;"","")</f>
        <v/>
      </c>
      <c r="V74" s="21" t="str">
        <f aca="false">IFERROR(INDEX(종합!V$3:V$501,MATCH(ROW()-2,종합!$AD$3:$AD$501,0))&amp;"","")</f>
        <v/>
      </c>
      <c r="W74" s="21" t="str">
        <f aca="false">IFERROR(INDEX(종합!W$3:W$501,MATCH(ROW()-2,종합!$AD$3:$AD$501,0))&amp;"","")</f>
        <v/>
      </c>
      <c r="X74" s="21" t="str">
        <f aca="false">IFERROR(INDEX(종합!X$3:X$501,MATCH(ROW()-2,종합!$AD$3:$AD$501,0))&amp;"","")</f>
        <v/>
      </c>
      <c r="Y74" s="21" t="str">
        <f aca="false">IFERROR(INDEX(종합!Y$3:Y$501,MATCH(ROW()-2,종합!$AD$3:$AD$501,0))&amp;"","")</f>
        <v/>
      </c>
      <c r="Z74" s="21" t="str">
        <f aca="false">IFERROR(INDEX(종합!Z$3:Z$501,MATCH(ROW()-2,종합!$AD$3:$AD$501,0))&amp;"","")</f>
        <v/>
      </c>
      <c r="AA74" s="23" t="str">
        <f aca="false">IFERROR(INDEX(종합!AA$3:AA$501,MATCH(ROW()-2,종합!$AD$3:$AD$501,0))&amp;"","")</f>
        <v/>
      </c>
    </row>
    <row r="75" customFormat="false" ht="33.75" hidden="false" customHeight="true" outlineLevel="0" collapsed="false">
      <c r="A75" s="18" t="str">
        <f aca="false">IF(B75="","",ROW()-2)</f>
        <v/>
      </c>
      <c r="B75" s="18" t="str">
        <f aca="false">IFERROR(INDEX(종합!B$3:B$501,MATCH(ROW()-2,종합!$AD$3:$AD$501,0))&amp;"","")</f>
        <v/>
      </c>
      <c r="C75" s="18" t="str">
        <f aca="false">IFERROR(INDEX(종합!C$3:C$501,MATCH(ROW()-2,종합!$AD$3:$AD$501,0))&amp;"","")</f>
        <v/>
      </c>
      <c r="D75" s="18" t="str">
        <f aca="false">IFERROR(INDEX(종합!D$3:D$501,MATCH(ROW()-2,종합!$AD$3:$AD$501,0))&amp;"","")</f>
        <v/>
      </c>
      <c r="E75" s="18" t="str">
        <f aca="false">IFERROR(INDEX(종합!E$3:E$501,MATCH(ROW()-2,종합!$AD$3:$AD$501,0))&amp;"","")</f>
        <v/>
      </c>
      <c r="F75" s="18" t="str">
        <f aca="false">IFERROR(INDEX(종합!F$3:F$501,MATCH(ROW()-2,종합!$AD$3:$AD$501,0))&amp;"","")</f>
        <v/>
      </c>
      <c r="G75" s="18" t="str">
        <f aca="false">IFERROR(INDEX(종합!G$3:G$501,MATCH(ROW()-2,종합!$AD$3:$AD$501,0))&amp;"","")</f>
        <v/>
      </c>
      <c r="H75" s="21" t="str">
        <f aca="false">IFERROR(INDEX(종합!H$3:H$501,MATCH(ROW()-2,종합!$AD$3:$AD$501,0))&amp;"","")</f>
        <v/>
      </c>
      <c r="I75" s="21" t="str">
        <f aca="false">IFERROR(INDEX(종합!I$3:I$501,MATCH(ROW()-2,종합!$AD$3:$AD$501,0))&amp;"","")</f>
        <v/>
      </c>
      <c r="J75" s="21" t="str">
        <f aca="false">IFERROR(INDEX(종합!J$3:J$501,MATCH(ROW()-2,종합!$AD$3:$AD$501,0))&amp;"","")</f>
        <v/>
      </c>
      <c r="K75" s="21" t="str">
        <f aca="false">IFERROR(INDEX(종합!K$3:K$501,MATCH(ROW()-2,종합!$AD$3:$AD$501,0))&amp;"","")</f>
        <v/>
      </c>
      <c r="L75" s="21" t="str">
        <f aca="false">IFERROR(INDEX(종합!L$3:L$501,MATCH(ROW()-2,종합!$AD$3:$AD$501,0))&amp;"","")</f>
        <v/>
      </c>
      <c r="M75" s="21" t="str">
        <f aca="false">IFERROR(INDEX(종합!M$3:M$501,MATCH(ROW()-2,종합!$AD$3:$AD$501,0))&amp;"","")</f>
        <v/>
      </c>
      <c r="N75" s="25" t="str">
        <f aca="false">IFERROR(INDEX(종합!N$3:N$501,MATCH(ROW()-2,종합!$AD$3:$AD$501,0))&amp;"","")</f>
        <v/>
      </c>
      <c r="O75" s="21" t="str">
        <f aca="false">IFERROR(INDEX(종합!O$3:O$501,MATCH(ROW()-2,종합!$AD$3:$AD$501,0))&amp;"","")</f>
        <v/>
      </c>
      <c r="P75" s="21" t="str">
        <f aca="false">IFERROR(INDEX(종합!P$3:P$501,MATCH(ROW()-2,종합!$AD$3:$AD$501,0))&amp;"","")</f>
        <v/>
      </c>
      <c r="Q75" s="21" t="str">
        <f aca="false">IFERROR(INDEX(종합!Q$3:Q$501,MATCH(ROW()-2,종합!$AD$3:$AD$501,0))&amp;"","")</f>
        <v/>
      </c>
      <c r="R75" s="21" t="str">
        <f aca="false">IFERROR(INDEX(종합!R$3:R$501,MATCH(ROW()-2,종합!$AD$3:$AD$501,0))&amp;"","")</f>
        <v/>
      </c>
      <c r="S75" s="21" t="str">
        <f aca="false">IFERROR(INDEX(종합!S$3:S$501,MATCH(ROW()-2,종합!$AD$3:$AD$501,0))&amp;"","")</f>
        <v/>
      </c>
      <c r="T75" s="21" t="str">
        <f aca="false">IFERROR(INDEX(종합!T$3:T$501,MATCH(ROW()-2,종합!$AD$3:$AD$501,0))&amp;"","")</f>
        <v/>
      </c>
      <c r="U75" s="21" t="str">
        <f aca="false">IFERROR(INDEX(종합!U$3:U$501,MATCH(ROW()-2,종합!$AD$3:$AD$501,0))&amp;"","")</f>
        <v/>
      </c>
      <c r="V75" s="21" t="str">
        <f aca="false">IFERROR(INDEX(종합!V$3:V$501,MATCH(ROW()-2,종합!$AD$3:$AD$501,0))&amp;"","")</f>
        <v/>
      </c>
      <c r="W75" s="21" t="str">
        <f aca="false">IFERROR(INDEX(종합!W$3:W$501,MATCH(ROW()-2,종합!$AD$3:$AD$501,0))&amp;"","")</f>
        <v/>
      </c>
      <c r="X75" s="21" t="str">
        <f aca="false">IFERROR(INDEX(종합!X$3:X$501,MATCH(ROW()-2,종합!$AD$3:$AD$501,0))&amp;"","")</f>
        <v/>
      </c>
      <c r="Y75" s="21" t="str">
        <f aca="false">IFERROR(INDEX(종합!Y$3:Y$501,MATCH(ROW()-2,종합!$AD$3:$AD$501,0))&amp;"","")</f>
        <v/>
      </c>
      <c r="Z75" s="21" t="str">
        <f aca="false">IFERROR(INDEX(종합!Z$3:Z$501,MATCH(ROW()-2,종합!$AD$3:$AD$501,0))&amp;"","")</f>
        <v/>
      </c>
      <c r="AA75" s="23" t="str">
        <f aca="false">IFERROR(INDEX(종합!AA$3:AA$501,MATCH(ROW()-2,종합!$AD$3:$AD$501,0))&amp;"","")</f>
        <v/>
      </c>
    </row>
    <row r="76" customFormat="false" ht="33.75" hidden="false" customHeight="true" outlineLevel="0" collapsed="false">
      <c r="A76" s="18" t="str">
        <f aca="false">IF(B76="","",ROW()-2)</f>
        <v/>
      </c>
      <c r="B76" s="18" t="str">
        <f aca="false">IFERROR(INDEX(종합!B$3:B$501,MATCH(ROW()-2,종합!$AD$3:$AD$501,0))&amp;"","")</f>
        <v/>
      </c>
      <c r="C76" s="18" t="str">
        <f aca="false">IFERROR(INDEX(종합!C$3:C$501,MATCH(ROW()-2,종합!$AD$3:$AD$501,0))&amp;"","")</f>
        <v/>
      </c>
      <c r="D76" s="18" t="str">
        <f aca="false">IFERROR(INDEX(종합!D$3:D$501,MATCH(ROW()-2,종합!$AD$3:$AD$501,0))&amp;"","")</f>
        <v/>
      </c>
      <c r="E76" s="18" t="str">
        <f aca="false">IFERROR(INDEX(종합!E$3:E$501,MATCH(ROW()-2,종합!$AD$3:$AD$501,0))&amp;"","")</f>
        <v/>
      </c>
      <c r="F76" s="18" t="str">
        <f aca="false">IFERROR(INDEX(종합!F$3:F$501,MATCH(ROW()-2,종합!$AD$3:$AD$501,0))&amp;"","")</f>
        <v/>
      </c>
      <c r="G76" s="18" t="str">
        <f aca="false">IFERROR(INDEX(종합!G$3:G$501,MATCH(ROW()-2,종합!$AD$3:$AD$501,0))&amp;"","")</f>
        <v/>
      </c>
      <c r="H76" s="21" t="str">
        <f aca="false">IFERROR(INDEX(종합!H$3:H$501,MATCH(ROW()-2,종합!$AD$3:$AD$501,0))&amp;"","")</f>
        <v/>
      </c>
      <c r="I76" s="21" t="str">
        <f aca="false">IFERROR(INDEX(종합!I$3:I$501,MATCH(ROW()-2,종합!$AD$3:$AD$501,0))&amp;"","")</f>
        <v/>
      </c>
      <c r="J76" s="21" t="str">
        <f aca="false">IFERROR(INDEX(종합!J$3:J$501,MATCH(ROW()-2,종합!$AD$3:$AD$501,0))&amp;"","")</f>
        <v/>
      </c>
      <c r="K76" s="21" t="str">
        <f aca="false">IFERROR(INDEX(종합!K$3:K$501,MATCH(ROW()-2,종합!$AD$3:$AD$501,0))&amp;"","")</f>
        <v/>
      </c>
      <c r="L76" s="21" t="str">
        <f aca="false">IFERROR(INDEX(종합!L$3:L$501,MATCH(ROW()-2,종합!$AD$3:$AD$501,0))&amp;"","")</f>
        <v/>
      </c>
      <c r="M76" s="21" t="str">
        <f aca="false">IFERROR(INDEX(종합!M$3:M$501,MATCH(ROW()-2,종합!$AD$3:$AD$501,0))&amp;"","")</f>
        <v/>
      </c>
      <c r="N76" s="25" t="str">
        <f aca="false">IFERROR(INDEX(종합!N$3:N$501,MATCH(ROW()-2,종합!$AD$3:$AD$501,0))&amp;"","")</f>
        <v/>
      </c>
      <c r="O76" s="21" t="str">
        <f aca="false">IFERROR(INDEX(종합!O$3:O$501,MATCH(ROW()-2,종합!$AD$3:$AD$501,0))&amp;"","")</f>
        <v/>
      </c>
      <c r="P76" s="21" t="str">
        <f aca="false">IFERROR(INDEX(종합!P$3:P$501,MATCH(ROW()-2,종합!$AD$3:$AD$501,0))&amp;"","")</f>
        <v/>
      </c>
      <c r="Q76" s="21" t="str">
        <f aca="false">IFERROR(INDEX(종합!Q$3:Q$501,MATCH(ROW()-2,종합!$AD$3:$AD$501,0))&amp;"","")</f>
        <v/>
      </c>
      <c r="R76" s="21" t="str">
        <f aca="false">IFERROR(INDEX(종합!R$3:R$501,MATCH(ROW()-2,종합!$AD$3:$AD$501,0))&amp;"","")</f>
        <v/>
      </c>
      <c r="S76" s="21" t="str">
        <f aca="false">IFERROR(INDEX(종합!S$3:S$501,MATCH(ROW()-2,종합!$AD$3:$AD$501,0))&amp;"","")</f>
        <v/>
      </c>
      <c r="T76" s="21" t="str">
        <f aca="false">IFERROR(INDEX(종합!T$3:T$501,MATCH(ROW()-2,종합!$AD$3:$AD$501,0))&amp;"","")</f>
        <v/>
      </c>
      <c r="U76" s="21" t="str">
        <f aca="false">IFERROR(INDEX(종합!U$3:U$501,MATCH(ROW()-2,종합!$AD$3:$AD$501,0))&amp;"","")</f>
        <v/>
      </c>
      <c r="V76" s="21" t="str">
        <f aca="false">IFERROR(INDEX(종합!V$3:V$501,MATCH(ROW()-2,종합!$AD$3:$AD$501,0))&amp;"","")</f>
        <v/>
      </c>
      <c r="W76" s="21" t="str">
        <f aca="false">IFERROR(INDEX(종합!W$3:W$501,MATCH(ROW()-2,종합!$AD$3:$AD$501,0))&amp;"","")</f>
        <v/>
      </c>
      <c r="X76" s="21" t="str">
        <f aca="false">IFERROR(INDEX(종합!X$3:X$501,MATCH(ROW()-2,종합!$AD$3:$AD$501,0))&amp;"","")</f>
        <v/>
      </c>
      <c r="Y76" s="21" t="str">
        <f aca="false">IFERROR(INDEX(종합!Y$3:Y$501,MATCH(ROW()-2,종합!$AD$3:$AD$501,0))&amp;"","")</f>
        <v/>
      </c>
      <c r="Z76" s="21" t="str">
        <f aca="false">IFERROR(INDEX(종합!Z$3:Z$501,MATCH(ROW()-2,종합!$AD$3:$AD$501,0))&amp;"","")</f>
        <v/>
      </c>
      <c r="AA76" s="23" t="str">
        <f aca="false">IFERROR(INDEX(종합!AA$3:AA$501,MATCH(ROW()-2,종합!$AD$3:$AD$501,0))&amp;"","")</f>
        <v/>
      </c>
    </row>
    <row r="77" customFormat="false" ht="22.5" hidden="false" customHeight="true" outlineLevel="0" collapsed="false">
      <c r="A77" s="18" t="str">
        <f aca="false">IF(B77="","",ROW()-2)</f>
        <v/>
      </c>
      <c r="B77" s="18" t="str">
        <f aca="false">IFERROR(INDEX(종합!B$3:B$501,MATCH(ROW()-2,종합!$AD$3:$AD$501,0))&amp;"","")</f>
        <v/>
      </c>
      <c r="C77" s="18" t="str">
        <f aca="false">IFERROR(INDEX(종합!C$3:C$501,MATCH(ROW()-2,종합!$AD$3:$AD$501,0))&amp;"","")</f>
        <v/>
      </c>
      <c r="D77" s="18" t="str">
        <f aca="false">IFERROR(INDEX(종합!D$3:D$501,MATCH(ROW()-2,종합!$AD$3:$AD$501,0))&amp;"","")</f>
        <v/>
      </c>
      <c r="E77" s="18" t="str">
        <f aca="false">IFERROR(INDEX(종합!E$3:E$501,MATCH(ROW()-2,종합!$AD$3:$AD$501,0))&amp;"","")</f>
        <v/>
      </c>
      <c r="F77" s="18" t="str">
        <f aca="false">IFERROR(INDEX(종합!F$3:F$501,MATCH(ROW()-2,종합!$AD$3:$AD$501,0))&amp;"","")</f>
        <v/>
      </c>
      <c r="G77" s="18" t="str">
        <f aca="false">IFERROR(INDEX(종합!G$3:G$501,MATCH(ROW()-2,종합!$AD$3:$AD$501,0))&amp;"","")</f>
        <v/>
      </c>
      <c r="H77" s="21" t="str">
        <f aca="false">IFERROR(INDEX(종합!H$3:H$501,MATCH(ROW()-2,종합!$AD$3:$AD$501,0))&amp;"","")</f>
        <v/>
      </c>
      <c r="I77" s="21" t="str">
        <f aca="false">IFERROR(INDEX(종합!I$3:I$501,MATCH(ROW()-2,종합!$AD$3:$AD$501,0))&amp;"","")</f>
        <v/>
      </c>
      <c r="J77" s="21" t="str">
        <f aca="false">IFERROR(INDEX(종합!J$3:J$501,MATCH(ROW()-2,종합!$AD$3:$AD$501,0))&amp;"","")</f>
        <v/>
      </c>
      <c r="K77" s="21" t="str">
        <f aca="false">IFERROR(INDEX(종합!K$3:K$501,MATCH(ROW()-2,종합!$AD$3:$AD$501,0))&amp;"","")</f>
        <v/>
      </c>
      <c r="L77" s="21" t="str">
        <f aca="false">IFERROR(INDEX(종합!L$3:L$501,MATCH(ROW()-2,종합!$AD$3:$AD$501,0))&amp;"","")</f>
        <v/>
      </c>
      <c r="M77" s="21" t="str">
        <f aca="false">IFERROR(INDEX(종합!M$3:M$501,MATCH(ROW()-2,종합!$AD$3:$AD$501,0))&amp;"","")</f>
        <v/>
      </c>
      <c r="N77" s="25" t="str">
        <f aca="false">IFERROR(INDEX(종합!N$3:N$501,MATCH(ROW()-2,종합!$AD$3:$AD$501,0))&amp;"","")</f>
        <v/>
      </c>
      <c r="O77" s="21" t="str">
        <f aca="false">IFERROR(INDEX(종합!O$3:O$501,MATCH(ROW()-2,종합!$AD$3:$AD$501,0))&amp;"","")</f>
        <v/>
      </c>
      <c r="P77" s="21" t="str">
        <f aca="false">IFERROR(INDEX(종합!P$3:P$501,MATCH(ROW()-2,종합!$AD$3:$AD$501,0))&amp;"","")</f>
        <v/>
      </c>
      <c r="Q77" s="21" t="str">
        <f aca="false">IFERROR(INDEX(종합!Q$3:Q$501,MATCH(ROW()-2,종합!$AD$3:$AD$501,0))&amp;"","")</f>
        <v/>
      </c>
      <c r="R77" s="21" t="str">
        <f aca="false">IFERROR(INDEX(종합!R$3:R$501,MATCH(ROW()-2,종합!$AD$3:$AD$501,0))&amp;"","")</f>
        <v/>
      </c>
      <c r="S77" s="21" t="str">
        <f aca="false">IFERROR(INDEX(종합!S$3:S$501,MATCH(ROW()-2,종합!$AD$3:$AD$501,0))&amp;"","")</f>
        <v/>
      </c>
      <c r="T77" s="21" t="str">
        <f aca="false">IFERROR(INDEX(종합!T$3:T$501,MATCH(ROW()-2,종합!$AD$3:$AD$501,0))&amp;"","")</f>
        <v/>
      </c>
      <c r="U77" s="21" t="str">
        <f aca="false">IFERROR(INDEX(종합!U$3:U$501,MATCH(ROW()-2,종합!$AD$3:$AD$501,0))&amp;"","")</f>
        <v/>
      </c>
      <c r="V77" s="21" t="str">
        <f aca="false">IFERROR(INDEX(종합!V$3:V$501,MATCH(ROW()-2,종합!$AD$3:$AD$501,0))&amp;"","")</f>
        <v/>
      </c>
      <c r="W77" s="21" t="str">
        <f aca="false">IFERROR(INDEX(종합!W$3:W$501,MATCH(ROW()-2,종합!$AD$3:$AD$501,0))&amp;"","")</f>
        <v/>
      </c>
      <c r="X77" s="21" t="str">
        <f aca="false">IFERROR(INDEX(종합!X$3:X$501,MATCH(ROW()-2,종합!$AD$3:$AD$501,0))&amp;"","")</f>
        <v/>
      </c>
      <c r="Y77" s="21" t="str">
        <f aca="false">IFERROR(INDEX(종합!Y$3:Y$501,MATCH(ROW()-2,종합!$AD$3:$AD$501,0))&amp;"","")</f>
        <v/>
      </c>
      <c r="Z77" s="21" t="str">
        <f aca="false">IFERROR(INDEX(종합!Z$3:Z$501,MATCH(ROW()-2,종합!$AD$3:$AD$501,0))&amp;"","")</f>
        <v/>
      </c>
      <c r="AA77" s="23" t="str">
        <f aca="false">IFERROR(INDEX(종합!AA$3:AA$501,MATCH(ROW()-2,종합!$AD$3:$AD$501,0))&amp;"","")</f>
        <v/>
      </c>
    </row>
    <row r="78" customFormat="false" ht="33.75" hidden="false" customHeight="true" outlineLevel="0" collapsed="false">
      <c r="A78" s="18" t="str">
        <f aca="false">IF(B78="","",ROW()-2)</f>
        <v/>
      </c>
      <c r="B78" s="18" t="str">
        <f aca="false">IFERROR(INDEX(종합!B$3:B$501,MATCH(ROW()-2,종합!$AD$3:$AD$501,0))&amp;"","")</f>
        <v/>
      </c>
      <c r="C78" s="18" t="str">
        <f aca="false">IFERROR(INDEX(종합!C$3:C$501,MATCH(ROW()-2,종합!$AD$3:$AD$501,0))&amp;"","")</f>
        <v/>
      </c>
      <c r="D78" s="18" t="str">
        <f aca="false">IFERROR(INDEX(종합!D$3:D$501,MATCH(ROW()-2,종합!$AD$3:$AD$501,0))&amp;"","")</f>
        <v/>
      </c>
      <c r="E78" s="18" t="str">
        <f aca="false">IFERROR(INDEX(종합!E$3:E$501,MATCH(ROW()-2,종합!$AD$3:$AD$501,0))&amp;"","")</f>
        <v/>
      </c>
      <c r="F78" s="18" t="str">
        <f aca="false">IFERROR(INDEX(종합!F$3:F$501,MATCH(ROW()-2,종합!$AD$3:$AD$501,0))&amp;"","")</f>
        <v/>
      </c>
      <c r="G78" s="18" t="str">
        <f aca="false">IFERROR(INDEX(종합!G$3:G$501,MATCH(ROW()-2,종합!$AD$3:$AD$501,0))&amp;"","")</f>
        <v/>
      </c>
      <c r="H78" s="21" t="str">
        <f aca="false">IFERROR(INDEX(종합!H$3:H$501,MATCH(ROW()-2,종합!$AD$3:$AD$501,0))&amp;"","")</f>
        <v/>
      </c>
      <c r="I78" s="21" t="str">
        <f aca="false">IFERROR(INDEX(종합!I$3:I$501,MATCH(ROW()-2,종합!$AD$3:$AD$501,0))&amp;"","")</f>
        <v/>
      </c>
      <c r="J78" s="21" t="str">
        <f aca="false">IFERROR(INDEX(종합!J$3:J$501,MATCH(ROW()-2,종합!$AD$3:$AD$501,0))&amp;"","")</f>
        <v/>
      </c>
      <c r="K78" s="21" t="str">
        <f aca="false">IFERROR(INDEX(종합!K$3:K$501,MATCH(ROW()-2,종합!$AD$3:$AD$501,0))&amp;"","")</f>
        <v/>
      </c>
      <c r="L78" s="21" t="str">
        <f aca="false">IFERROR(INDEX(종합!L$3:L$501,MATCH(ROW()-2,종합!$AD$3:$AD$501,0))&amp;"","")</f>
        <v/>
      </c>
      <c r="M78" s="21" t="str">
        <f aca="false">IFERROR(INDEX(종합!M$3:M$501,MATCH(ROW()-2,종합!$AD$3:$AD$501,0))&amp;"","")</f>
        <v/>
      </c>
      <c r="N78" s="25" t="str">
        <f aca="false">IFERROR(INDEX(종합!N$3:N$501,MATCH(ROW()-2,종합!$AD$3:$AD$501,0))&amp;"","")</f>
        <v/>
      </c>
      <c r="O78" s="21" t="str">
        <f aca="false">IFERROR(INDEX(종합!O$3:O$501,MATCH(ROW()-2,종합!$AD$3:$AD$501,0))&amp;"","")</f>
        <v/>
      </c>
      <c r="P78" s="21" t="str">
        <f aca="false">IFERROR(INDEX(종합!P$3:P$501,MATCH(ROW()-2,종합!$AD$3:$AD$501,0))&amp;"","")</f>
        <v/>
      </c>
      <c r="Q78" s="21" t="str">
        <f aca="false">IFERROR(INDEX(종합!Q$3:Q$501,MATCH(ROW()-2,종합!$AD$3:$AD$501,0))&amp;"","")</f>
        <v/>
      </c>
      <c r="R78" s="21" t="str">
        <f aca="false">IFERROR(INDEX(종합!R$3:R$501,MATCH(ROW()-2,종합!$AD$3:$AD$501,0))&amp;"","")</f>
        <v/>
      </c>
      <c r="S78" s="21" t="str">
        <f aca="false">IFERROR(INDEX(종합!S$3:S$501,MATCH(ROW()-2,종합!$AD$3:$AD$501,0))&amp;"","")</f>
        <v/>
      </c>
      <c r="T78" s="21" t="str">
        <f aca="false">IFERROR(INDEX(종합!T$3:T$501,MATCH(ROW()-2,종합!$AD$3:$AD$501,0))&amp;"","")</f>
        <v/>
      </c>
      <c r="U78" s="21" t="str">
        <f aca="false">IFERROR(INDEX(종합!U$3:U$501,MATCH(ROW()-2,종합!$AD$3:$AD$501,0))&amp;"","")</f>
        <v/>
      </c>
      <c r="V78" s="21" t="str">
        <f aca="false">IFERROR(INDEX(종합!V$3:V$501,MATCH(ROW()-2,종합!$AD$3:$AD$501,0))&amp;"","")</f>
        <v/>
      </c>
      <c r="W78" s="21" t="str">
        <f aca="false">IFERROR(INDEX(종합!W$3:W$501,MATCH(ROW()-2,종합!$AD$3:$AD$501,0))&amp;"","")</f>
        <v/>
      </c>
      <c r="X78" s="21" t="str">
        <f aca="false">IFERROR(INDEX(종합!X$3:X$501,MATCH(ROW()-2,종합!$AD$3:$AD$501,0))&amp;"","")</f>
        <v/>
      </c>
      <c r="Y78" s="21" t="str">
        <f aca="false">IFERROR(INDEX(종합!Y$3:Y$501,MATCH(ROW()-2,종합!$AD$3:$AD$501,0))&amp;"","")</f>
        <v/>
      </c>
      <c r="Z78" s="21" t="str">
        <f aca="false">IFERROR(INDEX(종합!Z$3:Z$501,MATCH(ROW()-2,종합!$AD$3:$AD$501,0))&amp;"","")</f>
        <v/>
      </c>
      <c r="AA78" s="23" t="str">
        <f aca="false">IFERROR(INDEX(종합!AA$3:AA$501,MATCH(ROW()-2,종합!$AD$3:$AD$501,0))&amp;"","")</f>
        <v/>
      </c>
    </row>
    <row r="79" customFormat="false" ht="22.5" hidden="false" customHeight="true" outlineLevel="0" collapsed="false">
      <c r="A79" s="18" t="str">
        <f aca="false">IF(B79="","",ROW()-2)</f>
        <v/>
      </c>
      <c r="B79" s="18" t="str">
        <f aca="false">IFERROR(INDEX(종합!B$3:B$501,MATCH(ROW()-2,종합!$AD$3:$AD$501,0))&amp;"","")</f>
        <v/>
      </c>
      <c r="C79" s="18" t="str">
        <f aca="false">IFERROR(INDEX(종합!C$3:C$501,MATCH(ROW()-2,종합!$AD$3:$AD$501,0))&amp;"","")</f>
        <v/>
      </c>
      <c r="D79" s="18" t="str">
        <f aca="false">IFERROR(INDEX(종합!D$3:D$501,MATCH(ROW()-2,종합!$AD$3:$AD$501,0))&amp;"","")</f>
        <v/>
      </c>
      <c r="E79" s="18" t="str">
        <f aca="false">IFERROR(INDEX(종합!E$3:E$501,MATCH(ROW()-2,종합!$AD$3:$AD$501,0))&amp;"","")</f>
        <v/>
      </c>
      <c r="F79" s="18" t="str">
        <f aca="false">IFERROR(INDEX(종합!F$3:F$501,MATCH(ROW()-2,종합!$AD$3:$AD$501,0))&amp;"","")</f>
        <v/>
      </c>
      <c r="G79" s="18" t="str">
        <f aca="false">IFERROR(INDEX(종합!G$3:G$501,MATCH(ROW()-2,종합!$AD$3:$AD$501,0))&amp;"","")</f>
        <v/>
      </c>
      <c r="H79" s="21" t="str">
        <f aca="false">IFERROR(INDEX(종합!H$3:H$501,MATCH(ROW()-2,종합!$AD$3:$AD$501,0))&amp;"","")</f>
        <v/>
      </c>
      <c r="I79" s="21" t="str">
        <f aca="false">IFERROR(INDEX(종합!I$3:I$501,MATCH(ROW()-2,종합!$AD$3:$AD$501,0))&amp;"","")</f>
        <v/>
      </c>
      <c r="J79" s="21" t="str">
        <f aca="false">IFERROR(INDEX(종합!J$3:J$501,MATCH(ROW()-2,종합!$AD$3:$AD$501,0))&amp;"","")</f>
        <v/>
      </c>
      <c r="K79" s="21" t="str">
        <f aca="false">IFERROR(INDEX(종합!K$3:K$501,MATCH(ROW()-2,종합!$AD$3:$AD$501,0))&amp;"","")</f>
        <v/>
      </c>
      <c r="L79" s="21" t="str">
        <f aca="false">IFERROR(INDEX(종합!L$3:L$501,MATCH(ROW()-2,종합!$AD$3:$AD$501,0))&amp;"","")</f>
        <v/>
      </c>
      <c r="M79" s="21" t="str">
        <f aca="false">IFERROR(INDEX(종합!M$3:M$501,MATCH(ROW()-2,종합!$AD$3:$AD$501,0))&amp;"","")</f>
        <v/>
      </c>
      <c r="N79" s="25" t="str">
        <f aca="false">IFERROR(INDEX(종합!N$3:N$501,MATCH(ROW()-2,종합!$AD$3:$AD$501,0))&amp;"","")</f>
        <v/>
      </c>
      <c r="O79" s="21" t="str">
        <f aca="false">IFERROR(INDEX(종합!O$3:O$501,MATCH(ROW()-2,종합!$AD$3:$AD$501,0))&amp;"","")</f>
        <v/>
      </c>
      <c r="P79" s="21" t="str">
        <f aca="false">IFERROR(INDEX(종합!P$3:P$501,MATCH(ROW()-2,종합!$AD$3:$AD$501,0))&amp;"","")</f>
        <v/>
      </c>
      <c r="Q79" s="21" t="str">
        <f aca="false">IFERROR(INDEX(종합!Q$3:Q$501,MATCH(ROW()-2,종합!$AD$3:$AD$501,0))&amp;"","")</f>
        <v/>
      </c>
      <c r="R79" s="21" t="str">
        <f aca="false">IFERROR(INDEX(종합!R$3:R$501,MATCH(ROW()-2,종합!$AD$3:$AD$501,0))&amp;"","")</f>
        <v/>
      </c>
      <c r="S79" s="21" t="str">
        <f aca="false">IFERROR(INDEX(종합!S$3:S$501,MATCH(ROW()-2,종합!$AD$3:$AD$501,0))&amp;"","")</f>
        <v/>
      </c>
      <c r="T79" s="21" t="str">
        <f aca="false">IFERROR(INDEX(종합!T$3:T$501,MATCH(ROW()-2,종합!$AD$3:$AD$501,0))&amp;"","")</f>
        <v/>
      </c>
      <c r="U79" s="21" t="str">
        <f aca="false">IFERROR(INDEX(종합!U$3:U$501,MATCH(ROW()-2,종합!$AD$3:$AD$501,0))&amp;"","")</f>
        <v/>
      </c>
      <c r="V79" s="21" t="str">
        <f aca="false">IFERROR(INDEX(종합!V$3:V$501,MATCH(ROW()-2,종합!$AD$3:$AD$501,0))&amp;"","")</f>
        <v/>
      </c>
      <c r="W79" s="21" t="str">
        <f aca="false">IFERROR(INDEX(종합!W$3:W$501,MATCH(ROW()-2,종합!$AD$3:$AD$501,0))&amp;"","")</f>
        <v/>
      </c>
      <c r="X79" s="21" t="str">
        <f aca="false">IFERROR(INDEX(종합!X$3:X$501,MATCH(ROW()-2,종합!$AD$3:$AD$501,0))&amp;"","")</f>
        <v/>
      </c>
      <c r="Y79" s="21" t="str">
        <f aca="false">IFERROR(INDEX(종합!Y$3:Y$501,MATCH(ROW()-2,종합!$AD$3:$AD$501,0))&amp;"","")</f>
        <v/>
      </c>
      <c r="Z79" s="21" t="str">
        <f aca="false">IFERROR(INDEX(종합!Z$3:Z$501,MATCH(ROW()-2,종합!$AD$3:$AD$501,0))&amp;"","")</f>
        <v/>
      </c>
      <c r="AA79" s="23" t="str">
        <f aca="false">IFERROR(INDEX(종합!AA$3:AA$501,MATCH(ROW()-2,종합!$AD$3:$AD$501,0))&amp;"","")</f>
        <v/>
      </c>
    </row>
    <row r="80" customFormat="false" ht="22.5" hidden="false" customHeight="true" outlineLevel="0" collapsed="false">
      <c r="A80" s="18" t="str">
        <f aca="false">IF(B80="","",ROW()-2)</f>
        <v/>
      </c>
      <c r="B80" s="18" t="str">
        <f aca="false">IFERROR(INDEX(종합!B$3:B$501,MATCH(ROW()-2,종합!$AD$3:$AD$501,0))&amp;"","")</f>
        <v/>
      </c>
      <c r="C80" s="18" t="str">
        <f aca="false">IFERROR(INDEX(종합!C$3:C$501,MATCH(ROW()-2,종합!$AD$3:$AD$501,0))&amp;"","")</f>
        <v/>
      </c>
      <c r="D80" s="18" t="str">
        <f aca="false">IFERROR(INDEX(종합!D$3:D$501,MATCH(ROW()-2,종합!$AD$3:$AD$501,0))&amp;"","")</f>
        <v/>
      </c>
      <c r="E80" s="18" t="str">
        <f aca="false">IFERROR(INDEX(종합!E$3:E$501,MATCH(ROW()-2,종합!$AD$3:$AD$501,0))&amp;"","")</f>
        <v/>
      </c>
      <c r="F80" s="18" t="str">
        <f aca="false">IFERROR(INDEX(종합!F$3:F$501,MATCH(ROW()-2,종합!$AD$3:$AD$501,0))&amp;"","")</f>
        <v/>
      </c>
      <c r="G80" s="18" t="str">
        <f aca="false">IFERROR(INDEX(종합!G$3:G$501,MATCH(ROW()-2,종합!$AD$3:$AD$501,0))&amp;"","")</f>
        <v/>
      </c>
      <c r="H80" s="21" t="str">
        <f aca="false">IFERROR(INDEX(종합!H$3:H$501,MATCH(ROW()-2,종합!$AD$3:$AD$501,0))&amp;"","")</f>
        <v/>
      </c>
      <c r="I80" s="21" t="str">
        <f aca="false">IFERROR(INDEX(종합!I$3:I$501,MATCH(ROW()-2,종합!$AD$3:$AD$501,0))&amp;"","")</f>
        <v/>
      </c>
      <c r="J80" s="21" t="str">
        <f aca="false">IFERROR(INDEX(종합!J$3:J$501,MATCH(ROW()-2,종합!$AD$3:$AD$501,0))&amp;"","")</f>
        <v/>
      </c>
      <c r="K80" s="21" t="str">
        <f aca="false">IFERROR(INDEX(종합!K$3:K$501,MATCH(ROW()-2,종합!$AD$3:$AD$501,0))&amp;"","")</f>
        <v/>
      </c>
      <c r="L80" s="21" t="str">
        <f aca="false">IFERROR(INDEX(종합!L$3:L$501,MATCH(ROW()-2,종합!$AD$3:$AD$501,0))&amp;"","")</f>
        <v/>
      </c>
      <c r="M80" s="21" t="str">
        <f aca="false">IFERROR(INDEX(종합!M$3:M$501,MATCH(ROW()-2,종합!$AD$3:$AD$501,0))&amp;"","")</f>
        <v/>
      </c>
      <c r="N80" s="25" t="str">
        <f aca="false">IFERROR(INDEX(종합!N$3:N$501,MATCH(ROW()-2,종합!$AD$3:$AD$501,0))&amp;"","")</f>
        <v/>
      </c>
      <c r="O80" s="21" t="str">
        <f aca="false">IFERROR(INDEX(종합!O$3:O$501,MATCH(ROW()-2,종합!$AD$3:$AD$501,0))&amp;"","")</f>
        <v/>
      </c>
      <c r="P80" s="21" t="str">
        <f aca="false">IFERROR(INDEX(종합!P$3:P$501,MATCH(ROW()-2,종합!$AD$3:$AD$501,0))&amp;"","")</f>
        <v/>
      </c>
      <c r="Q80" s="21" t="str">
        <f aca="false">IFERROR(INDEX(종합!Q$3:Q$501,MATCH(ROW()-2,종합!$AD$3:$AD$501,0))&amp;"","")</f>
        <v/>
      </c>
      <c r="R80" s="21" t="str">
        <f aca="false">IFERROR(INDEX(종합!R$3:R$501,MATCH(ROW()-2,종합!$AD$3:$AD$501,0))&amp;"","")</f>
        <v/>
      </c>
      <c r="S80" s="21" t="str">
        <f aca="false">IFERROR(INDEX(종합!S$3:S$501,MATCH(ROW()-2,종합!$AD$3:$AD$501,0))&amp;"","")</f>
        <v/>
      </c>
      <c r="T80" s="21" t="str">
        <f aca="false">IFERROR(INDEX(종합!T$3:T$501,MATCH(ROW()-2,종합!$AD$3:$AD$501,0))&amp;"","")</f>
        <v/>
      </c>
      <c r="U80" s="21" t="str">
        <f aca="false">IFERROR(INDEX(종합!U$3:U$501,MATCH(ROW()-2,종합!$AD$3:$AD$501,0))&amp;"","")</f>
        <v/>
      </c>
      <c r="V80" s="21" t="str">
        <f aca="false">IFERROR(INDEX(종합!V$3:V$501,MATCH(ROW()-2,종합!$AD$3:$AD$501,0))&amp;"","")</f>
        <v/>
      </c>
      <c r="W80" s="21" t="str">
        <f aca="false">IFERROR(INDEX(종합!W$3:W$501,MATCH(ROW()-2,종합!$AD$3:$AD$501,0))&amp;"","")</f>
        <v/>
      </c>
      <c r="X80" s="21" t="str">
        <f aca="false">IFERROR(INDEX(종합!X$3:X$501,MATCH(ROW()-2,종합!$AD$3:$AD$501,0))&amp;"","")</f>
        <v/>
      </c>
      <c r="Y80" s="21" t="str">
        <f aca="false">IFERROR(INDEX(종합!Y$3:Y$501,MATCH(ROW()-2,종합!$AD$3:$AD$501,0))&amp;"","")</f>
        <v/>
      </c>
      <c r="Z80" s="21" t="str">
        <f aca="false">IFERROR(INDEX(종합!Z$3:Z$501,MATCH(ROW()-2,종합!$AD$3:$AD$501,0))&amp;"","")</f>
        <v/>
      </c>
      <c r="AA80" s="23" t="str">
        <f aca="false">IFERROR(INDEX(종합!AA$3:AA$501,MATCH(ROW()-2,종합!$AD$3:$AD$501,0))&amp;"","")</f>
        <v/>
      </c>
    </row>
    <row r="81" customFormat="false" ht="22.5" hidden="false" customHeight="true" outlineLevel="0" collapsed="false">
      <c r="A81" s="18" t="str">
        <f aca="false">IF(B81="","",ROW()-2)</f>
        <v/>
      </c>
      <c r="B81" s="18" t="str">
        <f aca="false">IFERROR(INDEX(종합!B$3:B$501,MATCH(ROW()-2,종합!$AD$3:$AD$501,0))&amp;"","")</f>
        <v/>
      </c>
      <c r="C81" s="18" t="str">
        <f aca="false">IFERROR(INDEX(종합!C$3:C$501,MATCH(ROW()-2,종합!$AD$3:$AD$501,0))&amp;"","")</f>
        <v/>
      </c>
      <c r="D81" s="18" t="str">
        <f aca="false">IFERROR(INDEX(종합!D$3:D$501,MATCH(ROW()-2,종합!$AD$3:$AD$501,0))&amp;"","")</f>
        <v/>
      </c>
      <c r="E81" s="18" t="str">
        <f aca="false">IFERROR(INDEX(종합!E$3:E$501,MATCH(ROW()-2,종합!$AD$3:$AD$501,0))&amp;"","")</f>
        <v/>
      </c>
      <c r="F81" s="18" t="str">
        <f aca="false">IFERROR(INDEX(종합!F$3:F$501,MATCH(ROW()-2,종합!$AD$3:$AD$501,0))&amp;"","")</f>
        <v/>
      </c>
      <c r="G81" s="18" t="str">
        <f aca="false">IFERROR(INDEX(종합!G$3:G$501,MATCH(ROW()-2,종합!$AD$3:$AD$501,0))&amp;"","")</f>
        <v/>
      </c>
      <c r="H81" s="21" t="str">
        <f aca="false">IFERROR(INDEX(종합!H$3:H$501,MATCH(ROW()-2,종합!$AD$3:$AD$501,0))&amp;"","")</f>
        <v/>
      </c>
      <c r="I81" s="21" t="str">
        <f aca="false">IFERROR(INDEX(종합!I$3:I$501,MATCH(ROW()-2,종합!$AD$3:$AD$501,0))&amp;"","")</f>
        <v/>
      </c>
      <c r="J81" s="21" t="str">
        <f aca="false">IFERROR(INDEX(종합!J$3:J$501,MATCH(ROW()-2,종합!$AD$3:$AD$501,0))&amp;"","")</f>
        <v/>
      </c>
      <c r="K81" s="21" t="str">
        <f aca="false">IFERROR(INDEX(종합!K$3:K$501,MATCH(ROW()-2,종합!$AD$3:$AD$501,0))&amp;"","")</f>
        <v/>
      </c>
      <c r="L81" s="21" t="str">
        <f aca="false">IFERROR(INDEX(종합!L$3:L$501,MATCH(ROW()-2,종합!$AD$3:$AD$501,0))&amp;"","")</f>
        <v/>
      </c>
      <c r="M81" s="21" t="str">
        <f aca="false">IFERROR(INDEX(종합!M$3:M$501,MATCH(ROW()-2,종합!$AD$3:$AD$501,0))&amp;"","")</f>
        <v/>
      </c>
      <c r="N81" s="25" t="str">
        <f aca="false">IFERROR(INDEX(종합!N$3:N$501,MATCH(ROW()-2,종합!$AD$3:$AD$501,0))&amp;"","")</f>
        <v/>
      </c>
      <c r="O81" s="21" t="str">
        <f aca="false">IFERROR(INDEX(종합!O$3:O$501,MATCH(ROW()-2,종합!$AD$3:$AD$501,0))&amp;"","")</f>
        <v/>
      </c>
      <c r="P81" s="21" t="str">
        <f aca="false">IFERROR(INDEX(종합!P$3:P$501,MATCH(ROW()-2,종합!$AD$3:$AD$501,0))&amp;"","")</f>
        <v/>
      </c>
      <c r="Q81" s="21" t="str">
        <f aca="false">IFERROR(INDEX(종합!Q$3:Q$501,MATCH(ROW()-2,종합!$AD$3:$AD$501,0))&amp;"","")</f>
        <v/>
      </c>
      <c r="R81" s="21" t="str">
        <f aca="false">IFERROR(INDEX(종합!R$3:R$501,MATCH(ROW()-2,종합!$AD$3:$AD$501,0))&amp;"","")</f>
        <v/>
      </c>
      <c r="S81" s="21" t="str">
        <f aca="false">IFERROR(INDEX(종합!S$3:S$501,MATCH(ROW()-2,종합!$AD$3:$AD$501,0))&amp;"","")</f>
        <v/>
      </c>
      <c r="T81" s="21" t="str">
        <f aca="false">IFERROR(INDEX(종합!T$3:T$501,MATCH(ROW()-2,종합!$AD$3:$AD$501,0))&amp;"","")</f>
        <v/>
      </c>
      <c r="U81" s="21" t="str">
        <f aca="false">IFERROR(INDEX(종합!U$3:U$501,MATCH(ROW()-2,종합!$AD$3:$AD$501,0))&amp;"","")</f>
        <v/>
      </c>
      <c r="V81" s="21" t="str">
        <f aca="false">IFERROR(INDEX(종합!V$3:V$501,MATCH(ROW()-2,종합!$AD$3:$AD$501,0))&amp;"","")</f>
        <v/>
      </c>
      <c r="W81" s="21" t="str">
        <f aca="false">IFERROR(INDEX(종합!W$3:W$501,MATCH(ROW()-2,종합!$AD$3:$AD$501,0))&amp;"","")</f>
        <v/>
      </c>
      <c r="X81" s="21" t="str">
        <f aca="false">IFERROR(INDEX(종합!X$3:X$501,MATCH(ROW()-2,종합!$AD$3:$AD$501,0))&amp;"","")</f>
        <v/>
      </c>
      <c r="Y81" s="21" t="str">
        <f aca="false">IFERROR(INDEX(종합!Y$3:Y$501,MATCH(ROW()-2,종합!$AD$3:$AD$501,0))&amp;"","")</f>
        <v/>
      </c>
      <c r="Z81" s="21" t="str">
        <f aca="false">IFERROR(INDEX(종합!Z$3:Z$501,MATCH(ROW()-2,종합!$AD$3:$AD$501,0))&amp;"","")</f>
        <v/>
      </c>
      <c r="AA81" s="23" t="str">
        <f aca="false">IFERROR(INDEX(종합!AA$3:AA$501,MATCH(ROW()-2,종합!$AD$3:$AD$501,0))&amp;"","")</f>
        <v/>
      </c>
    </row>
    <row r="82" customFormat="false" ht="22.5" hidden="false" customHeight="true" outlineLevel="0" collapsed="false">
      <c r="A82" s="18" t="str">
        <f aca="false">IF(B82="","",ROW()-2)</f>
        <v/>
      </c>
      <c r="B82" s="18" t="str">
        <f aca="false">IFERROR(INDEX(종합!B$3:B$501,MATCH(ROW()-2,종합!$AD$3:$AD$501,0))&amp;"","")</f>
        <v/>
      </c>
      <c r="C82" s="18" t="str">
        <f aca="false">IFERROR(INDEX(종합!C$3:C$501,MATCH(ROW()-2,종합!$AD$3:$AD$501,0))&amp;"","")</f>
        <v/>
      </c>
      <c r="D82" s="18" t="str">
        <f aca="false">IFERROR(INDEX(종합!D$3:D$501,MATCH(ROW()-2,종합!$AD$3:$AD$501,0))&amp;"","")</f>
        <v/>
      </c>
      <c r="E82" s="18" t="str">
        <f aca="false">IFERROR(INDEX(종합!E$3:E$501,MATCH(ROW()-2,종합!$AD$3:$AD$501,0))&amp;"","")</f>
        <v/>
      </c>
      <c r="F82" s="18" t="str">
        <f aca="false">IFERROR(INDEX(종합!F$3:F$501,MATCH(ROW()-2,종합!$AD$3:$AD$501,0))&amp;"","")</f>
        <v/>
      </c>
      <c r="G82" s="18" t="str">
        <f aca="false">IFERROR(INDEX(종합!G$3:G$501,MATCH(ROW()-2,종합!$AD$3:$AD$501,0))&amp;"","")</f>
        <v/>
      </c>
      <c r="H82" s="21" t="str">
        <f aca="false">IFERROR(INDEX(종합!H$3:H$501,MATCH(ROW()-2,종합!$AD$3:$AD$501,0))&amp;"","")</f>
        <v/>
      </c>
      <c r="I82" s="21" t="str">
        <f aca="false">IFERROR(INDEX(종합!I$3:I$501,MATCH(ROW()-2,종합!$AD$3:$AD$501,0))&amp;"","")</f>
        <v/>
      </c>
      <c r="J82" s="21" t="str">
        <f aca="false">IFERROR(INDEX(종합!J$3:J$501,MATCH(ROW()-2,종합!$AD$3:$AD$501,0))&amp;"","")</f>
        <v/>
      </c>
      <c r="K82" s="21" t="str">
        <f aca="false">IFERROR(INDEX(종합!K$3:K$501,MATCH(ROW()-2,종합!$AD$3:$AD$501,0))&amp;"","")</f>
        <v/>
      </c>
      <c r="L82" s="21" t="str">
        <f aca="false">IFERROR(INDEX(종합!L$3:L$501,MATCH(ROW()-2,종합!$AD$3:$AD$501,0))&amp;"","")</f>
        <v/>
      </c>
      <c r="M82" s="21" t="str">
        <f aca="false">IFERROR(INDEX(종합!M$3:M$501,MATCH(ROW()-2,종합!$AD$3:$AD$501,0))&amp;"","")</f>
        <v/>
      </c>
      <c r="N82" s="25" t="str">
        <f aca="false">IFERROR(INDEX(종합!N$3:N$501,MATCH(ROW()-2,종합!$AD$3:$AD$501,0))&amp;"","")</f>
        <v/>
      </c>
      <c r="O82" s="21" t="str">
        <f aca="false">IFERROR(INDEX(종합!O$3:O$501,MATCH(ROW()-2,종합!$AD$3:$AD$501,0))&amp;"","")</f>
        <v/>
      </c>
      <c r="P82" s="21" t="str">
        <f aca="false">IFERROR(INDEX(종합!P$3:P$501,MATCH(ROW()-2,종합!$AD$3:$AD$501,0))&amp;"","")</f>
        <v/>
      </c>
      <c r="Q82" s="21" t="str">
        <f aca="false">IFERROR(INDEX(종합!Q$3:Q$501,MATCH(ROW()-2,종합!$AD$3:$AD$501,0))&amp;"","")</f>
        <v/>
      </c>
      <c r="R82" s="21" t="str">
        <f aca="false">IFERROR(INDEX(종합!R$3:R$501,MATCH(ROW()-2,종합!$AD$3:$AD$501,0))&amp;"","")</f>
        <v/>
      </c>
      <c r="S82" s="21" t="str">
        <f aca="false">IFERROR(INDEX(종합!S$3:S$501,MATCH(ROW()-2,종합!$AD$3:$AD$501,0))&amp;"","")</f>
        <v/>
      </c>
      <c r="T82" s="21" t="str">
        <f aca="false">IFERROR(INDEX(종합!T$3:T$501,MATCH(ROW()-2,종합!$AD$3:$AD$501,0))&amp;"","")</f>
        <v/>
      </c>
      <c r="U82" s="21" t="str">
        <f aca="false">IFERROR(INDEX(종합!U$3:U$501,MATCH(ROW()-2,종합!$AD$3:$AD$501,0))&amp;"","")</f>
        <v/>
      </c>
      <c r="V82" s="21" t="str">
        <f aca="false">IFERROR(INDEX(종합!V$3:V$501,MATCH(ROW()-2,종합!$AD$3:$AD$501,0))&amp;"","")</f>
        <v/>
      </c>
      <c r="W82" s="21" t="str">
        <f aca="false">IFERROR(INDEX(종합!W$3:W$501,MATCH(ROW()-2,종합!$AD$3:$AD$501,0))&amp;"","")</f>
        <v/>
      </c>
      <c r="X82" s="21" t="str">
        <f aca="false">IFERROR(INDEX(종합!X$3:X$501,MATCH(ROW()-2,종합!$AD$3:$AD$501,0))&amp;"","")</f>
        <v/>
      </c>
      <c r="Y82" s="21" t="str">
        <f aca="false">IFERROR(INDEX(종합!Y$3:Y$501,MATCH(ROW()-2,종합!$AD$3:$AD$501,0))&amp;"","")</f>
        <v/>
      </c>
      <c r="Z82" s="21" t="str">
        <f aca="false">IFERROR(INDEX(종합!Z$3:Z$501,MATCH(ROW()-2,종합!$AD$3:$AD$501,0))&amp;"","")</f>
        <v/>
      </c>
      <c r="AA82" s="23" t="str">
        <f aca="false">IFERROR(INDEX(종합!AA$3:AA$501,MATCH(ROW()-2,종합!$AD$3:$AD$501,0))&amp;"","")</f>
        <v/>
      </c>
    </row>
    <row r="83" customFormat="false" ht="33.75" hidden="false" customHeight="true" outlineLevel="0" collapsed="false">
      <c r="A83" s="18" t="str">
        <f aca="false">IF(B83="","",ROW()-2)</f>
        <v/>
      </c>
      <c r="B83" s="18" t="str">
        <f aca="false">IFERROR(INDEX(종합!B$3:B$501,MATCH(ROW()-2,종합!$AD$3:$AD$501,0))&amp;"","")</f>
        <v/>
      </c>
      <c r="C83" s="18" t="str">
        <f aca="false">IFERROR(INDEX(종합!C$3:C$501,MATCH(ROW()-2,종합!$AD$3:$AD$501,0))&amp;"","")</f>
        <v/>
      </c>
      <c r="D83" s="18" t="str">
        <f aca="false">IFERROR(INDEX(종합!D$3:D$501,MATCH(ROW()-2,종합!$AD$3:$AD$501,0))&amp;"","")</f>
        <v/>
      </c>
      <c r="E83" s="18" t="str">
        <f aca="false">IFERROR(INDEX(종합!E$3:E$501,MATCH(ROW()-2,종합!$AD$3:$AD$501,0))&amp;"","")</f>
        <v/>
      </c>
      <c r="F83" s="18" t="str">
        <f aca="false">IFERROR(INDEX(종합!F$3:F$501,MATCH(ROW()-2,종합!$AD$3:$AD$501,0))&amp;"","")</f>
        <v/>
      </c>
      <c r="G83" s="18" t="str">
        <f aca="false">IFERROR(INDEX(종합!G$3:G$501,MATCH(ROW()-2,종합!$AD$3:$AD$501,0))&amp;"","")</f>
        <v/>
      </c>
      <c r="H83" s="21" t="str">
        <f aca="false">IFERROR(INDEX(종합!H$3:H$501,MATCH(ROW()-2,종합!$AD$3:$AD$501,0))&amp;"","")</f>
        <v/>
      </c>
      <c r="I83" s="21" t="str">
        <f aca="false">IFERROR(INDEX(종합!I$3:I$501,MATCH(ROW()-2,종합!$AD$3:$AD$501,0))&amp;"","")</f>
        <v/>
      </c>
      <c r="J83" s="21" t="str">
        <f aca="false">IFERROR(INDEX(종합!J$3:J$501,MATCH(ROW()-2,종합!$AD$3:$AD$501,0))&amp;"","")</f>
        <v/>
      </c>
      <c r="K83" s="21" t="str">
        <f aca="false">IFERROR(INDEX(종합!K$3:K$501,MATCH(ROW()-2,종합!$AD$3:$AD$501,0))&amp;"","")</f>
        <v/>
      </c>
      <c r="L83" s="21" t="str">
        <f aca="false">IFERROR(INDEX(종합!L$3:L$501,MATCH(ROW()-2,종합!$AD$3:$AD$501,0))&amp;"","")</f>
        <v/>
      </c>
      <c r="M83" s="21" t="str">
        <f aca="false">IFERROR(INDEX(종합!M$3:M$501,MATCH(ROW()-2,종합!$AD$3:$AD$501,0))&amp;"","")</f>
        <v/>
      </c>
      <c r="N83" s="25" t="str">
        <f aca="false">IFERROR(INDEX(종합!N$3:N$501,MATCH(ROW()-2,종합!$AD$3:$AD$501,0))&amp;"","")</f>
        <v/>
      </c>
      <c r="O83" s="21" t="str">
        <f aca="false">IFERROR(INDEX(종합!O$3:O$501,MATCH(ROW()-2,종합!$AD$3:$AD$501,0))&amp;"","")</f>
        <v/>
      </c>
      <c r="P83" s="21" t="str">
        <f aca="false">IFERROR(INDEX(종합!P$3:P$501,MATCH(ROW()-2,종합!$AD$3:$AD$501,0))&amp;"","")</f>
        <v/>
      </c>
      <c r="Q83" s="21" t="str">
        <f aca="false">IFERROR(INDEX(종합!Q$3:Q$501,MATCH(ROW()-2,종합!$AD$3:$AD$501,0))&amp;"","")</f>
        <v/>
      </c>
      <c r="R83" s="21" t="str">
        <f aca="false">IFERROR(INDEX(종합!R$3:R$501,MATCH(ROW()-2,종합!$AD$3:$AD$501,0))&amp;"","")</f>
        <v/>
      </c>
      <c r="S83" s="21" t="str">
        <f aca="false">IFERROR(INDEX(종합!S$3:S$501,MATCH(ROW()-2,종합!$AD$3:$AD$501,0))&amp;"","")</f>
        <v/>
      </c>
      <c r="T83" s="21" t="str">
        <f aca="false">IFERROR(INDEX(종합!T$3:T$501,MATCH(ROW()-2,종합!$AD$3:$AD$501,0))&amp;"","")</f>
        <v/>
      </c>
      <c r="U83" s="21" t="str">
        <f aca="false">IFERROR(INDEX(종합!U$3:U$501,MATCH(ROW()-2,종합!$AD$3:$AD$501,0))&amp;"","")</f>
        <v/>
      </c>
      <c r="V83" s="21" t="str">
        <f aca="false">IFERROR(INDEX(종합!V$3:V$501,MATCH(ROW()-2,종합!$AD$3:$AD$501,0))&amp;"","")</f>
        <v/>
      </c>
      <c r="W83" s="21" t="str">
        <f aca="false">IFERROR(INDEX(종합!W$3:W$501,MATCH(ROW()-2,종합!$AD$3:$AD$501,0))&amp;"","")</f>
        <v/>
      </c>
      <c r="X83" s="21" t="str">
        <f aca="false">IFERROR(INDEX(종합!X$3:X$501,MATCH(ROW()-2,종합!$AD$3:$AD$501,0))&amp;"","")</f>
        <v/>
      </c>
      <c r="Y83" s="21" t="str">
        <f aca="false">IFERROR(INDEX(종합!Y$3:Y$501,MATCH(ROW()-2,종합!$AD$3:$AD$501,0))&amp;"","")</f>
        <v/>
      </c>
      <c r="Z83" s="21" t="str">
        <f aca="false">IFERROR(INDEX(종합!Z$3:Z$501,MATCH(ROW()-2,종합!$AD$3:$AD$501,0))&amp;"","")</f>
        <v/>
      </c>
      <c r="AA83" s="23" t="str">
        <f aca="false">IFERROR(INDEX(종합!AA$3:AA$501,MATCH(ROW()-2,종합!$AD$3:$AD$501,0))&amp;"","")</f>
        <v/>
      </c>
    </row>
    <row r="84" customFormat="false" ht="22.5" hidden="false" customHeight="true" outlineLevel="0" collapsed="false">
      <c r="A84" s="18" t="str">
        <f aca="false">IF(B84="","",ROW()-2)</f>
        <v/>
      </c>
      <c r="B84" s="18" t="str">
        <f aca="false">IFERROR(INDEX(종합!B$3:B$501,MATCH(ROW()-2,종합!$AD$3:$AD$501,0))&amp;"","")</f>
        <v/>
      </c>
      <c r="C84" s="18" t="str">
        <f aca="false">IFERROR(INDEX(종합!C$3:C$501,MATCH(ROW()-2,종합!$AD$3:$AD$501,0))&amp;"","")</f>
        <v/>
      </c>
      <c r="D84" s="18" t="str">
        <f aca="false">IFERROR(INDEX(종합!D$3:D$501,MATCH(ROW()-2,종합!$AD$3:$AD$501,0))&amp;"","")</f>
        <v/>
      </c>
      <c r="E84" s="18" t="str">
        <f aca="false">IFERROR(INDEX(종합!E$3:E$501,MATCH(ROW()-2,종합!$AD$3:$AD$501,0))&amp;"","")</f>
        <v/>
      </c>
      <c r="F84" s="18" t="str">
        <f aca="false">IFERROR(INDEX(종합!F$3:F$501,MATCH(ROW()-2,종합!$AD$3:$AD$501,0))&amp;"","")</f>
        <v/>
      </c>
      <c r="G84" s="18" t="str">
        <f aca="false">IFERROR(INDEX(종합!G$3:G$501,MATCH(ROW()-2,종합!$AD$3:$AD$501,0))&amp;"","")</f>
        <v/>
      </c>
      <c r="H84" s="21" t="str">
        <f aca="false">IFERROR(INDEX(종합!H$3:H$501,MATCH(ROW()-2,종합!$AD$3:$AD$501,0))&amp;"","")</f>
        <v/>
      </c>
      <c r="I84" s="21" t="str">
        <f aca="false">IFERROR(INDEX(종합!I$3:I$501,MATCH(ROW()-2,종합!$AD$3:$AD$501,0))&amp;"","")</f>
        <v/>
      </c>
      <c r="J84" s="21" t="str">
        <f aca="false">IFERROR(INDEX(종합!J$3:J$501,MATCH(ROW()-2,종합!$AD$3:$AD$501,0))&amp;"","")</f>
        <v/>
      </c>
      <c r="K84" s="21" t="str">
        <f aca="false">IFERROR(INDEX(종합!K$3:K$501,MATCH(ROW()-2,종합!$AD$3:$AD$501,0))&amp;"","")</f>
        <v/>
      </c>
      <c r="L84" s="21" t="str">
        <f aca="false">IFERROR(INDEX(종합!L$3:L$501,MATCH(ROW()-2,종합!$AD$3:$AD$501,0))&amp;"","")</f>
        <v/>
      </c>
      <c r="M84" s="21" t="str">
        <f aca="false">IFERROR(INDEX(종합!M$3:M$501,MATCH(ROW()-2,종합!$AD$3:$AD$501,0))&amp;"","")</f>
        <v/>
      </c>
      <c r="N84" s="25" t="str">
        <f aca="false">IFERROR(INDEX(종합!N$3:N$501,MATCH(ROW()-2,종합!$AD$3:$AD$501,0))&amp;"","")</f>
        <v/>
      </c>
      <c r="O84" s="21" t="str">
        <f aca="false">IFERROR(INDEX(종합!O$3:O$501,MATCH(ROW()-2,종합!$AD$3:$AD$501,0))&amp;"","")</f>
        <v/>
      </c>
      <c r="P84" s="21" t="str">
        <f aca="false">IFERROR(INDEX(종합!P$3:P$501,MATCH(ROW()-2,종합!$AD$3:$AD$501,0))&amp;"","")</f>
        <v/>
      </c>
      <c r="Q84" s="21" t="str">
        <f aca="false">IFERROR(INDEX(종합!Q$3:Q$501,MATCH(ROW()-2,종합!$AD$3:$AD$501,0))&amp;"","")</f>
        <v/>
      </c>
      <c r="R84" s="21" t="str">
        <f aca="false">IFERROR(INDEX(종합!R$3:R$501,MATCH(ROW()-2,종합!$AD$3:$AD$501,0))&amp;"","")</f>
        <v/>
      </c>
      <c r="S84" s="21" t="str">
        <f aca="false">IFERROR(INDEX(종합!S$3:S$501,MATCH(ROW()-2,종합!$AD$3:$AD$501,0))&amp;"","")</f>
        <v/>
      </c>
      <c r="T84" s="21" t="str">
        <f aca="false">IFERROR(INDEX(종합!T$3:T$501,MATCH(ROW()-2,종합!$AD$3:$AD$501,0))&amp;"","")</f>
        <v/>
      </c>
      <c r="U84" s="21" t="str">
        <f aca="false">IFERROR(INDEX(종합!U$3:U$501,MATCH(ROW()-2,종합!$AD$3:$AD$501,0))&amp;"","")</f>
        <v/>
      </c>
      <c r="V84" s="21" t="str">
        <f aca="false">IFERROR(INDEX(종합!V$3:V$501,MATCH(ROW()-2,종합!$AD$3:$AD$501,0))&amp;"","")</f>
        <v/>
      </c>
      <c r="W84" s="21" t="str">
        <f aca="false">IFERROR(INDEX(종합!W$3:W$501,MATCH(ROW()-2,종합!$AD$3:$AD$501,0))&amp;"","")</f>
        <v/>
      </c>
      <c r="X84" s="21" t="str">
        <f aca="false">IFERROR(INDEX(종합!X$3:X$501,MATCH(ROW()-2,종합!$AD$3:$AD$501,0))&amp;"","")</f>
        <v/>
      </c>
      <c r="Y84" s="21" t="str">
        <f aca="false">IFERROR(INDEX(종합!Y$3:Y$501,MATCH(ROW()-2,종합!$AD$3:$AD$501,0))&amp;"","")</f>
        <v/>
      </c>
      <c r="Z84" s="21" t="str">
        <f aca="false">IFERROR(INDEX(종합!Z$3:Z$501,MATCH(ROW()-2,종합!$AD$3:$AD$501,0))&amp;"","")</f>
        <v/>
      </c>
      <c r="AA84" s="23" t="str">
        <f aca="false">IFERROR(INDEX(종합!AA$3:AA$501,MATCH(ROW()-2,종합!$AD$3:$AD$501,0))&amp;"","")</f>
        <v/>
      </c>
    </row>
    <row r="85" customFormat="false" ht="60.75" hidden="false" customHeight="true" outlineLevel="0" collapsed="false">
      <c r="A85" s="18" t="str">
        <f aca="false">IF(B85="","",ROW()-2)</f>
        <v/>
      </c>
      <c r="B85" s="18" t="str">
        <f aca="false">IFERROR(INDEX(종합!B$3:B$501,MATCH(ROW()-2,종합!$AD$3:$AD$501,0))&amp;"","")</f>
        <v/>
      </c>
      <c r="C85" s="18" t="str">
        <f aca="false">IFERROR(INDEX(종합!C$3:C$501,MATCH(ROW()-2,종합!$AD$3:$AD$501,0))&amp;"","")</f>
        <v/>
      </c>
      <c r="D85" s="18" t="str">
        <f aca="false">IFERROR(INDEX(종합!D$3:D$501,MATCH(ROW()-2,종합!$AD$3:$AD$501,0))&amp;"","")</f>
        <v/>
      </c>
      <c r="E85" s="18" t="str">
        <f aca="false">IFERROR(INDEX(종합!E$3:E$501,MATCH(ROW()-2,종합!$AD$3:$AD$501,0))&amp;"","")</f>
        <v/>
      </c>
      <c r="F85" s="18" t="str">
        <f aca="false">IFERROR(INDEX(종합!F$3:F$501,MATCH(ROW()-2,종합!$AD$3:$AD$501,0))&amp;"","")</f>
        <v/>
      </c>
      <c r="G85" s="18" t="str">
        <f aca="false">IFERROR(INDEX(종합!G$3:G$501,MATCH(ROW()-2,종합!$AD$3:$AD$501,0))&amp;"","")</f>
        <v/>
      </c>
      <c r="H85" s="21" t="str">
        <f aca="false">IFERROR(INDEX(종합!H$3:H$501,MATCH(ROW()-2,종합!$AD$3:$AD$501,0))&amp;"","")</f>
        <v/>
      </c>
      <c r="I85" s="21" t="str">
        <f aca="false">IFERROR(INDEX(종합!I$3:I$501,MATCH(ROW()-2,종합!$AD$3:$AD$501,0))&amp;"","")</f>
        <v/>
      </c>
      <c r="J85" s="21" t="str">
        <f aca="false">IFERROR(INDEX(종합!J$3:J$501,MATCH(ROW()-2,종합!$AD$3:$AD$501,0))&amp;"","")</f>
        <v/>
      </c>
      <c r="K85" s="21" t="str">
        <f aca="false">IFERROR(INDEX(종합!K$3:K$501,MATCH(ROW()-2,종합!$AD$3:$AD$501,0))&amp;"","")</f>
        <v/>
      </c>
      <c r="L85" s="21" t="str">
        <f aca="false">IFERROR(INDEX(종합!L$3:L$501,MATCH(ROW()-2,종합!$AD$3:$AD$501,0))&amp;"","")</f>
        <v/>
      </c>
      <c r="M85" s="21" t="str">
        <f aca="false">IFERROR(INDEX(종합!M$3:M$501,MATCH(ROW()-2,종합!$AD$3:$AD$501,0))&amp;"","")</f>
        <v/>
      </c>
      <c r="N85" s="25" t="str">
        <f aca="false">IFERROR(INDEX(종합!N$3:N$501,MATCH(ROW()-2,종합!$AD$3:$AD$501,0))&amp;"","")</f>
        <v/>
      </c>
      <c r="O85" s="21" t="str">
        <f aca="false">IFERROR(INDEX(종합!O$3:O$501,MATCH(ROW()-2,종합!$AD$3:$AD$501,0))&amp;"","")</f>
        <v/>
      </c>
      <c r="P85" s="21" t="str">
        <f aca="false">IFERROR(INDEX(종합!P$3:P$501,MATCH(ROW()-2,종합!$AD$3:$AD$501,0))&amp;"","")</f>
        <v/>
      </c>
      <c r="Q85" s="21" t="str">
        <f aca="false">IFERROR(INDEX(종합!Q$3:Q$501,MATCH(ROW()-2,종합!$AD$3:$AD$501,0))&amp;"","")</f>
        <v/>
      </c>
      <c r="R85" s="21" t="str">
        <f aca="false">IFERROR(INDEX(종합!R$3:R$501,MATCH(ROW()-2,종합!$AD$3:$AD$501,0))&amp;"","")</f>
        <v/>
      </c>
      <c r="S85" s="21" t="str">
        <f aca="false">IFERROR(INDEX(종합!S$3:S$501,MATCH(ROW()-2,종합!$AD$3:$AD$501,0))&amp;"","")</f>
        <v/>
      </c>
      <c r="T85" s="21" t="str">
        <f aca="false">IFERROR(INDEX(종합!T$3:T$501,MATCH(ROW()-2,종합!$AD$3:$AD$501,0))&amp;"","")</f>
        <v/>
      </c>
      <c r="U85" s="21" t="str">
        <f aca="false">IFERROR(INDEX(종합!U$3:U$501,MATCH(ROW()-2,종합!$AD$3:$AD$501,0))&amp;"","")</f>
        <v/>
      </c>
      <c r="V85" s="21" t="str">
        <f aca="false">IFERROR(INDEX(종합!V$3:V$501,MATCH(ROW()-2,종합!$AD$3:$AD$501,0))&amp;"","")</f>
        <v/>
      </c>
      <c r="W85" s="21" t="str">
        <f aca="false">IFERROR(INDEX(종합!W$3:W$501,MATCH(ROW()-2,종합!$AD$3:$AD$501,0))&amp;"","")</f>
        <v/>
      </c>
      <c r="X85" s="21" t="str">
        <f aca="false">IFERROR(INDEX(종합!X$3:X$501,MATCH(ROW()-2,종합!$AD$3:$AD$501,0))&amp;"","")</f>
        <v/>
      </c>
      <c r="Y85" s="21" t="str">
        <f aca="false">IFERROR(INDEX(종합!Y$3:Y$501,MATCH(ROW()-2,종합!$AD$3:$AD$501,0))&amp;"","")</f>
        <v/>
      </c>
      <c r="Z85" s="21" t="str">
        <f aca="false">IFERROR(INDEX(종합!Z$3:Z$501,MATCH(ROW()-2,종합!$AD$3:$AD$501,0))&amp;"","")</f>
        <v/>
      </c>
      <c r="AA85" s="23" t="str">
        <f aca="false">IFERROR(INDEX(종합!AA$3:AA$501,MATCH(ROW()-2,종합!$AD$3:$AD$501,0))&amp;"","")</f>
        <v/>
      </c>
    </row>
    <row r="86" customFormat="false" ht="33.75" hidden="false" customHeight="true" outlineLevel="0" collapsed="false">
      <c r="A86" s="18" t="str">
        <f aca="false">IF(B86="","",ROW()-2)</f>
        <v/>
      </c>
      <c r="B86" s="18" t="str">
        <f aca="false">IFERROR(INDEX(종합!B$3:B$501,MATCH(ROW()-2,종합!$AD$3:$AD$501,0))&amp;"","")</f>
        <v/>
      </c>
      <c r="C86" s="18" t="str">
        <f aca="false">IFERROR(INDEX(종합!C$3:C$501,MATCH(ROW()-2,종합!$AD$3:$AD$501,0))&amp;"","")</f>
        <v/>
      </c>
      <c r="D86" s="18" t="str">
        <f aca="false">IFERROR(INDEX(종합!D$3:D$501,MATCH(ROW()-2,종합!$AD$3:$AD$501,0))&amp;"","")</f>
        <v/>
      </c>
      <c r="E86" s="18" t="str">
        <f aca="false">IFERROR(INDEX(종합!E$3:E$501,MATCH(ROW()-2,종합!$AD$3:$AD$501,0))&amp;"","")</f>
        <v/>
      </c>
      <c r="F86" s="18" t="str">
        <f aca="false">IFERROR(INDEX(종합!F$3:F$501,MATCH(ROW()-2,종합!$AD$3:$AD$501,0))&amp;"","")</f>
        <v/>
      </c>
      <c r="G86" s="18" t="str">
        <f aca="false">IFERROR(INDEX(종합!G$3:G$501,MATCH(ROW()-2,종합!$AD$3:$AD$501,0))&amp;"","")</f>
        <v/>
      </c>
      <c r="H86" s="21" t="str">
        <f aca="false">IFERROR(INDEX(종합!H$3:H$501,MATCH(ROW()-2,종합!$AD$3:$AD$501,0))&amp;"","")</f>
        <v/>
      </c>
      <c r="I86" s="21" t="str">
        <f aca="false">IFERROR(INDEX(종합!I$3:I$501,MATCH(ROW()-2,종합!$AD$3:$AD$501,0))&amp;"","")</f>
        <v/>
      </c>
      <c r="J86" s="21" t="str">
        <f aca="false">IFERROR(INDEX(종합!J$3:J$501,MATCH(ROW()-2,종합!$AD$3:$AD$501,0))&amp;"","")</f>
        <v/>
      </c>
      <c r="K86" s="21" t="str">
        <f aca="false">IFERROR(INDEX(종합!K$3:K$501,MATCH(ROW()-2,종합!$AD$3:$AD$501,0))&amp;"","")</f>
        <v/>
      </c>
      <c r="L86" s="21" t="str">
        <f aca="false">IFERROR(INDEX(종합!L$3:L$501,MATCH(ROW()-2,종합!$AD$3:$AD$501,0))&amp;"","")</f>
        <v/>
      </c>
      <c r="M86" s="21" t="str">
        <f aca="false">IFERROR(INDEX(종합!M$3:M$501,MATCH(ROW()-2,종합!$AD$3:$AD$501,0))&amp;"","")</f>
        <v/>
      </c>
      <c r="N86" s="25" t="str">
        <f aca="false">IFERROR(INDEX(종합!N$3:N$501,MATCH(ROW()-2,종합!$AD$3:$AD$501,0))&amp;"","")</f>
        <v/>
      </c>
      <c r="O86" s="21" t="str">
        <f aca="false">IFERROR(INDEX(종합!O$3:O$501,MATCH(ROW()-2,종합!$AD$3:$AD$501,0))&amp;"","")</f>
        <v/>
      </c>
      <c r="P86" s="21" t="str">
        <f aca="false">IFERROR(INDEX(종합!P$3:P$501,MATCH(ROW()-2,종합!$AD$3:$AD$501,0))&amp;"","")</f>
        <v/>
      </c>
      <c r="Q86" s="21" t="str">
        <f aca="false">IFERROR(INDEX(종합!Q$3:Q$501,MATCH(ROW()-2,종합!$AD$3:$AD$501,0))&amp;"","")</f>
        <v/>
      </c>
      <c r="R86" s="21" t="str">
        <f aca="false">IFERROR(INDEX(종합!R$3:R$501,MATCH(ROW()-2,종합!$AD$3:$AD$501,0))&amp;"","")</f>
        <v/>
      </c>
      <c r="S86" s="21" t="str">
        <f aca="false">IFERROR(INDEX(종합!S$3:S$501,MATCH(ROW()-2,종합!$AD$3:$AD$501,0))&amp;"","")</f>
        <v/>
      </c>
      <c r="T86" s="21" t="str">
        <f aca="false">IFERROR(INDEX(종합!T$3:T$501,MATCH(ROW()-2,종합!$AD$3:$AD$501,0))&amp;"","")</f>
        <v/>
      </c>
      <c r="U86" s="21" t="str">
        <f aca="false">IFERROR(INDEX(종합!U$3:U$501,MATCH(ROW()-2,종합!$AD$3:$AD$501,0))&amp;"","")</f>
        <v/>
      </c>
      <c r="V86" s="21" t="str">
        <f aca="false">IFERROR(INDEX(종합!V$3:V$501,MATCH(ROW()-2,종합!$AD$3:$AD$501,0))&amp;"","")</f>
        <v/>
      </c>
      <c r="W86" s="21" t="str">
        <f aca="false">IFERROR(INDEX(종합!W$3:W$501,MATCH(ROW()-2,종합!$AD$3:$AD$501,0))&amp;"","")</f>
        <v/>
      </c>
      <c r="X86" s="21" t="str">
        <f aca="false">IFERROR(INDEX(종합!X$3:X$501,MATCH(ROW()-2,종합!$AD$3:$AD$501,0))&amp;"","")</f>
        <v/>
      </c>
      <c r="Y86" s="21" t="str">
        <f aca="false">IFERROR(INDEX(종합!Y$3:Y$501,MATCH(ROW()-2,종합!$AD$3:$AD$501,0))&amp;"","")</f>
        <v/>
      </c>
      <c r="Z86" s="21" t="str">
        <f aca="false">IFERROR(INDEX(종합!Z$3:Z$501,MATCH(ROW()-2,종합!$AD$3:$AD$501,0))&amp;"","")</f>
        <v/>
      </c>
      <c r="AA86" s="23" t="str">
        <f aca="false">IFERROR(INDEX(종합!AA$3:AA$501,MATCH(ROW()-2,종합!$AD$3:$AD$501,0))&amp;"","")</f>
        <v/>
      </c>
    </row>
    <row r="87" customFormat="false" ht="33.75" hidden="false" customHeight="true" outlineLevel="0" collapsed="false">
      <c r="A87" s="18" t="str">
        <f aca="false">IF(B87="","",ROW()-2)</f>
        <v/>
      </c>
      <c r="B87" s="18" t="str">
        <f aca="false">IFERROR(INDEX(종합!B$3:B$501,MATCH(ROW()-2,종합!$AD$3:$AD$501,0))&amp;"","")</f>
        <v/>
      </c>
      <c r="C87" s="18" t="str">
        <f aca="false">IFERROR(INDEX(종합!C$3:C$501,MATCH(ROW()-2,종합!$AD$3:$AD$501,0))&amp;"","")</f>
        <v/>
      </c>
      <c r="D87" s="18" t="str">
        <f aca="false">IFERROR(INDEX(종합!D$3:D$501,MATCH(ROW()-2,종합!$AD$3:$AD$501,0))&amp;"","")</f>
        <v/>
      </c>
      <c r="E87" s="18" t="str">
        <f aca="false">IFERROR(INDEX(종합!E$3:E$501,MATCH(ROW()-2,종합!$AD$3:$AD$501,0))&amp;"","")</f>
        <v/>
      </c>
      <c r="F87" s="18" t="str">
        <f aca="false">IFERROR(INDEX(종합!F$3:F$501,MATCH(ROW()-2,종합!$AD$3:$AD$501,0))&amp;"","")</f>
        <v/>
      </c>
      <c r="G87" s="18" t="str">
        <f aca="false">IFERROR(INDEX(종합!G$3:G$501,MATCH(ROW()-2,종합!$AD$3:$AD$501,0))&amp;"","")</f>
        <v/>
      </c>
      <c r="H87" s="21" t="str">
        <f aca="false">IFERROR(INDEX(종합!H$3:H$501,MATCH(ROW()-2,종합!$AD$3:$AD$501,0))&amp;"","")</f>
        <v/>
      </c>
      <c r="I87" s="21" t="str">
        <f aca="false">IFERROR(INDEX(종합!I$3:I$501,MATCH(ROW()-2,종합!$AD$3:$AD$501,0))&amp;"","")</f>
        <v/>
      </c>
      <c r="J87" s="21" t="str">
        <f aca="false">IFERROR(INDEX(종합!J$3:J$501,MATCH(ROW()-2,종합!$AD$3:$AD$501,0))&amp;"","")</f>
        <v/>
      </c>
      <c r="K87" s="21" t="str">
        <f aca="false">IFERROR(INDEX(종합!K$3:K$501,MATCH(ROW()-2,종합!$AD$3:$AD$501,0))&amp;"","")</f>
        <v/>
      </c>
      <c r="L87" s="21" t="str">
        <f aca="false">IFERROR(INDEX(종합!L$3:L$501,MATCH(ROW()-2,종합!$AD$3:$AD$501,0))&amp;"","")</f>
        <v/>
      </c>
      <c r="M87" s="21" t="str">
        <f aca="false">IFERROR(INDEX(종합!M$3:M$501,MATCH(ROW()-2,종합!$AD$3:$AD$501,0))&amp;"","")</f>
        <v/>
      </c>
      <c r="N87" s="25" t="str">
        <f aca="false">IFERROR(INDEX(종합!N$3:N$501,MATCH(ROW()-2,종합!$AD$3:$AD$501,0))&amp;"","")</f>
        <v/>
      </c>
      <c r="O87" s="21" t="str">
        <f aca="false">IFERROR(INDEX(종합!O$3:O$501,MATCH(ROW()-2,종합!$AD$3:$AD$501,0))&amp;"","")</f>
        <v/>
      </c>
      <c r="P87" s="21" t="str">
        <f aca="false">IFERROR(INDEX(종합!P$3:P$501,MATCH(ROW()-2,종합!$AD$3:$AD$501,0))&amp;"","")</f>
        <v/>
      </c>
      <c r="Q87" s="21" t="str">
        <f aca="false">IFERROR(INDEX(종합!Q$3:Q$501,MATCH(ROW()-2,종합!$AD$3:$AD$501,0))&amp;"","")</f>
        <v/>
      </c>
      <c r="R87" s="21" t="str">
        <f aca="false">IFERROR(INDEX(종합!R$3:R$501,MATCH(ROW()-2,종합!$AD$3:$AD$501,0))&amp;"","")</f>
        <v/>
      </c>
      <c r="S87" s="21" t="str">
        <f aca="false">IFERROR(INDEX(종합!S$3:S$501,MATCH(ROW()-2,종합!$AD$3:$AD$501,0))&amp;"","")</f>
        <v/>
      </c>
      <c r="T87" s="21" t="str">
        <f aca="false">IFERROR(INDEX(종합!T$3:T$501,MATCH(ROW()-2,종합!$AD$3:$AD$501,0))&amp;"","")</f>
        <v/>
      </c>
      <c r="U87" s="21" t="str">
        <f aca="false">IFERROR(INDEX(종합!U$3:U$501,MATCH(ROW()-2,종합!$AD$3:$AD$501,0))&amp;"","")</f>
        <v/>
      </c>
      <c r="V87" s="21" t="str">
        <f aca="false">IFERROR(INDEX(종합!V$3:V$501,MATCH(ROW()-2,종합!$AD$3:$AD$501,0))&amp;"","")</f>
        <v/>
      </c>
      <c r="W87" s="21" t="str">
        <f aca="false">IFERROR(INDEX(종합!W$3:W$501,MATCH(ROW()-2,종합!$AD$3:$AD$501,0))&amp;"","")</f>
        <v/>
      </c>
      <c r="X87" s="21" t="str">
        <f aca="false">IFERROR(INDEX(종합!X$3:X$501,MATCH(ROW()-2,종합!$AD$3:$AD$501,0))&amp;"","")</f>
        <v/>
      </c>
      <c r="Y87" s="21" t="str">
        <f aca="false">IFERROR(INDEX(종합!Y$3:Y$501,MATCH(ROW()-2,종합!$AD$3:$AD$501,0))&amp;"","")</f>
        <v/>
      </c>
      <c r="Z87" s="21" t="str">
        <f aca="false">IFERROR(INDEX(종합!Z$3:Z$501,MATCH(ROW()-2,종합!$AD$3:$AD$501,0))&amp;"","")</f>
        <v/>
      </c>
      <c r="AA87" s="23" t="str">
        <f aca="false">IFERROR(INDEX(종합!AA$3:AA$501,MATCH(ROW()-2,종합!$AD$3:$AD$501,0))&amp;"","")</f>
        <v/>
      </c>
    </row>
    <row r="88" customFormat="false" ht="33.75" hidden="false" customHeight="true" outlineLevel="0" collapsed="false">
      <c r="A88" s="18" t="str">
        <f aca="false">IF(B88="","",ROW()-2)</f>
        <v/>
      </c>
      <c r="B88" s="18" t="str">
        <f aca="false">IFERROR(INDEX(종합!B$3:B$501,MATCH(ROW()-2,종합!$AD$3:$AD$501,0))&amp;"","")</f>
        <v/>
      </c>
      <c r="C88" s="18" t="str">
        <f aca="false">IFERROR(INDEX(종합!C$3:C$501,MATCH(ROW()-2,종합!$AD$3:$AD$501,0))&amp;"","")</f>
        <v/>
      </c>
      <c r="D88" s="18" t="str">
        <f aca="false">IFERROR(INDEX(종합!D$3:D$501,MATCH(ROW()-2,종합!$AD$3:$AD$501,0))&amp;"","")</f>
        <v/>
      </c>
      <c r="E88" s="18" t="str">
        <f aca="false">IFERROR(INDEX(종합!E$3:E$501,MATCH(ROW()-2,종합!$AD$3:$AD$501,0))&amp;"","")</f>
        <v/>
      </c>
      <c r="F88" s="18" t="str">
        <f aca="false">IFERROR(INDEX(종합!F$3:F$501,MATCH(ROW()-2,종합!$AD$3:$AD$501,0))&amp;"","")</f>
        <v/>
      </c>
      <c r="G88" s="18" t="str">
        <f aca="false">IFERROR(INDEX(종합!G$3:G$501,MATCH(ROW()-2,종합!$AD$3:$AD$501,0))&amp;"","")</f>
        <v/>
      </c>
      <c r="H88" s="21" t="str">
        <f aca="false">IFERROR(INDEX(종합!H$3:H$501,MATCH(ROW()-2,종합!$AD$3:$AD$501,0))&amp;"","")</f>
        <v/>
      </c>
      <c r="I88" s="21" t="str">
        <f aca="false">IFERROR(INDEX(종합!I$3:I$501,MATCH(ROW()-2,종합!$AD$3:$AD$501,0))&amp;"","")</f>
        <v/>
      </c>
      <c r="J88" s="21" t="str">
        <f aca="false">IFERROR(INDEX(종합!J$3:J$501,MATCH(ROW()-2,종합!$AD$3:$AD$501,0))&amp;"","")</f>
        <v/>
      </c>
      <c r="K88" s="21" t="str">
        <f aca="false">IFERROR(INDEX(종합!K$3:K$501,MATCH(ROW()-2,종합!$AD$3:$AD$501,0))&amp;"","")</f>
        <v/>
      </c>
      <c r="L88" s="21" t="str">
        <f aca="false">IFERROR(INDEX(종합!L$3:L$501,MATCH(ROW()-2,종합!$AD$3:$AD$501,0))&amp;"","")</f>
        <v/>
      </c>
      <c r="M88" s="21" t="str">
        <f aca="false">IFERROR(INDEX(종합!M$3:M$501,MATCH(ROW()-2,종합!$AD$3:$AD$501,0))&amp;"","")</f>
        <v/>
      </c>
      <c r="N88" s="25" t="str">
        <f aca="false">IFERROR(INDEX(종합!N$3:N$501,MATCH(ROW()-2,종합!$AD$3:$AD$501,0))&amp;"","")</f>
        <v/>
      </c>
      <c r="O88" s="21" t="str">
        <f aca="false">IFERROR(INDEX(종합!O$3:O$501,MATCH(ROW()-2,종합!$AD$3:$AD$501,0))&amp;"","")</f>
        <v/>
      </c>
      <c r="P88" s="21" t="str">
        <f aca="false">IFERROR(INDEX(종합!P$3:P$501,MATCH(ROW()-2,종합!$AD$3:$AD$501,0))&amp;"","")</f>
        <v/>
      </c>
      <c r="Q88" s="21" t="str">
        <f aca="false">IFERROR(INDEX(종합!Q$3:Q$501,MATCH(ROW()-2,종합!$AD$3:$AD$501,0))&amp;"","")</f>
        <v/>
      </c>
      <c r="R88" s="21" t="str">
        <f aca="false">IFERROR(INDEX(종합!R$3:R$501,MATCH(ROW()-2,종합!$AD$3:$AD$501,0))&amp;"","")</f>
        <v/>
      </c>
      <c r="S88" s="21" t="str">
        <f aca="false">IFERROR(INDEX(종합!S$3:S$501,MATCH(ROW()-2,종합!$AD$3:$AD$501,0))&amp;"","")</f>
        <v/>
      </c>
      <c r="T88" s="21" t="str">
        <f aca="false">IFERROR(INDEX(종합!T$3:T$501,MATCH(ROW()-2,종합!$AD$3:$AD$501,0))&amp;"","")</f>
        <v/>
      </c>
      <c r="U88" s="21" t="str">
        <f aca="false">IFERROR(INDEX(종합!U$3:U$501,MATCH(ROW()-2,종합!$AD$3:$AD$501,0))&amp;"","")</f>
        <v/>
      </c>
      <c r="V88" s="21" t="str">
        <f aca="false">IFERROR(INDEX(종합!V$3:V$501,MATCH(ROW()-2,종합!$AD$3:$AD$501,0))&amp;"","")</f>
        <v/>
      </c>
      <c r="W88" s="21" t="str">
        <f aca="false">IFERROR(INDEX(종합!W$3:W$501,MATCH(ROW()-2,종합!$AD$3:$AD$501,0))&amp;"","")</f>
        <v/>
      </c>
      <c r="X88" s="21" t="str">
        <f aca="false">IFERROR(INDEX(종합!X$3:X$501,MATCH(ROW()-2,종합!$AD$3:$AD$501,0))&amp;"","")</f>
        <v/>
      </c>
      <c r="Y88" s="21" t="str">
        <f aca="false">IFERROR(INDEX(종합!Y$3:Y$501,MATCH(ROW()-2,종합!$AD$3:$AD$501,0))&amp;"","")</f>
        <v/>
      </c>
      <c r="Z88" s="21" t="str">
        <f aca="false">IFERROR(INDEX(종합!Z$3:Z$501,MATCH(ROW()-2,종합!$AD$3:$AD$501,0))&amp;"","")</f>
        <v/>
      </c>
      <c r="AA88" s="23" t="str">
        <f aca="false">IFERROR(INDEX(종합!AA$3:AA$501,MATCH(ROW()-2,종합!$AD$3:$AD$501,0))&amp;"","")</f>
        <v/>
      </c>
    </row>
    <row r="89" customFormat="false" ht="22.5" hidden="false" customHeight="true" outlineLevel="0" collapsed="false">
      <c r="A89" s="18" t="str">
        <f aca="false">IF(B89="","",ROW()-2)</f>
        <v/>
      </c>
      <c r="B89" s="18" t="str">
        <f aca="false">IFERROR(INDEX(종합!B$3:B$501,MATCH(ROW()-2,종합!$AD$3:$AD$501,0))&amp;"","")</f>
        <v/>
      </c>
      <c r="C89" s="18" t="str">
        <f aca="false">IFERROR(INDEX(종합!C$3:C$501,MATCH(ROW()-2,종합!$AD$3:$AD$501,0))&amp;"","")</f>
        <v/>
      </c>
      <c r="D89" s="18" t="str">
        <f aca="false">IFERROR(INDEX(종합!D$3:D$501,MATCH(ROW()-2,종합!$AD$3:$AD$501,0))&amp;"","")</f>
        <v/>
      </c>
      <c r="E89" s="18" t="str">
        <f aca="false">IFERROR(INDEX(종합!E$3:E$501,MATCH(ROW()-2,종합!$AD$3:$AD$501,0))&amp;"","")</f>
        <v/>
      </c>
      <c r="F89" s="18" t="str">
        <f aca="false">IFERROR(INDEX(종합!F$3:F$501,MATCH(ROW()-2,종합!$AD$3:$AD$501,0))&amp;"","")</f>
        <v/>
      </c>
      <c r="G89" s="18" t="str">
        <f aca="false">IFERROR(INDEX(종합!G$3:G$501,MATCH(ROW()-2,종합!$AD$3:$AD$501,0))&amp;"","")</f>
        <v/>
      </c>
      <c r="H89" s="21" t="str">
        <f aca="false">IFERROR(INDEX(종합!H$3:H$501,MATCH(ROW()-2,종합!$AD$3:$AD$501,0))&amp;"","")</f>
        <v/>
      </c>
      <c r="I89" s="21" t="str">
        <f aca="false">IFERROR(INDEX(종합!I$3:I$501,MATCH(ROW()-2,종합!$AD$3:$AD$501,0))&amp;"","")</f>
        <v/>
      </c>
      <c r="J89" s="21" t="str">
        <f aca="false">IFERROR(INDEX(종합!J$3:J$501,MATCH(ROW()-2,종합!$AD$3:$AD$501,0))&amp;"","")</f>
        <v/>
      </c>
      <c r="K89" s="21" t="str">
        <f aca="false">IFERROR(INDEX(종합!K$3:K$501,MATCH(ROW()-2,종합!$AD$3:$AD$501,0))&amp;"","")</f>
        <v/>
      </c>
      <c r="L89" s="21" t="str">
        <f aca="false">IFERROR(INDEX(종합!L$3:L$501,MATCH(ROW()-2,종합!$AD$3:$AD$501,0))&amp;"","")</f>
        <v/>
      </c>
      <c r="M89" s="21" t="str">
        <f aca="false">IFERROR(INDEX(종합!M$3:M$501,MATCH(ROW()-2,종합!$AD$3:$AD$501,0))&amp;"","")</f>
        <v/>
      </c>
      <c r="N89" s="25" t="str">
        <f aca="false">IFERROR(INDEX(종합!N$3:N$501,MATCH(ROW()-2,종합!$AD$3:$AD$501,0))&amp;"","")</f>
        <v/>
      </c>
      <c r="O89" s="21" t="str">
        <f aca="false">IFERROR(INDEX(종합!O$3:O$501,MATCH(ROW()-2,종합!$AD$3:$AD$501,0))&amp;"","")</f>
        <v/>
      </c>
      <c r="P89" s="21" t="str">
        <f aca="false">IFERROR(INDEX(종합!P$3:P$501,MATCH(ROW()-2,종합!$AD$3:$AD$501,0))&amp;"","")</f>
        <v/>
      </c>
      <c r="Q89" s="21" t="str">
        <f aca="false">IFERROR(INDEX(종합!Q$3:Q$501,MATCH(ROW()-2,종합!$AD$3:$AD$501,0))&amp;"","")</f>
        <v/>
      </c>
      <c r="R89" s="21" t="str">
        <f aca="false">IFERROR(INDEX(종합!R$3:R$501,MATCH(ROW()-2,종합!$AD$3:$AD$501,0))&amp;"","")</f>
        <v/>
      </c>
      <c r="S89" s="21" t="str">
        <f aca="false">IFERROR(INDEX(종합!S$3:S$501,MATCH(ROW()-2,종합!$AD$3:$AD$501,0))&amp;"","")</f>
        <v/>
      </c>
      <c r="T89" s="21" t="str">
        <f aca="false">IFERROR(INDEX(종합!T$3:T$501,MATCH(ROW()-2,종합!$AD$3:$AD$501,0))&amp;"","")</f>
        <v/>
      </c>
      <c r="U89" s="21" t="str">
        <f aca="false">IFERROR(INDEX(종합!U$3:U$501,MATCH(ROW()-2,종합!$AD$3:$AD$501,0))&amp;"","")</f>
        <v/>
      </c>
      <c r="V89" s="21" t="str">
        <f aca="false">IFERROR(INDEX(종합!V$3:V$501,MATCH(ROW()-2,종합!$AD$3:$AD$501,0))&amp;"","")</f>
        <v/>
      </c>
      <c r="W89" s="21" t="str">
        <f aca="false">IFERROR(INDEX(종합!W$3:W$501,MATCH(ROW()-2,종합!$AD$3:$AD$501,0))&amp;"","")</f>
        <v/>
      </c>
      <c r="X89" s="21" t="str">
        <f aca="false">IFERROR(INDEX(종합!X$3:X$501,MATCH(ROW()-2,종합!$AD$3:$AD$501,0))&amp;"","")</f>
        <v/>
      </c>
      <c r="Y89" s="21" t="str">
        <f aca="false">IFERROR(INDEX(종합!Y$3:Y$501,MATCH(ROW()-2,종합!$AD$3:$AD$501,0))&amp;"","")</f>
        <v/>
      </c>
      <c r="Z89" s="21" t="str">
        <f aca="false">IFERROR(INDEX(종합!Z$3:Z$501,MATCH(ROW()-2,종합!$AD$3:$AD$501,0))&amp;"","")</f>
        <v/>
      </c>
      <c r="AA89" s="23" t="str">
        <f aca="false">IFERROR(INDEX(종합!AA$3:AA$501,MATCH(ROW()-2,종합!$AD$3:$AD$501,0))&amp;"","")</f>
        <v/>
      </c>
    </row>
    <row r="90" customFormat="false" ht="33.75" hidden="false" customHeight="true" outlineLevel="0" collapsed="false">
      <c r="A90" s="18" t="str">
        <f aca="false">IF(B90="","",ROW()-2)</f>
        <v/>
      </c>
      <c r="B90" s="18" t="str">
        <f aca="false">IFERROR(INDEX(종합!B$3:B$501,MATCH(ROW()-2,종합!$AD$3:$AD$501,0))&amp;"","")</f>
        <v/>
      </c>
      <c r="C90" s="18" t="str">
        <f aca="false">IFERROR(INDEX(종합!C$3:C$501,MATCH(ROW()-2,종합!$AD$3:$AD$501,0))&amp;"","")</f>
        <v/>
      </c>
      <c r="D90" s="18" t="str">
        <f aca="false">IFERROR(INDEX(종합!D$3:D$501,MATCH(ROW()-2,종합!$AD$3:$AD$501,0))&amp;"","")</f>
        <v/>
      </c>
      <c r="E90" s="18" t="str">
        <f aca="false">IFERROR(INDEX(종합!E$3:E$501,MATCH(ROW()-2,종합!$AD$3:$AD$501,0))&amp;"","")</f>
        <v/>
      </c>
      <c r="F90" s="18" t="str">
        <f aca="false">IFERROR(INDEX(종합!F$3:F$501,MATCH(ROW()-2,종합!$AD$3:$AD$501,0))&amp;"","")</f>
        <v/>
      </c>
      <c r="G90" s="18" t="str">
        <f aca="false">IFERROR(INDEX(종합!G$3:G$501,MATCH(ROW()-2,종합!$AD$3:$AD$501,0))&amp;"","")</f>
        <v/>
      </c>
      <c r="H90" s="21" t="str">
        <f aca="false">IFERROR(INDEX(종합!H$3:H$501,MATCH(ROW()-2,종합!$AD$3:$AD$501,0))&amp;"","")</f>
        <v/>
      </c>
      <c r="I90" s="21" t="str">
        <f aca="false">IFERROR(INDEX(종합!I$3:I$501,MATCH(ROW()-2,종합!$AD$3:$AD$501,0))&amp;"","")</f>
        <v/>
      </c>
      <c r="J90" s="21" t="str">
        <f aca="false">IFERROR(INDEX(종합!J$3:J$501,MATCH(ROW()-2,종합!$AD$3:$AD$501,0))&amp;"","")</f>
        <v/>
      </c>
      <c r="K90" s="21" t="str">
        <f aca="false">IFERROR(INDEX(종합!K$3:K$501,MATCH(ROW()-2,종합!$AD$3:$AD$501,0))&amp;"","")</f>
        <v/>
      </c>
      <c r="L90" s="21" t="str">
        <f aca="false">IFERROR(INDEX(종합!L$3:L$501,MATCH(ROW()-2,종합!$AD$3:$AD$501,0))&amp;"","")</f>
        <v/>
      </c>
      <c r="M90" s="21" t="str">
        <f aca="false">IFERROR(INDEX(종합!M$3:M$501,MATCH(ROW()-2,종합!$AD$3:$AD$501,0))&amp;"","")</f>
        <v/>
      </c>
      <c r="N90" s="25" t="str">
        <f aca="false">IFERROR(INDEX(종합!N$3:N$501,MATCH(ROW()-2,종합!$AD$3:$AD$501,0))&amp;"","")</f>
        <v/>
      </c>
      <c r="O90" s="21" t="str">
        <f aca="false">IFERROR(INDEX(종합!O$3:O$501,MATCH(ROW()-2,종합!$AD$3:$AD$501,0))&amp;"","")</f>
        <v/>
      </c>
      <c r="P90" s="21" t="str">
        <f aca="false">IFERROR(INDEX(종합!P$3:P$501,MATCH(ROW()-2,종합!$AD$3:$AD$501,0))&amp;"","")</f>
        <v/>
      </c>
      <c r="Q90" s="21" t="str">
        <f aca="false">IFERROR(INDEX(종합!Q$3:Q$501,MATCH(ROW()-2,종합!$AD$3:$AD$501,0))&amp;"","")</f>
        <v/>
      </c>
      <c r="R90" s="21" t="str">
        <f aca="false">IFERROR(INDEX(종합!R$3:R$501,MATCH(ROW()-2,종합!$AD$3:$AD$501,0))&amp;"","")</f>
        <v/>
      </c>
      <c r="S90" s="21" t="str">
        <f aca="false">IFERROR(INDEX(종합!S$3:S$501,MATCH(ROW()-2,종합!$AD$3:$AD$501,0))&amp;"","")</f>
        <v/>
      </c>
      <c r="T90" s="21" t="str">
        <f aca="false">IFERROR(INDEX(종합!T$3:T$501,MATCH(ROW()-2,종합!$AD$3:$AD$501,0))&amp;"","")</f>
        <v/>
      </c>
      <c r="U90" s="21" t="str">
        <f aca="false">IFERROR(INDEX(종합!U$3:U$501,MATCH(ROW()-2,종합!$AD$3:$AD$501,0))&amp;"","")</f>
        <v/>
      </c>
      <c r="V90" s="21" t="str">
        <f aca="false">IFERROR(INDEX(종합!V$3:V$501,MATCH(ROW()-2,종합!$AD$3:$AD$501,0))&amp;"","")</f>
        <v/>
      </c>
      <c r="W90" s="21" t="str">
        <f aca="false">IFERROR(INDEX(종합!W$3:W$501,MATCH(ROW()-2,종합!$AD$3:$AD$501,0))&amp;"","")</f>
        <v/>
      </c>
      <c r="X90" s="21" t="str">
        <f aca="false">IFERROR(INDEX(종합!X$3:X$501,MATCH(ROW()-2,종합!$AD$3:$AD$501,0))&amp;"","")</f>
        <v/>
      </c>
      <c r="Y90" s="21" t="str">
        <f aca="false">IFERROR(INDEX(종합!Y$3:Y$501,MATCH(ROW()-2,종합!$AD$3:$AD$501,0))&amp;"","")</f>
        <v/>
      </c>
      <c r="Z90" s="21" t="str">
        <f aca="false">IFERROR(INDEX(종합!Z$3:Z$501,MATCH(ROW()-2,종합!$AD$3:$AD$501,0))&amp;"","")</f>
        <v/>
      </c>
      <c r="AA90" s="23" t="str">
        <f aca="false">IFERROR(INDEX(종합!AA$3:AA$501,MATCH(ROW()-2,종합!$AD$3:$AD$501,0))&amp;"","")</f>
        <v/>
      </c>
    </row>
    <row r="91" customFormat="false" ht="22.5" hidden="false" customHeight="true" outlineLevel="0" collapsed="false">
      <c r="A91" s="18" t="str">
        <f aca="false">IF(B91="","",ROW()-2)</f>
        <v/>
      </c>
      <c r="B91" s="18" t="str">
        <f aca="false">IFERROR(INDEX(종합!B$3:B$501,MATCH(ROW()-2,종합!$AD$3:$AD$501,0))&amp;"","")</f>
        <v/>
      </c>
      <c r="C91" s="18" t="str">
        <f aca="false">IFERROR(INDEX(종합!C$3:C$501,MATCH(ROW()-2,종합!$AD$3:$AD$501,0))&amp;"","")</f>
        <v/>
      </c>
      <c r="D91" s="18" t="str">
        <f aca="false">IFERROR(INDEX(종합!D$3:D$501,MATCH(ROW()-2,종합!$AD$3:$AD$501,0))&amp;"","")</f>
        <v/>
      </c>
      <c r="E91" s="18" t="str">
        <f aca="false">IFERROR(INDEX(종합!E$3:E$501,MATCH(ROW()-2,종합!$AD$3:$AD$501,0))&amp;"","")</f>
        <v/>
      </c>
      <c r="F91" s="18" t="str">
        <f aca="false">IFERROR(INDEX(종합!F$3:F$501,MATCH(ROW()-2,종합!$AD$3:$AD$501,0))&amp;"","")</f>
        <v/>
      </c>
      <c r="G91" s="18" t="str">
        <f aca="false">IFERROR(INDEX(종합!G$3:G$501,MATCH(ROW()-2,종합!$AD$3:$AD$501,0))&amp;"","")</f>
        <v/>
      </c>
      <c r="H91" s="21" t="str">
        <f aca="false">IFERROR(INDEX(종합!H$3:H$501,MATCH(ROW()-2,종합!$AD$3:$AD$501,0))&amp;"","")</f>
        <v/>
      </c>
      <c r="I91" s="21" t="str">
        <f aca="false">IFERROR(INDEX(종합!I$3:I$501,MATCH(ROW()-2,종합!$AD$3:$AD$501,0))&amp;"","")</f>
        <v/>
      </c>
      <c r="J91" s="21" t="str">
        <f aca="false">IFERROR(INDEX(종합!J$3:J$501,MATCH(ROW()-2,종합!$AD$3:$AD$501,0))&amp;"","")</f>
        <v/>
      </c>
      <c r="K91" s="21" t="str">
        <f aca="false">IFERROR(INDEX(종합!K$3:K$501,MATCH(ROW()-2,종합!$AD$3:$AD$501,0))&amp;"","")</f>
        <v/>
      </c>
      <c r="L91" s="21" t="str">
        <f aca="false">IFERROR(INDEX(종합!L$3:L$501,MATCH(ROW()-2,종합!$AD$3:$AD$501,0))&amp;"","")</f>
        <v/>
      </c>
      <c r="M91" s="21" t="str">
        <f aca="false">IFERROR(INDEX(종합!M$3:M$501,MATCH(ROW()-2,종합!$AD$3:$AD$501,0))&amp;"","")</f>
        <v/>
      </c>
      <c r="N91" s="25" t="str">
        <f aca="false">IFERROR(INDEX(종합!N$3:N$501,MATCH(ROW()-2,종합!$AD$3:$AD$501,0))&amp;"","")</f>
        <v/>
      </c>
      <c r="O91" s="21" t="str">
        <f aca="false">IFERROR(INDEX(종합!O$3:O$501,MATCH(ROW()-2,종합!$AD$3:$AD$501,0))&amp;"","")</f>
        <v/>
      </c>
      <c r="P91" s="21" t="str">
        <f aca="false">IFERROR(INDEX(종합!P$3:P$501,MATCH(ROW()-2,종합!$AD$3:$AD$501,0))&amp;"","")</f>
        <v/>
      </c>
      <c r="Q91" s="21" t="str">
        <f aca="false">IFERROR(INDEX(종합!Q$3:Q$501,MATCH(ROW()-2,종합!$AD$3:$AD$501,0))&amp;"","")</f>
        <v/>
      </c>
      <c r="R91" s="21" t="str">
        <f aca="false">IFERROR(INDEX(종합!R$3:R$501,MATCH(ROW()-2,종합!$AD$3:$AD$501,0))&amp;"","")</f>
        <v/>
      </c>
      <c r="S91" s="21" t="str">
        <f aca="false">IFERROR(INDEX(종합!S$3:S$501,MATCH(ROW()-2,종합!$AD$3:$AD$501,0))&amp;"","")</f>
        <v/>
      </c>
      <c r="T91" s="21" t="str">
        <f aca="false">IFERROR(INDEX(종합!T$3:T$501,MATCH(ROW()-2,종합!$AD$3:$AD$501,0))&amp;"","")</f>
        <v/>
      </c>
      <c r="U91" s="21" t="str">
        <f aca="false">IFERROR(INDEX(종합!U$3:U$501,MATCH(ROW()-2,종합!$AD$3:$AD$501,0))&amp;"","")</f>
        <v/>
      </c>
      <c r="V91" s="21" t="str">
        <f aca="false">IFERROR(INDEX(종합!V$3:V$501,MATCH(ROW()-2,종합!$AD$3:$AD$501,0))&amp;"","")</f>
        <v/>
      </c>
      <c r="W91" s="21" t="str">
        <f aca="false">IFERROR(INDEX(종합!W$3:W$501,MATCH(ROW()-2,종합!$AD$3:$AD$501,0))&amp;"","")</f>
        <v/>
      </c>
      <c r="X91" s="21" t="str">
        <f aca="false">IFERROR(INDEX(종합!X$3:X$501,MATCH(ROW()-2,종합!$AD$3:$AD$501,0))&amp;"","")</f>
        <v/>
      </c>
      <c r="Y91" s="21" t="str">
        <f aca="false">IFERROR(INDEX(종합!Y$3:Y$501,MATCH(ROW()-2,종합!$AD$3:$AD$501,0))&amp;"","")</f>
        <v/>
      </c>
      <c r="Z91" s="21" t="str">
        <f aca="false">IFERROR(INDEX(종합!Z$3:Z$501,MATCH(ROW()-2,종합!$AD$3:$AD$501,0))&amp;"","")</f>
        <v/>
      </c>
      <c r="AA91" s="23" t="str">
        <f aca="false">IFERROR(INDEX(종합!AA$3:AA$501,MATCH(ROW()-2,종합!$AD$3:$AD$501,0))&amp;"","")</f>
        <v/>
      </c>
    </row>
    <row r="92" customFormat="false" ht="33.75" hidden="false" customHeight="true" outlineLevel="0" collapsed="false">
      <c r="A92" s="18" t="str">
        <f aca="false">IF(B92="","",ROW()-2)</f>
        <v/>
      </c>
      <c r="B92" s="18" t="str">
        <f aca="false">IFERROR(INDEX(종합!B$3:B$501,MATCH(ROW()-2,종합!$AD$3:$AD$501,0))&amp;"","")</f>
        <v/>
      </c>
      <c r="C92" s="18" t="str">
        <f aca="false">IFERROR(INDEX(종합!C$3:C$501,MATCH(ROW()-2,종합!$AD$3:$AD$501,0))&amp;"","")</f>
        <v/>
      </c>
      <c r="D92" s="18" t="str">
        <f aca="false">IFERROR(INDEX(종합!D$3:D$501,MATCH(ROW()-2,종합!$AD$3:$AD$501,0))&amp;"","")</f>
        <v/>
      </c>
      <c r="E92" s="18" t="str">
        <f aca="false">IFERROR(INDEX(종합!E$3:E$501,MATCH(ROW()-2,종합!$AD$3:$AD$501,0))&amp;"","")</f>
        <v/>
      </c>
      <c r="F92" s="18" t="str">
        <f aca="false">IFERROR(INDEX(종합!F$3:F$501,MATCH(ROW()-2,종합!$AD$3:$AD$501,0))&amp;"","")</f>
        <v/>
      </c>
      <c r="G92" s="18" t="str">
        <f aca="false">IFERROR(INDEX(종합!G$3:G$501,MATCH(ROW()-2,종합!$AD$3:$AD$501,0))&amp;"","")</f>
        <v/>
      </c>
      <c r="H92" s="21" t="str">
        <f aca="false">IFERROR(INDEX(종합!H$3:H$501,MATCH(ROW()-2,종합!$AD$3:$AD$501,0))&amp;"","")</f>
        <v/>
      </c>
      <c r="I92" s="21" t="str">
        <f aca="false">IFERROR(INDEX(종합!I$3:I$501,MATCH(ROW()-2,종합!$AD$3:$AD$501,0))&amp;"","")</f>
        <v/>
      </c>
      <c r="J92" s="21" t="str">
        <f aca="false">IFERROR(INDEX(종합!J$3:J$501,MATCH(ROW()-2,종합!$AD$3:$AD$501,0))&amp;"","")</f>
        <v/>
      </c>
      <c r="K92" s="21" t="str">
        <f aca="false">IFERROR(INDEX(종합!K$3:K$501,MATCH(ROW()-2,종합!$AD$3:$AD$501,0))&amp;"","")</f>
        <v/>
      </c>
      <c r="L92" s="21" t="str">
        <f aca="false">IFERROR(INDEX(종합!L$3:L$501,MATCH(ROW()-2,종합!$AD$3:$AD$501,0))&amp;"","")</f>
        <v/>
      </c>
      <c r="M92" s="21" t="str">
        <f aca="false">IFERROR(INDEX(종합!M$3:M$501,MATCH(ROW()-2,종합!$AD$3:$AD$501,0))&amp;"","")</f>
        <v/>
      </c>
      <c r="N92" s="25" t="str">
        <f aca="false">IFERROR(INDEX(종합!N$3:N$501,MATCH(ROW()-2,종합!$AD$3:$AD$501,0))&amp;"","")</f>
        <v/>
      </c>
      <c r="O92" s="21" t="str">
        <f aca="false">IFERROR(INDEX(종합!O$3:O$501,MATCH(ROW()-2,종합!$AD$3:$AD$501,0))&amp;"","")</f>
        <v/>
      </c>
      <c r="P92" s="21" t="str">
        <f aca="false">IFERROR(INDEX(종합!P$3:P$501,MATCH(ROW()-2,종합!$AD$3:$AD$501,0))&amp;"","")</f>
        <v/>
      </c>
      <c r="Q92" s="21" t="str">
        <f aca="false">IFERROR(INDEX(종합!Q$3:Q$501,MATCH(ROW()-2,종합!$AD$3:$AD$501,0))&amp;"","")</f>
        <v/>
      </c>
      <c r="R92" s="21" t="str">
        <f aca="false">IFERROR(INDEX(종합!R$3:R$501,MATCH(ROW()-2,종합!$AD$3:$AD$501,0))&amp;"","")</f>
        <v/>
      </c>
      <c r="S92" s="21" t="str">
        <f aca="false">IFERROR(INDEX(종합!S$3:S$501,MATCH(ROW()-2,종합!$AD$3:$AD$501,0))&amp;"","")</f>
        <v/>
      </c>
      <c r="T92" s="21" t="str">
        <f aca="false">IFERROR(INDEX(종합!T$3:T$501,MATCH(ROW()-2,종합!$AD$3:$AD$501,0))&amp;"","")</f>
        <v/>
      </c>
      <c r="U92" s="21" t="str">
        <f aca="false">IFERROR(INDEX(종합!U$3:U$501,MATCH(ROW()-2,종합!$AD$3:$AD$501,0))&amp;"","")</f>
        <v/>
      </c>
      <c r="V92" s="21" t="str">
        <f aca="false">IFERROR(INDEX(종합!V$3:V$501,MATCH(ROW()-2,종합!$AD$3:$AD$501,0))&amp;"","")</f>
        <v/>
      </c>
      <c r="W92" s="21" t="str">
        <f aca="false">IFERROR(INDEX(종합!W$3:W$501,MATCH(ROW()-2,종합!$AD$3:$AD$501,0))&amp;"","")</f>
        <v/>
      </c>
      <c r="X92" s="21" t="str">
        <f aca="false">IFERROR(INDEX(종합!X$3:X$501,MATCH(ROW()-2,종합!$AD$3:$AD$501,0))&amp;"","")</f>
        <v/>
      </c>
      <c r="Y92" s="21" t="str">
        <f aca="false">IFERROR(INDEX(종합!Y$3:Y$501,MATCH(ROW()-2,종합!$AD$3:$AD$501,0))&amp;"","")</f>
        <v/>
      </c>
      <c r="Z92" s="21" t="str">
        <f aca="false">IFERROR(INDEX(종합!Z$3:Z$501,MATCH(ROW()-2,종합!$AD$3:$AD$501,0))&amp;"","")</f>
        <v/>
      </c>
      <c r="AA92" s="23" t="str">
        <f aca="false">IFERROR(INDEX(종합!AA$3:AA$501,MATCH(ROW()-2,종합!$AD$3:$AD$501,0))&amp;"","")</f>
        <v/>
      </c>
    </row>
    <row r="93" customFormat="false" ht="22.5" hidden="false" customHeight="true" outlineLevel="0" collapsed="false">
      <c r="A93" s="18" t="str">
        <f aca="false">IF(B93="","",ROW()-2)</f>
        <v/>
      </c>
      <c r="B93" s="18" t="str">
        <f aca="false">IFERROR(INDEX(종합!B$3:B$501,MATCH(ROW()-2,종합!$AD$3:$AD$501,0))&amp;"","")</f>
        <v/>
      </c>
      <c r="C93" s="18" t="str">
        <f aca="false">IFERROR(INDEX(종합!C$3:C$501,MATCH(ROW()-2,종합!$AD$3:$AD$501,0))&amp;"","")</f>
        <v/>
      </c>
      <c r="D93" s="18" t="str">
        <f aca="false">IFERROR(INDEX(종합!D$3:D$501,MATCH(ROW()-2,종합!$AD$3:$AD$501,0))&amp;"","")</f>
        <v/>
      </c>
      <c r="E93" s="18" t="str">
        <f aca="false">IFERROR(INDEX(종합!E$3:E$501,MATCH(ROW()-2,종합!$AD$3:$AD$501,0))&amp;"","")</f>
        <v/>
      </c>
      <c r="F93" s="18" t="str">
        <f aca="false">IFERROR(INDEX(종합!F$3:F$501,MATCH(ROW()-2,종합!$AD$3:$AD$501,0))&amp;"","")</f>
        <v/>
      </c>
      <c r="G93" s="18" t="str">
        <f aca="false">IFERROR(INDEX(종합!G$3:G$501,MATCH(ROW()-2,종합!$AD$3:$AD$501,0))&amp;"","")</f>
        <v/>
      </c>
      <c r="H93" s="21" t="str">
        <f aca="false">IFERROR(INDEX(종합!H$3:H$501,MATCH(ROW()-2,종합!$AD$3:$AD$501,0))&amp;"","")</f>
        <v/>
      </c>
      <c r="I93" s="21" t="str">
        <f aca="false">IFERROR(INDEX(종합!I$3:I$501,MATCH(ROW()-2,종합!$AD$3:$AD$501,0))&amp;"","")</f>
        <v/>
      </c>
      <c r="J93" s="21" t="str">
        <f aca="false">IFERROR(INDEX(종합!J$3:J$501,MATCH(ROW()-2,종합!$AD$3:$AD$501,0))&amp;"","")</f>
        <v/>
      </c>
      <c r="K93" s="21" t="str">
        <f aca="false">IFERROR(INDEX(종합!K$3:K$501,MATCH(ROW()-2,종합!$AD$3:$AD$501,0))&amp;"","")</f>
        <v/>
      </c>
      <c r="L93" s="21" t="str">
        <f aca="false">IFERROR(INDEX(종합!L$3:L$501,MATCH(ROW()-2,종합!$AD$3:$AD$501,0))&amp;"","")</f>
        <v/>
      </c>
      <c r="M93" s="21" t="str">
        <f aca="false">IFERROR(INDEX(종합!M$3:M$501,MATCH(ROW()-2,종합!$AD$3:$AD$501,0))&amp;"","")</f>
        <v/>
      </c>
      <c r="N93" s="25" t="str">
        <f aca="false">IFERROR(INDEX(종합!N$3:N$501,MATCH(ROW()-2,종합!$AD$3:$AD$501,0))&amp;"","")</f>
        <v/>
      </c>
      <c r="O93" s="21" t="str">
        <f aca="false">IFERROR(INDEX(종합!O$3:O$501,MATCH(ROW()-2,종합!$AD$3:$AD$501,0))&amp;"","")</f>
        <v/>
      </c>
      <c r="P93" s="21" t="str">
        <f aca="false">IFERROR(INDEX(종합!P$3:P$501,MATCH(ROW()-2,종합!$AD$3:$AD$501,0))&amp;"","")</f>
        <v/>
      </c>
      <c r="Q93" s="21" t="str">
        <f aca="false">IFERROR(INDEX(종합!Q$3:Q$501,MATCH(ROW()-2,종합!$AD$3:$AD$501,0))&amp;"","")</f>
        <v/>
      </c>
      <c r="R93" s="21" t="str">
        <f aca="false">IFERROR(INDEX(종합!R$3:R$501,MATCH(ROW()-2,종합!$AD$3:$AD$501,0))&amp;"","")</f>
        <v/>
      </c>
      <c r="S93" s="21" t="str">
        <f aca="false">IFERROR(INDEX(종합!S$3:S$501,MATCH(ROW()-2,종합!$AD$3:$AD$501,0))&amp;"","")</f>
        <v/>
      </c>
      <c r="T93" s="21" t="str">
        <f aca="false">IFERROR(INDEX(종합!T$3:T$501,MATCH(ROW()-2,종합!$AD$3:$AD$501,0))&amp;"","")</f>
        <v/>
      </c>
      <c r="U93" s="21" t="str">
        <f aca="false">IFERROR(INDEX(종합!U$3:U$501,MATCH(ROW()-2,종합!$AD$3:$AD$501,0))&amp;"","")</f>
        <v/>
      </c>
      <c r="V93" s="21" t="str">
        <f aca="false">IFERROR(INDEX(종합!V$3:V$501,MATCH(ROW()-2,종합!$AD$3:$AD$501,0))&amp;"","")</f>
        <v/>
      </c>
      <c r="W93" s="21" t="str">
        <f aca="false">IFERROR(INDEX(종합!W$3:W$501,MATCH(ROW()-2,종합!$AD$3:$AD$501,0))&amp;"","")</f>
        <v/>
      </c>
      <c r="X93" s="21" t="str">
        <f aca="false">IFERROR(INDEX(종합!X$3:X$501,MATCH(ROW()-2,종합!$AD$3:$AD$501,0))&amp;"","")</f>
        <v/>
      </c>
      <c r="Y93" s="21" t="str">
        <f aca="false">IFERROR(INDEX(종합!Y$3:Y$501,MATCH(ROW()-2,종합!$AD$3:$AD$501,0))&amp;"","")</f>
        <v/>
      </c>
      <c r="Z93" s="21" t="str">
        <f aca="false">IFERROR(INDEX(종합!Z$3:Z$501,MATCH(ROW()-2,종합!$AD$3:$AD$501,0))&amp;"","")</f>
        <v/>
      </c>
      <c r="AA93" s="23" t="str">
        <f aca="false">IFERROR(INDEX(종합!AA$3:AA$501,MATCH(ROW()-2,종합!$AD$3:$AD$501,0))&amp;"","")</f>
        <v/>
      </c>
    </row>
    <row r="94" customFormat="false" ht="22.5" hidden="false" customHeight="true" outlineLevel="0" collapsed="false">
      <c r="A94" s="18" t="str">
        <f aca="false">IF(B94="","",ROW()-2)</f>
        <v/>
      </c>
      <c r="B94" s="18" t="str">
        <f aca="false">IFERROR(INDEX(종합!B$3:B$501,MATCH(ROW()-2,종합!$AD$3:$AD$501,0))&amp;"","")</f>
        <v/>
      </c>
      <c r="C94" s="18" t="str">
        <f aca="false">IFERROR(INDEX(종합!C$3:C$501,MATCH(ROW()-2,종합!$AD$3:$AD$501,0))&amp;"","")</f>
        <v/>
      </c>
      <c r="D94" s="18" t="str">
        <f aca="false">IFERROR(INDEX(종합!D$3:D$501,MATCH(ROW()-2,종합!$AD$3:$AD$501,0))&amp;"","")</f>
        <v/>
      </c>
      <c r="E94" s="18" t="str">
        <f aca="false">IFERROR(INDEX(종합!E$3:E$501,MATCH(ROW()-2,종합!$AD$3:$AD$501,0))&amp;"","")</f>
        <v/>
      </c>
      <c r="F94" s="18" t="str">
        <f aca="false">IFERROR(INDEX(종합!F$3:F$501,MATCH(ROW()-2,종합!$AD$3:$AD$501,0))&amp;"","")</f>
        <v/>
      </c>
      <c r="G94" s="18" t="str">
        <f aca="false">IFERROR(INDEX(종합!G$3:G$501,MATCH(ROW()-2,종합!$AD$3:$AD$501,0))&amp;"","")</f>
        <v/>
      </c>
      <c r="H94" s="21" t="str">
        <f aca="false">IFERROR(INDEX(종합!H$3:H$501,MATCH(ROW()-2,종합!$AD$3:$AD$501,0))&amp;"","")</f>
        <v/>
      </c>
      <c r="I94" s="21" t="str">
        <f aca="false">IFERROR(INDEX(종합!I$3:I$501,MATCH(ROW()-2,종합!$AD$3:$AD$501,0))&amp;"","")</f>
        <v/>
      </c>
      <c r="J94" s="21" t="str">
        <f aca="false">IFERROR(INDEX(종합!J$3:J$501,MATCH(ROW()-2,종합!$AD$3:$AD$501,0))&amp;"","")</f>
        <v/>
      </c>
      <c r="K94" s="21" t="str">
        <f aca="false">IFERROR(INDEX(종합!K$3:K$501,MATCH(ROW()-2,종합!$AD$3:$AD$501,0))&amp;"","")</f>
        <v/>
      </c>
      <c r="L94" s="21" t="str">
        <f aca="false">IFERROR(INDEX(종합!L$3:L$501,MATCH(ROW()-2,종합!$AD$3:$AD$501,0))&amp;"","")</f>
        <v/>
      </c>
      <c r="M94" s="21" t="str">
        <f aca="false">IFERROR(INDEX(종합!M$3:M$501,MATCH(ROW()-2,종합!$AD$3:$AD$501,0))&amp;"","")</f>
        <v/>
      </c>
      <c r="N94" s="25" t="str">
        <f aca="false">IFERROR(INDEX(종합!N$3:N$501,MATCH(ROW()-2,종합!$AD$3:$AD$501,0))&amp;"","")</f>
        <v/>
      </c>
      <c r="O94" s="21" t="str">
        <f aca="false">IFERROR(INDEX(종합!O$3:O$501,MATCH(ROW()-2,종합!$AD$3:$AD$501,0))&amp;"","")</f>
        <v/>
      </c>
      <c r="P94" s="21" t="str">
        <f aca="false">IFERROR(INDEX(종합!P$3:P$501,MATCH(ROW()-2,종합!$AD$3:$AD$501,0))&amp;"","")</f>
        <v/>
      </c>
      <c r="Q94" s="21" t="str">
        <f aca="false">IFERROR(INDEX(종합!Q$3:Q$501,MATCH(ROW()-2,종합!$AD$3:$AD$501,0))&amp;"","")</f>
        <v/>
      </c>
      <c r="R94" s="21" t="str">
        <f aca="false">IFERROR(INDEX(종합!R$3:R$501,MATCH(ROW()-2,종합!$AD$3:$AD$501,0))&amp;"","")</f>
        <v/>
      </c>
      <c r="S94" s="21" t="str">
        <f aca="false">IFERROR(INDEX(종합!S$3:S$501,MATCH(ROW()-2,종합!$AD$3:$AD$501,0))&amp;"","")</f>
        <v/>
      </c>
      <c r="T94" s="21" t="str">
        <f aca="false">IFERROR(INDEX(종합!T$3:T$501,MATCH(ROW()-2,종합!$AD$3:$AD$501,0))&amp;"","")</f>
        <v/>
      </c>
      <c r="U94" s="21" t="str">
        <f aca="false">IFERROR(INDEX(종합!U$3:U$501,MATCH(ROW()-2,종합!$AD$3:$AD$501,0))&amp;"","")</f>
        <v/>
      </c>
      <c r="V94" s="21" t="str">
        <f aca="false">IFERROR(INDEX(종합!V$3:V$501,MATCH(ROW()-2,종합!$AD$3:$AD$501,0))&amp;"","")</f>
        <v/>
      </c>
      <c r="W94" s="21" t="str">
        <f aca="false">IFERROR(INDEX(종합!W$3:W$501,MATCH(ROW()-2,종합!$AD$3:$AD$501,0))&amp;"","")</f>
        <v/>
      </c>
      <c r="X94" s="21" t="str">
        <f aca="false">IFERROR(INDEX(종합!X$3:X$501,MATCH(ROW()-2,종합!$AD$3:$AD$501,0))&amp;"","")</f>
        <v/>
      </c>
      <c r="Y94" s="21" t="str">
        <f aca="false">IFERROR(INDEX(종합!Y$3:Y$501,MATCH(ROW()-2,종합!$AD$3:$AD$501,0))&amp;"","")</f>
        <v/>
      </c>
      <c r="Z94" s="21" t="str">
        <f aca="false">IFERROR(INDEX(종합!Z$3:Z$501,MATCH(ROW()-2,종합!$AD$3:$AD$501,0))&amp;"","")</f>
        <v/>
      </c>
      <c r="AA94" s="23" t="str">
        <f aca="false">IFERROR(INDEX(종합!AA$3:AA$501,MATCH(ROW()-2,종합!$AD$3:$AD$501,0))&amp;"","")</f>
        <v/>
      </c>
    </row>
    <row r="95" customFormat="false" ht="22.5" hidden="false" customHeight="true" outlineLevel="0" collapsed="false">
      <c r="A95" s="18" t="str">
        <f aca="false">IF(B95="","",ROW()-2)</f>
        <v/>
      </c>
      <c r="B95" s="18" t="str">
        <f aca="false">IFERROR(INDEX(종합!B$3:B$501,MATCH(ROW()-2,종합!$AD$3:$AD$501,0))&amp;"","")</f>
        <v/>
      </c>
      <c r="C95" s="18" t="str">
        <f aca="false">IFERROR(INDEX(종합!C$3:C$501,MATCH(ROW()-2,종합!$AD$3:$AD$501,0))&amp;"","")</f>
        <v/>
      </c>
      <c r="D95" s="18" t="str">
        <f aca="false">IFERROR(INDEX(종합!D$3:D$501,MATCH(ROW()-2,종합!$AD$3:$AD$501,0))&amp;"","")</f>
        <v/>
      </c>
      <c r="E95" s="18" t="str">
        <f aca="false">IFERROR(INDEX(종합!E$3:E$501,MATCH(ROW()-2,종합!$AD$3:$AD$501,0))&amp;"","")</f>
        <v/>
      </c>
      <c r="F95" s="18" t="str">
        <f aca="false">IFERROR(INDEX(종합!F$3:F$501,MATCH(ROW()-2,종합!$AD$3:$AD$501,0))&amp;"","")</f>
        <v/>
      </c>
      <c r="G95" s="18" t="str">
        <f aca="false">IFERROR(INDEX(종합!G$3:G$501,MATCH(ROW()-2,종합!$AD$3:$AD$501,0))&amp;"","")</f>
        <v/>
      </c>
      <c r="H95" s="21" t="str">
        <f aca="false">IFERROR(INDEX(종합!H$3:H$501,MATCH(ROW()-2,종합!$AD$3:$AD$501,0))&amp;"","")</f>
        <v/>
      </c>
      <c r="I95" s="21" t="str">
        <f aca="false">IFERROR(INDEX(종합!I$3:I$501,MATCH(ROW()-2,종합!$AD$3:$AD$501,0))&amp;"","")</f>
        <v/>
      </c>
      <c r="J95" s="21" t="str">
        <f aca="false">IFERROR(INDEX(종합!J$3:J$501,MATCH(ROW()-2,종합!$AD$3:$AD$501,0))&amp;"","")</f>
        <v/>
      </c>
      <c r="K95" s="21" t="str">
        <f aca="false">IFERROR(INDEX(종합!K$3:K$501,MATCH(ROW()-2,종합!$AD$3:$AD$501,0))&amp;"","")</f>
        <v/>
      </c>
      <c r="L95" s="21" t="str">
        <f aca="false">IFERROR(INDEX(종합!L$3:L$501,MATCH(ROW()-2,종합!$AD$3:$AD$501,0))&amp;"","")</f>
        <v/>
      </c>
      <c r="M95" s="21" t="str">
        <f aca="false">IFERROR(INDEX(종합!M$3:M$501,MATCH(ROW()-2,종합!$AD$3:$AD$501,0))&amp;"","")</f>
        <v/>
      </c>
      <c r="N95" s="25" t="str">
        <f aca="false">IFERROR(INDEX(종합!N$3:N$501,MATCH(ROW()-2,종합!$AD$3:$AD$501,0))&amp;"","")</f>
        <v/>
      </c>
      <c r="O95" s="21" t="str">
        <f aca="false">IFERROR(INDEX(종합!O$3:O$501,MATCH(ROW()-2,종합!$AD$3:$AD$501,0))&amp;"","")</f>
        <v/>
      </c>
      <c r="P95" s="21" t="str">
        <f aca="false">IFERROR(INDEX(종합!P$3:P$501,MATCH(ROW()-2,종합!$AD$3:$AD$501,0))&amp;"","")</f>
        <v/>
      </c>
      <c r="Q95" s="21" t="str">
        <f aca="false">IFERROR(INDEX(종합!Q$3:Q$501,MATCH(ROW()-2,종합!$AD$3:$AD$501,0))&amp;"","")</f>
        <v/>
      </c>
      <c r="R95" s="21" t="str">
        <f aca="false">IFERROR(INDEX(종합!R$3:R$501,MATCH(ROW()-2,종합!$AD$3:$AD$501,0))&amp;"","")</f>
        <v/>
      </c>
      <c r="S95" s="21" t="str">
        <f aca="false">IFERROR(INDEX(종합!S$3:S$501,MATCH(ROW()-2,종합!$AD$3:$AD$501,0))&amp;"","")</f>
        <v/>
      </c>
      <c r="T95" s="21" t="str">
        <f aca="false">IFERROR(INDEX(종합!T$3:T$501,MATCH(ROW()-2,종합!$AD$3:$AD$501,0))&amp;"","")</f>
        <v/>
      </c>
      <c r="U95" s="21" t="str">
        <f aca="false">IFERROR(INDEX(종합!U$3:U$501,MATCH(ROW()-2,종합!$AD$3:$AD$501,0))&amp;"","")</f>
        <v/>
      </c>
      <c r="V95" s="21" t="str">
        <f aca="false">IFERROR(INDEX(종합!V$3:V$501,MATCH(ROW()-2,종합!$AD$3:$AD$501,0))&amp;"","")</f>
        <v/>
      </c>
      <c r="W95" s="21" t="str">
        <f aca="false">IFERROR(INDEX(종합!W$3:W$501,MATCH(ROW()-2,종합!$AD$3:$AD$501,0))&amp;"","")</f>
        <v/>
      </c>
      <c r="X95" s="21" t="str">
        <f aca="false">IFERROR(INDEX(종합!X$3:X$501,MATCH(ROW()-2,종합!$AD$3:$AD$501,0))&amp;"","")</f>
        <v/>
      </c>
      <c r="Y95" s="21" t="str">
        <f aca="false">IFERROR(INDEX(종합!Y$3:Y$501,MATCH(ROW()-2,종합!$AD$3:$AD$501,0))&amp;"","")</f>
        <v/>
      </c>
      <c r="Z95" s="21" t="str">
        <f aca="false">IFERROR(INDEX(종합!Z$3:Z$501,MATCH(ROW()-2,종합!$AD$3:$AD$501,0))&amp;"","")</f>
        <v/>
      </c>
      <c r="AA95" s="23" t="str">
        <f aca="false">IFERROR(INDEX(종합!AA$3:AA$501,MATCH(ROW()-2,종합!$AD$3:$AD$501,0))&amp;"","")</f>
        <v/>
      </c>
    </row>
    <row r="96" customFormat="false" ht="33.75" hidden="false" customHeight="true" outlineLevel="0" collapsed="false">
      <c r="A96" s="18" t="str">
        <f aca="false">IF(B96="","",ROW()-2)</f>
        <v/>
      </c>
      <c r="B96" s="18" t="str">
        <f aca="false">IFERROR(INDEX(종합!B$3:B$501,MATCH(ROW()-2,종합!$AD$3:$AD$501,0))&amp;"","")</f>
        <v/>
      </c>
      <c r="C96" s="18" t="str">
        <f aca="false">IFERROR(INDEX(종합!C$3:C$501,MATCH(ROW()-2,종합!$AD$3:$AD$501,0))&amp;"","")</f>
        <v/>
      </c>
      <c r="D96" s="18" t="str">
        <f aca="false">IFERROR(INDEX(종합!D$3:D$501,MATCH(ROW()-2,종합!$AD$3:$AD$501,0))&amp;"","")</f>
        <v/>
      </c>
      <c r="E96" s="18" t="str">
        <f aca="false">IFERROR(INDEX(종합!E$3:E$501,MATCH(ROW()-2,종합!$AD$3:$AD$501,0))&amp;"","")</f>
        <v/>
      </c>
      <c r="F96" s="18" t="str">
        <f aca="false">IFERROR(INDEX(종합!F$3:F$501,MATCH(ROW()-2,종합!$AD$3:$AD$501,0))&amp;"","")</f>
        <v/>
      </c>
      <c r="G96" s="18" t="str">
        <f aca="false">IFERROR(INDEX(종합!G$3:G$501,MATCH(ROW()-2,종합!$AD$3:$AD$501,0))&amp;"","")</f>
        <v/>
      </c>
      <c r="H96" s="21" t="str">
        <f aca="false">IFERROR(INDEX(종합!H$3:H$501,MATCH(ROW()-2,종합!$AD$3:$AD$501,0))&amp;"","")</f>
        <v/>
      </c>
      <c r="I96" s="21" t="str">
        <f aca="false">IFERROR(INDEX(종합!I$3:I$501,MATCH(ROW()-2,종합!$AD$3:$AD$501,0))&amp;"","")</f>
        <v/>
      </c>
      <c r="J96" s="21" t="str">
        <f aca="false">IFERROR(INDEX(종합!J$3:J$501,MATCH(ROW()-2,종합!$AD$3:$AD$501,0))&amp;"","")</f>
        <v/>
      </c>
      <c r="K96" s="21" t="str">
        <f aca="false">IFERROR(INDEX(종합!K$3:K$501,MATCH(ROW()-2,종합!$AD$3:$AD$501,0))&amp;"","")</f>
        <v/>
      </c>
      <c r="L96" s="21" t="str">
        <f aca="false">IFERROR(INDEX(종합!L$3:L$501,MATCH(ROW()-2,종합!$AD$3:$AD$501,0))&amp;"","")</f>
        <v/>
      </c>
      <c r="M96" s="21" t="str">
        <f aca="false">IFERROR(INDEX(종합!M$3:M$501,MATCH(ROW()-2,종합!$AD$3:$AD$501,0))&amp;"","")</f>
        <v/>
      </c>
      <c r="N96" s="25" t="str">
        <f aca="false">IFERROR(INDEX(종합!N$3:N$501,MATCH(ROW()-2,종합!$AD$3:$AD$501,0))&amp;"","")</f>
        <v/>
      </c>
      <c r="O96" s="21" t="str">
        <f aca="false">IFERROR(INDEX(종합!O$3:O$501,MATCH(ROW()-2,종합!$AD$3:$AD$501,0))&amp;"","")</f>
        <v/>
      </c>
      <c r="P96" s="21" t="str">
        <f aca="false">IFERROR(INDEX(종합!P$3:P$501,MATCH(ROW()-2,종합!$AD$3:$AD$501,0))&amp;"","")</f>
        <v/>
      </c>
      <c r="Q96" s="21" t="str">
        <f aca="false">IFERROR(INDEX(종합!Q$3:Q$501,MATCH(ROW()-2,종합!$AD$3:$AD$501,0))&amp;"","")</f>
        <v/>
      </c>
      <c r="R96" s="21" t="str">
        <f aca="false">IFERROR(INDEX(종합!R$3:R$501,MATCH(ROW()-2,종합!$AD$3:$AD$501,0))&amp;"","")</f>
        <v/>
      </c>
      <c r="S96" s="21" t="str">
        <f aca="false">IFERROR(INDEX(종합!S$3:S$501,MATCH(ROW()-2,종합!$AD$3:$AD$501,0))&amp;"","")</f>
        <v/>
      </c>
      <c r="T96" s="21" t="str">
        <f aca="false">IFERROR(INDEX(종합!T$3:T$501,MATCH(ROW()-2,종합!$AD$3:$AD$501,0))&amp;"","")</f>
        <v/>
      </c>
      <c r="U96" s="21" t="str">
        <f aca="false">IFERROR(INDEX(종합!U$3:U$501,MATCH(ROW()-2,종합!$AD$3:$AD$501,0))&amp;"","")</f>
        <v/>
      </c>
      <c r="V96" s="21" t="str">
        <f aca="false">IFERROR(INDEX(종합!V$3:V$501,MATCH(ROW()-2,종합!$AD$3:$AD$501,0))&amp;"","")</f>
        <v/>
      </c>
      <c r="W96" s="21" t="str">
        <f aca="false">IFERROR(INDEX(종합!W$3:W$501,MATCH(ROW()-2,종합!$AD$3:$AD$501,0))&amp;"","")</f>
        <v/>
      </c>
      <c r="X96" s="21" t="str">
        <f aca="false">IFERROR(INDEX(종합!X$3:X$501,MATCH(ROW()-2,종합!$AD$3:$AD$501,0))&amp;"","")</f>
        <v/>
      </c>
      <c r="Y96" s="21" t="str">
        <f aca="false">IFERROR(INDEX(종합!Y$3:Y$501,MATCH(ROW()-2,종합!$AD$3:$AD$501,0))&amp;"","")</f>
        <v/>
      </c>
      <c r="Z96" s="21" t="str">
        <f aca="false">IFERROR(INDEX(종합!Z$3:Z$501,MATCH(ROW()-2,종합!$AD$3:$AD$501,0))&amp;"","")</f>
        <v/>
      </c>
      <c r="AA96" s="23" t="str">
        <f aca="false">IFERROR(INDEX(종합!AA$3:AA$501,MATCH(ROW()-2,종합!$AD$3:$AD$501,0))&amp;"","")</f>
        <v/>
      </c>
    </row>
    <row r="97" customFormat="false" ht="47.25" hidden="false" customHeight="true" outlineLevel="0" collapsed="false">
      <c r="A97" s="18" t="str">
        <f aca="false">IF(B97="","",ROW()-2)</f>
        <v/>
      </c>
      <c r="B97" s="18" t="str">
        <f aca="false">IFERROR(INDEX(종합!B$3:B$501,MATCH(ROW()-2,종합!$AD$3:$AD$501,0))&amp;"","")</f>
        <v/>
      </c>
      <c r="C97" s="18" t="str">
        <f aca="false">IFERROR(INDEX(종합!C$3:C$501,MATCH(ROW()-2,종합!$AD$3:$AD$501,0))&amp;"","")</f>
        <v/>
      </c>
      <c r="D97" s="18" t="str">
        <f aca="false">IFERROR(INDEX(종합!D$3:D$501,MATCH(ROW()-2,종합!$AD$3:$AD$501,0))&amp;"","")</f>
        <v/>
      </c>
      <c r="E97" s="18" t="str">
        <f aca="false">IFERROR(INDEX(종합!E$3:E$501,MATCH(ROW()-2,종합!$AD$3:$AD$501,0))&amp;"","")</f>
        <v/>
      </c>
      <c r="F97" s="18" t="str">
        <f aca="false">IFERROR(INDEX(종합!F$3:F$501,MATCH(ROW()-2,종합!$AD$3:$AD$501,0))&amp;"","")</f>
        <v/>
      </c>
      <c r="G97" s="18" t="str">
        <f aca="false">IFERROR(INDEX(종합!G$3:G$501,MATCH(ROW()-2,종합!$AD$3:$AD$501,0))&amp;"","")</f>
        <v/>
      </c>
      <c r="H97" s="21" t="str">
        <f aca="false">IFERROR(INDEX(종합!H$3:H$501,MATCH(ROW()-2,종합!$AD$3:$AD$501,0))&amp;"","")</f>
        <v/>
      </c>
      <c r="I97" s="21" t="str">
        <f aca="false">IFERROR(INDEX(종합!I$3:I$501,MATCH(ROW()-2,종합!$AD$3:$AD$501,0))&amp;"","")</f>
        <v/>
      </c>
      <c r="J97" s="21" t="str">
        <f aca="false">IFERROR(INDEX(종합!J$3:J$501,MATCH(ROW()-2,종합!$AD$3:$AD$501,0))&amp;"","")</f>
        <v/>
      </c>
      <c r="K97" s="21" t="str">
        <f aca="false">IFERROR(INDEX(종합!K$3:K$501,MATCH(ROW()-2,종합!$AD$3:$AD$501,0))&amp;"","")</f>
        <v/>
      </c>
      <c r="L97" s="21" t="str">
        <f aca="false">IFERROR(INDEX(종합!L$3:L$501,MATCH(ROW()-2,종합!$AD$3:$AD$501,0))&amp;"","")</f>
        <v/>
      </c>
      <c r="M97" s="21" t="str">
        <f aca="false">IFERROR(INDEX(종합!M$3:M$501,MATCH(ROW()-2,종합!$AD$3:$AD$501,0))&amp;"","")</f>
        <v/>
      </c>
      <c r="N97" s="25" t="str">
        <f aca="false">IFERROR(INDEX(종합!N$3:N$501,MATCH(ROW()-2,종합!$AD$3:$AD$501,0))&amp;"","")</f>
        <v/>
      </c>
      <c r="O97" s="21" t="str">
        <f aca="false">IFERROR(INDEX(종합!O$3:O$501,MATCH(ROW()-2,종합!$AD$3:$AD$501,0))&amp;"","")</f>
        <v/>
      </c>
      <c r="P97" s="21" t="str">
        <f aca="false">IFERROR(INDEX(종합!P$3:P$501,MATCH(ROW()-2,종합!$AD$3:$AD$501,0))&amp;"","")</f>
        <v/>
      </c>
      <c r="Q97" s="21" t="str">
        <f aca="false">IFERROR(INDEX(종합!Q$3:Q$501,MATCH(ROW()-2,종합!$AD$3:$AD$501,0))&amp;"","")</f>
        <v/>
      </c>
      <c r="R97" s="21" t="str">
        <f aca="false">IFERROR(INDEX(종합!R$3:R$501,MATCH(ROW()-2,종합!$AD$3:$AD$501,0))&amp;"","")</f>
        <v/>
      </c>
      <c r="S97" s="21" t="str">
        <f aca="false">IFERROR(INDEX(종합!S$3:S$501,MATCH(ROW()-2,종합!$AD$3:$AD$501,0))&amp;"","")</f>
        <v/>
      </c>
      <c r="T97" s="21" t="str">
        <f aca="false">IFERROR(INDEX(종합!T$3:T$501,MATCH(ROW()-2,종합!$AD$3:$AD$501,0))&amp;"","")</f>
        <v/>
      </c>
      <c r="U97" s="21" t="str">
        <f aca="false">IFERROR(INDEX(종합!U$3:U$501,MATCH(ROW()-2,종합!$AD$3:$AD$501,0))&amp;"","")</f>
        <v/>
      </c>
      <c r="V97" s="21" t="str">
        <f aca="false">IFERROR(INDEX(종합!V$3:V$501,MATCH(ROW()-2,종합!$AD$3:$AD$501,0))&amp;"","")</f>
        <v/>
      </c>
      <c r="W97" s="21" t="str">
        <f aca="false">IFERROR(INDEX(종합!W$3:W$501,MATCH(ROW()-2,종합!$AD$3:$AD$501,0))&amp;"","")</f>
        <v/>
      </c>
      <c r="X97" s="21" t="str">
        <f aca="false">IFERROR(INDEX(종합!X$3:X$501,MATCH(ROW()-2,종합!$AD$3:$AD$501,0))&amp;"","")</f>
        <v/>
      </c>
      <c r="Y97" s="21" t="str">
        <f aca="false">IFERROR(INDEX(종합!Y$3:Y$501,MATCH(ROW()-2,종합!$AD$3:$AD$501,0))&amp;"","")</f>
        <v/>
      </c>
      <c r="Z97" s="21" t="str">
        <f aca="false">IFERROR(INDEX(종합!Z$3:Z$501,MATCH(ROW()-2,종합!$AD$3:$AD$501,0))&amp;"","")</f>
        <v/>
      </c>
      <c r="AA97" s="23" t="str">
        <f aca="false">IFERROR(INDEX(종합!AA$3:AA$501,MATCH(ROW()-2,종합!$AD$3:$AD$501,0))&amp;"","")</f>
        <v/>
      </c>
    </row>
    <row r="98" customFormat="false" ht="22.5" hidden="false" customHeight="true" outlineLevel="0" collapsed="false">
      <c r="A98" s="18" t="str">
        <f aca="false">IF(B98="","",ROW()-2)</f>
        <v/>
      </c>
      <c r="B98" s="18" t="str">
        <f aca="false">IFERROR(INDEX(종합!B$3:B$501,MATCH(ROW()-2,종합!$AD$3:$AD$501,0))&amp;"","")</f>
        <v/>
      </c>
      <c r="C98" s="18" t="str">
        <f aca="false">IFERROR(INDEX(종합!C$3:C$501,MATCH(ROW()-2,종합!$AD$3:$AD$501,0))&amp;"","")</f>
        <v/>
      </c>
      <c r="D98" s="18" t="str">
        <f aca="false">IFERROR(INDEX(종합!D$3:D$501,MATCH(ROW()-2,종합!$AD$3:$AD$501,0))&amp;"","")</f>
        <v/>
      </c>
      <c r="E98" s="18" t="str">
        <f aca="false">IFERROR(INDEX(종합!E$3:E$501,MATCH(ROW()-2,종합!$AD$3:$AD$501,0))&amp;"","")</f>
        <v/>
      </c>
      <c r="F98" s="18" t="str">
        <f aca="false">IFERROR(INDEX(종합!F$3:F$501,MATCH(ROW()-2,종합!$AD$3:$AD$501,0))&amp;"","")</f>
        <v/>
      </c>
      <c r="G98" s="18" t="str">
        <f aca="false">IFERROR(INDEX(종합!G$3:G$501,MATCH(ROW()-2,종합!$AD$3:$AD$501,0))&amp;"","")</f>
        <v/>
      </c>
      <c r="H98" s="21" t="str">
        <f aca="false">IFERROR(INDEX(종합!H$3:H$501,MATCH(ROW()-2,종합!$AD$3:$AD$501,0))&amp;"","")</f>
        <v/>
      </c>
      <c r="I98" s="21" t="str">
        <f aca="false">IFERROR(INDEX(종합!I$3:I$501,MATCH(ROW()-2,종합!$AD$3:$AD$501,0))&amp;"","")</f>
        <v/>
      </c>
      <c r="J98" s="21" t="str">
        <f aca="false">IFERROR(INDEX(종합!J$3:J$501,MATCH(ROW()-2,종합!$AD$3:$AD$501,0))&amp;"","")</f>
        <v/>
      </c>
      <c r="K98" s="21" t="str">
        <f aca="false">IFERROR(INDEX(종합!K$3:K$501,MATCH(ROW()-2,종합!$AD$3:$AD$501,0))&amp;"","")</f>
        <v/>
      </c>
      <c r="L98" s="21" t="str">
        <f aca="false">IFERROR(INDEX(종합!L$3:L$501,MATCH(ROW()-2,종합!$AD$3:$AD$501,0))&amp;"","")</f>
        <v/>
      </c>
      <c r="M98" s="21" t="str">
        <f aca="false">IFERROR(INDEX(종합!M$3:M$501,MATCH(ROW()-2,종합!$AD$3:$AD$501,0))&amp;"","")</f>
        <v/>
      </c>
      <c r="N98" s="25" t="str">
        <f aca="false">IFERROR(INDEX(종합!N$3:N$501,MATCH(ROW()-2,종합!$AD$3:$AD$501,0))&amp;"","")</f>
        <v/>
      </c>
      <c r="O98" s="21" t="str">
        <f aca="false">IFERROR(INDEX(종합!O$3:O$501,MATCH(ROW()-2,종합!$AD$3:$AD$501,0))&amp;"","")</f>
        <v/>
      </c>
      <c r="P98" s="21" t="str">
        <f aca="false">IFERROR(INDEX(종합!P$3:P$501,MATCH(ROW()-2,종합!$AD$3:$AD$501,0))&amp;"","")</f>
        <v/>
      </c>
      <c r="Q98" s="21" t="str">
        <f aca="false">IFERROR(INDEX(종합!Q$3:Q$501,MATCH(ROW()-2,종합!$AD$3:$AD$501,0))&amp;"","")</f>
        <v/>
      </c>
      <c r="R98" s="21" t="str">
        <f aca="false">IFERROR(INDEX(종합!R$3:R$501,MATCH(ROW()-2,종합!$AD$3:$AD$501,0))&amp;"","")</f>
        <v/>
      </c>
      <c r="S98" s="21" t="str">
        <f aca="false">IFERROR(INDEX(종합!S$3:S$501,MATCH(ROW()-2,종합!$AD$3:$AD$501,0))&amp;"","")</f>
        <v/>
      </c>
      <c r="T98" s="21" t="str">
        <f aca="false">IFERROR(INDEX(종합!T$3:T$501,MATCH(ROW()-2,종합!$AD$3:$AD$501,0))&amp;"","")</f>
        <v/>
      </c>
      <c r="U98" s="21" t="str">
        <f aca="false">IFERROR(INDEX(종합!U$3:U$501,MATCH(ROW()-2,종합!$AD$3:$AD$501,0))&amp;"","")</f>
        <v/>
      </c>
      <c r="V98" s="21" t="str">
        <f aca="false">IFERROR(INDEX(종합!V$3:V$501,MATCH(ROW()-2,종합!$AD$3:$AD$501,0))&amp;"","")</f>
        <v/>
      </c>
      <c r="W98" s="21" t="str">
        <f aca="false">IFERROR(INDEX(종합!W$3:W$501,MATCH(ROW()-2,종합!$AD$3:$AD$501,0))&amp;"","")</f>
        <v/>
      </c>
      <c r="X98" s="21" t="str">
        <f aca="false">IFERROR(INDEX(종합!X$3:X$501,MATCH(ROW()-2,종합!$AD$3:$AD$501,0))&amp;"","")</f>
        <v/>
      </c>
      <c r="Y98" s="21" t="str">
        <f aca="false">IFERROR(INDEX(종합!Y$3:Y$501,MATCH(ROW()-2,종합!$AD$3:$AD$501,0))&amp;"","")</f>
        <v/>
      </c>
      <c r="Z98" s="21" t="str">
        <f aca="false">IFERROR(INDEX(종합!Z$3:Z$501,MATCH(ROW()-2,종합!$AD$3:$AD$501,0))&amp;"","")</f>
        <v/>
      </c>
      <c r="AA98" s="23" t="str">
        <f aca="false">IFERROR(INDEX(종합!AA$3:AA$501,MATCH(ROW()-2,종합!$AD$3:$AD$501,0))&amp;"","")</f>
        <v/>
      </c>
    </row>
    <row r="99" customFormat="false" ht="22.5" hidden="false" customHeight="true" outlineLevel="0" collapsed="false">
      <c r="A99" s="18" t="str">
        <f aca="false">IF(B99="","",ROW()-2)</f>
        <v/>
      </c>
      <c r="B99" s="18" t="str">
        <f aca="false">IFERROR(INDEX(종합!B$3:B$501,MATCH(ROW()-2,종합!$AD$3:$AD$501,0))&amp;"","")</f>
        <v/>
      </c>
      <c r="C99" s="18" t="str">
        <f aca="false">IFERROR(INDEX(종합!C$3:C$501,MATCH(ROW()-2,종합!$AD$3:$AD$501,0))&amp;"","")</f>
        <v/>
      </c>
      <c r="D99" s="18" t="str">
        <f aca="false">IFERROR(INDEX(종합!D$3:D$501,MATCH(ROW()-2,종합!$AD$3:$AD$501,0))&amp;"","")</f>
        <v/>
      </c>
      <c r="E99" s="18" t="str">
        <f aca="false">IFERROR(INDEX(종합!E$3:E$501,MATCH(ROW()-2,종합!$AD$3:$AD$501,0))&amp;"","")</f>
        <v/>
      </c>
      <c r="F99" s="18" t="str">
        <f aca="false">IFERROR(INDEX(종합!F$3:F$501,MATCH(ROW()-2,종합!$AD$3:$AD$501,0))&amp;"","")</f>
        <v/>
      </c>
      <c r="G99" s="18" t="str">
        <f aca="false">IFERROR(INDEX(종합!G$3:G$501,MATCH(ROW()-2,종합!$AD$3:$AD$501,0))&amp;"","")</f>
        <v/>
      </c>
      <c r="H99" s="21" t="str">
        <f aca="false">IFERROR(INDEX(종합!H$3:H$501,MATCH(ROW()-2,종합!$AD$3:$AD$501,0))&amp;"","")</f>
        <v/>
      </c>
      <c r="I99" s="21" t="str">
        <f aca="false">IFERROR(INDEX(종합!I$3:I$501,MATCH(ROW()-2,종합!$AD$3:$AD$501,0))&amp;"","")</f>
        <v/>
      </c>
      <c r="J99" s="21" t="str">
        <f aca="false">IFERROR(INDEX(종합!J$3:J$501,MATCH(ROW()-2,종합!$AD$3:$AD$501,0))&amp;"","")</f>
        <v/>
      </c>
      <c r="K99" s="21" t="str">
        <f aca="false">IFERROR(INDEX(종합!K$3:K$501,MATCH(ROW()-2,종합!$AD$3:$AD$501,0))&amp;"","")</f>
        <v/>
      </c>
      <c r="L99" s="21" t="str">
        <f aca="false">IFERROR(INDEX(종합!L$3:L$501,MATCH(ROW()-2,종합!$AD$3:$AD$501,0))&amp;"","")</f>
        <v/>
      </c>
      <c r="M99" s="21" t="str">
        <f aca="false">IFERROR(INDEX(종합!M$3:M$501,MATCH(ROW()-2,종합!$AD$3:$AD$501,0))&amp;"","")</f>
        <v/>
      </c>
      <c r="N99" s="25" t="str">
        <f aca="false">IFERROR(INDEX(종합!N$3:N$501,MATCH(ROW()-2,종합!$AD$3:$AD$501,0))&amp;"","")</f>
        <v/>
      </c>
      <c r="O99" s="21" t="str">
        <f aca="false">IFERROR(INDEX(종합!O$3:O$501,MATCH(ROW()-2,종합!$AD$3:$AD$501,0))&amp;"","")</f>
        <v/>
      </c>
      <c r="P99" s="21" t="str">
        <f aca="false">IFERROR(INDEX(종합!P$3:P$501,MATCH(ROW()-2,종합!$AD$3:$AD$501,0))&amp;"","")</f>
        <v/>
      </c>
      <c r="Q99" s="21" t="str">
        <f aca="false">IFERROR(INDEX(종합!Q$3:Q$501,MATCH(ROW()-2,종합!$AD$3:$AD$501,0))&amp;"","")</f>
        <v/>
      </c>
      <c r="R99" s="21" t="str">
        <f aca="false">IFERROR(INDEX(종합!R$3:R$501,MATCH(ROW()-2,종합!$AD$3:$AD$501,0))&amp;"","")</f>
        <v/>
      </c>
      <c r="S99" s="21" t="str">
        <f aca="false">IFERROR(INDEX(종합!S$3:S$501,MATCH(ROW()-2,종합!$AD$3:$AD$501,0))&amp;"","")</f>
        <v/>
      </c>
      <c r="T99" s="21" t="str">
        <f aca="false">IFERROR(INDEX(종합!T$3:T$501,MATCH(ROW()-2,종합!$AD$3:$AD$501,0))&amp;"","")</f>
        <v/>
      </c>
      <c r="U99" s="21" t="str">
        <f aca="false">IFERROR(INDEX(종합!U$3:U$501,MATCH(ROW()-2,종합!$AD$3:$AD$501,0))&amp;"","")</f>
        <v/>
      </c>
      <c r="V99" s="21" t="str">
        <f aca="false">IFERROR(INDEX(종합!V$3:V$501,MATCH(ROW()-2,종합!$AD$3:$AD$501,0))&amp;"","")</f>
        <v/>
      </c>
      <c r="W99" s="21" t="str">
        <f aca="false">IFERROR(INDEX(종합!W$3:W$501,MATCH(ROW()-2,종합!$AD$3:$AD$501,0))&amp;"","")</f>
        <v/>
      </c>
      <c r="X99" s="21" t="str">
        <f aca="false">IFERROR(INDEX(종합!X$3:X$501,MATCH(ROW()-2,종합!$AD$3:$AD$501,0))&amp;"","")</f>
        <v/>
      </c>
      <c r="Y99" s="21" t="str">
        <f aca="false">IFERROR(INDEX(종합!Y$3:Y$501,MATCH(ROW()-2,종합!$AD$3:$AD$501,0))&amp;"","")</f>
        <v/>
      </c>
      <c r="Z99" s="21" t="str">
        <f aca="false">IFERROR(INDEX(종합!Z$3:Z$501,MATCH(ROW()-2,종합!$AD$3:$AD$501,0))&amp;"","")</f>
        <v/>
      </c>
      <c r="AA99" s="23" t="str">
        <f aca="false">IFERROR(INDEX(종합!AA$3:AA$501,MATCH(ROW()-2,종합!$AD$3:$AD$501,0))&amp;"","")</f>
        <v/>
      </c>
    </row>
    <row r="100" customFormat="false" ht="33.75" hidden="false" customHeight="true" outlineLevel="0" collapsed="false">
      <c r="A100" s="18" t="str">
        <f aca="false">IF(B100="","",ROW()-2)</f>
        <v/>
      </c>
      <c r="B100" s="18" t="str">
        <f aca="false">IFERROR(INDEX(종합!B$3:B$501,MATCH(ROW()-2,종합!$AD$3:$AD$501,0))&amp;"","")</f>
        <v/>
      </c>
      <c r="C100" s="18" t="str">
        <f aca="false">IFERROR(INDEX(종합!C$3:C$501,MATCH(ROW()-2,종합!$AD$3:$AD$501,0))&amp;"","")</f>
        <v/>
      </c>
      <c r="D100" s="18" t="str">
        <f aca="false">IFERROR(INDEX(종합!D$3:D$501,MATCH(ROW()-2,종합!$AD$3:$AD$501,0))&amp;"","")</f>
        <v/>
      </c>
      <c r="E100" s="18" t="str">
        <f aca="false">IFERROR(INDEX(종합!E$3:E$501,MATCH(ROW()-2,종합!$AD$3:$AD$501,0))&amp;"","")</f>
        <v/>
      </c>
      <c r="F100" s="18" t="str">
        <f aca="false">IFERROR(INDEX(종합!F$3:F$501,MATCH(ROW()-2,종합!$AD$3:$AD$501,0))&amp;"","")</f>
        <v/>
      </c>
      <c r="G100" s="18" t="str">
        <f aca="false">IFERROR(INDEX(종합!G$3:G$501,MATCH(ROW()-2,종합!$AD$3:$AD$501,0))&amp;"","")</f>
        <v/>
      </c>
      <c r="H100" s="21" t="str">
        <f aca="false">IFERROR(INDEX(종합!H$3:H$501,MATCH(ROW()-2,종합!$AD$3:$AD$501,0))&amp;"","")</f>
        <v/>
      </c>
      <c r="I100" s="21" t="str">
        <f aca="false">IFERROR(INDEX(종합!I$3:I$501,MATCH(ROW()-2,종합!$AD$3:$AD$501,0))&amp;"","")</f>
        <v/>
      </c>
      <c r="J100" s="21" t="str">
        <f aca="false">IFERROR(INDEX(종합!J$3:J$501,MATCH(ROW()-2,종합!$AD$3:$AD$501,0))&amp;"","")</f>
        <v/>
      </c>
      <c r="K100" s="21" t="str">
        <f aca="false">IFERROR(INDEX(종합!K$3:K$501,MATCH(ROW()-2,종합!$AD$3:$AD$501,0))&amp;"","")</f>
        <v/>
      </c>
      <c r="L100" s="21" t="str">
        <f aca="false">IFERROR(INDEX(종합!L$3:L$501,MATCH(ROW()-2,종합!$AD$3:$AD$501,0))&amp;"","")</f>
        <v/>
      </c>
      <c r="M100" s="21" t="str">
        <f aca="false">IFERROR(INDEX(종합!M$3:M$501,MATCH(ROW()-2,종합!$AD$3:$AD$501,0))&amp;"","")</f>
        <v/>
      </c>
      <c r="N100" s="25" t="str">
        <f aca="false">IFERROR(INDEX(종합!N$3:N$501,MATCH(ROW()-2,종합!$AD$3:$AD$501,0))&amp;"","")</f>
        <v/>
      </c>
      <c r="O100" s="21" t="str">
        <f aca="false">IFERROR(INDEX(종합!O$3:O$501,MATCH(ROW()-2,종합!$AD$3:$AD$501,0))&amp;"","")</f>
        <v/>
      </c>
      <c r="P100" s="21" t="str">
        <f aca="false">IFERROR(INDEX(종합!P$3:P$501,MATCH(ROW()-2,종합!$AD$3:$AD$501,0))&amp;"","")</f>
        <v/>
      </c>
      <c r="Q100" s="21" t="str">
        <f aca="false">IFERROR(INDEX(종합!Q$3:Q$501,MATCH(ROW()-2,종합!$AD$3:$AD$501,0))&amp;"","")</f>
        <v/>
      </c>
      <c r="R100" s="21" t="str">
        <f aca="false">IFERROR(INDEX(종합!R$3:R$501,MATCH(ROW()-2,종합!$AD$3:$AD$501,0))&amp;"","")</f>
        <v/>
      </c>
      <c r="S100" s="21" t="str">
        <f aca="false">IFERROR(INDEX(종합!S$3:S$501,MATCH(ROW()-2,종합!$AD$3:$AD$501,0))&amp;"","")</f>
        <v/>
      </c>
      <c r="T100" s="21" t="str">
        <f aca="false">IFERROR(INDEX(종합!T$3:T$501,MATCH(ROW()-2,종합!$AD$3:$AD$501,0))&amp;"","")</f>
        <v/>
      </c>
      <c r="U100" s="21" t="str">
        <f aca="false">IFERROR(INDEX(종합!U$3:U$501,MATCH(ROW()-2,종합!$AD$3:$AD$501,0))&amp;"","")</f>
        <v/>
      </c>
      <c r="V100" s="21" t="str">
        <f aca="false">IFERROR(INDEX(종합!V$3:V$501,MATCH(ROW()-2,종합!$AD$3:$AD$501,0))&amp;"","")</f>
        <v/>
      </c>
      <c r="W100" s="21" t="str">
        <f aca="false">IFERROR(INDEX(종합!W$3:W$501,MATCH(ROW()-2,종합!$AD$3:$AD$501,0))&amp;"","")</f>
        <v/>
      </c>
      <c r="X100" s="21" t="str">
        <f aca="false">IFERROR(INDEX(종합!X$3:X$501,MATCH(ROW()-2,종합!$AD$3:$AD$501,0))&amp;"","")</f>
        <v/>
      </c>
      <c r="Y100" s="21" t="str">
        <f aca="false">IFERROR(INDEX(종합!Y$3:Y$501,MATCH(ROW()-2,종합!$AD$3:$AD$501,0))&amp;"","")</f>
        <v/>
      </c>
      <c r="Z100" s="21" t="str">
        <f aca="false">IFERROR(INDEX(종합!Z$3:Z$501,MATCH(ROW()-2,종합!$AD$3:$AD$501,0))&amp;"","")</f>
        <v/>
      </c>
      <c r="AA100" s="23" t="str">
        <f aca="false">IFERROR(INDEX(종합!AA$3:AA$501,MATCH(ROW()-2,종합!$AD$3:$AD$501,0))&amp;"","")</f>
        <v/>
      </c>
    </row>
    <row r="101" customFormat="false" ht="22.5" hidden="false" customHeight="true" outlineLevel="0" collapsed="false">
      <c r="A101" s="18" t="str">
        <f aca="false">IF(B101="","",ROW()-2)</f>
        <v/>
      </c>
      <c r="B101" s="18" t="str">
        <f aca="false">IFERROR(INDEX(종합!B$3:B$501,MATCH(ROW()-2,종합!$AD$3:$AD$501,0))&amp;"","")</f>
        <v/>
      </c>
      <c r="C101" s="18" t="str">
        <f aca="false">IFERROR(INDEX(종합!C$3:C$501,MATCH(ROW()-2,종합!$AD$3:$AD$501,0))&amp;"","")</f>
        <v/>
      </c>
      <c r="D101" s="18" t="str">
        <f aca="false">IFERROR(INDEX(종합!D$3:D$501,MATCH(ROW()-2,종합!$AD$3:$AD$501,0))&amp;"","")</f>
        <v/>
      </c>
      <c r="E101" s="18" t="str">
        <f aca="false">IFERROR(INDEX(종합!E$3:E$501,MATCH(ROW()-2,종합!$AD$3:$AD$501,0))&amp;"","")</f>
        <v/>
      </c>
      <c r="F101" s="18" t="str">
        <f aca="false">IFERROR(INDEX(종합!F$3:F$501,MATCH(ROW()-2,종합!$AD$3:$AD$501,0))&amp;"","")</f>
        <v/>
      </c>
      <c r="G101" s="18" t="str">
        <f aca="false">IFERROR(INDEX(종합!G$3:G$501,MATCH(ROW()-2,종합!$AD$3:$AD$501,0))&amp;"","")</f>
        <v/>
      </c>
      <c r="H101" s="21" t="str">
        <f aca="false">IFERROR(INDEX(종합!H$3:H$501,MATCH(ROW()-2,종합!$AD$3:$AD$501,0))&amp;"","")</f>
        <v/>
      </c>
      <c r="I101" s="21" t="str">
        <f aca="false">IFERROR(INDEX(종합!I$3:I$501,MATCH(ROW()-2,종합!$AD$3:$AD$501,0))&amp;"","")</f>
        <v/>
      </c>
      <c r="J101" s="21" t="str">
        <f aca="false">IFERROR(INDEX(종합!J$3:J$501,MATCH(ROW()-2,종합!$AD$3:$AD$501,0))&amp;"","")</f>
        <v/>
      </c>
      <c r="K101" s="21" t="str">
        <f aca="false">IFERROR(INDEX(종합!K$3:K$501,MATCH(ROW()-2,종합!$AD$3:$AD$501,0))&amp;"","")</f>
        <v/>
      </c>
      <c r="L101" s="21" t="str">
        <f aca="false">IFERROR(INDEX(종합!L$3:L$501,MATCH(ROW()-2,종합!$AD$3:$AD$501,0))&amp;"","")</f>
        <v/>
      </c>
      <c r="M101" s="21" t="str">
        <f aca="false">IFERROR(INDEX(종합!M$3:M$501,MATCH(ROW()-2,종합!$AD$3:$AD$501,0))&amp;"","")</f>
        <v/>
      </c>
      <c r="N101" s="25" t="str">
        <f aca="false">IFERROR(INDEX(종합!N$3:N$501,MATCH(ROW()-2,종합!$AD$3:$AD$501,0))&amp;"","")</f>
        <v/>
      </c>
      <c r="O101" s="21" t="str">
        <f aca="false">IFERROR(INDEX(종합!O$3:O$501,MATCH(ROW()-2,종합!$AD$3:$AD$501,0))&amp;"","")</f>
        <v/>
      </c>
      <c r="P101" s="21" t="str">
        <f aca="false">IFERROR(INDEX(종합!P$3:P$501,MATCH(ROW()-2,종합!$AD$3:$AD$501,0))&amp;"","")</f>
        <v/>
      </c>
      <c r="Q101" s="21" t="str">
        <f aca="false">IFERROR(INDEX(종합!Q$3:Q$501,MATCH(ROW()-2,종합!$AD$3:$AD$501,0))&amp;"","")</f>
        <v/>
      </c>
      <c r="R101" s="21" t="str">
        <f aca="false">IFERROR(INDEX(종합!R$3:R$501,MATCH(ROW()-2,종합!$AD$3:$AD$501,0))&amp;"","")</f>
        <v/>
      </c>
      <c r="S101" s="21" t="str">
        <f aca="false">IFERROR(INDEX(종합!S$3:S$501,MATCH(ROW()-2,종합!$AD$3:$AD$501,0))&amp;"","")</f>
        <v/>
      </c>
      <c r="T101" s="21" t="str">
        <f aca="false">IFERROR(INDEX(종합!T$3:T$501,MATCH(ROW()-2,종합!$AD$3:$AD$501,0))&amp;"","")</f>
        <v/>
      </c>
      <c r="U101" s="21" t="str">
        <f aca="false">IFERROR(INDEX(종합!U$3:U$501,MATCH(ROW()-2,종합!$AD$3:$AD$501,0))&amp;"","")</f>
        <v/>
      </c>
      <c r="V101" s="21" t="str">
        <f aca="false">IFERROR(INDEX(종합!V$3:V$501,MATCH(ROW()-2,종합!$AD$3:$AD$501,0))&amp;"","")</f>
        <v/>
      </c>
      <c r="W101" s="21" t="str">
        <f aca="false">IFERROR(INDEX(종합!W$3:W$501,MATCH(ROW()-2,종합!$AD$3:$AD$501,0))&amp;"","")</f>
        <v/>
      </c>
      <c r="X101" s="21" t="str">
        <f aca="false">IFERROR(INDEX(종합!X$3:X$501,MATCH(ROW()-2,종합!$AD$3:$AD$501,0))&amp;"","")</f>
        <v/>
      </c>
      <c r="Y101" s="21" t="str">
        <f aca="false">IFERROR(INDEX(종합!Y$3:Y$501,MATCH(ROW()-2,종합!$AD$3:$AD$501,0))&amp;"","")</f>
        <v/>
      </c>
      <c r="Z101" s="21" t="str">
        <f aca="false">IFERROR(INDEX(종합!Z$3:Z$501,MATCH(ROW()-2,종합!$AD$3:$AD$501,0))&amp;"","")</f>
        <v/>
      </c>
      <c r="AA101" s="23" t="str">
        <f aca="false">IFERROR(INDEX(종합!AA$3:AA$501,MATCH(ROW()-2,종합!$AD$3:$AD$501,0))&amp;"","")</f>
        <v/>
      </c>
    </row>
    <row r="102" customFormat="false" ht="22.5" hidden="false" customHeight="true" outlineLevel="0" collapsed="false">
      <c r="A102" s="18" t="str">
        <f aca="false">IF(B102="","",ROW()-2)</f>
        <v/>
      </c>
      <c r="B102" s="18" t="str">
        <f aca="false">IFERROR(INDEX(종합!B$3:B$501,MATCH(ROW()-2,종합!$AD$3:$AD$501,0))&amp;"","")</f>
        <v/>
      </c>
      <c r="C102" s="18" t="str">
        <f aca="false">IFERROR(INDEX(종합!C$3:C$501,MATCH(ROW()-2,종합!$AD$3:$AD$501,0))&amp;"","")</f>
        <v/>
      </c>
      <c r="D102" s="18" t="str">
        <f aca="false">IFERROR(INDEX(종합!D$3:D$501,MATCH(ROW()-2,종합!$AD$3:$AD$501,0))&amp;"","")</f>
        <v/>
      </c>
      <c r="E102" s="18" t="str">
        <f aca="false">IFERROR(INDEX(종합!E$3:E$501,MATCH(ROW()-2,종합!$AD$3:$AD$501,0))&amp;"","")</f>
        <v/>
      </c>
      <c r="F102" s="18" t="str">
        <f aca="false">IFERROR(INDEX(종합!F$3:F$501,MATCH(ROW()-2,종합!$AD$3:$AD$501,0))&amp;"","")</f>
        <v/>
      </c>
      <c r="G102" s="18" t="str">
        <f aca="false">IFERROR(INDEX(종합!G$3:G$501,MATCH(ROW()-2,종합!$AD$3:$AD$501,0))&amp;"","")</f>
        <v/>
      </c>
      <c r="H102" s="21" t="str">
        <f aca="false">IFERROR(INDEX(종합!H$3:H$501,MATCH(ROW()-2,종합!$AD$3:$AD$501,0))&amp;"","")</f>
        <v/>
      </c>
      <c r="I102" s="21" t="str">
        <f aca="false">IFERROR(INDEX(종합!I$3:I$501,MATCH(ROW()-2,종합!$AD$3:$AD$501,0))&amp;"","")</f>
        <v/>
      </c>
      <c r="J102" s="21" t="str">
        <f aca="false">IFERROR(INDEX(종합!J$3:J$501,MATCH(ROW()-2,종합!$AD$3:$AD$501,0))&amp;"","")</f>
        <v/>
      </c>
      <c r="K102" s="21" t="str">
        <f aca="false">IFERROR(INDEX(종합!K$3:K$501,MATCH(ROW()-2,종합!$AD$3:$AD$501,0))&amp;"","")</f>
        <v/>
      </c>
      <c r="L102" s="21" t="str">
        <f aca="false">IFERROR(INDEX(종합!L$3:L$501,MATCH(ROW()-2,종합!$AD$3:$AD$501,0))&amp;"","")</f>
        <v/>
      </c>
      <c r="M102" s="21" t="str">
        <f aca="false">IFERROR(INDEX(종합!M$3:M$501,MATCH(ROW()-2,종합!$AD$3:$AD$501,0))&amp;"","")</f>
        <v/>
      </c>
      <c r="N102" s="25" t="str">
        <f aca="false">IFERROR(INDEX(종합!N$3:N$501,MATCH(ROW()-2,종합!$AD$3:$AD$501,0))&amp;"","")</f>
        <v/>
      </c>
      <c r="O102" s="21" t="str">
        <f aca="false">IFERROR(INDEX(종합!O$3:O$501,MATCH(ROW()-2,종합!$AD$3:$AD$501,0))&amp;"","")</f>
        <v/>
      </c>
      <c r="P102" s="21" t="str">
        <f aca="false">IFERROR(INDEX(종합!P$3:P$501,MATCH(ROW()-2,종합!$AD$3:$AD$501,0))&amp;"","")</f>
        <v/>
      </c>
      <c r="Q102" s="21" t="str">
        <f aca="false">IFERROR(INDEX(종합!Q$3:Q$501,MATCH(ROW()-2,종합!$AD$3:$AD$501,0))&amp;"","")</f>
        <v/>
      </c>
      <c r="R102" s="21" t="str">
        <f aca="false">IFERROR(INDEX(종합!R$3:R$501,MATCH(ROW()-2,종합!$AD$3:$AD$501,0))&amp;"","")</f>
        <v/>
      </c>
      <c r="S102" s="21" t="str">
        <f aca="false">IFERROR(INDEX(종합!S$3:S$501,MATCH(ROW()-2,종합!$AD$3:$AD$501,0))&amp;"","")</f>
        <v/>
      </c>
      <c r="T102" s="21" t="str">
        <f aca="false">IFERROR(INDEX(종합!T$3:T$501,MATCH(ROW()-2,종합!$AD$3:$AD$501,0))&amp;"","")</f>
        <v/>
      </c>
      <c r="U102" s="21" t="str">
        <f aca="false">IFERROR(INDEX(종합!U$3:U$501,MATCH(ROW()-2,종합!$AD$3:$AD$501,0))&amp;"","")</f>
        <v/>
      </c>
      <c r="V102" s="21" t="str">
        <f aca="false">IFERROR(INDEX(종합!V$3:V$501,MATCH(ROW()-2,종합!$AD$3:$AD$501,0))&amp;"","")</f>
        <v/>
      </c>
      <c r="W102" s="21" t="str">
        <f aca="false">IFERROR(INDEX(종합!W$3:W$501,MATCH(ROW()-2,종합!$AD$3:$AD$501,0))&amp;"","")</f>
        <v/>
      </c>
      <c r="X102" s="21" t="str">
        <f aca="false">IFERROR(INDEX(종합!X$3:X$501,MATCH(ROW()-2,종합!$AD$3:$AD$501,0))&amp;"","")</f>
        <v/>
      </c>
      <c r="Y102" s="21" t="str">
        <f aca="false">IFERROR(INDEX(종합!Y$3:Y$501,MATCH(ROW()-2,종합!$AD$3:$AD$501,0))&amp;"","")</f>
        <v/>
      </c>
      <c r="Z102" s="21" t="str">
        <f aca="false">IFERROR(INDEX(종합!Z$3:Z$501,MATCH(ROW()-2,종합!$AD$3:$AD$501,0))&amp;"","")</f>
        <v/>
      </c>
      <c r="AA102" s="23" t="str">
        <f aca="false">IFERROR(INDEX(종합!AA$3:AA$501,MATCH(ROW()-2,종합!$AD$3:$AD$501,0))&amp;"","")</f>
        <v/>
      </c>
    </row>
    <row r="103" customFormat="false" ht="33.75" hidden="false" customHeight="true" outlineLevel="0" collapsed="false">
      <c r="A103" s="18" t="str">
        <f aca="false">IF(B103="","",ROW()-2)</f>
        <v/>
      </c>
      <c r="B103" s="18" t="str">
        <f aca="false">IFERROR(INDEX(종합!B$3:B$501,MATCH(ROW()-2,종합!$AD$3:$AD$501,0))&amp;"","")</f>
        <v/>
      </c>
      <c r="C103" s="18" t="str">
        <f aca="false">IFERROR(INDEX(종합!C$3:C$501,MATCH(ROW()-2,종합!$AD$3:$AD$501,0))&amp;"","")</f>
        <v/>
      </c>
      <c r="D103" s="18" t="str">
        <f aca="false">IFERROR(INDEX(종합!D$3:D$501,MATCH(ROW()-2,종합!$AD$3:$AD$501,0))&amp;"","")</f>
        <v/>
      </c>
      <c r="E103" s="18" t="str">
        <f aca="false">IFERROR(INDEX(종합!E$3:E$501,MATCH(ROW()-2,종합!$AD$3:$AD$501,0))&amp;"","")</f>
        <v/>
      </c>
      <c r="F103" s="18" t="str">
        <f aca="false">IFERROR(INDEX(종합!F$3:F$501,MATCH(ROW()-2,종합!$AD$3:$AD$501,0))&amp;"","")</f>
        <v/>
      </c>
      <c r="G103" s="18" t="str">
        <f aca="false">IFERROR(INDEX(종합!G$3:G$501,MATCH(ROW()-2,종합!$AD$3:$AD$501,0))&amp;"","")</f>
        <v/>
      </c>
      <c r="H103" s="21" t="str">
        <f aca="false">IFERROR(INDEX(종합!H$3:H$501,MATCH(ROW()-2,종합!$AD$3:$AD$501,0))&amp;"","")</f>
        <v/>
      </c>
      <c r="I103" s="21" t="str">
        <f aca="false">IFERROR(INDEX(종합!I$3:I$501,MATCH(ROW()-2,종합!$AD$3:$AD$501,0))&amp;"","")</f>
        <v/>
      </c>
      <c r="J103" s="21" t="str">
        <f aca="false">IFERROR(INDEX(종합!J$3:J$501,MATCH(ROW()-2,종합!$AD$3:$AD$501,0))&amp;"","")</f>
        <v/>
      </c>
      <c r="K103" s="21" t="str">
        <f aca="false">IFERROR(INDEX(종합!K$3:K$501,MATCH(ROW()-2,종합!$AD$3:$AD$501,0))&amp;"","")</f>
        <v/>
      </c>
      <c r="L103" s="21" t="str">
        <f aca="false">IFERROR(INDEX(종합!L$3:L$501,MATCH(ROW()-2,종합!$AD$3:$AD$501,0))&amp;"","")</f>
        <v/>
      </c>
      <c r="M103" s="21" t="str">
        <f aca="false">IFERROR(INDEX(종합!M$3:M$501,MATCH(ROW()-2,종합!$AD$3:$AD$501,0))&amp;"","")</f>
        <v/>
      </c>
      <c r="N103" s="25" t="str">
        <f aca="false">IFERROR(INDEX(종합!N$3:N$501,MATCH(ROW()-2,종합!$AD$3:$AD$501,0))&amp;"","")</f>
        <v/>
      </c>
      <c r="O103" s="21" t="str">
        <f aca="false">IFERROR(INDEX(종합!O$3:O$501,MATCH(ROW()-2,종합!$AD$3:$AD$501,0))&amp;"","")</f>
        <v/>
      </c>
      <c r="P103" s="21" t="str">
        <f aca="false">IFERROR(INDEX(종합!P$3:P$501,MATCH(ROW()-2,종합!$AD$3:$AD$501,0))&amp;"","")</f>
        <v/>
      </c>
      <c r="Q103" s="21" t="str">
        <f aca="false">IFERROR(INDEX(종합!Q$3:Q$501,MATCH(ROW()-2,종합!$AD$3:$AD$501,0))&amp;"","")</f>
        <v/>
      </c>
      <c r="R103" s="21" t="str">
        <f aca="false">IFERROR(INDEX(종합!R$3:R$501,MATCH(ROW()-2,종합!$AD$3:$AD$501,0))&amp;"","")</f>
        <v/>
      </c>
      <c r="S103" s="21" t="str">
        <f aca="false">IFERROR(INDEX(종합!S$3:S$501,MATCH(ROW()-2,종합!$AD$3:$AD$501,0))&amp;"","")</f>
        <v/>
      </c>
      <c r="T103" s="21" t="str">
        <f aca="false">IFERROR(INDEX(종합!T$3:T$501,MATCH(ROW()-2,종합!$AD$3:$AD$501,0))&amp;"","")</f>
        <v/>
      </c>
      <c r="U103" s="21" t="str">
        <f aca="false">IFERROR(INDEX(종합!U$3:U$501,MATCH(ROW()-2,종합!$AD$3:$AD$501,0))&amp;"","")</f>
        <v/>
      </c>
      <c r="V103" s="21" t="str">
        <f aca="false">IFERROR(INDEX(종합!V$3:V$501,MATCH(ROW()-2,종합!$AD$3:$AD$501,0))&amp;"","")</f>
        <v/>
      </c>
      <c r="W103" s="21" t="str">
        <f aca="false">IFERROR(INDEX(종합!W$3:W$501,MATCH(ROW()-2,종합!$AD$3:$AD$501,0))&amp;"","")</f>
        <v/>
      </c>
      <c r="X103" s="21" t="str">
        <f aca="false">IFERROR(INDEX(종합!X$3:X$501,MATCH(ROW()-2,종합!$AD$3:$AD$501,0))&amp;"","")</f>
        <v/>
      </c>
      <c r="Y103" s="21" t="str">
        <f aca="false">IFERROR(INDEX(종합!Y$3:Y$501,MATCH(ROW()-2,종합!$AD$3:$AD$501,0))&amp;"","")</f>
        <v/>
      </c>
      <c r="Z103" s="21" t="str">
        <f aca="false">IFERROR(INDEX(종합!Z$3:Z$501,MATCH(ROW()-2,종합!$AD$3:$AD$501,0))&amp;"","")</f>
        <v/>
      </c>
      <c r="AA103" s="23" t="str">
        <f aca="false">IFERROR(INDEX(종합!AA$3:AA$501,MATCH(ROW()-2,종합!$AD$3:$AD$501,0))&amp;"","")</f>
        <v/>
      </c>
    </row>
    <row r="104" customFormat="false" ht="22.5" hidden="false" customHeight="true" outlineLevel="0" collapsed="false">
      <c r="A104" s="18" t="str">
        <f aca="false">IF(B104="","",ROW()-2)</f>
        <v/>
      </c>
      <c r="B104" s="18" t="str">
        <f aca="false">IFERROR(INDEX(종합!B$3:B$501,MATCH(ROW()-2,종합!$AD$3:$AD$501,0))&amp;"","")</f>
        <v/>
      </c>
      <c r="C104" s="18" t="str">
        <f aca="false">IFERROR(INDEX(종합!C$3:C$501,MATCH(ROW()-2,종합!$AD$3:$AD$501,0))&amp;"","")</f>
        <v/>
      </c>
      <c r="D104" s="18" t="str">
        <f aca="false">IFERROR(INDEX(종합!D$3:D$501,MATCH(ROW()-2,종합!$AD$3:$AD$501,0))&amp;"","")</f>
        <v/>
      </c>
      <c r="E104" s="18" t="str">
        <f aca="false">IFERROR(INDEX(종합!E$3:E$501,MATCH(ROW()-2,종합!$AD$3:$AD$501,0))&amp;"","")</f>
        <v/>
      </c>
      <c r="F104" s="18" t="str">
        <f aca="false">IFERROR(INDEX(종합!F$3:F$501,MATCH(ROW()-2,종합!$AD$3:$AD$501,0))&amp;"","")</f>
        <v/>
      </c>
      <c r="G104" s="18" t="str">
        <f aca="false">IFERROR(INDEX(종합!G$3:G$501,MATCH(ROW()-2,종합!$AD$3:$AD$501,0))&amp;"","")</f>
        <v/>
      </c>
      <c r="H104" s="21" t="str">
        <f aca="false">IFERROR(INDEX(종합!H$3:H$501,MATCH(ROW()-2,종합!$AD$3:$AD$501,0))&amp;"","")</f>
        <v/>
      </c>
      <c r="I104" s="21" t="str">
        <f aca="false">IFERROR(INDEX(종합!I$3:I$501,MATCH(ROW()-2,종합!$AD$3:$AD$501,0))&amp;"","")</f>
        <v/>
      </c>
      <c r="J104" s="21" t="str">
        <f aca="false">IFERROR(INDEX(종합!J$3:J$501,MATCH(ROW()-2,종합!$AD$3:$AD$501,0))&amp;"","")</f>
        <v/>
      </c>
      <c r="K104" s="21" t="str">
        <f aca="false">IFERROR(INDEX(종합!K$3:K$501,MATCH(ROW()-2,종합!$AD$3:$AD$501,0))&amp;"","")</f>
        <v/>
      </c>
      <c r="L104" s="21" t="str">
        <f aca="false">IFERROR(INDEX(종합!L$3:L$501,MATCH(ROW()-2,종합!$AD$3:$AD$501,0))&amp;"","")</f>
        <v/>
      </c>
      <c r="M104" s="21" t="str">
        <f aca="false">IFERROR(INDEX(종합!M$3:M$501,MATCH(ROW()-2,종합!$AD$3:$AD$501,0))&amp;"","")</f>
        <v/>
      </c>
      <c r="N104" s="25" t="str">
        <f aca="false">IFERROR(INDEX(종합!N$3:N$501,MATCH(ROW()-2,종합!$AD$3:$AD$501,0))&amp;"","")</f>
        <v/>
      </c>
      <c r="O104" s="21" t="str">
        <f aca="false">IFERROR(INDEX(종합!O$3:O$501,MATCH(ROW()-2,종합!$AD$3:$AD$501,0))&amp;"","")</f>
        <v/>
      </c>
      <c r="P104" s="21" t="str">
        <f aca="false">IFERROR(INDEX(종합!P$3:P$501,MATCH(ROW()-2,종합!$AD$3:$AD$501,0))&amp;"","")</f>
        <v/>
      </c>
      <c r="Q104" s="21" t="str">
        <f aca="false">IFERROR(INDEX(종합!Q$3:Q$501,MATCH(ROW()-2,종합!$AD$3:$AD$501,0))&amp;"","")</f>
        <v/>
      </c>
      <c r="R104" s="21" t="str">
        <f aca="false">IFERROR(INDEX(종합!R$3:R$501,MATCH(ROW()-2,종합!$AD$3:$AD$501,0))&amp;"","")</f>
        <v/>
      </c>
      <c r="S104" s="21" t="str">
        <f aca="false">IFERROR(INDEX(종합!S$3:S$501,MATCH(ROW()-2,종합!$AD$3:$AD$501,0))&amp;"","")</f>
        <v/>
      </c>
      <c r="T104" s="21" t="str">
        <f aca="false">IFERROR(INDEX(종합!T$3:T$501,MATCH(ROW()-2,종합!$AD$3:$AD$501,0))&amp;"","")</f>
        <v/>
      </c>
      <c r="U104" s="21" t="str">
        <f aca="false">IFERROR(INDEX(종합!U$3:U$501,MATCH(ROW()-2,종합!$AD$3:$AD$501,0))&amp;"","")</f>
        <v/>
      </c>
      <c r="V104" s="21" t="str">
        <f aca="false">IFERROR(INDEX(종합!V$3:V$501,MATCH(ROW()-2,종합!$AD$3:$AD$501,0))&amp;"","")</f>
        <v/>
      </c>
      <c r="W104" s="21" t="str">
        <f aca="false">IFERROR(INDEX(종합!W$3:W$501,MATCH(ROW()-2,종합!$AD$3:$AD$501,0))&amp;"","")</f>
        <v/>
      </c>
      <c r="X104" s="21" t="str">
        <f aca="false">IFERROR(INDEX(종합!X$3:X$501,MATCH(ROW()-2,종합!$AD$3:$AD$501,0))&amp;"","")</f>
        <v/>
      </c>
      <c r="Y104" s="21" t="str">
        <f aca="false">IFERROR(INDEX(종합!Y$3:Y$501,MATCH(ROW()-2,종합!$AD$3:$AD$501,0))&amp;"","")</f>
        <v/>
      </c>
      <c r="Z104" s="21" t="str">
        <f aca="false">IFERROR(INDEX(종합!Z$3:Z$501,MATCH(ROW()-2,종합!$AD$3:$AD$501,0))&amp;"","")</f>
        <v/>
      </c>
      <c r="AA104" s="23" t="str">
        <f aca="false">IFERROR(INDEX(종합!AA$3:AA$501,MATCH(ROW()-2,종합!$AD$3:$AD$501,0))&amp;"","")</f>
        <v/>
      </c>
    </row>
    <row r="105" customFormat="false" ht="33.75" hidden="false" customHeight="true" outlineLevel="0" collapsed="false">
      <c r="A105" s="18" t="str">
        <f aca="false">IF(B105="","",ROW()-2)</f>
        <v/>
      </c>
      <c r="B105" s="18" t="str">
        <f aca="false">IFERROR(INDEX(종합!B$3:B$501,MATCH(ROW()-2,종합!$AD$3:$AD$501,0))&amp;"","")</f>
        <v/>
      </c>
      <c r="C105" s="18" t="str">
        <f aca="false">IFERROR(INDEX(종합!C$3:C$501,MATCH(ROW()-2,종합!$AD$3:$AD$501,0))&amp;"","")</f>
        <v/>
      </c>
      <c r="D105" s="18" t="str">
        <f aca="false">IFERROR(INDEX(종합!D$3:D$501,MATCH(ROW()-2,종합!$AD$3:$AD$501,0))&amp;"","")</f>
        <v/>
      </c>
      <c r="E105" s="18" t="str">
        <f aca="false">IFERROR(INDEX(종합!E$3:E$501,MATCH(ROW()-2,종합!$AD$3:$AD$501,0))&amp;"","")</f>
        <v/>
      </c>
      <c r="F105" s="18" t="str">
        <f aca="false">IFERROR(INDEX(종합!F$3:F$501,MATCH(ROW()-2,종합!$AD$3:$AD$501,0))&amp;"","")</f>
        <v/>
      </c>
      <c r="G105" s="18" t="str">
        <f aca="false">IFERROR(INDEX(종합!G$3:G$501,MATCH(ROW()-2,종합!$AD$3:$AD$501,0))&amp;"","")</f>
        <v/>
      </c>
      <c r="H105" s="21" t="str">
        <f aca="false">IFERROR(INDEX(종합!H$3:H$501,MATCH(ROW()-2,종합!$AD$3:$AD$501,0))&amp;"","")</f>
        <v/>
      </c>
      <c r="I105" s="21" t="str">
        <f aca="false">IFERROR(INDEX(종합!I$3:I$501,MATCH(ROW()-2,종합!$AD$3:$AD$501,0))&amp;"","")</f>
        <v/>
      </c>
      <c r="J105" s="21" t="str">
        <f aca="false">IFERROR(INDEX(종합!J$3:J$501,MATCH(ROW()-2,종합!$AD$3:$AD$501,0))&amp;"","")</f>
        <v/>
      </c>
      <c r="K105" s="21" t="str">
        <f aca="false">IFERROR(INDEX(종합!K$3:K$501,MATCH(ROW()-2,종합!$AD$3:$AD$501,0))&amp;"","")</f>
        <v/>
      </c>
      <c r="L105" s="21" t="str">
        <f aca="false">IFERROR(INDEX(종합!L$3:L$501,MATCH(ROW()-2,종합!$AD$3:$AD$501,0))&amp;"","")</f>
        <v/>
      </c>
      <c r="M105" s="21" t="str">
        <f aca="false">IFERROR(INDEX(종합!M$3:M$501,MATCH(ROW()-2,종합!$AD$3:$AD$501,0))&amp;"","")</f>
        <v/>
      </c>
      <c r="N105" s="25" t="str">
        <f aca="false">IFERROR(INDEX(종합!N$3:N$501,MATCH(ROW()-2,종합!$AD$3:$AD$501,0))&amp;"","")</f>
        <v/>
      </c>
      <c r="O105" s="21" t="str">
        <f aca="false">IFERROR(INDEX(종합!O$3:O$501,MATCH(ROW()-2,종합!$AD$3:$AD$501,0))&amp;"","")</f>
        <v/>
      </c>
      <c r="P105" s="21" t="str">
        <f aca="false">IFERROR(INDEX(종합!P$3:P$501,MATCH(ROW()-2,종합!$AD$3:$AD$501,0))&amp;"","")</f>
        <v/>
      </c>
      <c r="Q105" s="21" t="str">
        <f aca="false">IFERROR(INDEX(종합!Q$3:Q$501,MATCH(ROW()-2,종합!$AD$3:$AD$501,0))&amp;"","")</f>
        <v/>
      </c>
      <c r="R105" s="21" t="str">
        <f aca="false">IFERROR(INDEX(종합!R$3:R$501,MATCH(ROW()-2,종합!$AD$3:$AD$501,0))&amp;"","")</f>
        <v/>
      </c>
      <c r="S105" s="21" t="str">
        <f aca="false">IFERROR(INDEX(종합!S$3:S$501,MATCH(ROW()-2,종합!$AD$3:$AD$501,0))&amp;"","")</f>
        <v/>
      </c>
      <c r="T105" s="21" t="str">
        <f aca="false">IFERROR(INDEX(종합!T$3:T$501,MATCH(ROW()-2,종합!$AD$3:$AD$501,0))&amp;"","")</f>
        <v/>
      </c>
      <c r="U105" s="21" t="str">
        <f aca="false">IFERROR(INDEX(종합!U$3:U$501,MATCH(ROW()-2,종합!$AD$3:$AD$501,0))&amp;"","")</f>
        <v/>
      </c>
      <c r="V105" s="21" t="str">
        <f aca="false">IFERROR(INDEX(종합!V$3:V$501,MATCH(ROW()-2,종합!$AD$3:$AD$501,0))&amp;"","")</f>
        <v/>
      </c>
      <c r="W105" s="21" t="str">
        <f aca="false">IFERROR(INDEX(종합!W$3:W$501,MATCH(ROW()-2,종합!$AD$3:$AD$501,0))&amp;"","")</f>
        <v/>
      </c>
      <c r="X105" s="21" t="str">
        <f aca="false">IFERROR(INDEX(종합!X$3:X$501,MATCH(ROW()-2,종합!$AD$3:$AD$501,0))&amp;"","")</f>
        <v/>
      </c>
      <c r="Y105" s="21" t="str">
        <f aca="false">IFERROR(INDEX(종합!Y$3:Y$501,MATCH(ROW()-2,종합!$AD$3:$AD$501,0))&amp;"","")</f>
        <v/>
      </c>
      <c r="Z105" s="21" t="str">
        <f aca="false">IFERROR(INDEX(종합!Z$3:Z$501,MATCH(ROW()-2,종합!$AD$3:$AD$501,0))&amp;"","")</f>
        <v/>
      </c>
      <c r="AA105" s="23" t="str">
        <f aca="false">IFERROR(INDEX(종합!AA$3:AA$501,MATCH(ROW()-2,종합!$AD$3:$AD$501,0))&amp;"","")</f>
        <v/>
      </c>
    </row>
    <row r="106" customFormat="false" ht="33.75" hidden="false" customHeight="true" outlineLevel="0" collapsed="false">
      <c r="A106" s="18" t="str">
        <f aca="false">IF(B106="","",ROW()-2)</f>
        <v/>
      </c>
      <c r="B106" s="18" t="str">
        <f aca="false">IFERROR(INDEX(종합!B$3:B$501,MATCH(ROW()-2,종합!$AD$3:$AD$501,0))&amp;"","")</f>
        <v/>
      </c>
      <c r="C106" s="18" t="str">
        <f aca="false">IFERROR(INDEX(종합!C$3:C$501,MATCH(ROW()-2,종합!$AD$3:$AD$501,0))&amp;"","")</f>
        <v/>
      </c>
      <c r="D106" s="18" t="str">
        <f aca="false">IFERROR(INDEX(종합!D$3:D$501,MATCH(ROW()-2,종합!$AD$3:$AD$501,0))&amp;"","")</f>
        <v/>
      </c>
      <c r="E106" s="18" t="str">
        <f aca="false">IFERROR(INDEX(종합!E$3:E$501,MATCH(ROW()-2,종합!$AD$3:$AD$501,0))&amp;"","")</f>
        <v/>
      </c>
      <c r="F106" s="18" t="str">
        <f aca="false">IFERROR(INDEX(종합!F$3:F$501,MATCH(ROW()-2,종합!$AD$3:$AD$501,0))&amp;"","")</f>
        <v/>
      </c>
      <c r="G106" s="18" t="str">
        <f aca="false">IFERROR(INDEX(종합!G$3:G$501,MATCH(ROW()-2,종합!$AD$3:$AD$501,0))&amp;"","")</f>
        <v/>
      </c>
      <c r="H106" s="21" t="str">
        <f aca="false">IFERROR(INDEX(종합!H$3:H$501,MATCH(ROW()-2,종합!$AD$3:$AD$501,0))&amp;"","")</f>
        <v/>
      </c>
      <c r="I106" s="21" t="str">
        <f aca="false">IFERROR(INDEX(종합!I$3:I$501,MATCH(ROW()-2,종합!$AD$3:$AD$501,0))&amp;"","")</f>
        <v/>
      </c>
      <c r="J106" s="21" t="str">
        <f aca="false">IFERROR(INDEX(종합!J$3:J$501,MATCH(ROW()-2,종합!$AD$3:$AD$501,0))&amp;"","")</f>
        <v/>
      </c>
      <c r="K106" s="21" t="str">
        <f aca="false">IFERROR(INDEX(종합!K$3:K$501,MATCH(ROW()-2,종합!$AD$3:$AD$501,0))&amp;"","")</f>
        <v/>
      </c>
      <c r="L106" s="21" t="str">
        <f aca="false">IFERROR(INDEX(종합!L$3:L$501,MATCH(ROW()-2,종합!$AD$3:$AD$501,0))&amp;"","")</f>
        <v/>
      </c>
      <c r="M106" s="21" t="str">
        <f aca="false">IFERROR(INDEX(종합!M$3:M$501,MATCH(ROW()-2,종합!$AD$3:$AD$501,0))&amp;"","")</f>
        <v/>
      </c>
      <c r="N106" s="25" t="str">
        <f aca="false">IFERROR(INDEX(종합!N$3:N$501,MATCH(ROW()-2,종합!$AD$3:$AD$501,0))&amp;"","")</f>
        <v/>
      </c>
      <c r="O106" s="21" t="str">
        <f aca="false">IFERROR(INDEX(종합!O$3:O$501,MATCH(ROW()-2,종합!$AD$3:$AD$501,0))&amp;"","")</f>
        <v/>
      </c>
      <c r="P106" s="21" t="str">
        <f aca="false">IFERROR(INDEX(종합!P$3:P$501,MATCH(ROW()-2,종합!$AD$3:$AD$501,0))&amp;"","")</f>
        <v/>
      </c>
      <c r="Q106" s="21" t="str">
        <f aca="false">IFERROR(INDEX(종합!Q$3:Q$501,MATCH(ROW()-2,종합!$AD$3:$AD$501,0))&amp;"","")</f>
        <v/>
      </c>
      <c r="R106" s="21" t="str">
        <f aca="false">IFERROR(INDEX(종합!R$3:R$501,MATCH(ROW()-2,종합!$AD$3:$AD$501,0))&amp;"","")</f>
        <v/>
      </c>
      <c r="S106" s="21" t="str">
        <f aca="false">IFERROR(INDEX(종합!S$3:S$501,MATCH(ROW()-2,종합!$AD$3:$AD$501,0))&amp;"","")</f>
        <v/>
      </c>
      <c r="T106" s="21" t="str">
        <f aca="false">IFERROR(INDEX(종합!T$3:T$501,MATCH(ROW()-2,종합!$AD$3:$AD$501,0))&amp;"","")</f>
        <v/>
      </c>
      <c r="U106" s="21" t="str">
        <f aca="false">IFERROR(INDEX(종합!U$3:U$501,MATCH(ROW()-2,종합!$AD$3:$AD$501,0))&amp;"","")</f>
        <v/>
      </c>
      <c r="V106" s="21" t="str">
        <f aca="false">IFERROR(INDEX(종합!V$3:V$501,MATCH(ROW()-2,종합!$AD$3:$AD$501,0))&amp;"","")</f>
        <v/>
      </c>
      <c r="W106" s="21" t="str">
        <f aca="false">IFERROR(INDEX(종합!W$3:W$501,MATCH(ROW()-2,종합!$AD$3:$AD$501,0))&amp;"","")</f>
        <v/>
      </c>
      <c r="X106" s="21" t="str">
        <f aca="false">IFERROR(INDEX(종합!X$3:X$501,MATCH(ROW()-2,종합!$AD$3:$AD$501,0))&amp;"","")</f>
        <v/>
      </c>
      <c r="Y106" s="21" t="str">
        <f aca="false">IFERROR(INDEX(종합!Y$3:Y$501,MATCH(ROW()-2,종합!$AD$3:$AD$501,0))&amp;"","")</f>
        <v/>
      </c>
      <c r="Z106" s="21" t="str">
        <f aca="false">IFERROR(INDEX(종합!Z$3:Z$501,MATCH(ROW()-2,종합!$AD$3:$AD$501,0))&amp;"","")</f>
        <v/>
      </c>
      <c r="AA106" s="23" t="str">
        <f aca="false">IFERROR(INDEX(종합!AA$3:AA$501,MATCH(ROW()-2,종합!$AD$3:$AD$501,0))&amp;"","")</f>
        <v/>
      </c>
    </row>
    <row r="107" customFormat="false" ht="33.75" hidden="false" customHeight="true" outlineLevel="0" collapsed="false">
      <c r="A107" s="18" t="str">
        <f aca="false">IF(B107="","",ROW()-2)</f>
        <v/>
      </c>
      <c r="B107" s="18" t="str">
        <f aca="false">IFERROR(INDEX(종합!B$3:B$501,MATCH(ROW()-2,종합!$AD$3:$AD$501,0))&amp;"","")</f>
        <v/>
      </c>
      <c r="C107" s="18" t="str">
        <f aca="false">IFERROR(INDEX(종합!C$3:C$501,MATCH(ROW()-2,종합!$AD$3:$AD$501,0))&amp;"","")</f>
        <v/>
      </c>
      <c r="D107" s="18" t="str">
        <f aca="false">IFERROR(INDEX(종합!D$3:D$501,MATCH(ROW()-2,종합!$AD$3:$AD$501,0))&amp;"","")</f>
        <v/>
      </c>
      <c r="E107" s="18" t="str">
        <f aca="false">IFERROR(INDEX(종합!E$3:E$501,MATCH(ROW()-2,종합!$AD$3:$AD$501,0))&amp;"","")</f>
        <v/>
      </c>
      <c r="F107" s="18" t="str">
        <f aca="false">IFERROR(INDEX(종합!F$3:F$501,MATCH(ROW()-2,종합!$AD$3:$AD$501,0))&amp;"","")</f>
        <v/>
      </c>
      <c r="G107" s="18" t="str">
        <f aca="false">IFERROR(INDEX(종합!G$3:G$501,MATCH(ROW()-2,종합!$AD$3:$AD$501,0))&amp;"","")</f>
        <v/>
      </c>
      <c r="H107" s="21" t="str">
        <f aca="false">IFERROR(INDEX(종합!H$3:H$501,MATCH(ROW()-2,종합!$AD$3:$AD$501,0))&amp;"","")</f>
        <v/>
      </c>
      <c r="I107" s="21" t="str">
        <f aca="false">IFERROR(INDEX(종합!I$3:I$501,MATCH(ROW()-2,종합!$AD$3:$AD$501,0))&amp;"","")</f>
        <v/>
      </c>
      <c r="J107" s="21" t="str">
        <f aca="false">IFERROR(INDEX(종합!J$3:J$501,MATCH(ROW()-2,종합!$AD$3:$AD$501,0))&amp;"","")</f>
        <v/>
      </c>
      <c r="K107" s="21" t="str">
        <f aca="false">IFERROR(INDEX(종합!K$3:K$501,MATCH(ROW()-2,종합!$AD$3:$AD$501,0))&amp;"","")</f>
        <v/>
      </c>
      <c r="L107" s="21" t="str">
        <f aca="false">IFERROR(INDEX(종합!L$3:L$501,MATCH(ROW()-2,종합!$AD$3:$AD$501,0))&amp;"","")</f>
        <v/>
      </c>
      <c r="M107" s="21" t="str">
        <f aca="false">IFERROR(INDEX(종합!M$3:M$501,MATCH(ROW()-2,종합!$AD$3:$AD$501,0))&amp;"","")</f>
        <v/>
      </c>
      <c r="N107" s="25" t="str">
        <f aca="false">IFERROR(INDEX(종합!N$3:N$501,MATCH(ROW()-2,종합!$AD$3:$AD$501,0))&amp;"","")</f>
        <v/>
      </c>
      <c r="O107" s="21" t="str">
        <f aca="false">IFERROR(INDEX(종합!O$3:O$501,MATCH(ROW()-2,종합!$AD$3:$AD$501,0))&amp;"","")</f>
        <v/>
      </c>
      <c r="P107" s="21" t="str">
        <f aca="false">IFERROR(INDEX(종합!P$3:P$501,MATCH(ROW()-2,종합!$AD$3:$AD$501,0))&amp;"","")</f>
        <v/>
      </c>
      <c r="Q107" s="21" t="str">
        <f aca="false">IFERROR(INDEX(종합!Q$3:Q$501,MATCH(ROW()-2,종합!$AD$3:$AD$501,0))&amp;"","")</f>
        <v/>
      </c>
      <c r="R107" s="21" t="str">
        <f aca="false">IFERROR(INDEX(종합!R$3:R$501,MATCH(ROW()-2,종합!$AD$3:$AD$501,0))&amp;"","")</f>
        <v/>
      </c>
      <c r="S107" s="21" t="str">
        <f aca="false">IFERROR(INDEX(종합!S$3:S$501,MATCH(ROW()-2,종합!$AD$3:$AD$501,0))&amp;"","")</f>
        <v/>
      </c>
      <c r="T107" s="21" t="str">
        <f aca="false">IFERROR(INDEX(종합!T$3:T$501,MATCH(ROW()-2,종합!$AD$3:$AD$501,0))&amp;"","")</f>
        <v/>
      </c>
      <c r="U107" s="21" t="str">
        <f aca="false">IFERROR(INDEX(종합!U$3:U$501,MATCH(ROW()-2,종합!$AD$3:$AD$501,0))&amp;"","")</f>
        <v/>
      </c>
      <c r="V107" s="21" t="str">
        <f aca="false">IFERROR(INDEX(종합!V$3:V$501,MATCH(ROW()-2,종합!$AD$3:$AD$501,0))&amp;"","")</f>
        <v/>
      </c>
      <c r="W107" s="21" t="str">
        <f aca="false">IFERROR(INDEX(종합!W$3:W$501,MATCH(ROW()-2,종합!$AD$3:$AD$501,0))&amp;"","")</f>
        <v/>
      </c>
      <c r="X107" s="21" t="str">
        <f aca="false">IFERROR(INDEX(종합!X$3:X$501,MATCH(ROW()-2,종합!$AD$3:$AD$501,0))&amp;"","")</f>
        <v/>
      </c>
      <c r="Y107" s="21" t="str">
        <f aca="false">IFERROR(INDEX(종합!Y$3:Y$501,MATCH(ROW()-2,종합!$AD$3:$AD$501,0))&amp;"","")</f>
        <v/>
      </c>
      <c r="Z107" s="21" t="str">
        <f aca="false">IFERROR(INDEX(종합!Z$3:Z$501,MATCH(ROW()-2,종합!$AD$3:$AD$501,0))&amp;"","")</f>
        <v/>
      </c>
      <c r="AA107" s="23" t="str">
        <f aca="false">IFERROR(INDEX(종합!AA$3:AA$501,MATCH(ROW()-2,종합!$AD$3:$AD$501,0))&amp;"","")</f>
        <v/>
      </c>
    </row>
    <row r="108" customFormat="false" ht="22.5" hidden="false" customHeight="true" outlineLevel="0" collapsed="false">
      <c r="A108" s="18" t="str">
        <f aca="false">IF(B108="","",ROW()-2)</f>
        <v/>
      </c>
      <c r="B108" s="18" t="str">
        <f aca="false">IFERROR(INDEX(종합!B$3:B$501,MATCH(ROW()-2,종합!$AD$3:$AD$501,0))&amp;"","")</f>
        <v/>
      </c>
      <c r="C108" s="18" t="str">
        <f aca="false">IFERROR(INDEX(종합!C$3:C$501,MATCH(ROW()-2,종합!$AD$3:$AD$501,0))&amp;"","")</f>
        <v/>
      </c>
      <c r="D108" s="18" t="str">
        <f aca="false">IFERROR(INDEX(종합!D$3:D$501,MATCH(ROW()-2,종합!$AD$3:$AD$501,0))&amp;"","")</f>
        <v/>
      </c>
      <c r="E108" s="18" t="str">
        <f aca="false">IFERROR(INDEX(종합!E$3:E$501,MATCH(ROW()-2,종합!$AD$3:$AD$501,0))&amp;"","")</f>
        <v/>
      </c>
      <c r="F108" s="18" t="str">
        <f aca="false">IFERROR(INDEX(종합!F$3:F$501,MATCH(ROW()-2,종합!$AD$3:$AD$501,0))&amp;"","")</f>
        <v/>
      </c>
      <c r="G108" s="18" t="str">
        <f aca="false">IFERROR(INDEX(종합!G$3:G$501,MATCH(ROW()-2,종합!$AD$3:$AD$501,0))&amp;"","")</f>
        <v/>
      </c>
      <c r="H108" s="21" t="str">
        <f aca="false">IFERROR(INDEX(종합!H$3:H$501,MATCH(ROW()-2,종합!$AD$3:$AD$501,0))&amp;"","")</f>
        <v/>
      </c>
      <c r="I108" s="21" t="str">
        <f aca="false">IFERROR(INDEX(종합!I$3:I$501,MATCH(ROW()-2,종합!$AD$3:$AD$501,0))&amp;"","")</f>
        <v/>
      </c>
      <c r="J108" s="21" t="str">
        <f aca="false">IFERROR(INDEX(종합!J$3:J$501,MATCH(ROW()-2,종합!$AD$3:$AD$501,0))&amp;"","")</f>
        <v/>
      </c>
      <c r="K108" s="21" t="str">
        <f aca="false">IFERROR(INDEX(종합!K$3:K$501,MATCH(ROW()-2,종합!$AD$3:$AD$501,0))&amp;"","")</f>
        <v/>
      </c>
      <c r="L108" s="21" t="str">
        <f aca="false">IFERROR(INDEX(종합!L$3:L$501,MATCH(ROW()-2,종합!$AD$3:$AD$501,0))&amp;"","")</f>
        <v/>
      </c>
      <c r="M108" s="21" t="str">
        <f aca="false">IFERROR(INDEX(종합!M$3:M$501,MATCH(ROW()-2,종합!$AD$3:$AD$501,0))&amp;"","")</f>
        <v/>
      </c>
      <c r="N108" s="25" t="str">
        <f aca="false">IFERROR(INDEX(종합!N$3:N$501,MATCH(ROW()-2,종합!$AD$3:$AD$501,0))&amp;"","")</f>
        <v/>
      </c>
      <c r="O108" s="21" t="str">
        <f aca="false">IFERROR(INDEX(종합!O$3:O$501,MATCH(ROW()-2,종합!$AD$3:$AD$501,0))&amp;"","")</f>
        <v/>
      </c>
      <c r="P108" s="21" t="str">
        <f aca="false">IFERROR(INDEX(종합!P$3:P$501,MATCH(ROW()-2,종합!$AD$3:$AD$501,0))&amp;"","")</f>
        <v/>
      </c>
      <c r="Q108" s="21" t="str">
        <f aca="false">IFERROR(INDEX(종합!Q$3:Q$501,MATCH(ROW()-2,종합!$AD$3:$AD$501,0))&amp;"","")</f>
        <v/>
      </c>
      <c r="R108" s="21" t="str">
        <f aca="false">IFERROR(INDEX(종합!R$3:R$501,MATCH(ROW()-2,종합!$AD$3:$AD$501,0))&amp;"","")</f>
        <v/>
      </c>
      <c r="S108" s="21" t="str">
        <f aca="false">IFERROR(INDEX(종합!S$3:S$501,MATCH(ROW()-2,종합!$AD$3:$AD$501,0))&amp;"","")</f>
        <v/>
      </c>
      <c r="T108" s="21" t="str">
        <f aca="false">IFERROR(INDEX(종합!T$3:T$501,MATCH(ROW()-2,종합!$AD$3:$AD$501,0))&amp;"","")</f>
        <v/>
      </c>
      <c r="U108" s="21" t="str">
        <f aca="false">IFERROR(INDEX(종합!U$3:U$501,MATCH(ROW()-2,종합!$AD$3:$AD$501,0))&amp;"","")</f>
        <v/>
      </c>
      <c r="V108" s="21" t="str">
        <f aca="false">IFERROR(INDEX(종합!V$3:V$501,MATCH(ROW()-2,종합!$AD$3:$AD$501,0))&amp;"","")</f>
        <v/>
      </c>
      <c r="W108" s="21" t="str">
        <f aca="false">IFERROR(INDEX(종합!W$3:W$501,MATCH(ROW()-2,종합!$AD$3:$AD$501,0))&amp;"","")</f>
        <v/>
      </c>
      <c r="X108" s="21" t="str">
        <f aca="false">IFERROR(INDEX(종합!X$3:X$501,MATCH(ROW()-2,종합!$AD$3:$AD$501,0))&amp;"","")</f>
        <v/>
      </c>
      <c r="Y108" s="21" t="str">
        <f aca="false">IFERROR(INDEX(종합!Y$3:Y$501,MATCH(ROW()-2,종합!$AD$3:$AD$501,0))&amp;"","")</f>
        <v/>
      </c>
      <c r="Z108" s="21" t="str">
        <f aca="false">IFERROR(INDEX(종합!Z$3:Z$501,MATCH(ROW()-2,종합!$AD$3:$AD$501,0))&amp;"","")</f>
        <v/>
      </c>
      <c r="AA108" s="23" t="str">
        <f aca="false">IFERROR(INDEX(종합!AA$3:AA$501,MATCH(ROW()-2,종합!$AD$3:$AD$501,0))&amp;"","")</f>
        <v/>
      </c>
    </row>
    <row r="109" customFormat="false" ht="22.5" hidden="false" customHeight="true" outlineLevel="0" collapsed="false">
      <c r="A109" s="18" t="str">
        <f aca="false">IF(B109="","",ROW()-2)</f>
        <v/>
      </c>
      <c r="B109" s="18" t="str">
        <f aca="false">IFERROR(INDEX(종합!B$3:B$501,MATCH(ROW()-2,종합!$AD$3:$AD$501,0))&amp;"","")</f>
        <v/>
      </c>
      <c r="C109" s="18" t="str">
        <f aca="false">IFERROR(INDEX(종합!C$3:C$501,MATCH(ROW()-2,종합!$AD$3:$AD$501,0))&amp;"","")</f>
        <v/>
      </c>
      <c r="D109" s="18" t="str">
        <f aca="false">IFERROR(INDEX(종합!D$3:D$501,MATCH(ROW()-2,종합!$AD$3:$AD$501,0))&amp;"","")</f>
        <v/>
      </c>
      <c r="E109" s="18" t="str">
        <f aca="false">IFERROR(INDEX(종합!E$3:E$501,MATCH(ROW()-2,종합!$AD$3:$AD$501,0))&amp;"","")</f>
        <v/>
      </c>
      <c r="F109" s="18" t="str">
        <f aca="false">IFERROR(INDEX(종합!F$3:F$501,MATCH(ROW()-2,종합!$AD$3:$AD$501,0))&amp;"","")</f>
        <v/>
      </c>
      <c r="G109" s="18" t="str">
        <f aca="false">IFERROR(INDEX(종합!G$3:G$501,MATCH(ROW()-2,종합!$AD$3:$AD$501,0))&amp;"","")</f>
        <v/>
      </c>
      <c r="H109" s="21" t="str">
        <f aca="false">IFERROR(INDEX(종합!H$3:H$501,MATCH(ROW()-2,종합!$AD$3:$AD$501,0))&amp;"","")</f>
        <v/>
      </c>
      <c r="I109" s="21" t="str">
        <f aca="false">IFERROR(INDEX(종합!I$3:I$501,MATCH(ROW()-2,종합!$AD$3:$AD$501,0))&amp;"","")</f>
        <v/>
      </c>
      <c r="J109" s="21" t="str">
        <f aca="false">IFERROR(INDEX(종합!J$3:J$501,MATCH(ROW()-2,종합!$AD$3:$AD$501,0))&amp;"","")</f>
        <v/>
      </c>
      <c r="K109" s="21" t="str">
        <f aca="false">IFERROR(INDEX(종합!K$3:K$501,MATCH(ROW()-2,종합!$AD$3:$AD$501,0))&amp;"","")</f>
        <v/>
      </c>
      <c r="L109" s="21" t="str">
        <f aca="false">IFERROR(INDEX(종합!L$3:L$501,MATCH(ROW()-2,종합!$AD$3:$AD$501,0))&amp;"","")</f>
        <v/>
      </c>
      <c r="M109" s="21" t="str">
        <f aca="false">IFERROR(INDEX(종합!M$3:M$501,MATCH(ROW()-2,종합!$AD$3:$AD$501,0))&amp;"","")</f>
        <v/>
      </c>
      <c r="N109" s="25" t="str">
        <f aca="false">IFERROR(INDEX(종합!N$3:N$501,MATCH(ROW()-2,종합!$AD$3:$AD$501,0))&amp;"","")</f>
        <v/>
      </c>
      <c r="O109" s="21" t="str">
        <f aca="false">IFERROR(INDEX(종합!O$3:O$501,MATCH(ROW()-2,종합!$AD$3:$AD$501,0))&amp;"","")</f>
        <v/>
      </c>
      <c r="P109" s="21" t="str">
        <f aca="false">IFERROR(INDEX(종합!P$3:P$501,MATCH(ROW()-2,종합!$AD$3:$AD$501,0))&amp;"","")</f>
        <v/>
      </c>
      <c r="Q109" s="21" t="str">
        <f aca="false">IFERROR(INDEX(종합!Q$3:Q$501,MATCH(ROW()-2,종합!$AD$3:$AD$501,0))&amp;"","")</f>
        <v/>
      </c>
      <c r="R109" s="21" t="str">
        <f aca="false">IFERROR(INDEX(종합!R$3:R$501,MATCH(ROW()-2,종합!$AD$3:$AD$501,0))&amp;"","")</f>
        <v/>
      </c>
      <c r="S109" s="21" t="str">
        <f aca="false">IFERROR(INDEX(종합!S$3:S$501,MATCH(ROW()-2,종합!$AD$3:$AD$501,0))&amp;"","")</f>
        <v/>
      </c>
      <c r="T109" s="21" t="str">
        <f aca="false">IFERROR(INDEX(종합!T$3:T$501,MATCH(ROW()-2,종합!$AD$3:$AD$501,0))&amp;"","")</f>
        <v/>
      </c>
      <c r="U109" s="21" t="str">
        <f aca="false">IFERROR(INDEX(종합!U$3:U$501,MATCH(ROW()-2,종합!$AD$3:$AD$501,0))&amp;"","")</f>
        <v/>
      </c>
      <c r="V109" s="21" t="str">
        <f aca="false">IFERROR(INDEX(종합!V$3:V$501,MATCH(ROW()-2,종합!$AD$3:$AD$501,0))&amp;"","")</f>
        <v/>
      </c>
      <c r="W109" s="21" t="str">
        <f aca="false">IFERROR(INDEX(종합!W$3:W$501,MATCH(ROW()-2,종합!$AD$3:$AD$501,0))&amp;"","")</f>
        <v/>
      </c>
      <c r="X109" s="21" t="str">
        <f aca="false">IFERROR(INDEX(종합!X$3:X$501,MATCH(ROW()-2,종합!$AD$3:$AD$501,0))&amp;"","")</f>
        <v/>
      </c>
      <c r="Y109" s="21" t="str">
        <f aca="false">IFERROR(INDEX(종합!Y$3:Y$501,MATCH(ROW()-2,종합!$AD$3:$AD$501,0))&amp;"","")</f>
        <v/>
      </c>
      <c r="Z109" s="21" t="str">
        <f aca="false">IFERROR(INDEX(종합!Z$3:Z$501,MATCH(ROW()-2,종합!$AD$3:$AD$501,0))&amp;"","")</f>
        <v/>
      </c>
      <c r="AA109" s="23" t="str">
        <f aca="false">IFERROR(INDEX(종합!AA$3:AA$501,MATCH(ROW()-2,종합!$AD$3:$AD$501,0))&amp;"","")</f>
        <v/>
      </c>
    </row>
    <row r="110" customFormat="false" ht="33.75" hidden="false" customHeight="true" outlineLevel="0" collapsed="false">
      <c r="A110" s="18" t="str">
        <f aca="false">IF(B110="","",ROW()-2)</f>
        <v/>
      </c>
      <c r="B110" s="18" t="str">
        <f aca="false">IFERROR(INDEX(종합!B$3:B$501,MATCH(ROW()-2,종합!$AD$3:$AD$501,0))&amp;"","")</f>
        <v/>
      </c>
      <c r="C110" s="18" t="str">
        <f aca="false">IFERROR(INDEX(종합!C$3:C$501,MATCH(ROW()-2,종합!$AD$3:$AD$501,0))&amp;"","")</f>
        <v/>
      </c>
      <c r="D110" s="18" t="str">
        <f aca="false">IFERROR(INDEX(종합!D$3:D$501,MATCH(ROW()-2,종합!$AD$3:$AD$501,0))&amp;"","")</f>
        <v/>
      </c>
      <c r="E110" s="18" t="str">
        <f aca="false">IFERROR(INDEX(종합!E$3:E$501,MATCH(ROW()-2,종합!$AD$3:$AD$501,0))&amp;"","")</f>
        <v/>
      </c>
      <c r="F110" s="18" t="str">
        <f aca="false">IFERROR(INDEX(종합!F$3:F$501,MATCH(ROW()-2,종합!$AD$3:$AD$501,0))&amp;"","")</f>
        <v/>
      </c>
      <c r="G110" s="18" t="str">
        <f aca="false">IFERROR(INDEX(종합!G$3:G$501,MATCH(ROW()-2,종합!$AD$3:$AD$501,0))&amp;"","")</f>
        <v/>
      </c>
      <c r="H110" s="21" t="str">
        <f aca="false">IFERROR(INDEX(종합!H$3:H$501,MATCH(ROW()-2,종합!$AD$3:$AD$501,0))&amp;"","")</f>
        <v/>
      </c>
      <c r="I110" s="21" t="str">
        <f aca="false">IFERROR(INDEX(종합!I$3:I$501,MATCH(ROW()-2,종합!$AD$3:$AD$501,0))&amp;"","")</f>
        <v/>
      </c>
      <c r="J110" s="21" t="str">
        <f aca="false">IFERROR(INDEX(종합!J$3:J$501,MATCH(ROW()-2,종합!$AD$3:$AD$501,0))&amp;"","")</f>
        <v/>
      </c>
      <c r="K110" s="21" t="str">
        <f aca="false">IFERROR(INDEX(종합!K$3:K$501,MATCH(ROW()-2,종합!$AD$3:$AD$501,0))&amp;"","")</f>
        <v/>
      </c>
      <c r="L110" s="21" t="str">
        <f aca="false">IFERROR(INDEX(종합!L$3:L$501,MATCH(ROW()-2,종합!$AD$3:$AD$501,0))&amp;"","")</f>
        <v/>
      </c>
      <c r="M110" s="21" t="str">
        <f aca="false">IFERROR(INDEX(종합!M$3:M$501,MATCH(ROW()-2,종합!$AD$3:$AD$501,0))&amp;"","")</f>
        <v/>
      </c>
      <c r="N110" s="25" t="str">
        <f aca="false">IFERROR(INDEX(종합!N$3:N$501,MATCH(ROW()-2,종합!$AD$3:$AD$501,0))&amp;"","")</f>
        <v/>
      </c>
      <c r="O110" s="21" t="str">
        <f aca="false">IFERROR(INDEX(종합!O$3:O$501,MATCH(ROW()-2,종합!$AD$3:$AD$501,0))&amp;"","")</f>
        <v/>
      </c>
      <c r="P110" s="21" t="str">
        <f aca="false">IFERROR(INDEX(종합!P$3:P$501,MATCH(ROW()-2,종합!$AD$3:$AD$501,0))&amp;"","")</f>
        <v/>
      </c>
      <c r="Q110" s="21" t="str">
        <f aca="false">IFERROR(INDEX(종합!Q$3:Q$501,MATCH(ROW()-2,종합!$AD$3:$AD$501,0))&amp;"","")</f>
        <v/>
      </c>
      <c r="R110" s="21" t="str">
        <f aca="false">IFERROR(INDEX(종합!R$3:R$501,MATCH(ROW()-2,종합!$AD$3:$AD$501,0))&amp;"","")</f>
        <v/>
      </c>
      <c r="S110" s="21" t="str">
        <f aca="false">IFERROR(INDEX(종합!S$3:S$501,MATCH(ROW()-2,종합!$AD$3:$AD$501,0))&amp;"","")</f>
        <v/>
      </c>
      <c r="T110" s="21" t="str">
        <f aca="false">IFERROR(INDEX(종합!T$3:T$501,MATCH(ROW()-2,종합!$AD$3:$AD$501,0))&amp;"","")</f>
        <v/>
      </c>
      <c r="U110" s="21" t="str">
        <f aca="false">IFERROR(INDEX(종합!U$3:U$501,MATCH(ROW()-2,종합!$AD$3:$AD$501,0))&amp;"","")</f>
        <v/>
      </c>
      <c r="V110" s="21" t="str">
        <f aca="false">IFERROR(INDEX(종합!V$3:V$501,MATCH(ROW()-2,종합!$AD$3:$AD$501,0))&amp;"","")</f>
        <v/>
      </c>
      <c r="W110" s="21" t="str">
        <f aca="false">IFERROR(INDEX(종합!W$3:W$501,MATCH(ROW()-2,종합!$AD$3:$AD$501,0))&amp;"","")</f>
        <v/>
      </c>
      <c r="X110" s="21" t="str">
        <f aca="false">IFERROR(INDEX(종합!X$3:X$501,MATCH(ROW()-2,종합!$AD$3:$AD$501,0))&amp;"","")</f>
        <v/>
      </c>
      <c r="Y110" s="21" t="str">
        <f aca="false">IFERROR(INDEX(종합!Y$3:Y$501,MATCH(ROW()-2,종합!$AD$3:$AD$501,0))&amp;"","")</f>
        <v/>
      </c>
      <c r="Z110" s="21" t="str">
        <f aca="false">IFERROR(INDEX(종합!Z$3:Z$501,MATCH(ROW()-2,종합!$AD$3:$AD$501,0))&amp;"","")</f>
        <v/>
      </c>
      <c r="AA110" s="23" t="str">
        <f aca="false">IFERROR(INDEX(종합!AA$3:AA$501,MATCH(ROW()-2,종합!$AD$3:$AD$501,0))&amp;"","")</f>
        <v/>
      </c>
    </row>
    <row r="111" customFormat="false" ht="22.5" hidden="false" customHeight="true" outlineLevel="0" collapsed="false">
      <c r="A111" s="18" t="str">
        <f aca="false">IF(B111="","",ROW()-2)</f>
        <v/>
      </c>
      <c r="B111" s="18" t="str">
        <f aca="false">IFERROR(INDEX(종합!B$3:B$501,MATCH(ROW()-2,종합!$AD$3:$AD$501,0))&amp;"","")</f>
        <v/>
      </c>
      <c r="C111" s="18" t="str">
        <f aca="false">IFERROR(INDEX(종합!C$3:C$501,MATCH(ROW()-2,종합!$AD$3:$AD$501,0))&amp;"","")</f>
        <v/>
      </c>
      <c r="D111" s="18" t="str">
        <f aca="false">IFERROR(INDEX(종합!D$3:D$501,MATCH(ROW()-2,종합!$AD$3:$AD$501,0))&amp;"","")</f>
        <v/>
      </c>
      <c r="E111" s="18" t="str">
        <f aca="false">IFERROR(INDEX(종합!E$3:E$501,MATCH(ROW()-2,종합!$AD$3:$AD$501,0))&amp;"","")</f>
        <v/>
      </c>
      <c r="F111" s="18" t="str">
        <f aca="false">IFERROR(INDEX(종합!F$3:F$501,MATCH(ROW()-2,종합!$AD$3:$AD$501,0))&amp;"","")</f>
        <v/>
      </c>
      <c r="G111" s="18" t="str">
        <f aca="false">IFERROR(INDEX(종합!G$3:G$501,MATCH(ROW()-2,종합!$AD$3:$AD$501,0))&amp;"","")</f>
        <v/>
      </c>
      <c r="H111" s="21" t="str">
        <f aca="false">IFERROR(INDEX(종합!H$3:H$501,MATCH(ROW()-2,종합!$AD$3:$AD$501,0))&amp;"","")</f>
        <v/>
      </c>
      <c r="I111" s="21" t="str">
        <f aca="false">IFERROR(INDEX(종합!I$3:I$501,MATCH(ROW()-2,종합!$AD$3:$AD$501,0))&amp;"","")</f>
        <v/>
      </c>
      <c r="J111" s="21" t="str">
        <f aca="false">IFERROR(INDEX(종합!J$3:J$501,MATCH(ROW()-2,종합!$AD$3:$AD$501,0))&amp;"","")</f>
        <v/>
      </c>
      <c r="K111" s="21" t="str">
        <f aca="false">IFERROR(INDEX(종합!K$3:K$501,MATCH(ROW()-2,종합!$AD$3:$AD$501,0))&amp;"","")</f>
        <v/>
      </c>
      <c r="L111" s="21" t="str">
        <f aca="false">IFERROR(INDEX(종합!L$3:L$501,MATCH(ROW()-2,종합!$AD$3:$AD$501,0))&amp;"","")</f>
        <v/>
      </c>
      <c r="M111" s="21" t="str">
        <f aca="false">IFERROR(INDEX(종합!M$3:M$501,MATCH(ROW()-2,종합!$AD$3:$AD$501,0))&amp;"","")</f>
        <v/>
      </c>
      <c r="N111" s="25" t="str">
        <f aca="false">IFERROR(INDEX(종합!N$3:N$501,MATCH(ROW()-2,종합!$AD$3:$AD$501,0))&amp;"","")</f>
        <v/>
      </c>
      <c r="O111" s="21" t="str">
        <f aca="false">IFERROR(INDEX(종합!O$3:O$501,MATCH(ROW()-2,종합!$AD$3:$AD$501,0))&amp;"","")</f>
        <v/>
      </c>
      <c r="P111" s="21" t="str">
        <f aca="false">IFERROR(INDEX(종합!P$3:P$501,MATCH(ROW()-2,종합!$AD$3:$AD$501,0))&amp;"","")</f>
        <v/>
      </c>
      <c r="Q111" s="21" t="str">
        <f aca="false">IFERROR(INDEX(종합!Q$3:Q$501,MATCH(ROW()-2,종합!$AD$3:$AD$501,0))&amp;"","")</f>
        <v/>
      </c>
      <c r="R111" s="21" t="str">
        <f aca="false">IFERROR(INDEX(종합!R$3:R$501,MATCH(ROW()-2,종합!$AD$3:$AD$501,0))&amp;"","")</f>
        <v/>
      </c>
      <c r="S111" s="21" t="str">
        <f aca="false">IFERROR(INDEX(종합!S$3:S$501,MATCH(ROW()-2,종합!$AD$3:$AD$501,0))&amp;"","")</f>
        <v/>
      </c>
      <c r="T111" s="21" t="str">
        <f aca="false">IFERROR(INDEX(종합!T$3:T$501,MATCH(ROW()-2,종합!$AD$3:$AD$501,0))&amp;"","")</f>
        <v/>
      </c>
      <c r="U111" s="21" t="str">
        <f aca="false">IFERROR(INDEX(종합!U$3:U$501,MATCH(ROW()-2,종합!$AD$3:$AD$501,0))&amp;"","")</f>
        <v/>
      </c>
      <c r="V111" s="21" t="str">
        <f aca="false">IFERROR(INDEX(종합!V$3:V$501,MATCH(ROW()-2,종합!$AD$3:$AD$501,0))&amp;"","")</f>
        <v/>
      </c>
      <c r="W111" s="21" t="str">
        <f aca="false">IFERROR(INDEX(종합!W$3:W$501,MATCH(ROW()-2,종합!$AD$3:$AD$501,0))&amp;"","")</f>
        <v/>
      </c>
      <c r="X111" s="21" t="str">
        <f aca="false">IFERROR(INDEX(종합!X$3:X$501,MATCH(ROW()-2,종합!$AD$3:$AD$501,0))&amp;"","")</f>
        <v/>
      </c>
      <c r="Y111" s="21" t="str">
        <f aca="false">IFERROR(INDEX(종합!Y$3:Y$501,MATCH(ROW()-2,종합!$AD$3:$AD$501,0))&amp;"","")</f>
        <v/>
      </c>
      <c r="Z111" s="21" t="str">
        <f aca="false">IFERROR(INDEX(종합!Z$3:Z$501,MATCH(ROW()-2,종합!$AD$3:$AD$501,0))&amp;"","")</f>
        <v/>
      </c>
      <c r="AA111" s="23" t="str">
        <f aca="false">IFERROR(INDEX(종합!AA$3:AA$501,MATCH(ROW()-2,종합!$AD$3:$AD$501,0))&amp;"","")</f>
        <v/>
      </c>
    </row>
    <row r="112" customFormat="false" ht="22.5" hidden="false" customHeight="true" outlineLevel="0" collapsed="false">
      <c r="A112" s="18" t="str">
        <f aca="false">IF(B112="","",ROW()-2)</f>
        <v/>
      </c>
      <c r="B112" s="18" t="str">
        <f aca="false">IFERROR(INDEX(종합!B$3:B$501,MATCH(ROW()-2,종합!$AD$3:$AD$501,0))&amp;"","")</f>
        <v/>
      </c>
      <c r="C112" s="18" t="str">
        <f aca="false">IFERROR(INDEX(종합!C$3:C$501,MATCH(ROW()-2,종합!$AD$3:$AD$501,0))&amp;"","")</f>
        <v/>
      </c>
      <c r="D112" s="18" t="str">
        <f aca="false">IFERROR(INDEX(종합!D$3:D$501,MATCH(ROW()-2,종합!$AD$3:$AD$501,0))&amp;"","")</f>
        <v/>
      </c>
      <c r="E112" s="18" t="str">
        <f aca="false">IFERROR(INDEX(종합!E$3:E$501,MATCH(ROW()-2,종합!$AD$3:$AD$501,0))&amp;"","")</f>
        <v/>
      </c>
      <c r="F112" s="18" t="str">
        <f aca="false">IFERROR(INDEX(종합!F$3:F$501,MATCH(ROW()-2,종합!$AD$3:$AD$501,0))&amp;"","")</f>
        <v/>
      </c>
      <c r="G112" s="18" t="str">
        <f aca="false">IFERROR(INDEX(종합!G$3:G$501,MATCH(ROW()-2,종합!$AD$3:$AD$501,0))&amp;"","")</f>
        <v/>
      </c>
      <c r="H112" s="21" t="str">
        <f aca="false">IFERROR(INDEX(종합!H$3:H$501,MATCH(ROW()-2,종합!$AD$3:$AD$501,0))&amp;"","")</f>
        <v/>
      </c>
      <c r="I112" s="21" t="str">
        <f aca="false">IFERROR(INDEX(종합!I$3:I$501,MATCH(ROW()-2,종합!$AD$3:$AD$501,0))&amp;"","")</f>
        <v/>
      </c>
      <c r="J112" s="21" t="str">
        <f aca="false">IFERROR(INDEX(종합!J$3:J$501,MATCH(ROW()-2,종합!$AD$3:$AD$501,0))&amp;"","")</f>
        <v/>
      </c>
      <c r="K112" s="21" t="str">
        <f aca="false">IFERROR(INDEX(종합!K$3:K$501,MATCH(ROW()-2,종합!$AD$3:$AD$501,0))&amp;"","")</f>
        <v/>
      </c>
      <c r="L112" s="21" t="str">
        <f aca="false">IFERROR(INDEX(종합!L$3:L$501,MATCH(ROW()-2,종합!$AD$3:$AD$501,0))&amp;"","")</f>
        <v/>
      </c>
      <c r="M112" s="21" t="str">
        <f aca="false">IFERROR(INDEX(종합!M$3:M$501,MATCH(ROW()-2,종합!$AD$3:$AD$501,0))&amp;"","")</f>
        <v/>
      </c>
      <c r="N112" s="25" t="str">
        <f aca="false">IFERROR(INDEX(종합!N$3:N$501,MATCH(ROW()-2,종합!$AD$3:$AD$501,0))&amp;"","")</f>
        <v/>
      </c>
      <c r="O112" s="21" t="str">
        <f aca="false">IFERROR(INDEX(종합!O$3:O$501,MATCH(ROW()-2,종합!$AD$3:$AD$501,0))&amp;"","")</f>
        <v/>
      </c>
      <c r="P112" s="21" t="str">
        <f aca="false">IFERROR(INDEX(종합!P$3:P$501,MATCH(ROW()-2,종합!$AD$3:$AD$501,0))&amp;"","")</f>
        <v/>
      </c>
      <c r="Q112" s="21" t="str">
        <f aca="false">IFERROR(INDEX(종합!Q$3:Q$501,MATCH(ROW()-2,종합!$AD$3:$AD$501,0))&amp;"","")</f>
        <v/>
      </c>
      <c r="R112" s="21" t="str">
        <f aca="false">IFERROR(INDEX(종합!R$3:R$501,MATCH(ROW()-2,종합!$AD$3:$AD$501,0))&amp;"","")</f>
        <v/>
      </c>
      <c r="S112" s="21" t="str">
        <f aca="false">IFERROR(INDEX(종합!S$3:S$501,MATCH(ROW()-2,종합!$AD$3:$AD$501,0))&amp;"","")</f>
        <v/>
      </c>
      <c r="T112" s="21" t="str">
        <f aca="false">IFERROR(INDEX(종합!T$3:T$501,MATCH(ROW()-2,종합!$AD$3:$AD$501,0))&amp;"","")</f>
        <v/>
      </c>
      <c r="U112" s="21" t="str">
        <f aca="false">IFERROR(INDEX(종합!U$3:U$501,MATCH(ROW()-2,종합!$AD$3:$AD$501,0))&amp;"","")</f>
        <v/>
      </c>
      <c r="V112" s="21" t="str">
        <f aca="false">IFERROR(INDEX(종합!V$3:V$501,MATCH(ROW()-2,종합!$AD$3:$AD$501,0))&amp;"","")</f>
        <v/>
      </c>
      <c r="W112" s="21" t="str">
        <f aca="false">IFERROR(INDEX(종합!W$3:W$501,MATCH(ROW()-2,종합!$AD$3:$AD$501,0))&amp;"","")</f>
        <v/>
      </c>
      <c r="X112" s="21" t="str">
        <f aca="false">IFERROR(INDEX(종합!X$3:X$501,MATCH(ROW()-2,종합!$AD$3:$AD$501,0))&amp;"","")</f>
        <v/>
      </c>
      <c r="Y112" s="21" t="str">
        <f aca="false">IFERROR(INDEX(종합!Y$3:Y$501,MATCH(ROW()-2,종합!$AD$3:$AD$501,0))&amp;"","")</f>
        <v/>
      </c>
      <c r="Z112" s="21" t="str">
        <f aca="false">IFERROR(INDEX(종합!Z$3:Z$501,MATCH(ROW()-2,종합!$AD$3:$AD$501,0))&amp;"","")</f>
        <v/>
      </c>
      <c r="AA112" s="23" t="str">
        <f aca="false">IFERROR(INDEX(종합!AA$3:AA$501,MATCH(ROW()-2,종합!$AD$3:$AD$501,0))&amp;"","")</f>
        <v/>
      </c>
    </row>
    <row r="113" customFormat="false" ht="22.5" hidden="false" customHeight="true" outlineLevel="0" collapsed="false">
      <c r="A113" s="18" t="str">
        <f aca="false">IF(B113="","",ROW()-2)</f>
        <v/>
      </c>
      <c r="B113" s="18" t="str">
        <f aca="false">IFERROR(INDEX(종합!B$3:B$501,MATCH(ROW()-2,종합!$AD$3:$AD$501,0))&amp;"","")</f>
        <v/>
      </c>
      <c r="C113" s="18" t="str">
        <f aca="false">IFERROR(INDEX(종합!C$3:C$501,MATCH(ROW()-2,종합!$AD$3:$AD$501,0))&amp;"","")</f>
        <v/>
      </c>
      <c r="D113" s="18" t="str">
        <f aca="false">IFERROR(INDEX(종합!D$3:D$501,MATCH(ROW()-2,종합!$AD$3:$AD$501,0))&amp;"","")</f>
        <v/>
      </c>
      <c r="E113" s="18" t="str">
        <f aca="false">IFERROR(INDEX(종합!E$3:E$501,MATCH(ROW()-2,종합!$AD$3:$AD$501,0))&amp;"","")</f>
        <v/>
      </c>
      <c r="F113" s="18" t="str">
        <f aca="false">IFERROR(INDEX(종합!F$3:F$501,MATCH(ROW()-2,종합!$AD$3:$AD$501,0))&amp;"","")</f>
        <v/>
      </c>
      <c r="G113" s="18" t="str">
        <f aca="false">IFERROR(INDEX(종합!G$3:G$501,MATCH(ROW()-2,종합!$AD$3:$AD$501,0))&amp;"","")</f>
        <v/>
      </c>
      <c r="H113" s="21" t="str">
        <f aca="false">IFERROR(INDEX(종합!H$3:H$501,MATCH(ROW()-2,종합!$AD$3:$AD$501,0))&amp;"","")</f>
        <v/>
      </c>
      <c r="I113" s="21" t="str">
        <f aca="false">IFERROR(INDEX(종합!I$3:I$501,MATCH(ROW()-2,종합!$AD$3:$AD$501,0))&amp;"","")</f>
        <v/>
      </c>
      <c r="J113" s="21" t="str">
        <f aca="false">IFERROR(INDEX(종합!J$3:J$501,MATCH(ROW()-2,종합!$AD$3:$AD$501,0))&amp;"","")</f>
        <v/>
      </c>
      <c r="K113" s="21" t="str">
        <f aca="false">IFERROR(INDEX(종합!K$3:K$501,MATCH(ROW()-2,종합!$AD$3:$AD$501,0))&amp;"","")</f>
        <v/>
      </c>
      <c r="L113" s="21" t="str">
        <f aca="false">IFERROR(INDEX(종합!L$3:L$501,MATCH(ROW()-2,종합!$AD$3:$AD$501,0))&amp;"","")</f>
        <v/>
      </c>
      <c r="M113" s="21" t="str">
        <f aca="false">IFERROR(INDEX(종합!M$3:M$501,MATCH(ROW()-2,종합!$AD$3:$AD$501,0))&amp;"","")</f>
        <v/>
      </c>
      <c r="N113" s="25" t="str">
        <f aca="false">IFERROR(INDEX(종합!N$3:N$501,MATCH(ROW()-2,종합!$AD$3:$AD$501,0))&amp;"","")</f>
        <v/>
      </c>
      <c r="O113" s="21" t="str">
        <f aca="false">IFERROR(INDEX(종합!O$3:O$501,MATCH(ROW()-2,종합!$AD$3:$AD$501,0))&amp;"","")</f>
        <v/>
      </c>
      <c r="P113" s="21" t="str">
        <f aca="false">IFERROR(INDEX(종합!P$3:P$501,MATCH(ROW()-2,종합!$AD$3:$AD$501,0))&amp;"","")</f>
        <v/>
      </c>
      <c r="Q113" s="21" t="str">
        <f aca="false">IFERROR(INDEX(종합!Q$3:Q$501,MATCH(ROW()-2,종합!$AD$3:$AD$501,0))&amp;"","")</f>
        <v/>
      </c>
      <c r="R113" s="21" t="str">
        <f aca="false">IFERROR(INDEX(종합!R$3:R$501,MATCH(ROW()-2,종합!$AD$3:$AD$501,0))&amp;"","")</f>
        <v/>
      </c>
      <c r="S113" s="21" t="str">
        <f aca="false">IFERROR(INDEX(종합!S$3:S$501,MATCH(ROW()-2,종합!$AD$3:$AD$501,0))&amp;"","")</f>
        <v/>
      </c>
      <c r="T113" s="21" t="str">
        <f aca="false">IFERROR(INDEX(종합!T$3:T$501,MATCH(ROW()-2,종합!$AD$3:$AD$501,0))&amp;"","")</f>
        <v/>
      </c>
      <c r="U113" s="21" t="str">
        <f aca="false">IFERROR(INDEX(종합!U$3:U$501,MATCH(ROW()-2,종합!$AD$3:$AD$501,0))&amp;"","")</f>
        <v/>
      </c>
      <c r="V113" s="21" t="str">
        <f aca="false">IFERROR(INDEX(종합!V$3:V$501,MATCH(ROW()-2,종합!$AD$3:$AD$501,0))&amp;"","")</f>
        <v/>
      </c>
      <c r="W113" s="21" t="str">
        <f aca="false">IFERROR(INDEX(종합!W$3:W$501,MATCH(ROW()-2,종합!$AD$3:$AD$501,0))&amp;"","")</f>
        <v/>
      </c>
      <c r="X113" s="21" t="str">
        <f aca="false">IFERROR(INDEX(종합!X$3:X$501,MATCH(ROW()-2,종합!$AD$3:$AD$501,0))&amp;"","")</f>
        <v/>
      </c>
      <c r="Y113" s="21" t="str">
        <f aca="false">IFERROR(INDEX(종합!Y$3:Y$501,MATCH(ROW()-2,종합!$AD$3:$AD$501,0))&amp;"","")</f>
        <v/>
      </c>
      <c r="Z113" s="21" t="str">
        <f aca="false">IFERROR(INDEX(종합!Z$3:Z$501,MATCH(ROW()-2,종합!$AD$3:$AD$501,0))&amp;"","")</f>
        <v/>
      </c>
      <c r="AA113" s="23" t="str">
        <f aca="false">IFERROR(INDEX(종합!AA$3:AA$501,MATCH(ROW()-2,종합!$AD$3:$AD$501,0))&amp;"","")</f>
        <v/>
      </c>
    </row>
    <row r="114" customFormat="false" ht="22.5" hidden="false" customHeight="true" outlineLevel="0" collapsed="false">
      <c r="A114" s="18" t="str">
        <f aca="false">IF(B114="","",ROW()-2)</f>
        <v/>
      </c>
      <c r="B114" s="18" t="str">
        <f aca="false">IFERROR(INDEX(종합!B$3:B$501,MATCH(ROW()-2,종합!$AD$3:$AD$501,0))&amp;"","")</f>
        <v/>
      </c>
      <c r="C114" s="18" t="str">
        <f aca="false">IFERROR(INDEX(종합!C$3:C$501,MATCH(ROW()-2,종합!$AD$3:$AD$501,0))&amp;"","")</f>
        <v/>
      </c>
      <c r="D114" s="18" t="str">
        <f aca="false">IFERROR(INDEX(종합!D$3:D$501,MATCH(ROW()-2,종합!$AD$3:$AD$501,0))&amp;"","")</f>
        <v/>
      </c>
      <c r="E114" s="18" t="str">
        <f aca="false">IFERROR(INDEX(종합!E$3:E$501,MATCH(ROW()-2,종합!$AD$3:$AD$501,0))&amp;"","")</f>
        <v/>
      </c>
      <c r="F114" s="18" t="str">
        <f aca="false">IFERROR(INDEX(종합!F$3:F$501,MATCH(ROW()-2,종합!$AD$3:$AD$501,0))&amp;"","")</f>
        <v/>
      </c>
      <c r="G114" s="18" t="str">
        <f aca="false">IFERROR(INDEX(종합!G$3:G$501,MATCH(ROW()-2,종합!$AD$3:$AD$501,0))&amp;"","")</f>
        <v/>
      </c>
      <c r="H114" s="21" t="str">
        <f aca="false">IFERROR(INDEX(종합!H$3:H$501,MATCH(ROW()-2,종합!$AD$3:$AD$501,0))&amp;"","")</f>
        <v/>
      </c>
      <c r="I114" s="21" t="str">
        <f aca="false">IFERROR(INDEX(종합!I$3:I$501,MATCH(ROW()-2,종합!$AD$3:$AD$501,0))&amp;"","")</f>
        <v/>
      </c>
      <c r="J114" s="21" t="str">
        <f aca="false">IFERROR(INDEX(종합!J$3:J$501,MATCH(ROW()-2,종합!$AD$3:$AD$501,0))&amp;"","")</f>
        <v/>
      </c>
      <c r="K114" s="21" t="str">
        <f aca="false">IFERROR(INDEX(종합!K$3:K$501,MATCH(ROW()-2,종합!$AD$3:$AD$501,0))&amp;"","")</f>
        <v/>
      </c>
      <c r="L114" s="21" t="str">
        <f aca="false">IFERROR(INDEX(종합!L$3:L$501,MATCH(ROW()-2,종합!$AD$3:$AD$501,0))&amp;"","")</f>
        <v/>
      </c>
      <c r="M114" s="21" t="str">
        <f aca="false">IFERROR(INDEX(종합!M$3:M$501,MATCH(ROW()-2,종합!$AD$3:$AD$501,0))&amp;"","")</f>
        <v/>
      </c>
      <c r="N114" s="25" t="str">
        <f aca="false">IFERROR(INDEX(종합!N$3:N$501,MATCH(ROW()-2,종합!$AD$3:$AD$501,0))&amp;"","")</f>
        <v/>
      </c>
      <c r="O114" s="21" t="str">
        <f aca="false">IFERROR(INDEX(종합!O$3:O$501,MATCH(ROW()-2,종합!$AD$3:$AD$501,0))&amp;"","")</f>
        <v/>
      </c>
      <c r="P114" s="21" t="str">
        <f aca="false">IFERROR(INDEX(종합!P$3:P$501,MATCH(ROW()-2,종합!$AD$3:$AD$501,0))&amp;"","")</f>
        <v/>
      </c>
      <c r="Q114" s="21" t="str">
        <f aca="false">IFERROR(INDEX(종합!Q$3:Q$501,MATCH(ROW()-2,종합!$AD$3:$AD$501,0))&amp;"","")</f>
        <v/>
      </c>
      <c r="R114" s="21" t="str">
        <f aca="false">IFERROR(INDEX(종합!R$3:R$501,MATCH(ROW()-2,종합!$AD$3:$AD$501,0))&amp;"","")</f>
        <v/>
      </c>
      <c r="S114" s="21" t="str">
        <f aca="false">IFERROR(INDEX(종합!S$3:S$501,MATCH(ROW()-2,종합!$AD$3:$AD$501,0))&amp;"","")</f>
        <v/>
      </c>
      <c r="T114" s="21" t="str">
        <f aca="false">IFERROR(INDEX(종합!T$3:T$501,MATCH(ROW()-2,종합!$AD$3:$AD$501,0))&amp;"","")</f>
        <v/>
      </c>
      <c r="U114" s="21" t="str">
        <f aca="false">IFERROR(INDEX(종합!U$3:U$501,MATCH(ROW()-2,종합!$AD$3:$AD$501,0))&amp;"","")</f>
        <v/>
      </c>
      <c r="V114" s="21" t="str">
        <f aca="false">IFERROR(INDEX(종합!V$3:V$501,MATCH(ROW()-2,종합!$AD$3:$AD$501,0))&amp;"","")</f>
        <v/>
      </c>
      <c r="W114" s="21" t="str">
        <f aca="false">IFERROR(INDEX(종합!W$3:W$501,MATCH(ROW()-2,종합!$AD$3:$AD$501,0))&amp;"","")</f>
        <v/>
      </c>
      <c r="X114" s="21" t="str">
        <f aca="false">IFERROR(INDEX(종합!X$3:X$501,MATCH(ROW()-2,종합!$AD$3:$AD$501,0))&amp;"","")</f>
        <v/>
      </c>
      <c r="Y114" s="21" t="str">
        <f aca="false">IFERROR(INDEX(종합!Y$3:Y$501,MATCH(ROW()-2,종합!$AD$3:$AD$501,0))&amp;"","")</f>
        <v/>
      </c>
      <c r="Z114" s="21" t="str">
        <f aca="false">IFERROR(INDEX(종합!Z$3:Z$501,MATCH(ROW()-2,종합!$AD$3:$AD$501,0))&amp;"","")</f>
        <v/>
      </c>
      <c r="AA114" s="23" t="str">
        <f aca="false">IFERROR(INDEX(종합!AA$3:AA$501,MATCH(ROW()-2,종합!$AD$3:$AD$501,0))&amp;"","")</f>
        <v/>
      </c>
    </row>
    <row r="115" customFormat="false" ht="22.5" hidden="false" customHeight="true" outlineLevel="0" collapsed="false">
      <c r="A115" s="18" t="str">
        <f aca="false">IF(B115="","",ROW()-2)</f>
        <v/>
      </c>
      <c r="B115" s="18" t="str">
        <f aca="false">IFERROR(INDEX(종합!B$3:B$501,MATCH(ROW()-2,종합!$AD$3:$AD$501,0))&amp;"","")</f>
        <v/>
      </c>
      <c r="C115" s="18" t="str">
        <f aca="false">IFERROR(INDEX(종합!C$3:C$501,MATCH(ROW()-2,종합!$AD$3:$AD$501,0))&amp;"","")</f>
        <v/>
      </c>
      <c r="D115" s="18" t="str">
        <f aca="false">IFERROR(INDEX(종합!D$3:D$501,MATCH(ROW()-2,종합!$AD$3:$AD$501,0))&amp;"","")</f>
        <v/>
      </c>
      <c r="E115" s="18" t="str">
        <f aca="false">IFERROR(INDEX(종합!E$3:E$501,MATCH(ROW()-2,종합!$AD$3:$AD$501,0))&amp;"","")</f>
        <v/>
      </c>
      <c r="F115" s="18" t="str">
        <f aca="false">IFERROR(INDEX(종합!F$3:F$501,MATCH(ROW()-2,종합!$AD$3:$AD$501,0))&amp;"","")</f>
        <v/>
      </c>
      <c r="G115" s="18" t="str">
        <f aca="false">IFERROR(INDEX(종합!G$3:G$501,MATCH(ROW()-2,종합!$AD$3:$AD$501,0))&amp;"","")</f>
        <v/>
      </c>
      <c r="H115" s="21" t="str">
        <f aca="false">IFERROR(INDEX(종합!H$3:H$501,MATCH(ROW()-2,종합!$AD$3:$AD$501,0))&amp;"","")</f>
        <v/>
      </c>
      <c r="I115" s="21" t="str">
        <f aca="false">IFERROR(INDEX(종합!I$3:I$501,MATCH(ROW()-2,종합!$AD$3:$AD$501,0))&amp;"","")</f>
        <v/>
      </c>
      <c r="J115" s="21" t="str">
        <f aca="false">IFERROR(INDEX(종합!J$3:J$501,MATCH(ROW()-2,종합!$AD$3:$AD$501,0))&amp;"","")</f>
        <v/>
      </c>
      <c r="K115" s="21" t="str">
        <f aca="false">IFERROR(INDEX(종합!K$3:K$501,MATCH(ROW()-2,종합!$AD$3:$AD$501,0))&amp;"","")</f>
        <v/>
      </c>
      <c r="L115" s="21" t="str">
        <f aca="false">IFERROR(INDEX(종합!L$3:L$501,MATCH(ROW()-2,종합!$AD$3:$AD$501,0))&amp;"","")</f>
        <v/>
      </c>
      <c r="M115" s="21" t="str">
        <f aca="false">IFERROR(INDEX(종합!M$3:M$501,MATCH(ROW()-2,종합!$AD$3:$AD$501,0))&amp;"","")</f>
        <v/>
      </c>
      <c r="N115" s="25" t="str">
        <f aca="false">IFERROR(INDEX(종합!N$3:N$501,MATCH(ROW()-2,종합!$AD$3:$AD$501,0))&amp;"","")</f>
        <v/>
      </c>
      <c r="O115" s="21" t="str">
        <f aca="false">IFERROR(INDEX(종합!O$3:O$501,MATCH(ROW()-2,종합!$AD$3:$AD$501,0))&amp;"","")</f>
        <v/>
      </c>
      <c r="P115" s="21" t="str">
        <f aca="false">IFERROR(INDEX(종합!P$3:P$501,MATCH(ROW()-2,종합!$AD$3:$AD$501,0))&amp;"","")</f>
        <v/>
      </c>
      <c r="Q115" s="21" t="str">
        <f aca="false">IFERROR(INDEX(종합!Q$3:Q$501,MATCH(ROW()-2,종합!$AD$3:$AD$501,0))&amp;"","")</f>
        <v/>
      </c>
      <c r="R115" s="21" t="str">
        <f aca="false">IFERROR(INDEX(종합!R$3:R$501,MATCH(ROW()-2,종합!$AD$3:$AD$501,0))&amp;"","")</f>
        <v/>
      </c>
      <c r="S115" s="21" t="str">
        <f aca="false">IFERROR(INDEX(종합!S$3:S$501,MATCH(ROW()-2,종합!$AD$3:$AD$501,0))&amp;"","")</f>
        <v/>
      </c>
      <c r="T115" s="21" t="str">
        <f aca="false">IFERROR(INDEX(종합!T$3:T$501,MATCH(ROW()-2,종합!$AD$3:$AD$501,0))&amp;"","")</f>
        <v/>
      </c>
      <c r="U115" s="21" t="str">
        <f aca="false">IFERROR(INDEX(종합!U$3:U$501,MATCH(ROW()-2,종합!$AD$3:$AD$501,0))&amp;"","")</f>
        <v/>
      </c>
      <c r="V115" s="21" t="str">
        <f aca="false">IFERROR(INDEX(종합!V$3:V$501,MATCH(ROW()-2,종합!$AD$3:$AD$501,0))&amp;"","")</f>
        <v/>
      </c>
      <c r="W115" s="21" t="str">
        <f aca="false">IFERROR(INDEX(종합!W$3:W$501,MATCH(ROW()-2,종합!$AD$3:$AD$501,0))&amp;"","")</f>
        <v/>
      </c>
      <c r="X115" s="21" t="str">
        <f aca="false">IFERROR(INDEX(종합!X$3:X$501,MATCH(ROW()-2,종합!$AD$3:$AD$501,0))&amp;"","")</f>
        <v/>
      </c>
      <c r="Y115" s="21" t="str">
        <f aca="false">IFERROR(INDEX(종합!Y$3:Y$501,MATCH(ROW()-2,종합!$AD$3:$AD$501,0))&amp;"","")</f>
        <v/>
      </c>
      <c r="Z115" s="21" t="str">
        <f aca="false">IFERROR(INDEX(종합!Z$3:Z$501,MATCH(ROW()-2,종합!$AD$3:$AD$501,0))&amp;"","")</f>
        <v/>
      </c>
      <c r="AA115" s="23" t="str">
        <f aca="false">IFERROR(INDEX(종합!AA$3:AA$501,MATCH(ROW()-2,종합!$AD$3:$AD$501,0))&amp;"","")</f>
        <v/>
      </c>
    </row>
    <row r="116" customFormat="false" ht="33.75" hidden="false" customHeight="true" outlineLevel="0" collapsed="false">
      <c r="A116" s="18" t="str">
        <f aca="false">IF(B116="","",ROW()-2)</f>
        <v/>
      </c>
      <c r="B116" s="18" t="str">
        <f aca="false">IFERROR(INDEX(종합!B$3:B$501,MATCH(ROW()-2,종합!$AD$3:$AD$501,0))&amp;"","")</f>
        <v/>
      </c>
      <c r="C116" s="18" t="str">
        <f aca="false">IFERROR(INDEX(종합!C$3:C$501,MATCH(ROW()-2,종합!$AD$3:$AD$501,0))&amp;"","")</f>
        <v/>
      </c>
      <c r="D116" s="18" t="str">
        <f aca="false">IFERROR(INDEX(종합!D$3:D$501,MATCH(ROW()-2,종합!$AD$3:$AD$501,0))&amp;"","")</f>
        <v/>
      </c>
      <c r="E116" s="18" t="str">
        <f aca="false">IFERROR(INDEX(종합!E$3:E$501,MATCH(ROW()-2,종합!$AD$3:$AD$501,0))&amp;"","")</f>
        <v/>
      </c>
      <c r="F116" s="18" t="str">
        <f aca="false">IFERROR(INDEX(종합!F$3:F$501,MATCH(ROW()-2,종합!$AD$3:$AD$501,0))&amp;"","")</f>
        <v/>
      </c>
      <c r="G116" s="18" t="str">
        <f aca="false">IFERROR(INDEX(종합!G$3:G$501,MATCH(ROW()-2,종합!$AD$3:$AD$501,0))&amp;"","")</f>
        <v/>
      </c>
      <c r="H116" s="21" t="str">
        <f aca="false">IFERROR(INDEX(종합!H$3:H$501,MATCH(ROW()-2,종합!$AD$3:$AD$501,0))&amp;"","")</f>
        <v/>
      </c>
      <c r="I116" s="21" t="str">
        <f aca="false">IFERROR(INDEX(종합!I$3:I$501,MATCH(ROW()-2,종합!$AD$3:$AD$501,0))&amp;"","")</f>
        <v/>
      </c>
      <c r="J116" s="21" t="str">
        <f aca="false">IFERROR(INDEX(종합!J$3:J$501,MATCH(ROW()-2,종합!$AD$3:$AD$501,0))&amp;"","")</f>
        <v/>
      </c>
      <c r="K116" s="21" t="str">
        <f aca="false">IFERROR(INDEX(종합!K$3:K$501,MATCH(ROW()-2,종합!$AD$3:$AD$501,0))&amp;"","")</f>
        <v/>
      </c>
      <c r="L116" s="21" t="str">
        <f aca="false">IFERROR(INDEX(종합!L$3:L$501,MATCH(ROW()-2,종합!$AD$3:$AD$501,0))&amp;"","")</f>
        <v/>
      </c>
      <c r="M116" s="21" t="str">
        <f aca="false">IFERROR(INDEX(종합!M$3:M$501,MATCH(ROW()-2,종합!$AD$3:$AD$501,0))&amp;"","")</f>
        <v/>
      </c>
      <c r="N116" s="25" t="str">
        <f aca="false">IFERROR(INDEX(종합!N$3:N$501,MATCH(ROW()-2,종합!$AD$3:$AD$501,0))&amp;"","")</f>
        <v/>
      </c>
      <c r="O116" s="21" t="str">
        <f aca="false">IFERROR(INDEX(종합!O$3:O$501,MATCH(ROW()-2,종합!$AD$3:$AD$501,0))&amp;"","")</f>
        <v/>
      </c>
      <c r="P116" s="21" t="str">
        <f aca="false">IFERROR(INDEX(종합!P$3:P$501,MATCH(ROW()-2,종합!$AD$3:$AD$501,0))&amp;"","")</f>
        <v/>
      </c>
      <c r="Q116" s="21" t="str">
        <f aca="false">IFERROR(INDEX(종합!Q$3:Q$501,MATCH(ROW()-2,종합!$AD$3:$AD$501,0))&amp;"","")</f>
        <v/>
      </c>
      <c r="R116" s="21" t="str">
        <f aca="false">IFERROR(INDEX(종합!R$3:R$501,MATCH(ROW()-2,종합!$AD$3:$AD$501,0))&amp;"","")</f>
        <v/>
      </c>
      <c r="S116" s="21" t="str">
        <f aca="false">IFERROR(INDEX(종합!S$3:S$501,MATCH(ROW()-2,종합!$AD$3:$AD$501,0))&amp;"","")</f>
        <v/>
      </c>
      <c r="T116" s="21" t="str">
        <f aca="false">IFERROR(INDEX(종합!T$3:T$501,MATCH(ROW()-2,종합!$AD$3:$AD$501,0))&amp;"","")</f>
        <v/>
      </c>
      <c r="U116" s="21" t="str">
        <f aca="false">IFERROR(INDEX(종합!U$3:U$501,MATCH(ROW()-2,종합!$AD$3:$AD$501,0))&amp;"","")</f>
        <v/>
      </c>
      <c r="V116" s="21" t="str">
        <f aca="false">IFERROR(INDEX(종합!V$3:V$501,MATCH(ROW()-2,종합!$AD$3:$AD$501,0))&amp;"","")</f>
        <v/>
      </c>
      <c r="W116" s="21" t="str">
        <f aca="false">IFERROR(INDEX(종합!W$3:W$501,MATCH(ROW()-2,종합!$AD$3:$AD$501,0))&amp;"","")</f>
        <v/>
      </c>
      <c r="X116" s="21" t="str">
        <f aca="false">IFERROR(INDEX(종합!X$3:X$501,MATCH(ROW()-2,종합!$AD$3:$AD$501,0))&amp;"","")</f>
        <v/>
      </c>
      <c r="Y116" s="21" t="str">
        <f aca="false">IFERROR(INDEX(종합!Y$3:Y$501,MATCH(ROW()-2,종합!$AD$3:$AD$501,0))&amp;"","")</f>
        <v/>
      </c>
      <c r="Z116" s="21" t="str">
        <f aca="false">IFERROR(INDEX(종합!Z$3:Z$501,MATCH(ROW()-2,종합!$AD$3:$AD$501,0))&amp;"","")</f>
        <v/>
      </c>
      <c r="AA116" s="23" t="str">
        <f aca="false">IFERROR(INDEX(종합!AA$3:AA$501,MATCH(ROW()-2,종합!$AD$3:$AD$501,0))&amp;"","")</f>
        <v/>
      </c>
    </row>
    <row r="117" customFormat="false" ht="22.5" hidden="false" customHeight="true" outlineLevel="0" collapsed="false">
      <c r="A117" s="18" t="str">
        <f aca="false">IF(B117="","",ROW()-2)</f>
        <v/>
      </c>
      <c r="B117" s="18" t="str">
        <f aca="false">IFERROR(INDEX(종합!B$3:B$501,MATCH(ROW()-2,종합!$AD$3:$AD$501,0))&amp;"","")</f>
        <v/>
      </c>
      <c r="C117" s="18" t="str">
        <f aca="false">IFERROR(INDEX(종합!C$3:C$501,MATCH(ROW()-2,종합!$AD$3:$AD$501,0))&amp;"","")</f>
        <v/>
      </c>
      <c r="D117" s="18" t="str">
        <f aca="false">IFERROR(INDEX(종합!D$3:D$501,MATCH(ROW()-2,종합!$AD$3:$AD$501,0))&amp;"","")</f>
        <v/>
      </c>
      <c r="E117" s="18" t="str">
        <f aca="false">IFERROR(INDEX(종합!E$3:E$501,MATCH(ROW()-2,종합!$AD$3:$AD$501,0))&amp;"","")</f>
        <v/>
      </c>
      <c r="F117" s="18" t="str">
        <f aca="false">IFERROR(INDEX(종합!F$3:F$501,MATCH(ROW()-2,종합!$AD$3:$AD$501,0))&amp;"","")</f>
        <v/>
      </c>
      <c r="G117" s="18" t="str">
        <f aca="false">IFERROR(INDEX(종합!G$3:G$501,MATCH(ROW()-2,종합!$AD$3:$AD$501,0))&amp;"","")</f>
        <v/>
      </c>
      <c r="H117" s="21" t="str">
        <f aca="false">IFERROR(INDEX(종합!H$3:H$501,MATCH(ROW()-2,종합!$AD$3:$AD$501,0))&amp;"","")</f>
        <v/>
      </c>
      <c r="I117" s="21" t="str">
        <f aca="false">IFERROR(INDEX(종합!I$3:I$501,MATCH(ROW()-2,종합!$AD$3:$AD$501,0))&amp;"","")</f>
        <v/>
      </c>
      <c r="J117" s="21" t="str">
        <f aca="false">IFERROR(INDEX(종합!J$3:J$501,MATCH(ROW()-2,종합!$AD$3:$AD$501,0))&amp;"","")</f>
        <v/>
      </c>
      <c r="K117" s="21" t="str">
        <f aca="false">IFERROR(INDEX(종합!K$3:K$501,MATCH(ROW()-2,종합!$AD$3:$AD$501,0))&amp;"","")</f>
        <v/>
      </c>
      <c r="L117" s="21" t="str">
        <f aca="false">IFERROR(INDEX(종합!L$3:L$501,MATCH(ROW()-2,종합!$AD$3:$AD$501,0))&amp;"","")</f>
        <v/>
      </c>
      <c r="M117" s="21" t="str">
        <f aca="false">IFERROR(INDEX(종합!M$3:M$501,MATCH(ROW()-2,종합!$AD$3:$AD$501,0))&amp;"","")</f>
        <v/>
      </c>
      <c r="N117" s="25" t="str">
        <f aca="false">IFERROR(INDEX(종합!N$3:N$501,MATCH(ROW()-2,종합!$AD$3:$AD$501,0))&amp;"","")</f>
        <v/>
      </c>
      <c r="O117" s="21" t="str">
        <f aca="false">IFERROR(INDEX(종합!O$3:O$501,MATCH(ROW()-2,종합!$AD$3:$AD$501,0))&amp;"","")</f>
        <v/>
      </c>
      <c r="P117" s="21" t="str">
        <f aca="false">IFERROR(INDEX(종합!P$3:P$501,MATCH(ROW()-2,종합!$AD$3:$AD$501,0))&amp;"","")</f>
        <v/>
      </c>
      <c r="Q117" s="21" t="str">
        <f aca="false">IFERROR(INDEX(종합!Q$3:Q$501,MATCH(ROW()-2,종합!$AD$3:$AD$501,0))&amp;"","")</f>
        <v/>
      </c>
      <c r="R117" s="21" t="str">
        <f aca="false">IFERROR(INDEX(종합!R$3:R$501,MATCH(ROW()-2,종합!$AD$3:$AD$501,0))&amp;"","")</f>
        <v/>
      </c>
      <c r="S117" s="21" t="str">
        <f aca="false">IFERROR(INDEX(종합!S$3:S$501,MATCH(ROW()-2,종합!$AD$3:$AD$501,0))&amp;"","")</f>
        <v/>
      </c>
      <c r="T117" s="21" t="str">
        <f aca="false">IFERROR(INDEX(종합!T$3:T$501,MATCH(ROW()-2,종합!$AD$3:$AD$501,0))&amp;"","")</f>
        <v/>
      </c>
      <c r="U117" s="21" t="str">
        <f aca="false">IFERROR(INDEX(종합!U$3:U$501,MATCH(ROW()-2,종합!$AD$3:$AD$501,0))&amp;"","")</f>
        <v/>
      </c>
      <c r="V117" s="21" t="str">
        <f aca="false">IFERROR(INDEX(종합!V$3:V$501,MATCH(ROW()-2,종합!$AD$3:$AD$501,0))&amp;"","")</f>
        <v/>
      </c>
      <c r="W117" s="21" t="str">
        <f aca="false">IFERROR(INDEX(종합!W$3:W$501,MATCH(ROW()-2,종합!$AD$3:$AD$501,0))&amp;"","")</f>
        <v/>
      </c>
      <c r="X117" s="21" t="str">
        <f aca="false">IFERROR(INDEX(종합!X$3:X$501,MATCH(ROW()-2,종합!$AD$3:$AD$501,0))&amp;"","")</f>
        <v/>
      </c>
      <c r="Y117" s="21" t="str">
        <f aca="false">IFERROR(INDEX(종합!Y$3:Y$501,MATCH(ROW()-2,종합!$AD$3:$AD$501,0))&amp;"","")</f>
        <v/>
      </c>
      <c r="Z117" s="21" t="str">
        <f aca="false">IFERROR(INDEX(종합!Z$3:Z$501,MATCH(ROW()-2,종합!$AD$3:$AD$501,0))&amp;"","")</f>
        <v/>
      </c>
      <c r="AA117" s="23" t="str">
        <f aca="false">IFERROR(INDEX(종합!AA$3:AA$501,MATCH(ROW()-2,종합!$AD$3:$AD$501,0))&amp;"","")</f>
        <v/>
      </c>
    </row>
    <row r="118" customFormat="false" ht="22.5" hidden="false" customHeight="true" outlineLevel="0" collapsed="false">
      <c r="A118" s="18" t="str">
        <f aca="false">IF(B118="","",ROW()-2)</f>
        <v/>
      </c>
      <c r="B118" s="18" t="str">
        <f aca="false">IFERROR(INDEX(종합!B$3:B$501,MATCH(ROW()-2,종합!$AD$3:$AD$501,0))&amp;"","")</f>
        <v/>
      </c>
      <c r="C118" s="18" t="str">
        <f aca="false">IFERROR(INDEX(종합!C$3:C$501,MATCH(ROW()-2,종합!$AD$3:$AD$501,0))&amp;"","")</f>
        <v/>
      </c>
      <c r="D118" s="18" t="str">
        <f aca="false">IFERROR(INDEX(종합!D$3:D$501,MATCH(ROW()-2,종합!$AD$3:$AD$501,0))&amp;"","")</f>
        <v/>
      </c>
      <c r="E118" s="18" t="str">
        <f aca="false">IFERROR(INDEX(종합!E$3:E$501,MATCH(ROW()-2,종합!$AD$3:$AD$501,0))&amp;"","")</f>
        <v/>
      </c>
      <c r="F118" s="18" t="str">
        <f aca="false">IFERROR(INDEX(종합!F$3:F$501,MATCH(ROW()-2,종합!$AD$3:$AD$501,0))&amp;"","")</f>
        <v/>
      </c>
      <c r="G118" s="18" t="str">
        <f aca="false">IFERROR(INDEX(종합!G$3:G$501,MATCH(ROW()-2,종합!$AD$3:$AD$501,0))&amp;"","")</f>
        <v/>
      </c>
      <c r="H118" s="21" t="str">
        <f aca="false">IFERROR(INDEX(종합!H$3:H$501,MATCH(ROW()-2,종합!$AD$3:$AD$501,0))&amp;"","")</f>
        <v/>
      </c>
      <c r="I118" s="21" t="str">
        <f aca="false">IFERROR(INDEX(종합!I$3:I$501,MATCH(ROW()-2,종합!$AD$3:$AD$501,0))&amp;"","")</f>
        <v/>
      </c>
      <c r="J118" s="21" t="str">
        <f aca="false">IFERROR(INDEX(종합!J$3:J$501,MATCH(ROW()-2,종합!$AD$3:$AD$501,0))&amp;"","")</f>
        <v/>
      </c>
      <c r="K118" s="21" t="str">
        <f aca="false">IFERROR(INDEX(종합!K$3:K$501,MATCH(ROW()-2,종합!$AD$3:$AD$501,0))&amp;"","")</f>
        <v/>
      </c>
      <c r="L118" s="21" t="str">
        <f aca="false">IFERROR(INDEX(종합!L$3:L$501,MATCH(ROW()-2,종합!$AD$3:$AD$501,0))&amp;"","")</f>
        <v/>
      </c>
      <c r="M118" s="21" t="str">
        <f aca="false">IFERROR(INDEX(종합!M$3:M$501,MATCH(ROW()-2,종합!$AD$3:$AD$501,0))&amp;"","")</f>
        <v/>
      </c>
      <c r="N118" s="25" t="str">
        <f aca="false">IFERROR(INDEX(종합!N$3:N$501,MATCH(ROW()-2,종합!$AD$3:$AD$501,0))&amp;"","")</f>
        <v/>
      </c>
      <c r="O118" s="21" t="str">
        <f aca="false">IFERROR(INDEX(종합!O$3:O$501,MATCH(ROW()-2,종합!$AD$3:$AD$501,0))&amp;"","")</f>
        <v/>
      </c>
      <c r="P118" s="21" t="str">
        <f aca="false">IFERROR(INDEX(종합!P$3:P$501,MATCH(ROW()-2,종합!$AD$3:$AD$501,0))&amp;"","")</f>
        <v/>
      </c>
      <c r="Q118" s="21" t="str">
        <f aca="false">IFERROR(INDEX(종합!Q$3:Q$501,MATCH(ROW()-2,종합!$AD$3:$AD$501,0))&amp;"","")</f>
        <v/>
      </c>
      <c r="R118" s="21" t="str">
        <f aca="false">IFERROR(INDEX(종합!R$3:R$501,MATCH(ROW()-2,종합!$AD$3:$AD$501,0))&amp;"","")</f>
        <v/>
      </c>
      <c r="S118" s="21" t="str">
        <f aca="false">IFERROR(INDEX(종합!S$3:S$501,MATCH(ROW()-2,종합!$AD$3:$AD$501,0))&amp;"","")</f>
        <v/>
      </c>
      <c r="T118" s="21" t="str">
        <f aca="false">IFERROR(INDEX(종합!T$3:T$501,MATCH(ROW()-2,종합!$AD$3:$AD$501,0))&amp;"","")</f>
        <v/>
      </c>
      <c r="U118" s="21" t="str">
        <f aca="false">IFERROR(INDEX(종합!U$3:U$501,MATCH(ROW()-2,종합!$AD$3:$AD$501,0))&amp;"","")</f>
        <v/>
      </c>
      <c r="V118" s="21" t="str">
        <f aca="false">IFERROR(INDEX(종합!V$3:V$501,MATCH(ROW()-2,종합!$AD$3:$AD$501,0))&amp;"","")</f>
        <v/>
      </c>
      <c r="W118" s="21" t="str">
        <f aca="false">IFERROR(INDEX(종합!W$3:W$501,MATCH(ROW()-2,종합!$AD$3:$AD$501,0))&amp;"","")</f>
        <v/>
      </c>
      <c r="X118" s="21" t="str">
        <f aca="false">IFERROR(INDEX(종합!X$3:X$501,MATCH(ROW()-2,종합!$AD$3:$AD$501,0))&amp;"","")</f>
        <v/>
      </c>
      <c r="Y118" s="21" t="str">
        <f aca="false">IFERROR(INDEX(종합!Y$3:Y$501,MATCH(ROW()-2,종합!$AD$3:$AD$501,0))&amp;"","")</f>
        <v/>
      </c>
      <c r="Z118" s="21" t="str">
        <f aca="false">IFERROR(INDEX(종합!Z$3:Z$501,MATCH(ROW()-2,종합!$AD$3:$AD$501,0))&amp;"","")</f>
        <v/>
      </c>
      <c r="AA118" s="23" t="str">
        <f aca="false">IFERROR(INDEX(종합!AA$3:AA$501,MATCH(ROW()-2,종합!$AD$3:$AD$501,0))&amp;"","")</f>
        <v/>
      </c>
    </row>
    <row r="119" customFormat="false" ht="22.5" hidden="false" customHeight="true" outlineLevel="0" collapsed="false">
      <c r="A119" s="18" t="str">
        <f aca="false">IF(B119="","",ROW()-2)</f>
        <v/>
      </c>
      <c r="B119" s="18" t="str">
        <f aca="false">IFERROR(INDEX(종합!B$3:B$501,MATCH(ROW()-2,종합!$AD$3:$AD$501,0))&amp;"","")</f>
        <v/>
      </c>
      <c r="C119" s="18" t="str">
        <f aca="false">IFERROR(INDEX(종합!C$3:C$501,MATCH(ROW()-2,종합!$AD$3:$AD$501,0))&amp;"","")</f>
        <v/>
      </c>
      <c r="D119" s="18" t="str">
        <f aca="false">IFERROR(INDEX(종합!D$3:D$501,MATCH(ROW()-2,종합!$AD$3:$AD$501,0))&amp;"","")</f>
        <v/>
      </c>
      <c r="E119" s="18" t="str">
        <f aca="false">IFERROR(INDEX(종합!E$3:E$501,MATCH(ROW()-2,종합!$AD$3:$AD$501,0))&amp;"","")</f>
        <v/>
      </c>
      <c r="F119" s="18" t="str">
        <f aca="false">IFERROR(INDEX(종합!F$3:F$501,MATCH(ROW()-2,종합!$AD$3:$AD$501,0))&amp;"","")</f>
        <v/>
      </c>
      <c r="G119" s="18" t="str">
        <f aca="false">IFERROR(INDEX(종합!G$3:G$501,MATCH(ROW()-2,종합!$AD$3:$AD$501,0))&amp;"","")</f>
        <v/>
      </c>
      <c r="H119" s="21" t="str">
        <f aca="false">IFERROR(INDEX(종합!H$3:H$501,MATCH(ROW()-2,종합!$AD$3:$AD$501,0))&amp;"","")</f>
        <v/>
      </c>
      <c r="I119" s="21" t="str">
        <f aca="false">IFERROR(INDEX(종합!I$3:I$501,MATCH(ROW()-2,종합!$AD$3:$AD$501,0))&amp;"","")</f>
        <v/>
      </c>
      <c r="J119" s="21" t="str">
        <f aca="false">IFERROR(INDEX(종합!J$3:J$501,MATCH(ROW()-2,종합!$AD$3:$AD$501,0))&amp;"","")</f>
        <v/>
      </c>
      <c r="K119" s="21" t="str">
        <f aca="false">IFERROR(INDEX(종합!K$3:K$501,MATCH(ROW()-2,종합!$AD$3:$AD$501,0))&amp;"","")</f>
        <v/>
      </c>
      <c r="L119" s="21" t="str">
        <f aca="false">IFERROR(INDEX(종합!L$3:L$501,MATCH(ROW()-2,종합!$AD$3:$AD$501,0))&amp;"","")</f>
        <v/>
      </c>
      <c r="M119" s="21" t="str">
        <f aca="false">IFERROR(INDEX(종합!M$3:M$501,MATCH(ROW()-2,종합!$AD$3:$AD$501,0))&amp;"","")</f>
        <v/>
      </c>
      <c r="N119" s="25" t="str">
        <f aca="false">IFERROR(INDEX(종합!N$3:N$501,MATCH(ROW()-2,종합!$AD$3:$AD$501,0))&amp;"","")</f>
        <v/>
      </c>
      <c r="O119" s="21" t="str">
        <f aca="false">IFERROR(INDEX(종합!O$3:O$501,MATCH(ROW()-2,종합!$AD$3:$AD$501,0))&amp;"","")</f>
        <v/>
      </c>
      <c r="P119" s="21" t="str">
        <f aca="false">IFERROR(INDEX(종합!P$3:P$501,MATCH(ROW()-2,종합!$AD$3:$AD$501,0))&amp;"","")</f>
        <v/>
      </c>
      <c r="Q119" s="21" t="str">
        <f aca="false">IFERROR(INDEX(종합!Q$3:Q$501,MATCH(ROW()-2,종합!$AD$3:$AD$501,0))&amp;"","")</f>
        <v/>
      </c>
      <c r="R119" s="21" t="str">
        <f aca="false">IFERROR(INDEX(종합!R$3:R$501,MATCH(ROW()-2,종합!$AD$3:$AD$501,0))&amp;"","")</f>
        <v/>
      </c>
      <c r="S119" s="21" t="str">
        <f aca="false">IFERROR(INDEX(종합!S$3:S$501,MATCH(ROW()-2,종합!$AD$3:$AD$501,0))&amp;"","")</f>
        <v/>
      </c>
      <c r="T119" s="21" t="str">
        <f aca="false">IFERROR(INDEX(종합!T$3:T$501,MATCH(ROW()-2,종합!$AD$3:$AD$501,0))&amp;"","")</f>
        <v/>
      </c>
      <c r="U119" s="21" t="str">
        <f aca="false">IFERROR(INDEX(종합!U$3:U$501,MATCH(ROW()-2,종합!$AD$3:$AD$501,0))&amp;"","")</f>
        <v/>
      </c>
      <c r="V119" s="21" t="str">
        <f aca="false">IFERROR(INDEX(종합!V$3:V$501,MATCH(ROW()-2,종합!$AD$3:$AD$501,0))&amp;"","")</f>
        <v/>
      </c>
      <c r="W119" s="21" t="str">
        <f aca="false">IFERROR(INDEX(종합!W$3:W$501,MATCH(ROW()-2,종합!$AD$3:$AD$501,0))&amp;"","")</f>
        <v/>
      </c>
      <c r="X119" s="21" t="str">
        <f aca="false">IFERROR(INDEX(종합!X$3:X$501,MATCH(ROW()-2,종합!$AD$3:$AD$501,0))&amp;"","")</f>
        <v/>
      </c>
      <c r="Y119" s="21" t="str">
        <f aca="false">IFERROR(INDEX(종합!Y$3:Y$501,MATCH(ROW()-2,종합!$AD$3:$AD$501,0))&amp;"","")</f>
        <v/>
      </c>
      <c r="Z119" s="21" t="str">
        <f aca="false">IFERROR(INDEX(종합!Z$3:Z$501,MATCH(ROW()-2,종합!$AD$3:$AD$501,0))&amp;"","")</f>
        <v/>
      </c>
      <c r="AA119" s="23" t="str">
        <f aca="false">IFERROR(INDEX(종합!AA$3:AA$501,MATCH(ROW()-2,종합!$AD$3:$AD$501,0))&amp;"","")</f>
        <v/>
      </c>
    </row>
    <row r="120" customFormat="false" ht="22.5" hidden="false" customHeight="true" outlineLevel="0" collapsed="false">
      <c r="A120" s="18" t="str">
        <f aca="false">IF(B120="","",ROW()-2)</f>
        <v/>
      </c>
      <c r="B120" s="18" t="str">
        <f aca="false">IFERROR(INDEX(종합!B$3:B$501,MATCH(ROW()-2,종합!$AD$3:$AD$501,0))&amp;"","")</f>
        <v/>
      </c>
      <c r="C120" s="18" t="str">
        <f aca="false">IFERROR(INDEX(종합!C$3:C$501,MATCH(ROW()-2,종합!$AD$3:$AD$501,0))&amp;"","")</f>
        <v/>
      </c>
      <c r="D120" s="18" t="str">
        <f aca="false">IFERROR(INDEX(종합!D$3:D$501,MATCH(ROW()-2,종합!$AD$3:$AD$501,0))&amp;"","")</f>
        <v/>
      </c>
      <c r="E120" s="18" t="str">
        <f aca="false">IFERROR(INDEX(종합!E$3:E$501,MATCH(ROW()-2,종합!$AD$3:$AD$501,0))&amp;"","")</f>
        <v/>
      </c>
      <c r="F120" s="18" t="str">
        <f aca="false">IFERROR(INDEX(종합!F$3:F$501,MATCH(ROW()-2,종합!$AD$3:$AD$501,0))&amp;"","")</f>
        <v/>
      </c>
      <c r="G120" s="18" t="str">
        <f aca="false">IFERROR(INDEX(종합!G$3:G$501,MATCH(ROW()-2,종합!$AD$3:$AD$501,0))&amp;"","")</f>
        <v/>
      </c>
      <c r="H120" s="21" t="str">
        <f aca="false">IFERROR(INDEX(종합!H$3:H$501,MATCH(ROW()-2,종합!$AD$3:$AD$501,0))&amp;"","")</f>
        <v/>
      </c>
      <c r="I120" s="21" t="str">
        <f aca="false">IFERROR(INDEX(종합!I$3:I$501,MATCH(ROW()-2,종합!$AD$3:$AD$501,0))&amp;"","")</f>
        <v/>
      </c>
      <c r="J120" s="21" t="str">
        <f aca="false">IFERROR(INDEX(종합!J$3:J$501,MATCH(ROW()-2,종합!$AD$3:$AD$501,0))&amp;"","")</f>
        <v/>
      </c>
      <c r="K120" s="21" t="str">
        <f aca="false">IFERROR(INDEX(종합!K$3:K$501,MATCH(ROW()-2,종합!$AD$3:$AD$501,0))&amp;"","")</f>
        <v/>
      </c>
      <c r="L120" s="21" t="str">
        <f aca="false">IFERROR(INDEX(종합!L$3:L$501,MATCH(ROW()-2,종합!$AD$3:$AD$501,0))&amp;"","")</f>
        <v/>
      </c>
      <c r="M120" s="21" t="str">
        <f aca="false">IFERROR(INDEX(종합!M$3:M$501,MATCH(ROW()-2,종합!$AD$3:$AD$501,0))&amp;"","")</f>
        <v/>
      </c>
      <c r="N120" s="25" t="str">
        <f aca="false">IFERROR(INDEX(종합!N$3:N$501,MATCH(ROW()-2,종합!$AD$3:$AD$501,0))&amp;"","")</f>
        <v/>
      </c>
      <c r="O120" s="21" t="str">
        <f aca="false">IFERROR(INDEX(종합!O$3:O$501,MATCH(ROW()-2,종합!$AD$3:$AD$501,0))&amp;"","")</f>
        <v/>
      </c>
      <c r="P120" s="21" t="str">
        <f aca="false">IFERROR(INDEX(종합!P$3:P$501,MATCH(ROW()-2,종합!$AD$3:$AD$501,0))&amp;"","")</f>
        <v/>
      </c>
      <c r="Q120" s="21" t="str">
        <f aca="false">IFERROR(INDEX(종합!Q$3:Q$501,MATCH(ROW()-2,종합!$AD$3:$AD$501,0))&amp;"","")</f>
        <v/>
      </c>
      <c r="R120" s="21" t="str">
        <f aca="false">IFERROR(INDEX(종합!R$3:R$501,MATCH(ROW()-2,종합!$AD$3:$AD$501,0))&amp;"","")</f>
        <v/>
      </c>
      <c r="S120" s="21" t="str">
        <f aca="false">IFERROR(INDEX(종합!S$3:S$501,MATCH(ROW()-2,종합!$AD$3:$AD$501,0))&amp;"","")</f>
        <v/>
      </c>
      <c r="T120" s="21" t="str">
        <f aca="false">IFERROR(INDEX(종합!T$3:T$501,MATCH(ROW()-2,종합!$AD$3:$AD$501,0))&amp;"","")</f>
        <v/>
      </c>
      <c r="U120" s="21" t="str">
        <f aca="false">IFERROR(INDEX(종합!U$3:U$501,MATCH(ROW()-2,종합!$AD$3:$AD$501,0))&amp;"","")</f>
        <v/>
      </c>
      <c r="V120" s="21" t="str">
        <f aca="false">IFERROR(INDEX(종합!V$3:V$501,MATCH(ROW()-2,종합!$AD$3:$AD$501,0))&amp;"","")</f>
        <v/>
      </c>
      <c r="W120" s="21" t="str">
        <f aca="false">IFERROR(INDEX(종합!W$3:W$501,MATCH(ROW()-2,종합!$AD$3:$AD$501,0))&amp;"","")</f>
        <v/>
      </c>
      <c r="X120" s="21" t="str">
        <f aca="false">IFERROR(INDEX(종합!X$3:X$501,MATCH(ROW()-2,종합!$AD$3:$AD$501,0))&amp;"","")</f>
        <v/>
      </c>
      <c r="Y120" s="21" t="str">
        <f aca="false">IFERROR(INDEX(종합!Y$3:Y$501,MATCH(ROW()-2,종합!$AD$3:$AD$501,0))&amp;"","")</f>
        <v/>
      </c>
      <c r="Z120" s="21" t="str">
        <f aca="false">IFERROR(INDEX(종합!Z$3:Z$501,MATCH(ROW()-2,종합!$AD$3:$AD$501,0))&amp;"","")</f>
        <v/>
      </c>
      <c r="AA120" s="23" t="str">
        <f aca="false">IFERROR(INDEX(종합!AA$3:AA$501,MATCH(ROW()-2,종합!$AD$3:$AD$501,0))&amp;"","")</f>
        <v/>
      </c>
    </row>
    <row r="121" customFormat="false" ht="22.5" hidden="false" customHeight="true" outlineLevel="0" collapsed="false">
      <c r="A121" s="18" t="str">
        <f aca="false">IF(B121="","",ROW()-2)</f>
        <v/>
      </c>
      <c r="B121" s="18" t="str">
        <f aca="false">IFERROR(INDEX(종합!B$3:B$501,MATCH(ROW()-2,종합!$AD$3:$AD$501,0))&amp;"","")</f>
        <v/>
      </c>
      <c r="C121" s="18" t="str">
        <f aca="false">IFERROR(INDEX(종합!C$3:C$501,MATCH(ROW()-2,종합!$AD$3:$AD$501,0))&amp;"","")</f>
        <v/>
      </c>
      <c r="D121" s="18" t="str">
        <f aca="false">IFERROR(INDEX(종합!D$3:D$501,MATCH(ROW()-2,종합!$AD$3:$AD$501,0))&amp;"","")</f>
        <v/>
      </c>
      <c r="E121" s="18" t="str">
        <f aca="false">IFERROR(INDEX(종합!E$3:E$501,MATCH(ROW()-2,종합!$AD$3:$AD$501,0))&amp;"","")</f>
        <v/>
      </c>
      <c r="F121" s="18" t="str">
        <f aca="false">IFERROR(INDEX(종합!F$3:F$501,MATCH(ROW()-2,종합!$AD$3:$AD$501,0))&amp;"","")</f>
        <v/>
      </c>
      <c r="G121" s="18" t="str">
        <f aca="false">IFERROR(INDEX(종합!G$3:G$501,MATCH(ROW()-2,종합!$AD$3:$AD$501,0))&amp;"","")</f>
        <v/>
      </c>
      <c r="H121" s="21" t="str">
        <f aca="false">IFERROR(INDEX(종합!H$3:H$501,MATCH(ROW()-2,종합!$AD$3:$AD$501,0))&amp;"","")</f>
        <v/>
      </c>
      <c r="I121" s="21" t="str">
        <f aca="false">IFERROR(INDEX(종합!I$3:I$501,MATCH(ROW()-2,종합!$AD$3:$AD$501,0))&amp;"","")</f>
        <v/>
      </c>
      <c r="J121" s="21" t="str">
        <f aca="false">IFERROR(INDEX(종합!J$3:J$501,MATCH(ROW()-2,종합!$AD$3:$AD$501,0))&amp;"","")</f>
        <v/>
      </c>
      <c r="K121" s="21" t="str">
        <f aca="false">IFERROR(INDEX(종합!K$3:K$501,MATCH(ROW()-2,종합!$AD$3:$AD$501,0))&amp;"","")</f>
        <v/>
      </c>
      <c r="L121" s="21" t="str">
        <f aca="false">IFERROR(INDEX(종합!L$3:L$501,MATCH(ROW()-2,종합!$AD$3:$AD$501,0))&amp;"","")</f>
        <v/>
      </c>
      <c r="M121" s="21" t="str">
        <f aca="false">IFERROR(INDEX(종합!M$3:M$501,MATCH(ROW()-2,종합!$AD$3:$AD$501,0))&amp;"","")</f>
        <v/>
      </c>
      <c r="N121" s="25" t="str">
        <f aca="false">IFERROR(INDEX(종합!N$3:N$501,MATCH(ROW()-2,종합!$AD$3:$AD$501,0))&amp;"","")</f>
        <v/>
      </c>
      <c r="O121" s="21" t="str">
        <f aca="false">IFERROR(INDEX(종합!O$3:O$501,MATCH(ROW()-2,종합!$AD$3:$AD$501,0))&amp;"","")</f>
        <v/>
      </c>
      <c r="P121" s="21" t="str">
        <f aca="false">IFERROR(INDEX(종합!P$3:P$501,MATCH(ROW()-2,종합!$AD$3:$AD$501,0))&amp;"","")</f>
        <v/>
      </c>
      <c r="Q121" s="21" t="str">
        <f aca="false">IFERROR(INDEX(종합!Q$3:Q$501,MATCH(ROW()-2,종합!$AD$3:$AD$501,0))&amp;"","")</f>
        <v/>
      </c>
      <c r="R121" s="21" t="str">
        <f aca="false">IFERROR(INDEX(종합!R$3:R$501,MATCH(ROW()-2,종합!$AD$3:$AD$501,0))&amp;"","")</f>
        <v/>
      </c>
      <c r="S121" s="21" t="str">
        <f aca="false">IFERROR(INDEX(종합!S$3:S$501,MATCH(ROW()-2,종합!$AD$3:$AD$501,0))&amp;"","")</f>
        <v/>
      </c>
      <c r="T121" s="21" t="str">
        <f aca="false">IFERROR(INDEX(종합!T$3:T$501,MATCH(ROW()-2,종합!$AD$3:$AD$501,0))&amp;"","")</f>
        <v/>
      </c>
      <c r="U121" s="21" t="str">
        <f aca="false">IFERROR(INDEX(종합!U$3:U$501,MATCH(ROW()-2,종합!$AD$3:$AD$501,0))&amp;"","")</f>
        <v/>
      </c>
      <c r="V121" s="21" t="str">
        <f aca="false">IFERROR(INDEX(종합!V$3:V$501,MATCH(ROW()-2,종합!$AD$3:$AD$501,0))&amp;"","")</f>
        <v/>
      </c>
      <c r="W121" s="21" t="str">
        <f aca="false">IFERROR(INDEX(종합!W$3:W$501,MATCH(ROW()-2,종합!$AD$3:$AD$501,0))&amp;"","")</f>
        <v/>
      </c>
      <c r="X121" s="21" t="str">
        <f aca="false">IFERROR(INDEX(종합!X$3:X$501,MATCH(ROW()-2,종합!$AD$3:$AD$501,0))&amp;"","")</f>
        <v/>
      </c>
      <c r="Y121" s="21" t="str">
        <f aca="false">IFERROR(INDEX(종합!Y$3:Y$501,MATCH(ROW()-2,종합!$AD$3:$AD$501,0))&amp;"","")</f>
        <v/>
      </c>
      <c r="Z121" s="21" t="str">
        <f aca="false">IFERROR(INDEX(종합!Z$3:Z$501,MATCH(ROW()-2,종합!$AD$3:$AD$501,0))&amp;"","")</f>
        <v/>
      </c>
      <c r="AA121" s="23" t="str">
        <f aca="false">IFERROR(INDEX(종합!AA$3:AA$501,MATCH(ROW()-2,종합!$AD$3:$AD$501,0))&amp;"","")</f>
        <v/>
      </c>
    </row>
    <row r="122" customFormat="false" ht="22.5" hidden="false" customHeight="true" outlineLevel="0" collapsed="false">
      <c r="A122" s="18" t="str">
        <f aca="false">IF(B122="","",ROW()-2)</f>
        <v/>
      </c>
      <c r="B122" s="18" t="str">
        <f aca="false">IFERROR(INDEX(종합!B$3:B$501,MATCH(ROW()-2,종합!$AD$3:$AD$501,0))&amp;"","")</f>
        <v/>
      </c>
      <c r="C122" s="18" t="str">
        <f aca="false">IFERROR(INDEX(종합!C$3:C$501,MATCH(ROW()-2,종합!$AD$3:$AD$501,0))&amp;"","")</f>
        <v/>
      </c>
      <c r="D122" s="18" t="str">
        <f aca="false">IFERROR(INDEX(종합!D$3:D$501,MATCH(ROW()-2,종합!$AD$3:$AD$501,0))&amp;"","")</f>
        <v/>
      </c>
      <c r="E122" s="18" t="str">
        <f aca="false">IFERROR(INDEX(종합!E$3:E$501,MATCH(ROW()-2,종합!$AD$3:$AD$501,0))&amp;"","")</f>
        <v/>
      </c>
      <c r="F122" s="18" t="str">
        <f aca="false">IFERROR(INDEX(종합!F$3:F$501,MATCH(ROW()-2,종합!$AD$3:$AD$501,0))&amp;"","")</f>
        <v/>
      </c>
      <c r="G122" s="18" t="str">
        <f aca="false">IFERROR(INDEX(종합!G$3:G$501,MATCH(ROW()-2,종합!$AD$3:$AD$501,0))&amp;"","")</f>
        <v/>
      </c>
      <c r="H122" s="21" t="str">
        <f aca="false">IFERROR(INDEX(종합!H$3:H$501,MATCH(ROW()-2,종합!$AD$3:$AD$501,0))&amp;"","")</f>
        <v/>
      </c>
      <c r="I122" s="21" t="str">
        <f aca="false">IFERROR(INDEX(종합!I$3:I$501,MATCH(ROW()-2,종합!$AD$3:$AD$501,0))&amp;"","")</f>
        <v/>
      </c>
      <c r="J122" s="21" t="str">
        <f aca="false">IFERROR(INDEX(종합!J$3:J$501,MATCH(ROW()-2,종합!$AD$3:$AD$501,0))&amp;"","")</f>
        <v/>
      </c>
      <c r="K122" s="21" t="str">
        <f aca="false">IFERROR(INDEX(종합!K$3:K$501,MATCH(ROW()-2,종합!$AD$3:$AD$501,0))&amp;"","")</f>
        <v/>
      </c>
      <c r="L122" s="21" t="str">
        <f aca="false">IFERROR(INDEX(종합!L$3:L$501,MATCH(ROW()-2,종합!$AD$3:$AD$501,0))&amp;"","")</f>
        <v/>
      </c>
      <c r="M122" s="21" t="str">
        <f aca="false">IFERROR(INDEX(종합!M$3:M$501,MATCH(ROW()-2,종합!$AD$3:$AD$501,0))&amp;"","")</f>
        <v/>
      </c>
      <c r="N122" s="25" t="str">
        <f aca="false">IFERROR(INDEX(종합!N$3:N$501,MATCH(ROW()-2,종합!$AD$3:$AD$501,0))&amp;"","")</f>
        <v/>
      </c>
      <c r="O122" s="21" t="str">
        <f aca="false">IFERROR(INDEX(종합!O$3:O$501,MATCH(ROW()-2,종합!$AD$3:$AD$501,0))&amp;"","")</f>
        <v/>
      </c>
      <c r="P122" s="21" t="str">
        <f aca="false">IFERROR(INDEX(종합!P$3:P$501,MATCH(ROW()-2,종합!$AD$3:$AD$501,0))&amp;"","")</f>
        <v/>
      </c>
      <c r="Q122" s="21" t="str">
        <f aca="false">IFERROR(INDEX(종합!Q$3:Q$501,MATCH(ROW()-2,종합!$AD$3:$AD$501,0))&amp;"","")</f>
        <v/>
      </c>
      <c r="R122" s="21" t="str">
        <f aca="false">IFERROR(INDEX(종합!R$3:R$501,MATCH(ROW()-2,종합!$AD$3:$AD$501,0))&amp;"","")</f>
        <v/>
      </c>
      <c r="S122" s="21" t="str">
        <f aca="false">IFERROR(INDEX(종합!S$3:S$501,MATCH(ROW()-2,종합!$AD$3:$AD$501,0))&amp;"","")</f>
        <v/>
      </c>
      <c r="T122" s="21" t="str">
        <f aca="false">IFERROR(INDEX(종합!T$3:T$501,MATCH(ROW()-2,종합!$AD$3:$AD$501,0))&amp;"","")</f>
        <v/>
      </c>
      <c r="U122" s="21" t="str">
        <f aca="false">IFERROR(INDEX(종합!U$3:U$501,MATCH(ROW()-2,종합!$AD$3:$AD$501,0))&amp;"","")</f>
        <v/>
      </c>
      <c r="V122" s="21" t="str">
        <f aca="false">IFERROR(INDEX(종합!V$3:V$501,MATCH(ROW()-2,종합!$AD$3:$AD$501,0))&amp;"","")</f>
        <v/>
      </c>
      <c r="W122" s="21" t="str">
        <f aca="false">IFERROR(INDEX(종합!W$3:W$501,MATCH(ROW()-2,종합!$AD$3:$AD$501,0))&amp;"","")</f>
        <v/>
      </c>
      <c r="X122" s="21" t="str">
        <f aca="false">IFERROR(INDEX(종합!X$3:X$501,MATCH(ROW()-2,종합!$AD$3:$AD$501,0))&amp;"","")</f>
        <v/>
      </c>
      <c r="Y122" s="21" t="str">
        <f aca="false">IFERROR(INDEX(종합!Y$3:Y$501,MATCH(ROW()-2,종합!$AD$3:$AD$501,0))&amp;"","")</f>
        <v/>
      </c>
      <c r="Z122" s="21" t="str">
        <f aca="false">IFERROR(INDEX(종합!Z$3:Z$501,MATCH(ROW()-2,종합!$AD$3:$AD$501,0))&amp;"","")</f>
        <v/>
      </c>
      <c r="AA122" s="23" t="str">
        <f aca="false">IFERROR(INDEX(종합!AA$3:AA$501,MATCH(ROW()-2,종합!$AD$3:$AD$501,0))&amp;"","")</f>
        <v/>
      </c>
    </row>
    <row r="123" customFormat="false" ht="33.75" hidden="false" customHeight="true" outlineLevel="0" collapsed="false">
      <c r="A123" s="18" t="str">
        <f aca="false">IF(B123="","",ROW()-2)</f>
        <v/>
      </c>
      <c r="B123" s="18" t="str">
        <f aca="false">IFERROR(INDEX(종합!B$3:B$501,MATCH(ROW()-2,종합!$AD$3:$AD$501,0))&amp;"","")</f>
        <v/>
      </c>
      <c r="C123" s="18" t="str">
        <f aca="false">IFERROR(INDEX(종합!C$3:C$501,MATCH(ROW()-2,종합!$AD$3:$AD$501,0))&amp;"","")</f>
        <v/>
      </c>
      <c r="D123" s="18" t="str">
        <f aca="false">IFERROR(INDEX(종합!D$3:D$501,MATCH(ROW()-2,종합!$AD$3:$AD$501,0))&amp;"","")</f>
        <v/>
      </c>
      <c r="E123" s="18" t="str">
        <f aca="false">IFERROR(INDEX(종합!E$3:E$501,MATCH(ROW()-2,종합!$AD$3:$AD$501,0))&amp;"","")</f>
        <v/>
      </c>
      <c r="F123" s="18" t="str">
        <f aca="false">IFERROR(INDEX(종합!F$3:F$501,MATCH(ROW()-2,종합!$AD$3:$AD$501,0))&amp;"","")</f>
        <v/>
      </c>
      <c r="G123" s="18" t="str">
        <f aca="false">IFERROR(INDEX(종합!G$3:G$501,MATCH(ROW()-2,종합!$AD$3:$AD$501,0))&amp;"","")</f>
        <v/>
      </c>
      <c r="H123" s="21" t="str">
        <f aca="false">IFERROR(INDEX(종합!H$3:H$501,MATCH(ROW()-2,종합!$AD$3:$AD$501,0))&amp;"","")</f>
        <v/>
      </c>
      <c r="I123" s="21" t="str">
        <f aca="false">IFERROR(INDEX(종합!I$3:I$501,MATCH(ROW()-2,종합!$AD$3:$AD$501,0))&amp;"","")</f>
        <v/>
      </c>
      <c r="J123" s="21" t="str">
        <f aca="false">IFERROR(INDEX(종합!J$3:J$501,MATCH(ROW()-2,종합!$AD$3:$AD$501,0))&amp;"","")</f>
        <v/>
      </c>
      <c r="K123" s="21" t="str">
        <f aca="false">IFERROR(INDEX(종합!K$3:K$501,MATCH(ROW()-2,종합!$AD$3:$AD$501,0))&amp;"","")</f>
        <v/>
      </c>
      <c r="L123" s="21" t="str">
        <f aca="false">IFERROR(INDEX(종합!L$3:L$501,MATCH(ROW()-2,종합!$AD$3:$AD$501,0))&amp;"","")</f>
        <v/>
      </c>
      <c r="M123" s="21" t="str">
        <f aca="false">IFERROR(INDEX(종합!M$3:M$501,MATCH(ROW()-2,종합!$AD$3:$AD$501,0))&amp;"","")</f>
        <v/>
      </c>
      <c r="N123" s="25" t="str">
        <f aca="false">IFERROR(INDEX(종합!N$3:N$501,MATCH(ROW()-2,종합!$AD$3:$AD$501,0))&amp;"","")</f>
        <v/>
      </c>
      <c r="O123" s="21" t="str">
        <f aca="false">IFERROR(INDEX(종합!O$3:O$501,MATCH(ROW()-2,종합!$AD$3:$AD$501,0))&amp;"","")</f>
        <v/>
      </c>
      <c r="P123" s="21" t="str">
        <f aca="false">IFERROR(INDEX(종합!P$3:P$501,MATCH(ROW()-2,종합!$AD$3:$AD$501,0))&amp;"","")</f>
        <v/>
      </c>
      <c r="Q123" s="21" t="str">
        <f aca="false">IFERROR(INDEX(종합!Q$3:Q$501,MATCH(ROW()-2,종합!$AD$3:$AD$501,0))&amp;"","")</f>
        <v/>
      </c>
      <c r="R123" s="21" t="str">
        <f aca="false">IFERROR(INDEX(종합!R$3:R$501,MATCH(ROW()-2,종합!$AD$3:$AD$501,0))&amp;"","")</f>
        <v/>
      </c>
      <c r="S123" s="21" t="str">
        <f aca="false">IFERROR(INDEX(종합!S$3:S$501,MATCH(ROW()-2,종합!$AD$3:$AD$501,0))&amp;"","")</f>
        <v/>
      </c>
      <c r="T123" s="21" t="str">
        <f aca="false">IFERROR(INDEX(종합!T$3:T$501,MATCH(ROW()-2,종합!$AD$3:$AD$501,0))&amp;"","")</f>
        <v/>
      </c>
      <c r="U123" s="21" t="str">
        <f aca="false">IFERROR(INDEX(종합!U$3:U$501,MATCH(ROW()-2,종합!$AD$3:$AD$501,0))&amp;"","")</f>
        <v/>
      </c>
      <c r="V123" s="21" t="str">
        <f aca="false">IFERROR(INDEX(종합!V$3:V$501,MATCH(ROW()-2,종합!$AD$3:$AD$501,0))&amp;"","")</f>
        <v/>
      </c>
      <c r="W123" s="21" t="str">
        <f aca="false">IFERROR(INDEX(종합!W$3:W$501,MATCH(ROW()-2,종합!$AD$3:$AD$501,0))&amp;"","")</f>
        <v/>
      </c>
      <c r="X123" s="21" t="str">
        <f aca="false">IFERROR(INDEX(종합!X$3:X$501,MATCH(ROW()-2,종합!$AD$3:$AD$501,0))&amp;"","")</f>
        <v/>
      </c>
      <c r="Y123" s="21" t="str">
        <f aca="false">IFERROR(INDEX(종합!Y$3:Y$501,MATCH(ROW()-2,종합!$AD$3:$AD$501,0))&amp;"","")</f>
        <v/>
      </c>
      <c r="Z123" s="21" t="str">
        <f aca="false">IFERROR(INDEX(종합!Z$3:Z$501,MATCH(ROW()-2,종합!$AD$3:$AD$501,0))&amp;"","")</f>
        <v/>
      </c>
      <c r="AA123" s="23" t="str">
        <f aca="false">IFERROR(INDEX(종합!AA$3:AA$501,MATCH(ROW()-2,종합!$AD$3:$AD$501,0))&amp;"","")</f>
        <v/>
      </c>
    </row>
    <row r="124" customFormat="false" ht="22.5" hidden="false" customHeight="true" outlineLevel="0" collapsed="false">
      <c r="A124" s="18" t="str">
        <f aca="false">IF(B124="","",ROW()-2)</f>
        <v/>
      </c>
      <c r="B124" s="18" t="str">
        <f aca="false">IFERROR(INDEX(종합!B$3:B$501,MATCH(ROW()-2,종합!$AD$3:$AD$501,0))&amp;"","")</f>
        <v/>
      </c>
      <c r="C124" s="18" t="str">
        <f aca="false">IFERROR(INDEX(종합!C$3:C$501,MATCH(ROW()-2,종합!$AD$3:$AD$501,0))&amp;"","")</f>
        <v/>
      </c>
      <c r="D124" s="18" t="str">
        <f aca="false">IFERROR(INDEX(종합!D$3:D$501,MATCH(ROW()-2,종합!$AD$3:$AD$501,0))&amp;"","")</f>
        <v/>
      </c>
      <c r="E124" s="18" t="str">
        <f aca="false">IFERROR(INDEX(종합!E$3:E$501,MATCH(ROW()-2,종합!$AD$3:$AD$501,0))&amp;"","")</f>
        <v/>
      </c>
      <c r="F124" s="18" t="str">
        <f aca="false">IFERROR(INDEX(종합!F$3:F$501,MATCH(ROW()-2,종합!$AD$3:$AD$501,0))&amp;"","")</f>
        <v/>
      </c>
      <c r="G124" s="18" t="str">
        <f aca="false">IFERROR(INDEX(종합!G$3:G$501,MATCH(ROW()-2,종합!$AD$3:$AD$501,0))&amp;"","")</f>
        <v/>
      </c>
      <c r="H124" s="21" t="str">
        <f aca="false">IFERROR(INDEX(종합!H$3:H$501,MATCH(ROW()-2,종합!$AD$3:$AD$501,0))&amp;"","")</f>
        <v/>
      </c>
      <c r="I124" s="21" t="str">
        <f aca="false">IFERROR(INDEX(종합!I$3:I$501,MATCH(ROW()-2,종합!$AD$3:$AD$501,0))&amp;"","")</f>
        <v/>
      </c>
      <c r="J124" s="21" t="str">
        <f aca="false">IFERROR(INDEX(종합!J$3:J$501,MATCH(ROW()-2,종합!$AD$3:$AD$501,0))&amp;"","")</f>
        <v/>
      </c>
      <c r="K124" s="21" t="str">
        <f aca="false">IFERROR(INDEX(종합!K$3:K$501,MATCH(ROW()-2,종합!$AD$3:$AD$501,0))&amp;"","")</f>
        <v/>
      </c>
      <c r="L124" s="21" t="str">
        <f aca="false">IFERROR(INDEX(종합!L$3:L$501,MATCH(ROW()-2,종합!$AD$3:$AD$501,0))&amp;"","")</f>
        <v/>
      </c>
      <c r="M124" s="21" t="str">
        <f aca="false">IFERROR(INDEX(종합!M$3:M$501,MATCH(ROW()-2,종합!$AD$3:$AD$501,0))&amp;"","")</f>
        <v/>
      </c>
      <c r="N124" s="25" t="str">
        <f aca="false">IFERROR(INDEX(종합!N$3:N$501,MATCH(ROW()-2,종합!$AD$3:$AD$501,0))&amp;"","")</f>
        <v/>
      </c>
      <c r="O124" s="21" t="str">
        <f aca="false">IFERROR(INDEX(종합!O$3:O$501,MATCH(ROW()-2,종합!$AD$3:$AD$501,0))&amp;"","")</f>
        <v/>
      </c>
      <c r="P124" s="21" t="str">
        <f aca="false">IFERROR(INDEX(종합!P$3:P$501,MATCH(ROW()-2,종합!$AD$3:$AD$501,0))&amp;"","")</f>
        <v/>
      </c>
      <c r="Q124" s="21" t="str">
        <f aca="false">IFERROR(INDEX(종합!Q$3:Q$501,MATCH(ROW()-2,종합!$AD$3:$AD$501,0))&amp;"","")</f>
        <v/>
      </c>
      <c r="R124" s="21" t="str">
        <f aca="false">IFERROR(INDEX(종합!R$3:R$501,MATCH(ROW()-2,종합!$AD$3:$AD$501,0))&amp;"","")</f>
        <v/>
      </c>
      <c r="S124" s="21" t="str">
        <f aca="false">IFERROR(INDEX(종합!S$3:S$501,MATCH(ROW()-2,종합!$AD$3:$AD$501,0))&amp;"","")</f>
        <v/>
      </c>
      <c r="T124" s="21" t="str">
        <f aca="false">IFERROR(INDEX(종합!T$3:T$501,MATCH(ROW()-2,종합!$AD$3:$AD$501,0))&amp;"","")</f>
        <v/>
      </c>
      <c r="U124" s="21" t="str">
        <f aca="false">IFERROR(INDEX(종합!U$3:U$501,MATCH(ROW()-2,종합!$AD$3:$AD$501,0))&amp;"","")</f>
        <v/>
      </c>
      <c r="V124" s="21" t="str">
        <f aca="false">IFERROR(INDEX(종합!V$3:V$501,MATCH(ROW()-2,종합!$AD$3:$AD$501,0))&amp;"","")</f>
        <v/>
      </c>
      <c r="W124" s="21" t="str">
        <f aca="false">IFERROR(INDEX(종합!W$3:W$501,MATCH(ROW()-2,종합!$AD$3:$AD$501,0))&amp;"","")</f>
        <v/>
      </c>
      <c r="X124" s="21" t="str">
        <f aca="false">IFERROR(INDEX(종합!X$3:X$501,MATCH(ROW()-2,종합!$AD$3:$AD$501,0))&amp;"","")</f>
        <v/>
      </c>
      <c r="Y124" s="21" t="str">
        <f aca="false">IFERROR(INDEX(종합!Y$3:Y$501,MATCH(ROW()-2,종합!$AD$3:$AD$501,0))&amp;"","")</f>
        <v/>
      </c>
      <c r="Z124" s="21" t="str">
        <f aca="false">IFERROR(INDEX(종합!Z$3:Z$501,MATCH(ROW()-2,종합!$AD$3:$AD$501,0))&amp;"","")</f>
        <v/>
      </c>
      <c r="AA124" s="23" t="str">
        <f aca="false">IFERROR(INDEX(종합!AA$3:AA$501,MATCH(ROW()-2,종합!$AD$3:$AD$501,0))&amp;"","")</f>
        <v/>
      </c>
    </row>
    <row r="125" customFormat="false" ht="22.5" hidden="false" customHeight="true" outlineLevel="0" collapsed="false">
      <c r="A125" s="18" t="str">
        <f aca="false">IF(B125="","",ROW()-2)</f>
        <v/>
      </c>
      <c r="B125" s="18" t="str">
        <f aca="false">IFERROR(INDEX(종합!B$3:B$501,MATCH(ROW()-2,종합!$AD$3:$AD$501,0))&amp;"","")</f>
        <v/>
      </c>
      <c r="C125" s="18" t="str">
        <f aca="false">IFERROR(INDEX(종합!C$3:C$501,MATCH(ROW()-2,종합!$AD$3:$AD$501,0))&amp;"","")</f>
        <v/>
      </c>
      <c r="D125" s="18" t="str">
        <f aca="false">IFERROR(INDEX(종합!D$3:D$501,MATCH(ROW()-2,종합!$AD$3:$AD$501,0))&amp;"","")</f>
        <v/>
      </c>
      <c r="E125" s="18" t="str">
        <f aca="false">IFERROR(INDEX(종합!E$3:E$501,MATCH(ROW()-2,종합!$AD$3:$AD$501,0))&amp;"","")</f>
        <v/>
      </c>
      <c r="F125" s="18" t="str">
        <f aca="false">IFERROR(INDEX(종합!F$3:F$501,MATCH(ROW()-2,종합!$AD$3:$AD$501,0))&amp;"","")</f>
        <v/>
      </c>
      <c r="G125" s="18" t="str">
        <f aca="false">IFERROR(INDEX(종합!G$3:G$501,MATCH(ROW()-2,종합!$AD$3:$AD$501,0))&amp;"","")</f>
        <v/>
      </c>
      <c r="H125" s="21" t="str">
        <f aca="false">IFERROR(INDEX(종합!H$3:H$501,MATCH(ROW()-2,종합!$AD$3:$AD$501,0))&amp;"","")</f>
        <v/>
      </c>
      <c r="I125" s="21" t="str">
        <f aca="false">IFERROR(INDEX(종합!I$3:I$501,MATCH(ROW()-2,종합!$AD$3:$AD$501,0))&amp;"","")</f>
        <v/>
      </c>
      <c r="J125" s="21" t="str">
        <f aca="false">IFERROR(INDEX(종합!J$3:J$501,MATCH(ROW()-2,종합!$AD$3:$AD$501,0))&amp;"","")</f>
        <v/>
      </c>
      <c r="K125" s="21" t="str">
        <f aca="false">IFERROR(INDEX(종합!K$3:K$501,MATCH(ROW()-2,종합!$AD$3:$AD$501,0))&amp;"","")</f>
        <v/>
      </c>
      <c r="L125" s="21" t="str">
        <f aca="false">IFERROR(INDEX(종합!L$3:L$501,MATCH(ROW()-2,종합!$AD$3:$AD$501,0))&amp;"","")</f>
        <v/>
      </c>
      <c r="M125" s="21" t="str">
        <f aca="false">IFERROR(INDEX(종합!M$3:M$501,MATCH(ROW()-2,종합!$AD$3:$AD$501,0))&amp;"","")</f>
        <v/>
      </c>
      <c r="N125" s="25" t="str">
        <f aca="false">IFERROR(INDEX(종합!N$3:N$501,MATCH(ROW()-2,종합!$AD$3:$AD$501,0))&amp;"","")</f>
        <v/>
      </c>
      <c r="O125" s="21" t="str">
        <f aca="false">IFERROR(INDEX(종합!O$3:O$501,MATCH(ROW()-2,종합!$AD$3:$AD$501,0))&amp;"","")</f>
        <v/>
      </c>
      <c r="P125" s="21" t="str">
        <f aca="false">IFERROR(INDEX(종합!P$3:P$501,MATCH(ROW()-2,종합!$AD$3:$AD$501,0))&amp;"","")</f>
        <v/>
      </c>
      <c r="Q125" s="21" t="str">
        <f aca="false">IFERROR(INDEX(종합!Q$3:Q$501,MATCH(ROW()-2,종합!$AD$3:$AD$501,0))&amp;"","")</f>
        <v/>
      </c>
      <c r="R125" s="21" t="str">
        <f aca="false">IFERROR(INDEX(종합!R$3:R$501,MATCH(ROW()-2,종합!$AD$3:$AD$501,0))&amp;"","")</f>
        <v/>
      </c>
      <c r="S125" s="21" t="str">
        <f aca="false">IFERROR(INDEX(종합!S$3:S$501,MATCH(ROW()-2,종합!$AD$3:$AD$501,0))&amp;"","")</f>
        <v/>
      </c>
      <c r="T125" s="21" t="str">
        <f aca="false">IFERROR(INDEX(종합!T$3:T$501,MATCH(ROW()-2,종합!$AD$3:$AD$501,0))&amp;"","")</f>
        <v/>
      </c>
      <c r="U125" s="21" t="str">
        <f aca="false">IFERROR(INDEX(종합!U$3:U$501,MATCH(ROW()-2,종합!$AD$3:$AD$501,0))&amp;"","")</f>
        <v/>
      </c>
      <c r="V125" s="21" t="str">
        <f aca="false">IFERROR(INDEX(종합!V$3:V$501,MATCH(ROW()-2,종합!$AD$3:$AD$501,0))&amp;"","")</f>
        <v/>
      </c>
      <c r="W125" s="21" t="str">
        <f aca="false">IFERROR(INDEX(종합!W$3:W$501,MATCH(ROW()-2,종합!$AD$3:$AD$501,0))&amp;"","")</f>
        <v/>
      </c>
      <c r="X125" s="21" t="str">
        <f aca="false">IFERROR(INDEX(종합!X$3:X$501,MATCH(ROW()-2,종합!$AD$3:$AD$501,0))&amp;"","")</f>
        <v/>
      </c>
      <c r="Y125" s="21" t="str">
        <f aca="false">IFERROR(INDEX(종합!Y$3:Y$501,MATCH(ROW()-2,종합!$AD$3:$AD$501,0))&amp;"","")</f>
        <v/>
      </c>
      <c r="Z125" s="21" t="str">
        <f aca="false">IFERROR(INDEX(종합!Z$3:Z$501,MATCH(ROW()-2,종합!$AD$3:$AD$501,0))&amp;"","")</f>
        <v/>
      </c>
      <c r="AA125" s="23" t="str">
        <f aca="false">IFERROR(INDEX(종합!AA$3:AA$501,MATCH(ROW()-2,종합!$AD$3:$AD$501,0))&amp;"","")</f>
        <v/>
      </c>
    </row>
    <row r="126" customFormat="false" ht="33.75" hidden="false" customHeight="true" outlineLevel="0" collapsed="false">
      <c r="A126" s="18" t="str">
        <f aca="false">IF(B126="","",ROW()-2)</f>
        <v/>
      </c>
      <c r="B126" s="18" t="str">
        <f aca="false">IFERROR(INDEX(종합!B$3:B$501,MATCH(ROW()-2,종합!$AD$3:$AD$501,0))&amp;"","")</f>
        <v/>
      </c>
      <c r="C126" s="18" t="str">
        <f aca="false">IFERROR(INDEX(종합!C$3:C$501,MATCH(ROW()-2,종합!$AD$3:$AD$501,0))&amp;"","")</f>
        <v/>
      </c>
      <c r="D126" s="18" t="str">
        <f aca="false">IFERROR(INDEX(종합!D$3:D$501,MATCH(ROW()-2,종합!$AD$3:$AD$501,0))&amp;"","")</f>
        <v/>
      </c>
      <c r="E126" s="18" t="str">
        <f aca="false">IFERROR(INDEX(종합!E$3:E$501,MATCH(ROW()-2,종합!$AD$3:$AD$501,0))&amp;"","")</f>
        <v/>
      </c>
      <c r="F126" s="18" t="str">
        <f aca="false">IFERROR(INDEX(종합!F$3:F$501,MATCH(ROW()-2,종합!$AD$3:$AD$501,0))&amp;"","")</f>
        <v/>
      </c>
      <c r="G126" s="18" t="str">
        <f aca="false">IFERROR(INDEX(종합!G$3:G$501,MATCH(ROW()-2,종합!$AD$3:$AD$501,0))&amp;"","")</f>
        <v/>
      </c>
      <c r="H126" s="21" t="str">
        <f aca="false">IFERROR(INDEX(종합!H$3:H$501,MATCH(ROW()-2,종합!$AD$3:$AD$501,0))&amp;"","")</f>
        <v/>
      </c>
      <c r="I126" s="21" t="str">
        <f aca="false">IFERROR(INDEX(종합!I$3:I$501,MATCH(ROW()-2,종합!$AD$3:$AD$501,0))&amp;"","")</f>
        <v/>
      </c>
      <c r="J126" s="21" t="str">
        <f aca="false">IFERROR(INDEX(종합!J$3:J$501,MATCH(ROW()-2,종합!$AD$3:$AD$501,0))&amp;"","")</f>
        <v/>
      </c>
      <c r="K126" s="21" t="str">
        <f aca="false">IFERROR(INDEX(종합!K$3:K$501,MATCH(ROW()-2,종합!$AD$3:$AD$501,0))&amp;"","")</f>
        <v/>
      </c>
      <c r="L126" s="21" t="str">
        <f aca="false">IFERROR(INDEX(종합!L$3:L$501,MATCH(ROW()-2,종합!$AD$3:$AD$501,0))&amp;"","")</f>
        <v/>
      </c>
      <c r="M126" s="21" t="str">
        <f aca="false">IFERROR(INDEX(종합!M$3:M$501,MATCH(ROW()-2,종합!$AD$3:$AD$501,0))&amp;"","")</f>
        <v/>
      </c>
      <c r="N126" s="25" t="str">
        <f aca="false">IFERROR(INDEX(종합!N$3:N$501,MATCH(ROW()-2,종합!$AD$3:$AD$501,0))&amp;"","")</f>
        <v/>
      </c>
      <c r="O126" s="21" t="str">
        <f aca="false">IFERROR(INDEX(종합!O$3:O$501,MATCH(ROW()-2,종합!$AD$3:$AD$501,0))&amp;"","")</f>
        <v/>
      </c>
      <c r="P126" s="21" t="str">
        <f aca="false">IFERROR(INDEX(종합!P$3:P$501,MATCH(ROW()-2,종합!$AD$3:$AD$501,0))&amp;"","")</f>
        <v/>
      </c>
      <c r="Q126" s="21" t="str">
        <f aca="false">IFERROR(INDEX(종합!Q$3:Q$501,MATCH(ROW()-2,종합!$AD$3:$AD$501,0))&amp;"","")</f>
        <v/>
      </c>
      <c r="R126" s="21" t="str">
        <f aca="false">IFERROR(INDEX(종합!R$3:R$501,MATCH(ROW()-2,종합!$AD$3:$AD$501,0))&amp;"","")</f>
        <v/>
      </c>
      <c r="S126" s="21" t="str">
        <f aca="false">IFERROR(INDEX(종합!S$3:S$501,MATCH(ROW()-2,종합!$AD$3:$AD$501,0))&amp;"","")</f>
        <v/>
      </c>
      <c r="T126" s="21" t="str">
        <f aca="false">IFERROR(INDEX(종합!T$3:T$501,MATCH(ROW()-2,종합!$AD$3:$AD$501,0))&amp;"","")</f>
        <v/>
      </c>
      <c r="U126" s="21" t="str">
        <f aca="false">IFERROR(INDEX(종합!U$3:U$501,MATCH(ROW()-2,종합!$AD$3:$AD$501,0))&amp;"","")</f>
        <v/>
      </c>
      <c r="V126" s="21" t="str">
        <f aca="false">IFERROR(INDEX(종합!V$3:V$501,MATCH(ROW()-2,종합!$AD$3:$AD$501,0))&amp;"","")</f>
        <v/>
      </c>
      <c r="W126" s="21" t="str">
        <f aca="false">IFERROR(INDEX(종합!W$3:W$501,MATCH(ROW()-2,종합!$AD$3:$AD$501,0))&amp;"","")</f>
        <v/>
      </c>
      <c r="X126" s="21" t="str">
        <f aca="false">IFERROR(INDEX(종합!X$3:X$501,MATCH(ROW()-2,종합!$AD$3:$AD$501,0))&amp;"","")</f>
        <v/>
      </c>
      <c r="Y126" s="21" t="str">
        <f aca="false">IFERROR(INDEX(종합!Y$3:Y$501,MATCH(ROW()-2,종합!$AD$3:$AD$501,0))&amp;"","")</f>
        <v/>
      </c>
      <c r="Z126" s="21" t="str">
        <f aca="false">IFERROR(INDEX(종합!Z$3:Z$501,MATCH(ROW()-2,종합!$AD$3:$AD$501,0))&amp;"","")</f>
        <v/>
      </c>
      <c r="AA126" s="23" t="str">
        <f aca="false">IFERROR(INDEX(종합!AA$3:AA$501,MATCH(ROW()-2,종합!$AD$3:$AD$501,0))&amp;"","")</f>
        <v/>
      </c>
    </row>
    <row r="127" customFormat="false" ht="22.5" hidden="false" customHeight="true" outlineLevel="0" collapsed="false">
      <c r="A127" s="18" t="str">
        <f aca="false">IF(B127="","",ROW()-2)</f>
        <v/>
      </c>
      <c r="B127" s="18" t="str">
        <f aca="false">IFERROR(INDEX(종합!B$3:B$501,MATCH(ROW()-2,종합!$AD$3:$AD$501,0))&amp;"","")</f>
        <v/>
      </c>
      <c r="C127" s="18" t="str">
        <f aca="false">IFERROR(INDEX(종합!C$3:C$501,MATCH(ROW()-2,종합!$AD$3:$AD$501,0))&amp;"","")</f>
        <v/>
      </c>
      <c r="D127" s="18" t="str">
        <f aca="false">IFERROR(INDEX(종합!D$3:D$501,MATCH(ROW()-2,종합!$AD$3:$AD$501,0))&amp;"","")</f>
        <v/>
      </c>
      <c r="E127" s="18" t="str">
        <f aca="false">IFERROR(INDEX(종합!E$3:E$501,MATCH(ROW()-2,종합!$AD$3:$AD$501,0))&amp;"","")</f>
        <v/>
      </c>
      <c r="F127" s="18" t="str">
        <f aca="false">IFERROR(INDEX(종합!F$3:F$501,MATCH(ROW()-2,종합!$AD$3:$AD$501,0))&amp;"","")</f>
        <v/>
      </c>
      <c r="G127" s="18" t="str">
        <f aca="false">IFERROR(INDEX(종합!G$3:G$501,MATCH(ROW()-2,종합!$AD$3:$AD$501,0))&amp;"","")</f>
        <v/>
      </c>
      <c r="H127" s="21" t="str">
        <f aca="false">IFERROR(INDEX(종합!H$3:H$501,MATCH(ROW()-2,종합!$AD$3:$AD$501,0))&amp;"","")</f>
        <v/>
      </c>
      <c r="I127" s="21" t="str">
        <f aca="false">IFERROR(INDEX(종합!I$3:I$501,MATCH(ROW()-2,종합!$AD$3:$AD$501,0))&amp;"","")</f>
        <v/>
      </c>
      <c r="J127" s="21" t="str">
        <f aca="false">IFERROR(INDEX(종합!J$3:J$501,MATCH(ROW()-2,종합!$AD$3:$AD$501,0))&amp;"","")</f>
        <v/>
      </c>
      <c r="K127" s="21" t="str">
        <f aca="false">IFERROR(INDEX(종합!K$3:K$501,MATCH(ROW()-2,종합!$AD$3:$AD$501,0))&amp;"","")</f>
        <v/>
      </c>
      <c r="L127" s="21" t="str">
        <f aca="false">IFERROR(INDEX(종합!L$3:L$501,MATCH(ROW()-2,종합!$AD$3:$AD$501,0))&amp;"","")</f>
        <v/>
      </c>
      <c r="M127" s="21" t="str">
        <f aca="false">IFERROR(INDEX(종합!M$3:M$501,MATCH(ROW()-2,종합!$AD$3:$AD$501,0))&amp;"","")</f>
        <v/>
      </c>
      <c r="N127" s="25" t="str">
        <f aca="false">IFERROR(INDEX(종합!N$3:N$501,MATCH(ROW()-2,종합!$AD$3:$AD$501,0))&amp;"","")</f>
        <v/>
      </c>
      <c r="O127" s="21" t="str">
        <f aca="false">IFERROR(INDEX(종합!O$3:O$501,MATCH(ROW()-2,종합!$AD$3:$AD$501,0))&amp;"","")</f>
        <v/>
      </c>
      <c r="P127" s="21" t="str">
        <f aca="false">IFERROR(INDEX(종합!P$3:P$501,MATCH(ROW()-2,종합!$AD$3:$AD$501,0))&amp;"","")</f>
        <v/>
      </c>
      <c r="Q127" s="21" t="str">
        <f aca="false">IFERROR(INDEX(종합!Q$3:Q$501,MATCH(ROW()-2,종합!$AD$3:$AD$501,0))&amp;"","")</f>
        <v/>
      </c>
      <c r="R127" s="21" t="str">
        <f aca="false">IFERROR(INDEX(종합!R$3:R$501,MATCH(ROW()-2,종합!$AD$3:$AD$501,0))&amp;"","")</f>
        <v/>
      </c>
      <c r="S127" s="21" t="str">
        <f aca="false">IFERROR(INDEX(종합!S$3:S$501,MATCH(ROW()-2,종합!$AD$3:$AD$501,0))&amp;"","")</f>
        <v/>
      </c>
      <c r="T127" s="21" t="str">
        <f aca="false">IFERROR(INDEX(종합!T$3:T$501,MATCH(ROW()-2,종합!$AD$3:$AD$501,0))&amp;"","")</f>
        <v/>
      </c>
      <c r="U127" s="21" t="str">
        <f aca="false">IFERROR(INDEX(종합!U$3:U$501,MATCH(ROW()-2,종합!$AD$3:$AD$501,0))&amp;"","")</f>
        <v/>
      </c>
      <c r="V127" s="21" t="str">
        <f aca="false">IFERROR(INDEX(종합!V$3:V$501,MATCH(ROW()-2,종합!$AD$3:$AD$501,0))&amp;"","")</f>
        <v/>
      </c>
      <c r="W127" s="21" t="str">
        <f aca="false">IFERROR(INDEX(종합!W$3:W$501,MATCH(ROW()-2,종합!$AD$3:$AD$501,0))&amp;"","")</f>
        <v/>
      </c>
      <c r="X127" s="21" t="str">
        <f aca="false">IFERROR(INDEX(종합!X$3:X$501,MATCH(ROW()-2,종합!$AD$3:$AD$501,0))&amp;"","")</f>
        <v/>
      </c>
      <c r="Y127" s="21" t="str">
        <f aca="false">IFERROR(INDEX(종합!Y$3:Y$501,MATCH(ROW()-2,종합!$AD$3:$AD$501,0))&amp;"","")</f>
        <v/>
      </c>
      <c r="Z127" s="21" t="str">
        <f aca="false">IFERROR(INDEX(종합!Z$3:Z$501,MATCH(ROW()-2,종합!$AD$3:$AD$501,0))&amp;"","")</f>
        <v/>
      </c>
      <c r="AA127" s="23" t="str">
        <f aca="false">IFERROR(INDEX(종합!AA$3:AA$501,MATCH(ROW()-2,종합!$AD$3:$AD$501,0))&amp;"","")</f>
        <v/>
      </c>
    </row>
    <row r="128" customFormat="false" ht="22.5" hidden="false" customHeight="true" outlineLevel="0" collapsed="false">
      <c r="A128" s="18" t="str">
        <f aca="false">IF(B128="","",ROW()-2)</f>
        <v/>
      </c>
      <c r="B128" s="18" t="str">
        <f aca="false">IFERROR(INDEX(종합!B$3:B$501,MATCH(ROW()-2,종합!$AD$3:$AD$501,0))&amp;"","")</f>
        <v/>
      </c>
      <c r="C128" s="18" t="str">
        <f aca="false">IFERROR(INDEX(종합!C$3:C$501,MATCH(ROW()-2,종합!$AD$3:$AD$501,0))&amp;"","")</f>
        <v/>
      </c>
      <c r="D128" s="18" t="str">
        <f aca="false">IFERROR(INDEX(종합!D$3:D$501,MATCH(ROW()-2,종합!$AD$3:$AD$501,0))&amp;"","")</f>
        <v/>
      </c>
      <c r="E128" s="18" t="str">
        <f aca="false">IFERROR(INDEX(종합!E$3:E$501,MATCH(ROW()-2,종합!$AD$3:$AD$501,0))&amp;"","")</f>
        <v/>
      </c>
      <c r="F128" s="18" t="str">
        <f aca="false">IFERROR(INDEX(종합!F$3:F$501,MATCH(ROW()-2,종합!$AD$3:$AD$501,0))&amp;"","")</f>
        <v/>
      </c>
      <c r="G128" s="18" t="str">
        <f aca="false">IFERROR(INDEX(종합!G$3:G$501,MATCH(ROW()-2,종합!$AD$3:$AD$501,0))&amp;"","")</f>
        <v/>
      </c>
      <c r="H128" s="21" t="str">
        <f aca="false">IFERROR(INDEX(종합!H$3:H$501,MATCH(ROW()-2,종합!$AD$3:$AD$501,0))&amp;"","")</f>
        <v/>
      </c>
      <c r="I128" s="21" t="str">
        <f aca="false">IFERROR(INDEX(종합!I$3:I$501,MATCH(ROW()-2,종합!$AD$3:$AD$501,0))&amp;"","")</f>
        <v/>
      </c>
      <c r="J128" s="21" t="str">
        <f aca="false">IFERROR(INDEX(종합!J$3:J$501,MATCH(ROW()-2,종합!$AD$3:$AD$501,0))&amp;"","")</f>
        <v/>
      </c>
      <c r="K128" s="21" t="str">
        <f aca="false">IFERROR(INDEX(종합!K$3:K$501,MATCH(ROW()-2,종합!$AD$3:$AD$501,0))&amp;"","")</f>
        <v/>
      </c>
      <c r="L128" s="21" t="str">
        <f aca="false">IFERROR(INDEX(종합!L$3:L$501,MATCH(ROW()-2,종합!$AD$3:$AD$501,0))&amp;"","")</f>
        <v/>
      </c>
      <c r="M128" s="21" t="str">
        <f aca="false">IFERROR(INDEX(종합!M$3:M$501,MATCH(ROW()-2,종합!$AD$3:$AD$501,0))&amp;"","")</f>
        <v/>
      </c>
      <c r="N128" s="25" t="str">
        <f aca="false">IFERROR(INDEX(종합!N$3:N$501,MATCH(ROW()-2,종합!$AD$3:$AD$501,0))&amp;"","")</f>
        <v/>
      </c>
      <c r="O128" s="21" t="str">
        <f aca="false">IFERROR(INDEX(종합!O$3:O$501,MATCH(ROW()-2,종합!$AD$3:$AD$501,0))&amp;"","")</f>
        <v/>
      </c>
      <c r="P128" s="21" t="str">
        <f aca="false">IFERROR(INDEX(종합!P$3:P$501,MATCH(ROW()-2,종합!$AD$3:$AD$501,0))&amp;"","")</f>
        <v/>
      </c>
      <c r="Q128" s="21" t="str">
        <f aca="false">IFERROR(INDEX(종합!Q$3:Q$501,MATCH(ROW()-2,종합!$AD$3:$AD$501,0))&amp;"","")</f>
        <v/>
      </c>
      <c r="R128" s="21" t="str">
        <f aca="false">IFERROR(INDEX(종합!R$3:R$501,MATCH(ROW()-2,종합!$AD$3:$AD$501,0))&amp;"","")</f>
        <v/>
      </c>
      <c r="S128" s="21" t="str">
        <f aca="false">IFERROR(INDEX(종합!S$3:S$501,MATCH(ROW()-2,종합!$AD$3:$AD$501,0))&amp;"","")</f>
        <v/>
      </c>
      <c r="T128" s="21" t="str">
        <f aca="false">IFERROR(INDEX(종합!T$3:T$501,MATCH(ROW()-2,종합!$AD$3:$AD$501,0))&amp;"","")</f>
        <v/>
      </c>
      <c r="U128" s="21" t="str">
        <f aca="false">IFERROR(INDEX(종합!U$3:U$501,MATCH(ROW()-2,종합!$AD$3:$AD$501,0))&amp;"","")</f>
        <v/>
      </c>
      <c r="V128" s="21" t="str">
        <f aca="false">IFERROR(INDEX(종합!V$3:V$501,MATCH(ROW()-2,종합!$AD$3:$AD$501,0))&amp;"","")</f>
        <v/>
      </c>
      <c r="W128" s="21" t="str">
        <f aca="false">IFERROR(INDEX(종합!W$3:W$501,MATCH(ROW()-2,종합!$AD$3:$AD$501,0))&amp;"","")</f>
        <v/>
      </c>
      <c r="X128" s="21" t="str">
        <f aca="false">IFERROR(INDEX(종합!X$3:X$501,MATCH(ROW()-2,종합!$AD$3:$AD$501,0))&amp;"","")</f>
        <v/>
      </c>
      <c r="Y128" s="21" t="str">
        <f aca="false">IFERROR(INDEX(종합!Y$3:Y$501,MATCH(ROW()-2,종합!$AD$3:$AD$501,0))&amp;"","")</f>
        <v/>
      </c>
      <c r="Z128" s="21" t="str">
        <f aca="false">IFERROR(INDEX(종합!Z$3:Z$501,MATCH(ROW()-2,종합!$AD$3:$AD$501,0))&amp;"","")</f>
        <v/>
      </c>
      <c r="AA128" s="23" t="str">
        <f aca="false">IFERROR(INDEX(종합!AA$3:AA$501,MATCH(ROW()-2,종합!$AD$3:$AD$501,0))&amp;"","")</f>
        <v/>
      </c>
    </row>
    <row r="129" customFormat="false" ht="22.5" hidden="false" customHeight="true" outlineLevel="0" collapsed="false">
      <c r="A129" s="18" t="str">
        <f aca="false">IF(B129="","",ROW()-2)</f>
        <v/>
      </c>
      <c r="B129" s="18" t="str">
        <f aca="false">IFERROR(INDEX(종합!B$3:B$501,MATCH(ROW()-2,종합!$AD$3:$AD$501,0))&amp;"","")</f>
        <v/>
      </c>
      <c r="C129" s="18" t="str">
        <f aca="false">IFERROR(INDEX(종합!C$3:C$501,MATCH(ROW()-2,종합!$AD$3:$AD$501,0))&amp;"","")</f>
        <v/>
      </c>
      <c r="D129" s="18" t="str">
        <f aca="false">IFERROR(INDEX(종합!D$3:D$501,MATCH(ROW()-2,종합!$AD$3:$AD$501,0))&amp;"","")</f>
        <v/>
      </c>
      <c r="E129" s="18" t="str">
        <f aca="false">IFERROR(INDEX(종합!E$3:E$501,MATCH(ROW()-2,종합!$AD$3:$AD$501,0))&amp;"","")</f>
        <v/>
      </c>
      <c r="F129" s="18" t="str">
        <f aca="false">IFERROR(INDEX(종합!F$3:F$501,MATCH(ROW()-2,종합!$AD$3:$AD$501,0))&amp;"","")</f>
        <v/>
      </c>
      <c r="G129" s="18" t="str">
        <f aca="false">IFERROR(INDEX(종합!G$3:G$501,MATCH(ROW()-2,종합!$AD$3:$AD$501,0))&amp;"","")</f>
        <v/>
      </c>
      <c r="H129" s="21" t="str">
        <f aca="false">IFERROR(INDEX(종합!H$3:H$501,MATCH(ROW()-2,종합!$AD$3:$AD$501,0))&amp;"","")</f>
        <v/>
      </c>
      <c r="I129" s="21" t="str">
        <f aca="false">IFERROR(INDEX(종합!I$3:I$501,MATCH(ROW()-2,종합!$AD$3:$AD$501,0))&amp;"","")</f>
        <v/>
      </c>
      <c r="J129" s="21" t="str">
        <f aca="false">IFERROR(INDEX(종합!J$3:J$501,MATCH(ROW()-2,종합!$AD$3:$AD$501,0))&amp;"","")</f>
        <v/>
      </c>
      <c r="K129" s="21" t="str">
        <f aca="false">IFERROR(INDEX(종합!K$3:K$501,MATCH(ROW()-2,종합!$AD$3:$AD$501,0))&amp;"","")</f>
        <v/>
      </c>
      <c r="L129" s="21" t="str">
        <f aca="false">IFERROR(INDEX(종합!L$3:L$501,MATCH(ROW()-2,종합!$AD$3:$AD$501,0))&amp;"","")</f>
        <v/>
      </c>
      <c r="M129" s="21" t="str">
        <f aca="false">IFERROR(INDEX(종합!M$3:M$501,MATCH(ROW()-2,종합!$AD$3:$AD$501,0))&amp;"","")</f>
        <v/>
      </c>
      <c r="N129" s="25" t="str">
        <f aca="false">IFERROR(INDEX(종합!N$3:N$501,MATCH(ROW()-2,종합!$AD$3:$AD$501,0))&amp;"","")</f>
        <v/>
      </c>
      <c r="O129" s="21" t="str">
        <f aca="false">IFERROR(INDEX(종합!O$3:O$501,MATCH(ROW()-2,종합!$AD$3:$AD$501,0))&amp;"","")</f>
        <v/>
      </c>
      <c r="P129" s="21" t="str">
        <f aca="false">IFERROR(INDEX(종합!P$3:P$501,MATCH(ROW()-2,종합!$AD$3:$AD$501,0))&amp;"","")</f>
        <v/>
      </c>
      <c r="Q129" s="21" t="str">
        <f aca="false">IFERROR(INDEX(종합!Q$3:Q$501,MATCH(ROW()-2,종합!$AD$3:$AD$501,0))&amp;"","")</f>
        <v/>
      </c>
      <c r="R129" s="21" t="str">
        <f aca="false">IFERROR(INDEX(종합!R$3:R$501,MATCH(ROW()-2,종합!$AD$3:$AD$501,0))&amp;"","")</f>
        <v/>
      </c>
      <c r="S129" s="21" t="str">
        <f aca="false">IFERROR(INDEX(종합!S$3:S$501,MATCH(ROW()-2,종합!$AD$3:$AD$501,0))&amp;"","")</f>
        <v/>
      </c>
      <c r="T129" s="21" t="str">
        <f aca="false">IFERROR(INDEX(종합!T$3:T$501,MATCH(ROW()-2,종합!$AD$3:$AD$501,0))&amp;"","")</f>
        <v/>
      </c>
      <c r="U129" s="21" t="str">
        <f aca="false">IFERROR(INDEX(종합!U$3:U$501,MATCH(ROW()-2,종합!$AD$3:$AD$501,0))&amp;"","")</f>
        <v/>
      </c>
      <c r="V129" s="21" t="str">
        <f aca="false">IFERROR(INDEX(종합!V$3:V$501,MATCH(ROW()-2,종합!$AD$3:$AD$501,0))&amp;"","")</f>
        <v/>
      </c>
      <c r="W129" s="21" t="str">
        <f aca="false">IFERROR(INDEX(종합!W$3:W$501,MATCH(ROW()-2,종합!$AD$3:$AD$501,0))&amp;"","")</f>
        <v/>
      </c>
      <c r="X129" s="21" t="str">
        <f aca="false">IFERROR(INDEX(종합!X$3:X$501,MATCH(ROW()-2,종합!$AD$3:$AD$501,0))&amp;"","")</f>
        <v/>
      </c>
      <c r="Y129" s="21" t="str">
        <f aca="false">IFERROR(INDEX(종합!Y$3:Y$501,MATCH(ROW()-2,종합!$AD$3:$AD$501,0))&amp;"","")</f>
        <v/>
      </c>
      <c r="Z129" s="21" t="str">
        <f aca="false">IFERROR(INDEX(종합!Z$3:Z$501,MATCH(ROW()-2,종합!$AD$3:$AD$501,0))&amp;"","")</f>
        <v/>
      </c>
      <c r="AA129" s="23" t="str">
        <f aca="false">IFERROR(INDEX(종합!AA$3:AA$501,MATCH(ROW()-2,종합!$AD$3:$AD$501,0))&amp;"","")</f>
        <v/>
      </c>
    </row>
    <row r="130" customFormat="false" ht="33.75" hidden="false" customHeight="true" outlineLevel="0" collapsed="false">
      <c r="A130" s="18" t="str">
        <f aca="false">IF(B130="","",ROW()-2)</f>
        <v/>
      </c>
      <c r="B130" s="18" t="str">
        <f aca="false">IFERROR(INDEX(종합!B$3:B$501,MATCH(ROW()-2,종합!$AD$3:$AD$501,0))&amp;"","")</f>
        <v/>
      </c>
      <c r="C130" s="18" t="str">
        <f aca="false">IFERROR(INDEX(종합!C$3:C$501,MATCH(ROW()-2,종합!$AD$3:$AD$501,0))&amp;"","")</f>
        <v/>
      </c>
      <c r="D130" s="18" t="str">
        <f aca="false">IFERROR(INDEX(종합!D$3:D$501,MATCH(ROW()-2,종합!$AD$3:$AD$501,0))&amp;"","")</f>
        <v/>
      </c>
      <c r="E130" s="18" t="str">
        <f aca="false">IFERROR(INDEX(종합!E$3:E$501,MATCH(ROW()-2,종합!$AD$3:$AD$501,0))&amp;"","")</f>
        <v/>
      </c>
      <c r="F130" s="18" t="str">
        <f aca="false">IFERROR(INDEX(종합!F$3:F$501,MATCH(ROW()-2,종합!$AD$3:$AD$501,0))&amp;"","")</f>
        <v/>
      </c>
      <c r="G130" s="18" t="str">
        <f aca="false">IFERROR(INDEX(종합!G$3:G$501,MATCH(ROW()-2,종합!$AD$3:$AD$501,0))&amp;"","")</f>
        <v/>
      </c>
      <c r="H130" s="21" t="str">
        <f aca="false">IFERROR(INDEX(종합!H$3:H$501,MATCH(ROW()-2,종합!$AD$3:$AD$501,0))&amp;"","")</f>
        <v/>
      </c>
      <c r="I130" s="21" t="str">
        <f aca="false">IFERROR(INDEX(종합!I$3:I$501,MATCH(ROW()-2,종합!$AD$3:$AD$501,0))&amp;"","")</f>
        <v/>
      </c>
      <c r="J130" s="21" t="str">
        <f aca="false">IFERROR(INDEX(종합!J$3:J$501,MATCH(ROW()-2,종합!$AD$3:$AD$501,0))&amp;"","")</f>
        <v/>
      </c>
      <c r="K130" s="21" t="str">
        <f aca="false">IFERROR(INDEX(종합!K$3:K$501,MATCH(ROW()-2,종합!$AD$3:$AD$501,0))&amp;"","")</f>
        <v/>
      </c>
      <c r="L130" s="21" t="str">
        <f aca="false">IFERROR(INDEX(종합!L$3:L$501,MATCH(ROW()-2,종합!$AD$3:$AD$501,0))&amp;"","")</f>
        <v/>
      </c>
      <c r="M130" s="21" t="str">
        <f aca="false">IFERROR(INDEX(종합!M$3:M$501,MATCH(ROW()-2,종합!$AD$3:$AD$501,0))&amp;"","")</f>
        <v/>
      </c>
      <c r="N130" s="25" t="str">
        <f aca="false">IFERROR(INDEX(종합!N$3:N$501,MATCH(ROW()-2,종합!$AD$3:$AD$501,0))&amp;"","")</f>
        <v/>
      </c>
      <c r="O130" s="21" t="str">
        <f aca="false">IFERROR(INDEX(종합!O$3:O$501,MATCH(ROW()-2,종합!$AD$3:$AD$501,0))&amp;"","")</f>
        <v/>
      </c>
      <c r="P130" s="21" t="str">
        <f aca="false">IFERROR(INDEX(종합!P$3:P$501,MATCH(ROW()-2,종합!$AD$3:$AD$501,0))&amp;"","")</f>
        <v/>
      </c>
      <c r="Q130" s="21" t="str">
        <f aca="false">IFERROR(INDEX(종합!Q$3:Q$501,MATCH(ROW()-2,종합!$AD$3:$AD$501,0))&amp;"","")</f>
        <v/>
      </c>
      <c r="R130" s="21" t="str">
        <f aca="false">IFERROR(INDEX(종합!R$3:R$501,MATCH(ROW()-2,종합!$AD$3:$AD$501,0))&amp;"","")</f>
        <v/>
      </c>
      <c r="S130" s="21" t="str">
        <f aca="false">IFERROR(INDEX(종합!S$3:S$501,MATCH(ROW()-2,종합!$AD$3:$AD$501,0))&amp;"","")</f>
        <v/>
      </c>
      <c r="T130" s="21" t="str">
        <f aca="false">IFERROR(INDEX(종합!T$3:T$501,MATCH(ROW()-2,종합!$AD$3:$AD$501,0))&amp;"","")</f>
        <v/>
      </c>
      <c r="U130" s="21" t="str">
        <f aca="false">IFERROR(INDEX(종합!U$3:U$501,MATCH(ROW()-2,종합!$AD$3:$AD$501,0))&amp;"","")</f>
        <v/>
      </c>
      <c r="V130" s="21" t="str">
        <f aca="false">IFERROR(INDEX(종합!V$3:V$501,MATCH(ROW()-2,종합!$AD$3:$AD$501,0))&amp;"","")</f>
        <v/>
      </c>
      <c r="W130" s="21" t="str">
        <f aca="false">IFERROR(INDEX(종합!W$3:W$501,MATCH(ROW()-2,종합!$AD$3:$AD$501,0))&amp;"","")</f>
        <v/>
      </c>
      <c r="X130" s="21" t="str">
        <f aca="false">IFERROR(INDEX(종합!X$3:X$501,MATCH(ROW()-2,종합!$AD$3:$AD$501,0))&amp;"","")</f>
        <v/>
      </c>
      <c r="Y130" s="21" t="str">
        <f aca="false">IFERROR(INDEX(종합!Y$3:Y$501,MATCH(ROW()-2,종합!$AD$3:$AD$501,0))&amp;"","")</f>
        <v/>
      </c>
      <c r="Z130" s="21" t="str">
        <f aca="false">IFERROR(INDEX(종합!Z$3:Z$501,MATCH(ROW()-2,종합!$AD$3:$AD$501,0))&amp;"","")</f>
        <v/>
      </c>
      <c r="AA130" s="23" t="str">
        <f aca="false">IFERROR(INDEX(종합!AA$3:AA$501,MATCH(ROW()-2,종합!$AD$3:$AD$501,0))&amp;"","")</f>
        <v/>
      </c>
    </row>
    <row r="131" customFormat="false" ht="33.75" hidden="false" customHeight="true" outlineLevel="0" collapsed="false">
      <c r="A131" s="18" t="str">
        <f aca="false">IF(B131="","",ROW()-2)</f>
        <v/>
      </c>
      <c r="B131" s="18" t="str">
        <f aca="false">IFERROR(INDEX(종합!B$3:B$501,MATCH(ROW()-2,종합!$AD$3:$AD$501,0))&amp;"","")</f>
        <v/>
      </c>
      <c r="C131" s="18" t="str">
        <f aca="false">IFERROR(INDEX(종합!C$3:C$501,MATCH(ROW()-2,종합!$AD$3:$AD$501,0))&amp;"","")</f>
        <v/>
      </c>
      <c r="D131" s="18" t="str">
        <f aca="false">IFERROR(INDEX(종합!D$3:D$501,MATCH(ROW()-2,종합!$AD$3:$AD$501,0))&amp;"","")</f>
        <v/>
      </c>
      <c r="E131" s="18" t="str">
        <f aca="false">IFERROR(INDEX(종합!E$3:E$501,MATCH(ROW()-2,종합!$AD$3:$AD$501,0))&amp;"","")</f>
        <v/>
      </c>
      <c r="F131" s="18" t="str">
        <f aca="false">IFERROR(INDEX(종합!F$3:F$501,MATCH(ROW()-2,종합!$AD$3:$AD$501,0))&amp;"","")</f>
        <v/>
      </c>
      <c r="G131" s="18" t="str">
        <f aca="false">IFERROR(INDEX(종합!G$3:G$501,MATCH(ROW()-2,종합!$AD$3:$AD$501,0))&amp;"","")</f>
        <v/>
      </c>
      <c r="H131" s="21" t="str">
        <f aca="false">IFERROR(INDEX(종합!H$3:H$501,MATCH(ROW()-2,종합!$AD$3:$AD$501,0))&amp;"","")</f>
        <v/>
      </c>
      <c r="I131" s="21" t="str">
        <f aca="false">IFERROR(INDEX(종합!I$3:I$501,MATCH(ROW()-2,종합!$AD$3:$AD$501,0))&amp;"","")</f>
        <v/>
      </c>
      <c r="J131" s="21" t="str">
        <f aca="false">IFERROR(INDEX(종합!J$3:J$501,MATCH(ROW()-2,종합!$AD$3:$AD$501,0))&amp;"","")</f>
        <v/>
      </c>
      <c r="K131" s="21" t="str">
        <f aca="false">IFERROR(INDEX(종합!K$3:K$501,MATCH(ROW()-2,종합!$AD$3:$AD$501,0))&amp;"","")</f>
        <v/>
      </c>
      <c r="L131" s="21" t="str">
        <f aca="false">IFERROR(INDEX(종합!L$3:L$501,MATCH(ROW()-2,종합!$AD$3:$AD$501,0))&amp;"","")</f>
        <v/>
      </c>
      <c r="M131" s="21" t="str">
        <f aca="false">IFERROR(INDEX(종합!M$3:M$501,MATCH(ROW()-2,종합!$AD$3:$AD$501,0))&amp;"","")</f>
        <v/>
      </c>
      <c r="N131" s="25" t="str">
        <f aca="false">IFERROR(INDEX(종합!N$3:N$501,MATCH(ROW()-2,종합!$AD$3:$AD$501,0))&amp;"","")</f>
        <v/>
      </c>
      <c r="O131" s="21" t="str">
        <f aca="false">IFERROR(INDEX(종합!O$3:O$501,MATCH(ROW()-2,종합!$AD$3:$AD$501,0))&amp;"","")</f>
        <v/>
      </c>
      <c r="P131" s="21" t="str">
        <f aca="false">IFERROR(INDEX(종합!P$3:P$501,MATCH(ROW()-2,종합!$AD$3:$AD$501,0))&amp;"","")</f>
        <v/>
      </c>
      <c r="Q131" s="21" t="str">
        <f aca="false">IFERROR(INDEX(종합!Q$3:Q$501,MATCH(ROW()-2,종합!$AD$3:$AD$501,0))&amp;"","")</f>
        <v/>
      </c>
      <c r="R131" s="21" t="str">
        <f aca="false">IFERROR(INDEX(종합!R$3:R$501,MATCH(ROW()-2,종합!$AD$3:$AD$501,0))&amp;"","")</f>
        <v/>
      </c>
      <c r="S131" s="21" t="str">
        <f aca="false">IFERROR(INDEX(종합!S$3:S$501,MATCH(ROW()-2,종합!$AD$3:$AD$501,0))&amp;"","")</f>
        <v/>
      </c>
      <c r="T131" s="21" t="str">
        <f aca="false">IFERROR(INDEX(종합!T$3:T$501,MATCH(ROW()-2,종합!$AD$3:$AD$501,0))&amp;"","")</f>
        <v/>
      </c>
      <c r="U131" s="21" t="str">
        <f aca="false">IFERROR(INDEX(종합!U$3:U$501,MATCH(ROW()-2,종합!$AD$3:$AD$501,0))&amp;"","")</f>
        <v/>
      </c>
      <c r="V131" s="21" t="str">
        <f aca="false">IFERROR(INDEX(종합!V$3:V$501,MATCH(ROW()-2,종합!$AD$3:$AD$501,0))&amp;"","")</f>
        <v/>
      </c>
      <c r="W131" s="21" t="str">
        <f aca="false">IFERROR(INDEX(종합!W$3:W$501,MATCH(ROW()-2,종합!$AD$3:$AD$501,0))&amp;"","")</f>
        <v/>
      </c>
      <c r="X131" s="21" t="str">
        <f aca="false">IFERROR(INDEX(종합!X$3:X$501,MATCH(ROW()-2,종합!$AD$3:$AD$501,0))&amp;"","")</f>
        <v/>
      </c>
      <c r="Y131" s="21" t="str">
        <f aca="false">IFERROR(INDEX(종합!Y$3:Y$501,MATCH(ROW()-2,종합!$AD$3:$AD$501,0))&amp;"","")</f>
        <v/>
      </c>
      <c r="Z131" s="21" t="str">
        <f aca="false">IFERROR(INDEX(종합!Z$3:Z$501,MATCH(ROW()-2,종합!$AD$3:$AD$501,0))&amp;"","")</f>
        <v/>
      </c>
      <c r="AA131" s="23" t="str">
        <f aca="false">IFERROR(INDEX(종합!AA$3:AA$501,MATCH(ROW()-2,종합!$AD$3:$AD$501,0))&amp;"","")</f>
        <v/>
      </c>
    </row>
    <row r="132" customFormat="false" ht="22.5" hidden="false" customHeight="true" outlineLevel="0" collapsed="false">
      <c r="A132" s="18" t="str">
        <f aca="false">IF(B132="","",ROW()-2)</f>
        <v/>
      </c>
      <c r="B132" s="18" t="str">
        <f aca="false">IFERROR(INDEX(종합!B$3:B$501,MATCH(ROW()-2,종합!$AD$3:$AD$501,0))&amp;"","")</f>
        <v/>
      </c>
      <c r="C132" s="18" t="str">
        <f aca="false">IFERROR(INDEX(종합!C$3:C$501,MATCH(ROW()-2,종합!$AD$3:$AD$501,0))&amp;"","")</f>
        <v/>
      </c>
      <c r="D132" s="18" t="str">
        <f aca="false">IFERROR(INDEX(종합!D$3:D$501,MATCH(ROW()-2,종합!$AD$3:$AD$501,0))&amp;"","")</f>
        <v/>
      </c>
      <c r="E132" s="18" t="str">
        <f aca="false">IFERROR(INDEX(종합!E$3:E$501,MATCH(ROW()-2,종합!$AD$3:$AD$501,0))&amp;"","")</f>
        <v/>
      </c>
      <c r="F132" s="18" t="str">
        <f aca="false">IFERROR(INDEX(종합!F$3:F$501,MATCH(ROW()-2,종합!$AD$3:$AD$501,0))&amp;"","")</f>
        <v/>
      </c>
      <c r="G132" s="18" t="str">
        <f aca="false">IFERROR(INDEX(종합!G$3:G$501,MATCH(ROW()-2,종합!$AD$3:$AD$501,0))&amp;"","")</f>
        <v/>
      </c>
      <c r="H132" s="21" t="str">
        <f aca="false">IFERROR(INDEX(종합!H$3:H$501,MATCH(ROW()-2,종합!$AD$3:$AD$501,0))&amp;"","")</f>
        <v/>
      </c>
      <c r="I132" s="21" t="str">
        <f aca="false">IFERROR(INDEX(종합!I$3:I$501,MATCH(ROW()-2,종합!$AD$3:$AD$501,0))&amp;"","")</f>
        <v/>
      </c>
      <c r="J132" s="21" t="str">
        <f aca="false">IFERROR(INDEX(종합!J$3:J$501,MATCH(ROW()-2,종합!$AD$3:$AD$501,0))&amp;"","")</f>
        <v/>
      </c>
      <c r="K132" s="21" t="str">
        <f aca="false">IFERROR(INDEX(종합!K$3:K$501,MATCH(ROW()-2,종합!$AD$3:$AD$501,0))&amp;"","")</f>
        <v/>
      </c>
      <c r="L132" s="21" t="str">
        <f aca="false">IFERROR(INDEX(종합!L$3:L$501,MATCH(ROW()-2,종합!$AD$3:$AD$501,0))&amp;"","")</f>
        <v/>
      </c>
      <c r="M132" s="21" t="str">
        <f aca="false">IFERROR(INDEX(종합!M$3:M$501,MATCH(ROW()-2,종합!$AD$3:$AD$501,0))&amp;"","")</f>
        <v/>
      </c>
      <c r="N132" s="25" t="str">
        <f aca="false">IFERROR(INDEX(종합!N$3:N$501,MATCH(ROW()-2,종합!$AD$3:$AD$501,0))&amp;"","")</f>
        <v/>
      </c>
      <c r="O132" s="21" t="str">
        <f aca="false">IFERROR(INDEX(종합!O$3:O$501,MATCH(ROW()-2,종합!$AD$3:$AD$501,0))&amp;"","")</f>
        <v/>
      </c>
      <c r="P132" s="21" t="str">
        <f aca="false">IFERROR(INDEX(종합!P$3:P$501,MATCH(ROW()-2,종합!$AD$3:$AD$501,0))&amp;"","")</f>
        <v/>
      </c>
      <c r="Q132" s="21" t="str">
        <f aca="false">IFERROR(INDEX(종합!Q$3:Q$501,MATCH(ROW()-2,종합!$AD$3:$AD$501,0))&amp;"","")</f>
        <v/>
      </c>
      <c r="R132" s="21" t="str">
        <f aca="false">IFERROR(INDEX(종합!R$3:R$501,MATCH(ROW()-2,종합!$AD$3:$AD$501,0))&amp;"","")</f>
        <v/>
      </c>
      <c r="S132" s="21" t="str">
        <f aca="false">IFERROR(INDEX(종합!S$3:S$501,MATCH(ROW()-2,종합!$AD$3:$AD$501,0))&amp;"","")</f>
        <v/>
      </c>
      <c r="T132" s="21" t="str">
        <f aca="false">IFERROR(INDEX(종합!T$3:T$501,MATCH(ROW()-2,종합!$AD$3:$AD$501,0))&amp;"","")</f>
        <v/>
      </c>
      <c r="U132" s="21" t="str">
        <f aca="false">IFERROR(INDEX(종합!U$3:U$501,MATCH(ROW()-2,종합!$AD$3:$AD$501,0))&amp;"","")</f>
        <v/>
      </c>
      <c r="V132" s="21" t="str">
        <f aca="false">IFERROR(INDEX(종합!V$3:V$501,MATCH(ROW()-2,종합!$AD$3:$AD$501,0))&amp;"","")</f>
        <v/>
      </c>
      <c r="W132" s="21" t="str">
        <f aca="false">IFERROR(INDEX(종합!W$3:W$501,MATCH(ROW()-2,종합!$AD$3:$AD$501,0))&amp;"","")</f>
        <v/>
      </c>
      <c r="X132" s="21" t="str">
        <f aca="false">IFERROR(INDEX(종합!X$3:X$501,MATCH(ROW()-2,종합!$AD$3:$AD$501,0))&amp;"","")</f>
        <v/>
      </c>
      <c r="Y132" s="21" t="str">
        <f aca="false">IFERROR(INDEX(종합!Y$3:Y$501,MATCH(ROW()-2,종합!$AD$3:$AD$501,0))&amp;"","")</f>
        <v/>
      </c>
      <c r="Z132" s="21" t="str">
        <f aca="false">IFERROR(INDEX(종합!Z$3:Z$501,MATCH(ROW()-2,종합!$AD$3:$AD$501,0))&amp;"","")</f>
        <v/>
      </c>
      <c r="AA132" s="23" t="str">
        <f aca="false">IFERROR(INDEX(종합!AA$3:AA$501,MATCH(ROW()-2,종합!$AD$3:$AD$501,0))&amp;"","")</f>
        <v/>
      </c>
    </row>
    <row r="133" customFormat="false" ht="22.5" hidden="false" customHeight="true" outlineLevel="0" collapsed="false">
      <c r="A133" s="18" t="str">
        <f aca="false">IF(B133="","",ROW()-2)</f>
        <v/>
      </c>
      <c r="B133" s="18" t="str">
        <f aca="false">IFERROR(INDEX(종합!B$3:B$501,MATCH(ROW()-2,종합!$AD$3:$AD$501,0))&amp;"","")</f>
        <v/>
      </c>
      <c r="C133" s="18" t="str">
        <f aca="false">IFERROR(INDEX(종합!C$3:C$501,MATCH(ROW()-2,종합!$AD$3:$AD$501,0))&amp;"","")</f>
        <v/>
      </c>
      <c r="D133" s="18" t="str">
        <f aca="false">IFERROR(INDEX(종합!D$3:D$501,MATCH(ROW()-2,종합!$AD$3:$AD$501,0))&amp;"","")</f>
        <v/>
      </c>
      <c r="E133" s="18" t="str">
        <f aca="false">IFERROR(INDEX(종합!E$3:E$501,MATCH(ROW()-2,종합!$AD$3:$AD$501,0))&amp;"","")</f>
        <v/>
      </c>
      <c r="F133" s="18" t="str">
        <f aca="false">IFERROR(INDEX(종합!F$3:F$501,MATCH(ROW()-2,종합!$AD$3:$AD$501,0))&amp;"","")</f>
        <v/>
      </c>
      <c r="G133" s="18" t="str">
        <f aca="false">IFERROR(INDEX(종합!G$3:G$501,MATCH(ROW()-2,종합!$AD$3:$AD$501,0))&amp;"","")</f>
        <v/>
      </c>
      <c r="H133" s="21" t="str">
        <f aca="false">IFERROR(INDEX(종합!H$3:H$501,MATCH(ROW()-2,종합!$AD$3:$AD$501,0))&amp;"","")</f>
        <v/>
      </c>
      <c r="I133" s="21" t="str">
        <f aca="false">IFERROR(INDEX(종합!I$3:I$501,MATCH(ROW()-2,종합!$AD$3:$AD$501,0))&amp;"","")</f>
        <v/>
      </c>
      <c r="J133" s="21" t="str">
        <f aca="false">IFERROR(INDEX(종합!J$3:J$501,MATCH(ROW()-2,종합!$AD$3:$AD$501,0))&amp;"","")</f>
        <v/>
      </c>
      <c r="K133" s="21" t="str">
        <f aca="false">IFERROR(INDEX(종합!K$3:K$501,MATCH(ROW()-2,종합!$AD$3:$AD$501,0))&amp;"","")</f>
        <v/>
      </c>
      <c r="L133" s="21" t="str">
        <f aca="false">IFERROR(INDEX(종합!L$3:L$501,MATCH(ROW()-2,종합!$AD$3:$AD$501,0))&amp;"","")</f>
        <v/>
      </c>
      <c r="M133" s="21" t="str">
        <f aca="false">IFERROR(INDEX(종합!M$3:M$501,MATCH(ROW()-2,종합!$AD$3:$AD$501,0))&amp;"","")</f>
        <v/>
      </c>
      <c r="N133" s="25" t="str">
        <f aca="false">IFERROR(INDEX(종합!N$3:N$501,MATCH(ROW()-2,종합!$AD$3:$AD$501,0))&amp;"","")</f>
        <v/>
      </c>
      <c r="O133" s="21" t="str">
        <f aca="false">IFERROR(INDEX(종합!O$3:O$501,MATCH(ROW()-2,종합!$AD$3:$AD$501,0))&amp;"","")</f>
        <v/>
      </c>
      <c r="P133" s="21" t="str">
        <f aca="false">IFERROR(INDEX(종합!P$3:P$501,MATCH(ROW()-2,종합!$AD$3:$AD$501,0))&amp;"","")</f>
        <v/>
      </c>
      <c r="Q133" s="21" t="str">
        <f aca="false">IFERROR(INDEX(종합!Q$3:Q$501,MATCH(ROW()-2,종합!$AD$3:$AD$501,0))&amp;"","")</f>
        <v/>
      </c>
      <c r="R133" s="21" t="str">
        <f aca="false">IFERROR(INDEX(종합!R$3:R$501,MATCH(ROW()-2,종합!$AD$3:$AD$501,0))&amp;"","")</f>
        <v/>
      </c>
      <c r="S133" s="21" t="str">
        <f aca="false">IFERROR(INDEX(종합!S$3:S$501,MATCH(ROW()-2,종합!$AD$3:$AD$501,0))&amp;"","")</f>
        <v/>
      </c>
      <c r="T133" s="21" t="str">
        <f aca="false">IFERROR(INDEX(종합!T$3:T$501,MATCH(ROW()-2,종합!$AD$3:$AD$501,0))&amp;"","")</f>
        <v/>
      </c>
      <c r="U133" s="21" t="str">
        <f aca="false">IFERROR(INDEX(종합!U$3:U$501,MATCH(ROW()-2,종합!$AD$3:$AD$501,0))&amp;"","")</f>
        <v/>
      </c>
      <c r="V133" s="21" t="str">
        <f aca="false">IFERROR(INDEX(종합!V$3:V$501,MATCH(ROW()-2,종합!$AD$3:$AD$501,0))&amp;"","")</f>
        <v/>
      </c>
      <c r="W133" s="21" t="str">
        <f aca="false">IFERROR(INDEX(종합!W$3:W$501,MATCH(ROW()-2,종합!$AD$3:$AD$501,0))&amp;"","")</f>
        <v/>
      </c>
      <c r="X133" s="21" t="str">
        <f aca="false">IFERROR(INDEX(종합!X$3:X$501,MATCH(ROW()-2,종합!$AD$3:$AD$501,0))&amp;"","")</f>
        <v/>
      </c>
      <c r="Y133" s="21" t="str">
        <f aca="false">IFERROR(INDEX(종합!Y$3:Y$501,MATCH(ROW()-2,종합!$AD$3:$AD$501,0))&amp;"","")</f>
        <v/>
      </c>
      <c r="Z133" s="21" t="str">
        <f aca="false">IFERROR(INDEX(종합!Z$3:Z$501,MATCH(ROW()-2,종합!$AD$3:$AD$501,0))&amp;"","")</f>
        <v/>
      </c>
      <c r="AA133" s="23" t="str">
        <f aca="false">IFERROR(INDEX(종합!AA$3:AA$501,MATCH(ROW()-2,종합!$AD$3:$AD$501,0))&amp;"","")</f>
        <v/>
      </c>
    </row>
    <row r="134" customFormat="false" ht="33.75" hidden="false" customHeight="true" outlineLevel="0" collapsed="false">
      <c r="A134" s="18" t="str">
        <f aca="false">IF(B134="","",ROW()-2)</f>
        <v/>
      </c>
      <c r="B134" s="18" t="str">
        <f aca="false">IFERROR(INDEX(종합!B$3:B$501,MATCH(ROW()-2,종합!$AD$3:$AD$501,0))&amp;"","")</f>
        <v/>
      </c>
      <c r="C134" s="18" t="str">
        <f aca="false">IFERROR(INDEX(종합!C$3:C$501,MATCH(ROW()-2,종합!$AD$3:$AD$501,0))&amp;"","")</f>
        <v/>
      </c>
      <c r="D134" s="18" t="str">
        <f aca="false">IFERROR(INDEX(종합!D$3:D$501,MATCH(ROW()-2,종합!$AD$3:$AD$501,0))&amp;"","")</f>
        <v/>
      </c>
      <c r="E134" s="18" t="str">
        <f aca="false">IFERROR(INDEX(종합!E$3:E$501,MATCH(ROW()-2,종합!$AD$3:$AD$501,0))&amp;"","")</f>
        <v/>
      </c>
      <c r="F134" s="18" t="str">
        <f aca="false">IFERROR(INDEX(종합!F$3:F$501,MATCH(ROW()-2,종합!$AD$3:$AD$501,0))&amp;"","")</f>
        <v/>
      </c>
      <c r="G134" s="18" t="str">
        <f aca="false">IFERROR(INDEX(종합!G$3:G$501,MATCH(ROW()-2,종합!$AD$3:$AD$501,0))&amp;"","")</f>
        <v/>
      </c>
      <c r="H134" s="21" t="str">
        <f aca="false">IFERROR(INDEX(종합!H$3:H$501,MATCH(ROW()-2,종합!$AD$3:$AD$501,0))&amp;"","")</f>
        <v/>
      </c>
      <c r="I134" s="21" t="str">
        <f aca="false">IFERROR(INDEX(종합!I$3:I$501,MATCH(ROW()-2,종합!$AD$3:$AD$501,0))&amp;"","")</f>
        <v/>
      </c>
      <c r="J134" s="21" t="str">
        <f aca="false">IFERROR(INDEX(종합!J$3:J$501,MATCH(ROW()-2,종합!$AD$3:$AD$501,0))&amp;"","")</f>
        <v/>
      </c>
      <c r="K134" s="21" t="str">
        <f aca="false">IFERROR(INDEX(종합!K$3:K$501,MATCH(ROW()-2,종합!$AD$3:$AD$501,0))&amp;"","")</f>
        <v/>
      </c>
      <c r="L134" s="21" t="str">
        <f aca="false">IFERROR(INDEX(종합!L$3:L$501,MATCH(ROW()-2,종합!$AD$3:$AD$501,0))&amp;"","")</f>
        <v/>
      </c>
      <c r="M134" s="21" t="str">
        <f aca="false">IFERROR(INDEX(종합!M$3:M$501,MATCH(ROW()-2,종합!$AD$3:$AD$501,0))&amp;"","")</f>
        <v/>
      </c>
      <c r="N134" s="25" t="str">
        <f aca="false">IFERROR(INDEX(종합!N$3:N$501,MATCH(ROW()-2,종합!$AD$3:$AD$501,0))&amp;"","")</f>
        <v/>
      </c>
      <c r="O134" s="21" t="str">
        <f aca="false">IFERROR(INDEX(종합!O$3:O$501,MATCH(ROW()-2,종합!$AD$3:$AD$501,0))&amp;"","")</f>
        <v/>
      </c>
      <c r="P134" s="21" t="str">
        <f aca="false">IFERROR(INDEX(종합!P$3:P$501,MATCH(ROW()-2,종합!$AD$3:$AD$501,0))&amp;"","")</f>
        <v/>
      </c>
      <c r="Q134" s="21" t="str">
        <f aca="false">IFERROR(INDEX(종합!Q$3:Q$501,MATCH(ROW()-2,종합!$AD$3:$AD$501,0))&amp;"","")</f>
        <v/>
      </c>
      <c r="R134" s="21" t="str">
        <f aca="false">IFERROR(INDEX(종합!R$3:R$501,MATCH(ROW()-2,종합!$AD$3:$AD$501,0))&amp;"","")</f>
        <v/>
      </c>
      <c r="S134" s="21" t="str">
        <f aca="false">IFERROR(INDEX(종합!S$3:S$501,MATCH(ROW()-2,종합!$AD$3:$AD$501,0))&amp;"","")</f>
        <v/>
      </c>
      <c r="T134" s="21" t="str">
        <f aca="false">IFERROR(INDEX(종합!T$3:T$501,MATCH(ROW()-2,종합!$AD$3:$AD$501,0))&amp;"","")</f>
        <v/>
      </c>
      <c r="U134" s="21" t="str">
        <f aca="false">IFERROR(INDEX(종합!U$3:U$501,MATCH(ROW()-2,종합!$AD$3:$AD$501,0))&amp;"","")</f>
        <v/>
      </c>
      <c r="V134" s="21" t="str">
        <f aca="false">IFERROR(INDEX(종합!V$3:V$501,MATCH(ROW()-2,종합!$AD$3:$AD$501,0))&amp;"","")</f>
        <v/>
      </c>
      <c r="W134" s="21" t="str">
        <f aca="false">IFERROR(INDEX(종합!W$3:W$501,MATCH(ROW()-2,종합!$AD$3:$AD$501,0))&amp;"","")</f>
        <v/>
      </c>
      <c r="X134" s="21" t="str">
        <f aca="false">IFERROR(INDEX(종합!X$3:X$501,MATCH(ROW()-2,종합!$AD$3:$AD$501,0))&amp;"","")</f>
        <v/>
      </c>
      <c r="Y134" s="21" t="str">
        <f aca="false">IFERROR(INDEX(종합!Y$3:Y$501,MATCH(ROW()-2,종합!$AD$3:$AD$501,0))&amp;"","")</f>
        <v/>
      </c>
      <c r="Z134" s="21" t="str">
        <f aca="false">IFERROR(INDEX(종합!Z$3:Z$501,MATCH(ROW()-2,종합!$AD$3:$AD$501,0))&amp;"","")</f>
        <v/>
      </c>
      <c r="AA134" s="23" t="str">
        <f aca="false">IFERROR(INDEX(종합!AA$3:AA$501,MATCH(ROW()-2,종합!$AD$3:$AD$501,0))&amp;"","")</f>
        <v/>
      </c>
    </row>
    <row r="135" customFormat="false" ht="33.75" hidden="false" customHeight="true" outlineLevel="0" collapsed="false">
      <c r="A135" s="18" t="str">
        <f aca="false">IF(B135="","",ROW()-2)</f>
        <v/>
      </c>
      <c r="B135" s="18" t="str">
        <f aca="false">IFERROR(INDEX(종합!B$3:B$501,MATCH(ROW()-2,종합!$AD$3:$AD$501,0))&amp;"","")</f>
        <v/>
      </c>
      <c r="C135" s="18" t="str">
        <f aca="false">IFERROR(INDEX(종합!C$3:C$501,MATCH(ROW()-2,종합!$AD$3:$AD$501,0))&amp;"","")</f>
        <v/>
      </c>
      <c r="D135" s="18" t="str">
        <f aca="false">IFERROR(INDEX(종합!D$3:D$501,MATCH(ROW()-2,종합!$AD$3:$AD$501,0))&amp;"","")</f>
        <v/>
      </c>
      <c r="E135" s="18" t="str">
        <f aca="false">IFERROR(INDEX(종합!E$3:E$501,MATCH(ROW()-2,종합!$AD$3:$AD$501,0))&amp;"","")</f>
        <v/>
      </c>
      <c r="F135" s="18" t="str">
        <f aca="false">IFERROR(INDEX(종합!F$3:F$501,MATCH(ROW()-2,종합!$AD$3:$AD$501,0))&amp;"","")</f>
        <v/>
      </c>
      <c r="G135" s="18" t="str">
        <f aca="false">IFERROR(INDEX(종합!G$3:G$501,MATCH(ROW()-2,종합!$AD$3:$AD$501,0))&amp;"","")</f>
        <v/>
      </c>
      <c r="H135" s="21" t="str">
        <f aca="false">IFERROR(INDEX(종합!H$3:H$501,MATCH(ROW()-2,종합!$AD$3:$AD$501,0))&amp;"","")</f>
        <v/>
      </c>
      <c r="I135" s="21" t="str">
        <f aca="false">IFERROR(INDEX(종합!I$3:I$501,MATCH(ROW()-2,종합!$AD$3:$AD$501,0))&amp;"","")</f>
        <v/>
      </c>
      <c r="J135" s="21" t="str">
        <f aca="false">IFERROR(INDEX(종합!J$3:J$501,MATCH(ROW()-2,종합!$AD$3:$AD$501,0))&amp;"","")</f>
        <v/>
      </c>
      <c r="K135" s="21" t="str">
        <f aca="false">IFERROR(INDEX(종합!K$3:K$501,MATCH(ROW()-2,종합!$AD$3:$AD$501,0))&amp;"","")</f>
        <v/>
      </c>
      <c r="L135" s="21" t="str">
        <f aca="false">IFERROR(INDEX(종합!L$3:L$501,MATCH(ROW()-2,종합!$AD$3:$AD$501,0))&amp;"","")</f>
        <v/>
      </c>
      <c r="M135" s="21" t="str">
        <f aca="false">IFERROR(INDEX(종합!M$3:M$501,MATCH(ROW()-2,종합!$AD$3:$AD$501,0))&amp;"","")</f>
        <v/>
      </c>
      <c r="N135" s="25" t="str">
        <f aca="false">IFERROR(INDEX(종합!N$3:N$501,MATCH(ROW()-2,종합!$AD$3:$AD$501,0))&amp;"","")</f>
        <v/>
      </c>
      <c r="O135" s="21" t="str">
        <f aca="false">IFERROR(INDEX(종합!O$3:O$501,MATCH(ROW()-2,종합!$AD$3:$AD$501,0))&amp;"","")</f>
        <v/>
      </c>
      <c r="P135" s="21" t="str">
        <f aca="false">IFERROR(INDEX(종합!P$3:P$501,MATCH(ROW()-2,종합!$AD$3:$AD$501,0))&amp;"","")</f>
        <v/>
      </c>
      <c r="Q135" s="21" t="str">
        <f aca="false">IFERROR(INDEX(종합!Q$3:Q$501,MATCH(ROW()-2,종합!$AD$3:$AD$501,0))&amp;"","")</f>
        <v/>
      </c>
      <c r="R135" s="21" t="str">
        <f aca="false">IFERROR(INDEX(종합!R$3:R$501,MATCH(ROW()-2,종합!$AD$3:$AD$501,0))&amp;"","")</f>
        <v/>
      </c>
      <c r="S135" s="21" t="str">
        <f aca="false">IFERROR(INDEX(종합!S$3:S$501,MATCH(ROW()-2,종합!$AD$3:$AD$501,0))&amp;"","")</f>
        <v/>
      </c>
      <c r="T135" s="21" t="str">
        <f aca="false">IFERROR(INDEX(종합!T$3:T$501,MATCH(ROW()-2,종합!$AD$3:$AD$501,0))&amp;"","")</f>
        <v/>
      </c>
      <c r="U135" s="21" t="str">
        <f aca="false">IFERROR(INDEX(종합!U$3:U$501,MATCH(ROW()-2,종합!$AD$3:$AD$501,0))&amp;"","")</f>
        <v/>
      </c>
      <c r="V135" s="21" t="str">
        <f aca="false">IFERROR(INDEX(종합!V$3:V$501,MATCH(ROW()-2,종합!$AD$3:$AD$501,0))&amp;"","")</f>
        <v/>
      </c>
      <c r="W135" s="21" t="str">
        <f aca="false">IFERROR(INDEX(종합!W$3:W$501,MATCH(ROW()-2,종합!$AD$3:$AD$501,0))&amp;"","")</f>
        <v/>
      </c>
      <c r="X135" s="21" t="str">
        <f aca="false">IFERROR(INDEX(종합!X$3:X$501,MATCH(ROW()-2,종합!$AD$3:$AD$501,0))&amp;"","")</f>
        <v/>
      </c>
      <c r="Y135" s="21" t="str">
        <f aca="false">IFERROR(INDEX(종합!Y$3:Y$501,MATCH(ROW()-2,종합!$AD$3:$AD$501,0))&amp;"","")</f>
        <v/>
      </c>
      <c r="Z135" s="21" t="str">
        <f aca="false">IFERROR(INDEX(종합!Z$3:Z$501,MATCH(ROW()-2,종합!$AD$3:$AD$501,0))&amp;"","")</f>
        <v/>
      </c>
      <c r="AA135" s="23" t="str">
        <f aca="false">IFERROR(INDEX(종합!AA$3:AA$501,MATCH(ROW()-2,종합!$AD$3:$AD$501,0))&amp;"","")</f>
        <v/>
      </c>
    </row>
    <row r="136" customFormat="false" ht="33.75" hidden="false" customHeight="true" outlineLevel="0" collapsed="false">
      <c r="A136" s="18" t="str">
        <f aca="false">IF(B136="","",ROW()-2)</f>
        <v/>
      </c>
      <c r="B136" s="18" t="str">
        <f aca="false">IFERROR(INDEX(종합!B$3:B$501,MATCH(ROW()-2,종합!$AD$3:$AD$501,0))&amp;"","")</f>
        <v/>
      </c>
      <c r="C136" s="18" t="str">
        <f aca="false">IFERROR(INDEX(종합!C$3:C$501,MATCH(ROW()-2,종합!$AD$3:$AD$501,0))&amp;"","")</f>
        <v/>
      </c>
      <c r="D136" s="18" t="str">
        <f aca="false">IFERROR(INDEX(종합!D$3:D$501,MATCH(ROW()-2,종합!$AD$3:$AD$501,0))&amp;"","")</f>
        <v/>
      </c>
      <c r="E136" s="18" t="str">
        <f aca="false">IFERROR(INDEX(종합!E$3:E$501,MATCH(ROW()-2,종합!$AD$3:$AD$501,0))&amp;"","")</f>
        <v/>
      </c>
      <c r="F136" s="18" t="str">
        <f aca="false">IFERROR(INDEX(종합!F$3:F$501,MATCH(ROW()-2,종합!$AD$3:$AD$501,0))&amp;"","")</f>
        <v/>
      </c>
      <c r="G136" s="18" t="str">
        <f aca="false">IFERROR(INDEX(종합!G$3:G$501,MATCH(ROW()-2,종합!$AD$3:$AD$501,0))&amp;"","")</f>
        <v/>
      </c>
      <c r="H136" s="21" t="str">
        <f aca="false">IFERROR(INDEX(종합!H$3:H$501,MATCH(ROW()-2,종합!$AD$3:$AD$501,0))&amp;"","")</f>
        <v/>
      </c>
      <c r="I136" s="21" t="str">
        <f aca="false">IFERROR(INDEX(종합!I$3:I$501,MATCH(ROW()-2,종합!$AD$3:$AD$501,0))&amp;"","")</f>
        <v/>
      </c>
      <c r="J136" s="21" t="str">
        <f aca="false">IFERROR(INDEX(종합!J$3:J$501,MATCH(ROW()-2,종합!$AD$3:$AD$501,0))&amp;"","")</f>
        <v/>
      </c>
      <c r="K136" s="21" t="str">
        <f aca="false">IFERROR(INDEX(종합!K$3:K$501,MATCH(ROW()-2,종합!$AD$3:$AD$501,0))&amp;"","")</f>
        <v/>
      </c>
      <c r="L136" s="21" t="str">
        <f aca="false">IFERROR(INDEX(종합!L$3:L$501,MATCH(ROW()-2,종합!$AD$3:$AD$501,0))&amp;"","")</f>
        <v/>
      </c>
      <c r="M136" s="21" t="str">
        <f aca="false">IFERROR(INDEX(종합!M$3:M$501,MATCH(ROW()-2,종합!$AD$3:$AD$501,0))&amp;"","")</f>
        <v/>
      </c>
      <c r="N136" s="25" t="str">
        <f aca="false">IFERROR(INDEX(종합!N$3:N$501,MATCH(ROW()-2,종합!$AD$3:$AD$501,0))&amp;"","")</f>
        <v/>
      </c>
      <c r="O136" s="21" t="str">
        <f aca="false">IFERROR(INDEX(종합!O$3:O$501,MATCH(ROW()-2,종합!$AD$3:$AD$501,0))&amp;"","")</f>
        <v/>
      </c>
      <c r="P136" s="21" t="str">
        <f aca="false">IFERROR(INDEX(종합!P$3:P$501,MATCH(ROW()-2,종합!$AD$3:$AD$501,0))&amp;"","")</f>
        <v/>
      </c>
      <c r="Q136" s="21" t="str">
        <f aca="false">IFERROR(INDEX(종합!Q$3:Q$501,MATCH(ROW()-2,종합!$AD$3:$AD$501,0))&amp;"","")</f>
        <v/>
      </c>
      <c r="R136" s="21" t="str">
        <f aca="false">IFERROR(INDEX(종합!R$3:R$501,MATCH(ROW()-2,종합!$AD$3:$AD$501,0))&amp;"","")</f>
        <v/>
      </c>
      <c r="S136" s="21" t="str">
        <f aca="false">IFERROR(INDEX(종합!S$3:S$501,MATCH(ROW()-2,종합!$AD$3:$AD$501,0))&amp;"","")</f>
        <v/>
      </c>
      <c r="T136" s="21" t="str">
        <f aca="false">IFERROR(INDEX(종합!T$3:T$501,MATCH(ROW()-2,종합!$AD$3:$AD$501,0))&amp;"","")</f>
        <v/>
      </c>
      <c r="U136" s="21" t="str">
        <f aca="false">IFERROR(INDEX(종합!U$3:U$501,MATCH(ROW()-2,종합!$AD$3:$AD$501,0))&amp;"","")</f>
        <v/>
      </c>
      <c r="V136" s="21" t="str">
        <f aca="false">IFERROR(INDEX(종합!V$3:V$501,MATCH(ROW()-2,종합!$AD$3:$AD$501,0))&amp;"","")</f>
        <v/>
      </c>
      <c r="W136" s="21" t="str">
        <f aca="false">IFERROR(INDEX(종합!W$3:W$501,MATCH(ROW()-2,종합!$AD$3:$AD$501,0))&amp;"","")</f>
        <v/>
      </c>
      <c r="X136" s="21" t="str">
        <f aca="false">IFERROR(INDEX(종합!X$3:X$501,MATCH(ROW()-2,종합!$AD$3:$AD$501,0))&amp;"","")</f>
        <v/>
      </c>
      <c r="Y136" s="21" t="str">
        <f aca="false">IFERROR(INDEX(종합!Y$3:Y$501,MATCH(ROW()-2,종합!$AD$3:$AD$501,0))&amp;"","")</f>
        <v/>
      </c>
      <c r="Z136" s="21" t="str">
        <f aca="false">IFERROR(INDEX(종합!Z$3:Z$501,MATCH(ROW()-2,종합!$AD$3:$AD$501,0))&amp;"","")</f>
        <v/>
      </c>
      <c r="AA136" s="23" t="str">
        <f aca="false">IFERROR(INDEX(종합!AA$3:AA$501,MATCH(ROW()-2,종합!$AD$3:$AD$501,0))&amp;"","")</f>
        <v/>
      </c>
    </row>
    <row r="137" customFormat="false" ht="22.5" hidden="false" customHeight="true" outlineLevel="0" collapsed="false">
      <c r="A137" s="18" t="str">
        <f aca="false">IF(B137="","",ROW()-2)</f>
        <v/>
      </c>
      <c r="B137" s="18" t="str">
        <f aca="false">IFERROR(INDEX(종합!B$3:B$501,MATCH(ROW()-2,종합!$AD$3:$AD$501,0))&amp;"","")</f>
        <v/>
      </c>
      <c r="C137" s="18" t="str">
        <f aca="false">IFERROR(INDEX(종합!C$3:C$501,MATCH(ROW()-2,종합!$AD$3:$AD$501,0))&amp;"","")</f>
        <v/>
      </c>
      <c r="D137" s="18" t="str">
        <f aca="false">IFERROR(INDEX(종합!D$3:D$501,MATCH(ROW()-2,종합!$AD$3:$AD$501,0))&amp;"","")</f>
        <v/>
      </c>
      <c r="E137" s="18" t="str">
        <f aca="false">IFERROR(INDEX(종합!E$3:E$501,MATCH(ROW()-2,종합!$AD$3:$AD$501,0))&amp;"","")</f>
        <v/>
      </c>
      <c r="F137" s="18" t="str">
        <f aca="false">IFERROR(INDEX(종합!F$3:F$501,MATCH(ROW()-2,종합!$AD$3:$AD$501,0))&amp;"","")</f>
        <v/>
      </c>
      <c r="G137" s="18" t="str">
        <f aca="false">IFERROR(INDEX(종합!G$3:G$501,MATCH(ROW()-2,종합!$AD$3:$AD$501,0))&amp;"","")</f>
        <v/>
      </c>
      <c r="H137" s="21" t="str">
        <f aca="false">IFERROR(INDEX(종합!H$3:H$501,MATCH(ROW()-2,종합!$AD$3:$AD$501,0))&amp;"","")</f>
        <v/>
      </c>
      <c r="I137" s="21" t="str">
        <f aca="false">IFERROR(INDEX(종합!I$3:I$501,MATCH(ROW()-2,종합!$AD$3:$AD$501,0))&amp;"","")</f>
        <v/>
      </c>
      <c r="J137" s="21" t="str">
        <f aca="false">IFERROR(INDEX(종합!J$3:J$501,MATCH(ROW()-2,종합!$AD$3:$AD$501,0))&amp;"","")</f>
        <v/>
      </c>
      <c r="K137" s="21" t="str">
        <f aca="false">IFERROR(INDEX(종합!K$3:K$501,MATCH(ROW()-2,종합!$AD$3:$AD$501,0))&amp;"","")</f>
        <v/>
      </c>
      <c r="L137" s="21" t="str">
        <f aca="false">IFERROR(INDEX(종합!L$3:L$501,MATCH(ROW()-2,종합!$AD$3:$AD$501,0))&amp;"","")</f>
        <v/>
      </c>
      <c r="M137" s="21" t="str">
        <f aca="false">IFERROR(INDEX(종합!M$3:M$501,MATCH(ROW()-2,종합!$AD$3:$AD$501,0))&amp;"","")</f>
        <v/>
      </c>
      <c r="N137" s="25" t="str">
        <f aca="false">IFERROR(INDEX(종합!N$3:N$501,MATCH(ROW()-2,종합!$AD$3:$AD$501,0))&amp;"","")</f>
        <v/>
      </c>
      <c r="O137" s="21" t="str">
        <f aca="false">IFERROR(INDEX(종합!O$3:O$501,MATCH(ROW()-2,종합!$AD$3:$AD$501,0))&amp;"","")</f>
        <v/>
      </c>
      <c r="P137" s="21" t="str">
        <f aca="false">IFERROR(INDEX(종합!P$3:P$501,MATCH(ROW()-2,종합!$AD$3:$AD$501,0))&amp;"","")</f>
        <v/>
      </c>
      <c r="Q137" s="21" t="str">
        <f aca="false">IFERROR(INDEX(종합!Q$3:Q$501,MATCH(ROW()-2,종합!$AD$3:$AD$501,0))&amp;"","")</f>
        <v/>
      </c>
      <c r="R137" s="21" t="str">
        <f aca="false">IFERROR(INDEX(종합!R$3:R$501,MATCH(ROW()-2,종합!$AD$3:$AD$501,0))&amp;"","")</f>
        <v/>
      </c>
      <c r="S137" s="21" t="str">
        <f aca="false">IFERROR(INDEX(종합!S$3:S$501,MATCH(ROW()-2,종합!$AD$3:$AD$501,0))&amp;"","")</f>
        <v/>
      </c>
      <c r="T137" s="21" t="str">
        <f aca="false">IFERROR(INDEX(종합!T$3:T$501,MATCH(ROW()-2,종합!$AD$3:$AD$501,0))&amp;"","")</f>
        <v/>
      </c>
      <c r="U137" s="21" t="str">
        <f aca="false">IFERROR(INDEX(종합!U$3:U$501,MATCH(ROW()-2,종합!$AD$3:$AD$501,0))&amp;"","")</f>
        <v/>
      </c>
      <c r="V137" s="21" t="str">
        <f aca="false">IFERROR(INDEX(종합!V$3:V$501,MATCH(ROW()-2,종합!$AD$3:$AD$501,0))&amp;"","")</f>
        <v/>
      </c>
      <c r="W137" s="21" t="str">
        <f aca="false">IFERROR(INDEX(종합!W$3:W$501,MATCH(ROW()-2,종합!$AD$3:$AD$501,0))&amp;"","")</f>
        <v/>
      </c>
      <c r="X137" s="21" t="str">
        <f aca="false">IFERROR(INDEX(종합!X$3:X$501,MATCH(ROW()-2,종합!$AD$3:$AD$501,0))&amp;"","")</f>
        <v/>
      </c>
      <c r="Y137" s="21" t="str">
        <f aca="false">IFERROR(INDEX(종합!Y$3:Y$501,MATCH(ROW()-2,종합!$AD$3:$AD$501,0))&amp;"","")</f>
        <v/>
      </c>
      <c r="Z137" s="21" t="str">
        <f aca="false">IFERROR(INDEX(종합!Z$3:Z$501,MATCH(ROW()-2,종합!$AD$3:$AD$501,0))&amp;"","")</f>
        <v/>
      </c>
      <c r="AA137" s="23" t="str">
        <f aca="false">IFERROR(INDEX(종합!AA$3:AA$501,MATCH(ROW()-2,종합!$AD$3:$AD$501,0))&amp;"","")</f>
        <v/>
      </c>
    </row>
    <row r="138" customFormat="false" ht="47.25" hidden="false" customHeight="true" outlineLevel="0" collapsed="false">
      <c r="A138" s="18" t="str">
        <f aca="false">IF(B138="","",ROW()-2)</f>
        <v/>
      </c>
      <c r="B138" s="18" t="str">
        <f aca="false">IFERROR(INDEX(종합!B$3:B$501,MATCH(ROW()-2,종합!$AD$3:$AD$501,0))&amp;"","")</f>
        <v/>
      </c>
      <c r="C138" s="18" t="str">
        <f aca="false">IFERROR(INDEX(종합!C$3:C$501,MATCH(ROW()-2,종합!$AD$3:$AD$501,0))&amp;"","")</f>
        <v/>
      </c>
      <c r="D138" s="18" t="str">
        <f aca="false">IFERROR(INDEX(종합!D$3:D$501,MATCH(ROW()-2,종합!$AD$3:$AD$501,0))&amp;"","")</f>
        <v/>
      </c>
      <c r="E138" s="18" t="str">
        <f aca="false">IFERROR(INDEX(종합!E$3:E$501,MATCH(ROW()-2,종합!$AD$3:$AD$501,0))&amp;"","")</f>
        <v/>
      </c>
      <c r="F138" s="18" t="str">
        <f aca="false">IFERROR(INDEX(종합!F$3:F$501,MATCH(ROW()-2,종합!$AD$3:$AD$501,0))&amp;"","")</f>
        <v/>
      </c>
      <c r="G138" s="18" t="str">
        <f aca="false">IFERROR(INDEX(종합!G$3:G$501,MATCH(ROW()-2,종합!$AD$3:$AD$501,0))&amp;"","")</f>
        <v/>
      </c>
      <c r="H138" s="21" t="str">
        <f aca="false">IFERROR(INDEX(종합!H$3:H$501,MATCH(ROW()-2,종합!$AD$3:$AD$501,0))&amp;"","")</f>
        <v/>
      </c>
      <c r="I138" s="21" t="str">
        <f aca="false">IFERROR(INDEX(종합!I$3:I$501,MATCH(ROW()-2,종합!$AD$3:$AD$501,0))&amp;"","")</f>
        <v/>
      </c>
      <c r="J138" s="21" t="str">
        <f aca="false">IFERROR(INDEX(종합!J$3:J$501,MATCH(ROW()-2,종합!$AD$3:$AD$501,0))&amp;"","")</f>
        <v/>
      </c>
      <c r="K138" s="21" t="str">
        <f aca="false">IFERROR(INDEX(종합!K$3:K$501,MATCH(ROW()-2,종합!$AD$3:$AD$501,0))&amp;"","")</f>
        <v/>
      </c>
      <c r="L138" s="21" t="str">
        <f aca="false">IFERROR(INDEX(종합!L$3:L$501,MATCH(ROW()-2,종합!$AD$3:$AD$501,0))&amp;"","")</f>
        <v/>
      </c>
      <c r="M138" s="21" t="str">
        <f aca="false">IFERROR(INDEX(종합!M$3:M$501,MATCH(ROW()-2,종합!$AD$3:$AD$501,0))&amp;"","")</f>
        <v/>
      </c>
      <c r="N138" s="25" t="str">
        <f aca="false">IFERROR(INDEX(종합!N$3:N$501,MATCH(ROW()-2,종합!$AD$3:$AD$501,0))&amp;"","")</f>
        <v/>
      </c>
      <c r="O138" s="21" t="str">
        <f aca="false">IFERROR(INDEX(종합!O$3:O$501,MATCH(ROW()-2,종합!$AD$3:$AD$501,0))&amp;"","")</f>
        <v/>
      </c>
      <c r="P138" s="21" t="str">
        <f aca="false">IFERROR(INDEX(종합!P$3:P$501,MATCH(ROW()-2,종합!$AD$3:$AD$501,0))&amp;"","")</f>
        <v/>
      </c>
      <c r="Q138" s="21" t="str">
        <f aca="false">IFERROR(INDEX(종합!Q$3:Q$501,MATCH(ROW()-2,종합!$AD$3:$AD$501,0))&amp;"","")</f>
        <v/>
      </c>
      <c r="R138" s="21" t="str">
        <f aca="false">IFERROR(INDEX(종합!R$3:R$501,MATCH(ROW()-2,종합!$AD$3:$AD$501,0))&amp;"","")</f>
        <v/>
      </c>
      <c r="S138" s="21" t="str">
        <f aca="false">IFERROR(INDEX(종합!S$3:S$501,MATCH(ROW()-2,종합!$AD$3:$AD$501,0))&amp;"","")</f>
        <v/>
      </c>
      <c r="T138" s="21" t="str">
        <f aca="false">IFERROR(INDEX(종합!T$3:T$501,MATCH(ROW()-2,종합!$AD$3:$AD$501,0))&amp;"","")</f>
        <v/>
      </c>
      <c r="U138" s="21" t="str">
        <f aca="false">IFERROR(INDEX(종합!U$3:U$501,MATCH(ROW()-2,종합!$AD$3:$AD$501,0))&amp;"","")</f>
        <v/>
      </c>
      <c r="V138" s="21" t="str">
        <f aca="false">IFERROR(INDEX(종합!V$3:V$501,MATCH(ROW()-2,종합!$AD$3:$AD$501,0))&amp;"","")</f>
        <v/>
      </c>
      <c r="W138" s="21" t="str">
        <f aca="false">IFERROR(INDEX(종합!W$3:W$501,MATCH(ROW()-2,종합!$AD$3:$AD$501,0))&amp;"","")</f>
        <v/>
      </c>
      <c r="X138" s="21" t="str">
        <f aca="false">IFERROR(INDEX(종합!X$3:X$501,MATCH(ROW()-2,종합!$AD$3:$AD$501,0))&amp;"","")</f>
        <v/>
      </c>
      <c r="Y138" s="21" t="str">
        <f aca="false">IFERROR(INDEX(종합!Y$3:Y$501,MATCH(ROW()-2,종합!$AD$3:$AD$501,0))&amp;"","")</f>
        <v/>
      </c>
      <c r="Z138" s="21" t="str">
        <f aca="false">IFERROR(INDEX(종합!Z$3:Z$501,MATCH(ROW()-2,종합!$AD$3:$AD$501,0))&amp;"","")</f>
        <v/>
      </c>
      <c r="AA138" s="23" t="str">
        <f aca="false">IFERROR(INDEX(종합!AA$3:AA$501,MATCH(ROW()-2,종합!$AD$3:$AD$501,0))&amp;"","")</f>
        <v/>
      </c>
    </row>
    <row r="139" customFormat="false" ht="33.75" hidden="false" customHeight="true" outlineLevel="0" collapsed="false">
      <c r="A139" s="18" t="str">
        <f aca="false">IF(B139="","",ROW()-2)</f>
        <v/>
      </c>
      <c r="B139" s="18" t="str">
        <f aca="false">IFERROR(INDEX(종합!B$3:B$501,MATCH(ROW()-2,종합!$AD$3:$AD$501,0))&amp;"","")</f>
        <v/>
      </c>
      <c r="C139" s="18" t="str">
        <f aca="false">IFERROR(INDEX(종합!C$3:C$501,MATCH(ROW()-2,종합!$AD$3:$AD$501,0))&amp;"","")</f>
        <v/>
      </c>
      <c r="D139" s="18" t="str">
        <f aca="false">IFERROR(INDEX(종합!D$3:D$501,MATCH(ROW()-2,종합!$AD$3:$AD$501,0))&amp;"","")</f>
        <v/>
      </c>
      <c r="E139" s="18" t="str">
        <f aca="false">IFERROR(INDEX(종합!E$3:E$501,MATCH(ROW()-2,종합!$AD$3:$AD$501,0))&amp;"","")</f>
        <v/>
      </c>
      <c r="F139" s="18" t="str">
        <f aca="false">IFERROR(INDEX(종합!F$3:F$501,MATCH(ROW()-2,종합!$AD$3:$AD$501,0))&amp;"","")</f>
        <v/>
      </c>
      <c r="G139" s="18" t="str">
        <f aca="false">IFERROR(INDEX(종합!G$3:G$501,MATCH(ROW()-2,종합!$AD$3:$AD$501,0))&amp;"","")</f>
        <v/>
      </c>
      <c r="H139" s="21" t="str">
        <f aca="false">IFERROR(INDEX(종합!H$3:H$501,MATCH(ROW()-2,종합!$AD$3:$AD$501,0))&amp;"","")</f>
        <v/>
      </c>
      <c r="I139" s="21" t="str">
        <f aca="false">IFERROR(INDEX(종합!I$3:I$501,MATCH(ROW()-2,종합!$AD$3:$AD$501,0))&amp;"","")</f>
        <v/>
      </c>
      <c r="J139" s="21" t="str">
        <f aca="false">IFERROR(INDEX(종합!J$3:J$501,MATCH(ROW()-2,종합!$AD$3:$AD$501,0))&amp;"","")</f>
        <v/>
      </c>
      <c r="K139" s="21" t="str">
        <f aca="false">IFERROR(INDEX(종합!K$3:K$501,MATCH(ROW()-2,종합!$AD$3:$AD$501,0))&amp;"","")</f>
        <v/>
      </c>
      <c r="L139" s="21" t="str">
        <f aca="false">IFERROR(INDEX(종합!L$3:L$501,MATCH(ROW()-2,종합!$AD$3:$AD$501,0))&amp;"","")</f>
        <v/>
      </c>
      <c r="M139" s="21" t="str">
        <f aca="false">IFERROR(INDEX(종합!M$3:M$501,MATCH(ROW()-2,종합!$AD$3:$AD$501,0))&amp;"","")</f>
        <v/>
      </c>
      <c r="N139" s="25" t="str">
        <f aca="false">IFERROR(INDEX(종합!N$3:N$501,MATCH(ROW()-2,종합!$AD$3:$AD$501,0))&amp;"","")</f>
        <v/>
      </c>
      <c r="O139" s="21" t="str">
        <f aca="false">IFERROR(INDEX(종합!O$3:O$501,MATCH(ROW()-2,종합!$AD$3:$AD$501,0))&amp;"","")</f>
        <v/>
      </c>
      <c r="P139" s="21" t="str">
        <f aca="false">IFERROR(INDEX(종합!P$3:P$501,MATCH(ROW()-2,종합!$AD$3:$AD$501,0))&amp;"","")</f>
        <v/>
      </c>
      <c r="Q139" s="21" t="str">
        <f aca="false">IFERROR(INDEX(종합!Q$3:Q$501,MATCH(ROW()-2,종합!$AD$3:$AD$501,0))&amp;"","")</f>
        <v/>
      </c>
      <c r="R139" s="21" t="str">
        <f aca="false">IFERROR(INDEX(종합!R$3:R$501,MATCH(ROW()-2,종합!$AD$3:$AD$501,0))&amp;"","")</f>
        <v/>
      </c>
      <c r="S139" s="21" t="str">
        <f aca="false">IFERROR(INDEX(종합!S$3:S$501,MATCH(ROW()-2,종합!$AD$3:$AD$501,0))&amp;"","")</f>
        <v/>
      </c>
      <c r="T139" s="21" t="str">
        <f aca="false">IFERROR(INDEX(종합!T$3:T$501,MATCH(ROW()-2,종합!$AD$3:$AD$501,0))&amp;"","")</f>
        <v/>
      </c>
      <c r="U139" s="21" t="str">
        <f aca="false">IFERROR(INDEX(종합!U$3:U$501,MATCH(ROW()-2,종합!$AD$3:$AD$501,0))&amp;"","")</f>
        <v/>
      </c>
      <c r="V139" s="21" t="str">
        <f aca="false">IFERROR(INDEX(종합!V$3:V$501,MATCH(ROW()-2,종합!$AD$3:$AD$501,0))&amp;"","")</f>
        <v/>
      </c>
      <c r="W139" s="21" t="str">
        <f aca="false">IFERROR(INDEX(종합!W$3:W$501,MATCH(ROW()-2,종합!$AD$3:$AD$501,0))&amp;"","")</f>
        <v/>
      </c>
      <c r="X139" s="21" t="str">
        <f aca="false">IFERROR(INDEX(종합!X$3:X$501,MATCH(ROW()-2,종합!$AD$3:$AD$501,0))&amp;"","")</f>
        <v/>
      </c>
      <c r="Y139" s="21" t="str">
        <f aca="false">IFERROR(INDEX(종합!Y$3:Y$501,MATCH(ROW()-2,종합!$AD$3:$AD$501,0))&amp;"","")</f>
        <v/>
      </c>
      <c r="Z139" s="21" t="str">
        <f aca="false">IFERROR(INDEX(종합!Z$3:Z$501,MATCH(ROW()-2,종합!$AD$3:$AD$501,0))&amp;"","")</f>
        <v/>
      </c>
      <c r="AA139" s="23" t="str">
        <f aca="false">IFERROR(INDEX(종합!AA$3:AA$501,MATCH(ROW()-2,종합!$AD$3:$AD$501,0))&amp;"","")</f>
        <v/>
      </c>
    </row>
    <row r="140" customFormat="false" ht="22.5" hidden="false" customHeight="true" outlineLevel="0" collapsed="false">
      <c r="A140" s="18" t="str">
        <f aca="false">IF(B140="","",ROW()-2)</f>
        <v/>
      </c>
      <c r="B140" s="18" t="str">
        <f aca="false">IFERROR(INDEX(종합!B$3:B$501,MATCH(ROW()-2,종합!$AD$3:$AD$501,0))&amp;"","")</f>
        <v/>
      </c>
      <c r="C140" s="18" t="str">
        <f aca="false">IFERROR(INDEX(종합!C$3:C$501,MATCH(ROW()-2,종합!$AD$3:$AD$501,0))&amp;"","")</f>
        <v/>
      </c>
      <c r="D140" s="18" t="str">
        <f aca="false">IFERROR(INDEX(종합!D$3:D$501,MATCH(ROW()-2,종합!$AD$3:$AD$501,0))&amp;"","")</f>
        <v/>
      </c>
      <c r="E140" s="18" t="str">
        <f aca="false">IFERROR(INDEX(종합!E$3:E$501,MATCH(ROW()-2,종합!$AD$3:$AD$501,0))&amp;"","")</f>
        <v/>
      </c>
      <c r="F140" s="18" t="str">
        <f aca="false">IFERROR(INDEX(종합!F$3:F$501,MATCH(ROW()-2,종합!$AD$3:$AD$501,0))&amp;"","")</f>
        <v/>
      </c>
      <c r="G140" s="18" t="str">
        <f aca="false">IFERROR(INDEX(종합!G$3:G$501,MATCH(ROW()-2,종합!$AD$3:$AD$501,0))&amp;"","")</f>
        <v/>
      </c>
      <c r="H140" s="21" t="str">
        <f aca="false">IFERROR(INDEX(종합!H$3:H$501,MATCH(ROW()-2,종합!$AD$3:$AD$501,0))&amp;"","")</f>
        <v/>
      </c>
      <c r="I140" s="21" t="str">
        <f aca="false">IFERROR(INDEX(종합!I$3:I$501,MATCH(ROW()-2,종합!$AD$3:$AD$501,0))&amp;"","")</f>
        <v/>
      </c>
      <c r="J140" s="21" t="str">
        <f aca="false">IFERROR(INDEX(종합!J$3:J$501,MATCH(ROW()-2,종합!$AD$3:$AD$501,0))&amp;"","")</f>
        <v/>
      </c>
      <c r="K140" s="21" t="str">
        <f aca="false">IFERROR(INDEX(종합!K$3:K$501,MATCH(ROW()-2,종합!$AD$3:$AD$501,0))&amp;"","")</f>
        <v/>
      </c>
      <c r="L140" s="21" t="str">
        <f aca="false">IFERROR(INDEX(종합!L$3:L$501,MATCH(ROW()-2,종합!$AD$3:$AD$501,0))&amp;"","")</f>
        <v/>
      </c>
      <c r="M140" s="21" t="str">
        <f aca="false">IFERROR(INDEX(종합!M$3:M$501,MATCH(ROW()-2,종합!$AD$3:$AD$501,0))&amp;"","")</f>
        <v/>
      </c>
      <c r="N140" s="25" t="str">
        <f aca="false">IFERROR(INDEX(종합!N$3:N$501,MATCH(ROW()-2,종합!$AD$3:$AD$501,0))&amp;"","")</f>
        <v/>
      </c>
      <c r="O140" s="21" t="str">
        <f aca="false">IFERROR(INDEX(종합!O$3:O$501,MATCH(ROW()-2,종합!$AD$3:$AD$501,0))&amp;"","")</f>
        <v/>
      </c>
      <c r="P140" s="21" t="str">
        <f aca="false">IFERROR(INDEX(종합!P$3:P$501,MATCH(ROW()-2,종합!$AD$3:$AD$501,0))&amp;"","")</f>
        <v/>
      </c>
      <c r="Q140" s="21" t="str">
        <f aca="false">IFERROR(INDEX(종합!Q$3:Q$501,MATCH(ROW()-2,종합!$AD$3:$AD$501,0))&amp;"","")</f>
        <v/>
      </c>
      <c r="R140" s="21" t="str">
        <f aca="false">IFERROR(INDEX(종합!R$3:R$501,MATCH(ROW()-2,종합!$AD$3:$AD$501,0))&amp;"","")</f>
        <v/>
      </c>
      <c r="S140" s="21" t="str">
        <f aca="false">IFERROR(INDEX(종합!S$3:S$501,MATCH(ROW()-2,종합!$AD$3:$AD$501,0))&amp;"","")</f>
        <v/>
      </c>
      <c r="T140" s="21" t="str">
        <f aca="false">IFERROR(INDEX(종합!T$3:T$501,MATCH(ROW()-2,종합!$AD$3:$AD$501,0))&amp;"","")</f>
        <v/>
      </c>
      <c r="U140" s="21" t="str">
        <f aca="false">IFERROR(INDEX(종합!U$3:U$501,MATCH(ROW()-2,종합!$AD$3:$AD$501,0))&amp;"","")</f>
        <v/>
      </c>
      <c r="V140" s="21" t="str">
        <f aca="false">IFERROR(INDEX(종합!V$3:V$501,MATCH(ROW()-2,종합!$AD$3:$AD$501,0))&amp;"","")</f>
        <v/>
      </c>
      <c r="W140" s="21" t="str">
        <f aca="false">IFERROR(INDEX(종합!W$3:W$501,MATCH(ROW()-2,종합!$AD$3:$AD$501,0))&amp;"","")</f>
        <v/>
      </c>
      <c r="X140" s="21" t="str">
        <f aca="false">IFERROR(INDEX(종합!X$3:X$501,MATCH(ROW()-2,종합!$AD$3:$AD$501,0))&amp;"","")</f>
        <v/>
      </c>
      <c r="Y140" s="21" t="str">
        <f aca="false">IFERROR(INDEX(종합!Y$3:Y$501,MATCH(ROW()-2,종합!$AD$3:$AD$501,0))&amp;"","")</f>
        <v/>
      </c>
      <c r="Z140" s="21" t="str">
        <f aca="false">IFERROR(INDEX(종합!Z$3:Z$501,MATCH(ROW()-2,종합!$AD$3:$AD$501,0))&amp;"","")</f>
        <v/>
      </c>
      <c r="AA140" s="23" t="str">
        <f aca="false">IFERROR(INDEX(종합!AA$3:AA$501,MATCH(ROW()-2,종합!$AD$3:$AD$501,0))&amp;"","")</f>
        <v/>
      </c>
    </row>
    <row r="141" customFormat="false" ht="33.75" hidden="false" customHeight="true" outlineLevel="0" collapsed="false">
      <c r="A141" s="18" t="str">
        <f aca="false">IF(B141="","",ROW()-2)</f>
        <v/>
      </c>
      <c r="B141" s="18" t="str">
        <f aca="false">IFERROR(INDEX(종합!B$3:B$501,MATCH(ROW()-2,종합!$AD$3:$AD$501,0))&amp;"","")</f>
        <v/>
      </c>
      <c r="C141" s="18" t="str">
        <f aca="false">IFERROR(INDEX(종합!C$3:C$501,MATCH(ROW()-2,종합!$AD$3:$AD$501,0))&amp;"","")</f>
        <v/>
      </c>
      <c r="D141" s="18" t="str">
        <f aca="false">IFERROR(INDEX(종합!D$3:D$501,MATCH(ROW()-2,종합!$AD$3:$AD$501,0))&amp;"","")</f>
        <v/>
      </c>
      <c r="E141" s="18" t="str">
        <f aca="false">IFERROR(INDEX(종합!E$3:E$501,MATCH(ROW()-2,종합!$AD$3:$AD$501,0))&amp;"","")</f>
        <v/>
      </c>
      <c r="F141" s="18" t="str">
        <f aca="false">IFERROR(INDEX(종합!F$3:F$501,MATCH(ROW()-2,종합!$AD$3:$AD$501,0))&amp;"","")</f>
        <v/>
      </c>
      <c r="G141" s="18" t="str">
        <f aca="false">IFERROR(INDEX(종합!G$3:G$501,MATCH(ROW()-2,종합!$AD$3:$AD$501,0))&amp;"","")</f>
        <v/>
      </c>
      <c r="H141" s="21" t="str">
        <f aca="false">IFERROR(INDEX(종합!H$3:H$501,MATCH(ROW()-2,종합!$AD$3:$AD$501,0))&amp;"","")</f>
        <v/>
      </c>
      <c r="I141" s="21" t="str">
        <f aca="false">IFERROR(INDEX(종합!I$3:I$501,MATCH(ROW()-2,종합!$AD$3:$AD$501,0))&amp;"","")</f>
        <v/>
      </c>
      <c r="J141" s="21" t="str">
        <f aca="false">IFERROR(INDEX(종합!J$3:J$501,MATCH(ROW()-2,종합!$AD$3:$AD$501,0))&amp;"","")</f>
        <v/>
      </c>
      <c r="K141" s="21" t="str">
        <f aca="false">IFERROR(INDEX(종합!K$3:K$501,MATCH(ROW()-2,종합!$AD$3:$AD$501,0))&amp;"","")</f>
        <v/>
      </c>
      <c r="L141" s="21" t="str">
        <f aca="false">IFERROR(INDEX(종합!L$3:L$501,MATCH(ROW()-2,종합!$AD$3:$AD$501,0))&amp;"","")</f>
        <v/>
      </c>
      <c r="M141" s="21" t="str">
        <f aca="false">IFERROR(INDEX(종합!M$3:M$501,MATCH(ROW()-2,종합!$AD$3:$AD$501,0))&amp;"","")</f>
        <v/>
      </c>
      <c r="N141" s="25" t="str">
        <f aca="false">IFERROR(INDEX(종합!N$3:N$501,MATCH(ROW()-2,종합!$AD$3:$AD$501,0))&amp;"","")</f>
        <v/>
      </c>
      <c r="O141" s="21" t="str">
        <f aca="false">IFERROR(INDEX(종합!O$3:O$501,MATCH(ROW()-2,종합!$AD$3:$AD$501,0))&amp;"","")</f>
        <v/>
      </c>
      <c r="P141" s="21" t="str">
        <f aca="false">IFERROR(INDEX(종합!P$3:P$501,MATCH(ROW()-2,종합!$AD$3:$AD$501,0))&amp;"","")</f>
        <v/>
      </c>
      <c r="Q141" s="21" t="str">
        <f aca="false">IFERROR(INDEX(종합!Q$3:Q$501,MATCH(ROW()-2,종합!$AD$3:$AD$501,0))&amp;"","")</f>
        <v/>
      </c>
      <c r="R141" s="21" t="str">
        <f aca="false">IFERROR(INDEX(종합!R$3:R$501,MATCH(ROW()-2,종합!$AD$3:$AD$501,0))&amp;"","")</f>
        <v/>
      </c>
      <c r="S141" s="21" t="str">
        <f aca="false">IFERROR(INDEX(종합!S$3:S$501,MATCH(ROW()-2,종합!$AD$3:$AD$501,0))&amp;"","")</f>
        <v/>
      </c>
      <c r="T141" s="21" t="str">
        <f aca="false">IFERROR(INDEX(종합!T$3:T$501,MATCH(ROW()-2,종합!$AD$3:$AD$501,0))&amp;"","")</f>
        <v/>
      </c>
      <c r="U141" s="21" t="str">
        <f aca="false">IFERROR(INDEX(종합!U$3:U$501,MATCH(ROW()-2,종합!$AD$3:$AD$501,0))&amp;"","")</f>
        <v/>
      </c>
      <c r="V141" s="21" t="str">
        <f aca="false">IFERROR(INDEX(종합!V$3:V$501,MATCH(ROW()-2,종합!$AD$3:$AD$501,0))&amp;"","")</f>
        <v/>
      </c>
      <c r="W141" s="21" t="str">
        <f aca="false">IFERROR(INDEX(종합!W$3:W$501,MATCH(ROW()-2,종합!$AD$3:$AD$501,0))&amp;"","")</f>
        <v/>
      </c>
      <c r="X141" s="21" t="str">
        <f aca="false">IFERROR(INDEX(종합!X$3:X$501,MATCH(ROW()-2,종합!$AD$3:$AD$501,0))&amp;"","")</f>
        <v/>
      </c>
      <c r="Y141" s="21" t="str">
        <f aca="false">IFERROR(INDEX(종합!Y$3:Y$501,MATCH(ROW()-2,종합!$AD$3:$AD$501,0))&amp;"","")</f>
        <v/>
      </c>
      <c r="Z141" s="21" t="str">
        <f aca="false">IFERROR(INDEX(종합!Z$3:Z$501,MATCH(ROW()-2,종합!$AD$3:$AD$501,0))&amp;"","")</f>
        <v/>
      </c>
      <c r="AA141" s="23" t="str">
        <f aca="false">IFERROR(INDEX(종합!AA$3:AA$501,MATCH(ROW()-2,종합!$AD$3:$AD$501,0))&amp;"","")</f>
        <v/>
      </c>
    </row>
    <row r="142" customFormat="false" ht="22.5" hidden="false" customHeight="true" outlineLevel="0" collapsed="false">
      <c r="A142" s="18" t="str">
        <f aca="false">IF(B142="","",ROW()-2)</f>
        <v/>
      </c>
      <c r="B142" s="18" t="str">
        <f aca="false">IFERROR(INDEX(종합!B$3:B$501,MATCH(ROW()-2,종합!$AD$3:$AD$501,0))&amp;"","")</f>
        <v/>
      </c>
      <c r="C142" s="18" t="str">
        <f aca="false">IFERROR(INDEX(종합!C$3:C$501,MATCH(ROW()-2,종합!$AD$3:$AD$501,0))&amp;"","")</f>
        <v/>
      </c>
      <c r="D142" s="18" t="str">
        <f aca="false">IFERROR(INDEX(종합!D$3:D$501,MATCH(ROW()-2,종합!$AD$3:$AD$501,0))&amp;"","")</f>
        <v/>
      </c>
      <c r="E142" s="18" t="str">
        <f aca="false">IFERROR(INDEX(종합!E$3:E$501,MATCH(ROW()-2,종합!$AD$3:$AD$501,0))&amp;"","")</f>
        <v/>
      </c>
      <c r="F142" s="18" t="str">
        <f aca="false">IFERROR(INDEX(종합!F$3:F$501,MATCH(ROW()-2,종합!$AD$3:$AD$501,0))&amp;"","")</f>
        <v/>
      </c>
      <c r="G142" s="18" t="str">
        <f aca="false">IFERROR(INDEX(종합!G$3:G$501,MATCH(ROW()-2,종합!$AD$3:$AD$501,0))&amp;"","")</f>
        <v/>
      </c>
      <c r="H142" s="21" t="str">
        <f aca="false">IFERROR(INDEX(종합!H$3:H$501,MATCH(ROW()-2,종합!$AD$3:$AD$501,0))&amp;"","")</f>
        <v/>
      </c>
      <c r="I142" s="21" t="str">
        <f aca="false">IFERROR(INDEX(종합!I$3:I$501,MATCH(ROW()-2,종합!$AD$3:$AD$501,0))&amp;"","")</f>
        <v/>
      </c>
      <c r="J142" s="21" t="str">
        <f aca="false">IFERROR(INDEX(종합!J$3:J$501,MATCH(ROW()-2,종합!$AD$3:$AD$501,0))&amp;"","")</f>
        <v/>
      </c>
      <c r="K142" s="21" t="str">
        <f aca="false">IFERROR(INDEX(종합!K$3:K$501,MATCH(ROW()-2,종합!$AD$3:$AD$501,0))&amp;"","")</f>
        <v/>
      </c>
      <c r="L142" s="21" t="str">
        <f aca="false">IFERROR(INDEX(종합!L$3:L$501,MATCH(ROW()-2,종합!$AD$3:$AD$501,0))&amp;"","")</f>
        <v/>
      </c>
      <c r="M142" s="21" t="str">
        <f aca="false">IFERROR(INDEX(종합!M$3:M$501,MATCH(ROW()-2,종합!$AD$3:$AD$501,0))&amp;"","")</f>
        <v/>
      </c>
      <c r="N142" s="25" t="str">
        <f aca="false">IFERROR(INDEX(종합!N$3:N$501,MATCH(ROW()-2,종합!$AD$3:$AD$501,0))&amp;"","")</f>
        <v/>
      </c>
      <c r="O142" s="21" t="str">
        <f aca="false">IFERROR(INDEX(종합!O$3:O$501,MATCH(ROW()-2,종합!$AD$3:$AD$501,0))&amp;"","")</f>
        <v/>
      </c>
      <c r="P142" s="21" t="str">
        <f aca="false">IFERROR(INDEX(종합!P$3:P$501,MATCH(ROW()-2,종합!$AD$3:$AD$501,0))&amp;"","")</f>
        <v/>
      </c>
      <c r="Q142" s="21" t="str">
        <f aca="false">IFERROR(INDEX(종합!Q$3:Q$501,MATCH(ROW()-2,종합!$AD$3:$AD$501,0))&amp;"","")</f>
        <v/>
      </c>
      <c r="R142" s="21" t="str">
        <f aca="false">IFERROR(INDEX(종합!R$3:R$501,MATCH(ROW()-2,종합!$AD$3:$AD$501,0))&amp;"","")</f>
        <v/>
      </c>
      <c r="S142" s="21" t="str">
        <f aca="false">IFERROR(INDEX(종합!S$3:S$501,MATCH(ROW()-2,종합!$AD$3:$AD$501,0))&amp;"","")</f>
        <v/>
      </c>
      <c r="T142" s="21" t="str">
        <f aca="false">IFERROR(INDEX(종합!T$3:T$501,MATCH(ROW()-2,종합!$AD$3:$AD$501,0))&amp;"","")</f>
        <v/>
      </c>
      <c r="U142" s="21" t="str">
        <f aca="false">IFERROR(INDEX(종합!U$3:U$501,MATCH(ROW()-2,종합!$AD$3:$AD$501,0))&amp;"","")</f>
        <v/>
      </c>
      <c r="V142" s="21" t="str">
        <f aca="false">IFERROR(INDEX(종합!V$3:V$501,MATCH(ROW()-2,종합!$AD$3:$AD$501,0))&amp;"","")</f>
        <v/>
      </c>
      <c r="W142" s="21" t="str">
        <f aca="false">IFERROR(INDEX(종합!W$3:W$501,MATCH(ROW()-2,종합!$AD$3:$AD$501,0))&amp;"","")</f>
        <v/>
      </c>
      <c r="X142" s="21" t="str">
        <f aca="false">IFERROR(INDEX(종합!X$3:X$501,MATCH(ROW()-2,종합!$AD$3:$AD$501,0))&amp;"","")</f>
        <v/>
      </c>
      <c r="Y142" s="21" t="str">
        <f aca="false">IFERROR(INDEX(종합!Y$3:Y$501,MATCH(ROW()-2,종합!$AD$3:$AD$501,0))&amp;"","")</f>
        <v/>
      </c>
      <c r="Z142" s="21" t="str">
        <f aca="false">IFERROR(INDEX(종합!Z$3:Z$501,MATCH(ROW()-2,종합!$AD$3:$AD$501,0))&amp;"","")</f>
        <v/>
      </c>
      <c r="AA142" s="23" t="str">
        <f aca="false">IFERROR(INDEX(종합!AA$3:AA$501,MATCH(ROW()-2,종합!$AD$3:$AD$501,0))&amp;"","")</f>
        <v/>
      </c>
    </row>
    <row r="143" customFormat="false" ht="87.75" hidden="false" customHeight="true" outlineLevel="0" collapsed="false">
      <c r="A143" s="18" t="str">
        <f aca="false">IF(B143="","",ROW()-2)</f>
        <v/>
      </c>
      <c r="B143" s="18" t="str">
        <f aca="false">IFERROR(INDEX(종합!B$3:B$501,MATCH(ROW()-2,종합!$AD$3:$AD$501,0))&amp;"","")</f>
        <v/>
      </c>
      <c r="C143" s="18" t="str">
        <f aca="false">IFERROR(INDEX(종합!C$3:C$501,MATCH(ROW()-2,종합!$AD$3:$AD$501,0))&amp;"","")</f>
        <v/>
      </c>
      <c r="D143" s="18" t="str">
        <f aca="false">IFERROR(INDEX(종합!D$3:D$501,MATCH(ROW()-2,종합!$AD$3:$AD$501,0))&amp;"","")</f>
        <v/>
      </c>
      <c r="E143" s="18" t="str">
        <f aca="false">IFERROR(INDEX(종합!E$3:E$501,MATCH(ROW()-2,종합!$AD$3:$AD$501,0))&amp;"","")</f>
        <v/>
      </c>
      <c r="F143" s="18" t="str">
        <f aca="false">IFERROR(INDEX(종합!F$3:F$501,MATCH(ROW()-2,종합!$AD$3:$AD$501,0))&amp;"","")</f>
        <v/>
      </c>
      <c r="G143" s="18" t="str">
        <f aca="false">IFERROR(INDEX(종합!G$3:G$501,MATCH(ROW()-2,종합!$AD$3:$AD$501,0))&amp;"","")</f>
        <v/>
      </c>
      <c r="H143" s="21" t="str">
        <f aca="false">IFERROR(INDEX(종합!H$3:H$501,MATCH(ROW()-2,종합!$AD$3:$AD$501,0))&amp;"","")</f>
        <v/>
      </c>
      <c r="I143" s="21" t="str">
        <f aca="false">IFERROR(INDEX(종합!I$3:I$501,MATCH(ROW()-2,종합!$AD$3:$AD$501,0))&amp;"","")</f>
        <v/>
      </c>
      <c r="J143" s="21" t="str">
        <f aca="false">IFERROR(INDEX(종합!J$3:J$501,MATCH(ROW()-2,종합!$AD$3:$AD$501,0))&amp;"","")</f>
        <v/>
      </c>
      <c r="K143" s="21" t="str">
        <f aca="false">IFERROR(INDEX(종합!K$3:K$501,MATCH(ROW()-2,종합!$AD$3:$AD$501,0))&amp;"","")</f>
        <v/>
      </c>
      <c r="L143" s="21" t="str">
        <f aca="false">IFERROR(INDEX(종합!L$3:L$501,MATCH(ROW()-2,종합!$AD$3:$AD$501,0))&amp;"","")</f>
        <v/>
      </c>
      <c r="M143" s="21" t="str">
        <f aca="false">IFERROR(INDEX(종합!M$3:M$501,MATCH(ROW()-2,종합!$AD$3:$AD$501,0))&amp;"","")</f>
        <v/>
      </c>
      <c r="N143" s="25" t="str">
        <f aca="false">IFERROR(INDEX(종합!N$3:N$501,MATCH(ROW()-2,종합!$AD$3:$AD$501,0))&amp;"","")</f>
        <v/>
      </c>
      <c r="O143" s="21" t="str">
        <f aca="false">IFERROR(INDEX(종합!O$3:O$501,MATCH(ROW()-2,종합!$AD$3:$AD$501,0))&amp;"","")</f>
        <v/>
      </c>
      <c r="P143" s="21" t="str">
        <f aca="false">IFERROR(INDEX(종합!P$3:P$501,MATCH(ROW()-2,종합!$AD$3:$AD$501,0))&amp;"","")</f>
        <v/>
      </c>
      <c r="Q143" s="21" t="str">
        <f aca="false">IFERROR(INDEX(종합!Q$3:Q$501,MATCH(ROW()-2,종합!$AD$3:$AD$501,0))&amp;"","")</f>
        <v/>
      </c>
      <c r="R143" s="21" t="str">
        <f aca="false">IFERROR(INDEX(종합!R$3:R$501,MATCH(ROW()-2,종합!$AD$3:$AD$501,0))&amp;"","")</f>
        <v/>
      </c>
      <c r="S143" s="21" t="str">
        <f aca="false">IFERROR(INDEX(종합!S$3:S$501,MATCH(ROW()-2,종합!$AD$3:$AD$501,0))&amp;"","")</f>
        <v/>
      </c>
      <c r="T143" s="21" t="str">
        <f aca="false">IFERROR(INDEX(종합!T$3:T$501,MATCH(ROW()-2,종합!$AD$3:$AD$501,0))&amp;"","")</f>
        <v/>
      </c>
      <c r="U143" s="21" t="str">
        <f aca="false">IFERROR(INDEX(종합!U$3:U$501,MATCH(ROW()-2,종합!$AD$3:$AD$501,0))&amp;"","")</f>
        <v/>
      </c>
      <c r="V143" s="21" t="str">
        <f aca="false">IFERROR(INDEX(종합!V$3:V$501,MATCH(ROW()-2,종합!$AD$3:$AD$501,0))&amp;"","")</f>
        <v/>
      </c>
      <c r="W143" s="21" t="str">
        <f aca="false">IFERROR(INDEX(종합!W$3:W$501,MATCH(ROW()-2,종합!$AD$3:$AD$501,0))&amp;"","")</f>
        <v/>
      </c>
      <c r="X143" s="21" t="str">
        <f aca="false">IFERROR(INDEX(종합!X$3:X$501,MATCH(ROW()-2,종합!$AD$3:$AD$501,0))&amp;"","")</f>
        <v/>
      </c>
      <c r="Y143" s="21" t="str">
        <f aca="false">IFERROR(INDEX(종합!Y$3:Y$501,MATCH(ROW()-2,종합!$AD$3:$AD$501,0))&amp;"","")</f>
        <v/>
      </c>
      <c r="Z143" s="21" t="str">
        <f aca="false">IFERROR(INDEX(종합!Z$3:Z$501,MATCH(ROW()-2,종합!$AD$3:$AD$501,0))&amp;"","")</f>
        <v/>
      </c>
      <c r="AA143" s="23" t="str">
        <f aca="false">IFERROR(INDEX(종합!AA$3:AA$501,MATCH(ROW()-2,종합!$AD$3:$AD$501,0))&amp;"","")</f>
        <v/>
      </c>
    </row>
    <row r="144" customFormat="false" ht="33.75" hidden="false" customHeight="true" outlineLevel="0" collapsed="false">
      <c r="A144" s="18" t="str">
        <f aca="false">IF(B144="","",ROW()-2)</f>
        <v/>
      </c>
      <c r="B144" s="18" t="str">
        <f aca="false">IFERROR(INDEX(종합!B$3:B$501,MATCH(ROW()-2,종합!$AD$3:$AD$501,0))&amp;"","")</f>
        <v/>
      </c>
      <c r="C144" s="18" t="str">
        <f aca="false">IFERROR(INDEX(종합!C$3:C$501,MATCH(ROW()-2,종합!$AD$3:$AD$501,0))&amp;"","")</f>
        <v/>
      </c>
      <c r="D144" s="18" t="str">
        <f aca="false">IFERROR(INDEX(종합!D$3:D$501,MATCH(ROW()-2,종합!$AD$3:$AD$501,0))&amp;"","")</f>
        <v/>
      </c>
      <c r="E144" s="18" t="str">
        <f aca="false">IFERROR(INDEX(종합!E$3:E$501,MATCH(ROW()-2,종합!$AD$3:$AD$501,0))&amp;"","")</f>
        <v/>
      </c>
      <c r="F144" s="18" t="str">
        <f aca="false">IFERROR(INDEX(종합!F$3:F$501,MATCH(ROW()-2,종합!$AD$3:$AD$501,0))&amp;"","")</f>
        <v/>
      </c>
      <c r="G144" s="18" t="str">
        <f aca="false">IFERROR(INDEX(종합!G$3:G$501,MATCH(ROW()-2,종합!$AD$3:$AD$501,0))&amp;"","")</f>
        <v/>
      </c>
      <c r="H144" s="21" t="str">
        <f aca="false">IFERROR(INDEX(종합!H$3:H$501,MATCH(ROW()-2,종합!$AD$3:$AD$501,0))&amp;"","")</f>
        <v/>
      </c>
      <c r="I144" s="21" t="str">
        <f aca="false">IFERROR(INDEX(종합!I$3:I$501,MATCH(ROW()-2,종합!$AD$3:$AD$501,0))&amp;"","")</f>
        <v/>
      </c>
      <c r="J144" s="21" t="str">
        <f aca="false">IFERROR(INDEX(종합!J$3:J$501,MATCH(ROW()-2,종합!$AD$3:$AD$501,0))&amp;"","")</f>
        <v/>
      </c>
      <c r="K144" s="21" t="str">
        <f aca="false">IFERROR(INDEX(종합!K$3:K$501,MATCH(ROW()-2,종합!$AD$3:$AD$501,0))&amp;"","")</f>
        <v/>
      </c>
      <c r="L144" s="21" t="str">
        <f aca="false">IFERROR(INDEX(종합!L$3:L$501,MATCH(ROW()-2,종합!$AD$3:$AD$501,0))&amp;"","")</f>
        <v/>
      </c>
      <c r="M144" s="21" t="str">
        <f aca="false">IFERROR(INDEX(종합!M$3:M$501,MATCH(ROW()-2,종합!$AD$3:$AD$501,0))&amp;"","")</f>
        <v/>
      </c>
      <c r="N144" s="25" t="str">
        <f aca="false">IFERROR(INDEX(종합!N$3:N$501,MATCH(ROW()-2,종합!$AD$3:$AD$501,0))&amp;"","")</f>
        <v/>
      </c>
      <c r="O144" s="21" t="str">
        <f aca="false">IFERROR(INDEX(종합!O$3:O$501,MATCH(ROW()-2,종합!$AD$3:$AD$501,0))&amp;"","")</f>
        <v/>
      </c>
      <c r="P144" s="21" t="str">
        <f aca="false">IFERROR(INDEX(종합!P$3:P$501,MATCH(ROW()-2,종합!$AD$3:$AD$501,0))&amp;"","")</f>
        <v/>
      </c>
      <c r="Q144" s="21" t="str">
        <f aca="false">IFERROR(INDEX(종합!Q$3:Q$501,MATCH(ROW()-2,종합!$AD$3:$AD$501,0))&amp;"","")</f>
        <v/>
      </c>
      <c r="R144" s="21" t="str">
        <f aca="false">IFERROR(INDEX(종합!R$3:R$501,MATCH(ROW()-2,종합!$AD$3:$AD$501,0))&amp;"","")</f>
        <v/>
      </c>
      <c r="S144" s="21" t="str">
        <f aca="false">IFERROR(INDEX(종합!S$3:S$501,MATCH(ROW()-2,종합!$AD$3:$AD$501,0))&amp;"","")</f>
        <v/>
      </c>
      <c r="T144" s="21" t="str">
        <f aca="false">IFERROR(INDEX(종합!T$3:T$501,MATCH(ROW()-2,종합!$AD$3:$AD$501,0))&amp;"","")</f>
        <v/>
      </c>
      <c r="U144" s="21" t="str">
        <f aca="false">IFERROR(INDEX(종합!U$3:U$501,MATCH(ROW()-2,종합!$AD$3:$AD$501,0))&amp;"","")</f>
        <v/>
      </c>
      <c r="V144" s="21" t="str">
        <f aca="false">IFERROR(INDEX(종합!V$3:V$501,MATCH(ROW()-2,종합!$AD$3:$AD$501,0))&amp;"","")</f>
        <v/>
      </c>
      <c r="W144" s="21" t="str">
        <f aca="false">IFERROR(INDEX(종합!W$3:W$501,MATCH(ROW()-2,종합!$AD$3:$AD$501,0))&amp;"","")</f>
        <v/>
      </c>
      <c r="X144" s="21" t="str">
        <f aca="false">IFERROR(INDEX(종합!X$3:X$501,MATCH(ROW()-2,종합!$AD$3:$AD$501,0))&amp;"","")</f>
        <v/>
      </c>
      <c r="Y144" s="21" t="str">
        <f aca="false">IFERROR(INDEX(종합!Y$3:Y$501,MATCH(ROW()-2,종합!$AD$3:$AD$501,0))&amp;"","")</f>
        <v/>
      </c>
      <c r="Z144" s="21" t="str">
        <f aca="false">IFERROR(INDEX(종합!Z$3:Z$501,MATCH(ROW()-2,종합!$AD$3:$AD$501,0))&amp;"","")</f>
        <v/>
      </c>
      <c r="AA144" s="23" t="str">
        <f aca="false">IFERROR(INDEX(종합!AA$3:AA$501,MATCH(ROW()-2,종합!$AD$3:$AD$501,0))&amp;"","")</f>
        <v/>
      </c>
    </row>
    <row r="145" customFormat="false" ht="33.75" hidden="false" customHeight="true" outlineLevel="0" collapsed="false">
      <c r="A145" s="18" t="str">
        <f aca="false">IF(B145="","",ROW()-2)</f>
        <v/>
      </c>
      <c r="B145" s="18" t="str">
        <f aca="false">IFERROR(INDEX(종합!B$3:B$501,MATCH(ROW()-2,종합!$AD$3:$AD$501,0))&amp;"","")</f>
        <v/>
      </c>
      <c r="C145" s="18" t="str">
        <f aca="false">IFERROR(INDEX(종합!C$3:C$501,MATCH(ROW()-2,종합!$AD$3:$AD$501,0))&amp;"","")</f>
        <v/>
      </c>
      <c r="D145" s="18" t="str">
        <f aca="false">IFERROR(INDEX(종합!D$3:D$501,MATCH(ROW()-2,종합!$AD$3:$AD$501,0))&amp;"","")</f>
        <v/>
      </c>
      <c r="E145" s="18" t="str">
        <f aca="false">IFERROR(INDEX(종합!E$3:E$501,MATCH(ROW()-2,종합!$AD$3:$AD$501,0))&amp;"","")</f>
        <v/>
      </c>
      <c r="F145" s="18" t="str">
        <f aca="false">IFERROR(INDEX(종합!F$3:F$501,MATCH(ROW()-2,종합!$AD$3:$AD$501,0))&amp;"","")</f>
        <v/>
      </c>
      <c r="G145" s="18" t="str">
        <f aca="false">IFERROR(INDEX(종합!G$3:G$501,MATCH(ROW()-2,종합!$AD$3:$AD$501,0))&amp;"","")</f>
        <v/>
      </c>
      <c r="H145" s="21" t="str">
        <f aca="false">IFERROR(INDEX(종합!H$3:H$501,MATCH(ROW()-2,종합!$AD$3:$AD$501,0))&amp;"","")</f>
        <v/>
      </c>
      <c r="I145" s="21" t="str">
        <f aca="false">IFERROR(INDEX(종합!I$3:I$501,MATCH(ROW()-2,종합!$AD$3:$AD$501,0))&amp;"","")</f>
        <v/>
      </c>
      <c r="J145" s="21" t="str">
        <f aca="false">IFERROR(INDEX(종합!J$3:J$501,MATCH(ROW()-2,종합!$AD$3:$AD$501,0))&amp;"","")</f>
        <v/>
      </c>
      <c r="K145" s="21" t="str">
        <f aca="false">IFERROR(INDEX(종합!K$3:K$501,MATCH(ROW()-2,종합!$AD$3:$AD$501,0))&amp;"","")</f>
        <v/>
      </c>
      <c r="L145" s="21" t="str">
        <f aca="false">IFERROR(INDEX(종합!L$3:L$501,MATCH(ROW()-2,종합!$AD$3:$AD$501,0))&amp;"","")</f>
        <v/>
      </c>
      <c r="M145" s="21" t="str">
        <f aca="false">IFERROR(INDEX(종합!M$3:M$501,MATCH(ROW()-2,종합!$AD$3:$AD$501,0))&amp;"","")</f>
        <v/>
      </c>
      <c r="N145" s="25" t="str">
        <f aca="false">IFERROR(INDEX(종합!N$3:N$501,MATCH(ROW()-2,종합!$AD$3:$AD$501,0))&amp;"","")</f>
        <v/>
      </c>
      <c r="O145" s="21" t="str">
        <f aca="false">IFERROR(INDEX(종합!O$3:O$501,MATCH(ROW()-2,종합!$AD$3:$AD$501,0))&amp;"","")</f>
        <v/>
      </c>
      <c r="P145" s="21" t="str">
        <f aca="false">IFERROR(INDEX(종합!P$3:P$501,MATCH(ROW()-2,종합!$AD$3:$AD$501,0))&amp;"","")</f>
        <v/>
      </c>
      <c r="Q145" s="21" t="str">
        <f aca="false">IFERROR(INDEX(종합!Q$3:Q$501,MATCH(ROW()-2,종합!$AD$3:$AD$501,0))&amp;"","")</f>
        <v/>
      </c>
      <c r="R145" s="21" t="str">
        <f aca="false">IFERROR(INDEX(종합!R$3:R$501,MATCH(ROW()-2,종합!$AD$3:$AD$501,0))&amp;"","")</f>
        <v/>
      </c>
      <c r="S145" s="21" t="str">
        <f aca="false">IFERROR(INDEX(종합!S$3:S$501,MATCH(ROW()-2,종합!$AD$3:$AD$501,0))&amp;"","")</f>
        <v/>
      </c>
      <c r="T145" s="21" t="str">
        <f aca="false">IFERROR(INDEX(종합!T$3:T$501,MATCH(ROW()-2,종합!$AD$3:$AD$501,0))&amp;"","")</f>
        <v/>
      </c>
      <c r="U145" s="21" t="str">
        <f aca="false">IFERROR(INDEX(종합!U$3:U$501,MATCH(ROW()-2,종합!$AD$3:$AD$501,0))&amp;"","")</f>
        <v/>
      </c>
      <c r="V145" s="21" t="str">
        <f aca="false">IFERROR(INDEX(종합!V$3:V$501,MATCH(ROW()-2,종합!$AD$3:$AD$501,0))&amp;"","")</f>
        <v/>
      </c>
      <c r="W145" s="21" t="str">
        <f aca="false">IFERROR(INDEX(종합!W$3:W$501,MATCH(ROW()-2,종합!$AD$3:$AD$501,0))&amp;"","")</f>
        <v/>
      </c>
      <c r="X145" s="21" t="str">
        <f aca="false">IFERROR(INDEX(종합!X$3:X$501,MATCH(ROW()-2,종합!$AD$3:$AD$501,0))&amp;"","")</f>
        <v/>
      </c>
      <c r="Y145" s="21" t="str">
        <f aca="false">IFERROR(INDEX(종합!Y$3:Y$501,MATCH(ROW()-2,종합!$AD$3:$AD$501,0))&amp;"","")</f>
        <v/>
      </c>
      <c r="Z145" s="21" t="str">
        <f aca="false">IFERROR(INDEX(종합!Z$3:Z$501,MATCH(ROW()-2,종합!$AD$3:$AD$501,0))&amp;"","")</f>
        <v/>
      </c>
      <c r="AA145" s="23" t="str">
        <f aca="false">IFERROR(INDEX(종합!AA$3:AA$501,MATCH(ROW()-2,종합!$AD$3:$AD$501,0))&amp;"","")</f>
        <v/>
      </c>
    </row>
    <row r="146" customFormat="false" ht="47.25" hidden="false" customHeight="true" outlineLevel="0" collapsed="false">
      <c r="A146" s="18" t="str">
        <f aca="false">IF(B146="","",ROW()-2)</f>
        <v/>
      </c>
      <c r="B146" s="18" t="str">
        <f aca="false">IFERROR(INDEX(종합!B$3:B$501,MATCH(ROW()-2,종합!$AD$3:$AD$501,0))&amp;"","")</f>
        <v/>
      </c>
      <c r="C146" s="18" t="str">
        <f aca="false">IFERROR(INDEX(종합!C$3:C$501,MATCH(ROW()-2,종합!$AD$3:$AD$501,0))&amp;"","")</f>
        <v/>
      </c>
      <c r="D146" s="18" t="str">
        <f aca="false">IFERROR(INDEX(종합!D$3:D$501,MATCH(ROW()-2,종합!$AD$3:$AD$501,0))&amp;"","")</f>
        <v/>
      </c>
      <c r="E146" s="18" t="str">
        <f aca="false">IFERROR(INDEX(종합!E$3:E$501,MATCH(ROW()-2,종합!$AD$3:$AD$501,0))&amp;"","")</f>
        <v/>
      </c>
      <c r="F146" s="18" t="str">
        <f aca="false">IFERROR(INDEX(종합!F$3:F$501,MATCH(ROW()-2,종합!$AD$3:$AD$501,0))&amp;"","")</f>
        <v/>
      </c>
      <c r="G146" s="18" t="str">
        <f aca="false">IFERROR(INDEX(종합!G$3:G$501,MATCH(ROW()-2,종합!$AD$3:$AD$501,0))&amp;"","")</f>
        <v/>
      </c>
      <c r="H146" s="21" t="str">
        <f aca="false">IFERROR(INDEX(종합!H$3:H$501,MATCH(ROW()-2,종합!$AD$3:$AD$501,0))&amp;"","")</f>
        <v/>
      </c>
      <c r="I146" s="21" t="str">
        <f aca="false">IFERROR(INDEX(종합!I$3:I$501,MATCH(ROW()-2,종합!$AD$3:$AD$501,0))&amp;"","")</f>
        <v/>
      </c>
      <c r="J146" s="21" t="str">
        <f aca="false">IFERROR(INDEX(종합!J$3:J$501,MATCH(ROW()-2,종합!$AD$3:$AD$501,0))&amp;"","")</f>
        <v/>
      </c>
      <c r="K146" s="21" t="str">
        <f aca="false">IFERROR(INDEX(종합!K$3:K$501,MATCH(ROW()-2,종합!$AD$3:$AD$501,0))&amp;"","")</f>
        <v/>
      </c>
      <c r="L146" s="21" t="str">
        <f aca="false">IFERROR(INDEX(종합!L$3:L$501,MATCH(ROW()-2,종합!$AD$3:$AD$501,0))&amp;"","")</f>
        <v/>
      </c>
      <c r="M146" s="21" t="str">
        <f aca="false">IFERROR(INDEX(종합!M$3:M$501,MATCH(ROW()-2,종합!$AD$3:$AD$501,0))&amp;"","")</f>
        <v/>
      </c>
      <c r="N146" s="25" t="str">
        <f aca="false">IFERROR(INDEX(종합!N$3:N$501,MATCH(ROW()-2,종합!$AD$3:$AD$501,0))&amp;"","")</f>
        <v/>
      </c>
      <c r="O146" s="21" t="str">
        <f aca="false">IFERROR(INDEX(종합!O$3:O$501,MATCH(ROW()-2,종합!$AD$3:$AD$501,0))&amp;"","")</f>
        <v/>
      </c>
      <c r="P146" s="21" t="str">
        <f aca="false">IFERROR(INDEX(종합!P$3:P$501,MATCH(ROW()-2,종합!$AD$3:$AD$501,0))&amp;"","")</f>
        <v/>
      </c>
      <c r="Q146" s="21" t="str">
        <f aca="false">IFERROR(INDEX(종합!Q$3:Q$501,MATCH(ROW()-2,종합!$AD$3:$AD$501,0))&amp;"","")</f>
        <v/>
      </c>
      <c r="R146" s="21" t="str">
        <f aca="false">IFERROR(INDEX(종합!R$3:R$501,MATCH(ROW()-2,종합!$AD$3:$AD$501,0))&amp;"","")</f>
        <v/>
      </c>
      <c r="S146" s="21" t="str">
        <f aca="false">IFERROR(INDEX(종합!S$3:S$501,MATCH(ROW()-2,종합!$AD$3:$AD$501,0))&amp;"","")</f>
        <v/>
      </c>
      <c r="T146" s="21" t="str">
        <f aca="false">IFERROR(INDEX(종합!T$3:T$501,MATCH(ROW()-2,종합!$AD$3:$AD$501,0))&amp;"","")</f>
        <v/>
      </c>
      <c r="U146" s="21" t="str">
        <f aca="false">IFERROR(INDEX(종합!U$3:U$501,MATCH(ROW()-2,종합!$AD$3:$AD$501,0))&amp;"","")</f>
        <v/>
      </c>
      <c r="V146" s="21" t="str">
        <f aca="false">IFERROR(INDEX(종합!V$3:V$501,MATCH(ROW()-2,종합!$AD$3:$AD$501,0))&amp;"","")</f>
        <v/>
      </c>
      <c r="W146" s="21" t="str">
        <f aca="false">IFERROR(INDEX(종합!W$3:W$501,MATCH(ROW()-2,종합!$AD$3:$AD$501,0))&amp;"","")</f>
        <v/>
      </c>
      <c r="X146" s="21" t="str">
        <f aca="false">IFERROR(INDEX(종합!X$3:X$501,MATCH(ROW()-2,종합!$AD$3:$AD$501,0))&amp;"","")</f>
        <v/>
      </c>
      <c r="Y146" s="21" t="str">
        <f aca="false">IFERROR(INDEX(종합!Y$3:Y$501,MATCH(ROW()-2,종합!$AD$3:$AD$501,0))&amp;"","")</f>
        <v/>
      </c>
      <c r="Z146" s="21" t="str">
        <f aca="false">IFERROR(INDEX(종합!Z$3:Z$501,MATCH(ROW()-2,종합!$AD$3:$AD$501,0))&amp;"","")</f>
        <v/>
      </c>
      <c r="AA146" s="23" t="str">
        <f aca="false">IFERROR(INDEX(종합!AA$3:AA$501,MATCH(ROW()-2,종합!$AD$3:$AD$501,0))&amp;"","")</f>
        <v/>
      </c>
    </row>
    <row r="147" customFormat="false" ht="74.25" hidden="false" customHeight="true" outlineLevel="0" collapsed="false">
      <c r="A147" s="18" t="str">
        <f aca="false">IF(B147="","",ROW()-2)</f>
        <v/>
      </c>
      <c r="B147" s="18" t="str">
        <f aca="false">IFERROR(INDEX(종합!B$3:B$501,MATCH(ROW()-2,종합!$AD$3:$AD$501,0))&amp;"","")</f>
        <v/>
      </c>
      <c r="C147" s="18" t="str">
        <f aca="false">IFERROR(INDEX(종합!C$3:C$501,MATCH(ROW()-2,종합!$AD$3:$AD$501,0))&amp;"","")</f>
        <v/>
      </c>
      <c r="D147" s="18" t="str">
        <f aca="false">IFERROR(INDEX(종합!D$3:D$501,MATCH(ROW()-2,종합!$AD$3:$AD$501,0))&amp;"","")</f>
        <v/>
      </c>
      <c r="E147" s="18" t="str">
        <f aca="false">IFERROR(INDEX(종합!E$3:E$501,MATCH(ROW()-2,종합!$AD$3:$AD$501,0))&amp;"","")</f>
        <v/>
      </c>
      <c r="F147" s="18" t="str">
        <f aca="false">IFERROR(INDEX(종합!F$3:F$501,MATCH(ROW()-2,종합!$AD$3:$AD$501,0))&amp;"","")</f>
        <v/>
      </c>
      <c r="G147" s="18" t="str">
        <f aca="false">IFERROR(INDEX(종합!G$3:G$501,MATCH(ROW()-2,종합!$AD$3:$AD$501,0))&amp;"","")</f>
        <v/>
      </c>
      <c r="H147" s="21" t="str">
        <f aca="false">IFERROR(INDEX(종합!H$3:H$501,MATCH(ROW()-2,종합!$AD$3:$AD$501,0))&amp;"","")</f>
        <v/>
      </c>
      <c r="I147" s="21" t="str">
        <f aca="false">IFERROR(INDEX(종합!I$3:I$501,MATCH(ROW()-2,종합!$AD$3:$AD$501,0))&amp;"","")</f>
        <v/>
      </c>
      <c r="J147" s="21" t="str">
        <f aca="false">IFERROR(INDEX(종합!J$3:J$501,MATCH(ROW()-2,종합!$AD$3:$AD$501,0))&amp;"","")</f>
        <v/>
      </c>
      <c r="K147" s="21" t="str">
        <f aca="false">IFERROR(INDEX(종합!K$3:K$501,MATCH(ROW()-2,종합!$AD$3:$AD$501,0))&amp;"","")</f>
        <v/>
      </c>
      <c r="L147" s="21" t="str">
        <f aca="false">IFERROR(INDEX(종합!L$3:L$501,MATCH(ROW()-2,종합!$AD$3:$AD$501,0))&amp;"","")</f>
        <v/>
      </c>
      <c r="M147" s="21" t="str">
        <f aca="false">IFERROR(INDEX(종합!M$3:M$501,MATCH(ROW()-2,종합!$AD$3:$AD$501,0))&amp;"","")</f>
        <v/>
      </c>
      <c r="N147" s="25" t="str">
        <f aca="false">IFERROR(INDEX(종합!N$3:N$501,MATCH(ROW()-2,종합!$AD$3:$AD$501,0))&amp;"","")</f>
        <v/>
      </c>
      <c r="O147" s="21" t="str">
        <f aca="false">IFERROR(INDEX(종합!O$3:O$501,MATCH(ROW()-2,종합!$AD$3:$AD$501,0))&amp;"","")</f>
        <v/>
      </c>
      <c r="P147" s="21" t="str">
        <f aca="false">IFERROR(INDEX(종합!P$3:P$501,MATCH(ROW()-2,종합!$AD$3:$AD$501,0))&amp;"","")</f>
        <v/>
      </c>
      <c r="Q147" s="21" t="str">
        <f aca="false">IFERROR(INDEX(종합!Q$3:Q$501,MATCH(ROW()-2,종합!$AD$3:$AD$501,0))&amp;"","")</f>
        <v/>
      </c>
      <c r="R147" s="21" t="str">
        <f aca="false">IFERROR(INDEX(종합!R$3:R$501,MATCH(ROW()-2,종합!$AD$3:$AD$501,0))&amp;"","")</f>
        <v/>
      </c>
      <c r="S147" s="21" t="str">
        <f aca="false">IFERROR(INDEX(종합!S$3:S$501,MATCH(ROW()-2,종합!$AD$3:$AD$501,0))&amp;"","")</f>
        <v/>
      </c>
      <c r="T147" s="21" t="str">
        <f aca="false">IFERROR(INDEX(종합!T$3:T$501,MATCH(ROW()-2,종합!$AD$3:$AD$501,0))&amp;"","")</f>
        <v/>
      </c>
      <c r="U147" s="21" t="str">
        <f aca="false">IFERROR(INDEX(종합!U$3:U$501,MATCH(ROW()-2,종합!$AD$3:$AD$501,0))&amp;"","")</f>
        <v/>
      </c>
      <c r="V147" s="21" t="str">
        <f aca="false">IFERROR(INDEX(종합!V$3:V$501,MATCH(ROW()-2,종합!$AD$3:$AD$501,0))&amp;"","")</f>
        <v/>
      </c>
      <c r="W147" s="21" t="str">
        <f aca="false">IFERROR(INDEX(종합!W$3:W$501,MATCH(ROW()-2,종합!$AD$3:$AD$501,0))&amp;"","")</f>
        <v/>
      </c>
      <c r="X147" s="21" t="str">
        <f aca="false">IFERROR(INDEX(종합!X$3:X$501,MATCH(ROW()-2,종합!$AD$3:$AD$501,0))&amp;"","")</f>
        <v/>
      </c>
      <c r="Y147" s="21" t="str">
        <f aca="false">IFERROR(INDEX(종합!Y$3:Y$501,MATCH(ROW()-2,종합!$AD$3:$AD$501,0))&amp;"","")</f>
        <v/>
      </c>
      <c r="Z147" s="21" t="str">
        <f aca="false">IFERROR(INDEX(종합!Z$3:Z$501,MATCH(ROW()-2,종합!$AD$3:$AD$501,0))&amp;"","")</f>
        <v/>
      </c>
      <c r="AA147" s="23" t="str">
        <f aca="false">IFERROR(INDEX(종합!AA$3:AA$501,MATCH(ROW()-2,종합!$AD$3:$AD$501,0))&amp;"","")</f>
        <v/>
      </c>
    </row>
    <row r="148" customFormat="false" ht="16.5" hidden="false" customHeight="true" outlineLevel="0" collapsed="false">
      <c r="A148" s="18" t="str">
        <f aca="false">IF(B148="","",ROW()-2)</f>
        <v/>
      </c>
      <c r="B148" s="18" t="str">
        <f aca="false">IFERROR(INDEX(종합!B$3:B$501,MATCH(ROW()-2,종합!$AD$3:$AD$501,0))&amp;"","")</f>
        <v/>
      </c>
      <c r="C148" s="18" t="str">
        <f aca="false">IFERROR(INDEX(종합!C$3:C$501,MATCH(ROW()-2,종합!$AD$3:$AD$501,0))&amp;"","")</f>
        <v/>
      </c>
      <c r="D148" s="18" t="str">
        <f aca="false">IFERROR(INDEX(종합!D$3:D$501,MATCH(ROW()-2,종합!$AD$3:$AD$501,0))&amp;"","")</f>
        <v/>
      </c>
      <c r="E148" s="18" t="str">
        <f aca="false">IFERROR(INDEX(종합!E$3:E$501,MATCH(ROW()-2,종합!$AD$3:$AD$501,0))&amp;"","")</f>
        <v/>
      </c>
      <c r="F148" s="18" t="str">
        <f aca="false">IFERROR(INDEX(종합!F$3:F$501,MATCH(ROW()-2,종합!$AD$3:$AD$501,0))&amp;"","")</f>
        <v/>
      </c>
      <c r="G148" s="18" t="str">
        <f aca="false">IFERROR(INDEX(종합!G$3:G$501,MATCH(ROW()-2,종합!$AD$3:$AD$501,0))&amp;"","")</f>
        <v/>
      </c>
      <c r="H148" s="21" t="str">
        <f aca="false">IFERROR(INDEX(종합!H$3:H$501,MATCH(ROW()-2,종합!$AD$3:$AD$501,0))&amp;"","")</f>
        <v/>
      </c>
      <c r="I148" s="21" t="str">
        <f aca="false">IFERROR(INDEX(종합!I$3:I$501,MATCH(ROW()-2,종합!$AD$3:$AD$501,0))&amp;"","")</f>
        <v/>
      </c>
      <c r="J148" s="21" t="str">
        <f aca="false">IFERROR(INDEX(종합!J$3:J$501,MATCH(ROW()-2,종합!$AD$3:$AD$501,0))&amp;"","")</f>
        <v/>
      </c>
      <c r="K148" s="21" t="str">
        <f aca="false">IFERROR(INDEX(종합!K$3:K$501,MATCH(ROW()-2,종합!$AD$3:$AD$501,0))&amp;"","")</f>
        <v/>
      </c>
      <c r="L148" s="21" t="str">
        <f aca="false">IFERROR(INDEX(종합!L$3:L$501,MATCH(ROW()-2,종합!$AD$3:$AD$501,0))&amp;"","")</f>
        <v/>
      </c>
      <c r="M148" s="21" t="str">
        <f aca="false">IFERROR(INDEX(종합!M$3:M$501,MATCH(ROW()-2,종합!$AD$3:$AD$501,0))&amp;"","")</f>
        <v/>
      </c>
      <c r="N148" s="25" t="str">
        <f aca="false">IFERROR(INDEX(종합!N$3:N$501,MATCH(ROW()-2,종합!$AD$3:$AD$501,0))&amp;"","")</f>
        <v/>
      </c>
      <c r="O148" s="21" t="str">
        <f aca="false">IFERROR(INDEX(종합!O$3:O$501,MATCH(ROW()-2,종합!$AD$3:$AD$501,0))&amp;"","")</f>
        <v/>
      </c>
      <c r="P148" s="21" t="str">
        <f aca="false">IFERROR(INDEX(종합!P$3:P$501,MATCH(ROW()-2,종합!$AD$3:$AD$501,0))&amp;"","")</f>
        <v/>
      </c>
      <c r="Q148" s="21" t="str">
        <f aca="false">IFERROR(INDEX(종합!Q$3:Q$501,MATCH(ROW()-2,종합!$AD$3:$AD$501,0))&amp;"","")</f>
        <v/>
      </c>
      <c r="R148" s="21" t="str">
        <f aca="false">IFERROR(INDEX(종합!R$3:R$501,MATCH(ROW()-2,종합!$AD$3:$AD$501,0))&amp;"","")</f>
        <v/>
      </c>
      <c r="S148" s="21" t="str">
        <f aca="false">IFERROR(INDEX(종합!S$3:S$501,MATCH(ROW()-2,종합!$AD$3:$AD$501,0))&amp;"","")</f>
        <v/>
      </c>
      <c r="T148" s="21" t="str">
        <f aca="false">IFERROR(INDEX(종합!T$3:T$501,MATCH(ROW()-2,종합!$AD$3:$AD$501,0))&amp;"","")</f>
        <v/>
      </c>
      <c r="U148" s="21" t="str">
        <f aca="false">IFERROR(INDEX(종합!U$3:U$501,MATCH(ROW()-2,종합!$AD$3:$AD$501,0))&amp;"","")</f>
        <v/>
      </c>
      <c r="V148" s="21" t="str">
        <f aca="false">IFERROR(INDEX(종합!V$3:V$501,MATCH(ROW()-2,종합!$AD$3:$AD$501,0))&amp;"","")</f>
        <v/>
      </c>
      <c r="W148" s="21" t="str">
        <f aca="false">IFERROR(INDEX(종합!W$3:W$501,MATCH(ROW()-2,종합!$AD$3:$AD$501,0))&amp;"","")</f>
        <v/>
      </c>
      <c r="X148" s="21" t="str">
        <f aca="false">IFERROR(INDEX(종합!X$3:X$501,MATCH(ROW()-2,종합!$AD$3:$AD$501,0))&amp;"","")</f>
        <v/>
      </c>
      <c r="Y148" s="21" t="str">
        <f aca="false">IFERROR(INDEX(종합!Y$3:Y$501,MATCH(ROW()-2,종합!$AD$3:$AD$501,0))&amp;"","")</f>
        <v/>
      </c>
      <c r="Z148" s="21" t="str">
        <f aca="false">IFERROR(INDEX(종합!Z$3:Z$501,MATCH(ROW()-2,종합!$AD$3:$AD$501,0))&amp;"","")</f>
        <v/>
      </c>
      <c r="AA148" s="23" t="str">
        <f aca="false">IFERROR(INDEX(종합!AA$3:AA$501,MATCH(ROW()-2,종합!$AD$3:$AD$501,0))&amp;"","")</f>
        <v/>
      </c>
    </row>
    <row r="149" customFormat="false" ht="16.5" hidden="false" customHeight="true" outlineLevel="0" collapsed="false">
      <c r="A149" s="18" t="str">
        <f aca="false">IF(B149="","",ROW()-2)</f>
        <v/>
      </c>
      <c r="B149" s="18" t="str">
        <f aca="false">IFERROR(INDEX(종합!B$3:B$501,MATCH(ROW()-2,종합!$AD$3:$AD$501,0))&amp;"","")</f>
        <v/>
      </c>
      <c r="C149" s="18" t="str">
        <f aca="false">IFERROR(INDEX(종합!C$3:C$501,MATCH(ROW()-2,종합!$AD$3:$AD$501,0))&amp;"","")</f>
        <v/>
      </c>
      <c r="D149" s="18" t="str">
        <f aca="false">IFERROR(INDEX(종합!D$3:D$501,MATCH(ROW()-2,종합!$AD$3:$AD$501,0))&amp;"","")</f>
        <v/>
      </c>
      <c r="E149" s="18" t="str">
        <f aca="false">IFERROR(INDEX(종합!E$3:E$501,MATCH(ROW()-2,종합!$AD$3:$AD$501,0))&amp;"","")</f>
        <v/>
      </c>
      <c r="F149" s="18" t="str">
        <f aca="false">IFERROR(INDEX(종합!F$3:F$501,MATCH(ROW()-2,종합!$AD$3:$AD$501,0))&amp;"","")</f>
        <v/>
      </c>
      <c r="G149" s="18" t="str">
        <f aca="false">IFERROR(INDEX(종합!G$3:G$501,MATCH(ROW()-2,종합!$AD$3:$AD$501,0))&amp;"","")</f>
        <v/>
      </c>
      <c r="H149" s="21" t="str">
        <f aca="false">IFERROR(INDEX(종합!H$3:H$501,MATCH(ROW()-2,종합!$AD$3:$AD$501,0))&amp;"","")</f>
        <v/>
      </c>
      <c r="I149" s="21" t="str">
        <f aca="false">IFERROR(INDEX(종합!I$3:I$501,MATCH(ROW()-2,종합!$AD$3:$AD$501,0))&amp;"","")</f>
        <v/>
      </c>
      <c r="J149" s="21" t="str">
        <f aca="false">IFERROR(INDEX(종합!J$3:J$501,MATCH(ROW()-2,종합!$AD$3:$AD$501,0))&amp;"","")</f>
        <v/>
      </c>
      <c r="K149" s="21" t="str">
        <f aca="false">IFERROR(INDEX(종합!K$3:K$501,MATCH(ROW()-2,종합!$AD$3:$AD$501,0))&amp;"","")</f>
        <v/>
      </c>
      <c r="L149" s="21" t="str">
        <f aca="false">IFERROR(INDEX(종합!L$3:L$501,MATCH(ROW()-2,종합!$AD$3:$AD$501,0))&amp;"","")</f>
        <v/>
      </c>
      <c r="M149" s="21" t="str">
        <f aca="false">IFERROR(INDEX(종합!M$3:M$501,MATCH(ROW()-2,종합!$AD$3:$AD$501,0))&amp;"","")</f>
        <v/>
      </c>
      <c r="N149" s="25" t="str">
        <f aca="false">IFERROR(INDEX(종합!N$3:N$501,MATCH(ROW()-2,종합!$AD$3:$AD$501,0))&amp;"","")</f>
        <v/>
      </c>
      <c r="O149" s="21" t="str">
        <f aca="false">IFERROR(INDEX(종합!O$3:O$501,MATCH(ROW()-2,종합!$AD$3:$AD$501,0))&amp;"","")</f>
        <v/>
      </c>
      <c r="P149" s="21" t="str">
        <f aca="false">IFERROR(INDEX(종합!P$3:P$501,MATCH(ROW()-2,종합!$AD$3:$AD$501,0))&amp;"","")</f>
        <v/>
      </c>
      <c r="Q149" s="21" t="str">
        <f aca="false">IFERROR(INDEX(종합!Q$3:Q$501,MATCH(ROW()-2,종합!$AD$3:$AD$501,0))&amp;"","")</f>
        <v/>
      </c>
      <c r="R149" s="21" t="str">
        <f aca="false">IFERROR(INDEX(종합!R$3:R$501,MATCH(ROW()-2,종합!$AD$3:$AD$501,0))&amp;"","")</f>
        <v/>
      </c>
      <c r="S149" s="21" t="str">
        <f aca="false">IFERROR(INDEX(종합!S$3:S$501,MATCH(ROW()-2,종합!$AD$3:$AD$501,0))&amp;"","")</f>
        <v/>
      </c>
      <c r="T149" s="21" t="str">
        <f aca="false">IFERROR(INDEX(종합!T$3:T$501,MATCH(ROW()-2,종합!$AD$3:$AD$501,0))&amp;"","")</f>
        <v/>
      </c>
      <c r="U149" s="21" t="str">
        <f aca="false">IFERROR(INDEX(종합!U$3:U$501,MATCH(ROW()-2,종합!$AD$3:$AD$501,0))&amp;"","")</f>
        <v/>
      </c>
      <c r="V149" s="21" t="str">
        <f aca="false">IFERROR(INDEX(종합!V$3:V$501,MATCH(ROW()-2,종합!$AD$3:$AD$501,0))&amp;"","")</f>
        <v/>
      </c>
      <c r="W149" s="21" t="str">
        <f aca="false">IFERROR(INDEX(종합!W$3:W$501,MATCH(ROW()-2,종합!$AD$3:$AD$501,0))&amp;"","")</f>
        <v/>
      </c>
      <c r="X149" s="21" t="str">
        <f aca="false">IFERROR(INDEX(종합!X$3:X$501,MATCH(ROW()-2,종합!$AD$3:$AD$501,0))&amp;"","")</f>
        <v/>
      </c>
      <c r="Y149" s="21" t="str">
        <f aca="false">IFERROR(INDEX(종합!Y$3:Y$501,MATCH(ROW()-2,종합!$AD$3:$AD$501,0))&amp;"","")</f>
        <v/>
      </c>
      <c r="Z149" s="21" t="str">
        <f aca="false">IFERROR(INDEX(종합!Z$3:Z$501,MATCH(ROW()-2,종합!$AD$3:$AD$501,0))&amp;"","")</f>
        <v/>
      </c>
      <c r="AA149" s="23" t="str">
        <f aca="false">IFERROR(INDEX(종합!AA$3:AA$501,MATCH(ROW()-2,종합!$AD$3:$AD$501,0))&amp;"","")</f>
        <v/>
      </c>
    </row>
    <row r="150" customFormat="false" ht="16.5" hidden="false" customHeight="true" outlineLevel="0" collapsed="false">
      <c r="A150" s="18" t="str">
        <f aca="false">IF(B150="","",ROW()-2)</f>
        <v/>
      </c>
      <c r="B150" s="18" t="str">
        <f aca="false">IFERROR(INDEX(종합!B$3:B$501,MATCH(ROW()-2,종합!$AD$3:$AD$501,0))&amp;"","")</f>
        <v/>
      </c>
      <c r="C150" s="18" t="str">
        <f aca="false">IFERROR(INDEX(종합!C$3:C$501,MATCH(ROW()-2,종합!$AD$3:$AD$501,0))&amp;"","")</f>
        <v/>
      </c>
      <c r="D150" s="18" t="str">
        <f aca="false">IFERROR(INDEX(종합!D$3:D$501,MATCH(ROW()-2,종합!$AD$3:$AD$501,0))&amp;"","")</f>
        <v/>
      </c>
      <c r="E150" s="18" t="str">
        <f aca="false">IFERROR(INDEX(종합!E$3:E$501,MATCH(ROW()-2,종합!$AD$3:$AD$501,0))&amp;"","")</f>
        <v/>
      </c>
      <c r="F150" s="18" t="str">
        <f aca="false">IFERROR(INDEX(종합!F$3:F$501,MATCH(ROW()-2,종합!$AD$3:$AD$501,0))&amp;"","")</f>
        <v/>
      </c>
      <c r="G150" s="18" t="str">
        <f aca="false">IFERROR(INDEX(종합!G$3:G$501,MATCH(ROW()-2,종합!$AD$3:$AD$501,0))&amp;"","")</f>
        <v/>
      </c>
      <c r="H150" s="21" t="str">
        <f aca="false">IFERROR(INDEX(종합!H$3:H$501,MATCH(ROW()-2,종합!$AD$3:$AD$501,0))&amp;"","")</f>
        <v/>
      </c>
      <c r="I150" s="21" t="str">
        <f aca="false">IFERROR(INDEX(종합!I$3:I$501,MATCH(ROW()-2,종합!$AD$3:$AD$501,0))&amp;"","")</f>
        <v/>
      </c>
      <c r="J150" s="21" t="str">
        <f aca="false">IFERROR(INDEX(종합!J$3:J$501,MATCH(ROW()-2,종합!$AD$3:$AD$501,0))&amp;"","")</f>
        <v/>
      </c>
      <c r="K150" s="21" t="str">
        <f aca="false">IFERROR(INDEX(종합!K$3:K$501,MATCH(ROW()-2,종합!$AD$3:$AD$501,0))&amp;"","")</f>
        <v/>
      </c>
      <c r="L150" s="21" t="str">
        <f aca="false">IFERROR(INDEX(종합!L$3:L$501,MATCH(ROW()-2,종합!$AD$3:$AD$501,0))&amp;"","")</f>
        <v/>
      </c>
      <c r="M150" s="21" t="str">
        <f aca="false">IFERROR(INDEX(종합!M$3:M$501,MATCH(ROW()-2,종합!$AD$3:$AD$501,0))&amp;"","")</f>
        <v/>
      </c>
      <c r="N150" s="25" t="str">
        <f aca="false">IFERROR(INDEX(종합!N$3:N$501,MATCH(ROW()-2,종합!$AD$3:$AD$501,0))&amp;"","")</f>
        <v/>
      </c>
      <c r="O150" s="21" t="str">
        <f aca="false">IFERROR(INDEX(종합!O$3:O$501,MATCH(ROW()-2,종합!$AD$3:$AD$501,0))&amp;"","")</f>
        <v/>
      </c>
      <c r="P150" s="21" t="str">
        <f aca="false">IFERROR(INDEX(종합!P$3:P$501,MATCH(ROW()-2,종합!$AD$3:$AD$501,0))&amp;"","")</f>
        <v/>
      </c>
      <c r="Q150" s="21" t="str">
        <f aca="false">IFERROR(INDEX(종합!Q$3:Q$501,MATCH(ROW()-2,종합!$AD$3:$AD$501,0))&amp;"","")</f>
        <v/>
      </c>
      <c r="R150" s="21" t="str">
        <f aca="false">IFERROR(INDEX(종합!R$3:R$501,MATCH(ROW()-2,종합!$AD$3:$AD$501,0))&amp;"","")</f>
        <v/>
      </c>
      <c r="S150" s="21" t="str">
        <f aca="false">IFERROR(INDEX(종합!S$3:S$501,MATCH(ROW()-2,종합!$AD$3:$AD$501,0))&amp;"","")</f>
        <v/>
      </c>
      <c r="T150" s="21" t="str">
        <f aca="false">IFERROR(INDEX(종합!T$3:T$501,MATCH(ROW()-2,종합!$AD$3:$AD$501,0))&amp;"","")</f>
        <v/>
      </c>
      <c r="U150" s="21" t="str">
        <f aca="false">IFERROR(INDEX(종합!U$3:U$501,MATCH(ROW()-2,종합!$AD$3:$AD$501,0))&amp;"","")</f>
        <v/>
      </c>
      <c r="V150" s="21" t="str">
        <f aca="false">IFERROR(INDEX(종합!V$3:V$501,MATCH(ROW()-2,종합!$AD$3:$AD$501,0))&amp;"","")</f>
        <v/>
      </c>
      <c r="W150" s="21" t="str">
        <f aca="false">IFERROR(INDEX(종합!W$3:W$501,MATCH(ROW()-2,종합!$AD$3:$AD$501,0))&amp;"","")</f>
        <v/>
      </c>
      <c r="X150" s="21" t="str">
        <f aca="false">IFERROR(INDEX(종합!X$3:X$501,MATCH(ROW()-2,종합!$AD$3:$AD$501,0))&amp;"","")</f>
        <v/>
      </c>
      <c r="Y150" s="21" t="str">
        <f aca="false">IFERROR(INDEX(종합!Y$3:Y$501,MATCH(ROW()-2,종합!$AD$3:$AD$501,0))&amp;"","")</f>
        <v/>
      </c>
      <c r="Z150" s="21" t="str">
        <f aca="false">IFERROR(INDEX(종합!Z$3:Z$501,MATCH(ROW()-2,종합!$AD$3:$AD$501,0))&amp;"","")</f>
        <v/>
      </c>
      <c r="AA150" s="23" t="str">
        <f aca="false">IFERROR(INDEX(종합!AA$3:AA$501,MATCH(ROW()-2,종합!$AD$3:$AD$501,0))&amp;"","")</f>
        <v/>
      </c>
    </row>
    <row r="151" customFormat="false" ht="16.5" hidden="false" customHeight="true" outlineLevel="0" collapsed="false">
      <c r="A151" s="18" t="str">
        <f aca="false">IF(B151="","",ROW()-2)</f>
        <v/>
      </c>
      <c r="B151" s="18" t="str">
        <f aca="false">IFERROR(INDEX(종합!B$3:B$501,MATCH(ROW()-2,종합!$AD$3:$AD$501,0))&amp;"","")</f>
        <v/>
      </c>
      <c r="C151" s="18" t="str">
        <f aca="false">IFERROR(INDEX(종합!C$3:C$501,MATCH(ROW()-2,종합!$AD$3:$AD$501,0))&amp;"","")</f>
        <v/>
      </c>
      <c r="D151" s="18" t="str">
        <f aca="false">IFERROR(INDEX(종합!D$3:D$501,MATCH(ROW()-2,종합!$AD$3:$AD$501,0))&amp;"","")</f>
        <v/>
      </c>
      <c r="E151" s="18" t="str">
        <f aca="false">IFERROR(INDEX(종합!E$3:E$501,MATCH(ROW()-2,종합!$AD$3:$AD$501,0))&amp;"","")</f>
        <v/>
      </c>
      <c r="F151" s="18" t="str">
        <f aca="false">IFERROR(INDEX(종합!F$3:F$501,MATCH(ROW()-2,종합!$AD$3:$AD$501,0))&amp;"","")</f>
        <v/>
      </c>
      <c r="G151" s="18" t="str">
        <f aca="false">IFERROR(INDEX(종합!G$3:G$501,MATCH(ROW()-2,종합!$AD$3:$AD$501,0))&amp;"","")</f>
        <v/>
      </c>
      <c r="H151" s="21" t="str">
        <f aca="false">IFERROR(INDEX(종합!H$3:H$501,MATCH(ROW()-2,종합!$AD$3:$AD$501,0))&amp;"","")</f>
        <v/>
      </c>
      <c r="I151" s="21" t="str">
        <f aca="false">IFERROR(INDEX(종합!I$3:I$501,MATCH(ROW()-2,종합!$AD$3:$AD$501,0))&amp;"","")</f>
        <v/>
      </c>
      <c r="J151" s="21" t="str">
        <f aca="false">IFERROR(INDEX(종합!J$3:J$501,MATCH(ROW()-2,종합!$AD$3:$AD$501,0))&amp;"","")</f>
        <v/>
      </c>
      <c r="K151" s="21" t="str">
        <f aca="false">IFERROR(INDEX(종합!K$3:K$501,MATCH(ROW()-2,종합!$AD$3:$AD$501,0))&amp;"","")</f>
        <v/>
      </c>
      <c r="L151" s="21" t="str">
        <f aca="false">IFERROR(INDEX(종합!L$3:L$501,MATCH(ROW()-2,종합!$AD$3:$AD$501,0))&amp;"","")</f>
        <v/>
      </c>
      <c r="M151" s="21" t="str">
        <f aca="false">IFERROR(INDEX(종합!M$3:M$501,MATCH(ROW()-2,종합!$AD$3:$AD$501,0))&amp;"","")</f>
        <v/>
      </c>
      <c r="N151" s="25" t="str">
        <f aca="false">IFERROR(INDEX(종합!N$3:N$501,MATCH(ROW()-2,종합!$AD$3:$AD$501,0))&amp;"","")</f>
        <v/>
      </c>
      <c r="O151" s="21" t="str">
        <f aca="false">IFERROR(INDEX(종합!O$3:O$501,MATCH(ROW()-2,종합!$AD$3:$AD$501,0))&amp;"","")</f>
        <v/>
      </c>
      <c r="P151" s="21" t="str">
        <f aca="false">IFERROR(INDEX(종합!P$3:P$501,MATCH(ROW()-2,종합!$AD$3:$AD$501,0))&amp;"","")</f>
        <v/>
      </c>
      <c r="Q151" s="21" t="str">
        <f aca="false">IFERROR(INDEX(종합!Q$3:Q$501,MATCH(ROW()-2,종합!$AD$3:$AD$501,0))&amp;"","")</f>
        <v/>
      </c>
      <c r="R151" s="21" t="str">
        <f aca="false">IFERROR(INDEX(종합!R$3:R$501,MATCH(ROW()-2,종합!$AD$3:$AD$501,0))&amp;"","")</f>
        <v/>
      </c>
      <c r="S151" s="21" t="str">
        <f aca="false">IFERROR(INDEX(종합!S$3:S$501,MATCH(ROW()-2,종합!$AD$3:$AD$501,0))&amp;"","")</f>
        <v/>
      </c>
      <c r="T151" s="21" t="str">
        <f aca="false">IFERROR(INDEX(종합!T$3:T$501,MATCH(ROW()-2,종합!$AD$3:$AD$501,0))&amp;"","")</f>
        <v/>
      </c>
      <c r="U151" s="21" t="str">
        <f aca="false">IFERROR(INDEX(종합!U$3:U$501,MATCH(ROW()-2,종합!$AD$3:$AD$501,0))&amp;"","")</f>
        <v/>
      </c>
      <c r="V151" s="21" t="str">
        <f aca="false">IFERROR(INDEX(종합!V$3:V$501,MATCH(ROW()-2,종합!$AD$3:$AD$501,0))&amp;"","")</f>
        <v/>
      </c>
      <c r="W151" s="21" t="str">
        <f aca="false">IFERROR(INDEX(종합!W$3:W$501,MATCH(ROW()-2,종합!$AD$3:$AD$501,0))&amp;"","")</f>
        <v/>
      </c>
      <c r="X151" s="21" t="str">
        <f aca="false">IFERROR(INDEX(종합!X$3:X$501,MATCH(ROW()-2,종합!$AD$3:$AD$501,0))&amp;"","")</f>
        <v/>
      </c>
      <c r="Y151" s="21" t="str">
        <f aca="false">IFERROR(INDEX(종합!Y$3:Y$501,MATCH(ROW()-2,종합!$AD$3:$AD$501,0))&amp;"","")</f>
        <v/>
      </c>
      <c r="Z151" s="21" t="str">
        <f aca="false">IFERROR(INDEX(종합!Z$3:Z$501,MATCH(ROW()-2,종합!$AD$3:$AD$501,0))&amp;"","")</f>
        <v/>
      </c>
      <c r="AA151" s="23" t="str">
        <f aca="false">IFERROR(INDEX(종합!AA$3:AA$501,MATCH(ROW()-2,종합!$AD$3:$AD$501,0))&amp;"","")</f>
        <v/>
      </c>
    </row>
    <row r="152" customFormat="false" ht="16.5" hidden="false" customHeight="true" outlineLevel="0" collapsed="false">
      <c r="A152" s="18" t="str">
        <f aca="false">IF(B152="","",ROW()-2)</f>
        <v/>
      </c>
      <c r="B152" s="18" t="str">
        <f aca="false">IFERROR(INDEX(종합!B$3:B$501,MATCH(ROW()-2,종합!$AD$3:$AD$501,0))&amp;"","")</f>
        <v/>
      </c>
      <c r="C152" s="18" t="str">
        <f aca="false">IFERROR(INDEX(종합!C$3:C$501,MATCH(ROW()-2,종합!$AD$3:$AD$501,0))&amp;"","")</f>
        <v/>
      </c>
      <c r="D152" s="18" t="str">
        <f aca="false">IFERROR(INDEX(종합!D$3:D$501,MATCH(ROW()-2,종합!$AD$3:$AD$501,0))&amp;"","")</f>
        <v/>
      </c>
      <c r="E152" s="18" t="str">
        <f aca="false">IFERROR(INDEX(종합!E$3:E$501,MATCH(ROW()-2,종합!$AD$3:$AD$501,0))&amp;"","")</f>
        <v/>
      </c>
      <c r="F152" s="18" t="str">
        <f aca="false">IFERROR(INDEX(종합!F$3:F$501,MATCH(ROW()-2,종합!$AD$3:$AD$501,0))&amp;"","")</f>
        <v/>
      </c>
      <c r="G152" s="18" t="str">
        <f aca="false">IFERROR(INDEX(종합!G$3:G$501,MATCH(ROW()-2,종합!$AD$3:$AD$501,0))&amp;"","")</f>
        <v/>
      </c>
      <c r="H152" s="21" t="str">
        <f aca="false">IFERROR(INDEX(종합!H$3:H$501,MATCH(ROW()-2,종합!$AD$3:$AD$501,0))&amp;"","")</f>
        <v/>
      </c>
      <c r="I152" s="21" t="str">
        <f aca="false">IFERROR(INDEX(종합!I$3:I$501,MATCH(ROW()-2,종합!$AD$3:$AD$501,0))&amp;"","")</f>
        <v/>
      </c>
      <c r="J152" s="21" t="str">
        <f aca="false">IFERROR(INDEX(종합!J$3:J$501,MATCH(ROW()-2,종합!$AD$3:$AD$501,0))&amp;"","")</f>
        <v/>
      </c>
      <c r="K152" s="21" t="str">
        <f aca="false">IFERROR(INDEX(종합!K$3:K$501,MATCH(ROW()-2,종합!$AD$3:$AD$501,0))&amp;"","")</f>
        <v/>
      </c>
      <c r="L152" s="21" t="str">
        <f aca="false">IFERROR(INDEX(종합!L$3:L$501,MATCH(ROW()-2,종합!$AD$3:$AD$501,0))&amp;"","")</f>
        <v/>
      </c>
      <c r="M152" s="21" t="str">
        <f aca="false">IFERROR(INDEX(종합!M$3:M$501,MATCH(ROW()-2,종합!$AD$3:$AD$501,0))&amp;"","")</f>
        <v/>
      </c>
      <c r="N152" s="25" t="str">
        <f aca="false">IFERROR(INDEX(종합!N$3:N$501,MATCH(ROW()-2,종합!$AD$3:$AD$501,0))&amp;"","")</f>
        <v/>
      </c>
      <c r="O152" s="21" t="str">
        <f aca="false">IFERROR(INDEX(종합!O$3:O$501,MATCH(ROW()-2,종합!$AD$3:$AD$501,0))&amp;"","")</f>
        <v/>
      </c>
      <c r="P152" s="21" t="str">
        <f aca="false">IFERROR(INDEX(종합!P$3:P$501,MATCH(ROW()-2,종합!$AD$3:$AD$501,0))&amp;"","")</f>
        <v/>
      </c>
      <c r="Q152" s="21" t="str">
        <f aca="false">IFERROR(INDEX(종합!Q$3:Q$501,MATCH(ROW()-2,종합!$AD$3:$AD$501,0))&amp;"","")</f>
        <v/>
      </c>
      <c r="R152" s="21" t="str">
        <f aca="false">IFERROR(INDEX(종합!R$3:R$501,MATCH(ROW()-2,종합!$AD$3:$AD$501,0))&amp;"","")</f>
        <v/>
      </c>
      <c r="S152" s="21" t="str">
        <f aca="false">IFERROR(INDEX(종합!S$3:S$501,MATCH(ROW()-2,종합!$AD$3:$AD$501,0))&amp;"","")</f>
        <v/>
      </c>
      <c r="T152" s="21" t="str">
        <f aca="false">IFERROR(INDEX(종합!T$3:T$501,MATCH(ROW()-2,종합!$AD$3:$AD$501,0))&amp;"","")</f>
        <v/>
      </c>
      <c r="U152" s="21" t="str">
        <f aca="false">IFERROR(INDEX(종합!U$3:U$501,MATCH(ROW()-2,종합!$AD$3:$AD$501,0))&amp;"","")</f>
        <v/>
      </c>
      <c r="V152" s="21" t="str">
        <f aca="false">IFERROR(INDEX(종합!V$3:V$501,MATCH(ROW()-2,종합!$AD$3:$AD$501,0))&amp;"","")</f>
        <v/>
      </c>
      <c r="W152" s="21" t="str">
        <f aca="false">IFERROR(INDEX(종합!W$3:W$501,MATCH(ROW()-2,종합!$AD$3:$AD$501,0))&amp;"","")</f>
        <v/>
      </c>
      <c r="X152" s="21" t="str">
        <f aca="false">IFERROR(INDEX(종합!X$3:X$501,MATCH(ROW()-2,종합!$AD$3:$AD$501,0))&amp;"","")</f>
        <v/>
      </c>
      <c r="Y152" s="21" t="str">
        <f aca="false">IFERROR(INDEX(종합!Y$3:Y$501,MATCH(ROW()-2,종합!$AD$3:$AD$501,0))&amp;"","")</f>
        <v/>
      </c>
      <c r="Z152" s="21" t="str">
        <f aca="false">IFERROR(INDEX(종합!Z$3:Z$501,MATCH(ROW()-2,종합!$AD$3:$AD$501,0))&amp;"","")</f>
        <v/>
      </c>
      <c r="AA152" s="23" t="str">
        <f aca="false">IFERROR(INDEX(종합!AA$3:AA$501,MATCH(ROW()-2,종합!$AD$3:$AD$501,0))&amp;"","")</f>
        <v/>
      </c>
    </row>
    <row r="153" customFormat="false" ht="16.5" hidden="false" customHeight="true" outlineLevel="0" collapsed="false">
      <c r="A153" s="18" t="str">
        <f aca="false">IF(B153="","",ROW()-2)</f>
        <v/>
      </c>
      <c r="B153" s="18" t="str">
        <f aca="false">IFERROR(INDEX(종합!B$3:B$501,MATCH(ROW()-2,종합!$AD$3:$AD$501,0))&amp;"","")</f>
        <v/>
      </c>
      <c r="C153" s="18" t="str">
        <f aca="false">IFERROR(INDEX(종합!C$3:C$501,MATCH(ROW()-2,종합!$AD$3:$AD$501,0))&amp;"","")</f>
        <v/>
      </c>
      <c r="D153" s="18" t="str">
        <f aca="false">IFERROR(INDEX(종합!D$3:D$501,MATCH(ROW()-2,종합!$AD$3:$AD$501,0))&amp;"","")</f>
        <v/>
      </c>
      <c r="E153" s="18" t="str">
        <f aca="false">IFERROR(INDEX(종합!E$3:E$501,MATCH(ROW()-2,종합!$AD$3:$AD$501,0))&amp;"","")</f>
        <v/>
      </c>
      <c r="F153" s="18" t="str">
        <f aca="false">IFERROR(INDEX(종합!F$3:F$501,MATCH(ROW()-2,종합!$AD$3:$AD$501,0))&amp;"","")</f>
        <v/>
      </c>
      <c r="G153" s="18" t="str">
        <f aca="false">IFERROR(INDEX(종합!G$3:G$501,MATCH(ROW()-2,종합!$AD$3:$AD$501,0))&amp;"","")</f>
        <v/>
      </c>
      <c r="H153" s="21" t="str">
        <f aca="false">IFERROR(INDEX(종합!H$3:H$501,MATCH(ROW()-2,종합!$AD$3:$AD$501,0))&amp;"","")</f>
        <v/>
      </c>
      <c r="I153" s="21" t="str">
        <f aca="false">IFERROR(INDEX(종합!I$3:I$501,MATCH(ROW()-2,종합!$AD$3:$AD$501,0))&amp;"","")</f>
        <v/>
      </c>
      <c r="J153" s="21" t="str">
        <f aca="false">IFERROR(INDEX(종합!J$3:J$501,MATCH(ROW()-2,종합!$AD$3:$AD$501,0))&amp;"","")</f>
        <v/>
      </c>
      <c r="K153" s="21" t="str">
        <f aca="false">IFERROR(INDEX(종합!K$3:K$501,MATCH(ROW()-2,종합!$AD$3:$AD$501,0))&amp;"","")</f>
        <v/>
      </c>
      <c r="L153" s="21" t="str">
        <f aca="false">IFERROR(INDEX(종합!L$3:L$501,MATCH(ROW()-2,종합!$AD$3:$AD$501,0))&amp;"","")</f>
        <v/>
      </c>
      <c r="M153" s="21" t="str">
        <f aca="false">IFERROR(INDEX(종합!M$3:M$501,MATCH(ROW()-2,종합!$AD$3:$AD$501,0))&amp;"","")</f>
        <v/>
      </c>
      <c r="N153" s="25" t="str">
        <f aca="false">IFERROR(INDEX(종합!N$3:N$501,MATCH(ROW()-2,종합!$AD$3:$AD$501,0))&amp;"","")</f>
        <v/>
      </c>
      <c r="O153" s="21" t="str">
        <f aca="false">IFERROR(INDEX(종합!O$3:O$501,MATCH(ROW()-2,종합!$AD$3:$AD$501,0))&amp;"","")</f>
        <v/>
      </c>
      <c r="P153" s="21" t="str">
        <f aca="false">IFERROR(INDEX(종합!P$3:P$501,MATCH(ROW()-2,종합!$AD$3:$AD$501,0))&amp;"","")</f>
        <v/>
      </c>
      <c r="Q153" s="21" t="str">
        <f aca="false">IFERROR(INDEX(종합!Q$3:Q$501,MATCH(ROW()-2,종합!$AD$3:$AD$501,0))&amp;"","")</f>
        <v/>
      </c>
      <c r="R153" s="21" t="str">
        <f aca="false">IFERROR(INDEX(종합!R$3:R$501,MATCH(ROW()-2,종합!$AD$3:$AD$501,0))&amp;"","")</f>
        <v/>
      </c>
      <c r="S153" s="21" t="str">
        <f aca="false">IFERROR(INDEX(종합!S$3:S$501,MATCH(ROW()-2,종합!$AD$3:$AD$501,0))&amp;"","")</f>
        <v/>
      </c>
      <c r="T153" s="21" t="str">
        <f aca="false">IFERROR(INDEX(종합!T$3:T$501,MATCH(ROW()-2,종합!$AD$3:$AD$501,0))&amp;"","")</f>
        <v/>
      </c>
      <c r="U153" s="21" t="str">
        <f aca="false">IFERROR(INDEX(종합!U$3:U$501,MATCH(ROW()-2,종합!$AD$3:$AD$501,0))&amp;"","")</f>
        <v/>
      </c>
      <c r="V153" s="21" t="str">
        <f aca="false">IFERROR(INDEX(종합!V$3:V$501,MATCH(ROW()-2,종합!$AD$3:$AD$501,0))&amp;"","")</f>
        <v/>
      </c>
      <c r="W153" s="21" t="str">
        <f aca="false">IFERROR(INDEX(종합!W$3:W$501,MATCH(ROW()-2,종합!$AD$3:$AD$501,0))&amp;"","")</f>
        <v/>
      </c>
      <c r="X153" s="21" t="str">
        <f aca="false">IFERROR(INDEX(종합!X$3:X$501,MATCH(ROW()-2,종합!$AD$3:$AD$501,0))&amp;"","")</f>
        <v/>
      </c>
      <c r="Y153" s="21" t="str">
        <f aca="false">IFERROR(INDEX(종합!Y$3:Y$501,MATCH(ROW()-2,종합!$AD$3:$AD$501,0))&amp;"","")</f>
        <v/>
      </c>
      <c r="Z153" s="21" t="str">
        <f aca="false">IFERROR(INDEX(종합!Z$3:Z$501,MATCH(ROW()-2,종합!$AD$3:$AD$501,0))&amp;"","")</f>
        <v/>
      </c>
      <c r="AA153" s="23" t="str">
        <f aca="false">IFERROR(INDEX(종합!AA$3:AA$501,MATCH(ROW()-2,종합!$AD$3:$AD$501,0))&amp;"","")</f>
        <v/>
      </c>
    </row>
    <row r="154" customFormat="false" ht="16.5" hidden="false" customHeight="true" outlineLevel="0" collapsed="false">
      <c r="A154" s="18" t="str">
        <f aca="false">IF(B154="","",ROW()-2)</f>
        <v/>
      </c>
      <c r="B154" s="18" t="str">
        <f aca="false">IFERROR(INDEX(종합!B$3:B$501,MATCH(ROW()-2,종합!$AD$3:$AD$501,0))&amp;"","")</f>
        <v/>
      </c>
      <c r="C154" s="18" t="str">
        <f aca="false">IFERROR(INDEX(종합!C$3:C$501,MATCH(ROW()-2,종합!$AD$3:$AD$501,0))&amp;"","")</f>
        <v/>
      </c>
      <c r="D154" s="18" t="str">
        <f aca="false">IFERROR(INDEX(종합!D$3:D$501,MATCH(ROW()-2,종합!$AD$3:$AD$501,0))&amp;"","")</f>
        <v/>
      </c>
      <c r="E154" s="18" t="str">
        <f aca="false">IFERROR(INDEX(종합!E$3:E$501,MATCH(ROW()-2,종합!$AD$3:$AD$501,0))&amp;"","")</f>
        <v/>
      </c>
      <c r="F154" s="18" t="str">
        <f aca="false">IFERROR(INDEX(종합!F$3:F$501,MATCH(ROW()-2,종합!$AD$3:$AD$501,0))&amp;"","")</f>
        <v/>
      </c>
      <c r="G154" s="18" t="str">
        <f aca="false">IFERROR(INDEX(종합!G$3:G$501,MATCH(ROW()-2,종합!$AD$3:$AD$501,0))&amp;"","")</f>
        <v/>
      </c>
      <c r="H154" s="21" t="str">
        <f aca="false">IFERROR(INDEX(종합!H$3:H$501,MATCH(ROW()-2,종합!$AD$3:$AD$501,0))&amp;"","")</f>
        <v/>
      </c>
      <c r="I154" s="21" t="str">
        <f aca="false">IFERROR(INDEX(종합!I$3:I$501,MATCH(ROW()-2,종합!$AD$3:$AD$501,0))&amp;"","")</f>
        <v/>
      </c>
      <c r="J154" s="21" t="str">
        <f aca="false">IFERROR(INDEX(종합!J$3:J$501,MATCH(ROW()-2,종합!$AD$3:$AD$501,0))&amp;"","")</f>
        <v/>
      </c>
      <c r="K154" s="21" t="str">
        <f aca="false">IFERROR(INDEX(종합!K$3:K$501,MATCH(ROW()-2,종합!$AD$3:$AD$501,0))&amp;"","")</f>
        <v/>
      </c>
      <c r="L154" s="21" t="str">
        <f aca="false">IFERROR(INDEX(종합!L$3:L$501,MATCH(ROW()-2,종합!$AD$3:$AD$501,0))&amp;"","")</f>
        <v/>
      </c>
      <c r="M154" s="21" t="str">
        <f aca="false">IFERROR(INDEX(종합!M$3:M$501,MATCH(ROW()-2,종합!$AD$3:$AD$501,0))&amp;"","")</f>
        <v/>
      </c>
      <c r="N154" s="25" t="str">
        <f aca="false">IFERROR(INDEX(종합!N$3:N$501,MATCH(ROW()-2,종합!$AD$3:$AD$501,0))&amp;"","")</f>
        <v/>
      </c>
      <c r="O154" s="21" t="str">
        <f aca="false">IFERROR(INDEX(종합!O$3:O$501,MATCH(ROW()-2,종합!$AD$3:$AD$501,0))&amp;"","")</f>
        <v/>
      </c>
      <c r="P154" s="21" t="str">
        <f aca="false">IFERROR(INDEX(종합!P$3:P$501,MATCH(ROW()-2,종합!$AD$3:$AD$501,0))&amp;"","")</f>
        <v/>
      </c>
      <c r="Q154" s="21" t="str">
        <f aca="false">IFERROR(INDEX(종합!Q$3:Q$501,MATCH(ROW()-2,종합!$AD$3:$AD$501,0))&amp;"","")</f>
        <v/>
      </c>
      <c r="R154" s="21" t="str">
        <f aca="false">IFERROR(INDEX(종합!R$3:R$501,MATCH(ROW()-2,종합!$AD$3:$AD$501,0))&amp;"","")</f>
        <v/>
      </c>
      <c r="S154" s="21" t="str">
        <f aca="false">IFERROR(INDEX(종합!S$3:S$501,MATCH(ROW()-2,종합!$AD$3:$AD$501,0))&amp;"","")</f>
        <v/>
      </c>
      <c r="T154" s="21" t="str">
        <f aca="false">IFERROR(INDEX(종합!T$3:T$501,MATCH(ROW()-2,종합!$AD$3:$AD$501,0))&amp;"","")</f>
        <v/>
      </c>
      <c r="U154" s="21" t="str">
        <f aca="false">IFERROR(INDEX(종합!U$3:U$501,MATCH(ROW()-2,종합!$AD$3:$AD$501,0))&amp;"","")</f>
        <v/>
      </c>
      <c r="V154" s="21" t="str">
        <f aca="false">IFERROR(INDEX(종합!V$3:V$501,MATCH(ROW()-2,종합!$AD$3:$AD$501,0))&amp;"","")</f>
        <v/>
      </c>
      <c r="W154" s="21" t="str">
        <f aca="false">IFERROR(INDEX(종합!W$3:W$501,MATCH(ROW()-2,종합!$AD$3:$AD$501,0))&amp;"","")</f>
        <v/>
      </c>
      <c r="X154" s="21" t="str">
        <f aca="false">IFERROR(INDEX(종합!X$3:X$501,MATCH(ROW()-2,종합!$AD$3:$AD$501,0))&amp;"","")</f>
        <v/>
      </c>
      <c r="Y154" s="21" t="str">
        <f aca="false">IFERROR(INDEX(종합!Y$3:Y$501,MATCH(ROW()-2,종합!$AD$3:$AD$501,0))&amp;"","")</f>
        <v/>
      </c>
      <c r="Z154" s="21" t="str">
        <f aca="false">IFERROR(INDEX(종합!Z$3:Z$501,MATCH(ROW()-2,종합!$AD$3:$AD$501,0))&amp;"","")</f>
        <v/>
      </c>
      <c r="AA154" s="23" t="str">
        <f aca="false">IFERROR(INDEX(종합!AA$3:AA$501,MATCH(ROW()-2,종합!$AD$3:$AD$501,0))&amp;"","")</f>
        <v/>
      </c>
    </row>
    <row r="155" customFormat="false" ht="16.5" hidden="false" customHeight="true" outlineLevel="0" collapsed="false">
      <c r="A155" s="18" t="str">
        <f aca="false">IF(B155="","",ROW()-2)</f>
        <v/>
      </c>
      <c r="B155" s="18" t="str">
        <f aca="false">IFERROR(INDEX(종합!B$3:B$501,MATCH(ROW()-2,종합!$AD$3:$AD$501,0))&amp;"","")</f>
        <v/>
      </c>
      <c r="C155" s="18" t="str">
        <f aca="false">IFERROR(INDEX(종합!C$3:C$501,MATCH(ROW()-2,종합!$AD$3:$AD$501,0))&amp;"","")</f>
        <v/>
      </c>
      <c r="D155" s="18" t="str">
        <f aca="false">IFERROR(INDEX(종합!D$3:D$501,MATCH(ROW()-2,종합!$AD$3:$AD$501,0))&amp;"","")</f>
        <v/>
      </c>
      <c r="E155" s="18" t="str">
        <f aca="false">IFERROR(INDEX(종합!E$3:E$501,MATCH(ROW()-2,종합!$AD$3:$AD$501,0))&amp;"","")</f>
        <v/>
      </c>
      <c r="F155" s="18" t="str">
        <f aca="false">IFERROR(INDEX(종합!F$3:F$501,MATCH(ROW()-2,종합!$AD$3:$AD$501,0))&amp;"","")</f>
        <v/>
      </c>
      <c r="G155" s="18" t="str">
        <f aca="false">IFERROR(INDEX(종합!G$3:G$501,MATCH(ROW()-2,종합!$AD$3:$AD$501,0))&amp;"","")</f>
        <v/>
      </c>
      <c r="H155" s="21" t="str">
        <f aca="false">IFERROR(INDEX(종합!H$3:H$501,MATCH(ROW()-2,종합!$AD$3:$AD$501,0))&amp;"","")</f>
        <v/>
      </c>
      <c r="I155" s="21" t="str">
        <f aca="false">IFERROR(INDEX(종합!I$3:I$501,MATCH(ROW()-2,종합!$AD$3:$AD$501,0))&amp;"","")</f>
        <v/>
      </c>
      <c r="J155" s="21" t="str">
        <f aca="false">IFERROR(INDEX(종합!J$3:J$501,MATCH(ROW()-2,종합!$AD$3:$AD$501,0))&amp;"","")</f>
        <v/>
      </c>
      <c r="K155" s="21" t="str">
        <f aca="false">IFERROR(INDEX(종합!K$3:K$501,MATCH(ROW()-2,종합!$AD$3:$AD$501,0))&amp;"","")</f>
        <v/>
      </c>
      <c r="L155" s="21" t="str">
        <f aca="false">IFERROR(INDEX(종합!L$3:L$501,MATCH(ROW()-2,종합!$AD$3:$AD$501,0))&amp;"","")</f>
        <v/>
      </c>
      <c r="M155" s="21" t="str">
        <f aca="false">IFERROR(INDEX(종합!M$3:M$501,MATCH(ROW()-2,종합!$AD$3:$AD$501,0))&amp;"","")</f>
        <v/>
      </c>
      <c r="N155" s="25" t="str">
        <f aca="false">IFERROR(INDEX(종합!N$3:N$501,MATCH(ROW()-2,종합!$AD$3:$AD$501,0))&amp;"","")</f>
        <v/>
      </c>
      <c r="O155" s="21" t="str">
        <f aca="false">IFERROR(INDEX(종합!O$3:O$501,MATCH(ROW()-2,종합!$AD$3:$AD$501,0))&amp;"","")</f>
        <v/>
      </c>
      <c r="P155" s="21" t="str">
        <f aca="false">IFERROR(INDEX(종합!P$3:P$501,MATCH(ROW()-2,종합!$AD$3:$AD$501,0))&amp;"","")</f>
        <v/>
      </c>
      <c r="Q155" s="21" t="str">
        <f aca="false">IFERROR(INDEX(종합!Q$3:Q$501,MATCH(ROW()-2,종합!$AD$3:$AD$501,0))&amp;"","")</f>
        <v/>
      </c>
      <c r="R155" s="21" t="str">
        <f aca="false">IFERROR(INDEX(종합!R$3:R$501,MATCH(ROW()-2,종합!$AD$3:$AD$501,0))&amp;"","")</f>
        <v/>
      </c>
      <c r="S155" s="21" t="str">
        <f aca="false">IFERROR(INDEX(종합!S$3:S$501,MATCH(ROW()-2,종합!$AD$3:$AD$501,0))&amp;"","")</f>
        <v/>
      </c>
      <c r="T155" s="21" t="str">
        <f aca="false">IFERROR(INDEX(종합!T$3:T$501,MATCH(ROW()-2,종합!$AD$3:$AD$501,0))&amp;"","")</f>
        <v/>
      </c>
      <c r="U155" s="21" t="str">
        <f aca="false">IFERROR(INDEX(종합!U$3:U$501,MATCH(ROW()-2,종합!$AD$3:$AD$501,0))&amp;"","")</f>
        <v/>
      </c>
      <c r="V155" s="21" t="str">
        <f aca="false">IFERROR(INDEX(종합!V$3:V$501,MATCH(ROW()-2,종합!$AD$3:$AD$501,0))&amp;"","")</f>
        <v/>
      </c>
      <c r="W155" s="21" t="str">
        <f aca="false">IFERROR(INDEX(종합!W$3:W$501,MATCH(ROW()-2,종합!$AD$3:$AD$501,0))&amp;"","")</f>
        <v/>
      </c>
      <c r="X155" s="21" t="str">
        <f aca="false">IFERROR(INDEX(종합!X$3:X$501,MATCH(ROW()-2,종합!$AD$3:$AD$501,0))&amp;"","")</f>
        <v/>
      </c>
      <c r="Y155" s="21" t="str">
        <f aca="false">IFERROR(INDEX(종합!Y$3:Y$501,MATCH(ROW()-2,종합!$AD$3:$AD$501,0))&amp;"","")</f>
        <v/>
      </c>
      <c r="Z155" s="21" t="str">
        <f aca="false">IFERROR(INDEX(종합!Z$3:Z$501,MATCH(ROW()-2,종합!$AD$3:$AD$501,0))&amp;"","")</f>
        <v/>
      </c>
      <c r="AA155" s="23" t="str">
        <f aca="false">IFERROR(INDEX(종합!AA$3:AA$501,MATCH(ROW()-2,종합!$AD$3:$AD$501,0))&amp;"","")</f>
        <v/>
      </c>
    </row>
    <row r="156" customFormat="false" ht="16.5" hidden="false" customHeight="true" outlineLevel="0" collapsed="false">
      <c r="A156" s="18" t="str">
        <f aca="false">IF(B156="","",ROW()-2)</f>
        <v/>
      </c>
      <c r="B156" s="18" t="str">
        <f aca="false">IFERROR(INDEX(종합!B$3:B$501,MATCH(ROW()-2,종합!$AD$3:$AD$501,0))&amp;"","")</f>
        <v/>
      </c>
      <c r="C156" s="18" t="str">
        <f aca="false">IFERROR(INDEX(종합!C$3:C$501,MATCH(ROW()-2,종합!$AD$3:$AD$501,0))&amp;"","")</f>
        <v/>
      </c>
      <c r="D156" s="18" t="str">
        <f aca="false">IFERROR(INDEX(종합!D$3:D$501,MATCH(ROW()-2,종합!$AD$3:$AD$501,0))&amp;"","")</f>
        <v/>
      </c>
      <c r="E156" s="18" t="str">
        <f aca="false">IFERROR(INDEX(종합!E$3:E$501,MATCH(ROW()-2,종합!$AD$3:$AD$501,0))&amp;"","")</f>
        <v/>
      </c>
      <c r="F156" s="18" t="str">
        <f aca="false">IFERROR(INDEX(종합!F$3:F$501,MATCH(ROW()-2,종합!$AD$3:$AD$501,0))&amp;"","")</f>
        <v/>
      </c>
      <c r="G156" s="18" t="str">
        <f aca="false">IFERROR(INDEX(종합!G$3:G$501,MATCH(ROW()-2,종합!$AD$3:$AD$501,0))&amp;"","")</f>
        <v/>
      </c>
      <c r="H156" s="21" t="str">
        <f aca="false">IFERROR(INDEX(종합!H$3:H$501,MATCH(ROW()-2,종합!$AD$3:$AD$501,0))&amp;"","")</f>
        <v/>
      </c>
      <c r="I156" s="21" t="str">
        <f aca="false">IFERROR(INDEX(종합!I$3:I$501,MATCH(ROW()-2,종합!$AD$3:$AD$501,0))&amp;"","")</f>
        <v/>
      </c>
      <c r="J156" s="21" t="str">
        <f aca="false">IFERROR(INDEX(종합!J$3:J$501,MATCH(ROW()-2,종합!$AD$3:$AD$501,0))&amp;"","")</f>
        <v/>
      </c>
      <c r="K156" s="21" t="str">
        <f aca="false">IFERROR(INDEX(종합!K$3:K$501,MATCH(ROW()-2,종합!$AD$3:$AD$501,0))&amp;"","")</f>
        <v/>
      </c>
      <c r="L156" s="21" t="str">
        <f aca="false">IFERROR(INDEX(종합!L$3:L$501,MATCH(ROW()-2,종합!$AD$3:$AD$501,0))&amp;"","")</f>
        <v/>
      </c>
      <c r="M156" s="21" t="str">
        <f aca="false">IFERROR(INDEX(종합!M$3:M$501,MATCH(ROW()-2,종합!$AD$3:$AD$501,0))&amp;"","")</f>
        <v/>
      </c>
      <c r="N156" s="25" t="str">
        <f aca="false">IFERROR(INDEX(종합!N$3:N$501,MATCH(ROW()-2,종합!$AD$3:$AD$501,0))&amp;"","")</f>
        <v/>
      </c>
      <c r="O156" s="21" t="str">
        <f aca="false">IFERROR(INDEX(종합!O$3:O$501,MATCH(ROW()-2,종합!$AD$3:$AD$501,0))&amp;"","")</f>
        <v/>
      </c>
      <c r="P156" s="21" t="str">
        <f aca="false">IFERROR(INDEX(종합!P$3:P$501,MATCH(ROW()-2,종합!$AD$3:$AD$501,0))&amp;"","")</f>
        <v/>
      </c>
      <c r="Q156" s="21" t="str">
        <f aca="false">IFERROR(INDEX(종합!Q$3:Q$501,MATCH(ROW()-2,종합!$AD$3:$AD$501,0))&amp;"","")</f>
        <v/>
      </c>
      <c r="R156" s="21" t="str">
        <f aca="false">IFERROR(INDEX(종합!R$3:R$501,MATCH(ROW()-2,종합!$AD$3:$AD$501,0))&amp;"","")</f>
        <v/>
      </c>
      <c r="S156" s="21" t="str">
        <f aca="false">IFERROR(INDEX(종합!S$3:S$501,MATCH(ROW()-2,종합!$AD$3:$AD$501,0))&amp;"","")</f>
        <v/>
      </c>
      <c r="T156" s="21" t="str">
        <f aca="false">IFERROR(INDEX(종합!T$3:T$501,MATCH(ROW()-2,종합!$AD$3:$AD$501,0))&amp;"","")</f>
        <v/>
      </c>
      <c r="U156" s="21" t="str">
        <f aca="false">IFERROR(INDEX(종합!U$3:U$501,MATCH(ROW()-2,종합!$AD$3:$AD$501,0))&amp;"","")</f>
        <v/>
      </c>
      <c r="V156" s="21" t="str">
        <f aca="false">IFERROR(INDEX(종합!V$3:V$501,MATCH(ROW()-2,종합!$AD$3:$AD$501,0))&amp;"","")</f>
        <v/>
      </c>
      <c r="W156" s="21" t="str">
        <f aca="false">IFERROR(INDEX(종합!W$3:W$501,MATCH(ROW()-2,종합!$AD$3:$AD$501,0))&amp;"","")</f>
        <v/>
      </c>
      <c r="X156" s="21" t="str">
        <f aca="false">IFERROR(INDEX(종합!X$3:X$501,MATCH(ROW()-2,종합!$AD$3:$AD$501,0))&amp;"","")</f>
        <v/>
      </c>
      <c r="Y156" s="21" t="str">
        <f aca="false">IFERROR(INDEX(종합!Y$3:Y$501,MATCH(ROW()-2,종합!$AD$3:$AD$501,0))&amp;"","")</f>
        <v/>
      </c>
      <c r="Z156" s="21" t="str">
        <f aca="false">IFERROR(INDEX(종합!Z$3:Z$501,MATCH(ROW()-2,종합!$AD$3:$AD$501,0))&amp;"","")</f>
        <v/>
      </c>
      <c r="AA156" s="23" t="str">
        <f aca="false">IFERROR(INDEX(종합!AA$3:AA$501,MATCH(ROW()-2,종합!$AD$3:$AD$501,0))&amp;"","")</f>
        <v/>
      </c>
    </row>
    <row r="157" customFormat="false" ht="16.5" hidden="false" customHeight="true" outlineLevel="0" collapsed="false">
      <c r="A157" s="18" t="str">
        <f aca="false">IF(B157="","",ROW()-2)</f>
        <v/>
      </c>
      <c r="B157" s="18" t="str">
        <f aca="false">IFERROR(INDEX(종합!B$3:B$501,MATCH(ROW()-2,종합!$AD$3:$AD$501,0))&amp;"","")</f>
        <v/>
      </c>
      <c r="C157" s="18" t="str">
        <f aca="false">IFERROR(INDEX(종합!C$3:C$501,MATCH(ROW()-2,종합!$AD$3:$AD$501,0))&amp;"","")</f>
        <v/>
      </c>
      <c r="D157" s="18" t="str">
        <f aca="false">IFERROR(INDEX(종합!D$3:D$501,MATCH(ROW()-2,종합!$AD$3:$AD$501,0))&amp;"","")</f>
        <v/>
      </c>
      <c r="E157" s="18" t="str">
        <f aca="false">IFERROR(INDEX(종합!E$3:E$501,MATCH(ROW()-2,종합!$AD$3:$AD$501,0))&amp;"","")</f>
        <v/>
      </c>
      <c r="F157" s="18" t="str">
        <f aca="false">IFERROR(INDEX(종합!F$3:F$501,MATCH(ROW()-2,종합!$AD$3:$AD$501,0))&amp;"","")</f>
        <v/>
      </c>
      <c r="G157" s="18" t="str">
        <f aca="false">IFERROR(INDEX(종합!G$3:G$501,MATCH(ROW()-2,종합!$AD$3:$AD$501,0))&amp;"","")</f>
        <v/>
      </c>
      <c r="H157" s="21" t="str">
        <f aca="false">IFERROR(INDEX(종합!H$3:H$501,MATCH(ROW()-2,종합!$AD$3:$AD$501,0))&amp;"","")</f>
        <v/>
      </c>
      <c r="I157" s="21" t="str">
        <f aca="false">IFERROR(INDEX(종합!I$3:I$501,MATCH(ROW()-2,종합!$AD$3:$AD$501,0))&amp;"","")</f>
        <v/>
      </c>
      <c r="J157" s="21" t="str">
        <f aca="false">IFERROR(INDEX(종합!J$3:J$501,MATCH(ROW()-2,종합!$AD$3:$AD$501,0))&amp;"","")</f>
        <v/>
      </c>
      <c r="K157" s="21" t="str">
        <f aca="false">IFERROR(INDEX(종합!K$3:K$501,MATCH(ROW()-2,종합!$AD$3:$AD$501,0))&amp;"","")</f>
        <v/>
      </c>
      <c r="L157" s="21" t="str">
        <f aca="false">IFERROR(INDEX(종합!L$3:L$501,MATCH(ROW()-2,종합!$AD$3:$AD$501,0))&amp;"","")</f>
        <v/>
      </c>
      <c r="M157" s="21" t="str">
        <f aca="false">IFERROR(INDEX(종합!M$3:M$501,MATCH(ROW()-2,종합!$AD$3:$AD$501,0))&amp;"","")</f>
        <v/>
      </c>
      <c r="N157" s="25" t="str">
        <f aca="false">IFERROR(INDEX(종합!N$3:N$501,MATCH(ROW()-2,종합!$AD$3:$AD$501,0))&amp;"","")</f>
        <v/>
      </c>
      <c r="O157" s="21" t="str">
        <f aca="false">IFERROR(INDEX(종합!O$3:O$501,MATCH(ROW()-2,종합!$AD$3:$AD$501,0))&amp;"","")</f>
        <v/>
      </c>
      <c r="P157" s="21" t="str">
        <f aca="false">IFERROR(INDEX(종합!P$3:P$501,MATCH(ROW()-2,종합!$AD$3:$AD$501,0))&amp;"","")</f>
        <v/>
      </c>
      <c r="Q157" s="21" t="str">
        <f aca="false">IFERROR(INDEX(종합!Q$3:Q$501,MATCH(ROW()-2,종합!$AD$3:$AD$501,0))&amp;"","")</f>
        <v/>
      </c>
      <c r="R157" s="21" t="str">
        <f aca="false">IFERROR(INDEX(종합!R$3:R$501,MATCH(ROW()-2,종합!$AD$3:$AD$501,0))&amp;"","")</f>
        <v/>
      </c>
      <c r="S157" s="21" t="str">
        <f aca="false">IFERROR(INDEX(종합!S$3:S$501,MATCH(ROW()-2,종합!$AD$3:$AD$501,0))&amp;"","")</f>
        <v/>
      </c>
      <c r="T157" s="21" t="str">
        <f aca="false">IFERROR(INDEX(종합!T$3:T$501,MATCH(ROW()-2,종합!$AD$3:$AD$501,0))&amp;"","")</f>
        <v/>
      </c>
      <c r="U157" s="21" t="str">
        <f aca="false">IFERROR(INDEX(종합!U$3:U$501,MATCH(ROW()-2,종합!$AD$3:$AD$501,0))&amp;"","")</f>
        <v/>
      </c>
      <c r="V157" s="21" t="str">
        <f aca="false">IFERROR(INDEX(종합!V$3:V$501,MATCH(ROW()-2,종합!$AD$3:$AD$501,0))&amp;"","")</f>
        <v/>
      </c>
      <c r="W157" s="21" t="str">
        <f aca="false">IFERROR(INDEX(종합!W$3:W$501,MATCH(ROW()-2,종합!$AD$3:$AD$501,0))&amp;"","")</f>
        <v/>
      </c>
      <c r="X157" s="21" t="str">
        <f aca="false">IFERROR(INDEX(종합!X$3:X$501,MATCH(ROW()-2,종합!$AD$3:$AD$501,0))&amp;"","")</f>
        <v/>
      </c>
      <c r="Y157" s="21" t="str">
        <f aca="false">IFERROR(INDEX(종합!Y$3:Y$501,MATCH(ROW()-2,종합!$AD$3:$AD$501,0))&amp;"","")</f>
        <v/>
      </c>
      <c r="Z157" s="21" t="str">
        <f aca="false">IFERROR(INDEX(종합!Z$3:Z$501,MATCH(ROW()-2,종합!$AD$3:$AD$501,0))&amp;"","")</f>
        <v/>
      </c>
      <c r="AA157" s="23" t="str">
        <f aca="false">IFERROR(INDEX(종합!AA$3:AA$501,MATCH(ROW()-2,종합!$AD$3:$AD$501,0))&amp;"","")</f>
        <v/>
      </c>
    </row>
    <row r="158" customFormat="false" ht="16.5" hidden="false" customHeight="true" outlineLevel="0" collapsed="false">
      <c r="A158" s="18" t="str">
        <f aca="false">IF(B158="","",ROW()-2)</f>
        <v/>
      </c>
      <c r="B158" s="18" t="str">
        <f aca="false">IFERROR(INDEX(종합!B$3:B$501,MATCH(ROW()-2,종합!$AD$3:$AD$501,0))&amp;"","")</f>
        <v/>
      </c>
      <c r="C158" s="18" t="str">
        <f aca="false">IFERROR(INDEX(종합!C$3:C$501,MATCH(ROW()-2,종합!$AD$3:$AD$501,0))&amp;"","")</f>
        <v/>
      </c>
      <c r="D158" s="18" t="str">
        <f aca="false">IFERROR(INDEX(종합!D$3:D$501,MATCH(ROW()-2,종합!$AD$3:$AD$501,0))&amp;"","")</f>
        <v/>
      </c>
      <c r="E158" s="18" t="str">
        <f aca="false">IFERROR(INDEX(종합!E$3:E$501,MATCH(ROW()-2,종합!$AD$3:$AD$501,0))&amp;"","")</f>
        <v/>
      </c>
      <c r="F158" s="18" t="str">
        <f aca="false">IFERROR(INDEX(종합!F$3:F$501,MATCH(ROW()-2,종합!$AD$3:$AD$501,0))&amp;"","")</f>
        <v/>
      </c>
      <c r="G158" s="18" t="str">
        <f aca="false">IFERROR(INDEX(종합!G$3:G$501,MATCH(ROW()-2,종합!$AD$3:$AD$501,0))&amp;"","")</f>
        <v/>
      </c>
      <c r="H158" s="21" t="str">
        <f aca="false">IFERROR(INDEX(종합!H$3:H$501,MATCH(ROW()-2,종합!$AD$3:$AD$501,0))&amp;"","")</f>
        <v/>
      </c>
      <c r="I158" s="21" t="str">
        <f aca="false">IFERROR(INDEX(종합!I$3:I$501,MATCH(ROW()-2,종합!$AD$3:$AD$501,0))&amp;"","")</f>
        <v/>
      </c>
      <c r="J158" s="21" t="str">
        <f aca="false">IFERROR(INDEX(종합!J$3:J$501,MATCH(ROW()-2,종합!$AD$3:$AD$501,0))&amp;"","")</f>
        <v/>
      </c>
      <c r="K158" s="21" t="str">
        <f aca="false">IFERROR(INDEX(종합!K$3:K$501,MATCH(ROW()-2,종합!$AD$3:$AD$501,0))&amp;"","")</f>
        <v/>
      </c>
      <c r="L158" s="21" t="str">
        <f aca="false">IFERROR(INDEX(종합!L$3:L$501,MATCH(ROW()-2,종합!$AD$3:$AD$501,0))&amp;"","")</f>
        <v/>
      </c>
      <c r="M158" s="21" t="str">
        <f aca="false">IFERROR(INDEX(종합!M$3:M$501,MATCH(ROW()-2,종합!$AD$3:$AD$501,0))&amp;"","")</f>
        <v/>
      </c>
      <c r="N158" s="25" t="str">
        <f aca="false">IFERROR(INDEX(종합!N$3:N$501,MATCH(ROW()-2,종합!$AD$3:$AD$501,0))&amp;"","")</f>
        <v/>
      </c>
      <c r="O158" s="21" t="str">
        <f aca="false">IFERROR(INDEX(종합!O$3:O$501,MATCH(ROW()-2,종합!$AD$3:$AD$501,0))&amp;"","")</f>
        <v/>
      </c>
      <c r="P158" s="21" t="str">
        <f aca="false">IFERROR(INDEX(종합!P$3:P$501,MATCH(ROW()-2,종합!$AD$3:$AD$501,0))&amp;"","")</f>
        <v/>
      </c>
      <c r="Q158" s="21" t="str">
        <f aca="false">IFERROR(INDEX(종합!Q$3:Q$501,MATCH(ROW()-2,종합!$AD$3:$AD$501,0))&amp;"","")</f>
        <v/>
      </c>
      <c r="R158" s="21" t="str">
        <f aca="false">IFERROR(INDEX(종합!R$3:R$501,MATCH(ROW()-2,종합!$AD$3:$AD$501,0))&amp;"","")</f>
        <v/>
      </c>
      <c r="S158" s="21" t="str">
        <f aca="false">IFERROR(INDEX(종합!S$3:S$501,MATCH(ROW()-2,종합!$AD$3:$AD$501,0))&amp;"","")</f>
        <v/>
      </c>
      <c r="T158" s="21" t="str">
        <f aca="false">IFERROR(INDEX(종합!T$3:T$501,MATCH(ROW()-2,종합!$AD$3:$AD$501,0))&amp;"","")</f>
        <v/>
      </c>
      <c r="U158" s="21" t="str">
        <f aca="false">IFERROR(INDEX(종합!U$3:U$501,MATCH(ROW()-2,종합!$AD$3:$AD$501,0))&amp;"","")</f>
        <v/>
      </c>
      <c r="V158" s="21" t="str">
        <f aca="false">IFERROR(INDEX(종합!V$3:V$501,MATCH(ROW()-2,종합!$AD$3:$AD$501,0))&amp;"","")</f>
        <v/>
      </c>
      <c r="W158" s="21" t="str">
        <f aca="false">IFERROR(INDEX(종합!W$3:W$501,MATCH(ROW()-2,종합!$AD$3:$AD$501,0))&amp;"","")</f>
        <v/>
      </c>
      <c r="X158" s="21" t="str">
        <f aca="false">IFERROR(INDEX(종합!X$3:X$501,MATCH(ROW()-2,종합!$AD$3:$AD$501,0))&amp;"","")</f>
        <v/>
      </c>
      <c r="Y158" s="21" t="str">
        <f aca="false">IFERROR(INDEX(종합!Y$3:Y$501,MATCH(ROW()-2,종합!$AD$3:$AD$501,0))&amp;"","")</f>
        <v/>
      </c>
      <c r="Z158" s="21" t="str">
        <f aca="false">IFERROR(INDEX(종합!Z$3:Z$501,MATCH(ROW()-2,종합!$AD$3:$AD$501,0))&amp;"","")</f>
        <v/>
      </c>
      <c r="AA158" s="23" t="str">
        <f aca="false">IFERROR(INDEX(종합!AA$3:AA$501,MATCH(ROW()-2,종합!$AD$3:$AD$501,0))&amp;"","")</f>
        <v/>
      </c>
    </row>
    <row r="159" customFormat="false" ht="16.5" hidden="false" customHeight="true" outlineLevel="0" collapsed="false">
      <c r="A159" s="18" t="str">
        <f aca="false">IF(B159="","",ROW()-2)</f>
        <v/>
      </c>
      <c r="B159" s="18" t="str">
        <f aca="false">IFERROR(INDEX(종합!B$3:B$501,MATCH(ROW()-2,종합!$AD$3:$AD$501,0))&amp;"","")</f>
        <v/>
      </c>
      <c r="C159" s="18" t="str">
        <f aca="false">IFERROR(INDEX(종합!C$3:C$501,MATCH(ROW()-2,종합!$AD$3:$AD$501,0))&amp;"","")</f>
        <v/>
      </c>
      <c r="D159" s="18" t="str">
        <f aca="false">IFERROR(INDEX(종합!D$3:D$501,MATCH(ROW()-2,종합!$AD$3:$AD$501,0))&amp;"","")</f>
        <v/>
      </c>
      <c r="E159" s="18" t="str">
        <f aca="false">IFERROR(INDEX(종합!E$3:E$501,MATCH(ROW()-2,종합!$AD$3:$AD$501,0))&amp;"","")</f>
        <v/>
      </c>
      <c r="F159" s="18" t="str">
        <f aca="false">IFERROR(INDEX(종합!F$3:F$501,MATCH(ROW()-2,종합!$AD$3:$AD$501,0))&amp;"","")</f>
        <v/>
      </c>
      <c r="G159" s="18" t="str">
        <f aca="false">IFERROR(INDEX(종합!G$3:G$501,MATCH(ROW()-2,종합!$AD$3:$AD$501,0))&amp;"","")</f>
        <v/>
      </c>
      <c r="H159" s="21" t="str">
        <f aca="false">IFERROR(INDEX(종합!H$3:H$501,MATCH(ROW()-2,종합!$AD$3:$AD$501,0))&amp;"","")</f>
        <v/>
      </c>
      <c r="I159" s="21" t="str">
        <f aca="false">IFERROR(INDEX(종합!I$3:I$501,MATCH(ROW()-2,종합!$AD$3:$AD$501,0))&amp;"","")</f>
        <v/>
      </c>
      <c r="J159" s="21" t="str">
        <f aca="false">IFERROR(INDEX(종합!J$3:J$501,MATCH(ROW()-2,종합!$AD$3:$AD$501,0))&amp;"","")</f>
        <v/>
      </c>
      <c r="K159" s="21" t="str">
        <f aca="false">IFERROR(INDEX(종합!K$3:K$501,MATCH(ROW()-2,종합!$AD$3:$AD$501,0))&amp;"","")</f>
        <v/>
      </c>
      <c r="L159" s="21" t="str">
        <f aca="false">IFERROR(INDEX(종합!L$3:L$501,MATCH(ROW()-2,종합!$AD$3:$AD$501,0))&amp;"","")</f>
        <v/>
      </c>
      <c r="M159" s="21" t="str">
        <f aca="false">IFERROR(INDEX(종합!M$3:M$501,MATCH(ROW()-2,종합!$AD$3:$AD$501,0))&amp;"","")</f>
        <v/>
      </c>
      <c r="N159" s="25" t="str">
        <f aca="false">IFERROR(INDEX(종합!N$3:N$501,MATCH(ROW()-2,종합!$AD$3:$AD$501,0))&amp;"","")</f>
        <v/>
      </c>
      <c r="O159" s="21" t="str">
        <f aca="false">IFERROR(INDEX(종합!O$3:O$501,MATCH(ROW()-2,종합!$AD$3:$AD$501,0))&amp;"","")</f>
        <v/>
      </c>
      <c r="P159" s="21" t="str">
        <f aca="false">IFERROR(INDEX(종합!P$3:P$501,MATCH(ROW()-2,종합!$AD$3:$AD$501,0))&amp;"","")</f>
        <v/>
      </c>
      <c r="Q159" s="21" t="str">
        <f aca="false">IFERROR(INDEX(종합!Q$3:Q$501,MATCH(ROW()-2,종합!$AD$3:$AD$501,0))&amp;"","")</f>
        <v/>
      </c>
      <c r="R159" s="21" t="str">
        <f aca="false">IFERROR(INDEX(종합!R$3:R$501,MATCH(ROW()-2,종합!$AD$3:$AD$501,0))&amp;"","")</f>
        <v/>
      </c>
      <c r="S159" s="21" t="str">
        <f aca="false">IFERROR(INDEX(종합!S$3:S$501,MATCH(ROW()-2,종합!$AD$3:$AD$501,0))&amp;"","")</f>
        <v/>
      </c>
      <c r="T159" s="21" t="str">
        <f aca="false">IFERROR(INDEX(종합!T$3:T$501,MATCH(ROW()-2,종합!$AD$3:$AD$501,0))&amp;"","")</f>
        <v/>
      </c>
      <c r="U159" s="21" t="str">
        <f aca="false">IFERROR(INDEX(종합!U$3:U$501,MATCH(ROW()-2,종합!$AD$3:$AD$501,0))&amp;"","")</f>
        <v/>
      </c>
      <c r="V159" s="21" t="str">
        <f aca="false">IFERROR(INDEX(종합!V$3:V$501,MATCH(ROW()-2,종합!$AD$3:$AD$501,0))&amp;"","")</f>
        <v/>
      </c>
      <c r="W159" s="21" t="str">
        <f aca="false">IFERROR(INDEX(종합!W$3:W$501,MATCH(ROW()-2,종합!$AD$3:$AD$501,0))&amp;"","")</f>
        <v/>
      </c>
      <c r="X159" s="21" t="str">
        <f aca="false">IFERROR(INDEX(종합!X$3:X$501,MATCH(ROW()-2,종합!$AD$3:$AD$501,0))&amp;"","")</f>
        <v/>
      </c>
      <c r="Y159" s="21" t="str">
        <f aca="false">IFERROR(INDEX(종합!Y$3:Y$501,MATCH(ROW()-2,종합!$AD$3:$AD$501,0))&amp;"","")</f>
        <v/>
      </c>
      <c r="Z159" s="21" t="str">
        <f aca="false">IFERROR(INDEX(종합!Z$3:Z$501,MATCH(ROW()-2,종합!$AD$3:$AD$501,0))&amp;"","")</f>
        <v/>
      </c>
      <c r="AA159" s="23" t="str">
        <f aca="false">IFERROR(INDEX(종합!AA$3:AA$501,MATCH(ROW()-2,종합!$AD$3:$AD$501,0))&amp;"","")</f>
        <v/>
      </c>
    </row>
    <row r="160" customFormat="false" ht="16.5" hidden="false" customHeight="true" outlineLevel="0" collapsed="false">
      <c r="A160" s="18" t="str">
        <f aca="false">IF(B160="","",ROW()-2)</f>
        <v/>
      </c>
      <c r="B160" s="18" t="str">
        <f aca="false">IFERROR(INDEX(종합!B$3:B$501,MATCH(ROW()-2,종합!$AD$3:$AD$501,0))&amp;"","")</f>
        <v/>
      </c>
      <c r="C160" s="18" t="str">
        <f aca="false">IFERROR(INDEX(종합!C$3:C$501,MATCH(ROW()-2,종합!$AD$3:$AD$501,0))&amp;"","")</f>
        <v/>
      </c>
      <c r="D160" s="18" t="str">
        <f aca="false">IFERROR(INDEX(종합!D$3:D$501,MATCH(ROW()-2,종합!$AD$3:$AD$501,0))&amp;"","")</f>
        <v/>
      </c>
      <c r="E160" s="18" t="str">
        <f aca="false">IFERROR(INDEX(종합!E$3:E$501,MATCH(ROW()-2,종합!$AD$3:$AD$501,0))&amp;"","")</f>
        <v/>
      </c>
      <c r="F160" s="18" t="str">
        <f aca="false">IFERROR(INDEX(종합!F$3:F$501,MATCH(ROW()-2,종합!$AD$3:$AD$501,0))&amp;"","")</f>
        <v/>
      </c>
      <c r="G160" s="18" t="str">
        <f aca="false">IFERROR(INDEX(종합!G$3:G$501,MATCH(ROW()-2,종합!$AD$3:$AD$501,0))&amp;"","")</f>
        <v/>
      </c>
      <c r="H160" s="21" t="str">
        <f aca="false">IFERROR(INDEX(종합!H$3:H$501,MATCH(ROW()-2,종합!$AD$3:$AD$501,0))&amp;"","")</f>
        <v/>
      </c>
      <c r="I160" s="21" t="str">
        <f aca="false">IFERROR(INDEX(종합!I$3:I$501,MATCH(ROW()-2,종합!$AD$3:$AD$501,0))&amp;"","")</f>
        <v/>
      </c>
      <c r="J160" s="21" t="str">
        <f aca="false">IFERROR(INDEX(종합!J$3:J$501,MATCH(ROW()-2,종합!$AD$3:$AD$501,0))&amp;"","")</f>
        <v/>
      </c>
      <c r="K160" s="21" t="str">
        <f aca="false">IFERROR(INDEX(종합!K$3:K$501,MATCH(ROW()-2,종합!$AD$3:$AD$501,0))&amp;"","")</f>
        <v/>
      </c>
      <c r="L160" s="21" t="str">
        <f aca="false">IFERROR(INDEX(종합!L$3:L$501,MATCH(ROW()-2,종합!$AD$3:$AD$501,0))&amp;"","")</f>
        <v/>
      </c>
      <c r="M160" s="21" t="str">
        <f aca="false">IFERROR(INDEX(종합!M$3:M$501,MATCH(ROW()-2,종합!$AD$3:$AD$501,0))&amp;"","")</f>
        <v/>
      </c>
      <c r="N160" s="25" t="str">
        <f aca="false">IFERROR(INDEX(종합!N$3:N$501,MATCH(ROW()-2,종합!$AD$3:$AD$501,0))&amp;"","")</f>
        <v/>
      </c>
      <c r="O160" s="21" t="str">
        <f aca="false">IFERROR(INDEX(종합!O$3:O$501,MATCH(ROW()-2,종합!$AD$3:$AD$501,0))&amp;"","")</f>
        <v/>
      </c>
      <c r="P160" s="21" t="str">
        <f aca="false">IFERROR(INDEX(종합!P$3:P$501,MATCH(ROW()-2,종합!$AD$3:$AD$501,0))&amp;"","")</f>
        <v/>
      </c>
      <c r="Q160" s="21" t="str">
        <f aca="false">IFERROR(INDEX(종합!Q$3:Q$501,MATCH(ROW()-2,종합!$AD$3:$AD$501,0))&amp;"","")</f>
        <v/>
      </c>
      <c r="R160" s="21" t="str">
        <f aca="false">IFERROR(INDEX(종합!R$3:R$501,MATCH(ROW()-2,종합!$AD$3:$AD$501,0))&amp;"","")</f>
        <v/>
      </c>
      <c r="S160" s="21" t="str">
        <f aca="false">IFERROR(INDEX(종합!S$3:S$501,MATCH(ROW()-2,종합!$AD$3:$AD$501,0))&amp;"","")</f>
        <v/>
      </c>
      <c r="T160" s="21" t="str">
        <f aca="false">IFERROR(INDEX(종합!T$3:T$501,MATCH(ROW()-2,종합!$AD$3:$AD$501,0))&amp;"","")</f>
        <v/>
      </c>
      <c r="U160" s="21" t="str">
        <f aca="false">IFERROR(INDEX(종합!U$3:U$501,MATCH(ROW()-2,종합!$AD$3:$AD$501,0))&amp;"","")</f>
        <v/>
      </c>
      <c r="V160" s="21" t="str">
        <f aca="false">IFERROR(INDEX(종합!V$3:V$501,MATCH(ROW()-2,종합!$AD$3:$AD$501,0))&amp;"","")</f>
        <v/>
      </c>
      <c r="W160" s="21" t="str">
        <f aca="false">IFERROR(INDEX(종합!W$3:W$501,MATCH(ROW()-2,종합!$AD$3:$AD$501,0))&amp;"","")</f>
        <v/>
      </c>
      <c r="X160" s="21" t="str">
        <f aca="false">IFERROR(INDEX(종합!X$3:X$501,MATCH(ROW()-2,종합!$AD$3:$AD$501,0))&amp;"","")</f>
        <v/>
      </c>
      <c r="Y160" s="21" t="str">
        <f aca="false">IFERROR(INDEX(종합!Y$3:Y$501,MATCH(ROW()-2,종합!$AD$3:$AD$501,0))&amp;"","")</f>
        <v/>
      </c>
      <c r="Z160" s="21" t="str">
        <f aca="false">IFERROR(INDEX(종합!Z$3:Z$501,MATCH(ROW()-2,종합!$AD$3:$AD$501,0))&amp;"","")</f>
        <v/>
      </c>
      <c r="AA160" s="23" t="str">
        <f aca="false">IFERROR(INDEX(종합!AA$3:AA$501,MATCH(ROW()-2,종합!$AD$3:$AD$501,0))&amp;"","")</f>
        <v/>
      </c>
    </row>
    <row r="161" customFormat="false" ht="16.5" hidden="false" customHeight="true" outlineLevel="0" collapsed="false">
      <c r="A161" s="18" t="str">
        <f aca="false">IF(B161="","",ROW()-2)</f>
        <v/>
      </c>
      <c r="B161" s="18" t="str">
        <f aca="false">IFERROR(INDEX(종합!B$3:B$501,MATCH(ROW()-2,종합!$AD$3:$AD$501,0))&amp;"","")</f>
        <v/>
      </c>
      <c r="C161" s="18" t="str">
        <f aca="false">IFERROR(INDEX(종합!C$3:C$501,MATCH(ROW()-2,종합!$AD$3:$AD$501,0))&amp;"","")</f>
        <v/>
      </c>
      <c r="D161" s="18" t="str">
        <f aca="false">IFERROR(INDEX(종합!D$3:D$501,MATCH(ROW()-2,종합!$AD$3:$AD$501,0))&amp;"","")</f>
        <v/>
      </c>
      <c r="E161" s="18" t="str">
        <f aca="false">IFERROR(INDEX(종합!E$3:E$501,MATCH(ROW()-2,종합!$AD$3:$AD$501,0))&amp;"","")</f>
        <v/>
      </c>
      <c r="F161" s="18" t="str">
        <f aca="false">IFERROR(INDEX(종합!F$3:F$501,MATCH(ROW()-2,종합!$AD$3:$AD$501,0))&amp;"","")</f>
        <v/>
      </c>
      <c r="G161" s="18" t="str">
        <f aca="false">IFERROR(INDEX(종합!G$3:G$501,MATCH(ROW()-2,종합!$AD$3:$AD$501,0))&amp;"","")</f>
        <v/>
      </c>
      <c r="H161" s="21" t="str">
        <f aca="false">IFERROR(INDEX(종합!H$3:H$501,MATCH(ROW()-2,종합!$AD$3:$AD$501,0))&amp;"","")</f>
        <v/>
      </c>
      <c r="I161" s="21" t="str">
        <f aca="false">IFERROR(INDEX(종합!I$3:I$501,MATCH(ROW()-2,종합!$AD$3:$AD$501,0))&amp;"","")</f>
        <v/>
      </c>
      <c r="J161" s="21" t="str">
        <f aca="false">IFERROR(INDEX(종합!J$3:J$501,MATCH(ROW()-2,종합!$AD$3:$AD$501,0))&amp;"","")</f>
        <v/>
      </c>
      <c r="K161" s="21" t="str">
        <f aca="false">IFERROR(INDEX(종합!K$3:K$501,MATCH(ROW()-2,종합!$AD$3:$AD$501,0))&amp;"","")</f>
        <v/>
      </c>
      <c r="L161" s="21" t="str">
        <f aca="false">IFERROR(INDEX(종합!L$3:L$501,MATCH(ROW()-2,종합!$AD$3:$AD$501,0))&amp;"","")</f>
        <v/>
      </c>
      <c r="M161" s="21" t="str">
        <f aca="false">IFERROR(INDEX(종합!M$3:M$501,MATCH(ROW()-2,종합!$AD$3:$AD$501,0))&amp;"","")</f>
        <v/>
      </c>
      <c r="N161" s="25" t="str">
        <f aca="false">IFERROR(INDEX(종합!N$3:N$501,MATCH(ROW()-2,종합!$AD$3:$AD$501,0))&amp;"","")</f>
        <v/>
      </c>
      <c r="O161" s="21" t="str">
        <f aca="false">IFERROR(INDEX(종합!O$3:O$501,MATCH(ROW()-2,종합!$AD$3:$AD$501,0))&amp;"","")</f>
        <v/>
      </c>
      <c r="P161" s="21" t="str">
        <f aca="false">IFERROR(INDEX(종합!P$3:P$501,MATCH(ROW()-2,종합!$AD$3:$AD$501,0))&amp;"","")</f>
        <v/>
      </c>
      <c r="Q161" s="21" t="str">
        <f aca="false">IFERROR(INDEX(종합!Q$3:Q$501,MATCH(ROW()-2,종합!$AD$3:$AD$501,0))&amp;"","")</f>
        <v/>
      </c>
      <c r="R161" s="21" t="str">
        <f aca="false">IFERROR(INDEX(종합!R$3:R$501,MATCH(ROW()-2,종합!$AD$3:$AD$501,0))&amp;"","")</f>
        <v/>
      </c>
      <c r="S161" s="21" t="str">
        <f aca="false">IFERROR(INDEX(종합!S$3:S$501,MATCH(ROW()-2,종합!$AD$3:$AD$501,0))&amp;"","")</f>
        <v/>
      </c>
      <c r="T161" s="21" t="str">
        <f aca="false">IFERROR(INDEX(종합!T$3:T$501,MATCH(ROW()-2,종합!$AD$3:$AD$501,0))&amp;"","")</f>
        <v/>
      </c>
      <c r="U161" s="21" t="str">
        <f aca="false">IFERROR(INDEX(종합!U$3:U$501,MATCH(ROW()-2,종합!$AD$3:$AD$501,0))&amp;"","")</f>
        <v/>
      </c>
      <c r="V161" s="21" t="str">
        <f aca="false">IFERROR(INDEX(종합!V$3:V$501,MATCH(ROW()-2,종합!$AD$3:$AD$501,0))&amp;"","")</f>
        <v/>
      </c>
      <c r="W161" s="21" t="str">
        <f aca="false">IFERROR(INDEX(종합!W$3:W$501,MATCH(ROW()-2,종합!$AD$3:$AD$501,0))&amp;"","")</f>
        <v/>
      </c>
      <c r="X161" s="21" t="str">
        <f aca="false">IFERROR(INDEX(종합!X$3:X$501,MATCH(ROW()-2,종합!$AD$3:$AD$501,0))&amp;"","")</f>
        <v/>
      </c>
      <c r="Y161" s="21" t="str">
        <f aca="false">IFERROR(INDEX(종합!Y$3:Y$501,MATCH(ROW()-2,종합!$AD$3:$AD$501,0))&amp;"","")</f>
        <v/>
      </c>
      <c r="Z161" s="21" t="str">
        <f aca="false">IFERROR(INDEX(종합!Z$3:Z$501,MATCH(ROW()-2,종합!$AD$3:$AD$501,0))&amp;"","")</f>
        <v/>
      </c>
      <c r="AA161" s="23" t="str">
        <f aca="false">IFERROR(INDEX(종합!AA$3:AA$501,MATCH(ROW()-2,종합!$AD$3:$AD$501,0))&amp;"","")</f>
        <v/>
      </c>
    </row>
    <row r="162" customFormat="false" ht="16.5" hidden="false" customHeight="true" outlineLevel="0" collapsed="false">
      <c r="A162" s="18" t="str">
        <f aca="false">IF(B162="","",ROW()-2)</f>
        <v/>
      </c>
      <c r="B162" s="18" t="str">
        <f aca="false">IFERROR(INDEX(종합!B$3:B$501,MATCH(ROW()-2,종합!$AD$3:$AD$501,0))&amp;"","")</f>
        <v/>
      </c>
      <c r="C162" s="18" t="str">
        <f aca="false">IFERROR(INDEX(종합!C$3:C$501,MATCH(ROW()-2,종합!$AD$3:$AD$501,0))&amp;"","")</f>
        <v/>
      </c>
      <c r="D162" s="18" t="str">
        <f aca="false">IFERROR(INDEX(종합!D$3:D$501,MATCH(ROW()-2,종합!$AD$3:$AD$501,0))&amp;"","")</f>
        <v/>
      </c>
      <c r="E162" s="18" t="str">
        <f aca="false">IFERROR(INDEX(종합!E$3:E$501,MATCH(ROW()-2,종합!$AD$3:$AD$501,0))&amp;"","")</f>
        <v/>
      </c>
      <c r="F162" s="18" t="str">
        <f aca="false">IFERROR(INDEX(종합!F$3:F$501,MATCH(ROW()-2,종합!$AD$3:$AD$501,0))&amp;"","")</f>
        <v/>
      </c>
      <c r="G162" s="18" t="str">
        <f aca="false">IFERROR(INDEX(종합!G$3:G$501,MATCH(ROW()-2,종합!$AD$3:$AD$501,0))&amp;"","")</f>
        <v/>
      </c>
      <c r="H162" s="21" t="str">
        <f aca="false">IFERROR(INDEX(종합!H$3:H$501,MATCH(ROW()-2,종합!$AD$3:$AD$501,0))&amp;"","")</f>
        <v/>
      </c>
      <c r="I162" s="21" t="str">
        <f aca="false">IFERROR(INDEX(종합!I$3:I$501,MATCH(ROW()-2,종합!$AD$3:$AD$501,0))&amp;"","")</f>
        <v/>
      </c>
      <c r="J162" s="21" t="str">
        <f aca="false">IFERROR(INDEX(종합!J$3:J$501,MATCH(ROW()-2,종합!$AD$3:$AD$501,0))&amp;"","")</f>
        <v/>
      </c>
      <c r="K162" s="21" t="str">
        <f aca="false">IFERROR(INDEX(종합!K$3:K$501,MATCH(ROW()-2,종합!$AD$3:$AD$501,0))&amp;"","")</f>
        <v/>
      </c>
      <c r="L162" s="21" t="str">
        <f aca="false">IFERROR(INDEX(종합!L$3:L$501,MATCH(ROW()-2,종합!$AD$3:$AD$501,0))&amp;"","")</f>
        <v/>
      </c>
      <c r="M162" s="21" t="str">
        <f aca="false">IFERROR(INDEX(종합!M$3:M$501,MATCH(ROW()-2,종합!$AD$3:$AD$501,0))&amp;"","")</f>
        <v/>
      </c>
      <c r="N162" s="25" t="str">
        <f aca="false">IFERROR(INDEX(종합!N$3:N$501,MATCH(ROW()-2,종합!$AD$3:$AD$501,0))&amp;"","")</f>
        <v/>
      </c>
      <c r="O162" s="21" t="str">
        <f aca="false">IFERROR(INDEX(종합!O$3:O$501,MATCH(ROW()-2,종합!$AD$3:$AD$501,0))&amp;"","")</f>
        <v/>
      </c>
      <c r="P162" s="21" t="str">
        <f aca="false">IFERROR(INDEX(종합!P$3:P$501,MATCH(ROW()-2,종합!$AD$3:$AD$501,0))&amp;"","")</f>
        <v/>
      </c>
      <c r="Q162" s="21" t="str">
        <f aca="false">IFERROR(INDEX(종합!Q$3:Q$501,MATCH(ROW()-2,종합!$AD$3:$AD$501,0))&amp;"","")</f>
        <v/>
      </c>
      <c r="R162" s="21" t="str">
        <f aca="false">IFERROR(INDEX(종합!R$3:R$501,MATCH(ROW()-2,종합!$AD$3:$AD$501,0))&amp;"","")</f>
        <v/>
      </c>
      <c r="S162" s="21" t="str">
        <f aca="false">IFERROR(INDEX(종합!S$3:S$501,MATCH(ROW()-2,종합!$AD$3:$AD$501,0))&amp;"","")</f>
        <v/>
      </c>
      <c r="T162" s="21" t="str">
        <f aca="false">IFERROR(INDEX(종합!T$3:T$501,MATCH(ROW()-2,종합!$AD$3:$AD$501,0))&amp;"","")</f>
        <v/>
      </c>
      <c r="U162" s="21" t="str">
        <f aca="false">IFERROR(INDEX(종합!U$3:U$501,MATCH(ROW()-2,종합!$AD$3:$AD$501,0))&amp;"","")</f>
        <v/>
      </c>
      <c r="V162" s="21" t="str">
        <f aca="false">IFERROR(INDEX(종합!V$3:V$501,MATCH(ROW()-2,종합!$AD$3:$AD$501,0))&amp;"","")</f>
        <v/>
      </c>
      <c r="W162" s="21" t="str">
        <f aca="false">IFERROR(INDEX(종합!W$3:W$501,MATCH(ROW()-2,종합!$AD$3:$AD$501,0))&amp;"","")</f>
        <v/>
      </c>
      <c r="X162" s="21" t="str">
        <f aca="false">IFERROR(INDEX(종합!X$3:X$501,MATCH(ROW()-2,종합!$AD$3:$AD$501,0))&amp;"","")</f>
        <v/>
      </c>
      <c r="Y162" s="21" t="str">
        <f aca="false">IFERROR(INDEX(종합!Y$3:Y$501,MATCH(ROW()-2,종합!$AD$3:$AD$501,0))&amp;"","")</f>
        <v/>
      </c>
      <c r="Z162" s="21" t="str">
        <f aca="false">IFERROR(INDEX(종합!Z$3:Z$501,MATCH(ROW()-2,종합!$AD$3:$AD$501,0))&amp;"","")</f>
        <v/>
      </c>
      <c r="AA162" s="23" t="str">
        <f aca="false">IFERROR(INDEX(종합!AA$3:AA$501,MATCH(ROW()-2,종합!$AD$3:$AD$501,0))&amp;"","")</f>
        <v/>
      </c>
    </row>
    <row r="163" customFormat="false" ht="16.5" hidden="false" customHeight="true" outlineLevel="0" collapsed="false">
      <c r="A163" s="18" t="str">
        <f aca="false">IF(B163="","",ROW()-2)</f>
        <v/>
      </c>
      <c r="B163" s="18" t="str">
        <f aca="false">IFERROR(INDEX(종합!B$3:B$501,MATCH(ROW()-2,종합!$AD$3:$AD$501,0))&amp;"","")</f>
        <v/>
      </c>
      <c r="C163" s="18" t="str">
        <f aca="false">IFERROR(INDEX(종합!C$3:C$501,MATCH(ROW()-2,종합!$AD$3:$AD$501,0))&amp;"","")</f>
        <v/>
      </c>
      <c r="D163" s="18" t="str">
        <f aca="false">IFERROR(INDEX(종합!D$3:D$501,MATCH(ROW()-2,종합!$AD$3:$AD$501,0))&amp;"","")</f>
        <v/>
      </c>
      <c r="E163" s="18" t="str">
        <f aca="false">IFERROR(INDEX(종합!E$3:E$501,MATCH(ROW()-2,종합!$AD$3:$AD$501,0))&amp;"","")</f>
        <v/>
      </c>
      <c r="F163" s="18" t="str">
        <f aca="false">IFERROR(INDEX(종합!F$3:F$501,MATCH(ROW()-2,종합!$AD$3:$AD$501,0))&amp;"","")</f>
        <v/>
      </c>
      <c r="G163" s="18" t="str">
        <f aca="false">IFERROR(INDEX(종합!G$3:G$501,MATCH(ROW()-2,종합!$AD$3:$AD$501,0))&amp;"","")</f>
        <v/>
      </c>
      <c r="H163" s="21" t="str">
        <f aca="false">IFERROR(INDEX(종합!H$3:H$501,MATCH(ROW()-2,종합!$AD$3:$AD$501,0))&amp;"","")</f>
        <v/>
      </c>
      <c r="I163" s="21" t="str">
        <f aca="false">IFERROR(INDEX(종합!I$3:I$501,MATCH(ROW()-2,종합!$AD$3:$AD$501,0))&amp;"","")</f>
        <v/>
      </c>
      <c r="J163" s="21" t="str">
        <f aca="false">IFERROR(INDEX(종합!J$3:J$501,MATCH(ROW()-2,종합!$AD$3:$AD$501,0))&amp;"","")</f>
        <v/>
      </c>
      <c r="K163" s="21" t="str">
        <f aca="false">IFERROR(INDEX(종합!K$3:K$501,MATCH(ROW()-2,종합!$AD$3:$AD$501,0))&amp;"","")</f>
        <v/>
      </c>
      <c r="L163" s="21" t="str">
        <f aca="false">IFERROR(INDEX(종합!L$3:L$501,MATCH(ROW()-2,종합!$AD$3:$AD$501,0))&amp;"","")</f>
        <v/>
      </c>
      <c r="M163" s="21" t="str">
        <f aca="false">IFERROR(INDEX(종합!M$3:M$501,MATCH(ROW()-2,종합!$AD$3:$AD$501,0))&amp;"","")</f>
        <v/>
      </c>
      <c r="N163" s="25" t="str">
        <f aca="false">IFERROR(INDEX(종합!N$3:N$501,MATCH(ROW()-2,종합!$AD$3:$AD$501,0))&amp;"","")</f>
        <v/>
      </c>
      <c r="O163" s="21" t="str">
        <f aca="false">IFERROR(INDEX(종합!O$3:O$501,MATCH(ROW()-2,종합!$AD$3:$AD$501,0))&amp;"","")</f>
        <v/>
      </c>
      <c r="P163" s="21" t="str">
        <f aca="false">IFERROR(INDEX(종합!P$3:P$501,MATCH(ROW()-2,종합!$AD$3:$AD$501,0))&amp;"","")</f>
        <v/>
      </c>
      <c r="Q163" s="21" t="str">
        <f aca="false">IFERROR(INDEX(종합!Q$3:Q$501,MATCH(ROW()-2,종합!$AD$3:$AD$501,0))&amp;"","")</f>
        <v/>
      </c>
      <c r="R163" s="21" t="str">
        <f aca="false">IFERROR(INDEX(종합!R$3:R$501,MATCH(ROW()-2,종합!$AD$3:$AD$501,0))&amp;"","")</f>
        <v/>
      </c>
      <c r="S163" s="21" t="str">
        <f aca="false">IFERROR(INDEX(종합!S$3:S$501,MATCH(ROW()-2,종합!$AD$3:$AD$501,0))&amp;"","")</f>
        <v/>
      </c>
      <c r="T163" s="21" t="str">
        <f aca="false">IFERROR(INDEX(종합!T$3:T$501,MATCH(ROW()-2,종합!$AD$3:$AD$501,0))&amp;"","")</f>
        <v/>
      </c>
      <c r="U163" s="21" t="str">
        <f aca="false">IFERROR(INDEX(종합!U$3:U$501,MATCH(ROW()-2,종합!$AD$3:$AD$501,0))&amp;"","")</f>
        <v/>
      </c>
      <c r="V163" s="21" t="str">
        <f aca="false">IFERROR(INDEX(종합!V$3:V$501,MATCH(ROW()-2,종합!$AD$3:$AD$501,0))&amp;"","")</f>
        <v/>
      </c>
      <c r="W163" s="21" t="str">
        <f aca="false">IFERROR(INDEX(종합!W$3:W$501,MATCH(ROW()-2,종합!$AD$3:$AD$501,0))&amp;"","")</f>
        <v/>
      </c>
      <c r="X163" s="21" t="str">
        <f aca="false">IFERROR(INDEX(종합!X$3:X$501,MATCH(ROW()-2,종합!$AD$3:$AD$501,0))&amp;"","")</f>
        <v/>
      </c>
      <c r="Y163" s="21" t="str">
        <f aca="false">IFERROR(INDEX(종합!Y$3:Y$501,MATCH(ROW()-2,종합!$AD$3:$AD$501,0))&amp;"","")</f>
        <v/>
      </c>
      <c r="Z163" s="21" t="str">
        <f aca="false">IFERROR(INDEX(종합!Z$3:Z$501,MATCH(ROW()-2,종합!$AD$3:$AD$501,0))&amp;"","")</f>
        <v/>
      </c>
      <c r="AA163" s="23" t="str">
        <f aca="false">IFERROR(INDEX(종합!AA$3:AA$501,MATCH(ROW()-2,종합!$AD$3:$AD$501,0))&amp;"","")</f>
        <v/>
      </c>
    </row>
    <row r="164" customFormat="false" ht="16.5" hidden="false" customHeight="true" outlineLevel="0" collapsed="false">
      <c r="A164" s="18" t="str">
        <f aca="false">IF(B164="","",ROW()-2)</f>
        <v/>
      </c>
      <c r="B164" s="18" t="str">
        <f aca="false">IFERROR(INDEX(종합!B$3:B$501,MATCH(ROW()-2,종합!$AD$3:$AD$501,0))&amp;"","")</f>
        <v/>
      </c>
      <c r="C164" s="18" t="str">
        <f aca="false">IFERROR(INDEX(종합!C$3:C$501,MATCH(ROW()-2,종합!$AD$3:$AD$501,0))&amp;"","")</f>
        <v/>
      </c>
      <c r="D164" s="18" t="str">
        <f aca="false">IFERROR(INDEX(종합!D$3:D$501,MATCH(ROW()-2,종합!$AD$3:$AD$501,0))&amp;"","")</f>
        <v/>
      </c>
      <c r="E164" s="18" t="str">
        <f aca="false">IFERROR(INDEX(종합!E$3:E$501,MATCH(ROW()-2,종합!$AD$3:$AD$501,0))&amp;"","")</f>
        <v/>
      </c>
      <c r="F164" s="18" t="str">
        <f aca="false">IFERROR(INDEX(종합!F$3:F$501,MATCH(ROW()-2,종합!$AD$3:$AD$501,0))&amp;"","")</f>
        <v/>
      </c>
      <c r="G164" s="18" t="str">
        <f aca="false">IFERROR(INDEX(종합!G$3:G$501,MATCH(ROW()-2,종합!$AD$3:$AD$501,0))&amp;"","")</f>
        <v/>
      </c>
      <c r="H164" s="21" t="str">
        <f aca="false">IFERROR(INDEX(종합!H$3:H$501,MATCH(ROW()-2,종합!$AD$3:$AD$501,0))&amp;"","")</f>
        <v/>
      </c>
      <c r="I164" s="21" t="str">
        <f aca="false">IFERROR(INDEX(종합!I$3:I$501,MATCH(ROW()-2,종합!$AD$3:$AD$501,0))&amp;"","")</f>
        <v/>
      </c>
      <c r="J164" s="21" t="str">
        <f aca="false">IFERROR(INDEX(종합!J$3:J$501,MATCH(ROW()-2,종합!$AD$3:$AD$501,0))&amp;"","")</f>
        <v/>
      </c>
      <c r="K164" s="21" t="str">
        <f aca="false">IFERROR(INDEX(종합!K$3:K$501,MATCH(ROW()-2,종합!$AD$3:$AD$501,0))&amp;"","")</f>
        <v/>
      </c>
      <c r="L164" s="21" t="str">
        <f aca="false">IFERROR(INDEX(종합!L$3:L$501,MATCH(ROW()-2,종합!$AD$3:$AD$501,0))&amp;"","")</f>
        <v/>
      </c>
      <c r="M164" s="21" t="str">
        <f aca="false">IFERROR(INDEX(종합!M$3:M$501,MATCH(ROW()-2,종합!$AD$3:$AD$501,0))&amp;"","")</f>
        <v/>
      </c>
      <c r="N164" s="25" t="str">
        <f aca="false">IFERROR(INDEX(종합!N$3:N$501,MATCH(ROW()-2,종합!$AD$3:$AD$501,0))&amp;"","")</f>
        <v/>
      </c>
      <c r="O164" s="21" t="str">
        <f aca="false">IFERROR(INDEX(종합!O$3:O$501,MATCH(ROW()-2,종합!$AD$3:$AD$501,0))&amp;"","")</f>
        <v/>
      </c>
      <c r="P164" s="21" t="str">
        <f aca="false">IFERROR(INDEX(종합!P$3:P$501,MATCH(ROW()-2,종합!$AD$3:$AD$501,0))&amp;"","")</f>
        <v/>
      </c>
      <c r="Q164" s="21" t="str">
        <f aca="false">IFERROR(INDEX(종합!Q$3:Q$501,MATCH(ROW()-2,종합!$AD$3:$AD$501,0))&amp;"","")</f>
        <v/>
      </c>
      <c r="R164" s="21" t="str">
        <f aca="false">IFERROR(INDEX(종합!R$3:R$501,MATCH(ROW()-2,종합!$AD$3:$AD$501,0))&amp;"","")</f>
        <v/>
      </c>
      <c r="S164" s="21" t="str">
        <f aca="false">IFERROR(INDEX(종합!S$3:S$501,MATCH(ROW()-2,종합!$AD$3:$AD$501,0))&amp;"","")</f>
        <v/>
      </c>
      <c r="T164" s="21" t="str">
        <f aca="false">IFERROR(INDEX(종합!T$3:T$501,MATCH(ROW()-2,종합!$AD$3:$AD$501,0))&amp;"","")</f>
        <v/>
      </c>
      <c r="U164" s="21" t="str">
        <f aca="false">IFERROR(INDEX(종합!U$3:U$501,MATCH(ROW()-2,종합!$AD$3:$AD$501,0))&amp;"","")</f>
        <v/>
      </c>
      <c r="V164" s="21" t="str">
        <f aca="false">IFERROR(INDEX(종합!V$3:V$501,MATCH(ROW()-2,종합!$AD$3:$AD$501,0))&amp;"","")</f>
        <v/>
      </c>
      <c r="W164" s="21" t="str">
        <f aca="false">IFERROR(INDEX(종합!W$3:W$501,MATCH(ROW()-2,종합!$AD$3:$AD$501,0))&amp;"","")</f>
        <v/>
      </c>
      <c r="X164" s="21" t="str">
        <f aca="false">IFERROR(INDEX(종합!X$3:X$501,MATCH(ROW()-2,종합!$AD$3:$AD$501,0))&amp;"","")</f>
        <v/>
      </c>
      <c r="Y164" s="21" t="str">
        <f aca="false">IFERROR(INDEX(종합!Y$3:Y$501,MATCH(ROW()-2,종합!$AD$3:$AD$501,0))&amp;"","")</f>
        <v/>
      </c>
      <c r="Z164" s="21" t="str">
        <f aca="false">IFERROR(INDEX(종합!Z$3:Z$501,MATCH(ROW()-2,종합!$AD$3:$AD$501,0))&amp;"","")</f>
        <v/>
      </c>
      <c r="AA164" s="23" t="str">
        <f aca="false">IFERROR(INDEX(종합!AA$3:AA$501,MATCH(ROW()-2,종합!$AD$3:$AD$501,0))&amp;"","")</f>
        <v/>
      </c>
    </row>
    <row r="165" customFormat="false" ht="16.5" hidden="false" customHeight="true" outlineLevel="0" collapsed="false">
      <c r="A165" s="18" t="str">
        <f aca="false">IF(B165="","",ROW()-2)</f>
        <v/>
      </c>
      <c r="B165" s="18" t="str">
        <f aca="false">IFERROR(INDEX(종합!B$3:B$501,MATCH(ROW()-2,종합!$AD$3:$AD$501,0))&amp;"","")</f>
        <v/>
      </c>
      <c r="C165" s="18" t="str">
        <f aca="false">IFERROR(INDEX(종합!C$3:C$501,MATCH(ROW()-2,종합!$AD$3:$AD$501,0))&amp;"","")</f>
        <v/>
      </c>
      <c r="D165" s="18" t="str">
        <f aca="false">IFERROR(INDEX(종합!D$3:D$501,MATCH(ROW()-2,종합!$AD$3:$AD$501,0))&amp;"","")</f>
        <v/>
      </c>
      <c r="E165" s="18" t="str">
        <f aca="false">IFERROR(INDEX(종합!E$3:E$501,MATCH(ROW()-2,종합!$AD$3:$AD$501,0))&amp;"","")</f>
        <v/>
      </c>
      <c r="F165" s="18" t="str">
        <f aca="false">IFERROR(INDEX(종합!F$3:F$501,MATCH(ROW()-2,종합!$AD$3:$AD$501,0))&amp;"","")</f>
        <v/>
      </c>
      <c r="G165" s="18" t="str">
        <f aca="false">IFERROR(INDEX(종합!G$3:G$501,MATCH(ROW()-2,종합!$AD$3:$AD$501,0))&amp;"","")</f>
        <v/>
      </c>
      <c r="H165" s="21" t="str">
        <f aca="false">IFERROR(INDEX(종합!H$3:H$501,MATCH(ROW()-2,종합!$AD$3:$AD$501,0))&amp;"","")</f>
        <v/>
      </c>
      <c r="I165" s="21" t="str">
        <f aca="false">IFERROR(INDEX(종합!I$3:I$501,MATCH(ROW()-2,종합!$AD$3:$AD$501,0))&amp;"","")</f>
        <v/>
      </c>
      <c r="J165" s="21" t="str">
        <f aca="false">IFERROR(INDEX(종합!J$3:J$501,MATCH(ROW()-2,종합!$AD$3:$AD$501,0))&amp;"","")</f>
        <v/>
      </c>
      <c r="K165" s="21" t="str">
        <f aca="false">IFERROR(INDEX(종합!K$3:K$501,MATCH(ROW()-2,종합!$AD$3:$AD$501,0))&amp;"","")</f>
        <v/>
      </c>
      <c r="L165" s="21" t="str">
        <f aca="false">IFERROR(INDEX(종합!L$3:L$501,MATCH(ROW()-2,종합!$AD$3:$AD$501,0))&amp;"","")</f>
        <v/>
      </c>
      <c r="M165" s="21" t="str">
        <f aca="false">IFERROR(INDEX(종합!M$3:M$501,MATCH(ROW()-2,종합!$AD$3:$AD$501,0))&amp;"","")</f>
        <v/>
      </c>
      <c r="N165" s="25" t="str">
        <f aca="false">IFERROR(INDEX(종합!N$3:N$501,MATCH(ROW()-2,종합!$AD$3:$AD$501,0))&amp;"","")</f>
        <v/>
      </c>
      <c r="O165" s="21" t="str">
        <f aca="false">IFERROR(INDEX(종합!O$3:O$501,MATCH(ROW()-2,종합!$AD$3:$AD$501,0))&amp;"","")</f>
        <v/>
      </c>
      <c r="P165" s="21" t="str">
        <f aca="false">IFERROR(INDEX(종합!P$3:P$501,MATCH(ROW()-2,종합!$AD$3:$AD$501,0))&amp;"","")</f>
        <v/>
      </c>
      <c r="Q165" s="21" t="str">
        <f aca="false">IFERROR(INDEX(종합!Q$3:Q$501,MATCH(ROW()-2,종합!$AD$3:$AD$501,0))&amp;"","")</f>
        <v/>
      </c>
      <c r="R165" s="21" t="str">
        <f aca="false">IFERROR(INDEX(종합!R$3:R$501,MATCH(ROW()-2,종합!$AD$3:$AD$501,0))&amp;"","")</f>
        <v/>
      </c>
      <c r="S165" s="21" t="str">
        <f aca="false">IFERROR(INDEX(종합!S$3:S$501,MATCH(ROW()-2,종합!$AD$3:$AD$501,0))&amp;"","")</f>
        <v/>
      </c>
      <c r="T165" s="21" t="str">
        <f aca="false">IFERROR(INDEX(종합!T$3:T$501,MATCH(ROW()-2,종합!$AD$3:$AD$501,0))&amp;"","")</f>
        <v/>
      </c>
      <c r="U165" s="21" t="str">
        <f aca="false">IFERROR(INDEX(종합!U$3:U$501,MATCH(ROW()-2,종합!$AD$3:$AD$501,0))&amp;"","")</f>
        <v/>
      </c>
      <c r="V165" s="21" t="str">
        <f aca="false">IFERROR(INDEX(종합!V$3:V$501,MATCH(ROW()-2,종합!$AD$3:$AD$501,0))&amp;"","")</f>
        <v/>
      </c>
      <c r="W165" s="21" t="str">
        <f aca="false">IFERROR(INDEX(종합!W$3:W$501,MATCH(ROW()-2,종합!$AD$3:$AD$501,0))&amp;"","")</f>
        <v/>
      </c>
      <c r="X165" s="21" t="str">
        <f aca="false">IFERROR(INDEX(종합!X$3:X$501,MATCH(ROW()-2,종합!$AD$3:$AD$501,0))&amp;"","")</f>
        <v/>
      </c>
      <c r="Y165" s="21" t="str">
        <f aca="false">IFERROR(INDEX(종합!Y$3:Y$501,MATCH(ROW()-2,종합!$AD$3:$AD$501,0))&amp;"","")</f>
        <v/>
      </c>
      <c r="Z165" s="21" t="str">
        <f aca="false">IFERROR(INDEX(종합!Z$3:Z$501,MATCH(ROW()-2,종합!$AD$3:$AD$501,0))&amp;"","")</f>
        <v/>
      </c>
      <c r="AA165" s="23" t="str">
        <f aca="false">IFERROR(INDEX(종합!AA$3:AA$501,MATCH(ROW()-2,종합!$AD$3:$AD$501,0))&amp;"","")</f>
        <v/>
      </c>
    </row>
    <row r="166" customFormat="false" ht="16.5" hidden="false" customHeight="true" outlineLevel="0" collapsed="false">
      <c r="A166" s="18" t="str">
        <f aca="false">IF(B166="","",ROW()-2)</f>
        <v/>
      </c>
      <c r="B166" s="18" t="str">
        <f aca="false">IFERROR(INDEX(종합!B$3:B$501,MATCH(ROW()-2,종합!$AD$3:$AD$501,0))&amp;"","")</f>
        <v/>
      </c>
      <c r="C166" s="18" t="str">
        <f aca="false">IFERROR(INDEX(종합!C$3:C$501,MATCH(ROW()-2,종합!$AD$3:$AD$501,0))&amp;"","")</f>
        <v/>
      </c>
      <c r="D166" s="18" t="str">
        <f aca="false">IFERROR(INDEX(종합!D$3:D$501,MATCH(ROW()-2,종합!$AD$3:$AD$501,0))&amp;"","")</f>
        <v/>
      </c>
      <c r="E166" s="18" t="str">
        <f aca="false">IFERROR(INDEX(종합!E$3:E$501,MATCH(ROW()-2,종합!$AD$3:$AD$501,0))&amp;"","")</f>
        <v/>
      </c>
      <c r="F166" s="18" t="str">
        <f aca="false">IFERROR(INDEX(종합!F$3:F$501,MATCH(ROW()-2,종합!$AD$3:$AD$501,0))&amp;"","")</f>
        <v/>
      </c>
      <c r="G166" s="18" t="str">
        <f aca="false">IFERROR(INDEX(종합!G$3:G$501,MATCH(ROW()-2,종합!$AD$3:$AD$501,0))&amp;"","")</f>
        <v/>
      </c>
      <c r="H166" s="21" t="str">
        <f aca="false">IFERROR(INDEX(종합!H$3:H$501,MATCH(ROW()-2,종합!$AD$3:$AD$501,0))&amp;"","")</f>
        <v/>
      </c>
      <c r="I166" s="21" t="str">
        <f aca="false">IFERROR(INDEX(종합!I$3:I$501,MATCH(ROW()-2,종합!$AD$3:$AD$501,0))&amp;"","")</f>
        <v/>
      </c>
      <c r="J166" s="21" t="str">
        <f aca="false">IFERROR(INDEX(종합!J$3:J$501,MATCH(ROW()-2,종합!$AD$3:$AD$501,0))&amp;"","")</f>
        <v/>
      </c>
      <c r="K166" s="21" t="str">
        <f aca="false">IFERROR(INDEX(종합!K$3:K$501,MATCH(ROW()-2,종합!$AD$3:$AD$501,0))&amp;"","")</f>
        <v/>
      </c>
      <c r="L166" s="21" t="str">
        <f aca="false">IFERROR(INDEX(종합!L$3:L$501,MATCH(ROW()-2,종합!$AD$3:$AD$501,0))&amp;"","")</f>
        <v/>
      </c>
      <c r="M166" s="21" t="str">
        <f aca="false">IFERROR(INDEX(종합!M$3:M$501,MATCH(ROW()-2,종합!$AD$3:$AD$501,0))&amp;"","")</f>
        <v/>
      </c>
      <c r="N166" s="25" t="str">
        <f aca="false">IFERROR(INDEX(종합!N$3:N$501,MATCH(ROW()-2,종합!$AD$3:$AD$501,0))&amp;"","")</f>
        <v/>
      </c>
      <c r="O166" s="21" t="str">
        <f aca="false">IFERROR(INDEX(종합!O$3:O$501,MATCH(ROW()-2,종합!$AD$3:$AD$501,0))&amp;"","")</f>
        <v/>
      </c>
      <c r="P166" s="21" t="str">
        <f aca="false">IFERROR(INDEX(종합!P$3:P$501,MATCH(ROW()-2,종합!$AD$3:$AD$501,0))&amp;"","")</f>
        <v/>
      </c>
      <c r="Q166" s="21" t="str">
        <f aca="false">IFERROR(INDEX(종합!Q$3:Q$501,MATCH(ROW()-2,종합!$AD$3:$AD$501,0))&amp;"","")</f>
        <v/>
      </c>
      <c r="R166" s="21" t="str">
        <f aca="false">IFERROR(INDEX(종합!R$3:R$501,MATCH(ROW()-2,종합!$AD$3:$AD$501,0))&amp;"","")</f>
        <v/>
      </c>
      <c r="S166" s="21" t="str">
        <f aca="false">IFERROR(INDEX(종합!S$3:S$501,MATCH(ROW()-2,종합!$AD$3:$AD$501,0))&amp;"","")</f>
        <v/>
      </c>
      <c r="T166" s="21" t="str">
        <f aca="false">IFERROR(INDEX(종합!T$3:T$501,MATCH(ROW()-2,종합!$AD$3:$AD$501,0))&amp;"","")</f>
        <v/>
      </c>
      <c r="U166" s="21" t="str">
        <f aca="false">IFERROR(INDEX(종합!U$3:U$501,MATCH(ROW()-2,종합!$AD$3:$AD$501,0))&amp;"","")</f>
        <v/>
      </c>
      <c r="V166" s="21" t="str">
        <f aca="false">IFERROR(INDEX(종합!V$3:V$501,MATCH(ROW()-2,종합!$AD$3:$AD$501,0))&amp;"","")</f>
        <v/>
      </c>
      <c r="W166" s="21" t="str">
        <f aca="false">IFERROR(INDEX(종합!W$3:W$501,MATCH(ROW()-2,종합!$AD$3:$AD$501,0))&amp;"","")</f>
        <v/>
      </c>
      <c r="X166" s="21" t="str">
        <f aca="false">IFERROR(INDEX(종합!X$3:X$501,MATCH(ROW()-2,종합!$AD$3:$AD$501,0))&amp;"","")</f>
        <v/>
      </c>
      <c r="Y166" s="21" t="str">
        <f aca="false">IFERROR(INDEX(종합!Y$3:Y$501,MATCH(ROW()-2,종합!$AD$3:$AD$501,0))&amp;"","")</f>
        <v/>
      </c>
      <c r="Z166" s="21" t="str">
        <f aca="false">IFERROR(INDEX(종합!Z$3:Z$501,MATCH(ROW()-2,종합!$AD$3:$AD$501,0))&amp;"","")</f>
        <v/>
      </c>
      <c r="AA166" s="23" t="str">
        <f aca="false">IFERROR(INDEX(종합!AA$3:AA$501,MATCH(ROW()-2,종합!$AD$3:$AD$501,0))&amp;"","")</f>
        <v/>
      </c>
    </row>
    <row r="167" customFormat="false" ht="16.5" hidden="false" customHeight="true" outlineLevel="0" collapsed="false">
      <c r="A167" s="18" t="str">
        <f aca="false">IF(B167="","",ROW()-2)</f>
        <v/>
      </c>
      <c r="B167" s="18" t="str">
        <f aca="false">IFERROR(INDEX(종합!B$3:B$501,MATCH(ROW()-2,종합!$AD$3:$AD$501,0))&amp;"","")</f>
        <v/>
      </c>
      <c r="C167" s="18" t="str">
        <f aca="false">IFERROR(INDEX(종합!C$3:C$501,MATCH(ROW()-2,종합!$AD$3:$AD$501,0))&amp;"","")</f>
        <v/>
      </c>
      <c r="D167" s="18" t="str">
        <f aca="false">IFERROR(INDEX(종합!D$3:D$501,MATCH(ROW()-2,종합!$AD$3:$AD$501,0))&amp;"","")</f>
        <v/>
      </c>
      <c r="E167" s="18" t="str">
        <f aca="false">IFERROR(INDEX(종합!E$3:E$501,MATCH(ROW()-2,종합!$AD$3:$AD$501,0))&amp;"","")</f>
        <v/>
      </c>
      <c r="F167" s="18" t="str">
        <f aca="false">IFERROR(INDEX(종합!F$3:F$501,MATCH(ROW()-2,종합!$AD$3:$AD$501,0))&amp;"","")</f>
        <v/>
      </c>
      <c r="G167" s="18" t="str">
        <f aca="false">IFERROR(INDEX(종합!G$3:G$501,MATCH(ROW()-2,종합!$AD$3:$AD$501,0))&amp;"","")</f>
        <v/>
      </c>
      <c r="H167" s="21" t="str">
        <f aca="false">IFERROR(INDEX(종합!H$3:H$501,MATCH(ROW()-2,종합!$AD$3:$AD$501,0))&amp;"","")</f>
        <v/>
      </c>
      <c r="I167" s="21" t="str">
        <f aca="false">IFERROR(INDEX(종합!I$3:I$501,MATCH(ROW()-2,종합!$AD$3:$AD$501,0))&amp;"","")</f>
        <v/>
      </c>
      <c r="J167" s="21" t="str">
        <f aca="false">IFERROR(INDEX(종합!J$3:J$501,MATCH(ROW()-2,종합!$AD$3:$AD$501,0))&amp;"","")</f>
        <v/>
      </c>
      <c r="K167" s="21" t="str">
        <f aca="false">IFERROR(INDEX(종합!K$3:K$501,MATCH(ROW()-2,종합!$AD$3:$AD$501,0))&amp;"","")</f>
        <v/>
      </c>
      <c r="L167" s="21" t="str">
        <f aca="false">IFERROR(INDEX(종합!L$3:L$501,MATCH(ROW()-2,종합!$AD$3:$AD$501,0))&amp;"","")</f>
        <v/>
      </c>
      <c r="M167" s="21" t="str">
        <f aca="false">IFERROR(INDEX(종합!M$3:M$501,MATCH(ROW()-2,종합!$AD$3:$AD$501,0))&amp;"","")</f>
        <v/>
      </c>
      <c r="N167" s="25" t="str">
        <f aca="false">IFERROR(INDEX(종합!N$3:N$501,MATCH(ROW()-2,종합!$AD$3:$AD$501,0))&amp;"","")</f>
        <v/>
      </c>
      <c r="O167" s="21" t="str">
        <f aca="false">IFERROR(INDEX(종합!O$3:O$501,MATCH(ROW()-2,종합!$AD$3:$AD$501,0))&amp;"","")</f>
        <v/>
      </c>
      <c r="P167" s="21" t="str">
        <f aca="false">IFERROR(INDEX(종합!P$3:P$501,MATCH(ROW()-2,종합!$AD$3:$AD$501,0))&amp;"","")</f>
        <v/>
      </c>
      <c r="Q167" s="21" t="str">
        <f aca="false">IFERROR(INDEX(종합!Q$3:Q$501,MATCH(ROW()-2,종합!$AD$3:$AD$501,0))&amp;"","")</f>
        <v/>
      </c>
      <c r="R167" s="21" t="str">
        <f aca="false">IFERROR(INDEX(종합!R$3:R$501,MATCH(ROW()-2,종합!$AD$3:$AD$501,0))&amp;"","")</f>
        <v/>
      </c>
      <c r="S167" s="21" t="str">
        <f aca="false">IFERROR(INDEX(종합!S$3:S$501,MATCH(ROW()-2,종합!$AD$3:$AD$501,0))&amp;"","")</f>
        <v/>
      </c>
      <c r="T167" s="21" t="str">
        <f aca="false">IFERROR(INDEX(종합!T$3:T$501,MATCH(ROW()-2,종합!$AD$3:$AD$501,0))&amp;"","")</f>
        <v/>
      </c>
      <c r="U167" s="21" t="str">
        <f aca="false">IFERROR(INDEX(종합!U$3:U$501,MATCH(ROW()-2,종합!$AD$3:$AD$501,0))&amp;"","")</f>
        <v/>
      </c>
      <c r="V167" s="21" t="str">
        <f aca="false">IFERROR(INDEX(종합!V$3:V$501,MATCH(ROW()-2,종합!$AD$3:$AD$501,0))&amp;"","")</f>
        <v/>
      </c>
      <c r="W167" s="21" t="str">
        <f aca="false">IFERROR(INDEX(종합!W$3:W$501,MATCH(ROW()-2,종합!$AD$3:$AD$501,0))&amp;"","")</f>
        <v/>
      </c>
      <c r="X167" s="21" t="str">
        <f aca="false">IFERROR(INDEX(종합!X$3:X$501,MATCH(ROW()-2,종합!$AD$3:$AD$501,0))&amp;"","")</f>
        <v/>
      </c>
      <c r="Y167" s="21" t="str">
        <f aca="false">IFERROR(INDEX(종합!Y$3:Y$501,MATCH(ROW()-2,종합!$AD$3:$AD$501,0))&amp;"","")</f>
        <v/>
      </c>
      <c r="Z167" s="21" t="str">
        <f aca="false">IFERROR(INDEX(종합!Z$3:Z$501,MATCH(ROW()-2,종합!$AD$3:$AD$501,0))&amp;"","")</f>
        <v/>
      </c>
      <c r="AA167" s="23" t="str">
        <f aca="false">IFERROR(INDEX(종합!AA$3:AA$501,MATCH(ROW()-2,종합!$AD$3:$AD$501,0))&amp;"","")</f>
        <v/>
      </c>
    </row>
    <row r="168" customFormat="false" ht="16.5" hidden="false" customHeight="true" outlineLevel="0" collapsed="false">
      <c r="A168" s="18" t="str">
        <f aca="false">IF(B168="","",ROW()-2)</f>
        <v/>
      </c>
      <c r="B168" s="18" t="str">
        <f aca="false">IFERROR(INDEX(종합!B$3:B$501,MATCH(ROW()-2,종합!$AD$3:$AD$501,0))&amp;"","")</f>
        <v/>
      </c>
      <c r="C168" s="18" t="str">
        <f aca="false">IFERROR(INDEX(종합!C$3:C$501,MATCH(ROW()-2,종합!$AD$3:$AD$501,0))&amp;"","")</f>
        <v/>
      </c>
      <c r="D168" s="18" t="str">
        <f aca="false">IFERROR(INDEX(종합!D$3:D$501,MATCH(ROW()-2,종합!$AD$3:$AD$501,0))&amp;"","")</f>
        <v/>
      </c>
      <c r="E168" s="18" t="str">
        <f aca="false">IFERROR(INDEX(종합!E$3:E$501,MATCH(ROW()-2,종합!$AD$3:$AD$501,0))&amp;"","")</f>
        <v/>
      </c>
      <c r="F168" s="18" t="str">
        <f aca="false">IFERROR(INDEX(종합!F$3:F$501,MATCH(ROW()-2,종합!$AD$3:$AD$501,0))&amp;"","")</f>
        <v/>
      </c>
      <c r="G168" s="18" t="str">
        <f aca="false">IFERROR(INDEX(종합!G$3:G$501,MATCH(ROW()-2,종합!$AD$3:$AD$501,0))&amp;"","")</f>
        <v/>
      </c>
      <c r="H168" s="21" t="str">
        <f aca="false">IFERROR(INDEX(종합!H$3:H$501,MATCH(ROW()-2,종합!$AD$3:$AD$501,0))&amp;"","")</f>
        <v/>
      </c>
      <c r="I168" s="21" t="str">
        <f aca="false">IFERROR(INDEX(종합!I$3:I$501,MATCH(ROW()-2,종합!$AD$3:$AD$501,0))&amp;"","")</f>
        <v/>
      </c>
      <c r="J168" s="21" t="str">
        <f aca="false">IFERROR(INDEX(종합!J$3:J$501,MATCH(ROW()-2,종합!$AD$3:$AD$501,0))&amp;"","")</f>
        <v/>
      </c>
      <c r="K168" s="21" t="str">
        <f aca="false">IFERROR(INDEX(종합!K$3:K$501,MATCH(ROW()-2,종합!$AD$3:$AD$501,0))&amp;"","")</f>
        <v/>
      </c>
      <c r="L168" s="21" t="str">
        <f aca="false">IFERROR(INDEX(종합!L$3:L$501,MATCH(ROW()-2,종합!$AD$3:$AD$501,0))&amp;"","")</f>
        <v/>
      </c>
      <c r="M168" s="21" t="str">
        <f aca="false">IFERROR(INDEX(종합!M$3:M$501,MATCH(ROW()-2,종합!$AD$3:$AD$501,0))&amp;"","")</f>
        <v/>
      </c>
      <c r="N168" s="25" t="str">
        <f aca="false">IFERROR(INDEX(종합!N$3:N$501,MATCH(ROW()-2,종합!$AD$3:$AD$501,0))&amp;"","")</f>
        <v/>
      </c>
      <c r="O168" s="21" t="str">
        <f aca="false">IFERROR(INDEX(종합!O$3:O$501,MATCH(ROW()-2,종합!$AD$3:$AD$501,0))&amp;"","")</f>
        <v/>
      </c>
      <c r="P168" s="21" t="str">
        <f aca="false">IFERROR(INDEX(종합!P$3:P$501,MATCH(ROW()-2,종합!$AD$3:$AD$501,0))&amp;"","")</f>
        <v/>
      </c>
      <c r="Q168" s="21" t="str">
        <f aca="false">IFERROR(INDEX(종합!Q$3:Q$501,MATCH(ROW()-2,종합!$AD$3:$AD$501,0))&amp;"","")</f>
        <v/>
      </c>
      <c r="R168" s="21" t="str">
        <f aca="false">IFERROR(INDEX(종합!R$3:R$501,MATCH(ROW()-2,종합!$AD$3:$AD$501,0))&amp;"","")</f>
        <v/>
      </c>
      <c r="S168" s="21" t="str">
        <f aca="false">IFERROR(INDEX(종합!S$3:S$501,MATCH(ROW()-2,종합!$AD$3:$AD$501,0))&amp;"","")</f>
        <v/>
      </c>
      <c r="T168" s="21" t="str">
        <f aca="false">IFERROR(INDEX(종합!T$3:T$501,MATCH(ROW()-2,종합!$AD$3:$AD$501,0))&amp;"","")</f>
        <v/>
      </c>
      <c r="U168" s="21" t="str">
        <f aca="false">IFERROR(INDEX(종합!U$3:U$501,MATCH(ROW()-2,종합!$AD$3:$AD$501,0))&amp;"","")</f>
        <v/>
      </c>
      <c r="V168" s="21" t="str">
        <f aca="false">IFERROR(INDEX(종합!V$3:V$501,MATCH(ROW()-2,종합!$AD$3:$AD$501,0))&amp;"","")</f>
        <v/>
      </c>
      <c r="W168" s="21" t="str">
        <f aca="false">IFERROR(INDEX(종합!W$3:W$501,MATCH(ROW()-2,종합!$AD$3:$AD$501,0))&amp;"","")</f>
        <v/>
      </c>
      <c r="X168" s="21" t="str">
        <f aca="false">IFERROR(INDEX(종합!X$3:X$501,MATCH(ROW()-2,종합!$AD$3:$AD$501,0))&amp;"","")</f>
        <v/>
      </c>
      <c r="Y168" s="21" t="str">
        <f aca="false">IFERROR(INDEX(종합!Y$3:Y$501,MATCH(ROW()-2,종합!$AD$3:$AD$501,0))&amp;"","")</f>
        <v/>
      </c>
      <c r="Z168" s="21" t="str">
        <f aca="false">IFERROR(INDEX(종합!Z$3:Z$501,MATCH(ROW()-2,종합!$AD$3:$AD$501,0))&amp;"","")</f>
        <v/>
      </c>
      <c r="AA168" s="23" t="str">
        <f aca="false">IFERROR(INDEX(종합!AA$3:AA$501,MATCH(ROW()-2,종합!$AD$3:$AD$501,0))&amp;"","")</f>
        <v/>
      </c>
    </row>
    <row r="169" customFormat="false" ht="16.5" hidden="false" customHeight="true" outlineLevel="0" collapsed="false">
      <c r="A169" s="18" t="str">
        <f aca="false">IF(B169="","",ROW()-2)</f>
        <v/>
      </c>
      <c r="B169" s="18" t="str">
        <f aca="false">IFERROR(INDEX(종합!B$3:B$501,MATCH(ROW()-2,종합!$AD$3:$AD$501,0))&amp;"","")</f>
        <v/>
      </c>
      <c r="C169" s="18" t="str">
        <f aca="false">IFERROR(INDEX(종합!C$3:C$501,MATCH(ROW()-2,종합!$AD$3:$AD$501,0))&amp;"","")</f>
        <v/>
      </c>
      <c r="D169" s="18" t="str">
        <f aca="false">IFERROR(INDEX(종합!D$3:D$501,MATCH(ROW()-2,종합!$AD$3:$AD$501,0))&amp;"","")</f>
        <v/>
      </c>
      <c r="E169" s="18" t="str">
        <f aca="false">IFERROR(INDEX(종합!E$3:E$501,MATCH(ROW()-2,종합!$AD$3:$AD$501,0))&amp;"","")</f>
        <v/>
      </c>
      <c r="F169" s="18" t="str">
        <f aca="false">IFERROR(INDEX(종합!F$3:F$501,MATCH(ROW()-2,종합!$AD$3:$AD$501,0))&amp;"","")</f>
        <v/>
      </c>
      <c r="G169" s="18" t="str">
        <f aca="false">IFERROR(INDEX(종합!G$3:G$501,MATCH(ROW()-2,종합!$AD$3:$AD$501,0))&amp;"","")</f>
        <v/>
      </c>
      <c r="H169" s="21" t="str">
        <f aca="false">IFERROR(INDEX(종합!H$3:H$501,MATCH(ROW()-2,종합!$AD$3:$AD$501,0))&amp;"","")</f>
        <v/>
      </c>
      <c r="I169" s="21" t="str">
        <f aca="false">IFERROR(INDEX(종합!I$3:I$501,MATCH(ROW()-2,종합!$AD$3:$AD$501,0))&amp;"","")</f>
        <v/>
      </c>
      <c r="J169" s="21" t="str">
        <f aca="false">IFERROR(INDEX(종합!J$3:J$501,MATCH(ROW()-2,종합!$AD$3:$AD$501,0))&amp;"","")</f>
        <v/>
      </c>
      <c r="K169" s="21" t="str">
        <f aca="false">IFERROR(INDEX(종합!K$3:K$501,MATCH(ROW()-2,종합!$AD$3:$AD$501,0))&amp;"","")</f>
        <v/>
      </c>
      <c r="L169" s="21" t="str">
        <f aca="false">IFERROR(INDEX(종합!L$3:L$501,MATCH(ROW()-2,종합!$AD$3:$AD$501,0))&amp;"","")</f>
        <v/>
      </c>
      <c r="M169" s="21" t="str">
        <f aca="false">IFERROR(INDEX(종합!M$3:M$501,MATCH(ROW()-2,종합!$AD$3:$AD$501,0))&amp;"","")</f>
        <v/>
      </c>
      <c r="N169" s="25" t="str">
        <f aca="false">IFERROR(INDEX(종합!N$3:N$501,MATCH(ROW()-2,종합!$AD$3:$AD$501,0))&amp;"","")</f>
        <v/>
      </c>
      <c r="O169" s="21" t="str">
        <f aca="false">IFERROR(INDEX(종합!O$3:O$501,MATCH(ROW()-2,종합!$AD$3:$AD$501,0))&amp;"","")</f>
        <v/>
      </c>
      <c r="P169" s="21" t="str">
        <f aca="false">IFERROR(INDEX(종합!P$3:P$501,MATCH(ROW()-2,종합!$AD$3:$AD$501,0))&amp;"","")</f>
        <v/>
      </c>
      <c r="Q169" s="21" t="str">
        <f aca="false">IFERROR(INDEX(종합!Q$3:Q$501,MATCH(ROW()-2,종합!$AD$3:$AD$501,0))&amp;"","")</f>
        <v/>
      </c>
      <c r="R169" s="21" t="str">
        <f aca="false">IFERROR(INDEX(종합!R$3:R$501,MATCH(ROW()-2,종합!$AD$3:$AD$501,0))&amp;"","")</f>
        <v/>
      </c>
      <c r="S169" s="21" t="str">
        <f aca="false">IFERROR(INDEX(종합!S$3:S$501,MATCH(ROW()-2,종합!$AD$3:$AD$501,0))&amp;"","")</f>
        <v/>
      </c>
      <c r="T169" s="21" t="str">
        <f aca="false">IFERROR(INDEX(종합!T$3:T$501,MATCH(ROW()-2,종합!$AD$3:$AD$501,0))&amp;"","")</f>
        <v/>
      </c>
      <c r="U169" s="21" t="str">
        <f aca="false">IFERROR(INDEX(종합!U$3:U$501,MATCH(ROW()-2,종합!$AD$3:$AD$501,0))&amp;"","")</f>
        <v/>
      </c>
      <c r="V169" s="21" t="str">
        <f aca="false">IFERROR(INDEX(종합!V$3:V$501,MATCH(ROW()-2,종합!$AD$3:$AD$501,0))&amp;"","")</f>
        <v/>
      </c>
      <c r="W169" s="21" t="str">
        <f aca="false">IFERROR(INDEX(종합!W$3:W$501,MATCH(ROW()-2,종합!$AD$3:$AD$501,0))&amp;"","")</f>
        <v/>
      </c>
      <c r="X169" s="21" t="str">
        <f aca="false">IFERROR(INDEX(종합!X$3:X$501,MATCH(ROW()-2,종합!$AD$3:$AD$501,0))&amp;"","")</f>
        <v/>
      </c>
      <c r="Y169" s="21" t="str">
        <f aca="false">IFERROR(INDEX(종합!Y$3:Y$501,MATCH(ROW()-2,종합!$AD$3:$AD$501,0))&amp;"","")</f>
        <v/>
      </c>
      <c r="Z169" s="21" t="str">
        <f aca="false">IFERROR(INDEX(종합!Z$3:Z$501,MATCH(ROW()-2,종합!$AD$3:$AD$501,0))&amp;"","")</f>
        <v/>
      </c>
      <c r="AA169" s="23" t="str">
        <f aca="false">IFERROR(INDEX(종합!AA$3:AA$501,MATCH(ROW()-2,종합!$AD$3:$AD$501,0))&amp;"","")</f>
        <v/>
      </c>
    </row>
    <row r="170" customFormat="false" ht="16.5" hidden="false" customHeight="true" outlineLevel="0" collapsed="false">
      <c r="A170" s="18" t="str">
        <f aca="false">IF(B170="","",ROW()-2)</f>
        <v/>
      </c>
      <c r="B170" s="18" t="str">
        <f aca="false">IFERROR(INDEX(종합!B$3:B$501,MATCH(ROW()-2,종합!$AD$3:$AD$501,0))&amp;"","")</f>
        <v/>
      </c>
      <c r="C170" s="18" t="str">
        <f aca="false">IFERROR(INDEX(종합!C$3:C$501,MATCH(ROW()-2,종합!$AD$3:$AD$501,0))&amp;"","")</f>
        <v/>
      </c>
      <c r="D170" s="18" t="str">
        <f aca="false">IFERROR(INDEX(종합!D$3:D$501,MATCH(ROW()-2,종합!$AD$3:$AD$501,0))&amp;"","")</f>
        <v/>
      </c>
      <c r="E170" s="18" t="str">
        <f aca="false">IFERROR(INDEX(종합!E$3:E$501,MATCH(ROW()-2,종합!$AD$3:$AD$501,0))&amp;"","")</f>
        <v/>
      </c>
      <c r="F170" s="18" t="str">
        <f aca="false">IFERROR(INDEX(종합!F$3:F$501,MATCH(ROW()-2,종합!$AD$3:$AD$501,0))&amp;"","")</f>
        <v/>
      </c>
      <c r="G170" s="18" t="str">
        <f aca="false">IFERROR(INDEX(종합!G$3:G$501,MATCH(ROW()-2,종합!$AD$3:$AD$501,0))&amp;"","")</f>
        <v/>
      </c>
      <c r="H170" s="21" t="str">
        <f aca="false">IFERROR(INDEX(종합!H$3:H$501,MATCH(ROW()-2,종합!$AD$3:$AD$501,0))&amp;"","")</f>
        <v/>
      </c>
      <c r="I170" s="21" t="str">
        <f aca="false">IFERROR(INDEX(종합!I$3:I$501,MATCH(ROW()-2,종합!$AD$3:$AD$501,0))&amp;"","")</f>
        <v/>
      </c>
      <c r="J170" s="21" t="str">
        <f aca="false">IFERROR(INDEX(종합!J$3:J$501,MATCH(ROW()-2,종합!$AD$3:$AD$501,0))&amp;"","")</f>
        <v/>
      </c>
      <c r="K170" s="21" t="str">
        <f aca="false">IFERROR(INDEX(종합!K$3:K$501,MATCH(ROW()-2,종합!$AD$3:$AD$501,0))&amp;"","")</f>
        <v/>
      </c>
      <c r="L170" s="21" t="str">
        <f aca="false">IFERROR(INDEX(종합!L$3:L$501,MATCH(ROW()-2,종합!$AD$3:$AD$501,0))&amp;"","")</f>
        <v/>
      </c>
      <c r="M170" s="21" t="str">
        <f aca="false">IFERROR(INDEX(종합!M$3:M$501,MATCH(ROW()-2,종합!$AD$3:$AD$501,0))&amp;"","")</f>
        <v/>
      </c>
      <c r="N170" s="25" t="str">
        <f aca="false">IFERROR(INDEX(종합!N$3:N$501,MATCH(ROW()-2,종합!$AD$3:$AD$501,0))&amp;"","")</f>
        <v/>
      </c>
      <c r="O170" s="21" t="str">
        <f aca="false">IFERROR(INDEX(종합!O$3:O$501,MATCH(ROW()-2,종합!$AD$3:$AD$501,0))&amp;"","")</f>
        <v/>
      </c>
      <c r="P170" s="21" t="str">
        <f aca="false">IFERROR(INDEX(종합!P$3:P$501,MATCH(ROW()-2,종합!$AD$3:$AD$501,0))&amp;"","")</f>
        <v/>
      </c>
      <c r="Q170" s="21" t="str">
        <f aca="false">IFERROR(INDEX(종합!Q$3:Q$501,MATCH(ROW()-2,종합!$AD$3:$AD$501,0))&amp;"","")</f>
        <v/>
      </c>
      <c r="R170" s="21" t="str">
        <f aca="false">IFERROR(INDEX(종합!R$3:R$501,MATCH(ROW()-2,종합!$AD$3:$AD$501,0))&amp;"","")</f>
        <v/>
      </c>
      <c r="S170" s="21" t="str">
        <f aca="false">IFERROR(INDEX(종합!S$3:S$501,MATCH(ROW()-2,종합!$AD$3:$AD$501,0))&amp;"","")</f>
        <v/>
      </c>
      <c r="T170" s="21" t="str">
        <f aca="false">IFERROR(INDEX(종합!T$3:T$501,MATCH(ROW()-2,종합!$AD$3:$AD$501,0))&amp;"","")</f>
        <v/>
      </c>
      <c r="U170" s="21" t="str">
        <f aca="false">IFERROR(INDEX(종합!U$3:U$501,MATCH(ROW()-2,종합!$AD$3:$AD$501,0))&amp;"","")</f>
        <v/>
      </c>
      <c r="V170" s="21" t="str">
        <f aca="false">IFERROR(INDEX(종합!V$3:V$501,MATCH(ROW()-2,종합!$AD$3:$AD$501,0))&amp;"","")</f>
        <v/>
      </c>
      <c r="W170" s="21" t="str">
        <f aca="false">IFERROR(INDEX(종합!W$3:W$501,MATCH(ROW()-2,종합!$AD$3:$AD$501,0))&amp;"","")</f>
        <v/>
      </c>
      <c r="X170" s="21" t="str">
        <f aca="false">IFERROR(INDEX(종합!X$3:X$501,MATCH(ROW()-2,종합!$AD$3:$AD$501,0))&amp;"","")</f>
        <v/>
      </c>
      <c r="Y170" s="21" t="str">
        <f aca="false">IFERROR(INDEX(종합!Y$3:Y$501,MATCH(ROW()-2,종합!$AD$3:$AD$501,0))&amp;"","")</f>
        <v/>
      </c>
      <c r="Z170" s="21" t="str">
        <f aca="false">IFERROR(INDEX(종합!Z$3:Z$501,MATCH(ROW()-2,종합!$AD$3:$AD$501,0))&amp;"","")</f>
        <v/>
      </c>
      <c r="AA170" s="23" t="str">
        <f aca="false">IFERROR(INDEX(종합!AA$3:AA$501,MATCH(ROW()-2,종합!$AD$3:$AD$501,0))&amp;"","")</f>
        <v/>
      </c>
    </row>
    <row r="171" customFormat="false" ht="16.5" hidden="false" customHeight="true" outlineLevel="0" collapsed="false">
      <c r="A171" s="18" t="str">
        <f aca="false">IF(B171="","",ROW()-2)</f>
        <v/>
      </c>
      <c r="B171" s="18" t="str">
        <f aca="false">IFERROR(INDEX(종합!B$3:B$501,MATCH(ROW()-2,종합!$AD$3:$AD$501,0))&amp;"","")</f>
        <v/>
      </c>
      <c r="C171" s="18" t="str">
        <f aca="false">IFERROR(INDEX(종합!C$3:C$501,MATCH(ROW()-2,종합!$AD$3:$AD$501,0))&amp;"","")</f>
        <v/>
      </c>
      <c r="D171" s="18" t="str">
        <f aca="false">IFERROR(INDEX(종합!D$3:D$501,MATCH(ROW()-2,종합!$AD$3:$AD$501,0))&amp;"","")</f>
        <v/>
      </c>
      <c r="E171" s="18" t="str">
        <f aca="false">IFERROR(INDEX(종합!E$3:E$501,MATCH(ROW()-2,종합!$AD$3:$AD$501,0))&amp;"","")</f>
        <v/>
      </c>
      <c r="F171" s="18" t="str">
        <f aca="false">IFERROR(INDEX(종합!F$3:F$501,MATCH(ROW()-2,종합!$AD$3:$AD$501,0))&amp;"","")</f>
        <v/>
      </c>
      <c r="G171" s="18" t="str">
        <f aca="false">IFERROR(INDEX(종합!G$3:G$501,MATCH(ROW()-2,종합!$AD$3:$AD$501,0))&amp;"","")</f>
        <v/>
      </c>
      <c r="H171" s="21" t="str">
        <f aca="false">IFERROR(INDEX(종합!H$3:H$501,MATCH(ROW()-2,종합!$AD$3:$AD$501,0))&amp;"","")</f>
        <v/>
      </c>
      <c r="I171" s="21" t="str">
        <f aca="false">IFERROR(INDEX(종합!I$3:I$501,MATCH(ROW()-2,종합!$AD$3:$AD$501,0))&amp;"","")</f>
        <v/>
      </c>
      <c r="J171" s="21" t="str">
        <f aca="false">IFERROR(INDEX(종합!J$3:J$501,MATCH(ROW()-2,종합!$AD$3:$AD$501,0))&amp;"","")</f>
        <v/>
      </c>
      <c r="K171" s="21" t="str">
        <f aca="false">IFERROR(INDEX(종합!K$3:K$501,MATCH(ROW()-2,종합!$AD$3:$AD$501,0))&amp;"","")</f>
        <v/>
      </c>
      <c r="L171" s="21" t="str">
        <f aca="false">IFERROR(INDEX(종합!L$3:L$501,MATCH(ROW()-2,종합!$AD$3:$AD$501,0))&amp;"","")</f>
        <v/>
      </c>
      <c r="M171" s="21" t="str">
        <f aca="false">IFERROR(INDEX(종합!M$3:M$501,MATCH(ROW()-2,종합!$AD$3:$AD$501,0))&amp;"","")</f>
        <v/>
      </c>
      <c r="N171" s="25" t="str">
        <f aca="false">IFERROR(INDEX(종합!N$3:N$501,MATCH(ROW()-2,종합!$AD$3:$AD$501,0))&amp;"","")</f>
        <v/>
      </c>
      <c r="O171" s="21" t="str">
        <f aca="false">IFERROR(INDEX(종합!O$3:O$501,MATCH(ROW()-2,종합!$AD$3:$AD$501,0))&amp;"","")</f>
        <v/>
      </c>
      <c r="P171" s="21" t="str">
        <f aca="false">IFERROR(INDEX(종합!P$3:P$501,MATCH(ROW()-2,종합!$AD$3:$AD$501,0))&amp;"","")</f>
        <v/>
      </c>
      <c r="Q171" s="21" t="str">
        <f aca="false">IFERROR(INDEX(종합!Q$3:Q$501,MATCH(ROW()-2,종합!$AD$3:$AD$501,0))&amp;"","")</f>
        <v/>
      </c>
      <c r="R171" s="21" t="str">
        <f aca="false">IFERROR(INDEX(종합!R$3:R$501,MATCH(ROW()-2,종합!$AD$3:$AD$501,0))&amp;"","")</f>
        <v/>
      </c>
      <c r="S171" s="21" t="str">
        <f aca="false">IFERROR(INDEX(종합!S$3:S$501,MATCH(ROW()-2,종합!$AD$3:$AD$501,0))&amp;"","")</f>
        <v/>
      </c>
      <c r="T171" s="21" t="str">
        <f aca="false">IFERROR(INDEX(종합!T$3:T$501,MATCH(ROW()-2,종합!$AD$3:$AD$501,0))&amp;"","")</f>
        <v/>
      </c>
      <c r="U171" s="21" t="str">
        <f aca="false">IFERROR(INDEX(종합!U$3:U$501,MATCH(ROW()-2,종합!$AD$3:$AD$501,0))&amp;"","")</f>
        <v/>
      </c>
      <c r="V171" s="21" t="str">
        <f aca="false">IFERROR(INDEX(종합!V$3:V$501,MATCH(ROW()-2,종합!$AD$3:$AD$501,0))&amp;"","")</f>
        <v/>
      </c>
      <c r="W171" s="21" t="str">
        <f aca="false">IFERROR(INDEX(종합!W$3:W$501,MATCH(ROW()-2,종합!$AD$3:$AD$501,0))&amp;"","")</f>
        <v/>
      </c>
      <c r="X171" s="21" t="str">
        <f aca="false">IFERROR(INDEX(종합!X$3:X$501,MATCH(ROW()-2,종합!$AD$3:$AD$501,0))&amp;"","")</f>
        <v/>
      </c>
      <c r="Y171" s="21" t="str">
        <f aca="false">IFERROR(INDEX(종합!Y$3:Y$501,MATCH(ROW()-2,종합!$AD$3:$AD$501,0))&amp;"","")</f>
        <v/>
      </c>
      <c r="Z171" s="21" t="str">
        <f aca="false">IFERROR(INDEX(종합!Z$3:Z$501,MATCH(ROW()-2,종합!$AD$3:$AD$501,0))&amp;"","")</f>
        <v/>
      </c>
      <c r="AA171" s="23" t="str">
        <f aca="false">IFERROR(INDEX(종합!AA$3:AA$501,MATCH(ROW()-2,종합!$AD$3:$AD$501,0))&amp;"","")</f>
        <v/>
      </c>
    </row>
    <row r="172" customFormat="false" ht="16.5" hidden="false" customHeight="true" outlineLevel="0" collapsed="false">
      <c r="A172" s="18" t="str">
        <f aca="false">IF(B172="","",ROW()-2)</f>
        <v/>
      </c>
      <c r="B172" s="18" t="str">
        <f aca="false">IFERROR(INDEX(종합!B$3:B$501,MATCH(ROW()-2,종합!$AD$3:$AD$501,0))&amp;"","")</f>
        <v/>
      </c>
      <c r="C172" s="18" t="str">
        <f aca="false">IFERROR(INDEX(종합!C$3:C$501,MATCH(ROW()-2,종합!$AD$3:$AD$501,0))&amp;"","")</f>
        <v/>
      </c>
      <c r="D172" s="18" t="str">
        <f aca="false">IFERROR(INDEX(종합!D$3:D$501,MATCH(ROW()-2,종합!$AD$3:$AD$501,0))&amp;"","")</f>
        <v/>
      </c>
      <c r="E172" s="18" t="str">
        <f aca="false">IFERROR(INDEX(종합!E$3:E$501,MATCH(ROW()-2,종합!$AD$3:$AD$501,0))&amp;"","")</f>
        <v/>
      </c>
      <c r="F172" s="18" t="str">
        <f aca="false">IFERROR(INDEX(종합!F$3:F$501,MATCH(ROW()-2,종합!$AD$3:$AD$501,0))&amp;"","")</f>
        <v/>
      </c>
      <c r="G172" s="18" t="str">
        <f aca="false">IFERROR(INDEX(종합!G$3:G$501,MATCH(ROW()-2,종합!$AD$3:$AD$501,0))&amp;"","")</f>
        <v/>
      </c>
      <c r="H172" s="21" t="str">
        <f aca="false">IFERROR(INDEX(종합!H$3:H$501,MATCH(ROW()-2,종합!$AD$3:$AD$501,0))&amp;"","")</f>
        <v/>
      </c>
      <c r="I172" s="21" t="str">
        <f aca="false">IFERROR(INDEX(종합!I$3:I$501,MATCH(ROW()-2,종합!$AD$3:$AD$501,0))&amp;"","")</f>
        <v/>
      </c>
      <c r="J172" s="21" t="str">
        <f aca="false">IFERROR(INDEX(종합!J$3:J$501,MATCH(ROW()-2,종합!$AD$3:$AD$501,0))&amp;"","")</f>
        <v/>
      </c>
      <c r="K172" s="21" t="str">
        <f aca="false">IFERROR(INDEX(종합!K$3:K$501,MATCH(ROW()-2,종합!$AD$3:$AD$501,0))&amp;"","")</f>
        <v/>
      </c>
      <c r="L172" s="21" t="str">
        <f aca="false">IFERROR(INDEX(종합!L$3:L$501,MATCH(ROW()-2,종합!$AD$3:$AD$501,0))&amp;"","")</f>
        <v/>
      </c>
      <c r="M172" s="21" t="str">
        <f aca="false">IFERROR(INDEX(종합!M$3:M$501,MATCH(ROW()-2,종합!$AD$3:$AD$501,0))&amp;"","")</f>
        <v/>
      </c>
      <c r="N172" s="25" t="str">
        <f aca="false">IFERROR(INDEX(종합!N$3:N$501,MATCH(ROW()-2,종합!$AD$3:$AD$501,0))&amp;"","")</f>
        <v/>
      </c>
      <c r="O172" s="21" t="str">
        <f aca="false">IFERROR(INDEX(종합!O$3:O$501,MATCH(ROW()-2,종합!$AD$3:$AD$501,0))&amp;"","")</f>
        <v/>
      </c>
      <c r="P172" s="21" t="str">
        <f aca="false">IFERROR(INDEX(종합!P$3:P$501,MATCH(ROW()-2,종합!$AD$3:$AD$501,0))&amp;"","")</f>
        <v/>
      </c>
      <c r="Q172" s="21" t="str">
        <f aca="false">IFERROR(INDEX(종합!Q$3:Q$501,MATCH(ROW()-2,종합!$AD$3:$AD$501,0))&amp;"","")</f>
        <v/>
      </c>
      <c r="R172" s="21" t="str">
        <f aca="false">IFERROR(INDEX(종합!R$3:R$501,MATCH(ROW()-2,종합!$AD$3:$AD$501,0))&amp;"","")</f>
        <v/>
      </c>
      <c r="S172" s="21" t="str">
        <f aca="false">IFERROR(INDEX(종합!S$3:S$501,MATCH(ROW()-2,종합!$AD$3:$AD$501,0))&amp;"","")</f>
        <v/>
      </c>
      <c r="T172" s="21" t="str">
        <f aca="false">IFERROR(INDEX(종합!T$3:T$501,MATCH(ROW()-2,종합!$AD$3:$AD$501,0))&amp;"","")</f>
        <v/>
      </c>
      <c r="U172" s="21" t="str">
        <f aca="false">IFERROR(INDEX(종합!U$3:U$501,MATCH(ROW()-2,종합!$AD$3:$AD$501,0))&amp;"","")</f>
        <v/>
      </c>
      <c r="V172" s="21" t="str">
        <f aca="false">IFERROR(INDEX(종합!V$3:V$501,MATCH(ROW()-2,종합!$AD$3:$AD$501,0))&amp;"","")</f>
        <v/>
      </c>
      <c r="W172" s="21" t="str">
        <f aca="false">IFERROR(INDEX(종합!W$3:W$501,MATCH(ROW()-2,종합!$AD$3:$AD$501,0))&amp;"","")</f>
        <v/>
      </c>
      <c r="X172" s="21" t="str">
        <f aca="false">IFERROR(INDEX(종합!X$3:X$501,MATCH(ROW()-2,종합!$AD$3:$AD$501,0))&amp;"","")</f>
        <v/>
      </c>
      <c r="Y172" s="21" t="str">
        <f aca="false">IFERROR(INDEX(종합!Y$3:Y$501,MATCH(ROW()-2,종합!$AD$3:$AD$501,0))&amp;"","")</f>
        <v/>
      </c>
      <c r="Z172" s="21" t="str">
        <f aca="false">IFERROR(INDEX(종합!Z$3:Z$501,MATCH(ROW()-2,종합!$AD$3:$AD$501,0))&amp;"","")</f>
        <v/>
      </c>
      <c r="AA172" s="23" t="str">
        <f aca="false">IFERROR(INDEX(종합!AA$3:AA$501,MATCH(ROW()-2,종합!$AD$3:$AD$501,0))&amp;"","")</f>
        <v/>
      </c>
    </row>
    <row r="173" customFormat="false" ht="16.5" hidden="false" customHeight="true" outlineLevel="0" collapsed="false">
      <c r="A173" s="18" t="str">
        <f aca="false">IF(B173="","",ROW()-2)</f>
        <v/>
      </c>
      <c r="B173" s="18" t="str">
        <f aca="false">IFERROR(INDEX(종합!B$3:B$501,MATCH(ROW()-2,종합!$AD$3:$AD$501,0))&amp;"","")</f>
        <v/>
      </c>
      <c r="C173" s="18" t="str">
        <f aca="false">IFERROR(INDEX(종합!C$3:C$501,MATCH(ROW()-2,종합!$AD$3:$AD$501,0))&amp;"","")</f>
        <v/>
      </c>
      <c r="D173" s="18" t="str">
        <f aca="false">IFERROR(INDEX(종합!D$3:D$501,MATCH(ROW()-2,종합!$AD$3:$AD$501,0))&amp;"","")</f>
        <v/>
      </c>
      <c r="E173" s="18" t="str">
        <f aca="false">IFERROR(INDEX(종합!E$3:E$501,MATCH(ROW()-2,종합!$AD$3:$AD$501,0))&amp;"","")</f>
        <v/>
      </c>
      <c r="F173" s="18" t="str">
        <f aca="false">IFERROR(INDEX(종합!F$3:F$501,MATCH(ROW()-2,종합!$AD$3:$AD$501,0))&amp;"","")</f>
        <v/>
      </c>
      <c r="G173" s="18" t="str">
        <f aca="false">IFERROR(INDEX(종합!G$3:G$501,MATCH(ROW()-2,종합!$AD$3:$AD$501,0))&amp;"","")</f>
        <v/>
      </c>
      <c r="H173" s="21" t="str">
        <f aca="false">IFERROR(INDEX(종합!H$3:H$501,MATCH(ROW()-2,종합!$AD$3:$AD$501,0))&amp;"","")</f>
        <v/>
      </c>
      <c r="I173" s="21" t="str">
        <f aca="false">IFERROR(INDEX(종합!I$3:I$501,MATCH(ROW()-2,종합!$AD$3:$AD$501,0))&amp;"","")</f>
        <v/>
      </c>
      <c r="J173" s="21" t="str">
        <f aca="false">IFERROR(INDEX(종합!J$3:J$501,MATCH(ROW()-2,종합!$AD$3:$AD$501,0))&amp;"","")</f>
        <v/>
      </c>
      <c r="K173" s="21" t="str">
        <f aca="false">IFERROR(INDEX(종합!K$3:K$501,MATCH(ROW()-2,종합!$AD$3:$AD$501,0))&amp;"","")</f>
        <v/>
      </c>
      <c r="L173" s="21" t="str">
        <f aca="false">IFERROR(INDEX(종합!L$3:L$501,MATCH(ROW()-2,종합!$AD$3:$AD$501,0))&amp;"","")</f>
        <v/>
      </c>
      <c r="M173" s="21" t="str">
        <f aca="false">IFERROR(INDEX(종합!M$3:M$501,MATCH(ROW()-2,종합!$AD$3:$AD$501,0))&amp;"","")</f>
        <v/>
      </c>
      <c r="N173" s="25" t="str">
        <f aca="false">IFERROR(INDEX(종합!N$3:N$501,MATCH(ROW()-2,종합!$AD$3:$AD$501,0))&amp;"","")</f>
        <v/>
      </c>
      <c r="O173" s="21" t="str">
        <f aca="false">IFERROR(INDEX(종합!O$3:O$501,MATCH(ROW()-2,종합!$AD$3:$AD$501,0))&amp;"","")</f>
        <v/>
      </c>
      <c r="P173" s="21" t="str">
        <f aca="false">IFERROR(INDEX(종합!P$3:P$501,MATCH(ROW()-2,종합!$AD$3:$AD$501,0))&amp;"","")</f>
        <v/>
      </c>
      <c r="Q173" s="21" t="str">
        <f aca="false">IFERROR(INDEX(종합!Q$3:Q$501,MATCH(ROW()-2,종합!$AD$3:$AD$501,0))&amp;"","")</f>
        <v/>
      </c>
      <c r="R173" s="21" t="str">
        <f aca="false">IFERROR(INDEX(종합!R$3:R$501,MATCH(ROW()-2,종합!$AD$3:$AD$501,0))&amp;"","")</f>
        <v/>
      </c>
      <c r="S173" s="21" t="str">
        <f aca="false">IFERROR(INDEX(종합!S$3:S$501,MATCH(ROW()-2,종합!$AD$3:$AD$501,0))&amp;"","")</f>
        <v/>
      </c>
      <c r="T173" s="21" t="str">
        <f aca="false">IFERROR(INDEX(종합!T$3:T$501,MATCH(ROW()-2,종합!$AD$3:$AD$501,0))&amp;"","")</f>
        <v/>
      </c>
      <c r="U173" s="21" t="str">
        <f aca="false">IFERROR(INDEX(종합!U$3:U$501,MATCH(ROW()-2,종합!$AD$3:$AD$501,0))&amp;"","")</f>
        <v/>
      </c>
      <c r="V173" s="21" t="str">
        <f aca="false">IFERROR(INDEX(종합!V$3:V$501,MATCH(ROW()-2,종합!$AD$3:$AD$501,0))&amp;"","")</f>
        <v/>
      </c>
      <c r="W173" s="21" t="str">
        <f aca="false">IFERROR(INDEX(종합!W$3:W$501,MATCH(ROW()-2,종합!$AD$3:$AD$501,0))&amp;"","")</f>
        <v/>
      </c>
      <c r="X173" s="21" t="str">
        <f aca="false">IFERROR(INDEX(종합!X$3:X$501,MATCH(ROW()-2,종합!$AD$3:$AD$501,0))&amp;"","")</f>
        <v/>
      </c>
      <c r="Y173" s="21" t="str">
        <f aca="false">IFERROR(INDEX(종합!Y$3:Y$501,MATCH(ROW()-2,종합!$AD$3:$AD$501,0))&amp;"","")</f>
        <v/>
      </c>
      <c r="Z173" s="21" t="str">
        <f aca="false">IFERROR(INDEX(종합!Z$3:Z$501,MATCH(ROW()-2,종합!$AD$3:$AD$501,0))&amp;"","")</f>
        <v/>
      </c>
      <c r="AA173" s="23" t="str">
        <f aca="false">IFERROR(INDEX(종합!AA$3:AA$501,MATCH(ROW()-2,종합!$AD$3:$AD$501,0))&amp;"","")</f>
        <v/>
      </c>
    </row>
    <row r="174" customFormat="false" ht="16.5" hidden="false" customHeight="true" outlineLevel="0" collapsed="false">
      <c r="A174" s="18" t="str">
        <f aca="false">IF(B174="","",ROW()-2)</f>
        <v/>
      </c>
      <c r="B174" s="18" t="str">
        <f aca="false">IFERROR(INDEX(종합!B$3:B$501,MATCH(ROW()-2,종합!$AD$3:$AD$501,0))&amp;"","")</f>
        <v/>
      </c>
      <c r="C174" s="18" t="str">
        <f aca="false">IFERROR(INDEX(종합!C$3:C$501,MATCH(ROW()-2,종합!$AD$3:$AD$501,0))&amp;"","")</f>
        <v/>
      </c>
      <c r="D174" s="18" t="str">
        <f aca="false">IFERROR(INDEX(종합!D$3:D$501,MATCH(ROW()-2,종합!$AD$3:$AD$501,0))&amp;"","")</f>
        <v/>
      </c>
      <c r="E174" s="18" t="str">
        <f aca="false">IFERROR(INDEX(종합!E$3:E$501,MATCH(ROW()-2,종합!$AD$3:$AD$501,0))&amp;"","")</f>
        <v/>
      </c>
      <c r="F174" s="18" t="str">
        <f aca="false">IFERROR(INDEX(종합!F$3:F$501,MATCH(ROW()-2,종합!$AD$3:$AD$501,0))&amp;"","")</f>
        <v/>
      </c>
      <c r="G174" s="18" t="str">
        <f aca="false">IFERROR(INDEX(종합!G$3:G$501,MATCH(ROW()-2,종합!$AD$3:$AD$501,0))&amp;"","")</f>
        <v/>
      </c>
      <c r="H174" s="21" t="str">
        <f aca="false">IFERROR(INDEX(종합!H$3:H$501,MATCH(ROW()-2,종합!$AD$3:$AD$501,0))&amp;"","")</f>
        <v/>
      </c>
      <c r="I174" s="21" t="str">
        <f aca="false">IFERROR(INDEX(종합!I$3:I$501,MATCH(ROW()-2,종합!$AD$3:$AD$501,0))&amp;"","")</f>
        <v/>
      </c>
      <c r="J174" s="21" t="str">
        <f aca="false">IFERROR(INDEX(종합!J$3:J$501,MATCH(ROW()-2,종합!$AD$3:$AD$501,0))&amp;"","")</f>
        <v/>
      </c>
      <c r="K174" s="21" t="str">
        <f aca="false">IFERROR(INDEX(종합!K$3:K$501,MATCH(ROW()-2,종합!$AD$3:$AD$501,0))&amp;"","")</f>
        <v/>
      </c>
      <c r="L174" s="21" t="str">
        <f aca="false">IFERROR(INDEX(종합!L$3:L$501,MATCH(ROW()-2,종합!$AD$3:$AD$501,0))&amp;"","")</f>
        <v/>
      </c>
      <c r="M174" s="21" t="str">
        <f aca="false">IFERROR(INDEX(종합!M$3:M$501,MATCH(ROW()-2,종합!$AD$3:$AD$501,0))&amp;"","")</f>
        <v/>
      </c>
      <c r="N174" s="25" t="str">
        <f aca="false">IFERROR(INDEX(종합!N$3:N$501,MATCH(ROW()-2,종합!$AD$3:$AD$501,0))&amp;"","")</f>
        <v/>
      </c>
      <c r="O174" s="21" t="str">
        <f aca="false">IFERROR(INDEX(종합!O$3:O$501,MATCH(ROW()-2,종합!$AD$3:$AD$501,0))&amp;"","")</f>
        <v/>
      </c>
      <c r="P174" s="21" t="str">
        <f aca="false">IFERROR(INDEX(종합!P$3:P$501,MATCH(ROW()-2,종합!$AD$3:$AD$501,0))&amp;"","")</f>
        <v/>
      </c>
      <c r="Q174" s="21" t="str">
        <f aca="false">IFERROR(INDEX(종합!Q$3:Q$501,MATCH(ROW()-2,종합!$AD$3:$AD$501,0))&amp;"","")</f>
        <v/>
      </c>
      <c r="R174" s="21" t="str">
        <f aca="false">IFERROR(INDEX(종합!R$3:R$501,MATCH(ROW()-2,종합!$AD$3:$AD$501,0))&amp;"","")</f>
        <v/>
      </c>
      <c r="S174" s="21" t="str">
        <f aca="false">IFERROR(INDEX(종합!S$3:S$501,MATCH(ROW()-2,종합!$AD$3:$AD$501,0))&amp;"","")</f>
        <v/>
      </c>
      <c r="T174" s="21" t="str">
        <f aca="false">IFERROR(INDEX(종합!T$3:T$501,MATCH(ROW()-2,종합!$AD$3:$AD$501,0))&amp;"","")</f>
        <v/>
      </c>
      <c r="U174" s="21" t="str">
        <f aca="false">IFERROR(INDEX(종합!U$3:U$501,MATCH(ROW()-2,종합!$AD$3:$AD$501,0))&amp;"","")</f>
        <v/>
      </c>
      <c r="V174" s="21" t="str">
        <f aca="false">IFERROR(INDEX(종합!V$3:V$501,MATCH(ROW()-2,종합!$AD$3:$AD$501,0))&amp;"","")</f>
        <v/>
      </c>
      <c r="W174" s="21" t="str">
        <f aca="false">IFERROR(INDEX(종합!W$3:W$501,MATCH(ROW()-2,종합!$AD$3:$AD$501,0))&amp;"","")</f>
        <v/>
      </c>
      <c r="X174" s="21" t="str">
        <f aca="false">IFERROR(INDEX(종합!X$3:X$501,MATCH(ROW()-2,종합!$AD$3:$AD$501,0))&amp;"","")</f>
        <v/>
      </c>
      <c r="Y174" s="21" t="str">
        <f aca="false">IFERROR(INDEX(종합!Y$3:Y$501,MATCH(ROW()-2,종합!$AD$3:$AD$501,0))&amp;"","")</f>
        <v/>
      </c>
      <c r="Z174" s="21" t="str">
        <f aca="false">IFERROR(INDEX(종합!Z$3:Z$501,MATCH(ROW()-2,종합!$AD$3:$AD$501,0))&amp;"","")</f>
        <v/>
      </c>
      <c r="AA174" s="23" t="str">
        <f aca="false">IFERROR(INDEX(종합!AA$3:AA$501,MATCH(ROW()-2,종합!$AD$3:$AD$501,0))&amp;"","")</f>
        <v/>
      </c>
    </row>
    <row r="175" customFormat="false" ht="16.5" hidden="false" customHeight="true" outlineLevel="0" collapsed="false">
      <c r="A175" s="18" t="str">
        <f aca="false">IF(B175="","",ROW()-2)</f>
        <v/>
      </c>
      <c r="B175" s="18" t="str">
        <f aca="false">IFERROR(INDEX(종합!B$3:B$501,MATCH(ROW()-2,종합!$AD$3:$AD$501,0))&amp;"","")</f>
        <v/>
      </c>
      <c r="C175" s="18" t="str">
        <f aca="false">IFERROR(INDEX(종합!C$3:C$501,MATCH(ROW()-2,종합!$AD$3:$AD$501,0))&amp;"","")</f>
        <v/>
      </c>
      <c r="D175" s="18" t="str">
        <f aca="false">IFERROR(INDEX(종합!D$3:D$501,MATCH(ROW()-2,종합!$AD$3:$AD$501,0))&amp;"","")</f>
        <v/>
      </c>
      <c r="E175" s="18" t="str">
        <f aca="false">IFERROR(INDEX(종합!E$3:E$501,MATCH(ROW()-2,종합!$AD$3:$AD$501,0))&amp;"","")</f>
        <v/>
      </c>
      <c r="F175" s="18" t="str">
        <f aca="false">IFERROR(INDEX(종합!F$3:F$501,MATCH(ROW()-2,종합!$AD$3:$AD$501,0))&amp;"","")</f>
        <v/>
      </c>
      <c r="G175" s="18" t="str">
        <f aca="false">IFERROR(INDEX(종합!G$3:G$501,MATCH(ROW()-2,종합!$AD$3:$AD$501,0))&amp;"","")</f>
        <v/>
      </c>
      <c r="H175" s="21" t="str">
        <f aca="false">IFERROR(INDEX(종합!H$3:H$501,MATCH(ROW()-2,종합!$AD$3:$AD$501,0))&amp;"","")</f>
        <v/>
      </c>
      <c r="I175" s="21" t="str">
        <f aca="false">IFERROR(INDEX(종합!I$3:I$501,MATCH(ROW()-2,종합!$AD$3:$AD$501,0))&amp;"","")</f>
        <v/>
      </c>
      <c r="J175" s="21" t="str">
        <f aca="false">IFERROR(INDEX(종합!J$3:J$501,MATCH(ROW()-2,종합!$AD$3:$AD$501,0))&amp;"","")</f>
        <v/>
      </c>
      <c r="K175" s="21" t="str">
        <f aca="false">IFERROR(INDEX(종합!K$3:K$501,MATCH(ROW()-2,종합!$AD$3:$AD$501,0))&amp;"","")</f>
        <v/>
      </c>
      <c r="L175" s="21" t="str">
        <f aca="false">IFERROR(INDEX(종합!L$3:L$501,MATCH(ROW()-2,종합!$AD$3:$AD$501,0))&amp;"","")</f>
        <v/>
      </c>
      <c r="M175" s="21" t="str">
        <f aca="false">IFERROR(INDEX(종합!M$3:M$501,MATCH(ROW()-2,종합!$AD$3:$AD$501,0))&amp;"","")</f>
        <v/>
      </c>
      <c r="N175" s="25" t="str">
        <f aca="false">IFERROR(INDEX(종합!N$3:N$501,MATCH(ROW()-2,종합!$AD$3:$AD$501,0))&amp;"","")</f>
        <v/>
      </c>
      <c r="O175" s="21" t="str">
        <f aca="false">IFERROR(INDEX(종합!O$3:O$501,MATCH(ROW()-2,종합!$AD$3:$AD$501,0))&amp;"","")</f>
        <v/>
      </c>
      <c r="P175" s="21" t="str">
        <f aca="false">IFERROR(INDEX(종합!P$3:P$501,MATCH(ROW()-2,종합!$AD$3:$AD$501,0))&amp;"","")</f>
        <v/>
      </c>
      <c r="Q175" s="21" t="str">
        <f aca="false">IFERROR(INDEX(종합!Q$3:Q$501,MATCH(ROW()-2,종합!$AD$3:$AD$501,0))&amp;"","")</f>
        <v/>
      </c>
      <c r="R175" s="21" t="str">
        <f aca="false">IFERROR(INDEX(종합!R$3:R$501,MATCH(ROW()-2,종합!$AD$3:$AD$501,0))&amp;"","")</f>
        <v/>
      </c>
      <c r="S175" s="21" t="str">
        <f aca="false">IFERROR(INDEX(종합!S$3:S$501,MATCH(ROW()-2,종합!$AD$3:$AD$501,0))&amp;"","")</f>
        <v/>
      </c>
      <c r="T175" s="21" t="str">
        <f aca="false">IFERROR(INDEX(종합!T$3:T$501,MATCH(ROW()-2,종합!$AD$3:$AD$501,0))&amp;"","")</f>
        <v/>
      </c>
      <c r="U175" s="21" t="str">
        <f aca="false">IFERROR(INDEX(종합!U$3:U$501,MATCH(ROW()-2,종합!$AD$3:$AD$501,0))&amp;"","")</f>
        <v/>
      </c>
      <c r="V175" s="21" t="str">
        <f aca="false">IFERROR(INDEX(종합!V$3:V$501,MATCH(ROW()-2,종합!$AD$3:$AD$501,0))&amp;"","")</f>
        <v/>
      </c>
      <c r="W175" s="21" t="str">
        <f aca="false">IFERROR(INDEX(종합!W$3:W$501,MATCH(ROW()-2,종합!$AD$3:$AD$501,0))&amp;"","")</f>
        <v/>
      </c>
      <c r="X175" s="21" t="str">
        <f aca="false">IFERROR(INDEX(종합!X$3:X$501,MATCH(ROW()-2,종합!$AD$3:$AD$501,0))&amp;"","")</f>
        <v/>
      </c>
      <c r="Y175" s="21" t="str">
        <f aca="false">IFERROR(INDEX(종합!Y$3:Y$501,MATCH(ROW()-2,종합!$AD$3:$AD$501,0))&amp;"","")</f>
        <v/>
      </c>
      <c r="Z175" s="21" t="str">
        <f aca="false">IFERROR(INDEX(종합!Z$3:Z$501,MATCH(ROW()-2,종합!$AD$3:$AD$501,0))&amp;"","")</f>
        <v/>
      </c>
      <c r="AA175" s="23" t="str">
        <f aca="false">IFERROR(INDEX(종합!AA$3:AA$501,MATCH(ROW()-2,종합!$AD$3:$AD$501,0))&amp;"","")</f>
        <v/>
      </c>
    </row>
    <row r="176" customFormat="false" ht="16.5" hidden="false" customHeight="true" outlineLevel="0" collapsed="false">
      <c r="A176" s="18" t="str">
        <f aca="false">IF(B176="","",ROW()-2)</f>
        <v/>
      </c>
      <c r="B176" s="18" t="str">
        <f aca="false">IFERROR(INDEX(종합!B$3:B$501,MATCH(ROW()-2,종합!$AD$3:$AD$501,0))&amp;"","")</f>
        <v/>
      </c>
      <c r="C176" s="18" t="str">
        <f aca="false">IFERROR(INDEX(종합!C$3:C$501,MATCH(ROW()-2,종합!$AD$3:$AD$501,0))&amp;"","")</f>
        <v/>
      </c>
      <c r="D176" s="18" t="str">
        <f aca="false">IFERROR(INDEX(종합!D$3:D$501,MATCH(ROW()-2,종합!$AD$3:$AD$501,0))&amp;"","")</f>
        <v/>
      </c>
      <c r="E176" s="18" t="str">
        <f aca="false">IFERROR(INDEX(종합!E$3:E$501,MATCH(ROW()-2,종합!$AD$3:$AD$501,0))&amp;"","")</f>
        <v/>
      </c>
      <c r="F176" s="18" t="str">
        <f aca="false">IFERROR(INDEX(종합!F$3:F$501,MATCH(ROW()-2,종합!$AD$3:$AD$501,0))&amp;"","")</f>
        <v/>
      </c>
      <c r="G176" s="18" t="str">
        <f aca="false">IFERROR(INDEX(종합!G$3:G$501,MATCH(ROW()-2,종합!$AD$3:$AD$501,0))&amp;"","")</f>
        <v/>
      </c>
      <c r="H176" s="21" t="str">
        <f aca="false">IFERROR(INDEX(종합!H$3:H$501,MATCH(ROW()-2,종합!$AD$3:$AD$501,0))&amp;"","")</f>
        <v/>
      </c>
      <c r="I176" s="21" t="str">
        <f aca="false">IFERROR(INDEX(종합!I$3:I$501,MATCH(ROW()-2,종합!$AD$3:$AD$501,0))&amp;"","")</f>
        <v/>
      </c>
      <c r="J176" s="21" t="str">
        <f aca="false">IFERROR(INDEX(종합!J$3:J$501,MATCH(ROW()-2,종합!$AD$3:$AD$501,0))&amp;"","")</f>
        <v/>
      </c>
      <c r="K176" s="21" t="str">
        <f aca="false">IFERROR(INDEX(종합!K$3:K$501,MATCH(ROW()-2,종합!$AD$3:$AD$501,0))&amp;"","")</f>
        <v/>
      </c>
      <c r="L176" s="21" t="str">
        <f aca="false">IFERROR(INDEX(종합!L$3:L$501,MATCH(ROW()-2,종합!$AD$3:$AD$501,0))&amp;"","")</f>
        <v/>
      </c>
      <c r="M176" s="21" t="str">
        <f aca="false">IFERROR(INDEX(종합!M$3:M$501,MATCH(ROW()-2,종합!$AD$3:$AD$501,0))&amp;"","")</f>
        <v/>
      </c>
      <c r="N176" s="25" t="str">
        <f aca="false">IFERROR(INDEX(종합!N$3:N$501,MATCH(ROW()-2,종합!$AD$3:$AD$501,0))&amp;"","")</f>
        <v/>
      </c>
      <c r="O176" s="21" t="str">
        <f aca="false">IFERROR(INDEX(종합!O$3:O$501,MATCH(ROW()-2,종합!$AD$3:$AD$501,0))&amp;"","")</f>
        <v/>
      </c>
      <c r="P176" s="21" t="str">
        <f aca="false">IFERROR(INDEX(종합!P$3:P$501,MATCH(ROW()-2,종합!$AD$3:$AD$501,0))&amp;"","")</f>
        <v/>
      </c>
      <c r="Q176" s="21" t="str">
        <f aca="false">IFERROR(INDEX(종합!Q$3:Q$501,MATCH(ROW()-2,종합!$AD$3:$AD$501,0))&amp;"","")</f>
        <v/>
      </c>
      <c r="R176" s="21" t="str">
        <f aca="false">IFERROR(INDEX(종합!R$3:R$501,MATCH(ROW()-2,종합!$AD$3:$AD$501,0))&amp;"","")</f>
        <v/>
      </c>
      <c r="S176" s="21" t="str">
        <f aca="false">IFERROR(INDEX(종합!S$3:S$501,MATCH(ROW()-2,종합!$AD$3:$AD$501,0))&amp;"","")</f>
        <v/>
      </c>
      <c r="T176" s="21" t="str">
        <f aca="false">IFERROR(INDEX(종합!T$3:T$501,MATCH(ROW()-2,종합!$AD$3:$AD$501,0))&amp;"","")</f>
        <v/>
      </c>
      <c r="U176" s="21" t="str">
        <f aca="false">IFERROR(INDEX(종합!U$3:U$501,MATCH(ROW()-2,종합!$AD$3:$AD$501,0))&amp;"","")</f>
        <v/>
      </c>
      <c r="V176" s="21" t="str">
        <f aca="false">IFERROR(INDEX(종합!V$3:V$501,MATCH(ROW()-2,종합!$AD$3:$AD$501,0))&amp;"","")</f>
        <v/>
      </c>
      <c r="W176" s="21" t="str">
        <f aca="false">IFERROR(INDEX(종합!W$3:W$501,MATCH(ROW()-2,종합!$AD$3:$AD$501,0))&amp;"","")</f>
        <v/>
      </c>
      <c r="X176" s="21" t="str">
        <f aca="false">IFERROR(INDEX(종합!X$3:X$501,MATCH(ROW()-2,종합!$AD$3:$AD$501,0))&amp;"","")</f>
        <v/>
      </c>
      <c r="Y176" s="21" t="str">
        <f aca="false">IFERROR(INDEX(종합!Y$3:Y$501,MATCH(ROW()-2,종합!$AD$3:$AD$501,0))&amp;"","")</f>
        <v/>
      </c>
      <c r="Z176" s="21" t="str">
        <f aca="false">IFERROR(INDEX(종합!Z$3:Z$501,MATCH(ROW()-2,종합!$AD$3:$AD$501,0))&amp;"","")</f>
        <v/>
      </c>
      <c r="AA176" s="23" t="str">
        <f aca="false">IFERROR(INDEX(종합!AA$3:AA$501,MATCH(ROW()-2,종합!$AD$3:$AD$501,0))&amp;"","")</f>
        <v/>
      </c>
    </row>
    <row r="177" customFormat="false" ht="16.5" hidden="false" customHeight="true" outlineLevel="0" collapsed="false">
      <c r="A177" s="18" t="str">
        <f aca="false">IF(B177="","",ROW()-2)</f>
        <v/>
      </c>
      <c r="B177" s="18" t="str">
        <f aca="false">IFERROR(INDEX(종합!B$3:B$501,MATCH(ROW()-2,종합!$AD$3:$AD$501,0))&amp;"","")</f>
        <v/>
      </c>
      <c r="C177" s="18" t="str">
        <f aca="false">IFERROR(INDEX(종합!C$3:C$501,MATCH(ROW()-2,종합!$AD$3:$AD$501,0))&amp;"","")</f>
        <v/>
      </c>
      <c r="D177" s="18" t="str">
        <f aca="false">IFERROR(INDEX(종합!D$3:D$501,MATCH(ROW()-2,종합!$AD$3:$AD$501,0))&amp;"","")</f>
        <v/>
      </c>
      <c r="E177" s="18" t="str">
        <f aca="false">IFERROR(INDEX(종합!E$3:E$501,MATCH(ROW()-2,종합!$AD$3:$AD$501,0))&amp;"","")</f>
        <v/>
      </c>
      <c r="F177" s="18" t="str">
        <f aca="false">IFERROR(INDEX(종합!F$3:F$501,MATCH(ROW()-2,종합!$AD$3:$AD$501,0))&amp;"","")</f>
        <v/>
      </c>
      <c r="G177" s="18" t="str">
        <f aca="false">IFERROR(INDEX(종합!G$3:G$501,MATCH(ROW()-2,종합!$AD$3:$AD$501,0))&amp;"","")</f>
        <v/>
      </c>
      <c r="H177" s="21" t="str">
        <f aca="false">IFERROR(INDEX(종합!H$3:H$501,MATCH(ROW()-2,종합!$AD$3:$AD$501,0))&amp;"","")</f>
        <v/>
      </c>
      <c r="I177" s="21" t="str">
        <f aca="false">IFERROR(INDEX(종합!I$3:I$501,MATCH(ROW()-2,종합!$AD$3:$AD$501,0))&amp;"","")</f>
        <v/>
      </c>
      <c r="J177" s="21" t="str">
        <f aca="false">IFERROR(INDEX(종합!J$3:J$501,MATCH(ROW()-2,종합!$AD$3:$AD$501,0))&amp;"","")</f>
        <v/>
      </c>
      <c r="K177" s="21" t="str">
        <f aca="false">IFERROR(INDEX(종합!K$3:K$501,MATCH(ROW()-2,종합!$AD$3:$AD$501,0))&amp;"","")</f>
        <v/>
      </c>
      <c r="L177" s="21" t="str">
        <f aca="false">IFERROR(INDEX(종합!L$3:L$501,MATCH(ROW()-2,종합!$AD$3:$AD$501,0))&amp;"","")</f>
        <v/>
      </c>
      <c r="M177" s="21" t="str">
        <f aca="false">IFERROR(INDEX(종합!M$3:M$501,MATCH(ROW()-2,종합!$AD$3:$AD$501,0))&amp;"","")</f>
        <v/>
      </c>
      <c r="N177" s="25" t="str">
        <f aca="false">IFERROR(INDEX(종합!N$3:N$501,MATCH(ROW()-2,종합!$AD$3:$AD$501,0))&amp;"","")</f>
        <v/>
      </c>
      <c r="O177" s="21" t="str">
        <f aca="false">IFERROR(INDEX(종합!O$3:O$501,MATCH(ROW()-2,종합!$AD$3:$AD$501,0))&amp;"","")</f>
        <v/>
      </c>
      <c r="P177" s="21" t="str">
        <f aca="false">IFERROR(INDEX(종합!P$3:P$501,MATCH(ROW()-2,종합!$AD$3:$AD$501,0))&amp;"","")</f>
        <v/>
      </c>
      <c r="Q177" s="21" t="str">
        <f aca="false">IFERROR(INDEX(종합!Q$3:Q$501,MATCH(ROW()-2,종합!$AD$3:$AD$501,0))&amp;"","")</f>
        <v/>
      </c>
      <c r="R177" s="21" t="str">
        <f aca="false">IFERROR(INDEX(종합!R$3:R$501,MATCH(ROW()-2,종합!$AD$3:$AD$501,0))&amp;"","")</f>
        <v/>
      </c>
      <c r="S177" s="21" t="str">
        <f aca="false">IFERROR(INDEX(종합!S$3:S$501,MATCH(ROW()-2,종합!$AD$3:$AD$501,0))&amp;"","")</f>
        <v/>
      </c>
      <c r="T177" s="21" t="str">
        <f aca="false">IFERROR(INDEX(종합!T$3:T$501,MATCH(ROW()-2,종합!$AD$3:$AD$501,0))&amp;"","")</f>
        <v/>
      </c>
      <c r="U177" s="21" t="str">
        <f aca="false">IFERROR(INDEX(종합!U$3:U$501,MATCH(ROW()-2,종합!$AD$3:$AD$501,0))&amp;"","")</f>
        <v/>
      </c>
      <c r="V177" s="21" t="str">
        <f aca="false">IFERROR(INDEX(종합!V$3:V$501,MATCH(ROW()-2,종합!$AD$3:$AD$501,0))&amp;"","")</f>
        <v/>
      </c>
      <c r="W177" s="21" t="str">
        <f aca="false">IFERROR(INDEX(종합!W$3:W$501,MATCH(ROW()-2,종합!$AD$3:$AD$501,0))&amp;"","")</f>
        <v/>
      </c>
      <c r="X177" s="21" t="str">
        <f aca="false">IFERROR(INDEX(종합!X$3:X$501,MATCH(ROW()-2,종합!$AD$3:$AD$501,0))&amp;"","")</f>
        <v/>
      </c>
      <c r="Y177" s="21" t="str">
        <f aca="false">IFERROR(INDEX(종합!Y$3:Y$501,MATCH(ROW()-2,종합!$AD$3:$AD$501,0))&amp;"","")</f>
        <v/>
      </c>
      <c r="Z177" s="21" t="str">
        <f aca="false">IFERROR(INDEX(종합!Z$3:Z$501,MATCH(ROW()-2,종합!$AD$3:$AD$501,0))&amp;"","")</f>
        <v/>
      </c>
      <c r="AA177" s="23" t="str">
        <f aca="false">IFERROR(INDEX(종합!AA$3:AA$501,MATCH(ROW()-2,종합!$AD$3:$AD$501,0))&amp;"","")</f>
        <v/>
      </c>
    </row>
    <row r="178" customFormat="false" ht="16.5" hidden="false" customHeight="true" outlineLevel="0" collapsed="false">
      <c r="A178" s="18" t="str">
        <f aca="false">IF(B178="","",ROW()-2)</f>
        <v/>
      </c>
      <c r="B178" s="18" t="str">
        <f aca="false">IFERROR(INDEX(종합!B$3:B$501,MATCH(ROW()-2,종합!$AD$3:$AD$501,0))&amp;"","")</f>
        <v/>
      </c>
      <c r="C178" s="18" t="str">
        <f aca="false">IFERROR(INDEX(종합!C$3:C$501,MATCH(ROW()-2,종합!$AD$3:$AD$501,0))&amp;"","")</f>
        <v/>
      </c>
      <c r="D178" s="18" t="str">
        <f aca="false">IFERROR(INDEX(종합!D$3:D$501,MATCH(ROW()-2,종합!$AD$3:$AD$501,0))&amp;"","")</f>
        <v/>
      </c>
      <c r="E178" s="18" t="str">
        <f aca="false">IFERROR(INDEX(종합!E$3:E$501,MATCH(ROW()-2,종합!$AD$3:$AD$501,0))&amp;"","")</f>
        <v/>
      </c>
      <c r="F178" s="18" t="str">
        <f aca="false">IFERROR(INDEX(종합!F$3:F$501,MATCH(ROW()-2,종합!$AD$3:$AD$501,0))&amp;"","")</f>
        <v/>
      </c>
      <c r="G178" s="18" t="str">
        <f aca="false">IFERROR(INDEX(종합!G$3:G$501,MATCH(ROW()-2,종합!$AD$3:$AD$501,0))&amp;"","")</f>
        <v/>
      </c>
      <c r="H178" s="21" t="str">
        <f aca="false">IFERROR(INDEX(종합!H$3:H$501,MATCH(ROW()-2,종합!$AD$3:$AD$501,0))&amp;"","")</f>
        <v/>
      </c>
      <c r="I178" s="21" t="str">
        <f aca="false">IFERROR(INDEX(종합!I$3:I$501,MATCH(ROW()-2,종합!$AD$3:$AD$501,0))&amp;"","")</f>
        <v/>
      </c>
      <c r="J178" s="21" t="str">
        <f aca="false">IFERROR(INDEX(종합!J$3:J$501,MATCH(ROW()-2,종합!$AD$3:$AD$501,0))&amp;"","")</f>
        <v/>
      </c>
      <c r="K178" s="21" t="str">
        <f aca="false">IFERROR(INDEX(종합!K$3:K$501,MATCH(ROW()-2,종합!$AD$3:$AD$501,0))&amp;"","")</f>
        <v/>
      </c>
      <c r="L178" s="21" t="str">
        <f aca="false">IFERROR(INDEX(종합!L$3:L$501,MATCH(ROW()-2,종합!$AD$3:$AD$501,0))&amp;"","")</f>
        <v/>
      </c>
      <c r="M178" s="21" t="str">
        <f aca="false">IFERROR(INDEX(종합!M$3:M$501,MATCH(ROW()-2,종합!$AD$3:$AD$501,0))&amp;"","")</f>
        <v/>
      </c>
      <c r="N178" s="25" t="str">
        <f aca="false">IFERROR(INDEX(종합!N$3:N$501,MATCH(ROW()-2,종합!$AD$3:$AD$501,0))&amp;"","")</f>
        <v/>
      </c>
      <c r="O178" s="21" t="str">
        <f aca="false">IFERROR(INDEX(종합!O$3:O$501,MATCH(ROW()-2,종합!$AD$3:$AD$501,0))&amp;"","")</f>
        <v/>
      </c>
      <c r="P178" s="21" t="str">
        <f aca="false">IFERROR(INDEX(종합!P$3:P$501,MATCH(ROW()-2,종합!$AD$3:$AD$501,0))&amp;"","")</f>
        <v/>
      </c>
      <c r="Q178" s="21" t="str">
        <f aca="false">IFERROR(INDEX(종합!Q$3:Q$501,MATCH(ROW()-2,종합!$AD$3:$AD$501,0))&amp;"","")</f>
        <v/>
      </c>
      <c r="R178" s="21" t="str">
        <f aca="false">IFERROR(INDEX(종합!R$3:R$501,MATCH(ROW()-2,종합!$AD$3:$AD$501,0))&amp;"","")</f>
        <v/>
      </c>
      <c r="S178" s="21" t="str">
        <f aca="false">IFERROR(INDEX(종합!S$3:S$501,MATCH(ROW()-2,종합!$AD$3:$AD$501,0))&amp;"","")</f>
        <v/>
      </c>
      <c r="T178" s="21" t="str">
        <f aca="false">IFERROR(INDEX(종합!T$3:T$501,MATCH(ROW()-2,종합!$AD$3:$AD$501,0))&amp;"","")</f>
        <v/>
      </c>
      <c r="U178" s="21" t="str">
        <f aca="false">IFERROR(INDEX(종합!U$3:U$501,MATCH(ROW()-2,종합!$AD$3:$AD$501,0))&amp;"","")</f>
        <v/>
      </c>
      <c r="V178" s="21" t="str">
        <f aca="false">IFERROR(INDEX(종합!V$3:V$501,MATCH(ROW()-2,종합!$AD$3:$AD$501,0))&amp;"","")</f>
        <v/>
      </c>
      <c r="W178" s="21" t="str">
        <f aca="false">IFERROR(INDEX(종합!W$3:W$501,MATCH(ROW()-2,종합!$AD$3:$AD$501,0))&amp;"","")</f>
        <v/>
      </c>
      <c r="X178" s="21" t="str">
        <f aca="false">IFERROR(INDEX(종합!X$3:X$501,MATCH(ROW()-2,종합!$AD$3:$AD$501,0))&amp;"","")</f>
        <v/>
      </c>
      <c r="Y178" s="21" t="str">
        <f aca="false">IFERROR(INDEX(종합!Y$3:Y$501,MATCH(ROW()-2,종합!$AD$3:$AD$501,0))&amp;"","")</f>
        <v/>
      </c>
      <c r="Z178" s="21" t="str">
        <f aca="false">IFERROR(INDEX(종합!Z$3:Z$501,MATCH(ROW()-2,종합!$AD$3:$AD$501,0))&amp;"","")</f>
        <v/>
      </c>
      <c r="AA178" s="23" t="str">
        <f aca="false">IFERROR(INDEX(종합!AA$3:AA$501,MATCH(ROW()-2,종합!$AD$3:$AD$501,0))&amp;"","")</f>
        <v/>
      </c>
    </row>
    <row r="179" customFormat="false" ht="16.5" hidden="false" customHeight="true" outlineLevel="0" collapsed="false">
      <c r="A179" s="18" t="str">
        <f aca="false">IF(B179="","",ROW()-2)</f>
        <v/>
      </c>
      <c r="B179" s="18" t="str">
        <f aca="false">IFERROR(INDEX(종합!B$3:B$501,MATCH(ROW()-2,종합!$AD$3:$AD$501,0))&amp;"","")</f>
        <v/>
      </c>
      <c r="C179" s="18" t="str">
        <f aca="false">IFERROR(INDEX(종합!C$3:C$501,MATCH(ROW()-2,종합!$AD$3:$AD$501,0))&amp;"","")</f>
        <v/>
      </c>
      <c r="D179" s="18" t="str">
        <f aca="false">IFERROR(INDEX(종합!D$3:D$501,MATCH(ROW()-2,종합!$AD$3:$AD$501,0))&amp;"","")</f>
        <v/>
      </c>
      <c r="E179" s="18" t="str">
        <f aca="false">IFERROR(INDEX(종합!E$3:E$501,MATCH(ROW()-2,종합!$AD$3:$AD$501,0))&amp;"","")</f>
        <v/>
      </c>
      <c r="F179" s="18" t="str">
        <f aca="false">IFERROR(INDEX(종합!F$3:F$501,MATCH(ROW()-2,종합!$AD$3:$AD$501,0))&amp;"","")</f>
        <v/>
      </c>
      <c r="G179" s="18" t="str">
        <f aca="false">IFERROR(INDEX(종합!G$3:G$501,MATCH(ROW()-2,종합!$AD$3:$AD$501,0))&amp;"","")</f>
        <v/>
      </c>
      <c r="H179" s="21" t="str">
        <f aca="false">IFERROR(INDEX(종합!H$3:H$501,MATCH(ROW()-2,종합!$AD$3:$AD$501,0))&amp;"","")</f>
        <v/>
      </c>
      <c r="I179" s="21" t="str">
        <f aca="false">IFERROR(INDEX(종합!I$3:I$501,MATCH(ROW()-2,종합!$AD$3:$AD$501,0))&amp;"","")</f>
        <v/>
      </c>
      <c r="J179" s="21" t="str">
        <f aca="false">IFERROR(INDEX(종합!J$3:J$501,MATCH(ROW()-2,종합!$AD$3:$AD$501,0))&amp;"","")</f>
        <v/>
      </c>
      <c r="K179" s="21" t="str">
        <f aca="false">IFERROR(INDEX(종합!K$3:K$501,MATCH(ROW()-2,종합!$AD$3:$AD$501,0))&amp;"","")</f>
        <v/>
      </c>
      <c r="L179" s="21" t="str">
        <f aca="false">IFERROR(INDEX(종합!L$3:L$501,MATCH(ROW()-2,종합!$AD$3:$AD$501,0))&amp;"","")</f>
        <v/>
      </c>
      <c r="M179" s="21" t="str">
        <f aca="false">IFERROR(INDEX(종합!M$3:M$501,MATCH(ROW()-2,종합!$AD$3:$AD$501,0))&amp;"","")</f>
        <v/>
      </c>
      <c r="N179" s="25" t="str">
        <f aca="false">IFERROR(INDEX(종합!N$3:N$501,MATCH(ROW()-2,종합!$AD$3:$AD$501,0))&amp;"","")</f>
        <v/>
      </c>
      <c r="O179" s="21" t="str">
        <f aca="false">IFERROR(INDEX(종합!O$3:O$501,MATCH(ROW()-2,종합!$AD$3:$AD$501,0))&amp;"","")</f>
        <v/>
      </c>
      <c r="P179" s="21" t="str">
        <f aca="false">IFERROR(INDEX(종합!P$3:P$501,MATCH(ROW()-2,종합!$AD$3:$AD$501,0))&amp;"","")</f>
        <v/>
      </c>
      <c r="Q179" s="21" t="str">
        <f aca="false">IFERROR(INDEX(종합!Q$3:Q$501,MATCH(ROW()-2,종합!$AD$3:$AD$501,0))&amp;"","")</f>
        <v/>
      </c>
      <c r="R179" s="21" t="str">
        <f aca="false">IFERROR(INDEX(종합!R$3:R$501,MATCH(ROW()-2,종합!$AD$3:$AD$501,0))&amp;"","")</f>
        <v/>
      </c>
      <c r="S179" s="21" t="str">
        <f aca="false">IFERROR(INDEX(종합!S$3:S$501,MATCH(ROW()-2,종합!$AD$3:$AD$501,0))&amp;"","")</f>
        <v/>
      </c>
      <c r="T179" s="21" t="str">
        <f aca="false">IFERROR(INDEX(종합!T$3:T$501,MATCH(ROW()-2,종합!$AD$3:$AD$501,0))&amp;"","")</f>
        <v/>
      </c>
      <c r="U179" s="21" t="str">
        <f aca="false">IFERROR(INDEX(종합!U$3:U$501,MATCH(ROW()-2,종합!$AD$3:$AD$501,0))&amp;"","")</f>
        <v/>
      </c>
      <c r="V179" s="21" t="str">
        <f aca="false">IFERROR(INDEX(종합!V$3:V$501,MATCH(ROW()-2,종합!$AD$3:$AD$501,0))&amp;"","")</f>
        <v/>
      </c>
      <c r="W179" s="21" t="str">
        <f aca="false">IFERROR(INDEX(종합!W$3:W$501,MATCH(ROW()-2,종합!$AD$3:$AD$501,0))&amp;"","")</f>
        <v/>
      </c>
      <c r="X179" s="21" t="str">
        <f aca="false">IFERROR(INDEX(종합!X$3:X$501,MATCH(ROW()-2,종합!$AD$3:$AD$501,0))&amp;"","")</f>
        <v/>
      </c>
      <c r="Y179" s="21" t="str">
        <f aca="false">IFERROR(INDEX(종합!Y$3:Y$501,MATCH(ROW()-2,종합!$AD$3:$AD$501,0))&amp;"","")</f>
        <v/>
      </c>
      <c r="Z179" s="21" t="str">
        <f aca="false">IFERROR(INDEX(종합!Z$3:Z$501,MATCH(ROW()-2,종합!$AD$3:$AD$501,0))&amp;"","")</f>
        <v/>
      </c>
      <c r="AA179" s="23" t="str">
        <f aca="false">IFERROR(INDEX(종합!AA$3:AA$501,MATCH(ROW()-2,종합!$AD$3:$AD$501,0))&amp;"","")</f>
        <v/>
      </c>
    </row>
    <row r="180" customFormat="false" ht="16.5" hidden="false" customHeight="true" outlineLevel="0" collapsed="false">
      <c r="A180" s="18" t="str">
        <f aca="false">IF(B180="","",ROW()-2)</f>
        <v/>
      </c>
      <c r="B180" s="18" t="str">
        <f aca="false">IFERROR(INDEX(종합!B$3:B$501,MATCH(ROW()-2,종합!$AD$3:$AD$501,0))&amp;"","")</f>
        <v/>
      </c>
      <c r="C180" s="18" t="str">
        <f aca="false">IFERROR(INDEX(종합!C$3:C$501,MATCH(ROW()-2,종합!$AD$3:$AD$501,0))&amp;"","")</f>
        <v/>
      </c>
      <c r="D180" s="18" t="str">
        <f aca="false">IFERROR(INDEX(종합!D$3:D$501,MATCH(ROW()-2,종합!$AD$3:$AD$501,0))&amp;"","")</f>
        <v/>
      </c>
      <c r="E180" s="18" t="str">
        <f aca="false">IFERROR(INDEX(종합!E$3:E$501,MATCH(ROW()-2,종합!$AD$3:$AD$501,0))&amp;"","")</f>
        <v/>
      </c>
      <c r="F180" s="18" t="str">
        <f aca="false">IFERROR(INDEX(종합!F$3:F$501,MATCH(ROW()-2,종합!$AD$3:$AD$501,0))&amp;"","")</f>
        <v/>
      </c>
      <c r="G180" s="18" t="str">
        <f aca="false">IFERROR(INDEX(종합!G$3:G$501,MATCH(ROW()-2,종합!$AD$3:$AD$501,0))&amp;"","")</f>
        <v/>
      </c>
      <c r="H180" s="21" t="str">
        <f aca="false">IFERROR(INDEX(종합!H$3:H$501,MATCH(ROW()-2,종합!$AD$3:$AD$501,0))&amp;"","")</f>
        <v/>
      </c>
      <c r="I180" s="21" t="str">
        <f aca="false">IFERROR(INDEX(종합!I$3:I$501,MATCH(ROW()-2,종합!$AD$3:$AD$501,0))&amp;"","")</f>
        <v/>
      </c>
      <c r="J180" s="21" t="str">
        <f aca="false">IFERROR(INDEX(종합!J$3:J$501,MATCH(ROW()-2,종합!$AD$3:$AD$501,0))&amp;"","")</f>
        <v/>
      </c>
      <c r="K180" s="21" t="str">
        <f aca="false">IFERROR(INDEX(종합!K$3:K$501,MATCH(ROW()-2,종합!$AD$3:$AD$501,0))&amp;"","")</f>
        <v/>
      </c>
      <c r="L180" s="21" t="str">
        <f aca="false">IFERROR(INDEX(종합!L$3:L$501,MATCH(ROW()-2,종합!$AD$3:$AD$501,0))&amp;"","")</f>
        <v/>
      </c>
      <c r="M180" s="21" t="str">
        <f aca="false">IFERROR(INDEX(종합!M$3:M$501,MATCH(ROW()-2,종합!$AD$3:$AD$501,0))&amp;"","")</f>
        <v/>
      </c>
      <c r="N180" s="25" t="str">
        <f aca="false">IFERROR(INDEX(종합!N$3:N$501,MATCH(ROW()-2,종합!$AD$3:$AD$501,0))&amp;"","")</f>
        <v/>
      </c>
      <c r="O180" s="21" t="str">
        <f aca="false">IFERROR(INDEX(종합!O$3:O$501,MATCH(ROW()-2,종합!$AD$3:$AD$501,0))&amp;"","")</f>
        <v/>
      </c>
      <c r="P180" s="21" t="str">
        <f aca="false">IFERROR(INDEX(종합!P$3:P$501,MATCH(ROW()-2,종합!$AD$3:$AD$501,0))&amp;"","")</f>
        <v/>
      </c>
      <c r="Q180" s="21" t="str">
        <f aca="false">IFERROR(INDEX(종합!Q$3:Q$501,MATCH(ROW()-2,종합!$AD$3:$AD$501,0))&amp;"","")</f>
        <v/>
      </c>
      <c r="R180" s="21" t="str">
        <f aca="false">IFERROR(INDEX(종합!R$3:R$501,MATCH(ROW()-2,종합!$AD$3:$AD$501,0))&amp;"","")</f>
        <v/>
      </c>
      <c r="S180" s="21" t="str">
        <f aca="false">IFERROR(INDEX(종합!S$3:S$501,MATCH(ROW()-2,종합!$AD$3:$AD$501,0))&amp;"","")</f>
        <v/>
      </c>
      <c r="T180" s="21" t="str">
        <f aca="false">IFERROR(INDEX(종합!T$3:T$501,MATCH(ROW()-2,종합!$AD$3:$AD$501,0))&amp;"","")</f>
        <v/>
      </c>
      <c r="U180" s="21" t="str">
        <f aca="false">IFERROR(INDEX(종합!U$3:U$501,MATCH(ROW()-2,종합!$AD$3:$AD$501,0))&amp;"","")</f>
        <v/>
      </c>
      <c r="V180" s="21" t="str">
        <f aca="false">IFERROR(INDEX(종합!V$3:V$501,MATCH(ROW()-2,종합!$AD$3:$AD$501,0))&amp;"","")</f>
        <v/>
      </c>
      <c r="W180" s="21" t="str">
        <f aca="false">IFERROR(INDEX(종합!W$3:W$501,MATCH(ROW()-2,종합!$AD$3:$AD$501,0))&amp;"","")</f>
        <v/>
      </c>
      <c r="X180" s="21" t="str">
        <f aca="false">IFERROR(INDEX(종합!X$3:X$501,MATCH(ROW()-2,종합!$AD$3:$AD$501,0))&amp;"","")</f>
        <v/>
      </c>
      <c r="Y180" s="21" t="str">
        <f aca="false">IFERROR(INDEX(종합!Y$3:Y$501,MATCH(ROW()-2,종합!$AD$3:$AD$501,0))&amp;"","")</f>
        <v/>
      </c>
      <c r="Z180" s="21" t="str">
        <f aca="false">IFERROR(INDEX(종합!Z$3:Z$501,MATCH(ROW()-2,종합!$AD$3:$AD$501,0))&amp;"","")</f>
        <v/>
      </c>
      <c r="AA180" s="23" t="str">
        <f aca="false">IFERROR(INDEX(종합!AA$3:AA$501,MATCH(ROW()-2,종합!$AD$3:$AD$501,0))&amp;"","")</f>
        <v/>
      </c>
    </row>
    <row r="181" customFormat="false" ht="16.5" hidden="false" customHeight="true" outlineLevel="0" collapsed="false">
      <c r="A181" s="18" t="str">
        <f aca="false">IF(B181="","",ROW()-2)</f>
        <v/>
      </c>
      <c r="B181" s="18" t="str">
        <f aca="false">IFERROR(INDEX(종합!B$3:B$501,MATCH(ROW()-2,종합!$AD$3:$AD$501,0))&amp;"","")</f>
        <v/>
      </c>
      <c r="C181" s="18" t="str">
        <f aca="false">IFERROR(INDEX(종합!C$3:C$501,MATCH(ROW()-2,종합!$AD$3:$AD$501,0))&amp;"","")</f>
        <v/>
      </c>
      <c r="D181" s="18" t="str">
        <f aca="false">IFERROR(INDEX(종합!D$3:D$501,MATCH(ROW()-2,종합!$AD$3:$AD$501,0))&amp;"","")</f>
        <v/>
      </c>
      <c r="E181" s="18" t="str">
        <f aca="false">IFERROR(INDEX(종합!E$3:E$501,MATCH(ROW()-2,종합!$AD$3:$AD$501,0))&amp;"","")</f>
        <v/>
      </c>
      <c r="F181" s="18" t="str">
        <f aca="false">IFERROR(INDEX(종합!F$3:F$501,MATCH(ROW()-2,종합!$AD$3:$AD$501,0))&amp;"","")</f>
        <v/>
      </c>
      <c r="G181" s="18" t="str">
        <f aca="false">IFERROR(INDEX(종합!G$3:G$501,MATCH(ROW()-2,종합!$AD$3:$AD$501,0))&amp;"","")</f>
        <v/>
      </c>
      <c r="H181" s="21" t="str">
        <f aca="false">IFERROR(INDEX(종합!H$3:H$501,MATCH(ROW()-2,종합!$AD$3:$AD$501,0))&amp;"","")</f>
        <v/>
      </c>
      <c r="I181" s="21" t="str">
        <f aca="false">IFERROR(INDEX(종합!I$3:I$501,MATCH(ROW()-2,종합!$AD$3:$AD$501,0))&amp;"","")</f>
        <v/>
      </c>
      <c r="J181" s="21" t="str">
        <f aca="false">IFERROR(INDEX(종합!J$3:J$501,MATCH(ROW()-2,종합!$AD$3:$AD$501,0))&amp;"","")</f>
        <v/>
      </c>
      <c r="K181" s="21" t="str">
        <f aca="false">IFERROR(INDEX(종합!K$3:K$501,MATCH(ROW()-2,종합!$AD$3:$AD$501,0))&amp;"","")</f>
        <v/>
      </c>
      <c r="L181" s="21" t="str">
        <f aca="false">IFERROR(INDEX(종합!L$3:L$501,MATCH(ROW()-2,종합!$AD$3:$AD$501,0))&amp;"","")</f>
        <v/>
      </c>
      <c r="M181" s="21" t="str">
        <f aca="false">IFERROR(INDEX(종합!M$3:M$501,MATCH(ROW()-2,종합!$AD$3:$AD$501,0))&amp;"","")</f>
        <v/>
      </c>
      <c r="N181" s="25" t="str">
        <f aca="false">IFERROR(INDEX(종합!N$3:N$501,MATCH(ROW()-2,종합!$AD$3:$AD$501,0))&amp;"","")</f>
        <v/>
      </c>
      <c r="O181" s="21" t="str">
        <f aca="false">IFERROR(INDEX(종합!O$3:O$501,MATCH(ROW()-2,종합!$AD$3:$AD$501,0))&amp;"","")</f>
        <v/>
      </c>
      <c r="P181" s="21" t="str">
        <f aca="false">IFERROR(INDEX(종합!P$3:P$501,MATCH(ROW()-2,종합!$AD$3:$AD$501,0))&amp;"","")</f>
        <v/>
      </c>
      <c r="Q181" s="21" t="str">
        <f aca="false">IFERROR(INDEX(종합!Q$3:Q$501,MATCH(ROW()-2,종합!$AD$3:$AD$501,0))&amp;"","")</f>
        <v/>
      </c>
      <c r="R181" s="21" t="str">
        <f aca="false">IFERROR(INDEX(종합!R$3:R$501,MATCH(ROW()-2,종합!$AD$3:$AD$501,0))&amp;"","")</f>
        <v/>
      </c>
      <c r="S181" s="21" t="str">
        <f aca="false">IFERROR(INDEX(종합!S$3:S$501,MATCH(ROW()-2,종합!$AD$3:$AD$501,0))&amp;"","")</f>
        <v/>
      </c>
      <c r="T181" s="21" t="str">
        <f aca="false">IFERROR(INDEX(종합!T$3:T$501,MATCH(ROW()-2,종합!$AD$3:$AD$501,0))&amp;"","")</f>
        <v/>
      </c>
      <c r="U181" s="21" t="str">
        <f aca="false">IFERROR(INDEX(종합!U$3:U$501,MATCH(ROW()-2,종합!$AD$3:$AD$501,0))&amp;"","")</f>
        <v/>
      </c>
      <c r="V181" s="21" t="str">
        <f aca="false">IFERROR(INDEX(종합!V$3:V$501,MATCH(ROW()-2,종합!$AD$3:$AD$501,0))&amp;"","")</f>
        <v/>
      </c>
      <c r="W181" s="21" t="str">
        <f aca="false">IFERROR(INDEX(종합!W$3:W$501,MATCH(ROW()-2,종합!$AD$3:$AD$501,0))&amp;"","")</f>
        <v/>
      </c>
      <c r="X181" s="21" t="str">
        <f aca="false">IFERROR(INDEX(종합!X$3:X$501,MATCH(ROW()-2,종합!$AD$3:$AD$501,0))&amp;"","")</f>
        <v/>
      </c>
      <c r="Y181" s="21" t="str">
        <f aca="false">IFERROR(INDEX(종합!Y$3:Y$501,MATCH(ROW()-2,종합!$AD$3:$AD$501,0))&amp;"","")</f>
        <v/>
      </c>
      <c r="Z181" s="21" t="str">
        <f aca="false">IFERROR(INDEX(종합!Z$3:Z$501,MATCH(ROW()-2,종합!$AD$3:$AD$501,0))&amp;"","")</f>
        <v/>
      </c>
      <c r="AA181" s="23" t="str">
        <f aca="false">IFERROR(INDEX(종합!AA$3:AA$501,MATCH(ROW()-2,종합!$AD$3:$AD$501,0))&amp;"","")</f>
        <v/>
      </c>
    </row>
    <row r="182" customFormat="false" ht="16.5" hidden="false" customHeight="true" outlineLevel="0" collapsed="false">
      <c r="A182" s="18" t="str">
        <f aca="false">IF(B182="","",ROW()-2)</f>
        <v/>
      </c>
      <c r="B182" s="18" t="str">
        <f aca="false">IFERROR(INDEX(종합!B$3:B$501,MATCH(ROW()-2,종합!$AD$3:$AD$501,0))&amp;"","")</f>
        <v/>
      </c>
      <c r="C182" s="18" t="str">
        <f aca="false">IFERROR(INDEX(종합!C$3:C$501,MATCH(ROW()-2,종합!$AD$3:$AD$501,0))&amp;"","")</f>
        <v/>
      </c>
      <c r="D182" s="18" t="str">
        <f aca="false">IFERROR(INDEX(종합!D$3:D$501,MATCH(ROW()-2,종합!$AD$3:$AD$501,0))&amp;"","")</f>
        <v/>
      </c>
      <c r="E182" s="18" t="str">
        <f aca="false">IFERROR(INDEX(종합!E$3:E$501,MATCH(ROW()-2,종합!$AD$3:$AD$501,0))&amp;"","")</f>
        <v/>
      </c>
      <c r="F182" s="18" t="str">
        <f aca="false">IFERROR(INDEX(종합!F$3:F$501,MATCH(ROW()-2,종합!$AD$3:$AD$501,0))&amp;"","")</f>
        <v/>
      </c>
      <c r="G182" s="18" t="str">
        <f aca="false">IFERROR(INDEX(종합!G$3:G$501,MATCH(ROW()-2,종합!$AD$3:$AD$501,0))&amp;"","")</f>
        <v/>
      </c>
      <c r="H182" s="21" t="str">
        <f aca="false">IFERROR(INDEX(종합!H$3:H$501,MATCH(ROW()-2,종합!$AD$3:$AD$501,0))&amp;"","")</f>
        <v/>
      </c>
      <c r="I182" s="21" t="str">
        <f aca="false">IFERROR(INDEX(종합!I$3:I$501,MATCH(ROW()-2,종합!$AD$3:$AD$501,0))&amp;"","")</f>
        <v/>
      </c>
      <c r="J182" s="21" t="str">
        <f aca="false">IFERROR(INDEX(종합!J$3:J$501,MATCH(ROW()-2,종합!$AD$3:$AD$501,0))&amp;"","")</f>
        <v/>
      </c>
      <c r="K182" s="21" t="str">
        <f aca="false">IFERROR(INDEX(종합!K$3:K$501,MATCH(ROW()-2,종합!$AD$3:$AD$501,0))&amp;"","")</f>
        <v/>
      </c>
      <c r="L182" s="21" t="str">
        <f aca="false">IFERROR(INDEX(종합!L$3:L$501,MATCH(ROW()-2,종합!$AD$3:$AD$501,0))&amp;"","")</f>
        <v/>
      </c>
      <c r="M182" s="21" t="str">
        <f aca="false">IFERROR(INDEX(종합!M$3:M$501,MATCH(ROW()-2,종합!$AD$3:$AD$501,0))&amp;"","")</f>
        <v/>
      </c>
      <c r="N182" s="25" t="str">
        <f aca="false">IFERROR(INDEX(종합!N$3:N$501,MATCH(ROW()-2,종합!$AD$3:$AD$501,0))&amp;"","")</f>
        <v/>
      </c>
      <c r="O182" s="21" t="str">
        <f aca="false">IFERROR(INDEX(종합!O$3:O$501,MATCH(ROW()-2,종합!$AD$3:$AD$501,0))&amp;"","")</f>
        <v/>
      </c>
      <c r="P182" s="21" t="str">
        <f aca="false">IFERROR(INDEX(종합!P$3:P$501,MATCH(ROW()-2,종합!$AD$3:$AD$501,0))&amp;"","")</f>
        <v/>
      </c>
      <c r="Q182" s="21" t="str">
        <f aca="false">IFERROR(INDEX(종합!Q$3:Q$501,MATCH(ROW()-2,종합!$AD$3:$AD$501,0))&amp;"","")</f>
        <v/>
      </c>
      <c r="R182" s="21" t="str">
        <f aca="false">IFERROR(INDEX(종합!R$3:R$501,MATCH(ROW()-2,종합!$AD$3:$AD$501,0))&amp;"","")</f>
        <v/>
      </c>
      <c r="S182" s="21" t="str">
        <f aca="false">IFERROR(INDEX(종합!S$3:S$501,MATCH(ROW()-2,종합!$AD$3:$AD$501,0))&amp;"","")</f>
        <v/>
      </c>
      <c r="T182" s="21" t="str">
        <f aca="false">IFERROR(INDEX(종합!T$3:T$501,MATCH(ROW()-2,종합!$AD$3:$AD$501,0))&amp;"","")</f>
        <v/>
      </c>
      <c r="U182" s="21" t="str">
        <f aca="false">IFERROR(INDEX(종합!U$3:U$501,MATCH(ROW()-2,종합!$AD$3:$AD$501,0))&amp;"","")</f>
        <v/>
      </c>
      <c r="V182" s="21" t="str">
        <f aca="false">IFERROR(INDEX(종합!V$3:V$501,MATCH(ROW()-2,종합!$AD$3:$AD$501,0))&amp;"","")</f>
        <v/>
      </c>
      <c r="W182" s="21" t="str">
        <f aca="false">IFERROR(INDEX(종합!W$3:W$501,MATCH(ROW()-2,종합!$AD$3:$AD$501,0))&amp;"","")</f>
        <v/>
      </c>
      <c r="X182" s="21" t="str">
        <f aca="false">IFERROR(INDEX(종합!X$3:X$501,MATCH(ROW()-2,종합!$AD$3:$AD$501,0))&amp;"","")</f>
        <v/>
      </c>
      <c r="Y182" s="21" t="str">
        <f aca="false">IFERROR(INDEX(종합!Y$3:Y$501,MATCH(ROW()-2,종합!$AD$3:$AD$501,0))&amp;"","")</f>
        <v/>
      </c>
      <c r="Z182" s="21" t="str">
        <f aca="false">IFERROR(INDEX(종합!Z$3:Z$501,MATCH(ROW()-2,종합!$AD$3:$AD$501,0))&amp;"","")</f>
        <v/>
      </c>
      <c r="AA182" s="23" t="str">
        <f aca="false">IFERROR(INDEX(종합!AA$3:AA$501,MATCH(ROW()-2,종합!$AD$3:$AD$501,0))&amp;"","")</f>
        <v/>
      </c>
    </row>
    <row r="183" customFormat="false" ht="16.5" hidden="false" customHeight="true" outlineLevel="0" collapsed="false">
      <c r="A183" s="18" t="str">
        <f aca="false">IF(B183="","",ROW()-2)</f>
        <v/>
      </c>
      <c r="B183" s="18" t="str">
        <f aca="false">IFERROR(INDEX(종합!B$3:B$501,MATCH(ROW()-2,종합!$AD$3:$AD$501,0))&amp;"","")</f>
        <v/>
      </c>
      <c r="C183" s="18" t="str">
        <f aca="false">IFERROR(INDEX(종합!C$3:C$501,MATCH(ROW()-2,종합!$AD$3:$AD$501,0))&amp;"","")</f>
        <v/>
      </c>
      <c r="D183" s="18" t="str">
        <f aca="false">IFERROR(INDEX(종합!D$3:D$501,MATCH(ROW()-2,종합!$AD$3:$AD$501,0))&amp;"","")</f>
        <v/>
      </c>
      <c r="E183" s="18" t="str">
        <f aca="false">IFERROR(INDEX(종합!E$3:E$501,MATCH(ROW()-2,종합!$AD$3:$AD$501,0))&amp;"","")</f>
        <v/>
      </c>
      <c r="F183" s="18" t="str">
        <f aca="false">IFERROR(INDEX(종합!F$3:F$501,MATCH(ROW()-2,종합!$AD$3:$AD$501,0))&amp;"","")</f>
        <v/>
      </c>
      <c r="G183" s="18" t="str">
        <f aca="false">IFERROR(INDEX(종합!G$3:G$501,MATCH(ROW()-2,종합!$AD$3:$AD$501,0))&amp;"","")</f>
        <v/>
      </c>
      <c r="H183" s="21" t="str">
        <f aca="false">IFERROR(INDEX(종합!H$3:H$501,MATCH(ROW()-2,종합!$AD$3:$AD$501,0))&amp;"","")</f>
        <v/>
      </c>
      <c r="I183" s="21" t="str">
        <f aca="false">IFERROR(INDEX(종합!I$3:I$501,MATCH(ROW()-2,종합!$AD$3:$AD$501,0))&amp;"","")</f>
        <v/>
      </c>
      <c r="J183" s="21" t="str">
        <f aca="false">IFERROR(INDEX(종합!J$3:J$501,MATCH(ROW()-2,종합!$AD$3:$AD$501,0))&amp;"","")</f>
        <v/>
      </c>
      <c r="K183" s="21" t="str">
        <f aca="false">IFERROR(INDEX(종합!K$3:K$501,MATCH(ROW()-2,종합!$AD$3:$AD$501,0))&amp;"","")</f>
        <v/>
      </c>
      <c r="L183" s="21" t="str">
        <f aca="false">IFERROR(INDEX(종합!L$3:L$501,MATCH(ROW()-2,종합!$AD$3:$AD$501,0))&amp;"","")</f>
        <v/>
      </c>
      <c r="M183" s="21" t="str">
        <f aca="false">IFERROR(INDEX(종합!M$3:M$501,MATCH(ROW()-2,종합!$AD$3:$AD$501,0))&amp;"","")</f>
        <v/>
      </c>
      <c r="N183" s="25" t="str">
        <f aca="false">IFERROR(INDEX(종합!N$3:N$501,MATCH(ROW()-2,종합!$AD$3:$AD$501,0))&amp;"","")</f>
        <v/>
      </c>
      <c r="O183" s="21" t="str">
        <f aca="false">IFERROR(INDEX(종합!O$3:O$501,MATCH(ROW()-2,종합!$AD$3:$AD$501,0))&amp;"","")</f>
        <v/>
      </c>
      <c r="P183" s="21" t="str">
        <f aca="false">IFERROR(INDEX(종합!P$3:P$501,MATCH(ROW()-2,종합!$AD$3:$AD$501,0))&amp;"","")</f>
        <v/>
      </c>
      <c r="Q183" s="21" t="str">
        <f aca="false">IFERROR(INDEX(종합!Q$3:Q$501,MATCH(ROW()-2,종합!$AD$3:$AD$501,0))&amp;"","")</f>
        <v/>
      </c>
      <c r="R183" s="21" t="str">
        <f aca="false">IFERROR(INDEX(종합!R$3:R$501,MATCH(ROW()-2,종합!$AD$3:$AD$501,0))&amp;"","")</f>
        <v/>
      </c>
      <c r="S183" s="21" t="str">
        <f aca="false">IFERROR(INDEX(종합!S$3:S$501,MATCH(ROW()-2,종합!$AD$3:$AD$501,0))&amp;"","")</f>
        <v/>
      </c>
      <c r="T183" s="21" t="str">
        <f aca="false">IFERROR(INDEX(종합!T$3:T$501,MATCH(ROW()-2,종합!$AD$3:$AD$501,0))&amp;"","")</f>
        <v/>
      </c>
      <c r="U183" s="21" t="str">
        <f aca="false">IFERROR(INDEX(종합!U$3:U$501,MATCH(ROW()-2,종합!$AD$3:$AD$501,0))&amp;"","")</f>
        <v/>
      </c>
      <c r="V183" s="21" t="str">
        <f aca="false">IFERROR(INDEX(종합!V$3:V$501,MATCH(ROW()-2,종합!$AD$3:$AD$501,0))&amp;"","")</f>
        <v/>
      </c>
      <c r="W183" s="21" t="str">
        <f aca="false">IFERROR(INDEX(종합!W$3:W$501,MATCH(ROW()-2,종합!$AD$3:$AD$501,0))&amp;"","")</f>
        <v/>
      </c>
      <c r="X183" s="21" t="str">
        <f aca="false">IFERROR(INDEX(종합!X$3:X$501,MATCH(ROW()-2,종합!$AD$3:$AD$501,0))&amp;"","")</f>
        <v/>
      </c>
      <c r="Y183" s="21" t="str">
        <f aca="false">IFERROR(INDEX(종합!Y$3:Y$501,MATCH(ROW()-2,종합!$AD$3:$AD$501,0))&amp;"","")</f>
        <v/>
      </c>
      <c r="Z183" s="21" t="str">
        <f aca="false">IFERROR(INDEX(종합!Z$3:Z$501,MATCH(ROW()-2,종합!$AD$3:$AD$501,0))&amp;"","")</f>
        <v/>
      </c>
      <c r="AA183" s="23" t="str">
        <f aca="false">IFERROR(INDEX(종합!AA$3:AA$501,MATCH(ROW()-2,종합!$AD$3:$AD$501,0))&amp;"","")</f>
        <v/>
      </c>
    </row>
    <row r="184" customFormat="false" ht="16.5" hidden="false" customHeight="true" outlineLevel="0" collapsed="false">
      <c r="A184" s="18" t="str">
        <f aca="false">IF(B184="","",ROW()-2)</f>
        <v/>
      </c>
      <c r="B184" s="18" t="str">
        <f aca="false">IFERROR(INDEX(종합!B$3:B$501,MATCH(ROW()-2,종합!$AD$3:$AD$501,0))&amp;"","")</f>
        <v/>
      </c>
      <c r="C184" s="18" t="str">
        <f aca="false">IFERROR(INDEX(종합!C$3:C$501,MATCH(ROW()-2,종합!$AD$3:$AD$501,0))&amp;"","")</f>
        <v/>
      </c>
      <c r="D184" s="18" t="str">
        <f aca="false">IFERROR(INDEX(종합!D$3:D$501,MATCH(ROW()-2,종합!$AD$3:$AD$501,0))&amp;"","")</f>
        <v/>
      </c>
      <c r="E184" s="18" t="str">
        <f aca="false">IFERROR(INDEX(종합!E$3:E$501,MATCH(ROW()-2,종합!$AD$3:$AD$501,0))&amp;"","")</f>
        <v/>
      </c>
      <c r="F184" s="18" t="str">
        <f aca="false">IFERROR(INDEX(종합!F$3:F$501,MATCH(ROW()-2,종합!$AD$3:$AD$501,0))&amp;"","")</f>
        <v/>
      </c>
      <c r="G184" s="18" t="str">
        <f aca="false">IFERROR(INDEX(종합!G$3:G$501,MATCH(ROW()-2,종합!$AD$3:$AD$501,0))&amp;"","")</f>
        <v/>
      </c>
      <c r="H184" s="21" t="str">
        <f aca="false">IFERROR(INDEX(종합!H$3:H$501,MATCH(ROW()-2,종합!$AD$3:$AD$501,0))&amp;"","")</f>
        <v/>
      </c>
      <c r="I184" s="21" t="str">
        <f aca="false">IFERROR(INDEX(종합!I$3:I$501,MATCH(ROW()-2,종합!$AD$3:$AD$501,0))&amp;"","")</f>
        <v/>
      </c>
      <c r="J184" s="21" t="str">
        <f aca="false">IFERROR(INDEX(종합!J$3:J$501,MATCH(ROW()-2,종합!$AD$3:$AD$501,0))&amp;"","")</f>
        <v/>
      </c>
      <c r="K184" s="21" t="str">
        <f aca="false">IFERROR(INDEX(종합!K$3:K$501,MATCH(ROW()-2,종합!$AD$3:$AD$501,0))&amp;"","")</f>
        <v/>
      </c>
      <c r="L184" s="21" t="str">
        <f aca="false">IFERROR(INDEX(종합!L$3:L$501,MATCH(ROW()-2,종합!$AD$3:$AD$501,0))&amp;"","")</f>
        <v/>
      </c>
      <c r="M184" s="21" t="str">
        <f aca="false">IFERROR(INDEX(종합!M$3:M$501,MATCH(ROW()-2,종합!$AD$3:$AD$501,0))&amp;"","")</f>
        <v/>
      </c>
      <c r="N184" s="25" t="str">
        <f aca="false">IFERROR(INDEX(종합!N$3:N$501,MATCH(ROW()-2,종합!$AD$3:$AD$501,0))&amp;"","")</f>
        <v/>
      </c>
      <c r="O184" s="21" t="str">
        <f aca="false">IFERROR(INDEX(종합!O$3:O$501,MATCH(ROW()-2,종합!$AD$3:$AD$501,0))&amp;"","")</f>
        <v/>
      </c>
      <c r="P184" s="21" t="str">
        <f aca="false">IFERROR(INDEX(종합!P$3:P$501,MATCH(ROW()-2,종합!$AD$3:$AD$501,0))&amp;"","")</f>
        <v/>
      </c>
      <c r="Q184" s="21" t="str">
        <f aca="false">IFERROR(INDEX(종합!Q$3:Q$501,MATCH(ROW()-2,종합!$AD$3:$AD$501,0))&amp;"","")</f>
        <v/>
      </c>
      <c r="R184" s="21" t="str">
        <f aca="false">IFERROR(INDEX(종합!R$3:R$501,MATCH(ROW()-2,종합!$AD$3:$AD$501,0))&amp;"","")</f>
        <v/>
      </c>
      <c r="S184" s="21" t="str">
        <f aca="false">IFERROR(INDEX(종합!S$3:S$501,MATCH(ROW()-2,종합!$AD$3:$AD$501,0))&amp;"","")</f>
        <v/>
      </c>
      <c r="T184" s="21" t="str">
        <f aca="false">IFERROR(INDEX(종합!T$3:T$501,MATCH(ROW()-2,종합!$AD$3:$AD$501,0))&amp;"","")</f>
        <v/>
      </c>
      <c r="U184" s="21" t="str">
        <f aca="false">IFERROR(INDEX(종합!U$3:U$501,MATCH(ROW()-2,종합!$AD$3:$AD$501,0))&amp;"","")</f>
        <v/>
      </c>
      <c r="V184" s="21" t="str">
        <f aca="false">IFERROR(INDEX(종합!V$3:V$501,MATCH(ROW()-2,종합!$AD$3:$AD$501,0))&amp;"","")</f>
        <v/>
      </c>
      <c r="W184" s="21" t="str">
        <f aca="false">IFERROR(INDEX(종합!W$3:W$501,MATCH(ROW()-2,종합!$AD$3:$AD$501,0))&amp;"","")</f>
        <v/>
      </c>
      <c r="X184" s="21" t="str">
        <f aca="false">IFERROR(INDEX(종합!X$3:X$501,MATCH(ROW()-2,종합!$AD$3:$AD$501,0))&amp;"","")</f>
        <v/>
      </c>
      <c r="Y184" s="21" t="str">
        <f aca="false">IFERROR(INDEX(종합!Y$3:Y$501,MATCH(ROW()-2,종합!$AD$3:$AD$501,0))&amp;"","")</f>
        <v/>
      </c>
      <c r="Z184" s="21" t="str">
        <f aca="false">IFERROR(INDEX(종합!Z$3:Z$501,MATCH(ROW()-2,종합!$AD$3:$AD$501,0))&amp;"","")</f>
        <v/>
      </c>
      <c r="AA184" s="23" t="str">
        <f aca="false">IFERROR(INDEX(종합!AA$3:AA$501,MATCH(ROW()-2,종합!$AD$3:$AD$501,0))&amp;"","")</f>
        <v/>
      </c>
    </row>
    <row r="185" customFormat="false" ht="16.5" hidden="false" customHeight="true" outlineLevel="0" collapsed="false">
      <c r="A185" s="18" t="str">
        <f aca="false">IF(B185="","",ROW()-2)</f>
        <v/>
      </c>
      <c r="B185" s="18" t="str">
        <f aca="false">IFERROR(INDEX(종합!B$3:B$501,MATCH(ROW()-2,종합!$AD$3:$AD$501,0))&amp;"","")</f>
        <v/>
      </c>
      <c r="C185" s="18" t="str">
        <f aca="false">IFERROR(INDEX(종합!C$3:C$501,MATCH(ROW()-2,종합!$AD$3:$AD$501,0))&amp;"","")</f>
        <v/>
      </c>
      <c r="D185" s="18" t="str">
        <f aca="false">IFERROR(INDEX(종합!D$3:D$501,MATCH(ROW()-2,종합!$AD$3:$AD$501,0))&amp;"","")</f>
        <v/>
      </c>
      <c r="E185" s="18" t="str">
        <f aca="false">IFERROR(INDEX(종합!E$3:E$501,MATCH(ROW()-2,종합!$AD$3:$AD$501,0))&amp;"","")</f>
        <v/>
      </c>
      <c r="F185" s="18" t="str">
        <f aca="false">IFERROR(INDEX(종합!F$3:F$501,MATCH(ROW()-2,종합!$AD$3:$AD$501,0))&amp;"","")</f>
        <v/>
      </c>
      <c r="G185" s="18" t="str">
        <f aca="false">IFERROR(INDEX(종합!G$3:G$501,MATCH(ROW()-2,종합!$AD$3:$AD$501,0))&amp;"","")</f>
        <v/>
      </c>
      <c r="H185" s="21" t="str">
        <f aca="false">IFERROR(INDEX(종합!H$3:H$501,MATCH(ROW()-2,종합!$AD$3:$AD$501,0))&amp;"","")</f>
        <v/>
      </c>
      <c r="I185" s="21" t="str">
        <f aca="false">IFERROR(INDEX(종합!I$3:I$501,MATCH(ROW()-2,종합!$AD$3:$AD$501,0))&amp;"","")</f>
        <v/>
      </c>
      <c r="J185" s="21" t="str">
        <f aca="false">IFERROR(INDEX(종합!J$3:J$501,MATCH(ROW()-2,종합!$AD$3:$AD$501,0))&amp;"","")</f>
        <v/>
      </c>
      <c r="K185" s="21" t="str">
        <f aca="false">IFERROR(INDEX(종합!K$3:K$501,MATCH(ROW()-2,종합!$AD$3:$AD$501,0))&amp;"","")</f>
        <v/>
      </c>
      <c r="L185" s="21" t="str">
        <f aca="false">IFERROR(INDEX(종합!L$3:L$501,MATCH(ROW()-2,종합!$AD$3:$AD$501,0))&amp;"","")</f>
        <v/>
      </c>
      <c r="M185" s="21" t="str">
        <f aca="false">IFERROR(INDEX(종합!M$3:M$501,MATCH(ROW()-2,종합!$AD$3:$AD$501,0))&amp;"","")</f>
        <v/>
      </c>
      <c r="N185" s="25" t="str">
        <f aca="false">IFERROR(INDEX(종합!N$3:N$501,MATCH(ROW()-2,종합!$AD$3:$AD$501,0))&amp;"","")</f>
        <v/>
      </c>
      <c r="O185" s="21" t="str">
        <f aca="false">IFERROR(INDEX(종합!O$3:O$501,MATCH(ROW()-2,종합!$AD$3:$AD$501,0))&amp;"","")</f>
        <v/>
      </c>
      <c r="P185" s="21" t="str">
        <f aca="false">IFERROR(INDEX(종합!P$3:P$501,MATCH(ROW()-2,종합!$AD$3:$AD$501,0))&amp;"","")</f>
        <v/>
      </c>
      <c r="Q185" s="21" t="str">
        <f aca="false">IFERROR(INDEX(종합!Q$3:Q$501,MATCH(ROW()-2,종합!$AD$3:$AD$501,0))&amp;"","")</f>
        <v/>
      </c>
      <c r="R185" s="21" t="str">
        <f aca="false">IFERROR(INDEX(종합!R$3:R$501,MATCH(ROW()-2,종합!$AD$3:$AD$501,0))&amp;"","")</f>
        <v/>
      </c>
      <c r="S185" s="21" t="str">
        <f aca="false">IFERROR(INDEX(종합!S$3:S$501,MATCH(ROW()-2,종합!$AD$3:$AD$501,0))&amp;"","")</f>
        <v/>
      </c>
      <c r="T185" s="21" t="str">
        <f aca="false">IFERROR(INDEX(종합!T$3:T$501,MATCH(ROW()-2,종합!$AD$3:$AD$501,0))&amp;"","")</f>
        <v/>
      </c>
      <c r="U185" s="21" t="str">
        <f aca="false">IFERROR(INDEX(종합!U$3:U$501,MATCH(ROW()-2,종합!$AD$3:$AD$501,0))&amp;"","")</f>
        <v/>
      </c>
      <c r="V185" s="21" t="str">
        <f aca="false">IFERROR(INDEX(종합!V$3:V$501,MATCH(ROW()-2,종합!$AD$3:$AD$501,0))&amp;"","")</f>
        <v/>
      </c>
      <c r="W185" s="21" t="str">
        <f aca="false">IFERROR(INDEX(종합!W$3:W$501,MATCH(ROW()-2,종합!$AD$3:$AD$501,0))&amp;"","")</f>
        <v/>
      </c>
      <c r="X185" s="21" t="str">
        <f aca="false">IFERROR(INDEX(종합!X$3:X$501,MATCH(ROW()-2,종합!$AD$3:$AD$501,0))&amp;"","")</f>
        <v/>
      </c>
      <c r="Y185" s="21" t="str">
        <f aca="false">IFERROR(INDEX(종합!Y$3:Y$501,MATCH(ROW()-2,종합!$AD$3:$AD$501,0))&amp;"","")</f>
        <v/>
      </c>
      <c r="Z185" s="21" t="str">
        <f aca="false">IFERROR(INDEX(종합!Z$3:Z$501,MATCH(ROW()-2,종합!$AD$3:$AD$501,0))&amp;"","")</f>
        <v/>
      </c>
      <c r="AA185" s="23" t="str">
        <f aca="false">IFERROR(INDEX(종합!AA$3:AA$501,MATCH(ROW()-2,종합!$AD$3:$AD$501,0))&amp;"","")</f>
        <v/>
      </c>
    </row>
    <row r="186" customFormat="false" ht="16.5" hidden="false" customHeight="true" outlineLevel="0" collapsed="false">
      <c r="A186" s="18" t="str">
        <f aca="false">IF(B186="","",ROW()-2)</f>
        <v/>
      </c>
      <c r="B186" s="18" t="str">
        <f aca="false">IFERROR(INDEX(종합!B$3:B$501,MATCH(ROW()-2,종합!$AD$3:$AD$501,0))&amp;"","")</f>
        <v/>
      </c>
      <c r="C186" s="18" t="str">
        <f aca="false">IFERROR(INDEX(종합!C$3:C$501,MATCH(ROW()-2,종합!$AD$3:$AD$501,0))&amp;"","")</f>
        <v/>
      </c>
      <c r="D186" s="18" t="str">
        <f aca="false">IFERROR(INDEX(종합!D$3:D$501,MATCH(ROW()-2,종합!$AD$3:$AD$501,0))&amp;"","")</f>
        <v/>
      </c>
      <c r="E186" s="18" t="str">
        <f aca="false">IFERROR(INDEX(종합!E$3:E$501,MATCH(ROW()-2,종합!$AD$3:$AD$501,0))&amp;"","")</f>
        <v/>
      </c>
      <c r="F186" s="18" t="str">
        <f aca="false">IFERROR(INDEX(종합!F$3:F$501,MATCH(ROW()-2,종합!$AD$3:$AD$501,0))&amp;"","")</f>
        <v/>
      </c>
      <c r="G186" s="18" t="str">
        <f aca="false">IFERROR(INDEX(종합!G$3:G$501,MATCH(ROW()-2,종합!$AD$3:$AD$501,0))&amp;"","")</f>
        <v/>
      </c>
      <c r="H186" s="21" t="str">
        <f aca="false">IFERROR(INDEX(종합!H$3:H$501,MATCH(ROW()-2,종합!$AD$3:$AD$501,0))&amp;"","")</f>
        <v/>
      </c>
      <c r="I186" s="21" t="str">
        <f aca="false">IFERROR(INDEX(종합!I$3:I$501,MATCH(ROW()-2,종합!$AD$3:$AD$501,0))&amp;"","")</f>
        <v/>
      </c>
      <c r="J186" s="21" t="str">
        <f aca="false">IFERROR(INDEX(종합!J$3:J$501,MATCH(ROW()-2,종합!$AD$3:$AD$501,0))&amp;"","")</f>
        <v/>
      </c>
      <c r="K186" s="21" t="str">
        <f aca="false">IFERROR(INDEX(종합!K$3:K$501,MATCH(ROW()-2,종합!$AD$3:$AD$501,0))&amp;"","")</f>
        <v/>
      </c>
      <c r="L186" s="21" t="str">
        <f aca="false">IFERROR(INDEX(종합!L$3:L$501,MATCH(ROW()-2,종합!$AD$3:$AD$501,0))&amp;"","")</f>
        <v/>
      </c>
      <c r="M186" s="21" t="str">
        <f aca="false">IFERROR(INDEX(종합!M$3:M$501,MATCH(ROW()-2,종합!$AD$3:$AD$501,0))&amp;"","")</f>
        <v/>
      </c>
      <c r="N186" s="25" t="str">
        <f aca="false">IFERROR(INDEX(종합!N$3:N$501,MATCH(ROW()-2,종합!$AD$3:$AD$501,0))&amp;"","")</f>
        <v/>
      </c>
      <c r="O186" s="21" t="str">
        <f aca="false">IFERROR(INDEX(종합!O$3:O$501,MATCH(ROW()-2,종합!$AD$3:$AD$501,0))&amp;"","")</f>
        <v/>
      </c>
      <c r="P186" s="21" t="str">
        <f aca="false">IFERROR(INDEX(종합!P$3:P$501,MATCH(ROW()-2,종합!$AD$3:$AD$501,0))&amp;"","")</f>
        <v/>
      </c>
      <c r="Q186" s="21" t="str">
        <f aca="false">IFERROR(INDEX(종합!Q$3:Q$501,MATCH(ROW()-2,종합!$AD$3:$AD$501,0))&amp;"","")</f>
        <v/>
      </c>
      <c r="R186" s="21" t="str">
        <f aca="false">IFERROR(INDEX(종합!R$3:R$501,MATCH(ROW()-2,종합!$AD$3:$AD$501,0))&amp;"","")</f>
        <v/>
      </c>
      <c r="S186" s="21" t="str">
        <f aca="false">IFERROR(INDEX(종합!S$3:S$501,MATCH(ROW()-2,종합!$AD$3:$AD$501,0))&amp;"","")</f>
        <v/>
      </c>
      <c r="T186" s="21" t="str">
        <f aca="false">IFERROR(INDEX(종합!T$3:T$501,MATCH(ROW()-2,종합!$AD$3:$AD$501,0))&amp;"","")</f>
        <v/>
      </c>
      <c r="U186" s="21" t="str">
        <f aca="false">IFERROR(INDEX(종합!U$3:U$501,MATCH(ROW()-2,종합!$AD$3:$AD$501,0))&amp;"","")</f>
        <v/>
      </c>
      <c r="V186" s="21" t="str">
        <f aca="false">IFERROR(INDEX(종합!V$3:V$501,MATCH(ROW()-2,종합!$AD$3:$AD$501,0))&amp;"","")</f>
        <v/>
      </c>
      <c r="W186" s="21" t="str">
        <f aca="false">IFERROR(INDEX(종합!W$3:W$501,MATCH(ROW()-2,종합!$AD$3:$AD$501,0))&amp;"","")</f>
        <v/>
      </c>
      <c r="X186" s="21" t="str">
        <f aca="false">IFERROR(INDEX(종합!X$3:X$501,MATCH(ROW()-2,종합!$AD$3:$AD$501,0))&amp;"","")</f>
        <v/>
      </c>
      <c r="Y186" s="21" t="str">
        <f aca="false">IFERROR(INDEX(종합!Y$3:Y$501,MATCH(ROW()-2,종합!$AD$3:$AD$501,0))&amp;"","")</f>
        <v/>
      </c>
      <c r="Z186" s="21" t="str">
        <f aca="false">IFERROR(INDEX(종합!Z$3:Z$501,MATCH(ROW()-2,종합!$AD$3:$AD$501,0))&amp;"","")</f>
        <v/>
      </c>
      <c r="AA186" s="23" t="str">
        <f aca="false">IFERROR(INDEX(종합!AA$3:AA$501,MATCH(ROW()-2,종합!$AD$3:$AD$501,0))&amp;"","")</f>
        <v/>
      </c>
    </row>
    <row r="187" customFormat="false" ht="16.5" hidden="false" customHeight="true" outlineLevel="0" collapsed="false">
      <c r="A187" s="18" t="str">
        <f aca="false">IF(B187="","",ROW()-2)</f>
        <v/>
      </c>
      <c r="B187" s="18" t="str">
        <f aca="false">IFERROR(INDEX(종합!B$3:B$501,MATCH(ROW()-2,종합!$AD$3:$AD$501,0))&amp;"","")</f>
        <v/>
      </c>
      <c r="C187" s="18" t="str">
        <f aca="false">IFERROR(INDEX(종합!C$3:C$501,MATCH(ROW()-2,종합!$AD$3:$AD$501,0))&amp;"","")</f>
        <v/>
      </c>
      <c r="D187" s="18" t="str">
        <f aca="false">IFERROR(INDEX(종합!D$3:D$501,MATCH(ROW()-2,종합!$AD$3:$AD$501,0))&amp;"","")</f>
        <v/>
      </c>
      <c r="E187" s="18" t="str">
        <f aca="false">IFERROR(INDEX(종합!E$3:E$501,MATCH(ROW()-2,종합!$AD$3:$AD$501,0))&amp;"","")</f>
        <v/>
      </c>
      <c r="F187" s="18" t="str">
        <f aca="false">IFERROR(INDEX(종합!F$3:F$501,MATCH(ROW()-2,종합!$AD$3:$AD$501,0))&amp;"","")</f>
        <v/>
      </c>
      <c r="G187" s="18" t="str">
        <f aca="false">IFERROR(INDEX(종합!G$3:G$501,MATCH(ROW()-2,종합!$AD$3:$AD$501,0))&amp;"","")</f>
        <v/>
      </c>
      <c r="H187" s="21" t="str">
        <f aca="false">IFERROR(INDEX(종합!H$3:H$501,MATCH(ROW()-2,종합!$AD$3:$AD$501,0))&amp;"","")</f>
        <v/>
      </c>
      <c r="I187" s="21" t="str">
        <f aca="false">IFERROR(INDEX(종합!I$3:I$501,MATCH(ROW()-2,종합!$AD$3:$AD$501,0))&amp;"","")</f>
        <v/>
      </c>
      <c r="J187" s="21" t="str">
        <f aca="false">IFERROR(INDEX(종합!J$3:J$501,MATCH(ROW()-2,종합!$AD$3:$AD$501,0))&amp;"","")</f>
        <v/>
      </c>
      <c r="K187" s="21" t="str">
        <f aca="false">IFERROR(INDEX(종합!K$3:K$501,MATCH(ROW()-2,종합!$AD$3:$AD$501,0))&amp;"","")</f>
        <v/>
      </c>
      <c r="L187" s="21" t="str">
        <f aca="false">IFERROR(INDEX(종합!L$3:L$501,MATCH(ROW()-2,종합!$AD$3:$AD$501,0))&amp;"","")</f>
        <v/>
      </c>
      <c r="M187" s="21" t="str">
        <f aca="false">IFERROR(INDEX(종합!M$3:M$501,MATCH(ROW()-2,종합!$AD$3:$AD$501,0))&amp;"","")</f>
        <v/>
      </c>
      <c r="N187" s="25" t="str">
        <f aca="false">IFERROR(INDEX(종합!N$3:N$501,MATCH(ROW()-2,종합!$AD$3:$AD$501,0))&amp;"","")</f>
        <v/>
      </c>
      <c r="O187" s="21" t="str">
        <f aca="false">IFERROR(INDEX(종합!O$3:O$501,MATCH(ROW()-2,종합!$AD$3:$AD$501,0))&amp;"","")</f>
        <v/>
      </c>
      <c r="P187" s="21" t="str">
        <f aca="false">IFERROR(INDEX(종합!P$3:P$501,MATCH(ROW()-2,종합!$AD$3:$AD$501,0))&amp;"","")</f>
        <v/>
      </c>
      <c r="Q187" s="21" t="str">
        <f aca="false">IFERROR(INDEX(종합!Q$3:Q$501,MATCH(ROW()-2,종합!$AD$3:$AD$501,0))&amp;"","")</f>
        <v/>
      </c>
      <c r="R187" s="21" t="str">
        <f aca="false">IFERROR(INDEX(종합!R$3:R$501,MATCH(ROW()-2,종합!$AD$3:$AD$501,0))&amp;"","")</f>
        <v/>
      </c>
      <c r="S187" s="21" t="str">
        <f aca="false">IFERROR(INDEX(종합!S$3:S$501,MATCH(ROW()-2,종합!$AD$3:$AD$501,0))&amp;"","")</f>
        <v/>
      </c>
      <c r="T187" s="21" t="str">
        <f aca="false">IFERROR(INDEX(종합!T$3:T$501,MATCH(ROW()-2,종합!$AD$3:$AD$501,0))&amp;"","")</f>
        <v/>
      </c>
      <c r="U187" s="21" t="str">
        <f aca="false">IFERROR(INDEX(종합!U$3:U$501,MATCH(ROW()-2,종합!$AD$3:$AD$501,0))&amp;"","")</f>
        <v/>
      </c>
      <c r="V187" s="21" t="str">
        <f aca="false">IFERROR(INDEX(종합!V$3:V$501,MATCH(ROW()-2,종합!$AD$3:$AD$501,0))&amp;"","")</f>
        <v/>
      </c>
      <c r="W187" s="21" t="str">
        <f aca="false">IFERROR(INDEX(종합!W$3:W$501,MATCH(ROW()-2,종합!$AD$3:$AD$501,0))&amp;"","")</f>
        <v/>
      </c>
      <c r="X187" s="21" t="str">
        <f aca="false">IFERROR(INDEX(종합!X$3:X$501,MATCH(ROW()-2,종합!$AD$3:$AD$501,0))&amp;"","")</f>
        <v/>
      </c>
      <c r="Y187" s="21" t="str">
        <f aca="false">IFERROR(INDEX(종합!Y$3:Y$501,MATCH(ROW()-2,종합!$AD$3:$AD$501,0))&amp;"","")</f>
        <v/>
      </c>
      <c r="Z187" s="21" t="str">
        <f aca="false">IFERROR(INDEX(종합!Z$3:Z$501,MATCH(ROW()-2,종합!$AD$3:$AD$501,0))&amp;"","")</f>
        <v/>
      </c>
      <c r="AA187" s="23" t="str">
        <f aca="false">IFERROR(INDEX(종합!AA$3:AA$501,MATCH(ROW()-2,종합!$AD$3:$AD$501,0))&amp;"","")</f>
        <v/>
      </c>
    </row>
    <row r="188" customFormat="false" ht="16.5" hidden="false" customHeight="true" outlineLevel="0" collapsed="false">
      <c r="A188" s="18" t="str">
        <f aca="false">IF(B188="","",ROW()-2)</f>
        <v/>
      </c>
      <c r="B188" s="18" t="str">
        <f aca="false">IFERROR(INDEX(종합!B$3:B$501,MATCH(ROW()-2,종합!$AD$3:$AD$501,0))&amp;"","")</f>
        <v/>
      </c>
      <c r="C188" s="18" t="str">
        <f aca="false">IFERROR(INDEX(종합!C$3:C$501,MATCH(ROW()-2,종합!$AD$3:$AD$501,0))&amp;"","")</f>
        <v/>
      </c>
      <c r="D188" s="18" t="str">
        <f aca="false">IFERROR(INDEX(종합!D$3:D$501,MATCH(ROW()-2,종합!$AD$3:$AD$501,0))&amp;"","")</f>
        <v/>
      </c>
      <c r="E188" s="18" t="str">
        <f aca="false">IFERROR(INDEX(종합!E$3:E$501,MATCH(ROW()-2,종합!$AD$3:$AD$501,0))&amp;"","")</f>
        <v/>
      </c>
      <c r="F188" s="18" t="str">
        <f aca="false">IFERROR(INDEX(종합!F$3:F$501,MATCH(ROW()-2,종합!$AD$3:$AD$501,0))&amp;"","")</f>
        <v/>
      </c>
      <c r="G188" s="18" t="str">
        <f aca="false">IFERROR(INDEX(종합!G$3:G$501,MATCH(ROW()-2,종합!$AD$3:$AD$501,0))&amp;"","")</f>
        <v/>
      </c>
      <c r="H188" s="21" t="str">
        <f aca="false">IFERROR(INDEX(종합!H$3:H$501,MATCH(ROW()-2,종합!$AD$3:$AD$501,0))&amp;"","")</f>
        <v/>
      </c>
      <c r="I188" s="21" t="str">
        <f aca="false">IFERROR(INDEX(종합!I$3:I$501,MATCH(ROW()-2,종합!$AD$3:$AD$501,0))&amp;"","")</f>
        <v/>
      </c>
      <c r="J188" s="21" t="str">
        <f aca="false">IFERROR(INDEX(종합!J$3:J$501,MATCH(ROW()-2,종합!$AD$3:$AD$501,0))&amp;"","")</f>
        <v/>
      </c>
      <c r="K188" s="21" t="str">
        <f aca="false">IFERROR(INDEX(종합!K$3:K$501,MATCH(ROW()-2,종합!$AD$3:$AD$501,0))&amp;"","")</f>
        <v/>
      </c>
      <c r="L188" s="21" t="str">
        <f aca="false">IFERROR(INDEX(종합!L$3:L$501,MATCH(ROW()-2,종합!$AD$3:$AD$501,0))&amp;"","")</f>
        <v/>
      </c>
      <c r="M188" s="21" t="str">
        <f aca="false">IFERROR(INDEX(종합!M$3:M$501,MATCH(ROW()-2,종합!$AD$3:$AD$501,0))&amp;"","")</f>
        <v/>
      </c>
      <c r="N188" s="25" t="str">
        <f aca="false">IFERROR(INDEX(종합!N$3:N$501,MATCH(ROW()-2,종합!$AD$3:$AD$501,0))&amp;"","")</f>
        <v/>
      </c>
      <c r="O188" s="21" t="str">
        <f aca="false">IFERROR(INDEX(종합!O$3:O$501,MATCH(ROW()-2,종합!$AD$3:$AD$501,0))&amp;"","")</f>
        <v/>
      </c>
      <c r="P188" s="21" t="str">
        <f aca="false">IFERROR(INDEX(종합!P$3:P$501,MATCH(ROW()-2,종합!$AD$3:$AD$501,0))&amp;"","")</f>
        <v/>
      </c>
      <c r="Q188" s="21" t="str">
        <f aca="false">IFERROR(INDEX(종합!Q$3:Q$501,MATCH(ROW()-2,종합!$AD$3:$AD$501,0))&amp;"","")</f>
        <v/>
      </c>
      <c r="R188" s="21" t="str">
        <f aca="false">IFERROR(INDEX(종합!R$3:R$501,MATCH(ROW()-2,종합!$AD$3:$AD$501,0))&amp;"","")</f>
        <v/>
      </c>
      <c r="S188" s="21" t="str">
        <f aca="false">IFERROR(INDEX(종합!S$3:S$501,MATCH(ROW()-2,종합!$AD$3:$AD$501,0))&amp;"","")</f>
        <v/>
      </c>
      <c r="T188" s="21" t="str">
        <f aca="false">IFERROR(INDEX(종합!T$3:T$501,MATCH(ROW()-2,종합!$AD$3:$AD$501,0))&amp;"","")</f>
        <v/>
      </c>
      <c r="U188" s="21" t="str">
        <f aca="false">IFERROR(INDEX(종합!U$3:U$501,MATCH(ROW()-2,종합!$AD$3:$AD$501,0))&amp;"","")</f>
        <v/>
      </c>
      <c r="V188" s="21" t="str">
        <f aca="false">IFERROR(INDEX(종합!V$3:V$501,MATCH(ROW()-2,종합!$AD$3:$AD$501,0))&amp;"","")</f>
        <v/>
      </c>
      <c r="W188" s="21" t="str">
        <f aca="false">IFERROR(INDEX(종합!W$3:W$501,MATCH(ROW()-2,종합!$AD$3:$AD$501,0))&amp;"","")</f>
        <v/>
      </c>
      <c r="X188" s="21" t="str">
        <f aca="false">IFERROR(INDEX(종합!X$3:X$501,MATCH(ROW()-2,종합!$AD$3:$AD$501,0))&amp;"","")</f>
        <v/>
      </c>
      <c r="Y188" s="21" t="str">
        <f aca="false">IFERROR(INDEX(종합!Y$3:Y$501,MATCH(ROW()-2,종합!$AD$3:$AD$501,0))&amp;"","")</f>
        <v/>
      </c>
      <c r="Z188" s="21" t="str">
        <f aca="false">IFERROR(INDEX(종합!Z$3:Z$501,MATCH(ROW()-2,종합!$AD$3:$AD$501,0))&amp;"","")</f>
        <v/>
      </c>
      <c r="AA188" s="23" t="str">
        <f aca="false">IFERROR(INDEX(종합!AA$3:AA$501,MATCH(ROW()-2,종합!$AD$3:$AD$501,0))&amp;"","")</f>
        <v/>
      </c>
    </row>
    <row r="189" customFormat="false" ht="16.5" hidden="false" customHeight="true" outlineLevel="0" collapsed="false">
      <c r="A189" s="18" t="str">
        <f aca="false">IF(B189="","",ROW()-2)</f>
        <v/>
      </c>
      <c r="B189" s="18" t="str">
        <f aca="false">IFERROR(INDEX(종합!B$3:B$501,MATCH(ROW()-2,종합!$AD$3:$AD$501,0))&amp;"","")</f>
        <v/>
      </c>
      <c r="C189" s="18" t="str">
        <f aca="false">IFERROR(INDEX(종합!C$3:C$501,MATCH(ROW()-2,종합!$AD$3:$AD$501,0))&amp;"","")</f>
        <v/>
      </c>
      <c r="D189" s="18" t="str">
        <f aca="false">IFERROR(INDEX(종합!D$3:D$501,MATCH(ROW()-2,종합!$AD$3:$AD$501,0))&amp;"","")</f>
        <v/>
      </c>
      <c r="E189" s="18" t="str">
        <f aca="false">IFERROR(INDEX(종합!E$3:E$501,MATCH(ROW()-2,종합!$AD$3:$AD$501,0))&amp;"","")</f>
        <v/>
      </c>
      <c r="F189" s="18" t="str">
        <f aca="false">IFERROR(INDEX(종합!F$3:F$501,MATCH(ROW()-2,종합!$AD$3:$AD$501,0))&amp;"","")</f>
        <v/>
      </c>
      <c r="G189" s="18" t="str">
        <f aca="false">IFERROR(INDEX(종합!G$3:G$501,MATCH(ROW()-2,종합!$AD$3:$AD$501,0))&amp;"","")</f>
        <v/>
      </c>
      <c r="H189" s="21" t="str">
        <f aca="false">IFERROR(INDEX(종합!H$3:H$501,MATCH(ROW()-2,종합!$AD$3:$AD$501,0))&amp;"","")</f>
        <v/>
      </c>
      <c r="I189" s="21" t="str">
        <f aca="false">IFERROR(INDEX(종합!I$3:I$501,MATCH(ROW()-2,종합!$AD$3:$AD$501,0))&amp;"","")</f>
        <v/>
      </c>
      <c r="J189" s="21" t="str">
        <f aca="false">IFERROR(INDEX(종합!J$3:J$501,MATCH(ROW()-2,종합!$AD$3:$AD$501,0))&amp;"","")</f>
        <v/>
      </c>
      <c r="K189" s="21" t="str">
        <f aca="false">IFERROR(INDEX(종합!K$3:K$501,MATCH(ROW()-2,종합!$AD$3:$AD$501,0))&amp;"","")</f>
        <v/>
      </c>
      <c r="L189" s="21" t="str">
        <f aca="false">IFERROR(INDEX(종합!L$3:L$501,MATCH(ROW()-2,종합!$AD$3:$AD$501,0))&amp;"","")</f>
        <v/>
      </c>
      <c r="M189" s="21" t="str">
        <f aca="false">IFERROR(INDEX(종합!M$3:M$501,MATCH(ROW()-2,종합!$AD$3:$AD$501,0))&amp;"","")</f>
        <v/>
      </c>
      <c r="N189" s="25" t="str">
        <f aca="false">IFERROR(INDEX(종합!N$3:N$501,MATCH(ROW()-2,종합!$AD$3:$AD$501,0))&amp;"","")</f>
        <v/>
      </c>
      <c r="O189" s="21" t="str">
        <f aca="false">IFERROR(INDEX(종합!O$3:O$501,MATCH(ROW()-2,종합!$AD$3:$AD$501,0))&amp;"","")</f>
        <v/>
      </c>
      <c r="P189" s="21" t="str">
        <f aca="false">IFERROR(INDEX(종합!P$3:P$501,MATCH(ROW()-2,종합!$AD$3:$AD$501,0))&amp;"","")</f>
        <v/>
      </c>
      <c r="Q189" s="21" t="str">
        <f aca="false">IFERROR(INDEX(종합!Q$3:Q$501,MATCH(ROW()-2,종합!$AD$3:$AD$501,0))&amp;"","")</f>
        <v/>
      </c>
      <c r="R189" s="21" t="str">
        <f aca="false">IFERROR(INDEX(종합!R$3:R$501,MATCH(ROW()-2,종합!$AD$3:$AD$501,0))&amp;"","")</f>
        <v/>
      </c>
      <c r="S189" s="21" t="str">
        <f aca="false">IFERROR(INDEX(종합!S$3:S$501,MATCH(ROW()-2,종합!$AD$3:$AD$501,0))&amp;"","")</f>
        <v/>
      </c>
      <c r="T189" s="21" t="str">
        <f aca="false">IFERROR(INDEX(종합!T$3:T$501,MATCH(ROW()-2,종합!$AD$3:$AD$501,0))&amp;"","")</f>
        <v/>
      </c>
      <c r="U189" s="21" t="str">
        <f aca="false">IFERROR(INDEX(종합!U$3:U$501,MATCH(ROW()-2,종합!$AD$3:$AD$501,0))&amp;"","")</f>
        <v/>
      </c>
      <c r="V189" s="21" t="str">
        <f aca="false">IFERROR(INDEX(종합!V$3:V$501,MATCH(ROW()-2,종합!$AD$3:$AD$501,0))&amp;"","")</f>
        <v/>
      </c>
      <c r="W189" s="21" t="str">
        <f aca="false">IFERROR(INDEX(종합!W$3:W$501,MATCH(ROW()-2,종합!$AD$3:$AD$501,0))&amp;"","")</f>
        <v/>
      </c>
      <c r="X189" s="21" t="str">
        <f aca="false">IFERROR(INDEX(종합!X$3:X$501,MATCH(ROW()-2,종합!$AD$3:$AD$501,0))&amp;"","")</f>
        <v/>
      </c>
      <c r="Y189" s="21" t="str">
        <f aca="false">IFERROR(INDEX(종합!Y$3:Y$501,MATCH(ROW()-2,종합!$AD$3:$AD$501,0))&amp;"","")</f>
        <v/>
      </c>
      <c r="Z189" s="21" t="str">
        <f aca="false">IFERROR(INDEX(종합!Z$3:Z$501,MATCH(ROW()-2,종합!$AD$3:$AD$501,0))&amp;"","")</f>
        <v/>
      </c>
      <c r="AA189" s="23" t="str">
        <f aca="false">IFERROR(INDEX(종합!AA$3:AA$501,MATCH(ROW()-2,종합!$AD$3:$AD$501,0))&amp;"","")</f>
        <v/>
      </c>
    </row>
    <row r="190" customFormat="false" ht="16.5" hidden="false" customHeight="true" outlineLevel="0" collapsed="false">
      <c r="A190" s="18" t="str">
        <f aca="false">IF(B190="","",ROW()-2)</f>
        <v/>
      </c>
      <c r="B190" s="18" t="str">
        <f aca="false">IFERROR(INDEX(종합!B$3:B$501,MATCH(ROW()-2,종합!$AD$3:$AD$501,0))&amp;"","")</f>
        <v/>
      </c>
      <c r="C190" s="18" t="str">
        <f aca="false">IFERROR(INDEX(종합!C$3:C$501,MATCH(ROW()-2,종합!$AD$3:$AD$501,0))&amp;"","")</f>
        <v/>
      </c>
      <c r="D190" s="18" t="str">
        <f aca="false">IFERROR(INDEX(종합!D$3:D$501,MATCH(ROW()-2,종합!$AD$3:$AD$501,0))&amp;"","")</f>
        <v/>
      </c>
      <c r="E190" s="18" t="str">
        <f aca="false">IFERROR(INDEX(종합!E$3:E$501,MATCH(ROW()-2,종합!$AD$3:$AD$501,0))&amp;"","")</f>
        <v/>
      </c>
      <c r="F190" s="18" t="str">
        <f aca="false">IFERROR(INDEX(종합!F$3:F$501,MATCH(ROW()-2,종합!$AD$3:$AD$501,0))&amp;"","")</f>
        <v/>
      </c>
      <c r="G190" s="18" t="str">
        <f aca="false">IFERROR(INDEX(종합!G$3:G$501,MATCH(ROW()-2,종합!$AD$3:$AD$501,0))&amp;"","")</f>
        <v/>
      </c>
      <c r="H190" s="21" t="str">
        <f aca="false">IFERROR(INDEX(종합!H$3:H$501,MATCH(ROW()-2,종합!$AD$3:$AD$501,0))&amp;"","")</f>
        <v/>
      </c>
      <c r="I190" s="21" t="str">
        <f aca="false">IFERROR(INDEX(종합!I$3:I$501,MATCH(ROW()-2,종합!$AD$3:$AD$501,0))&amp;"","")</f>
        <v/>
      </c>
      <c r="J190" s="21" t="str">
        <f aca="false">IFERROR(INDEX(종합!J$3:J$501,MATCH(ROW()-2,종합!$AD$3:$AD$501,0))&amp;"","")</f>
        <v/>
      </c>
      <c r="K190" s="21" t="str">
        <f aca="false">IFERROR(INDEX(종합!K$3:K$501,MATCH(ROW()-2,종합!$AD$3:$AD$501,0))&amp;"","")</f>
        <v/>
      </c>
      <c r="L190" s="21" t="str">
        <f aca="false">IFERROR(INDEX(종합!L$3:L$501,MATCH(ROW()-2,종합!$AD$3:$AD$501,0))&amp;"","")</f>
        <v/>
      </c>
      <c r="M190" s="21" t="str">
        <f aca="false">IFERROR(INDEX(종합!M$3:M$501,MATCH(ROW()-2,종합!$AD$3:$AD$501,0))&amp;"","")</f>
        <v/>
      </c>
      <c r="N190" s="25" t="str">
        <f aca="false">IFERROR(INDEX(종합!N$3:N$501,MATCH(ROW()-2,종합!$AD$3:$AD$501,0))&amp;"","")</f>
        <v/>
      </c>
      <c r="O190" s="21" t="str">
        <f aca="false">IFERROR(INDEX(종합!O$3:O$501,MATCH(ROW()-2,종합!$AD$3:$AD$501,0))&amp;"","")</f>
        <v/>
      </c>
      <c r="P190" s="21" t="str">
        <f aca="false">IFERROR(INDEX(종합!P$3:P$501,MATCH(ROW()-2,종합!$AD$3:$AD$501,0))&amp;"","")</f>
        <v/>
      </c>
      <c r="Q190" s="21" t="str">
        <f aca="false">IFERROR(INDEX(종합!Q$3:Q$501,MATCH(ROW()-2,종합!$AD$3:$AD$501,0))&amp;"","")</f>
        <v/>
      </c>
      <c r="R190" s="21" t="str">
        <f aca="false">IFERROR(INDEX(종합!R$3:R$501,MATCH(ROW()-2,종합!$AD$3:$AD$501,0))&amp;"","")</f>
        <v/>
      </c>
      <c r="S190" s="21" t="str">
        <f aca="false">IFERROR(INDEX(종합!S$3:S$501,MATCH(ROW()-2,종합!$AD$3:$AD$501,0))&amp;"","")</f>
        <v/>
      </c>
      <c r="T190" s="21" t="str">
        <f aca="false">IFERROR(INDEX(종합!T$3:T$501,MATCH(ROW()-2,종합!$AD$3:$AD$501,0))&amp;"","")</f>
        <v/>
      </c>
      <c r="U190" s="21" t="str">
        <f aca="false">IFERROR(INDEX(종합!U$3:U$501,MATCH(ROW()-2,종합!$AD$3:$AD$501,0))&amp;"","")</f>
        <v/>
      </c>
      <c r="V190" s="21" t="str">
        <f aca="false">IFERROR(INDEX(종합!V$3:V$501,MATCH(ROW()-2,종합!$AD$3:$AD$501,0))&amp;"","")</f>
        <v/>
      </c>
      <c r="W190" s="21" t="str">
        <f aca="false">IFERROR(INDEX(종합!W$3:W$501,MATCH(ROW()-2,종합!$AD$3:$AD$501,0))&amp;"","")</f>
        <v/>
      </c>
      <c r="X190" s="21" t="str">
        <f aca="false">IFERROR(INDEX(종합!X$3:X$501,MATCH(ROW()-2,종합!$AD$3:$AD$501,0))&amp;"","")</f>
        <v/>
      </c>
      <c r="Y190" s="21" t="str">
        <f aca="false">IFERROR(INDEX(종합!Y$3:Y$501,MATCH(ROW()-2,종합!$AD$3:$AD$501,0))&amp;"","")</f>
        <v/>
      </c>
      <c r="Z190" s="21" t="str">
        <f aca="false">IFERROR(INDEX(종합!Z$3:Z$501,MATCH(ROW()-2,종합!$AD$3:$AD$501,0))&amp;"","")</f>
        <v/>
      </c>
      <c r="AA190" s="23" t="str">
        <f aca="false">IFERROR(INDEX(종합!AA$3:AA$501,MATCH(ROW()-2,종합!$AD$3:$AD$501,0))&amp;"","")</f>
        <v/>
      </c>
    </row>
    <row r="191" customFormat="false" ht="16.5" hidden="false" customHeight="true" outlineLevel="0" collapsed="false">
      <c r="A191" s="18" t="str">
        <f aca="false">IF(B191="","",ROW()-2)</f>
        <v/>
      </c>
      <c r="B191" s="18" t="str">
        <f aca="false">IFERROR(INDEX(종합!B$3:B$501,MATCH(ROW()-2,종합!$AD$3:$AD$501,0))&amp;"","")</f>
        <v/>
      </c>
      <c r="C191" s="18" t="str">
        <f aca="false">IFERROR(INDEX(종합!C$3:C$501,MATCH(ROW()-2,종합!$AD$3:$AD$501,0))&amp;"","")</f>
        <v/>
      </c>
      <c r="D191" s="18" t="str">
        <f aca="false">IFERROR(INDEX(종합!D$3:D$501,MATCH(ROW()-2,종합!$AD$3:$AD$501,0))&amp;"","")</f>
        <v/>
      </c>
      <c r="E191" s="18" t="str">
        <f aca="false">IFERROR(INDEX(종합!E$3:E$501,MATCH(ROW()-2,종합!$AD$3:$AD$501,0))&amp;"","")</f>
        <v/>
      </c>
      <c r="F191" s="18" t="str">
        <f aca="false">IFERROR(INDEX(종합!F$3:F$501,MATCH(ROW()-2,종합!$AD$3:$AD$501,0))&amp;"","")</f>
        <v/>
      </c>
      <c r="G191" s="18" t="str">
        <f aca="false">IFERROR(INDEX(종합!G$3:G$501,MATCH(ROW()-2,종합!$AD$3:$AD$501,0))&amp;"","")</f>
        <v/>
      </c>
      <c r="H191" s="21" t="str">
        <f aca="false">IFERROR(INDEX(종합!H$3:H$501,MATCH(ROW()-2,종합!$AD$3:$AD$501,0))&amp;"","")</f>
        <v/>
      </c>
      <c r="I191" s="21" t="str">
        <f aca="false">IFERROR(INDEX(종합!I$3:I$501,MATCH(ROW()-2,종합!$AD$3:$AD$501,0))&amp;"","")</f>
        <v/>
      </c>
      <c r="J191" s="21" t="str">
        <f aca="false">IFERROR(INDEX(종합!J$3:J$501,MATCH(ROW()-2,종합!$AD$3:$AD$501,0))&amp;"","")</f>
        <v/>
      </c>
      <c r="K191" s="21" t="str">
        <f aca="false">IFERROR(INDEX(종합!K$3:K$501,MATCH(ROW()-2,종합!$AD$3:$AD$501,0))&amp;"","")</f>
        <v/>
      </c>
      <c r="L191" s="21" t="str">
        <f aca="false">IFERROR(INDEX(종합!L$3:L$501,MATCH(ROW()-2,종합!$AD$3:$AD$501,0))&amp;"","")</f>
        <v/>
      </c>
      <c r="M191" s="21" t="str">
        <f aca="false">IFERROR(INDEX(종합!M$3:M$501,MATCH(ROW()-2,종합!$AD$3:$AD$501,0))&amp;"","")</f>
        <v/>
      </c>
      <c r="N191" s="25" t="str">
        <f aca="false">IFERROR(INDEX(종합!N$3:N$501,MATCH(ROW()-2,종합!$AD$3:$AD$501,0))&amp;"","")</f>
        <v/>
      </c>
      <c r="O191" s="21" t="str">
        <f aca="false">IFERROR(INDEX(종합!O$3:O$501,MATCH(ROW()-2,종합!$AD$3:$AD$501,0))&amp;"","")</f>
        <v/>
      </c>
      <c r="P191" s="21" t="str">
        <f aca="false">IFERROR(INDEX(종합!P$3:P$501,MATCH(ROW()-2,종합!$AD$3:$AD$501,0))&amp;"","")</f>
        <v/>
      </c>
      <c r="Q191" s="21" t="str">
        <f aca="false">IFERROR(INDEX(종합!Q$3:Q$501,MATCH(ROW()-2,종합!$AD$3:$AD$501,0))&amp;"","")</f>
        <v/>
      </c>
      <c r="R191" s="21" t="str">
        <f aca="false">IFERROR(INDEX(종합!R$3:R$501,MATCH(ROW()-2,종합!$AD$3:$AD$501,0))&amp;"","")</f>
        <v/>
      </c>
      <c r="S191" s="21" t="str">
        <f aca="false">IFERROR(INDEX(종합!S$3:S$501,MATCH(ROW()-2,종합!$AD$3:$AD$501,0))&amp;"","")</f>
        <v/>
      </c>
      <c r="T191" s="21" t="str">
        <f aca="false">IFERROR(INDEX(종합!T$3:T$501,MATCH(ROW()-2,종합!$AD$3:$AD$501,0))&amp;"","")</f>
        <v/>
      </c>
      <c r="U191" s="21" t="str">
        <f aca="false">IFERROR(INDEX(종합!U$3:U$501,MATCH(ROW()-2,종합!$AD$3:$AD$501,0))&amp;"","")</f>
        <v/>
      </c>
      <c r="V191" s="21" t="str">
        <f aca="false">IFERROR(INDEX(종합!V$3:V$501,MATCH(ROW()-2,종합!$AD$3:$AD$501,0))&amp;"","")</f>
        <v/>
      </c>
      <c r="W191" s="21" t="str">
        <f aca="false">IFERROR(INDEX(종합!W$3:W$501,MATCH(ROW()-2,종합!$AD$3:$AD$501,0))&amp;"","")</f>
        <v/>
      </c>
      <c r="X191" s="21" t="str">
        <f aca="false">IFERROR(INDEX(종합!X$3:X$501,MATCH(ROW()-2,종합!$AD$3:$AD$501,0))&amp;"","")</f>
        <v/>
      </c>
      <c r="Y191" s="21" t="str">
        <f aca="false">IFERROR(INDEX(종합!Y$3:Y$501,MATCH(ROW()-2,종합!$AD$3:$AD$501,0))&amp;"","")</f>
        <v/>
      </c>
      <c r="Z191" s="21" t="str">
        <f aca="false">IFERROR(INDEX(종합!Z$3:Z$501,MATCH(ROW()-2,종합!$AD$3:$AD$501,0))&amp;"","")</f>
        <v/>
      </c>
      <c r="AA191" s="23" t="str">
        <f aca="false">IFERROR(INDEX(종합!AA$3:AA$501,MATCH(ROW()-2,종합!$AD$3:$AD$501,0))&amp;"","")</f>
        <v/>
      </c>
    </row>
    <row r="192" customFormat="false" ht="16.5" hidden="false" customHeight="true" outlineLevel="0" collapsed="false">
      <c r="A192" s="18" t="str">
        <f aca="false">IF(B192="","",ROW()-2)</f>
        <v/>
      </c>
      <c r="B192" s="18" t="str">
        <f aca="false">IFERROR(INDEX(종합!B$3:B$501,MATCH(ROW()-2,종합!$AD$3:$AD$501,0))&amp;"","")</f>
        <v/>
      </c>
      <c r="C192" s="18" t="str">
        <f aca="false">IFERROR(INDEX(종합!C$3:C$501,MATCH(ROW()-2,종합!$AD$3:$AD$501,0))&amp;"","")</f>
        <v/>
      </c>
      <c r="D192" s="18" t="str">
        <f aca="false">IFERROR(INDEX(종합!D$3:D$501,MATCH(ROW()-2,종합!$AD$3:$AD$501,0))&amp;"","")</f>
        <v/>
      </c>
      <c r="E192" s="18" t="str">
        <f aca="false">IFERROR(INDEX(종합!E$3:E$501,MATCH(ROW()-2,종합!$AD$3:$AD$501,0))&amp;"","")</f>
        <v/>
      </c>
      <c r="F192" s="18" t="str">
        <f aca="false">IFERROR(INDEX(종합!F$3:F$501,MATCH(ROW()-2,종합!$AD$3:$AD$501,0))&amp;"","")</f>
        <v/>
      </c>
      <c r="G192" s="18" t="str">
        <f aca="false">IFERROR(INDEX(종합!G$3:G$501,MATCH(ROW()-2,종합!$AD$3:$AD$501,0))&amp;"","")</f>
        <v/>
      </c>
      <c r="H192" s="21" t="str">
        <f aca="false">IFERROR(INDEX(종합!H$3:H$501,MATCH(ROW()-2,종합!$AD$3:$AD$501,0))&amp;"","")</f>
        <v/>
      </c>
      <c r="I192" s="21" t="str">
        <f aca="false">IFERROR(INDEX(종합!I$3:I$501,MATCH(ROW()-2,종합!$AD$3:$AD$501,0))&amp;"","")</f>
        <v/>
      </c>
      <c r="J192" s="21" t="str">
        <f aca="false">IFERROR(INDEX(종합!J$3:J$501,MATCH(ROW()-2,종합!$AD$3:$AD$501,0))&amp;"","")</f>
        <v/>
      </c>
      <c r="K192" s="21" t="str">
        <f aca="false">IFERROR(INDEX(종합!K$3:K$501,MATCH(ROW()-2,종합!$AD$3:$AD$501,0))&amp;"","")</f>
        <v/>
      </c>
      <c r="L192" s="21" t="str">
        <f aca="false">IFERROR(INDEX(종합!L$3:L$501,MATCH(ROW()-2,종합!$AD$3:$AD$501,0))&amp;"","")</f>
        <v/>
      </c>
      <c r="M192" s="21" t="str">
        <f aca="false">IFERROR(INDEX(종합!M$3:M$501,MATCH(ROW()-2,종합!$AD$3:$AD$501,0))&amp;"","")</f>
        <v/>
      </c>
      <c r="N192" s="25" t="str">
        <f aca="false">IFERROR(INDEX(종합!N$3:N$501,MATCH(ROW()-2,종합!$AD$3:$AD$501,0))&amp;"","")</f>
        <v/>
      </c>
      <c r="O192" s="21" t="str">
        <f aca="false">IFERROR(INDEX(종합!O$3:O$501,MATCH(ROW()-2,종합!$AD$3:$AD$501,0))&amp;"","")</f>
        <v/>
      </c>
      <c r="P192" s="21" t="str">
        <f aca="false">IFERROR(INDEX(종합!P$3:P$501,MATCH(ROW()-2,종합!$AD$3:$AD$501,0))&amp;"","")</f>
        <v/>
      </c>
      <c r="Q192" s="21" t="str">
        <f aca="false">IFERROR(INDEX(종합!Q$3:Q$501,MATCH(ROW()-2,종합!$AD$3:$AD$501,0))&amp;"","")</f>
        <v/>
      </c>
      <c r="R192" s="21" t="str">
        <f aca="false">IFERROR(INDEX(종합!R$3:R$501,MATCH(ROW()-2,종합!$AD$3:$AD$501,0))&amp;"","")</f>
        <v/>
      </c>
      <c r="S192" s="21" t="str">
        <f aca="false">IFERROR(INDEX(종합!S$3:S$501,MATCH(ROW()-2,종합!$AD$3:$AD$501,0))&amp;"","")</f>
        <v/>
      </c>
      <c r="T192" s="21" t="str">
        <f aca="false">IFERROR(INDEX(종합!T$3:T$501,MATCH(ROW()-2,종합!$AD$3:$AD$501,0))&amp;"","")</f>
        <v/>
      </c>
      <c r="U192" s="21" t="str">
        <f aca="false">IFERROR(INDEX(종합!U$3:U$501,MATCH(ROW()-2,종합!$AD$3:$AD$501,0))&amp;"","")</f>
        <v/>
      </c>
      <c r="V192" s="21" t="str">
        <f aca="false">IFERROR(INDEX(종합!V$3:V$501,MATCH(ROW()-2,종합!$AD$3:$AD$501,0))&amp;"","")</f>
        <v/>
      </c>
      <c r="W192" s="21" t="str">
        <f aca="false">IFERROR(INDEX(종합!W$3:W$501,MATCH(ROW()-2,종합!$AD$3:$AD$501,0))&amp;"","")</f>
        <v/>
      </c>
      <c r="X192" s="21" t="str">
        <f aca="false">IFERROR(INDEX(종합!X$3:X$501,MATCH(ROW()-2,종합!$AD$3:$AD$501,0))&amp;"","")</f>
        <v/>
      </c>
      <c r="Y192" s="21" t="str">
        <f aca="false">IFERROR(INDEX(종합!Y$3:Y$501,MATCH(ROW()-2,종합!$AD$3:$AD$501,0))&amp;"","")</f>
        <v/>
      </c>
      <c r="Z192" s="21" t="str">
        <f aca="false">IFERROR(INDEX(종합!Z$3:Z$501,MATCH(ROW()-2,종합!$AD$3:$AD$501,0))&amp;"","")</f>
        <v/>
      </c>
      <c r="AA192" s="23" t="str">
        <f aca="false">IFERROR(INDEX(종합!AA$3:AA$501,MATCH(ROW()-2,종합!$AD$3:$AD$501,0))&amp;"","")</f>
        <v/>
      </c>
    </row>
    <row r="193" customFormat="false" ht="16.5" hidden="false" customHeight="true" outlineLevel="0" collapsed="false">
      <c r="A193" s="18" t="str">
        <f aca="false">IF(B193="","",ROW()-2)</f>
        <v/>
      </c>
      <c r="B193" s="18" t="str">
        <f aca="false">IFERROR(INDEX(종합!B$3:B$501,MATCH(ROW()-2,종합!$AD$3:$AD$501,0))&amp;"","")</f>
        <v/>
      </c>
      <c r="C193" s="18" t="str">
        <f aca="false">IFERROR(INDEX(종합!C$3:C$501,MATCH(ROW()-2,종합!$AD$3:$AD$501,0))&amp;"","")</f>
        <v/>
      </c>
      <c r="D193" s="18" t="str">
        <f aca="false">IFERROR(INDEX(종합!D$3:D$501,MATCH(ROW()-2,종합!$AD$3:$AD$501,0))&amp;"","")</f>
        <v/>
      </c>
      <c r="E193" s="18" t="str">
        <f aca="false">IFERROR(INDEX(종합!E$3:E$501,MATCH(ROW()-2,종합!$AD$3:$AD$501,0))&amp;"","")</f>
        <v/>
      </c>
      <c r="F193" s="18" t="str">
        <f aca="false">IFERROR(INDEX(종합!F$3:F$501,MATCH(ROW()-2,종합!$AD$3:$AD$501,0))&amp;"","")</f>
        <v/>
      </c>
      <c r="G193" s="18" t="str">
        <f aca="false">IFERROR(INDEX(종합!G$3:G$501,MATCH(ROW()-2,종합!$AD$3:$AD$501,0))&amp;"","")</f>
        <v/>
      </c>
      <c r="H193" s="21" t="str">
        <f aca="false">IFERROR(INDEX(종합!H$3:H$501,MATCH(ROW()-2,종합!$AD$3:$AD$501,0))&amp;"","")</f>
        <v/>
      </c>
      <c r="I193" s="21" t="str">
        <f aca="false">IFERROR(INDEX(종합!I$3:I$501,MATCH(ROW()-2,종합!$AD$3:$AD$501,0))&amp;"","")</f>
        <v/>
      </c>
      <c r="J193" s="21" t="str">
        <f aca="false">IFERROR(INDEX(종합!J$3:J$501,MATCH(ROW()-2,종합!$AD$3:$AD$501,0))&amp;"","")</f>
        <v/>
      </c>
      <c r="K193" s="21" t="str">
        <f aca="false">IFERROR(INDEX(종합!K$3:K$501,MATCH(ROW()-2,종합!$AD$3:$AD$501,0))&amp;"","")</f>
        <v/>
      </c>
      <c r="L193" s="21" t="str">
        <f aca="false">IFERROR(INDEX(종합!L$3:L$501,MATCH(ROW()-2,종합!$AD$3:$AD$501,0))&amp;"","")</f>
        <v/>
      </c>
      <c r="M193" s="21" t="str">
        <f aca="false">IFERROR(INDEX(종합!M$3:M$501,MATCH(ROW()-2,종합!$AD$3:$AD$501,0))&amp;"","")</f>
        <v/>
      </c>
      <c r="N193" s="25" t="str">
        <f aca="false">IFERROR(INDEX(종합!N$3:N$501,MATCH(ROW()-2,종합!$AD$3:$AD$501,0))&amp;"","")</f>
        <v/>
      </c>
      <c r="O193" s="21" t="str">
        <f aca="false">IFERROR(INDEX(종합!O$3:O$501,MATCH(ROW()-2,종합!$AD$3:$AD$501,0))&amp;"","")</f>
        <v/>
      </c>
      <c r="P193" s="21" t="str">
        <f aca="false">IFERROR(INDEX(종합!P$3:P$501,MATCH(ROW()-2,종합!$AD$3:$AD$501,0))&amp;"","")</f>
        <v/>
      </c>
      <c r="Q193" s="21" t="str">
        <f aca="false">IFERROR(INDEX(종합!Q$3:Q$501,MATCH(ROW()-2,종합!$AD$3:$AD$501,0))&amp;"","")</f>
        <v/>
      </c>
      <c r="R193" s="21" t="str">
        <f aca="false">IFERROR(INDEX(종합!R$3:R$501,MATCH(ROW()-2,종합!$AD$3:$AD$501,0))&amp;"","")</f>
        <v/>
      </c>
      <c r="S193" s="21" t="str">
        <f aca="false">IFERROR(INDEX(종합!S$3:S$501,MATCH(ROW()-2,종합!$AD$3:$AD$501,0))&amp;"","")</f>
        <v/>
      </c>
      <c r="T193" s="21" t="str">
        <f aca="false">IFERROR(INDEX(종합!T$3:T$501,MATCH(ROW()-2,종합!$AD$3:$AD$501,0))&amp;"","")</f>
        <v/>
      </c>
      <c r="U193" s="21" t="str">
        <f aca="false">IFERROR(INDEX(종합!U$3:U$501,MATCH(ROW()-2,종합!$AD$3:$AD$501,0))&amp;"","")</f>
        <v/>
      </c>
      <c r="V193" s="21" t="str">
        <f aca="false">IFERROR(INDEX(종합!V$3:V$501,MATCH(ROW()-2,종합!$AD$3:$AD$501,0))&amp;"","")</f>
        <v/>
      </c>
      <c r="W193" s="21" t="str">
        <f aca="false">IFERROR(INDEX(종합!W$3:W$501,MATCH(ROW()-2,종합!$AD$3:$AD$501,0))&amp;"","")</f>
        <v/>
      </c>
      <c r="X193" s="21" t="str">
        <f aca="false">IFERROR(INDEX(종합!X$3:X$501,MATCH(ROW()-2,종합!$AD$3:$AD$501,0))&amp;"","")</f>
        <v/>
      </c>
      <c r="Y193" s="21" t="str">
        <f aca="false">IFERROR(INDEX(종합!Y$3:Y$501,MATCH(ROW()-2,종합!$AD$3:$AD$501,0))&amp;"","")</f>
        <v/>
      </c>
      <c r="Z193" s="21" t="str">
        <f aca="false">IFERROR(INDEX(종합!Z$3:Z$501,MATCH(ROW()-2,종합!$AD$3:$AD$501,0))&amp;"","")</f>
        <v/>
      </c>
      <c r="AA193" s="23" t="str">
        <f aca="false">IFERROR(INDEX(종합!AA$3:AA$501,MATCH(ROW()-2,종합!$AD$3:$AD$501,0))&amp;"","")</f>
        <v/>
      </c>
    </row>
    <row r="194" customFormat="false" ht="16.5" hidden="false" customHeight="true" outlineLevel="0" collapsed="false">
      <c r="A194" s="18" t="str">
        <f aca="false">IF(B194="","",ROW()-2)</f>
        <v/>
      </c>
      <c r="B194" s="18" t="str">
        <f aca="false">IFERROR(INDEX(종합!B$3:B$501,MATCH(ROW()-2,종합!$AD$3:$AD$501,0))&amp;"","")</f>
        <v/>
      </c>
      <c r="C194" s="18" t="str">
        <f aca="false">IFERROR(INDEX(종합!C$3:C$501,MATCH(ROW()-2,종합!$AD$3:$AD$501,0))&amp;"","")</f>
        <v/>
      </c>
      <c r="D194" s="18" t="str">
        <f aca="false">IFERROR(INDEX(종합!D$3:D$501,MATCH(ROW()-2,종합!$AD$3:$AD$501,0))&amp;"","")</f>
        <v/>
      </c>
      <c r="E194" s="18" t="str">
        <f aca="false">IFERROR(INDEX(종합!E$3:E$501,MATCH(ROW()-2,종합!$AD$3:$AD$501,0))&amp;"","")</f>
        <v/>
      </c>
      <c r="F194" s="18" t="str">
        <f aca="false">IFERROR(INDEX(종합!F$3:F$501,MATCH(ROW()-2,종합!$AD$3:$AD$501,0))&amp;"","")</f>
        <v/>
      </c>
      <c r="G194" s="18" t="str">
        <f aca="false">IFERROR(INDEX(종합!G$3:G$501,MATCH(ROW()-2,종합!$AD$3:$AD$501,0))&amp;"","")</f>
        <v/>
      </c>
      <c r="H194" s="21" t="str">
        <f aca="false">IFERROR(INDEX(종합!H$3:H$501,MATCH(ROW()-2,종합!$AD$3:$AD$501,0))&amp;"","")</f>
        <v/>
      </c>
      <c r="I194" s="21" t="str">
        <f aca="false">IFERROR(INDEX(종합!I$3:I$501,MATCH(ROW()-2,종합!$AD$3:$AD$501,0))&amp;"","")</f>
        <v/>
      </c>
      <c r="J194" s="21" t="str">
        <f aca="false">IFERROR(INDEX(종합!J$3:J$501,MATCH(ROW()-2,종합!$AD$3:$AD$501,0))&amp;"","")</f>
        <v/>
      </c>
      <c r="K194" s="21" t="str">
        <f aca="false">IFERROR(INDEX(종합!K$3:K$501,MATCH(ROW()-2,종합!$AD$3:$AD$501,0))&amp;"","")</f>
        <v/>
      </c>
      <c r="L194" s="21" t="str">
        <f aca="false">IFERROR(INDEX(종합!L$3:L$501,MATCH(ROW()-2,종합!$AD$3:$AD$501,0))&amp;"","")</f>
        <v/>
      </c>
      <c r="M194" s="21" t="str">
        <f aca="false">IFERROR(INDEX(종합!M$3:M$501,MATCH(ROW()-2,종합!$AD$3:$AD$501,0))&amp;"","")</f>
        <v/>
      </c>
      <c r="N194" s="25" t="str">
        <f aca="false">IFERROR(INDEX(종합!N$3:N$501,MATCH(ROW()-2,종합!$AD$3:$AD$501,0))&amp;"","")</f>
        <v/>
      </c>
      <c r="O194" s="21" t="str">
        <f aca="false">IFERROR(INDEX(종합!O$3:O$501,MATCH(ROW()-2,종합!$AD$3:$AD$501,0))&amp;"","")</f>
        <v/>
      </c>
      <c r="P194" s="21" t="str">
        <f aca="false">IFERROR(INDEX(종합!P$3:P$501,MATCH(ROW()-2,종합!$AD$3:$AD$501,0))&amp;"","")</f>
        <v/>
      </c>
      <c r="Q194" s="21" t="str">
        <f aca="false">IFERROR(INDEX(종합!Q$3:Q$501,MATCH(ROW()-2,종합!$AD$3:$AD$501,0))&amp;"","")</f>
        <v/>
      </c>
      <c r="R194" s="21" t="str">
        <f aca="false">IFERROR(INDEX(종합!R$3:R$501,MATCH(ROW()-2,종합!$AD$3:$AD$501,0))&amp;"","")</f>
        <v/>
      </c>
      <c r="S194" s="21" t="str">
        <f aca="false">IFERROR(INDEX(종합!S$3:S$501,MATCH(ROW()-2,종합!$AD$3:$AD$501,0))&amp;"","")</f>
        <v/>
      </c>
      <c r="T194" s="21" t="str">
        <f aca="false">IFERROR(INDEX(종합!T$3:T$501,MATCH(ROW()-2,종합!$AD$3:$AD$501,0))&amp;"","")</f>
        <v/>
      </c>
      <c r="U194" s="21" t="str">
        <f aca="false">IFERROR(INDEX(종합!U$3:U$501,MATCH(ROW()-2,종합!$AD$3:$AD$501,0))&amp;"","")</f>
        <v/>
      </c>
      <c r="V194" s="21" t="str">
        <f aca="false">IFERROR(INDEX(종합!V$3:V$501,MATCH(ROW()-2,종합!$AD$3:$AD$501,0))&amp;"","")</f>
        <v/>
      </c>
      <c r="W194" s="21" t="str">
        <f aca="false">IFERROR(INDEX(종합!W$3:W$501,MATCH(ROW()-2,종합!$AD$3:$AD$501,0))&amp;"","")</f>
        <v/>
      </c>
      <c r="X194" s="21" t="str">
        <f aca="false">IFERROR(INDEX(종합!X$3:X$501,MATCH(ROW()-2,종합!$AD$3:$AD$501,0))&amp;"","")</f>
        <v/>
      </c>
      <c r="Y194" s="21" t="str">
        <f aca="false">IFERROR(INDEX(종합!Y$3:Y$501,MATCH(ROW()-2,종합!$AD$3:$AD$501,0))&amp;"","")</f>
        <v/>
      </c>
      <c r="Z194" s="21" t="str">
        <f aca="false">IFERROR(INDEX(종합!Z$3:Z$501,MATCH(ROW()-2,종합!$AD$3:$AD$501,0))&amp;"","")</f>
        <v/>
      </c>
      <c r="AA194" s="23" t="str">
        <f aca="false">IFERROR(INDEX(종합!AA$3:AA$501,MATCH(ROW()-2,종합!$AD$3:$AD$501,0))&amp;"","")</f>
        <v/>
      </c>
    </row>
    <row r="195" customFormat="false" ht="16.5" hidden="false" customHeight="true" outlineLevel="0" collapsed="false">
      <c r="A195" s="18" t="str">
        <f aca="false">IF(B195="","",ROW()-2)</f>
        <v/>
      </c>
      <c r="B195" s="18" t="str">
        <f aca="false">IFERROR(INDEX(종합!B$3:B$501,MATCH(ROW()-2,종합!$AD$3:$AD$501,0))&amp;"","")</f>
        <v/>
      </c>
      <c r="C195" s="18" t="str">
        <f aca="false">IFERROR(INDEX(종합!C$3:C$501,MATCH(ROW()-2,종합!$AD$3:$AD$501,0))&amp;"","")</f>
        <v/>
      </c>
      <c r="D195" s="18" t="str">
        <f aca="false">IFERROR(INDEX(종합!D$3:D$501,MATCH(ROW()-2,종합!$AD$3:$AD$501,0))&amp;"","")</f>
        <v/>
      </c>
      <c r="E195" s="18" t="str">
        <f aca="false">IFERROR(INDEX(종합!E$3:E$501,MATCH(ROW()-2,종합!$AD$3:$AD$501,0))&amp;"","")</f>
        <v/>
      </c>
      <c r="F195" s="18" t="str">
        <f aca="false">IFERROR(INDEX(종합!F$3:F$501,MATCH(ROW()-2,종합!$AD$3:$AD$501,0))&amp;"","")</f>
        <v/>
      </c>
      <c r="G195" s="18" t="str">
        <f aca="false">IFERROR(INDEX(종합!G$3:G$501,MATCH(ROW()-2,종합!$AD$3:$AD$501,0))&amp;"","")</f>
        <v/>
      </c>
      <c r="H195" s="21" t="str">
        <f aca="false">IFERROR(INDEX(종합!H$3:H$501,MATCH(ROW()-2,종합!$AD$3:$AD$501,0))&amp;"","")</f>
        <v/>
      </c>
      <c r="I195" s="21" t="str">
        <f aca="false">IFERROR(INDEX(종합!I$3:I$501,MATCH(ROW()-2,종합!$AD$3:$AD$501,0))&amp;"","")</f>
        <v/>
      </c>
      <c r="J195" s="21" t="str">
        <f aca="false">IFERROR(INDEX(종합!J$3:J$501,MATCH(ROW()-2,종합!$AD$3:$AD$501,0))&amp;"","")</f>
        <v/>
      </c>
      <c r="K195" s="21" t="str">
        <f aca="false">IFERROR(INDEX(종합!K$3:K$501,MATCH(ROW()-2,종합!$AD$3:$AD$501,0))&amp;"","")</f>
        <v/>
      </c>
      <c r="L195" s="21" t="str">
        <f aca="false">IFERROR(INDEX(종합!L$3:L$501,MATCH(ROW()-2,종합!$AD$3:$AD$501,0))&amp;"","")</f>
        <v/>
      </c>
      <c r="M195" s="21" t="str">
        <f aca="false">IFERROR(INDEX(종합!M$3:M$501,MATCH(ROW()-2,종합!$AD$3:$AD$501,0))&amp;"","")</f>
        <v/>
      </c>
      <c r="N195" s="25" t="str">
        <f aca="false">IFERROR(INDEX(종합!N$3:N$501,MATCH(ROW()-2,종합!$AD$3:$AD$501,0))&amp;"","")</f>
        <v/>
      </c>
      <c r="O195" s="21" t="str">
        <f aca="false">IFERROR(INDEX(종합!O$3:O$501,MATCH(ROW()-2,종합!$AD$3:$AD$501,0))&amp;"","")</f>
        <v/>
      </c>
      <c r="P195" s="21" t="str">
        <f aca="false">IFERROR(INDEX(종합!P$3:P$501,MATCH(ROW()-2,종합!$AD$3:$AD$501,0))&amp;"","")</f>
        <v/>
      </c>
      <c r="Q195" s="21" t="str">
        <f aca="false">IFERROR(INDEX(종합!Q$3:Q$501,MATCH(ROW()-2,종합!$AD$3:$AD$501,0))&amp;"","")</f>
        <v/>
      </c>
      <c r="R195" s="21" t="str">
        <f aca="false">IFERROR(INDEX(종합!R$3:R$501,MATCH(ROW()-2,종합!$AD$3:$AD$501,0))&amp;"","")</f>
        <v/>
      </c>
      <c r="S195" s="21" t="str">
        <f aca="false">IFERROR(INDEX(종합!S$3:S$501,MATCH(ROW()-2,종합!$AD$3:$AD$501,0))&amp;"","")</f>
        <v/>
      </c>
      <c r="T195" s="21" t="str">
        <f aca="false">IFERROR(INDEX(종합!T$3:T$501,MATCH(ROW()-2,종합!$AD$3:$AD$501,0))&amp;"","")</f>
        <v/>
      </c>
      <c r="U195" s="21" t="str">
        <f aca="false">IFERROR(INDEX(종합!U$3:U$501,MATCH(ROW()-2,종합!$AD$3:$AD$501,0))&amp;"","")</f>
        <v/>
      </c>
      <c r="V195" s="21" t="str">
        <f aca="false">IFERROR(INDEX(종합!V$3:V$501,MATCH(ROW()-2,종합!$AD$3:$AD$501,0))&amp;"","")</f>
        <v/>
      </c>
      <c r="W195" s="21" t="str">
        <f aca="false">IFERROR(INDEX(종합!W$3:W$501,MATCH(ROW()-2,종합!$AD$3:$AD$501,0))&amp;"","")</f>
        <v/>
      </c>
      <c r="X195" s="21" t="str">
        <f aca="false">IFERROR(INDEX(종합!X$3:X$501,MATCH(ROW()-2,종합!$AD$3:$AD$501,0))&amp;"","")</f>
        <v/>
      </c>
      <c r="Y195" s="21" t="str">
        <f aca="false">IFERROR(INDEX(종합!Y$3:Y$501,MATCH(ROW()-2,종합!$AD$3:$AD$501,0))&amp;"","")</f>
        <v/>
      </c>
      <c r="Z195" s="21" t="str">
        <f aca="false">IFERROR(INDEX(종합!Z$3:Z$501,MATCH(ROW()-2,종합!$AD$3:$AD$501,0))&amp;"","")</f>
        <v/>
      </c>
      <c r="AA195" s="23" t="str">
        <f aca="false">IFERROR(INDEX(종합!AA$3:AA$501,MATCH(ROW()-2,종합!$AD$3:$AD$501,0))&amp;"","")</f>
        <v/>
      </c>
    </row>
    <row r="196" customFormat="false" ht="16.5" hidden="false" customHeight="true" outlineLevel="0" collapsed="false">
      <c r="A196" s="18" t="str">
        <f aca="false">IF(B196="","",ROW()-2)</f>
        <v/>
      </c>
      <c r="B196" s="18" t="str">
        <f aca="false">IFERROR(INDEX(종합!B$3:B$501,MATCH(ROW()-2,종합!$AD$3:$AD$501,0))&amp;"","")</f>
        <v/>
      </c>
      <c r="C196" s="18" t="str">
        <f aca="false">IFERROR(INDEX(종합!C$3:C$501,MATCH(ROW()-2,종합!$AD$3:$AD$501,0))&amp;"","")</f>
        <v/>
      </c>
      <c r="D196" s="18" t="str">
        <f aca="false">IFERROR(INDEX(종합!D$3:D$501,MATCH(ROW()-2,종합!$AD$3:$AD$501,0))&amp;"","")</f>
        <v/>
      </c>
      <c r="E196" s="18" t="str">
        <f aca="false">IFERROR(INDEX(종합!E$3:E$501,MATCH(ROW()-2,종합!$AD$3:$AD$501,0))&amp;"","")</f>
        <v/>
      </c>
      <c r="F196" s="18" t="str">
        <f aca="false">IFERROR(INDEX(종합!F$3:F$501,MATCH(ROW()-2,종합!$AD$3:$AD$501,0))&amp;"","")</f>
        <v/>
      </c>
      <c r="G196" s="18" t="str">
        <f aca="false">IFERROR(INDEX(종합!G$3:G$501,MATCH(ROW()-2,종합!$AD$3:$AD$501,0))&amp;"","")</f>
        <v/>
      </c>
      <c r="H196" s="21" t="str">
        <f aca="false">IFERROR(INDEX(종합!H$3:H$501,MATCH(ROW()-2,종합!$AD$3:$AD$501,0))&amp;"","")</f>
        <v/>
      </c>
      <c r="I196" s="21" t="str">
        <f aca="false">IFERROR(INDEX(종합!I$3:I$501,MATCH(ROW()-2,종합!$AD$3:$AD$501,0))&amp;"","")</f>
        <v/>
      </c>
      <c r="J196" s="21" t="str">
        <f aca="false">IFERROR(INDEX(종합!J$3:J$501,MATCH(ROW()-2,종합!$AD$3:$AD$501,0))&amp;"","")</f>
        <v/>
      </c>
      <c r="K196" s="21" t="str">
        <f aca="false">IFERROR(INDEX(종합!K$3:K$501,MATCH(ROW()-2,종합!$AD$3:$AD$501,0))&amp;"","")</f>
        <v/>
      </c>
      <c r="L196" s="21" t="str">
        <f aca="false">IFERROR(INDEX(종합!L$3:L$501,MATCH(ROW()-2,종합!$AD$3:$AD$501,0))&amp;"","")</f>
        <v/>
      </c>
      <c r="M196" s="21" t="str">
        <f aca="false">IFERROR(INDEX(종합!M$3:M$501,MATCH(ROW()-2,종합!$AD$3:$AD$501,0))&amp;"","")</f>
        <v/>
      </c>
      <c r="N196" s="25" t="str">
        <f aca="false">IFERROR(INDEX(종합!N$3:N$501,MATCH(ROW()-2,종합!$AD$3:$AD$501,0))&amp;"","")</f>
        <v/>
      </c>
      <c r="O196" s="21" t="str">
        <f aca="false">IFERROR(INDEX(종합!O$3:O$501,MATCH(ROW()-2,종합!$AD$3:$AD$501,0))&amp;"","")</f>
        <v/>
      </c>
      <c r="P196" s="21" t="str">
        <f aca="false">IFERROR(INDEX(종합!P$3:P$501,MATCH(ROW()-2,종합!$AD$3:$AD$501,0))&amp;"","")</f>
        <v/>
      </c>
      <c r="Q196" s="21" t="str">
        <f aca="false">IFERROR(INDEX(종합!Q$3:Q$501,MATCH(ROW()-2,종합!$AD$3:$AD$501,0))&amp;"","")</f>
        <v/>
      </c>
      <c r="R196" s="21" t="str">
        <f aca="false">IFERROR(INDEX(종합!R$3:R$501,MATCH(ROW()-2,종합!$AD$3:$AD$501,0))&amp;"","")</f>
        <v/>
      </c>
      <c r="S196" s="21" t="str">
        <f aca="false">IFERROR(INDEX(종합!S$3:S$501,MATCH(ROW()-2,종합!$AD$3:$AD$501,0))&amp;"","")</f>
        <v/>
      </c>
      <c r="T196" s="21" t="str">
        <f aca="false">IFERROR(INDEX(종합!T$3:T$501,MATCH(ROW()-2,종합!$AD$3:$AD$501,0))&amp;"","")</f>
        <v/>
      </c>
      <c r="U196" s="21" t="str">
        <f aca="false">IFERROR(INDEX(종합!U$3:U$501,MATCH(ROW()-2,종합!$AD$3:$AD$501,0))&amp;"","")</f>
        <v/>
      </c>
      <c r="V196" s="21" t="str">
        <f aca="false">IFERROR(INDEX(종합!V$3:V$501,MATCH(ROW()-2,종합!$AD$3:$AD$501,0))&amp;"","")</f>
        <v/>
      </c>
      <c r="W196" s="21" t="str">
        <f aca="false">IFERROR(INDEX(종합!W$3:W$501,MATCH(ROW()-2,종합!$AD$3:$AD$501,0))&amp;"","")</f>
        <v/>
      </c>
      <c r="X196" s="21" t="str">
        <f aca="false">IFERROR(INDEX(종합!X$3:X$501,MATCH(ROW()-2,종합!$AD$3:$AD$501,0))&amp;"","")</f>
        <v/>
      </c>
      <c r="Y196" s="21" t="str">
        <f aca="false">IFERROR(INDEX(종합!Y$3:Y$501,MATCH(ROW()-2,종합!$AD$3:$AD$501,0))&amp;"","")</f>
        <v/>
      </c>
      <c r="Z196" s="21" t="str">
        <f aca="false">IFERROR(INDEX(종합!Z$3:Z$501,MATCH(ROW()-2,종합!$AD$3:$AD$501,0))&amp;"","")</f>
        <v/>
      </c>
      <c r="AA196" s="23" t="str">
        <f aca="false">IFERROR(INDEX(종합!AA$3:AA$501,MATCH(ROW()-2,종합!$AD$3:$AD$501,0))&amp;"","")</f>
        <v/>
      </c>
    </row>
    <row r="197" customFormat="false" ht="16.5" hidden="false" customHeight="true" outlineLevel="0" collapsed="false">
      <c r="A197" s="18" t="str">
        <f aca="false">IF(B197="","",ROW()-2)</f>
        <v/>
      </c>
      <c r="B197" s="18" t="str">
        <f aca="false">IFERROR(INDEX(종합!B$3:B$501,MATCH(ROW()-2,종합!$AD$3:$AD$501,0))&amp;"","")</f>
        <v/>
      </c>
      <c r="C197" s="18" t="str">
        <f aca="false">IFERROR(INDEX(종합!C$3:C$501,MATCH(ROW()-2,종합!$AD$3:$AD$501,0))&amp;"","")</f>
        <v/>
      </c>
      <c r="D197" s="18" t="str">
        <f aca="false">IFERROR(INDEX(종합!D$3:D$501,MATCH(ROW()-2,종합!$AD$3:$AD$501,0))&amp;"","")</f>
        <v/>
      </c>
      <c r="E197" s="18" t="str">
        <f aca="false">IFERROR(INDEX(종합!E$3:E$501,MATCH(ROW()-2,종합!$AD$3:$AD$501,0))&amp;"","")</f>
        <v/>
      </c>
      <c r="F197" s="18" t="str">
        <f aca="false">IFERROR(INDEX(종합!F$3:F$501,MATCH(ROW()-2,종합!$AD$3:$AD$501,0))&amp;"","")</f>
        <v/>
      </c>
      <c r="G197" s="18" t="str">
        <f aca="false">IFERROR(INDEX(종합!G$3:G$501,MATCH(ROW()-2,종합!$AD$3:$AD$501,0))&amp;"","")</f>
        <v/>
      </c>
      <c r="H197" s="21" t="str">
        <f aca="false">IFERROR(INDEX(종합!H$3:H$501,MATCH(ROW()-2,종합!$AD$3:$AD$501,0))&amp;"","")</f>
        <v/>
      </c>
      <c r="I197" s="21" t="str">
        <f aca="false">IFERROR(INDEX(종합!I$3:I$501,MATCH(ROW()-2,종합!$AD$3:$AD$501,0))&amp;"","")</f>
        <v/>
      </c>
      <c r="J197" s="21" t="str">
        <f aca="false">IFERROR(INDEX(종합!J$3:J$501,MATCH(ROW()-2,종합!$AD$3:$AD$501,0))&amp;"","")</f>
        <v/>
      </c>
      <c r="K197" s="21" t="str">
        <f aca="false">IFERROR(INDEX(종합!K$3:K$501,MATCH(ROW()-2,종합!$AD$3:$AD$501,0))&amp;"","")</f>
        <v/>
      </c>
      <c r="L197" s="21" t="str">
        <f aca="false">IFERROR(INDEX(종합!L$3:L$501,MATCH(ROW()-2,종합!$AD$3:$AD$501,0))&amp;"","")</f>
        <v/>
      </c>
      <c r="M197" s="21" t="str">
        <f aca="false">IFERROR(INDEX(종합!M$3:M$501,MATCH(ROW()-2,종합!$AD$3:$AD$501,0))&amp;"","")</f>
        <v/>
      </c>
      <c r="N197" s="25" t="str">
        <f aca="false">IFERROR(INDEX(종합!N$3:N$501,MATCH(ROW()-2,종합!$AD$3:$AD$501,0))&amp;"","")</f>
        <v/>
      </c>
      <c r="O197" s="21" t="str">
        <f aca="false">IFERROR(INDEX(종합!O$3:O$501,MATCH(ROW()-2,종합!$AD$3:$AD$501,0))&amp;"","")</f>
        <v/>
      </c>
      <c r="P197" s="21" t="str">
        <f aca="false">IFERROR(INDEX(종합!P$3:P$501,MATCH(ROW()-2,종합!$AD$3:$AD$501,0))&amp;"","")</f>
        <v/>
      </c>
      <c r="Q197" s="21" t="str">
        <f aca="false">IFERROR(INDEX(종합!Q$3:Q$501,MATCH(ROW()-2,종합!$AD$3:$AD$501,0))&amp;"","")</f>
        <v/>
      </c>
      <c r="R197" s="21" t="str">
        <f aca="false">IFERROR(INDEX(종합!R$3:R$501,MATCH(ROW()-2,종합!$AD$3:$AD$501,0))&amp;"","")</f>
        <v/>
      </c>
      <c r="S197" s="21" t="str">
        <f aca="false">IFERROR(INDEX(종합!S$3:S$501,MATCH(ROW()-2,종합!$AD$3:$AD$501,0))&amp;"","")</f>
        <v/>
      </c>
      <c r="T197" s="21" t="str">
        <f aca="false">IFERROR(INDEX(종합!T$3:T$501,MATCH(ROW()-2,종합!$AD$3:$AD$501,0))&amp;"","")</f>
        <v/>
      </c>
      <c r="U197" s="21" t="str">
        <f aca="false">IFERROR(INDEX(종합!U$3:U$501,MATCH(ROW()-2,종합!$AD$3:$AD$501,0))&amp;"","")</f>
        <v/>
      </c>
      <c r="V197" s="21" t="str">
        <f aca="false">IFERROR(INDEX(종합!V$3:V$501,MATCH(ROW()-2,종합!$AD$3:$AD$501,0))&amp;"","")</f>
        <v/>
      </c>
      <c r="W197" s="21" t="str">
        <f aca="false">IFERROR(INDEX(종합!W$3:W$501,MATCH(ROW()-2,종합!$AD$3:$AD$501,0))&amp;"","")</f>
        <v/>
      </c>
      <c r="X197" s="21" t="str">
        <f aca="false">IFERROR(INDEX(종합!X$3:X$501,MATCH(ROW()-2,종합!$AD$3:$AD$501,0))&amp;"","")</f>
        <v/>
      </c>
      <c r="Y197" s="21" t="str">
        <f aca="false">IFERROR(INDEX(종합!Y$3:Y$501,MATCH(ROW()-2,종합!$AD$3:$AD$501,0))&amp;"","")</f>
        <v/>
      </c>
      <c r="Z197" s="21" t="str">
        <f aca="false">IFERROR(INDEX(종합!Z$3:Z$501,MATCH(ROW()-2,종합!$AD$3:$AD$501,0))&amp;"","")</f>
        <v/>
      </c>
      <c r="AA197" s="23" t="str">
        <f aca="false">IFERROR(INDEX(종합!AA$3:AA$501,MATCH(ROW()-2,종합!$AD$3:$AD$501,0))&amp;"","")</f>
        <v/>
      </c>
    </row>
    <row r="198" customFormat="false" ht="16.5" hidden="false" customHeight="true" outlineLevel="0" collapsed="false">
      <c r="A198" s="18" t="str">
        <f aca="false">IF(B198="","",ROW()-2)</f>
        <v/>
      </c>
      <c r="B198" s="18" t="str">
        <f aca="false">IFERROR(INDEX(종합!B$3:B$501,MATCH(ROW()-2,종합!$AD$3:$AD$501,0))&amp;"","")</f>
        <v/>
      </c>
      <c r="C198" s="18" t="str">
        <f aca="false">IFERROR(INDEX(종합!C$3:C$501,MATCH(ROW()-2,종합!$AD$3:$AD$501,0))&amp;"","")</f>
        <v/>
      </c>
      <c r="D198" s="18" t="str">
        <f aca="false">IFERROR(INDEX(종합!D$3:D$501,MATCH(ROW()-2,종합!$AD$3:$AD$501,0))&amp;"","")</f>
        <v/>
      </c>
      <c r="E198" s="18" t="str">
        <f aca="false">IFERROR(INDEX(종합!E$3:E$501,MATCH(ROW()-2,종합!$AD$3:$AD$501,0))&amp;"","")</f>
        <v/>
      </c>
      <c r="F198" s="18" t="str">
        <f aca="false">IFERROR(INDEX(종합!F$3:F$501,MATCH(ROW()-2,종합!$AD$3:$AD$501,0))&amp;"","")</f>
        <v/>
      </c>
      <c r="G198" s="18" t="str">
        <f aca="false">IFERROR(INDEX(종합!G$3:G$501,MATCH(ROW()-2,종합!$AD$3:$AD$501,0))&amp;"","")</f>
        <v/>
      </c>
      <c r="H198" s="21" t="str">
        <f aca="false">IFERROR(INDEX(종합!H$3:H$501,MATCH(ROW()-2,종합!$AD$3:$AD$501,0))&amp;"","")</f>
        <v/>
      </c>
      <c r="I198" s="21" t="str">
        <f aca="false">IFERROR(INDEX(종합!I$3:I$501,MATCH(ROW()-2,종합!$AD$3:$AD$501,0))&amp;"","")</f>
        <v/>
      </c>
      <c r="J198" s="21" t="str">
        <f aca="false">IFERROR(INDEX(종합!J$3:J$501,MATCH(ROW()-2,종합!$AD$3:$AD$501,0))&amp;"","")</f>
        <v/>
      </c>
      <c r="K198" s="21" t="str">
        <f aca="false">IFERROR(INDEX(종합!K$3:K$501,MATCH(ROW()-2,종합!$AD$3:$AD$501,0))&amp;"","")</f>
        <v/>
      </c>
      <c r="L198" s="21" t="str">
        <f aca="false">IFERROR(INDEX(종합!L$3:L$501,MATCH(ROW()-2,종합!$AD$3:$AD$501,0))&amp;"","")</f>
        <v/>
      </c>
      <c r="M198" s="21" t="str">
        <f aca="false">IFERROR(INDEX(종합!M$3:M$501,MATCH(ROW()-2,종합!$AD$3:$AD$501,0))&amp;"","")</f>
        <v/>
      </c>
      <c r="N198" s="25" t="str">
        <f aca="false">IFERROR(INDEX(종합!N$3:N$501,MATCH(ROW()-2,종합!$AD$3:$AD$501,0))&amp;"","")</f>
        <v/>
      </c>
      <c r="O198" s="21" t="str">
        <f aca="false">IFERROR(INDEX(종합!O$3:O$501,MATCH(ROW()-2,종합!$AD$3:$AD$501,0))&amp;"","")</f>
        <v/>
      </c>
      <c r="P198" s="21" t="str">
        <f aca="false">IFERROR(INDEX(종합!P$3:P$501,MATCH(ROW()-2,종합!$AD$3:$AD$501,0))&amp;"","")</f>
        <v/>
      </c>
      <c r="Q198" s="21" t="str">
        <f aca="false">IFERROR(INDEX(종합!Q$3:Q$501,MATCH(ROW()-2,종합!$AD$3:$AD$501,0))&amp;"","")</f>
        <v/>
      </c>
      <c r="R198" s="21" t="str">
        <f aca="false">IFERROR(INDEX(종합!R$3:R$501,MATCH(ROW()-2,종합!$AD$3:$AD$501,0))&amp;"","")</f>
        <v/>
      </c>
      <c r="S198" s="21" t="str">
        <f aca="false">IFERROR(INDEX(종합!S$3:S$501,MATCH(ROW()-2,종합!$AD$3:$AD$501,0))&amp;"","")</f>
        <v/>
      </c>
      <c r="T198" s="21" t="str">
        <f aca="false">IFERROR(INDEX(종합!T$3:T$501,MATCH(ROW()-2,종합!$AD$3:$AD$501,0))&amp;"","")</f>
        <v/>
      </c>
      <c r="U198" s="21" t="str">
        <f aca="false">IFERROR(INDEX(종합!U$3:U$501,MATCH(ROW()-2,종합!$AD$3:$AD$501,0))&amp;"","")</f>
        <v/>
      </c>
      <c r="V198" s="21" t="str">
        <f aca="false">IFERROR(INDEX(종합!V$3:V$501,MATCH(ROW()-2,종합!$AD$3:$AD$501,0))&amp;"","")</f>
        <v/>
      </c>
      <c r="W198" s="21" t="str">
        <f aca="false">IFERROR(INDEX(종합!W$3:W$501,MATCH(ROW()-2,종합!$AD$3:$AD$501,0))&amp;"","")</f>
        <v/>
      </c>
      <c r="X198" s="21" t="str">
        <f aca="false">IFERROR(INDEX(종합!X$3:X$501,MATCH(ROW()-2,종합!$AD$3:$AD$501,0))&amp;"","")</f>
        <v/>
      </c>
      <c r="Y198" s="21" t="str">
        <f aca="false">IFERROR(INDEX(종합!Y$3:Y$501,MATCH(ROW()-2,종합!$AD$3:$AD$501,0))&amp;"","")</f>
        <v/>
      </c>
      <c r="Z198" s="21" t="str">
        <f aca="false">IFERROR(INDEX(종합!Z$3:Z$501,MATCH(ROW()-2,종합!$AD$3:$AD$501,0))&amp;"","")</f>
        <v/>
      </c>
      <c r="AA198" s="23" t="str">
        <f aca="false">IFERROR(INDEX(종합!AA$3:AA$501,MATCH(ROW()-2,종합!$AD$3:$AD$501,0))&amp;"","")</f>
        <v/>
      </c>
    </row>
    <row r="199" customFormat="false" ht="16.5" hidden="false" customHeight="true" outlineLevel="0" collapsed="false">
      <c r="A199" s="18" t="str">
        <f aca="false">IF(B199="","",ROW()-2)</f>
        <v/>
      </c>
      <c r="B199" s="18" t="str">
        <f aca="false">IFERROR(INDEX(종합!B$3:B$501,MATCH(ROW()-2,종합!$AD$3:$AD$501,0))&amp;"","")</f>
        <v/>
      </c>
      <c r="C199" s="18" t="str">
        <f aca="false">IFERROR(INDEX(종합!C$3:C$501,MATCH(ROW()-2,종합!$AD$3:$AD$501,0))&amp;"","")</f>
        <v/>
      </c>
      <c r="D199" s="18" t="str">
        <f aca="false">IFERROR(INDEX(종합!D$3:D$501,MATCH(ROW()-2,종합!$AD$3:$AD$501,0))&amp;"","")</f>
        <v/>
      </c>
      <c r="E199" s="18" t="str">
        <f aca="false">IFERROR(INDEX(종합!E$3:E$501,MATCH(ROW()-2,종합!$AD$3:$AD$501,0))&amp;"","")</f>
        <v/>
      </c>
      <c r="F199" s="18" t="str">
        <f aca="false">IFERROR(INDEX(종합!F$3:F$501,MATCH(ROW()-2,종합!$AD$3:$AD$501,0))&amp;"","")</f>
        <v/>
      </c>
      <c r="G199" s="18" t="str">
        <f aca="false">IFERROR(INDEX(종합!G$3:G$501,MATCH(ROW()-2,종합!$AD$3:$AD$501,0))&amp;"","")</f>
        <v/>
      </c>
      <c r="H199" s="21" t="str">
        <f aca="false">IFERROR(INDEX(종합!H$3:H$501,MATCH(ROW()-2,종합!$AD$3:$AD$501,0))&amp;"","")</f>
        <v/>
      </c>
      <c r="I199" s="21" t="str">
        <f aca="false">IFERROR(INDEX(종합!I$3:I$501,MATCH(ROW()-2,종합!$AD$3:$AD$501,0))&amp;"","")</f>
        <v/>
      </c>
      <c r="J199" s="21" t="str">
        <f aca="false">IFERROR(INDEX(종합!J$3:J$501,MATCH(ROW()-2,종합!$AD$3:$AD$501,0))&amp;"","")</f>
        <v/>
      </c>
      <c r="K199" s="21" t="str">
        <f aca="false">IFERROR(INDEX(종합!K$3:K$501,MATCH(ROW()-2,종합!$AD$3:$AD$501,0))&amp;"","")</f>
        <v/>
      </c>
      <c r="L199" s="21" t="str">
        <f aca="false">IFERROR(INDEX(종합!L$3:L$501,MATCH(ROW()-2,종합!$AD$3:$AD$501,0))&amp;"","")</f>
        <v/>
      </c>
      <c r="M199" s="21" t="str">
        <f aca="false">IFERROR(INDEX(종합!M$3:M$501,MATCH(ROW()-2,종합!$AD$3:$AD$501,0))&amp;"","")</f>
        <v/>
      </c>
      <c r="N199" s="25" t="str">
        <f aca="false">IFERROR(INDEX(종합!N$3:N$501,MATCH(ROW()-2,종합!$AD$3:$AD$501,0))&amp;"","")</f>
        <v/>
      </c>
      <c r="O199" s="21" t="str">
        <f aca="false">IFERROR(INDEX(종합!O$3:O$501,MATCH(ROW()-2,종합!$AD$3:$AD$501,0))&amp;"","")</f>
        <v/>
      </c>
      <c r="P199" s="21" t="str">
        <f aca="false">IFERROR(INDEX(종합!P$3:P$501,MATCH(ROW()-2,종합!$AD$3:$AD$501,0))&amp;"","")</f>
        <v/>
      </c>
      <c r="Q199" s="21" t="str">
        <f aca="false">IFERROR(INDEX(종합!Q$3:Q$501,MATCH(ROW()-2,종합!$AD$3:$AD$501,0))&amp;"","")</f>
        <v/>
      </c>
      <c r="R199" s="21" t="str">
        <f aca="false">IFERROR(INDEX(종합!R$3:R$501,MATCH(ROW()-2,종합!$AD$3:$AD$501,0))&amp;"","")</f>
        <v/>
      </c>
      <c r="S199" s="21" t="str">
        <f aca="false">IFERROR(INDEX(종합!S$3:S$501,MATCH(ROW()-2,종합!$AD$3:$AD$501,0))&amp;"","")</f>
        <v/>
      </c>
      <c r="T199" s="21" t="str">
        <f aca="false">IFERROR(INDEX(종합!T$3:T$501,MATCH(ROW()-2,종합!$AD$3:$AD$501,0))&amp;"","")</f>
        <v/>
      </c>
      <c r="U199" s="21" t="str">
        <f aca="false">IFERROR(INDEX(종합!U$3:U$501,MATCH(ROW()-2,종합!$AD$3:$AD$501,0))&amp;"","")</f>
        <v/>
      </c>
      <c r="V199" s="21" t="str">
        <f aca="false">IFERROR(INDEX(종합!V$3:V$501,MATCH(ROW()-2,종합!$AD$3:$AD$501,0))&amp;"","")</f>
        <v/>
      </c>
      <c r="W199" s="21" t="str">
        <f aca="false">IFERROR(INDEX(종합!W$3:W$501,MATCH(ROW()-2,종합!$AD$3:$AD$501,0))&amp;"","")</f>
        <v/>
      </c>
      <c r="X199" s="21" t="str">
        <f aca="false">IFERROR(INDEX(종합!X$3:X$501,MATCH(ROW()-2,종합!$AD$3:$AD$501,0))&amp;"","")</f>
        <v/>
      </c>
      <c r="Y199" s="21" t="str">
        <f aca="false">IFERROR(INDEX(종합!Y$3:Y$501,MATCH(ROW()-2,종합!$AD$3:$AD$501,0))&amp;"","")</f>
        <v/>
      </c>
      <c r="Z199" s="21" t="str">
        <f aca="false">IFERROR(INDEX(종합!Z$3:Z$501,MATCH(ROW()-2,종합!$AD$3:$AD$501,0))&amp;"","")</f>
        <v/>
      </c>
      <c r="AA199" s="23" t="str">
        <f aca="false">IFERROR(INDEX(종합!AA$3:AA$501,MATCH(ROW()-2,종합!$AD$3:$AD$501,0))&amp;"","")</f>
        <v/>
      </c>
    </row>
    <row r="200" customFormat="false" ht="16.5" hidden="false" customHeight="true" outlineLevel="0" collapsed="false">
      <c r="A200" s="18" t="str">
        <f aca="false">IF(B200="","",ROW()-2)</f>
        <v/>
      </c>
      <c r="B200" s="18" t="str">
        <f aca="false">IFERROR(INDEX(종합!B$3:B$501,MATCH(ROW()-2,종합!$AD$3:$AD$501,0))&amp;"","")</f>
        <v/>
      </c>
      <c r="C200" s="18" t="str">
        <f aca="false">IFERROR(INDEX(종합!C$3:C$501,MATCH(ROW()-2,종합!$AD$3:$AD$501,0))&amp;"","")</f>
        <v/>
      </c>
      <c r="D200" s="18" t="str">
        <f aca="false">IFERROR(INDEX(종합!D$3:D$501,MATCH(ROW()-2,종합!$AD$3:$AD$501,0))&amp;"","")</f>
        <v/>
      </c>
      <c r="E200" s="18" t="str">
        <f aca="false">IFERROR(INDEX(종합!E$3:E$501,MATCH(ROW()-2,종합!$AD$3:$AD$501,0))&amp;"","")</f>
        <v/>
      </c>
      <c r="F200" s="18" t="str">
        <f aca="false">IFERROR(INDEX(종합!F$3:F$501,MATCH(ROW()-2,종합!$AD$3:$AD$501,0))&amp;"","")</f>
        <v/>
      </c>
      <c r="G200" s="18" t="str">
        <f aca="false">IFERROR(INDEX(종합!G$3:G$501,MATCH(ROW()-2,종합!$AD$3:$AD$501,0))&amp;"","")</f>
        <v/>
      </c>
      <c r="H200" s="21" t="str">
        <f aca="false">IFERROR(INDEX(종합!H$3:H$501,MATCH(ROW()-2,종합!$AD$3:$AD$501,0))&amp;"","")</f>
        <v/>
      </c>
      <c r="I200" s="21" t="str">
        <f aca="false">IFERROR(INDEX(종합!I$3:I$501,MATCH(ROW()-2,종합!$AD$3:$AD$501,0))&amp;"","")</f>
        <v/>
      </c>
      <c r="J200" s="21" t="str">
        <f aca="false">IFERROR(INDEX(종합!J$3:J$501,MATCH(ROW()-2,종합!$AD$3:$AD$501,0))&amp;"","")</f>
        <v/>
      </c>
      <c r="K200" s="21" t="str">
        <f aca="false">IFERROR(INDEX(종합!K$3:K$501,MATCH(ROW()-2,종합!$AD$3:$AD$501,0))&amp;"","")</f>
        <v/>
      </c>
      <c r="L200" s="21" t="str">
        <f aca="false">IFERROR(INDEX(종합!L$3:L$501,MATCH(ROW()-2,종합!$AD$3:$AD$501,0))&amp;"","")</f>
        <v/>
      </c>
      <c r="M200" s="21" t="str">
        <f aca="false">IFERROR(INDEX(종합!M$3:M$501,MATCH(ROW()-2,종합!$AD$3:$AD$501,0))&amp;"","")</f>
        <v/>
      </c>
      <c r="N200" s="25" t="str">
        <f aca="false">IFERROR(INDEX(종합!N$3:N$501,MATCH(ROW()-2,종합!$AD$3:$AD$501,0))&amp;"","")</f>
        <v/>
      </c>
      <c r="O200" s="21" t="str">
        <f aca="false">IFERROR(INDEX(종합!O$3:O$501,MATCH(ROW()-2,종합!$AD$3:$AD$501,0))&amp;"","")</f>
        <v/>
      </c>
      <c r="P200" s="21" t="str">
        <f aca="false">IFERROR(INDEX(종합!P$3:P$501,MATCH(ROW()-2,종합!$AD$3:$AD$501,0))&amp;"","")</f>
        <v/>
      </c>
      <c r="Q200" s="21" t="str">
        <f aca="false">IFERROR(INDEX(종합!Q$3:Q$501,MATCH(ROW()-2,종합!$AD$3:$AD$501,0))&amp;"","")</f>
        <v/>
      </c>
      <c r="R200" s="21" t="str">
        <f aca="false">IFERROR(INDEX(종합!R$3:R$501,MATCH(ROW()-2,종합!$AD$3:$AD$501,0))&amp;"","")</f>
        <v/>
      </c>
      <c r="S200" s="21" t="str">
        <f aca="false">IFERROR(INDEX(종합!S$3:S$501,MATCH(ROW()-2,종합!$AD$3:$AD$501,0))&amp;"","")</f>
        <v/>
      </c>
      <c r="T200" s="21" t="str">
        <f aca="false">IFERROR(INDEX(종합!T$3:T$501,MATCH(ROW()-2,종합!$AD$3:$AD$501,0))&amp;"","")</f>
        <v/>
      </c>
      <c r="U200" s="21" t="str">
        <f aca="false">IFERROR(INDEX(종합!U$3:U$501,MATCH(ROW()-2,종합!$AD$3:$AD$501,0))&amp;"","")</f>
        <v/>
      </c>
      <c r="V200" s="21" t="str">
        <f aca="false">IFERROR(INDEX(종합!V$3:V$501,MATCH(ROW()-2,종합!$AD$3:$AD$501,0))&amp;"","")</f>
        <v/>
      </c>
      <c r="W200" s="21" t="str">
        <f aca="false">IFERROR(INDEX(종합!W$3:W$501,MATCH(ROW()-2,종합!$AD$3:$AD$501,0))&amp;"","")</f>
        <v/>
      </c>
      <c r="X200" s="21" t="str">
        <f aca="false">IFERROR(INDEX(종합!X$3:X$501,MATCH(ROW()-2,종합!$AD$3:$AD$501,0))&amp;"","")</f>
        <v/>
      </c>
      <c r="Y200" s="21" t="str">
        <f aca="false">IFERROR(INDEX(종합!Y$3:Y$501,MATCH(ROW()-2,종합!$AD$3:$AD$501,0))&amp;"","")</f>
        <v/>
      </c>
      <c r="Z200" s="21" t="str">
        <f aca="false">IFERROR(INDEX(종합!Z$3:Z$501,MATCH(ROW()-2,종합!$AD$3:$AD$501,0))&amp;"","")</f>
        <v/>
      </c>
      <c r="AA200" s="23" t="str">
        <f aca="false">IFERROR(INDEX(종합!AA$3:AA$501,MATCH(ROW()-2,종합!$AD$3:$AD$501,0))&amp;"","")</f>
        <v/>
      </c>
    </row>
    <row r="201" customFormat="false" ht="16.5" hidden="false" customHeight="true" outlineLevel="0" collapsed="false">
      <c r="A201" s="18" t="str">
        <f aca="false">IF(B201="","",ROW()-2)</f>
        <v/>
      </c>
      <c r="B201" s="18" t="str">
        <f aca="false">IFERROR(INDEX(종합!B$3:B$501,MATCH(ROW()-2,종합!$AD$3:$AD$501,0))&amp;"","")</f>
        <v/>
      </c>
      <c r="C201" s="18" t="str">
        <f aca="false">IFERROR(INDEX(종합!C$3:C$501,MATCH(ROW()-2,종합!$AD$3:$AD$501,0))&amp;"","")</f>
        <v/>
      </c>
      <c r="D201" s="18" t="str">
        <f aca="false">IFERROR(INDEX(종합!D$3:D$501,MATCH(ROW()-2,종합!$AD$3:$AD$501,0))&amp;"","")</f>
        <v/>
      </c>
      <c r="E201" s="18" t="str">
        <f aca="false">IFERROR(INDEX(종합!E$3:E$501,MATCH(ROW()-2,종합!$AD$3:$AD$501,0))&amp;"","")</f>
        <v/>
      </c>
      <c r="F201" s="18" t="str">
        <f aca="false">IFERROR(INDEX(종합!F$3:F$501,MATCH(ROW()-2,종합!$AD$3:$AD$501,0))&amp;"","")</f>
        <v/>
      </c>
      <c r="G201" s="18" t="str">
        <f aca="false">IFERROR(INDEX(종합!G$3:G$501,MATCH(ROW()-2,종합!$AD$3:$AD$501,0))&amp;"","")</f>
        <v/>
      </c>
      <c r="H201" s="21" t="str">
        <f aca="false">IFERROR(INDEX(종합!H$3:H$501,MATCH(ROW()-2,종합!$AD$3:$AD$501,0))&amp;"","")</f>
        <v/>
      </c>
      <c r="I201" s="21" t="str">
        <f aca="false">IFERROR(INDEX(종합!I$3:I$501,MATCH(ROW()-2,종합!$AD$3:$AD$501,0))&amp;"","")</f>
        <v/>
      </c>
      <c r="J201" s="21" t="str">
        <f aca="false">IFERROR(INDEX(종합!J$3:J$501,MATCH(ROW()-2,종합!$AD$3:$AD$501,0))&amp;"","")</f>
        <v/>
      </c>
      <c r="K201" s="21" t="str">
        <f aca="false">IFERROR(INDEX(종합!K$3:K$501,MATCH(ROW()-2,종합!$AD$3:$AD$501,0))&amp;"","")</f>
        <v/>
      </c>
      <c r="L201" s="21" t="str">
        <f aca="false">IFERROR(INDEX(종합!L$3:L$501,MATCH(ROW()-2,종합!$AD$3:$AD$501,0))&amp;"","")</f>
        <v/>
      </c>
      <c r="M201" s="21" t="str">
        <f aca="false">IFERROR(INDEX(종합!M$3:M$501,MATCH(ROW()-2,종합!$AD$3:$AD$501,0))&amp;"","")</f>
        <v/>
      </c>
      <c r="N201" s="25" t="str">
        <f aca="false">IFERROR(INDEX(종합!N$3:N$501,MATCH(ROW()-2,종합!$AD$3:$AD$501,0))&amp;"","")</f>
        <v/>
      </c>
      <c r="O201" s="21" t="str">
        <f aca="false">IFERROR(INDEX(종합!O$3:O$501,MATCH(ROW()-2,종합!$AD$3:$AD$501,0))&amp;"","")</f>
        <v/>
      </c>
      <c r="P201" s="21" t="str">
        <f aca="false">IFERROR(INDEX(종합!P$3:P$501,MATCH(ROW()-2,종합!$AD$3:$AD$501,0))&amp;"","")</f>
        <v/>
      </c>
      <c r="Q201" s="21" t="str">
        <f aca="false">IFERROR(INDEX(종합!Q$3:Q$501,MATCH(ROW()-2,종합!$AD$3:$AD$501,0))&amp;"","")</f>
        <v/>
      </c>
      <c r="R201" s="21" t="str">
        <f aca="false">IFERROR(INDEX(종합!R$3:R$501,MATCH(ROW()-2,종합!$AD$3:$AD$501,0))&amp;"","")</f>
        <v/>
      </c>
      <c r="S201" s="21" t="str">
        <f aca="false">IFERROR(INDEX(종합!S$3:S$501,MATCH(ROW()-2,종합!$AD$3:$AD$501,0))&amp;"","")</f>
        <v/>
      </c>
      <c r="T201" s="21" t="str">
        <f aca="false">IFERROR(INDEX(종합!T$3:T$501,MATCH(ROW()-2,종합!$AD$3:$AD$501,0))&amp;"","")</f>
        <v/>
      </c>
      <c r="U201" s="21" t="str">
        <f aca="false">IFERROR(INDEX(종합!U$3:U$501,MATCH(ROW()-2,종합!$AD$3:$AD$501,0))&amp;"","")</f>
        <v/>
      </c>
      <c r="V201" s="21" t="str">
        <f aca="false">IFERROR(INDEX(종합!V$3:V$501,MATCH(ROW()-2,종합!$AD$3:$AD$501,0))&amp;"","")</f>
        <v/>
      </c>
      <c r="W201" s="21" t="str">
        <f aca="false">IFERROR(INDEX(종합!W$3:W$501,MATCH(ROW()-2,종합!$AD$3:$AD$501,0))&amp;"","")</f>
        <v/>
      </c>
      <c r="X201" s="21" t="str">
        <f aca="false">IFERROR(INDEX(종합!X$3:X$501,MATCH(ROW()-2,종합!$AD$3:$AD$501,0))&amp;"","")</f>
        <v/>
      </c>
      <c r="Y201" s="21" t="str">
        <f aca="false">IFERROR(INDEX(종합!Y$3:Y$501,MATCH(ROW()-2,종합!$AD$3:$AD$501,0))&amp;"","")</f>
        <v/>
      </c>
      <c r="Z201" s="21" t="str">
        <f aca="false">IFERROR(INDEX(종합!Z$3:Z$501,MATCH(ROW()-2,종합!$AD$3:$AD$501,0))&amp;"","")</f>
        <v/>
      </c>
      <c r="AA201" s="23" t="str">
        <f aca="false">IFERROR(INDEX(종합!AA$3:AA$501,MATCH(ROW()-2,종합!$AD$3:$AD$501,0))&amp;"","")</f>
        <v/>
      </c>
    </row>
    <row r="202" customFormat="false" ht="16.5" hidden="false" customHeight="true" outlineLevel="0" collapsed="false">
      <c r="A202" s="18" t="str">
        <f aca="false">IF(B202="","",ROW()-2)</f>
        <v/>
      </c>
      <c r="B202" s="18" t="str">
        <f aca="false">IFERROR(INDEX(종합!B$3:B$501,MATCH(ROW()-2,종합!$AD$3:$AD$501,0))&amp;"","")</f>
        <v/>
      </c>
      <c r="C202" s="18" t="str">
        <f aca="false">IFERROR(INDEX(종합!C$3:C$501,MATCH(ROW()-2,종합!$AD$3:$AD$501,0))&amp;"","")</f>
        <v/>
      </c>
      <c r="D202" s="18" t="str">
        <f aca="false">IFERROR(INDEX(종합!D$3:D$501,MATCH(ROW()-2,종합!$AD$3:$AD$501,0))&amp;"","")</f>
        <v/>
      </c>
      <c r="E202" s="18" t="str">
        <f aca="false">IFERROR(INDEX(종합!E$3:E$501,MATCH(ROW()-2,종합!$AD$3:$AD$501,0))&amp;"","")</f>
        <v/>
      </c>
      <c r="F202" s="18" t="str">
        <f aca="false">IFERROR(INDEX(종합!F$3:F$501,MATCH(ROW()-2,종합!$AD$3:$AD$501,0))&amp;"","")</f>
        <v/>
      </c>
      <c r="G202" s="18" t="str">
        <f aca="false">IFERROR(INDEX(종합!G$3:G$501,MATCH(ROW()-2,종합!$AD$3:$AD$501,0))&amp;"","")</f>
        <v/>
      </c>
      <c r="H202" s="21" t="str">
        <f aca="false">IFERROR(INDEX(종합!H$3:H$501,MATCH(ROW()-2,종합!$AD$3:$AD$501,0))&amp;"","")</f>
        <v/>
      </c>
      <c r="I202" s="21" t="str">
        <f aca="false">IFERROR(INDEX(종합!I$3:I$501,MATCH(ROW()-2,종합!$AD$3:$AD$501,0))&amp;"","")</f>
        <v/>
      </c>
      <c r="J202" s="21" t="str">
        <f aca="false">IFERROR(INDEX(종합!J$3:J$501,MATCH(ROW()-2,종합!$AD$3:$AD$501,0))&amp;"","")</f>
        <v/>
      </c>
      <c r="K202" s="21" t="str">
        <f aca="false">IFERROR(INDEX(종합!K$3:K$501,MATCH(ROW()-2,종합!$AD$3:$AD$501,0))&amp;"","")</f>
        <v/>
      </c>
      <c r="L202" s="21" t="str">
        <f aca="false">IFERROR(INDEX(종합!L$3:L$501,MATCH(ROW()-2,종합!$AD$3:$AD$501,0))&amp;"","")</f>
        <v/>
      </c>
      <c r="M202" s="21" t="str">
        <f aca="false">IFERROR(INDEX(종합!M$3:M$501,MATCH(ROW()-2,종합!$AD$3:$AD$501,0))&amp;"","")</f>
        <v/>
      </c>
      <c r="N202" s="25" t="str">
        <f aca="false">IFERROR(INDEX(종합!N$3:N$501,MATCH(ROW()-2,종합!$AD$3:$AD$501,0))&amp;"","")</f>
        <v/>
      </c>
      <c r="O202" s="21" t="str">
        <f aca="false">IFERROR(INDEX(종합!O$3:O$501,MATCH(ROW()-2,종합!$AD$3:$AD$501,0))&amp;"","")</f>
        <v/>
      </c>
      <c r="P202" s="21" t="str">
        <f aca="false">IFERROR(INDEX(종합!P$3:P$501,MATCH(ROW()-2,종합!$AD$3:$AD$501,0))&amp;"","")</f>
        <v/>
      </c>
      <c r="Q202" s="21" t="str">
        <f aca="false">IFERROR(INDEX(종합!Q$3:Q$501,MATCH(ROW()-2,종합!$AD$3:$AD$501,0))&amp;"","")</f>
        <v/>
      </c>
      <c r="R202" s="21" t="str">
        <f aca="false">IFERROR(INDEX(종합!R$3:R$501,MATCH(ROW()-2,종합!$AD$3:$AD$501,0))&amp;"","")</f>
        <v/>
      </c>
      <c r="S202" s="21" t="str">
        <f aca="false">IFERROR(INDEX(종합!S$3:S$501,MATCH(ROW()-2,종합!$AD$3:$AD$501,0))&amp;"","")</f>
        <v/>
      </c>
      <c r="T202" s="21" t="str">
        <f aca="false">IFERROR(INDEX(종합!T$3:T$501,MATCH(ROW()-2,종합!$AD$3:$AD$501,0))&amp;"","")</f>
        <v/>
      </c>
      <c r="U202" s="21" t="str">
        <f aca="false">IFERROR(INDEX(종합!U$3:U$501,MATCH(ROW()-2,종합!$AD$3:$AD$501,0))&amp;"","")</f>
        <v/>
      </c>
      <c r="V202" s="21" t="str">
        <f aca="false">IFERROR(INDEX(종합!V$3:V$501,MATCH(ROW()-2,종합!$AD$3:$AD$501,0))&amp;"","")</f>
        <v/>
      </c>
      <c r="W202" s="21" t="str">
        <f aca="false">IFERROR(INDEX(종합!W$3:W$501,MATCH(ROW()-2,종합!$AD$3:$AD$501,0))&amp;"","")</f>
        <v/>
      </c>
      <c r="X202" s="21" t="str">
        <f aca="false">IFERROR(INDEX(종합!X$3:X$501,MATCH(ROW()-2,종합!$AD$3:$AD$501,0))&amp;"","")</f>
        <v/>
      </c>
      <c r="Y202" s="21" t="str">
        <f aca="false">IFERROR(INDEX(종합!Y$3:Y$501,MATCH(ROW()-2,종합!$AD$3:$AD$501,0))&amp;"","")</f>
        <v/>
      </c>
      <c r="Z202" s="21" t="str">
        <f aca="false">IFERROR(INDEX(종합!Z$3:Z$501,MATCH(ROW()-2,종합!$AD$3:$AD$501,0))&amp;"","")</f>
        <v/>
      </c>
      <c r="AA202" s="23" t="str">
        <f aca="false">IFERROR(INDEX(종합!AA$3:AA$501,MATCH(ROW()-2,종합!$AD$3:$AD$501,0))&amp;"","")</f>
        <v/>
      </c>
    </row>
    <row r="203" customFormat="false" ht="16.5" hidden="false" customHeight="true" outlineLevel="0" collapsed="false">
      <c r="A203" s="18" t="str">
        <f aca="false">IF(B203="","",ROW()-2)</f>
        <v/>
      </c>
      <c r="B203" s="18" t="str">
        <f aca="false">IFERROR(INDEX(종합!B$3:B$501,MATCH(ROW()-2,종합!$AD$3:$AD$501,0))&amp;"","")</f>
        <v/>
      </c>
      <c r="C203" s="18" t="str">
        <f aca="false">IFERROR(INDEX(종합!C$3:C$501,MATCH(ROW()-2,종합!$AD$3:$AD$501,0))&amp;"","")</f>
        <v/>
      </c>
      <c r="D203" s="18" t="str">
        <f aca="false">IFERROR(INDEX(종합!D$3:D$501,MATCH(ROW()-2,종합!$AD$3:$AD$501,0))&amp;"","")</f>
        <v/>
      </c>
      <c r="E203" s="18" t="str">
        <f aca="false">IFERROR(INDEX(종합!E$3:E$501,MATCH(ROW()-2,종합!$AD$3:$AD$501,0))&amp;"","")</f>
        <v/>
      </c>
      <c r="F203" s="18" t="str">
        <f aca="false">IFERROR(INDEX(종합!F$3:F$501,MATCH(ROW()-2,종합!$AD$3:$AD$501,0))&amp;"","")</f>
        <v/>
      </c>
      <c r="G203" s="18" t="str">
        <f aca="false">IFERROR(INDEX(종합!G$3:G$501,MATCH(ROW()-2,종합!$AD$3:$AD$501,0))&amp;"","")</f>
        <v/>
      </c>
      <c r="H203" s="21" t="str">
        <f aca="false">IFERROR(INDEX(종합!H$3:H$501,MATCH(ROW()-2,종합!$AD$3:$AD$501,0))&amp;"","")</f>
        <v/>
      </c>
      <c r="I203" s="21" t="str">
        <f aca="false">IFERROR(INDEX(종합!I$3:I$501,MATCH(ROW()-2,종합!$AD$3:$AD$501,0))&amp;"","")</f>
        <v/>
      </c>
      <c r="J203" s="21" t="str">
        <f aca="false">IFERROR(INDEX(종합!J$3:J$501,MATCH(ROW()-2,종합!$AD$3:$AD$501,0))&amp;"","")</f>
        <v/>
      </c>
      <c r="K203" s="21" t="str">
        <f aca="false">IFERROR(INDEX(종합!K$3:K$501,MATCH(ROW()-2,종합!$AD$3:$AD$501,0))&amp;"","")</f>
        <v/>
      </c>
      <c r="L203" s="21" t="str">
        <f aca="false">IFERROR(INDEX(종합!L$3:L$501,MATCH(ROW()-2,종합!$AD$3:$AD$501,0))&amp;"","")</f>
        <v/>
      </c>
      <c r="M203" s="21" t="str">
        <f aca="false">IFERROR(INDEX(종합!M$3:M$501,MATCH(ROW()-2,종합!$AD$3:$AD$501,0))&amp;"","")</f>
        <v/>
      </c>
      <c r="N203" s="25" t="str">
        <f aca="false">IFERROR(INDEX(종합!N$3:N$501,MATCH(ROW()-2,종합!$AD$3:$AD$501,0))&amp;"","")</f>
        <v/>
      </c>
      <c r="O203" s="21" t="str">
        <f aca="false">IFERROR(INDEX(종합!O$3:O$501,MATCH(ROW()-2,종합!$AD$3:$AD$501,0))&amp;"","")</f>
        <v/>
      </c>
      <c r="P203" s="21" t="str">
        <f aca="false">IFERROR(INDEX(종합!P$3:P$501,MATCH(ROW()-2,종합!$AD$3:$AD$501,0))&amp;"","")</f>
        <v/>
      </c>
      <c r="Q203" s="21" t="str">
        <f aca="false">IFERROR(INDEX(종합!Q$3:Q$501,MATCH(ROW()-2,종합!$AD$3:$AD$501,0))&amp;"","")</f>
        <v/>
      </c>
      <c r="R203" s="21" t="str">
        <f aca="false">IFERROR(INDEX(종합!R$3:R$501,MATCH(ROW()-2,종합!$AD$3:$AD$501,0))&amp;"","")</f>
        <v/>
      </c>
      <c r="S203" s="21" t="str">
        <f aca="false">IFERROR(INDEX(종합!S$3:S$501,MATCH(ROW()-2,종합!$AD$3:$AD$501,0))&amp;"","")</f>
        <v/>
      </c>
      <c r="T203" s="21" t="str">
        <f aca="false">IFERROR(INDEX(종합!T$3:T$501,MATCH(ROW()-2,종합!$AD$3:$AD$501,0))&amp;"","")</f>
        <v/>
      </c>
      <c r="U203" s="21" t="str">
        <f aca="false">IFERROR(INDEX(종합!U$3:U$501,MATCH(ROW()-2,종합!$AD$3:$AD$501,0))&amp;"","")</f>
        <v/>
      </c>
      <c r="V203" s="21" t="str">
        <f aca="false">IFERROR(INDEX(종합!V$3:V$501,MATCH(ROW()-2,종합!$AD$3:$AD$501,0))&amp;"","")</f>
        <v/>
      </c>
      <c r="W203" s="21" t="str">
        <f aca="false">IFERROR(INDEX(종합!W$3:W$501,MATCH(ROW()-2,종합!$AD$3:$AD$501,0))&amp;"","")</f>
        <v/>
      </c>
      <c r="X203" s="21" t="str">
        <f aca="false">IFERROR(INDEX(종합!X$3:X$501,MATCH(ROW()-2,종합!$AD$3:$AD$501,0))&amp;"","")</f>
        <v/>
      </c>
      <c r="Y203" s="21" t="str">
        <f aca="false">IFERROR(INDEX(종합!Y$3:Y$501,MATCH(ROW()-2,종합!$AD$3:$AD$501,0))&amp;"","")</f>
        <v/>
      </c>
      <c r="Z203" s="21" t="str">
        <f aca="false">IFERROR(INDEX(종합!Z$3:Z$501,MATCH(ROW()-2,종합!$AD$3:$AD$501,0))&amp;"","")</f>
        <v/>
      </c>
      <c r="AA203" s="23" t="str">
        <f aca="false">IFERROR(INDEX(종합!AA$3:AA$501,MATCH(ROW()-2,종합!$AD$3:$AD$501,0))&amp;"","")</f>
        <v/>
      </c>
    </row>
    <row r="204" customFormat="false" ht="16.5" hidden="false" customHeight="true" outlineLevel="0" collapsed="false">
      <c r="A204" s="18" t="str">
        <f aca="false">IF(B204="","",ROW()-2)</f>
        <v/>
      </c>
      <c r="B204" s="18" t="str">
        <f aca="false">IFERROR(INDEX(종합!B$3:B$501,MATCH(ROW()-2,종합!$AD$3:$AD$501,0))&amp;"","")</f>
        <v/>
      </c>
      <c r="C204" s="18" t="str">
        <f aca="false">IFERROR(INDEX(종합!C$3:C$501,MATCH(ROW()-2,종합!$AD$3:$AD$501,0))&amp;"","")</f>
        <v/>
      </c>
      <c r="D204" s="18" t="str">
        <f aca="false">IFERROR(INDEX(종합!D$3:D$501,MATCH(ROW()-2,종합!$AD$3:$AD$501,0))&amp;"","")</f>
        <v/>
      </c>
      <c r="E204" s="18" t="str">
        <f aca="false">IFERROR(INDEX(종합!E$3:E$501,MATCH(ROW()-2,종합!$AD$3:$AD$501,0))&amp;"","")</f>
        <v/>
      </c>
      <c r="F204" s="18" t="str">
        <f aca="false">IFERROR(INDEX(종합!F$3:F$501,MATCH(ROW()-2,종합!$AD$3:$AD$501,0))&amp;"","")</f>
        <v/>
      </c>
      <c r="G204" s="18" t="str">
        <f aca="false">IFERROR(INDEX(종합!G$3:G$501,MATCH(ROW()-2,종합!$AD$3:$AD$501,0))&amp;"","")</f>
        <v/>
      </c>
      <c r="H204" s="21" t="str">
        <f aca="false">IFERROR(INDEX(종합!H$3:H$501,MATCH(ROW()-2,종합!$AD$3:$AD$501,0))&amp;"","")</f>
        <v/>
      </c>
      <c r="I204" s="21" t="str">
        <f aca="false">IFERROR(INDEX(종합!I$3:I$501,MATCH(ROW()-2,종합!$AD$3:$AD$501,0))&amp;"","")</f>
        <v/>
      </c>
      <c r="J204" s="21" t="str">
        <f aca="false">IFERROR(INDEX(종합!J$3:J$501,MATCH(ROW()-2,종합!$AD$3:$AD$501,0))&amp;"","")</f>
        <v/>
      </c>
      <c r="K204" s="21" t="str">
        <f aca="false">IFERROR(INDEX(종합!K$3:K$501,MATCH(ROW()-2,종합!$AD$3:$AD$501,0))&amp;"","")</f>
        <v/>
      </c>
      <c r="L204" s="21" t="str">
        <f aca="false">IFERROR(INDEX(종합!L$3:L$501,MATCH(ROW()-2,종합!$AD$3:$AD$501,0))&amp;"","")</f>
        <v/>
      </c>
      <c r="M204" s="21" t="str">
        <f aca="false">IFERROR(INDEX(종합!M$3:M$501,MATCH(ROW()-2,종합!$AD$3:$AD$501,0))&amp;"","")</f>
        <v/>
      </c>
      <c r="N204" s="25" t="str">
        <f aca="false">IFERROR(INDEX(종합!N$3:N$501,MATCH(ROW()-2,종합!$AD$3:$AD$501,0))&amp;"","")</f>
        <v/>
      </c>
      <c r="O204" s="21" t="str">
        <f aca="false">IFERROR(INDEX(종합!O$3:O$501,MATCH(ROW()-2,종합!$AD$3:$AD$501,0))&amp;"","")</f>
        <v/>
      </c>
      <c r="P204" s="21" t="str">
        <f aca="false">IFERROR(INDEX(종합!P$3:P$501,MATCH(ROW()-2,종합!$AD$3:$AD$501,0))&amp;"","")</f>
        <v/>
      </c>
      <c r="Q204" s="21" t="str">
        <f aca="false">IFERROR(INDEX(종합!Q$3:Q$501,MATCH(ROW()-2,종합!$AD$3:$AD$501,0))&amp;"","")</f>
        <v/>
      </c>
      <c r="R204" s="21" t="str">
        <f aca="false">IFERROR(INDEX(종합!R$3:R$501,MATCH(ROW()-2,종합!$AD$3:$AD$501,0))&amp;"","")</f>
        <v/>
      </c>
      <c r="S204" s="21" t="str">
        <f aca="false">IFERROR(INDEX(종합!S$3:S$501,MATCH(ROW()-2,종합!$AD$3:$AD$501,0))&amp;"","")</f>
        <v/>
      </c>
      <c r="T204" s="21" t="str">
        <f aca="false">IFERROR(INDEX(종합!T$3:T$501,MATCH(ROW()-2,종합!$AD$3:$AD$501,0))&amp;"","")</f>
        <v/>
      </c>
      <c r="U204" s="21" t="str">
        <f aca="false">IFERROR(INDEX(종합!U$3:U$501,MATCH(ROW()-2,종합!$AD$3:$AD$501,0))&amp;"","")</f>
        <v/>
      </c>
      <c r="V204" s="21" t="str">
        <f aca="false">IFERROR(INDEX(종합!V$3:V$501,MATCH(ROW()-2,종합!$AD$3:$AD$501,0))&amp;"","")</f>
        <v/>
      </c>
      <c r="W204" s="21" t="str">
        <f aca="false">IFERROR(INDEX(종합!W$3:W$501,MATCH(ROW()-2,종합!$AD$3:$AD$501,0))&amp;"","")</f>
        <v/>
      </c>
      <c r="X204" s="21" t="str">
        <f aca="false">IFERROR(INDEX(종합!X$3:X$501,MATCH(ROW()-2,종합!$AD$3:$AD$501,0))&amp;"","")</f>
        <v/>
      </c>
      <c r="Y204" s="21" t="str">
        <f aca="false">IFERROR(INDEX(종합!Y$3:Y$501,MATCH(ROW()-2,종합!$AD$3:$AD$501,0))&amp;"","")</f>
        <v/>
      </c>
      <c r="Z204" s="21" t="str">
        <f aca="false">IFERROR(INDEX(종합!Z$3:Z$501,MATCH(ROW()-2,종합!$AD$3:$AD$501,0))&amp;"","")</f>
        <v/>
      </c>
      <c r="AA204" s="23" t="str">
        <f aca="false">IFERROR(INDEX(종합!AA$3:AA$501,MATCH(ROW()-2,종합!$AD$3:$AD$501,0))&amp;"","")</f>
        <v/>
      </c>
    </row>
    <row r="205" customFormat="false" ht="16.5" hidden="false" customHeight="true" outlineLevel="0" collapsed="false">
      <c r="A205" s="18" t="str">
        <f aca="false">IF(B205="","",ROW()-2)</f>
        <v/>
      </c>
      <c r="B205" s="18" t="str">
        <f aca="false">IFERROR(INDEX(종합!B$3:B$501,MATCH(ROW()-2,종합!$AD$3:$AD$501,0))&amp;"","")</f>
        <v/>
      </c>
      <c r="C205" s="18" t="str">
        <f aca="false">IFERROR(INDEX(종합!C$3:C$501,MATCH(ROW()-2,종합!$AD$3:$AD$501,0))&amp;"","")</f>
        <v/>
      </c>
      <c r="D205" s="18" t="str">
        <f aca="false">IFERROR(INDEX(종합!D$3:D$501,MATCH(ROW()-2,종합!$AD$3:$AD$501,0))&amp;"","")</f>
        <v/>
      </c>
      <c r="E205" s="18" t="str">
        <f aca="false">IFERROR(INDEX(종합!E$3:E$501,MATCH(ROW()-2,종합!$AD$3:$AD$501,0))&amp;"","")</f>
        <v/>
      </c>
      <c r="F205" s="18" t="str">
        <f aca="false">IFERROR(INDEX(종합!F$3:F$501,MATCH(ROW()-2,종합!$AD$3:$AD$501,0))&amp;"","")</f>
        <v/>
      </c>
      <c r="G205" s="18" t="str">
        <f aca="false">IFERROR(INDEX(종합!G$3:G$501,MATCH(ROW()-2,종합!$AD$3:$AD$501,0))&amp;"","")</f>
        <v/>
      </c>
      <c r="H205" s="21" t="str">
        <f aca="false">IFERROR(INDEX(종합!H$3:H$501,MATCH(ROW()-2,종합!$AD$3:$AD$501,0))&amp;"","")</f>
        <v/>
      </c>
      <c r="I205" s="21" t="str">
        <f aca="false">IFERROR(INDEX(종합!I$3:I$501,MATCH(ROW()-2,종합!$AD$3:$AD$501,0))&amp;"","")</f>
        <v/>
      </c>
      <c r="J205" s="21" t="str">
        <f aca="false">IFERROR(INDEX(종합!J$3:J$501,MATCH(ROW()-2,종합!$AD$3:$AD$501,0))&amp;"","")</f>
        <v/>
      </c>
      <c r="K205" s="21" t="str">
        <f aca="false">IFERROR(INDEX(종합!K$3:K$501,MATCH(ROW()-2,종합!$AD$3:$AD$501,0))&amp;"","")</f>
        <v/>
      </c>
      <c r="L205" s="21" t="str">
        <f aca="false">IFERROR(INDEX(종합!L$3:L$501,MATCH(ROW()-2,종합!$AD$3:$AD$501,0))&amp;"","")</f>
        <v/>
      </c>
      <c r="M205" s="21" t="str">
        <f aca="false">IFERROR(INDEX(종합!M$3:M$501,MATCH(ROW()-2,종합!$AD$3:$AD$501,0))&amp;"","")</f>
        <v/>
      </c>
      <c r="N205" s="25" t="str">
        <f aca="false">IFERROR(INDEX(종합!N$3:N$501,MATCH(ROW()-2,종합!$AD$3:$AD$501,0))&amp;"","")</f>
        <v/>
      </c>
      <c r="O205" s="21" t="str">
        <f aca="false">IFERROR(INDEX(종합!O$3:O$501,MATCH(ROW()-2,종합!$AD$3:$AD$501,0))&amp;"","")</f>
        <v/>
      </c>
      <c r="P205" s="21" t="str">
        <f aca="false">IFERROR(INDEX(종합!P$3:P$501,MATCH(ROW()-2,종합!$AD$3:$AD$501,0))&amp;"","")</f>
        <v/>
      </c>
      <c r="Q205" s="21" t="str">
        <f aca="false">IFERROR(INDEX(종합!Q$3:Q$501,MATCH(ROW()-2,종합!$AD$3:$AD$501,0))&amp;"","")</f>
        <v/>
      </c>
      <c r="R205" s="21" t="str">
        <f aca="false">IFERROR(INDEX(종합!R$3:R$501,MATCH(ROW()-2,종합!$AD$3:$AD$501,0))&amp;"","")</f>
        <v/>
      </c>
      <c r="S205" s="21" t="str">
        <f aca="false">IFERROR(INDEX(종합!S$3:S$501,MATCH(ROW()-2,종합!$AD$3:$AD$501,0))&amp;"","")</f>
        <v/>
      </c>
      <c r="T205" s="21" t="str">
        <f aca="false">IFERROR(INDEX(종합!T$3:T$501,MATCH(ROW()-2,종합!$AD$3:$AD$501,0))&amp;"","")</f>
        <v/>
      </c>
      <c r="U205" s="21" t="str">
        <f aca="false">IFERROR(INDEX(종합!U$3:U$501,MATCH(ROW()-2,종합!$AD$3:$AD$501,0))&amp;"","")</f>
        <v/>
      </c>
      <c r="V205" s="21" t="str">
        <f aca="false">IFERROR(INDEX(종합!V$3:V$501,MATCH(ROW()-2,종합!$AD$3:$AD$501,0))&amp;"","")</f>
        <v/>
      </c>
      <c r="W205" s="21" t="str">
        <f aca="false">IFERROR(INDEX(종합!W$3:W$501,MATCH(ROW()-2,종합!$AD$3:$AD$501,0))&amp;"","")</f>
        <v/>
      </c>
      <c r="X205" s="21" t="str">
        <f aca="false">IFERROR(INDEX(종합!X$3:X$501,MATCH(ROW()-2,종합!$AD$3:$AD$501,0))&amp;"","")</f>
        <v/>
      </c>
      <c r="Y205" s="21" t="str">
        <f aca="false">IFERROR(INDEX(종합!Y$3:Y$501,MATCH(ROW()-2,종합!$AD$3:$AD$501,0))&amp;"","")</f>
        <v/>
      </c>
      <c r="Z205" s="21" t="str">
        <f aca="false">IFERROR(INDEX(종합!Z$3:Z$501,MATCH(ROW()-2,종합!$AD$3:$AD$501,0))&amp;"","")</f>
        <v/>
      </c>
      <c r="AA205" s="23" t="str">
        <f aca="false">IFERROR(INDEX(종합!AA$3:AA$501,MATCH(ROW()-2,종합!$AD$3:$AD$501,0))&amp;"","")</f>
        <v/>
      </c>
    </row>
    <row r="206" customFormat="false" ht="16.5" hidden="false" customHeight="true" outlineLevel="0" collapsed="false">
      <c r="A206" s="18" t="str">
        <f aca="false">IF(B206="","",ROW()-2)</f>
        <v/>
      </c>
      <c r="B206" s="18" t="str">
        <f aca="false">IFERROR(INDEX(종합!B$3:B$501,MATCH(ROW()-2,종합!$AD$3:$AD$501,0))&amp;"","")</f>
        <v/>
      </c>
      <c r="C206" s="18" t="str">
        <f aca="false">IFERROR(INDEX(종합!C$3:C$501,MATCH(ROW()-2,종합!$AD$3:$AD$501,0))&amp;"","")</f>
        <v/>
      </c>
      <c r="D206" s="18" t="str">
        <f aca="false">IFERROR(INDEX(종합!D$3:D$501,MATCH(ROW()-2,종합!$AD$3:$AD$501,0))&amp;"","")</f>
        <v/>
      </c>
      <c r="E206" s="18" t="str">
        <f aca="false">IFERROR(INDEX(종합!E$3:E$501,MATCH(ROW()-2,종합!$AD$3:$AD$501,0))&amp;"","")</f>
        <v/>
      </c>
      <c r="F206" s="18" t="str">
        <f aca="false">IFERROR(INDEX(종합!F$3:F$501,MATCH(ROW()-2,종합!$AD$3:$AD$501,0))&amp;"","")</f>
        <v/>
      </c>
      <c r="G206" s="18" t="str">
        <f aca="false">IFERROR(INDEX(종합!G$3:G$501,MATCH(ROW()-2,종합!$AD$3:$AD$501,0))&amp;"","")</f>
        <v/>
      </c>
      <c r="H206" s="21" t="str">
        <f aca="false">IFERROR(INDEX(종합!H$3:H$501,MATCH(ROW()-2,종합!$AD$3:$AD$501,0))&amp;"","")</f>
        <v/>
      </c>
      <c r="I206" s="21" t="str">
        <f aca="false">IFERROR(INDEX(종합!I$3:I$501,MATCH(ROW()-2,종합!$AD$3:$AD$501,0))&amp;"","")</f>
        <v/>
      </c>
      <c r="J206" s="21" t="str">
        <f aca="false">IFERROR(INDEX(종합!J$3:J$501,MATCH(ROW()-2,종합!$AD$3:$AD$501,0))&amp;"","")</f>
        <v/>
      </c>
      <c r="K206" s="21" t="str">
        <f aca="false">IFERROR(INDEX(종합!K$3:K$501,MATCH(ROW()-2,종합!$AD$3:$AD$501,0))&amp;"","")</f>
        <v/>
      </c>
      <c r="L206" s="21" t="str">
        <f aca="false">IFERROR(INDEX(종합!L$3:L$501,MATCH(ROW()-2,종합!$AD$3:$AD$501,0))&amp;"","")</f>
        <v/>
      </c>
      <c r="M206" s="21" t="str">
        <f aca="false">IFERROR(INDEX(종합!M$3:M$501,MATCH(ROW()-2,종합!$AD$3:$AD$501,0))&amp;"","")</f>
        <v/>
      </c>
      <c r="N206" s="25" t="str">
        <f aca="false">IFERROR(INDEX(종합!N$3:N$501,MATCH(ROW()-2,종합!$AD$3:$AD$501,0))&amp;"","")</f>
        <v/>
      </c>
      <c r="O206" s="21" t="str">
        <f aca="false">IFERROR(INDEX(종합!O$3:O$501,MATCH(ROW()-2,종합!$AD$3:$AD$501,0))&amp;"","")</f>
        <v/>
      </c>
      <c r="P206" s="21" t="str">
        <f aca="false">IFERROR(INDEX(종합!P$3:P$501,MATCH(ROW()-2,종합!$AD$3:$AD$501,0))&amp;"","")</f>
        <v/>
      </c>
      <c r="Q206" s="21" t="str">
        <f aca="false">IFERROR(INDEX(종합!Q$3:Q$501,MATCH(ROW()-2,종합!$AD$3:$AD$501,0))&amp;"","")</f>
        <v/>
      </c>
      <c r="R206" s="21" t="str">
        <f aca="false">IFERROR(INDEX(종합!R$3:R$501,MATCH(ROW()-2,종합!$AD$3:$AD$501,0))&amp;"","")</f>
        <v/>
      </c>
      <c r="S206" s="21" t="str">
        <f aca="false">IFERROR(INDEX(종합!S$3:S$501,MATCH(ROW()-2,종합!$AD$3:$AD$501,0))&amp;"","")</f>
        <v/>
      </c>
      <c r="T206" s="21" t="str">
        <f aca="false">IFERROR(INDEX(종합!T$3:T$501,MATCH(ROW()-2,종합!$AD$3:$AD$501,0))&amp;"","")</f>
        <v/>
      </c>
      <c r="U206" s="21" t="str">
        <f aca="false">IFERROR(INDEX(종합!U$3:U$501,MATCH(ROW()-2,종합!$AD$3:$AD$501,0))&amp;"","")</f>
        <v/>
      </c>
      <c r="V206" s="21" t="str">
        <f aca="false">IFERROR(INDEX(종합!V$3:V$501,MATCH(ROW()-2,종합!$AD$3:$AD$501,0))&amp;"","")</f>
        <v/>
      </c>
      <c r="W206" s="21" t="str">
        <f aca="false">IFERROR(INDEX(종합!W$3:W$501,MATCH(ROW()-2,종합!$AD$3:$AD$501,0))&amp;"","")</f>
        <v/>
      </c>
      <c r="X206" s="21" t="str">
        <f aca="false">IFERROR(INDEX(종합!X$3:X$501,MATCH(ROW()-2,종합!$AD$3:$AD$501,0))&amp;"","")</f>
        <v/>
      </c>
      <c r="Y206" s="21" t="str">
        <f aca="false">IFERROR(INDEX(종합!Y$3:Y$501,MATCH(ROW()-2,종합!$AD$3:$AD$501,0))&amp;"","")</f>
        <v/>
      </c>
      <c r="Z206" s="21" t="str">
        <f aca="false">IFERROR(INDEX(종합!Z$3:Z$501,MATCH(ROW()-2,종합!$AD$3:$AD$501,0))&amp;"","")</f>
        <v/>
      </c>
      <c r="AA206" s="23" t="str">
        <f aca="false">IFERROR(INDEX(종합!AA$3:AA$501,MATCH(ROW()-2,종합!$AD$3:$AD$501,0))&amp;"","")</f>
        <v/>
      </c>
    </row>
    <row r="207" customFormat="false" ht="16.5" hidden="false" customHeight="true" outlineLevel="0" collapsed="false">
      <c r="A207" s="18" t="str">
        <f aca="false">IF(B207="","",ROW()-2)</f>
        <v/>
      </c>
      <c r="B207" s="18" t="str">
        <f aca="false">IFERROR(INDEX(종합!B$3:B$501,MATCH(ROW()-2,종합!$AD$3:$AD$501,0))&amp;"","")</f>
        <v/>
      </c>
      <c r="C207" s="18" t="str">
        <f aca="false">IFERROR(INDEX(종합!C$3:C$501,MATCH(ROW()-2,종합!$AD$3:$AD$501,0))&amp;"","")</f>
        <v/>
      </c>
      <c r="D207" s="18" t="str">
        <f aca="false">IFERROR(INDEX(종합!D$3:D$501,MATCH(ROW()-2,종합!$AD$3:$AD$501,0))&amp;"","")</f>
        <v/>
      </c>
      <c r="E207" s="18" t="str">
        <f aca="false">IFERROR(INDEX(종합!E$3:E$501,MATCH(ROW()-2,종합!$AD$3:$AD$501,0))&amp;"","")</f>
        <v/>
      </c>
      <c r="F207" s="18" t="str">
        <f aca="false">IFERROR(INDEX(종합!F$3:F$501,MATCH(ROW()-2,종합!$AD$3:$AD$501,0))&amp;"","")</f>
        <v/>
      </c>
      <c r="G207" s="18" t="str">
        <f aca="false">IFERROR(INDEX(종합!G$3:G$501,MATCH(ROW()-2,종합!$AD$3:$AD$501,0))&amp;"","")</f>
        <v/>
      </c>
      <c r="H207" s="21" t="str">
        <f aca="false">IFERROR(INDEX(종합!H$3:H$501,MATCH(ROW()-2,종합!$AD$3:$AD$501,0))&amp;"","")</f>
        <v/>
      </c>
      <c r="I207" s="21" t="str">
        <f aca="false">IFERROR(INDEX(종합!I$3:I$501,MATCH(ROW()-2,종합!$AD$3:$AD$501,0))&amp;"","")</f>
        <v/>
      </c>
      <c r="J207" s="21" t="str">
        <f aca="false">IFERROR(INDEX(종합!J$3:J$501,MATCH(ROW()-2,종합!$AD$3:$AD$501,0))&amp;"","")</f>
        <v/>
      </c>
      <c r="K207" s="21" t="str">
        <f aca="false">IFERROR(INDEX(종합!K$3:K$501,MATCH(ROW()-2,종합!$AD$3:$AD$501,0))&amp;"","")</f>
        <v/>
      </c>
      <c r="L207" s="21" t="str">
        <f aca="false">IFERROR(INDEX(종합!L$3:L$501,MATCH(ROW()-2,종합!$AD$3:$AD$501,0))&amp;"","")</f>
        <v/>
      </c>
      <c r="M207" s="21" t="str">
        <f aca="false">IFERROR(INDEX(종합!M$3:M$501,MATCH(ROW()-2,종합!$AD$3:$AD$501,0))&amp;"","")</f>
        <v/>
      </c>
      <c r="N207" s="25" t="str">
        <f aca="false">IFERROR(INDEX(종합!N$3:N$501,MATCH(ROW()-2,종합!$AD$3:$AD$501,0))&amp;"","")</f>
        <v/>
      </c>
      <c r="O207" s="21" t="str">
        <f aca="false">IFERROR(INDEX(종합!O$3:O$501,MATCH(ROW()-2,종합!$AD$3:$AD$501,0))&amp;"","")</f>
        <v/>
      </c>
      <c r="P207" s="21" t="str">
        <f aca="false">IFERROR(INDEX(종합!P$3:P$501,MATCH(ROW()-2,종합!$AD$3:$AD$501,0))&amp;"","")</f>
        <v/>
      </c>
      <c r="Q207" s="21" t="str">
        <f aca="false">IFERROR(INDEX(종합!Q$3:Q$501,MATCH(ROW()-2,종합!$AD$3:$AD$501,0))&amp;"","")</f>
        <v/>
      </c>
      <c r="R207" s="21" t="str">
        <f aca="false">IFERROR(INDEX(종합!R$3:R$501,MATCH(ROW()-2,종합!$AD$3:$AD$501,0))&amp;"","")</f>
        <v/>
      </c>
      <c r="S207" s="21" t="str">
        <f aca="false">IFERROR(INDEX(종합!S$3:S$501,MATCH(ROW()-2,종합!$AD$3:$AD$501,0))&amp;"","")</f>
        <v/>
      </c>
      <c r="T207" s="21" t="str">
        <f aca="false">IFERROR(INDEX(종합!T$3:T$501,MATCH(ROW()-2,종합!$AD$3:$AD$501,0))&amp;"","")</f>
        <v/>
      </c>
      <c r="U207" s="21" t="str">
        <f aca="false">IFERROR(INDEX(종합!U$3:U$501,MATCH(ROW()-2,종합!$AD$3:$AD$501,0))&amp;"","")</f>
        <v/>
      </c>
      <c r="V207" s="21" t="str">
        <f aca="false">IFERROR(INDEX(종합!V$3:V$501,MATCH(ROW()-2,종합!$AD$3:$AD$501,0))&amp;"","")</f>
        <v/>
      </c>
      <c r="W207" s="21" t="str">
        <f aca="false">IFERROR(INDEX(종합!W$3:W$501,MATCH(ROW()-2,종합!$AD$3:$AD$501,0))&amp;"","")</f>
        <v/>
      </c>
      <c r="X207" s="21" t="str">
        <f aca="false">IFERROR(INDEX(종합!X$3:X$501,MATCH(ROW()-2,종합!$AD$3:$AD$501,0))&amp;"","")</f>
        <v/>
      </c>
      <c r="Y207" s="21" t="str">
        <f aca="false">IFERROR(INDEX(종합!Y$3:Y$501,MATCH(ROW()-2,종합!$AD$3:$AD$501,0))&amp;"","")</f>
        <v/>
      </c>
      <c r="Z207" s="21" t="str">
        <f aca="false">IFERROR(INDEX(종합!Z$3:Z$501,MATCH(ROW()-2,종합!$AD$3:$AD$501,0))&amp;"","")</f>
        <v/>
      </c>
      <c r="AA207" s="23" t="str">
        <f aca="false">IFERROR(INDEX(종합!AA$3:AA$501,MATCH(ROW()-2,종합!$AD$3:$AD$501,0))&amp;"","")</f>
        <v/>
      </c>
    </row>
    <row r="208" customFormat="false" ht="16.5" hidden="false" customHeight="true" outlineLevel="0" collapsed="false">
      <c r="A208" s="18" t="str">
        <f aca="false">IF(B208="","",ROW()-2)</f>
        <v/>
      </c>
      <c r="B208" s="18" t="str">
        <f aca="false">IFERROR(INDEX(종합!B$3:B$501,MATCH(ROW()-2,종합!$AD$3:$AD$501,0))&amp;"","")</f>
        <v/>
      </c>
      <c r="C208" s="18" t="str">
        <f aca="false">IFERROR(INDEX(종합!C$3:C$501,MATCH(ROW()-2,종합!$AD$3:$AD$501,0))&amp;"","")</f>
        <v/>
      </c>
      <c r="D208" s="18" t="str">
        <f aca="false">IFERROR(INDEX(종합!D$3:D$501,MATCH(ROW()-2,종합!$AD$3:$AD$501,0))&amp;"","")</f>
        <v/>
      </c>
      <c r="E208" s="18" t="str">
        <f aca="false">IFERROR(INDEX(종합!E$3:E$501,MATCH(ROW()-2,종합!$AD$3:$AD$501,0))&amp;"","")</f>
        <v/>
      </c>
      <c r="F208" s="18" t="str">
        <f aca="false">IFERROR(INDEX(종합!F$3:F$501,MATCH(ROW()-2,종합!$AD$3:$AD$501,0))&amp;"","")</f>
        <v/>
      </c>
      <c r="G208" s="18" t="str">
        <f aca="false">IFERROR(INDEX(종합!G$3:G$501,MATCH(ROW()-2,종합!$AD$3:$AD$501,0))&amp;"","")</f>
        <v/>
      </c>
      <c r="H208" s="21" t="str">
        <f aca="false">IFERROR(INDEX(종합!H$3:H$501,MATCH(ROW()-2,종합!$AD$3:$AD$501,0))&amp;"","")</f>
        <v/>
      </c>
      <c r="I208" s="21" t="str">
        <f aca="false">IFERROR(INDEX(종합!I$3:I$501,MATCH(ROW()-2,종합!$AD$3:$AD$501,0))&amp;"","")</f>
        <v/>
      </c>
      <c r="J208" s="21" t="str">
        <f aca="false">IFERROR(INDEX(종합!J$3:J$501,MATCH(ROW()-2,종합!$AD$3:$AD$501,0))&amp;"","")</f>
        <v/>
      </c>
      <c r="K208" s="21" t="str">
        <f aca="false">IFERROR(INDEX(종합!K$3:K$501,MATCH(ROW()-2,종합!$AD$3:$AD$501,0))&amp;"","")</f>
        <v/>
      </c>
      <c r="L208" s="21" t="str">
        <f aca="false">IFERROR(INDEX(종합!L$3:L$501,MATCH(ROW()-2,종합!$AD$3:$AD$501,0))&amp;"","")</f>
        <v/>
      </c>
      <c r="M208" s="21" t="str">
        <f aca="false">IFERROR(INDEX(종합!M$3:M$501,MATCH(ROW()-2,종합!$AD$3:$AD$501,0))&amp;"","")</f>
        <v/>
      </c>
      <c r="N208" s="25" t="str">
        <f aca="false">IFERROR(INDEX(종합!N$3:N$501,MATCH(ROW()-2,종합!$AD$3:$AD$501,0))&amp;"","")</f>
        <v/>
      </c>
      <c r="O208" s="21" t="str">
        <f aca="false">IFERROR(INDEX(종합!O$3:O$501,MATCH(ROW()-2,종합!$AD$3:$AD$501,0))&amp;"","")</f>
        <v/>
      </c>
      <c r="P208" s="21" t="str">
        <f aca="false">IFERROR(INDEX(종합!P$3:P$501,MATCH(ROW()-2,종합!$AD$3:$AD$501,0))&amp;"","")</f>
        <v/>
      </c>
      <c r="Q208" s="21" t="str">
        <f aca="false">IFERROR(INDEX(종합!Q$3:Q$501,MATCH(ROW()-2,종합!$AD$3:$AD$501,0))&amp;"","")</f>
        <v/>
      </c>
      <c r="R208" s="21" t="str">
        <f aca="false">IFERROR(INDEX(종합!R$3:R$501,MATCH(ROW()-2,종합!$AD$3:$AD$501,0))&amp;"","")</f>
        <v/>
      </c>
      <c r="S208" s="21" t="str">
        <f aca="false">IFERROR(INDEX(종합!S$3:S$501,MATCH(ROW()-2,종합!$AD$3:$AD$501,0))&amp;"","")</f>
        <v/>
      </c>
      <c r="T208" s="21" t="str">
        <f aca="false">IFERROR(INDEX(종합!T$3:T$501,MATCH(ROW()-2,종합!$AD$3:$AD$501,0))&amp;"","")</f>
        <v/>
      </c>
      <c r="U208" s="21" t="str">
        <f aca="false">IFERROR(INDEX(종합!U$3:U$501,MATCH(ROW()-2,종합!$AD$3:$AD$501,0))&amp;"","")</f>
        <v/>
      </c>
      <c r="V208" s="21" t="str">
        <f aca="false">IFERROR(INDEX(종합!V$3:V$501,MATCH(ROW()-2,종합!$AD$3:$AD$501,0))&amp;"","")</f>
        <v/>
      </c>
      <c r="W208" s="21" t="str">
        <f aca="false">IFERROR(INDEX(종합!W$3:W$501,MATCH(ROW()-2,종합!$AD$3:$AD$501,0))&amp;"","")</f>
        <v/>
      </c>
      <c r="X208" s="21" t="str">
        <f aca="false">IFERROR(INDEX(종합!X$3:X$501,MATCH(ROW()-2,종합!$AD$3:$AD$501,0))&amp;"","")</f>
        <v/>
      </c>
      <c r="Y208" s="21" t="str">
        <f aca="false">IFERROR(INDEX(종합!Y$3:Y$501,MATCH(ROW()-2,종합!$AD$3:$AD$501,0))&amp;"","")</f>
        <v/>
      </c>
      <c r="Z208" s="21" t="str">
        <f aca="false">IFERROR(INDEX(종합!Z$3:Z$501,MATCH(ROW()-2,종합!$AD$3:$AD$501,0))&amp;"","")</f>
        <v/>
      </c>
      <c r="AA208" s="23" t="str">
        <f aca="false">IFERROR(INDEX(종합!AA$3:AA$501,MATCH(ROW()-2,종합!$AD$3:$AD$501,0))&amp;"","")</f>
        <v/>
      </c>
    </row>
    <row r="209" customFormat="false" ht="16.5" hidden="false" customHeight="true" outlineLevel="0" collapsed="false">
      <c r="A209" s="18" t="str">
        <f aca="false">IF(B209="","",ROW()-2)</f>
        <v/>
      </c>
      <c r="B209" s="18" t="str">
        <f aca="false">IFERROR(INDEX(종합!B$3:B$501,MATCH(ROW()-2,종합!$AD$3:$AD$501,0))&amp;"","")</f>
        <v/>
      </c>
      <c r="C209" s="18" t="str">
        <f aca="false">IFERROR(INDEX(종합!C$3:C$501,MATCH(ROW()-2,종합!$AD$3:$AD$501,0))&amp;"","")</f>
        <v/>
      </c>
      <c r="D209" s="18" t="str">
        <f aca="false">IFERROR(INDEX(종합!D$3:D$501,MATCH(ROW()-2,종합!$AD$3:$AD$501,0))&amp;"","")</f>
        <v/>
      </c>
      <c r="E209" s="18" t="str">
        <f aca="false">IFERROR(INDEX(종합!E$3:E$501,MATCH(ROW()-2,종합!$AD$3:$AD$501,0))&amp;"","")</f>
        <v/>
      </c>
      <c r="F209" s="18" t="str">
        <f aca="false">IFERROR(INDEX(종합!F$3:F$501,MATCH(ROW()-2,종합!$AD$3:$AD$501,0))&amp;"","")</f>
        <v/>
      </c>
      <c r="G209" s="18" t="str">
        <f aca="false">IFERROR(INDEX(종합!G$3:G$501,MATCH(ROW()-2,종합!$AD$3:$AD$501,0))&amp;"","")</f>
        <v/>
      </c>
      <c r="H209" s="21" t="str">
        <f aca="false">IFERROR(INDEX(종합!H$3:H$501,MATCH(ROW()-2,종합!$AD$3:$AD$501,0))&amp;"","")</f>
        <v/>
      </c>
      <c r="I209" s="21" t="str">
        <f aca="false">IFERROR(INDEX(종합!I$3:I$501,MATCH(ROW()-2,종합!$AD$3:$AD$501,0))&amp;"","")</f>
        <v/>
      </c>
      <c r="J209" s="21" t="str">
        <f aca="false">IFERROR(INDEX(종합!J$3:J$501,MATCH(ROW()-2,종합!$AD$3:$AD$501,0))&amp;"","")</f>
        <v/>
      </c>
      <c r="K209" s="21" t="str">
        <f aca="false">IFERROR(INDEX(종합!K$3:K$501,MATCH(ROW()-2,종합!$AD$3:$AD$501,0))&amp;"","")</f>
        <v/>
      </c>
      <c r="L209" s="21" t="str">
        <f aca="false">IFERROR(INDEX(종합!L$3:L$501,MATCH(ROW()-2,종합!$AD$3:$AD$501,0))&amp;"","")</f>
        <v/>
      </c>
      <c r="M209" s="21" t="str">
        <f aca="false">IFERROR(INDEX(종합!M$3:M$501,MATCH(ROW()-2,종합!$AD$3:$AD$501,0))&amp;"","")</f>
        <v/>
      </c>
      <c r="N209" s="25" t="str">
        <f aca="false">IFERROR(INDEX(종합!N$3:N$501,MATCH(ROW()-2,종합!$AD$3:$AD$501,0))&amp;"","")</f>
        <v/>
      </c>
      <c r="O209" s="21" t="str">
        <f aca="false">IFERROR(INDEX(종합!O$3:O$501,MATCH(ROW()-2,종합!$AD$3:$AD$501,0))&amp;"","")</f>
        <v/>
      </c>
      <c r="P209" s="21" t="str">
        <f aca="false">IFERROR(INDEX(종합!P$3:P$501,MATCH(ROW()-2,종합!$AD$3:$AD$501,0))&amp;"","")</f>
        <v/>
      </c>
      <c r="Q209" s="21" t="str">
        <f aca="false">IFERROR(INDEX(종합!Q$3:Q$501,MATCH(ROW()-2,종합!$AD$3:$AD$501,0))&amp;"","")</f>
        <v/>
      </c>
      <c r="R209" s="21" t="str">
        <f aca="false">IFERROR(INDEX(종합!R$3:R$501,MATCH(ROW()-2,종합!$AD$3:$AD$501,0))&amp;"","")</f>
        <v/>
      </c>
      <c r="S209" s="21" t="str">
        <f aca="false">IFERROR(INDEX(종합!S$3:S$501,MATCH(ROW()-2,종합!$AD$3:$AD$501,0))&amp;"","")</f>
        <v/>
      </c>
      <c r="T209" s="21" t="str">
        <f aca="false">IFERROR(INDEX(종합!T$3:T$501,MATCH(ROW()-2,종합!$AD$3:$AD$501,0))&amp;"","")</f>
        <v/>
      </c>
      <c r="U209" s="21" t="str">
        <f aca="false">IFERROR(INDEX(종합!U$3:U$501,MATCH(ROW()-2,종합!$AD$3:$AD$501,0))&amp;"","")</f>
        <v/>
      </c>
      <c r="V209" s="21" t="str">
        <f aca="false">IFERROR(INDEX(종합!V$3:V$501,MATCH(ROW()-2,종합!$AD$3:$AD$501,0))&amp;"","")</f>
        <v/>
      </c>
      <c r="W209" s="21" t="str">
        <f aca="false">IFERROR(INDEX(종합!W$3:W$501,MATCH(ROW()-2,종합!$AD$3:$AD$501,0))&amp;"","")</f>
        <v/>
      </c>
      <c r="X209" s="21" t="str">
        <f aca="false">IFERROR(INDEX(종합!X$3:X$501,MATCH(ROW()-2,종합!$AD$3:$AD$501,0))&amp;"","")</f>
        <v/>
      </c>
      <c r="Y209" s="21" t="str">
        <f aca="false">IFERROR(INDEX(종합!Y$3:Y$501,MATCH(ROW()-2,종합!$AD$3:$AD$501,0))&amp;"","")</f>
        <v/>
      </c>
      <c r="Z209" s="21" t="str">
        <f aca="false">IFERROR(INDEX(종합!Z$3:Z$501,MATCH(ROW()-2,종합!$AD$3:$AD$501,0))&amp;"","")</f>
        <v/>
      </c>
      <c r="AA209" s="23" t="str">
        <f aca="false">IFERROR(INDEX(종합!AA$3:AA$501,MATCH(ROW()-2,종합!$AD$3:$AD$501,0))&amp;"","")</f>
        <v/>
      </c>
    </row>
    <row r="210" customFormat="false" ht="16.5" hidden="false" customHeight="true" outlineLevel="0" collapsed="false">
      <c r="A210" s="18" t="str">
        <f aca="false">IF(B210="","",ROW()-2)</f>
        <v/>
      </c>
      <c r="B210" s="18" t="str">
        <f aca="false">IFERROR(INDEX(종합!B$3:B$501,MATCH(ROW()-2,종합!$AD$3:$AD$501,0))&amp;"","")</f>
        <v/>
      </c>
      <c r="C210" s="18" t="str">
        <f aca="false">IFERROR(INDEX(종합!C$3:C$501,MATCH(ROW()-2,종합!$AD$3:$AD$501,0))&amp;"","")</f>
        <v/>
      </c>
      <c r="D210" s="18" t="str">
        <f aca="false">IFERROR(INDEX(종합!D$3:D$501,MATCH(ROW()-2,종합!$AD$3:$AD$501,0))&amp;"","")</f>
        <v/>
      </c>
      <c r="E210" s="18" t="str">
        <f aca="false">IFERROR(INDEX(종합!E$3:E$501,MATCH(ROW()-2,종합!$AD$3:$AD$501,0))&amp;"","")</f>
        <v/>
      </c>
      <c r="F210" s="18" t="str">
        <f aca="false">IFERROR(INDEX(종합!F$3:F$501,MATCH(ROW()-2,종합!$AD$3:$AD$501,0))&amp;"","")</f>
        <v/>
      </c>
      <c r="G210" s="18" t="str">
        <f aca="false">IFERROR(INDEX(종합!G$3:G$501,MATCH(ROW()-2,종합!$AD$3:$AD$501,0))&amp;"","")</f>
        <v/>
      </c>
      <c r="H210" s="21" t="str">
        <f aca="false">IFERROR(INDEX(종합!H$3:H$501,MATCH(ROW()-2,종합!$AD$3:$AD$501,0))&amp;"","")</f>
        <v/>
      </c>
      <c r="I210" s="21" t="str">
        <f aca="false">IFERROR(INDEX(종합!I$3:I$501,MATCH(ROW()-2,종합!$AD$3:$AD$501,0))&amp;"","")</f>
        <v/>
      </c>
      <c r="J210" s="21" t="str">
        <f aca="false">IFERROR(INDEX(종합!J$3:J$501,MATCH(ROW()-2,종합!$AD$3:$AD$501,0))&amp;"","")</f>
        <v/>
      </c>
      <c r="K210" s="21" t="str">
        <f aca="false">IFERROR(INDEX(종합!K$3:K$501,MATCH(ROW()-2,종합!$AD$3:$AD$501,0))&amp;"","")</f>
        <v/>
      </c>
      <c r="L210" s="21" t="str">
        <f aca="false">IFERROR(INDEX(종합!L$3:L$501,MATCH(ROW()-2,종합!$AD$3:$AD$501,0))&amp;"","")</f>
        <v/>
      </c>
      <c r="M210" s="21" t="str">
        <f aca="false">IFERROR(INDEX(종합!M$3:M$501,MATCH(ROW()-2,종합!$AD$3:$AD$501,0))&amp;"","")</f>
        <v/>
      </c>
      <c r="N210" s="25" t="str">
        <f aca="false">IFERROR(INDEX(종합!N$3:N$501,MATCH(ROW()-2,종합!$AD$3:$AD$501,0))&amp;"","")</f>
        <v/>
      </c>
      <c r="O210" s="21" t="str">
        <f aca="false">IFERROR(INDEX(종합!O$3:O$501,MATCH(ROW()-2,종합!$AD$3:$AD$501,0))&amp;"","")</f>
        <v/>
      </c>
      <c r="P210" s="21" t="str">
        <f aca="false">IFERROR(INDEX(종합!P$3:P$501,MATCH(ROW()-2,종합!$AD$3:$AD$501,0))&amp;"","")</f>
        <v/>
      </c>
      <c r="Q210" s="21" t="str">
        <f aca="false">IFERROR(INDEX(종합!Q$3:Q$501,MATCH(ROW()-2,종합!$AD$3:$AD$501,0))&amp;"","")</f>
        <v/>
      </c>
      <c r="R210" s="21" t="str">
        <f aca="false">IFERROR(INDEX(종합!R$3:R$501,MATCH(ROW()-2,종합!$AD$3:$AD$501,0))&amp;"","")</f>
        <v/>
      </c>
      <c r="S210" s="21" t="str">
        <f aca="false">IFERROR(INDEX(종합!S$3:S$501,MATCH(ROW()-2,종합!$AD$3:$AD$501,0))&amp;"","")</f>
        <v/>
      </c>
      <c r="T210" s="21" t="str">
        <f aca="false">IFERROR(INDEX(종합!T$3:T$501,MATCH(ROW()-2,종합!$AD$3:$AD$501,0))&amp;"","")</f>
        <v/>
      </c>
      <c r="U210" s="21" t="str">
        <f aca="false">IFERROR(INDEX(종합!U$3:U$501,MATCH(ROW()-2,종합!$AD$3:$AD$501,0))&amp;"","")</f>
        <v/>
      </c>
      <c r="V210" s="21" t="str">
        <f aca="false">IFERROR(INDEX(종합!V$3:V$501,MATCH(ROW()-2,종합!$AD$3:$AD$501,0))&amp;"","")</f>
        <v/>
      </c>
      <c r="W210" s="21" t="str">
        <f aca="false">IFERROR(INDEX(종합!W$3:W$501,MATCH(ROW()-2,종합!$AD$3:$AD$501,0))&amp;"","")</f>
        <v/>
      </c>
      <c r="X210" s="21" t="str">
        <f aca="false">IFERROR(INDEX(종합!X$3:X$501,MATCH(ROW()-2,종합!$AD$3:$AD$501,0))&amp;"","")</f>
        <v/>
      </c>
      <c r="Y210" s="21" t="str">
        <f aca="false">IFERROR(INDEX(종합!Y$3:Y$501,MATCH(ROW()-2,종합!$AD$3:$AD$501,0))&amp;"","")</f>
        <v/>
      </c>
      <c r="Z210" s="21" t="str">
        <f aca="false">IFERROR(INDEX(종합!Z$3:Z$501,MATCH(ROW()-2,종합!$AD$3:$AD$501,0))&amp;"","")</f>
        <v/>
      </c>
      <c r="AA210" s="23" t="str">
        <f aca="false">IFERROR(INDEX(종합!AA$3:AA$501,MATCH(ROW()-2,종합!$AD$3:$AD$501,0))&amp;"","")</f>
        <v/>
      </c>
    </row>
    <row r="211" customFormat="false" ht="16.5" hidden="false" customHeight="true" outlineLevel="0" collapsed="false">
      <c r="A211" s="18" t="str">
        <f aca="false">IF(B211="","",ROW()-2)</f>
        <v/>
      </c>
      <c r="B211" s="18" t="str">
        <f aca="false">IFERROR(INDEX(종합!B$3:B$501,MATCH(ROW()-2,종합!$AD$3:$AD$501,0))&amp;"","")</f>
        <v/>
      </c>
      <c r="C211" s="18" t="str">
        <f aca="false">IFERROR(INDEX(종합!C$3:C$501,MATCH(ROW()-2,종합!$AD$3:$AD$501,0))&amp;"","")</f>
        <v/>
      </c>
      <c r="D211" s="18" t="str">
        <f aca="false">IFERROR(INDEX(종합!D$3:D$501,MATCH(ROW()-2,종합!$AD$3:$AD$501,0))&amp;"","")</f>
        <v/>
      </c>
      <c r="E211" s="18" t="str">
        <f aca="false">IFERROR(INDEX(종합!E$3:E$501,MATCH(ROW()-2,종합!$AD$3:$AD$501,0))&amp;"","")</f>
        <v/>
      </c>
      <c r="F211" s="18" t="str">
        <f aca="false">IFERROR(INDEX(종합!F$3:F$501,MATCH(ROW()-2,종합!$AD$3:$AD$501,0))&amp;"","")</f>
        <v/>
      </c>
      <c r="G211" s="18" t="str">
        <f aca="false">IFERROR(INDEX(종합!G$3:G$501,MATCH(ROW()-2,종합!$AD$3:$AD$501,0))&amp;"","")</f>
        <v/>
      </c>
      <c r="H211" s="21" t="str">
        <f aca="false">IFERROR(INDEX(종합!H$3:H$501,MATCH(ROW()-2,종합!$AD$3:$AD$501,0))&amp;"","")</f>
        <v/>
      </c>
      <c r="I211" s="21" t="str">
        <f aca="false">IFERROR(INDEX(종합!I$3:I$501,MATCH(ROW()-2,종합!$AD$3:$AD$501,0))&amp;"","")</f>
        <v/>
      </c>
      <c r="J211" s="21" t="str">
        <f aca="false">IFERROR(INDEX(종합!J$3:J$501,MATCH(ROW()-2,종합!$AD$3:$AD$501,0))&amp;"","")</f>
        <v/>
      </c>
      <c r="K211" s="21" t="str">
        <f aca="false">IFERROR(INDEX(종합!K$3:K$501,MATCH(ROW()-2,종합!$AD$3:$AD$501,0))&amp;"","")</f>
        <v/>
      </c>
      <c r="L211" s="21" t="str">
        <f aca="false">IFERROR(INDEX(종합!L$3:L$501,MATCH(ROW()-2,종합!$AD$3:$AD$501,0))&amp;"","")</f>
        <v/>
      </c>
      <c r="M211" s="21" t="str">
        <f aca="false">IFERROR(INDEX(종합!M$3:M$501,MATCH(ROW()-2,종합!$AD$3:$AD$501,0))&amp;"","")</f>
        <v/>
      </c>
      <c r="N211" s="25" t="str">
        <f aca="false">IFERROR(INDEX(종합!N$3:N$501,MATCH(ROW()-2,종합!$AD$3:$AD$501,0))&amp;"","")</f>
        <v/>
      </c>
      <c r="O211" s="21" t="str">
        <f aca="false">IFERROR(INDEX(종합!O$3:O$501,MATCH(ROW()-2,종합!$AD$3:$AD$501,0))&amp;"","")</f>
        <v/>
      </c>
      <c r="P211" s="21" t="str">
        <f aca="false">IFERROR(INDEX(종합!P$3:P$501,MATCH(ROW()-2,종합!$AD$3:$AD$501,0))&amp;"","")</f>
        <v/>
      </c>
      <c r="Q211" s="21" t="str">
        <f aca="false">IFERROR(INDEX(종합!Q$3:Q$501,MATCH(ROW()-2,종합!$AD$3:$AD$501,0))&amp;"","")</f>
        <v/>
      </c>
      <c r="R211" s="21" t="str">
        <f aca="false">IFERROR(INDEX(종합!R$3:R$501,MATCH(ROW()-2,종합!$AD$3:$AD$501,0))&amp;"","")</f>
        <v/>
      </c>
      <c r="S211" s="21" t="str">
        <f aca="false">IFERROR(INDEX(종합!S$3:S$501,MATCH(ROW()-2,종합!$AD$3:$AD$501,0))&amp;"","")</f>
        <v/>
      </c>
      <c r="T211" s="21" t="str">
        <f aca="false">IFERROR(INDEX(종합!T$3:T$501,MATCH(ROW()-2,종합!$AD$3:$AD$501,0))&amp;"","")</f>
        <v/>
      </c>
      <c r="U211" s="21" t="str">
        <f aca="false">IFERROR(INDEX(종합!U$3:U$501,MATCH(ROW()-2,종합!$AD$3:$AD$501,0))&amp;"","")</f>
        <v/>
      </c>
      <c r="V211" s="21" t="str">
        <f aca="false">IFERROR(INDEX(종합!V$3:V$501,MATCH(ROW()-2,종합!$AD$3:$AD$501,0))&amp;"","")</f>
        <v/>
      </c>
      <c r="W211" s="21" t="str">
        <f aca="false">IFERROR(INDEX(종합!W$3:W$501,MATCH(ROW()-2,종합!$AD$3:$AD$501,0))&amp;"","")</f>
        <v/>
      </c>
      <c r="X211" s="21" t="str">
        <f aca="false">IFERROR(INDEX(종합!X$3:X$501,MATCH(ROW()-2,종합!$AD$3:$AD$501,0))&amp;"","")</f>
        <v/>
      </c>
      <c r="Y211" s="21" t="str">
        <f aca="false">IFERROR(INDEX(종합!Y$3:Y$501,MATCH(ROW()-2,종합!$AD$3:$AD$501,0))&amp;"","")</f>
        <v/>
      </c>
      <c r="Z211" s="21" t="str">
        <f aca="false">IFERROR(INDEX(종합!Z$3:Z$501,MATCH(ROW()-2,종합!$AD$3:$AD$501,0))&amp;"","")</f>
        <v/>
      </c>
      <c r="AA211" s="23" t="str">
        <f aca="false">IFERROR(INDEX(종합!AA$3:AA$501,MATCH(ROW()-2,종합!$AD$3:$AD$501,0))&amp;"","")</f>
        <v/>
      </c>
    </row>
    <row r="212" customFormat="false" ht="16.5" hidden="false" customHeight="true" outlineLevel="0" collapsed="false">
      <c r="A212" s="18" t="str">
        <f aca="false">IF(B212="","",ROW()-2)</f>
        <v/>
      </c>
      <c r="B212" s="18" t="str">
        <f aca="false">IFERROR(INDEX(종합!B$3:B$501,MATCH(ROW()-2,종합!$AD$3:$AD$501,0))&amp;"","")</f>
        <v/>
      </c>
      <c r="C212" s="18" t="str">
        <f aca="false">IFERROR(INDEX(종합!C$3:C$501,MATCH(ROW()-2,종합!$AD$3:$AD$501,0))&amp;"","")</f>
        <v/>
      </c>
      <c r="D212" s="18" t="str">
        <f aca="false">IFERROR(INDEX(종합!D$3:D$501,MATCH(ROW()-2,종합!$AD$3:$AD$501,0))&amp;"","")</f>
        <v/>
      </c>
      <c r="E212" s="18" t="str">
        <f aca="false">IFERROR(INDEX(종합!E$3:E$501,MATCH(ROW()-2,종합!$AD$3:$AD$501,0))&amp;"","")</f>
        <v/>
      </c>
      <c r="F212" s="18" t="str">
        <f aca="false">IFERROR(INDEX(종합!F$3:F$501,MATCH(ROW()-2,종합!$AD$3:$AD$501,0))&amp;"","")</f>
        <v/>
      </c>
      <c r="G212" s="18" t="str">
        <f aca="false">IFERROR(INDEX(종합!G$3:G$501,MATCH(ROW()-2,종합!$AD$3:$AD$501,0))&amp;"","")</f>
        <v/>
      </c>
      <c r="H212" s="21" t="str">
        <f aca="false">IFERROR(INDEX(종합!H$3:H$501,MATCH(ROW()-2,종합!$AD$3:$AD$501,0))&amp;"","")</f>
        <v/>
      </c>
      <c r="I212" s="21" t="str">
        <f aca="false">IFERROR(INDEX(종합!I$3:I$501,MATCH(ROW()-2,종합!$AD$3:$AD$501,0))&amp;"","")</f>
        <v/>
      </c>
      <c r="J212" s="21" t="str">
        <f aca="false">IFERROR(INDEX(종합!J$3:J$501,MATCH(ROW()-2,종합!$AD$3:$AD$501,0))&amp;"","")</f>
        <v/>
      </c>
      <c r="K212" s="21" t="str">
        <f aca="false">IFERROR(INDEX(종합!K$3:K$501,MATCH(ROW()-2,종합!$AD$3:$AD$501,0))&amp;"","")</f>
        <v/>
      </c>
      <c r="L212" s="21" t="str">
        <f aca="false">IFERROR(INDEX(종합!L$3:L$501,MATCH(ROW()-2,종합!$AD$3:$AD$501,0))&amp;"","")</f>
        <v/>
      </c>
      <c r="M212" s="21" t="str">
        <f aca="false">IFERROR(INDEX(종합!M$3:M$501,MATCH(ROW()-2,종합!$AD$3:$AD$501,0))&amp;"","")</f>
        <v/>
      </c>
      <c r="N212" s="25" t="str">
        <f aca="false">IFERROR(INDEX(종합!N$3:N$501,MATCH(ROW()-2,종합!$AD$3:$AD$501,0))&amp;"","")</f>
        <v/>
      </c>
      <c r="O212" s="21" t="str">
        <f aca="false">IFERROR(INDEX(종합!O$3:O$501,MATCH(ROW()-2,종합!$AD$3:$AD$501,0))&amp;"","")</f>
        <v/>
      </c>
      <c r="P212" s="21" t="str">
        <f aca="false">IFERROR(INDEX(종합!P$3:P$501,MATCH(ROW()-2,종합!$AD$3:$AD$501,0))&amp;"","")</f>
        <v/>
      </c>
      <c r="Q212" s="21" t="str">
        <f aca="false">IFERROR(INDEX(종합!Q$3:Q$501,MATCH(ROW()-2,종합!$AD$3:$AD$501,0))&amp;"","")</f>
        <v/>
      </c>
      <c r="R212" s="21" t="str">
        <f aca="false">IFERROR(INDEX(종합!R$3:R$501,MATCH(ROW()-2,종합!$AD$3:$AD$501,0))&amp;"","")</f>
        <v/>
      </c>
      <c r="S212" s="21" t="str">
        <f aca="false">IFERROR(INDEX(종합!S$3:S$501,MATCH(ROW()-2,종합!$AD$3:$AD$501,0))&amp;"","")</f>
        <v/>
      </c>
      <c r="T212" s="21" t="str">
        <f aca="false">IFERROR(INDEX(종합!T$3:T$501,MATCH(ROW()-2,종합!$AD$3:$AD$501,0))&amp;"","")</f>
        <v/>
      </c>
      <c r="U212" s="21" t="str">
        <f aca="false">IFERROR(INDEX(종합!U$3:U$501,MATCH(ROW()-2,종합!$AD$3:$AD$501,0))&amp;"","")</f>
        <v/>
      </c>
      <c r="V212" s="21" t="str">
        <f aca="false">IFERROR(INDEX(종합!V$3:V$501,MATCH(ROW()-2,종합!$AD$3:$AD$501,0))&amp;"","")</f>
        <v/>
      </c>
      <c r="W212" s="21" t="str">
        <f aca="false">IFERROR(INDEX(종합!W$3:W$501,MATCH(ROW()-2,종합!$AD$3:$AD$501,0))&amp;"","")</f>
        <v/>
      </c>
      <c r="X212" s="21" t="str">
        <f aca="false">IFERROR(INDEX(종합!X$3:X$501,MATCH(ROW()-2,종합!$AD$3:$AD$501,0))&amp;"","")</f>
        <v/>
      </c>
      <c r="Y212" s="21" t="str">
        <f aca="false">IFERROR(INDEX(종합!Y$3:Y$501,MATCH(ROW()-2,종합!$AD$3:$AD$501,0))&amp;"","")</f>
        <v/>
      </c>
      <c r="Z212" s="21" t="str">
        <f aca="false">IFERROR(INDEX(종합!Z$3:Z$501,MATCH(ROW()-2,종합!$AD$3:$AD$501,0))&amp;"","")</f>
        <v/>
      </c>
      <c r="AA212" s="23" t="str">
        <f aca="false">IFERROR(INDEX(종합!AA$3:AA$501,MATCH(ROW()-2,종합!$AD$3:$AD$501,0))&amp;"","")</f>
        <v/>
      </c>
    </row>
    <row r="213" customFormat="false" ht="16.5" hidden="false" customHeight="true" outlineLevel="0" collapsed="false">
      <c r="A213" s="18" t="str">
        <f aca="false">IF(B213="","",ROW()-2)</f>
        <v/>
      </c>
      <c r="B213" s="18" t="str">
        <f aca="false">IFERROR(INDEX(종합!B$3:B$501,MATCH(ROW()-2,종합!$AD$3:$AD$501,0))&amp;"","")</f>
        <v/>
      </c>
      <c r="C213" s="18" t="str">
        <f aca="false">IFERROR(INDEX(종합!C$3:C$501,MATCH(ROW()-2,종합!$AD$3:$AD$501,0))&amp;"","")</f>
        <v/>
      </c>
      <c r="D213" s="18" t="str">
        <f aca="false">IFERROR(INDEX(종합!D$3:D$501,MATCH(ROW()-2,종합!$AD$3:$AD$501,0))&amp;"","")</f>
        <v/>
      </c>
      <c r="E213" s="18" t="str">
        <f aca="false">IFERROR(INDEX(종합!E$3:E$501,MATCH(ROW()-2,종합!$AD$3:$AD$501,0))&amp;"","")</f>
        <v/>
      </c>
      <c r="F213" s="18" t="str">
        <f aca="false">IFERROR(INDEX(종합!F$3:F$501,MATCH(ROW()-2,종합!$AD$3:$AD$501,0))&amp;"","")</f>
        <v/>
      </c>
      <c r="G213" s="18" t="str">
        <f aca="false">IFERROR(INDEX(종합!G$3:G$501,MATCH(ROW()-2,종합!$AD$3:$AD$501,0))&amp;"","")</f>
        <v/>
      </c>
      <c r="H213" s="21" t="str">
        <f aca="false">IFERROR(INDEX(종합!H$3:H$501,MATCH(ROW()-2,종합!$AD$3:$AD$501,0))&amp;"","")</f>
        <v/>
      </c>
      <c r="I213" s="21" t="str">
        <f aca="false">IFERROR(INDEX(종합!I$3:I$501,MATCH(ROW()-2,종합!$AD$3:$AD$501,0))&amp;"","")</f>
        <v/>
      </c>
      <c r="J213" s="21" t="str">
        <f aca="false">IFERROR(INDEX(종합!J$3:J$501,MATCH(ROW()-2,종합!$AD$3:$AD$501,0))&amp;"","")</f>
        <v/>
      </c>
      <c r="K213" s="21" t="str">
        <f aca="false">IFERROR(INDEX(종합!K$3:K$501,MATCH(ROW()-2,종합!$AD$3:$AD$501,0))&amp;"","")</f>
        <v/>
      </c>
      <c r="L213" s="21" t="str">
        <f aca="false">IFERROR(INDEX(종합!L$3:L$501,MATCH(ROW()-2,종합!$AD$3:$AD$501,0))&amp;"","")</f>
        <v/>
      </c>
      <c r="M213" s="21" t="str">
        <f aca="false">IFERROR(INDEX(종합!M$3:M$501,MATCH(ROW()-2,종합!$AD$3:$AD$501,0))&amp;"","")</f>
        <v/>
      </c>
      <c r="N213" s="25" t="str">
        <f aca="false">IFERROR(INDEX(종합!N$3:N$501,MATCH(ROW()-2,종합!$AD$3:$AD$501,0))&amp;"","")</f>
        <v/>
      </c>
      <c r="O213" s="21" t="str">
        <f aca="false">IFERROR(INDEX(종합!O$3:O$501,MATCH(ROW()-2,종합!$AD$3:$AD$501,0))&amp;"","")</f>
        <v/>
      </c>
      <c r="P213" s="21" t="str">
        <f aca="false">IFERROR(INDEX(종합!P$3:P$501,MATCH(ROW()-2,종합!$AD$3:$AD$501,0))&amp;"","")</f>
        <v/>
      </c>
      <c r="Q213" s="21" t="str">
        <f aca="false">IFERROR(INDEX(종합!Q$3:Q$501,MATCH(ROW()-2,종합!$AD$3:$AD$501,0))&amp;"","")</f>
        <v/>
      </c>
      <c r="R213" s="21" t="str">
        <f aca="false">IFERROR(INDEX(종합!R$3:R$501,MATCH(ROW()-2,종합!$AD$3:$AD$501,0))&amp;"","")</f>
        <v/>
      </c>
      <c r="S213" s="21" t="str">
        <f aca="false">IFERROR(INDEX(종합!S$3:S$501,MATCH(ROW()-2,종합!$AD$3:$AD$501,0))&amp;"","")</f>
        <v/>
      </c>
      <c r="T213" s="21" t="str">
        <f aca="false">IFERROR(INDEX(종합!T$3:T$501,MATCH(ROW()-2,종합!$AD$3:$AD$501,0))&amp;"","")</f>
        <v/>
      </c>
      <c r="U213" s="21" t="str">
        <f aca="false">IFERROR(INDEX(종합!U$3:U$501,MATCH(ROW()-2,종합!$AD$3:$AD$501,0))&amp;"","")</f>
        <v/>
      </c>
      <c r="V213" s="21" t="str">
        <f aca="false">IFERROR(INDEX(종합!V$3:V$501,MATCH(ROW()-2,종합!$AD$3:$AD$501,0))&amp;"","")</f>
        <v/>
      </c>
      <c r="W213" s="21" t="str">
        <f aca="false">IFERROR(INDEX(종합!W$3:W$501,MATCH(ROW()-2,종합!$AD$3:$AD$501,0))&amp;"","")</f>
        <v/>
      </c>
      <c r="X213" s="21" t="str">
        <f aca="false">IFERROR(INDEX(종합!X$3:X$501,MATCH(ROW()-2,종합!$AD$3:$AD$501,0))&amp;"","")</f>
        <v/>
      </c>
      <c r="Y213" s="21" t="str">
        <f aca="false">IFERROR(INDEX(종합!Y$3:Y$501,MATCH(ROW()-2,종합!$AD$3:$AD$501,0))&amp;"","")</f>
        <v/>
      </c>
      <c r="Z213" s="21" t="str">
        <f aca="false">IFERROR(INDEX(종합!Z$3:Z$501,MATCH(ROW()-2,종합!$AD$3:$AD$501,0))&amp;"","")</f>
        <v/>
      </c>
      <c r="AA213" s="23" t="str">
        <f aca="false">IFERROR(INDEX(종합!AA$3:AA$501,MATCH(ROW()-2,종합!$AD$3:$AD$501,0))&amp;"","")</f>
        <v/>
      </c>
    </row>
    <row r="214" customFormat="false" ht="16.5" hidden="false" customHeight="true" outlineLevel="0" collapsed="false">
      <c r="A214" s="18" t="str">
        <f aca="false">IF(B214="","",ROW()-2)</f>
        <v/>
      </c>
      <c r="B214" s="18" t="str">
        <f aca="false">IFERROR(INDEX(종합!B$3:B$501,MATCH(ROW()-2,종합!$AD$3:$AD$501,0))&amp;"","")</f>
        <v/>
      </c>
      <c r="C214" s="18" t="str">
        <f aca="false">IFERROR(INDEX(종합!C$3:C$501,MATCH(ROW()-2,종합!$AD$3:$AD$501,0))&amp;"","")</f>
        <v/>
      </c>
      <c r="D214" s="18" t="str">
        <f aca="false">IFERROR(INDEX(종합!D$3:D$501,MATCH(ROW()-2,종합!$AD$3:$AD$501,0))&amp;"","")</f>
        <v/>
      </c>
      <c r="E214" s="18" t="str">
        <f aca="false">IFERROR(INDEX(종합!E$3:E$501,MATCH(ROW()-2,종합!$AD$3:$AD$501,0))&amp;"","")</f>
        <v/>
      </c>
      <c r="F214" s="18" t="str">
        <f aca="false">IFERROR(INDEX(종합!F$3:F$501,MATCH(ROW()-2,종합!$AD$3:$AD$501,0))&amp;"","")</f>
        <v/>
      </c>
      <c r="G214" s="18" t="str">
        <f aca="false">IFERROR(INDEX(종합!G$3:G$501,MATCH(ROW()-2,종합!$AD$3:$AD$501,0))&amp;"","")</f>
        <v/>
      </c>
      <c r="H214" s="21" t="str">
        <f aca="false">IFERROR(INDEX(종합!H$3:H$501,MATCH(ROW()-2,종합!$AD$3:$AD$501,0))&amp;"","")</f>
        <v/>
      </c>
      <c r="I214" s="21" t="str">
        <f aca="false">IFERROR(INDEX(종합!I$3:I$501,MATCH(ROW()-2,종합!$AD$3:$AD$501,0))&amp;"","")</f>
        <v/>
      </c>
      <c r="J214" s="21" t="str">
        <f aca="false">IFERROR(INDEX(종합!J$3:J$501,MATCH(ROW()-2,종합!$AD$3:$AD$501,0))&amp;"","")</f>
        <v/>
      </c>
      <c r="K214" s="21" t="str">
        <f aca="false">IFERROR(INDEX(종합!K$3:K$501,MATCH(ROW()-2,종합!$AD$3:$AD$501,0))&amp;"","")</f>
        <v/>
      </c>
      <c r="L214" s="21" t="str">
        <f aca="false">IFERROR(INDEX(종합!L$3:L$501,MATCH(ROW()-2,종합!$AD$3:$AD$501,0))&amp;"","")</f>
        <v/>
      </c>
      <c r="M214" s="21" t="str">
        <f aca="false">IFERROR(INDEX(종합!M$3:M$501,MATCH(ROW()-2,종합!$AD$3:$AD$501,0))&amp;"","")</f>
        <v/>
      </c>
      <c r="N214" s="25" t="str">
        <f aca="false">IFERROR(INDEX(종합!N$3:N$501,MATCH(ROW()-2,종합!$AD$3:$AD$501,0))&amp;"","")</f>
        <v/>
      </c>
      <c r="O214" s="21" t="str">
        <f aca="false">IFERROR(INDEX(종합!O$3:O$501,MATCH(ROW()-2,종합!$AD$3:$AD$501,0))&amp;"","")</f>
        <v/>
      </c>
      <c r="P214" s="21" t="str">
        <f aca="false">IFERROR(INDEX(종합!P$3:P$501,MATCH(ROW()-2,종합!$AD$3:$AD$501,0))&amp;"","")</f>
        <v/>
      </c>
      <c r="Q214" s="21" t="str">
        <f aca="false">IFERROR(INDEX(종합!Q$3:Q$501,MATCH(ROW()-2,종합!$AD$3:$AD$501,0))&amp;"","")</f>
        <v/>
      </c>
      <c r="R214" s="21" t="str">
        <f aca="false">IFERROR(INDEX(종합!R$3:R$501,MATCH(ROW()-2,종합!$AD$3:$AD$501,0))&amp;"","")</f>
        <v/>
      </c>
      <c r="S214" s="21" t="str">
        <f aca="false">IFERROR(INDEX(종합!S$3:S$501,MATCH(ROW()-2,종합!$AD$3:$AD$501,0))&amp;"","")</f>
        <v/>
      </c>
      <c r="T214" s="21" t="str">
        <f aca="false">IFERROR(INDEX(종합!T$3:T$501,MATCH(ROW()-2,종합!$AD$3:$AD$501,0))&amp;"","")</f>
        <v/>
      </c>
      <c r="U214" s="21" t="str">
        <f aca="false">IFERROR(INDEX(종합!U$3:U$501,MATCH(ROW()-2,종합!$AD$3:$AD$501,0))&amp;"","")</f>
        <v/>
      </c>
      <c r="V214" s="21" t="str">
        <f aca="false">IFERROR(INDEX(종합!V$3:V$501,MATCH(ROW()-2,종합!$AD$3:$AD$501,0))&amp;"","")</f>
        <v/>
      </c>
      <c r="W214" s="21" t="str">
        <f aca="false">IFERROR(INDEX(종합!W$3:W$501,MATCH(ROW()-2,종합!$AD$3:$AD$501,0))&amp;"","")</f>
        <v/>
      </c>
      <c r="X214" s="21" t="str">
        <f aca="false">IFERROR(INDEX(종합!X$3:X$501,MATCH(ROW()-2,종합!$AD$3:$AD$501,0))&amp;"","")</f>
        <v/>
      </c>
      <c r="Y214" s="21" t="str">
        <f aca="false">IFERROR(INDEX(종합!Y$3:Y$501,MATCH(ROW()-2,종합!$AD$3:$AD$501,0))&amp;"","")</f>
        <v/>
      </c>
      <c r="Z214" s="21" t="str">
        <f aca="false">IFERROR(INDEX(종합!Z$3:Z$501,MATCH(ROW()-2,종합!$AD$3:$AD$501,0))&amp;"","")</f>
        <v/>
      </c>
      <c r="AA214" s="23" t="str">
        <f aca="false">IFERROR(INDEX(종합!AA$3:AA$501,MATCH(ROW()-2,종합!$AD$3:$AD$501,0))&amp;"","")</f>
        <v/>
      </c>
    </row>
    <row r="215" customFormat="false" ht="16.5" hidden="false" customHeight="true" outlineLevel="0" collapsed="false">
      <c r="A215" s="18" t="str">
        <f aca="false">IF(B215="","",ROW()-2)</f>
        <v/>
      </c>
      <c r="B215" s="18" t="str">
        <f aca="false">IFERROR(INDEX(종합!B$3:B$501,MATCH(ROW()-2,종합!$AD$3:$AD$501,0))&amp;"","")</f>
        <v/>
      </c>
      <c r="C215" s="18" t="str">
        <f aca="false">IFERROR(INDEX(종합!C$3:C$501,MATCH(ROW()-2,종합!$AD$3:$AD$501,0))&amp;"","")</f>
        <v/>
      </c>
      <c r="D215" s="18" t="str">
        <f aca="false">IFERROR(INDEX(종합!D$3:D$501,MATCH(ROW()-2,종합!$AD$3:$AD$501,0))&amp;"","")</f>
        <v/>
      </c>
      <c r="E215" s="18" t="str">
        <f aca="false">IFERROR(INDEX(종합!E$3:E$501,MATCH(ROW()-2,종합!$AD$3:$AD$501,0))&amp;"","")</f>
        <v/>
      </c>
      <c r="F215" s="18" t="str">
        <f aca="false">IFERROR(INDEX(종합!F$3:F$501,MATCH(ROW()-2,종합!$AD$3:$AD$501,0))&amp;"","")</f>
        <v/>
      </c>
      <c r="G215" s="18" t="str">
        <f aca="false">IFERROR(INDEX(종합!G$3:G$501,MATCH(ROW()-2,종합!$AD$3:$AD$501,0))&amp;"","")</f>
        <v/>
      </c>
      <c r="H215" s="21" t="str">
        <f aca="false">IFERROR(INDEX(종합!H$3:H$501,MATCH(ROW()-2,종합!$AD$3:$AD$501,0))&amp;"","")</f>
        <v/>
      </c>
      <c r="I215" s="21" t="str">
        <f aca="false">IFERROR(INDEX(종합!I$3:I$501,MATCH(ROW()-2,종합!$AD$3:$AD$501,0))&amp;"","")</f>
        <v/>
      </c>
      <c r="J215" s="21" t="str">
        <f aca="false">IFERROR(INDEX(종합!J$3:J$501,MATCH(ROW()-2,종합!$AD$3:$AD$501,0))&amp;"","")</f>
        <v/>
      </c>
      <c r="K215" s="21" t="str">
        <f aca="false">IFERROR(INDEX(종합!K$3:K$501,MATCH(ROW()-2,종합!$AD$3:$AD$501,0))&amp;"","")</f>
        <v/>
      </c>
      <c r="L215" s="21" t="str">
        <f aca="false">IFERROR(INDEX(종합!L$3:L$501,MATCH(ROW()-2,종합!$AD$3:$AD$501,0))&amp;"","")</f>
        <v/>
      </c>
      <c r="M215" s="21" t="str">
        <f aca="false">IFERROR(INDEX(종합!M$3:M$501,MATCH(ROW()-2,종합!$AD$3:$AD$501,0))&amp;"","")</f>
        <v/>
      </c>
      <c r="N215" s="25" t="str">
        <f aca="false">IFERROR(INDEX(종합!N$3:N$501,MATCH(ROW()-2,종합!$AD$3:$AD$501,0))&amp;"","")</f>
        <v/>
      </c>
      <c r="O215" s="21" t="str">
        <f aca="false">IFERROR(INDEX(종합!O$3:O$501,MATCH(ROW()-2,종합!$AD$3:$AD$501,0))&amp;"","")</f>
        <v/>
      </c>
      <c r="P215" s="21" t="str">
        <f aca="false">IFERROR(INDEX(종합!P$3:P$501,MATCH(ROW()-2,종합!$AD$3:$AD$501,0))&amp;"","")</f>
        <v/>
      </c>
      <c r="Q215" s="21" t="str">
        <f aca="false">IFERROR(INDEX(종합!Q$3:Q$501,MATCH(ROW()-2,종합!$AD$3:$AD$501,0))&amp;"","")</f>
        <v/>
      </c>
      <c r="R215" s="21" t="str">
        <f aca="false">IFERROR(INDEX(종합!R$3:R$501,MATCH(ROW()-2,종합!$AD$3:$AD$501,0))&amp;"","")</f>
        <v/>
      </c>
      <c r="S215" s="21" t="str">
        <f aca="false">IFERROR(INDEX(종합!S$3:S$501,MATCH(ROW()-2,종합!$AD$3:$AD$501,0))&amp;"","")</f>
        <v/>
      </c>
      <c r="T215" s="21" t="str">
        <f aca="false">IFERROR(INDEX(종합!T$3:T$501,MATCH(ROW()-2,종합!$AD$3:$AD$501,0))&amp;"","")</f>
        <v/>
      </c>
      <c r="U215" s="21" t="str">
        <f aca="false">IFERROR(INDEX(종합!U$3:U$501,MATCH(ROW()-2,종합!$AD$3:$AD$501,0))&amp;"","")</f>
        <v/>
      </c>
      <c r="V215" s="21" t="str">
        <f aca="false">IFERROR(INDEX(종합!V$3:V$501,MATCH(ROW()-2,종합!$AD$3:$AD$501,0))&amp;"","")</f>
        <v/>
      </c>
      <c r="W215" s="21" t="str">
        <f aca="false">IFERROR(INDEX(종합!W$3:W$501,MATCH(ROW()-2,종합!$AD$3:$AD$501,0))&amp;"","")</f>
        <v/>
      </c>
      <c r="X215" s="21" t="str">
        <f aca="false">IFERROR(INDEX(종합!X$3:X$501,MATCH(ROW()-2,종합!$AD$3:$AD$501,0))&amp;"","")</f>
        <v/>
      </c>
      <c r="Y215" s="21" t="str">
        <f aca="false">IFERROR(INDEX(종합!Y$3:Y$501,MATCH(ROW()-2,종합!$AD$3:$AD$501,0))&amp;"","")</f>
        <v/>
      </c>
      <c r="Z215" s="21" t="str">
        <f aca="false">IFERROR(INDEX(종합!Z$3:Z$501,MATCH(ROW()-2,종합!$AD$3:$AD$501,0))&amp;"","")</f>
        <v/>
      </c>
      <c r="AA215" s="23" t="str">
        <f aca="false">IFERROR(INDEX(종합!AA$3:AA$501,MATCH(ROW()-2,종합!$AD$3:$AD$501,0))&amp;"","")</f>
        <v/>
      </c>
    </row>
    <row r="216" customFormat="false" ht="16.5" hidden="false" customHeight="true" outlineLevel="0" collapsed="false">
      <c r="A216" s="18" t="str">
        <f aca="false">IF(B216="","",ROW()-2)</f>
        <v/>
      </c>
      <c r="B216" s="18" t="str">
        <f aca="false">IFERROR(INDEX(종합!B$3:B$501,MATCH(ROW()-2,종합!$AD$3:$AD$501,0))&amp;"","")</f>
        <v/>
      </c>
      <c r="C216" s="18" t="str">
        <f aca="false">IFERROR(INDEX(종합!C$3:C$501,MATCH(ROW()-2,종합!$AD$3:$AD$501,0))&amp;"","")</f>
        <v/>
      </c>
      <c r="D216" s="18" t="str">
        <f aca="false">IFERROR(INDEX(종합!D$3:D$501,MATCH(ROW()-2,종합!$AD$3:$AD$501,0))&amp;"","")</f>
        <v/>
      </c>
      <c r="E216" s="18" t="str">
        <f aca="false">IFERROR(INDEX(종합!E$3:E$501,MATCH(ROW()-2,종합!$AD$3:$AD$501,0))&amp;"","")</f>
        <v/>
      </c>
      <c r="F216" s="18" t="str">
        <f aca="false">IFERROR(INDEX(종합!F$3:F$501,MATCH(ROW()-2,종합!$AD$3:$AD$501,0))&amp;"","")</f>
        <v/>
      </c>
      <c r="G216" s="18" t="str">
        <f aca="false">IFERROR(INDEX(종합!G$3:G$501,MATCH(ROW()-2,종합!$AD$3:$AD$501,0))&amp;"","")</f>
        <v/>
      </c>
      <c r="H216" s="21" t="str">
        <f aca="false">IFERROR(INDEX(종합!H$3:H$501,MATCH(ROW()-2,종합!$AD$3:$AD$501,0))&amp;"","")</f>
        <v/>
      </c>
      <c r="I216" s="21" t="str">
        <f aca="false">IFERROR(INDEX(종합!I$3:I$501,MATCH(ROW()-2,종합!$AD$3:$AD$501,0))&amp;"","")</f>
        <v/>
      </c>
      <c r="J216" s="21" t="str">
        <f aca="false">IFERROR(INDEX(종합!J$3:J$501,MATCH(ROW()-2,종합!$AD$3:$AD$501,0))&amp;"","")</f>
        <v/>
      </c>
      <c r="K216" s="21" t="str">
        <f aca="false">IFERROR(INDEX(종합!K$3:K$501,MATCH(ROW()-2,종합!$AD$3:$AD$501,0))&amp;"","")</f>
        <v/>
      </c>
      <c r="L216" s="21" t="str">
        <f aca="false">IFERROR(INDEX(종합!L$3:L$501,MATCH(ROW()-2,종합!$AD$3:$AD$501,0))&amp;"","")</f>
        <v/>
      </c>
      <c r="M216" s="21" t="str">
        <f aca="false">IFERROR(INDEX(종합!M$3:M$501,MATCH(ROW()-2,종합!$AD$3:$AD$501,0))&amp;"","")</f>
        <v/>
      </c>
      <c r="N216" s="25" t="str">
        <f aca="false">IFERROR(INDEX(종합!N$3:N$501,MATCH(ROW()-2,종합!$AD$3:$AD$501,0))&amp;"","")</f>
        <v/>
      </c>
      <c r="O216" s="21" t="str">
        <f aca="false">IFERROR(INDEX(종합!O$3:O$501,MATCH(ROW()-2,종합!$AD$3:$AD$501,0))&amp;"","")</f>
        <v/>
      </c>
      <c r="P216" s="21" t="str">
        <f aca="false">IFERROR(INDEX(종합!P$3:P$501,MATCH(ROW()-2,종합!$AD$3:$AD$501,0))&amp;"","")</f>
        <v/>
      </c>
      <c r="Q216" s="21" t="str">
        <f aca="false">IFERROR(INDEX(종합!Q$3:Q$501,MATCH(ROW()-2,종합!$AD$3:$AD$501,0))&amp;"","")</f>
        <v/>
      </c>
      <c r="R216" s="21" t="str">
        <f aca="false">IFERROR(INDEX(종합!R$3:R$501,MATCH(ROW()-2,종합!$AD$3:$AD$501,0))&amp;"","")</f>
        <v/>
      </c>
      <c r="S216" s="21" t="str">
        <f aca="false">IFERROR(INDEX(종합!S$3:S$501,MATCH(ROW()-2,종합!$AD$3:$AD$501,0))&amp;"","")</f>
        <v/>
      </c>
      <c r="T216" s="21" t="str">
        <f aca="false">IFERROR(INDEX(종합!T$3:T$501,MATCH(ROW()-2,종합!$AD$3:$AD$501,0))&amp;"","")</f>
        <v/>
      </c>
      <c r="U216" s="21" t="str">
        <f aca="false">IFERROR(INDEX(종합!U$3:U$501,MATCH(ROW()-2,종합!$AD$3:$AD$501,0))&amp;"","")</f>
        <v/>
      </c>
      <c r="V216" s="21" t="str">
        <f aca="false">IFERROR(INDEX(종합!V$3:V$501,MATCH(ROW()-2,종합!$AD$3:$AD$501,0))&amp;"","")</f>
        <v/>
      </c>
      <c r="W216" s="21" t="str">
        <f aca="false">IFERROR(INDEX(종합!W$3:W$501,MATCH(ROW()-2,종합!$AD$3:$AD$501,0))&amp;"","")</f>
        <v/>
      </c>
      <c r="X216" s="21" t="str">
        <f aca="false">IFERROR(INDEX(종합!X$3:X$501,MATCH(ROW()-2,종합!$AD$3:$AD$501,0))&amp;"","")</f>
        <v/>
      </c>
      <c r="Y216" s="21" t="str">
        <f aca="false">IFERROR(INDEX(종합!Y$3:Y$501,MATCH(ROW()-2,종합!$AD$3:$AD$501,0))&amp;"","")</f>
        <v/>
      </c>
      <c r="Z216" s="21" t="str">
        <f aca="false">IFERROR(INDEX(종합!Z$3:Z$501,MATCH(ROW()-2,종합!$AD$3:$AD$501,0))&amp;"","")</f>
        <v/>
      </c>
      <c r="AA216" s="23" t="str">
        <f aca="false">IFERROR(INDEX(종합!AA$3:AA$501,MATCH(ROW()-2,종합!$AD$3:$AD$501,0))&amp;"","")</f>
        <v/>
      </c>
    </row>
    <row r="217" customFormat="false" ht="16.5" hidden="false" customHeight="true" outlineLevel="0" collapsed="false">
      <c r="A217" s="18" t="str">
        <f aca="false">IF(B217="","",ROW()-2)</f>
        <v/>
      </c>
      <c r="B217" s="18" t="str">
        <f aca="false">IFERROR(INDEX(종합!B$3:B$501,MATCH(ROW()-2,종합!$AD$3:$AD$501,0))&amp;"","")</f>
        <v/>
      </c>
      <c r="C217" s="18" t="str">
        <f aca="false">IFERROR(INDEX(종합!C$3:C$501,MATCH(ROW()-2,종합!$AD$3:$AD$501,0))&amp;"","")</f>
        <v/>
      </c>
      <c r="D217" s="18" t="str">
        <f aca="false">IFERROR(INDEX(종합!D$3:D$501,MATCH(ROW()-2,종합!$AD$3:$AD$501,0))&amp;"","")</f>
        <v/>
      </c>
      <c r="E217" s="18" t="str">
        <f aca="false">IFERROR(INDEX(종합!E$3:E$501,MATCH(ROW()-2,종합!$AD$3:$AD$501,0))&amp;"","")</f>
        <v/>
      </c>
      <c r="F217" s="18" t="str">
        <f aca="false">IFERROR(INDEX(종합!F$3:F$501,MATCH(ROW()-2,종합!$AD$3:$AD$501,0))&amp;"","")</f>
        <v/>
      </c>
      <c r="G217" s="18" t="str">
        <f aca="false">IFERROR(INDEX(종합!G$3:G$501,MATCH(ROW()-2,종합!$AD$3:$AD$501,0))&amp;"","")</f>
        <v/>
      </c>
      <c r="H217" s="21" t="str">
        <f aca="false">IFERROR(INDEX(종합!H$3:H$501,MATCH(ROW()-2,종합!$AD$3:$AD$501,0))&amp;"","")</f>
        <v/>
      </c>
      <c r="I217" s="21" t="str">
        <f aca="false">IFERROR(INDEX(종합!I$3:I$501,MATCH(ROW()-2,종합!$AD$3:$AD$501,0))&amp;"","")</f>
        <v/>
      </c>
      <c r="J217" s="21" t="str">
        <f aca="false">IFERROR(INDEX(종합!J$3:J$501,MATCH(ROW()-2,종합!$AD$3:$AD$501,0))&amp;"","")</f>
        <v/>
      </c>
      <c r="K217" s="21" t="str">
        <f aca="false">IFERROR(INDEX(종합!K$3:K$501,MATCH(ROW()-2,종합!$AD$3:$AD$501,0))&amp;"","")</f>
        <v/>
      </c>
      <c r="L217" s="21" t="str">
        <f aca="false">IFERROR(INDEX(종합!L$3:L$501,MATCH(ROW()-2,종합!$AD$3:$AD$501,0))&amp;"","")</f>
        <v/>
      </c>
      <c r="M217" s="21" t="str">
        <f aca="false">IFERROR(INDEX(종합!M$3:M$501,MATCH(ROW()-2,종합!$AD$3:$AD$501,0))&amp;"","")</f>
        <v/>
      </c>
      <c r="N217" s="25" t="str">
        <f aca="false">IFERROR(INDEX(종합!N$3:N$501,MATCH(ROW()-2,종합!$AD$3:$AD$501,0))&amp;"","")</f>
        <v/>
      </c>
      <c r="O217" s="21" t="str">
        <f aca="false">IFERROR(INDEX(종합!O$3:O$501,MATCH(ROW()-2,종합!$AD$3:$AD$501,0))&amp;"","")</f>
        <v/>
      </c>
      <c r="P217" s="21" t="str">
        <f aca="false">IFERROR(INDEX(종합!P$3:P$501,MATCH(ROW()-2,종합!$AD$3:$AD$501,0))&amp;"","")</f>
        <v/>
      </c>
      <c r="Q217" s="21" t="str">
        <f aca="false">IFERROR(INDEX(종합!Q$3:Q$501,MATCH(ROW()-2,종합!$AD$3:$AD$501,0))&amp;"","")</f>
        <v/>
      </c>
      <c r="R217" s="21" t="str">
        <f aca="false">IFERROR(INDEX(종합!R$3:R$501,MATCH(ROW()-2,종합!$AD$3:$AD$501,0))&amp;"","")</f>
        <v/>
      </c>
      <c r="S217" s="21" t="str">
        <f aca="false">IFERROR(INDEX(종합!S$3:S$501,MATCH(ROW()-2,종합!$AD$3:$AD$501,0))&amp;"","")</f>
        <v/>
      </c>
      <c r="T217" s="21" t="str">
        <f aca="false">IFERROR(INDEX(종합!T$3:T$501,MATCH(ROW()-2,종합!$AD$3:$AD$501,0))&amp;"","")</f>
        <v/>
      </c>
      <c r="U217" s="21" t="str">
        <f aca="false">IFERROR(INDEX(종합!U$3:U$501,MATCH(ROW()-2,종합!$AD$3:$AD$501,0))&amp;"","")</f>
        <v/>
      </c>
      <c r="V217" s="21" t="str">
        <f aca="false">IFERROR(INDEX(종합!V$3:V$501,MATCH(ROW()-2,종합!$AD$3:$AD$501,0))&amp;"","")</f>
        <v/>
      </c>
      <c r="W217" s="21" t="str">
        <f aca="false">IFERROR(INDEX(종합!W$3:W$501,MATCH(ROW()-2,종합!$AD$3:$AD$501,0))&amp;"","")</f>
        <v/>
      </c>
      <c r="X217" s="21" t="str">
        <f aca="false">IFERROR(INDEX(종합!X$3:X$501,MATCH(ROW()-2,종합!$AD$3:$AD$501,0))&amp;"","")</f>
        <v/>
      </c>
      <c r="Y217" s="21" t="str">
        <f aca="false">IFERROR(INDEX(종합!Y$3:Y$501,MATCH(ROW()-2,종합!$AD$3:$AD$501,0))&amp;"","")</f>
        <v/>
      </c>
      <c r="Z217" s="21" t="str">
        <f aca="false">IFERROR(INDEX(종합!Z$3:Z$501,MATCH(ROW()-2,종합!$AD$3:$AD$501,0))&amp;"","")</f>
        <v/>
      </c>
      <c r="AA217" s="23" t="str">
        <f aca="false">IFERROR(INDEX(종합!AA$3:AA$501,MATCH(ROW()-2,종합!$AD$3:$AD$501,0))&amp;"","")</f>
        <v/>
      </c>
    </row>
    <row r="218" customFormat="false" ht="16.5" hidden="false" customHeight="true" outlineLevel="0" collapsed="false">
      <c r="A218" s="18" t="str">
        <f aca="false">IF(B218="","",ROW()-2)</f>
        <v/>
      </c>
      <c r="B218" s="18" t="str">
        <f aca="false">IFERROR(INDEX(종합!B$3:B$501,MATCH(ROW()-2,종합!$AD$3:$AD$501,0))&amp;"","")</f>
        <v/>
      </c>
      <c r="C218" s="18" t="str">
        <f aca="false">IFERROR(INDEX(종합!C$3:C$501,MATCH(ROW()-2,종합!$AD$3:$AD$501,0))&amp;"","")</f>
        <v/>
      </c>
      <c r="D218" s="18" t="str">
        <f aca="false">IFERROR(INDEX(종합!D$3:D$501,MATCH(ROW()-2,종합!$AD$3:$AD$501,0))&amp;"","")</f>
        <v/>
      </c>
      <c r="E218" s="18" t="str">
        <f aca="false">IFERROR(INDEX(종합!E$3:E$501,MATCH(ROW()-2,종합!$AD$3:$AD$501,0))&amp;"","")</f>
        <v/>
      </c>
      <c r="F218" s="18" t="str">
        <f aca="false">IFERROR(INDEX(종합!F$3:F$501,MATCH(ROW()-2,종합!$AD$3:$AD$501,0))&amp;"","")</f>
        <v/>
      </c>
      <c r="G218" s="18" t="str">
        <f aca="false">IFERROR(INDEX(종합!G$3:G$501,MATCH(ROW()-2,종합!$AD$3:$AD$501,0))&amp;"","")</f>
        <v/>
      </c>
      <c r="H218" s="21" t="str">
        <f aca="false">IFERROR(INDEX(종합!H$3:H$501,MATCH(ROW()-2,종합!$AD$3:$AD$501,0))&amp;"","")</f>
        <v/>
      </c>
      <c r="I218" s="21" t="str">
        <f aca="false">IFERROR(INDEX(종합!I$3:I$501,MATCH(ROW()-2,종합!$AD$3:$AD$501,0))&amp;"","")</f>
        <v/>
      </c>
      <c r="J218" s="21" t="str">
        <f aca="false">IFERROR(INDEX(종합!J$3:J$501,MATCH(ROW()-2,종합!$AD$3:$AD$501,0))&amp;"","")</f>
        <v/>
      </c>
      <c r="K218" s="21" t="str">
        <f aca="false">IFERROR(INDEX(종합!K$3:K$501,MATCH(ROW()-2,종합!$AD$3:$AD$501,0))&amp;"","")</f>
        <v/>
      </c>
      <c r="L218" s="21" t="str">
        <f aca="false">IFERROR(INDEX(종합!L$3:L$501,MATCH(ROW()-2,종합!$AD$3:$AD$501,0))&amp;"","")</f>
        <v/>
      </c>
      <c r="M218" s="21" t="str">
        <f aca="false">IFERROR(INDEX(종합!M$3:M$501,MATCH(ROW()-2,종합!$AD$3:$AD$501,0))&amp;"","")</f>
        <v/>
      </c>
      <c r="N218" s="25" t="str">
        <f aca="false">IFERROR(INDEX(종합!N$3:N$501,MATCH(ROW()-2,종합!$AD$3:$AD$501,0))&amp;"","")</f>
        <v/>
      </c>
      <c r="O218" s="21" t="str">
        <f aca="false">IFERROR(INDEX(종합!O$3:O$501,MATCH(ROW()-2,종합!$AD$3:$AD$501,0))&amp;"","")</f>
        <v/>
      </c>
      <c r="P218" s="21" t="str">
        <f aca="false">IFERROR(INDEX(종합!P$3:P$501,MATCH(ROW()-2,종합!$AD$3:$AD$501,0))&amp;"","")</f>
        <v/>
      </c>
      <c r="Q218" s="21" t="str">
        <f aca="false">IFERROR(INDEX(종합!Q$3:Q$501,MATCH(ROW()-2,종합!$AD$3:$AD$501,0))&amp;"","")</f>
        <v/>
      </c>
      <c r="R218" s="21" t="str">
        <f aca="false">IFERROR(INDEX(종합!R$3:R$501,MATCH(ROW()-2,종합!$AD$3:$AD$501,0))&amp;"","")</f>
        <v/>
      </c>
      <c r="S218" s="21" t="str">
        <f aca="false">IFERROR(INDEX(종합!S$3:S$501,MATCH(ROW()-2,종합!$AD$3:$AD$501,0))&amp;"","")</f>
        <v/>
      </c>
      <c r="T218" s="21" t="str">
        <f aca="false">IFERROR(INDEX(종합!T$3:T$501,MATCH(ROW()-2,종합!$AD$3:$AD$501,0))&amp;"","")</f>
        <v/>
      </c>
      <c r="U218" s="21" t="str">
        <f aca="false">IFERROR(INDEX(종합!U$3:U$501,MATCH(ROW()-2,종합!$AD$3:$AD$501,0))&amp;"","")</f>
        <v/>
      </c>
      <c r="V218" s="21" t="str">
        <f aca="false">IFERROR(INDEX(종합!V$3:V$501,MATCH(ROW()-2,종합!$AD$3:$AD$501,0))&amp;"","")</f>
        <v/>
      </c>
      <c r="W218" s="21" t="str">
        <f aca="false">IFERROR(INDEX(종합!W$3:W$501,MATCH(ROW()-2,종합!$AD$3:$AD$501,0))&amp;"","")</f>
        <v/>
      </c>
      <c r="X218" s="21" t="str">
        <f aca="false">IFERROR(INDEX(종합!X$3:X$501,MATCH(ROW()-2,종합!$AD$3:$AD$501,0))&amp;"","")</f>
        <v/>
      </c>
      <c r="Y218" s="21" t="str">
        <f aca="false">IFERROR(INDEX(종합!Y$3:Y$501,MATCH(ROW()-2,종합!$AD$3:$AD$501,0))&amp;"","")</f>
        <v/>
      </c>
      <c r="Z218" s="21" t="str">
        <f aca="false">IFERROR(INDEX(종합!Z$3:Z$501,MATCH(ROW()-2,종합!$AD$3:$AD$501,0))&amp;"","")</f>
        <v/>
      </c>
      <c r="AA218" s="23" t="str">
        <f aca="false">IFERROR(INDEX(종합!AA$3:AA$501,MATCH(ROW()-2,종합!$AD$3:$AD$501,0))&amp;"","")</f>
        <v/>
      </c>
    </row>
    <row r="219" customFormat="false" ht="16.5" hidden="false" customHeight="true" outlineLevel="0" collapsed="false">
      <c r="A219" s="18" t="str">
        <f aca="false">IF(B219="","",ROW()-2)</f>
        <v/>
      </c>
      <c r="B219" s="18" t="str">
        <f aca="false">IFERROR(INDEX(종합!B$3:B$501,MATCH(ROW()-2,종합!$AD$3:$AD$501,0))&amp;"","")</f>
        <v/>
      </c>
      <c r="C219" s="18" t="str">
        <f aca="false">IFERROR(INDEX(종합!C$3:C$501,MATCH(ROW()-2,종합!$AD$3:$AD$501,0))&amp;"","")</f>
        <v/>
      </c>
      <c r="D219" s="18" t="str">
        <f aca="false">IFERROR(INDEX(종합!D$3:D$501,MATCH(ROW()-2,종합!$AD$3:$AD$501,0))&amp;"","")</f>
        <v/>
      </c>
      <c r="E219" s="18" t="str">
        <f aca="false">IFERROR(INDEX(종합!E$3:E$501,MATCH(ROW()-2,종합!$AD$3:$AD$501,0))&amp;"","")</f>
        <v/>
      </c>
      <c r="F219" s="18" t="str">
        <f aca="false">IFERROR(INDEX(종합!F$3:F$501,MATCH(ROW()-2,종합!$AD$3:$AD$501,0))&amp;"","")</f>
        <v/>
      </c>
      <c r="G219" s="18" t="str">
        <f aca="false">IFERROR(INDEX(종합!G$3:G$501,MATCH(ROW()-2,종합!$AD$3:$AD$501,0))&amp;"","")</f>
        <v/>
      </c>
      <c r="H219" s="21" t="str">
        <f aca="false">IFERROR(INDEX(종합!H$3:H$501,MATCH(ROW()-2,종합!$AD$3:$AD$501,0))&amp;"","")</f>
        <v/>
      </c>
      <c r="I219" s="21" t="str">
        <f aca="false">IFERROR(INDEX(종합!I$3:I$501,MATCH(ROW()-2,종합!$AD$3:$AD$501,0))&amp;"","")</f>
        <v/>
      </c>
      <c r="J219" s="21" t="str">
        <f aca="false">IFERROR(INDEX(종합!J$3:J$501,MATCH(ROW()-2,종합!$AD$3:$AD$501,0))&amp;"","")</f>
        <v/>
      </c>
      <c r="K219" s="21" t="str">
        <f aca="false">IFERROR(INDEX(종합!K$3:K$501,MATCH(ROW()-2,종합!$AD$3:$AD$501,0))&amp;"","")</f>
        <v/>
      </c>
      <c r="L219" s="21" t="str">
        <f aca="false">IFERROR(INDEX(종합!L$3:L$501,MATCH(ROW()-2,종합!$AD$3:$AD$501,0))&amp;"","")</f>
        <v/>
      </c>
      <c r="M219" s="21" t="str">
        <f aca="false">IFERROR(INDEX(종합!M$3:M$501,MATCH(ROW()-2,종합!$AD$3:$AD$501,0))&amp;"","")</f>
        <v/>
      </c>
      <c r="N219" s="25" t="str">
        <f aca="false">IFERROR(INDEX(종합!N$3:N$501,MATCH(ROW()-2,종합!$AD$3:$AD$501,0))&amp;"","")</f>
        <v/>
      </c>
      <c r="O219" s="21" t="str">
        <f aca="false">IFERROR(INDEX(종합!O$3:O$501,MATCH(ROW()-2,종합!$AD$3:$AD$501,0))&amp;"","")</f>
        <v/>
      </c>
      <c r="P219" s="21" t="str">
        <f aca="false">IFERROR(INDEX(종합!P$3:P$501,MATCH(ROW()-2,종합!$AD$3:$AD$501,0))&amp;"","")</f>
        <v/>
      </c>
      <c r="Q219" s="21" t="str">
        <f aca="false">IFERROR(INDEX(종합!Q$3:Q$501,MATCH(ROW()-2,종합!$AD$3:$AD$501,0))&amp;"","")</f>
        <v/>
      </c>
      <c r="R219" s="21" t="str">
        <f aca="false">IFERROR(INDEX(종합!R$3:R$501,MATCH(ROW()-2,종합!$AD$3:$AD$501,0))&amp;"","")</f>
        <v/>
      </c>
      <c r="S219" s="21" t="str">
        <f aca="false">IFERROR(INDEX(종합!S$3:S$501,MATCH(ROW()-2,종합!$AD$3:$AD$501,0))&amp;"","")</f>
        <v/>
      </c>
      <c r="T219" s="21" t="str">
        <f aca="false">IFERROR(INDEX(종합!T$3:T$501,MATCH(ROW()-2,종합!$AD$3:$AD$501,0))&amp;"","")</f>
        <v/>
      </c>
      <c r="U219" s="21" t="str">
        <f aca="false">IFERROR(INDEX(종합!U$3:U$501,MATCH(ROW()-2,종합!$AD$3:$AD$501,0))&amp;"","")</f>
        <v/>
      </c>
      <c r="V219" s="21" t="str">
        <f aca="false">IFERROR(INDEX(종합!V$3:V$501,MATCH(ROW()-2,종합!$AD$3:$AD$501,0))&amp;"","")</f>
        <v/>
      </c>
      <c r="W219" s="21" t="str">
        <f aca="false">IFERROR(INDEX(종합!W$3:W$501,MATCH(ROW()-2,종합!$AD$3:$AD$501,0))&amp;"","")</f>
        <v/>
      </c>
      <c r="X219" s="21" t="str">
        <f aca="false">IFERROR(INDEX(종합!X$3:X$501,MATCH(ROW()-2,종합!$AD$3:$AD$501,0))&amp;"","")</f>
        <v/>
      </c>
      <c r="Y219" s="21" t="str">
        <f aca="false">IFERROR(INDEX(종합!Y$3:Y$501,MATCH(ROW()-2,종합!$AD$3:$AD$501,0))&amp;"","")</f>
        <v/>
      </c>
      <c r="Z219" s="21" t="str">
        <f aca="false">IFERROR(INDEX(종합!Z$3:Z$501,MATCH(ROW()-2,종합!$AD$3:$AD$501,0))&amp;"","")</f>
        <v/>
      </c>
      <c r="AA219" s="23" t="str">
        <f aca="false">IFERROR(INDEX(종합!AA$3:AA$501,MATCH(ROW()-2,종합!$AD$3:$AD$501,0))&amp;"","")</f>
        <v/>
      </c>
    </row>
    <row r="220" customFormat="false" ht="16.5" hidden="false" customHeight="true" outlineLevel="0" collapsed="false">
      <c r="A220" s="18" t="str">
        <f aca="false">IF(B220="","",ROW()-2)</f>
        <v/>
      </c>
      <c r="B220" s="18" t="str">
        <f aca="false">IFERROR(INDEX(종합!B$3:B$501,MATCH(ROW()-2,종합!$AD$3:$AD$501,0))&amp;"","")</f>
        <v/>
      </c>
      <c r="C220" s="18" t="str">
        <f aca="false">IFERROR(INDEX(종합!C$3:C$501,MATCH(ROW()-2,종합!$AD$3:$AD$501,0))&amp;"","")</f>
        <v/>
      </c>
      <c r="D220" s="18" t="str">
        <f aca="false">IFERROR(INDEX(종합!D$3:D$501,MATCH(ROW()-2,종합!$AD$3:$AD$501,0))&amp;"","")</f>
        <v/>
      </c>
      <c r="E220" s="18" t="str">
        <f aca="false">IFERROR(INDEX(종합!E$3:E$501,MATCH(ROW()-2,종합!$AD$3:$AD$501,0))&amp;"","")</f>
        <v/>
      </c>
      <c r="F220" s="18" t="str">
        <f aca="false">IFERROR(INDEX(종합!F$3:F$501,MATCH(ROW()-2,종합!$AD$3:$AD$501,0))&amp;"","")</f>
        <v/>
      </c>
      <c r="G220" s="18" t="str">
        <f aca="false">IFERROR(INDEX(종합!G$3:G$501,MATCH(ROW()-2,종합!$AD$3:$AD$501,0))&amp;"","")</f>
        <v/>
      </c>
      <c r="H220" s="21" t="str">
        <f aca="false">IFERROR(INDEX(종합!H$3:H$501,MATCH(ROW()-2,종합!$AD$3:$AD$501,0))&amp;"","")</f>
        <v/>
      </c>
      <c r="I220" s="21" t="str">
        <f aca="false">IFERROR(INDEX(종합!I$3:I$501,MATCH(ROW()-2,종합!$AD$3:$AD$501,0))&amp;"","")</f>
        <v/>
      </c>
      <c r="J220" s="21" t="str">
        <f aca="false">IFERROR(INDEX(종합!J$3:J$501,MATCH(ROW()-2,종합!$AD$3:$AD$501,0))&amp;"","")</f>
        <v/>
      </c>
      <c r="K220" s="21" t="str">
        <f aca="false">IFERROR(INDEX(종합!K$3:K$501,MATCH(ROW()-2,종합!$AD$3:$AD$501,0))&amp;"","")</f>
        <v/>
      </c>
      <c r="L220" s="21" t="str">
        <f aca="false">IFERROR(INDEX(종합!L$3:L$501,MATCH(ROW()-2,종합!$AD$3:$AD$501,0))&amp;"","")</f>
        <v/>
      </c>
      <c r="M220" s="21" t="str">
        <f aca="false">IFERROR(INDEX(종합!M$3:M$501,MATCH(ROW()-2,종합!$AD$3:$AD$501,0))&amp;"","")</f>
        <v/>
      </c>
      <c r="N220" s="25" t="str">
        <f aca="false">IFERROR(INDEX(종합!N$3:N$501,MATCH(ROW()-2,종합!$AD$3:$AD$501,0))&amp;"","")</f>
        <v/>
      </c>
      <c r="O220" s="21" t="str">
        <f aca="false">IFERROR(INDEX(종합!O$3:O$501,MATCH(ROW()-2,종합!$AD$3:$AD$501,0))&amp;"","")</f>
        <v/>
      </c>
      <c r="P220" s="21" t="str">
        <f aca="false">IFERROR(INDEX(종합!P$3:P$501,MATCH(ROW()-2,종합!$AD$3:$AD$501,0))&amp;"","")</f>
        <v/>
      </c>
      <c r="Q220" s="21" t="str">
        <f aca="false">IFERROR(INDEX(종합!Q$3:Q$501,MATCH(ROW()-2,종합!$AD$3:$AD$501,0))&amp;"","")</f>
        <v/>
      </c>
      <c r="R220" s="21" t="str">
        <f aca="false">IFERROR(INDEX(종합!R$3:R$501,MATCH(ROW()-2,종합!$AD$3:$AD$501,0))&amp;"","")</f>
        <v/>
      </c>
      <c r="S220" s="21" t="str">
        <f aca="false">IFERROR(INDEX(종합!S$3:S$501,MATCH(ROW()-2,종합!$AD$3:$AD$501,0))&amp;"","")</f>
        <v/>
      </c>
      <c r="T220" s="21" t="str">
        <f aca="false">IFERROR(INDEX(종합!T$3:T$501,MATCH(ROW()-2,종합!$AD$3:$AD$501,0))&amp;"","")</f>
        <v/>
      </c>
      <c r="U220" s="21" t="str">
        <f aca="false">IFERROR(INDEX(종합!U$3:U$501,MATCH(ROW()-2,종합!$AD$3:$AD$501,0))&amp;"","")</f>
        <v/>
      </c>
      <c r="V220" s="21" t="str">
        <f aca="false">IFERROR(INDEX(종합!V$3:V$501,MATCH(ROW()-2,종합!$AD$3:$AD$501,0))&amp;"","")</f>
        <v/>
      </c>
      <c r="W220" s="21" t="str">
        <f aca="false">IFERROR(INDEX(종합!W$3:W$501,MATCH(ROW()-2,종합!$AD$3:$AD$501,0))&amp;"","")</f>
        <v/>
      </c>
      <c r="X220" s="21" t="str">
        <f aca="false">IFERROR(INDEX(종합!X$3:X$501,MATCH(ROW()-2,종합!$AD$3:$AD$501,0))&amp;"","")</f>
        <v/>
      </c>
      <c r="Y220" s="21" t="str">
        <f aca="false">IFERROR(INDEX(종합!Y$3:Y$501,MATCH(ROW()-2,종합!$AD$3:$AD$501,0))&amp;"","")</f>
        <v/>
      </c>
      <c r="Z220" s="21" t="str">
        <f aca="false">IFERROR(INDEX(종합!Z$3:Z$501,MATCH(ROW()-2,종합!$AD$3:$AD$501,0))&amp;"","")</f>
        <v/>
      </c>
      <c r="AA220" s="23" t="str">
        <f aca="false">IFERROR(INDEX(종합!AA$3:AA$501,MATCH(ROW()-2,종합!$AD$3:$AD$501,0))&amp;"","")</f>
        <v/>
      </c>
    </row>
    <row r="221" customFormat="false" ht="16.5" hidden="false" customHeight="true" outlineLevel="0" collapsed="false">
      <c r="A221" s="18" t="str">
        <f aca="false">IF(B221="","",ROW()-2)</f>
        <v/>
      </c>
      <c r="B221" s="18" t="str">
        <f aca="false">IFERROR(INDEX(종합!B$3:B$501,MATCH(ROW()-2,종합!$AD$3:$AD$501,0))&amp;"","")</f>
        <v/>
      </c>
      <c r="C221" s="18" t="str">
        <f aca="false">IFERROR(INDEX(종합!C$3:C$501,MATCH(ROW()-2,종합!$AD$3:$AD$501,0))&amp;"","")</f>
        <v/>
      </c>
      <c r="D221" s="18" t="str">
        <f aca="false">IFERROR(INDEX(종합!D$3:D$501,MATCH(ROW()-2,종합!$AD$3:$AD$501,0))&amp;"","")</f>
        <v/>
      </c>
      <c r="E221" s="18" t="str">
        <f aca="false">IFERROR(INDEX(종합!E$3:E$501,MATCH(ROW()-2,종합!$AD$3:$AD$501,0))&amp;"","")</f>
        <v/>
      </c>
      <c r="F221" s="18" t="str">
        <f aca="false">IFERROR(INDEX(종합!F$3:F$501,MATCH(ROW()-2,종합!$AD$3:$AD$501,0))&amp;"","")</f>
        <v/>
      </c>
      <c r="G221" s="18" t="str">
        <f aca="false">IFERROR(INDEX(종합!G$3:G$501,MATCH(ROW()-2,종합!$AD$3:$AD$501,0))&amp;"","")</f>
        <v/>
      </c>
      <c r="H221" s="21" t="str">
        <f aca="false">IFERROR(INDEX(종합!H$3:H$501,MATCH(ROW()-2,종합!$AD$3:$AD$501,0))&amp;"","")</f>
        <v/>
      </c>
      <c r="I221" s="21" t="str">
        <f aca="false">IFERROR(INDEX(종합!I$3:I$501,MATCH(ROW()-2,종합!$AD$3:$AD$501,0))&amp;"","")</f>
        <v/>
      </c>
      <c r="J221" s="21" t="str">
        <f aca="false">IFERROR(INDEX(종합!J$3:J$501,MATCH(ROW()-2,종합!$AD$3:$AD$501,0))&amp;"","")</f>
        <v/>
      </c>
      <c r="K221" s="21" t="str">
        <f aca="false">IFERROR(INDEX(종합!K$3:K$501,MATCH(ROW()-2,종합!$AD$3:$AD$501,0))&amp;"","")</f>
        <v/>
      </c>
      <c r="L221" s="21" t="str">
        <f aca="false">IFERROR(INDEX(종합!L$3:L$501,MATCH(ROW()-2,종합!$AD$3:$AD$501,0))&amp;"","")</f>
        <v/>
      </c>
      <c r="M221" s="21" t="str">
        <f aca="false">IFERROR(INDEX(종합!M$3:M$501,MATCH(ROW()-2,종합!$AD$3:$AD$501,0))&amp;"","")</f>
        <v/>
      </c>
      <c r="N221" s="25" t="str">
        <f aca="false">IFERROR(INDEX(종합!N$3:N$501,MATCH(ROW()-2,종합!$AD$3:$AD$501,0))&amp;"","")</f>
        <v/>
      </c>
      <c r="O221" s="21" t="str">
        <f aca="false">IFERROR(INDEX(종합!O$3:O$501,MATCH(ROW()-2,종합!$AD$3:$AD$501,0))&amp;"","")</f>
        <v/>
      </c>
      <c r="P221" s="21" t="str">
        <f aca="false">IFERROR(INDEX(종합!P$3:P$501,MATCH(ROW()-2,종합!$AD$3:$AD$501,0))&amp;"","")</f>
        <v/>
      </c>
      <c r="Q221" s="21" t="str">
        <f aca="false">IFERROR(INDEX(종합!Q$3:Q$501,MATCH(ROW()-2,종합!$AD$3:$AD$501,0))&amp;"","")</f>
        <v/>
      </c>
      <c r="R221" s="21" t="str">
        <f aca="false">IFERROR(INDEX(종합!R$3:R$501,MATCH(ROW()-2,종합!$AD$3:$AD$501,0))&amp;"","")</f>
        <v/>
      </c>
      <c r="S221" s="21" t="str">
        <f aca="false">IFERROR(INDEX(종합!S$3:S$501,MATCH(ROW()-2,종합!$AD$3:$AD$501,0))&amp;"","")</f>
        <v/>
      </c>
      <c r="T221" s="21" t="str">
        <f aca="false">IFERROR(INDEX(종합!T$3:T$501,MATCH(ROW()-2,종합!$AD$3:$AD$501,0))&amp;"","")</f>
        <v/>
      </c>
      <c r="U221" s="21" t="str">
        <f aca="false">IFERROR(INDEX(종합!U$3:U$501,MATCH(ROW()-2,종합!$AD$3:$AD$501,0))&amp;"","")</f>
        <v/>
      </c>
      <c r="V221" s="21" t="str">
        <f aca="false">IFERROR(INDEX(종합!V$3:V$501,MATCH(ROW()-2,종합!$AD$3:$AD$501,0))&amp;"","")</f>
        <v/>
      </c>
      <c r="W221" s="21" t="str">
        <f aca="false">IFERROR(INDEX(종합!W$3:W$501,MATCH(ROW()-2,종합!$AD$3:$AD$501,0))&amp;"","")</f>
        <v/>
      </c>
      <c r="X221" s="21" t="str">
        <f aca="false">IFERROR(INDEX(종합!X$3:X$501,MATCH(ROW()-2,종합!$AD$3:$AD$501,0))&amp;"","")</f>
        <v/>
      </c>
      <c r="Y221" s="21" t="str">
        <f aca="false">IFERROR(INDEX(종합!Y$3:Y$501,MATCH(ROW()-2,종합!$AD$3:$AD$501,0))&amp;"","")</f>
        <v/>
      </c>
      <c r="Z221" s="21" t="str">
        <f aca="false">IFERROR(INDEX(종합!Z$3:Z$501,MATCH(ROW()-2,종합!$AD$3:$AD$501,0))&amp;"","")</f>
        <v/>
      </c>
      <c r="AA221" s="23" t="str">
        <f aca="false">IFERROR(INDEX(종합!AA$3:AA$501,MATCH(ROW()-2,종합!$AD$3:$AD$501,0))&amp;"","")</f>
        <v/>
      </c>
    </row>
    <row r="222" customFormat="false" ht="16.5" hidden="false" customHeight="true" outlineLevel="0" collapsed="false">
      <c r="A222" s="18" t="str">
        <f aca="false">IF(B222="","",ROW()-2)</f>
        <v/>
      </c>
      <c r="B222" s="18" t="str">
        <f aca="false">IFERROR(INDEX(종합!B$3:B$501,MATCH(ROW()-2,종합!$AD$3:$AD$501,0))&amp;"","")</f>
        <v/>
      </c>
      <c r="C222" s="18" t="str">
        <f aca="false">IFERROR(INDEX(종합!C$3:C$501,MATCH(ROW()-2,종합!$AD$3:$AD$501,0))&amp;"","")</f>
        <v/>
      </c>
      <c r="D222" s="18" t="str">
        <f aca="false">IFERROR(INDEX(종합!D$3:D$501,MATCH(ROW()-2,종합!$AD$3:$AD$501,0))&amp;"","")</f>
        <v/>
      </c>
      <c r="E222" s="18" t="str">
        <f aca="false">IFERROR(INDEX(종합!E$3:E$501,MATCH(ROW()-2,종합!$AD$3:$AD$501,0))&amp;"","")</f>
        <v/>
      </c>
      <c r="F222" s="18" t="str">
        <f aca="false">IFERROR(INDEX(종합!F$3:F$501,MATCH(ROW()-2,종합!$AD$3:$AD$501,0))&amp;"","")</f>
        <v/>
      </c>
      <c r="G222" s="18" t="str">
        <f aca="false">IFERROR(INDEX(종합!G$3:G$501,MATCH(ROW()-2,종합!$AD$3:$AD$501,0))&amp;"","")</f>
        <v/>
      </c>
      <c r="H222" s="21" t="str">
        <f aca="false">IFERROR(INDEX(종합!H$3:H$501,MATCH(ROW()-2,종합!$AD$3:$AD$501,0))&amp;"","")</f>
        <v/>
      </c>
      <c r="I222" s="21" t="str">
        <f aca="false">IFERROR(INDEX(종합!I$3:I$501,MATCH(ROW()-2,종합!$AD$3:$AD$501,0))&amp;"","")</f>
        <v/>
      </c>
      <c r="J222" s="21" t="str">
        <f aca="false">IFERROR(INDEX(종합!J$3:J$501,MATCH(ROW()-2,종합!$AD$3:$AD$501,0))&amp;"","")</f>
        <v/>
      </c>
      <c r="K222" s="21" t="str">
        <f aca="false">IFERROR(INDEX(종합!K$3:K$501,MATCH(ROW()-2,종합!$AD$3:$AD$501,0))&amp;"","")</f>
        <v/>
      </c>
      <c r="L222" s="21" t="str">
        <f aca="false">IFERROR(INDEX(종합!L$3:L$501,MATCH(ROW()-2,종합!$AD$3:$AD$501,0))&amp;"","")</f>
        <v/>
      </c>
      <c r="M222" s="21" t="str">
        <f aca="false">IFERROR(INDEX(종합!M$3:M$501,MATCH(ROW()-2,종합!$AD$3:$AD$501,0))&amp;"","")</f>
        <v/>
      </c>
      <c r="N222" s="25" t="str">
        <f aca="false">IFERROR(INDEX(종합!N$3:N$501,MATCH(ROW()-2,종합!$AD$3:$AD$501,0))&amp;"","")</f>
        <v/>
      </c>
      <c r="O222" s="21" t="str">
        <f aca="false">IFERROR(INDEX(종합!O$3:O$501,MATCH(ROW()-2,종합!$AD$3:$AD$501,0))&amp;"","")</f>
        <v/>
      </c>
      <c r="P222" s="21" t="str">
        <f aca="false">IFERROR(INDEX(종합!P$3:P$501,MATCH(ROW()-2,종합!$AD$3:$AD$501,0))&amp;"","")</f>
        <v/>
      </c>
      <c r="Q222" s="21" t="str">
        <f aca="false">IFERROR(INDEX(종합!Q$3:Q$501,MATCH(ROW()-2,종합!$AD$3:$AD$501,0))&amp;"","")</f>
        <v/>
      </c>
      <c r="R222" s="21" t="str">
        <f aca="false">IFERROR(INDEX(종합!R$3:R$501,MATCH(ROW()-2,종합!$AD$3:$AD$501,0))&amp;"","")</f>
        <v/>
      </c>
      <c r="S222" s="21" t="str">
        <f aca="false">IFERROR(INDEX(종합!S$3:S$501,MATCH(ROW()-2,종합!$AD$3:$AD$501,0))&amp;"","")</f>
        <v/>
      </c>
      <c r="T222" s="21" t="str">
        <f aca="false">IFERROR(INDEX(종합!T$3:T$501,MATCH(ROW()-2,종합!$AD$3:$AD$501,0))&amp;"","")</f>
        <v/>
      </c>
      <c r="U222" s="21" t="str">
        <f aca="false">IFERROR(INDEX(종합!U$3:U$501,MATCH(ROW()-2,종합!$AD$3:$AD$501,0))&amp;"","")</f>
        <v/>
      </c>
      <c r="V222" s="21" t="str">
        <f aca="false">IFERROR(INDEX(종합!V$3:V$501,MATCH(ROW()-2,종합!$AD$3:$AD$501,0))&amp;"","")</f>
        <v/>
      </c>
      <c r="W222" s="21" t="str">
        <f aca="false">IFERROR(INDEX(종합!W$3:W$501,MATCH(ROW()-2,종합!$AD$3:$AD$501,0))&amp;"","")</f>
        <v/>
      </c>
      <c r="X222" s="21" t="str">
        <f aca="false">IFERROR(INDEX(종합!X$3:X$501,MATCH(ROW()-2,종합!$AD$3:$AD$501,0))&amp;"","")</f>
        <v/>
      </c>
      <c r="Y222" s="21" t="str">
        <f aca="false">IFERROR(INDEX(종합!Y$3:Y$501,MATCH(ROW()-2,종합!$AD$3:$AD$501,0))&amp;"","")</f>
        <v/>
      </c>
      <c r="Z222" s="21" t="str">
        <f aca="false">IFERROR(INDEX(종합!Z$3:Z$501,MATCH(ROW()-2,종합!$AD$3:$AD$501,0))&amp;"","")</f>
        <v/>
      </c>
      <c r="AA222" s="23" t="str">
        <f aca="false">IFERROR(INDEX(종합!AA$3:AA$501,MATCH(ROW()-2,종합!$AD$3:$AD$501,0))&amp;"","")</f>
        <v/>
      </c>
    </row>
    <row r="223" customFormat="false" ht="16.5" hidden="false" customHeight="true" outlineLevel="0" collapsed="false">
      <c r="A223" s="18" t="str">
        <f aca="false">IF(B223="","",ROW()-2)</f>
        <v/>
      </c>
      <c r="B223" s="18" t="str">
        <f aca="false">IFERROR(INDEX(종합!B$3:B$501,MATCH(ROW()-2,종합!$AD$3:$AD$501,0))&amp;"","")</f>
        <v/>
      </c>
      <c r="C223" s="18" t="str">
        <f aca="false">IFERROR(INDEX(종합!C$3:C$501,MATCH(ROW()-2,종합!$AD$3:$AD$501,0))&amp;"","")</f>
        <v/>
      </c>
      <c r="D223" s="18" t="str">
        <f aca="false">IFERROR(INDEX(종합!D$3:D$501,MATCH(ROW()-2,종합!$AD$3:$AD$501,0))&amp;"","")</f>
        <v/>
      </c>
      <c r="E223" s="18" t="str">
        <f aca="false">IFERROR(INDEX(종합!E$3:E$501,MATCH(ROW()-2,종합!$AD$3:$AD$501,0))&amp;"","")</f>
        <v/>
      </c>
      <c r="F223" s="18" t="str">
        <f aca="false">IFERROR(INDEX(종합!F$3:F$501,MATCH(ROW()-2,종합!$AD$3:$AD$501,0))&amp;"","")</f>
        <v/>
      </c>
      <c r="G223" s="18" t="str">
        <f aca="false">IFERROR(INDEX(종합!G$3:G$501,MATCH(ROW()-2,종합!$AD$3:$AD$501,0))&amp;"","")</f>
        <v/>
      </c>
      <c r="H223" s="21" t="str">
        <f aca="false">IFERROR(INDEX(종합!H$3:H$501,MATCH(ROW()-2,종합!$AD$3:$AD$501,0))&amp;"","")</f>
        <v/>
      </c>
      <c r="I223" s="21" t="str">
        <f aca="false">IFERROR(INDEX(종합!I$3:I$501,MATCH(ROW()-2,종합!$AD$3:$AD$501,0))&amp;"","")</f>
        <v/>
      </c>
      <c r="J223" s="21" t="str">
        <f aca="false">IFERROR(INDEX(종합!J$3:J$501,MATCH(ROW()-2,종합!$AD$3:$AD$501,0))&amp;"","")</f>
        <v/>
      </c>
      <c r="K223" s="21" t="str">
        <f aca="false">IFERROR(INDEX(종합!K$3:K$501,MATCH(ROW()-2,종합!$AD$3:$AD$501,0))&amp;"","")</f>
        <v/>
      </c>
      <c r="L223" s="21" t="str">
        <f aca="false">IFERROR(INDEX(종합!L$3:L$501,MATCH(ROW()-2,종합!$AD$3:$AD$501,0))&amp;"","")</f>
        <v/>
      </c>
      <c r="M223" s="21" t="str">
        <f aca="false">IFERROR(INDEX(종합!M$3:M$501,MATCH(ROW()-2,종합!$AD$3:$AD$501,0))&amp;"","")</f>
        <v/>
      </c>
      <c r="N223" s="25" t="str">
        <f aca="false">IFERROR(INDEX(종합!N$3:N$501,MATCH(ROW()-2,종합!$AD$3:$AD$501,0))&amp;"","")</f>
        <v/>
      </c>
      <c r="O223" s="21" t="str">
        <f aca="false">IFERROR(INDEX(종합!O$3:O$501,MATCH(ROW()-2,종합!$AD$3:$AD$501,0))&amp;"","")</f>
        <v/>
      </c>
      <c r="P223" s="21" t="str">
        <f aca="false">IFERROR(INDEX(종합!P$3:P$501,MATCH(ROW()-2,종합!$AD$3:$AD$501,0))&amp;"","")</f>
        <v/>
      </c>
      <c r="Q223" s="21" t="str">
        <f aca="false">IFERROR(INDEX(종합!Q$3:Q$501,MATCH(ROW()-2,종합!$AD$3:$AD$501,0))&amp;"","")</f>
        <v/>
      </c>
      <c r="R223" s="21" t="str">
        <f aca="false">IFERROR(INDEX(종합!R$3:R$501,MATCH(ROW()-2,종합!$AD$3:$AD$501,0))&amp;"","")</f>
        <v/>
      </c>
      <c r="S223" s="21" t="str">
        <f aca="false">IFERROR(INDEX(종합!S$3:S$501,MATCH(ROW()-2,종합!$AD$3:$AD$501,0))&amp;"","")</f>
        <v/>
      </c>
      <c r="T223" s="21" t="str">
        <f aca="false">IFERROR(INDEX(종합!T$3:T$501,MATCH(ROW()-2,종합!$AD$3:$AD$501,0))&amp;"","")</f>
        <v/>
      </c>
      <c r="U223" s="21" t="str">
        <f aca="false">IFERROR(INDEX(종합!U$3:U$501,MATCH(ROW()-2,종합!$AD$3:$AD$501,0))&amp;"","")</f>
        <v/>
      </c>
      <c r="V223" s="21" t="str">
        <f aca="false">IFERROR(INDEX(종합!V$3:V$501,MATCH(ROW()-2,종합!$AD$3:$AD$501,0))&amp;"","")</f>
        <v/>
      </c>
      <c r="W223" s="21" t="str">
        <f aca="false">IFERROR(INDEX(종합!W$3:W$501,MATCH(ROW()-2,종합!$AD$3:$AD$501,0))&amp;"","")</f>
        <v/>
      </c>
      <c r="X223" s="21" t="str">
        <f aca="false">IFERROR(INDEX(종합!X$3:X$501,MATCH(ROW()-2,종합!$AD$3:$AD$501,0))&amp;"","")</f>
        <v/>
      </c>
      <c r="Y223" s="21" t="str">
        <f aca="false">IFERROR(INDEX(종합!Y$3:Y$501,MATCH(ROW()-2,종합!$AD$3:$AD$501,0))&amp;"","")</f>
        <v/>
      </c>
      <c r="Z223" s="21" t="str">
        <f aca="false">IFERROR(INDEX(종합!Z$3:Z$501,MATCH(ROW()-2,종합!$AD$3:$AD$501,0))&amp;"","")</f>
        <v/>
      </c>
      <c r="AA223" s="23" t="str">
        <f aca="false">IFERROR(INDEX(종합!AA$3:AA$501,MATCH(ROW()-2,종합!$AD$3:$AD$501,0))&amp;"","")</f>
        <v/>
      </c>
    </row>
    <row r="224" customFormat="false" ht="16.5" hidden="false" customHeight="true" outlineLevel="0" collapsed="false">
      <c r="A224" s="18" t="str">
        <f aca="false">IF(B224="","",ROW()-2)</f>
        <v/>
      </c>
      <c r="B224" s="18" t="str">
        <f aca="false">IFERROR(INDEX(종합!B$3:B$501,MATCH(ROW()-2,종합!$AD$3:$AD$501,0))&amp;"","")</f>
        <v/>
      </c>
      <c r="C224" s="18" t="str">
        <f aca="false">IFERROR(INDEX(종합!C$3:C$501,MATCH(ROW()-2,종합!$AD$3:$AD$501,0))&amp;"","")</f>
        <v/>
      </c>
      <c r="D224" s="18" t="str">
        <f aca="false">IFERROR(INDEX(종합!D$3:D$501,MATCH(ROW()-2,종합!$AD$3:$AD$501,0))&amp;"","")</f>
        <v/>
      </c>
      <c r="E224" s="18" t="str">
        <f aca="false">IFERROR(INDEX(종합!E$3:E$501,MATCH(ROW()-2,종합!$AD$3:$AD$501,0))&amp;"","")</f>
        <v/>
      </c>
      <c r="F224" s="18" t="str">
        <f aca="false">IFERROR(INDEX(종합!F$3:F$501,MATCH(ROW()-2,종합!$AD$3:$AD$501,0))&amp;"","")</f>
        <v/>
      </c>
      <c r="G224" s="18" t="str">
        <f aca="false">IFERROR(INDEX(종합!G$3:G$501,MATCH(ROW()-2,종합!$AD$3:$AD$501,0))&amp;"","")</f>
        <v/>
      </c>
      <c r="H224" s="21" t="str">
        <f aca="false">IFERROR(INDEX(종합!H$3:H$501,MATCH(ROW()-2,종합!$AD$3:$AD$501,0))&amp;"","")</f>
        <v/>
      </c>
      <c r="I224" s="21" t="str">
        <f aca="false">IFERROR(INDEX(종합!I$3:I$501,MATCH(ROW()-2,종합!$AD$3:$AD$501,0))&amp;"","")</f>
        <v/>
      </c>
      <c r="J224" s="21" t="str">
        <f aca="false">IFERROR(INDEX(종합!J$3:J$501,MATCH(ROW()-2,종합!$AD$3:$AD$501,0))&amp;"","")</f>
        <v/>
      </c>
      <c r="K224" s="21" t="str">
        <f aca="false">IFERROR(INDEX(종합!K$3:K$501,MATCH(ROW()-2,종합!$AD$3:$AD$501,0))&amp;"","")</f>
        <v/>
      </c>
      <c r="L224" s="21" t="str">
        <f aca="false">IFERROR(INDEX(종합!L$3:L$501,MATCH(ROW()-2,종합!$AD$3:$AD$501,0))&amp;"","")</f>
        <v/>
      </c>
      <c r="M224" s="21" t="str">
        <f aca="false">IFERROR(INDEX(종합!M$3:M$501,MATCH(ROW()-2,종합!$AD$3:$AD$501,0))&amp;"","")</f>
        <v/>
      </c>
      <c r="N224" s="25" t="str">
        <f aca="false">IFERROR(INDEX(종합!N$3:N$501,MATCH(ROW()-2,종합!$AD$3:$AD$501,0))&amp;"","")</f>
        <v/>
      </c>
      <c r="O224" s="21" t="str">
        <f aca="false">IFERROR(INDEX(종합!O$3:O$501,MATCH(ROW()-2,종합!$AD$3:$AD$501,0))&amp;"","")</f>
        <v/>
      </c>
      <c r="P224" s="21" t="str">
        <f aca="false">IFERROR(INDEX(종합!P$3:P$501,MATCH(ROW()-2,종합!$AD$3:$AD$501,0))&amp;"","")</f>
        <v/>
      </c>
      <c r="Q224" s="21" t="str">
        <f aca="false">IFERROR(INDEX(종합!Q$3:Q$501,MATCH(ROW()-2,종합!$AD$3:$AD$501,0))&amp;"","")</f>
        <v/>
      </c>
      <c r="R224" s="21" t="str">
        <f aca="false">IFERROR(INDEX(종합!R$3:R$501,MATCH(ROW()-2,종합!$AD$3:$AD$501,0))&amp;"","")</f>
        <v/>
      </c>
      <c r="S224" s="21" t="str">
        <f aca="false">IFERROR(INDEX(종합!S$3:S$501,MATCH(ROW()-2,종합!$AD$3:$AD$501,0))&amp;"","")</f>
        <v/>
      </c>
      <c r="T224" s="21" t="str">
        <f aca="false">IFERROR(INDEX(종합!T$3:T$501,MATCH(ROW()-2,종합!$AD$3:$AD$501,0))&amp;"","")</f>
        <v/>
      </c>
      <c r="U224" s="21" t="str">
        <f aca="false">IFERROR(INDEX(종합!U$3:U$501,MATCH(ROW()-2,종합!$AD$3:$AD$501,0))&amp;"","")</f>
        <v/>
      </c>
      <c r="V224" s="21" t="str">
        <f aca="false">IFERROR(INDEX(종합!V$3:V$501,MATCH(ROW()-2,종합!$AD$3:$AD$501,0))&amp;"","")</f>
        <v/>
      </c>
      <c r="W224" s="21" t="str">
        <f aca="false">IFERROR(INDEX(종합!W$3:W$501,MATCH(ROW()-2,종합!$AD$3:$AD$501,0))&amp;"","")</f>
        <v/>
      </c>
      <c r="X224" s="21" t="str">
        <f aca="false">IFERROR(INDEX(종합!X$3:X$501,MATCH(ROW()-2,종합!$AD$3:$AD$501,0))&amp;"","")</f>
        <v/>
      </c>
      <c r="Y224" s="21" t="str">
        <f aca="false">IFERROR(INDEX(종합!Y$3:Y$501,MATCH(ROW()-2,종합!$AD$3:$AD$501,0))&amp;"","")</f>
        <v/>
      </c>
      <c r="Z224" s="21" t="str">
        <f aca="false">IFERROR(INDEX(종합!Z$3:Z$501,MATCH(ROW()-2,종합!$AD$3:$AD$501,0))&amp;"","")</f>
        <v/>
      </c>
      <c r="AA224" s="23" t="str">
        <f aca="false">IFERROR(INDEX(종합!AA$3:AA$501,MATCH(ROW()-2,종합!$AD$3:$AD$501,0))&amp;"","")</f>
        <v/>
      </c>
    </row>
    <row r="225" customFormat="false" ht="16.5" hidden="false" customHeight="true" outlineLevel="0" collapsed="false">
      <c r="A225" s="18" t="str">
        <f aca="false">IF(B225="","",ROW()-2)</f>
        <v/>
      </c>
      <c r="B225" s="18" t="str">
        <f aca="false">IFERROR(INDEX(종합!B$3:B$501,MATCH(ROW()-2,종합!$AD$3:$AD$501,0))&amp;"","")</f>
        <v/>
      </c>
      <c r="C225" s="18" t="str">
        <f aca="false">IFERROR(INDEX(종합!C$3:C$501,MATCH(ROW()-2,종합!$AD$3:$AD$501,0))&amp;"","")</f>
        <v/>
      </c>
      <c r="D225" s="18" t="str">
        <f aca="false">IFERROR(INDEX(종합!D$3:D$501,MATCH(ROW()-2,종합!$AD$3:$AD$501,0))&amp;"","")</f>
        <v/>
      </c>
      <c r="E225" s="18" t="str">
        <f aca="false">IFERROR(INDEX(종합!E$3:E$501,MATCH(ROW()-2,종합!$AD$3:$AD$501,0))&amp;"","")</f>
        <v/>
      </c>
      <c r="F225" s="18" t="str">
        <f aca="false">IFERROR(INDEX(종합!F$3:F$501,MATCH(ROW()-2,종합!$AD$3:$AD$501,0))&amp;"","")</f>
        <v/>
      </c>
      <c r="G225" s="18" t="str">
        <f aca="false">IFERROR(INDEX(종합!G$3:G$501,MATCH(ROW()-2,종합!$AD$3:$AD$501,0))&amp;"","")</f>
        <v/>
      </c>
      <c r="H225" s="21" t="str">
        <f aca="false">IFERROR(INDEX(종합!H$3:H$501,MATCH(ROW()-2,종합!$AD$3:$AD$501,0))&amp;"","")</f>
        <v/>
      </c>
      <c r="I225" s="21" t="str">
        <f aca="false">IFERROR(INDEX(종합!I$3:I$501,MATCH(ROW()-2,종합!$AD$3:$AD$501,0))&amp;"","")</f>
        <v/>
      </c>
      <c r="J225" s="21" t="str">
        <f aca="false">IFERROR(INDEX(종합!J$3:J$501,MATCH(ROW()-2,종합!$AD$3:$AD$501,0))&amp;"","")</f>
        <v/>
      </c>
      <c r="K225" s="21" t="str">
        <f aca="false">IFERROR(INDEX(종합!K$3:K$501,MATCH(ROW()-2,종합!$AD$3:$AD$501,0))&amp;"","")</f>
        <v/>
      </c>
      <c r="L225" s="21" t="str">
        <f aca="false">IFERROR(INDEX(종합!L$3:L$501,MATCH(ROW()-2,종합!$AD$3:$AD$501,0))&amp;"","")</f>
        <v/>
      </c>
      <c r="M225" s="21" t="str">
        <f aca="false">IFERROR(INDEX(종합!M$3:M$501,MATCH(ROW()-2,종합!$AD$3:$AD$501,0))&amp;"","")</f>
        <v/>
      </c>
      <c r="N225" s="25" t="str">
        <f aca="false">IFERROR(INDEX(종합!N$3:N$501,MATCH(ROW()-2,종합!$AD$3:$AD$501,0))&amp;"","")</f>
        <v/>
      </c>
      <c r="O225" s="21" t="str">
        <f aca="false">IFERROR(INDEX(종합!O$3:O$501,MATCH(ROW()-2,종합!$AD$3:$AD$501,0))&amp;"","")</f>
        <v/>
      </c>
      <c r="P225" s="21" t="str">
        <f aca="false">IFERROR(INDEX(종합!P$3:P$501,MATCH(ROW()-2,종합!$AD$3:$AD$501,0))&amp;"","")</f>
        <v/>
      </c>
      <c r="Q225" s="21" t="str">
        <f aca="false">IFERROR(INDEX(종합!Q$3:Q$501,MATCH(ROW()-2,종합!$AD$3:$AD$501,0))&amp;"","")</f>
        <v/>
      </c>
      <c r="R225" s="21" t="str">
        <f aca="false">IFERROR(INDEX(종합!R$3:R$501,MATCH(ROW()-2,종합!$AD$3:$AD$501,0))&amp;"","")</f>
        <v/>
      </c>
      <c r="S225" s="21" t="str">
        <f aca="false">IFERROR(INDEX(종합!S$3:S$501,MATCH(ROW()-2,종합!$AD$3:$AD$501,0))&amp;"","")</f>
        <v/>
      </c>
      <c r="T225" s="21" t="str">
        <f aca="false">IFERROR(INDEX(종합!T$3:T$501,MATCH(ROW()-2,종합!$AD$3:$AD$501,0))&amp;"","")</f>
        <v/>
      </c>
      <c r="U225" s="21" t="str">
        <f aca="false">IFERROR(INDEX(종합!U$3:U$501,MATCH(ROW()-2,종합!$AD$3:$AD$501,0))&amp;"","")</f>
        <v/>
      </c>
      <c r="V225" s="21" t="str">
        <f aca="false">IFERROR(INDEX(종합!V$3:V$501,MATCH(ROW()-2,종합!$AD$3:$AD$501,0))&amp;"","")</f>
        <v/>
      </c>
      <c r="W225" s="21" t="str">
        <f aca="false">IFERROR(INDEX(종합!W$3:W$501,MATCH(ROW()-2,종합!$AD$3:$AD$501,0))&amp;"","")</f>
        <v/>
      </c>
      <c r="X225" s="21" t="str">
        <f aca="false">IFERROR(INDEX(종합!X$3:X$501,MATCH(ROW()-2,종합!$AD$3:$AD$501,0))&amp;"","")</f>
        <v/>
      </c>
      <c r="Y225" s="21" t="str">
        <f aca="false">IFERROR(INDEX(종합!Y$3:Y$501,MATCH(ROW()-2,종합!$AD$3:$AD$501,0))&amp;"","")</f>
        <v/>
      </c>
      <c r="Z225" s="21" t="str">
        <f aca="false">IFERROR(INDEX(종합!Z$3:Z$501,MATCH(ROW()-2,종합!$AD$3:$AD$501,0))&amp;"","")</f>
        <v/>
      </c>
      <c r="AA225" s="23" t="str">
        <f aca="false">IFERROR(INDEX(종합!AA$3:AA$501,MATCH(ROW()-2,종합!$AD$3:$AD$501,0))&amp;"","")</f>
        <v/>
      </c>
    </row>
    <row r="226" customFormat="false" ht="16.5" hidden="false" customHeight="true" outlineLevel="0" collapsed="false">
      <c r="A226" s="18" t="str">
        <f aca="false">IF(B226="","",ROW()-2)</f>
        <v/>
      </c>
      <c r="B226" s="18" t="str">
        <f aca="false">IFERROR(INDEX(종합!B$3:B$501,MATCH(ROW()-2,종합!$AD$3:$AD$501,0))&amp;"","")</f>
        <v/>
      </c>
      <c r="C226" s="18" t="str">
        <f aca="false">IFERROR(INDEX(종합!C$3:C$501,MATCH(ROW()-2,종합!$AD$3:$AD$501,0))&amp;"","")</f>
        <v/>
      </c>
      <c r="D226" s="18" t="str">
        <f aca="false">IFERROR(INDEX(종합!D$3:D$501,MATCH(ROW()-2,종합!$AD$3:$AD$501,0))&amp;"","")</f>
        <v/>
      </c>
      <c r="E226" s="18" t="str">
        <f aca="false">IFERROR(INDEX(종합!E$3:E$501,MATCH(ROW()-2,종합!$AD$3:$AD$501,0))&amp;"","")</f>
        <v/>
      </c>
      <c r="F226" s="18" t="str">
        <f aca="false">IFERROR(INDEX(종합!F$3:F$501,MATCH(ROW()-2,종합!$AD$3:$AD$501,0))&amp;"","")</f>
        <v/>
      </c>
      <c r="G226" s="18" t="str">
        <f aca="false">IFERROR(INDEX(종합!G$3:G$501,MATCH(ROW()-2,종합!$AD$3:$AD$501,0))&amp;"","")</f>
        <v/>
      </c>
      <c r="H226" s="21" t="str">
        <f aca="false">IFERROR(INDEX(종합!H$3:H$501,MATCH(ROW()-2,종합!$AD$3:$AD$501,0))&amp;"","")</f>
        <v/>
      </c>
      <c r="I226" s="21" t="str">
        <f aca="false">IFERROR(INDEX(종합!I$3:I$501,MATCH(ROW()-2,종합!$AD$3:$AD$501,0))&amp;"","")</f>
        <v/>
      </c>
      <c r="J226" s="21" t="str">
        <f aca="false">IFERROR(INDEX(종합!J$3:J$501,MATCH(ROW()-2,종합!$AD$3:$AD$501,0))&amp;"","")</f>
        <v/>
      </c>
      <c r="K226" s="21" t="str">
        <f aca="false">IFERROR(INDEX(종합!K$3:K$501,MATCH(ROW()-2,종합!$AD$3:$AD$501,0))&amp;"","")</f>
        <v/>
      </c>
      <c r="L226" s="21" t="str">
        <f aca="false">IFERROR(INDEX(종합!L$3:L$501,MATCH(ROW()-2,종합!$AD$3:$AD$501,0))&amp;"","")</f>
        <v/>
      </c>
      <c r="M226" s="21" t="str">
        <f aca="false">IFERROR(INDEX(종합!M$3:M$501,MATCH(ROW()-2,종합!$AD$3:$AD$501,0))&amp;"","")</f>
        <v/>
      </c>
      <c r="N226" s="25" t="str">
        <f aca="false">IFERROR(INDEX(종합!N$3:N$501,MATCH(ROW()-2,종합!$AD$3:$AD$501,0))&amp;"","")</f>
        <v/>
      </c>
      <c r="O226" s="21" t="str">
        <f aca="false">IFERROR(INDEX(종합!O$3:O$501,MATCH(ROW()-2,종합!$AD$3:$AD$501,0))&amp;"","")</f>
        <v/>
      </c>
      <c r="P226" s="21" t="str">
        <f aca="false">IFERROR(INDEX(종합!P$3:P$501,MATCH(ROW()-2,종합!$AD$3:$AD$501,0))&amp;"","")</f>
        <v/>
      </c>
      <c r="Q226" s="21" t="str">
        <f aca="false">IFERROR(INDEX(종합!Q$3:Q$501,MATCH(ROW()-2,종합!$AD$3:$AD$501,0))&amp;"","")</f>
        <v/>
      </c>
      <c r="R226" s="21" t="str">
        <f aca="false">IFERROR(INDEX(종합!R$3:R$501,MATCH(ROW()-2,종합!$AD$3:$AD$501,0))&amp;"","")</f>
        <v/>
      </c>
      <c r="S226" s="21" t="str">
        <f aca="false">IFERROR(INDEX(종합!S$3:S$501,MATCH(ROW()-2,종합!$AD$3:$AD$501,0))&amp;"","")</f>
        <v/>
      </c>
      <c r="T226" s="21" t="str">
        <f aca="false">IFERROR(INDEX(종합!T$3:T$501,MATCH(ROW()-2,종합!$AD$3:$AD$501,0))&amp;"","")</f>
        <v/>
      </c>
      <c r="U226" s="21" t="str">
        <f aca="false">IFERROR(INDEX(종합!U$3:U$501,MATCH(ROW()-2,종합!$AD$3:$AD$501,0))&amp;"","")</f>
        <v/>
      </c>
      <c r="V226" s="21" t="str">
        <f aca="false">IFERROR(INDEX(종합!V$3:V$501,MATCH(ROW()-2,종합!$AD$3:$AD$501,0))&amp;"","")</f>
        <v/>
      </c>
      <c r="W226" s="21" t="str">
        <f aca="false">IFERROR(INDEX(종합!W$3:W$501,MATCH(ROW()-2,종합!$AD$3:$AD$501,0))&amp;"","")</f>
        <v/>
      </c>
      <c r="X226" s="21" t="str">
        <f aca="false">IFERROR(INDEX(종합!X$3:X$501,MATCH(ROW()-2,종합!$AD$3:$AD$501,0))&amp;"","")</f>
        <v/>
      </c>
      <c r="Y226" s="21" t="str">
        <f aca="false">IFERROR(INDEX(종합!Y$3:Y$501,MATCH(ROW()-2,종합!$AD$3:$AD$501,0))&amp;"","")</f>
        <v/>
      </c>
      <c r="Z226" s="21" t="str">
        <f aca="false">IFERROR(INDEX(종합!Z$3:Z$501,MATCH(ROW()-2,종합!$AD$3:$AD$501,0))&amp;"","")</f>
        <v/>
      </c>
      <c r="AA226" s="23" t="str">
        <f aca="false">IFERROR(INDEX(종합!AA$3:AA$501,MATCH(ROW()-2,종합!$AD$3:$AD$501,0))&amp;"","")</f>
        <v/>
      </c>
    </row>
    <row r="227" customFormat="false" ht="16.5" hidden="false" customHeight="true" outlineLevel="0" collapsed="false">
      <c r="A227" s="18" t="str">
        <f aca="false">IF(B227="","",ROW()-2)</f>
        <v/>
      </c>
      <c r="B227" s="18" t="str">
        <f aca="false">IFERROR(INDEX(종합!B$3:B$501,MATCH(ROW()-2,종합!$AD$3:$AD$501,0))&amp;"","")</f>
        <v/>
      </c>
      <c r="C227" s="18" t="str">
        <f aca="false">IFERROR(INDEX(종합!C$3:C$501,MATCH(ROW()-2,종합!$AD$3:$AD$501,0))&amp;"","")</f>
        <v/>
      </c>
      <c r="D227" s="18" t="str">
        <f aca="false">IFERROR(INDEX(종합!D$3:D$501,MATCH(ROW()-2,종합!$AD$3:$AD$501,0))&amp;"","")</f>
        <v/>
      </c>
      <c r="E227" s="18" t="str">
        <f aca="false">IFERROR(INDEX(종합!E$3:E$501,MATCH(ROW()-2,종합!$AD$3:$AD$501,0))&amp;"","")</f>
        <v/>
      </c>
      <c r="F227" s="18" t="str">
        <f aca="false">IFERROR(INDEX(종합!F$3:F$501,MATCH(ROW()-2,종합!$AD$3:$AD$501,0))&amp;"","")</f>
        <v/>
      </c>
      <c r="G227" s="18" t="str">
        <f aca="false">IFERROR(INDEX(종합!G$3:G$501,MATCH(ROW()-2,종합!$AD$3:$AD$501,0))&amp;"","")</f>
        <v/>
      </c>
      <c r="H227" s="21" t="str">
        <f aca="false">IFERROR(INDEX(종합!H$3:H$501,MATCH(ROW()-2,종합!$AD$3:$AD$501,0))&amp;"","")</f>
        <v/>
      </c>
      <c r="I227" s="21" t="str">
        <f aca="false">IFERROR(INDEX(종합!I$3:I$501,MATCH(ROW()-2,종합!$AD$3:$AD$501,0))&amp;"","")</f>
        <v/>
      </c>
      <c r="J227" s="21" t="str">
        <f aca="false">IFERROR(INDEX(종합!J$3:J$501,MATCH(ROW()-2,종합!$AD$3:$AD$501,0))&amp;"","")</f>
        <v/>
      </c>
      <c r="K227" s="21" t="str">
        <f aca="false">IFERROR(INDEX(종합!K$3:K$501,MATCH(ROW()-2,종합!$AD$3:$AD$501,0))&amp;"","")</f>
        <v/>
      </c>
      <c r="L227" s="21" t="str">
        <f aca="false">IFERROR(INDEX(종합!L$3:L$501,MATCH(ROW()-2,종합!$AD$3:$AD$501,0))&amp;"","")</f>
        <v/>
      </c>
      <c r="M227" s="21" t="str">
        <f aca="false">IFERROR(INDEX(종합!M$3:M$501,MATCH(ROW()-2,종합!$AD$3:$AD$501,0))&amp;"","")</f>
        <v/>
      </c>
      <c r="N227" s="25" t="str">
        <f aca="false">IFERROR(INDEX(종합!N$3:N$501,MATCH(ROW()-2,종합!$AD$3:$AD$501,0))&amp;"","")</f>
        <v/>
      </c>
      <c r="O227" s="21" t="str">
        <f aca="false">IFERROR(INDEX(종합!O$3:O$501,MATCH(ROW()-2,종합!$AD$3:$AD$501,0))&amp;"","")</f>
        <v/>
      </c>
      <c r="P227" s="21" t="str">
        <f aca="false">IFERROR(INDEX(종합!P$3:P$501,MATCH(ROW()-2,종합!$AD$3:$AD$501,0))&amp;"","")</f>
        <v/>
      </c>
      <c r="Q227" s="21" t="str">
        <f aca="false">IFERROR(INDEX(종합!Q$3:Q$501,MATCH(ROW()-2,종합!$AD$3:$AD$501,0))&amp;"","")</f>
        <v/>
      </c>
      <c r="R227" s="21" t="str">
        <f aca="false">IFERROR(INDEX(종합!R$3:R$501,MATCH(ROW()-2,종합!$AD$3:$AD$501,0))&amp;"","")</f>
        <v/>
      </c>
      <c r="S227" s="21" t="str">
        <f aca="false">IFERROR(INDEX(종합!S$3:S$501,MATCH(ROW()-2,종합!$AD$3:$AD$501,0))&amp;"","")</f>
        <v/>
      </c>
      <c r="T227" s="21" t="str">
        <f aca="false">IFERROR(INDEX(종합!T$3:T$501,MATCH(ROW()-2,종합!$AD$3:$AD$501,0))&amp;"","")</f>
        <v/>
      </c>
      <c r="U227" s="21" t="str">
        <f aca="false">IFERROR(INDEX(종합!U$3:U$501,MATCH(ROW()-2,종합!$AD$3:$AD$501,0))&amp;"","")</f>
        <v/>
      </c>
      <c r="V227" s="21" t="str">
        <f aca="false">IFERROR(INDEX(종합!V$3:V$501,MATCH(ROW()-2,종합!$AD$3:$AD$501,0))&amp;"","")</f>
        <v/>
      </c>
      <c r="W227" s="21" t="str">
        <f aca="false">IFERROR(INDEX(종합!W$3:W$501,MATCH(ROW()-2,종합!$AD$3:$AD$501,0))&amp;"","")</f>
        <v/>
      </c>
      <c r="X227" s="21" t="str">
        <f aca="false">IFERROR(INDEX(종합!X$3:X$501,MATCH(ROW()-2,종합!$AD$3:$AD$501,0))&amp;"","")</f>
        <v/>
      </c>
      <c r="Y227" s="21" t="str">
        <f aca="false">IFERROR(INDEX(종합!Y$3:Y$501,MATCH(ROW()-2,종합!$AD$3:$AD$501,0))&amp;"","")</f>
        <v/>
      </c>
      <c r="Z227" s="21" t="str">
        <f aca="false">IFERROR(INDEX(종합!Z$3:Z$501,MATCH(ROW()-2,종합!$AD$3:$AD$501,0))&amp;"","")</f>
        <v/>
      </c>
      <c r="AA227" s="23" t="str">
        <f aca="false">IFERROR(INDEX(종합!AA$3:AA$501,MATCH(ROW()-2,종합!$AD$3:$AD$501,0))&amp;"","")</f>
        <v/>
      </c>
    </row>
    <row r="228" customFormat="false" ht="16.5" hidden="false" customHeight="true" outlineLevel="0" collapsed="false">
      <c r="A228" s="18" t="str">
        <f aca="false">IF(B228="","",ROW()-2)</f>
        <v/>
      </c>
      <c r="B228" s="18" t="str">
        <f aca="false">IFERROR(INDEX(종합!B$3:B$501,MATCH(ROW()-2,종합!$AD$3:$AD$501,0))&amp;"","")</f>
        <v/>
      </c>
      <c r="C228" s="18" t="str">
        <f aca="false">IFERROR(INDEX(종합!C$3:C$501,MATCH(ROW()-2,종합!$AD$3:$AD$501,0))&amp;"","")</f>
        <v/>
      </c>
      <c r="D228" s="18" t="str">
        <f aca="false">IFERROR(INDEX(종합!D$3:D$501,MATCH(ROW()-2,종합!$AD$3:$AD$501,0))&amp;"","")</f>
        <v/>
      </c>
      <c r="E228" s="18" t="str">
        <f aca="false">IFERROR(INDEX(종합!E$3:E$501,MATCH(ROW()-2,종합!$AD$3:$AD$501,0))&amp;"","")</f>
        <v/>
      </c>
      <c r="F228" s="18" t="str">
        <f aca="false">IFERROR(INDEX(종합!F$3:F$501,MATCH(ROW()-2,종합!$AD$3:$AD$501,0))&amp;"","")</f>
        <v/>
      </c>
      <c r="G228" s="18" t="str">
        <f aca="false">IFERROR(INDEX(종합!G$3:G$501,MATCH(ROW()-2,종합!$AD$3:$AD$501,0))&amp;"","")</f>
        <v/>
      </c>
      <c r="H228" s="21" t="str">
        <f aca="false">IFERROR(INDEX(종합!H$3:H$501,MATCH(ROW()-2,종합!$AD$3:$AD$501,0))&amp;"","")</f>
        <v/>
      </c>
      <c r="I228" s="21" t="str">
        <f aca="false">IFERROR(INDEX(종합!I$3:I$501,MATCH(ROW()-2,종합!$AD$3:$AD$501,0))&amp;"","")</f>
        <v/>
      </c>
      <c r="J228" s="21" t="str">
        <f aca="false">IFERROR(INDEX(종합!J$3:J$501,MATCH(ROW()-2,종합!$AD$3:$AD$501,0))&amp;"","")</f>
        <v/>
      </c>
      <c r="K228" s="21" t="str">
        <f aca="false">IFERROR(INDEX(종합!K$3:K$501,MATCH(ROW()-2,종합!$AD$3:$AD$501,0))&amp;"","")</f>
        <v/>
      </c>
      <c r="L228" s="21" t="str">
        <f aca="false">IFERROR(INDEX(종합!L$3:L$501,MATCH(ROW()-2,종합!$AD$3:$AD$501,0))&amp;"","")</f>
        <v/>
      </c>
      <c r="M228" s="21" t="str">
        <f aca="false">IFERROR(INDEX(종합!M$3:M$501,MATCH(ROW()-2,종합!$AD$3:$AD$501,0))&amp;"","")</f>
        <v/>
      </c>
      <c r="N228" s="25" t="str">
        <f aca="false">IFERROR(INDEX(종합!N$3:N$501,MATCH(ROW()-2,종합!$AD$3:$AD$501,0))&amp;"","")</f>
        <v/>
      </c>
      <c r="O228" s="21" t="str">
        <f aca="false">IFERROR(INDEX(종합!O$3:O$501,MATCH(ROW()-2,종합!$AD$3:$AD$501,0))&amp;"","")</f>
        <v/>
      </c>
      <c r="P228" s="21" t="str">
        <f aca="false">IFERROR(INDEX(종합!P$3:P$501,MATCH(ROW()-2,종합!$AD$3:$AD$501,0))&amp;"","")</f>
        <v/>
      </c>
      <c r="Q228" s="21" t="str">
        <f aca="false">IFERROR(INDEX(종합!Q$3:Q$501,MATCH(ROW()-2,종합!$AD$3:$AD$501,0))&amp;"","")</f>
        <v/>
      </c>
      <c r="R228" s="21" t="str">
        <f aca="false">IFERROR(INDEX(종합!R$3:R$501,MATCH(ROW()-2,종합!$AD$3:$AD$501,0))&amp;"","")</f>
        <v/>
      </c>
      <c r="S228" s="21" t="str">
        <f aca="false">IFERROR(INDEX(종합!S$3:S$501,MATCH(ROW()-2,종합!$AD$3:$AD$501,0))&amp;"","")</f>
        <v/>
      </c>
      <c r="T228" s="21" t="str">
        <f aca="false">IFERROR(INDEX(종합!T$3:T$501,MATCH(ROW()-2,종합!$AD$3:$AD$501,0))&amp;"","")</f>
        <v/>
      </c>
      <c r="U228" s="21" t="str">
        <f aca="false">IFERROR(INDEX(종합!U$3:U$501,MATCH(ROW()-2,종합!$AD$3:$AD$501,0))&amp;"","")</f>
        <v/>
      </c>
      <c r="V228" s="21" t="str">
        <f aca="false">IFERROR(INDEX(종합!V$3:V$501,MATCH(ROW()-2,종합!$AD$3:$AD$501,0))&amp;"","")</f>
        <v/>
      </c>
      <c r="W228" s="21" t="str">
        <f aca="false">IFERROR(INDEX(종합!W$3:W$501,MATCH(ROW()-2,종합!$AD$3:$AD$501,0))&amp;"","")</f>
        <v/>
      </c>
      <c r="X228" s="21" t="str">
        <f aca="false">IFERROR(INDEX(종합!X$3:X$501,MATCH(ROW()-2,종합!$AD$3:$AD$501,0))&amp;"","")</f>
        <v/>
      </c>
      <c r="Y228" s="21" t="str">
        <f aca="false">IFERROR(INDEX(종합!Y$3:Y$501,MATCH(ROW()-2,종합!$AD$3:$AD$501,0))&amp;"","")</f>
        <v/>
      </c>
      <c r="Z228" s="21" t="str">
        <f aca="false">IFERROR(INDEX(종합!Z$3:Z$501,MATCH(ROW()-2,종합!$AD$3:$AD$501,0))&amp;"","")</f>
        <v/>
      </c>
      <c r="AA228" s="23" t="str">
        <f aca="false">IFERROR(INDEX(종합!AA$3:AA$501,MATCH(ROW()-2,종합!$AD$3:$AD$501,0))&amp;"","")</f>
        <v/>
      </c>
    </row>
    <row r="229" customFormat="false" ht="16.5" hidden="false" customHeight="true" outlineLevel="0" collapsed="false">
      <c r="A229" s="18" t="str">
        <f aca="false">IF(B229="","",ROW()-2)</f>
        <v/>
      </c>
      <c r="B229" s="18" t="str">
        <f aca="false">IFERROR(INDEX(종합!B$3:B$501,MATCH(ROW()-2,종합!$AD$3:$AD$501,0))&amp;"","")</f>
        <v/>
      </c>
      <c r="C229" s="18" t="str">
        <f aca="false">IFERROR(INDEX(종합!C$3:C$501,MATCH(ROW()-2,종합!$AD$3:$AD$501,0))&amp;"","")</f>
        <v/>
      </c>
      <c r="D229" s="18" t="str">
        <f aca="false">IFERROR(INDEX(종합!D$3:D$501,MATCH(ROW()-2,종합!$AD$3:$AD$501,0))&amp;"","")</f>
        <v/>
      </c>
      <c r="E229" s="18" t="str">
        <f aca="false">IFERROR(INDEX(종합!E$3:E$501,MATCH(ROW()-2,종합!$AD$3:$AD$501,0))&amp;"","")</f>
        <v/>
      </c>
      <c r="F229" s="18" t="str">
        <f aca="false">IFERROR(INDEX(종합!F$3:F$501,MATCH(ROW()-2,종합!$AD$3:$AD$501,0))&amp;"","")</f>
        <v/>
      </c>
      <c r="G229" s="18" t="str">
        <f aca="false">IFERROR(INDEX(종합!G$3:G$501,MATCH(ROW()-2,종합!$AD$3:$AD$501,0))&amp;"","")</f>
        <v/>
      </c>
      <c r="H229" s="21" t="str">
        <f aca="false">IFERROR(INDEX(종합!H$3:H$501,MATCH(ROW()-2,종합!$AD$3:$AD$501,0))&amp;"","")</f>
        <v/>
      </c>
      <c r="I229" s="21" t="str">
        <f aca="false">IFERROR(INDEX(종합!I$3:I$501,MATCH(ROW()-2,종합!$AD$3:$AD$501,0))&amp;"","")</f>
        <v/>
      </c>
      <c r="J229" s="21" t="str">
        <f aca="false">IFERROR(INDEX(종합!J$3:J$501,MATCH(ROW()-2,종합!$AD$3:$AD$501,0))&amp;"","")</f>
        <v/>
      </c>
      <c r="K229" s="21" t="str">
        <f aca="false">IFERROR(INDEX(종합!K$3:K$501,MATCH(ROW()-2,종합!$AD$3:$AD$501,0))&amp;"","")</f>
        <v/>
      </c>
      <c r="L229" s="21" t="str">
        <f aca="false">IFERROR(INDEX(종합!L$3:L$501,MATCH(ROW()-2,종합!$AD$3:$AD$501,0))&amp;"","")</f>
        <v/>
      </c>
      <c r="M229" s="21" t="str">
        <f aca="false">IFERROR(INDEX(종합!M$3:M$501,MATCH(ROW()-2,종합!$AD$3:$AD$501,0))&amp;"","")</f>
        <v/>
      </c>
      <c r="N229" s="25" t="str">
        <f aca="false">IFERROR(INDEX(종합!N$3:N$501,MATCH(ROW()-2,종합!$AD$3:$AD$501,0))&amp;"","")</f>
        <v/>
      </c>
      <c r="O229" s="21" t="str">
        <f aca="false">IFERROR(INDEX(종합!O$3:O$501,MATCH(ROW()-2,종합!$AD$3:$AD$501,0))&amp;"","")</f>
        <v/>
      </c>
      <c r="P229" s="21" t="str">
        <f aca="false">IFERROR(INDEX(종합!P$3:P$501,MATCH(ROW()-2,종합!$AD$3:$AD$501,0))&amp;"","")</f>
        <v/>
      </c>
      <c r="Q229" s="21" t="str">
        <f aca="false">IFERROR(INDEX(종합!Q$3:Q$501,MATCH(ROW()-2,종합!$AD$3:$AD$501,0))&amp;"","")</f>
        <v/>
      </c>
      <c r="R229" s="21" t="str">
        <f aca="false">IFERROR(INDEX(종합!R$3:R$501,MATCH(ROW()-2,종합!$AD$3:$AD$501,0))&amp;"","")</f>
        <v/>
      </c>
      <c r="S229" s="21" t="str">
        <f aca="false">IFERROR(INDEX(종합!S$3:S$501,MATCH(ROW()-2,종합!$AD$3:$AD$501,0))&amp;"","")</f>
        <v/>
      </c>
      <c r="T229" s="21" t="str">
        <f aca="false">IFERROR(INDEX(종합!T$3:T$501,MATCH(ROW()-2,종합!$AD$3:$AD$501,0))&amp;"","")</f>
        <v/>
      </c>
      <c r="U229" s="21" t="str">
        <f aca="false">IFERROR(INDEX(종합!U$3:U$501,MATCH(ROW()-2,종합!$AD$3:$AD$501,0))&amp;"","")</f>
        <v/>
      </c>
      <c r="V229" s="21" t="str">
        <f aca="false">IFERROR(INDEX(종합!V$3:V$501,MATCH(ROW()-2,종합!$AD$3:$AD$501,0))&amp;"","")</f>
        <v/>
      </c>
      <c r="W229" s="21" t="str">
        <f aca="false">IFERROR(INDEX(종합!W$3:W$501,MATCH(ROW()-2,종합!$AD$3:$AD$501,0))&amp;"","")</f>
        <v/>
      </c>
      <c r="X229" s="21" t="str">
        <f aca="false">IFERROR(INDEX(종합!X$3:X$501,MATCH(ROW()-2,종합!$AD$3:$AD$501,0))&amp;"","")</f>
        <v/>
      </c>
      <c r="Y229" s="21" t="str">
        <f aca="false">IFERROR(INDEX(종합!Y$3:Y$501,MATCH(ROW()-2,종합!$AD$3:$AD$501,0))&amp;"","")</f>
        <v/>
      </c>
      <c r="Z229" s="21" t="str">
        <f aca="false">IFERROR(INDEX(종합!Z$3:Z$501,MATCH(ROW()-2,종합!$AD$3:$AD$501,0))&amp;"","")</f>
        <v/>
      </c>
      <c r="AA229" s="23" t="str">
        <f aca="false">IFERROR(INDEX(종합!AA$3:AA$501,MATCH(ROW()-2,종합!$AD$3:$AD$501,0))&amp;"","")</f>
        <v/>
      </c>
    </row>
    <row r="230" customFormat="false" ht="16.5" hidden="false" customHeight="true" outlineLevel="0" collapsed="false">
      <c r="A230" s="18" t="str">
        <f aca="false">IF(B230="","",ROW()-2)</f>
        <v/>
      </c>
      <c r="B230" s="18" t="str">
        <f aca="false">IFERROR(INDEX(종합!B$3:B$501,MATCH(ROW()-2,종합!$AD$3:$AD$501,0))&amp;"","")</f>
        <v/>
      </c>
      <c r="C230" s="18" t="str">
        <f aca="false">IFERROR(INDEX(종합!C$3:C$501,MATCH(ROW()-2,종합!$AD$3:$AD$501,0))&amp;"","")</f>
        <v/>
      </c>
      <c r="D230" s="18" t="str">
        <f aca="false">IFERROR(INDEX(종합!D$3:D$501,MATCH(ROW()-2,종합!$AD$3:$AD$501,0))&amp;"","")</f>
        <v/>
      </c>
      <c r="E230" s="18" t="str">
        <f aca="false">IFERROR(INDEX(종합!E$3:E$501,MATCH(ROW()-2,종합!$AD$3:$AD$501,0))&amp;"","")</f>
        <v/>
      </c>
      <c r="F230" s="18" t="str">
        <f aca="false">IFERROR(INDEX(종합!F$3:F$501,MATCH(ROW()-2,종합!$AD$3:$AD$501,0))&amp;"","")</f>
        <v/>
      </c>
      <c r="G230" s="18" t="str">
        <f aca="false">IFERROR(INDEX(종합!G$3:G$501,MATCH(ROW()-2,종합!$AD$3:$AD$501,0))&amp;"","")</f>
        <v/>
      </c>
      <c r="H230" s="21" t="str">
        <f aca="false">IFERROR(INDEX(종합!H$3:H$501,MATCH(ROW()-2,종합!$AD$3:$AD$501,0))&amp;"","")</f>
        <v/>
      </c>
      <c r="I230" s="21" t="str">
        <f aca="false">IFERROR(INDEX(종합!I$3:I$501,MATCH(ROW()-2,종합!$AD$3:$AD$501,0))&amp;"","")</f>
        <v/>
      </c>
      <c r="J230" s="21" t="str">
        <f aca="false">IFERROR(INDEX(종합!J$3:J$501,MATCH(ROW()-2,종합!$AD$3:$AD$501,0))&amp;"","")</f>
        <v/>
      </c>
      <c r="K230" s="21" t="str">
        <f aca="false">IFERROR(INDEX(종합!K$3:K$501,MATCH(ROW()-2,종합!$AD$3:$AD$501,0))&amp;"","")</f>
        <v/>
      </c>
      <c r="L230" s="21" t="str">
        <f aca="false">IFERROR(INDEX(종합!L$3:L$501,MATCH(ROW()-2,종합!$AD$3:$AD$501,0))&amp;"","")</f>
        <v/>
      </c>
      <c r="M230" s="21" t="str">
        <f aca="false">IFERROR(INDEX(종합!M$3:M$501,MATCH(ROW()-2,종합!$AD$3:$AD$501,0))&amp;"","")</f>
        <v/>
      </c>
      <c r="N230" s="25" t="str">
        <f aca="false">IFERROR(INDEX(종합!N$3:N$501,MATCH(ROW()-2,종합!$AD$3:$AD$501,0))&amp;"","")</f>
        <v/>
      </c>
      <c r="O230" s="21" t="str">
        <f aca="false">IFERROR(INDEX(종합!O$3:O$501,MATCH(ROW()-2,종합!$AD$3:$AD$501,0))&amp;"","")</f>
        <v/>
      </c>
      <c r="P230" s="21" t="str">
        <f aca="false">IFERROR(INDEX(종합!P$3:P$501,MATCH(ROW()-2,종합!$AD$3:$AD$501,0))&amp;"","")</f>
        <v/>
      </c>
      <c r="Q230" s="21" t="str">
        <f aca="false">IFERROR(INDEX(종합!Q$3:Q$501,MATCH(ROW()-2,종합!$AD$3:$AD$501,0))&amp;"","")</f>
        <v/>
      </c>
      <c r="R230" s="21" t="str">
        <f aca="false">IFERROR(INDEX(종합!R$3:R$501,MATCH(ROW()-2,종합!$AD$3:$AD$501,0))&amp;"","")</f>
        <v/>
      </c>
      <c r="S230" s="21" t="str">
        <f aca="false">IFERROR(INDEX(종합!S$3:S$501,MATCH(ROW()-2,종합!$AD$3:$AD$501,0))&amp;"","")</f>
        <v/>
      </c>
      <c r="T230" s="21" t="str">
        <f aca="false">IFERROR(INDEX(종합!T$3:T$501,MATCH(ROW()-2,종합!$AD$3:$AD$501,0))&amp;"","")</f>
        <v/>
      </c>
      <c r="U230" s="21" t="str">
        <f aca="false">IFERROR(INDEX(종합!U$3:U$501,MATCH(ROW()-2,종합!$AD$3:$AD$501,0))&amp;"","")</f>
        <v/>
      </c>
      <c r="V230" s="21" t="str">
        <f aca="false">IFERROR(INDEX(종합!V$3:V$501,MATCH(ROW()-2,종합!$AD$3:$AD$501,0))&amp;"","")</f>
        <v/>
      </c>
      <c r="W230" s="21" t="str">
        <f aca="false">IFERROR(INDEX(종합!W$3:W$501,MATCH(ROW()-2,종합!$AD$3:$AD$501,0))&amp;"","")</f>
        <v/>
      </c>
      <c r="X230" s="21" t="str">
        <f aca="false">IFERROR(INDEX(종합!X$3:X$501,MATCH(ROW()-2,종합!$AD$3:$AD$501,0))&amp;"","")</f>
        <v/>
      </c>
      <c r="Y230" s="21" t="str">
        <f aca="false">IFERROR(INDEX(종합!Y$3:Y$501,MATCH(ROW()-2,종합!$AD$3:$AD$501,0))&amp;"","")</f>
        <v/>
      </c>
      <c r="Z230" s="21" t="str">
        <f aca="false">IFERROR(INDEX(종합!Z$3:Z$501,MATCH(ROW()-2,종합!$AD$3:$AD$501,0))&amp;"","")</f>
        <v/>
      </c>
      <c r="AA230" s="23" t="str">
        <f aca="false">IFERROR(INDEX(종합!AA$3:AA$501,MATCH(ROW()-2,종합!$AD$3:$AD$501,0))&amp;"","")</f>
        <v/>
      </c>
    </row>
    <row r="231" customFormat="false" ht="16.5" hidden="false" customHeight="true" outlineLevel="0" collapsed="false">
      <c r="A231" s="18" t="str">
        <f aca="false">IF(B231="","",ROW()-2)</f>
        <v/>
      </c>
      <c r="B231" s="18" t="str">
        <f aca="false">IFERROR(INDEX(종합!B$3:B$501,MATCH(ROW()-2,종합!$AD$3:$AD$501,0))&amp;"","")</f>
        <v/>
      </c>
      <c r="C231" s="18" t="str">
        <f aca="false">IFERROR(INDEX(종합!C$3:C$501,MATCH(ROW()-2,종합!$AD$3:$AD$501,0))&amp;"","")</f>
        <v/>
      </c>
      <c r="D231" s="18" t="str">
        <f aca="false">IFERROR(INDEX(종합!D$3:D$501,MATCH(ROW()-2,종합!$AD$3:$AD$501,0))&amp;"","")</f>
        <v/>
      </c>
      <c r="E231" s="18" t="str">
        <f aca="false">IFERROR(INDEX(종합!E$3:E$501,MATCH(ROW()-2,종합!$AD$3:$AD$501,0))&amp;"","")</f>
        <v/>
      </c>
      <c r="F231" s="18" t="str">
        <f aca="false">IFERROR(INDEX(종합!F$3:F$501,MATCH(ROW()-2,종합!$AD$3:$AD$501,0))&amp;"","")</f>
        <v/>
      </c>
      <c r="G231" s="18" t="str">
        <f aca="false">IFERROR(INDEX(종합!G$3:G$501,MATCH(ROW()-2,종합!$AD$3:$AD$501,0))&amp;"","")</f>
        <v/>
      </c>
      <c r="H231" s="21" t="str">
        <f aca="false">IFERROR(INDEX(종합!H$3:H$501,MATCH(ROW()-2,종합!$AD$3:$AD$501,0))&amp;"","")</f>
        <v/>
      </c>
      <c r="I231" s="21" t="str">
        <f aca="false">IFERROR(INDEX(종합!I$3:I$501,MATCH(ROW()-2,종합!$AD$3:$AD$501,0))&amp;"","")</f>
        <v/>
      </c>
      <c r="J231" s="21" t="str">
        <f aca="false">IFERROR(INDEX(종합!J$3:J$501,MATCH(ROW()-2,종합!$AD$3:$AD$501,0))&amp;"","")</f>
        <v/>
      </c>
      <c r="K231" s="21" t="str">
        <f aca="false">IFERROR(INDEX(종합!K$3:K$501,MATCH(ROW()-2,종합!$AD$3:$AD$501,0))&amp;"","")</f>
        <v/>
      </c>
      <c r="L231" s="21" t="str">
        <f aca="false">IFERROR(INDEX(종합!L$3:L$501,MATCH(ROW()-2,종합!$AD$3:$AD$501,0))&amp;"","")</f>
        <v/>
      </c>
      <c r="M231" s="21" t="str">
        <f aca="false">IFERROR(INDEX(종합!M$3:M$501,MATCH(ROW()-2,종합!$AD$3:$AD$501,0))&amp;"","")</f>
        <v/>
      </c>
      <c r="N231" s="25" t="str">
        <f aca="false">IFERROR(INDEX(종합!N$3:N$501,MATCH(ROW()-2,종합!$AD$3:$AD$501,0))&amp;"","")</f>
        <v/>
      </c>
      <c r="O231" s="21" t="str">
        <f aca="false">IFERROR(INDEX(종합!O$3:O$501,MATCH(ROW()-2,종합!$AD$3:$AD$501,0))&amp;"","")</f>
        <v/>
      </c>
      <c r="P231" s="21" t="str">
        <f aca="false">IFERROR(INDEX(종합!P$3:P$501,MATCH(ROW()-2,종합!$AD$3:$AD$501,0))&amp;"","")</f>
        <v/>
      </c>
      <c r="Q231" s="21" t="str">
        <f aca="false">IFERROR(INDEX(종합!Q$3:Q$501,MATCH(ROW()-2,종합!$AD$3:$AD$501,0))&amp;"","")</f>
        <v/>
      </c>
      <c r="R231" s="21" t="str">
        <f aca="false">IFERROR(INDEX(종합!R$3:R$501,MATCH(ROW()-2,종합!$AD$3:$AD$501,0))&amp;"","")</f>
        <v/>
      </c>
      <c r="S231" s="21" t="str">
        <f aca="false">IFERROR(INDEX(종합!S$3:S$501,MATCH(ROW()-2,종합!$AD$3:$AD$501,0))&amp;"","")</f>
        <v/>
      </c>
      <c r="T231" s="21" t="str">
        <f aca="false">IFERROR(INDEX(종합!T$3:T$501,MATCH(ROW()-2,종합!$AD$3:$AD$501,0))&amp;"","")</f>
        <v/>
      </c>
      <c r="U231" s="21" t="str">
        <f aca="false">IFERROR(INDEX(종합!U$3:U$501,MATCH(ROW()-2,종합!$AD$3:$AD$501,0))&amp;"","")</f>
        <v/>
      </c>
      <c r="V231" s="21" t="str">
        <f aca="false">IFERROR(INDEX(종합!V$3:V$501,MATCH(ROW()-2,종합!$AD$3:$AD$501,0))&amp;"","")</f>
        <v/>
      </c>
      <c r="W231" s="21" t="str">
        <f aca="false">IFERROR(INDEX(종합!W$3:W$501,MATCH(ROW()-2,종합!$AD$3:$AD$501,0))&amp;"","")</f>
        <v/>
      </c>
      <c r="X231" s="21" t="str">
        <f aca="false">IFERROR(INDEX(종합!X$3:X$501,MATCH(ROW()-2,종합!$AD$3:$AD$501,0))&amp;"","")</f>
        <v/>
      </c>
      <c r="Y231" s="21" t="str">
        <f aca="false">IFERROR(INDEX(종합!Y$3:Y$501,MATCH(ROW()-2,종합!$AD$3:$AD$501,0))&amp;"","")</f>
        <v/>
      </c>
      <c r="Z231" s="21" t="str">
        <f aca="false">IFERROR(INDEX(종합!Z$3:Z$501,MATCH(ROW()-2,종합!$AD$3:$AD$501,0))&amp;"","")</f>
        <v/>
      </c>
      <c r="AA231" s="23" t="str">
        <f aca="false">IFERROR(INDEX(종합!AA$3:AA$501,MATCH(ROW()-2,종합!$AD$3:$AD$501,0))&amp;"","")</f>
        <v/>
      </c>
    </row>
    <row r="232" customFormat="false" ht="16.5" hidden="false" customHeight="true" outlineLevel="0" collapsed="false">
      <c r="A232" s="18" t="str">
        <f aca="false">IF(B232="","",ROW()-2)</f>
        <v/>
      </c>
      <c r="B232" s="18" t="str">
        <f aca="false">IFERROR(INDEX(종합!B$3:B$501,MATCH(ROW()-2,종합!$AD$3:$AD$501,0))&amp;"","")</f>
        <v/>
      </c>
      <c r="C232" s="18" t="str">
        <f aca="false">IFERROR(INDEX(종합!C$3:C$501,MATCH(ROW()-2,종합!$AD$3:$AD$501,0))&amp;"","")</f>
        <v/>
      </c>
      <c r="D232" s="18" t="str">
        <f aca="false">IFERROR(INDEX(종합!D$3:D$501,MATCH(ROW()-2,종합!$AD$3:$AD$501,0))&amp;"","")</f>
        <v/>
      </c>
      <c r="E232" s="18" t="str">
        <f aca="false">IFERROR(INDEX(종합!E$3:E$501,MATCH(ROW()-2,종합!$AD$3:$AD$501,0))&amp;"","")</f>
        <v/>
      </c>
      <c r="F232" s="18" t="str">
        <f aca="false">IFERROR(INDEX(종합!F$3:F$501,MATCH(ROW()-2,종합!$AD$3:$AD$501,0))&amp;"","")</f>
        <v/>
      </c>
      <c r="G232" s="18" t="str">
        <f aca="false">IFERROR(INDEX(종합!G$3:G$501,MATCH(ROW()-2,종합!$AD$3:$AD$501,0))&amp;"","")</f>
        <v/>
      </c>
      <c r="H232" s="21" t="str">
        <f aca="false">IFERROR(INDEX(종합!H$3:H$501,MATCH(ROW()-2,종합!$AD$3:$AD$501,0))&amp;"","")</f>
        <v/>
      </c>
      <c r="I232" s="21" t="str">
        <f aca="false">IFERROR(INDEX(종합!I$3:I$501,MATCH(ROW()-2,종합!$AD$3:$AD$501,0))&amp;"","")</f>
        <v/>
      </c>
      <c r="J232" s="21" t="str">
        <f aca="false">IFERROR(INDEX(종합!J$3:J$501,MATCH(ROW()-2,종합!$AD$3:$AD$501,0))&amp;"","")</f>
        <v/>
      </c>
      <c r="K232" s="21" t="str">
        <f aca="false">IFERROR(INDEX(종합!K$3:K$501,MATCH(ROW()-2,종합!$AD$3:$AD$501,0))&amp;"","")</f>
        <v/>
      </c>
      <c r="L232" s="21" t="str">
        <f aca="false">IFERROR(INDEX(종합!L$3:L$501,MATCH(ROW()-2,종합!$AD$3:$AD$501,0))&amp;"","")</f>
        <v/>
      </c>
      <c r="M232" s="21" t="str">
        <f aca="false">IFERROR(INDEX(종합!M$3:M$501,MATCH(ROW()-2,종합!$AD$3:$AD$501,0))&amp;"","")</f>
        <v/>
      </c>
      <c r="N232" s="25" t="str">
        <f aca="false">IFERROR(INDEX(종합!N$3:N$501,MATCH(ROW()-2,종합!$AD$3:$AD$501,0))&amp;"","")</f>
        <v/>
      </c>
      <c r="O232" s="21" t="str">
        <f aca="false">IFERROR(INDEX(종합!O$3:O$501,MATCH(ROW()-2,종합!$AD$3:$AD$501,0))&amp;"","")</f>
        <v/>
      </c>
      <c r="P232" s="21" t="str">
        <f aca="false">IFERROR(INDEX(종합!P$3:P$501,MATCH(ROW()-2,종합!$AD$3:$AD$501,0))&amp;"","")</f>
        <v/>
      </c>
      <c r="Q232" s="21" t="str">
        <f aca="false">IFERROR(INDEX(종합!Q$3:Q$501,MATCH(ROW()-2,종합!$AD$3:$AD$501,0))&amp;"","")</f>
        <v/>
      </c>
      <c r="R232" s="21" t="str">
        <f aca="false">IFERROR(INDEX(종합!R$3:R$501,MATCH(ROW()-2,종합!$AD$3:$AD$501,0))&amp;"","")</f>
        <v/>
      </c>
      <c r="S232" s="21" t="str">
        <f aca="false">IFERROR(INDEX(종합!S$3:S$501,MATCH(ROW()-2,종합!$AD$3:$AD$501,0))&amp;"","")</f>
        <v/>
      </c>
      <c r="T232" s="21" t="str">
        <f aca="false">IFERROR(INDEX(종합!T$3:T$501,MATCH(ROW()-2,종합!$AD$3:$AD$501,0))&amp;"","")</f>
        <v/>
      </c>
      <c r="U232" s="21" t="str">
        <f aca="false">IFERROR(INDEX(종합!U$3:U$501,MATCH(ROW()-2,종합!$AD$3:$AD$501,0))&amp;"","")</f>
        <v/>
      </c>
      <c r="V232" s="21" t="str">
        <f aca="false">IFERROR(INDEX(종합!V$3:V$501,MATCH(ROW()-2,종합!$AD$3:$AD$501,0))&amp;"","")</f>
        <v/>
      </c>
      <c r="W232" s="21" t="str">
        <f aca="false">IFERROR(INDEX(종합!W$3:W$501,MATCH(ROW()-2,종합!$AD$3:$AD$501,0))&amp;"","")</f>
        <v/>
      </c>
      <c r="X232" s="21" t="str">
        <f aca="false">IFERROR(INDEX(종합!X$3:X$501,MATCH(ROW()-2,종합!$AD$3:$AD$501,0))&amp;"","")</f>
        <v/>
      </c>
      <c r="Y232" s="21" t="str">
        <f aca="false">IFERROR(INDEX(종합!Y$3:Y$501,MATCH(ROW()-2,종합!$AD$3:$AD$501,0))&amp;"","")</f>
        <v/>
      </c>
      <c r="Z232" s="21" t="str">
        <f aca="false">IFERROR(INDEX(종합!Z$3:Z$501,MATCH(ROW()-2,종합!$AD$3:$AD$501,0))&amp;"","")</f>
        <v/>
      </c>
      <c r="AA232" s="23" t="str">
        <f aca="false">IFERROR(INDEX(종합!AA$3:AA$501,MATCH(ROW()-2,종합!$AD$3:$AD$501,0))&amp;"","")</f>
        <v/>
      </c>
    </row>
    <row r="233" customFormat="false" ht="16.5" hidden="false" customHeight="true" outlineLevel="0" collapsed="false">
      <c r="A233" s="18" t="str">
        <f aca="false">IF(B233="","",ROW()-2)</f>
        <v/>
      </c>
      <c r="B233" s="18" t="str">
        <f aca="false">IFERROR(INDEX(종합!B$3:B$501,MATCH(ROW()-2,종합!$AD$3:$AD$501,0))&amp;"","")</f>
        <v/>
      </c>
      <c r="C233" s="18" t="str">
        <f aca="false">IFERROR(INDEX(종합!C$3:C$501,MATCH(ROW()-2,종합!$AD$3:$AD$501,0))&amp;"","")</f>
        <v/>
      </c>
      <c r="D233" s="18" t="str">
        <f aca="false">IFERROR(INDEX(종합!D$3:D$501,MATCH(ROW()-2,종합!$AD$3:$AD$501,0))&amp;"","")</f>
        <v/>
      </c>
      <c r="E233" s="18" t="str">
        <f aca="false">IFERROR(INDEX(종합!E$3:E$501,MATCH(ROW()-2,종합!$AD$3:$AD$501,0))&amp;"","")</f>
        <v/>
      </c>
      <c r="F233" s="18" t="str">
        <f aca="false">IFERROR(INDEX(종합!F$3:F$501,MATCH(ROW()-2,종합!$AD$3:$AD$501,0))&amp;"","")</f>
        <v/>
      </c>
      <c r="G233" s="18" t="str">
        <f aca="false">IFERROR(INDEX(종합!G$3:G$501,MATCH(ROW()-2,종합!$AD$3:$AD$501,0))&amp;"","")</f>
        <v/>
      </c>
      <c r="H233" s="21" t="str">
        <f aca="false">IFERROR(INDEX(종합!H$3:H$501,MATCH(ROW()-2,종합!$AD$3:$AD$501,0))&amp;"","")</f>
        <v/>
      </c>
      <c r="I233" s="21" t="str">
        <f aca="false">IFERROR(INDEX(종합!I$3:I$501,MATCH(ROW()-2,종합!$AD$3:$AD$501,0))&amp;"","")</f>
        <v/>
      </c>
      <c r="J233" s="21" t="str">
        <f aca="false">IFERROR(INDEX(종합!J$3:J$501,MATCH(ROW()-2,종합!$AD$3:$AD$501,0))&amp;"","")</f>
        <v/>
      </c>
      <c r="K233" s="21" t="str">
        <f aca="false">IFERROR(INDEX(종합!K$3:K$501,MATCH(ROW()-2,종합!$AD$3:$AD$501,0))&amp;"","")</f>
        <v/>
      </c>
      <c r="L233" s="21" t="str">
        <f aca="false">IFERROR(INDEX(종합!L$3:L$501,MATCH(ROW()-2,종합!$AD$3:$AD$501,0))&amp;"","")</f>
        <v/>
      </c>
      <c r="M233" s="21" t="str">
        <f aca="false">IFERROR(INDEX(종합!M$3:M$501,MATCH(ROW()-2,종합!$AD$3:$AD$501,0))&amp;"","")</f>
        <v/>
      </c>
      <c r="N233" s="25" t="str">
        <f aca="false">IFERROR(INDEX(종합!N$3:N$501,MATCH(ROW()-2,종합!$AD$3:$AD$501,0))&amp;"","")</f>
        <v/>
      </c>
      <c r="O233" s="21" t="str">
        <f aca="false">IFERROR(INDEX(종합!O$3:O$501,MATCH(ROW()-2,종합!$AD$3:$AD$501,0))&amp;"","")</f>
        <v/>
      </c>
      <c r="P233" s="21" t="str">
        <f aca="false">IFERROR(INDEX(종합!P$3:P$501,MATCH(ROW()-2,종합!$AD$3:$AD$501,0))&amp;"","")</f>
        <v/>
      </c>
      <c r="Q233" s="21" t="str">
        <f aca="false">IFERROR(INDEX(종합!Q$3:Q$501,MATCH(ROW()-2,종합!$AD$3:$AD$501,0))&amp;"","")</f>
        <v/>
      </c>
      <c r="R233" s="21" t="str">
        <f aca="false">IFERROR(INDEX(종합!R$3:R$501,MATCH(ROW()-2,종합!$AD$3:$AD$501,0))&amp;"","")</f>
        <v/>
      </c>
      <c r="S233" s="21" t="str">
        <f aca="false">IFERROR(INDEX(종합!S$3:S$501,MATCH(ROW()-2,종합!$AD$3:$AD$501,0))&amp;"","")</f>
        <v/>
      </c>
      <c r="T233" s="21" t="str">
        <f aca="false">IFERROR(INDEX(종합!T$3:T$501,MATCH(ROW()-2,종합!$AD$3:$AD$501,0))&amp;"","")</f>
        <v/>
      </c>
      <c r="U233" s="21" t="str">
        <f aca="false">IFERROR(INDEX(종합!U$3:U$501,MATCH(ROW()-2,종합!$AD$3:$AD$501,0))&amp;"","")</f>
        <v/>
      </c>
      <c r="V233" s="21" t="str">
        <f aca="false">IFERROR(INDEX(종합!V$3:V$501,MATCH(ROW()-2,종합!$AD$3:$AD$501,0))&amp;"","")</f>
        <v/>
      </c>
      <c r="W233" s="21" t="str">
        <f aca="false">IFERROR(INDEX(종합!W$3:W$501,MATCH(ROW()-2,종합!$AD$3:$AD$501,0))&amp;"","")</f>
        <v/>
      </c>
      <c r="X233" s="21" t="str">
        <f aca="false">IFERROR(INDEX(종합!X$3:X$501,MATCH(ROW()-2,종합!$AD$3:$AD$501,0))&amp;"","")</f>
        <v/>
      </c>
      <c r="Y233" s="21" t="str">
        <f aca="false">IFERROR(INDEX(종합!Y$3:Y$501,MATCH(ROW()-2,종합!$AD$3:$AD$501,0))&amp;"","")</f>
        <v/>
      </c>
      <c r="Z233" s="21" t="str">
        <f aca="false">IFERROR(INDEX(종합!Z$3:Z$501,MATCH(ROW()-2,종합!$AD$3:$AD$501,0))&amp;"","")</f>
        <v/>
      </c>
      <c r="AA233" s="23" t="str">
        <f aca="false">IFERROR(INDEX(종합!AA$3:AA$501,MATCH(ROW()-2,종합!$AD$3:$AD$501,0))&amp;"","")</f>
        <v/>
      </c>
    </row>
    <row r="234" customFormat="false" ht="16.5" hidden="false" customHeight="true" outlineLevel="0" collapsed="false">
      <c r="A234" s="18" t="str">
        <f aca="false">IF(B234="","",ROW()-2)</f>
        <v/>
      </c>
      <c r="B234" s="18" t="str">
        <f aca="false">IFERROR(INDEX(종합!B$3:B$501,MATCH(ROW()-2,종합!$AD$3:$AD$501,0))&amp;"","")</f>
        <v/>
      </c>
      <c r="C234" s="18" t="str">
        <f aca="false">IFERROR(INDEX(종합!C$3:C$501,MATCH(ROW()-2,종합!$AD$3:$AD$501,0))&amp;"","")</f>
        <v/>
      </c>
      <c r="D234" s="18" t="str">
        <f aca="false">IFERROR(INDEX(종합!D$3:D$501,MATCH(ROW()-2,종합!$AD$3:$AD$501,0))&amp;"","")</f>
        <v/>
      </c>
      <c r="E234" s="18" t="str">
        <f aca="false">IFERROR(INDEX(종합!E$3:E$501,MATCH(ROW()-2,종합!$AD$3:$AD$501,0))&amp;"","")</f>
        <v/>
      </c>
      <c r="F234" s="18" t="str">
        <f aca="false">IFERROR(INDEX(종합!F$3:F$501,MATCH(ROW()-2,종합!$AD$3:$AD$501,0))&amp;"","")</f>
        <v/>
      </c>
      <c r="G234" s="18" t="str">
        <f aca="false">IFERROR(INDEX(종합!G$3:G$501,MATCH(ROW()-2,종합!$AD$3:$AD$501,0))&amp;"","")</f>
        <v/>
      </c>
      <c r="H234" s="21" t="str">
        <f aca="false">IFERROR(INDEX(종합!H$3:H$501,MATCH(ROW()-2,종합!$AD$3:$AD$501,0))&amp;"","")</f>
        <v/>
      </c>
      <c r="I234" s="21" t="str">
        <f aca="false">IFERROR(INDEX(종합!I$3:I$501,MATCH(ROW()-2,종합!$AD$3:$AD$501,0))&amp;"","")</f>
        <v/>
      </c>
      <c r="J234" s="21" t="str">
        <f aca="false">IFERROR(INDEX(종합!J$3:J$501,MATCH(ROW()-2,종합!$AD$3:$AD$501,0))&amp;"","")</f>
        <v/>
      </c>
      <c r="K234" s="21" t="str">
        <f aca="false">IFERROR(INDEX(종합!K$3:K$501,MATCH(ROW()-2,종합!$AD$3:$AD$501,0))&amp;"","")</f>
        <v/>
      </c>
      <c r="L234" s="21" t="str">
        <f aca="false">IFERROR(INDEX(종합!L$3:L$501,MATCH(ROW()-2,종합!$AD$3:$AD$501,0))&amp;"","")</f>
        <v/>
      </c>
      <c r="M234" s="21" t="str">
        <f aca="false">IFERROR(INDEX(종합!M$3:M$501,MATCH(ROW()-2,종합!$AD$3:$AD$501,0))&amp;"","")</f>
        <v/>
      </c>
      <c r="N234" s="25" t="str">
        <f aca="false">IFERROR(INDEX(종합!N$3:N$501,MATCH(ROW()-2,종합!$AD$3:$AD$501,0))&amp;"","")</f>
        <v/>
      </c>
      <c r="O234" s="21" t="str">
        <f aca="false">IFERROR(INDEX(종합!O$3:O$501,MATCH(ROW()-2,종합!$AD$3:$AD$501,0))&amp;"","")</f>
        <v/>
      </c>
      <c r="P234" s="21" t="str">
        <f aca="false">IFERROR(INDEX(종합!P$3:P$501,MATCH(ROW()-2,종합!$AD$3:$AD$501,0))&amp;"","")</f>
        <v/>
      </c>
      <c r="Q234" s="21" t="str">
        <f aca="false">IFERROR(INDEX(종합!Q$3:Q$501,MATCH(ROW()-2,종합!$AD$3:$AD$501,0))&amp;"","")</f>
        <v/>
      </c>
      <c r="R234" s="21" t="str">
        <f aca="false">IFERROR(INDEX(종합!R$3:R$501,MATCH(ROW()-2,종합!$AD$3:$AD$501,0))&amp;"","")</f>
        <v/>
      </c>
      <c r="S234" s="21" t="str">
        <f aca="false">IFERROR(INDEX(종합!S$3:S$501,MATCH(ROW()-2,종합!$AD$3:$AD$501,0))&amp;"","")</f>
        <v/>
      </c>
      <c r="T234" s="21" t="str">
        <f aca="false">IFERROR(INDEX(종합!T$3:T$501,MATCH(ROW()-2,종합!$AD$3:$AD$501,0))&amp;"","")</f>
        <v/>
      </c>
      <c r="U234" s="21" t="str">
        <f aca="false">IFERROR(INDEX(종합!U$3:U$501,MATCH(ROW()-2,종합!$AD$3:$AD$501,0))&amp;"","")</f>
        <v/>
      </c>
      <c r="V234" s="21" t="str">
        <f aca="false">IFERROR(INDEX(종합!V$3:V$501,MATCH(ROW()-2,종합!$AD$3:$AD$501,0))&amp;"","")</f>
        <v/>
      </c>
      <c r="W234" s="21" t="str">
        <f aca="false">IFERROR(INDEX(종합!W$3:W$501,MATCH(ROW()-2,종합!$AD$3:$AD$501,0))&amp;"","")</f>
        <v/>
      </c>
      <c r="X234" s="21" t="str">
        <f aca="false">IFERROR(INDEX(종합!X$3:X$501,MATCH(ROW()-2,종합!$AD$3:$AD$501,0))&amp;"","")</f>
        <v/>
      </c>
      <c r="Y234" s="21" t="str">
        <f aca="false">IFERROR(INDEX(종합!Y$3:Y$501,MATCH(ROW()-2,종합!$AD$3:$AD$501,0))&amp;"","")</f>
        <v/>
      </c>
      <c r="Z234" s="21" t="str">
        <f aca="false">IFERROR(INDEX(종합!Z$3:Z$501,MATCH(ROW()-2,종합!$AD$3:$AD$501,0))&amp;"","")</f>
        <v/>
      </c>
      <c r="AA234" s="23" t="str">
        <f aca="false">IFERROR(INDEX(종합!AA$3:AA$501,MATCH(ROW()-2,종합!$AD$3:$AD$501,0))&amp;"","")</f>
        <v/>
      </c>
    </row>
    <row r="235" customFormat="false" ht="16.5" hidden="false" customHeight="true" outlineLevel="0" collapsed="false">
      <c r="A235" s="18" t="str">
        <f aca="false">IF(B235="","",ROW()-2)</f>
        <v/>
      </c>
      <c r="B235" s="18" t="str">
        <f aca="false">IFERROR(INDEX(종합!B$3:B$501,MATCH(ROW()-2,종합!$AD$3:$AD$501,0))&amp;"","")</f>
        <v/>
      </c>
      <c r="C235" s="18" t="str">
        <f aca="false">IFERROR(INDEX(종합!C$3:C$501,MATCH(ROW()-2,종합!$AD$3:$AD$501,0))&amp;"","")</f>
        <v/>
      </c>
      <c r="D235" s="18" t="str">
        <f aca="false">IFERROR(INDEX(종합!D$3:D$501,MATCH(ROW()-2,종합!$AD$3:$AD$501,0))&amp;"","")</f>
        <v/>
      </c>
      <c r="E235" s="18" t="str">
        <f aca="false">IFERROR(INDEX(종합!E$3:E$501,MATCH(ROW()-2,종합!$AD$3:$AD$501,0))&amp;"","")</f>
        <v/>
      </c>
      <c r="F235" s="18" t="str">
        <f aca="false">IFERROR(INDEX(종합!F$3:F$501,MATCH(ROW()-2,종합!$AD$3:$AD$501,0))&amp;"","")</f>
        <v/>
      </c>
      <c r="G235" s="18" t="str">
        <f aca="false">IFERROR(INDEX(종합!G$3:G$501,MATCH(ROW()-2,종합!$AD$3:$AD$501,0))&amp;"","")</f>
        <v/>
      </c>
      <c r="H235" s="21" t="str">
        <f aca="false">IFERROR(INDEX(종합!H$3:H$501,MATCH(ROW()-2,종합!$AD$3:$AD$501,0))&amp;"","")</f>
        <v/>
      </c>
      <c r="I235" s="21" t="str">
        <f aca="false">IFERROR(INDEX(종합!I$3:I$501,MATCH(ROW()-2,종합!$AD$3:$AD$501,0))&amp;"","")</f>
        <v/>
      </c>
      <c r="J235" s="21" t="str">
        <f aca="false">IFERROR(INDEX(종합!J$3:J$501,MATCH(ROW()-2,종합!$AD$3:$AD$501,0))&amp;"","")</f>
        <v/>
      </c>
      <c r="K235" s="21" t="str">
        <f aca="false">IFERROR(INDEX(종합!K$3:K$501,MATCH(ROW()-2,종합!$AD$3:$AD$501,0))&amp;"","")</f>
        <v/>
      </c>
      <c r="L235" s="21" t="str">
        <f aca="false">IFERROR(INDEX(종합!L$3:L$501,MATCH(ROW()-2,종합!$AD$3:$AD$501,0))&amp;"","")</f>
        <v/>
      </c>
      <c r="M235" s="21" t="str">
        <f aca="false">IFERROR(INDEX(종합!M$3:M$501,MATCH(ROW()-2,종합!$AD$3:$AD$501,0))&amp;"","")</f>
        <v/>
      </c>
      <c r="N235" s="25" t="str">
        <f aca="false">IFERROR(INDEX(종합!N$3:N$501,MATCH(ROW()-2,종합!$AD$3:$AD$501,0))&amp;"","")</f>
        <v/>
      </c>
      <c r="O235" s="21" t="str">
        <f aca="false">IFERROR(INDEX(종합!O$3:O$501,MATCH(ROW()-2,종합!$AD$3:$AD$501,0))&amp;"","")</f>
        <v/>
      </c>
      <c r="P235" s="21" t="str">
        <f aca="false">IFERROR(INDEX(종합!P$3:P$501,MATCH(ROW()-2,종합!$AD$3:$AD$501,0))&amp;"","")</f>
        <v/>
      </c>
      <c r="Q235" s="21" t="str">
        <f aca="false">IFERROR(INDEX(종합!Q$3:Q$501,MATCH(ROW()-2,종합!$AD$3:$AD$501,0))&amp;"","")</f>
        <v/>
      </c>
      <c r="R235" s="21" t="str">
        <f aca="false">IFERROR(INDEX(종합!R$3:R$501,MATCH(ROW()-2,종합!$AD$3:$AD$501,0))&amp;"","")</f>
        <v/>
      </c>
      <c r="S235" s="21" t="str">
        <f aca="false">IFERROR(INDEX(종합!S$3:S$501,MATCH(ROW()-2,종합!$AD$3:$AD$501,0))&amp;"","")</f>
        <v/>
      </c>
      <c r="T235" s="21" t="str">
        <f aca="false">IFERROR(INDEX(종합!T$3:T$501,MATCH(ROW()-2,종합!$AD$3:$AD$501,0))&amp;"","")</f>
        <v/>
      </c>
      <c r="U235" s="21" t="str">
        <f aca="false">IFERROR(INDEX(종합!U$3:U$501,MATCH(ROW()-2,종합!$AD$3:$AD$501,0))&amp;"","")</f>
        <v/>
      </c>
      <c r="V235" s="21" t="str">
        <f aca="false">IFERROR(INDEX(종합!V$3:V$501,MATCH(ROW()-2,종합!$AD$3:$AD$501,0))&amp;"","")</f>
        <v/>
      </c>
      <c r="W235" s="21" t="str">
        <f aca="false">IFERROR(INDEX(종합!W$3:W$501,MATCH(ROW()-2,종합!$AD$3:$AD$501,0))&amp;"","")</f>
        <v/>
      </c>
      <c r="X235" s="21" t="str">
        <f aca="false">IFERROR(INDEX(종합!X$3:X$501,MATCH(ROW()-2,종합!$AD$3:$AD$501,0))&amp;"","")</f>
        <v/>
      </c>
      <c r="Y235" s="21" t="str">
        <f aca="false">IFERROR(INDEX(종합!Y$3:Y$501,MATCH(ROW()-2,종합!$AD$3:$AD$501,0))&amp;"","")</f>
        <v/>
      </c>
      <c r="Z235" s="21" t="str">
        <f aca="false">IFERROR(INDEX(종합!Z$3:Z$501,MATCH(ROW()-2,종합!$AD$3:$AD$501,0))&amp;"","")</f>
        <v/>
      </c>
      <c r="AA235" s="23" t="str">
        <f aca="false">IFERROR(INDEX(종합!AA$3:AA$501,MATCH(ROW()-2,종합!$AD$3:$AD$501,0))&amp;"","")</f>
        <v/>
      </c>
    </row>
    <row r="236" customFormat="false" ht="16.5" hidden="false" customHeight="true" outlineLevel="0" collapsed="false">
      <c r="A236" s="18" t="str">
        <f aca="false">IF(B236="","",ROW()-2)</f>
        <v/>
      </c>
      <c r="B236" s="18" t="str">
        <f aca="false">IFERROR(INDEX(종합!B$3:B$501,MATCH(ROW()-2,종합!$AD$3:$AD$501,0))&amp;"","")</f>
        <v/>
      </c>
      <c r="C236" s="18" t="str">
        <f aca="false">IFERROR(INDEX(종합!C$3:C$501,MATCH(ROW()-2,종합!$AD$3:$AD$501,0))&amp;"","")</f>
        <v/>
      </c>
      <c r="D236" s="18" t="str">
        <f aca="false">IFERROR(INDEX(종합!D$3:D$501,MATCH(ROW()-2,종합!$AD$3:$AD$501,0))&amp;"","")</f>
        <v/>
      </c>
      <c r="E236" s="18" t="str">
        <f aca="false">IFERROR(INDEX(종합!E$3:E$501,MATCH(ROW()-2,종합!$AD$3:$AD$501,0))&amp;"","")</f>
        <v/>
      </c>
      <c r="F236" s="18" t="str">
        <f aca="false">IFERROR(INDEX(종합!F$3:F$501,MATCH(ROW()-2,종합!$AD$3:$AD$501,0))&amp;"","")</f>
        <v/>
      </c>
      <c r="G236" s="18" t="str">
        <f aca="false">IFERROR(INDEX(종합!G$3:G$501,MATCH(ROW()-2,종합!$AD$3:$AD$501,0))&amp;"","")</f>
        <v/>
      </c>
      <c r="H236" s="21" t="str">
        <f aca="false">IFERROR(INDEX(종합!H$3:H$501,MATCH(ROW()-2,종합!$AD$3:$AD$501,0))&amp;"","")</f>
        <v/>
      </c>
      <c r="I236" s="21" t="str">
        <f aca="false">IFERROR(INDEX(종합!I$3:I$501,MATCH(ROW()-2,종합!$AD$3:$AD$501,0))&amp;"","")</f>
        <v/>
      </c>
      <c r="J236" s="21" t="str">
        <f aca="false">IFERROR(INDEX(종합!J$3:J$501,MATCH(ROW()-2,종합!$AD$3:$AD$501,0))&amp;"","")</f>
        <v/>
      </c>
      <c r="K236" s="21" t="str">
        <f aca="false">IFERROR(INDEX(종합!K$3:K$501,MATCH(ROW()-2,종합!$AD$3:$AD$501,0))&amp;"","")</f>
        <v/>
      </c>
      <c r="L236" s="21" t="str">
        <f aca="false">IFERROR(INDEX(종합!L$3:L$501,MATCH(ROW()-2,종합!$AD$3:$AD$501,0))&amp;"","")</f>
        <v/>
      </c>
      <c r="M236" s="21" t="str">
        <f aca="false">IFERROR(INDEX(종합!M$3:M$501,MATCH(ROW()-2,종합!$AD$3:$AD$501,0))&amp;"","")</f>
        <v/>
      </c>
      <c r="N236" s="25" t="str">
        <f aca="false">IFERROR(INDEX(종합!N$3:N$501,MATCH(ROW()-2,종합!$AD$3:$AD$501,0))&amp;"","")</f>
        <v/>
      </c>
      <c r="O236" s="21" t="str">
        <f aca="false">IFERROR(INDEX(종합!O$3:O$501,MATCH(ROW()-2,종합!$AD$3:$AD$501,0))&amp;"","")</f>
        <v/>
      </c>
      <c r="P236" s="21" t="str">
        <f aca="false">IFERROR(INDEX(종합!P$3:P$501,MATCH(ROW()-2,종합!$AD$3:$AD$501,0))&amp;"","")</f>
        <v/>
      </c>
      <c r="Q236" s="21" t="str">
        <f aca="false">IFERROR(INDEX(종합!Q$3:Q$501,MATCH(ROW()-2,종합!$AD$3:$AD$501,0))&amp;"","")</f>
        <v/>
      </c>
      <c r="R236" s="21" t="str">
        <f aca="false">IFERROR(INDEX(종합!R$3:R$501,MATCH(ROW()-2,종합!$AD$3:$AD$501,0))&amp;"","")</f>
        <v/>
      </c>
      <c r="S236" s="21" t="str">
        <f aca="false">IFERROR(INDEX(종합!S$3:S$501,MATCH(ROW()-2,종합!$AD$3:$AD$501,0))&amp;"","")</f>
        <v/>
      </c>
      <c r="T236" s="21" t="str">
        <f aca="false">IFERROR(INDEX(종합!T$3:T$501,MATCH(ROW()-2,종합!$AD$3:$AD$501,0))&amp;"","")</f>
        <v/>
      </c>
      <c r="U236" s="21" t="str">
        <f aca="false">IFERROR(INDEX(종합!U$3:U$501,MATCH(ROW()-2,종합!$AD$3:$AD$501,0))&amp;"","")</f>
        <v/>
      </c>
      <c r="V236" s="21" t="str">
        <f aca="false">IFERROR(INDEX(종합!V$3:V$501,MATCH(ROW()-2,종합!$AD$3:$AD$501,0))&amp;"","")</f>
        <v/>
      </c>
      <c r="W236" s="21" t="str">
        <f aca="false">IFERROR(INDEX(종합!W$3:W$501,MATCH(ROW()-2,종합!$AD$3:$AD$501,0))&amp;"","")</f>
        <v/>
      </c>
      <c r="X236" s="21" t="str">
        <f aca="false">IFERROR(INDEX(종합!X$3:X$501,MATCH(ROW()-2,종합!$AD$3:$AD$501,0))&amp;"","")</f>
        <v/>
      </c>
      <c r="Y236" s="21" t="str">
        <f aca="false">IFERROR(INDEX(종합!Y$3:Y$501,MATCH(ROW()-2,종합!$AD$3:$AD$501,0))&amp;"","")</f>
        <v/>
      </c>
      <c r="Z236" s="21" t="str">
        <f aca="false">IFERROR(INDEX(종합!Z$3:Z$501,MATCH(ROW()-2,종합!$AD$3:$AD$501,0))&amp;"","")</f>
        <v/>
      </c>
      <c r="AA236" s="23" t="str">
        <f aca="false">IFERROR(INDEX(종합!AA$3:AA$501,MATCH(ROW()-2,종합!$AD$3:$AD$501,0))&amp;"","")</f>
        <v/>
      </c>
    </row>
    <row r="237" customFormat="false" ht="16.5" hidden="false" customHeight="true" outlineLevel="0" collapsed="false">
      <c r="A237" s="18" t="str">
        <f aca="false">IF(B237="","",ROW()-2)</f>
        <v/>
      </c>
      <c r="B237" s="18" t="str">
        <f aca="false">IFERROR(INDEX(종합!B$3:B$501,MATCH(ROW()-2,종합!$AD$3:$AD$501,0))&amp;"","")</f>
        <v/>
      </c>
      <c r="C237" s="18" t="str">
        <f aca="false">IFERROR(INDEX(종합!C$3:C$501,MATCH(ROW()-2,종합!$AD$3:$AD$501,0))&amp;"","")</f>
        <v/>
      </c>
      <c r="D237" s="18" t="str">
        <f aca="false">IFERROR(INDEX(종합!D$3:D$501,MATCH(ROW()-2,종합!$AD$3:$AD$501,0))&amp;"","")</f>
        <v/>
      </c>
      <c r="E237" s="18" t="str">
        <f aca="false">IFERROR(INDEX(종합!E$3:E$501,MATCH(ROW()-2,종합!$AD$3:$AD$501,0))&amp;"","")</f>
        <v/>
      </c>
      <c r="F237" s="18" t="str">
        <f aca="false">IFERROR(INDEX(종합!F$3:F$501,MATCH(ROW()-2,종합!$AD$3:$AD$501,0))&amp;"","")</f>
        <v/>
      </c>
      <c r="G237" s="18" t="str">
        <f aca="false">IFERROR(INDEX(종합!G$3:G$501,MATCH(ROW()-2,종합!$AD$3:$AD$501,0))&amp;"","")</f>
        <v/>
      </c>
      <c r="H237" s="21" t="str">
        <f aca="false">IFERROR(INDEX(종합!H$3:H$501,MATCH(ROW()-2,종합!$AD$3:$AD$501,0))&amp;"","")</f>
        <v/>
      </c>
      <c r="I237" s="21" t="str">
        <f aca="false">IFERROR(INDEX(종합!I$3:I$501,MATCH(ROW()-2,종합!$AD$3:$AD$501,0))&amp;"","")</f>
        <v/>
      </c>
      <c r="J237" s="21" t="str">
        <f aca="false">IFERROR(INDEX(종합!J$3:J$501,MATCH(ROW()-2,종합!$AD$3:$AD$501,0))&amp;"","")</f>
        <v/>
      </c>
      <c r="K237" s="21" t="str">
        <f aca="false">IFERROR(INDEX(종합!K$3:K$501,MATCH(ROW()-2,종합!$AD$3:$AD$501,0))&amp;"","")</f>
        <v/>
      </c>
      <c r="L237" s="21" t="str">
        <f aca="false">IFERROR(INDEX(종합!L$3:L$501,MATCH(ROW()-2,종합!$AD$3:$AD$501,0))&amp;"","")</f>
        <v/>
      </c>
      <c r="M237" s="21" t="str">
        <f aca="false">IFERROR(INDEX(종합!M$3:M$501,MATCH(ROW()-2,종합!$AD$3:$AD$501,0))&amp;"","")</f>
        <v/>
      </c>
      <c r="N237" s="25" t="str">
        <f aca="false">IFERROR(INDEX(종합!N$3:N$501,MATCH(ROW()-2,종합!$AD$3:$AD$501,0))&amp;"","")</f>
        <v/>
      </c>
      <c r="O237" s="21" t="str">
        <f aca="false">IFERROR(INDEX(종합!O$3:O$501,MATCH(ROW()-2,종합!$AD$3:$AD$501,0))&amp;"","")</f>
        <v/>
      </c>
      <c r="P237" s="21" t="str">
        <f aca="false">IFERROR(INDEX(종합!P$3:P$501,MATCH(ROW()-2,종합!$AD$3:$AD$501,0))&amp;"","")</f>
        <v/>
      </c>
      <c r="Q237" s="21" t="str">
        <f aca="false">IFERROR(INDEX(종합!Q$3:Q$501,MATCH(ROW()-2,종합!$AD$3:$AD$501,0))&amp;"","")</f>
        <v/>
      </c>
      <c r="R237" s="21" t="str">
        <f aca="false">IFERROR(INDEX(종합!R$3:R$501,MATCH(ROW()-2,종합!$AD$3:$AD$501,0))&amp;"","")</f>
        <v/>
      </c>
      <c r="S237" s="21" t="str">
        <f aca="false">IFERROR(INDEX(종합!S$3:S$501,MATCH(ROW()-2,종합!$AD$3:$AD$501,0))&amp;"","")</f>
        <v/>
      </c>
      <c r="T237" s="21" t="str">
        <f aca="false">IFERROR(INDEX(종합!T$3:T$501,MATCH(ROW()-2,종합!$AD$3:$AD$501,0))&amp;"","")</f>
        <v/>
      </c>
      <c r="U237" s="21" t="str">
        <f aca="false">IFERROR(INDEX(종합!U$3:U$501,MATCH(ROW()-2,종합!$AD$3:$AD$501,0))&amp;"","")</f>
        <v/>
      </c>
      <c r="V237" s="21" t="str">
        <f aca="false">IFERROR(INDEX(종합!V$3:V$501,MATCH(ROW()-2,종합!$AD$3:$AD$501,0))&amp;"","")</f>
        <v/>
      </c>
      <c r="W237" s="21" t="str">
        <f aca="false">IFERROR(INDEX(종합!W$3:W$501,MATCH(ROW()-2,종합!$AD$3:$AD$501,0))&amp;"","")</f>
        <v/>
      </c>
      <c r="X237" s="21" t="str">
        <f aca="false">IFERROR(INDEX(종합!X$3:X$501,MATCH(ROW()-2,종합!$AD$3:$AD$501,0))&amp;"","")</f>
        <v/>
      </c>
      <c r="Y237" s="21" t="str">
        <f aca="false">IFERROR(INDEX(종합!Y$3:Y$501,MATCH(ROW()-2,종합!$AD$3:$AD$501,0))&amp;"","")</f>
        <v/>
      </c>
      <c r="Z237" s="21" t="str">
        <f aca="false">IFERROR(INDEX(종합!Z$3:Z$501,MATCH(ROW()-2,종합!$AD$3:$AD$501,0))&amp;"","")</f>
        <v/>
      </c>
      <c r="AA237" s="23" t="str">
        <f aca="false">IFERROR(INDEX(종합!AA$3:AA$501,MATCH(ROW()-2,종합!$AD$3:$AD$501,0))&amp;"","")</f>
        <v/>
      </c>
    </row>
    <row r="238" customFormat="false" ht="16.5" hidden="false" customHeight="true" outlineLevel="0" collapsed="false">
      <c r="A238" s="18" t="str">
        <f aca="false">IF(B238="","",ROW()-2)</f>
        <v/>
      </c>
      <c r="B238" s="18" t="str">
        <f aca="false">IFERROR(INDEX(종합!B$3:B$501,MATCH(ROW()-2,종합!$AD$3:$AD$501,0))&amp;"","")</f>
        <v/>
      </c>
      <c r="C238" s="18" t="str">
        <f aca="false">IFERROR(INDEX(종합!C$3:C$501,MATCH(ROW()-2,종합!$AD$3:$AD$501,0))&amp;"","")</f>
        <v/>
      </c>
      <c r="D238" s="18" t="str">
        <f aca="false">IFERROR(INDEX(종합!D$3:D$501,MATCH(ROW()-2,종합!$AD$3:$AD$501,0))&amp;"","")</f>
        <v/>
      </c>
      <c r="E238" s="18" t="str">
        <f aca="false">IFERROR(INDEX(종합!E$3:E$501,MATCH(ROW()-2,종합!$AD$3:$AD$501,0))&amp;"","")</f>
        <v/>
      </c>
      <c r="F238" s="18" t="str">
        <f aca="false">IFERROR(INDEX(종합!F$3:F$501,MATCH(ROW()-2,종합!$AD$3:$AD$501,0))&amp;"","")</f>
        <v/>
      </c>
      <c r="G238" s="18" t="str">
        <f aca="false">IFERROR(INDEX(종합!G$3:G$501,MATCH(ROW()-2,종합!$AD$3:$AD$501,0))&amp;"","")</f>
        <v/>
      </c>
      <c r="H238" s="21" t="str">
        <f aca="false">IFERROR(INDEX(종합!H$3:H$501,MATCH(ROW()-2,종합!$AD$3:$AD$501,0))&amp;"","")</f>
        <v/>
      </c>
      <c r="I238" s="21" t="str">
        <f aca="false">IFERROR(INDEX(종합!I$3:I$501,MATCH(ROW()-2,종합!$AD$3:$AD$501,0))&amp;"","")</f>
        <v/>
      </c>
      <c r="J238" s="21" t="str">
        <f aca="false">IFERROR(INDEX(종합!J$3:J$501,MATCH(ROW()-2,종합!$AD$3:$AD$501,0))&amp;"","")</f>
        <v/>
      </c>
      <c r="K238" s="21" t="str">
        <f aca="false">IFERROR(INDEX(종합!K$3:K$501,MATCH(ROW()-2,종합!$AD$3:$AD$501,0))&amp;"","")</f>
        <v/>
      </c>
      <c r="L238" s="21" t="str">
        <f aca="false">IFERROR(INDEX(종합!L$3:L$501,MATCH(ROW()-2,종합!$AD$3:$AD$501,0))&amp;"","")</f>
        <v/>
      </c>
      <c r="M238" s="21" t="str">
        <f aca="false">IFERROR(INDEX(종합!M$3:M$501,MATCH(ROW()-2,종합!$AD$3:$AD$501,0))&amp;"","")</f>
        <v/>
      </c>
      <c r="N238" s="25" t="str">
        <f aca="false">IFERROR(INDEX(종합!N$3:N$501,MATCH(ROW()-2,종합!$AD$3:$AD$501,0))&amp;"","")</f>
        <v/>
      </c>
      <c r="O238" s="21" t="str">
        <f aca="false">IFERROR(INDEX(종합!O$3:O$501,MATCH(ROW()-2,종합!$AD$3:$AD$501,0))&amp;"","")</f>
        <v/>
      </c>
      <c r="P238" s="21" t="str">
        <f aca="false">IFERROR(INDEX(종합!P$3:P$501,MATCH(ROW()-2,종합!$AD$3:$AD$501,0))&amp;"","")</f>
        <v/>
      </c>
      <c r="Q238" s="21" t="str">
        <f aca="false">IFERROR(INDEX(종합!Q$3:Q$501,MATCH(ROW()-2,종합!$AD$3:$AD$501,0))&amp;"","")</f>
        <v/>
      </c>
      <c r="R238" s="21" t="str">
        <f aca="false">IFERROR(INDEX(종합!R$3:R$501,MATCH(ROW()-2,종합!$AD$3:$AD$501,0))&amp;"","")</f>
        <v/>
      </c>
      <c r="S238" s="21" t="str">
        <f aca="false">IFERROR(INDEX(종합!S$3:S$501,MATCH(ROW()-2,종합!$AD$3:$AD$501,0))&amp;"","")</f>
        <v/>
      </c>
      <c r="T238" s="21" t="str">
        <f aca="false">IFERROR(INDEX(종합!T$3:T$501,MATCH(ROW()-2,종합!$AD$3:$AD$501,0))&amp;"","")</f>
        <v/>
      </c>
      <c r="U238" s="21" t="str">
        <f aca="false">IFERROR(INDEX(종합!U$3:U$501,MATCH(ROW()-2,종합!$AD$3:$AD$501,0))&amp;"","")</f>
        <v/>
      </c>
      <c r="V238" s="21" t="str">
        <f aca="false">IFERROR(INDEX(종합!V$3:V$501,MATCH(ROW()-2,종합!$AD$3:$AD$501,0))&amp;"","")</f>
        <v/>
      </c>
      <c r="W238" s="21" t="str">
        <f aca="false">IFERROR(INDEX(종합!W$3:W$501,MATCH(ROW()-2,종합!$AD$3:$AD$501,0))&amp;"","")</f>
        <v/>
      </c>
      <c r="X238" s="21" t="str">
        <f aca="false">IFERROR(INDEX(종합!X$3:X$501,MATCH(ROW()-2,종합!$AD$3:$AD$501,0))&amp;"","")</f>
        <v/>
      </c>
      <c r="Y238" s="21" t="str">
        <f aca="false">IFERROR(INDEX(종합!Y$3:Y$501,MATCH(ROW()-2,종합!$AD$3:$AD$501,0))&amp;"","")</f>
        <v/>
      </c>
      <c r="Z238" s="21" t="str">
        <f aca="false">IFERROR(INDEX(종합!Z$3:Z$501,MATCH(ROW()-2,종합!$AD$3:$AD$501,0))&amp;"","")</f>
        <v/>
      </c>
      <c r="AA238" s="23" t="str">
        <f aca="false">IFERROR(INDEX(종합!AA$3:AA$501,MATCH(ROW()-2,종합!$AD$3:$AD$501,0))&amp;"","")</f>
        <v/>
      </c>
    </row>
    <row r="239" customFormat="false" ht="16.5" hidden="false" customHeight="true" outlineLevel="0" collapsed="false">
      <c r="A239" s="18" t="str">
        <f aca="false">IF(B239="","",ROW()-2)</f>
        <v/>
      </c>
      <c r="B239" s="18" t="str">
        <f aca="false">IFERROR(INDEX(종합!B$3:B$501,MATCH(ROW()-2,종합!$AD$3:$AD$501,0))&amp;"","")</f>
        <v/>
      </c>
      <c r="C239" s="18" t="str">
        <f aca="false">IFERROR(INDEX(종합!C$3:C$501,MATCH(ROW()-2,종합!$AD$3:$AD$501,0))&amp;"","")</f>
        <v/>
      </c>
      <c r="D239" s="18" t="str">
        <f aca="false">IFERROR(INDEX(종합!D$3:D$501,MATCH(ROW()-2,종합!$AD$3:$AD$501,0))&amp;"","")</f>
        <v/>
      </c>
      <c r="E239" s="18" t="str">
        <f aca="false">IFERROR(INDEX(종합!E$3:E$501,MATCH(ROW()-2,종합!$AD$3:$AD$501,0))&amp;"","")</f>
        <v/>
      </c>
      <c r="F239" s="18" t="str">
        <f aca="false">IFERROR(INDEX(종합!F$3:F$501,MATCH(ROW()-2,종합!$AD$3:$AD$501,0))&amp;"","")</f>
        <v/>
      </c>
      <c r="G239" s="18" t="str">
        <f aca="false">IFERROR(INDEX(종합!G$3:G$501,MATCH(ROW()-2,종합!$AD$3:$AD$501,0))&amp;"","")</f>
        <v/>
      </c>
      <c r="H239" s="21" t="str">
        <f aca="false">IFERROR(INDEX(종합!H$3:H$501,MATCH(ROW()-2,종합!$AD$3:$AD$501,0))&amp;"","")</f>
        <v/>
      </c>
      <c r="I239" s="21" t="str">
        <f aca="false">IFERROR(INDEX(종합!I$3:I$501,MATCH(ROW()-2,종합!$AD$3:$AD$501,0))&amp;"","")</f>
        <v/>
      </c>
      <c r="J239" s="21" t="str">
        <f aca="false">IFERROR(INDEX(종합!J$3:J$501,MATCH(ROW()-2,종합!$AD$3:$AD$501,0))&amp;"","")</f>
        <v/>
      </c>
      <c r="K239" s="21" t="str">
        <f aca="false">IFERROR(INDEX(종합!K$3:K$501,MATCH(ROW()-2,종합!$AD$3:$AD$501,0))&amp;"","")</f>
        <v/>
      </c>
      <c r="L239" s="21" t="str">
        <f aca="false">IFERROR(INDEX(종합!L$3:L$501,MATCH(ROW()-2,종합!$AD$3:$AD$501,0))&amp;"","")</f>
        <v/>
      </c>
      <c r="M239" s="21" t="str">
        <f aca="false">IFERROR(INDEX(종합!M$3:M$501,MATCH(ROW()-2,종합!$AD$3:$AD$501,0))&amp;"","")</f>
        <v/>
      </c>
      <c r="N239" s="25" t="str">
        <f aca="false">IFERROR(INDEX(종합!N$3:N$501,MATCH(ROW()-2,종합!$AD$3:$AD$501,0))&amp;"","")</f>
        <v/>
      </c>
      <c r="O239" s="21" t="str">
        <f aca="false">IFERROR(INDEX(종합!O$3:O$501,MATCH(ROW()-2,종합!$AD$3:$AD$501,0))&amp;"","")</f>
        <v/>
      </c>
      <c r="P239" s="21" t="str">
        <f aca="false">IFERROR(INDEX(종합!P$3:P$501,MATCH(ROW()-2,종합!$AD$3:$AD$501,0))&amp;"","")</f>
        <v/>
      </c>
      <c r="Q239" s="21" t="str">
        <f aca="false">IFERROR(INDEX(종합!Q$3:Q$501,MATCH(ROW()-2,종합!$AD$3:$AD$501,0))&amp;"","")</f>
        <v/>
      </c>
      <c r="R239" s="21" t="str">
        <f aca="false">IFERROR(INDEX(종합!R$3:R$501,MATCH(ROW()-2,종합!$AD$3:$AD$501,0))&amp;"","")</f>
        <v/>
      </c>
      <c r="S239" s="21" t="str">
        <f aca="false">IFERROR(INDEX(종합!S$3:S$501,MATCH(ROW()-2,종합!$AD$3:$AD$501,0))&amp;"","")</f>
        <v/>
      </c>
      <c r="T239" s="21" t="str">
        <f aca="false">IFERROR(INDEX(종합!T$3:T$501,MATCH(ROW()-2,종합!$AD$3:$AD$501,0))&amp;"","")</f>
        <v/>
      </c>
      <c r="U239" s="21" t="str">
        <f aca="false">IFERROR(INDEX(종합!U$3:U$501,MATCH(ROW()-2,종합!$AD$3:$AD$501,0))&amp;"","")</f>
        <v/>
      </c>
      <c r="V239" s="21" t="str">
        <f aca="false">IFERROR(INDEX(종합!V$3:V$501,MATCH(ROW()-2,종합!$AD$3:$AD$501,0))&amp;"","")</f>
        <v/>
      </c>
      <c r="W239" s="21" t="str">
        <f aca="false">IFERROR(INDEX(종합!W$3:W$501,MATCH(ROW()-2,종합!$AD$3:$AD$501,0))&amp;"","")</f>
        <v/>
      </c>
      <c r="X239" s="21" t="str">
        <f aca="false">IFERROR(INDEX(종합!X$3:X$501,MATCH(ROW()-2,종합!$AD$3:$AD$501,0))&amp;"","")</f>
        <v/>
      </c>
      <c r="Y239" s="21" t="str">
        <f aca="false">IFERROR(INDEX(종합!Y$3:Y$501,MATCH(ROW()-2,종합!$AD$3:$AD$501,0))&amp;"","")</f>
        <v/>
      </c>
      <c r="Z239" s="21" t="str">
        <f aca="false">IFERROR(INDEX(종합!Z$3:Z$501,MATCH(ROW()-2,종합!$AD$3:$AD$501,0))&amp;"","")</f>
        <v/>
      </c>
      <c r="AA239" s="23" t="str">
        <f aca="false">IFERROR(INDEX(종합!AA$3:AA$501,MATCH(ROW()-2,종합!$AD$3:$AD$501,0))&amp;"","")</f>
        <v/>
      </c>
    </row>
    <row r="240" customFormat="false" ht="16.5" hidden="false" customHeight="true" outlineLevel="0" collapsed="false">
      <c r="A240" s="18" t="str">
        <f aca="false">IF(B240="","",ROW()-2)</f>
        <v/>
      </c>
      <c r="B240" s="18" t="str">
        <f aca="false">IFERROR(INDEX(종합!B$3:B$501,MATCH(ROW()-2,종합!$AD$3:$AD$501,0))&amp;"","")</f>
        <v/>
      </c>
      <c r="C240" s="18" t="str">
        <f aca="false">IFERROR(INDEX(종합!C$3:C$501,MATCH(ROW()-2,종합!$AD$3:$AD$501,0))&amp;"","")</f>
        <v/>
      </c>
      <c r="D240" s="18" t="str">
        <f aca="false">IFERROR(INDEX(종합!D$3:D$501,MATCH(ROW()-2,종합!$AD$3:$AD$501,0))&amp;"","")</f>
        <v/>
      </c>
      <c r="E240" s="18" t="str">
        <f aca="false">IFERROR(INDEX(종합!E$3:E$501,MATCH(ROW()-2,종합!$AD$3:$AD$501,0))&amp;"","")</f>
        <v/>
      </c>
      <c r="F240" s="18" t="str">
        <f aca="false">IFERROR(INDEX(종합!F$3:F$501,MATCH(ROW()-2,종합!$AD$3:$AD$501,0))&amp;"","")</f>
        <v/>
      </c>
      <c r="G240" s="18" t="str">
        <f aca="false">IFERROR(INDEX(종합!G$3:G$501,MATCH(ROW()-2,종합!$AD$3:$AD$501,0))&amp;"","")</f>
        <v/>
      </c>
      <c r="H240" s="21" t="str">
        <f aca="false">IFERROR(INDEX(종합!H$3:H$501,MATCH(ROW()-2,종합!$AD$3:$AD$501,0))&amp;"","")</f>
        <v/>
      </c>
      <c r="I240" s="21" t="str">
        <f aca="false">IFERROR(INDEX(종합!I$3:I$501,MATCH(ROW()-2,종합!$AD$3:$AD$501,0))&amp;"","")</f>
        <v/>
      </c>
      <c r="J240" s="21" t="str">
        <f aca="false">IFERROR(INDEX(종합!J$3:J$501,MATCH(ROW()-2,종합!$AD$3:$AD$501,0))&amp;"","")</f>
        <v/>
      </c>
      <c r="K240" s="21" t="str">
        <f aca="false">IFERROR(INDEX(종합!K$3:K$501,MATCH(ROW()-2,종합!$AD$3:$AD$501,0))&amp;"","")</f>
        <v/>
      </c>
      <c r="L240" s="21" t="str">
        <f aca="false">IFERROR(INDEX(종합!L$3:L$501,MATCH(ROW()-2,종합!$AD$3:$AD$501,0))&amp;"","")</f>
        <v/>
      </c>
      <c r="M240" s="21" t="str">
        <f aca="false">IFERROR(INDEX(종합!M$3:M$501,MATCH(ROW()-2,종합!$AD$3:$AD$501,0))&amp;"","")</f>
        <v/>
      </c>
      <c r="N240" s="25" t="str">
        <f aca="false">IFERROR(INDEX(종합!N$3:N$501,MATCH(ROW()-2,종합!$AD$3:$AD$501,0))&amp;"","")</f>
        <v/>
      </c>
      <c r="O240" s="21" t="str">
        <f aca="false">IFERROR(INDEX(종합!O$3:O$501,MATCH(ROW()-2,종합!$AD$3:$AD$501,0))&amp;"","")</f>
        <v/>
      </c>
      <c r="P240" s="21" t="str">
        <f aca="false">IFERROR(INDEX(종합!P$3:P$501,MATCH(ROW()-2,종합!$AD$3:$AD$501,0))&amp;"","")</f>
        <v/>
      </c>
      <c r="Q240" s="21" t="str">
        <f aca="false">IFERROR(INDEX(종합!Q$3:Q$501,MATCH(ROW()-2,종합!$AD$3:$AD$501,0))&amp;"","")</f>
        <v/>
      </c>
      <c r="R240" s="21" t="str">
        <f aca="false">IFERROR(INDEX(종합!R$3:R$501,MATCH(ROW()-2,종합!$AD$3:$AD$501,0))&amp;"","")</f>
        <v/>
      </c>
      <c r="S240" s="21" t="str">
        <f aca="false">IFERROR(INDEX(종합!S$3:S$501,MATCH(ROW()-2,종합!$AD$3:$AD$501,0))&amp;"","")</f>
        <v/>
      </c>
      <c r="T240" s="21" t="str">
        <f aca="false">IFERROR(INDEX(종합!T$3:T$501,MATCH(ROW()-2,종합!$AD$3:$AD$501,0))&amp;"","")</f>
        <v/>
      </c>
      <c r="U240" s="21" t="str">
        <f aca="false">IFERROR(INDEX(종합!U$3:U$501,MATCH(ROW()-2,종합!$AD$3:$AD$501,0))&amp;"","")</f>
        <v/>
      </c>
      <c r="V240" s="21" t="str">
        <f aca="false">IFERROR(INDEX(종합!V$3:V$501,MATCH(ROW()-2,종합!$AD$3:$AD$501,0))&amp;"","")</f>
        <v/>
      </c>
      <c r="W240" s="21" t="str">
        <f aca="false">IFERROR(INDEX(종합!W$3:W$501,MATCH(ROW()-2,종합!$AD$3:$AD$501,0))&amp;"","")</f>
        <v/>
      </c>
      <c r="X240" s="21" t="str">
        <f aca="false">IFERROR(INDEX(종합!X$3:X$501,MATCH(ROW()-2,종합!$AD$3:$AD$501,0))&amp;"","")</f>
        <v/>
      </c>
      <c r="Y240" s="21" t="str">
        <f aca="false">IFERROR(INDEX(종합!Y$3:Y$501,MATCH(ROW()-2,종합!$AD$3:$AD$501,0))&amp;"","")</f>
        <v/>
      </c>
      <c r="Z240" s="21" t="str">
        <f aca="false">IFERROR(INDEX(종합!Z$3:Z$501,MATCH(ROW()-2,종합!$AD$3:$AD$501,0))&amp;"","")</f>
        <v/>
      </c>
      <c r="AA240" s="23" t="str">
        <f aca="false">IFERROR(INDEX(종합!AA$3:AA$501,MATCH(ROW()-2,종합!$AD$3:$AD$501,0))&amp;"","")</f>
        <v/>
      </c>
    </row>
    <row r="241" customFormat="false" ht="16.5" hidden="false" customHeight="true" outlineLevel="0" collapsed="false">
      <c r="A241" s="18" t="str">
        <f aca="false">IF(B241="","",ROW()-2)</f>
        <v/>
      </c>
      <c r="B241" s="18" t="str">
        <f aca="false">IFERROR(INDEX(종합!B$3:B$501,MATCH(ROW()-2,종합!$AD$3:$AD$501,0))&amp;"","")</f>
        <v/>
      </c>
      <c r="C241" s="18" t="str">
        <f aca="false">IFERROR(INDEX(종합!C$3:C$501,MATCH(ROW()-2,종합!$AD$3:$AD$501,0))&amp;"","")</f>
        <v/>
      </c>
      <c r="D241" s="18" t="str">
        <f aca="false">IFERROR(INDEX(종합!D$3:D$501,MATCH(ROW()-2,종합!$AD$3:$AD$501,0))&amp;"","")</f>
        <v/>
      </c>
      <c r="E241" s="18" t="str">
        <f aca="false">IFERROR(INDEX(종합!E$3:E$501,MATCH(ROW()-2,종합!$AD$3:$AD$501,0))&amp;"","")</f>
        <v/>
      </c>
      <c r="F241" s="18" t="str">
        <f aca="false">IFERROR(INDEX(종합!F$3:F$501,MATCH(ROW()-2,종합!$AD$3:$AD$501,0))&amp;"","")</f>
        <v/>
      </c>
      <c r="G241" s="18" t="str">
        <f aca="false">IFERROR(INDEX(종합!G$3:G$501,MATCH(ROW()-2,종합!$AD$3:$AD$501,0))&amp;"","")</f>
        <v/>
      </c>
      <c r="H241" s="21" t="str">
        <f aca="false">IFERROR(INDEX(종합!H$3:H$501,MATCH(ROW()-2,종합!$AD$3:$AD$501,0))&amp;"","")</f>
        <v/>
      </c>
      <c r="I241" s="21" t="str">
        <f aca="false">IFERROR(INDEX(종합!I$3:I$501,MATCH(ROW()-2,종합!$AD$3:$AD$501,0))&amp;"","")</f>
        <v/>
      </c>
      <c r="J241" s="21" t="str">
        <f aca="false">IFERROR(INDEX(종합!J$3:J$501,MATCH(ROW()-2,종합!$AD$3:$AD$501,0))&amp;"","")</f>
        <v/>
      </c>
      <c r="K241" s="21" t="str">
        <f aca="false">IFERROR(INDEX(종합!K$3:K$501,MATCH(ROW()-2,종합!$AD$3:$AD$501,0))&amp;"","")</f>
        <v/>
      </c>
      <c r="L241" s="21" t="str">
        <f aca="false">IFERROR(INDEX(종합!L$3:L$501,MATCH(ROW()-2,종합!$AD$3:$AD$501,0))&amp;"","")</f>
        <v/>
      </c>
      <c r="M241" s="21" t="str">
        <f aca="false">IFERROR(INDEX(종합!M$3:M$501,MATCH(ROW()-2,종합!$AD$3:$AD$501,0))&amp;"","")</f>
        <v/>
      </c>
      <c r="N241" s="25" t="str">
        <f aca="false">IFERROR(INDEX(종합!N$3:N$501,MATCH(ROW()-2,종합!$AD$3:$AD$501,0))&amp;"","")</f>
        <v/>
      </c>
      <c r="O241" s="21" t="str">
        <f aca="false">IFERROR(INDEX(종합!O$3:O$501,MATCH(ROW()-2,종합!$AD$3:$AD$501,0))&amp;"","")</f>
        <v/>
      </c>
      <c r="P241" s="21" t="str">
        <f aca="false">IFERROR(INDEX(종합!P$3:P$501,MATCH(ROW()-2,종합!$AD$3:$AD$501,0))&amp;"","")</f>
        <v/>
      </c>
      <c r="Q241" s="21" t="str">
        <f aca="false">IFERROR(INDEX(종합!Q$3:Q$501,MATCH(ROW()-2,종합!$AD$3:$AD$501,0))&amp;"","")</f>
        <v/>
      </c>
      <c r="R241" s="21" t="str">
        <f aca="false">IFERROR(INDEX(종합!R$3:R$501,MATCH(ROW()-2,종합!$AD$3:$AD$501,0))&amp;"","")</f>
        <v/>
      </c>
      <c r="S241" s="21" t="str">
        <f aca="false">IFERROR(INDEX(종합!S$3:S$501,MATCH(ROW()-2,종합!$AD$3:$AD$501,0))&amp;"","")</f>
        <v/>
      </c>
      <c r="T241" s="21" t="str">
        <f aca="false">IFERROR(INDEX(종합!T$3:T$501,MATCH(ROW()-2,종합!$AD$3:$AD$501,0))&amp;"","")</f>
        <v/>
      </c>
      <c r="U241" s="21" t="str">
        <f aca="false">IFERROR(INDEX(종합!U$3:U$501,MATCH(ROW()-2,종합!$AD$3:$AD$501,0))&amp;"","")</f>
        <v/>
      </c>
      <c r="V241" s="21" t="str">
        <f aca="false">IFERROR(INDEX(종합!V$3:V$501,MATCH(ROW()-2,종합!$AD$3:$AD$501,0))&amp;"","")</f>
        <v/>
      </c>
      <c r="W241" s="21" t="str">
        <f aca="false">IFERROR(INDEX(종합!W$3:W$501,MATCH(ROW()-2,종합!$AD$3:$AD$501,0))&amp;"","")</f>
        <v/>
      </c>
      <c r="X241" s="21" t="str">
        <f aca="false">IFERROR(INDEX(종합!X$3:X$501,MATCH(ROW()-2,종합!$AD$3:$AD$501,0))&amp;"","")</f>
        <v/>
      </c>
      <c r="Y241" s="21" t="str">
        <f aca="false">IFERROR(INDEX(종합!Y$3:Y$501,MATCH(ROW()-2,종합!$AD$3:$AD$501,0))&amp;"","")</f>
        <v/>
      </c>
      <c r="Z241" s="21" t="str">
        <f aca="false">IFERROR(INDEX(종합!Z$3:Z$501,MATCH(ROW()-2,종합!$AD$3:$AD$501,0))&amp;"","")</f>
        <v/>
      </c>
      <c r="AA241" s="23" t="str">
        <f aca="false">IFERROR(INDEX(종합!AA$3:AA$501,MATCH(ROW()-2,종합!$AD$3:$AD$501,0))&amp;"","")</f>
        <v/>
      </c>
    </row>
    <row r="242" customFormat="false" ht="16.5" hidden="false" customHeight="true" outlineLevel="0" collapsed="false">
      <c r="A242" s="18" t="str">
        <f aca="false">IF(B242="","",ROW()-2)</f>
        <v/>
      </c>
      <c r="B242" s="18" t="str">
        <f aca="false">IFERROR(INDEX(종합!B$3:B$501,MATCH(ROW()-2,종합!$AD$3:$AD$501,0))&amp;"","")</f>
        <v/>
      </c>
      <c r="C242" s="18" t="str">
        <f aca="false">IFERROR(INDEX(종합!C$3:C$501,MATCH(ROW()-2,종합!$AD$3:$AD$501,0))&amp;"","")</f>
        <v/>
      </c>
      <c r="D242" s="18" t="str">
        <f aca="false">IFERROR(INDEX(종합!D$3:D$501,MATCH(ROW()-2,종합!$AD$3:$AD$501,0))&amp;"","")</f>
        <v/>
      </c>
      <c r="E242" s="18" t="str">
        <f aca="false">IFERROR(INDEX(종합!E$3:E$501,MATCH(ROW()-2,종합!$AD$3:$AD$501,0))&amp;"","")</f>
        <v/>
      </c>
      <c r="F242" s="18" t="str">
        <f aca="false">IFERROR(INDEX(종합!F$3:F$501,MATCH(ROW()-2,종합!$AD$3:$AD$501,0))&amp;"","")</f>
        <v/>
      </c>
      <c r="G242" s="18" t="str">
        <f aca="false">IFERROR(INDEX(종합!G$3:G$501,MATCH(ROW()-2,종합!$AD$3:$AD$501,0))&amp;"","")</f>
        <v/>
      </c>
      <c r="H242" s="21" t="str">
        <f aca="false">IFERROR(INDEX(종합!H$3:H$501,MATCH(ROW()-2,종합!$AD$3:$AD$501,0))&amp;"","")</f>
        <v/>
      </c>
      <c r="I242" s="21" t="str">
        <f aca="false">IFERROR(INDEX(종합!I$3:I$501,MATCH(ROW()-2,종합!$AD$3:$AD$501,0))&amp;"","")</f>
        <v/>
      </c>
      <c r="J242" s="21" t="str">
        <f aca="false">IFERROR(INDEX(종합!J$3:J$501,MATCH(ROW()-2,종합!$AD$3:$AD$501,0))&amp;"","")</f>
        <v/>
      </c>
      <c r="K242" s="21" t="str">
        <f aca="false">IFERROR(INDEX(종합!K$3:K$501,MATCH(ROW()-2,종합!$AD$3:$AD$501,0))&amp;"","")</f>
        <v/>
      </c>
      <c r="L242" s="21" t="str">
        <f aca="false">IFERROR(INDEX(종합!L$3:L$501,MATCH(ROW()-2,종합!$AD$3:$AD$501,0))&amp;"","")</f>
        <v/>
      </c>
      <c r="M242" s="21" t="str">
        <f aca="false">IFERROR(INDEX(종합!M$3:M$501,MATCH(ROW()-2,종합!$AD$3:$AD$501,0))&amp;"","")</f>
        <v/>
      </c>
      <c r="N242" s="25" t="str">
        <f aca="false">IFERROR(INDEX(종합!N$3:N$501,MATCH(ROW()-2,종합!$AD$3:$AD$501,0))&amp;"","")</f>
        <v/>
      </c>
      <c r="O242" s="21" t="str">
        <f aca="false">IFERROR(INDEX(종합!O$3:O$501,MATCH(ROW()-2,종합!$AD$3:$AD$501,0))&amp;"","")</f>
        <v/>
      </c>
      <c r="P242" s="21" t="str">
        <f aca="false">IFERROR(INDEX(종합!P$3:P$501,MATCH(ROW()-2,종합!$AD$3:$AD$501,0))&amp;"","")</f>
        <v/>
      </c>
      <c r="Q242" s="21" t="str">
        <f aca="false">IFERROR(INDEX(종합!Q$3:Q$501,MATCH(ROW()-2,종합!$AD$3:$AD$501,0))&amp;"","")</f>
        <v/>
      </c>
      <c r="R242" s="21" t="str">
        <f aca="false">IFERROR(INDEX(종합!R$3:R$501,MATCH(ROW()-2,종합!$AD$3:$AD$501,0))&amp;"","")</f>
        <v/>
      </c>
      <c r="S242" s="21" t="str">
        <f aca="false">IFERROR(INDEX(종합!S$3:S$501,MATCH(ROW()-2,종합!$AD$3:$AD$501,0))&amp;"","")</f>
        <v/>
      </c>
      <c r="T242" s="21" t="str">
        <f aca="false">IFERROR(INDEX(종합!T$3:T$501,MATCH(ROW()-2,종합!$AD$3:$AD$501,0))&amp;"","")</f>
        <v/>
      </c>
      <c r="U242" s="21" t="str">
        <f aca="false">IFERROR(INDEX(종합!U$3:U$501,MATCH(ROW()-2,종합!$AD$3:$AD$501,0))&amp;"","")</f>
        <v/>
      </c>
      <c r="V242" s="21" t="str">
        <f aca="false">IFERROR(INDEX(종합!V$3:V$501,MATCH(ROW()-2,종합!$AD$3:$AD$501,0))&amp;"","")</f>
        <v/>
      </c>
      <c r="W242" s="21" t="str">
        <f aca="false">IFERROR(INDEX(종합!W$3:W$501,MATCH(ROW()-2,종합!$AD$3:$AD$501,0))&amp;"","")</f>
        <v/>
      </c>
      <c r="X242" s="21" t="str">
        <f aca="false">IFERROR(INDEX(종합!X$3:X$501,MATCH(ROW()-2,종합!$AD$3:$AD$501,0))&amp;"","")</f>
        <v/>
      </c>
      <c r="Y242" s="21" t="str">
        <f aca="false">IFERROR(INDEX(종합!Y$3:Y$501,MATCH(ROW()-2,종합!$AD$3:$AD$501,0))&amp;"","")</f>
        <v/>
      </c>
      <c r="Z242" s="21" t="str">
        <f aca="false">IFERROR(INDEX(종합!Z$3:Z$501,MATCH(ROW()-2,종합!$AD$3:$AD$501,0))&amp;"","")</f>
        <v/>
      </c>
      <c r="AA242" s="23" t="str">
        <f aca="false">IFERROR(INDEX(종합!AA$3:AA$501,MATCH(ROW()-2,종합!$AD$3:$AD$501,0))&amp;"","")</f>
        <v/>
      </c>
    </row>
    <row r="243" customFormat="false" ht="16.5" hidden="false" customHeight="true" outlineLevel="0" collapsed="false">
      <c r="A243" s="18" t="str">
        <f aca="false">IF(B243="","",ROW()-2)</f>
        <v/>
      </c>
      <c r="B243" s="18" t="str">
        <f aca="false">IFERROR(INDEX(종합!B$3:B$501,MATCH(ROW()-2,종합!$AD$3:$AD$501,0))&amp;"","")</f>
        <v/>
      </c>
      <c r="C243" s="18" t="str">
        <f aca="false">IFERROR(INDEX(종합!C$3:C$501,MATCH(ROW()-2,종합!$AD$3:$AD$501,0))&amp;"","")</f>
        <v/>
      </c>
      <c r="D243" s="18" t="str">
        <f aca="false">IFERROR(INDEX(종합!D$3:D$501,MATCH(ROW()-2,종합!$AD$3:$AD$501,0))&amp;"","")</f>
        <v/>
      </c>
      <c r="E243" s="18" t="str">
        <f aca="false">IFERROR(INDEX(종합!E$3:E$501,MATCH(ROW()-2,종합!$AD$3:$AD$501,0))&amp;"","")</f>
        <v/>
      </c>
      <c r="F243" s="18" t="str">
        <f aca="false">IFERROR(INDEX(종합!F$3:F$501,MATCH(ROW()-2,종합!$AD$3:$AD$501,0))&amp;"","")</f>
        <v/>
      </c>
      <c r="G243" s="18" t="str">
        <f aca="false">IFERROR(INDEX(종합!G$3:G$501,MATCH(ROW()-2,종합!$AD$3:$AD$501,0))&amp;"","")</f>
        <v/>
      </c>
      <c r="H243" s="21" t="str">
        <f aca="false">IFERROR(INDEX(종합!H$3:H$501,MATCH(ROW()-2,종합!$AD$3:$AD$501,0))&amp;"","")</f>
        <v/>
      </c>
      <c r="I243" s="21" t="str">
        <f aca="false">IFERROR(INDEX(종합!I$3:I$501,MATCH(ROW()-2,종합!$AD$3:$AD$501,0))&amp;"","")</f>
        <v/>
      </c>
      <c r="J243" s="21" t="str">
        <f aca="false">IFERROR(INDEX(종합!J$3:J$501,MATCH(ROW()-2,종합!$AD$3:$AD$501,0))&amp;"","")</f>
        <v/>
      </c>
      <c r="K243" s="21" t="str">
        <f aca="false">IFERROR(INDEX(종합!K$3:K$501,MATCH(ROW()-2,종합!$AD$3:$AD$501,0))&amp;"","")</f>
        <v/>
      </c>
      <c r="L243" s="21" t="str">
        <f aca="false">IFERROR(INDEX(종합!L$3:L$501,MATCH(ROW()-2,종합!$AD$3:$AD$501,0))&amp;"","")</f>
        <v/>
      </c>
      <c r="M243" s="21" t="str">
        <f aca="false">IFERROR(INDEX(종합!M$3:M$501,MATCH(ROW()-2,종합!$AD$3:$AD$501,0))&amp;"","")</f>
        <v/>
      </c>
      <c r="N243" s="25" t="str">
        <f aca="false">IFERROR(INDEX(종합!N$3:N$501,MATCH(ROW()-2,종합!$AD$3:$AD$501,0))&amp;"","")</f>
        <v/>
      </c>
      <c r="O243" s="21" t="str">
        <f aca="false">IFERROR(INDEX(종합!O$3:O$501,MATCH(ROW()-2,종합!$AD$3:$AD$501,0))&amp;"","")</f>
        <v/>
      </c>
      <c r="P243" s="21" t="str">
        <f aca="false">IFERROR(INDEX(종합!P$3:P$501,MATCH(ROW()-2,종합!$AD$3:$AD$501,0))&amp;"","")</f>
        <v/>
      </c>
      <c r="Q243" s="21" t="str">
        <f aca="false">IFERROR(INDEX(종합!Q$3:Q$501,MATCH(ROW()-2,종합!$AD$3:$AD$501,0))&amp;"","")</f>
        <v/>
      </c>
      <c r="R243" s="21" t="str">
        <f aca="false">IFERROR(INDEX(종합!R$3:R$501,MATCH(ROW()-2,종합!$AD$3:$AD$501,0))&amp;"","")</f>
        <v/>
      </c>
      <c r="S243" s="21" t="str">
        <f aca="false">IFERROR(INDEX(종합!S$3:S$501,MATCH(ROW()-2,종합!$AD$3:$AD$501,0))&amp;"","")</f>
        <v/>
      </c>
      <c r="T243" s="21" t="str">
        <f aca="false">IFERROR(INDEX(종합!T$3:T$501,MATCH(ROW()-2,종합!$AD$3:$AD$501,0))&amp;"","")</f>
        <v/>
      </c>
      <c r="U243" s="21" t="str">
        <f aca="false">IFERROR(INDEX(종합!U$3:U$501,MATCH(ROW()-2,종합!$AD$3:$AD$501,0))&amp;"","")</f>
        <v/>
      </c>
      <c r="V243" s="21" t="str">
        <f aca="false">IFERROR(INDEX(종합!V$3:V$501,MATCH(ROW()-2,종합!$AD$3:$AD$501,0))&amp;"","")</f>
        <v/>
      </c>
      <c r="W243" s="21" t="str">
        <f aca="false">IFERROR(INDEX(종합!W$3:W$501,MATCH(ROW()-2,종합!$AD$3:$AD$501,0))&amp;"","")</f>
        <v/>
      </c>
      <c r="X243" s="21" t="str">
        <f aca="false">IFERROR(INDEX(종합!X$3:X$501,MATCH(ROW()-2,종합!$AD$3:$AD$501,0))&amp;"","")</f>
        <v/>
      </c>
      <c r="Y243" s="21" t="str">
        <f aca="false">IFERROR(INDEX(종합!Y$3:Y$501,MATCH(ROW()-2,종합!$AD$3:$AD$501,0))&amp;"","")</f>
        <v/>
      </c>
      <c r="Z243" s="21" t="str">
        <f aca="false">IFERROR(INDEX(종합!Z$3:Z$501,MATCH(ROW()-2,종합!$AD$3:$AD$501,0))&amp;"","")</f>
        <v/>
      </c>
      <c r="AA243" s="23" t="str">
        <f aca="false">IFERROR(INDEX(종합!AA$3:AA$501,MATCH(ROW()-2,종합!$AD$3:$AD$501,0))&amp;"","")</f>
        <v/>
      </c>
    </row>
    <row r="244" customFormat="false" ht="16.5" hidden="false" customHeight="true" outlineLevel="0" collapsed="false">
      <c r="A244" s="18" t="str">
        <f aca="false">IF(B244="","",ROW()-2)</f>
        <v/>
      </c>
      <c r="B244" s="18" t="str">
        <f aca="false">IFERROR(INDEX(종합!B$3:B$501,MATCH(ROW()-2,종합!$AD$3:$AD$501,0))&amp;"","")</f>
        <v/>
      </c>
      <c r="C244" s="18" t="str">
        <f aca="false">IFERROR(INDEX(종합!C$3:C$501,MATCH(ROW()-2,종합!$AD$3:$AD$501,0))&amp;"","")</f>
        <v/>
      </c>
      <c r="D244" s="18" t="str">
        <f aca="false">IFERROR(INDEX(종합!D$3:D$501,MATCH(ROW()-2,종합!$AD$3:$AD$501,0))&amp;"","")</f>
        <v/>
      </c>
      <c r="E244" s="18" t="str">
        <f aca="false">IFERROR(INDEX(종합!E$3:E$501,MATCH(ROW()-2,종합!$AD$3:$AD$501,0))&amp;"","")</f>
        <v/>
      </c>
      <c r="F244" s="18" t="str">
        <f aca="false">IFERROR(INDEX(종합!F$3:F$501,MATCH(ROW()-2,종합!$AD$3:$AD$501,0))&amp;"","")</f>
        <v/>
      </c>
      <c r="G244" s="18" t="str">
        <f aca="false">IFERROR(INDEX(종합!G$3:G$501,MATCH(ROW()-2,종합!$AD$3:$AD$501,0))&amp;"","")</f>
        <v/>
      </c>
      <c r="H244" s="21" t="str">
        <f aca="false">IFERROR(INDEX(종합!H$3:H$501,MATCH(ROW()-2,종합!$AD$3:$AD$501,0))&amp;"","")</f>
        <v/>
      </c>
      <c r="I244" s="21" t="str">
        <f aca="false">IFERROR(INDEX(종합!I$3:I$501,MATCH(ROW()-2,종합!$AD$3:$AD$501,0))&amp;"","")</f>
        <v/>
      </c>
      <c r="J244" s="21" t="str">
        <f aca="false">IFERROR(INDEX(종합!J$3:J$501,MATCH(ROW()-2,종합!$AD$3:$AD$501,0))&amp;"","")</f>
        <v/>
      </c>
      <c r="K244" s="21" t="str">
        <f aca="false">IFERROR(INDEX(종합!K$3:K$501,MATCH(ROW()-2,종합!$AD$3:$AD$501,0))&amp;"","")</f>
        <v/>
      </c>
      <c r="L244" s="21" t="str">
        <f aca="false">IFERROR(INDEX(종합!L$3:L$501,MATCH(ROW()-2,종합!$AD$3:$AD$501,0))&amp;"","")</f>
        <v/>
      </c>
      <c r="M244" s="21" t="str">
        <f aca="false">IFERROR(INDEX(종합!M$3:M$501,MATCH(ROW()-2,종합!$AD$3:$AD$501,0))&amp;"","")</f>
        <v/>
      </c>
      <c r="N244" s="25" t="str">
        <f aca="false">IFERROR(INDEX(종합!N$3:N$501,MATCH(ROW()-2,종합!$AD$3:$AD$501,0))&amp;"","")</f>
        <v/>
      </c>
      <c r="O244" s="21" t="str">
        <f aca="false">IFERROR(INDEX(종합!O$3:O$501,MATCH(ROW()-2,종합!$AD$3:$AD$501,0))&amp;"","")</f>
        <v/>
      </c>
      <c r="P244" s="21" t="str">
        <f aca="false">IFERROR(INDEX(종합!P$3:P$501,MATCH(ROW()-2,종합!$AD$3:$AD$501,0))&amp;"","")</f>
        <v/>
      </c>
      <c r="Q244" s="21" t="str">
        <f aca="false">IFERROR(INDEX(종합!Q$3:Q$501,MATCH(ROW()-2,종합!$AD$3:$AD$501,0))&amp;"","")</f>
        <v/>
      </c>
      <c r="R244" s="21" t="str">
        <f aca="false">IFERROR(INDEX(종합!R$3:R$501,MATCH(ROW()-2,종합!$AD$3:$AD$501,0))&amp;"","")</f>
        <v/>
      </c>
      <c r="S244" s="21" t="str">
        <f aca="false">IFERROR(INDEX(종합!S$3:S$501,MATCH(ROW()-2,종합!$AD$3:$AD$501,0))&amp;"","")</f>
        <v/>
      </c>
      <c r="T244" s="21" t="str">
        <f aca="false">IFERROR(INDEX(종합!T$3:T$501,MATCH(ROW()-2,종합!$AD$3:$AD$501,0))&amp;"","")</f>
        <v/>
      </c>
      <c r="U244" s="21" t="str">
        <f aca="false">IFERROR(INDEX(종합!U$3:U$501,MATCH(ROW()-2,종합!$AD$3:$AD$501,0))&amp;"","")</f>
        <v/>
      </c>
      <c r="V244" s="21" t="str">
        <f aca="false">IFERROR(INDEX(종합!V$3:V$501,MATCH(ROW()-2,종합!$AD$3:$AD$501,0))&amp;"","")</f>
        <v/>
      </c>
      <c r="W244" s="21" t="str">
        <f aca="false">IFERROR(INDEX(종합!W$3:W$501,MATCH(ROW()-2,종합!$AD$3:$AD$501,0))&amp;"","")</f>
        <v/>
      </c>
      <c r="X244" s="21" t="str">
        <f aca="false">IFERROR(INDEX(종합!X$3:X$501,MATCH(ROW()-2,종합!$AD$3:$AD$501,0))&amp;"","")</f>
        <v/>
      </c>
      <c r="Y244" s="21" t="str">
        <f aca="false">IFERROR(INDEX(종합!Y$3:Y$501,MATCH(ROW()-2,종합!$AD$3:$AD$501,0))&amp;"","")</f>
        <v/>
      </c>
      <c r="Z244" s="21" t="str">
        <f aca="false">IFERROR(INDEX(종합!Z$3:Z$501,MATCH(ROW()-2,종합!$AD$3:$AD$501,0))&amp;"","")</f>
        <v/>
      </c>
      <c r="AA244" s="23" t="str">
        <f aca="false">IFERROR(INDEX(종합!AA$3:AA$501,MATCH(ROW()-2,종합!$AD$3:$AD$501,0))&amp;"","")</f>
        <v/>
      </c>
    </row>
    <row r="245" customFormat="false" ht="16.5" hidden="false" customHeight="true" outlineLevel="0" collapsed="false">
      <c r="A245" s="18" t="str">
        <f aca="false">IF(B245="","",ROW()-2)</f>
        <v/>
      </c>
      <c r="B245" s="18" t="str">
        <f aca="false">IFERROR(INDEX(종합!B$3:B$501,MATCH(ROW()-2,종합!$AD$3:$AD$501,0))&amp;"","")</f>
        <v/>
      </c>
      <c r="C245" s="18" t="str">
        <f aca="false">IFERROR(INDEX(종합!C$3:C$501,MATCH(ROW()-2,종합!$AD$3:$AD$501,0))&amp;"","")</f>
        <v/>
      </c>
      <c r="D245" s="18" t="str">
        <f aca="false">IFERROR(INDEX(종합!D$3:D$501,MATCH(ROW()-2,종합!$AD$3:$AD$501,0))&amp;"","")</f>
        <v/>
      </c>
      <c r="E245" s="18" t="str">
        <f aca="false">IFERROR(INDEX(종합!E$3:E$501,MATCH(ROW()-2,종합!$AD$3:$AD$501,0))&amp;"","")</f>
        <v/>
      </c>
      <c r="F245" s="18" t="str">
        <f aca="false">IFERROR(INDEX(종합!F$3:F$501,MATCH(ROW()-2,종합!$AD$3:$AD$501,0))&amp;"","")</f>
        <v/>
      </c>
      <c r="G245" s="18" t="str">
        <f aca="false">IFERROR(INDEX(종합!G$3:G$501,MATCH(ROW()-2,종합!$AD$3:$AD$501,0))&amp;"","")</f>
        <v/>
      </c>
      <c r="H245" s="21" t="str">
        <f aca="false">IFERROR(INDEX(종합!H$3:H$501,MATCH(ROW()-2,종합!$AD$3:$AD$501,0))&amp;"","")</f>
        <v/>
      </c>
      <c r="I245" s="21" t="str">
        <f aca="false">IFERROR(INDEX(종합!I$3:I$501,MATCH(ROW()-2,종합!$AD$3:$AD$501,0))&amp;"","")</f>
        <v/>
      </c>
      <c r="J245" s="21" t="str">
        <f aca="false">IFERROR(INDEX(종합!J$3:J$501,MATCH(ROW()-2,종합!$AD$3:$AD$501,0))&amp;"","")</f>
        <v/>
      </c>
      <c r="K245" s="21" t="str">
        <f aca="false">IFERROR(INDEX(종합!K$3:K$501,MATCH(ROW()-2,종합!$AD$3:$AD$501,0))&amp;"","")</f>
        <v/>
      </c>
      <c r="L245" s="21" t="str">
        <f aca="false">IFERROR(INDEX(종합!L$3:L$501,MATCH(ROW()-2,종합!$AD$3:$AD$501,0))&amp;"","")</f>
        <v/>
      </c>
      <c r="M245" s="21" t="str">
        <f aca="false">IFERROR(INDEX(종합!M$3:M$501,MATCH(ROW()-2,종합!$AD$3:$AD$501,0))&amp;"","")</f>
        <v/>
      </c>
      <c r="N245" s="25" t="str">
        <f aca="false">IFERROR(INDEX(종합!N$3:N$501,MATCH(ROW()-2,종합!$AD$3:$AD$501,0))&amp;"","")</f>
        <v/>
      </c>
      <c r="O245" s="21" t="str">
        <f aca="false">IFERROR(INDEX(종합!O$3:O$501,MATCH(ROW()-2,종합!$AD$3:$AD$501,0))&amp;"","")</f>
        <v/>
      </c>
      <c r="P245" s="21" t="str">
        <f aca="false">IFERROR(INDEX(종합!P$3:P$501,MATCH(ROW()-2,종합!$AD$3:$AD$501,0))&amp;"","")</f>
        <v/>
      </c>
      <c r="Q245" s="21" t="str">
        <f aca="false">IFERROR(INDEX(종합!Q$3:Q$501,MATCH(ROW()-2,종합!$AD$3:$AD$501,0))&amp;"","")</f>
        <v/>
      </c>
      <c r="R245" s="21" t="str">
        <f aca="false">IFERROR(INDEX(종합!R$3:R$501,MATCH(ROW()-2,종합!$AD$3:$AD$501,0))&amp;"","")</f>
        <v/>
      </c>
      <c r="S245" s="21" t="str">
        <f aca="false">IFERROR(INDEX(종합!S$3:S$501,MATCH(ROW()-2,종합!$AD$3:$AD$501,0))&amp;"","")</f>
        <v/>
      </c>
      <c r="T245" s="21" t="str">
        <f aca="false">IFERROR(INDEX(종합!T$3:T$501,MATCH(ROW()-2,종합!$AD$3:$AD$501,0))&amp;"","")</f>
        <v/>
      </c>
      <c r="U245" s="21" t="str">
        <f aca="false">IFERROR(INDEX(종합!U$3:U$501,MATCH(ROW()-2,종합!$AD$3:$AD$501,0))&amp;"","")</f>
        <v/>
      </c>
      <c r="V245" s="21" t="str">
        <f aca="false">IFERROR(INDEX(종합!V$3:V$501,MATCH(ROW()-2,종합!$AD$3:$AD$501,0))&amp;"","")</f>
        <v/>
      </c>
      <c r="W245" s="21" t="str">
        <f aca="false">IFERROR(INDEX(종합!W$3:W$501,MATCH(ROW()-2,종합!$AD$3:$AD$501,0))&amp;"","")</f>
        <v/>
      </c>
      <c r="X245" s="21" t="str">
        <f aca="false">IFERROR(INDEX(종합!X$3:X$501,MATCH(ROW()-2,종합!$AD$3:$AD$501,0))&amp;"","")</f>
        <v/>
      </c>
      <c r="Y245" s="21" t="str">
        <f aca="false">IFERROR(INDEX(종합!Y$3:Y$501,MATCH(ROW()-2,종합!$AD$3:$AD$501,0))&amp;"","")</f>
        <v/>
      </c>
      <c r="Z245" s="21" t="str">
        <f aca="false">IFERROR(INDEX(종합!Z$3:Z$501,MATCH(ROW()-2,종합!$AD$3:$AD$501,0))&amp;"","")</f>
        <v/>
      </c>
      <c r="AA245" s="23" t="str">
        <f aca="false">IFERROR(INDEX(종합!AA$3:AA$501,MATCH(ROW()-2,종합!$AD$3:$AD$501,0))&amp;"","")</f>
        <v/>
      </c>
    </row>
    <row r="246" customFormat="false" ht="16.5" hidden="false" customHeight="true" outlineLevel="0" collapsed="false">
      <c r="A246" s="18" t="str">
        <f aca="false">IF(B246="","",ROW()-2)</f>
        <v/>
      </c>
      <c r="B246" s="18" t="str">
        <f aca="false">IFERROR(INDEX(종합!B$3:B$501,MATCH(ROW()-2,종합!$AD$3:$AD$501,0))&amp;"","")</f>
        <v/>
      </c>
      <c r="C246" s="18" t="str">
        <f aca="false">IFERROR(INDEX(종합!C$3:C$501,MATCH(ROW()-2,종합!$AD$3:$AD$501,0))&amp;"","")</f>
        <v/>
      </c>
      <c r="D246" s="18" t="str">
        <f aca="false">IFERROR(INDEX(종합!D$3:D$501,MATCH(ROW()-2,종합!$AD$3:$AD$501,0))&amp;"","")</f>
        <v/>
      </c>
      <c r="E246" s="18" t="str">
        <f aca="false">IFERROR(INDEX(종합!E$3:E$501,MATCH(ROW()-2,종합!$AD$3:$AD$501,0))&amp;"","")</f>
        <v/>
      </c>
      <c r="F246" s="18" t="str">
        <f aca="false">IFERROR(INDEX(종합!F$3:F$501,MATCH(ROW()-2,종합!$AD$3:$AD$501,0))&amp;"","")</f>
        <v/>
      </c>
      <c r="G246" s="18" t="str">
        <f aca="false">IFERROR(INDEX(종합!G$3:G$501,MATCH(ROW()-2,종합!$AD$3:$AD$501,0))&amp;"","")</f>
        <v/>
      </c>
      <c r="H246" s="21" t="str">
        <f aca="false">IFERROR(INDEX(종합!H$3:H$501,MATCH(ROW()-2,종합!$AD$3:$AD$501,0))&amp;"","")</f>
        <v/>
      </c>
      <c r="I246" s="21" t="str">
        <f aca="false">IFERROR(INDEX(종합!I$3:I$501,MATCH(ROW()-2,종합!$AD$3:$AD$501,0))&amp;"","")</f>
        <v/>
      </c>
      <c r="J246" s="21" t="str">
        <f aca="false">IFERROR(INDEX(종합!J$3:J$501,MATCH(ROW()-2,종합!$AD$3:$AD$501,0))&amp;"","")</f>
        <v/>
      </c>
      <c r="K246" s="21" t="str">
        <f aca="false">IFERROR(INDEX(종합!K$3:K$501,MATCH(ROW()-2,종합!$AD$3:$AD$501,0))&amp;"","")</f>
        <v/>
      </c>
      <c r="L246" s="21" t="str">
        <f aca="false">IFERROR(INDEX(종합!L$3:L$501,MATCH(ROW()-2,종합!$AD$3:$AD$501,0))&amp;"","")</f>
        <v/>
      </c>
      <c r="M246" s="21" t="str">
        <f aca="false">IFERROR(INDEX(종합!M$3:M$501,MATCH(ROW()-2,종합!$AD$3:$AD$501,0))&amp;"","")</f>
        <v/>
      </c>
      <c r="N246" s="25" t="str">
        <f aca="false">IFERROR(INDEX(종합!N$3:N$501,MATCH(ROW()-2,종합!$AD$3:$AD$501,0))&amp;"","")</f>
        <v/>
      </c>
      <c r="O246" s="21" t="str">
        <f aca="false">IFERROR(INDEX(종합!O$3:O$501,MATCH(ROW()-2,종합!$AD$3:$AD$501,0))&amp;"","")</f>
        <v/>
      </c>
      <c r="P246" s="21" t="str">
        <f aca="false">IFERROR(INDEX(종합!P$3:P$501,MATCH(ROW()-2,종합!$AD$3:$AD$501,0))&amp;"","")</f>
        <v/>
      </c>
      <c r="Q246" s="21" t="str">
        <f aca="false">IFERROR(INDEX(종합!Q$3:Q$501,MATCH(ROW()-2,종합!$AD$3:$AD$501,0))&amp;"","")</f>
        <v/>
      </c>
      <c r="R246" s="21" t="str">
        <f aca="false">IFERROR(INDEX(종합!R$3:R$501,MATCH(ROW()-2,종합!$AD$3:$AD$501,0))&amp;"","")</f>
        <v/>
      </c>
      <c r="S246" s="21" t="str">
        <f aca="false">IFERROR(INDEX(종합!S$3:S$501,MATCH(ROW()-2,종합!$AD$3:$AD$501,0))&amp;"","")</f>
        <v/>
      </c>
      <c r="T246" s="21" t="str">
        <f aca="false">IFERROR(INDEX(종합!T$3:T$501,MATCH(ROW()-2,종합!$AD$3:$AD$501,0))&amp;"","")</f>
        <v/>
      </c>
      <c r="U246" s="21" t="str">
        <f aca="false">IFERROR(INDEX(종합!U$3:U$501,MATCH(ROW()-2,종합!$AD$3:$AD$501,0))&amp;"","")</f>
        <v/>
      </c>
      <c r="V246" s="21" t="str">
        <f aca="false">IFERROR(INDEX(종합!V$3:V$501,MATCH(ROW()-2,종합!$AD$3:$AD$501,0))&amp;"","")</f>
        <v/>
      </c>
      <c r="W246" s="21" t="str">
        <f aca="false">IFERROR(INDEX(종합!W$3:W$501,MATCH(ROW()-2,종합!$AD$3:$AD$501,0))&amp;"","")</f>
        <v/>
      </c>
      <c r="X246" s="21" t="str">
        <f aca="false">IFERROR(INDEX(종합!X$3:X$501,MATCH(ROW()-2,종합!$AD$3:$AD$501,0))&amp;"","")</f>
        <v/>
      </c>
      <c r="Y246" s="21" t="str">
        <f aca="false">IFERROR(INDEX(종합!Y$3:Y$501,MATCH(ROW()-2,종합!$AD$3:$AD$501,0))&amp;"","")</f>
        <v/>
      </c>
      <c r="Z246" s="21" t="str">
        <f aca="false">IFERROR(INDEX(종합!Z$3:Z$501,MATCH(ROW()-2,종합!$AD$3:$AD$501,0))&amp;"","")</f>
        <v/>
      </c>
      <c r="AA246" s="23" t="str">
        <f aca="false">IFERROR(INDEX(종합!AA$3:AA$501,MATCH(ROW()-2,종합!$AD$3:$AD$501,0))&amp;"","")</f>
        <v/>
      </c>
    </row>
    <row r="247" customFormat="false" ht="16.5" hidden="false" customHeight="true" outlineLevel="0" collapsed="false">
      <c r="A247" s="18" t="str">
        <f aca="false">IF(B247="","",ROW()-2)</f>
        <v/>
      </c>
      <c r="B247" s="18" t="str">
        <f aca="false">IFERROR(INDEX(종합!B$3:B$501,MATCH(ROW()-2,종합!$AD$3:$AD$501,0))&amp;"","")</f>
        <v/>
      </c>
      <c r="C247" s="18" t="str">
        <f aca="false">IFERROR(INDEX(종합!C$3:C$501,MATCH(ROW()-2,종합!$AD$3:$AD$501,0))&amp;"","")</f>
        <v/>
      </c>
      <c r="D247" s="18" t="str">
        <f aca="false">IFERROR(INDEX(종합!D$3:D$501,MATCH(ROW()-2,종합!$AD$3:$AD$501,0))&amp;"","")</f>
        <v/>
      </c>
      <c r="E247" s="18" t="str">
        <f aca="false">IFERROR(INDEX(종합!E$3:E$501,MATCH(ROW()-2,종합!$AD$3:$AD$501,0))&amp;"","")</f>
        <v/>
      </c>
      <c r="F247" s="18" t="str">
        <f aca="false">IFERROR(INDEX(종합!F$3:F$501,MATCH(ROW()-2,종합!$AD$3:$AD$501,0))&amp;"","")</f>
        <v/>
      </c>
      <c r="G247" s="18" t="str">
        <f aca="false">IFERROR(INDEX(종합!G$3:G$501,MATCH(ROW()-2,종합!$AD$3:$AD$501,0))&amp;"","")</f>
        <v/>
      </c>
      <c r="H247" s="21" t="str">
        <f aca="false">IFERROR(INDEX(종합!H$3:H$501,MATCH(ROW()-2,종합!$AD$3:$AD$501,0))&amp;"","")</f>
        <v/>
      </c>
      <c r="I247" s="21" t="str">
        <f aca="false">IFERROR(INDEX(종합!I$3:I$501,MATCH(ROW()-2,종합!$AD$3:$AD$501,0))&amp;"","")</f>
        <v/>
      </c>
      <c r="J247" s="21" t="str">
        <f aca="false">IFERROR(INDEX(종합!J$3:J$501,MATCH(ROW()-2,종합!$AD$3:$AD$501,0))&amp;"","")</f>
        <v/>
      </c>
      <c r="K247" s="21" t="str">
        <f aca="false">IFERROR(INDEX(종합!K$3:K$501,MATCH(ROW()-2,종합!$AD$3:$AD$501,0))&amp;"","")</f>
        <v/>
      </c>
      <c r="L247" s="21" t="str">
        <f aca="false">IFERROR(INDEX(종합!L$3:L$501,MATCH(ROW()-2,종합!$AD$3:$AD$501,0))&amp;"","")</f>
        <v/>
      </c>
      <c r="M247" s="21" t="str">
        <f aca="false">IFERROR(INDEX(종합!M$3:M$501,MATCH(ROW()-2,종합!$AD$3:$AD$501,0))&amp;"","")</f>
        <v/>
      </c>
      <c r="N247" s="25" t="str">
        <f aca="false">IFERROR(INDEX(종합!N$3:N$501,MATCH(ROW()-2,종합!$AD$3:$AD$501,0))&amp;"","")</f>
        <v/>
      </c>
      <c r="O247" s="21" t="str">
        <f aca="false">IFERROR(INDEX(종합!O$3:O$501,MATCH(ROW()-2,종합!$AD$3:$AD$501,0))&amp;"","")</f>
        <v/>
      </c>
      <c r="P247" s="21" t="str">
        <f aca="false">IFERROR(INDEX(종합!P$3:P$501,MATCH(ROW()-2,종합!$AD$3:$AD$501,0))&amp;"","")</f>
        <v/>
      </c>
      <c r="Q247" s="21" t="str">
        <f aca="false">IFERROR(INDEX(종합!Q$3:Q$501,MATCH(ROW()-2,종합!$AD$3:$AD$501,0))&amp;"","")</f>
        <v/>
      </c>
      <c r="R247" s="21" t="str">
        <f aca="false">IFERROR(INDEX(종합!R$3:R$501,MATCH(ROW()-2,종합!$AD$3:$AD$501,0))&amp;"","")</f>
        <v/>
      </c>
      <c r="S247" s="21" t="str">
        <f aca="false">IFERROR(INDEX(종합!S$3:S$501,MATCH(ROW()-2,종합!$AD$3:$AD$501,0))&amp;"","")</f>
        <v/>
      </c>
      <c r="T247" s="21" t="str">
        <f aca="false">IFERROR(INDEX(종합!T$3:T$501,MATCH(ROW()-2,종합!$AD$3:$AD$501,0))&amp;"","")</f>
        <v/>
      </c>
      <c r="U247" s="21" t="str">
        <f aca="false">IFERROR(INDEX(종합!U$3:U$501,MATCH(ROW()-2,종합!$AD$3:$AD$501,0))&amp;"","")</f>
        <v/>
      </c>
      <c r="V247" s="21" t="str">
        <f aca="false">IFERROR(INDEX(종합!V$3:V$501,MATCH(ROW()-2,종합!$AD$3:$AD$501,0))&amp;"","")</f>
        <v/>
      </c>
      <c r="W247" s="21" t="str">
        <f aca="false">IFERROR(INDEX(종합!W$3:W$501,MATCH(ROW()-2,종합!$AD$3:$AD$501,0))&amp;"","")</f>
        <v/>
      </c>
      <c r="X247" s="21" t="str">
        <f aca="false">IFERROR(INDEX(종합!X$3:X$501,MATCH(ROW()-2,종합!$AD$3:$AD$501,0))&amp;"","")</f>
        <v/>
      </c>
      <c r="Y247" s="21" t="str">
        <f aca="false">IFERROR(INDEX(종합!Y$3:Y$501,MATCH(ROW()-2,종합!$AD$3:$AD$501,0))&amp;"","")</f>
        <v/>
      </c>
      <c r="Z247" s="21" t="str">
        <f aca="false">IFERROR(INDEX(종합!Z$3:Z$501,MATCH(ROW()-2,종합!$AD$3:$AD$501,0))&amp;"","")</f>
        <v/>
      </c>
      <c r="AA247" s="23" t="str">
        <f aca="false">IFERROR(INDEX(종합!AA$3:AA$501,MATCH(ROW()-2,종합!$AD$3:$AD$501,0))&amp;"","")</f>
        <v/>
      </c>
    </row>
    <row r="248" customFormat="false" ht="16.5" hidden="false" customHeight="true" outlineLevel="0" collapsed="false">
      <c r="A248" s="18" t="str">
        <f aca="false">IF(B248="","",ROW()-2)</f>
        <v/>
      </c>
      <c r="B248" s="18" t="str">
        <f aca="false">IFERROR(INDEX(종합!B$3:B$501,MATCH(ROW()-2,종합!$AD$3:$AD$501,0))&amp;"","")</f>
        <v/>
      </c>
      <c r="C248" s="18" t="str">
        <f aca="false">IFERROR(INDEX(종합!C$3:C$501,MATCH(ROW()-2,종합!$AD$3:$AD$501,0))&amp;"","")</f>
        <v/>
      </c>
      <c r="D248" s="18" t="str">
        <f aca="false">IFERROR(INDEX(종합!D$3:D$501,MATCH(ROW()-2,종합!$AD$3:$AD$501,0))&amp;"","")</f>
        <v/>
      </c>
      <c r="E248" s="18" t="str">
        <f aca="false">IFERROR(INDEX(종합!E$3:E$501,MATCH(ROW()-2,종합!$AD$3:$AD$501,0))&amp;"","")</f>
        <v/>
      </c>
      <c r="F248" s="18" t="str">
        <f aca="false">IFERROR(INDEX(종합!F$3:F$501,MATCH(ROW()-2,종합!$AD$3:$AD$501,0))&amp;"","")</f>
        <v/>
      </c>
      <c r="G248" s="18" t="str">
        <f aca="false">IFERROR(INDEX(종합!G$3:G$501,MATCH(ROW()-2,종합!$AD$3:$AD$501,0))&amp;"","")</f>
        <v/>
      </c>
      <c r="H248" s="21" t="str">
        <f aca="false">IFERROR(INDEX(종합!H$3:H$501,MATCH(ROW()-2,종합!$AD$3:$AD$501,0))&amp;"","")</f>
        <v/>
      </c>
      <c r="I248" s="21" t="str">
        <f aca="false">IFERROR(INDEX(종합!I$3:I$501,MATCH(ROW()-2,종합!$AD$3:$AD$501,0))&amp;"","")</f>
        <v/>
      </c>
      <c r="J248" s="21" t="str">
        <f aca="false">IFERROR(INDEX(종합!J$3:J$501,MATCH(ROW()-2,종합!$AD$3:$AD$501,0))&amp;"","")</f>
        <v/>
      </c>
      <c r="K248" s="21" t="str">
        <f aca="false">IFERROR(INDEX(종합!K$3:K$501,MATCH(ROW()-2,종합!$AD$3:$AD$501,0))&amp;"","")</f>
        <v/>
      </c>
      <c r="L248" s="21" t="str">
        <f aca="false">IFERROR(INDEX(종합!L$3:L$501,MATCH(ROW()-2,종합!$AD$3:$AD$501,0))&amp;"","")</f>
        <v/>
      </c>
      <c r="M248" s="21" t="str">
        <f aca="false">IFERROR(INDEX(종합!M$3:M$501,MATCH(ROW()-2,종합!$AD$3:$AD$501,0))&amp;"","")</f>
        <v/>
      </c>
      <c r="N248" s="25" t="str">
        <f aca="false">IFERROR(INDEX(종합!N$3:N$501,MATCH(ROW()-2,종합!$AD$3:$AD$501,0))&amp;"","")</f>
        <v/>
      </c>
      <c r="O248" s="21" t="str">
        <f aca="false">IFERROR(INDEX(종합!O$3:O$501,MATCH(ROW()-2,종합!$AD$3:$AD$501,0))&amp;"","")</f>
        <v/>
      </c>
      <c r="P248" s="21" t="str">
        <f aca="false">IFERROR(INDEX(종합!P$3:P$501,MATCH(ROW()-2,종합!$AD$3:$AD$501,0))&amp;"","")</f>
        <v/>
      </c>
      <c r="Q248" s="21" t="str">
        <f aca="false">IFERROR(INDEX(종합!Q$3:Q$501,MATCH(ROW()-2,종합!$AD$3:$AD$501,0))&amp;"","")</f>
        <v/>
      </c>
      <c r="R248" s="21" t="str">
        <f aca="false">IFERROR(INDEX(종합!R$3:R$501,MATCH(ROW()-2,종합!$AD$3:$AD$501,0))&amp;"","")</f>
        <v/>
      </c>
      <c r="S248" s="21" t="str">
        <f aca="false">IFERROR(INDEX(종합!S$3:S$501,MATCH(ROW()-2,종합!$AD$3:$AD$501,0))&amp;"","")</f>
        <v/>
      </c>
      <c r="T248" s="21" t="str">
        <f aca="false">IFERROR(INDEX(종합!T$3:T$501,MATCH(ROW()-2,종합!$AD$3:$AD$501,0))&amp;"","")</f>
        <v/>
      </c>
      <c r="U248" s="21" t="str">
        <f aca="false">IFERROR(INDEX(종합!U$3:U$501,MATCH(ROW()-2,종합!$AD$3:$AD$501,0))&amp;"","")</f>
        <v/>
      </c>
      <c r="V248" s="21" t="str">
        <f aca="false">IFERROR(INDEX(종합!V$3:V$501,MATCH(ROW()-2,종합!$AD$3:$AD$501,0))&amp;"","")</f>
        <v/>
      </c>
      <c r="W248" s="21" t="str">
        <f aca="false">IFERROR(INDEX(종합!W$3:W$501,MATCH(ROW()-2,종합!$AD$3:$AD$501,0))&amp;"","")</f>
        <v/>
      </c>
      <c r="X248" s="21" t="str">
        <f aca="false">IFERROR(INDEX(종합!X$3:X$501,MATCH(ROW()-2,종합!$AD$3:$AD$501,0))&amp;"","")</f>
        <v/>
      </c>
      <c r="Y248" s="21" t="str">
        <f aca="false">IFERROR(INDEX(종합!Y$3:Y$501,MATCH(ROW()-2,종합!$AD$3:$AD$501,0))&amp;"","")</f>
        <v/>
      </c>
      <c r="Z248" s="21" t="str">
        <f aca="false">IFERROR(INDEX(종합!Z$3:Z$501,MATCH(ROW()-2,종합!$AD$3:$AD$501,0))&amp;"","")</f>
        <v/>
      </c>
      <c r="AA248" s="23" t="str">
        <f aca="false">IFERROR(INDEX(종합!AA$3:AA$501,MATCH(ROW()-2,종합!$AD$3:$AD$501,0))&amp;"","")</f>
        <v/>
      </c>
    </row>
    <row r="249" customFormat="false" ht="16.5" hidden="false" customHeight="true" outlineLevel="0" collapsed="false">
      <c r="A249" s="18" t="str">
        <f aca="false">IF(B249="","",ROW()-2)</f>
        <v/>
      </c>
      <c r="B249" s="18" t="str">
        <f aca="false">IFERROR(INDEX(종합!B$3:B$501,MATCH(ROW()-2,종합!$AD$3:$AD$501,0))&amp;"","")</f>
        <v/>
      </c>
      <c r="C249" s="18" t="str">
        <f aca="false">IFERROR(INDEX(종합!C$3:C$501,MATCH(ROW()-2,종합!$AD$3:$AD$501,0))&amp;"","")</f>
        <v/>
      </c>
      <c r="D249" s="18" t="str">
        <f aca="false">IFERROR(INDEX(종합!D$3:D$501,MATCH(ROW()-2,종합!$AD$3:$AD$501,0))&amp;"","")</f>
        <v/>
      </c>
      <c r="E249" s="18" t="str">
        <f aca="false">IFERROR(INDEX(종합!E$3:E$501,MATCH(ROW()-2,종합!$AD$3:$AD$501,0))&amp;"","")</f>
        <v/>
      </c>
      <c r="F249" s="18" t="str">
        <f aca="false">IFERROR(INDEX(종합!F$3:F$501,MATCH(ROW()-2,종합!$AD$3:$AD$501,0))&amp;"","")</f>
        <v/>
      </c>
      <c r="G249" s="18" t="str">
        <f aca="false">IFERROR(INDEX(종합!G$3:G$501,MATCH(ROW()-2,종합!$AD$3:$AD$501,0))&amp;"","")</f>
        <v/>
      </c>
      <c r="H249" s="21" t="str">
        <f aca="false">IFERROR(INDEX(종합!H$3:H$501,MATCH(ROW()-2,종합!$AD$3:$AD$501,0))&amp;"","")</f>
        <v/>
      </c>
      <c r="I249" s="21" t="str">
        <f aca="false">IFERROR(INDEX(종합!I$3:I$501,MATCH(ROW()-2,종합!$AD$3:$AD$501,0))&amp;"","")</f>
        <v/>
      </c>
      <c r="J249" s="21" t="str">
        <f aca="false">IFERROR(INDEX(종합!J$3:J$501,MATCH(ROW()-2,종합!$AD$3:$AD$501,0))&amp;"","")</f>
        <v/>
      </c>
      <c r="K249" s="21" t="str">
        <f aca="false">IFERROR(INDEX(종합!K$3:K$501,MATCH(ROW()-2,종합!$AD$3:$AD$501,0))&amp;"","")</f>
        <v/>
      </c>
      <c r="L249" s="21" t="str">
        <f aca="false">IFERROR(INDEX(종합!L$3:L$501,MATCH(ROW()-2,종합!$AD$3:$AD$501,0))&amp;"","")</f>
        <v/>
      </c>
      <c r="M249" s="21" t="str">
        <f aca="false">IFERROR(INDEX(종합!M$3:M$501,MATCH(ROW()-2,종합!$AD$3:$AD$501,0))&amp;"","")</f>
        <v/>
      </c>
      <c r="N249" s="25" t="str">
        <f aca="false">IFERROR(INDEX(종합!N$3:N$501,MATCH(ROW()-2,종합!$AD$3:$AD$501,0))&amp;"","")</f>
        <v/>
      </c>
      <c r="O249" s="21" t="str">
        <f aca="false">IFERROR(INDEX(종합!O$3:O$501,MATCH(ROW()-2,종합!$AD$3:$AD$501,0))&amp;"","")</f>
        <v/>
      </c>
      <c r="P249" s="21" t="str">
        <f aca="false">IFERROR(INDEX(종합!P$3:P$501,MATCH(ROW()-2,종합!$AD$3:$AD$501,0))&amp;"","")</f>
        <v/>
      </c>
      <c r="Q249" s="21" t="str">
        <f aca="false">IFERROR(INDEX(종합!Q$3:Q$501,MATCH(ROW()-2,종합!$AD$3:$AD$501,0))&amp;"","")</f>
        <v/>
      </c>
      <c r="R249" s="21" t="str">
        <f aca="false">IFERROR(INDEX(종합!R$3:R$501,MATCH(ROW()-2,종합!$AD$3:$AD$501,0))&amp;"","")</f>
        <v/>
      </c>
      <c r="S249" s="21" t="str">
        <f aca="false">IFERROR(INDEX(종합!S$3:S$501,MATCH(ROW()-2,종합!$AD$3:$AD$501,0))&amp;"","")</f>
        <v/>
      </c>
      <c r="T249" s="21" t="str">
        <f aca="false">IFERROR(INDEX(종합!T$3:T$501,MATCH(ROW()-2,종합!$AD$3:$AD$501,0))&amp;"","")</f>
        <v/>
      </c>
      <c r="U249" s="21" t="str">
        <f aca="false">IFERROR(INDEX(종합!U$3:U$501,MATCH(ROW()-2,종합!$AD$3:$AD$501,0))&amp;"","")</f>
        <v/>
      </c>
      <c r="V249" s="21" t="str">
        <f aca="false">IFERROR(INDEX(종합!V$3:V$501,MATCH(ROW()-2,종합!$AD$3:$AD$501,0))&amp;"","")</f>
        <v/>
      </c>
      <c r="W249" s="21" t="str">
        <f aca="false">IFERROR(INDEX(종합!W$3:W$501,MATCH(ROW()-2,종합!$AD$3:$AD$501,0))&amp;"","")</f>
        <v/>
      </c>
      <c r="X249" s="21" t="str">
        <f aca="false">IFERROR(INDEX(종합!X$3:X$501,MATCH(ROW()-2,종합!$AD$3:$AD$501,0))&amp;"","")</f>
        <v/>
      </c>
      <c r="Y249" s="21" t="str">
        <f aca="false">IFERROR(INDEX(종합!Y$3:Y$501,MATCH(ROW()-2,종합!$AD$3:$AD$501,0))&amp;"","")</f>
        <v/>
      </c>
      <c r="Z249" s="21" t="str">
        <f aca="false">IFERROR(INDEX(종합!Z$3:Z$501,MATCH(ROW()-2,종합!$AD$3:$AD$501,0))&amp;"","")</f>
        <v/>
      </c>
      <c r="AA249" s="23" t="str">
        <f aca="false">IFERROR(INDEX(종합!AA$3:AA$501,MATCH(ROW()-2,종합!$AD$3:$AD$501,0))&amp;"","")</f>
        <v/>
      </c>
    </row>
    <row r="250" customFormat="false" ht="16.5" hidden="false" customHeight="true" outlineLevel="0" collapsed="false">
      <c r="A250" s="18" t="str">
        <f aca="false">IF(B250="","",ROW()-2)</f>
        <v/>
      </c>
      <c r="B250" s="18" t="str">
        <f aca="false">IFERROR(INDEX(종합!B$3:B$501,MATCH(ROW()-2,종합!$AD$3:$AD$501,0))&amp;"","")</f>
        <v/>
      </c>
      <c r="C250" s="18" t="str">
        <f aca="false">IFERROR(INDEX(종합!C$3:C$501,MATCH(ROW()-2,종합!$AD$3:$AD$501,0))&amp;"","")</f>
        <v/>
      </c>
      <c r="D250" s="18" t="str">
        <f aca="false">IFERROR(INDEX(종합!D$3:D$501,MATCH(ROW()-2,종합!$AD$3:$AD$501,0))&amp;"","")</f>
        <v/>
      </c>
      <c r="E250" s="18" t="str">
        <f aca="false">IFERROR(INDEX(종합!E$3:E$501,MATCH(ROW()-2,종합!$AD$3:$AD$501,0))&amp;"","")</f>
        <v/>
      </c>
      <c r="F250" s="18" t="str">
        <f aca="false">IFERROR(INDEX(종합!F$3:F$501,MATCH(ROW()-2,종합!$AD$3:$AD$501,0))&amp;"","")</f>
        <v/>
      </c>
      <c r="G250" s="18" t="str">
        <f aca="false">IFERROR(INDEX(종합!G$3:G$501,MATCH(ROW()-2,종합!$AD$3:$AD$501,0))&amp;"","")</f>
        <v/>
      </c>
      <c r="H250" s="21" t="str">
        <f aca="false">IFERROR(INDEX(종합!H$3:H$501,MATCH(ROW()-2,종합!$AD$3:$AD$501,0))&amp;"","")</f>
        <v/>
      </c>
      <c r="I250" s="21" t="str">
        <f aca="false">IFERROR(INDEX(종합!I$3:I$501,MATCH(ROW()-2,종합!$AD$3:$AD$501,0))&amp;"","")</f>
        <v/>
      </c>
      <c r="J250" s="21" t="str">
        <f aca="false">IFERROR(INDEX(종합!J$3:J$501,MATCH(ROW()-2,종합!$AD$3:$AD$501,0))&amp;"","")</f>
        <v/>
      </c>
      <c r="K250" s="21" t="str">
        <f aca="false">IFERROR(INDEX(종합!K$3:K$501,MATCH(ROW()-2,종합!$AD$3:$AD$501,0))&amp;"","")</f>
        <v/>
      </c>
      <c r="L250" s="21" t="str">
        <f aca="false">IFERROR(INDEX(종합!L$3:L$501,MATCH(ROW()-2,종합!$AD$3:$AD$501,0))&amp;"","")</f>
        <v/>
      </c>
      <c r="M250" s="21" t="str">
        <f aca="false">IFERROR(INDEX(종합!M$3:M$501,MATCH(ROW()-2,종합!$AD$3:$AD$501,0))&amp;"","")</f>
        <v/>
      </c>
      <c r="N250" s="25" t="str">
        <f aca="false">IFERROR(INDEX(종합!N$3:N$501,MATCH(ROW()-2,종합!$AD$3:$AD$501,0))&amp;"","")</f>
        <v/>
      </c>
      <c r="O250" s="21" t="str">
        <f aca="false">IFERROR(INDEX(종합!O$3:O$501,MATCH(ROW()-2,종합!$AD$3:$AD$501,0))&amp;"","")</f>
        <v/>
      </c>
      <c r="P250" s="21" t="str">
        <f aca="false">IFERROR(INDEX(종합!P$3:P$501,MATCH(ROW()-2,종합!$AD$3:$AD$501,0))&amp;"","")</f>
        <v/>
      </c>
      <c r="Q250" s="21" t="str">
        <f aca="false">IFERROR(INDEX(종합!Q$3:Q$501,MATCH(ROW()-2,종합!$AD$3:$AD$501,0))&amp;"","")</f>
        <v/>
      </c>
      <c r="R250" s="21" t="str">
        <f aca="false">IFERROR(INDEX(종합!R$3:R$501,MATCH(ROW()-2,종합!$AD$3:$AD$501,0))&amp;"","")</f>
        <v/>
      </c>
      <c r="S250" s="21" t="str">
        <f aca="false">IFERROR(INDEX(종합!S$3:S$501,MATCH(ROW()-2,종합!$AD$3:$AD$501,0))&amp;"","")</f>
        <v/>
      </c>
      <c r="T250" s="21" t="str">
        <f aca="false">IFERROR(INDEX(종합!T$3:T$501,MATCH(ROW()-2,종합!$AD$3:$AD$501,0))&amp;"","")</f>
        <v/>
      </c>
      <c r="U250" s="21" t="str">
        <f aca="false">IFERROR(INDEX(종합!U$3:U$501,MATCH(ROW()-2,종합!$AD$3:$AD$501,0))&amp;"","")</f>
        <v/>
      </c>
      <c r="V250" s="21" t="str">
        <f aca="false">IFERROR(INDEX(종합!V$3:V$501,MATCH(ROW()-2,종합!$AD$3:$AD$501,0))&amp;"","")</f>
        <v/>
      </c>
      <c r="W250" s="21" t="str">
        <f aca="false">IFERROR(INDEX(종합!W$3:W$501,MATCH(ROW()-2,종합!$AD$3:$AD$501,0))&amp;"","")</f>
        <v/>
      </c>
      <c r="X250" s="21" t="str">
        <f aca="false">IFERROR(INDEX(종합!X$3:X$501,MATCH(ROW()-2,종합!$AD$3:$AD$501,0))&amp;"","")</f>
        <v/>
      </c>
      <c r="Y250" s="21" t="str">
        <f aca="false">IFERROR(INDEX(종합!Y$3:Y$501,MATCH(ROW()-2,종합!$AD$3:$AD$501,0))&amp;"","")</f>
        <v/>
      </c>
      <c r="Z250" s="21" t="str">
        <f aca="false">IFERROR(INDEX(종합!Z$3:Z$501,MATCH(ROW()-2,종합!$AD$3:$AD$501,0))&amp;"","")</f>
        <v/>
      </c>
      <c r="AA250" s="23" t="str">
        <f aca="false">IFERROR(INDEX(종합!AA$3:AA$501,MATCH(ROW()-2,종합!$AD$3:$AD$501,0))&amp;"","")</f>
        <v/>
      </c>
    </row>
    <row r="251" customFormat="false" ht="16.5" hidden="false" customHeight="true" outlineLevel="0" collapsed="false">
      <c r="A251" s="18" t="str">
        <f aca="false">IF(B251="","",ROW()-2)</f>
        <v/>
      </c>
      <c r="B251" s="18" t="str">
        <f aca="false">IFERROR(INDEX(종합!B$3:B$501,MATCH(ROW()-2,종합!$AD$3:$AD$501,0))&amp;"","")</f>
        <v/>
      </c>
      <c r="C251" s="18" t="str">
        <f aca="false">IFERROR(INDEX(종합!C$3:C$501,MATCH(ROW()-2,종합!$AD$3:$AD$501,0))&amp;"","")</f>
        <v/>
      </c>
      <c r="D251" s="18" t="str">
        <f aca="false">IFERROR(INDEX(종합!D$3:D$501,MATCH(ROW()-2,종합!$AD$3:$AD$501,0))&amp;"","")</f>
        <v/>
      </c>
      <c r="E251" s="18" t="str">
        <f aca="false">IFERROR(INDEX(종합!E$3:E$501,MATCH(ROW()-2,종합!$AD$3:$AD$501,0))&amp;"","")</f>
        <v/>
      </c>
      <c r="F251" s="18" t="str">
        <f aca="false">IFERROR(INDEX(종합!F$3:F$501,MATCH(ROW()-2,종합!$AD$3:$AD$501,0))&amp;"","")</f>
        <v/>
      </c>
      <c r="G251" s="18" t="str">
        <f aca="false">IFERROR(INDEX(종합!G$3:G$501,MATCH(ROW()-2,종합!$AD$3:$AD$501,0))&amp;"","")</f>
        <v/>
      </c>
      <c r="H251" s="21" t="str">
        <f aca="false">IFERROR(INDEX(종합!H$3:H$501,MATCH(ROW()-2,종합!$AD$3:$AD$501,0))&amp;"","")</f>
        <v/>
      </c>
      <c r="I251" s="21" t="str">
        <f aca="false">IFERROR(INDEX(종합!I$3:I$501,MATCH(ROW()-2,종합!$AD$3:$AD$501,0))&amp;"","")</f>
        <v/>
      </c>
      <c r="J251" s="21" t="str">
        <f aca="false">IFERROR(INDEX(종합!J$3:J$501,MATCH(ROW()-2,종합!$AD$3:$AD$501,0))&amp;"","")</f>
        <v/>
      </c>
      <c r="K251" s="21" t="str">
        <f aca="false">IFERROR(INDEX(종합!K$3:K$501,MATCH(ROW()-2,종합!$AD$3:$AD$501,0))&amp;"","")</f>
        <v/>
      </c>
      <c r="L251" s="21" t="str">
        <f aca="false">IFERROR(INDEX(종합!L$3:L$501,MATCH(ROW()-2,종합!$AD$3:$AD$501,0))&amp;"","")</f>
        <v/>
      </c>
      <c r="M251" s="21" t="str">
        <f aca="false">IFERROR(INDEX(종합!M$3:M$501,MATCH(ROW()-2,종합!$AD$3:$AD$501,0))&amp;"","")</f>
        <v/>
      </c>
      <c r="N251" s="25" t="str">
        <f aca="false">IFERROR(INDEX(종합!N$3:N$501,MATCH(ROW()-2,종합!$AD$3:$AD$501,0))&amp;"","")</f>
        <v/>
      </c>
      <c r="O251" s="21" t="str">
        <f aca="false">IFERROR(INDEX(종합!O$3:O$501,MATCH(ROW()-2,종합!$AD$3:$AD$501,0))&amp;"","")</f>
        <v/>
      </c>
      <c r="P251" s="21" t="str">
        <f aca="false">IFERROR(INDEX(종합!P$3:P$501,MATCH(ROW()-2,종합!$AD$3:$AD$501,0))&amp;"","")</f>
        <v/>
      </c>
      <c r="Q251" s="21" t="str">
        <f aca="false">IFERROR(INDEX(종합!Q$3:Q$501,MATCH(ROW()-2,종합!$AD$3:$AD$501,0))&amp;"","")</f>
        <v/>
      </c>
      <c r="R251" s="21" t="str">
        <f aca="false">IFERROR(INDEX(종합!R$3:R$501,MATCH(ROW()-2,종합!$AD$3:$AD$501,0))&amp;"","")</f>
        <v/>
      </c>
      <c r="S251" s="21" t="str">
        <f aca="false">IFERROR(INDEX(종합!S$3:S$501,MATCH(ROW()-2,종합!$AD$3:$AD$501,0))&amp;"","")</f>
        <v/>
      </c>
      <c r="T251" s="21" t="str">
        <f aca="false">IFERROR(INDEX(종합!T$3:T$501,MATCH(ROW()-2,종합!$AD$3:$AD$501,0))&amp;"","")</f>
        <v/>
      </c>
      <c r="U251" s="21" t="str">
        <f aca="false">IFERROR(INDEX(종합!U$3:U$501,MATCH(ROW()-2,종합!$AD$3:$AD$501,0))&amp;"","")</f>
        <v/>
      </c>
      <c r="V251" s="21" t="str">
        <f aca="false">IFERROR(INDEX(종합!V$3:V$501,MATCH(ROW()-2,종합!$AD$3:$AD$501,0))&amp;"","")</f>
        <v/>
      </c>
      <c r="W251" s="21" t="str">
        <f aca="false">IFERROR(INDEX(종합!W$3:W$501,MATCH(ROW()-2,종합!$AD$3:$AD$501,0))&amp;"","")</f>
        <v/>
      </c>
      <c r="X251" s="21" t="str">
        <f aca="false">IFERROR(INDEX(종합!X$3:X$501,MATCH(ROW()-2,종합!$AD$3:$AD$501,0))&amp;"","")</f>
        <v/>
      </c>
      <c r="Y251" s="21" t="str">
        <f aca="false">IFERROR(INDEX(종합!Y$3:Y$501,MATCH(ROW()-2,종합!$AD$3:$AD$501,0))&amp;"","")</f>
        <v/>
      </c>
      <c r="Z251" s="21" t="str">
        <f aca="false">IFERROR(INDEX(종합!Z$3:Z$501,MATCH(ROW()-2,종합!$AD$3:$AD$501,0))&amp;"","")</f>
        <v/>
      </c>
      <c r="AA251" s="23" t="str">
        <f aca="false">IFERROR(INDEX(종합!AA$3:AA$501,MATCH(ROW()-2,종합!$AD$3:$AD$501,0))&amp;"","")</f>
        <v/>
      </c>
    </row>
    <row r="252" customFormat="false" ht="16.5" hidden="false" customHeight="true" outlineLevel="0" collapsed="false">
      <c r="A252" s="18" t="str">
        <f aca="false">IF(B252="","",ROW()-2)</f>
        <v/>
      </c>
      <c r="B252" s="18" t="str">
        <f aca="false">IFERROR(INDEX(종합!B$3:B$501,MATCH(ROW()-2,종합!$AD$3:$AD$501,0))&amp;"","")</f>
        <v/>
      </c>
      <c r="C252" s="18" t="str">
        <f aca="false">IFERROR(INDEX(종합!C$3:C$501,MATCH(ROW()-2,종합!$AD$3:$AD$501,0))&amp;"","")</f>
        <v/>
      </c>
      <c r="D252" s="18" t="str">
        <f aca="false">IFERROR(INDEX(종합!D$3:D$501,MATCH(ROW()-2,종합!$AD$3:$AD$501,0))&amp;"","")</f>
        <v/>
      </c>
      <c r="E252" s="18" t="str">
        <f aca="false">IFERROR(INDEX(종합!E$3:E$501,MATCH(ROW()-2,종합!$AD$3:$AD$501,0))&amp;"","")</f>
        <v/>
      </c>
      <c r="F252" s="18" t="str">
        <f aca="false">IFERROR(INDEX(종합!F$3:F$501,MATCH(ROW()-2,종합!$AD$3:$AD$501,0))&amp;"","")</f>
        <v/>
      </c>
      <c r="G252" s="18" t="str">
        <f aca="false">IFERROR(INDEX(종합!G$3:G$501,MATCH(ROW()-2,종합!$AD$3:$AD$501,0))&amp;"","")</f>
        <v/>
      </c>
      <c r="H252" s="21" t="str">
        <f aca="false">IFERROR(INDEX(종합!H$3:H$501,MATCH(ROW()-2,종합!$AD$3:$AD$501,0))&amp;"","")</f>
        <v/>
      </c>
      <c r="I252" s="21" t="str">
        <f aca="false">IFERROR(INDEX(종합!I$3:I$501,MATCH(ROW()-2,종합!$AD$3:$AD$501,0))&amp;"","")</f>
        <v/>
      </c>
      <c r="J252" s="21" t="str">
        <f aca="false">IFERROR(INDEX(종합!J$3:J$501,MATCH(ROW()-2,종합!$AD$3:$AD$501,0))&amp;"","")</f>
        <v/>
      </c>
      <c r="K252" s="21" t="str">
        <f aca="false">IFERROR(INDEX(종합!K$3:K$501,MATCH(ROW()-2,종합!$AD$3:$AD$501,0))&amp;"","")</f>
        <v/>
      </c>
      <c r="L252" s="21" t="str">
        <f aca="false">IFERROR(INDEX(종합!L$3:L$501,MATCH(ROW()-2,종합!$AD$3:$AD$501,0))&amp;"","")</f>
        <v/>
      </c>
      <c r="M252" s="21" t="str">
        <f aca="false">IFERROR(INDEX(종합!M$3:M$501,MATCH(ROW()-2,종합!$AD$3:$AD$501,0))&amp;"","")</f>
        <v/>
      </c>
      <c r="N252" s="25" t="str">
        <f aca="false">IFERROR(INDEX(종합!N$3:N$501,MATCH(ROW()-2,종합!$AD$3:$AD$501,0))&amp;"","")</f>
        <v/>
      </c>
      <c r="O252" s="21" t="str">
        <f aca="false">IFERROR(INDEX(종합!O$3:O$501,MATCH(ROW()-2,종합!$AD$3:$AD$501,0))&amp;"","")</f>
        <v/>
      </c>
      <c r="P252" s="21" t="str">
        <f aca="false">IFERROR(INDEX(종합!P$3:P$501,MATCH(ROW()-2,종합!$AD$3:$AD$501,0))&amp;"","")</f>
        <v/>
      </c>
      <c r="Q252" s="21" t="str">
        <f aca="false">IFERROR(INDEX(종합!Q$3:Q$501,MATCH(ROW()-2,종합!$AD$3:$AD$501,0))&amp;"","")</f>
        <v/>
      </c>
      <c r="R252" s="21" t="str">
        <f aca="false">IFERROR(INDEX(종합!R$3:R$501,MATCH(ROW()-2,종합!$AD$3:$AD$501,0))&amp;"","")</f>
        <v/>
      </c>
      <c r="S252" s="21" t="str">
        <f aca="false">IFERROR(INDEX(종합!S$3:S$501,MATCH(ROW()-2,종합!$AD$3:$AD$501,0))&amp;"","")</f>
        <v/>
      </c>
      <c r="T252" s="21" t="str">
        <f aca="false">IFERROR(INDEX(종합!T$3:T$501,MATCH(ROW()-2,종합!$AD$3:$AD$501,0))&amp;"","")</f>
        <v/>
      </c>
      <c r="U252" s="21" t="str">
        <f aca="false">IFERROR(INDEX(종합!U$3:U$501,MATCH(ROW()-2,종합!$AD$3:$AD$501,0))&amp;"","")</f>
        <v/>
      </c>
      <c r="V252" s="21" t="str">
        <f aca="false">IFERROR(INDEX(종합!V$3:V$501,MATCH(ROW()-2,종합!$AD$3:$AD$501,0))&amp;"","")</f>
        <v/>
      </c>
      <c r="W252" s="21" t="str">
        <f aca="false">IFERROR(INDEX(종합!W$3:W$501,MATCH(ROW()-2,종합!$AD$3:$AD$501,0))&amp;"","")</f>
        <v/>
      </c>
      <c r="X252" s="21" t="str">
        <f aca="false">IFERROR(INDEX(종합!X$3:X$501,MATCH(ROW()-2,종합!$AD$3:$AD$501,0))&amp;"","")</f>
        <v/>
      </c>
      <c r="Y252" s="21" t="str">
        <f aca="false">IFERROR(INDEX(종합!Y$3:Y$501,MATCH(ROW()-2,종합!$AD$3:$AD$501,0))&amp;"","")</f>
        <v/>
      </c>
      <c r="Z252" s="21" t="str">
        <f aca="false">IFERROR(INDEX(종합!Z$3:Z$501,MATCH(ROW()-2,종합!$AD$3:$AD$501,0))&amp;"","")</f>
        <v/>
      </c>
      <c r="AA252" s="23" t="str">
        <f aca="false">IFERROR(INDEX(종합!AA$3:AA$501,MATCH(ROW()-2,종합!$AD$3:$AD$501,0))&amp;"","")</f>
        <v/>
      </c>
    </row>
    <row r="253" customFormat="false" ht="16.5" hidden="false" customHeight="true" outlineLevel="0" collapsed="false">
      <c r="A253" s="18" t="str">
        <f aca="false">IF(B253="","",ROW()-2)</f>
        <v/>
      </c>
      <c r="B253" s="18" t="str">
        <f aca="false">IFERROR(INDEX(종합!B$3:B$501,MATCH(ROW()-2,종합!$AD$3:$AD$501,0))&amp;"","")</f>
        <v/>
      </c>
      <c r="C253" s="18" t="str">
        <f aca="false">IFERROR(INDEX(종합!C$3:C$501,MATCH(ROW()-2,종합!$AD$3:$AD$501,0))&amp;"","")</f>
        <v/>
      </c>
      <c r="D253" s="18" t="str">
        <f aca="false">IFERROR(INDEX(종합!D$3:D$501,MATCH(ROW()-2,종합!$AD$3:$AD$501,0))&amp;"","")</f>
        <v/>
      </c>
      <c r="E253" s="18" t="str">
        <f aca="false">IFERROR(INDEX(종합!E$3:E$501,MATCH(ROW()-2,종합!$AD$3:$AD$501,0))&amp;"","")</f>
        <v/>
      </c>
      <c r="F253" s="18" t="str">
        <f aca="false">IFERROR(INDEX(종합!F$3:F$501,MATCH(ROW()-2,종합!$AD$3:$AD$501,0))&amp;"","")</f>
        <v/>
      </c>
      <c r="G253" s="18" t="str">
        <f aca="false">IFERROR(INDEX(종합!G$3:G$501,MATCH(ROW()-2,종합!$AD$3:$AD$501,0))&amp;"","")</f>
        <v/>
      </c>
      <c r="H253" s="21" t="str">
        <f aca="false">IFERROR(INDEX(종합!H$3:H$501,MATCH(ROW()-2,종합!$AD$3:$AD$501,0))&amp;"","")</f>
        <v/>
      </c>
      <c r="I253" s="21" t="str">
        <f aca="false">IFERROR(INDEX(종합!I$3:I$501,MATCH(ROW()-2,종합!$AD$3:$AD$501,0))&amp;"","")</f>
        <v/>
      </c>
      <c r="J253" s="21" t="str">
        <f aca="false">IFERROR(INDEX(종합!J$3:J$501,MATCH(ROW()-2,종합!$AD$3:$AD$501,0))&amp;"","")</f>
        <v/>
      </c>
      <c r="K253" s="21" t="str">
        <f aca="false">IFERROR(INDEX(종합!K$3:K$501,MATCH(ROW()-2,종합!$AD$3:$AD$501,0))&amp;"","")</f>
        <v/>
      </c>
      <c r="L253" s="21" t="str">
        <f aca="false">IFERROR(INDEX(종합!L$3:L$501,MATCH(ROW()-2,종합!$AD$3:$AD$501,0))&amp;"","")</f>
        <v/>
      </c>
      <c r="M253" s="21" t="str">
        <f aca="false">IFERROR(INDEX(종합!M$3:M$501,MATCH(ROW()-2,종합!$AD$3:$AD$501,0))&amp;"","")</f>
        <v/>
      </c>
      <c r="N253" s="25" t="str">
        <f aca="false">IFERROR(INDEX(종합!N$3:N$501,MATCH(ROW()-2,종합!$AD$3:$AD$501,0))&amp;"","")</f>
        <v/>
      </c>
      <c r="O253" s="21" t="str">
        <f aca="false">IFERROR(INDEX(종합!O$3:O$501,MATCH(ROW()-2,종합!$AD$3:$AD$501,0))&amp;"","")</f>
        <v/>
      </c>
      <c r="P253" s="21" t="str">
        <f aca="false">IFERROR(INDEX(종합!P$3:P$501,MATCH(ROW()-2,종합!$AD$3:$AD$501,0))&amp;"","")</f>
        <v/>
      </c>
      <c r="Q253" s="21" t="str">
        <f aca="false">IFERROR(INDEX(종합!Q$3:Q$501,MATCH(ROW()-2,종합!$AD$3:$AD$501,0))&amp;"","")</f>
        <v/>
      </c>
      <c r="R253" s="21" t="str">
        <f aca="false">IFERROR(INDEX(종합!R$3:R$501,MATCH(ROW()-2,종합!$AD$3:$AD$501,0))&amp;"","")</f>
        <v/>
      </c>
      <c r="S253" s="21" t="str">
        <f aca="false">IFERROR(INDEX(종합!S$3:S$501,MATCH(ROW()-2,종합!$AD$3:$AD$501,0))&amp;"","")</f>
        <v/>
      </c>
      <c r="T253" s="21" t="str">
        <f aca="false">IFERROR(INDEX(종합!T$3:T$501,MATCH(ROW()-2,종합!$AD$3:$AD$501,0))&amp;"","")</f>
        <v/>
      </c>
      <c r="U253" s="21" t="str">
        <f aca="false">IFERROR(INDEX(종합!U$3:U$501,MATCH(ROW()-2,종합!$AD$3:$AD$501,0))&amp;"","")</f>
        <v/>
      </c>
      <c r="V253" s="21" t="str">
        <f aca="false">IFERROR(INDEX(종합!V$3:V$501,MATCH(ROW()-2,종합!$AD$3:$AD$501,0))&amp;"","")</f>
        <v/>
      </c>
      <c r="W253" s="21" t="str">
        <f aca="false">IFERROR(INDEX(종합!W$3:W$501,MATCH(ROW()-2,종합!$AD$3:$AD$501,0))&amp;"","")</f>
        <v/>
      </c>
      <c r="X253" s="21" t="str">
        <f aca="false">IFERROR(INDEX(종합!X$3:X$501,MATCH(ROW()-2,종합!$AD$3:$AD$501,0))&amp;"","")</f>
        <v/>
      </c>
      <c r="Y253" s="21" t="str">
        <f aca="false">IFERROR(INDEX(종합!Y$3:Y$501,MATCH(ROW()-2,종합!$AD$3:$AD$501,0))&amp;"","")</f>
        <v/>
      </c>
      <c r="Z253" s="21" t="str">
        <f aca="false">IFERROR(INDEX(종합!Z$3:Z$501,MATCH(ROW()-2,종합!$AD$3:$AD$501,0))&amp;"","")</f>
        <v/>
      </c>
      <c r="AA253" s="23" t="str">
        <f aca="false">IFERROR(INDEX(종합!AA$3:AA$501,MATCH(ROW()-2,종합!$AD$3:$AD$501,0))&amp;"","")</f>
        <v/>
      </c>
    </row>
    <row r="254" customFormat="false" ht="16.5" hidden="false" customHeight="true" outlineLevel="0" collapsed="false">
      <c r="A254" s="18" t="str">
        <f aca="false">IF(B254="","",ROW()-2)</f>
        <v/>
      </c>
      <c r="B254" s="18" t="str">
        <f aca="false">IFERROR(INDEX(종합!B$3:B$501,MATCH(ROW()-2,종합!$AD$3:$AD$501,0))&amp;"","")</f>
        <v/>
      </c>
      <c r="C254" s="18" t="str">
        <f aca="false">IFERROR(INDEX(종합!C$3:C$501,MATCH(ROW()-2,종합!$AD$3:$AD$501,0))&amp;"","")</f>
        <v/>
      </c>
      <c r="D254" s="18" t="str">
        <f aca="false">IFERROR(INDEX(종합!D$3:D$501,MATCH(ROW()-2,종합!$AD$3:$AD$501,0))&amp;"","")</f>
        <v/>
      </c>
      <c r="E254" s="18" t="str">
        <f aca="false">IFERROR(INDEX(종합!E$3:E$501,MATCH(ROW()-2,종합!$AD$3:$AD$501,0))&amp;"","")</f>
        <v/>
      </c>
      <c r="F254" s="18" t="str">
        <f aca="false">IFERROR(INDEX(종합!F$3:F$501,MATCH(ROW()-2,종합!$AD$3:$AD$501,0))&amp;"","")</f>
        <v/>
      </c>
      <c r="G254" s="18" t="str">
        <f aca="false">IFERROR(INDEX(종합!G$3:G$501,MATCH(ROW()-2,종합!$AD$3:$AD$501,0))&amp;"","")</f>
        <v/>
      </c>
      <c r="H254" s="21" t="str">
        <f aca="false">IFERROR(INDEX(종합!H$3:H$501,MATCH(ROW()-2,종합!$AD$3:$AD$501,0))&amp;"","")</f>
        <v/>
      </c>
      <c r="I254" s="21" t="str">
        <f aca="false">IFERROR(INDEX(종합!I$3:I$501,MATCH(ROW()-2,종합!$AD$3:$AD$501,0))&amp;"","")</f>
        <v/>
      </c>
      <c r="J254" s="21" t="str">
        <f aca="false">IFERROR(INDEX(종합!J$3:J$501,MATCH(ROW()-2,종합!$AD$3:$AD$501,0))&amp;"","")</f>
        <v/>
      </c>
      <c r="K254" s="21" t="str">
        <f aca="false">IFERROR(INDEX(종합!K$3:K$501,MATCH(ROW()-2,종합!$AD$3:$AD$501,0))&amp;"","")</f>
        <v/>
      </c>
      <c r="L254" s="21" t="str">
        <f aca="false">IFERROR(INDEX(종합!L$3:L$501,MATCH(ROW()-2,종합!$AD$3:$AD$501,0))&amp;"","")</f>
        <v/>
      </c>
      <c r="M254" s="21" t="str">
        <f aca="false">IFERROR(INDEX(종합!M$3:M$501,MATCH(ROW()-2,종합!$AD$3:$AD$501,0))&amp;"","")</f>
        <v/>
      </c>
      <c r="N254" s="25" t="str">
        <f aca="false">IFERROR(INDEX(종합!N$3:N$501,MATCH(ROW()-2,종합!$AD$3:$AD$501,0))&amp;"","")</f>
        <v/>
      </c>
      <c r="O254" s="21" t="str">
        <f aca="false">IFERROR(INDEX(종합!O$3:O$501,MATCH(ROW()-2,종합!$AD$3:$AD$501,0))&amp;"","")</f>
        <v/>
      </c>
      <c r="P254" s="21" t="str">
        <f aca="false">IFERROR(INDEX(종합!P$3:P$501,MATCH(ROW()-2,종합!$AD$3:$AD$501,0))&amp;"","")</f>
        <v/>
      </c>
      <c r="Q254" s="21" t="str">
        <f aca="false">IFERROR(INDEX(종합!Q$3:Q$501,MATCH(ROW()-2,종합!$AD$3:$AD$501,0))&amp;"","")</f>
        <v/>
      </c>
      <c r="R254" s="21" t="str">
        <f aca="false">IFERROR(INDEX(종합!R$3:R$501,MATCH(ROW()-2,종합!$AD$3:$AD$501,0))&amp;"","")</f>
        <v/>
      </c>
      <c r="S254" s="21" t="str">
        <f aca="false">IFERROR(INDEX(종합!S$3:S$501,MATCH(ROW()-2,종합!$AD$3:$AD$501,0))&amp;"","")</f>
        <v/>
      </c>
      <c r="T254" s="21" t="str">
        <f aca="false">IFERROR(INDEX(종합!T$3:T$501,MATCH(ROW()-2,종합!$AD$3:$AD$501,0))&amp;"","")</f>
        <v/>
      </c>
      <c r="U254" s="21" t="str">
        <f aca="false">IFERROR(INDEX(종합!U$3:U$501,MATCH(ROW()-2,종합!$AD$3:$AD$501,0))&amp;"","")</f>
        <v/>
      </c>
      <c r="V254" s="21" t="str">
        <f aca="false">IFERROR(INDEX(종합!V$3:V$501,MATCH(ROW()-2,종합!$AD$3:$AD$501,0))&amp;"","")</f>
        <v/>
      </c>
      <c r="W254" s="21" t="str">
        <f aca="false">IFERROR(INDEX(종합!W$3:W$501,MATCH(ROW()-2,종합!$AD$3:$AD$501,0))&amp;"","")</f>
        <v/>
      </c>
      <c r="X254" s="21" t="str">
        <f aca="false">IFERROR(INDEX(종합!X$3:X$501,MATCH(ROW()-2,종합!$AD$3:$AD$501,0))&amp;"","")</f>
        <v/>
      </c>
      <c r="Y254" s="21" t="str">
        <f aca="false">IFERROR(INDEX(종합!Y$3:Y$501,MATCH(ROW()-2,종합!$AD$3:$AD$501,0))&amp;"","")</f>
        <v/>
      </c>
      <c r="Z254" s="21" t="str">
        <f aca="false">IFERROR(INDEX(종합!Z$3:Z$501,MATCH(ROW()-2,종합!$AD$3:$AD$501,0))&amp;"","")</f>
        <v/>
      </c>
      <c r="AA254" s="23" t="str">
        <f aca="false">IFERROR(INDEX(종합!AA$3:AA$501,MATCH(ROW()-2,종합!$AD$3:$AD$501,0))&amp;"","")</f>
        <v/>
      </c>
    </row>
    <row r="255" customFormat="false" ht="16.5" hidden="false" customHeight="true" outlineLevel="0" collapsed="false">
      <c r="A255" s="18" t="str">
        <f aca="false">IF(B255="","",ROW()-2)</f>
        <v/>
      </c>
      <c r="B255" s="18" t="str">
        <f aca="false">IFERROR(INDEX(종합!B$3:B$501,MATCH(ROW()-2,종합!$AD$3:$AD$501,0))&amp;"","")</f>
        <v/>
      </c>
      <c r="C255" s="18" t="str">
        <f aca="false">IFERROR(INDEX(종합!C$3:C$501,MATCH(ROW()-2,종합!$AD$3:$AD$501,0))&amp;"","")</f>
        <v/>
      </c>
      <c r="D255" s="18" t="str">
        <f aca="false">IFERROR(INDEX(종합!D$3:D$501,MATCH(ROW()-2,종합!$AD$3:$AD$501,0))&amp;"","")</f>
        <v/>
      </c>
      <c r="E255" s="18" t="str">
        <f aca="false">IFERROR(INDEX(종합!E$3:E$501,MATCH(ROW()-2,종합!$AD$3:$AD$501,0))&amp;"","")</f>
        <v/>
      </c>
      <c r="F255" s="18" t="str">
        <f aca="false">IFERROR(INDEX(종합!F$3:F$501,MATCH(ROW()-2,종합!$AD$3:$AD$501,0))&amp;"","")</f>
        <v/>
      </c>
      <c r="G255" s="18" t="str">
        <f aca="false">IFERROR(INDEX(종합!G$3:G$501,MATCH(ROW()-2,종합!$AD$3:$AD$501,0))&amp;"","")</f>
        <v/>
      </c>
      <c r="H255" s="21" t="str">
        <f aca="false">IFERROR(INDEX(종합!H$3:H$501,MATCH(ROW()-2,종합!$AD$3:$AD$501,0))&amp;"","")</f>
        <v/>
      </c>
      <c r="I255" s="21" t="str">
        <f aca="false">IFERROR(INDEX(종합!I$3:I$501,MATCH(ROW()-2,종합!$AD$3:$AD$501,0))&amp;"","")</f>
        <v/>
      </c>
      <c r="J255" s="21" t="str">
        <f aca="false">IFERROR(INDEX(종합!J$3:J$501,MATCH(ROW()-2,종합!$AD$3:$AD$501,0))&amp;"","")</f>
        <v/>
      </c>
      <c r="K255" s="21" t="str">
        <f aca="false">IFERROR(INDEX(종합!K$3:K$501,MATCH(ROW()-2,종합!$AD$3:$AD$501,0))&amp;"","")</f>
        <v/>
      </c>
      <c r="L255" s="21" t="str">
        <f aca="false">IFERROR(INDEX(종합!L$3:L$501,MATCH(ROW()-2,종합!$AD$3:$AD$501,0))&amp;"","")</f>
        <v/>
      </c>
      <c r="M255" s="21" t="str">
        <f aca="false">IFERROR(INDEX(종합!M$3:M$501,MATCH(ROW()-2,종합!$AD$3:$AD$501,0))&amp;"","")</f>
        <v/>
      </c>
      <c r="N255" s="25" t="str">
        <f aca="false">IFERROR(INDEX(종합!N$3:N$501,MATCH(ROW()-2,종합!$AD$3:$AD$501,0))&amp;"","")</f>
        <v/>
      </c>
      <c r="O255" s="21" t="str">
        <f aca="false">IFERROR(INDEX(종합!O$3:O$501,MATCH(ROW()-2,종합!$AD$3:$AD$501,0))&amp;"","")</f>
        <v/>
      </c>
      <c r="P255" s="21" t="str">
        <f aca="false">IFERROR(INDEX(종합!P$3:P$501,MATCH(ROW()-2,종합!$AD$3:$AD$501,0))&amp;"","")</f>
        <v/>
      </c>
      <c r="Q255" s="21" t="str">
        <f aca="false">IFERROR(INDEX(종합!Q$3:Q$501,MATCH(ROW()-2,종합!$AD$3:$AD$501,0))&amp;"","")</f>
        <v/>
      </c>
      <c r="R255" s="21" t="str">
        <f aca="false">IFERROR(INDEX(종합!R$3:R$501,MATCH(ROW()-2,종합!$AD$3:$AD$501,0))&amp;"","")</f>
        <v/>
      </c>
      <c r="S255" s="21" t="str">
        <f aca="false">IFERROR(INDEX(종합!S$3:S$501,MATCH(ROW()-2,종합!$AD$3:$AD$501,0))&amp;"","")</f>
        <v/>
      </c>
      <c r="T255" s="21" t="str">
        <f aca="false">IFERROR(INDEX(종합!T$3:T$501,MATCH(ROW()-2,종합!$AD$3:$AD$501,0))&amp;"","")</f>
        <v/>
      </c>
      <c r="U255" s="21" t="str">
        <f aca="false">IFERROR(INDEX(종합!U$3:U$501,MATCH(ROW()-2,종합!$AD$3:$AD$501,0))&amp;"","")</f>
        <v/>
      </c>
      <c r="V255" s="21" t="str">
        <f aca="false">IFERROR(INDEX(종합!V$3:V$501,MATCH(ROW()-2,종합!$AD$3:$AD$501,0))&amp;"","")</f>
        <v/>
      </c>
      <c r="W255" s="21" t="str">
        <f aca="false">IFERROR(INDEX(종합!W$3:W$501,MATCH(ROW()-2,종합!$AD$3:$AD$501,0))&amp;"","")</f>
        <v/>
      </c>
      <c r="X255" s="21" t="str">
        <f aca="false">IFERROR(INDEX(종합!X$3:X$501,MATCH(ROW()-2,종합!$AD$3:$AD$501,0))&amp;"","")</f>
        <v/>
      </c>
      <c r="Y255" s="21" t="str">
        <f aca="false">IFERROR(INDEX(종합!Y$3:Y$501,MATCH(ROW()-2,종합!$AD$3:$AD$501,0))&amp;"","")</f>
        <v/>
      </c>
      <c r="Z255" s="21" t="str">
        <f aca="false">IFERROR(INDEX(종합!Z$3:Z$501,MATCH(ROW()-2,종합!$AD$3:$AD$501,0))&amp;"","")</f>
        <v/>
      </c>
      <c r="AA255" s="23" t="str">
        <f aca="false">IFERROR(INDEX(종합!AA$3:AA$501,MATCH(ROW()-2,종합!$AD$3:$AD$501,0))&amp;"","")</f>
        <v/>
      </c>
    </row>
    <row r="256" customFormat="false" ht="16.5" hidden="false" customHeight="true" outlineLevel="0" collapsed="false">
      <c r="A256" s="18" t="str">
        <f aca="false">IF(B256="","",ROW()-2)</f>
        <v/>
      </c>
      <c r="B256" s="18" t="str">
        <f aca="false">IFERROR(INDEX(종합!B$3:B$501,MATCH(ROW()-2,종합!$AD$3:$AD$501,0))&amp;"","")</f>
        <v/>
      </c>
      <c r="C256" s="18" t="str">
        <f aca="false">IFERROR(INDEX(종합!C$3:C$501,MATCH(ROW()-2,종합!$AD$3:$AD$501,0))&amp;"","")</f>
        <v/>
      </c>
      <c r="D256" s="18" t="str">
        <f aca="false">IFERROR(INDEX(종합!D$3:D$501,MATCH(ROW()-2,종합!$AD$3:$AD$501,0))&amp;"","")</f>
        <v/>
      </c>
      <c r="E256" s="18" t="str">
        <f aca="false">IFERROR(INDEX(종합!E$3:E$501,MATCH(ROW()-2,종합!$AD$3:$AD$501,0))&amp;"","")</f>
        <v/>
      </c>
      <c r="F256" s="18" t="str">
        <f aca="false">IFERROR(INDEX(종합!F$3:F$501,MATCH(ROW()-2,종합!$AD$3:$AD$501,0))&amp;"","")</f>
        <v/>
      </c>
      <c r="G256" s="18" t="str">
        <f aca="false">IFERROR(INDEX(종합!G$3:G$501,MATCH(ROW()-2,종합!$AD$3:$AD$501,0))&amp;"","")</f>
        <v/>
      </c>
      <c r="H256" s="21" t="str">
        <f aca="false">IFERROR(INDEX(종합!H$3:H$501,MATCH(ROW()-2,종합!$AD$3:$AD$501,0))&amp;"","")</f>
        <v/>
      </c>
      <c r="I256" s="21" t="str">
        <f aca="false">IFERROR(INDEX(종합!I$3:I$501,MATCH(ROW()-2,종합!$AD$3:$AD$501,0))&amp;"","")</f>
        <v/>
      </c>
      <c r="J256" s="21" t="str">
        <f aca="false">IFERROR(INDEX(종합!J$3:J$501,MATCH(ROW()-2,종합!$AD$3:$AD$501,0))&amp;"","")</f>
        <v/>
      </c>
      <c r="K256" s="21" t="str">
        <f aca="false">IFERROR(INDEX(종합!K$3:K$501,MATCH(ROW()-2,종합!$AD$3:$AD$501,0))&amp;"","")</f>
        <v/>
      </c>
      <c r="L256" s="21" t="str">
        <f aca="false">IFERROR(INDEX(종합!L$3:L$501,MATCH(ROW()-2,종합!$AD$3:$AD$501,0))&amp;"","")</f>
        <v/>
      </c>
      <c r="M256" s="21" t="str">
        <f aca="false">IFERROR(INDEX(종합!M$3:M$501,MATCH(ROW()-2,종합!$AD$3:$AD$501,0))&amp;"","")</f>
        <v/>
      </c>
      <c r="N256" s="25" t="str">
        <f aca="false">IFERROR(INDEX(종합!N$3:N$501,MATCH(ROW()-2,종합!$AD$3:$AD$501,0))&amp;"","")</f>
        <v/>
      </c>
      <c r="O256" s="21" t="str">
        <f aca="false">IFERROR(INDEX(종합!O$3:O$501,MATCH(ROW()-2,종합!$AD$3:$AD$501,0))&amp;"","")</f>
        <v/>
      </c>
      <c r="P256" s="21" t="str">
        <f aca="false">IFERROR(INDEX(종합!P$3:P$501,MATCH(ROW()-2,종합!$AD$3:$AD$501,0))&amp;"","")</f>
        <v/>
      </c>
      <c r="Q256" s="21" t="str">
        <f aca="false">IFERROR(INDEX(종합!Q$3:Q$501,MATCH(ROW()-2,종합!$AD$3:$AD$501,0))&amp;"","")</f>
        <v/>
      </c>
      <c r="R256" s="21" t="str">
        <f aca="false">IFERROR(INDEX(종합!R$3:R$501,MATCH(ROW()-2,종합!$AD$3:$AD$501,0))&amp;"","")</f>
        <v/>
      </c>
      <c r="S256" s="21" t="str">
        <f aca="false">IFERROR(INDEX(종합!S$3:S$501,MATCH(ROW()-2,종합!$AD$3:$AD$501,0))&amp;"","")</f>
        <v/>
      </c>
      <c r="T256" s="21" t="str">
        <f aca="false">IFERROR(INDEX(종합!T$3:T$501,MATCH(ROW()-2,종합!$AD$3:$AD$501,0))&amp;"","")</f>
        <v/>
      </c>
      <c r="U256" s="21" t="str">
        <f aca="false">IFERROR(INDEX(종합!U$3:U$501,MATCH(ROW()-2,종합!$AD$3:$AD$501,0))&amp;"","")</f>
        <v/>
      </c>
      <c r="V256" s="21" t="str">
        <f aca="false">IFERROR(INDEX(종합!V$3:V$501,MATCH(ROW()-2,종합!$AD$3:$AD$501,0))&amp;"","")</f>
        <v/>
      </c>
      <c r="W256" s="21" t="str">
        <f aca="false">IFERROR(INDEX(종합!W$3:W$501,MATCH(ROW()-2,종합!$AD$3:$AD$501,0))&amp;"","")</f>
        <v/>
      </c>
      <c r="X256" s="21" t="str">
        <f aca="false">IFERROR(INDEX(종합!X$3:X$501,MATCH(ROW()-2,종합!$AD$3:$AD$501,0))&amp;"","")</f>
        <v/>
      </c>
      <c r="Y256" s="21" t="str">
        <f aca="false">IFERROR(INDEX(종합!Y$3:Y$501,MATCH(ROW()-2,종합!$AD$3:$AD$501,0))&amp;"","")</f>
        <v/>
      </c>
      <c r="Z256" s="21" t="str">
        <f aca="false">IFERROR(INDEX(종합!Z$3:Z$501,MATCH(ROW()-2,종합!$AD$3:$AD$501,0))&amp;"","")</f>
        <v/>
      </c>
      <c r="AA256" s="23" t="str">
        <f aca="false">IFERROR(INDEX(종합!AA$3:AA$501,MATCH(ROW()-2,종합!$AD$3:$AD$501,0))&amp;"","")</f>
        <v/>
      </c>
    </row>
    <row r="257" customFormat="false" ht="16.5" hidden="false" customHeight="true" outlineLevel="0" collapsed="false">
      <c r="A257" s="18" t="str">
        <f aca="false">IF(B257="","",ROW()-2)</f>
        <v/>
      </c>
      <c r="B257" s="18" t="str">
        <f aca="false">IFERROR(INDEX(종합!B$3:B$501,MATCH(ROW()-2,종합!$AD$3:$AD$501,0))&amp;"","")</f>
        <v/>
      </c>
      <c r="C257" s="18" t="str">
        <f aca="false">IFERROR(INDEX(종합!C$3:C$501,MATCH(ROW()-2,종합!$AD$3:$AD$501,0))&amp;"","")</f>
        <v/>
      </c>
      <c r="D257" s="18" t="str">
        <f aca="false">IFERROR(INDEX(종합!D$3:D$501,MATCH(ROW()-2,종합!$AD$3:$AD$501,0))&amp;"","")</f>
        <v/>
      </c>
      <c r="E257" s="18" t="str">
        <f aca="false">IFERROR(INDEX(종합!E$3:E$501,MATCH(ROW()-2,종합!$AD$3:$AD$501,0))&amp;"","")</f>
        <v/>
      </c>
      <c r="F257" s="18" t="str">
        <f aca="false">IFERROR(INDEX(종합!F$3:F$501,MATCH(ROW()-2,종합!$AD$3:$AD$501,0))&amp;"","")</f>
        <v/>
      </c>
      <c r="G257" s="18" t="str">
        <f aca="false">IFERROR(INDEX(종합!G$3:G$501,MATCH(ROW()-2,종합!$AD$3:$AD$501,0))&amp;"","")</f>
        <v/>
      </c>
      <c r="H257" s="21" t="str">
        <f aca="false">IFERROR(INDEX(종합!H$3:H$501,MATCH(ROW()-2,종합!$AD$3:$AD$501,0))&amp;"","")</f>
        <v/>
      </c>
      <c r="I257" s="21" t="str">
        <f aca="false">IFERROR(INDEX(종합!I$3:I$501,MATCH(ROW()-2,종합!$AD$3:$AD$501,0))&amp;"","")</f>
        <v/>
      </c>
      <c r="J257" s="21" t="str">
        <f aca="false">IFERROR(INDEX(종합!J$3:J$501,MATCH(ROW()-2,종합!$AD$3:$AD$501,0))&amp;"","")</f>
        <v/>
      </c>
      <c r="K257" s="21" t="str">
        <f aca="false">IFERROR(INDEX(종합!K$3:K$501,MATCH(ROW()-2,종합!$AD$3:$AD$501,0))&amp;"","")</f>
        <v/>
      </c>
      <c r="L257" s="21" t="str">
        <f aca="false">IFERROR(INDEX(종합!L$3:L$501,MATCH(ROW()-2,종합!$AD$3:$AD$501,0))&amp;"","")</f>
        <v/>
      </c>
      <c r="M257" s="21" t="str">
        <f aca="false">IFERROR(INDEX(종합!M$3:M$501,MATCH(ROW()-2,종합!$AD$3:$AD$501,0))&amp;"","")</f>
        <v/>
      </c>
      <c r="N257" s="25" t="str">
        <f aca="false">IFERROR(INDEX(종합!N$3:N$501,MATCH(ROW()-2,종합!$AD$3:$AD$501,0))&amp;"","")</f>
        <v/>
      </c>
      <c r="O257" s="21" t="str">
        <f aca="false">IFERROR(INDEX(종합!O$3:O$501,MATCH(ROW()-2,종합!$AD$3:$AD$501,0))&amp;"","")</f>
        <v/>
      </c>
      <c r="P257" s="21" t="str">
        <f aca="false">IFERROR(INDEX(종합!P$3:P$501,MATCH(ROW()-2,종합!$AD$3:$AD$501,0))&amp;"","")</f>
        <v/>
      </c>
      <c r="Q257" s="21" t="str">
        <f aca="false">IFERROR(INDEX(종합!Q$3:Q$501,MATCH(ROW()-2,종합!$AD$3:$AD$501,0))&amp;"","")</f>
        <v/>
      </c>
      <c r="R257" s="21" t="str">
        <f aca="false">IFERROR(INDEX(종합!R$3:R$501,MATCH(ROW()-2,종합!$AD$3:$AD$501,0))&amp;"","")</f>
        <v/>
      </c>
      <c r="S257" s="21" t="str">
        <f aca="false">IFERROR(INDEX(종합!S$3:S$501,MATCH(ROW()-2,종합!$AD$3:$AD$501,0))&amp;"","")</f>
        <v/>
      </c>
      <c r="T257" s="21" t="str">
        <f aca="false">IFERROR(INDEX(종합!T$3:T$501,MATCH(ROW()-2,종합!$AD$3:$AD$501,0))&amp;"","")</f>
        <v/>
      </c>
      <c r="U257" s="21" t="str">
        <f aca="false">IFERROR(INDEX(종합!U$3:U$501,MATCH(ROW()-2,종합!$AD$3:$AD$501,0))&amp;"","")</f>
        <v/>
      </c>
      <c r="V257" s="21" t="str">
        <f aca="false">IFERROR(INDEX(종합!V$3:V$501,MATCH(ROW()-2,종합!$AD$3:$AD$501,0))&amp;"","")</f>
        <v/>
      </c>
      <c r="W257" s="21" t="str">
        <f aca="false">IFERROR(INDEX(종합!W$3:W$501,MATCH(ROW()-2,종합!$AD$3:$AD$501,0))&amp;"","")</f>
        <v/>
      </c>
      <c r="X257" s="21" t="str">
        <f aca="false">IFERROR(INDEX(종합!X$3:X$501,MATCH(ROW()-2,종합!$AD$3:$AD$501,0))&amp;"","")</f>
        <v/>
      </c>
      <c r="Y257" s="21" t="str">
        <f aca="false">IFERROR(INDEX(종합!Y$3:Y$501,MATCH(ROW()-2,종합!$AD$3:$AD$501,0))&amp;"","")</f>
        <v/>
      </c>
      <c r="Z257" s="21" t="str">
        <f aca="false">IFERROR(INDEX(종합!Z$3:Z$501,MATCH(ROW()-2,종합!$AD$3:$AD$501,0))&amp;"","")</f>
        <v/>
      </c>
      <c r="AA257" s="23" t="str">
        <f aca="false">IFERROR(INDEX(종합!AA$3:AA$501,MATCH(ROW()-2,종합!$AD$3:$AD$501,0))&amp;"","")</f>
        <v/>
      </c>
    </row>
    <row r="258" customFormat="false" ht="16.5" hidden="false" customHeight="true" outlineLevel="0" collapsed="false">
      <c r="A258" s="18" t="str">
        <f aca="false">IF(B258="","",ROW()-2)</f>
        <v/>
      </c>
      <c r="B258" s="18" t="str">
        <f aca="false">IFERROR(INDEX(종합!B$3:B$501,MATCH(ROW()-2,종합!$AD$3:$AD$501,0))&amp;"","")</f>
        <v/>
      </c>
      <c r="C258" s="18" t="str">
        <f aca="false">IFERROR(INDEX(종합!C$3:C$501,MATCH(ROW()-2,종합!$AD$3:$AD$501,0))&amp;"","")</f>
        <v/>
      </c>
      <c r="D258" s="18" t="str">
        <f aca="false">IFERROR(INDEX(종합!D$3:D$501,MATCH(ROW()-2,종합!$AD$3:$AD$501,0))&amp;"","")</f>
        <v/>
      </c>
      <c r="E258" s="18" t="str">
        <f aca="false">IFERROR(INDEX(종합!E$3:E$501,MATCH(ROW()-2,종합!$AD$3:$AD$501,0))&amp;"","")</f>
        <v/>
      </c>
      <c r="F258" s="18" t="str">
        <f aca="false">IFERROR(INDEX(종합!F$3:F$501,MATCH(ROW()-2,종합!$AD$3:$AD$501,0))&amp;"","")</f>
        <v/>
      </c>
      <c r="G258" s="18" t="str">
        <f aca="false">IFERROR(INDEX(종합!G$3:G$501,MATCH(ROW()-2,종합!$AD$3:$AD$501,0))&amp;"","")</f>
        <v/>
      </c>
      <c r="H258" s="21" t="str">
        <f aca="false">IFERROR(INDEX(종합!H$3:H$501,MATCH(ROW()-2,종합!$AD$3:$AD$501,0))&amp;"","")</f>
        <v/>
      </c>
      <c r="I258" s="21" t="str">
        <f aca="false">IFERROR(INDEX(종합!I$3:I$501,MATCH(ROW()-2,종합!$AD$3:$AD$501,0))&amp;"","")</f>
        <v/>
      </c>
      <c r="J258" s="21" t="str">
        <f aca="false">IFERROR(INDEX(종합!J$3:J$501,MATCH(ROW()-2,종합!$AD$3:$AD$501,0))&amp;"","")</f>
        <v/>
      </c>
      <c r="K258" s="21" t="str">
        <f aca="false">IFERROR(INDEX(종합!K$3:K$501,MATCH(ROW()-2,종합!$AD$3:$AD$501,0))&amp;"","")</f>
        <v/>
      </c>
      <c r="L258" s="21" t="str">
        <f aca="false">IFERROR(INDEX(종합!L$3:L$501,MATCH(ROW()-2,종합!$AD$3:$AD$501,0))&amp;"","")</f>
        <v/>
      </c>
      <c r="M258" s="21" t="str">
        <f aca="false">IFERROR(INDEX(종합!M$3:M$501,MATCH(ROW()-2,종합!$AD$3:$AD$501,0))&amp;"","")</f>
        <v/>
      </c>
      <c r="N258" s="25" t="str">
        <f aca="false">IFERROR(INDEX(종합!N$3:N$501,MATCH(ROW()-2,종합!$AD$3:$AD$501,0))&amp;"","")</f>
        <v/>
      </c>
      <c r="O258" s="21" t="str">
        <f aca="false">IFERROR(INDEX(종합!O$3:O$501,MATCH(ROW()-2,종합!$AD$3:$AD$501,0))&amp;"","")</f>
        <v/>
      </c>
      <c r="P258" s="21" t="str">
        <f aca="false">IFERROR(INDEX(종합!P$3:P$501,MATCH(ROW()-2,종합!$AD$3:$AD$501,0))&amp;"","")</f>
        <v/>
      </c>
      <c r="Q258" s="21" t="str">
        <f aca="false">IFERROR(INDEX(종합!Q$3:Q$501,MATCH(ROW()-2,종합!$AD$3:$AD$501,0))&amp;"","")</f>
        <v/>
      </c>
      <c r="R258" s="21" t="str">
        <f aca="false">IFERROR(INDEX(종합!R$3:R$501,MATCH(ROW()-2,종합!$AD$3:$AD$501,0))&amp;"","")</f>
        <v/>
      </c>
      <c r="S258" s="21" t="str">
        <f aca="false">IFERROR(INDEX(종합!S$3:S$501,MATCH(ROW()-2,종합!$AD$3:$AD$501,0))&amp;"","")</f>
        <v/>
      </c>
      <c r="T258" s="21" t="str">
        <f aca="false">IFERROR(INDEX(종합!T$3:T$501,MATCH(ROW()-2,종합!$AD$3:$AD$501,0))&amp;"","")</f>
        <v/>
      </c>
      <c r="U258" s="21" t="str">
        <f aca="false">IFERROR(INDEX(종합!U$3:U$501,MATCH(ROW()-2,종합!$AD$3:$AD$501,0))&amp;"","")</f>
        <v/>
      </c>
      <c r="V258" s="21" t="str">
        <f aca="false">IFERROR(INDEX(종합!V$3:V$501,MATCH(ROW()-2,종합!$AD$3:$AD$501,0))&amp;"","")</f>
        <v/>
      </c>
      <c r="W258" s="21" t="str">
        <f aca="false">IFERROR(INDEX(종합!W$3:W$501,MATCH(ROW()-2,종합!$AD$3:$AD$501,0))&amp;"","")</f>
        <v/>
      </c>
      <c r="X258" s="21" t="str">
        <f aca="false">IFERROR(INDEX(종합!X$3:X$501,MATCH(ROW()-2,종합!$AD$3:$AD$501,0))&amp;"","")</f>
        <v/>
      </c>
      <c r="Y258" s="21" t="str">
        <f aca="false">IFERROR(INDEX(종합!Y$3:Y$501,MATCH(ROW()-2,종합!$AD$3:$AD$501,0))&amp;"","")</f>
        <v/>
      </c>
      <c r="Z258" s="21" t="str">
        <f aca="false">IFERROR(INDEX(종합!Z$3:Z$501,MATCH(ROW()-2,종합!$AD$3:$AD$501,0))&amp;"","")</f>
        <v/>
      </c>
      <c r="AA258" s="23" t="str">
        <f aca="false">IFERROR(INDEX(종합!AA$3:AA$501,MATCH(ROW()-2,종합!$AD$3:$AD$501,0))&amp;"","")</f>
        <v/>
      </c>
    </row>
    <row r="259" customFormat="false" ht="16.5" hidden="false" customHeight="true" outlineLevel="0" collapsed="false">
      <c r="A259" s="18" t="str">
        <f aca="false">IF(B259="","",ROW()-2)</f>
        <v/>
      </c>
      <c r="B259" s="18" t="str">
        <f aca="false">IFERROR(INDEX(종합!B$3:B$501,MATCH(ROW()-2,종합!$AD$3:$AD$501,0))&amp;"","")</f>
        <v/>
      </c>
      <c r="C259" s="18" t="str">
        <f aca="false">IFERROR(INDEX(종합!C$3:C$501,MATCH(ROW()-2,종합!$AD$3:$AD$501,0))&amp;"","")</f>
        <v/>
      </c>
      <c r="D259" s="18" t="str">
        <f aca="false">IFERROR(INDEX(종합!D$3:D$501,MATCH(ROW()-2,종합!$AD$3:$AD$501,0))&amp;"","")</f>
        <v/>
      </c>
      <c r="E259" s="18" t="str">
        <f aca="false">IFERROR(INDEX(종합!E$3:E$501,MATCH(ROW()-2,종합!$AD$3:$AD$501,0))&amp;"","")</f>
        <v/>
      </c>
      <c r="F259" s="18" t="str">
        <f aca="false">IFERROR(INDEX(종합!F$3:F$501,MATCH(ROW()-2,종합!$AD$3:$AD$501,0))&amp;"","")</f>
        <v/>
      </c>
      <c r="G259" s="18" t="str">
        <f aca="false">IFERROR(INDEX(종합!G$3:G$501,MATCH(ROW()-2,종합!$AD$3:$AD$501,0))&amp;"","")</f>
        <v/>
      </c>
      <c r="H259" s="21" t="str">
        <f aca="false">IFERROR(INDEX(종합!H$3:H$501,MATCH(ROW()-2,종합!$AD$3:$AD$501,0))&amp;"","")</f>
        <v/>
      </c>
      <c r="I259" s="21" t="str">
        <f aca="false">IFERROR(INDEX(종합!I$3:I$501,MATCH(ROW()-2,종합!$AD$3:$AD$501,0))&amp;"","")</f>
        <v/>
      </c>
      <c r="J259" s="21" t="str">
        <f aca="false">IFERROR(INDEX(종합!J$3:J$501,MATCH(ROW()-2,종합!$AD$3:$AD$501,0))&amp;"","")</f>
        <v/>
      </c>
      <c r="K259" s="21" t="str">
        <f aca="false">IFERROR(INDEX(종합!K$3:K$501,MATCH(ROW()-2,종합!$AD$3:$AD$501,0))&amp;"","")</f>
        <v/>
      </c>
      <c r="L259" s="21" t="str">
        <f aca="false">IFERROR(INDEX(종합!L$3:L$501,MATCH(ROW()-2,종합!$AD$3:$AD$501,0))&amp;"","")</f>
        <v/>
      </c>
      <c r="M259" s="21" t="str">
        <f aca="false">IFERROR(INDEX(종합!M$3:M$501,MATCH(ROW()-2,종합!$AD$3:$AD$501,0))&amp;"","")</f>
        <v/>
      </c>
      <c r="N259" s="25" t="str">
        <f aca="false">IFERROR(INDEX(종합!N$3:N$501,MATCH(ROW()-2,종합!$AD$3:$AD$501,0))&amp;"","")</f>
        <v/>
      </c>
      <c r="O259" s="21" t="str">
        <f aca="false">IFERROR(INDEX(종합!O$3:O$501,MATCH(ROW()-2,종합!$AD$3:$AD$501,0))&amp;"","")</f>
        <v/>
      </c>
      <c r="P259" s="21" t="str">
        <f aca="false">IFERROR(INDEX(종합!P$3:P$501,MATCH(ROW()-2,종합!$AD$3:$AD$501,0))&amp;"","")</f>
        <v/>
      </c>
      <c r="Q259" s="21" t="str">
        <f aca="false">IFERROR(INDEX(종합!Q$3:Q$501,MATCH(ROW()-2,종합!$AD$3:$AD$501,0))&amp;"","")</f>
        <v/>
      </c>
      <c r="R259" s="21" t="str">
        <f aca="false">IFERROR(INDEX(종합!R$3:R$501,MATCH(ROW()-2,종합!$AD$3:$AD$501,0))&amp;"","")</f>
        <v/>
      </c>
      <c r="S259" s="21" t="str">
        <f aca="false">IFERROR(INDEX(종합!S$3:S$501,MATCH(ROW()-2,종합!$AD$3:$AD$501,0))&amp;"","")</f>
        <v/>
      </c>
      <c r="T259" s="21" t="str">
        <f aca="false">IFERROR(INDEX(종합!T$3:T$501,MATCH(ROW()-2,종합!$AD$3:$AD$501,0))&amp;"","")</f>
        <v/>
      </c>
      <c r="U259" s="21" t="str">
        <f aca="false">IFERROR(INDEX(종합!U$3:U$501,MATCH(ROW()-2,종합!$AD$3:$AD$501,0))&amp;"","")</f>
        <v/>
      </c>
      <c r="V259" s="21" t="str">
        <f aca="false">IFERROR(INDEX(종합!V$3:V$501,MATCH(ROW()-2,종합!$AD$3:$AD$501,0))&amp;"","")</f>
        <v/>
      </c>
      <c r="W259" s="21" t="str">
        <f aca="false">IFERROR(INDEX(종합!W$3:W$501,MATCH(ROW()-2,종합!$AD$3:$AD$501,0))&amp;"","")</f>
        <v/>
      </c>
      <c r="X259" s="21" t="str">
        <f aca="false">IFERROR(INDEX(종합!X$3:X$501,MATCH(ROW()-2,종합!$AD$3:$AD$501,0))&amp;"","")</f>
        <v/>
      </c>
      <c r="Y259" s="21" t="str">
        <f aca="false">IFERROR(INDEX(종합!Y$3:Y$501,MATCH(ROW()-2,종합!$AD$3:$AD$501,0))&amp;"","")</f>
        <v/>
      </c>
      <c r="Z259" s="21" t="str">
        <f aca="false">IFERROR(INDEX(종합!Z$3:Z$501,MATCH(ROW()-2,종합!$AD$3:$AD$501,0))&amp;"","")</f>
        <v/>
      </c>
      <c r="AA259" s="23" t="str">
        <f aca="false">IFERROR(INDEX(종합!AA$3:AA$501,MATCH(ROW()-2,종합!$AD$3:$AD$501,0))&amp;"","")</f>
        <v/>
      </c>
    </row>
    <row r="260" customFormat="false" ht="16.5" hidden="false" customHeight="true" outlineLevel="0" collapsed="false">
      <c r="A260" s="18" t="str">
        <f aca="false">IF(B260="","",ROW()-2)</f>
        <v/>
      </c>
      <c r="B260" s="18" t="str">
        <f aca="false">IFERROR(INDEX(종합!B$3:B$501,MATCH(ROW()-2,종합!$AD$3:$AD$501,0))&amp;"","")</f>
        <v/>
      </c>
      <c r="C260" s="18" t="str">
        <f aca="false">IFERROR(INDEX(종합!C$3:C$501,MATCH(ROW()-2,종합!$AD$3:$AD$501,0))&amp;"","")</f>
        <v/>
      </c>
      <c r="D260" s="18" t="str">
        <f aca="false">IFERROR(INDEX(종합!D$3:D$501,MATCH(ROW()-2,종합!$AD$3:$AD$501,0))&amp;"","")</f>
        <v/>
      </c>
      <c r="E260" s="18" t="str">
        <f aca="false">IFERROR(INDEX(종합!E$3:E$501,MATCH(ROW()-2,종합!$AD$3:$AD$501,0))&amp;"","")</f>
        <v/>
      </c>
      <c r="F260" s="18" t="str">
        <f aca="false">IFERROR(INDEX(종합!F$3:F$501,MATCH(ROW()-2,종합!$AD$3:$AD$501,0))&amp;"","")</f>
        <v/>
      </c>
      <c r="G260" s="18" t="str">
        <f aca="false">IFERROR(INDEX(종합!G$3:G$501,MATCH(ROW()-2,종합!$AD$3:$AD$501,0))&amp;"","")</f>
        <v/>
      </c>
      <c r="H260" s="21" t="str">
        <f aca="false">IFERROR(INDEX(종합!H$3:H$501,MATCH(ROW()-2,종합!$AD$3:$AD$501,0))&amp;"","")</f>
        <v/>
      </c>
      <c r="I260" s="21" t="str">
        <f aca="false">IFERROR(INDEX(종합!I$3:I$501,MATCH(ROW()-2,종합!$AD$3:$AD$501,0))&amp;"","")</f>
        <v/>
      </c>
      <c r="J260" s="21" t="str">
        <f aca="false">IFERROR(INDEX(종합!J$3:J$501,MATCH(ROW()-2,종합!$AD$3:$AD$501,0))&amp;"","")</f>
        <v/>
      </c>
      <c r="K260" s="21" t="str">
        <f aca="false">IFERROR(INDEX(종합!K$3:K$501,MATCH(ROW()-2,종합!$AD$3:$AD$501,0))&amp;"","")</f>
        <v/>
      </c>
      <c r="L260" s="21" t="str">
        <f aca="false">IFERROR(INDEX(종합!L$3:L$501,MATCH(ROW()-2,종합!$AD$3:$AD$501,0))&amp;"","")</f>
        <v/>
      </c>
      <c r="M260" s="21" t="str">
        <f aca="false">IFERROR(INDEX(종합!M$3:M$501,MATCH(ROW()-2,종합!$AD$3:$AD$501,0))&amp;"","")</f>
        <v/>
      </c>
      <c r="N260" s="25" t="str">
        <f aca="false">IFERROR(INDEX(종합!N$3:N$501,MATCH(ROW()-2,종합!$AD$3:$AD$501,0))&amp;"","")</f>
        <v/>
      </c>
      <c r="O260" s="21" t="str">
        <f aca="false">IFERROR(INDEX(종합!O$3:O$501,MATCH(ROW()-2,종합!$AD$3:$AD$501,0))&amp;"","")</f>
        <v/>
      </c>
      <c r="P260" s="21" t="str">
        <f aca="false">IFERROR(INDEX(종합!P$3:P$501,MATCH(ROW()-2,종합!$AD$3:$AD$501,0))&amp;"","")</f>
        <v/>
      </c>
      <c r="Q260" s="21" t="str">
        <f aca="false">IFERROR(INDEX(종합!Q$3:Q$501,MATCH(ROW()-2,종합!$AD$3:$AD$501,0))&amp;"","")</f>
        <v/>
      </c>
      <c r="R260" s="21" t="str">
        <f aca="false">IFERROR(INDEX(종합!R$3:R$501,MATCH(ROW()-2,종합!$AD$3:$AD$501,0))&amp;"","")</f>
        <v/>
      </c>
      <c r="S260" s="21" t="str">
        <f aca="false">IFERROR(INDEX(종합!S$3:S$501,MATCH(ROW()-2,종합!$AD$3:$AD$501,0))&amp;"","")</f>
        <v/>
      </c>
      <c r="T260" s="21" t="str">
        <f aca="false">IFERROR(INDEX(종합!T$3:T$501,MATCH(ROW()-2,종합!$AD$3:$AD$501,0))&amp;"","")</f>
        <v/>
      </c>
      <c r="U260" s="21" t="str">
        <f aca="false">IFERROR(INDEX(종합!U$3:U$501,MATCH(ROW()-2,종합!$AD$3:$AD$501,0))&amp;"","")</f>
        <v/>
      </c>
      <c r="V260" s="21" t="str">
        <f aca="false">IFERROR(INDEX(종합!V$3:V$501,MATCH(ROW()-2,종합!$AD$3:$AD$501,0))&amp;"","")</f>
        <v/>
      </c>
      <c r="W260" s="21" t="str">
        <f aca="false">IFERROR(INDEX(종합!W$3:W$501,MATCH(ROW()-2,종합!$AD$3:$AD$501,0))&amp;"","")</f>
        <v/>
      </c>
      <c r="X260" s="21" t="str">
        <f aca="false">IFERROR(INDEX(종합!X$3:X$501,MATCH(ROW()-2,종합!$AD$3:$AD$501,0))&amp;"","")</f>
        <v/>
      </c>
      <c r="Y260" s="21" t="str">
        <f aca="false">IFERROR(INDEX(종합!Y$3:Y$501,MATCH(ROW()-2,종합!$AD$3:$AD$501,0))&amp;"","")</f>
        <v/>
      </c>
      <c r="Z260" s="21" t="str">
        <f aca="false">IFERROR(INDEX(종합!Z$3:Z$501,MATCH(ROW()-2,종합!$AD$3:$AD$501,0))&amp;"","")</f>
        <v/>
      </c>
      <c r="AA260" s="23" t="str">
        <f aca="false">IFERROR(INDEX(종합!AA$3:AA$501,MATCH(ROW()-2,종합!$AD$3:$AD$501,0))&amp;"","")</f>
        <v/>
      </c>
    </row>
    <row r="261" customFormat="false" ht="16.5" hidden="false" customHeight="true" outlineLevel="0" collapsed="false">
      <c r="A261" s="18" t="str">
        <f aca="false">IF(B261="","",ROW()-2)</f>
        <v/>
      </c>
      <c r="B261" s="18" t="str">
        <f aca="false">IFERROR(INDEX(종합!B$3:B$501,MATCH(ROW()-2,종합!$AD$3:$AD$501,0))&amp;"","")</f>
        <v/>
      </c>
      <c r="C261" s="18" t="str">
        <f aca="false">IFERROR(INDEX(종합!C$3:C$501,MATCH(ROW()-2,종합!$AD$3:$AD$501,0))&amp;"","")</f>
        <v/>
      </c>
      <c r="D261" s="18" t="str">
        <f aca="false">IFERROR(INDEX(종합!D$3:D$501,MATCH(ROW()-2,종합!$AD$3:$AD$501,0))&amp;"","")</f>
        <v/>
      </c>
      <c r="E261" s="18" t="str">
        <f aca="false">IFERROR(INDEX(종합!E$3:E$501,MATCH(ROW()-2,종합!$AD$3:$AD$501,0))&amp;"","")</f>
        <v/>
      </c>
      <c r="F261" s="18" t="str">
        <f aca="false">IFERROR(INDEX(종합!F$3:F$501,MATCH(ROW()-2,종합!$AD$3:$AD$501,0))&amp;"","")</f>
        <v/>
      </c>
      <c r="G261" s="18" t="str">
        <f aca="false">IFERROR(INDEX(종합!G$3:G$501,MATCH(ROW()-2,종합!$AD$3:$AD$501,0))&amp;"","")</f>
        <v/>
      </c>
      <c r="H261" s="21" t="str">
        <f aca="false">IFERROR(INDEX(종합!H$3:H$501,MATCH(ROW()-2,종합!$AD$3:$AD$501,0))&amp;"","")</f>
        <v/>
      </c>
      <c r="I261" s="21" t="str">
        <f aca="false">IFERROR(INDEX(종합!I$3:I$501,MATCH(ROW()-2,종합!$AD$3:$AD$501,0))&amp;"","")</f>
        <v/>
      </c>
      <c r="J261" s="21" t="str">
        <f aca="false">IFERROR(INDEX(종합!J$3:J$501,MATCH(ROW()-2,종합!$AD$3:$AD$501,0))&amp;"","")</f>
        <v/>
      </c>
      <c r="K261" s="21" t="str">
        <f aca="false">IFERROR(INDEX(종합!K$3:K$501,MATCH(ROW()-2,종합!$AD$3:$AD$501,0))&amp;"","")</f>
        <v/>
      </c>
      <c r="L261" s="21" t="str">
        <f aca="false">IFERROR(INDEX(종합!L$3:L$501,MATCH(ROW()-2,종합!$AD$3:$AD$501,0))&amp;"","")</f>
        <v/>
      </c>
      <c r="M261" s="21" t="str">
        <f aca="false">IFERROR(INDEX(종합!M$3:M$501,MATCH(ROW()-2,종합!$AD$3:$AD$501,0))&amp;"","")</f>
        <v/>
      </c>
      <c r="N261" s="25" t="str">
        <f aca="false">IFERROR(INDEX(종합!N$3:N$501,MATCH(ROW()-2,종합!$AD$3:$AD$501,0))&amp;"","")</f>
        <v/>
      </c>
      <c r="O261" s="21" t="str">
        <f aca="false">IFERROR(INDEX(종합!O$3:O$501,MATCH(ROW()-2,종합!$AD$3:$AD$501,0))&amp;"","")</f>
        <v/>
      </c>
      <c r="P261" s="21" t="str">
        <f aca="false">IFERROR(INDEX(종합!P$3:P$501,MATCH(ROW()-2,종합!$AD$3:$AD$501,0))&amp;"","")</f>
        <v/>
      </c>
      <c r="Q261" s="21" t="str">
        <f aca="false">IFERROR(INDEX(종합!Q$3:Q$501,MATCH(ROW()-2,종합!$AD$3:$AD$501,0))&amp;"","")</f>
        <v/>
      </c>
      <c r="R261" s="21" t="str">
        <f aca="false">IFERROR(INDEX(종합!R$3:R$501,MATCH(ROW()-2,종합!$AD$3:$AD$501,0))&amp;"","")</f>
        <v/>
      </c>
      <c r="S261" s="21" t="str">
        <f aca="false">IFERROR(INDEX(종합!S$3:S$501,MATCH(ROW()-2,종합!$AD$3:$AD$501,0))&amp;"","")</f>
        <v/>
      </c>
      <c r="T261" s="21" t="str">
        <f aca="false">IFERROR(INDEX(종합!T$3:T$501,MATCH(ROW()-2,종합!$AD$3:$AD$501,0))&amp;"","")</f>
        <v/>
      </c>
      <c r="U261" s="21" t="str">
        <f aca="false">IFERROR(INDEX(종합!U$3:U$501,MATCH(ROW()-2,종합!$AD$3:$AD$501,0))&amp;"","")</f>
        <v/>
      </c>
      <c r="V261" s="21" t="str">
        <f aca="false">IFERROR(INDEX(종합!V$3:V$501,MATCH(ROW()-2,종합!$AD$3:$AD$501,0))&amp;"","")</f>
        <v/>
      </c>
      <c r="W261" s="21" t="str">
        <f aca="false">IFERROR(INDEX(종합!W$3:W$501,MATCH(ROW()-2,종합!$AD$3:$AD$501,0))&amp;"","")</f>
        <v/>
      </c>
      <c r="X261" s="21" t="str">
        <f aca="false">IFERROR(INDEX(종합!X$3:X$501,MATCH(ROW()-2,종합!$AD$3:$AD$501,0))&amp;"","")</f>
        <v/>
      </c>
      <c r="Y261" s="21" t="str">
        <f aca="false">IFERROR(INDEX(종합!Y$3:Y$501,MATCH(ROW()-2,종합!$AD$3:$AD$501,0))&amp;"","")</f>
        <v/>
      </c>
      <c r="Z261" s="21" t="str">
        <f aca="false">IFERROR(INDEX(종합!Z$3:Z$501,MATCH(ROW()-2,종합!$AD$3:$AD$501,0))&amp;"","")</f>
        <v/>
      </c>
      <c r="AA261" s="23" t="str">
        <f aca="false">IFERROR(INDEX(종합!AA$3:AA$501,MATCH(ROW()-2,종합!$AD$3:$AD$501,0))&amp;"","")</f>
        <v/>
      </c>
    </row>
    <row r="262" customFormat="false" ht="16.5" hidden="false" customHeight="true" outlineLevel="0" collapsed="false">
      <c r="A262" s="18" t="str">
        <f aca="false">IF(B262="","",ROW()-2)</f>
        <v/>
      </c>
      <c r="B262" s="18" t="str">
        <f aca="false">IFERROR(INDEX(종합!B$3:B$501,MATCH(ROW()-2,종합!$AD$3:$AD$501,0))&amp;"","")</f>
        <v/>
      </c>
      <c r="C262" s="18" t="str">
        <f aca="false">IFERROR(INDEX(종합!C$3:C$501,MATCH(ROW()-2,종합!$AD$3:$AD$501,0))&amp;"","")</f>
        <v/>
      </c>
      <c r="D262" s="18" t="str">
        <f aca="false">IFERROR(INDEX(종합!D$3:D$501,MATCH(ROW()-2,종합!$AD$3:$AD$501,0))&amp;"","")</f>
        <v/>
      </c>
      <c r="E262" s="18" t="str">
        <f aca="false">IFERROR(INDEX(종합!E$3:E$501,MATCH(ROW()-2,종합!$AD$3:$AD$501,0))&amp;"","")</f>
        <v/>
      </c>
      <c r="F262" s="18" t="str">
        <f aca="false">IFERROR(INDEX(종합!F$3:F$501,MATCH(ROW()-2,종합!$AD$3:$AD$501,0))&amp;"","")</f>
        <v/>
      </c>
      <c r="G262" s="18" t="str">
        <f aca="false">IFERROR(INDEX(종합!G$3:G$501,MATCH(ROW()-2,종합!$AD$3:$AD$501,0))&amp;"","")</f>
        <v/>
      </c>
      <c r="H262" s="21" t="str">
        <f aca="false">IFERROR(INDEX(종합!H$3:H$501,MATCH(ROW()-2,종합!$AD$3:$AD$501,0))&amp;"","")</f>
        <v/>
      </c>
      <c r="I262" s="21" t="str">
        <f aca="false">IFERROR(INDEX(종합!I$3:I$501,MATCH(ROW()-2,종합!$AD$3:$AD$501,0))&amp;"","")</f>
        <v/>
      </c>
      <c r="J262" s="21" t="str">
        <f aca="false">IFERROR(INDEX(종합!J$3:J$501,MATCH(ROW()-2,종합!$AD$3:$AD$501,0))&amp;"","")</f>
        <v/>
      </c>
      <c r="K262" s="21" t="str">
        <f aca="false">IFERROR(INDEX(종합!K$3:K$501,MATCH(ROW()-2,종합!$AD$3:$AD$501,0))&amp;"","")</f>
        <v/>
      </c>
      <c r="L262" s="21" t="str">
        <f aca="false">IFERROR(INDEX(종합!L$3:L$501,MATCH(ROW()-2,종합!$AD$3:$AD$501,0))&amp;"","")</f>
        <v/>
      </c>
      <c r="M262" s="21" t="str">
        <f aca="false">IFERROR(INDEX(종합!M$3:M$501,MATCH(ROW()-2,종합!$AD$3:$AD$501,0))&amp;"","")</f>
        <v/>
      </c>
      <c r="N262" s="25" t="str">
        <f aca="false">IFERROR(INDEX(종합!N$3:N$501,MATCH(ROW()-2,종합!$AD$3:$AD$501,0))&amp;"","")</f>
        <v/>
      </c>
      <c r="O262" s="21" t="str">
        <f aca="false">IFERROR(INDEX(종합!O$3:O$501,MATCH(ROW()-2,종합!$AD$3:$AD$501,0))&amp;"","")</f>
        <v/>
      </c>
      <c r="P262" s="21" t="str">
        <f aca="false">IFERROR(INDEX(종합!P$3:P$501,MATCH(ROW()-2,종합!$AD$3:$AD$501,0))&amp;"","")</f>
        <v/>
      </c>
      <c r="Q262" s="21" t="str">
        <f aca="false">IFERROR(INDEX(종합!Q$3:Q$501,MATCH(ROW()-2,종합!$AD$3:$AD$501,0))&amp;"","")</f>
        <v/>
      </c>
      <c r="R262" s="21" t="str">
        <f aca="false">IFERROR(INDEX(종합!R$3:R$501,MATCH(ROW()-2,종합!$AD$3:$AD$501,0))&amp;"","")</f>
        <v/>
      </c>
      <c r="S262" s="21" t="str">
        <f aca="false">IFERROR(INDEX(종합!S$3:S$501,MATCH(ROW()-2,종합!$AD$3:$AD$501,0))&amp;"","")</f>
        <v/>
      </c>
      <c r="T262" s="21" t="str">
        <f aca="false">IFERROR(INDEX(종합!T$3:T$501,MATCH(ROW()-2,종합!$AD$3:$AD$501,0))&amp;"","")</f>
        <v/>
      </c>
      <c r="U262" s="21" t="str">
        <f aca="false">IFERROR(INDEX(종합!U$3:U$501,MATCH(ROW()-2,종합!$AD$3:$AD$501,0))&amp;"","")</f>
        <v/>
      </c>
      <c r="V262" s="21" t="str">
        <f aca="false">IFERROR(INDEX(종합!V$3:V$501,MATCH(ROW()-2,종합!$AD$3:$AD$501,0))&amp;"","")</f>
        <v/>
      </c>
      <c r="W262" s="21" t="str">
        <f aca="false">IFERROR(INDEX(종합!W$3:W$501,MATCH(ROW()-2,종합!$AD$3:$AD$501,0))&amp;"","")</f>
        <v/>
      </c>
      <c r="X262" s="21" t="str">
        <f aca="false">IFERROR(INDEX(종합!X$3:X$501,MATCH(ROW()-2,종합!$AD$3:$AD$501,0))&amp;"","")</f>
        <v/>
      </c>
      <c r="Y262" s="21" t="str">
        <f aca="false">IFERROR(INDEX(종합!Y$3:Y$501,MATCH(ROW()-2,종합!$AD$3:$AD$501,0))&amp;"","")</f>
        <v/>
      </c>
      <c r="Z262" s="21" t="str">
        <f aca="false">IFERROR(INDEX(종합!Z$3:Z$501,MATCH(ROW()-2,종합!$AD$3:$AD$501,0))&amp;"","")</f>
        <v/>
      </c>
      <c r="AA262" s="23" t="str">
        <f aca="false">IFERROR(INDEX(종합!AA$3:AA$501,MATCH(ROW()-2,종합!$AD$3:$AD$501,0))&amp;"","")</f>
        <v/>
      </c>
    </row>
    <row r="263" customFormat="false" ht="16.5" hidden="false" customHeight="true" outlineLevel="0" collapsed="false">
      <c r="A263" s="18" t="str">
        <f aca="false">IF(B263="","",ROW()-2)</f>
        <v/>
      </c>
      <c r="B263" s="18" t="str">
        <f aca="false">IFERROR(INDEX(종합!B$3:B$501,MATCH(ROW()-2,종합!$AD$3:$AD$501,0))&amp;"","")</f>
        <v/>
      </c>
      <c r="C263" s="18" t="str">
        <f aca="false">IFERROR(INDEX(종합!C$3:C$501,MATCH(ROW()-2,종합!$AD$3:$AD$501,0))&amp;"","")</f>
        <v/>
      </c>
      <c r="D263" s="18" t="str">
        <f aca="false">IFERROR(INDEX(종합!D$3:D$501,MATCH(ROW()-2,종합!$AD$3:$AD$501,0))&amp;"","")</f>
        <v/>
      </c>
      <c r="E263" s="18" t="str">
        <f aca="false">IFERROR(INDEX(종합!E$3:E$501,MATCH(ROW()-2,종합!$AD$3:$AD$501,0))&amp;"","")</f>
        <v/>
      </c>
      <c r="F263" s="18" t="str">
        <f aca="false">IFERROR(INDEX(종합!F$3:F$501,MATCH(ROW()-2,종합!$AD$3:$AD$501,0))&amp;"","")</f>
        <v/>
      </c>
      <c r="G263" s="18" t="str">
        <f aca="false">IFERROR(INDEX(종합!G$3:G$501,MATCH(ROW()-2,종합!$AD$3:$AD$501,0))&amp;"","")</f>
        <v/>
      </c>
      <c r="H263" s="21" t="str">
        <f aca="false">IFERROR(INDEX(종합!H$3:H$501,MATCH(ROW()-2,종합!$AD$3:$AD$501,0))&amp;"","")</f>
        <v/>
      </c>
      <c r="I263" s="21" t="str">
        <f aca="false">IFERROR(INDEX(종합!I$3:I$501,MATCH(ROW()-2,종합!$AD$3:$AD$501,0))&amp;"","")</f>
        <v/>
      </c>
      <c r="J263" s="21" t="str">
        <f aca="false">IFERROR(INDEX(종합!J$3:J$501,MATCH(ROW()-2,종합!$AD$3:$AD$501,0))&amp;"","")</f>
        <v/>
      </c>
      <c r="K263" s="21" t="str">
        <f aca="false">IFERROR(INDEX(종합!K$3:K$501,MATCH(ROW()-2,종합!$AD$3:$AD$501,0))&amp;"","")</f>
        <v/>
      </c>
      <c r="L263" s="21" t="str">
        <f aca="false">IFERROR(INDEX(종합!L$3:L$501,MATCH(ROW()-2,종합!$AD$3:$AD$501,0))&amp;"","")</f>
        <v/>
      </c>
      <c r="M263" s="21" t="str">
        <f aca="false">IFERROR(INDEX(종합!M$3:M$501,MATCH(ROW()-2,종합!$AD$3:$AD$501,0))&amp;"","")</f>
        <v/>
      </c>
      <c r="N263" s="25" t="str">
        <f aca="false">IFERROR(INDEX(종합!N$3:N$501,MATCH(ROW()-2,종합!$AD$3:$AD$501,0))&amp;"","")</f>
        <v/>
      </c>
      <c r="O263" s="21" t="str">
        <f aca="false">IFERROR(INDEX(종합!O$3:O$501,MATCH(ROW()-2,종합!$AD$3:$AD$501,0))&amp;"","")</f>
        <v/>
      </c>
      <c r="P263" s="21" t="str">
        <f aca="false">IFERROR(INDEX(종합!P$3:P$501,MATCH(ROW()-2,종합!$AD$3:$AD$501,0))&amp;"","")</f>
        <v/>
      </c>
      <c r="Q263" s="21" t="str">
        <f aca="false">IFERROR(INDEX(종합!Q$3:Q$501,MATCH(ROW()-2,종합!$AD$3:$AD$501,0))&amp;"","")</f>
        <v/>
      </c>
      <c r="R263" s="21" t="str">
        <f aca="false">IFERROR(INDEX(종합!R$3:R$501,MATCH(ROW()-2,종합!$AD$3:$AD$501,0))&amp;"","")</f>
        <v/>
      </c>
      <c r="S263" s="21" t="str">
        <f aca="false">IFERROR(INDEX(종합!S$3:S$501,MATCH(ROW()-2,종합!$AD$3:$AD$501,0))&amp;"","")</f>
        <v/>
      </c>
      <c r="T263" s="21" t="str">
        <f aca="false">IFERROR(INDEX(종합!T$3:T$501,MATCH(ROW()-2,종합!$AD$3:$AD$501,0))&amp;"","")</f>
        <v/>
      </c>
      <c r="U263" s="21" t="str">
        <f aca="false">IFERROR(INDEX(종합!U$3:U$501,MATCH(ROW()-2,종합!$AD$3:$AD$501,0))&amp;"","")</f>
        <v/>
      </c>
      <c r="V263" s="21" t="str">
        <f aca="false">IFERROR(INDEX(종합!V$3:V$501,MATCH(ROW()-2,종합!$AD$3:$AD$501,0))&amp;"","")</f>
        <v/>
      </c>
      <c r="W263" s="21" t="str">
        <f aca="false">IFERROR(INDEX(종합!W$3:W$501,MATCH(ROW()-2,종합!$AD$3:$AD$501,0))&amp;"","")</f>
        <v/>
      </c>
      <c r="X263" s="21" t="str">
        <f aca="false">IFERROR(INDEX(종합!X$3:X$501,MATCH(ROW()-2,종합!$AD$3:$AD$501,0))&amp;"","")</f>
        <v/>
      </c>
      <c r="Y263" s="21" t="str">
        <f aca="false">IFERROR(INDEX(종합!Y$3:Y$501,MATCH(ROW()-2,종합!$AD$3:$AD$501,0))&amp;"","")</f>
        <v/>
      </c>
      <c r="Z263" s="21" t="str">
        <f aca="false">IFERROR(INDEX(종합!Z$3:Z$501,MATCH(ROW()-2,종합!$AD$3:$AD$501,0))&amp;"","")</f>
        <v/>
      </c>
      <c r="AA263" s="23" t="str">
        <f aca="false">IFERROR(INDEX(종합!AA$3:AA$501,MATCH(ROW()-2,종합!$AD$3:$AD$501,0))&amp;"","")</f>
        <v/>
      </c>
    </row>
    <row r="264" customFormat="false" ht="16.5" hidden="false" customHeight="true" outlineLevel="0" collapsed="false">
      <c r="A264" s="18" t="str">
        <f aca="false">IF(B264="","",ROW()-2)</f>
        <v/>
      </c>
      <c r="B264" s="18" t="str">
        <f aca="false">IFERROR(INDEX(종합!B$3:B$501,MATCH(ROW()-2,종합!$AD$3:$AD$501,0))&amp;"","")</f>
        <v/>
      </c>
      <c r="C264" s="18" t="str">
        <f aca="false">IFERROR(INDEX(종합!C$3:C$501,MATCH(ROW()-2,종합!$AD$3:$AD$501,0))&amp;"","")</f>
        <v/>
      </c>
      <c r="D264" s="18" t="str">
        <f aca="false">IFERROR(INDEX(종합!D$3:D$501,MATCH(ROW()-2,종합!$AD$3:$AD$501,0))&amp;"","")</f>
        <v/>
      </c>
      <c r="E264" s="18" t="str">
        <f aca="false">IFERROR(INDEX(종합!E$3:E$501,MATCH(ROW()-2,종합!$AD$3:$AD$501,0))&amp;"","")</f>
        <v/>
      </c>
      <c r="F264" s="18" t="str">
        <f aca="false">IFERROR(INDEX(종합!F$3:F$501,MATCH(ROW()-2,종합!$AD$3:$AD$501,0))&amp;"","")</f>
        <v/>
      </c>
      <c r="G264" s="18" t="str">
        <f aca="false">IFERROR(INDEX(종합!G$3:G$501,MATCH(ROW()-2,종합!$AD$3:$AD$501,0))&amp;"","")</f>
        <v/>
      </c>
      <c r="H264" s="21" t="str">
        <f aca="false">IFERROR(INDEX(종합!H$3:H$501,MATCH(ROW()-2,종합!$AD$3:$AD$501,0))&amp;"","")</f>
        <v/>
      </c>
      <c r="I264" s="21" t="str">
        <f aca="false">IFERROR(INDEX(종합!I$3:I$501,MATCH(ROW()-2,종합!$AD$3:$AD$501,0))&amp;"","")</f>
        <v/>
      </c>
      <c r="J264" s="21" t="str">
        <f aca="false">IFERROR(INDEX(종합!J$3:J$501,MATCH(ROW()-2,종합!$AD$3:$AD$501,0))&amp;"","")</f>
        <v/>
      </c>
      <c r="K264" s="21" t="str">
        <f aca="false">IFERROR(INDEX(종합!K$3:K$501,MATCH(ROW()-2,종합!$AD$3:$AD$501,0))&amp;"","")</f>
        <v/>
      </c>
      <c r="L264" s="21" t="str">
        <f aca="false">IFERROR(INDEX(종합!L$3:L$501,MATCH(ROW()-2,종합!$AD$3:$AD$501,0))&amp;"","")</f>
        <v/>
      </c>
      <c r="M264" s="21" t="str">
        <f aca="false">IFERROR(INDEX(종합!M$3:M$501,MATCH(ROW()-2,종합!$AD$3:$AD$501,0))&amp;"","")</f>
        <v/>
      </c>
      <c r="N264" s="25" t="str">
        <f aca="false">IFERROR(INDEX(종합!N$3:N$501,MATCH(ROW()-2,종합!$AD$3:$AD$501,0))&amp;"","")</f>
        <v/>
      </c>
      <c r="O264" s="21" t="str">
        <f aca="false">IFERROR(INDEX(종합!O$3:O$501,MATCH(ROW()-2,종합!$AD$3:$AD$501,0))&amp;"","")</f>
        <v/>
      </c>
      <c r="P264" s="21" t="str">
        <f aca="false">IFERROR(INDEX(종합!P$3:P$501,MATCH(ROW()-2,종합!$AD$3:$AD$501,0))&amp;"","")</f>
        <v/>
      </c>
      <c r="Q264" s="21" t="str">
        <f aca="false">IFERROR(INDEX(종합!Q$3:Q$501,MATCH(ROW()-2,종합!$AD$3:$AD$501,0))&amp;"","")</f>
        <v/>
      </c>
      <c r="R264" s="21" t="str">
        <f aca="false">IFERROR(INDEX(종합!R$3:R$501,MATCH(ROW()-2,종합!$AD$3:$AD$501,0))&amp;"","")</f>
        <v/>
      </c>
      <c r="S264" s="21" t="str">
        <f aca="false">IFERROR(INDEX(종합!S$3:S$501,MATCH(ROW()-2,종합!$AD$3:$AD$501,0))&amp;"","")</f>
        <v/>
      </c>
      <c r="T264" s="21" t="str">
        <f aca="false">IFERROR(INDEX(종합!T$3:T$501,MATCH(ROW()-2,종합!$AD$3:$AD$501,0))&amp;"","")</f>
        <v/>
      </c>
      <c r="U264" s="21" t="str">
        <f aca="false">IFERROR(INDEX(종합!U$3:U$501,MATCH(ROW()-2,종합!$AD$3:$AD$501,0))&amp;"","")</f>
        <v/>
      </c>
      <c r="V264" s="21" t="str">
        <f aca="false">IFERROR(INDEX(종합!V$3:V$501,MATCH(ROW()-2,종합!$AD$3:$AD$501,0))&amp;"","")</f>
        <v/>
      </c>
      <c r="W264" s="21" t="str">
        <f aca="false">IFERROR(INDEX(종합!W$3:W$501,MATCH(ROW()-2,종합!$AD$3:$AD$501,0))&amp;"","")</f>
        <v/>
      </c>
      <c r="X264" s="21" t="str">
        <f aca="false">IFERROR(INDEX(종합!X$3:X$501,MATCH(ROW()-2,종합!$AD$3:$AD$501,0))&amp;"","")</f>
        <v/>
      </c>
      <c r="Y264" s="21" t="str">
        <f aca="false">IFERROR(INDEX(종합!Y$3:Y$501,MATCH(ROW()-2,종합!$AD$3:$AD$501,0))&amp;"","")</f>
        <v/>
      </c>
      <c r="Z264" s="21" t="str">
        <f aca="false">IFERROR(INDEX(종합!Z$3:Z$501,MATCH(ROW()-2,종합!$AD$3:$AD$501,0))&amp;"","")</f>
        <v/>
      </c>
      <c r="AA264" s="23" t="str">
        <f aca="false">IFERROR(INDEX(종합!AA$3:AA$501,MATCH(ROW()-2,종합!$AD$3:$AD$501,0))&amp;"","")</f>
        <v/>
      </c>
    </row>
    <row r="265" customFormat="false" ht="16.5" hidden="false" customHeight="true" outlineLevel="0" collapsed="false">
      <c r="A265" s="18" t="str">
        <f aca="false">IF(B265="","",ROW()-2)</f>
        <v/>
      </c>
      <c r="B265" s="18" t="str">
        <f aca="false">IFERROR(INDEX(종합!B$3:B$501,MATCH(ROW()-2,종합!$AD$3:$AD$501,0))&amp;"","")</f>
        <v/>
      </c>
      <c r="C265" s="18" t="str">
        <f aca="false">IFERROR(INDEX(종합!C$3:C$501,MATCH(ROW()-2,종합!$AD$3:$AD$501,0))&amp;"","")</f>
        <v/>
      </c>
      <c r="D265" s="18" t="str">
        <f aca="false">IFERROR(INDEX(종합!D$3:D$501,MATCH(ROW()-2,종합!$AD$3:$AD$501,0))&amp;"","")</f>
        <v/>
      </c>
      <c r="E265" s="18" t="str">
        <f aca="false">IFERROR(INDEX(종합!E$3:E$501,MATCH(ROW()-2,종합!$AD$3:$AD$501,0))&amp;"","")</f>
        <v/>
      </c>
      <c r="F265" s="18" t="str">
        <f aca="false">IFERROR(INDEX(종합!F$3:F$501,MATCH(ROW()-2,종합!$AD$3:$AD$501,0))&amp;"","")</f>
        <v/>
      </c>
      <c r="G265" s="18" t="str">
        <f aca="false">IFERROR(INDEX(종합!G$3:G$501,MATCH(ROW()-2,종합!$AD$3:$AD$501,0))&amp;"","")</f>
        <v/>
      </c>
      <c r="H265" s="21" t="str">
        <f aca="false">IFERROR(INDEX(종합!H$3:H$501,MATCH(ROW()-2,종합!$AD$3:$AD$501,0))&amp;"","")</f>
        <v/>
      </c>
      <c r="I265" s="21" t="str">
        <f aca="false">IFERROR(INDEX(종합!I$3:I$501,MATCH(ROW()-2,종합!$AD$3:$AD$501,0))&amp;"","")</f>
        <v/>
      </c>
      <c r="J265" s="21" t="str">
        <f aca="false">IFERROR(INDEX(종합!J$3:J$501,MATCH(ROW()-2,종합!$AD$3:$AD$501,0))&amp;"","")</f>
        <v/>
      </c>
      <c r="K265" s="21" t="str">
        <f aca="false">IFERROR(INDEX(종합!K$3:K$501,MATCH(ROW()-2,종합!$AD$3:$AD$501,0))&amp;"","")</f>
        <v/>
      </c>
      <c r="L265" s="21" t="str">
        <f aca="false">IFERROR(INDEX(종합!L$3:L$501,MATCH(ROW()-2,종합!$AD$3:$AD$501,0))&amp;"","")</f>
        <v/>
      </c>
      <c r="M265" s="21" t="str">
        <f aca="false">IFERROR(INDEX(종합!M$3:M$501,MATCH(ROW()-2,종합!$AD$3:$AD$501,0))&amp;"","")</f>
        <v/>
      </c>
      <c r="N265" s="25" t="str">
        <f aca="false">IFERROR(INDEX(종합!N$3:N$501,MATCH(ROW()-2,종합!$AD$3:$AD$501,0))&amp;"","")</f>
        <v/>
      </c>
      <c r="O265" s="21" t="str">
        <f aca="false">IFERROR(INDEX(종합!O$3:O$501,MATCH(ROW()-2,종합!$AD$3:$AD$501,0))&amp;"","")</f>
        <v/>
      </c>
      <c r="P265" s="21" t="str">
        <f aca="false">IFERROR(INDEX(종합!P$3:P$501,MATCH(ROW()-2,종합!$AD$3:$AD$501,0))&amp;"","")</f>
        <v/>
      </c>
      <c r="Q265" s="21" t="str">
        <f aca="false">IFERROR(INDEX(종합!Q$3:Q$501,MATCH(ROW()-2,종합!$AD$3:$AD$501,0))&amp;"","")</f>
        <v/>
      </c>
      <c r="R265" s="21" t="str">
        <f aca="false">IFERROR(INDEX(종합!R$3:R$501,MATCH(ROW()-2,종합!$AD$3:$AD$501,0))&amp;"","")</f>
        <v/>
      </c>
      <c r="S265" s="21" t="str">
        <f aca="false">IFERROR(INDEX(종합!S$3:S$501,MATCH(ROW()-2,종합!$AD$3:$AD$501,0))&amp;"","")</f>
        <v/>
      </c>
      <c r="T265" s="21" t="str">
        <f aca="false">IFERROR(INDEX(종합!T$3:T$501,MATCH(ROW()-2,종합!$AD$3:$AD$501,0))&amp;"","")</f>
        <v/>
      </c>
      <c r="U265" s="21" t="str">
        <f aca="false">IFERROR(INDEX(종합!U$3:U$501,MATCH(ROW()-2,종합!$AD$3:$AD$501,0))&amp;"","")</f>
        <v/>
      </c>
      <c r="V265" s="21" t="str">
        <f aca="false">IFERROR(INDEX(종합!V$3:V$501,MATCH(ROW()-2,종합!$AD$3:$AD$501,0))&amp;"","")</f>
        <v/>
      </c>
      <c r="W265" s="21" t="str">
        <f aca="false">IFERROR(INDEX(종합!W$3:W$501,MATCH(ROW()-2,종합!$AD$3:$AD$501,0))&amp;"","")</f>
        <v/>
      </c>
      <c r="X265" s="21" t="str">
        <f aca="false">IFERROR(INDEX(종합!X$3:X$501,MATCH(ROW()-2,종합!$AD$3:$AD$501,0))&amp;"","")</f>
        <v/>
      </c>
      <c r="Y265" s="21" t="str">
        <f aca="false">IFERROR(INDEX(종합!Y$3:Y$501,MATCH(ROW()-2,종합!$AD$3:$AD$501,0))&amp;"","")</f>
        <v/>
      </c>
      <c r="Z265" s="21" t="str">
        <f aca="false">IFERROR(INDEX(종합!Z$3:Z$501,MATCH(ROW()-2,종합!$AD$3:$AD$501,0))&amp;"","")</f>
        <v/>
      </c>
      <c r="AA265" s="23" t="str">
        <f aca="false">IFERROR(INDEX(종합!AA$3:AA$501,MATCH(ROW()-2,종합!$AD$3:$AD$501,0))&amp;"","")</f>
        <v/>
      </c>
    </row>
    <row r="266" customFormat="false" ht="16.5" hidden="false" customHeight="true" outlineLevel="0" collapsed="false">
      <c r="A266" s="18" t="str">
        <f aca="false">IF(B266="","",ROW()-2)</f>
        <v/>
      </c>
      <c r="B266" s="18" t="str">
        <f aca="false">IFERROR(INDEX(종합!B$3:B$501,MATCH(ROW()-2,종합!$AD$3:$AD$501,0))&amp;"","")</f>
        <v/>
      </c>
      <c r="C266" s="18" t="str">
        <f aca="false">IFERROR(INDEX(종합!C$3:C$501,MATCH(ROW()-2,종합!$AD$3:$AD$501,0))&amp;"","")</f>
        <v/>
      </c>
      <c r="D266" s="18" t="str">
        <f aca="false">IFERROR(INDEX(종합!D$3:D$501,MATCH(ROW()-2,종합!$AD$3:$AD$501,0))&amp;"","")</f>
        <v/>
      </c>
      <c r="E266" s="18" t="str">
        <f aca="false">IFERROR(INDEX(종합!E$3:E$501,MATCH(ROW()-2,종합!$AD$3:$AD$501,0))&amp;"","")</f>
        <v/>
      </c>
      <c r="F266" s="18" t="str">
        <f aca="false">IFERROR(INDEX(종합!F$3:F$501,MATCH(ROW()-2,종합!$AD$3:$AD$501,0))&amp;"","")</f>
        <v/>
      </c>
      <c r="G266" s="18" t="str">
        <f aca="false">IFERROR(INDEX(종합!G$3:G$501,MATCH(ROW()-2,종합!$AD$3:$AD$501,0))&amp;"","")</f>
        <v/>
      </c>
      <c r="H266" s="21" t="str">
        <f aca="false">IFERROR(INDEX(종합!H$3:H$501,MATCH(ROW()-2,종합!$AD$3:$AD$501,0))&amp;"","")</f>
        <v/>
      </c>
      <c r="I266" s="21" t="str">
        <f aca="false">IFERROR(INDEX(종합!I$3:I$501,MATCH(ROW()-2,종합!$AD$3:$AD$501,0))&amp;"","")</f>
        <v/>
      </c>
      <c r="J266" s="21" t="str">
        <f aca="false">IFERROR(INDEX(종합!J$3:J$501,MATCH(ROW()-2,종합!$AD$3:$AD$501,0))&amp;"","")</f>
        <v/>
      </c>
      <c r="K266" s="21" t="str">
        <f aca="false">IFERROR(INDEX(종합!K$3:K$501,MATCH(ROW()-2,종합!$AD$3:$AD$501,0))&amp;"","")</f>
        <v/>
      </c>
      <c r="L266" s="21" t="str">
        <f aca="false">IFERROR(INDEX(종합!L$3:L$501,MATCH(ROW()-2,종합!$AD$3:$AD$501,0))&amp;"","")</f>
        <v/>
      </c>
      <c r="M266" s="21" t="str">
        <f aca="false">IFERROR(INDEX(종합!M$3:M$501,MATCH(ROW()-2,종합!$AD$3:$AD$501,0))&amp;"","")</f>
        <v/>
      </c>
      <c r="N266" s="25" t="str">
        <f aca="false">IFERROR(INDEX(종합!N$3:N$501,MATCH(ROW()-2,종합!$AD$3:$AD$501,0))&amp;"","")</f>
        <v/>
      </c>
      <c r="O266" s="21" t="str">
        <f aca="false">IFERROR(INDEX(종합!O$3:O$501,MATCH(ROW()-2,종합!$AD$3:$AD$501,0))&amp;"","")</f>
        <v/>
      </c>
      <c r="P266" s="21" t="str">
        <f aca="false">IFERROR(INDEX(종합!P$3:P$501,MATCH(ROW()-2,종합!$AD$3:$AD$501,0))&amp;"","")</f>
        <v/>
      </c>
      <c r="Q266" s="21" t="str">
        <f aca="false">IFERROR(INDEX(종합!Q$3:Q$501,MATCH(ROW()-2,종합!$AD$3:$AD$501,0))&amp;"","")</f>
        <v/>
      </c>
      <c r="R266" s="21" t="str">
        <f aca="false">IFERROR(INDEX(종합!R$3:R$501,MATCH(ROW()-2,종합!$AD$3:$AD$501,0))&amp;"","")</f>
        <v/>
      </c>
      <c r="S266" s="21" t="str">
        <f aca="false">IFERROR(INDEX(종합!S$3:S$501,MATCH(ROW()-2,종합!$AD$3:$AD$501,0))&amp;"","")</f>
        <v/>
      </c>
      <c r="T266" s="21" t="str">
        <f aca="false">IFERROR(INDEX(종합!T$3:T$501,MATCH(ROW()-2,종합!$AD$3:$AD$501,0))&amp;"","")</f>
        <v/>
      </c>
      <c r="U266" s="21" t="str">
        <f aca="false">IFERROR(INDEX(종합!U$3:U$501,MATCH(ROW()-2,종합!$AD$3:$AD$501,0))&amp;"","")</f>
        <v/>
      </c>
      <c r="V266" s="21" t="str">
        <f aca="false">IFERROR(INDEX(종합!V$3:V$501,MATCH(ROW()-2,종합!$AD$3:$AD$501,0))&amp;"","")</f>
        <v/>
      </c>
      <c r="W266" s="21" t="str">
        <f aca="false">IFERROR(INDEX(종합!W$3:W$501,MATCH(ROW()-2,종합!$AD$3:$AD$501,0))&amp;"","")</f>
        <v/>
      </c>
      <c r="X266" s="21" t="str">
        <f aca="false">IFERROR(INDEX(종합!X$3:X$501,MATCH(ROW()-2,종합!$AD$3:$AD$501,0))&amp;"","")</f>
        <v/>
      </c>
      <c r="Y266" s="21" t="str">
        <f aca="false">IFERROR(INDEX(종합!Y$3:Y$501,MATCH(ROW()-2,종합!$AD$3:$AD$501,0))&amp;"","")</f>
        <v/>
      </c>
      <c r="Z266" s="21" t="str">
        <f aca="false">IFERROR(INDEX(종합!Z$3:Z$501,MATCH(ROW()-2,종합!$AD$3:$AD$501,0))&amp;"","")</f>
        <v/>
      </c>
      <c r="AA266" s="23" t="str">
        <f aca="false">IFERROR(INDEX(종합!AA$3:AA$501,MATCH(ROW()-2,종합!$AD$3:$AD$501,0))&amp;"","")</f>
        <v/>
      </c>
    </row>
    <row r="267" customFormat="false" ht="16.5" hidden="false" customHeight="true" outlineLevel="0" collapsed="false">
      <c r="A267" s="18" t="str">
        <f aca="false">IF(B267="","",ROW()-2)</f>
        <v/>
      </c>
      <c r="B267" s="18" t="str">
        <f aca="false">IFERROR(INDEX(종합!B$3:B$501,MATCH(ROW()-2,종합!$AD$3:$AD$501,0))&amp;"","")</f>
        <v/>
      </c>
      <c r="C267" s="18" t="str">
        <f aca="false">IFERROR(INDEX(종합!C$3:C$501,MATCH(ROW()-2,종합!$AD$3:$AD$501,0))&amp;"","")</f>
        <v/>
      </c>
      <c r="D267" s="18" t="str">
        <f aca="false">IFERROR(INDEX(종합!D$3:D$501,MATCH(ROW()-2,종합!$AD$3:$AD$501,0))&amp;"","")</f>
        <v/>
      </c>
      <c r="E267" s="18" t="str">
        <f aca="false">IFERROR(INDEX(종합!E$3:E$501,MATCH(ROW()-2,종합!$AD$3:$AD$501,0))&amp;"","")</f>
        <v/>
      </c>
      <c r="F267" s="18" t="str">
        <f aca="false">IFERROR(INDEX(종합!F$3:F$501,MATCH(ROW()-2,종합!$AD$3:$AD$501,0))&amp;"","")</f>
        <v/>
      </c>
      <c r="G267" s="18" t="str">
        <f aca="false">IFERROR(INDEX(종합!G$3:G$501,MATCH(ROW()-2,종합!$AD$3:$AD$501,0))&amp;"","")</f>
        <v/>
      </c>
      <c r="H267" s="21" t="str">
        <f aca="false">IFERROR(INDEX(종합!H$3:H$501,MATCH(ROW()-2,종합!$AD$3:$AD$501,0))&amp;"","")</f>
        <v/>
      </c>
      <c r="I267" s="21" t="str">
        <f aca="false">IFERROR(INDEX(종합!I$3:I$501,MATCH(ROW()-2,종합!$AD$3:$AD$501,0))&amp;"","")</f>
        <v/>
      </c>
      <c r="J267" s="21" t="str">
        <f aca="false">IFERROR(INDEX(종합!J$3:J$501,MATCH(ROW()-2,종합!$AD$3:$AD$501,0))&amp;"","")</f>
        <v/>
      </c>
      <c r="K267" s="21" t="str">
        <f aca="false">IFERROR(INDEX(종합!K$3:K$501,MATCH(ROW()-2,종합!$AD$3:$AD$501,0))&amp;"","")</f>
        <v/>
      </c>
      <c r="L267" s="21" t="str">
        <f aca="false">IFERROR(INDEX(종합!L$3:L$501,MATCH(ROW()-2,종합!$AD$3:$AD$501,0))&amp;"","")</f>
        <v/>
      </c>
      <c r="M267" s="21" t="str">
        <f aca="false">IFERROR(INDEX(종합!M$3:M$501,MATCH(ROW()-2,종합!$AD$3:$AD$501,0))&amp;"","")</f>
        <v/>
      </c>
      <c r="N267" s="25" t="str">
        <f aca="false">IFERROR(INDEX(종합!N$3:N$501,MATCH(ROW()-2,종합!$AD$3:$AD$501,0))&amp;"","")</f>
        <v/>
      </c>
      <c r="O267" s="21" t="str">
        <f aca="false">IFERROR(INDEX(종합!O$3:O$501,MATCH(ROW()-2,종합!$AD$3:$AD$501,0))&amp;"","")</f>
        <v/>
      </c>
      <c r="P267" s="21" t="str">
        <f aca="false">IFERROR(INDEX(종합!P$3:P$501,MATCH(ROW()-2,종합!$AD$3:$AD$501,0))&amp;"","")</f>
        <v/>
      </c>
      <c r="Q267" s="21" t="str">
        <f aca="false">IFERROR(INDEX(종합!Q$3:Q$501,MATCH(ROW()-2,종합!$AD$3:$AD$501,0))&amp;"","")</f>
        <v/>
      </c>
      <c r="R267" s="21" t="str">
        <f aca="false">IFERROR(INDEX(종합!R$3:R$501,MATCH(ROW()-2,종합!$AD$3:$AD$501,0))&amp;"","")</f>
        <v/>
      </c>
      <c r="S267" s="21" t="str">
        <f aca="false">IFERROR(INDEX(종합!S$3:S$501,MATCH(ROW()-2,종합!$AD$3:$AD$501,0))&amp;"","")</f>
        <v/>
      </c>
      <c r="T267" s="21" t="str">
        <f aca="false">IFERROR(INDEX(종합!T$3:T$501,MATCH(ROW()-2,종합!$AD$3:$AD$501,0))&amp;"","")</f>
        <v/>
      </c>
      <c r="U267" s="21" t="str">
        <f aca="false">IFERROR(INDEX(종합!U$3:U$501,MATCH(ROW()-2,종합!$AD$3:$AD$501,0))&amp;"","")</f>
        <v/>
      </c>
      <c r="V267" s="21" t="str">
        <f aca="false">IFERROR(INDEX(종합!V$3:V$501,MATCH(ROW()-2,종합!$AD$3:$AD$501,0))&amp;"","")</f>
        <v/>
      </c>
      <c r="W267" s="21" t="str">
        <f aca="false">IFERROR(INDEX(종합!W$3:W$501,MATCH(ROW()-2,종합!$AD$3:$AD$501,0))&amp;"","")</f>
        <v/>
      </c>
      <c r="X267" s="21" t="str">
        <f aca="false">IFERROR(INDEX(종합!X$3:X$501,MATCH(ROW()-2,종합!$AD$3:$AD$501,0))&amp;"","")</f>
        <v/>
      </c>
      <c r="Y267" s="21" t="str">
        <f aca="false">IFERROR(INDEX(종합!Y$3:Y$501,MATCH(ROW()-2,종합!$AD$3:$AD$501,0))&amp;"","")</f>
        <v/>
      </c>
      <c r="Z267" s="21" t="str">
        <f aca="false">IFERROR(INDEX(종합!Z$3:Z$501,MATCH(ROW()-2,종합!$AD$3:$AD$501,0))&amp;"","")</f>
        <v/>
      </c>
      <c r="AA267" s="23" t="str">
        <f aca="false">IFERROR(INDEX(종합!AA$3:AA$501,MATCH(ROW()-2,종합!$AD$3:$AD$501,0))&amp;"","")</f>
        <v/>
      </c>
    </row>
    <row r="268" customFormat="false" ht="16.5" hidden="false" customHeight="true" outlineLevel="0" collapsed="false">
      <c r="A268" s="18" t="str">
        <f aca="false">IF(B268="","",ROW()-2)</f>
        <v/>
      </c>
      <c r="B268" s="18" t="str">
        <f aca="false">IFERROR(INDEX(종합!B$3:B$501,MATCH(ROW()-2,종합!$AD$3:$AD$501,0))&amp;"","")</f>
        <v/>
      </c>
      <c r="C268" s="18" t="str">
        <f aca="false">IFERROR(INDEX(종합!C$3:C$501,MATCH(ROW()-2,종합!$AD$3:$AD$501,0))&amp;"","")</f>
        <v/>
      </c>
      <c r="D268" s="18" t="str">
        <f aca="false">IFERROR(INDEX(종합!D$3:D$501,MATCH(ROW()-2,종합!$AD$3:$AD$501,0))&amp;"","")</f>
        <v/>
      </c>
      <c r="E268" s="18" t="str">
        <f aca="false">IFERROR(INDEX(종합!E$3:E$501,MATCH(ROW()-2,종합!$AD$3:$AD$501,0))&amp;"","")</f>
        <v/>
      </c>
      <c r="F268" s="18" t="str">
        <f aca="false">IFERROR(INDEX(종합!F$3:F$501,MATCH(ROW()-2,종합!$AD$3:$AD$501,0))&amp;"","")</f>
        <v/>
      </c>
      <c r="G268" s="18" t="str">
        <f aca="false">IFERROR(INDEX(종합!G$3:G$501,MATCH(ROW()-2,종합!$AD$3:$AD$501,0))&amp;"","")</f>
        <v/>
      </c>
      <c r="H268" s="21" t="str">
        <f aca="false">IFERROR(INDEX(종합!H$3:H$501,MATCH(ROW()-2,종합!$AD$3:$AD$501,0))&amp;"","")</f>
        <v/>
      </c>
      <c r="I268" s="21" t="str">
        <f aca="false">IFERROR(INDEX(종합!I$3:I$501,MATCH(ROW()-2,종합!$AD$3:$AD$501,0))&amp;"","")</f>
        <v/>
      </c>
      <c r="J268" s="21" t="str">
        <f aca="false">IFERROR(INDEX(종합!J$3:J$501,MATCH(ROW()-2,종합!$AD$3:$AD$501,0))&amp;"","")</f>
        <v/>
      </c>
      <c r="K268" s="21" t="str">
        <f aca="false">IFERROR(INDEX(종합!K$3:K$501,MATCH(ROW()-2,종합!$AD$3:$AD$501,0))&amp;"","")</f>
        <v/>
      </c>
      <c r="L268" s="21" t="str">
        <f aca="false">IFERROR(INDEX(종합!L$3:L$501,MATCH(ROW()-2,종합!$AD$3:$AD$501,0))&amp;"","")</f>
        <v/>
      </c>
      <c r="M268" s="21" t="str">
        <f aca="false">IFERROR(INDEX(종합!M$3:M$501,MATCH(ROW()-2,종합!$AD$3:$AD$501,0))&amp;"","")</f>
        <v/>
      </c>
      <c r="N268" s="25" t="str">
        <f aca="false">IFERROR(INDEX(종합!N$3:N$501,MATCH(ROW()-2,종합!$AD$3:$AD$501,0))&amp;"","")</f>
        <v/>
      </c>
      <c r="O268" s="21" t="str">
        <f aca="false">IFERROR(INDEX(종합!O$3:O$501,MATCH(ROW()-2,종합!$AD$3:$AD$501,0))&amp;"","")</f>
        <v/>
      </c>
      <c r="P268" s="21" t="str">
        <f aca="false">IFERROR(INDEX(종합!P$3:P$501,MATCH(ROW()-2,종합!$AD$3:$AD$501,0))&amp;"","")</f>
        <v/>
      </c>
      <c r="Q268" s="21" t="str">
        <f aca="false">IFERROR(INDEX(종합!Q$3:Q$501,MATCH(ROW()-2,종합!$AD$3:$AD$501,0))&amp;"","")</f>
        <v/>
      </c>
      <c r="R268" s="21" t="str">
        <f aca="false">IFERROR(INDEX(종합!R$3:R$501,MATCH(ROW()-2,종합!$AD$3:$AD$501,0))&amp;"","")</f>
        <v/>
      </c>
      <c r="S268" s="21" t="str">
        <f aca="false">IFERROR(INDEX(종합!S$3:S$501,MATCH(ROW()-2,종합!$AD$3:$AD$501,0))&amp;"","")</f>
        <v/>
      </c>
      <c r="T268" s="21" t="str">
        <f aca="false">IFERROR(INDEX(종합!T$3:T$501,MATCH(ROW()-2,종합!$AD$3:$AD$501,0))&amp;"","")</f>
        <v/>
      </c>
      <c r="U268" s="21" t="str">
        <f aca="false">IFERROR(INDEX(종합!U$3:U$501,MATCH(ROW()-2,종합!$AD$3:$AD$501,0))&amp;"","")</f>
        <v/>
      </c>
      <c r="V268" s="21" t="str">
        <f aca="false">IFERROR(INDEX(종합!V$3:V$501,MATCH(ROW()-2,종합!$AD$3:$AD$501,0))&amp;"","")</f>
        <v/>
      </c>
      <c r="W268" s="21" t="str">
        <f aca="false">IFERROR(INDEX(종합!W$3:W$501,MATCH(ROW()-2,종합!$AD$3:$AD$501,0))&amp;"","")</f>
        <v/>
      </c>
      <c r="X268" s="21" t="str">
        <f aca="false">IFERROR(INDEX(종합!X$3:X$501,MATCH(ROW()-2,종합!$AD$3:$AD$501,0))&amp;"","")</f>
        <v/>
      </c>
      <c r="Y268" s="21" t="str">
        <f aca="false">IFERROR(INDEX(종합!Y$3:Y$501,MATCH(ROW()-2,종합!$AD$3:$AD$501,0))&amp;"","")</f>
        <v/>
      </c>
      <c r="Z268" s="21" t="str">
        <f aca="false">IFERROR(INDEX(종합!Z$3:Z$501,MATCH(ROW()-2,종합!$AD$3:$AD$501,0))&amp;"","")</f>
        <v/>
      </c>
      <c r="AA268" s="23" t="str">
        <f aca="false">IFERROR(INDEX(종합!AA$3:AA$501,MATCH(ROW()-2,종합!$AD$3:$AD$501,0))&amp;"","")</f>
        <v/>
      </c>
    </row>
    <row r="269" customFormat="false" ht="16.5" hidden="false" customHeight="true" outlineLevel="0" collapsed="false">
      <c r="A269" s="18" t="str">
        <f aca="false">IF(B269="","",ROW()-2)</f>
        <v/>
      </c>
      <c r="B269" s="18" t="str">
        <f aca="false">IFERROR(INDEX(종합!B$3:B$501,MATCH(ROW()-2,종합!$AD$3:$AD$501,0))&amp;"","")</f>
        <v/>
      </c>
      <c r="C269" s="18" t="str">
        <f aca="false">IFERROR(INDEX(종합!C$3:C$501,MATCH(ROW()-2,종합!$AD$3:$AD$501,0))&amp;"","")</f>
        <v/>
      </c>
      <c r="D269" s="18" t="str">
        <f aca="false">IFERROR(INDEX(종합!D$3:D$501,MATCH(ROW()-2,종합!$AD$3:$AD$501,0))&amp;"","")</f>
        <v/>
      </c>
      <c r="E269" s="18" t="str">
        <f aca="false">IFERROR(INDEX(종합!E$3:E$501,MATCH(ROW()-2,종합!$AD$3:$AD$501,0))&amp;"","")</f>
        <v/>
      </c>
      <c r="F269" s="18" t="str">
        <f aca="false">IFERROR(INDEX(종합!F$3:F$501,MATCH(ROW()-2,종합!$AD$3:$AD$501,0))&amp;"","")</f>
        <v/>
      </c>
      <c r="G269" s="18" t="str">
        <f aca="false">IFERROR(INDEX(종합!G$3:G$501,MATCH(ROW()-2,종합!$AD$3:$AD$501,0))&amp;"","")</f>
        <v/>
      </c>
      <c r="H269" s="21" t="str">
        <f aca="false">IFERROR(INDEX(종합!H$3:H$501,MATCH(ROW()-2,종합!$AD$3:$AD$501,0))&amp;"","")</f>
        <v/>
      </c>
      <c r="I269" s="21" t="str">
        <f aca="false">IFERROR(INDEX(종합!I$3:I$501,MATCH(ROW()-2,종합!$AD$3:$AD$501,0))&amp;"","")</f>
        <v/>
      </c>
      <c r="J269" s="21" t="str">
        <f aca="false">IFERROR(INDEX(종합!J$3:J$501,MATCH(ROW()-2,종합!$AD$3:$AD$501,0))&amp;"","")</f>
        <v/>
      </c>
      <c r="K269" s="21" t="str">
        <f aca="false">IFERROR(INDEX(종합!K$3:K$501,MATCH(ROW()-2,종합!$AD$3:$AD$501,0))&amp;"","")</f>
        <v/>
      </c>
      <c r="L269" s="21" t="str">
        <f aca="false">IFERROR(INDEX(종합!L$3:L$501,MATCH(ROW()-2,종합!$AD$3:$AD$501,0))&amp;"","")</f>
        <v/>
      </c>
      <c r="M269" s="21" t="str">
        <f aca="false">IFERROR(INDEX(종합!M$3:M$501,MATCH(ROW()-2,종합!$AD$3:$AD$501,0))&amp;"","")</f>
        <v/>
      </c>
      <c r="N269" s="25" t="str">
        <f aca="false">IFERROR(INDEX(종합!N$3:N$501,MATCH(ROW()-2,종합!$AD$3:$AD$501,0))&amp;"","")</f>
        <v/>
      </c>
      <c r="O269" s="21" t="str">
        <f aca="false">IFERROR(INDEX(종합!O$3:O$501,MATCH(ROW()-2,종합!$AD$3:$AD$501,0))&amp;"","")</f>
        <v/>
      </c>
      <c r="P269" s="21" t="str">
        <f aca="false">IFERROR(INDEX(종합!P$3:P$501,MATCH(ROW()-2,종합!$AD$3:$AD$501,0))&amp;"","")</f>
        <v/>
      </c>
      <c r="Q269" s="21" t="str">
        <f aca="false">IFERROR(INDEX(종합!Q$3:Q$501,MATCH(ROW()-2,종합!$AD$3:$AD$501,0))&amp;"","")</f>
        <v/>
      </c>
      <c r="R269" s="21" t="str">
        <f aca="false">IFERROR(INDEX(종합!R$3:R$501,MATCH(ROW()-2,종합!$AD$3:$AD$501,0))&amp;"","")</f>
        <v/>
      </c>
      <c r="S269" s="21" t="str">
        <f aca="false">IFERROR(INDEX(종합!S$3:S$501,MATCH(ROW()-2,종합!$AD$3:$AD$501,0))&amp;"","")</f>
        <v/>
      </c>
      <c r="T269" s="21" t="str">
        <f aca="false">IFERROR(INDEX(종합!T$3:T$501,MATCH(ROW()-2,종합!$AD$3:$AD$501,0))&amp;"","")</f>
        <v/>
      </c>
      <c r="U269" s="21" t="str">
        <f aca="false">IFERROR(INDEX(종합!U$3:U$501,MATCH(ROW()-2,종합!$AD$3:$AD$501,0))&amp;"","")</f>
        <v/>
      </c>
      <c r="V269" s="21" t="str">
        <f aca="false">IFERROR(INDEX(종합!V$3:V$501,MATCH(ROW()-2,종합!$AD$3:$AD$501,0))&amp;"","")</f>
        <v/>
      </c>
      <c r="W269" s="21" t="str">
        <f aca="false">IFERROR(INDEX(종합!W$3:W$501,MATCH(ROW()-2,종합!$AD$3:$AD$501,0))&amp;"","")</f>
        <v/>
      </c>
      <c r="X269" s="21" t="str">
        <f aca="false">IFERROR(INDEX(종합!X$3:X$501,MATCH(ROW()-2,종합!$AD$3:$AD$501,0))&amp;"","")</f>
        <v/>
      </c>
      <c r="Y269" s="21" t="str">
        <f aca="false">IFERROR(INDEX(종합!Y$3:Y$501,MATCH(ROW()-2,종합!$AD$3:$AD$501,0))&amp;"","")</f>
        <v/>
      </c>
      <c r="Z269" s="21" t="str">
        <f aca="false">IFERROR(INDEX(종합!Z$3:Z$501,MATCH(ROW()-2,종합!$AD$3:$AD$501,0))&amp;"","")</f>
        <v/>
      </c>
      <c r="AA269" s="23" t="str">
        <f aca="false">IFERROR(INDEX(종합!AA$3:AA$501,MATCH(ROW()-2,종합!$AD$3:$AD$501,0))&amp;"","")</f>
        <v/>
      </c>
    </row>
    <row r="270" customFormat="false" ht="16.5" hidden="false" customHeight="true" outlineLevel="0" collapsed="false">
      <c r="A270" s="18" t="str">
        <f aca="false">IF(B270="","",ROW()-2)</f>
        <v/>
      </c>
      <c r="B270" s="18" t="str">
        <f aca="false">IFERROR(INDEX(종합!B$3:B$501,MATCH(ROW()-2,종합!$AD$3:$AD$501,0))&amp;"","")</f>
        <v/>
      </c>
      <c r="C270" s="18" t="str">
        <f aca="false">IFERROR(INDEX(종합!C$3:C$501,MATCH(ROW()-2,종합!$AD$3:$AD$501,0))&amp;"","")</f>
        <v/>
      </c>
      <c r="D270" s="18" t="str">
        <f aca="false">IFERROR(INDEX(종합!D$3:D$501,MATCH(ROW()-2,종합!$AD$3:$AD$501,0))&amp;"","")</f>
        <v/>
      </c>
      <c r="E270" s="18" t="str">
        <f aca="false">IFERROR(INDEX(종합!E$3:E$501,MATCH(ROW()-2,종합!$AD$3:$AD$501,0))&amp;"","")</f>
        <v/>
      </c>
      <c r="F270" s="18" t="str">
        <f aca="false">IFERROR(INDEX(종합!F$3:F$501,MATCH(ROW()-2,종합!$AD$3:$AD$501,0))&amp;"","")</f>
        <v/>
      </c>
      <c r="G270" s="18" t="str">
        <f aca="false">IFERROR(INDEX(종합!G$3:G$501,MATCH(ROW()-2,종합!$AD$3:$AD$501,0))&amp;"","")</f>
        <v/>
      </c>
      <c r="H270" s="21" t="str">
        <f aca="false">IFERROR(INDEX(종합!H$3:H$501,MATCH(ROW()-2,종합!$AD$3:$AD$501,0))&amp;"","")</f>
        <v/>
      </c>
      <c r="I270" s="21" t="str">
        <f aca="false">IFERROR(INDEX(종합!I$3:I$501,MATCH(ROW()-2,종합!$AD$3:$AD$501,0))&amp;"","")</f>
        <v/>
      </c>
      <c r="J270" s="21" t="str">
        <f aca="false">IFERROR(INDEX(종합!J$3:J$501,MATCH(ROW()-2,종합!$AD$3:$AD$501,0))&amp;"","")</f>
        <v/>
      </c>
      <c r="K270" s="21" t="str">
        <f aca="false">IFERROR(INDEX(종합!K$3:K$501,MATCH(ROW()-2,종합!$AD$3:$AD$501,0))&amp;"","")</f>
        <v/>
      </c>
      <c r="L270" s="21" t="str">
        <f aca="false">IFERROR(INDEX(종합!L$3:L$501,MATCH(ROW()-2,종합!$AD$3:$AD$501,0))&amp;"","")</f>
        <v/>
      </c>
      <c r="M270" s="21" t="str">
        <f aca="false">IFERROR(INDEX(종합!M$3:M$501,MATCH(ROW()-2,종합!$AD$3:$AD$501,0))&amp;"","")</f>
        <v/>
      </c>
      <c r="N270" s="25" t="str">
        <f aca="false">IFERROR(INDEX(종합!N$3:N$501,MATCH(ROW()-2,종합!$AD$3:$AD$501,0))&amp;"","")</f>
        <v/>
      </c>
      <c r="O270" s="21" t="str">
        <f aca="false">IFERROR(INDEX(종합!O$3:O$501,MATCH(ROW()-2,종합!$AD$3:$AD$501,0))&amp;"","")</f>
        <v/>
      </c>
      <c r="P270" s="21" t="str">
        <f aca="false">IFERROR(INDEX(종합!P$3:P$501,MATCH(ROW()-2,종합!$AD$3:$AD$501,0))&amp;"","")</f>
        <v/>
      </c>
      <c r="Q270" s="21" t="str">
        <f aca="false">IFERROR(INDEX(종합!Q$3:Q$501,MATCH(ROW()-2,종합!$AD$3:$AD$501,0))&amp;"","")</f>
        <v/>
      </c>
      <c r="R270" s="21" t="str">
        <f aca="false">IFERROR(INDEX(종합!R$3:R$501,MATCH(ROW()-2,종합!$AD$3:$AD$501,0))&amp;"","")</f>
        <v/>
      </c>
      <c r="S270" s="21" t="str">
        <f aca="false">IFERROR(INDEX(종합!S$3:S$501,MATCH(ROW()-2,종합!$AD$3:$AD$501,0))&amp;"","")</f>
        <v/>
      </c>
      <c r="T270" s="21" t="str">
        <f aca="false">IFERROR(INDEX(종합!T$3:T$501,MATCH(ROW()-2,종합!$AD$3:$AD$501,0))&amp;"","")</f>
        <v/>
      </c>
      <c r="U270" s="21" t="str">
        <f aca="false">IFERROR(INDEX(종합!U$3:U$501,MATCH(ROW()-2,종합!$AD$3:$AD$501,0))&amp;"","")</f>
        <v/>
      </c>
      <c r="V270" s="21" t="str">
        <f aca="false">IFERROR(INDEX(종합!V$3:V$501,MATCH(ROW()-2,종합!$AD$3:$AD$501,0))&amp;"","")</f>
        <v/>
      </c>
      <c r="W270" s="21" t="str">
        <f aca="false">IFERROR(INDEX(종합!W$3:W$501,MATCH(ROW()-2,종합!$AD$3:$AD$501,0))&amp;"","")</f>
        <v/>
      </c>
      <c r="X270" s="21" t="str">
        <f aca="false">IFERROR(INDEX(종합!X$3:X$501,MATCH(ROW()-2,종합!$AD$3:$AD$501,0))&amp;"","")</f>
        <v/>
      </c>
      <c r="Y270" s="21" t="str">
        <f aca="false">IFERROR(INDEX(종합!Y$3:Y$501,MATCH(ROW()-2,종합!$AD$3:$AD$501,0))&amp;"","")</f>
        <v/>
      </c>
      <c r="Z270" s="21" t="str">
        <f aca="false">IFERROR(INDEX(종합!Z$3:Z$501,MATCH(ROW()-2,종합!$AD$3:$AD$501,0))&amp;"","")</f>
        <v/>
      </c>
      <c r="AA270" s="23" t="str">
        <f aca="false">IFERROR(INDEX(종합!AA$3:AA$501,MATCH(ROW()-2,종합!$AD$3:$AD$501,0))&amp;"","")</f>
        <v/>
      </c>
    </row>
    <row r="271" customFormat="false" ht="16.5" hidden="false" customHeight="true" outlineLevel="0" collapsed="false">
      <c r="A271" s="18" t="str">
        <f aca="false">IF(B271="","",ROW()-2)</f>
        <v/>
      </c>
      <c r="B271" s="18" t="str">
        <f aca="false">IFERROR(INDEX(종합!B$3:B$501,MATCH(ROW()-2,종합!$AD$3:$AD$501,0))&amp;"","")</f>
        <v/>
      </c>
      <c r="C271" s="18" t="str">
        <f aca="false">IFERROR(INDEX(종합!C$3:C$501,MATCH(ROW()-2,종합!$AD$3:$AD$501,0))&amp;"","")</f>
        <v/>
      </c>
      <c r="D271" s="18" t="str">
        <f aca="false">IFERROR(INDEX(종합!D$3:D$501,MATCH(ROW()-2,종합!$AD$3:$AD$501,0))&amp;"","")</f>
        <v/>
      </c>
      <c r="E271" s="18" t="str">
        <f aca="false">IFERROR(INDEX(종합!E$3:E$501,MATCH(ROW()-2,종합!$AD$3:$AD$501,0))&amp;"","")</f>
        <v/>
      </c>
      <c r="F271" s="18" t="str">
        <f aca="false">IFERROR(INDEX(종합!F$3:F$501,MATCH(ROW()-2,종합!$AD$3:$AD$501,0))&amp;"","")</f>
        <v/>
      </c>
      <c r="G271" s="18" t="str">
        <f aca="false">IFERROR(INDEX(종합!G$3:G$501,MATCH(ROW()-2,종합!$AD$3:$AD$501,0))&amp;"","")</f>
        <v/>
      </c>
      <c r="H271" s="21" t="str">
        <f aca="false">IFERROR(INDEX(종합!H$3:H$501,MATCH(ROW()-2,종합!$AD$3:$AD$501,0))&amp;"","")</f>
        <v/>
      </c>
      <c r="I271" s="21" t="str">
        <f aca="false">IFERROR(INDEX(종합!I$3:I$501,MATCH(ROW()-2,종합!$AD$3:$AD$501,0))&amp;"","")</f>
        <v/>
      </c>
      <c r="J271" s="21" t="str">
        <f aca="false">IFERROR(INDEX(종합!J$3:J$501,MATCH(ROW()-2,종합!$AD$3:$AD$501,0))&amp;"","")</f>
        <v/>
      </c>
      <c r="K271" s="21" t="str">
        <f aca="false">IFERROR(INDEX(종합!K$3:K$501,MATCH(ROW()-2,종합!$AD$3:$AD$501,0))&amp;"","")</f>
        <v/>
      </c>
      <c r="L271" s="21" t="str">
        <f aca="false">IFERROR(INDEX(종합!L$3:L$501,MATCH(ROW()-2,종합!$AD$3:$AD$501,0))&amp;"","")</f>
        <v/>
      </c>
      <c r="M271" s="21" t="str">
        <f aca="false">IFERROR(INDEX(종합!M$3:M$501,MATCH(ROW()-2,종합!$AD$3:$AD$501,0))&amp;"","")</f>
        <v/>
      </c>
      <c r="N271" s="25" t="str">
        <f aca="false">IFERROR(INDEX(종합!N$3:N$501,MATCH(ROW()-2,종합!$AD$3:$AD$501,0))&amp;"","")</f>
        <v/>
      </c>
      <c r="O271" s="21" t="str">
        <f aca="false">IFERROR(INDEX(종합!O$3:O$501,MATCH(ROW()-2,종합!$AD$3:$AD$501,0))&amp;"","")</f>
        <v/>
      </c>
      <c r="P271" s="21" t="str">
        <f aca="false">IFERROR(INDEX(종합!P$3:P$501,MATCH(ROW()-2,종합!$AD$3:$AD$501,0))&amp;"","")</f>
        <v/>
      </c>
      <c r="Q271" s="21" t="str">
        <f aca="false">IFERROR(INDEX(종합!Q$3:Q$501,MATCH(ROW()-2,종합!$AD$3:$AD$501,0))&amp;"","")</f>
        <v/>
      </c>
      <c r="R271" s="21" t="str">
        <f aca="false">IFERROR(INDEX(종합!R$3:R$501,MATCH(ROW()-2,종합!$AD$3:$AD$501,0))&amp;"","")</f>
        <v/>
      </c>
      <c r="S271" s="21" t="str">
        <f aca="false">IFERROR(INDEX(종합!S$3:S$501,MATCH(ROW()-2,종합!$AD$3:$AD$501,0))&amp;"","")</f>
        <v/>
      </c>
      <c r="T271" s="21" t="str">
        <f aca="false">IFERROR(INDEX(종합!T$3:T$501,MATCH(ROW()-2,종합!$AD$3:$AD$501,0))&amp;"","")</f>
        <v/>
      </c>
      <c r="U271" s="21" t="str">
        <f aca="false">IFERROR(INDEX(종합!U$3:U$501,MATCH(ROW()-2,종합!$AD$3:$AD$501,0))&amp;"","")</f>
        <v/>
      </c>
      <c r="V271" s="21" t="str">
        <f aca="false">IFERROR(INDEX(종합!V$3:V$501,MATCH(ROW()-2,종합!$AD$3:$AD$501,0))&amp;"","")</f>
        <v/>
      </c>
      <c r="W271" s="21" t="str">
        <f aca="false">IFERROR(INDEX(종합!W$3:W$501,MATCH(ROW()-2,종합!$AD$3:$AD$501,0))&amp;"","")</f>
        <v/>
      </c>
      <c r="X271" s="21" t="str">
        <f aca="false">IFERROR(INDEX(종합!X$3:X$501,MATCH(ROW()-2,종합!$AD$3:$AD$501,0))&amp;"","")</f>
        <v/>
      </c>
      <c r="Y271" s="21" t="str">
        <f aca="false">IFERROR(INDEX(종합!Y$3:Y$501,MATCH(ROW()-2,종합!$AD$3:$AD$501,0))&amp;"","")</f>
        <v/>
      </c>
      <c r="Z271" s="21" t="str">
        <f aca="false">IFERROR(INDEX(종합!Z$3:Z$501,MATCH(ROW()-2,종합!$AD$3:$AD$501,0))&amp;"","")</f>
        <v/>
      </c>
      <c r="AA271" s="23" t="str">
        <f aca="false">IFERROR(INDEX(종합!AA$3:AA$501,MATCH(ROW()-2,종합!$AD$3:$AD$501,0))&amp;"","")</f>
        <v/>
      </c>
    </row>
    <row r="272" customFormat="false" ht="16.5" hidden="false" customHeight="true" outlineLevel="0" collapsed="false">
      <c r="A272" s="18" t="str">
        <f aca="false">IF(B272="","",ROW()-2)</f>
        <v/>
      </c>
      <c r="B272" s="18" t="str">
        <f aca="false">IFERROR(INDEX(종합!B$3:B$501,MATCH(ROW()-2,종합!$AD$3:$AD$501,0))&amp;"","")</f>
        <v/>
      </c>
      <c r="C272" s="18" t="str">
        <f aca="false">IFERROR(INDEX(종합!C$3:C$501,MATCH(ROW()-2,종합!$AD$3:$AD$501,0))&amp;"","")</f>
        <v/>
      </c>
      <c r="D272" s="18" t="str">
        <f aca="false">IFERROR(INDEX(종합!D$3:D$501,MATCH(ROW()-2,종합!$AD$3:$AD$501,0))&amp;"","")</f>
        <v/>
      </c>
      <c r="E272" s="18" t="str">
        <f aca="false">IFERROR(INDEX(종합!E$3:E$501,MATCH(ROW()-2,종합!$AD$3:$AD$501,0))&amp;"","")</f>
        <v/>
      </c>
      <c r="F272" s="18" t="str">
        <f aca="false">IFERROR(INDEX(종합!F$3:F$501,MATCH(ROW()-2,종합!$AD$3:$AD$501,0))&amp;"","")</f>
        <v/>
      </c>
      <c r="G272" s="18" t="str">
        <f aca="false">IFERROR(INDEX(종합!G$3:G$501,MATCH(ROW()-2,종합!$AD$3:$AD$501,0))&amp;"","")</f>
        <v/>
      </c>
      <c r="H272" s="21" t="str">
        <f aca="false">IFERROR(INDEX(종합!H$3:H$501,MATCH(ROW()-2,종합!$AD$3:$AD$501,0))&amp;"","")</f>
        <v/>
      </c>
      <c r="I272" s="21" t="str">
        <f aca="false">IFERROR(INDEX(종합!I$3:I$501,MATCH(ROW()-2,종합!$AD$3:$AD$501,0))&amp;"","")</f>
        <v/>
      </c>
      <c r="J272" s="21" t="str">
        <f aca="false">IFERROR(INDEX(종합!J$3:J$501,MATCH(ROW()-2,종합!$AD$3:$AD$501,0))&amp;"","")</f>
        <v/>
      </c>
      <c r="K272" s="21" t="str">
        <f aca="false">IFERROR(INDEX(종합!K$3:K$501,MATCH(ROW()-2,종합!$AD$3:$AD$501,0))&amp;"","")</f>
        <v/>
      </c>
      <c r="L272" s="21" t="str">
        <f aca="false">IFERROR(INDEX(종합!L$3:L$501,MATCH(ROW()-2,종합!$AD$3:$AD$501,0))&amp;"","")</f>
        <v/>
      </c>
      <c r="M272" s="21" t="str">
        <f aca="false">IFERROR(INDEX(종합!M$3:M$501,MATCH(ROW()-2,종합!$AD$3:$AD$501,0))&amp;"","")</f>
        <v/>
      </c>
      <c r="N272" s="25" t="str">
        <f aca="false">IFERROR(INDEX(종합!N$3:N$501,MATCH(ROW()-2,종합!$AD$3:$AD$501,0))&amp;"","")</f>
        <v/>
      </c>
      <c r="O272" s="21" t="str">
        <f aca="false">IFERROR(INDEX(종합!O$3:O$501,MATCH(ROW()-2,종합!$AD$3:$AD$501,0))&amp;"","")</f>
        <v/>
      </c>
      <c r="P272" s="21" t="str">
        <f aca="false">IFERROR(INDEX(종합!P$3:P$501,MATCH(ROW()-2,종합!$AD$3:$AD$501,0))&amp;"","")</f>
        <v/>
      </c>
      <c r="Q272" s="21" t="str">
        <f aca="false">IFERROR(INDEX(종합!Q$3:Q$501,MATCH(ROW()-2,종합!$AD$3:$AD$501,0))&amp;"","")</f>
        <v/>
      </c>
      <c r="R272" s="21" t="str">
        <f aca="false">IFERROR(INDEX(종합!R$3:R$501,MATCH(ROW()-2,종합!$AD$3:$AD$501,0))&amp;"","")</f>
        <v/>
      </c>
      <c r="S272" s="21" t="str">
        <f aca="false">IFERROR(INDEX(종합!S$3:S$501,MATCH(ROW()-2,종합!$AD$3:$AD$501,0))&amp;"","")</f>
        <v/>
      </c>
      <c r="T272" s="21" t="str">
        <f aca="false">IFERROR(INDEX(종합!T$3:T$501,MATCH(ROW()-2,종합!$AD$3:$AD$501,0))&amp;"","")</f>
        <v/>
      </c>
      <c r="U272" s="21" t="str">
        <f aca="false">IFERROR(INDEX(종합!U$3:U$501,MATCH(ROW()-2,종합!$AD$3:$AD$501,0))&amp;"","")</f>
        <v/>
      </c>
      <c r="V272" s="21" t="str">
        <f aca="false">IFERROR(INDEX(종합!V$3:V$501,MATCH(ROW()-2,종합!$AD$3:$AD$501,0))&amp;"","")</f>
        <v/>
      </c>
      <c r="W272" s="21" t="str">
        <f aca="false">IFERROR(INDEX(종합!W$3:W$501,MATCH(ROW()-2,종합!$AD$3:$AD$501,0))&amp;"","")</f>
        <v/>
      </c>
      <c r="X272" s="21" t="str">
        <f aca="false">IFERROR(INDEX(종합!X$3:X$501,MATCH(ROW()-2,종합!$AD$3:$AD$501,0))&amp;"","")</f>
        <v/>
      </c>
      <c r="Y272" s="21" t="str">
        <f aca="false">IFERROR(INDEX(종합!Y$3:Y$501,MATCH(ROW()-2,종합!$AD$3:$AD$501,0))&amp;"","")</f>
        <v/>
      </c>
      <c r="Z272" s="21" t="str">
        <f aca="false">IFERROR(INDEX(종합!Z$3:Z$501,MATCH(ROW()-2,종합!$AD$3:$AD$501,0))&amp;"","")</f>
        <v/>
      </c>
      <c r="AA272" s="23" t="str">
        <f aca="false">IFERROR(INDEX(종합!AA$3:AA$501,MATCH(ROW()-2,종합!$AD$3:$AD$501,0))&amp;"","")</f>
        <v/>
      </c>
    </row>
    <row r="273" customFormat="false" ht="16.5" hidden="false" customHeight="true" outlineLevel="0" collapsed="false">
      <c r="A273" s="18" t="str">
        <f aca="false">IF(B273="","",ROW()-2)</f>
        <v/>
      </c>
      <c r="B273" s="18" t="str">
        <f aca="false">IFERROR(INDEX(종합!B$3:B$501,MATCH(ROW()-2,종합!$AD$3:$AD$501,0))&amp;"","")</f>
        <v/>
      </c>
      <c r="C273" s="18" t="str">
        <f aca="false">IFERROR(INDEX(종합!C$3:C$501,MATCH(ROW()-2,종합!$AD$3:$AD$501,0))&amp;"","")</f>
        <v/>
      </c>
      <c r="D273" s="18" t="str">
        <f aca="false">IFERROR(INDEX(종합!D$3:D$501,MATCH(ROW()-2,종합!$AD$3:$AD$501,0))&amp;"","")</f>
        <v/>
      </c>
      <c r="E273" s="18" t="str">
        <f aca="false">IFERROR(INDEX(종합!E$3:E$501,MATCH(ROW()-2,종합!$AD$3:$AD$501,0))&amp;"","")</f>
        <v/>
      </c>
      <c r="F273" s="18" t="str">
        <f aca="false">IFERROR(INDEX(종합!F$3:F$501,MATCH(ROW()-2,종합!$AD$3:$AD$501,0))&amp;"","")</f>
        <v/>
      </c>
      <c r="G273" s="18" t="str">
        <f aca="false">IFERROR(INDEX(종합!G$3:G$501,MATCH(ROW()-2,종합!$AD$3:$AD$501,0))&amp;"","")</f>
        <v/>
      </c>
      <c r="H273" s="21" t="str">
        <f aca="false">IFERROR(INDEX(종합!H$3:H$501,MATCH(ROW()-2,종합!$AD$3:$AD$501,0))&amp;"","")</f>
        <v/>
      </c>
      <c r="I273" s="21" t="str">
        <f aca="false">IFERROR(INDEX(종합!I$3:I$501,MATCH(ROW()-2,종합!$AD$3:$AD$501,0))&amp;"","")</f>
        <v/>
      </c>
      <c r="J273" s="21" t="str">
        <f aca="false">IFERROR(INDEX(종합!J$3:J$501,MATCH(ROW()-2,종합!$AD$3:$AD$501,0))&amp;"","")</f>
        <v/>
      </c>
      <c r="K273" s="21" t="str">
        <f aca="false">IFERROR(INDEX(종합!K$3:K$501,MATCH(ROW()-2,종합!$AD$3:$AD$501,0))&amp;"","")</f>
        <v/>
      </c>
      <c r="L273" s="21" t="str">
        <f aca="false">IFERROR(INDEX(종합!L$3:L$501,MATCH(ROW()-2,종합!$AD$3:$AD$501,0))&amp;"","")</f>
        <v/>
      </c>
      <c r="M273" s="21" t="str">
        <f aca="false">IFERROR(INDEX(종합!M$3:M$501,MATCH(ROW()-2,종합!$AD$3:$AD$501,0))&amp;"","")</f>
        <v/>
      </c>
      <c r="N273" s="25" t="str">
        <f aca="false">IFERROR(INDEX(종합!N$3:N$501,MATCH(ROW()-2,종합!$AD$3:$AD$501,0))&amp;"","")</f>
        <v/>
      </c>
      <c r="O273" s="21" t="str">
        <f aca="false">IFERROR(INDEX(종합!O$3:O$501,MATCH(ROW()-2,종합!$AD$3:$AD$501,0))&amp;"","")</f>
        <v/>
      </c>
      <c r="P273" s="21" t="str">
        <f aca="false">IFERROR(INDEX(종합!P$3:P$501,MATCH(ROW()-2,종합!$AD$3:$AD$501,0))&amp;"","")</f>
        <v/>
      </c>
      <c r="Q273" s="21" t="str">
        <f aca="false">IFERROR(INDEX(종합!Q$3:Q$501,MATCH(ROW()-2,종합!$AD$3:$AD$501,0))&amp;"","")</f>
        <v/>
      </c>
      <c r="R273" s="21" t="str">
        <f aca="false">IFERROR(INDEX(종합!R$3:R$501,MATCH(ROW()-2,종합!$AD$3:$AD$501,0))&amp;"","")</f>
        <v/>
      </c>
      <c r="S273" s="21" t="str">
        <f aca="false">IFERROR(INDEX(종합!S$3:S$501,MATCH(ROW()-2,종합!$AD$3:$AD$501,0))&amp;"","")</f>
        <v/>
      </c>
      <c r="T273" s="21" t="str">
        <f aca="false">IFERROR(INDEX(종합!T$3:T$501,MATCH(ROW()-2,종합!$AD$3:$AD$501,0))&amp;"","")</f>
        <v/>
      </c>
      <c r="U273" s="21" t="str">
        <f aca="false">IFERROR(INDEX(종합!U$3:U$501,MATCH(ROW()-2,종합!$AD$3:$AD$501,0))&amp;"","")</f>
        <v/>
      </c>
      <c r="V273" s="21" t="str">
        <f aca="false">IFERROR(INDEX(종합!V$3:V$501,MATCH(ROW()-2,종합!$AD$3:$AD$501,0))&amp;"","")</f>
        <v/>
      </c>
      <c r="W273" s="21" t="str">
        <f aca="false">IFERROR(INDEX(종합!W$3:W$501,MATCH(ROW()-2,종합!$AD$3:$AD$501,0))&amp;"","")</f>
        <v/>
      </c>
      <c r="X273" s="21" t="str">
        <f aca="false">IFERROR(INDEX(종합!X$3:X$501,MATCH(ROW()-2,종합!$AD$3:$AD$501,0))&amp;"","")</f>
        <v/>
      </c>
      <c r="Y273" s="21" t="str">
        <f aca="false">IFERROR(INDEX(종합!Y$3:Y$501,MATCH(ROW()-2,종합!$AD$3:$AD$501,0))&amp;"","")</f>
        <v/>
      </c>
      <c r="Z273" s="21" t="str">
        <f aca="false">IFERROR(INDEX(종합!Z$3:Z$501,MATCH(ROW()-2,종합!$AD$3:$AD$501,0))&amp;"","")</f>
        <v/>
      </c>
      <c r="AA273" s="23" t="str">
        <f aca="false">IFERROR(INDEX(종합!AA$3:AA$501,MATCH(ROW()-2,종합!$AD$3:$AD$501,0))&amp;"","")</f>
        <v/>
      </c>
    </row>
    <row r="274" customFormat="false" ht="16.5" hidden="false" customHeight="true" outlineLevel="0" collapsed="false">
      <c r="A274" s="18" t="str">
        <f aca="false">IF(B274="","",ROW()-2)</f>
        <v/>
      </c>
      <c r="B274" s="18" t="str">
        <f aca="false">IFERROR(INDEX(종합!B$3:B$501,MATCH(ROW()-2,종합!$AD$3:$AD$501,0))&amp;"","")</f>
        <v/>
      </c>
      <c r="C274" s="18" t="str">
        <f aca="false">IFERROR(INDEX(종합!C$3:C$501,MATCH(ROW()-2,종합!$AD$3:$AD$501,0))&amp;"","")</f>
        <v/>
      </c>
      <c r="D274" s="18" t="str">
        <f aca="false">IFERROR(INDEX(종합!D$3:D$501,MATCH(ROW()-2,종합!$AD$3:$AD$501,0))&amp;"","")</f>
        <v/>
      </c>
      <c r="E274" s="18" t="str">
        <f aca="false">IFERROR(INDEX(종합!E$3:E$501,MATCH(ROW()-2,종합!$AD$3:$AD$501,0))&amp;"","")</f>
        <v/>
      </c>
      <c r="F274" s="18" t="str">
        <f aca="false">IFERROR(INDEX(종합!F$3:F$501,MATCH(ROW()-2,종합!$AD$3:$AD$501,0))&amp;"","")</f>
        <v/>
      </c>
      <c r="G274" s="18" t="str">
        <f aca="false">IFERROR(INDEX(종합!G$3:G$501,MATCH(ROW()-2,종합!$AD$3:$AD$501,0))&amp;"","")</f>
        <v/>
      </c>
      <c r="H274" s="21" t="str">
        <f aca="false">IFERROR(INDEX(종합!H$3:H$501,MATCH(ROW()-2,종합!$AD$3:$AD$501,0))&amp;"","")</f>
        <v/>
      </c>
      <c r="I274" s="21" t="str">
        <f aca="false">IFERROR(INDEX(종합!I$3:I$501,MATCH(ROW()-2,종합!$AD$3:$AD$501,0))&amp;"","")</f>
        <v/>
      </c>
      <c r="J274" s="21" t="str">
        <f aca="false">IFERROR(INDEX(종합!J$3:J$501,MATCH(ROW()-2,종합!$AD$3:$AD$501,0))&amp;"","")</f>
        <v/>
      </c>
      <c r="K274" s="21" t="str">
        <f aca="false">IFERROR(INDEX(종합!K$3:K$501,MATCH(ROW()-2,종합!$AD$3:$AD$501,0))&amp;"","")</f>
        <v/>
      </c>
      <c r="L274" s="21" t="str">
        <f aca="false">IFERROR(INDEX(종합!L$3:L$501,MATCH(ROW()-2,종합!$AD$3:$AD$501,0))&amp;"","")</f>
        <v/>
      </c>
      <c r="M274" s="21" t="str">
        <f aca="false">IFERROR(INDEX(종합!M$3:M$501,MATCH(ROW()-2,종합!$AD$3:$AD$501,0))&amp;"","")</f>
        <v/>
      </c>
      <c r="N274" s="25" t="str">
        <f aca="false">IFERROR(INDEX(종합!N$3:N$501,MATCH(ROW()-2,종합!$AD$3:$AD$501,0))&amp;"","")</f>
        <v/>
      </c>
      <c r="O274" s="21" t="str">
        <f aca="false">IFERROR(INDEX(종합!O$3:O$501,MATCH(ROW()-2,종합!$AD$3:$AD$501,0))&amp;"","")</f>
        <v/>
      </c>
      <c r="P274" s="21" t="str">
        <f aca="false">IFERROR(INDEX(종합!P$3:P$501,MATCH(ROW()-2,종합!$AD$3:$AD$501,0))&amp;"","")</f>
        <v/>
      </c>
      <c r="Q274" s="21" t="str">
        <f aca="false">IFERROR(INDEX(종합!Q$3:Q$501,MATCH(ROW()-2,종합!$AD$3:$AD$501,0))&amp;"","")</f>
        <v/>
      </c>
      <c r="R274" s="21" t="str">
        <f aca="false">IFERROR(INDEX(종합!R$3:R$501,MATCH(ROW()-2,종합!$AD$3:$AD$501,0))&amp;"","")</f>
        <v/>
      </c>
      <c r="S274" s="21" t="str">
        <f aca="false">IFERROR(INDEX(종합!S$3:S$501,MATCH(ROW()-2,종합!$AD$3:$AD$501,0))&amp;"","")</f>
        <v/>
      </c>
      <c r="T274" s="21" t="str">
        <f aca="false">IFERROR(INDEX(종합!T$3:T$501,MATCH(ROW()-2,종합!$AD$3:$AD$501,0))&amp;"","")</f>
        <v/>
      </c>
      <c r="U274" s="21" t="str">
        <f aca="false">IFERROR(INDEX(종합!U$3:U$501,MATCH(ROW()-2,종합!$AD$3:$AD$501,0))&amp;"","")</f>
        <v/>
      </c>
      <c r="V274" s="21" t="str">
        <f aca="false">IFERROR(INDEX(종합!V$3:V$501,MATCH(ROW()-2,종합!$AD$3:$AD$501,0))&amp;"","")</f>
        <v/>
      </c>
      <c r="W274" s="21" t="str">
        <f aca="false">IFERROR(INDEX(종합!W$3:W$501,MATCH(ROW()-2,종합!$AD$3:$AD$501,0))&amp;"","")</f>
        <v/>
      </c>
      <c r="X274" s="21" t="str">
        <f aca="false">IFERROR(INDEX(종합!X$3:X$501,MATCH(ROW()-2,종합!$AD$3:$AD$501,0))&amp;"","")</f>
        <v/>
      </c>
      <c r="Y274" s="21" t="str">
        <f aca="false">IFERROR(INDEX(종합!Y$3:Y$501,MATCH(ROW()-2,종합!$AD$3:$AD$501,0))&amp;"","")</f>
        <v/>
      </c>
      <c r="Z274" s="21" t="str">
        <f aca="false">IFERROR(INDEX(종합!Z$3:Z$501,MATCH(ROW()-2,종합!$AD$3:$AD$501,0))&amp;"","")</f>
        <v/>
      </c>
      <c r="AA274" s="23" t="str">
        <f aca="false">IFERROR(INDEX(종합!AA$3:AA$501,MATCH(ROW()-2,종합!$AD$3:$AD$501,0))&amp;"","")</f>
        <v/>
      </c>
    </row>
    <row r="275" customFormat="false" ht="16.5" hidden="false" customHeight="true" outlineLevel="0" collapsed="false">
      <c r="A275" s="18" t="str">
        <f aca="false">IF(B275="","",ROW()-2)</f>
        <v/>
      </c>
      <c r="B275" s="18" t="str">
        <f aca="false">IFERROR(INDEX(종합!B$3:B$501,MATCH(ROW()-2,종합!$AD$3:$AD$501,0))&amp;"","")</f>
        <v/>
      </c>
      <c r="C275" s="18" t="str">
        <f aca="false">IFERROR(INDEX(종합!C$3:C$501,MATCH(ROW()-2,종합!$AD$3:$AD$501,0))&amp;"","")</f>
        <v/>
      </c>
      <c r="D275" s="18" t="str">
        <f aca="false">IFERROR(INDEX(종합!D$3:D$501,MATCH(ROW()-2,종합!$AD$3:$AD$501,0))&amp;"","")</f>
        <v/>
      </c>
      <c r="E275" s="18" t="str">
        <f aca="false">IFERROR(INDEX(종합!E$3:E$501,MATCH(ROW()-2,종합!$AD$3:$AD$501,0))&amp;"","")</f>
        <v/>
      </c>
      <c r="F275" s="18" t="str">
        <f aca="false">IFERROR(INDEX(종합!F$3:F$501,MATCH(ROW()-2,종합!$AD$3:$AD$501,0))&amp;"","")</f>
        <v/>
      </c>
      <c r="G275" s="18" t="str">
        <f aca="false">IFERROR(INDEX(종합!G$3:G$501,MATCH(ROW()-2,종합!$AD$3:$AD$501,0))&amp;"","")</f>
        <v/>
      </c>
      <c r="H275" s="21" t="str">
        <f aca="false">IFERROR(INDEX(종합!H$3:H$501,MATCH(ROW()-2,종합!$AD$3:$AD$501,0))&amp;"","")</f>
        <v/>
      </c>
      <c r="I275" s="21" t="str">
        <f aca="false">IFERROR(INDEX(종합!I$3:I$501,MATCH(ROW()-2,종합!$AD$3:$AD$501,0))&amp;"","")</f>
        <v/>
      </c>
      <c r="J275" s="21" t="str">
        <f aca="false">IFERROR(INDEX(종합!J$3:J$501,MATCH(ROW()-2,종합!$AD$3:$AD$501,0))&amp;"","")</f>
        <v/>
      </c>
      <c r="K275" s="21" t="str">
        <f aca="false">IFERROR(INDEX(종합!K$3:K$501,MATCH(ROW()-2,종합!$AD$3:$AD$501,0))&amp;"","")</f>
        <v/>
      </c>
      <c r="L275" s="21" t="str">
        <f aca="false">IFERROR(INDEX(종합!L$3:L$501,MATCH(ROW()-2,종합!$AD$3:$AD$501,0))&amp;"","")</f>
        <v/>
      </c>
      <c r="M275" s="21" t="str">
        <f aca="false">IFERROR(INDEX(종합!M$3:M$501,MATCH(ROW()-2,종합!$AD$3:$AD$501,0))&amp;"","")</f>
        <v/>
      </c>
      <c r="N275" s="25" t="str">
        <f aca="false">IFERROR(INDEX(종합!N$3:N$501,MATCH(ROW()-2,종합!$AD$3:$AD$501,0))&amp;"","")</f>
        <v/>
      </c>
      <c r="O275" s="21" t="str">
        <f aca="false">IFERROR(INDEX(종합!O$3:O$501,MATCH(ROW()-2,종합!$AD$3:$AD$501,0))&amp;"","")</f>
        <v/>
      </c>
      <c r="P275" s="21" t="str">
        <f aca="false">IFERROR(INDEX(종합!P$3:P$501,MATCH(ROW()-2,종합!$AD$3:$AD$501,0))&amp;"","")</f>
        <v/>
      </c>
      <c r="Q275" s="21" t="str">
        <f aca="false">IFERROR(INDEX(종합!Q$3:Q$501,MATCH(ROW()-2,종합!$AD$3:$AD$501,0))&amp;"","")</f>
        <v/>
      </c>
      <c r="R275" s="21" t="str">
        <f aca="false">IFERROR(INDEX(종합!R$3:R$501,MATCH(ROW()-2,종합!$AD$3:$AD$501,0))&amp;"","")</f>
        <v/>
      </c>
      <c r="S275" s="21" t="str">
        <f aca="false">IFERROR(INDEX(종합!S$3:S$501,MATCH(ROW()-2,종합!$AD$3:$AD$501,0))&amp;"","")</f>
        <v/>
      </c>
      <c r="T275" s="21" t="str">
        <f aca="false">IFERROR(INDEX(종합!T$3:T$501,MATCH(ROW()-2,종합!$AD$3:$AD$501,0))&amp;"","")</f>
        <v/>
      </c>
      <c r="U275" s="21" t="str">
        <f aca="false">IFERROR(INDEX(종합!U$3:U$501,MATCH(ROW()-2,종합!$AD$3:$AD$501,0))&amp;"","")</f>
        <v/>
      </c>
      <c r="V275" s="21" t="str">
        <f aca="false">IFERROR(INDEX(종합!V$3:V$501,MATCH(ROW()-2,종합!$AD$3:$AD$501,0))&amp;"","")</f>
        <v/>
      </c>
      <c r="W275" s="21" t="str">
        <f aca="false">IFERROR(INDEX(종합!W$3:W$501,MATCH(ROW()-2,종합!$AD$3:$AD$501,0))&amp;"","")</f>
        <v/>
      </c>
      <c r="X275" s="21" t="str">
        <f aca="false">IFERROR(INDEX(종합!X$3:X$501,MATCH(ROW()-2,종합!$AD$3:$AD$501,0))&amp;"","")</f>
        <v/>
      </c>
      <c r="Y275" s="21" t="str">
        <f aca="false">IFERROR(INDEX(종합!Y$3:Y$501,MATCH(ROW()-2,종합!$AD$3:$AD$501,0))&amp;"","")</f>
        <v/>
      </c>
      <c r="Z275" s="21" t="str">
        <f aca="false">IFERROR(INDEX(종합!Z$3:Z$501,MATCH(ROW()-2,종합!$AD$3:$AD$501,0))&amp;"","")</f>
        <v/>
      </c>
      <c r="AA275" s="23" t="str">
        <f aca="false">IFERROR(INDEX(종합!AA$3:AA$501,MATCH(ROW()-2,종합!$AD$3:$AD$501,0))&amp;"","")</f>
        <v/>
      </c>
    </row>
    <row r="276" customFormat="false" ht="16.5" hidden="false" customHeight="true" outlineLevel="0" collapsed="false">
      <c r="A276" s="18" t="str">
        <f aca="false">IF(B276="","",ROW()-2)</f>
        <v/>
      </c>
      <c r="B276" s="18" t="str">
        <f aca="false">IFERROR(INDEX(종합!B$3:B$501,MATCH(ROW()-2,종합!$AD$3:$AD$501,0))&amp;"","")</f>
        <v/>
      </c>
      <c r="C276" s="18" t="str">
        <f aca="false">IFERROR(INDEX(종합!C$3:C$501,MATCH(ROW()-2,종합!$AD$3:$AD$501,0))&amp;"","")</f>
        <v/>
      </c>
      <c r="D276" s="18" t="str">
        <f aca="false">IFERROR(INDEX(종합!D$3:D$501,MATCH(ROW()-2,종합!$AD$3:$AD$501,0))&amp;"","")</f>
        <v/>
      </c>
      <c r="E276" s="18" t="str">
        <f aca="false">IFERROR(INDEX(종합!E$3:E$501,MATCH(ROW()-2,종합!$AD$3:$AD$501,0))&amp;"","")</f>
        <v/>
      </c>
      <c r="F276" s="18" t="str">
        <f aca="false">IFERROR(INDEX(종합!F$3:F$501,MATCH(ROW()-2,종합!$AD$3:$AD$501,0))&amp;"","")</f>
        <v/>
      </c>
      <c r="G276" s="18" t="str">
        <f aca="false">IFERROR(INDEX(종합!G$3:G$501,MATCH(ROW()-2,종합!$AD$3:$AD$501,0))&amp;"","")</f>
        <v/>
      </c>
      <c r="H276" s="21" t="str">
        <f aca="false">IFERROR(INDEX(종합!H$3:H$501,MATCH(ROW()-2,종합!$AD$3:$AD$501,0))&amp;"","")</f>
        <v/>
      </c>
      <c r="I276" s="21" t="str">
        <f aca="false">IFERROR(INDEX(종합!I$3:I$501,MATCH(ROW()-2,종합!$AD$3:$AD$501,0))&amp;"","")</f>
        <v/>
      </c>
      <c r="J276" s="21" t="str">
        <f aca="false">IFERROR(INDEX(종합!J$3:J$501,MATCH(ROW()-2,종합!$AD$3:$AD$501,0))&amp;"","")</f>
        <v/>
      </c>
      <c r="K276" s="21" t="str">
        <f aca="false">IFERROR(INDEX(종합!K$3:K$501,MATCH(ROW()-2,종합!$AD$3:$AD$501,0))&amp;"","")</f>
        <v/>
      </c>
      <c r="L276" s="21" t="str">
        <f aca="false">IFERROR(INDEX(종합!L$3:L$501,MATCH(ROW()-2,종합!$AD$3:$AD$501,0))&amp;"","")</f>
        <v/>
      </c>
      <c r="M276" s="21" t="str">
        <f aca="false">IFERROR(INDEX(종합!M$3:M$501,MATCH(ROW()-2,종합!$AD$3:$AD$501,0))&amp;"","")</f>
        <v/>
      </c>
      <c r="N276" s="25" t="str">
        <f aca="false">IFERROR(INDEX(종합!N$3:N$501,MATCH(ROW()-2,종합!$AD$3:$AD$501,0))&amp;"","")</f>
        <v/>
      </c>
      <c r="O276" s="21" t="str">
        <f aca="false">IFERROR(INDEX(종합!O$3:O$501,MATCH(ROW()-2,종합!$AD$3:$AD$501,0))&amp;"","")</f>
        <v/>
      </c>
      <c r="P276" s="21" t="str">
        <f aca="false">IFERROR(INDEX(종합!P$3:P$501,MATCH(ROW()-2,종합!$AD$3:$AD$501,0))&amp;"","")</f>
        <v/>
      </c>
      <c r="Q276" s="21" t="str">
        <f aca="false">IFERROR(INDEX(종합!Q$3:Q$501,MATCH(ROW()-2,종합!$AD$3:$AD$501,0))&amp;"","")</f>
        <v/>
      </c>
      <c r="R276" s="21" t="str">
        <f aca="false">IFERROR(INDEX(종합!R$3:R$501,MATCH(ROW()-2,종합!$AD$3:$AD$501,0))&amp;"","")</f>
        <v/>
      </c>
      <c r="S276" s="21" t="str">
        <f aca="false">IFERROR(INDEX(종합!S$3:S$501,MATCH(ROW()-2,종합!$AD$3:$AD$501,0))&amp;"","")</f>
        <v/>
      </c>
      <c r="T276" s="21" t="str">
        <f aca="false">IFERROR(INDEX(종합!T$3:T$501,MATCH(ROW()-2,종합!$AD$3:$AD$501,0))&amp;"","")</f>
        <v/>
      </c>
      <c r="U276" s="21" t="str">
        <f aca="false">IFERROR(INDEX(종합!U$3:U$501,MATCH(ROW()-2,종합!$AD$3:$AD$501,0))&amp;"","")</f>
        <v/>
      </c>
      <c r="V276" s="21" t="str">
        <f aca="false">IFERROR(INDEX(종합!V$3:V$501,MATCH(ROW()-2,종합!$AD$3:$AD$501,0))&amp;"","")</f>
        <v/>
      </c>
      <c r="W276" s="21" t="str">
        <f aca="false">IFERROR(INDEX(종합!W$3:W$501,MATCH(ROW()-2,종합!$AD$3:$AD$501,0))&amp;"","")</f>
        <v/>
      </c>
      <c r="X276" s="21" t="str">
        <f aca="false">IFERROR(INDEX(종합!X$3:X$501,MATCH(ROW()-2,종합!$AD$3:$AD$501,0))&amp;"","")</f>
        <v/>
      </c>
      <c r="Y276" s="21" t="str">
        <f aca="false">IFERROR(INDEX(종합!Y$3:Y$501,MATCH(ROW()-2,종합!$AD$3:$AD$501,0))&amp;"","")</f>
        <v/>
      </c>
      <c r="Z276" s="21" t="str">
        <f aca="false">IFERROR(INDEX(종합!Z$3:Z$501,MATCH(ROW()-2,종합!$AD$3:$AD$501,0))&amp;"","")</f>
        <v/>
      </c>
      <c r="AA276" s="23" t="str">
        <f aca="false">IFERROR(INDEX(종합!AA$3:AA$501,MATCH(ROW()-2,종합!$AD$3:$AD$501,0))&amp;"","")</f>
        <v/>
      </c>
    </row>
    <row r="277" customFormat="false" ht="16.5" hidden="false" customHeight="true" outlineLevel="0" collapsed="false">
      <c r="A277" s="18" t="str">
        <f aca="false">IF(B277="","",ROW()-2)</f>
        <v/>
      </c>
      <c r="B277" s="18" t="str">
        <f aca="false">IFERROR(INDEX(종합!B$3:B$501,MATCH(ROW()-2,종합!$AD$3:$AD$501,0))&amp;"","")</f>
        <v/>
      </c>
      <c r="C277" s="18" t="str">
        <f aca="false">IFERROR(INDEX(종합!C$3:C$501,MATCH(ROW()-2,종합!$AD$3:$AD$501,0))&amp;"","")</f>
        <v/>
      </c>
      <c r="D277" s="18" t="str">
        <f aca="false">IFERROR(INDEX(종합!D$3:D$501,MATCH(ROW()-2,종합!$AD$3:$AD$501,0))&amp;"","")</f>
        <v/>
      </c>
      <c r="E277" s="18" t="str">
        <f aca="false">IFERROR(INDEX(종합!E$3:E$501,MATCH(ROW()-2,종합!$AD$3:$AD$501,0))&amp;"","")</f>
        <v/>
      </c>
      <c r="F277" s="18" t="str">
        <f aca="false">IFERROR(INDEX(종합!F$3:F$501,MATCH(ROW()-2,종합!$AD$3:$AD$501,0))&amp;"","")</f>
        <v/>
      </c>
      <c r="G277" s="18" t="str">
        <f aca="false">IFERROR(INDEX(종합!G$3:G$501,MATCH(ROW()-2,종합!$AD$3:$AD$501,0))&amp;"","")</f>
        <v/>
      </c>
      <c r="H277" s="21" t="str">
        <f aca="false">IFERROR(INDEX(종합!H$3:H$501,MATCH(ROW()-2,종합!$AD$3:$AD$501,0))&amp;"","")</f>
        <v/>
      </c>
      <c r="I277" s="21" t="str">
        <f aca="false">IFERROR(INDEX(종합!I$3:I$501,MATCH(ROW()-2,종합!$AD$3:$AD$501,0))&amp;"","")</f>
        <v/>
      </c>
      <c r="J277" s="21" t="str">
        <f aca="false">IFERROR(INDEX(종합!J$3:J$501,MATCH(ROW()-2,종합!$AD$3:$AD$501,0))&amp;"","")</f>
        <v/>
      </c>
      <c r="K277" s="21" t="str">
        <f aca="false">IFERROR(INDEX(종합!K$3:K$501,MATCH(ROW()-2,종합!$AD$3:$AD$501,0))&amp;"","")</f>
        <v/>
      </c>
      <c r="L277" s="21" t="str">
        <f aca="false">IFERROR(INDEX(종합!L$3:L$501,MATCH(ROW()-2,종합!$AD$3:$AD$501,0))&amp;"","")</f>
        <v/>
      </c>
      <c r="M277" s="21" t="str">
        <f aca="false">IFERROR(INDEX(종합!M$3:M$501,MATCH(ROW()-2,종합!$AD$3:$AD$501,0))&amp;"","")</f>
        <v/>
      </c>
      <c r="N277" s="25" t="str">
        <f aca="false">IFERROR(INDEX(종합!N$3:N$501,MATCH(ROW()-2,종합!$AD$3:$AD$501,0))&amp;"","")</f>
        <v/>
      </c>
      <c r="O277" s="21" t="str">
        <f aca="false">IFERROR(INDEX(종합!O$3:O$501,MATCH(ROW()-2,종합!$AD$3:$AD$501,0))&amp;"","")</f>
        <v/>
      </c>
      <c r="P277" s="21" t="str">
        <f aca="false">IFERROR(INDEX(종합!P$3:P$501,MATCH(ROW()-2,종합!$AD$3:$AD$501,0))&amp;"","")</f>
        <v/>
      </c>
      <c r="Q277" s="21" t="str">
        <f aca="false">IFERROR(INDEX(종합!Q$3:Q$501,MATCH(ROW()-2,종합!$AD$3:$AD$501,0))&amp;"","")</f>
        <v/>
      </c>
      <c r="R277" s="21" t="str">
        <f aca="false">IFERROR(INDEX(종합!R$3:R$501,MATCH(ROW()-2,종합!$AD$3:$AD$501,0))&amp;"","")</f>
        <v/>
      </c>
      <c r="S277" s="21" t="str">
        <f aca="false">IFERROR(INDEX(종합!S$3:S$501,MATCH(ROW()-2,종합!$AD$3:$AD$501,0))&amp;"","")</f>
        <v/>
      </c>
      <c r="T277" s="21" t="str">
        <f aca="false">IFERROR(INDEX(종합!T$3:T$501,MATCH(ROW()-2,종합!$AD$3:$AD$501,0))&amp;"","")</f>
        <v/>
      </c>
      <c r="U277" s="21" t="str">
        <f aca="false">IFERROR(INDEX(종합!U$3:U$501,MATCH(ROW()-2,종합!$AD$3:$AD$501,0))&amp;"","")</f>
        <v/>
      </c>
      <c r="V277" s="21" t="str">
        <f aca="false">IFERROR(INDEX(종합!V$3:V$501,MATCH(ROW()-2,종합!$AD$3:$AD$501,0))&amp;"","")</f>
        <v/>
      </c>
      <c r="W277" s="21" t="str">
        <f aca="false">IFERROR(INDEX(종합!W$3:W$501,MATCH(ROW()-2,종합!$AD$3:$AD$501,0))&amp;"","")</f>
        <v/>
      </c>
      <c r="X277" s="21" t="str">
        <f aca="false">IFERROR(INDEX(종합!X$3:X$501,MATCH(ROW()-2,종합!$AD$3:$AD$501,0))&amp;"","")</f>
        <v/>
      </c>
      <c r="Y277" s="21" t="str">
        <f aca="false">IFERROR(INDEX(종합!Y$3:Y$501,MATCH(ROW()-2,종합!$AD$3:$AD$501,0))&amp;"","")</f>
        <v/>
      </c>
      <c r="Z277" s="21" t="str">
        <f aca="false">IFERROR(INDEX(종합!Z$3:Z$501,MATCH(ROW()-2,종합!$AD$3:$AD$501,0))&amp;"","")</f>
        <v/>
      </c>
      <c r="AA277" s="23" t="str">
        <f aca="false">IFERROR(INDEX(종합!AA$3:AA$501,MATCH(ROW()-2,종합!$AD$3:$AD$501,0))&amp;"","")</f>
        <v/>
      </c>
    </row>
    <row r="278" customFormat="false" ht="16.5" hidden="false" customHeight="true" outlineLevel="0" collapsed="false">
      <c r="A278" s="18" t="str">
        <f aca="false">IF(B278="","",ROW()-2)</f>
        <v/>
      </c>
      <c r="B278" s="18" t="str">
        <f aca="false">IFERROR(INDEX(종합!B$3:B$501,MATCH(ROW()-2,종합!$AD$3:$AD$501,0))&amp;"","")</f>
        <v/>
      </c>
      <c r="C278" s="18" t="str">
        <f aca="false">IFERROR(INDEX(종합!C$3:C$501,MATCH(ROW()-2,종합!$AD$3:$AD$501,0))&amp;"","")</f>
        <v/>
      </c>
      <c r="D278" s="18" t="str">
        <f aca="false">IFERROR(INDEX(종합!D$3:D$501,MATCH(ROW()-2,종합!$AD$3:$AD$501,0))&amp;"","")</f>
        <v/>
      </c>
      <c r="E278" s="18" t="str">
        <f aca="false">IFERROR(INDEX(종합!E$3:E$501,MATCH(ROW()-2,종합!$AD$3:$AD$501,0))&amp;"","")</f>
        <v/>
      </c>
      <c r="F278" s="18" t="str">
        <f aca="false">IFERROR(INDEX(종합!F$3:F$501,MATCH(ROW()-2,종합!$AD$3:$AD$501,0))&amp;"","")</f>
        <v/>
      </c>
      <c r="G278" s="18" t="str">
        <f aca="false">IFERROR(INDEX(종합!G$3:G$501,MATCH(ROW()-2,종합!$AD$3:$AD$501,0))&amp;"","")</f>
        <v/>
      </c>
      <c r="H278" s="21" t="str">
        <f aca="false">IFERROR(INDEX(종합!H$3:H$501,MATCH(ROW()-2,종합!$AD$3:$AD$501,0))&amp;"","")</f>
        <v/>
      </c>
      <c r="I278" s="21" t="str">
        <f aca="false">IFERROR(INDEX(종합!I$3:I$501,MATCH(ROW()-2,종합!$AD$3:$AD$501,0))&amp;"","")</f>
        <v/>
      </c>
      <c r="J278" s="21" t="str">
        <f aca="false">IFERROR(INDEX(종합!J$3:J$501,MATCH(ROW()-2,종합!$AD$3:$AD$501,0))&amp;"","")</f>
        <v/>
      </c>
      <c r="K278" s="21" t="str">
        <f aca="false">IFERROR(INDEX(종합!K$3:K$501,MATCH(ROW()-2,종합!$AD$3:$AD$501,0))&amp;"","")</f>
        <v/>
      </c>
      <c r="L278" s="21" t="str">
        <f aca="false">IFERROR(INDEX(종합!L$3:L$501,MATCH(ROW()-2,종합!$AD$3:$AD$501,0))&amp;"","")</f>
        <v/>
      </c>
      <c r="M278" s="21" t="str">
        <f aca="false">IFERROR(INDEX(종합!M$3:M$501,MATCH(ROW()-2,종합!$AD$3:$AD$501,0))&amp;"","")</f>
        <v/>
      </c>
      <c r="N278" s="25" t="str">
        <f aca="false">IFERROR(INDEX(종합!N$3:N$501,MATCH(ROW()-2,종합!$AD$3:$AD$501,0))&amp;"","")</f>
        <v/>
      </c>
      <c r="O278" s="21" t="str">
        <f aca="false">IFERROR(INDEX(종합!O$3:O$501,MATCH(ROW()-2,종합!$AD$3:$AD$501,0))&amp;"","")</f>
        <v/>
      </c>
      <c r="P278" s="21" t="str">
        <f aca="false">IFERROR(INDEX(종합!P$3:P$501,MATCH(ROW()-2,종합!$AD$3:$AD$501,0))&amp;"","")</f>
        <v/>
      </c>
      <c r="Q278" s="21" t="str">
        <f aca="false">IFERROR(INDEX(종합!Q$3:Q$501,MATCH(ROW()-2,종합!$AD$3:$AD$501,0))&amp;"","")</f>
        <v/>
      </c>
      <c r="R278" s="21" t="str">
        <f aca="false">IFERROR(INDEX(종합!R$3:R$501,MATCH(ROW()-2,종합!$AD$3:$AD$501,0))&amp;"","")</f>
        <v/>
      </c>
      <c r="S278" s="21" t="str">
        <f aca="false">IFERROR(INDEX(종합!S$3:S$501,MATCH(ROW()-2,종합!$AD$3:$AD$501,0))&amp;"","")</f>
        <v/>
      </c>
      <c r="T278" s="21" t="str">
        <f aca="false">IFERROR(INDEX(종합!T$3:T$501,MATCH(ROW()-2,종합!$AD$3:$AD$501,0))&amp;"","")</f>
        <v/>
      </c>
      <c r="U278" s="21" t="str">
        <f aca="false">IFERROR(INDEX(종합!U$3:U$501,MATCH(ROW()-2,종합!$AD$3:$AD$501,0))&amp;"","")</f>
        <v/>
      </c>
      <c r="V278" s="21" t="str">
        <f aca="false">IFERROR(INDEX(종합!V$3:V$501,MATCH(ROW()-2,종합!$AD$3:$AD$501,0))&amp;"","")</f>
        <v/>
      </c>
      <c r="W278" s="21" t="str">
        <f aca="false">IFERROR(INDEX(종합!W$3:W$501,MATCH(ROW()-2,종합!$AD$3:$AD$501,0))&amp;"","")</f>
        <v/>
      </c>
      <c r="X278" s="21" t="str">
        <f aca="false">IFERROR(INDEX(종합!X$3:X$501,MATCH(ROW()-2,종합!$AD$3:$AD$501,0))&amp;"","")</f>
        <v/>
      </c>
      <c r="Y278" s="21" t="str">
        <f aca="false">IFERROR(INDEX(종합!Y$3:Y$501,MATCH(ROW()-2,종합!$AD$3:$AD$501,0))&amp;"","")</f>
        <v/>
      </c>
      <c r="Z278" s="21" t="str">
        <f aca="false">IFERROR(INDEX(종합!Z$3:Z$501,MATCH(ROW()-2,종합!$AD$3:$AD$501,0))&amp;"","")</f>
        <v/>
      </c>
      <c r="AA278" s="23" t="str">
        <f aca="false">IFERROR(INDEX(종합!AA$3:AA$501,MATCH(ROW()-2,종합!$AD$3:$AD$501,0))&amp;"","")</f>
        <v/>
      </c>
    </row>
    <row r="279" customFormat="false" ht="16.5" hidden="false" customHeight="true" outlineLevel="0" collapsed="false">
      <c r="A279" s="18" t="str">
        <f aca="false">IF(B279="","",ROW()-2)</f>
        <v/>
      </c>
      <c r="B279" s="18" t="str">
        <f aca="false">IFERROR(INDEX(종합!B$3:B$501,MATCH(ROW()-2,종합!$AD$3:$AD$501,0))&amp;"","")</f>
        <v/>
      </c>
      <c r="C279" s="18" t="str">
        <f aca="false">IFERROR(INDEX(종합!C$3:C$501,MATCH(ROW()-2,종합!$AD$3:$AD$501,0))&amp;"","")</f>
        <v/>
      </c>
      <c r="D279" s="18" t="str">
        <f aca="false">IFERROR(INDEX(종합!D$3:D$501,MATCH(ROW()-2,종합!$AD$3:$AD$501,0))&amp;"","")</f>
        <v/>
      </c>
      <c r="E279" s="18" t="str">
        <f aca="false">IFERROR(INDEX(종합!E$3:E$501,MATCH(ROW()-2,종합!$AD$3:$AD$501,0))&amp;"","")</f>
        <v/>
      </c>
      <c r="F279" s="18" t="str">
        <f aca="false">IFERROR(INDEX(종합!F$3:F$501,MATCH(ROW()-2,종합!$AD$3:$AD$501,0))&amp;"","")</f>
        <v/>
      </c>
      <c r="G279" s="18" t="str">
        <f aca="false">IFERROR(INDEX(종합!G$3:G$501,MATCH(ROW()-2,종합!$AD$3:$AD$501,0))&amp;"","")</f>
        <v/>
      </c>
      <c r="H279" s="21" t="str">
        <f aca="false">IFERROR(INDEX(종합!H$3:H$501,MATCH(ROW()-2,종합!$AD$3:$AD$501,0))&amp;"","")</f>
        <v/>
      </c>
      <c r="I279" s="21" t="str">
        <f aca="false">IFERROR(INDEX(종합!I$3:I$501,MATCH(ROW()-2,종합!$AD$3:$AD$501,0))&amp;"","")</f>
        <v/>
      </c>
      <c r="J279" s="21" t="str">
        <f aca="false">IFERROR(INDEX(종합!J$3:J$501,MATCH(ROW()-2,종합!$AD$3:$AD$501,0))&amp;"","")</f>
        <v/>
      </c>
      <c r="K279" s="21" t="str">
        <f aca="false">IFERROR(INDEX(종합!K$3:K$501,MATCH(ROW()-2,종합!$AD$3:$AD$501,0))&amp;"","")</f>
        <v/>
      </c>
      <c r="L279" s="21" t="str">
        <f aca="false">IFERROR(INDEX(종합!L$3:L$501,MATCH(ROW()-2,종합!$AD$3:$AD$501,0))&amp;"","")</f>
        <v/>
      </c>
      <c r="M279" s="21" t="str">
        <f aca="false">IFERROR(INDEX(종합!M$3:M$501,MATCH(ROW()-2,종합!$AD$3:$AD$501,0))&amp;"","")</f>
        <v/>
      </c>
      <c r="N279" s="25" t="str">
        <f aca="false">IFERROR(INDEX(종합!N$3:N$501,MATCH(ROW()-2,종합!$AD$3:$AD$501,0))&amp;"","")</f>
        <v/>
      </c>
      <c r="O279" s="21" t="str">
        <f aca="false">IFERROR(INDEX(종합!O$3:O$501,MATCH(ROW()-2,종합!$AD$3:$AD$501,0))&amp;"","")</f>
        <v/>
      </c>
      <c r="P279" s="21" t="str">
        <f aca="false">IFERROR(INDEX(종합!P$3:P$501,MATCH(ROW()-2,종합!$AD$3:$AD$501,0))&amp;"","")</f>
        <v/>
      </c>
      <c r="Q279" s="21" t="str">
        <f aca="false">IFERROR(INDEX(종합!Q$3:Q$501,MATCH(ROW()-2,종합!$AD$3:$AD$501,0))&amp;"","")</f>
        <v/>
      </c>
      <c r="R279" s="21" t="str">
        <f aca="false">IFERROR(INDEX(종합!R$3:R$501,MATCH(ROW()-2,종합!$AD$3:$AD$501,0))&amp;"","")</f>
        <v/>
      </c>
      <c r="S279" s="21" t="str">
        <f aca="false">IFERROR(INDEX(종합!S$3:S$501,MATCH(ROW()-2,종합!$AD$3:$AD$501,0))&amp;"","")</f>
        <v/>
      </c>
      <c r="T279" s="21" t="str">
        <f aca="false">IFERROR(INDEX(종합!T$3:T$501,MATCH(ROW()-2,종합!$AD$3:$AD$501,0))&amp;"","")</f>
        <v/>
      </c>
      <c r="U279" s="21" t="str">
        <f aca="false">IFERROR(INDEX(종합!U$3:U$501,MATCH(ROW()-2,종합!$AD$3:$AD$501,0))&amp;"","")</f>
        <v/>
      </c>
      <c r="V279" s="21" t="str">
        <f aca="false">IFERROR(INDEX(종합!V$3:V$501,MATCH(ROW()-2,종합!$AD$3:$AD$501,0))&amp;"","")</f>
        <v/>
      </c>
      <c r="W279" s="21" t="str">
        <f aca="false">IFERROR(INDEX(종합!W$3:W$501,MATCH(ROW()-2,종합!$AD$3:$AD$501,0))&amp;"","")</f>
        <v/>
      </c>
      <c r="X279" s="21" t="str">
        <f aca="false">IFERROR(INDEX(종합!X$3:X$501,MATCH(ROW()-2,종합!$AD$3:$AD$501,0))&amp;"","")</f>
        <v/>
      </c>
      <c r="Y279" s="21" t="str">
        <f aca="false">IFERROR(INDEX(종합!Y$3:Y$501,MATCH(ROW()-2,종합!$AD$3:$AD$501,0))&amp;"","")</f>
        <v/>
      </c>
      <c r="Z279" s="21" t="str">
        <f aca="false">IFERROR(INDEX(종합!Z$3:Z$501,MATCH(ROW()-2,종합!$AD$3:$AD$501,0))&amp;"","")</f>
        <v/>
      </c>
      <c r="AA279" s="23" t="str">
        <f aca="false">IFERROR(INDEX(종합!AA$3:AA$501,MATCH(ROW()-2,종합!$AD$3:$AD$501,0))&amp;"","")</f>
        <v/>
      </c>
    </row>
    <row r="280" customFormat="false" ht="16.5" hidden="false" customHeight="true" outlineLevel="0" collapsed="false">
      <c r="A280" s="18" t="str">
        <f aca="false">IF(B280="","",ROW()-2)</f>
        <v/>
      </c>
      <c r="B280" s="18" t="str">
        <f aca="false">IFERROR(INDEX(종합!B$3:B$501,MATCH(ROW()-2,종합!$AD$3:$AD$501,0))&amp;"","")</f>
        <v/>
      </c>
      <c r="C280" s="18" t="str">
        <f aca="false">IFERROR(INDEX(종합!C$3:C$501,MATCH(ROW()-2,종합!$AD$3:$AD$501,0))&amp;"","")</f>
        <v/>
      </c>
      <c r="D280" s="18" t="str">
        <f aca="false">IFERROR(INDEX(종합!D$3:D$501,MATCH(ROW()-2,종합!$AD$3:$AD$501,0))&amp;"","")</f>
        <v/>
      </c>
      <c r="E280" s="18" t="str">
        <f aca="false">IFERROR(INDEX(종합!E$3:E$501,MATCH(ROW()-2,종합!$AD$3:$AD$501,0))&amp;"","")</f>
        <v/>
      </c>
      <c r="F280" s="18" t="str">
        <f aca="false">IFERROR(INDEX(종합!F$3:F$501,MATCH(ROW()-2,종합!$AD$3:$AD$501,0))&amp;"","")</f>
        <v/>
      </c>
      <c r="G280" s="18" t="str">
        <f aca="false">IFERROR(INDEX(종합!G$3:G$501,MATCH(ROW()-2,종합!$AD$3:$AD$501,0))&amp;"","")</f>
        <v/>
      </c>
      <c r="H280" s="21" t="str">
        <f aca="false">IFERROR(INDEX(종합!H$3:H$501,MATCH(ROW()-2,종합!$AD$3:$AD$501,0))&amp;"","")</f>
        <v/>
      </c>
      <c r="I280" s="21" t="str">
        <f aca="false">IFERROR(INDEX(종합!I$3:I$501,MATCH(ROW()-2,종합!$AD$3:$AD$501,0))&amp;"","")</f>
        <v/>
      </c>
      <c r="J280" s="21" t="str">
        <f aca="false">IFERROR(INDEX(종합!J$3:J$501,MATCH(ROW()-2,종합!$AD$3:$AD$501,0))&amp;"","")</f>
        <v/>
      </c>
      <c r="K280" s="21" t="str">
        <f aca="false">IFERROR(INDEX(종합!K$3:K$501,MATCH(ROW()-2,종합!$AD$3:$AD$501,0))&amp;"","")</f>
        <v/>
      </c>
      <c r="L280" s="21" t="str">
        <f aca="false">IFERROR(INDEX(종합!L$3:L$501,MATCH(ROW()-2,종합!$AD$3:$AD$501,0))&amp;"","")</f>
        <v/>
      </c>
      <c r="M280" s="21" t="str">
        <f aca="false">IFERROR(INDEX(종합!M$3:M$501,MATCH(ROW()-2,종합!$AD$3:$AD$501,0))&amp;"","")</f>
        <v/>
      </c>
      <c r="N280" s="25" t="str">
        <f aca="false">IFERROR(INDEX(종합!N$3:N$501,MATCH(ROW()-2,종합!$AD$3:$AD$501,0))&amp;"","")</f>
        <v/>
      </c>
      <c r="O280" s="21" t="str">
        <f aca="false">IFERROR(INDEX(종합!O$3:O$501,MATCH(ROW()-2,종합!$AD$3:$AD$501,0))&amp;"","")</f>
        <v/>
      </c>
      <c r="P280" s="21" t="str">
        <f aca="false">IFERROR(INDEX(종합!P$3:P$501,MATCH(ROW()-2,종합!$AD$3:$AD$501,0))&amp;"","")</f>
        <v/>
      </c>
      <c r="Q280" s="21" t="str">
        <f aca="false">IFERROR(INDEX(종합!Q$3:Q$501,MATCH(ROW()-2,종합!$AD$3:$AD$501,0))&amp;"","")</f>
        <v/>
      </c>
      <c r="R280" s="21" t="str">
        <f aca="false">IFERROR(INDEX(종합!R$3:R$501,MATCH(ROW()-2,종합!$AD$3:$AD$501,0))&amp;"","")</f>
        <v/>
      </c>
      <c r="S280" s="21" t="str">
        <f aca="false">IFERROR(INDEX(종합!S$3:S$501,MATCH(ROW()-2,종합!$AD$3:$AD$501,0))&amp;"","")</f>
        <v/>
      </c>
      <c r="T280" s="21" t="str">
        <f aca="false">IFERROR(INDEX(종합!T$3:T$501,MATCH(ROW()-2,종합!$AD$3:$AD$501,0))&amp;"","")</f>
        <v/>
      </c>
      <c r="U280" s="21" t="str">
        <f aca="false">IFERROR(INDEX(종합!U$3:U$501,MATCH(ROW()-2,종합!$AD$3:$AD$501,0))&amp;"","")</f>
        <v/>
      </c>
      <c r="V280" s="21" t="str">
        <f aca="false">IFERROR(INDEX(종합!V$3:V$501,MATCH(ROW()-2,종합!$AD$3:$AD$501,0))&amp;"","")</f>
        <v/>
      </c>
      <c r="W280" s="21" t="str">
        <f aca="false">IFERROR(INDEX(종합!W$3:W$501,MATCH(ROW()-2,종합!$AD$3:$AD$501,0))&amp;"","")</f>
        <v/>
      </c>
      <c r="X280" s="21" t="str">
        <f aca="false">IFERROR(INDEX(종합!X$3:X$501,MATCH(ROW()-2,종합!$AD$3:$AD$501,0))&amp;"","")</f>
        <v/>
      </c>
      <c r="Y280" s="21" t="str">
        <f aca="false">IFERROR(INDEX(종합!Y$3:Y$501,MATCH(ROW()-2,종합!$AD$3:$AD$501,0))&amp;"","")</f>
        <v/>
      </c>
      <c r="Z280" s="21" t="str">
        <f aca="false">IFERROR(INDEX(종합!Z$3:Z$501,MATCH(ROW()-2,종합!$AD$3:$AD$501,0))&amp;"","")</f>
        <v/>
      </c>
      <c r="AA280" s="23" t="str">
        <f aca="false">IFERROR(INDEX(종합!AA$3:AA$501,MATCH(ROW()-2,종합!$AD$3:$AD$501,0))&amp;"","")</f>
        <v/>
      </c>
    </row>
    <row r="281" customFormat="false" ht="16.5" hidden="false" customHeight="true" outlineLevel="0" collapsed="false">
      <c r="A281" s="18" t="str">
        <f aca="false">IF(B281="","",ROW()-2)</f>
        <v/>
      </c>
      <c r="B281" s="18" t="str">
        <f aca="false">IFERROR(INDEX(종합!B$3:B$501,MATCH(ROW()-2,종합!$AD$3:$AD$501,0))&amp;"","")</f>
        <v/>
      </c>
      <c r="C281" s="18" t="str">
        <f aca="false">IFERROR(INDEX(종합!C$3:C$501,MATCH(ROW()-2,종합!$AD$3:$AD$501,0))&amp;"","")</f>
        <v/>
      </c>
      <c r="D281" s="18" t="str">
        <f aca="false">IFERROR(INDEX(종합!D$3:D$501,MATCH(ROW()-2,종합!$AD$3:$AD$501,0))&amp;"","")</f>
        <v/>
      </c>
      <c r="E281" s="18" t="str">
        <f aca="false">IFERROR(INDEX(종합!E$3:E$501,MATCH(ROW()-2,종합!$AD$3:$AD$501,0))&amp;"","")</f>
        <v/>
      </c>
      <c r="F281" s="18" t="str">
        <f aca="false">IFERROR(INDEX(종합!F$3:F$501,MATCH(ROW()-2,종합!$AD$3:$AD$501,0))&amp;"","")</f>
        <v/>
      </c>
      <c r="G281" s="18" t="str">
        <f aca="false">IFERROR(INDEX(종합!G$3:G$501,MATCH(ROW()-2,종합!$AD$3:$AD$501,0))&amp;"","")</f>
        <v/>
      </c>
      <c r="H281" s="21" t="str">
        <f aca="false">IFERROR(INDEX(종합!H$3:H$501,MATCH(ROW()-2,종합!$AD$3:$AD$501,0))&amp;"","")</f>
        <v/>
      </c>
      <c r="I281" s="21" t="str">
        <f aca="false">IFERROR(INDEX(종합!I$3:I$501,MATCH(ROW()-2,종합!$AD$3:$AD$501,0))&amp;"","")</f>
        <v/>
      </c>
      <c r="J281" s="21" t="str">
        <f aca="false">IFERROR(INDEX(종합!J$3:J$501,MATCH(ROW()-2,종합!$AD$3:$AD$501,0))&amp;"","")</f>
        <v/>
      </c>
      <c r="K281" s="21" t="str">
        <f aca="false">IFERROR(INDEX(종합!K$3:K$501,MATCH(ROW()-2,종합!$AD$3:$AD$501,0))&amp;"","")</f>
        <v/>
      </c>
      <c r="L281" s="21" t="str">
        <f aca="false">IFERROR(INDEX(종합!L$3:L$501,MATCH(ROW()-2,종합!$AD$3:$AD$501,0))&amp;"","")</f>
        <v/>
      </c>
      <c r="M281" s="21" t="str">
        <f aca="false">IFERROR(INDEX(종합!M$3:M$501,MATCH(ROW()-2,종합!$AD$3:$AD$501,0))&amp;"","")</f>
        <v/>
      </c>
      <c r="N281" s="25" t="str">
        <f aca="false">IFERROR(INDEX(종합!N$3:N$501,MATCH(ROW()-2,종합!$AD$3:$AD$501,0))&amp;"","")</f>
        <v/>
      </c>
      <c r="O281" s="21" t="str">
        <f aca="false">IFERROR(INDEX(종합!O$3:O$501,MATCH(ROW()-2,종합!$AD$3:$AD$501,0))&amp;"","")</f>
        <v/>
      </c>
      <c r="P281" s="21" t="str">
        <f aca="false">IFERROR(INDEX(종합!P$3:P$501,MATCH(ROW()-2,종합!$AD$3:$AD$501,0))&amp;"","")</f>
        <v/>
      </c>
      <c r="Q281" s="21" t="str">
        <f aca="false">IFERROR(INDEX(종합!Q$3:Q$501,MATCH(ROW()-2,종합!$AD$3:$AD$501,0))&amp;"","")</f>
        <v/>
      </c>
      <c r="R281" s="21" t="str">
        <f aca="false">IFERROR(INDEX(종합!R$3:R$501,MATCH(ROW()-2,종합!$AD$3:$AD$501,0))&amp;"","")</f>
        <v/>
      </c>
      <c r="S281" s="21" t="str">
        <f aca="false">IFERROR(INDEX(종합!S$3:S$501,MATCH(ROW()-2,종합!$AD$3:$AD$501,0))&amp;"","")</f>
        <v/>
      </c>
      <c r="T281" s="21" t="str">
        <f aca="false">IFERROR(INDEX(종합!T$3:T$501,MATCH(ROW()-2,종합!$AD$3:$AD$501,0))&amp;"","")</f>
        <v/>
      </c>
      <c r="U281" s="21" t="str">
        <f aca="false">IFERROR(INDEX(종합!U$3:U$501,MATCH(ROW()-2,종합!$AD$3:$AD$501,0))&amp;"","")</f>
        <v/>
      </c>
      <c r="V281" s="21" t="str">
        <f aca="false">IFERROR(INDEX(종합!V$3:V$501,MATCH(ROW()-2,종합!$AD$3:$AD$501,0))&amp;"","")</f>
        <v/>
      </c>
      <c r="W281" s="21" t="str">
        <f aca="false">IFERROR(INDEX(종합!W$3:W$501,MATCH(ROW()-2,종합!$AD$3:$AD$501,0))&amp;"","")</f>
        <v/>
      </c>
      <c r="X281" s="21" t="str">
        <f aca="false">IFERROR(INDEX(종합!X$3:X$501,MATCH(ROW()-2,종합!$AD$3:$AD$501,0))&amp;"","")</f>
        <v/>
      </c>
      <c r="Y281" s="21" t="str">
        <f aca="false">IFERROR(INDEX(종합!Y$3:Y$501,MATCH(ROW()-2,종합!$AD$3:$AD$501,0))&amp;"","")</f>
        <v/>
      </c>
      <c r="Z281" s="21" t="str">
        <f aca="false">IFERROR(INDEX(종합!Z$3:Z$501,MATCH(ROW()-2,종합!$AD$3:$AD$501,0))&amp;"","")</f>
        <v/>
      </c>
      <c r="AA281" s="23" t="str">
        <f aca="false">IFERROR(INDEX(종합!AA$3:AA$501,MATCH(ROW()-2,종합!$AD$3:$AD$501,0))&amp;"","")</f>
        <v/>
      </c>
    </row>
    <row r="282" customFormat="false" ht="16.5" hidden="false" customHeight="true" outlineLevel="0" collapsed="false">
      <c r="A282" s="18" t="str">
        <f aca="false">IF(B282="","",ROW()-2)</f>
        <v/>
      </c>
      <c r="B282" s="18" t="str">
        <f aca="false">IFERROR(INDEX(종합!B$3:B$501,MATCH(ROW()-2,종합!$AD$3:$AD$501,0))&amp;"","")</f>
        <v/>
      </c>
      <c r="C282" s="18" t="str">
        <f aca="false">IFERROR(INDEX(종합!C$3:C$501,MATCH(ROW()-2,종합!$AD$3:$AD$501,0))&amp;"","")</f>
        <v/>
      </c>
      <c r="D282" s="18" t="str">
        <f aca="false">IFERROR(INDEX(종합!D$3:D$501,MATCH(ROW()-2,종합!$AD$3:$AD$501,0))&amp;"","")</f>
        <v/>
      </c>
      <c r="E282" s="18" t="str">
        <f aca="false">IFERROR(INDEX(종합!E$3:E$501,MATCH(ROW()-2,종합!$AD$3:$AD$501,0))&amp;"","")</f>
        <v/>
      </c>
      <c r="F282" s="18" t="str">
        <f aca="false">IFERROR(INDEX(종합!F$3:F$501,MATCH(ROW()-2,종합!$AD$3:$AD$501,0))&amp;"","")</f>
        <v/>
      </c>
      <c r="G282" s="18" t="str">
        <f aca="false">IFERROR(INDEX(종합!G$3:G$501,MATCH(ROW()-2,종합!$AD$3:$AD$501,0))&amp;"","")</f>
        <v/>
      </c>
      <c r="H282" s="21" t="str">
        <f aca="false">IFERROR(INDEX(종합!H$3:H$501,MATCH(ROW()-2,종합!$AD$3:$AD$501,0))&amp;"","")</f>
        <v/>
      </c>
      <c r="I282" s="21" t="str">
        <f aca="false">IFERROR(INDEX(종합!I$3:I$501,MATCH(ROW()-2,종합!$AD$3:$AD$501,0))&amp;"","")</f>
        <v/>
      </c>
      <c r="J282" s="21" t="str">
        <f aca="false">IFERROR(INDEX(종합!J$3:J$501,MATCH(ROW()-2,종합!$AD$3:$AD$501,0))&amp;"","")</f>
        <v/>
      </c>
      <c r="K282" s="21" t="str">
        <f aca="false">IFERROR(INDEX(종합!K$3:K$501,MATCH(ROW()-2,종합!$AD$3:$AD$501,0))&amp;"","")</f>
        <v/>
      </c>
      <c r="L282" s="21" t="str">
        <f aca="false">IFERROR(INDEX(종합!L$3:L$501,MATCH(ROW()-2,종합!$AD$3:$AD$501,0))&amp;"","")</f>
        <v/>
      </c>
      <c r="M282" s="21" t="str">
        <f aca="false">IFERROR(INDEX(종합!M$3:M$501,MATCH(ROW()-2,종합!$AD$3:$AD$501,0))&amp;"","")</f>
        <v/>
      </c>
      <c r="N282" s="25" t="str">
        <f aca="false">IFERROR(INDEX(종합!N$3:N$501,MATCH(ROW()-2,종합!$AD$3:$AD$501,0))&amp;"","")</f>
        <v/>
      </c>
      <c r="O282" s="21" t="str">
        <f aca="false">IFERROR(INDEX(종합!O$3:O$501,MATCH(ROW()-2,종합!$AD$3:$AD$501,0))&amp;"","")</f>
        <v/>
      </c>
      <c r="P282" s="21" t="str">
        <f aca="false">IFERROR(INDEX(종합!P$3:P$501,MATCH(ROW()-2,종합!$AD$3:$AD$501,0))&amp;"","")</f>
        <v/>
      </c>
      <c r="Q282" s="21" t="str">
        <f aca="false">IFERROR(INDEX(종합!Q$3:Q$501,MATCH(ROW()-2,종합!$AD$3:$AD$501,0))&amp;"","")</f>
        <v/>
      </c>
      <c r="R282" s="21" t="str">
        <f aca="false">IFERROR(INDEX(종합!R$3:R$501,MATCH(ROW()-2,종합!$AD$3:$AD$501,0))&amp;"","")</f>
        <v/>
      </c>
      <c r="S282" s="21" t="str">
        <f aca="false">IFERROR(INDEX(종합!S$3:S$501,MATCH(ROW()-2,종합!$AD$3:$AD$501,0))&amp;"","")</f>
        <v/>
      </c>
      <c r="T282" s="21" t="str">
        <f aca="false">IFERROR(INDEX(종합!T$3:T$501,MATCH(ROW()-2,종합!$AD$3:$AD$501,0))&amp;"","")</f>
        <v/>
      </c>
      <c r="U282" s="21" t="str">
        <f aca="false">IFERROR(INDEX(종합!U$3:U$501,MATCH(ROW()-2,종합!$AD$3:$AD$501,0))&amp;"","")</f>
        <v/>
      </c>
      <c r="V282" s="21" t="str">
        <f aca="false">IFERROR(INDEX(종합!V$3:V$501,MATCH(ROW()-2,종합!$AD$3:$AD$501,0))&amp;"","")</f>
        <v/>
      </c>
      <c r="W282" s="21" t="str">
        <f aca="false">IFERROR(INDEX(종합!W$3:W$501,MATCH(ROW()-2,종합!$AD$3:$AD$501,0))&amp;"","")</f>
        <v/>
      </c>
      <c r="X282" s="21" t="str">
        <f aca="false">IFERROR(INDEX(종합!X$3:X$501,MATCH(ROW()-2,종합!$AD$3:$AD$501,0))&amp;"","")</f>
        <v/>
      </c>
      <c r="Y282" s="21" t="str">
        <f aca="false">IFERROR(INDEX(종합!Y$3:Y$501,MATCH(ROW()-2,종합!$AD$3:$AD$501,0))&amp;"","")</f>
        <v/>
      </c>
      <c r="Z282" s="21" t="str">
        <f aca="false">IFERROR(INDEX(종합!Z$3:Z$501,MATCH(ROW()-2,종합!$AD$3:$AD$501,0))&amp;"","")</f>
        <v/>
      </c>
      <c r="AA282" s="23" t="str">
        <f aca="false">IFERROR(INDEX(종합!AA$3:AA$501,MATCH(ROW()-2,종합!$AD$3:$AD$501,0))&amp;"","")</f>
        <v/>
      </c>
    </row>
    <row r="283" customFormat="false" ht="16.5" hidden="false" customHeight="true" outlineLevel="0" collapsed="false">
      <c r="A283" s="18" t="str">
        <f aca="false">IF(B283="","",ROW()-2)</f>
        <v/>
      </c>
      <c r="B283" s="18" t="str">
        <f aca="false">IFERROR(INDEX(종합!B$3:B$501,MATCH(ROW()-2,종합!$AD$3:$AD$501,0))&amp;"","")</f>
        <v/>
      </c>
      <c r="C283" s="18" t="str">
        <f aca="false">IFERROR(INDEX(종합!C$3:C$501,MATCH(ROW()-2,종합!$AD$3:$AD$501,0))&amp;"","")</f>
        <v/>
      </c>
      <c r="D283" s="18" t="str">
        <f aca="false">IFERROR(INDEX(종합!D$3:D$501,MATCH(ROW()-2,종합!$AD$3:$AD$501,0))&amp;"","")</f>
        <v/>
      </c>
      <c r="E283" s="18" t="str">
        <f aca="false">IFERROR(INDEX(종합!E$3:E$501,MATCH(ROW()-2,종합!$AD$3:$AD$501,0))&amp;"","")</f>
        <v/>
      </c>
      <c r="F283" s="18" t="str">
        <f aca="false">IFERROR(INDEX(종합!F$3:F$501,MATCH(ROW()-2,종합!$AD$3:$AD$501,0))&amp;"","")</f>
        <v/>
      </c>
      <c r="G283" s="18" t="str">
        <f aca="false">IFERROR(INDEX(종합!G$3:G$501,MATCH(ROW()-2,종합!$AD$3:$AD$501,0))&amp;"","")</f>
        <v/>
      </c>
      <c r="H283" s="21" t="str">
        <f aca="false">IFERROR(INDEX(종합!H$3:H$501,MATCH(ROW()-2,종합!$AD$3:$AD$501,0))&amp;"","")</f>
        <v/>
      </c>
      <c r="I283" s="21" t="str">
        <f aca="false">IFERROR(INDEX(종합!I$3:I$501,MATCH(ROW()-2,종합!$AD$3:$AD$501,0))&amp;"","")</f>
        <v/>
      </c>
      <c r="J283" s="21" t="str">
        <f aca="false">IFERROR(INDEX(종합!J$3:J$501,MATCH(ROW()-2,종합!$AD$3:$AD$501,0))&amp;"","")</f>
        <v/>
      </c>
      <c r="K283" s="21" t="str">
        <f aca="false">IFERROR(INDEX(종합!K$3:K$501,MATCH(ROW()-2,종합!$AD$3:$AD$501,0))&amp;"","")</f>
        <v/>
      </c>
      <c r="L283" s="21" t="str">
        <f aca="false">IFERROR(INDEX(종합!L$3:L$501,MATCH(ROW()-2,종합!$AD$3:$AD$501,0))&amp;"","")</f>
        <v/>
      </c>
      <c r="M283" s="21" t="str">
        <f aca="false">IFERROR(INDEX(종합!M$3:M$501,MATCH(ROW()-2,종합!$AD$3:$AD$501,0))&amp;"","")</f>
        <v/>
      </c>
      <c r="N283" s="25" t="str">
        <f aca="false">IFERROR(INDEX(종합!N$3:N$501,MATCH(ROW()-2,종합!$AD$3:$AD$501,0))&amp;"","")</f>
        <v/>
      </c>
      <c r="O283" s="21" t="str">
        <f aca="false">IFERROR(INDEX(종합!O$3:O$501,MATCH(ROW()-2,종합!$AD$3:$AD$501,0))&amp;"","")</f>
        <v/>
      </c>
      <c r="P283" s="21" t="str">
        <f aca="false">IFERROR(INDEX(종합!P$3:P$501,MATCH(ROW()-2,종합!$AD$3:$AD$501,0))&amp;"","")</f>
        <v/>
      </c>
      <c r="Q283" s="21" t="str">
        <f aca="false">IFERROR(INDEX(종합!Q$3:Q$501,MATCH(ROW()-2,종합!$AD$3:$AD$501,0))&amp;"","")</f>
        <v/>
      </c>
      <c r="R283" s="21" t="str">
        <f aca="false">IFERROR(INDEX(종합!R$3:R$501,MATCH(ROW()-2,종합!$AD$3:$AD$501,0))&amp;"","")</f>
        <v/>
      </c>
      <c r="S283" s="21" t="str">
        <f aca="false">IFERROR(INDEX(종합!S$3:S$501,MATCH(ROW()-2,종합!$AD$3:$AD$501,0))&amp;"","")</f>
        <v/>
      </c>
      <c r="T283" s="21" t="str">
        <f aca="false">IFERROR(INDEX(종합!T$3:T$501,MATCH(ROW()-2,종합!$AD$3:$AD$501,0))&amp;"","")</f>
        <v/>
      </c>
      <c r="U283" s="21" t="str">
        <f aca="false">IFERROR(INDEX(종합!U$3:U$501,MATCH(ROW()-2,종합!$AD$3:$AD$501,0))&amp;"","")</f>
        <v/>
      </c>
      <c r="V283" s="21" t="str">
        <f aca="false">IFERROR(INDEX(종합!V$3:V$501,MATCH(ROW()-2,종합!$AD$3:$AD$501,0))&amp;"","")</f>
        <v/>
      </c>
      <c r="W283" s="21" t="str">
        <f aca="false">IFERROR(INDEX(종합!W$3:W$501,MATCH(ROW()-2,종합!$AD$3:$AD$501,0))&amp;"","")</f>
        <v/>
      </c>
      <c r="X283" s="21" t="str">
        <f aca="false">IFERROR(INDEX(종합!X$3:X$501,MATCH(ROW()-2,종합!$AD$3:$AD$501,0))&amp;"","")</f>
        <v/>
      </c>
      <c r="Y283" s="21" t="str">
        <f aca="false">IFERROR(INDEX(종합!Y$3:Y$501,MATCH(ROW()-2,종합!$AD$3:$AD$501,0))&amp;"","")</f>
        <v/>
      </c>
      <c r="Z283" s="21" t="str">
        <f aca="false">IFERROR(INDEX(종합!Z$3:Z$501,MATCH(ROW()-2,종합!$AD$3:$AD$501,0))&amp;"","")</f>
        <v/>
      </c>
      <c r="AA283" s="23" t="str">
        <f aca="false">IFERROR(INDEX(종합!AA$3:AA$501,MATCH(ROW()-2,종합!$AD$3:$AD$501,0))&amp;"","")</f>
        <v/>
      </c>
    </row>
    <row r="284" customFormat="false" ht="16.5" hidden="false" customHeight="true" outlineLevel="0" collapsed="false">
      <c r="A284" s="18" t="str">
        <f aca="false">IF(B284="","",ROW()-2)</f>
        <v/>
      </c>
      <c r="B284" s="18" t="str">
        <f aca="false">IFERROR(INDEX(종합!B$3:B$501,MATCH(ROW()-2,종합!$AD$3:$AD$501,0))&amp;"","")</f>
        <v/>
      </c>
      <c r="C284" s="18" t="str">
        <f aca="false">IFERROR(INDEX(종합!C$3:C$501,MATCH(ROW()-2,종합!$AD$3:$AD$501,0))&amp;"","")</f>
        <v/>
      </c>
      <c r="D284" s="18" t="str">
        <f aca="false">IFERROR(INDEX(종합!D$3:D$501,MATCH(ROW()-2,종합!$AD$3:$AD$501,0))&amp;"","")</f>
        <v/>
      </c>
      <c r="E284" s="18" t="str">
        <f aca="false">IFERROR(INDEX(종합!E$3:E$501,MATCH(ROW()-2,종합!$AD$3:$AD$501,0))&amp;"","")</f>
        <v/>
      </c>
      <c r="F284" s="18" t="str">
        <f aca="false">IFERROR(INDEX(종합!F$3:F$501,MATCH(ROW()-2,종합!$AD$3:$AD$501,0))&amp;"","")</f>
        <v/>
      </c>
      <c r="G284" s="18" t="str">
        <f aca="false">IFERROR(INDEX(종합!G$3:G$501,MATCH(ROW()-2,종합!$AD$3:$AD$501,0))&amp;"","")</f>
        <v/>
      </c>
      <c r="H284" s="21" t="str">
        <f aca="false">IFERROR(INDEX(종합!H$3:H$501,MATCH(ROW()-2,종합!$AD$3:$AD$501,0))&amp;"","")</f>
        <v/>
      </c>
      <c r="I284" s="21" t="str">
        <f aca="false">IFERROR(INDEX(종합!I$3:I$501,MATCH(ROW()-2,종합!$AD$3:$AD$501,0))&amp;"","")</f>
        <v/>
      </c>
      <c r="J284" s="21" t="str">
        <f aca="false">IFERROR(INDEX(종합!J$3:J$501,MATCH(ROW()-2,종합!$AD$3:$AD$501,0))&amp;"","")</f>
        <v/>
      </c>
      <c r="K284" s="21" t="str">
        <f aca="false">IFERROR(INDEX(종합!K$3:K$501,MATCH(ROW()-2,종합!$AD$3:$AD$501,0))&amp;"","")</f>
        <v/>
      </c>
      <c r="L284" s="21" t="str">
        <f aca="false">IFERROR(INDEX(종합!L$3:L$501,MATCH(ROW()-2,종합!$AD$3:$AD$501,0))&amp;"","")</f>
        <v/>
      </c>
      <c r="M284" s="21" t="str">
        <f aca="false">IFERROR(INDEX(종합!M$3:M$501,MATCH(ROW()-2,종합!$AD$3:$AD$501,0))&amp;"","")</f>
        <v/>
      </c>
      <c r="N284" s="25" t="str">
        <f aca="false">IFERROR(INDEX(종합!N$3:N$501,MATCH(ROW()-2,종합!$AD$3:$AD$501,0))&amp;"","")</f>
        <v/>
      </c>
      <c r="O284" s="21" t="str">
        <f aca="false">IFERROR(INDEX(종합!O$3:O$501,MATCH(ROW()-2,종합!$AD$3:$AD$501,0))&amp;"","")</f>
        <v/>
      </c>
      <c r="P284" s="21" t="str">
        <f aca="false">IFERROR(INDEX(종합!P$3:P$501,MATCH(ROW()-2,종합!$AD$3:$AD$501,0))&amp;"","")</f>
        <v/>
      </c>
      <c r="Q284" s="21" t="str">
        <f aca="false">IFERROR(INDEX(종합!Q$3:Q$501,MATCH(ROW()-2,종합!$AD$3:$AD$501,0))&amp;"","")</f>
        <v/>
      </c>
      <c r="R284" s="21" t="str">
        <f aca="false">IFERROR(INDEX(종합!R$3:R$501,MATCH(ROW()-2,종합!$AD$3:$AD$501,0))&amp;"","")</f>
        <v/>
      </c>
      <c r="S284" s="21" t="str">
        <f aca="false">IFERROR(INDEX(종합!S$3:S$501,MATCH(ROW()-2,종합!$AD$3:$AD$501,0))&amp;"","")</f>
        <v/>
      </c>
      <c r="T284" s="21" t="str">
        <f aca="false">IFERROR(INDEX(종합!T$3:T$501,MATCH(ROW()-2,종합!$AD$3:$AD$501,0))&amp;"","")</f>
        <v/>
      </c>
      <c r="U284" s="21" t="str">
        <f aca="false">IFERROR(INDEX(종합!U$3:U$501,MATCH(ROW()-2,종합!$AD$3:$AD$501,0))&amp;"","")</f>
        <v/>
      </c>
      <c r="V284" s="21" t="str">
        <f aca="false">IFERROR(INDEX(종합!V$3:V$501,MATCH(ROW()-2,종합!$AD$3:$AD$501,0))&amp;"","")</f>
        <v/>
      </c>
      <c r="W284" s="21" t="str">
        <f aca="false">IFERROR(INDEX(종합!W$3:W$501,MATCH(ROW()-2,종합!$AD$3:$AD$501,0))&amp;"","")</f>
        <v/>
      </c>
      <c r="X284" s="21" t="str">
        <f aca="false">IFERROR(INDEX(종합!X$3:X$501,MATCH(ROW()-2,종합!$AD$3:$AD$501,0))&amp;"","")</f>
        <v/>
      </c>
      <c r="Y284" s="21" t="str">
        <f aca="false">IFERROR(INDEX(종합!Y$3:Y$501,MATCH(ROW()-2,종합!$AD$3:$AD$501,0))&amp;"","")</f>
        <v/>
      </c>
      <c r="Z284" s="21" t="str">
        <f aca="false">IFERROR(INDEX(종합!Z$3:Z$501,MATCH(ROW()-2,종합!$AD$3:$AD$501,0))&amp;"","")</f>
        <v/>
      </c>
      <c r="AA284" s="23" t="str">
        <f aca="false">IFERROR(INDEX(종합!AA$3:AA$501,MATCH(ROW()-2,종합!$AD$3:$AD$501,0))&amp;"","")</f>
        <v/>
      </c>
    </row>
    <row r="285" customFormat="false" ht="16.5" hidden="false" customHeight="true" outlineLevel="0" collapsed="false">
      <c r="A285" s="18" t="str">
        <f aca="false">IF(B285="","",ROW()-2)</f>
        <v/>
      </c>
      <c r="B285" s="18" t="str">
        <f aca="false">IFERROR(INDEX(종합!B$3:B$501,MATCH(ROW()-2,종합!$AD$3:$AD$501,0))&amp;"","")</f>
        <v/>
      </c>
      <c r="C285" s="18" t="str">
        <f aca="false">IFERROR(INDEX(종합!C$3:C$501,MATCH(ROW()-2,종합!$AD$3:$AD$501,0))&amp;"","")</f>
        <v/>
      </c>
      <c r="D285" s="18" t="str">
        <f aca="false">IFERROR(INDEX(종합!D$3:D$501,MATCH(ROW()-2,종합!$AD$3:$AD$501,0))&amp;"","")</f>
        <v/>
      </c>
      <c r="E285" s="18" t="str">
        <f aca="false">IFERROR(INDEX(종합!E$3:E$501,MATCH(ROW()-2,종합!$AD$3:$AD$501,0))&amp;"","")</f>
        <v/>
      </c>
      <c r="F285" s="18" t="str">
        <f aca="false">IFERROR(INDEX(종합!F$3:F$501,MATCH(ROW()-2,종합!$AD$3:$AD$501,0))&amp;"","")</f>
        <v/>
      </c>
      <c r="G285" s="18" t="str">
        <f aca="false">IFERROR(INDEX(종합!G$3:G$501,MATCH(ROW()-2,종합!$AD$3:$AD$501,0))&amp;"","")</f>
        <v/>
      </c>
      <c r="H285" s="21" t="str">
        <f aca="false">IFERROR(INDEX(종합!H$3:H$501,MATCH(ROW()-2,종합!$AD$3:$AD$501,0))&amp;"","")</f>
        <v/>
      </c>
      <c r="I285" s="21" t="str">
        <f aca="false">IFERROR(INDEX(종합!I$3:I$501,MATCH(ROW()-2,종합!$AD$3:$AD$501,0))&amp;"","")</f>
        <v/>
      </c>
      <c r="J285" s="21" t="str">
        <f aca="false">IFERROR(INDEX(종합!J$3:J$501,MATCH(ROW()-2,종합!$AD$3:$AD$501,0))&amp;"","")</f>
        <v/>
      </c>
      <c r="K285" s="21" t="str">
        <f aca="false">IFERROR(INDEX(종합!K$3:K$501,MATCH(ROW()-2,종합!$AD$3:$AD$501,0))&amp;"","")</f>
        <v/>
      </c>
      <c r="L285" s="21" t="str">
        <f aca="false">IFERROR(INDEX(종합!L$3:L$501,MATCH(ROW()-2,종합!$AD$3:$AD$501,0))&amp;"","")</f>
        <v/>
      </c>
      <c r="M285" s="21" t="str">
        <f aca="false">IFERROR(INDEX(종합!M$3:M$501,MATCH(ROW()-2,종합!$AD$3:$AD$501,0))&amp;"","")</f>
        <v/>
      </c>
      <c r="N285" s="25" t="str">
        <f aca="false">IFERROR(INDEX(종합!N$3:N$501,MATCH(ROW()-2,종합!$AD$3:$AD$501,0))&amp;"","")</f>
        <v/>
      </c>
      <c r="O285" s="21" t="str">
        <f aca="false">IFERROR(INDEX(종합!O$3:O$501,MATCH(ROW()-2,종합!$AD$3:$AD$501,0))&amp;"","")</f>
        <v/>
      </c>
      <c r="P285" s="21" t="str">
        <f aca="false">IFERROR(INDEX(종합!P$3:P$501,MATCH(ROW()-2,종합!$AD$3:$AD$501,0))&amp;"","")</f>
        <v/>
      </c>
      <c r="Q285" s="21" t="str">
        <f aca="false">IFERROR(INDEX(종합!Q$3:Q$501,MATCH(ROW()-2,종합!$AD$3:$AD$501,0))&amp;"","")</f>
        <v/>
      </c>
      <c r="R285" s="21" t="str">
        <f aca="false">IFERROR(INDEX(종합!R$3:R$501,MATCH(ROW()-2,종합!$AD$3:$AD$501,0))&amp;"","")</f>
        <v/>
      </c>
      <c r="S285" s="21" t="str">
        <f aca="false">IFERROR(INDEX(종합!S$3:S$501,MATCH(ROW()-2,종합!$AD$3:$AD$501,0))&amp;"","")</f>
        <v/>
      </c>
      <c r="T285" s="21" t="str">
        <f aca="false">IFERROR(INDEX(종합!T$3:T$501,MATCH(ROW()-2,종합!$AD$3:$AD$501,0))&amp;"","")</f>
        <v/>
      </c>
      <c r="U285" s="21" t="str">
        <f aca="false">IFERROR(INDEX(종합!U$3:U$501,MATCH(ROW()-2,종합!$AD$3:$AD$501,0))&amp;"","")</f>
        <v/>
      </c>
      <c r="V285" s="21" t="str">
        <f aca="false">IFERROR(INDEX(종합!V$3:V$501,MATCH(ROW()-2,종합!$AD$3:$AD$501,0))&amp;"","")</f>
        <v/>
      </c>
      <c r="W285" s="21" t="str">
        <f aca="false">IFERROR(INDEX(종합!W$3:W$501,MATCH(ROW()-2,종합!$AD$3:$AD$501,0))&amp;"","")</f>
        <v/>
      </c>
      <c r="X285" s="21" t="str">
        <f aca="false">IFERROR(INDEX(종합!X$3:X$501,MATCH(ROW()-2,종합!$AD$3:$AD$501,0))&amp;"","")</f>
        <v/>
      </c>
      <c r="Y285" s="21" t="str">
        <f aca="false">IFERROR(INDEX(종합!Y$3:Y$501,MATCH(ROW()-2,종합!$AD$3:$AD$501,0))&amp;"","")</f>
        <v/>
      </c>
      <c r="Z285" s="21" t="str">
        <f aca="false">IFERROR(INDEX(종합!Z$3:Z$501,MATCH(ROW()-2,종합!$AD$3:$AD$501,0))&amp;"","")</f>
        <v/>
      </c>
      <c r="AA285" s="23" t="str">
        <f aca="false">IFERROR(INDEX(종합!AA$3:AA$501,MATCH(ROW()-2,종합!$AD$3:$AD$501,0))&amp;"","")</f>
        <v/>
      </c>
    </row>
    <row r="286" customFormat="false" ht="16.5" hidden="false" customHeight="true" outlineLevel="0" collapsed="false">
      <c r="A286" s="18" t="str">
        <f aca="false">IF(B286="","",ROW()-2)</f>
        <v/>
      </c>
      <c r="B286" s="18" t="str">
        <f aca="false">IFERROR(INDEX(종합!B$3:B$501,MATCH(ROW()-2,종합!$AD$3:$AD$501,0))&amp;"","")</f>
        <v/>
      </c>
      <c r="C286" s="18" t="str">
        <f aca="false">IFERROR(INDEX(종합!C$3:C$501,MATCH(ROW()-2,종합!$AD$3:$AD$501,0))&amp;"","")</f>
        <v/>
      </c>
      <c r="D286" s="18" t="str">
        <f aca="false">IFERROR(INDEX(종합!D$3:D$501,MATCH(ROW()-2,종합!$AD$3:$AD$501,0))&amp;"","")</f>
        <v/>
      </c>
      <c r="E286" s="18" t="str">
        <f aca="false">IFERROR(INDEX(종합!E$3:E$501,MATCH(ROW()-2,종합!$AD$3:$AD$501,0))&amp;"","")</f>
        <v/>
      </c>
      <c r="F286" s="18" t="str">
        <f aca="false">IFERROR(INDEX(종합!F$3:F$501,MATCH(ROW()-2,종합!$AD$3:$AD$501,0))&amp;"","")</f>
        <v/>
      </c>
      <c r="G286" s="18" t="str">
        <f aca="false">IFERROR(INDEX(종합!G$3:G$501,MATCH(ROW()-2,종합!$AD$3:$AD$501,0))&amp;"","")</f>
        <v/>
      </c>
      <c r="H286" s="21" t="str">
        <f aca="false">IFERROR(INDEX(종합!H$3:H$501,MATCH(ROW()-2,종합!$AD$3:$AD$501,0))&amp;"","")</f>
        <v/>
      </c>
      <c r="I286" s="21" t="str">
        <f aca="false">IFERROR(INDEX(종합!I$3:I$501,MATCH(ROW()-2,종합!$AD$3:$AD$501,0))&amp;"","")</f>
        <v/>
      </c>
      <c r="J286" s="21" t="str">
        <f aca="false">IFERROR(INDEX(종합!J$3:J$501,MATCH(ROW()-2,종합!$AD$3:$AD$501,0))&amp;"","")</f>
        <v/>
      </c>
      <c r="K286" s="21" t="str">
        <f aca="false">IFERROR(INDEX(종합!K$3:K$501,MATCH(ROW()-2,종합!$AD$3:$AD$501,0))&amp;"","")</f>
        <v/>
      </c>
      <c r="L286" s="21" t="str">
        <f aca="false">IFERROR(INDEX(종합!L$3:L$501,MATCH(ROW()-2,종합!$AD$3:$AD$501,0))&amp;"","")</f>
        <v/>
      </c>
      <c r="M286" s="21" t="str">
        <f aca="false">IFERROR(INDEX(종합!M$3:M$501,MATCH(ROW()-2,종합!$AD$3:$AD$501,0))&amp;"","")</f>
        <v/>
      </c>
      <c r="N286" s="25" t="str">
        <f aca="false">IFERROR(INDEX(종합!N$3:N$501,MATCH(ROW()-2,종합!$AD$3:$AD$501,0))&amp;"","")</f>
        <v/>
      </c>
      <c r="O286" s="21" t="str">
        <f aca="false">IFERROR(INDEX(종합!O$3:O$501,MATCH(ROW()-2,종합!$AD$3:$AD$501,0))&amp;"","")</f>
        <v/>
      </c>
      <c r="P286" s="21" t="str">
        <f aca="false">IFERROR(INDEX(종합!P$3:P$501,MATCH(ROW()-2,종합!$AD$3:$AD$501,0))&amp;"","")</f>
        <v/>
      </c>
      <c r="Q286" s="21" t="str">
        <f aca="false">IFERROR(INDEX(종합!Q$3:Q$501,MATCH(ROW()-2,종합!$AD$3:$AD$501,0))&amp;"","")</f>
        <v/>
      </c>
      <c r="R286" s="21" t="str">
        <f aca="false">IFERROR(INDEX(종합!R$3:R$501,MATCH(ROW()-2,종합!$AD$3:$AD$501,0))&amp;"","")</f>
        <v/>
      </c>
      <c r="S286" s="21" t="str">
        <f aca="false">IFERROR(INDEX(종합!S$3:S$501,MATCH(ROW()-2,종합!$AD$3:$AD$501,0))&amp;"","")</f>
        <v/>
      </c>
      <c r="T286" s="21" t="str">
        <f aca="false">IFERROR(INDEX(종합!T$3:T$501,MATCH(ROW()-2,종합!$AD$3:$AD$501,0))&amp;"","")</f>
        <v/>
      </c>
      <c r="U286" s="21" t="str">
        <f aca="false">IFERROR(INDEX(종합!U$3:U$501,MATCH(ROW()-2,종합!$AD$3:$AD$501,0))&amp;"","")</f>
        <v/>
      </c>
      <c r="V286" s="21" t="str">
        <f aca="false">IFERROR(INDEX(종합!V$3:V$501,MATCH(ROW()-2,종합!$AD$3:$AD$501,0))&amp;"","")</f>
        <v/>
      </c>
      <c r="W286" s="21" t="str">
        <f aca="false">IFERROR(INDEX(종합!W$3:W$501,MATCH(ROW()-2,종합!$AD$3:$AD$501,0))&amp;"","")</f>
        <v/>
      </c>
      <c r="X286" s="21" t="str">
        <f aca="false">IFERROR(INDEX(종합!X$3:X$501,MATCH(ROW()-2,종합!$AD$3:$AD$501,0))&amp;"","")</f>
        <v/>
      </c>
      <c r="Y286" s="21" t="str">
        <f aca="false">IFERROR(INDEX(종합!Y$3:Y$501,MATCH(ROW()-2,종합!$AD$3:$AD$501,0))&amp;"","")</f>
        <v/>
      </c>
      <c r="Z286" s="21" t="str">
        <f aca="false">IFERROR(INDEX(종합!Z$3:Z$501,MATCH(ROW()-2,종합!$AD$3:$AD$501,0))&amp;"","")</f>
        <v/>
      </c>
      <c r="AA286" s="23" t="str">
        <f aca="false">IFERROR(INDEX(종합!AA$3:AA$501,MATCH(ROW()-2,종합!$AD$3:$AD$501,0))&amp;"","")</f>
        <v/>
      </c>
    </row>
    <row r="287" customFormat="false" ht="16.5" hidden="false" customHeight="true" outlineLevel="0" collapsed="false">
      <c r="A287" s="18" t="str">
        <f aca="false">IF(B287="","",ROW()-2)</f>
        <v/>
      </c>
      <c r="B287" s="18" t="str">
        <f aca="false">IFERROR(INDEX(종합!B$3:B$501,MATCH(ROW()-2,종합!$AD$3:$AD$501,0))&amp;"","")</f>
        <v/>
      </c>
      <c r="C287" s="18" t="str">
        <f aca="false">IFERROR(INDEX(종합!C$3:C$501,MATCH(ROW()-2,종합!$AD$3:$AD$501,0))&amp;"","")</f>
        <v/>
      </c>
      <c r="D287" s="18" t="str">
        <f aca="false">IFERROR(INDEX(종합!D$3:D$501,MATCH(ROW()-2,종합!$AD$3:$AD$501,0))&amp;"","")</f>
        <v/>
      </c>
      <c r="E287" s="18" t="str">
        <f aca="false">IFERROR(INDEX(종합!E$3:E$501,MATCH(ROW()-2,종합!$AD$3:$AD$501,0))&amp;"","")</f>
        <v/>
      </c>
      <c r="F287" s="18" t="str">
        <f aca="false">IFERROR(INDEX(종합!F$3:F$501,MATCH(ROW()-2,종합!$AD$3:$AD$501,0))&amp;"","")</f>
        <v/>
      </c>
      <c r="G287" s="18" t="str">
        <f aca="false">IFERROR(INDEX(종합!G$3:G$501,MATCH(ROW()-2,종합!$AD$3:$AD$501,0))&amp;"","")</f>
        <v/>
      </c>
      <c r="H287" s="21" t="str">
        <f aca="false">IFERROR(INDEX(종합!H$3:H$501,MATCH(ROW()-2,종합!$AD$3:$AD$501,0))&amp;"","")</f>
        <v/>
      </c>
      <c r="I287" s="21" t="str">
        <f aca="false">IFERROR(INDEX(종합!I$3:I$501,MATCH(ROW()-2,종합!$AD$3:$AD$501,0))&amp;"","")</f>
        <v/>
      </c>
      <c r="J287" s="21" t="str">
        <f aca="false">IFERROR(INDEX(종합!J$3:J$501,MATCH(ROW()-2,종합!$AD$3:$AD$501,0))&amp;"","")</f>
        <v/>
      </c>
      <c r="K287" s="21" t="str">
        <f aca="false">IFERROR(INDEX(종합!K$3:K$501,MATCH(ROW()-2,종합!$AD$3:$AD$501,0))&amp;"","")</f>
        <v/>
      </c>
      <c r="L287" s="21" t="str">
        <f aca="false">IFERROR(INDEX(종합!L$3:L$501,MATCH(ROW()-2,종합!$AD$3:$AD$501,0))&amp;"","")</f>
        <v/>
      </c>
      <c r="M287" s="21" t="str">
        <f aca="false">IFERROR(INDEX(종합!M$3:M$501,MATCH(ROW()-2,종합!$AD$3:$AD$501,0))&amp;"","")</f>
        <v/>
      </c>
      <c r="N287" s="25" t="str">
        <f aca="false">IFERROR(INDEX(종합!N$3:N$501,MATCH(ROW()-2,종합!$AD$3:$AD$501,0))&amp;"","")</f>
        <v/>
      </c>
      <c r="O287" s="21" t="str">
        <f aca="false">IFERROR(INDEX(종합!O$3:O$501,MATCH(ROW()-2,종합!$AD$3:$AD$501,0))&amp;"","")</f>
        <v/>
      </c>
      <c r="P287" s="21" t="str">
        <f aca="false">IFERROR(INDEX(종합!P$3:P$501,MATCH(ROW()-2,종합!$AD$3:$AD$501,0))&amp;"","")</f>
        <v/>
      </c>
      <c r="Q287" s="21" t="str">
        <f aca="false">IFERROR(INDEX(종합!Q$3:Q$501,MATCH(ROW()-2,종합!$AD$3:$AD$501,0))&amp;"","")</f>
        <v/>
      </c>
      <c r="R287" s="21" t="str">
        <f aca="false">IFERROR(INDEX(종합!R$3:R$501,MATCH(ROW()-2,종합!$AD$3:$AD$501,0))&amp;"","")</f>
        <v/>
      </c>
      <c r="S287" s="21" t="str">
        <f aca="false">IFERROR(INDEX(종합!S$3:S$501,MATCH(ROW()-2,종합!$AD$3:$AD$501,0))&amp;"","")</f>
        <v/>
      </c>
      <c r="T287" s="21" t="str">
        <f aca="false">IFERROR(INDEX(종합!T$3:T$501,MATCH(ROW()-2,종합!$AD$3:$AD$501,0))&amp;"","")</f>
        <v/>
      </c>
      <c r="U287" s="21" t="str">
        <f aca="false">IFERROR(INDEX(종합!U$3:U$501,MATCH(ROW()-2,종합!$AD$3:$AD$501,0))&amp;"","")</f>
        <v/>
      </c>
      <c r="V287" s="21" t="str">
        <f aca="false">IFERROR(INDEX(종합!V$3:V$501,MATCH(ROW()-2,종합!$AD$3:$AD$501,0))&amp;"","")</f>
        <v/>
      </c>
      <c r="W287" s="21" t="str">
        <f aca="false">IFERROR(INDEX(종합!W$3:W$501,MATCH(ROW()-2,종합!$AD$3:$AD$501,0))&amp;"","")</f>
        <v/>
      </c>
      <c r="X287" s="21" t="str">
        <f aca="false">IFERROR(INDEX(종합!X$3:X$501,MATCH(ROW()-2,종합!$AD$3:$AD$501,0))&amp;"","")</f>
        <v/>
      </c>
      <c r="Y287" s="21" t="str">
        <f aca="false">IFERROR(INDEX(종합!Y$3:Y$501,MATCH(ROW()-2,종합!$AD$3:$AD$501,0))&amp;"","")</f>
        <v/>
      </c>
      <c r="Z287" s="21" t="str">
        <f aca="false">IFERROR(INDEX(종합!Z$3:Z$501,MATCH(ROW()-2,종합!$AD$3:$AD$501,0))&amp;"","")</f>
        <v/>
      </c>
      <c r="AA287" s="23" t="str">
        <f aca="false">IFERROR(INDEX(종합!AA$3:AA$501,MATCH(ROW()-2,종합!$AD$3:$AD$501,0))&amp;"","")</f>
        <v/>
      </c>
    </row>
    <row r="288" customFormat="false" ht="16.5" hidden="false" customHeight="true" outlineLevel="0" collapsed="false">
      <c r="A288" s="18" t="str">
        <f aca="false">IF(B288="","",ROW()-2)</f>
        <v/>
      </c>
      <c r="B288" s="18" t="str">
        <f aca="false">IFERROR(INDEX(종합!B$3:B$501,MATCH(ROW()-2,종합!$AD$3:$AD$501,0))&amp;"","")</f>
        <v/>
      </c>
      <c r="C288" s="18" t="str">
        <f aca="false">IFERROR(INDEX(종합!C$3:C$501,MATCH(ROW()-2,종합!$AD$3:$AD$501,0))&amp;"","")</f>
        <v/>
      </c>
      <c r="D288" s="18" t="str">
        <f aca="false">IFERROR(INDEX(종합!D$3:D$501,MATCH(ROW()-2,종합!$AD$3:$AD$501,0))&amp;"","")</f>
        <v/>
      </c>
      <c r="E288" s="18" t="str">
        <f aca="false">IFERROR(INDEX(종합!E$3:E$501,MATCH(ROW()-2,종합!$AD$3:$AD$501,0))&amp;"","")</f>
        <v/>
      </c>
      <c r="F288" s="18" t="str">
        <f aca="false">IFERROR(INDEX(종합!F$3:F$501,MATCH(ROW()-2,종합!$AD$3:$AD$501,0))&amp;"","")</f>
        <v/>
      </c>
      <c r="G288" s="18" t="str">
        <f aca="false">IFERROR(INDEX(종합!G$3:G$501,MATCH(ROW()-2,종합!$AD$3:$AD$501,0))&amp;"","")</f>
        <v/>
      </c>
      <c r="H288" s="21" t="str">
        <f aca="false">IFERROR(INDEX(종합!H$3:H$501,MATCH(ROW()-2,종합!$AD$3:$AD$501,0))&amp;"","")</f>
        <v/>
      </c>
      <c r="I288" s="21" t="str">
        <f aca="false">IFERROR(INDEX(종합!I$3:I$501,MATCH(ROW()-2,종합!$AD$3:$AD$501,0))&amp;"","")</f>
        <v/>
      </c>
      <c r="J288" s="21" t="str">
        <f aca="false">IFERROR(INDEX(종합!J$3:J$501,MATCH(ROW()-2,종합!$AD$3:$AD$501,0))&amp;"","")</f>
        <v/>
      </c>
      <c r="K288" s="21" t="str">
        <f aca="false">IFERROR(INDEX(종합!K$3:K$501,MATCH(ROW()-2,종합!$AD$3:$AD$501,0))&amp;"","")</f>
        <v/>
      </c>
      <c r="L288" s="21" t="str">
        <f aca="false">IFERROR(INDEX(종합!L$3:L$501,MATCH(ROW()-2,종합!$AD$3:$AD$501,0))&amp;"","")</f>
        <v/>
      </c>
      <c r="M288" s="21" t="str">
        <f aca="false">IFERROR(INDEX(종합!M$3:M$501,MATCH(ROW()-2,종합!$AD$3:$AD$501,0))&amp;"","")</f>
        <v/>
      </c>
      <c r="N288" s="25" t="str">
        <f aca="false">IFERROR(INDEX(종합!N$3:N$501,MATCH(ROW()-2,종합!$AD$3:$AD$501,0))&amp;"","")</f>
        <v/>
      </c>
      <c r="O288" s="21" t="str">
        <f aca="false">IFERROR(INDEX(종합!O$3:O$501,MATCH(ROW()-2,종합!$AD$3:$AD$501,0))&amp;"","")</f>
        <v/>
      </c>
      <c r="P288" s="21" t="str">
        <f aca="false">IFERROR(INDEX(종합!P$3:P$501,MATCH(ROW()-2,종합!$AD$3:$AD$501,0))&amp;"","")</f>
        <v/>
      </c>
      <c r="Q288" s="21" t="str">
        <f aca="false">IFERROR(INDEX(종합!Q$3:Q$501,MATCH(ROW()-2,종합!$AD$3:$AD$501,0))&amp;"","")</f>
        <v/>
      </c>
      <c r="R288" s="21" t="str">
        <f aca="false">IFERROR(INDEX(종합!R$3:R$501,MATCH(ROW()-2,종합!$AD$3:$AD$501,0))&amp;"","")</f>
        <v/>
      </c>
      <c r="S288" s="21" t="str">
        <f aca="false">IFERROR(INDEX(종합!S$3:S$501,MATCH(ROW()-2,종합!$AD$3:$AD$501,0))&amp;"","")</f>
        <v/>
      </c>
      <c r="T288" s="21" t="str">
        <f aca="false">IFERROR(INDEX(종합!T$3:T$501,MATCH(ROW()-2,종합!$AD$3:$AD$501,0))&amp;"","")</f>
        <v/>
      </c>
      <c r="U288" s="21" t="str">
        <f aca="false">IFERROR(INDEX(종합!U$3:U$501,MATCH(ROW()-2,종합!$AD$3:$AD$501,0))&amp;"","")</f>
        <v/>
      </c>
      <c r="V288" s="21" t="str">
        <f aca="false">IFERROR(INDEX(종합!V$3:V$501,MATCH(ROW()-2,종합!$AD$3:$AD$501,0))&amp;"","")</f>
        <v/>
      </c>
      <c r="W288" s="21" t="str">
        <f aca="false">IFERROR(INDEX(종합!W$3:W$501,MATCH(ROW()-2,종합!$AD$3:$AD$501,0))&amp;"","")</f>
        <v/>
      </c>
      <c r="X288" s="21" t="str">
        <f aca="false">IFERROR(INDEX(종합!X$3:X$501,MATCH(ROW()-2,종합!$AD$3:$AD$501,0))&amp;"","")</f>
        <v/>
      </c>
      <c r="Y288" s="21" t="str">
        <f aca="false">IFERROR(INDEX(종합!Y$3:Y$501,MATCH(ROW()-2,종합!$AD$3:$AD$501,0))&amp;"","")</f>
        <v/>
      </c>
      <c r="Z288" s="21" t="str">
        <f aca="false">IFERROR(INDEX(종합!Z$3:Z$501,MATCH(ROW()-2,종합!$AD$3:$AD$501,0))&amp;"","")</f>
        <v/>
      </c>
      <c r="AA288" s="23" t="str">
        <f aca="false">IFERROR(INDEX(종합!AA$3:AA$501,MATCH(ROW()-2,종합!$AD$3:$AD$501,0))&amp;"","")</f>
        <v/>
      </c>
    </row>
    <row r="289" customFormat="false" ht="16.5" hidden="false" customHeight="true" outlineLevel="0" collapsed="false">
      <c r="A289" s="18" t="str">
        <f aca="false">IF(B289="","",ROW()-2)</f>
        <v/>
      </c>
      <c r="B289" s="18" t="str">
        <f aca="false">IFERROR(INDEX(종합!B$3:B$501,MATCH(ROW()-2,종합!$AD$3:$AD$501,0))&amp;"","")</f>
        <v/>
      </c>
      <c r="C289" s="18" t="str">
        <f aca="false">IFERROR(INDEX(종합!C$3:C$501,MATCH(ROW()-2,종합!$AD$3:$AD$501,0))&amp;"","")</f>
        <v/>
      </c>
      <c r="D289" s="18" t="str">
        <f aca="false">IFERROR(INDEX(종합!D$3:D$501,MATCH(ROW()-2,종합!$AD$3:$AD$501,0))&amp;"","")</f>
        <v/>
      </c>
      <c r="E289" s="18" t="str">
        <f aca="false">IFERROR(INDEX(종합!E$3:E$501,MATCH(ROW()-2,종합!$AD$3:$AD$501,0))&amp;"","")</f>
        <v/>
      </c>
      <c r="F289" s="18" t="str">
        <f aca="false">IFERROR(INDEX(종합!F$3:F$501,MATCH(ROW()-2,종합!$AD$3:$AD$501,0))&amp;"","")</f>
        <v/>
      </c>
      <c r="G289" s="18" t="str">
        <f aca="false">IFERROR(INDEX(종합!G$3:G$501,MATCH(ROW()-2,종합!$AD$3:$AD$501,0))&amp;"","")</f>
        <v/>
      </c>
      <c r="H289" s="21" t="str">
        <f aca="false">IFERROR(INDEX(종합!H$3:H$501,MATCH(ROW()-2,종합!$AD$3:$AD$501,0))&amp;"","")</f>
        <v/>
      </c>
      <c r="I289" s="21" t="str">
        <f aca="false">IFERROR(INDEX(종합!I$3:I$501,MATCH(ROW()-2,종합!$AD$3:$AD$501,0))&amp;"","")</f>
        <v/>
      </c>
      <c r="J289" s="21" t="str">
        <f aca="false">IFERROR(INDEX(종합!J$3:J$501,MATCH(ROW()-2,종합!$AD$3:$AD$501,0))&amp;"","")</f>
        <v/>
      </c>
      <c r="K289" s="21" t="str">
        <f aca="false">IFERROR(INDEX(종합!K$3:K$501,MATCH(ROW()-2,종합!$AD$3:$AD$501,0))&amp;"","")</f>
        <v/>
      </c>
      <c r="L289" s="21" t="str">
        <f aca="false">IFERROR(INDEX(종합!L$3:L$501,MATCH(ROW()-2,종합!$AD$3:$AD$501,0))&amp;"","")</f>
        <v/>
      </c>
      <c r="M289" s="21" t="str">
        <f aca="false">IFERROR(INDEX(종합!M$3:M$501,MATCH(ROW()-2,종합!$AD$3:$AD$501,0))&amp;"","")</f>
        <v/>
      </c>
      <c r="N289" s="25" t="str">
        <f aca="false">IFERROR(INDEX(종합!N$3:N$501,MATCH(ROW()-2,종합!$AD$3:$AD$501,0))&amp;"","")</f>
        <v/>
      </c>
      <c r="O289" s="21" t="str">
        <f aca="false">IFERROR(INDEX(종합!O$3:O$501,MATCH(ROW()-2,종합!$AD$3:$AD$501,0))&amp;"","")</f>
        <v/>
      </c>
      <c r="P289" s="21" t="str">
        <f aca="false">IFERROR(INDEX(종합!P$3:P$501,MATCH(ROW()-2,종합!$AD$3:$AD$501,0))&amp;"","")</f>
        <v/>
      </c>
      <c r="Q289" s="21" t="str">
        <f aca="false">IFERROR(INDEX(종합!Q$3:Q$501,MATCH(ROW()-2,종합!$AD$3:$AD$501,0))&amp;"","")</f>
        <v/>
      </c>
      <c r="R289" s="21" t="str">
        <f aca="false">IFERROR(INDEX(종합!R$3:R$501,MATCH(ROW()-2,종합!$AD$3:$AD$501,0))&amp;"","")</f>
        <v/>
      </c>
      <c r="S289" s="21" t="str">
        <f aca="false">IFERROR(INDEX(종합!S$3:S$501,MATCH(ROW()-2,종합!$AD$3:$AD$501,0))&amp;"","")</f>
        <v/>
      </c>
      <c r="T289" s="21" t="str">
        <f aca="false">IFERROR(INDEX(종합!T$3:T$501,MATCH(ROW()-2,종합!$AD$3:$AD$501,0))&amp;"","")</f>
        <v/>
      </c>
      <c r="U289" s="21" t="str">
        <f aca="false">IFERROR(INDEX(종합!U$3:U$501,MATCH(ROW()-2,종합!$AD$3:$AD$501,0))&amp;"","")</f>
        <v/>
      </c>
      <c r="V289" s="21" t="str">
        <f aca="false">IFERROR(INDEX(종합!V$3:V$501,MATCH(ROW()-2,종합!$AD$3:$AD$501,0))&amp;"","")</f>
        <v/>
      </c>
      <c r="W289" s="21" t="str">
        <f aca="false">IFERROR(INDEX(종합!W$3:W$501,MATCH(ROW()-2,종합!$AD$3:$AD$501,0))&amp;"","")</f>
        <v/>
      </c>
      <c r="X289" s="21" t="str">
        <f aca="false">IFERROR(INDEX(종합!X$3:X$501,MATCH(ROW()-2,종합!$AD$3:$AD$501,0))&amp;"","")</f>
        <v/>
      </c>
      <c r="Y289" s="21" t="str">
        <f aca="false">IFERROR(INDEX(종합!Y$3:Y$501,MATCH(ROW()-2,종합!$AD$3:$AD$501,0))&amp;"","")</f>
        <v/>
      </c>
      <c r="Z289" s="21" t="str">
        <f aca="false">IFERROR(INDEX(종합!Z$3:Z$501,MATCH(ROW()-2,종합!$AD$3:$AD$501,0))&amp;"","")</f>
        <v/>
      </c>
      <c r="AA289" s="23" t="str">
        <f aca="false">IFERROR(INDEX(종합!AA$3:AA$501,MATCH(ROW()-2,종합!$AD$3:$AD$501,0))&amp;"","")</f>
        <v/>
      </c>
    </row>
    <row r="290" customFormat="false" ht="16.5" hidden="false" customHeight="true" outlineLevel="0" collapsed="false">
      <c r="A290" s="18" t="str">
        <f aca="false">IF(B290="","",ROW()-2)</f>
        <v/>
      </c>
      <c r="B290" s="18" t="str">
        <f aca="false">IFERROR(INDEX(종합!B$3:B$501,MATCH(ROW()-2,종합!$AD$3:$AD$501,0))&amp;"","")</f>
        <v/>
      </c>
      <c r="C290" s="18" t="str">
        <f aca="false">IFERROR(INDEX(종합!C$3:C$501,MATCH(ROW()-2,종합!$AD$3:$AD$501,0))&amp;"","")</f>
        <v/>
      </c>
      <c r="D290" s="18" t="str">
        <f aca="false">IFERROR(INDEX(종합!D$3:D$501,MATCH(ROW()-2,종합!$AD$3:$AD$501,0))&amp;"","")</f>
        <v/>
      </c>
      <c r="E290" s="18" t="str">
        <f aca="false">IFERROR(INDEX(종합!E$3:E$501,MATCH(ROW()-2,종합!$AD$3:$AD$501,0))&amp;"","")</f>
        <v/>
      </c>
      <c r="F290" s="18" t="str">
        <f aca="false">IFERROR(INDEX(종합!F$3:F$501,MATCH(ROW()-2,종합!$AD$3:$AD$501,0))&amp;"","")</f>
        <v/>
      </c>
      <c r="G290" s="18" t="str">
        <f aca="false">IFERROR(INDEX(종합!G$3:G$501,MATCH(ROW()-2,종합!$AD$3:$AD$501,0))&amp;"","")</f>
        <v/>
      </c>
      <c r="H290" s="21" t="str">
        <f aca="false">IFERROR(INDEX(종합!H$3:H$501,MATCH(ROW()-2,종합!$AD$3:$AD$501,0))&amp;"","")</f>
        <v/>
      </c>
      <c r="I290" s="21" t="str">
        <f aca="false">IFERROR(INDEX(종합!I$3:I$501,MATCH(ROW()-2,종합!$AD$3:$AD$501,0))&amp;"","")</f>
        <v/>
      </c>
      <c r="J290" s="21" t="str">
        <f aca="false">IFERROR(INDEX(종합!J$3:J$501,MATCH(ROW()-2,종합!$AD$3:$AD$501,0))&amp;"","")</f>
        <v/>
      </c>
      <c r="K290" s="21" t="str">
        <f aca="false">IFERROR(INDEX(종합!K$3:K$501,MATCH(ROW()-2,종합!$AD$3:$AD$501,0))&amp;"","")</f>
        <v/>
      </c>
      <c r="L290" s="21" t="str">
        <f aca="false">IFERROR(INDEX(종합!L$3:L$501,MATCH(ROW()-2,종합!$AD$3:$AD$501,0))&amp;"","")</f>
        <v/>
      </c>
      <c r="M290" s="21" t="str">
        <f aca="false">IFERROR(INDEX(종합!M$3:M$501,MATCH(ROW()-2,종합!$AD$3:$AD$501,0))&amp;"","")</f>
        <v/>
      </c>
      <c r="N290" s="25" t="str">
        <f aca="false">IFERROR(INDEX(종합!N$3:N$501,MATCH(ROW()-2,종합!$AD$3:$AD$501,0))&amp;"","")</f>
        <v/>
      </c>
      <c r="O290" s="21" t="str">
        <f aca="false">IFERROR(INDEX(종합!O$3:O$501,MATCH(ROW()-2,종합!$AD$3:$AD$501,0))&amp;"","")</f>
        <v/>
      </c>
      <c r="P290" s="21" t="str">
        <f aca="false">IFERROR(INDEX(종합!P$3:P$501,MATCH(ROW()-2,종합!$AD$3:$AD$501,0))&amp;"","")</f>
        <v/>
      </c>
      <c r="Q290" s="21" t="str">
        <f aca="false">IFERROR(INDEX(종합!Q$3:Q$501,MATCH(ROW()-2,종합!$AD$3:$AD$501,0))&amp;"","")</f>
        <v/>
      </c>
      <c r="R290" s="21" t="str">
        <f aca="false">IFERROR(INDEX(종합!R$3:R$501,MATCH(ROW()-2,종합!$AD$3:$AD$501,0))&amp;"","")</f>
        <v/>
      </c>
      <c r="S290" s="21" t="str">
        <f aca="false">IFERROR(INDEX(종합!S$3:S$501,MATCH(ROW()-2,종합!$AD$3:$AD$501,0))&amp;"","")</f>
        <v/>
      </c>
      <c r="T290" s="21" t="str">
        <f aca="false">IFERROR(INDEX(종합!T$3:T$501,MATCH(ROW()-2,종합!$AD$3:$AD$501,0))&amp;"","")</f>
        <v/>
      </c>
      <c r="U290" s="21" t="str">
        <f aca="false">IFERROR(INDEX(종합!U$3:U$501,MATCH(ROW()-2,종합!$AD$3:$AD$501,0))&amp;"","")</f>
        <v/>
      </c>
      <c r="V290" s="21" t="str">
        <f aca="false">IFERROR(INDEX(종합!V$3:V$501,MATCH(ROW()-2,종합!$AD$3:$AD$501,0))&amp;"","")</f>
        <v/>
      </c>
      <c r="W290" s="21" t="str">
        <f aca="false">IFERROR(INDEX(종합!W$3:W$501,MATCH(ROW()-2,종합!$AD$3:$AD$501,0))&amp;"","")</f>
        <v/>
      </c>
      <c r="X290" s="21" t="str">
        <f aca="false">IFERROR(INDEX(종합!X$3:X$501,MATCH(ROW()-2,종합!$AD$3:$AD$501,0))&amp;"","")</f>
        <v/>
      </c>
      <c r="Y290" s="21" t="str">
        <f aca="false">IFERROR(INDEX(종합!Y$3:Y$501,MATCH(ROW()-2,종합!$AD$3:$AD$501,0))&amp;"","")</f>
        <v/>
      </c>
      <c r="Z290" s="21" t="str">
        <f aca="false">IFERROR(INDEX(종합!Z$3:Z$501,MATCH(ROW()-2,종합!$AD$3:$AD$501,0))&amp;"","")</f>
        <v/>
      </c>
      <c r="AA290" s="23" t="str">
        <f aca="false">IFERROR(INDEX(종합!AA$3:AA$501,MATCH(ROW()-2,종합!$AD$3:$AD$501,0))&amp;"","")</f>
        <v/>
      </c>
    </row>
    <row r="291" customFormat="false" ht="16.5" hidden="false" customHeight="true" outlineLevel="0" collapsed="false">
      <c r="A291" s="18" t="str">
        <f aca="false">IF(B291="","",ROW()-2)</f>
        <v/>
      </c>
      <c r="B291" s="18" t="str">
        <f aca="false">IFERROR(INDEX(종합!B$3:B$501,MATCH(ROW()-2,종합!$AD$3:$AD$501,0))&amp;"","")</f>
        <v/>
      </c>
      <c r="C291" s="18" t="str">
        <f aca="false">IFERROR(INDEX(종합!C$3:C$501,MATCH(ROW()-2,종합!$AD$3:$AD$501,0))&amp;"","")</f>
        <v/>
      </c>
      <c r="D291" s="18" t="str">
        <f aca="false">IFERROR(INDEX(종합!D$3:D$501,MATCH(ROW()-2,종합!$AD$3:$AD$501,0))&amp;"","")</f>
        <v/>
      </c>
      <c r="E291" s="18" t="str">
        <f aca="false">IFERROR(INDEX(종합!E$3:E$501,MATCH(ROW()-2,종합!$AD$3:$AD$501,0))&amp;"","")</f>
        <v/>
      </c>
      <c r="F291" s="18" t="str">
        <f aca="false">IFERROR(INDEX(종합!F$3:F$501,MATCH(ROW()-2,종합!$AD$3:$AD$501,0))&amp;"","")</f>
        <v/>
      </c>
      <c r="G291" s="18" t="str">
        <f aca="false">IFERROR(INDEX(종합!G$3:G$501,MATCH(ROW()-2,종합!$AD$3:$AD$501,0))&amp;"","")</f>
        <v/>
      </c>
      <c r="H291" s="21" t="str">
        <f aca="false">IFERROR(INDEX(종합!H$3:H$501,MATCH(ROW()-2,종합!$AD$3:$AD$501,0))&amp;"","")</f>
        <v/>
      </c>
      <c r="I291" s="21" t="str">
        <f aca="false">IFERROR(INDEX(종합!I$3:I$501,MATCH(ROW()-2,종합!$AD$3:$AD$501,0))&amp;"","")</f>
        <v/>
      </c>
      <c r="J291" s="21" t="str">
        <f aca="false">IFERROR(INDEX(종합!J$3:J$501,MATCH(ROW()-2,종합!$AD$3:$AD$501,0))&amp;"","")</f>
        <v/>
      </c>
      <c r="K291" s="21" t="str">
        <f aca="false">IFERROR(INDEX(종합!K$3:K$501,MATCH(ROW()-2,종합!$AD$3:$AD$501,0))&amp;"","")</f>
        <v/>
      </c>
      <c r="L291" s="21" t="str">
        <f aca="false">IFERROR(INDEX(종합!L$3:L$501,MATCH(ROW()-2,종합!$AD$3:$AD$501,0))&amp;"","")</f>
        <v/>
      </c>
      <c r="M291" s="21" t="str">
        <f aca="false">IFERROR(INDEX(종합!M$3:M$501,MATCH(ROW()-2,종합!$AD$3:$AD$501,0))&amp;"","")</f>
        <v/>
      </c>
      <c r="N291" s="25" t="str">
        <f aca="false">IFERROR(INDEX(종합!N$3:N$501,MATCH(ROW()-2,종합!$AD$3:$AD$501,0))&amp;"","")</f>
        <v/>
      </c>
      <c r="O291" s="21" t="str">
        <f aca="false">IFERROR(INDEX(종합!O$3:O$501,MATCH(ROW()-2,종합!$AD$3:$AD$501,0))&amp;"","")</f>
        <v/>
      </c>
      <c r="P291" s="21" t="str">
        <f aca="false">IFERROR(INDEX(종합!P$3:P$501,MATCH(ROW()-2,종합!$AD$3:$AD$501,0))&amp;"","")</f>
        <v/>
      </c>
      <c r="Q291" s="21" t="str">
        <f aca="false">IFERROR(INDEX(종합!Q$3:Q$501,MATCH(ROW()-2,종합!$AD$3:$AD$501,0))&amp;"","")</f>
        <v/>
      </c>
      <c r="R291" s="21" t="str">
        <f aca="false">IFERROR(INDEX(종합!R$3:R$501,MATCH(ROW()-2,종합!$AD$3:$AD$501,0))&amp;"","")</f>
        <v/>
      </c>
      <c r="S291" s="21" t="str">
        <f aca="false">IFERROR(INDEX(종합!S$3:S$501,MATCH(ROW()-2,종합!$AD$3:$AD$501,0))&amp;"","")</f>
        <v/>
      </c>
      <c r="T291" s="21" t="str">
        <f aca="false">IFERROR(INDEX(종합!T$3:T$501,MATCH(ROW()-2,종합!$AD$3:$AD$501,0))&amp;"","")</f>
        <v/>
      </c>
      <c r="U291" s="21" t="str">
        <f aca="false">IFERROR(INDEX(종합!U$3:U$501,MATCH(ROW()-2,종합!$AD$3:$AD$501,0))&amp;"","")</f>
        <v/>
      </c>
      <c r="V291" s="21" t="str">
        <f aca="false">IFERROR(INDEX(종합!V$3:V$501,MATCH(ROW()-2,종합!$AD$3:$AD$501,0))&amp;"","")</f>
        <v/>
      </c>
      <c r="W291" s="21" t="str">
        <f aca="false">IFERROR(INDEX(종합!W$3:W$501,MATCH(ROW()-2,종합!$AD$3:$AD$501,0))&amp;"","")</f>
        <v/>
      </c>
      <c r="X291" s="21" t="str">
        <f aca="false">IFERROR(INDEX(종합!X$3:X$501,MATCH(ROW()-2,종합!$AD$3:$AD$501,0))&amp;"","")</f>
        <v/>
      </c>
      <c r="Y291" s="21" t="str">
        <f aca="false">IFERROR(INDEX(종합!Y$3:Y$501,MATCH(ROW()-2,종합!$AD$3:$AD$501,0))&amp;"","")</f>
        <v/>
      </c>
      <c r="Z291" s="21" t="str">
        <f aca="false">IFERROR(INDEX(종합!Z$3:Z$501,MATCH(ROW()-2,종합!$AD$3:$AD$501,0))&amp;"","")</f>
        <v/>
      </c>
      <c r="AA291" s="23" t="str">
        <f aca="false">IFERROR(INDEX(종합!AA$3:AA$501,MATCH(ROW()-2,종합!$AD$3:$AD$501,0))&amp;"","")</f>
        <v/>
      </c>
    </row>
    <row r="292" customFormat="false" ht="16.5" hidden="false" customHeight="true" outlineLevel="0" collapsed="false">
      <c r="A292" s="18" t="str">
        <f aca="false">IF(B292="","",ROW()-2)</f>
        <v/>
      </c>
      <c r="B292" s="18" t="str">
        <f aca="false">IFERROR(INDEX(종합!B$3:B$501,MATCH(ROW()-2,종합!$AD$3:$AD$501,0))&amp;"","")</f>
        <v/>
      </c>
      <c r="C292" s="18" t="str">
        <f aca="false">IFERROR(INDEX(종합!C$3:C$501,MATCH(ROW()-2,종합!$AD$3:$AD$501,0))&amp;"","")</f>
        <v/>
      </c>
      <c r="D292" s="18" t="str">
        <f aca="false">IFERROR(INDEX(종합!D$3:D$501,MATCH(ROW()-2,종합!$AD$3:$AD$501,0))&amp;"","")</f>
        <v/>
      </c>
      <c r="E292" s="18" t="str">
        <f aca="false">IFERROR(INDEX(종합!E$3:E$501,MATCH(ROW()-2,종합!$AD$3:$AD$501,0))&amp;"","")</f>
        <v/>
      </c>
      <c r="F292" s="18" t="str">
        <f aca="false">IFERROR(INDEX(종합!F$3:F$501,MATCH(ROW()-2,종합!$AD$3:$AD$501,0))&amp;"","")</f>
        <v/>
      </c>
      <c r="G292" s="18" t="str">
        <f aca="false">IFERROR(INDEX(종합!G$3:G$501,MATCH(ROW()-2,종합!$AD$3:$AD$501,0))&amp;"","")</f>
        <v/>
      </c>
      <c r="H292" s="21" t="str">
        <f aca="false">IFERROR(INDEX(종합!H$3:H$501,MATCH(ROW()-2,종합!$AD$3:$AD$501,0))&amp;"","")</f>
        <v/>
      </c>
      <c r="I292" s="21" t="str">
        <f aca="false">IFERROR(INDEX(종합!I$3:I$501,MATCH(ROW()-2,종합!$AD$3:$AD$501,0))&amp;"","")</f>
        <v/>
      </c>
      <c r="J292" s="21" t="str">
        <f aca="false">IFERROR(INDEX(종합!J$3:J$501,MATCH(ROW()-2,종합!$AD$3:$AD$501,0))&amp;"","")</f>
        <v/>
      </c>
      <c r="K292" s="21" t="str">
        <f aca="false">IFERROR(INDEX(종합!K$3:K$501,MATCH(ROW()-2,종합!$AD$3:$AD$501,0))&amp;"","")</f>
        <v/>
      </c>
      <c r="L292" s="21" t="str">
        <f aca="false">IFERROR(INDEX(종합!L$3:L$501,MATCH(ROW()-2,종합!$AD$3:$AD$501,0))&amp;"","")</f>
        <v/>
      </c>
      <c r="M292" s="21" t="str">
        <f aca="false">IFERROR(INDEX(종합!M$3:M$501,MATCH(ROW()-2,종합!$AD$3:$AD$501,0))&amp;"","")</f>
        <v/>
      </c>
      <c r="N292" s="25" t="str">
        <f aca="false">IFERROR(INDEX(종합!N$3:N$501,MATCH(ROW()-2,종합!$AD$3:$AD$501,0))&amp;"","")</f>
        <v/>
      </c>
      <c r="O292" s="21" t="str">
        <f aca="false">IFERROR(INDEX(종합!O$3:O$501,MATCH(ROW()-2,종합!$AD$3:$AD$501,0))&amp;"","")</f>
        <v/>
      </c>
      <c r="P292" s="21" t="str">
        <f aca="false">IFERROR(INDEX(종합!P$3:P$501,MATCH(ROW()-2,종합!$AD$3:$AD$501,0))&amp;"","")</f>
        <v/>
      </c>
      <c r="Q292" s="21" t="str">
        <f aca="false">IFERROR(INDEX(종합!Q$3:Q$501,MATCH(ROW()-2,종합!$AD$3:$AD$501,0))&amp;"","")</f>
        <v/>
      </c>
      <c r="R292" s="21" t="str">
        <f aca="false">IFERROR(INDEX(종합!R$3:R$501,MATCH(ROW()-2,종합!$AD$3:$AD$501,0))&amp;"","")</f>
        <v/>
      </c>
      <c r="S292" s="21" t="str">
        <f aca="false">IFERROR(INDEX(종합!S$3:S$501,MATCH(ROW()-2,종합!$AD$3:$AD$501,0))&amp;"","")</f>
        <v/>
      </c>
      <c r="T292" s="21" t="str">
        <f aca="false">IFERROR(INDEX(종합!T$3:T$501,MATCH(ROW()-2,종합!$AD$3:$AD$501,0))&amp;"","")</f>
        <v/>
      </c>
      <c r="U292" s="21" t="str">
        <f aca="false">IFERROR(INDEX(종합!U$3:U$501,MATCH(ROW()-2,종합!$AD$3:$AD$501,0))&amp;"","")</f>
        <v/>
      </c>
      <c r="V292" s="21" t="str">
        <f aca="false">IFERROR(INDEX(종합!V$3:V$501,MATCH(ROW()-2,종합!$AD$3:$AD$501,0))&amp;"","")</f>
        <v/>
      </c>
      <c r="W292" s="21" t="str">
        <f aca="false">IFERROR(INDEX(종합!W$3:W$501,MATCH(ROW()-2,종합!$AD$3:$AD$501,0))&amp;"","")</f>
        <v/>
      </c>
      <c r="X292" s="21" t="str">
        <f aca="false">IFERROR(INDEX(종합!X$3:X$501,MATCH(ROW()-2,종합!$AD$3:$AD$501,0))&amp;"","")</f>
        <v/>
      </c>
      <c r="Y292" s="21" t="str">
        <f aca="false">IFERROR(INDEX(종합!Y$3:Y$501,MATCH(ROW()-2,종합!$AD$3:$AD$501,0))&amp;"","")</f>
        <v/>
      </c>
      <c r="Z292" s="21" t="str">
        <f aca="false">IFERROR(INDEX(종합!Z$3:Z$501,MATCH(ROW()-2,종합!$AD$3:$AD$501,0))&amp;"","")</f>
        <v/>
      </c>
      <c r="AA292" s="23" t="str">
        <f aca="false">IFERROR(INDEX(종합!AA$3:AA$501,MATCH(ROW()-2,종합!$AD$3:$AD$501,0))&amp;"","")</f>
        <v/>
      </c>
    </row>
    <row r="293" customFormat="false" ht="16.5" hidden="false" customHeight="true" outlineLevel="0" collapsed="false">
      <c r="A293" s="18" t="str">
        <f aca="false">IF(B293="","",ROW()-2)</f>
        <v/>
      </c>
      <c r="B293" s="18" t="str">
        <f aca="false">IFERROR(INDEX(종합!B$3:B$501,MATCH(ROW()-2,종합!$AD$3:$AD$501,0))&amp;"","")</f>
        <v/>
      </c>
      <c r="C293" s="18" t="str">
        <f aca="false">IFERROR(INDEX(종합!C$3:C$501,MATCH(ROW()-2,종합!$AD$3:$AD$501,0))&amp;"","")</f>
        <v/>
      </c>
      <c r="D293" s="18" t="str">
        <f aca="false">IFERROR(INDEX(종합!D$3:D$501,MATCH(ROW()-2,종합!$AD$3:$AD$501,0))&amp;"","")</f>
        <v/>
      </c>
      <c r="E293" s="18" t="str">
        <f aca="false">IFERROR(INDEX(종합!E$3:E$501,MATCH(ROW()-2,종합!$AD$3:$AD$501,0))&amp;"","")</f>
        <v/>
      </c>
      <c r="F293" s="18" t="str">
        <f aca="false">IFERROR(INDEX(종합!F$3:F$501,MATCH(ROW()-2,종합!$AD$3:$AD$501,0))&amp;"","")</f>
        <v/>
      </c>
      <c r="G293" s="18" t="str">
        <f aca="false">IFERROR(INDEX(종합!G$3:G$501,MATCH(ROW()-2,종합!$AD$3:$AD$501,0))&amp;"","")</f>
        <v/>
      </c>
      <c r="H293" s="21" t="str">
        <f aca="false">IFERROR(INDEX(종합!H$3:H$501,MATCH(ROW()-2,종합!$AD$3:$AD$501,0))&amp;"","")</f>
        <v/>
      </c>
      <c r="I293" s="21" t="str">
        <f aca="false">IFERROR(INDEX(종합!I$3:I$501,MATCH(ROW()-2,종합!$AD$3:$AD$501,0))&amp;"","")</f>
        <v/>
      </c>
      <c r="J293" s="21" t="str">
        <f aca="false">IFERROR(INDEX(종합!J$3:J$501,MATCH(ROW()-2,종합!$AD$3:$AD$501,0))&amp;"","")</f>
        <v/>
      </c>
      <c r="K293" s="21" t="str">
        <f aca="false">IFERROR(INDEX(종합!K$3:K$501,MATCH(ROW()-2,종합!$AD$3:$AD$501,0))&amp;"","")</f>
        <v/>
      </c>
      <c r="L293" s="21" t="str">
        <f aca="false">IFERROR(INDEX(종합!L$3:L$501,MATCH(ROW()-2,종합!$AD$3:$AD$501,0))&amp;"","")</f>
        <v/>
      </c>
      <c r="M293" s="21" t="str">
        <f aca="false">IFERROR(INDEX(종합!M$3:M$501,MATCH(ROW()-2,종합!$AD$3:$AD$501,0))&amp;"","")</f>
        <v/>
      </c>
      <c r="N293" s="25" t="str">
        <f aca="false">IFERROR(INDEX(종합!N$3:N$501,MATCH(ROW()-2,종합!$AD$3:$AD$501,0))&amp;"","")</f>
        <v/>
      </c>
      <c r="O293" s="21" t="str">
        <f aca="false">IFERROR(INDEX(종합!O$3:O$501,MATCH(ROW()-2,종합!$AD$3:$AD$501,0))&amp;"","")</f>
        <v/>
      </c>
      <c r="P293" s="21" t="str">
        <f aca="false">IFERROR(INDEX(종합!P$3:P$501,MATCH(ROW()-2,종합!$AD$3:$AD$501,0))&amp;"","")</f>
        <v/>
      </c>
      <c r="Q293" s="21" t="str">
        <f aca="false">IFERROR(INDEX(종합!Q$3:Q$501,MATCH(ROW()-2,종합!$AD$3:$AD$501,0))&amp;"","")</f>
        <v/>
      </c>
      <c r="R293" s="21" t="str">
        <f aca="false">IFERROR(INDEX(종합!R$3:R$501,MATCH(ROW()-2,종합!$AD$3:$AD$501,0))&amp;"","")</f>
        <v/>
      </c>
      <c r="S293" s="21" t="str">
        <f aca="false">IFERROR(INDEX(종합!S$3:S$501,MATCH(ROW()-2,종합!$AD$3:$AD$501,0))&amp;"","")</f>
        <v/>
      </c>
      <c r="T293" s="21" t="str">
        <f aca="false">IFERROR(INDEX(종합!T$3:T$501,MATCH(ROW()-2,종합!$AD$3:$AD$501,0))&amp;"","")</f>
        <v/>
      </c>
      <c r="U293" s="21" t="str">
        <f aca="false">IFERROR(INDEX(종합!U$3:U$501,MATCH(ROW()-2,종합!$AD$3:$AD$501,0))&amp;"","")</f>
        <v/>
      </c>
      <c r="V293" s="21" t="str">
        <f aca="false">IFERROR(INDEX(종합!V$3:V$501,MATCH(ROW()-2,종합!$AD$3:$AD$501,0))&amp;"","")</f>
        <v/>
      </c>
      <c r="W293" s="21" t="str">
        <f aca="false">IFERROR(INDEX(종합!W$3:W$501,MATCH(ROW()-2,종합!$AD$3:$AD$501,0))&amp;"","")</f>
        <v/>
      </c>
      <c r="X293" s="21" t="str">
        <f aca="false">IFERROR(INDEX(종합!X$3:X$501,MATCH(ROW()-2,종합!$AD$3:$AD$501,0))&amp;"","")</f>
        <v/>
      </c>
      <c r="Y293" s="21" t="str">
        <f aca="false">IFERROR(INDEX(종합!Y$3:Y$501,MATCH(ROW()-2,종합!$AD$3:$AD$501,0))&amp;"","")</f>
        <v/>
      </c>
      <c r="Z293" s="21" t="str">
        <f aca="false">IFERROR(INDEX(종합!Z$3:Z$501,MATCH(ROW()-2,종합!$AD$3:$AD$501,0))&amp;"","")</f>
        <v/>
      </c>
      <c r="AA293" s="23" t="str">
        <f aca="false">IFERROR(INDEX(종합!AA$3:AA$501,MATCH(ROW()-2,종합!$AD$3:$AD$501,0))&amp;"","")</f>
        <v/>
      </c>
    </row>
    <row r="294" customFormat="false" ht="16.5" hidden="false" customHeight="true" outlineLevel="0" collapsed="false">
      <c r="A294" s="18" t="str">
        <f aca="false">IF(B294="","",ROW()-2)</f>
        <v/>
      </c>
      <c r="B294" s="18" t="str">
        <f aca="false">IFERROR(INDEX(종합!B$3:B$501,MATCH(ROW()-2,종합!$AD$3:$AD$501,0))&amp;"","")</f>
        <v/>
      </c>
      <c r="C294" s="18" t="str">
        <f aca="false">IFERROR(INDEX(종합!C$3:C$501,MATCH(ROW()-2,종합!$AD$3:$AD$501,0))&amp;"","")</f>
        <v/>
      </c>
      <c r="D294" s="18" t="str">
        <f aca="false">IFERROR(INDEX(종합!D$3:D$501,MATCH(ROW()-2,종합!$AD$3:$AD$501,0))&amp;"","")</f>
        <v/>
      </c>
      <c r="E294" s="18" t="str">
        <f aca="false">IFERROR(INDEX(종합!E$3:E$501,MATCH(ROW()-2,종합!$AD$3:$AD$501,0))&amp;"","")</f>
        <v/>
      </c>
      <c r="F294" s="18" t="str">
        <f aca="false">IFERROR(INDEX(종합!F$3:F$501,MATCH(ROW()-2,종합!$AD$3:$AD$501,0))&amp;"","")</f>
        <v/>
      </c>
      <c r="G294" s="18" t="str">
        <f aca="false">IFERROR(INDEX(종합!G$3:G$501,MATCH(ROW()-2,종합!$AD$3:$AD$501,0))&amp;"","")</f>
        <v/>
      </c>
      <c r="H294" s="21" t="str">
        <f aca="false">IFERROR(INDEX(종합!H$3:H$501,MATCH(ROW()-2,종합!$AD$3:$AD$501,0))&amp;"","")</f>
        <v/>
      </c>
      <c r="I294" s="21" t="str">
        <f aca="false">IFERROR(INDEX(종합!I$3:I$501,MATCH(ROW()-2,종합!$AD$3:$AD$501,0))&amp;"","")</f>
        <v/>
      </c>
      <c r="J294" s="21" t="str">
        <f aca="false">IFERROR(INDEX(종합!J$3:J$501,MATCH(ROW()-2,종합!$AD$3:$AD$501,0))&amp;"","")</f>
        <v/>
      </c>
      <c r="K294" s="21" t="str">
        <f aca="false">IFERROR(INDEX(종합!K$3:K$501,MATCH(ROW()-2,종합!$AD$3:$AD$501,0))&amp;"","")</f>
        <v/>
      </c>
      <c r="L294" s="21" t="str">
        <f aca="false">IFERROR(INDEX(종합!L$3:L$501,MATCH(ROW()-2,종합!$AD$3:$AD$501,0))&amp;"","")</f>
        <v/>
      </c>
      <c r="M294" s="21" t="str">
        <f aca="false">IFERROR(INDEX(종합!M$3:M$501,MATCH(ROW()-2,종합!$AD$3:$AD$501,0))&amp;"","")</f>
        <v/>
      </c>
      <c r="N294" s="25" t="str">
        <f aca="false">IFERROR(INDEX(종합!N$3:N$501,MATCH(ROW()-2,종합!$AD$3:$AD$501,0))&amp;"","")</f>
        <v/>
      </c>
      <c r="O294" s="21" t="str">
        <f aca="false">IFERROR(INDEX(종합!O$3:O$501,MATCH(ROW()-2,종합!$AD$3:$AD$501,0))&amp;"","")</f>
        <v/>
      </c>
      <c r="P294" s="21" t="str">
        <f aca="false">IFERROR(INDEX(종합!P$3:P$501,MATCH(ROW()-2,종합!$AD$3:$AD$501,0))&amp;"","")</f>
        <v/>
      </c>
      <c r="Q294" s="21" t="str">
        <f aca="false">IFERROR(INDEX(종합!Q$3:Q$501,MATCH(ROW()-2,종합!$AD$3:$AD$501,0))&amp;"","")</f>
        <v/>
      </c>
      <c r="R294" s="21" t="str">
        <f aca="false">IFERROR(INDEX(종합!R$3:R$501,MATCH(ROW()-2,종합!$AD$3:$AD$501,0))&amp;"","")</f>
        <v/>
      </c>
      <c r="S294" s="21" t="str">
        <f aca="false">IFERROR(INDEX(종합!S$3:S$501,MATCH(ROW()-2,종합!$AD$3:$AD$501,0))&amp;"","")</f>
        <v/>
      </c>
      <c r="T294" s="21" t="str">
        <f aca="false">IFERROR(INDEX(종합!T$3:T$501,MATCH(ROW()-2,종합!$AD$3:$AD$501,0))&amp;"","")</f>
        <v/>
      </c>
      <c r="U294" s="21" t="str">
        <f aca="false">IFERROR(INDEX(종합!U$3:U$501,MATCH(ROW()-2,종합!$AD$3:$AD$501,0))&amp;"","")</f>
        <v/>
      </c>
      <c r="V294" s="21" t="str">
        <f aca="false">IFERROR(INDEX(종합!V$3:V$501,MATCH(ROW()-2,종합!$AD$3:$AD$501,0))&amp;"","")</f>
        <v/>
      </c>
      <c r="W294" s="21" t="str">
        <f aca="false">IFERROR(INDEX(종합!W$3:W$501,MATCH(ROW()-2,종합!$AD$3:$AD$501,0))&amp;"","")</f>
        <v/>
      </c>
      <c r="X294" s="21" t="str">
        <f aca="false">IFERROR(INDEX(종합!X$3:X$501,MATCH(ROW()-2,종합!$AD$3:$AD$501,0))&amp;"","")</f>
        <v/>
      </c>
      <c r="Y294" s="21" t="str">
        <f aca="false">IFERROR(INDEX(종합!Y$3:Y$501,MATCH(ROW()-2,종합!$AD$3:$AD$501,0))&amp;"","")</f>
        <v/>
      </c>
      <c r="Z294" s="21" t="str">
        <f aca="false">IFERROR(INDEX(종합!Z$3:Z$501,MATCH(ROW()-2,종합!$AD$3:$AD$501,0))&amp;"","")</f>
        <v/>
      </c>
      <c r="AA294" s="23" t="str">
        <f aca="false">IFERROR(INDEX(종합!AA$3:AA$501,MATCH(ROW()-2,종합!$AD$3:$AD$501,0))&amp;"","")</f>
        <v/>
      </c>
    </row>
    <row r="295" customFormat="false" ht="16.5" hidden="false" customHeight="true" outlineLevel="0" collapsed="false">
      <c r="A295" s="18" t="str">
        <f aca="false">IF(B295="","",ROW()-2)</f>
        <v/>
      </c>
      <c r="B295" s="18" t="str">
        <f aca="false">IFERROR(INDEX(종합!B$3:B$501,MATCH(ROW()-2,종합!$AD$3:$AD$501,0))&amp;"","")</f>
        <v/>
      </c>
      <c r="C295" s="18" t="str">
        <f aca="false">IFERROR(INDEX(종합!C$3:C$501,MATCH(ROW()-2,종합!$AD$3:$AD$501,0))&amp;"","")</f>
        <v/>
      </c>
      <c r="D295" s="18" t="str">
        <f aca="false">IFERROR(INDEX(종합!D$3:D$501,MATCH(ROW()-2,종합!$AD$3:$AD$501,0))&amp;"","")</f>
        <v/>
      </c>
      <c r="E295" s="18" t="str">
        <f aca="false">IFERROR(INDEX(종합!E$3:E$501,MATCH(ROW()-2,종합!$AD$3:$AD$501,0))&amp;"","")</f>
        <v/>
      </c>
      <c r="F295" s="18" t="str">
        <f aca="false">IFERROR(INDEX(종합!F$3:F$501,MATCH(ROW()-2,종합!$AD$3:$AD$501,0))&amp;"","")</f>
        <v/>
      </c>
      <c r="G295" s="18" t="str">
        <f aca="false">IFERROR(INDEX(종합!G$3:G$501,MATCH(ROW()-2,종합!$AD$3:$AD$501,0))&amp;"","")</f>
        <v/>
      </c>
      <c r="H295" s="21" t="str">
        <f aca="false">IFERROR(INDEX(종합!H$3:H$501,MATCH(ROW()-2,종합!$AD$3:$AD$501,0))&amp;"","")</f>
        <v/>
      </c>
      <c r="I295" s="21" t="str">
        <f aca="false">IFERROR(INDEX(종합!I$3:I$501,MATCH(ROW()-2,종합!$AD$3:$AD$501,0))&amp;"","")</f>
        <v/>
      </c>
      <c r="J295" s="21" t="str">
        <f aca="false">IFERROR(INDEX(종합!J$3:J$501,MATCH(ROW()-2,종합!$AD$3:$AD$501,0))&amp;"","")</f>
        <v/>
      </c>
      <c r="K295" s="21" t="str">
        <f aca="false">IFERROR(INDEX(종합!K$3:K$501,MATCH(ROW()-2,종합!$AD$3:$AD$501,0))&amp;"","")</f>
        <v/>
      </c>
      <c r="L295" s="21" t="str">
        <f aca="false">IFERROR(INDEX(종합!L$3:L$501,MATCH(ROW()-2,종합!$AD$3:$AD$501,0))&amp;"","")</f>
        <v/>
      </c>
      <c r="M295" s="21" t="str">
        <f aca="false">IFERROR(INDEX(종합!M$3:M$501,MATCH(ROW()-2,종합!$AD$3:$AD$501,0))&amp;"","")</f>
        <v/>
      </c>
      <c r="N295" s="25" t="str">
        <f aca="false">IFERROR(INDEX(종합!N$3:N$501,MATCH(ROW()-2,종합!$AD$3:$AD$501,0))&amp;"","")</f>
        <v/>
      </c>
      <c r="O295" s="21" t="str">
        <f aca="false">IFERROR(INDEX(종합!O$3:O$501,MATCH(ROW()-2,종합!$AD$3:$AD$501,0))&amp;"","")</f>
        <v/>
      </c>
      <c r="P295" s="21" t="str">
        <f aca="false">IFERROR(INDEX(종합!P$3:P$501,MATCH(ROW()-2,종합!$AD$3:$AD$501,0))&amp;"","")</f>
        <v/>
      </c>
      <c r="Q295" s="21" t="str">
        <f aca="false">IFERROR(INDEX(종합!Q$3:Q$501,MATCH(ROW()-2,종합!$AD$3:$AD$501,0))&amp;"","")</f>
        <v/>
      </c>
      <c r="R295" s="21" t="str">
        <f aca="false">IFERROR(INDEX(종합!R$3:R$501,MATCH(ROW()-2,종합!$AD$3:$AD$501,0))&amp;"","")</f>
        <v/>
      </c>
      <c r="S295" s="21" t="str">
        <f aca="false">IFERROR(INDEX(종합!S$3:S$501,MATCH(ROW()-2,종합!$AD$3:$AD$501,0))&amp;"","")</f>
        <v/>
      </c>
      <c r="T295" s="21" t="str">
        <f aca="false">IFERROR(INDEX(종합!T$3:T$501,MATCH(ROW()-2,종합!$AD$3:$AD$501,0))&amp;"","")</f>
        <v/>
      </c>
      <c r="U295" s="21" t="str">
        <f aca="false">IFERROR(INDEX(종합!U$3:U$501,MATCH(ROW()-2,종합!$AD$3:$AD$501,0))&amp;"","")</f>
        <v/>
      </c>
      <c r="V295" s="21" t="str">
        <f aca="false">IFERROR(INDEX(종합!V$3:V$501,MATCH(ROW()-2,종합!$AD$3:$AD$501,0))&amp;"","")</f>
        <v/>
      </c>
      <c r="W295" s="21" t="str">
        <f aca="false">IFERROR(INDEX(종합!W$3:W$501,MATCH(ROW()-2,종합!$AD$3:$AD$501,0))&amp;"","")</f>
        <v/>
      </c>
      <c r="X295" s="21" t="str">
        <f aca="false">IFERROR(INDEX(종합!X$3:X$501,MATCH(ROW()-2,종합!$AD$3:$AD$501,0))&amp;"","")</f>
        <v/>
      </c>
      <c r="Y295" s="21" t="str">
        <f aca="false">IFERROR(INDEX(종합!Y$3:Y$501,MATCH(ROW()-2,종합!$AD$3:$AD$501,0))&amp;"","")</f>
        <v/>
      </c>
      <c r="Z295" s="21" t="str">
        <f aca="false">IFERROR(INDEX(종합!Z$3:Z$501,MATCH(ROW()-2,종합!$AD$3:$AD$501,0))&amp;"","")</f>
        <v/>
      </c>
      <c r="AA295" s="23" t="str">
        <f aca="false">IFERROR(INDEX(종합!AA$3:AA$501,MATCH(ROW()-2,종합!$AD$3:$AD$501,0))&amp;"","")</f>
        <v/>
      </c>
    </row>
    <row r="296" customFormat="false" ht="16.5" hidden="false" customHeight="true" outlineLevel="0" collapsed="false">
      <c r="A296" s="18" t="str">
        <f aca="false">IF(B296="","",ROW()-2)</f>
        <v/>
      </c>
      <c r="B296" s="18" t="str">
        <f aca="false">IFERROR(INDEX(종합!B$3:B$501,MATCH(ROW()-2,종합!$AD$3:$AD$501,0))&amp;"","")</f>
        <v/>
      </c>
      <c r="C296" s="18" t="str">
        <f aca="false">IFERROR(INDEX(종합!C$3:C$501,MATCH(ROW()-2,종합!$AD$3:$AD$501,0))&amp;"","")</f>
        <v/>
      </c>
      <c r="D296" s="18" t="str">
        <f aca="false">IFERROR(INDEX(종합!D$3:D$501,MATCH(ROW()-2,종합!$AD$3:$AD$501,0))&amp;"","")</f>
        <v/>
      </c>
      <c r="E296" s="18" t="str">
        <f aca="false">IFERROR(INDEX(종합!E$3:E$501,MATCH(ROW()-2,종합!$AD$3:$AD$501,0))&amp;"","")</f>
        <v/>
      </c>
      <c r="F296" s="18" t="str">
        <f aca="false">IFERROR(INDEX(종합!F$3:F$501,MATCH(ROW()-2,종합!$AD$3:$AD$501,0))&amp;"","")</f>
        <v/>
      </c>
      <c r="G296" s="18" t="str">
        <f aca="false">IFERROR(INDEX(종합!G$3:G$501,MATCH(ROW()-2,종합!$AD$3:$AD$501,0))&amp;"","")</f>
        <v/>
      </c>
      <c r="H296" s="21" t="str">
        <f aca="false">IFERROR(INDEX(종합!H$3:H$501,MATCH(ROW()-2,종합!$AD$3:$AD$501,0))&amp;"","")</f>
        <v/>
      </c>
      <c r="I296" s="21" t="str">
        <f aca="false">IFERROR(INDEX(종합!I$3:I$501,MATCH(ROW()-2,종합!$AD$3:$AD$501,0))&amp;"","")</f>
        <v/>
      </c>
      <c r="J296" s="21" t="str">
        <f aca="false">IFERROR(INDEX(종합!J$3:J$501,MATCH(ROW()-2,종합!$AD$3:$AD$501,0))&amp;"","")</f>
        <v/>
      </c>
      <c r="K296" s="21" t="str">
        <f aca="false">IFERROR(INDEX(종합!K$3:K$501,MATCH(ROW()-2,종합!$AD$3:$AD$501,0))&amp;"","")</f>
        <v/>
      </c>
      <c r="L296" s="21" t="str">
        <f aca="false">IFERROR(INDEX(종합!L$3:L$501,MATCH(ROW()-2,종합!$AD$3:$AD$501,0))&amp;"","")</f>
        <v/>
      </c>
      <c r="M296" s="21" t="str">
        <f aca="false">IFERROR(INDEX(종합!M$3:M$501,MATCH(ROW()-2,종합!$AD$3:$AD$501,0))&amp;"","")</f>
        <v/>
      </c>
      <c r="N296" s="25" t="str">
        <f aca="false">IFERROR(INDEX(종합!N$3:N$501,MATCH(ROW()-2,종합!$AD$3:$AD$501,0))&amp;"","")</f>
        <v/>
      </c>
      <c r="O296" s="21" t="str">
        <f aca="false">IFERROR(INDEX(종합!O$3:O$501,MATCH(ROW()-2,종합!$AD$3:$AD$501,0))&amp;"","")</f>
        <v/>
      </c>
      <c r="P296" s="21" t="str">
        <f aca="false">IFERROR(INDEX(종합!P$3:P$501,MATCH(ROW()-2,종합!$AD$3:$AD$501,0))&amp;"","")</f>
        <v/>
      </c>
      <c r="Q296" s="21" t="str">
        <f aca="false">IFERROR(INDEX(종합!Q$3:Q$501,MATCH(ROW()-2,종합!$AD$3:$AD$501,0))&amp;"","")</f>
        <v/>
      </c>
      <c r="R296" s="21" t="str">
        <f aca="false">IFERROR(INDEX(종합!R$3:R$501,MATCH(ROW()-2,종합!$AD$3:$AD$501,0))&amp;"","")</f>
        <v/>
      </c>
      <c r="S296" s="21" t="str">
        <f aca="false">IFERROR(INDEX(종합!S$3:S$501,MATCH(ROW()-2,종합!$AD$3:$AD$501,0))&amp;"","")</f>
        <v/>
      </c>
      <c r="T296" s="21" t="str">
        <f aca="false">IFERROR(INDEX(종합!T$3:T$501,MATCH(ROW()-2,종합!$AD$3:$AD$501,0))&amp;"","")</f>
        <v/>
      </c>
      <c r="U296" s="21" t="str">
        <f aca="false">IFERROR(INDEX(종합!U$3:U$501,MATCH(ROW()-2,종합!$AD$3:$AD$501,0))&amp;"","")</f>
        <v/>
      </c>
      <c r="V296" s="21" t="str">
        <f aca="false">IFERROR(INDEX(종합!V$3:V$501,MATCH(ROW()-2,종합!$AD$3:$AD$501,0))&amp;"","")</f>
        <v/>
      </c>
      <c r="W296" s="21" t="str">
        <f aca="false">IFERROR(INDEX(종합!W$3:W$501,MATCH(ROW()-2,종합!$AD$3:$AD$501,0))&amp;"","")</f>
        <v/>
      </c>
      <c r="X296" s="21" t="str">
        <f aca="false">IFERROR(INDEX(종합!X$3:X$501,MATCH(ROW()-2,종합!$AD$3:$AD$501,0))&amp;"","")</f>
        <v/>
      </c>
      <c r="Y296" s="21" t="str">
        <f aca="false">IFERROR(INDEX(종합!Y$3:Y$501,MATCH(ROW()-2,종합!$AD$3:$AD$501,0))&amp;"","")</f>
        <v/>
      </c>
      <c r="Z296" s="21" t="str">
        <f aca="false">IFERROR(INDEX(종합!Z$3:Z$501,MATCH(ROW()-2,종합!$AD$3:$AD$501,0))&amp;"","")</f>
        <v/>
      </c>
      <c r="AA296" s="23" t="str">
        <f aca="false">IFERROR(INDEX(종합!AA$3:AA$501,MATCH(ROW()-2,종합!$AD$3:$AD$501,0))&amp;"","")</f>
        <v/>
      </c>
    </row>
    <row r="297" customFormat="false" ht="16.5" hidden="false" customHeight="true" outlineLevel="0" collapsed="false">
      <c r="A297" s="18" t="str">
        <f aca="false">IF(B297="","",ROW()-2)</f>
        <v/>
      </c>
      <c r="B297" s="18" t="str">
        <f aca="false">IFERROR(INDEX(종합!B$3:B$501,MATCH(ROW()-2,종합!$AD$3:$AD$501,0))&amp;"","")</f>
        <v/>
      </c>
      <c r="C297" s="18" t="str">
        <f aca="false">IFERROR(INDEX(종합!C$3:C$501,MATCH(ROW()-2,종합!$AD$3:$AD$501,0))&amp;"","")</f>
        <v/>
      </c>
      <c r="D297" s="18" t="str">
        <f aca="false">IFERROR(INDEX(종합!D$3:D$501,MATCH(ROW()-2,종합!$AD$3:$AD$501,0))&amp;"","")</f>
        <v/>
      </c>
      <c r="E297" s="18" t="str">
        <f aca="false">IFERROR(INDEX(종합!E$3:E$501,MATCH(ROW()-2,종합!$AD$3:$AD$501,0))&amp;"","")</f>
        <v/>
      </c>
      <c r="F297" s="18" t="str">
        <f aca="false">IFERROR(INDEX(종합!F$3:F$501,MATCH(ROW()-2,종합!$AD$3:$AD$501,0))&amp;"","")</f>
        <v/>
      </c>
      <c r="G297" s="18" t="str">
        <f aca="false">IFERROR(INDEX(종합!G$3:G$501,MATCH(ROW()-2,종합!$AD$3:$AD$501,0))&amp;"","")</f>
        <v/>
      </c>
      <c r="H297" s="21" t="str">
        <f aca="false">IFERROR(INDEX(종합!H$3:H$501,MATCH(ROW()-2,종합!$AD$3:$AD$501,0))&amp;"","")</f>
        <v/>
      </c>
      <c r="I297" s="21" t="str">
        <f aca="false">IFERROR(INDEX(종합!I$3:I$501,MATCH(ROW()-2,종합!$AD$3:$AD$501,0))&amp;"","")</f>
        <v/>
      </c>
      <c r="J297" s="21" t="str">
        <f aca="false">IFERROR(INDEX(종합!J$3:J$501,MATCH(ROW()-2,종합!$AD$3:$AD$501,0))&amp;"","")</f>
        <v/>
      </c>
      <c r="K297" s="21" t="str">
        <f aca="false">IFERROR(INDEX(종합!K$3:K$501,MATCH(ROW()-2,종합!$AD$3:$AD$501,0))&amp;"","")</f>
        <v/>
      </c>
      <c r="L297" s="21" t="str">
        <f aca="false">IFERROR(INDEX(종합!L$3:L$501,MATCH(ROW()-2,종합!$AD$3:$AD$501,0))&amp;"","")</f>
        <v/>
      </c>
      <c r="M297" s="21" t="str">
        <f aca="false">IFERROR(INDEX(종합!M$3:M$501,MATCH(ROW()-2,종합!$AD$3:$AD$501,0))&amp;"","")</f>
        <v/>
      </c>
      <c r="N297" s="25" t="str">
        <f aca="false">IFERROR(INDEX(종합!N$3:N$501,MATCH(ROW()-2,종합!$AD$3:$AD$501,0))&amp;"","")</f>
        <v/>
      </c>
      <c r="O297" s="21" t="str">
        <f aca="false">IFERROR(INDEX(종합!O$3:O$501,MATCH(ROW()-2,종합!$AD$3:$AD$501,0))&amp;"","")</f>
        <v/>
      </c>
      <c r="P297" s="21" t="str">
        <f aca="false">IFERROR(INDEX(종합!P$3:P$501,MATCH(ROW()-2,종합!$AD$3:$AD$501,0))&amp;"","")</f>
        <v/>
      </c>
      <c r="Q297" s="21" t="str">
        <f aca="false">IFERROR(INDEX(종합!Q$3:Q$501,MATCH(ROW()-2,종합!$AD$3:$AD$501,0))&amp;"","")</f>
        <v/>
      </c>
      <c r="R297" s="21" t="str">
        <f aca="false">IFERROR(INDEX(종합!R$3:R$501,MATCH(ROW()-2,종합!$AD$3:$AD$501,0))&amp;"","")</f>
        <v/>
      </c>
      <c r="S297" s="21" t="str">
        <f aca="false">IFERROR(INDEX(종합!S$3:S$501,MATCH(ROW()-2,종합!$AD$3:$AD$501,0))&amp;"","")</f>
        <v/>
      </c>
      <c r="T297" s="21" t="str">
        <f aca="false">IFERROR(INDEX(종합!T$3:T$501,MATCH(ROW()-2,종합!$AD$3:$AD$501,0))&amp;"","")</f>
        <v/>
      </c>
      <c r="U297" s="21" t="str">
        <f aca="false">IFERROR(INDEX(종합!U$3:U$501,MATCH(ROW()-2,종합!$AD$3:$AD$501,0))&amp;"","")</f>
        <v/>
      </c>
      <c r="V297" s="21" t="str">
        <f aca="false">IFERROR(INDEX(종합!V$3:V$501,MATCH(ROW()-2,종합!$AD$3:$AD$501,0))&amp;"","")</f>
        <v/>
      </c>
      <c r="W297" s="21" t="str">
        <f aca="false">IFERROR(INDEX(종합!W$3:W$501,MATCH(ROW()-2,종합!$AD$3:$AD$501,0))&amp;"","")</f>
        <v/>
      </c>
      <c r="X297" s="21" t="str">
        <f aca="false">IFERROR(INDEX(종합!X$3:X$501,MATCH(ROW()-2,종합!$AD$3:$AD$501,0))&amp;"","")</f>
        <v/>
      </c>
      <c r="Y297" s="21" t="str">
        <f aca="false">IFERROR(INDEX(종합!Y$3:Y$501,MATCH(ROW()-2,종합!$AD$3:$AD$501,0))&amp;"","")</f>
        <v/>
      </c>
      <c r="Z297" s="21" t="str">
        <f aca="false">IFERROR(INDEX(종합!Z$3:Z$501,MATCH(ROW()-2,종합!$AD$3:$AD$501,0))&amp;"","")</f>
        <v/>
      </c>
      <c r="AA297" s="23" t="str">
        <f aca="false">IFERROR(INDEX(종합!AA$3:AA$501,MATCH(ROW()-2,종합!$AD$3:$AD$501,0))&amp;"","")</f>
        <v/>
      </c>
    </row>
    <row r="298" customFormat="false" ht="16.5" hidden="false" customHeight="true" outlineLevel="0" collapsed="false">
      <c r="A298" s="18" t="str">
        <f aca="false">IF(B298="","",ROW()-2)</f>
        <v/>
      </c>
      <c r="B298" s="18" t="str">
        <f aca="false">IFERROR(INDEX(종합!B$3:B$501,MATCH(ROW()-2,종합!$AD$3:$AD$501,0))&amp;"","")</f>
        <v/>
      </c>
      <c r="C298" s="18" t="str">
        <f aca="false">IFERROR(INDEX(종합!C$3:C$501,MATCH(ROW()-2,종합!$AD$3:$AD$501,0))&amp;"","")</f>
        <v/>
      </c>
      <c r="D298" s="18" t="str">
        <f aca="false">IFERROR(INDEX(종합!D$3:D$501,MATCH(ROW()-2,종합!$AD$3:$AD$501,0))&amp;"","")</f>
        <v/>
      </c>
      <c r="E298" s="18" t="str">
        <f aca="false">IFERROR(INDEX(종합!E$3:E$501,MATCH(ROW()-2,종합!$AD$3:$AD$501,0))&amp;"","")</f>
        <v/>
      </c>
      <c r="F298" s="18" t="str">
        <f aca="false">IFERROR(INDEX(종합!F$3:F$501,MATCH(ROW()-2,종합!$AD$3:$AD$501,0))&amp;"","")</f>
        <v/>
      </c>
      <c r="G298" s="18" t="str">
        <f aca="false">IFERROR(INDEX(종합!G$3:G$501,MATCH(ROW()-2,종합!$AD$3:$AD$501,0))&amp;"","")</f>
        <v/>
      </c>
      <c r="H298" s="21" t="str">
        <f aca="false">IFERROR(INDEX(종합!H$3:H$501,MATCH(ROW()-2,종합!$AD$3:$AD$501,0))&amp;"","")</f>
        <v/>
      </c>
      <c r="I298" s="21" t="str">
        <f aca="false">IFERROR(INDEX(종합!I$3:I$501,MATCH(ROW()-2,종합!$AD$3:$AD$501,0))&amp;"","")</f>
        <v/>
      </c>
      <c r="J298" s="21" t="str">
        <f aca="false">IFERROR(INDEX(종합!J$3:J$501,MATCH(ROW()-2,종합!$AD$3:$AD$501,0))&amp;"","")</f>
        <v/>
      </c>
      <c r="K298" s="21" t="str">
        <f aca="false">IFERROR(INDEX(종합!K$3:K$501,MATCH(ROW()-2,종합!$AD$3:$AD$501,0))&amp;"","")</f>
        <v/>
      </c>
      <c r="L298" s="21" t="str">
        <f aca="false">IFERROR(INDEX(종합!L$3:L$501,MATCH(ROW()-2,종합!$AD$3:$AD$501,0))&amp;"","")</f>
        <v/>
      </c>
      <c r="M298" s="21" t="str">
        <f aca="false">IFERROR(INDEX(종합!M$3:M$501,MATCH(ROW()-2,종합!$AD$3:$AD$501,0))&amp;"","")</f>
        <v/>
      </c>
      <c r="N298" s="25" t="str">
        <f aca="false">IFERROR(INDEX(종합!N$3:N$501,MATCH(ROW()-2,종합!$AD$3:$AD$501,0))&amp;"","")</f>
        <v/>
      </c>
      <c r="O298" s="21" t="str">
        <f aca="false">IFERROR(INDEX(종합!O$3:O$501,MATCH(ROW()-2,종합!$AD$3:$AD$501,0))&amp;"","")</f>
        <v/>
      </c>
      <c r="P298" s="21" t="str">
        <f aca="false">IFERROR(INDEX(종합!P$3:P$501,MATCH(ROW()-2,종합!$AD$3:$AD$501,0))&amp;"","")</f>
        <v/>
      </c>
      <c r="Q298" s="21" t="str">
        <f aca="false">IFERROR(INDEX(종합!Q$3:Q$501,MATCH(ROW()-2,종합!$AD$3:$AD$501,0))&amp;"","")</f>
        <v/>
      </c>
      <c r="R298" s="21" t="str">
        <f aca="false">IFERROR(INDEX(종합!R$3:R$501,MATCH(ROW()-2,종합!$AD$3:$AD$501,0))&amp;"","")</f>
        <v/>
      </c>
      <c r="S298" s="21" t="str">
        <f aca="false">IFERROR(INDEX(종합!S$3:S$501,MATCH(ROW()-2,종합!$AD$3:$AD$501,0))&amp;"","")</f>
        <v/>
      </c>
      <c r="T298" s="21" t="str">
        <f aca="false">IFERROR(INDEX(종합!T$3:T$501,MATCH(ROW()-2,종합!$AD$3:$AD$501,0))&amp;"","")</f>
        <v/>
      </c>
      <c r="U298" s="21" t="str">
        <f aca="false">IFERROR(INDEX(종합!U$3:U$501,MATCH(ROW()-2,종합!$AD$3:$AD$501,0))&amp;"","")</f>
        <v/>
      </c>
      <c r="V298" s="21" t="str">
        <f aca="false">IFERROR(INDEX(종합!V$3:V$501,MATCH(ROW()-2,종합!$AD$3:$AD$501,0))&amp;"","")</f>
        <v/>
      </c>
      <c r="W298" s="21" t="str">
        <f aca="false">IFERROR(INDEX(종합!W$3:W$501,MATCH(ROW()-2,종합!$AD$3:$AD$501,0))&amp;"","")</f>
        <v/>
      </c>
      <c r="X298" s="21" t="str">
        <f aca="false">IFERROR(INDEX(종합!X$3:X$501,MATCH(ROW()-2,종합!$AD$3:$AD$501,0))&amp;"","")</f>
        <v/>
      </c>
      <c r="Y298" s="21" t="str">
        <f aca="false">IFERROR(INDEX(종합!Y$3:Y$501,MATCH(ROW()-2,종합!$AD$3:$AD$501,0))&amp;"","")</f>
        <v/>
      </c>
      <c r="Z298" s="21" t="str">
        <f aca="false">IFERROR(INDEX(종합!Z$3:Z$501,MATCH(ROW()-2,종합!$AD$3:$AD$501,0))&amp;"","")</f>
        <v/>
      </c>
      <c r="AA298" s="23" t="str">
        <f aca="false">IFERROR(INDEX(종합!AA$3:AA$501,MATCH(ROW()-2,종합!$AD$3:$AD$501,0))&amp;"","")</f>
        <v/>
      </c>
    </row>
    <row r="299" customFormat="false" ht="16.5" hidden="false" customHeight="true" outlineLevel="0" collapsed="false">
      <c r="A299" s="18" t="str">
        <f aca="false">IF(B299="","",ROW()-2)</f>
        <v/>
      </c>
      <c r="B299" s="18" t="str">
        <f aca="false">IFERROR(INDEX(종합!B$3:B$501,MATCH(ROW()-2,종합!$AD$3:$AD$501,0))&amp;"","")</f>
        <v/>
      </c>
      <c r="C299" s="18" t="str">
        <f aca="false">IFERROR(INDEX(종합!C$3:C$501,MATCH(ROW()-2,종합!$AD$3:$AD$501,0))&amp;"","")</f>
        <v/>
      </c>
      <c r="D299" s="18" t="str">
        <f aca="false">IFERROR(INDEX(종합!D$3:D$501,MATCH(ROW()-2,종합!$AD$3:$AD$501,0))&amp;"","")</f>
        <v/>
      </c>
      <c r="E299" s="18" t="str">
        <f aca="false">IFERROR(INDEX(종합!E$3:E$501,MATCH(ROW()-2,종합!$AD$3:$AD$501,0))&amp;"","")</f>
        <v/>
      </c>
      <c r="F299" s="18" t="str">
        <f aca="false">IFERROR(INDEX(종합!F$3:F$501,MATCH(ROW()-2,종합!$AD$3:$AD$501,0))&amp;"","")</f>
        <v/>
      </c>
      <c r="G299" s="18" t="str">
        <f aca="false">IFERROR(INDEX(종합!G$3:G$501,MATCH(ROW()-2,종합!$AD$3:$AD$501,0))&amp;"","")</f>
        <v/>
      </c>
      <c r="H299" s="21" t="str">
        <f aca="false">IFERROR(INDEX(종합!H$3:H$501,MATCH(ROW()-2,종합!$AD$3:$AD$501,0))&amp;"","")</f>
        <v/>
      </c>
      <c r="I299" s="21" t="str">
        <f aca="false">IFERROR(INDEX(종합!I$3:I$501,MATCH(ROW()-2,종합!$AD$3:$AD$501,0))&amp;"","")</f>
        <v/>
      </c>
      <c r="J299" s="21" t="str">
        <f aca="false">IFERROR(INDEX(종합!J$3:J$501,MATCH(ROW()-2,종합!$AD$3:$AD$501,0))&amp;"","")</f>
        <v/>
      </c>
      <c r="K299" s="21" t="str">
        <f aca="false">IFERROR(INDEX(종합!K$3:K$501,MATCH(ROW()-2,종합!$AD$3:$AD$501,0))&amp;"","")</f>
        <v/>
      </c>
      <c r="L299" s="21" t="str">
        <f aca="false">IFERROR(INDEX(종합!L$3:L$501,MATCH(ROW()-2,종합!$AD$3:$AD$501,0))&amp;"","")</f>
        <v/>
      </c>
      <c r="M299" s="21" t="str">
        <f aca="false">IFERROR(INDEX(종합!M$3:M$501,MATCH(ROW()-2,종합!$AD$3:$AD$501,0))&amp;"","")</f>
        <v/>
      </c>
      <c r="N299" s="25" t="str">
        <f aca="false">IFERROR(INDEX(종합!N$3:N$501,MATCH(ROW()-2,종합!$AD$3:$AD$501,0))&amp;"","")</f>
        <v/>
      </c>
      <c r="O299" s="21" t="str">
        <f aca="false">IFERROR(INDEX(종합!O$3:O$501,MATCH(ROW()-2,종합!$AD$3:$AD$501,0))&amp;"","")</f>
        <v/>
      </c>
      <c r="P299" s="21" t="str">
        <f aca="false">IFERROR(INDEX(종합!P$3:P$501,MATCH(ROW()-2,종합!$AD$3:$AD$501,0))&amp;"","")</f>
        <v/>
      </c>
      <c r="Q299" s="21" t="str">
        <f aca="false">IFERROR(INDEX(종합!Q$3:Q$501,MATCH(ROW()-2,종합!$AD$3:$AD$501,0))&amp;"","")</f>
        <v/>
      </c>
      <c r="R299" s="21" t="str">
        <f aca="false">IFERROR(INDEX(종합!R$3:R$501,MATCH(ROW()-2,종합!$AD$3:$AD$501,0))&amp;"","")</f>
        <v/>
      </c>
      <c r="S299" s="21" t="str">
        <f aca="false">IFERROR(INDEX(종합!S$3:S$501,MATCH(ROW()-2,종합!$AD$3:$AD$501,0))&amp;"","")</f>
        <v/>
      </c>
      <c r="T299" s="21" t="str">
        <f aca="false">IFERROR(INDEX(종합!T$3:T$501,MATCH(ROW()-2,종합!$AD$3:$AD$501,0))&amp;"","")</f>
        <v/>
      </c>
      <c r="U299" s="21" t="str">
        <f aca="false">IFERROR(INDEX(종합!U$3:U$501,MATCH(ROW()-2,종합!$AD$3:$AD$501,0))&amp;"","")</f>
        <v/>
      </c>
      <c r="V299" s="21" t="str">
        <f aca="false">IFERROR(INDEX(종합!V$3:V$501,MATCH(ROW()-2,종합!$AD$3:$AD$501,0))&amp;"","")</f>
        <v/>
      </c>
      <c r="W299" s="21" t="str">
        <f aca="false">IFERROR(INDEX(종합!W$3:W$501,MATCH(ROW()-2,종합!$AD$3:$AD$501,0))&amp;"","")</f>
        <v/>
      </c>
      <c r="X299" s="21" t="str">
        <f aca="false">IFERROR(INDEX(종합!X$3:X$501,MATCH(ROW()-2,종합!$AD$3:$AD$501,0))&amp;"","")</f>
        <v/>
      </c>
      <c r="Y299" s="21" t="str">
        <f aca="false">IFERROR(INDEX(종합!Y$3:Y$501,MATCH(ROW()-2,종합!$AD$3:$AD$501,0))&amp;"","")</f>
        <v/>
      </c>
      <c r="Z299" s="21" t="str">
        <f aca="false">IFERROR(INDEX(종합!Z$3:Z$501,MATCH(ROW()-2,종합!$AD$3:$AD$501,0))&amp;"","")</f>
        <v/>
      </c>
      <c r="AA299" s="23" t="str">
        <f aca="false">IFERROR(INDEX(종합!AA$3:AA$501,MATCH(ROW()-2,종합!$AD$3:$AD$501,0))&amp;"","")</f>
        <v/>
      </c>
    </row>
    <row r="300" customFormat="false" ht="16.5" hidden="false" customHeight="true" outlineLevel="0" collapsed="false">
      <c r="A300" s="18" t="str">
        <f aca="false">IF(B300="","",ROW()-2)</f>
        <v/>
      </c>
      <c r="B300" s="18" t="str">
        <f aca="false">IFERROR(INDEX(종합!B$3:B$501,MATCH(ROW()-2,종합!$AD$3:$AD$501,0))&amp;"","")</f>
        <v/>
      </c>
      <c r="C300" s="18" t="str">
        <f aca="false">IFERROR(INDEX(종합!C$3:C$501,MATCH(ROW()-2,종합!$AD$3:$AD$501,0))&amp;"","")</f>
        <v/>
      </c>
      <c r="D300" s="18" t="str">
        <f aca="false">IFERROR(INDEX(종합!D$3:D$501,MATCH(ROW()-2,종합!$AD$3:$AD$501,0))&amp;"","")</f>
        <v/>
      </c>
      <c r="E300" s="18" t="str">
        <f aca="false">IFERROR(INDEX(종합!E$3:E$501,MATCH(ROW()-2,종합!$AD$3:$AD$501,0))&amp;"","")</f>
        <v/>
      </c>
      <c r="F300" s="18" t="str">
        <f aca="false">IFERROR(INDEX(종합!F$3:F$501,MATCH(ROW()-2,종합!$AD$3:$AD$501,0))&amp;"","")</f>
        <v/>
      </c>
      <c r="G300" s="18" t="str">
        <f aca="false">IFERROR(INDEX(종합!G$3:G$501,MATCH(ROW()-2,종합!$AD$3:$AD$501,0))&amp;"","")</f>
        <v/>
      </c>
      <c r="H300" s="21" t="str">
        <f aca="false">IFERROR(INDEX(종합!H$3:H$501,MATCH(ROW()-2,종합!$AD$3:$AD$501,0))&amp;"","")</f>
        <v/>
      </c>
      <c r="I300" s="21" t="str">
        <f aca="false">IFERROR(INDEX(종합!I$3:I$501,MATCH(ROW()-2,종합!$AD$3:$AD$501,0))&amp;"","")</f>
        <v/>
      </c>
      <c r="J300" s="21" t="str">
        <f aca="false">IFERROR(INDEX(종합!J$3:J$501,MATCH(ROW()-2,종합!$AD$3:$AD$501,0))&amp;"","")</f>
        <v/>
      </c>
      <c r="K300" s="21" t="str">
        <f aca="false">IFERROR(INDEX(종합!K$3:K$501,MATCH(ROW()-2,종합!$AD$3:$AD$501,0))&amp;"","")</f>
        <v/>
      </c>
      <c r="L300" s="21" t="str">
        <f aca="false">IFERROR(INDEX(종합!L$3:L$501,MATCH(ROW()-2,종합!$AD$3:$AD$501,0))&amp;"","")</f>
        <v/>
      </c>
      <c r="M300" s="21" t="str">
        <f aca="false">IFERROR(INDEX(종합!M$3:M$501,MATCH(ROW()-2,종합!$AD$3:$AD$501,0))&amp;"","")</f>
        <v/>
      </c>
      <c r="N300" s="25" t="str">
        <f aca="false">IFERROR(INDEX(종합!N$3:N$501,MATCH(ROW()-2,종합!$AD$3:$AD$501,0))&amp;"","")</f>
        <v/>
      </c>
      <c r="O300" s="21" t="str">
        <f aca="false">IFERROR(INDEX(종합!O$3:O$501,MATCH(ROW()-2,종합!$AD$3:$AD$501,0))&amp;"","")</f>
        <v/>
      </c>
      <c r="P300" s="21" t="str">
        <f aca="false">IFERROR(INDEX(종합!P$3:P$501,MATCH(ROW()-2,종합!$AD$3:$AD$501,0))&amp;"","")</f>
        <v/>
      </c>
      <c r="Q300" s="21" t="str">
        <f aca="false">IFERROR(INDEX(종합!Q$3:Q$501,MATCH(ROW()-2,종합!$AD$3:$AD$501,0))&amp;"","")</f>
        <v/>
      </c>
      <c r="R300" s="21" t="str">
        <f aca="false">IFERROR(INDEX(종합!R$3:R$501,MATCH(ROW()-2,종합!$AD$3:$AD$501,0))&amp;"","")</f>
        <v/>
      </c>
      <c r="S300" s="21" t="str">
        <f aca="false">IFERROR(INDEX(종합!S$3:S$501,MATCH(ROW()-2,종합!$AD$3:$AD$501,0))&amp;"","")</f>
        <v/>
      </c>
      <c r="T300" s="21" t="str">
        <f aca="false">IFERROR(INDEX(종합!T$3:T$501,MATCH(ROW()-2,종합!$AD$3:$AD$501,0))&amp;"","")</f>
        <v/>
      </c>
      <c r="U300" s="21" t="str">
        <f aca="false">IFERROR(INDEX(종합!U$3:U$501,MATCH(ROW()-2,종합!$AD$3:$AD$501,0))&amp;"","")</f>
        <v/>
      </c>
      <c r="V300" s="21" t="str">
        <f aca="false">IFERROR(INDEX(종합!V$3:V$501,MATCH(ROW()-2,종합!$AD$3:$AD$501,0))&amp;"","")</f>
        <v/>
      </c>
      <c r="W300" s="21" t="str">
        <f aca="false">IFERROR(INDEX(종합!W$3:W$501,MATCH(ROW()-2,종합!$AD$3:$AD$501,0))&amp;"","")</f>
        <v/>
      </c>
      <c r="X300" s="21" t="str">
        <f aca="false">IFERROR(INDEX(종합!X$3:X$501,MATCH(ROW()-2,종합!$AD$3:$AD$501,0))&amp;"","")</f>
        <v/>
      </c>
      <c r="Y300" s="21" t="str">
        <f aca="false">IFERROR(INDEX(종합!Y$3:Y$501,MATCH(ROW()-2,종합!$AD$3:$AD$501,0))&amp;"","")</f>
        <v/>
      </c>
      <c r="Z300" s="21" t="str">
        <f aca="false">IFERROR(INDEX(종합!Z$3:Z$501,MATCH(ROW()-2,종합!$AD$3:$AD$501,0))&amp;"","")</f>
        <v/>
      </c>
      <c r="AA300" s="23" t="str">
        <f aca="false">IFERROR(INDEX(종합!AA$3:AA$501,MATCH(ROW()-2,종합!$AD$3:$AD$501,0))&amp;"","")</f>
        <v/>
      </c>
    </row>
    <row r="301" customFormat="false" ht="16.5" hidden="false" customHeight="true" outlineLevel="0" collapsed="false">
      <c r="A301" s="18" t="str">
        <f aca="false">IF(B301="","",ROW()-2)</f>
        <v/>
      </c>
      <c r="B301" s="18" t="str">
        <f aca="false">IFERROR(INDEX(종합!B$3:B$501,MATCH(ROW()-2,종합!$AD$3:$AD$501,0))&amp;"","")</f>
        <v/>
      </c>
      <c r="C301" s="18" t="str">
        <f aca="false">IFERROR(INDEX(종합!C$3:C$501,MATCH(ROW()-2,종합!$AD$3:$AD$501,0))&amp;"","")</f>
        <v/>
      </c>
      <c r="D301" s="18" t="str">
        <f aca="false">IFERROR(INDEX(종합!D$3:D$501,MATCH(ROW()-2,종합!$AD$3:$AD$501,0))&amp;"","")</f>
        <v/>
      </c>
      <c r="E301" s="18" t="str">
        <f aca="false">IFERROR(INDEX(종합!E$3:E$501,MATCH(ROW()-2,종합!$AD$3:$AD$501,0))&amp;"","")</f>
        <v/>
      </c>
      <c r="F301" s="18" t="str">
        <f aca="false">IFERROR(INDEX(종합!F$3:F$501,MATCH(ROW()-2,종합!$AD$3:$AD$501,0))&amp;"","")</f>
        <v/>
      </c>
      <c r="G301" s="18" t="str">
        <f aca="false">IFERROR(INDEX(종합!G$3:G$501,MATCH(ROW()-2,종합!$AD$3:$AD$501,0))&amp;"","")</f>
        <v/>
      </c>
      <c r="H301" s="21" t="str">
        <f aca="false">IFERROR(INDEX(종합!H$3:H$501,MATCH(ROW()-2,종합!$AD$3:$AD$501,0))&amp;"","")</f>
        <v/>
      </c>
      <c r="I301" s="21" t="str">
        <f aca="false">IFERROR(INDEX(종합!I$3:I$501,MATCH(ROW()-2,종합!$AD$3:$AD$501,0))&amp;"","")</f>
        <v/>
      </c>
      <c r="J301" s="21" t="str">
        <f aca="false">IFERROR(INDEX(종합!J$3:J$501,MATCH(ROW()-2,종합!$AD$3:$AD$501,0))&amp;"","")</f>
        <v/>
      </c>
      <c r="K301" s="21" t="str">
        <f aca="false">IFERROR(INDEX(종합!K$3:K$501,MATCH(ROW()-2,종합!$AD$3:$AD$501,0))&amp;"","")</f>
        <v/>
      </c>
      <c r="L301" s="21" t="str">
        <f aca="false">IFERROR(INDEX(종합!L$3:L$501,MATCH(ROW()-2,종합!$AD$3:$AD$501,0))&amp;"","")</f>
        <v/>
      </c>
      <c r="M301" s="21" t="str">
        <f aca="false">IFERROR(INDEX(종합!M$3:M$501,MATCH(ROW()-2,종합!$AD$3:$AD$501,0))&amp;"","")</f>
        <v/>
      </c>
      <c r="N301" s="25" t="str">
        <f aca="false">IFERROR(INDEX(종합!N$3:N$501,MATCH(ROW()-2,종합!$AD$3:$AD$501,0))&amp;"","")</f>
        <v/>
      </c>
      <c r="O301" s="21" t="str">
        <f aca="false">IFERROR(INDEX(종합!O$3:O$501,MATCH(ROW()-2,종합!$AD$3:$AD$501,0))&amp;"","")</f>
        <v/>
      </c>
      <c r="P301" s="21" t="str">
        <f aca="false">IFERROR(INDEX(종합!P$3:P$501,MATCH(ROW()-2,종합!$AD$3:$AD$501,0))&amp;"","")</f>
        <v/>
      </c>
      <c r="Q301" s="21" t="str">
        <f aca="false">IFERROR(INDEX(종합!Q$3:Q$501,MATCH(ROW()-2,종합!$AD$3:$AD$501,0))&amp;"","")</f>
        <v/>
      </c>
      <c r="R301" s="21" t="str">
        <f aca="false">IFERROR(INDEX(종합!R$3:R$501,MATCH(ROW()-2,종합!$AD$3:$AD$501,0))&amp;"","")</f>
        <v/>
      </c>
      <c r="S301" s="21" t="str">
        <f aca="false">IFERROR(INDEX(종합!S$3:S$501,MATCH(ROW()-2,종합!$AD$3:$AD$501,0))&amp;"","")</f>
        <v/>
      </c>
      <c r="T301" s="21" t="str">
        <f aca="false">IFERROR(INDEX(종합!T$3:T$501,MATCH(ROW()-2,종합!$AD$3:$AD$501,0))&amp;"","")</f>
        <v/>
      </c>
      <c r="U301" s="21" t="str">
        <f aca="false">IFERROR(INDEX(종합!U$3:U$501,MATCH(ROW()-2,종합!$AD$3:$AD$501,0))&amp;"","")</f>
        <v/>
      </c>
      <c r="V301" s="21" t="str">
        <f aca="false">IFERROR(INDEX(종합!V$3:V$501,MATCH(ROW()-2,종합!$AD$3:$AD$501,0))&amp;"","")</f>
        <v/>
      </c>
      <c r="W301" s="21" t="str">
        <f aca="false">IFERROR(INDEX(종합!W$3:W$501,MATCH(ROW()-2,종합!$AD$3:$AD$501,0))&amp;"","")</f>
        <v/>
      </c>
      <c r="X301" s="21" t="str">
        <f aca="false">IFERROR(INDEX(종합!X$3:X$501,MATCH(ROW()-2,종합!$AD$3:$AD$501,0))&amp;"","")</f>
        <v/>
      </c>
      <c r="Y301" s="21" t="str">
        <f aca="false">IFERROR(INDEX(종합!Y$3:Y$501,MATCH(ROW()-2,종합!$AD$3:$AD$501,0))&amp;"","")</f>
        <v/>
      </c>
      <c r="Z301" s="21" t="str">
        <f aca="false">IFERROR(INDEX(종합!Z$3:Z$501,MATCH(ROW()-2,종합!$AD$3:$AD$501,0))&amp;"","")</f>
        <v/>
      </c>
      <c r="AA301" s="23" t="str">
        <f aca="false">IFERROR(INDEX(종합!AA$3:AA$501,MATCH(ROW()-2,종합!$AD$3:$AD$501,0))&amp;"","")</f>
        <v/>
      </c>
    </row>
    <row r="302" customFormat="false" ht="16.5" hidden="false" customHeight="true" outlineLevel="0" collapsed="false">
      <c r="A302" s="18" t="str">
        <f aca="false">IF(B302="","",ROW()-2)</f>
        <v/>
      </c>
      <c r="B302" s="18" t="str">
        <f aca="false">IFERROR(INDEX(종합!B$3:B$501,MATCH(ROW()-2,종합!$AD$3:$AD$501,0))&amp;"","")</f>
        <v/>
      </c>
      <c r="C302" s="18" t="str">
        <f aca="false">IFERROR(INDEX(종합!C$3:C$501,MATCH(ROW()-2,종합!$AD$3:$AD$501,0))&amp;"","")</f>
        <v/>
      </c>
      <c r="D302" s="18" t="str">
        <f aca="false">IFERROR(INDEX(종합!D$3:D$501,MATCH(ROW()-2,종합!$AD$3:$AD$501,0))&amp;"","")</f>
        <v/>
      </c>
      <c r="E302" s="18" t="str">
        <f aca="false">IFERROR(INDEX(종합!E$3:E$501,MATCH(ROW()-2,종합!$AD$3:$AD$501,0))&amp;"","")</f>
        <v/>
      </c>
      <c r="F302" s="18" t="str">
        <f aca="false">IFERROR(INDEX(종합!F$3:F$501,MATCH(ROW()-2,종합!$AD$3:$AD$501,0))&amp;"","")</f>
        <v/>
      </c>
      <c r="G302" s="18" t="str">
        <f aca="false">IFERROR(INDEX(종합!G$3:G$501,MATCH(ROW()-2,종합!$AD$3:$AD$501,0))&amp;"","")</f>
        <v/>
      </c>
      <c r="H302" s="21" t="str">
        <f aca="false">IFERROR(INDEX(종합!H$3:H$501,MATCH(ROW()-2,종합!$AD$3:$AD$501,0))&amp;"","")</f>
        <v/>
      </c>
      <c r="I302" s="21" t="str">
        <f aca="false">IFERROR(INDEX(종합!I$3:I$501,MATCH(ROW()-2,종합!$AD$3:$AD$501,0))&amp;"","")</f>
        <v/>
      </c>
      <c r="J302" s="21" t="str">
        <f aca="false">IFERROR(INDEX(종합!J$3:J$501,MATCH(ROW()-2,종합!$AD$3:$AD$501,0))&amp;"","")</f>
        <v/>
      </c>
      <c r="K302" s="21" t="str">
        <f aca="false">IFERROR(INDEX(종합!K$3:K$501,MATCH(ROW()-2,종합!$AD$3:$AD$501,0))&amp;"","")</f>
        <v/>
      </c>
      <c r="L302" s="21" t="str">
        <f aca="false">IFERROR(INDEX(종합!L$3:L$501,MATCH(ROW()-2,종합!$AD$3:$AD$501,0))&amp;"","")</f>
        <v/>
      </c>
      <c r="M302" s="21" t="str">
        <f aca="false">IFERROR(INDEX(종합!M$3:M$501,MATCH(ROW()-2,종합!$AD$3:$AD$501,0))&amp;"","")</f>
        <v/>
      </c>
      <c r="N302" s="25" t="str">
        <f aca="false">IFERROR(INDEX(종합!N$3:N$501,MATCH(ROW()-2,종합!$AD$3:$AD$501,0))&amp;"","")</f>
        <v/>
      </c>
      <c r="O302" s="21" t="str">
        <f aca="false">IFERROR(INDEX(종합!O$3:O$501,MATCH(ROW()-2,종합!$AD$3:$AD$501,0))&amp;"","")</f>
        <v/>
      </c>
      <c r="P302" s="21" t="str">
        <f aca="false">IFERROR(INDEX(종합!P$3:P$501,MATCH(ROW()-2,종합!$AD$3:$AD$501,0))&amp;"","")</f>
        <v/>
      </c>
      <c r="Q302" s="21" t="str">
        <f aca="false">IFERROR(INDEX(종합!Q$3:Q$501,MATCH(ROW()-2,종합!$AD$3:$AD$501,0))&amp;"","")</f>
        <v/>
      </c>
      <c r="R302" s="21" t="str">
        <f aca="false">IFERROR(INDEX(종합!R$3:R$501,MATCH(ROW()-2,종합!$AD$3:$AD$501,0))&amp;"","")</f>
        <v/>
      </c>
      <c r="S302" s="21" t="str">
        <f aca="false">IFERROR(INDEX(종합!S$3:S$501,MATCH(ROW()-2,종합!$AD$3:$AD$501,0))&amp;"","")</f>
        <v/>
      </c>
      <c r="T302" s="21" t="str">
        <f aca="false">IFERROR(INDEX(종합!T$3:T$501,MATCH(ROW()-2,종합!$AD$3:$AD$501,0))&amp;"","")</f>
        <v/>
      </c>
      <c r="U302" s="21" t="str">
        <f aca="false">IFERROR(INDEX(종합!U$3:U$501,MATCH(ROW()-2,종합!$AD$3:$AD$501,0))&amp;"","")</f>
        <v/>
      </c>
      <c r="V302" s="21" t="str">
        <f aca="false">IFERROR(INDEX(종합!V$3:V$501,MATCH(ROW()-2,종합!$AD$3:$AD$501,0))&amp;"","")</f>
        <v/>
      </c>
      <c r="W302" s="21" t="str">
        <f aca="false">IFERROR(INDEX(종합!W$3:W$501,MATCH(ROW()-2,종합!$AD$3:$AD$501,0))&amp;"","")</f>
        <v/>
      </c>
      <c r="X302" s="21" t="str">
        <f aca="false">IFERROR(INDEX(종합!X$3:X$501,MATCH(ROW()-2,종합!$AD$3:$AD$501,0))&amp;"","")</f>
        <v/>
      </c>
      <c r="Y302" s="21" t="str">
        <f aca="false">IFERROR(INDEX(종합!Y$3:Y$501,MATCH(ROW()-2,종합!$AD$3:$AD$501,0))&amp;"","")</f>
        <v/>
      </c>
      <c r="Z302" s="21" t="str">
        <f aca="false">IFERROR(INDEX(종합!Z$3:Z$501,MATCH(ROW()-2,종합!$AD$3:$AD$501,0))&amp;"","")</f>
        <v/>
      </c>
      <c r="AA302" s="23" t="str">
        <f aca="false">IFERROR(INDEX(종합!AA$3:AA$501,MATCH(ROW()-2,종합!$AD$3:$AD$501,0))&amp;"","")</f>
        <v/>
      </c>
    </row>
    <row r="303" customFormat="false" ht="16.5" hidden="false" customHeight="true" outlineLevel="0" collapsed="false">
      <c r="A303" s="18" t="str">
        <f aca="false">IF(B303="","",ROW()-2)</f>
        <v/>
      </c>
      <c r="B303" s="18" t="str">
        <f aca="false">IFERROR(INDEX(종합!B$3:B$501,MATCH(ROW()-2,종합!$AD$3:$AD$501,0))&amp;"","")</f>
        <v/>
      </c>
      <c r="C303" s="18" t="str">
        <f aca="false">IFERROR(INDEX(종합!C$3:C$501,MATCH(ROW()-2,종합!$AD$3:$AD$501,0))&amp;"","")</f>
        <v/>
      </c>
      <c r="D303" s="18" t="str">
        <f aca="false">IFERROR(INDEX(종합!D$3:D$501,MATCH(ROW()-2,종합!$AD$3:$AD$501,0))&amp;"","")</f>
        <v/>
      </c>
      <c r="E303" s="18" t="str">
        <f aca="false">IFERROR(INDEX(종합!E$3:E$501,MATCH(ROW()-2,종합!$AD$3:$AD$501,0))&amp;"","")</f>
        <v/>
      </c>
      <c r="F303" s="18" t="str">
        <f aca="false">IFERROR(INDEX(종합!F$3:F$501,MATCH(ROW()-2,종합!$AD$3:$AD$501,0))&amp;"","")</f>
        <v/>
      </c>
      <c r="G303" s="18" t="str">
        <f aca="false">IFERROR(INDEX(종합!G$3:G$501,MATCH(ROW()-2,종합!$AD$3:$AD$501,0))&amp;"","")</f>
        <v/>
      </c>
      <c r="H303" s="21" t="str">
        <f aca="false">IFERROR(INDEX(종합!H$3:H$501,MATCH(ROW()-2,종합!$AD$3:$AD$501,0))&amp;"","")</f>
        <v/>
      </c>
      <c r="I303" s="21" t="str">
        <f aca="false">IFERROR(INDEX(종합!I$3:I$501,MATCH(ROW()-2,종합!$AD$3:$AD$501,0))&amp;"","")</f>
        <v/>
      </c>
      <c r="J303" s="21" t="str">
        <f aca="false">IFERROR(INDEX(종합!J$3:J$501,MATCH(ROW()-2,종합!$AD$3:$AD$501,0))&amp;"","")</f>
        <v/>
      </c>
      <c r="K303" s="21" t="str">
        <f aca="false">IFERROR(INDEX(종합!K$3:K$501,MATCH(ROW()-2,종합!$AD$3:$AD$501,0))&amp;"","")</f>
        <v/>
      </c>
      <c r="L303" s="21" t="str">
        <f aca="false">IFERROR(INDEX(종합!L$3:L$501,MATCH(ROW()-2,종합!$AD$3:$AD$501,0))&amp;"","")</f>
        <v/>
      </c>
      <c r="M303" s="21" t="str">
        <f aca="false">IFERROR(INDEX(종합!M$3:M$501,MATCH(ROW()-2,종합!$AD$3:$AD$501,0))&amp;"","")</f>
        <v/>
      </c>
      <c r="N303" s="25" t="str">
        <f aca="false">IFERROR(INDEX(종합!N$3:N$501,MATCH(ROW()-2,종합!$AD$3:$AD$501,0))&amp;"","")</f>
        <v/>
      </c>
      <c r="O303" s="21" t="str">
        <f aca="false">IFERROR(INDEX(종합!O$3:O$501,MATCH(ROW()-2,종합!$AD$3:$AD$501,0))&amp;"","")</f>
        <v/>
      </c>
      <c r="P303" s="21" t="str">
        <f aca="false">IFERROR(INDEX(종합!P$3:P$501,MATCH(ROW()-2,종합!$AD$3:$AD$501,0))&amp;"","")</f>
        <v/>
      </c>
      <c r="Q303" s="21" t="str">
        <f aca="false">IFERROR(INDEX(종합!Q$3:Q$501,MATCH(ROW()-2,종합!$AD$3:$AD$501,0))&amp;"","")</f>
        <v/>
      </c>
      <c r="R303" s="21" t="str">
        <f aca="false">IFERROR(INDEX(종합!R$3:R$501,MATCH(ROW()-2,종합!$AD$3:$AD$501,0))&amp;"","")</f>
        <v/>
      </c>
      <c r="S303" s="21" t="str">
        <f aca="false">IFERROR(INDEX(종합!S$3:S$501,MATCH(ROW()-2,종합!$AD$3:$AD$501,0))&amp;"","")</f>
        <v/>
      </c>
      <c r="T303" s="21" t="str">
        <f aca="false">IFERROR(INDEX(종합!T$3:T$501,MATCH(ROW()-2,종합!$AD$3:$AD$501,0))&amp;"","")</f>
        <v/>
      </c>
      <c r="U303" s="21" t="str">
        <f aca="false">IFERROR(INDEX(종합!U$3:U$501,MATCH(ROW()-2,종합!$AD$3:$AD$501,0))&amp;"","")</f>
        <v/>
      </c>
      <c r="V303" s="21" t="str">
        <f aca="false">IFERROR(INDEX(종합!V$3:V$501,MATCH(ROW()-2,종합!$AD$3:$AD$501,0))&amp;"","")</f>
        <v/>
      </c>
      <c r="W303" s="21" t="str">
        <f aca="false">IFERROR(INDEX(종합!W$3:W$501,MATCH(ROW()-2,종합!$AD$3:$AD$501,0))&amp;"","")</f>
        <v/>
      </c>
      <c r="X303" s="21" t="str">
        <f aca="false">IFERROR(INDEX(종합!X$3:X$501,MATCH(ROW()-2,종합!$AD$3:$AD$501,0))&amp;"","")</f>
        <v/>
      </c>
      <c r="Y303" s="21" t="str">
        <f aca="false">IFERROR(INDEX(종합!Y$3:Y$501,MATCH(ROW()-2,종합!$AD$3:$AD$501,0))&amp;"","")</f>
        <v/>
      </c>
      <c r="Z303" s="21" t="str">
        <f aca="false">IFERROR(INDEX(종합!Z$3:Z$501,MATCH(ROW()-2,종합!$AD$3:$AD$501,0))&amp;"","")</f>
        <v/>
      </c>
      <c r="AA303" s="23" t="str">
        <f aca="false">IFERROR(INDEX(종합!AA$3:AA$501,MATCH(ROW()-2,종합!$AD$3:$AD$501,0))&amp;"","")</f>
        <v/>
      </c>
    </row>
    <row r="304" customFormat="false" ht="16.5" hidden="false" customHeight="true" outlineLevel="0" collapsed="false">
      <c r="A304" s="18" t="str">
        <f aca="false">IF(B304="","",ROW()-2)</f>
        <v/>
      </c>
      <c r="B304" s="18" t="str">
        <f aca="false">IFERROR(INDEX(종합!B$3:B$501,MATCH(ROW()-2,종합!$AD$3:$AD$501,0))&amp;"","")</f>
        <v/>
      </c>
      <c r="C304" s="18" t="str">
        <f aca="false">IFERROR(INDEX(종합!C$3:C$501,MATCH(ROW()-2,종합!$AD$3:$AD$501,0))&amp;"","")</f>
        <v/>
      </c>
      <c r="D304" s="18" t="str">
        <f aca="false">IFERROR(INDEX(종합!D$3:D$501,MATCH(ROW()-2,종합!$AD$3:$AD$501,0))&amp;"","")</f>
        <v/>
      </c>
      <c r="E304" s="18" t="str">
        <f aca="false">IFERROR(INDEX(종합!E$3:E$501,MATCH(ROW()-2,종합!$AD$3:$AD$501,0))&amp;"","")</f>
        <v/>
      </c>
      <c r="F304" s="18" t="str">
        <f aca="false">IFERROR(INDEX(종합!F$3:F$501,MATCH(ROW()-2,종합!$AD$3:$AD$501,0))&amp;"","")</f>
        <v/>
      </c>
      <c r="G304" s="18" t="str">
        <f aca="false">IFERROR(INDEX(종합!G$3:G$501,MATCH(ROW()-2,종합!$AD$3:$AD$501,0))&amp;"","")</f>
        <v/>
      </c>
      <c r="H304" s="21" t="str">
        <f aca="false">IFERROR(INDEX(종합!H$3:H$501,MATCH(ROW()-2,종합!$AD$3:$AD$501,0))&amp;"","")</f>
        <v/>
      </c>
      <c r="I304" s="21" t="str">
        <f aca="false">IFERROR(INDEX(종합!I$3:I$501,MATCH(ROW()-2,종합!$AD$3:$AD$501,0))&amp;"","")</f>
        <v/>
      </c>
      <c r="J304" s="21" t="str">
        <f aca="false">IFERROR(INDEX(종합!J$3:J$501,MATCH(ROW()-2,종합!$AD$3:$AD$501,0))&amp;"","")</f>
        <v/>
      </c>
      <c r="K304" s="21" t="str">
        <f aca="false">IFERROR(INDEX(종합!K$3:K$501,MATCH(ROW()-2,종합!$AD$3:$AD$501,0))&amp;"","")</f>
        <v/>
      </c>
      <c r="L304" s="21" t="str">
        <f aca="false">IFERROR(INDEX(종합!L$3:L$501,MATCH(ROW()-2,종합!$AD$3:$AD$501,0))&amp;"","")</f>
        <v/>
      </c>
      <c r="M304" s="21" t="str">
        <f aca="false">IFERROR(INDEX(종합!M$3:M$501,MATCH(ROW()-2,종합!$AD$3:$AD$501,0))&amp;"","")</f>
        <v/>
      </c>
      <c r="N304" s="25" t="str">
        <f aca="false">IFERROR(INDEX(종합!N$3:N$501,MATCH(ROW()-2,종합!$AD$3:$AD$501,0))&amp;"","")</f>
        <v/>
      </c>
      <c r="O304" s="21" t="str">
        <f aca="false">IFERROR(INDEX(종합!O$3:O$501,MATCH(ROW()-2,종합!$AD$3:$AD$501,0))&amp;"","")</f>
        <v/>
      </c>
      <c r="P304" s="21" t="str">
        <f aca="false">IFERROR(INDEX(종합!P$3:P$501,MATCH(ROW()-2,종합!$AD$3:$AD$501,0))&amp;"","")</f>
        <v/>
      </c>
      <c r="Q304" s="21" t="str">
        <f aca="false">IFERROR(INDEX(종합!Q$3:Q$501,MATCH(ROW()-2,종합!$AD$3:$AD$501,0))&amp;"","")</f>
        <v/>
      </c>
      <c r="R304" s="21" t="str">
        <f aca="false">IFERROR(INDEX(종합!R$3:R$501,MATCH(ROW()-2,종합!$AD$3:$AD$501,0))&amp;"","")</f>
        <v/>
      </c>
      <c r="S304" s="21" t="str">
        <f aca="false">IFERROR(INDEX(종합!S$3:S$501,MATCH(ROW()-2,종합!$AD$3:$AD$501,0))&amp;"","")</f>
        <v/>
      </c>
      <c r="T304" s="21" t="str">
        <f aca="false">IFERROR(INDEX(종합!T$3:T$501,MATCH(ROW()-2,종합!$AD$3:$AD$501,0))&amp;"","")</f>
        <v/>
      </c>
      <c r="U304" s="21" t="str">
        <f aca="false">IFERROR(INDEX(종합!U$3:U$501,MATCH(ROW()-2,종합!$AD$3:$AD$501,0))&amp;"","")</f>
        <v/>
      </c>
      <c r="V304" s="21" t="str">
        <f aca="false">IFERROR(INDEX(종합!V$3:V$501,MATCH(ROW()-2,종합!$AD$3:$AD$501,0))&amp;"","")</f>
        <v/>
      </c>
      <c r="W304" s="21" t="str">
        <f aca="false">IFERROR(INDEX(종합!W$3:W$501,MATCH(ROW()-2,종합!$AD$3:$AD$501,0))&amp;"","")</f>
        <v/>
      </c>
      <c r="X304" s="21" t="str">
        <f aca="false">IFERROR(INDEX(종합!X$3:X$501,MATCH(ROW()-2,종합!$AD$3:$AD$501,0))&amp;"","")</f>
        <v/>
      </c>
      <c r="Y304" s="21" t="str">
        <f aca="false">IFERROR(INDEX(종합!Y$3:Y$501,MATCH(ROW()-2,종합!$AD$3:$AD$501,0))&amp;"","")</f>
        <v/>
      </c>
      <c r="Z304" s="21" t="str">
        <f aca="false">IFERROR(INDEX(종합!Z$3:Z$501,MATCH(ROW()-2,종합!$AD$3:$AD$501,0))&amp;"","")</f>
        <v/>
      </c>
      <c r="AA304" s="23" t="str">
        <f aca="false">IFERROR(INDEX(종합!AA$3:AA$501,MATCH(ROW()-2,종합!$AD$3:$AD$501,0))&amp;"","")</f>
        <v/>
      </c>
    </row>
    <row r="305" customFormat="false" ht="16.5" hidden="false" customHeight="true" outlineLevel="0" collapsed="false">
      <c r="A305" s="18" t="str">
        <f aca="false">IF(B305="","",ROW()-2)</f>
        <v/>
      </c>
      <c r="B305" s="18" t="str">
        <f aca="false">IFERROR(INDEX(종합!B$3:B$501,MATCH(ROW()-2,종합!$AD$3:$AD$501,0))&amp;"","")</f>
        <v/>
      </c>
      <c r="C305" s="18" t="str">
        <f aca="false">IFERROR(INDEX(종합!C$3:C$501,MATCH(ROW()-2,종합!$AD$3:$AD$501,0))&amp;"","")</f>
        <v/>
      </c>
      <c r="D305" s="18" t="str">
        <f aca="false">IFERROR(INDEX(종합!D$3:D$501,MATCH(ROW()-2,종합!$AD$3:$AD$501,0))&amp;"","")</f>
        <v/>
      </c>
      <c r="E305" s="18" t="str">
        <f aca="false">IFERROR(INDEX(종합!E$3:E$501,MATCH(ROW()-2,종합!$AD$3:$AD$501,0))&amp;"","")</f>
        <v/>
      </c>
      <c r="F305" s="18" t="str">
        <f aca="false">IFERROR(INDEX(종합!F$3:F$501,MATCH(ROW()-2,종합!$AD$3:$AD$501,0))&amp;"","")</f>
        <v/>
      </c>
      <c r="G305" s="18" t="str">
        <f aca="false">IFERROR(INDEX(종합!G$3:G$501,MATCH(ROW()-2,종합!$AD$3:$AD$501,0))&amp;"","")</f>
        <v/>
      </c>
      <c r="H305" s="21" t="str">
        <f aca="false">IFERROR(INDEX(종합!H$3:H$501,MATCH(ROW()-2,종합!$AD$3:$AD$501,0))&amp;"","")</f>
        <v/>
      </c>
      <c r="I305" s="21" t="str">
        <f aca="false">IFERROR(INDEX(종합!I$3:I$501,MATCH(ROW()-2,종합!$AD$3:$AD$501,0))&amp;"","")</f>
        <v/>
      </c>
      <c r="J305" s="21" t="str">
        <f aca="false">IFERROR(INDEX(종합!J$3:J$501,MATCH(ROW()-2,종합!$AD$3:$AD$501,0))&amp;"","")</f>
        <v/>
      </c>
      <c r="K305" s="21" t="str">
        <f aca="false">IFERROR(INDEX(종합!K$3:K$501,MATCH(ROW()-2,종합!$AD$3:$AD$501,0))&amp;"","")</f>
        <v/>
      </c>
      <c r="L305" s="21" t="str">
        <f aca="false">IFERROR(INDEX(종합!L$3:L$501,MATCH(ROW()-2,종합!$AD$3:$AD$501,0))&amp;"","")</f>
        <v/>
      </c>
      <c r="M305" s="21" t="str">
        <f aca="false">IFERROR(INDEX(종합!M$3:M$501,MATCH(ROW()-2,종합!$AD$3:$AD$501,0))&amp;"","")</f>
        <v/>
      </c>
      <c r="N305" s="25" t="str">
        <f aca="false">IFERROR(INDEX(종합!N$3:N$501,MATCH(ROW()-2,종합!$AD$3:$AD$501,0))&amp;"","")</f>
        <v/>
      </c>
      <c r="O305" s="21" t="str">
        <f aca="false">IFERROR(INDEX(종합!O$3:O$501,MATCH(ROW()-2,종합!$AD$3:$AD$501,0))&amp;"","")</f>
        <v/>
      </c>
      <c r="P305" s="21" t="str">
        <f aca="false">IFERROR(INDEX(종합!P$3:P$501,MATCH(ROW()-2,종합!$AD$3:$AD$501,0))&amp;"","")</f>
        <v/>
      </c>
      <c r="Q305" s="21" t="str">
        <f aca="false">IFERROR(INDEX(종합!Q$3:Q$501,MATCH(ROW()-2,종합!$AD$3:$AD$501,0))&amp;"","")</f>
        <v/>
      </c>
      <c r="R305" s="21" t="str">
        <f aca="false">IFERROR(INDEX(종합!R$3:R$501,MATCH(ROW()-2,종합!$AD$3:$AD$501,0))&amp;"","")</f>
        <v/>
      </c>
      <c r="S305" s="21" t="str">
        <f aca="false">IFERROR(INDEX(종합!S$3:S$501,MATCH(ROW()-2,종합!$AD$3:$AD$501,0))&amp;"","")</f>
        <v/>
      </c>
      <c r="T305" s="21" t="str">
        <f aca="false">IFERROR(INDEX(종합!T$3:T$501,MATCH(ROW()-2,종합!$AD$3:$AD$501,0))&amp;"","")</f>
        <v/>
      </c>
      <c r="U305" s="21" t="str">
        <f aca="false">IFERROR(INDEX(종합!U$3:U$501,MATCH(ROW()-2,종합!$AD$3:$AD$501,0))&amp;"","")</f>
        <v/>
      </c>
      <c r="V305" s="21" t="str">
        <f aca="false">IFERROR(INDEX(종합!V$3:V$501,MATCH(ROW()-2,종합!$AD$3:$AD$501,0))&amp;"","")</f>
        <v/>
      </c>
      <c r="W305" s="21" t="str">
        <f aca="false">IFERROR(INDEX(종합!W$3:W$501,MATCH(ROW()-2,종합!$AD$3:$AD$501,0))&amp;"","")</f>
        <v/>
      </c>
      <c r="X305" s="21" t="str">
        <f aca="false">IFERROR(INDEX(종합!X$3:X$501,MATCH(ROW()-2,종합!$AD$3:$AD$501,0))&amp;"","")</f>
        <v/>
      </c>
      <c r="Y305" s="21" t="str">
        <f aca="false">IFERROR(INDEX(종합!Y$3:Y$501,MATCH(ROW()-2,종합!$AD$3:$AD$501,0))&amp;"","")</f>
        <v/>
      </c>
      <c r="Z305" s="21" t="str">
        <f aca="false">IFERROR(INDEX(종합!Z$3:Z$501,MATCH(ROW()-2,종합!$AD$3:$AD$501,0))&amp;"","")</f>
        <v/>
      </c>
      <c r="AA305" s="23" t="str">
        <f aca="false">IFERROR(INDEX(종합!AA$3:AA$501,MATCH(ROW()-2,종합!$AD$3:$AD$501,0))&amp;"","")</f>
        <v/>
      </c>
    </row>
    <row r="306" customFormat="false" ht="16.5" hidden="false" customHeight="true" outlineLevel="0" collapsed="false">
      <c r="A306" s="18" t="str">
        <f aca="false">IF(B306="","",ROW()-2)</f>
        <v/>
      </c>
      <c r="B306" s="18" t="str">
        <f aca="false">IFERROR(INDEX(종합!B$3:B$501,MATCH(ROW()-2,종합!$AD$3:$AD$501,0))&amp;"","")</f>
        <v/>
      </c>
      <c r="C306" s="18" t="str">
        <f aca="false">IFERROR(INDEX(종합!C$3:C$501,MATCH(ROW()-2,종합!$AD$3:$AD$501,0))&amp;"","")</f>
        <v/>
      </c>
      <c r="D306" s="18" t="str">
        <f aca="false">IFERROR(INDEX(종합!D$3:D$501,MATCH(ROW()-2,종합!$AD$3:$AD$501,0))&amp;"","")</f>
        <v/>
      </c>
      <c r="E306" s="18" t="str">
        <f aca="false">IFERROR(INDEX(종합!E$3:E$501,MATCH(ROW()-2,종합!$AD$3:$AD$501,0))&amp;"","")</f>
        <v/>
      </c>
      <c r="F306" s="18" t="str">
        <f aca="false">IFERROR(INDEX(종합!F$3:F$501,MATCH(ROW()-2,종합!$AD$3:$AD$501,0))&amp;"","")</f>
        <v/>
      </c>
      <c r="G306" s="18" t="str">
        <f aca="false">IFERROR(INDEX(종합!G$3:G$501,MATCH(ROW()-2,종합!$AD$3:$AD$501,0))&amp;"","")</f>
        <v/>
      </c>
      <c r="H306" s="21" t="str">
        <f aca="false">IFERROR(INDEX(종합!H$3:H$501,MATCH(ROW()-2,종합!$AD$3:$AD$501,0))&amp;"","")</f>
        <v/>
      </c>
      <c r="I306" s="21" t="str">
        <f aca="false">IFERROR(INDEX(종합!I$3:I$501,MATCH(ROW()-2,종합!$AD$3:$AD$501,0))&amp;"","")</f>
        <v/>
      </c>
      <c r="J306" s="21" t="str">
        <f aca="false">IFERROR(INDEX(종합!J$3:J$501,MATCH(ROW()-2,종합!$AD$3:$AD$501,0))&amp;"","")</f>
        <v/>
      </c>
      <c r="K306" s="21" t="str">
        <f aca="false">IFERROR(INDEX(종합!K$3:K$501,MATCH(ROW()-2,종합!$AD$3:$AD$501,0))&amp;"","")</f>
        <v/>
      </c>
      <c r="L306" s="21" t="str">
        <f aca="false">IFERROR(INDEX(종합!L$3:L$501,MATCH(ROW()-2,종합!$AD$3:$AD$501,0))&amp;"","")</f>
        <v/>
      </c>
      <c r="M306" s="21" t="str">
        <f aca="false">IFERROR(INDEX(종합!M$3:M$501,MATCH(ROW()-2,종합!$AD$3:$AD$501,0))&amp;"","")</f>
        <v/>
      </c>
      <c r="N306" s="25" t="str">
        <f aca="false">IFERROR(INDEX(종합!N$3:N$501,MATCH(ROW()-2,종합!$AD$3:$AD$501,0))&amp;"","")</f>
        <v/>
      </c>
      <c r="O306" s="21" t="str">
        <f aca="false">IFERROR(INDEX(종합!O$3:O$501,MATCH(ROW()-2,종합!$AD$3:$AD$501,0))&amp;"","")</f>
        <v/>
      </c>
      <c r="P306" s="21" t="str">
        <f aca="false">IFERROR(INDEX(종합!P$3:P$501,MATCH(ROW()-2,종합!$AD$3:$AD$501,0))&amp;"","")</f>
        <v/>
      </c>
      <c r="Q306" s="21" t="str">
        <f aca="false">IFERROR(INDEX(종합!Q$3:Q$501,MATCH(ROW()-2,종합!$AD$3:$AD$501,0))&amp;"","")</f>
        <v/>
      </c>
      <c r="R306" s="21" t="str">
        <f aca="false">IFERROR(INDEX(종합!R$3:R$501,MATCH(ROW()-2,종합!$AD$3:$AD$501,0))&amp;"","")</f>
        <v/>
      </c>
      <c r="S306" s="21" t="str">
        <f aca="false">IFERROR(INDEX(종합!S$3:S$501,MATCH(ROW()-2,종합!$AD$3:$AD$501,0))&amp;"","")</f>
        <v/>
      </c>
      <c r="T306" s="21" t="str">
        <f aca="false">IFERROR(INDEX(종합!T$3:T$501,MATCH(ROW()-2,종합!$AD$3:$AD$501,0))&amp;"","")</f>
        <v/>
      </c>
      <c r="U306" s="21" t="str">
        <f aca="false">IFERROR(INDEX(종합!U$3:U$501,MATCH(ROW()-2,종합!$AD$3:$AD$501,0))&amp;"","")</f>
        <v/>
      </c>
      <c r="V306" s="21" t="str">
        <f aca="false">IFERROR(INDEX(종합!V$3:V$501,MATCH(ROW()-2,종합!$AD$3:$AD$501,0))&amp;"","")</f>
        <v/>
      </c>
      <c r="W306" s="21" t="str">
        <f aca="false">IFERROR(INDEX(종합!W$3:W$501,MATCH(ROW()-2,종합!$AD$3:$AD$501,0))&amp;"","")</f>
        <v/>
      </c>
      <c r="X306" s="21" t="str">
        <f aca="false">IFERROR(INDEX(종합!X$3:X$501,MATCH(ROW()-2,종합!$AD$3:$AD$501,0))&amp;"","")</f>
        <v/>
      </c>
      <c r="Y306" s="21" t="str">
        <f aca="false">IFERROR(INDEX(종합!Y$3:Y$501,MATCH(ROW()-2,종합!$AD$3:$AD$501,0))&amp;"","")</f>
        <v/>
      </c>
      <c r="Z306" s="21" t="str">
        <f aca="false">IFERROR(INDEX(종합!Z$3:Z$501,MATCH(ROW()-2,종합!$AD$3:$AD$501,0))&amp;"","")</f>
        <v/>
      </c>
      <c r="AA306" s="23" t="str">
        <f aca="false">IFERROR(INDEX(종합!AA$3:AA$501,MATCH(ROW()-2,종합!$AD$3:$AD$501,0))&amp;"","")</f>
        <v/>
      </c>
    </row>
    <row r="307" customFormat="false" ht="16.5" hidden="false" customHeight="true" outlineLevel="0" collapsed="false">
      <c r="A307" s="18" t="str">
        <f aca="false">IF(B307="","",ROW()-2)</f>
        <v/>
      </c>
      <c r="B307" s="18" t="str">
        <f aca="false">IFERROR(INDEX(종합!B$3:B$501,MATCH(ROW()-2,종합!$AD$3:$AD$501,0))&amp;"","")</f>
        <v/>
      </c>
      <c r="C307" s="18" t="str">
        <f aca="false">IFERROR(INDEX(종합!C$3:C$501,MATCH(ROW()-2,종합!$AD$3:$AD$501,0))&amp;"","")</f>
        <v/>
      </c>
      <c r="D307" s="18" t="str">
        <f aca="false">IFERROR(INDEX(종합!D$3:D$501,MATCH(ROW()-2,종합!$AD$3:$AD$501,0))&amp;"","")</f>
        <v/>
      </c>
      <c r="E307" s="18" t="str">
        <f aca="false">IFERROR(INDEX(종합!E$3:E$501,MATCH(ROW()-2,종합!$AD$3:$AD$501,0))&amp;"","")</f>
        <v/>
      </c>
      <c r="F307" s="18" t="str">
        <f aca="false">IFERROR(INDEX(종합!F$3:F$501,MATCH(ROW()-2,종합!$AD$3:$AD$501,0))&amp;"","")</f>
        <v/>
      </c>
      <c r="G307" s="18" t="str">
        <f aca="false">IFERROR(INDEX(종합!G$3:G$501,MATCH(ROW()-2,종합!$AD$3:$AD$501,0))&amp;"","")</f>
        <v/>
      </c>
      <c r="H307" s="21" t="str">
        <f aca="false">IFERROR(INDEX(종합!H$3:H$501,MATCH(ROW()-2,종합!$AD$3:$AD$501,0))&amp;"","")</f>
        <v/>
      </c>
      <c r="I307" s="21" t="str">
        <f aca="false">IFERROR(INDEX(종합!I$3:I$501,MATCH(ROW()-2,종합!$AD$3:$AD$501,0))&amp;"","")</f>
        <v/>
      </c>
      <c r="J307" s="21" t="str">
        <f aca="false">IFERROR(INDEX(종합!J$3:J$501,MATCH(ROW()-2,종합!$AD$3:$AD$501,0))&amp;"","")</f>
        <v/>
      </c>
      <c r="K307" s="21" t="str">
        <f aca="false">IFERROR(INDEX(종합!K$3:K$501,MATCH(ROW()-2,종합!$AD$3:$AD$501,0))&amp;"","")</f>
        <v/>
      </c>
      <c r="L307" s="21" t="str">
        <f aca="false">IFERROR(INDEX(종합!L$3:L$501,MATCH(ROW()-2,종합!$AD$3:$AD$501,0))&amp;"","")</f>
        <v/>
      </c>
      <c r="M307" s="21" t="str">
        <f aca="false">IFERROR(INDEX(종합!M$3:M$501,MATCH(ROW()-2,종합!$AD$3:$AD$501,0))&amp;"","")</f>
        <v/>
      </c>
      <c r="N307" s="25" t="str">
        <f aca="false">IFERROR(INDEX(종합!N$3:N$501,MATCH(ROW()-2,종합!$AD$3:$AD$501,0))&amp;"","")</f>
        <v/>
      </c>
      <c r="O307" s="21" t="str">
        <f aca="false">IFERROR(INDEX(종합!O$3:O$501,MATCH(ROW()-2,종합!$AD$3:$AD$501,0))&amp;"","")</f>
        <v/>
      </c>
      <c r="P307" s="21" t="str">
        <f aca="false">IFERROR(INDEX(종합!P$3:P$501,MATCH(ROW()-2,종합!$AD$3:$AD$501,0))&amp;"","")</f>
        <v/>
      </c>
      <c r="Q307" s="21" t="str">
        <f aca="false">IFERROR(INDEX(종합!Q$3:Q$501,MATCH(ROW()-2,종합!$AD$3:$AD$501,0))&amp;"","")</f>
        <v/>
      </c>
      <c r="R307" s="21" t="str">
        <f aca="false">IFERROR(INDEX(종합!R$3:R$501,MATCH(ROW()-2,종합!$AD$3:$AD$501,0))&amp;"","")</f>
        <v/>
      </c>
      <c r="S307" s="21" t="str">
        <f aca="false">IFERROR(INDEX(종합!S$3:S$501,MATCH(ROW()-2,종합!$AD$3:$AD$501,0))&amp;"","")</f>
        <v/>
      </c>
      <c r="T307" s="21" t="str">
        <f aca="false">IFERROR(INDEX(종합!T$3:T$501,MATCH(ROW()-2,종합!$AD$3:$AD$501,0))&amp;"","")</f>
        <v/>
      </c>
      <c r="U307" s="21" t="str">
        <f aca="false">IFERROR(INDEX(종합!U$3:U$501,MATCH(ROW()-2,종합!$AD$3:$AD$501,0))&amp;"","")</f>
        <v/>
      </c>
      <c r="V307" s="21" t="str">
        <f aca="false">IFERROR(INDEX(종합!V$3:V$501,MATCH(ROW()-2,종합!$AD$3:$AD$501,0))&amp;"","")</f>
        <v/>
      </c>
      <c r="W307" s="21" t="str">
        <f aca="false">IFERROR(INDEX(종합!W$3:W$501,MATCH(ROW()-2,종합!$AD$3:$AD$501,0))&amp;"","")</f>
        <v/>
      </c>
      <c r="X307" s="21" t="str">
        <f aca="false">IFERROR(INDEX(종합!X$3:X$501,MATCH(ROW()-2,종합!$AD$3:$AD$501,0))&amp;"","")</f>
        <v/>
      </c>
      <c r="Y307" s="21" t="str">
        <f aca="false">IFERROR(INDEX(종합!Y$3:Y$501,MATCH(ROW()-2,종합!$AD$3:$AD$501,0))&amp;"","")</f>
        <v/>
      </c>
      <c r="Z307" s="21" t="str">
        <f aca="false">IFERROR(INDEX(종합!Z$3:Z$501,MATCH(ROW()-2,종합!$AD$3:$AD$501,0))&amp;"","")</f>
        <v/>
      </c>
      <c r="AA307" s="23" t="str">
        <f aca="false">IFERROR(INDEX(종합!AA$3:AA$501,MATCH(ROW()-2,종합!$AD$3:$AD$501,0))&amp;"","")</f>
        <v/>
      </c>
    </row>
    <row r="308" customFormat="false" ht="16.5" hidden="false" customHeight="true" outlineLevel="0" collapsed="false">
      <c r="A308" s="18" t="str">
        <f aca="false">IF(B308="","",ROW()-2)</f>
        <v/>
      </c>
      <c r="B308" s="18" t="str">
        <f aca="false">IFERROR(INDEX(종합!B$3:B$501,MATCH(ROW()-2,종합!$AD$3:$AD$501,0))&amp;"","")</f>
        <v/>
      </c>
      <c r="C308" s="18" t="str">
        <f aca="false">IFERROR(INDEX(종합!C$3:C$501,MATCH(ROW()-2,종합!$AD$3:$AD$501,0))&amp;"","")</f>
        <v/>
      </c>
      <c r="D308" s="18" t="str">
        <f aca="false">IFERROR(INDEX(종합!D$3:D$501,MATCH(ROW()-2,종합!$AD$3:$AD$501,0))&amp;"","")</f>
        <v/>
      </c>
      <c r="E308" s="18" t="str">
        <f aca="false">IFERROR(INDEX(종합!E$3:E$501,MATCH(ROW()-2,종합!$AD$3:$AD$501,0))&amp;"","")</f>
        <v/>
      </c>
      <c r="F308" s="18" t="str">
        <f aca="false">IFERROR(INDEX(종합!F$3:F$501,MATCH(ROW()-2,종합!$AD$3:$AD$501,0))&amp;"","")</f>
        <v/>
      </c>
      <c r="G308" s="18" t="str">
        <f aca="false">IFERROR(INDEX(종합!G$3:G$501,MATCH(ROW()-2,종합!$AD$3:$AD$501,0))&amp;"","")</f>
        <v/>
      </c>
      <c r="H308" s="21" t="str">
        <f aca="false">IFERROR(INDEX(종합!H$3:H$501,MATCH(ROW()-2,종합!$AD$3:$AD$501,0))&amp;"","")</f>
        <v/>
      </c>
      <c r="I308" s="21" t="str">
        <f aca="false">IFERROR(INDEX(종합!I$3:I$501,MATCH(ROW()-2,종합!$AD$3:$AD$501,0))&amp;"","")</f>
        <v/>
      </c>
      <c r="J308" s="21" t="str">
        <f aca="false">IFERROR(INDEX(종합!J$3:J$501,MATCH(ROW()-2,종합!$AD$3:$AD$501,0))&amp;"","")</f>
        <v/>
      </c>
      <c r="K308" s="21" t="str">
        <f aca="false">IFERROR(INDEX(종합!K$3:K$501,MATCH(ROW()-2,종합!$AD$3:$AD$501,0))&amp;"","")</f>
        <v/>
      </c>
      <c r="L308" s="21" t="str">
        <f aca="false">IFERROR(INDEX(종합!L$3:L$501,MATCH(ROW()-2,종합!$AD$3:$AD$501,0))&amp;"","")</f>
        <v/>
      </c>
      <c r="M308" s="21" t="str">
        <f aca="false">IFERROR(INDEX(종합!M$3:M$501,MATCH(ROW()-2,종합!$AD$3:$AD$501,0))&amp;"","")</f>
        <v/>
      </c>
      <c r="N308" s="25" t="str">
        <f aca="false">IFERROR(INDEX(종합!N$3:N$501,MATCH(ROW()-2,종합!$AD$3:$AD$501,0))&amp;"","")</f>
        <v/>
      </c>
      <c r="O308" s="21" t="str">
        <f aca="false">IFERROR(INDEX(종합!O$3:O$501,MATCH(ROW()-2,종합!$AD$3:$AD$501,0))&amp;"","")</f>
        <v/>
      </c>
      <c r="P308" s="21" t="str">
        <f aca="false">IFERROR(INDEX(종합!P$3:P$501,MATCH(ROW()-2,종합!$AD$3:$AD$501,0))&amp;"","")</f>
        <v/>
      </c>
      <c r="Q308" s="21" t="str">
        <f aca="false">IFERROR(INDEX(종합!Q$3:Q$501,MATCH(ROW()-2,종합!$AD$3:$AD$501,0))&amp;"","")</f>
        <v/>
      </c>
      <c r="R308" s="21" t="str">
        <f aca="false">IFERROR(INDEX(종합!R$3:R$501,MATCH(ROW()-2,종합!$AD$3:$AD$501,0))&amp;"","")</f>
        <v/>
      </c>
      <c r="S308" s="21" t="str">
        <f aca="false">IFERROR(INDEX(종합!S$3:S$501,MATCH(ROW()-2,종합!$AD$3:$AD$501,0))&amp;"","")</f>
        <v/>
      </c>
      <c r="T308" s="21" t="str">
        <f aca="false">IFERROR(INDEX(종합!T$3:T$501,MATCH(ROW()-2,종합!$AD$3:$AD$501,0))&amp;"","")</f>
        <v/>
      </c>
      <c r="U308" s="21" t="str">
        <f aca="false">IFERROR(INDEX(종합!U$3:U$501,MATCH(ROW()-2,종합!$AD$3:$AD$501,0))&amp;"","")</f>
        <v/>
      </c>
      <c r="V308" s="21" t="str">
        <f aca="false">IFERROR(INDEX(종합!V$3:V$501,MATCH(ROW()-2,종합!$AD$3:$AD$501,0))&amp;"","")</f>
        <v/>
      </c>
      <c r="W308" s="21" t="str">
        <f aca="false">IFERROR(INDEX(종합!W$3:W$501,MATCH(ROW()-2,종합!$AD$3:$AD$501,0))&amp;"","")</f>
        <v/>
      </c>
      <c r="X308" s="21" t="str">
        <f aca="false">IFERROR(INDEX(종합!X$3:X$501,MATCH(ROW()-2,종합!$AD$3:$AD$501,0))&amp;"","")</f>
        <v/>
      </c>
      <c r="Y308" s="21" t="str">
        <f aca="false">IFERROR(INDEX(종합!Y$3:Y$501,MATCH(ROW()-2,종합!$AD$3:$AD$501,0))&amp;"","")</f>
        <v/>
      </c>
      <c r="Z308" s="21" t="str">
        <f aca="false">IFERROR(INDEX(종합!Z$3:Z$501,MATCH(ROW()-2,종합!$AD$3:$AD$501,0))&amp;"","")</f>
        <v/>
      </c>
      <c r="AA308" s="23" t="str">
        <f aca="false">IFERROR(INDEX(종합!AA$3:AA$501,MATCH(ROW()-2,종합!$AD$3:$AD$501,0))&amp;"","")</f>
        <v/>
      </c>
    </row>
    <row r="309" customFormat="false" ht="16.5" hidden="false" customHeight="true" outlineLevel="0" collapsed="false">
      <c r="A309" s="18" t="str">
        <f aca="false">IF(B309="","",ROW()-2)</f>
        <v/>
      </c>
      <c r="B309" s="18" t="str">
        <f aca="false">IFERROR(INDEX(종합!B$3:B$501,MATCH(ROW()-2,종합!$AD$3:$AD$501,0))&amp;"","")</f>
        <v/>
      </c>
      <c r="C309" s="18" t="str">
        <f aca="false">IFERROR(INDEX(종합!C$3:C$501,MATCH(ROW()-2,종합!$AD$3:$AD$501,0))&amp;"","")</f>
        <v/>
      </c>
      <c r="D309" s="18" t="str">
        <f aca="false">IFERROR(INDEX(종합!D$3:D$501,MATCH(ROW()-2,종합!$AD$3:$AD$501,0))&amp;"","")</f>
        <v/>
      </c>
      <c r="E309" s="18" t="str">
        <f aca="false">IFERROR(INDEX(종합!E$3:E$501,MATCH(ROW()-2,종합!$AD$3:$AD$501,0))&amp;"","")</f>
        <v/>
      </c>
      <c r="F309" s="18" t="str">
        <f aca="false">IFERROR(INDEX(종합!F$3:F$501,MATCH(ROW()-2,종합!$AD$3:$AD$501,0))&amp;"","")</f>
        <v/>
      </c>
      <c r="G309" s="18" t="str">
        <f aca="false">IFERROR(INDEX(종합!G$3:G$501,MATCH(ROW()-2,종합!$AD$3:$AD$501,0))&amp;"","")</f>
        <v/>
      </c>
      <c r="H309" s="21" t="str">
        <f aca="false">IFERROR(INDEX(종합!H$3:H$501,MATCH(ROW()-2,종합!$AD$3:$AD$501,0))&amp;"","")</f>
        <v/>
      </c>
      <c r="I309" s="21" t="str">
        <f aca="false">IFERROR(INDEX(종합!I$3:I$501,MATCH(ROW()-2,종합!$AD$3:$AD$501,0))&amp;"","")</f>
        <v/>
      </c>
      <c r="J309" s="21" t="str">
        <f aca="false">IFERROR(INDEX(종합!J$3:J$501,MATCH(ROW()-2,종합!$AD$3:$AD$501,0))&amp;"","")</f>
        <v/>
      </c>
      <c r="K309" s="21" t="str">
        <f aca="false">IFERROR(INDEX(종합!K$3:K$501,MATCH(ROW()-2,종합!$AD$3:$AD$501,0))&amp;"","")</f>
        <v/>
      </c>
      <c r="L309" s="21" t="str">
        <f aca="false">IFERROR(INDEX(종합!L$3:L$501,MATCH(ROW()-2,종합!$AD$3:$AD$501,0))&amp;"","")</f>
        <v/>
      </c>
      <c r="M309" s="21" t="str">
        <f aca="false">IFERROR(INDEX(종합!M$3:M$501,MATCH(ROW()-2,종합!$AD$3:$AD$501,0))&amp;"","")</f>
        <v/>
      </c>
      <c r="N309" s="25" t="str">
        <f aca="false">IFERROR(INDEX(종합!N$3:N$501,MATCH(ROW()-2,종합!$AD$3:$AD$501,0))&amp;"","")</f>
        <v/>
      </c>
      <c r="O309" s="21" t="str">
        <f aca="false">IFERROR(INDEX(종합!O$3:O$501,MATCH(ROW()-2,종합!$AD$3:$AD$501,0))&amp;"","")</f>
        <v/>
      </c>
      <c r="P309" s="21" t="str">
        <f aca="false">IFERROR(INDEX(종합!P$3:P$501,MATCH(ROW()-2,종합!$AD$3:$AD$501,0))&amp;"","")</f>
        <v/>
      </c>
      <c r="Q309" s="21" t="str">
        <f aca="false">IFERROR(INDEX(종합!Q$3:Q$501,MATCH(ROW()-2,종합!$AD$3:$AD$501,0))&amp;"","")</f>
        <v/>
      </c>
      <c r="R309" s="21" t="str">
        <f aca="false">IFERROR(INDEX(종합!R$3:R$501,MATCH(ROW()-2,종합!$AD$3:$AD$501,0))&amp;"","")</f>
        <v/>
      </c>
      <c r="S309" s="21" t="str">
        <f aca="false">IFERROR(INDEX(종합!S$3:S$501,MATCH(ROW()-2,종합!$AD$3:$AD$501,0))&amp;"","")</f>
        <v/>
      </c>
      <c r="T309" s="21" t="str">
        <f aca="false">IFERROR(INDEX(종합!T$3:T$501,MATCH(ROW()-2,종합!$AD$3:$AD$501,0))&amp;"","")</f>
        <v/>
      </c>
      <c r="U309" s="21" t="str">
        <f aca="false">IFERROR(INDEX(종합!U$3:U$501,MATCH(ROW()-2,종합!$AD$3:$AD$501,0))&amp;"","")</f>
        <v/>
      </c>
      <c r="V309" s="21" t="str">
        <f aca="false">IFERROR(INDEX(종합!V$3:V$501,MATCH(ROW()-2,종합!$AD$3:$AD$501,0))&amp;"","")</f>
        <v/>
      </c>
      <c r="W309" s="21" t="str">
        <f aca="false">IFERROR(INDEX(종합!W$3:W$501,MATCH(ROW()-2,종합!$AD$3:$AD$501,0))&amp;"","")</f>
        <v/>
      </c>
      <c r="X309" s="21" t="str">
        <f aca="false">IFERROR(INDEX(종합!X$3:X$501,MATCH(ROW()-2,종합!$AD$3:$AD$501,0))&amp;"","")</f>
        <v/>
      </c>
      <c r="Y309" s="21" t="str">
        <f aca="false">IFERROR(INDEX(종합!Y$3:Y$501,MATCH(ROW()-2,종합!$AD$3:$AD$501,0))&amp;"","")</f>
        <v/>
      </c>
      <c r="Z309" s="21" t="str">
        <f aca="false">IFERROR(INDEX(종합!Z$3:Z$501,MATCH(ROW()-2,종합!$AD$3:$AD$501,0))&amp;"","")</f>
        <v/>
      </c>
      <c r="AA309" s="23" t="str">
        <f aca="false">IFERROR(INDEX(종합!AA$3:AA$501,MATCH(ROW()-2,종합!$AD$3:$AD$501,0))&amp;"","")</f>
        <v/>
      </c>
    </row>
    <row r="310" customFormat="false" ht="16.5" hidden="false" customHeight="true" outlineLevel="0" collapsed="false">
      <c r="A310" s="18" t="str">
        <f aca="false">IF(B310="","",ROW()-2)</f>
        <v/>
      </c>
      <c r="B310" s="18" t="str">
        <f aca="false">IFERROR(INDEX(종합!B$3:B$501,MATCH(ROW()-2,종합!$AD$3:$AD$501,0))&amp;"","")</f>
        <v/>
      </c>
      <c r="C310" s="18" t="str">
        <f aca="false">IFERROR(INDEX(종합!C$3:C$501,MATCH(ROW()-2,종합!$AD$3:$AD$501,0))&amp;"","")</f>
        <v/>
      </c>
      <c r="D310" s="18" t="str">
        <f aca="false">IFERROR(INDEX(종합!D$3:D$501,MATCH(ROW()-2,종합!$AD$3:$AD$501,0))&amp;"","")</f>
        <v/>
      </c>
      <c r="E310" s="18" t="str">
        <f aca="false">IFERROR(INDEX(종합!E$3:E$501,MATCH(ROW()-2,종합!$AD$3:$AD$501,0))&amp;"","")</f>
        <v/>
      </c>
      <c r="F310" s="18" t="str">
        <f aca="false">IFERROR(INDEX(종합!F$3:F$501,MATCH(ROW()-2,종합!$AD$3:$AD$501,0))&amp;"","")</f>
        <v/>
      </c>
      <c r="G310" s="18" t="str">
        <f aca="false">IFERROR(INDEX(종합!G$3:G$501,MATCH(ROW()-2,종합!$AD$3:$AD$501,0))&amp;"","")</f>
        <v/>
      </c>
      <c r="H310" s="21" t="str">
        <f aca="false">IFERROR(INDEX(종합!H$3:H$501,MATCH(ROW()-2,종합!$AD$3:$AD$501,0))&amp;"","")</f>
        <v/>
      </c>
      <c r="I310" s="21" t="str">
        <f aca="false">IFERROR(INDEX(종합!I$3:I$501,MATCH(ROW()-2,종합!$AD$3:$AD$501,0))&amp;"","")</f>
        <v/>
      </c>
      <c r="J310" s="21" t="str">
        <f aca="false">IFERROR(INDEX(종합!J$3:J$501,MATCH(ROW()-2,종합!$AD$3:$AD$501,0))&amp;"","")</f>
        <v/>
      </c>
      <c r="K310" s="21" t="str">
        <f aca="false">IFERROR(INDEX(종합!K$3:K$501,MATCH(ROW()-2,종합!$AD$3:$AD$501,0))&amp;"","")</f>
        <v/>
      </c>
      <c r="L310" s="21" t="str">
        <f aca="false">IFERROR(INDEX(종합!L$3:L$501,MATCH(ROW()-2,종합!$AD$3:$AD$501,0))&amp;"","")</f>
        <v/>
      </c>
      <c r="M310" s="21" t="str">
        <f aca="false">IFERROR(INDEX(종합!M$3:M$501,MATCH(ROW()-2,종합!$AD$3:$AD$501,0))&amp;"","")</f>
        <v/>
      </c>
      <c r="N310" s="25" t="str">
        <f aca="false">IFERROR(INDEX(종합!N$3:N$501,MATCH(ROW()-2,종합!$AD$3:$AD$501,0))&amp;"","")</f>
        <v/>
      </c>
      <c r="O310" s="21" t="str">
        <f aca="false">IFERROR(INDEX(종합!O$3:O$501,MATCH(ROW()-2,종합!$AD$3:$AD$501,0))&amp;"","")</f>
        <v/>
      </c>
      <c r="P310" s="21" t="str">
        <f aca="false">IFERROR(INDEX(종합!P$3:P$501,MATCH(ROW()-2,종합!$AD$3:$AD$501,0))&amp;"","")</f>
        <v/>
      </c>
      <c r="Q310" s="21" t="str">
        <f aca="false">IFERROR(INDEX(종합!Q$3:Q$501,MATCH(ROW()-2,종합!$AD$3:$AD$501,0))&amp;"","")</f>
        <v/>
      </c>
      <c r="R310" s="21" t="str">
        <f aca="false">IFERROR(INDEX(종합!R$3:R$501,MATCH(ROW()-2,종합!$AD$3:$AD$501,0))&amp;"","")</f>
        <v/>
      </c>
      <c r="S310" s="21" t="str">
        <f aca="false">IFERROR(INDEX(종합!S$3:S$501,MATCH(ROW()-2,종합!$AD$3:$AD$501,0))&amp;"","")</f>
        <v/>
      </c>
      <c r="T310" s="21" t="str">
        <f aca="false">IFERROR(INDEX(종합!T$3:T$501,MATCH(ROW()-2,종합!$AD$3:$AD$501,0))&amp;"","")</f>
        <v/>
      </c>
      <c r="U310" s="21" t="str">
        <f aca="false">IFERROR(INDEX(종합!U$3:U$501,MATCH(ROW()-2,종합!$AD$3:$AD$501,0))&amp;"","")</f>
        <v/>
      </c>
      <c r="V310" s="21" t="str">
        <f aca="false">IFERROR(INDEX(종합!V$3:V$501,MATCH(ROW()-2,종합!$AD$3:$AD$501,0))&amp;"","")</f>
        <v/>
      </c>
      <c r="W310" s="21" t="str">
        <f aca="false">IFERROR(INDEX(종합!W$3:W$501,MATCH(ROW()-2,종합!$AD$3:$AD$501,0))&amp;"","")</f>
        <v/>
      </c>
      <c r="X310" s="21" t="str">
        <f aca="false">IFERROR(INDEX(종합!X$3:X$501,MATCH(ROW()-2,종합!$AD$3:$AD$501,0))&amp;"","")</f>
        <v/>
      </c>
      <c r="Y310" s="21" t="str">
        <f aca="false">IFERROR(INDEX(종합!Y$3:Y$501,MATCH(ROW()-2,종합!$AD$3:$AD$501,0))&amp;"","")</f>
        <v/>
      </c>
      <c r="Z310" s="21" t="str">
        <f aca="false">IFERROR(INDEX(종합!Z$3:Z$501,MATCH(ROW()-2,종합!$AD$3:$AD$501,0))&amp;"","")</f>
        <v/>
      </c>
      <c r="AA310" s="23" t="str">
        <f aca="false">IFERROR(INDEX(종합!AA$3:AA$501,MATCH(ROW()-2,종합!$AD$3:$AD$501,0))&amp;"","")</f>
        <v/>
      </c>
    </row>
    <row r="311" customFormat="false" ht="16.5" hidden="false" customHeight="true" outlineLevel="0" collapsed="false">
      <c r="A311" s="18" t="str">
        <f aca="false">IF(B311="","",ROW()-2)</f>
        <v/>
      </c>
      <c r="B311" s="18" t="str">
        <f aca="false">IFERROR(INDEX(종합!B$3:B$501,MATCH(ROW()-2,종합!$AD$3:$AD$501,0))&amp;"","")</f>
        <v/>
      </c>
      <c r="C311" s="18" t="str">
        <f aca="false">IFERROR(INDEX(종합!C$3:C$501,MATCH(ROW()-2,종합!$AD$3:$AD$501,0))&amp;"","")</f>
        <v/>
      </c>
      <c r="D311" s="18" t="str">
        <f aca="false">IFERROR(INDEX(종합!D$3:D$501,MATCH(ROW()-2,종합!$AD$3:$AD$501,0))&amp;"","")</f>
        <v/>
      </c>
      <c r="E311" s="18" t="str">
        <f aca="false">IFERROR(INDEX(종합!E$3:E$501,MATCH(ROW()-2,종합!$AD$3:$AD$501,0))&amp;"","")</f>
        <v/>
      </c>
      <c r="F311" s="18" t="str">
        <f aca="false">IFERROR(INDEX(종합!F$3:F$501,MATCH(ROW()-2,종합!$AD$3:$AD$501,0))&amp;"","")</f>
        <v/>
      </c>
      <c r="G311" s="18" t="str">
        <f aca="false">IFERROR(INDEX(종합!G$3:G$501,MATCH(ROW()-2,종합!$AD$3:$AD$501,0))&amp;"","")</f>
        <v/>
      </c>
      <c r="H311" s="21" t="str">
        <f aca="false">IFERROR(INDEX(종합!H$3:H$501,MATCH(ROW()-2,종합!$AD$3:$AD$501,0))&amp;"","")</f>
        <v/>
      </c>
      <c r="I311" s="21" t="str">
        <f aca="false">IFERROR(INDEX(종합!I$3:I$501,MATCH(ROW()-2,종합!$AD$3:$AD$501,0))&amp;"","")</f>
        <v/>
      </c>
      <c r="J311" s="21" t="str">
        <f aca="false">IFERROR(INDEX(종합!J$3:J$501,MATCH(ROW()-2,종합!$AD$3:$AD$501,0))&amp;"","")</f>
        <v/>
      </c>
      <c r="K311" s="21" t="str">
        <f aca="false">IFERROR(INDEX(종합!K$3:K$501,MATCH(ROW()-2,종합!$AD$3:$AD$501,0))&amp;"","")</f>
        <v/>
      </c>
      <c r="L311" s="21" t="str">
        <f aca="false">IFERROR(INDEX(종합!L$3:L$501,MATCH(ROW()-2,종합!$AD$3:$AD$501,0))&amp;"","")</f>
        <v/>
      </c>
      <c r="M311" s="21" t="str">
        <f aca="false">IFERROR(INDEX(종합!M$3:M$501,MATCH(ROW()-2,종합!$AD$3:$AD$501,0))&amp;"","")</f>
        <v/>
      </c>
      <c r="N311" s="25" t="str">
        <f aca="false">IFERROR(INDEX(종합!N$3:N$501,MATCH(ROW()-2,종합!$AD$3:$AD$501,0))&amp;"","")</f>
        <v/>
      </c>
      <c r="O311" s="21" t="str">
        <f aca="false">IFERROR(INDEX(종합!O$3:O$501,MATCH(ROW()-2,종합!$AD$3:$AD$501,0))&amp;"","")</f>
        <v/>
      </c>
      <c r="P311" s="21" t="str">
        <f aca="false">IFERROR(INDEX(종합!P$3:P$501,MATCH(ROW()-2,종합!$AD$3:$AD$501,0))&amp;"","")</f>
        <v/>
      </c>
      <c r="Q311" s="21" t="str">
        <f aca="false">IFERROR(INDEX(종합!Q$3:Q$501,MATCH(ROW()-2,종합!$AD$3:$AD$501,0))&amp;"","")</f>
        <v/>
      </c>
      <c r="R311" s="21" t="str">
        <f aca="false">IFERROR(INDEX(종합!R$3:R$501,MATCH(ROW()-2,종합!$AD$3:$AD$501,0))&amp;"","")</f>
        <v/>
      </c>
      <c r="S311" s="21" t="str">
        <f aca="false">IFERROR(INDEX(종합!S$3:S$501,MATCH(ROW()-2,종합!$AD$3:$AD$501,0))&amp;"","")</f>
        <v/>
      </c>
      <c r="T311" s="21" t="str">
        <f aca="false">IFERROR(INDEX(종합!T$3:T$501,MATCH(ROW()-2,종합!$AD$3:$AD$501,0))&amp;"","")</f>
        <v/>
      </c>
      <c r="U311" s="21" t="str">
        <f aca="false">IFERROR(INDEX(종합!U$3:U$501,MATCH(ROW()-2,종합!$AD$3:$AD$501,0))&amp;"","")</f>
        <v/>
      </c>
      <c r="V311" s="21" t="str">
        <f aca="false">IFERROR(INDEX(종합!V$3:V$501,MATCH(ROW()-2,종합!$AD$3:$AD$501,0))&amp;"","")</f>
        <v/>
      </c>
      <c r="W311" s="21" t="str">
        <f aca="false">IFERROR(INDEX(종합!W$3:W$501,MATCH(ROW()-2,종합!$AD$3:$AD$501,0))&amp;"","")</f>
        <v/>
      </c>
      <c r="X311" s="21" t="str">
        <f aca="false">IFERROR(INDEX(종합!X$3:X$501,MATCH(ROW()-2,종합!$AD$3:$AD$501,0))&amp;"","")</f>
        <v/>
      </c>
      <c r="Y311" s="21" t="str">
        <f aca="false">IFERROR(INDEX(종합!Y$3:Y$501,MATCH(ROW()-2,종합!$AD$3:$AD$501,0))&amp;"","")</f>
        <v/>
      </c>
      <c r="Z311" s="21" t="str">
        <f aca="false">IFERROR(INDEX(종합!Z$3:Z$501,MATCH(ROW()-2,종합!$AD$3:$AD$501,0))&amp;"","")</f>
        <v/>
      </c>
      <c r="AA311" s="23" t="str">
        <f aca="false">IFERROR(INDEX(종합!AA$3:AA$501,MATCH(ROW()-2,종합!$AD$3:$AD$501,0))&amp;"","")</f>
        <v/>
      </c>
    </row>
    <row r="312" customFormat="false" ht="16.5" hidden="false" customHeight="true" outlineLevel="0" collapsed="false">
      <c r="A312" s="18" t="str">
        <f aca="false">IF(B312="","",ROW()-2)</f>
        <v/>
      </c>
      <c r="B312" s="18" t="str">
        <f aca="false">IFERROR(INDEX(종합!B$3:B$501,MATCH(ROW()-2,종합!$AD$3:$AD$501,0))&amp;"","")</f>
        <v/>
      </c>
      <c r="C312" s="18" t="str">
        <f aca="false">IFERROR(INDEX(종합!C$3:C$501,MATCH(ROW()-2,종합!$AD$3:$AD$501,0))&amp;"","")</f>
        <v/>
      </c>
      <c r="D312" s="18" t="str">
        <f aca="false">IFERROR(INDEX(종합!D$3:D$501,MATCH(ROW()-2,종합!$AD$3:$AD$501,0))&amp;"","")</f>
        <v/>
      </c>
      <c r="E312" s="18" t="str">
        <f aca="false">IFERROR(INDEX(종합!E$3:E$501,MATCH(ROW()-2,종합!$AD$3:$AD$501,0))&amp;"","")</f>
        <v/>
      </c>
      <c r="F312" s="18" t="str">
        <f aca="false">IFERROR(INDEX(종합!F$3:F$501,MATCH(ROW()-2,종합!$AD$3:$AD$501,0))&amp;"","")</f>
        <v/>
      </c>
      <c r="G312" s="18" t="str">
        <f aca="false">IFERROR(INDEX(종합!G$3:G$501,MATCH(ROW()-2,종합!$AD$3:$AD$501,0))&amp;"","")</f>
        <v/>
      </c>
      <c r="H312" s="21" t="str">
        <f aca="false">IFERROR(INDEX(종합!H$3:H$501,MATCH(ROW()-2,종합!$AD$3:$AD$501,0))&amp;"","")</f>
        <v/>
      </c>
      <c r="I312" s="21" t="str">
        <f aca="false">IFERROR(INDEX(종합!I$3:I$501,MATCH(ROW()-2,종합!$AD$3:$AD$501,0))&amp;"","")</f>
        <v/>
      </c>
      <c r="J312" s="21" t="str">
        <f aca="false">IFERROR(INDEX(종합!J$3:J$501,MATCH(ROW()-2,종합!$AD$3:$AD$501,0))&amp;"","")</f>
        <v/>
      </c>
      <c r="K312" s="21" t="str">
        <f aca="false">IFERROR(INDEX(종합!K$3:K$501,MATCH(ROW()-2,종합!$AD$3:$AD$501,0))&amp;"","")</f>
        <v/>
      </c>
      <c r="L312" s="21" t="str">
        <f aca="false">IFERROR(INDEX(종합!L$3:L$501,MATCH(ROW()-2,종합!$AD$3:$AD$501,0))&amp;"","")</f>
        <v/>
      </c>
      <c r="M312" s="21" t="str">
        <f aca="false">IFERROR(INDEX(종합!M$3:M$501,MATCH(ROW()-2,종합!$AD$3:$AD$501,0))&amp;"","")</f>
        <v/>
      </c>
      <c r="N312" s="25" t="str">
        <f aca="false">IFERROR(INDEX(종합!N$3:N$501,MATCH(ROW()-2,종합!$AD$3:$AD$501,0))&amp;"","")</f>
        <v/>
      </c>
      <c r="O312" s="21" t="str">
        <f aca="false">IFERROR(INDEX(종합!O$3:O$501,MATCH(ROW()-2,종합!$AD$3:$AD$501,0))&amp;"","")</f>
        <v/>
      </c>
      <c r="P312" s="21" t="str">
        <f aca="false">IFERROR(INDEX(종합!P$3:P$501,MATCH(ROW()-2,종합!$AD$3:$AD$501,0))&amp;"","")</f>
        <v/>
      </c>
      <c r="Q312" s="21" t="str">
        <f aca="false">IFERROR(INDEX(종합!Q$3:Q$501,MATCH(ROW()-2,종합!$AD$3:$AD$501,0))&amp;"","")</f>
        <v/>
      </c>
      <c r="R312" s="21" t="str">
        <f aca="false">IFERROR(INDEX(종합!R$3:R$501,MATCH(ROW()-2,종합!$AD$3:$AD$501,0))&amp;"","")</f>
        <v/>
      </c>
      <c r="S312" s="21" t="str">
        <f aca="false">IFERROR(INDEX(종합!S$3:S$501,MATCH(ROW()-2,종합!$AD$3:$AD$501,0))&amp;"","")</f>
        <v/>
      </c>
      <c r="T312" s="21" t="str">
        <f aca="false">IFERROR(INDEX(종합!T$3:T$501,MATCH(ROW()-2,종합!$AD$3:$AD$501,0))&amp;"","")</f>
        <v/>
      </c>
      <c r="U312" s="21" t="str">
        <f aca="false">IFERROR(INDEX(종합!U$3:U$501,MATCH(ROW()-2,종합!$AD$3:$AD$501,0))&amp;"","")</f>
        <v/>
      </c>
      <c r="V312" s="21" t="str">
        <f aca="false">IFERROR(INDEX(종합!V$3:V$501,MATCH(ROW()-2,종합!$AD$3:$AD$501,0))&amp;"","")</f>
        <v/>
      </c>
      <c r="W312" s="21" t="str">
        <f aca="false">IFERROR(INDEX(종합!W$3:W$501,MATCH(ROW()-2,종합!$AD$3:$AD$501,0))&amp;"","")</f>
        <v/>
      </c>
      <c r="X312" s="21" t="str">
        <f aca="false">IFERROR(INDEX(종합!X$3:X$501,MATCH(ROW()-2,종합!$AD$3:$AD$501,0))&amp;"","")</f>
        <v/>
      </c>
      <c r="Y312" s="21" t="str">
        <f aca="false">IFERROR(INDEX(종합!Y$3:Y$501,MATCH(ROW()-2,종합!$AD$3:$AD$501,0))&amp;"","")</f>
        <v/>
      </c>
      <c r="Z312" s="21" t="str">
        <f aca="false">IFERROR(INDEX(종합!Z$3:Z$501,MATCH(ROW()-2,종합!$AD$3:$AD$501,0))&amp;"","")</f>
        <v/>
      </c>
      <c r="AA312" s="23" t="str">
        <f aca="false">IFERROR(INDEX(종합!AA$3:AA$501,MATCH(ROW()-2,종합!$AD$3:$AD$501,0))&amp;"","")</f>
        <v/>
      </c>
    </row>
    <row r="313" customFormat="false" ht="16.5" hidden="false" customHeight="true" outlineLevel="0" collapsed="false">
      <c r="A313" s="18" t="str">
        <f aca="false">IF(B313="","",ROW()-2)</f>
        <v/>
      </c>
      <c r="B313" s="18" t="str">
        <f aca="false">IFERROR(INDEX(종합!B$3:B$501,MATCH(ROW()-2,종합!$AD$3:$AD$501,0))&amp;"","")</f>
        <v/>
      </c>
      <c r="C313" s="18" t="str">
        <f aca="false">IFERROR(INDEX(종합!C$3:C$501,MATCH(ROW()-2,종합!$AD$3:$AD$501,0))&amp;"","")</f>
        <v/>
      </c>
      <c r="D313" s="18" t="str">
        <f aca="false">IFERROR(INDEX(종합!D$3:D$501,MATCH(ROW()-2,종합!$AD$3:$AD$501,0))&amp;"","")</f>
        <v/>
      </c>
      <c r="E313" s="18" t="str">
        <f aca="false">IFERROR(INDEX(종합!E$3:E$501,MATCH(ROW()-2,종합!$AD$3:$AD$501,0))&amp;"","")</f>
        <v/>
      </c>
      <c r="F313" s="18" t="str">
        <f aca="false">IFERROR(INDEX(종합!F$3:F$501,MATCH(ROW()-2,종합!$AD$3:$AD$501,0))&amp;"","")</f>
        <v/>
      </c>
      <c r="G313" s="18" t="str">
        <f aca="false">IFERROR(INDEX(종합!G$3:G$501,MATCH(ROW()-2,종합!$AD$3:$AD$501,0))&amp;"","")</f>
        <v/>
      </c>
      <c r="H313" s="21" t="str">
        <f aca="false">IFERROR(INDEX(종합!H$3:H$501,MATCH(ROW()-2,종합!$AD$3:$AD$501,0))&amp;"","")</f>
        <v/>
      </c>
      <c r="I313" s="21" t="str">
        <f aca="false">IFERROR(INDEX(종합!I$3:I$501,MATCH(ROW()-2,종합!$AD$3:$AD$501,0))&amp;"","")</f>
        <v/>
      </c>
      <c r="J313" s="21" t="str">
        <f aca="false">IFERROR(INDEX(종합!J$3:J$501,MATCH(ROW()-2,종합!$AD$3:$AD$501,0))&amp;"","")</f>
        <v/>
      </c>
      <c r="K313" s="21" t="str">
        <f aca="false">IFERROR(INDEX(종합!K$3:K$501,MATCH(ROW()-2,종합!$AD$3:$AD$501,0))&amp;"","")</f>
        <v/>
      </c>
      <c r="L313" s="21" t="str">
        <f aca="false">IFERROR(INDEX(종합!L$3:L$501,MATCH(ROW()-2,종합!$AD$3:$AD$501,0))&amp;"","")</f>
        <v/>
      </c>
      <c r="M313" s="21" t="str">
        <f aca="false">IFERROR(INDEX(종합!M$3:M$501,MATCH(ROW()-2,종합!$AD$3:$AD$501,0))&amp;"","")</f>
        <v/>
      </c>
      <c r="N313" s="25" t="str">
        <f aca="false">IFERROR(INDEX(종합!N$3:N$501,MATCH(ROW()-2,종합!$AD$3:$AD$501,0))&amp;"","")</f>
        <v/>
      </c>
      <c r="O313" s="21" t="str">
        <f aca="false">IFERROR(INDEX(종합!O$3:O$501,MATCH(ROW()-2,종합!$AD$3:$AD$501,0))&amp;"","")</f>
        <v/>
      </c>
      <c r="P313" s="21" t="str">
        <f aca="false">IFERROR(INDEX(종합!P$3:P$501,MATCH(ROW()-2,종합!$AD$3:$AD$501,0))&amp;"","")</f>
        <v/>
      </c>
      <c r="Q313" s="21" t="str">
        <f aca="false">IFERROR(INDEX(종합!Q$3:Q$501,MATCH(ROW()-2,종합!$AD$3:$AD$501,0))&amp;"","")</f>
        <v/>
      </c>
      <c r="R313" s="21" t="str">
        <f aca="false">IFERROR(INDEX(종합!R$3:R$501,MATCH(ROW()-2,종합!$AD$3:$AD$501,0))&amp;"","")</f>
        <v/>
      </c>
      <c r="S313" s="21" t="str">
        <f aca="false">IFERROR(INDEX(종합!S$3:S$501,MATCH(ROW()-2,종합!$AD$3:$AD$501,0))&amp;"","")</f>
        <v/>
      </c>
      <c r="T313" s="21" t="str">
        <f aca="false">IFERROR(INDEX(종합!T$3:T$501,MATCH(ROW()-2,종합!$AD$3:$AD$501,0))&amp;"","")</f>
        <v/>
      </c>
      <c r="U313" s="21" t="str">
        <f aca="false">IFERROR(INDEX(종합!U$3:U$501,MATCH(ROW()-2,종합!$AD$3:$AD$501,0))&amp;"","")</f>
        <v/>
      </c>
      <c r="V313" s="21" t="str">
        <f aca="false">IFERROR(INDEX(종합!V$3:V$501,MATCH(ROW()-2,종합!$AD$3:$AD$501,0))&amp;"","")</f>
        <v/>
      </c>
      <c r="W313" s="21" t="str">
        <f aca="false">IFERROR(INDEX(종합!W$3:W$501,MATCH(ROW()-2,종합!$AD$3:$AD$501,0))&amp;"","")</f>
        <v/>
      </c>
      <c r="X313" s="21" t="str">
        <f aca="false">IFERROR(INDEX(종합!X$3:X$501,MATCH(ROW()-2,종합!$AD$3:$AD$501,0))&amp;"","")</f>
        <v/>
      </c>
      <c r="Y313" s="21" t="str">
        <f aca="false">IFERROR(INDEX(종합!Y$3:Y$501,MATCH(ROW()-2,종합!$AD$3:$AD$501,0))&amp;"","")</f>
        <v/>
      </c>
      <c r="Z313" s="21" t="str">
        <f aca="false">IFERROR(INDEX(종합!Z$3:Z$501,MATCH(ROW()-2,종합!$AD$3:$AD$501,0))&amp;"","")</f>
        <v/>
      </c>
      <c r="AA313" s="23" t="str">
        <f aca="false">IFERROR(INDEX(종합!AA$3:AA$501,MATCH(ROW()-2,종합!$AD$3:$AD$501,0))&amp;"","")</f>
        <v/>
      </c>
    </row>
    <row r="314" customFormat="false" ht="16.5" hidden="false" customHeight="true" outlineLevel="0" collapsed="false">
      <c r="A314" s="18" t="str">
        <f aca="false">IF(B314="","",ROW()-2)</f>
        <v/>
      </c>
      <c r="B314" s="18" t="str">
        <f aca="false">IFERROR(INDEX(종합!B$3:B$501,MATCH(ROW()-2,종합!$AD$3:$AD$501,0))&amp;"","")</f>
        <v/>
      </c>
      <c r="C314" s="18" t="str">
        <f aca="false">IFERROR(INDEX(종합!C$3:C$501,MATCH(ROW()-2,종합!$AD$3:$AD$501,0))&amp;"","")</f>
        <v/>
      </c>
      <c r="D314" s="18" t="str">
        <f aca="false">IFERROR(INDEX(종합!D$3:D$501,MATCH(ROW()-2,종합!$AD$3:$AD$501,0))&amp;"","")</f>
        <v/>
      </c>
      <c r="E314" s="18" t="str">
        <f aca="false">IFERROR(INDEX(종합!E$3:E$501,MATCH(ROW()-2,종합!$AD$3:$AD$501,0))&amp;"","")</f>
        <v/>
      </c>
      <c r="F314" s="18" t="str">
        <f aca="false">IFERROR(INDEX(종합!F$3:F$501,MATCH(ROW()-2,종합!$AD$3:$AD$501,0))&amp;"","")</f>
        <v/>
      </c>
      <c r="G314" s="18" t="str">
        <f aca="false">IFERROR(INDEX(종합!G$3:G$501,MATCH(ROW()-2,종합!$AD$3:$AD$501,0))&amp;"","")</f>
        <v/>
      </c>
      <c r="H314" s="21" t="str">
        <f aca="false">IFERROR(INDEX(종합!H$3:H$501,MATCH(ROW()-2,종합!$AD$3:$AD$501,0))&amp;"","")</f>
        <v/>
      </c>
      <c r="I314" s="21" t="str">
        <f aca="false">IFERROR(INDEX(종합!I$3:I$501,MATCH(ROW()-2,종합!$AD$3:$AD$501,0))&amp;"","")</f>
        <v/>
      </c>
      <c r="J314" s="21" t="str">
        <f aca="false">IFERROR(INDEX(종합!J$3:J$501,MATCH(ROW()-2,종합!$AD$3:$AD$501,0))&amp;"","")</f>
        <v/>
      </c>
      <c r="K314" s="21" t="str">
        <f aca="false">IFERROR(INDEX(종합!K$3:K$501,MATCH(ROW()-2,종합!$AD$3:$AD$501,0))&amp;"","")</f>
        <v/>
      </c>
      <c r="L314" s="21" t="str">
        <f aca="false">IFERROR(INDEX(종합!L$3:L$501,MATCH(ROW()-2,종합!$AD$3:$AD$501,0))&amp;"","")</f>
        <v/>
      </c>
      <c r="M314" s="21" t="str">
        <f aca="false">IFERROR(INDEX(종합!M$3:M$501,MATCH(ROW()-2,종합!$AD$3:$AD$501,0))&amp;"","")</f>
        <v/>
      </c>
      <c r="N314" s="25" t="str">
        <f aca="false">IFERROR(INDEX(종합!N$3:N$501,MATCH(ROW()-2,종합!$AD$3:$AD$501,0))&amp;"","")</f>
        <v/>
      </c>
      <c r="O314" s="21" t="str">
        <f aca="false">IFERROR(INDEX(종합!O$3:O$501,MATCH(ROW()-2,종합!$AD$3:$AD$501,0))&amp;"","")</f>
        <v/>
      </c>
      <c r="P314" s="21" t="str">
        <f aca="false">IFERROR(INDEX(종합!P$3:P$501,MATCH(ROW()-2,종합!$AD$3:$AD$501,0))&amp;"","")</f>
        <v/>
      </c>
      <c r="Q314" s="21" t="str">
        <f aca="false">IFERROR(INDEX(종합!Q$3:Q$501,MATCH(ROW()-2,종합!$AD$3:$AD$501,0))&amp;"","")</f>
        <v/>
      </c>
      <c r="R314" s="21" t="str">
        <f aca="false">IFERROR(INDEX(종합!R$3:R$501,MATCH(ROW()-2,종합!$AD$3:$AD$501,0))&amp;"","")</f>
        <v/>
      </c>
      <c r="S314" s="21" t="str">
        <f aca="false">IFERROR(INDEX(종합!S$3:S$501,MATCH(ROW()-2,종합!$AD$3:$AD$501,0))&amp;"","")</f>
        <v/>
      </c>
      <c r="T314" s="21" t="str">
        <f aca="false">IFERROR(INDEX(종합!T$3:T$501,MATCH(ROW()-2,종합!$AD$3:$AD$501,0))&amp;"","")</f>
        <v/>
      </c>
      <c r="U314" s="21" t="str">
        <f aca="false">IFERROR(INDEX(종합!U$3:U$501,MATCH(ROW()-2,종합!$AD$3:$AD$501,0))&amp;"","")</f>
        <v/>
      </c>
      <c r="V314" s="21" t="str">
        <f aca="false">IFERROR(INDEX(종합!V$3:V$501,MATCH(ROW()-2,종합!$AD$3:$AD$501,0))&amp;"","")</f>
        <v/>
      </c>
      <c r="W314" s="21" t="str">
        <f aca="false">IFERROR(INDEX(종합!W$3:W$501,MATCH(ROW()-2,종합!$AD$3:$AD$501,0))&amp;"","")</f>
        <v/>
      </c>
      <c r="X314" s="21" t="str">
        <f aca="false">IFERROR(INDEX(종합!X$3:X$501,MATCH(ROW()-2,종합!$AD$3:$AD$501,0))&amp;"","")</f>
        <v/>
      </c>
      <c r="Y314" s="21" t="str">
        <f aca="false">IFERROR(INDEX(종합!Y$3:Y$501,MATCH(ROW()-2,종합!$AD$3:$AD$501,0))&amp;"","")</f>
        <v/>
      </c>
      <c r="Z314" s="21" t="str">
        <f aca="false">IFERROR(INDEX(종합!Z$3:Z$501,MATCH(ROW()-2,종합!$AD$3:$AD$501,0))&amp;"","")</f>
        <v/>
      </c>
      <c r="AA314" s="23" t="str">
        <f aca="false">IFERROR(INDEX(종합!AA$3:AA$501,MATCH(ROW()-2,종합!$AD$3:$AD$501,0))&amp;"","")</f>
        <v/>
      </c>
    </row>
    <row r="315" customFormat="false" ht="16.5" hidden="false" customHeight="true" outlineLevel="0" collapsed="false">
      <c r="A315" s="18" t="str">
        <f aca="false">IF(B315="","",ROW()-2)</f>
        <v/>
      </c>
      <c r="B315" s="18" t="str">
        <f aca="false">IFERROR(INDEX(종합!B$3:B$501,MATCH(ROW()-2,종합!$AD$3:$AD$501,0))&amp;"","")</f>
        <v/>
      </c>
      <c r="C315" s="18" t="str">
        <f aca="false">IFERROR(INDEX(종합!C$3:C$501,MATCH(ROW()-2,종합!$AD$3:$AD$501,0))&amp;"","")</f>
        <v/>
      </c>
      <c r="D315" s="18" t="str">
        <f aca="false">IFERROR(INDEX(종합!D$3:D$501,MATCH(ROW()-2,종합!$AD$3:$AD$501,0))&amp;"","")</f>
        <v/>
      </c>
      <c r="E315" s="18" t="str">
        <f aca="false">IFERROR(INDEX(종합!E$3:E$501,MATCH(ROW()-2,종합!$AD$3:$AD$501,0))&amp;"","")</f>
        <v/>
      </c>
      <c r="F315" s="18" t="str">
        <f aca="false">IFERROR(INDEX(종합!F$3:F$501,MATCH(ROW()-2,종합!$AD$3:$AD$501,0))&amp;"","")</f>
        <v/>
      </c>
      <c r="G315" s="18" t="str">
        <f aca="false">IFERROR(INDEX(종합!G$3:G$501,MATCH(ROW()-2,종합!$AD$3:$AD$501,0))&amp;"","")</f>
        <v/>
      </c>
      <c r="H315" s="21" t="str">
        <f aca="false">IFERROR(INDEX(종합!H$3:H$501,MATCH(ROW()-2,종합!$AD$3:$AD$501,0))&amp;"","")</f>
        <v/>
      </c>
      <c r="I315" s="21" t="str">
        <f aca="false">IFERROR(INDEX(종합!I$3:I$501,MATCH(ROW()-2,종합!$AD$3:$AD$501,0))&amp;"","")</f>
        <v/>
      </c>
      <c r="J315" s="21" t="str">
        <f aca="false">IFERROR(INDEX(종합!J$3:J$501,MATCH(ROW()-2,종합!$AD$3:$AD$501,0))&amp;"","")</f>
        <v/>
      </c>
      <c r="K315" s="21" t="str">
        <f aca="false">IFERROR(INDEX(종합!K$3:K$501,MATCH(ROW()-2,종합!$AD$3:$AD$501,0))&amp;"","")</f>
        <v/>
      </c>
      <c r="L315" s="21" t="str">
        <f aca="false">IFERROR(INDEX(종합!L$3:L$501,MATCH(ROW()-2,종합!$AD$3:$AD$501,0))&amp;"","")</f>
        <v/>
      </c>
      <c r="M315" s="21" t="str">
        <f aca="false">IFERROR(INDEX(종합!M$3:M$501,MATCH(ROW()-2,종합!$AD$3:$AD$501,0))&amp;"","")</f>
        <v/>
      </c>
      <c r="N315" s="25" t="str">
        <f aca="false">IFERROR(INDEX(종합!N$3:N$501,MATCH(ROW()-2,종합!$AD$3:$AD$501,0))&amp;"","")</f>
        <v/>
      </c>
      <c r="O315" s="21" t="str">
        <f aca="false">IFERROR(INDEX(종합!O$3:O$501,MATCH(ROW()-2,종합!$AD$3:$AD$501,0))&amp;"","")</f>
        <v/>
      </c>
      <c r="P315" s="21" t="str">
        <f aca="false">IFERROR(INDEX(종합!P$3:P$501,MATCH(ROW()-2,종합!$AD$3:$AD$501,0))&amp;"","")</f>
        <v/>
      </c>
      <c r="Q315" s="21" t="str">
        <f aca="false">IFERROR(INDEX(종합!Q$3:Q$501,MATCH(ROW()-2,종합!$AD$3:$AD$501,0))&amp;"","")</f>
        <v/>
      </c>
      <c r="R315" s="21" t="str">
        <f aca="false">IFERROR(INDEX(종합!R$3:R$501,MATCH(ROW()-2,종합!$AD$3:$AD$501,0))&amp;"","")</f>
        <v/>
      </c>
      <c r="S315" s="21" t="str">
        <f aca="false">IFERROR(INDEX(종합!S$3:S$501,MATCH(ROW()-2,종합!$AD$3:$AD$501,0))&amp;"","")</f>
        <v/>
      </c>
      <c r="T315" s="21" t="str">
        <f aca="false">IFERROR(INDEX(종합!T$3:T$501,MATCH(ROW()-2,종합!$AD$3:$AD$501,0))&amp;"","")</f>
        <v/>
      </c>
      <c r="U315" s="21" t="str">
        <f aca="false">IFERROR(INDEX(종합!U$3:U$501,MATCH(ROW()-2,종합!$AD$3:$AD$501,0))&amp;"","")</f>
        <v/>
      </c>
      <c r="V315" s="21" t="str">
        <f aca="false">IFERROR(INDEX(종합!V$3:V$501,MATCH(ROW()-2,종합!$AD$3:$AD$501,0))&amp;"","")</f>
        <v/>
      </c>
      <c r="W315" s="21" t="str">
        <f aca="false">IFERROR(INDEX(종합!W$3:W$501,MATCH(ROW()-2,종합!$AD$3:$AD$501,0))&amp;"","")</f>
        <v/>
      </c>
      <c r="X315" s="21" t="str">
        <f aca="false">IFERROR(INDEX(종합!X$3:X$501,MATCH(ROW()-2,종합!$AD$3:$AD$501,0))&amp;"","")</f>
        <v/>
      </c>
      <c r="Y315" s="21" t="str">
        <f aca="false">IFERROR(INDEX(종합!Y$3:Y$501,MATCH(ROW()-2,종합!$AD$3:$AD$501,0))&amp;"","")</f>
        <v/>
      </c>
      <c r="Z315" s="21" t="str">
        <f aca="false">IFERROR(INDEX(종합!Z$3:Z$501,MATCH(ROW()-2,종합!$AD$3:$AD$501,0))&amp;"","")</f>
        <v/>
      </c>
      <c r="AA315" s="23" t="str">
        <f aca="false">IFERROR(INDEX(종합!AA$3:AA$501,MATCH(ROW()-2,종합!$AD$3:$AD$501,0))&amp;"","")</f>
        <v/>
      </c>
    </row>
    <row r="316" customFormat="false" ht="16.5" hidden="false" customHeight="true" outlineLevel="0" collapsed="false">
      <c r="A316" s="18" t="str">
        <f aca="false">IF(B316="","",ROW()-2)</f>
        <v/>
      </c>
      <c r="B316" s="18" t="str">
        <f aca="false">IFERROR(INDEX(종합!B$3:B$501,MATCH(ROW()-2,종합!$AD$3:$AD$501,0))&amp;"","")</f>
        <v/>
      </c>
      <c r="C316" s="18" t="str">
        <f aca="false">IFERROR(INDEX(종합!C$3:C$501,MATCH(ROW()-2,종합!$AD$3:$AD$501,0))&amp;"","")</f>
        <v/>
      </c>
      <c r="D316" s="18" t="str">
        <f aca="false">IFERROR(INDEX(종합!D$3:D$501,MATCH(ROW()-2,종합!$AD$3:$AD$501,0))&amp;"","")</f>
        <v/>
      </c>
      <c r="E316" s="18" t="str">
        <f aca="false">IFERROR(INDEX(종합!E$3:E$501,MATCH(ROW()-2,종합!$AD$3:$AD$501,0))&amp;"","")</f>
        <v/>
      </c>
      <c r="F316" s="18" t="str">
        <f aca="false">IFERROR(INDEX(종합!F$3:F$501,MATCH(ROW()-2,종합!$AD$3:$AD$501,0))&amp;"","")</f>
        <v/>
      </c>
      <c r="G316" s="18" t="str">
        <f aca="false">IFERROR(INDEX(종합!G$3:G$501,MATCH(ROW()-2,종합!$AD$3:$AD$501,0))&amp;"","")</f>
        <v/>
      </c>
      <c r="H316" s="21" t="str">
        <f aca="false">IFERROR(INDEX(종합!H$3:H$501,MATCH(ROW()-2,종합!$AD$3:$AD$501,0))&amp;"","")</f>
        <v/>
      </c>
      <c r="I316" s="21" t="str">
        <f aca="false">IFERROR(INDEX(종합!I$3:I$501,MATCH(ROW()-2,종합!$AD$3:$AD$501,0))&amp;"","")</f>
        <v/>
      </c>
      <c r="J316" s="21" t="str">
        <f aca="false">IFERROR(INDEX(종합!J$3:J$501,MATCH(ROW()-2,종합!$AD$3:$AD$501,0))&amp;"","")</f>
        <v/>
      </c>
      <c r="K316" s="21" t="str">
        <f aca="false">IFERROR(INDEX(종합!K$3:K$501,MATCH(ROW()-2,종합!$AD$3:$AD$501,0))&amp;"","")</f>
        <v/>
      </c>
      <c r="L316" s="21" t="str">
        <f aca="false">IFERROR(INDEX(종합!L$3:L$501,MATCH(ROW()-2,종합!$AD$3:$AD$501,0))&amp;"","")</f>
        <v/>
      </c>
      <c r="M316" s="21" t="str">
        <f aca="false">IFERROR(INDEX(종합!M$3:M$501,MATCH(ROW()-2,종합!$AD$3:$AD$501,0))&amp;"","")</f>
        <v/>
      </c>
      <c r="N316" s="25" t="str">
        <f aca="false">IFERROR(INDEX(종합!N$3:N$501,MATCH(ROW()-2,종합!$AD$3:$AD$501,0))&amp;"","")</f>
        <v/>
      </c>
      <c r="O316" s="21" t="str">
        <f aca="false">IFERROR(INDEX(종합!O$3:O$501,MATCH(ROW()-2,종합!$AD$3:$AD$501,0))&amp;"","")</f>
        <v/>
      </c>
      <c r="P316" s="21" t="str">
        <f aca="false">IFERROR(INDEX(종합!P$3:P$501,MATCH(ROW()-2,종합!$AD$3:$AD$501,0))&amp;"","")</f>
        <v/>
      </c>
      <c r="Q316" s="21" t="str">
        <f aca="false">IFERROR(INDEX(종합!Q$3:Q$501,MATCH(ROW()-2,종합!$AD$3:$AD$501,0))&amp;"","")</f>
        <v/>
      </c>
      <c r="R316" s="21" t="str">
        <f aca="false">IFERROR(INDEX(종합!R$3:R$501,MATCH(ROW()-2,종합!$AD$3:$AD$501,0))&amp;"","")</f>
        <v/>
      </c>
      <c r="S316" s="21" t="str">
        <f aca="false">IFERROR(INDEX(종합!S$3:S$501,MATCH(ROW()-2,종합!$AD$3:$AD$501,0))&amp;"","")</f>
        <v/>
      </c>
      <c r="T316" s="21" t="str">
        <f aca="false">IFERROR(INDEX(종합!T$3:T$501,MATCH(ROW()-2,종합!$AD$3:$AD$501,0))&amp;"","")</f>
        <v/>
      </c>
      <c r="U316" s="21" t="str">
        <f aca="false">IFERROR(INDEX(종합!U$3:U$501,MATCH(ROW()-2,종합!$AD$3:$AD$501,0))&amp;"","")</f>
        <v/>
      </c>
      <c r="V316" s="21" t="str">
        <f aca="false">IFERROR(INDEX(종합!V$3:V$501,MATCH(ROW()-2,종합!$AD$3:$AD$501,0))&amp;"","")</f>
        <v/>
      </c>
      <c r="W316" s="21" t="str">
        <f aca="false">IFERROR(INDEX(종합!W$3:W$501,MATCH(ROW()-2,종합!$AD$3:$AD$501,0))&amp;"","")</f>
        <v/>
      </c>
      <c r="X316" s="21" t="str">
        <f aca="false">IFERROR(INDEX(종합!X$3:X$501,MATCH(ROW()-2,종합!$AD$3:$AD$501,0))&amp;"","")</f>
        <v/>
      </c>
      <c r="Y316" s="21" t="str">
        <f aca="false">IFERROR(INDEX(종합!Y$3:Y$501,MATCH(ROW()-2,종합!$AD$3:$AD$501,0))&amp;"","")</f>
        <v/>
      </c>
      <c r="Z316" s="21" t="str">
        <f aca="false">IFERROR(INDEX(종합!Z$3:Z$501,MATCH(ROW()-2,종합!$AD$3:$AD$501,0))&amp;"","")</f>
        <v/>
      </c>
      <c r="AA316" s="23" t="str">
        <f aca="false">IFERROR(INDEX(종합!AA$3:AA$501,MATCH(ROW()-2,종합!$AD$3:$AD$501,0))&amp;"","")</f>
        <v/>
      </c>
    </row>
    <row r="317" customFormat="false" ht="16.5" hidden="false" customHeight="true" outlineLevel="0" collapsed="false">
      <c r="A317" s="18" t="str">
        <f aca="false">IF(B317="","",ROW()-2)</f>
        <v/>
      </c>
      <c r="B317" s="18" t="str">
        <f aca="false">IFERROR(INDEX(종합!B$3:B$501,MATCH(ROW()-2,종합!$AD$3:$AD$501,0))&amp;"","")</f>
        <v/>
      </c>
      <c r="C317" s="18" t="str">
        <f aca="false">IFERROR(INDEX(종합!C$3:C$501,MATCH(ROW()-2,종합!$AD$3:$AD$501,0))&amp;"","")</f>
        <v/>
      </c>
      <c r="D317" s="18" t="str">
        <f aca="false">IFERROR(INDEX(종합!D$3:D$501,MATCH(ROW()-2,종합!$AD$3:$AD$501,0))&amp;"","")</f>
        <v/>
      </c>
      <c r="E317" s="18" t="str">
        <f aca="false">IFERROR(INDEX(종합!E$3:E$501,MATCH(ROW()-2,종합!$AD$3:$AD$501,0))&amp;"","")</f>
        <v/>
      </c>
      <c r="F317" s="18" t="str">
        <f aca="false">IFERROR(INDEX(종합!F$3:F$501,MATCH(ROW()-2,종합!$AD$3:$AD$501,0))&amp;"","")</f>
        <v/>
      </c>
      <c r="G317" s="18" t="str">
        <f aca="false">IFERROR(INDEX(종합!G$3:G$501,MATCH(ROW()-2,종합!$AD$3:$AD$501,0))&amp;"","")</f>
        <v/>
      </c>
      <c r="H317" s="21" t="str">
        <f aca="false">IFERROR(INDEX(종합!H$3:H$501,MATCH(ROW()-2,종합!$AD$3:$AD$501,0))&amp;"","")</f>
        <v/>
      </c>
      <c r="I317" s="21" t="str">
        <f aca="false">IFERROR(INDEX(종합!I$3:I$501,MATCH(ROW()-2,종합!$AD$3:$AD$501,0))&amp;"","")</f>
        <v/>
      </c>
      <c r="J317" s="21" t="str">
        <f aca="false">IFERROR(INDEX(종합!J$3:J$501,MATCH(ROW()-2,종합!$AD$3:$AD$501,0))&amp;"","")</f>
        <v/>
      </c>
      <c r="K317" s="21" t="str">
        <f aca="false">IFERROR(INDEX(종합!K$3:K$501,MATCH(ROW()-2,종합!$AD$3:$AD$501,0))&amp;"","")</f>
        <v/>
      </c>
      <c r="L317" s="21" t="str">
        <f aca="false">IFERROR(INDEX(종합!L$3:L$501,MATCH(ROW()-2,종합!$AD$3:$AD$501,0))&amp;"","")</f>
        <v/>
      </c>
      <c r="M317" s="21" t="str">
        <f aca="false">IFERROR(INDEX(종합!M$3:M$501,MATCH(ROW()-2,종합!$AD$3:$AD$501,0))&amp;"","")</f>
        <v/>
      </c>
      <c r="N317" s="25" t="str">
        <f aca="false">IFERROR(INDEX(종합!N$3:N$501,MATCH(ROW()-2,종합!$AD$3:$AD$501,0))&amp;"","")</f>
        <v/>
      </c>
      <c r="O317" s="21" t="str">
        <f aca="false">IFERROR(INDEX(종합!O$3:O$501,MATCH(ROW()-2,종합!$AD$3:$AD$501,0))&amp;"","")</f>
        <v/>
      </c>
      <c r="P317" s="21" t="str">
        <f aca="false">IFERROR(INDEX(종합!P$3:P$501,MATCH(ROW()-2,종합!$AD$3:$AD$501,0))&amp;"","")</f>
        <v/>
      </c>
      <c r="Q317" s="21" t="str">
        <f aca="false">IFERROR(INDEX(종합!Q$3:Q$501,MATCH(ROW()-2,종합!$AD$3:$AD$501,0))&amp;"","")</f>
        <v/>
      </c>
      <c r="R317" s="21" t="str">
        <f aca="false">IFERROR(INDEX(종합!R$3:R$501,MATCH(ROW()-2,종합!$AD$3:$AD$501,0))&amp;"","")</f>
        <v/>
      </c>
      <c r="S317" s="21" t="str">
        <f aca="false">IFERROR(INDEX(종합!S$3:S$501,MATCH(ROW()-2,종합!$AD$3:$AD$501,0))&amp;"","")</f>
        <v/>
      </c>
      <c r="T317" s="21" t="str">
        <f aca="false">IFERROR(INDEX(종합!T$3:T$501,MATCH(ROW()-2,종합!$AD$3:$AD$501,0))&amp;"","")</f>
        <v/>
      </c>
      <c r="U317" s="21" t="str">
        <f aca="false">IFERROR(INDEX(종합!U$3:U$501,MATCH(ROW()-2,종합!$AD$3:$AD$501,0))&amp;"","")</f>
        <v/>
      </c>
      <c r="V317" s="21" t="str">
        <f aca="false">IFERROR(INDEX(종합!V$3:V$501,MATCH(ROW()-2,종합!$AD$3:$AD$501,0))&amp;"","")</f>
        <v/>
      </c>
      <c r="W317" s="21" t="str">
        <f aca="false">IFERROR(INDEX(종합!W$3:W$501,MATCH(ROW()-2,종합!$AD$3:$AD$501,0))&amp;"","")</f>
        <v/>
      </c>
      <c r="X317" s="21" t="str">
        <f aca="false">IFERROR(INDEX(종합!X$3:X$501,MATCH(ROW()-2,종합!$AD$3:$AD$501,0))&amp;"","")</f>
        <v/>
      </c>
      <c r="Y317" s="21" t="str">
        <f aca="false">IFERROR(INDEX(종합!Y$3:Y$501,MATCH(ROW()-2,종합!$AD$3:$AD$501,0))&amp;"","")</f>
        <v/>
      </c>
      <c r="Z317" s="21" t="str">
        <f aca="false">IFERROR(INDEX(종합!Z$3:Z$501,MATCH(ROW()-2,종합!$AD$3:$AD$501,0))&amp;"","")</f>
        <v/>
      </c>
      <c r="AA317" s="23" t="str">
        <f aca="false">IFERROR(INDEX(종합!AA$3:AA$501,MATCH(ROW()-2,종합!$AD$3:$AD$501,0))&amp;"","")</f>
        <v/>
      </c>
    </row>
    <row r="318" customFormat="false" ht="16.5" hidden="false" customHeight="true" outlineLevel="0" collapsed="false">
      <c r="A318" s="18" t="str">
        <f aca="false">IF(B318="","",ROW()-2)</f>
        <v/>
      </c>
      <c r="B318" s="18" t="str">
        <f aca="false">IFERROR(INDEX(종합!B$3:B$501,MATCH(ROW()-2,종합!$AD$3:$AD$501,0))&amp;"","")</f>
        <v/>
      </c>
      <c r="C318" s="18" t="str">
        <f aca="false">IFERROR(INDEX(종합!C$3:C$501,MATCH(ROW()-2,종합!$AD$3:$AD$501,0))&amp;"","")</f>
        <v/>
      </c>
      <c r="D318" s="18" t="str">
        <f aca="false">IFERROR(INDEX(종합!D$3:D$501,MATCH(ROW()-2,종합!$AD$3:$AD$501,0))&amp;"","")</f>
        <v/>
      </c>
      <c r="E318" s="18" t="str">
        <f aca="false">IFERROR(INDEX(종합!E$3:E$501,MATCH(ROW()-2,종합!$AD$3:$AD$501,0))&amp;"","")</f>
        <v/>
      </c>
      <c r="F318" s="18" t="str">
        <f aca="false">IFERROR(INDEX(종합!F$3:F$501,MATCH(ROW()-2,종합!$AD$3:$AD$501,0))&amp;"","")</f>
        <v/>
      </c>
      <c r="G318" s="18" t="str">
        <f aca="false">IFERROR(INDEX(종합!G$3:G$501,MATCH(ROW()-2,종합!$AD$3:$AD$501,0))&amp;"","")</f>
        <v/>
      </c>
      <c r="H318" s="21" t="str">
        <f aca="false">IFERROR(INDEX(종합!H$3:H$501,MATCH(ROW()-2,종합!$AD$3:$AD$501,0))&amp;"","")</f>
        <v/>
      </c>
      <c r="I318" s="21" t="str">
        <f aca="false">IFERROR(INDEX(종합!I$3:I$501,MATCH(ROW()-2,종합!$AD$3:$AD$501,0))&amp;"","")</f>
        <v/>
      </c>
      <c r="J318" s="21" t="str">
        <f aca="false">IFERROR(INDEX(종합!J$3:J$501,MATCH(ROW()-2,종합!$AD$3:$AD$501,0))&amp;"","")</f>
        <v/>
      </c>
      <c r="K318" s="21" t="str">
        <f aca="false">IFERROR(INDEX(종합!K$3:K$501,MATCH(ROW()-2,종합!$AD$3:$AD$501,0))&amp;"","")</f>
        <v/>
      </c>
      <c r="L318" s="21" t="str">
        <f aca="false">IFERROR(INDEX(종합!L$3:L$501,MATCH(ROW()-2,종합!$AD$3:$AD$501,0))&amp;"","")</f>
        <v/>
      </c>
      <c r="M318" s="21" t="str">
        <f aca="false">IFERROR(INDEX(종합!M$3:M$501,MATCH(ROW()-2,종합!$AD$3:$AD$501,0))&amp;"","")</f>
        <v/>
      </c>
      <c r="N318" s="25" t="str">
        <f aca="false">IFERROR(INDEX(종합!N$3:N$501,MATCH(ROW()-2,종합!$AD$3:$AD$501,0))&amp;"","")</f>
        <v/>
      </c>
      <c r="O318" s="21" t="str">
        <f aca="false">IFERROR(INDEX(종합!O$3:O$501,MATCH(ROW()-2,종합!$AD$3:$AD$501,0))&amp;"","")</f>
        <v/>
      </c>
      <c r="P318" s="21" t="str">
        <f aca="false">IFERROR(INDEX(종합!P$3:P$501,MATCH(ROW()-2,종합!$AD$3:$AD$501,0))&amp;"","")</f>
        <v/>
      </c>
      <c r="Q318" s="21" t="str">
        <f aca="false">IFERROR(INDEX(종합!Q$3:Q$501,MATCH(ROW()-2,종합!$AD$3:$AD$501,0))&amp;"","")</f>
        <v/>
      </c>
      <c r="R318" s="21" t="str">
        <f aca="false">IFERROR(INDEX(종합!R$3:R$501,MATCH(ROW()-2,종합!$AD$3:$AD$501,0))&amp;"","")</f>
        <v/>
      </c>
      <c r="S318" s="21" t="str">
        <f aca="false">IFERROR(INDEX(종합!S$3:S$501,MATCH(ROW()-2,종합!$AD$3:$AD$501,0))&amp;"","")</f>
        <v/>
      </c>
      <c r="T318" s="21" t="str">
        <f aca="false">IFERROR(INDEX(종합!T$3:T$501,MATCH(ROW()-2,종합!$AD$3:$AD$501,0))&amp;"","")</f>
        <v/>
      </c>
      <c r="U318" s="21" t="str">
        <f aca="false">IFERROR(INDEX(종합!U$3:U$501,MATCH(ROW()-2,종합!$AD$3:$AD$501,0))&amp;"","")</f>
        <v/>
      </c>
      <c r="V318" s="21" t="str">
        <f aca="false">IFERROR(INDEX(종합!V$3:V$501,MATCH(ROW()-2,종합!$AD$3:$AD$501,0))&amp;"","")</f>
        <v/>
      </c>
      <c r="W318" s="21" t="str">
        <f aca="false">IFERROR(INDEX(종합!W$3:W$501,MATCH(ROW()-2,종합!$AD$3:$AD$501,0))&amp;"","")</f>
        <v/>
      </c>
      <c r="X318" s="21" t="str">
        <f aca="false">IFERROR(INDEX(종합!X$3:X$501,MATCH(ROW()-2,종합!$AD$3:$AD$501,0))&amp;"","")</f>
        <v/>
      </c>
      <c r="Y318" s="21" t="str">
        <f aca="false">IFERROR(INDEX(종합!Y$3:Y$501,MATCH(ROW()-2,종합!$AD$3:$AD$501,0))&amp;"","")</f>
        <v/>
      </c>
      <c r="Z318" s="21" t="str">
        <f aca="false">IFERROR(INDEX(종합!Z$3:Z$501,MATCH(ROW()-2,종합!$AD$3:$AD$501,0))&amp;"","")</f>
        <v/>
      </c>
      <c r="AA318" s="23" t="str">
        <f aca="false">IFERROR(INDEX(종합!AA$3:AA$501,MATCH(ROW()-2,종합!$AD$3:$AD$501,0))&amp;"","")</f>
        <v/>
      </c>
    </row>
    <row r="319" customFormat="false" ht="16.5" hidden="false" customHeight="true" outlineLevel="0" collapsed="false">
      <c r="A319" s="18" t="str">
        <f aca="false">IF(B319="","",ROW()-2)</f>
        <v/>
      </c>
      <c r="B319" s="18" t="str">
        <f aca="false">IFERROR(INDEX(종합!B$3:B$501,MATCH(ROW()-2,종합!$AD$3:$AD$501,0))&amp;"","")</f>
        <v/>
      </c>
      <c r="C319" s="18" t="str">
        <f aca="false">IFERROR(INDEX(종합!C$3:C$501,MATCH(ROW()-2,종합!$AD$3:$AD$501,0))&amp;"","")</f>
        <v/>
      </c>
      <c r="D319" s="18" t="str">
        <f aca="false">IFERROR(INDEX(종합!D$3:D$501,MATCH(ROW()-2,종합!$AD$3:$AD$501,0))&amp;"","")</f>
        <v/>
      </c>
      <c r="E319" s="18" t="str">
        <f aca="false">IFERROR(INDEX(종합!E$3:E$501,MATCH(ROW()-2,종합!$AD$3:$AD$501,0))&amp;"","")</f>
        <v/>
      </c>
      <c r="F319" s="18" t="str">
        <f aca="false">IFERROR(INDEX(종합!F$3:F$501,MATCH(ROW()-2,종합!$AD$3:$AD$501,0))&amp;"","")</f>
        <v/>
      </c>
      <c r="G319" s="18" t="str">
        <f aca="false">IFERROR(INDEX(종합!G$3:G$501,MATCH(ROW()-2,종합!$AD$3:$AD$501,0))&amp;"","")</f>
        <v/>
      </c>
      <c r="H319" s="21" t="str">
        <f aca="false">IFERROR(INDEX(종합!H$3:H$501,MATCH(ROW()-2,종합!$AD$3:$AD$501,0))&amp;"","")</f>
        <v/>
      </c>
      <c r="I319" s="21" t="str">
        <f aca="false">IFERROR(INDEX(종합!I$3:I$501,MATCH(ROW()-2,종합!$AD$3:$AD$501,0))&amp;"","")</f>
        <v/>
      </c>
      <c r="J319" s="21" t="str">
        <f aca="false">IFERROR(INDEX(종합!J$3:J$501,MATCH(ROW()-2,종합!$AD$3:$AD$501,0))&amp;"","")</f>
        <v/>
      </c>
      <c r="K319" s="21" t="str">
        <f aca="false">IFERROR(INDEX(종합!K$3:K$501,MATCH(ROW()-2,종합!$AD$3:$AD$501,0))&amp;"","")</f>
        <v/>
      </c>
      <c r="L319" s="21" t="str">
        <f aca="false">IFERROR(INDEX(종합!L$3:L$501,MATCH(ROW()-2,종합!$AD$3:$AD$501,0))&amp;"","")</f>
        <v/>
      </c>
      <c r="M319" s="21" t="str">
        <f aca="false">IFERROR(INDEX(종합!M$3:M$501,MATCH(ROW()-2,종합!$AD$3:$AD$501,0))&amp;"","")</f>
        <v/>
      </c>
      <c r="N319" s="25" t="str">
        <f aca="false">IFERROR(INDEX(종합!N$3:N$501,MATCH(ROW()-2,종합!$AD$3:$AD$501,0))&amp;"","")</f>
        <v/>
      </c>
      <c r="O319" s="21" t="str">
        <f aca="false">IFERROR(INDEX(종합!O$3:O$501,MATCH(ROW()-2,종합!$AD$3:$AD$501,0))&amp;"","")</f>
        <v/>
      </c>
      <c r="P319" s="21" t="str">
        <f aca="false">IFERROR(INDEX(종합!P$3:P$501,MATCH(ROW()-2,종합!$AD$3:$AD$501,0))&amp;"","")</f>
        <v/>
      </c>
      <c r="Q319" s="21" t="str">
        <f aca="false">IFERROR(INDEX(종합!Q$3:Q$501,MATCH(ROW()-2,종합!$AD$3:$AD$501,0))&amp;"","")</f>
        <v/>
      </c>
      <c r="R319" s="21" t="str">
        <f aca="false">IFERROR(INDEX(종합!R$3:R$501,MATCH(ROW()-2,종합!$AD$3:$AD$501,0))&amp;"","")</f>
        <v/>
      </c>
      <c r="S319" s="21" t="str">
        <f aca="false">IFERROR(INDEX(종합!S$3:S$501,MATCH(ROW()-2,종합!$AD$3:$AD$501,0))&amp;"","")</f>
        <v/>
      </c>
      <c r="T319" s="21" t="str">
        <f aca="false">IFERROR(INDEX(종합!T$3:T$501,MATCH(ROW()-2,종합!$AD$3:$AD$501,0))&amp;"","")</f>
        <v/>
      </c>
      <c r="U319" s="21" t="str">
        <f aca="false">IFERROR(INDEX(종합!U$3:U$501,MATCH(ROW()-2,종합!$AD$3:$AD$501,0))&amp;"","")</f>
        <v/>
      </c>
      <c r="V319" s="21" t="str">
        <f aca="false">IFERROR(INDEX(종합!V$3:V$501,MATCH(ROW()-2,종합!$AD$3:$AD$501,0))&amp;"","")</f>
        <v/>
      </c>
      <c r="W319" s="21" t="str">
        <f aca="false">IFERROR(INDEX(종합!W$3:W$501,MATCH(ROW()-2,종합!$AD$3:$AD$501,0))&amp;"","")</f>
        <v/>
      </c>
      <c r="X319" s="21" t="str">
        <f aca="false">IFERROR(INDEX(종합!X$3:X$501,MATCH(ROW()-2,종합!$AD$3:$AD$501,0))&amp;"","")</f>
        <v/>
      </c>
      <c r="Y319" s="21" t="str">
        <f aca="false">IFERROR(INDEX(종합!Y$3:Y$501,MATCH(ROW()-2,종합!$AD$3:$AD$501,0))&amp;"","")</f>
        <v/>
      </c>
      <c r="Z319" s="21" t="str">
        <f aca="false">IFERROR(INDEX(종합!Z$3:Z$501,MATCH(ROW()-2,종합!$AD$3:$AD$501,0))&amp;"","")</f>
        <v/>
      </c>
      <c r="AA319" s="23" t="str">
        <f aca="false">IFERROR(INDEX(종합!AA$3:AA$501,MATCH(ROW()-2,종합!$AD$3:$AD$501,0))&amp;"","")</f>
        <v/>
      </c>
    </row>
    <row r="320" customFormat="false" ht="16.5" hidden="false" customHeight="true" outlineLevel="0" collapsed="false">
      <c r="A320" s="18" t="str">
        <f aca="false">IF(B320="","",ROW()-2)</f>
        <v/>
      </c>
      <c r="B320" s="18" t="str">
        <f aca="false">IFERROR(INDEX(종합!B$3:B$501,MATCH(ROW()-2,종합!$AD$3:$AD$501,0))&amp;"","")</f>
        <v/>
      </c>
      <c r="C320" s="18" t="str">
        <f aca="false">IFERROR(INDEX(종합!C$3:C$501,MATCH(ROW()-2,종합!$AD$3:$AD$501,0))&amp;"","")</f>
        <v/>
      </c>
      <c r="D320" s="18" t="str">
        <f aca="false">IFERROR(INDEX(종합!D$3:D$501,MATCH(ROW()-2,종합!$AD$3:$AD$501,0))&amp;"","")</f>
        <v/>
      </c>
      <c r="E320" s="18" t="str">
        <f aca="false">IFERROR(INDEX(종합!E$3:E$501,MATCH(ROW()-2,종합!$AD$3:$AD$501,0))&amp;"","")</f>
        <v/>
      </c>
      <c r="F320" s="18" t="str">
        <f aca="false">IFERROR(INDEX(종합!F$3:F$501,MATCH(ROW()-2,종합!$AD$3:$AD$501,0))&amp;"","")</f>
        <v/>
      </c>
      <c r="G320" s="18" t="str">
        <f aca="false">IFERROR(INDEX(종합!G$3:G$501,MATCH(ROW()-2,종합!$AD$3:$AD$501,0))&amp;"","")</f>
        <v/>
      </c>
      <c r="H320" s="21" t="str">
        <f aca="false">IFERROR(INDEX(종합!H$3:H$501,MATCH(ROW()-2,종합!$AD$3:$AD$501,0))&amp;"","")</f>
        <v/>
      </c>
      <c r="I320" s="21" t="str">
        <f aca="false">IFERROR(INDEX(종합!I$3:I$501,MATCH(ROW()-2,종합!$AD$3:$AD$501,0))&amp;"","")</f>
        <v/>
      </c>
      <c r="J320" s="21" t="str">
        <f aca="false">IFERROR(INDEX(종합!J$3:J$501,MATCH(ROW()-2,종합!$AD$3:$AD$501,0))&amp;"","")</f>
        <v/>
      </c>
      <c r="K320" s="21" t="str">
        <f aca="false">IFERROR(INDEX(종합!K$3:K$501,MATCH(ROW()-2,종합!$AD$3:$AD$501,0))&amp;"","")</f>
        <v/>
      </c>
      <c r="L320" s="21" t="str">
        <f aca="false">IFERROR(INDEX(종합!L$3:L$501,MATCH(ROW()-2,종합!$AD$3:$AD$501,0))&amp;"","")</f>
        <v/>
      </c>
      <c r="M320" s="21" t="str">
        <f aca="false">IFERROR(INDEX(종합!M$3:M$501,MATCH(ROW()-2,종합!$AD$3:$AD$501,0))&amp;"","")</f>
        <v/>
      </c>
      <c r="N320" s="25" t="str">
        <f aca="false">IFERROR(INDEX(종합!N$3:N$501,MATCH(ROW()-2,종합!$AD$3:$AD$501,0))&amp;"","")</f>
        <v/>
      </c>
      <c r="O320" s="21" t="str">
        <f aca="false">IFERROR(INDEX(종합!O$3:O$501,MATCH(ROW()-2,종합!$AD$3:$AD$501,0))&amp;"","")</f>
        <v/>
      </c>
      <c r="P320" s="21" t="str">
        <f aca="false">IFERROR(INDEX(종합!P$3:P$501,MATCH(ROW()-2,종합!$AD$3:$AD$501,0))&amp;"","")</f>
        <v/>
      </c>
      <c r="Q320" s="21" t="str">
        <f aca="false">IFERROR(INDEX(종합!Q$3:Q$501,MATCH(ROW()-2,종합!$AD$3:$AD$501,0))&amp;"","")</f>
        <v/>
      </c>
      <c r="R320" s="21" t="str">
        <f aca="false">IFERROR(INDEX(종합!R$3:R$501,MATCH(ROW()-2,종합!$AD$3:$AD$501,0))&amp;"","")</f>
        <v/>
      </c>
      <c r="S320" s="21" t="str">
        <f aca="false">IFERROR(INDEX(종합!S$3:S$501,MATCH(ROW()-2,종합!$AD$3:$AD$501,0))&amp;"","")</f>
        <v/>
      </c>
      <c r="T320" s="21" t="str">
        <f aca="false">IFERROR(INDEX(종합!T$3:T$501,MATCH(ROW()-2,종합!$AD$3:$AD$501,0))&amp;"","")</f>
        <v/>
      </c>
      <c r="U320" s="21" t="str">
        <f aca="false">IFERROR(INDEX(종합!U$3:U$501,MATCH(ROW()-2,종합!$AD$3:$AD$501,0))&amp;"","")</f>
        <v/>
      </c>
      <c r="V320" s="21" t="str">
        <f aca="false">IFERROR(INDEX(종합!V$3:V$501,MATCH(ROW()-2,종합!$AD$3:$AD$501,0))&amp;"","")</f>
        <v/>
      </c>
      <c r="W320" s="21" t="str">
        <f aca="false">IFERROR(INDEX(종합!W$3:W$501,MATCH(ROW()-2,종합!$AD$3:$AD$501,0))&amp;"","")</f>
        <v/>
      </c>
      <c r="X320" s="21" t="str">
        <f aca="false">IFERROR(INDEX(종합!X$3:X$501,MATCH(ROW()-2,종합!$AD$3:$AD$501,0))&amp;"","")</f>
        <v/>
      </c>
      <c r="Y320" s="21" t="str">
        <f aca="false">IFERROR(INDEX(종합!Y$3:Y$501,MATCH(ROW()-2,종합!$AD$3:$AD$501,0))&amp;"","")</f>
        <v/>
      </c>
      <c r="Z320" s="21" t="str">
        <f aca="false">IFERROR(INDEX(종합!Z$3:Z$501,MATCH(ROW()-2,종합!$AD$3:$AD$501,0))&amp;"","")</f>
        <v/>
      </c>
      <c r="AA320" s="23" t="str">
        <f aca="false">IFERROR(INDEX(종합!AA$3:AA$501,MATCH(ROW()-2,종합!$AD$3:$AD$501,0))&amp;"","")</f>
        <v/>
      </c>
    </row>
    <row r="321" customFormat="false" ht="16.5" hidden="false" customHeight="true" outlineLevel="0" collapsed="false">
      <c r="A321" s="18" t="str">
        <f aca="false">IF(B321="","",ROW()-2)</f>
        <v/>
      </c>
      <c r="B321" s="18" t="str">
        <f aca="false">IFERROR(INDEX(종합!B$3:B$501,MATCH(ROW()-2,종합!$AD$3:$AD$501,0))&amp;"","")</f>
        <v/>
      </c>
      <c r="C321" s="18" t="str">
        <f aca="false">IFERROR(INDEX(종합!C$3:C$501,MATCH(ROW()-2,종합!$AD$3:$AD$501,0))&amp;"","")</f>
        <v/>
      </c>
      <c r="D321" s="18" t="str">
        <f aca="false">IFERROR(INDEX(종합!D$3:D$501,MATCH(ROW()-2,종합!$AD$3:$AD$501,0))&amp;"","")</f>
        <v/>
      </c>
      <c r="E321" s="18" t="str">
        <f aca="false">IFERROR(INDEX(종합!E$3:E$501,MATCH(ROW()-2,종합!$AD$3:$AD$501,0))&amp;"","")</f>
        <v/>
      </c>
      <c r="F321" s="18" t="str">
        <f aca="false">IFERROR(INDEX(종합!F$3:F$501,MATCH(ROW()-2,종합!$AD$3:$AD$501,0))&amp;"","")</f>
        <v/>
      </c>
      <c r="G321" s="18" t="str">
        <f aca="false">IFERROR(INDEX(종합!G$3:G$501,MATCH(ROW()-2,종합!$AD$3:$AD$501,0))&amp;"","")</f>
        <v/>
      </c>
      <c r="H321" s="21" t="str">
        <f aca="false">IFERROR(INDEX(종합!H$3:H$501,MATCH(ROW()-2,종합!$AD$3:$AD$501,0))&amp;"","")</f>
        <v/>
      </c>
      <c r="I321" s="21" t="str">
        <f aca="false">IFERROR(INDEX(종합!I$3:I$501,MATCH(ROW()-2,종합!$AD$3:$AD$501,0))&amp;"","")</f>
        <v/>
      </c>
      <c r="J321" s="21" t="str">
        <f aca="false">IFERROR(INDEX(종합!J$3:J$501,MATCH(ROW()-2,종합!$AD$3:$AD$501,0))&amp;"","")</f>
        <v/>
      </c>
      <c r="K321" s="21" t="str">
        <f aca="false">IFERROR(INDEX(종합!K$3:K$501,MATCH(ROW()-2,종합!$AD$3:$AD$501,0))&amp;"","")</f>
        <v/>
      </c>
      <c r="L321" s="21" t="str">
        <f aca="false">IFERROR(INDEX(종합!L$3:L$501,MATCH(ROW()-2,종합!$AD$3:$AD$501,0))&amp;"","")</f>
        <v/>
      </c>
      <c r="M321" s="21" t="str">
        <f aca="false">IFERROR(INDEX(종합!M$3:M$501,MATCH(ROW()-2,종합!$AD$3:$AD$501,0))&amp;"","")</f>
        <v/>
      </c>
      <c r="N321" s="25" t="str">
        <f aca="false">IFERROR(INDEX(종합!N$3:N$501,MATCH(ROW()-2,종합!$AD$3:$AD$501,0))&amp;"","")</f>
        <v/>
      </c>
      <c r="O321" s="21" t="str">
        <f aca="false">IFERROR(INDEX(종합!O$3:O$501,MATCH(ROW()-2,종합!$AD$3:$AD$501,0))&amp;"","")</f>
        <v/>
      </c>
      <c r="P321" s="21" t="str">
        <f aca="false">IFERROR(INDEX(종합!P$3:P$501,MATCH(ROW()-2,종합!$AD$3:$AD$501,0))&amp;"","")</f>
        <v/>
      </c>
      <c r="Q321" s="21" t="str">
        <f aca="false">IFERROR(INDEX(종합!Q$3:Q$501,MATCH(ROW()-2,종합!$AD$3:$AD$501,0))&amp;"","")</f>
        <v/>
      </c>
      <c r="R321" s="21" t="str">
        <f aca="false">IFERROR(INDEX(종합!R$3:R$501,MATCH(ROW()-2,종합!$AD$3:$AD$501,0))&amp;"","")</f>
        <v/>
      </c>
      <c r="S321" s="21" t="str">
        <f aca="false">IFERROR(INDEX(종합!S$3:S$501,MATCH(ROW()-2,종합!$AD$3:$AD$501,0))&amp;"","")</f>
        <v/>
      </c>
      <c r="T321" s="21" t="str">
        <f aca="false">IFERROR(INDEX(종합!T$3:T$501,MATCH(ROW()-2,종합!$AD$3:$AD$501,0))&amp;"","")</f>
        <v/>
      </c>
      <c r="U321" s="21" t="str">
        <f aca="false">IFERROR(INDEX(종합!U$3:U$501,MATCH(ROW()-2,종합!$AD$3:$AD$501,0))&amp;"","")</f>
        <v/>
      </c>
      <c r="V321" s="21" t="str">
        <f aca="false">IFERROR(INDEX(종합!V$3:V$501,MATCH(ROW()-2,종합!$AD$3:$AD$501,0))&amp;"","")</f>
        <v/>
      </c>
      <c r="W321" s="21" t="str">
        <f aca="false">IFERROR(INDEX(종합!W$3:W$501,MATCH(ROW()-2,종합!$AD$3:$AD$501,0))&amp;"","")</f>
        <v/>
      </c>
      <c r="X321" s="21" t="str">
        <f aca="false">IFERROR(INDEX(종합!X$3:X$501,MATCH(ROW()-2,종합!$AD$3:$AD$501,0))&amp;"","")</f>
        <v/>
      </c>
      <c r="Y321" s="21" t="str">
        <f aca="false">IFERROR(INDEX(종합!Y$3:Y$501,MATCH(ROW()-2,종합!$AD$3:$AD$501,0))&amp;"","")</f>
        <v/>
      </c>
      <c r="Z321" s="21" t="str">
        <f aca="false">IFERROR(INDEX(종합!Z$3:Z$501,MATCH(ROW()-2,종합!$AD$3:$AD$501,0))&amp;"","")</f>
        <v/>
      </c>
      <c r="AA321" s="23" t="str">
        <f aca="false">IFERROR(INDEX(종합!AA$3:AA$501,MATCH(ROW()-2,종합!$AD$3:$AD$501,0))&amp;"","")</f>
        <v/>
      </c>
    </row>
    <row r="322" customFormat="false" ht="16.5" hidden="false" customHeight="true" outlineLevel="0" collapsed="false">
      <c r="A322" s="18" t="str">
        <f aca="false">IF(B322="","",ROW()-2)</f>
        <v/>
      </c>
      <c r="B322" s="18" t="str">
        <f aca="false">IFERROR(INDEX(종합!B$3:B$501,MATCH(ROW()-2,종합!$AD$3:$AD$501,0))&amp;"","")</f>
        <v/>
      </c>
      <c r="C322" s="18" t="str">
        <f aca="false">IFERROR(INDEX(종합!C$3:C$501,MATCH(ROW()-2,종합!$AD$3:$AD$501,0))&amp;"","")</f>
        <v/>
      </c>
      <c r="D322" s="18" t="str">
        <f aca="false">IFERROR(INDEX(종합!D$3:D$501,MATCH(ROW()-2,종합!$AD$3:$AD$501,0))&amp;"","")</f>
        <v/>
      </c>
      <c r="E322" s="18" t="str">
        <f aca="false">IFERROR(INDEX(종합!E$3:E$501,MATCH(ROW()-2,종합!$AD$3:$AD$501,0))&amp;"","")</f>
        <v/>
      </c>
      <c r="F322" s="18" t="str">
        <f aca="false">IFERROR(INDEX(종합!F$3:F$501,MATCH(ROW()-2,종합!$AD$3:$AD$501,0))&amp;"","")</f>
        <v/>
      </c>
      <c r="G322" s="18" t="str">
        <f aca="false">IFERROR(INDEX(종합!G$3:G$501,MATCH(ROW()-2,종합!$AD$3:$AD$501,0))&amp;"","")</f>
        <v/>
      </c>
      <c r="H322" s="21" t="str">
        <f aca="false">IFERROR(INDEX(종합!H$3:H$501,MATCH(ROW()-2,종합!$AD$3:$AD$501,0))&amp;"","")</f>
        <v/>
      </c>
      <c r="I322" s="21" t="str">
        <f aca="false">IFERROR(INDEX(종합!I$3:I$501,MATCH(ROW()-2,종합!$AD$3:$AD$501,0))&amp;"","")</f>
        <v/>
      </c>
      <c r="J322" s="21" t="str">
        <f aca="false">IFERROR(INDEX(종합!J$3:J$501,MATCH(ROW()-2,종합!$AD$3:$AD$501,0))&amp;"","")</f>
        <v/>
      </c>
      <c r="K322" s="21" t="str">
        <f aca="false">IFERROR(INDEX(종합!K$3:K$501,MATCH(ROW()-2,종합!$AD$3:$AD$501,0))&amp;"","")</f>
        <v/>
      </c>
      <c r="L322" s="21" t="str">
        <f aca="false">IFERROR(INDEX(종합!L$3:L$501,MATCH(ROW()-2,종합!$AD$3:$AD$501,0))&amp;"","")</f>
        <v/>
      </c>
      <c r="M322" s="21" t="str">
        <f aca="false">IFERROR(INDEX(종합!M$3:M$501,MATCH(ROW()-2,종합!$AD$3:$AD$501,0))&amp;"","")</f>
        <v/>
      </c>
      <c r="N322" s="25" t="str">
        <f aca="false">IFERROR(INDEX(종합!N$3:N$501,MATCH(ROW()-2,종합!$AD$3:$AD$501,0))&amp;"","")</f>
        <v/>
      </c>
      <c r="O322" s="21" t="str">
        <f aca="false">IFERROR(INDEX(종합!O$3:O$501,MATCH(ROW()-2,종합!$AD$3:$AD$501,0))&amp;"","")</f>
        <v/>
      </c>
      <c r="P322" s="21" t="str">
        <f aca="false">IFERROR(INDEX(종합!P$3:P$501,MATCH(ROW()-2,종합!$AD$3:$AD$501,0))&amp;"","")</f>
        <v/>
      </c>
      <c r="Q322" s="21" t="str">
        <f aca="false">IFERROR(INDEX(종합!Q$3:Q$501,MATCH(ROW()-2,종합!$AD$3:$AD$501,0))&amp;"","")</f>
        <v/>
      </c>
      <c r="R322" s="21" t="str">
        <f aca="false">IFERROR(INDEX(종합!R$3:R$501,MATCH(ROW()-2,종합!$AD$3:$AD$501,0))&amp;"","")</f>
        <v/>
      </c>
      <c r="S322" s="21" t="str">
        <f aca="false">IFERROR(INDEX(종합!S$3:S$501,MATCH(ROW()-2,종합!$AD$3:$AD$501,0))&amp;"","")</f>
        <v/>
      </c>
      <c r="T322" s="21" t="str">
        <f aca="false">IFERROR(INDEX(종합!T$3:T$501,MATCH(ROW()-2,종합!$AD$3:$AD$501,0))&amp;"","")</f>
        <v/>
      </c>
      <c r="U322" s="21" t="str">
        <f aca="false">IFERROR(INDEX(종합!U$3:U$501,MATCH(ROW()-2,종합!$AD$3:$AD$501,0))&amp;"","")</f>
        <v/>
      </c>
      <c r="V322" s="21" t="str">
        <f aca="false">IFERROR(INDEX(종합!V$3:V$501,MATCH(ROW()-2,종합!$AD$3:$AD$501,0))&amp;"","")</f>
        <v/>
      </c>
      <c r="W322" s="21" t="str">
        <f aca="false">IFERROR(INDEX(종합!W$3:W$501,MATCH(ROW()-2,종합!$AD$3:$AD$501,0))&amp;"","")</f>
        <v/>
      </c>
      <c r="X322" s="21" t="str">
        <f aca="false">IFERROR(INDEX(종합!X$3:X$501,MATCH(ROW()-2,종합!$AD$3:$AD$501,0))&amp;"","")</f>
        <v/>
      </c>
      <c r="Y322" s="21" t="str">
        <f aca="false">IFERROR(INDEX(종합!Y$3:Y$501,MATCH(ROW()-2,종합!$AD$3:$AD$501,0))&amp;"","")</f>
        <v/>
      </c>
      <c r="Z322" s="21" t="str">
        <f aca="false">IFERROR(INDEX(종합!Z$3:Z$501,MATCH(ROW()-2,종합!$AD$3:$AD$501,0))&amp;"","")</f>
        <v/>
      </c>
      <c r="AA322" s="23" t="str">
        <f aca="false">IFERROR(INDEX(종합!AA$3:AA$501,MATCH(ROW()-2,종합!$AD$3:$AD$501,0))&amp;"","")</f>
        <v/>
      </c>
    </row>
    <row r="323" customFormat="false" ht="16.5" hidden="false" customHeight="true" outlineLevel="0" collapsed="false">
      <c r="A323" s="18" t="str">
        <f aca="false">IF(B323="","",ROW()-2)</f>
        <v/>
      </c>
      <c r="B323" s="18" t="str">
        <f aca="false">IFERROR(INDEX(종합!B$3:B$501,MATCH(ROW()-2,종합!$AD$3:$AD$501,0))&amp;"","")</f>
        <v/>
      </c>
      <c r="C323" s="18" t="str">
        <f aca="false">IFERROR(INDEX(종합!C$3:C$501,MATCH(ROW()-2,종합!$AD$3:$AD$501,0))&amp;"","")</f>
        <v/>
      </c>
      <c r="D323" s="18" t="str">
        <f aca="false">IFERROR(INDEX(종합!D$3:D$501,MATCH(ROW()-2,종합!$AD$3:$AD$501,0))&amp;"","")</f>
        <v/>
      </c>
      <c r="E323" s="18" t="str">
        <f aca="false">IFERROR(INDEX(종합!E$3:E$501,MATCH(ROW()-2,종합!$AD$3:$AD$501,0))&amp;"","")</f>
        <v/>
      </c>
      <c r="F323" s="18" t="str">
        <f aca="false">IFERROR(INDEX(종합!F$3:F$501,MATCH(ROW()-2,종합!$AD$3:$AD$501,0))&amp;"","")</f>
        <v/>
      </c>
      <c r="G323" s="18" t="str">
        <f aca="false">IFERROR(INDEX(종합!G$3:G$501,MATCH(ROW()-2,종합!$AD$3:$AD$501,0))&amp;"","")</f>
        <v/>
      </c>
      <c r="H323" s="21" t="str">
        <f aca="false">IFERROR(INDEX(종합!H$3:H$501,MATCH(ROW()-2,종합!$AD$3:$AD$501,0))&amp;"","")</f>
        <v/>
      </c>
      <c r="I323" s="21" t="str">
        <f aca="false">IFERROR(INDEX(종합!I$3:I$501,MATCH(ROW()-2,종합!$AD$3:$AD$501,0))&amp;"","")</f>
        <v/>
      </c>
      <c r="J323" s="21" t="str">
        <f aca="false">IFERROR(INDEX(종합!J$3:J$501,MATCH(ROW()-2,종합!$AD$3:$AD$501,0))&amp;"","")</f>
        <v/>
      </c>
      <c r="K323" s="21" t="str">
        <f aca="false">IFERROR(INDEX(종합!K$3:K$501,MATCH(ROW()-2,종합!$AD$3:$AD$501,0))&amp;"","")</f>
        <v/>
      </c>
      <c r="L323" s="21" t="str">
        <f aca="false">IFERROR(INDEX(종합!L$3:L$501,MATCH(ROW()-2,종합!$AD$3:$AD$501,0))&amp;"","")</f>
        <v/>
      </c>
      <c r="M323" s="21" t="str">
        <f aca="false">IFERROR(INDEX(종합!M$3:M$501,MATCH(ROW()-2,종합!$AD$3:$AD$501,0))&amp;"","")</f>
        <v/>
      </c>
      <c r="N323" s="25" t="str">
        <f aca="false">IFERROR(INDEX(종합!N$3:N$501,MATCH(ROW()-2,종합!$AD$3:$AD$501,0))&amp;"","")</f>
        <v/>
      </c>
      <c r="O323" s="21" t="str">
        <f aca="false">IFERROR(INDEX(종합!O$3:O$501,MATCH(ROW()-2,종합!$AD$3:$AD$501,0))&amp;"","")</f>
        <v/>
      </c>
      <c r="P323" s="21" t="str">
        <f aca="false">IFERROR(INDEX(종합!P$3:P$501,MATCH(ROW()-2,종합!$AD$3:$AD$501,0))&amp;"","")</f>
        <v/>
      </c>
      <c r="Q323" s="21" t="str">
        <f aca="false">IFERROR(INDEX(종합!Q$3:Q$501,MATCH(ROW()-2,종합!$AD$3:$AD$501,0))&amp;"","")</f>
        <v/>
      </c>
      <c r="R323" s="21" t="str">
        <f aca="false">IFERROR(INDEX(종합!R$3:R$501,MATCH(ROW()-2,종합!$AD$3:$AD$501,0))&amp;"","")</f>
        <v/>
      </c>
      <c r="S323" s="21" t="str">
        <f aca="false">IFERROR(INDEX(종합!S$3:S$501,MATCH(ROW()-2,종합!$AD$3:$AD$501,0))&amp;"","")</f>
        <v/>
      </c>
      <c r="T323" s="21" t="str">
        <f aca="false">IFERROR(INDEX(종합!T$3:T$501,MATCH(ROW()-2,종합!$AD$3:$AD$501,0))&amp;"","")</f>
        <v/>
      </c>
      <c r="U323" s="21" t="str">
        <f aca="false">IFERROR(INDEX(종합!U$3:U$501,MATCH(ROW()-2,종합!$AD$3:$AD$501,0))&amp;"","")</f>
        <v/>
      </c>
      <c r="V323" s="21" t="str">
        <f aca="false">IFERROR(INDEX(종합!V$3:V$501,MATCH(ROW()-2,종합!$AD$3:$AD$501,0))&amp;"","")</f>
        <v/>
      </c>
      <c r="W323" s="21" t="str">
        <f aca="false">IFERROR(INDEX(종합!W$3:W$501,MATCH(ROW()-2,종합!$AD$3:$AD$501,0))&amp;"","")</f>
        <v/>
      </c>
      <c r="X323" s="21" t="str">
        <f aca="false">IFERROR(INDEX(종합!X$3:X$501,MATCH(ROW()-2,종합!$AD$3:$AD$501,0))&amp;"","")</f>
        <v/>
      </c>
      <c r="Y323" s="21" t="str">
        <f aca="false">IFERROR(INDEX(종합!Y$3:Y$501,MATCH(ROW()-2,종합!$AD$3:$AD$501,0))&amp;"","")</f>
        <v/>
      </c>
      <c r="Z323" s="21" t="str">
        <f aca="false">IFERROR(INDEX(종합!Z$3:Z$501,MATCH(ROW()-2,종합!$AD$3:$AD$501,0))&amp;"","")</f>
        <v/>
      </c>
      <c r="AA323" s="23" t="str">
        <f aca="false">IFERROR(INDEX(종합!AA$3:AA$501,MATCH(ROW()-2,종합!$AD$3:$AD$501,0))&amp;"","")</f>
        <v/>
      </c>
    </row>
    <row r="324" customFormat="false" ht="16.5" hidden="false" customHeight="true" outlineLevel="0" collapsed="false">
      <c r="A324" s="18" t="str">
        <f aca="false">IF(B324="","",ROW()-2)</f>
        <v/>
      </c>
      <c r="B324" s="18" t="str">
        <f aca="false">IFERROR(INDEX(종합!B$3:B$501,MATCH(ROW()-2,종합!$AD$3:$AD$501,0))&amp;"","")</f>
        <v/>
      </c>
      <c r="C324" s="18" t="str">
        <f aca="false">IFERROR(INDEX(종합!C$3:C$501,MATCH(ROW()-2,종합!$AD$3:$AD$501,0))&amp;"","")</f>
        <v/>
      </c>
      <c r="D324" s="18" t="str">
        <f aca="false">IFERROR(INDEX(종합!D$3:D$501,MATCH(ROW()-2,종합!$AD$3:$AD$501,0))&amp;"","")</f>
        <v/>
      </c>
      <c r="E324" s="18" t="str">
        <f aca="false">IFERROR(INDEX(종합!E$3:E$501,MATCH(ROW()-2,종합!$AD$3:$AD$501,0))&amp;"","")</f>
        <v/>
      </c>
      <c r="F324" s="18" t="str">
        <f aca="false">IFERROR(INDEX(종합!F$3:F$501,MATCH(ROW()-2,종합!$AD$3:$AD$501,0))&amp;"","")</f>
        <v/>
      </c>
      <c r="G324" s="18" t="str">
        <f aca="false">IFERROR(INDEX(종합!G$3:G$501,MATCH(ROW()-2,종합!$AD$3:$AD$501,0))&amp;"","")</f>
        <v/>
      </c>
      <c r="H324" s="21" t="str">
        <f aca="false">IFERROR(INDEX(종합!H$3:H$501,MATCH(ROW()-2,종합!$AD$3:$AD$501,0))&amp;"","")</f>
        <v/>
      </c>
      <c r="I324" s="21" t="str">
        <f aca="false">IFERROR(INDEX(종합!I$3:I$501,MATCH(ROW()-2,종합!$AD$3:$AD$501,0))&amp;"","")</f>
        <v/>
      </c>
      <c r="J324" s="21" t="str">
        <f aca="false">IFERROR(INDEX(종합!J$3:J$501,MATCH(ROW()-2,종합!$AD$3:$AD$501,0))&amp;"","")</f>
        <v/>
      </c>
      <c r="K324" s="21" t="str">
        <f aca="false">IFERROR(INDEX(종합!K$3:K$501,MATCH(ROW()-2,종합!$AD$3:$AD$501,0))&amp;"","")</f>
        <v/>
      </c>
      <c r="L324" s="21" t="str">
        <f aca="false">IFERROR(INDEX(종합!L$3:L$501,MATCH(ROW()-2,종합!$AD$3:$AD$501,0))&amp;"","")</f>
        <v/>
      </c>
      <c r="M324" s="21" t="str">
        <f aca="false">IFERROR(INDEX(종합!M$3:M$501,MATCH(ROW()-2,종합!$AD$3:$AD$501,0))&amp;"","")</f>
        <v/>
      </c>
      <c r="N324" s="25" t="str">
        <f aca="false">IFERROR(INDEX(종합!N$3:N$501,MATCH(ROW()-2,종합!$AD$3:$AD$501,0))&amp;"","")</f>
        <v/>
      </c>
      <c r="O324" s="21" t="str">
        <f aca="false">IFERROR(INDEX(종합!O$3:O$501,MATCH(ROW()-2,종합!$AD$3:$AD$501,0))&amp;"","")</f>
        <v/>
      </c>
      <c r="P324" s="21" t="str">
        <f aca="false">IFERROR(INDEX(종합!P$3:P$501,MATCH(ROW()-2,종합!$AD$3:$AD$501,0))&amp;"","")</f>
        <v/>
      </c>
      <c r="Q324" s="21" t="str">
        <f aca="false">IFERROR(INDEX(종합!Q$3:Q$501,MATCH(ROW()-2,종합!$AD$3:$AD$501,0))&amp;"","")</f>
        <v/>
      </c>
      <c r="R324" s="21" t="str">
        <f aca="false">IFERROR(INDEX(종합!R$3:R$501,MATCH(ROW()-2,종합!$AD$3:$AD$501,0))&amp;"","")</f>
        <v/>
      </c>
      <c r="S324" s="21" t="str">
        <f aca="false">IFERROR(INDEX(종합!S$3:S$501,MATCH(ROW()-2,종합!$AD$3:$AD$501,0))&amp;"","")</f>
        <v/>
      </c>
      <c r="T324" s="21" t="str">
        <f aca="false">IFERROR(INDEX(종합!T$3:T$501,MATCH(ROW()-2,종합!$AD$3:$AD$501,0))&amp;"","")</f>
        <v/>
      </c>
      <c r="U324" s="21" t="str">
        <f aca="false">IFERROR(INDEX(종합!U$3:U$501,MATCH(ROW()-2,종합!$AD$3:$AD$501,0))&amp;"","")</f>
        <v/>
      </c>
      <c r="V324" s="21" t="str">
        <f aca="false">IFERROR(INDEX(종합!V$3:V$501,MATCH(ROW()-2,종합!$AD$3:$AD$501,0))&amp;"","")</f>
        <v/>
      </c>
      <c r="W324" s="21" t="str">
        <f aca="false">IFERROR(INDEX(종합!W$3:W$501,MATCH(ROW()-2,종합!$AD$3:$AD$501,0))&amp;"","")</f>
        <v/>
      </c>
      <c r="X324" s="21" t="str">
        <f aca="false">IFERROR(INDEX(종합!X$3:X$501,MATCH(ROW()-2,종합!$AD$3:$AD$501,0))&amp;"","")</f>
        <v/>
      </c>
      <c r="Y324" s="21" t="str">
        <f aca="false">IFERROR(INDEX(종합!Y$3:Y$501,MATCH(ROW()-2,종합!$AD$3:$AD$501,0))&amp;"","")</f>
        <v/>
      </c>
      <c r="Z324" s="21" t="str">
        <f aca="false">IFERROR(INDEX(종합!Z$3:Z$501,MATCH(ROW()-2,종합!$AD$3:$AD$501,0))&amp;"","")</f>
        <v/>
      </c>
      <c r="AA324" s="23" t="str">
        <f aca="false">IFERROR(INDEX(종합!AA$3:AA$501,MATCH(ROW()-2,종합!$AD$3:$AD$501,0))&amp;"","")</f>
        <v/>
      </c>
    </row>
    <row r="325" customFormat="false" ht="16.5" hidden="false" customHeight="true" outlineLevel="0" collapsed="false">
      <c r="A325" s="18" t="str">
        <f aca="false">IF(B325="","",ROW()-2)</f>
        <v/>
      </c>
      <c r="B325" s="18" t="str">
        <f aca="false">IFERROR(INDEX(종합!B$3:B$501,MATCH(ROW()-2,종합!$AD$3:$AD$501,0))&amp;"","")</f>
        <v/>
      </c>
      <c r="C325" s="18" t="str">
        <f aca="false">IFERROR(INDEX(종합!C$3:C$501,MATCH(ROW()-2,종합!$AD$3:$AD$501,0))&amp;"","")</f>
        <v/>
      </c>
      <c r="D325" s="18" t="str">
        <f aca="false">IFERROR(INDEX(종합!D$3:D$501,MATCH(ROW()-2,종합!$AD$3:$AD$501,0))&amp;"","")</f>
        <v/>
      </c>
      <c r="E325" s="18" t="str">
        <f aca="false">IFERROR(INDEX(종합!E$3:E$501,MATCH(ROW()-2,종합!$AD$3:$AD$501,0))&amp;"","")</f>
        <v/>
      </c>
      <c r="F325" s="18" t="str">
        <f aca="false">IFERROR(INDEX(종합!F$3:F$501,MATCH(ROW()-2,종합!$AD$3:$AD$501,0))&amp;"","")</f>
        <v/>
      </c>
      <c r="G325" s="18" t="str">
        <f aca="false">IFERROR(INDEX(종합!G$3:G$501,MATCH(ROW()-2,종합!$AD$3:$AD$501,0))&amp;"","")</f>
        <v/>
      </c>
      <c r="H325" s="21" t="str">
        <f aca="false">IFERROR(INDEX(종합!H$3:H$501,MATCH(ROW()-2,종합!$AD$3:$AD$501,0))&amp;"","")</f>
        <v/>
      </c>
      <c r="I325" s="21" t="str">
        <f aca="false">IFERROR(INDEX(종합!I$3:I$501,MATCH(ROW()-2,종합!$AD$3:$AD$501,0))&amp;"","")</f>
        <v/>
      </c>
      <c r="J325" s="21" t="str">
        <f aca="false">IFERROR(INDEX(종합!J$3:J$501,MATCH(ROW()-2,종합!$AD$3:$AD$501,0))&amp;"","")</f>
        <v/>
      </c>
      <c r="K325" s="21" t="str">
        <f aca="false">IFERROR(INDEX(종합!K$3:K$501,MATCH(ROW()-2,종합!$AD$3:$AD$501,0))&amp;"","")</f>
        <v/>
      </c>
      <c r="L325" s="21" t="str">
        <f aca="false">IFERROR(INDEX(종합!L$3:L$501,MATCH(ROW()-2,종합!$AD$3:$AD$501,0))&amp;"","")</f>
        <v/>
      </c>
      <c r="M325" s="21" t="str">
        <f aca="false">IFERROR(INDEX(종합!M$3:M$501,MATCH(ROW()-2,종합!$AD$3:$AD$501,0))&amp;"","")</f>
        <v/>
      </c>
      <c r="N325" s="25" t="str">
        <f aca="false">IFERROR(INDEX(종합!N$3:N$501,MATCH(ROW()-2,종합!$AD$3:$AD$501,0))&amp;"","")</f>
        <v/>
      </c>
      <c r="O325" s="21" t="str">
        <f aca="false">IFERROR(INDEX(종합!O$3:O$501,MATCH(ROW()-2,종합!$AD$3:$AD$501,0))&amp;"","")</f>
        <v/>
      </c>
      <c r="P325" s="21" t="str">
        <f aca="false">IFERROR(INDEX(종합!P$3:P$501,MATCH(ROW()-2,종합!$AD$3:$AD$501,0))&amp;"","")</f>
        <v/>
      </c>
      <c r="Q325" s="21" t="str">
        <f aca="false">IFERROR(INDEX(종합!Q$3:Q$501,MATCH(ROW()-2,종합!$AD$3:$AD$501,0))&amp;"","")</f>
        <v/>
      </c>
      <c r="R325" s="21" t="str">
        <f aca="false">IFERROR(INDEX(종합!R$3:R$501,MATCH(ROW()-2,종합!$AD$3:$AD$501,0))&amp;"","")</f>
        <v/>
      </c>
      <c r="S325" s="21" t="str">
        <f aca="false">IFERROR(INDEX(종합!S$3:S$501,MATCH(ROW()-2,종합!$AD$3:$AD$501,0))&amp;"","")</f>
        <v/>
      </c>
      <c r="T325" s="21" t="str">
        <f aca="false">IFERROR(INDEX(종합!T$3:T$501,MATCH(ROW()-2,종합!$AD$3:$AD$501,0))&amp;"","")</f>
        <v/>
      </c>
      <c r="U325" s="21" t="str">
        <f aca="false">IFERROR(INDEX(종합!U$3:U$501,MATCH(ROW()-2,종합!$AD$3:$AD$501,0))&amp;"","")</f>
        <v/>
      </c>
      <c r="V325" s="21" t="str">
        <f aca="false">IFERROR(INDEX(종합!V$3:V$501,MATCH(ROW()-2,종합!$AD$3:$AD$501,0))&amp;"","")</f>
        <v/>
      </c>
      <c r="W325" s="21" t="str">
        <f aca="false">IFERROR(INDEX(종합!W$3:W$501,MATCH(ROW()-2,종합!$AD$3:$AD$501,0))&amp;"","")</f>
        <v/>
      </c>
      <c r="X325" s="21" t="str">
        <f aca="false">IFERROR(INDEX(종합!X$3:X$501,MATCH(ROW()-2,종합!$AD$3:$AD$501,0))&amp;"","")</f>
        <v/>
      </c>
      <c r="Y325" s="21" t="str">
        <f aca="false">IFERROR(INDEX(종합!Y$3:Y$501,MATCH(ROW()-2,종합!$AD$3:$AD$501,0))&amp;"","")</f>
        <v/>
      </c>
      <c r="Z325" s="21" t="str">
        <f aca="false">IFERROR(INDEX(종합!Z$3:Z$501,MATCH(ROW()-2,종합!$AD$3:$AD$501,0))&amp;"","")</f>
        <v/>
      </c>
      <c r="AA325" s="23" t="str">
        <f aca="false">IFERROR(INDEX(종합!AA$3:AA$501,MATCH(ROW()-2,종합!$AD$3:$AD$501,0))&amp;"","")</f>
        <v/>
      </c>
    </row>
    <row r="326" customFormat="false" ht="16.5" hidden="false" customHeight="true" outlineLevel="0" collapsed="false">
      <c r="A326" s="18" t="str">
        <f aca="false">IF(B326="","",ROW()-2)</f>
        <v/>
      </c>
      <c r="B326" s="18" t="str">
        <f aca="false">IFERROR(INDEX(종합!B$3:B$501,MATCH(ROW()-2,종합!$AD$3:$AD$501,0))&amp;"","")</f>
        <v/>
      </c>
      <c r="C326" s="18" t="str">
        <f aca="false">IFERROR(INDEX(종합!C$3:C$501,MATCH(ROW()-2,종합!$AD$3:$AD$501,0))&amp;"","")</f>
        <v/>
      </c>
      <c r="D326" s="18" t="str">
        <f aca="false">IFERROR(INDEX(종합!D$3:D$501,MATCH(ROW()-2,종합!$AD$3:$AD$501,0))&amp;"","")</f>
        <v/>
      </c>
      <c r="E326" s="18" t="str">
        <f aca="false">IFERROR(INDEX(종합!E$3:E$501,MATCH(ROW()-2,종합!$AD$3:$AD$501,0))&amp;"","")</f>
        <v/>
      </c>
      <c r="F326" s="18" t="str">
        <f aca="false">IFERROR(INDEX(종합!F$3:F$501,MATCH(ROW()-2,종합!$AD$3:$AD$501,0))&amp;"","")</f>
        <v/>
      </c>
      <c r="G326" s="18" t="str">
        <f aca="false">IFERROR(INDEX(종합!G$3:G$501,MATCH(ROW()-2,종합!$AD$3:$AD$501,0))&amp;"","")</f>
        <v/>
      </c>
      <c r="H326" s="21" t="str">
        <f aca="false">IFERROR(INDEX(종합!H$3:H$501,MATCH(ROW()-2,종합!$AD$3:$AD$501,0))&amp;"","")</f>
        <v/>
      </c>
      <c r="I326" s="21" t="str">
        <f aca="false">IFERROR(INDEX(종합!I$3:I$501,MATCH(ROW()-2,종합!$AD$3:$AD$501,0))&amp;"","")</f>
        <v/>
      </c>
      <c r="J326" s="21" t="str">
        <f aca="false">IFERROR(INDEX(종합!J$3:J$501,MATCH(ROW()-2,종합!$AD$3:$AD$501,0))&amp;"","")</f>
        <v/>
      </c>
      <c r="K326" s="21" t="str">
        <f aca="false">IFERROR(INDEX(종합!K$3:K$501,MATCH(ROW()-2,종합!$AD$3:$AD$501,0))&amp;"","")</f>
        <v/>
      </c>
      <c r="L326" s="21" t="str">
        <f aca="false">IFERROR(INDEX(종합!L$3:L$501,MATCH(ROW()-2,종합!$AD$3:$AD$501,0))&amp;"","")</f>
        <v/>
      </c>
      <c r="M326" s="21" t="str">
        <f aca="false">IFERROR(INDEX(종합!M$3:M$501,MATCH(ROW()-2,종합!$AD$3:$AD$501,0))&amp;"","")</f>
        <v/>
      </c>
      <c r="N326" s="25" t="str">
        <f aca="false">IFERROR(INDEX(종합!N$3:N$501,MATCH(ROW()-2,종합!$AD$3:$AD$501,0))&amp;"","")</f>
        <v/>
      </c>
      <c r="O326" s="21" t="str">
        <f aca="false">IFERROR(INDEX(종합!O$3:O$501,MATCH(ROW()-2,종합!$AD$3:$AD$501,0))&amp;"","")</f>
        <v/>
      </c>
      <c r="P326" s="21" t="str">
        <f aca="false">IFERROR(INDEX(종합!P$3:P$501,MATCH(ROW()-2,종합!$AD$3:$AD$501,0))&amp;"","")</f>
        <v/>
      </c>
      <c r="Q326" s="21" t="str">
        <f aca="false">IFERROR(INDEX(종합!Q$3:Q$501,MATCH(ROW()-2,종합!$AD$3:$AD$501,0))&amp;"","")</f>
        <v/>
      </c>
      <c r="R326" s="21" t="str">
        <f aca="false">IFERROR(INDEX(종합!R$3:R$501,MATCH(ROW()-2,종합!$AD$3:$AD$501,0))&amp;"","")</f>
        <v/>
      </c>
      <c r="S326" s="21" t="str">
        <f aca="false">IFERROR(INDEX(종합!S$3:S$501,MATCH(ROW()-2,종합!$AD$3:$AD$501,0))&amp;"","")</f>
        <v/>
      </c>
      <c r="T326" s="21" t="str">
        <f aca="false">IFERROR(INDEX(종합!T$3:T$501,MATCH(ROW()-2,종합!$AD$3:$AD$501,0))&amp;"","")</f>
        <v/>
      </c>
      <c r="U326" s="21" t="str">
        <f aca="false">IFERROR(INDEX(종합!U$3:U$501,MATCH(ROW()-2,종합!$AD$3:$AD$501,0))&amp;"","")</f>
        <v/>
      </c>
      <c r="V326" s="21" t="str">
        <f aca="false">IFERROR(INDEX(종합!V$3:V$501,MATCH(ROW()-2,종합!$AD$3:$AD$501,0))&amp;"","")</f>
        <v/>
      </c>
      <c r="W326" s="21" t="str">
        <f aca="false">IFERROR(INDEX(종합!W$3:W$501,MATCH(ROW()-2,종합!$AD$3:$AD$501,0))&amp;"","")</f>
        <v/>
      </c>
      <c r="X326" s="21" t="str">
        <f aca="false">IFERROR(INDEX(종합!X$3:X$501,MATCH(ROW()-2,종합!$AD$3:$AD$501,0))&amp;"","")</f>
        <v/>
      </c>
      <c r="Y326" s="21" t="str">
        <f aca="false">IFERROR(INDEX(종합!Y$3:Y$501,MATCH(ROW()-2,종합!$AD$3:$AD$501,0))&amp;"","")</f>
        <v/>
      </c>
      <c r="Z326" s="21" t="str">
        <f aca="false">IFERROR(INDEX(종합!Z$3:Z$501,MATCH(ROW()-2,종합!$AD$3:$AD$501,0))&amp;"","")</f>
        <v/>
      </c>
      <c r="AA326" s="23" t="str">
        <f aca="false">IFERROR(INDEX(종합!AA$3:AA$501,MATCH(ROW()-2,종합!$AD$3:$AD$501,0))&amp;"","")</f>
        <v/>
      </c>
    </row>
    <row r="327" customFormat="false" ht="16.5" hidden="false" customHeight="true" outlineLevel="0" collapsed="false">
      <c r="A327" s="18" t="str">
        <f aca="false">IF(B327="","",ROW()-2)</f>
        <v/>
      </c>
      <c r="B327" s="18" t="str">
        <f aca="false">IFERROR(INDEX(종합!B$3:B$501,MATCH(ROW()-2,종합!$AD$3:$AD$501,0))&amp;"","")</f>
        <v/>
      </c>
      <c r="C327" s="18" t="str">
        <f aca="false">IFERROR(INDEX(종합!C$3:C$501,MATCH(ROW()-2,종합!$AD$3:$AD$501,0))&amp;"","")</f>
        <v/>
      </c>
      <c r="D327" s="18" t="str">
        <f aca="false">IFERROR(INDEX(종합!D$3:D$501,MATCH(ROW()-2,종합!$AD$3:$AD$501,0))&amp;"","")</f>
        <v/>
      </c>
      <c r="E327" s="18" t="str">
        <f aca="false">IFERROR(INDEX(종합!E$3:E$501,MATCH(ROW()-2,종합!$AD$3:$AD$501,0))&amp;"","")</f>
        <v/>
      </c>
      <c r="F327" s="18" t="str">
        <f aca="false">IFERROR(INDEX(종합!F$3:F$501,MATCH(ROW()-2,종합!$AD$3:$AD$501,0))&amp;"","")</f>
        <v/>
      </c>
      <c r="G327" s="18" t="str">
        <f aca="false">IFERROR(INDEX(종합!G$3:G$501,MATCH(ROW()-2,종합!$AD$3:$AD$501,0))&amp;"","")</f>
        <v/>
      </c>
      <c r="H327" s="21" t="str">
        <f aca="false">IFERROR(INDEX(종합!H$3:H$501,MATCH(ROW()-2,종합!$AD$3:$AD$501,0))&amp;"","")</f>
        <v/>
      </c>
      <c r="I327" s="21" t="str">
        <f aca="false">IFERROR(INDEX(종합!I$3:I$501,MATCH(ROW()-2,종합!$AD$3:$AD$501,0))&amp;"","")</f>
        <v/>
      </c>
      <c r="J327" s="21" t="str">
        <f aca="false">IFERROR(INDEX(종합!J$3:J$501,MATCH(ROW()-2,종합!$AD$3:$AD$501,0))&amp;"","")</f>
        <v/>
      </c>
      <c r="K327" s="21" t="str">
        <f aca="false">IFERROR(INDEX(종합!K$3:K$501,MATCH(ROW()-2,종합!$AD$3:$AD$501,0))&amp;"","")</f>
        <v/>
      </c>
      <c r="L327" s="21" t="str">
        <f aca="false">IFERROR(INDEX(종합!L$3:L$501,MATCH(ROW()-2,종합!$AD$3:$AD$501,0))&amp;"","")</f>
        <v/>
      </c>
      <c r="M327" s="21" t="str">
        <f aca="false">IFERROR(INDEX(종합!M$3:M$501,MATCH(ROW()-2,종합!$AD$3:$AD$501,0))&amp;"","")</f>
        <v/>
      </c>
      <c r="N327" s="25" t="str">
        <f aca="false">IFERROR(INDEX(종합!N$3:N$501,MATCH(ROW()-2,종합!$AD$3:$AD$501,0))&amp;"","")</f>
        <v/>
      </c>
      <c r="O327" s="21" t="str">
        <f aca="false">IFERROR(INDEX(종합!O$3:O$501,MATCH(ROW()-2,종합!$AD$3:$AD$501,0))&amp;"","")</f>
        <v/>
      </c>
      <c r="P327" s="21" t="str">
        <f aca="false">IFERROR(INDEX(종합!P$3:P$501,MATCH(ROW()-2,종합!$AD$3:$AD$501,0))&amp;"","")</f>
        <v/>
      </c>
      <c r="Q327" s="21" t="str">
        <f aca="false">IFERROR(INDEX(종합!Q$3:Q$501,MATCH(ROW()-2,종합!$AD$3:$AD$501,0))&amp;"","")</f>
        <v/>
      </c>
      <c r="R327" s="21" t="str">
        <f aca="false">IFERROR(INDEX(종합!R$3:R$501,MATCH(ROW()-2,종합!$AD$3:$AD$501,0))&amp;"","")</f>
        <v/>
      </c>
      <c r="S327" s="21" t="str">
        <f aca="false">IFERROR(INDEX(종합!S$3:S$501,MATCH(ROW()-2,종합!$AD$3:$AD$501,0))&amp;"","")</f>
        <v/>
      </c>
      <c r="T327" s="21" t="str">
        <f aca="false">IFERROR(INDEX(종합!T$3:T$501,MATCH(ROW()-2,종합!$AD$3:$AD$501,0))&amp;"","")</f>
        <v/>
      </c>
      <c r="U327" s="21" t="str">
        <f aca="false">IFERROR(INDEX(종합!U$3:U$501,MATCH(ROW()-2,종합!$AD$3:$AD$501,0))&amp;"","")</f>
        <v/>
      </c>
      <c r="V327" s="21" t="str">
        <f aca="false">IFERROR(INDEX(종합!V$3:V$501,MATCH(ROW()-2,종합!$AD$3:$AD$501,0))&amp;"","")</f>
        <v/>
      </c>
      <c r="W327" s="21" t="str">
        <f aca="false">IFERROR(INDEX(종합!W$3:W$501,MATCH(ROW()-2,종합!$AD$3:$AD$501,0))&amp;"","")</f>
        <v/>
      </c>
      <c r="X327" s="21" t="str">
        <f aca="false">IFERROR(INDEX(종합!X$3:X$501,MATCH(ROW()-2,종합!$AD$3:$AD$501,0))&amp;"","")</f>
        <v/>
      </c>
      <c r="Y327" s="21" t="str">
        <f aca="false">IFERROR(INDEX(종합!Y$3:Y$501,MATCH(ROW()-2,종합!$AD$3:$AD$501,0))&amp;"","")</f>
        <v/>
      </c>
      <c r="Z327" s="21" t="str">
        <f aca="false">IFERROR(INDEX(종합!Z$3:Z$501,MATCH(ROW()-2,종합!$AD$3:$AD$501,0))&amp;"","")</f>
        <v/>
      </c>
      <c r="AA327" s="23" t="str">
        <f aca="false">IFERROR(INDEX(종합!AA$3:AA$501,MATCH(ROW()-2,종합!$AD$3:$AD$501,0))&amp;"","")</f>
        <v/>
      </c>
    </row>
    <row r="328" customFormat="false" ht="16.5" hidden="false" customHeight="true" outlineLevel="0" collapsed="false">
      <c r="A328" s="18" t="str">
        <f aca="false">IF(B328="","",ROW()-2)</f>
        <v/>
      </c>
      <c r="B328" s="18" t="str">
        <f aca="false">IFERROR(INDEX(종합!B$3:B$501,MATCH(ROW()-2,종합!$AD$3:$AD$501,0))&amp;"","")</f>
        <v/>
      </c>
      <c r="C328" s="18" t="str">
        <f aca="false">IFERROR(INDEX(종합!C$3:C$501,MATCH(ROW()-2,종합!$AD$3:$AD$501,0))&amp;"","")</f>
        <v/>
      </c>
      <c r="D328" s="18" t="str">
        <f aca="false">IFERROR(INDEX(종합!D$3:D$501,MATCH(ROW()-2,종합!$AD$3:$AD$501,0))&amp;"","")</f>
        <v/>
      </c>
      <c r="E328" s="18" t="str">
        <f aca="false">IFERROR(INDEX(종합!E$3:E$501,MATCH(ROW()-2,종합!$AD$3:$AD$501,0))&amp;"","")</f>
        <v/>
      </c>
      <c r="F328" s="18" t="str">
        <f aca="false">IFERROR(INDEX(종합!F$3:F$501,MATCH(ROW()-2,종합!$AD$3:$AD$501,0))&amp;"","")</f>
        <v/>
      </c>
      <c r="G328" s="18" t="str">
        <f aca="false">IFERROR(INDEX(종합!G$3:G$501,MATCH(ROW()-2,종합!$AD$3:$AD$501,0))&amp;"","")</f>
        <v/>
      </c>
      <c r="H328" s="21" t="str">
        <f aca="false">IFERROR(INDEX(종합!H$3:H$501,MATCH(ROW()-2,종합!$AD$3:$AD$501,0))&amp;"","")</f>
        <v/>
      </c>
      <c r="I328" s="21" t="str">
        <f aca="false">IFERROR(INDEX(종합!I$3:I$501,MATCH(ROW()-2,종합!$AD$3:$AD$501,0))&amp;"","")</f>
        <v/>
      </c>
      <c r="J328" s="21" t="str">
        <f aca="false">IFERROR(INDEX(종합!J$3:J$501,MATCH(ROW()-2,종합!$AD$3:$AD$501,0))&amp;"","")</f>
        <v/>
      </c>
      <c r="K328" s="21" t="str">
        <f aca="false">IFERROR(INDEX(종합!K$3:K$501,MATCH(ROW()-2,종합!$AD$3:$AD$501,0))&amp;"","")</f>
        <v/>
      </c>
      <c r="L328" s="21" t="str">
        <f aca="false">IFERROR(INDEX(종합!L$3:L$501,MATCH(ROW()-2,종합!$AD$3:$AD$501,0))&amp;"","")</f>
        <v/>
      </c>
      <c r="M328" s="21" t="str">
        <f aca="false">IFERROR(INDEX(종합!M$3:M$501,MATCH(ROW()-2,종합!$AD$3:$AD$501,0))&amp;"","")</f>
        <v/>
      </c>
      <c r="N328" s="25" t="str">
        <f aca="false">IFERROR(INDEX(종합!N$3:N$501,MATCH(ROW()-2,종합!$AD$3:$AD$501,0))&amp;"","")</f>
        <v/>
      </c>
      <c r="O328" s="21" t="str">
        <f aca="false">IFERROR(INDEX(종합!O$3:O$501,MATCH(ROW()-2,종합!$AD$3:$AD$501,0))&amp;"","")</f>
        <v/>
      </c>
      <c r="P328" s="21" t="str">
        <f aca="false">IFERROR(INDEX(종합!P$3:P$501,MATCH(ROW()-2,종합!$AD$3:$AD$501,0))&amp;"","")</f>
        <v/>
      </c>
      <c r="Q328" s="21" t="str">
        <f aca="false">IFERROR(INDEX(종합!Q$3:Q$501,MATCH(ROW()-2,종합!$AD$3:$AD$501,0))&amp;"","")</f>
        <v/>
      </c>
      <c r="R328" s="21" t="str">
        <f aca="false">IFERROR(INDEX(종합!R$3:R$501,MATCH(ROW()-2,종합!$AD$3:$AD$501,0))&amp;"","")</f>
        <v/>
      </c>
      <c r="S328" s="21" t="str">
        <f aca="false">IFERROR(INDEX(종합!S$3:S$501,MATCH(ROW()-2,종합!$AD$3:$AD$501,0))&amp;"","")</f>
        <v/>
      </c>
      <c r="T328" s="21" t="str">
        <f aca="false">IFERROR(INDEX(종합!T$3:T$501,MATCH(ROW()-2,종합!$AD$3:$AD$501,0))&amp;"","")</f>
        <v/>
      </c>
      <c r="U328" s="21" t="str">
        <f aca="false">IFERROR(INDEX(종합!U$3:U$501,MATCH(ROW()-2,종합!$AD$3:$AD$501,0))&amp;"","")</f>
        <v/>
      </c>
      <c r="V328" s="21" t="str">
        <f aca="false">IFERROR(INDEX(종합!V$3:V$501,MATCH(ROW()-2,종합!$AD$3:$AD$501,0))&amp;"","")</f>
        <v/>
      </c>
      <c r="W328" s="21" t="str">
        <f aca="false">IFERROR(INDEX(종합!W$3:W$501,MATCH(ROW()-2,종합!$AD$3:$AD$501,0))&amp;"","")</f>
        <v/>
      </c>
      <c r="X328" s="21" t="str">
        <f aca="false">IFERROR(INDEX(종합!X$3:X$501,MATCH(ROW()-2,종합!$AD$3:$AD$501,0))&amp;"","")</f>
        <v/>
      </c>
      <c r="Y328" s="21" t="str">
        <f aca="false">IFERROR(INDEX(종합!Y$3:Y$501,MATCH(ROW()-2,종합!$AD$3:$AD$501,0))&amp;"","")</f>
        <v/>
      </c>
      <c r="Z328" s="21" t="str">
        <f aca="false">IFERROR(INDEX(종합!Z$3:Z$501,MATCH(ROW()-2,종합!$AD$3:$AD$501,0))&amp;"","")</f>
        <v/>
      </c>
      <c r="AA328" s="23" t="str">
        <f aca="false">IFERROR(INDEX(종합!AA$3:AA$501,MATCH(ROW()-2,종합!$AD$3:$AD$501,0))&amp;"","")</f>
        <v/>
      </c>
    </row>
    <row r="329" customFormat="false" ht="16.5" hidden="false" customHeight="true" outlineLevel="0" collapsed="false">
      <c r="A329" s="18" t="str">
        <f aca="false">IF(B329="","",ROW()-2)</f>
        <v/>
      </c>
      <c r="B329" s="18" t="str">
        <f aca="false">IFERROR(INDEX(종합!B$3:B$501,MATCH(ROW()-2,종합!$AD$3:$AD$501,0))&amp;"","")</f>
        <v/>
      </c>
      <c r="C329" s="18" t="str">
        <f aca="false">IFERROR(INDEX(종합!C$3:C$501,MATCH(ROW()-2,종합!$AD$3:$AD$501,0))&amp;"","")</f>
        <v/>
      </c>
      <c r="D329" s="18" t="str">
        <f aca="false">IFERROR(INDEX(종합!D$3:D$501,MATCH(ROW()-2,종합!$AD$3:$AD$501,0))&amp;"","")</f>
        <v/>
      </c>
      <c r="E329" s="18" t="str">
        <f aca="false">IFERROR(INDEX(종합!E$3:E$501,MATCH(ROW()-2,종합!$AD$3:$AD$501,0))&amp;"","")</f>
        <v/>
      </c>
      <c r="F329" s="18" t="str">
        <f aca="false">IFERROR(INDEX(종합!F$3:F$501,MATCH(ROW()-2,종합!$AD$3:$AD$501,0))&amp;"","")</f>
        <v/>
      </c>
      <c r="G329" s="18" t="str">
        <f aca="false">IFERROR(INDEX(종합!G$3:G$501,MATCH(ROW()-2,종합!$AD$3:$AD$501,0))&amp;"","")</f>
        <v/>
      </c>
      <c r="H329" s="21" t="str">
        <f aca="false">IFERROR(INDEX(종합!H$3:H$501,MATCH(ROW()-2,종합!$AD$3:$AD$501,0))&amp;"","")</f>
        <v/>
      </c>
      <c r="I329" s="21" t="str">
        <f aca="false">IFERROR(INDEX(종합!I$3:I$501,MATCH(ROW()-2,종합!$AD$3:$AD$501,0))&amp;"","")</f>
        <v/>
      </c>
      <c r="J329" s="21" t="str">
        <f aca="false">IFERROR(INDEX(종합!J$3:J$501,MATCH(ROW()-2,종합!$AD$3:$AD$501,0))&amp;"","")</f>
        <v/>
      </c>
      <c r="K329" s="21" t="str">
        <f aca="false">IFERROR(INDEX(종합!K$3:K$501,MATCH(ROW()-2,종합!$AD$3:$AD$501,0))&amp;"","")</f>
        <v/>
      </c>
      <c r="L329" s="21" t="str">
        <f aca="false">IFERROR(INDEX(종합!L$3:L$501,MATCH(ROW()-2,종합!$AD$3:$AD$501,0))&amp;"","")</f>
        <v/>
      </c>
      <c r="M329" s="21" t="str">
        <f aca="false">IFERROR(INDEX(종합!M$3:M$501,MATCH(ROW()-2,종합!$AD$3:$AD$501,0))&amp;"","")</f>
        <v/>
      </c>
      <c r="N329" s="25" t="str">
        <f aca="false">IFERROR(INDEX(종합!N$3:N$501,MATCH(ROW()-2,종합!$AD$3:$AD$501,0))&amp;"","")</f>
        <v/>
      </c>
      <c r="O329" s="21" t="str">
        <f aca="false">IFERROR(INDEX(종합!O$3:O$501,MATCH(ROW()-2,종합!$AD$3:$AD$501,0))&amp;"","")</f>
        <v/>
      </c>
      <c r="P329" s="21" t="str">
        <f aca="false">IFERROR(INDEX(종합!P$3:P$501,MATCH(ROW()-2,종합!$AD$3:$AD$501,0))&amp;"","")</f>
        <v/>
      </c>
      <c r="Q329" s="21" t="str">
        <f aca="false">IFERROR(INDEX(종합!Q$3:Q$501,MATCH(ROW()-2,종합!$AD$3:$AD$501,0))&amp;"","")</f>
        <v/>
      </c>
      <c r="R329" s="21" t="str">
        <f aca="false">IFERROR(INDEX(종합!R$3:R$501,MATCH(ROW()-2,종합!$AD$3:$AD$501,0))&amp;"","")</f>
        <v/>
      </c>
      <c r="S329" s="21" t="str">
        <f aca="false">IFERROR(INDEX(종합!S$3:S$501,MATCH(ROW()-2,종합!$AD$3:$AD$501,0))&amp;"","")</f>
        <v/>
      </c>
      <c r="T329" s="21" t="str">
        <f aca="false">IFERROR(INDEX(종합!T$3:T$501,MATCH(ROW()-2,종합!$AD$3:$AD$501,0))&amp;"","")</f>
        <v/>
      </c>
      <c r="U329" s="21" t="str">
        <f aca="false">IFERROR(INDEX(종합!U$3:U$501,MATCH(ROW()-2,종합!$AD$3:$AD$501,0))&amp;"","")</f>
        <v/>
      </c>
      <c r="V329" s="21" t="str">
        <f aca="false">IFERROR(INDEX(종합!V$3:V$501,MATCH(ROW()-2,종합!$AD$3:$AD$501,0))&amp;"","")</f>
        <v/>
      </c>
      <c r="W329" s="21" t="str">
        <f aca="false">IFERROR(INDEX(종합!W$3:W$501,MATCH(ROW()-2,종합!$AD$3:$AD$501,0))&amp;"","")</f>
        <v/>
      </c>
      <c r="X329" s="21" t="str">
        <f aca="false">IFERROR(INDEX(종합!X$3:X$501,MATCH(ROW()-2,종합!$AD$3:$AD$501,0))&amp;"","")</f>
        <v/>
      </c>
      <c r="Y329" s="21" t="str">
        <f aca="false">IFERROR(INDEX(종합!Y$3:Y$501,MATCH(ROW()-2,종합!$AD$3:$AD$501,0))&amp;"","")</f>
        <v/>
      </c>
      <c r="Z329" s="21" t="str">
        <f aca="false">IFERROR(INDEX(종합!Z$3:Z$501,MATCH(ROW()-2,종합!$AD$3:$AD$501,0))&amp;"","")</f>
        <v/>
      </c>
      <c r="AA329" s="23" t="str">
        <f aca="false">IFERROR(INDEX(종합!AA$3:AA$501,MATCH(ROW()-2,종합!$AD$3:$AD$501,0))&amp;"","")</f>
        <v/>
      </c>
    </row>
    <row r="330" customFormat="false" ht="16.5" hidden="false" customHeight="true" outlineLevel="0" collapsed="false">
      <c r="A330" s="18" t="str">
        <f aca="false">IF(B330="","",ROW()-2)</f>
        <v/>
      </c>
      <c r="B330" s="18" t="str">
        <f aca="false">IFERROR(INDEX(종합!B$3:B$501,MATCH(ROW()-2,종합!$AD$3:$AD$501,0))&amp;"","")</f>
        <v/>
      </c>
      <c r="C330" s="18" t="str">
        <f aca="false">IFERROR(INDEX(종합!C$3:C$501,MATCH(ROW()-2,종합!$AD$3:$AD$501,0))&amp;"","")</f>
        <v/>
      </c>
      <c r="D330" s="18" t="str">
        <f aca="false">IFERROR(INDEX(종합!D$3:D$501,MATCH(ROW()-2,종합!$AD$3:$AD$501,0))&amp;"","")</f>
        <v/>
      </c>
      <c r="E330" s="18" t="str">
        <f aca="false">IFERROR(INDEX(종합!E$3:E$501,MATCH(ROW()-2,종합!$AD$3:$AD$501,0))&amp;"","")</f>
        <v/>
      </c>
      <c r="F330" s="18" t="str">
        <f aca="false">IFERROR(INDEX(종합!F$3:F$501,MATCH(ROW()-2,종합!$AD$3:$AD$501,0))&amp;"","")</f>
        <v/>
      </c>
      <c r="G330" s="18" t="str">
        <f aca="false">IFERROR(INDEX(종합!G$3:G$501,MATCH(ROW()-2,종합!$AD$3:$AD$501,0))&amp;"","")</f>
        <v/>
      </c>
      <c r="H330" s="21" t="str">
        <f aca="false">IFERROR(INDEX(종합!H$3:H$501,MATCH(ROW()-2,종합!$AD$3:$AD$501,0))&amp;"","")</f>
        <v/>
      </c>
      <c r="I330" s="21" t="str">
        <f aca="false">IFERROR(INDEX(종합!I$3:I$501,MATCH(ROW()-2,종합!$AD$3:$AD$501,0))&amp;"","")</f>
        <v/>
      </c>
      <c r="J330" s="21" t="str">
        <f aca="false">IFERROR(INDEX(종합!J$3:J$501,MATCH(ROW()-2,종합!$AD$3:$AD$501,0))&amp;"","")</f>
        <v/>
      </c>
      <c r="K330" s="21" t="str">
        <f aca="false">IFERROR(INDEX(종합!K$3:K$501,MATCH(ROW()-2,종합!$AD$3:$AD$501,0))&amp;"","")</f>
        <v/>
      </c>
      <c r="L330" s="21" t="str">
        <f aca="false">IFERROR(INDEX(종합!L$3:L$501,MATCH(ROW()-2,종합!$AD$3:$AD$501,0))&amp;"","")</f>
        <v/>
      </c>
      <c r="M330" s="21" t="str">
        <f aca="false">IFERROR(INDEX(종합!M$3:M$501,MATCH(ROW()-2,종합!$AD$3:$AD$501,0))&amp;"","")</f>
        <v/>
      </c>
      <c r="N330" s="25" t="str">
        <f aca="false">IFERROR(INDEX(종합!N$3:N$501,MATCH(ROW()-2,종합!$AD$3:$AD$501,0))&amp;"","")</f>
        <v/>
      </c>
      <c r="O330" s="21" t="str">
        <f aca="false">IFERROR(INDEX(종합!O$3:O$501,MATCH(ROW()-2,종합!$AD$3:$AD$501,0))&amp;"","")</f>
        <v/>
      </c>
      <c r="P330" s="21" t="str">
        <f aca="false">IFERROR(INDEX(종합!P$3:P$501,MATCH(ROW()-2,종합!$AD$3:$AD$501,0))&amp;"","")</f>
        <v/>
      </c>
      <c r="Q330" s="21" t="str">
        <f aca="false">IFERROR(INDEX(종합!Q$3:Q$501,MATCH(ROW()-2,종합!$AD$3:$AD$501,0))&amp;"","")</f>
        <v/>
      </c>
      <c r="R330" s="21" t="str">
        <f aca="false">IFERROR(INDEX(종합!R$3:R$501,MATCH(ROW()-2,종합!$AD$3:$AD$501,0))&amp;"","")</f>
        <v/>
      </c>
      <c r="S330" s="21" t="str">
        <f aca="false">IFERROR(INDEX(종합!S$3:S$501,MATCH(ROW()-2,종합!$AD$3:$AD$501,0))&amp;"","")</f>
        <v/>
      </c>
      <c r="T330" s="21" t="str">
        <f aca="false">IFERROR(INDEX(종합!T$3:T$501,MATCH(ROW()-2,종합!$AD$3:$AD$501,0))&amp;"","")</f>
        <v/>
      </c>
      <c r="U330" s="21" t="str">
        <f aca="false">IFERROR(INDEX(종합!U$3:U$501,MATCH(ROW()-2,종합!$AD$3:$AD$501,0))&amp;"","")</f>
        <v/>
      </c>
      <c r="V330" s="21" t="str">
        <f aca="false">IFERROR(INDEX(종합!V$3:V$501,MATCH(ROW()-2,종합!$AD$3:$AD$501,0))&amp;"","")</f>
        <v/>
      </c>
      <c r="W330" s="21" t="str">
        <f aca="false">IFERROR(INDEX(종합!W$3:W$501,MATCH(ROW()-2,종합!$AD$3:$AD$501,0))&amp;"","")</f>
        <v/>
      </c>
      <c r="X330" s="21" t="str">
        <f aca="false">IFERROR(INDEX(종합!X$3:X$501,MATCH(ROW()-2,종합!$AD$3:$AD$501,0))&amp;"","")</f>
        <v/>
      </c>
      <c r="Y330" s="21" t="str">
        <f aca="false">IFERROR(INDEX(종합!Y$3:Y$501,MATCH(ROW()-2,종합!$AD$3:$AD$501,0))&amp;"","")</f>
        <v/>
      </c>
      <c r="Z330" s="21" t="str">
        <f aca="false">IFERROR(INDEX(종합!Z$3:Z$501,MATCH(ROW()-2,종합!$AD$3:$AD$501,0))&amp;"","")</f>
        <v/>
      </c>
      <c r="AA330" s="23" t="str">
        <f aca="false">IFERROR(INDEX(종합!AA$3:AA$501,MATCH(ROW()-2,종합!$AD$3:$AD$501,0))&amp;"","")</f>
        <v/>
      </c>
    </row>
    <row r="331" customFormat="false" ht="16.5" hidden="false" customHeight="true" outlineLevel="0" collapsed="false">
      <c r="A331" s="18" t="str">
        <f aca="false">IF(B331="","",ROW()-2)</f>
        <v/>
      </c>
      <c r="B331" s="18" t="str">
        <f aca="false">IFERROR(INDEX(종합!B$3:B$501,MATCH(ROW()-2,종합!$AD$3:$AD$501,0))&amp;"","")</f>
        <v/>
      </c>
      <c r="C331" s="18" t="str">
        <f aca="false">IFERROR(INDEX(종합!C$3:C$501,MATCH(ROW()-2,종합!$AD$3:$AD$501,0))&amp;"","")</f>
        <v/>
      </c>
      <c r="D331" s="18" t="str">
        <f aca="false">IFERROR(INDEX(종합!D$3:D$501,MATCH(ROW()-2,종합!$AD$3:$AD$501,0))&amp;"","")</f>
        <v/>
      </c>
      <c r="E331" s="18" t="str">
        <f aca="false">IFERROR(INDEX(종합!E$3:E$501,MATCH(ROW()-2,종합!$AD$3:$AD$501,0))&amp;"","")</f>
        <v/>
      </c>
      <c r="F331" s="18" t="str">
        <f aca="false">IFERROR(INDEX(종합!F$3:F$501,MATCH(ROW()-2,종합!$AD$3:$AD$501,0))&amp;"","")</f>
        <v/>
      </c>
      <c r="G331" s="18" t="str">
        <f aca="false">IFERROR(INDEX(종합!G$3:G$501,MATCH(ROW()-2,종합!$AD$3:$AD$501,0))&amp;"","")</f>
        <v/>
      </c>
      <c r="H331" s="21" t="str">
        <f aca="false">IFERROR(INDEX(종합!H$3:H$501,MATCH(ROW()-2,종합!$AD$3:$AD$501,0))&amp;"","")</f>
        <v/>
      </c>
      <c r="I331" s="21" t="str">
        <f aca="false">IFERROR(INDEX(종합!I$3:I$501,MATCH(ROW()-2,종합!$AD$3:$AD$501,0))&amp;"","")</f>
        <v/>
      </c>
      <c r="J331" s="21" t="str">
        <f aca="false">IFERROR(INDEX(종합!J$3:J$501,MATCH(ROW()-2,종합!$AD$3:$AD$501,0))&amp;"","")</f>
        <v/>
      </c>
      <c r="K331" s="21" t="str">
        <f aca="false">IFERROR(INDEX(종합!K$3:K$501,MATCH(ROW()-2,종합!$AD$3:$AD$501,0))&amp;"","")</f>
        <v/>
      </c>
      <c r="L331" s="21" t="str">
        <f aca="false">IFERROR(INDEX(종합!L$3:L$501,MATCH(ROW()-2,종합!$AD$3:$AD$501,0))&amp;"","")</f>
        <v/>
      </c>
      <c r="M331" s="21" t="str">
        <f aca="false">IFERROR(INDEX(종합!M$3:M$501,MATCH(ROW()-2,종합!$AD$3:$AD$501,0))&amp;"","")</f>
        <v/>
      </c>
      <c r="N331" s="25" t="str">
        <f aca="false">IFERROR(INDEX(종합!N$3:N$501,MATCH(ROW()-2,종합!$AD$3:$AD$501,0))&amp;"","")</f>
        <v/>
      </c>
      <c r="O331" s="21" t="str">
        <f aca="false">IFERROR(INDEX(종합!O$3:O$501,MATCH(ROW()-2,종합!$AD$3:$AD$501,0))&amp;"","")</f>
        <v/>
      </c>
      <c r="P331" s="21" t="str">
        <f aca="false">IFERROR(INDEX(종합!P$3:P$501,MATCH(ROW()-2,종합!$AD$3:$AD$501,0))&amp;"","")</f>
        <v/>
      </c>
      <c r="Q331" s="21" t="str">
        <f aca="false">IFERROR(INDEX(종합!Q$3:Q$501,MATCH(ROW()-2,종합!$AD$3:$AD$501,0))&amp;"","")</f>
        <v/>
      </c>
      <c r="R331" s="21" t="str">
        <f aca="false">IFERROR(INDEX(종합!R$3:R$501,MATCH(ROW()-2,종합!$AD$3:$AD$501,0))&amp;"","")</f>
        <v/>
      </c>
      <c r="S331" s="21" t="str">
        <f aca="false">IFERROR(INDEX(종합!S$3:S$501,MATCH(ROW()-2,종합!$AD$3:$AD$501,0))&amp;"","")</f>
        <v/>
      </c>
      <c r="T331" s="21" t="str">
        <f aca="false">IFERROR(INDEX(종합!T$3:T$501,MATCH(ROW()-2,종합!$AD$3:$AD$501,0))&amp;"","")</f>
        <v/>
      </c>
      <c r="U331" s="21" t="str">
        <f aca="false">IFERROR(INDEX(종합!U$3:U$501,MATCH(ROW()-2,종합!$AD$3:$AD$501,0))&amp;"","")</f>
        <v/>
      </c>
      <c r="V331" s="21" t="str">
        <f aca="false">IFERROR(INDEX(종합!V$3:V$501,MATCH(ROW()-2,종합!$AD$3:$AD$501,0))&amp;"","")</f>
        <v/>
      </c>
      <c r="W331" s="21" t="str">
        <f aca="false">IFERROR(INDEX(종합!W$3:W$501,MATCH(ROW()-2,종합!$AD$3:$AD$501,0))&amp;"","")</f>
        <v/>
      </c>
      <c r="X331" s="21" t="str">
        <f aca="false">IFERROR(INDEX(종합!X$3:X$501,MATCH(ROW()-2,종합!$AD$3:$AD$501,0))&amp;"","")</f>
        <v/>
      </c>
      <c r="Y331" s="21" t="str">
        <f aca="false">IFERROR(INDEX(종합!Y$3:Y$501,MATCH(ROW()-2,종합!$AD$3:$AD$501,0))&amp;"","")</f>
        <v/>
      </c>
      <c r="Z331" s="21" t="str">
        <f aca="false">IFERROR(INDEX(종합!Z$3:Z$501,MATCH(ROW()-2,종합!$AD$3:$AD$501,0))&amp;"","")</f>
        <v/>
      </c>
      <c r="AA331" s="23" t="str">
        <f aca="false">IFERROR(INDEX(종합!AA$3:AA$501,MATCH(ROW()-2,종합!$AD$3:$AD$501,0))&amp;"","")</f>
        <v/>
      </c>
    </row>
    <row r="332" customFormat="false" ht="16.5" hidden="false" customHeight="true" outlineLevel="0" collapsed="false">
      <c r="A332" s="18" t="str">
        <f aca="false">IF(B332="","",ROW()-2)</f>
        <v/>
      </c>
      <c r="B332" s="18" t="str">
        <f aca="false">IFERROR(INDEX(종합!B$3:B$501,MATCH(ROW()-2,종합!$AD$3:$AD$501,0))&amp;"","")</f>
        <v/>
      </c>
      <c r="C332" s="18" t="str">
        <f aca="false">IFERROR(INDEX(종합!C$3:C$501,MATCH(ROW()-2,종합!$AD$3:$AD$501,0))&amp;"","")</f>
        <v/>
      </c>
      <c r="D332" s="18" t="str">
        <f aca="false">IFERROR(INDEX(종합!D$3:D$501,MATCH(ROW()-2,종합!$AD$3:$AD$501,0))&amp;"","")</f>
        <v/>
      </c>
      <c r="E332" s="18" t="str">
        <f aca="false">IFERROR(INDEX(종합!E$3:E$501,MATCH(ROW()-2,종합!$AD$3:$AD$501,0))&amp;"","")</f>
        <v/>
      </c>
      <c r="F332" s="18" t="str">
        <f aca="false">IFERROR(INDEX(종합!F$3:F$501,MATCH(ROW()-2,종합!$AD$3:$AD$501,0))&amp;"","")</f>
        <v/>
      </c>
      <c r="G332" s="18" t="str">
        <f aca="false">IFERROR(INDEX(종합!G$3:G$501,MATCH(ROW()-2,종합!$AD$3:$AD$501,0))&amp;"","")</f>
        <v/>
      </c>
      <c r="H332" s="21" t="str">
        <f aca="false">IFERROR(INDEX(종합!H$3:H$501,MATCH(ROW()-2,종합!$AD$3:$AD$501,0))&amp;"","")</f>
        <v/>
      </c>
      <c r="I332" s="21" t="str">
        <f aca="false">IFERROR(INDEX(종합!I$3:I$501,MATCH(ROW()-2,종합!$AD$3:$AD$501,0))&amp;"","")</f>
        <v/>
      </c>
      <c r="J332" s="21" t="str">
        <f aca="false">IFERROR(INDEX(종합!J$3:J$501,MATCH(ROW()-2,종합!$AD$3:$AD$501,0))&amp;"","")</f>
        <v/>
      </c>
      <c r="K332" s="21" t="str">
        <f aca="false">IFERROR(INDEX(종합!K$3:K$501,MATCH(ROW()-2,종합!$AD$3:$AD$501,0))&amp;"","")</f>
        <v/>
      </c>
      <c r="L332" s="21" t="str">
        <f aca="false">IFERROR(INDEX(종합!L$3:L$501,MATCH(ROW()-2,종합!$AD$3:$AD$501,0))&amp;"","")</f>
        <v/>
      </c>
      <c r="M332" s="21" t="str">
        <f aca="false">IFERROR(INDEX(종합!M$3:M$501,MATCH(ROW()-2,종합!$AD$3:$AD$501,0))&amp;"","")</f>
        <v/>
      </c>
      <c r="N332" s="25" t="str">
        <f aca="false">IFERROR(INDEX(종합!N$3:N$501,MATCH(ROW()-2,종합!$AD$3:$AD$501,0))&amp;"","")</f>
        <v/>
      </c>
      <c r="O332" s="21" t="str">
        <f aca="false">IFERROR(INDEX(종합!O$3:O$501,MATCH(ROW()-2,종합!$AD$3:$AD$501,0))&amp;"","")</f>
        <v/>
      </c>
      <c r="P332" s="21" t="str">
        <f aca="false">IFERROR(INDEX(종합!P$3:P$501,MATCH(ROW()-2,종합!$AD$3:$AD$501,0))&amp;"","")</f>
        <v/>
      </c>
      <c r="Q332" s="21" t="str">
        <f aca="false">IFERROR(INDEX(종합!Q$3:Q$501,MATCH(ROW()-2,종합!$AD$3:$AD$501,0))&amp;"","")</f>
        <v/>
      </c>
      <c r="R332" s="21" t="str">
        <f aca="false">IFERROR(INDEX(종합!R$3:R$501,MATCH(ROW()-2,종합!$AD$3:$AD$501,0))&amp;"","")</f>
        <v/>
      </c>
      <c r="S332" s="21" t="str">
        <f aca="false">IFERROR(INDEX(종합!S$3:S$501,MATCH(ROW()-2,종합!$AD$3:$AD$501,0))&amp;"","")</f>
        <v/>
      </c>
      <c r="T332" s="21" t="str">
        <f aca="false">IFERROR(INDEX(종합!T$3:T$501,MATCH(ROW()-2,종합!$AD$3:$AD$501,0))&amp;"","")</f>
        <v/>
      </c>
      <c r="U332" s="21" t="str">
        <f aca="false">IFERROR(INDEX(종합!U$3:U$501,MATCH(ROW()-2,종합!$AD$3:$AD$501,0))&amp;"","")</f>
        <v/>
      </c>
      <c r="V332" s="21" t="str">
        <f aca="false">IFERROR(INDEX(종합!V$3:V$501,MATCH(ROW()-2,종합!$AD$3:$AD$501,0))&amp;"","")</f>
        <v/>
      </c>
      <c r="W332" s="21" t="str">
        <f aca="false">IFERROR(INDEX(종합!W$3:W$501,MATCH(ROW()-2,종합!$AD$3:$AD$501,0))&amp;"","")</f>
        <v/>
      </c>
      <c r="X332" s="21" t="str">
        <f aca="false">IFERROR(INDEX(종합!X$3:X$501,MATCH(ROW()-2,종합!$AD$3:$AD$501,0))&amp;"","")</f>
        <v/>
      </c>
      <c r="Y332" s="21" t="str">
        <f aca="false">IFERROR(INDEX(종합!Y$3:Y$501,MATCH(ROW()-2,종합!$AD$3:$AD$501,0))&amp;"","")</f>
        <v/>
      </c>
      <c r="Z332" s="21" t="str">
        <f aca="false">IFERROR(INDEX(종합!Z$3:Z$501,MATCH(ROW()-2,종합!$AD$3:$AD$501,0))&amp;"","")</f>
        <v/>
      </c>
      <c r="AA332" s="23" t="str">
        <f aca="false">IFERROR(INDEX(종합!AA$3:AA$501,MATCH(ROW()-2,종합!$AD$3:$AD$501,0))&amp;"","")</f>
        <v/>
      </c>
    </row>
    <row r="333" customFormat="false" ht="16.5" hidden="false" customHeight="true" outlineLevel="0" collapsed="false">
      <c r="A333" s="18" t="str">
        <f aca="false">IF(B333="","",ROW()-2)</f>
        <v/>
      </c>
      <c r="B333" s="18" t="str">
        <f aca="false">IFERROR(INDEX(종합!B$3:B$501,MATCH(ROW()-2,종합!$AD$3:$AD$501,0))&amp;"","")</f>
        <v/>
      </c>
      <c r="C333" s="18" t="str">
        <f aca="false">IFERROR(INDEX(종합!C$3:C$501,MATCH(ROW()-2,종합!$AD$3:$AD$501,0))&amp;"","")</f>
        <v/>
      </c>
      <c r="D333" s="18" t="str">
        <f aca="false">IFERROR(INDEX(종합!D$3:D$501,MATCH(ROW()-2,종합!$AD$3:$AD$501,0))&amp;"","")</f>
        <v/>
      </c>
      <c r="E333" s="18" t="str">
        <f aca="false">IFERROR(INDEX(종합!E$3:E$501,MATCH(ROW()-2,종합!$AD$3:$AD$501,0))&amp;"","")</f>
        <v/>
      </c>
      <c r="F333" s="18" t="str">
        <f aca="false">IFERROR(INDEX(종합!F$3:F$501,MATCH(ROW()-2,종합!$AD$3:$AD$501,0))&amp;"","")</f>
        <v/>
      </c>
      <c r="G333" s="18" t="str">
        <f aca="false">IFERROR(INDEX(종합!G$3:G$501,MATCH(ROW()-2,종합!$AD$3:$AD$501,0))&amp;"","")</f>
        <v/>
      </c>
      <c r="H333" s="21" t="str">
        <f aca="false">IFERROR(INDEX(종합!H$3:H$501,MATCH(ROW()-2,종합!$AD$3:$AD$501,0))&amp;"","")</f>
        <v/>
      </c>
      <c r="I333" s="21" t="str">
        <f aca="false">IFERROR(INDEX(종합!I$3:I$501,MATCH(ROW()-2,종합!$AD$3:$AD$501,0))&amp;"","")</f>
        <v/>
      </c>
      <c r="J333" s="21" t="str">
        <f aca="false">IFERROR(INDEX(종합!J$3:J$501,MATCH(ROW()-2,종합!$AD$3:$AD$501,0))&amp;"","")</f>
        <v/>
      </c>
      <c r="K333" s="21" t="str">
        <f aca="false">IFERROR(INDEX(종합!K$3:K$501,MATCH(ROW()-2,종합!$AD$3:$AD$501,0))&amp;"","")</f>
        <v/>
      </c>
      <c r="L333" s="21" t="str">
        <f aca="false">IFERROR(INDEX(종합!L$3:L$501,MATCH(ROW()-2,종합!$AD$3:$AD$501,0))&amp;"","")</f>
        <v/>
      </c>
      <c r="M333" s="21" t="str">
        <f aca="false">IFERROR(INDEX(종합!M$3:M$501,MATCH(ROW()-2,종합!$AD$3:$AD$501,0))&amp;"","")</f>
        <v/>
      </c>
      <c r="N333" s="25" t="str">
        <f aca="false">IFERROR(INDEX(종합!N$3:N$501,MATCH(ROW()-2,종합!$AD$3:$AD$501,0))&amp;"","")</f>
        <v/>
      </c>
      <c r="O333" s="21" t="str">
        <f aca="false">IFERROR(INDEX(종합!O$3:O$501,MATCH(ROW()-2,종합!$AD$3:$AD$501,0))&amp;"","")</f>
        <v/>
      </c>
      <c r="P333" s="21" t="str">
        <f aca="false">IFERROR(INDEX(종합!P$3:P$501,MATCH(ROW()-2,종합!$AD$3:$AD$501,0))&amp;"","")</f>
        <v/>
      </c>
      <c r="Q333" s="21" t="str">
        <f aca="false">IFERROR(INDEX(종합!Q$3:Q$501,MATCH(ROW()-2,종합!$AD$3:$AD$501,0))&amp;"","")</f>
        <v/>
      </c>
      <c r="R333" s="21" t="str">
        <f aca="false">IFERROR(INDEX(종합!R$3:R$501,MATCH(ROW()-2,종합!$AD$3:$AD$501,0))&amp;"","")</f>
        <v/>
      </c>
      <c r="S333" s="21" t="str">
        <f aca="false">IFERROR(INDEX(종합!S$3:S$501,MATCH(ROW()-2,종합!$AD$3:$AD$501,0))&amp;"","")</f>
        <v/>
      </c>
      <c r="T333" s="21" t="str">
        <f aca="false">IFERROR(INDEX(종합!T$3:T$501,MATCH(ROW()-2,종합!$AD$3:$AD$501,0))&amp;"","")</f>
        <v/>
      </c>
      <c r="U333" s="21" t="str">
        <f aca="false">IFERROR(INDEX(종합!U$3:U$501,MATCH(ROW()-2,종합!$AD$3:$AD$501,0))&amp;"","")</f>
        <v/>
      </c>
      <c r="V333" s="21" t="str">
        <f aca="false">IFERROR(INDEX(종합!V$3:V$501,MATCH(ROW()-2,종합!$AD$3:$AD$501,0))&amp;"","")</f>
        <v/>
      </c>
      <c r="W333" s="21" t="str">
        <f aca="false">IFERROR(INDEX(종합!W$3:W$501,MATCH(ROW()-2,종합!$AD$3:$AD$501,0))&amp;"","")</f>
        <v/>
      </c>
      <c r="X333" s="21" t="str">
        <f aca="false">IFERROR(INDEX(종합!X$3:X$501,MATCH(ROW()-2,종합!$AD$3:$AD$501,0))&amp;"","")</f>
        <v/>
      </c>
      <c r="Y333" s="21" t="str">
        <f aca="false">IFERROR(INDEX(종합!Y$3:Y$501,MATCH(ROW()-2,종합!$AD$3:$AD$501,0))&amp;"","")</f>
        <v/>
      </c>
      <c r="Z333" s="21" t="str">
        <f aca="false">IFERROR(INDEX(종합!Z$3:Z$501,MATCH(ROW()-2,종합!$AD$3:$AD$501,0))&amp;"","")</f>
        <v/>
      </c>
      <c r="AA333" s="23" t="str">
        <f aca="false">IFERROR(INDEX(종합!AA$3:AA$501,MATCH(ROW()-2,종합!$AD$3:$AD$501,0))&amp;"","")</f>
        <v/>
      </c>
    </row>
    <row r="334" customFormat="false" ht="16.5" hidden="false" customHeight="true" outlineLevel="0" collapsed="false">
      <c r="A334" s="18" t="str">
        <f aca="false">IF(B334="","",ROW()-2)</f>
        <v/>
      </c>
      <c r="B334" s="18" t="str">
        <f aca="false">IFERROR(INDEX(종합!B$3:B$501,MATCH(ROW()-2,종합!$AD$3:$AD$501,0))&amp;"","")</f>
        <v/>
      </c>
      <c r="C334" s="18" t="str">
        <f aca="false">IFERROR(INDEX(종합!C$3:C$501,MATCH(ROW()-2,종합!$AD$3:$AD$501,0))&amp;"","")</f>
        <v/>
      </c>
      <c r="D334" s="18" t="str">
        <f aca="false">IFERROR(INDEX(종합!D$3:D$501,MATCH(ROW()-2,종합!$AD$3:$AD$501,0))&amp;"","")</f>
        <v/>
      </c>
      <c r="E334" s="18" t="str">
        <f aca="false">IFERROR(INDEX(종합!E$3:E$501,MATCH(ROW()-2,종합!$AD$3:$AD$501,0))&amp;"","")</f>
        <v/>
      </c>
      <c r="F334" s="18" t="str">
        <f aca="false">IFERROR(INDEX(종합!F$3:F$501,MATCH(ROW()-2,종합!$AD$3:$AD$501,0))&amp;"","")</f>
        <v/>
      </c>
      <c r="G334" s="18" t="str">
        <f aca="false">IFERROR(INDEX(종합!G$3:G$501,MATCH(ROW()-2,종합!$AD$3:$AD$501,0))&amp;"","")</f>
        <v/>
      </c>
      <c r="H334" s="21" t="str">
        <f aca="false">IFERROR(INDEX(종합!H$3:H$501,MATCH(ROW()-2,종합!$AD$3:$AD$501,0))&amp;"","")</f>
        <v/>
      </c>
      <c r="I334" s="21" t="str">
        <f aca="false">IFERROR(INDEX(종합!I$3:I$501,MATCH(ROW()-2,종합!$AD$3:$AD$501,0))&amp;"","")</f>
        <v/>
      </c>
      <c r="J334" s="21" t="str">
        <f aca="false">IFERROR(INDEX(종합!J$3:J$501,MATCH(ROW()-2,종합!$AD$3:$AD$501,0))&amp;"","")</f>
        <v/>
      </c>
      <c r="K334" s="21" t="str">
        <f aca="false">IFERROR(INDEX(종합!K$3:K$501,MATCH(ROW()-2,종합!$AD$3:$AD$501,0))&amp;"","")</f>
        <v/>
      </c>
      <c r="L334" s="21" t="str">
        <f aca="false">IFERROR(INDEX(종합!L$3:L$501,MATCH(ROW()-2,종합!$AD$3:$AD$501,0))&amp;"","")</f>
        <v/>
      </c>
      <c r="M334" s="21" t="str">
        <f aca="false">IFERROR(INDEX(종합!M$3:M$501,MATCH(ROW()-2,종합!$AD$3:$AD$501,0))&amp;"","")</f>
        <v/>
      </c>
      <c r="N334" s="25" t="str">
        <f aca="false">IFERROR(INDEX(종합!N$3:N$501,MATCH(ROW()-2,종합!$AD$3:$AD$501,0))&amp;"","")</f>
        <v/>
      </c>
      <c r="O334" s="21" t="str">
        <f aca="false">IFERROR(INDEX(종합!O$3:O$501,MATCH(ROW()-2,종합!$AD$3:$AD$501,0))&amp;"","")</f>
        <v/>
      </c>
      <c r="P334" s="21" t="str">
        <f aca="false">IFERROR(INDEX(종합!P$3:P$501,MATCH(ROW()-2,종합!$AD$3:$AD$501,0))&amp;"","")</f>
        <v/>
      </c>
      <c r="Q334" s="21" t="str">
        <f aca="false">IFERROR(INDEX(종합!Q$3:Q$501,MATCH(ROW()-2,종합!$AD$3:$AD$501,0))&amp;"","")</f>
        <v/>
      </c>
      <c r="R334" s="21" t="str">
        <f aca="false">IFERROR(INDEX(종합!R$3:R$501,MATCH(ROW()-2,종합!$AD$3:$AD$501,0))&amp;"","")</f>
        <v/>
      </c>
      <c r="S334" s="21" t="str">
        <f aca="false">IFERROR(INDEX(종합!S$3:S$501,MATCH(ROW()-2,종합!$AD$3:$AD$501,0))&amp;"","")</f>
        <v/>
      </c>
      <c r="T334" s="21" t="str">
        <f aca="false">IFERROR(INDEX(종합!T$3:T$501,MATCH(ROW()-2,종합!$AD$3:$AD$501,0))&amp;"","")</f>
        <v/>
      </c>
      <c r="U334" s="21" t="str">
        <f aca="false">IFERROR(INDEX(종합!U$3:U$501,MATCH(ROW()-2,종합!$AD$3:$AD$501,0))&amp;"","")</f>
        <v/>
      </c>
      <c r="V334" s="21" t="str">
        <f aca="false">IFERROR(INDEX(종합!V$3:V$501,MATCH(ROW()-2,종합!$AD$3:$AD$501,0))&amp;"","")</f>
        <v/>
      </c>
      <c r="W334" s="21" t="str">
        <f aca="false">IFERROR(INDEX(종합!W$3:W$501,MATCH(ROW()-2,종합!$AD$3:$AD$501,0))&amp;"","")</f>
        <v/>
      </c>
      <c r="X334" s="21" t="str">
        <f aca="false">IFERROR(INDEX(종합!X$3:X$501,MATCH(ROW()-2,종합!$AD$3:$AD$501,0))&amp;"","")</f>
        <v/>
      </c>
      <c r="Y334" s="21" t="str">
        <f aca="false">IFERROR(INDEX(종합!Y$3:Y$501,MATCH(ROW()-2,종합!$AD$3:$AD$501,0))&amp;"","")</f>
        <v/>
      </c>
      <c r="Z334" s="21" t="str">
        <f aca="false">IFERROR(INDEX(종합!Z$3:Z$501,MATCH(ROW()-2,종합!$AD$3:$AD$501,0))&amp;"","")</f>
        <v/>
      </c>
      <c r="AA334" s="23" t="str">
        <f aca="false">IFERROR(INDEX(종합!AA$3:AA$501,MATCH(ROW()-2,종합!$AD$3:$AD$501,0))&amp;"","")</f>
        <v/>
      </c>
    </row>
    <row r="335" customFormat="false" ht="16.5" hidden="false" customHeight="true" outlineLevel="0" collapsed="false">
      <c r="A335" s="18" t="str">
        <f aca="false">IF(B335="","",ROW()-2)</f>
        <v/>
      </c>
      <c r="B335" s="18" t="str">
        <f aca="false">IFERROR(INDEX(종합!B$3:B$501,MATCH(ROW()-2,종합!$AD$3:$AD$501,0))&amp;"","")</f>
        <v/>
      </c>
      <c r="C335" s="18" t="str">
        <f aca="false">IFERROR(INDEX(종합!C$3:C$501,MATCH(ROW()-2,종합!$AD$3:$AD$501,0))&amp;"","")</f>
        <v/>
      </c>
      <c r="D335" s="18" t="str">
        <f aca="false">IFERROR(INDEX(종합!D$3:D$501,MATCH(ROW()-2,종합!$AD$3:$AD$501,0))&amp;"","")</f>
        <v/>
      </c>
      <c r="E335" s="18" t="str">
        <f aca="false">IFERROR(INDEX(종합!E$3:E$501,MATCH(ROW()-2,종합!$AD$3:$AD$501,0))&amp;"","")</f>
        <v/>
      </c>
      <c r="F335" s="18" t="str">
        <f aca="false">IFERROR(INDEX(종합!F$3:F$501,MATCH(ROW()-2,종합!$AD$3:$AD$501,0))&amp;"","")</f>
        <v/>
      </c>
      <c r="G335" s="18" t="str">
        <f aca="false">IFERROR(INDEX(종합!G$3:G$501,MATCH(ROW()-2,종합!$AD$3:$AD$501,0))&amp;"","")</f>
        <v/>
      </c>
      <c r="H335" s="21" t="str">
        <f aca="false">IFERROR(INDEX(종합!H$3:H$501,MATCH(ROW()-2,종합!$AD$3:$AD$501,0))&amp;"","")</f>
        <v/>
      </c>
      <c r="I335" s="21" t="str">
        <f aca="false">IFERROR(INDEX(종합!I$3:I$501,MATCH(ROW()-2,종합!$AD$3:$AD$501,0))&amp;"","")</f>
        <v/>
      </c>
      <c r="J335" s="21" t="str">
        <f aca="false">IFERROR(INDEX(종합!J$3:J$501,MATCH(ROW()-2,종합!$AD$3:$AD$501,0))&amp;"","")</f>
        <v/>
      </c>
      <c r="K335" s="21" t="str">
        <f aca="false">IFERROR(INDEX(종합!K$3:K$501,MATCH(ROW()-2,종합!$AD$3:$AD$501,0))&amp;"","")</f>
        <v/>
      </c>
      <c r="L335" s="21" t="str">
        <f aca="false">IFERROR(INDEX(종합!L$3:L$501,MATCH(ROW()-2,종합!$AD$3:$AD$501,0))&amp;"","")</f>
        <v/>
      </c>
      <c r="M335" s="21" t="str">
        <f aca="false">IFERROR(INDEX(종합!M$3:M$501,MATCH(ROW()-2,종합!$AD$3:$AD$501,0))&amp;"","")</f>
        <v/>
      </c>
      <c r="N335" s="25" t="str">
        <f aca="false">IFERROR(INDEX(종합!N$3:N$501,MATCH(ROW()-2,종합!$AD$3:$AD$501,0))&amp;"","")</f>
        <v/>
      </c>
      <c r="O335" s="21" t="str">
        <f aca="false">IFERROR(INDEX(종합!O$3:O$501,MATCH(ROW()-2,종합!$AD$3:$AD$501,0))&amp;"","")</f>
        <v/>
      </c>
      <c r="P335" s="21" t="str">
        <f aca="false">IFERROR(INDEX(종합!P$3:P$501,MATCH(ROW()-2,종합!$AD$3:$AD$501,0))&amp;"","")</f>
        <v/>
      </c>
      <c r="Q335" s="21" t="str">
        <f aca="false">IFERROR(INDEX(종합!Q$3:Q$501,MATCH(ROW()-2,종합!$AD$3:$AD$501,0))&amp;"","")</f>
        <v/>
      </c>
      <c r="R335" s="21" t="str">
        <f aca="false">IFERROR(INDEX(종합!R$3:R$501,MATCH(ROW()-2,종합!$AD$3:$AD$501,0))&amp;"","")</f>
        <v/>
      </c>
      <c r="S335" s="21" t="str">
        <f aca="false">IFERROR(INDEX(종합!S$3:S$501,MATCH(ROW()-2,종합!$AD$3:$AD$501,0))&amp;"","")</f>
        <v/>
      </c>
      <c r="T335" s="21" t="str">
        <f aca="false">IFERROR(INDEX(종합!T$3:T$501,MATCH(ROW()-2,종합!$AD$3:$AD$501,0))&amp;"","")</f>
        <v/>
      </c>
      <c r="U335" s="21" t="str">
        <f aca="false">IFERROR(INDEX(종합!U$3:U$501,MATCH(ROW()-2,종합!$AD$3:$AD$501,0))&amp;"","")</f>
        <v/>
      </c>
      <c r="V335" s="21" t="str">
        <f aca="false">IFERROR(INDEX(종합!V$3:V$501,MATCH(ROW()-2,종합!$AD$3:$AD$501,0))&amp;"","")</f>
        <v/>
      </c>
      <c r="W335" s="21" t="str">
        <f aca="false">IFERROR(INDEX(종합!W$3:W$501,MATCH(ROW()-2,종합!$AD$3:$AD$501,0))&amp;"","")</f>
        <v/>
      </c>
      <c r="X335" s="21" t="str">
        <f aca="false">IFERROR(INDEX(종합!X$3:X$501,MATCH(ROW()-2,종합!$AD$3:$AD$501,0))&amp;"","")</f>
        <v/>
      </c>
      <c r="Y335" s="21" t="str">
        <f aca="false">IFERROR(INDEX(종합!Y$3:Y$501,MATCH(ROW()-2,종합!$AD$3:$AD$501,0))&amp;"","")</f>
        <v/>
      </c>
      <c r="Z335" s="21" t="str">
        <f aca="false">IFERROR(INDEX(종합!Z$3:Z$501,MATCH(ROW()-2,종합!$AD$3:$AD$501,0))&amp;"","")</f>
        <v/>
      </c>
      <c r="AA335" s="23" t="str">
        <f aca="false">IFERROR(INDEX(종합!AA$3:AA$501,MATCH(ROW()-2,종합!$AD$3:$AD$501,0))&amp;"","")</f>
        <v/>
      </c>
    </row>
    <row r="336" customFormat="false" ht="16.5" hidden="false" customHeight="true" outlineLevel="0" collapsed="false">
      <c r="A336" s="18" t="str">
        <f aca="false">IF(B336="","",ROW()-2)</f>
        <v/>
      </c>
      <c r="B336" s="18" t="str">
        <f aca="false">IFERROR(INDEX(종합!B$3:B$501,MATCH(ROW()-2,종합!$AD$3:$AD$501,0))&amp;"","")</f>
        <v/>
      </c>
      <c r="C336" s="18" t="str">
        <f aca="false">IFERROR(INDEX(종합!C$3:C$501,MATCH(ROW()-2,종합!$AD$3:$AD$501,0))&amp;"","")</f>
        <v/>
      </c>
      <c r="D336" s="18" t="str">
        <f aca="false">IFERROR(INDEX(종합!D$3:D$501,MATCH(ROW()-2,종합!$AD$3:$AD$501,0))&amp;"","")</f>
        <v/>
      </c>
      <c r="E336" s="18" t="str">
        <f aca="false">IFERROR(INDEX(종합!E$3:E$501,MATCH(ROW()-2,종합!$AD$3:$AD$501,0))&amp;"","")</f>
        <v/>
      </c>
      <c r="F336" s="18" t="str">
        <f aca="false">IFERROR(INDEX(종합!F$3:F$501,MATCH(ROW()-2,종합!$AD$3:$AD$501,0))&amp;"","")</f>
        <v/>
      </c>
      <c r="G336" s="18" t="str">
        <f aca="false">IFERROR(INDEX(종합!G$3:G$501,MATCH(ROW()-2,종합!$AD$3:$AD$501,0))&amp;"","")</f>
        <v/>
      </c>
      <c r="H336" s="21" t="str">
        <f aca="false">IFERROR(INDEX(종합!H$3:H$501,MATCH(ROW()-2,종합!$AD$3:$AD$501,0))&amp;"","")</f>
        <v/>
      </c>
      <c r="I336" s="21" t="str">
        <f aca="false">IFERROR(INDEX(종합!I$3:I$501,MATCH(ROW()-2,종합!$AD$3:$AD$501,0))&amp;"","")</f>
        <v/>
      </c>
      <c r="J336" s="21" t="str">
        <f aca="false">IFERROR(INDEX(종합!J$3:J$501,MATCH(ROW()-2,종합!$AD$3:$AD$501,0))&amp;"","")</f>
        <v/>
      </c>
      <c r="K336" s="21" t="str">
        <f aca="false">IFERROR(INDEX(종합!K$3:K$501,MATCH(ROW()-2,종합!$AD$3:$AD$501,0))&amp;"","")</f>
        <v/>
      </c>
      <c r="L336" s="21" t="str">
        <f aca="false">IFERROR(INDEX(종합!L$3:L$501,MATCH(ROW()-2,종합!$AD$3:$AD$501,0))&amp;"","")</f>
        <v/>
      </c>
      <c r="M336" s="21" t="str">
        <f aca="false">IFERROR(INDEX(종합!M$3:M$501,MATCH(ROW()-2,종합!$AD$3:$AD$501,0))&amp;"","")</f>
        <v/>
      </c>
      <c r="N336" s="25" t="str">
        <f aca="false">IFERROR(INDEX(종합!N$3:N$501,MATCH(ROW()-2,종합!$AD$3:$AD$501,0))&amp;"","")</f>
        <v/>
      </c>
      <c r="O336" s="21" t="str">
        <f aca="false">IFERROR(INDEX(종합!O$3:O$501,MATCH(ROW()-2,종합!$AD$3:$AD$501,0))&amp;"","")</f>
        <v/>
      </c>
      <c r="P336" s="21" t="str">
        <f aca="false">IFERROR(INDEX(종합!P$3:P$501,MATCH(ROW()-2,종합!$AD$3:$AD$501,0))&amp;"","")</f>
        <v/>
      </c>
      <c r="Q336" s="21" t="str">
        <f aca="false">IFERROR(INDEX(종합!Q$3:Q$501,MATCH(ROW()-2,종합!$AD$3:$AD$501,0))&amp;"","")</f>
        <v/>
      </c>
      <c r="R336" s="21" t="str">
        <f aca="false">IFERROR(INDEX(종합!R$3:R$501,MATCH(ROW()-2,종합!$AD$3:$AD$501,0))&amp;"","")</f>
        <v/>
      </c>
      <c r="S336" s="21" t="str">
        <f aca="false">IFERROR(INDEX(종합!S$3:S$501,MATCH(ROW()-2,종합!$AD$3:$AD$501,0))&amp;"","")</f>
        <v/>
      </c>
      <c r="T336" s="21" t="str">
        <f aca="false">IFERROR(INDEX(종합!T$3:T$501,MATCH(ROW()-2,종합!$AD$3:$AD$501,0))&amp;"","")</f>
        <v/>
      </c>
      <c r="U336" s="21" t="str">
        <f aca="false">IFERROR(INDEX(종합!U$3:U$501,MATCH(ROW()-2,종합!$AD$3:$AD$501,0))&amp;"","")</f>
        <v/>
      </c>
      <c r="V336" s="21" t="str">
        <f aca="false">IFERROR(INDEX(종합!V$3:V$501,MATCH(ROW()-2,종합!$AD$3:$AD$501,0))&amp;"","")</f>
        <v/>
      </c>
      <c r="W336" s="21" t="str">
        <f aca="false">IFERROR(INDEX(종합!W$3:W$501,MATCH(ROW()-2,종합!$AD$3:$AD$501,0))&amp;"","")</f>
        <v/>
      </c>
      <c r="X336" s="21" t="str">
        <f aca="false">IFERROR(INDEX(종합!X$3:X$501,MATCH(ROW()-2,종합!$AD$3:$AD$501,0))&amp;"","")</f>
        <v/>
      </c>
      <c r="Y336" s="21" t="str">
        <f aca="false">IFERROR(INDEX(종합!Y$3:Y$501,MATCH(ROW()-2,종합!$AD$3:$AD$501,0))&amp;"","")</f>
        <v/>
      </c>
      <c r="Z336" s="21" t="str">
        <f aca="false">IFERROR(INDEX(종합!Z$3:Z$501,MATCH(ROW()-2,종합!$AD$3:$AD$501,0))&amp;"","")</f>
        <v/>
      </c>
      <c r="AA336" s="23" t="str">
        <f aca="false">IFERROR(INDEX(종합!AA$3:AA$501,MATCH(ROW()-2,종합!$AD$3:$AD$501,0))&amp;"","")</f>
        <v/>
      </c>
    </row>
    <row r="337" customFormat="false" ht="16.5" hidden="false" customHeight="true" outlineLevel="0" collapsed="false">
      <c r="A337" s="18" t="str">
        <f aca="false">IF(B337="","",ROW()-2)</f>
        <v/>
      </c>
      <c r="B337" s="18" t="str">
        <f aca="false">IFERROR(INDEX(종합!B$3:B$501,MATCH(ROW()-2,종합!$AD$3:$AD$501,0))&amp;"","")</f>
        <v/>
      </c>
      <c r="C337" s="18" t="str">
        <f aca="false">IFERROR(INDEX(종합!C$3:C$501,MATCH(ROW()-2,종합!$AD$3:$AD$501,0))&amp;"","")</f>
        <v/>
      </c>
      <c r="D337" s="18" t="str">
        <f aca="false">IFERROR(INDEX(종합!D$3:D$501,MATCH(ROW()-2,종합!$AD$3:$AD$501,0))&amp;"","")</f>
        <v/>
      </c>
      <c r="E337" s="18" t="str">
        <f aca="false">IFERROR(INDEX(종합!E$3:E$501,MATCH(ROW()-2,종합!$AD$3:$AD$501,0))&amp;"","")</f>
        <v/>
      </c>
      <c r="F337" s="18" t="str">
        <f aca="false">IFERROR(INDEX(종합!F$3:F$501,MATCH(ROW()-2,종합!$AD$3:$AD$501,0))&amp;"","")</f>
        <v/>
      </c>
      <c r="G337" s="18" t="str">
        <f aca="false">IFERROR(INDEX(종합!G$3:G$501,MATCH(ROW()-2,종합!$AD$3:$AD$501,0))&amp;"","")</f>
        <v/>
      </c>
      <c r="H337" s="21" t="str">
        <f aca="false">IFERROR(INDEX(종합!H$3:H$501,MATCH(ROW()-2,종합!$AD$3:$AD$501,0))&amp;"","")</f>
        <v/>
      </c>
      <c r="I337" s="21" t="str">
        <f aca="false">IFERROR(INDEX(종합!I$3:I$501,MATCH(ROW()-2,종합!$AD$3:$AD$501,0))&amp;"","")</f>
        <v/>
      </c>
      <c r="J337" s="21" t="str">
        <f aca="false">IFERROR(INDEX(종합!J$3:J$501,MATCH(ROW()-2,종합!$AD$3:$AD$501,0))&amp;"","")</f>
        <v/>
      </c>
      <c r="K337" s="21" t="str">
        <f aca="false">IFERROR(INDEX(종합!K$3:K$501,MATCH(ROW()-2,종합!$AD$3:$AD$501,0))&amp;"","")</f>
        <v/>
      </c>
      <c r="L337" s="21" t="str">
        <f aca="false">IFERROR(INDEX(종합!L$3:L$501,MATCH(ROW()-2,종합!$AD$3:$AD$501,0))&amp;"","")</f>
        <v/>
      </c>
      <c r="M337" s="21" t="str">
        <f aca="false">IFERROR(INDEX(종합!M$3:M$501,MATCH(ROW()-2,종합!$AD$3:$AD$501,0))&amp;"","")</f>
        <v/>
      </c>
      <c r="N337" s="25" t="str">
        <f aca="false">IFERROR(INDEX(종합!N$3:N$501,MATCH(ROW()-2,종합!$AD$3:$AD$501,0))&amp;"","")</f>
        <v/>
      </c>
      <c r="O337" s="21" t="str">
        <f aca="false">IFERROR(INDEX(종합!O$3:O$501,MATCH(ROW()-2,종합!$AD$3:$AD$501,0))&amp;"","")</f>
        <v/>
      </c>
      <c r="P337" s="21" t="str">
        <f aca="false">IFERROR(INDEX(종합!P$3:P$501,MATCH(ROW()-2,종합!$AD$3:$AD$501,0))&amp;"","")</f>
        <v/>
      </c>
      <c r="Q337" s="21" t="str">
        <f aca="false">IFERROR(INDEX(종합!Q$3:Q$501,MATCH(ROW()-2,종합!$AD$3:$AD$501,0))&amp;"","")</f>
        <v/>
      </c>
      <c r="R337" s="21" t="str">
        <f aca="false">IFERROR(INDEX(종합!R$3:R$501,MATCH(ROW()-2,종합!$AD$3:$AD$501,0))&amp;"","")</f>
        <v/>
      </c>
      <c r="S337" s="21" t="str">
        <f aca="false">IFERROR(INDEX(종합!S$3:S$501,MATCH(ROW()-2,종합!$AD$3:$AD$501,0))&amp;"","")</f>
        <v/>
      </c>
      <c r="T337" s="21" t="str">
        <f aca="false">IFERROR(INDEX(종합!T$3:T$501,MATCH(ROW()-2,종합!$AD$3:$AD$501,0))&amp;"","")</f>
        <v/>
      </c>
      <c r="U337" s="21" t="str">
        <f aca="false">IFERROR(INDEX(종합!U$3:U$501,MATCH(ROW()-2,종합!$AD$3:$AD$501,0))&amp;"","")</f>
        <v/>
      </c>
      <c r="V337" s="21" t="str">
        <f aca="false">IFERROR(INDEX(종합!V$3:V$501,MATCH(ROW()-2,종합!$AD$3:$AD$501,0))&amp;"","")</f>
        <v/>
      </c>
      <c r="W337" s="21" t="str">
        <f aca="false">IFERROR(INDEX(종합!W$3:W$501,MATCH(ROW()-2,종합!$AD$3:$AD$501,0))&amp;"","")</f>
        <v/>
      </c>
      <c r="X337" s="21" t="str">
        <f aca="false">IFERROR(INDEX(종합!X$3:X$501,MATCH(ROW()-2,종합!$AD$3:$AD$501,0))&amp;"","")</f>
        <v/>
      </c>
      <c r="Y337" s="21" t="str">
        <f aca="false">IFERROR(INDEX(종합!Y$3:Y$501,MATCH(ROW()-2,종합!$AD$3:$AD$501,0))&amp;"","")</f>
        <v/>
      </c>
      <c r="Z337" s="21" t="str">
        <f aca="false">IFERROR(INDEX(종합!Z$3:Z$501,MATCH(ROW()-2,종합!$AD$3:$AD$501,0))&amp;"","")</f>
        <v/>
      </c>
      <c r="AA337" s="23" t="str">
        <f aca="false">IFERROR(INDEX(종합!AA$3:AA$501,MATCH(ROW()-2,종합!$AD$3:$AD$501,0))&amp;"","")</f>
        <v/>
      </c>
    </row>
    <row r="338" customFormat="false" ht="16.5" hidden="false" customHeight="true" outlineLevel="0" collapsed="false">
      <c r="A338" s="18" t="str">
        <f aca="false">IF(B338="","",ROW()-2)</f>
        <v/>
      </c>
      <c r="B338" s="18" t="str">
        <f aca="false">IFERROR(INDEX(종합!B$3:B$501,MATCH(ROW()-2,종합!$AD$3:$AD$501,0))&amp;"","")</f>
        <v/>
      </c>
      <c r="C338" s="18" t="str">
        <f aca="false">IFERROR(INDEX(종합!C$3:C$501,MATCH(ROW()-2,종합!$AD$3:$AD$501,0))&amp;"","")</f>
        <v/>
      </c>
      <c r="D338" s="18" t="str">
        <f aca="false">IFERROR(INDEX(종합!D$3:D$501,MATCH(ROW()-2,종합!$AD$3:$AD$501,0))&amp;"","")</f>
        <v/>
      </c>
      <c r="E338" s="18" t="str">
        <f aca="false">IFERROR(INDEX(종합!E$3:E$501,MATCH(ROW()-2,종합!$AD$3:$AD$501,0))&amp;"","")</f>
        <v/>
      </c>
      <c r="F338" s="18" t="str">
        <f aca="false">IFERROR(INDEX(종합!F$3:F$501,MATCH(ROW()-2,종합!$AD$3:$AD$501,0))&amp;"","")</f>
        <v/>
      </c>
      <c r="G338" s="18" t="str">
        <f aca="false">IFERROR(INDEX(종합!G$3:G$501,MATCH(ROW()-2,종합!$AD$3:$AD$501,0))&amp;"","")</f>
        <v/>
      </c>
      <c r="H338" s="21" t="str">
        <f aca="false">IFERROR(INDEX(종합!H$3:H$501,MATCH(ROW()-2,종합!$AD$3:$AD$501,0))&amp;"","")</f>
        <v/>
      </c>
      <c r="I338" s="21" t="str">
        <f aca="false">IFERROR(INDEX(종합!I$3:I$501,MATCH(ROW()-2,종합!$AD$3:$AD$501,0))&amp;"","")</f>
        <v/>
      </c>
      <c r="J338" s="21" t="str">
        <f aca="false">IFERROR(INDEX(종합!J$3:J$501,MATCH(ROW()-2,종합!$AD$3:$AD$501,0))&amp;"","")</f>
        <v/>
      </c>
      <c r="K338" s="21" t="str">
        <f aca="false">IFERROR(INDEX(종합!K$3:K$501,MATCH(ROW()-2,종합!$AD$3:$AD$501,0))&amp;"","")</f>
        <v/>
      </c>
      <c r="L338" s="21" t="str">
        <f aca="false">IFERROR(INDEX(종합!L$3:L$501,MATCH(ROW()-2,종합!$AD$3:$AD$501,0))&amp;"","")</f>
        <v/>
      </c>
      <c r="M338" s="21" t="str">
        <f aca="false">IFERROR(INDEX(종합!M$3:M$501,MATCH(ROW()-2,종합!$AD$3:$AD$501,0))&amp;"","")</f>
        <v/>
      </c>
      <c r="N338" s="25" t="str">
        <f aca="false">IFERROR(INDEX(종합!N$3:N$501,MATCH(ROW()-2,종합!$AD$3:$AD$501,0))&amp;"","")</f>
        <v/>
      </c>
      <c r="O338" s="21" t="str">
        <f aca="false">IFERROR(INDEX(종합!O$3:O$501,MATCH(ROW()-2,종합!$AD$3:$AD$501,0))&amp;"","")</f>
        <v/>
      </c>
      <c r="P338" s="21" t="str">
        <f aca="false">IFERROR(INDEX(종합!P$3:P$501,MATCH(ROW()-2,종합!$AD$3:$AD$501,0))&amp;"","")</f>
        <v/>
      </c>
      <c r="Q338" s="21" t="str">
        <f aca="false">IFERROR(INDEX(종합!Q$3:Q$501,MATCH(ROW()-2,종합!$AD$3:$AD$501,0))&amp;"","")</f>
        <v/>
      </c>
      <c r="R338" s="21" t="str">
        <f aca="false">IFERROR(INDEX(종합!R$3:R$501,MATCH(ROW()-2,종합!$AD$3:$AD$501,0))&amp;"","")</f>
        <v/>
      </c>
      <c r="S338" s="21" t="str">
        <f aca="false">IFERROR(INDEX(종합!S$3:S$501,MATCH(ROW()-2,종합!$AD$3:$AD$501,0))&amp;"","")</f>
        <v/>
      </c>
      <c r="T338" s="21" t="str">
        <f aca="false">IFERROR(INDEX(종합!T$3:T$501,MATCH(ROW()-2,종합!$AD$3:$AD$501,0))&amp;"","")</f>
        <v/>
      </c>
      <c r="U338" s="21" t="str">
        <f aca="false">IFERROR(INDEX(종합!U$3:U$501,MATCH(ROW()-2,종합!$AD$3:$AD$501,0))&amp;"","")</f>
        <v/>
      </c>
      <c r="V338" s="21" t="str">
        <f aca="false">IFERROR(INDEX(종합!V$3:V$501,MATCH(ROW()-2,종합!$AD$3:$AD$501,0))&amp;"","")</f>
        <v/>
      </c>
      <c r="W338" s="21" t="str">
        <f aca="false">IFERROR(INDEX(종합!W$3:W$501,MATCH(ROW()-2,종합!$AD$3:$AD$501,0))&amp;"","")</f>
        <v/>
      </c>
      <c r="X338" s="21" t="str">
        <f aca="false">IFERROR(INDEX(종합!X$3:X$501,MATCH(ROW()-2,종합!$AD$3:$AD$501,0))&amp;"","")</f>
        <v/>
      </c>
      <c r="Y338" s="21" t="str">
        <f aca="false">IFERROR(INDEX(종합!Y$3:Y$501,MATCH(ROW()-2,종합!$AD$3:$AD$501,0))&amp;"","")</f>
        <v/>
      </c>
      <c r="Z338" s="21" t="str">
        <f aca="false">IFERROR(INDEX(종합!Z$3:Z$501,MATCH(ROW()-2,종합!$AD$3:$AD$501,0))&amp;"","")</f>
        <v/>
      </c>
      <c r="AA338" s="23" t="str">
        <f aca="false">IFERROR(INDEX(종합!AA$3:AA$501,MATCH(ROW()-2,종합!$AD$3:$AD$501,0))&amp;"","")</f>
        <v/>
      </c>
    </row>
    <row r="339" customFormat="false" ht="16.5" hidden="false" customHeight="true" outlineLevel="0" collapsed="false">
      <c r="A339" s="18" t="str">
        <f aca="false">IF(B339="","",ROW()-2)</f>
        <v/>
      </c>
      <c r="B339" s="18" t="str">
        <f aca="false">IFERROR(INDEX(종합!B$3:B$501,MATCH(ROW()-2,종합!$AD$3:$AD$501,0))&amp;"","")</f>
        <v/>
      </c>
      <c r="C339" s="18" t="str">
        <f aca="false">IFERROR(INDEX(종합!C$3:C$501,MATCH(ROW()-2,종합!$AD$3:$AD$501,0))&amp;"","")</f>
        <v/>
      </c>
      <c r="D339" s="18" t="str">
        <f aca="false">IFERROR(INDEX(종합!D$3:D$501,MATCH(ROW()-2,종합!$AD$3:$AD$501,0))&amp;"","")</f>
        <v/>
      </c>
      <c r="E339" s="18" t="str">
        <f aca="false">IFERROR(INDEX(종합!E$3:E$501,MATCH(ROW()-2,종합!$AD$3:$AD$501,0))&amp;"","")</f>
        <v/>
      </c>
      <c r="F339" s="18" t="str">
        <f aca="false">IFERROR(INDEX(종합!F$3:F$501,MATCH(ROW()-2,종합!$AD$3:$AD$501,0))&amp;"","")</f>
        <v/>
      </c>
      <c r="G339" s="18" t="str">
        <f aca="false">IFERROR(INDEX(종합!G$3:G$501,MATCH(ROW()-2,종합!$AD$3:$AD$501,0))&amp;"","")</f>
        <v/>
      </c>
      <c r="H339" s="21" t="str">
        <f aca="false">IFERROR(INDEX(종합!H$3:H$501,MATCH(ROW()-2,종합!$AD$3:$AD$501,0))&amp;"","")</f>
        <v/>
      </c>
      <c r="I339" s="21" t="str">
        <f aca="false">IFERROR(INDEX(종합!I$3:I$501,MATCH(ROW()-2,종합!$AD$3:$AD$501,0))&amp;"","")</f>
        <v/>
      </c>
      <c r="J339" s="21" t="str">
        <f aca="false">IFERROR(INDEX(종합!J$3:J$501,MATCH(ROW()-2,종합!$AD$3:$AD$501,0))&amp;"","")</f>
        <v/>
      </c>
      <c r="K339" s="21" t="str">
        <f aca="false">IFERROR(INDEX(종합!K$3:K$501,MATCH(ROW()-2,종합!$AD$3:$AD$501,0))&amp;"","")</f>
        <v/>
      </c>
      <c r="L339" s="21" t="str">
        <f aca="false">IFERROR(INDEX(종합!L$3:L$501,MATCH(ROW()-2,종합!$AD$3:$AD$501,0))&amp;"","")</f>
        <v/>
      </c>
      <c r="M339" s="21" t="str">
        <f aca="false">IFERROR(INDEX(종합!M$3:M$501,MATCH(ROW()-2,종합!$AD$3:$AD$501,0))&amp;"","")</f>
        <v/>
      </c>
      <c r="N339" s="25" t="str">
        <f aca="false">IFERROR(INDEX(종합!N$3:N$501,MATCH(ROW()-2,종합!$AD$3:$AD$501,0))&amp;"","")</f>
        <v/>
      </c>
      <c r="O339" s="21" t="str">
        <f aca="false">IFERROR(INDEX(종합!O$3:O$501,MATCH(ROW()-2,종합!$AD$3:$AD$501,0))&amp;"","")</f>
        <v/>
      </c>
      <c r="P339" s="21" t="str">
        <f aca="false">IFERROR(INDEX(종합!P$3:P$501,MATCH(ROW()-2,종합!$AD$3:$AD$501,0))&amp;"","")</f>
        <v/>
      </c>
      <c r="Q339" s="21" t="str">
        <f aca="false">IFERROR(INDEX(종합!Q$3:Q$501,MATCH(ROW()-2,종합!$AD$3:$AD$501,0))&amp;"","")</f>
        <v/>
      </c>
      <c r="R339" s="21" t="str">
        <f aca="false">IFERROR(INDEX(종합!R$3:R$501,MATCH(ROW()-2,종합!$AD$3:$AD$501,0))&amp;"","")</f>
        <v/>
      </c>
      <c r="S339" s="21" t="str">
        <f aca="false">IFERROR(INDEX(종합!S$3:S$501,MATCH(ROW()-2,종합!$AD$3:$AD$501,0))&amp;"","")</f>
        <v/>
      </c>
      <c r="T339" s="21" t="str">
        <f aca="false">IFERROR(INDEX(종합!T$3:T$501,MATCH(ROW()-2,종합!$AD$3:$AD$501,0))&amp;"","")</f>
        <v/>
      </c>
      <c r="U339" s="21" t="str">
        <f aca="false">IFERROR(INDEX(종합!U$3:U$501,MATCH(ROW()-2,종합!$AD$3:$AD$501,0))&amp;"","")</f>
        <v/>
      </c>
      <c r="V339" s="21" t="str">
        <f aca="false">IFERROR(INDEX(종합!V$3:V$501,MATCH(ROW()-2,종합!$AD$3:$AD$501,0))&amp;"","")</f>
        <v/>
      </c>
      <c r="W339" s="21" t="str">
        <f aca="false">IFERROR(INDEX(종합!W$3:W$501,MATCH(ROW()-2,종합!$AD$3:$AD$501,0))&amp;"","")</f>
        <v/>
      </c>
      <c r="X339" s="21" t="str">
        <f aca="false">IFERROR(INDEX(종합!X$3:X$501,MATCH(ROW()-2,종합!$AD$3:$AD$501,0))&amp;"","")</f>
        <v/>
      </c>
      <c r="Y339" s="21" t="str">
        <f aca="false">IFERROR(INDEX(종합!Y$3:Y$501,MATCH(ROW()-2,종합!$AD$3:$AD$501,0))&amp;"","")</f>
        <v/>
      </c>
      <c r="Z339" s="21" t="str">
        <f aca="false">IFERROR(INDEX(종합!Z$3:Z$501,MATCH(ROW()-2,종합!$AD$3:$AD$501,0))&amp;"","")</f>
        <v/>
      </c>
      <c r="AA339" s="23" t="str">
        <f aca="false">IFERROR(INDEX(종합!AA$3:AA$501,MATCH(ROW()-2,종합!$AD$3:$AD$501,0))&amp;"","")</f>
        <v/>
      </c>
    </row>
    <row r="340" customFormat="false" ht="16.5" hidden="false" customHeight="true" outlineLevel="0" collapsed="false">
      <c r="A340" s="18" t="str">
        <f aca="false">IF(B340="","",ROW()-2)</f>
        <v/>
      </c>
      <c r="B340" s="18" t="str">
        <f aca="false">IFERROR(INDEX(종합!B$3:B$501,MATCH(ROW()-2,종합!$AD$3:$AD$501,0))&amp;"","")</f>
        <v/>
      </c>
      <c r="C340" s="18" t="str">
        <f aca="false">IFERROR(INDEX(종합!C$3:C$501,MATCH(ROW()-2,종합!$AD$3:$AD$501,0))&amp;"","")</f>
        <v/>
      </c>
      <c r="D340" s="18" t="str">
        <f aca="false">IFERROR(INDEX(종합!D$3:D$501,MATCH(ROW()-2,종합!$AD$3:$AD$501,0))&amp;"","")</f>
        <v/>
      </c>
      <c r="E340" s="18" t="str">
        <f aca="false">IFERROR(INDEX(종합!E$3:E$501,MATCH(ROW()-2,종합!$AD$3:$AD$501,0))&amp;"","")</f>
        <v/>
      </c>
      <c r="F340" s="18" t="str">
        <f aca="false">IFERROR(INDEX(종합!F$3:F$501,MATCH(ROW()-2,종합!$AD$3:$AD$501,0))&amp;"","")</f>
        <v/>
      </c>
      <c r="G340" s="18" t="str">
        <f aca="false">IFERROR(INDEX(종합!G$3:G$501,MATCH(ROW()-2,종합!$AD$3:$AD$501,0))&amp;"","")</f>
        <v/>
      </c>
      <c r="H340" s="21" t="str">
        <f aca="false">IFERROR(INDEX(종합!H$3:H$501,MATCH(ROW()-2,종합!$AD$3:$AD$501,0))&amp;"","")</f>
        <v/>
      </c>
      <c r="I340" s="21" t="str">
        <f aca="false">IFERROR(INDEX(종합!I$3:I$501,MATCH(ROW()-2,종합!$AD$3:$AD$501,0))&amp;"","")</f>
        <v/>
      </c>
      <c r="J340" s="21" t="str">
        <f aca="false">IFERROR(INDEX(종합!J$3:J$501,MATCH(ROW()-2,종합!$AD$3:$AD$501,0))&amp;"","")</f>
        <v/>
      </c>
      <c r="K340" s="21" t="str">
        <f aca="false">IFERROR(INDEX(종합!K$3:K$501,MATCH(ROW()-2,종합!$AD$3:$AD$501,0))&amp;"","")</f>
        <v/>
      </c>
      <c r="L340" s="21" t="str">
        <f aca="false">IFERROR(INDEX(종합!L$3:L$501,MATCH(ROW()-2,종합!$AD$3:$AD$501,0))&amp;"","")</f>
        <v/>
      </c>
      <c r="M340" s="21" t="str">
        <f aca="false">IFERROR(INDEX(종합!M$3:M$501,MATCH(ROW()-2,종합!$AD$3:$AD$501,0))&amp;"","")</f>
        <v/>
      </c>
      <c r="N340" s="25" t="str">
        <f aca="false">IFERROR(INDEX(종합!N$3:N$501,MATCH(ROW()-2,종합!$AD$3:$AD$501,0))&amp;"","")</f>
        <v/>
      </c>
      <c r="O340" s="21" t="str">
        <f aca="false">IFERROR(INDEX(종합!O$3:O$501,MATCH(ROW()-2,종합!$AD$3:$AD$501,0))&amp;"","")</f>
        <v/>
      </c>
      <c r="P340" s="21" t="str">
        <f aca="false">IFERROR(INDEX(종합!P$3:P$501,MATCH(ROW()-2,종합!$AD$3:$AD$501,0))&amp;"","")</f>
        <v/>
      </c>
      <c r="Q340" s="21" t="str">
        <f aca="false">IFERROR(INDEX(종합!Q$3:Q$501,MATCH(ROW()-2,종합!$AD$3:$AD$501,0))&amp;"","")</f>
        <v/>
      </c>
      <c r="R340" s="21" t="str">
        <f aca="false">IFERROR(INDEX(종합!R$3:R$501,MATCH(ROW()-2,종합!$AD$3:$AD$501,0))&amp;"","")</f>
        <v/>
      </c>
      <c r="S340" s="21" t="str">
        <f aca="false">IFERROR(INDEX(종합!S$3:S$501,MATCH(ROW()-2,종합!$AD$3:$AD$501,0))&amp;"","")</f>
        <v/>
      </c>
      <c r="T340" s="21" t="str">
        <f aca="false">IFERROR(INDEX(종합!T$3:T$501,MATCH(ROW()-2,종합!$AD$3:$AD$501,0))&amp;"","")</f>
        <v/>
      </c>
      <c r="U340" s="21" t="str">
        <f aca="false">IFERROR(INDEX(종합!U$3:U$501,MATCH(ROW()-2,종합!$AD$3:$AD$501,0))&amp;"","")</f>
        <v/>
      </c>
      <c r="V340" s="21" t="str">
        <f aca="false">IFERROR(INDEX(종합!V$3:V$501,MATCH(ROW()-2,종합!$AD$3:$AD$501,0))&amp;"","")</f>
        <v/>
      </c>
      <c r="W340" s="21" t="str">
        <f aca="false">IFERROR(INDEX(종합!W$3:W$501,MATCH(ROW()-2,종합!$AD$3:$AD$501,0))&amp;"","")</f>
        <v/>
      </c>
      <c r="X340" s="21" t="str">
        <f aca="false">IFERROR(INDEX(종합!X$3:X$501,MATCH(ROW()-2,종합!$AD$3:$AD$501,0))&amp;"","")</f>
        <v/>
      </c>
      <c r="Y340" s="21" t="str">
        <f aca="false">IFERROR(INDEX(종합!Y$3:Y$501,MATCH(ROW()-2,종합!$AD$3:$AD$501,0))&amp;"","")</f>
        <v/>
      </c>
      <c r="Z340" s="21" t="str">
        <f aca="false">IFERROR(INDEX(종합!Z$3:Z$501,MATCH(ROW()-2,종합!$AD$3:$AD$501,0))&amp;"","")</f>
        <v/>
      </c>
      <c r="AA340" s="23" t="str">
        <f aca="false">IFERROR(INDEX(종합!AA$3:AA$501,MATCH(ROW()-2,종합!$AD$3:$AD$501,0))&amp;"","")</f>
        <v/>
      </c>
    </row>
    <row r="341" customFormat="false" ht="16.5" hidden="false" customHeight="true" outlineLevel="0" collapsed="false">
      <c r="A341" s="18" t="str">
        <f aca="false">IF(B341="","",ROW()-2)</f>
        <v/>
      </c>
      <c r="B341" s="18" t="str">
        <f aca="false">IFERROR(INDEX(종합!B$3:B$501,MATCH(ROW()-2,종합!$AD$3:$AD$501,0))&amp;"","")</f>
        <v/>
      </c>
      <c r="C341" s="18" t="str">
        <f aca="false">IFERROR(INDEX(종합!C$3:C$501,MATCH(ROW()-2,종합!$AD$3:$AD$501,0))&amp;"","")</f>
        <v/>
      </c>
      <c r="D341" s="18" t="str">
        <f aca="false">IFERROR(INDEX(종합!D$3:D$501,MATCH(ROW()-2,종합!$AD$3:$AD$501,0))&amp;"","")</f>
        <v/>
      </c>
      <c r="E341" s="18" t="str">
        <f aca="false">IFERROR(INDEX(종합!E$3:E$501,MATCH(ROW()-2,종합!$AD$3:$AD$501,0))&amp;"","")</f>
        <v/>
      </c>
      <c r="F341" s="18" t="str">
        <f aca="false">IFERROR(INDEX(종합!F$3:F$501,MATCH(ROW()-2,종합!$AD$3:$AD$501,0))&amp;"","")</f>
        <v/>
      </c>
      <c r="G341" s="18" t="str">
        <f aca="false">IFERROR(INDEX(종합!G$3:G$501,MATCH(ROW()-2,종합!$AD$3:$AD$501,0))&amp;"","")</f>
        <v/>
      </c>
      <c r="H341" s="21" t="str">
        <f aca="false">IFERROR(INDEX(종합!H$3:H$501,MATCH(ROW()-2,종합!$AD$3:$AD$501,0))&amp;"","")</f>
        <v/>
      </c>
      <c r="I341" s="21" t="str">
        <f aca="false">IFERROR(INDEX(종합!I$3:I$501,MATCH(ROW()-2,종합!$AD$3:$AD$501,0))&amp;"","")</f>
        <v/>
      </c>
      <c r="J341" s="21" t="str">
        <f aca="false">IFERROR(INDEX(종합!J$3:J$501,MATCH(ROW()-2,종합!$AD$3:$AD$501,0))&amp;"","")</f>
        <v/>
      </c>
      <c r="K341" s="21" t="str">
        <f aca="false">IFERROR(INDEX(종합!K$3:K$501,MATCH(ROW()-2,종합!$AD$3:$AD$501,0))&amp;"","")</f>
        <v/>
      </c>
      <c r="L341" s="21" t="str">
        <f aca="false">IFERROR(INDEX(종합!L$3:L$501,MATCH(ROW()-2,종합!$AD$3:$AD$501,0))&amp;"","")</f>
        <v/>
      </c>
      <c r="M341" s="21" t="str">
        <f aca="false">IFERROR(INDEX(종합!M$3:M$501,MATCH(ROW()-2,종합!$AD$3:$AD$501,0))&amp;"","")</f>
        <v/>
      </c>
      <c r="N341" s="25" t="str">
        <f aca="false">IFERROR(INDEX(종합!N$3:N$501,MATCH(ROW()-2,종합!$AD$3:$AD$501,0))&amp;"","")</f>
        <v/>
      </c>
      <c r="O341" s="21" t="str">
        <f aca="false">IFERROR(INDEX(종합!O$3:O$501,MATCH(ROW()-2,종합!$AD$3:$AD$501,0))&amp;"","")</f>
        <v/>
      </c>
      <c r="P341" s="21" t="str">
        <f aca="false">IFERROR(INDEX(종합!P$3:P$501,MATCH(ROW()-2,종합!$AD$3:$AD$501,0))&amp;"","")</f>
        <v/>
      </c>
      <c r="Q341" s="21" t="str">
        <f aca="false">IFERROR(INDEX(종합!Q$3:Q$501,MATCH(ROW()-2,종합!$AD$3:$AD$501,0))&amp;"","")</f>
        <v/>
      </c>
      <c r="R341" s="21" t="str">
        <f aca="false">IFERROR(INDEX(종합!R$3:R$501,MATCH(ROW()-2,종합!$AD$3:$AD$501,0))&amp;"","")</f>
        <v/>
      </c>
      <c r="S341" s="21" t="str">
        <f aca="false">IFERROR(INDEX(종합!S$3:S$501,MATCH(ROW()-2,종합!$AD$3:$AD$501,0))&amp;"","")</f>
        <v/>
      </c>
      <c r="T341" s="21" t="str">
        <f aca="false">IFERROR(INDEX(종합!T$3:T$501,MATCH(ROW()-2,종합!$AD$3:$AD$501,0))&amp;"","")</f>
        <v/>
      </c>
      <c r="U341" s="21" t="str">
        <f aca="false">IFERROR(INDEX(종합!U$3:U$501,MATCH(ROW()-2,종합!$AD$3:$AD$501,0))&amp;"","")</f>
        <v/>
      </c>
      <c r="V341" s="21" t="str">
        <f aca="false">IFERROR(INDEX(종합!V$3:V$501,MATCH(ROW()-2,종합!$AD$3:$AD$501,0))&amp;"","")</f>
        <v/>
      </c>
      <c r="W341" s="21" t="str">
        <f aca="false">IFERROR(INDEX(종합!W$3:W$501,MATCH(ROW()-2,종합!$AD$3:$AD$501,0))&amp;"","")</f>
        <v/>
      </c>
      <c r="X341" s="21" t="str">
        <f aca="false">IFERROR(INDEX(종합!X$3:X$501,MATCH(ROW()-2,종합!$AD$3:$AD$501,0))&amp;"","")</f>
        <v/>
      </c>
      <c r="Y341" s="21" t="str">
        <f aca="false">IFERROR(INDEX(종합!Y$3:Y$501,MATCH(ROW()-2,종합!$AD$3:$AD$501,0))&amp;"","")</f>
        <v/>
      </c>
      <c r="Z341" s="21" t="str">
        <f aca="false">IFERROR(INDEX(종합!Z$3:Z$501,MATCH(ROW()-2,종합!$AD$3:$AD$501,0))&amp;"","")</f>
        <v/>
      </c>
      <c r="AA341" s="23" t="str">
        <f aca="false">IFERROR(INDEX(종합!AA$3:AA$501,MATCH(ROW()-2,종합!$AD$3:$AD$501,0))&amp;"","")</f>
        <v/>
      </c>
    </row>
    <row r="342" customFormat="false" ht="16.5" hidden="false" customHeight="true" outlineLevel="0" collapsed="false">
      <c r="A342" s="18" t="str">
        <f aca="false">IF(B342="","",ROW()-2)</f>
        <v/>
      </c>
      <c r="B342" s="18" t="str">
        <f aca="false">IFERROR(INDEX(종합!B$3:B$501,MATCH(ROW()-2,종합!$AD$3:$AD$501,0))&amp;"","")</f>
        <v/>
      </c>
      <c r="C342" s="18" t="str">
        <f aca="false">IFERROR(INDEX(종합!C$3:C$501,MATCH(ROW()-2,종합!$AD$3:$AD$501,0))&amp;"","")</f>
        <v/>
      </c>
      <c r="D342" s="18" t="str">
        <f aca="false">IFERROR(INDEX(종합!D$3:D$501,MATCH(ROW()-2,종합!$AD$3:$AD$501,0))&amp;"","")</f>
        <v/>
      </c>
      <c r="E342" s="18" t="str">
        <f aca="false">IFERROR(INDEX(종합!E$3:E$501,MATCH(ROW()-2,종합!$AD$3:$AD$501,0))&amp;"","")</f>
        <v/>
      </c>
      <c r="F342" s="18" t="str">
        <f aca="false">IFERROR(INDEX(종합!F$3:F$501,MATCH(ROW()-2,종합!$AD$3:$AD$501,0))&amp;"","")</f>
        <v/>
      </c>
      <c r="G342" s="18" t="str">
        <f aca="false">IFERROR(INDEX(종합!G$3:G$501,MATCH(ROW()-2,종합!$AD$3:$AD$501,0))&amp;"","")</f>
        <v/>
      </c>
      <c r="H342" s="21" t="str">
        <f aca="false">IFERROR(INDEX(종합!H$3:H$501,MATCH(ROW()-2,종합!$AD$3:$AD$501,0))&amp;"","")</f>
        <v/>
      </c>
      <c r="I342" s="21" t="str">
        <f aca="false">IFERROR(INDEX(종합!I$3:I$501,MATCH(ROW()-2,종합!$AD$3:$AD$501,0))&amp;"","")</f>
        <v/>
      </c>
      <c r="J342" s="21" t="str">
        <f aca="false">IFERROR(INDEX(종합!J$3:J$501,MATCH(ROW()-2,종합!$AD$3:$AD$501,0))&amp;"","")</f>
        <v/>
      </c>
      <c r="K342" s="21" t="str">
        <f aca="false">IFERROR(INDEX(종합!K$3:K$501,MATCH(ROW()-2,종합!$AD$3:$AD$501,0))&amp;"","")</f>
        <v/>
      </c>
      <c r="L342" s="21" t="str">
        <f aca="false">IFERROR(INDEX(종합!L$3:L$501,MATCH(ROW()-2,종합!$AD$3:$AD$501,0))&amp;"","")</f>
        <v/>
      </c>
      <c r="M342" s="21" t="str">
        <f aca="false">IFERROR(INDEX(종합!M$3:M$501,MATCH(ROW()-2,종합!$AD$3:$AD$501,0))&amp;"","")</f>
        <v/>
      </c>
      <c r="N342" s="25" t="str">
        <f aca="false">IFERROR(INDEX(종합!N$3:N$501,MATCH(ROW()-2,종합!$AD$3:$AD$501,0))&amp;"","")</f>
        <v/>
      </c>
      <c r="O342" s="21" t="str">
        <f aca="false">IFERROR(INDEX(종합!O$3:O$501,MATCH(ROW()-2,종합!$AD$3:$AD$501,0))&amp;"","")</f>
        <v/>
      </c>
      <c r="P342" s="21" t="str">
        <f aca="false">IFERROR(INDEX(종합!P$3:P$501,MATCH(ROW()-2,종합!$AD$3:$AD$501,0))&amp;"","")</f>
        <v/>
      </c>
      <c r="Q342" s="21" t="str">
        <f aca="false">IFERROR(INDEX(종합!Q$3:Q$501,MATCH(ROW()-2,종합!$AD$3:$AD$501,0))&amp;"","")</f>
        <v/>
      </c>
      <c r="R342" s="21" t="str">
        <f aca="false">IFERROR(INDEX(종합!R$3:R$501,MATCH(ROW()-2,종합!$AD$3:$AD$501,0))&amp;"","")</f>
        <v/>
      </c>
      <c r="S342" s="21" t="str">
        <f aca="false">IFERROR(INDEX(종합!S$3:S$501,MATCH(ROW()-2,종합!$AD$3:$AD$501,0))&amp;"","")</f>
        <v/>
      </c>
      <c r="T342" s="21" t="str">
        <f aca="false">IFERROR(INDEX(종합!T$3:T$501,MATCH(ROW()-2,종합!$AD$3:$AD$501,0))&amp;"","")</f>
        <v/>
      </c>
      <c r="U342" s="21" t="str">
        <f aca="false">IFERROR(INDEX(종합!U$3:U$501,MATCH(ROW()-2,종합!$AD$3:$AD$501,0))&amp;"","")</f>
        <v/>
      </c>
      <c r="V342" s="21" t="str">
        <f aca="false">IFERROR(INDEX(종합!V$3:V$501,MATCH(ROW()-2,종합!$AD$3:$AD$501,0))&amp;"","")</f>
        <v/>
      </c>
      <c r="W342" s="21" t="str">
        <f aca="false">IFERROR(INDEX(종합!W$3:W$501,MATCH(ROW()-2,종합!$AD$3:$AD$501,0))&amp;"","")</f>
        <v/>
      </c>
      <c r="X342" s="21" t="str">
        <f aca="false">IFERROR(INDEX(종합!X$3:X$501,MATCH(ROW()-2,종합!$AD$3:$AD$501,0))&amp;"","")</f>
        <v/>
      </c>
      <c r="Y342" s="21" t="str">
        <f aca="false">IFERROR(INDEX(종합!Y$3:Y$501,MATCH(ROW()-2,종합!$AD$3:$AD$501,0))&amp;"","")</f>
        <v/>
      </c>
      <c r="Z342" s="21" t="str">
        <f aca="false">IFERROR(INDEX(종합!Z$3:Z$501,MATCH(ROW()-2,종합!$AD$3:$AD$501,0))&amp;"","")</f>
        <v/>
      </c>
      <c r="AA342" s="23" t="str">
        <f aca="false">IFERROR(INDEX(종합!AA$3:AA$501,MATCH(ROW()-2,종합!$AD$3:$AD$501,0))&amp;"","")</f>
        <v/>
      </c>
    </row>
    <row r="343" customFormat="false" ht="16.5" hidden="false" customHeight="true" outlineLevel="0" collapsed="false">
      <c r="A343" s="18" t="str">
        <f aca="false">IF(B343="","",ROW()-2)</f>
        <v/>
      </c>
      <c r="B343" s="18" t="str">
        <f aca="false">IFERROR(INDEX(종합!B$3:B$501,MATCH(ROW()-2,종합!$AD$3:$AD$501,0))&amp;"","")</f>
        <v/>
      </c>
      <c r="C343" s="18" t="str">
        <f aca="false">IFERROR(INDEX(종합!C$3:C$501,MATCH(ROW()-2,종합!$AD$3:$AD$501,0))&amp;"","")</f>
        <v/>
      </c>
      <c r="D343" s="18" t="str">
        <f aca="false">IFERROR(INDEX(종합!D$3:D$501,MATCH(ROW()-2,종합!$AD$3:$AD$501,0))&amp;"","")</f>
        <v/>
      </c>
      <c r="E343" s="18" t="str">
        <f aca="false">IFERROR(INDEX(종합!E$3:E$501,MATCH(ROW()-2,종합!$AD$3:$AD$501,0))&amp;"","")</f>
        <v/>
      </c>
      <c r="F343" s="18" t="str">
        <f aca="false">IFERROR(INDEX(종합!F$3:F$501,MATCH(ROW()-2,종합!$AD$3:$AD$501,0))&amp;"","")</f>
        <v/>
      </c>
      <c r="G343" s="18" t="str">
        <f aca="false">IFERROR(INDEX(종합!G$3:G$501,MATCH(ROW()-2,종합!$AD$3:$AD$501,0))&amp;"","")</f>
        <v/>
      </c>
      <c r="H343" s="21" t="str">
        <f aca="false">IFERROR(INDEX(종합!H$3:H$501,MATCH(ROW()-2,종합!$AD$3:$AD$501,0))&amp;"","")</f>
        <v/>
      </c>
      <c r="I343" s="21" t="str">
        <f aca="false">IFERROR(INDEX(종합!I$3:I$501,MATCH(ROW()-2,종합!$AD$3:$AD$501,0))&amp;"","")</f>
        <v/>
      </c>
      <c r="J343" s="21" t="str">
        <f aca="false">IFERROR(INDEX(종합!J$3:J$501,MATCH(ROW()-2,종합!$AD$3:$AD$501,0))&amp;"","")</f>
        <v/>
      </c>
      <c r="K343" s="21" t="str">
        <f aca="false">IFERROR(INDEX(종합!K$3:K$501,MATCH(ROW()-2,종합!$AD$3:$AD$501,0))&amp;"","")</f>
        <v/>
      </c>
      <c r="L343" s="21" t="str">
        <f aca="false">IFERROR(INDEX(종합!L$3:L$501,MATCH(ROW()-2,종합!$AD$3:$AD$501,0))&amp;"","")</f>
        <v/>
      </c>
      <c r="M343" s="21" t="str">
        <f aca="false">IFERROR(INDEX(종합!M$3:M$501,MATCH(ROW()-2,종합!$AD$3:$AD$501,0))&amp;"","")</f>
        <v/>
      </c>
      <c r="N343" s="25" t="str">
        <f aca="false">IFERROR(INDEX(종합!N$3:N$501,MATCH(ROW()-2,종합!$AD$3:$AD$501,0))&amp;"","")</f>
        <v/>
      </c>
      <c r="O343" s="21" t="str">
        <f aca="false">IFERROR(INDEX(종합!O$3:O$501,MATCH(ROW()-2,종합!$AD$3:$AD$501,0))&amp;"","")</f>
        <v/>
      </c>
      <c r="P343" s="21" t="str">
        <f aca="false">IFERROR(INDEX(종합!P$3:P$501,MATCH(ROW()-2,종합!$AD$3:$AD$501,0))&amp;"","")</f>
        <v/>
      </c>
      <c r="Q343" s="21" t="str">
        <f aca="false">IFERROR(INDEX(종합!Q$3:Q$501,MATCH(ROW()-2,종합!$AD$3:$AD$501,0))&amp;"","")</f>
        <v/>
      </c>
      <c r="R343" s="21" t="str">
        <f aca="false">IFERROR(INDEX(종합!R$3:R$501,MATCH(ROW()-2,종합!$AD$3:$AD$501,0))&amp;"","")</f>
        <v/>
      </c>
      <c r="S343" s="21" t="str">
        <f aca="false">IFERROR(INDEX(종합!S$3:S$501,MATCH(ROW()-2,종합!$AD$3:$AD$501,0))&amp;"","")</f>
        <v/>
      </c>
      <c r="T343" s="21" t="str">
        <f aca="false">IFERROR(INDEX(종합!T$3:T$501,MATCH(ROW()-2,종합!$AD$3:$AD$501,0))&amp;"","")</f>
        <v/>
      </c>
      <c r="U343" s="21" t="str">
        <f aca="false">IFERROR(INDEX(종합!U$3:U$501,MATCH(ROW()-2,종합!$AD$3:$AD$501,0))&amp;"","")</f>
        <v/>
      </c>
      <c r="V343" s="21" t="str">
        <f aca="false">IFERROR(INDEX(종합!V$3:V$501,MATCH(ROW()-2,종합!$AD$3:$AD$501,0))&amp;"","")</f>
        <v/>
      </c>
      <c r="W343" s="21" t="str">
        <f aca="false">IFERROR(INDEX(종합!W$3:W$501,MATCH(ROW()-2,종합!$AD$3:$AD$501,0))&amp;"","")</f>
        <v/>
      </c>
      <c r="X343" s="21" t="str">
        <f aca="false">IFERROR(INDEX(종합!X$3:X$501,MATCH(ROW()-2,종합!$AD$3:$AD$501,0))&amp;"","")</f>
        <v/>
      </c>
      <c r="Y343" s="21" t="str">
        <f aca="false">IFERROR(INDEX(종합!Y$3:Y$501,MATCH(ROW()-2,종합!$AD$3:$AD$501,0))&amp;"","")</f>
        <v/>
      </c>
      <c r="Z343" s="21" t="str">
        <f aca="false">IFERROR(INDEX(종합!Z$3:Z$501,MATCH(ROW()-2,종합!$AD$3:$AD$501,0))&amp;"","")</f>
        <v/>
      </c>
      <c r="AA343" s="23" t="str">
        <f aca="false">IFERROR(INDEX(종합!AA$3:AA$501,MATCH(ROW()-2,종합!$AD$3:$AD$501,0))&amp;"","")</f>
        <v/>
      </c>
    </row>
    <row r="344" customFormat="false" ht="16.5" hidden="false" customHeight="true" outlineLevel="0" collapsed="false">
      <c r="A344" s="18" t="str">
        <f aca="false">IF(B344="","",ROW()-2)</f>
        <v/>
      </c>
      <c r="B344" s="18" t="str">
        <f aca="false">IFERROR(INDEX(종합!B$3:B$501,MATCH(ROW()-2,종합!$AD$3:$AD$501,0))&amp;"","")</f>
        <v/>
      </c>
      <c r="C344" s="18" t="str">
        <f aca="false">IFERROR(INDEX(종합!C$3:C$501,MATCH(ROW()-2,종합!$AD$3:$AD$501,0))&amp;"","")</f>
        <v/>
      </c>
      <c r="D344" s="18" t="str">
        <f aca="false">IFERROR(INDEX(종합!D$3:D$501,MATCH(ROW()-2,종합!$AD$3:$AD$501,0))&amp;"","")</f>
        <v/>
      </c>
      <c r="E344" s="18" t="str">
        <f aca="false">IFERROR(INDEX(종합!E$3:E$501,MATCH(ROW()-2,종합!$AD$3:$AD$501,0))&amp;"","")</f>
        <v/>
      </c>
      <c r="F344" s="18" t="str">
        <f aca="false">IFERROR(INDEX(종합!F$3:F$501,MATCH(ROW()-2,종합!$AD$3:$AD$501,0))&amp;"","")</f>
        <v/>
      </c>
      <c r="G344" s="18" t="str">
        <f aca="false">IFERROR(INDEX(종합!G$3:G$501,MATCH(ROW()-2,종합!$AD$3:$AD$501,0))&amp;"","")</f>
        <v/>
      </c>
      <c r="H344" s="21" t="str">
        <f aca="false">IFERROR(INDEX(종합!H$3:H$501,MATCH(ROW()-2,종합!$AD$3:$AD$501,0))&amp;"","")</f>
        <v/>
      </c>
      <c r="I344" s="21" t="str">
        <f aca="false">IFERROR(INDEX(종합!I$3:I$501,MATCH(ROW()-2,종합!$AD$3:$AD$501,0))&amp;"","")</f>
        <v/>
      </c>
      <c r="J344" s="21" t="str">
        <f aca="false">IFERROR(INDEX(종합!J$3:J$501,MATCH(ROW()-2,종합!$AD$3:$AD$501,0))&amp;"","")</f>
        <v/>
      </c>
      <c r="K344" s="21" t="str">
        <f aca="false">IFERROR(INDEX(종합!K$3:K$501,MATCH(ROW()-2,종합!$AD$3:$AD$501,0))&amp;"","")</f>
        <v/>
      </c>
      <c r="L344" s="21" t="str">
        <f aca="false">IFERROR(INDEX(종합!L$3:L$501,MATCH(ROW()-2,종합!$AD$3:$AD$501,0))&amp;"","")</f>
        <v/>
      </c>
      <c r="M344" s="21" t="str">
        <f aca="false">IFERROR(INDEX(종합!M$3:M$501,MATCH(ROW()-2,종합!$AD$3:$AD$501,0))&amp;"","")</f>
        <v/>
      </c>
      <c r="N344" s="25" t="str">
        <f aca="false">IFERROR(INDEX(종합!N$3:N$501,MATCH(ROW()-2,종합!$AD$3:$AD$501,0))&amp;"","")</f>
        <v/>
      </c>
      <c r="O344" s="21" t="str">
        <f aca="false">IFERROR(INDEX(종합!O$3:O$501,MATCH(ROW()-2,종합!$AD$3:$AD$501,0))&amp;"","")</f>
        <v/>
      </c>
      <c r="P344" s="21" t="str">
        <f aca="false">IFERROR(INDEX(종합!P$3:P$501,MATCH(ROW()-2,종합!$AD$3:$AD$501,0))&amp;"","")</f>
        <v/>
      </c>
      <c r="Q344" s="21" t="str">
        <f aca="false">IFERROR(INDEX(종합!Q$3:Q$501,MATCH(ROW()-2,종합!$AD$3:$AD$501,0))&amp;"","")</f>
        <v/>
      </c>
      <c r="R344" s="21" t="str">
        <f aca="false">IFERROR(INDEX(종합!R$3:R$501,MATCH(ROW()-2,종합!$AD$3:$AD$501,0))&amp;"","")</f>
        <v/>
      </c>
      <c r="S344" s="21" t="str">
        <f aca="false">IFERROR(INDEX(종합!S$3:S$501,MATCH(ROW()-2,종합!$AD$3:$AD$501,0))&amp;"","")</f>
        <v/>
      </c>
      <c r="T344" s="21" t="str">
        <f aca="false">IFERROR(INDEX(종합!T$3:T$501,MATCH(ROW()-2,종합!$AD$3:$AD$501,0))&amp;"","")</f>
        <v/>
      </c>
      <c r="U344" s="21" t="str">
        <f aca="false">IFERROR(INDEX(종합!U$3:U$501,MATCH(ROW()-2,종합!$AD$3:$AD$501,0))&amp;"","")</f>
        <v/>
      </c>
      <c r="V344" s="21" t="str">
        <f aca="false">IFERROR(INDEX(종합!V$3:V$501,MATCH(ROW()-2,종합!$AD$3:$AD$501,0))&amp;"","")</f>
        <v/>
      </c>
      <c r="W344" s="21" t="str">
        <f aca="false">IFERROR(INDEX(종합!W$3:W$501,MATCH(ROW()-2,종합!$AD$3:$AD$501,0))&amp;"","")</f>
        <v/>
      </c>
      <c r="X344" s="21" t="str">
        <f aca="false">IFERROR(INDEX(종합!X$3:X$501,MATCH(ROW()-2,종합!$AD$3:$AD$501,0))&amp;"","")</f>
        <v/>
      </c>
      <c r="Y344" s="21" t="str">
        <f aca="false">IFERROR(INDEX(종합!Y$3:Y$501,MATCH(ROW()-2,종합!$AD$3:$AD$501,0))&amp;"","")</f>
        <v/>
      </c>
      <c r="Z344" s="21" t="str">
        <f aca="false">IFERROR(INDEX(종합!Z$3:Z$501,MATCH(ROW()-2,종합!$AD$3:$AD$501,0))&amp;"","")</f>
        <v/>
      </c>
      <c r="AA344" s="23" t="str">
        <f aca="false">IFERROR(INDEX(종합!AA$3:AA$501,MATCH(ROW()-2,종합!$AD$3:$AD$501,0))&amp;"","")</f>
        <v/>
      </c>
    </row>
    <row r="345" customFormat="false" ht="16.5" hidden="false" customHeight="true" outlineLevel="0" collapsed="false">
      <c r="A345" s="18" t="str">
        <f aca="false">IF(B345="","",ROW()-2)</f>
        <v/>
      </c>
      <c r="B345" s="18" t="str">
        <f aca="false">IFERROR(INDEX(종합!B$3:B$501,MATCH(ROW()-2,종합!$AD$3:$AD$501,0))&amp;"","")</f>
        <v/>
      </c>
      <c r="C345" s="18" t="str">
        <f aca="false">IFERROR(INDEX(종합!C$3:C$501,MATCH(ROW()-2,종합!$AD$3:$AD$501,0))&amp;"","")</f>
        <v/>
      </c>
      <c r="D345" s="18" t="str">
        <f aca="false">IFERROR(INDEX(종합!D$3:D$501,MATCH(ROW()-2,종합!$AD$3:$AD$501,0))&amp;"","")</f>
        <v/>
      </c>
      <c r="E345" s="18" t="str">
        <f aca="false">IFERROR(INDEX(종합!E$3:E$501,MATCH(ROW()-2,종합!$AD$3:$AD$501,0))&amp;"","")</f>
        <v/>
      </c>
      <c r="F345" s="18" t="str">
        <f aca="false">IFERROR(INDEX(종합!F$3:F$501,MATCH(ROW()-2,종합!$AD$3:$AD$501,0))&amp;"","")</f>
        <v/>
      </c>
      <c r="G345" s="18" t="str">
        <f aca="false">IFERROR(INDEX(종합!G$3:G$501,MATCH(ROW()-2,종합!$AD$3:$AD$501,0))&amp;"","")</f>
        <v/>
      </c>
      <c r="H345" s="21" t="str">
        <f aca="false">IFERROR(INDEX(종합!H$3:H$501,MATCH(ROW()-2,종합!$AD$3:$AD$501,0))&amp;"","")</f>
        <v/>
      </c>
      <c r="I345" s="21" t="str">
        <f aca="false">IFERROR(INDEX(종합!I$3:I$501,MATCH(ROW()-2,종합!$AD$3:$AD$501,0))&amp;"","")</f>
        <v/>
      </c>
      <c r="J345" s="21" t="str">
        <f aca="false">IFERROR(INDEX(종합!J$3:J$501,MATCH(ROW()-2,종합!$AD$3:$AD$501,0))&amp;"","")</f>
        <v/>
      </c>
      <c r="K345" s="21" t="str">
        <f aca="false">IFERROR(INDEX(종합!K$3:K$501,MATCH(ROW()-2,종합!$AD$3:$AD$501,0))&amp;"","")</f>
        <v/>
      </c>
      <c r="L345" s="21" t="str">
        <f aca="false">IFERROR(INDEX(종합!L$3:L$501,MATCH(ROW()-2,종합!$AD$3:$AD$501,0))&amp;"","")</f>
        <v/>
      </c>
      <c r="M345" s="21" t="str">
        <f aca="false">IFERROR(INDEX(종합!M$3:M$501,MATCH(ROW()-2,종합!$AD$3:$AD$501,0))&amp;"","")</f>
        <v/>
      </c>
      <c r="N345" s="25" t="str">
        <f aca="false">IFERROR(INDEX(종합!N$3:N$501,MATCH(ROW()-2,종합!$AD$3:$AD$501,0))&amp;"","")</f>
        <v/>
      </c>
      <c r="O345" s="21" t="str">
        <f aca="false">IFERROR(INDEX(종합!O$3:O$501,MATCH(ROW()-2,종합!$AD$3:$AD$501,0))&amp;"","")</f>
        <v/>
      </c>
      <c r="P345" s="21" t="str">
        <f aca="false">IFERROR(INDEX(종합!P$3:P$501,MATCH(ROW()-2,종합!$AD$3:$AD$501,0))&amp;"","")</f>
        <v/>
      </c>
      <c r="Q345" s="21" t="str">
        <f aca="false">IFERROR(INDEX(종합!Q$3:Q$501,MATCH(ROW()-2,종합!$AD$3:$AD$501,0))&amp;"","")</f>
        <v/>
      </c>
      <c r="R345" s="21" t="str">
        <f aca="false">IFERROR(INDEX(종합!R$3:R$501,MATCH(ROW()-2,종합!$AD$3:$AD$501,0))&amp;"","")</f>
        <v/>
      </c>
      <c r="S345" s="21" t="str">
        <f aca="false">IFERROR(INDEX(종합!S$3:S$501,MATCH(ROW()-2,종합!$AD$3:$AD$501,0))&amp;"","")</f>
        <v/>
      </c>
      <c r="T345" s="21" t="str">
        <f aca="false">IFERROR(INDEX(종합!T$3:T$501,MATCH(ROW()-2,종합!$AD$3:$AD$501,0))&amp;"","")</f>
        <v/>
      </c>
      <c r="U345" s="21" t="str">
        <f aca="false">IFERROR(INDEX(종합!U$3:U$501,MATCH(ROW()-2,종합!$AD$3:$AD$501,0))&amp;"","")</f>
        <v/>
      </c>
      <c r="V345" s="21" t="str">
        <f aca="false">IFERROR(INDEX(종합!V$3:V$501,MATCH(ROW()-2,종합!$AD$3:$AD$501,0))&amp;"","")</f>
        <v/>
      </c>
      <c r="W345" s="21" t="str">
        <f aca="false">IFERROR(INDEX(종합!W$3:W$501,MATCH(ROW()-2,종합!$AD$3:$AD$501,0))&amp;"","")</f>
        <v/>
      </c>
      <c r="X345" s="21" t="str">
        <f aca="false">IFERROR(INDEX(종합!X$3:X$501,MATCH(ROW()-2,종합!$AD$3:$AD$501,0))&amp;"","")</f>
        <v/>
      </c>
      <c r="Y345" s="21" t="str">
        <f aca="false">IFERROR(INDEX(종합!Y$3:Y$501,MATCH(ROW()-2,종합!$AD$3:$AD$501,0))&amp;"","")</f>
        <v/>
      </c>
      <c r="Z345" s="21" t="str">
        <f aca="false">IFERROR(INDEX(종합!Z$3:Z$501,MATCH(ROW()-2,종합!$AD$3:$AD$501,0))&amp;"","")</f>
        <v/>
      </c>
      <c r="AA345" s="23" t="str">
        <f aca="false">IFERROR(INDEX(종합!AA$3:AA$501,MATCH(ROW()-2,종합!$AD$3:$AD$501,0))&amp;"","")</f>
        <v/>
      </c>
    </row>
    <row r="346" customFormat="false" ht="16.5" hidden="false" customHeight="true" outlineLevel="0" collapsed="false">
      <c r="A346" s="18" t="str">
        <f aca="false">IF(B346="","",ROW()-2)</f>
        <v/>
      </c>
      <c r="B346" s="18" t="str">
        <f aca="false">IFERROR(INDEX(종합!B$3:B$501,MATCH(ROW()-2,종합!$AD$3:$AD$501,0))&amp;"","")</f>
        <v/>
      </c>
      <c r="C346" s="18" t="str">
        <f aca="false">IFERROR(INDEX(종합!C$3:C$501,MATCH(ROW()-2,종합!$AD$3:$AD$501,0))&amp;"","")</f>
        <v/>
      </c>
      <c r="D346" s="18" t="str">
        <f aca="false">IFERROR(INDEX(종합!D$3:D$501,MATCH(ROW()-2,종합!$AD$3:$AD$501,0))&amp;"","")</f>
        <v/>
      </c>
      <c r="E346" s="18" t="str">
        <f aca="false">IFERROR(INDEX(종합!E$3:E$501,MATCH(ROW()-2,종합!$AD$3:$AD$501,0))&amp;"","")</f>
        <v/>
      </c>
      <c r="F346" s="18" t="str">
        <f aca="false">IFERROR(INDEX(종합!F$3:F$501,MATCH(ROW()-2,종합!$AD$3:$AD$501,0))&amp;"","")</f>
        <v/>
      </c>
      <c r="G346" s="18" t="str">
        <f aca="false">IFERROR(INDEX(종합!G$3:G$501,MATCH(ROW()-2,종합!$AD$3:$AD$501,0))&amp;"","")</f>
        <v/>
      </c>
      <c r="H346" s="21" t="str">
        <f aca="false">IFERROR(INDEX(종합!H$3:H$501,MATCH(ROW()-2,종합!$AD$3:$AD$501,0))&amp;"","")</f>
        <v/>
      </c>
      <c r="I346" s="21" t="str">
        <f aca="false">IFERROR(INDEX(종합!I$3:I$501,MATCH(ROW()-2,종합!$AD$3:$AD$501,0))&amp;"","")</f>
        <v/>
      </c>
      <c r="J346" s="21" t="str">
        <f aca="false">IFERROR(INDEX(종합!J$3:J$501,MATCH(ROW()-2,종합!$AD$3:$AD$501,0))&amp;"","")</f>
        <v/>
      </c>
      <c r="K346" s="21" t="str">
        <f aca="false">IFERROR(INDEX(종합!K$3:K$501,MATCH(ROW()-2,종합!$AD$3:$AD$501,0))&amp;"","")</f>
        <v/>
      </c>
      <c r="L346" s="21" t="str">
        <f aca="false">IFERROR(INDEX(종합!L$3:L$501,MATCH(ROW()-2,종합!$AD$3:$AD$501,0))&amp;"","")</f>
        <v/>
      </c>
      <c r="M346" s="21" t="str">
        <f aca="false">IFERROR(INDEX(종합!M$3:M$501,MATCH(ROW()-2,종합!$AD$3:$AD$501,0))&amp;"","")</f>
        <v/>
      </c>
      <c r="N346" s="25" t="str">
        <f aca="false">IFERROR(INDEX(종합!N$3:N$501,MATCH(ROW()-2,종합!$AD$3:$AD$501,0))&amp;"","")</f>
        <v/>
      </c>
      <c r="O346" s="21" t="str">
        <f aca="false">IFERROR(INDEX(종합!O$3:O$501,MATCH(ROW()-2,종합!$AD$3:$AD$501,0))&amp;"","")</f>
        <v/>
      </c>
      <c r="P346" s="21" t="str">
        <f aca="false">IFERROR(INDEX(종합!P$3:P$501,MATCH(ROW()-2,종합!$AD$3:$AD$501,0))&amp;"","")</f>
        <v/>
      </c>
      <c r="Q346" s="21" t="str">
        <f aca="false">IFERROR(INDEX(종합!Q$3:Q$501,MATCH(ROW()-2,종합!$AD$3:$AD$501,0))&amp;"","")</f>
        <v/>
      </c>
      <c r="R346" s="21" t="str">
        <f aca="false">IFERROR(INDEX(종합!R$3:R$501,MATCH(ROW()-2,종합!$AD$3:$AD$501,0))&amp;"","")</f>
        <v/>
      </c>
      <c r="S346" s="21" t="str">
        <f aca="false">IFERROR(INDEX(종합!S$3:S$501,MATCH(ROW()-2,종합!$AD$3:$AD$501,0))&amp;"","")</f>
        <v/>
      </c>
      <c r="T346" s="21" t="str">
        <f aca="false">IFERROR(INDEX(종합!T$3:T$501,MATCH(ROW()-2,종합!$AD$3:$AD$501,0))&amp;"","")</f>
        <v/>
      </c>
      <c r="U346" s="21" t="str">
        <f aca="false">IFERROR(INDEX(종합!U$3:U$501,MATCH(ROW()-2,종합!$AD$3:$AD$501,0))&amp;"","")</f>
        <v/>
      </c>
      <c r="V346" s="21" t="str">
        <f aca="false">IFERROR(INDEX(종합!V$3:V$501,MATCH(ROW()-2,종합!$AD$3:$AD$501,0))&amp;"","")</f>
        <v/>
      </c>
      <c r="W346" s="21" t="str">
        <f aca="false">IFERROR(INDEX(종합!W$3:W$501,MATCH(ROW()-2,종합!$AD$3:$AD$501,0))&amp;"","")</f>
        <v/>
      </c>
      <c r="X346" s="21" t="str">
        <f aca="false">IFERROR(INDEX(종합!X$3:X$501,MATCH(ROW()-2,종합!$AD$3:$AD$501,0))&amp;"","")</f>
        <v/>
      </c>
      <c r="Y346" s="21" t="str">
        <f aca="false">IFERROR(INDEX(종합!Y$3:Y$501,MATCH(ROW()-2,종합!$AD$3:$AD$501,0))&amp;"","")</f>
        <v/>
      </c>
      <c r="Z346" s="21" t="str">
        <f aca="false">IFERROR(INDEX(종합!Z$3:Z$501,MATCH(ROW()-2,종합!$AD$3:$AD$501,0))&amp;"","")</f>
        <v/>
      </c>
      <c r="AA346" s="23" t="str">
        <f aca="false">IFERROR(INDEX(종합!AA$3:AA$501,MATCH(ROW()-2,종합!$AD$3:$AD$501,0))&amp;"","")</f>
        <v/>
      </c>
    </row>
    <row r="347" customFormat="false" ht="16.5" hidden="false" customHeight="true" outlineLevel="0" collapsed="false">
      <c r="A347" s="18" t="str">
        <f aca="false">IF(B347="","",ROW()-2)</f>
        <v/>
      </c>
      <c r="B347" s="18" t="str">
        <f aca="false">IFERROR(INDEX(종합!B$3:B$501,MATCH(ROW()-2,종합!$AD$3:$AD$501,0))&amp;"","")</f>
        <v/>
      </c>
      <c r="C347" s="18" t="str">
        <f aca="false">IFERROR(INDEX(종합!C$3:C$501,MATCH(ROW()-2,종합!$AD$3:$AD$501,0))&amp;"","")</f>
        <v/>
      </c>
      <c r="D347" s="18" t="str">
        <f aca="false">IFERROR(INDEX(종합!D$3:D$501,MATCH(ROW()-2,종합!$AD$3:$AD$501,0))&amp;"","")</f>
        <v/>
      </c>
      <c r="E347" s="18" t="str">
        <f aca="false">IFERROR(INDEX(종합!E$3:E$501,MATCH(ROW()-2,종합!$AD$3:$AD$501,0))&amp;"","")</f>
        <v/>
      </c>
      <c r="F347" s="18" t="str">
        <f aca="false">IFERROR(INDEX(종합!F$3:F$501,MATCH(ROW()-2,종합!$AD$3:$AD$501,0))&amp;"","")</f>
        <v/>
      </c>
      <c r="G347" s="18" t="str">
        <f aca="false">IFERROR(INDEX(종합!G$3:G$501,MATCH(ROW()-2,종합!$AD$3:$AD$501,0))&amp;"","")</f>
        <v/>
      </c>
      <c r="H347" s="21" t="str">
        <f aca="false">IFERROR(INDEX(종합!H$3:H$501,MATCH(ROW()-2,종합!$AD$3:$AD$501,0))&amp;"","")</f>
        <v/>
      </c>
      <c r="I347" s="21" t="str">
        <f aca="false">IFERROR(INDEX(종합!I$3:I$501,MATCH(ROW()-2,종합!$AD$3:$AD$501,0))&amp;"","")</f>
        <v/>
      </c>
      <c r="J347" s="21" t="str">
        <f aca="false">IFERROR(INDEX(종합!J$3:J$501,MATCH(ROW()-2,종합!$AD$3:$AD$501,0))&amp;"","")</f>
        <v/>
      </c>
      <c r="K347" s="21" t="str">
        <f aca="false">IFERROR(INDEX(종합!K$3:K$501,MATCH(ROW()-2,종합!$AD$3:$AD$501,0))&amp;"","")</f>
        <v/>
      </c>
      <c r="L347" s="21" t="str">
        <f aca="false">IFERROR(INDEX(종합!L$3:L$501,MATCH(ROW()-2,종합!$AD$3:$AD$501,0))&amp;"","")</f>
        <v/>
      </c>
      <c r="M347" s="21" t="str">
        <f aca="false">IFERROR(INDEX(종합!M$3:M$501,MATCH(ROW()-2,종합!$AD$3:$AD$501,0))&amp;"","")</f>
        <v/>
      </c>
      <c r="N347" s="25" t="str">
        <f aca="false">IFERROR(INDEX(종합!N$3:N$501,MATCH(ROW()-2,종합!$AD$3:$AD$501,0))&amp;"","")</f>
        <v/>
      </c>
      <c r="O347" s="21" t="str">
        <f aca="false">IFERROR(INDEX(종합!O$3:O$501,MATCH(ROW()-2,종합!$AD$3:$AD$501,0))&amp;"","")</f>
        <v/>
      </c>
      <c r="P347" s="21" t="str">
        <f aca="false">IFERROR(INDEX(종합!P$3:P$501,MATCH(ROW()-2,종합!$AD$3:$AD$501,0))&amp;"","")</f>
        <v/>
      </c>
      <c r="Q347" s="21" t="str">
        <f aca="false">IFERROR(INDEX(종합!Q$3:Q$501,MATCH(ROW()-2,종합!$AD$3:$AD$501,0))&amp;"","")</f>
        <v/>
      </c>
      <c r="R347" s="21" t="str">
        <f aca="false">IFERROR(INDEX(종합!R$3:R$501,MATCH(ROW()-2,종합!$AD$3:$AD$501,0))&amp;"","")</f>
        <v/>
      </c>
      <c r="S347" s="21" t="str">
        <f aca="false">IFERROR(INDEX(종합!S$3:S$501,MATCH(ROW()-2,종합!$AD$3:$AD$501,0))&amp;"","")</f>
        <v/>
      </c>
      <c r="T347" s="21" t="str">
        <f aca="false">IFERROR(INDEX(종합!T$3:T$501,MATCH(ROW()-2,종합!$AD$3:$AD$501,0))&amp;"","")</f>
        <v/>
      </c>
      <c r="U347" s="21" t="str">
        <f aca="false">IFERROR(INDEX(종합!U$3:U$501,MATCH(ROW()-2,종합!$AD$3:$AD$501,0))&amp;"","")</f>
        <v/>
      </c>
      <c r="V347" s="21" t="str">
        <f aca="false">IFERROR(INDEX(종합!V$3:V$501,MATCH(ROW()-2,종합!$AD$3:$AD$501,0))&amp;"","")</f>
        <v/>
      </c>
      <c r="W347" s="21" t="str">
        <f aca="false">IFERROR(INDEX(종합!W$3:W$501,MATCH(ROW()-2,종합!$AD$3:$AD$501,0))&amp;"","")</f>
        <v/>
      </c>
      <c r="X347" s="21" t="str">
        <f aca="false">IFERROR(INDEX(종합!X$3:X$501,MATCH(ROW()-2,종합!$AD$3:$AD$501,0))&amp;"","")</f>
        <v/>
      </c>
      <c r="Y347" s="21" t="str">
        <f aca="false">IFERROR(INDEX(종합!Y$3:Y$501,MATCH(ROW()-2,종합!$AD$3:$AD$501,0))&amp;"","")</f>
        <v/>
      </c>
      <c r="Z347" s="21" t="str">
        <f aca="false">IFERROR(INDEX(종합!Z$3:Z$501,MATCH(ROW()-2,종합!$AD$3:$AD$501,0))&amp;"","")</f>
        <v/>
      </c>
      <c r="AA347" s="23" t="str">
        <f aca="false">IFERROR(INDEX(종합!AA$3:AA$501,MATCH(ROW()-2,종합!$AD$3:$AD$501,0))&amp;"","")</f>
        <v/>
      </c>
    </row>
    <row r="348" customFormat="false" ht="16.5" hidden="false" customHeight="true" outlineLevel="0" collapsed="false">
      <c r="A348" s="18" t="str">
        <f aca="false">IF(B348="","",ROW()-2)</f>
        <v/>
      </c>
      <c r="B348" s="18" t="str">
        <f aca="false">IFERROR(INDEX(종합!B$3:B$501,MATCH(ROW()-2,종합!$AD$3:$AD$501,0))&amp;"","")</f>
        <v/>
      </c>
      <c r="C348" s="18" t="str">
        <f aca="false">IFERROR(INDEX(종합!C$3:C$501,MATCH(ROW()-2,종합!$AD$3:$AD$501,0))&amp;"","")</f>
        <v/>
      </c>
      <c r="D348" s="18" t="str">
        <f aca="false">IFERROR(INDEX(종합!D$3:D$501,MATCH(ROW()-2,종합!$AD$3:$AD$501,0))&amp;"","")</f>
        <v/>
      </c>
      <c r="E348" s="18" t="str">
        <f aca="false">IFERROR(INDEX(종합!E$3:E$501,MATCH(ROW()-2,종합!$AD$3:$AD$501,0))&amp;"","")</f>
        <v/>
      </c>
      <c r="F348" s="18" t="str">
        <f aca="false">IFERROR(INDEX(종합!F$3:F$501,MATCH(ROW()-2,종합!$AD$3:$AD$501,0))&amp;"","")</f>
        <v/>
      </c>
      <c r="G348" s="18" t="str">
        <f aca="false">IFERROR(INDEX(종합!G$3:G$501,MATCH(ROW()-2,종합!$AD$3:$AD$501,0))&amp;"","")</f>
        <v/>
      </c>
      <c r="H348" s="21" t="str">
        <f aca="false">IFERROR(INDEX(종합!H$3:H$501,MATCH(ROW()-2,종합!$AD$3:$AD$501,0))&amp;"","")</f>
        <v/>
      </c>
      <c r="I348" s="21" t="str">
        <f aca="false">IFERROR(INDEX(종합!I$3:I$501,MATCH(ROW()-2,종합!$AD$3:$AD$501,0))&amp;"","")</f>
        <v/>
      </c>
      <c r="J348" s="21" t="str">
        <f aca="false">IFERROR(INDEX(종합!J$3:J$501,MATCH(ROW()-2,종합!$AD$3:$AD$501,0))&amp;"","")</f>
        <v/>
      </c>
      <c r="K348" s="21" t="str">
        <f aca="false">IFERROR(INDEX(종합!K$3:K$501,MATCH(ROW()-2,종합!$AD$3:$AD$501,0))&amp;"","")</f>
        <v/>
      </c>
      <c r="L348" s="21" t="str">
        <f aca="false">IFERROR(INDEX(종합!L$3:L$501,MATCH(ROW()-2,종합!$AD$3:$AD$501,0))&amp;"","")</f>
        <v/>
      </c>
      <c r="M348" s="21" t="str">
        <f aca="false">IFERROR(INDEX(종합!M$3:M$501,MATCH(ROW()-2,종합!$AD$3:$AD$501,0))&amp;"","")</f>
        <v/>
      </c>
      <c r="N348" s="25" t="str">
        <f aca="false">IFERROR(INDEX(종합!N$3:N$501,MATCH(ROW()-2,종합!$AD$3:$AD$501,0))&amp;"","")</f>
        <v/>
      </c>
      <c r="O348" s="21" t="str">
        <f aca="false">IFERROR(INDEX(종합!O$3:O$501,MATCH(ROW()-2,종합!$AD$3:$AD$501,0))&amp;"","")</f>
        <v/>
      </c>
      <c r="P348" s="21" t="str">
        <f aca="false">IFERROR(INDEX(종합!P$3:P$501,MATCH(ROW()-2,종합!$AD$3:$AD$501,0))&amp;"","")</f>
        <v/>
      </c>
      <c r="Q348" s="21" t="str">
        <f aca="false">IFERROR(INDEX(종합!Q$3:Q$501,MATCH(ROW()-2,종합!$AD$3:$AD$501,0))&amp;"","")</f>
        <v/>
      </c>
      <c r="R348" s="21" t="str">
        <f aca="false">IFERROR(INDEX(종합!R$3:R$501,MATCH(ROW()-2,종합!$AD$3:$AD$501,0))&amp;"","")</f>
        <v/>
      </c>
      <c r="S348" s="21" t="str">
        <f aca="false">IFERROR(INDEX(종합!S$3:S$501,MATCH(ROW()-2,종합!$AD$3:$AD$501,0))&amp;"","")</f>
        <v/>
      </c>
      <c r="T348" s="21" t="str">
        <f aca="false">IFERROR(INDEX(종합!T$3:T$501,MATCH(ROW()-2,종합!$AD$3:$AD$501,0))&amp;"","")</f>
        <v/>
      </c>
      <c r="U348" s="21" t="str">
        <f aca="false">IFERROR(INDEX(종합!U$3:U$501,MATCH(ROW()-2,종합!$AD$3:$AD$501,0))&amp;"","")</f>
        <v/>
      </c>
      <c r="V348" s="21" t="str">
        <f aca="false">IFERROR(INDEX(종합!V$3:V$501,MATCH(ROW()-2,종합!$AD$3:$AD$501,0))&amp;"","")</f>
        <v/>
      </c>
      <c r="W348" s="21" t="str">
        <f aca="false">IFERROR(INDEX(종합!W$3:W$501,MATCH(ROW()-2,종합!$AD$3:$AD$501,0))&amp;"","")</f>
        <v/>
      </c>
      <c r="X348" s="21" t="str">
        <f aca="false">IFERROR(INDEX(종합!X$3:X$501,MATCH(ROW()-2,종합!$AD$3:$AD$501,0))&amp;"","")</f>
        <v/>
      </c>
      <c r="Y348" s="21" t="str">
        <f aca="false">IFERROR(INDEX(종합!Y$3:Y$501,MATCH(ROW()-2,종합!$AD$3:$AD$501,0))&amp;"","")</f>
        <v/>
      </c>
      <c r="Z348" s="21" t="str">
        <f aca="false">IFERROR(INDEX(종합!Z$3:Z$501,MATCH(ROW()-2,종합!$AD$3:$AD$501,0))&amp;"","")</f>
        <v/>
      </c>
      <c r="AA348" s="23" t="str">
        <f aca="false">IFERROR(INDEX(종합!AA$3:AA$501,MATCH(ROW()-2,종합!$AD$3:$AD$501,0))&amp;"","")</f>
        <v/>
      </c>
    </row>
    <row r="349" customFormat="false" ht="16.5" hidden="false" customHeight="true" outlineLevel="0" collapsed="false">
      <c r="A349" s="18" t="str">
        <f aca="false">IF(B349="","",ROW()-2)</f>
        <v/>
      </c>
      <c r="B349" s="18" t="str">
        <f aca="false">IFERROR(INDEX(종합!B$3:B$501,MATCH(ROW()-2,종합!$AD$3:$AD$501,0))&amp;"","")</f>
        <v/>
      </c>
      <c r="C349" s="18" t="str">
        <f aca="false">IFERROR(INDEX(종합!C$3:C$501,MATCH(ROW()-2,종합!$AD$3:$AD$501,0))&amp;"","")</f>
        <v/>
      </c>
      <c r="D349" s="18" t="str">
        <f aca="false">IFERROR(INDEX(종합!D$3:D$501,MATCH(ROW()-2,종합!$AD$3:$AD$501,0))&amp;"","")</f>
        <v/>
      </c>
      <c r="E349" s="18" t="str">
        <f aca="false">IFERROR(INDEX(종합!E$3:E$501,MATCH(ROW()-2,종합!$AD$3:$AD$501,0))&amp;"","")</f>
        <v/>
      </c>
      <c r="F349" s="18" t="str">
        <f aca="false">IFERROR(INDEX(종합!F$3:F$501,MATCH(ROW()-2,종합!$AD$3:$AD$501,0))&amp;"","")</f>
        <v/>
      </c>
      <c r="G349" s="18" t="str">
        <f aca="false">IFERROR(INDEX(종합!G$3:G$501,MATCH(ROW()-2,종합!$AD$3:$AD$501,0))&amp;"","")</f>
        <v/>
      </c>
      <c r="H349" s="21" t="str">
        <f aca="false">IFERROR(INDEX(종합!H$3:H$501,MATCH(ROW()-2,종합!$AD$3:$AD$501,0))&amp;"","")</f>
        <v/>
      </c>
      <c r="I349" s="21" t="str">
        <f aca="false">IFERROR(INDEX(종합!I$3:I$501,MATCH(ROW()-2,종합!$AD$3:$AD$501,0))&amp;"","")</f>
        <v/>
      </c>
      <c r="J349" s="21" t="str">
        <f aca="false">IFERROR(INDEX(종합!J$3:J$501,MATCH(ROW()-2,종합!$AD$3:$AD$501,0))&amp;"","")</f>
        <v/>
      </c>
      <c r="K349" s="21" t="str">
        <f aca="false">IFERROR(INDEX(종합!K$3:K$501,MATCH(ROW()-2,종합!$AD$3:$AD$501,0))&amp;"","")</f>
        <v/>
      </c>
      <c r="L349" s="21" t="str">
        <f aca="false">IFERROR(INDEX(종합!L$3:L$501,MATCH(ROW()-2,종합!$AD$3:$AD$501,0))&amp;"","")</f>
        <v/>
      </c>
      <c r="M349" s="21" t="str">
        <f aca="false">IFERROR(INDEX(종합!M$3:M$501,MATCH(ROW()-2,종합!$AD$3:$AD$501,0))&amp;"","")</f>
        <v/>
      </c>
      <c r="N349" s="25" t="str">
        <f aca="false">IFERROR(INDEX(종합!N$3:N$501,MATCH(ROW()-2,종합!$AD$3:$AD$501,0))&amp;"","")</f>
        <v/>
      </c>
      <c r="O349" s="21" t="str">
        <f aca="false">IFERROR(INDEX(종합!O$3:O$501,MATCH(ROW()-2,종합!$AD$3:$AD$501,0))&amp;"","")</f>
        <v/>
      </c>
      <c r="P349" s="21" t="str">
        <f aca="false">IFERROR(INDEX(종합!P$3:P$501,MATCH(ROW()-2,종합!$AD$3:$AD$501,0))&amp;"","")</f>
        <v/>
      </c>
      <c r="Q349" s="21" t="str">
        <f aca="false">IFERROR(INDEX(종합!Q$3:Q$501,MATCH(ROW()-2,종합!$AD$3:$AD$501,0))&amp;"","")</f>
        <v/>
      </c>
      <c r="R349" s="21" t="str">
        <f aca="false">IFERROR(INDEX(종합!R$3:R$501,MATCH(ROW()-2,종합!$AD$3:$AD$501,0))&amp;"","")</f>
        <v/>
      </c>
      <c r="S349" s="21" t="str">
        <f aca="false">IFERROR(INDEX(종합!S$3:S$501,MATCH(ROW()-2,종합!$AD$3:$AD$501,0))&amp;"","")</f>
        <v/>
      </c>
      <c r="T349" s="21" t="str">
        <f aca="false">IFERROR(INDEX(종합!T$3:T$501,MATCH(ROW()-2,종합!$AD$3:$AD$501,0))&amp;"","")</f>
        <v/>
      </c>
      <c r="U349" s="21" t="str">
        <f aca="false">IFERROR(INDEX(종합!U$3:U$501,MATCH(ROW()-2,종합!$AD$3:$AD$501,0))&amp;"","")</f>
        <v/>
      </c>
      <c r="V349" s="21" t="str">
        <f aca="false">IFERROR(INDEX(종합!V$3:V$501,MATCH(ROW()-2,종합!$AD$3:$AD$501,0))&amp;"","")</f>
        <v/>
      </c>
      <c r="W349" s="21" t="str">
        <f aca="false">IFERROR(INDEX(종합!W$3:W$501,MATCH(ROW()-2,종합!$AD$3:$AD$501,0))&amp;"","")</f>
        <v/>
      </c>
      <c r="X349" s="21" t="str">
        <f aca="false">IFERROR(INDEX(종합!X$3:X$501,MATCH(ROW()-2,종합!$AD$3:$AD$501,0))&amp;"","")</f>
        <v/>
      </c>
      <c r="Y349" s="21" t="str">
        <f aca="false">IFERROR(INDEX(종합!Y$3:Y$501,MATCH(ROW()-2,종합!$AD$3:$AD$501,0))&amp;"","")</f>
        <v/>
      </c>
      <c r="Z349" s="21" t="str">
        <f aca="false">IFERROR(INDEX(종합!Z$3:Z$501,MATCH(ROW()-2,종합!$AD$3:$AD$501,0))&amp;"","")</f>
        <v/>
      </c>
      <c r="AA349" s="23" t="str">
        <f aca="false">IFERROR(INDEX(종합!AA$3:AA$501,MATCH(ROW()-2,종합!$AD$3:$AD$501,0))&amp;"","")</f>
        <v/>
      </c>
    </row>
    <row r="350" customFormat="false" ht="16.5" hidden="false" customHeight="true" outlineLevel="0" collapsed="false">
      <c r="A350" s="18" t="str">
        <f aca="false">IF(B350="","",ROW()-2)</f>
        <v/>
      </c>
      <c r="B350" s="18" t="str">
        <f aca="false">IFERROR(INDEX(종합!B$3:B$501,MATCH(ROW()-2,종합!$AD$3:$AD$501,0))&amp;"","")</f>
        <v/>
      </c>
      <c r="C350" s="18" t="str">
        <f aca="false">IFERROR(INDEX(종합!C$3:C$501,MATCH(ROW()-2,종합!$AD$3:$AD$501,0))&amp;"","")</f>
        <v/>
      </c>
      <c r="D350" s="18" t="str">
        <f aca="false">IFERROR(INDEX(종합!D$3:D$501,MATCH(ROW()-2,종합!$AD$3:$AD$501,0))&amp;"","")</f>
        <v/>
      </c>
      <c r="E350" s="18" t="str">
        <f aca="false">IFERROR(INDEX(종합!E$3:E$501,MATCH(ROW()-2,종합!$AD$3:$AD$501,0))&amp;"","")</f>
        <v/>
      </c>
      <c r="F350" s="18" t="str">
        <f aca="false">IFERROR(INDEX(종합!F$3:F$501,MATCH(ROW()-2,종합!$AD$3:$AD$501,0))&amp;"","")</f>
        <v/>
      </c>
      <c r="G350" s="18" t="str">
        <f aca="false">IFERROR(INDEX(종합!G$3:G$501,MATCH(ROW()-2,종합!$AD$3:$AD$501,0))&amp;"","")</f>
        <v/>
      </c>
      <c r="H350" s="21" t="str">
        <f aca="false">IFERROR(INDEX(종합!H$3:H$501,MATCH(ROW()-2,종합!$AD$3:$AD$501,0))&amp;"","")</f>
        <v/>
      </c>
      <c r="I350" s="21" t="str">
        <f aca="false">IFERROR(INDEX(종합!I$3:I$501,MATCH(ROW()-2,종합!$AD$3:$AD$501,0))&amp;"","")</f>
        <v/>
      </c>
      <c r="J350" s="21" t="str">
        <f aca="false">IFERROR(INDEX(종합!J$3:J$501,MATCH(ROW()-2,종합!$AD$3:$AD$501,0))&amp;"","")</f>
        <v/>
      </c>
      <c r="K350" s="21" t="str">
        <f aca="false">IFERROR(INDEX(종합!K$3:K$501,MATCH(ROW()-2,종합!$AD$3:$AD$501,0))&amp;"","")</f>
        <v/>
      </c>
      <c r="L350" s="21" t="str">
        <f aca="false">IFERROR(INDEX(종합!L$3:L$501,MATCH(ROW()-2,종합!$AD$3:$AD$501,0))&amp;"","")</f>
        <v/>
      </c>
      <c r="M350" s="21" t="str">
        <f aca="false">IFERROR(INDEX(종합!M$3:M$501,MATCH(ROW()-2,종합!$AD$3:$AD$501,0))&amp;"","")</f>
        <v/>
      </c>
      <c r="N350" s="25" t="str">
        <f aca="false">IFERROR(INDEX(종합!N$3:N$501,MATCH(ROW()-2,종합!$AD$3:$AD$501,0))&amp;"","")</f>
        <v/>
      </c>
      <c r="O350" s="21" t="str">
        <f aca="false">IFERROR(INDEX(종합!O$3:O$501,MATCH(ROW()-2,종합!$AD$3:$AD$501,0))&amp;"","")</f>
        <v/>
      </c>
      <c r="P350" s="21" t="str">
        <f aca="false">IFERROR(INDEX(종합!P$3:P$501,MATCH(ROW()-2,종합!$AD$3:$AD$501,0))&amp;"","")</f>
        <v/>
      </c>
      <c r="Q350" s="21" t="str">
        <f aca="false">IFERROR(INDEX(종합!Q$3:Q$501,MATCH(ROW()-2,종합!$AD$3:$AD$501,0))&amp;"","")</f>
        <v/>
      </c>
      <c r="R350" s="21" t="str">
        <f aca="false">IFERROR(INDEX(종합!R$3:R$501,MATCH(ROW()-2,종합!$AD$3:$AD$501,0))&amp;"","")</f>
        <v/>
      </c>
      <c r="S350" s="21" t="str">
        <f aca="false">IFERROR(INDEX(종합!S$3:S$501,MATCH(ROW()-2,종합!$AD$3:$AD$501,0))&amp;"","")</f>
        <v/>
      </c>
      <c r="T350" s="21" t="str">
        <f aca="false">IFERROR(INDEX(종합!T$3:T$501,MATCH(ROW()-2,종합!$AD$3:$AD$501,0))&amp;"","")</f>
        <v/>
      </c>
      <c r="U350" s="21" t="str">
        <f aca="false">IFERROR(INDEX(종합!U$3:U$501,MATCH(ROW()-2,종합!$AD$3:$AD$501,0))&amp;"","")</f>
        <v/>
      </c>
      <c r="V350" s="21" t="str">
        <f aca="false">IFERROR(INDEX(종합!V$3:V$501,MATCH(ROW()-2,종합!$AD$3:$AD$501,0))&amp;"","")</f>
        <v/>
      </c>
      <c r="W350" s="21" t="str">
        <f aca="false">IFERROR(INDEX(종합!W$3:W$501,MATCH(ROW()-2,종합!$AD$3:$AD$501,0))&amp;"","")</f>
        <v/>
      </c>
      <c r="X350" s="21" t="str">
        <f aca="false">IFERROR(INDEX(종합!X$3:X$501,MATCH(ROW()-2,종합!$AD$3:$AD$501,0))&amp;"","")</f>
        <v/>
      </c>
      <c r="Y350" s="21" t="str">
        <f aca="false">IFERROR(INDEX(종합!Y$3:Y$501,MATCH(ROW()-2,종합!$AD$3:$AD$501,0))&amp;"","")</f>
        <v/>
      </c>
      <c r="Z350" s="21" t="str">
        <f aca="false">IFERROR(INDEX(종합!Z$3:Z$501,MATCH(ROW()-2,종합!$AD$3:$AD$501,0))&amp;"","")</f>
        <v/>
      </c>
      <c r="AA350" s="23" t="str">
        <f aca="false">IFERROR(INDEX(종합!AA$3:AA$501,MATCH(ROW()-2,종합!$AD$3:$AD$501,0))&amp;"","")</f>
        <v/>
      </c>
    </row>
    <row r="351" customFormat="false" ht="16.5" hidden="false" customHeight="true" outlineLevel="0" collapsed="false">
      <c r="A351" s="18" t="str">
        <f aca="false">IF(B351="","",ROW()-2)</f>
        <v/>
      </c>
      <c r="B351" s="18" t="str">
        <f aca="false">IFERROR(INDEX(종합!B$3:B$501,MATCH(ROW()-2,종합!$AD$3:$AD$501,0))&amp;"","")</f>
        <v/>
      </c>
      <c r="C351" s="18" t="str">
        <f aca="false">IFERROR(INDEX(종합!C$3:C$501,MATCH(ROW()-2,종합!$AD$3:$AD$501,0))&amp;"","")</f>
        <v/>
      </c>
      <c r="D351" s="18" t="str">
        <f aca="false">IFERROR(INDEX(종합!D$3:D$501,MATCH(ROW()-2,종합!$AD$3:$AD$501,0))&amp;"","")</f>
        <v/>
      </c>
      <c r="E351" s="18" t="str">
        <f aca="false">IFERROR(INDEX(종합!E$3:E$501,MATCH(ROW()-2,종합!$AD$3:$AD$501,0))&amp;"","")</f>
        <v/>
      </c>
      <c r="F351" s="18" t="str">
        <f aca="false">IFERROR(INDEX(종합!F$3:F$501,MATCH(ROW()-2,종합!$AD$3:$AD$501,0))&amp;"","")</f>
        <v/>
      </c>
      <c r="G351" s="18" t="str">
        <f aca="false">IFERROR(INDEX(종합!G$3:G$501,MATCH(ROW()-2,종합!$AD$3:$AD$501,0))&amp;"","")</f>
        <v/>
      </c>
      <c r="H351" s="21" t="str">
        <f aca="false">IFERROR(INDEX(종합!H$3:H$501,MATCH(ROW()-2,종합!$AD$3:$AD$501,0))&amp;"","")</f>
        <v/>
      </c>
      <c r="I351" s="21" t="str">
        <f aca="false">IFERROR(INDEX(종합!I$3:I$501,MATCH(ROW()-2,종합!$AD$3:$AD$501,0))&amp;"","")</f>
        <v/>
      </c>
      <c r="J351" s="21" t="str">
        <f aca="false">IFERROR(INDEX(종합!J$3:J$501,MATCH(ROW()-2,종합!$AD$3:$AD$501,0))&amp;"","")</f>
        <v/>
      </c>
      <c r="K351" s="21" t="str">
        <f aca="false">IFERROR(INDEX(종합!K$3:K$501,MATCH(ROW()-2,종합!$AD$3:$AD$501,0))&amp;"","")</f>
        <v/>
      </c>
      <c r="L351" s="21" t="str">
        <f aca="false">IFERROR(INDEX(종합!L$3:L$501,MATCH(ROW()-2,종합!$AD$3:$AD$501,0))&amp;"","")</f>
        <v/>
      </c>
      <c r="M351" s="21" t="str">
        <f aca="false">IFERROR(INDEX(종합!M$3:M$501,MATCH(ROW()-2,종합!$AD$3:$AD$501,0))&amp;"","")</f>
        <v/>
      </c>
      <c r="N351" s="25" t="str">
        <f aca="false">IFERROR(INDEX(종합!N$3:N$501,MATCH(ROW()-2,종합!$AD$3:$AD$501,0))&amp;"","")</f>
        <v/>
      </c>
      <c r="O351" s="21" t="str">
        <f aca="false">IFERROR(INDEX(종합!O$3:O$501,MATCH(ROW()-2,종합!$AD$3:$AD$501,0))&amp;"","")</f>
        <v/>
      </c>
      <c r="P351" s="21" t="str">
        <f aca="false">IFERROR(INDEX(종합!P$3:P$501,MATCH(ROW()-2,종합!$AD$3:$AD$501,0))&amp;"","")</f>
        <v/>
      </c>
      <c r="Q351" s="21" t="str">
        <f aca="false">IFERROR(INDEX(종합!Q$3:Q$501,MATCH(ROW()-2,종합!$AD$3:$AD$501,0))&amp;"","")</f>
        <v/>
      </c>
      <c r="R351" s="21" t="str">
        <f aca="false">IFERROR(INDEX(종합!R$3:R$501,MATCH(ROW()-2,종합!$AD$3:$AD$501,0))&amp;"","")</f>
        <v/>
      </c>
      <c r="S351" s="21" t="str">
        <f aca="false">IFERROR(INDEX(종합!S$3:S$501,MATCH(ROW()-2,종합!$AD$3:$AD$501,0))&amp;"","")</f>
        <v/>
      </c>
      <c r="T351" s="21" t="str">
        <f aca="false">IFERROR(INDEX(종합!T$3:T$501,MATCH(ROW()-2,종합!$AD$3:$AD$501,0))&amp;"","")</f>
        <v/>
      </c>
      <c r="U351" s="21" t="str">
        <f aca="false">IFERROR(INDEX(종합!U$3:U$501,MATCH(ROW()-2,종합!$AD$3:$AD$501,0))&amp;"","")</f>
        <v/>
      </c>
      <c r="V351" s="21" t="str">
        <f aca="false">IFERROR(INDEX(종합!V$3:V$501,MATCH(ROW()-2,종합!$AD$3:$AD$501,0))&amp;"","")</f>
        <v/>
      </c>
      <c r="W351" s="21" t="str">
        <f aca="false">IFERROR(INDEX(종합!W$3:W$501,MATCH(ROW()-2,종합!$AD$3:$AD$501,0))&amp;"","")</f>
        <v/>
      </c>
      <c r="X351" s="21" t="str">
        <f aca="false">IFERROR(INDEX(종합!X$3:X$501,MATCH(ROW()-2,종합!$AD$3:$AD$501,0))&amp;"","")</f>
        <v/>
      </c>
      <c r="Y351" s="21" t="str">
        <f aca="false">IFERROR(INDEX(종합!Y$3:Y$501,MATCH(ROW()-2,종합!$AD$3:$AD$501,0))&amp;"","")</f>
        <v/>
      </c>
      <c r="Z351" s="21" t="str">
        <f aca="false">IFERROR(INDEX(종합!Z$3:Z$501,MATCH(ROW()-2,종합!$AD$3:$AD$501,0))&amp;"","")</f>
        <v/>
      </c>
      <c r="AA351" s="23" t="str">
        <f aca="false">IFERROR(INDEX(종합!AA$3:AA$501,MATCH(ROW()-2,종합!$AD$3:$AD$501,0))&amp;"","")</f>
        <v/>
      </c>
    </row>
    <row r="352" customFormat="false" ht="16.5" hidden="false" customHeight="true" outlineLevel="0" collapsed="false">
      <c r="A352" s="18" t="str">
        <f aca="false">IF(B352="","",ROW()-2)</f>
        <v/>
      </c>
      <c r="B352" s="18" t="str">
        <f aca="false">IFERROR(INDEX(종합!B$3:B$501,MATCH(ROW()-2,종합!$AD$3:$AD$501,0))&amp;"","")</f>
        <v/>
      </c>
      <c r="C352" s="18" t="str">
        <f aca="false">IFERROR(INDEX(종합!C$3:C$501,MATCH(ROW()-2,종합!$AD$3:$AD$501,0))&amp;"","")</f>
        <v/>
      </c>
      <c r="D352" s="18" t="str">
        <f aca="false">IFERROR(INDEX(종합!D$3:D$501,MATCH(ROW()-2,종합!$AD$3:$AD$501,0))&amp;"","")</f>
        <v/>
      </c>
      <c r="E352" s="18" t="str">
        <f aca="false">IFERROR(INDEX(종합!E$3:E$501,MATCH(ROW()-2,종합!$AD$3:$AD$501,0))&amp;"","")</f>
        <v/>
      </c>
      <c r="F352" s="18" t="str">
        <f aca="false">IFERROR(INDEX(종합!F$3:F$501,MATCH(ROW()-2,종합!$AD$3:$AD$501,0))&amp;"","")</f>
        <v/>
      </c>
      <c r="G352" s="18" t="str">
        <f aca="false">IFERROR(INDEX(종합!G$3:G$501,MATCH(ROW()-2,종합!$AD$3:$AD$501,0))&amp;"","")</f>
        <v/>
      </c>
      <c r="H352" s="21" t="str">
        <f aca="false">IFERROR(INDEX(종합!H$3:H$501,MATCH(ROW()-2,종합!$AD$3:$AD$501,0))&amp;"","")</f>
        <v/>
      </c>
      <c r="I352" s="21" t="str">
        <f aca="false">IFERROR(INDEX(종합!I$3:I$501,MATCH(ROW()-2,종합!$AD$3:$AD$501,0))&amp;"","")</f>
        <v/>
      </c>
      <c r="J352" s="21" t="str">
        <f aca="false">IFERROR(INDEX(종합!J$3:J$501,MATCH(ROW()-2,종합!$AD$3:$AD$501,0))&amp;"","")</f>
        <v/>
      </c>
      <c r="K352" s="21" t="str">
        <f aca="false">IFERROR(INDEX(종합!K$3:K$501,MATCH(ROW()-2,종합!$AD$3:$AD$501,0))&amp;"","")</f>
        <v/>
      </c>
      <c r="L352" s="21" t="str">
        <f aca="false">IFERROR(INDEX(종합!L$3:L$501,MATCH(ROW()-2,종합!$AD$3:$AD$501,0))&amp;"","")</f>
        <v/>
      </c>
      <c r="M352" s="21" t="str">
        <f aca="false">IFERROR(INDEX(종합!M$3:M$501,MATCH(ROW()-2,종합!$AD$3:$AD$501,0))&amp;"","")</f>
        <v/>
      </c>
      <c r="N352" s="25" t="str">
        <f aca="false">IFERROR(INDEX(종합!N$3:N$501,MATCH(ROW()-2,종합!$AD$3:$AD$501,0))&amp;"","")</f>
        <v/>
      </c>
      <c r="O352" s="21" t="str">
        <f aca="false">IFERROR(INDEX(종합!O$3:O$501,MATCH(ROW()-2,종합!$AD$3:$AD$501,0))&amp;"","")</f>
        <v/>
      </c>
      <c r="P352" s="21" t="str">
        <f aca="false">IFERROR(INDEX(종합!P$3:P$501,MATCH(ROW()-2,종합!$AD$3:$AD$501,0))&amp;"","")</f>
        <v/>
      </c>
      <c r="Q352" s="21" t="str">
        <f aca="false">IFERROR(INDEX(종합!Q$3:Q$501,MATCH(ROW()-2,종합!$AD$3:$AD$501,0))&amp;"","")</f>
        <v/>
      </c>
      <c r="R352" s="21" t="str">
        <f aca="false">IFERROR(INDEX(종합!R$3:R$501,MATCH(ROW()-2,종합!$AD$3:$AD$501,0))&amp;"","")</f>
        <v/>
      </c>
      <c r="S352" s="21" t="str">
        <f aca="false">IFERROR(INDEX(종합!S$3:S$501,MATCH(ROW()-2,종합!$AD$3:$AD$501,0))&amp;"","")</f>
        <v/>
      </c>
      <c r="T352" s="21" t="str">
        <f aca="false">IFERROR(INDEX(종합!T$3:T$501,MATCH(ROW()-2,종합!$AD$3:$AD$501,0))&amp;"","")</f>
        <v/>
      </c>
      <c r="U352" s="21" t="str">
        <f aca="false">IFERROR(INDEX(종합!U$3:U$501,MATCH(ROW()-2,종합!$AD$3:$AD$501,0))&amp;"","")</f>
        <v/>
      </c>
      <c r="V352" s="21" t="str">
        <f aca="false">IFERROR(INDEX(종합!V$3:V$501,MATCH(ROW()-2,종합!$AD$3:$AD$501,0))&amp;"","")</f>
        <v/>
      </c>
      <c r="W352" s="21" t="str">
        <f aca="false">IFERROR(INDEX(종합!W$3:W$501,MATCH(ROW()-2,종합!$AD$3:$AD$501,0))&amp;"","")</f>
        <v/>
      </c>
      <c r="X352" s="21" t="str">
        <f aca="false">IFERROR(INDEX(종합!X$3:X$501,MATCH(ROW()-2,종합!$AD$3:$AD$501,0))&amp;"","")</f>
        <v/>
      </c>
      <c r="Y352" s="21" t="str">
        <f aca="false">IFERROR(INDEX(종합!Y$3:Y$501,MATCH(ROW()-2,종합!$AD$3:$AD$501,0))&amp;"","")</f>
        <v/>
      </c>
      <c r="Z352" s="21" t="str">
        <f aca="false">IFERROR(INDEX(종합!Z$3:Z$501,MATCH(ROW()-2,종합!$AD$3:$AD$501,0))&amp;"","")</f>
        <v/>
      </c>
      <c r="AA352" s="23" t="str">
        <f aca="false">IFERROR(INDEX(종합!AA$3:AA$501,MATCH(ROW()-2,종합!$AD$3:$AD$501,0))&amp;"","")</f>
        <v/>
      </c>
    </row>
    <row r="353" customFormat="false" ht="16.5" hidden="false" customHeight="true" outlineLevel="0" collapsed="false">
      <c r="A353" s="18" t="str">
        <f aca="false">IF(B353="","",ROW()-2)</f>
        <v/>
      </c>
      <c r="B353" s="18" t="str">
        <f aca="false">IFERROR(INDEX(종합!B$3:B$501,MATCH(ROW()-2,종합!$AD$3:$AD$501,0))&amp;"","")</f>
        <v/>
      </c>
      <c r="C353" s="18" t="str">
        <f aca="false">IFERROR(INDEX(종합!C$3:C$501,MATCH(ROW()-2,종합!$AD$3:$AD$501,0))&amp;"","")</f>
        <v/>
      </c>
      <c r="D353" s="18" t="str">
        <f aca="false">IFERROR(INDEX(종합!D$3:D$501,MATCH(ROW()-2,종합!$AD$3:$AD$501,0))&amp;"","")</f>
        <v/>
      </c>
      <c r="E353" s="18" t="str">
        <f aca="false">IFERROR(INDEX(종합!E$3:E$501,MATCH(ROW()-2,종합!$AD$3:$AD$501,0))&amp;"","")</f>
        <v/>
      </c>
      <c r="F353" s="18" t="str">
        <f aca="false">IFERROR(INDEX(종합!F$3:F$501,MATCH(ROW()-2,종합!$AD$3:$AD$501,0))&amp;"","")</f>
        <v/>
      </c>
      <c r="G353" s="18" t="str">
        <f aca="false">IFERROR(INDEX(종합!G$3:G$501,MATCH(ROW()-2,종합!$AD$3:$AD$501,0))&amp;"","")</f>
        <v/>
      </c>
      <c r="H353" s="21" t="str">
        <f aca="false">IFERROR(INDEX(종합!H$3:H$501,MATCH(ROW()-2,종합!$AD$3:$AD$501,0))&amp;"","")</f>
        <v/>
      </c>
      <c r="I353" s="21" t="str">
        <f aca="false">IFERROR(INDEX(종합!I$3:I$501,MATCH(ROW()-2,종합!$AD$3:$AD$501,0))&amp;"","")</f>
        <v/>
      </c>
      <c r="J353" s="21" t="str">
        <f aca="false">IFERROR(INDEX(종합!J$3:J$501,MATCH(ROW()-2,종합!$AD$3:$AD$501,0))&amp;"","")</f>
        <v/>
      </c>
      <c r="K353" s="21" t="str">
        <f aca="false">IFERROR(INDEX(종합!K$3:K$501,MATCH(ROW()-2,종합!$AD$3:$AD$501,0))&amp;"","")</f>
        <v/>
      </c>
      <c r="L353" s="21" t="str">
        <f aca="false">IFERROR(INDEX(종합!L$3:L$501,MATCH(ROW()-2,종합!$AD$3:$AD$501,0))&amp;"","")</f>
        <v/>
      </c>
      <c r="M353" s="21" t="str">
        <f aca="false">IFERROR(INDEX(종합!M$3:M$501,MATCH(ROW()-2,종합!$AD$3:$AD$501,0))&amp;"","")</f>
        <v/>
      </c>
      <c r="N353" s="25" t="str">
        <f aca="false">IFERROR(INDEX(종합!N$3:N$501,MATCH(ROW()-2,종합!$AD$3:$AD$501,0))&amp;"","")</f>
        <v/>
      </c>
      <c r="O353" s="21" t="str">
        <f aca="false">IFERROR(INDEX(종합!O$3:O$501,MATCH(ROW()-2,종합!$AD$3:$AD$501,0))&amp;"","")</f>
        <v/>
      </c>
      <c r="P353" s="21" t="str">
        <f aca="false">IFERROR(INDEX(종합!P$3:P$501,MATCH(ROW()-2,종합!$AD$3:$AD$501,0))&amp;"","")</f>
        <v/>
      </c>
      <c r="Q353" s="21" t="str">
        <f aca="false">IFERROR(INDEX(종합!Q$3:Q$501,MATCH(ROW()-2,종합!$AD$3:$AD$501,0))&amp;"","")</f>
        <v/>
      </c>
      <c r="R353" s="21" t="str">
        <f aca="false">IFERROR(INDEX(종합!R$3:R$501,MATCH(ROW()-2,종합!$AD$3:$AD$501,0))&amp;"","")</f>
        <v/>
      </c>
      <c r="S353" s="21" t="str">
        <f aca="false">IFERROR(INDEX(종합!S$3:S$501,MATCH(ROW()-2,종합!$AD$3:$AD$501,0))&amp;"","")</f>
        <v/>
      </c>
      <c r="T353" s="21" t="str">
        <f aca="false">IFERROR(INDEX(종합!T$3:T$501,MATCH(ROW()-2,종합!$AD$3:$AD$501,0))&amp;"","")</f>
        <v/>
      </c>
      <c r="U353" s="21" t="str">
        <f aca="false">IFERROR(INDEX(종합!U$3:U$501,MATCH(ROW()-2,종합!$AD$3:$AD$501,0))&amp;"","")</f>
        <v/>
      </c>
      <c r="V353" s="21" t="str">
        <f aca="false">IFERROR(INDEX(종합!V$3:V$501,MATCH(ROW()-2,종합!$AD$3:$AD$501,0))&amp;"","")</f>
        <v/>
      </c>
      <c r="W353" s="21" t="str">
        <f aca="false">IFERROR(INDEX(종합!W$3:W$501,MATCH(ROW()-2,종합!$AD$3:$AD$501,0))&amp;"","")</f>
        <v/>
      </c>
      <c r="X353" s="21" t="str">
        <f aca="false">IFERROR(INDEX(종합!X$3:X$501,MATCH(ROW()-2,종합!$AD$3:$AD$501,0))&amp;"","")</f>
        <v/>
      </c>
      <c r="Y353" s="21" t="str">
        <f aca="false">IFERROR(INDEX(종합!Y$3:Y$501,MATCH(ROW()-2,종합!$AD$3:$AD$501,0))&amp;"","")</f>
        <v/>
      </c>
      <c r="Z353" s="21" t="str">
        <f aca="false">IFERROR(INDEX(종합!Z$3:Z$501,MATCH(ROW()-2,종합!$AD$3:$AD$501,0))&amp;"","")</f>
        <v/>
      </c>
      <c r="AA353" s="23" t="str">
        <f aca="false">IFERROR(INDEX(종합!AA$3:AA$501,MATCH(ROW()-2,종합!$AD$3:$AD$501,0))&amp;"","")</f>
        <v/>
      </c>
    </row>
    <row r="354" customFormat="false" ht="16.5" hidden="false" customHeight="true" outlineLevel="0" collapsed="false">
      <c r="A354" s="18" t="str">
        <f aca="false">IF(B354="","",ROW()-2)</f>
        <v/>
      </c>
      <c r="B354" s="18" t="str">
        <f aca="false">IFERROR(INDEX(종합!B$3:B$501,MATCH(ROW()-2,종합!$AD$3:$AD$501,0))&amp;"","")</f>
        <v/>
      </c>
      <c r="C354" s="18" t="str">
        <f aca="false">IFERROR(INDEX(종합!C$3:C$501,MATCH(ROW()-2,종합!$AD$3:$AD$501,0))&amp;"","")</f>
        <v/>
      </c>
      <c r="D354" s="18" t="str">
        <f aca="false">IFERROR(INDEX(종합!D$3:D$501,MATCH(ROW()-2,종합!$AD$3:$AD$501,0))&amp;"","")</f>
        <v/>
      </c>
      <c r="E354" s="18" t="str">
        <f aca="false">IFERROR(INDEX(종합!E$3:E$501,MATCH(ROW()-2,종합!$AD$3:$AD$501,0))&amp;"","")</f>
        <v/>
      </c>
      <c r="F354" s="18" t="str">
        <f aca="false">IFERROR(INDEX(종합!F$3:F$501,MATCH(ROW()-2,종합!$AD$3:$AD$501,0))&amp;"","")</f>
        <v/>
      </c>
      <c r="G354" s="18" t="str">
        <f aca="false">IFERROR(INDEX(종합!G$3:G$501,MATCH(ROW()-2,종합!$AD$3:$AD$501,0))&amp;"","")</f>
        <v/>
      </c>
      <c r="H354" s="21" t="str">
        <f aca="false">IFERROR(INDEX(종합!H$3:H$501,MATCH(ROW()-2,종합!$AD$3:$AD$501,0))&amp;"","")</f>
        <v/>
      </c>
      <c r="I354" s="21" t="str">
        <f aca="false">IFERROR(INDEX(종합!I$3:I$501,MATCH(ROW()-2,종합!$AD$3:$AD$501,0))&amp;"","")</f>
        <v/>
      </c>
      <c r="J354" s="21" t="str">
        <f aca="false">IFERROR(INDEX(종합!J$3:J$501,MATCH(ROW()-2,종합!$AD$3:$AD$501,0))&amp;"","")</f>
        <v/>
      </c>
      <c r="K354" s="21" t="str">
        <f aca="false">IFERROR(INDEX(종합!K$3:K$501,MATCH(ROW()-2,종합!$AD$3:$AD$501,0))&amp;"","")</f>
        <v/>
      </c>
      <c r="L354" s="21" t="str">
        <f aca="false">IFERROR(INDEX(종합!L$3:L$501,MATCH(ROW()-2,종합!$AD$3:$AD$501,0))&amp;"","")</f>
        <v/>
      </c>
      <c r="M354" s="21" t="str">
        <f aca="false">IFERROR(INDEX(종합!M$3:M$501,MATCH(ROW()-2,종합!$AD$3:$AD$501,0))&amp;"","")</f>
        <v/>
      </c>
      <c r="N354" s="25" t="str">
        <f aca="false">IFERROR(INDEX(종합!N$3:N$501,MATCH(ROW()-2,종합!$AD$3:$AD$501,0))&amp;"","")</f>
        <v/>
      </c>
      <c r="O354" s="21" t="str">
        <f aca="false">IFERROR(INDEX(종합!O$3:O$501,MATCH(ROW()-2,종합!$AD$3:$AD$501,0))&amp;"","")</f>
        <v/>
      </c>
      <c r="P354" s="21" t="str">
        <f aca="false">IFERROR(INDEX(종합!P$3:P$501,MATCH(ROW()-2,종합!$AD$3:$AD$501,0))&amp;"","")</f>
        <v/>
      </c>
      <c r="Q354" s="21" t="str">
        <f aca="false">IFERROR(INDEX(종합!Q$3:Q$501,MATCH(ROW()-2,종합!$AD$3:$AD$501,0))&amp;"","")</f>
        <v/>
      </c>
      <c r="R354" s="21" t="str">
        <f aca="false">IFERROR(INDEX(종합!R$3:R$501,MATCH(ROW()-2,종합!$AD$3:$AD$501,0))&amp;"","")</f>
        <v/>
      </c>
      <c r="S354" s="21" t="str">
        <f aca="false">IFERROR(INDEX(종합!S$3:S$501,MATCH(ROW()-2,종합!$AD$3:$AD$501,0))&amp;"","")</f>
        <v/>
      </c>
      <c r="T354" s="21" t="str">
        <f aca="false">IFERROR(INDEX(종합!T$3:T$501,MATCH(ROW()-2,종합!$AD$3:$AD$501,0))&amp;"","")</f>
        <v/>
      </c>
      <c r="U354" s="21" t="str">
        <f aca="false">IFERROR(INDEX(종합!U$3:U$501,MATCH(ROW()-2,종합!$AD$3:$AD$501,0))&amp;"","")</f>
        <v/>
      </c>
      <c r="V354" s="21" t="str">
        <f aca="false">IFERROR(INDEX(종합!V$3:V$501,MATCH(ROW()-2,종합!$AD$3:$AD$501,0))&amp;"","")</f>
        <v/>
      </c>
      <c r="W354" s="21" t="str">
        <f aca="false">IFERROR(INDEX(종합!W$3:W$501,MATCH(ROW()-2,종합!$AD$3:$AD$501,0))&amp;"","")</f>
        <v/>
      </c>
      <c r="X354" s="21" t="str">
        <f aca="false">IFERROR(INDEX(종합!X$3:X$501,MATCH(ROW()-2,종합!$AD$3:$AD$501,0))&amp;"","")</f>
        <v/>
      </c>
      <c r="Y354" s="21" t="str">
        <f aca="false">IFERROR(INDEX(종합!Y$3:Y$501,MATCH(ROW()-2,종합!$AD$3:$AD$501,0))&amp;"","")</f>
        <v/>
      </c>
      <c r="Z354" s="21" t="str">
        <f aca="false">IFERROR(INDEX(종합!Z$3:Z$501,MATCH(ROW()-2,종합!$AD$3:$AD$501,0))&amp;"","")</f>
        <v/>
      </c>
      <c r="AA354" s="23" t="str">
        <f aca="false">IFERROR(INDEX(종합!AA$3:AA$501,MATCH(ROW()-2,종합!$AD$3:$AD$501,0))&amp;"","")</f>
        <v/>
      </c>
    </row>
    <row r="355" customFormat="false" ht="16.5" hidden="false" customHeight="true" outlineLevel="0" collapsed="false">
      <c r="A355" s="18" t="str">
        <f aca="false">IF(B355="","",ROW()-2)</f>
        <v/>
      </c>
      <c r="B355" s="18" t="str">
        <f aca="false">IFERROR(INDEX(종합!B$3:B$501,MATCH(ROW()-2,종합!$AD$3:$AD$501,0))&amp;"","")</f>
        <v/>
      </c>
      <c r="C355" s="18" t="str">
        <f aca="false">IFERROR(INDEX(종합!C$3:C$501,MATCH(ROW()-2,종합!$AD$3:$AD$501,0))&amp;"","")</f>
        <v/>
      </c>
      <c r="D355" s="18" t="str">
        <f aca="false">IFERROR(INDEX(종합!D$3:D$501,MATCH(ROW()-2,종합!$AD$3:$AD$501,0))&amp;"","")</f>
        <v/>
      </c>
      <c r="E355" s="18" t="str">
        <f aca="false">IFERROR(INDEX(종합!E$3:E$501,MATCH(ROW()-2,종합!$AD$3:$AD$501,0))&amp;"","")</f>
        <v/>
      </c>
      <c r="F355" s="18" t="str">
        <f aca="false">IFERROR(INDEX(종합!F$3:F$501,MATCH(ROW()-2,종합!$AD$3:$AD$501,0))&amp;"","")</f>
        <v/>
      </c>
      <c r="G355" s="18" t="str">
        <f aca="false">IFERROR(INDEX(종합!G$3:G$501,MATCH(ROW()-2,종합!$AD$3:$AD$501,0))&amp;"","")</f>
        <v/>
      </c>
      <c r="H355" s="21" t="str">
        <f aca="false">IFERROR(INDEX(종합!H$3:H$501,MATCH(ROW()-2,종합!$AD$3:$AD$501,0))&amp;"","")</f>
        <v/>
      </c>
      <c r="I355" s="21" t="str">
        <f aca="false">IFERROR(INDEX(종합!I$3:I$501,MATCH(ROW()-2,종합!$AD$3:$AD$501,0))&amp;"","")</f>
        <v/>
      </c>
      <c r="J355" s="21" t="str">
        <f aca="false">IFERROR(INDEX(종합!J$3:J$501,MATCH(ROW()-2,종합!$AD$3:$AD$501,0))&amp;"","")</f>
        <v/>
      </c>
      <c r="K355" s="21" t="str">
        <f aca="false">IFERROR(INDEX(종합!K$3:K$501,MATCH(ROW()-2,종합!$AD$3:$AD$501,0))&amp;"","")</f>
        <v/>
      </c>
      <c r="L355" s="21" t="str">
        <f aca="false">IFERROR(INDEX(종합!L$3:L$501,MATCH(ROW()-2,종합!$AD$3:$AD$501,0))&amp;"","")</f>
        <v/>
      </c>
      <c r="M355" s="21" t="str">
        <f aca="false">IFERROR(INDEX(종합!M$3:M$501,MATCH(ROW()-2,종합!$AD$3:$AD$501,0))&amp;"","")</f>
        <v/>
      </c>
      <c r="N355" s="25" t="str">
        <f aca="false">IFERROR(INDEX(종합!N$3:N$501,MATCH(ROW()-2,종합!$AD$3:$AD$501,0))&amp;"","")</f>
        <v/>
      </c>
      <c r="O355" s="21" t="str">
        <f aca="false">IFERROR(INDEX(종합!O$3:O$501,MATCH(ROW()-2,종합!$AD$3:$AD$501,0))&amp;"","")</f>
        <v/>
      </c>
      <c r="P355" s="21" t="str">
        <f aca="false">IFERROR(INDEX(종합!P$3:P$501,MATCH(ROW()-2,종합!$AD$3:$AD$501,0))&amp;"","")</f>
        <v/>
      </c>
      <c r="Q355" s="21" t="str">
        <f aca="false">IFERROR(INDEX(종합!Q$3:Q$501,MATCH(ROW()-2,종합!$AD$3:$AD$501,0))&amp;"","")</f>
        <v/>
      </c>
      <c r="R355" s="21" t="str">
        <f aca="false">IFERROR(INDEX(종합!R$3:R$501,MATCH(ROW()-2,종합!$AD$3:$AD$501,0))&amp;"","")</f>
        <v/>
      </c>
      <c r="S355" s="21" t="str">
        <f aca="false">IFERROR(INDEX(종합!S$3:S$501,MATCH(ROW()-2,종합!$AD$3:$AD$501,0))&amp;"","")</f>
        <v/>
      </c>
      <c r="T355" s="21" t="str">
        <f aca="false">IFERROR(INDEX(종합!T$3:T$501,MATCH(ROW()-2,종합!$AD$3:$AD$501,0))&amp;"","")</f>
        <v/>
      </c>
      <c r="U355" s="21" t="str">
        <f aca="false">IFERROR(INDEX(종합!U$3:U$501,MATCH(ROW()-2,종합!$AD$3:$AD$501,0))&amp;"","")</f>
        <v/>
      </c>
      <c r="V355" s="21" t="str">
        <f aca="false">IFERROR(INDEX(종합!V$3:V$501,MATCH(ROW()-2,종합!$AD$3:$AD$501,0))&amp;"","")</f>
        <v/>
      </c>
      <c r="W355" s="21" t="str">
        <f aca="false">IFERROR(INDEX(종합!W$3:W$501,MATCH(ROW()-2,종합!$AD$3:$AD$501,0))&amp;"","")</f>
        <v/>
      </c>
      <c r="X355" s="21" t="str">
        <f aca="false">IFERROR(INDEX(종합!X$3:X$501,MATCH(ROW()-2,종합!$AD$3:$AD$501,0))&amp;"","")</f>
        <v/>
      </c>
      <c r="Y355" s="21" t="str">
        <f aca="false">IFERROR(INDEX(종합!Y$3:Y$501,MATCH(ROW()-2,종합!$AD$3:$AD$501,0))&amp;"","")</f>
        <v/>
      </c>
      <c r="Z355" s="21" t="str">
        <f aca="false">IFERROR(INDEX(종합!Z$3:Z$501,MATCH(ROW()-2,종합!$AD$3:$AD$501,0))&amp;"","")</f>
        <v/>
      </c>
      <c r="AA355" s="23" t="str">
        <f aca="false">IFERROR(INDEX(종합!AA$3:AA$501,MATCH(ROW()-2,종합!$AD$3:$AD$501,0))&amp;"","")</f>
        <v/>
      </c>
    </row>
    <row r="356" customFormat="false" ht="16.5" hidden="false" customHeight="true" outlineLevel="0" collapsed="false">
      <c r="A356" s="18" t="str">
        <f aca="false">IF(B356="","",ROW()-2)</f>
        <v/>
      </c>
      <c r="B356" s="18" t="str">
        <f aca="false">IFERROR(INDEX(종합!B$3:B$501,MATCH(ROW()-2,종합!$AD$3:$AD$501,0))&amp;"","")</f>
        <v/>
      </c>
      <c r="C356" s="18" t="str">
        <f aca="false">IFERROR(INDEX(종합!C$3:C$501,MATCH(ROW()-2,종합!$AD$3:$AD$501,0))&amp;"","")</f>
        <v/>
      </c>
      <c r="D356" s="18" t="str">
        <f aca="false">IFERROR(INDEX(종합!D$3:D$501,MATCH(ROW()-2,종합!$AD$3:$AD$501,0))&amp;"","")</f>
        <v/>
      </c>
      <c r="E356" s="18" t="str">
        <f aca="false">IFERROR(INDEX(종합!E$3:E$501,MATCH(ROW()-2,종합!$AD$3:$AD$501,0))&amp;"","")</f>
        <v/>
      </c>
      <c r="F356" s="18" t="str">
        <f aca="false">IFERROR(INDEX(종합!F$3:F$501,MATCH(ROW()-2,종합!$AD$3:$AD$501,0))&amp;"","")</f>
        <v/>
      </c>
      <c r="G356" s="18" t="str">
        <f aca="false">IFERROR(INDEX(종합!G$3:G$501,MATCH(ROW()-2,종합!$AD$3:$AD$501,0))&amp;"","")</f>
        <v/>
      </c>
      <c r="H356" s="21" t="str">
        <f aca="false">IFERROR(INDEX(종합!H$3:H$501,MATCH(ROW()-2,종합!$AD$3:$AD$501,0))&amp;"","")</f>
        <v/>
      </c>
      <c r="I356" s="21" t="str">
        <f aca="false">IFERROR(INDEX(종합!I$3:I$501,MATCH(ROW()-2,종합!$AD$3:$AD$501,0))&amp;"","")</f>
        <v/>
      </c>
      <c r="J356" s="21" t="str">
        <f aca="false">IFERROR(INDEX(종합!J$3:J$501,MATCH(ROW()-2,종합!$AD$3:$AD$501,0))&amp;"","")</f>
        <v/>
      </c>
      <c r="K356" s="21" t="str">
        <f aca="false">IFERROR(INDEX(종합!K$3:K$501,MATCH(ROW()-2,종합!$AD$3:$AD$501,0))&amp;"","")</f>
        <v/>
      </c>
      <c r="L356" s="21" t="str">
        <f aca="false">IFERROR(INDEX(종합!L$3:L$501,MATCH(ROW()-2,종합!$AD$3:$AD$501,0))&amp;"","")</f>
        <v/>
      </c>
      <c r="M356" s="21" t="str">
        <f aca="false">IFERROR(INDEX(종합!M$3:M$501,MATCH(ROW()-2,종합!$AD$3:$AD$501,0))&amp;"","")</f>
        <v/>
      </c>
      <c r="N356" s="25" t="str">
        <f aca="false">IFERROR(INDEX(종합!N$3:N$501,MATCH(ROW()-2,종합!$AD$3:$AD$501,0))&amp;"","")</f>
        <v/>
      </c>
      <c r="O356" s="21" t="str">
        <f aca="false">IFERROR(INDEX(종합!O$3:O$501,MATCH(ROW()-2,종합!$AD$3:$AD$501,0))&amp;"","")</f>
        <v/>
      </c>
      <c r="P356" s="21" t="str">
        <f aca="false">IFERROR(INDEX(종합!P$3:P$501,MATCH(ROW()-2,종합!$AD$3:$AD$501,0))&amp;"","")</f>
        <v/>
      </c>
      <c r="Q356" s="21" t="str">
        <f aca="false">IFERROR(INDEX(종합!Q$3:Q$501,MATCH(ROW()-2,종합!$AD$3:$AD$501,0))&amp;"","")</f>
        <v/>
      </c>
      <c r="R356" s="21" t="str">
        <f aca="false">IFERROR(INDEX(종합!R$3:R$501,MATCH(ROW()-2,종합!$AD$3:$AD$501,0))&amp;"","")</f>
        <v/>
      </c>
      <c r="S356" s="21" t="str">
        <f aca="false">IFERROR(INDEX(종합!S$3:S$501,MATCH(ROW()-2,종합!$AD$3:$AD$501,0))&amp;"","")</f>
        <v/>
      </c>
      <c r="T356" s="21" t="str">
        <f aca="false">IFERROR(INDEX(종합!T$3:T$501,MATCH(ROW()-2,종합!$AD$3:$AD$501,0))&amp;"","")</f>
        <v/>
      </c>
      <c r="U356" s="21" t="str">
        <f aca="false">IFERROR(INDEX(종합!U$3:U$501,MATCH(ROW()-2,종합!$AD$3:$AD$501,0))&amp;"","")</f>
        <v/>
      </c>
      <c r="V356" s="21" t="str">
        <f aca="false">IFERROR(INDEX(종합!V$3:V$501,MATCH(ROW()-2,종합!$AD$3:$AD$501,0))&amp;"","")</f>
        <v/>
      </c>
      <c r="W356" s="21" t="str">
        <f aca="false">IFERROR(INDEX(종합!W$3:W$501,MATCH(ROW()-2,종합!$AD$3:$AD$501,0))&amp;"","")</f>
        <v/>
      </c>
      <c r="X356" s="21" t="str">
        <f aca="false">IFERROR(INDEX(종합!X$3:X$501,MATCH(ROW()-2,종합!$AD$3:$AD$501,0))&amp;"","")</f>
        <v/>
      </c>
      <c r="Y356" s="21" t="str">
        <f aca="false">IFERROR(INDEX(종합!Y$3:Y$501,MATCH(ROW()-2,종합!$AD$3:$AD$501,0))&amp;"","")</f>
        <v/>
      </c>
      <c r="Z356" s="21" t="str">
        <f aca="false">IFERROR(INDEX(종합!Z$3:Z$501,MATCH(ROW()-2,종합!$AD$3:$AD$501,0))&amp;"","")</f>
        <v/>
      </c>
      <c r="AA356" s="23" t="str">
        <f aca="false">IFERROR(INDEX(종합!AA$3:AA$501,MATCH(ROW()-2,종합!$AD$3:$AD$501,0))&amp;"","")</f>
        <v/>
      </c>
    </row>
    <row r="357" customFormat="false" ht="16.5" hidden="false" customHeight="true" outlineLevel="0" collapsed="false">
      <c r="A357" s="18" t="str">
        <f aca="false">IF(B357="","",ROW()-2)</f>
        <v/>
      </c>
      <c r="B357" s="18" t="str">
        <f aca="false">IFERROR(INDEX(종합!B$3:B$501,MATCH(ROW()-2,종합!$AD$3:$AD$501,0))&amp;"","")</f>
        <v/>
      </c>
      <c r="C357" s="18" t="str">
        <f aca="false">IFERROR(INDEX(종합!C$3:C$501,MATCH(ROW()-2,종합!$AD$3:$AD$501,0))&amp;"","")</f>
        <v/>
      </c>
      <c r="D357" s="18" t="str">
        <f aca="false">IFERROR(INDEX(종합!D$3:D$501,MATCH(ROW()-2,종합!$AD$3:$AD$501,0))&amp;"","")</f>
        <v/>
      </c>
      <c r="E357" s="18" t="str">
        <f aca="false">IFERROR(INDEX(종합!E$3:E$501,MATCH(ROW()-2,종합!$AD$3:$AD$501,0))&amp;"","")</f>
        <v/>
      </c>
      <c r="F357" s="18" t="str">
        <f aca="false">IFERROR(INDEX(종합!F$3:F$501,MATCH(ROW()-2,종합!$AD$3:$AD$501,0))&amp;"","")</f>
        <v/>
      </c>
      <c r="G357" s="18" t="str">
        <f aca="false">IFERROR(INDEX(종합!G$3:G$501,MATCH(ROW()-2,종합!$AD$3:$AD$501,0))&amp;"","")</f>
        <v/>
      </c>
      <c r="H357" s="21" t="str">
        <f aca="false">IFERROR(INDEX(종합!H$3:H$501,MATCH(ROW()-2,종합!$AD$3:$AD$501,0))&amp;"","")</f>
        <v/>
      </c>
      <c r="I357" s="21" t="str">
        <f aca="false">IFERROR(INDEX(종합!I$3:I$501,MATCH(ROW()-2,종합!$AD$3:$AD$501,0))&amp;"","")</f>
        <v/>
      </c>
      <c r="J357" s="21" t="str">
        <f aca="false">IFERROR(INDEX(종합!J$3:J$501,MATCH(ROW()-2,종합!$AD$3:$AD$501,0))&amp;"","")</f>
        <v/>
      </c>
      <c r="K357" s="21" t="str">
        <f aca="false">IFERROR(INDEX(종합!K$3:K$501,MATCH(ROW()-2,종합!$AD$3:$AD$501,0))&amp;"","")</f>
        <v/>
      </c>
      <c r="L357" s="21" t="str">
        <f aca="false">IFERROR(INDEX(종합!L$3:L$501,MATCH(ROW()-2,종합!$AD$3:$AD$501,0))&amp;"","")</f>
        <v/>
      </c>
      <c r="M357" s="21" t="str">
        <f aca="false">IFERROR(INDEX(종합!M$3:M$501,MATCH(ROW()-2,종합!$AD$3:$AD$501,0))&amp;"","")</f>
        <v/>
      </c>
      <c r="N357" s="25" t="str">
        <f aca="false">IFERROR(INDEX(종합!N$3:N$501,MATCH(ROW()-2,종합!$AD$3:$AD$501,0))&amp;"","")</f>
        <v/>
      </c>
      <c r="O357" s="21" t="str">
        <f aca="false">IFERROR(INDEX(종합!O$3:O$501,MATCH(ROW()-2,종합!$AD$3:$AD$501,0))&amp;"","")</f>
        <v/>
      </c>
      <c r="P357" s="21" t="str">
        <f aca="false">IFERROR(INDEX(종합!P$3:P$501,MATCH(ROW()-2,종합!$AD$3:$AD$501,0))&amp;"","")</f>
        <v/>
      </c>
      <c r="Q357" s="21" t="str">
        <f aca="false">IFERROR(INDEX(종합!Q$3:Q$501,MATCH(ROW()-2,종합!$AD$3:$AD$501,0))&amp;"","")</f>
        <v/>
      </c>
      <c r="R357" s="21" t="str">
        <f aca="false">IFERROR(INDEX(종합!R$3:R$501,MATCH(ROW()-2,종합!$AD$3:$AD$501,0))&amp;"","")</f>
        <v/>
      </c>
      <c r="S357" s="21" t="str">
        <f aca="false">IFERROR(INDEX(종합!S$3:S$501,MATCH(ROW()-2,종합!$AD$3:$AD$501,0))&amp;"","")</f>
        <v/>
      </c>
      <c r="T357" s="21" t="str">
        <f aca="false">IFERROR(INDEX(종합!T$3:T$501,MATCH(ROW()-2,종합!$AD$3:$AD$501,0))&amp;"","")</f>
        <v/>
      </c>
      <c r="U357" s="21" t="str">
        <f aca="false">IFERROR(INDEX(종합!U$3:U$501,MATCH(ROW()-2,종합!$AD$3:$AD$501,0))&amp;"","")</f>
        <v/>
      </c>
      <c r="V357" s="21" t="str">
        <f aca="false">IFERROR(INDEX(종합!V$3:V$501,MATCH(ROW()-2,종합!$AD$3:$AD$501,0))&amp;"","")</f>
        <v/>
      </c>
      <c r="W357" s="21" t="str">
        <f aca="false">IFERROR(INDEX(종합!W$3:W$501,MATCH(ROW()-2,종합!$AD$3:$AD$501,0))&amp;"","")</f>
        <v/>
      </c>
      <c r="X357" s="21" t="str">
        <f aca="false">IFERROR(INDEX(종합!X$3:X$501,MATCH(ROW()-2,종합!$AD$3:$AD$501,0))&amp;"","")</f>
        <v/>
      </c>
      <c r="Y357" s="21" t="str">
        <f aca="false">IFERROR(INDEX(종합!Y$3:Y$501,MATCH(ROW()-2,종합!$AD$3:$AD$501,0))&amp;"","")</f>
        <v/>
      </c>
      <c r="Z357" s="21" t="str">
        <f aca="false">IFERROR(INDEX(종합!Z$3:Z$501,MATCH(ROW()-2,종합!$AD$3:$AD$501,0))&amp;"","")</f>
        <v/>
      </c>
      <c r="AA357" s="23" t="str">
        <f aca="false">IFERROR(INDEX(종합!AA$3:AA$501,MATCH(ROW()-2,종합!$AD$3:$AD$501,0))&amp;"","")</f>
        <v/>
      </c>
    </row>
    <row r="358" customFormat="false" ht="16.5" hidden="false" customHeight="true" outlineLevel="0" collapsed="false">
      <c r="A358" s="18" t="str">
        <f aca="false">IF(B358="","",ROW()-2)</f>
        <v/>
      </c>
      <c r="B358" s="18" t="str">
        <f aca="false">IFERROR(INDEX(종합!B$3:B$501,MATCH(ROW()-2,종합!$AD$3:$AD$501,0))&amp;"","")</f>
        <v/>
      </c>
      <c r="C358" s="18" t="str">
        <f aca="false">IFERROR(INDEX(종합!C$3:C$501,MATCH(ROW()-2,종합!$AD$3:$AD$501,0))&amp;"","")</f>
        <v/>
      </c>
      <c r="D358" s="18" t="str">
        <f aca="false">IFERROR(INDEX(종합!D$3:D$501,MATCH(ROW()-2,종합!$AD$3:$AD$501,0))&amp;"","")</f>
        <v/>
      </c>
      <c r="E358" s="18" t="str">
        <f aca="false">IFERROR(INDEX(종합!E$3:E$501,MATCH(ROW()-2,종합!$AD$3:$AD$501,0))&amp;"","")</f>
        <v/>
      </c>
      <c r="F358" s="18" t="str">
        <f aca="false">IFERROR(INDEX(종합!F$3:F$501,MATCH(ROW()-2,종합!$AD$3:$AD$501,0))&amp;"","")</f>
        <v/>
      </c>
      <c r="G358" s="18" t="str">
        <f aca="false">IFERROR(INDEX(종합!G$3:G$501,MATCH(ROW()-2,종합!$AD$3:$AD$501,0))&amp;"","")</f>
        <v/>
      </c>
      <c r="H358" s="21" t="str">
        <f aca="false">IFERROR(INDEX(종합!H$3:H$501,MATCH(ROW()-2,종합!$AD$3:$AD$501,0))&amp;"","")</f>
        <v/>
      </c>
      <c r="I358" s="21" t="str">
        <f aca="false">IFERROR(INDEX(종합!I$3:I$501,MATCH(ROW()-2,종합!$AD$3:$AD$501,0))&amp;"","")</f>
        <v/>
      </c>
      <c r="J358" s="21" t="str">
        <f aca="false">IFERROR(INDEX(종합!J$3:J$501,MATCH(ROW()-2,종합!$AD$3:$AD$501,0))&amp;"","")</f>
        <v/>
      </c>
      <c r="K358" s="21" t="str">
        <f aca="false">IFERROR(INDEX(종합!K$3:K$501,MATCH(ROW()-2,종합!$AD$3:$AD$501,0))&amp;"","")</f>
        <v/>
      </c>
      <c r="L358" s="21" t="str">
        <f aca="false">IFERROR(INDEX(종합!L$3:L$501,MATCH(ROW()-2,종합!$AD$3:$AD$501,0))&amp;"","")</f>
        <v/>
      </c>
      <c r="M358" s="21" t="str">
        <f aca="false">IFERROR(INDEX(종합!M$3:M$501,MATCH(ROW()-2,종합!$AD$3:$AD$501,0))&amp;"","")</f>
        <v/>
      </c>
      <c r="N358" s="25" t="str">
        <f aca="false">IFERROR(INDEX(종합!N$3:N$501,MATCH(ROW()-2,종합!$AD$3:$AD$501,0))&amp;"","")</f>
        <v/>
      </c>
      <c r="O358" s="21" t="str">
        <f aca="false">IFERROR(INDEX(종합!O$3:O$501,MATCH(ROW()-2,종합!$AD$3:$AD$501,0))&amp;"","")</f>
        <v/>
      </c>
      <c r="P358" s="21" t="str">
        <f aca="false">IFERROR(INDEX(종합!P$3:P$501,MATCH(ROW()-2,종합!$AD$3:$AD$501,0))&amp;"","")</f>
        <v/>
      </c>
      <c r="Q358" s="21" t="str">
        <f aca="false">IFERROR(INDEX(종합!Q$3:Q$501,MATCH(ROW()-2,종합!$AD$3:$AD$501,0))&amp;"","")</f>
        <v/>
      </c>
      <c r="R358" s="21" t="str">
        <f aca="false">IFERROR(INDEX(종합!R$3:R$501,MATCH(ROW()-2,종합!$AD$3:$AD$501,0))&amp;"","")</f>
        <v/>
      </c>
      <c r="S358" s="21" t="str">
        <f aca="false">IFERROR(INDEX(종합!S$3:S$501,MATCH(ROW()-2,종합!$AD$3:$AD$501,0))&amp;"","")</f>
        <v/>
      </c>
      <c r="T358" s="21" t="str">
        <f aca="false">IFERROR(INDEX(종합!T$3:T$501,MATCH(ROW()-2,종합!$AD$3:$AD$501,0))&amp;"","")</f>
        <v/>
      </c>
      <c r="U358" s="21" t="str">
        <f aca="false">IFERROR(INDEX(종합!U$3:U$501,MATCH(ROW()-2,종합!$AD$3:$AD$501,0))&amp;"","")</f>
        <v/>
      </c>
      <c r="V358" s="21" t="str">
        <f aca="false">IFERROR(INDEX(종합!V$3:V$501,MATCH(ROW()-2,종합!$AD$3:$AD$501,0))&amp;"","")</f>
        <v/>
      </c>
      <c r="W358" s="21" t="str">
        <f aca="false">IFERROR(INDEX(종합!W$3:W$501,MATCH(ROW()-2,종합!$AD$3:$AD$501,0))&amp;"","")</f>
        <v/>
      </c>
      <c r="X358" s="21" t="str">
        <f aca="false">IFERROR(INDEX(종합!X$3:X$501,MATCH(ROW()-2,종합!$AD$3:$AD$501,0))&amp;"","")</f>
        <v/>
      </c>
      <c r="Y358" s="21" t="str">
        <f aca="false">IFERROR(INDEX(종합!Y$3:Y$501,MATCH(ROW()-2,종합!$AD$3:$AD$501,0))&amp;"","")</f>
        <v/>
      </c>
      <c r="Z358" s="21" t="str">
        <f aca="false">IFERROR(INDEX(종합!Z$3:Z$501,MATCH(ROW()-2,종합!$AD$3:$AD$501,0))&amp;"","")</f>
        <v/>
      </c>
      <c r="AA358" s="23" t="str">
        <f aca="false">IFERROR(INDEX(종합!AA$3:AA$501,MATCH(ROW()-2,종합!$AD$3:$AD$501,0))&amp;"","")</f>
        <v/>
      </c>
    </row>
    <row r="359" customFormat="false" ht="16.5" hidden="false" customHeight="true" outlineLevel="0" collapsed="false">
      <c r="A359" s="18" t="str">
        <f aca="false">IF(B359="","",ROW()-2)</f>
        <v/>
      </c>
      <c r="B359" s="18" t="str">
        <f aca="false">IFERROR(INDEX(종합!B$3:B$501,MATCH(ROW()-2,종합!$AD$3:$AD$501,0))&amp;"","")</f>
        <v/>
      </c>
      <c r="C359" s="18" t="str">
        <f aca="false">IFERROR(INDEX(종합!C$3:C$501,MATCH(ROW()-2,종합!$AD$3:$AD$501,0))&amp;"","")</f>
        <v/>
      </c>
      <c r="D359" s="18" t="str">
        <f aca="false">IFERROR(INDEX(종합!D$3:D$501,MATCH(ROW()-2,종합!$AD$3:$AD$501,0))&amp;"","")</f>
        <v/>
      </c>
      <c r="E359" s="18" t="str">
        <f aca="false">IFERROR(INDEX(종합!E$3:E$501,MATCH(ROW()-2,종합!$AD$3:$AD$501,0))&amp;"","")</f>
        <v/>
      </c>
      <c r="F359" s="18" t="str">
        <f aca="false">IFERROR(INDEX(종합!F$3:F$501,MATCH(ROW()-2,종합!$AD$3:$AD$501,0))&amp;"","")</f>
        <v/>
      </c>
      <c r="G359" s="18" t="str">
        <f aca="false">IFERROR(INDEX(종합!G$3:G$501,MATCH(ROW()-2,종합!$AD$3:$AD$501,0))&amp;"","")</f>
        <v/>
      </c>
      <c r="H359" s="21" t="str">
        <f aca="false">IFERROR(INDEX(종합!H$3:H$501,MATCH(ROW()-2,종합!$AD$3:$AD$501,0))&amp;"","")</f>
        <v/>
      </c>
      <c r="I359" s="21" t="str">
        <f aca="false">IFERROR(INDEX(종합!I$3:I$501,MATCH(ROW()-2,종합!$AD$3:$AD$501,0))&amp;"","")</f>
        <v/>
      </c>
      <c r="J359" s="21" t="str">
        <f aca="false">IFERROR(INDEX(종합!J$3:J$501,MATCH(ROW()-2,종합!$AD$3:$AD$501,0))&amp;"","")</f>
        <v/>
      </c>
      <c r="K359" s="21" t="str">
        <f aca="false">IFERROR(INDEX(종합!K$3:K$501,MATCH(ROW()-2,종합!$AD$3:$AD$501,0))&amp;"","")</f>
        <v/>
      </c>
      <c r="L359" s="21" t="str">
        <f aca="false">IFERROR(INDEX(종합!L$3:L$501,MATCH(ROW()-2,종합!$AD$3:$AD$501,0))&amp;"","")</f>
        <v/>
      </c>
      <c r="M359" s="21" t="str">
        <f aca="false">IFERROR(INDEX(종합!M$3:M$501,MATCH(ROW()-2,종합!$AD$3:$AD$501,0))&amp;"","")</f>
        <v/>
      </c>
      <c r="N359" s="25" t="str">
        <f aca="false">IFERROR(INDEX(종합!N$3:N$501,MATCH(ROW()-2,종합!$AD$3:$AD$501,0))&amp;"","")</f>
        <v/>
      </c>
      <c r="O359" s="21" t="str">
        <f aca="false">IFERROR(INDEX(종합!O$3:O$501,MATCH(ROW()-2,종합!$AD$3:$AD$501,0))&amp;"","")</f>
        <v/>
      </c>
      <c r="P359" s="21" t="str">
        <f aca="false">IFERROR(INDEX(종합!P$3:P$501,MATCH(ROW()-2,종합!$AD$3:$AD$501,0))&amp;"","")</f>
        <v/>
      </c>
      <c r="Q359" s="21" t="str">
        <f aca="false">IFERROR(INDEX(종합!Q$3:Q$501,MATCH(ROW()-2,종합!$AD$3:$AD$501,0))&amp;"","")</f>
        <v/>
      </c>
      <c r="R359" s="21" t="str">
        <f aca="false">IFERROR(INDEX(종합!R$3:R$501,MATCH(ROW()-2,종합!$AD$3:$AD$501,0))&amp;"","")</f>
        <v/>
      </c>
      <c r="S359" s="21" t="str">
        <f aca="false">IFERROR(INDEX(종합!S$3:S$501,MATCH(ROW()-2,종합!$AD$3:$AD$501,0))&amp;"","")</f>
        <v/>
      </c>
      <c r="T359" s="21" t="str">
        <f aca="false">IFERROR(INDEX(종합!T$3:T$501,MATCH(ROW()-2,종합!$AD$3:$AD$501,0))&amp;"","")</f>
        <v/>
      </c>
      <c r="U359" s="21" t="str">
        <f aca="false">IFERROR(INDEX(종합!U$3:U$501,MATCH(ROW()-2,종합!$AD$3:$AD$501,0))&amp;"","")</f>
        <v/>
      </c>
      <c r="V359" s="21" t="str">
        <f aca="false">IFERROR(INDEX(종합!V$3:V$501,MATCH(ROW()-2,종합!$AD$3:$AD$501,0))&amp;"","")</f>
        <v/>
      </c>
      <c r="W359" s="21" t="str">
        <f aca="false">IFERROR(INDEX(종합!W$3:W$501,MATCH(ROW()-2,종합!$AD$3:$AD$501,0))&amp;"","")</f>
        <v/>
      </c>
      <c r="X359" s="21" t="str">
        <f aca="false">IFERROR(INDEX(종합!X$3:X$501,MATCH(ROW()-2,종합!$AD$3:$AD$501,0))&amp;"","")</f>
        <v/>
      </c>
      <c r="Y359" s="21" t="str">
        <f aca="false">IFERROR(INDEX(종합!Y$3:Y$501,MATCH(ROW()-2,종합!$AD$3:$AD$501,0))&amp;"","")</f>
        <v/>
      </c>
      <c r="Z359" s="21" t="str">
        <f aca="false">IFERROR(INDEX(종합!Z$3:Z$501,MATCH(ROW()-2,종합!$AD$3:$AD$501,0))&amp;"","")</f>
        <v/>
      </c>
      <c r="AA359" s="23" t="str">
        <f aca="false">IFERROR(INDEX(종합!AA$3:AA$501,MATCH(ROW()-2,종합!$AD$3:$AD$501,0))&amp;"","")</f>
        <v/>
      </c>
    </row>
    <row r="360" customFormat="false" ht="16.5" hidden="false" customHeight="true" outlineLevel="0" collapsed="false">
      <c r="A360" s="18" t="str">
        <f aca="false">IF(B360="","",ROW()-2)</f>
        <v/>
      </c>
      <c r="B360" s="18" t="str">
        <f aca="false">IFERROR(INDEX(종합!B$3:B$501,MATCH(ROW()-2,종합!$AD$3:$AD$501,0))&amp;"","")</f>
        <v/>
      </c>
      <c r="C360" s="18" t="str">
        <f aca="false">IFERROR(INDEX(종합!C$3:C$501,MATCH(ROW()-2,종합!$AD$3:$AD$501,0))&amp;"","")</f>
        <v/>
      </c>
      <c r="D360" s="18" t="str">
        <f aca="false">IFERROR(INDEX(종합!D$3:D$501,MATCH(ROW()-2,종합!$AD$3:$AD$501,0))&amp;"","")</f>
        <v/>
      </c>
      <c r="E360" s="18" t="str">
        <f aca="false">IFERROR(INDEX(종합!E$3:E$501,MATCH(ROW()-2,종합!$AD$3:$AD$501,0))&amp;"","")</f>
        <v/>
      </c>
      <c r="F360" s="18" t="str">
        <f aca="false">IFERROR(INDEX(종합!F$3:F$501,MATCH(ROW()-2,종합!$AD$3:$AD$501,0))&amp;"","")</f>
        <v/>
      </c>
      <c r="G360" s="18" t="str">
        <f aca="false">IFERROR(INDEX(종합!G$3:G$501,MATCH(ROW()-2,종합!$AD$3:$AD$501,0))&amp;"","")</f>
        <v/>
      </c>
      <c r="H360" s="21" t="str">
        <f aca="false">IFERROR(INDEX(종합!H$3:H$501,MATCH(ROW()-2,종합!$AD$3:$AD$501,0))&amp;"","")</f>
        <v/>
      </c>
      <c r="I360" s="21" t="str">
        <f aca="false">IFERROR(INDEX(종합!I$3:I$501,MATCH(ROW()-2,종합!$AD$3:$AD$501,0))&amp;"","")</f>
        <v/>
      </c>
      <c r="J360" s="21" t="str">
        <f aca="false">IFERROR(INDEX(종합!J$3:J$501,MATCH(ROW()-2,종합!$AD$3:$AD$501,0))&amp;"","")</f>
        <v/>
      </c>
      <c r="K360" s="21" t="str">
        <f aca="false">IFERROR(INDEX(종합!K$3:K$501,MATCH(ROW()-2,종합!$AD$3:$AD$501,0))&amp;"","")</f>
        <v/>
      </c>
      <c r="L360" s="21" t="str">
        <f aca="false">IFERROR(INDEX(종합!L$3:L$501,MATCH(ROW()-2,종합!$AD$3:$AD$501,0))&amp;"","")</f>
        <v/>
      </c>
      <c r="M360" s="21" t="str">
        <f aca="false">IFERROR(INDEX(종합!M$3:M$501,MATCH(ROW()-2,종합!$AD$3:$AD$501,0))&amp;"","")</f>
        <v/>
      </c>
      <c r="N360" s="25" t="str">
        <f aca="false">IFERROR(INDEX(종합!N$3:N$501,MATCH(ROW()-2,종합!$AD$3:$AD$501,0))&amp;"","")</f>
        <v/>
      </c>
      <c r="O360" s="21" t="str">
        <f aca="false">IFERROR(INDEX(종합!O$3:O$501,MATCH(ROW()-2,종합!$AD$3:$AD$501,0))&amp;"","")</f>
        <v/>
      </c>
      <c r="P360" s="21" t="str">
        <f aca="false">IFERROR(INDEX(종합!P$3:P$501,MATCH(ROW()-2,종합!$AD$3:$AD$501,0))&amp;"","")</f>
        <v/>
      </c>
      <c r="Q360" s="21" t="str">
        <f aca="false">IFERROR(INDEX(종합!Q$3:Q$501,MATCH(ROW()-2,종합!$AD$3:$AD$501,0))&amp;"","")</f>
        <v/>
      </c>
      <c r="R360" s="21" t="str">
        <f aca="false">IFERROR(INDEX(종합!R$3:R$501,MATCH(ROW()-2,종합!$AD$3:$AD$501,0))&amp;"","")</f>
        <v/>
      </c>
      <c r="S360" s="21" t="str">
        <f aca="false">IFERROR(INDEX(종합!S$3:S$501,MATCH(ROW()-2,종합!$AD$3:$AD$501,0))&amp;"","")</f>
        <v/>
      </c>
      <c r="T360" s="21" t="str">
        <f aca="false">IFERROR(INDEX(종합!T$3:T$501,MATCH(ROW()-2,종합!$AD$3:$AD$501,0))&amp;"","")</f>
        <v/>
      </c>
      <c r="U360" s="21" t="str">
        <f aca="false">IFERROR(INDEX(종합!U$3:U$501,MATCH(ROW()-2,종합!$AD$3:$AD$501,0))&amp;"","")</f>
        <v/>
      </c>
      <c r="V360" s="21" t="str">
        <f aca="false">IFERROR(INDEX(종합!V$3:V$501,MATCH(ROW()-2,종합!$AD$3:$AD$501,0))&amp;"","")</f>
        <v/>
      </c>
      <c r="W360" s="21" t="str">
        <f aca="false">IFERROR(INDEX(종합!W$3:W$501,MATCH(ROW()-2,종합!$AD$3:$AD$501,0))&amp;"","")</f>
        <v/>
      </c>
      <c r="X360" s="21" t="str">
        <f aca="false">IFERROR(INDEX(종합!X$3:X$501,MATCH(ROW()-2,종합!$AD$3:$AD$501,0))&amp;"","")</f>
        <v/>
      </c>
      <c r="Y360" s="21" t="str">
        <f aca="false">IFERROR(INDEX(종합!Y$3:Y$501,MATCH(ROW()-2,종합!$AD$3:$AD$501,0))&amp;"","")</f>
        <v/>
      </c>
      <c r="Z360" s="21" t="str">
        <f aca="false">IFERROR(INDEX(종합!Z$3:Z$501,MATCH(ROW()-2,종합!$AD$3:$AD$501,0))&amp;"","")</f>
        <v/>
      </c>
      <c r="AA360" s="23" t="str">
        <f aca="false">IFERROR(INDEX(종합!AA$3:AA$501,MATCH(ROW()-2,종합!$AD$3:$AD$501,0))&amp;"","")</f>
        <v/>
      </c>
    </row>
    <row r="361" customFormat="false" ht="16.5" hidden="false" customHeight="true" outlineLevel="0" collapsed="false">
      <c r="A361" s="18" t="str">
        <f aca="false">IF(B361="","",ROW()-2)</f>
        <v/>
      </c>
      <c r="B361" s="18" t="str">
        <f aca="false">IFERROR(INDEX(종합!B$3:B$501,MATCH(ROW()-2,종합!$AD$3:$AD$501,0))&amp;"","")</f>
        <v/>
      </c>
      <c r="C361" s="18" t="str">
        <f aca="false">IFERROR(INDEX(종합!C$3:C$501,MATCH(ROW()-2,종합!$AD$3:$AD$501,0))&amp;"","")</f>
        <v/>
      </c>
      <c r="D361" s="18" t="str">
        <f aca="false">IFERROR(INDEX(종합!D$3:D$501,MATCH(ROW()-2,종합!$AD$3:$AD$501,0))&amp;"","")</f>
        <v/>
      </c>
      <c r="E361" s="18" t="str">
        <f aca="false">IFERROR(INDEX(종합!E$3:E$501,MATCH(ROW()-2,종합!$AD$3:$AD$501,0))&amp;"","")</f>
        <v/>
      </c>
      <c r="F361" s="18" t="str">
        <f aca="false">IFERROR(INDEX(종합!F$3:F$501,MATCH(ROW()-2,종합!$AD$3:$AD$501,0))&amp;"","")</f>
        <v/>
      </c>
      <c r="G361" s="18" t="str">
        <f aca="false">IFERROR(INDEX(종합!G$3:G$501,MATCH(ROW()-2,종합!$AD$3:$AD$501,0))&amp;"","")</f>
        <v/>
      </c>
      <c r="H361" s="21" t="str">
        <f aca="false">IFERROR(INDEX(종합!H$3:H$501,MATCH(ROW()-2,종합!$AD$3:$AD$501,0))&amp;"","")</f>
        <v/>
      </c>
      <c r="I361" s="21" t="str">
        <f aca="false">IFERROR(INDEX(종합!I$3:I$501,MATCH(ROW()-2,종합!$AD$3:$AD$501,0))&amp;"","")</f>
        <v/>
      </c>
      <c r="J361" s="21" t="str">
        <f aca="false">IFERROR(INDEX(종합!J$3:J$501,MATCH(ROW()-2,종합!$AD$3:$AD$501,0))&amp;"","")</f>
        <v/>
      </c>
      <c r="K361" s="21" t="str">
        <f aca="false">IFERROR(INDEX(종합!K$3:K$501,MATCH(ROW()-2,종합!$AD$3:$AD$501,0))&amp;"","")</f>
        <v/>
      </c>
      <c r="L361" s="21" t="str">
        <f aca="false">IFERROR(INDEX(종합!L$3:L$501,MATCH(ROW()-2,종합!$AD$3:$AD$501,0))&amp;"","")</f>
        <v/>
      </c>
      <c r="M361" s="21" t="str">
        <f aca="false">IFERROR(INDEX(종합!M$3:M$501,MATCH(ROW()-2,종합!$AD$3:$AD$501,0))&amp;"","")</f>
        <v/>
      </c>
      <c r="N361" s="25" t="str">
        <f aca="false">IFERROR(INDEX(종합!N$3:N$501,MATCH(ROW()-2,종합!$AD$3:$AD$501,0))&amp;"","")</f>
        <v/>
      </c>
      <c r="O361" s="21" t="str">
        <f aca="false">IFERROR(INDEX(종합!O$3:O$501,MATCH(ROW()-2,종합!$AD$3:$AD$501,0))&amp;"","")</f>
        <v/>
      </c>
      <c r="P361" s="21" t="str">
        <f aca="false">IFERROR(INDEX(종합!P$3:P$501,MATCH(ROW()-2,종합!$AD$3:$AD$501,0))&amp;"","")</f>
        <v/>
      </c>
      <c r="Q361" s="21" t="str">
        <f aca="false">IFERROR(INDEX(종합!Q$3:Q$501,MATCH(ROW()-2,종합!$AD$3:$AD$501,0))&amp;"","")</f>
        <v/>
      </c>
      <c r="R361" s="21" t="str">
        <f aca="false">IFERROR(INDEX(종합!R$3:R$501,MATCH(ROW()-2,종합!$AD$3:$AD$501,0))&amp;"","")</f>
        <v/>
      </c>
      <c r="S361" s="21" t="str">
        <f aca="false">IFERROR(INDEX(종합!S$3:S$501,MATCH(ROW()-2,종합!$AD$3:$AD$501,0))&amp;"","")</f>
        <v/>
      </c>
      <c r="T361" s="21" t="str">
        <f aca="false">IFERROR(INDEX(종합!T$3:T$501,MATCH(ROW()-2,종합!$AD$3:$AD$501,0))&amp;"","")</f>
        <v/>
      </c>
      <c r="U361" s="21" t="str">
        <f aca="false">IFERROR(INDEX(종합!U$3:U$501,MATCH(ROW()-2,종합!$AD$3:$AD$501,0))&amp;"","")</f>
        <v/>
      </c>
      <c r="V361" s="21" t="str">
        <f aca="false">IFERROR(INDEX(종합!V$3:V$501,MATCH(ROW()-2,종합!$AD$3:$AD$501,0))&amp;"","")</f>
        <v/>
      </c>
      <c r="W361" s="21" t="str">
        <f aca="false">IFERROR(INDEX(종합!W$3:W$501,MATCH(ROW()-2,종합!$AD$3:$AD$501,0))&amp;"","")</f>
        <v/>
      </c>
      <c r="X361" s="21" t="str">
        <f aca="false">IFERROR(INDEX(종합!X$3:X$501,MATCH(ROW()-2,종합!$AD$3:$AD$501,0))&amp;"","")</f>
        <v/>
      </c>
      <c r="Y361" s="21" t="str">
        <f aca="false">IFERROR(INDEX(종합!Y$3:Y$501,MATCH(ROW()-2,종합!$AD$3:$AD$501,0))&amp;"","")</f>
        <v/>
      </c>
      <c r="Z361" s="21" t="str">
        <f aca="false">IFERROR(INDEX(종합!Z$3:Z$501,MATCH(ROW()-2,종합!$AD$3:$AD$501,0))&amp;"","")</f>
        <v/>
      </c>
      <c r="AA361" s="23" t="str">
        <f aca="false">IFERROR(INDEX(종합!AA$3:AA$501,MATCH(ROW()-2,종합!$AD$3:$AD$501,0))&amp;"","")</f>
        <v/>
      </c>
    </row>
    <row r="362" customFormat="false" ht="16.5" hidden="false" customHeight="true" outlineLevel="0" collapsed="false">
      <c r="A362" s="18" t="str">
        <f aca="false">IF(B362="","",ROW()-2)</f>
        <v/>
      </c>
      <c r="B362" s="18" t="str">
        <f aca="false">IFERROR(INDEX(종합!B$3:B$501,MATCH(ROW()-2,종합!$AD$3:$AD$501,0))&amp;"","")</f>
        <v/>
      </c>
      <c r="C362" s="18" t="str">
        <f aca="false">IFERROR(INDEX(종합!C$3:C$501,MATCH(ROW()-2,종합!$AD$3:$AD$501,0))&amp;"","")</f>
        <v/>
      </c>
      <c r="D362" s="18" t="str">
        <f aca="false">IFERROR(INDEX(종합!D$3:D$501,MATCH(ROW()-2,종합!$AD$3:$AD$501,0))&amp;"","")</f>
        <v/>
      </c>
      <c r="E362" s="18" t="str">
        <f aca="false">IFERROR(INDEX(종합!E$3:E$501,MATCH(ROW()-2,종합!$AD$3:$AD$501,0))&amp;"","")</f>
        <v/>
      </c>
      <c r="F362" s="18" t="str">
        <f aca="false">IFERROR(INDEX(종합!F$3:F$501,MATCH(ROW()-2,종합!$AD$3:$AD$501,0))&amp;"","")</f>
        <v/>
      </c>
      <c r="G362" s="18" t="str">
        <f aca="false">IFERROR(INDEX(종합!G$3:G$501,MATCH(ROW()-2,종합!$AD$3:$AD$501,0))&amp;"","")</f>
        <v/>
      </c>
      <c r="H362" s="21" t="str">
        <f aca="false">IFERROR(INDEX(종합!H$3:H$501,MATCH(ROW()-2,종합!$AD$3:$AD$501,0))&amp;"","")</f>
        <v/>
      </c>
      <c r="I362" s="21" t="str">
        <f aca="false">IFERROR(INDEX(종합!I$3:I$501,MATCH(ROW()-2,종합!$AD$3:$AD$501,0))&amp;"","")</f>
        <v/>
      </c>
      <c r="J362" s="21" t="str">
        <f aca="false">IFERROR(INDEX(종합!J$3:J$501,MATCH(ROW()-2,종합!$AD$3:$AD$501,0))&amp;"","")</f>
        <v/>
      </c>
      <c r="K362" s="21" t="str">
        <f aca="false">IFERROR(INDEX(종합!K$3:K$501,MATCH(ROW()-2,종합!$AD$3:$AD$501,0))&amp;"","")</f>
        <v/>
      </c>
      <c r="L362" s="21" t="str">
        <f aca="false">IFERROR(INDEX(종합!L$3:L$501,MATCH(ROW()-2,종합!$AD$3:$AD$501,0))&amp;"","")</f>
        <v/>
      </c>
      <c r="M362" s="21" t="str">
        <f aca="false">IFERROR(INDEX(종합!M$3:M$501,MATCH(ROW()-2,종합!$AD$3:$AD$501,0))&amp;"","")</f>
        <v/>
      </c>
      <c r="N362" s="25" t="str">
        <f aca="false">IFERROR(INDEX(종합!N$3:N$501,MATCH(ROW()-2,종합!$AD$3:$AD$501,0))&amp;"","")</f>
        <v/>
      </c>
      <c r="O362" s="21" t="str">
        <f aca="false">IFERROR(INDEX(종합!O$3:O$501,MATCH(ROW()-2,종합!$AD$3:$AD$501,0))&amp;"","")</f>
        <v/>
      </c>
      <c r="P362" s="21" t="str">
        <f aca="false">IFERROR(INDEX(종합!P$3:P$501,MATCH(ROW()-2,종합!$AD$3:$AD$501,0))&amp;"","")</f>
        <v/>
      </c>
      <c r="Q362" s="21" t="str">
        <f aca="false">IFERROR(INDEX(종합!Q$3:Q$501,MATCH(ROW()-2,종합!$AD$3:$AD$501,0))&amp;"","")</f>
        <v/>
      </c>
      <c r="R362" s="21" t="str">
        <f aca="false">IFERROR(INDEX(종합!R$3:R$501,MATCH(ROW()-2,종합!$AD$3:$AD$501,0))&amp;"","")</f>
        <v/>
      </c>
      <c r="S362" s="21" t="str">
        <f aca="false">IFERROR(INDEX(종합!S$3:S$501,MATCH(ROW()-2,종합!$AD$3:$AD$501,0))&amp;"","")</f>
        <v/>
      </c>
      <c r="T362" s="21" t="str">
        <f aca="false">IFERROR(INDEX(종합!T$3:T$501,MATCH(ROW()-2,종합!$AD$3:$AD$501,0))&amp;"","")</f>
        <v/>
      </c>
      <c r="U362" s="21" t="str">
        <f aca="false">IFERROR(INDEX(종합!U$3:U$501,MATCH(ROW()-2,종합!$AD$3:$AD$501,0))&amp;"","")</f>
        <v/>
      </c>
      <c r="V362" s="21" t="str">
        <f aca="false">IFERROR(INDEX(종합!V$3:V$501,MATCH(ROW()-2,종합!$AD$3:$AD$501,0))&amp;"","")</f>
        <v/>
      </c>
      <c r="W362" s="21" t="str">
        <f aca="false">IFERROR(INDEX(종합!W$3:W$501,MATCH(ROW()-2,종합!$AD$3:$AD$501,0))&amp;"","")</f>
        <v/>
      </c>
      <c r="X362" s="21" t="str">
        <f aca="false">IFERROR(INDEX(종합!X$3:X$501,MATCH(ROW()-2,종합!$AD$3:$AD$501,0))&amp;"","")</f>
        <v/>
      </c>
      <c r="Y362" s="21" t="str">
        <f aca="false">IFERROR(INDEX(종합!Y$3:Y$501,MATCH(ROW()-2,종합!$AD$3:$AD$501,0))&amp;"","")</f>
        <v/>
      </c>
      <c r="Z362" s="21" t="str">
        <f aca="false">IFERROR(INDEX(종합!Z$3:Z$501,MATCH(ROW()-2,종합!$AD$3:$AD$501,0))&amp;"","")</f>
        <v/>
      </c>
      <c r="AA362" s="23" t="str">
        <f aca="false">IFERROR(INDEX(종합!AA$3:AA$501,MATCH(ROW()-2,종합!$AD$3:$AD$501,0))&amp;"","")</f>
        <v/>
      </c>
    </row>
    <row r="363" customFormat="false" ht="16.5" hidden="false" customHeight="true" outlineLevel="0" collapsed="false">
      <c r="A363" s="18" t="str">
        <f aca="false">IF(B363="","",ROW()-2)</f>
        <v/>
      </c>
      <c r="B363" s="18" t="str">
        <f aca="false">IFERROR(INDEX(종합!B$3:B$501,MATCH(ROW()-2,종합!$AD$3:$AD$501,0))&amp;"","")</f>
        <v/>
      </c>
      <c r="C363" s="18" t="str">
        <f aca="false">IFERROR(INDEX(종합!C$3:C$501,MATCH(ROW()-2,종합!$AD$3:$AD$501,0))&amp;"","")</f>
        <v/>
      </c>
      <c r="D363" s="18" t="str">
        <f aca="false">IFERROR(INDEX(종합!D$3:D$501,MATCH(ROW()-2,종합!$AD$3:$AD$501,0))&amp;"","")</f>
        <v/>
      </c>
      <c r="E363" s="18" t="str">
        <f aca="false">IFERROR(INDEX(종합!E$3:E$501,MATCH(ROW()-2,종합!$AD$3:$AD$501,0))&amp;"","")</f>
        <v/>
      </c>
      <c r="F363" s="18" t="str">
        <f aca="false">IFERROR(INDEX(종합!F$3:F$501,MATCH(ROW()-2,종합!$AD$3:$AD$501,0))&amp;"","")</f>
        <v/>
      </c>
      <c r="G363" s="18" t="str">
        <f aca="false">IFERROR(INDEX(종합!G$3:G$501,MATCH(ROW()-2,종합!$AD$3:$AD$501,0))&amp;"","")</f>
        <v/>
      </c>
      <c r="H363" s="21" t="str">
        <f aca="false">IFERROR(INDEX(종합!H$3:H$501,MATCH(ROW()-2,종합!$AD$3:$AD$501,0))&amp;"","")</f>
        <v/>
      </c>
      <c r="I363" s="21" t="str">
        <f aca="false">IFERROR(INDEX(종합!I$3:I$501,MATCH(ROW()-2,종합!$AD$3:$AD$501,0))&amp;"","")</f>
        <v/>
      </c>
      <c r="J363" s="21" t="str">
        <f aca="false">IFERROR(INDEX(종합!J$3:J$501,MATCH(ROW()-2,종합!$AD$3:$AD$501,0))&amp;"","")</f>
        <v/>
      </c>
      <c r="K363" s="21" t="str">
        <f aca="false">IFERROR(INDEX(종합!K$3:K$501,MATCH(ROW()-2,종합!$AD$3:$AD$501,0))&amp;"","")</f>
        <v/>
      </c>
      <c r="L363" s="21" t="str">
        <f aca="false">IFERROR(INDEX(종합!L$3:L$501,MATCH(ROW()-2,종합!$AD$3:$AD$501,0))&amp;"","")</f>
        <v/>
      </c>
      <c r="M363" s="21" t="str">
        <f aca="false">IFERROR(INDEX(종합!M$3:M$501,MATCH(ROW()-2,종합!$AD$3:$AD$501,0))&amp;"","")</f>
        <v/>
      </c>
      <c r="N363" s="25" t="str">
        <f aca="false">IFERROR(INDEX(종합!N$3:N$501,MATCH(ROW()-2,종합!$AD$3:$AD$501,0))&amp;"","")</f>
        <v/>
      </c>
      <c r="O363" s="21" t="str">
        <f aca="false">IFERROR(INDEX(종합!O$3:O$501,MATCH(ROW()-2,종합!$AD$3:$AD$501,0))&amp;"","")</f>
        <v/>
      </c>
      <c r="P363" s="21" t="str">
        <f aca="false">IFERROR(INDEX(종합!P$3:P$501,MATCH(ROW()-2,종합!$AD$3:$AD$501,0))&amp;"","")</f>
        <v/>
      </c>
      <c r="Q363" s="21" t="str">
        <f aca="false">IFERROR(INDEX(종합!Q$3:Q$501,MATCH(ROW()-2,종합!$AD$3:$AD$501,0))&amp;"","")</f>
        <v/>
      </c>
      <c r="R363" s="21" t="str">
        <f aca="false">IFERROR(INDEX(종합!R$3:R$501,MATCH(ROW()-2,종합!$AD$3:$AD$501,0))&amp;"","")</f>
        <v/>
      </c>
      <c r="S363" s="21" t="str">
        <f aca="false">IFERROR(INDEX(종합!S$3:S$501,MATCH(ROW()-2,종합!$AD$3:$AD$501,0))&amp;"","")</f>
        <v/>
      </c>
      <c r="T363" s="21" t="str">
        <f aca="false">IFERROR(INDEX(종합!T$3:T$501,MATCH(ROW()-2,종합!$AD$3:$AD$501,0))&amp;"","")</f>
        <v/>
      </c>
      <c r="U363" s="21" t="str">
        <f aca="false">IFERROR(INDEX(종합!U$3:U$501,MATCH(ROW()-2,종합!$AD$3:$AD$501,0))&amp;"","")</f>
        <v/>
      </c>
      <c r="V363" s="21" t="str">
        <f aca="false">IFERROR(INDEX(종합!V$3:V$501,MATCH(ROW()-2,종합!$AD$3:$AD$501,0))&amp;"","")</f>
        <v/>
      </c>
      <c r="W363" s="21" t="str">
        <f aca="false">IFERROR(INDEX(종합!W$3:W$501,MATCH(ROW()-2,종합!$AD$3:$AD$501,0))&amp;"","")</f>
        <v/>
      </c>
      <c r="X363" s="21" t="str">
        <f aca="false">IFERROR(INDEX(종합!X$3:X$501,MATCH(ROW()-2,종합!$AD$3:$AD$501,0))&amp;"","")</f>
        <v/>
      </c>
      <c r="Y363" s="21" t="str">
        <f aca="false">IFERROR(INDEX(종합!Y$3:Y$501,MATCH(ROW()-2,종합!$AD$3:$AD$501,0))&amp;"","")</f>
        <v/>
      </c>
      <c r="Z363" s="21" t="str">
        <f aca="false">IFERROR(INDEX(종합!Z$3:Z$501,MATCH(ROW()-2,종합!$AD$3:$AD$501,0))&amp;"","")</f>
        <v/>
      </c>
      <c r="AA363" s="23" t="str">
        <f aca="false">IFERROR(INDEX(종합!AA$3:AA$501,MATCH(ROW()-2,종합!$AD$3:$AD$501,0))&amp;"","")</f>
        <v/>
      </c>
    </row>
    <row r="364" customFormat="false" ht="16.5" hidden="false" customHeight="true" outlineLevel="0" collapsed="false">
      <c r="A364" s="18" t="str">
        <f aca="false">IF(B364="","",ROW()-2)</f>
        <v/>
      </c>
      <c r="B364" s="18" t="str">
        <f aca="false">IFERROR(INDEX(종합!B$3:B$501,MATCH(ROW()-2,종합!$AD$3:$AD$501,0))&amp;"","")</f>
        <v/>
      </c>
      <c r="C364" s="18" t="str">
        <f aca="false">IFERROR(INDEX(종합!C$3:C$501,MATCH(ROW()-2,종합!$AD$3:$AD$501,0))&amp;"","")</f>
        <v/>
      </c>
      <c r="D364" s="18" t="str">
        <f aca="false">IFERROR(INDEX(종합!D$3:D$501,MATCH(ROW()-2,종합!$AD$3:$AD$501,0))&amp;"","")</f>
        <v/>
      </c>
      <c r="E364" s="18" t="str">
        <f aca="false">IFERROR(INDEX(종합!E$3:E$501,MATCH(ROW()-2,종합!$AD$3:$AD$501,0))&amp;"","")</f>
        <v/>
      </c>
      <c r="F364" s="18" t="str">
        <f aca="false">IFERROR(INDEX(종합!F$3:F$501,MATCH(ROW()-2,종합!$AD$3:$AD$501,0))&amp;"","")</f>
        <v/>
      </c>
      <c r="G364" s="18" t="str">
        <f aca="false">IFERROR(INDEX(종합!G$3:G$501,MATCH(ROW()-2,종합!$AD$3:$AD$501,0))&amp;"","")</f>
        <v/>
      </c>
      <c r="H364" s="21" t="str">
        <f aca="false">IFERROR(INDEX(종합!H$3:H$501,MATCH(ROW()-2,종합!$AD$3:$AD$501,0))&amp;"","")</f>
        <v/>
      </c>
      <c r="I364" s="21" t="str">
        <f aca="false">IFERROR(INDEX(종합!I$3:I$501,MATCH(ROW()-2,종합!$AD$3:$AD$501,0))&amp;"","")</f>
        <v/>
      </c>
      <c r="J364" s="21" t="str">
        <f aca="false">IFERROR(INDEX(종합!J$3:J$501,MATCH(ROW()-2,종합!$AD$3:$AD$501,0))&amp;"","")</f>
        <v/>
      </c>
      <c r="K364" s="21" t="str">
        <f aca="false">IFERROR(INDEX(종합!K$3:K$501,MATCH(ROW()-2,종합!$AD$3:$AD$501,0))&amp;"","")</f>
        <v/>
      </c>
      <c r="L364" s="21" t="str">
        <f aca="false">IFERROR(INDEX(종합!L$3:L$501,MATCH(ROW()-2,종합!$AD$3:$AD$501,0))&amp;"","")</f>
        <v/>
      </c>
      <c r="M364" s="21" t="str">
        <f aca="false">IFERROR(INDEX(종합!M$3:M$501,MATCH(ROW()-2,종합!$AD$3:$AD$501,0))&amp;"","")</f>
        <v/>
      </c>
      <c r="N364" s="25" t="str">
        <f aca="false">IFERROR(INDEX(종합!N$3:N$501,MATCH(ROW()-2,종합!$AD$3:$AD$501,0))&amp;"","")</f>
        <v/>
      </c>
      <c r="O364" s="21" t="str">
        <f aca="false">IFERROR(INDEX(종합!O$3:O$501,MATCH(ROW()-2,종합!$AD$3:$AD$501,0))&amp;"","")</f>
        <v/>
      </c>
      <c r="P364" s="21" t="str">
        <f aca="false">IFERROR(INDEX(종합!P$3:P$501,MATCH(ROW()-2,종합!$AD$3:$AD$501,0))&amp;"","")</f>
        <v/>
      </c>
      <c r="Q364" s="21" t="str">
        <f aca="false">IFERROR(INDEX(종합!Q$3:Q$501,MATCH(ROW()-2,종합!$AD$3:$AD$501,0))&amp;"","")</f>
        <v/>
      </c>
      <c r="R364" s="21" t="str">
        <f aca="false">IFERROR(INDEX(종합!R$3:R$501,MATCH(ROW()-2,종합!$AD$3:$AD$501,0))&amp;"","")</f>
        <v/>
      </c>
      <c r="S364" s="21" t="str">
        <f aca="false">IFERROR(INDEX(종합!S$3:S$501,MATCH(ROW()-2,종합!$AD$3:$AD$501,0))&amp;"","")</f>
        <v/>
      </c>
      <c r="T364" s="21" t="str">
        <f aca="false">IFERROR(INDEX(종합!T$3:T$501,MATCH(ROW()-2,종합!$AD$3:$AD$501,0))&amp;"","")</f>
        <v/>
      </c>
      <c r="U364" s="21" t="str">
        <f aca="false">IFERROR(INDEX(종합!U$3:U$501,MATCH(ROW()-2,종합!$AD$3:$AD$501,0))&amp;"","")</f>
        <v/>
      </c>
      <c r="V364" s="21" t="str">
        <f aca="false">IFERROR(INDEX(종합!V$3:V$501,MATCH(ROW()-2,종합!$AD$3:$AD$501,0))&amp;"","")</f>
        <v/>
      </c>
      <c r="W364" s="21" t="str">
        <f aca="false">IFERROR(INDEX(종합!W$3:W$501,MATCH(ROW()-2,종합!$AD$3:$AD$501,0))&amp;"","")</f>
        <v/>
      </c>
      <c r="X364" s="21" t="str">
        <f aca="false">IFERROR(INDEX(종합!X$3:X$501,MATCH(ROW()-2,종합!$AD$3:$AD$501,0))&amp;"","")</f>
        <v/>
      </c>
      <c r="Y364" s="21" t="str">
        <f aca="false">IFERROR(INDEX(종합!Y$3:Y$501,MATCH(ROW()-2,종합!$AD$3:$AD$501,0))&amp;"","")</f>
        <v/>
      </c>
      <c r="Z364" s="21" t="str">
        <f aca="false">IFERROR(INDEX(종합!Z$3:Z$501,MATCH(ROW()-2,종합!$AD$3:$AD$501,0))&amp;"","")</f>
        <v/>
      </c>
      <c r="AA364" s="23" t="str">
        <f aca="false">IFERROR(INDEX(종합!AA$3:AA$501,MATCH(ROW()-2,종합!$AD$3:$AD$501,0))&amp;"","")</f>
        <v/>
      </c>
    </row>
    <row r="365" customFormat="false" ht="16.5" hidden="false" customHeight="true" outlineLevel="0" collapsed="false">
      <c r="A365" s="18" t="str">
        <f aca="false">IF(B365="","",ROW()-2)</f>
        <v/>
      </c>
      <c r="B365" s="18" t="str">
        <f aca="false">IFERROR(INDEX(종합!B$3:B$501,MATCH(ROW()-2,종합!$AD$3:$AD$501,0))&amp;"","")</f>
        <v/>
      </c>
      <c r="C365" s="18" t="str">
        <f aca="false">IFERROR(INDEX(종합!C$3:C$501,MATCH(ROW()-2,종합!$AD$3:$AD$501,0))&amp;"","")</f>
        <v/>
      </c>
      <c r="D365" s="18" t="str">
        <f aca="false">IFERROR(INDEX(종합!D$3:D$501,MATCH(ROW()-2,종합!$AD$3:$AD$501,0))&amp;"","")</f>
        <v/>
      </c>
      <c r="E365" s="18" t="str">
        <f aca="false">IFERROR(INDEX(종합!E$3:E$501,MATCH(ROW()-2,종합!$AD$3:$AD$501,0))&amp;"","")</f>
        <v/>
      </c>
      <c r="F365" s="18" t="str">
        <f aca="false">IFERROR(INDEX(종합!F$3:F$501,MATCH(ROW()-2,종합!$AD$3:$AD$501,0))&amp;"","")</f>
        <v/>
      </c>
      <c r="G365" s="18" t="str">
        <f aca="false">IFERROR(INDEX(종합!G$3:G$501,MATCH(ROW()-2,종합!$AD$3:$AD$501,0))&amp;"","")</f>
        <v/>
      </c>
      <c r="H365" s="21" t="str">
        <f aca="false">IFERROR(INDEX(종합!H$3:H$501,MATCH(ROW()-2,종합!$AD$3:$AD$501,0))&amp;"","")</f>
        <v/>
      </c>
      <c r="I365" s="21" t="str">
        <f aca="false">IFERROR(INDEX(종합!I$3:I$501,MATCH(ROW()-2,종합!$AD$3:$AD$501,0))&amp;"","")</f>
        <v/>
      </c>
      <c r="J365" s="21" t="str">
        <f aca="false">IFERROR(INDEX(종합!J$3:J$501,MATCH(ROW()-2,종합!$AD$3:$AD$501,0))&amp;"","")</f>
        <v/>
      </c>
      <c r="K365" s="21" t="str">
        <f aca="false">IFERROR(INDEX(종합!K$3:K$501,MATCH(ROW()-2,종합!$AD$3:$AD$501,0))&amp;"","")</f>
        <v/>
      </c>
      <c r="L365" s="21" t="str">
        <f aca="false">IFERROR(INDEX(종합!L$3:L$501,MATCH(ROW()-2,종합!$AD$3:$AD$501,0))&amp;"","")</f>
        <v/>
      </c>
      <c r="M365" s="21" t="str">
        <f aca="false">IFERROR(INDEX(종합!M$3:M$501,MATCH(ROW()-2,종합!$AD$3:$AD$501,0))&amp;"","")</f>
        <v/>
      </c>
      <c r="N365" s="25" t="str">
        <f aca="false">IFERROR(INDEX(종합!N$3:N$501,MATCH(ROW()-2,종합!$AD$3:$AD$501,0))&amp;"","")</f>
        <v/>
      </c>
      <c r="O365" s="21" t="str">
        <f aca="false">IFERROR(INDEX(종합!O$3:O$501,MATCH(ROW()-2,종합!$AD$3:$AD$501,0))&amp;"","")</f>
        <v/>
      </c>
      <c r="P365" s="21" t="str">
        <f aca="false">IFERROR(INDEX(종합!P$3:P$501,MATCH(ROW()-2,종합!$AD$3:$AD$501,0))&amp;"","")</f>
        <v/>
      </c>
      <c r="Q365" s="21" t="str">
        <f aca="false">IFERROR(INDEX(종합!Q$3:Q$501,MATCH(ROW()-2,종합!$AD$3:$AD$501,0))&amp;"","")</f>
        <v/>
      </c>
      <c r="R365" s="21" t="str">
        <f aca="false">IFERROR(INDEX(종합!R$3:R$501,MATCH(ROW()-2,종합!$AD$3:$AD$501,0))&amp;"","")</f>
        <v/>
      </c>
      <c r="S365" s="21" t="str">
        <f aca="false">IFERROR(INDEX(종합!S$3:S$501,MATCH(ROW()-2,종합!$AD$3:$AD$501,0))&amp;"","")</f>
        <v/>
      </c>
      <c r="T365" s="21" t="str">
        <f aca="false">IFERROR(INDEX(종합!T$3:T$501,MATCH(ROW()-2,종합!$AD$3:$AD$501,0))&amp;"","")</f>
        <v/>
      </c>
      <c r="U365" s="21" t="str">
        <f aca="false">IFERROR(INDEX(종합!U$3:U$501,MATCH(ROW()-2,종합!$AD$3:$AD$501,0))&amp;"","")</f>
        <v/>
      </c>
      <c r="V365" s="21" t="str">
        <f aca="false">IFERROR(INDEX(종합!V$3:V$501,MATCH(ROW()-2,종합!$AD$3:$AD$501,0))&amp;"","")</f>
        <v/>
      </c>
      <c r="W365" s="21" t="str">
        <f aca="false">IFERROR(INDEX(종합!W$3:W$501,MATCH(ROW()-2,종합!$AD$3:$AD$501,0))&amp;"","")</f>
        <v/>
      </c>
      <c r="X365" s="21" t="str">
        <f aca="false">IFERROR(INDEX(종합!X$3:X$501,MATCH(ROW()-2,종합!$AD$3:$AD$501,0))&amp;"","")</f>
        <v/>
      </c>
      <c r="Y365" s="21" t="str">
        <f aca="false">IFERROR(INDEX(종합!Y$3:Y$501,MATCH(ROW()-2,종합!$AD$3:$AD$501,0))&amp;"","")</f>
        <v/>
      </c>
      <c r="Z365" s="21" t="str">
        <f aca="false">IFERROR(INDEX(종합!Z$3:Z$501,MATCH(ROW()-2,종합!$AD$3:$AD$501,0))&amp;"","")</f>
        <v/>
      </c>
      <c r="AA365" s="23" t="str">
        <f aca="false">IFERROR(INDEX(종합!AA$3:AA$501,MATCH(ROW()-2,종합!$AD$3:$AD$501,0))&amp;"","")</f>
        <v/>
      </c>
    </row>
    <row r="366" customFormat="false" ht="16.5" hidden="false" customHeight="true" outlineLevel="0" collapsed="false">
      <c r="A366" s="18" t="str">
        <f aca="false">IF(B366="","",ROW()-2)</f>
        <v/>
      </c>
      <c r="B366" s="18" t="str">
        <f aca="false">IFERROR(INDEX(종합!B$3:B$501,MATCH(ROW()-2,종합!$AD$3:$AD$501,0))&amp;"","")</f>
        <v/>
      </c>
      <c r="C366" s="18" t="str">
        <f aca="false">IFERROR(INDEX(종합!C$3:C$501,MATCH(ROW()-2,종합!$AD$3:$AD$501,0))&amp;"","")</f>
        <v/>
      </c>
      <c r="D366" s="18" t="str">
        <f aca="false">IFERROR(INDEX(종합!D$3:D$501,MATCH(ROW()-2,종합!$AD$3:$AD$501,0))&amp;"","")</f>
        <v/>
      </c>
      <c r="E366" s="18" t="str">
        <f aca="false">IFERROR(INDEX(종합!E$3:E$501,MATCH(ROW()-2,종합!$AD$3:$AD$501,0))&amp;"","")</f>
        <v/>
      </c>
      <c r="F366" s="18" t="str">
        <f aca="false">IFERROR(INDEX(종합!F$3:F$501,MATCH(ROW()-2,종합!$AD$3:$AD$501,0))&amp;"","")</f>
        <v/>
      </c>
      <c r="G366" s="18" t="str">
        <f aca="false">IFERROR(INDEX(종합!G$3:G$501,MATCH(ROW()-2,종합!$AD$3:$AD$501,0))&amp;"","")</f>
        <v/>
      </c>
      <c r="H366" s="21" t="str">
        <f aca="false">IFERROR(INDEX(종합!H$3:H$501,MATCH(ROW()-2,종합!$AD$3:$AD$501,0))&amp;"","")</f>
        <v/>
      </c>
      <c r="I366" s="21" t="str">
        <f aca="false">IFERROR(INDEX(종합!I$3:I$501,MATCH(ROW()-2,종합!$AD$3:$AD$501,0))&amp;"","")</f>
        <v/>
      </c>
      <c r="J366" s="21" t="str">
        <f aca="false">IFERROR(INDEX(종합!J$3:J$501,MATCH(ROW()-2,종합!$AD$3:$AD$501,0))&amp;"","")</f>
        <v/>
      </c>
      <c r="K366" s="21" t="str">
        <f aca="false">IFERROR(INDEX(종합!K$3:K$501,MATCH(ROW()-2,종합!$AD$3:$AD$501,0))&amp;"","")</f>
        <v/>
      </c>
      <c r="L366" s="21" t="str">
        <f aca="false">IFERROR(INDEX(종합!L$3:L$501,MATCH(ROW()-2,종합!$AD$3:$AD$501,0))&amp;"","")</f>
        <v/>
      </c>
      <c r="M366" s="21" t="str">
        <f aca="false">IFERROR(INDEX(종합!M$3:M$501,MATCH(ROW()-2,종합!$AD$3:$AD$501,0))&amp;"","")</f>
        <v/>
      </c>
      <c r="N366" s="25" t="str">
        <f aca="false">IFERROR(INDEX(종합!N$3:N$501,MATCH(ROW()-2,종합!$AD$3:$AD$501,0))&amp;"","")</f>
        <v/>
      </c>
      <c r="O366" s="21" t="str">
        <f aca="false">IFERROR(INDEX(종합!O$3:O$501,MATCH(ROW()-2,종합!$AD$3:$AD$501,0))&amp;"","")</f>
        <v/>
      </c>
      <c r="P366" s="21" t="str">
        <f aca="false">IFERROR(INDEX(종합!P$3:P$501,MATCH(ROW()-2,종합!$AD$3:$AD$501,0))&amp;"","")</f>
        <v/>
      </c>
      <c r="Q366" s="21" t="str">
        <f aca="false">IFERROR(INDEX(종합!Q$3:Q$501,MATCH(ROW()-2,종합!$AD$3:$AD$501,0))&amp;"","")</f>
        <v/>
      </c>
      <c r="R366" s="21" t="str">
        <f aca="false">IFERROR(INDEX(종합!R$3:R$501,MATCH(ROW()-2,종합!$AD$3:$AD$501,0))&amp;"","")</f>
        <v/>
      </c>
      <c r="S366" s="21" t="str">
        <f aca="false">IFERROR(INDEX(종합!S$3:S$501,MATCH(ROW()-2,종합!$AD$3:$AD$501,0))&amp;"","")</f>
        <v/>
      </c>
      <c r="T366" s="21" t="str">
        <f aca="false">IFERROR(INDEX(종합!T$3:T$501,MATCH(ROW()-2,종합!$AD$3:$AD$501,0))&amp;"","")</f>
        <v/>
      </c>
      <c r="U366" s="21" t="str">
        <f aca="false">IFERROR(INDEX(종합!U$3:U$501,MATCH(ROW()-2,종합!$AD$3:$AD$501,0))&amp;"","")</f>
        <v/>
      </c>
      <c r="V366" s="21" t="str">
        <f aca="false">IFERROR(INDEX(종합!V$3:V$501,MATCH(ROW()-2,종합!$AD$3:$AD$501,0))&amp;"","")</f>
        <v/>
      </c>
      <c r="W366" s="21" t="str">
        <f aca="false">IFERROR(INDEX(종합!W$3:W$501,MATCH(ROW()-2,종합!$AD$3:$AD$501,0))&amp;"","")</f>
        <v/>
      </c>
      <c r="X366" s="21" t="str">
        <f aca="false">IFERROR(INDEX(종합!X$3:X$501,MATCH(ROW()-2,종합!$AD$3:$AD$501,0))&amp;"","")</f>
        <v/>
      </c>
      <c r="Y366" s="21" t="str">
        <f aca="false">IFERROR(INDEX(종합!Y$3:Y$501,MATCH(ROW()-2,종합!$AD$3:$AD$501,0))&amp;"","")</f>
        <v/>
      </c>
      <c r="Z366" s="21" t="str">
        <f aca="false">IFERROR(INDEX(종합!Z$3:Z$501,MATCH(ROW()-2,종합!$AD$3:$AD$501,0))&amp;"","")</f>
        <v/>
      </c>
      <c r="AA366" s="23" t="str">
        <f aca="false">IFERROR(INDEX(종합!AA$3:AA$501,MATCH(ROW()-2,종합!$AD$3:$AD$501,0))&amp;"","")</f>
        <v/>
      </c>
    </row>
    <row r="367" customFormat="false" ht="16.5" hidden="false" customHeight="true" outlineLevel="0" collapsed="false">
      <c r="A367" s="18" t="str">
        <f aca="false">IF(B367="","",ROW()-2)</f>
        <v/>
      </c>
      <c r="B367" s="18" t="str">
        <f aca="false">IFERROR(INDEX(종합!B$3:B$501,MATCH(ROW()-2,종합!$AD$3:$AD$501,0))&amp;"","")</f>
        <v/>
      </c>
      <c r="C367" s="18" t="str">
        <f aca="false">IFERROR(INDEX(종합!C$3:C$501,MATCH(ROW()-2,종합!$AD$3:$AD$501,0))&amp;"","")</f>
        <v/>
      </c>
      <c r="D367" s="18" t="str">
        <f aca="false">IFERROR(INDEX(종합!D$3:D$501,MATCH(ROW()-2,종합!$AD$3:$AD$501,0))&amp;"","")</f>
        <v/>
      </c>
      <c r="E367" s="18" t="str">
        <f aca="false">IFERROR(INDEX(종합!E$3:E$501,MATCH(ROW()-2,종합!$AD$3:$AD$501,0))&amp;"","")</f>
        <v/>
      </c>
      <c r="F367" s="18" t="str">
        <f aca="false">IFERROR(INDEX(종합!F$3:F$501,MATCH(ROW()-2,종합!$AD$3:$AD$501,0))&amp;"","")</f>
        <v/>
      </c>
      <c r="G367" s="18" t="str">
        <f aca="false">IFERROR(INDEX(종합!G$3:G$501,MATCH(ROW()-2,종합!$AD$3:$AD$501,0))&amp;"","")</f>
        <v/>
      </c>
      <c r="H367" s="21" t="str">
        <f aca="false">IFERROR(INDEX(종합!H$3:H$501,MATCH(ROW()-2,종합!$AD$3:$AD$501,0))&amp;"","")</f>
        <v/>
      </c>
      <c r="I367" s="21" t="str">
        <f aca="false">IFERROR(INDEX(종합!I$3:I$501,MATCH(ROW()-2,종합!$AD$3:$AD$501,0))&amp;"","")</f>
        <v/>
      </c>
      <c r="J367" s="21" t="str">
        <f aca="false">IFERROR(INDEX(종합!J$3:J$501,MATCH(ROW()-2,종합!$AD$3:$AD$501,0))&amp;"","")</f>
        <v/>
      </c>
      <c r="K367" s="21" t="str">
        <f aca="false">IFERROR(INDEX(종합!K$3:K$501,MATCH(ROW()-2,종합!$AD$3:$AD$501,0))&amp;"","")</f>
        <v/>
      </c>
      <c r="L367" s="21" t="str">
        <f aca="false">IFERROR(INDEX(종합!L$3:L$501,MATCH(ROW()-2,종합!$AD$3:$AD$501,0))&amp;"","")</f>
        <v/>
      </c>
      <c r="M367" s="21" t="str">
        <f aca="false">IFERROR(INDEX(종합!M$3:M$501,MATCH(ROW()-2,종합!$AD$3:$AD$501,0))&amp;"","")</f>
        <v/>
      </c>
      <c r="N367" s="25" t="str">
        <f aca="false">IFERROR(INDEX(종합!N$3:N$501,MATCH(ROW()-2,종합!$AD$3:$AD$501,0))&amp;"","")</f>
        <v/>
      </c>
      <c r="O367" s="21" t="str">
        <f aca="false">IFERROR(INDEX(종합!O$3:O$501,MATCH(ROW()-2,종합!$AD$3:$AD$501,0))&amp;"","")</f>
        <v/>
      </c>
      <c r="P367" s="21" t="str">
        <f aca="false">IFERROR(INDEX(종합!P$3:P$501,MATCH(ROW()-2,종합!$AD$3:$AD$501,0))&amp;"","")</f>
        <v/>
      </c>
      <c r="Q367" s="21" t="str">
        <f aca="false">IFERROR(INDEX(종합!Q$3:Q$501,MATCH(ROW()-2,종합!$AD$3:$AD$501,0))&amp;"","")</f>
        <v/>
      </c>
      <c r="R367" s="21" t="str">
        <f aca="false">IFERROR(INDEX(종합!R$3:R$501,MATCH(ROW()-2,종합!$AD$3:$AD$501,0))&amp;"","")</f>
        <v/>
      </c>
      <c r="S367" s="21" t="str">
        <f aca="false">IFERROR(INDEX(종합!S$3:S$501,MATCH(ROW()-2,종합!$AD$3:$AD$501,0))&amp;"","")</f>
        <v/>
      </c>
      <c r="T367" s="21" t="str">
        <f aca="false">IFERROR(INDEX(종합!T$3:T$501,MATCH(ROW()-2,종합!$AD$3:$AD$501,0))&amp;"","")</f>
        <v/>
      </c>
      <c r="U367" s="21" t="str">
        <f aca="false">IFERROR(INDEX(종합!U$3:U$501,MATCH(ROW()-2,종합!$AD$3:$AD$501,0))&amp;"","")</f>
        <v/>
      </c>
      <c r="V367" s="21" t="str">
        <f aca="false">IFERROR(INDEX(종합!V$3:V$501,MATCH(ROW()-2,종합!$AD$3:$AD$501,0))&amp;"","")</f>
        <v/>
      </c>
      <c r="W367" s="21" t="str">
        <f aca="false">IFERROR(INDEX(종합!W$3:W$501,MATCH(ROW()-2,종합!$AD$3:$AD$501,0))&amp;"","")</f>
        <v/>
      </c>
      <c r="X367" s="21" t="str">
        <f aca="false">IFERROR(INDEX(종합!X$3:X$501,MATCH(ROW()-2,종합!$AD$3:$AD$501,0))&amp;"","")</f>
        <v/>
      </c>
      <c r="Y367" s="21" t="str">
        <f aca="false">IFERROR(INDEX(종합!Y$3:Y$501,MATCH(ROW()-2,종합!$AD$3:$AD$501,0))&amp;"","")</f>
        <v/>
      </c>
      <c r="Z367" s="21" t="str">
        <f aca="false">IFERROR(INDEX(종합!Z$3:Z$501,MATCH(ROW()-2,종합!$AD$3:$AD$501,0))&amp;"","")</f>
        <v/>
      </c>
      <c r="AA367" s="23" t="str">
        <f aca="false">IFERROR(INDEX(종합!AA$3:AA$501,MATCH(ROW()-2,종합!$AD$3:$AD$501,0))&amp;"","")</f>
        <v/>
      </c>
    </row>
    <row r="368" customFormat="false" ht="16.5" hidden="false" customHeight="true" outlineLevel="0" collapsed="false">
      <c r="A368" s="18" t="str">
        <f aca="false">IF(B368="","",ROW()-2)</f>
        <v/>
      </c>
      <c r="B368" s="18" t="str">
        <f aca="false">IFERROR(INDEX(종합!B$3:B$501,MATCH(ROW()-2,종합!$AD$3:$AD$501,0))&amp;"","")</f>
        <v/>
      </c>
      <c r="C368" s="18" t="str">
        <f aca="false">IFERROR(INDEX(종합!C$3:C$501,MATCH(ROW()-2,종합!$AD$3:$AD$501,0))&amp;"","")</f>
        <v/>
      </c>
      <c r="D368" s="18" t="str">
        <f aca="false">IFERROR(INDEX(종합!D$3:D$501,MATCH(ROW()-2,종합!$AD$3:$AD$501,0))&amp;"","")</f>
        <v/>
      </c>
      <c r="E368" s="18" t="str">
        <f aca="false">IFERROR(INDEX(종합!E$3:E$501,MATCH(ROW()-2,종합!$AD$3:$AD$501,0))&amp;"","")</f>
        <v/>
      </c>
      <c r="F368" s="18" t="str">
        <f aca="false">IFERROR(INDEX(종합!F$3:F$501,MATCH(ROW()-2,종합!$AD$3:$AD$501,0))&amp;"","")</f>
        <v/>
      </c>
      <c r="G368" s="18" t="str">
        <f aca="false">IFERROR(INDEX(종합!G$3:G$501,MATCH(ROW()-2,종합!$AD$3:$AD$501,0))&amp;"","")</f>
        <v/>
      </c>
      <c r="H368" s="21" t="str">
        <f aca="false">IFERROR(INDEX(종합!H$3:H$501,MATCH(ROW()-2,종합!$AD$3:$AD$501,0))&amp;"","")</f>
        <v/>
      </c>
      <c r="I368" s="21" t="str">
        <f aca="false">IFERROR(INDEX(종합!I$3:I$501,MATCH(ROW()-2,종합!$AD$3:$AD$501,0))&amp;"","")</f>
        <v/>
      </c>
      <c r="J368" s="21" t="str">
        <f aca="false">IFERROR(INDEX(종합!J$3:J$501,MATCH(ROW()-2,종합!$AD$3:$AD$501,0))&amp;"","")</f>
        <v/>
      </c>
      <c r="K368" s="21" t="str">
        <f aca="false">IFERROR(INDEX(종합!K$3:K$501,MATCH(ROW()-2,종합!$AD$3:$AD$501,0))&amp;"","")</f>
        <v/>
      </c>
      <c r="L368" s="21" t="str">
        <f aca="false">IFERROR(INDEX(종합!L$3:L$501,MATCH(ROW()-2,종합!$AD$3:$AD$501,0))&amp;"","")</f>
        <v/>
      </c>
      <c r="M368" s="21" t="str">
        <f aca="false">IFERROR(INDEX(종합!M$3:M$501,MATCH(ROW()-2,종합!$AD$3:$AD$501,0))&amp;"","")</f>
        <v/>
      </c>
      <c r="N368" s="25" t="str">
        <f aca="false">IFERROR(INDEX(종합!N$3:N$501,MATCH(ROW()-2,종합!$AD$3:$AD$501,0))&amp;"","")</f>
        <v/>
      </c>
      <c r="O368" s="21" t="str">
        <f aca="false">IFERROR(INDEX(종합!O$3:O$501,MATCH(ROW()-2,종합!$AD$3:$AD$501,0))&amp;"","")</f>
        <v/>
      </c>
      <c r="P368" s="21" t="str">
        <f aca="false">IFERROR(INDEX(종합!P$3:P$501,MATCH(ROW()-2,종합!$AD$3:$AD$501,0))&amp;"","")</f>
        <v/>
      </c>
      <c r="Q368" s="21" t="str">
        <f aca="false">IFERROR(INDEX(종합!Q$3:Q$501,MATCH(ROW()-2,종합!$AD$3:$AD$501,0))&amp;"","")</f>
        <v/>
      </c>
      <c r="R368" s="21" t="str">
        <f aca="false">IFERROR(INDEX(종합!R$3:R$501,MATCH(ROW()-2,종합!$AD$3:$AD$501,0))&amp;"","")</f>
        <v/>
      </c>
      <c r="S368" s="21" t="str">
        <f aca="false">IFERROR(INDEX(종합!S$3:S$501,MATCH(ROW()-2,종합!$AD$3:$AD$501,0))&amp;"","")</f>
        <v/>
      </c>
      <c r="T368" s="21" t="str">
        <f aca="false">IFERROR(INDEX(종합!T$3:T$501,MATCH(ROW()-2,종합!$AD$3:$AD$501,0))&amp;"","")</f>
        <v/>
      </c>
      <c r="U368" s="21" t="str">
        <f aca="false">IFERROR(INDEX(종합!U$3:U$501,MATCH(ROW()-2,종합!$AD$3:$AD$501,0))&amp;"","")</f>
        <v/>
      </c>
      <c r="V368" s="21" t="str">
        <f aca="false">IFERROR(INDEX(종합!V$3:V$501,MATCH(ROW()-2,종합!$AD$3:$AD$501,0))&amp;"","")</f>
        <v/>
      </c>
      <c r="W368" s="21" t="str">
        <f aca="false">IFERROR(INDEX(종합!W$3:W$501,MATCH(ROW()-2,종합!$AD$3:$AD$501,0))&amp;"","")</f>
        <v/>
      </c>
      <c r="X368" s="21" t="str">
        <f aca="false">IFERROR(INDEX(종합!X$3:X$501,MATCH(ROW()-2,종합!$AD$3:$AD$501,0))&amp;"","")</f>
        <v/>
      </c>
      <c r="Y368" s="21" t="str">
        <f aca="false">IFERROR(INDEX(종합!Y$3:Y$501,MATCH(ROW()-2,종합!$AD$3:$AD$501,0))&amp;"","")</f>
        <v/>
      </c>
      <c r="Z368" s="21" t="str">
        <f aca="false">IFERROR(INDEX(종합!Z$3:Z$501,MATCH(ROW()-2,종합!$AD$3:$AD$501,0))&amp;"","")</f>
        <v/>
      </c>
      <c r="AA368" s="23" t="str">
        <f aca="false">IFERROR(INDEX(종합!AA$3:AA$501,MATCH(ROW()-2,종합!$AD$3:$AD$501,0))&amp;"","")</f>
        <v/>
      </c>
    </row>
    <row r="369" customFormat="false" ht="16.5" hidden="false" customHeight="true" outlineLevel="0" collapsed="false">
      <c r="A369" s="18" t="str">
        <f aca="false">IF(B369="","",ROW()-2)</f>
        <v/>
      </c>
      <c r="B369" s="18" t="str">
        <f aca="false">IFERROR(INDEX(종합!B$3:B$501,MATCH(ROW()-2,종합!$AD$3:$AD$501,0))&amp;"","")</f>
        <v/>
      </c>
      <c r="C369" s="18" t="str">
        <f aca="false">IFERROR(INDEX(종합!C$3:C$501,MATCH(ROW()-2,종합!$AD$3:$AD$501,0))&amp;"","")</f>
        <v/>
      </c>
      <c r="D369" s="18" t="str">
        <f aca="false">IFERROR(INDEX(종합!D$3:D$501,MATCH(ROW()-2,종합!$AD$3:$AD$501,0))&amp;"","")</f>
        <v/>
      </c>
      <c r="E369" s="18" t="str">
        <f aca="false">IFERROR(INDEX(종합!E$3:E$501,MATCH(ROW()-2,종합!$AD$3:$AD$501,0))&amp;"","")</f>
        <v/>
      </c>
      <c r="F369" s="18" t="str">
        <f aca="false">IFERROR(INDEX(종합!F$3:F$501,MATCH(ROW()-2,종합!$AD$3:$AD$501,0))&amp;"","")</f>
        <v/>
      </c>
      <c r="G369" s="18" t="str">
        <f aca="false">IFERROR(INDEX(종합!G$3:G$501,MATCH(ROW()-2,종합!$AD$3:$AD$501,0))&amp;"","")</f>
        <v/>
      </c>
      <c r="H369" s="21" t="str">
        <f aca="false">IFERROR(INDEX(종합!H$3:H$501,MATCH(ROW()-2,종합!$AD$3:$AD$501,0))&amp;"","")</f>
        <v/>
      </c>
      <c r="I369" s="21" t="str">
        <f aca="false">IFERROR(INDEX(종합!I$3:I$501,MATCH(ROW()-2,종합!$AD$3:$AD$501,0))&amp;"","")</f>
        <v/>
      </c>
      <c r="J369" s="21" t="str">
        <f aca="false">IFERROR(INDEX(종합!J$3:J$501,MATCH(ROW()-2,종합!$AD$3:$AD$501,0))&amp;"","")</f>
        <v/>
      </c>
      <c r="K369" s="21" t="str">
        <f aca="false">IFERROR(INDEX(종합!K$3:K$501,MATCH(ROW()-2,종합!$AD$3:$AD$501,0))&amp;"","")</f>
        <v/>
      </c>
      <c r="L369" s="21" t="str">
        <f aca="false">IFERROR(INDEX(종합!L$3:L$501,MATCH(ROW()-2,종합!$AD$3:$AD$501,0))&amp;"","")</f>
        <v/>
      </c>
      <c r="M369" s="21" t="str">
        <f aca="false">IFERROR(INDEX(종합!M$3:M$501,MATCH(ROW()-2,종합!$AD$3:$AD$501,0))&amp;"","")</f>
        <v/>
      </c>
      <c r="N369" s="25" t="str">
        <f aca="false">IFERROR(INDEX(종합!N$3:N$501,MATCH(ROW()-2,종합!$AD$3:$AD$501,0))&amp;"","")</f>
        <v/>
      </c>
      <c r="O369" s="21" t="str">
        <f aca="false">IFERROR(INDEX(종합!O$3:O$501,MATCH(ROW()-2,종합!$AD$3:$AD$501,0))&amp;"","")</f>
        <v/>
      </c>
      <c r="P369" s="21" t="str">
        <f aca="false">IFERROR(INDEX(종합!P$3:P$501,MATCH(ROW()-2,종합!$AD$3:$AD$501,0))&amp;"","")</f>
        <v/>
      </c>
      <c r="Q369" s="21" t="str">
        <f aca="false">IFERROR(INDEX(종합!Q$3:Q$501,MATCH(ROW()-2,종합!$AD$3:$AD$501,0))&amp;"","")</f>
        <v/>
      </c>
      <c r="R369" s="21" t="str">
        <f aca="false">IFERROR(INDEX(종합!R$3:R$501,MATCH(ROW()-2,종합!$AD$3:$AD$501,0))&amp;"","")</f>
        <v/>
      </c>
      <c r="S369" s="21" t="str">
        <f aca="false">IFERROR(INDEX(종합!S$3:S$501,MATCH(ROW()-2,종합!$AD$3:$AD$501,0))&amp;"","")</f>
        <v/>
      </c>
      <c r="T369" s="21" t="str">
        <f aca="false">IFERROR(INDEX(종합!T$3:T$501,MATCH(ROW()-2,종합!$AD$3:$AD$501,0))&amp;"","")</f>
        <v/>
      </c>
      <c r="U369" s="21" t="str">
        <f aca="false">IFERROR(INDEX(종합!U$3:U$501,MATCH(ROW()-2,종합!$AD$3:$AD$501,0))&amp;"","")</f>
        <v/>
      </c>
      <c r="V369" s="21" t="str">
        <f aca="false">IFERROR(INDEX(종합!V$3:V$501,MATCH(ROW()-2,종합!$AD$3:$AD$501,0))&amp;"","")</f>
        <v/>
      </c>
      <c r="W369" s="21" t="str">
        <f aca="false">IFERROR(INDEX(종합!W$3:W$501,MATCH(ROW()-2,종합!$AD$3:$AD$501,0))&amp;"","")</f>
        <v/>
      </c>
      <c r="X369" s="21" t="str">
        <f aca="false">IFERROR(INDEX(종합!X$3:X$501,MATCH(ROW()-2,종합!$AD$3:$AD$501,0))&amp;"","")</f>
        <v/>
      </c>
      <c r="Y369" s="21" t="str">
        <f aca="false">IFERROR(INDEX(종합!Y$3:Y$501,MATCH(ROW()-2,종합!$AD$3:$AD$501,0))&amp;"","")</f>
        <v/>
      </c>
      <c r="Z369" s="21" t="str">
        <f aca="false">IFERROR(INDEX(종합!Z$3:Z$501,MATCH(ROW()-2,종합!$AD$3:$AD$501,0))&amp;"","")</f>
        <v/>
      </c>
      <c r="AA369" s="23" t="str">
        <f aca="false">IFERROR(INDEX(종합!AA$3:AA$501,MATCH(ROW()-2,종합!$AD$3:$AD$501,0))&amp;"","")</f>
        <v/>
      </c>
    </row>
    <row r="370" customFormat="false" ht="16.5" hidden="false" customHeight="true" outlineLevel="0" collapsed="false">
      <c r="A370" s="18" t="str">
        <f aca="false">IF(B370="","",ROW()-2)</f>
        <v/>
      </c>
      <c r="B370" s="18" t="str">
        <f aca="false">IFERROR(INDEX(종합!B$3:B$501,MATCH(ROW()-2,종합!$AD$3:$AD$501,0))&amp;"","")</f>
        <v/>
      </c>
      <c r="C370" s="18" t="str">
        <f aca="false">IFERROR(INDEX(종합!C$3:C$501,MATCH(ROW()-2,종합!$AD$3:$AD$501,0))&amp;"","")</f>
        <v/>
      </c>
      <c r="D370" s="18" t="str">
        <f aca="false">IFERROR(INDEX(종합!D$3:D$501,MATCH(ROW()-2,종합!$AD$3:$AD$501,0))&amp;"","")</f>
        <v/>
      </c>
      <c r="E370" s="18" t="str">
        <f aca="false">IFERROR(INDEX(종합!E$3:E$501,MATCH(ROW()-2,종합!$AD$3:$AD$501,0))&amp;"","")</f>
        <v/>
      </c>
      <c r="F370" s="18" t="str">
        <f aca="false">IFERROR(INDEX(종합!F$3:F$501,MATCH(ROW()-2,종합!$AD$3:$AD$501,0))&amp;"","")</f>
        <v/>
      </c>
      <c r="G370" s="18" t="str">
        <f aca="false">IFERROR(INDEX(종합!G$3:G$501,MATCH(ROW()-2,종합!$AD$3:$AD$501,0))&amp;"","")</f>
        <v/>
      </c>
      <c r="H370" s="21" t="str">
        <f aca="false">IFERROR(INDEX(종합!H$3:H$501,MATCH(ROW()-2,종합!$AD$3:$AD$501,0))&amp;"","")</f>
        <v/>
      </c>
      <c r="I370" s="21" t="str">
        <f aca="false">IFERROR(INDEX(종합!I$3:I$501,MATCH(ROW()-2,종합!$AD$3:$AD$501,0))&amp;"","")</f>
        <v/>
      </c>
      <c r="J370" s="21" t="str">
        <f aca="false">IFERROR(INDEX(종합!J$3:J$501,MATCH(ROW()-2,종합!$AD$3:$AD$501,0))&amp;"","")</f>
        <v/>
      </c>
      <c r="K370" s="21" t="str">
        <f aca="false">IFERROR(INDEX(종합!K$3:K$501,MATCH(ROW()-2,종합!$AD$3:$AD$501,0))&amp;"","")</f>
        <v/>
      </c>
      <c r="L370" s="21" t="str">
        <f aca="false">IFERROR(INDEX(종합!L$3:L$501,MATCH(ROW()-2,종합!$AD$3:$AD$501,0))&amp;"","")</f>
        <v/>
      </c>
      <c r="M370" s="21" t="str">
        <f aca="false">IFERROR(INDEX(종합!M$3:M$501,MATCH(ROW()-2,종합!$AD$3:$AD$501,0))&amp;"","")</f>
        <v/>
      </c>
      <c r="N370" s="25" t="str">
        <f aca="false">IFERROR(INDEX(종합!N$3:N$501,MATCH(ROW()-2,종합!$AD$3:$AD$501,0))&amp;"","")</f>
        <v/>
      </c>
      <c r="O370" s="21" t="str">
        <f aca="false">IFERROR(INDEX(종합!O$3:O$501,MATCH(ROW()-2,종합!$AD$3:$AD$501,0))&amp;"","")</f>
        <v/>
      </c>
      <c r="P370" s="21" t="str">
        <f aca="false">IFERROR(INDEX(종합!P$3:P$501,MATCH(ROW()-2,종합!$AD$3:$AD$501,0))&amp;"","")</f>
        <v/>
      </c>
      <c r="Q370" s="21" t="str">
        <f aca="false">IFERROR(INDEX(종합!Q$3:Q$501,MATCH(ROW()-2,종합!$AD$3:$AD$501,0))&amp;"","")</f>
        <v/>
      </c>
      <c r="R370" s="21" t="str">
        <f aca="false">IFERROR(INDEX(종합!R$3:R$501,MATCH(ROW()-2,종합!$AD$3:$AD$501,0))&amp;"","")</f>
        <v/>
      </c>
      <c r="S370" s="21" t="str">
        <f aca="false">IFERROR(INDEX(종합!S$3:S$501,MATCH(ROW()-2,종합!$AD$3:$AD$501,0))&amp;"","")</f>
        <v/>
      </c>
      <c r="T370" s="21" t="str">
        <f aca="false">IFERROR(INDEX(종합!T$3:T$501,MATCH(ROW()-2,종합!$AD$3:$AD$501,0))&amp;"","")</f>
        <v/>
      </c>
      <c r="U370" s="21" t="str">
        <f aca="false">IFERROR(INDEX(종합!U$3:U$501,MATCH(ROW()-2,종합!$AD$3:$AD$501,0))&amp;"","")</f>
        <v/>
      </c>
      <c r="V370" s="21" t="str">
        <f aca="false">IFERROR(INDEX(종합!V$3:V$501,MATCH(ROW()-2,종합!$AD$3:$AD$501,0))&amp;"","")</f>
        <v/>
      </c>
      <c r="W370" s="21" t="str">
        <f aca="false">IFERROR(INDEX(종합!W$3:W$501,MATCH(ROW()-2,종합!$AD$3:$AD$501,0))&amp;"","")</f>
        <v/>
      </c>
      <c r="X370" s="21" t="str">
        <f aca="false">IFERROR(INDEX(종합!X$3:X$501,MATCH(ROW()-2,종합!$AD$3:$AD$501,0))&amp;"","")</f>
        <v/>
      </c>
      <c r="Y370" s="21" t="str">
        <f aca="false">IFERROR(INDEX(종합!Y$3:Y$501,MATCH(ROW()-2,종합!$AD$3:$AD$501,0))&amp;"","")</f>
        <v/>
      </c>
      <c r="Z370" s="21" t="str">
        <f aca="false">IFERROR(INDEX(종합!Z$3:Z$501,MATCH(ROW()-2,종합!$AD$3:$AD$501,0))&amp;"","")</f>
        <v/>
      </c>
      <c r="AA370" s="23" t="str">
        <f aca="false">IFERROR(INDEX(종합!AA$3:AA$501,MATCH(ROW()-2,종합!$AD$3:$AD$501,0))&amp;"","")</f>
        <v/>
      </c>
    </row>
    <row r="371" customFormat="false" ht="16.5" hidden="false" customHeight="true" outlineLevel="0" collapsed="false">
      <c r="A371" s="18" t="str">
        <f aca="false">IF(B371="","",ROW()-2)</f>
        <v/>
      </c>
      <c r="B371" s="18" t="str">
        <f aca="false">IFERROR(INDEX(종합!B$3:B$501,MATCH(ROW()-2,종합!$AD$3:$AD$501,0))&amp;"","")</f>
        <v/>
      </c>
      <c r="C371" s="18" t="str">
        <f aca="false">IFERROR(INDEX(종합!C$3:C$501,MATCH(ROW()-2,종합!$AD$3:$AD$501,0))&amp;"","")</f>
        <v/>
      </c>
      <c r="D371" s="18" t="str">
        <f aca="false">IFERROR(INDEX(종합!D$3:D$501,MATCH(ROW()-2,종합!$AD$3:$AD$501,0))&amp;"","")</f>
        <v/>
      </c>
      <c r="E371" s="18" t="str">
        <f aca="false">IFERROR(INDEX(종합!E$3:E$501,MATCH(ROW()-2,종합!$AD$3:$AD$501,0))&amp;"","")</f>
        <v/>
      </c>
      <c r="F371" s="18" t="str">
        <f aca="false">IFERROR(INDEX(종합!F$3:F$501,MATCH(ROW()-2,종합!$AD$3:$AD$501,0))&amp;"","")</f>
        <v/>
      </c>
      <c r="G371" s="18" t="str">
        <f aca="false">IFERROR(INDEX(종합!G$3:G$501,MATCH(ROW()-2,종합!$AD$3:$AD$501,0))&amp;"","")</f>
        <v/>
      </c>
      <c r="H371" s="21" t="str">
        <f aca="false">IFERROR(INDEX(종합!H$3:H$501,MATCH(ROW()-2,종합!$AD$3:$AD$501,0))&amp;"","")</f>
        <v/>
      </c>
      <c r="I371" s="21" t="str">
        <f aca="false">IFERROR(INDEX(종합!I$3:I$501,MATCH(ROW()-2,종합!$AD$3:$AD$501,0))&amp;"","")</f>
        <v/>
      </c>
      <c r="J371" s="21" t="str">
        <f aca="false">IFERROR(INDEX(종합!J$3:J$501,MATCH(ROW()-2,종합!$AD$3:$AD$501,0))&amp;"","")</f>
        <v/>
      </c>
      <c r="K371" s="21" t="str">
        <f aca="false">IFERROR(INDEX(종합!K$3:K$501,MATCH(ROW()-2,종합!$AD$3:$AD$501,0))&amp;"","")</f>
        <v/>
      </c>
      <c r="L371" s="21" t="str">
        <f aca="false">IFERROR(INDEX(종합!L$3:L$501,MATCH(ROW()-2,종합!$AD$3:$AD$501,0))&amp;"","")</f>
        <v/>
      </c>
      <c r="M371" s="21" t="str">
        <f aca="false">IFERROR(INDEX(종합!M$3:M$501,MATCH(ROW()-2,종합!$AD$3:$AD$501,0))&amp;"","")</f>
        <v/>
      </c>
      <c r="N371" s="25" t="str">
        <f aca="false">IFERROR(INDEX(종합!N$3:N$501,MATCH(ROW()-2,종합!$AD$3:$AD$501,0))&amp;"","")</f>
        <v/>
      </c>
      <c r="O371" s="21" t="str">
        <f aca="false">IFERROR(INDEX(종합!O$3:O$501,MATCH(ROW()-2,종합!$AD$3:$AD$501,0))&amp;"","")</f>
        <v/>
      </c>
      <c r="P371" s="21" t="str">
        <f aca="false">IFERROR(INDEX(종합!P$3:P$501,MATCH(ROW()-2,종합!$AD$3:$AD$501,0))&amp;"","")</f>
        <v/>
      </c>
      <c r="Q371" s="21" t="str">
        <f aca="false">IFERROR(INDEX(종합!Q$3:Q$501,MATCH(ROW()-2,종합!$AD$3:$AD$501,0))&amp;"","")</f>
        <v/>
      </c>
      <c r="R371" s="21" t="str">
        <f aca="false">IFERROR(INDEX(종합!R$3:R$501,MATCH(ROW()-2,종합!$AD$3:$AD$501,0))&amp;"","")</f>
        <v/>
      </c>
      <c r="S371" s="21" t="str">
        <f aca="false">IFERROR(INDEX(종합!S$3:S$501,MATCH(ROW()-2,종합!$AD$3:$AD$501,0))&amp;"","")</f>
        <v/>
      </c>
      <c r="T371" s="21" t="str">
        <f aca="false">IFERROR(INDEX(종합!T$3:T$501,MATCH(ROW()-2,종합!$AD$3:$AD$501,0))&amp;"","")</f>
        <v/>
      </c>
      <c r="U371" s="21" t="str">
        <f aca="false">IFERROR(INDEX(종합!U$3:U$501,MATCH(ROW()-2,종합!$AD$3:$AD$501,0))&amp;"","")</f>
        <v/>
      </c>
      <c r="V371" s="21" t="str">
        <f aca="false">IFERROR(INDEX(종합!V$3:V$501,MATCH(ROW()-2,종합!$AD$3:$AD$501,0))&amp;"","")</f>
        <v/>
      </c>
      <c r="W371" s="21" t="str">
        <f aca="false">IFERROR(INDEX(종합!W$3:W$501,MATCH(ROW()-2,종합!$AD$3:$AD$501,0))&amp;"","")</f>
        <v/>
      </c>
      <c r="X371" s="21" t="str">
        <f aca="false">IFERROR(INDEX(종합!X$3:X$501,MATCH(ROW()-2,종합!$AD$3:$AD$501,0))&amp;"","")</f>
        <v/>
      </c>
      <c r="Y371" s="21" t="str">
        <f aca="false">IFERROR(INDEX(종합!Y$3:Y$501,MATCH(ROW()-2,종합!$AD$3:$AD$501,0))&amp;"","")</f>
        <v/>
      </c>
      <c r="Z371" s="21" t="str">
        <f aca="false">IFERROR(INDEX(종합!Z$3:Z$501,MATCH(ROW()-2,종합!$AD$3:$AD$501,0))&amp;"","")</f>
        <v/>
      </c>
      <c r="AA371" s="23" t="str">
        <f aca="false">IFERROR(INDEX(종합!AA$3:AA$501,MATCH(ROW()-2,종합!$AD$3:$AD$501,0))&amp;"","")</f>
        <v/>
      </c>
    </row>
    <row r="372" customFormat="false" ht="16.5" hidden="false" customHeight="true" outlineLevel="0" collapsed="false">
      <c r="A372" s="18" t="str">
        <f aca="false">IF(B372="","",ROW()-2)</f>
        <v/>
      </c>
      <c r="B372" s="18" t="str">
        <f aca="false">IFERROR(INDEX(종합!B$3:B$501,MATCH(ROW()-2,종합!$AD$3:$AD$501,0))&amp;"","")</f>
        <v/>
      </c>
      <c r="C372" s="18" t="str">
        <f aca="false">IFERROR(INDEX(종합!C$3:C$501,MATCH(ROW()-2,종합!$AD$3:$AD$501,0))&amp;"","")</f>
        <v/>
      </c>
      <c r="D372" s="18" t="str">
        <f aca="false">IFERROR(INDEX(종합!D$3:D$501,MATCH(ROW()-2,종합!$AD$3:$AD$501,0))&amp;"","")</f>
        <v/>
      </c>
      <c r="E372" s="18" t="str">
        <f aca="false">IFERROR(INDEX(종합!E$3:E$501,MATCH(ROW()-2,종합!$AD$3:$AD$501,0))&amp;"","")</f>
        <v/>
      </c>
      <c r="F372" s="18" t="str">
        <f aca="false">IFERROR(INDEX(종합!F$3:F$501,MATCH(ROW()-2,종합!$AD$3:$AD$501,0))&amp;"","")</f>
        <v/>
      </c>
      <c r="G372" s="18" t="str">
        <f aca="false">IFERROR(INDEX(종합!G$3:G$501,MATCH(ROW()-2,종합!$AD$3:$AD$501,0))&amp;"","")</f>
        <v/>
      </c>
      <c r="H372" s="21" t="str">
        <f aca="false">IFERROR(INDEX(종합!H$3:H$501,MATCH(ROW()-2,종합!$AD$3:$AD$501,0))&amp;"","")</f>
        <v/>
      </c>
      <c r="I372" s="21" t="str">
        <f aca="false">IFERROR(INDEX(종합!I$3:I$501,MATCH(ROW()-2,종합!$AD$3:$AD$501,0))&amp;"","")</f>
        <v/>
      </c>
      <c r="J372" s="21" t="str">
        <f aca="false">IFERROR(INDEX(종합!J$3:J$501,MATCH(ROW()-2,종합!$AD$3:$AD$501,0))&amp;"","")</f>
        <v/>
      </c>
      <c r="K372" s="21" t="str">
        <f aca="false">IFERROR(INDEX(종합!K$3:K$501,MATCH(ROW()-2,종합!$AD$3:$AD$501,0))&amp;"","")</f>
        <v/>
      </c>
      <c r="L372" s="21" t="str">
        <f aca="false">IFERROR(INDEX(종합!L$3:L$501,MATCH(ROW()-2,종합!$AD$3:$AD$501,0))&amp;"","")</f>
        <v/>
      </c>
      <c r="M372" s="21" t="str">
        <f aca="false">IFERROR(INDEX(종합!M$3:M$501,MATCH(ROW()-2,종합!$AD$3:$AD$501,0))&amp;"","")</f>
        <v/>
      </c>
      <c r="N372" s="25" t="str">
        <f aca="false">IFERROR(INDEX(종합!N$3:N$501,MATCH(ROW()-2,종합!$AD$3:$AD$501,0))&amp;"","")</f>
        <v/>
      </c>
      <c r="O372" s="21" t="str">
        <f aca="false">IFERROR(INDEX(종합!O$3:O$501,MATCH(ROW()-2,종합!$AD$3:$AD$501,0))&amp;"","")</f>
        <v/>
      </c>
      <c r="P372" s="21" t="str">
        <f aca="false">IFERROR(INDEX(종합!P$3:P$501,MATCH(ROW()-2,종합!$AD$3:$AD$501,0))&amp;"","")</f>
        <v/>
      </c>
      <c r="Q372" s="21" t="str">
        <f aca="false">IFERROR(INDEX(종합!Q$3:Q$501,MATCH(ROW()-2,종합!$AD$3:$AD$501,0))&amp;"","")</f>
        <v/>
      </c>
      <c r="R372" s="21" t="str">
        <f aca="false">IFERROR(INDEX(종합!R$3:R$501,MATCH(ROW()-2,종합!$AD$3:$AD$501,0))&amp;"","")</f>
        <v/>
      </c>
      <c r="S372" s="21" t="str">
        <f aca="false">IFERROR(INDEX(종합!S$3:S$501,MATCH(ROW()-2,종합!$AD$3:$AD$501,0))&amp;"","")</f>
        <v/>
      </c>
      <c r="T372" s="21" t="str">
        <f aca="false">IFERROR(INDEX(종합!T$3:T$501,MATCH(ROW()-2,종합!$AD$3:$AD$501,0))&amp;"","")</f>
        <v/>
      </c>
      <c r="U372" s="21" t="str">
        <f aca="false">IFERROR(INDEX(종합!U$3:U$501,MATCH(ROW()-2,종합!$AD$3:$AD$501,0))&amp;"","")</f>
        <v/>
      </c>
      <c r="V372" s="21" t="str">
        <f aca="false">IFERROR(INDEX(종합!V$3:V$501,MATCH(ROW()-2,종합!$AD$3:$AD$501,0))&amp;"","")</f>
        <v/>
      </c>
      <c r="W372" s="21" t="str">
        <f aca="false">IFERROR(INDEX(종합!W$3:W$501,MATCH(ROW()-2,종합!$AD$3:$AD$501,0))&amp;"","")</f>
        <v/>
      </c>
      <c r="X372" s="21" t="str">
        <f aca="false">IFERROR(INDEX(종합!X$3:X$501,MATCH(ROW()-2,종합!$AD$3:$AD$501,0))&amp;"","")</f>
        <v/>
      </c>
      <c r="Y372" s="21" t="str">
        <f aca="false">IFERROR(INDEX(종합!Y$3:Y$501,MATCH(ROW()-2,종합!$AD$3:$AD$501,0))&amp;"","")</f>
        <v/>
      </c>
      <c r="Z372" s="21" t="str">
        <f aca="false">IFERROR(INDEX(종합!Z$3:Z$501,MATCH(ROW()-2,종합!$AD$3:$AD$501,0))&amp;"","")</f>
        <v/>
      </c>
      <c r="AA372" s="23" t="str">
        <f aca="false">IFERROR(INDEX(종합!AA$3:AA$501,MATCH(ROW()-2,종합!$AD$3:$AD$501,0))&amp;"","")</f>
        <v/>
      </c>
    </row>
    <row r="373" customFormat="false" ht="16.5" hidden="false" customHeight="true" outlineLevel="0" collapsed="false">
      <c r="A373" s="18" t="str">
        <f aca="false">IF(B373="","",ROW()-2)</f>
        <v/>
      </c>
      <c r="B373" s="18" t="str">
        <f aca="false">IFERROR(INDEX(종합!B$3:B$501,MATCH(ROW()-2,종합!$AD$3:$AD$501,0))&amp;"","")</f>
        <v/>
      </c>
      <c r="C373" s="18" t="str">
        <f aca="false">IFERROR(INDEX(종합!C$3:C$501,MATCH(ROW()-2,종합!$AD$3:$AD$501,0))&amp;"","")</f>
        <v/>
      </c>
      <c r="D373" s="18" t="str">
        <f aca="false">IFERROR(INDEX(종합!D$3:D$501,MATCH(ROW()-2,종합!$AD$3:$AD$501,0))&amp;"","")</f>
        <v/>
      </c>
      <c r="E373" s="18" t="str">
        <f aca="false">IFERROR(INDEX(종합!E$3:E$501,MATCH(ROW()-2,종합!$AD$3:$AD$501,0))&amp;"","")</f>
        <v/>
      </c>
      <c r="F373" s="18" t="str">
        <f aca="false">IFERROR(INDEX(종합!F$3:F$501,MATCH(ROW()-2,종합!$AD$3:$AD$501,0))&amp;"","")</f>
        <v/>
      </c>
      <c r="G373" s="18" t="str">
        <f aca="false">IFERROR(INDEX(종합!G$3:G$501,MATCH(ROW()-2,종합!$AD$3:$AD$501,0))&amp;"","")</f>
        <v/>
      </c>
      <c r="H373" s="21" t="str">
        <f aca="false">IFERROR(INDEX(종합!H$3:H$501,MATCH(ROW()-2,종합!$AD$3:$AD$501,0))&amp;"","")</f>
        <v/>
      </c>
      <c r="I373" s="21" t="str">
        <f aca="false">IFERROR(INDEX(종합!I$3:I$501,MATCH(ROW()-2,종합!$AD$3:$AD$501,0))&amp;"","")</f>
        <v/>
      </c>
      <c r="J373" s="21" t="str">
        <f aca="false">IFERROR(INDEX(종합!J$3:J$501,MATCH(ROW()-2,종합!$AD$3:$AD$501,0))&amp;"","")</f>
        <v/>
      </c>
      <c r="K373" s="21" t="str">
        <f aca="false">IFERROR(INDEX(종합!K$3:K$501,MATCH(ROW()-2,종합!$AD$3:$AD$501,0))&amp;"","")</f>
        <v/>
      </c>
      <c r="L373" s="21" t="str">
        <f aca="false">IFERROR(INDEX(종합!L$3:L$501,MATCH(ROW()-2,종합!$AD$3:$AD$501,0))&amp;"","")</f>
        <v/>
      </c>
      <c r="M373" s="21" t="str">
        <f aca="false">IFERROR(INDEX(종합!M$3:M$501,MATCH(ROW()-2,종합!$AD$3:$AD$501,0))&amp;"","")</f>
        <v/>
      </c>
      <c r="N373" s="25" t="str">
        <f aca="false">IFERROR(INDEX(종합!N$3:N$501,MATCH(ROW()-2,종합!$AD$3:$AD$501,0))&amp;"","")</f>
        <v/>
      </c>
      <c r="O373" s="21" t="str">
        <f aca="false">IFERROR(INDEX(종합!O$3:O$501,MATCH(ROW()-2,종합!$AD$3:$AD$501,0))&amp;"","")</f>
        <v/>
      </c>
      <c r="P373" s="21" t="str">
        <f aca="false">IFERROR(INDEX(종합!P$3:P$501,MATCH(ROW()-2,종합!$AD$3:$AD$501,0))&amp;"","")</f>
        <v/>
      </c>
      <c r="Q373" s="21" t="str">
        <f aca="false">IFERROR(INDEX(종합!Q$3:Q$501,MATCH(ROW()-2,종합!$AD$3:$AD$501,0))&amp;"","")</f>
        <v/>
      </c>
      <c r="R373" s="21" t="str">
        <f aca="false">IFERROR(INDEX(종합!R$3:R$501,MATCH(ROW()-2,종합!$AD$3:$AD$501,0))&amp;"","")</f>
        <v/>
      </c>
      <c r="S373" s="21" t="str">
        <f aca="false">IFERROR(INDEX(종합!S$3:S$501,MATCH(ROW()-2,종합!$AD$3:$AD$501,0))&amp;"","")</f>
        <v/>
      </c>
      <c r="T373" s="21" t="str">
        <f aca="false">IFERROR(INDEX(종합!T$3:T$501,MATCH(ROW()-2,종합!$AD$3:$AD$501,0))&amp;"","")</f>
        <v/>
      </c>
      <c r="U373" s="21" t="str">
        <f aca="false">IFERROR(INDEX(종합!U$3:U$501,MATCH(ROW()-2,종합!$AD$3:$AD$501,0))&amp;"","")</f>
        <v/>
      </c>
      <c r="V373" s="21" t="str">
        <f aca="false">IFERROR(INDEX(종합!V$3:V$501,MATCH(ROW()-2,종합!$AD$3:$AD$501,0))&amp;"","")</f>
        <v/>
      </c>
      <c r="W373" s="21" t="str">
        <f aca="false">IFERROR(INDEX(종합!W$3:W$501,MATCH(ROW()-2,종합!$AD$3:$AD$501,0))&amp;"","")</f>
        <v/>
      </c>
      <c r="X373" s="21" t="str">
        <f aca="false">IFERROR(INDEX(종합!X$3:X$501,MATCH(ROW()-2,종합!$AD$3:$AD$501,0))&amp;"","")</f>
        <v/>
      </c>
      <c r="Y373" s="21" t="str">
        <f aca="false">IFERROR(INDEX(종합!Y$3:Y$501,MATCH(ROW()-2,종합!$AD$3:$AD$501,0))&amp;"","")</f>
        <v/>
      </c>
      <c r="Z373" s="21" t="str">
        <f aca="false">IFERROR(INDEX(종합!Z$3:Z$501,MATCH(ROW()-2,종합!$AD$3:$AD$501,0))&amp;"","")</f>
        <v/>
      </c>
      <c r="AA373" s="23" t="str">
        <f aca="false">IFERROR(INDEX(종합!AA$3:AA$501,MATCH(ROW()-2,종합!$AD$3:$AD$501,0))&amp;"","")</f>
        <v/>
      </c>
    </row>
    <row r="374" customFormat="false" ht="16.5" hidden="false" customHeight="true" outlineLevel="0" collapsed="false">
      <c r="A374" s="18" t="str">
        <f aca="false">IF(B374="","",ROW()-2)</f>
        <v/>
      </c>
      <c r="B374" s="18" t="str">
        <f aca="false">IFERROR(INDEX(종합!B$3:B$501,MATCH(ROW()-2,종합!$AD$3:$AD$501,0))&amp;"","")</f>
        <v/>
      </c>
      <c r="C374" s="18" t="str">
        <f aca="false">IFERROR(INDEX(종합!C$3:C$501,MATCH(ROW()-2,종합!$AD$3:$AD$501,0))&amp;"","")</f>
        <v/>
      </c>
      <c r="D374" s="18" t="str">
        <f aca="false">IFERROR(INDEX(종합!D$3:D$501,MATCH(ROW()-2,종합!$AD$3:$AD$501,0))&amp;"","")</f>
        <v/>
      </c>
      <c r="E374" s="18" t="str">
        <f aca="false">IFERROR(INDEX(종합!E$3:E$501,MATCH(ROW()-2,종합!$AD$3:$AD$501,0))&amp;"","")</f>
        <v/>
      </c>
      <c r="F374" s="18" t="str">
        <f aca="false">IFERROR(INDEX(종합!F$3:F$501,MATCH(ROW()-2,종합!$AD$3:$AD$501,0))&amp;"","")</f>
        <v/>
      </c>
      <c r="G374" s="18" t="str">
        <f aca="false">IFERROR(INDEX(종합!G$3:G$501,MATCH(ROW()-2,종합!$AD$3:$AD$501,0))&amp;"","")</f>
        <v/>
      </c>
      <c r="H374" s="21" t="str">
        <f aca="false">IFERROR(INDEX(종합!H$3:H$501,MATCH(ROW()-2,종합!$AD$3:$AD$501,0))&amp;"","")</f>
        <v/>
      </c>
      <c r="I374" s="21" t="str">
        <f aca="false">IFERROR(INDEX(종합!I$3:I$501,MATCH(ROW()-2,종합!$AD$3:$AD$501,0))&amp;"","")</f>
        <v/>
      </c>
      <c r="J374" s="21" t="str">
        <f aca="false">IFERROR(INDEX(종합!J$3:J$501,MATCH(ROW()-2,종합!$AD$3:$AD$501,0))&amp;"","")</f>
        <v/>
      </c>
      <c r="K374" s="21" t="str">
        <f aca="false">IFERROR(INDEX(종합!K$3:K$501,MATCH(ROW()-2,종합!$AD$3:$AD$501,0))&amp;"","")</f>
        <v/>
      </c>
      <c r="L374" s="21" t="str">
        <f aca="false">IFERROR(INDEX(종합!L$3:L$501,MATCH(ROW()-2,종합!$AD$3:$AD$501,0))&amp;"","")</f>
        <v/>
      </c>
      <c r="M374" s="21" t="str">
        <f aca="false">IFERROR(INDEX(종합!M$3:M$501,MATCH(ROW()-2,종합!$AD$3:$AD$501,0))&amp;"","")</f>
        <v/>
      </c>
      <c r="N374" s="25" t="str">
        <f aca="false">IFERROR(INDEX(종합!N$3:N$501,MATCH(ROW()-2,종합!$AD$3:$AD$501,0))&amp;"","")</f>
        <v/>
      </c>
      <c r="O374" s="21" t="str">
        <f aca="false">IFERROR(INDEX(종합!O$3:O$501,MATCH(ROW()-2,종합!$AD$3:$AD$501,0))&amp;"","")</f>
        <v/>
      </c>
      <c r="P374" s="21" t="str">
        <f aca="false">IFERROR(INDEX(종합!P$3:P$501,MATCH(ROW()-2,종합!$AD$3:$AD$501,0))&amp;"","")</f>
        <v/>
      </c>
      <c r="Q374" s="21" t="str">
        <f aca="false">IFERROR(INDEX(종합!Q$3:Q$501,MATCH(ROW()-2,종합!$AD$3:$AD$501,0))&amp;"","")</f>
        <v/>
      </c>
      <c r="R374" s="21" t="str">
        <f aca="false">IFERROR(INDEX(종합!R$3:R$501,MATCH(ROW()-2,종합!$AD$3:$AD$501,0))&amp;"","")</f>
        <v/>
      </c>
      <c r="S374" s="21" t="str">
        <f aca="false">IFERROR(INDEX(종합!S$3:S$501,MATCH(ROW()-2,종합!$AD$3:$AD$501,0))&amp;"","")</f>
        <v/>
      </c>
      <c r="T374" s="21" t="str">
        <f aca="false">IFERROR(INDEX(종합!T$3:T$501,MATCH(ROW()-2,종합!$AD$3:$AD$501,0))&amp;"","")</f>
        <v/>
      </c>
      <c r="U374" s="21" t="str">
        <f aca="false">IFERROR(INDEX(종합!U$3:U$501,MATCH(ROW()-2,종합!$AD$3:$AD$501,0))&amp;"","")</f>
        <v/>
      </c>
      <c r="V374" s="21" t="str">
        <f aca="false">IFERROR(INDEX(종합!V$3:V$501,MATCH(ROW()-2,종합!$AD$3:$AD$501,0))&amp;"","")</f>
        <v/>
      </c>
      <c r="W374" s="21" t="str">
        <f aca="false">IFERROR(INDEX(종합!W$3:W$501,MATCH(ROW()-2,종합!$AD$3:$AD$501,0))&amp;"","")</f>
        <v/>
      </c>
      <c r="X374" s="21" t="str">
        <f aca="false">IFERROR(INDEX(종합!X$3:X$501,MATCH(ROW()-2,종합!$AD$3:$AD$501,0))&amp;"","")</f>
        <v/>
      </c>
      <c r="Y374" s="21" t="str">
        <f aca="false">IFERROR(INDEX(종합!Y$3:Y$501,MATCH(ROW()-2,종합!$AD$3:$AD$501,0))&amp;"","")</f>
        <v/>
      </c>
      <c r="Z374" s="21" t="str">
        <f aca="false">IFERROR(INDEX(종합!Z$3:Z$501,MATCH(ROW()-2,종합!$AD$3:$AD$501,0))&amp;"","")</f>
        <v/>
      </c>
      <c r="AA374" s="23" t="str">
        <f aca="false">IFERROR(INDEX(종합!AA$3:AA$501,MATCH(ROW()-2,종합!$AD$3:$AD$501,0))&amp;"","")</f>
        <v/>
      </c>
    </row>
    <row r="375" customFormat="false" ht="16.5" hidden="false" customHeight="true" outlineLevel="0" collapsed="false">
      <c r="A375" s="18" t="str">
        <f aca="false">IF(B375="","",ROW()-2)</f>
        <v/>
      </c>
      <c r="B375" s="18" t="str">
        <f aca="false">IFERROR(INDEX(종합!B$3:B$501,MATCH(ROW()-2,종합!$AD$3:$AD$501,0))&amp;"","")</f>
        <v/>
      </c>
      <c r="C375" s="18" t="str">
        <f aca="false">IFERROR(INDEX(종합!C$3:C$501,MATCH(ROW()-2,종합!$AD$3:$AD$501,0))&amp;"","")</f>
        <v/>
      </c>
      <c r="D375" s="18" t="str">
        <f aca="false">IFERROR(INDEX(종합!D$3:D$501,MATCH(ROW()-2,종합!$AD$3:$AD$501,0))&amp;"","")</f>
        <v/>
      </c>
      <c r="E375" s="18" t="str">
        <f aca="false">IFERROR(INDEX(종합!E$3:E$501,MATCH(ROW()-2,종합!$AD$3:$AD$501,0))&amp;"","")</f>
        <v/>
      </c>
      <c r="F375" s="18" t="str">
        <f aca="false">IFERROR(INDEX(종합!F$3:F$501,MATCH(ROW()-2,종합!$AD$3:$AD$501,0))&amp;"","")</f>
        <v/>
      </c>
      <c r="G375" s="18" t="str">
        <f aca="false">IFERROR(INDEX(종합!G$3:G$501,MATCH(ROW()-2,종합!$AD$3:$AD$501,0))&amp;"","")</f>
        <v/>
      </c>
      <c r="H375" s="21" t="str">
        <f aca="false">IFERROR(INDEX(종합!H$3:H$501,MATCH(ROW()-2,종합!$AD$3:$AD$501,0))&amp;"","")</f>
        <v/>
      </c>
      <c r="I375" s="21" t="str">
        <f aca="false">IFERROR(INDEX(종합!I$3:I$501,MATCH(ROW()-2,종합!$AD$3:$AD$501,0))&amp;"","")</f>
        <v/>
      </c>
      <c r="J375" s="21" t="str">
        <f aca="false">IFERROR(INDEX(종합!J$3:J$501,MATCH(ROW()-2,종합!$AD$3:$AD$501,0))&amp;"","")</f>
        <v/>
      </c>
      <c r="K375" s="21" t="str">
        <f aca="false">IFERROR(INDEX(종합!K$3:K$501,MATCH(ROW()-2,종합!$AD$3:$AD$501,0))&amp;"","")</f>
        <v/>
      </c>
      <c r="L375" s="21" t="str">
        <f aca="false">IFERROR(INDEX(종합!L$3:L$501,MATCH(ROW()-2,종합!$AD$3:$AD$501,0))&amp;"","")</f>
        <v/>
      </c>
      <c r="M375" s="21" t="str">
        <f aca="false">IFERROR(INDEX(종합!M$3:M$501,MATCH(ROW()-2,종합!$AD$3:$AD$501,0))&amp;"","")</f>
        <v/>
      </c>
      <c r="N375" s="25" t="str">
        <f aca="false">IFERROR(INDEX(종합!N$3:N$501,MATCH(ROW()-2,종합!$AD$3:$AD$501,0))&amp;"","")</f>
        <v/>
      </c>
      <c r="O375" s="21" t="str">
        <f aca="false">IFERROR(INDEX(종합!O$3:O$501,MATCH(ROW()-2,종합!$AD$3:$AD$501,0))&amp;"","")</f>
        <v/>
      </c>
      <c r="P375" s="21" t="str">
        <f aca="false">IFERROR(INDEX(종합!P$3:P$501,MATCH(ROW()-2,종합!$AD$3:$AD$501,0))&amp;"","")</f>
        <v/>
      </c>
      <c r="Q375" s="21" t="str">
        <f aca="false">IFERROR(INDEX(종합!Q$3:Q$501,MATCH(ROW()-2,종합!$AD$3:$AD$501,0))&amp;"","")</f>
        <v/>
      </c>
      <c r="R375" s="21" t="str">
        <f aca="false">IFERROR(INDEX(종합!R$3:R$501,MATCH(ROW()-2,종합!$AD$3:$AD$501,0))&amp;"","")</f>
        <v/>
      </c>
      <c r="S375" s="21" t="str">
        <f aca="false">IFERROR(INDEX(종합!S$3:S$501,MATCH(ROW()-2,종합!$AD$3:$AD$501,0))&amp;"","")</f>
        <v/>
      </c>
      <c r="T375" s="21" t="str">
        <f aca="false">IFERROR(INDEX(종합!T$3:T$501,MATCH(ROW()-2,종합!$AD$3:$AD$501,0))&amp;"","")</f>
        <v/>
      </c>
      <c r="U375" s="21" t="str">
        <f aca="false">IFERROR(INDEX(종합!U$3:U$501,MATCH(ROW()-2,종합!$AD$3:$AD$501,0))&amp;"","")</f>
        <v/>
      </c>
      <c r="V375" s="21" t="str">
        <f aca="false">IFERROR(INDEX(종합!V$3:V$501,MATCH(ROW()-2,종합!$AD$3:$AD$501,0))&amp;"","")</f>
        <v/>
      </c>
      <c r="W375" s="21" t="str">
        <f aca="false">IFERROR(INDEX(종합!W$3:W$501,MATCH(ROW()-2,종합!$AD$3:$AD$501,0))&amp;"","")</f>
        <v/>
      </c>
      <c r="X375" s="21" t="str">
        <f aca="false">IFERROR(INDEX(종합!X$3:X$501,MATCH(ROW()-2,종합!$AD$3:$AD$501,0))&amp;"","")</f>
        <v/>
      </c>
      <c r="Y375" s="21" t="str">
        <f aca="false">IFERROR(INDEX(종합!Y$3:Y$501,MATCH(ROW()-2,종합!$AD$3:$AD$501,0))&amp;"","")</f>
        <v/>
      </c>
      <c r="Z375" s="21" t="str">
        <f aca="false">IFERROR(INDEX(종합!Z$3:Z$501,MATCH(ROW()-2,종합!$AD$3:$AD$501,0))&amp;"","")</f>
        <v/>
      </c>
      <c r="AA375" s="23" t="str">
        <f aca="false">IFERROR(INDEX(종합!AA$3:AA$501,MATCH(ROW()-2,종합!$AD$3:$AD$501,0))&amp;"","")</f>
        <v/>
      </c>
    </row>
    <row r="376" customFormat="false" ht="16.5" hidden="false" customHeight="true" outlineLevel="0" collapsed="false">
      <c r="A376" s="18" t="str">
        <f aca="false">IF(B376="","",ROW()-2)</f>
        <v/>
      </c>
      <c r="B376" s="18" t="str">
        <f aca="false">IFERROR(INDEX(종합!B$3:B$501,MATCH(ROW()-2,종합!$AD$3:$AD$501,0))&amp;"","")</f>
        <v/>
      </c>
      <c r="C376" s="18" t="str">
        <f aca="false">IFERROR(INDEX(종합!C$3:C$501,MATCH(ROW()-2,종합!$AD$3:$AD$501,0))&amp;"","")</f>
        <v/>
      </c>
      <c r="D376" s="18" t="str">
        <f aca="false">IFERROR(INDEX(종합!D$3:D$501,MATCH(ROW()-2,종합!$AD$3:$AD$501,0))&amp;"","")</f>
        <v/>
      </c>
      <c r="E376" s="18" t="str">
        <f aca="false">IFERROR(INDEX(종합!E$3:E$501,MATCH(ROW()-2,종합!$AD$3:$AD$501,0))&amp;"","")</f>
        <v/>
      </c>
      <c r="F376" s="18" t="str">
        <f aca="false">IFERROR(INDEX(종합!F$3:F$501,MATCH(ROW()-2,종합!$AD$3:$AD$501,0))&amp;"","")</f>
        <v/>
      </c>
      <c r="G376" s="18" t="str">
        <f aca="false">IFERROR(INDEX(종합!G$3:G$501,MATCH(ROW()-2,종합!$AD$3:$AD$501,0))&amp;"","")</f>
        <v/>
      </c>
      <c r="H376" s="21" t="str">
        <f aca="false">IFERROR(INDEX(종합!H$3:H$501,MATCH(ROW()-2,종합!$AD$3:$AD$501,0))&amp;"","")</f>
        <v/>
      </c>
      <c r="I376" s="21" t="str">
        <f aca="false">IFERROR(INDEX(종합!I$3:I$501,MATCH(ROW()-2,종합!$AD$3:$AD$501,0))&amp;"","")</f>
        <v/>
      </c>
      <c r="J376" s="21" t="str">
        <f aca="false">IFERROR(INDEX(종합!J$3:J$501,MATCH(ROW()-2,종합!$AD$3:$AD$501,0))&amp;"","")</f>
        <v/>
      </c>
      <c r="K376" s="21" t="str">
        <f aca="false">IFERROR(INDEX(종합!K$3:K$501,MATCH(ROW()-2,종합!$AD$3:$AD$501,0))&amp;"","")</f>
        <v/>
      </c>
      <c r="L376" s="21" t="str">
        <f aca="false">IFERROR(INDEX(종합!L$3:L$501,MATCH(ROW()-2,종합!$AD$3:$AD$501,0))&amp;"","")</f>
        <v/>
      </c>
      <c r="M376" s="21" t="str">
        <f aca="false">IFERROR(INDEX(종합!M$3:M$501,MATCH(ROW()-2,종합!$AD$3:$AD$501,0))&amp;"","")</f>
        <v/>
      </c>
      <c r="N376" s="25" t="str">
        <f aca="false">IFERROR(INDEX(종합!N$3:N$501,MATCH(ROW()-2,종합!$AD$3:$AD$501,0))&amp;"","")</f>
        <v/>
      </c>
      <c r="O376" s="21" t="str">
        <f aca="false">IFERROR(INDEX(종합!O$3:O$501,MATCH(ROW()-2,종합!$AD$3:$AD$501,0))&amp;"","")</f>
        <v/>
      </c>
      <c r="P376" s="21" t="str">
        <f aca="false">IFERROR(INDEX(종합!P$3:P$501,MATCH(ROW()-2,종합!$AD$3:$AD$501,0))&amp;"","")</f>
        <v/>
      </c>
      <c r="Q376" s="21" t="str">
        <f aca="false">IFERROR(INDEX(종합!Q$3:Q$501,MATCH(ROW()-2,종합!$AD$3:$AD$501,0))&amp;"","")</f>
        <v/>
      </c>
      <c r="R376" s="21" t="str">
        <f aca="false">IFERROR(INDEX(종합!R$3:R$501,MATCH(ROW()-2,종합!$AD$3:$AD$501,0))&amp;"","")</f>
        <v/>
      </c>
      <c r="S376" s="21" t="str">
        <f aca="false">IFERROR(INDEX(종합!S$3:S$501,MATCH(ROW()-2,종합!$AD$3:$AD$501,0))&amp;"","")</f>
        <v/>
      </c>
      <c r="T376" s="21" t="str">
        <f aca="false">IFERROR(INDEX(종합!T$3:T$501,MATCH(ROW()-2,종합!$AD$3:$AD$501,0))&amp;"","")</f>
        <v/>
      </c>
      <c r="U376" s="21" t="str">
        <f aca="false">IFERROR(INDEX(종합!U$3:U$501,MATCH(ROW()-2,종합!$AD$3:$AD$501,0))&amp;"","")</f>
        <v/>
      </c>
      <c r="V376" s="21" t="str">
        <f aca="false">IFERROR(INDEX(종합!V$3:V$501,MATCH(ROW()-2,종합!$AD$3:$AD$501,0))&amp;"","")</f>
        <v/>
      </c>
      <c r="W376" s="21" t="str">
        <f aca="false">IFERROR(INDEX(종합!W$3:W$501,MATCH(ROW()-2,종합!$AD$3:$AD$501,0))&amp;"","")</f>
        <v/>
      </c>
      <c r="X376" s="21" t="str">
        <f aca="false">IFERROR(INDEX(종합!X$3:X$501,MATCH(ROW()-2,종합!$AD$3:$AD$501,0))&amp;"","")</f>
        <v/>
      </c>
      <c r="Y376" s="21" t="str">
        <f aca="false">IFERROR(INDEX(종합!Y$3:Y$501,MATCH(ROW()-2,종합!$AD$3:$AD$501,0))&amp;"","")</f>
        <v/>
      </c>
      <c r="Z376" s="21" t="str">
        <f aca="false">IFERROR(INDEX(종합!Z$3:Z$501,MATCH(ROW()-2,종합!$AD$3:$AD$501,0))&amp;"","")</f>
        <v/>
      </c>
      <c r="AA376" s="23" t="str">
        <f aca="false">IFERROR(INDEX(종합!AA$3:AA$501,MATCH(ROW()-2,종합!$AD$3:$AD$501,0))&amp;"","")</f>
        <v/>
      </c>
    </row>
    <row r="377" customFormat="false" ht="16.5" hidden="false" customHeight="true" outlineLevel="0" collapsed="false">
      <c r="A377" s="18" t="str">
        <f aca="false">IF(B377="","",ROW()-2)</f>
        <v/>
      </c>
      <c r="B377" s="18" t="str">
        <f aca="false">IFERROR(INDEX(종합!B$3:B$501,MATCH(ROW()-2,종합!$AD$3:$AD$501,0))&amp;"","")</f>
        <v/>
      </c>
      <c r="C377" s="18" t="str">
        <f aca="false">IFERROR(INDEX(종합!C$3:C$501,MATCH(ROW()-2,종합!$AD$3:$AD$501,0))&amp;"","")</f>
        <v/>
      </c>
      <c r="D377" s="18" t="str">
        <f aca="false">IFERROR(INDEX(종합!D$3:D$501,MATCH(ROW()-2,종합!$AD$3:$AD$501,0))&amp;"","")</f>
        <v/>
      </c>
      <c r="E377" s="18" t="str">
        <f aca="false">IFERROR(INDEX(종합!E$3:E$501,MATCH(ROW()-2,종합!$AD$3:$AD$501,0))&amp;"","")</f>
        <v/>
      </c>
      <c r="F377" s="18" t="str">
        <f aca="false">IFERROR(INDEX(종합!F$3:F$501,MATCH(ROW()-2,종합!$AD$3:$AD$501,0))&amp;"","")</f>
        <v/>
      </c>
      <c r="G377" s="18" t="str">
        <f aca="false">IFERROR(INDEX(종합!G$3:G$501,MATCH(ROW()-2,종합!$AD$3:$AD$501,0))&amp;"","")</f>
        <v/>
      </c>
      <c r="H377" s="21" t="str">
        <f aca="false">IFERROR(INDEX(종합!H$3:H$501,MATCH(ROW()-2,종합!$AD$3:$AD$501,0))&amp;"","")</f>
        <v/>
      </c>
      <c r="I377" s="21" t="str">
        <f aca="false">IFERROR(INDEX(종합!I$3:I$501,MATCH(ROW()-2,종합!$AD$3:$AD$501,0))&amp;"","")</f>
        <v/>
      </c>
      <c r="J377" s="21" t="str">
        <f aca="false">IFERROR(INDEX(종합!J$3:J$501,MATCH(ROW()-2,종합!$AD$3:$AD$501,0))&amp;"","")</f>
        <v/>
      </c>
      <c r="K377" s="21" t="str">
        <f aca="false">IFERROR(INDEX(종합!K$3:K$501,MATCH(ROW()-2,종합!$AD$3:$AD$501,0))&amp;"","")</f>
        <v/>
      </c>
      <c r="L377" s="21" t="str">
        <f aca="false">IFERROR(INDEX(종합!L$3:L$501,MATCH(ROW()-2,종합!$AD$3:$AD$501,0))&amp;"","")</f>
        <v/>
      </c>
      <c r="M377" s="21" t="str">
        <f aca="false">IFERROR(INDEX(종합!M$3:M$501,MATCH(ROW()-2,종합!$AD$3:$AD$501,0))&amp;"","")</f>
        <v/>
      </c>
      <c r="N377" s="25" t="str">
        <f aca="false">IFERROR(INDEX(종합!N$3:N$501,MATCH(ROW()-2,종합!$AD$3:$AD$501,0))&amp;"","")</f>
        <v/>
      </c>
      <c r="O377" s="21" t="str">
        <f aca="false">IFERROR(INDEX(종합!O$3:O$501,MATCH(ROW()-2,종합!$AD$3:$AD$501,0))&amp;"","")</f>
        <v/>
      </c>
      <c r="P377" s="21" t="str">
        <f aca="false">IFERROR(INDEX(종합!P$3:P$501,MATCH(ROW()-2,종합!$AD$3:$AD$501,0))&amp;"","")</f>
        <v/>
      </c>
      <c r="Q377" s="21" t="str">
        <f aca="false">IFERROR(INDEX(종합!Q$3:Q$501,MATCH(ROW()-2,종합!$AD$3:$AD$501,0))&amp;"","")</f>
        <v/>
      </c>
      <c r="R377" s="21" t="str">
        <f aca="false">IFERROR(INDEX(종합!R$3:R$501,MATCH(ROW()-2,종합!$AD$3:$AD$501,0))&amp;"","")</f>
        <v/>
      </c>
      <c r="S377" s="21" t="str">
        <f aca="false">IFERROR(INDEX(종합!S$3:S$501,MATCH(ROW()-2,종합!$AD$3:$AD$501,0))&amp;"","")</f>
        <v/>
      </c>
      <c r="T377" s="21" t="str">
        <f aca="false">IFERROR(INDEX(종합!T$3:T$501,MATCH(ROW()-2,종합!$AD$3:$AD$501,0))&amp;"","")</f>
        <v/>
      </c>
      <c r="U377" s="21" t="str">
        <f aca="false">IFERROR(INDEX(종합!U$3:U$501,MATCH(ROW()-2,종합!$AD$3:$AD$501,0))&amp;"","")</f>
        <v/>
      </c>
      <c r="V377" s="21" t="str">
        <f aca="false">IFERROR(INDEX(종합!V$3:V$501,MATCH(ROW()-2,종합!$AD$3:$AD$501,0))&amp;"","")</f>
        <v/>
      </c>
      <c r="W377" s="21" t="str">
        <f aca="false">IFERROR(INDEX(종합!W$3:W$501,MATCH(ROW()-2,종합!$AD$3:$AD$501,0))&amp;"","")</f>
        <v/>
      </c>
      <c r="X377" s="21" t="str">
        <f aca="false">IFERROR(INDEX(종합!X$3:X$501,MATCH(ROW()-2,종합!$AD$3:$AD$501,0))&amp;"","")</f>
        <v/>
      </c>
      <c r="Y377" s="21" t="str">
        <f aca="false">IFERROR(INDEX(종합!Y$3:Y$501,MATCH(ROW()-2,종합!$AD$3:$AD$501,0))&amp;"","")</f>
        <v/>
      </c>
      <c r="Z377" s="21" t="str">
        <f aca="false">IFERROR(INDEX(종합!Z$3:Z$501,MATCH(ROW()-2,종합!$AD$3:$AD$501,0))&amp;"","")</f>
        <v/>
      </c>
      <c r="AA377" s="23" t="str">
        <f aca="false">IFERROR(INDEX(종합!AA$3:AA$501,MATCH(ROW()-2,종합!$AD$3:$AD$501,0))&amp;"","")</f>
        <v/>
      </c>
    </row>
    <row r="378" customFormat="false" ht="16.5" hidden="false" customHeight="true" outlineLevel="0" collapsed="false">
      <c r="A378" s="18" t="str">
        <f aca="false">IF(B378="","",ROW()-2)</f>
        <v/>
      </c>
      <c r="B378" s="18" t="str">
        <f aca="false">IFERROR(INDEX(종합!B$3:B$501,MATCH(ROW()-2,종합!$AD$3:$AD$501,0))&amp;"","")</f>
        <v/>
      </c>
      <c r="C378" s="18" t="str">
        <f aca="false">IFERROR(INDEX(종합!C$3:C$501,MATCH(ROW()-2,종합!$AD$3:$AD$501,0))&amp;"","")</f>
        <v/>
      </c>
      <c r="D378" s="18" t="str">
        <f aca="false">IFERROR(INDEX(종합!D$3:D$501,MATCH(ROW()-2,종합!$AD$3:$AD$501,0))&amp;"","")</f>
        <v/>
      </c>
      <c r="E378" s="18" t="str">
        <f aca="false">IFERROR(INDEX(종합!E$3:E$501,MATCH(ROW()-2,종합!$AD$3:$AD$501,0))&amp;"","")</f>
        <v/>
      </c>
      <c r="F378" s="18" t="str">
        <f aca="false">IFERROR(INDEX(종합!F$3:F$501,MATCH(ROW()-2,종합!$AD$3:$AD$501,0))&amp;"","")</f>
        <v/>
      </c>
      <c r="G378" s="18" t="str">
        <f aca="false">IFERROR(INDEX(종합!G$3:G$501,MATCH(ROW()-2,종합!$AD$3:$AD$501,0))&amp;"","")</f>
        <v/>
      </c>
      <c r="H378" s="21" t="str">
        <f aca="false">IFERROR(INDEX(종합!H$3:H$501,MATCH(ROW()-2,종합!$AD$3:$AD$501,0))&amp;"","")</f>
        <v/>
      </c>
      <c r="I378" s="21" t="str">
        <f aca="false">IFERROR(INDEX(종합!I$3:I$501,MATCH(ROW()-2,종합!$AD$3:$AD$501,0))&amp;"","")</f>
        <v/>
      </c>
      <c r="J378" s="21" t="str">
        <f aca="false">IFERROR(INDEX(종합!J$3:J$501,MATCH(ROW()-2,종합!$AD$3:$AD$501,0))&amp;"","")</f>
        <v/>
      </c>
      <c r="K378" s="21" t="str">
        <f aca="false">IFERROR(INDEX(종합!K$3:K$501,MATCH(ROW()-2,종합!$AD$3:$AD$501,0))&amp;"","")</f>
        <v/>
      </c>
      <c r="L378" s="21" t="str">
        <f aca="false">IFERROR(INDEX(종합!L$3:L$501,MATCH(ROW()-2,종합!$AD$3:$AD$501,0))&amp;"","")</f>
        <v/>
      </c>
      <c r="M378" s="21" t="str">
        <f aca="false">IFERROR(INDEX(종합!M$3:M$501,MATCH(ROW()-2,종합!$AD$3:$AD$501,0))&amp;"","")</f>
        <v/>
      </c>
      <c r="N378" s="25" t="str">
        <f aca="false">IFERROR(INDEX(종합!N$3:N$501,MATCH(ROW()-2,종합!$AD$3:$AD$501,0))&amp;"","")</f>
        <v/>
      </c>
      <c r="O378" s="21" t="str">
        <f aca="false">IFERROR(INDEX(종합!O$3:O$501,MATCH(ROW()-2,종합!$AD$3:$AD$501,0))&amp;"","")</f>
        <v/>
      </c>
      <c r="P378" s="21" t="str">
        <f aca="false">IFERROR(INDEX(종합!P$3:P$501,MATCH(ROW()-2,종합!$AD$3:$AD$501,0))&amp;"","")</f>
        <v/>
      </c>
      <c r="Q378" s="21" t="str">
        <f aca="false">IFERROR(INDEX(종합!Q$3:Q$501,MATCH(ROW()-2,종합!$AD$3:$AD$501,0))&amp;"","")</f>
        <v/>
      </c>
      <c r="R378" s="21" t="str">
        <f aca="false">IFERROR(INDEX(종합!R$3:R$501,MATCH(ROW()-2,종합!$AD$3:$AD$501,0))&amp;"","")</f>
        <v/>
      </c>
      <c r="S378" s="21" t="str">
        <f aca="false">IFERROR(INDEX(종합!S$3:S$501,MATCH(ROW()-2,종합!$AD$3:$AD$501,0))&amp;"","")</f>
        <v/>
      </c>
      <c r="T378" s="21" t="str">
        <f aca="false">IFERROR(INDEX(종합!T$3:T$501,MATCH(ROW()-2,종합!$AD$3:$AD$501,0))&amp;"","")</f>
        <v/>
      </c>
      <c r="U378" s="21" t="str">
        <f aca="false">IFERROR(INDEX(종합!U$3:U$501,MATCH(ROW()-2,종합!$AD$3:$AD$501,0))&amp;"","")</f>
        <v/>
      </c>
      <c r="V378" s="21" t="str">
        <f aca="false">IFERROR(INDEX(종합!V$3:V$501,MATCH(ROW()-2,종합!$AD$3:$AD$501,0))&amp;"","")</f>
        <v/>
      </c>
      <c r="W378" s="21" t="str">
        <f aca="false">IFERROR(INDEX(종합!W$3:W$501,MATCH(ROW()-2,종합!$AD$3:$AD$501,0))&amp;"","")</f>
        <v/>
      </c>
      <c r="X378" s="21" t="str">
        <f aca="false">IFERROR(INDEX(종합!X$3:X$501,MATCH(ROW()-2,종합!$AD$3:$AD$501,0))&amp;"","")</f>
        <v/>
      </c>
      <c r="Y378" s="21" t="str">
        <f aca="false">IFERROR(INDEX(종합!Y$3:Y$501,MATCH(ROW()-2,종합!$AD$3:$AD$501,0))&amp;"","")</f>
        <v/>
      </c>
      <c r="Z378" s="21" t="str">
        <f aca="false">IFERROR(INDEX(종합!Z$3:Z$501,MATCH(ROW()-2,종합!$AD$3:$AD$501,0))&amp;"","")</f>
        <v/>
      </c>
      <c r="AA378" s="23" t="str">
        <f aca="false">IFERROR(INDEX(종합!AA$3:AA$501,MATCH(ROW()-2,종합!$AD$3:$AD$501,0))&amp;"","")</f>
        <v/>
      </c>
    </row>
    <row r="379" customFormat="false" ht="16.5" hidden="false" customHeight="true" outlineLevel="0" collapsed="false">
      <c r="A379" s="18" t="str">
        <f aca="false">IF(B379="","",ROW()-2)</f>
        <v/>
      </c>
      <c r="B379" s="18" t="str">
        <f aca="false">IFERROR(INDEX(종합!B$3:B$501,MATCH(ROW()-2,종합!$AD$3:$AD$501,0))&amp;"","")</f>
        <v/>
      </c>
      <c r="C379" s="18" t="str">
        <f aca="false">IFERROR(INDEX(종합!C$3:C$501,MATCH(ROW()-2,종합!$AD$3:$AD$501,0))&amp;"","")</f>
        <v/>
      </c>
      <c r="D379" s="18" t="str">
        <f aca="false">IFERROR(INDEX(종합!D$3:D$501,MATCH(ROW()-2,종합!$AD$3:$AD$501,0))&amp;"","")</f>
        <v/>
      </c>
      <c r="E379" s="18" t="str">
        <f aca="false">IFERROR(INDEX(종합!E$3:E$501,MATCH(ROW()-2,종합!$AD$3:$AD$501,0))&amp;"","")</f>
        <v/>
      </c>
      <c r="F379" s="18" t="str">
        <f aca="false">IFERROR(INDEX(종합!F$3:F$501,MATCH(ROW()-2,종합!$AD$3:$AD$501,0))&amp;"","")</f>
        <v/>
      </c>
      <c r="G379" s="18" t="str">
        <f aca="false">IFERROR(INDEX(종합!G$3:G$501,MATCH(ROW()-2,종합!$AD$3:$AD$501,0))&amp;"","")</f>
        <v/>
      </c>
      <c r="H379" s="21" t="str">
        <f aca="false">IFERROR(INDEX(종합!H$3:H$501,MATCH(ROW()-2,종합!$AD$3:$AD$501,0))&amp;"","")</f>
        <v/>
      </c>
      <c r="I379" s="21" t="str">
        <f aca="false">IFERROR(INDEX(종합!I$3:I$501,MATCH(ROW()-2,종합!$AD$3:$AD$501,0))&amp;"","")</f>
        <v/>
      </c>
      <c r="J379" s="21" t="str">
        <f aca="false">IFERROR(INDEX(종합!J$3:J$501,MATCH(ROW()-2,종합!$AD$3:$AD$501,0))&amp;"","")</f>
        <v/>
      </c>
      <c r="K379" s="21" t="str">
        <f aca="false">IFERROR(INDEX(종합!K$3:K$501,MATCH(ROW()-2,종합!$AD$3:$AD$501,0))&amp;"","")</f>
        <v/>
      </c>
      <c r="L379" s="21" t="str">
        <f aca="false">IFERROR(INDEX(종합!L$3:L$501,MATCH(ROW()-2,종합!$AD$3:$AD$501,0))&amp;"","")</f>
        <v/>
      </c>
      <c r="M379" s="21" t="str">
        <f aca="false">IFERROR(INDEX(종합!M$3:M$501,MATCH(ROW()-2,종합!$AD$3:$AD$501,0))&amp;"","")</f>
        <v/>
      </c>
      <c r="N379" s="25" t="str">
        <f aca="false">IFERROR(INDEX(종합!N$3:N$501,MATCH(ROW()-2,종합!$AD$3:$AD$501,0))&amp;"","")</f>
        <v/>
      </c>
      <c r="O379" s="21" t="str">
        <f aca="false">IFERROR(INDEX(종합!O$3:O$501,MATCH(ROW()-2,종합!$AD$3:$AD$501,0))&amp;"","")</f>
        <v/>
      </c>
      <c r="P379" s="21" t="str">
        <f aca="false">IFERROR(INDEX(종합!P$3:P$501,MATCH(ROW()-2,종합!$AD$3:$AD$501,0))&amp;"","")</f>
        <v/>
      </c>
      <c r="Q379" s="21" t="str">
        <f aca="false">IFERROR(INDEX(종합!Q$3:Q$501,MATCH(ROW()-2,종합!$AD$3:$AD$501,0))&amp;"","")</f>
        <v/>
      </c>
      <c r="R379" s="21" t="str">
        <f aca="false">IFERROR(INDEX(종합!R$3:R$501,MATCH(ROW()-2,종합!$AD$3:$AD$501,0))&amp;"","")</f>
        <v/>
      </c>
      <c r="S379" s="21" t="str">
        <f aca="false">IFERROR(INDEX(종합!S$3:S$501,MATCH(ROW()-2,종합!$AD$3:$AD$501,0))&amp;"","")</f>
        <v/>
      </c>
      <c r="T379" s="21" t="str">
        <f aca="false">IFERROR(INDEX(종합!T$3:T$501,MATCH(ROW()-2,종합!$AD$3:$AD$501,0))&amp;"","")</f>
        <v/>
      </c>
      <c r="U379" s="21" t="str">
        <f aca="false">IFERROR(INDEX(종합!U$3:U$501,MATCH(ROW()-2,종합!$AD$3:$AD$501,0))&amp;"","")</f>
        <v/>
      </c>
      <c r="V379" s="21" t="str">
        <f aca="false">IFERROR(INDEX(종합!V$3:V$501,MATCH(ROW()-2,종합!$AD$3:$AD$501,0))&amp;"","")</f>
        <v/>
      </c>
      <c r="W379" s="21" t="str">
        <f aca="false">IFERROR(INDEX(종합!W$3:W$501,MATCH(ROW()-2,종합!$AD$3:$AD$501,0))&amp;"","")</f>
        <v/>
      </c>
      <c r="X379" s="21" t="str">
        <f aca="false">IFERROR(INDEX(종합!X$3:X$501,MATCH(ROW()-2,종합!$AD$3:$AD$501,0))&amp;"","")</f>
        <v/>
      </c>
      <c r="Y379" s="21" t="str">
        <f aca="false">IFERROR(INDEX(종합!Y$3:Y$501,MATCH(ROW()-2,종합!$AD$3:$AD$501,0))&amp;"","")</f>
        <v/>
      </c>
      <c r="Z379" s="21" t="str">
        <f aca="false">IFERROR(INDEX(종합!Z$3:Z$501,MATCH(ROW()-2,종합!$AD$3:$AD$501,0))&amp;"","")</f>
        <v/>
      </c>
      <c r="AA379" s="23" t="str">
        <f aca="false">IFERROR(INDEX(종합!AA$3:AA$501,MATCH(ROW()-2,종합!$AD$3:$AD$501,0))&amp;"","")</f>
        <v/>
      </c>
    </row>
    <row r="380" customFormat="false" ht="16.5" hidden="false" customHeight="true" outlineLevel="0" collapsed="false">
      <c r="A380" s="18" t="str">
        <f aca="false">IF(B380="","",ROW()-2)</f>
        <v/>
      </c>
      <c r="B380" s="18" t="str">
        <f aca="false">IFERROR(INDEX(종합!B$3:B$501,MATCH(ROW()-2,종합!$AD$3:$AD$501,0))&amp;"","")</f>
        <v/>
      </c>
      <c r="C380" s="18" t="str">
        <f aca="false">IFERROR(INDEX(종합!C$3:C$501,MATCH(ROW()-2,종합!$AD$3:$AD$501,0))&amp;"","")</f>
        <v/>
      </c>
      <c r="D380" s="18" t="str">
        <f aca="false">IFERROR(INDEX(종합!D$3:D$501,MATCH(ROW()-2,종합!$AD$3:$AD$501,0))&amp;"","")</f>
        <v/>
      </c>
      <c r="E380" s="18" t="str">
        <f aca="false">IFERROR(INDEX(종합!E$3:E$501,MATCH(ROW()-2,종합!$AD$3:$AD$501,0))&amp;"","")</f>
        <v/>
      </c>
      <c r="F380" s="18" t="str">
        <f aca="false">IFERROR(INDEX(종합!F$3:F$501,MATCH(ROW()-2,종합!$AD$3:$AD$501,0))&amp;"","")</f>
        <v/>
      </c>
      <c r="G380" s="18" t="str">
        <f aca="false">IFERROR(INDEX(종합!G$3:G$501,MATCH(ROW()-2,종합!$AD$3:$AD$501,0))&amp;"","")</f>
        <v/>
      </c>
      <c r="H380" s="21" t="str">
        <f aca="false">IFERROR(INDEX(종합!H$3:H$501,MATCH(ROW()-2,종합!$AD$3:$AD$501,0))&amp;"","")</f>
        <v/>
      </c>
      <c r="I380" s="21" t="str">
        <f aca="false">IFERROR(INDEX(종합!I$3:I$501,MATCH(ROW()-2,종합!$AD$3:$AD$501,0))&amp;"","")</f>
        <v/>
      </c>
      <c r="J380" s="21" t="str">
        <f aca="false">IFERROR(INDEX(종합!J$3:J$501,MATCH(ROW()-2,종합!$AD$3:$AD$501,0))&amp;"","")</f>
        <v/>
      </c>
      <c r="K380" s="21" t="str">
        <f aca="false">IFERROR(INDEX(종합!K$3:K$501,MATCH(ROW()-2,종합!$AD$3:$AD$501,0))&amp;"","")</f>
        <v/>
      </c>
      <c r="L380" s="21" t="str">
        <f aca="false">IFERROR(INDEX(종합!L$3:L$501,MATCH(ROW()-2,종합!$AD$3:$AD$501,0))&amp;"","")</f>
        <v/>
      </c>
      <c r="M380" s="21" t="str">
        <f aca="false">IFERROR(INDEX(종합!M$3:M$501,MATCH(ROW()-2,종합!$AD$3:$AD$501,0))&amp;"","")</f>
        <v/>
      </c>
      <c r="N380" s="25" t="str">
        <f aca="false">IFERROR(INDEX(종합!N$3:N$501,MATCH(ROW()-2,종합!$AD$3:$AD$501,0))&amp;"","")</f>
        <v/>
      </c>
      <c r="O380" s="21" t="str">
        <f aca="false">IFERROR(INDEX(종합!O$3:O$501,MATCH(ROW()-2,종합!$AD$3:$AD$501,0))&amp;"","")</f>
        <v/>
      </c>
      <c r="P380" s="21" t="str">
        <f aca="false">IFERROR(INDEX(종합!P$3:P$501,MATCH(ROW()-2,종합!$AD$3:$AD$501,0))&amp;"","")</f>
        <v/>
      </c>
      <c r="Q380" s="21" t="str">
        <f aca="false">IFERROR(INDEX(종합!Q$3:Q$501,MATCH(ROW()-2,종합!$AD$3:$AD$501,0))&amp;"","")</f>
        <v/>
      </c>
      <c r="R380" s="21" t="str">
        <f aca="false">IFERROR(INDEX(종합!R$3:R$501,MATCH(ROW()-2,종합!$AD$3:$AD$501,0))&amp;"","")</f>
        <v/>
      </c>
      <c r="S380" s="21" t="str">
        <f aca="false">IFERROR(INDEX(종합!S$3:S$501,MATCH(ROW()-2,종합!$AD$3:$AD$501,0))&amp;"","")</f>
        <v/>
      </c>
      <c r="T380" s="21" t="str">
        <f aca="false">IFERROR(INDEX(종합!T$3:T$501,MATCH(ROW()-2,종합!$AD$3:$AD$501,0))&amp;"","")</f>
        <v/>
      </c>
      <c r="U380" s="21" t="str">
        <f aca="false">IFERROR(INDEX(종합!U$3:U$501,MATCH(ROW()-2,종합!$AD$3:$AD$501,0))&amp;"","")</f>
        <v/>
      </c>
      <c r="V380" s="21" t="str">
        <f aca="false">IFERROR(INDEX(종합!V$3:V$501,MATCH(ROW()-2,종합!$AD$3:$AD$501,0))&amp;"","")</f>
        <v/>
      </c>
      <c r="W380" s="21" t="str">
        <f aca="false">IFERROR(INDEX(종합!W$3:W$501,MATCH(ROW()-2,종합!$AD$3:$AD$501,0))&amp;"","")</f>
        <v/>
      </c>
      <c r="X380" s="21" t="str">
        <f aca="false">IFERROR(INDEX(종합!X$3:X$501,MATCH(ROW()-2,종합!$AD$3:$AD$501,0))&amp;"","")</f>
        <v/>
      </c>
      <c r="Y380" s="21" t="str">
        <f aca="false">IFERROR(INDEX(종합!Y$3:Y$501,MATCH(ROW()-2,종합!$AD$3:$AD$501,0))&amp;"","")</f>
        <v/>
      </c>
      <c r="Z380" s="21" t="str">
        <f aca="false">IFERROR(INDEX(종합!Z$3:Z$501,MATCH(ROW()-2,종합!$AD$3:$AD$501,0))&amp;"","")</f>
        <v/>
      </c>
      <c r="AA380" s="23" t="str">
        <f aca="false">IFERROR(INDEX(종합!AA$3:AA$501,MATCH(ROW()-2,종합!$AD$3:$AD$501,0))&amp;"","")</f>
        <v/>
      </c>
    </row>
    <row r="381" customFormat="false" ht="16.5" hidden="false" customHeight="true" outlineLevel="0" collapsed="false">
      <c r="A381" s="18" t="str">
        <f aca="false">IF(B381="","",ROW()-2)</f>
        <v/>
      </c>
      <c r="B381" s="18" t="str">
        <f aca="false">IFERROR(INDEX(종합!B$3:B$501,MATCH(ROW()-2,종합!$AD$3:$AD$501,0))&amp;"","")</f>
        <v/>
      </c>
      <c r="C381" s="18" t="str">
        <f aca="false">IFERROR(INDEX(종합!C$3:C$501,MATCH(ROW()-2,종합!$AD$3:$AD$501,0))&amp;"","")</f>
        <v/>
      </c>
      <c r="D381" s="18" t="str">
        <f aca="false">IFERROR(INDEX(종합!D$3:D$501,MATCH(ROW()-2,종합!$AD$3:$AD$501,0))&amp;"","")</f>
        <v/>
      </c>
      <c r="E381" s="18" t="str">
        <f aca="false">IFERROR(INDEX(종합!E$3:E$501,MATCH(ROW()-2,종합!$AD$3:$AD$501,0))&amp;"","")</f>
        <v/>
      </c>
      <c r="F381" s="18" t="str">
        <f aca="false">IFERROR(INDEX(종합!F$3:F$501,MATCH(ROW()-2,종합!$AD$3:$AD$501,0))&amp;"","")</f>
        <v/>
      </c>
      <c r="G381" s="18" t="str">
        <f aca="false">IFERROR(INDEX(종합!G$3:G$501,MATCH(ROW()-2,종합!$AD$3:$AD$501,0))&amp;"","")</f>
        <v/>
      </c>
      <c r="H381" s="21" t="str">
        <f aca="false">IFERROR(INDEX(종합!H$3:H$501,MATCH(ROW()-2,종합!$AD$3:$AD$501,0))&amp;"","")</f>
        <v/>
      </c>
      <c r="I381" s="21" t="str">
        <f aca="false">IFERROR(INDEX(종합!I$3:I$501,MATCH(ROW()-2,종합!$AD$3:$AD$501,0))&amp;"","")</f>
        <v/>
      </c>
      <c r="J381" s="21" t="str">
        <f aca="false">IFERROR(INDEX(종합!J$3:J$501,MATCH(ROW()-2,종합!$AD$3:$AD$501,0))&amp;"","")</f>
        <v/>
      </c>
      <c r="K381" s="21" t="str">
        <f aca="false">IFERROR(INDEX(종합!K$3:K$501,MATCH(ROW()-2,종합!$AD$3:$AD$501,0))&amp;"","")</f>
        <v/>
      </c>
      <c r="L381" s="21" t="str">
        <f aca="false">IFERROR(INDEX(종합!L$3:L$501,MATCH(ROW()-2,종합!$AD$3:$AD$501,0))&amp;"","")</f>
        <v/>
      </c>
      <c r="M381" s="21" t="str">
        <f aca="false">IFERROR(INDEX(종합!M$3:M$501,MATCH(ROW()-2,종합!$AD$3:$AD$501,0))&amp;"","")</f>
        <v/>
      </c>
      <c r="N381" s="25" t="str">
        <f aca="false">IFERROR(INDEX(종합!N$3:N$501,MATCH(ROW()-2,종합!$AD$3:$AD$501,0))&amp;"","")</f>
        <v/>
      </c>
      <c r="O381" s="21" t="str">
        <f aca="false">IFERROR(INDEX(종합!O$3:O$501,MATCH(ROW()-2,종합!$AD$3:$AD$501,0))&amp;"","")</f>
        <v/>
      </c>
      <c r="P381" s="21" t="str">
        <f aca="false">IFERROR(INDEX(종합!P$3:P$501,MATCH(ROW()-2,종합!$AD$3:$AD$501,0))&amp;"","")</f>
        <v/>
      </c>
      <c r="Q381" s="21" t="str">
        <f aca="false">IFERROR(INDEX(종합!Q$3:Q$501,MATCH(ROW()-2,종합!$AD$3:$AD$501,0))&amp;"","")</f>
        <v/>
      </c>
      <c r="R381" s="21" t="str">
        <f aca="false">IFERROR(INDEX(종합!R$3:R$501,MATCH(ROW()-2,종합!$AD$3:$AD$501,0))&amp;"","")</f>
        <v/>
      </c>
      <c r="S381" s="21" t="str">
        <f aca="false">IFERROR(INDEX(종합!S$3:S$501,MATCH(ROW()-2,종합!$AD$3:$AD$501,0))&amp;"","")</f>
        <v/>
      </c>
      <c r="T381" s="21" t="str">
        <f aca="false">IFERROR(INDEX(종합!T$3:T$501,MATCH(ROW()-2,종합!$AD$3:$AD$501,0))&amp;"","")</f>
        <v/>
      </c>
      <c r="U381" s="21" t="str">
        <f aca="false">IFERROR(INDEX(종합!U$3:U$501,MATCH(ROW()-2,종합!$AD$3:$AD$501,0))&amp;"","")</f>
        <v/>
      </c>
      <c r="V381" s="21" t="str">
        <f aca="false">IFERROR(INDEX(종합!V$3:V$501,MATCH(ROW()-2,종합!$AD$3:$AD$501,0))&amp;"","")</f>
        <v/>
      </c>
      <c r="W381" s="21" t="str">
        <f aca="false">IFERROR(INDEX(종합!W$3:W$501,MATCH(ROW()-2,종합!$AD$3:$AD$501,0))&amp;"","")</f>
        <v/>
      </c>
      <c r="X381" s="21" t="str">
        <f aca="false">IFERROR(INDEX(종합!X$3:X$501,MATCH(ROW()-2,종합!$AD$3:$AD$501,0))&amp;"","")</f>
        <v/>
      </c>
      <c r="Y381" s="21" t="str">
        <f aca="false">IFERROR(INDEX(종합!Y$3:Y$501,MATCH(ROW()-2,종합!$AD$3:$AD$501,0))&amp;"","")</f>
        <v/>
      </c>
      <c r="Z381" s="21" t="str">
        <f aca="false">IFERROR(INDEX(종합!Z$3:Z$501,MATCH(ROW()-2,종합!$AD$3:$AD$501,0))&amp;"","")</f>
        <v/>
      </c>
      <c r="AA381" s="23" t="str">
        <f aca="false">IFERROR(INDEX(종합!AA$3:AA$501,MATCH(ROW()-2,종합!$AD$3:$AD$501,0))&amp;"","")</f>
        <v/>
      </c>
    </row>
    <row r="382" customFormat="false" ht="16.5" hidden="false" customHeight="true" outlineLevel="0" collapsed="false">
      <c r="A382" s="18" t="str">
        <f aca="false">IF(B382="","",ROW()-2)</f>
        <v/>
      </c>
      <c r="B382" s="18" t="str">
        <f aca="false">IFERROR(INDEX(종합!B$3:B$501,MATCH(ROW()-2,종합!$AD$3:$AD$501,0))&amp;"","")</f>
        <v/>
      </c>
      <c r="C382" s="18" t="str">
        <f aca="false">IFERROR(INDEX(종합!C$3:C$501,MATCH(ROW()-2,종합!$AD$3:$AD$501,0))&amp;"","")</f>
        <v/>
      </c>
      <c r="D382" s="18" t="str">
        <f aca="false">IFERROR(INDEX(종합!D$3:D$501,MATCH(ROW()-2,종합!$AD$3:$AD$501,0))&amp;"","")</f>
        <v/>
      </c>
      <c r="E382" s="18" t="str">
        <f aca="false">IFERROR(INDEX(종합!E$3:E$501,MATCH(ROW()-2,종합!$AD$3:$AD$501,0))&amp;"","")</f>
        <v/>
      </c>
      <c r="F382" s="18" t="str">
        <f aca="false">IFERROR(INDEX(종합!F$3:F$501,MATCH(ROW()-2,종합!$AD$3:$AD$501,0))&amp;"","")</f>
        <v/>
      </c>
      <c r="G382" s="18" t="str">
        <f aca="false">IFERROR(INDEX(종합!G$3:G$501,MATCH(ROW()-2,종합!$AD$3:$AD$501,0))&amp;"","")</f>
        <v/>
      </c>
      <c r="H382" s="21" t="str">
        <f aca="false">IFERROR(INDEX(종합!H$3:H$501,MATCH(ROW()-2,종합!$AD$3:$AD$501,0))&amp;"","")</f>
        <v/>
      </c>
      <c r="I382" s="21" t="str">
        <f aca="false">IFERROR(INDEX(종합!I$3:I$501,MATCH(ROW()-2,종합!$AD$3:$AD$501,0))&amp;"","")</f>
        <v/>
      </c>
      <c r="J382" s="21" t="str">
        <f aca="false">IFERROR(INDEX(종합!J$3:J$501,MATCH(ROW()-2,종합!$AD$3:$AD$501,0))&amp;"","")</f>
        <v/>
      </c>
      <c r="K382" s="21" t="str">
        <f aca="false">IFERROR(INDEX(종합!K$3:K$501,MATCH(ROW()-2,종합!$AD$3:$AD$501,0))&amp;"","")</f>
        <v/>
      </c>
      <c r="L382" s="21" t="str">
        <f aca="false">IFERROR(INDEX(종합!L$3:L$501,MATCH(ROW()-2,종합!$AD$3:$AD$501,0))&amp;"","")</f>
        <v/>
      </c>
      <c r="M382" s="21" t="str">
        <f aca="false">IFERROR(INDEX(종합!M$3:M$501,MATCH(ROW()-2,종합!$AD$3:$AD$501,0))&amp;"","")</f>
        <v/>
      </c>
      <c r="N382" s="25" t="str">
        <f aca="false">IFERROR(INDEX(종합!N$3:N$501,MATCH(ROW()-2,종합!$AD$3:$AD$501,0))&amp;"","")</f>
        <v/>
      </c>
      <c r="O382" s="21" t="str">
        <f aca="false">IFERROR(INDEX(종합!O$3:O$501,MATCH(ROW()-2,종합!$AD$3:$AD$501,0))&amp;"","")</f>
        <v/>
      </c>
      <c r="P382" s="21" t="str">
        <f aca="false">IFERROR(INDEX(종합!P$3:P$501,MATCH(ROW()-2,종합!$AD$3:$AD$501,0))&amp;"","")</f>
        <v/>
      </c>
      <c r="Q382" s="21" t="str">
        <f aca="false">IFERROR(INDEX(종합!Q$3:Q$501,MATCH(ROW()-2,종합!$AD$3:$AD$501,0))&amp;"","")</f>
        <v/>
      </c>
      <c r="R382" s="21" t="str">
        <f aca="false">IFERROR(INDEX(종합!R$3:R$501,MATCH(ROW()-2,종합!$AD$3:$AD$501,0))&amp;"","")</f>
        <v/>
      </c>
      <c r="S382" s="21" t="str">
        <f aca="false">IFERROR(INDEX(종합!S$3:S$501,MATCH(ROW()-2,종합!$AD$3:$AD$501,0))&amp;"","")</f>
        <v/>
      </c>
      <c r="T382" s="21" t="str">
        <f aca="false">IFERROR(INDEX(종합!T$3:T$501,MATCH(ROW()-2,종합!$AD$3:$AD$501,0))&amp;"","")</f>
        <v/>
      </c>
      <c r="U382" s="21" t="str">
        <f aca="false">IFERROR(INDEX(종합!U$3:U$501,MATCH(ROW()-2,종합!$AD$3:$AD$501,0))&amp;"","")</f>
        <v/>
      </c>
      <c r="V382" s="21" t="str">
        <f aca="false">IFERROR(INDEX(종합!V$3:V$501,MATCH(ROW()-2,종합!$AD$3:$AD$501,0))&amp;"","")</f>
        <v/>
      </c>
      <c r="W382" s="21" t="str">
        <f aca="false">IFERROR(INDEX(종합!W$3:W$501,MATCH(ROW()-2,종합!$AD$3:$AD$501,0))&amp;"","")</f>
        <v/>
      </c>
      <c r="X382" s="21" t="str">
        <f aca="false">IFERROR(INDEX(종합!X$3:X$501,MATCH(ROW()-2,종합!$AD$3:$AD$501,0))&amp;"","")</f>
        <v/>
      </c>
      <c r="Y382" s="21" t="str">
        <f aca="false">IFERROR(INDEX(종합!Y$3:Y$501,MATCH(ROW()-2,종합!$AD$3:$AD$501,0))&amp;"","")</f>
        <v/>
      </c>
      <c r="Z382" s="21" t="str">
        <f aca="false">IFERROR(INDEX(종합!Z$3:Z$501,MATCH(ROW()-2,종합!$AD$3:$AD$501,0))&amp;"","")</f>
        <v/>
      </c>
      <c r="AA382" s="23" t="str">
        <f aca="false">IFERROR(INDEX(종합!AA$3:AA$501,MATCH(ROW()-2,종합!$AD$3:$AD$501,0))&amp;"","")</f>
        <v/>
      </c>
    </row>
    <row r="383" customFormat="false" ht="16.5" hidden="false" customHeight="true" outlineLevel="0" collapsed="false">
      <c r="A383" s="18" t="str">
        <f aca="false">IF(B383="","",ROW()-2)</f>
        <v/>
      </c>
      <c r="B383" s="18" t="str">
        <f aca="false">IFERROR(INDEX(종합!B$3:B$501,MATCH(ROW()-2,종합!$AD$3:$AD$501,0))&amp;"","")</f>
        <v/>
      </c>
      <c r="C383" s="18" t="str">
        <f aca="false">IFERROR(INDEX(종합!C$3:C$501,MATCH(ROW()-2,종합!$AD$3:$AD$501,0))&amp;"","")</f>
        <v/>
      </c>
      <c r="D383" s="18" t="str">
        <f aca="false">IFERROR(INDEX(종합!D$3:D$501,MATCH(ROW()-2,종합!$AD$3:$AD$501,0))&amp;"","")</f>
        <v/>
      </c>
      <c r="E383" s="18" t="str">
        <f aca="false">IFERROR(INDEX(종합!E$3:E$501,MATCH(ROW()-2,종합!$AD$3:$AD$501,0))&amp;"","")</f>
        <v/>
      </c>
      <c r="F383" s="18" t="str">
        <f aca="false">IFERROR(INDEX(종합!F$3:F$501,MATCH(ROW()-2,종합!$AD$3:$AD$501,0))&amp;"","")</f>
        <v/>
      </c>
      <c r="G383" s="18" t="str">
        <f aca="false">IFERROR(INDEX(종합!G$3:G$501,MATCH(ROW()-2,종합!$AD$3:$AD$501,0))&amp;"","")</f>
        <v/>
      </c>
      <c r="H383" s="21" t="str">
        <f aca="false">IFERROR(INDEX(종합!H$3:H$501,MATCH(ROW()-2,종합!$AD$3:$AD$501,0))&amp;"","")</f>
        <v/>
      </c>
      <c r="I383" s="21" t="str">
        <f aca="false">IFERROR(INDEX(종합!I$3:I$501,MATCH(ROW()-2,종합!$AD$3:$AD$501,0))&amp;"","")</f>
        <v/>
      </c>
      <c r="J383" s="21" t="str">
        <f aca="false">IFERROR(INDEX(종합!J$3:J$501,MATCH(ROW()-2,종합!$AD$3:$AD$501,0))&amp;"","")</f>
        <v/>
      </c>
      <c r="K383" s="21" t="str">
        <f aca="false">IFERROR(INDEX(종합!K$3:K$501,MATCH(ROW()-2,종합!$AD$3:$AD$501,0))&amp;"","")</f>
        <v/>
      </c>
      <c r="L383" s="21" t="str">
        <f aca="false">IFERROR(INDEX(종합!L$3:L$501,MATCH(ROW()-2,종합!$AD$3:$AD$501,0))&amp;"","")</f>
        <v/>
      </c>
      <c r="M383" s="21" t="str">
        <f aca="false">IFERROR(INDEX(종합!M$3:M$501,MATCH(ROW()-2,종합!$AD$3:$AD$501,0))&amp;"","")</f>
        <v/>
      </c>
      <c r="N383" s="25" t="str">
        <f aca="false">IFERROR(INDEX(종합!N$3:N$501,MATCH(ROW()-2,종합!$AD$3:$AD$501,0))&amp;"","")</f>
        <v/>
      </c>
      <c r="O383" s="21" t="str">
        <f aca="false">IFERROR(INDEX(종합!O$3:O$501,MATCH(ROW()-2,종합!$AD$3:$AD$501,0))&amp;"","")</f>
        <v/>
      </c>
      <c r="P383" s="21" t="str">
        <f aca="false">IFERROR(INDEX(종합!P$3:P$501,MATCH(ROW()-2,종합!$AD$3:$AD$501,0))&amp;"","")</f>
        <v/>
      </c>
      <c r="Q383" s="21" t="str">
        <f aca="false">IFERROR(INDEX(종합!Q$3:Q$501,MATCH(ROW()-2,종합!$AD$3:$AD$501,0))&amp;"","")</f>
        <v/>
      </c>
      <c r="R383" s="21" t="str">
        <f aca="false">IFERROR(INDEX(종합!R$3:R$501,MATCH(ROW()-2,종합!$AD$3:$AD$501,0))&amp;"","")</f>
        <v/>
      </c>
      <c r="S383" s="21" t="str">
        <f aca="false">IFERROR(INDEX(종합!S$3:S$501,MATCH(ROW()-2,종합!$AD$3:$AD$501,0))&amp;"","")</f>
        <v/>
      </c>
      <c r="T383" s="21" t="str">
        <f aca="false">IFERROR(INDEX(종합!T$3:T$501,MATCH(ROW()-2,종합!$AD$3:$AD$501,0))&amp;"","")</f>
        <v/>
      </c>
      <c r="U383" s="21" t="str">
        <f aca="false">IFERROR(INDEX(종합!U$3:U$501,MATCH(ROW()-2,종합!$AD$3:$AD$501,0))&amp;"","")</f>
        <v/>
      </c>
      <c r="V383" s="21" t="str">
        <f aca="false">IFERROR(INDEX(종합!V$3:V$501,MATCH(ROW()-2,종합!$AD$3:$AD$501,0))&amp;"","")</f>
        <v/>
      </c>
      <c r="W383" s="21" t="str">
        <f aca="false">IFERROR(INDEX(종합!W$3:W$501,MATCH(ROW()-2,종합!$AD$3:$AD$501,0))&amp;"","")</f>
        <v/>
      </c>
      <c r="X383" s="21" t="str">
        <f aca="false">IFERROR(INDEX(종합!X$3:X$501,MATCH(ROW()-2,종합!$AD$3:$AD$501,0))&amp;"","")</f>
        <v/>
      </c>
      <c r="Y383" s="21" t="str">
        <f aca="false">IFERROR(INDEX(종합!Y$3:Y$501,MATCH(ROW()-2,종합!$AD$3:$AD$501,0))&amp;"","")</f>
        <v/>
      </c>
      <c r="Z383" s="21" t="str">
        <f aca="false">IFERROR(INDEX(종합!Z$3:Z$501,MATCH(ROW()-2,종합!$AD$3:$AD$501,0))&amp;"","")</f>
        <v/>
      </c>
      <c r="AA383" s="23" t="str">
        <f aca="false">IFERROR(INDEX(종합!AA$3:AA$501,MATCH(ROW()-2,종합!$AD$3:$AD$501,0))&amp;"","")</f>
        <v/>
      </c>
    </row>
    <row r="384" customFormat="false" ht="16.5" hidden="false" customHeight="true" outlineLevel="0" collapsed="false">
      <c r="A384" s="18" t="str">
        <f aca="false">IF(B384="","",ROW()-2)</f>
        <v/>
      </c>
      <c r="B384" s="18" t="str">
        <f aca="false">IFERROR(INDEX(종합!B$3:B$501,MATCH(ROW()-2,종합!$AD$3:$AD$501,0))&amp;"","")</f>
        <v/>
      </c>
      <c r="C384" s="18" t="str">
        <f aca="false">IFERROR(INDEX(종합!C$3:C$501,MATCH(ROW()-2,종합!$AD$3:$AD$501,0))&amp;"","")</f>
        <v/>
      </c>
      <c r="D384" s="18" t="str">
        <f aca="false">IFERROR(INDEX(종합!D$3:D$501,MATCH(ROW()-2,종합!$AD$3:$AD$501,0))&amp;"","")</f>
        <v/>
      </c>
      <c r="E384" s="18" t="str">
        <f aca="false">IFERROR(INDEX(종합!E$3:E$501,MATCH(ROW()-2,종합!$AD$3:$AD$501,0))&amp;"","")</f>
        <v/>
      </c>
      <c r="F384" s="18" t="str">
        <f aca="false">IFERROR(INDEX(종합!F$3:F$501,MATCH(ROW()-2,종합!$AD$3:$AD$501,0))&amp;"","")</f>
        <v/>
      </c>
      <c r="G384" s="18" t="str">
        <f aca="false">IFERROR(INDEX(종합!G$3:G$501,MATCH(ROW()-2,종합!$AD$3:$AD$501,0))&amp;"","")</f>
        <v/>
      </c>
      <c r="H384" s="21" t="str">
        <f aca="false">IFERROR(INDEX(종합!H$3:H$501,MATCH(ROW()-2,종합!$AD$3:$AD$501,0))&amp;"","")</f>
        <v/>
      </c>
      <c r="I384" s="21" t="str">
        <f aca="false">IFERROR(INDEX(종합!I$3:I$501,MATCH(ROW()-2,종합!$AD$3:$AD$501,0))&amp;"","")</f>
        <v/>
      </c>
      <c r="J384" s="21" t="str">
        <f aca="false">IFERROR(INDEX(종합!J$3:J$501,MATCH(ROW()-2,종합!$AD$3:$AD$501,0))&amp;"","")</f>
        <v/>
      </c>
      <c r="K384" s="21" t="str">
        <f aca="false">IFERROR(INDEX(종합!K$3:K$501,MATCH(ROW()-2,종합!$AD$3:$AD$501,0))&amp;"","")</f>
        <v/>
      </c>
      <c r="L384" s="21" t="str">
        <f aca="false">IFERROR(INDEX(종합!L$3:L$501,MATCH(ROW()-2,종합!$AD$3:$AD$501,0))&amp;"","")</f>
        <v/>
      </c>
      <c r="M384" s="21" t="str">
        <f aca="false">IFERROR(INDEX(종합!M$3:M$501,MATCH(ROW()-2,종합!$AD$3:$AD$501,0))&amp;"","")</f>
        <v/>
      </c>
      <c r="N384" s="25" t="str">
        <f aca="false">IFERROR(INDEX(종합!N$3:N$501,MATCH(ROW()-2,종합!$AD$3:$AD$501,0))&amp;"","")</f>
        <v/>
      </c>
      <c r="O384" s="21" t="str">
        <f aca="false">IFERROR(INDEX(종합!O$3:O$501,MATCH(ROW()-2,종합!$AD$3:$AD$501,0))&amp;"","")</f>
        <v/>
      </c>
      <c r="P384" s="21" t="str">
        <f aca="false">IFERROR(INDEX(종합!P$3:P$501,MATCH(ROW()-2,종합!$AD$3:$AD$501,0))&amp;"","")</f>
        <v/>
      </c>
      <c r="Q384" s="21" t="str">
        <f aca="false">IFERROR(INDEX(종합!Q$3:Q$501,MATCH(ROW()-2,종합!$AD$3:$AD$501,0))&amp;"","")</f>
        <v/>
      </c>
      <c r="R384" s="21" t="str">
        <f aca="false">IFERROR(INDEX(종합!R$3:R$501,MATCH(ROW()-2,종합!$AD$3:$AD$501,0))&amp;"","")</f>
        <v/>
      </c>
      <c r="S384" s="21" t="str">
        <f aca="false">IFERROR(INDEX(종합!S$3:S$501,MATCH(ROW()-2,종합!$AD$3:$AD$501,0))&amp;"","")</f>
        <v/>
      </c>
      <c r="T384" s="21" t="str">
        <f aca="false">IFERROR(INDEX(종합!T$3:T$501,MATCH(ROW()-2,종합!$AD$3:$AD$501,0))&amp;"","")</f>
        <v/>
      </c>
      <c r="U384" s="21" t="str">
        <f aca="false">IFERROR(INDEX(종합!U$3:U$501,MATCH(ROW()-2,종합!$AD$3:$AD$501,0))&amp;"","")</f>
        <v/>
      </c>
      <c r="V384" s="21" t="str">
        <f aca="false">IFERROR(INDEX(종합!V$3:V$501,MATCH(ROW()-2,종합!$AD$3:$AD$501,0))&amp;"","")</f>
        <v/>
      </c>
      <c r="W384" s="21" t="str">
        <f aca="false">IFERROR(INDEX(종합!W$3:W$501,MATCH(ROW()-2,종합!$AD$3:$AD$501,0))&amp;"","")</f>
        <v/>
      </c>
      <c r="X384" s="21" t="str">
        <f aca="false">IFERROR(INDEX(종합!X$3:X$501,MATCH(ROW()-2,종합!$AD$3:$AD$501,0))&amp;"","")</f>
        <v/>
      </c>
      <c r="Y384" s="21" t="str">
        <f aca="false">IFERROR(INDEX(종합!Y$3:Y$501,MATCH(ROW()-2,종합!$AD$3:$AD$501,0))&amp;"","")</f>
        <v/>
      </c>
      <c r="Z384" s="21" t="str">
        <f aca="false">IFERROR(INDEX(종합!Z$3:Z$501,MATCH(ROW()-2,종합!$AD$3:$AD$501,0))&amp;"","")</f>
        <v/>
      </c>
      <c r="AA384" s="23" t="str">
        <f aca="false">IFERROR(INDEX(종합!AA$3:AA$501,MATCH(ROW()-2,종합!$AD$3:$AD$501,0))&amp;"","")</f>
        <v/>
      </c>
    </row>
    <row r="385" customFormat="false" ht="16.5" hidden="false" customHeight="true" outlineLevel="0" collapsed="false">
      <c r="A385" s="18" t="str">
        <f aca="false">IF(B385="","",ROW()-2)</f>
        <v/>
      </c>
      <c r="B385" s="18" t="str">
        <f aca="false">IFERROR(INDEX(종합!B$3:B$501,MATCH(ROW()-2,종합!$AD$3:$AD$501,0))&amp;"","")</f>
        <v/>
      </c>
      <c r="C385" s="18" t="str">
        <f aca="false">IFERROR(INDEX(종합!C$3:C$501,MATCH(ROW()-2,종합!$AD$3:$AD$501,0))&amp;"","")</f>
        <v/>
      </c>
      <c r="D385" s="18" t="str">
        <f aca="false">IFERROR(INDEX(종합!D$3:D$501,MATCH(ROW()-2,종합!$AD$3:$AD$501,0))&amp;"","")</f>
        <v/>
      </c>
      <c r="E385" s="18" t="str">
        <f aca="false">IFERROR(INDEX(종합!E$3:E$501,MATCH(ROW()-2,종합!$AD$3:$AD$501,0))&amp;"","")</f>
        <v/>
      </c>
      <c r="F385" s="18" t="str">
        <f aca="false">IFERROR(INDEX(종합!F$3:F$501,MATCH(ROW()-2,종합!$AD$3:$AD$501,0))&amp;"","")</f>
        <v/>
      </c>
      <c r="G385" s="18" t="str">
        <f aca="false">IFERROR(INDEX(종합!G$3:G$501,MATCH(ROW()-2,종합!$AD$3:$AD$501,0))&amp;"","")</f>
        <v/>
      </c>
      <c r="H385" s="21" t="str">
        <f aca="false">IFERROR(INDEX(종합!H$3:H$501,MATCH(ROW()-2,종합!$AD$3:$AD$501,0))&amp;"","")</f>
        <v/>
      </c>
      <c r="I385" s="21" t="str">
        <f aca="false">IFERROR(INDEX(종합!I$3:I$501,MATCH(ROW()-2,종합!$AD$3:$AD$501,0))&amp;"","")</f>
        <v/>
      </c>
      <c r="J385" s="21" t="str">
        <f aca="false">IFERROR(INDEX(종합!J$3:J$501,MATCH(ROW()-2,종합!$AD$3:$AD$501,0))&amp;"","")</f>
        <v/>
      </c>
      <c r="K385" s="21" t="str">
        <f aca="false">IFERROR(INDEX(종합!K$3:K$501,MATCH(ROW()-2,종합!$AD$3:$AD$501,0))&amp;"","")</f>
        <v/>
      </c>
      <c r="L385" s="21" t="str">
        <f aca="false">IFERROR(INDEX(종합!L$3:L$501,MATCH(ROW()-2,종합!$AD$3:$AD$501,0))&amp;"","")</f>
        <v/>
      </c>
      <c r="M385" s="21" t="str">
        <f aca="false">IFERROR(INDEX(종합!M$3:M$501,MATCH(ROW()-2,종합!$AD$3:$AD$501,0))&amp;"","")</f>
        <v/>
      </c>
      <c r="N385" s="25" t="str">
        <f aca="false">IFERROR(INDEX(종합!N$3:N$501,MATCH(ROW()-2,종합!$AD$3:$AD$501,0))&amp;"","")</f>
        <v/>
      </c>
      <c r="O385" s="21" t="str">
        <f aca="false">IFERROR(INDEX(종합!O$3:O$501,MATCH(ROW()-2,종합!$AD$3:$AD$501,0))&amp;"","")</f>
        <v/>
      </c>
      <c r="P385" s="21" t="str">
        <f aca="false">IFERROR(INDEX(종합!P$3:P$501,MATCH(ROW()-2,종합!$AD$3:$AD$501,0))&amp;"","")</f>
        <v/>
      </c>
      <c r="Q385" s="21" t="str">
        <f aca="false">IFERROR(INDEX(종합!Q$3:Q$501,MATCH(ROW()-2,종합!$AD$3:$AD$501,0))&amp;"","")</f>
        <v/>
      </c>
      <c r="R385" s="21" t="str">
        <f aca="false">IFERROR(INDEX(종합!R$3:R$501,MATCH(ROW()-2,종합!$AD$3:$AD$501,0))&amp;"","")</f>
        <v/>
      </c>
      <c r="S385" s="21" t="str">
        <f aca="false">IFERROR(INDEX(종합!S$3:S$501,MATCH(ROW()-2,종합!$AD$3:$AD$501,0))&amp;"","")</f>
        <v/>
      </c>
      <c r="T385" s="21" t="str">
        <f aca="false">IFERROR(INDEX(종합!T$3:T$501,MATCH(ROW()-2,종합!$AD$3:$AD$501,0))&amp;"","")</f>
        <v/>
      </c>
      <c r="U385" s="21" t="str">
        <f aca="false">IFERROR(INDEX(종합!U$3:U$501,MATCH(ROW()-2,종합!$AD$3:$AD$501,0))&amp;"","")</f>
        <v/>
      </c>
      <c r="V385" s="21" t="str">
        <f aca="false">IFERROR(INDEX(종합!V$3:V$501,MATCH(ROW()-2,종합!$AD$3:$AD$501,0))&amp;"","")</f>
        <v/>
      </c>
      <c r="W385" s="21" t="str">
        <f aca="false">IFERROR(INDEX(종합!W$3:W$501,MATCH(ROW()-2,종합!$AD$3:$AD$501,0))&amp;"","")</f>
        <v/>
      </c>
      <c r="X385" s="21" t="str">
        <f aca="false">IFERROR(INDEX(종합!X$3:X$501,MATCH(ROW()-2,종합!$AD$3:$AD$501,0))&amp;"","")</f>
        <v/>
      </c>
      <c r="Y385" s="21" t="str">
        <f aca="false">IFERROR(INDEX(종합!Y$3:Y$501,MATCH(ROW()-2,종합!$AD$3:$AD$501,0))&amp;"","")</f>
        <v/>
      </c>
      <c r="Z385" s="21" t="str">
        <f aca="false">IFERROR(INDEX(종합!Z$3:Z$501,MATCH(ROW()-2,종합!$AD$3:$AD$501,0))&amp;"","")</f>
        <v/>
      </c>
      <c r="AA385" s="23" t="str">
        <f aca="false">IFERROR(INDEX(종합!AA$3:AA$501,MATCH(ROW()-2,종합!$AD$3:$AD$501,0))&amp;"","")</f>
        <v/>
      </c>
    </row>
    <row r="386" customFormat="false" ht="16.5" hidden="false" customHeight="true" outlineLevel="0" collapsed="false">
      <c r="A386" s="18" t="str">
        <f aca="false">IF(B386="","",ROW()-2)</f>
        <v/>
      </c>
      <c r="B386" s="18" t="str">
        <f aca="false">IFERROR(INDEX(종합!B$3:B$501,MATCH(ROW()-2,종합!$AD$3:$AD$501,0))&amp;"","")</f>
        <v/>
      </c>
      <c r="C386" s="18" t="str">
        <f aca="false">IFERROR(INDEX(종합!C$3:C$501,MATCH(ROW()-2,종합!$AD$3:$AD$501,0))&amp;"","")</f>
        <v/>
      </c>
      <c r="D386" s="18" t="str">
        <f aca="false">IFERROR(INDEX(종합!D$3:D$501,MATCH(ROW()-2,종합!$AD$3:$AD$501,0))&amp;"","")</f>
        <v/>
      </c>
      <c r="E386" s="18" t="str">
        <f aca="false">IFERROR(INDEX(종합!E$3:E$501,MATCH(ROW()-2,종합!$AD$3:$AD$501,0))&amp;"","")</f>
        <v/>
      </c>
      <c r="F386" s="18" t="str">
        <f aca="false">IFERROR(INDEX(종합!F$3:F$501,MATCH(ROW()-2,종합!$AD$3:$AD$501,0))&amp;"","")</f>
        <v/>
      </c>
      <c r="G386" s="18" t="str">
        <f aca="false">IFERROR(INDEX(종합!G$3:G$501,MATCH(ROW()-2,종합!$AD$3:$AD$501,0))&amp;"","")</f>
        <v/>
      </c>
      <c r="H386" s="21" t="str">
        <f aca="false">IFERROR(INDEX(종합!H$3:H$501,MATCH(ROW()-2,종합!$AD$3:$AD$501,0))&amp;"","")</f>
        <v/>
      </c>
      <c r="I386" s="21" t="str">
        <f aca="false">IFERROR(INDEX(종합!I$3:I$501,MATCH(ROW()-2,종합!$AD$3:$AD$501,0))&amp;"","")</f>
        <v/>
      </c>
      <c r="J386" s="21" t="str">
        <f aca="false">IFERROR(INDEX(종합!J$3:J$501,MATCH(ROW()-2,종합!$AD$3:$AD$501,0))&amp;"","")</f>
        <v/>
      </c>
      <c r="K386" s="21" t="str">
        <f aca="false">IFERROR(INDEX(종합!K$3:K$501,MATCH(ROW()-2,종합!$AD$3:$AD$501,0))&amp;"","")</f>
        <v/>
      </c>
      <c r="L386" s="21" t="str">
        <f aca="false">IFERROR(INDEX(종합!L$3:L$501,MATCH(ROW()-2,종합!$AD$3:$AD$501,0))&amp;"","")</f>
        <v/>
      </c>
      <c r="M386" s="21" t="str">
        <f aca="false">IFERROR(INDEX(종합!M$3:M$501,MATCH(ROW()-2,종합!$AD$3:$AD$501,0))&amp;"","")</f>
        <v/>
      </c>
      <c r="N386" s="25" t="str">
        <f aca="false">IFERROR(INDEX(종합!N$3:N$501,MATCH(ROW()-2,종합!$AD$3:$AD$501,0))&amp;"","")</f>
        <v/>
      </c>
      <c r="O386" s="21" t="str">
        <f aca="false">IFERROR(INDEX(종합!O$3:O$501,MATCH(ROW()-2,종합!$AD$3:$AD$501,0))&amp;"","")</f>
        <v/>
      </c>
      <c r="P386" s="21" t="str">
        <f aca="false">IFERROR(INDEX(종합!P$3:P$501,MATCH(ROW()-2,종합!$AD$3:$AD$501,0))&amp;"","")</f>
        <v/>
      </c>
      <c r="Q386" s="21" t="str">
        <f aca="false">IFERROR(INDEX(종합!Q$3:Q$501,MATCH(ROW()-2,종합!$AD$3:$AD$501,0))&amp;"","")</f>
        <v/>
      </c>
      <c r="R386" s="21" t="str">
        <f aca="false">IFERROR(INDEX(종합!R$3:R$501,MATCH(ROW()-2,종합!$AD$3:$AD$501,0))&amp;"","")</f>
        <v/>
      </c>
      <c r="S386" s="21" t="str">
        <f aca="false">IFERROR(INDEX(종합!S$3:S$501,MATCH(ROW()-2,종합!$AD$3:$AD$501,0))&amp;"","")</f>
        <v/>
      </c>
      <c r="T386" s="21" t="str">
        <f aca="false">IFERROR(INDEX(종합!T$3:T$501,MATCH(ROW()-2,종합!$AD$3:$AD$501,0))&amp;"","")</f>
        <v/>
      </c>
      <c r="U386" s="21" t="str">
        <f aca="false">IFERROR(INDEX(종합!U$3:U$501,MATCH(ROW()-2,종합!$AD$3:$AD$501,0))&amp;"","")</f>
        <v/>
      </c>
      <c r="V386" s="21" t="str">
        <f aca="false">IFERROR(INDEX(종합!V$3:V$501,MATCH(ROW()-2,종합!$AD$3:$AD$501,0))&amp;"","")</f>
        <v/>
      </c>
      <c r="W386" s="21" t="str">
        <f aca="false">IFERROR(INDEX(종합!W$3:W$501,MATCH(ROW()-2,종합!$AD$3:$AD$501,0))&amp;"","")</f>
        <v/>
      </c>
      <c r="X386" s="21" t="str">
        <f aca="false">IFERROR(INDEX(종합!X$3:X$501,MATCH(ROW()-2,종합!$AD$3:$AD$501,0))&amp;"","")</f>
        <v/>
      </c>
      <c r="Y386" s="21" t="str">
        <f aca="false">IFERROR(INDEX(종합!Y$3:Y$501,MATCH(ROW()-2,종합!$AD$3:$AD$501,0))&amp;"","")</f>
        <v/>
      </c>
      <c r="Z386" s="21" t="str">
        <f aca="false">IFERROR(INDEX(종합!Z$3:Z$501,MATCH(ROW()-2,종합!$AD$3:$AD$501,0))&amp;"","")</f>
        <v/>
      </c>
      <c r="AA386" s="23" t="str">
        <f aca="false">IFERROR(INDEX(종합!AA$3:AA$501,MATCH(ROW()-2,종합!$AD$3:$AD$501,0))&amp;"","")</f>
        <v/>
      </c>
    </row>
    <row r="387" customFormat="false" ht="16.5" hidden="false" customHeight="true" outlineLevel="0" collapsed="false">
      <c r="A387" s="18" t="str">
        <f aca="false">IF(B387="","",ROW()-2)</f>
        <v/>
      </c>
      <c r="B387" s="18" t="str">
        <f aca="false">IFERROR(INDEX(종합!B$3:B$501,MATCH(ROW()-2,종합!$AD$3:$AD$501,0))&amp;"","")</f>
        <v/>
      </c>
      <c r="C387" s="18" t="str">
        <f aca="false">IFERROR(INDEX(종합!C$3:C$501,MATCH(ROW()-2,종합!$AD$3:$AD$501,0))&amp;"","")</f>
        <v/>
      </c>
      <c r="D387" s="18" t="str">
        <f aca="false">IFERROR(INDEX(종합!D$3:D$501,MATCH(ROW()-2,종합!$AD$3:$AD$501,0))&amp;"","")</f>
        <v/>
      </c>
      <c r="E387" s="18" t="str">
        <f aca="false">IFERROR(INDEX(종합!E$3:E$501,MATCH(ROW()-2,종합!$AD$3:$AD$501,0))&amp;"","")</f>
        <v/>
      </c>
      <c r="F387" s="18" t="str">
        <f aca="false">IFERROR(INDEX(종합!F$3:F$501,MATCH(ROW()-2,종합!$AD$3:$AD$501,0))&amp;"","")</f>
        <v/>
      </c>
      <c r="G387" s="18" t="str">
        <f aca="false">IFERROR(INDEX(종합!G$3:G$501,MATCH(ROW()-2,종합!$AD$3:$AD$501,0))&amp;"","")</f>
        <v/>
      </c>
      <c r="H387" s="21" t="str">
        <f aca="false">IFERROR(INDEX(종합!H$3:H$501,MATCH(ROW()-2,종합!$AD$3:$AD$501,0))&amp;"","")</f>
        <v/>
      </c>
      <c r="I387" s="21" t="str">
        <f aca="false">IFERROR(INDEX(종합!I$3:I$501,MATCH(ROW()-2,종합!$AD$3:$AD$501,0))&amp;"","")</f>
        <v/>
      </c>
      <c r="J387" s="21" t="str">
        <f aca="false">IFERROR(INDEX(종합!J$3:J$501,MATCH(ROW()-2,종합!$AD$3:$AD$501,0))&amp;"","")</f>
        <v/>
      </c>
      <c r="K387" s="21" t="str">
        <f aca="false">IFERROR(INDEX(종합!K$3:K$501,MATCH(ROW()-2,종합!$AD$3:$AD$501,0))&amp;"","")</f>
        <v/>
      </c>
      <c r="L387" s="21" t="str">
        <f aca="false">IFERROR(INDEX(종합!L$3:L$501,MATCH(ROW()-2,종합!$AD$3:$AD$501,0))&amp;"","")</f>
        <v/>
      </c>
      <c r="M387" s="21" t="str">
        <f aca="false">IFERROR(INDEX(종합!M$3:M$501,MATCH(ROW()-2,종합!$AD$3:$AD$501,0))&amp;"","")</f>
        <v/>
      </c>
      <c r="N387" s="25" t="str">
        <f aca="false">IFERROR(INDEX(종합!N$3:N$501,MATCH(ROW()-2,종합!$AD$3:$AD$501,0))&amp;"","")</f>
        <v/>
      </c>
      <c r="O387" s="21" t="str">
        <f aca="false">IFERROR(INDEX(종합!O$3:O$501,MATCH(ROW()-2,종합!$AD$3:$AD$501,0))&amp;"","")</f>
        <v/>
      </c>
      <c r="P387" s="21" t="str">
        <f aca="false">IFERROR(INDEX(종합!P$3:P$501,MATCH(ROW()-2,종합!$AD$3:$AD$501,0))&amp;"","")</f>
        <v/>
      </c>
      <c r="Q387" s="21" t="str">
        <f aca="false">IFERROR(INDEX(종합!Q$3:Q$501,MATCH(ROW()-2,종합!$AD$3:$AD$501,0))&amp;"","")</f>
        <v/>
      </c>
      <c r="R387" s="21" t="str">
        <f aca="false">IFERROR(INDEX(종합!R$3:R$501,MATCH(ROW()-2,종합!$AD$3:$AD$501,0))&amp;"","")</f>
        <v/>
      </c>
      <c r="S387" s="21" t="str">
        <f aca="false">IFERROR(INDEX(종합!S$3:S$501,MATCH(ROW()-2,종합!$AD$3:$AD$501,0))&amp;"","")</f>
        <v/>
      </c>
      <c r="T387" s="21" t="str">
        <f aca="false">IFERROR(INDEX(종합!T$3:T$501,MATCH(ROW()-2,종합!$AD$3:$AD$501,0))&amp;"","")</f>
        <v/>
      </c>
      <c r="U387" s="21" t="str">
        <f aca="false">IFERROR(INDEX(종합!U$3:U$501,MATCH(ROW()-2,종합!$AD$3:$AD$501,0))&amp;"","")</f>
        <v/>
      </c>
      <c r="V387" s="21" t="str">
        <f aca="false">IFERROR(INDEX(종합!V$3:V$501,MATCH(ROW()-2,종합!$AD$3:$AD$501,0))&amp;"","")</f>
        <v/>
      </c>
      <c r="W387" s="21" t="str">
        <f aca="false">IFERROR(INDEX(종합!W$3:W$501,MATCH(ROW()-2,종합!$AD$3:$AD$501,0))&amp;"","")</f>
        <v/>
      </c>
      <c r="X387" s="21" t="str">
        <f aca="false">IFERROR(INDEX(종합!X$3:X$501,MATCH(ROW()-2,종합!$AD$3:$AD$501,0))&amp;"","")</f>
        <v/>
      </c>
      <c r="Y387" s="21" t="str">
        <f aca="false">IFERROR(INDEX(종합!Y$3:Y$501,MATCH(ROW()-2,종합!$AD$3:$AD$501,0))&amp;"","")</f>
        <v/>
      </c>
      <c r="Z387" s="21" t="str">
        <f aca="false">IFERROR(INDEX(종합!Z$3:Z$501,MATCH(ROW()-2,종합!$AD$3:$AD$501,0))&amp;"","")</f>
        <v/>
      </c>
      <c r="AA387" s="23" t="str">
        <f aca="false">IFERROR(INDEX(종합!AA$3:AA$501,MATCH(ROW()-2,종합!$AD$3:$AD$501,0))&amp;"","")</f>
        <v/>
      </c>
    </row>
    <row r="388" customFormat="false" ht="16.5" hidden="false" customHeight="true" outlineLevel="0" collapsed="false">
      <c r="A388" s="18" t="str">
        <f aca="false">IF(B388="","",ROW()-2)</f>
        <v/>
      </c>
      <c r="B388" s="18" t="str">
        <f aca="false">IFERROR(INDEX(종합!B$3:B$501,MATCH(ROW()-2,종합!$AD$3:$AD$501,0))&amp;"","")</f>
        <v/>
      </c>
      <c r="C388" s="18" t="str">
        <f aca="false">IFERROR(INDEX(종합!C$3:C$501,MATCH(ROW()-2,종합!$AD$3:$AD$501,0))&amp;"","")</f>
        <v/>
      </c>
      <c r="D388" s="18" t="str">
        <f aca="false">IFERROR(INDEX(종합!D$3:D$501,MATCH(ROW()-2,종합!$AD$3:$AD$501,0))&amp;"","")</f>
        <v/>
      </c>
      <c r="E388" s="18" t="str">
        <f aca="false">IFERROR(INDEX(종합!E$3:E$501,MATCH(ROW()-2,종합!$AD$3:$AD$501,0))&amp;"","")</f>
        <v/>
      </c>
      <c r="F388" s="18" t="str">
        <f aca="false">IFERROR(INDEX(종합!F$3:F$501,MATCH(ROW()-2,종합!$AD$3:$AD$501,0))&amp;"","")</f>
        <v/>
      </c>
      <c r="G388" s="18" t="str">
        <f aca="false">IFERROR(INDEX(종합!G$3:G$501,MATCH(ROW()-2,종합!$AD$3:$AD$501,0))&amp;"","")</f>
        <v/>
      </c>
      <c r="H388" s="21" t="str">
        <f aca="false">IFERROR(INDEX(종합!H$3:H$501,MATCH(ROW()-2,종합!$AD$3:$AD$501,0))&amp;"","")</f>
        <v/>
      </c>
      <c r="I388" s="21" t="str">
        <f aca="false">IFERROR(INDEX(종합!I$3:I$501,MATCH(ROW()-2,종합!$AD$3:$AD$501,0))&amp;"","")</f>
        <v/>
      </c>
      <c r="J388" s="21" t="str">
        <f aca="false">IFERROR(INDEX(종합!J$3:J$501,MATCH(ROW()-2,종합!$AD$3:$AD$501,0))&amp;"","")</f>
        <v/>
      </c>
      <c r="K388" s="21" t="str">
        <f aca="false">IFERROR(INDEX(종합!K$3:K$501,MATCH(ROW()-2,종합!$AD$3:$AD$501,0))&amp;"","")</f>
        <v/>
      </c>
      <c r="L388" s="21" t="str">
        <f aca="false">IFERROR(INDEX(종합!L$3:L$501,MATCH(ROW()-2,종합!$AD$3:$AD$501,0))&amp;"","")</f>
        <v/>
      </c>
      <c r="M388" s="21" t="str">
        <f aca="false">IFERROR(INDEX(종합!M$3:M$501,MATCH(ROW()-2,종합!$AD$3:$AD$501,0))&amp;"","")</f>
        <v/>
      </c>
      <c r="N388" s="25" t="str">
        <f aca="false">IFERROR(INDEX(종합!N$3:N$501,MATCH(ROW()-2,종합!$AD$3:$AD$501,0))&amp;"","")</f>
        <v/>
      </c>
      <c r="O388" s="21" t="str">
        <f aca="false">IFERROR(INDEX(종합!O$3:O$501,MATCH(ROW()-2,종합!$AD$3:$AD$501,0))&amp;"","")</f>
        <v/>
      </c>
      <c r="P388" s="21" t="str">
        <f aca="false">IFERROR(INDEX(종합!P$3:P$501,MATCH(ROW()-2,종합!$AD$3:$AD$501,0))&amp;"","")</f>
        <v/>
      </c>
      <c r="Q388" s="21" t="str">
        <f aca="false">IFERROR(INDEX(종합!Q$3:Q$501,MATCH(ROW()-2,종합!$AD$3:$AD$501,0))&amp;"","")</f>
        <v/>
      </c>
      <c r="R388" s="21" t="str">
        <f aca="false">IFERROR(INDEX(종합!R$3:R$501,MATCH(ROW()-2,종합!$AD$3:$AD$501,0))&amp;"","")</f>
        <v/>
      </c>
      <c r="S388" s="21" t="str">
        <f aca="false">IFERROR(INDEX(종합!S$3:S$501,MATCH(ROW()-2,종합!$AD$3:$AD$501,0))&amp;"","")</f>
        <v/>
      </c>
      <c r="T388" s="21" t="str">
        <f aca="false">IFERROR(INDEX(종합!T$3:T$501,MATCH(ROW()-2,종합!$AD$3:$AD$501,0))&amp;"","")</f>
        <v/>
      </c>
      <c r="U388" s="21" t="str">
        <f aca="false">IFERROR(INDEX(종합!U$3:U$501,MATCH(ROW()-2,종합!$AD$3:$AD$501,0))&amp;"","")</f>
        <v/>
      </c>
      <c r="V388" s="21" t="str">
        <f aca="false">IFERROR(INDEX(종합!V$3:V$501,MATCH(ROW()-2,종합!$AD$3:$AD$501,0))&amp;"","")</f>
        <v/>
      </c>
      <c r="W388" s="21" t="str">
        <f aca="false">IFERROR(INDEX(종합!W$3:W$501,MATCH(ROW()-2,종합!$AD$3:$AD$501,0))&amp;"","")</f>
        <v/>
      </c>
      <c r="X388" s="21" t="str">
        <f aca="false">IFERROR(INDEX(종합!X$3:X$501,MATCH(ROW()-2,종합!$AD$3:$AD$501,0))&amp;"","")</f>
        <v/>
      </c>
      <c r="Y388" s="21" t="str">
        <f aca="false">IFERROR(INDEX(종합!Y$3:Y$501,MATCH(ROW()-2,종합!$AD$3:$AD$501,0))&amp;"","")</f>
        <v/>
      </c>
      <c r="Z388" s="21" t="str">
        <f aca="false">IFERROR(INDEX(종합!Z$3:Z$501,MATCH(ROW()-2,종합!$AD$3:$AD$501,0))&amp;"","")</f>
        <v/>
      </c>
      <c r="AA388" s="23" t="str">
        <f aca="false">IFERROR(INDEX(종합!AA$3:AA$501,MATCH(ROW()-2,종합!$AD$3:$AD$501,0))&amp;"","")</f>
        <v/>
      </c>
    </row>
    <row r="389" customFormat="false" ht="16.5" hidden="false" customHeight="true" outlineLevel="0" collapsed="false">
      <c r="A389" s="18" t="str">
        <f aca="false">IF(B389="","",ROW()-2)</f>
        <v/>
      </c>
      <c r="B389" s="18" t="str">
        <f aca="false">IFERROR(INDEX(종합!B$3:B$501,MATCH(ROW()-2,종합!$AD$3:$AD$501,0))&amp;"","")</f>
        <v/>
      </c>
      <c r="C389" s="18" t="str">
        <f aca="false">IFERROR(INDEX(종합!C$3:C$501,MATCH(ROW()-2,종합!$AD$3:$AD$501,0))&amp;"","")</f>
        <v/>
      </c>
      <c r="D389" s="18" t="str">
        <f aca="false">IFERROR(INDEX(종합!D$3:D$501,MATCH(ROW()-2,종합!$AD$3:$AD$501,0))&amp;"","")</f>
        <v/>
      </c>
      <c r="E389" s="18" t="str">
        <f aca="false">IFERROR(INDEX(종합!E$3:E$501,MATCH(ROW()-2,종합!$AD$3:$AD$501,0))&amp;"","")</f>
        <v/>
      </c>
      <c r="F389" s="18" t="str">
        <f aca="false">IFERROR(INDEX(종합!F$3:F$501,MATCH(ROW()-2,종합!$AD$3:$AD$501,0))&amp;"","")</f>
        <v/>
      </c>
      <c r="G389" s="18" t="str">
        <f aca="false">IFERROR(INDEX(종합!G$3:G$501,MATCH(ROW()-2,종합!$AD$3:$AD$501,0))&amp;"","")</f>
        <v/>
      </c>
      <c r="H389" s="21" t="str">
        <f aca="false">IFERROR(INDEX(종합!H$3:H$501,MATCH(ROW()-2,종합!$AD$3:$AD$501,0))&amp;"","")</f>
        <v/>
      </c>
      <c r="I389" s="21" t="str">
        <f aca="false">IFERROR(INDEX(종합!I$3:I$501,MATCH(ROW()-2,종합!$AD$3:$AD$501,0))&amp;"","")</f>
        <v/>
      </c>
      <c r="J389" s="21" t="str">
        <f aca="false">IFERROR(INDEX(종합!J$3:J$501,MATCH(ROW()-2,종합!$AD$3:$AD$501,0))&amp;"","")</f>
        <v/>
      </c>
      <c r="K389" s="21" t="str">
        <f aca="false">IFERROR(INDEX(종합!K$3:K$501,MATCH(ROW()-2,종합!$AD$3:$AD$501,0))&amp;"","")</f>
        <v/>
      </c>
      <c r="L389" s="21" t="str">
        <f aca="false">IFERROR(INDEX(종합!L$3:L$501,MATCH(ROW()-2,종합!$AD$3:$AD$501,0))&amp;"","")</f>
        <v/>
      </c>
      <c r="M389" s="21" t="str">
        <f aca="false">IFERROR(INDEX(종합!M$3:M$501,MATCH(ROW()-2,종합!$AD$3:$AD$501,0))&amp;"","")</f>
        <v/>
      </c>
      <c r="N389" s="25" t="str">
        <f aca="false">IFERROR(INDEX(종합!N$3:N$501,MATCH(ROW()-2,종합!$AD$3:$AD$501,0))&amp;"","")</f>
        <v/>
      </c>
      <c r="O389" s="21" t="str">
        <f aca="false">IFERROR(INDEX(종합!O$3:O$501,MATCH(ROW()-2,종합!$AD$3:$AD$501,0))&amp;"","")</f>
        <v/>
      </c>
      <c r="P389" s="21" t="str">
        <f aca="false">IFERROR(INDEX(종합!P$3:P$501,MATCH(ROW()-2,종합!$AD$3:$AD$501,0))&amp;"","")</f>
        <v/>
      </c>
      <c r="Q389" s="21" t="str">
        <f aca="false">IFERROR(INDEX(종합!Q$3:Q$501,MATCH(ROW()-2,종합!$AD$3:$AD$501,0))&amp;"","")</f>
        <v/>
      </c>
      <c r="R389" s="21" t="str">
        <f aca="false">IFERROR(INDEX(종합!R$3:R$501,MATCH(ROW()-2,종합!$AD$3:$AD$501,0))&amp;"","")</f>
        <v/>
      </c>
      <c r="S389" s="21" t="str">
        <f aca="false">IFERROR(INDEX(종합!S$3:S$501,MATCH(ROW()-2,종합!$AD$3:$AD$501,0))&amp;"","")</f>
        <v/>
      </c>
      <c r="T389" s="21" t="str">
        <f aca="false">IFERROR(INDEX(종합!T$3:T$501,MATCH(ROW()-2,종합!$AD$3:$AD$501,0))&amp;"","")</f>
        <v/>
      </c>
      <c r="U389" s="21" t="str">
        <f aca="false">IFERROR(INDEX(종합!U$3:U$501,MATCH(ROW()-2,종합!$AD$3:$AD$501,0))&amp;"","")</f>
        <v/>
      </c>
      <c r="V389" s="21" t="str">
        <f aca="false">IFERROR(INDEX(종합!V$3:V$501,MATCH(ROW()-2,종합!$AD$3:$AD$501,0))&amp;"","")</f>
        <v/>
      </c>
      <c r="W389" s="21" t="str">
        <f aca="false">IFERROR(INDEX(종합!W$3:W$501,MATCH(ROW()-2,종합!$AD$3:$AD$501,0))&amp;"","")</f>
        <v/>
      </c>
      <c r="X389" s="21" t="str">
        <f aca="false">IFERROR(INDEX(종합!X$3:X$501,MATCH(ROW()-2,종합!$AD$3:$AD$501,0))&amp;"","")</f>
        <v/>
      </c>
      <c r="Y389" s="21" t="str">
        <f aca="false">IFERROR(INDEX(종합!Y$3:Y$501,MATCH(ROW()-2,종합!$AD$3:$AD$501,0))&amp;"","")</f>
        <v/>
      </c>
      <c r="Z389" s="21" t="str">
        <f aca="false">IFERROR(INDEX(종합!Z$3:Z$501,MATCH(ROW()-2,종합!$AD$3:$AD$501,0))&amp;"","")</f>
        <v/>
      </c>
      <c r="AA389" s="23" t="str">
        <f aca="false">IFERROR(INDEX(종합!AA$3:AA$501,MATCH(ROW()-2,종합!$AD$3:$AD$501,0))&amp;"","")</f>
        <v/>
      </c>
    </row>
    <row r="390" customFormat="false" ht="16.5" hidden="false" customHeight="true" outlineLevel="0" collapsed="false">
      <c r="A390" s="18" t="str">
        <f aca="false">IF(B390="","",ROW()-2)</f>
        <v/>
      </c>
      <c r="B390" s="18" t="str">
        <f aca="false">IFERROR(INDEX(종합!B$3:B$501,MATCH(ROW()-2,종합!$AD$3:$AD$501,0))&amp;"","")</f>
        <v/>
      </c>
      <c r="C390" s="18" t="str">
        <f aca="false">IFERROR(INDEX(종합!C$3:C$501,MATCH(ROW()-2,종합!$AD$3:$AD$501,0))&amp;"","")</f>
        <v/>
      </c>
      <c r="D390" s="18" t="str">
        <f aca="false">IFERROR(INDEX(종합!D$3:D$501,MATCH(ROW()-2,종합!$AD$3:$AD$501,0))&amp;"","")</f>
        <v/>
      </c>
      <c r="E390" s="18" t="str">
        <f aca="false">IFERROR(INDEX(종합!E$3:E$501,MATCH(ROW()-2,종합!$AD$3:$AD$501,0))&amp;"","")</f>
        <v/>
      </c>
      <c r="F390" s="18" t="str">
        <f aca="false">IFERROR(INDEX(종합!F$3:F$501,MATCH(ROW()-2,종합!$AD$3:$AD$501,0))&amp;"","")</f>
        <v/>
      </c>
      <c r="G390" s="18" t="str">
        <f aca="false">IFERROR(INDEX(종합!G$3:G$501,MATCH(ROW()-2,종합!$AD$3:$AD$501,0))&amp;"","")</f>
        <v/>
      </c>
      <c r="H390" s="21" t="str">
        <f aca="false">IFERROR(INDEX(종합!H$3:H$501,MATCH(ROW()-2,종합!$AD$3:$AD$501,0))&amp;"","")</f>
        <v/>
      </c>
      <c r="I390" s="21" t="str">
        <f aca="false">IFERROR(INDEX(종합!I$3:I$501,MATCH(ROW()-2,종합!$AD$3:$AD$501,0))&amp;"","")</f>
        <v/>
      </c>
      <c r="J390" s="21" t="str">
        <f aca="false">IFERROR(INDEX(종합!J$3:J$501,MATCH(ROW()-2,종합!$AD$3:$AD$501,0))&amp;"","")</f>
        <v/>
      </c>
      <c r="K390" s="21" t="str">
        <f aca="false">IFERROR(INDEX(종합!K$3:K$501,MATCH(ROW()-2,종합!$AD$3:$AD$501,0))&amp;"","")</f>
        <v/>
      </c>
      <c r="L390" s="21" t="str">
        <f aca="false">IFERROR(INDEX(종합!L$3:L$501,MATCH(ROW()-2,종합!$AD$3:$AD$501,0))&amp;"","")</f>
        <v/>
      </c>
      <c r="M390" s="21" t="str">
        <f aca="false">IFERROR(INDEX(종합!M$3:M$501,MATCH(ROW()-2,종합!$AD$3:$AD$501,0))&amp;"","")</f>
        <v/>
      </c>
      <c r="N390" s="25" t="str">
        <f aca="false">IFERROR(INDEX(종합!N$3:N$501,MATCH(ROW()-2,종합!$AD$3:$AD$501,0))&amp;"","")</f>
        <v/>
      </c>
      <c r="O390" s="21" t="str">
        <f aca="false">IFERROR(INDEX(종합!O$3:O$501,MATCH(ROW()-2,종합!$AD$3:$AD$501,0))&amp;"","")</f>
        <v/>
      </c>
      <c r="P390" s="21" t="str">
        <f aca="false">IFERROR(INDEX(종합!P$3:P$501,MATCH(ROW()-2,종합!$AD$3:$AD$501,0))&amp;"","")</f>
        <v/>
      </c>
      <c r="Q390" s="21" t="str">
        <f aca="false">IFERROR(INDEX(종합!Q$3:Q$501,MATCH(ROW()-2,종합!$AD$3:$AD$501,0))&amp;"","")</f>
        <v/>
      </c>
      <c r="R390" s="21" t="str">
        <f aca="false">IFERROR(INDEX(종합!R$3:R$501,MATCH(ROW()-2,종합!$AD$3:$AD$501,0))&amp;"","")</f>
        <v/>
      </c>
      <c r="S390" s="21" t="str">
        <f aca="false">IFERROR(INDEX(종합!S$3:S$501,MATCH(ROW()-2,종합!$AD$3:$AD$501,0))&amp;"","")</f>
        <v/>
      </c>
      <c r="T390" s="21" t="str">
        <f aca="false">IFERROR(INDEX(종합!T$3:T$501,MATCH(ROW()-2,종합!$AD$3:$AD$501,0))&amp;"","")</f>
        <v/>
      </c>
      <c r="U390" s="21" t="str">
        <f aca="false">IFERROR(INDEX(종합!U$3:U$501,MATCH(ROW()-2,종합!$AD$3:$AD$501,0))&amp;"","")</f>
        <v/>
      </c>
      <c r="V390" s="21" t="str">
        <f aca="false">IFERROR(INDEX(종합!V$3:V$501,MATCH(ROW()-2,종합!$AD$3:$AD$501,0))&amp;"","")</f>
        <v/>
      </c>
      <c r="W390" s="21" t="str">
        <f aca="false">IFERROR(INDEX(종합!W$3:W$501,MATCH(ROW()-2,종합!$AD$3:$AD$501,0))&amp;"","")</f>
        <v/>
      </c>
      <c r="X390" s="21" t="str">
        <f aca="false">IFERROR(INDEX(종합!X$3:X$501,MATCH(ROW()-2,종합!$AD$3:$AD$501,0))&amp;"","")</f>
        <v/>
      </c>
      <c r="Y390" s="21" t="str">
        <f aca="false">IFERROR(INDEX(종합!Y$3:Y$501,MATCH(ROW()-2,종합!$AD$3:$AD$501,0))&amp;"","")</f>
        <v/>
      </c>
      <c r="Z390" s="21" t="str">
        <f aca="false">IFERROR(INDEX(종합!Z$3:Z$501,MATCH(ROW()-2,종합!$AD$3:$AD$501,0))&amp;"","")</f>
        <v/>
      </c>
      <c r="AA390" s="23" t="str">
        <f aca="false">IFERROR(INDEX(종합!AA$3:AA$501,MATCH(ROW()-2,종합!$AD$3:$AD$501,0))&amp;"","")</f>
        <v/>
      </c>
    </row>
    <row r="391" customFormat="false" ht="16.5" hidden="false" customHeight="true" outlineLevel="0" collapsed="false">
      <c r="A391" s="18" t="str">
        <f aca="false">IF(B391="","",ROW()-2)</f>
        <v/>
      </c>
      <c r="B391" s="18" t="str">
        <f aca="false">IFERROR(INDEX(종합!B$3:B$501,MATCH(ROW()-2,종합!$AD$3:$AD$501,0))&amp;"","")</f>
        <v/>
      </c>
      <c r="C391" s="18" t="str">
        <f aca="false">IFERROR(INDEX(종합!C$3:C$501,MATCH(ROW()-2,종합!$AD$3:$AD$501,0))&amp;"","")</f>
        <v/>
      </c>
      <c r="D391" s="18" t="str">
        <f aca="false">IFERROR(INDEX(종합!D$3:D$501,MATCH(ROW()-2,종합!$AD$3:$AD$501,0))&amp;"","")</f>
        <v/>
      </c>
      <c r="E391" s="18" t="str">
        <f aca="false">IFERROR(INDEX(종합!E$3:E$501,MATCH(ROW()-2,종합!$AD$3:$AD$501,0))&amp;"","")</f>
        <v/>
      </c>
      <c r="F391" s="18" t="str">
        <f aca="false">IFERROR(INDEX(종합!F$3:F$501,MATCH(ROW()-2,종합!$AD$3:$AD$501,0))&amp;"","")</f>
        <v/>
      </c>
      <c r="G391" s="18" t="str">
        <f aca="false">IFERROR(INDEX(종합!G$3:G$501,MATCH(ROW()-2,종합!$AD$3:$AD$501,0))&amp;"","")</f>
        <v/>
      </c>
      <c r="H391" s="21" t="str">
        <f aca="false">IFERROR(INDEX(종합!H$3:H$501,MATCH(ROW()-2,종합!$AD$3:$AD$501,0))&amp;"","")</f>
        <v/>
      </c>
      <c r="I391" s="21" t="str">
        <f aca="false">IFERROR(INDEX(종합!I$3:I$501,MATCH(ROW()-2,종합!$AD$3:$AD$501,0))&amp;"","")</f>
        <v/>
      </c>
      <c r="J391" s="21" t="str">
        <f aca="false">IFERROR(INDEX(종합!J$3:J$501,MATCH(ROW()-2,종합!$AD$3:$AD$501,0))&amp;"","")</f>
        <v/>
      </c>
      <c r="K391" s="21" t="str">
        <f aca="false">IFERROR(INDEX(종합!K$3:K$501,MATCH(ROW()-2,종합!$AD$3:$AD$501,0))&amp;"","")</f>
        <v/>
      </c>
      <c r="L391" s="21" t="str">
        <f aca="false">IFERROR(INDEX(종합!L$3:L$501,MATCH(ROW()-2,종합!$AD$3:$AD$501,0))&amp;"","")</f>
        <v/>
      </c>
      <c r="M391" s="21" t="str">
        <f aca="false">IFERROR(INDEX(종합!M$3:M$501,MATCH(ROW()-2,종합!$AD$3:$AD$501,0))&amp;"","")</f>
        <v/>
      </c>
      <c r="N391" s="25" t="str">
        <f aca="false">IFERROR(INDEX(종합!N$3:N$501,MATCH(ROW()-2,종합!$AD$3:$AD$501,0))&amp;"","")</f>
        <v/>
      </c>
      <c r="O391" s="21" t="str">
        <f aca="false">IFERROR(INDEX(종합!O$3:O$501,MATCH(ROW()-2,종합!$AD$3:$AD$501,0))&amp;"","")</f>
        <v/>
      </c>
      <c r="P391" s="21" t="str">
        <f aca="false">IFERROR(INDEX(종합!P$3:P$501,MATCH(ROW()-2,종합!$AD$3:$AD$501,0))&amp;"","")</f>
        <v/>
      </c>
      <c r="Q391" s="21" t="str">
        <f aca="false">IFERROR(INDEX(종합!Q$3:Q$501,MATCH(ROW()-2,종합!$AD$3:$AD$501,0))&amp;"","")</f>
        <v/>
      </c>
      <c r="R391" s="21" t="str">
        <f aca="false">IFERROR(INDEX(종합!R$3:R$501,MATCH(ROW()-2,종합!$AD$3:$AD$501,0))&amp;"","")</f>
        <v/>
      </c>
      <c r="S391" s="21" t="str">
        <f aca="false">IFERROR(INDEX(종합!S$3:S$501,MATCH(ROW()-2,종합!$AD$3:$AD$501,0))&amp;"","")</f>
        <v/>
      </c>
      <c r="T391" s="21" t="str">
        <f aca="false">IFERROR(INDEX(종합!T$3:T$501,MATCH(ROW()-2,종합!$AD$3:$AD$501,0))&amp;"","")</f>
        <v/>
      </c>
      <c r="U391" s="21" t="str">
        <f aca="false">IFERROR(INDEX(종합!U$3:U$501,MATCH(ROW()-2,종합!$AD$3:$AD$501,0))&amp;"","")</f>
        <v/>
      </c>
      <c r="V391" s="21" t="str">
        <f aca="false">IFERROR(INDEX(종합!V$3:V$501,MATCH(ROW()-2,종합!$AD$3:$AD$501,0))&amp;"","")</f>
        <v/>
      </c>
      <c r="W391" s="21" t="str">
        <f aca="false">IFERROR(INDEX(종합!W$3:W$501,MATCH(ROW()-2,종합!$AD$3:$AD$501,0))&amp;"","")</f>
        <v/>
      </c>
      <c r="X391" s="21" t="str">
        <f aca="false">IFERROR(INDEX(종합!X$3:X$501,MATCH(ROW()-2,종합!$AD$3:$AD$501,0))&amp;"","")</f>
        <v/>
      </c>
      <c r="Y391" s="21" t="str">
        <f aca="false">IFERROR(INDEX(종합!Y$3:Y$501,MATCH(ROW()-2,종합!$AD$3:$AD$501,0))&amp;"","")</f>
        <v/>
      </c>
      <c r="Z391" s="21" t="str">
        <f aca="false">IFERROR(INDEX(종합!Z$3:Z$501,MATCH(ROW()-2,종합!$AD$3:$AD$501,0))&amp;"","")</f>
        <v/>
      </c>
      <c r="AA391" s="23" t="str">
        <f aca="false">IFERROR(INDEX(종합!AA$3:AA$501,MATCH(ROW()-2,종합!$AD$3:$AD$501,0))&amp;"","")</f>
        <v/>
      </c>
    </row>
    <row r="392" customFormat="false" ht="16.5" hidden="false" customHeight="true" outlineLevel="0" collapsed="false">
      <c r="A392" s="18" t="str">
        <f aca="false">IF(B392="","",ROW()-2)</f>
        <v/>
      </c>
      <c r="B392" s="18" t="str">
        <f aca="false">IFERROR(INDEX(종합!B$3:B$501,MATCH(ROW()-2,종합!$AD$3:$AD$501,0))&amp;"","")</f>
        <v/>
      </c>
      <c r="C392" s="18" t="str">
        <f aca="false">IFERROR(INDEX(종합!C$3:C$501,MATCH(ROW()-2,종합!$AD$3:$AD$501,0))&amp;"","")</f>
        <v/>
      </c>
      <c r="D392" s="18" t="str">
        <f aca="false">IFERROR(INDEX(종합!D$3:D$501,MATCH(ROW()-2,종합!$AD$3:$AD$501,0))&amp;"","")</f>
        <v/>
      </c>
      <c r="E392" s="18" t="str">
        <f aca="false">IFERROR(INDEX(종합!E$3:E$501,MATCH(ROW()-2,종합!$AD$3:$AD$501,0))&amp;"","")</f>
        <v/>
      </c>
      <c r="F392" s="18" t="str">
        <f aca="false">IFERROR(INDEX(종합!F$3:F$501,MATCH(ROW()-2,종합!$AD$3:$AD$501,0))&amp;"","")</f>
        <v/>
      </c>
      <c r="G392" s="18" t="str">
        <f aca="false">IFERROR(INDEX(종합!G$3:G$501,MATCH(ROW()-2,종합!$AD$3:$AD$501,0))&amp;"","")</f>
        <v/>
      </c>
      <c r="H392" s="21" t="str">
        <f aca="false">IFERROR(INDEX(종합!H$3:H$501,MATCH(ROW()-2,종합!$AD$3:$AD$501,0))&amp;"","")</f>
        <v/>
      </c>
      <c r="I392" s="21" t="str">
        <f aca="false">IFERROR(INDEX(종합!I$3:I$501,MATCH(ROW()-2,종합!$AD$3:$AD$501,0))&amp;"","")</f>
        <v/>
      </c>
      <c r="J392" s="21" t="str">
        <f aca="false">IFERROR(INDEX(종합!J$3:J$501,MATCH(ROW()-2,종합!$AD$3:$AD$501,0))&amp;"","")</f>
        <v/>
      </c>
      <c r="K392" s="21" t="str">
        <f aca="false">IFERROR(INDEX(종합!K$3:K$501,MATCH(ROW()-2,종합!$AD$3:$AD$501,0))&amp;"","")</f>
        <v/>
      </c>
      <c r="L392" s="21" t="str">
        <f aca="false">IFERROR(INDEX(종합!L$3:L$501,MATCH(ROW()-2,종합!$AD$3:$AD$501,0))&amp;"","")</f>
        <v/>
      </c>
      <c r="M392" s="21" t="str">
        <f aca="false">IFERROR(INDEX(종합!M$3:M$501,MATCH(ROW()-2,종합!$AD$3:$AD$501,0))&amp;"","")</f>
        <v/>
      </c>
      <c r="N392" s="25" t="str">
        <f aca="false">IFERROR(INDEX(종합!N$3:N$501,MATCH(ROW()-2,종합!$AD$3:$AD$501,0))&amp;"","")</f>
        <v/>
      </c>
      <c r="O392" s="21" t="str">
        <f aca="false">IFERROR(INDEX(종합!O$3:O$501,MATCH(ROW()-2,종합!$AD$3:$AD$501,0))&amp;"","")</f>
        <v/>
      </c>
      <c r="P392" s="21" t="str">
        <f aca="false">IFERROR(INDEX(종합!P$3:P$501,MATCH(ROW()-2,종합!$AD$3:$AD$501,0))&amp;"","")</f>
        <v/>
      </c>
      <c r="Q392" s="21" t="str">
        <f aca="false">IFERROR(INDEX(종합!Q$3:Q$501,MATCH(ROW()-2,종합!$AD$3:$AD$501,0))&amp;"","")</f>
        <v/>
      </c>
      <c r="R392" s="21" t="str">
        <f aca="false">IFERROR(INDEX(종합!R$3:R$501,MATCH(ROW()-2,종합!$AD$3:$AD$501,0))&amp;"","")</f>
        <v/>
      </c>
      <c r="S392" s="21" t="str">
        <f aca="false">IFERROR(INDEX(종합!S$3:S$501,MATCH(ROW()-2,종합!$AD$3:$AD$501,0))&amp;"","")</f>
        <v/>
      </c>
      <c r="T392" s="21" t="str">
        <f aca="false">IFERROR(INDEX(종합!T$3:T$501,MATCH(ROW()-2,종합!$AD$3:$AD$501,0))&amp;"","")</f>
        <v/>
      </c>
      <c r="U392" s="21" t="str">
        <f aca="false">IFERROR(INDEX(종합!U$3:U$501,MATCH(ROW()-2,종합!$AD$3:$AD$501,0))&amp;"","")</f>
        <v/>
      </c>
      <c r="V392" s="21" t="str">
        <f aca="false">IFERROR(INDEX(종합!V$3:V$501,MATCH(ROW()-2,종합!$AD$3:$AD$501,0))&amp;"","")</f>
        <v/>
      </c>
      <c r="W392" s="21" t="str">
        <f aca="false">IFERROR(INDEX(종합!W$3:W$501,MATCH(ROW()-2,종합!$AD$3:$AD$501,0))&amp;"","")</f>
        <v/>
      </c>
      <c r="X392" s="21" t="str">
        <f aca="false">IFERROR(INDEX(종합!X$3:X$501,MATCH(ROW()-2,종합!$AD$3:$AD$501,0))&amp;"","")</f>
        <v/>
      </c>
      <c r="Y392" s="21" t="str">
        <f aca="false">IFERROR(INDEX(종합!Y$3:Y$501,MATCH(ROW()-2,종합!$AD$3:$AD$501,0))&amp;"","")</f>
        <v/>
      </c>
      <c r="Z392" s="21" t="str">
        <f aca="false">IFERROR(INDEX(종합!Z$3:Z$501,MATCH(ROW()-2,종합!$AD$3:$AD$501,0))&amp;"","")</f>
        <v/>
      </c>
      <c r="AA392" s="23" t="str">
        <f aca="false">IFERROR(INDEX(종합!AA$3:AA$501,MATCH(ROW()-2,종합!$AD$3:$AD$501,0))&amp;"","")</f>
        <v/>
      </c>
    </row>
    <row r="393" customFormat="false" ht="16.5" hidden="false" customHeight="true" outlineLevel="0" collapsed="false">
      <c r="A393" s="18" t="str">
        <f aca="false">IF(B393="","",ROW()-2)</f>
        <v/>
      </c>
      <c r="B393" s="18" t="str">
        <f aca="false">IFERROR(INDEX(종합!B$3:B$501,MATCH(ROW()-2,종합!$AD$3:$AD$501,0))&amp;"","")</f>
        <v/>
      </c>
      <c r="C393" s="18" t="str">
        <f aca="false">IFERROR(INDEX(종합!C$3:C$501,MATCH(ROW()-2,종합!$AD$3:$AD$501,0))&amp;"","")</f>
        <v/>
      </c>
      <c r="D393" s="18" t="str">
        <f aca="false">IFERROR(INDEX(종합!D$3:D$501,MATCH(ROW()-2,종합!$AD$3:$AD$501,0))&amp;"","")</f>
        <v/>
      </c>
      <c r="E393" s="18" t="str">
        <f aca="false">IFERROR(INDEX(종합!E$3:E$501,MATCH(ROW()-2,종합!$AD$3:$AD$501,0))&amp;"","")</f>
        <v/>
      </c>
      <c r="F393" s="18" t="str">
        <f aca="false">IFERROR(INDEX(종합!F$3:F$501,MATCH(ROW()-2,종합!$AD$3:$AD$501,0))&amp;"","")</f>
        <v/>
      </c>
      <c r="G393" s="18" t="str">
        <f aca="false">IFERROR(INDEX(종합!G$3:G$501,MATCH(ROW()-2,종합!$AD$3:$AD$501,0))&amp;"","")</f>
        <v/>
      </c>
      <c r="H393" s="21" t="str">
        <f aca="false">IFERROR(INDEX(종합!H$3:H$501,MATCH(ROW()-2,종합!$AD$3:$AD$501,0))&amp;"","")</f>
        <v/>
      </c>
      <c r="I393" s="21" t="str">
        <f aca="false">IFERROR(INDEX(종합!I$3:I$501,MATCH(ROW()-2,종합!$AD$3:$AD$501,0))&amp;"","")</f>
        <v/>
      </c>
      <c r="J393" s="21" t="str">
        <f aca="false">IFERROR(INDEX(종합!J$3:J$501,MATCH(ROW()-2,종합!$AD$3:$AD$501,0))&amp;"","")</f>
        <v/>
      </c>
      <c r="K393" s="21" t="str">
        <f aca="false">IFERROR(INDEX(종합!K$3:K$501,MATCH(ROW()-2,종합!$AD$3:$AD$501,0))&amp;"","")</f>
        <v/>
      </c>
      <c r="L393" s="21" t="str">
        <f aca="false">IFERROR(INDEX(종합!L$3:L$501,MATCH(ROW()-2,종합!$AD$3:$AD$501,0))&amp;"","")</f>
        <v/>
      </c>
      <c r="M393" s="21" t="str">
        <f aca="false">IFERROR(INDEX(종합!M$3:M$501,MATCH(ROW()-2,종합!$AD$3:$AD$501,0))&amp;"","")</f>
        <v/>
      </c>
      <c r="N393" s="25" t="str">
        <f aca="false">IFERROR(INDEX(종합!N$3:N$501,MATCH(ROW()-2,종합!$AD$3:$AD$501,0))&amp;"","")</f>
        <v/>
      </c>
      <c r="O393" s="21" t="str">
        <f aca="false">IFERROR(INDEX(종합!O$3:O$501,MATCH(ROW()-2,종합!$AD$3:$AD$501,0))&amp;"","")</f>
        <v/>
      </c>
      <c r="P393" s="21" t="str">
        <f aca="false">IFERROR(INDEX(종합!P$3:P$501,MATCH(ROW()-2,종합!$AD$3:$AD$501,0))&amp;"","")</f>
        <v/>
      </c>
      <c r="Q393" s="21" t="str">
        <f aca="false">IFERROR(INDEX(종합!Q$3:Q$501,MATCH(ROW()-2,종합!$AD$3:$AD$501,0))&amp;"","")</f>
        <v/>
      </c>
      <c r="R393" s="21" t="str">
        <f aca="false">IFERROR(INDEX(종합!R$3:R$501,MATCH(ROW()-2,종합!$AD$3:$AD$501,0))&amp;"","")</f>
        <v/>
      </c>
      <c r="S393" s="21" t="str">
        <f aca="false">IFERROR(INDEX(종합!S$3:S$501,MATCH(ROW()-2,종합!$AD$3:$AD$501,0))&amp;"","")</f>
        <v/>
      </c>
      <c r="T393" s="21" t="str">
        <f aca="false">IFERROR(INDEX(종합!T$3:T$501,MATCH(ROW()-2,종합!$AD$3:$AD$501,0))&amp;"","")</f>
        <v/>
      </c>
      <c r="U393" s="21" t="str">
        <f aca="false">IFERROR(INDEX(종합!U$3:U$501,MATCH(ROW()-2,종합!$AD$3:$AD$501,0))&amp;"","")</f>
        <v/>
      </c>
      <c r="V393" s="21" t="str">
        <f aca="false">IFERROR(INDEX(종합!V$3:V$501,MATCH(ROW()-2,종합!$AD$3:$AD$501,0))&amp;"","")</f>
        <v/>
      </c>
      <c r="W393" s="21" t="str">
        <f aca="false">IFERROR(INDEX(종합!W$3:W$501,MATCH(ROW()-2,종합!$AD$3:$AD$501,0))&amp;"","")</f>
        <v/>
      </c>
      <c r="X393" s="21" t="str">
        <f aca="false">IFERROR(INDEX(종합!X$3:X$501,MATCH(ROW()-2,종합!$AD$3:$AD$501,0))&amp;"","")</f>
        <v/>
      </c>
      <c r="Y393" s="21" t="str">
        <f aca="false">IFERROR(INDEX(종합!Y$3:Y$501,MATCH(ROW()-2,종합!$AD$3:$AD$501,0))&amp;"","")</f>
        <v/>
      </c>
      <c r="Z393" s="21" t="str">
        <f aca="false">IFERROR(INDEX(종합!Z$3:Z$501,MATCH(ROW()-2,종합!$AD$3:$AD$501,0))&amp;"","")</f>
        <v/>
      </c>
      <c r="AA393" s="23" t="str">
        <f aca="false">IFERROR(INDEX(종합!AA$3:AA$501,MATCH(ROW()-2,종합!$AD$3:$AD$501,0))&amp;"","")</f>
        <v/>
      </c>
    </row>
    <row r="394" customFormat="false" ht="16.5" hidden="false" customHeight="true" outlineLevel="0" collapsed="false">
      <c r="A394" s="18" t="str">
        <f aca="false">IF(B394="","",ROW()-2)</f>
        <v/>
      </c>
      <c r="B394" s="18" t="str">
        <f aca="false">IFERROR(INDEX(종합!B$3:B$501,MATCH(ROW()-2,종합!$AD$3:$AD$501,0))&amp;"","")</f>
        <v/>
      </c>
      <c r="C394" s="18" t="str">
        <f aca="false">IFERROR(INDEX(종합!C$3:C$501,MATCH(ROW()-2,종합!$AD$3:$AD$501,0))&amp;"","")</f>
        <v/>
      </c>
      <c r="D394" s="18" t="str">
        <f aca="false">IFERROR(INDEX(종합!D$3:D$501,MATCH(ROW()-2,종합!$AD$3:$AD$501,0))&amp;"","")</f>
        <v/>
      </c>
      <c r="E394" s="18" t="str">
        <f aca="false">IFERROR(INDEX(종합!E$3:E$501,MATCH(ROW()-2,종합!$AD$3:$AD$501,0))&amp;"","")</f>
        <v/>
      </c>
      <c r="F394" s="18" t="str">
        <f aca="false">IFERROR(INDEX(종합!F$3:F$501,MATCH(ROW()-2,종합!$AD$3:$AD$501,0))&amp;"","")</f>
        <v/>
      </c>
      <c r="G394" s="18" t="str">
        <f aca="false">IFERROR(INDEX(종합!G$3:G$501,MATCH(ROW()-2,종합!$AD$3:$AD$501,0))&amp;"","")</f>
        <v/>
      </c>
      <c r="H394" s="21" t="str">
        <f aca="false">IFERROR(INDEX(종합!H$3:H$501,MATCH(ROW()-2,종합!$AD$3:$AD$501,0))&amp;"","")</f>
        <v/>
      </c>
      <c r="I394" s="21" t="str">
        <f aca="false">IFERROR(INDEX(종합!I$3:I$501,MATCH(ROW()-2,종합!$AD$3:$AD$501,0))&amp;"","")</f>
        <v/>
      </c>
      <c r="J394" s="21" t="str">
        <f aca="false">IFERROR(INDEX(종합!J$3:J$501,MATCH(ROW()-2,종합!$AD$3:$AD$501,0))&amp;"","")</f>
        <v/>
      </c>
      <c r="K394" s="21" t="str">
        <f aca="false">IFERROR(INDEX(종합!K$3:K$501,MATCH(ROW()-2,종합!$AD$3:$AD$501,0))&amp;"","")</f>
        <v/>
      </c>
      <c r="L394" s="21" t="str">
        <f aca="false">IFERROR(INDEX(종합!L$3:L$501,MATCH(ROW()-2,종합!$AD$3:$AD$501,0))&amp;"","")</f>
        <v/>
      </c>
      <c r="M394" s="21" t="str">
        <f aca="false">IFERROR(INDEX(종합!M$3:M$501,MATCH(ROW()-2,종합!$AD$3:$AD$501,0))&amp;"","")</f>
        <v/>
      </c>
      <c r="N394" s="25" t="str">
        <f aca="false">IFERROR(INDEX(종합!N$3:N$501,MATCH(ROW()-2,종합!$AD$3:$AD$501,0))&amp;"","")</f>
        <v/>
      </c>
      <c r="O394" s="21" t="str">
        <f aca="false">IFERROR(INDEX(종합!O$3:O$501,MATCH(ROW()-2,종합!$AD$3:$AD$501,0))&amp;"","")</f>
        <v/>
      </c>
      <c r="P394" s="21" t="str">
        <f aca="false">IFERROR(INDEX(종합!P$3:P$501,MATCH(ROW()-2,종합!$AD$3:$AD$501,0))&amp;"","")</f>
        <v/>
      </c>
      <c r="Q394" s="21" t="str">
        <f aca="false">IFERROR(INDEX(종합!Q$3:Q$501,MATCH(ROW()-2,종합!$AD$3:$AD$501,0))&amp;"","")</f>
        <v/>
      </c>
      <c r="R394" s="21" t="str">
        <f aca="false">IFERROR(INDEX(종합!R$3:R$501,MATCH(ROW()-2,종합!$AD$3:$AD$501,0))&amp;"","")</f>
        <v/>
      </c>
      <c r="S394" s="21" t="str">
        <f aca="false">IFERROR(INDEX(종합!S$3:S$501,MATCH(ROW()-2,종합!$AD$3:$AD$501,0))&amp;"","")</f>
        <v/>
      </c>
      <c r="T394" s="21" t="str">
        <f aca="false">IFERROR(INDEX(종합!T$3:T$501,MATCH(ROW()-2,종합!$AD$3:$AD$501,0))&amp;"","")</f>
        <v/>
      </c>
      <c r="U394" s="21" t="str">
        <f aca="false">IFERROR(INDEX(종합!U$3:U$501,MATCH(ROW()-2,종합!$AD$3:$AD$501,0))&amp;"","")</f>
        <v/>
      </c>
      <c r="V394" s="21" t="str">
        <f aca="false">IFERROR(INDEX(종합!V$3:V$501,MATCH(ROW()-2,종합!$AD$3:$AD$501,0))&amp;"","")</f>
        <v/>
      </c>
      <c r="W394" s="21" t="str">
        <f aca="false">IFERROR(INDEX(종합!W$3:W$501,MATCH(ROW()-2,종합!$AD$3:$AD$501,0))&amp;"","")</f>
        <v/>
      </c>
      <c r="X394" s="21" t="str">
        <f aca="false">IFERROR(INDEX(종합!X$3:X$501,MATCH(ROW()-2,종합!$AD$3:$AD$501,0))&amp;"","")</f>
        <v/>
      </c>
      <c r="Y394" s="21" t="str">
        <f aca="false">IFERROR(INDEX(종합!Y$3:Y$501,MATCH(ROW()-2,종합!$AD$3:$AD$501,0))&amp;"","")</f>
        <v/>
      </c>
      <c r="Z394" s="21" t="str">
        <f aca="false">IFERROR(INDEX(종합!Z$3:Z$501,MATCH(ROW()-2,종합!$AD$3:$AD$501,0))&amp;"","")</f>
        <v/>
      </c>
      <c r="AA394" s="23" t="str">
        <f aca="false">IFERROR(INDEX(종합!AA$3:AA$501,MATCH(ROW()-2,종합!$AD$3:$AD$501,0))&amp;"","")</f>
        <v/>
      </c>
    </row>
    <row r="395" customFormat="false" ht="16.5" hidden="false" customHeight="true" outlineLevel="0" collapsed="false">
      <c r="A395" s="18" t="str">
        <f aca="false">IF(B395="","",ROW()-2)</f>
        <v/>
      </c>
      <c r="B395" s="18" t="str">
        <f aca="false">IFERROR(INDEX(종합!B$3:B$501,MATCH(ROW()-2,종합!$AD$3:$AD$501,0))&amp;"","")</f>
        <v/>
      </c>
      <c r="C395" s="18" t="str">
        <f aca="false">IFERROR(INDEX(종합!C$3:C$501,MATCH(ROW()-2,종합!$AD$3:$AD$501,0))&amp;"","")</f>
        <v/>
      </c>
      <c r="D395" s="18" t="str">
        <f aca="false">IFERROR(INDEX(종합!D$3:D$501,MATCH(ROW()-2,종합!$AD$3:$AD$501,0))&amp;"","")</f>
        <v/>
      </c>
      <c r="E395" s="18" t="str">
        <f aca="false">IFERROR(INDEX(종합!E$3:E$501,MATCH(ROW()-2,종합!$AD$3:$AD$501,0))&amp;"","")</f>
        <v/>
      </c>
      <c r="F395" s="18" t="str">
        <f aca="false">IFERROR(INDEX(종합!F$3:F$501,MATCH(ROW()-2,종합!$AD$3:$AD$501,0))&amp;"","")</f>
        <v/>
      </c>
      <c r="G395" s="18" t="str">
        <f aca="false">IFERROR(INDEX(종합!G$3:G$501,MATCH(ROW()-2,종합!$AD$3:$AD$501,0))&amp;"","")</f>
        <v/>
      </c>
      <c r="H395" s="21" t="str">
        <f aca="false">IFERROR(INDEX(종합!H$3:H$501,MATCH(ROW()-2,종합!$AD$3:$AD$501,0))&amp;"","")</f>
        <v/>
      </c>
      <c r="I395" s="21" t="str">
        <f aca="false">IFERROR(INDEX(종합!I$3:I$501,MATCH(ROW()-2,종합!$AD$3:$AD$501,0))&amp;"","")</f>
        <v/>
      </c>
      <c r="J395" s="21" t="str">
        <f aca="false">IFERROR(INDEX(종합!J$3:J$501,MATCH(ROW()-2,종합!$AD$3:$AD$501,0))&amp;"","")</f>
        <v/>
      </c>
      <c r="K395" s="21" t="str">
        <f aca="false">IFERROR(INDEX(종합!K$3:K$501,MATCH(ROW()-2,종합!$AD$3:$AD$501,0))&amp;"","")</f>
        <v/>
      </c>
      <c r="L395" s="21" t="str">
        <f aca="false">IFERROR(INDEX(종합!L$3:L$501,MATCH(ROW()-2,종합!$AD$3:$AD$501,0))&amp;"","")</f>
        <v/>
      </c>
      <c r="M395" s="21" t="str">
        <f aca="false">IFERROR(INDEX(종합!M$3:M$501,MATCH(ROW()-2,종합!$AD$3:$AD$501,0))&amp;"","")</f>
        <v/>
      </c>
      <c r="N395" s="25" t="str">
        <f aca="false">IFERROR(INDEX(종합!N$3:N$501,MATCH(ROW()-2,종합!$AD$3:$AD$501,0))&amp;"","")</f>
        <v/>
      </c>
      <c r="O395" s="21" t="str">
        <f aca="false">IFERROR(INDEX(종합!O$3:O$501,MATCH(ROW()-2,종합!$AD$3:$AD$501,0))&amp;"","")</f>
        <v/>
      </c>
      <c r="P395" s="21" t="str">
        <f aca="false">IFERROR(INDEX(종합!P$3:P$501,MATCH(ROW()-2,종합!$AD$3:$AD$501,0))&amp;"","")</f>
        <v/>
      </c>
      <c r="Q395" s="21" t="str">
        <f aca="false">IFERROR(INDEX(종합!Q$3:Q$501,MATCH(ROW()-2,종합!$AD$3:$AD$501,0))&amp;"","")</f>
        <v/>
      </c>
      <c r="R395" s="21" t="str">
        <f aca="false">IFERROR(INDEX(종합!R$3:R$501,MATCH(ROW()-2,종합!$AD$3:$AD$501,0))&amp;"","")</f>
        <v/>
      </c>
      <c r="S395" s="21" t="str">
        <f aca="false">IFERROR(INDEX(종합!S$3:S$501,MATCH(ROW()-2,종합!$AD$3:$AD$501,0))&amp;"","")</f>
        <v/>
      </c>
      <c r="T395" s="21" t="str">
        <f aca="false">IFERROR(INDEX(종합!T$3:T$501,MATCH(ROW()-2,종합!$AD$3:$AD$501,0))&amp;"","")</f>
        <v/>
      </c>
      <c r="U395" s="21" t="str">
        <f aca="false">IFERROR(INDEX(종합!U$3:U$501,MATCH(ROW()-2,종합!$AD$3:$AD$501,0))&amp;"","")</f>
        <v/>
      </c>
      <c r="V395" s="21" t="str">
        <f aca="false">IFERROR(INDEX(종합!V$3:V$501,MATCH(ROW()-2,종합!$AD$3:$AD$501,0))&amp;"","")</f>
        <v/>
      </c>
      <c r="W395" s="21" t="str">
        <f aca="false">IFERROR(INDEX(종합!W$3:W$501,MATCH(ROW()-2,종합!$AD$3:$AD$501,0))&amp;"","")</f>
        <v/>
      </c>
      <c r="X395" s="21" t="str">
        <f aca="false">IFERROR(INDEX(종합!X$3:X$501,MATCH(ROW()-2,종합!$AD$3:$AD$501,0))&amp;"","")</f>
        <v/>
      </c>
      <c r="Y395" s="21" t="str">
        <f aca="false">IFERROR(INDEX(종합!Y$3:Y$501,MATCH(ROW()-2,종합!$AD$3:$AD$501,0))&amp;"","")</f>
        <v/>
      </c>
      <c r="Z395" s="21" t="str">
        <f aca="false">IFERROR(INDEX(종합!Z$3:Z$501,MATCH(ROW()-2,종합!$AD$3:$AD$501,0))&amp;"","")</f>
        <v/>
      </c>
      <c r="AA395" s="23" t="str">
        <f aca="false">IFERROR(INDEX(종합!AA$3:AA$501,MATCH(ROW()-2,종합!$AD$3:$AD$501,0))&amp;"","")</f>
        <v/>
      </c>
    </row>
    <row r="396" customFormat="false" ht="16.5" hidden="false" customHeight="true" outlineLevel="0" collapsed="false">
      <c r="A396" s="18" t="str">
        <f aca="false">IF(B396="","",ROW()-2)</f>
        <v/>
      </c>
      <c r="B396" s="18" t="str">
        <f aca="false">IFERROR(INDEX(종합!B$3:B$501,MATCH(ROW()-2,종합!$AD$3:$AD$501,0))&amp;"","")</f>
        <v/>
      </c>
      <c r="C396" s="18" t="str">
        <f aca="false">IFERROR(INDEX(종합!C$3:C$501,MATCH(ROW()-2,종합!$AD$3:$AD$501,0))&amp;"","")</f>
        <v/>
      </c>
      <c r="D396" s="18" t="str">
        <f aca="false">IFERROR(INDEX(종합!D$3:D$501,MATCH(ROW()-2,종합!$AD$3:$AD$501,0))&amp;"","")</f>
        <v/>
      </c>
      <c r="E396" s="18" t="str">
        <f aca="false">IFERROR(INDEX(종합!E$3:E$501,MATCH(ROW()-2,종합!$AD$3:$AD$501,0))&amp;"","")</f>
        <v/>
      </c>
      <c r="F396" s="18" t="str">
        <f aca="false">IFERROR(INDEX(종합!F$3:F$501,MATCH(ROW()-2,종합!$AD$3:$AD$501,0))&amp;"","")</f>
        <v/>
      </c>
      <c r="G396" s="18" t="str">
        <f aca="false">IFERROR(INDEX(종합!G$3:G$501,MATCH(ROW()-2,종합!$AD$3:$AD$501,0))&amp;"","")</f>
        <v/>
      </c>
      <c r="H396" s="21" t="str">
        <f aca="false">IFERROR(INDEX(종합!H$3:H$501,MATCH(ROW()-2,종합!$AD$3:$AD$501,0))&amp;"","")</f>
        <v/>
      </c>
      <c r="I396" s="21" t="str">
        <f aca="false">IFERROR(INDEX(종합!I$3:I$501,MATCH(ROW()-2,종합!$AD$3:$AD$501,0))&amp;"","")</f>
        <v/>
      </c>
      <c r="J396" s="21" t="str">
        <f aca="false">IFERROR(INDEX(종합!J$3:J$501,MATCH(ROW()-2,종합!$AD$3:$AD$501,0))&amp;"","")</f>
        <v/>
      </c>
      <c r="K396" s="21" t="str">
        <f aca="false">IFERROR(INDEX(종합!K$3:K$501,MATCH(ROW()-2,종합!$AD$3:$AD$501,0))&amp;"","")</f>
        <v/>
      </c>
      <c r="L396" s="21" t="str">
        <f aca="false">IFERROR(INDEX(종합!L$3:L$501,MATCH(ROW()-2,종합!$AD$3:$AD$501,0))&amp;"","")</f>
        <v/>
      </c>
      <c r="M396" s="21" t="str">
        <f aca="false">IFERROR(INDEX(종합!M$3:M$501,MATCH(ROW()-2,종합!$AD$3:$AD$501,0))&amp;"","")</f>
        <v/>
      </c>
      <c r="N396" s="25" t="str">
        <f aca="false">IFERROR(INDEX(종합!N$3:N$501,MATCH(ROW()-2,종합!$AD$3:$AD$501,0))&amp;"","")</f>
        <v/>
      </c>
      <c r="O396" s="21" t="str">
        <f aca="false">IFERROR(INDEX(종합!O$3:O$501,MATCH(ROW()-2,종합!$AD$3:$AD$501,0))&amp;"","")</f>
        <v/>
      </c>
      <c r="P396" s="21" t="str">
        <f aca="false">IFERROR(INDEX(종합!P$3:P$501,MATCH(ROW()-2,종합!$AD$3:$AD$501,0))&amp;"","")</f>
        <v/>
      </c>
      <c r="Q396" s="21" t="str">
        <f aca="false">IFERROR(INDEX(종합!Q$3:Q$501,MATCH(ROW()-2,종합!$AD$3:$AD$501,0))&amp;"","")</f>
        <v/>
      </c>
      <c r="R396" s="21" t="str">
        <f aca="false">IFERROR(INDEX(종합!R$3:R$501,MATCH(ROW()-2,종합!$AD$3:$AD$501,0))&amp;"","")</f>
        <v/>
      </c>
      <c r="S396" s="21" t="str">
        <f aca="false">IFERROR(INDEX(종합!S$3:S$501,MATCH(ROW()-2,종합!$AD$3:$AD$501,0))&amp;"","")</f>
        <v/>
      </c>
      <c r="T396" s="21" t="str">
        <f aca="false">IFERROR(INDEX(종합!T$3:T$501,MATCH(ROW()-2,종합!$AD$3:$AD$501,0))&amp;"","")</f>
        <v/>
      </c>
      <c r="U396" s="21" t="str">
        <f aca="false">IFERROR(INDEX(종합!U$3:U$501,MATCH(ROW()-2,종합!$AD$3:$AD$501,0))&amp;"","")</f>
        <v/>
      </c>
      <c r="V396" s="21" t="str">
        <f aca="false">IFERROR(INDEX(종합!V$3:V$501,MATCH(ROW()-2,종합!$AD$3:$AD$501,0))&amp;"","")</f>
        <v/>
      </c>
      <c r="W396" s="21" t="str">
        <f aca="false">IFERROR(INDEX(종합!W$3:W$501,MATCH(ROW()-2,종합!$AD$3:$AD$501,0))&amp;"","")</f>
        <v/>
      </c>
      <c r="X396" s="21" t="str">
        <f aca="false">IFERROR(INDEX(종합!X$3:X$501,MATCH(ROW()-2,종합!$AD$3:$AD$501,0))&amp;"","")</f>
        <v/>
      </c>
      <c r="Y396" s="21" t="str">
        <f aca="false">IFERROR(INDEX(종합!Y$3:Y$501,MATCH(ROW()-2,종합!$AD$3:$AD$501,0))&amp;"","")</f>
        <v/>
      </c>
      <c r="Z396" s="21" t="str">
        <f aca="false">IFERROR(INDEX(종합!Z$3:Z$501,MATCH(ROW()-2,종합!$AD$3:$AD$501,0))&amp;"","")</f>
        <v/>
      </c>
      <c r="AA396" s="23" t="str">
        <f aca="false">IFERROR(INDEX(종합!AA$3:AA$501,MATCH(ROW()-2,종합!$AD$3:$AD$501,0))&amp;"","")</f>
        <v/>
      </c>
    </row>
    <row r="397" customFormat="false" ht="16.5" hidden="false" customHeight="true" outlineLevel="0" collapsed="false">
      <c r="A397" s="18" t="str">
        <f aca="false">IF(B397="","",ROW()-2)</f>
        <v/>
      </c>
      <c r="B397" s="18" t="str">
        <f aca="false">IFERROR(INDEX(종합!B$3:B$501,MATCH(ROW()-2,종합!$AD$3:$AD$501,0))&amp;"","")</f>
        <v/>
      </c>
      <c r="C397" s="18" t="str">
        <f aca="false">IFERROR(INDEX(종합!C$3:C$501,MATCH(ROW()-2,종합!$AD$3:$AD$501,0))&amp;"","")</f>
        <v/>
      </c>
      <c r="D397" s="18" t="str">
        <f aca="false">IFERROR(INDEX(종합!D$3:D$501,MATCH(ROW()-2,종합!$AD$3:$AD$501,0))&amp;"","")</f>
        <v/>
      </c>
      <c r="E397" s="18" t="str">
        <f aca="false">IFERROR(INDEX(종합!E$3:E$501,MATCH(ROW()-2,종합!$AD$3:$AD$501,0))&amp;"","")</f>
        <v/>
      </c>
      <c r="F397" s="18" t="str">
        <f aca="false">IFERROR(INDEX(종합!F$3:F$501,MATCH(ROW()-2,종합!$AD$3:$AD$501,0))&amp;"","")</f>
        <v/>
      </c>
      <c r="G397" s="18" t="str">
        <f aca="false">IFERROR(INDEX(종합!G$3:G$501,MATCH(ROW()-2,종합!$AD$3:$AD$501,0))&amp;"","")</f>
        <v/>
      </c>
      <c r="H397" s="21" t="str">
        <f aca="false">IFERROR(INDEX(종합!H$3:H$501,MATCH(ROW()-2,종합!$AD$3:$AD$501,0))&amp;"","")</f>
        <v/>
      </c>
      <c r="I397" s="21" t="str">
        <f aca="false">IFERROR(INDEX(종합!I$3:I$501,MATCH(ROW()-2,종합!$AD$3:$AD$501,0))&amp;"","")</f>
        <v/>
      </c>
      <c r="J397" s="21" t="str">
        <f aca="false">IFERROR(INDEX(종합!J$3:J$501,MATCH(ROW()-2,종합!$AD$3:$AD$501,0))&amp;"","")</f>
        <v/>
      </c>
      <c r="K397" s="21" t="str">
        <f aca="false">IFERROR(INDEX(종합!K$3:K$501,MATCH(ROW()-2,종합!$AD$3:$AD$501,0))&amp;"","")</f>
        <v/>
      </c>
      <c r="L397" s="21" t="str">
        <f aca="false">IFERROR(INDEX(종합!L$3:L$501,MATCH(ROW()-2,종합!$AD$3:$AD$501,0))&amp;"","")</f>
        <v/>
      </c>
      <c r="M397" s="21" t="str">
        <f aca="false">IFERROR(INDEX(종합!M$3:M$501,MATCH(ROW()-2,종합!$AD$3:$AD$501,0))&amp;"","")</f>
        <v/>
      </c>
      <c r="N397" s="25" t="str">
        <f aca="false">IFERROR(INDEX(종합!N$3:N$501,MATCH(ROW()-2,종합!$AD$3:$AD$501,0))&amp;"","")</f>
        <v/>
      </c>
      <c r="O397" s="21" t="str">
        <f aca="false">IFERROR(INDEX(종합!O$3:O$501,MATCH(ROW()-2,종합!$AD$3:$AD$501,0))&amp;"","")</f>
        <v/>
      </c>
      <c r="P397" s="21" t="str">
        <f aca="false">IFERROR(INDEX(종합!P$3:P$501,MATCH(ROW()-2,종합!$AD$3:$AD$501,0))&amp;"","")</f>
        <v/>
      </c>
      <c r="Q397" s="21" t="str">
        <f aca="false">IFERROR(INDEX(종합!Q$3:Q$501,MATCH(ROW()-2,종합!$AD$3:$AD$501,0))&amp;"","")</f>
        <v/>
      </c>
      <c r="R397" s="21" t="str">
        <f aca="false">IFERROR(INDEX(종합!R$3:R$501,MATCH(ROW()-2,종합!$AD$3:$AD$501,0))&amp;"","")</f>
        <v/>
      </c>
      <c r="S397" s="21" t="str">
        <f aca="false">IFERROR(INDEX(종합!S$3:S$501,MATCH(ROW()-2,종합!$AD$3:$AD$501,0))&amp;"","")</f>
        <v/>
      </c>
      <c r="T397" s="21" t="str">
        <f aca="false">IFERROR(INDEX(종합!T$3:T$501,MATCH(ROW()-2,종합!$AD$3:$AD$501,0))&amp;"","")</f>
        <v/>
      </c>
      <c r="U397" s="21" t="str">
        <f aca="false">IFERROR(INDEX(종합!U$3:U$501,MATCH(ROW()-2,종합!$AD$3:$AD$501,0))&amp;"","")</f>
        <v/>
      </c>
      <c r="V397" s="21" t="str">
        <f aca="false">IFERROR(INDEX(종합!V$3:V$501,MATCH(ROW()-2,종합!$AD$3:$AD$501,0))&amp;"","")</f>
        <v/>
      </c>
      <c r="W397" s="21" t="str">
        <f aca="false">IFERROR(INDEX(종합!W$3:W$501,MATCH(ROW()-2,종합!$AD$3:$AD$501,0))&amp;"","")</f>
        <v/>
      </c>
      <c r="X397" s="21" t="str">
        <f aca="false">IFERROR(INDEX(종합!X$3:X$501,MATCH(ROW()-2,종합!$AD$3:$AD$501,0))&amp;"","")</f>
        <v/>
      </c>
      <c r="Y397" s="21" t="str">
        <f aca="false">IFERROR(INDEX(종합!Y$3:Y$501,MATCH(ROW()-2,종합!$AD$3:$AD$501,0))&amp;"","")</f>
        <v/>
      </c>
      <c r="Z397" s="21" t="str">
        <f aca="false">IFERROR(INDEX(종합!Z$3:Z$501,MATCH(ROW()-2,종합!$AD$3:$AD$501,0))&amp;"","")</f>
        <v/>
      </c>
      <c r="AA397" s="23" t="str">
        <f aca="false">IFERROR(INDEX(종합!AA$3:AA$501,MATCH(ROW()-2,종합!$AD$3:$AD$501,0))&amp;"","")</f>
        <v/>
      </c>
    </row>
    <row r="398" customFormat="false" ht="16.5" hidden="false" customHeight="true" outlineLevel="0" collapsed="false">
      <c r="A398" s="18" t="str">
        <f aca="false">IF(B398="","",ROW()-2)</f>
        <v/>
      </c>
      <c r="B398" s="18" t="str">
        <f aca="false">IFERROR(INDEX(종합!B$3:B$501,MATCH(ROW()-2,종합!$AD$3:$AD$501,0))&amp;"","")</f>
        <v/>
      </c>
      <c r="C398" s="18" t="str">
        <f aca="false">IFERROR(INDEX(종합!C$3:C$501,MATCH(ROW()-2,종합!$AD$3:$AD$501,0))&amp;"","")</f>
        <v/>
      </c>
      <c r="D398" s="18" t="str">
        <f aca="false">IFERROR(INDEX(종합!D$3:D$501,MATCH(ROW()-2,종합!$AD$3:$AD$501,0))&amp;"","")</f>
        <v/>
      </c>
      <c r="E398" s="18" t="str">
        <f aca="false">IFERROR(INDEX(종합!E$3:E$501,MATCH(ROW()-2,종합!$AD$3:$AD$501,0))&amp;"","")</f>
        <v/>
      </c>
      <c r="F398" s="18" t="str">
        <f aca="false">IFERROR(INDEX(종합!F$3:F$501,MATCH(ROW()-2,종합!$AD$3:$AD$501,0))&amp;"","")</f>
        <v/>
      </c>
      <c r="G398" s="18" t="str">
        <f aca="false">IFERROR(INDEX(종합!G$3:G$501,MATCH(ROW()-2,종합!$AD$3:$AD$501,0))&amp;"","")</f>
        <v/>
      </c>
      <c r="H398" s="21" t="str">
        <f aca="false">IFERROR(INDEX(종합!H$3:H$501,MATCH(ROW()-2,종합!$AD$3:$AD$501,0))&amp;"","")</f>
        <v/>
      </c>
      <c r="I398" s="21" t="str">
        <f aca="false">IFERROR(INDEX(종합!I$3:I$501,MATCH(ROW()-2,종합!$AD$3:$AD$501,0))&amp;"","")</f>
        <v/>
      </c>
      <c r="J398" s="21" t="str">
        <f aca="false">IFERROR(INDEX(종합!J$3:J$501,MATCH(ROW()-2,종합!$AD$3:$AD$501,0))&amp;"","")</f>
        <v/>
      </c>
      <c r="K398" s="21" t="str">
        <f aca="false">IFERROR(INDEX(종합!K$3:K$501,MATCH(ROW()-2,종합!$AD$3:$AD$501,0))&amp;"","")</f>
        <v/>
      </c>
      <c r="L398" s="21" t="str">
        <f aca="false">IFERROR(INDEX(종합!L$3:L$501,MATCH(ROW()-2,종합!$AD$3:$AD$501,0))&amp;"","")</f>
        <v/>
      </c>
      <c r="M398" s="21" t="str">
        <f aca="false">IFERROR(INDEX(종합!M$3:M$501,MATCH(ROW()-2,종합!$AD$3:$AD$501,0))&amp;"","")</f>
        <v/>
      </c>
      <c r="N398" s="25" t="str">
        <f aca="false">IFERROR(INDEX(종합!N$3:N$501,MATCH(ROW()-2,종합!$AD$3:$AD$501,0))&amp;"","")</f>
        <v/>
      </c>
      <c r="O398" s="21" t="str">
        <f aca="false">IFERROR(INDEX(종합!O$3:O$501,MATCH(ROW()-2,종합!$AD$3:$AD$501,0))&amp;"","")</f>
        <v/>
      </c>
      <c r="P398" s="21" t="str">
        <f aca="false">IFERROR(INDEX(종합!P$3:P$501,MATCH(ROW()-2,종합!$AD$3:$AD$501,0))&amp;"","")</f>
        <v/>
      </c>
      <c r="Q398" s="21" t="str">
        <f aca="false">IFERROR(INDEX(종합!Q$3:Q$501,MATCH(ROW()-2,종합!$AD$3:$AD$501,0))&amp;"","")</f>
        <v/>
      </c>
      <c r="R398" s="21" t="str">
        <f aca="false">IFERROR(INDEX(종합!R$3:R$501,MATCH(ROW()-2,종합!$AD$3:$AD$501,0))&amp;"","")</f>
        <v/>
      </c>
      <c r="S398" s="21" t="str">
        <f aca="false">IFERROR(INDEX(종합!S$3:S$501,MATCH(ROW()-2,종합!$AD$3:$AD$501,0))&amp;"","")</f>
        <v/>
      </c>
      <c r="T398" s="21" t="str">
        <f aca="false">IFERROR(INDEX(종합!T$3:T$501,MATCH(ROW()-2,종합!$AD$3:$AD$501,0))&amp;"","")</f>
        <v/>
      </c>
      <c r="U398" s="21" t="str">
        <f aca="false">IFERROR(INDEX(종합!U$3:U$501,MATCH(ROW()-2,종합!$AD$3:$AD$501,0))&amp;"","")</f>
        <v/>
      </c>
      <c r="V398" s="21" t="str">
        <f aca="false">IFERROR(INDEX(종합!V$3:V$501,MATCH(ROW()-2,종합!$AD$3:$AD$501,0))&amp;"","")</f>
        <v/>
      </c>
      <c r="W398" s="21" t="str">
        <f aca="false">IFERROR(INDEX(종합!W$3:W$501,MATCH(ROW()-2,종합!$AD$3:$AD$501,0))&amp;"","")</f>
        <v/>
      </c>
      <c r="X398" s="21" t="str">
        <f aca="false">IFERROR(INDEX(종합!X$3:X$501,MATCH(ROW()-2,종합!$AD$3:$AD$501,0))&amp;"","")</f>
        <v/>
      </c>
      <c r="Y398" s="21" t="str">
        <f aca="false">IFERROR(INDEX(종합!Y$3:Y$501,MATCH(ROW()-2,종합!$AD$3:$AD$501,0))&amp;"","")</f>
        <v/>
      </c>
      <c r="Z398" s="21" t="str">
        <f aca="false">IFERROR(INDEX(종합!Z$3:Z$501,MATCH(ROW()-2,종합!$AD$3:$AD$501,0))&amp;"","")</f>
        <v/>
      </c>
      <c r="AA398" s="23" t="str">
        <f aca="false">IFERROR(INDEX(종합!AA$3:AA$501,MATCH(ROW()-2,종합!$AD$3:$AD$501,0))&amp;"","")</f>
        <v/>
      </c>
    </row>
    <row r="399" customFormat="false" ht="16.5" hidden="false" customHeight="true" outlineLevel="0" collapsed="false">
      <c r="A399" s="18" t="str">
        <f aca="false">IF(B399="","",ROW()-2)</f>
        <v/>
      </c>
      <c r="B399" s="18" t="str">
        <f aca="false">IFERROR(INDEX(종합!B$3:B$501,MATCH(ROW()-2,종합!$AD$3:$AD$501,0))&amp;"","")</f>
        <v/>
      </c>
      <c r="C399" s="18" t="str">
        <f aca="false">IFERROR(INDEX(종합!C$3:C$501,MATCH(ROW()-2,종합!$AD$3:$AD$501,0))&amp;"","")</f>
        <v/>
      </c>
      <c r="D399" s="18" t="str">
        <f aca="false">IFERROR(INDEX(종합!D$3:D$501,MATCH(ROW()-2,종합!$AD$3:$AD$501,0))&amp;"","")</f>
        <v/>
      </c>
      <c r="E399" s="18" t="str">
        <f aca="false">IFERROR(INDEX(종합!E$3:E$501,MATCH(ROW()-2,종합!$AD$3:$AD$501,0))&amp;"","")</f>
        <v/>
      </c>
      <c r="F399" s="18" t="str">
        <f aca="false">IFERROR(INDEX(종합!F$3:F$501,MATCH(ROW()-2,종합!$AD$3:$AD$501,0))&amp;"","")</f>
        <v/>
      </c>
      <c r="G399" s="18" t="str">
        <f aca="false">IFERROR(INDEX(종합!G$3:G$501,MATCH(ROW()-2,종합!$AD$3:$AD$501,0))&amp;"","")</f>
        <v/>
      </c>
      <c r="H399" s="21" t="str">
        <f aca="false">IFERROR(INDEX(종합!H$3:H$501,MATCH(ROW()-2,종합!$AD$3:$AD$501,0))&amp;"","")</f>
        <v/>
      </c>
      <c r="I399" s="21" t="str">
        <f aca="false">IFERROR(INDEX(종합!I$3:I$501,MATCH(ROW()-2,종합!$AD$3:$AD$501,0))&amp;"","")</f>
        <v/>
      </c>
      <c r="J399" s="21" t="str">
        <f aca="false">IFERROR(INDEX(종합!J$3:J$501,MATCH(ROW()-2,종합!$AD$3:$AD$501,0))&amp;"","")</f>
        <v/>
      </c>
      <c r="K399" s="21" t="str">
        <f aca="false">IFERROR(INDEX(종합!K$3:K$501,MATCH(ROW()-2,종합!$AD$3:$AD$501,0))&amp;"","")</f>
        <v/>
      </c>
      <c r="L399" s="21" t="str">
        <f aca="false">IFERROR(INDEX(종합!L$3:L$501,MATCH(ROW()-2,종합!$AD$3:$AD$501,0))&amp;"","")</f>
        <v/>
      </c>
      <c r="M399" s="21" t="str">
        <f aca="false">IFERROR(INDEX(종합!M$3:M$501,MATCH(ROW()-2,종합!$AD$3:$AD$501,0))&amp;"","")</f>
        <v/>
      </c>
      <c r="N399" s="25" t="str">
        <f aca="false">IFERROR(INDEX(종합!N$3:N$501,MATCH(ROW()-2,종합!$AD$3:$AD$501,0))&amp;"","")</f>
        <v/>
      </c>
      <c r="O399" s="21" t="str">
        <f aca="false">IFERROR(INDEX(종합!O$3:O$501,MATCH(ROW()-2,종합!$AD$3:$AD$501,0))&amp;"","")</f>
        <v/>
      </c>
      <c r="P399" s="21" t="str">
        <f aca="false">IFERROR(INDEX(종합!P$3:P$501,MATCH(ROW()-2,종합!$AD$3:$AD$501,0))&amp;"","")</f>
        <v/>
      </c>
      <c r="Q399" s="21" t="str">
        <f aca="false">IFERROR(INDEX(종합!Q$3:Q$501,MATCH(ROW()-2,종합!$AD$3:$AD$501,0))&amp;"","")</f>
        <v/>
      </c>
      <c r="R399" s="21" t="str">
        <f aca="false">IFERROR(INDEX(종합!R$3:R$501,MATCH(ROW()-2,종합!$AD$3:$AD$501,0))&amp;"","")</f>
        <v/>
      </c>
      <c r="S399" s="21" t="str">
        <f aca="false">IFERROR(INDEX(종합!S$3:S$501,MATCH(ROW()-2,종합!$AD$3:$AD$501,0))&amp;"","")</f>
        <v/>
      </c>
      <c r="T399" s="21" t="str">
        <f aca="false">IFERROR(INDEX(종합!T$3:T$501,MATCH(ROW()-2,종합!$AD$3:$AD$501,0))&amp;"","")</f>
        <v/>
      </c>
      <c r="U399" s="21" t="str">
        <f aca="false">IFERROR(INDEX(종합!U$3:U$501,MATCH(ROW()-2,종합!$AD$3:$AD$501,0))&amp;"","")</f>
        <v/>
      </c>
      <c r="V399" s="21" t="str">
        <f aca="false">IFERROR(INDEX(종합!V$3:V$501,MATCH(ROW()-2,종합!$AD$3:$AD$501,0))&amp;"","")</f>
        <v/>
      </c>
      <c r="W399" s="21" t="str">
        <f aca="false">IFERROR(INDEX(종합!W$3:W$501,MATCH(ROW()-2,종합!$AD$3:$AD$501,0))&amp;"","")</f>
        <v/>
      </c>
      <c r="X399" s="21" t="str">
        <f aca="false">IFERROR(INDEX(종합!X$3:X$501,MATCH(ROW()-2,종합!$AD$3:$AD$501,0))&amp;"","")</f>
        <v/>
      </c>
      <c r="Y399" s="21" t="str">
        <f aca="false">IFERROR(INDEX(종합!Y$3:Y$501,MATCH(ROW()-2,종합!$AD$3:$AD$501,0))&amp;"","")</f>
        <v/>
      </c>
      <c r="Z399" s="21" t="str">
        <f aca="false">IFERROR(INDEX(종합!Z$3:Z$501,MATCH(ROW()-2,종합!$AD$3:$AD$501,0))&amp;"","")</f>
        <v/>
      </c>
      <c r="AA399" s="23" t="str">
        <f aca="false">IFERROR(INDEX(종합!AA$3:AA$501,MATCH(ROW()-2,종합!$AD$3:$AD$501,0))&amp;"","")</f>
        <v/>
      </c>
    </row>
    <row r="400" customFormat="false" ht="16.5" hidden="false" customHeight="true" outlineLevel="0" collapsed="false">
      <c r="A400" s="18" t="str">
        <f aca="false">IF(B400="","",ROW()-2)</f>
        <v/>
      </c>
      <c r="B400" s="18" t="str">
        <f aca="false">IFERROR(INDEX(종합!B$3:B$501,MATCH(ROW()-2,종합!$AD$3:$AD$501,0))&amp;"","")</f>
        <v/>
      </c>
      <c r="C400" s="18" t="str">
        <f aca="false">IFERROR(INDEX(종합!C$3:C$501,MATCH(ROW()-2,종합!$AD$3:$AD$501,0))&amp;"","")</f>
        <v/>
      </c>
      <c r="D400" s="18" t="str">
        <f aca="false">IFERROR(INDEX(종합!D$3:D$501,MATCH(ROW()-2,종합!$AD$3:$AD$501,0))&amp;"","")</f>
        <v/>
      </c>
      <c r="E400" s="18" t="str">
        <f aca="false">IFERROR(INDEX(종합!E$3:E$501,MATCH(ROW()-2,종합!$AD$3:$AD$501,0))&amp;"","")</f>
        <v/>
      </c>
      <c r="F400" s="18" t="str">
        <f aca="false">IFERROR(INDEX(종합!F$3:F$501,MATCH(ROW()-2,종합!$AD$3:$AD$501,0))&amp;"","")</f>
        <v/>
      </c>
      <c r="G400" s="18" t="str">
        <f aca="false">IFERROR(INDEX(종합!G$3:G$501,MATCH(ROW()-2,종합!$AD$3:$AD$501,0))&amp;"","")</f>
        <v/>
      </c>
      <c r="H400" s="21" t="str">
        <f aca="false">IFERROR(INDEX(종합!H$3:H$501,MATCH(ROW()-2,종합!$AD$3:$AD$501,0))&amp;"","")</f>
        <v/>
      </c>
      <c r="I400" s="21" t="str">
        <f aca="false">IFERROR(INDEX(종합!I$3:I$501,MATCH(ROW()-2,종합!$AD$3:$AD$501,0))&amp;"","")</f>
        <v/>
      </c>
      <c r="J400" s="21" t="str">
        <f aca="false">IFERROR(INDEX(종합!J$3:J$501,MATCH(ROW()-2,종합!$AD$3:$AD$501,0))&amp;"","")</f>
        <v/>
      </c>
      <c r="K400" s="21" t="str">
        <f aca="false">IFERROR(INDEX(종합!K$3:K$501,MATCH(ROW()-2,종합!$AD$3:$AD$501,0))&amp;"","")</f>
        <v/>
      </c>
      <c r="L400" s="21" t="str">
        <f aca="false">IFERROR(INDEX(종합!L$3:L$501,MATCH(ROW()-2,종합!$AD$3:$AD$501,0))&amp;"","")</f>
        <v/>
      </c>
      <c r="M400" s="21" t="str">
        <f aca="false">IFERROR(INDEX(종합!M$3:M$501,MATCH(ROW()-2,종합!$AD$3:$AD$501,0))&amp;"","")</f>
        <v/>
      </c>
      <c r="N400" s="25" t="str">
        <f aca="false">IFERROR(INDEX(종합!N$3:N$501,MATCH(ROW()-2,종합!$AD$3:$AD$501,0))&amp;"","")</f>
        <v/>
      </c>
      <c r="O400" s="21" t="str">
        <f aca="false">IFERROR(INDEX(종합!O$3:O$501,MATCH(ROW()-2,종합!$AD$3:$AD$501,0))&amp;"","")</f>
        <v/>
      </c>
      <c r="P400" s="21" t="str">
        <f aca="false">IFERROR(INDEX(종합!P$3:P$501,MATCH(ROW()-2,종합!$AD$3:$AD$501,0))&amp;"","")</f>
        <v/>
      </c>
      <c r="Q400" s="21" t="str">
        <f aca="false">IFERROR(INDEX(종합!Q$3:Q$501,MATCH(ROW()-2,종합!$AD$3:$AD$501,0))&amp;"","")</f>
        <v/>
      </c>
      <c r="R400" s="21" t="str">
        <f aca="false">IFERROR(INDEX(종합!R$3:R$501,MATCH(ROW()-2,종합!$AD$3:$AD$501,0))&amp;"","")</f>
        <v/>
      </c>
      <c r="S400" s="21" t="str">
        <f aca="false">IFERROR(INDEX(종합!S$3:S$501,MATCH(ROW()-2,종합!$AD$3:$AD$501,0))&amp;"","")</f>
        <v/>
      </c>
      <c r="T400" s="21" t="str">
        <f aca="false">IFERROR(INDEX(종합!T$3:T$501,MATCH(ROW()-2,종합!$AD$3:$AD$501,0))&amp;"","")</f>
        <v/>
      </c>
      <c r="U400" s="21" t="str">
        <f aca="false">IFERROR(INDEX(종합!U$3:U$501,MATCH(ROW()-2,종합!$AD$3:$AD$501,0))&amp;"","")</f>
        <v/>
      </c>
      <c r="V400" s="21" t="str">
        <f aca="false">IFERROR(INDEX(종합!V$3:V$501,MATCH(ROW()-2,종합!$AD$3:$AD$501,0))&amp;"","")</f>
        <v/>
      </c>
      <c r="W400" s="21" t="str">
        <f aca="false">IFERROR(INDEX(종합!W$3:W$501,MATCH(ROW()-2,종합!$AD$3:$AD$501,0))&amp;"","")</f>
        <v/>
      </c>
      <c r="X400" s="21" t="str">
        <f aca="false">IFERROR(INDEX(종합!X$3:X$501,MATCH(ROW()-2,종합!$AD$3:$AD$501,0))&amp;"","")</f>
        <v/>
      </c>
      <c r="Y400" s="21" t="str">
        <f aca="false">IFERROR(INDEX(종합!Y$3:Y$501,MATCH(ROW()-2,종합!$AD$3:$AD$501,0))&amp;"","")</f>
        <v/>
      </c>
      <c r="Z400" s="21" t="str">
        <f aca="false">IFERROR(INDEX(종합!Z$3:Z$501,MATCH(ROW()-2,종합!$AD$3:$AD$501,0))&amp;"","")</f>
        <v/>
      </c>
      <c r="AA400" s="23" t="str">
        <f aca="false">IFERROR(INDEX(종합!AA$3:AA$501,MATCH(ROW()-2,종합!$AD$3:$AD$501,0))&amp;"","")</f>
        <v/>
      </c>
    </row>
    <row r="401" customFormat="false" ht="16.5" hidden="false" customHeight="true" outlineLevel="0" collapsed="false">
      <c r="A401" s="18" t="str">
        <f aca="false">IF(B401="","",ROW()-2)</f>
        <v/>
      </c>
      <c r="B401" s="18" t="str">
        <f aca="false">IFERROR(INDEX(종합!B$3:B$501,MATCH(ROW()-2,종합!$AD$3:$AD$501,0))&amp;"","")</f>
        <v/>
      </c>
      <c r="C401" s="18" t="str">
        <f aca="false">IFERROR(INDEX(종합!C$3:C$501,MATCH(ROW()-2,종합!$AD$3:$AD$501,0))&amp;"","")</f>
        <v/>
      </c>
      <c r="D401" s="18" t="str">
        <f aca="false">IFERROR(INDEX(종합!D$3:D$501,MATCH(ROW()-2,종합!$AD$3:$AD$501,0))&amp;"","")</f>
        <v/>
      </c>
      <c r="E401" s="18" t="str">
        <f aca="false">IFERROR(INDEX(종합!E$3:E$501,MATCH(ROW()-2,종합!$AD$3:$AD$501,0))&amp;"","")</f>
        <v/>
      </c>
      <c r="F401" s="18" t="str">
        <f aca="false">IFERROR(INDEX(종합!F$3:F$501,MATCH(ROW()-2,종합!$AD$3:$AD$501,0))&amp;"","")</f>
        <v/>
      </c>
      <c r="G401" s="18" t="str">
        <f aca="false">IFERROR(INDEX(종합!G$3:G$501,MATCH(ROW()-2,종합!$AD$3:$AD$501,0))&amp;"","")</f>
        <v/>
      </c>
      <c r="H401" s="21" t="str">
        <f aca="false">IFERROR(INDEX(종합!H$3:H$501,MATCH(ROW()-2,종합!$AD$3:$AD$501,0))&amp;"","")</f>
        <v/>
      </c>
      <c r="I401" s="21" t="str">
        <f aca="false">IFERROR(INDEX(종합!I$3:I$501,MATCH(ROW()-2,종합!$AD$3:$AD$501,0))&amp;"","")</f>
        <v/>
      </c>
      <c r="J401" s="21" t="str">
        <f aca="false">IFERROR(INDEX(종합!J$3:J$501,MATCH(ROW()-2,종합!$AD$3:$AD$501,0))&amp;"","")</f>
        <v/>
      </c>
      <c r="K401" s="21" t="str">
        <f aca="false">IFERROR(INDEX(종합!K$3:K$501,MATCH(ROW()-2,종합!$AD$3:$AD$501,0))&amp;"","")</f>
        <v/>
      </c>
      <c r="L401" s="21" t="str">
        <f aca="false">IFERROR(INDEX(종합!L$3:L$501,MATCH(ROW()-2,종합!$AD$3:$AD$501,0))&amp;"","")</f>
        <v/>
      </c>
      <c r="M401" s="21" t="str">
        <f aca="false">IFERROR(INDEX(종합!M$3:M$501,MATCH(ROW()-2,종합!$AD$3:$AD$501,0))&amp;"","")</f>
        <v/>
      </c>
      <c r="N401" s="25" t="str">
        <f aca="false">IFERROR(INDEX(종합!N$3:N$501,MATCH(ROW()-2,종합!$AD$3:$AD$501,0))&amp;"","")</f>
        <v/>
      </c>
      <c r="O401" s="21" t="str">
        <f aca="false">IFERROR(INDEX(종합!O$3:O$501,MATCH(ROW()-2,종합!$AD$3:$AD$501,0))&amp;"","")</f>
        <v/>
      </c>
      <c r="P401" s="21" t="str">
        <f aca="false">IFERROR(INDEX(종합!P$3:P$501,MATCH(ROW()-2,종합!$AD$3:$AD$501,0))&amp;"","")</f>
        <v/>
      </c>
      <c r="Q401" s="21" t="str">
        <f aca="false">IFERROR(INDEX(종합!Q$3:Q$501,MATCH(ROW()-2,종합!$AD$3:$AD$501,0))&amp;"","")</f>
        <v/>
      </c>
      <c r="R401" s="21" t="str">
        <f aca="false">IFERROR(INDEX(종합!R$3:R$501,MATCH(ROW()-2,종합!$AD$3:$AD$501,0))&amp;"","")</f>
        <v/>
      </c>
      <c r="S401" s="21" t="str">
        <f aca="false">IFERROR(INDEX(종합!S$3:S$501,MATCH(ROW()-2,종합!$AD$3:$AD$501,0))&amp;"","")</f>
        <v/>
      </c>
      <c r="T401" s="21" t="str">
        <f aca="false">IFERROR(INDEX(종합!T$3:T$501,MATCH(ROW()-2,종합!$AD$3:$AD$501,0))&amp;"","")</f>
        <v/>
      </c>
      <c r="U401" s="21" t="str">
        <f aca="false">IFERROR(INDEX(종합!U$3:U$501,MATCH(ROW()-2,종합!$AD$3:$AD$501,0))&amp;"","")</f>
        <v/>
      </c>
      <c r="V401" s="21" t="str">
        <f aca="false">IFERROR(INDEX(종합!V$3:V$501,MATCH(ROW()-2,종합!$AD$3:$AD$501,0))&amp;"","")</f>
        <v/>
      </c>
      <c r="W401" s="21" t="str">
        <f aca="false">IFERROR(INDEX(종합!W$3:W$501,MATCH(ROW()-2,종합!$AD$3:$AD$501,0))&amp;"","")</f>
        <v/>
      </c>
      <c r="X401" s="21" t="str">
        <f aca="false">IFERROR(INDEX(종합!X$3:X$501,MATCH(ROW()-2,종합!$AD$3:$AD$501,0))&amp;"","")</f>
        <v/>
      </c>
      <c r="Y401" s="21" t="str">
        <f aca="false">IFERROR(INDEX(종합!Y$3:Y$501,MATCH(ROW()-2,종합!$AD$3:$AD$501,0))&amp;"","")</f>
        <v/>
      </c>
      <c r="Z401" s="21" t="str">
        <f aca="false">IFERROR(INDEX(종합!Z$3:Z$501,MATCH(ROW()-2,종합!$AD$3:$AD$501,0))&amp;"","")</f>
        <v/>
      </c>
      <c r="AA401" s="23" t="str">
        <f aca="false">IFERROR(INDEX(종합!AA$3:AA$501,MATCH(ROW()-2,종합!$AD$3:$AD$501,0))&amp;"","")</f>
        <v/>
      </c>
    </row>
    <row r="402" customFormat="false" ht="16.5" hidden="false" customHeight="true" outlineLevel="0" collapsed="false">
      <c r="A402" s="18" t="str">
        <f aca="false">IF(B402="","",ROW()-2)</f>
        <v/>
      </c>
      <c r="B402" s="18" t="str">
        <f aca="false">IFERROR(INDEX(종합!B$3:B$501,MATCH(ROW()-2,종합!$AD$3:$AD$501,0))&amp;"","")</f>
        <v/>
      </c>
      <c r="C402" s="18" t="str">
        <f aca="false">IFERROR(INDEX(종합!C$3:C$501,MATCH(ROW()-2,종합!$AD$3:$AD$501,0))&amp;"","")</f>
        <v/>
      </c>
      <c r="D402" s="18" t="str">
        <f aca="false">IFERROR(INDEX(종합!D$3:D$501,MATCH(ROW()-2,종합!$AD$3:$AD$501,0))&amp;"","")</f>
        <v/>
      </c>
      <c r="E402" s="18" t="str">
        <f aca="false">IFERROR(INDEX(종합!E$3:E$501,MATCH(ROW()-2,종합!$AD$3:$AD$501,0))&amp;"","")</f>
        <v/>
      </c>
      <c r="F402" s="18" t="str">
        <f aca="false">IFERROR(INDEX(종합!F$3:F$501,MATCH(ROW()-2,종합!$AD$3:$AD$501,0))&amp;"","")</f>
        <v/>
      </c>
      <c r="G402" s="18" t="str">
        <f aca="false">IFERROR(INDEX(종합!G$3:G$501,MATCH(ROW()-2,종합!$AD$3:$AD$501,0))&amp;"","")</f>
        <v/>
      </c>
      <c r="H402" s="21" t="str">
        <f aca="false">IFERROR(INDEX(종합!H$3:H$501,MATCH(ROW()-2,종합!$AD$3:$AD$501,0))&amp;"","")</f>
        <v/>
      </c>
      <c r="I402" s="21" t="str">
        <f aca="false">IFERROR(INDEX(종합!I$3:I$501,MATCH(ROW()-2,종합!$AD$3:$AD$501,0))&amp;"","")</f>
        <v/>
      </c>
      <c r="J402" s="21" t="str">
        <f aca="false">IFERROR(INDEX(종합!J$3:J$501,MATCH(ROW()-2,종합!$AD$3:$AD$501,0))&amp;"","")</f>
        <v/>
      </c>
      <c r="K402" s="21" t="str">
        <f aca="false">IFERROR(INDEX(종합!K$3:K$501,MATCH(ROW()-2,종합!$AD$3:$AD$501,0))&amp;"","")</f>
        <v/>
      </c>
      <c r="L402" s="21" t="str">
        <f aca="false">IFERROR(INDEX(종합!L$3:L$501,MATCH(ROW()-2,종합!$AD$3:$AD$501,0))&amp;"","")</f>
        <v/>
      </c>
      <c r="M402" s="21" t="str">
        <f aca="false">IFERROR(INDEX(종합!M$3:M$501,MATCH(ROW()-2,종합!$AD$3:$AD$501,0))&amp;"","")</f>
        <v/>
      </c>
      <c r="N402" s="25" t="str">
        <f aca="false">IFERROR(INDEX(종합!N$3:N$501,MATCH(ROW()-2,종합!$AD$3:$AD$501,0))&amp;"","")</f>
        <v/>
      </c>
      <c r="O402" s="21" t="str">
        <f aca="false">IFERROR(INDEX(종합!O$3:O$501,MATCH(ROW()-2,종합!$AD$3:$AD$501,0))&amp;"","")</f>
        <v/>
      </c>
      <c r="P402" s="21" t="str">
        <f aca="false">IFERROR(INDEX(종합!P$3:P$501,MATCH(ROW()-2,종합!$AD$3:$AD$501,0))&amp;"","")</f>
        <v/>
      </c>
      <c r="Q402" s="21" t="str">
        <f aca="false">IFERROR(INDEX(종합!Q$3:Q$501,MATCH(ROW()-2,종합!$AD$3:$AD$501,0))&amp;"","")</f>
        <v/>
      </c>
      <c r="R402" s="21" t="str">
        <f aca="false">IFERROR(INDEX(종합!R$3:R$501,MATCH(ROW()-2,종합!$AD$3:$AD$501,0))&amp;"","")</f>
        <v/>
      </c>
      <c r="S402" s="21" t="str">
        <f aca="false">IFERROR(INDEX(종합!S$3:S$501,MATCH(ROW()-2,종합!$AD$3:$AD$501,0))&amp;"","")</f>
        <v/>
      </c>
      <c r="T402" s="21" t="str">
        <f aca="false">IFERROR(INDEX(종합!T$3:T$501,MATCH(ROW()-2,종합!$AD$3:$AD$501,0))&amp;"","")</f>
        <v/>
      </c>
      <c r="U402" s="21" t="str">
        <f aca="false">IFERROR(INDEX(종합!U$3:U$501,MATCH(ROW()-2,종합!$AD$3:$AD$501,0))&amp;"","")</f>
        <v/>
      </c>
      <c r="V402" s="21" t="str">
        <f aca="false">IFERROR(INDEX(종합!V$3:V$501,MATCH(ROW()-2,종합!$AD$3:$AD$501,0))&amp;"","")</f>
        <v/>
      </c>
      <c r="W402" s="21" t="str">
        <f aca="false">IFERROR(INDEX(종합!W$3:W$501,MATCH(ROW()-2,종합!$AD$3:$AD$501,0))&amp;"","")</f>
        <v/>
      </c>
      <c r="X402" s="21" t="str">
        <f aca="false">IFERROR(INDEX(종합!X$3:X$501,MATCH(ROW()-2,종합!$AD$3:$AD$501,0))&amp;"","")</f>
        <v/>
      </c>
      <c r="Y402" s="21" t="str">
        <f aca="false">IFERROR(INDEX(종합!Y$3:Y$501,MATCH(ROW()-2,종합!$AD$3:$AD$501,0))&amp;"","")</f>
        <v/>
      </c>
      <c r="Z402" s="21" t="str">
        <f aca="false">IFERROR(INDEX(종합!Z$3:Z$501,MATCH(ROW()-2,종합!$AD$3:$AD$501,0))&amp;"","")</f>
        <v/>
      </c>
      <c r="AA402" s="23" t="str">
        <f aca="false">IFERROR(INDEX(종합!AA$3:AA$501,MATCH(ROW()-2,종합!$AD$3:$AD$501,0))&amp;"","")</f>
        <v/>
      </c>
    </row>
    <row r="403" customFormat="false" ht="16.5" hidden="false" customHeight="true" outlineLevel="0" collapsed="false">
      <c r="A403" s="18" t="str">
        <f aca="false">IF(B403="","",ROW()-2)</f>
        <v/>
      </c>
      <c r="B403" s="18" t="str">
        <f aca="false">IFERROR(INDEX(종합!B$3:B$501,MATCH(ROW()-2,종합!$AD$3:$AD$501,0))&amp;"","")</f>
        <v/>
      </c>
      <c r="C403" s="18" t="str">
        <f aca="false">IFERROR(INDEX(종합!C$3:C$501,MATCH(ROW()-2,종합!$AD$3:$AD$501,0))&amp;"","")</f>
        <v/>
      </c>
      <c r="D403" s="18" t="str">
        <f aca="false">IFERROR(INDEX(종합!D$3:D$501,MATCH(ROW()-2,종합!$AD$3:$AD$501,0))&amp;"","")</f>
        <v/>
      </c>
      <c r="E403" s="18" t="str">
        <f aca="false">IFERROR(INDEX(종합!E$3:E$501,MATCH(ROW()-2,종합!$AD$3:$AD$501,0))&amp;"","")</f>
        <v/>
      </c>
      <c r="F403" s="18" t="str">
        <f aca="false">IFERROR(INDEX(종합!F$3:F$501,MATCH(ROW()-2,종합!$AD$3:$AD$501,0))&amp;"","")</f>
        <v/>
      </c>
      <c r="G403" s="18" t="str">
        <f aca="false">IFERROR(INDEX(종합!G$3:G$501,MATCH(ROW()-2,종합!$AD$3:$AD$501,0))&amp;"","")</f>
        <v/>
      </c>
      <c r="H403" s="21" t="str">
        <f aca="false">IFERROR(INDEX(종합!H$3:H$501,MATCH(ROW()-2,종합!$AD$3:$AD$501,0))&amp;"","")</f>
        <v/>
      </c>
      <c r="I403" s="21" t="str">
        <f aca="false">IFERROR(INDEX(종합!I$3:I$501,MATCH(ROW()-2,종합!$AD$3:$AD$501,0))&amp;"","")</f>
        <v/>
      </c>
      <c r="J403" s="21" t="str">
        <f aca="false">IFERROR(INDEX(종합!J$3:J$501,MATCH(ROW()-2,종합!$AD$3:$AD$501,0))&amp;"","")</f>
        <v/>
      </c>
      <c r="K403" s="21" t="str">
        <f aca="false">IFERROR(INDEX(종합!K$3:K$501,MATCH(ROW()-2,종합!$AD$3:$AD$501,0))&amp;"","")</f>
        <v/>
      </c>
      <c r="L403" s="21" t="str">
        <f aca="false">IFERROR(INDEX(종합!L$3:L$501,MATCH(ROW()-2,종합!$AD$3:$AD$501,0))&amp;"","")</f>
        <v/>
      </c>
      <c r="M403" s="21" t="str">
        <f aca="false">IFERROR(INDEX(종합!M$3:M$501,MATCH(ROW()-2,종합!$AD$3:$AD$501,0))&amp;"","")</f>
        <v/>
      </c>
      <c r="N403" s="25" t="str">
        <f aca="false">IFERROR(INDEX(종합!N$3:N$501,MATCH(ROW()-2,종합!$AD$3:$AD$501,0))&amp;"","")</f>
        <v/>
      </c>
      <c r="O403" s="21" t="str">
        <f aca="false">IFERROR(INDEX(종합!O$3:O$501,MATCH(ROW()-2,종합!$AD$3:$AD$501,0))&amp;"","")</f>
        <v/>
      </c>
      <c r="P403" s="21" t="str">
        <f aca="false">IFERROR(INDEX(종합!P$3:P$501,MATCH(ROW()-2,종합!$AD$3:$AD$501,0))&amp;"","")</f>
        <v/>
      </c>
      <c r="Q403" s="21" t="str">
        <f aca="false">IFERROR(INDEX(종합!Q$3:Q$501,MATCH(ROW()-2,종합!$AD$3:$AD$501,0))&amp;"","")</f>
        <v/>
      </c>
      <c r="R403" s="21" t="str">
        <f aca="false">IFERROR(INDEX(종합!R$3:R$501,MATCH(ROW()-2,종합!$AD$3:$AD$501,0))&amp;"","")</f>
        <v/>
      </c>
      <c r="S403" s="21" t="str">
        <f aca="false">IFERROR(INDEX(종합!S$3:S$501,MATCH(ROW()-2,종합!$AD$3:$AD$501,0))&amp;"","")</f>
        <v/>
      </c>
      <c r="T403" s="21" t="str">
        <f aca="false">IFERROR(INDEX(종합!T$3:T$501,MATCH(ROW()-2,종합!$AD$3:$AD$501,0))&amp;"","")</f>
        <v/>
      </c>
      <c r="U403" s="21" t="str">
        <f aca="false">IFERROR(INDEX(종합!U$3:U$501,MATCH(ROW()-2,종합!$AD$3:$AD$501,0))&amp;"","")</f>
        <v/>
      </c>
      <c r="V403" s="21" t="str">
        <f aca="false">IFERROR(INDEX(종합!V$3:V$501,MATCH(ROW()-2,종합!$AD$3:$AD$501,0))&amp;"","")</f>
        <v/>
      </c>
      <c r="W403" s="21" t="str">
        <f aca="false">IFERROR(INDEX(종합!W$3:W$501,MATCH(ROW()-2,종합!$AD$3:$AD$501,0))&amp;"","")</f>
        <v/>
      </c>
      <c r="X403" s="21" t="str">
        <f aca="false">IFERROR(INDEX(종합!X$3:X$501,MATCH(ROW()-2,종합!$AD$3:$AD$501,0))&amp;"","")</f>
        <v/>
      </c>
      <c r="Y403" s="21" t="str">
        <f aca="false">IFERROR(INDEX(종합!Y$3:Y$501,MATCH(ROW()-2,종합!$AD$3:$AD$501,0))&amp;"","")</f>
        <v/>
      </c>
      <c r="Z403" s="21" t="str">
        <f aca="false">IFERROR(INDEX(종합!Z$3:Z$501,MATCH(ROW()-2,종합!$AD$3:$AD$501,0))&amp;"","")</f>
        <v/>
      </c>
      <c r="AA403" s="23" t="str">
        <f aca="false">IFERROR(INDEX(종합!AA$3:AA$501,MATCH(ROW()-2,종합!$AD$3:$AD$501,0))&amp;"","")</f>
        <v/>
      </c>
    </row>
    <row r="404" customFormat="false" ht="16.5" hidden="false" customHeight="true" outlineLevel="0" collapsed="false">
      <c r="A404" s="18" t="str">
        <f aca="false">IF(B404="","",ROW()-2)</f>
        <v/>
      </c>
      <c r="B404" s="18" t="str">
        <f aca="false">IFERROR(INDEX(종합!B$3:B$501,MATCH(ROW()-2,종합!$AD$3:$AD$501,0))&amp;"","")</f>
        <v/>
      </c>
      <c r="C404" s="18" t="str">
        <f aca="false">IFERROR(INDEX(종합!C$3:C$501,MATCH(ROW()-2,종합!$AD$3:$AD$501,0))&amp;"","")</f>
        <v/>
      </c>
      <c r="D404" s="18" t="str">
        <f aca="false">IFERROR(INDEX(종합!D$3:D$501,MATCH(ROW()-2,종합!$AD$3:$AD$501,0))&amp;"","")</f>
        <v/>
      </c>
      <c r="E404" s="18" t="str">
        <f aca="false">IFERROR(INDEX(종합!E$3:E$501,MATCH(ROW()-2,종합!$AD$3:$AD$501,0))&amp;"","")</f>
        <v/>
      </c>
      <c r="F404" s="18" t="str">
        <f aca="false">IFERROR(INDEX(종합!F$3:F$501,MATCH(ROW()-2,종합!$AD$3:$AD$501,0))&amp;"","")</f>
        <v/>
      </c>
      <c r="G404" s="18" t="str">
        <f aca="false">IFERROR(INDEX(종합!G$3:G$501,MATCH(ROW()-2,종합!$AD$3:$AD$501,0))&amp;"","")</f>
        <v/>
      </c>
      <c r="H404" s="21" t="str">
        <f aca="false">IFERROR(INDEX(종합!H$3:H$501,MATCH(ROW()-2,종합!$AD$3:$AD$501,0))&amp;"","")</f>
        <v/>
      </c>
      <c r="I404" s="21" t="str">
        <f aca="false">IFERROR(INDEX(종합!I$3:I$501,MATCH(ROW()-2,종합!$AD$3:$AD$501,0))&amp;"","")</f>
        <v/>
      </c>
      <c r="J404" s="21" t="str">
        <f aca="false">IFERROR(INDEX(종합!J$3:J$501,MATCH(ROW()-2,종합!$AD$3:$AD$501,0))&amp;"","")</f>
        <v/>
      </c>
      <c r="K404" s="21" t="str">
        <f aca="false">IFERROR(INDEX(종합!K$3:K$501,MATCH(ROW()-2,종합!$AD$3:$AD$501,0))&amp;"","")</f>
        <v/>
      </c>
      <c r="L404" s="21" t="str">
        <f aca="false">IFERROR(INDEX(종합!L$3:L$501,MATCH(ROW()-2,종합!$AD$3:$AD$501,0))&amp;"","")</f>
        <v/>
      </c>
      <c r="M404" s="21" t="str">
        <f aca="false">IFERROR(INDEX(종합!M$3:M$501,MATCH(ROW()-2,종합!$AD$3:$AD$501,0))&amp;"","")</f>
        <v/>
      </c>
      <c r="N404" s="25" t="str">
        <f aca="false">IFERROR(INDEX(종합!N$3:N$501,MATCH(ROW()-2,종합!$AD$3:$AD$501,0))&amp;"","")</f>
        <v/>
      </c>
      <c r="O404" s="21" t="str">
        <f aca="false">IFERROR(INDEX(종합!O$3:O$501,MATCH(ROW()-2,종합!$AD$3:$AD$501,0))&amp;"","")</f>
        <v/>
      </c>
      <c r="P404" s="21" t="str">
        <f aca="false">IFERROR(INDEX(종합!P$3:P$501,MATCH(ROW()-2,종합!$AD$3:$AD$501,0))&amp;"","")</f>
        <v/>
      </c>
      <c r="Q404" s="21" t="str">
        <f aca="false">IFERROR(INDEX(종합!Q$3:Q$501,MATCH(ROW()-2,종합!$AD$3:$AD$501,0))&amp;"","")</f>
        <v/>
      </c>
      <c r="R404" s="21" t="str">
        <f aca="false">IFERROR(INDEX(종합!R$3:R$501,MATCH(ROW()-2,종합!$AD$3:$AD$501,0))&amp;"","")</f>
        <v/>
      </c>
      <c r="S404" s="21" t="str">
        <f aca="false">IFERROR(INDEX(종합!S$3:S$501,MATCH(ROW()-2,종합!$AD$3:$AD$501,0))&amp;"","")</f>
        <v/>
      </c>
      <c r="T404" s="21" t="str">
        <f aca="false">IFERROR(INDEX(종합!T$3:T$501,MATCH(ROW()-2,종합!$AD$3:$AD$501,0))&amp;"","")</f>
        <v/>
      </c>
      <c r="U404" s="21" t="str">
        <f aca="false">IFERROR(INDEX(종합!U$3:U$501,MATCH(ROW()-2,종합!$AD$3:$AD$501,0))&amp;"","")</f>
        <v/>
      </c>
      <c r="V404" s="21" t="str">
        <f aca="false">IFERROR(INDEX(종합!V$3:V$501,MATCH(ROW()-2,종합!$AD$3:$AD$501,0))&amp;"","")</f>
        <v/>
      </c>
      <c r="W404" s="21" t="str">
        <f aca="false">IFERROR(INDEX(종합!W$3:W$501,MATCH(ROW()-2,종합!$AD$3:$AD$501,0))&amp;"","")</f>
        <v/>
      </c>
      <c r="X404" s="21" t="str">
        <f aca="false">IFERROR(INDEX(종합!X$3:X$501,MATCH(ROW()-2,종합!$AD$3:$AD$501,0))&amp;"","")</f>
        <v/>
      </c>
      <c r="Y404" s="21" t="str">
        <f aca="false">IFERROR(INDEX(종합!Y$3:Y$501,MATCH(ROW()-2,종합!$AD$3:$AD$501,0))&amp;"","")</f>
        <v/>
      </c>
      <c r="Z404" s="21" t="str">
        <f aca="false">IFERROR(INDEX(종합!Z$3:Z$501,MATCH(ROW()-2,종합!$AD$3:$AD$501,0))&amp;"","")</f>
        <v/>
      </c>
      <c r="AA404" s="23" t="str">
        <f aca="false">IFERROR(INDEX(종합!AA$3:AA$501,MATCH(ROW()-2,종합!$AD$3:$AD$501,0))&amp;"","")</f>
        <v/>
      </c>
    </row>
    <row r="405" customFormat="false" ht="16.5" hidden="false" customHeight="true" outlineLevel="0" collapsed="false">
      <c r="A405" s="18" t="str">
        <f aca="false">IF(B405="","",ROW()-2)</f>
        <v/>
      </c>
      <c r="B405" s="18" t="str">
        <f aca="false">IFERROR(INDEX(종합!B$3:B$501,MATCH(ROW()-2,종합!$AD$3:$AD$501,0))&amp;"","")</f>
        <v/>
      </c>
      <c r="C405" s="18" t="str">
        <f aca="false">IFERROR(INDEX(종합!C$3:C$501,MATCH(ROW()-2,종합!$AD$3:$AD$501,0))&amp;"","")</f>
        <v/>
      </c>
      <c r="D405" s="18" t="str">
        <f aca="false">IFERROR(INDEX(종합!D$3:D$501,MATCH(ROW()-2,종합!$AD$3:$AD$501,0))&amp;"","")</f>
        <v/>
      </c>
      <c r="E405" s="18" t="str">
        <f aca="false">IFERROR(INDEX(종합!E$3:E$501,MATCH(ROW()-2,종합!$AD$3:$AD$501,0))&amp;"","")</f>
        <v/>
      </c>
      <c r="F405" s="18" t="str">
        <f aca="false">IFERROR(INDEX(종합!F$3:F$501,MATCH(ROW()-2,종합!$AD$3:$AD$501,0))&amp;"","")</f>
        <v/>
      </c>
      <c r="G405" s="18" t="str">
        <f aca="false">IFERROR(INDEX(종합!G$3:G$501,MATCH(ROW()-2,종합!$AD$3:$AD$501,0))&amp;"","")</f>
        <v/>
      </c>
      <c r="H405" s="21" t="str">
        <f aca="false">IFERROR(INDEX(종합!H$3:H$501,MATCH(ROW()-2,종합!$AD$3:$AD$501,0))&amp;"","")</f>
        <v/>
      </c>
      <c r="I405" s="21" t="str">
        <f aca="false">IFERROR(INDEX(종합!I$3:I$501,MATCH(ROW()-2,종합!$AD$3:$AD$501,0))&amp;"","")</f>
        <v/>
      </c>
      <c r="J405" s="21" t="str">
        <f aca="false">IFERROR(INDEX(종합!J$3:J$501,MATCH(ROW()-2,종합!$AD$3:$AD$501,0))&amp;"","")</f>
        <v/>
      </c>
      <c r="K405" s="21" t="str">
        <f aca="false">IFERROR(INDEX(종합!K$3:K$501,MATCH(ROW()-2,종합!$AD$3:$AD$501,0))&amp;"","")</f>
        <v/>
      </c>
      <c r="L405" s="21" t="str">
        <f aca="false">IFERROR(INDEX(종합!L$3:L$501,MATCH(ROW()-2,종합!$AD$3:$AD$501,0))&amp;"","")</f>
        <v/>
      </c>
      <c r="M405" s="21" t="str">
        <f aca="false">IFERROR(INDEX(종합!M$3:M$501,MATCH(ROW()-2,종합!$AD$3:$AD$501,0))&amp;"","")</f>
        <v/>
      </c>
      <c r="N405" s="25" t="str">
        <f aca="false">IFERROR(INDEX(종합!N$3:N$501,MATCH(ROW()-2,종합!$AD$3:$AD$501,0))&amp;"","")</f>
        <v/>
      </c>
      <c r="O405" s="21" t="str">
        <f aca="false">IFERROR(INDEX(종합!O$3:O$501,MATCH(ROW()-2,종합!$AD$3:$AD$501,0))&amp;"","")</f>
        <v/>
      </c>
      <c r="P405" s="21" t="str">
        <f aca="false">IFERROR(INDEX(종합!P$3:P$501,MATCH(ROW()-2,종합!$AD$3:$AD$501,0))&amp;"","")</f>
        <v/>
      </c>
      <c r="Q405" s="21" t="str">
        <f aca="false">IFERROR(INDEX(종합!Q$3:Q$501,MATCH(ROW()-2,종합!$AD$3:$AD$501,0))&amp;"","")</f>
        <v/>
      </c>
      <c r="R405" s="21" t="str">
        <f aca="false">IFERROR(INDEX(종합!R$3:R$501,MATCH(ROW()-2,종합!$AD$3:$AD$501,0))&amp;"","")</f>
        <v/>
      </c>
      <c r="S405" s="21" t="str">
        <f aca="false">IFERROR(INDEX(종합!S$3:S$501,MATCH(ROW()-2,종합!$AD$3:$AD$501,0))&amp;"","")</f>
        <v/>
      </c>
      <c r="T405" s="21" t="str">
        <f aca="false">IFERROR(INDEX(종합!T$3:T$501,MATCH(ROW()-2,종합!$AD$3:$AD$501,0))&amp;"","")</f>
        <v/>
      </c>
      <c r="U405" s="21" t="str">
        <f aca="false">IFERROR(INDEX(종합!U$3:U$501,MATCH(ROW()-2,종합!$AD$3:$AD$501,0))&amp;"","")</f>
        <v/>
      </c>
      <c r="V405" s="21" t="str">
        <f aca="false">IFERROR(INDEX(종합!V$3:V$501,MATCH(ROW()-2,종합!$AD$3:$AD$501,0))&amp;"","")</f>
        <v/>
      </c>
      <c r="W405" s="21" t="str">
        <f aca="false">IFERROR(INDEX(종합!W$3:W$501,MATCH(ROW()-2,종합!$AD$3:$AD$501,0))&amp;"","")</f>
        <v/>
      </c>
      <c r="X405" s="21" t="str">
        <f aca="false">IFERROR(INDEX(종합!X$3:X$501,MATCH(ROW()-2,종합!$AD$3:$AD$501,0))&amp;"","")</f>
        <v/>
      </c>
      <c r="Y405" s="21" t="str">
        <f aca="false">IFERROR(INDEX(종합!Y$3:Y$501,MATCH(ROW()-2,종합!$AD$3:$AD$501,0))&amp;"","")</f>
        <v/>
      </c>
      <c r="Z405" s="21" t="str">
        <f aca="false">IFERROR(INDEX(종합!Z$3:Z$501,MATCH(ROW()-2,종합!$AD$3:$AD$501,0))&amp;"","")</f>
        <v/>
      </c>
      <c r="AA405" s="23" t="str">
        <f aca="false">IFERROR(INDEX(종합!AA$3:AA$501,MATCH(ROW()-2,종합!$AD$3:$AD$501,0))&amp;"","")</f>
        <v/>
      </c>
    </row>
    <row r="406" customFormat="false" ht="16.5" hidden="false" customHeight="true" outlineLevel="0" collapsed="false">
      <c r="A406" s="18" t="str">
        <f aca="false">IF(B406="","",ROW()-2)</f>
        <v/>
      </c>
      <c r="B406" s="18" t="str">
        <f aca="false">IFERROR(INDEX(종합!B$3:B$501,MATCH(ROW()-2,종합!$AD$3:$AD$501,0))&amp;"","")</f>
        <v/>
      </c>
      <c r="C406" s="18" t="str">
        <f aca="false">IFERROR(INDEX(종합!C$3:C$501,MATCH(ROW()-2,종합!$AD$3:$AD$501,0))&amp;"","")</f>
        <v/>
      </c>
      <c r="D406" s="18" t="str">
        <f aca="false">IFERROR(INDEX(종합!D$3:D$501,MATCH(ROW()-2,종합!$AD$3:$AD$501,0))&amp;"","")</f>
        <v/>
      </c>
      <c r="E406" s="18" t="str">
        <f aca="false">IFERROR(INDEX(종합!E$3:E$501,MATCH(ROW()-2,종합!$AD$3:$AD$501,0))&amp;"","")</f>
        <v/>
      </c>
      <c r="F406" s="18" t="str">
        <f aca="false">IFERROR(INDEX(종합!F$3:F$501,MATCH(ROW()-2,종합!$AD$3:$AD$501,0))&amp;"","")</f>
        <v/>
      </c>
      <c r="G406" s="18" t="str">
        <f aca="false">IFERROR(INDEX(종합!G$3:G$501,MATCH(ROW()-2,종합!$AD$3:$AD$501,0))&amp;"","")</f>
        <v/>
      </c>
      <c r="H406" s="21" t="str">
        <f aca="false">IFERROR(INDEX(종합!H$3:H$501,MATCH(ROW()-2,종합!$AD$3:$AD$501,0))&amp;"","")</f>
        <v/>
      </c>
      <c r="I406" s="21" t="str">
        <f aca="false">IFERROR(INDEX(종합!I$3:I$501,MATCH(ROW()-2,종합!$AD$3:$AD$501,0))&amp;"","")</f>
        <v/>
      </c>
      <c r="J406" s="21" t="str">
        <f aca="false">IFERROR(INDEX(종합!J$3:J$501,MATCH(ROW()-2,종합!$AD$3:$AD$501,0))&amp;"","")</f>
        <v/>
      </c>
      <c r="K406" s="21" t="str">
        <f aca="false">IFERROR(INDEX(종합!K$3:K$501,MATCH(ROW()-2,종합!$AD$3:$AD$501,0))&amp;"","")</f>
        <v/>
      </c>
      <c r="L406" s="21" t="str">
        <f aca="false">IFERROR(INDEX(종합!L$3:L$501,MATCH(ROW()-2,종합!$AD$3:$AD$501,0))&amp;"","")</f>
        <v/>
      </c>
      <c r="M406" s="21" t="str">
        <f aca="false">IFERROR(INDEX(종합!M$3:M$501,MATCH(ROW()-2,종합!$AD$3:$AD$501,0))&amp;"","")</f>
        <v/>
      </c>
      <c r="N406" s="25" t="str">
        <f aca="false">IFERROR(INDEX(종합!N$3:N$501,MATCH(ROW()-2,종합!$AD$3:$AD$501,0))&amp;"","")</f>
        <v/>
      </c>
      <c r="O406" s="21" t="str">
        <f aca="false">IFERROR(INDEX(종합!O$3:O$501,MATCH(ROW()-2,종합!$AD$3:$AD$501,0))&amp;"","")</f>
        <v/>
      </c>
      <c r="P406" s="21" t="str">
        <f aca="false">IFERROR(INDEX(종합!P$3:P$501,MATCH(ROW()-2,종합!$AD$3:$AD$501,0))&amp;"","")</f>
        <v/>
      </c>
      <c r="Q406" s="21" t="str">
        <f aca="false">IFERROR(INDEX(종합!Q$3:Q$501,MATCH(ROW()-2,종합!$AD$3:$AD$501,0))&amp;"","")</f>
        <v/>
      </c>
      <c r="R406" s="21" t="str">
        <f aca="false">IFERROR(INDEX(종합!R$3:R$501,MATCH(ROW()-2,종합!$AD$3:$AD$501,0))&amp;"","")</f>
        <v/>
      </c>
      <c r="S406" s="21" t="str">
        <f aca="false">IFERROR(INDEX(종합!S$3:S$501,MATCH(ROW()-2,종합!$AD$3:$AD$501,0))&amp;"","")</f>
        <v/>
      </c>
      <c r="T406" s="21" t="str">
        <f aca="false">IFERROR(INDEX(종합!T$3:T$501,MATCH(ROW()-2,종합!$AD$3:$AD$501,0))&amp;"","")</f>
        <v/>
      </c>
      <c r="U406" s="21" t="str">
        <f aca="false">IFERROR(INDEX(종합!U$3:U$501,MATCH(ROW()-2,종합!$AD$3:$AD$501,0))&amp;"","")</f>
        <v/>
      </c>
      <c r="V406" s="21" t="str">
        <f aca="false">IFERROR(INDEX(종합!V$3:V$501,MATCH(ROW()-2,종합!$AD$3:$AD$501,0))&amp;"","")</f>
        <v/>
      </c>
      <c r="W406" s="21" t="str">
        <f aca="false">IFERROR(INDEX(종합!W$3:W$501,MATCH(ROW()-2,종합!$AD$3:$AD$501,0))&amp;"","")</f>
        <v/>
      </c>
      <c r="X406" s="21" t="str">
        <f aca="false">IFERROR(INDEX(종합!X$3:X$501,MATCH(ROW()-2,종합!$AD$3:$AD$501,0))&amp;"","")</f>
        <v/>
      </c>
      <c r="Y406" s="21" t="str">
        <f aca="false">IFERROR(INDEX(종합!Y$3:Y$501,MATCH(ROW()-2,종합!$AD$3:$AD$501,0))&amp;"","")</f>
        <v/>
      </c>
      <c r="Z406" s="21" t="str">
        <f aca="false">IFERROR(INDEX(종합!Z$3:Z$501,MATCH(ROW()-2,종합!$AD$3:$AD$501,0))&amp;"","")</f>
        <v/>
      </c>
      <c r="AA406" s="23" t="str">
        <f aca="false">IFERROR(INDEX(종합!AA$3:AA$501,MATCH(ROW()-2,종합!$AD$3:$AD$501,0))&amp;"","")</f>
        <v/>
      </c>
    </row>
    <row r="407" customFormat="false" ht="16.5" hidden="false" customHeight="true" outlineLevel="0" collapsed="false">
      <c r="A407" s="18" t="str">
        <f aca="false">IF(B407="","",ROW()-2)</f>
        <v/>
      </c>
      <c r="B407" s="18" t="str">
        <f aca="false">IFERROR(INDEX(종합!B$3:B$501,MATCH(ROW()-2,종합!$AD$3:$AD$501,0))&amp;"","")</f>
        <v/>
      </c>
      <c r="C407" s="18" t="str">
        <f aca="false">IFERROR(INDEX(종합!C$3:C$501,MATCH(ROW()-2,종합!$AD$3:$AD$501,0))&amp;"","")</f>
        <v/>
      </c>
      <c r="D407" s="18" t="str">
        <f aca="false">IFERROR(INDEX(종합!D$3:D$501,MATCH(ROW()-2,종합!$AD$3:$AD$501,0))&amp;"","")</f>
        <v/>
      </c>
      <c r="E407" s="18" t="str">
        <f aca="false">IFERROR(INDEX(종합!E$3:E$501,MATCH(ROW()-2,종합!$AD$3:$AD$501,0))&amp;"","")</f>
        <v/>
      </c>
      <c r="F407" s="18" t="str">
        <f aca="false">IFERROR(INDEX(종합!F$3:F$501,MATCH(ROW()-2,종합!$AD$3:$AD$501,0))&amp;"","")</f>
        <v/>
      </c>
      <c r="G407" s="18" t="str">
        <f aca="false">IFERROR(INDEX(종합!G$3:G$501,MATCH(ROW()-2,종합!$AD$3:$AD$501,0))&amp;"","")</f>
        <v/>
      </c>
      <c r="H407" s="21" t="str">
        <f aca="false">IFERROR(INDEX(종합!H$3:H$501,MATCH(ROW()-2,종합!$AD$3:$AD$501,0))&amp;"","")</f>
        <v/>
      </c>
      <c r="I407" s="21" t="str">
        <f aca="false">IFERROR(INDEX(종합!I$3:I$501,MATCH(ROW()-2,종합!$AD$3:$AD$501,0))&amp;"","")</f>
        <v/>
      </c>
      <c r="J407" s="21" t="str">
        <f aca="false">IFERROR(INDEX(종합!J$3:J$501,MATCH(ROW()-2,종합!$AD$3:$AD$501,0))&amp;"","")</f>
        <v/>
      </c>
      <c r="K407" s="21" t="str">
        <f aca="false">IFERROR(INDEX(종합!K$3:K$501,MATCH(ROW()-2,종합!$AD$3:$AD$501,0))&amp;"","")</f>
        <v/>
      </c>
      <c r="L407" s="21" t="str">
        <f aca="false">IFERROR(INDEX(종합!L$3:L$501,MATCH(ROW()-2,종합!$AD$3:$AD$501,0))&amp;"","")</f>
        <v/>
      </c>
      <c r="M407" s="21" t="str">
        <f aca="false">IFERROR(INDEX(종합!M$3:M$501,MATCH(ROW()-2,종합!$AD$3:$AD$501,0))&amp;"","")</f>
        <v/>
      </c>
      <c r="N407" s="25" t="str">
        <f aca="false">IFERROR(INDEX(종합!N$3:N$501,MATCH(ROW()-2,종합!$AD$3:$AD$501,0))&amp;"","")</f>
        <v/>
      </c>
      <c r="O407" s="21" t="str">
        <f aca="false">IFERROR(INDEX(종합!O$3:O$501,MATCH(ROW()-2,종합!$AD$3:$AD$501,0))&amp;"","")</f>
        <v/>
      </c>
      <c r="P407" s="21" t="str">
        <f aca="false">IFERROR(INDEX(종합!P$3:P$501,MATCH(ROW()-2,종합!$AD$3:$AD$501,0))&amp;"","")</f>
        <v/>
      </c>
      <c r="Q407" s="21" t="str">
        <f aca="false">IFERROR(INDEX(종합!Q$3:Q$501,MATCH(ROW()-2,종합!$AD$3:$AD$501,0))&amp;"","")</f>
        <v/>
      </c>
      <c r="R407" s="21" t="str">
        <f aca="false">IFERROR(INDEX(종합!R$3:R$501,MATCH(ROW()-2,종합!$AD$3:$AD$501,0))&amp;"","")</f>
        <v/>
      </c>
      <c r="S407" s="21" t="str">
        <f aca="false">IFERROR(INDEX(종합!S$3:S$501,MATCH(ROW()-2,종합!$AD$3:$AD$501,0))&amp;"","")</f>
        <v/>
      </c>
      <c r="T407" s="21" t="str">
        <f aca="false">IFERROR(INDEX(종합!T$3:T$501,MATCH(ROW()-2,종합!$AD$3:$AD$501,0))&amp;"","")</f>
        <v/>
      </c>
      <c r="U407" s="21" t="str">
        <f aca="false">IFERROR(INDEX(종합!U$3:U$501,MATCH(ROW()-2,종합!$AD$3:$AD$501,0))&amp;"","")</f>
        <v/>
      </c>
      <c r="V407" s="21" t="str">
        <f aca="false">IFERROR(INDEX(종합!V$3:V$501,MATCH(ROW()-2,종합!$AD$3:$AD$501,0))&amp;"","")</f>
        <v/>
      </c>
      <c r="W407" s="21" t="str">
        <f aca="false">IFERROR(INDEX(종합!W$3:W$501,MATCH(ROW()-2,종합!$AD$3:$AD$501,0))&amp;"","")</f>
        <v/>
      </c>
      <c r="X407" s="21" t="str">
        <f aca="false">IFERROR(INDEX(종합!X$3:X$501,MATCH(ROW()-2,종합!$AD$3:$AD$501,0))&amp;"","")</f>
        <v/>
      </c>
      <c r="Y407" s="21" t="str">
        <f aca="false">IFERROR(INDEX(종합!Y$3:Y$501,MATCH(ROW()-2,종합!$AD$3:$AD$501,0))&amp;"","")</f>
        <v/>
      </c>
      <c r="Z407" s="21" t="str">
        <f aca="false">IFERROR(INDEX(종합!Z$3:Z$501,MATCH(ROW()-2,종합!$AD$3:$AD$501,0))&amp;"","")</f>
        <v/>
      </c>
      <c r="AA407" s="23" t="str">
        <f aca="false">IFERROR(INDEX(종합!AA$3:AA$501,MATCH(ROW()-2,종합!$AD$3:$AD$501,0))&amp;"","")</f>
        <v/>
      </c>
    </row>
    <row r="408" customFormat="false" ht="16.5" hidden="false" customHeight="true" outlineLevel="0" collapsed="false">
      <c r="A408" s="18" t="str">
        <f aca="false">IF(B408="","",ROW()-2)</f>
        <v/>
      </c>
      <c r="B408" s="18" t="str">
        <f aca="false">IFERROR(INDEX(종합!B$3:B$501,MATCH(ROW()-2,종합!$AD$3:$AD$501,0))&amp;"","")</f>
        <v/>
      </c>
      <c r="C408" s="18" t="str">
        <f aca="false">IFERROR(INDEX(종합!C$3:C$501,MATCH(ROW()-2,종합!$AD$3:$AD$501,0))&amp;"","")</f>
        <v/>
      </c>
      <c r="D408" s="18" t="str">
        <f aca="false">IFERROR(INDEX(종합!D$3:D$501,MATCH(ROW()-2,종합!$AD$3:$AD$501,0))&amp;"","")</f>
        <v/>
      </c>
      <c r="E408" s="18" t="str">
        <f aca="false">IFERROR(INDEX(종합!E$3:E$501,MATCH(ROW()-2,종합!$AD$3:$AD$501,0))&amp;"","")</f>
        <v/>
      </c>
      <c r="F408" s="18" t="str">
        <f aca="false">IFERROR(INDEX(종합!F$3:F$501,MATCH(ROW()-2,종합!$AD$3:$AD$501,0))&amp;"","")</f>
        <v/>
      </c>
      <c r="G408" s="18" t="str">
        <f aca="false">IFERROR(INDEX(종합!G$3:G$501,MATCH(ROW()-2,종합!$AD$3:$AD$501,0))&amp;"","")</f>
        <v/>
      </c>
      <c r="H408" s="21" t="str">
        <f aca="false">IFERROR(INDEX(종합!H$3:H$501,MATCH(ROW()-2,종합!$AD$3:$AD$501,0))&amp;"","")</f>
        <v/>
      </c>
      <c r="I408" s="21" t="str">
        <f aca="false">IFERROR(INDEX(종합!I$3:I$501,MATCH(ROW()-2,종합!$AD$3:$AD$501,0))&amp;"","")</f>
        <v/>
      </c>
      <c r="J408" s="21" t="str">
        <f aca="false">IFERROR(INDEX(종합!J$3:J$501,MATCH(ROW()-2,종합!$AD$3:$AD$501,0))&amp;"","")</f>
        <v/>
      </c>
      <c r="K408" s="21" t="str">
        <f aca="false">IFERROR(INDEX(종합!K$3:K$501,MATCH(ROW()-2,종합!$AD$3:$AD$501,0))&amp;"","")</f>
        <v/>
      </c>
      <c r="L408" s="21" t="str">
        <f aca="false">IFERROR(INDEX(종합!L$3:L$501,MATCH(ROW()-2,종합!$AD$3:$AD$501,0))&amp;"","")</f>
        <v/>
      </c>
      <c r="M408" s="21" t="str">
        <f aca="false">IFERROR(INDEX(종합!M$3:M$501,MATCH(ROW()-2,종합!$AD$3:$AD$501,0))&amp;"","")</f>
        <v/>
      </c>
      <c r="N408" s="25" t="str">
        <f aca="false">IFERROR(INDEX(종합!N$3:N$501,MATCH(ROW()-2,종합!$AD$3:$AD$501,0))&amp;"","")</f>
        <v/>
      </c>
      <c r="O408" s="21" t="str">
        <f aca="false">IFERROR(INDEX(종합!O$3:O$501,MATCH(ROW()-2,종합!$AD$3:$AD$501,0))&amp;"","")</f>
        <v/>
      </c>
      <c r="P408" s="21" t="str">
        <f aca="false">IFERROR(INDEX(종합!P$3:P$501,MATCH(ROW()-2,종합!$AD$3:$AD$501,0))&amp;"","")</f>
        <v/>
      </c>
      <c r="Q408" s="21" t="str">
        <f aca="false">IFERROR(INDEX(종합!Q$3:Q$501,MATCH(ROW()-2,종합!$AD$3:$AD$501,0))&amp;"","")</f>
        <v/>
      </c>
      <c r="R408" s="21" t="str">
        <f aca="false">IFERROR(INDEX(종합!R$3:R$501,MATCH(ROW()-2,종합!$AD$3:$AD$501,0))&amp;"","")</f>
        <v/>
      </c>
      <c r="S408" s="21" t="str">
        <f aca="false">IFERROR(INDEX(종합!S$3:S$501,MATCH(ROW()-2,종합!$AD$3:$AD$501,0))&amp;"","")</f>
        <v/>
      </c>
      <c r="T408" s="21" t="str">
        <f aca="false">IFERROR(INDEX(종합!T$3:T$501,MATCH(ROW()-2,종합!$AD$3:$AD$501,0))&amp;"","")</f>
        <v/>
      </c>
      <c r="U408" s="21" t="str">
        <f aca="false">IFERROR(INDEX(종합!U$3:U$501,MATCH(ROW()-2,종합!$AD$3:$AD$501,0))&amp;"","")</f>
        <v/>
      </c>
      <c r="V408" s="21" t="str">
        <f aca="false">IFERROR(INDEX(종합!V$3:V$501,MATCH(ROW()-2,종합!$AD$3:$AD$501,0))&amp;"","")</f>
        <v/>
      </c>
      <c r="W408" s="21" t="str">
        <f aca="false">IFERROR(INDEX(종합!W$3:W$501,MATCH(ROW()-2,종합!$AD$3:$AD$501,0))&amp;"","")</f>
        <v/>
      </c>
      <c r="X408" s="21" t="str">
        <f aca="false">IFERROR(INDEX(종합!X$3:X$501,MATCH(ROW()-2,종합!$AD$3:$AD$501,0))&amp;"","")</f>
        <v/>
      </c>
      <c r="Y408" s="21" t="str">
        <f aca="false">IFERROR(INDEX(종합!Y$3:Y$501,MATCH(ROW()-2,종합!$AD$3:$AD$501,0))&amp;"","")</f>
        <v/>
      </c>
      <c r="Z408" s="21" t="str">
        <f aca="false">IFERROR(INDEX(종합!Z$3:Z$501,MATCH(ROW()-2,종합!$AD$3:$AD$501,0))&amp;"","")</f>
        <v/>
      </c>
      <c r="AA408" s="23" t="str">
        <f aca="false">IFERROR(INDEX(종합!AA$3:AA$501,MATCH(ROW()-2,종합!$AD$3:$AD$501,0))&amp;"","")</f>
        <v/>
      </c>
    </row>
    <row r="409" customFormat="false" ht="16.5" hidden="false" customHeight="true" outlineLevel="0" collapsed="false">
      <c r="A409" s="18" t="str">
        <f aca="false">IF(B409="","",ROW()-2)</f>
        <v/>
      </c>
      <c r="B409" s="18" t="str">
        <f aca="false">IFERROR(INDEX(종합!B$3:B$501,MATCH(ROW()-2,종합!$AD$3:$AD$501,0))&amp;"","")</f>
        <v/>
      </c>
      <c r="C409" s="18" t="str">
        <f aca="false">IFERROR(INDEX(종합!C$3:C$501,MATCH(ROW()-2,종합!$AD$3:$AD$501,0))&amp;"","")</f>
        <v/>
      </c>
      <c r="D409" s="18" t="str">
        <f aca="false">IFERROR(INDEX(종합!D$3:D$501,MATCH(ROW()-2,종합!$AD$3:$AD$501,0))&amp;"","")</f>
        <v/>
      </c>
      <c r="E409" s="18" t="str">
        <f aca="false">IFERROR(INDEX(종합!E$3:E$501,MATCH(ROW()-2,종합!$AD$3:$AD$501,0))&amp;"","")</f>
        <v/>
      </c>
      <c r="F409" s="18" t="str">
        <f aca="false">IFERROR(INDEX(종합!F$3:F$501,MATCH(ROW()-2,종합!$AD$3:$AD$501,0))&amp;"","")</f>
        <v/>
      </c>
      <c r="G409" s="18" t="str">
        <f aca="false">IFERROR(INDEX(종합!G$3:G$501,MATCH(ROW()-2,종합!$AD$3:$AD$501,0))&amp;"","")</f>
        <v/>
      </c>
      <c r="H409" s="21" t="str">
        <f aca="false">IFERROR(INDEX(종합!H$3:H$501,MATCH(ROW()-2,종합!$AD$3:$AD$501,0))&amp;"","")</f>
        <v/>
      </c>
      <c r="I409" s="21" t="str">
        <f aca="false">IFERROR(INDEX(종합!I$3:I$501,MATCH(ROW()-2,종합!$AD$3:$AD$501,0))&amp;"","")</f>
        <v/>
      </c>
      <c r="J409" s="21" t="str">
        <f aca="false">IFERROR(INDEX(종합!J$3:J$501,MATCH(ROW()-2,종합!$AD$3:$AD$501,0))&amp;"","")</f>
        <v/>
      </c>
      <c r="K409" s="21" t="str">
        <f aca="false">IFERROR(INDEX(종합!K$3:K$501,MATCH(ROW()-2,종합!$AD$3:$AD$501,0))&amp;"","")</f>
        <v/>
      </c>
      <c r="L409" s="21" t="str">
        <f aca="false">IFERROR(INDEX(종합!L$3:L$501,MATCH(ROW()-2,종합!$AD$3:$AD$501,0))&amp;"","")</f>
        <v/>
      </c>
      <c r="M409" s="21" t="str">
        <f aca="false">IFERROR(INDEX(종합!M$3:M$501,MATCH(ROW()-2,종합!$AD$3:$AD$501,0))&amp;"","")</f>
        <v/>
      </c>
      <c r="N409" s="25" t="str">
        <f aca="false">IFERROR(INDEX(종합!N$3:N$501,MATCH(ROW()-2,종합!$AD$3:$AD$501,0))&amp;"","")</f>
        <v/>
      </c>
      <c r="O409" s="21" t="str">
        <f aca="false">IFERROR(INDEX(종합!O$3:O$501,MATCH(ROW()-2,종합!$AD$3:$AD$501,0))&amp;"","")</f>
        <v/>
      </c>
      <c r="P409" s="21" t="str">
        <f aca="false">IFERROR(INDEX(종합!P$3:P$501,MATCH(ROW()-2,종합!$AD$3:$AD$501,0))&amp;"","")</f>
        <v/>
      </c>
      <c r="Q409" s="21" t="str">
        <f aca="false">IFERROR(INDEX(종합!Q$3:Q$501,MATCH(ROW()-2,종합!$AD$3:$AD$501,0))&amp;"","")</f>
        <v/>
      </c>
      <c r="R409" s="21" t="str">
        <f aca="false">IFERROR(INDEX(종합!R$3:R$501,MATCH(ROW()-2,종합!$AD$3:$AD$501,0))&amp;"","")</f>
        <v/>
      </c>
      <c r="S409" s="21" t="str">
        <f aca="false">IFERROR(INDEX(종합!S$3:S$501,MATCH(ROW()-2,종합!$AD$3:$AD$501,0))&amp;"","")</f>
        <v/>
      </c>
      <c r="T409" s="21" t="str">
        <f aca="false">IFERROR(INDEX(종합!T$3:T$501,MATCH(ROW()-2,종합!$AD$3:$AD$501,0))&amp;"","")</f>
        <v/>
      </c>
      <c r="U409" s="21" t="str">
        <f aca="false">IFERROR(INDEX(종합!U$3:U$501,MATCH(ROW()-2,종합!$AD$3:$AD$501,0))&amp;"","")</f>
        <v/>
      </c>
      <c r="V409" s="21" t="str">
        <f aca="false">IFERROR(INDEX(종합!V$3:V$501,MATCH(ROW()-2,종합!$AD$3:$AD$501,0))&amp;"","")</f>
        <v/>
      </c>
      <c r="W409" s="21" t="str">
        <f aca="false">IFERROR(INDEX(종합!W$3:W$501,MATCH(ROW()-2,종합!$AD$3:$AD$501,0))&amp;"","")</f>
        <v/>
      </c>
      <c r="X409" s="21" t="str">
        <f aca="false">IFERROR(INDEX(종합!X$3:X$501,MATCH(ROW()-2,종합!$AD$3:$AD$501,0))&amp;"","")</f>
        <v/>
      </c>
      <c r="Y409" s="21" t="str">
        <f aca="false">IFERROR(INDEX(종합!Y$3:Y$501,MATCH(ROW()-2,종합!$AD$3:$AD$501,0))&amp;"","")</f>
        <v/>
      </c>
      <c r="Z409" s="21" t="str">
        <f aca="false">IFERROR(INDEX(종합!Z$3:Z$501,MATCH(ROW()-2,종합!$AD$3:$AD$501,0))&amp;"","")</f>
        <v/>
      </c>
      <c r="AA409" s="23" t="str">
        <f aca="false">IFERROR(INDEX(종합!AA$3:AA$501,MATCH(ROW()-2,종합!$AD$3:$AD$501,0))&amp;"","")</f>
        <v/>
      </c>
    </row>
    <row r="410" customFormat="false" ht="16.5" hidden="false" customHeight="true" outlineLevel="0" collapsed="false">
      <c r="A410" s="18" t="str">
        <f aca="false">IF(B410="","",ROW()-2)</f>
        <v/>
      </c>
      <c r="B410" s="18" t="str">
        <f aca="false">IFERROR(INDEX(종합!B$3:B$501,MATCH(ROW()-2,종합!$AD$3:$AD$501,0))&amp;"","")</f>
        <v/>
      </c>
      <c r="C410" s="18" t="str">
        <f aca="false">IFERROR(INDEX(종합!C$3:C$501,MATCH(ROW()-2,종합!$AD$3:$AD$501,0))&amp;"","")</f>
        <v/>
      </c>
      <c r="D410" s="18" t="str">
        <f aca="false">IFERROR(INDEX(종합!D$3:D$501,MATCH(ROW()-2,종합!$AD$3:$AD$501,0))&amp;"","")</f>
        <v/>
      </c>
      <c r="E410" s="18" t="str">
        <f aca="false">IFERROR(INDEX(종합!E$3:E$501,MATCH(ROW()-2,종합!$AD$3:$AD$501,0))&amp;"","")</f>
        <v/>
      </c>
      <c r="F410" s="18" t="str">
        <f aca="false">IFERROR(INDEX(종합!F$3:F$501,MATCH(ROW()-2,종합!$AD$3:$AD$501,0))&amp;"","")</f>
        <v/>
      </c>
      <c r="G410" s="18" t="str">
        <f aca="false">IFERROR(INDEX(종합!G$3:G$501,MATCH(ROW()-2,종합!$AD$3:$AD$501,0))&amp;"","")</f>
        <v/>
      </c>
      <c r="H410" s="21" t="str">
        <f aca="false">IFERROR(INDEX(종합!H$3:H$501,MATCH(ROW()-2,종합!$AD$3:$AD$501,0))&amp;"","")</f>
        <v/>
      </c>
      <c r="I410" s="21" t="str">
        <f aca="false">IFERROR(INDEX(종합!I$3:I$501,MATCH(ROW()-2,종합!$AD$3:$AD$501,0))&amp;"","")</f>
        <v/>
      </c>
      <c r="J410" s="21" t="str">
        <f aca="false">IFERROR(INDEX(종합!J$3:J$501,MATCH(ROW()-2,종합!$AD$3:$AD$501,0))&amp;"","")</f>
        <v/>
      </c>
      <c r="K410" s="21" t="str">
        <f aca="false">IFERROR(INDEX(종합!K$3:K$501,MATCH(ROW()-2,종합!$AD$3:$AD$501,0))&amp;"","")</f>
        <v/>
      </c>
      <c r="L410" s="21" t="str">
        <f aca="false">IFERROR(INDEX(종합!L$3:L$501,MATCH(ROW()-2,종합!$AD$3:$AD$501,0))&amp;"","")</f>
        <v/>
      </c>
      <c r="M410" s="21" t="str">
        <f aca="false">IFERROR(INDEX(종합!M$3:M$501,MATCH(ROW()-2,종합!$AD$3:$AD$501,0))&amp;"","")</f>
        <v/>
      </c>
      <c r="N410" s="25" t="str">
        <f aca="false">IFERROR(INDEX(종합!N$3:N$501,MATCH(ROW()-2,종합!$AD$3:$AD$501,0))&amp;"","")</f>
        <v/>
      </c>
      <c r="O410" s="21" t="str">
        <f aca="false">IFERROR(INDEX(종합!O$3:O$501,MATCH(ROW()-2,종합!$AD$3:$AD$501,0))&amp;"","")</f>
        <v/>
      </c>
      <c r="P410" s="21" t="str">
        <f aca="false">IFERROR(INDEX(종합!P$3:P$501,MATCH(ROW()-2,종합!$AD$3:$AD$501,0))&amp;"","")</f>
        <v/>
      </c>
      <c r="Q410" s="21" t="str">
        <f aca="false">IFERROR(INDEX(종합!Q$3:Q$501,MATCH(ROW()-2,종합!$AD$3:$AD$501,0))&amp;"","")</f>
        <v/>
      </c>
      <c r="R410" s="21" t="str">
        <f aca="false">IFERROR(INDEX(종합!R$3:R$501,MATCH(ROW()-2,종합!$AD$3:$AD$501,0))&amp;"","")</f>
        <v/>
      </c>
      <c r="S410" s="21" t="str">
        <f aca="false">IFERROR(INDEX(종합!S$3:S$501,MATCH(ROW()-2,종합!$AD$3:$AD$501,0))&amp;"","")</f>
        <v/>
      </c>
      <c r="T410" s="21" t="str">
        <f aca="false">IFERROR(INDEX(종합!T$3:T$501,MATCH(ROW()-2,종합!$AD$3:$AD$501,0))&amp;"","")</f>
        <v/>
      </c>
      <c r="U410" s="21" t="str">
        <f aca="false">IFERROR(INDEX(종합!U$3:U$501,MATCH(ROW()-2,종합!$AD$3:$AD$501,0))&amp;"","")</f>
        <v/>
      </c>
      <c r="V410" s="21" t="str">
        <f aca="false">IFERROR(INDEX(종합!V$3:V$501,MATCH(ROW()-2,종합!$AD$3:$AD$501,0))&amp;"","")</f>
        <v/>
      </c>
      <c r="W410" s="21" t="str">
        <f aca="false">IFERROR(INDEX(종합!W$3:W$501,MATCH(ROW()-2,종합!$AD$3:$AD$501,0))&amp;"","")</f>
        <v/>
      </c>
      <c r="X410" s="21" t="str">
        <f aca="false">IFERROR(INDEX(종합!X$3:X$501,MATCH(ROW()-2,종합!$AD$3:$AD$501,0))&amp;"","")</f>
        <v/>
      </c>
      <c r="Y410" s="21" t="str">
        <f aca="false">IFERROR(INDEX(종합!Y$3:Y$501,MATCH(ROW()-2,종합!$AD$3:$AD$501,0))&amp;"","")</f>
        <v/>
      </c>
      <c r="Z410" s="21" t="str">
        <f aca="false">IFERROR(INDEX(종합!Z$3:Z$501,MATCH(ROW()-2,종합!$AD$3:$AD$501,0))&amp;"","")</f>
        <v/>
      </c>
      <c r="AA410" s="23" t="str">
        <f aca="false">IFERROR(INDEX(종합!AA$3:AA$501,MATCH(ROW()-2,종합!$AD$3:$AD$501,0))&amp;"","")</f>
        <v/>
      </c>
    </row>
    <row r="411" customFormat="false" ht="16.5" hidden="false" customHeight="true" outlineLevel="0" collapsed="false">
      <c r="A411" s="18" t="str">
        <f aca="false">IF(B411="","",ROW()-2)</f>
        <v/>
      </c>
      <c r="B411" s="18" t="str">
        <f aca="false">IFERROR(INDEX(종합!B$3:B$501,MATCH(ROW()-2,종합!$AD$3:$AD$501,0))&amp;"","")</f>
        <v/>
      </c>
      <c r="C411" s="18" t="str">
        <f aca="false">IFERROR(INDEX(종합!C$3:C$501,MATCH(ROW()-2,종합!$AD$3:$AD$501,0))&amp;"","")</f>
        <v/>
      </c>
      <c r="D411" s="18" t="str">
        <f aca="false">IFERROR(INDEX(종합!D$3:D$501,MATCH(ROW()-2,종합!$AD$3:$AD$501,0))&amp;"","")</f>
        <v/>
      </c>
      <c r="E411" s="18" t="str">
        <f aca="false">IFERROR(INDEX(종합!E$3:E$501,MATCH(ROW()-2,종합!$AD$3:$AD$501,0))&amp;"","")</f>
        <v/>
      </c>
      <c r="F411" s="18" t="str">
        <f aca="false">IFERROR(INDEX(종합!F$3:F$501,MATCH(ROW()-2,종합!$AD$3:$AD$501,0))&amp;"","")</f>
        <v/>
      </c>
      <c r="G411" s="18" t="str">
        <f aca="false">IFERROR(INDEX(종합!G$3:G$501,MATCH(ROW()-2,종합!$AD$3:$AD$501,0))&amp;"","")</f>
        <v/>
      </c>
      <c r="H411" s="21" t="str">
        <f aca="false">IFERROR(INDEX(종합!H$3:H$501,MATCH(ROW()-2,종합!$AD$3:$AD$501,0))&amp;"","")</f>
        <v/>
      </c>
      <c r="I411" s="21" t="str">
        <f aca="false">IFERROR(INDEX(종합!I$3:I$501,MATCH(ROW()-2,종합!$AD$3:$AD$501,0))&amp;"","")</f>
        <v/>
      </c>
      <c r="J411" s="21" t="str">
        <f aca="false">IFERROR(INDEX(종합!J$3:J$501,MATCH(ROW()-2,종합!$AD$3:$AD$501,0))&amp;"","")</f>
        <v/>
      </c>
      <c r="K411" s="21" t="str">
        <f aca="false">IFERROR(INDEX(종합!K$3:K$501,MATCH(ROW()-2,종합!$AD$3:$AD$501,0))&amp;"","")</f>
        <v/>
      </c>
      <c r="L411" s="21" t="str">
        <f aca="false">IFERROR(INDEX(종합!L$3:L$501,MATCH(ROW()-2,종합!$AD$3:$AD$501,0))&amp;"","")</f>
        <v/>
      </c>
      <c r="M411" s="21" t="str">
        <f aca="false">IFERROR(INDEX(종합!M$3:M$501,MATCH(ROW()-2,종합!$AD$3:$AD$501,0))&amp;"","")</f>
        <v/>
      </c>
      <c r="N411" s="25" t="str">
        <f aca="false">IFERROR(INDEX(종합!N$3:N$501,MATCH(ROW()-2,종합!$AD$3:$AD$501,0))&amp;"","")</f>
        <v/>
      </c>
      <c r="O411" s="21" t="str">
        <f aca="false">IFERROR(INDEX(종합!O$3:O$501,MATCH(ROW()-2,종합!$AD$3:$AD$501,0))&amp;"","")</f>
        <v/>
      </c>
      <c r="P411" s="21" t="str">
        <f aca="false">IFERROR(INDEX(종합!P$3:P$501,MATCH(ROW()-2,종합!$AD$3:$AD$501,0))&amp;"","")</f>
        <v/>
      </c>
      <c r="Q411" s="21" t="str">
        <f aca="false">IFERROR(INDEX(종합!Q$3:Q$501,MATCH(ROW()-2,종합!$AD$3:$AD$501,0))&amp;"","")</f>
        <v/>
      </c>
      <c r="R411" s="21" t="str">
        <f aca="false">IFERROR(INDEX(종합!R$3:R$501,MATCH(ROW()-2,종합!$AD$3:$AD$501,0))&amp;"","")</f>
        <v/>
      </c>
      <c r="S411" s="21" t="str">
        <f aca="false">IFERROR(INDEX(종합!S$3:S$501,MATCH(ROW()-2,종합!$AD$3:$AD$501,0))&amp;"","")</f>
        <v/>
      </c>
      <c r="T411" s="21" t="str">
        <f aca="false">IFERROR(INDEX(종합!T$3:T$501,MATCH(ROW()-2,종합!$AD$3:$AD$501,0))&amp;"","")</f>
        <v/>
      </c>
      <c r="U411" s="21" t="str">
        <f aca="false">IFERROR(INDEX(종합!U$3:U$501,MATCH(ROW()-2,종합!$AD$3:$AD$501,0))&amp;"","")</f>
        <v/>
      </c>
      <c r="V411" s="21" t="str">
        <f aca="false">IFERROR(INDEX(종합!V$3:V$501,MATCH(ROW()-2,종합!$AD$3:$AD$501,0))&amp;"","")</f>
        <v/>
      </c>
      <c r="W411" s="21" t="str">
        <f aca="false">IFERROR(INDEX(종합!W$3:W$501,MATCH(ROW()-2,종합!$AD$3:$AD$501,0))&amp;"","")</f>
        <v/>
      </c>
      <c r="X411" s="21" t="str">
        <f aca="false">IFERROR(INDEX(종합!X$3:X$501,MATCH(ROW()-2,종합!$AD$3:$AD$501,0))&amp;"","")</f>
        <v/>
      </c>
      <c r="Y411" s="21" t="str">
        <f aca="false">IFERROR(INDEX(종합!Y$3:Y$501,MATCH(ROW()-2,종합!$AD$3:$AD$501,0))&amp;"","")</f>
        <v/>
      </c>
      <c r="Z411" s="21" t="str">
        <f aca="false">IFERROR(INDEX(종합!Z$3:Z$501,MATCH(ROW()-2,종합!$AD$3:$AD$501,0))&amp;"","")</f>
        <v/>
      </c>
      <c r="AA411" s="23" t="str">
        <f aca="false">IFERROR(INDEX(종합!AA$3:AA$501,MATCH(ROW()-2,종합!$AD$3:$AD$501,0))&amp;"","")</f>
        <v/>
      </c>
    </row>
    <row r="412" customFormat="false" ht="16.5" hidden="false" customHeight="true" outlineLevel="0" collapsed="false">
      <c r="A412" s="18" t="str">
        <f aca="false">IF(B412="","",ROW()-2)</f>
        <v/>
      </c>
      <c r="B412" s="18" t="str">
        <f aca="false">IFERROR(INDEX(종합!B$3:B$501,MATCH(ROW()-2,종합!$AD$3:$AD$501,0))&amp;"","")</f>
        <v/>
      </c>
      <c r="C412" s="18" t="str">
        <f aca="false">IFERROR(INDEX(종합!C$3:C$501,MATCH(ROW()-2,종합!$AD$3:$AD$501,0))&amp;"","")</f>
        <v/>
      </c>
      <c r="D412" s="18" t="str">
        <f aca="false">IFERROR(INDEX(종합!D$3:D$501,MATCH(ROW()-2,종합!$AD$3:$AD$501,0))&amp;"","")</f>
        <v/>
      </c>
      <c r="E412" s="18" t="str">
        <f aca="false">IFERROR(INDEX(종합!E$3:E$501,MATCH(ROW()-2,종합!$AD$3:$AD$501,0))&amp;"","")</f>
        <v/>
      </c>
      <c r="F412" s="18" t="str">
        <f aca="false">IFERROR(INDEX(종합!F$3:F$501,MATCH(ROW()-2,종합!$AD$3:$AD$501,0))&amp;"","")</f>
        <v/>
      </c>
      <c r="G412" s="18" t="str">
        <f aca="false">IFERROR(INDEX(종합!G$3:G$501,MATCH(ROW()-2,종합!$AD$3:$AD$501,0))&amp;"","")</f>
        <v/>
      </c>
      <c r="H412" s="21" t="str">
        <f aca="false">IFERROR(INDEX(종합!H$3:H$501,MATCH(ROW()-2,종합!$AD$3:$AD$501,0))&amp;"","")</f>
        <v/>
      </c>
      <c r="I412" s="21" t="str">
        <f aca="false">IFERROR(INDEX(종합!I$3:I$501,MATCH(ROW()-2,종합!$AD$3:$AD$501,0))&amp;"","")</f>
        <v/>
      </c>
      <c r="J412" s="21" t="str">
        <f aca="false">IFERROR(INDEX(종합!J$3:J$501,MATCH(ROW()-2,종합!$AD$3:$AD$501,0))&amp;"","")</f>
        <v/>
      </c>
      <c r="K412" s="21" t="str">
        <f aca="false">IFERROR(INDEX(종합!K$3:K$501,MATCH(ROW()-2,종합!$AD$3:$AD$501,0))&amp;"","")</f>
        <v/>
      </c>
      <c r="L412" s="21" t="str">
        <f aca="false">IFERROR(INDEX(종합!L$3:L$501,MATCH(ROW()-2,종합!$AD$3:$AD$501,0))&amp;"","")</f>
        <v/>
      </c>
      <c r="M412" s="21" t="str">
        <f aca="false">IFERROR(INDEX(종합!M$3:M$501,MATCH(ROW()-2,종합!$AD$3:$AD$501,0))&amp;"","")</f>
        <v/>
      </c>
      <c r="N412" s="25" t="str">
        <f aca="false">IFERROR(INDEX(종합!N$3:N$501,MATCH(ROW()-2,종합!$AD$3:$AD$501,0))&amp;"","")</f>
        <v/>
      </c>
      <c r="O412" s="21" t="str">
        <f aca="false">IFERROR(INDEX(종합!O$3:O$501,MATCH(ROW()-2,종합!$AD$3:$AD$501,0))&amp;"","")</f>
        <v/>
      </c>
      <c r="P412" s="21" t="str">
        <f aca="false">IFERROR(INDEX(종합!P$3:P$501,MATCH(ROW()-2,종합!$AD$3:$AD$501,0))&amp;"","")</f>
        <v/>
      </c>
      <c r="Q412" s="21" t="str">
        <f aca="false">IFERROR(INDEX(종합!Q$3:Q$501,MATCH(ROW()-2,종합!$AD$3:$AD$501,0))&amp;"","")</f>
        <v/>
      </c>
      <c r="R412" s="21" t="str">
        <f aca="false">IFERROR(INDEX(종합!R$3:R$501,MATCH(ROW()-2,종합!$AD$3:$AD$501,0))&amp;"","")</f>
        <v/>
      </c>
      <c r="S412" s="21" t="str">
        <f aca="false">IFERROR(INDEX(종합!S$3:S$501,MATCH(ROW()-2,종합!$AD$3:$AD$501,0))&amp;"","")</f>
        <v/>
      </c>
      <c r="T412" s="21" t="str">
        <f aca="false">IFERROR(INDEX(종합!T$3:T$501,MATCH(ROW()-2,종합!$AD$3:$AD$501,0))&amp;"","")</f>
        <v/>
      </c>
      <c r="U412" s="21" t="str">
        <f aca="false">IFERROR(INDEX(종합!U$3:U$501,MATCH(ROW()-2,종합!$AD$3:$AD$501,0))&amp;"","")</f>
        <v/>
      </c>
      <c r="V412" s="21" t="str">
        <f aca="false">IFERROR(INDEX(종합!V$3:V$501,MATCH(ROW()-2,종합!$AD$3:$AD$501,0))&amp;"","")</f>
        <v/>
      </c>
      <c r="W412" s="21" t="str">
        <f aca="false">IFERROR(INDEX(종합!W$3:W$501,MATCH(ROW()-2,종합!$AD$3:$AD$501,0))&amp;"","")</f>
        <v/>
      </c>
      <c r="X412" s="21" t="str">
        <f aca="false">IFERROR(INDEX(종합!X$3:X$501,MATCH(ROW()-2,종합!$AD$3:$AD$501,0))&amp;"","")</f>
        <v/>
      </c>
      <c r="Y412" s="21" t="str">
        <f aca="false">IFERROR(INDEX(종합!Y$3:Y$501,MATCH(ROW()-2,종합!$AD$3:$AD$501,0))&amp;"","")</f>
        <v/>
      </c>
      <c r="Z412" s="21" t="str">
        <f aca="false">IFERROR(INDEX(종합!Z$3:Z$501,MATCH(ROW()-2,종합!$AD$3:$AD$501,0))&amp;"","")</f>
        <v/>
      </c>
      <c r="AA412" s="23" t="str">
        <f aca="false">IFERROR(INDEX(종합!AA$3:AA$501,MATCH(ROW()-2,종합!$AD$3:$AD$501,0))&amp;"","")</f>
        <v/>
      </c>
    </row>
    <row r="413" customFormat="false" ht="16.5" hidden="false" customHeight="true" outlineLevel="0" collapsed="false">
      <c r="A413" s="18" t="str">
        <f aca="false">IF(B413="","",ROW()-2)</f>
        <v/>
      </c>
      <c r="B413" s="18" t="str">
        <f aca="false">IFERROR(INDEX(종합!B$3:B$501,MATCH(ROW()-2,종합!$AD$3:$AD$501,0))&amp;"","")</f>
        <v/>
      </c>
      <c r="C413" s="18" t="str">
        <f aca="false">IFERROR(INDEX(종합!C$3:C$501,MATCH(ROW()-2,종합!$AD$3:$AD$501,0))&amp;"","")</f>
        <v/>
      </c>
      <c r="D413" s="18" t="str">
        <f aca="false">IFERROR(INDEX(종합!D$3:D$501,MATCH(ROW()-2,종합!$AD$3:$AD$501,0))&amp;"","")</f>
        <v/>
      </c>
      <c r="E413" s="18" t="str">
        <f aca="false">IFERROR(INDEX(종합!E$3:E$501,MATCH(ROW()-2,종합!$AD$3:$AD$501,0))&amp;"","")</f>
        <v/>
      </c>
      <c r="F413" s="18" t="str">
        <f aca="false">IFERROR(INDEX(종합!F$3:F$501,MATCH(ROW()-2,종합!$AD$3:$AD$501,0))&amp;"","")</f>
        <v/>
      </c>
      <c r="G413" s="18" t="str">
        <f aca="false">IFERROR(INDEX(종합!G$3:G$501,MATCH(ROW()-2,종합!$AD$3:$AD$501,0))&amp;"","")</f>
        <v/>
      </c>
      <c r="H413" s="21" t="str">
        <f aca="false">IFERROR(INDEX(종합!H$3:H$501,MATCH(ROW()-2,종합!$AD$3:$AD$501,0))&amp;"","")</f>
        <v/>
      </c>
      <c r="I413" s="21" t="str">
        <f aca="false">IFERROR(INDEX(종합!I$3:I$501,MATCH(ROW()-2,종합!$AD$3:$AD$501,0))&amp;"","")</f>
        <v/>
      </c>
      <c r="J413" s="21" t="str">
        <f aca="false">IFERROR(INDEX(종합!J$3:J$501,MATCH(ROW()-2,종합!$AD$3:$AD$501,0))&amp;"","")</f>
        <v/>
      </c>
      <c r="K413" s="21" t="str">
        <f aca="false">IFERROR(INDEX(종합!K$3:K$501,MATCH(ROW()-2,종합!$AD$3:$AD$501,0))&amp;"","")</f>
        <v/>
      </c>
      <c r="L413" s="21" t="str">
        <f aca="false">IFERROR(INDEX(종합!L$3:L$501,MATCH(ROW()-2,종합!$AD$3:$AD$501,0))&amp;"","")</f>
        <v/>
      </c>
      <c r="M413" s="21" t="str">
        <f aca="false">IFERROR(INDEX(종합!M$3:M$501,MATCH(ROW()-2,종합!$AD$3:$AD$501,0))&amp;"","")</f>
        <v/>
      </c>
      <c r="N413" s="25" t="str">
        <f aca="false">IFERROR(INDEX(종합!N$3:N$501,MATCH(ROW()-2,종합!$AD$3:$AD$501,0))&amp;"","")</f>
        <v/>
      </c>
      <c r="O413" s="21" t="str">
        <f aca="false">IFERROR(INDEX(종합!O$3:O$501,MATCH(ROW()-2,종합!$AD$3:$AD$501,0))&amp;"","")</f>
        <v/>
      </c>
      <c r="P413" s="21" t="str">
        <f aca="false">IFERROR(INDEX(종합!P$3:P$501,MATCH(ROW()-2,종합!$AD$3:$AD$501,0))&amp;"","")</f>
        <v/>
      </c>
      <c r="Q413" s="21" t="str">
        <f aca="false">IFERROR(INDEX(종합!Q$3:Q$501,MATCH(ROW()-2,종합!$AD$3:$AD$501,0))&amp;"","")</f>
        <v/>
      </c>
      <c r="R413" s="21" t="str">
        <f aca="false">IFERROR(INDEX(종합!R$3:R$501,MATCH(ROW()-2,종합!$AD$3:$AD$501,0))&amp;"","")</f>
        <v/>
      </c>
      <c r="S413" s="21" t="str">
        <f aca="false">IFERROR(INDEX(종합!S$3:S$501,MATCH(ROW()-2,종합!$AD$3:$AD$501,0))&amp;"","")</f>
        <v/>
      </c>
      <c r="T413" s="21" t="str">
        <f aca="false">IFERROR(INDEX(종합!T$3:T$501,MATCH(ROW()-2,종합!$AD$3:$AD$501,0))&amp;"","")</f>
        <v/>
      </c>
      <c r="U413" s="21" t="str">
        <f aca="false">IFERROR(INDEX(종합!U$3:U$501,MATCH(ROW()-2,종합!$AD$3:$AD$501,0))&amp;"","")</f>
        <v/>
      </c>
      <c r="V413" s="21" t="str">
        <f aca="false">IFERROR(INDEX(종합!V$3:V$501,MATCH(ROW()-2,종합!$AD$3:$AD$501,0))&amp;"","")</f>
        <v/>
      </c>
      <c r="W413" s="21" t="str">
        <f aca="false">IFERROR(INDEX(종합!W$3:W$501,MATCH(ROW()-2,종합!$AD$3:$AD$501,0))&amp;"","")</f>
        <v/>
      </c>
      <c r="X413" s="21" t="str">
        <f aca="false">IFERROR(INDEX(종합!X$3:X$501,MATCH(ROW()-2,종합!$AD$3:$AD$501,0))&amp;"","")</f>
        <v/>
      </c>
      <c r="Y413" s="21" t="str">
        <f aca="false">IFERROR(INDEX(종합!Y$3:Y$501,MATCH(ROW()-2,종합!$AD$3:$AD$501,0))&amp;"","")</f>
        <v/>
      </c>
      <c r="Z413" s="21" t="str">
        <f aca="false">IFERROR(INDEX(종합!Z$3:Z$501,MATCH(ROW()-2,종합!$AD$3:$AD$501,0))&amp;"","")</f>
        <v/>
      </c>
      <c r="AA413" s="23" t="str">
        <f aca="false">IFERROR(INDEX(종합!AA$3:AA$501,MATCH(ROW()-2,종합!$AD$3:$AD$501,0))&amp;"","")</f>
        <v/>
      </c>
    </row>
    <row r="414" customFormat="false" ht="16.5" hidden="false" customHeight="true" outlineLevel="0" collapsed="false">
      <c r="A414" s="18" t="str">
        <f aca="false">IF(B414="","",ROW()-2)</f>
        <v/>
      </c>
      <c r="B414" s="18" t="str">
        <f aca="false">IFERROR(INDEX(종합!B$3:B$501,MATCH(ROW()-2,종합!$AD$3:$AD$501,0))&amp;"","")</f>
        <v/>
      </c>
      <c r="C414" s="18" t="str">
        <f aca="false">IFERROR(INDEX(종합!C$3:C$501,MATCH(ROW()-2,종합!$AD$3:$AD$501,0))&amp;"","")</f>
        <v/>
      </c>
      <c r="D414" s="18" t="str">
        <f aca="false">IFERROR(INDEX(종합!D$3:D$501,MATCH(ROW()-2,종합!$AD$3:$AD$501,0))&amp;"","")</f>
        <v/>
      </c>
      <c r="E414" s="18" t="str">
        <f aca="false">IFERROR(INDEX(종합!E$3:E$501,MATCH(ROW()-2,종합!$AD$3:$AD$501,0))&amp;"","")</f>
        <v/>
      </c>
      <c r="F414" s="18" t="str">
        <f aca="false">IFERROR(INDEX(종합!F$3:F$501,MATCH(ROW()-2,종합!$AD$3:$AD$501,0))&amp;"","")</f>
        <v/>
      </c>
      <c r="G414" s="18" t="str">
        <f aca="false">IFERROR(INDEX(종합!G$3:G$501,MATCH(ROW()-2,종합!$AD$3:$AD$501,0))&amp;"","")</f>
        <v/>
      </c>
      <c r="H414" s="21" t="str">
        <f aca="false">IFERROR(INDEX(종합!H$3:H$501,MATCH(ROW()-2,종합!$AD$3:$AD$501,0))&amp;"","")</f>
        <v/>
      </c>
      <c r="I414" s="21" t="str">
        <f aca="false">IFERROR(INDEX(종합!I$3:I$501,MATCH(ROW()-2,종합!$AD$3:$AD$501,0))&amp;"","")</f>
        <v/>
      </c>
      <c r="J414" s="21" t="str">
        <f aca="false">IFERROR(INDEX(종합!J$3:J$501,MATCH(ROW()-2,종합!$AD$3:$AD$501,0))&amp;"","")</f>
        <v/>
      </c>
      <c r="K414" s="21" t="str">
        <f aca="false">IFERROR(INDEX(종합!K$3:K$501,MATCH(ROW()-2,종합!$AD$3:$AD$501,0))&amp;"","")</f>
        <v/>
      </c>
      <c r="L414" s="21" t="str">
        <f aca="false">IFERROR(INDEX(종합!L$3:L$501,MATCH(ROW()-2,종합!$AD$3:$AD$501,0))&amp;"","")</f>
        <v/>
      </c>
      <c r="M414" s="21" t="str">
        <f aca="false">IFERROR(INDEX(종합!M$3:M$501,MATCH(ROW()-2,종합!$AD$3:$AD$501,0))&amp;"","")</f>
        <v/>
      </c>
      <c r="N414" s="25" t="str">
        <f aca="false">IFERROR(INDEX(종합!N$3:N$501,MATCH(ROW()-2,종합!$AD$3:$AD$501,0))&amp;"","")</f>
        <v/>
      </c>
      <c r="O414" s="21" t="str">
        <f aca="false">IFERROR(INDEX(종합!O$3:O$501,MATCH(ROW()-2,종합!$AD$3:$AD$501,0))&amp;"","")</f>
        <v/>
      </c>
      <c r="P414" s="21" t="str">
        <f aca="false">IFERROR(INDEX(종합!P$3:P$501,MATCH(ROW()-2,종합!$AD$3:$AD$501,0))&amp;"","")</f>
        <v/>
      </c>
      <c r="Q414" s="21" t="str">
        <f aca="false">IFERROR(INDEX(종합!Q$3:Q$501,MATCH(ROW()-2,종합!$AD$3:$AD$501,0))&amp;"","")</f>
        <v/>
      </c>
      <c r="R414" s="21" t="str">
        <f aca="false">IFERROR(INDEX(종합!R$3:R$501,MATCH(ROW()-2,종합!$AD$3:$AD$501,0))&amp;"","")</f>
        <v/>
      </c>
      <c r="S414" s="21" t="str">
        <f aca="false">IFERROR(INDEX(종합!S$3:S$501,MATCH(ROW()-2,종합!$AD$3:$AD$501,0))&amp;"","")</f>
        <v/>
      </c>
      <c r="T414" s="21" t="str">
        <f aca="false">IFERROR(INDEX(종합!T$3:T$501,MATCH(ROW()-2,종합!$AD$3:$AD$501,0))&amp;"","")</f>
        <v/>
      </c>
      <c r="U414" s="21" t="str">
        <f aca="false">IFERROR(INDEX(종합!U$3:U$501,MATCH(ROW()-2,종합!$AD$3:$AD$501,0))&amp;"","")</f>
        <v/>
      </c>
      <c r="V414" s="21" t="str">
        <f aca="false">IFERROR(INDEX(종합!V$3:V$501,MATCH(ROW()-2,종합!$AD$3:$AD$501,0))&amp;"","")</f>
        <v/>
      </c>
      <c r="W414" s="21" t="str">
        <f aca="false">IFERROR(INDEX(종합!W$3:W$501,MATCH(ROW()-2,종합!$AD$3:$AD$501,0))&amp;"","")</f>
        <v/>
      </c>
      <c r="X414" s="21" t="str">
        <f aca="false">IFERROR(INDEX(종합!X$3:X$501,MATCH(ROW()-2,종합!$AD$3:$AD$501,0))&amp;"","")</f>
        <v/>
      </c>
      <c r="Y414" s="21" t="str">
        <f aca="false">IFERROR(INDEX(종합!Y$3:Y$501,MATCH(ROW()-2,종합!$AD$3:$AD$501,0))&amp;"","")</f>
        <v/>
      </c>
      <c r="Z414" s="21" t="str">
        <f aca="false">IFERROR(INDEX(종합!Z$3:Z$501,MATCH(ROW()-2,종합!$AD$3:$AD$501,0))&amp;"","")</f>
        <v/>
      </c>
      <c r="AA414" s="23" t="str">
        <f aca="false">IFERROR(INDEX(종합!AA$3:AA$501,MATCH(ROW()-2,종합!$AD$3:$AD$501,0))&amp;"","")</f>
        <v/>
      </c>
    </row>
    <row r="415" customFormat="false" ht="16.5" hidden="false" customHeight="true" outlineLevel="0" collapsed="false">
      <c r="A415" s="18" t="str">
        <f aca="false">IF(B415="","",ROW()-2)</f>
        <v/>
      </c>
      <c r="B415" s="18" t="str">
        <f aca="false">IFERROR(INDEX(종합!B$3:B$501,MATCH(ROW()-2,종합!$AD$3:$AD$501,0))&amp;"","")</f>
        <v/>
      </c>
      <c r="C415" s="18" t="str">
        <f aca="false">IFERROR(INDEX(종합!C$3:C$501,MATCH(ROW()-2,종합!$AD$3:$AD$501,0))&amp;"","")</f>
        <v/>
      </c>
      <c r="D415" s="18" t="str">
        <f aca="false">IFERROR(INDEX(종합!D$3:D$501,MATCH(ROW()-2,종합!$AD$3:$AD$501,0))&amp;"","")</f>
        <v/>
      </c>
      <c r="E415" s="18" t="str">
        <f aca="false">IFERROR(INDEX(종합!E$3:E$501,MATCH(ROW()-2,종합!$AD$3:$AD$501,0))&amp;"","")</f>
        <v/>
      </c>
      <c r="F415" s="18" t="str">
        <f aca="false">IFERROR(INDEX(종합!F$3:F$501,MATCH(ROW()-2,종합!$AD$3:$AD$501,0))&amp;"","")</f>
        <v/>
      </c>
      <c r="G415" s="18" t="str">
        <f aca="false">IFERROR(INDEX(종합!G$3:G$501,MATCH(ROW()-2,종합!$AD$3:$AD$501,0))&amp;"","")</f>
        <v/>
      </c>
      <c r="H415" s="21" t="str">
        <f aca="false">IFERROR(INDEX(종합!H$3:H$501,MATCH(ROW()-2,종합!$AD$3:$AD$501,0))&amp;"","")</f>
        <v/>
      </c>
      <c r="I415" s="21" t="str">
        <f aca="false">IFERROR(INDEX(종합!I$3:I$501,MATCH(ROW()-2,종합!$AD$3:$AD$501,0))&amp;"","")</f>
        <v/>
      </c>
      <c r="J415" s="21" t="str">
        <f aca="false">IFERROR(INDEX(종합!J$3:J$501,MATCH(ROW()-2,종합!$AD$3:$AD$501,0))&amp;"","")</f>
        <v/>
      </c>
      <c r="K415" s="21" t="str">
        <f aca="false">IFERROR(INDEX(종합!K$3:K$501,MATCH(ROW()-2,종합!$AD$3:$AD$501,0))&amp;"","")</f>
        <v/>
      </c>
      <c r="L415" s="21" t="str">
        <f aca="false">IFERROR(INDEX(종합!L$3:L$501,MATCH(ROW()-2,종합!$AD$3:$AD$501,0))&amp;"","")</f>
        <v/>
      </c>
      <c r="M415" s="21" t="str">
        <f aca="false">IFERROR(INDEX(종합!M$3:M$501,MATCH(ROW()-2,종합!$AD$3:$AD$501,0))&amp;"","")</f>
        <v/>
      </c>
      <c r="N415" s="25" t="str">
        <f aca="false">IFERROR(INDEX(종합!N$3:N$501,MATCH(ROW()-2,종합!$AD$3:$AD$501,0))&amp;"","")</f>
        <v/>
      </c>
      <c r="O415" s="21" t="str">
        <f aca="false">IFERROR(INDEX(종합!O$3:O$501,MATCH(ROW()-2,종합!$AD$3:$AD$501,0))&amp;"","")</f>
        <v/>
      </c>
      <c r="P415" s="21" t="str">
        <f aca="false">IFERROR(INDEX(종합!P$3:P$501,MATCH(ROW()-2,종합!$AD$3:$AD$501,0))&amp;"","")</f>
        <v/>
      </c>
      <c r="Q415" s="21" t="str">
        <f aca="false">IFERROR(INDEX(종합!Q$3:Q$501,MATCH(ROW()-2,종합!$AD$3:$AD$501,0))&amp;"","")</f>
        <v/>
      </c>
      <c r="R415" s="21" t="str">
        <f aca="false">IFERROR(INDEX(종합!R$3:R$501,MATCH(ROW()-2,종합!$AD$3:$AD$501,0))&amp;"","")</f>
        <v/>
      </c>
      <c r="S415" s="21" t="str">
        <f aca="false">IFERROR(INDEX(종합!S$3:S$501,MATCH(ROW()-2,종합!$AD$3:$AD$501,0))&amp;"","")</f>
        <v/>
      </c>
      <c r="T415" s="21" t="str">
        <f aca="false">IFERROR(INDEX(종합!T$3:T$501,MATCH(ROW()-2,종합!$AD$3:$AD$501,0))&amp;"","")</f>
        <v/>
      </c>
      <c r="U415" s="21" t="str">
        <f aca="false">IFERROR(INDEX(종합!U$3:U$501,MATCH(ROW()-2,종합!$AD$3:$AD$501,0))&amp;"","")</f>
        <v/>
      </c>
      <c r="V415" s="21" t="str">
        <f aca="false">IFERROR(INDEX(종합!V$3:V$501,MATCH(ROW()-2,종합!$AD$3:$AD$501,0))&amp;"","")</f>
        <v/>
      </c>
      <c r="W415" s="21" t="str">
        <f aca="false">IFERROR(INDEX(종합!W$3:W$501,MATCH(ROW()-2,종합!$AD$3:$AD$501,0))&amp;"","")</f>
        <v/>
      </c>
      <c r="X415" s="21" t="str">
        <f aca="false">IFERROR(INDEX(종합!X$3:X$501,MATCH(ROW()-2,종합!$AD$3:$AD$501,0))&amp;"","")</f>
        <v/>
      </c>
      <c r="Y415" s="21" t="str">
        <f aca="false">IFERROR(INDEX(종합!Y$3:Y$501,MATCH(ROW()-2,종합!$AD$3:$AD$501,0))&amp;"","")</f>
        <v/>
      </c>
      <c r="Z415" s="21" t="str">
        <f aca="false">IFERROR(INDEX(종합!Z$3:Z$501,MATCH(ROW()-2,종합!$AD$3:$AD$501,0))&amp;"","")</f>
        <v/>
      </c>
      <c r="AA415" s="23" t="str">
        <f aca="false">IFERROR(INDEX(종합!AA$3:AA$501,MATCH(ROW()-2,종합!$AD$3:$AD$501,0))&amp;"","")</f>
        <v/>
      </c>
    </row>
    <row r="416" customFormat="false" ht="16.5" hidden="false" customHeight="true" outlineLevel="0" collapsed="false">
      <c r="A416" s="18" t="str">
        <f aca="false">IF(B416="","",ROW()-2)</f>
        <v/>
      </c>
      <c r="B416" s="18" t="str">
        <f aca="false">IFERROR(INDEX(종합!B$3:B$501,MATCH(ROW()-2,종합!$AD$3:$AD$501,0))&amp;"","")</f>
        <v/>
      </c>
      <c r="C416" s="18" t="str">
        <f aca="false">IFERROR(INDEX(종합!C$3:C$501,MATCH(ROW()-2,종합!$AD$3:$AD$501,0))&amp;"","")</f>
        <v/>
      </c>
      <c r="D416" s="18" t="str">
        <f aca="false">IFERROR(INDEX(종합!D$3:D$501,MATCH(ROW()-2,종합!$AD$3:$AD$501,0))&amp;"","")</f>
        <v/>
      </c>
      <c r="E416" s="18" t="str">
        <f aca="false">IFERROR(INDEX(종합!E$3:E$501,MATCH(ROW()-2,종합!$AD$3:$AD$501,0))&amp;"","")</f>
        <v/>
      </c>
      <c r="F416" s="18" t="str">
        <f aca="false">IFERROR(INDEX(종합!F$3:F$501,MATCH(ROW()-2,종합!$AD$3:$AD$501,0))&amp;"","")</f>
        <v/>
      </c>
      <c r="G416" s="18" t="str">
        <f aca="false">IFERROR(INDEX(종합!G$3:G$501,MATCH(ROW()-2,종합!$AD$3:$AD$501,0))&amp;"","")</f>
        <v/>
      </c>
      <c r="H416" s="21" t="str">
        <f aca="false">IFERROR(INDEX(종합!H$3:H$501,MATCH(ROW()-2,종합!$AD$3:$AD$501,0))&amp;"","")</f>
        <v/>
      </c>
      <c r="I416" s="21" t="str">
        <f aca="false">IFERROR(INDEX(종합!I$3:I$501,MATCH(ROW()-2,종합!$AD$3:$AD$501,0))&amp;"","")</f>
        <v/>
      </c>
      <c r="J416" s="21" t="str">
        <f aca="false">IFERROR(INDEX(종합!J$3:J$501,MATCH(ROW()-2,종합!$AD$3:$AD$501,0))&amp;"","")</f>
        <v/>
      </c>
      <c r="K416" s="21" t="str">
        <f aca="false">IFERROR(INDEX(종합!K$3:K$501,MATCH(ROW()-2,종합!$AD$3:$AD$501,0))&amp;"","")</f>
        <v/>
      </c>
      <c r="L416" s="21" t="str">
        <f aca="false">IFERROR(INDEX(종합!L$3:L$501,MATCH(ROW()-2,종합!$AD$3:$AD$501,0))&amp;"","")</f>
        <v/>
      </c>
      <c r="M416" s="21" t="str">
        <f aca="false">IFERROR(INDEX(종합!M$3:M$501,MATCH(ROW()-2,종합!$AD$3:$AD$501,0))&amp;"","")</f>
        <v/>
      </c>
      <c r="N416" s="25" t="str">
        <f aca="false">IFERROR(INDEX(종합!N$3:N$501,MATCH(ROW()-2,종합!$AD$3:$AD$501,0))&amp;"","")</f>
        <v/>
      </c>
      <c r="O416" s="21" t="str">
        <f aca="false">IFERROR(INDEX(종합!O$3:O$501,MATCH(ROW()-2,종합!$AD$3:$AD$501,0))&amp;"","")</f>
        <v/>
      </c>
      <c r="P416" s="21" t="str">
        <f aca="false">IFERROR(INDEX(종합!P$3:P$501,MATCH(ROW()-2,종합!$AD$3:$AD$501,0))&amp;"","")</f>
        <v/>
      </c>
      <c r="Q416" s="21" t="str">
        <f aca="false">IFERROR(INDEX(종합!Q$3:Q$501,MATCH(ROW()-2,종합!$AD$3:$AD$501,0))&amp;"","")</f>
        <v/>
      </c>
      <c r="R416" s="21" t="str">
        <f aca="false">IFERROR(INDEX(종합!R$3:R$501,MATCH(ROW()-2,종합!$AD$3:$AD$501,0))&amp;"","")</f>
        <v/>
      </c>
      <c r="S416" s="21" t="str">
        <f aca="false">IFERROR(INDEX(종합!S$3:S$501,MATCH(ROW()-2,종합!$AD$3:$AD$501,0))&amp;"","")</f>
        <v/>
      </c>
      <c r="T416" s="21" t="str">
        <f aca="false">IFERROR(INDEX(종합!T$3:T$501,MATCH(ROW()-2,종합!$AD$3:$AD$501,0))&amp;"","")</f>
        <v/>
      </c>
      <c r="U416" s="21" t="str">
        <f aca="false">IFERROR(INDEX(종합!U$3:U$501,MATCH(ROW()-2,종합!$AD$3:$AD$501,0))&amp;"","")</f>
        <v/>
      </c>
      <c r="V416" s="21" t="str">
        <f aca="false">IFERROR(INDEX(종합!V$3:V$501,MATCH(ROW()-2,종합!$AD$3:$AD$501,0))&amp;"","")</f>
        <v/>
      </c>
      <c r="W416" s="21" t="str">
        <f aca="false">IFERROR(INDEX(종합!W$3:W$501,MATCH(ROW()-2,종합!$AD$3:$AD$501,0))&amp;"","")</f>
        <v/>
      </c>
      <c r="X416" s="21" t="str">
        <f aca="false">IFERROR(INDEX(종합!X$3:X$501,MATCH(ROW()-2,종합!$AD$3:$AD$501,0))&amp;"","")</f>
        <v/>
      </c>
      <c r="Y416" s="21" t="str">
        <f aca="false">IFERROR(INDEX(종합!Y$3:Y$501,MATCH(ROW()-2,종합!$AD$3:$AD$501,0))&amp;"","")</f>
        <v/>
      </c>
      <c r="Z416" s="21" t="str">
        <f aca="false">IFERROR(INDEX(종합!Z$3:Z$501,MATCH(ROW()-2,종합!$AD$3:$AD$501,0))&amp;"","")</f>
        <v/>
      </c>
      <c r="AA416" s="23" t="str">
        <f aca="false">IFERROR(INDEX(종합!AA$3:AA$501,MATCH(ROW()-2,종합!$AD$3:$AD$501,0))&amp;"","")</f>
        <v/>
      </c>
    </row>
    <row r="417" customFormat="false" ht="16.5" hidden="false" customHeight="true" outlineLevel="0" collapsed="false">
      <c r="A417" s="18" t="str">
        <f aca="false">IF(B417="","",ROW()-2)</f>
        <v/>
      </c>
      <c r="B417" s="18" t="str">
        <f aca="false">IFERROR(INDEX(종합!B$3:B$501,MATCH(ROW()-2,종합!$AD$3:$AD$501,0))&amp;"","")</f>
        <v/>
      </c>
      <c r="C417" s="18" t="str">
        <f aca="false">IFERROR(INDEX(종합!C$3:C$501,MATCH(ROW()-2,종합!$AD$3:$AD$501,0))&amp;"","")</f>
        <v/>
      </c>
      <c r="D417" s="18" t="str">
        <f aca="false">IFERROR(INDEX(종합!D$3:D$501,MATCH(ROW()-2,종합!$AD$3:$AD$501,0))&amp;"","")</f>
        <v/>
      </c>
      <c r="E417" s="18" t="str">
        <f aca="false">IFERROR(INDEX(종합!E$3:E$501,MATCH(ROW()-2,종합!$AD$3:$AD$501,0))&amp;"","")</f>
        <v/>
      </c>
      <c r="F417" s="18" t="str">
        <f aca="false">IFERROR(INDEX(종합!F$3:F$501,MATCH(ROW()-2,종합!$AD$3:$AD$501,0))&amp;"","")</f>
        <v/>
      </c>
      <c r="G417" s="18" t="str">
        <f aca="false">IFERROR(INDEX(종합!G$3:G$501,MATCH(ROW()-2,종합!$AD$3:$AD$501,0))&amp;"","")</f>
        <v/>
      </c>
      <c r="H417" s="21" t="str">
        <f aca="false">IFERROR(INDEX(종합!H$3:H$501,MATCH(ROW()-2,종합!$AD$3:$AD$501,0))&amp;"","")</f>
        <v/>
      </c>
      <c r="I417" s="21" t="str">
        <f aca="false">IFERROR(INDEX(종합!I$3:I$501,MATCH(ROW()-2,종합!$AD$3:$AD$501,0))&amp;"","")</f>
        <v/>
      </c>
      <c r="J417" s="21" t="str">
        <f aca="false">IFERROR(INDEX(종합!J$3:J$501,MATCH(ROW()-2,종합!$AD$3:$AD$501,0))&amp;"","")</f>
        <v/>
      </c>
      <c r="K417" s="21" t="str">
        <f aca="false">IFERROR(INDEX(종합!K$3:K$501,MATCH(ROW()-2,종합!$AD$3:$AD$501,0))&amp;"","")</f>
        <v/>
      </c>
      <c r="L417" s="21" t="str">
        <f aca="false">IFERROR(INDEX(종합!L$3:L$501,MATCH(ROW()-2,종합!$AD$3:$AD$501,0))&amp;"","")</f>
        <v/>
      </c>
      <c r="M417" s="21" t="str">
        <f aca="false">IFERROR(INDEX(종합!M$3:M$501,MATCH(ROW()-2,종합!$AD$3:$AD$501,0))&amp;"","")</f>
        <v/>
      </c>
      <c r="N417" s="25" t="str">
        <f aca="false">IFERROR(INDEX(종합!N$3:N$501,MATCH(ROW()-2,종합!$AD$3:$AD$501,0))&amp;"","")</f>
        <v/>
      </c>
      <c r="O417" s="21" t="str">
        <f aca="false">IFERROR(INDEX(종합!O$3:O$501,MATCH(ROW()-2,종합!$AD$3:$AD$501,0))&amp;"","")</f>
        <v/>
      </c>
      <c r="P417" s="21" t="str">
        <f aca="false">IFERROR(INDEX(종합!P$3:P$501,MATCH(ROW()-2,종합!$AD$3:$AD$501,0))&amp;"","")</f>
        <v/>
      </c>
      <c r="Q417" s="21" t="str">
        <f aca="false">IFERROR(INDEX(종합!Q$3:Q$501,MATCH(ROW()-2,종합!$AD$3:$AD$501,0))&amp;"","")</f>
        <v/>
      </c>
      <c r="R417" s="21" t="str">
        <f aca="false">IFERROR(INDEX(종합!R$3:R$501,MATCH(ROW()-2,종합!$AD$3:$AD$501,0))&amp;"","")</f>
        <v/>
      </c>
      <c r="S417" s="21" t="str">
        <f aca="false">IFERROR(INDEX(종합!S$3:S$501,MATCH(ROW()-2,종합!$AD$3:$AD$501,0))&amp;"","")</f>
        <v/>
      </c>
      <c r="T417" s="21" t="str">
        <f aca="false">IFERROR(INDEX(종합!T$3:T$501,MATCH(ROW()-2,종합!$AD$3:$AD$501,0))&amp;"","")</f>
        <v/>
      </c>
      <c r="U417" s="21" t="str">
        <f aca="false">IFERROR(INDEX(종합!U$3:U$501,MATCH(ROW()-2,종합!$AD$3:$AD$501,0))&amp;"","")</f>
        <v/>
      </c>
      <c r="V417" s="21" t="str">
        <f aca="false">IFERROR(INDEX(종합!V$3:V$501,MATCH(ROW()-2,종합!$AD$3:$AD$501,0))&amp;"","")</f>
        <v/>
      </c>
      <c r="W417" s="21" t="str">
        <f aca="false">IFERROR(INDEX(종합!W$3:W$501,MATCH(ROW()-2,종합!$AD$3:$AD$501,0))&amp;"","")</f>
        <v/>
      </c>
      <c r="X417" s="21" t="str">
        <f aca="false">IFERROR(INDEX(종합!X$3:X$501,MATCH(ROW()-2,종합!$AD$3:$AD$501,0))&amp;"","")</f>
        <v/>
      </c>
      <c r="Y417" s="21" t="str">
        <f aca="false">IFERROR(INDEX(종합!Y$3:Y$501,MATCH(ROW()-2,종합!$AD$3:$AD$501,0))&amp;"","")</f>
        <v/>
      </c>
      <c r="Z417" s="21" t="str">
        <f aca="false">IFERROR(INDEX(종합!Z$3:Z$501,MATCH(ROW()-2,종합!$AD$3:$AD$501,0))&amp;"","")</f>
        <v/>
      </c>
      <c r="AA417" s="23" t="str">
        <f aca="false">IFERROR(INDEX(종합!AA$3:AA$501,MATCH(ROW()-2,종합!$AD$3:$AD$501,0))&amp;"","")</f>
        <v/>
      </c>
    </row>
    <row r="418" customFormat="false" ht="16.5" hidden="false" customHeight="true" outlineLevel="0" collapsed="false">
      <c r="A418" s="18" t="str">
        <f aca="false">IF(B418="","",ROW()-2)</f>
        <v/>
      </c>
      <c r="B418" s="18" t="str">
        <f aca="false">IFERROR(INDEX(종합!B$3:B$501,MATCH(ROW()-2,종합!$AD$3:$AD$501,0))&amp;"","")</f>
        <v/>
      </c>
      <c r="C418" s="18" t="str">
        <f aca="false">IFERROR(INDEX(종합!C$3:C$501,MATCH(ROW()-2,종합!$AD$3:$AD$501,0))&amp;"","")</f>
        <v/>
      </c>
      <c r="D418" s="18" t="str">
        <f aca="false">IFERROR(INDEX(종합!D$3:D$501,MATCH(ROW()-2,종합!$AD$3:$AD$501,0))&amp;"","")</f>
        <v/>
      </c>
      <c r="E418" s="18" t="str">
        <f aca="false">IFERROR(INDEX(종합!E$3:E$501,MATCH(ROW()-2,종합!$AD$3:$AD$501,0))&amp;"","")</f>
        <v/>
      </c>
      <c r="F418" s="18" t="str">
        <f aca="false">IFERROR(INDEX(종합!F$3:F$501,MATCH(ROW()-2,종합!$AD$3:$AD$501,0))&amp;"","")</f>
        <v/>
      </c>
      <c r="G418" s="18" t="str">
        <f aca="false">IFERROR(INDEX(종합!G$3:G$501,MATCH(ROW()-2,종합!$AD$3:$AD$501,0))&amp;"","")</f>
        <v/>
      </c>
      <c r="H418" s="21" t="str">
        <f aca="false">IFERROR(INDEX(종합!H$3:H$501,MATCH(ROW()-2,종합!$AD$3:$AD$501,0))&amp;"","")</f>
        <v/>
      </c>
      <c r="I418" s="21" t="str">
        <f aca="false">IFERROR(INDEX(종합!I$3:I$501,MATCH(ROW()-2,종합!$AD$3:$AD$501,0))&amp;"","")</f>
        <v/>
      </c>
      <c r="J418" s="21" t="str">
        <f aca="false">IFERROR(INDEX(종합!J$3:J$501,MATCH(ROW()-2,종합!$AD$3:$AD$501,0))&amp;"","")</f>
        <v/>
      </c>
      <c r="K418" s="21" t="str">
        <f aca="false">IFERROR(INDEX(종합!K$3:K$501,MATCH(ROW()-2,종합!$AD$3:$AD$501,0))&amp;"","")</f>
        <v/>
      </c>
      <c r="L418" s="21" t="str">
        <f aca="false">IFERROR(INDEX(종합!L$3:L$501,MATCH(ROW()-2,종합!$AD$3:$AD$501,0))&amp;"","")</f>
        <v/>
      </c>
      <c r="M418" s="21" t="str">
        <f aca="false">IFERROR(INDEX(종합!M$3:M$501,MATCH(ROW()-2,종합!$AD$3:$AD$501,0))&amp;"","")</f>
        <v/>
      </c>
      <c r="N418" s="25" t="str">
        <f aca="false">IFERROR(INDEX(종합!N$3:N$501,MATCH(ROW()-2,종합!$AD$3:$AD$501,0))&amp;"","")</f>
        <v/>
      </c>
      <c r="O418" s="21" t="str">
        <f aca="false">IFERROR(INDEX(종합!O$3:O$501,MATCH(ROW()-2,종합!$AD$3:$AD$501,0))&amp;"","")</f>
        <v/>
      </c>
      <c r="P418" s="21" t="str">
        <f aca="false">IFERROR(INDEX(종합!P$3:P$501,MATCH(ROW()-2,종합!$AD$3:$AD$501,0))&amp;"","")</f>
        <v/>
      </c>
      <c r="Q418" s="21" t="str">
        <f aca="false">IFERROR(INDEX(종합!Q$3:Q$501,MATCH(ROW()-2,종합!$AD$3:$AD$501,0))&amp;"","")</f>
        <v/>
      </c>
      <c r="R418" s="21" t="str">
        <f aca="false">IFERROR(INDEX(종합!R$3:R$501,MATCH(ROW()-2,종합!$AD$3:$AD$501,0))&amp;"","")</f>
        <v/>
      </c>
      <c r="S418" s="21" t="str">
        <f aca="false">IFERROR(INDEX(종합!S$3:S$501,MATCH(ROW()-2,종합!$AD$3:$AD$501,0))&amp;"","")</f>
        <v/>
      </c>
      <c r="T418" s="21" t="str">
        <f aca="false">IFERROR(INDEX(종합!T$3:T$501,MATCH(ROW()-2,종합!$AD$3:$AD$501,0))&amp;"","")</f>
        <v/>
      </c>
      <c r="U418" s="21" t="str">
        <f aca="false">IFERROR(INDEX(종합!U$3:U$501,MATCH(ROW()-2,종합!$AD$3:$AD$501,0))&amp;"","")</f>
        <v/>
      </c>
      <c r="V418" s="21" t="str">
        <f aca="false">IFERROR(INDEX(종합!V$3:V$501,MATCH(ROW()-2,종합!$AD$3:$AD$501,0))&amp;"","")</f>
        <v/>
      </c>
      <c r="W418" s="21" t="str">
        <f aca="false">IFERROR(INDEX(종합!W$3:W$501,MATCH(ROW()-2,종합!$AD$3:$AD$501,0))&amp;"","")</f>
        <v/>
      </c>
      <c r="X418" s="21" t="str">
        <f aca="false">IFERROR(INDEX(종합!X$3:X$501,MATCH(ROW()-2,종합!$AD$3:$AD$501,0))&amp;"","")</f>
        <v/>
      </c>
      <c r="Y418" s="21" t="str">
        <f aca="false">IFERROR(INDEX(종합!Y$3:Y$501,MATCH(ROW()-2,종합!$AD$3:$AD$501,0))&amp;"","")</f>
        <v/>
      </c>
      <c r="Z418" s="21" t="str">
        <f aca="false">IFERROR(INDEX(종합!Z$3:Z$501,MATCH(ROW()-2,종합!$AD$3:$AD$501,0))&amp;"","")</f>
        <v/>
      </c>
      <c r="AA418" s="23" t="str">
        <f aca="false">IFERROR(INDEX(종합!AA$3:AA$501,MATCH(ROW()-2,종합!$AD$3:$AD$501,0))&amp;"","")</f>
        <v/>
      </c>
    </row>
    <row r="419" customFormat="false" ht="16.5" hidden="false" customHeight="true" outlineLevel="0" collapsed="false">
      <c r="A419" s="18" t="str">
        <f aca="false">IF(B419="","",ROW()-2)</f>
        <v/>
      </c>
      <c r="B419" s="18" t="str">
        <f aca="false">IFERROR(INDEX(종합!B$3:B$501,MATCH(ROW()-2,종합!$AD$3:$AD$501,0))&amp;"","")</f>
        <v/>
      </c>
      <c r="C419" s="18" t="str">
        <f aca="false">IFERROR(INDEX(종합!C$3:C$501,MATCH(ROW()-2,종합!$AD$3:$AD$501,0))&amp;"","")</f>
        <v/>
      </c>
      <c r="D419" s="18" t="str">
        <f aca="false">IFERROR(INDEX(종합!D$3:D$501,MATCH(ROW()-2,종합!$AD$3:$AD$501,0))&amp;"","")</f>
        <v/>
      </c>
      <c r="E419" s="18" t="str">
        <f aca="false">IFERROR(INDEX(종합!E$3:E$501,MATCH(ROW()-2,종합!$AD$3:$AD$501,0))&amp;"","")</f>
        <v/>
      </c>
      <c r="F419" s="18" t="str">
        <f aca="false">IFERROR(INDEX(종합!F$3:F$501,MATCH(ROW()-2,종합!$AD$3:$AD$501,0))&amp;"","")</f>
        <v/>
      </c>
      <c r="G419" s="18" t="str">
        <f aca="false">IFERROR(INDEX(종합!G$3:G$501,MATCH(ROW()-2,종합!$AD$3:$AD$501,0))&amp;"","")</f>
        <v/>
      </c>
      <c r="H419" s="21" t="str">
        <f aca="false">IFERROR(INDEX(종합!H$3:H$501,MATCH(ROW()-2,종합!$AD$3:$AD$501,0))&amp;"","")</f>
        <v/>
      </c>
      <c r="I419" s="21" t="str">
        <f aca="false">IFERROR(INDEX(종합!I$3:I$501,MATCH(ROW()-2,종합!$AD$3:$AD$501,0))&amp;"","")</f>
        <v/>
      </c>
      <c r="J419" s="21" t="str">
        <f aca="false">IFERROR(INDEX(종합!J$3:J$501,MATCH(ROW()-2,종합!$AD$3:$AD$501,0))&amp;"","")</f>
        <v/>
      </c>
      <c r="K419" s="21" t="str">
        <f aca="false">IFERROR(INDEX(종합!K$3:K$501,MATCH(ROW()-2,종합!$AD$3:$AD$501,0))&amp;"","")</f>
        <v/>
      </c>
      <c r="L419" s="21" t="str">
        <f aca="false">IFERROR(INDEX(종합!L$3:L$501,MATCH(ROW()-2,종합!$AD$3:$AD$501,0))&amp;"","")</f>
        <v/>
      </c>
      <c r="M419" s="21" t="str">
        <f aca="false">IFERROR(INDEX(종합!M$3:M$501,MATCH(ROW()-2,종합!$AD$3:$AD$501,0))&amp;"","")</f>
        <v/>
      </c>
      <c r="N419" s="25" t="str">
        <f aca="false">IFERROR(INDEX(종합!N$3:N$501,MATCH(ROW()-2,종합!$AD$3:$AD$501,0))&amp;"","")</f>
        <v/>
      </c>
      <c r="O419" s="21" t="str">
        <f aca="false">IFERROR(INDEX(종합!O$3:O$501,MATCH(ROW()-2,종합!$AD$3:$AD$501,0))&amp;"","")</f>
        <v/>
      </c>
      <c r="P419" s="21" t="str">
        <f aca="false">IFERROR(INDEX(종합!P$3:P$501,MATCH(ROW()-2,종합!$AD$3:$AD$501,0))&amp;"","")</f>
        <v/>
      </c>
      <c r="Q419" s="21" t="str">
        <f aca="false">IFERROR(INDEX(종합!Q$3:Q$501,MATCH(ROW()-2,종합!$AD$3:$AD$501,0))&amp;"","")</f>
        <v/>
      </c>
      <c r="R419" s="21" t="str">
        <f aca="false">IFERROR(INDEX(종합!R$3:R$501,MATCH(ROW()-2,종합!$AD$3:$AD$501,0))&amp;"","")</f>
        <v/>
      </c>
      <c r="S419" s="21" t="str">
        <f aca="false">IFERROR(INDEX(종합!S$3:S$501,MATCH(ROW()-2,종합!$AD$3:$AD$501,0))&amp;"","")</f>
        <v/>
      </c>
      <c r="T419" s="21" t="str">
        <f aca="false">IFERROR(INDEX(종합!T$3:T$501,MATCH(ROW()-2,종합!$AD$3:$AD$501,0))&amp;"","")</f>
        <v/>
      </c>
      <c r="U419" s="21" t="str">
        <f aca="false">IFERROR(INDEX(종합!U$3:U$501,MATCH(ROW()-2,종합!$AD$3:$AD$501,0))&amp;"","")</f>
        <v/>
      </c>
      <c r="V419" s="21" t="str">
        <f aca="false">IFERROR(INDEX(종합!V$3:V$501,MATCH(ROW()-2,종합!$AD$3:$AD$501,0))&amp;"","")</f>
        <v/>
      </c>
      <c r="W419" s="21" t="str">
        <f aca="false">IFERROR(INDEX(종합!W$3:W$501,MATCH(ROW()-2,종합!$AD$3:$AD$501,0))&amp;"","")</f>
        <v/>
      </c>
      <c r="X419" s="21" t="str">
        <f aca="false">IFERROR(INDEX(종합!X$3:X$501,MATCH(ROW()-2,종합!$AD$3:$AD$501,0))&amp;"","")</f>
        <v/>
      </c>
      <c r="Y419" s="21" t="str">
        <f aca="false">IFERROR(INDEX(종합!Y$3:Y$501,MATCH(ROW()-2,종합!$AD$3:$AD$501,0))&amp;"","")</f>
        <v/>
      </c>
      <c r="Z419" s="21" t="str">
        <f aca="false">IFERROR(INDEX(종합!Z$3:Z$501,MATCH(ROW()-2,종합!$AD$3:$AD$501,0))&amp;"","")</f>
        <v/>
      </c>
      <c r="AA419" s="23" t="str">
        <f aca="false">IFERROR(INDEX(종합!AA$3:AA$501,MATCH(ROW()-2,종합!$AD$3:$AD$501,0))&amp;"","")</f>
        <v/>
      </c>
    </row>
    <row r="420" customFormat="false" ht="16.5" hidden="false" customHeight="true" outlineLevel="0" collapsed="false">
      <c r="A420" s="18" t="str">
        <f aca="false">IF(B420="","",ROW()-2)</f>
        <v/>
      </c>
      <c r="B420" s="18" t="str">
        <f aca="false">IFERROR(INDEX(종합!B$3:B$501,MATCH(ROW()-2,종합!$AD$3:$AD$501,0))&amp;"","")</f>
        <v/>
      </c>
      <c r="C420" s="18" t="str">
        <f aca="false">IFERROR(INDEX(종합!C$3:C$501,MATCH(ROW()-2,종합!$AD$3:$AD$501,0))&amp;"","")</f>
        <v/>
      </c>
      <c r="D420" s="18" t="str">
        <f aca="false">IFERROR(INDEX(종합!D$3:D$501,MATCH(ROW()-2,종합!$AD$3:$AD$501,0))&amp;"","")</f>
        <v/>
      </c>
      <c r="E420" s="18" t="str">
        <f aca="false">IFERROR(INDEX(종합!E$3:E$501,MATCH(ROW()-2,종합!$AD$3:$AD$501,0))&amp;"","")</f>
        <v/>
      </c>
      <c r="F420" s="18" t="str">
        <f aca="false">IFERROR(INDEX(종합!F$3:F$501,MATCH(ROW()-2,종합!$AD$3:$AD$501,0))&amp;"","")</f>
        <v/>
      </c>
      <c r="G420" s="18" t="str">
        <f aca="false">IFERROR(INDEX(종합!G$3:G$501,MATCH(ROW()-2,종합!$AD$3:$AD$501,0))&amp;"","")</f>
        <v/>
      </c>
      <c r="H420" s="21" t="str">
        <f aca="false">IFERROR(INDEX(종합!H$3:H$501,MATCH(ROW()-2,종합!$AD$3:$AD$501,0))&amp;"","")</f>
        <v/>
      </c>
      <c r="I420" s="21" t="str">
        <f aca="false">IFERROR(INDEX(종합!I$3:I$501,MATCH(ROW()-2,종합!$AD$3:$AD$501,0))&amp;"","")</f>
        <v/>
      </c>
      <c r="J420" s="21" t="str">
        <f aca="false">IFERROR(INDEX(종합!J$3:J$501,MATCH(ROW()-2,종합!$AD$3:$AD$501,0))&amp;"","")</f>
        <v/>
      </c>
      <c r="K420" s="21" t="str">
        <f aca="false">IFERROR(INDEX(종합!K$3:K$501,MATCH(ROW()-2,종합!$AD$3:$AD$501,0))&amp;"","")</f>
        <v/>
      </c>
      <c r="L420" s="21" t="str">
        <f aca="false">IFERROR(INDEX(종합!L$3:L$501,MATCH(ROW()-2,종합!$AD$3:$AD$501,0))&amp;"","")</f>
        <v/>
      </c>
      <c r="M420" s="21" t="str">
        <f aca="false">IFERROR(INDEX(종합!M$3:M$501,MATCH(ROW()-2,종합!$AD$3:$AD$501,0))&amp;"","")</f>
        <v/>
      </c>
      <c r="N420" s="25" t="str">
        <f aca="false">IFERROR(INDEX(종합!N$3:N$501,MATCH(ROW()-2,종합!$AD$3:$AD$501,0))&amp;"","")</f>
        <v/>
      </c>
      <c r="O420" s="21" t="str">
        <f aca="false">IFERROR(INDEX(종합!O$3:O$501,MATCH(ROW()-2,종합!$AD$3:$AD$501,0))&amp;"","")</f>
        <v/>
      </c>
      <c r="P420" s="21" t="str">
        <f aca="false">IFERROR(INDEX(종합!P$3:P$501,MATCH(ROW()-2,종합!$AD$3:$AD$501,0))&amp;"","")</f>
        <v/>
      </c>
      <c r="Q420" s="21" t="str">
        <f aca="false">IFERROR(INDEX(종합!Q$3:Q$501,MATCH(ROW()-2,종합!$AD$3:$AD$501,0))&amp;"","")</f>
        <v/>
      </c>
      <c r="R420" s="21" t="str">
        <f aca="false">IFERROR(INDEX(종합!R$3:R$501,MATCH(ROW()-2,종합!$AD$3:$AD$501,0))&amp;"","")</f>
        <v/>
      </c>
      <c r="S420" s="21" t="str">
        <f aca="false">IFERROR(INDEX(종합!S$3:S$501,MATCH(ROW()-2,종합!$AD$3:$AD$501,0))&amp;"","")</f>
        <v/>
      </c>
      <c r="T420" s="21" t="str">
        <f aca="false">IFERROR(INDEX(종합!T$3:T$501,MATCH(ROW()-2,종합!$AD$3:$AD$501,0))&amp;"","")</f>
        <v/>
      </c>
      <c r="U420" s="21" t="str">
        <f aca="false">IFERROR(INDEX(종합!U$3:U$501,MATCH(ROW()-2,종합!$AD$3:$AD$501,0))&amp;"","")</f>
        <v/>
      </c>
      <c r="V420" s="21" t="str">
        <f aca="false">IFERROR(INDEX(종합!V$3:V$501,MATCH(ROW()-2,종합!$AD$3:$AD$501,0))&amp;"","")</f>
        <v/>
      </c>
      <c r="W420" s="21" t="str">
        <f aca="false">IFERROR(INDEX(종합!W$3:W$501,MATCH(ROW()-2,종합!$AD$3:$AD$501,0))&amp;"","")</f>
        <v/>
      </c>
      <c r="X420" s="21" t="str">
        <f aca="false">IFERROR(INDEX(종합!X$3:X$501,MATCH(ROW()-2,종합!$AD$3:$AD$501,0))&amp;"","")</f>
        <v/>
      </c>
      <c r="Y420" s="21" t="str">
        <f aca="false">IFERROR(INDEX(종합!Y$3:Y$501,MATCH(ROW()-2,종합!$AD$3:$AD$501,0))&amp;"","")</f>
        <v/>
      </c>
      <c r="Z420" s="21" t="str">
        <f aca="false">IFERROR(INDEX(종합!Z$3:Z$501,MATCH(ROW()-2,종합!$AD$3:$AD$501,0))&amp;"","")</f>
        <v/>
      </c>
      <c r="AA420" s="23" t="str">
        <f aca="false">IFERROR(INDEX(종합!AA$3:AA$501,MATCH(ROW()-2,종합!$AD$3:$AD$501,0))&amp;"","")</f>
        <v/>
      </c>
    </row>
    <row r="421" customFormat="false" ht="16.5" hidden="false" customHeight="true" outlineLevel="0" collapsed="false">
      <c r="A421" s="18" t="str">
        <f aca="false">IF(B421="","",ROW()-2)</f>
        <v/>
      </c>
      <c r="B421" s="18" t="str">
        <f aca="false">IFERROR(INDEX(종합!B$3:B$501,MATCH(ROW()-2,종합!$AD$3:$AD$501,0))&amp;"","")</f>
        <v/>
      </c>
      <c r="C421" s="18" t="str">
        <f aca="false">IFERROR(INDEX(종합!C$3:C$501,MATCH(ROW()-2,종합!$AD$3:$AD$501,0))&amp;"","")</f>
        <v/>
      </c>
      <c r="D421" s="18" t="str">
        <f aca="false">IFERROR(INDEX(종합!D$3:D$501,MATCH(ROW()-2,종합!$AD$3:$AD$501,0))&amp;"","")</f>
        <v/>
      </c>
      <c r="E421" s="18" t="str">
        <f aca="false">IFERROR(INDEX(종합!E$3:E$501,MATCH(ROW()-2,종합!$AD$3:$AD$501,0))&amp;"","")</f>
        <v/>
      </c>
      <c r="F421" s="18" t="str">
        <f aca="false">IFERROR(INDEX(종합!F$3:F$501,MATCH(ROW()-2,종합!$AD$3:$AD$501,0))&amp;"","")</f>
        <v/>
      </c>
      <c r="G421" s="18" t="str">
        <f aca="false">IFERROR(INDEX(종합!G$3:G$501,MATCH(ROW()-2,종합!$AD$3:$AD$501,0))&amp;"","")</f>
        <v/>
      </c>
      <c r="H421" s="21" t="str">
        <f aca="false">IFERROR(INDEX(종합!H$3:H$501,MATCH(ROW()-2,종합!$AD$3:$AD$501,0))&amp;"","")</f>
        <v/>
      </c>
      <c r="I421" s="21" t="str">
        <f aca="false">IFERROR(INDEX(종합!I$3:I$501,MATCH(ROW()-2,종합!$AD$3:$AD$501,0))&amp;"","")</f>
        <v/>
      </c>
      <c r="J421" s="21" t="str">
        <f aca="false">IFERROR(INDEX(종합!J$3:J$501,MATCH(ROW()-2,종합!$AD$3:$AD$501,0))&amp;"","")</f>
        <v/>
      </c>
      <c r="K421" s="21" t="str">
        <f aca="false">IFERROR(INDEX(종합!K$3:K$501,MATCH(ROW()-2,종합!$AD$3:$AD$501,0))&amp;"","")</f>
        <v/>
      </c>
      <c r="L421" s="21" t="str">
        <f aca="false">IFERROR(INDEX(종합!L$3:L$501,MATCH(ROW()-2,종합!$AD$3:$AD$501,0))&amp;"","")</f>
        <v/>
      </c>
      <c r="M421" s="21" t="str">
        <f aca="false">IFERROR(INDEX(종합!M$3:M$501,MATCH(ROW()-2,종합!$AD$3:$AD$501,0))&amp;"","")</f>
        <v/>
      </c>
      <c r="N421" s="25" t="str">
        <f aca="false">IFERROR(INDEX(종합!N$3:N$501,MATCH(ROW()-2,종합!$AD$3:$AD$501,0))&amp;"","")</f>
        <v/>
      </c>
      <c r="O421" s="21" t="str">
        <f aca="false">IFERROR(INDEX(종합!O$3:O$501,MATCH(ROW()-2,종합!$AD$3:$AD$501,0))&amp;"","")</f>
        <v/>
      </c>
      <c r="P421" s="21" t="str">
        <f aca="false">IFERROR(INDEX(종합!P$3:P$501,MATCH(ROW()-2,종합!$AD$3:$AD$501,0))&amp;"","")</f>
        <v/>
      </c>
      <c r="Q421" s="21" t="str">
        <f aca="false">IFERROR(INDEX(종합!Q$3:Q$501,MATCH(ROW()-2,종합!$AD$3:$AD$501,0))&amp;"","")</f>
        <v/>
      </c>
      <c r="R421" s="21" t="str">
        <f aca="false">IFERROR(INDEX(종합!R$3:R$501,MATCH(ROW()-2,종합!$AD$3:$AD$501,0))&amp;"","")</f>
        <v/>
      </c>
      <c r="S421" s="21" t="str">
        <f aca="false">IFERROR(INDEX(종합!S$3:S$501,MATCH(ROW()-2,종합!$AD$3:$AD$501,0))&amp;"","")</f>
        <v/>
      </c>
      <c r="T421" s="21" t="str">
        <f aca="false">IFERROR(INDEX(종합!T$3:T$501,MATCH(ROW()-2,종합!$AD$3:$AD$501,0))&amp;"","")</f>
        <v/>
      </c>
      <c r="U421" s="21" t="str">
        <f aca="false">IFERROR(INDEX(종합!U$3:U$501,MATCH(ROW()-2,종합!$AD$3:$AD$501,0))&amp;"","")</f>
        <v/>
      </c>
      <c r="V421" s="21" t="str">
        <f aca="false">IFERROR(INDEX(종합!V$3:V$501,MATCH(ROW()-2,종합!$AD$3:$AD$501,0))&amp;"","")</f>
        <v/>
      </c>
      <c r="W421" s="21" t="str">
        <f aca="false">IFERROR(INDEX(종합!W$3:W$501,MATCH(ROW()-2,종합!$AD$3:$AD$501,0))&amp;"","")</f>
        <v/>
      </c>
      <c r="X421" s="21" t="str">
        <f aca="false">IFERROR(INDEX(종합!X$3:X$501,MATCH(ROW()-2,종합!$AD$3:$AD$501,0))&amp;"","")</f>
        <v/>
      </c>
      <c r="Y421" s="21" t="str">
        <f aca="false">IFERROR(INDEX(종합!Y$3:Y$501,MATCH(ROW()-2,종합!$AD$3:$AD$501,0))&amp;"","")</f>
        <v/>
      </c>
      <c r="Z421" s="21" t="str">
        <f aca="false">IFERROR(INDEX(종합!Z$3:Z$501,MATCH(ROW()-2,종합!$AD$3:$AD$501,0))&amp;"","")</f>
        <v/>
      </c>
      <c r="AA421" s="23" t="str">
        <f aca="false">IFERROR(INDEX(종합!AA$3:AA$501,MATCH(ROW()-2,종합!$AD$3:$AD$501,0))&amp;"","")</f>
        <v/>
      </c>
    </row>
    <row r="422" customFormat="false" ht="16.5" hidden="false" customHeight="true" outlineLevel="0" collapsed="false">
      <c r="A422" s="18" t="str">
        <f aca="false">IF(B422="","",ROW()-2)</f>
        <v/>
      </c>
      <c r="B422" s="18" t="str">
        <f aca="false">IFERROR(INDEX(종합!B$3:B$501,MATCH(ROW()-2,종합!$AD$3:$AD$501,0))&amp;"","")</f>
        <v/>
      </c>
      <c r="C422" s="18" t="str">
        <f aca="false">IFERROR(INDEX(종합!C$3:C$501,MATCH(ROW()-2,종합!$AD$3:$AD$501,0))&amp;"","")</f>
        <v/>
      </c>
      <c r="D422" s="18" t="str">
        <f aca="false">IFERROR(INDEX(종합!D$3:D$501,MATCH(ROW()-2,종합!$AD$3:$AD$501,0))&amp;"","")</f>
        <v/>
      </c>
      <c r="E422" s="18" t="str">
        <f aca="false">IFERROR(INDEX(종합!E$3:E$501,MATCH(ROW()-2,종합!$AD$3:$AD$501,0))&amp;"","")</f>
        <v/>
      </c>
      <c r="F422" s="18" t="str">
        <f aca="false">IFERROR(INDEX(종합!F$3:F$501,MATCH(ROW()-2,종합!$AD$3:$AD$501,0))&amp;"","")</f>
        <v/>
      </c>
      <c r="G422" s="18" t="str">
        <f aca="false">IFERROR(INDEX(종합!G$3:G$501,MATCH(ROW()-2,종합!$AD$3:$AD$501,0))&amp;"","")</f>
        <v/>
      </c>
      <c r="H422" s="21" t="str">
        <f aca="false">IFERROR(INDEX(종합!H$3:H$501,MATCH(ROW()-2,종합!$AD$3:$AD$501,0))&amp;"","")</f>
        <v/>
      </c>
      <c r="I422" s="21" t="str">
        <f aca="false">IFERROR(INDEX(종합!I$3:I$501,MATCH(ROW()-2,종합!$AD$3:$AD$501,0))&amp;"","")</f>
        <v/>
      </c>
      <c r="J422" s="21" t="str">
        <f aca="false">IFERROR(INDEX(종합!J$3:J$501,MATCH(ROW()-2,종합!$AD$3:$AD$501,0))&amp;"","")</f>
        <v/>
      </c>
      <c r="K422" s="21" t="str">
        <f aca="false">IFERROR(INDEX(종합!K$3:K$501,MATCH(ROW()-2,종합!$AD$3:$AD$501,0))&amp;"","")</f>
        <v/>
      </c>
      <c r="L422" s="21" t="str">
        <f aca="false">IFERROR(INDEX(종합!L$3:L$501,MATCH(ROW()-2,종합!$AD$3:$AD$501,0))&amp;"","")</f>
        <v/>
      </c>
      <c r="M422" s="21" t="str">
        <f aca="false">IFERROR(INDEX(종합!M$3:M$501,MATCH(ROW()-2,종합!$AD$3:$AD$501,0))&amp;"","")</f>
        <v/>
      </c>
      <c r="N422" s="25" t="str">
        <f aca="false">IFERROR(INDEX(종합!N$3:N$501,MATCH(ROW()-2,종합!$AD$3:$AD$501,0))&amp;"","")</f>
        <v/>
      </c>
      <c r="O422" s="21" t="str">
        <f aca="false">IFERROR(INDEX(종합!O$3:O$501,MATCH(ROW()-2,종합!$AD$3:$AD$501,0))&amp;"","")</f>
        <v/>
      </c>
      <c r="P422" s="21" t="str">
        <f aca="false">IFERROR(INDEX(종합!P$3:P$501,MATCH(ROW()-2,종합!$AD$3:$AD$501,0))&amp;"","")</f>
        <v/>
      </c>
      <c r="Q422" s="21" t="str">
        <f aca="false">IFERROR(INDEX(종합!Q$3:Q$501,MATCH(ROW()-2,종합!$AD$3:$AD$501,0))&amp;"","")</f>
        <v/>
      </c>
      <c r="R422" s="21" t="str">
        <f aca="false">IFERROR(INDEX(종합!R$3:R$501,MATCH(ROW()-2,종합!$AD$3:$AD$501,0))&amp;"","")</f>
        <v/>
      </c>
      <c r="S422" s="21" t="str">
        <f aca="false">IFERROR(INDEX(종합!S$3:S$501,MATCH(ROW()-2,종합!$AD$3:$AD$501,0))&amp;"","")</f>
        <v/>
      </c>
      <c r="T422" s="21" t="str">
        <f aca="false">IFERROR(INDEX(종합!T$3:T$501,MATCH(ROW()-2,종합!$AD$3:$AD$501,0))&amp;"","")</f>
        <v/>
      </c>
      <c r="U422" s="21" t="str">
        <f aca="false">IFERROR(INDEX(종합!U$3:U$501,MATCH(ROW()-2,종합!$AD$3:$AD$501,0))&amp;"","")</f>
        <v/>
      </c>
      <c r="V422" s="21" t="str">
        <f aca="false">IFERROR(INDEX(종합!V$3:V$501,MATCH(ROW()-2,종합!$AD$3:$AD$501,0))&amp;"","")</f>
        <v/>
      </c>
      <c r="W422" s="21" t="str">
        <f aca="false">IFERROR(INDEX(종합!W$3:W$501,MATCH(ROW()-2,종합!$AD$3:$AD$501,0))&amp;"","")</f>
        <v/>
      </c>
      <c r="X422" s="21" t="str">
        <f aca="false">IFERROR(INDEX(종합!X$3:X$501,MATCH(ROW()-2,종합!$AD$3:$AD$501,0))&amp;"","")</f>
        <v/>
      </c>
      <c r="Y422" s="21" t="str">
        <f aca="false">IFERROR(INDEX(종합!Y$3:Y$501,MATCH(ROW()-2,종합!$AD$3:$AD$501,0))&amp;"","")</f>
        <v/>
      </c>
      <c r="Z422" s="21" t="str">
        <f aca="false">IFERROR(INDEX(종합!Z$3:Z$501,MATCH(ROW()-2,종합!$AD$3:$AD$501,0))&amp;"","")</f>
        <v/>
      </c>
      <c r="AA422" s="23" t="str">
        <f aca="false">IFERROR(INDEX(종합!AA$3:AA$501,MATCH(ROW()-2,종합!$AD$3:$AD$501,0))&amp;"","")</f>
        <v/>
      </c>
    </row>
    <row r="423" customFormat="false" ht="16.5" hidden="false" customHeight="true" outlineLevel="0" collapsed="false">
      <c r="A423" s="18" t="str">
        <f aca="false">IF(B423="","",ROW()-2)</f>
        <v/>
      </c>
      <c r="B423" s="18" t="str">
        <f aca="false">IFERROR(INDEX(종합!B$3:B$501,MATCH(ROW()-2,종합!$AD$3:$AD$501,0))&amp;"","")</f>
        <v/>
      </c>
      <c r="C423" s="18" t="str">
        <f aca="false">IFERROR(INDEX(종합!C$3:C$501,MATCH(ROW()-2,종합!$AD$3:$AD$501,0))&amp;"","")</f>
        <v/>
      </c>
      <c r="D423" s="18" t="str">
        <f aca="false">IFERROR(INDEX(종합!D$3:D$501,MATCH(ROW()-2,종합!$AD$3:$AD$501,0))&amp;"","")</f>
        <v/>
      </c>
      <c r="E423" s="18" t="str">
        <f aca="false">IFERROR(INDEX(종합!E$3:E$501,MATCH(ROW()-2,종합!$AD$3:$AD$501,0))&amp;"","")</f>
        <v/>
      </c>
      <c r="F423" s="18" t="str">
        <f aca="false">IFERROR(INDEX(종합!F$3:F$501,MATCH(ROW()-2,종합!$AD$3:$AD$501,0))&amp;"","")</f>
        <v/>
      </c>
      <c r="G423" s="18" t="str">
        <f aca="false">IFERROR(INDEX(종합!G$3:G$501,MATCH(ROW()-2,종합!$AD$3:$AD$501,0))&amp;"","")</f>
        <v/>
      </c>
      <c r="H423" s="21" t="str">
        <f aca="false">IFERROR(INDEX(종합!H$3:H$501,MATCH(ROW()-2,종합!$AD$3:$AD$501,0))&amp;"","")</f>
        <v/>
      </c>
      <c r="I423" s="21" t="str">
        <f aca="false">IFERROR(INDEX(종합!I$3:I$501,MATCH(ROW()-2,종합!$AD$3:$AD$501,0))&amp;"","")</f>
        <v/>
      </c>
      <c r="J423" s="21" t="str">
        <f aca="false">IFERROR(INDEX(종합!J$3:J$501,MATCH(ROW()-2,종합!$AD$3:$AD$501,0))&amp;"","")</f>
        <v/>
      </c>
      <c r="K423" s="21" t="str">
        <f aca="false">IFERROR(INDEX(종합!K$3:K$501,MATCH(ROW()-2,종합!$AD$3:$AD$501,0))&amp;"","")</f>
        <v/>
      </c>
      <c r="L423" s="21" t="str">
        <f aca="false">IFERROR(INDEX(종합!L$3:L$501,MATCH(ROW()-2,종합!$AD$3:$AD$501,0))&amp;"","")</f>
        <v/>
      </c>
      <c r="M423" s="21" t="str">
        <f aca="false">IFERROR(INDEX(종합!M$3:M$501,MATCH(ROW()-2,종합!$AD$3:$AD$501,0))&amp;"","")</f>
        <v/>
      </c>
      <c r="N423" s="25" t="str">
        <f aca="false">IFERROR(INDEX(종합!N$3:N$501,MATCH(ROW()-2,종합!$AD$3:$AD$501,0))&amp;"","")</f>
        <v/>
      </c>
      <c r="O423" s="21" t="str">
        <f aca="false">IFERROR(INDEX(종합!O$3:O$501,MATCH(ROW()-2,종합!$AD$3:$AD$501,0))&amp;"","")</f>
        <v/>
      </c>
      <c r="P423" s="21" t="str">
        <f aca="false">IFERROR(INDEX(종합!P$3:P$501,MATCH(ROW()-2,종합!$AD$3:$AD$501,0))&amp;"","")</f>
        <v/>
      </c>
      <c r="Q423" s="21" t="str">
        <f aca="false">IFERROR(INDEX(종합!Q$3:Q$501,MATCH(ROW()-2,종합!$AD$3:$AD$501,0))&amp;"","")</f>
        <v/>
      </c>
      <c r="R423" s="21" t="str">
        <f aca="false">IFERROR(INDEX(종합!R$3:R$501,MATCH(ROW()-2,종합!$AD$3:$AD$501,0))&amp;"","")</f>
        <v/>
      </c>
      <c r="S423" s="21" t="str">
        <f aca="false">IFERROR(INDEX(종합!S$3:S$501,MATCH(ROW()-2,종합!$AD$3:$AD$501,0))&amp;"","")</f>
        <v/>
      </c>
      <c r="T423" s="21" t="str">
        <f aca="false">IFERROR(INDEX(종합!T$3:T$501,MATCH(ROW()-2,종합!$AD$3:$AD$501,0))&amp;"","")</f>
        <v/>
      </c>
      <c r="U423" s="21" t="str">
        <f aca="false">IFERROR(INDEX(종합!U$3:U$501,MATCH(ROW()-2,종합!$AD$3:$AD$501,0))&amp;"","")</f>
        <v/>
      </c>
      <c r="V423" s="21" t="str">
        <f aca="false">IFERROR(INDEX(종합!V$3:V$501,MATCH(ROW()-2,종합!$AD$3:$AD$501,0))&amp;"","")</f>
        <v/>
      </c>
      <c r="W423" s="21" t="str">
        <f aca="false">IFERROR(INDEX(종합!W$3:W$501,MATCH(ROW()-2,종합!$AD$3:$AD$501,0))&amp;"","")</f>
        <v/>
      </c>
      <c r="X423" s="21" t="str">
        <f aca="false">IFERROR(INDEX(종합!X$3:X$501,MATCH(ROW()-2,종합!$AD$3:$AD$501,0))&amp;"","")</f>
        <v/>
      </c>
      <c r="Y423" s="21" t="str">
        <f aca="false">IFERROR(INDEX(종합!Y$3:Y$501,MATCH(ROW()-2,종합!$AD$3:$AD$501,0))&amp;"","")</f>
        <v/>
      </c>
      <c r="Z423" s="21" t="str">
        <f aca="false">IFERROR(INDEX(종합!Z$3:Z$501,MATCH(ROW()-2,종합!$AD$3:$AD$501,0))&amp;"","")</f>
        <v/>
      </c>
      <c r="AA423" s="23" t="str">
        <f aca="false">IFERROR(INDEX(종합!AA$3:AA$501,MATCH(ROW()-2,종합!$AD$3:$AD$501,0))&amp;"","")</f>
        <v/>
      </c>
    </row>
    <row r="424" customFormat="false" ht="16.5" hidden="false" customHeight="true" outlineLevel="0" collapsed="false">
      <c r="A424" s="18" t="str">
        <f aca="false">IF(B424="","",ROW()-2)</f>
        <v/>
      </c>
      <c r="B424" s="18" t="str">
        <f aca="false">IFERROR(INDEX(종합!B$3:B$501,MATCH(ROW()-2,종합!$AD$3:$AD$501,0))&amp;"","")</f>
        <v/>
      </c>
      <c r="C424" s="18" t="str">
        <f aca="false">IFERROR(INDEX(종합!C$3:C$501,MATCH(ROW()-2,종합!$AD$3:$AD$501,0))&amp;"","")</f>
        <v/>
      </c>
      <c r="D424" s="18" t="str">
        <f aca="false">IFERROR(INDEX(종합!D$3:D$501,MATCH(ROW()-2,종합!$AD$3:$AD$501,0))&amp;"","")</f>
        <v/>
      </c>
      <c r="E424" s="18" t="str">
        <f aca="false">IFERROR(INDEX(종합!E$3:E$501,MATCH(ROW()-2,종합!$AD$3:$AD$501,0))&amp;"","")</f>
        <v/>
      </c>
      <c r="F424" s="18" t="str">
        <f aca="false">IFERROR(INDEX(종합!F$3:F$501,MATCH(ROW()-2,종합!$AD$3:$AD$501,0))&amp;"","")</f>
        <v/>
      </c>
      <c r="G424" s="18" t="str">
        <f aca="false">IFERROR(INDEX(종합!G$3:G$501,MATCH(ROW()-2,종합!$AD$3:$AD$501,0))&amp;"","")</f>
        <v/>
      </c>
      <c r="H424" s="21" t="str">
        <f aca="false">IFERROR(INDEX(종합!H$3:H$501,MATCH(ROW()-2,종합!$AD$3:$AD$501,0))&amp;"","")</f>
        <v/>
      </c>
      <c r="I424" s="21" t="str">
        <f aca="false">IFERROR(INDEX(종합!I$3:I$501,MATCH(ROW()-2,종합!$AD$3:$AD$501,0))&amp;"","")</f>
        <v/>
      </c>
      <c r="J424" s="21" t="str">
        <f aca="false">IFERROR(INDEX(종합!J$3:J$501,MATCH(ROW()-2,종합!$AD$3:$AD$501,0))&amp;"","")</f>
        <v/>
      </c>
      <c r="K424" s="21" t="str">
        <f aca="false">IFERROR(INDEX(종합!K$3:K$501,MATCH(ROW()-2,종합!$AD$3:$AD$501,0))&amp;"","")</f>
        <v/>
      </c>
      <c r="L424" s="21" t="str">
        <f aca="false">IFERROR(INDEX(종합!L$3:L$501,MATCH(ROW()-2,종합!$AD$3:$AD$501,0))&amp;"","")</f>
        <v/>
      </c>
      <c r="M424" s="21" t="str">
        <f aca="false">IFERROR(INDEX(종합!M$3:M$501,MATCH(ROW()-2,종합!$AD$3:$AD$501,0))&amp;"","")</f>
        <v/>
      </c>
      <c r="N424" s="25" t="str">
        <f aca="false">IFERROR(INDEX(종합!N$3:N$501,MATCH(ROW()-2,종합!$AD$3:$AD$501,0))&amp;"","")</f>
        <v/>
      </c>
      <c r="O424" s="21" t="str">
        <f aca="false">IFERROR(INDEX(종합!O$3:O$501,MATCH(ROW()-2,종합!$AD$3:$AD$501,0))&amp;"","")</f>
        <v/>
      </c>
      <c r="P424" s="21" t="str">
        <f aca="false">IFERROR(INDEX(종합!P$3:P$501,MATCH(ROW()-2,종합!$AD$3:$AD$501,0))&amp;"","")</f>
        <v/>
      </c>
      <c r="Q424" s="21" t="str">
        <f aca="false">IFERROR(INDEX(종합!Q$3:Q$501,MATCH(ROW()-2,종합!$AD$3:$AD$501,0))&amp;"","")</f>
        <v/>
      </c>
      <c r="R424" s="21" t="str">
        <f aca="false">IFERROR(INDEX(종합!R$3:R$501,MATCH(ROW()-2,종합!$AD$3:$AD$501,0))&amp;"","")</f>
        <v/>
      </c>
      <c r="S424" s="21" t="str">
        <f aca="false">IFERROR(INDEX(종합!S$3:S$501,MATCH(ROW()-2,종합!$AD$3:$AD$501,0))&amp;"","")</f>
        <v/>
      </c>
      <c r="T424" s="21" t="str">
        <f aca="false">IFERROR(INDEX(종합!T$3:T$501,MATCH(ROW()-2,종합!$AD$3:$AD$501,0))&amp;"","")</f>
        <v/>
      </c>
      <c r="U424" s="21" t="str">
        <f aca="false">IFERROR(INDEX(종합!U$3:U$501,MATCH(ROW()-2,종합!$AD$3:$AD$501,0))&amp;"","")</f>
        <v/>
      </c>
      <c r="V424" s="21" t="str">
        <f aca="false">IFERROR(INDEX(종합!V$3:V$501,MATCH(ROW()-2,종합!$AD$3:$AD$501,0))&amp;"","")</f>
        <v/>
      </c>
      <c r="W424" s="21" t="str">
        <f aca="false">IFERROR(INDEX(종합!W$3:W$501,MATCH(ROW()-2,종합!$AD$3:$AD$501,0))&amp;"","")</f>
        <v/>
      </c>
      <c r="X424" s="21" t="str">
        <f aca="false">IFERROR(INDEX(종합!X$3:X$501,MATCH(ROW()-2,종합!$AD$3:$AD$501,0))&amp;"","")</f>
        <v/>
      </c>
      <c r="Y424" s="21" t="str">
        <f aca="false">IFERROR(INDEX(종합!Y$3:Y$501,MATCH(ROW()-2,종합!$AD$3:$AD$501,0))&amp;"","")</f>
        <v/>
      </c>
      <c r="Z424" s="21" t="str">
        <f aca="false">IFERROR(INDEX(종합!Z$3:Z$501,MATCH(ROW()-2,종합!$AD$3:$AD$501,0))&amp;"","")</f>
        <v/>
      </c>
      <c r="AA424" s="23" t="str">
        <f aca="false">IFERROR(INDEX(종합!AA$3:AA$501,MATCH(ROW()-2,종합!$AD$3:$AD$501,0))&amp;"","")</f>
        <v/>
      </c>
    </row>
    <row r="425" customFormat="false" ht="16.5" hidden="false" customHeight="true" outlineLevel="0" collapsed="false">
      <c r="A425" s="18" t="str">
        <f aca="false">IF(B425="","",ROW()-2)</f>
        <v/>
      </c>
      <c r="B425" s="18" t="str">
        <f aca="false">IFERROR(INDEX(종합!B$3:B$501,MATCH(ROW()-2,종합!$AD$3:$AD$501,0))&amp;"","")</f>
        <v/>
      </c>
      <c r="C425" s="18" t="str">
        <f aca="false">IFERROR(INDEX(종합!C$3:C$501,MATCH(ROW()-2,종합!$AD$3:$AD$501,0))&amp;"","")</f>
        <v/>
      </c>
      <c r="D425" s="18" t="str">
        <f aca="false">IFERROR(INDEX(종합!D$3:D$501,MATCH(ROW()-2,종합!$AD$3:$AD$501,0))&amp;"","")</f>
        <v/>
      </c>
      <c r="E425" s="18" t="str">
        <f aca="false">IFERROR(INDEX(종합!E$3:E$501,MATCH(ROW()-2,종합!$AD$3:$AD$501,0))&amp;"","")</f>
        <v/>
      </c>
      <c r="F425" s="18" t="str">
        <f aca="false">IFERROR(INDEX(종합!F$3:F$501,MATCH(ROW()-2,종합!$AD$3:$AD$501,0))&amp;"","")</f>
        <v/>
      </c>
      <c r="G425" s="18" t="str">
        <f aca="false">IFERROR(INDEX(종합!G$3:G$501,MATCH(ROW()-2,종합!$AD$3:$AD$501,0))&amp;"","")</f>
        <v/>
      </c>
      <c r="H425" s="21" t="str">
        <f aca="false">IFERROR(INDEX(종합!H$3:H$501,MATCH(ROW()-2,종합!$AD$3:$AD$501,0))&amp;"","")</f>
        <v/>
      </c>
      <c r="I425" s="21" t="str">
        <f aca="false">IFERROR(INDEX(종합!I$3:I$501,MATCH(ROW()-2,종합!$AD$3:$AD$501,0))&amp;"","")</f>
        <v/>
      </c>
      <c r="J425" s="21" t="str">
        <f aca="false">IFERROR(INDEX(종합!J$3:J$501,MATCH(ROW()-2,종합!$AD$3:$AD$501,0))&amp;"","")</f>
        <v/>
      </c>
      <c r="K425" s="21" t="str">
        <f aca="false">IFERROR(INDEX(종합!K$3:K$501,MATCH(ROW()-2,종합!$AD$3:$AD$501,0))&amp;"","")</f>
        <v/>
      </c>
      <c r="L425" s="21" t="str">
        <f aca="false">IFERROR(INDEX(종합!L$3:L$501,MATCH(ROW()-2,종합!$AD$3:$AD$501,0))&amp;"","")</f>
        <v/>
      </c>
      <c r="M425" s="21" t="str">
        <f aca="false">IFERROR(INDEX(종합!M$3:M$501,MATCH(ROW()-2,종합!$AD$3:$AD$501,0))&amp;"","")</f>
        <v/>
      </c>
      <c r="N425" s="25" t="str">
        <f aca="false">IFERROR(INDEX(종합!N$3:N$501,MATCH(ROW()-2,종합!$AD$3:$AD$501,0))&amp;"","")</f>
        <v/>
      </c>
      <c r="O425" s="21" t="str">
        <f aca="false">IFERROR(INDEX(종합!O$3:O$501,MATCH(ROW()-2,종합!$AD$3:$AD$501,0))&amp;"","")</f>
        <v/>
      </c>
      <c r="P425" s="21" t="str">
        <f aca="false">IFERROR(INDEX(종합!P$3:P$501,MATCH(ROW()-2,종합!$AD$3:$AD$501,0))&amp;"","")</f>
        <v/>
      </c>
      <c r="Q425" s="21" t="str">
        <f aca="false">IFERROR(INDEX(종합!Q$3:Q$501,MATCH(ROW()-2,종합!$AD$3:$AD$501,0))&amp;"","")</f>
        <v/>
      </c>
      <c r="R425" s="21" t="str">
        <f aca="false">IFERROR(INDEX(종합!R$3:R$501,MATCH(ROW()-2,종합!$AD$3:$AD$501,0))&amp;"","")</f>
        <v/>
      </c>
      <c r="S425" s="21" t="str">
        <f aca="false">IFERROR(INDEX(종합!S$3:S$501,MATCH(ROW()-2,종합!$AD$3:$AD$501,0))&amp;"","")</f>
        <v/>
      </c>
      <c r="T425" s="21" t="str">
        <f aca="false">IFERROR(INDEX(종합!T$3:T$501,MATCH(ROW()-2,종합!$AD$3:$AD$501,0))&amp;"","")</f>
        <v/>
      </c>
      <c r="U425" s="21" t="str">
        <f aca="false">IFERROR(INDEX(종합!U$3:U$501,MATCH(ROW()-2,종합!$AD$3:$AD$501,0))&amp;"","")</f>
        <v/>
      </c>
      <c r="V425" s="21" t="str">
        <f aca="false">IFERROR(INDEX(종합!V$3:V$501,MATCH(ROW()-2,종합!$AD$3:$AD$501,0))&amp;"","")</f>
        <v/>
      </c>
      <c r="W425" s="21" t="str">
        <f aca="false">IFERROR(INDEX(종합!W$3:W$501,MATCH(ROW()-2,종합!$AD$3:$AD$501,0))&amp;"","")</f>
        <v/>
      </c>
      <c r="X425" s="21" t="str">
        <f aca="false">IFERROR(INDEX(종합!X$3:X$501,MATCH(ROW()-2,종합!$AD$3:$AD$501,0))&amp;"","")</f>
        <v/>
      </c>
      <c r="Y425" s="21" t="str">
        <f aca="false">IFERROR(INDEX(종합!Y$3:Y$501,MATCH(ROW()-2,종합!$AD$3:$AD$501,0))&amp;"","")</f>
        <v/>
      </c>
      <c r="Z425" s="21" t="str">
        <f aca="false">IFERROR(INDEX(종합!Z$3:Z$501,MATCH(ROW()-2,종합!$AD$3:$AD$501,0))&amp;"","")</f>
        <v/>
      </c>
      <c r="AA425" s="23" t="str">
        <f aca="false">IFERROR(INDEX(종합!AA$3:AA$501,MATCH(ROW()-2,종합!$AD$3:$AD$501,0))&amp;"","")</f>
        <v/>
      </c>
    </row>
    <row r="426" customFormat="false" ht="16.5" hidden="false" customHeight="true" outlineLevel="0" collapsed="false">
      <c r="A426" s="18" t="str">
        <f aca="false">IF(B426="","",ROW()-2)</f>
        <v/>
      </c>
      <c r="B426" s="18" t="str">
        <f aca="false">IFERROR(INDEX(종합!B$3:B$501,MATCH(ROW()-2,종합!$AD$3:$AD$501,0))&amp;"","")</f>
        <v/>
      </c>
      <c r="C426" s="18" t="str">
        <f aca="false">IFERROR(INDEX(종합!C$3:C$501,MATCH(ROW()-2,종합!$AD$3:$AD$501,0))&amp;"","")</f>
        <v/>
      </c>
      <c r="D426" s="18" t="str">
        <f aca="false">IFERROR(INDEX(종합!D$3:D$501,MATCH(ROW()-2,종합!$AD$3:$AD$501,0))&amp;"","")</f>
        <v/>
      </c>
      <c r="E426" s="18" t="str">
        <f aca="false">IFERROR(INDEX(종합!E$3:E$501,MATCH(ROW()-2,종합!$AD$3:$AD$501,0))&amp;"","")</f>
        <v/>
      </c>
      <c r="F426" s="18" t="str">
        <f aca="false">IFERROR(INDEX(종합!F$3:F$501,MATCH(ROW()-2,종합!$AD$3:$AD$501,0))&amp;"","")</f>
        <v/>
      </c>
      <c r="G426" s="18" t="str">
        <f aca="false">IFERROR(INDEX(종합!G$3:G$501,MATCH(ROW()-2,종합!$AD$3:$AD$501,0))&amp;"","")</f>
        <v/>
      </c>
      <c r="H426" s="21" t="str">
        <f aca="false">IFERROR(INDEX(종합!H$3:H$501,MATCH(ROW()-2,종합!$AD$3:$AD$501,0))&amp;"","")</f>
        <v/>
      </c>
      <c r="I426" s="21" t="str">
        <f aca="false">IFERROR(INDEX(종합!I$3:I$501,MATCH(ROW()-2,종합!$AD$3:$AD$501,0))&amp;"","")</f>
        <v/>
      </c>
      <c r="J426" s="21" t="str">
        <f aca="false">IFERROR(INDEX(종합!J$3:J$501,MATCH(ROW()-2,종합!$AD$3:$AD$501,0))&amp;"","")</f>
        <v/>
      </c>
      <c r="K426" s="21" t="str">
        <f aca="false">IFERROR(INDEX(종합!K$3:K$501,MATCH(ROW()-2,종합!$AD$3:$AD$501,0))&amp;"","")</f>
        <v/>
      </c>
      <c r="L426" s="21" t="str">
        <f aca="false">IFERROR(INDEX(종합!L$3:L$501,MATCH(ROW()-2,종합!$AD$3:$AD$501,0))&amp;"","")</f>
        <v/>
      </c>
      <c r="M426" s="21" t="str">
        <f aca="false">IFERROR(INDEX(종합!M$3:M$501,MATCH(ROW()-2,종합!$AD$3:$AD$501,0))&amp;"","")</f>
        <v/>
      </c>
      <c r="N426" s="25" t="str">
        <f aca="false">IFERROR(INDEX(종합!N$3:N$501,MATCH(ROW()-2,종합!$AD$3:$AD$501,0))&amp;"","")</f>
        <v/>
      </c>
      <c r="O426" s="21" t="str">
        <f aca="false">IFERROR(INDEX(종합!O$3:O$501,MATCH(ROW()-2,종합!$AD$3:$AD$501,0))&amp;"","")</f>
        <v/>
      </c>
      <c r="P426" s="21" t="str">
        <f aca="false">IFERROR(INDEX(종합!P$3:P$501,MATCH(ROW()-2,종합!$AD$3:$AD$501,0))&amp;"","")</f>
        <v/>
      </c>
      <c r="Q426" s="21" t="str">
        <f aca="false">IFERROR(INDEX(종합!Q$3:Q$501,MATCH(ROW()-2,종합!$AD$3:$AD$501,0))&amp;"","")</f>
        <v/>
      </c>
      <c r="R426" s="21" t="str">
        <f aca="false">IFERROR(INDEX(종합!R$3:R$501,MATCH(ROW()-2,종합!$AD$3:$AD$501,0))&amp;"","")</f>
        <v/>
      </c>
      <c r="S426" s="21" t="str">
        <f aca="false">IFERROR(INDEX(종합!S$3:S$501,MATCH(ROW()-2,종합!$AD$3:$AD$501,0))&amp;"","")</f>
        <v/>
      </c>
      <c r="T426" s="21" t="str">
        <f aca="false">IFERROR(INDEX(종합!T$3:T$501,MATCH(ROW()-2,종합!$AD$3:$AD$501,0))&amp;"","")</f>
        <v/>
      </c>
      <c r="U426" s="21" t="str">
        <f aca="false">IFERROR(INDEX(종합!U$3:U$501,MATCH(ROW()-2,종합!$AD$3:$AD$501,0))&amp;"","")</f>
        <v/>
      </c>
      <c r="V426" s="21" t="str">
        <f aca="false">IFERROR(INDEX(종합!V$3:V$501,MATCH(ROW()-2,종합!$AD$3:$AD$501,0))&amp;"","")</f>
        <v/>
      </c>
      <c r="W426" s="21" t="str">
        <f aca="false">IFERROR(INDEX(종합!W$3:W$501,MATCH(ROW()-2,종합!$AD$3:$AD$501,0))&amp;"","")</f>
        <v/>
      </c>
      <c r="X426" s="21" t="str">
        <f aca="false">IFERROR(INDEX(종합!X$3:X$501,MATCH(ROW()-2,종합!$AD$3:$AD$501,0))&amp;"","")</f>
        <v/>
      </c>
      <c r="Y426" s="21" t="str">
        <f aca="false">IFERROR(INDEX(종합!Y$3:Y$501,MATCH(ROW()-2,종합!$AD$3:$AD$501,0))&amp;"","")</f>
        <v/>
      </c>
      <c r="Z426" s="21" t="str">
        <f aca="false">IFERROR(INDEX(종합!Z$3:Z$501,MATCH(ROW()-2,종합!$AD$3:$AD$501,0))&amp;"","")</f>
        <v/>
      </c>
      <c r="AA426" s="23" t="str">
        <f aca="false">IFERROR(INDEX(종합!AA$3:AA$501,MATCH(ROW()-2,종합!$AD$3:$AD$501,0))&amp;"","")</f>
        <v/>
      </c>
    </row>
    <row r="427" customFormat="false" ht="16.5" hidden="false" customHeight="true" outlineLevel="0" collapsed="false">
      <c r="A427" s="18" t="str">
        <f aca="false">IF(B427="","",ROW()-2)</f>
        <v/>
      </c>
      <c r="B427" s="18" t="str">
        <f aca="false">IFERROR(INDEX(종합!B$3:B$501,MATCH(ROW()-2,종합!$AD$3:$AD$501,0))&amp;"","")</f>
        <v/>
      </c>
      <c r="C427" s="18" t="str">
        <f aca="false">IFERROR(INDEX(종합!C$3:C$501,MATCH(ROW()-2,종합!$AD$3:$AD$501,0))&amp;"","")</f>
        <v/>
      </c>
      <c r="D427" s="18" t="str">
        <f aca="false">IFERROR(INDEX(종합!D$3:D$501,MATCH(ROW()-2,종합!$AD$3:$AD$501,0))&amp;"","")</f>
        <v/>
      </c>
      <c r="E427" s="18" t="str">
        <f aca="false">IFERROR(INDEX(종합!E$3:E$501,MATCH(ROW()-2,종합!$AD$3:$AD$501,0))&amp;"","")</f>
        <v/>
      </c>
      <c r="F427" s="18" t="str">
        <f aca="false">IFERROR(INDEX(종합!F$3:F$501,MATCH(ROW()-2,종합!$AD$3:$AD$501,0))&amp;"","")</f>
        <v/>
      </c>
      <c r="G427" s="18" t="str">
        <f aca="false">IFERROR(INDEX(종합!G$3:G$501,MATCH(ROW()-2,종합!$AD$3:$AD$501,0))&amp;"","")</f>
        <v/>
      </c>
      <c r="H427" s="21" t="str">
        <f aca="false">IFERROR(INDEX(종합!H$3:H$501,MATCH(ROW()-2,종합!$AD$3:$AD$501,0))&amp;"","")</f>
        <v/>
      </c>
      <c r="I427" s="21" t="str">
        <f aca="false">IFERROR(INDEX(종합!I$3:I$501,MATCH(ROW()-2,종합!$AD$3:$AD$501,0))&amp;"","")</f>
        <v/>
      </c>
      <c r="J427" s="21" t="str">
        <f aca="false">IFERROR(INDEX(종합!J$3:J$501,MATCH(ROW()-2,종합!$AD$3:$AD$501,0))&amp;"","")</f>
        <v/>
      </c>
      <c r="K427" s="21" t="str">
        <f aca="false">IFERROR(INDEX(종합!K$3:K$501,MATCH(ROW()-2,종합!$AD$3:$AD$501,0))&amp;"","")</f>
        <v/>
      </c>
      <c r="L427" s="21" t="str">
        <f aca="false">IFERROR(INDEX(종합!L$3:L$501,MATCH(ROW()-2,종합!$AD$3:$AD$501,0))&amp;"","")</f>
        <v/>
      </c>
      <c r="M427" s="21" t="str">
        <f aca="false">IFERROR(INDEX(종합!M$3:M$501,MATCH(ROW()-2,종합!$AD$3:$AD$501,0))&amp;"","")</f>
        <v/>
      </c>
      <c r="N427" s="25" t="str">
        <f aca="false">IFERROR(INDEX(종합!N$3:N$501,MATCH(ROW()-2,종합!$AD$3:$AD$501,0))&amp;"","")</f>
        <v/>
      </c>
      <c r="O427" s="21" t="str">
        <f aca="false">IFERROR(INDEX(종합!O$3:O$501,MATCH(ROW()-2,종합!$AD$3:$AD$501,0))&amp;"","")</f>
        <v/>
      </c>
      <c r="P427" s="21" t="str">
        <f aca="false">IFERROR(INDEX(종합!P$3:P$501,MATCH(ROW()-2,종합!$AD$3:$AD$501,0))&amp;"","")</f>
        <v/>
      </c>
      <c r="Q427" s="21" t="str">
        <f aca="false">IFERROR(INDEX(종합!Q$3:Q$501,MATCH(ROW()-2,종합!$AD$3:$AD$501,0))&amp;"","")</f>
        <v/>
      </c>
      <c r="R427" s="21" t="str">
        <f aca="false">IFERROR(INDEX(종합!R$3:R$501,MATCH(ROW()-2,종합!$AD$3:$AD$501,0))&amp;"","")</f>
        <v/>
      </c>
      <c r="S427" s="21" t="str">
        <f aca="false">IFERROR(INDEX(종합!S$3:S$501,MATCH(ROW()-2,종합!$AD$3:$AD$501,0))&amp;"","")</f>
        <v/>
      </c>
      <c r="T427" s="21" t="str">
        <f aca="false">IFERROR(INDEX(종합!T$3:T$501,MATCH(ROW()-2,종합!$AD$3:$AD$501,0))&amp;"","")</f>
        <v/>
      </c>
      <c r="U427" s="21" t="str">
        <f aca="false">IFERROR(INDEX(종합!U$3:U$501,MATCH(ROW()-2,종합!$AD$3:$AD$501,0))&amp;"","")</f>
        <v/>
      </c>
      <c r="V427" s="21" t="str">
        <f aca="false">IFERROR(INDEX(종합!V$3:V$501,MATCH(ROW()-2,종합!$AD$3:$AD$501,0))&amp;"","")</f>
        <v/>
      </c>
      <c r="W427" s="21" t="str">
        <f aca="false">IFERROR(INDEX(종합!W$3:W$501,MATCH(ROW()-2,종합!$AD$3:$AD$501,0))&amp;"","")</f>
        <v/>
      </c>
      <c r="X427" s="21" t="str">
        <f aca="false">IFERROR(INDEX(종합!X$3:X$501,MATCH(ROW()-2,종합!$AD$3:$AD$501,0))&amp;"","")</f>
        <v/>
      </c>
      <c r="Y427" s="21" t="str">
        <f aca="false">IFERROR(INDEX(종합!Y$3:Y$501,MATCH(ROW()-2,종합!$AD$3:$AD$501,0))&amp;"","")</f>
        <v/>
      </c>
      <c r="Z427" s="21" t="str">
        <f aca="false">IFERROR(INDEX(종합!Z$3:Z$501,MATCH(ROW()-2,종합!$AD$3:$AD$501,0))&amp;"","")</f>
        <v/>
      </c>
      <c r="AA427" s="23" t="str">
        <f aca="false">IFERROR(INDEX(종합!AA$3:AA$501,MATCH(ROW()-2,종합!$AD$3:$AD$501,0))&amp;"","")</f>
        <v/>
      </c>
    </row>
    <row r="428" customFormat="false" ht="16.5" hidden="false" customHeight="true" outlineLevel="0" collapsed="false">
      <c r="A428" s="18" t="str">
        <f aca="false">IF(B428="","",ROW()-2)</f>
        <v/>
      </c>
      <c r="B428" s="18" t="str">
        <f aca="false">IFERROR(INDEX(종합!B$3:B$501,MATCH(ROW()-2,종합!$AD$3:$AD$501,0))&amp;"","")</f>
        <v/>
      </c>
      <c r="C428" s="18" t="str">
        <f aca="false">IFERROR(INDEX(종합!C$3:C$501,MATCH(ROW()-2,종합!$AD$3:$AD$501,0))&amp;"","")</f>
        <v/>
      </c>
      <c r="D428" s="18" t="str">
        <f aca="false">IFERROR(INDEX(종합!D$3:D$501,MATCH(ROW()-2,종합!$AD$3:$AD$501,0))&amp;"","")</f>
        <v/>
      </c>
      <c r="E428" s="18" t="str">
        <f aca="false">IFERROR(INDEX(종합!E$3:E$501,MATCH(ROW()-2,종합!$AD$3:$AD$501,0))&amp;"","")</f>
        <v/>
      </c>
      <c r="F428" s="18" t="str">
        <f aca="false">IFERROR(INDEX(종합!F$3:F$501,MATCH(ROW()-2,종합!$AD$3:$AD$501,0))&amp;"","")</f>
        <v/>
      </c>
      <c r="G428" s="18" t="str">
        <f aca="false">IFERROR(INDEX(종합!G$3:G$501,MATCH(ROW()-2,종합!$AD$3:$AD$501,0))&amp;"","")</f>
        <v/>
      </c>
      <c r="H428" s="21" t="str">
        <f aca="false">IFERROR(INDEX(종합!H$3:H$501,MATCH(ROW()-2,종합!$AD$3:$AD$501,0))&amp;"","")</f>
        <v/>
      </c>
      <c r="I428" s="21" t="str">
        <f aca="false">IFERROR(INDEX(종합!I$3:I$501,MATCH(ROW()-2,종합!$AD$3:$AD$501,0))&amp;"","")</f>
        <v/>
      </c>
      <c r="J428" s="21" t="str">
        <f aca="false">IFERROR(INDEX(종합!J$3:J$501,MATCH(ROW()-2,종합!$AD$3:$AD$501,0))&amp;"","")</f>
        <v/>
      </c>
      <c r="K428" s="21" t="str">
        <f aca="false">IFERROR(INDEX(종합!K$3:K$501,MATCH(ROW()-2,종합!$AD$3:$AD$501,0))&amp;"","")</f>
        <v/>
      </c>
      <c r="L428" s="21" t="str">
        <f aca="false">IFERROR(INDEX(종합!L$3:L$501,MATCH(ROW()-2,종합!$AD$3:$AD$501,0))&amp;"","")</f>
        <v/>
      </c>
      <c r="M428" s="21" t="str">
        <f aca="false">IFERROR(INDEX(종합!M$3:M$501,MATCH(ROW()-2,종합!$AD$3:$AD$501,0))&amp;"","")</f>
        <v/>
      </c>
      <c r="N428" s="25" t="str">
        <f aca="false">IFERROR(INDEX(종합!N$3:N$501,MATCH(ROW()-2,종합!$AD$3:$AD$501,0))&amp;"","")</f>
        <v/>
      </c>
      <c r="O428" s="21" t="str">
        <f aca="false">IFERROR(INDEX(종합!O$3:O$501,MATCH(ROW()-2,종합!$AD$3:$AD$501,0))&amp;"","")</f>
        <v/>
      </c>
      <c r="P428" s="21" t="str">
        <f aca="false">IFERROR(INDEX(종합!P$3:P$501,MATCH(ROW()-2,종합!$AD$3:$AD$501,0))&amp;"","")</f>
        <v/>
      </c>
      <c r="Q428" s="21" t="str">
        <f aca="false">IFERROR(INDEX(종합!Q$3:Q$501,MATCH(ROW()-2,종합!$AD$3:$AD$501,0))&amp;"","")</f>
        <v/>
      </c>
      <c r="R428" s="21" t="str">
        <f aca="false">IFERROR(INDEX(종합!R$3:R$501,MATCH(ROW()-2,종합!$AD$3:$AD$501,0))&amp;"","")</f>
        <v/>
      </c>
      <c r="S428" s="21" t="str">
        <f aca="false">IFERROR(INDEX(종합!S$3:S$501,MATCH(ROW()-2,종합!$AD$3:$AD$501,0))&amp;"","")</f>
        <v/>
      </c>
      <c r="T428" s="21" t="str">
        <f aca="false">IFERROR(INDEX(종합!T$3:T$501,MATCH(ROW()-2,종합!$AD$3:$AD$501,0))&amp;"","")</f>
        <v/>
      </c>
      <c r="U428" s="21" t="str">
        <f aca="false">IFERROR(INDEX(종합!U$3:U$501,MATCH(ROW()-2,종합!$AD$3:$AD$501,0))&amp;"","")</f>
        <v/>
      </c>
      <c r="V428" s="21" t="str">
        <f aca="false">IFERROR(INDEX(종합!V$3:V$501,MATCH(ROW()-2,종합!$AD$3:$AD$501,0))&amp;"","")</f>
        <v/>
      </c>
      <c r="W428" s="21" t="str">
        <f aca="false">IFERROR(INDEX(종합!W$3:W$501,MATCH(ROW()-2,종합!$AD$3:$AD$501,0))&amp;"","")</f>
        <v/>
      </c>
      <c r="X428" s="21" t="str">
        <f aca="false">IFERROR(INDEX(종합!X$3:X$501,MATCH(ROW()-2,종합!$AD$3:$AD$501,0))&amp;"","")</f>
        <v/>
      </c>
      <c r="Y428" s="21" t="str">
        <f aca="false">IFERROR(INDEX(종합!Y$3:Y$501,MATCH(ROW()-2,종합!$AD$3:$AD$501,0))&amp;"","")</f>
        <v/>
      </c>
      <c r="Z428" s="21" t="str">
        <f aca="false">IFERROR(INDEX(종합!Z$3:Z$501,MATCH(ROW()-2,종합!$AD$3:$AD$501,0))&amp;"","")</f>
        <v/>
      </c>
      <c r="AA428" s="23" t="str">
        <f aca="false">IFERROR(INDEX(종합!AA$3:AA$501,MATCH(ROW()-2,종합!$AD$3:$AD$501,0))&amp;"","")</f>
        <v/>
      </c>
    </row>
    <row r="429" customFormat="false" ht="16.5" hidden="false" customHeight="true" outlineLevel="0" collapsed="false">
      <c r="A429" s="18" t="str">
        <f aca="false">IF(B429="","",ROW()-2)</f>
        <v/>
      </c>
      <c r="B429" s="18" t="str">
        <f aca="false">IFERROR(INDEX(종합!B$3:B$501,MATCH(ROW()-2,종합!$AD$3:$AD$501,0))&amp;"","")</f>
        <v/>
      </c>
      <c r="C429" s="18" t="str">
        <f aca="false">IFERROR(INDEX(종합!C$3:C$501,MATCH(ROW()-2,종합!$AD$3:$AD$501,0))&amp;"","")</f>
        <v/>
      </c>
      <c r="D429" s="18" t="str">
        <f aca="false">IFERROR(INDEX(종합!D$3:D$501,MATCH(ROW()-2,종합!$AD$3:$AD$501,0))&amp;"","")</f>
        <v/>
      </c>
      <c r="E429" s="18" t="str">
        <f aca="false">IFERROR(INDEX(종합!E$3:E$501,MATCH(ROW()-2,종합!$AD$3:$AD$501,0))&amp;"","")</f>
        <v/>
      </c>
      <c r="F429" s="18" t="str">
        <f aca="false">IFERROR(INDEX(종합!F$3:F$501,MATCH(ROW()-2,종합!$AD$3:$AD$501,0))&amp;"","")</f>
        <v/>
      </c>
      <c r="G429" s="18" t="str">
        <f aca="false">IFERROR(INDEX(종합!G$3:G$501,MATCH(ROW()-2,종합!$AD$3:$AD$501,0))&amp;"","")</f>
        <v/>
      </c>
      <c r="H429" s="21" t="str">
        <f aca="false">IFERROR(INDEX(종합!H$3:H$501,MATCH(ROW()-2,종합!$AD$3:$AD$501,0))&amp;"","")</f>
        <v/>
      </c>
      <c r="I429" s="21" t="str">
        <f aca="false">IFERROR(INDEX(종합!I$3:I$501,MATCH(ROW()-2,종합!$AD$3:$AD$501,0))&amp;"","")</f>
        <v/>
      </c>
      <c r="J429" s="21" t="str">
        <f aca="false">IFERROR(INDEX(종합!J$3:J$501,MATCH(ROW()-2,종합!$AD$3:$AD$501,0))&amp;"","")</f>
        <v/>
      </c>
      <c r="K429" s="21" t="str">
        <f aca="false">IFERROR(INDEX(종합!K$3:K$501,MATCH(ROW()-2,종합!$AD$3:$AD$501,0))&amp;"","")</f>
        <v/>
      </c>
      <c r="L429" s="21" t="str">
        <f aca="false">IFERROR(INDEX(종합!L$3:L$501,MATCH(ROW()-2,종합!$AD$3:$AD$501,0))&amp;"","")</f>
        <v/>
      </c>
      <c r="M429" s="21" t="str">
        <f aca="false">IFERROR(INDEX(종합!M$3:M$501,MATCH(ROW()-2,종합!$AD$3:$AD$501,0))&amp;"","")</f>
        <v/>
      </c>
      <c r="N429" s="25" t="str">
        <f aca="false">IFERROR(INDEX(종합!N$3:N$501,MATCH(ROW()-2,종합!$AD$3:$AD$501,0))&amp;"","")</f>
        <v/>
      </c>
      <c r="O429" s="21" t="str">
        <f aca="false">IFERROR(INDEX(종합!O$3:O$501,MATCH(ROW()-2,종합!$AD$3:$AD$501,0))&amp;"","")</f>
        <v/>
      </c>
      <c r="P429" s="21" t="str">
        <f aca="false">IFERROR(INDEX(종합!P$3:P$501,MATCH(ROW()-2,종합!$AD$3:$AD$501,0))&amp;"","")</f>
        <v/>
      </c>
      <c r="Q429" s="21" t="str">
        <f aca="false">IFERROR(INDEX(종합!Q$3:Q$501,MATCH(ROW()-2,종합!$AD$3:$AD$501,0))&amp;"","")</f>
        <v/>
      </c>
      <c r="R429" s="21" t="str">
        <f aca="false">IFERROR(INDEX(종합!R$3:R$501,MATCH(ROW()-2,종합!$AD$3:$AD$501,0))&amp;"","")</f>
        <v/>
      </c>
      <c r="S429" s="21" t="str">
        <f aca="false">IFERROR(INDEX(종합!S$3:S$501,MATCH(ROW()-2,종합!$AD$3:$AD$501,0))&amp;"","")</f>
        <v/>
      </c>
      <c r="T429" s="21" t="str">
        <f aca="false">IFERROR(INDEX(종합!T$3:T$501,MATCH(ROW()-2,종합!$AD$3:$AD$501,0))&amp;"","")</f>
        <v/>
      </c>
      <c r="U429" s="21" t="str">
        <f aca="false">IFERROR(INDEX(종합!U$3:U$501,MATCH(ROW()-2,종합!$AD$3:$AD$501,0))&amp;"","")</f>
        <v/>
      </c>
      <c r="V429" s="21" t="str">
        <f aca="false">IFERROR(INDEX(종합!V$3:V$501,MATCH(ROW()-2,종합!$AD$3:$AD$501,0))&amp;"","")</f>
        <v/>
      </c>
      <c r="W429" s="21" t="str">
        <f aca="false">IFERROR(INDEX(종합!W$3:W$501,MATCH(ROW()-2,종합!$AD$3:$AD$501,0))&amp;"","")</f>
        <v/>
      </c>
      <c r="X429" s="21" t="str">
        <f aca="false">IFERROR(INDEX(종합!X$3:X$501,MATCH(ROW()-2,종합!$AD$3:$AD$501,0))&amp;"","")</f>
        <v/>
      </c>
      <c r="Y429" s="21" t="str">
        <f aca="false">IFERROR(INDEX(종합!Y$3:Y$501,MATCH(ROW()-2,종합!$AD$3:$AD$501,0))&amp;"","")</f>
        <v/>
      </c>
      <c r="Z429" s="21" t="str">
        <f aca="false">IFERROR(INDEX(종합!Z$3:Z$501,MATCH(ROW()-2,종합!$AD$3:$AD$501,0))&amp;"","")</f>
        <v/>
      </c>
      <c r="AA429" s="23" t="str">
        <f aca="false">IFERROR(INDEX(종합!AA$3:AA$501,MATCH(ROW()-2,종합!$AD$3:$AD$501,0))&amp;"","")</f>
        <v/>
      </c>
    </row>
    <row r="430" customFormat="false" ht="16.5" hidden="false" customHeight="true" outlineLevel="0" collapsed="false">
      <c r="A430" s="18" t="str">
        <f aca="false">IF(B430="","",ROW()-2)</f>
        <v/>
      </c>
      <c r="B430" s="18" t="str">
        <f aca="false">IFERROR(INDEX(종합!B$3:B$501,MATCH(ROW()-2,종합!$AD$3:$AD$501,0))&amp;"","")</f>
        <v/>
      </c>
      <c r="C430" s="18" t="str">
        <f aca="false">IFERROR(INDEX(종합!C$3:C$501,MATCH(ROW()-2,종합!$AD$3:$AD$501,0))&amp;"","")</f>
        <v/>
      </c>
      <c r="D430" s="18" t="str">
        <f aca="false">IFERROR(INDEX(종합!D$3:D$501,MATCH(ROW()-2,종합!$AD$3:$AD$501,0))&amp;"","")</f>
        <v/>
      </c>
      <c r="E430" s="18" t="str">
        <f aca="false">IFERROR(INDEX(종합!E$3:E$501,MATCH(ROW()-2,종합!$AD$3:$AD$501,0))&amp;"","")</f>
        <v/>
      </c>
      <c r="F430" s="18" t="str">
        <f aca="false">IFERROR(INDEX(종합!F$3:F$501,MATCH(ROW()-2,종합!$AD$3:$AD$501,0))&amp;"","")</f>
        <v/>
      </c>
      <c r="G430" s="18" t="str">
        <f aca="false">IFERROR(INDEX(종합!G$3:G$501,MATCH(ROW()-2,종합!$AD$3:$AD$501,0))&amp;"","")</f>
        <v/>
      </c>
      <c r="H430" s="21" t="str">
        <f aca="false">IFERROR(INDEX(종합!H$3:H$501,MATCH(ROW()-2,종합!$AD$3:$AD$501,0))&amp;"","")</f>
        <v/>
      </c>
      <c r="I430" s="21" t="str">
        <f aca="false">IFERROR(INDEX(종합!I$3:I$501,MATCH(ROW()-2,종합!$AD$3:$AD$501,0))&amp;"","")</f>
        <v/>
      </c>
      <c r="J430" s="21" t="str">
        <f aca="false">IFERROR(INDEX(종합!J$3:J$501,MATCH(ROW()-2,종합!$AD$3:$AD$501,0))&amp;"","")</f>
        <v/>
      </c>
      <c r="K430" s="21" t="str">
        <f aca="false">IFERROR(INDEX(종합!K$3:K$501,MATCH(ROW()-2,종합!$AD$3:$AD$501,0))&amp;"","")</f>
        <v/>
      </c>
      <c r="L430" s="21" t="str">
        <f aca="false">IFERROR(INDEX(종합!L$3:L$501,MATCH(ROW()-2,종합!$AD$3:$AD$501,0))&amp;"","")</f>
        <v/>
      </c>
      <c r="M430" s="21" t="str">
        <f aca="false">IFERROR(INDEX(종합!M$3:M$501,MATCH(ROW()-2,종합!$AD$3:$AD$501,0))&amp;"","")</f>
        <v/>
      </c>
      <c r="N430" s="25" t="str">
        <f aca="false">IFERROR(INDEX(종합!N$3:N$501,MATCH(ROW()-2,종합!$AD$3:$AD$501,0))&amp;"","")</f>
        <v/>
      </c>
      <c r="O430" s="21" t="str">
        <f aca="false">IFERROR(INDEX(종합!O$3:O$501,MATCH(ROW()-2,종합!$AD$3:$AD$501,0))&amp;"","")</f>
        <v/>
      </c>
      <c r="P430" s="21" t="str">
        <f aca="false">IFERROR(INDEX(종합!P$3:P$501,MATCH(ROW()-2,종합!$AD$3:$AD$501,0))&amp;"","")</f>
        <v/>
      </c>
      <c r="Q430" s="21" t="str">
        <f aca="false">IFERROR(INDEX(종합!Q$3:Q$501,MATCH(ROW()-2,종합!$AD$3:$AD$501,0))&amp;"","")</f>
        <v/>
      </c>
      <c r="R430" s="21" t="str">
        <f aca="false">IFERROR(INDEX(종합!R$3:R$501,MATCH(ROW()-2,종합!$AD$3:$AD$501,0))&amp;"","")</f>
        <v/>
      </c>
      <c r="S430" s="21" t="str">
        <f aca="false">IFERROR(INDEX(종합!S$3:S$501,MATCH(ROW()-2,종합!$AD$3:$AD$501,0))&amp;"","")</f>
        <v/>
      </c>
      <c r="T430" s="21" t="str">
        <f aca="false">IFERROR(INDEX(종합!T$3:T$501,MATCH(ROW()-2,종합!$AD$3:$AD$501,0))&amp;"","")</f>
        <v/>
      </c>
      <c r="U430" s="21" t="str">
        <f aca="false">IFERROR(INDEX(종합!U$3:U$501,MATCH(ROW()-2,종합!$AD$3:$AD$501,0))&amp;"","")</f>
        <v/>
      </c>
      <c r="V430" s="21" t="str">
        <f aca="false">IFERROR(INDEX(종합!V$3:V$501,MATCH(ROW()-2,종합!$AD$3:$AD$501,0))&amp;"","")</f>
        <v/>
      </c>
      <c r="W430" s="21" t="str">
        <f aca="false">IFERROR(INDEX(종합!W$3:W$501,MATCH(ROW()-2,종합!$AD$3:$AD$501,0))&amp;"","")</f>
        <v/>
      </c>
      <c r="X430" s="21" t="str">
        <f aca="false">IFERROR(INDEX(종합!X$3:X$501,MATCH(ROW()-2,종합!$AD$3:$AD$501,0))&amp;"","")</f>
        <v/>
      </c>
      <c r="Y430" s="21" t="str">
        <f aca="false">IFERROR(INDEX(종합!Y$3:Y$501,MATCH(ROW()-2,종합!$AD$3:$AD$501,0))&amp;"","")</f>
        <v/>
      </c>
      <c r="Z430" s="21" t="str">
        <f aca="false">IFERROR(INDEX(종합!Z$3:Z$501,MATCH(ROW()-2,종합!$AD$3:$AD$501,0))&amp;"","")</f>
        <v/>
      </c>
      <c r="AA430" s="23" t="str">
        <f aca="false">IFERROR(INDEX(종합!AA$3:AA$501,MATCH(ROW()-2,종합!$AD$3:$AD$501,0))&amp;"","")</f>
        <v/>
      </c>
    </row>
    <row r="431" customFormat="false" ht="16.5" hidden="false" customHeight="true" outlineLevel="0" collapsed="false">
      <c r="A431" s="18" t="str">
        <f aca="false">IF(B431="","",ROW()-2)</f>
        <v/>
      </c>
      <c r="B431" s="18" t="str">
        <f aca="false">IFERROR(INDEX(종합!B$3:B$501,MATCH(ROW()-2,종합!$AD$3:$AD$501,0))&amp;"","")</f>
        <v/>
      </c>
      <c r="C431" s="18" t="str">
        <f aca="false">IFERROR(INDEX(종합!C$3:C$501,MATCH(ROW()-2,종합!$AD$3:$AD$501,0))&amp;"","")</f>
        <v/>
      </c>
      <c r="D431" s="18" t="str">
        <f aca="false">IFERROR(INDEX(종합!D$3:D$501,MATCH(ROW()-2,종합!$AD$3:$AD$501,0))&amp;"","")</f>
        <v/>
      </c>
      <c r="E431" s="18" t="str">
        <f aca="false">IFERROR(INDEX(종합!E$3:E$501,MATCH(ROW()-2,종합!$AD$3:$AD$501,0))&amp;"","")</f>
        <v/>
      </c>
      <c r="F431" s="18" t="str">
        <f aca="false">IFERROR(INDEX(종합!F$3:F$501,MATCH(ROW()-2,종합!$AD$3:$AD$501,0))&amp;"","")</f>
        <v/>
      </c>
      <c r="G431" s="18" t="str">
        <f aca="false">IFERROR(INDEX(종합!G$3:G$501,MATCH(ROW()-2,종합!$AD$3:$AD$501,0))&amp;"","")</f>
        <v/>
      </c>
      <c r="H431" s="21" t="str">
        <f aca="false">IFERROR(INDEX(종합!H$3:H$501,MATCH(ROW()-2,종합!$AD$3:$AD$501,0))&amp;"","")</f>
        <v/>
      </c>
      <c r="I431" s="21" t="str">
        <f aca="false">IFERROR(INDEX(종합!I$3:I$501,MATCH(ROW()-2,종합!$AD$3:$AD$501,0))&amp;"","")</f>
        <v/>
      </c>
      <c r="J431" s="21" t="str">
        <f aca="false">IFERROR(INDEX(종합!J$3:J$501,MATCH(ROW()-2,종합!$AD$3:$AD$501,0))&amp;"","")</f>
        <v/>
      </c>
      <c r="K431" s="21" t="str">
        <f aca="false">IFERROR(INDEX(종합!K$3:K$501,MATCH(ROW()-2,종합!$AD$3:$AD$501,0))&amp;"","")</f>
        <v/>
      </c>
      <c r="L431" s="21" t="str">
        <f aca="false">IFERROR(INDEX(종합!L$3:L$501,MATCH(ROW()-2,종합!$AD$3:$AD$501,0))&amp;"","")</f>
        <v/>
      </c>
      <c r="M431" s="21" t="str">
        <f aca="false">IFERROR(INDEX(종합!M$3:M$501,MATCH(ROW()-2,종합!$AD$3:$AD$501,0))&amp;"","")</f>
        <v/>
      </c>
      <c r="N431" s="25" t="str">
        <f aca="false">IFERROR(INDEX(종합!N$3:N$501,MATCH(ROW()-2,종합!$AD$3:$AD$501,0))&amp;"","")</f>
        <v/>
      </c>
      <c r="O431" s="21" t="str">
        <f aca="false">IFERROR(INDEX(종합!O$3:O$501,MATCH(ROW()-2,종합!$AD$3:$AD$501,0))&amp;"","")</f>
        <v/>
      </c>
      <c r="P431" s="21" t="str">
        <f aca="false">IFERROR(INDEX(종합!P$3:P$501,MATCH(ROW()-2,종합!$AD$3:$AD$501,0))&amp;"","")</f>
        <v/>
      </c>
      <c r="Q431" s="21" t="str">
        <f aca="false">IFERROR(INDEX(종합!Q$3:Q$501,MATCH(ROW()-2,종합!$AD$3:$AD$501,0))&amp;"","")</f>
        <v/>
      </c>
      <c r="R431" s="21" t="str">
        <f aca="false">IFERROR(INDEX(종합!R$3:R$501,MATCH(ROW()-2,종합!$AD$3:$AD$501,0))&amp;"","")</f>
        <v/>
      </c>
      <c r="S431" s="21" t="str">
        <f aca="false">IFERROR(INDEX(종합!S$3:S$501,MATCH(ROW()-2,종합!$AD$3:$AD$501,0))&amp;"","")</f>
        <v/>
      </c>
      <c r="T431" s="21" t="str">
        <f aca="false">IFERROR(INDEX(종합!T$3:T$501,MATCH(ROW()-2,종합!$AD$3:$AD$501,0))&amp;"","")</f>
        <v/>
      </c>
      <c r="U431" s="21" t="str">
        <f aca="false">IFERROR(INDEX(종합!U$3:U$501,MATCH(ROW()-2,종합!$AD$3:$AD$501,0))&amp;"","")</f>
        <v/>
      </c>
      <c r="V431" s="21" t="str">
        <f aca="false">IFERROR(INDEX(종합!V$3:V$501,MATCH(ROW()-2,종합!$AD$3:$AD$501,0))&amp;"","")</f>
        <v/>
      </c>
      <c r="W431" s="21" t="str">
        <f aca="false">IFERROR(INDEX(종합!W$3:W$501,MATCH(ROW()-2,종합!$AD$3:$AD$501,0))&amp;"","")</f>
        <v/>
      </c>
      <c r="X431" s="21" t="str">
        <f aca="false">IFERROR(INDEX(종합!X$3:X$501,MATCH(ROW()-2,종합!$AD$3:$AD$501,0))&amp;"","")</f>
        <v/>
      </c>
      <c r="Y431" s="21" t="str">
        <f aca="false">IFERROR(INDEX(종합!Y$3:Y$501,MATCH(ROW()-2,종합!$AD$3:$AD$501,0))&amp;"","")</f>
        <v/>
      </c>
      <c r="Z431" s="21" t="str">
        <f aca="false">IFERROR(INDEX(종합!Z$3:Z$501,MATCH(ROW()-2,종합!$AD$3:$AD$501,0))&amp;"","")</f>
        <v/>
      </c>
      <c r="AA431" s="23" t="str">
        <f aca="false">IFERROR(INDEX(종합!AA$3:AA$501,MATCH(ROW()-2,종합!$AD$3:$AD$501,0))&amp;"","")</f>
        <v/>
      </c>
    </row>
    <row r="432" customFormat="false" ht="16.5" hidden="false" customHeight="true" outlineLevel="0" collapsed="false">
      <c r="A432" s="18" t="str">
        <f aca="false">IF(B432="","",ROW()-2)</f>
        <v/>
      </c>
      <c r="B432" s="18" t="str">
        <f aca="false">IFERROR(INDEX(종합!B$3:B$501,MATCH(ROW()-2,종합!$AD$3:$AD$501,0))&amp;"","")</f>
        <v/>
      </c>
      <c r="C432" s="18" t="str">
        <f aca="false">IFERROR(INDEX(종합!C$3:C$501,MATCH(ROW()-2,종합!$AD$3:$AD$501,0))&amp;"","")</f>
        <v/>
      </c>
      <c r="D432" s="18" t="str">
        <f aca="false">IFERROR(INDEX(종합!D$3:D$501,MATCH(ROW()-2,종합!$AD$3:$AD$501,0))&amp;"","")</f>
        <v/>
      </c>
      <c r="E432" s="18" t="str">
        <f aca="false">IFERROR(INDEX(종합!E$3:E$501,MATCH(ROW()-2,종합!$AD$3:$AD$501,0))&amp;"","")</f>
        <v/>
      </c>
      <c r="F432" s="18" t="str">
        <f aca="false">IFERROR(INDEX(종합!F$3:F$501,MATCH(ROW()-2,종합!$AD$3:$AD$501,0))&amp;"","")</f>
        <v/>
      </c>
      <c r="G432" s="18" t="str">
        <f aca="false">IFERROR(INDEX(종합!G$3:G$501,MATCH(ROW()-2,종합!$AD$3:$AD$501,0))&amp;"","")</f>
        <v/>
      </c>
      <c r="H432" s="21" t="str">
        <f aca="false">IFERROR(INDEX(종합!H$3:H$501,MATCH(ROW()-2,종합!$AD$3:$AD$501,0))&amp;"","")</f>
        <v/>
      </c>
      <c r="I432" s="21" t="str">
        <f aca="false">IFERROR(INDEX(종합!I$3:I$501,MATCH(ROW()-2,종합!$AD$3:$AD$501,0))&amp;"","")</f>
        <v/>
      </c>
      <c r="J432" s="21" t="str">
        <f aca="false">IFERROR(INDEX(종합!J$3:J$501,MATCH(ROW()-2,종합!$AD$3:$AD$501,0))&amp;"","")</f>
        <v/>
      </c>
      <c r="K432" s="21" t="str">
        <f aca="false">IFERROR(INDEX(종합!K$3:K$501,MATCH(ROW()-2,종합!$AD$3:$AD$501,0))&amp;"","")</f>
        <v/>
      </c>
      <c r="L432" s="21" t="str">
        <f aca="false">IFERROR(INDEX(종합!L$3:L$501,MATCH(ROW()-2,종합!$AD$3:$AD$501,0))&amp;"","")</f>
        <v/>
      </c>
      <c r="M432" s="21" t="str">
        <f aca="false">IFERROR(INDEX(종합!M$3:M$501,MATCH(ROW()-2,종합!$AD$3:$AD$501,0))&amp;"","")</f>
        <v/>
      </c>
      <c r="N432" s="25" t="str">
        <f aca="false">IFERROR(INDEX(종합!N$3:N$501,MATCH(ROW()-2,종합!$AD$3:$AD$501,0))&amp;"","")</f>
        <v/>
      </c>
      <c r="O432" s="21" t="str">
        <f aca="false">IFERROR(INDEX(종합!O$3:O$501,MATCH(ROW()-2,종합!$AD$3:$AD$501,0))&amp;"","")</f>
        <v/>
      </c>
      <c r="P432" s="21" t="str">
        <f aca="false">IFERROR(INDEX(종합!P$3:P$501,MATCH(ROW()-2,종합!$AD$3:$AD$501,0))&amp;"","")</f>
        <v/>
      </c>
      <c r="Q432" s="21" t="str">
        <f aca="false">IFERROR(INDEX(종합!Q$3:Q$501,MATCH(ROW()-2,종합!$AD$3:$AD$501,0))&amp;"","")</f>
        <v/>
      </c>
      <c r="R432" s="21" t="str">
        <f aca="false">IFERROR(INDEX(종합!R$3:R$501,MATCH(ROW()-2,종합!$AD$3:$AD$501,0))&amp;"","")</f>
        <v/>
      </c>
      <c r="S432" s="21" t="str">
        <f aca="false">IFERROR(INDEX(종합!S$3:S$501,MATCH(ROW()-2,종합!$AD$3:$AD$501,0))&amp;"","")</f>
        <v/>
      </c>
      <c r="T432" s="21" t="str">
        <f aca="false">IFERROR(INDEX(종합!T$3:T$501,MATCH(ROW()-2,종합!$AD$3:$AD$501,0))&amp;"","")</f>
        <v/>
      </c>
      <c r="U432" s="21" t="str">
        <f aca="false">IFERROR(INDEX(종합!U$3:U$501,MATCH(ROW()-2,종합!$AD$3:$AD$501,0))&amp;"","")</f>
        <v/>
      </c>
      <c r="V432" s="21" t="str">
        <f aca="false">IFERROR(INDEX(종합!V$3:V$501,MATCH(ROW()-2,종합!$AD$3:$AD$501,0))&amp;"","")</f>
        <v/>
      </c>
      <c r="W432" s="21" t="str">
        <f aca="false">IFERROR(INDEX(종합!W$3:W$501,MATCH(ROW()-2,종합!$AD$3:$AD$501,0))&amp;"","")</f>
        <v/>
      </c>
      <c r="X432" s="21" t="str">
        <f aca="false">IFERROR(INDEX(종합!X$3:X$501,MATCH(ROW()-2,종합!$AD$3:$AD$501,0))&amp;"","")</f>
        <v/>
      </c>
      <c r="Y432" s="21" t="str">
        <f aca="false">IFERROR(INDEX(종합!Y$3:Y$501,MATCH(ROW()-2,종합!$AD$3:$AD$501,0))&amp;"","")</f>
        <v/>
      </c>
      <c r="Z432" s="21" t="str">
        <f aca="false">IFERROR(INDEX(종합!Z$3:Z$501,MATCH(ROW()-2,종합!$AD$3:$AD$501,0))&amp;"","")</f>
        <v/>
      </c>
      <c r="AA432" s="23" t="str">
        <f aca="false">IFERROR(INDEX(종합!AA$3:AA$501,MATCH(ROW()-2,종합!$AD$3:$AD$501,0))&amp;"","")</f>
        <v/>
      </c>
    </row>
    <row r="433" customFormat="false" ht="16.5" hidden="false" customHeight="true" outlineLevel="0" collapsed="false">
      <c r="A433" s="18" t="str">
        <f aca="false">IF(B433="","",ROW()-2)</f>
        <v/>
      </c>
      <c r="B433" s="18" t="str">
        <f aca="false">IFERROR(INDEX(종합!B$3:B$501,MATCH(ROW()-2,종합!$AD$3:$AD$501,0))&amp;"","")</f>
        <v/>
      </c>
      <c r="C433" s="18" t="str">
        <f aca="false">IFERROR(INDEX(종합!C$3:C$501,MATCH(ROW()-2,종합!$AD$3:$AD$501,0))&amp;"","")</f>
        <v/>
      </c>
      <c r="D433" s="18" t="str">
        <f aca="false">IFERROR(INDEX(종합!D$3:D$501,MATCH(ROW()-2,종합!$AD$3:$AD$501,0))&amp;"","")</f>
        <v/>
      </c>
      <c r="E433" s="18" t="str">
        <f aca="false">IFERROR(INDEX(종합!E$3:E$501,MATCH(ROW()-2,종합!$AD$3:$AD$501,0))&amp;"","")</f>
        <v/>
      </c>
      <c r="F433" s="18" t="str">
        <f aca="false">IFERROR(INDEX(종합!F$3:F$501,MATCH(ROW()-2,종합!$AD$3:$AD$501,0))&amp;"","")</f>
        <v/>
      </c>
      <c r="G433" s="18" t="str">
        <f aca="false">IFERROR(INDEX(종합!G$3:G$501,MATCH(ROW()-2,종합!$AD$3:$AD$501,0))&amp;"","")</f>
        <v/>
      </c>
      <c r="H433" s="21" t="str">
        <f aca="false">IFERROR(INDEX(종합!H$3:H$501,MATCH(ROW()-2,종합!$AD$3:$AD$501,0))&amp;"","")</f>
        <v/>
      </c>
      <c r="I433" s="21" t="str">
        <f aca="false">IFERROR(INDEX(종합!I$3:I$501,MATCH(ROW()-2,종합!$AD$3:$AD$501,0))&amp;"","")</f>
        <v/>
      </c>
      <c r="J433" s="21" t="str">
        <f aca="false">IFERROR(INDEX(종합!J$3:J$501,MATCH(ROW()-2,종합!$AD$3:$AD$501,0))&amp;"","")</f>
        <v/>
      </c>
      <c r="K433" s="21" t="str">
        <f aca="false">IFERROR(INDEX(종합!K$3:K$501,MATCH(ROW()-2,종합!$AD$3:$AD$501,0))&amp;"","")</f>
        <v/>
      </c>
      <c r="L433" s="21" t="str">
        <f aca="false">IFERROR(INDEX(종합!L$3:L$501,MATCH(ROW()-2,종합!$AD$3:$AD$501,0))&amp;"","")</f>
        <v/>
      </c>
      <c r="M433" s="21" t="str">
        <f aca="false">IFERROR(INDEX(종합!M$3:M$501,MATCH(ROW()-2,종합!$AD$3:$AD$501,0))&amp;"","")</f>
        <v/>
      </c>
      <c r="N433" s="25" t="str">
        <f aca="false">IFERROR(INDEX(종합!N$3:N$501,MATCH(ROW()-2,종합!$AD$3:$AD$501,0))&amp;"","")</f>
        <v/>
      </c>
      <c r="O433" s="21" t="str">
        <f aca="false">IFERROR(INDEX(종합!O$3:O$501,MATCH(ROW()-2,종합!$AD$3:$AD$501,0))&amp;"","")</f>
        <v/>
      </c>
      <c r="P433" s="21" t="str">
        <f aca="false">IFERROR(INDEX(종합!P$3:P$501,MATCH(ROW()-2,종합!$AD$3:$AD$501,0))&amp;"","")</f>
        <v/>
      </c>
      <c r="Q433" s="21" t="str">
        <f aca="false">IFERROR(INDEX(종합!Q$3:Q$501,MATCH(ROW()-2,종합!$AD$3:$AD$501,0))&amp;"","")</f>
        <v/>
      </c>
      <c r="R433" s="21" t="str">
        <f aca="false">IFERROR(INDEX(종합!R$3:R$501,MATCH(ROW()-2,종합!$AD$3:$AD$501,0))&amp;"","")</f>
        <v/>
      </c>
      <c r="S433" s="21" t="str">
        <f aca="false">IFERROR(INDEX(종합!S$3:S$501,MATCH(ROW()-2,종합!$AD$3:$AD$501,0))&amp;"","")</f>
        <v/>
      </c>
      <c r="T433" s="21" t="str">
        <f aca="false">IFERROR(INDEX(종합!T$3:T$501,MATCH(ROW()-2,종합!$AD$3:$AD$501,0))&amp;"","")</f>
        <v/>
      </c>
      <c r="U433" s="21" t="str">
        <f aca="false">IFERROR(INDEX(종합!U$3:U$501,MATCH(ROW()-2,종합!$AD$3:$AD$501,0))&amp;"","")</f>
        <v/>
      </c>
      <c r="V433" s="21" t="str">
        <f aca="false">IFERROR(INDEX(종합!V$3:V$501,MATCH(ROW()-2,종합!$AD$3:$AD$501,0))&amp;"","")</f>
        <v/>
      </c>
      <c r="W433" s="21" t="str">
        <f aca="false">IFERROR(INDEX(종합!W$3:W$501,MATCH(ROW()-2,종합!$AD$3:$AD$501,0))&amp;"","")</f>
        <v/>
      </c>
      <c r="X433" s="21" t="str">
        <f aca="false">IFERROR(INDEX(종합!X$3:X$501,MATCH(ROW()-2,종합!$AD$3:$AD$501,0))&amp;"","")</f>
        <v/>
      </c>
      <c r="Y433" s="21" t="str">
        <f aca="false">IFERROR(INDEX(종합!Y$3:Y$501,MATCH(ROW()-2,종합!$AD$3:$AD$501,0))&amp;"","")</f>
        <v/>
      </c>
      <c r="Z433" s="21" t="str">
        <f aca="false">IFERROR(INDEX(종합!Z$3:Z$501,MATCH(ROW()-2,종합!$AD$3:$AD$501,0))&amp;"","")</f>
        <v/>
      </c>
      <c r="AA433" s="23" t="str">
        <f aca="false">IFERROR(INDEX(종합!AA$3:AA$501,MATCH(ROW()-2,종합!$AD$3:$AD$501,0))&amp;"","")</f>
        <v/>
      </c>
    </row>
    <row r="434" customFormat="false" ht="16.5" hidden="false" customHeight="true" outlineLevel="0" collapsed="false">
      <c r="A434" s="18" t="str">
        <f aca="false">IF(B434="","",ROW()-2)</f>
        <v/>
      </c>
      <c r="B434" s="18" t="str">
        <f aca="false">IFERROR(INDEX(종합!B$3:B$501,MATCH(ROW()-2,종합!$AD$3:$AD$501,0))&amp;"","")</f>
        <v/>
      </c>
      <c r="C434" s="18" t="str">
        <f aca="false">IFERROR(INDEX(종합!C$3:C$501,MATCH(ROW()-2,종합!$AD$3:$AD$501,0))&amp;"","")</f>
        <v/>
      </c>
      <c r="D434" s="18" t="str">
        <f aca="false">IFERROR(INDEX(종합!D$3:D$501,MATCH(ROW()-2,종합!$AD$3:$AD$501,0))&amp;"","")</f>
        <v/>
      </c>
      <c r="E434" s="18" t="str">
        <f aca="false">IFERROR(INDEX(종합!E$3:E$501,MATCH(ROW()-2,종합!$AD$3:$AD$501,0))&amp;"","")</f>
        <v/>
      </c>
      <c r="F434" s="18" t="str">
        <f aca="false">IFERROR(INDEX(종합!F$3:F$501,MATCH(ROW()-2,종합!$AD$3:$AD$501,0))&amp;"","")</f>
        <v/>
      </c>
      <c r="G434" s="18" t="str">
        <f aca="false">IFERROR(INDEX(종합!G$3:G$501,MATCH(ROW()-2,종합!$AD$3:$AD$501,0))&amp;"","")</f>
        <v/>
      </c>
      <c r="H434" s="21" t="str">
        <f aca="false">IFERROR(INDEX(종합!H$3:H$501,MATCH(ROW()-2,종합!$AD$3:$AD$501,0))&amp;"","")</f>
        <v/>
      </c>
      <c r="I434" s="21" t="str">
        <f aca="false">IFERROR(INDEX(종합!I$3:I$501,MATCH(ROW()-2,종합!$AD$3:$AD$501,0))&amp;"","")</f>
        <v/>
      </c>
      <c r="J434" s="21" t="str">
        <f aca="false">IFERROR(INDEX(종합!J$3:J$501,MATCH(ROW()-2,종합!$AD$3:$AD$501,0))&amp;"","")</f>
        <v/>
      </c>
      <c r="K434" s="21" t="str">
        <f aca="false">IFERROR(INDEX(종합!K$3:K$501,MATCH(ROW()-2,종합!$AD$3:$AD$501,0))&amp;"","")</f>
        <v/>
      </c>
      <c r="L434" s="21" t="str">
        <f aca="false">IFERROR(INDEX(종합!L$3:L$501,MATCH(ROW()-2,종합!$AD$3:$AD$501,0))&amp;"","")</f>
        <v/>
      </c>
      <c r="M434" s="21" t="str">
        <f aca="false">IFERROR(INDEX(종합!M$3:M$501,MATCH(ROW()-2,종합!$AD$3:$AD$501,0))&amp;"","")</f>
        <v/>
      </c>
      <c r="N434" s="25" t="str">
        <f aca="false">IFERROR(INDEX(종합!N$3:N$501,MATCH(ROW()-2,종합!$AD$3:$AD$501,0))&amp;"","")</f>
        <v/>
      </c>
      <c r="O434" s="21" t="str">
        <f aca="false">IFERROR(INDEX(종합!O$3:O$501,MATCH(ROW()-2,종합!$AD$3:$AD$501,0))&amp;"","")</f>
        <v/>
      </c>
      <c r="P434" s="21" t="str">
        <f aca="false">IFERROR(INDEX(종합!P$3:P$501,MATCH(ROW()-2,종합!$AD$3:$AD$501,0))&amp;"","")</f>
        <v/>
      </c>
      <c r="Q434" s="21" t="str">
        <f aca="false">IFERROR(INDEX(종합!Q$3:Q$501,MATCH(ROW()-2,종합!$AD$3:$AD$501,0))&amp;"","")</f>
        <v/>
      </c>
      <c r="R434" s="21" t="str">
        <f aca="false">IFERROR(INDEX(종합!R$3:R$501,MATCH(ROW()-2,종합!$AD$3:$AD$501,0))&amp;"","")</f>
        <v/>
      </c>
      <c r="S434" s="21" t="str">
        <f aca="false">IFERROR(INDEX(종합!S$3:S$501,MATCH(ROW()-2,종합!$AD$3:$AD$501,0))&amp;"","")</f>
        <v/>
      </c>
      <c r="T434" s="21" t="str">
        <f aca="false">IFERROR(INDEX(종합!T$3:T$501,MATCH(ROW()-2,종합!$AD$3:$AD$501,0))&amp;"","")</f>
        <v/>
      </c>
      <c r="U434" s="21" t="str">
        <f aca="false">IFERROR(INDEX(종합!U$3:U$501,MATCH(ROW()-2,종합!$AD$3:$AD$501,0))&amp;"","")</f>
        <v/>
      </c>
      <c r="V434" s="21" t="str">
        <f aca="false">IFERROR(INDEX(종합!V$3:V$501,MATCH(ROW()-2,종합!$AD$3:$AD$501,0))&amp;"","")</f>
        <v/>
      </c>
      <c r="W434" s="21" t="str">
        <f aca="false">IFERROR(INDEX(종합!W$3:W$501,MATCH(ROW()-2,종합!$AD$3:$AD$501,0))&amp;"","")</f>
        <v/>
      </c>
      <c r="X434" s="21" t="str">
        <f aca="false">IFERROR(INDEX(종합!X$3:X$501,MATCH(ROW()-2,종합!$AD$3:$AD$501,0))&amp;"","")</f>
        <v/>
      </c>
      <c r="Y434" s="21" t="str">
        <f aca="false">IFERROR(INDEX(종합!Y$3:Y$501,MATCH(ROW()-2,종합!$AD$3:$AD$501,0))&amp;"","")</f>
        <v/>
      </c>
      <c r="Z434" s="21" t="str">
        <f aca="false">IFERROR(INDEX(종합!Z$3:Z$501,MATCH(ROW()-2,종합!$AD$3:$AD$501,0))&amp;"","")</f>
        <v/>
      </c>
      <c r="AA434" s="23" t="str">
        <f aca="false">IFERROR(INDEX(종합!AA$3:AA$501,MATCH(ROW()-2,종합!$AD$3:$AD$501,0))&amp;"","")</f>
        <v/>
      </c>
    </row>
    <row r="435" customFormat="false" ht="16.5" hidden="false" customHeight="true" outlineLevel="0" collapsed="false">
      <c r="A435" s="18" t="str">
        <f aca="false">IF(B435="","",ROW()-2)</f>
        <v/>
      </c>
      <c r="B435" s="18" t="str">
        <f aca="false">IFERROR(INDEX(종합!B$3:B$501,MATCH(ROW()-2,종합!$AD$3:$AD$501,0))&amp;"","")</f>
        <v/>
      </c>
      <c r="C435" s="18" t="str">
        <f aca="false">IFERROR(INDEX(종합!C$3:C$501,MATCH(ROW()-2,종합!$AD$3:$AD$501,0))&amp;"","")</f>
        <v/>
      </c>
      <c r="D435" s="18" t="str">
        <f aca="false">IFERROR(INDEX(종합!D$3:D$501,MATCH(ROW()-2,종합!$AD$3:$AD$501,0))&amp;"","")</f>
        <v/>
      </c>
      <c r="E435" s="18" t="str">
        <f aca="false">IFERROR(INDEX(종합!E$3:E$501,MATCH(ROW()-2,종합!$AD$3:$AD$501,0))&amp;"","")</f>
        <v/>
      </c>
      <c r="F435" s="18" t="str">
        <f aca="false">IFERROR(INDEX(종합!F$3:F$501,MATCH(ROW()-2,종합!$AD$3:$AD$501,0))&amp;"","")</f>
        <v/>
      </c>
      <c r="G435" s="18" t="str">
        <f aca="false">IFERROR(INDEX(종합!G$3:G$501,MATCH(ROW()-2,종합!$AD$3:$AD$501,0))&amp;"","")</f>
        <v/>
      </c>
      <c r="H435" s="21" t="str">
        <f aca="false">IFERROR(INDEX(종합!H$3:H$501,MATCH(ROW()-2,종합!$AD$3:$AD$501,0))&amp;"","")</f>
        <v/>
      </c>
      <c r="I435" s="21" t="str">
        <f aca="false">IFERROR(INDEX(종합!I$3:I$501,MATCH(ROW()-2,종합!$AD$3:$AD$501,0))&amp;"","")</f>
        <v/>
      </c>
      <c r="J435" s="21" t="str">
        <f aca="false">IFERROR(INDEX(종합!J$3:J$501,MATCH(ROW()-2,종합!$AD$3:$AD$501,0))&amp;"","")</f>
        <v/>
      </c>
      <c r="K435" s="21" t="str">
        <f aca="false">IFERROR(INDEX(종합!K$3:K$501,MATCH(ROW()-2,종합!$AD$3:$AD$501,0))&amp;"","")</f>
        <v/>
      </c>
      <c r="L435" s="21" t="str">
        <f aca="false">IFERROR(INDEX(종합!L$3:L$501,MATCH(ROW()-2,종합!$AD$3:$AD$501,0))&amp;"","")</f>
        <v/>
      </c>
      <c r="M435" s="21" t="str">
        <f aca="false">IFERROR(INDEX(종합!M$3:M$501,MATCH(ROW()-2,종합!$AD$3:$AD$501,0))&amp;"","")</f>
        <v/>
      </c>
      <c r="N435" s="25" t="str">
        <f aca="false">IFERROR(INDEX(종합!N$3:N$501,MATCH(ROW()-2,종합!$AD$3:$AD$501,0))&amp;"","")</f>
        <v/>
      </c>
      <c r="O435" s="21" t="str">
        <f aca="false">IFERROR(INDEX(종합!O$3:O$501,MATCH(ROW()-2,종합!$AD$3:$AD$501,0))&amp;"","")</f>
        <v/>
      </c>
      <c r="P435" s="21" t="str">
        <f aca="false">IFERROR(INDEX(종합!P$3:P$501,MATCH(ROW()-2,종합!$AD$3:$AD$501,0))&amp;"","")</f>
        <v/>
      </c>
      <c r="Q435" s="21" t="str">
        <f aca="false">IFERROR(INDEX(종합!Q$3:Q$501,MATCH(ROW()-2,종합!$AD$3:$AD$501,0))&amp;"","")</f>
        <v/>
      </c>
      <c r="R435" s="21" t="str">
        <f aca="false">IFERROR(INDEX(종합!R$3:R$501,MATCH(ROW()-2,종합!$AD$3:$AD$501,0))&amp;"","")</f>
        <v/>
      </c>
      <c r="S435" s="21" t="str">
        <f aca="false">IFERROR(INDEX(종합!S$3:S$501,MATCH(ROW()-2,종합!$AD$3:$AD$501,0))&amp;"","")</f>
        <v/>
      </c>
      <c r="T435" s="21" t="str">
        <f aca="false">IFERROR(INDEX(종합!T$3:T$501,MATCH(ROW()-2,종합!$AD$3:$AD$501,0))&amp;"","")</f>
        <v/>
      </c>
      <c r="U435" s="21" t="str">
        <f aca="false">IFERROR(INDEX(종합!U$3:U$501,MATCH(ROW()-2,종합!$AD$3:$AD$501,0))&amp;"","")</f>
        <v/>
      </c>
      <c r="V435" s="21" t="str">
        <f aca="false">IFERROR(INDEX(종합!V$3:V$501,MATCH(ROW()-2,종합!$AD$3:$AD$501,0))&amp;"","")</f>
        <v/>
      </c>
      <c r="W435" s="21" t="str">
        <f aca="false">IFERROR(INDEX(종합!W$3:W$501,MATCH(ROW()-2,종합!$AD$3:$AD$501,0))&amp;"","")</f>
        <v/>
      </c>
      <c r="X435" s="21" t="str">
        <f aca="false">IFERROR(INDEX(종합!X$3:X$501,MATCH(ROW()-2,종합!$AD$3:$AD$501,0))&amp;"","")</f>
        <v/>
      </c>
      <c r="Y435" s="21" t="str">
        <f aca="false">IFERROR(INDEX(종합!Y$3:Y$501,MATCH(ROW()-2,종합!$AD$3:$AD$501,0))&amp;"","")</f>
        <v/>
      </c>
      <c r="Z435" s="21" t="str">
        <f aca="false">IFERROR(INDEX(종합!Z$3:Z$501,MATCH(ROW()-2,종합!$AD$3:$AD$501,0))&amp;"","")</f>
        <v/>
      </c>
      <c r="AA435" s="23" t="str">
        <f aca="false">IFERROR(INDEX(종합!AA$3:AA$501,MATCH(ROW()-2,종합!$AD$3:$AD$501,0))&amp;"","")</f>
        <v/>
      </c>
    </row>
    <row r="436" customFormat="false" ht="16.5" hidden="false" customHeight="true" outlineLevel="0" collapsed="false">
      <c r="A436" s="18" t="str">
        <f aca="false">IF(B436="","",ROW()-2)</f>
        <v/>
      </c>
      <c r="B436" s="18" t="str">
        <f aca="false">IFERROR(INDEX(종합!B$3:B$501,MATCH(ROW()-2,종합!$AD$3:$AD$501,0))&amp;"","")</f>
        <v/>
      </c>
      <c r="C436" s="18" t="str">
        <f aca="false">IFERROR(INDEX(종합!C$3:C$501,MATCH(ROW()-2,종합!$AD$3:$AD$501,0))&amp;"","")</f>
        <v/>
      </c>
      <c r="D436" s="18" t="str">
        <f aca="false">IFERROR(INDEX(종합!D$3:D$501,MATCH(ROW()-2,종합!$AD$3:$AD$501,0))&amp;"","")</f>
        <v/>
      </c>
      <c r="E436" s="18" t="str">
        <f aca="false">IFERROR(INDEX(종합!E$3:E$501,MATCH(ROW()-2,종합!$AD$3:$AD$501,0))&amp;"","")</f>
        <v/>
      </c>
      <c r="F436" s="18" t="str">
        <f aca="false">IFERROR(INDEX(종합!F$3:F$501,MATCH(ROW()-2,종합!$AD$3:$AD$501,0))&amp;"","")</f>
        <v/>
      </c>
      <c r="G436" s="18" t="str">
        <f aca="false">IFERROR(INDEX(종합!G$3:G$501,MATCH(ROW()-2,종합!$AD$3:$AD$501,0))&amp;"","")</f>
        <v/>
      </c>
      <c r="H436" s="21" t="str">
        <f aca="false">IFERROR(INDEX(종합!H$3:H$501,MATCH(ROW()-2,종합!$AD$3:$AD$501,0))&amp;"","")</f>
        <v/>
      </c>
      <c r="I436" s="21" t="str">
        <f aca="false">IFERROR(INDEX(종합!I$3:I$501,MATCH(ROW()-2,종합!$AD$3:$AD$501,0))&amp;"","")</f>
        <v/>
      </c>
      <c r="J436" s="21" t="str">
        <f aca="false">IFERROR(INDEX(종합!J$3:J$501,MATCH(ROW()-2,종합!$AD$3:$AD$501,0))&amp;"","")</f>
        <v/>
      </c>
      <c r="K436" s="21" t="str">
        <f aca="false">IFERROR(INDEX(종합!K$3:K$501,MATCH(ROW()-2,종합!$AD$3:$AD$501,0))&amp;"","")</f>
        <v/>
      </c>
      <c r="L436" s="21" t="str">
        <f aca="false">IFERROR(INDEX(종합!L$3:L$501,MATCH(ROW()-2,종합!$AD$3:$AD$501,0))&amp;"","")</f>
        <v/>
      </c>
      <c r="M436" s="21" t="str">
        <f aca="false">IFERROR(INDEX(종합!M$3:M$501,MATCH(ROW()-2,종합!$AD$3:$AD$501,0))&amp;"","")</f>
        <v/>
      </c>
      <c r="N436" s="25" t="str">
        <f aca="false">IFERROR(INDEX(종합!N$3:N$501,MATCH(ROW()-2,종합!$AD$3:$AD$501,0))&amp;"","")</f>
        <v/>
      </c>
      <c r="O436" s="21" t="str">
        <f aca="false">IFERROR(INDEX(종합!O$3:O$501,MATCH(ROW()-2,종합!$AD$3:$AD$501,0))&amp;"","")</f>
        <v/>
      </c>
      <c r="P436" s="21" t="str">
        <f aca="false">IFERROR(INDEX(종합!P$3:P$501,MATCH(ROW()-2,종합!$AD$3:$AD$501,0))&amp;"","")</f>
        <v/>
      </c>
      <c r="Q436" s="21" t="str">
        <f aca="false">IFERROR(INDEX(종합!Q$3:Q$501,MATCH(ROW()-2,종합!$AD$3:$AD$501,0))&amp;"","")</f>
        <v/>
      </c>
      <c r="R436" s="21" t="str">
        <f aca="false">IFERROR(INDEX(종합!R$3:R$501,MATCH(ROW()-2,종합!$AD$3:$AD$501,0))&amp;"","")</f>
        <v/>
      </c>
      <c r="S436" s="21" t="str">
        <f aca="false">IFERROR(INDEX(종합!S$3:S$501,MATCH(ROW()-2,종합!$AD$3:$AD$501,0))&amp;"","")</f>
        <v/>
      </c>
      <c r="T436" s="21" t="str">
        <f aca="false">IFERROR(INDEX(종합!T$3:T$501,MATCH(ROW()-2,종합!$AD$3:$AD$501,0))&amp;"","")</f>
        <v/>
      </c>
      <c r="U436" s="21" t="str">
        <f aca="false">IFERROR(INDEX(종합!U$3:U$501,MATCH(ROW()-2,종합!$AD$3:$AD$501,0))&amp;"","")</f>
        <v/>
      </c>
      <c r="V436" s="21" t="str">
        <f aca="false">IFERROR(INDEX(종합!V$3:V$501,MATCH(ROW()-2,종합!$AD$3:$AD$501,0))&amp;"","")</f>
        <v/>
      </c>
      <c r="W436" s="21" t="str">
        <f aca="false">IFERROR(INDEX(종합!W$3:W$501,MATCH(ROW()-2,종합!$AD$3:$AD$501,0))&amp;"","")</f>
        <v/>
      </c>
      <c r="X436" s="21" t="str">
        <f aca="false">IFERROR(INDEX(종합!X$3:X$501,MATCH(ROW()-2,종합!$AD$3:$AD$501,0))&amp;"","")</f>
        <v/>
      </c>
      <c r="Y436" s="21" t="str">
        <f aca="false">IFERROR(INDEX(종합!Y$3:Y$501,MATCH(ROW()-2,종합!$AD$3:$AD$501,0))&amp;"","")</f>
        <v/>
      </c>
      <c r="Z436" s="21" t="str">
        <f aca="false">IFERROR(INDEX(종합!Z$3:Z$501,MATCH(ROW()-2,종합!$AD$3:$AD$501,0))&amp;"","")</f>
        <v/>
      </c>
      <c r="AA436" s="23" t="str">
        <f aca="false">IFERROR(INDEX(종합!AA$3:AA$501,MATCH(ROW()-2,종합!$AD$3:$AD$501,0))&amp;"","")</f>
        <v/>
      </c>
    </row>
    <row r="437" customFormat="false" ht="16.5" hidden="false" customHeight="true" outlineLevel="0" collapsed="false">
      <c r="A437" s="18" t="str">
        <f aca="false">IF(B437="","",ROW()-2)</f>
        <v/>
      </c>
      <c r="B437" s="18" t="str">
        <f aca="false">IFERROR(INDEX(종합!B$3:B$501,MATCH(ROW()-2,종합!$AD$3:$AD$501,0))&amp;"","")</f>
        <v/>
      </c>
      <c r="C437" s="18" t="str">
        <f aca="false">IFERROR(INDEX(종합!C$3:C$501,MATCH(ROW()-2,종합!$AD$3:$AD$501,0))&amp;"","")</f>
        <v/>
      </c>
      <c r="D437" s="18" t="str">
        <f aca="false">IFERROR(INDEX(종합!D$3:D$501,MATCH(ROW()-2,종합!$AD$3:$AD$501,0))&amp;"","")</f>
        <v/>
      </c>
      <c r="E437" s="18" t="str">
        <f aca="false">IFERROR(INDEX(종합!E$3:E$501,MATCH(ROW()-2,종합!$AD$3:$AD$501,0))&amp;"","")</f>
        <v/>
      </c>
      <c r="F437" s="18" t="str">
        <f aca="false">IFERROR(INDEX(종합!F$3:F$501,MATCH(ROW()-2,종합!$AD$3:$AD$501,0))&amp;"","")</f>
        <v/>
      </c>
      <c r="G437" s="18" t="str">
        <f aca="false">IFERROR(INDEX(종합!G$3:G$501,MATCH(ROW()-2,종합!$AD$3:$AD$501,0))&amp;"","")</f>
        <v/>
      </c>
      <c r="H437" s="21" t="str">
        <f aca="false">IFERROR(INDEX(종합!H$3:H$501,MATCH(ROW()-2,종합!$AD$3:$AD$501,0))&amp;"","")</f>
        <v/>
      </c>
      <c r="I437" s="21" t="str">
        <f aca="false">IFERROR(INDEX(종합!I$3:I$501,MATCH(ROW()-2,종합!$AD$3:$AD$501,0))&amp;"","")</f>
        <v/>
      </c>
      <c r="J437" s="21" t="str">
        <f aca="false">IFERROR(INDEX(종합!J$3:J$501,MATCH(ROW()-2,종합!$AD$3:$AD$501,0))&amp;"","")</f>
        <v/>
      </c>
      <c r="K437" s="21" t="str">
        <f aca="false">IFERROR(INDEX(종합!K$3:K$501,MATCH(ROW()-2,종합!$AD$3:$AD$501,0))&amp;"","")</f>
        <v/>
      </c>
      <c r="L437" s="21" t="str">
        <f aca="false">IFERROR(INDEX(종합!L$3:L$501,MATCH(ROW()-2,종합!$AD$3:$AD$501,0))&amp;"","")</f>
        <v/>
      </c>
      <c r="M437" s="21" t="str">
        <f aca="false">IFERROR(INDEX(종합!M$3:M$501,MATCH(ROW()-2,종합!$AD$3:$AD$501,0))&amp;"","")</f>
        <v/>
      </c>
      <c r="N437" s="25" t="str">
        <f aca="false">IFERROR(INDEX(종합!N$3:N$501,MATCH(ROW()-2,종합!$AD$3:$AD$501,0))&amp;"","")</f>
        <v/>
      </c>
      <c r="O437" s="21" t="str">
        <f aca="false">IFERROR(INDEX(종합!O$3:O$501,MATCH(ROW()-2,종합!$AD$3:$AD$501,0))&amp;"","")</f>
        <v/>
      </c>
      <c r="P437" s="21" t="str">
        <f aca="false">IFERROR(INDEX(종합!P$3:P$501,MATCH(ROW()-2,종합!$AD$3:$AD$501,0))&amp;"","")</f>
        <v/>
      </c>
      <c r="Q437" s="21" t="str">
        <f aca="false">IFERROR(INDEX(종합!Q$3:Q$501,MATCH(ROW()-2,종합!$AD$3:$AD$501,0))&amp;"","")</f>
        <v/>
      </c>
      <c r="R437" s="21" t="str">
        <f aca="false">IFERROR(INDEX(종합!R$3:R$501,MATCH(ROW()-2,종합!$AD$3:$AD$501,0))&amp;"","")</f>
        <v/>
      </c>
      <c r="S437" s="21" t="str">
        <f aca="false">IFERROR(INDEX(종합!S$3:S$501,MATCH(ROW()-2,종합!$AD$3:$AD$501,0))&amp;"","")</f>
        <v/>
      </c>
      <c r="T437" s="21" t="str">
        <f aca="false">IFERROR(INDEX(종합!T$3:T$501,MATCH(ROW()-2,종합!$AD$3:$AD$501,0))&amp;"","")</f>
        <v/>
      </c>
      <c r="U437" s="21" t="str">
        <f aca="false">IFERROR(INDEX(종합!U$3:U$501,MATCH(ROW()-2,종합!$AD$3:$AD$501,0))&amp;"","")</f>
        <v/>
      </c>
      <c r="V437" s="21" t="str">
        <f aca="false">IFERROR(INDEX(종합!V$3:V$501,MATCH(ROW()-2,종합!$AD$3:$AD$501,0))&amp;"","")</f>
        <v/>
      </c>
      <c r="W437" s="21" t="str">
        <f aca="false">IFERROR(INDEX(종합!W$3:W$501,MATCH(ROW()-2,종합!$AD$3:$AD$501,0))&amp;"","")</f>
        <v/>
      </c>
      <c r="X437" s="21" t="str">
        <f aca="false">IFERROR(INDEX(종합!X$3:X$501,MATCH(ROW()-2,종합!$AD$3:$AD$501,0))&amp;"","")</f>
        <v/>
      </c>
      <c r="Y437" s="21" t="str">
        <f aca="false">IFERROR(INDEX(종합!Y$3:Y$501,MATCH(ROW()-2,종합!$AD$3:$AD$501,0))&amp;"","")</f>
        <v/>
      </c>
      <c r="Z437" s="21" t="str">
        <f aca="false">IFERROR(INDEX(종합!Z$3:Z$501,MATCH(ROW()-2,종합!$AD$3:$AD$501,0))&amp;"","")</f>
        <v/>
      </c>
      <c r="AA437" s="23" t="str">
        <f aca="false">IFERROR(INDEX(종합!AA$3:AA$501,MATCH(ROW()-2,종합!$AD$3:$AD$501,0))&amp;"","")</f>
        <v/>
      </c>
    </row>
    <row r="438" customFormat="false" ht="16.5" hidden="false" customHeight="true" outlineLevel="0" collapsed="false">
      <c r="A438" s="18" t="str">
        <f aca="false">IF(B438="","",ROW()-2)</f>
        <v/>
      </c>
      <c r="B438" s="18" t="str">
        <f aca="false">IFERROR(INDEX(종합!B$3:B$501,MATCH(ROW()-2,종합!$AD$3:$AD$501,0))&amp;"","")</f>
        <v/>
      </c>
      <c r="C438" s="18" t="str">
        <f aca="false">IFERROR(INDEX(종합!C$3:C$501,MATCH(ROW()-2,종합!$AD$3:$AD$501,0))&amp;"","")</f>
        <v/>
      </c>
      <c r="D438" s="18" t="str">
        <f aca="false">IFERROR(INDEX(종합!D$3:D$501,MATCH(ROW()-2,종합!$AD$3:$AD$501,0))&amp;"","")</f>
        <v/>
      </c>
      <c r="E438" s="18" t="str">
        <f aca="false">IFERROR(INDEX(종합!E$3:E$501,MATCH(ROW()-2,종합!$AD$3:$AD$501,0))&amp;"","")</f>
        <v/>
      </c>
      <c r="F438" s="18" t="str">
        <f aca="false">IFERROR(INDEX(종합!F$3:F$501,MATCH(ROW()-2,종합!$AD$3:$AD$501,0))&amp;"","")</f>
        <v/>
      </c>
      <c r="G438" s="18" t="str">
        <f aca="false">IFERROR(INDEX(종합!G$3:G$501,MATCH(ROW()-2,종합!$AD$3:$AD$501,0))&amp;"","")</f>
        <v/>
      </c>
      <c r="H438" s="21" t="str">
        <f aca="false">IFERROR(INDEX(종합!H$3:H$501,MATCH(ROW()-2,종합!$AD$3:$AD$501,0))&amp;"","")</f>
        <v/>
      </c>
      <c r="I438" s="21" t="str">
        <f aca="false">IFERROR(INDEX(종합!I$3:I$501,MATCH(ROW()-2,종합!$AD$3:$AD$501,0))&amp;"","")</f>
        <v/>
      </c>
      <c r="J438" s="21" t="str">
        <f aca="false">IFERROR(INDEX(종합!J$3:J$501,MATCH(ROW()-2,종합!$AD$3:$AD$501,0))&amp;"","")</f>
        <v/>
      </c>
      <c r="K438" s="21" t="str">
        <f aca="false">IFERROR(INDEX(종합!K$3:K$501,MATCH(ROW()-2,종합!$AD$3:$AD$501,0))&amp;"","")</f>
        <v/>
      </c>
      <c r="L438" s="21" t="str">
        <f aca="false">IFERROR(INDEX(종합!L$3:L$501,MATCH(ROW()-2,종합!$AD$3:$AD$501,0))&amp;"","")</f>
        <v/>
      </c>
      <c r="M438" s="21" t="str">
        <f aca="false">IFERROR(INDEX(종합!M$3:M$501,MATCH(ROW()-2,종합!$AD$3:$AD$501,0))&amp;"","")</f>
        <v/>
      </c>
      <c r="N438" s="25" t="str">
        <f aca="false">IFERROR(INDEX(종합!N$3:N$501,MATCH(ROW()-2,종합!$AD$3:$AD$501,0))&amp;"","")</f>
        <v/>
      </c>
      <c r="O438" s="21" t="str">
        <f aca="false">IFERROR(INDEX(종합!O$3:O$501,MATCH(ROW()-2,종합!$AD$3:$AD$501,0))&amp;"","")</f>
        <v/>
      </c>
      <c r="P438" s="21" t="str">
        <f aca="false">IFERROR(INDEX(종합!P$3:P$501,MATCH(ROW()-2,종합!$AD$3:$AD$501,0))&amp;"","")</f>
        <v/>
      </c>
      <c r="Q438" s="21" t="str">
        <f aca="false">IFERROR(INDEX(종합!Q$3:Q$501,MATCH(ROW()-2,종합!$AD$3:$AD$501,0))&amp;"","")</f>
        <v/>
      </c>
      <c r="R438" s="21" t="str">
        <f aca="false">IFERROR(INDEX(종합!R$3:R$501,MATCH(ROW()-2,종합!$AD$3:$AD$501,0))&amp;"","")</f>
        <v/>
      </c>
      <c r="S438" s="21" t="str">
        <f aca="false">IFERROR(INDEX(종합!S$3:S$501,MATCH(ROW()-2,종합!$AD$3:$AD$501,0))&amp;"","")</f>
        <v/>
      </c>
      <c r="T438" s="21" t="str">
        <f aca="false">IFERROR(INDEX(종합!T$3:T$501,MATCH(ROW()-2,종합!$AD$3:$AD$501,0))&amp;"","")</f>
        <v/>
      </c>
      <c r="U438" s="21" t="str">
        <f aca="false">IFERROR(INDEX(종합!U$3:U$501,MATCH(ROW()-2,종합!$AD$3:$AD$501,0))&amp;"","")</f>
        <v/>
      </c>
      <c r="V438" s="21" t="str">
        <f aca="false">IFERROR(INDEX(종합!V$3:V$501,MATCH(ROW()-2,종합!$AD$3:$AD$501,0))&amp;"","")</f>
        <v/>
      </c>
      <c r="W438" s="21" t="str">
        <f aca="false">IFERROR(INDEX(종합!W$3:W$501,MATCH(ROW()-2,종합!$AD$3:$AD$501,0))&amp;"","")</f>
        <v/>
      </c>
      <c r="X438" s="21" t="str">
        <f aca="false">IFERROR(INDEX(종합!X$3:X$501,MATCH(ROW()-2,종합!$AD$3:$AD$501,0))&amp;"","")</f>
        <v/>
      </c>
      <c r="Y438" s="21" t="str">
        <f aca="false">IFERROR(INDEX(종합!Y$3:Y$501,MATCH(ROW()-2,종합!$AD$3:$AD$501,0))&amp;"","")</f>
        <v/>
      </c>
      <c r="Z438" s="21" t="str">
        <f aca="false">IFERROR(INDEX(종합!Z$3:Z$501,MATCH(ROW()-2,종합!$AD$3:$AD$501,0))&amp;"","")</f>
        <v/>
      </c>
      <c r="AA438" s="23" t="str">
        <f aca="false">IFERROR(INDEX(종합!AA$3:AA$501,MATCH(ROW()-2,종합!$AD$3:$AD$501,0))&amp;"","")</f>
        <v/>
      </c>
    </row>
    <row r="439" customFormat="false" ht="16.5" hidden="false" customHeight="true" outlineLevel="0" collapsed="false">
      <c r="A439" s="18" t="str">
        <f aca="false">IF(B439="","",ROW()-2)</f>
        <v/>
      </c>
      <c r="B439" s="18" t="str">
        <f aca="false">IFERROR(INDEX(종합!B$3:B$501,MATCH(ROW()-2,종합!$AD$3:$AD$501,0))&amp;"","")</f>
        <v/>
      </c>
      <c r="C439" s="18" t="str">
        <f aca="false">IFERROR(INDEX(종합!C$3:C$501,MATCH(ROW()-2,종합!$AD$3:$AD$501,0))&amp;"","")</f>
        <v/>
      </c>
      <c r="D439" s="18" t="str">
        <f aca="false">IFERROR(INDEX(종합!D$3:D$501,MATCH(ROW()-2,종합!$AD$3:$AD$501,0))&amp;"","")</f>
        <v/>
      </c>
      <c r="E439" s="18" t="str">
        <f aca="false">IFERROR(INDEX(종합!E$3:E$501,MATCH(ROW()-2,종합!$AD$3:$AD$501,0))&amp;"","")</f>
        <v/>
      </c>
      <c r="F439" s="18" t="str">
        <f aca="false">IFERROR(INDEX(종합!F$3:F$501,MATCH(ROW()-2,종합!$AD$3:$AD$501,0))&amp;"","")</f>
        <v/>
      </c>
      <c r="G439" s="18" t="str">
        <f aca="false">IFERROR(INDEX(종합!G$3:G$501,MATCH(ROW()-2,종합!$AD$3:$AD$501,0))&amp;"","")</f>
        <v/>
      </c>
      <c r="H439" s="21" t="str">
        <f aca="false">IFERROR(INDEX(종합!H$3:H$501,MATCH(ROW()-2,종합!$AD$3:$AD$501,0))&amp;"","")</f>
        <v/>
      </c>
      <c r="I439" s="21" t="str">
        <f aca="false">IFERROR(INDEX(종합!I$3:I$501,MATCH(ROW()-2,종합!$AD$3:$AD$501,0))&amp;"","")</f>
        <v/>
      </c>
      <c r="J439" s="21" t="str">
        <f aca="false">IFERROR(INDEX(종합!J$3:J$501,MATCH(ROW()-2,종합!$AD$3:$AD$501,0))&amp;"","")</f>
        <v/>
      </c>
      <c r="K439" s="21" t="str">
        <f aca="false">IFERROR(INDEX(종합!K$3:K$501,MATCH(ROW()-2,종합!$AD$3:$AD$501,0))&amp;"","")</f>
        <v/>
      </c>
      <c r="L439" s="21" t="str">
        <f aca="false">IFERROR(INDEX(종합!L$3:L$501,MATCH(ROW()-2,종합!$AD$3:$AD$501,0))&amp;"","")</f>
        <v/>
      </c>
      <c r="M439" s="21" t="str">
        <f aca="false">IFERROR(INDEX(종합!M$3:M$501,MATCH(ROW()-2,종합!$AD$3:$AD$501,0))&amp;"","")</f>
        <v/>
      </c>
      <c r="N439" s="25" t="str">
        <f aca="false">IFERROR(INDEX(종합!N$3:N$501,MATCH(ROW()-2,종합!$AD$3:$AD$501,0))&amp;"","")</f>
        <v/>
      </c>
      <c r="O439" s="21" t="str">
        <f aca="false">IFERROR(INDEX(종합!O$3:O$501,MATCH(ROW()-2,종합!$AD$3:$AD$501,0))&amp;"","")</f>
        <v/>
      </c>
      <c r="P439" s="21" t="str">
        <f aca="false">IFERROR(INDEX(종합!P$3:P$501,MATCH(ROW()-2,종합!$AD$3:$AD$501,0))&amp;"","")</f>
        <v/>
      </c>
      <c r="Q439" s="21" t="str">
        <f aca="false">IFERROR(INDEX(종합!Q$3:Q$501,MATCH(ROW()-2,종합!$AD$3:$AD$501,0))&amp;"","")</f>
        <v/>
      </c>
      <c r="R439" s="21" t="str">
        <f aca="false">IFERROR(INDEX(종합!R$3:R$501,MATCH(ROW()-2,종합!$AD$3:$AD$501,0))&amp;"","")</f>
        <v/>
      </c>
      <c r="S439" s="21" t="str">
        <f aca="false">IFERROR(INDEX(종합!S$3:S$501,MATCH(ROW()-2,종합!$AD$3:$AD$501,0))&amp;"","")</f>
        <v/>
      </c>
      <c r="T439" s="21" t="str">
        <f aca="false">IFERROR(INDEX(종합!T$3:T$501,MATCH(ROW()-2,종합!$AD$3:$AD$501,0))&amp;"","")</f>
        <v/>
      </c>
      <c r="U439" s="21" t="str">
        <f aca="false">IFERROR(INDEX(종합!U$3:U$501,MATCH(ROW()-2,종합!$AD$3:$AD$501,0))&amp;"","")</f>
        <v/>
      </c>
      <c r="V439" s="21" t="str">
        <f aca="false">IFERROR(INDEX(종합!V$3:V$501,MATCH(ROW()-2,종합!$AD$3:$AD$501,0))&amp;"","")</f>
        <v/>
      </c>
      <c r="W439" s="21" t="str">
        <f aca="false">IFERROR(INDEX(종합!W$3:W$501,MATCH(ROW()-2,종합!$AD$3:$AD$501,0))&amp;"","")</f>
        <v/>
      </c>
      <c r="X439" s="21" t="str">
        <f aca="false">IFERROR(INDEX(종합!X$3:X$501,MATCH(ROW()-2,종합!$AD$3:$AD$501,0))&amp;"","")</f>
        <v/>
      </c>
      <c r="Y439" s="21" t="str">
        <f aca="false">IFERROR(INDEX(종합!Y$3:Y$501,MATCH(ROW()-2,종합!$AD$3:$AD$501,0))&amp;"","")</f>
        <v/>
      </c>
      <c r="Z439" s="21" t="str">
        <f aca="false">IFERROR(INDEX(종합!Z$3:Z$501,MATCH(ROW()-2,종합!$AD$3:$AD$501,0))&amp;"","")</f>
        <v/>
      </c>
      <c r="AA439" s="23" t="str">
        <f aca="false">IFERROR(INDEX(종합!AA$3:AA$501,MATCH(ROW()-2,종합!$AD$3:$AD$501,0))&amp;"","")</f>
        <v/>
      </c>
    </row>
    <row r="440" customFormat="false" ht="16.5" hidden="false" customHeight="true" outlineLevel="0" collapsed="false">
      <c r="A440" s="18" t="str">
        <f aca="false">IF(B440="","",ROW()-2)</f>
        <v/>
      </c>
      <c r="B440" s="18" t="str">
        <f aca="false">IFERROR(INDEX(종합!B$3:B$501,MATCH(ROW()-2,종합!$AD$3:$AD$501,0))&amp;"","")</f>
        <v/>
      </c>
      <c r="C440" s="18" t="str">
        <f aca="false">IFERROR(INDEX(종합!C$3:C$501,MATCH(ROW()-2,종합!$AD$3:$AD$501,0))&amp;"","")</f>
        <v/>
      </c>
      <c r="D440" s="18" t="str">
        <f aca="false">IFERROR(INDEX(종합!D$3:D$501,MATCH(ROW()-2,종합!$AD$3:$AD$501,0))&amp;"","")</f>
        <v/>
      </c>
      <c r="E440" s="18" t="str">
        <f aca="false">IFERROR(INDEX(종합!E$3:E$501,MATCH(ROW()-2,종합!$AD$3:$AD$501,0))&amp;"","")</f>
        <v/>
      </c>
      <c r="F440" s="18" t="str">
        <f aca="false">IFERROR(INDEX(종합!F$3:F$501,MATCH(ROW()-2,종합!$AD$3:$AD$501,0))&amp;"","")</f>
        <v/>
      </c>
      <c r="G440" s="18" t="str">
        <f aca="false">IFERROR(INDEX(종합!G$3:G$501,MATCH(ROW()-2,종합!$AD$3:$AD$501,0))&amp;"","")</f>
        <v/>
      </c>
      <c r="H440" s="21" t="str">
        <f aca="false">IFERROR(INDEX(종합!H$3:H$501,MATCH(ROW()-2,종합!$AD$3:$AD$501,0))&amp;"","")</f>
        <v/>
      </c>
      <c r="I440" s="21" t="str">
        <f aca="false">IFERROR(INDEX(종합!I$3:I$501,MATCH(ROW()-2,종합!$AD$3:$AD$501,0))&amp;"","")</f>
        <v/>
      </c>
      <c r="J440" s="21" t="str">
        <f aca="false">IFERROR(INDEX(종합!J$3:J$501,MATCH(ROW()-2,종합!$AD$3:$AD$501,0))&amp;"","")</f>
        <v/>
      </c>
      <c r="K440" s="21" t="str">
        <f aca="false">IFERROR(INDEX(종합!K$3:K$501,MATCH(ROW()-2,종합!$AD$3:$AD$501,0))&amp;"","")</f>
        <v/>
      </c>
      <c r="L440" s="21" t="str">
        <f aca="false">IFERROR(INDEX(종합!L$3:L$501,MATCH(ROW()-2,종합!$AD$3:$AD$501,0))&amp;"","")</f>
        <v/>
      </c>
      <c r="M440" s="21" t="str">
        <f aca="false">IFERROR(INDEX(종합!M$3:M$501,MATCH(ROW()-2,종합!$AD$3:$AD$501,0))&amp;"","")</f>
        <v/>
      </c>
      <c r="N440" s="25" t="str">
        <f aca="false">IFERROR(INDEX(종합!N$3:N$501,MATCH(ROW()-2,종합!$AD$3:$AD$501,0))&amp;"","")</f>
        <v/>
      </c>
      <c r="O440" s="21" t="str">
        <f aca="false">IFERROR(INDEX(종합!O$3:O$501,MATCH(ROW()-2,종합!$AD$3:$AD$501,0))&amp;"","")</f>
        <v/>
      </c>
      <c r="P440" s="21" t="str">
        <f aca="false">IFERROR(INDEX(종합!P$3:P$501,MATCH(ROW()-2,종합!$AD$3:$AD$501,0))&amp;"","")</f>
        <v/>
      </c>
      <c r="Q440" s="21" t="str">
        <f aca="false">IFERROR(INDEX(종합!Q$3:Q$501,MATCH(ROW()-2,종합!$AD$3:$AD$501,0))&amp;"","")</f>
        <v/>
      </c>
      <c r="R440" s="21" t="str">
        <f aca="false">IFERROR(INDEX(종합!R$3:R$501,MATCH(ROW()-2,종합!$AD$3:$AD$501,0))&amp;"","")</f>
        <v/>
      </c>
      <c r="S440" s="21" t="str">
        <f aca="false">IFERROR(INDEX(종합!S$3:S$501,MATCH(ROW()-2,종합!$AD$3:$AD$501,0))&amp;"","")</f>
        <v/>
      </c>
      <c r="T440" s="21" t="str">
        <f aca="false">IFERROR(INDEX(종합!T$3:T$501,MATCH(ROW()-2,종합!$AD$3:$AD$501,0))&amp;"","")</f>
        <v/>
      </c>
      <c r="U440" s="21" t="str">
        <f aca="false">IFERROR(INDEX(종합!U$3:U$501,MATCH(ROW()-2,종합!$AD$3:$AD$501,0))&amp;"","")</f>
        <v/>
      </c>
      <c r="V440" s="21" t="str">
        <f aca="false">IFERROR(INDEX(종합!V$3:V$501,MATCH(ROW()-2,종합!$AD$3:$AD$501,0))&amp;"","")</f>
        <v/>
      </c>
      <c r="W440" s="21" t="str">
        <f aca="false">IFERROR(INDEX(종합!W$3:W$501,MATCH(ROW()-2,종합!$AD$3:$AD$501,0))&amp;"","")</f>
        <v/>
      </c>
      <c r="X440" s="21" t="str">
        <f aca="false">IFERROR(INDEX(종합!X$3:X$501,MATCH(ROW()-2,종합!$AD$3:$AD$501,0))&amp;"","")</f>
        <v/>
      </c>
      <c r="Y440" s="21" t="str">
        <f aca="false">IFERROR(INDEX(종합!Y$3:Y$501,MATCH(ROW()-2,종합!$AD$3:$AD$501,0))&amp;"","")</f>
        <v/>
      </c>
      <c r="Z440" s="21" t="str">
        <f aca="false">IFERROR(INDEX(종합!Z$3:Z$501,MATCH(ROW()-2,종합!$AD$3:$AD$501,0))&amp;"","")</f>
        <v/>
      </c>
      <c r="AA440" s="23" t="str">
        <f aca="false">IFERROR(INDEX(종합!AA$3:AA$501,MATCH(ROW()-2,종합!$AD$3:$AD$501,0))&amp;"","")</f>
        <v/>
      </c>
    </row>
    <row r="441" customFormat="false" ht="16.5" hidden="false" customHeight="true" outlineLevel="0" collapsed="false">
      <c r="A441" s="18" t="str">
        <f aca="false">IF(B441="","",ROW()-2)</f>
        <v/>
      </c>
      <c r="B441" s="18" t="str">
        <f aca="false">IFERROR(INDEX(종합!B$3:B$501,MATCH(ROW()-2,종합!$AD$3:$AD$501,0))&amp;"","")</f>
        <v/>
      </c>
      <c r="C441" s="18" t="str">
        <f aca="false">IFERROR(INDEX(종합!C$3:C$501,MATCH(ROW()-2,종합!$AD$3:$AD$501,0))&amp;"","")</f>
        <v/>
      </c>
      <c r="D441" s="18" t="str">
        <f aca="false">IFERROR(INDEX(종합!D$3:D$501,MATCH(ROW()-2,종합!$AD$3:$AD$501,0))&amp;"","")</f>
        <v/>
      </c>
      <c r="E441" s="18" t="str">
        <f aca="false">IFERROR(INDEX(종합!E$3:E$501,MATCH(ROW()-2,종합!$AD$3:$AD$501,0))&amp;"","")</f>
        <v/>
      </c>
      <c r="F441" s="18" t="str">
        <f aca="false">IFERROR(INDEX(종합!F$3:F$501,MATCH(ROW()-2,종합!$AD$3:$AD$501,0))&amp;"","")</f>
        <v/>
      </c>
      <c r="G441" s="18" t="str">
        <f aca="false">IFERROR(INDEX(종합!G$3:G$501,MATCH(ROW()-2,종합!$AD$3:$AD$501,0))&amp;"","")</f>
        <v/>
      </c>
      <c r="H441" s="21" t="str">
        <f aca="false">IFERROR(INDEX(종합!H$3:H$501,MATCH(ROW()-2,종합!$AD$3:$AD$501,0))&amp;"","")</f>
        <v/>
      </c>
      <c r="I441" s="21" t="str">
        <f aca="false">IFERROR(INDEX(종합!I$3:I$501,MATCH(ROW()-2,종합!$AD$3:$AD$501,0))&amp;"","")</f>
        <v/>
      </c>
      <c r="J441" s="21" t="str">
        <f aca="false">IFERROR(INDEX(종합!J$3:J$501,MATCH(ROW()-2,종합!$AD$3:$AD$501,0))&amp;"","")</f>
        <v/>
      </c>
      <c r="K441" s="21" t="str">
        <f aca="false">IFERROR(INDEX(종합!K$3:K$501,MATCH(ROW()-2,종합!$AD$3:$AD$501,0))&amp;"","")</f>
        <v/>
      </c>
      <c r="L441" s="21" t="str">
        <f aca="false">IFERROR(INDEX(종합!L$3:L$501,MATCH(ROW()-2,종합!$AD$3:$AD$501,0))&amp;"","")</f>
        <v/>
      </c>
      <c r="M441" s="21" t="str">
        <f aca="false">IFERROR(INDEX(종합!M$3:M$501,MATCH(ROW()-2,종합!$AD$3:$AD$501,0))&amp;"","")</f>
        <v/>
      </c>
      <c r="N441" s="25" t="str">
        <f aca="false">IFERROR(INDEX(종합!N$3:N$501,MATCH(ROW()-2,종합!$AD$3:$AD$501,0))&amp;"","")</f>
        <v/>
      </c>
      <c r="O441" s="21" t="str">
        <f aca="false">IFERROR(INDEX(종합!O$3:O$501,MATCH(ROW()-2,종합!$AD$3:$AD$501,0))&amp;"","")</f>
        <v/>
      </c>
      <c r="P441" s="21" t="str">
        <f aca="false">IFERROR(INDEX(종합!P$3:P$501,MATCH(ROW()-2,종합!$AD$3:$AD$501,0))&amp;"","")</f>
        <v/>
      </c>
      <c r="Q441" s="21" t="str">
        <f aca="false">IFERROR(INDEX(종합!Q$3:Q$501,MATCH(ROW()-2,종합!$AD$3:$AD$501,0))&amp;"","")</f>
        <v/>
      </c>
      <c r="R441" s="21" t="str">
        <f aca="false">IFERROR(INDEX(종합!R$3:R$501,MATCH(ROW()-2,종합!$AD$3:$AD$501,0))&amp;"","")</f>
        <v/>
      </c>
      <c r="S441" s="21" t="str">
        <f aca="false">IFERROR(INDEX(종합!S$3:S$501,MATCH(ROW()-2,종합!$AD$3:$AD$501,0))&amp;"","")</f>
        <v/>
      </c>
      <c r="T441" s="21" t="str">
        <f aca="false">IFERROR(INDEX(종합!T$3:T$501,MATCH(ROW()-2,종합!$AD$3:$AD$501,0))&amp;"","")</f>
        <v/>
      </c>
      <c r="U441" s="21" t="str">
        <f aca="false">IFERROR(INDEX(종합!U$3:U$501,MATCH(ROW()-2,종합!$AD$3:$AD$501,0))&amp;"","")</f>
        <v/>
      </c>
      <c r="V441" s="21" t="str">
        <f aca="false">IFERROR(INDEX(종합!V$3:V$501,MATCH(ROW()-2,종합!$AD$3:$AD$501,0))&amp;"","")</f>
        <v/>
      </c>
      <c r="W441" s="21" t="str">
        <f aca="false">IFERROR(INDEX(종합!W$3:W$501,MATCH(ROW()-2,종합!$AD$3:$AD$501,0))&amp;"","")</f>
        <v/>
      </c>
      <c r="X441" s="21" t="str">
        <f aca="false">IFERROR(INDEX(종합!X$3:X$501,MATCH(ROW()-2,종합!$AD$3:$AD$501,0))&amp;"","")</f>
        <v/>
      </c>
      <c r="Y441" s="21" t="str">
        <f aca="false">IFERROR(INDEX(종합!Y$3:Y$501,MATCH(ROW()-2,종합!$AD$3:$AD$501,0))&amp;"","")</f>
        <v/>
      </c>
      <c r="Z441" s="21" t="str">
        <f aca="false">IFERROR(INDEX(종합!Z$3:Z$501,MATCH(ROW()-2,종합!$AD$3:$AD$501,0))&amp;"","")</f>
        <v/>
      </c>
      <c r="AA441" s="23" t="str">
        <f aca="false">IFERROR(INDEX(종합!AA$3:AA$501,MATCH(ROW()-2,종합!$AD$3:$AD$501,0))&amp;"","")</f>
        <v/>
      </c>
    </row>
    <row r="442" customFormat="false" ht="16.5" hidden="false" customHeight="true" outlineLevel="0" collapsed="false">
      <c r="A442" s="18" t="str">
        <f aca="false">IF(B442="","",ROW()-2)</f>
        <v/>
      </c>
      <c r="B442" s="18" t="str">
        <f aca="false">IFERROR(INDEX(종합!B$3:B$501,MATCH(ROW()-2,종합!$AD$3:$AD$501,0))&amp;"","")</f>
        <v/>
      </c>
      <c r="C442" s="18" t="str">
        <f aca="false">IFERROR(INDEX(종합!C$3:C$501,MATCH(ROW()-2,종합!$AD$3:$AD$501,0))&amp;"","")</f>
        <v/>
      </c>
      <c r="D442" s="18" t="str">
        <f aca="false">IFERROR(INDEX(종합!D$3:D$501,MATCH(ROW()-2,종합!$AD$3:$AD$501,0))&amp;"","")</f>
        <v/>
      </c>
      <c r="E442" s="18" t="str">
        <f aca="false">IFERROR(INDEX(종합!E$3:E$501,MATCH(ROW()-2,종합!$AD$3:$AD$501,0))&amp;"","")</f>
        <v/>
      </c>
      <c r="F442" s="18" t="str">
        <f aca="false">IFERROR(INDEX(종합!F$3:F$501,MATCH(ROW()-2,종합!$AD$3:$AD$501,0))&amp;"","")</f>
        <v/>
      </c>
      <c r="G442" s="18" t="str">
        <f aca="false">IFERROR(INDEX(종합!G$3:G$501,MATCH(ROW()-2,종합!$AD$3:$AD$501,0))&amp;"","")</f>
        <v/>
      </c>
      <c r="H442" s="21" t="str">
        <f aca="false">IFERROR(INDEX(종합!H$3:H$501,MATCH(ROW()-2,종합!$AD$3:$AD$501,0))&amp;"","")</f>
        <v/>
      </c>
      <c r="I442" s="21" t="str">
        <f aca="false">IFERROR(INDEX(종합!I$3:I$501,MATCH(ROW()-2,종합!$AD$3:$AD$501,0))&amp;"","")</f>
        <v/>
      </c>
      <c r="J442" s="21" t="str">
        <f aca="false">IFERROR(INDEX(종합!J$3:J$501,MATCH(ROW()-2,종합!$AD$3:$AD$501,0))&amp;"","")</f>
        <v/>
      </c>
      <c r="K442" s="21" t="str">
        <f aca="false">IFERROR(INDEX(종합!K$3:K$501,MATCH(ROW()-2,종합!$AD$3:$AD$501,0))&amp;"","")</f>
        <v/>
      </c>
      <c r="L442" s="21" t="str">
        <f aca="false">IFERROR(INDEX(종합!L$3:L$501,MATCH(ROW()-2,종합!$AD$3:$AD$501,0))&amp;"","")</f>
        <v/>
      </c>
      <c r="M442" s="21" t="str">
        <f aca="false">IFERROR(INDEX(종합!M$3:M$501,MATCH(ROW()-2,종합!$AD$3:$AD$501,0))&amp;"","")</f>
        <v/>
      </c>
      <c r="N442" s="25" t="str">
        <f aca="false">IFERROR(INDEX(종합!N$3:N$501,MATCH(ROW()-2,종합!$AD$3:$AD$501,0))&amp;"","")</f>
        <v/>
      </c>
      <c r="O442" s="21" t="str">
        <f aca="false">IFERROR(INDEX(종합!O$3:O$501,MATCH(ROW()-2,종합!$AD$3:$AD$501,0))&amp;"","")</f>
        <v/>
      </c>
      <c r="P442" s="21" t="str">
        <f aca="false">IFERROR(INDEX(종합!P$3:P$501,MATCH(ROW()-2,종합!$AD$3:$AD$501,0))&amp;"","")</f>
        <v/>
      </c>
      <c r="Q442" s="21" t="str">
        <f aca="false">IFERROR(INDEX(종합!Q$3:Q$501,MATCH(ROW()-2,종합!$AD$3:$AD$501,0))&amp;"","")</f>
        <v/>
      </c>
      <c r="R442" s="21" t="str">
        <f aca="false">IFERROR(INDEX(종합!R$3:R$501,MATCH(ROW()-2,종합!$AD$3:$AD$501,0))&amp;"","")</f>
        <v/>
      </c>
      <c r="S442" s="21" t="str">
        <f aca="false">IFERROR(INDEX(종합!S$3:S$501,MATCH(ROW()-2,종합!$AD$3:$AD$501,0))&amp;"","")</f>
        <v/>
      </c>
      <c r="T442" s="21" t="str">
        <f aca="false">IFERROR(INDEX(종합!T$3:T$501,MATCH(ROW()-2,종합!$AD$3:$AD$501,0))&amp;"","")</f>
        <v/>
      </c>
      <c r="U442" s="21" t="str">
        <f aca="false">IFERROR(INDEX(종합!U$3:U$501,MATCH(ROW()-2,종합!$AD$3:$AD$501,0))&amp;"","")</f>
        <v/>
      </c>
      <c r="V442" s="21" t="str">
        <f aca="false">IFERROR(INDEX(종합!V$3:V$501,MATCH(ROW()-2,종합!$AD$3:$AD$501,0))&amp;"","")</f>
        <v/>
      </c>
      <c r="W442" s="21" t="str">
        <f aca="false">IFERROR(INDEX(종합!W$3:W$501,MATCH(ROW()-2,종합!$AD$3:$AD$501,0))&amp;"","")</f>
        <v/>
      </c>
      <c r="X442" s="21" t="str">
        <f aca="false">IFERROR(INDEX(종합!X$3:X$501,MATCH(ROW()-2,종합!$AD$3:$AD$501,0))&amp;"","")</f>
        <v/>
      </c>
      <c r="Y442" s="21" t="str">
        <f aca="false">IFERROR(INDEX(종합!Y$3:Y$501,MATCH(ROW()-2,종합!$AD$3:$AD$501,0))&amp;"","")</f>
        <v/>
      </c>
      <c r="Z442" s="21" t="str">
        <f aca="false">IFERROR(INDEX(종합!Z$3:Z$501,MATCH(ROW()-2,종합!$AD$3:$AD$501,0))&amp;"","")</f>
        <v/>
      </c>
      <c r="AA442" s="23" t="str">
        <f aca="false">IFERROR(INDEX(종합!AA$3:AA$501,MATCH(ROW()-2,종합!$AD$3:$AD$501,0))&amp;"","")</f>
        <v/>
      </c>
    </row>
    <row r="443" customFormat="false" ht="16.5" hidden="false" customHeight="true" outlineLevel="0" collapsed="false">
      <c r="A443" s="18" t="str">
        <f aca="false">IF(B443="","",ROW()-2)</f>
        <v/>
      </c>
      <c r="B443" s="18" t="str">
        <f aca="false">IFERROR(INDEX(종합!B$3:B$501,MATCH(ROW()-2,종합!$AD$3:$AD$501,0))&amp;"","")</f>
        <v/>
      </c>
      <c r="C443" s="18" t="str">
        <f aca="false">IFERROR(INDEX(종합!C$3:C$501,MATCH(ROW()-2,종합!$AD$3:$AD$501,0))&amp;"","")</f>
        <v/>
      </c>
      <c r="D443" s="18" t="str">
        <f aca="false">IFERROR(INDEX(종합!D$3:D$501,MATCH(ROW()-2,종합!$AD$3:$AD$501,0))&amp;"","")</f>
        <v/>
      </c>
      <c r="E443" s="18" t="str">
        <f aca="false">IFERROR(INDEX(종합!E$3:E$501,MATCH(ROW()-2,종합!$AD$3:$AD$501,0))&amp;"","")</f>
        <v/>
      </c>
      <c r="F443" s="18" t="str">
        <f aca="false">IFERROR(INDEX(종합!F$3:F$501,MATCH(ROW()-2,종합!$AD$3:$AD$501,0))&amp;"","")</f>
        <v/>
      </c>
      <c r="G443" s="18" t="str">
        <f aca="false">IFERROR(INDEX(종합!G$3:G$501,MATCH(ROW()-2,종합!$AD$3:$AD$501,0))&amp;"","")</f>
        <v/>
      </c>
      <c r="H443" s="21" t="str">
        <f aca="false">IFERROR(INDEX(종합!H$3:H$501,MATCH(ROW()-2,종합!$AD$3:$AD$501,0))&amp;"","")</f>
        <v/>
      </c>
      <c r="I443" s="21" t="str">
        <f aca="false">IFERROR(INDEX(종합!I$3:I$501,MATCH(ROW()-2,종합!$AD$3:$AD$501,0))&amp;"","")</f>
        <v/>
      </c>
      <c r="J443" s="21" t="str">
        <f aca="false">IFERROR(INDEX(종합!J$3:J$501,MATCH(ROW()-2,종합!$AD$3:$AD$501,0))&amp;"","")</f>
        <v/>
      </c>
      <c r="K443" s="21" t="str">
        <f aca="false">IFERROR(INDEX(종합!K$3:K$501,MATCH(ROW()-2,종합!$AD$3:$AD$501,0))&amp;"","")</f>
        <v/>
      </c>
      <c r="L443" s="21" t="str">
        <f aca="false">IFERROR(INDEX(종합!L$3:L$501,MATCH(ROW()-2,종합!$AD$3:$AD$501,0))&amp;"","")</f>
        <v/>
      </c>
      <c r="M443" s="21" t="str">
        <f aca="false">IFERROR(INDEX(종합!M$3:M$501,MATCH(ROW()-2,종합!$AD$3:$AD$501,0))&amp;"","")</f>
        <v/>
      </c>
      <c r="N443" s="25" t="str">
        <f aca="false">IFERROR(INDEX(종합!N$3:N$501,MATCH(ROW()-2,종합!$AD$3:$AD$501,0))&amp;"","")</f>
        <v/>
      </c>
      <c r="O443" s="21" t="str">
        <f aca="false">IFERROR(INDEX(종합!O$3:O$501,MATCH(ROW()-2,종합!$AD$3:$AD$501,0))&amp;"","")</f>
        <v/>
      </c>
      <c r="P443" s="21" t="str">
        <f aca="false">IFERROR(INDEX(종합!P$3:P$501,MATCH(ROW()-2,종합!$AD$3:$AD$501,0))&amp;"","")</f>
        <v/>
      </c>
      <c r="Q443" s="21" t="str">
        <f aca="false">IFERROR(INDEX(종합!Q$3:Q$501,MATCH(ROW()-2,종합!$AD$3:$AD$501,0))&amp;"","")</f>
        <v/>
      </c>
      <c r="R443" s="21" t="str">
        <f aca="false">IFERROR(INDEX(종합!R$3:R$501,MATCH(ROW()-2,종합!$AD$3:$AD$501,0))&amp;"","")</f>
        <v/>
      </c>
      <c r="S443" s="21" t="str">
        <f aca="false">IFERROR(INDEX(종합!S$3:S$501,MATCH(ROW()-2,종합!$AD$3:$AD$501,0))&amp;"","")</f>
        <v/>
      </c>
      <c r="T443" s="21" t="str">
        <f aca="false">IFERROR(INDEX(종합!T$3:T$501,MATCH(ROW()-2,종합!$AD$3:$AD$501,0))&amp;"","")</f>
        <v/>
      </c>
      <c r="U443" s="21" t="str">
        <f aca="false">IFERROR(INDEX(종합!U$3:U$501,MATCH(ROW()-2,종합!$AD$3:$AD$501,0))&amp;"","")</f>
        <v/>
      </c>
      <c r="V443" s="21" t="str">
        <f aca="false">IFERROR(INDEX(종합!V$3:V$501,MATCH(ROW()-2,종합!$AD$3:$AD$501,0))&amp;"","")</f>
        <v/>
      </c>
      <c r="W443" s="21" t="str">
        <f aca="false">IFERROR(INDEX(종합!W$3:W$501,MATCH(ROW()-2,종합!$AD$3:$AD$501,0))&amp;"","")</f>
        <v/>
      </c>
      <c r="X443" s="21" t="str">
        <f aca="false">IFERROR(INDEX(종합!X$3:X$501,MATCH(ROW()-2,종합!$AD$3:$AD$501,0))&amp;"","")</f>
        <v/>
      </c>
      <c r="Y443" s="21" t="str">
        <f aca="false">IFERROR(INDEX(종합!Y$3:Y$501,MATCH(ROW()-2,종합!$AD$3:$AD$501,0))&amp;"","")</f>
        <v/>
      </c>
      <c r="Z443" s="21" t="str">
        <f aca="false">IFERROR(INDEX(종합!Z$3:Z$501,MATCH(ROW()-2,종합!$AD$3:$AD$501,0))&amp;"","")</f>
        <v/>
      </c>
      <c r="AA443" s="23" t="str">
        <f aca="false">IFERROR(INDEX(종합!AA$3:AA$501,MATCH(ROW()-2,종합!$AD$3:$AD$501,0))&amp;"","")</f>
        <v/>
      </c>
    </row>
    <row r="444" customFormat="false" ht="16.5" hidden="false" customHeight="true" outlineLevel="0" collapsed="false">
      <c r="A444" s="18" t="str">
        <f aca="false">IF(B444="","",ROW()-2)</f>
        <v/>
      </c>
      <c r="B444" s="18" t="str">
        <f aca="false">IFERROR(INDEX(종합!B$3:B$501,MATCH(ROW()-2,종합!$AD$3:$AD$501,0))&amp;"","")</f>
        <v/>
      </c>
      <c r="C444" s="18" t="str">
        <f aca="false">IFERROR(INDEX(종합!C$3:C$501,MATCH(ROW()-2,종합!$AD$3:$AD$501,0))&amp;"","")</f>
        <v/>
      </c>
      <c r="D444" s="18" t="str">
        <f aca="false">IFERROR(INDEX(종합!D$3:D$501,MATCH(ROW()-2,종합!$AD$3:$AD$501,0))&amp;"","")</f>
        <v/>
      </c>
      <c r="E444" s="18" t="str">
        <f aca="false">IFERROR(INDEX(종합!E$3:E$501,MATCH(ROW()-2,종합!$AD$3:$AD$501,0))&amp;"","")</f>
        <v/>
      </c>
      <c r="F444" s="18" t="str">
        <f aca="false">IFERROR(INDEX(종합!F$3:F$501,MATCH(ROW()-2,종합!$AD$3:$AD$501,0))&amp;"","")</f>
        <v/>
      </c>
      <c r="G444" s="18" t="str">
        <f aca="false">IFERROR(INDEX(종합!G$3:G$501,MATCH(ROW()-2,종합!$AD$3:$AD$501,0))&amp;"","")</f>
        <v/>
      </c>
      <c r="H444" s="21" t="str">
        <f aca="false">IFERROR(INDEX(종합!H$3:H$501,MATCH(ROW()-2,종합!$AD$3:$AD$501,0))&amp;"","")</f>
        <v/>
      </c>
      <c r="I444" s="21" t="str">
        <f aca="false">IFERROR(INDEX(종합!I$3:I$501,MATCH(ROW()-2,종합!$AD$3:$AD$501,0))&amp;"","")</f>
        <v/>
      </c>
      <c r="J444" s="21" t="str">
        <f aca="false">IFERROR(INDEX(종합!J$3:J$501,MATCH(ROW()-2,종합!$AD$3:$AD$501,0))&amp;"","")</f>
        <v/>
      </c>
      <c r="K444" s="21" t="str">
        <f aca="false">IFERROR(INDEX(종합!K$3:K$501,MATCH(ROW()-2,종합!$AD$3:$AD$501,0))&amp;"","")</f>
        <v/>
      </c>
      <c r="L444" s="21" t="str">
        <f aca="false">IFERROR(INDEX(종합!L$3:L$501,MATCH(ROW()-2,종합!$AD$3:$AD$501,0))&amp;"","")</f>
        <v/>
      </c>
      <c r="M444" s="21" t="str">
        <f aca="false">IFERROR(INDEX(종합!M$3:M$501,MATCH(ROW()-2,종합!$AD$3:$AD$501,0))&amp;"","")</f>
        <v/>
      </c>
      <c r="N444" s="25" t="str">
        <f aca="false">IFERROR(INDEX(종합!N$3:N$501,MATCH(ROW()-2,종합!$AD$3:$AD$501,0))&amp;"","")</f>
        <v/>
      </c>
      <c r="O444" s="21" t="str">
        <f aca="false">IFERROR(INDEX(종합!O$3:O$501,MATCH(ROW()-2,종합!$AD$3:$AD$501,0))&amp;"","")</f>
        <v/>
      </c>
      <c r="P444" s="21" t="str">
        <f aca="false">IFERROR(INDEX(종합!P$3:P$501,MATCH(ROW()-2,종합!$AD$3:$AD$501,0))&amp;"","")</f>
        <v/>
      </c>
      <c r="Q444" s="21" t="str">
        <f aca="false">IFERROR(INDEX(종합!Q$3:Q$501,MATCH(ROW()-2,종합!$AD$3:$AD$501,0))&amp;"","")</f>
        <v/>
      </c>
      <c r="R444" s="21" t="str">
        <f aca="false">IFERROR(INDEX(종합!R$3:R$501,MATCH(ROW()-2,종합!$AD$3:$AD$501,0))&amp;"","")</f>
        <v/>
      </c>
      <c r="S444" s="21" t="str">
        <f aca="false">IFERROR(INDEX(종합!S$3:S$501,MATCH(ROW()-2,종합!$AD$3:$AD$501,0))&amp;"","")</f>
        <v/>
      </c>
      <c r="T444" s="21" t="str">
        <f aca="false">IFERROR(INDEX(종합!T$3:T$501,MATCH(ROW()-2,종합!$AD$3:$AD$501,0))&amp;"","")</f>
        <v/>
      </c>
      <c r="U444" s="21" t="str">
        <f aca="false">IFERROR(INDEX(종합!U$3:U$501,MATCH(ROW()-2,종합!$AD$3:$AD$501,0))&amp;"","")</f>
        <v/>
      </c>
      <c r="V444" s="21" t="str">
        <f aca="false">IFERROR(INDEX(종합!V$3:V$501,MATCH(ROW()-2,종합!$AD$3:$AD$501,0))&amp;"","")</f>
        <v/>
      </c>
      <c r="W444" s="21" t="str">
        <f aca="false">IFERROR(INDEX(종합!W$3:W$501,MATCH(ROW()-2,종합!$AD$3:$AD$501,0))&amp;"","")</f>
        <v/>
      </c>
      <c r="X444" s="21" t="str">
        <f aca="false">IFERROR(INDEX(종합!X$3:X$501,MATCH(ROW()-2,종합!$AD$3:$AD$501,0))&amp;"","")</f>
        <v/>
      </c>
      <c r="Y444" s="21" t="str">
        <f aca="false">IFERROR(INDEX(종합!Y$3:Y$501,MATCH(ROW()-2,종합!$AD$3:$AD$501,0))&amp;"","")</f>
        <v/>
      </c>
      <c r="Z444" s="21" t="str">
        <f aca="false">IFERROR(INDEX(종합!Z$3:Z$501,MATCH(ROW()-2,종합!$AD$3:$AD$501,0))&amp;"","")</f>
        <v/>
      </c>
      <c r="AA444" s="23" t="str">
        <f aca="false">IFERROR(INDEX(종합!AA$3:AA$501,MATCH(ROW()-2,종합!$AD$3:$AD$501,0))&amp;"","")</f>
        <v/>
      </c>
    </row>
    <row r="445" customFormat="false" ht="16.5" hidden="false" customHeight="true" outlineLevel="0" collapsed="false">
      <c r="A445" s="18" t="str">
        <f aca="false">IF(B445="","",ROW()-2)</f>
        <v/>
      </c>
      <c r="B445" s="18" t="str">
        <f aca="false">IFERROR(INDEX(종합!B$3:B$501,MATCH(ROW()-2,종합!$AD$3:$AD$501,0))&amp;"","")</f>
        <v/>
      </c>
      <c r="C445" s="18" t="str">
        <f aca="false">IFERROR(INDEX(종합!C$3:C$501,MATCH(ROW()-2,종합!$AD$3:$AD$501,0))&amp;"","")</f>
        <v/>
      </c>
      <c r="D445" s="18" t="str">
        <f aca="false">IFERROR(INDEX(종합!D$3:D$501,MATCH(ROW()-2,종합!$AD$3:$AD$501,0))&amp;"","")</f>
        <v/>
      </c>
      <c r="E445" s="18" t="str">
        <f aca="false">IFERROR(INDEX(종합!E$3:E$501,MATCH(ROW()-2,종합!$AD$3:$AD$501,0))&amp;"","")</f>
        <v/>
      </c>
      <c r="F445" s="18" t="str">
        <f aca="false">IFERROR(INDEX(종합!F$3:F$501,MATCH(ROW()-2,종합!$AD$3:$AD$501,0))&amp;"","")</f>
        <v/>
      </c>
      <c r="G445" s="18" t="str">
        <f aca="false">IFERROR(INDEX(종합!G$3:G$501,MATCH(ROW()-2,종합!$AD$3:$AD$501,0))&amp;"","")</f>
        <v/>
      </c>
      <c r="H445" s="21" t="str">
        <f aca="false">IFERROR(INDEX(종합!H$3:H$501,MATCH(ROW()-2,종합!$AD$3:$AD$501,0))&amp;"","")</f>
        <v/>
      </c>
      <c r="I445" s="21" t="str">
        <f aca="false">IFERROR(INDEX(종합!I$3:I$501,MATCH(ROW()-2,종합!$AD$3:$AD$501,0))&amp;"","")</f>
        <v/>
      </c>
      <c r="J445" s="21" t="str">
        <f aca="false">IFERROR(INDEX(종합!J$3:J$501,MATCH(ROW()-2,종합!$AD$3:$AD$501,0))&amp;"","")</f>
        <v/>
      </c>
      <c r="K445" s="21" t="str">
        <f aca="false">IFERROR(INDEX(종합!K$3:K$501,MATCH(ROW()-2,종합!$AD$3:$AD$501,0))&amp;"","")</f>
        <v/>
      </c>
      <c r="L445" s="21" t="str">
        <f aca="false">IFERROR(INDEX(종합!L$3:L$501,MATCH(ROW()-2,종합!$AD$3:$AD$501,0))&amp;"","")</f>
        <v/>
      </c>
      <c r="M445" s="21" t="str">
        <f aca="false">IFERROR(INDEX(종합!M$3:M$501,MATCH(ROW()-2,종합!$AD$3:$AD$501,0))&amp;"","")</f>
        <v/>
      </c>
      <c r="N445" s="25" t="str">
        <f aca="false">IFERROR(INDEX(종합!N$3:N$501,MATCH(ROW()-2,종합!$AD$3:$AD$501,0))&amp;"","")</f>
        <v/>
      </c>
      <c r="O445" s="21" t="str">
        <f aca="false">IFERROR(INDEX(종합!O$3:O$501,MATCH(ROW()-2,종합!$AD$3:$AD$501,0))&amp;"","")</f>
        <v/>
      </c>
      <c r="P445" s="21" t="str">
        <f aca="false">IFERROR(INDEX(종합!P$3:P$501,MATCH(ROW()-2,종합!$AD$3:$AD$501,0))&amp;"","")</f>
        <v/>
      </c>
      <c r="Q445" s="21" t="str">
        <f aca="false">IFERROR(INDEX(종합!Q$3:Q$501,MATCH(ROW()-2,종합!$AD$3:$AD$501,0))&amp;"","")</f>
        <v/>
      </c>
      <c r="R445" s="21" t="str">
        <f aca="false">IFERROR(INDEX(종합!R$3:R$501,MATCH(ROW()-2,종합!$AD$3:$AD$501,0))&amp;"","")</f>
        <v/>
      </c>
      <c r="S445" s="21" t="str">
        <f aca="false">IFERROR(INDEX(종합!S$3:S$501,MATCH(ROW()-2,종합!$AD$3:$AD$501,0))&amp;"","")</f>
        <v/>
      </c>
      <c r="T445" s="21" t="str">
        <f aca="false">IFERROR(INDEX(종합!T$3:T$501,MATCH(ROW()-2,종합!$AD$3:$AD$501,0))&amp;"","")</f>
        <v/>
      </c>
      <c r="U445" s="21" t="str">
        <f aca="false">IFERROR(INDEX(종합!U$3:U$501,MATCH(ROW()-2,종합!$AD$3:$AD$501,0))&amp;"","")</f>
        <v/>
      </c>
      <c r="V445" s="21" t="str">
        <f aca="false">IFERROR(INDEX(종합!V$3:V$501,MATCH(ROW()-2,종합!$AD$3:$AD$501,0))&amp;"","")</f>
        <v/>
      </c>
      <c r="W445" s="21" t="str">
        <f aca="false">IFERROR(INDEX(종합!W$3:W$501,MATCH(ROW()-2,종합!$AD$3:$AD$501,0))&amp;"","")</f>
        <v/>
      </c>
      <c r="X445" s="21" t="str">
        <f aca="false">IFERROR(INDEX(종합!X$3:X$501,MATCH(ROW()-2,종합!$AD$3:$AD$501,0))&amp;"","")</f>
        <v/>
      </c>
      <c r="Y445" s="21" t="str">
        <f aca="false">IFERROR(INDEX(종합!Y$3:Y$501,MATCH(ROW()-2,종합!$AD$3:$AD$501,0))&amp;"","")</f>
        <v/>
      </c>
      <c r="Z445" s="21" t="str">
        <f aca="false">IFERROR(INDEX(종합!Z$3:Z$501,MATCH(ROW()-2,종합!$AD$3:$AD$501,0))&amp;"","")</f>
        <v/>
      </c>
      <c r="AA445" s="23" t="str">
        <f aca="false">IFERROR(INDEX(종합!AA$3:AA$501,MATCH(ROW()-2,종합!$AD$3:$AD$501,0))&amp;"","")</f>
        <v/>
      </c>
    </row>
    <row r="446" customFormat="false" ht="16.5" hidden="false" customHeight="true" outlineLevel="0" collapsed="false">
      <c r="A446" s="18" t="str">
        <f aca="false">IF(B446="","",ROW()-2)</f>
        <v/>
      </c>
      <c r="B446" s="18" t="str">
        <f aca="false">IFERROR(INDEX(종합!B$3:B$501,MATCH(ROW()-2,종합!$AD$3:$AD$501,0))&amp;"","")</f>
        <v/>
      </c>
      <c r="C446" s="18" t="str">
        <f aca="false">IFERROR(INDEX(종합!C$3:C$501,MATCH(ROW()-2,종합!$AD$3:$AD$501,0))&amp;"","")</f>
        <v/>
      </c>
      <c r="D446" s="18" t="str">
        <f aca="false">IFERROR(INDEX(종합!D$3:D$501,MATCH(ROW()-2,종합!$AD$3:$AD$501,0))&amp;"","")</f>
        <v/>
      </c>
      <c r="E446" s="18" t="str">
        <f aca="false">IFERROR(INDEX(종합!E$3:E$501,MATCH(ROW()-2,종합!$AD$3:$AD$501,0))&amp;"","")</f>
        <v/>
      </c>
      <c r="F446" s="18" t="str">
        <f aca="false">IFERROR(INDEX(종합!F$3:F$501,MATCH(ROW()-2,종합!$AD$3:$AD$501,0))&amp;"","")</f>
        <v/>
      </c>
      <c r="G446" s="18" t="str">
        <f aca="false">IFERROR(INDEX(종합!G$3:G$501,MATCH(ROW()-2,종합!$AD$3:$AD$501,0))&amp;"","")</f>
        <v/>
      </c>
      <c r="H446" s="21" t="str">
        <f aca="false">IFERROR(INDEX(종합!H$3:H$501,MATCH(ROW()-2,종합!$AD$3:$AD$501,0))&amp;"","")</f>
        <v/>
      </c>
      <c r="I446" s="21" t="str">
        <f aca="false">IFERROR(INDEX(종합!I$3:I$501,MATCH(ROW()-2,종합!$AD$3:$AD$501,0))&amp;"","")</f>
        <v/>
      </c>
      <c r="J446" s="21" t="str">
        <f aca="false">IFERROR(INDEX(종합!J$3:J$501,MATCH(ROW()-2,종합!$AD$3:$AD$501,0))&amp;"","")</f>
        <v/>
      </c>
      <c r="K446" s="21" t="str">
        <f aca="false">IFERROR(INDEX(종합!K$3:K$501,MATCH(ROW()-2,종합!$AD$3:$AD$501,0))&amp;"","")</f>
        <v/>
      </c>
      <c r="L446" s="21" t="str">
        <f aca="false">IFERROR(INDEX(종합!L$3:L$501,MATCH(ROW()-2,종합!$AD$3:$AD$501,0))&amp;"","")</f>
        <v/>
      </c>
      <c r="M446" s="21" t="str">
        <f aca="false">IFERROR(INDEX(종합!M$3:M$501,MATCH(ROW()-2,종합!$AD$3:$AD$501,0))&amp;"","")</f>
        <v/>
      </c>
      <c r="N446" s="25" t="str">
        <f aca="false">IFERROR(INDEX(종합!N$3:N$501,MATCH(ROW()-2,종합!$AD$3:$AD$501,0))&amp;"","")</f>
        <v/>
      </c>
      <c r="O446" s="21" t="str">
        <f aca="false">IFERROR(INDEX(종합!O$3:O$501,MATCH(ROW()-2,종합!$AD$3:$AD$501,0))&amp;"","")</f>
        <v/>
      </c>
      <c r="P446" s="21" t="str">
        <f aca="false">IFERROR(INDEX(종합!P$3:P$501,MATCH(ROW()-2,종합!$AD$3:$AD$501,0))&amp;"","")</f>
        <v/>
      </c>
      <c r="Q446" s="21" t="str">
        <f aca="false">IFERROR(INDEX(종합!Q$3:Q$501,MATCH(ROW()-2,종합!$AD$3:$AD$501,0))&amp;"","")</f>
        <v/>
      </c>
      <c r="R446" s="21" t="str">
        <f aca="false">IFERROR(INDEX(종합!R$3:R$501,MATCH(ROW()-2,종합!$AD$3:$AD$501,0))&amp;"","")</f>
        <v/>
      </c>
      <c r="S446" s="21" t="str">
        <f aca="false">IFERROR(INDEX(종합!S$3:S$501,MATCH(ROW()-2,종합!$AD$3:$AD$501,0))&amp;"","")</f>
        <v/>
      </c>
      <c r="T446" s="21" t="str">
        <f aca="false">IFERROR(INDEX(종합!T$3:T$501,MATCH(ROW()-2,종합!$AD$3:$AD$501,0))&amp;"","")</f>
        <v/>
      </c>
      <c r="U446" s="21" t="str">
        <f aca="false">IFERROR(INDEX(종합!U$3:U$501,MATCH(ROW()-2,종합!$AD$3:$AD$501,0))&amp;"","")</f>
        <v/>
      </c>
      <c r="V446" s="21" t="str">
        <f aca="false">IFERROR(INDEX(종합!V$3:V$501,MATCH(ROW()-2,종합!$AD$3:$AD$501,0))&amp;"","")</f>
        <v/>
      </c>
      <c r="W446" s="21" t="str">
        <f aca="false">IFERROR(INDEX(종합!W$3:W$501,MATCH(ROW()-2,종합!$AD$3:$AD$501,0))&amp;"","")</f>
        <v/>
      </c>
      <c r="X446" s="21" t="str">
        <f aca="false">IFERROR(INDEX(종합!X$3:X$501,MATCH(ROW()-2,종합!$AD$3:$AD$501,0))&amp;"","")</f>
        <v/>
      </c>
      <c r="Y446" s="21" t="str">
        <f aca="false">IFERROR(INDEX(종합!Y$3:Y$501,MATCH(ROW()-2,종합!$AD$3:$AD$501,0))&amp;"","")</f>
        <v/>
      </c>
      <c r="Z446" s="21" t="str">
        <f aca="false">IFERROR(INDEX(종합!Z$3:Z$501,MATCH(ROW()-2,종합!$AD$3:$AD$501,0))&amp;"","")</f>
        <v/>
      </c>
      <c r="AA446" s="23" t="str">
        <f aca="false">IFERROR(INDEX(종합!AA$3:AA$501,MATCH(ROW()-2,종합!$AD$3:$AD$501,0))&amp;"","")</f>
        <v/>
      </c>
    </row>
    <row r="447" customFormat="false" ht="16.5" hidden="false" customHeight="true" outlineLevel="0" collapsed="false">
      <c r="A447" s="18" t="str">
        <f aca="false">IF(B447="","",ROW()-2)</f>
        <v/>
      </c>
      <c r="B447" s="18" t="str">
        <f aca="false">IFERROR(INDEX(종합!B$3:B$501,MATCH(ROW()-2,종합!$AD$3:$AD$501,0))&amp;"","")</f>
        <v/>
      </c>
      <c r="C447" s="18" t="str">
        <f aca="false">IFERROR(INDEX(종합!C$3:C$501,MATCH(ROW()-2,종합!$AD$3:$AD$501,0))&amp;"","")</f>
        <v/>
      </c>
      <c r="D447" s="18" t="str">
        <f aca="false">IFERROR(INDEX(종합!D$3:D$501,MATCH(ROW()-2,종합!$AD$3:$AD$501,0))&amp;"","")</f>
        <v/>
      </c>
      <c r="E447" s="18" t="str">
        <f aca="false">IFERROR(INDEX(종합!E$3:E$501,MATCH(ROW()-2,종합!$AD$3:$AD$501,0))&amp;"","")</f>
        <v/>
      </c>
      <c r="F447" s="18" t="str">
        <f aca="false">IFERROR(INDEX(종합!F$3:F$501,MATCH(ROW()-2,종합!$AD$3:$AD$501,0))&amp;"","")</f>
        <v/>
      </c>
      <c r="G447" s="18" t="str">
        <f aca="false">IFERROR(INDEX(종합!G$3:G$501,MATCH(ROW()-2,종합!$AD$3:$AD$501,0))&amp;"","")</f>
        <v/>
      </c>
      <c r="H447" s="21" t="str">
        <f aca="false">IFERROR(INDEX(종합!H$3:H$501,MATCH(ROW()-2,종합!$AD$3:$AD$501,0))&amp;"","")</f>
        <v/>
      </c>
      <c r="I447" s="21" t="str">
        <f aca="false">IFERROR(INDEX(종합!I$3:I$501,MATCH(ROW()-2,종합!$AD$3:$AD$501,0))&amp;"","")</f>
        <v/>
      </c>
      <c r="J447" s="21" t="str">
        <f aca="false">IFERROR(INDEX(종합!J$3:J$501,MATCH(ROW()-2,종합!$AD$3:$AD$501,0))&amp;"","")</f>
        <v/>
      </c>
      <c r="K447" s="21" t="str">
        <f aca="false">IFERROR(INDEX(종합!K$3:K$501,MATCH(ROW()-2,종합!$AD$3:$AD$501,0))&amp;"","")</f>
        <v/>
      </c>
      <c r="L447" s="21" t="str">
        <f aca="false">IFERROR(INDEX(종합!L$3:L$501,MATCH(ROW()-2,종합!$AD$3:$AD$501,0))&amp;"","")</f>
        <v/>
      </c>
      <c r="M447" s="21" t="str">
        <f aca="false">IFERROR(INDEX(종합!M$3:M$501,MATCH(ROW()-2,종합!$AD$3:$AD$501,0))&amp;"","")</f>
        <v/>
      </c>
      <c r="N447" s="25" t="str">
        <f aca="false">IFERROR(INDEX(종합!N$3:N$501,MATCH(ROW()-2,종합!$AD$3:$AD$501,0))&amp;"","")</f>
        <v/>
      </c>
      <c r="O447" s="21" t="str">
        <f aca="false">IFERROR(INDEX(종합!O$3:O$501,MATCH(ROW()-2,종합!$AD$3:$AD$501,0))&amp;"","")</f>
        <v/>
      </c>
      <c r="P447" s="21" t="str">
        <f aca="false">IFERROR(INDEX(종합!P$3:P$501,MATCH(ROW()-2,종합!$AD$3:$AD$501,0))&amp;"","")</f>
        <v/>
      </c>
      <c r="Q447" s="21" t="str">
        <f aca="false">IFERROR(INDEX(종합!Q$3:Q$501,MATCH(ROW()-2,종합!$AD$3:$AD$501,0))&amp;"","")</f>
        <v/>
      </c>
      <c r="R447" s="21" t="str">
        <f aca="false">IFERROR(INDEX(종합!R$3:R$501,MATCH(ROW()-2,종합!$AD$3:$AD$501,0))&amp;"","")</f>
        <v/>
      </c>
      <c r="S447" s="21" t="str">
        <f aca="false">IFERROR(INDEX(종합!S$3:S$501,MATCH(ROW()-2,종합!$AD$3:$AD$501,0))&amp;"","")</f>
        <v/>
      </c>
      <c r="T447" s="21" t="str">
        <f aca="false">IFERROR(INDEX(종합!T$3:T$501,MATCH(ROW()-2,종합!$AD$3:$AD$501,0))&amp;"","")</f>
        <v/>
      </c>
      <c r="U447" s="21" t="str">
        <f aca="false">IFERROR(INDEX(종합!U$3:U$501,MATCH(ROW()-2,종합!$AD$3:$AD$501,0))&amp;"","")</f>
        <v/>
      </c>
      <c r="V447" s="21" t="str">
        <f aca="false">IFERROR(INDEX(종합!V$3:V$501,MATCH(ROW()-2,종합!$AD$3:$AD$501,0))&amp;"","")</f>
        <v/>
      </c>
      <c r="W447" s="21" t="str">
        <f aca="false">IFERROR(INDEX(종합!W$3:W$501,MATCH(ROW()-2,종합!$AD$3:$AD$501,0))&amp;"","")</f>
        <v/>
      </c>
      <c r="X447" s="21" t="str">
        <f aca="false">IFERROR(INDEX(종합!X$3:X$501,MATCH(ROW()-2,종합!$AD$3:$AD$501,0))&amp;"","")</f>
        <v/>
      </c>
      <c r="Y447" s="21" t="str">
        <f aca="false">IFERROR(INDEX(종합!Y$3:Y$501,MATCH(ROW()-2,종합!$AD$3:$AD$501,0))&amp;"","")</f>
        <v/>
      </c>
      <c r="Z447" s="21" t="str">
        <f aca="false">IFERROR(INDEX(종합!Z$3:Z$501,MATCH(ROW()-2,종합!$AD$3:$AD$501,0))&amp;"","")</f>
        <v/>
      </c>
      <c r="AA447" s="23" t="str">
        <f aca="false">IFERROR(INDEX(종합!AA$3:AA$501,MATCH(ROW()-2,종합!$AD$3:$AD$501,0))&amp;"","")</f>
        <v/>
      </c>
    </row>
    <row r="448" customFormat="false" ht="16.5" hidden="false" customHeight="true" outlineLevel="0" collapsed="false">
      <c r="A448" s="18" t="str">
        <f aca="false">IF(B448="","",ROW()-2)</f>
        <v/>
      </c>
      <c r="B448" s="18" t="str">
        <f aca="false">IFERROR(INDEX(종합!B$3:B$501,MATCH(ROW()-2,종합!$AD$3:$AD$501,0))&amp;"","")</f>
        <v/>
      </c>
      <c r="C448" s="18" t="str">
        <f aca="false">IFERROR(INDEX(종합!C$3:C$501,MATCH(ROW()-2,종합!$AD$3:$AD$501,0))&amp;"","")</f>
        <v/>
      </c>
      <c r="D448" s="18" t="str">
        <f aca="false">IFERROR(INDEX(종합!D$3:D$501,MATCH(ROW()-2,종합!$AD$3:$AD$501,0))&amp;"","")</f>
        <v/>
      </c>
      <c r="E448" s="18" t="str">
        <f aca="false">IFERROR(INDEX(종합!E$3:E$501,MATCH(ROW()-2,종합!$AD$3:$AD$501,0))&amp;"","")</f>
        <v/>
      </c>
      <c r="F448" s="18" t="str">
        <f aca="false">IFERROR(INDEX(종합!F$3:F$501,MATCH(ROW()-2,종합!$AD$3:$AD$501,0))&amp;"","")</f>
        <v/>
      </c>
      <c r="G448" s="18" t="str">
        <f aca="false">IFERROR(INDEX(종합!G$3:G$501,MATCH(ROW()-2,종합!$AD$3:$AD$501,0))&amp;"","")</f>
        <v/>
      </c>
      <c r="H448" s="21" t="str">
        <f aca="false">IFERROR(INDEX(종합!H$3:H$501,MATCH(ROW()-2,종합!$AD$3:$AD$501,0))&amp;"","")</f>
        <v/>
      </c>
      <c r="I448" s="21" t="str">
        <f aca="false">IFERROR(INDEX(종합!I$3:I$501,MATCH(ROW()-2,종합!$AD$3:$AD$501,0))&amp;"","")</f>
        <v/>
      </c>
      <c r="J448" s="21" t="str">
        <f aca="false">IFERROR(INDEX(종합!J$3:J$501,MATCH(ROW()-2,종합!$AD$3:$AD$501,0))&amp;"","")</f>
        <v/>
      </c>
      <c r="K448" s="21" t="str">
        <f aca="false">IFERROR(INDEX(종합!K$3:K$501,MATCH(ROW()-2,종합!$AD$3:$AD$501,0))&amp;"","")</f>
        <v/>
      </c>
      <c r="L448" s="21" t="str">
        <f aca="false">IFERROR(INDEX(종합!L$3:L$501,MATCH(ROW()-2,종합!$AD$3:$AD$501,0))&amp;"","")</f>
        <v/>
      </c>
      <c r="M448" s="21" t="str">
        <f aca="false">IFERROR(INDEX(종합!M$3:M$501,MATCH(ROW()-2,종합!$AD$3:$AD$501,0))&amp;"","")</f>
        <v/>
      </c>
      <c r="N448" s="25" t="str">
        <f aca="false">IFERROR(INDEX(종합!N$3:N$501,MATCH(ROW()-2,종합!$AD$3:$AD$501,0))&amp;"","")</f>
        <v/>
      </c>
      <c r="O448" s="21" t="str">
        <f aca="false">IFERROR(INDEX(종합!O$3:O$501,MATCH(ROW()-2,종합!$AD$3:$AD$501,0))&amp;"","")</f>
        <v/>
      </c>
      <c r="P448" s="21" t="str">
        <f aca="false">IFERROR(INDEX(종합!P$3:P$501,MATCH(ROW()-2,종합!$AD$3:$AD$501,0))&amp;"","")</f>
        <v/>
      </c>
      <c r="Q448" s="21" t="str">
        <f aca="false">IFERROR(INDEX(종합!Q$3:Q$501,MATCH(ROW()-2,종합!$AD$3:$AD$501,0))&amp;"","")</f>
        <v/>
      </c>
      <c r="R448" s="21" t="str">
        <f aca="false">IFERROR(INDEX(종합!R$3:R$501,MATCH(ROW()-2,종합!$AD$3:$AD$501,0))&amp;"","")</f>
        <v/>
      </c>
      <c r="S448" s="21" t="str">
        <f aca="false">IFERROR(INDEX(종합!S$3:S$501,MATCH(ROW()-2,종합!$AD$3:$AD$501,0))&amp;"","")</f>
        <v/>
      </c>
      <c r="T448" s="21" t="str">
        <f aca="false">IFERROR(INDEX(종합!T$3:T$501,MATCH(ROW()-2,종합!$AD$3:$AD$501,0))&amp;"","")</f>
        <v/>
      </c>
      <c r="U448" s="21" t="str">
        <f aca="false">IFERROR(INDEX(종합!U$3:U$501,MATCH(ROW()-2,종합!$AD$3:$AD$501,0))&amp;"","")</f>
        <v/>
      </c>
      <c r="V448" s="21" t="str">
        <f aca="false">IFERROR(INDEX(종합!V$3:V$501,MATCH(ROW()-2,종합!$AD$3:$AD$501,0))&amp;"","")</f>
        <v/>
      </c>
      <c r="W448" s="21" t="str">
        <f aca="false">IFERROR(INDEX(종합!W$3:W$501,MATCH(ROW()-2,종합!$AD$3:$AD$501,0))&amp;"","")</f>
        <v/>
      </c>
      <c r="X448" s="21" t="str">
        <f aca="false">IFERROR(INDEX(종합!X$3:X$501,MATCH(ROW()-2,종합!$AD$3:$AD$501,0))&amp;"","")</f>
        <v/>
      </c>
      <c r="Y448" s="21" t="str">
        <f aca="false">IFERROR(INDEX(종합!Y$3:Y$501,MATCH(ROW()-2,종합!$AD$3:$AD$501,0))&amp;"","")</f>
        <v/>
      </c>
      <c r="Z448" s="21" t="str">
        <f aca="false">IFERROR(INDEX(종합!Z$3:Z$501,MATCH(ROW()-2,종합!$AD$3:$AD$501,0))&amp;"","")</f>
        <v/>
      </c>
      <c r="AA448" s="23" t="str">
        <f aca="false">IFERROR(INDEX(종합!AA$3:AA$501,MATCH(ROW()-2,종합!$AD$3:$AD$501,0))&amp;"","")</f>
        <v/>
      </c>
    </row>
    <row r="449" customFormat="false" ht="16.5" hidden="false" customHeight="true" outlineLevel="0" collapsed="false">
      <c r="A449" s="18" t="str">
        <f aca="false">IF(B449="","",ROW()-2)</f>
        <v/>
      </c>
      <c r="B449" s="18" t="str">
        <f aca="false">IFERROR(INDEX(종합!B$3:B$501,MATCH(ROW()-2,종합!$AD$3:$AD$501,0))&amp;"","")</f>
        <v/>
      </c>
      <c r="C449" s="18" t="str">
        <f aca="false">IFERROR(INDEX(종합!C$3:C$501,MATCH(ROW()-2,종합!$AD$3:$AD$501,0))&amp;"","")</f>
        <v/>
      </c>
      <c r="D449" s="18" t="str">
        <f aca="false">IFERROR(INDEX(종합!D$3:D$501,MATCH(ROW()-2,종합!$AD$3:$AD$501,0))&amp;"","")</f>
        <v/>
      </c>
      <c r="E449" s="18" t="str">
        <f aca="false">IFERROR(INDEX(종합!E$3:E$501,MATCH(ROW()-2,종합!$AD$3:$AD$501,0))&amp;"","")</f>
        <v/>
      </c>
      <c r="F449" s="18" t="str">
        <f aca="false">IFERROR(INDEX(종합!F$3:F$501,MATCH(ROW()-2,종합!$AD$3:$AD$501,0))&amp;"","")</f>
        <v/>
      </c>
      <c r="G449" s="18" t="str">
        <f aca="false">IFERROR(INDEX(종합!G$3:G$501,MATCH(ROW()-2,종합!$AD$3:$AD$501,0))&amp;"","")</f>
        <v/>
      </c>
      <c r="H449" s="21" t="str">
        <f aca="false">IFERROR(INDEX(종합!H$3:H$501,MATCH(ROW()-2,종합!$AD$3:$AD$501,0))&amp;"","")</f>
        <v/>
      </c>
      <c r="I449" s="21" t="str">
        <f aca="false">IFERROR(INDEX(종합!I$3:I$501,MATCH(ROW()-2,종합!$AD$3:$AD$501,0))&amp;"","")</f>
        <v/>
      </c>
      <c r="J449" s="21" t="str">
        <f aca="false">IFERROR(INDEX(종합!J$3:J$501,MATCH(ROW()-2,종합!$AD$3:$AD$501,0))&amp;"","")</f>
        <v/>
      </c>
      <c r="K449" s="21" t="str">
        <f aca="false">IFERROR(INDEX(종합!K$3:K$501,MATCH(ROW()-2,종합!$AD$3:$AD$501,0))&amp;"","")</f>
        <v/>
      </c>
      <c r="L449" s="21" t="str">
        <f aca="false">IFERROR(INDEX(종합!L$3:L$501,MATCH(ROW()-2,종합!$AD$3:$AD$501,0))&amp;"","")</f>
        <v/>
      </c>
      <c r="M449" s="21" t="str">
        <f aca="false">IFERROR(INDEX(종합!M$3:M$501,MATCH(ROW()-2,종합!$AD$3:$AD$501,0))&amp;"","")</f>
        <v/>
      </c>
      <c r="N449" s="25" t="str">
        <f aca="false">IFERROR(INDEX(종합!N$3:N$501,MATCH(ROW()-2,종합!$AD$3:$AD$501,0))&amp;"","")</f>
        <v/>
      </c>
      <c r="O449" s="21" t="str">
        <f aca="false">IFERROR(INDEX(종합!O$3:O$501,MATCH(ROW()-2,종합!$AD$3:$AD$501,0))&amp;"","")</f>
        <v/>
      </c>
      <c r="P449" s="21" t="str">
        <f aca="false">IFERROR(INDEX(종합!P$3:P$501,MATCH(ROW()-2,종합!$AD$3:$AD$501,0))&amp;"","")</f>
        <v/>
      </c>
      <c r="Q449" s="21" t="str">
        <f aca="false">IFERROR(INDEX(종합!Q$3:Q$501,MATCH(ROW()-2,종합!$AD$3:$AD$501,0))&amp;"","")</f>
        <v/>
      </c>
      <c r="R449" s="21" t="str">
        <f aca="false">IFERROR(INDEX(종합!R$3:R$501,MATCH(ROW()-2,종합!$AD$3:$AD$501,0))&amp;"","")</f>
        <v/>
      </c>
      <c r="S449" s="21" t="str">
        <f aca="false">IFERROR(INDEX(종합!S$3:S$501,MATCH(ROW()-2,종합!$AD$3:$AD$501,0))&amp;"","")</f>
        <v/>
      </c>
      <c r="T449" s="21" t="str">
        <f aca="false">IFERROR(INDEX(종합!T$3:T$501,MATCH(ROW()-2,종합!$AD$3:$AD$501,0))&amp;"","")</f>
        <v/>
      </c>
      <c r="U449" s="21" t="str">
        <f aca="false">IFERROR(INDEX(종합!U$3:U$501,MATCH(ROW()-2,종합!$AD$3:$AD$501,0))&amp;"","")</f>
        <v/>
      </c>
      <c r="V449" s="21" t="str">
        <f aca="false">IFERROR(INDEX(종합!V$3:V$501,MATCH(ROW()-2,종합!$AD$3:$AD$501,0))&amp;"","")</f>
        <v/>
      </c>
      <c r="W449" s="21" t="str">
        <f aca="false">IFERROR(INDEX(종합!W$3:W$501,MATCH(ROW()-2,종합!$AD$3:$AD$501,0))&amp;"","")</f>
        <v/>
      </c>
      <c r="X449" s="21" t="str">
        <f aca="false">IFERROR(INDEX(종합!X$3:X$501,MATCH(ROW()-2,종합!$AD$3:$AD$501,0))&amp;"","")</f>
        <v/>
      </c>
      <c r="Y449" s="21" t="str">
        <f aca="false">IFERROR(INDEX(종합!Y$3:Y$501,MATCH(ROW()-2,종합!$AD$3:$AD$501,0))&amp;"","")</f>
        <v/>
      </c>
      <c r="Z449" s="21" t="str">
        <f aca="false">IFERROR(INDEX(종합!Z$3:Z$501,MATCH(ROW()-2,종합!$AD$3:$AD$501,0))&amp;"","")</f>
        <v/>
      </c>
      <c r="AA449" s="23" t="str">
        <f aca="false">IFERROR(INDEX(종합!AA$3:AA$501,MATCH(ROW()-2,종합!$AD$3:$AD$501,0))&amp;"","")</f>
        <v/>
      </c>
    </row>
    <row r="450" customFormat="false" ht="16.5" hidden="false" customHeight="true" outlineLevel="0" collapsed="false">
      <c r="A450" s="18" t="str">
        <f aca="false">IF(B450="","",ROW()-2)</f>
        <v/>
      </c>
      <c r="B450" s="18" t="str">
        <f aca="false">IFERROR(INDEX(종합!B$3:B$501,MATCH(ROW()-2,종합!$AD$3:$AD$501,0))&amp;"","")</f>
        <v/>
      </c>
      <c r="C450" s="18" t="str">
        <f aca="false">IFERROR(INDEX(종합!C$3:C$501,MATCH(ROW()-2,종합!$AD$3:$AD$501,0))&amp;"","")</f>
        <v/>
      </c>
      <c r="D450" s="18" t="str">
        <f aca="false">IFERROR(INDEX(종합!D$3:D$501,MATCH(ROW()-2,종합!$AD$3:$AD$501,0))&amp;"","")</f>
        <v/>
      </c>
      <c r="E450" s="18" t="str">
        <f aca="false">IFERROR(INDEX(종합!E$3:E$501,MATCH(ROW()-2,종합!$AD$3:$AD$501,0))&amp;"","")</f>
        <v/>
      </c>
      <c r="F450" s="18" t="str">
        <f aca="false">IFERROR(INDEX(종합!F$3:F$501,MATCH(ROW()-2,종합!$AD$3:$AD$501,0))&amp;"","")</f>
        <v/>
      </c>
      <c r="G450" s="18" t="str">
        <f aca="false">IFERROR(INDEX(종합!G$3:G$501,MATCH(ROW()-2,종합!$AD$3:$AD$501,0))&amp;"","")</f>
        <v/>
      </c>
      <c r="H450" s="21" t="str">
        <f aca="false">IFERROR(INDEX(종합!H$3:H$501,MATCH(ROW()-2,종합!$AD$3:$AD$501,0))&amp;"","")</f>
        <v/>
      </c>
      <c r="I450" s="21" t="str">
        <f aca="false">IFERROR(INDEX(종합!I$3:I$501,MATCH(ROW()-2,종합!$AD$3:$AD$501,0))&amp;"","")</f>
        <v/>
      </c>
      <c r="J450" s="21" t="str">
        <f aca="false">IFERROR(INDEX(종합!J$3:J$501,MATCH(ROW()-2,종합!$AD$3:$AD$501,0))&amp;"","")</f>
        <v/>
      </c>
      <c r="K450" s="21" t="str">
        <f aca="false">IFERROR(INDEX(종합!K$3:K$501,MATCH(ROW()-2,종합!$AD$3:$AD$501,0))&amp;"","")</f>
        <v/>
      </c>
      <c r="L450" s="21" t="str">
        <f aca="false">IFERROR(INDEX(종합!L$3:L$501,MATCH(ROW()-2,종합!$AD$3:$AD$501,0))&amp;"","")</f>
        <v/>
      </c>
      <c r="M450" s="21" t="str">
        <f aca="false">IFERROR(INDEX(종합!M$3:M$501,MATCH(ROW()-2,종합!$AD$3:$AD$501,0))&amp;"","")</f>
        <v/>
      </c>
      <c r="N450" s="25" t="str">
        <f aca="false">IFERROR(INDEX(종합!N$3:N$501,MATCH(ROW()-2,종합!$AD$3:$AD$501,0))&amp;"","")</f>
        <v/>
      </c>
      <c r="O450" s="21" t="str">
        <f aca="false">IFERROR(INDEX(종합!O$3:O$501,MATCH(ROW()-2,종합!$AD$3:$AD$501,0))&amp;"","")</f>
        <v/>
      </c>
      <c r="P450" s="21" t="str">
        <f aca="false">IFERROR(INDEX(종합!P$3:P$501,MATCH(ROW()-2,종합!$AD$3:$AD$501,0))&amp;"","")</f>
        <v/>
      </c>
      <c r="Q450" s="21" t="str">
        <f aca="false">IFERROR(INDEX(종합!Q$3:Q$501,MATCH(ROW()-2,종합!$AD$3:$AD$501,0))&amp;"","")</f>
        <v/>
      </c>
      <c r="R450" s="21" t="str">
        <f aca="false">IFERROR(INDEX(종합!R$3:R$501,MATCH(ROW()-2,종합!$AD$3:$AD$501,0))&amp;"","")</f>
        <v/>
      </c>
      <c r="S450" s="21" t="str">
        <f aca="false">IFERROR(INDEX(종합!S$3:S$501,MATCH(ROW()-2,종합!$AD$3:$AD$501,0))&amp;"","")</f>
        <v/>
      </c>
      <c r="T450" s="21" t="str">
        <f aca="false">IFERROR(INDEX(종합!T$3:T$501,MATCH(ROW()-2,종합!$AD$3:$AD$501,0))&amp;"","")</f>
        <v/>
      </c>
      <c r="U450" s="21" t="str">
        <f aca="false">IFERROR(INDEX(종합!U$3:U$501,MATCH(ROW()-2,종합!$AD$3:$AD$501,0))&amp;"","")</f>
        <v/>
      </c>
      <c r="V450" s="21" t="str">
        <f aca="false">IFERROR(INDEX(종합!V$3:V$501,MATCH(ROW()-2,종합!$AD$3:$AD$501,0))&amp;"","")</f>
        <v/>
      </c>
      <c r="W450" s="21" t="str">
        <f aca="false">IFERROR(INDEX(종합!W$3:W$501,MATCH(ROW()-2,종합!$AD$3:$AD$501,0))&amp;"","")</f>
        <v/>
      </c>
      <c r="X450" s="21" t="str">
        <f aca="false">IFERROR(INDEX(종합!X$3:X$501,MATCH(ROW()-2,종합!$AD$3:$AD$501,0))&amp;"","")</f>
        <v/>
      </c>
      <c r="Y450" s="21" t="str">
        <f aca="false">IFERROR(INDEX(종합!Y$3:Y$501,MATCH(ROW()-2,종합!$AD$3:$AD$501,0))&amp;"","")</f>
        <v/>
      </c>
      <c r="Z450" s="21" t="str">
        <f aca="false">IFERROR(INDEX(종합!Z$3:Z$501,MATCH(ROW()-2,종합!$AD$3:$AD$501,0))&amp;"","")</f>
        <v/>
      </c>
      <c r="AA450" s="23" t="str">
        <f aca="false">IFERROR(INDEX(종합!AA$3:AA$501,MATCH(ROW()-2,종합!$AD$3:$AD$501,0))&amp;"","")</f>
        <v/>
      </c>
    </row>
    <row r="451" customFormat="false" ht="16.5" hidden="false" customHeight="true" outlineLevel="0" collapsed="false">
      <c r="A451" s="18" t="str">
        <f aca="false">IF(B451="","",ROW()-2)</f>
        <v/>
      </c>
      <c r="B451" s="18" t="str">
        <f aca="false">IFERROR(INDEX(종합!B$3:B$501,MATCH(ROW()-2,종합!$AD$3:$AD$501,0))&amp;"","")</f>
        <v/>
      </c>
      <c r="C451" s="18" t="str">
        <f aca="false">IFERROR(INDEX(종합!C$3:C$501,MATCH(ROW()-2,종합!$AD$3:$AD$501,0))&amp;"","")</f>
        <v/>
      </c>
      <c r="D451" s="18" t="str">
        <f aca="false">IFERROR(INDEX(종합!D$3:D$501,MATCH(ROW()-2,종합!$AD$3:$AD$501,0))&amp;"","")</f>
        <v/>
      </c>
      <c r="E451" s="18" t="str">
        <f aca="false">IFERROR(INDEX(종합!E$3:E$501,MATCH(ROW()-2,종합!$AD$3:$AD$501,0))&amp;"","")</f>
        <v/>
      </c>
      <c r="F451" s="18" t="str">
        <f aca="false">IFERROR(INDEX(종합!F$3:F$501,MATCH(ROW()-2,종합!$AD$3:$AD$501,0))&amp;"","")</f>
        <v/>
      </c>
      <c r="G451" s="18" t="str">
        <f aca="false">IFERROR(INDEX(종합!G$3:G$501,MATCH(ROW()-2,종합!$AD$3:$AD$501,0))&amp;"","")</f>
        <v/>
      </c>
      <c r="H451" s="21" t="str">
        <f aca="false">IFERROR(INDEX(종합!H$3:H$501,MATCH(ROW()-2,종합!$AD$3:$AD$501,0))&amp;"","")</f>
        <v/>
      </c>
      <c r="I451" s="21" t="str">
        <f aca="false">IFERROR(INDEX(종합!I$3:I$501,MATCH(ROW()-2,종합!$AD$3:$AD$501,0))&amp;"","")</f>
        <v/>
      </c>
      <c r="J451" s="21" t="str">
        <f aca="false">IFERROR(INDEX(종합!J$3:J$501,MATCH(ROW()-2,종합!$AD$3:$AD$501,0))&amp;"","")</f>
        <v/>
      </c>
      <c r="K451" s="21" t="str">
        <f aca="false">IFERROR(INDEX(종합!K$3:K$501,MATCH(ROW()-2,종합!$AD$3:$AD$501,0))&amp;"","")</f>
        <v/>
      </c>
      <c r="L451" s="21" t="str">
        <f aca="false">IFERROR(INDEX(종합!L$3:L$501,MATCH(ROW()-2,종합!$AD$3:$AD$501,0))&amp;"","")</f>
        <v/>
      </c>
      <c r="M451" s="21" t="str">
        <f aca="false">IFERROR(INDEX(종합!M$3:M$501,MATCH(ROW()-2,종합!$AD$3:$AD$501,0))&amp;"","")</f>
        <v/>
      </c>
      <c r="N451" s="25" t="str">
        <f aca="false">IFERROR(INDEX(종합!N$3:N$501,MATCH(ROW()-2,종합!$AD$3:$AD$501,0))&amp;"","")</f>
        <v/>
      </c>
      <c r="O451" s="21" t="str">
        <f aca="false">IFERROR(INDEX(종합!O$3:O$501,MATCH(ROW()-2,종합!$AD$3:$AD$501,0))&amp;"","")</f>
        <v/>
      </c>
      <c r="P451" s="21" t="str">
        <f aca="false">IFERROR(INDEX(종합!P$3:P$501,MATCH(ROW()-2,종합!$AD$3:$AD$501,0))&amp;"","")</f>
        <v/>
      </c>
      <c r="Q451" s="21" t="str">
        <f aca="false">IFERROR(INDEX(종합!Q$3:Q$501,MATCH(ROW()-2,종합!$AD$3:$AD$501,0))&amp;"","")</f>
        <v/>
      </c>
      <c r="R451" s="21" t="str">
        <f aca="false">IFERROR(INDEX(종합!R$3:R$501,MATCH(ROW()-2,종합!$AD$3:$AD$501,0))&amp;"","")</f>
        <v/>
      </c>
      <c r="S451" s="21" t="str">
        <f aca="false">IFERROR(INDEX(종합!S$3:S$501,MATCH(ROW()-2,종합!$AD$3:$AD$501,0))&amp;"","")</f>
        <v/>
      </c>
      <c r="T451" s="21" t="str">
        <f aca="false">IFERROR(INDEX(종합!T$3:T$501,MATCH(ROW()-2,종합!$AD$3:$AD$501,0))&amp;"","")</f>
        <v/>
      </c>
      <c r="U451" s="21" t="str">
        <f aca="false">IFERROR(INDEX(종합!U$3:U$501,MATCH(ROW()-2,종합!$AD$3:$AD$501,0))&amp;"","")</f>
        <v/>
      </c>
      <c r="V451" s="21" t="str">
        <f aca="false">IFERROR(INDEX(종합!V$3:V$501,MATCH(ROW()-2,종합!$AD$3:$AD$501,0))&amp;"","")</f>
        <v/>
      </c>
      <c r="W451" s="21" t="str">
        <f aca="false">IFERROR(INDEX(종합!W$3:W$501,MATCH(ROW()-2,종합!$AD$3:$AD$501,0))&amp;"","")</f>
        <v/>
      </c>
      <c r="X451" s="21" t="str">
        <f aca="false">IFERROR(INDEX(종합!X$3:X$501,MATCH(ROW()-2,종합!$AD$3:$AD$501,0))&amp;"","")</f>
        <v/>
      </c>
      <c r="Y451" s="21" t="str">
        <f aca="false">IFERROR(INDEX(종합!Y$3:Y$501,MATCH(ROW()-2,종합!$AD$3:$AD$501,0))&amp;"","")</f>
        <v/>
      </c>
      <c r="Z451" s="21" t="str">
        <f aca="false">IFERROR(INDEX(종합!Z$3:Z$501,MATCH(ROW()-2,종합!$AD$3:$AD$501,0))&amp;"","")</f>
        <v/>
      </c>
      <c r="AA451" s="23" t="str">
        <f aca="false">IFERROR(INDEX(종합!AA$3:AA$501,MATCH(ROW()-2,종합!$AD$3:$AD$501,0))&amp;"","")</f>
        <v/>
      </c>
    </row>
    <row r="452" customFormat="false" ht="16.5" hidden="false" customHeight="true" outlineLevel="0" collapsed="false">
      <c r="A452" s="18" t="str">
        <f aca="false">IF(B452="","",ROW()-2)</f>
        <v/>
      </c>
      <c r="B452" s="18" t="str">
        <f aca="false">IFERROR(INDEX(종합!B$3:B$501,MATCH(ROW()-2,종합!$AD$3:$AD$501,0))&amp;"","")</f>
        <v/>
      </c>
      <c r="C452" s="18" t="str">
        <f aca="false">IFERROR(INDEX(종합!C$3:C$501,MATCH(ROW()-2,종합!$AD$3:$AD$501,0))&amp;"","")</f>
        <v/>
      </c>
      <c r="D452" s="18" t="str">
        <f aca="false">IFERROR(INDEX(종합!D$3:D$501,MATCH(ROW()-2,종합!$AD$3:$AD$501,0))&amp;"","")</f>
        <v/>
      </c>
      <c r="E452" s="18" t="str">
        <f aca="false">IFERROR(INDEX(종합!E$3:E$501,MATCH(ROW()-2,종합!$AD$3:$AD$501,0))&amp;"","")</f>
        <v/>
      </c>
      <c r="F452" s="18" t="str">
        <f aca="false">IFERROR(INDEX(종합!F$3:F$501,MATCH(ROW()-2,종합!$AD$3:$AD$501,0))&amp;"","")</f>
        <v/>
      </c>
      <c r="G452" s="18" t="str">
        <f aca="false">IFERROR(INDEX(종합!G$3:G$501,MATCH(ROW()-2,종합!$AD$3:$AD$501,0))&amp;"","")</f>
        <v/>
      </c>
      <c r="H452" s="21" t="str">
        <f aca="false">IFERROR(INDEX(종합!H$3:H$501,MATCH(ROW()-2,종합!$AD$3:$AD$501,0))&amp;"","")</f>
        <v/>
      </c>
      <c r="I452" s="21" t="str">
        <f aca="false">IFERROR(INDEX(종합!I$3:I$501,MATCH(ROW()-2,종합!$AD$3:$AD$501,0))&amp;"","")</f>
        <v/>
      </c>
      <c r="J452" s="21" t="str">
        <f aca="false">IFERROR(INDEX(종합!J$3:J$501,MATCH(ROW()-2,종합!$AD$3:$AD$501,0))&amp;"","")</f>
        <v/>
      </c>
      <c r="K452" s="21" t="str">
        <f aca="false">IFERROR(INDEX(종합!K$3:K$501,MATCH(ROW()-2,종합!$AD$3:$AD$501,0))&amp;"","")</f>
        <v/>
      </c>
      <c r="L452" s="21" t="str">
        <f aca="false">IFERROR(INDEX(종합!L$3:L$501,MATCH(ROW()-2,종합!$AD$3:$AD$501,0))&amp;"","")</f>
        <v/>
      </c>
      <c r="M452" s="21" t="str">
        <f aca="false">IFERROR(INDEX(종합!M$3:M$501,MATCH(ROW()-2,종합!$AD$3:$AD$501,0))&amp;"","")</f>
        <v/>
      </c>
      <c r="N452" s="25" t="str">
        <f aca="false">IFERROR(INDEX(종합!N$3:N$501,MATCH(ROW()-2,종합!$AD$3:$AD$501,0))&amp;"","")</f>
        <v/>
      </c>
      <c r="O452" s="21" t="str">
        <f aca="false">IFERROR(INDEX(종합!O$3:O$501,MATCH(ROW()-2,종합!$AD$3:$AD$501,0))&amp;"","")</f>
        <v/>
      </c>
      <c r="P452" s="21" t="str">
        <f aca="false">IFERROR(INDEX(종합!P$3:P$501,MATCH(ROW()-2,종합!$AD$3:$AD$501,0))&amp;"","")</f>
        <v/>
      </c>
      <c r="Q452" s="21" t="str">
        <f aca="false">IFERROR(INDEX(종합!Q$3:Q$501,MATCH(ROW()-2,종합!$AD$3:$AD$501,0))&amp;"","")</f>
        <v/>
      </c>
      <c r="R452" s="21" t="str">
        <f aca="false">IFERROR(INDEX(종합!R$3:R$501,MATCH(ROW()-2,종합!$AD$3:$AD$501,0))&amp;"","")</f>
        <v/>
      </c>
      <c r="S452" s="21" t="str">
        <f aca="false">IFERROR(INDEX(종합!S$3:S$501,MATCH(ROW()-2,종합!$AD$3:$AD$501,0))&amp;"","")</f>
        <v/>
      </c>
      <c r="T452" s="21" t="str">
        <f aca="false">IFERROR(INDEX(종합!T$3:T$501,MATCH(ROW()-2,종합!$AD$3:$AD$501,0))&amp;"","")</f>
        <v/>
      </c>
      <c r="U452" s="21" t="str">
        <f aca="false">IFERROR(INDEX(종합!U$3:U$501,MATCH(ROW()-2,종합!$AD$3:$AD$501,0))&amp;"","")</f>
        <v/>
      </c>
      <c r="V452" s="21" t="str">
        <f aca="false">IFERROR(INDEX(종합!V$3:V$501,MATCH(ROW()-2,종합!$AD$3:$AD$501,0))&amp;"","")</f>
        <v/>
      </c>
      <c r="W452" s="21" t="str">
        <f aca="false">IFERROR(INDEX(종합!W$3:W$501,MATCH(ROW()-2,종합!$AD$3:$AD$501,0))&amp;"","")</f>
        <v/>
      </c>
      <c r="X452" s="21" t="str">
        <f aca="false">IFERROR(INDEX(종합!X$3:X$501,MATCH(ROW()-2,종합!$AD$3:$AD$501,0))&amp;"","")</f>
        <v/>
      </c>
      <c r="Y452" s="21" t="str">
        <f aca="false">IFERROR(INDEX(종합!Y$3:Y$501,MATCH(ROW()-2,종합!$AD$3:$AD$501,0))&amp;"","")</f>
        <v/>
      </c>
      <c r="Z452" s="21" t="str">
        <f aca="false">IFERROR(INDEX(종합!Z$3:Z$501,MATCH(ROW()-2,종합!$AD$3:$AD$501,0))&amp;"","")</f>
        <v/>
      </c>
      <c r="AA452" s="23" t="str">
        <f aca="false">IFERROR(INDEX(종합!AA$3:AA$501,MATCH(ROW()-2,종합!$AD$3:$AD$501,0))&amp;"","")</f>
        <v/>
      </c>
    </row>
  </sheetData>
  <mergeCells count="3">
    <mergeCell ref="A1:N1"/>
    <mergeCell ref="O1:T1"/>
    <mergeCell ref="U1:Z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4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3" activeCellId="0" sqref="A3"/>
    </sheetView>
  </sheetViews>
  <sheetFormatPr defaultColWidth="8.83203125" defaultRowHeight="16.5" zeroHeight="false" outlineLevelRow="0" outlineLevelCol="0"/>
  <cols>
    <col collapsed="false" customWidth="true" hidden="false" outlineLevel="0" max="1" min="1" style="1" width="6"/>
    <col collapsed="false" customWidth="true" hidden="false" outlineLevel="0" max="2" min="2" style="1" width="47"/>
    <col collapsed="false" customWidth="true" hidden="false" outlineLevel="0" max="5" min="3" style="1" width="8"/>
    <col collapsed="false" customWidth="true" hidden="false" outlineLevel="0" max="6" min="6" style="1" width="10"/>
    <col collapsed="false" customWidth="true" hidden="false" outlineLevel="0" max="7" min="7" style="1" width="12"/>
    <col collapsed="false" customWidth="true" hidden="false" outlineLevel="0" max="8" min="8" style="1" width="16"/>
    <col collapsed="false" customWidth="true" hidden="false" outlineLevel="0" max="9" min="9" style="1" width="28"/>
    <col collapsed="false" customWidth="true" hidden="false" outlineLevel="0" max="10" min="10" style="1" width="17"/>
    <col collapsed="false" customWidth="true" hidden="false" outlineLevel="0" max="11" min="11" style="1" width="47"/>
    <col collapsed="false" customWidth="true" hidden="false" outlineLevel="0" max="12" min="12" style="1" width="34"/>
    <col collapsed="false" customWidth="true" hidden="false" outlineLevel="0" max="13" min="13" style="1" width="90"/>
    <col collapsed="false" customWidth="true" hidden="false" outlineLevel="0" max="14" min="14" style="1" width="60"/>
    <col collapsed="false" customWidth="true" hidden="false" outlineLevel="0" max="15" min="15" style="1" width="13"/>
    <col collapsed="false" customWidth="true" hidden="false" outlineLevel="0" max="16" min="16" style="1" width="54"/>
    <col collapsed="false" customWidth="true" hidden="false" outlineLevel="0" max="17" min="17" style="1" width="31"/>
    <col collapsed="false" customWidth="true" hidden="false" outlineLevel="0" max="18" min="18" style="1" width="26"/>
    <col collapsed="false" customWidth="true" hidden="false" outlineLevel="0" max="19" min="19" style="1" width="41"/>
    <col collapsed="false" customWidth="true" hidden="false" outlineLevel="0" max="20" min="20" style="1" width="17"/>
    <col collapsed="false" customWidth="true" hidden="false" outlineLevel="0" max="21" min="21" style="1" width="29"/>
    <col collapsed="false" customWidth="true" hidden="false" outlineLevel="0" max="22" min="22" style="1" width="53"/>
    <col collapsed="false" customWidth="true" hidden="false" outlineLevel="0" max="23" min="23" style="1" width="35"/>
    <col collapsed="false" customWidth="true" hidden="false" outlineLevel="0" max="24" min="24" style="1" width="29"/>
    <col collapsed="false" customWidth="true" hidden="false" outlineLevel="0" max="25" min="25" style="1" width="68"/>
    <col collapsed="false" customWidth="true" hidden="false" outlineLevel="0" max="26" min="26" style="1" width="29"/>
  </cols>
  <sheetData>
    <row r="1" customFormat="false" ht="20.25" hidden="false" customHeight="true" outlineLevel="0" collapsed="false">
      <c r="A1" s="12" t="s">
        <v>27</v>
      </c>
      <c r="B1" s="12"/>
      <c r="C1" s="12"/>
      <c r="D1" s="12"/>
      <c r="E1" s="12"/>
      <c r="F1" s="12"/>
      <c r="G1" s="12"/>
      <c r="H1" s="12"/>
      <c r="I1" s="12"/>
      <c r="J1" s="12"/>
      <c r="K1" s="12"/>
      <c r="L1" s="12"/>
      <c r="M1" s="12"/>
      <c r="N1" s="12"/>
      <c r="O1" s="12" t="s">
        <v>28</v>
      </c>
      <c r="P1" s="12"/>
      <c r="Q1" s="12"/>
      <c r="R1" s="12"/>
      <c r="S1" s="12"/>
      <c r="T1" s="12"/>
      <c r="U1" s="12" t="s">
        <v>29</v>
      </c>
      <c r="V1" s="12"/>
      <c r="W1" s="12"/>
      <c r="X1" s="12"/>
      <c r="Y1" s="12"/>
      <c r="Z1" s="12"/>
    </row>
    <row r="2" customFormat="false" ht="46.5" hidden="false" customHeight="true" outlineLevel="0" collapsed="false">
      <c r="A2" s="14" t="s">
        <v>31</v>
      </c>
      <c r="B2" s="15" t="s">
        <v>32</v>
      </c>
      <c r="C2" s="15" t="s">
        <v>6</v>
      </c>
      <c r="D2" s="15" t="s">
        <v>7</v>
      </c>
      <c r="E2" s="15" t="s">
        <v>8</v>
      </c>
      <c r="F2" s="15" t="s">
        <v>9</v>
      </c>
      <c r="G2" s="15" t="s">
        <v>10</v>
      </c>
      <c r="H2" s="15" t="s">
        <v>33</v>
      </c>
      <c r="I2" s="15" t="s">
        <v>34</v>
      </c>
      <c r="J2" s="15" t="s">
        <v>35</v>
      </c>
      <c r="K2" s="15" t="s">
        <v>36</v>
      </c>
      <c r="L2" s="15" t="s">
        <v>37</v>
      </c>
      <c r="M2" s="15" t="s">
        <v>38</v>
      </c>
      <c r="N2" s="14" t="s">
        <v>39</v>
      </c>
      <c r="O2" s="15" t="s">
        <v>40</v>
      </c>
      <c r="P2" s="15" t="s">
        <v>41</v>
      </c>
      <c r="Q2" s="15" t="s">
        <v>42</v>
      </c>
      <c r="R2" s="15" t="s">
        <v>43</v>
      </c>
      <c r="S2" s="15" t="s">
        <v>44</v>
      </c>
      <c r="T2" s="15" t="s">
        <v>45</v>
      </c>
      <c r="U2" s="15" t="s">
        <v>46</v>
      </c>
      <c r="V2" s="15" t="s">
        <v>47</v>
      </c>
      <c r="W2" s="15" t="s">
        <v>48</v>
      </c>
      <c r="X2" s="15" t="s">
        <v>49</v>
      </c>
      <c r="Y2" s="15" t="s">
        <v>50</v>
      </c>
      <c r="Z2" s="15" t="s">
        <v>51</v>
      </c>
    </row>
    <row r="3" customFormat="false" ht="22.5" hidden="false" customHeight="true" outlineLevel="0" collapsed="false">
      <c r="A3" s="18" t="n">
        <f aca="false">IF(B3="","",ROW()-2)</f>
        <v>1</v>
      </c>
      <c r="B3" s="18" t="str">
        <f aca="false">IFERROR(INDEX(종합!B$3:B$501,MATCH(ROW()-2,종합!$AE$3:$AE$501,0))&amp;"","")</f>
        <v>(주) 에이아이웍스</v>
      </c>
      <c r="C3" s="18" t="str">
        <f aca="false">IFERROR(INDEX(종합!C$3:C$501,MATCH(ROW()-2,종합!$AE$3:$AE$501,0))&amp;"","")</f>
        <v>O</v>
      </c>
      <c r="D3" s="18" t="str">
        <f aca="false">IFERROR(INDEX(종합!D$3:D$501,MATCH(ROW()-2,종합!$AE$3:$AE$501,0))&amp;"","")</f>
        <v>O</v>
      </c>
      <c r="E3" s="18" t="str">
        <f aca="false">IFERROR(INDEX(종합!E$3:E$501,MATCH(ROW()-2,종합!$AE$3:$AE$501,0))&amp;"","")</f>
        <v>O</v>
      </c>
      <c r="F3" s="18" t="str">
        <f aca="false">IFERROR(INDEX(종합!F$3:F$501,MATCH(ROW()-2,종합!$AE$3:$AE$501,0))&amp;"","")</f>
        <v>O</v>
      </c>
      <c r="G3" s="18" t="str">
        <f aca="false">IFERROR(INDEX(종합!G$3:G$501,MATCH(ROW()-2,종합!$AE$3:$AE$501,0))&amp;"","")</f>
        <v>중소기업</v>
      </c>
      <c r="H3" s="21" t="str">
        <f aca="false">IFERROR(INDEX(종합!H$3:H$501,MATCH(ROW()-2,종합!$AE$3:$AE$501,0))&amp;"","")</f>
        <v>517-88-00087</v>
      </c>
      <c r="I3" s="21" t="str">
        <f aca="false">IFERROR(INDEX(종합!I$3:I$501,MATCH(ROW()-2,종합!$AE$3:$AE$501,0))&amp;"","")</f>
        <v>윤석원</v>
      </c>
      <c r="J3" s="21" t="str">
        <f aca="false">IFERROR(INDEX(종합!J$3:J$501,MATCH(ROW()-2,종합!$AE$3:$AE$501,0))&amp;"","")</f>
        <v>02-423-5178</v>
      </c>
      <c r="K3" s="21" t="str">
        <f aca="false">IFERROR(INDEX(종합!K$3:K$501,MATCH(ROW()-2,종합!$AE$3:$AE$501,0))&amp;"","")</f>
        <v>https://aiworkx.ai/</v>
      </c>
      <c r="L3" s="21" t="str">
        <f aca="false">IFERROR(INDEX(종합!L$3:L$501,MATCH(ROW()-2,종합!$AE$3:$AE$501,0))&amp;"","")</f>
        <v>fireashedsoul@gmail.com</v>
      </c>
      <c r="M3" s="21" t="str">
        <f aca="false">IFERROR(INDEX(종합!M$3:M$501,MATCH(ROW()-2,종합!$AE$3:$AE$501,0))&amp;"","")</f>
        <v>경기도 화성시 삼성1로5길 6, 813호·814호 (석우동, 원희동탄캐슬)</v>
      </c>
      <c r="N3" s="25" t="str">
        <f aca="false">IFERROR(INDEX(종합!N$3:N$501,MATCH(ROW()-2,종합!$AE$3:$AE$501,0))&amp;"","")</f>
        <v>AI Agent 개발 및 검증 서비스</v>
      </c>
      <c r="O3" s="21" t="str">
        <f aca="false">IFERROR(INDEX(종합!O$3:O$501,MATCH(ROW()-2,종합!$AE$3:$AE$501,0))&amp;"","")</f>
        <v>김형복</v>
      </c>
      <c r="P3" s="21" t="str">
        <f aca="false">IFERROR(INDEX(종합!P$3:P$501,MATCH(ROW()-2,종합!$AE$3:$AE$501,0))&amp;"","")</f>
        <v>AI 개발본부</v>
      </c>
      <c r="Q3" s="21" t="str">
        <f aca="false">IFERROR(INDEX(종합!Q$3:Q$501,MATCH(ROW()-2,종합!$AE$3:$AE$501,0))&amp;"","")</f>
        <v>이사 / 본부장</v>
      </c>
      <c r="R3" s="21" t="str">
        <f aca="false">IFERROR(INDEX(종합!R$3:R$501,MATCH(ROW()-2,종합!$AE$3:$AE$501,0))&amp;"","")</f>
        <v>02-423-5178</v>
      </c>
      <c r="S3" s="21" t="str">
        <f aca="false">IFERROR(INDEX(종합!S$3:S$501,MATCH(ROW()-2,종합!$AE$3:$AE$501,0))&amp;"","")</f>
        <v>kimhyeongbok@aiworkx.ai</v>
      </c>
      <c r="T3" s="21" t="str">
        <f aca="false">IFERROR(INDEX(종합!T$3:T$501,MATCH(ROW()-2,종합!$AE$3:$AE$501,0))&amp;"","")</f>
        <v>010-9102-8135</v>
      </c>
      <c r="U3" s="21" t="str">
        <f aca="false">IFERROR(INDEX(종합!U$3:U$501,MATCH(ROW()-2,종합!$AE$3:$AE$501,0))&amp;"","")</f>
        <v>안상훈</v>
      </c>
      <c r="V3" s="21" t="str">
        <f aca="false">IFERROR(INDEX(종합!V$3:V$501,MATCH(ROW()-2,종합!$AE$3:$AE$501,0))&amp;"","")</f>
        <v>AI 개발본부</v>
      </c>
      <c r="W3" s="21" t="str">
        <f aca="false">IFERROR(INDEX(종합!W$3:W$501,MATCH(ROW()-2,종합!$AE$3:$AE$501,0))&amp;"","")</f>
        <v>책임연구원 / 팀장</v>
      </c>
      <c r="X3" s="21" t="str">
        <f aca="false">IFERROR(INDEX(종합!X$3:X$501,MATCH(ROW()-2,종합!$AE$3:$AE$501,0))&amp;"","")</f>
        <v>02-423-5178</v>
      </c>
      <c r="Y3" s="21" t="str">
        <f aca="false">IFERROR(INDEX(종합!Y$3:Y$501,MATCH(ROW()-2,종합!$AE$3:$AE$501,0))&amp;"","")</f>
        <v>shahn@aiworkx.ai</v>
      </c>
      <c r="Z3" s="21" t="str">
        <f aca="false">IFERROR(INDEX(종합!Z$3:Z$501,MATCH(ROW()-2,종합!$AE$3:$AE$501,0))&amp;"","")</f>
        <v>010-4720-7721</v>
      </c>
    </row>
    <row r="4" customFormat="false" ht="22.5" hidden="false" customHeight="true" outlineLevel="0" collapsed="false">
      <c r="A4" s="18" t="n">
        <f aca="false">IF(B4="","",ROW()-2)</f>
        <v>2</v>
      </c>
      <c r="B4" s="18" t="str">
        <f aca="false">IFERROR(INDEX(종합!B$3:B$501,MATCH(ROW()-2,종합!$AE$3:$AE$501,0))&amp;"","")</f>
        <v>알서포트 주식회사</v>
      </c>
      <c r="C4" s="18" t="str">
        <f aca="false">IFERROR(INDEX(종합!C$3:C$501,MATCH(ROW()-2,종합!$AE$3:$AE$501,0))&amp;"","")</f>
        <v>O</v>
      </c>
      <c r="D4" s="18" t="str">
        <f aca="false">IFERROR(INDEX(종합!D$3:D$501,MATCH(ROW()-2,종합!$AE$3:$AE$501,0))&amp;"","")</f>
        <v>O</v>
      </c>
      <c r="E4" s="18" t="str">
        <f aca="false">IFERROR(INDEX(종합!E$3:E$501,MATCH(ROW()-2,종합!$AE$3:$AE$501,0))&amp;"","")</f>
        <v>O</v>
      </c>
      <c r="F4" s="18" t="str">
        <f aca="false">IFERROR(INDEX(종합!F$3:F$501,MATCH(ROW()-2,종합!$AE$3:$AE$501,0))&amp;"","")</f>
        <v>O</v>
      </c>
      <c r="G4" s="18" t="str">
        <f aca="false">IFERROR(INDEX(종합!G$3:G$501,MATCH(ROW()-2,종합!$AE$3:$AE$501,0))&amp;"","")</f>
        <v>중소기업</v>
      </c>
      <c r="H4" s="21" t="str">
        <f aca="false">IFERROR(INDEX(종합!H$3:H$501,MATCH(ROW()-2,종합!$AE$3:$AE$501,0))&amp;"","")</f>
        <v>114-86-82265</v>
      </c>
      <c r="I4" s="21" t="str">
        <f aca="false">IFERROR(INDEX(종합!I$3:I$501,MATCH(ROW()-2,종합!$AE$3:$AE$501,0))&amp;"","")</f>
        <v>서형수</v>
      </c>
      <c r="J4" s="21" t="str">
        <f aca="false">IFERROR(INDEX(종합!J$3:J$501,MATCH(ROW()-2,종합!$AE$3:$AE$501,0))&amp;"","")</f>
        <v>070-7011-3900</v>
      </c>
      <c r="K4" s="21" t="str">
        <f aca="false">IFERROR(INDEX(종합!K$3:K$501,MATCH(ROW()-2,종합!$AE$3:$AE$501,0))&amp;"","")</f>
        <v>https://www.rsupport.com/ko-kr/</v>
      </c>
      <c r="L4" s="21" t="str">
        <f aca="false">IFERROR(INDEX(종합!L$3:L$501,MATCH(ROW()-2,종합!$AE$3:$AE$501,0))&amp;"","")</f>
        <v>donghyung.shin@gmail.com</v>
      </c>
      <c r="M4" s="21" t="str">
        <f aca="false">IFERROR(INDEX(종합!M$3:M$501,MATCH(ROW()-2,종합!$AE$3:$AE$501,0))&amp;"","")</f>
        <v>서울특별시 강동구 고덕비즈밸리로2가길 12 (고덕동)</v>
      </c>
      <c r="N4" s="25" t="str">
        <f aca="false">IFERROR(INDEX(종합!N$3:N$501,MATCH(ROW()-2,종합!$AE$3:$AE$501,0))&amp;"","")</f>
        <v>AI 리포(AI:REPOTO) 및 AI Agents</v>
      </c>
      <c r="O4" s="21" t="str">
        <f aca="false">IFERROR(INDEX(종합!O$3:O$501,MATCH(ROW()-2,종합!$AE$3:$AE$501,0))&amp;"","")</f>
        <v>신동형</v>
      </c>
      <c r="P4" s="21" t="str">
        <f aca="false">IFERROR(INDEX(종합!P$3:P$501,MATCH(ROW()-2,종합!$AE$3:$AE$501,0))&amp;"","")</f>
        <v>전략기획팀</v>
      </c>
      <c r="Q4" s="21" t="str">
        <f aca="false">IFERROR(INDEX(종합!Q$3:Q$501,MATCH(ROW()-2,종합!$AE$3:$AE$501,0))&amp;"","")</f>
        <v>CSO</v>
      </c>
      <c r="R4" s="21" t="str">
        <f aca="false">IFERROR(INDEX(종합!R$3:R$501,MATCH(ROW()-2,종합!$AE$3:$AE$501,0))&amp;"","")</f>
        <v>010-2202-8761</v>
      </c>
      <c r="S4" s="21" t="str">
        <f aca="false">IFERROR(INDEX(종합!S$3:S$501,MATCH(ROW()-2,종합!$AE$3:$AE$501,0))&amp;"","")</f>
        <v>dhshin@rsupport.com</v>
      </c>
      <c r="T4" s="21" t="str">
        <f aca="false">IFERROR(INDEX(종합!T$3:T$501,MATCH(ROW()-2,종합!$AE$3:$AE$501,0))&amp;"","")</f>
        <v>010-2202-8761</v>
      </c>
      <c r="U4" s="21" t="str">
        <f aca="false">IFERROR(INDEX(종합!U$3:U$501,MATCH(ROW()-2,종합!$AE$3:$AE$501,0))&amp;"","")</f>
        <v>하승호</v>
      </c>
      <c r="V4" s="21" t="str">
        <f aca="false">IFERROR(INDEX(종합!V$3:V$501,MATCH(ROW()-2,종합!$AE$3:$AE$501,0))&amp;"","")</f>
        <v>연구기획팀</v>
      </c>
      <c r="W4" s="21" t="str">
        <f aca="false">IFERROR(INDEX(종합!W$3:W$501,MATCH(ROW()-2,종합!$AE$3:$AE$501,0))&amp;"","")</f>
        <v>책임</v>
      </c>
      <c r="X4" s="21" t="str">
        <f aca="false">IFERROR(INDEX(종합!X$3:X$501,MATCH(ROW()-2,종합!$AE$3:$AE$501,0))&amp;"","")</f>
        <v>010-4142-1220</v>
      </c>
      <c r="Y4" s="21" t="str">
        <f aca="false">IFERROR(INDEX(종합!Y$3:Y$501,MATCH(ROW()-2,종합!$AE$3:$AE$501,0))&amp;"","")</f>
        <v>shha@rsupport.com</v>
      </c>
      <c r="Z4" s="21" t="str">
        <f aca="false">IFERROR(INDEX(종합!Z$3:Z$501,MATCH(ROW()-2,종합!$AE$3:$AE$501,0))&amp;"","")</f>
        <v>010-4142-1220</v>
      </c>
    </row>
    <row r="5" customFormat="false" ht="101.25" hidden="false" customHeight="true" outlineLevel="0" collapsed="false">
      <c r="A5" s="18" t="n">
        <f aca="false">IF(B5="","",ROW()-2)</f>
        <v>3</v>
      </c>
      <c r="B5" s="18" t="str">
        <f aca="false">IFERROR(INDEX(종합!B$3:B$501,MATCH(ROW()-2,종합!$AE$3:$AE$501,0))&amp;"","")</f>
        <v>(주)나라지식정보</v>
      </c>
      <c r="C5" s="18" t="str">
        <f aca="false">IFERROR(INDEX(종합!C$3:C$501,MATCH(ROW()-2,종합!$AE$3:$AE$501,0))&amp;"","")</f>
        <v>O</v>
      </c>
      <c r="D5" s="18" t="str">
        <f aca="false">IFERROR(INDEX(종합!D$3:D$501,MATCH(ROW()-2,종합!$AE$3:$AE$501,0))&amp;"","")</f>
        <v/>
      </c>
      <c r="E5" s="18" t="str">
        <f aca="false">IFERROR(INDEX(종합!E$3:E$501,MATCH(ROW()-2,종합!$AE$3:$AE$501,0))&amp;"","")</f>
        <v>O</v>
      </c>
      <c r="F5" s="18" t="str">
        <f aca="false">IFERROR(INDEX(종합!F$3:F$501,MATCH(ROW()-2,종합!$AE$3:$AE$501,0))&amp;"","")</f>
        <v>O</v>
      </c>
      <c r="G5" s="18" t="str">
        <f aca="false">IFERROR(INDEX(종합!G$3:G$501,MATCH(ROW()-2,종합!$AE$3:$AE$501,0))&amp;"","")</f>
        <v>중소기업</v>
      </c>
      <c r="H5" s="21" t="str">
        <f aca="false">IFERROR(INDEX(종합!H$3:H$501,MATCH(ROW()-2,종합!$AE$3:$AE$501,0))&amp;"","")</f>
        <v>105-87-16808</v>
      </c>
      <c r="I5" s="21" t="str">
        <f aca="false">IFERROR(INDEX(종합!I$3:I$501,MATCH(ROW()-2,종합!$AE$3:$AE$501,0))&amp;"","")</f>
        <v>손영호</v>
      </c>
      <c r="J5" s="21" t="str">
        <f aca="false">IFERROR(INDEX(종합!J$3:J$501,MATCH(ROW()-2,종합!$AE$3:$AE$501,0))&amp;"","")</f>
        <v>02-3141-7644</v>
      </c>
      <c r="K5" s="21" t="str">
        <f aca="false">IFERROR(INDEX(종합!K$3:K$501,MATCH(ROW()-2,종합!$AE$3:$AE$501,0))&amp;"","")</f>
        <v>www.narainformation.com</v>
      </c>
      <c r="L5" s="21" t="str">
        <f aca="false">IFERROR(INDEX(종합!L$3:L$501,MATCH(ROW()-2,종합!$AE$3:$AE$501,0))&amp;"","")</f>
        <v>shinnanta88@gmail.com</v>
      </c>
      <c r="M5" s="21" t="str">
        <f aca="false">IFERROR(INDEX(종합!M$3:M$501,MATCH(ROW()-2,종합!$AE$3:$AE$501,0))&amp;"","")</f>
        <v>서울 종로구 삼봉로81, 409호(두산위브파빌리온)</v>
      </c>
      <c r="N5" s="25" t="str">
        <f aca="false">IFERROR(INDEX(종합!N$3:N$501,MATCH(ROW()-2,종합!$AE$3:$AE$501,0))&amp;"","")</f>
        <v>NARA OCR(비정형 강점 범용 OCR-RAG LLM), A Doc Cube(고문헌/훼손문서OCR). 주춧돌LM(근대문서 연구 AI Agent), NA-LLM(NA-LLM 민원처리 RAG, NA-LLM-REF vLLM 기반 자연어 지식 검색 시스템-근거제시 XAI), NARA READ VOICE(스마트 키보드.시각장애인 업무보조 스마트 기술 및 기기), Metaverse Blind(시각장애인 접근성지원 메타버스콘텐츠),NARA Detection AI(영상기반 쓰러짐 감지 AI)</v>
      </c>
      <c r="O5" s="21" t="str">
        <f aca="false">IFERROR(INDEX(종합!O$3:O$501,MATCH(ROW()-2,종합!$AE$3:$AE$501,0))&amp;"","")</f>
        <v>김소정</v>
      </c>
      <c r="P5" s="21" t="str">
        <f aca="false">IFERROR(INDEX(종합!P$3:P$501,MATCH(ROW()-2,종합!$AE$3:$AE$501,0))&amp;"","")</f>
        <v>인문인공지능연구소</v>
      </c>
      <c r="Q5" s="21" t="str">
        <f aca="false">IFERROR(INDEX(종합!Q$3:Q$501,MATCH(ROW()-2,종합!$AE$3:$AE$501,0))&amp;"","")</f>
        <v>소장</v>
      </c>
      <c r="R5" s="21" t="str">
        <f aca="false">IFERROR(INDEX(종합!R$3:R$501,MATCH(ROW()-2,종합!$AE$3:$AE$501,0))&amp;"","")</f>
        <v>02-3141-7644</v>
      </c>
      <c r="S5" s="21" t="str">
        <f aca="false">IFERROR(INDEX(종합!S$3:S$501,MATCH(ROW()-2,종합!$AE$3:$AE$501,0))&amp;"","")</f>
        <v>sojung.kim@narainformation.com</v>
      </c>
      <c r="T5" s="21" t="str">
        <f aca="false">IFERROR(INDEX(종합!T$3:T$501,MATCH(ROW()-2,종합!$AE$3:$AE$501,0))&amp;"","")</f>
        <v>010-4634-8773</v>
      </c>
      <c r="U5" s="21" t="str">
        <f aca="false">IFERROR(INDEX(종합!U$3:U$501,MATCH(ROW()-2,종합!$AE$3:$AE$501,0))&amp;"","")</f>
        <v>신난타</v>
      </c>
      <c r="V5" s="21" t="str">
        <f aca="false">IFERROR(INDEX(종합!V$3:V$501,MATCH(ROW()-2,종합!$AE$3:$AE$501,0))&amp;"","")</f>
        <v>경영기획실</v>
      </c>
      <c r="W5" s="21" t="str">
        <f aca="false">IFERROR(INDEX(종합!W$3:W$501,MATCH(ROW()-2,종합!$AE$3:$AE$501,0))&amp;"","")</f>
        <v>부장/브랜드혁신기술부장</v>
      </c>
      <c r="X5" s="21" t="str">
        <f aca="false">IFERROR(INDEX(종합!X$3:X$501,MATCH(ROW()-2,종합!$AE$3:$AE$501,0))&amp;"","")</f>
        <v>02-3141-7644</v>
      </c>
      <c r="Y5" s="21" t="str">
        <f aca="false">IFERROR(INDEX(종합!Y$3:Y$501,MATCH(ROW()-2,종합!$AE$3:$AE$501,0))&amp;"","")</f>
        <v>shinnanta88@narainformation.com</v>
      </c>
      <c r="Z5" s="21" t="str">
        <f aca="false">IFERROR(INDEX(종합!Z$3:Z$501,MATCH(ROW()-2,종합!$AE$3:$AE$501,0))&amp;"","")</f>
        <v>010-6289-5425</v>
      </c>
    </row>
    <row r="6" customFormat="false" ht="33.75" hidden="false" customHeight="true" outlineLevel="0" collapsed="false">
      <c r="A6" s="18" t="n">
        <f aca="false">IF(B6="","",ROW()-2)</f>
        <v>4</v>
      </c>
      <c r="B6" s="18" t="str">
        <f aca="false">IFERROR(INDEX(종합!B$3:B$501,MATCH(ROW()-2,종합!$AE$3:$AE$501,0))&amp;"","")</f>
        <v>클로아이(주)</v>
      </c>
      <c r="C6" s="18" t="str">
        <f aca="false">IFERROR(INDEX(종합!C$3:C$501,MATCH(ROW()-2,종합!$AE$3:$AE$501,0))&amp;"","")</f>
        <v>O</v>
      </c>
      <c r="D6" s="18" t="str">
        <f aca="false">IFERROR(INDEX(종합!D$3:D$501,MATCH(ROW()-2,종합!$AE$3:$AE$501,0))&amp;"","")</f>
        <v>O</v>
      </c>
      <c r="E6" s="18" t="str">
        <f aca="false">IFERROR(INDEX(종합!E$3:E$501,MATCH(ROW()-2,종합!$AE$3:$AE$501,0))&amp;"","")</f>
        <v>O</v>
      </c>
      <c r="F6" s="18" t="str">
        <f aca="false">IFERROR(INDEX(종합!F$3:F$501,MATCH(ROW()-2,종합!$AE$3:$AE$501,0))&amp;"","")</f>
        <v>O</v>
      </c>
      <c r="G6" s="18" t="str">
        <f aca="false">IFERROR(INDEX(종합!G$3:G$501,MATCH(ROW()-2,종합!$AE$3:$AE$501,0))&amp;"","")</f>
        <v>중소기업</v>
      </c>
      <c r="H6" s="21" t="str">
        <f aca="false">IFERROR(INDEX(종합!H$3:H$501,MATCH(ROW()-2,종합!$AE$3:$AE$501,0))&amp;"","")</f>
        <v>519-88-02650</v>
      </c>
      <c r="I6" s="21" t="str">
        <f aca="false">IFERROR(INDEX(종합!I$3:I$501,MATCH(ROW()-2,종합!$AE$3:$AE$501,0))&amp;"","")</f>
        <v>김성룡</v>
      </c>
      <c r="J6" s="21" t="str">
        <f aca="false">IFERROR(INDEX(종합!J$3:J$501,MATCH(ROW()-2,종합!$AE$3:$AE$501,0))&amp;"","")</f>
        <v>070-8095-9212</v>
      </c>
      <c r="K6" s="21" t="str">
        <f aca="false">IFERROR(INDEX(종합!K$3:K$501,MATCH(ROW()-2,종합!$AE$3:$AE$501,0))&amp;"","")</f>
        <v>http://www.cloai.co.kr</v>
      </c>
      <c r="L6" s="21" t="str">
        <f aca="false">IFERROR(INDEX(종합!L$3:L$501,MATCH(ROW()-2,종합!$AE$3:$AE$501,0))&amp;"","")</f>
        <v>sedragons@gmail.com</v>
      </c>
      <c r="M6" s="21" t="str">
        <f aca="false">IFERROR(INDEX(종합!M$3:M$501,MATCH(ROW()-2,종합!$AE$3:$AE$501,0))&amp;"","")</f>
        <v>서울시 강남구 테헤란로 34길14, 정인빌딩 401호</v>
      </c>
      <c r="N6" s="25" t="str">
        <f aca="false">IFERROR(INDEX(종합!N$3:N$501,MATCH(ROW()-2,종합!$AE$3:$AE$501,0))&amp;"","")</f>
        <v>AI 산업안전 도우미 LLM, 휴머노이드 로봇 행동인지 및 대화 시스템</v>
      </c>
      <c r="O6" s="21" t="str">
        <f aca="false">IFERROR(INDEX(종합!O$3:O$501,MATCH(ROW()-2,종합!$AE$3:$AE$501,0))&amp;"","")</f>
        <v>김성룡</v>
      </c>
      <c r="P6" s="21" t="str">
        <f aca="false">IFERROR(INDEX(종합!P$3:P$501,MATCH(ROW()-2,종합!$AE$3:$AE$501,0))&amp;"","")</f>
        <v>경영본부</v>
      </c>
      <c r="Q6" s="21" t="str">
        <f aca="false">IFERROR(INDEX(종합!Q$3:Q$501,MATCH(ROW()-2,종합!$AE$3:$AE$501,0))&amp;"","")</f>
        <v>CEO</v>
      </c>
      <c r="R6" s="21" t="str">
        <f aca="false">IFERROR(INDEX(종합!R$3:R$501,MATCH(ROW()-2,종합!$AE$3:$AE$501,0))&amp;"","")</f>
        <v>010-4880-9949</v>
      </c>
      <c r="S6" s="21" t="str">
        <f aca="false">IFERROR(INDEX(종합!S$3:S$501,MATCH(ROW()-2,종합!$AE$3:$AE$501,0))&amp;"","")</f>
        <v>cloai@cloai.co.kr</v>
      </c>
      <c r="T6" s="21" t="str">
        <f aca="false">IFERROR(INDEX(종합!T$3:T$501,MATCH(ROW()-2,종합!$AE$3:$AE$501,0))&amp;"","")</f>
        <v>010-4880-9949</v>
      </c>
      <c r="U6" s="21" t="str">
        <f aca="false">IFERROR(INDEX(종합!U$3:U$501,MATCH(ROW()-2,종합!$AE$3:$AE$501,0))&amp;"","")</f>
        <v>조세희</v>
      </c>
      <c r="V6" s="21" t="str">
        <f aca="false">IFERROR(INDEX(종합!V$3:V$501,MATCH(ROW()-2,종합!$AE$3:$AE$501,0))&amp;"","")</f>
        <v>AI사업부</v>
      </c>
      <c r="W6" s="21" t="str">
        <f aca="false">IFERROR(INDEX(종합!W$3:W$501,MATCH(ROW()-2,종합!$AE$3:$AE$501,0))&amp;"","")</f>
        <v>대리</v>
      </c>
      <c r="X6" s="21" t="str">
        <f aca="false">IFERROR(INDEX(종합!X$3:X$501,MATCH(ROW()-2,종합!$AE$3:$AE$501,0))&amp;"","")</f>
        <v>010-7338-9133</v>
      </c>
      <c r="Y6" s="21" t="str">
        <f aca="false">IFERROR(INDEX(종합!Y$3:Y$501,MATCH(ROW()-2,종합!$AE$3:$AE$501,0))&amp;"","")</f>
        <v>shjo@cloai.co.kr</v>
      </c>
      <c r="Z6" s="21" t="str">
        <f aca="false">IFERROR(INDEX(종합!Z$3:Z$501,MATCH(ROW()-2,종합!$AE$3:$AE$501,0))&amp;"","")</f>
        <v>010-7338-9133</v>
      </c>
    </row>
    <row r="7" customFormat="false" ht="22.5" hidden="false" customHeight="true" outlineLevel="0" collapsed="false">
      <c r="A7" s="18" t="n">
        <f aca="false">IF(B7="","",ROW()-2)</f>
        <v>5</v>
      </c>
      <c r="B7" s="18" t="str">
        <f aca="false">IFERROR(INDEX(종합!B$3:B$501,MATCH(ROW()-2,종합!$AE$3:$AE$501,0))&amp;"","")</f>
        <v>(주)한국키네티코엔지니어링</v>
      </c>
      <c r="C7" s="18" t="str">
        <f aca="false">IFERROR(INDEX(종합!C$3:C$501,MATCH(ROW()-2,종합!$AE$3:$AE$501,0))&amp;"","")</f>
        <v>O</v>
      </c>
      <c r="D7" s="18" t="str">
        <f aca="false">IFERROR(INDEX(종합!D$3:D$501,MATCH(ROW()-2,종합!$AE$3:$AE$501,0))&amp;"","")</f>
        <v>O</v>
      </c>
      <c r="E7" s="18" t="str">
        <f aca="false">IFERROR(INDEX(종합!E$3:E$501,MATCH(ROW()-2,종합!$AE$3:$AE$501,0))&amp;"","")</f>
        <v>O</v>
      </c>
      <c r="F7" s="18" t="str">
        <f aca="false">IFERROR(INDEX(종합!F$3:F$501,MATCH(ROW()-2,종합!$AE$3:$AE$501,0))&amp;"","")</f>
        <v>O</v>
      </c>
      <c r="G7" s="18" t="str">
        <f aca="false">IFERROR(INDEX(종합!G$3:G$501,MATCH(ROW()-2,종합!$AE$3:$AE$501,0))&amp;"","")</f>
        <v>중소기업</v>
      </c>
      <c r="H7" s="21" t="str">
        <f aca="false">IFERROR(INDEX(종합!H$3:H$501,MATCH(ROW()-2,종합!$AE$3:$AE$501,0))&amp;"","")</f>
        <v>501-81-18337</v>
      </c>
      <c r="I7" s="21" t="str">
        <f aca="false">IFERROR(INDEX(종합!I$3:I$501,MATCH(ROW()-2,종합!$AE$3:$AE$501,0))&amp;"","")</f>
        <v>오재완</v>
      </c>
      <c r="J7" s="21" t="str">
        <f aca="false">IFERROR(INDEX(종합!J$3:J$501,MATCH(ROW()-2,종합!$AE$3:$AE$501,0))&amp;"","")</f>
        <v>053-255-2583</v>
      </c>
      <c r="K7" s="21" t="str">
        <f aca="false">IFERROR(INDEX(종합!K$3:K$501,MATCH(ROW()-2,종합!$AE$3:$AE$501,0))&amp;"","")</f>
        <v>https://osgloture.org</v>
      </c>
      <c r="L7" s="21" t="str">
        <f aca="false">IFERROR(INDEX(종합!L$3:L$501,MATCH(ROW()-2,종합!$AE$3:$AE$501,0))&amp;"","")</f>
        <v>mso@osgloture.org</v>
      </c>
      <c r="M7" s="21" t="str">
        <f aca="false">IFERROR(INDEX(종합!M$3:M$501,MATCH(ROW()-2,종합!$AE$3:$AE$501,0))&amp;"","")</f>
        <v>대구 수성구 알파시티1로 194 602호</v>
      </c>
      <c r="N7" s="25" t="str">
        <f aca="false">IFERROR(INDEX(종합!N$3:N$501,MATCH(ROW()-2,종합!$AE$3:$AE$501,0))&amp;"","")</f>
        <v>온디바이스 AI</v>
      </c>
      <c r="O7" s="21" t="str">
        <f aca="false">IFERROR(INDEX(종합!O$3:O$501,MATCH(ROW()-2,종합!$AE$3:$AE$501,0))&amp;"","")</f>
        <v>오민수</v>
      </c>
      <c r="P7" s="21" t="str">
        <f aca="false">IFERROR(INDEX(종합!P$3:P$501,MATCH(ROW()-2,종합!$AE$3:$AE$501,0))&amp;"","")</f>
        <v>영업마케팅</v>
      </c>
      <c r="Q7" s="21" t="str">
        <f aca="false">IFERROR(INDEX(종합!Q$3:Q$501,MATCH(ROW()-2,종합!$AE$3:$AE$501,0))&amp;"","")</f>
        <v>팀장</v>
      </c>
      <c r="R7" s="21" t="str">
        <f aca="false">IFERROR(INDEX(종합!R$3:R$501,MATCH(ROW()-2,종합!$AE$3:$AE$501,0))&amp;"","")</f>
        <v>053-255-2583</v>
      </c>
      <c r="S7" s="21" t="str">
        <f aca="false">IFERROR(INDEX(종합!S$3:S$501,MATCH(ROW()-2,종합!$AE$3:$AE$501,0))&amp;"","")</f>
        <v>mso@osgloture.org</v>
      </c>
      <c r="T7" s="21" t="str">
        <f aca="false">IFERROR(INDEX(종합!T$3:T$501,MATCH(ROW()-2,종합!$AE$3:$AE$501,0))&amp;"","")</f>
        <v>010-8780-1771</v>
      </c>
      <c r="U7" s="21" t="str">
        <f aca="false">IFERROR(INDEX(종합!U$3:U$501,MATCH(ROW()-2,종합!$AE$3:$AE$501,0))&amp;"","")</f>
        <v>오민수</v>
      </c>
      <c r="V7" s="21" t="str">
        <f aca="false">IFERROR(INDEX(종합!V$3:V$501,MATCH(ROW()-2,종합!$AE$3:$AE$501,0))&amp;"","")</f>
        <v>영업마케팅</v>
      </c>
      <c r="W7" s="21" t="str">
        <f aca="false">IFERROR(INDEX(종합!W$3:W$501,MATCH(ROW()-2,종합!$AE$3:$AE$501,0))&amp;"","")</f>
        <v>팀장</v>
      </c>
      <c r="X7" s="21" t="str">
        <f aca="false">IFERROR(INDEX(종합!X$3:X$501,MATCH(ROW()-2,종합!$AE$3:$AE$501,0))&amp;"","")</f>
        <v>053-255-2583</v>
      </c>
      <c r="Y7" s="21" t="str">
        <f aca="false">IFERROR(INDEX(종합!Y$3:Y$501,MATCH(ROW()-2,종합!$AE$3:$AE$501,0))&amp;"","")</f>
        <v>mso@osgloture.org</v>
      </c>
      <c r="Z7" s="21" t="str">
        <f aca="false">IFERROR(INDEX(종합!Z$3:Z$501,MATCH(ROW()-2,종합!$AE$3:$AE$501,0))&amp;"","")</f>
        <v>010-8780-1771</v>
      </c>
    </row>
    <row r="8" customFormat="false" ht="33.75" hidden="false" customHeight="true" outlineLevel="0" collapsed="false">
      <c r="A8" s="18" t="n">
        <f aca="false">IF(B8="","",ROW()-2)</f>
        <v>6</v>
      </c>
      <c r="B8" s="18" t="str">
        <f aca="false">IFERROR(INDEX(종합!B$3:B$501,MATCH(ROW()-2,종합!$AE$3:$AE$501,0))&amp;"","")</f>
        <v>펜타시스템테크놀러지(주)</v>
      </c>
      <c r="C8" s="18" t="str">
        <f aca="false">IFERROR(INDEX(종합!C$3:C$501,MATCH(ROW()-2,종합!$AE$3:$AE$501,0))&amp;"","")</f>
        <v>O</v>
      </c>
      <c r="D8" s="18" t="str">
        <f aca="false">IFERROR(INDEX(종합!D$3:D$501,MATCH(ROW()-2,종합!$AE$3:$AE$501,0))&amp;"","")</f>
        <v>O</v>
      </c>
      <c r="E8" s="18" t="str">
        <f aca="false">IFERROR(INDEX(종합!E$3:E$501,MATCH(ROW()-2,종합!$AE$3:$AE$501,0))&amp;"","")</f>
        <v>O</v>
      </c>
      <c r="F8" s="18" t="str">
        <f aca="false">IFERROR(INDEX(종합!F$3:F$501,MATCH(ROW()-2,종합!$AE$3:$AE$501,0))&amp;"","")</f>
        <v>O</v>
      </c>
      <c r="G8" s="18" t="str">
        <f aca="false">IFERROR(INDEX(종합!G$3:G$501,MATCH(ROW()-2,종합!$AE$3:$AE$501,0))&amp;"","")</f>
        <v>중견기업</v>
      </c>
      <c r="H8" s="21" t="str">
        <f aca="false">IFERROR(INDEX(종합!H$3:H$501,MATCH(ROW()-2,종합!$AE$3:$AE$501,0))&amp;"","")</f>
        <v>116-81-35346</v>
      </c>
      <c r="I8" s="21" t="str">
        <f aca="false">IFERROR(INDEX(종합!I$3:I$501,MATCH(ROW()-2,종합!$AE$3:$AE$501,0))&amp;"","")</f>
        <v>장종준</v>
      </c>
      <c r="J8" s="21" t="str">
        <f aca="false">IFERROR(INDEX(종합!J$3:J$501,MATCH(ROW()-2,종합!$AE$3:$AE$501,0))&amp;"","")</f>
        <v>02-769-9700</v>
      </c>
      <c r="K8" s="21" t="str">
        <f aca="false">IFERROR(INDEX(종합!K$3:K$501,MATCH(ROW()-2,종합!$AE$3:$AE$501,0))&amp;"","")</f>
        <v>www.penta.co.kr</v>
      </c>
      <c r="L8" s="21" t="str">
        <f aca="false">IFERROR(INDEX(종합!L$3:L$501,MATCH(ROW()-2,종합!$AE$3:$AE$501,0))&amp;"","")</f>
        <v>jukab2246@gmail.com</v>
      </c>
      <c r="M8" s="21" t="str">
        <f aca="false">IFERROR(INDEX(종합!M$3:M$501,MATCH(ROW()-2,종합!$AE$3:$AE$501,0))&amp;"","")</f>
        <v>서울특별시 영등포구 여의공원로 115 세우빌딩 10, 11</v>
      </c>
      <c r="N8" s="25" t="str">
        <f aca="false">IFERROR(INDEX(종합!N$3:N$501,MATCH(ROW()-2,종합!$AE$3:$AE$501,0))&amp;"","")</f>
        <v>학습데이터 생성을 위한 개인정보 비식별화 솔루션 및  AI Agent 포털 솔루션 보유</v>
      </c>
      <c r="O8" s="21" t="str">
        <f aca="false">IFERROR(INDEX(종합!O$3:O$501,MATCH(ROW()-2,종합!$AE$3:$AE$501,0))&amp;"","")</f>
        <v>김동한</v>
      </c>
      <c r="P8" s="21" t="str">
        <f aca="false">IFERROR(INDEX(종합!P$3:P$501,MATCH(ROW()-2,종합!$AE$3:$AE$501,0))&amp;"","")</f>
        <v>펜타 Lab5 고등기술연구소</v>
      </c>
      <c r="Q8" s="21" t="str">
        <f aca="false">IFERROR(INDEX(종합!Q$3:Q$501,MATCH(ROW()-2,종합!$AE$3:$AE$501,0))&amp;"","")</f>
        <v>전문위원/연구소장</v>
      </c>
      <c r="R8" s="21" t="str">
        <f aca="false">IFERROR(INDEX(종합!R$3:R$501,MATCH(ROW()-2,종합!$AE$3:$AE$501,0))&amp;"","")</f>
        <v>02-769-9773</v>
      </c>
      <c r="S8" s="21" t="str">
        <f aca="false">IFERROR(INDEX(종합!S$3:S$501,MATCH(ROW()-2,종합!$AE$3:$AE$501,0))&amp;"","")</f>
        <v>picollo@penta.co.kr</v>
      </c>
      <c r="T8" s="21" t="str">
        <f aca="false">IFERROR(INDEX(종합!T$3:T$501,MATCH(ROW()-2,종합!$AE$3:$AE$501,0))&amp;"","")</f>
        <v>010-9188-1021</v>
      </c>
      <c r="U8" s="21" t="str">
        <f aca="false">IFERROR(INDEX(종합!U$3:U$501,MATCH(ROW()-2,종합!$AE$3:$AE$501,0))&amp;"","")</f>
        <v>정광용</v>
      </c>
      <c r="V8" s="21" t="str">
        <f aca="false">IFERROR(INDEX(종합!V$3:V$501,MATCH(ROW()-2,종합!$AE$3:$AE$501,0))&amp;"","")</f>
        <v>DG팀</v>
      </c>
      <c r="W8" s="21" t="str">
        <f aca="false">IFERROR(INDEX(종합!W$3:W$501,MATCH(ROW()-2,종합!$AE$3:$AE$501,0))&amp;"","")</f>
        <v>기술위원/팀장</v>
      </c>
      <c r="X8" s="21" t="str">
        <f aca="false">IFERROR(INDEX(종합!X$3:X$501,MATCH(ROW()-2,종합!$AE$3:$AE$501,0))&amp;"","")</f>
        <v>02-769-9760</v>
      </c>
      <c r="Y8" s="21" t="str">
        <f aca="false">IFERROR(INDEX(종합!Y$3:Y$501,MATCH(ROW()-2,종합!$AE$3:$AE$501,0))&amp;"","")</f>
        <v>kychung@penta.co.kr</v>
      </c>
      <c r="Z8" s="21" t="str">
        <f aca="false">IFERROR(INDEX(종합!Z$3:Z$501,MATCH(ROW()-2,종합!$AE$3:$AE$501,0))&amp;"","")</f>
        <v>010-3264-5708</v>
      </c>
    </row>
    <row r="9" customFormat="false" ht="22.5" hidden="false" customHeight="true" outlineLevel="0" collapsed="false">
      <c r="A9" s="18" t="n">
        <f aca="false">IF(B9="","",ROW()-2)</f>
        <v>7</v>
      </c>
      <c r="B9" s="18" t="str">
        <f aca="false">IFERROR(INDEX(종합!B$3:B$501,MATCH(ROW()-2,종합!$AE$3:$AE$501,0))&amp;"","")</f>
        <v>(주)코난테크놀로지</v>
      </c>
      <c r="C9" s="18" t="str">
        <f aca="false">IFERROR(INDEX(종합!C$3:C$501,MATCH(ROW()-2,종합!$AE$3:$AE$501,0))&amp;"","")</f>
        <v>O</v>
      </c>
      <c r="D9" s="18" t="str">
        <f aca="false">IFERROR(INDEX(종합!D$3:D$501,MATCH(ROW()-2,종합!$AE$3:$AE$501,0))&amp;"","")</f>
        <v>O</v>
      </c>
      <c r="E9" s="18" t="str">
        <f aca="false">IFERROR(INDEX(종합!E$3:E$501,MATCH(ROW()-2,종합!$AE$3:$AE$501,0))&amp;"","")</f>
        <v/>
      </c>
      <c r="F9" s="18" t="str">
        <f aca="false">IFERROR(INDEX(종합!F$3:F$501,MATCH(ROW()-2,종합!$AE$3:$AE$501,0))&amp;"","")</f>
        <v>O</v>
      </c>
      <c r="G9" s="18" t="str">
        <f aca="false">IFERROR(INDEX(종합!G$3:G$501,MATCH(ROW()-2,종합!$AE$3:$AE$501,0))&amp;"","")</f>
        <v>중소기업</v>
      </c>
      <c r="H9" s="21" t="str">
        <f aca="false">IFERROR(INDEX(종합!H$3:H$501,MATCH(ROW()-2,종합!$AE$3:$AE$501,0))&amp;"","")</f>
        <v>229-81-37316</v>
      </c>
      <c r="I9" s="21" t="str">
        <f aca="false">IFERROR(INDEX(종합!I$3:I$501,MATCH(ROW()-2,종합!$AE$3:$AE$501,0))&amp;"","")</f>
        <v>김영섬</v>
      </c>
      <c r="J9" s="21" t="str">
        <f aca="false">IFERROR(INDEX(종합!J$3:J$501,MATCH(ROW()-2,종합!$AE$3:$AE$501,0))&amp;"","")</f>
        <v>1533-1614</v>
      </c>
      <c r="K9" s="21" t="str">
        <f aca="false">IFERROR(INDEX(종합!K$3:K$501,MATCH(ROW()-2,종합!$AE$3:$AE$501,0))&amp;"","")</f>
        <v>https://www.konantech.com/</v>
      </c>
      <c r="L9" s="21" t="str">
        <f aca="false">IFERROR(INDEX(종합!L$3:L$501,MATCH(ROW()-2,종합!$AE$3:$AE$501,0))&amp;"","")</f>
        <v>thdudfk898@gmail.com</v>
      </c>
      <c r="M9" s="21" t="str">
        <f aca="false">IFERROR(INDEX(종합!M$3:M$501,MATCH(ROW()-2,종합!$AE$3:$AE$501,0))&amp;"","")</f>
        <v>서울시 서초구 강남대로 327, 6,7,9층</v>
      </c>
      <c r="N9" s="25" t="str">
        <f aca="false">IFERROR(INDEX(종합!N$3:N$501,MATCH(ROW()-2,종합!$AE$3:$AE$501,0))&amp;"","")</f>
        <v>LLM, RAG-X, AIStation,Text AI, Vision AI</v>
      </c>
      <c r="O9" s="21" t="str">
        <f aca="false">IFERROR(INDEX(종합!O$3:O$501,MATCH(ROW()-2,종합!$AE$3:$AE$501,0))&amp;"","")</f>
        <v>이형주</v>
      </c>
      <c r="P9" s="21" t="str">
        <f aca="false">IFERROR(INDEX(종합!P$3:P$501,MATCH(ROW()-2,종합!$AE$3:$AE$501,0))&amp;"","")</f>
        <v>AX서비스 사업부</v>
      </c>
      <c r="Q9" s="21" t="str">
        <f aca="false">IFERROR(INDEX(종합!Q$3:Q$501,MATCH(ROW()-2,종합!$AE$3:$AE$501,0))&amp;"","")</f>
        <v>이사</v>
      </c>
      <c r="R9" s="21" t="str">
        <f aca="false">IFERROR(INDEX(종합!R$3:R$501,MATCH(ROW()-2,종합!$AE$3:$AE$501,0))&amp;"","")</f>
        <v>02-3469-8599</v>
      </c>
      <c r="S9" s="21" t="str">
        <f aca="false">IFERROR(INDEX(종합!S$3:S$501,MATCH(ROW()-2,종합!$AE$3:$AE$501,0))&amp;"","")</f>
        <v>hyungju.lee@konantech.com</v>
      </c>
      <c r="T9" s="21" t="str">
        <f aca="false">IFERROR(INDEX(종합!T$3:T$501,MATCH(ROW()-2,종합!$AE$3:$AE$501,0))&amp;"","")</f>
        <v>010-6224-0307</v>
      </c>
      <c r="U9" s="21" t="str">
        <f aca="false">IFERROR(INDEX(종합!U$3:U$501,MATCH(ROW()-2,종합!$AE$3:$AE$501,0))&amp;"","")</f>
        <v>김산</v>
      </c>
      <c r="V9" s="21" t="str">
        <f aca="false">IFERROR(INDEX(종합!V$3:V$501,MATCH(ROW()-2,종합!$AE$3:$AE$501,0))&amp;"","")</f>
        <v>AX서비스 사업부</v>
      </c>
      <c r="W9" s="21" t="str">
        <f aca="false">IFERROR(INDEX(종합!W$3:W$501,MATCH(ROW()-2,종합!$AE$3:$AE$501,0))&amp;"","")</f>
        <v>부장</v>
      </c>
      <c r="X9" s="21" t="str">
        <f aca="false">IFERROR(INDEX(종합!X$3:X$501,MATCH(ROW()-2,종합!$AE$3:$AE$501,0))&amp;"","")</f>
        <v>02-3469-8789</v>
      </c>
      <c r="Y9" s="21" t="str">
        <f aca="false">IFERROR(INDEX(종합!Y$3:Y$501,MATCH(ROW()-2,종합!$AE$3:$AE$501,0))&amp;"","")</f>
        <v>san.kim@konantech.com</v>
      </c>
      <c r="Z9" s="21" t="str">
        <f aca="false">IFERROR(INDEX(종합!Z$3:Z$501,MATCH(ROW()-2,종합!$AE$3:$AE$501,0))&amp;"","")</f>
        <v>010-8630-9677</v>
      </c>
    </row>
    <row r="10" customFormat="false" ht="22.5" hidden="false" customHeight="true" outlineLevel="0" collapsed="false">
      <c r="A10" s="18" t="n">
        <f aca="false">IF(B10="","",ROW()-2)</f>
        <v>8</v>
      </c>
      <c r="B10" s="18" t="str">
        <f aca="false">IFERROR(INDEX(종합!B$3:B$501,MATCH(ROW()-2,종합!$AE$3:$AE$501,0))&amp;"","")</f>
        <v>(주)페르소나에이아이</v>
      </c>
      <c r="C10" s="18" t="str">
        <f aca="false">IFERROR(INDEX(종합!C$3:C$501,MATCH(ROW()-2,종합!$AE$3:$AE$501,0))&amp;"","")</f>
        <v/>
      </c>
      <c r="D10" s="18" t="str">
        <f aca="false">IFERROR(INDEX(종합!D$3:D$501,MATCH(ROW()-2,종합!$AE$3:$AE$501,0))&amp;"","")</f>
        <v/>
      </c>
      <c r="E10" s="18" t="str">
        <f aca="false">IFERROR(INDEX(종합!E$3:E$501,MATCH(ROW()-2,종합!$AE$3:$AE$501,0))&amp;"","")</f>
        <v/>
      </c>
      <c r="F10" s="18" t="str">
        <f aca="false">IFERROR(INDEX(종합!F$3:F$501,MATCH(ROW()-2,종합!$AE$3:$AE$501,0))&amp;"","")</f>
        <v>O</v>
      </c>
      <c r="G10" s="18" t="str">
        <f aca="false">IFERROR(INDEX(종합!G$3:G$501,MATCH(ROW()-2,종합!$AE$3:$AE$501,0))&amp;"","")</f>
        <v>중소기업</v>
      </c>
      <c r="H10" s="21" t="str">
        <f aca="false">IFERROR(INDEX(종합!H$3:H$501,MATCH(ROW()-2,종합!$AE$3:$AE$501,0))&amp;"","")</f>
        <v>696-86-00654</v>
      </c>
      <c r="I10" s="21" t="str">
        <f aca="false">IFERROR(INDEX(종합!I$3:I$501,MATCH(ROW()-2,종합!$AE$3:$AE$501,0))&amp;"","")</f>
        <v>유승재</v>
      </c>
      <c r="J10" s="21" t="str">
        <f aca="false">IFERROR(INDEX(종합!J$3:J$501,MATCH(ROW()-2,종합!$AE$3:$AE$501,0))&amp;"","")</f>
        <v>02-762-8713</v>
      </c>
      <c r="K10" s="21" t="str">
        <f aca="false">IFERROR(INDEX(종합!K$3:K$501,MATCH(ROW()-2,종합!$AE$3:$AE$501,0))&amp;"","")</f>
        <v>https://personaai.co.kr/</v>
      </c>
      <c r="L10" s="21" t="str">
        <f aca="false">IFERROR(INDEX(종합!L$3:L$501,MATCH(ROW()-2,종합!$AE$3:$AE$501,0))&amp;"","")</f>
        <v>prsnsjw@gmail.com</v>
      </c>
      <c r="M10" s="21" t="str">
        <f aca="false">IFERROR(INDEX(종합!M$3:M$501,MATCH(ROW()-2,종합!$AE$3:$AE$501,0))&amp;"","")</f>
        <v>(06168) 서울특별시 강남구 테헤란로81길 13, 2층(삼성동, 동원빌딩)</v>
      </c>
      <c r="N10" s="25" t="str">
        <f aca="false">IFERROR(INDEX(종합!N$3:N$501,MATCH(ROW()-2,종합!$AE$3:$AE$501,0))&amp;"","")</f>
        <v>sLLM, Edge AI, AI Agent, AI Assistant, Gen AICC</v>
      </c>
      <c r="O10" s="21" t="str">
        <f aca="false">IFERROR(INDEX(종합!O$3:O$501,MATCH(ROW()-2,종합!$AE$3:$AE$501,0))&amp;"","")</f>
        <v>유승재</v>
      </c>
      <c r="P10" s="21" t="str">
        <f aca="false">IFERROR(INDEX(종합!P$3:P$501,MATCH(ROW()-2,종합!$AE$3:$AE$501,0))&amp;"","")</f>
        <v>총괄</v>
      </c>
      <c r="Q10" s="21" t="str">
        <f aca="false">IFERROR(INDEX(종합!Q$3:Q$501,MATCH(ROW()-2,종합!$AE$3:$AE$501,0))&amp;"","")</f>
        <v>대표</v>
      </c>
      <c r="R10" s="21" t="str">
        <f aca="false">IFERROR(INDEX(종합!R$3:R$501,MATCH(ROW()-2,종합!$AE$3:$AE$501,0))&amp;"","")</f>
        <v>02-762-8713</v>
      </c>
      <c r="S10" s="21" t="str">
        <f aca="false">IFERROR(INDEX(종합!S$3:S$501,MATCH(ROW()-2,종합!$AE$3:$AE$501,0))&amp;"","")</f>
        <v>sungjaeq@personaai.co.kr</v>
      </c>
      <c r="T10" s="21" t="str">
        <f aca="false">IFERROR(INDEX(종합!T$3:T$501,MATCH(ROW()-2,종합!$AE$3:$AE$501,0))&amp;"","")</f>
        <v>010-8552-8763</v>
      </c>
      <c r="U10" s="21" t="str">
        <f aca="false">IFERROR(INDEX(종합!U$3:U$501,MATCH(ROW()-2,종합!$AE$3:$AE$501,0))&amp;"","")</f>
        <v>심병학</v>
      </c>
      <c r="V10" s="21" t="str">
        <f aca="false">IFERROR(INDEX(종합!V$3:V$501,MATCH(ROW()-2,종합!$AE$3:$AE$501,0))&amp;"","")</f>
        <v>신기술팀</v>
      </c>
      <c r="W10" s="21" t="str">
        <f aca="false">IFERROR(INDEX(종합!W$3:W$501,MATCH(ROW()-2,종합!$AE$3:$AE$501,0))&amp;"","")</f>
        <v>부장/팀장</v>
      </c>
      <c r="X10" s="21" t="str">
        <f aca="false">IFERROR(INDEX(종합!X$3:X$501,MATCH(ROW()-2,종합!$AE$3:$AE$501,0))&amp;"","")</f>
        <v>02-762-8713</v>
      </c>
      <c r="Y10" s="21" t="str">
        <f aca="false">IFERROR(INDEX(종합!Y$3:Y$501,MATCH(ROW()-2,종합!$AE$3:$AE$501,0))&amp;"","")</f>
        <v>sbh0414@personaai.co.kr</v>
      </c>
      <c r="Z10" s="21" t="str">
        <f aca="false">IFERROR(INDEX(종합!Z$3:Z$501,MATCH(ROW()-2,종합!$AE$3:$AE$501,0))&amp;"","")</f>
        <v>010-5360-3630</v>
      </c>
    </row>
    <row r="11" customFormat="false" ht="33.75" hidden="false" customHeight="true" outlineLevel="0" collapsed="false">
      <c r="A11" s="18" t="n">
        <f aca="false">IF(B11="","",ROW()-2)</f>
        <v>9</v>
      </c>
      <c r="B11" s="18" t="str">
        <f aca="false">IFERROR(INDEX(종합!B$3:B$501,MATCH(ROW()-2,종합!$AE$3:$AE$501,0))&amp;"","")</f>
        <v>동의대학교 산학협력단</v>
      </c>
      <c r="C11" s="18" t="str">
        <f aca="false">IFERROR(INDEX(종합!C$3:C$501,MATCH(ROW()-2,종합!$AE$3:$AE$501,0))&amp;"","")</f>
        <v/>
      </c>
      <c r="D11" s="18" t="str">
        <f aca="false">IFERROR(INDEX(종합!D$3:D$501,MATCH(ROW()-2,종합!$AE$3:$AE$501,0))&amp;"","")</f>
        <v/>
      </c>
      <c r="E11" s="18" t="str">
        <f aca="false">IFERROR(INDEX(종합!E$3:E$501,MATCH(ROW()-2,종합!$AE$3:$AE$501,0))&amp;"","")</f>
        <v/>
      </c>
      <c r="F11" s="18" t="str">
        <f aca="false">IFERROR(INDEX(종합!F$3:F$501,MATCH(ROW()-2,종합!$AE$3:$AE$501,0))&amp;"","")</f>
        <v>O</v>
      </c>
      <c r="G11" s="18" t="str">
        <f aca="false">IFERROR(INDEX(종합!G$3:G$501,MATCH(ROW()-2,종합!$AE$3:$AE$501,0))&amp;"","")</f>
        <v>대학</v>
      </c>
      <c r="H11" s="21" t="str">
        <f aca="false">IFERROR(INDEX(종합!H$3:H$501,MATCH(ROW()-2,종합!$AE$3:$AE$501,0))&amp;"","")</f>
        <v>605-82-08254</v>
      </c>
      <c r="I11" s="21" t="str">
        <f aca="false">IFERROR(INDEX(종합!I$3:I$501,MATCH(ROW()-2,종합!$AE$3:$AE$501,0))&amp;"","")</f>
        <v>김성희</v>
      </c>
      <c r="J11" s="21" t="str">
        <f aca="false">IFERROR(INDEX(종합!J$3:J$501,MATCH(ROW()-2,종합!$AE$3:$AE$501,0))&amp;"","")</f>
        <v>051-890-2880</v>
      </c>
      <c r="K11" s="21" t="str">
        <f aca="false">IFERROR(INDEX(종합!K$3:K$501,MATCH(ROW()-2,종합!$AE$3:$AE$501,0))&amp;"","")</f>
        <v>www.cidi.re.kr</v>
      </c>
      <c r="L11" s="21" t="str">
        <f aca="false">IFERROR(INDEX(종합!L$3:L$501,MATCH(ROW()-2,종합!$AE$3:$AE$501,0))&amp;"","")</f>
        <v>dptmf307@gmail.com</v>
      </c>
      <c r="M11" s="21" t="str">
        <f aca="false">IFERROR(INDEX(종합!M$3:M$501,MATCH(ROW()-2,종합!$AE$3:$AE$501,0))&amp;"","")</f>
        <v>부산시 부산진구 엄광로 176</v>
      </c>
      <c r="N11" s="25" t="str">
        <f aca="false">IFERROR(INDEX(종합!N$3:N$501,MATCH(ROW()-2,종합!$AE$3:$AE$501,0))&amp;"","")</f>
        <v>AI 시험인증(KOLAS 국제공인시험기관, 산업AI국제시험평가기관, AI 전문인력양성, AI 기술개발</v>
      </c>
      <c r="O11" s="21" t="str">
        <f aca="false">IFERROR(INDEX(종합!O$3:O$501,MATCH(ROW()-2,종합!$AE$3:$AE$501,0))&amp;"","")</f>
        <v>전영준</v>
      </c>
      <c r="P11" s="21" t="str">
        <f aca="false">IFERROR(INDEX(종합!P$3:P$501,MATCH(ROW()-2,종합!$AE$3:$AE$501,0))&amp;"","")</f>
        <v>부산IT융합부품연구소</v>
      </c>
      <c r="Q11" s="21" t="str">
        <f aca="false">IFERROR(INDEX(종합!Q$3:Q$501,MATCH(ROW()-2,종합!$AE$3:$AE$501,0))&amp;"","")</f>
        <v>실장/연구교수</v>
      </c>
      <c r="R11" s="21" t="str">
        <f aca="false">IFERROR(INDEX(종합!R$3:R$501,MATCH(ROW()-2,종합!$AE$3:$AE$501,0))&amp;"","")</f>
        <v>051-890-2790</v>
      </c>
      <c r="S11" s="21" t="str">
        <f aca="false">IFERROR(INDEX(종합!S$3:S$501,MATCH(ROW()-2,종합!$AE$3:$AE$501,0))&amp;"","")</f>
        <v>biggood@deu.ac.kr</v>
      </c>
      <c r="T11" s="21" t="str">
        <f aca="false">IFERROR(INDEX(종합!T$3:T$501,MATCH(ROW()-2,종합!$AE$3:$AE$501,0))&amp;"","")</f>
        <v>010-2567-4362</v>
      </c>
      <c r="U11" s="21" t="str">
        <f aca="false">IFERROR(INDEX(종합!U$3:U$501,MATCH(ROW()-2,종합!$AE$3:$AE$501,0))&amp;"","")</f>
        <v>김예슬</v>
      </c>
      <c r="V11" s="21" t="str">
        <f aca="false">IFERROR(INDEX(종합!V$3:V$501,MATCH(ROW()-2,종합!$AE$3:$AE$501,0))&amp;"","")</f>
        <v>부산IT융합부품연구소</v>
      </c>
      <c r="W11" s="21" t="str">
        <f aca="false">IFERROR(INDEX(종합!W$3:W$501,MATCH(ROW()-2,종합!$AE$3:$AE$501,0))&amp;"","")</f>
        <v>선임연구원</v>
      </c>
      <c r="X11" s="21" t="str">
        <f aca="false">IFERROR(INDEX(종합!X$3:X$501,MATCH(ROW()-2,종합!$AE$3:$AE$501,0))&amp;"","")</f>
        <v>051-890-2762</v>
      </c>
      <c r="Y11" s="21" t="str">
        <f aca="false">IFERROR(INDEX(종합!Y$3:Y$501,MATCH(ROW()-2,종합!$AE$3:$AE$501,0))&amp;"","")</f>
        <v>kys307@deu.ac.kr</v>
      </c>
      <c r="Z11" s="21" t="str">
        <f aca="false">IFERROR(INDEX(종합!Z$3:Z$501,MATCH(ROW()-2,종합!$AE$3:$AE$501,0))&amp;"","")</f>
        <v>010-4841-1499</v>
      </c>
    </row>
    <row r="12" customFormat="false" ht="22.5" hidden="false" customHeight="true" outlineLevel="0" collapsed="false">
      <c r="A12" s="18" t="n">
        <f aca="false">IF(B12="","",ROW()-2)</f>
        <v>10</v>
      </c>
      <c r="B12" s="18" t="str">
        <f aca="false">IFERROR(INDEX(종합!B$3:B$501,MATCH(ROW()-2,종합!$AE$3:$AE$501,0))&amp;"","")</f>
        <v>주식회사 코너스</v>
      </c>
      <c r="C12" s="18" t="str">
        <f aca="false">IFERROR(INDEX(종합!C$3:C$501,MATCH(ROW()-2,종합!$AE$3:$AE$501,0))&amp;"","")</f>
        <v/>
      </c>
      <c r="D12" s="18" t="str">
        <f aca="false">IFERROR(INDEX(종합!D$3:D$501,MATCH(ROW()-2,종합!$AE$3:$AE$501,0))&amp;"","")</f>
        <v/>
      </c>
      <c r="E12" s="18" t="str">
        <f aca="false">IFERROR(INDEX(종합!E$3:E$501,MATCH(ROW()-2,종합!$AE$3:$AE$501,0))&amp;"","")</f>
        <v/>
      </c>
      <c r="F12" s="18" t="str">
        <f aca="false">IFERROR(INDEX(종합!F$3:F$501,MATCH(ROW()-2,종합!$AE$3:$AE$501,0))&amp;"","")</f>
        <v>O</v>
      </c>
      <c r="G12" s="18" t="str">
        <f aca="false">IFERROR(INDEX(종합!G$3:G$501,MATCH(ROW()-2,종합!$AE$3:$AE$501,0))&amp;"","")</f>
        <v>중소기업</v>
      </c>
      <c r="H12" s="21" t="str">
        <f aca="false">IFERROR(INDEX(종합!H$3:H$501,MATCH(ROW()-2,종합!$AE$3:$AE$501,0))&amp;"","")</f>
        <v>220-88-92965</v>
      </c>
      <c r="I12" s="21" t="str">
        <f aca="false">IFERROR(INDEX(종합!I$3:I$501,MATCH(ROW()-2,종합!$AE$3:$AE$501,0))&amp;"","")</f>
        <v>김동오</v>
      </c>
      <c r="J12" s="21" t="str">
        <f aca="false">IFERROR(INDEX(종합!J$3:J$501,MATCH(ROW()-2,종합!$AE$3:$AE$501,0))&amp;"","")</f>
        <v>02-518-1047</v>
      </c>
      <c r="K12" s="21" t="str">
        <f aca="false">IFERROR(INDEX(종합!K$3:K$501,MATCH(ROW()-2,종합!$AE$3:$AE$501,0))&amp;"","")</f>
        <v>www.corners.co.kr</v>
      </c>
      <c r="L12" s="21" t="str">
        <f aca="false">IFERROR(INDEX(종합!L$3:L$501,MATCH(ROW()-2,종합!$AE$3:$AE$501,0))&amp;"","")</f>
        <v>jungho1cho@gmail.com</v>
      </c>
      <c r="M12" s="21" t="str">
        <f aca="false">IFERROR(INDEX(종합!M$3:M$501,MATCH(ROW()-2,종합!$AE$3:$AE$501,0))&amp;"","")</f>
        <v>서울특별시 성동구 상원1길 26, 서울숲A타워 806호</v>
      </c>
      <c r="N12" s="25" t="str">
        <f aca="false">IFERROR(INDEX(종합!N$3:N$501,MATCH(ROW()-2,종합!$AE$3:$AE$501,0))&amp;"","")</f>
        <v>안전·신뢰 / 인텔리가이드 &amp; 인텔리트윈</v>
      </c>
      <c r="O12" s="21" t="str">
        <f aca="false">IFERROR(INDEX(종합!O$3:O$501,MATCH(ROW()-2,종합!$AE$3:$AE$501,0))&amp;"","")</f>
        <v>정민하</v>
      </c>
      <c r="P12" s="21" t="str">
        <f aca="false">IFERROR(INDEX(종합!P$3:P$501,MATCH(ROW()-2,종합!$AE$3:$AE$501,0))&amp;"","")</f>
        <v>AI선행개발실</v>
      </c>
      <c r="Q12" s="21" t="str">
        <f aca="false">IFERROR(INDEX(종합!Q$3:Q$501,MATCH(ROW()-2,종합!$AE$3:$AE$501,0))&amp;"","")</f>
        <v>전무이사</v>
      </c>
      <c r="R12" s="21" t="str">
        <f aca="false">IFERROR(INDEX(종합!R$3:R$501,MATCH(ROW()-2,종합!$AE$3:$AE$501,0))&amp;"","")</f>
        <v>02-518-1047</v>
      </c>
      <c r="S12" s="21" t="str">
        <f aca="false">IFERROR(INDEX(종합!S$3:S$501,MATCH(ROW()-2,종합!$AE$3:$AE$501,0))&amp;"","")</f>
        <v>pariscuba@corners.co.kr</v>
      </c>
      <c r="T12" s="21" t="str">
        <f aca="false">IFERROR(INDEX(종합!T$3:T$501,MATCH(ROW()-2,종합!$AE$3:$AE$501,0))&amp;"","")</f>
        <v>010-6390-3363</v>
      </c>
      <c r="U12" s="21" t="str">
        <f aca="false">IFERROR(INDEX(종합!U$3:U$501,MATCH(ROW()-2,종합!$AE$3:$AE$501,0))&amp;"","")</f>
        <v>유민영</v>
      </c>
      <c r="V12" s="21" t="str">
        <f aca="false">IFERROR(INDEX(종합!V$3:V$501,MATCH(ROW()-2,종합!$AE$3:$AE$501,0))&amp;"","")</f>
        <v>AI선행개발실 Generative AI팀</v>
      </c>
      <c r="W12" s="21" t="str">
        <f aca="false">IFERROR(INDEX(종합!W$3:W$501,MATCH(ROW()-2,종합!$AE$3:$AE$501,0))&amp;"","")</f>
        <v>팀장</v>
      </c>
      <c r="X12" s="21" t="str">
        <f aca="false">IFERROR(INDEX(종합!X$3:X$501,MATCH(ROW()-2,종합!$AE$3:$AE$501,0))&amp;"","")</f>
        <v>02-518-1047</v>
      </c>
      <c r="Y12" s="21" t="str">
        <f aca="false">IFERROR(INDEX(종합!Y$3:Y$501,MATCH(ROW()-2,종합!$AE$3:$AE$501,0))&amp;"","")</f>
        <v>minyoung@corners.co.kr</v>
      </c>
      <c r="Z12" s="21" t="str">
        <f aca="false">IFERROR(INDEX(종합!Z$3:Z$501,MATCH(ROW()-2,종합!$AE$3:$AE$501,0))&amp;"","")</f>
        <v>010-3274-4885</v>
      </c>
    </row>
    <row r="13" customFormat="false" ht="22.5" hidden="false" customHeight="true" outlineLevel="0" collapsed="false">
      <c r="A13" s="18" t="n">
        <f aca="false">IF(B13="","",ROW()-2)</f>
        <v>11</v>
      </c>
      <c r="B13" s="18" t="str">
        <f aca="false">IFERROR(INDEX(종합!B$3:B$501,MATCH(ROW()-2,종합!$AE$3:$AE$501,0))&amp;"","")</f>
        <v>이니넥스트 주식회사</v>
      </c>
      <c r="C13" s="18" t="str">
        <f aca="false">IFERROR(INDEX(종합!C$3:C$501,MATCH(ROW()-2,종합!$AE$3:$AE$501,0))&amp;"","")</f>
        <v/>
      </c>
      <c r="D13" s="18" t="str">
        <f aca="false">IFERROR(INDEX(종합!D$3:D$501,MATCH(ROW()-2,종합!$AE$3:$AE$501,0))&amp;"","")</f>
        <v/>
      </c>
      <c r="E13" s="18" t="str">
        <f aca="false">IFERROR(INDEX(종합!E$3:E$501,MATCH(ROW()-2,종합!$AE$3:$AE$501,0))&amp;"","")</f>
        <v/>
      </c>
      <c r="F13" s="18" t="str">
        <f aca="false">IFERROR(INDEX(종합!F$3:F$501,MATCH(ROW()-2,종합!$AE$3:$AE$501,0))&amp;"","")</f>
        <v>O</v>
      </c>
      <c r="G13" s="18" t="str">
        <f aca="false">IFERROR(INDEX(종합!G$3:G$501,MATCH(ROW()-2,종합!$AE$3:$AE$501,0))&amp;"","")</f>
        <v>중소기업</v>
      </c>
      <c r="H13" s="21" t="str">
        <f aca="false">IFERROR(INDEX(종합!H$3:H$501,MATCH(ROW()-2,종합!$AE$3:$AE$501,0))&amp;"","")</f>
        <v>538-86-03729</v>
      </c>
      <c r="I13" s="21" t="str">
        <f aca="false">IFERROR(INDEX(종합!I$3:I$501,MATCH(ROW()-2,종합!$AE$3:$AE$501,0))&amp;"","")</f>
        <v>김철균</v>
      </c>
      <c r="J13" s="21" t="str">
        <f aca="false">IFERROR(INDEX(종합!J$3:J$501,MATCH(ROW()-2,종합!$AE$3:$AE$501,0))&amp;"","")</f>
        <v>02-6445-7096</v>
      </c>
      <c r="K13" s="21" t="str">
        <f aca="false">IFERROR(INDEX(종합!K$3:K$501,MATCH(ROW()-2,종합!$AE$3:$AE$501,0))&amp;"","")</f>
        <v>https://www.ininext.com/</v>
      </c>
      <c r="L13" s="21" t="str">
        <f aca="false">IFERROR(INDEX(종합!L$3:L$501,MATCH(ROW()-2,종합!$AE$3:$AE$501,0))&amp;"","")</f>
        <v>chcova82@gmail.com</v>
      </c>
      <c r="M13" s="21" t="str">
        <f aca="false">IFERROR(INDEX(종합!M$3:M$501,MATCH(ROW()-2,종합!$AE$3:$AE$501,0))&amp;"","")</f>
        <v>서울특별시 구로구 디지털로26길 61 에이스하이엔드타워 2차 11층</v>
      </c>
      <c r="N13" s="25" t="str">
        <f aca="false">IFERROR(INDEX(종합!N$3:N$501,MATCH(ROW()-2,종합!$AE$3:$AE$501,0))&amp;"","")</f>
        <v>AI 보안</v>
      </c>
      <c r="O13" s="21" t="str">
        <f aca="false">IFERROR(INDEX(종합!O$3:O$501,MATCH(ROW()-2,종합!$AE$3:$AE$501,0))&amp;"","")</f>
        <v>신영호</v>
      </c>
      <c r="P13" s="21" t="str">
        <f aca="false">IFERROR(INDEX(종합!P$3:P$501,MATCH(ROW()-2,종합!$AE$3:$AE$501,0))&amp;"","")</f>
        <v>AX사업실</v>
      </c>
      <c r="Q13" s="21" t="str">
        <f aca="false">IFERROR(INDEX(종합!Q$3:Q$501,MATCH(ROW()-2,종합!$AE$3:$AE$501,0))&amp;"","")</f>
        <v>부사장</v>
      </c>
      <c r="R13" s="21" t="str">
        <f aca="false">IFERROR(INDEX(종합!R$3:R$501,MATCH(ROW()-2,종합!$AE$3:$AE$501,0))&amp;"","")</f>
        <v>02-6445-7215</v>
      </c>
      <c r="S13" s="21" t="str">
        <f aca="false">IFERROR(INDEX(종합!S$3:S$501,MATCH(ROW()-2,종합!$AE$3:$AE$501,0))&amp;"","")</f>
        <v>youngho.shin@ininext.com</v>
      </c>
      <c r="T13" s="21" t="str">
        <f aca="false">IFERROR(INDEX(종합!T$3:T$501,MATCH(ROW()-2,종합!$AE$3:$AE$501,0))&amp;"","")</f>
        <v>010-2502-0574</v>
      </c>
      <c r="U13" s="21" t="str">
        <f aca="false">IFERROR(INDEX(종합!U$3:U$501,MATCH(ROW()-2,종합!$AE$3:$AE$501,0))&amp;"","")</f>
        <v>이남수</v>
      </c>
      <c r="V13" s="21" t="str">
        <f aca="false">IFERROR(INDEX(종합!V$3:V$501,MATCH(ROW()-2,종합!$AE$3:$AE$501,0))&amp;"","")</f>
        <v>AI리드팀</v>
      </c>
      <c r="W13" s="21" t="str">
        <f aca="false">IFERROR(INDEX(종합!W$3:W$501,MATCH(ROW()-2,종합!$AE$3:$AE$501,0))&amp;"","")</f>
        <v>팀장</v>
      </c>
      <c r="X13" s="21" t="str">
        <f aca="false">IFERROR(INDEX(종합!X$3:X$501,MATCH(ROW()-2,종합!$AE$3:$AE$501,0))&amp;"","")</f>
        <v>02-6445-7096</v>
      </c>
      <c r="Y13" s="21" t="str">
        <f aca="false">IFERROR(INDEX(종합!Y$3:Y$501,MATCH(ROW()-2,종합!$AE$3:$AE$501,0))&amp;"","")</f>
        <v>namsu.yi@ininext.com</v>
      </c>
      <c r="Z13" s="21" t="str">
        <f aca="false">IFERROR(INDEX(종합!Z$3:Z$501,MATCH(ROW()-2,종합!$AE$3:$AE$501,0))&amp;"","")</f>
        <v>010-9094-3053</v>
      </c>
    </row>
    <row r="14" customFormat="false" ht="33.75" hidden="false" customHeight="true" outlineLevel="0" collapsed="false">
      <c r="A14" s="18" t="n">
        <f aca="false">IF(B14="","",ROW()-2)</f>
        <v>12</v>
      </c>
      <c r="B14" s="18" t="str">
        <f aca="false">IFERROR(INDEX(종합!B$3:B$501,MATCH(ROW()-2,종합!$AE$3:$AE$501,0))&amp;"","")</f>
        <v>주식회사 오내피플</v>
      </c>
      <c r="C14" s="18" t="str">
        <f aca="false">IFERROR(INDEX(종합!C$3:C$501,MATCH(ROW()-2,종합!$AE$3:$AE$501,0))&amp;"","")</f>
        <v/>
      </c>
      <c r="D14" s="18" t="str">
        <f aca="false">IFERROR(INDEX(종합!D$3:D$501,MATCH(ROW()-2,종합!$AE$3:$AE$501,0))&amp;"","")</f>
        <v/>
      </c>
      <c r="E14" s="18" t="str">
        <f aca="false">IFERROR(INDEX(종합!E$3:E$501,MATCH(ROW()-2,종합!$AE$3:$AE$501,0))&amp;"","")</f>
        <v/>
      </c>
      <c r="F14" s="18" t="str">
        <f aca="false">IFERROR(INDEX(종합!F$3:F$501,MATCH(ROW()-2,종합!$AE$3:$AE$501,0))&amp;"","")</f>
        <v>O</v>
      </c>
      <c r="G14" s="18" t="str">
        <f aca="false">IFERROR(INDEX(종합!G$3:G$501,MATCH(ROW()-2,종합!$AE$3:$AE$501,0))&amp;"","")</f>
        <v>중소기업</v>
      </c>
      <c r="H14" s="21" t="str">
        <f aca="false">IFERROR(INDEX(종합!H$3:H$501,MATCH(ROW()-2,종합!$AE$3:$AE$501,0))&amp;"","")</f>
        <v>463-87-00935</v>
      </c>
      <c r="I14" s="21" t="str">
        <f aca="false">IFERROR(INDEX(종합!I$3:I$501,MATCH(ROW()-2,종합!$AE$3:$AE$501,0))&amp;"","")</f>
        <v>조아영</v>
      </c>
      <c r="J14" s="21" t="str">
        <f aca="false">IFERROR(INDEX(종합!J$3:J$501,MATCH(ROW()-2,종합!$AE$3:$AE$501,0))&amp;"","")</f>
        <v>070-7776-8552</v>
      </c>
      <c r="K14" s="21" t="str">
        <f aca="false">IFERROR(INDEX(종합!K$3:K$501,MATCH(ROW()-2,종합!$AE$3:$AE$501,0))&amp;"","")</f>
        <v>https://www.catchsecu.com/</v>
      </c>
      <c r="L14" s="21" t="str">
        <f aca="false">IFERROR(INDEX(종합!L$3:L$501,MATCH(ROW()-2,종합!$AE$3:$AE$501,0))&amp;"","")</f>
        <v>jhnam@catchsecu.com</v>
      </c>
      <c r="M14" s="21" t="str">
        <f aca="false">IFERROR(INDEX(종합!M$3:M$501,MATCH(ROW()-2,종합!$AE$3:$AE$501,0))&amp;"","")</f>
        <v>서울특별시 중구 명동길 73, 페이지명동 6층 602호</v>
      </c>
      <c r="N14" s="25" t="str">
        <f aca="false">IFERROR(INDEX(종합!N$3:N$501,MATCH(ROW()-2,종합!$AE$3:$AE$501,0))&amp;"","")</f>
        <v>AI 및 SaaS 기반 개인정보 컴플라이언스 자동화 서비스 "캐치시큐"</v>
      </c>
      <c r="O14" s="21" t="str">
        <f aca="false">IFERROR(INDEX(종합!O$3:O$501,MATCH(ROW()-2,종합!$AE$3:$AE$501,0))&amp;"","")</f>
        <v>남정효</v>
      </c>
      <c r="P14" s="21" t="str">
        <f aca="false">IFERROR(INDEX(종합!P$3:P$501,MATCH(ROW()-2,종합!$AE$3:$AE$501,0))&amp;"","")</f>
        <v>사업팀</v>
      </c>
      <c r="Q14" s="21" t="str">
        <f aca="false">IFERROR(INDEX(종합!Q$3:Q$501,MATCH(ROW()-2,종합!$AE$3:$AE$501,0))&amp;"","")</f>
        <v>이사</v>
      </c>
      <c r="R14" s="21" t="str">
        <f aca="false">IFERROR(INDEX(종합!R$3:R$501,MATCH(ROW()-2,종합!$AE$3:$AE$501,0))&amp;"","")</f>
        <v>070-7776-8552</v>
      </c>
      <c r="S14" s="21" t="str">
        <f aca="false">IFERROR(INDEX(종합!S$3:S$501,MATCH(ROW()-2,종합!$AE$3:$AE$501,0))&amp;"","")</f>
        <v>jhnam@catchsecu.com</v>
      </c>
      <c r="T14" s="21" t="str">
        <f aca="false">IFERROR(INDEX(종합!T$3:T$501,MATCH(ROW()-2,종합!$AE$3:$AE$501,0))&amp;"","")</f>
        <v>010-3283-7106</v>
      </c>
      <c r="U14" s="21" t="str">
        <f aca="false">IFERROR(INDEX(종합!U$3:U$501,MATCH(ROW()-2,종합!$AE$3:$AE$501,0))&amp;"","")</f>
        <v>남정효</v>
      </c>
      <c r="V14" s="21" t="str">
        <f aca="false">IFERROR(INDEX(종합!V$3:V$501,MATCH(ROW()-2,종합!$AE$3:$AE$501,0))&amp;"","")</f>
        <v>사업팀</v>
      </c>
      <c r="W14" s="21" t="str">
        <f aca="false">IFERROR(INDEX(종합!W$3:W$501,MATCH(ROW()-2,종합!$AE$3:$AE$501,0))&amp;"","")</f>
        <v>이사</v>
      </c>
      <c r="X14" s="21" t="str">
        <f aca="false">IFERROR(INDEX(종합!X$3:X$501,MATCH(ROW()-2,종합!$AE$3:$AE$501,0))&amp;"","")</f>
        <v>070-7776-8552</v>
      </c>
      <c r="Y14" s="21" t="str">
        <f aca="false">IFERROR(INDEX(종합!Y$3:Y$501,MATCH(ROW()-2,종합!$AE$3:$AE$501,0))&amp;"","")</f>
        <v>jhnam@catchsecu.com</v>
      </c>
      <c r="Z14" s="21" t="str">
        <f aca="false">IFERROR(INDEX(종합!Z$3:Z$501,MATCH(ROW()-2,종합!$AE$3:$AE$501,0))&amp;"","")</f>
        <v>010-3283-7106</v>
      </c>
    </row>
    <row r="15" customFormat="false" ht="33.75" hidden="false" customHeight="true" outlineLevel="0" collapsed="false">
      <c r="A15" s="18" t="n">
        <f aca="false">IF(B15="","",ROW()-2)</f>
        <v>13</v>
      </c>
      <c r="B15" s="18" t="str">
        <f aca="false">IFERROR(INDEX(종합!B$3:B$501,MATCH(ROW()-2,종합!$AE$3:$AE$501,0))&amp;"","")</f>
        <v>주식회사 알체라</v>
      </c>
      <c r="C15" s="18" t="str">
        <f aca="false">IFERROR(INDEX(종합!C$3:C$501,MATCH(ROW()-2,종합!$AE$3:$AE$501,0))&amp;"","")</f>
        <v/>
      </c>
      <c r="D15" s="18" t="str">
        <f aca="false">IFERROR(INDEX(종합!D$3:D$501,MATCH(ROW()-2,종합!$AE$3:$AE$501,0))&amp;"","")</f>
        <v/>
      </c>
      <c r="E15" s="18" t="str">
        <f aca="false">IFERROR(INDEX(종합!E$3:E$501,MATCH(ROW()-2,종합!$AE$3:$AE$501,0))&amp;"","")</f>
        <v/>
      </c>
      <c r="F15" s="18" t="str">
        <f aca="false">IFERROR(INDEX(종합!F$3:F$501,MATCH(ROW()-2,종합!$AE$3:$AE$501,0))&amp;"","")</f>
        <v>O</v>
      </c>
      <c r="G15" s="18" t="str">
        <f aca="false">IFERROR(INDEX(종합!G$3:G$501,MATCH(ROW()-2,종합!$AE$3:$AE$501,0))&amp;"","")</f>
        <v>중소기업</v>
      </c>
      <c r="H15" s="21" t="str">
        <f aca="false">IFERROR(INDEX(종합!H$3:H$501,MATCH(ROW()-2,종합!$AE$3:$AE$501,0))&amp;"","")</f>
        <v>643-87-00337</v>
      </c>
      <c r="I15" s="21" t="str">
        <f aca="false">IFERROR(INDEX(종합!I$3:I$501,MATCH(ROW()-2,종합!$AE$3:$AE$501,0))&amp;"","")</f>
        <v>황영규</v>
      </c>
      <c r="J15" s="21" t="str">
        <f aca="false">IFERROR(INDEX(종합!J$3:J$501,MATCH(ROW()-2,종합!$AE$3:$AE$501,0))&amp;"","")</f>
        <v>031-697-8961</v>
      </c>
      <c r="K15" s="21" t="str">
        <f aca="false">IFERROR(INDEX(종합!K$3:K$501,MATCH(ROW()-2,종합!$AE$3:$AE$501,0))&amp;"","")</f>
        <v>https://www.alchera.ai/</v>
      </c>
      <c r="L15" s="21" t="str">
        <f aca="false">IFERROR(INDEX(종합!L$3:L$501,MATCH(ROW()-2,종합!$AE$3:$AE$501,0))&amp;"","")</f>
        <v>ke.lee@alcherainc.com</v>
      </c>
      <c r="M15" s="21" t="str">
        <f aca="false">IFERROR(INDEX(종합!M$3:M$501,MATCH(ROW()-2,종합!$AE$3:$AE$501,0))&amp;"","")</f>
        <v>경기도 성남시 분당구 매화로 51, 302-648호</v>
      </c>
      <c r="N15" s="25" t="str">
        <f aca="false">IFERROR(INDEX(종합!N$3:N$501,MATCH(ROW()-2,종합!$AE$3:$AE$501,0))&amp;"","")</f>
        <v>비대면 인증 솔루션, 화재감지 솔루션, 인공지능학습용 데이터 구축 서비스</v>
      </c>
      <c r="O15" s="21" t="str">
        <f aca="false">IFERROR(INDEX(종합!O$3:O$501,MATCH(ROW()-2,종합!$AE$3:$AE$501,0))&amp;"","")</f>
        <v>이강의</v>
      </c>
      <c r="P15" s="21" t="str">
        <f aca="false">IFERROR(INDEX(종합!P$3:P$501,MATCH(ROW()-2,종합!$AE$3:$AE$501,0))&amp;"","")</f>
        <v>CRO</v>
      </c>
      <c r="Q15" s="21" t="str">
        <f aca="false">IFERROR(INDEX(종합!Q$3:Q$501,MATCH(ROW()-2,종합!$AE$3:$AE$501,0))&amp;"","")</f>
        <v>부대표</v>
      </c>
      <c r="R15" s="21" t="str">
        <f aca="false">IFERROR(INDEX(종합!R$3:R$501,MATCH(ROW()-2,종합!$AE$3:$AE$501,0))&amp;"","")</f>
        <v>010-7109-1937</v>
      </c>
      <c r="S15" s="21" t="str">
        <f aca="false">IFERROR(INDEX(종합!S$3:S$501,MATCH(ROW()-2,종합!$AE$3:$AE$501,0))&amp;"","")</f>
        <v>ke.lee@alcherainc.com</v>
      </c>
      <c r="T15" s="21" t="str">
        <f aca="false">IFERROR(INDEX(종합!T$3:T$501,MATCH(ROW()-2,종합!$AE$3:$AE$501,0))&amp;"","")</f>
        <v>010-7109-1937</v>
      </c>
      <c r="U15" s="21" t="str">
        <f aca="false">IFERROR(INDEX(종합!U$3:U$501,MATCH(ROW()-2,종합!$AE$3:$AE$501,0))&amp;"","")</f>
        <v>심현민</v>
      </c>
      <c r="V15" s="21" t="str">
        <f aca="false">IFERROR(INDEX(종합!V$3:V$501,MATCH(ROW()-2,종합!$AE$3:$AE$501,0))&amp;"","")</f>
        <v>DS</v>
      </c>
      <c r="W15" s="21" t="str">
        <f aca="false">IFERROR(INDEX(종합!W$3:W$501,MATCH(ROW()-2,종합!$AE$3:$AE$501,0))&amp;"","")</f>
        <v>리드</v>
      </c>
      <c r="X15" s="21" t="str">
        <f aca="false">IFERROR(INDEX(종합!X$3:X$501,MATCH(ROW()-2,종합!$AE$3:$AE$501,0))&amp;"","")</f>
        <v>010-2596-0498</v>
      </c>
      <c r="Y15" s="21" t="str">
        <f aca="false">IFERROR(INDEX(종합!Y$3:Y$501,MATCH(ROW()-2,종합!$AE$3:$AE$501,0))&amp;"","")</f>
        <v>hm.sim@alcherainc.com</v>
      </c>
      <c r="Z15" s="21" t="str">
        <f aca="false">IFERROR(INDEX(종합!Z$3:Z$501,MATCH(ROW()-2,종합!$AE$3:$AE$501,0))&amp;"","")</f>
        <v>010-2596-0498</v>
      </c>
    </row>
    <row r="16" customFormat="false" ht="33.75" hidden="false" customHeight="true" outlineLevel="0" collapsed="false">
      <c r="A16" s="18" t="n">
        <f aca="false">IF(B16="","",ROW()-2)</f>
        <v>14</v>
      </c>
      <c r="B16" s="18" t="str">
        <f aca="false">IFERROR(INDEX(종합!B$3:B$501,MATCH(ROW()-2,종합!$AE$3:$AE$501,0))&amp;"","")</f>
        <v>주식회사 피앤피시큐어</v>
      </c>
      <c r="C16" s="18" t="str">
        <f aca="false">IFERROR(INDEX(종합!C$3:C$501,MATCH(ROW()-2,종합!$AE$3:$AE$501,0))&amp;"","")</f>
        <v>O</v>
      </c>
      <c r="D16" s="18" t="str">
        <f aca="false">IFERROR(INDEX(종합!D$3:D$501,MATCH(ROW()-2,종합!$AE$3:$AE$501,0))&amp;"","")</f>
        <v/>
      </c>
      <c r="E16" s="18" t="str">
        <f aca="false">IFERROR(INDEX(종합!E$3:E$501,MATCH(ROW()-2,종합!$AE$3:$AE$501,0))&amp;"","")</f>
        <v/>
      </c>
      <c r="F16" s="18" t="str">
        <f aca="false">IFERROR(INDEX(종합!F$3:F$501,MATCH(ROW()-2,종합!$AE$3:$AE$501,0))&amp;"","")</f>
        <v>O</v>
      </c>
      <c r="G16" s="18" t="str">
        <f aca="false">IFERROR(INDEX(종합!G$3:G$501,MATCH(ROW()-2,종합!$AE$3:$AE$501,0))&amp;"","")</f>
        <v>중소기업</v>
      </c>
      <c r="H16" s="21" t="str">
        <f aca="false">IFERROR(INDEX(종합!H$3:H$501,MATCH(ROW()-2,종합!$AE$3:$AE$501,0))&amp;"","")</f>
        <v>107-86-44093</v>
      </c>
      <c r="I16" s="21" t="str">
        <f aca="false">IFERROR(INDEX(종합!I$3:I$501,MATCH(ROW()-2,종합!$AE$3:$AE$501,0))&amp;"","")</f>
        <v>박천오</v>
      </c>
      <c r="J16" s="21" t="str">
        <f aca="false">IFERROR(INDEX(종합!J$3:J$501,MATCH(ROW()-2,종합!$AE$3:$AE$501,0))&amp;"","")</f>
        <v>02-6988-1100</v>
      </c>
      <c r="K16" s="21" t="str">
        <f aca="false">IFERROR(INDEX(종합!K$3:K$501,MATCH(ROW()-2,종합!$AE$3:$AE$501,0))&amp;"","")</f>
        <v>https://www.pnpsecure.com/</v>
      </c>
      <c r="L16" s="21" t="str">
        <f aca="false">IFERROR(INDEX(종합!L$3:L$501,MATCH(ROW()-2,종합!$AE$3:$AE$501,0))&amp;"","")</f>
        <v>julee@pnpsecure.com</v>
      </c>
      <c r="M16" s="21" t="str">
        <f aca="false">IFERROR(INDEX(종합!M$3:M$501,MATCH(ROW()-2,종합!$AE$3:$AE$501,0))&amp;"","")</f>
        <v>서울특별시 강서구 마곡서로 182(마곡동, 피앤피스테이션)</v>
      </c>
      <c r="N16" s="25" t="str">
        <f aca="false">IFERROR(INDEX(종합!N$3:N$501,MATCH(ROW()-2,종합!$AE$3:$AE$501,0))&amp;"","")</f>
        <v>통합 접근제어 및 보안 솔루션(DBSAFER, INFOSAFER, FaceLocker)</v>
      </c>
      <c r="O16" s="21" t="str">
        <f aca="false">IFERROR(INDEX(종합!O$3:O$501,MATCH(ROW()-2,종합!$AE$3:$AE$501,0))&amp;"","")</f>
        <v>진선태</v>
      </c>
      <c r="P16" s="21" t="str">
        <f aca="false">IFERROR(INDEX(종합!P$3:P$501,MATCH(ROW()-2,종합!$AE$3:$AE$501,0))&amp;"","")</f>
        <v>임원실</v>
      </c>
      <c r="Q16" s="21" t="str">
        <f aca="false">IFERROR(INDEX(종합!Q$3:Q$501,MATCH(ROW()-2,종합!$AE$3:$AE$501,0))&amp;"","")</f>
        <v>부사장</v>
      </c>
      <c r="R16" s="21" t="str">
        <f aca="false">IFERROR(INDEX(종합!R$3:R$501,MATCH(ROW()-2,종합!$AE$3:$AE$501,0))&amp;"","")</f>
        <v>02-6988-1101</v>
      </c>
      <c r="S16" s="21" t="str">
        <f aca="false">IFERROR(INDEX(종합!S$3:S$501,MATCH(ROW()-2,종합!$AE$3:$AE$501,0))&amp;"","")</f>
        <v>zalhae@pnpsecure.com</v>
      </c>
      <c r="T16" s="21" t="str">
        <f aca="false">IFERROR(INDEX(종합!T$3:T$501,MATCH(ROW()-2,종합!$AE$3:$AE$501,0))&amp;"","")</f>
        <v>010-6327-4255</v>
      </c>
      <c r="U16" s="21" t="str">
        <f aca="false">IFERROR(INDEX(종합!U$3:U$501,MATCH(ROW()-2,종합!$AE$3:$AE$501,0))&amp;"","")</f>
        <v>이진욱</v>
      </c>
      <c r="V16" s="21" t="str">
        <f aca="false">IFERROR(INDEX(종합!V$3:V$501,MATCH(ROW()-2,종합!$AE$3:$AE$501,0))&amp;"","")</f>
        <v>정보보안기술연구소</v>
      </c>
      <c r="W16" s="21" t="str">
        <f aca="false">IFERROR(INDEX(종합!W$3:W$501,MATCH(ROW()-2,종합!$AE$3:$AE$501,0))&amp;"","")</f>
        <v>부장/수석연구원</v>
      </c>
      <c r="X16" s="21" t="str">
        <f aca="false">IFERROR(INDEX(종합!X$3:X$501,MATCH(ROW()-2,종합!$AE$3:$AE$501,0))&amp;"","")</f>
        <v>010-6988-1250</v>
      </c>
      <c r="Y16" s="21" t="str">
        <f aca="false">IFERROR(INDEX(종합!Y$3:Y$501,MATCH(ROW()-2,종합!$AE$3:$AE$501,0))&amp;"","")</f>
        <v>julee@pnpsecure.com</v>
      </c>
      <c r="Z16" s="21" t="str">
        <f aca="false">IFERROR(INDEX(종합!Z$3:Z$501,MATCH(ROW()-2,종합!$AE$3:$AE$501,0))&amp;"","")</f>
        <v>010-9444-2078</v>
      </c>
    </row>
    <row r="17" customFormat="false" ht="22.5" hidden="false" customHeight="true" outlineLevel="0" collapsed="false">
      <c r="A17" s="18" t="n">
        <f aca="false">IF(B17="","",ROW()-2)</f>
        <v>15</v>
      </c>
      <c r="B17" s="18" t="str">
        <f aca="false">IFERROR(INDEX(종합!B$3:B$501,MATCH(ROW()-2,종합!$AE$3:$AE$501,0))&amp;"","")</f>
        <v>엔키아</v>
      </c>
      <c r="C17" s="18" t="str">
        <f aca="false">IFERROR(INDEX(종합!C$3:C$501,MATCH(ROW()-2,종합!$AE$3:$AE$501,0))&amp;"","")</f>
        <v/>
      </c>
      <c r="D17" s="18" t="str">
        <f aca="false">IFERROR(INDEX(종합!D$3:D$501,MATCH(ROW()-2,종합!$AE$3:$AE$501,0))&amp;"","")</f>
        <v/>
      </c>
      <c r="E17" s="18" t="str">
        <f aca="false">IFERROR(INDEX(종합!E$3:E$501,MATCH(ROW()-2,종합!$AE$3:$AE$501,0))&amp;"","")</f>
        <v/>
      </c>
      <c r="F17" s="18" t="str">
        <f aca="false">IFERROR(INDEX(종합!F$3:F$501,MATCH(ROW()-2,종합!$AE$3:$AE$501,0))&amp;"","")</f>
        <v>O</v>
      </c>
      <c r="G17" s="18" t="str">
        <f aca="false">IFERROR(INDEX(종합!G$3:G$501,MATCH(ROW()-2,종합!$AE$3:$AE$501,0))&amp;"","")</f>
        <v>중소기업</v>
      </c>
      <c r="H17" s="21" t="str">
        <f aca="false">IFERROR(INDEX(종합!H$3:H$501,MATCH(ROW()-2,종합!$AE$3:$AE$501,0))&amp;"","")</f>
        <v>107-81-66898</v>
      </c>
      <c r="I17" s="21" t="str">
        <f aca="false">IFERROR(INDEX(종합!I$3:I$501,MATCH(ROW()-2,종합!$AE$3:$AE$501,0))&amp;"","")</f>
        <v>이일섭</v>
      </c>
      <c r="J17" s="21" t="str">
        <f aca="false">IFERROR(INDEX(종합!J$3:J$501,MATCH(ROW()-2,종합!$AE$3:$AE$501,0))&amp;"","")</f>
        <v>02-2057-8724</v>
      </c>
      <c r="K17" s="21" t="str">
        <f aca="false">IFERROR(INDEX(종합!K$3:K$501,MATCH(ROW()-2,종합!$AE$3:$AE$501,0))&amp;"","")</f>
        <v>https://www.nkia.co.kr/</v>
      </c>
      <c r="L17" s="21" t="str">
        <f aca="false">IFERROR(INDEX(종합!L$3:L$501,MATCH(ROW()-2,종합!$AE$3:$AE$501,0))&amp;"","")</f>
        <v>joyhunny@gmail.com</v>
      </c>
      <c r="M17" s="21" t="str">
        <f aca="false">IFERROR(INDEX(종합!M$3:M$501,MATCH(ROW()-2,종합!$AE$3:$AE$501,0))&amp;"","")</f>
        <v>경기도 성남시 분당구 대왕판교로 660 유스페이스1 B동 10층</v>
      </c>
      <c r="N17" s="25" t="str">
        <f aca="false">IFERROR(INDEX(종합!N$3:N$501,MATCH(ROW()-2,종합!$AE$3:$AE$501,0))&amp;"","")</f>
        <v>Agentic AI, Enterprise IT Monitoring Solution</v>
      </c>
      <c r="O17" s="21" t="str">
        <f aca="false">IFERROR(INDEX(종합!O$3:O$501,MATCH(ROW()-2,종합!$AE$3:$AE$501,0))&amp;"","")</f>
        <v>진원경</v>
      </c>
      <c r="P17" s="21" t="str">
        <f aca="false">IFERROR(INDEX(종합!P$3:P$501,MATCH(ROW()-2,종합!$AE$3:$AE$501,0))&amp;"","")</f>
        <v>AI 연구소</v>
      </c>
      <c r="Q17" s="21" t="str">
        <f aca="false">IFERROR(INDEX(종합!Q$3:Q$501,MATCH(ROW()-2,종합!$AE$3:$AE$501,0))&amp;"","")</f>
        <v>상무/연구소장</v>
      </c>
      <c r="R17" s="21" t="str">
        <f aca="false">IFERROR(INDEX(종합!R$3:R$501,MATCH(ROW()-2,종합!$AE$3:$AE$501,0))&amp;"","")</f>
        <v>010-6490-9169</v>
      </c>
      <c r="S17" s="21" t="str">
        <f aca="false">IFERROR(INDEX(종합!S$3:S$501,MATCH(ROW()-2,종합!$AE$3:$AE$501,0))&amp;"","")</f>
        <v>wjin@nkia.co.kr</v>
      </c>
      <c r="T17" s="21" t="str">
        <f aca="false">IFERROR(INDEX(종합!T$3:T$501,MATCH(ROW()-2,종합!$AE$3:$AE$501,0))&amp;"","")</f>
        <v>010-6490-9169</v>
      </c>
      <c r="U17" s="21" t="str">
        <f aca="false">IFERROR(INDEX(종합!U$3:U$501,MATCH(ROW()-2,종합!$AE$3:$AE$501,0))&amp;"","")</f>
        <v>신기훈</v>
      </c>
      <c r="V17" s="21" t="str">
        <f aca="false">IFERROR(INDEX(종합!V$3:V$501,MATCH(ROW()-2,종합!$AE$3:$AE$501,0))&amp;"","")</f>
        <v>AI 연구소</v>
      </c>
      <c r="W17" s="21" t="str">
        <f aca="false">IFERROR(INDEX(종합!W$3:W$501,MATCH(ROW()-2,종합!$AE$3:$AE$501,0))&amp;"","")</f>
        <v>부장/팀장</v>
      </c>
      <c r="X17" s="21" t="str">
        <f aca="false">IFERROR(INDEX(종합!X$3:X$501,MATCH(ROW()-2,종합!$AE$3:$AE$501,0))&amp;"","")</f>
        <v>010-8755-2355</v>
      </c>
      <c r="Y17" s="21" t="str">
        <f aca="false">IFERROR(INDEX(종합!Y$3:Y$501,MATCH(ROW()-2,종합!$AE$3:$AE$501,0))&amp;"","")</f>
        <v>joyhunny@nkia.co.kr</v>
      </c>
      <c r="Z17" s="21" t="str">
        <f aca="false">IFERROR(INDEX(종합!Z$3:Z$501,MATCH(ROW()-2,종합!$AE$3:$AE$501,0))&amp;"","")</f>
        <v>010-8755-2355</v>
      </c>
    </row>
    <row r="18" customFormat="false" ht="33.75" hidden="false" customHeight="true" outlineLevel="0" collapsed="false">
      <c r="A18" s="18" t="n">
        <f aca="false">IF(B18="","",ROW()-2)</f>
        <v>16</v>
      </c>
      <c r="B18" s="18" t="str">
        <f aca="false">IFERROR(INDEX(종합!B$3:B$501,MATCH(ROW()-2,종합!$AE$3:$AE$501,0))&amp;"","")</f>
        <v>디엑스웍스 주식회사</v>
      </c>
      <c r="C18" s="18" t="str">
        <f aca="false">IFERROR(INDEX(종합!C$3:C$501,MATCH(ROW()-2,종합!$AE$3:$AE$501,0))&amp;"","")</f>
        <v/>
      </c>
      <c r="D18" s="18" t="str">
        <f aca="false">IFERROR(INDEX(종합!D$3:D$501,MATCH(ROW()-2,종합!$AE$3:$AE$501,0))&amp;"","")</f>
        <v/>
      </c>
      <c r="E18" s="18" t="str">
        <f aca="false">IFERROR(INDEX(종합!E$3:E$501,MATCH(ROW()-2,종합!$AE$3:$AE$501,0))&amp;"","")</f>
        <v/>
      </c>
      <c r="F18" s="18" t="str">
        <f aca="false">IFERROR(INDEX(종합!F$3:F$501,MATCH(ROW()-2,종합!$AE$3:$AE$501,0))&amp;"","")</f>
        <v>O</v>
      </c>
      <c r="G18" s="18" t="str">
        <f aca="false">IFERROR(INDEX(종합!G$3:G$501,MATCH(ROW()-2,종합!$AE$3:$AE$501,0))&amp;"","")</f>
        <v>중소기업</v>
      </c>
      <c r="H18" s="21" t="str">
        <f aca="false">IFERROR(INDEX(종합!H$3:H$501,MATCH(ROW()-2,종합!$AE$3:$AE$501,0))&amp;"","")</f>
        <v>323-88-02011</v>
      </c>
      <c r="I18" s="21" t="str">
        <f aca="false">IFERROR(INDEX(종합!I$3:I$501,MATCH(ROW()-2,종합!$AE$3:$AE$501,0))&amp;"","")</f>
        <v>장후규</v>
      </c>
      <c r="J18" s="21" t="str">
        <f aca="false">IFERROR(INDEX(종합!J$3:J$501,MATCH(ROW()-2,종합!$AE$3:$AE$501,0))&amp;"","")</f>
        <v>070-8656-0670</v>
      </c>
      <c r="K18" s="21" t="str">
        <f aca="false">IFERROR(INDEX(종합!K$3:K$501,MATCH(ROW()-2,종합!$AE$3:$AE$501,0))&amp;"","")</f>
        <v>dxworks.io</v>
      </c>
      <c r="L18" s="21" t="str">
        <f aca="false">IFERROR(INDEX(종합!L$3:L$501,MATCH(ROW()-2,종합!$AE$3:$AE$501,0))&amp;"","")</f>
        <v>danny.dxworks@gmail.com</v>
      </c>
      <c r="M18" s="21" t="str">
        <f aca="false">IFERROR(INDEX(종합!M$3:M$501,MATCH(ROW()-2,종합!$AE$3:$AE$501,0))&amp;"","")</f>
        <v>대구광역시 동구 경대로36, 무지개빌딩 6층</v>
      </c>
      <c r="N18" s="25" t="str">
        <f aca="false">IFERROR(INDEX(종합!N$3:N$501,MATCH(ROW()-2,종합!$AE$3:$AE$501,0))&amp;"","")</f>
        <v>MLOps 플랫폼 'AX Nexus'와 Agentic 블록체인 'DX Ledger Agentic'</v>
      </c>
      <c r="O18" s="21" t="str">
        <f aca="false">IFERROR(INDEX(종합!O$3:O$501,MATCH(ROW()-2,종합!$AE$3:$AE$501,0))&amp;"","")</f>
        <v>장후규</v>
      </c>
      <c r="P18" s="21" t="str">
        <f aca="false">IFERROR(INDEX(종합!P$3:P$501,MATCH(ROW()-2,종합!$AE$3:$AE$501,0))&amp;"","")</f>
        <v>디엑스웍스</v>
      </c>
      <c r="Q18" s="21" t="str">
        <f aca="false">IFERROR(INDEX(종합!Q$3:Q$501,MATCH(ROW()-2,종합!$AE$3:$AE$501,0))&amp;"","")</f>
        <v>대표이사</v>
      </c>
      <c r="R18" s="21" t="str">
        <f aca="false">IFERROR(INDEX(종합!R$3:R$501,MATCH(ROW()-2,종합!$AE$3:$AE$501,0))&amp;"","")</f>
        <v>010-9176-6040</v>
      </c>
      <c r="S18" s="21" t="str">
        <f aca="false">IFERROR(INDEX(종합!S$3:S$501,MATCH(ROW()-2,종합!$AE$3:$AE$501,0))&amp;"","")</f>
        <v>eric.jang@dxworks.kr</v>
      </c>
      <c r="T18" s="21" t="str">
        <f aca="false">IFERROR(INDEX(종합!T$3:T$501,MATCH(ROW()-2,종합!$AE$3:$AE$501,0))&amp;"","")</f>
        <v>010-9176-6040</v>
      </c>
      <c r="U18" s="21" t="str">
        <f aca="false">IFERROR(INDEX(종합!U$3:U$501,MATCH(ROW()-2,종합!$AE$3:$AE$501,0))&amp;"","")</f>
        <v>이강호</v>
      </c>
      <c r="V18" s="21" t="str">
        <f aca="false">IFERROR(INDEX(종합!V$3:V$501,MATCH(ROW()-2,종합!$AE$3:$AE$501,0))&amp;"","")</f>
        <v>Business Analyst Team</v>
      </c>
      <c r="W18" s="21" t="str">
        <f aca="false">IFERROR(INDEX(종합!W$3:W$501,MATCH(ROW()-2,종합!$AE$3:$AE$501,0))&amp;"","")</f>
        <v>책임/팀장</v>
      </c>
      <c r="X18" s="21" t="str">
        <f aca="false">IFERROR(INDEX(종합!X$3:X$501,MATCH(ROW()-2,종합!$AE$3:$AE$501,0))&amp;"","")</f>
        <v>010-7148-4120</v>
      </c>
      <c r="Y18" s="21" t="str">
        <f aca="false">IFERROR(INDEX(종합!Y$3:Y$501,MATCH(ROW()-2,종합!$AE$3:$AE$501,0))&amp;"","")</f>
        <v>felix.lee@dxworks.kr</v>
      </c>
      <c r="Z18" s="21" t="str">
        <f aca="false">IFERROR(INDEX(종합!Z$3:Z$501,MATCH(ROW()-2,종합!$AE$3:$AE$501,0))&amp;"","")</f>
        <v>010-7148-4120</v>
      </c>
    </row>
    <row r="19" customFormat="false" ht="155.25" hidden="false" customHeight="true" outlineLevel="0" collapsed="false">
      <c r="A19" s="18" t="n">
        <f aca="false">IF(B19="","",ROW()-2)</f>
        <v>17</v>
      </c>
      <c r="B19" s="18" t="str">
        <f aca="false">IFERROR(INDEX(종합!B$3:B$501,MATCH(ROW()-2,종합!$AE$3:$AE$501,0))&amp;"","")</f>
        <v>주식회사 거비메타</v>
      </c>
      <c r="C19" s="18" t="str">
        <f aca="false">IFERROR(INDEX(종합!C$3:C$501,MATCH(ROW()-2,종합!$AE$3:$AE$501,0))&amp;"","")</f>
        <v/>
      </c>
      <c r="D19" s="18" t="str">
        <f aca="false">IFERROR(INDEX(종합!D$3:D$501,MATCH(ROW()-2,종합!$AE$3:$AE$501,0))&amp;"","")</f>
        <v/>
      </c>
      <c r="E19" s="18" t="str">
        <f aca="false">IFERROR(INDEX(종합!E$3:E$501,MATCH(ROW()-2,종합!$AE$3:$AE$501,0))&amp;"","")</f>
        <v/>
      </c>
      <c r="F19" s="18" t="str">
        <f aca="false">IFERROR(INDEX(종합!F$3:F$501,MATCH(ROW()-2,종합!$AE$3:$AE$501,0))&amp;"","")</f>
        <v>O</v>
      </c>
      <c r="G19" s="18" t="str">
        <f aca="false">IFERROR(INDEX(종합!G$3:G$501,MATCH(ROW()-2,종합!$AE$3:$AE$501,0))&amp;"","")</f>
        <v>중소기업</v>
      </c>
      <c r="H19" s="21" t="str">
        <f aca="false">IFERROR(INDEX(종합!H$3:H$501,MATCH(ROW()-2,종합!$AE$3:$AE$501,0))&amp;"","")</f>
        <v>219-87-02578</v>
      </c>
      <c r="I19" s="21" t="str">
        <f aca="false">IFERROR(INDEX(종합!I$3:I$501,MATCH(ROW()-2,종합!$AE$3:$AE$501,0))&amp;"","")</f>
        <v>신대영</v>
      </c>
      <c r="J19" s="21" t="str">
        <f aca="false">IFERROR(INDEX(종합!J$3:J$501,MATCH(ROW()-2,종합!$AE$3:$AE$501,0))&amp;"","")</f>
        <v>032-833-0020</v>
      </c>
      <c r="K19" s="21" t="str">
        <f aca="false">IFERROR(INDEX(종합!K$3:K$501,MATCH(ROW()-2,종합!$AE$3:$AE$501,0))&amp;"","")</f>
        <v>http://www.gubimeta.com</v>
      </c>
      <c r="L19" s="21" t="str">
        <f aca="false">IFERROR(INDEX(종합!L$3:L$501,MATCH(ROW()-2,종합!$AE$3:$AE$501,0))&amp;"","")</f>
        <v>seyuncom@gmail.com</v>
      </c>
      <c r="M19" s="21" t="str">
        <f aca="false">IFERROR(INDEX(종합!M$3:M$501,MATCH(ROW()-2,종합!$AE$3:$AE$501,0))&amp;"","")</f>
        <v>인천광역시 연수구 갯벌로 12 갯벌타워 1609호</v>
      </c>
      <c r="N19" s="25" t="str">
        <f aca="false">IFERROR(INDEX(종합!N$3:N$501,MATCH(ROW()-2,종합!$AE$3:$AE$501,0))&amp;"","")</f>
        <v>1. 전문 분야: 기계산업 도메인 특화 자율형 지식 에이전트 2. 보유 기술 및 서비스 (Current Core)  - 기계산업 도메인 지식(knowledge) 특화 지식 베이스: 문서(매뉴얼, 카탈로그, etc.) 기반 마스터 데이터셋 구축 완료  - 지능형 지식 추출: LLM 및 RAG 기술을 활용한 도메인 맞춤형 질의응답 엔진 보유  - 멀티모달 가이드: 현장 작업자를 위한 음성 인터페이스 및 시각화 솔루션 운영 3. 기술 고도화 및 실증 계획 (Future Road-map)  - 시각 지능 확장: 실물 부품 및 회로도 인식을 통한 매칭 기술 고도화 진행 중  - 자율 실행 환경: 진단 결과에 따른 구매 연동 등 실행형(Actionable) 기능 실증 추진</v>
      </c>
      <c r="O19" s="21" t="str">
        <f aca="false">IFERROR(INDEX(종합!O$3:O$501,MATCH(ROW()-2,종합!$AE$3:$AE$501,0))&amp;"","")</f>
        <v>신대영</v>
      </c>
      <c r="P19" s="21" t="str">
        <f aca="false">IFERROR(INDEX(종합!P$3:P$501,MATCH(ROW()-2,종합!$AE$3:$AE$501,0))&amp;"","")</f>
        <v>경영관리</v>
      </c>
      <c r="Q19" s="21" t="str">
        <f aca="false">IFERROR(INDEX(종합!Q$3:Q$501,MATCH(ROW()-2,종합!$AE$3:$AE$501,0))&amp;"","")</f>
        <v>대표</v>
      </c>
      <c r="R19" s="21" t="str">
        <f aca="false">IFERROR(INDEX(종합!R$3:R$501,MATCH(ROW()-2,종합!$AE$3:$AE$501,0))&amp;"","")</f>
        <v>032-833-0020</v>
      </c>
      <c r="S19" s="21" t="str">
        <f aca="false">IFERROR(INDEX(종합!S$3:S$501,MATCH(ROW()-2,종합!$AE$3:$AE$501,0))&amp;"","")</f>
        <v>daeyoung.shin@gubimeta.com</v>
      </c>
      <c r="T19" s="21" t="str">
        <f aca="false">IFERROR(INDEX(종합!T$3:T$501,MATCH(ROW()-2,종합!$AE$3:$AE$501,0))&amp;"","")</f>
        <v>010-9083-6313</v>
      </c>
      <c r="U19" s="21" t="str">
        <f aca="false">IFERROR(INDEX(종합!U$3:U$501,MATCH(ROW()-2,종합!$AE$3:$AE$501,0))&amp;"","")</f>
        <v>이세연</v>
      </c>
      <c r="V19" s="21" t="str">
        <f aca="false">IFERROR(INDEX(종합!V$3:V$501,MATCH(ROW()-2,종합!$AE$3:$AE$501,0))&amp;"","")</f>
        <v>연구개발팀</v>
      </c>
      <c r="W19" s="21" t="str">
        <f aca="false">IFERROR(INDEX(종합!W$3:W$501,MATCH(ROW()-2,종합!$AE$3:$AE$501,0))&amp;"","")</f>
        <v>팀장</v>
      </c>
      <c r="X19" s="21" t="str">
        <f aca="false">IFERROR(INDEX(종합!X$3:X$501,MATCH(ROW()-2,종합!$AE$3:$AE$501,0))&amp;"","")</f>
        <v>032-833-0020</v>
      </c>
      <c r="Y19" s="21" t="str">
        <f aca="false">IFERROR(INDEX(종합!Y$3:Y$501,MATCH(ROW()-2,종합!$AE$3:$AE$501,0))&amp;"","")</f>
        <v>seyuncom@gubimeta.com</v>
      </c>
      <c r="Z19" s="21" t="str">
        <f aca="false">IFERROR(INDEX(종합!Z$3:Z$501,MATCH(ROW()-2,종합!$AE$3:$AE$501,0))&amp;"","")</f>
        <v>010-2089-8965</v>
      </c>
    </row>
    <row r="20" customFormat="false" ht="22.5" hidden="false" customHeight="true" outlineLevel="0" collapsed="false">
      <c r="A20" s="18" t="n">
        <f aca="false">IF(B20="","",ROW()-2)</f>
        <v>18</v>
      </c>
      <c r="B20" s="18" t="str">
        <f aca="false">IFERROR(INDEX(종합!B$3:B$501,MATCH(ROW()-2,종합!$AE$3:$AE$501,0))&amp;"","")</f>
        <v>(주)시스윌</v>
      </c>
      <c r="C20" s="18" t="str">
        <f aca="false">IFERROR(INDEX(종합!C$3:C$501,MATCH(ROW()-2,종합!$AE$3:$AE$501,0))&amp;"","")</f>
        <v/>
      </c>
      <c r="D20" s="18" t="str">
        <f aca="false">IFERROR(INDEX(종합!D$3:D$501,MATCH(ROW()-2,종합!$AE$3:$AE$501,0))&amp;"","")</f>
        <v/>
      </c>
      <c r="E20" s="18" t="str">
        <f aca="false">IFERROR(INDEX(종합!E$3:E$501,MATCH(ROW()-2,종합!$AE$3:$AE$501,0))&amp;"","")</f>
        <v/>
      </c>
      <c r="F20" s="18" t="str">
        <f aca="false">IFERROR(INDEX(종합!F$3:F$501,MATCH(ROW()-2,종합!$AE$3:$AE$501,0))&amp;"","")</f>
        <v>O</v>
      </c>
      <c r="G20" s="18" t="str">
        <f aca="false">IFERROR(INDEX(종합!G$3:G$501,MATCH(ROW()-2,종합!$AE$3:$AE$501,0))&amp;"","")</f>
        <v>중소기업</v>
      </c>
      <c r="H20" s="21" t="str">
        <f aca="false">IFERROR(INDEX(종합!H$3:H$501,MATCH(ROW()-2,종합!$AE$3:$AE$501,0))&amp;"","")</f>
        <v>671-88-01342</v>
      </c>
      <c r="I20" s="21" t="str">
        <f aca="false">IFERROR(INDEX(종합!I$3:I$501,MATCH(ROW()-2,종합!$AE$3:$AE$501,0))&amp;"","")</f>
        <v>차성웅</v>
      </c>
      <c r="J20" s="21" t="str">
        <f aca="false">IFERROR(INDEX(종합!J$3:J$501,MATCH(ROW()-2,종합!$AE$3:$AE$501,0))&amp;"","")</f>
        <v>070-4469-0409</v>
      </c>
      <c r="K20" s="21" t="str">
        <f aca="false">IFERROR(INDEX(종합!K$3:K$501,MATCH(ROW()-2,종합!$AE$3:$AE$501,0))&amp;"","")</f>
        <v>www.syswill.com</v>
      </c>
      <c r="L20" s="21" t="str">
        <f aca="false">IFERROR(INDEX(종합!L$3:L$501,MATCH(ROW()-2,종합!$AE$3:$AE$501,0))&amp;"","")</f>
        <v>newzest27@gmail.com</v>
      </c>
      <c r="M20" s="21" t="str">
        <f aca="false">IFERROR(INDEX(종합!M$3:M$501,MATCH(ROW()-2,종합!$AE$3:$AE$501,0))&amp;"","")</f>
        <v>서울시 마포구 매봉산로 37 DMC산학협력센터 1202호</v>
      </c>
      <c r="N20" s="25" t="str">
        <f aca="false">IFERROR(INDEX(종합!N$3:N$501,MATCH(ROW()-2,종합!$AE$3:$AE$501,0))&amp;"","")</f>
        <v>영상인식, 의사결정AI, LLM 데이터분석</v>
      </c>
      <c r="O20" s="21" t="str">
        <f aca="false">IFERROR(INDEX(종합!O$3:O$501,MATCH(ROW()-2,종합!$AE$3:$AE$501,0))&amp;"","")</f>
        <v>차성웅</v>
      </c>
      <c r="P20" s="21" t="str">
        <f aca="false">IFERROR(INDEX(종합!P$3:P$501,MATCH(ROW()-2,종합!$AE$3:$AE$501,0))&amp;"","")</f>
        <v>영업본부</v>
      </c>
      <c r="Q20" s="21" t="str">
        <f aca="false">IFERROR(INDEX(종합!Q$3:Q$501,MATCH(ROW()-2,종합!$AE$3:$AE$501,0))&amp;"","")</f>
        <v>대표</v>
      </c>
      <c r="R20" s="21" t="str">
        <f aca="false">IFERROR(INDEX(종합!R$3:R$501,MATCH(ROW()-2,종합!$AE$3:$AE$501,0))&amp;"","")</f>
        <v>070-4469-0409</v>
      </c>
      <c r="S20" s="21" t="str">
        <f aca="false">IFERROR(INDEX(종합!S$3:S$501,MATCH(ROW()-2,종합!$AE$3:$AE$501,0))&amp;"","")</f>
        <v>andrewcha69@syswill.com</v>
      </c>
      <c r="T20" s="21" t="str">
        <f aca="false">IFERROR(INDEX(종합!T$3:T$501,MATCH(ROW()-2,종합!$AE$3:$AE$501,0))&amp;"","")</f>
        <v>010-5047-5601</v>
      </c>
      <c r="U20" s="21" t="str">
        <f aca="false">IFERROR(INDEX(종합!U$3:U$501,MATCH(ROW()-2,종합!$AE$3:$AE$501,0))&amp;"","")</f>
        <v>현기호</v>
      </c>
      <c r="V20" s="21" t="str">
        <f aca="false">IFERROR(INDEX(종합!V$3:V$501,MATCH(ROW()-2,종합!$AE$3:$AE$501,0))&amp;"","")</f>
        <v>기술연구소</v>
      </c>
      <c r="W20" s="21" t="str">
        <f aca="false">IFERROR(INDEX(종합!W$3:W$501,MATCH(ROW()-2,종합!$AE$3:$AE$501,0))&amp;"","")</f>
        <v>이사/연구소장</v>
      </c>
      <c r="X20" s="21" t="str">
        <f aca="false">IFERROR(INDEX(종합!X$3:X$501,MATCH(ROW()-2,종합!$AE$3:$AE$501,0))&amp;"","")</f>
        <v>070-4469-0409</v>
      </c>
      <c r="Y20" s="21" t="str">
        <f aca="false">IFERROR(INDEX(종합!Y$3:Y$501,MATCH(ROW()-2,종합!$AE$3:$AE$501,0))&amp;"","")</f>
        <v>kiho00@syswill.com</v>
      </c>
      <c r="Z20" s="21" t="str">
        <f aca="false">IFERROR(INDEX(종합!Z$3:Z$501,MATCH(ROW()-2,종합!$AE$3:$AE$501,0))&amp;"","")</f>
        <v>010-3199-9685</v>
      </c>
    </row>
    <row r="21" customFormat="false" ht="47.25" hidden="false" customHeight="true" outlineLevel="0" collapsed="false">
      <c r="A21" s="18" t="n">
        <f aca="false">IF(B21="","",ROW()-2)</f>
        <v>19</v>
      </c>
      <c r="B21" s="18" t="str">
        <f aca="false">IFERROR(INDEX(종합!B$3:B$501,MATCH(ROW()-2,종합!$AE$3:$AE$501,0))&amp;"","")</f>
        <v>(주)씽크포비엘</v>
      </c>
      <c r="C21" s="18" t="str">
        <f aca="false">IFERROR(INDEX(종합!C$3:C$501,MATCH(ROW()-2,종합!$AE$3:$AE$501,0))&amp;"","")</f>
        <v/>
      </c>
      <c r="D21" s="18" t="str">
        <f aca="false">IFERROR(INDEX(종합!D$3:D$501,MATCH(ROW()-2,종합!$AE$3:$AE$501,0))&amp;"","")</f>
        <v/>
      </c>
      <c r="E21" s="18" t="str">
        <f aca="false">IFERROR(INDEX(종합!E$3:E$501,MATCH(ROW()-2,종합!$AE$3:$AE$501,0))&amp;"","")</f>
        <v/>
      </c>
      <c r="F21" s="18" t="str">
        <f aca="false">IFERROR(INDEX(종합!F$3:F$501,MATCH(ROW()-2,종합!$AE$3:$AE$501,0))&amp;"","")</f>
        <v>O</v>
      </c>
      <c r="G21" s="18" t="str">
        <f aca="false">IFERROR(INDEX(종합!G$3:G$501,MATCH(ROW()-2,종합!$AE$3:$AE$501,0))&amp;"","")</f>
        <v>중소기업</v>
      </c>
      <c r="H21" s="21" t="str">
        <f aca="false">IFERROR(INDEX(종합!H$3:H$501,MATCH(ROW()-2,종합!$AE$3:$AE$501,0))&amp;"","")</f>
        <v>120-87-26168</v>
      </c>
      <c r="I21" s="21" t="str">
        <f aca="false">IFERROR(INDEX(종합!I$3:I$501,MATCH(ROW()-2,종합!$AE$3:$AE$501,0))&amp;"","")</f>
        <v>박지환</v>
      </c>
      <c r="J21" s="21" t="str">
        <f aca="false">IFERROR(INDEX(종합!J$3:J$501,MATCH(ROW()-2,종합!$AE$3:$AE$501,0))&amp;"","")</f>
        <v>02-562-6545</v>
      </c>
      <c r="K21" s="21" t="str">
        <f aca="false">IFERROR(INDEX(종합!K$3:K$501,MATCH(ROW()-2,종합!$AE$3:$AE$501,0))&amp;"","")</f>
        <v>www.thinkforbl.com</v>
      </c>
      <c r="L21" s="21" t="str">
        <f aca="false">IFERROR(INDEX(종합!L$3:L$501,MATCH(ROW()-2,종합!$AE$3:$AE$501,0))&amp;"","")</f>
        <v>pmjdiana@gmail.com</v>
      </c>
      <c r="M21" s="21" t="str">
        <f aca="false">IFERROR(INDEX(종합!M$3:M$501,MATCH(ROW()-2,종합!$AE$3:$AE$501,0))&amp;"","")</f>
        <v>서울특별시 강남구 역삼동 746 PMK빌딩 8층</v>
      </c>
      <c r="N21" s="25" t="str">
        <f aca="false">IFERROR(INDEX(종합!N$3:N$501,MATCH(ROW()-2,종합!$AE$3:$AE$501,0))&amp;"","")</f>
        <v>AI 신뢰성 확보 교육/자격증 및 컨설팅 서비스, 데이터 편향(충실도) 진단 도구 및 AI 견고성 평가 도구, AI 신뢰성 교육 도구</v>
      </c>
      <c r="O21" s="21" t="str">
        <f aca="false">IFERROR(INDEX(종합!O$3:O$501,MATCH(ROW()-2,종합!$AE$3:$AE$501,0))&amp;"","")</f>
        <v>박지환</v>
      </c>
      <c r="P21" s="21" t="str">
        <f aca="false">IFERROR(INDEX(종합!P$3:P$501,MATCH(ROW()-2,종합!$AE$3:$AE$501,0))&amp;"","")</f>
        <v>-</v>
      </c>
      <c r="Q21" s="21" t="str">
        <f aca="false">IFERROR(INDEX(종합!Q$3:Q$501,MATCH(ROW()-2,종합!$AE$3:$AE$501,0))&amp;"","")</f>
        <v>대표이사</v>
      </c>
      <c r="R21" s="21" t="str">
        <f aca="false">IFERROR(INDEX(종합!R$3:R$501,MATCH(ROW()-2,종합!$AE$3:$AE$501,0))&amp;"","")</f>
        <v>02-562-6545</v>
      </c>
      <c r="S21" s="21" t="str">
        <f aca="false">IFERROR(INDEX(종합!S$3:S$501,MATCH(ROW()-2,종합!$AE$3:$AE$501,0))&amp;"","")</f>
        <v>jihwan.park@thinkforbl.com</v>
      </c>
      <c r="T21" s="21" t="str">
        <f aca="false">IFERROR(INDEX(종합!T$3:T$501,MATCH(ROW()-2,종합!$AE$3:$AE$501,0))&amp;"","")</f>
        <v>010-4224-4081</v>
      </c>
      <c r="U21" s="21" t="str">
        <f aca="false">IFERROR(INDEX(종합!U$3:U$501,MATCH(ROW()-2,종합!$AE$3:$AE$501,0))&amp;"","")</f>
        <v>박지환</v>
      </c>
      <c r="V21" s="21" t="str">
        <f aca="false">IFERROR(INDEX(종합!V$3:V$501,MATCH(ROW()-2,종합!$AE$3:$AE$501,0))&amp;"","")</f>
        <v>-</v>
      </c>
      <c r="W21" s="21" t="str">
        <f aca="false">IFERROR(INDEX(종합!W$3:W$501,MATCH(ROW()-2,종합!$AE$3:$AE$501,0))&amp;"","")</f>
        <v>대표이사</v>
      </c>
      <c r="X21" s="21" t="str">
        <f aca="false">IFERROR(INDEX(종합!X$3:X$501,MATCH(ROW()-2,종합!$AE$3:$AE$501,0))&amp;"","")</f>
        <v>02-562-6545</v>
      </c>
      <c r="Y21" s="21" t="str">
        <f aca="false">IFERROR(INDEX(종합!Y$3:Y$501,MATCH(ROW()-2,종합!$AE$3:$AE$501,0))&amp;"","")</f>
        <v>jihwan.park@thinkforbl.com</v>
      </c>
      <c r="Z21" s="21" t="str">
        <f aca="false">IFERROR(INDEX(종합!Z$3:Z$501,MATCH(ROW()-2,종합!$AE$3:$AE$501,0))&amp;"","")</f>
        <v>010-4224-4081</v>
      </c>
    </row>
    <row r="22" customFormat="false" ht="33.75" hidden="false" customHeight="true" outlineLevel="0" collapsed="false">
      <c r="A22" s="18" t="n">
        <f aca="false">IF(B22="","",ROW()-2)</f>
        <v>20</v>
      </c>
      <c r="B22" s="18" t="str">
        <f aca="false">IFERROR(INDEX(종합!B$3:B$501,MATCH(ROW()-2,종합!$AE$3:$AE$501,0))&amp;"","")</f>
        <v>휴심정AX</v>
      </c>
      <c r="C22" s="18" t="str">
        <f aca="false">IFERROR(INDEX(종합!C$3:C$501,MATCH(ROW()-2,종합!$AE$3:$AE$501,0))&amp;"","")</f>
        <v/>
      </c>
      <c r="D22" s="18" t="str">
        <f aca="false">IFERROR(INDEX(종합!D$3:D$501,MATCH(ROW()-2,종합!$AE$3:$AE$501,0))&amp;"","")</f>
        <v/>
      </c>
      <c r="E22" s="18" t="str">
        <f aca="false">IFERROR(INDEX(종합!E$3:E$501,MATCH(ROW()-2,종합!$AE$3:$AE$501,0))&amp;"","")</f>
        <v/>
      </c>
      <c r="F22" s="18" t="str">
        <f aca="false">IFERROR(INDEX(종합!F$3:F$501,MATCH(ROW()-2,종합!$AE$3:$AE$501,0))&amp;"","")</f>
        <v>O</v>
      </c>
      <c r="G22" s="18" t="str">
        <f aca="false">IFERROR(INDEX(종합!G$3:G$501,MATCH(ROW()-2,종합!$AE$3:$AE$501,0))&amp;"","")</f>
        <v>중소기업</v>
      </c>
      <c r="H22" s="21" t="str">
        <f aca="false">IFERROR(INDEX(종합!H$3:H$501,MATCH(ROW()-2,종합!$AE$3:$AE$501,0))&amp;"","")</f>
        <v>882-07-02898</v>
      </c>
      <c r="I22" s="21" t="str">
        <f aca="false">IFERROR(INDEX(종합!I$3:I$501,MATCH(ROW()-2,종합!$AE$3:$AE$501,0))&amp;"","")</f>
        <v>서근종</v>
      </c>
      <c r="J22" s="21" t="str">
        <f aca="false">IFERROR(INDEX(종합!J$3:J$501,MATCH(ROW()-2,종합!$AE$3:$AE$501,0))&amp;"","")</f>
        <v>010-4349-8021</v>
      </c>
      <c r="K22" s="21" t="str">
        <f aca="false">IFERROR(INDEX(종합!K$3:K$501,MATCH(ROW()-2,종합!$AE$3:$AE$501,0))&amp;"","")</f>
        <v>.</v>
      </c>
      <c r="L22" s="21" t="str">
        <f aca="false">IFERROR(INDEX(종합!L$3:L$501,MATCH(ROW()-2,종합!$AE$3:$AE$501,0))&amp;"","")</f>
        <v>loelinsi@gmail.com</v>
      </c>
      <c r="M22" s="21" t="str">
        <f aca="false">IFERROR(INDEX(종합!M$3:M$501,MATCH(ROW()-2,종합!$AE$3:$AE$501,0))&amp;"","")</f>
        <v>광주광역시 광산구 임방울대로 611-23, 1층</v>
      </c>
      <c r="N22" s="25" t="str">
        <f aca="false">IFERROR(INDEX(종합!N$3:N$501,MATCH(ROW()-2,종합!$AE$3:$AE$501,0))&amp;"","")</f>
        <v>1)저전력 Edge 단 기반, 사고예방솔루션 2)주차 관리, 관제 솔루션 3)생육환경 최적제어</v>
      </c>
      <c r="O22" s="21" t="str">
        <f aca="false">IFERROR(INDEX(종합!O$3:O$501,MATCH(ROW()-2,종합!$AE$3:$AE$501,0))&amp;"","")</f>
        <v>서근종</v>
      </c>
      <c r="P22" s="21" t="str">
        <f aca="false">IFERROR(INDEX(종합!P$3:P$501,MATCH(ROW()-2,종합!$AE$3:$AE$501,0))&amp;"","")</f>
        <v>대표</v>
      </c>
      <c r="Q22" s="21" t="str">
        <f aca="false">IFERROR(INDEX(종합!Q$3:Q$501,MATCH(ROW()-2,종합!$AE$3:$AE$501,0))&amp;"","")</f>
        <v>대표</v>
      </c>
      <c r="R22" s="21" t="str">
        <f aca="false">IFERROR(INDEX(종합!R$3:R$501,MATCH(ROW()-2,종합!$AE$3:$AE$501,0))&amp;"","")</f>
        <v>010-4349-8021</v>
      </c>
      <c r="S22" s="21" t="str">
        <f aca="false">IFERROR(INDEX(종합!S$3:S$501,MATCH(ROW()-2,종합!$AE$3:$AE$501,0))&amp;"","")</f>
        <v>hyusimjeong01@gmail.com</v>
      </c>
      <c r="T22" s="21" t="str">
        <f aca="false">IFERROR(INDEX(종합!T$3:T$501,MATCH(ROW()-2,종합!$AE$3:$AE$501,0))&amp;"","")</f>
        <v>010-4349-8021</v>
      </c>
      <c r="U22" s="21" t="str">
        <f aca="false">IFERROR(INDEX(종합!U$3:U$501,MATCH(ROW()-2,종합!$AE$3:$AE$501,0))&amp;"","")</f>
        <v>박선양</v>
      </c>
      <c r="V22" s="21" t="str">
        <f aca="false">IFERROR(INDEX(종합!V$3:V$501,MATCH(ROW()-2,종합!$AE$3:$AE$501,0))&amp;"","")</f>
        <v>부설연구소</v>
      </c>
      <c r="W22" s="21" t="str">
        <f aca="false">IFERROR(INDEX(종합!W$3:W$501,MATCH(ROW()-2,종합!$AE$3:$AE$501,0))&amp;"","")</f>
        <v>선임연구원</v>
      </c>
      <c r="X22" s="21" t="str">
        <f aca="false">IFERROR(INDEX(종합!X$3:X$501,MATCH(ROW()-2,종합!$AE$3:$AE$501,0))&amp;"","")</f>
        <v>010-7310-1184</v>
      </c>
      <c r="Y22" s="21" t="str">
        <f aca="false">IFERROR(INDEX(종합!Y$3:Y$501,MATCH(ROW()-2,종합!$AE$3:$AE$501,0))&amp;"","")</f>
        <v>hyusimjeong02@gmail.com</v>
      </c>
      <c r="Z22" s="21" t="str">
        <f aca="false">IFERROR(INDEX(종합!Z$3:Z$501,MATCH(ROW()-2,종합!$AE$3:$AE$501,0))&amp;"","")</f>
        <v>010-7310-1184</v>
      </c>
    </row>
    <row r="23" customFormat="false" ht="22.5" hidden="false" customHeight="true" outlineLevel="0" collapsed="false">
      <c r="A23" s="18" t="n">
        <f aca="false">IF(B23="","",ROW()-2)</f>
        <v>21</v>
      </c>
      <c r="B23" s="18" t="str">
        <f aca="false">IFERROR(INDEX(종합!B$3:B$501,MATCH(ROW()-2,종합!$AE$3:$AE$501,0))&amp;"","")</f>
        <v>주식회사 크랜베리</v>
      </c>
      <c r="C23" s="18" t="str">
        <f aca="false">IFERROR(INDEX(종합!C$3:C$501,MATCH(ROW()-2,종합!$AE$3:$AE$501,0))&amp;"","")</f>
        <v>O</v>
      </c>
      <c r="D23" s="18" t="str">
        <f aca="false">IFERROR(INDEX(종합!D$3:D$501,MATCH(ROW()-2,종합!$AE$3:$AE$501,0))&amp;"","")</f>
        <v/>
      </c>
      <c r="E23" s="18" t="str">
        <f aca="false">IFERROR(INDEX(종합!E$3:E$501,MATCH(ROW()-2,종합!$AE$3:$AE$501,0))&amp;"","")</f>
        <v/>
      </c>
      <c r="F23" s="18" t="str">
        <f aca="false">IFERROR(INDEX(종합!F$3:F$501,MATCH(ROW()-2,종합!$AE$3:$AE$501,0))&amp;"","")</f>
        <v>O</v>
      </c>
      <c r="G23" s="18" t="str">
        <f aca="false">IFERROR(INDEX(종합!G$3:G$501,MATCH(ROW()-2,종합!$AE$3:$AE$501,0))&amp;"","")</f>
        <v>중소기업</v>
      </c>
      <c r="H23" s="21" t="str">
        <f aca="false">IFERROR(INDEX(종합!H$3:H$501,MATCH(ROW()-2,종합!$AE$3:$AE$501,0))&amp;"","")</f>
        <v>192-87-02481</v>
      </c>
      <c r="I23" s="21" t="str">
        <f aca="false">IFERROR(INDEX(종합!I$3:I$501,MATCH(ROW()-2,종합!$AE$3:$AE$501,0))&amp;"","")</f>
        <v>이은혜</v>
      </c>
      <c r="J23" s="21" t="str">
        <f aca="false">IFERROR(INDEX(종합!J$3:J$501,MATCH(ROW()-2,종합!$AE$3:$AE$501,0))&amp;"","")</f>
        <v>02-854-8115</v>
      </c>
      <c r="K23" s="21" t="str">
        <f aca="false">IFERROR(INDEX(종합!K$3:K$501,MATCH(ROW()-2,종합!$AE$3:$AE$501,0))&amp;"","")</f>
        <v>https://www.cberry.co.kr/</v>
      </c>
      <c r="L23" s="21" t="str">
        <f aca="false">IFERROR(INDEX(종합!L$3:L$501,MATCH(ROW()-2,종합!$AE$3:$AE$501,0))&amp;"","")</f>
        <v>tyjtrheerg@gmail.com</v>
      </c>
      <c r="M23" s="21" t="str">
        <f aca="false">IFERROR(INDEX(종합!M$3:M$501,MATCH(ROW()-2,종합!$AE$3:$AE$501,0))&amp;"","")</f>
        <v>서울특별시 금천구 가산디지털1로 225 (우)08501</v>
      </c>
      <c r="N23" s="25" t="str">
        <f aca="false">IFERROR(INDEX(종합!N$3:N$501,MATCH(ROW()-2,종합!$AE$3:$AE$501,0))&amp;"","")</f>
        <v>멀티모달 기반 실시간 이상상황 인지 솔루션</v>
      </c>
      <c r="O23" s="21" t="str">
        <f aca="false">IFERROR(INDEX(종합!O$3:O$501,MATCH(ROW()-2,종합!$AE$3:$AE$501,0))&amp;"","")</f>
        <v>이은혜</v>
      </c>
      <c r="P23" s="21" t="str">
        <f aca="false">IFERROR(INDEX(종합!P$3:P$501,MATCH(ROW()-2,종합!$AE$3:$AE$501,0))&amp;"","")</f>
        <v>경영</v>
      </c>
      <c r="Q23" s="21" t="str">
        <f aca="false">IFERROR(INDEX(종합!Q$3:Q$501,MATCH(ROW()-2,종합!$AE$3:$AE$501,0))&amp;"","")</f>
        <v>대표이사</v>
      </c>
      <c r="R23" s="21" t="str">
        <f aca="false">IFERROR(INDEX(종합!R$3:R$501,MATCH(ROW()-2,종합!$AE$3:$AE$501,0))&amp;"","")</f>
        <v>010-6361-9484</v>
      </c>
      <c r="S23" s="21" t="str">
        <f aca="false">IFERROR(INDEX(종합!S$3:S$501,MATCH(ROW()-2,종합!$AE$3:$AE$501,0))&amp;"","")</f>
        <v>hero2102@naver.com</v>
      </c>
      <c r="T23" s="21" t="str">
        <f aca="false">IFERROR(INDEX(종합!T$3:T$501,MATCH(ROW()-2,종합!$AE$3:$AE$501,0))&amp;"","")</f>
        <v>010-6361-9484</v>
      </c>
      <c r="U23" s="21" t="str">
        <f aca="false">IFERROR(INDEX(종합!U$3:U$501,MATCH(ROW()-2,종합!$AE$3:$AE$501,0))&amp;"","")</f>
        <v>고현준</v>
      </c>
      <c r="V23" s="21" t="str">
        <f aca="false">IFERROR(INDEX(종합!V$3:V$501,MATCH(ROW()-2,종합!$AE$3:$AE$501,0))&amp;"","")</f>
        <v>미래전략</v>
      </c>
      <c r="W23" s="21" t="str">
        <f aca="false">IFERROR(INDEX(종합!W$3:W$501,MATCH(ROW()-2,종합!$AE$3:$AE$501,0))&amp;"","")</f>
        <v>상무</v>
      </c>
      <c r="X23" s="21" t="str">
        <f aca="false">IFERROR(INDEX(종합!X$3:X$501,MATCH(ROW()-2,종합!$AE$3:$AE$501,0))&amp;"","")</f>
        <v>010-7471-1618</v>
      </c>
      <c r="Y23" s="21" t="str">
        <f aca="false">IFERROR(INDEX(종합!Y$3:Y$501,MATCH(ROW()-2,종합!$AE$3:$AE$501,0))&amp;"","")</f>
        <v>hero2102@naver.com</v>
      </c>
      <c r="Z23" s="21" t="str">
        <f aca="false">IFERROR(INDEX(종합!Z$3:Z$501,MATCH(ROW()-2,종합!$AE$3:$AE$501,0))&amp;"","")</f>
        <v>010-7471-1618</v>
      </c>
    </row>
    <row r="24" customFormat="false" ht="22.5" hidden="false" customHeight="true" outlineLevel="0" collapsed="false">
      <c r="A24" s="18" t="n">
        <f aca="false">IF(B24="","",ROW()-2)</f>
        <v>22</v>
      </c>
      <c r="B24" s="18" t="str">
        <f aca="false">IFERROR(INDEX(종합!B$3:B$501,MATCH(ROW()-2,종합!$AE$3:$AE$501,0))&amp;"","")</f>
        <v>대구디지털혁신진흥원</v>
      </c>
      <c r="C24" s="18" t="str">
        <f aca="false">IFERROR(INDEX(종합!C$3:C$501,MATCH(ROW()-2,종합!$AE$3:$AE$501,0))&amp;"","")</f>
        <v/>
      </c>
      <c r="D24" s="18" t="str">
        <f aca="false">IFERROR(INDEX(종합!D$3:D$501,MATCH(ROW()-2,종합!$AE$3:$AE$501,0))&amp;"","")</f>
        <v/>
      </c>
      <c r="E24" s="18" t="str">
        <f aca="false">IFERROR(INDEX(종합!E$3:E$501,MATCH(ROW()-2,종합!$AE$3:$AE$501,0))&amp;"","")</f>
        <v/>
      </c>
      <c r="F24" s="18" t="str">
        <f aca="false">IFERROR(INDEX(종합!F$3:F$501,MATCH(ROW()-2,종합!$AE$3:$AE$501,0))&amp;"","")</f>
        <v>O</v>
      </c>
      <c r="G24" s="18" t="str">
        <f aca="false">IFERROR(INDEX(종합!G$3:G$501,MATCH(ROW()-2,종합!$AE$3:$AE$501,0))&amp;"","")</f>
        <v>공공기관</v>
      </c>
      <c r="H24" s="21" t="str">
        <f aca="false">IFERROR(INDEX(종합!H$3:H$501,MATCH(ROW()-2,종합!$AE$3:$AE$501,0))&amp;"","")</f>
        <v>514-82-08846</v>
      </c>
      <c r="I24" s="21" t="str">
        <f aca="false">IFERROR(INDEX(종합!I$3:I$501,MATCH(ROW()-2,종합!$AE$3:$AE$501,0))&amp;"","")</f>
        <v>민정기</v>
      </c>
      <c r="J24" s="21" t="str">
        <f aca="false">IFERROR(INDEX(종합!J$3:J$501,MATCH(ROW()-2,종합!$AE$3:$AE$501,0))&amp;"","")</f>
        <v>053-655-6891</v>
      </c>
      <c r="K24" s="21" t="str">
        <f aca="false">IFERROR(INDEX(종합!K$3:K$501,MATCH(ROW()-2,종합!$AE$3:$AE$501,0))&amp;"","")</f>
        <v>www.dip.or.kr</v>
      </c>
      <c r="L24" s="21" t="str">
        <f aca="false">IFERROR(INDEX(종합!L$3:L$501,MATCH(ROW()-2,종합!$AE$3:$AE$501,0))&amp;"","")</f>
        <v>sunghhakim@gmail.com</v>
      </c>
      <c r="M24" s="21" t="str">
        <f aca="false">IFERROR(INDEX(종합!M$3:M$501,MATCH(ROW()-2,종합!$AE$3:$AE$501,0))&amp;"","")</f>
        <v>대구 수성구 알파시티1로 170</v>
      </c>
      <c r="N24" s="25" t="str">
        <f aca="false">IFERROR(INDEX(종합!N$3:N$501,MATCH(ROW()-2,종합!$AE$3:$AE$501,0))&amp;"","")</f>
        <v>KOLAS 공인시험기관(ISO/IEC TS 4213</v>
      </c>
      <c r="O24" s="21" t="str">
        <f aca="false">IFERROR(INDEX(종합!O$3:O$501,MATCH(ROW()-2,종합!$AE$3:$AE$501,0))&amp;"","")</f>
        <v>김성하</v>
      </c>
      <c r="P24" s="21" t="str">
        <f aca="false">IFERROR(INDEX(종합!P$3:P$501,MATCH(ROW()-2,종합!$AE$3:$AE$501,0))&amp;"","")</f>
        <v>AI품질역량센터</v>
      </c>
      <c r="Q24" s="21" t="str">
        <f aca="false">IFERROR(INDEX(종합!Q$3:Q$501,MATCH(ROW()-2,종합!$AE$3:$AE$501,0))&amp;"","")</f>
        <v>센터장</v>
      </c>
      <c r="R24" s="21" t="str">
        <f aca="false">IFERROR(INDEX(종합!R$3:R$501,MATCH(ROW()-2,종합!$AE$3:$AE$501,0))&amp;"","")</f>
        <v>053-655-6891</v>
      </c>
      <c r="S24" s="21" t="str">
        <f aca="false">IFERROR(INDEX(종합!S$3:S$501,MATCH(ROW()-2,종합!$AE$3:$AE$501,0))&amp;"","")</f>
        <v>ksh@dip.or.kr</v>
      </c>
      <c r="T24" s="21" t="str">
        <f aca="false">IFERROR(INDEX(종합!T$3:T$501,MATCH(ROW()-2,종합!$AE$3:$AE$501,0))&amp;"","")</f>
        <v>010-2928-1738</v>
      </c>
      <c r="U24" s="21" t="str">
        <f aca="false">IFERROR(INDEX(종합!U$3:U$501,MATCH(ROW()-2,종합!$AE$3:$AE$501,0))&amp;"","")</f>
        <v>유지환</v>
      </c>
      <c r="V24" s="21" t="str">
        <f aca="false">IFERROR(INDEX(종합!V$3:V$501,MATCH(ROW()-2,종합!$AE$3:$AE$501,0))&amp;"","")</f>
        <v>AI품질역량센터</v>
      </c>
      <c r="W24" s="21" t="str">
        <f aca="false">IFERROR(INDEX(종합!W$3:W$501,MATCH(ROW()-2,종합!$AE$3:$AE$501,0))&amp;"","")</f>
        <v>전임</v>
      </c>
      <c r="X24" s="21" t="str">
        <f aca="false">IFERROR(INDEX(종합!X$3:X$501,MATCH(ROW()-2,종합!$AE$3:$AE$501,0))&amp;"","")</f>
        <v>053-655-5652</v>
      </c>
      <c r="Y24" s="21" t="str">
        <f aca="false">IFERROR(INDEX(종합!Y$3:Y$501,MATCH(ROW()-2,종합!$AE$3:$AE$501,0))&amp;"","")</f>
        <v>zero@dip.or.kr</v>
      </c>
      <c r="Z24" s="21" t="str">
        <f aca="false">IFERROR(INDEX(종합!Z$3:Z$501,MATCH(ROW()-2,종합!$AE$3:$AE$501,0))&amp;"","")</f>
        <v>010-2032-8965</v>
      </c>
    </row>
    <row r="25" customFormat="false" ht="22.5" hidden="false" customHeight="true" outlineLevel="0" collapsed="false">
      <c r="A25" s="18" t="n">
        <f aca="false">IF(B25="","",ROW()-2)</f>
        <v>23</v>
      </c>
      <c r="B25" s="18" t="str">
        <f aca="false">IFERROR(INDEX(종합!B$3:B$501,MATCH(ROW()-2,종합!$AE$3:$AE$501,0))&amp;"","")</f>
        <v>경찰청</v>
      </c>
      <c r="C25" s="18" t="str">
        <f aca="false">IFERROR(INDEX(종합!C$3:C$501,MATCH(ROW()-2,종합!$AE$3:$AE$501,0))&amp;"","")</f>
        <v/>
      </c>
      <c r="D25" s="18" t="str">
        <f aca="false">IFERROR(INDEX(종합!D$3:D$501,MATCH(ROW()-2,종합!$AE$3:$AE$501,0))&amp;"","")</f>
        <v/>
      </c>
      <c r="E25" s="18" t="str">
        <f aca="false">IFERROR(INDEX(종합!E$3:E$501,MATCH(ROW()-2,종합!$AE$3:$AE$501,0))&amp;"","")</f>
        <v/>
      </c>
      <c r="F25" s="18" t="str">
        <f aca="false">IFERROR(INDEX(종합!F$3:F$501,MATCH(ROW()-2,종합!$AE$3:$AE$501,0))&amp;"","")</f>
        <v>O</v>
      </c>
      <c r="G25" s="18" t="str">
        <f aca="false">IFERROR(INDEX(종합!G$3:G$501,MATCH(ROW()-2,종합!$AE$3:$AE$501,0))&amp;"","")</f>
        <v>공공기관</v>
      </c>
      <c r="H25" s="21" t="str">
        <f aca="false">IFERROR(INDEX(종합!H$3:H$501,MATCH(ROW()-2,종합!$AE$3:$AE$501,0))&amp;"","")</f>
        <v>110-83-00902</v>
      </c>
      <c r="I25" s="21" t="str">
        <f aca="false">IFERROR(INDEX(종합!I$3:I$501,MATCH(ROW()-2,종합!$AE$3:$AE$501,0))&amp;"","")</f>
        <v>유재성</v>
      </c>
      <c r="J25" s="21" t="str">
        <f aca="false">IFERROR(INDEX(종합!J$3:J$501,MATCH(ROW()-2,종합!$AE$3:$AE$501,0))&amp;"","")</f>
        <v>182</v>
      </c>
      <c r="K25" s="21" t="str">
        <f aca="false">IFERROR(INDEX(종합!K$3:K$501,MATCH(ROW()-2,종합!$AE$3:$AE$501,0))&amp;"","")</f>
        <v>https://www.police.go.kr/</v>
      </c>
      <c r="L25" s="21" t="str">
        <f aca="false">IFERROR(INDEX(종합!L$3:L$501,MATCH(ROW()-2,종합!$AE$3:$AE$501,0))&amp;"","")</f>
        <v>yuhi950104@gmail.com</v>
      </c>
      <c r="M25" s="21" t="str">
        <f aca="false">IFERROR(INDEX(종합!M$3:M$501,MATCH(ROW()-2,종합!$AE$3:$AE$501,0))&amp;"","")</f>
        <v>서울특별시 서대문구 통일로 97(미근동)</v>
      </c>
      <c r="N25" s="25" t="str">
        <f aca="false">IFERROR(INDEX(종합!N$3:N$501,MATCH(ROW()-2,종합!$AE$3:$AE$501,0))&amp;"","")</f>
        <v>AI 기반 딥페이크 및 보이스피싱 범죄 수사 등</v>
      </c>
      <c r="O25" s="21" t="str">
        <f aca="false">IFERROR(INDEX(종합!O$3:O$501,MATCH(ROW()-2,종합!$AE$3:$AE$501,0))&amp;"","")</f>
        <v>도준수</v>
      </c>
      <c r="P25" s="21" t="str">
        <f aca="false">IFERROR(INDEX(종합!P$3:P$501,MATCH(ROW()-2,종합!$AE$3:$AE$501,0))&amp;"","")</f>
        <v>미래치안정책국</v>
      </c>
      <c r="Q25" s="21" t="str">
        <f aca="false">IFERROR(INDEX(종합!Q$3:Q$501,MATCH(ROW()-2,종합!$AE$3:$AE$501,0))&amp;"","")</f>
        <v>국장</v>
      </c>
      <c r="R25" s="21" t="str">
        <f aca="false">IFERROR(INDEX(종합!R$3:R$501,MATCH(ROW()-2,종합!$AE$3:$AE$501,0))&amp;"","")</f>
        <v>02-3150-2040</v>
      </c>
      <c r="S25" s="21" t="str">
        <f aca="false">IFERROR(INDEX(종합!S$3:S$501,MATCH(ROW()-2,종합!$AE$3:$AE$501,0))&amp;"","")</f>
        <v>djs014@police.go.kr</v>
      </c>
      <c r="T25" s="21" t="str">
        <f aca="false">IFERROR(INDEX(종합!T$3:T$501,MATCH(ROW()-2,종합!$AE$3:$AE$501,0))&amp;"","")</f>
        <v>010-6692-2400</v>
      </c>
      <c r="U25" s="21" t="str">
        <f aca="false">IFERROR(INDEX(종합!U$3:U$501,MATCH(ROW()-2,종합!$AE$3:$AE$501,0))&amp;"","")</f>
        <v>이치화</v>
      </c>
      <c r="V25" s="21" t="str">
        <f aca="false">IFERROR(INDEX(종합!V$3:V$501,MATCH(ROW()-2,종합!$AE$3:$AE$501,0))&amp;"","")</f>
        <v>미래치안정책과</v>
      </c>
      <c r="W25" s="21" t="str">
        <f aca="false">IFERROR(INDEX(종합!W$3:W$501,MATCH(ROW()-2,종합!$AE$3:$AE$501,0))&amp;"","")</f>
        <v>계장</v>
      </c>
      <c r="X25" s="21" t="str">
        <f aca="false">IFERROR(INDEX(종합!X$3:X$501,MATCH(ROW()-2,종합!$AE$3:$AE$501,0))&amp;"","")</f>
        <v>02-3150-1419</v>
      </c>
      <c r="Y25" s="21" t="str">
        <f aca="false">IFERROR(INDEX(종합!Y$3:Y$501,MATCH(ROW()-2,종합!$AE$3:$AE$501,0))&amp;"","")</f>
        <v>chi0526@police.go.kr</v>
      </c>
      <c r="Z25" s="21" t="str">
        <f aca="false">IFERROR(INDEX(종합!Z$3:Z$501,MATCH(ROW()-2,종합!$AE$3:$AE$501,0))&amp;"","")</f>
        <v>010-2782-8032</v>
      </c>
    </row>
    <row r="26" customFormat="false" ht="47.25" hidden="false" customHeight="true" outlineLevel="0" collapsed="false">
      <c r="A26" s="18" t="n">
        <f aca="false">IF(B26="","",ROW()-2)</f>
        <v>24</v>
      </c>
      <c r="B26" s="18" t="str">
        <f aca="false">IFERROR(INDEX(종합!B$3:B$501,MATCH(ROW()-2,종합!$AE$3:$AE$501,0))&amp;"","")</f>
        <v>주식회사 큐로드</v>
      </c>
      <c r="C26" s="18" t="str">
        <f aca="false">IFERROR(INDEX(종합!C$3:C$501,MATCH(ROW()-2,종합!$AE$3:$AE$501,0))&amp;"","")</f>
        <v/>
      </c>
      <c r="D26" s="18" t="str">
        <f aca="false">IFERROR(INDEX(종합!D$3:D$501,MATCH(ROW()-2,종합!$AE$3:$AE$501,0))&amp;"","")</f>
        <v/>
      </c>
      <c r="E26" s="18" t="str">
        <f aca="false">IFERROR(INDEX(종합!E$3:E$501,MATCH(ROW()-2,종합!$AE$3:$AE$501,0))&amp;"","")</f>
        <v/>
      </c>
      <c r="F26" s="18" t="str">
        <f aca="false">IFERROR(INDEX(종합!F$3:F$501,MATCH(ROW()-2,종합!$AE$3:$AE$501,0))&amp;"","")</f>
        <v>O</v>
      </c>
      <c r="G26" s="18" t="str">
        <f aca="false">IFERROR(INDEX(종합!G$3:G$501,MATCH(ROW()-2,종합!$AE$3:$AE$501,0))&amp;"","")</f>
        <v>중소기업</v>
      </c>
      <c r="H26" s="21" t="str">
        <f aca="false">IFERROR(INDEX(종합!H$3:H$501,MATCH(ROW()-2,종합!$AE$3:$AE$501,0))&amp;"","")</f>
        <v>120-88-24018</v>
      </c>
      <c r="I26" s="21" t="str">
        <f aca="false">IFERROR(INDEX(종합!I$3:I$501,MATCH(ROW()-2,종합!$AE$3:$AE$501,0))&amp;"","")</f>
        <v>길호웅</v>
      </c>
      <c r="J26" s="21" t="str">
        <f aca="false">IFERROR(INDEX(종합!J$3:J$501,MATCH(ROW()-2,종합!$AE$3:$AE$501,0))&amp;"","")</f>
        <v>02-6205-6181</v>
      </c>
      <c r="K26" s="21" t="str">
        <f aca="false">IFERROR(INDEX(종합!K$3:K$501,MATCH(ROW()-2,종합!$AE$3:$AE$501,0))&amp;"","")</f>
        <v>https://qroad.net/ko</v>
      </c>
      <c r="L26" s="21" t="str">
        <f aca="false">IFERROR(INDEX(종합!L$3:L$501,MATCH(ROW()-2,종합!$AE$3:$AE$501,0))&amp;"","")</f>
        <v/>
      </c>
      <c r="M26" s="21" t="str">
        <f aca="false">IFERROR(INDEX(종합!M$3:M$501,MATCH(ROW()-2,종합!$AE$3:$AE$501,0))&amp;"","")</f>
        <v>서울특별시 영등포구 국회대로70길 18 한양빌딩 5층</v>
      </c>
      <c r="N26" s="25" t="str">
        <f aca="false">IFERROR(INDEX(종합!N$3:N$501,MATCH(ROW()-2,종합!$AE$3:$AE$501,0))&amp;"","")</f>
        <v>1. AI리스크 관리 표준을 위한 검증 도구(제품명:TrustOps), 2. 온라인콘텐츠 마케팅, QA(Test), CS 업무 자동화를 위한 AI솔루션(제품명:reBots)</v>
      </c>
      <c r="O26" s="21" t="str">
        <f aca="false">IFERROR(INDEX(종합!O$3:O$501,MATCH(ROW()-2,종합!$AE$3:$AE$501,0))&amp;"","")</f>
        <v>변남용</v>
      </c>
      <c r="P26" s="21" t="str">
        <f aca="false">IFERROR(INDEX(종합!P$3:P$501,MATCH(ROW()-2,종합!$AE$3:$AE$501,0))&amp;"","")</f>
        <v>사업개발본부</v>
      </c>
      <c r="Q26" s="21" t="str">
        <f aca="false">IFERROR(INDEX(종합!Q$3:Q$501,MATCH(ROW()-2,종합!$AE$3:$AE$501,0))&amp;"","")</f>
        <v>실장</v>
      </c>
      <c r="R26" s="21" t="str">
        <f aca="false">IFERROR(INDEX(종합!R$3:R$501,MATCH(ROW()-2,종합!$AE$3:$AE$501,0))&amp;"","")</f>
        <v>010-2166-3013</v>
      </c>
      <c r="S26" s="21" t="str">
        <f aca="false">IFERROR(INDEX(종합!S$3:S$501,MATCH(ROW()-2,종합!$AE$3:$AE$501,0))&amp;"","")</f>
        <v>byunna@qroad.net</v>
      </c>
      <c r="T26" s="21" t="str">
        <f aca="false">IFERROR(INDEX(종합!T$3:T$501,MATCH(ROW()-2,종합!$AE$3:$AE$501,0))&amp;"","")</f>
        <v>010-2166-3013</v>
      </c>
      <c r="U26" s="21" t="str">
        <f aca="false">IFERROR(INDEX(종합!U$3:U$501,MATCH(ROW()-2,종합!$AE$3:$AE$501,0))&amp;"","")</f>
        <v>변남용</v>
      </c>
      <c r="V26" s="21" t="str">
        <f aca="false">IFERROR(INDEX(종합!V$3:V$501,MATCH(ROW()-2,종합!$AE$3:$AE$501,0))&amp;"","")</f>
        <v>사업개발본부</v>
      </c>
      <c r="W26" s="21" t="str">
        <f aca="false">IFERROR(INDEX(종합!W$3:W$501,MATCH(ROW()-2,종합!$AE$3:$AE$501,0))&amp;"","")</f>
        <v>실장</v>
      </c>
      <c r="X26" s="21" t="str">
        <f aca="false">IFERROR(INDEX(종합!X$3:X$501,MATCH(ROW()-2,종합!$AE$3:$AE$501,0))&amp;"","")</f>
        <v>010-2166-3013</v>
      </c>
      <c r="Y26" s="21" t="str">
        <f aca="false">IFERROR(INDEX(종합!Y$3:Y$501,MATCH(ROW()-2,종합!$AE$3:$AE$501,0))&amp;"","")</f>
        <v>byunna@qroad.net</v>
      </c>
      <c r="Z26" s="21" t="str">
        <f aca="false">IFERROR(INDEX(종합!Z$3:Z$501,MATCH(ROW()-2,종합!$AE$3:$AE$501,0))&amp;"","")</f>
        <v>010-2166-3013</v>
      </c>
    </row>
    <row r="27" customFormat="false" ht="22.5" hidden="false" customHeight="true" outlineLevel="0" collapsed="false">
      <c r="A27" s="18" t="n">
        <f aca="false">IF(B27="","",ROW()-2)</f>
        <v>25</v>
      </c>
      <c r="B27" s="18" t="str">
        <f aca="false">IFERROR(INDEX(종합!B$3:B$501,MATCH(ROW()-2,종합!$AE$3:$AE$501,0))&amp;"","")</f>
        <v>서울대학교</v>
      </c>
      <c r="C27" s="18" t="str">
        <f aca="false">IFERROR(INDEX(종합!C$3:C$501,MATCH(ROW()-2,종합!$AE$3:$AE$501,0))&amp;"","")</f>
        <v/>
      </c>
      <c r="D27" s="18" t="str">
        <f aca="false">IFERROR(INDEX(종합!D$3:D$501,MATCH(ROW()-2,종합!$AE$3:$AE$501,0))&amp;"","")</f>
        <v/>
      </c>
      <c r="E27" s="18" t="str">
        <f aca="false">IFERROR(INDEX(종합!E$3:E$501,MATCH(ROW()-2,종합!$AE$3:$AE$501,0))&amp;"","")</f>
        <v/>
      </c>
      <c r="F27" s="18" t="str">
        <f aca="false">IFERROR(INDEX(종합!F$3:F$501,MATCH(ROW()-2,종합!$AE$3:$AE$501,0))&amp;"","")</f>
        <v>O</v>
      </c>
      <c r="G27" s="18" t="str">
        <f aca="false">IFERROR(INDEX(종합!G$3:G$501,MATCH(ROW()-2,종합!$AE$3:$AE$501,0))&amp;"","")</f>
        <v>대학</v>
      </c>
      <c r="H27" s="21" t="str">
        <f aca="false">IFERROR(INDEX(종합!H$3:H$501,MATCH(ROW()-2,종합!$AE$3:$AE$501,0))&amp;"","")</f>
        <v>해당사항 없음</v>
      </c>
      <c r="I27" s="21" t="str">
        <f aca="false">IFERROR(INDEX(종합!I$3:I$501,MATCH(ROW()-2,종합!$AE$3:$AE$501,0))&amp;"","")</f>
        <v>해당사항 없음</v>
      </c>
      <c r="J27" s="21" t="str">
        <f aca="false">IFERROR(INDEX(종합!J$3:J$501,MATCH(ROW()-2,종합!$AE$3:$AE$501,0))&amp;"","")</f>
        <v>02-880-9768</v>
      </c>
      <c r="K27" s="21" t="str">
        <f aca="false">IFERROR(INDEX(종합!K$3:K$501,MATCH(ROW()-2,종합!$AE$3:$AE$501,0))&amp;"","")</f>
        <v>https://gsds.snu.ac.kr/</v>
      </c>
      <c r="L27" s="21" t="str">
        <f aca="false">IFERROR(INDEX(종합!L$3:L$501,MATCH(ROW()-2,종합!$AE$3:$AE$501,0))&amp;"","")</f>
        <v/>
      </c>
      <c r="M27" s="21" t="str">
        <f aca="false">IFERROR(INDEX(종합!M$3:M$501,MATCH(ROW()-2,종합!$AE$3:$AE$501,0))&amp;"","")</f>
        <v>서울특별시 관악구 관악로 1 서울대학교 43동 </v>
      </c>
      <c r="N27" s="25" t="str">
        <f aca="false">IFERROR(INDEX(종합!N$3:N$501,MATCH(ROW()-2,종합!$AE$3:$AE$501,0))&amp;"","")</f>
        <v>AI 전반 연구 및 교육 </v>
      </c>
      <c r="O27" s="21" t="str">
        <f aca="false">IFERROR(INDEX(종합!O$3:O$501,MATCH(ROW()-2,종합!$AE$3:$AE$501,0))&amp;"","")</f>
        <v>김희진 </v>
      </c>
      <c r="P27" s="21" t="str">
        <f aca="false">IFERROR(INDEX(종합!P$3:P$501,MATCH(ROW()-2,종합!$AE$3:$AE$501,0))&amp;"","")</f>
        <v>데이터사이언스대학원 </v>
      </c>
      <c r="Q27" s="21" t="str">
        <f aca="false">IFERROR(INDEX(종합!Q$3:Q$501,MATCH(ROW()-2,종합!$AE$3:$AE$501,0))&amp;"","")</f>
        <v>객원조교수</v>
      </c>
      <c r="R27" s="21" t="str">
        <f aca="false">IFERROR(INDEX(종합!R$3:R$501,MATCH(ROW()-2,종합!$AE$3:$AE$501,0))&amp;"","")</f>
        <v>010-2871-0193</v>
      </c>
      <c r="S27" s="21" t="str">
        <f aca="false">IFERROR(INDEX(종합!S$3:S$501,MATCH(ROW()-2,종합!$AE$3:$AE$501,0))&amp;"","")</f>
        <v>kheejin@snu.ac.kr </v>
      </c>
      <c r="T27" s="21" t="str">
        <f aca="false">IFERROR(INDEX(종합!T$3:T$501,MATCH(ROW()-2,종합!$AE$3:$AE$501,0))&amp;"","")</f>
        <v>010-2871-0193</v>
      </c>
      <c r="U27" s="21" t="str">
        <f aca="false">IFERROR(INDEX(종합!U$3:U$501,MATCH(ROW()-2,종합!$AE$3:$AE$501,0))&amp;"","")</f>
        <v>이상의 참여자 정보와 동일 </v>
      </c>
      <c r="V27" s="21" t="str">
        <f aca="false">IFERROR(INDEX(종합!V$3:V$501,MATCH(ROW()-2,종합!$AE$3:$AE$501,0))&amp;"","")</f>
        <v>이상의 참여자 정보와 동일 </v>
      </c>
      <c r="W27" s="21" t="str">
        <f aca="false">IFERROR(INDEX(종합!W$3:W$501,MATCH(ROW()-2,종합!$AE$3:$AE$501,0))&amp;"","")</f>
        <v>이상의 참여자 정보와 동일 </v>
      </c>
      <c r="X27" s="21" t="str">
        <f aca="false">IFERROR(INDEX(종합!X$3:X$501,MATCH(ROW()-2,종합!$AE$3:$AE$501,0))&amp;"","")</f>
        <v>이상의 참여자 정보와 동일 </v>
      </c>
      <c r="Y27" s="21" t="str">
        <f aca="false">IFERROR(INDEX(종합!Y$3:Y$501,MATCH(ROW()-2,종합!$AE$3:$AE$501,0))&amp;"","")</f>
        <v>이상의 참여자 정보와 동일 </v>
      </c>
      <c r="Z27" s="21" t="str">
        <f aca="false">IFERROR(INDEX(종합!Z$3:Z$501,MATCH(ROW()-2,종합!$AE$3:$AE$501,0))&amp;"","")</f>
        <v>이상의 참여자 정보와 동일 </v>
      </c>
    </row>
    <row r="28" customFormat="false" ht="22.5" hidden="false" customHeight="true" outlineLevel="0" collapsed="false">
      <c r="A28" s="18" t="n">
        <f aca="false">IF(B28="","",ROW()-2)</f>
        <v>26</v>
      </c>
      <c r="B28" s="18" t="str">
        <f aca="false">IFERROR(INDEX(종합!B$3:B$501,MATCH(ROW()-2,종합!$AE$3:$AE$501,0))&amp;"","")</f>
        <v>명지대학교</v>
      </c>
      <c r="C28" s="18" t="str">
        <f aca="false">IFERROR(INDEX(종합!C$3:C$501,MATCH(ROW()-2,종합!$AE$3:$AE$501,0))&amp;"","")</f>
        <v/>
      </c>
      <c r="D28" s="18" t="str">
        <f aca="false">IFERROR(INDEX(종합!D$3:D$501,MATCH(ROW()-2,종합!$AE$3:$AE$501,0))&amp;"","")</f>
        <v/>
      </c>
      <c r="E28" s="18" t="str">
        <f aca="false">IFERROR(INDEX(종합!E$3:E$501,MATCH(ROW()-2,종합!$AE$3:$AE$501,0))&amp;"","")</f>
        <v/>
      </c>
      <c r="F28" s="18" t="str">
        <f aca="false">IFERROR(INDEX(종합!F$3:F$501,MATCH(ROW()-2,종합!$AE$3:$AE$501,0))&amp;"","")</f>
        <v>O</v>
      </c>
      <c r="G28" s="18" t="str">
        <f aca="false">IFERROR(INDEX(종합!G$3:G$501,MATCH(ROW()-2,종합!$AE$3:$AE$501,0))&amp;"","")</f>
        <v>대학</v>
      </c>
      <c r="H28" s="21" t="str">
        <f aca="false">IFERROR(INDEX(종합!H$3:H$501,MATCH(ROW()-2,종합!$AE$3:$AE$501,0))&amp;"","")</f>
        <v>110-82-00297</v>
      </c>
      <c r="I28" s="21" t="str">
        <f aca="false">IFERROR(INDEX(종합!I$3:I$501,MATCH(ROW()-2,종합!$AE$3:$AE$501,0))&amp;"","")</f>
        <v>신혜련</v>
      </c>
      <c r="J28" s="21" t="str">
        <f aca="false">IFERROR(INDEX(종합!J$3:J$501,MATCH(ROW()-2,종합!$AE$3:$AE$501,0))&amp;"","")</f>
        <v>02-300-0677</v>
      </c>
      <c r="K28" s="21" t="str">
        <f aca="false">IFERROR(INDEX(종합!K$3:K$501,MATCH(ROW()-2,종합!$AE$3:$AE$501,0))&amp;"","")</f>
        <v>www.mju.ac.kr</v>
      </c>
      <c r="L28" s="21" t="str">
        <f aca="false">IFERROR(INDEX(종합!L$3:L$501,MATCH(ROW()-2,종합!$AE$3:$AE$501,0))&amp;"","")</f>
        <v/>
      </c>
      <c r="M28" s="21" t="str">
        <f aca="false">IFERROR(INDEX(종합!M$3:M$501,MATCH(ROW()-2,종합!$AE$3:$AE$501,0))&amp;"","")</f>
        <v>서울시 서대문구 거북골로34 명지대학교 인문캠퍼스 종합관 1803호</v>
      </c>
      <c r="N28" s="25" t="str">
        <f aca="false">IFERROR(INDEX(종합!N$3:N$501,MATCH(ROW()-2,종합!$AE$3:$AE$501,0))&amp;"","")</f>
        <v>게임 도메인 관련 AI</v>
      </c>
      <c r="O28" s="21" t="str">
        <f aca="false">IFERROR(INDEX(종합!O$3:O$501,MATCH(ROW()-2,종합!$AE$3:$AE$501,0))&amp;"","")</f>
        <v>신혜련</v>
      </c>
      <c r="P28" s="21" t="str">
        <f aca="false">IFERROR(INDEX(종합!P$3:P$501,MATCH(ROW()-2,종합!$AE$3:$AE$501,0))&amp;"","")</f>
        <v> 인공지능·소프트웨어융합대학 디지털콘텐츠디자인학과</v>
      </c>
      <c r="Q28" s="21" t="str">
        <f aca="false">IFERROR(INDEX(종합!Q$3:Q$501,MATCH(ROW()-2,종합!$AE$3:$AE$501,0))&amp;"","")</f>
        <v>부교수/학과장</v>
      </c>
      <c r="R28" s="21" t="str">
        <f aca="false">IFERROR(INDEX(종합!R$3:R$501,MATCH(ROW()-2,종합!$AE$3:$AE$501,0))&amp;"","")</f>
        <v>02-300-0677</v>
      </c>
      <c r="S28" s="21" t="str">
        <f aca="false">IFERROR(INDEX(종합!S$3:S$501,MATCH(ROW()-2,종합!$AE$3:$AE$501,0))&amp;"","")</f>
        <v>magnolia@mju.ac.kr</v>
      </c>
      <c r="T28" s="21" t="str">
        <f aca="false">IFERROR(INDEX(종합!T$3:T$501,MATCH(ROW()-2,종합!$AE$3:$AE$501,0))&amp;"","")</f>
        <v>010202815964</v>
      </c>
      <c r="U28" s="21" t="str">
        <f aca="false">IFERROR(INDEX(종합!U$3:U$501,MATCH(ROW()-2,종합!$AE$3:$AE$501,0))&amp;"","")</f>
        <v>이유철</v>
      </c>
      <c r="V28" s="21" t="str">
        <f aca="false">IFERROR(INDEX(종합!V$3:V$501,MATCH(ROW()-2,종합!$AE$3:$AE$501,0))&amp;"","")</f>
        <v>인공지능·소프트웨어융합대학 디지털콘텐츠디자인학과</v>
      </c>
      <c r="W28" s="21" t="str">
        <f aca="false">IFERROR(INDEX(종합!W$3:W$501,MATCH(ROW()-2,종합!$AE$3:$AE$501,0))&amp;"","")</f>
        <v>연구원</v>
      </c>
      <c r="X28" s="21" t="str">
        <f aca="false">IFERROR(INDEX(종합!X$3:X$501,MATCH(ROW()-2,종합!$AE$3:$AE$501,0))&amp;"","")</f>
        <v>02-300-0677</v>
      </c>
      <c r="Y28" s="21" t="str">
        <f aca="false">IFERROR(INDEX(종합!Y$3:Y$501,MATCH(ROW()-2,종합!$AE$3:$AE$501,0))&amp;"","")</f>
        <v>yoochul69@mju.ac.kr</v>
      </c>
      <c r="Z28" s="21" t="str">
        <f aca="false">IFERROR(INDEX(종합!Z$3:Z$501,MATCH(ROW()-2,종합!$AE$3:$AE$501,0))&amp;"","")</f>
        <v>010-5266-6700</v>
      </c>
    </row>
    <row r="29" customFormat="false" ht="74.25" hidden="false" customHeight="true" outlineLevel="0" collapsed="false">
      <c r="A29" s="18" t="n">
        <f aca="false">IF(B29="","",ROW()-2)</f>
        <v>27</v>
      </c>
      <c r="B29" s="18" t="str">
        <f aca="false">IFERROR(INDEX(종합!B$3:B$501,MATCH(ROW()-2,종합!$AE$3:$AE$501,0))&amp;"","")</f>
        <v>㈜야타브</v>
      </c>
      <c r="C29" s="18" t="str">
        <f aca="false">IFERROR(INDEX(종합!C$3:C$501,MATCH(ROW()-2,종합!$AE$3:$AE$501,0))&amp;"","")</f>
        <v/>
      </c>
      <c r="D29" s="18" t="str">
        <f aca="false">IFERROR(INDEX(종합!D$3:D$501,MATCH(ROW()-2,종합!$AE$3:$AE$501,0))&amp;"","")</f>
        <v/>
      </c>
      <c r="E29" s="18" t="str">
        <f aca="false">IFERROR(INDEX(종합!E$3:E$501,MATCH(ROW()-2,종합!$AE$3:$AE$501,0))&amp;"","")</f>
        <v/>
      </c>
      <c r="F29" s="18" t="str">
        <f aca="false">IFERROR(INDEX(종합!F$3:F$501,MATCH(ROW()-2,종합!$AE$3:$AE$501,0))&amp;"","")</f>
        <v>O</v>
      </c>
      <c r="G29" s="18" t="str">
        <f aca="false">IFERROR(INDEX(종합!G$3:G$501,MATCH(ROW()-2,종합!$AE$3:$AE$501,0))&amp;"","")</f>
        <v>중소기업</v>
      </c>
      <c r="H29" s="21" t="str">
        <f aca="false">IFERROR(INDEX(종합!H$3:H$501,MATCH(ROW()-2,종합!$AE$3:$AE$501,0))&amp;"","")</f>
        <v>750-88-01121</v>
      </c>
      <c r="I29" s="21" t="str">
        <f aca="false">IFERROR(INDEX(종합!I$3:I$501,MATCH(ROW()-2,종합!$AE$3:$AE$501,0))&amp;"","")</f>
        <v>이성찬</v>
      </c>
      <c r="J29" s="21" t="str">
        <f aca="false">IFERROR(INDEX(종합!J$3:J$501,MATCH(ROW()-2,종합!$AE$3:$AE$501,0))&amp;"","")</f>
        <v>02-2039-0633</v>
      </c>
      <c r="K29" s="21" t="str">
        <f aca="false">IFERROR(INDEX(종합!K$3:K$501,MATCH(ROW()-2,종합!$AE$3:$AE$501,0))&amp;"","")</f>
        <v>https://www.yatavent.com/</v>
      </c>
      <c r="L29" s="21" t="str">
        <f aca="false">IFERROR(INDEX(종합!L$3:L$501,MATCH(ROW()-2,종합!$AE$3:$AE$501,0))&amp;"","")</f>
        <v/>
      </c>
      <c r="M29" s="21" t="str">
        <f aca="false">IFERROR(INDEX(종합!M$3:M$501,MATCH(ROW()-2,종합!$AE$3:$AE$501,0))&amp;"","")</f>
        <v>서울특별시 성동구 성수이로22길 37 아크밸리지식산업센터 305A</v>
      </c>
      <c r="N29" s="25" t="str">
        <f aca="false">IFERROR(INDEX(종합!N$3:N$501,MATCH(ROW()-2,종합!$AE$3:$AE$501,0))&amp;"","")</f>
        <v>IEGIS, AI Guardrail SaaS, PALADIN, HalluRank, Research &amp; Safety Lab, Aegis Personal, HomiClaw, AI Studio를 중심으로 AI 보안, 실시간 안전성 검증, 할루시네이션 방지, 개인정보 보호, 맞춤형 기업용 AI 개발, 업무 자동화 에이전트, AI 컨설팅을 제공하는 기업용 AI 전문 기업입니다.</v>
      </c>
      <c r="O29" s="21" t="str">
        <f aca="false">IFERROR(INDEX(종합!O$3:O$501,MATCH(ROW()-2,종합!$AE$3:$AE$501,0))&amp;"","")</f>
        <v>김광일</v>
      </c>
      <c r="P29" s="21" t="str">
        <f aca="false">IFERROR(INDEX(종합!P$3:P$501,MATCH(ROW()-2,종합!$AE$3:$AE$501,0))&amp;"","")</f>
        <v>연구개발</v>
      </c>
      <c r="Q29" s="21" t="str">
        <f aca="false">IFERROR(INDEX(종합!Q$3:Q$501,MATCH(ROW()-2,종합!$AE$3:$AE$501,0))&amp;"","")</f>
        <v>CTO</v>
      </c>
      <c r="R29" s="21" t="str">
        <f aca="false">IFERROR(INDEX(종합!R$3:R$501,MATCH(ROW()-2,종합!$AE$3:$AE$501,0))&amp;"","")</f>
        <v>010-7739-1119</v>
      </c>
      <c r="S29" s="21" t="str">
        <f aca="false">IFERROR(INDEX(종합!S$3:S$501,MATCH(ROW()-2,종합!$AE$3:$AE$501,0))&amp;"","")</f>
        <v>cac.kikim@gmail.com</v>
      </c>
      <c r="T29" s="21" t="str">
        <f aca="false">IFERROR(INDEX(종합!T$3:T$501,MATCH(ROW()-2,종합!$AE$3:$AE$501,0))&amp;"","")</f>
        <v>010-7739-1119</v>
      </c>
      <c r="U29" s="21" t="str">
        <f aca="false">IFERROR(INDEX(종합!U$3:U$501,MATCH(ROW()-2,종합!$AE$3:$AE$501,0))&amp;"","")</f>
        <v>강석주</v>
      </c>
      <c r="V29" s="21" t="str">
        <f aca="false">IFERROR(INDEX(종합!V$3:V$501,MATCH(ROW()-2,종합!$AE$3:$AE$501,0))&amp;"","")</f>
        <v>연구개발</v>
      </c>
      <c r="W29" s="21" t="str">
        <f aca="false">IFERROR(INDEX(종합!W$3:W$501,MATCH(ROW()-2,종합!$AE$3:$AE$501,0))&amp;"","")</f>
        <v>CISO</v>
      </c>
      <c r="X29" s="21" t="str">
        <f aca="false">IFERROR(INDEX(종합!X$3:X$501,MATCH(ROW()-2,종합!$AE$3:$AE$501,0))&amp;"","")</f>
        <v>010-2340-1511</v>
      </c>
      <c r="Y29" s="21" t="str">
        <f aca="false">IFERROR(INDEX(종합!Y$3:Y$501,MATCH(ROW()-2,종합!$AE$3:$AE$501,0))&amp;"","")</f>
        <v>sjkang@yatavent.com</v>
      </c>
      <c r="Z29" s="21" t="str">
        <f aca="false">IFERROR(INDEX(종합!Z$3:Z$501,MATCH(ROW()-2,종합!$AE$3:$AE$501,0))&amp;"","")</f>
        <v>010-2340-1511</v>
      </c>
    </row>
    <row r="30" customFormat="false" ht="22.5" hidden="false" customHeight="true" outlineLevel="0" collapsed="false">
      <c r="A30" s="18" t="n">
        <f aca="false">IF(B30="","",ROW()-2)</f>
        <v>28</v>
      </c>
      <c r="B30" s="18" t="str">
        <f aca="false">IFERROR(INDEX(종합!B$3:B$501,MATCH(ROW()-2,종합!$AE$3:$AE$501,0))&amp;"","")</f>
        <v>주식회사 마크애니</v>
      </c>
      <c r="C30" s="18" t="str">
        <f aca="false">IFERROR(INDEX(종합!C$3:C$501,MATCH(ROW()-2,종합!$AE$3:$AE$501,0))&amp;"","")</f>
        <v/>
      </c>
      <c r="D30" s="18" t="str">
        <f aca="false">IFERROR(INDEX(종합!D$3:D$501,MATCH(ROW()-2,종합!$AE$3:$AE$501,0))&amp;"","")</f>
        <v/>
      </c>
      <c r="E30" s="18" t="str">
        <f aca="false">IFERROR(INDEX(종합!E$3:E$501,MATCH(ROW()-2,종합!$AE$3:$AE$501,0))&amp;"","")</f>
        <v/>
      </c>
      <c r="F30" s="18" t="str">
        <f aca="false">IFERROR(INDEX(종합!F$3:F$501,MATCH(ROW()-2,종합!$AE$3:$AE$501,0))&amp;"","")</f>
        <v>O</v>
      </c>
      <c r="G30" s="18" t="str">
        <f aca="false">IFERROR(INDEX(종합!G$3:G$501,MATCH(ROW()-2,종합!$AE$3:$AE$501,0))&amp;"","")</f>
        <v>중소기업</v>
      </c>
      <c r="H30" s="21" t="str">
        <f aca="false">IFERROR(INDEX(종합!H$3:H$501,MATCH(ROW()-2,종합!$AE$3:$AE$501,0))&amp;"","")</f>
        <v>101-81-47345</v>
      </c>
      <c r="I30" s="21" t="str">
        <f aca="false">IFERROR(INDEX(종합!I$3:I$501,MATCH(ROW()-2,종합!$AE$3:$AE$501,0))&amp;"","")</f>
        <v>최종욱,최고</v>
      </c>
      <c r="J30" s="21" t="str">
        <f aca="false">IFERROR(INDEX(종합!J$3:J$501,MATCH(ROW()-2,종합!$AE$3:$AE$501,0))&amp;"","")</f>
        <v>02-2262-5222</v>
      </c>
      <c r="K30" s="21" t="str">
        <f aca="false">IFERROR(INDEX(종합!K$3:K$501,MATCH(ROW()-2,종합!$AE$3:$AE$501,0))&amp;"","")</f>
        <v>markany.com</v>
      </c>
      <c r="L30" s="21" t="str">
        <f aca="false">IFERROR(INDEX(종합!L$3:L$501,MATCH(ROW()-2,종합!$AE$3:$AE$501,0))&amp;"","")</f>
        <v/>
      </c>
      <c r="M30" s="21" t="str">
        <f aca="false">IFERROR(INDEX(종합!M$3:M$501,MATCH(ROW()-2,종합!$AE$3:$AE$501,0))&amp;"","")</f>
        <v>서울시 중구 퇴계로286, 쌍림빌딩13F</v>
      </c>
      <c r="N30" s="25" t="str">
        <f aca="false">IFERROR(INDEX(종합!N$3:N$501,MATCH(ROW()-2,종합!$AE$3:$AE$501,0))&amp;"","")</f>
        <v>SmartEYE, SmartEYE(Finder), SaForus, ScreenTracer 등</v>
      </c>
      <c r="O30" s="21" t="str">
        <f aca="false">IFERROR(INDEX(종합!O$3:O$501,MATCH(ROW()-2,종합!$AE$3:$AE$501,0))&amp;"","")</f>
        <v>김동호</v>
      </c>
      <c r="P30" s="21" t="str">
        <f aca="false">IFERROR(INDEX(종합!P$3:P$501,MATCH(ROW()-2,종합!$AE$3:$AE$501,0))&amp;"","")</f>
        <v>기반기술연구실</v>
      </c>
      <c r="Q30" s="21" t="str">
        <f aca="false">IFERROR(INDEX(종합!Q$3:Q$501,MATCH(ROW()-2,종합!$AE$3:$AE$501,0))&amp;"","")</f>
        <v>이사/실장</v>
      </c>
      <c r="R30" s="21" t="str">
        <f aca="false">IFERROR(INDEX(종합!R$3:R$501,MATCH(ROW()-2,종합!$AE$3:$AE$501,0))&amp;"","")</f>
        <v>02-2262-5278</v>
      </c>
      <c r="S30" s="21" t="str">
        <f aca="false">IFERROR(INDEX(종합!S$3:S$501,MATCH(ROW()-2,종합!$AE$3:$AE$501,0))&amp;"","")</f>
        <v>kimdh@markany.com</v>
      </c>
      <c r="T30" s="21" t="str">
        <f aca="false">IFERROR(INDEX(종합!T$3:T$501,MATCH(ROW()-2,종합!$AE$3:$AE$501,0))&amp;"","")</f>
        <v>010-3637-0505</v>
      </c>
      <c r="U30" s="21" t="str">
        <f aca="false">IFERROR(INDEX(종합!U$3:U$501,MATCH(ROW()-2,종합!$AE$3:$AE$501,0))&amp;"","")</f>
        <v>김동호</v>
      </c>
      <c r="V30" s="21" t="str">
        <f aca="false">IFERROR(INDEX(종합!V$3:V$501,MATCH(ROW()-2,종합!$AE$3:$AE$501,0))&amp;"","")</f>
        <v>기반기술연구실</v>
      </c>
      <c r="W30" s="21" t="str">
        <f aca="false">IFERROR(INDEX(종합!W$3:W$501,MATCH(ROW()-2,종합!$AE$3:$AE$501,0))&amp;"","")</f>
        <v>이사/실장</v>
      </c>
      <c r="X30" s="21" t="str">
        <f aca="false">IFERROR(INDEX(종합!X$3:X$501,MATCH(ROW()-2,종합!$AE$3:$AE$501,0))&amp;"","")</f>
        <v>02-2262-5278</v>
      </c>
      <c r="Y30" s="21" t="str">
        <f aca="false">IFERROR(INDEX(종합!Y$3:Y$501,MATCH(ROW()-2,종합!$AE$3:$AE$501,0))&amp;"","")</f>
        <v>leaders@markany.com</v>
      </c>
      <c r="Z30" s="21" t="str">
        <f aca="false">IFERROR(INDEX(종합!Z$3:Z$501,MATCH(ROW()-2,종합!$AE$3:$AE$501,0))&amp;"","")</f>
        <v>010-3637-0505</v>
      </c>
    </row>
    <row r="31" customFormat="false" ht="33.75" hidden="false" customHeight="true" outlineLevel="0" collapsed="false">
      <c r="A31" s="18" t="n">
        <f aca="false">IF(B31="","",ROW()-2)</f>
        <v>29</v>
      </c>
      <c r="B31" s="18" t="str">
        <f aca="false">IFERROR(INDEX(종합!B$3:B$501,MATCH(ROW()-2,종합!$AE$3:$AE$501,0))&amp;"","")</f>
        <v>슈어소프트테크</v>
      </c>
      <c r="C31" s="18" t="str">
        <f aca="false">IFERROR(INDEX(종합!C$3:C$501,MATCH(ROW()-2,종합!$AE$3:$AE$501,0))&amp;"","")</f>
        <v/>
      </c>
      <c r="D31" s="18" t="str">
        <f aca="false">IFERROR(INDEX(종합!D$3:D$501,MATCH(ROW()-2,종합!$AE$3:$AE$501,0))&amp;"","")</f>
        <v/>
      </c>
      <c r="E31" s="18" t="str">
        <f aca="false">IFERROR(INDEX(종합!E$3:E$501,MATCH(ROW()-2,종합!$AE$3:$AE$501,0))&amp;"","")</f>
        <v/>
      </c>
      <c r="F31" s="18" t="str">
        <f aca="false">IFERROR(INDEX(종합!F$3:F$501,MATCH(ROW()-2,종합!$AE$3:$AE$501,0))&amp;"","")</f>
        <v>O</v>
      </c>
      <c r="G31" s="18" t="str">
        <f aca="false">IFERROR(INDEX(종합!G$3:G$501,MATCH(ROW()-2,종합!$AE$3:$AE$501,0))&amp;"","")</f>
        <v>중소기업</v>
      </c>
      <c r="H31" s="21" t="str">
        <f aca="false">IFERROR(INDEX(종합!H$3:H$501,MATCH(ROW()-2,종합!$AE$3:$AE$501,0))&amp;"","")</f>
        <v>211-87-10133</v>
      </c>
      <c r="I31" s="21" t="str">
        <f aca="false">IFERROR(INDEX(종합!I$3:I$501,MATCH(ROW()-2,종합!$AE$3:$AE$501,0))&amp;"","")</f>
        <v>배현섭, 오승욱</v>
      </c>
      <c r="J31" s="21" t="str">
        <f aca="false">IFERROR(INDEX(종합!J$3:J$501,MATCH(ROW()-2,종합!$AE$3:$AE$501,0))&amp;"","")</f>
        <v>031-606-2000</v>
      </c>
      <c r="K31" s="21" t="str">
        <f aca="false">IFERROR(INDEX(종합!K$3:K$501,MATCH(ROW()-2,종합!$AE$3:$AE$501,0))&amp;"","")</f>
        <v>https://www.suresofttech.com/</v>
      </c>
      <c r="L31" s="21" t="str">
        <f aca="false">IFERROR(INDEX(종합!L$3:L$501,MATCH(ROW()-2,종합!$AE$3:$AE$501,0))&amp;"","")</f>
        <v/>
      </c>
      <c r="M31" s="21" t="str">
        <f aca="false">IFERROR(INDEX(종합!M$3:M$501,MATCH(ROW()-2,종합!$AE$3:$AE$501,0))&amp;"","")</f>
        <v>경기도 성남시 수정구 금토로 80번길 37 인피니티타워 E동 슈어소프트테크</v>
      </c>
      <c r="N31" s="25" t="str">
        <f aca="false">IFERROR(INDEX(종합!N$3:N$501,MATCH(ROW()-2,종합!$AE$3:$AE$501,0))&amp;"","")</f>
        <v>AI(에이전트, 비전 등 다양한 형태) 검증 솔루션/서비스, AI 인증(AI-MASTER), AI 개발</v>
      </c>
      <c r="O31" s="21" t="str">
        <f aca="false">IFERROR(INDEX(종합!O$3:O$501,MATCH(ROW()-2,종합!$AE$3:$AE$501,0))&amp;"","")</f>
        <v>심정민</v>
      </c>
      <c r="P31" s="21" t="str">
        <f aca="false">IFERROR(INDEX(종합!P$3:P$501,MATCH(ROW()-2,종합!$AE$3:$AE$501,0))&amp;"","")</f>
        <v>AX센터</v>
      </c>
      <c r="Q31" s="21" t="str">
        <f aca="false">IFERROR(INDEX(종합!Q$3:Q$501,MATCH(ROW()-2,종합!$AE$3:$AE$501,0))&amp;"","")</f>
        <v>상무/센터장</v>
      </c>
      <c r="R31" s="21" t="str">
        <f aca="false">IFERROR(INDEX(종합!R$3:R$501,MATCH(ROW()-2,종합!$AE$3:$AE$501,0))&amp;"","")</f>
        <v>031-606-2569</v>
      </c>
      <c r="S31" s="21" t="str">
        <f aca="false">IFERROR(INDEX(종합!S$3:S$501,MATCH(ROW()-2,종합!$AE$3:$AE$501,0))&amp;"","")</f>
        <v>jmshim@suresofttech.com</v>
      </c>
      <c r="T31" s="21" t="str">
        <f aca="false">IFERROR(INDEX(종합!T$3:T$501,MATCH(ROW()-2,종합!$AE$3:$AE$501,0))&amp;"","")</f>
        <v>010-9540-3800</v>
      </c>
      <c r="U31" s="21" t="str">
        <f aca="false">IFERROR(INDEX(종합!U$3:U$501,MATCH(ROW()-2,종합!$AE$3:$AE$501,0))&amp;"","")</f>
        <v>우성빈</v>
      </c>
      <c r="V31" s="21" t="str">
        <f aca="false">IFERROR(INDEX(종합!V$3:V$501,MATCH(ROW()-2,종합!$AE$3:$AE$501,0))&amp;"","")</f>
        <v>AX센터 &gt; AX안전신뢰실 &gt; AI신뢰성2팀</v>
      </c>
      <c r="W31" s="21" t="str">
        <f aca="false">IFERROR(INDEX(종합!W$3:W$501,MATCH(ROW()-2,종합!$AE$3:$AE$501,0))&amp;"","")</f>
        <v>책임/팀장</v>
      </c>
      <c r="X31" s="21" t="str">
        <f aca="false">IFERROR(INDEX(종합!X$3:X$501,MATCH(ROW()-2,종합!$AE$3:$AE$501,0))&amp;"","")</f>
        <v>031-606-2569</v>
      </c>
      <c r="Y31" s="21" t="str">
        <f aca="false">IFERROR(INDEX(종합!Y$3:Y$501,MATCH(ROW()-2,종합!$AE$3:$AE$501,0))&amp;"","")</f>
        <v>sbwoo@suresofttech.com</v>
      </c>
      <c r="Z31" s="21" t="str">
        <f aca="false">IFERROR(INDEX(종합!Z$3:Z$501,MATCH(ROW()-2,종합!$AE$3:$AE$501,0))&amp;"","")</f>
        <v>010-7225-7011</v>
      </c>
    </row>
    <row r="32" customFormat="false" ht="22.5" hidden="false" customHeight="true" outlineLevel="0" collapsed="false">
      <c r="A32" s="18" t="n">
        <f aca="false">IF(B32="","",ROW()-2)</f>
        <v>30</v>
      </c>
      <c r="B32" s="18" t="str">
        <f aca="false">IFERROR(INDEX(종합!B$3:B$501,MATCH(ROW()-2,종합!$AE$3:$AE$501,0))&amp;"","")</f>
        <v>(주)티냅스</v>
      </c>
      <c r="C32" s="18" t="str">
        <f aca="false">IFERROR(INDEX(종합!C$3:C$501,MATCH(ROW()-2,종합!$AE$3:$AE$501,0))&amp;"","")</f>
        <v/>
      </c>
      <c r="D32" s="18" t="str">
        <f aca="false">IFERROR(INDEX(종합!D$3:D$501,MATCH(ROW()-2,종합!$AE$3:$AE$501,0))&amp;"","")</f>
        <v/>
      </c>
      <c r="E32" s="18" t="str">
        <f aca="false">IFERROR(INDEX(종합!E$3:E$501,MATCH(ROW()-2,종합!$AE$3:$AE$501,0))&amp;"","")</f>
        <v/>
      </c>
      <c r="F32" s="18" t="str">
        <f aca="false">IFERROR(INDEX(종합!F$3:F$501,MATCH(ROW()-2,종합!$AE$3:$AE$501,0))&amp;"","")</f>
        <v>O</v>
      </c>
      <c r="G32" s="18" t="str">
        <f aca="false">IFERROR(INDEX(종합!G$3:G$501,MATCH(ROW()-2,종합!$AE$3:$AE$501,0))&amp;"","")</f>
        <v>중소기업</v>
      </c>
      <c r="H32" s="21" t="str">
        <f aca="false">IFERROR(INDEX(종합!H$3:H$501,MATCH(ROW()-2,종합!$AE$3:$AE$501,0))&amp;"","")</f>
        <v>576-86-03911</v>
      </c>
      <c r="I32" s="21" t="str">
        <f aca="false">IFERROR(INDEX(종합!I$3:I$501,MATCH(ROW()-2,종합!$AE$3:$AE$501,0))&amp;"","")</f>
        <v>강민승</v>
      </c>
      <c r="J32" s="21" t="str">
        <f aca="false">IFERROR(INDEX(종합!J$3:J$501,MATCH(ROW()-2,종합!$AE$3:$AE$501,0))&amp;"","")</f>
        <v>010-8375-5594</v>
      </c>
      <c r="K32" s="21" t="str">
        <f aca="false">IFERROR(INDEX(종합!K$3:K$501,MATCH(ROW()-2,종합!$AE$3:$AE$501,0))&amp;"","")</f>
        <v>https://www.tynapse.com/</v>
      </c>
      <c r="L32" s="21" t="str">
        <f aca="false">IFERROR(INDEX(종합!L$3:L$501,MATCH(ROW()-2,종합!$AE$3:$AE$501,0))&amp;"","")</f>
        <v/>
      </c>
      <c r="M32" s="21" t="str">
        <f aca="false">IFERROR(INDEX(종합!M$3:M$501,MATCH(ROW()-2,종합!$AE$3:$AE$501,0))&amp;"","")</f>
        <v>서울 강남 봉은사로 524, 웨스틴파르나스 B1층 스파크플러스 코엑스점</v>
      </c>
      <c r="N32" s="25" t="str">
        <f aca="false">IFERROR(INDEX(종합!N$3:N$501,MATCH(ROW()-2,종합!$AE$3:$AE$501,0))&amp;"","")</f>
        <v>AI 런타임 Trust layer</v>
      </c>
      <c r="O32" s="21" t="str">
        <f aca="false">IFERROR(INDEX(종합!O$3:O$501,MATCH(ROW()-2,종합!$AE$3:$AE$501,0))&amp;"","")</f>
        <v>강민승</v>
      </c>
      <c r="P32" s="21" t="str">
        <f aca="false">IFERROR(INDEX(종합!P$3:P$501,MATCH(ROW()-2,종합!$AE$3:$AE$501,0))&amp;"","")</f>
        <v>경영팀</v>
      </c>
      <c r="Q32" s="21" t="str">
        <f aca="false">IFERROR(INDEX(종합!Q$3:Q$501,MATCH(ROW()-2,종합!$AE$3:$AE$501,0))&amp;"","")</f>
        <v>CEO</v>
      </c>
      <c r="R32" s="21" t="str">
        <f aca="false">IFERROR(INDEX(종합!R$3:R$501,MATCH(ROW()-2,종합!$AE$3:$AE$501,0))&amp;"","")</f>
        <v>010-8375-5594</v>
      </c>
      <c r="S32" s="21" t="str">
        <f aca="false">IFERROR(INDEX(종합!S$3:S$501,MATCH(ROW()-2,종합!$AE$3:$AE$501,0))&amp;"","")</f>
        <v>minseung@tynapse.com</v>
      </c>
      <c r="T32" s="21" t="str">
        <f aca="false">IFERROR(INDEX(종합!T$3:T$501,MATCH(ROW()-2,종합!$AE$3:$AE$501,0))&amp;"","")</f>
        <v>010-8375-5594</v>
      </c>
      <c r="U32" s="21" t="str">
        <f aca="false">IFERROR(INDEX(종합!U$3:U$501,MATCH(ROW()-2,종합!$AE$3:$AE$501,0))&amp;"","")</f>
        <v>최명섭</v>
      </c>
      <c r="V32" s="21" t="str">
        <f aca="false">IFERROR(INDEX(종합!V$3:V$501,MATCH(ROW()-2,종합!$AE$3:$AE$501,0))&amp;"","")</f>
        <v>AI팀</v>
      </c>
      <c r="W32" s="21" t="str">
        <f aca="false">IFERROR(INDEX(종합!W$3:W$501,MATCH(ROW()-2,종합!$AE$3:$AE$501,0))&amp;"","")</f>
        <v>Head of AI</v>
      </c>
      <c r="X32" s="21" t="str">
        <f aca="false">IFERROR(INDEX(종합!X$3:X$501,MATCH(ROW()-2,종합!$AE$3:$AE$501,0))&amp;"","")</f>
        <v>010-9999-8736</v>
      </c>
      <c r="Y32" s="21" t="str">
        <f aca="false">IFERROR(INDEX(종합!Y$3:Y$501,MATCH(ROW()-2,종합!$AE$3:$AE$501,0))&amp;"","")</f>
        <v>myungsub@tynapse.com</v>
      </c>
      <c r="Z32" s="21" t="str">
        <f aca="false">IFERROR(INDEX(종합!Z$3:Z$501,MATCH(ROW()-2,종합!$AE$3:$AE$501,0))&amp;"","")</f>
        <v>010-9999-8736</v>
      </c>
    </row>
    <row r="33" customFormat="false" ht="22.5" hidden="false" customHeight="true" outlineLevel="0" collapsed="false">
      <c r="A33" s="18" t="n">
        <f aca="false">IF(B33="","",ROW()-2)</f>
        <v>31</v>
      </c>
      <c r="B33" s="18" t="str">
        <f aca="false">IFERROR(INDEX(종합!B$3:B$501,MATCH(ROW()-2,종합!$AE$3:$AE$501,0))&amp;"","")</f>
        <v>셀렉트스타 주식회사</v>
      </c>
      <c r="C33" s="18" t="str">
        <f aca="false">IFERROR(INDEX(종합!C$3:C$501,MATCH(ROW()-2,종합!$AE$3:$AE$501,0))&amp;"","")</f>
        <v/>
      </c>
      <c r="D33" s="18" t="str">
        <f aca="false">IFERROR(INDEX(종합!D$3:D$501,MATCH(ROW()-2,종합!$AE$3:$AE$501,0))&amp;"","")</f>
        <v/>
      </c>
      <c r="E33" s="18" t="str">
        <f aca="false">IFERROR(INDEX(종합!E$3:E$501,MATCH(ROW()-2,종합!$AE$3:$AE$501,0))&amp;"","")</f>
        <v/>
      </c>
      <c r="F33" s="18" t="str">
        <f aca="false">IFERROR(INDEX(종합!F$3:F$501,MATCH(ROW()-2,종합!$AE$3:$AE$501,0))&amp;"","")</f>
        <v>O</v>
      </c>
      <c r="G33" s="18" t="str">
        <f aca="false">IFERROR(INDEX(종합!G$3:G$501,MATCH(ROW()-2,종합!$AE$3:$AE$501,0))&amp;"","")</f>
        <v>중소기업</v>
      </c>
      <c r="H33" s="21" t="str">
        <f aca="false">IFERROR(INDEX(종합!H$3:H$501,MATCH(ROW()-2,종합!$AE$3:$AE$501,0))&amp;"","")</f>
        <v>626-87-01194</v>
      </c>
      <c r="I33" s="21" t="str">
        <f aca="false">IFERROR(INDEX(종합!I$3:I$501,MATCH(ROW()-2,종합!$AE$3:$AE$501,0))&amp;"","")</f>
        <v>김세엽</v>
      </c>
      <c r="J33" s="21" t="str">
        <f aca="false">IFERROR(INDEX(종합!J$3:J$501,MATCH(ROW()-2,종합!$AE$3:$AE$501,0))&amp;"","")</f>
        <v>02-1666-3282</v>
      </c>
      <c r="K33" s="21" t="str">
        <f aca="false">IFERROR(INDEX(종합!K$3:K$501,MATCH(ROW()-2,종합!$AE$3:$AE$501,0))&amp;"","")</f>
        <v>https://selectstar.ai/</v>
      </c>
      <c r="L33" s="21" t="str">
        <f aca="false">IFERROR(INDEX(종합!L$3:L$501,MATCH(ROW()-2,종합!$AE$3:$AE$501,0))&amp;"","")</f>
        <v>sewoong.moh@selectstar.ai</v>
      </c>
      <c r="M33" s="21" t="str">
        <f aca="false">IFERROR(INDEX(종합!M$3:M$501,MATCH(ROW()-2,종합!$AE$3:$AE$501,0))&amp;"","")</f>
        <v>서울 강남구 테헤란로38길 8 오피스B 8-11층</v>
      </c>
      <c r="N33" s="25" t="str">
        <f aca="false">IFERROR(INDEX(종합!N$3:N$501,MATCH(ROW()-2,종합!$AE$3:$AE$501,0))&amp;"","")</f>
        <v>Datumo Platform</v>
      </c>
      <c r="O33" s="21" t="str">
        <f aca="false">IFERROR(INDEX(종합!O$3:O$501,MATCH(ROW()-2,종합!$AE$3:$AE$501,0))&amp;"","")</f>
        <v>김세엽 </v>
      </c>
      <c r="P33" s="21" t="str">
        <f aca="false">IFERROR(INDEX(종합!P$3:P$501,MATCH(ROW()-2,종합!$AE$3:$AE$501,0))&amp;"","")</f>
        <v>-</v>
      </c>
      <c r="Q33" s="21" t="str">
        <f aca="false">IFERROR(INDEX(종합!Q$3:Q$501,MATCH(ROW()-2,종합!$AE$3:$AE$501,0))&amp;"","")</f>
        <v>대표</v>
      </c>
      <c r="R33" s="21" t="str">
        <f aca="false">IFERROR(INDEX(종합!R$3:R$501,MATCH(ROW()-2,종합!$AE$3:$AE$501,0))&amp;"","")</f>
        <v>010-2412-4605</v>
      </c>
      <c r="S33" s="21" t="str">
        <f aca="false">IFERROR(INDEX(종합!S$3:S$501,MATCH(ROW()-2,종합!$AE$3:$AE$501,0))&amp;"","")</f>
        <v>david@selectstar.ai</v>
      </c>
      <c r="T33" s="21" t="str">
        <f aca="false">IFERROR(INDEX(종합!T$3:T$501,MATCH(ROW()-2,종합!$AE$3:$AE$501,0))&amp;"","")</f>
        <v>010-2412-4605</v>
      </c>
      <c r="U33" s="21" t="str">
        <f aca="false">IFERROR(INDEX(종합!U$3:U$501,MATCH(ROW()-2,종합!$AE$3:$AE$501,0))&amp;"","")</f>
        <v>모세웅</v>
      </c>
      <c r="V33" s="21" t="str">
        <f aca="false">IFERROR(INDEX(종합!V$3:V$501,MATCH(ROW()-2,종합!$AE$3:$AE$501,0))&amp;"","")</f>
        <v>플랫폼사업본부</v>
      </c>
      <c r="W33" s="21" t="str">
        <f aca="false">IFERROR(INDEX(종합!W$3:W$501,MATCH(ROW()-2,종합!$AE$3:$AE$501,0))&amp;"","")</f>
        <v>사업전략 리더</v>
      </c>
      <c r="X33" s="21" t="str">
        <f aca="false">IFERROR(INDEX(종합!X$3:X$501,MATCH(ROW()-2,종합!$AE$3:$AE$501,0))&amp;"","")</f>
        <v>010-3810-9237</v>
      </c>
      <c r="Y33" s="21" t="str">
        <f aca="false">IFERROR(INDEX(종합!Y$3:Y$501,MATCH(ROW()-2,종합!$AE$3:$AE$501,0))&amp;"","")</f>
        <v>sewoong.moh@selectstar.ai</v>
      </c>
      <c r="Z33" s="21" t="str">
        <f aca="false">IFERROR(INDEX(종합!Z$3:Z$501,MATCH(ROW()-2,종합!$AE$3:$AE$501,0))&amp;"","")</f>
        <v>010-3810-9237</v>
      </c>
    </row>
    <row r="34" customFormat="false" ht="22.5" hidden="false" customHeight="true" outlineLevel="0" collapsed="false">
      <c r="A34" s="18" t="n">
        <f aca="false">IF(B34="","",ROW()-2)</f>
        <v>32</v>
      </c>
      <c r="B34" s="18" t="str">
        <f aca="false">IFERROR(INDEX(종합!B$3:B$501,MATCH(ROW()-2,종합!$AE$3:$AE$501,0))&amp;"","")</f>
        <v>평택대학교</v>
      </c>
      <c r="C34" s="18" t="str">
        <f aca="false">IFERROR(INDEX(종합!C$3:C$501,MATCH(ROW()-2,종합!$AE$3:$AE$501,0))&amp;"","")</f>
        <v/>
      </c>
      <c r="D34" s="18" t="str">
        <f aca="false">IFERROR(INDEX(종합!D$3:D$501,MATCH(ROW()-2,종합!$AE$3:$AE$501,0))&amp;"","")</f>
        <v/>
      </c>
      <c r="E34" s="18" t="str">
        <f aca="false">IFERROR(INDEX(종합!E$3:E$501,MATCH(ROW()-2,종합!$AE$3:$AE$501,0))&amp;"","")</f>
        <v/>
      </c>
      <c r="F34" s="18" t="str">
        <f aca="false">IFERROR(INDEX(종합!F$3:F$501,MATCH(ROW()-2,종합!$AE$3:$AE$501,0))&amp;"","")</f>
        <v>O</v>
      </c>
      <c r="G34" s="18" t="str">
        <f aca="false">IFERROR(INDEX(종합!G$3:G$501,MATCH(ROW()-2,종합!$AE$3:$AE$501,0))&amp;"","")</f>
        <v>대학</v>
      </c>
      <c r="H34" s="21" t="str">
        <f aca="false">IFERROR(INDEX(종합!H$3:H$501,MATCH(ROW()-2,종합!$AE$3:$AE$501,0))&amp;"","")</f>
        <v>125-82-00950</v>
      </c>
      <c r="I34" s="21" t="str">
        <f aca="false">IFERROR(INDEX(종합!I$3:I$501,MATCH(ROW()-2,종합!$AE$3:$AE$501,0))&amp;"","")</f>
        <v>이동현</v>
      </c>
      <c r="J34" s="21" t="str">
        <f aca="false">IFERROR(INDEX(종합!J$3:J$501,MATCH(ROW()-2,종합!$AE$3:$AE$501,0))&amp;"","")</f>
        <v>031-659-8011</v>
      </c>
      <c r="K34" s="21" t="str">
        <f aca="false">IFERROR(INDEX(종합!K$3:K$501,MATCH(ROW()-2,종합!$AE$3:$AE$501,0))&amp;"","")</f>
        <v>www.ptu.ac.kr</v>
      </c>
      <c r="L34" s="21" t="str">
        <f aca="false">IFERROR(INDEX(종합!L$3:L$501,MATCH(ROW()-2,종합!$AE$3:$AE$501,0))&amp;"","")</f>
        <v>jhjung@ptu.ac.kr</v>
      </c>
      <c r="M34" s="21" t="str">
        <f aca="false">IFERROR(INDEX(종합!M$3:M$501,MATCH(ROW()-2,종합!$AE$3:$AE$501,0))&amp;"","")</f>
        <v>경기도 평택시 용이동 평택대학교</v>
      </c>
      <c r="N34" s="25" t="str">
        <f aca="false">IFERROR(INDEX(종합!N$3:N$501,MATCH(ROW()-2,종합!$AE$3:$AE$501,0))&amp;"","")</f>
        <v>AI 프로그래밍</v>
      </c>
      <c r="O34" s="21" t="str">
        <f aca="false">IFERROR(INDEX(종합!O$3:O$501,MATCH(ROW()-2,종합!$AE$3:$AE$501,0))&amp;"","")</f>
        <v>정혜정</v>
      </c>
      <c r="P34" s="21" t="str">
        <f aca="false">IFERROR(INDEX(종합!P$3:P$501,MATCH(ROW()-2,종합!$AE$3:$AE$501,0))&amp;"","")</f>
        <v>데이터정보학과</v>
      </c>
      <c r="Q34" s="21" t="str">
        <f aca="false">IFERROR(INDEX(종합!Q$3:Q$501,MATCH(ROW()-2,종합!$AE$3:$AE$501,0))&amp;"","")</f>
        <v>교수</v>
      </c>
      <c r="R34" s="21" t="str">
        <f aca="false">IFERROR(INDEX(종합!R$3:R$501,MATCH(ROW()-2,종합!$AE$3:$AE$501,0))&amp;"","")</f>
        <v>010-7260-1300</v>
      </c>
      <c r="S34" s="21" t="str">
        <f aca="false">IFERROR(INDEX(종합!S$3:S$501,MATCH(ROW()-2,종합!$AE$3:$AE$501,0))&amp;"","")</f>
        <v>jhjung@ptu.ac.kr</v>
      </c>
      <c r="T34" s="21" t="str">
        <f aca="false">IFERROR(INDEX(종합!T$3:T$501,MATCH(ROW()-2,종합!$AE$3:$AE$501,0))&amp;"","")</f>
        <v>010-7260-1300</v>
      </c>
      <c r="U34" s="21" t="str">
        <f aca="false">IFERROR(INDEX(종합!U$3:U$501,MATCH(ROW()-2,종합!$AE$3:$AE$501,0))&amp;"","")</f>
        <v>정혜정</v>
      </c>
      <c r="V34" s="21" t="str">
        <f aca="false">IFERROR(INDEX(종합!V$3:V$501,MATCH(ROW()-2,종합!$AE$3:$AE$501,0))&amp;"","")</f>
        <v>데이터정보학과</v>
      </c>
      <c r="W34" s="21" t="str">
        <f aca="false">IFERROR(INDEX(종합!W$3:W$501,MATCH(ROW()-2,종합!$AE$3:$AE$501,0))&amp;"","")</f>
        <v>교수</v>
      </c>
      <c r="X34" s="21" t="str">
        <f aca="false">IFERROR(INDEX(종합!X$3:X$501,MATCH(ROW()-2,종합!$AE$3:$AE$501,0))&amp;"","")</f>
        <v>정혜정</v>
      </c>
      <c r="Y34" s="21" t="str">
        <f aca="false">IFERROR(INDEX(종합!Y$3:Y$501,MATCH(ROW()-2,종합!$AE$3:$AE$501,0))&amp;"","")</f>
        <v>jhjung@ptu.ac.kr</v>
      </c>
      <c r="Z34" s="21" t="str">
        <f aca="false">IFERROR(INDEX(종합!Z$3:Z$501,MATCH(ROW()-2,종합!$AE$3:$AE$501,0))&amp;"","")</f>
        <v>010-7260-1300</v>
      </c>
    </row>
    <row r="35" customFormat="false" ht="22.5" hidden="false" customHeight="true" outlineLevel="0" collapsed="false">
      <c r="A35" s="18" t="n">
        <f aca="false">IF(B35="","",ROW()-2)</f>
        <v>33</v>
      </c>
      <c r="B35" s="18" t="str">
        <f aca="false">IFERROR(INDEX(종합!B$3:B$501,MATCH(ROW()-2,종합!$AE$3:$AE$501,0))&amp;"","")</f>
        <v>한국전자통신연구원</v>
      </c>
      <c r="C35" s="18" t="str">
        <f aca="false">IFERROR(INDEX(종합!C$3:C$501,MATCH(ROW()-2,종합!$AE$3:$AE$501,0))&amp;"","")</f>
        <v/>
      </c>
      <c r="D35" s="18" t="str">
        <f aca="false">IFERROR(INDEX(종합!D$3:D$501,MATCH(ROW()-2,종합!$AE$3:$AE$501,0))&amp;"","")</f>
        <v/>
      </c>
      <c r="E35" s="18" t="str">
        <f aca="false">IFERROR(INDEX(종합!E$3:E$501,MATCH(ROW()-2,종합!$AE$3:$AE$501,0))&amp;"","")</f>
        <v/>
      </c>
      <c r="F35" s="18" t="str">
        <f aca="false">IFERROR(INDEX(종합!F$3:F$501,MATCH(ROW()-2,종합!$AE$3:$AE$501,0))&amp;"","")</f>
        <v>O</v>
      </c>
      <c r="G35" s="18" t="str">
        <f aca="false">IFERROR(INDEX(종합!G$3:G$501,MATCH(ROW()-2,종합!$AE$3:$AE$501,0))&amp;"","")</f>
        <v>공공기관</v>
      </c>
      <c r="H35" s="21" t="str">
        <f aca="false">IFERROR(INDEX(종합!H$3:H$501,MATCH(ROW()-2,종합!$AE$3:$AE$501,0))&amp;"","")</f>
        <v>314-82-04099</v>
      </c>
      <c r="I35" s="21" t="str">
        <f aca="false">IFERROR(INDEX(종합!I$3:I$501,MATCH(ROW()-2,종합!$AE$3:$AE$501,0))&amp;"","")</f>
        <v>박세웅</v>
      </c>
      <c r="J35" s="21" t="str">
        <f aca="false">IFERROR(INDEX(종합!J$3:J$501,MATCH(ROW()-2,종합!$AE$3:$AE$501,0))&amp;"","")</f>
        <v>1466-38</v>
      </c>
      <c r="K35" s="21" t="str">
        <f aca="false">IFERROR(INDEX(종합!K$3:K$501,MATCH(ROW()-2,종합!$AE$3:$AE$501,0))&amp;"","")</f>
        <v>https://etri.re.kr</v>
      </c>
      <c r="L35" s="21" t="str">
        <f aca="false">IFERROR(INDEX(종합!L$3:L$501,MATCH(ROW()-2,종합!$AE$3:$AE$501,0))&amp;"","")</f>
        <v>lifewsky@gmail.com</v>
      </c>
      <c r="M35" s="21" t="str">
        <f aca="false">IFERROR(INDEX(종합!M$3:M$501,MATCH(ROW()-2,종합!$AE$3:$AE$501,0))&amp;"","")</f>
        <v>(34129) 대전광역시 유성구 가정로 218</v>
      </c>
      <c r="N35" s="25" t="str">
        <f aca="false">IFERROR(INDEX(종합!N$3:N$501,MATCH(ROW()-2,종합!$AE$3:$AE$501,0))&amp;"","")</f>
        <v>AI 보안, AI 로봇, AI 반도체 기술 등</v>
      </c>
      <c r="O35" s="21" t="str">
        <f aca="false">IFERROR(INDEX(종합!O$3:O$501,MATCH(ROW()-2,종합!$AE$3:$AE$501,0))&amp;"","")</f>
        <v>김수형</v>
      </c>
      <c r="P35" s="21" t="str">
        <f aca="false">IFERROR(INDEX(종합!P$3:P$501,MATCH(ROW()-2,종합!$AE$3:$AE$501,0))&amp;"","")</f>
        <v>사이버보안연구본부 인공지능데이터보안연구실</v>
      </c>
      <c r="Q35" s="21" t="str">
        <f aca="false">IFERROR(INDEX(종합!Q$3:Q$501,MATCH(ROW()-2,종합!$AE$3:$AE$501,0))&amp;"","")</f>
        <v>실장</v>
      </c>
      <c r="R35" s="21" t="str">
        <f aca="false">IFERROR(INDEX(종합!R$3:R$501,MATCH(ROW()-2,종합!$AE$3:$AE$501,0))&amp;"","")</f>
        <v>042-860-1520</v>
      </c>
      <c r="S35" s="21" t="str">
        <f aca="false">IFERROR(INDEX(종합!S$3:S$501,MATCH(ROW()-2,종합!$AE$3:$AE$501,0))&amp;"","")</f>
        <v>lifewsky@etri.re.kr</v>
      </c>
      <c r="T35" s="21" t="str">
        <f aca="false">IFERROR(INDEX(종합!T$3:T$501,MATCH(ROW()-2,종합!$AE$3:$AE$501,0))&amp;"","")</f>
        <v>010-4765-6338</v>
      </c>
      <c r="U35" s="21" t="str">
        <f aca="false">IFERROR(INDEX(종합!U$3:U$501,MATCH(ROW()-2,종합!$AE$3:$AE$501,0))&amp;"","")</f>
        <v>박철희</v>
      </c>
      <c r="V35" s="21" t="str">
        <f aca="false">IFERROR(INDEX(종합!V$3:V$501,MATCH(ROW()-2,종합!$AE$3:$AE$501,0))&amp;"","")</f>
        <v>사이버보안연구본부 인공지능데이터보안연구실</v>
      </c>
      <c r="W35" s="21" t="str">
        <f aca="false">IFERROR(INDEX(종합!W$3:W$501,MATCH(ROW()-2,종합!$AE$3:$AE$501,0))&amp;"","")</f>
        <v>선임연구</v>
      </c>
      <c r="X35" s="21" t="str">
        <f aca="false">IFERROR(INDEX(종합!X$3:X$501,MATCH(ROW()-2,종합!$AE$3:$AE$501,0))&amp;"","")</f>
        <v>042-860-6399</v>
      </c>
      <c r="Y35" s="21" t="str">
        <f aca="false">IFERROR(INDEX(종합!Y$3:Y$501,MATCH(ROW()-2,종합!$AE$3:$AE$501,0))&amp;"","")</f>
        <v>chpark0528@etri.re.kr</v>
      </c>
      <c r="Z35" s="21" t="str">
        <f aca="false">IFERROR(INDEX(종합!Z$3:Z$501,MATCH(ROW()-2,종합!$AE$3:$AE$501,0))&amp;"","")</f>
        <v>010-9657-3566</v>
      </c>
    </row>
    <row r="36" customFormat="false" ht="47.25" hidden="false" customHeight="true" outlineLevel="0" collapsed="false">
      <c r="A36" s="18" t="n">
        <f aca="false">IF(B36="","",ROW()-2)</f>
        <v>34</v>
      </c>
      <c r="B36" s="18" t="str">
        <f aca="false">IFERROR(INDEX(종합!B$3:B$501,MATCH(ROW()-2,종합!$AE$3:$AE$501,0))&amp;"","")</f>
        <v>주식회사 마인드에이아이</v>
      </c>
      <c r="C36" s="18" t="str">
        <f aca="false">IFERROR(INDEX(종합!C$3:C$501,MATCH(ROW()-2,종합!$AE$3:$AE$501,0))&amp;"","")</f>
        <v/>
      </c>
      <c r="D36" s="18" t="str">
        <f aca="false">IFERROR(INDEX(종합!D$3:D$501,MATCH(ROW()-2,종합!$AE$3:$AE$501,0))&amp;"","")</f>
        <v/>
      </c>
      <c r="E36" s="18" t="str">
        <f aca="false">IFERROR(INDEX(종합!E$3:E$501,MATCH(ROW()-2,종합!$AE$3:$AE$501,0))&amp;"","")</f>
        <v/>
      </c>
      <c r="F36" s="18" t="str">
        <f aca="false">IFERROR(INDEX(종합!F$3:F$501,MATCH(ROW()-2,종합!$AE$3:$AE$501,0))&amp;"","")</f>
        <v>O</v>
      </c>
      <c r="G36" s="18" t="str">
        <f aca="false">IFERROR(INDEX(종합!G$3:G$501,MATCH(ROW()-2,종합!$AE$3:$AE$501,0))&amp;"","")</f>
        <v>중소기업</v>
      </c>
      <c r="H36" s="21" t="str">
        <f aca="false">IFERROR(INDEX(종합!H$3:H$501,MATCH(ROW()-2,종합!$AE$3:$AE$501,0))&amp;"","")</f>
        <v>833-87-00814</v>
      </c>
      <c r="I36" s="21" t="str">
        <f aca="false">IFERROR(INDEX(종합!I$3:I$501,MATCH(ROW()-2,종합!$AE$3:$AE$501,0))&amp;"","")</f>
        <v>이정환</v>
      </c>
      <c r="J36" s="21" t="str">
        <f aca="false">IFERROR(INDEX(종합!J$3:J$501,MATCH(ROW()-2,종합!$AE$3:$AE$501,0))&amp;"","")</f>
        <v>070-8622-8711</v>
      </c>
      <c r="K36" s="21" t="str">
        <f aca="false">IFERROR(INDEX(종합!K$3:K$501,MATCH(ROW()-2,종합!$AE$3:$AE$501,0))&amp;"","")</f>
        <v>https://www.wisdomgraph.ai</v>
      </c>
      <c r="L36" s="21" t="str">
        <f aca="false">IFERROR(INDEX(종합!L$3:L$501,MATCH(ROW()-2,종합!$AE$3:$AE$501,0))&amp;"","")</f>
        <v>dave@wisdomgraph.ai</v>
      </c>
      <c r="M36" s="21" t="str">
        <f aca="false">IFERROR(INDEX(종합!M$3:M$501,MATCH(ROW()-2,종합!$AE$3:$AE$501,0))&amp;"","")</f>
        <v>서울특별시 중구 명동길 65, 3층</v>
      </c>
      <c r="N36" s="25" t="str">
        <f aca="false">IFERROR(INDEX(종합!N$3:N$501,MATCH(ROW()-2,종합!$AE$3:$AE$501,0))&amp;"","")</f>
        <v>Wisdom Graph (Knowledge Graph + 인과적 추론) 기반의 뉴로 심볼릭 AI, MEGA Code (AI Agent 서비스의 QA, 모니터링 및 운영, 최적화 솔루션)</v>
      </c>
      <c r="O36" s="21" t="str">
        <f aca="false">IFERROR(INDEX(종합!O$3:O$501,MATCH(ROW()-2,종합!$AE$3:$AE$501,0))&amp;"","")</f>
        <v>이규호</v>
      </c>
      <c r="P36" s="21" t="str">
        <f aca="false">IFERROR(INDEX(종합!P$3:P$501,MATCH(ROW()-2,종합!$AE$3:$AE$501,0))&amp;"","")</f>
        <v>Product &amp; Technology</v>
      </c>
      <c r="Q36" s="21" t="str">
        <f aca="false">IFERROR(INDEX(종합!Q$3:Q$501,MATCH(ROW()-2,종합!$AE$3:$AE$501,0))&amp;"","")</f>
        <v>CTO</v>
      </c>
      <c r="R36" s="21" t="str">
        <f aca="false">IFERROR(INDEX(종합!R$3:R$501,MATCH(ROW()-2,종합!$AE$3:$AE$501,0))&amp;"","")</f>
        <v>010-6636-5864</v>
      </c>
      <c r="S36" s="21" t="str">
        <f aca="false">IFERROR(INDEX(종합!S$3:S$501,MATCH(ROW()-2,종합!$AE$3:$AE$501,0))&amp;"","")</f>
        <v>reeyan@wisdomgraph.ai</v>
      </c>
      <c r="T36" s="21" t="str">
        <f aca="false">IFERROR(INDEX(종합!T$3:T$501,MATCH(ROW()-2,종합!$AE$3:$AE$501,0))&amp;"","")</f>
        <v>010-6636-5864</v>
      </c>
      <c r="U36" s="21" t="str">
        <f aca="false">IFERROR(INDEX(종합!U$3:U$501,MATCH(ROW()-2,종합!$AE$3:$AE$501,0))&amp;"","")</f>
        <v>이광남</v>
      </c>
      <c r="V36" s="21" t="str">
        <f aca="false">IFERROR(INDEX(종합!V$3:V$501,MATCH(ROW()-2,종합!$AE$3:$AE$501,0))&amp;"","")</f>
        <v>Business Development / GTM</v>
      </c>
      <c r="W36" s="21" t="str">
        <f aca="false">IFERROR(INDEX(종합!W$3:W$501,MATCH(ROW()-2,종합!$AE$3:$AE$501,0))&amp;"","")</f>
        <v>COO/FDE &amp; GTM</v>
      </c>
      <c r="X36" s="21" t="str">
        <f aca="false">IFERROR(INDEX(종합!X$3:X$501,MATCH(ROW()-2,종합!$AE$3:$AE$501,0))&amp;"","")</f>
        <v>010-3655-4844</v>
      </c>
      <c r="Y36" s="21" t="str">
        <f aca="false">IFERROR(INDEX(종합!Y$3:Y$501,MATCH(ROW()-2,종합!$AE$3:$AE$501,0))&amp;"","")</f>
        <v>dave@wisdomgraph.ai</v>
      </c>
      <c r="Z36" s="21" t="str">
        <f aca="false">IFERROR(INDEX(종합!Z$3:Z$501,MATCH(ROW()-2,종합!$AE$3:$AE$501,0))&amp;"","")</f>
        <v>010-3655-4844</v>
      </c>
    </row>
    <row r="37" customFormat="false" ht="22.5" hidden="false" customHeight="true" outlineLevel="0" collapsed="false">
      <c r="A37" s="18" t="n">
        <f aca="false">IF(B37="","",ROW()-2)</f>
        <v>35</v>
      </c>
      <c r="B37" s="18" t="str">
        <f aca="false">IFERROR(INDEX(종합!B$3:B$501,MATCH(ROW()-2,종합!$AE$3:$AE$501,0))&amp;"","")</f>
        <v>금융보안원</v>
      </c>
      <c r="C37" s="18" t="str">
        <f aca="false">IFERROR(INDEX(종합!C$3:C$501,MATCH(ROW()-2,종합!$AE$3:$AE$501,0))&amp;"","")</f>
        <v>O</v>
      </c>
      <c r="D37" s="18" t="str">
        <f aca="false">IFERROR(INDEX(종합!D$3:D$501,MATCH(ROW()-2,종합!$AE$3:$AE$501,0))&amp;"","")</f>
        <v/>
      </c>
      <c r="E37" s="18" t="str">
        <f aca="false">IFERROR(INDEX(종합!E$3:E$501,MATCH(ROW()-2,종합!$AE$3:$AE$501,0))&amp;"","")</f>
        <v/>
      </c>
      <c r="F37" s="18" t="str">
        <f aca="false">IFERROR(INDEX(종합!F$3:F$501,MATCH(ROW()-2,종합!$AE$3:$AE$501,0))&amp;"","")</f>
        <v>O</v>
      </c>
      <c r="G37" s="18" t="str">
        <f aca="false">IFERROR(INDEX(종합!G$3:G$501,MATCH(ROW()-2,종합!$AE$3:$AE$501,0))&amp;"","")</f>
        <v>협회·단체</v>
      </c>
      <c r="H37" s="21" t="str">
        <f aca="false">IFERROR(INDEX(종합!H$3:H$501,MATCH(ROW()-2,종합!$AE$3:$AE$501,0))&amp;"","")</f>
        <v>658-82-00028</v>
      </c>
      <c r="I37" s="21" t="str">
        <f aca="false">IFERROR(INDEX(종합!I$3:I$501,MATCH(ROW()-2,종합!$AE$3:$AE$501,0))&amp;"","")</f>
        <v>박상원</v>
      </c>
      <c r="J37" s="21" t="str">
        <f aca="false">IFERROR(INDEX(종합!J$3:J$501,MATCH(ROW()-2,종합!$AE$3:$AE$501,0))&amp;"","")</f>
        <v>02-3495-9000</v>
      </c>
      <c r="K37" s="21" t="str">
        <f aca="false">IFERROR(INDEX(종합!K$3:K$501,MATCH(ROW()-2,종합!$AE$3:$AE$501,0))&amp;"","")</f>
        <v>www.fsec.or.kr</v>
      </c>
      <c r="L37" s="21" t="str">
        <f aca="false">IFERROR(INDEX(종합!L$3:L$501,MATCH(ROW()-2,종합!$AE$3:$AE$501,0))&amp;"","")</f>
        <v>aisafety@fsec.or.kr</v>
      </c>
      <c r="M37" s="21" t="str">
        <f aca="false">IFERROR(INDEX(종합!M$3:M$501,MATCH(ROW()-2,종합!$AE$3:$AE$501,0))&amp;"","")</f>
        <v>경기 용인시 수지구 대지로 132</v>
      </c>
      <c r="N37" s="25" t="str">
        <f aca="false">IFERROR(INDEX(종합!N$3:N$501,MATCH(ROW()-2,종합!$AE$3:$AE$501,0))&amp;"","")</f>
        <v>AI 알고리즘 보안성 검증, AI 레드티밍 등</v>
      </c>
      <c r="O37" s="21" t="str">
        <f aca="false">IFERROR(INDEX(종합!O$3:O$501,MATCH(ROW()-2,종합!$AE$3:$AE$501,0))&amp;"","")</f>
        <v>김성웅</v>
      </c>
      <c r="P37" s="21" t="str">
        <f aca="false">IFERROR(INDEX(종합!P$3:P$501,MATCH(ROW()-2,종합!$AE$3:$AE$501,0))&amp;"","")</f>
        <v>금융AI보안연구소</v>
      </c>
      <c r="Q37" s="21" t="str">
        <f aca="false">IFERROR(INDEX(종합!Q$3:Q$501,MATCH(ROW()-2,종합!$AE$3:$AE$501,0))&amp;"","")</f>
        <v>연구소장</v>
      </c>
      <c r="R37" s="21" t="str">
        <f aca="false">IFERROR(INDEX(종합!R$3:R$501,MATCH(ROW()-2,종합!$AE$3:$AE$501,0))&amp;"","")</f>
        <v>02-3495-9040</v>
      </c>
      <c r="S37" s="21" t="str">
        <f aca="false">IFERROR(INDEX(종합!S$3:S$501,MATCH(ROW()-2,종합!$AE$3:$AE$501,0))&amp;"","")</f>
        <v>swkim@fsec.or.kr</v>
      </c>
      <c r="T37" s="21" t="str">
        <f aca="false">IFERROR(INDEX(종합!T$3:T$501,MATCH(ROW()-2,종합!$AE$3:$AE$501,0))&amp;"","")</f>
        <v>010-6865-9458</v>
      </c>
      <c r="U37" s="21" t="str">
        <f aca="false">IFERROR(INDEX(종합!U$3:U$501,MATCH(ROW()-2,종합!$AE$3:$AE$501,0))&amp;"","")</f>
        <v>유영목</v>
      </c>
      <c r="V37" s="21" t="str">
        <f aca="false">IFERROR(INDEX(종합!V$3:V$501,MATCH(ROW()-2,종합!$AE$3:$AE$501,0))&amp;"","")</f>
        <v>AI안전평가부</v>
      </c>
      <c r="W37" s="21" t="str">
        <f aca="false">IFERROR(INDEX(종합!W$3:W$501,MATCH(ROW()-2,종합!$AE$3:$AE$501,0))&amp;"","")</f>
        <v>팀장</v>
      </c>
      <c r="X37" s="21" t="str">
        <f aca="false">IFERROR(INDEX(종합!X$3:X$501,MATCH(ROW()-2,종합!$AE$3:$AE$501,0))&amp;"","")</f>
        <v>02-3495-9860</v>
      </c>
      <c r="Y37" s="21" t="str">
        <f aca="false">IFERROR(INDEX(종합!Y$3:Y$501,MATCH(ROW()-2,종합!$AE$3:$AE$501,0))&amp;"","")</f>
        <v>cozyu@fsec.or.kr</v>
      </c>
      <c r="Z37" s="21" t="str">
        <f aca="false">IFERROR(INDEX(종합!Z$3:Z$501,MATCH(ROW()-2,종합!$AE$3:$AE$501,0))&amp;"","")</f>
        <v>010-3355-0246</v>
      </c>
    </row>
    <row r="38" customFormat="false" ht="16.5" hidden="false" customHeight="true" outlineLevel="0" collapsed="false">
      <c r="A38" s="18" t="str">
        <f aca="false">IF(B38="","",ROW()-2)</f>
        <v/>
      </c>
      <c r="B38" s="18" t="str">
        <f aca="false">IFERROR(INDEX(종합!B$3:B$501,MATCH(ROW()-2,종합!$AE$3:$AE$501,0))&amp;"","")</f>
        <v/>
      </c>
      <c r="C38" s="18" t="str">
        <f aca="false">IFERROR(INDEX(종합!C$3:C$501,MATCH(ROW()-2,종합!$AE$3:$AE$501,0))&amp;"","")</f>
        <v/>
      </c>
      <c r="D38" s="18" t="str">
        <f aca="false">IFERROR(INDEX(종합!D$3:D$501,MATCH(ROW()-2,종합!$AE$3:$AE$501,0))&amp;"","")</f>
        <v/>
      </c>
      <c r="E38" s="18" t="str">
        <f aca="false">IFERROR(INDEX(종합!E$3:E$501,MATCH(ROW()-2,종합!$AE$3:$AE$501,0))&amp;"","")</f>
        <v/>
      </c>
      <c r="F38" s="18" t="str">
        <f aca="false">IFERROR(INDEX(종합!F$3:F$501,MATCH(ROW()-2,종합!$AE$3:$AE$501,0))&amp;"","")</f>
        <v/>
      </c>
      <c r="G38" s="18" t="str">
        <f aca="false">IFERROR(INDEX(종합!G$3:G$501,MATCH(ROW()-2,종합!$AE$3:$AE$501,0))&amp;"","")</f>
        <v/>
      </c>
      <c r="H38" s="21" t="str">
        <f aca="false">IFERROR(INDEX(종합!H$3:H$501,MATCH(ROW()-2,종합!$AE$3:$AE$501,0))&amp;"","")</f>
        <v/>
      </c>
      <c r="I38" s="21" t="str">
        <f aca="false">IFERROR(INDEX(종합!I$3:I$501,MATCH(ROW()-2,종합!$AE$3:$AE$501,0))&amp;"","")</f>
        <v/>
      </c>
      <c r="J38" s="21" t="str">
        <f aca="false">IFERROR(INDEX(종합!J$3:J$501,MATCH(ROW()-2,종합!$AE$3:$AE$501,0))&amp;"","")</f>
        <v/>
      </c>
      <c r="K38" s="21" t="str">
        <f aca="false">IFERROR(INDEX(종합!K$3:K$501,MATCH(ROW()-2,종합!$AE$3:$AE$501,0))&amp;"","")</f>
        <v/>
      </c>
      <c r="L38" s="21" t="str">
        <f aca="false">IFERROR(INDEX(종합!L$3:L$501,MATCH(ROW()-2,종합!$AE$3:$AE$501,0))&amp;"","")</f>
        <v/>
      </c>
      <c r="M38" s="21" t="str">
        <f aca="false">IFERROR(INDEX(종합!M$3:M$501,MATCH(ROW()-2,종합!$AE$3:$AE$501,0))&amp;"","")</f>
        <v/>
      </c>
      <c r="N38" s="25" t="str">
        <f aca="false">IFERROR(INDEX(종합!N$3:N$501,MATCH(ROW()-2,종합!$AE$3:$AE$501,0))&amp;"","")</f>
        <v/>
      </c>
      <c r="O38" s="21" t="str">
        <f aca="false">IFERROR(INDEX(종합!O$3:O$501,MATCH(ROW()-2,종합!$AE$3:$AE$501,0))&amp;"","")</f>
        <v/>
      </c>
      <c r="P38" s="21" t="str">
        <f aca="false">IFERROR(INDEX(종합!P$3:P$501,MATCH(ROW()-2,종합!$AE$3:$AE$501,0))&amp;"","")</f>
        <v/>
      </c>
      <c r="Q38" s="21" t="str">
        <f aca="false">IFERROR(INDEX(종합!Q$3:Q$501,MATCH(ROW()-2,종합!$AE$3:$AE$501,0))&amp;"","")</f>
        <v/>
      </c>
      <c r="R38" s="21" t="str">
        <f aca="false">IFERROR(INDEX(종합!R$3:R$501,MATCH(ROW()-2,종합!$AE$3:$AE$501,0))&amp;"","")</f>
        <v/>
      </c>
      <c r="S38" s="21" t="str">
        <f aca="false">IFERROR(INDEX(종합!S$3:S$501,MATCH(ROW()-2,종합!$AE$3:$AE$501,0))&amp;"","")</f>
        <v/>
      </c>
      <c r="T38" s="21" t="str">
        <f aca="false">IFERROR(INDEX(종합!T$3:T$501,MATCH(ROW()-2,종합!$AE$3:$AE$501,0))&amp;"","")</f>
        <v/>
      </c>
      <c r="U38" s="21" t="str">
        <f aca="false">IFERROR(INDEX(종합!U$3:U$501,MATCH(ROW()-2,종합!$AE$3:$AE$501,0))&amp;"","")</f>
        <v/>
      </c>
      <c r="V38" s="21" t="str">
        <f aca="false">IFERROR(INDEX(종합!V$3:V$501,MATCH(ROW()-2,종합!$AE$3:$AE$501,0))&amp;"","")</f>
        <v/>
      </c>
      <c r="W38" s="21" t="str">
        <f aca="false">IFERROR(INDEX(종합!W$3:W$501,MATCH(ROW()-2,종합!$AE$3:$AE$501,0))&amp;"","")</f>
        <v/>
      </c>
      <c r="X38" s="21" t="str">
        <f aca="false">IFERROR(INDEX(종합!X$3:X$501,MATCH(ROW()-2,종합!$AE$3:$AE$501,0))&amp;"","")</f>
        <v/>
      </c>
      <c r="Y38" s="21" t="str">
        <f aca="false">IFERROR(INDEX(종합!Y$3:Y$501,MATCH(ROW()-2,종합!$AE$3:$AE$501,0))&amp;"","")</f>
        <v/>
      </c>
      <c r="Z38" s="21" t="str">
        <f aca="false">IFERROR(INDEX(종합!Z$3:Z$501,MATCH(ROW()-2,종합!$AE$3:$AE$501,0))&amp;"","")</f>
        <v/>
      </c>
    </row>
    <row r="39" customFormat="false" ht="16.5" hidden="false" customHeight="true" outlineLevel="0" collapsed="false">
      <c r="A39" s="18" t="str">
        <f aca="false">IF(B39="","",ROW()-2)</f>
        <v/>
      </c>
      <c r="B39" s="18" t="str">
        <f aca="false">IFERROR(INDEX(종합!B$3:B$501,MATCH(ROW()-2,종합!$AE$3:$AE$501,0))&amp;"","")</f>
        <v/>
      </c>
      <c r="C39" s="18" t="str">
        <f aca="false">IFERROR(INDEX(종합!C$3:C$501,MATCH(ROW()-2,종합!$AE$3:$AE$501,0))&amp;"","")</f>
        <v/>
      </c>
      <c r="D39" s="18" t="str">
        <f aca="false">IFERROR(INDEX(종합!D$3:D$501,MATCH(ROW()-2,종합!$AE$3:$AE$501,0))&amp;"","")</f>
        <v/>
      </c>
      <c r="E39" s="18" t="str">
        <f aca="false">IFERROR(INDEX(종합!E$3:E$501,MATCH(ROW()-2,종합!$AE$3:$AE$501,0))&amp;"","")</f>
        <v/>
      </c>
      <c r="F39" s="18" t="str">
        <f aca="false">IFERROR(INDEX(종합!F$3:F$501,MATCH(ROW()-2,종합!$AE$3:$AE$501,0))&amp;"","")</f>
        <v/>
      </c>
      <c r="G39" s="18" t="str">
        <f aca="false">IFERROR(INDEX(종합!G$3:G$501,MATCH(ROW()-2,종합!$AE$3:$AE$501,0))&amp;"","")</f>
        <v/>
      </c>
      <c r="H39" s="21" t="str">
        <f aca="false">IFERROR(INDEX(종합!H$3:H$501,MATCH(ROW()-2,종합!$AE$3:$AE$501,0))&amp;"","")</f>
        <v/>
      </c>
      <c r="I39" s="21" t="str">
        <f aca="false">IFERROR(INDEX(종합!I$3:I$501,MATCH(ROW()-2,종합!$AE$3:$AE$501,0))&amp;"","")</f>
        <v/>
      </c>
      <c r="J39" s="21" t="str">
        <f aca="false">IFERROR(INDEX(종합!J$3:J$501,MATCH(ROW()-2,종합!$AE$3:$AE$501,0))&amp;"","")</f>
        <v/>
      </c>
      <c r="K39" s="21" t="str">
        <f aca="false">IFERROR(INDEX(종합!K$3:K$501,MATCH(ROW()-2,종합!$AE$3:$AE$501,0))&amp;"","")</f>
        <v/>
      </c>
      <c r="L39" s="21" t="str">
        <f aca="false">IFERROR(INDEX(종합!L$3:L$501,MATCH(ROW()-2,종합!$AE$3:$AE$501,0))&amp;"","")</f>
        <v/>
      </c>
      <c r="M39" s="21" t="str">
        <f aca="false">IFERROR(INDEX(종합!M$3:M$501,MATCH(ROW()-2,종합!$AE$3:$AE$501,0))&amp;"","")</f>
        <v/>
      </c>
      <c r="N39" s="25" t="str">
        <f aca="false">IFERROR(INDEX(종합!N$3:N$501,MATCH(ROW()-2,종합!$AE$3:$AE$501,0))&amp;"","")</f>
        <v/>
      </c>
      <c r="O39" s="21" t="str">
        <f aca="false">IFERROR(INDEX(종합!O$3:O$501,MATCH(ROW()-2,종합!$AE$3:$AE$501,0))&amp;"","")</f>
        <v/>
      </c>
      <c r="P39" s="21" t="str">
        <f aca="false">IFERROR(INDEX(종합!P$3:P$501,MATCH(ROW()-2,종합!$AE$3:$AE$501,0))&amp;"","")</f>
        <v/>
      </c>
      <c r="Q39" s="21" t="str">
        <f aca="false">IFERROR(INDEX(종합!Q$3:Q$501,MATCH(ROW()-2,종합!$AE$3:$AE$501,0))&amp;"","")</f>
        <v/>
      </c>
      <c r="R39" s="21" t="str">
        <f aca="false">IFERROR(INDEX(종합!R$3:R$501,MATCH(ROW()-2,종합!$AE$3:$AE$501,0))&amp;"","")</f>
        <v/>
      </c>
      <c r="S39" s="21" t="str">
        <f aca="false">IFERROR(INDEX(종합!S$3:S$501,MATCH(ROW()-2,종합!$AE$3:$AE$501,0))&amp;"","")</f>
        <v/>
      </c>
      <c r="T39" s="21" t="str">
        <f aca="false">IFERROR(INDEX(종합!T$3:T$501,MATCH(ROW()-2,종합!$AE$3:$AE$501,0))&amp;"","")</f>
        <v/>
      </c>
      <c r="U39" s="21" t="str">
        <f aca="false">IFERROR(INDEX(종합!U$3:U$501,MATCH(ROW()-2,종합!$AE$3:$AE$501,0))&amp;"","")</f>
        <v/>
      </c>
      <c r="V39" s="21" t="str">
        <f aca="false">IFERROR(INDEX(종합!V$3:V$501,MATCH(ROW()-2,종합!$AE$3:$AE$501,0))&amp;"","")</f>
        <v/>
      </c>
      <c r="W39" s="21" t="str">
        <f aca="false">IFERROR(INDEX(종합!W$3:W$501,MATCH(ROW()-2,종합!$AE$3:$AE$501,0))&amp;"","")</f>
        <v/>
      </c>
      <c r="X39" s="21" t="str">
        <f aca="false">IFERROR(INDEX(종합!X$3:X$501,MATCH(ROW()-2,종합!$AE$3:$AE$501,0))&amp;"","")</f>
        <v/>
      </c>
      <c r="Y39" s="21" t="str">
        <f aca="false">IFERROR(INDEX(종합!Y$3:Y$501,MATCH(ROW()-2,종합!$AE$3:$AE$501,0))&amp;"","")</f>
        <v/>
      </c>
      <c r="Z39" s="21" t="str">
        <f aca="false">IFERROR(INDEX(종합!Z$3:Z$501,MATCH(ROW()-2,종합!$AE$3:$AE$501,0))&amp;"","")</f>
        <v/>
      </c>
    </row>
    <row r="40" customFormat="false" ht="16.5" hidden="false" customHeight="true" outlineLevel="0" collapsed="false">
      <c r="A40" s="18" t="str">
        <f aca="false">IF(B40="","",ROW()-2)</f>
        <v/>
      </c>
      <c r="B40" s="18" t="str">
        <f aca="false">IFERROR(INDEX(종합!B$3:B$501,MATCH(ROW()-2,종합!$AE$3:$AE$501,0))&amp;"","")</f>
        <v/>
      </c>
      <c r="C40" s="18" t="str">
        <f aca="false">IFERROR(INDEX(종합!C$3:C$501,MATCH(ROW()-2,종합!$AE$3:$AE$501,0))&amp;"","")</f>
        <v/>
      </c>
      <c r="D40" s="18" t="str">
        <f aca="false">IFERROR(INDEX(종합!D$3:D$501,MATCH(ROW()-2,종합!$AE$3:$AE$501,0))&amp;"","")</f>
        <v/>
      </c>
      <c r="E40" s="18" t="str">
        <f aca="false">IFERROR(INDEX(종합!E$3:E$501,MATCH(ROW()-2,종합!$AE$3:$AE$501,0))&amp;"","")</f>
        <v/>
      </c>
      <c r="F40" s="18" t="str">
        <f aca="false">IFERROR(INDEX(종합!F$3:F$501,MATCH(ROW()-2,종합!$AE$3:$AE$501,0))&amp;"","")</f>
        <v/>
      </c>
      <c r="G40" s="18" t="str">
        <f aca="false">IFERROR(INDEX(종합!G$3:G$501,MATCH(ROW()-2,종합!$AE$3:$AE$501,0))&amp;"","")</f>
        <v/>
      </c>
      <c r="H40" s="21" t="str">
        <f aca="false">IFERROR(INDEX(종합!H$3:H$501,MATCH(ROW()-2,종합!$AE$3:$AE$501,0))&amp;"","")</f>
        <v/>
      </c>
      <c r="I40" s="21" t="str">
        <f aca="false">IFERROR(INDEX(종합!I$3:I$501,MATCH(ROW()-2,종합!$AE$3:$AE$501,0))&amp;"","")</f>
        <v/>
      </c>
      <c r="J40" s="21" t="str">
        <f aca="false">IFERROR(INDEX(종합!J$3:J$501,MATCH(ROW()-2,종합!$AE$3:$AE$501,0))&amp;"","")</f>
        <v/>
      </c>
      <c r="K40" s="21" t="str">
        <f aca="false">IFERROR(INDEX(종합!K$3:K$501,MATCH(ROW()-2,종합!$AE$3:$AE$501,0))&amp;"","")</f>
        <v/>
      </c>
      <c r="L40" s="21" t="str">
        <f aca="false">IFERROR(INDEX(종합!L$3:L$501,MATCH(ROW()-2,종합!$AE$3:$AE$501,0))&amp;"","")</f>
        <v/>
      </c>
      <c r="M40" s="21" t="str">
        <f aca="false">IFERROR(INDEX(종합!M$3:M$501,MATCH(ROW()-2,종합!$AE$3:$AE$501,0))&amp;"","")</f>
        <v/>
      </c>
      <c r="N40" s="25" t="str">
        <f aca="false">IFERROR(INDEX(종합!N$3:N$501,MATCH(ROW()-2,종합!$AE$3:$AE$501,0))&amp;"","")</f>
        <v/>
      </c>
      <c r="O40" s="21" t="str">
        <f aca="false">IFERROR(INDEX(종합!O$3:O$501,MATCH(ROW()-2,종합!$AE$3:$AE$501,0))&amp;"","")</f>
        <v/>
      </c>
      <c r="P40" s="21" t="str">
        <f aca="false">IFERROR(INDEX(종합!P$3:P$501,MATCH(ROW()-2,종합!$AE$3:$AE$501,0))&amp;"","")</f>
        <v/>
      </c>
      <c r="Q40" s="21" t="str">
        <f aca="false">IFERROR(INDEX(종합!Q$3:Q$501,MATCH(ROW()-2,종합!$AE$3:$AE$501,0))&amp;"","")</f>
        <v/>
      </c>
      <c r="R40" s="21" t="str">
        <f aca="false">IFERROR(INDEX(종합!R$3:R$501,MATCH(ROW()-2,종합!$AE$3:$AE$501,0))&amp;"","")</f>
        <v/>
      </c>
      <c r="S40" s="21" t="str">
        <f aca="false">IFERROR(INDEX(종합!S$3:S$501,MATCH(ROW()-2,종합!$AE$3:$AE$501,0))&amp;"","")</f>
        <v/>
      </c>
      <c r="T40" s="21" t="str">
        <f aca="false">IFERROR(INDEX(종합!T$3:T$501,MATCH(ROW()-2,종합!$AE$3:$AE$501,0))&amp;"","")</f>
        <v/>
      </c>
      <c r="U40" s="21" t="str">
        <f aca="false">IFERROR(INDEX(종합!U$3:U$501,MATCH(ROW()-2,종합!$AE$3:$AE$501,0))&amp;"","")</f>
        <v/>
      </c>
      <c r="V40" s="21" t="str">
        <f aca="false">IFERROR(INDEX(종합!V$3:V$501,MATCH(ROW()-2,종합!$AE$3:$AE$501,0))&amp;"","")</f>
        <v/>
      </c>
      <c r="W40" s="21" t="str">
        <f aca="false">IFERROR(INDEX(종합!W$3:W$501,MATCH(ROW()-2,종합!$AE$3:$AE$501,0))&amp;"","")</f>
        <v/>
      </c>
      <c r="X40" s="21" t="str">
        <f aca="false">IFERROR(INDEX(종합!X$3:X$501,MATCH(ROW()-2,종합!$AE$3:$AE$501,0))&amp;"","")</f>
        <v/>
      </c>
      <c r="Y40" s="21" t="str">
        <f aca="false">IFERROR(INDEX(종합!Y$3:Y$501,MATCH(ROW()-2,종합!$AE$3:$AE$501,0))&amp;"","")</f>
        <v/>
      </c>
      <c r="Z40" s="21" t="str">
        <f aca="false">IFERROR(INDEX(종합!Z$3:Z$501,MATCH(ROW()-2,종합!$AE$3:$AE$501,0))&amp;"","")</f>
        <v/>
      </c>
    </row>
    <row r="41" customFormat="false" ht="16.5" hidden="false" customHeight="true" outlineLevel="0" collapsed="false">
      <c r="A41" s="18" t="str">
        <f aca="false">IF(B41="","",ROW()-2)</f>
        <v/>
      </c>
      <c r="B41" s="18" t="str">
        <f aca="false">IFERROR(INDEX(종합!B$3:B$501,MATCH(ROW()-2,종합!$AE$3:$AE$501,0))&amp;"","")</f>
        <v/>
      </c>
      <c r="C41" s="18" t="str">
        <f aca="false">IFERROR(INDEX(종합!C$3:C$501,MATCH(ROW()-2,종합!$AE$3:$AE$501,0))&amp;"","")</f>
        <v/>
      </c>
      <c r="D41" s="18" t="str">
        <f aca="false">IFERROR(INDEX(종합!D$3:D$501,MATCH(ROW()-2,종합!$AE$3:$AE$501,0))&amp;"","")</f>
        <v/>
      </c>
      <c r="E41" s="18" t="str">
        <f aca="false">IFERROR(INDEX(종합!E$3:E$501,MATCH(ROW()-2,종합!$AE$3:$AE$501,0))&amp;"","")</f>
        <v/>
      </c>
      <c r="F41" s="18" t="str">
        <f aca="false">IFERROR(INDEX(종합!F$3:F$501,MATCH(ROW()-2,종합!$AE$3:$AE$501,0))&amp;"","")</f>
        <v/>
      </c>
      <c r="G41" s="18" t="str">
        <f aca="false">IFERROR(INDEX(종합!G$3:G$501,MATCH(ROW()-2,종합!$AE$3:$AE$501,0))&amp;"","")</f>
        <v/>
      </c>
      <c r="H41" s="21" t="str">
        <f aca="false">IFERROR(INDEX(종합!H$3:H$501,MATCH(ROW()-2,종합!$AE$3:$AE$501,0))&amp;"","")</f>
        <v/>
      </c>
      <c r="I41" s="21" t="str">
        <f aca="false">IFERROR(INDEX(종합!I$3:I$501,MATCH(ROW()-2,종합!$AE$3:$AE$501,0))&amp;"","")</f>
        <v/>
      </c>
      <c r="J41" s="21" t="str">
        <f aca="false">IFERROR(INDEX(종합!J$3:J$501,MATCH(ROW()-2,종합!$AE$3:$AE$501,0))&amp;"","")</f>
        <v/>
      </c>
      <c r="K41" s="21" t="str">
        <f aca="false">IFERROR(INDEX(종합!K$3:K$501,MATCH(ROW()-2,종합!$AE$3:$AE$501,0))&amp;"","")</f>
        <v/>
      </c>
      <c r="L41" s="21" t="str">
        <f aca="false">IFERROR(INDEX(종합!L$3:L$501,MATCH(ROW()-2,종합!$AE$3:$AE$501,0))&amp;"","")</f>
        <v/>
      </c>
      <c r="M41" s="21" t="str">
        <f aca="false">IFERROR(INDEX(종합!M$3:M$501,MATCH(ROW()-2,종합!$AE$3:$AE$501,0))&amp;"","")</f>
        <v/>
      </c>
      <c r="N41" s="25" t="str">
        <f aca="false">IFERROR(INDEX(종합!N$3:N$501,MATCH(ROW()-2,종합!$AE$3:$AE$501,0))&amp;"","")</f>
        <v/>
      </c>
      <c r="O41" s="21" t="str">
        <f aca="false">IFERROR(INDEX(종합!O$3:O$501,MATCH(ROW()-2,종합!$AE$3:$AE$501,0))&amp;"","")</f>
        <v/>
      </c>
      <c r="P41" s="21" t="str">
        <f aca="false">IFERROR(INDEX(종합!P$3:P$501,MATCH(ROW()-2,종합!$AE$3:$AE$501,0))&amp;"","")</f>
        <v/>
      </c>
      <c r="Q41" s="21" t="str">
        <f aca="false">IFERROR(INDEX(종합!Q$3:Q$501,MATCH(ROW()-2,종합!$AE$3:$AE$501,0))&amp;"","")</f>
        <v/>
      </c>
      <c r="R41" s="21" t="str">
        <f aca="false">IFERROR(INDEX(종합!R$3:R$501,MATCH(ROW()-2,종합!$AE$3:$AE$501,0))&amp;"","")</f>
        <v/>
      </c>
      <c r="S41" s="21" t="str">
        <f aca="false">IFERROR(INDEX(종합!S$3:S$501,MATCH(ROW()-2,종합!$AE$3:$AE$501,0))&amp;"","")</f>
        <v/>
      </c>
      <c r="T41" s="21" t="str">
        <f aca="false">IFERROR(INDEX(종합!T$3:T$501,MATCH(ROW()-2,종합!$AE$3:$AE$501,0))&amp;"","")</f>
        <v/>
      </c>
      <c r="U41" s="21" t="str">
        <f aca="false">IFERROR(INDEX(종합!U$3:U$501,MATCH(ROW()-2,종합!$AE$3:$AE$501,0))&amp;"","")</f>
        <v/>
      </c>
      <c r="V41" s="21" t="str">
        <f aca="false">IFERROR(INDEX(종합!V$3:V$501,MATCH(ROW()-2,종합!$AE$3:$AE$501,0))&amp;"","")</f>
        <v/>
      </c>
      <c r="W41" s="21" t="str">
        <f aca="false">IFERROR(INDEX(종합!W$3:W$501,MATCH(ROW()-2,종합!$AE$3:$AE$501,0))&amp;"","")</f>
        <v/>
      </c>
      <c r="X41" s="21" t="str">
        <f aca="false">IFERROR(INDEX(종합!X$3:X$501,MATCH(ROW()-2,종합!$AE$3:$AE$501,0))&amp;"","")</f>
        <v/>
      </c>
      <c r="Y41" s="21" t="str">
        <f aca="false">IFERROR(INDEX(종합!Y$3:Y$501,MATCH(ROW()-2,종합!$AE$3:$AE$501,0))&amp;"","")</f>
        <v/>
      </c>
      <c r="Z41" s="21" t="str">
        <f aca="false">IFERROR(INDEX(종합!Z$3:Z$501,MATCH(ROW()-2,종합!$AE$3:$AE$501,0))&amp;"","")</f>
        <v/>
      </c>
    </row>
    <row r="42" customFormat="false" ht="16.5" hidden="false" customHeight="true" outlineLevel="0" collapsed="false">
      <c r="A42" s="18" t="str">
        <f aca="false">IF(B42="","",ROW()-2)</f>
        <v/>
      </c>
      <c r="B42" s="18" t="str">
        <f aca="false">IFERROR(INDEX(종합!B$3:B$501,MATCH(ROW()-2,종합!$AE$3:$AE$501,0))&amp;"","")</f>
        <v/>
      </c>
      <c r="C42" s="18" t="str">
        <f aca="false">IFERROR(INDEX(종합!C$3:C$501,MATCH(ROW()-2,종합!$AE$3:$AE$501,0))&amp;"","")</f>
        <v/>
      </c>
      <c r="D42" s="18" t="str">
        <f aca="false">IFERROR(INDEX(종합!D$3:D$501,MATCH(ROW()-2,종합!$AE$3:$AE$501,0))&amp;"","")</f>
        <v/>
      </c>
      <c r="E42" s="18" t="str">
        <f aca="false">IFERROR(INDEX(종합!E$3:E$501,MATCH(ROW()-2,종합!$AE$3:$AE$501,0))&amp;"","")</f>
        <v/>
      </c>
      <c r="F42" s="18" t="str">
        <f aca="false">IFERROR(INDEX(종합!F$3:F$501,MATCH(ROW()-2,종합!$AE$3:$AE$501,0))&amp;"","")</f>
        <v/>
      </c>
      <c r="G42" s="18" t="str">
        <f aca="false">IFERROR(INDEX(종합!G$3:G$501,MATCH(ROW()-2,종합!$AE$3:$AE$501,0))&amp;"","")</f>
        <v/>
      </c>
      <c r="H42" s="21" t="str">
        <f aca="false">IFERROR(INDEX(종합!H$3:H$501,MATCH(ROW()-2,종합!$AE$3:$AE$501,0))&amp;"","")</f>
        <v/>
      </c>
      <c r="I42" s="21" t="str">
        <f aca="false">IFERROR(INDEX(종합!I$3:I$501,MATCH(ROW()-2,종합!$AE$3:$AE$501,0))&amp;"","")</f>
        <v/>
      </c>
      <c r="J42" s="21" t="str">
        <f aca="false">IFERROR(INDEX(종합!J$3:J$501,MATCH(ROW()-2,종합!$AE$3:$AE$501,0))&amp;"","")</f>
        <v/>
      </c>
      <c r="K42" s="21" t="str">
        <f aca="false">IFERROR(INDEX(종합!K$3:K$501,MATCH(ROW()-2,종합!$AE$3:$AE$501,0))&amp;"","")</f>
        <v/>
      </c>
      <c r="L42" s="21" t="str">
        <f aca="false">IFERROR(INDEX(종합!L$3:L$501,MATCH(ROW()-2,종합!$AE$3:$AE$501,0))&amp;"","")</f>
        <v/>
      </c>
      <c r="M42" s="21" t="str">
        <f aca="false">IFERROR(INDEX(종합!M$3:M$501,MATCH(ROW()-2,종합!$AE$3:$AE$501,0))&amp;"","")</f>
        <v/>
      </c>
      <c r="N42" s="25" t="str">
        <f aca="false">IFERROR(INDEX(종합!N$3:N$501,MATCH(ROW()-2,종합!$AE$3:$AE$501,0))&amp;"","")</f>
        <v/>
      </c>
      <c r="O42" s="21" t="str">
        <f aca="false">IFERROR(INDEX(종합!O$3:O$501,MATCH(ROW()-2,종합!$AE$3:$AE$501,0))&amp;"","")</f>
        <v/>
      </c>
      <c r="P42" s="21" t="str">
        <f aca="false">IFERROR(INDEX(종합!P$3:P$501,MATCH(ROW()-2,종합!$AE$3:$AE$501,0))&amp;"","")</f>
        <v/>
      </c>
      <c r="Q42" s="21" t="str">
        <f aca="false">IFERROR(INDEX(종합!Q$3:Q$501,MATCH(ROW()-2,종합!$AE$3:$AE$501,0))&amp;"","")</f>
        <v/>
      </c>
      <c r="R42" s="21" t="str">
        <f aca="false">IFERROR(INDEX(종합!R$3:R$501,MATCH(ROW()-2,종합!$AE$3:$AE$501,0))&amp;"","")</f>
        <v/>
      </c>
      <c r="S42" s="21" t="str">
        <f aca="false">IFERROR(INDEX(종합!S$3:S$501,MATCH(ROW()-2,종합!$AE$3:$AE$501,0))&amp;"","")</f>
        <v/>
      </c>
      <c r="T42" s="21" t="str">
        <f aca="false">IFERROR(INDEX(종합!T$3:T$501,MATCH(ROW()-2,종합!$AE$3:$AE$501,0))&amp;"","")</f>
        <v/>
      </c>
      <c r="U42" s="21" t="str">
        <f aca="false">IFERROR(INDEX(종합!U$3:U$501,MATCH(ROW()-2,종합!$AE$3:$AE$501,0))&amp;"","")</f>
        <v/>
      </c>
      <c r="V42" s="21" t="str">
        <f aca="false">IFERROR(INDEX(종합!V$3:V$501,MATCH(ROW()-2,종합!$AE$3:$AE$501,0))&amp;"","")</f>
        <v/>
      </c>
      <c r="W42" s="21" t="str">
        <f aca="false">IFERROR(INDEX(종합!W$3:W$501,MATCH(ROW()-2,종합!$AE$3:$AE$501,0))&amp;"","")</f>
        <v/>
      </c>
      <c r="X42" s="21" t="str">
        <f aca="false">IFERROR(INDEX(종합!X$3:X$501,MATCH(ROW()-2,종합!$AE$3:$AE$501,0))&amp;"","")</f>
        <v/>
      </c>
      <c r="Y42" s="21" t="str">
        <f aca="false">IFERROR(INDEX(종합!Y$3:Y$501,MATCH(ROW()-2,종합!$AE$3:$AE$501,0))&amp;"","")</f>
        <v/>
      </c>
      <c r="Z42" s="21" t="str">
        <f aca="false">IFERROR(INDEX(종합!Z$3:Z$501,MATCH(ROW()-2,종합!$AE$3:$AE$501,0))&amp;"","")</f>
        <v/>
      </c>
    </row>
    <row r="43" customFormat="false" ht="16.5" hidden="false" customHeight="true" outlineLevel="0" collapsed="false">
      <c r="A43" s="18" t="str">
        <f aca="false">IF(B43="","",ROW()-2)</f>
        <v/>
      </c>
      <c r="B43" s="18" t="str">
        <f aca="false">IFERROR(INDEX(종합!B$3:B$501,MATCH(ROW()-2,종합!$AE$3:$AE$501,0))&amp;"","")</f>
        <v/>
      </c>
      <c r="C43" s="18" t="str">
        <f aca="false">IFERROR(INDEX(종합!C$3:C$501,MATCH(ROW()-2,종합!$AE$3:$AE$501,0))&amp;"","")</f>
        <v/>
      </c>
      <c r="D43" s="18" t="str">
        <f aca="false">IFERROR(INDEX(종합!D$3:D$501,MATCH(ROW()-2,종합!$AE$3:$AE$501,0))&amp;"","")</f>
        <v/>
      </c>
      <c r="E43" s="18" t="str">
        <f aca="false">IFERROR(INDEX(종합!E$3:E$501,MATCH(ROW()-2,종합!$AE$3:$AE$501,0))&amp;"","")</f>
        <v/>
      </c>
      <c r="F43" s="18" t="str">
        <f aca="false">IFERROR(INDEX(종합!F$3:F$501,MATCH(ROW()-2,종합!$AE$3:$AE$501,0))&amp;"","")</f>
        <v/>
      </c>
      <c r="G43" s="18" t="str">
        <f aca="false">IFERROR(INDEX(종합!G$3:G$501,MATCH(ROW()-2,종합!$AE$3:$AE$501,0))&amp;"","")</f>
        <v/>
      </c>
      <c r="H43" s="21" t="str">
        <f aca="false">IFERROR(INDEX(종합!H$3:H$501,MATCH(ROW()-2,종합!$AE$3:$AE$501,0))&amp;"","")</f>
        <v/>
      </c>
      <c r="I43" s="21" t="str">
        <f aca="false">IFERROR(INDEX(종합!I$3:I$501,MATCH(ROW()-2,종합!$AE$3:$AE$501,0))&amp;"","")</f>
        <v/>
      </c>
      <c r="J43" s="21" t="str">
        <f aca="false">IFERROR(INDEX(종합!J$3:J$501,MATCH(ROW()-2,종합!$AE$3:$AE$501,0))&amp;"","")</f>
        <v/>
      </c>
      <c r="K43" s="21" t="str">
        <f aca="false">IFERROR(INDEX(종합!K$3:K$501,MATCH(ROW()-2,종합!$AE$3:$AE$501,0))&amp;"","")</f>
        <v/>
      </c>
      <c r="L43" s="21" t="str">
        <f aca="false">IFERROR(INDEX(종합!L$3:L$501,MATCH(ROW()-2,종합!$AE$3:$AE$501,0))&amp;"","")</f>
        <v/>
      </c>
      <c r="M43" s="21" t="str">
        <f aca="false">IFERROR(INDEX(종합!M$3:M$501,MATCH(ROW()-2,종합!$AE$3:$AE$501,0))&amp;"","")</f>
        <v/>
      </c>
      <c r="N43" s="25" t="str">
        <f aca="false">IFERROR(INDEX(종합!N$3:N$501,MATCH(ROW()-2,종합!$AE$3:$AE$501,0))&amp;"","")</f>
        <v/>
      </c>
      <c r="O43" s="21" t="str">
        <f aca="false">IFERROR(INDEX(종합!O$3:O$501,MATCH(ROW()-2,종합!$AE$3:$AE$501,0))&amp;"","")</f>
        <v/>
      </c>
      <c r="P43" s="21" t="str">
        <f aca="false">IFERROR(INDEX(종합!P$3:P$501,MATCH(ROW()-2,종합!$AE$3:$AE$501,0))&amp;"","")</f>
        <v/>
      </c>
      <c r="Q43" s="21" t="str">
        <f aca="false">IFERROR(INDEX(종합!Q$3:Q$501,MATCH(ROW()-2,종합!$AE$3:$AE$501,0))&amp;"","")</f>
        <v/>
      </c>
      <c r="R43" s="21" t="str">
        <f aca="false">IFERROR(INDEX(종합!R$3:R$501,MATCH(ROW()-2,종합!$AE$3:$AE$501,0))&amp;"","")</f>
        <v/>
      </c>
      <c r="S43" s="21" t="str">
        <f aca="false">IFERROR(INDEX(종합!S$3:S$501,MATCH(ROW()-2,종합!$AE$3:$AE$501,0))&amp;"","")</f>
        <v/>
      </c>
      <c r="T43" s="21" t="str">
        <f aca="false">IFERROR(INDEX(종합!T$3:T$501,MATCH(ROW()-2,종합!$AE$3:$AE$501,0))&amp;"","")</f>
        <v/>
      </c>
      <c r="U43" s="21" t="str">
        <f aca="false">IFERROR(INDEX(종합!U$3:U$501,MATCH(ROW()-2,종합!$AE$3:$AE$501,0))&amp;"","")</f>
        <v/>
      </c>
      <c r="V43" s="21" t="str">
        <f aca="false">IFERROR(INDEX(종합!V$3:V$501,MATCH(ROW()-2,종합!$AE$3:$AE$501,0))&amp;"","")</f>
        <v/>
      </c>
      <c r="W43" s="21" t="str">
        <f aca="false">IFERROR(INDEX(종합!W$3:W$501,MATCH(ROW()-2,종합!$AE$3:$AE$501,0))&amp;"","")</f>
        <v/>
      </c>
      <c r="X43" s="21" t="str">
        <f aca="false">IFERROR(INDEX(종합!X$3:X$501,MATCH(ROW()-2,종합!$AE$3:$AE$501,0))&amp;"","")</f>
        <v/>
      </c>
      <c r="Y43" s="21" t="str">
        <f aca="false">IFERROR(INDEX(종합!Y$3:Y$501,MATCH(ROW()-2,종합!$AE$3:$AE$501,0))&amp;"","")</f>
        <v/>
      </c>
      <c r="Z43" s="21" t="str">
        <f aca="false">IFERROR(INDEX(종합!Z$3:Z$501,MATCH(ROW()-2,종합!$AE$3:$AE$501,0))&amp;"","")</f>
        <v/>
      </c>
    </row>
    <row r="44" customFormat="false" ht="16.5" hidden="false" customHeight="true" outlineLevel="0" collapsed="false">
      <c r="A44" s="18" t="str">
        <f aca="false">IF(B44="","",ROW()-2)</f>
        <v/>
      </c>
      <c r="B44" s="18" t="str">
        <f aca="false">IFERROR(INDEX(종합!B$3:B$501,MATCH(ROW()-2,종합!$AE$3:$AE$501,0))&amp;"","")</f>
        <v/>
      </c>
      <c r="C44" s="18" t="str">
        <f aca="false">IFERROR(INDEX(종합!C$3:C$501,MATCH(ROW()-2,종합!$AE$3:$AE$501,0))&amp;"","")</f>
        <v/>
      </c>
      <c r="D44" s="18" t="str">
        <f aca="false">IFERROR(INDEX(종합!D$3:D$501,MATCH(ROW()-2,종합!$AE$3:$AE$501,0))&amp;"","")</f>
        <v/>
      </c>
      <c r="E44" s="18" t="str">
        <f aca="false">IFERROR(INDEX(종합!E$3:E$501,MATCH(ROW()-2,종합!$AE$3:$AE$501,0))&amp;"","")</f>
        <v/>
      </c>
      <c r="F44" s="18" t="str">
        <f aca="false">IFERROR(INDEX(종합!F$3:F$501,MATCH(ROW()-2,종합!$AE$3:$AE$501,0))&amp;"","")</f>
        <v/>
      </c>
      <c r="G44" s="18" t="str">
        <f aca="false">IFERROR(INDEX(종합!G$3:G$501,MATCH(ROW()-2,종합!$AE$3:$AE$501,0))&amp;"","")</f>
        <v/>
      </c>
      <c r="H44" s="21" t="str">
        <f aca="false">IFERROR(INDEX(종합!H$3:H$501,MATCH(ROW()-2,종합!$AE$3:$AE$501,0))&amp;"","")</f>
        <v/>
      </c>
      <c r="I44" s="21" t="str">
        <f aca="false">IFERROR(INDEX(종합!I$3:I$501,MATCH(ROW()-2,종합!$AE$3:$AE$501,0))&amp;"","")</f>
        <v/>
      </c>
      <c r="J44" s="21" t="str">
        <f aca="false">IFERROR(INDEX(종합!J$3:J$501,MATCH(ROW()-2,종합!$AE$3:$AE$501,0))&amp;"","")</f>
        <v/>
      </c>
      <c r="K44" s="21" t="str">
        <f aca="false">IFERROR(INDEX(종합!K$3:K$501,MATCH(ROW()-2,종합!$AE$3:$AE$501,0))&amp;"","")</f>
        <v/>
      </c>
      <c r="L44" s="21" t="str">
        <f aca="false">IFERROR(INDEX(종합!L$3:L$501,MATCH(ROW()-2,종합!$AE$3:$AE$501,0))&amp;"","")</f>
        <v/>
      </c>
      <c r="M44" s="21" t="str">
        <f aca="false">IFERROR(INDEX(종합!M$3:M$501,MATCH(ROW()-2,종합!$AE$3:$AE$501,0))&amp;"","")</f>
        <v/>
      </c>
      <c r="N44" s="25" t="str">
        <f aca="false">IFERROR(INDEX(종합!N$3:N$501,MATCH(ROW()-2,종합!$AE$3:$AE$501,0))&amp;"","")</f>
        <v/>
      </c>
      <c r="O44" s="21" t="str">
        <f aca="false">IFERROR(INDEX(종합!O$3:O$501,MATCH(ROW()-2,종합!$AE$3:$AE$501,0))&amp;"","")</f>
        <v/>
      </c>
      <c r="P44" s="21" t="str">
        <f aca="false">IFERROR(INDEX(종합!P$3:P$501,MATCH(ROW()-2,종합!$AE$3:$AE$501,0))&amp;"","")</f>
        <v/>
      </c>
      <c r="Q44" s="21" t="str">
        <f aca="false">IFERROR(INDEX(종합!Q$3:Q$501,MATCH(ROW()-2,종합!$AE$3:$AE$501,0))&amp;"","")</f>
        <v/>
      </c>
      <c r="R44" s="21" t="str">
        <f aca="false">IFERROR(INDEX(종합!R$3:R$501,MATCH(ROW()-2,종합!$AE$3:$AE$501,0))&amp;"","")</f>
        <v/>
      </c>
      <c r="S44" s="21" t="str">
        <f aca="false">IFERROR(INDEX(종합!S$3:S$501,MATCH(ROW()-2,종합!$AE$3:$AE$501,0))&amp;"","")</f>
        <v/>
      </c>
      <c r="T44" s="21" t="str">
        <f aca="false">IFERROR(INDEX(종합!T$3:T$501,MATCH(ROW()-2,종합!$AE$3:$AE$501,0))&amp;"","")</f>
        <v/>
      </c>
      <c r="U44" s="21" t="str">
        <f aca="false">IFERROR(INDEX(종합!U$3:U$501,MATCH(ROW()-2,종합!$AE$3:$AE$501,0))&amp;"","")</f>
        <v/>
      </c>
      <c r="V44" s="21" t="str">
        <f aca="false">IFERROR(INDEX(종합!V$3:V$501,MATCH(ROW()-2,종합!$AE$3:$AE$501,0))&amp;"","")</f>
        <v/>
      </c>
      <c r="W44" s="21" t="str">
        <f aca="false">IFERROR(INDEX(종합!W$3:W$501,MATCH(ROW()-2,종합!$AE$3:$AE$501,0))&amp;"","")</f>
        <v/>
      </c>
      <c r="X44" s="21" t="str">
        <f aca="false">IFERROR(INDEX(종합!X$3:X$501,MATCH(ROW()-2,종합!$AE$3:$AE$501,0))&amp;"","")</f>
        <v/>
      </c>
      <c r="Y44" s="21" t="str">
        <f aca="false">IFERROR(INDEX(종합!Y$3:Y$501,MATCH(ROW()-2,종합!$AE$3:$AE$501,0))&amp;"","")</f>
        <v/>
      </c>
      <c r="Z44" s="21" t="str">
        <f aca="false">IFERROR(INDEX(종합!Z$3:Z$501,MATCH(ROW()-2,종합!$AE$3:$AE$501,0))&amp;"","")</f>
        <v/>
      </c>
    </row>
    <row r="45" customFormat="false" ht="16.5" hidden="false" customHeight="true" outlineLevel="0" collapsed="false">
      <c r="A45" s="18" t="str">
        <f aca="false">IF(B45="","",ROW()-2)</f>
        <v/>
      </c>
      <c r="B45" s="18" t="str">
        <f aca="false">IFERROR(INDEX(종합!B$3:B$501,MATCH(ROW()-2,종합!$AE$3:$AE$501,0))&amp;"","")</f>
        <v/>
      </c>
      <c r="C45" s="18" t="str">
        <f aca="false">IFERROR(INDEX(종합!C$3:C$501,MATCH(ROW()-2,종합!$AE$3:$AE$501,0))&amp;"","")</f>
        <v/>
      </c>
      <c r="D45" s="18" t="str">
        <f aca="false">IFERROR(INDEX(종합!D$3:D$501,MATCH(ROW()-2,종합!$AE$3:$AE$501,0))&amp;"","")</f>
        <v/>
      </c>
      <c r="E45" s="18" t="str">
        <f aca="false">IFERROR(INDEX(종합!E$3:E$501,MATCH(ROW()-2,종합!$AE$3:$AE$501,0))&amp;"","")</f>
        <v/>
      </c>
      <c r="F45" s="18" t="str">
        <f aca="false">IFERROR(INDEX(종합!F$3:F$501,MATCH(ROW()-2,종합!$AE$3:$AE$501,0))&amp;"","")</f>
        <v/>
      </c>
      <c r="G45" s="18" t="str">
        <f aca="false">IFERROR(INDEX(종합!G$3:G$501,MATCH(ROW()-2,종합!$AE$3:$AE$501,0))&amp;"","")</f>
        <v/>
      </c>
      <c r="H45" s="21" t="str">
        <f aca="false">IFERROR(INDEX(종합!H$3:H$501,MATCH(ROW()-2,종합!$AE$3:$AE$501,0))&amp;"","")</f>
        <v/>
      </c>
      <c r="I45" s="21" t="str">
        <f aca="false">IFERROR(INDEX(종합!I$3:I$501,MATCH(ROW()-2,종합!$AE$3:$AE$501,0))&amp;"","")</f>
        <v/>
      </c>
      <c r="J45" s="21" t="str">
        <f aca="false">IFERROR(INDEX(종합!J$3:J$501,MATCH(ROW()-2,종합!$AE$3:$AE$501,0))&amp;"","")</f>
        <v/>
      </c>
      <c r="K45" s="21" t="str">
        <f aca="false">IFERROR(INDEX(종합!K$3:K$501,MATCH(ROW()-2,종합!$AE$3:$AE$501,0))&amp;"","")</f>
        <v/>
      </c>
      <c r="L45" s="21" t="str">
        <f aca="false">IFERROR(INDEX(종합!L$3:L$501,MATCH(ROW()-2,종합!$AE$3:$AE$501,0))&amp;"","")</f>
        <v/>
      </c>
      <c r="M45" s="21" t="str">
        <f aca="false">IFERROR(INDEX(종합!M$3:M$501,MATCH(ROW()-2,종합!$AE$3:$AE$501,0))&amp;"","")</f>
        <v/>
      </c>
      <c r="N45" s="25" t="str">
        <f aca="false">IFERROR(INDEX(종합!N$3:N$501,MATCH(ROW()-2,종합!$AE$3:$AE$501,0))&amp;"","")</f>
        <v/>
      </c>
      <c r="O45" s="21" t="str">
        <f aca="false">IFERROR(INDEX(종합!O$3:O$501,MATCH(ROW()-2,종합!$AE$3:$AE$501,0))&amp;"","")</f>
        <v/>
      </c>
      <c r="P45" s="21" t="str">
        <f aca="false">IFERROR(INDEX(종합!P$3:P$501,MATCH(ROW()-2,종합!$AE$3:$AE$501,0))&amp;"","")</f>
        <v/>
      </c>
      <c r="Q45" s="21" t="str">
        <f aca="false">IFERROR(INDEX(종합!Q$3:Q$501,MATCH(ROW()-2,종합!$AE$3:$AE$501,0))&amp;"","")</f>
        <v/>
      </c>
      <c r="R45" s="21" t="str">
        <f aca="false">IFERROR(INDEX(종합!R$3:R$501,MATCH(ROW()-2,종합!$AE$3:$AE$501,0))&amp;"","")</f>
        <v/>
      </c>
      <c r="S45" s="21" t="str">
        <f aca="false">IFERROR(INDEX(종합!S$3:S$501,MATCH(ROW()-2,종합!$AE$3:$AE$501,0))&amp;"","")</f>
        <v/>
      </c>
      <c r="T45" s="21" t="str">
        <f aca="false">IFERROR(INDEX(종합!T$3:T$501,MATCH(ROW()-2,종합!$AE$3:$AE$501,0))&amp;"","")</f>
        <v/>
      </c>
      <c r="U45" s="21" t="str">
        <f aca="false">IFERROR(INDEX(종합!U$3:U$501,MATCH(ROW()-2,종합!$AE$3:$AE$501,0))&amp;"","")</f>
        <v/>
      </c>
      <c r="V45" s="21" t="str">
        <f aca="false">IFERROR(INDEX(종합!V$3:V$501,MATCH(ROW()-2,종합!$AE$3:$AE$501,0))&amp;"","")</f>
        <v/>
      </c>
      <c r="W45" s="21" t="str">
        <f aca="false">IFERROR(INDEX(종합!W$3:W$501,MATCH(ROW()-2,종합!$AE$3:$AE$501,0))&amp;"","")</f>
        <v/>
      </c>
      <c r="X45" s="21" t="str">
        <f aca="false">IFERROR(INDEX(종합!X$3:X$501,MATCH(ROW()-2,종합!$AE$3:$AE$501,0))&amp;"","")</f>
        <v/>
      </c>
      <c r="Y45" s="21" t="str">
        <f aca="false">IFERROR(INDEX(종합!Y$3:Y$501,MATCH(ROW()-2,종합!$AE$3:$AE$501,0))&amp;"","")</f>
        <v/>
      </c>
      <c r="Z45" s="21" t="str">
        <f aca="false">IFERROR(INDEX(종합!Z$3:Z$501,MATCH(ROW()-2,종합!$AE$3:$AE$501,0))&amp;"","")</f>
        <v/>
      </c>
    </row>
    <row r="46" customFormat="false" ht="16.5" hidden="false" customHeight="true" outlineLevel="0" collapsed="false">
      <c r="A46" s="18" t="str">
        <f aca="false">IF(B46="","",ROW()-2)</f>
        <v/>
      </c>
      <c r="B46" s="18" t="str">
        <f aca="false">IFERROR(INDEX(종합!B$3:B$501,MATCH(ROW()-2,종합!$AE$3:$AE$501,0))&amp;"","")</f>
        <v/>
      </c>
      <c r="C46" s="18" t="str">
        <f aca="false">IFERROR(INDEX(종합!C$3:C$501,MATCH(ROW()-2,종합!$AE$3:$AE$501,0))&amp;"","")</f>
        <v/>
      </c>
      <c r="D46" s="18" t="str">
        <f aca="false">IFERROR(INDEX(종합!D$3:D$501,MATCH(ROW()-2,종합!$AE$3:$AE$501,0))&amp;"","")</f>
        <v/>
      </c>
      <c r="E46" s="18" t="str">
        <f aca="false">IFERROR(INDEX(종합!E$3:E$501,MATCH(ROW()-2,종합!$AE$3:$AE$501,0))&amp;"","")</f>
        <v/>
      </c>
      <c r="F46" s="18" t="str">
        <f aca="false">IFERROR(INDEX(종합!F$3:F$501,MATCH(ROW()-2,종합!$AE$3:$AE$501,0))&amp;"","")</f>
        <v/>
      </c>
      <c r="G46" s="18" t="str">
        <f aca="false">IFERROR(INDEX(종합!G$3:G$501,MATCH(ROW()-2,종합!$AE$3:$AE$501,0))&amp;"","")</f>
        <v/>
      </c>
      <c r="H46" s="21" t="str">
        <f aca="false">IFERROR(INDEX(종합!H$3:H$501,MATCH(ROW()-2,종합!$AE$3:$AE$501,0))&amp;"","")</f>
        <v/>
      </c>
      <c r="I46" s="21" t="str">
        <f aca="false">IFERROR(INDEX(종합!I$3:I$501,MATCH(ROW()-2,종합!$AE$3:$AE$501,0))&amp;"","")</f>
        <v/>
      </c>
      <c r="J46" s="21" t="str">
        <f aca="false">IFERROR(INDEX(종합!J$3:J$501,MATCH(ROW()-2,종합!$AE$3:$AE$501,0))&amp;"","")</f>
        <v/>
      </c>
      <c r="K46" s="21" t="str">
        <f aca="false">IFERROR(INDEX(종합!K$3:K$501,MATCH(ROW()-2,종합!$AE$3:$AE$501,0))&amp;"","")</f>
        <v/>
      </c>
      <c r="L46" s="21" t="str">
        <f aca="false">IFERROR(INDEX(종합!L$3:L$501,MATCH(ROW()-2,종합!$AE$3:$AE$501,0))&amp;"","")</f>
        <v/>
      </c>
      <c r="M46" s="21" t="str">
        <f aca="false">IFERROR(INDEX(종합!M$3:M$501,MATCH(ROW()-2,종합!$AE$3:$AE$501,0))&amp;"","")</f>
        <v/>
      </c>
      <c r="N46" s="25" t="str">
        <f aca="false">IFERROR(INDEX(종합!N$3:N$501,MATCH(ROW()-2,종합!$AE$3:$AE$501,0))&amp;"","")</f>
        <v/>
      </c>
      <c r="O46" s="21" t="str">
        <f aca="false">IFERROR(INDEX(종합!O$3:O$501,MATCH(ROW()-2,종합!$AE$3:$AE$501,0))&amp;"","")</f>
        <v/>
      </c>
      <c r="P46" s="21" t="str">
        <f aca="false">IFERROR(INDEX(종합!P$3:P$501,MATCH(ROW()-2,종합!$AE$3:$AE$501,0))&amp;"","")</f>
        <v/>
      </c>
      <c r="Q46" s="21" t="str">
        <f aca="false">IFERROR(INDEX(종합!Q$3:Q$501,MATCH(ROW()-2,종합!$AE$3:$AE$501,0))&amp;"","")</f>
        <v/>
      </c>
      <c r="R46" s="21" t="str">
        <f aca="false">IFERROR(INDEX(종합!R$3:R$501,MATCH(ROW()-2,종합!$AE$3:$AE$501,0))&amp;"","")</f>
        <v/>
      </c>
      <c r="S46" s="21" t="str">
        <f aca="false">IFERROR(INDEX(종합!S$3:S$501,MATCH(ROW()-2,종합!$AE$3:$AE$501,0))&amp;"","")</f>
        <v/>
      </c>
      <c r="T46" s="21" t="str">
        <f aca="false">IFERROR(INDEX(종합!T$3:T$501,MATCH(ROW()-2,종합!$AE$3:$AE$501,0))&amp;"","")</f>
        <v/>
      </c>
      <c r="U46" s="21" t="str">
        <f aca="false">IFERROR(INDEX(종합!U$3:U$501,MATCH(ROW()-2,종합!$AE$3:$AE$501,0))&amp;"","")</f>
        <v/>
      </c>
      <c r="V46" s="21" t="str">
        <f aca="false">IFERROR(INDEX(종합!V$3:V$501,MATCH(ROW()-2,종합!$AE$3:$AE$501,0))&amp;"","")</f>
        <v/>
      </c>
      <c r="W46" s="21" t="str">
        <f aca="false">IFERROR(INDEX(종합!W$3:W$501,MATCH(ROW()-2,종합!$AE$3:$AE$501,0))&amp;"","")</f>
        <v/>
      </c>
      <c r="X46" s="21" t="str">
        <f aca="false">IFERROR(INDEX(종합!X$3:X$501,MATCH(ROW()-2,종합!$AE$3:$AE$501,0))&amp;"","")</f>
        <v/>
      </c>
      <c r="Y46" s="21" t="str">
        <f aca="false">IFERROR(INDEX(종합!Y$3:Y$501,MATCH(ROW()-2,종합!$AE$3:$AE$501,0))&amp;"","")</f>
        <v/>
      </c>
      <c r="Z46" s="21" t="str">
        <f aca="false">IFERROR(INDEX(종합!Z$3:Z$501,MATCH(ROW()-2,종합!$AE$3:$AE$501,0))&amp;"","")</f>
        <v/>
      </c>
    </row>
    <row r="47" customFormat="false" ht="16.5" hidden="false" customHeight="true" outlineLevel="0" collapsed="false">
      <c r="A47" s="18" t="str">
        <f aca="false">IF(B47="","",ROW()-2)</f>
        <v/>
      </c>
      <c r="B47" s="18" t="str">
        <f aca="false">IFERROR(INDEX(종합!B$3:B$501,MATCH(ROW()-2,종합!$AE$3:$AE$501,0))&amp;"","")</f>
        <v/>
      </c>
      <c r="C47" s="18" t="str">
        <f aca="false">IFERROR(INDEX(종합!C$3:C$501,MATCH(ROW()-2,종합!$AE$3:$AE$501,0))&amp;"","")</f>
        <v/>
      </c>
      <c r="D47" s="18" t="str">
        <f aca="false">IFERROR(INDEX(종합!D$3:D$501,MATCH(ROW()-2,종합!$AE$3:$AE$501,0))&amp;"","")</f>
        <v/>
      </c>
      <c r="E47" s="18" t="str">
        <f aca="false">IFERROR(INDEX(종합!E$3:E$501,MATCH(ROW()-2,종합!$AE$3:$AE$501,0))&amp;"","")</f>
        <v/>
      </c>
      <c r="F47" s="18" t="str">
        <f aca="false">IFERROR(INDEX(종합!F$3:F$501,MATCH(ROW()-2,종합!$AE$3:$AE$501,0))&amp;"","")</f>
        <v/>
      </c>
      <c r="G47" s="18" t="str">
        <f aca="false">IFERROR(INDEX(종합!G$3:G$501,MATCH(ROW()-2,종합!$AE$3:$AE$501,0))&amp;"","")</f>
        <v/>
      </c>
      <c r="H47" s="21" t="str">
        <f aca="false">IFERROR(INDEX(종합!H$3:H$501,MATCH(ROW()-2,종합!$AE$3:$AE$501,0))&amp;"","")</f>
        <v/>
      </c>
      <c r="I47" s="21" t="str">
        <f aca="false">IFERROR(INDEX(종합!I$3:I$501,MATCH(ROW()-2,종합!$AE$3:$AE$501,0))&amp;"","")</f>
        <v/>
      </c>
      <c r="J47" s="21" t="str">
        <f aca="false">IFERROR(INDEX(종합!J$3:J$501,MATCH(ROW()-2,종합!$AE$3:$AE$501,0))&amp;"","")</f>
        <v/>
      </c>
      <c r="K47" s="21" t="str">
        <f aca="false">IFERROR(INDEX(종합!K$3:K$501,MATCH(ROW()-2,종합!$AE$3:$AE$501,0))&amp;"","")</f>
        <v/>
      </c>
      <c r="L47" s="21" t="str">
        <f aca="false">IFERROR(INDEX(종합!L$3:L$501,MATCH(ROW()-2,종합!$AE$3:$AE$501,0))&amp;"","")</f>
        <v/>
      </c>
      <c r="M47" s="21" t="str">
        <f aca="false">IFERROR(INDEX(종합!M$3:M$501,MATCH(ROW()-2,종합!$AE$3:$AE$501,0))&amp;"","")</f>
        <v/>
      </c>
      <c r="N47" s="25" t="str">
        <f aca="false">IFERROR(INDEX(종합!N$3:N$501,MATCH(ROW()-2,종합!$AE$3:$AE$501,0))&amp;"","")</f>
        <v/>
      </c>
      <c r="O47" s="21" t="str">
        <f aca="false">IFERROR(INDEX(종합!O$3:O$501,MATCH(ROW()-2,종합!$AE$3:$AE$501,0))&amp;"","")</f>
        <v/>
      </c>
      <c r="P47" s="21" t="str">
        <f aca="false">IFERROR(INDEX(종합!P$3:P$501,MATCH(ROW()-2,종합!$AE$3:$AE$501,0))&amp;"","")</f>
        <v/>
      </c>
      <c r="Q47" s="21" t="str">
        <f aca="false">IFERROR(INDEX(종합!Q$3:Q$501,MATCH(ROW()-2,종합!$AE$3:$AE$501,0))&amp;"","")</f>
        <v/>
      </c>
      <c r="R47" s="21" t="str">
        <f aca="false">IFERROR(INDEX(종합!R$3:R$501,MATCH(ROW()-2,종합!$AE$3:$AE$501,0))&amp;"","")</f>
        <v/>
      </c>
      <c r="S47" s="21" t="str">
        <f aca="false">IFERROR(INDEX(종합!S$3:S$501,MATCH(ROW()-2,종합!$AE$3:$AE$501,0))&amp;"","")</f>
        <v/>
      </c>
      <c r="T47" s="21" t="str">
        <f aca="false">IFERROR(INDEX(종합!T$3:T$501,MATCH(ROW()-2,종합!$AE$3:$AE$501,0))&amp;"","")</f>
        <v/>
      </c>
      <c r="U47" s="21" t="str">
        <f aca="false">IFERROR(INDEX(종합!U$3:U$501,MATCH(ROW()-2,종합!$AE$3:$AE$501,0))&amp;"","")</f>
        <v/>
      </c>
      <c r="V47" s="21" t="str">
        <f aca="false">IFERROR(INDEX(종합!V$3:V$501,MATCH(ROW()-2,종합!$AE$3:$AE$501,0))&amp;"","")</f>
        <v/>
      </c>
      <c r="W47" s="21" t="str">
        <f aca="false">IFERROR(INDEX(종합!W$3:W$501,MATCH(ROW()-2,종합!$AE$3:$AE$501,0))&amp;"","")</f>
        <v/>
      </c>
      <c r="X47" s="21" t="str">
        <f aca="false">IFERROR(INDEX(종합!X$3:X$501,MATCH(ROW()-2,종합!$AE$3:$AE$501,0))&amp;"","")</f>
        <v/>
      </c>
      <c r="Y47" s="21" t="str">
        <f aca="false">IFERROR(INDEX(종합!Y$3:Y$501,MATCH(ROW()-2,종합!$AE$3:$AE$501,0))&amp;"","")</f>
        <v/>
      </c>
      <c r="Z47" s="21" t="str">
        <f aca="false">IFERROR(INDEX(종합!Z$3:Z$501,MATCH(ROW()-2,종합!$AE$3:$AE$501,0))&amp;"","")</f>
        <v/>
      </c>
    </row>
    <row r="48" customFormat="false" ht="16.5" hidden="false" customHeight="true" outlineLevel="0" collapsed="false">
      <c r="A48" s="18" t="str">
        <f aca="false">IF(B48="","",ROW()-2)</f>
        <v/>
      </c>
      <c r="B48" s="18" t="str">
        <f aca="false">IFERROR(INDEX(종합!B$3:B$501,MATCH(ROW()-2,종합!$AE$3:$AE$501,0))&amp;"","")</f>
        <v/>
      </c>
      <c r="C48" s="18" t="str">
        <f aca="false">IFERROR(INDEX(종합!C$3:C$501,MATCH(ROW()-2,종합!$AE$3:$AE$501,0))&amp;"","")</f>
        <v/>
      </c>
      <c r="D48" s="18" t="str">
        <f aca="false">IFERROR(INDEX(종합!D$3:D$501,MATCH(ROW()-2,종합!$AE$3:$AE$501,0))&amp;"","")</f>
        <v/>
      </c>
      <c r="E48" s="18" t="str">
        <f aca="false">IFERROR(INDEX(종합!E$3:E$501,MATCH(ROW()-2,종합!$AE$3:$AE$501,0))&amp;"","")</f>
        <v/>
      </c>
      <c r="F48" s="18" t="str">
        <f aca="false">IFERROR(INDEX(종합!F$3:F$501,MATCH(ROW()-2,종합!$AE$3:$AE$501,0))&amp;"","")</f>
        <v/>
      </c>
      <c r="G48" s="18" t="str">
        <f aca="false">IFERROR(INDEX(종합!G$3:G$501,MATCH(ROW()-2,종합!$AE$3:$AE$501,0))&amp;"","")</f>
        <v/>
      </c>
      <c r="H48" s="21" t="str">
        <f aca="false">IFERROR(INDEX(종합!H$3:H$501,MATCH(ROW()-2,종합!$AE$3:$AE$501,0))&amp;"","")</f>
        <v/>
      </c>
      <c r="I48" s="21" t="str">
        <f aca="false">IFERROR(INDEX(종합!I$3:I$501,MATCH(ROW()-2,종합!$AE$3:$AE$501,0))&amp;"","")</f>
        <v/>
      </c>
      <c r="J48" s="21" t="str">
        <f aca="false">IFERROR(INDEX(종합!J$3:J$501,MATCH(ROW()-2,종합!$AE$3:$AE$501,0))&amp;"","")</f>
        <v/>
      </c>
      <c r="K48" s="21" t="str">
        <f aca="false">IFERROR(INDEX(종합!K$3:K$501,MATCH(ROW()-2,종합!$AE$3:$AE$501,0))&amp;"","")</f>
        <v/>
      </c>
      <c r="L48" s="21" t="str">
        <f aca="false">IFERROR(INDEX(종합!L$3:L$501,MATCH(ROW()-2,종합!$AE$3:$AE$501,0))&amp;"","")</f>
        <v/>
      </c>
      <c r="M48" s="21" t="str">
        <f aca="false">IFERROR(INDEX(종합!M$3:M$501,MATCH(ROW()-2,종합!$AE$3:$AE$501,0))&amp;"","")</f>
        <v/>
      </c>
      <c r="N48" s="25" t="str">
        <f aca="false">IFERROR(INDEX(종합!N$3:N$501,MATCH(ROW()-2,종합!$AE$3:$AE$501,0))&amp;"","")</f>
        <v/>
      </c>
      <c r="O48" s="21" t="str">
        <f aca="false">IFERROR(INDEX(종합!O$3:O$501,MATCH(ROW()-2,종합!$AE$3:$AE$501,0))&amp;"","")</f>
        <v/>
      </c>
      <c r="P48" s="21" t="str">
        <f aca="false">IFERROR(INDEX(종합!P$3:P$501,MATCH(ROW()-2,종합!$AE$3:$AE$501,0))&amp;"","")</f>
        <v/>
      </c>
      <c r="Q48" s="21" t="str">
        <f aca="false">IFERROR(INDEX(종합!Q$3:Q$501,MATCH(ROW()-2,종합!$AE$3:$AE$501,0))&amp;"","")</f>
        <v/>
      </c>
      <c r="R48" s="21" t="str">
        <f aca="false">IFERROR(INDEX(종합!R$3:R$501,MATCH(ROW()-2,종합!$AE$3:$AE$501,0))&amp;"","")</f>
        <v/>
      </c>
      <c r="S48" s="21" t="str">
        <f aca="false">IFERROR(INDEX(종합!S$3:S$501,MATCH(ROW()-2,종합!$AE$3:$AE$501,0))&amp;"","")</f>
        <v/>
      </c>
      <c r="T48" s="21" t="str">
        <f aca="false">IFERROR(INDEX(종합!T$3:T$501,MATCH(ROW()-2,종합!$AE$3:$AE$501,0))&amp;"","")</f>
        <v/>
      </c>
      <c r="U48" s="21" t="str">
        <f aca="false">IFERROR(INDEX(종합!U$3:U$501,MATCH(ROW()-2,종합!$AE$3:$AE$501,0))&amp;"","")</f>
        <v/>
      </c>
      <c r="V48" s="21" t="str">
        <f aca="false">IFERROR(INDEX(종합!V$3:V$501,MATCH(ROW()-2,종합!$AE$3:$AE$501,0))&amp;"","")</f>
        <v/>
      </c>
      <c r="W48" s="21" t="str">
        <f aca="false">IFERROR(INDEX(종합!W$3:W$501,MATCH(ROW()-2,종합!$AE$3:$AE$501,0))&amp;"","")</f>
        <v/>
      </c>
      <c r="X48" s="21" t="str">
        <f aca="false">IFERROR(INDEX(종합!X$3:X$501,MATCH(ROW()-2,종합!$AE$3:$AE$501,0))&amp;"","")</f>
        <v/>
      </c>
      <c r="Y48" s="21" t="str">
        <f aca="false">IFERROR(INDEX(종합!Y$3:Y$501,MATCH(ROW()-2,종합!$AE$3:$AE$501,0))&amp;"","")</f>
        <v/>
      </c>
      <c r="Z48" s="21" t="str">
        <f aca="false">IFERROR(INDEX(종합!Z$3:Z$501,MATCH(ROW()-2,종합!$AE$3:$AE$501,0))&amp;"","")</f>
        <v/>
      </c>
    </row>
    <row r="49" customFormat="false" ht="16.5" hidden="false" customHeight="true" outlineLevel="0" collapsed="false">
      <c r="A49" s="18" t="str">
        <f aca="false">IF(B49="","",ROW()-2)</f>
        <v/>
      </c>
      <c r="B49" s="18" t="str">
        <f aca="false">IFERROR(INDEX(종합!B$3:B$501,MATCH(ROW()-2,종합!$AE$3:$AE$501,0))&amp;"","")</f>
        <v/>
      </c>
      <c r="C49" s="18" t="str">
        <f aca="false">IFERROR(INDEX(종합!C$3:C$501,MATCH(ROW()-2,종합!$AE$3:$AE$501,0))&amp;"","")</f>
        <v/>
      </c>
      <c r="D49" s="18" t="str">
        <f aca="false">IFERROR(INDEX(종합!D$3:D$501,MATCH(ROW()-2,종합!$AE$3:$AE$501,0))&amp;"","")</f>
        <v/>
      </c>
      <c r="E49" s="18" t="str">
        <f aca="false">IFERROR(INDEX(종합!E$3:E$501,MATCH(ROW()-2,종합!$AE$3:$AE$501,0))&amp;"","")</f>
        <v/>
      </c>
      <c r="F49" s="18" t="str">
        <f aca="false">IFERROR(INDEX(종합!F$3:F$501,MATCH(ROW()-2,종합!$AE$3:$AE$501,0))&amp;"","")</f>
        <v/>
      </c>
      <c r="G49" s="18" t="str">
        <f aca="false">IFERROR(INDEX(종합!G$3:G$501,MATCH(ROW()-2,종합!$AE$3:$AE$501,0))&amp;"","")</f>
        <v/>
      </c>
      <c r="H49" s="21" t="str">
        <f aca="false">IFERROR(INDEX(종합!H$3:H$501,MATCH(ROW()-2,종합!$AE$3:$AE$501,0))&amp;"","")</f>
        <v/>
      </c>
      <c r="I49" s="21" t="str">
        <f aca="false">IFERROR(INDEX(종합!I$3:I$501,MATCH(ROW()-2,종합!$AE$3:$AE$501,0))&amp;"","")</f>
        <v/>
      </c>
      <c r="J49" s="21" t="str">
        <f aca="false">IFERROR(INDEX(종합!J$3:J$501,MATCH(ROW()-2,종합!$AE$3:$AE$501,0))&amp;"","")</f>
        <v/>
      </c>
      <c r="K49" s="21" t="str">
        <f aca="false">IFERROR(INDEX(종합!K$3:K$501,MATCH(ROW()-2,종합!$AE$3:$AE$501,0))&amp;"","")</f>
        <v/>
      </c>
      <c r="L49" s="21" t="str">
        <f aca="false">IFERROR(INDEX(종합!L$3:L$501,MATCH(ROW()-2,종합!$AE$3:$AE$501,0))&amp;"","")</f>
        <v/>
      </c>
      <c r="M49" s="21" t="str">
        <f aca="false">IFERROR(INDEX(종합!M$3:M$501,MATCH(ROW()-2,종합!$AE$3:$AE$501,0))&amp;"","")</f>
        <v/>
      </c>
      <c r="N49" s="25" t="str">
        <f aca="false">IFERROR(INDEX(종합!N$3:N$501,MATCH(ROW()-2,종합!$AE$3:$AE$501,0))&amp;"","")</f>
        <v/>
      </c>
      <c r="O49" s="21" t="str">
        <f aca="false">IFERROR(INDEX(종합!O$3:O$501,MATCH(ROW()-2,종합!$AE$3:$AE$501,0))&amp;"","")</f>
        <v/>
      </c>
      <c r="P49" s="21" t="str">
        <f aca="false">IFERROR(INDEX(종합!P$3:P$501,MATCH(ROW()-2,종합!$AE$3:$AE$501,0))&amp;"","")</f>
        <v/>
      </c>
      <c r="Q49" s="21" t="str">
        <f aca="false">IFERROR(INDEX(종합!Q$3:Q$501,MATCH(ROW()-2,종합!$AE$3:$AE$501,0))&amp;"","")</f>
        <v/>
      </c>
      <c r="R49" s="21" t="str">
        <f aca="false">IFERROR(INDEX(종합!R$3:R$501,MATCH(ROW()-2,종합!$AE$3:$AE$501,0))&amp;"","")</f>
        <v/>
      </c>
      <c r="S49" s="21" t="str">
        <f aca="false">IFERROR(INDEX(종합!S$3:S$501,MATCH(ROW()-2,종합!$AE$3:$AE$501,0))&amp;"","")</f>
        <v/>
      </c>
      <c r="T49" s="21" t="str">
        <f aca="false">IFERROR(INDEX(종합!T$3:T$501,MATCH(ROW()-2,종합!$AE$3:$AE$501,0))&amp;"","")</f>
        <v/>
      </c>
      <c r="U49" s="21" t="str">
        <f aca="false">IFERROR(INDEX(종합!U$3:U$501,MATCH(ROW()-2,종합!$AE$3:$AE$501,0))&amp;"","")</f>
        <v/>
      </c>
      <c r="V49" s="21" t="str">
        <f aca="false">IFERROR(INDEX(종합!V$3:V$501,MATCH(ROW()-2,종합!$AE$3:$AE$501,0))&amp;"","")</f>
        <v/>
      </c>
      <c r="W49" s="21" t="str">
        <f aca="false">IFERROR(INDEX(종합!W$3:W$501,MATCH(ROW()-2,종합!$AE$3:$AE$501,0))&amp;"","")</f>
        <v/>
      </c>
      <c r="X49" s="21" t="str">
        <f aca="false">IFERROR(INDEX(종합!X$3:X$501,MATCH(ROW()-2,종합!$AE$3:$AE$501,0))&amp;"","")</f>
        <v/>
      </c>
      <c r="Y49" s="21" t="str">
        <f aca="false">IFERROR(INDEX(종합!Y$3:Y$501,MATCH(ROW()-2,종합!$AE$3:$AE$501,0))&amp;"","")</f>
        <v/>
      </c>
      <c r="Z49" s="21" t="str">
        <f aca="false">IFERROR(INDEX(종합!Z$3:Z$501,MATCH(ROW()-2,종합!$AE$3:$AE$501,0))&amp;"","")</f>
        <v/>
      </c>
    </row>
    <row r="50" customFormat="false" ht="16.5" hidden="false" customHeight="true" outlineLevel="0" collapsed="false">
      <c r="A50" s="18" t="str">
        <f aca="false">IF(B50="","",ROW()-2)</f>
        <v/>
      </c>
      <c r="B50" s="18" t="str">
        <f aca="false">IFERROR(INDEX(종합!B$3:B$501,MATCH(ROW()-2,종합!$AE$3:$AE$501,0))&amp;"","")</f>
        <v/>
      </c>
      <c r="C50" s="18" t="str">
        <f aca="false">IFERROR(INDEX(종합!C$3:C$501,MATCH(ROW()-2,종합!$AE$3:$AE$501,0))&amp;"","")</f>
        <v/>
      </c>
      <c r="D50" s="18" t="str">
        <f aca="false">IFERROR(INDEX(종합!D$3:D$501,MATCH(ROW()-2,종합!$AE$3:$AE$501,0))&amp;"","")</f>
        <v/>
      </c>
      <c r="E50" s="18" t="str">
        <f aca="false">IFERROR(INDEX(종합!E$3:E$501,MATCH(ROW()-2,종합!$AE$3:$AE$501,0))&amp;"","")</f>
        <v/>
      </c>
      <c r="F50" s="18" t="str">
        <f aca="false">IFERROR(INDEX(종합!F$3:F$501,MATCH(ROW()-2,종합!$AE$3:$AE$501,0))&amp;"","")</f>
        <v/>
      </c>
      <c r="G50" s="18" t="str">
        <f aca="false">IFERROR(INDEX(종합!G$3:G$501,MATCH(ROW()-2,종합!$AE$3:$AE$501,0))&amp;"","")</f>
        <v/>
      </c>
      <c r="H50" s="21" t="str">
        <f aca="false">IFERROR(INDEX(종합!H$3:H$501,MATCH(ROW()-2,종합!$AE$3:$AE$501,0))&amp;"","")</f>
        <v/>
      </c>
      <c r="I50" s="21" t="str">
        <f aca="false">IFERROR(INDEX(종합!I$3:I$501,MATCH(ROW()-2,종합!$AE$3:$AE$501,0))&amp;"","")</f>
        <v/>
      </c>
      <c r="J50" s="21" t="str">
        <f aca="false">IFERROR(INDEX(종합!J$3:J$501,MATCH(ROW()-2,종합!$AE$3:$AE$501,0))&amp;"","")</f>
        <v/>
      </c>
      <c r="K50" s="21" t="str">
        <f aca="false">IFERROR(INDEX(종합!K$3:K$501,MATCH(ROW()-2,종합!$AE$3:$AE$501,0))&amp;"","")</f>
        <v/>
      </c>
      <c r="L50" s="21" t="str">
        <f aca="false">IFERROR(INDEX(종합!L$3:L$501,MATCH(ROW()-2,종합!$AE$3:$AE$501,0))&amp;"","")</f>
        <v/>
      </c>
      <c r="M50" s="21" t="str">
        <f aca="false">IFERROR(INDEX(종합!M$3:M$501,MATCH(ROW()-2,종합!$AE$3:$AE$501,0))&amp;"","")</f>
        <v/>
      </c>
      <c r="N50" s="25" t="str">
        <f aca="false">IFERROR(INDEX(종합!N$3:N$501,MATCH(ROW()-2,종합!$AE$3:$AE$501,0))&amp;"","")</f>
        <v/>
      </c>
      <c r="O50" s="21" t="str">
        <f aca="false">IFERROR(INDEX(종합!O$3:O$501,MATCH(ROW()-2,종합!$AE$3:$AE$501,0))&amp;"","")</f>
        <v/>
      </c>
      <c r="P50" s="21" t="str">
        <f aca="false">IFERROR(INDEX(종합!P$3:P$501,MATCH(ROW()-2,종합!$AE$3:$AE$501,0))&amp;"","")</f>
        <v/>
      </c>
      <c r="Q50" s="21" t="str">
        <f aca="false">IFERROR(INDEX(종합!Q$3:Q$501,MATCH(ROW()-2,종합!$AE$3:$AE$501,0))&amp;"","")</f>
        <v/>
      </c>
      <c r="R50" s="21" t="str">
        <f aca="false">IFERROR(INDEX(종합!R$3:R$501,MATCH(ROW()-2,종합!$AE$3:$AE$501,0))&amp;"","")</f>
        <v/>
      </c>
      <c r="S50" s="21" t="str">
        <f aca="false">IFERROR(INDEX(종합!S$3:S$501,MATCH(ROW()-2,종합!$AE$3:$AE$501,0))&amp;"","")</f>
        <v/>
      </c>
      <c r="T50" s="21" t="str">
        <f aca="false">IFERROR(INDEX(종합!T$3:T$501,MATCH(ROW()-2,종합!$AE$3:$AE$501,0))&amp;"","")</f>
        <v/>
      </c>
      <c r="U50" s="21" t="str">
        <f aca="false">IFERROR(INDEX(종합!U$3:U$501,MATCH(ROW()-2,종합!$AE$3:$AE$501,0))&amp;"","")</f>
        <v/>
      </c>
      <c r="V50" s="21" t="str">
        <f aca="false">IFERROR(INDEX(종합!V$3:V$501,MATCH(ROW()-2,종합!$AE$3:$AE$501,0))&amp;"","")</f>
        <v/>
      </c>
      <c r="W50" s="21" t="str">
        <f aca="false">IFERROR(INDEX(종합!W$3:W$501,MATCH(ROW()-2,종합!$AE$3:$AE$501,0))&amp;"","")</f>
        <v/>
      </c>
      <c r="X50" s="21" t="str">
        <f aca="false">IFERROR(INDEX(종합!X$3:X$501,MATCH(ROW()-2,종합!$AE$3:$AE$501,0))&amp;"","")</f>
        <v/>
      </c>
      <c r="Y50" s="21" t="str">
        <f aca="false">IFERROR(INDEX(종합!Y$3:Y$501,MATCH(ROW()-2,종합!$AE$3:$AE$501,0))&amp;"","")</f>
        <v/>
      </c>
      <c r="Z50" s="21" t="str">
        <f aca="false">IFERROR(INDEX(종합!Z$3:Z$501,MATCH(ROW()-2,종합!$AE$3:$AE$501,0))&amp;"","")</f>
        <v/>
      </c>
    </row>
    <row r="51" customFormat="false" ht="16.5" hidden="false" customHeight="true" outlineLevel="0" collapsed="false">
      <c r="A51" s="18" t="str">
        <f aca="false">IF(B51="","",ROW()-2)</f>
        <v/>
      </c>
      <c r="B51" s="18" t="str">
        <f aca="false">IFERROR(INDEX(종합!B$3:B$501,MATCH(ROW()-2,종합!$AE$3:$AE$501,0))&amp;"","")</f>
        <v/>
      </c>
      <c r="C51" s="18" t="str">
        <f aca="false">IFERROR(INDEX(종합!C$3:C$501,MATCH(ROW()-2,종합!$AE$3:$AE$501,0))&amp;"","")</f>
        <v/>
      </c>
      <c r="D51" s="18" t="str">
        <f aca="false">IFERROR(INDEX(종합!D$3:D$501,MATCH(ROW()-2,종합!$AE$3:$AE$501,0))&amp;"","")</f>
        <v/>
      </c>
      <c r="E51" s="18" t="str">
        <f aca="false">IFERROR(INDEX(종합!E$3:E$501,MATCH(ROW()-2,종합!$AE$3:$AE$501,0))&amp;"","")</f>
        <v/>
      </c>
      <c r="F51" s="18" t="str">
        <f aca="false">IFERROR(INDEX(종합!F$3:F$501,MATCH(ROW()-2,종합!$AE$3:$AE$501,0))&amp;"","")</f>
        <v/>
      </c>
      <c r="G51" s="18" t="str">
        <f aca="false">IFERROR(INDEX(종합!G$3:G$501,MATCH(ROW()-2,종합!$AE$3:$AE$501,0))&amp;"","")</f>
        <v/>
      </c>
      <c r="H51" s="21" t="str">
        <f aca="false">IFERROR(INDEX(종합!H$3:H$501,MATCH(ROW()-2,종합!$AE$3:$AE$501,0))&amp;"","")</f>
        <v/>
      </c>
      <c r="I51" s="21" t="str">
        <f aca="false">IFERROR(INDEX(종합!I$3:I$501,MATCH(ROW()-2,종합!$AE$3:$AE$501,0))&amp;"","")</f>
        <v/>
      </c>
      <c r="J51" s="21" t="str">
        <f aca="false">IFERROR(INDEX(종합!J$3:J$501,MATCH(ROW()-2,종합!$AE$3:$AE$501,0))&amp;"","")</f>
        <v/>
      </c>
      <c r="K51" s="21" t="str">
        <f aca="false">IFERROR(INDEX(종합!K$3:K$501,MATCH(ROW()-2,종합!$AE$3:$AE$501,0))&amp;"","")</f>
        <v/>
      </c>
      <c r="L51" s="21" t="str">
        <f aca="false">IFERROR(INDEX(종합!L$3:L$501,MATCH(ROW()-2,종합!$AE$3:$AE$501,0))&amp;"","")</f>
        <v/>
      </c>
      <c r="M51" s="21" t="str">
        <f aca="false">IFERROR(INDEX(종합!M$3:M$501,MATCH(ROW()-2,종합!$AE$3:$AE$501,0))&amp;"","")</f>
        <v/>
      </c>
      <c r="N51" s="25" t="str">
        <f aca="false">IFERROR(INDEX(종합!N$3:N$501,MATCH(ROW()-2,종합!$AE$3:$AE$501,0))&amp;"","")</f>
        <v/>
      </c>
      <c r="O51" s="21" t="str">
        <f aca="false">IFERROR(INDEX(종합!O$3:O$501,MATCH(ROW()-2,종합!$AE$3:$AE$501,0))&amp;"","")</f>
        <v/>
      </c>
      <c r="P51" s="21" t="str">
        <f aca="false">IFERROR(INDEX(종합!P$3:P$501,MATCH(ROW()-2,종합!$AE$3:$AE$501,0))&amp;"","")</f>
        <v/>
      </c>
      <c r="Q51" s="21" t="str">
        <f aca="false">IFERROR(INDEX(종합!Q$3:Q$501,MATCH(ROW()-2,종합!$AE$3:$AE$501,0))&amp;"","")</f>
        <v/>
      </c>
      <c r="R51" s="21" t="str">
        <f aca="false">IFERROR(INDEX(종합!R$3:R$501,MATCH(ROW()-2,종합!$AE$3:$AE$501,0))&amp;"","")</f>
        <v/>
      </c>
      <c r="S51" s="21" t="str">
        <f aca="false">IFERROR(INDEX(종합!S$3:S$501,MATCH(ROW()-2,종합!$AE$3:$AE$501,0))&amp;"","")</f>
        <v/>
      </c>
      <c r="T51" s="21" t="str">
        <f aca="false">IFERROR(INDEX(종합!T$3:T$501,MATCH(ROW()-2,종합!$AE$3:$AE$501,0))&amp;"","")</f>
        <v/>
      </c>
      <c r="U51" s="21" t="str">
        <f aca="false">IFERROR(INDEX(종합!U$3:U$501,MATCH(ROW()-2,종합!$AE$3:$AE$501,0))&amp;"","")</f>
        <v/>
      </c>
      <c r="V51" s="21" t="str">
        <f aca="false">IFERROR(INDEX(종합!V$3:V$501,MATCH(ROW()-2,종합!$AE$3:$AE$501,0))&amp;"","")</f>
        <v/>
      </c>
      <c r="W51" s="21" t="str">
        <f aca="false">IFERROR(INDEX(종합!W$3:W$501,MATCH(ROW()-2,종합!$AE$3:$AE$501,0))&amp;"","")</f>
        <v/>
      </c>
      <c r="X51" s="21" t="str">
        <f aca="false">IFERROR(INDEX(종합!X$3:X$501,MATCH(ROW()-2,종합!$AE$3:$AE$501,0))&amp;"","")</f>
        <v/>
      </c>
      <c r="Y51" s="21" t="str">
        <f aca="false">IFERROR(INDEX(종합!Y$3:Y$501,MATCH(ROW()-2,종합!$AE$3:$AE$501,0))&amp;"","")</f>
        <v/>
      </c>
      <c r="Z51" s="21" t="str">
        <f aca="false">IFERROR(INDEX(종합!Z$3:Z$501,MATCH(ROW()-2,종합!$AE$3:$AE$501,0))&amp;"","")</f>
        <v/>
      </c>
    </row>
    <row r="52" customFormat="false" ht="16.5" hidden="false" customHeight="true" outlineLevel="0" collapsed="false">
      <c r="A52" s="18" t="str">
        <f aca="false">IF(B52="","",ROW()-2)</f>
        <v/>
      </c>
      <c r="B52" s="18" t="str">
        <f aca="false">IFERROR(INDEX(종합!B$3:B$501,MATCH(ROW()-2,종합!$AE$3:$AE$501,0))&amp;"","")</f>
        <v/>
      </c>
      <c r="C52" s="18" t="str">
        <f aca="false">IFERROR(INDEX(종합!C$3:C$501,MATCH(ROW()-2,종합!$AE$3:$AE$501,0))&amp;"","")</f>
        <v/>
      </c>
      <c r="D52" s="18" t="str">
        <f aca="false">IFERROR(INDEX(종합!D$3:D$501,MATCH(ROW()-2,종합!$AE$3:$AE$501,0))&amp;"","")</f>
        <v/>
      </c>
      <c r="E52" s="18" t="str">
        <f aca="false">IFERROR(INDEX(종합!E$3:E$501,MATCH(ROW()-2,종합!$AE$3:$AE$501,0))&amp;"","")</f>
        <v/>
      </c>
      <c r="F52" s="18" t="str">
        <f aca="false">IFERROR(INDEX(종합!F$3:F$501,MATCH(ROW()-2,종합!$AE$3:$AE$501,0))&amp;"","")</f>
        <v/>
      </c>
      <c r="G52" s="18" t="str">
        <f aca="false">IFERROR(INDEX(종합!G$3:G$501,MATCH(ROW()-2,종합!$AE$3:$AE$501,0))&amp;"","")</f>
        <v/>
      </c>
      <c r="H52" s="21" t="str">
        <f aca="false">IFERROR(INDEX(종합!H$3:H$501,MATCH(ROW()-2,종합!$AE$3:$AE$501,0))&amp;"","")</f>
        <v/>
      </c>
      <c r="I52" s="21" t="str">
        <f aca="false">IFERROR(INDEX(종합!I$3:I$501,MATCH(ROW()-2,종합!$AE$3:$AE$501,0))&amp;"","")</f>
        <v/>
      </c>
      <c r="J52" s="21" t="str">
        <f aca="false">IFERROR(INDEX(종합!J$3:J$501,MATCH(ROW()-2,종합!$AE$3:$AE$501,0))&amp;"","")</f>
        <v/>
      </c>
      <c r="K52" s="21" t="str">
        <f aca="false">IFERROR(INDEX(종합!K$3:K$501,MATCH(ROW()-2,종합!$AE$3:$AE$501,0))&amp;"","")</f>
        <v/>
      </c>
      <c r="L52" s="21" t="str">
        <f aca="false">IFERROR(INDEX(종합!L$3:L$501,MATCH(ROW()-2,종합!$AE$3:$AE$501,0))&amp;"","")</f>
        <v/>
      </c>
      <c r="M52" s="21" t="str">
        <f aca="false">IFERROR(INDEX(종합!M$3:M$501,MATCH(ROW()-2,종합!$AE$3:$AE$501,0))&amp;"","")</f>
        <v/>
      </c>
      <c r="N52" s="25" t="str">
        <f aca="false">IFERROR(INDEX(종합!N$3:N$501,MATCH(ROW()-2,종합!$AE$3:$AE$501,0))&amp;"","")</f>
        <v/>
      </c>
      <c r="O52" s="21" t="str">
        <f aca="false">IFERROR(INDEX(종합!O$3:O$501,MATCH(ROW()-2,종합!$AE$3:$AE$501,0))&amp;"","")</f>
        <v/>
      </c>
      <c r="P52" s="21" t="str">
        <f aca="false">IFERROR(INDEX(종합!P$3:P$501,MATCH(ROW()-2,종합!$AE$3:$AE$501,0))&amp;"","")</f>
        <v/>
      </c>
      <c r="Q52" s="21" t="str">
        <f aca="false">IFERROR(INDEX(종합!Q$3:Q$501,MATCH(ROW()-2,종합!$AE$3:$AE$501,0))&amp;"","")</f>
        <v/>
      </c>
      <c r="R52" s="21" t="str">
        <f aca="false">IFERROR(INDEX(종합!R$3:R$501,MATCH(ROW()-2,종합!$AE$3:$AE$501,0))&amp;"","")</f>
        <v/>
      </c>
      <c r="S52" s="21" t="str">
        <f aca="false">IFERROR(INDEX(종합!S$3:S$501,MATCH(ROW()-2,종합!$AE$3:$AE$501,0))&amp;"","")</f>
        <v/>
      </c>
      <c r="T52" s="21" t="str">
        <f aca="false">IFERROR(INDEX(종합!T$3:T$501,MATCH(ROW()-2,종합!$AE$3:$AE$501,0))&amp;"","")</f>
        <v/>
      </c>
      <c r="U52" s="21" t="str">
        <f aca="false">IFERROR(INDEX(종합!U$3:U$501,MATCH(ROW()-2,종합!$AE$3:$AE$501,0))&amp;"","")</f>
        <v/>
      </c>
      <c r="V52" s="21" t="str">
        <f aca="false">IFERROR(INDEX(종합!V$3:V$501,MATCH(ROW()-2,종합!$AE$3:$AE$501,0))&amp;"","")</f>
        <v/>
      </c>
      <c r="W52" s="21" t="str">
        <f aca="false">IFERROR(INDEX(종합!W$3:W$501,MATCH(ROW()-2,종합!$AE$3:$AE$501,0))&amp;"","")</f>
        <v/>
      </c>
      <c r="X52" s="21" t="str">
        <f aca="false">IFERROR(INDEX(종합!X$3:X$501,MATCH(ROW()-2,종합!$AE$3:$AE$501,0))&amp;"","")</f>
        <v/>
      </c>
      <c r="Y52" s="21" t="str">
        <f aca="false">IFERROR(INDEX(종합!Y$3:Y$501,MATCH(ROW()-2,종합!$AE$3:$AE$501,0))&amp;"","")</f>
        <v/>
      </c>
      <c r="Z52" s="21" t="str">
        <f aca="false">IFERROR(INDEX(종합!Z$3:Z$501,MATCH(ROW()-2,종합!$AE$3:$AE$501,0))&amp;"","")</f>
        <v/>
      </c>
    </row>
    <row r="53" customFormat="false" ht="16.5" hidden="false" customHeight="true" outlineLevel="0" collapsed="false">
      <c r="A53" s="18" t="str">
        <f aca="false">IF(B53="","",ROW()-2)</f>
        <v/>
      </c>
      <c r="B53" s="18" t="str">
        <f aca="false">IFERROR(INDEX(종합!B$3:B$501,MATCH(ROW()-2,종합!$AE$3:$AE$501,0))&amp;"","")</f>
        <v/>
      </c>
      <c r="C53" s="18" t="str">
        <f aca="false">IFERROR(INDEX(종합!C$3:C$501,MATCH(ROW()-2,종합!$AE$3:$AE$501,0))&amp;"","")</f>
        <v/>
      </c>
      <c r="D53" s="18" t="str">
        <f aca="false">IFERROR(INDEX(종합!D$3:D$501,MATCH(ROW()-2,종합!$AE$3:$AE$501,0))&amp;"","")</f>
        <v/>
      </c>
      <c r="E53" s="18" t="str">
        <f aca="false">IFERROR(INDEX(종합!E$3:E$501,MATCH(ROW()-2,종합!$AE$3:$AE$501,0))&amp;"","")</f>
        <v/>
      </c>
      <c r="F53" s="18" t="str">
        <f aca="false">IFERROR(INDEX(종합!F$3:F$501,MATCH(ROW()-2,종합!$AE$3:$AE$501,0))&amp;"","")</f>
        <v/>
      </c>
      <c r="G53" s="18" t="str">
        <f aca="false">IFERROR(INDEX(종합!G$3:G$501,MATCH(ROW()-2,종합!$AE$3:$AE$501,0))&amp;"","")</f>
        <v/>
      </c>
      <c r="H53" s="21" t="str">
        <f aca="false">IFERROR(INDEX(종합!H$3:H$501,MATCH(ROW()-2,종합!$AE$3:$AE$501,0))&amp;"","")</f>
        <v/>
      </c>
      <c r="I53" s="21" t="str">
        <f aca="false">IFERROR(INDEX(종합!I$3:I$501,MATCH(ROW()-2,종합!$AE$3:$AE$501,0))&amp;"","")</f>
        <v/>
      </c>
      <c r="J53" s="21" t="str">
        <f aca="false">IFERROR(INDEX(종합!J$3:J$501,MATCH(ROW()-2,종합!$AE$3:$AE$501,0))&amp;"","")</f>
        <v/>
      </c>
      <c r="K53" s="21" t="str">
        <f aca="false">IFERROR(INDEX(종합!K$3:K$501,MATCH(ROW()-2,종합!$AE$3:$AE$501,0))&amp;"","")</f>
        <v/>
      </c>
      <c r="L53" s="21" t="str">
        <f aca="false">IFERROR(INDEX(종합!L$3:L$501,MATCH(ROW()-2,종합!$AE$3:$AE$501,0))&amp;"","")</f>
        <v/>
      </c>
      <c r="M53" s="21" t="str">
        <f aca="false">IFERROR(INDEX(종합!M$3:M$501,MATCH(ROW()-2,종합!$AE$3:$AE$501,0))&amp;"","")</f>
        <v/>
      </c>
      <c r="N53" s="25" t="str">
        <f aca="false">IFERROR(INDEX(종합!N$3:N$501,MATCH(ROW()-2,종합!$AE$3:$AE$501,0))&amp;"","")</f>
        <v/>
      </c>
      <c r="O53" s="21" t="str">
        <f aca="false">IFERROR(INDEX(종합!O$3:O$501,MATCH(ROW()-2,종합!$AE$3:$AE$501,0))&amp;"","")</f>
        <v/>
      </c>
      <c r="P53" s="21" t="str">
        <f aca="false">IFERROR(INDEX(종합!P$3:P$501,MATCH(ROW()-2,종합!$AE$3:$AE$501,0))&amp;"","")</f>
        <v/>
      </c>
      <c r="Q53" s="21" t="str">
        <f aca="false">IFERROR(INDEX(종합!Q$3:Q$501,MATCH(ROW()-2,종합!$AE$3:$AE$501,0))&amp;"","")</f>
        <v/>
      </c>
      <c r="R53" s="21" t="str">
        <f aca="false">IFERROR(INDEX(종합!R$3:R$501,MATCH(ROW()-2,종합!$AE$3:$AE$501,0))&amp;"","")</f>
        <v/>
      </c>
      <c r="S53" s="21" t="str">
        <f aca="false">IFERROR(INDEX(종합!S$3:S$501,MATCH(ROW()-2,종합!$AE$3:$AE$501,0))&amp;"","")</f>
        <v/>
      </c>
      <c r="T53" s="21" t="str">
        <f aca="false">IFERROR(INDEX(종합!T$3:T$501,MATCH(ROW()-2,종합!$AE$3:$AE$501,0))&amp;"","")</f>
        <v/>
      </c>
      <c r="U53" s="21" t="str">
        <f aca="false">IFERROR(INDEX(종합!U$3:U$501,MATCH(ROW()-2,종합!$AE$3:$AE$501,0))&amp;"","")</f>
        <v/>
      </c>
      <c r="V53" s="21" t="str">
        <f aca="false">IFERROR(INDEX(종합!V$3:V$501,MATCH(ROW()-2,종합!$AE$3:$AE$501,0))&amp;"","")</f>
        <v/>
      </c>
      <c r="W53" s="21" t="str">
        <f aca="false">IFERROR(INDEX(종합!W$3:W$501,MATCH(ROW()-2,종합!$AE$3:$AE$501,0))&amp;"","")</f>
        <v/>
      </c>
      <c r="X53" s="21" t="str">
        <f aca="false">IFERROR(INDEX(종합!X$3:X$501,MATCH(ROW()-2,종합!$AE$3:$AE$501,0))&amp;"","")</f>
        <v/>
      </c>
      <c r="Y53" s="21" t="str">
        <f aca="false">IFERROR(INDEX(종합!Y$3:Y$501,MATCH(ROW()-2,종합!$AE$3:$AE$501,0))&amp;"","")</f>
        <v/>
      </c>
      <c r="Z53" s="21" t="str">
        <f aca="false">IFERROR(INDEX(종합!Z$3:Z$501,MATCH(ROW()-2,종합!$AE$3:$AE$501,0))&amp;"","")</f>
        <v/>
      </c>
    </row>
    <row r="54" customFormat="false" ht="16.5" hidden="false" customHeight="true" outlineLevel="0" collapsed="false">
      <c r="A54" s="18" t="str">
        <f aca="false">IF(B54="","",ROW()-2)</f>
        <v/>
      </c>
      <c r="B54" s="18" t="str">
        <f aca="false">IFERROR(INDEX(종합!B$3:B$501,MATCH(ROW()-2,종합!$AE$3:$AE$501,0))&amp;"","")</f>
        <v/>
      </c>
      <c r="C54" s="18" t="str">
        <f aca="false">IFERROR(INDEX(종합!C$3:C$501,MATCH(ROW()-2,종합!$AE$3:$AE$501,0))&amp;"","")</f>
        <v/>
      </c>
      <c r="D54" s="18" t="str">
        <f aca="false">IFERROR(INDEX(종합!D$3:D$501,MATCH(ROW()-2,종합!$AE$3:$AE$501,0))&amp;"","")</f>
        <v/>
      </c>
      <c r="E54" s="18" t="str">
        <f aca="false">IFERROR(INDEX(종합!E$3:E$501,MATCH(ROW()-2,종합!$AE$3:$AE$501,0))&amp;"","")</f>
        <v/>
      </c>
      <c r="F54" s="18" t="str">
        <f aca="false">IFERROR(INDEX(종합!F$3:F$501,MATCH(ROW()-2,종합!$AE$3:$AE$501,0))&amp;"","")</f>
        <v/>
      </c>
      <c r="G54" s="18" t="str">
        <f aca="false">IFERROR(INDEX(종합!G$3:G$501,MATCH(ROW()-2,종합!$AE$3:$AE$501,0))&amp;"","")</f>
        <v/>
      </c>
      <c r="H54" s="21" t="str">
        <f aca="false">IFERROR(INDEX(종합!H$3:H$501,MATCH(ROW()-2,종합!$AE$3:$AE$501,0))&amp;"","")</f>
        <v/>
      </c>
      <c r="I54" s="21" t="str">
        <f aca="false">IFERROR(INDEX(종합!I$3:I$501,MATCH(ROW()-2,종합!$AE$3:$AE$501,0))&amp;"","")</f>
        <v/>
      </c>
      <c r="J54" s="21" t="str">
        <f aca="false">IFERROR(INDEX(종합!J$3:J$501,MATCH(ROW()-2,종합!$AE$3:$AE$501,0))&amp;"","")</f>
        <v/>
      </c>
      <c r="K54" s="21" t="str">
        <f aca="false">IFERROR(INDEX(종합!K$3:K$501,MATCH(ROW()-2,종합!$AE$3:$AE$501,0))&amp;"","")</f>
        <v/>
      </c>
      <c r="L54" s="21" t="str">
        <f aca="false">IFERROR(INDEX(종합!L$3:L$501,MATCH(ROW()-2,종합!$AE$3:$AE$501,0))&amp;"","")</f>
        <v/>
      </c>
      <c r="M54" s="21" t="str">
        <f aca="false">IFERROR(INDEX(종합!M$3:M$501,MATCH(ROW()-2,종합!$AE$3:$AE$501,0))&amp;"","")</f>
        <v/>
      </c>
      <c r="N54" s="25" t="str">
        <f aca="false">IFERROR(INDEX(종합!N$3:N$501,MATCH(ROW()-2,종합!$AE$3:$AE$501,0))&amp;"","")</f>
        <v/>
      </c>
      <c r="O54" s="21" t="str">
        <f aca="false">IFERROR(INDEX(종합!O$3:O$501,MATCH(ROW()-2,종합!$AE$3:$AE$501,0))&amp;"","")</f>
        <v/>
      </c>
      <c r="P54" s="21" t="str">
        <f aca="false">IFERROR(INDEX(종합!P$3:P$501,MATCH(ROW()-2,종합!$AE$3:$AE$501,0))&amp;"","")</f>
        <v/>
      </c>
      <c r="Q54" s="21" t="str">
        <f aca="false">IFERROR(INDEX(종합!Q$3:Q$501,MATCH(ROW()-2,종합!$AE$3:$AE$501,0))&amp;"","")</f>
        <v/>
      </c>
      <c r="R54" s="21" t="str">
        <f aca="false">IFERROR(INDEX(종합!R$3:R$501,MATCH(ROW()-2,종합!$AE$3:$AE$501,0))&amp;"","")</f>
        <v/>
      </c>
      <c r="S54" s="21" t="str">
        <f aca="false">IFERROR(INDEX(종합!S$3:S$501,MATCH(ROW()-2,종합!$AE$3:$AE$501,0))&amp;"","")</f>
        <v/>
      </c>
      <c r="T54" s="21" t="str">
        <f aca="false">IFERROR(INDEX(종합!T$3:T$501,MATCH(ROW()-2,종합!$AE$3:$AE$501,0))&amp;"","")</f>
        <v/>
      </c>
      <c r="U54" s="21" t="str">
        <f aca="false">IFERROR(INDEX(종합!U$3:U$501,MATCH(ROW()-2,종합!$AE$3:$AE$501,0))&amp;"","")</f>
        <v/>
      </c>
      <c r="V54" s="21" t="str">
        <f aca="false">IFERROR(INDEX(종합!V$3:V$501,MATCH(ROW()-2,종합!$AE$3:$AE$501,0))&amp;"","")</f>
        <v/>
      </c>
      <c r="W54" s="21" t="str">
        <f aca="false">IFERROR(INDEX(종합!W$3:W$501,MATCH(ROW()-2,종합!$AE$3:$AE$501,0))&amp;"","")</f>
        <v/>
      </c>
      <c r="X54" s="21" t="str">
        <f aca="false">IFERROR(INDEX(종합!X$3:X$501,MATCH(ROW()-2,종합!$AE$3:$AE$501,0))&amp;"","")</f>
        <v/>
      </c>
      <c r="Y54" s="21" t="str">
        <f aca="false">IFERROR(INDEX(종합!Y$3:Y$501,MATCH(ROW()-2,종합!$AE$3:$AE$501,0))&amp;"","")</f>
        <v/>
      </c>
      <c r="Z54" s="21" t="str">
        <f aca="false">IFERROR(INDEX(종합!Z$3:Z$501,MATCH(ROW()-2,종합!$AE$3:$AE$501,0))&amp;"","")</f>
        <v/>
      </c>
    </row>
    <row r="55" customFormat="false" ht="16.5" hidden="false" customHeight="true" outlineLevel="0" collapsed="false">
      <c r="A55" s="18" t="str">
        <f aca="false">IF(B55="","",ROW()-2)</f>
        <v/>
      </c>
      <c r="B55" s="18" t="str">
        <f aca="false">IFERROR(INDEX(종합!B$3:B$501,MATCH(ROW()-2,종합!$AE$3:$AE$501,0))&amp;"","")</f>
        <v/>
      </c>
      <c r="C55" s="18" t="str">
        <f aca="false">IFERROR(INDEX(종합!C$3:C$501,MATCH(ROW()-2,종합!$AE$3:$AE$501,0))&amp;"","")</f>
        <v/>
      </c>
      <c r="D55" s="18" t="str">
        <f aca="false">IFERROR(INDEX(종합!D$3:D$501,MATCH(ROW()-2,종합!$AE$3:$AE$501,0))&amp;"","")</f>
        <v/>
      </c>
      <c r="E55" s="18" t="str">
        <f aca="false">IFERROR(INDEX(종합!E$3:E$501,MATCH(ROW()-2,종합!$AE$3:$AE$501,0))&amp;"","")</f>
        <v/>
      </c>
      <c r="F55" s="18" t="str">
        <f aca="false">IFERROR(INDEX(종합!F$3:F$501,MATCH(ROW()-2,종합!$AE$3:$AE$501,0))&amp;"","")</f>
        <v/>
      </c>
      <c r="G55" s="18" t="str">
        <f aca="false">IFERROR(INDEX(종합!G$3:G$501,MATCH(ROW()-2,종합!$AE$3:$AE$501,0))&amp;"","")</f>
        <v/>
      </c>
      <c r="H55" s="21" t="str">
        <f aca="false">IFERROR(INDEX(종합!H$3:H$501,MATCH(ROW()-2,종합!$AE$3:$AE$501,0))&amp;"","")</f>
        <v/>
      </c>
      <c r="I55" s="21" t="str">
        <f aca="false">IFERROR(INDEX(종합!I$3:I$501,MATCH(ROW()-2,종합!$AE$3:$AE$501,0))&amp;"","")</f>
        <v/>
      </c>
      <c r="J55" s="21" t="str">
        <f aca="false">IFERROR(INDEX(종합!J$3:J$501,MATCH(ROW()-2,종합!$AE$3:$AE$501,0))&amp;"","")</f>
        <v/>
      </c>
      <c r="K55" s="21" t="str">
        <f aca="false">IFERROR(INDEX(종합!K$3:K$501,MATCH(ROW()-2,종합!$AE$3:$AE$501,0))&amp;"","")</f>
        <v/>
      </c>
      <c r="L55" s="21" t="str">
        <f aca="false">IFERROR(INDEX(종합!L$3:L$501,MATCH(ROW()-2,종합!$AE$3:$AE$501,0))&amp;"","")</f>
        <v/>
      </c>
      <c r="M55" s="21" t="str">
        <f aca="false">IFERROR(INDEX(종합!M$3:M$501,MATCH(ROW()-2,종합!$AE$3:$AE$501,0))&amp;"","")</f>
        <v/>
      </c>
      <c r="N55" s="25" t="str">
        <f aca="false">IFERROR(INDEX(종합!N$3:N$501,MATCH(ROW()-2,종합!$AE$3:$AE$501,0))&amp;"","")</f>
        <v/>
      </c>
      <c r="O55" s="21" t="str">
        <f aca="false">IFERROR(INDEX(종합!O$3:O$501,MATCH(ROW()-2,종합!$AE$3:$AE$501,0))&amp;"","")</f>
        <v/>
      </c>
      <c r="P55" s="21" t="str">
        <f aca="false">IFERROR(INDEX(종합!P$3:P$501,MATCH(ROW()-2,종합!$AE$3:$AE$501,0))&amp;"","")</f>
        <v/>
      </c>
      <c r="Q55" s="21" t="str">
        <f aca="false">IFERROR(INDEX(종합!Q$3:Q$501,MATCH(ROW()-2,종합!$AE$3:$AE$501,0))&amp;"","")</f>
        <v/>
      </c>
      <c r="R55" s="21" t="str">
        <f aca="false">IFERROR(INDEX(종합!R$3:R$501,MATCH(ROW()-2,종합!$AE$3:$AE$501,0))&amp;"","")</f>
        <v/>
      </c>
      <c r="S55" s="21" t="str">
        <f aca="false">IFERROR(INDEX(종합!S$3:S$501,MATCH(ROW()-2,종합!$AE$3:$AE$501,0))&amp;"","")</f>
        <v/>
      </c>
      <c r="T55" s="21" t="str">
        <f aca="false">IFERROR(INDEX(종합!T$3:T$501,MATCH(ROW()-2,종합!$AE$3:$AE$501,0))&amp;"","")</f>
        <v/>
      </c>
      <c r="U55" s="21" t="str">
        <f aca="false">IFERROR(INDEX(종합!U$3:U$501,MATCH(ROW()-2,종합!$AE$3:$AE$501,0))&amp;"","")</f>
        <v/>
      </c>
      <c r="V55" s="21" t="str">
        <f aca="false">IFERROR(INDEX(종합!V$3:V$501,MATCH(ROW()-2,종합!$AE$3:$AE$501,0))&amp;"","")</f>
        <v/>
      </c>
      <c r="W55" s="21" t="str">
        <f aca="false">IFERROR(INDEX(종합!W$3:W$501,MATCH(ROW()-2,종합!$AE$3:$AE$501,0))&amp;"","")</f>
        <v/>
      </c>
      <c r="X55" s="21" t="str">
        <f aca="false">IFERROR(INDEX(종합!X$3:X$501,MATCH(ROW()-2,종합!$AE$3:$AE$501,0))&amp;"","")</f>
        <v/>
      </c>
      <c r="Y55" s="21" t="str">
        <f aca="false">IFERROR(INDEX(종합!Y$3:Y$501,MATCH(ROW()-2,종합!$AE$3:$AE$501,0))&amp;"","")</f>
        <v/>
      </c>
      <c r="Z55" s="21" t="str">
        <f aca="false">IFERROR(INDEX(종합!Z$3:Z$501,MATCH(ROW()-2,종합!$AE$3:$AE$501,0))&amp;"","")</f>
        <v/>
      </c>
    </row>
    <row r="56" customFormat="false" ht="16.5" hidden="false" customHeight="true" outlineLevel="0" collapsed="false">
      <c r="A56" s="18" t="str">
        <f aca="false">IF(B56="","",ROW()-2)</f>
        <v/>
      </c>
      <c r="B56" s="18" t="str">
        <f aca="false">IFERROR(INDEX(종합!B$3:B$501,MATCH(ROW()-2,종합!$AE$3:$AE$501,0))&amp;"","")</f>
        <v/>
      </c>
      <c r="C56" s="18" t="str">
        <f aca="false">IFERROR(INDEX(종합!C$3:C$501,MATCH(ROW()-2,종합!$AE$3:$AE$501,0))&amp;"","")</f>
        <v/>
      </c>
      <c r="D56" s="18" t="str">
        <f aca="false">IFERROR(INDEX(종합!D$3:D$501,MATCH(ROW()-2,종합!$AE$3:$AE$501,0))&amp;"","")</f>
        <v/>
      </c>
      <c r="E56" s="18" t="str">
        <f aca="false">IFERROR(INDEX(종합!E$3:E$501,MATCH(ROW()-2,종합!$AE$3:$AE$501,0))&amp;"","")</f>
        <v/>
      </c>
      <c r="F56" s="18" t="str">
        <f aca="false">IFERROR(INDEX(종합!F$3:F$501,MATCH(ROW()-2,종합!$AE$3:$AE$501,0))&amp;"","")</f>
        <v/>
      </c>
      <c r="G56" s="18" t="str">
        <f aca="false">IFERROR(INDEX(종합!G$3:G$501,MATCH(ROW()-2,종합!$AE$3:$AE$501,0))&amp;"","")</f>
        <v/>
      </c>
      <c r="H56" s="21" t="str">
        <f aca="false">IFERROR(INDEX(종합!H$3:H$501,MATCH(ROW()-2,종합!$AE$3:$AE$501,0))&amp;"","")</f>
        <v/>
      </c>
      <c r="I56" s="21" t="str">
        <f aca="false">IFERROR(INDEX(종합!I$3:I$501,MATCH(ROW()-2,종합!$AE$3:$AE$501,0))&amp;"","")</f>
        <v/>
      </c>
      <c r="J56" s="21" t="str">
        <f aca="false">IFERROR(INDEX(종합!J$3:J$501,MATCH(ROW()-2,종합!$AE$3:$AE$501,0))&amp;"","")</f>
        <v/>
      </c>
      <c r="K56" s="21" t="str">
        <f aca="false">IFERROR(INDEX(종합!K$3:K$501,MATCH(ROW()-2,종합!$AE$3:$AE$501,0))&amp;"","")</f>
        <v/>
      </c>
      <c r="L56" s="21" t="str">
        <f aca="false">IFERROR(INDEX(종합!L$3:L$501,MATCH(ROW()-2,종합!$AE$3:$AE$501,0))&amp;"","")</f>
        <v/>
      </c>
      <c r="M56" s="21" t="str">
        <f aca="false">IFERROR(INDEX(종합!M$3:M$501,MATCH(ROW()-2,종합!$AE$3:$AE$501,0))&amp;"","")</f>
        <v/>
      </c>
      <c r="N56" s="25" t="str">
        <f aca="false">IFERROR(INDEX(종합!N$3:N$501,MATCH(ROW()-2,종합!$AE$3:$AE$501,0))&amp;"","")</f>
        <v/>
      </c>
      <c r="O56" s="21" t="str">
        <f aca="false">IFERROR(INDEX(종합!O$3:O$501,MATCH(ROW()-2,종합!$AE$3:$AE$501,0))&amp;"","")</f>
        <v/>
      </c>
      <c r="P56" s="21" t="str">
        <f aca="false">IFERROR(INDEX(종합!P$3:P$501,MATCH(ROW()-2,종합!$AE$3:$AE$501,0))&amp;"","")</f>
        <v/>
      </c>
      <c r="Q56" s="21" t="str">
        <f aca="false">IFERROR(INDEX(종합!Q$3:Q$501,MATCH(ROW()-2,종합!$AE$3:$AE$501,0))&amp;"","")</f>
        <v/>
      </c>
      <c r="R56" s="21" t="str">
        <f aca="false">IFERROR(INDEX(종합!R$3:R$501,MATCH(ROW()-2,종합!$AE$3:$AE$501,0))&amp;"","")</f>
        <v/>
      </c>
      <c r="S56" s="21" t="str">
        <f aca="false">IFERROR(INDEX(종합!S$3:S$501,MATCH(ROW()-2,종합!$AE$3:$AE$501,0))&amp;"","")</f>
        <v/>
      </c>
      <c r="T56" s="21" t="str">
        <f aca="false">IFERROR(INDEX(종합!T$3:T$501,MATCH(ROW()-2,종합!$AE$3:$AE$501,0))&amp;"","")</f>
        <v/>
      </c>
      <c r="U56" s="21" t="str">
        <f aca="false">IFERROR(INDEX(종합!U$3:U$501,MATCH(ROW()-2,종합!$AE$3:$AE$501,0))&amp;"","")</f>
        <v/>
      </c>
      <c r="V56" s="21" t="str">
        <f aca="false">IFERROR(INDEX(종합!V$3:V$501,MATCH(ROW()-2,종합!$AE$3:$AE$501,0))&amp;"","")</f>
        <v/>
      </c>
      <c r="W56" s="21" t="str">
        <f aca="false">IFERROR(INDEX(종합!W$3:W$501,MATCH(ROW()-2,종합!$AE$3:$AE$501,0))&amp;"","")</f>
        <v/>
      </c>
      <c r="X56" s="21" t="str">
        <f aca="false">IFERROR(INDEX(종합!X$3:X$501,MATCH(ROW()-2,종합!$AE$3:$AE$501,0))&amp;"","")</f>
        <v/>
      </c>
      <c r="Y56" s="21" t="str">
        <f aca="false">IFERROR(INDEX(종합!Y$3:Y$501,MATCH(ROW()-2,종합!$AE$3:$AE$501,0))&amp;"","")</f>
        <v/>
      </c>
      <c r="Z56" s="21" t="str">
        <f aca="false">IFERROR(INDEX(종합!Z$3:Z$501,MATCH(ROW()-2,종합!$AE$3:$AE$501,0))&amp;"","")</f>
        <v/>
      </c>
    </row>
    <row r="57" customFormat="false" ht="16.5" hidden="false" customHeight="true" outlineLevel="0" collapsed="false">
      <c r="A57" s="18" t="str">
        <f aca="false">IF(B57="","",ROW()-2)</f>
        <v/>
      </c>
      <c r="B57" s="18" t="str">
        <f aca="false">IFERROR(INDEX(종합!B$3:B$501,MATCH(ROW()-2,종합!$AE$3:$AE$501,0))&amp;"","")</f>
        <v/>
      </c>
      <c r="C57" s="18" t="str">
        <f aca="false">IFERROR(INDEX(종합!C$3:C$501,MATCH(ROW()-2,종합!$AE$3:$AE$501,0))&amp;"","")</f>
        <v/>
      </c>
      <c r="D57" s="18" t="str">
        <f aca="false">IFERROR(INDEX(종합!D$3:D$501,MATCH(ROW()-2,종합!$AE$3:$AE$501,0))&amp;"","")</f>
        <v/>
      </c>
      <c r="E57" s="18" t="str">
        <f aca="false">IFERROR(INDEX(종합!E$3:E$501,MATCH(ROW()-2,종합!$AE$3:$AE$501,0))&amp;"","")</f>
        <v/>
      </c>
      <c r="F57" s="18" t="str">
        <f aca="false">IFERROR(INDEX(종합!F$3:F$501,MATCH(ROW()-2,종합!$AE$3:$AE$501,0))&amp;"","")</f>
        <v/>
      </c>
      <c r="G57" s="18" t="str">
        <f aca="false">IFERROR(INDEX(종합!G$3:G$501,MATCH(ROW()-2,종합!$AE$3:$AE$501,0))&amp;"","")</f>
        <v/>
      </c>
      <c r="H57" s="21" t="str">
        <f aca="false">IFERROR(INDEX(종합!H$3:H$501,MATCH(ROW()-2,종합!$AE$3:$AE$501,0))&amp;"","")</f>
        <v/>
      </c>
      <c r="I57" s="21" t="str">
        <f aca="false">IFERROR(INDEX(종합!I$3:I$501,MATCH(ROW()-2,종합!$AE$3:$AE$501,0))&amp;"","")</f>
        <v/>
      </c>
      <c r="J57" s="21" t="str">
        <f aca="false">IFERROR(INDEX(종합!J$3:J$501,MATCH(ROW()-2,종합!$AE$3:$AE$501,0))&amp;"","")</f>
        <v/>
      </c>
      <c r="K57" s="21" t="str">
        <f aca="false">IFERROR(INDEX(종합!K$3:K$501,MATCH(ROW()-2,종합!$AE$3:$AE$501,0))&amp;"","")</f>
        <v/>
      </c>
      <c r="L57" s="21" t="str">
        <f aca="false">IFERROR(INDEX(종합!L$3:L$501,MATCH(ROW()-2,종합!$AE$3:$AE$501,0))&amp;"","")</f>
        <v/>
      </c>
      <c r="M57" s="21" t="str">
        <f aca="false">IFERROR(INDEX(종합!M$3:M$501,MATCH(ROW()-2,종합!$AE$3:$AE$501,0))&amp;"","")</f>
        <v/>
      </c>
      <c r="N57" s="25" t="str">
        <f aca="false">IFERROR(INDEX(종합!N$3:N$501,MATCH(ROW()-2,종합!$AE$3:$AE$501,0))&amp;"","")</f>
        <v/>
      </c>
      <c r="O57" s="21" t="str">
        <f aca="false">IFERROR(INDEX(종합!O$3:O$501,MATCH(ROW()-2,종합!$AE$3:$AE$501,0))&amp;"","")</f>
        <v/>
      </c>
      <c r="P57" s="21" t="str">
        <f aca="false">IFERROR(INDEX(종합!P$3:P$501,MATCH(ROW()-2,종합!$AE$3:$AE$501,0))&amp;"","")</f>
        <v/>
      </c>
      <c r="Q57" s="21" t="str">
        <f aca="false">IFERROR(INDEX(종합!Q$3:Q$501,MATCH(ROW()-2,종합!$AE$3:$AE$501,0))&amp;"","")</f>
        <v/>
      </c>
      <c r="R57" s="21" t="str">
        <f aca="false">IFERROR(INDEX(종합!R$3:R$501,MATCH(ROW()-2,종합!$AE$3:$AE$501,0))&amp;"","")</f>
        <v/>
      </c>
      <c r="S57" s="21" t="str">
        <f aca="false">IFERROR(INDEX(종합!S$3:S$501,MATCH(ROW()-2,종합!$AE$3:$AE$501,0))&amp;"","")</f>
        <v/>
      </c>
      <c r="T57" s="21" t="str">
        <f aca="false">IFERROR(INDEX(종합!T$3:T$501,MATCH(ROW()-2,종합!$AE$3:$AE$501,0))&amp;"","")</f>
        <v/>
      </c>
      <c r="U57" s="21" t="str">
        <f aca="false">IFERROR(INDEX(종합!U$3:U$501,MATCH(ROW()-2,종합!$AE$3:$AE$501,0))&amp;"","")</f>
        <v/>
      </c>
      <c r="V57" s="21" t="str">
        <f aca="false">IFERROR(INDEX(종합!V$3:V$501,MATCH(ROW()-2,종합!$AE$3:$AE$501,0))&amp;"","")</f>
        <v/>
      </c>
      <c r="W57" s="21" t="str">
        <f aca="false">IFERROR(INDEX(종합!W$3:W$501,MATCH(ROW()-2,종합!$AE$3:$AE$501,0))&amp;"","")</f>
        <v/>
      </c>
      <c r="X57" s="21" t="str">
        <f aca="false">IFERROR(INDEX(종합!X$3:X$501,MATCH(ROW()-2,종합!$AE$3:$AE$501,0))&amp;"","")</f>
        <v/>
      </c>
      <c r="Y57" s="21" t="str">
        <f aca="false">IFERROR(INDEX(종합!Y$3:Y$501,MATCH(ROW()-2,종합!$AE$3:$AE$501,0))&amp;"","")</f>
        <v/>
      </c>
      <c r="Z57" s="21" t="str">
        <f aca="false">IFERROR(INDEX(종합!Z$3:Z$501,MATCH(ROW()-2,종합!$AE$3:$AE$501,0))&amp;"","")</f>
        <v/>
      </c>
    </row>
    <row r="58" customFormat="false" ht="16.5" hidden="false" customHeight="true" outlineLevel="0" collapsed="false">
      <c r="A58" s="18" t="str">
        <f aca="false">IF(B58="","",ROW()-2)</f>
        <v/>
      </c>
      <c r="B58" s="18" t="str">
        <f aca="false">IFERROR(INDEX(종합!B$3:B$501,MATCH(ROW()-2,종합!$AE$3:$AE$501,0))&amp;"","")</f>
        <v/>
      </c>
      <c r="C58" s="18" t="str">
        <f aca="false">IFERROR(INDEX(종합!C$3:C$501,MATCH(ROW()-2,종합!$AE$3:$AE$501,0))&amp;"","")</f>
        <v/>
      </c>
      <c r="D58" s="18" t="str">
        <f aca="false">IFERROR(INDEX(종합!D$3:D$501,MATCH(ROW()-2,종합!$AE$3:$AE$501,0))&amp;"","")</f>
        <v/>
      </c>
      <c r="E58" s="18" t="str">
        <f aca="false">IFERROR(INDEX(종합!E$3:E$501,MATCH(ROW()-2,종합!$AE$3:$AE$501,0))&amp;"","")</f>
        <v/>
      </c>
      <c r="F58" s="18" t="str">
        <f aca="false">IFERROR(INDEX(종합!F$3:F$501,MATCH(ROW()-2,종합!$AE$3:$AE$501,0))&amp;"","")</f>
        <v/>
      </c>
      <c r="G58" s="18" t="str">
        <f aca="false">IFERROR(INDEX(종합!G$3:G$501,MATCH(ROW()-2,종합!$AE$3:$AE$501,0))&amp;"","")</f>
        <v/>
      </c>
      <c r="H58" s="21" t="str">
        <f aca="false">IFERROR(INDEX(종합!H$3:H$501,MATCH(ROW()-2,종합!$AE$3:$AE$501,0))&amp;"","")</f>
        <v/>
      </c>
      <c r="I58" s="21" t="str">
        <f aca="false">IFERROR(INDEX(종합!I$3:I$501,MATCH(ROW()-2,종합!$AE$3:$AE$501,0))&amp;"","")</f>
        <v/>
      </c>
      <c r="J58" s="21" t="str">
        <f aca="false">IFERROR(INDEX(종합!J$3:J$501,MATCH(ROW()-2,종합!$AE$3:$AE$501,0))&amp;"","")</f>
        <v/>
      </c>
      <c r="K58" s="21" t="str">
        <f aca="false">IFERROR(INDEX(종합!K$3:K$501,MATCH(ROW()-2,종합!$AE$3:$AE$501,0))&amp;"","")</f>
        <v/>
      </c>
      <c r="L58" s="21" t="str">
        <f aca="false">IFERROR(INDEX(종합!L$3:L$501,MATCH(ROW()-2,종합!$AE$3:$AE$501,0))&amp;"","")</f>
        <v/>
      </c>
      <c r="M58" s="21" t="str">
        <f aca="false">IFERROR(INDEX(종합!M$3:M$501,MATCH(ROW()-2,종합!$AE$3:$AE$501,0))&amp;"","")</f>
        <v/>
      </c>
      <c r="N58" s="25" t="str">
        <f aca="false">IFERROR(INDEX(종합!N$3:N$501,MATCH(ROW()-2,종합!$AE$3:$AE$501,0))&amp;"","")</f>
        <v/>
      </c>
      <c r="O58" s="21" t="str">
        <f aca="false">IFERROR(INDEX(종합!O$3:O$501,MATCH(ROW()-2,종합!$AE$3:$AE$501,0))&amp;"","")</f>
        <v/>
      </c>
      <c r="P58" s="21" t="str">
        <f aca="false">IFERROR(INDEX(종합!P$3:P$501,MATCH(ROW()-2,종합!$AE$3:$AE$501,0))&amp;"","")</f>
        <v/>
      </c>
      <c r="Q58" s="21" t="str">
        <f aca="false">IFERROR(INDEX(종합!Q$3:Q$501,MATCH(ROW()-2,종합!$AE$3:$AE$501,0))&amp;"","")</f>
        <v/>
      </c>
      <c r="R58" s="21" t="str">
        <f aca="false">IFERROR(INDEX(종합!R$3:R$501,MATCH(ROW()-2,종합!$AE$3:$AE$501,0))&amp;"","")</f>
        <v/>
      </c>
      <c r="S58" s="21" t="str">
        <f aca="false">IFERROR(INDEX(종합!S$3:S$501,MATCH(ROW()-2,종합!$AE$3:$AE$501,0))&amp;"","")</f>
        <v/>
      </c>
      <c r="T58" s="21" t="str">
        <f aca="false">IFERROR(INDEX(종합!T$3:T$501,MATCH(ROW()-2,종합!$AE$3:$AE$501,0))&amp;"","")</f>
        <v/>
      </c>
      <c r="U58" s="21" t="str">
        <f aca="false">IFERROR(INDEX(종합!U$3:U$501,MATCH(ROW()-2,종합!$AE$3:$AE$501,0))&amp;"","")</f>
        <v/>
      </c>
      <c r="V58" s="21" t="str">
        <f aca="false">IFERROR(INDEX(종합!V$3:V$501,MATCH(ROW()-2,종합!$AE$3:$AE$501,0))&amp;"","")</f>
        <v/>
      </c>
      <c r="W58" s="21" t="str">
        <f aca="false">IFERROR(INDEX(종합!W$3:W$501,MATCH(ROW()-2,종합!$AE$3:$AE$501,0))&amp;"","")</f>
        <v/>
      </c>
      <c r="X58" s="21" t="str">
        <f aca="false">IFERROR(INDEX(종합!X$3:X$501,MATCH(ROW()-2,종합!$AE$3:$AE$501,0))&amp;"","")</f>
        <v/>
      </c>
      <c r="Y58" s="21" t="str">
        <f aca="false">IFERROR(INDEX(종합!Y$3:Y$501,MATCH(ROW()-2,종합!$AE$3:$AE$501,0))&amp;"","")</f>
        <v/>
      </c>
      <c r="Z58" s="21" t="str">
        <f aca="false">IFERROR(INDEX(종합!Z$3:Z$501,MATCH(ROW()-2,종합!$AE$3:$AE$501,0))&amp;"","")</f>
        <v/>
      </c>
    </row>
    <row r="59" customFormat="false" ht="16.5" hidden="false" customHeight="true" outlineLevel="0" collapsed="false">
      <c r="A59" s="18" t="str">
        <f aca="false">IF(B59="","",ROW()-2)</f>
        <v/>
      </c>
      <c r="B59" s="18" t="str">
        <f aca="false">IFERROR(INDEX(종합!B$3:B$501,MATCH(ROW()-2,종합!$AE$3:$AE$501,0))&amp;"","")</f>
        <v/>
      </c>
      <c r="C59" s="18" t="str">
        <f aca="false">IFERROR(INDEX(종합!C$3:C$501,MATCH(ROW()-2,종합!$AE$3:$AE$501,0))&amp;"","")</f>
        <v/>
      </c>
      <c r="D59" s="18" t="str">
        <f aca="false">IFERROR(INDEX(종합!D$3:D$501,MATCH(ROW()-2,종합!$AE$3:$AE$501,0))&amp;"","")</f>
        <v/>
      </c>
      <c r="E59" s="18" t="str">
        <f aca="false">IFERROR(INDEX(종합!E$3:E$501,MATCH(ROW()-2,종합!$AE$3:$AE$501,0))&amp;"","")</f>
        <v/>
      </c>
      <c r="F59" s="18" t="str">
        <f aca="false">IFERROR(INDEX(종합!F$3:F$501,MATCH(ROW()-2,종합!$AE$3:$AE$501,0))&amp;"","")</f>
        <v/>
      </c>
      <c r="G59" s="18" t="str">
        <f aca="false">IFERROR(INDEX(종합!G$3:G$501,MATCH(ROW()-2,종합!$AE$3:$AE$501,0))&amp;"","")</f>
        <v/>
      </c>
      <c r="H59" s="21" t="str">
        <f aca="false">IFERROR(INDEX(종합!H$3:H$501,MATCH(ROW()-2,종합!$AE$3:$AE$501,0))&amp;"","")</f>
        <v/>
      </c>
      <c r="I59" s="21" t="str">
        <f aca="false">IFERROR(INDEX(종합!I$3:I$501,MATCH(ROW()-2,종합!$AE$3:$AE$501,0))&amp;"","")</f>
        <v/>
      </c>
      <c r="J59" s="21" t="str">
        <f aca="false">IFERROR(INDEX(종합!J$3:J$501,MATCH(ROW()-2,종합!$AE$3:$AE$501,0))&amp;"","")</f>
        <v/>
      </c>
      <c r="K59" s="21" t="str">
        <f aca="false">IFERROR(INDEX(종합!K$3:K$501,MATCH(ROW()-2,종합!$AE$3:$AE$501,0))&amp;"","")</f>
        <v/>
      </c>
      <c r="L59" s="21" t="str">
        <f aca="false">IFERROR(INDEX(종합!L$3:L$501,MATCH(ROW()-2,종합!$AE$3:$AE$501,0))&amp;"","")</f>
        <v/>
      </c>
      <c r="M59" s="21" t="str">
        <f aca="false">IFERROR(INDEX(종합!M$3:M$501,MATCH(ROW()-2,종합!$AE$3:$AE$501,0))&amp;"","")</f>
        <v/>
      </c>
      <c r="N59" s="25" t="str">
        <f aca="false">IFERROR(INDEX(종합!N$3:N$501,MATCH(ROW()-2,종합!$AE$3:$AE$501,0))&amp;"","")</f>
        <v/>
      </c>
      <c r="O59" s="21" t="str">
        <f aca="false">IFERROR(INDEX(종합!O$3:O$501,MATCH(ROW()-2,종합!$AE$3:$AE$501,0))&amp;"","")</f>
        <v/>
      </c>
      <c r="P59" s="21" t="str">
        <f aca="false">IFERROR(INDEX(종합!P$3:P$501,MATCH(ROW()-2,종합!$AE$3:$AE$501,0))&amp;"","")</f>
        <v/>
      </c>
      <c r="Q59" s="21" t="str">
        <f aca="false">IFERROR(INDEX(종합!Q$3:Q$501,MATCH(ROW()-2,종합!$AE$3:$AE$501,0))&amp;"","")</f>
        <v/>
      </c>
      <c r="R59" s="21" t="str">
        <f aca="false">IFERROR(INDEX(종합!R$3:R$501,MATCH(ROW()-2,종합!$AE$3:$AE$501,0))&amp;"","")</f>
        <v/>
      </c>
      <c r="S59" s="21" t="str">
        <f aca="false">IFERROR(INDEX(종합!S$3:S$501,MATCH(ROW()-2,종합!$AE$3:$AE$501,0))&amp;"","")</f>
        <v/>
      </c>
      <c r="T59" s="21" t="str">
        <f aca="false">IFERROR(INDEX(종합!T$3:T$501,MATCH(ROW()-2,종합!$AE$3:$AE$501,0))&amp;"","")</f>
        <v/>
      </c>
      <c r="U59" s="21" t="str">
        <f aca="false">IFERROR(INDEX(종합!U$3:U$501,MATCH(ROW()-2,종합!$AE$3:$AE$501,0))&amp;"","")</f>
        <v/>
      </c>
      <c r="V59" s="21" t="str">
        <f aca="false">IFERROR(INDEX(종합!V$3:V$501,MATCH(ROW()-2,종합!$AE$3:$AE$501,0))&amp;"","")</f>
        <v/>
      </c>
      <c r="W59" s="21" t="str">
        <f aca="false">IFERROR(INDEX(종합!W$3:W$501,MATCH(ROW()-2,종합!$AE$3:$AE$501,0))&amp;"","")</f>
        <v/>
      </c>
      <c r="X59" s="21" t="str">
        <f aca="false">IFERROR(INDEX(종합!X$3:X$501,MATCH(ROW()-2,종합!$AE$3:$AE$501,0))&amp;"","")</f>
        <v/>
      </c>
      <c r="Y59" s="21" t="str">
        <f aca="false">IFERROR(INDEX(종합!Y$3:Y$501,MATCH(ROW()-2,종합!$AE$3:$AE$501,0))&amp;"","")</f>
        <v/>
      </c>
      <c r="Z59" s="21" t="str">
        <f aca="false">IFERROR(INDEX(종합!Z$3:Z$501,MATCH(ROW()-2,종합!$AE$3:$AE$501,0))&amp;"","")</f>
        <v/>
      </c>
    </row>
    <row r="60" customFormat="false" ht="16.5" hidden="false" customHeight="true" outlineLevel="0" collapsed="false">
      <c r="A60" s="18" t="str">
        <f aca="false">IF(B60="","",ROW()-2)</f>
        <v/>
      </c>
      <c r="B60" s="18" t="str">
        <f aca="false">IFERROR(INDEX(종합!B$3:B$501,MATCH(ROW()-2,종합!$AE$3:$AE$501,0))&amp;"","")</f>
        <v/>
      </c>
      <c r="C60" s="18" t="str">
        <f aca="false">IFERROR(INDEX(종합!C$3:C$501,MATCH(ROW()-2,종합!$AE$3:$AE$501,0))&amp;"","")</f>
        <v/>
      </c>
      <c r="D60" s="18" t="str">
        <f aca="false">IFERROR(INDEX(종합!D$3:D$501,MATCH(ROW()-2,종합!$AE$3:$AE$501,0))&amp;"","")</f>
        <v/>
      </c>
      <c r="E60" s="18" t="str">
        <f aca="false">IFERROR(INDEX(종합!E$3:E$501,MATCH(ROW()-2,종합!$AE$3:$AE$501,0))&amp;"","")</f>
        <v/>
      </c>
      <c r="F60" s="18" t="str">
        <f aca="false">IFERROR(INDEX(종합!F$3:F$501,MATCH(ROW()-2,종합!$AE$3:$AE$501,0))&amp;"","")</f>
        <v/>
      </c>
      <c r="G60" s="18" t="str">
        <f aca="false">IFERROR(INDEX(종합!G$3:G$501,MATCH(ROW()-2,종합!$AE$3:$AE$501,0))&amp;"","")</f>
        <v/>
      </c>
      <c r="H60" s="21" t="str">
        <f aca="false">IFERROR(INDEX(종합!H$3:H$501,MATCH(ROW()-2,종합!$AE$3:$AE$501,0))&amp;"","")</f>
        <v/>
      </c>
      <c r="I60" s="21" t="str">
        <f aca="false">IFERROR(INDEX(종합!I$3:I$501,MATCH(ROW()-2,종합!$AE$3:$AE$501,0))&amp;"","")</f>
        <v/>
      </c>
      <c r="J60" s="21" t="str">
        <f aca="false">IFERROR(INDEX(종합!J$3:J$501,MATCH(ROW()-2,종합!$AE$3:$AE$501,0))&amp;"","")</f>
        <v/>
      </c>
      <c r="K60" s="21" t="str">
        <f aca="false">IFERROR(INDEX(종합!K$3:K$501,MATCH(ROW()-2,종합!$AE$3:$AE$501,0))&amp;"","")</f>
        <v/>
      </c>
      <c r="L60" s="21" t="str">
        <f aca="false">IFERROR(INDEX(종합!L$3:L$501,MATCH(ROW()-2,종합!$AE$3:$AE$501,0))&amp;"","")</f>
        <v/>
      </c>
      <c r="M60" s="21" t="str">
        <f aca="false">IFERROR(INDEX(종합!M$3:M$501,MATCH(ROW()-2,종합!$AE$3:$AE$501,0))&amp;"","")</f>
        <v/>
      </c>
      <c r="N60" s="25" t="str">
        <f aca="false">IFERROR(INDEX(종합!N$3:N$501,MATCH(ROW()-2,종합!$AE$3:$AE$501,0))&amp;"","")</f>
        <v/>
      </c>
      <c r="O60" s="21" t="str">
        <f aca="false">IFERROR(INDEX(종합!O$3:O$501,MATCH(ROW()-2,종합!$AE$3:$AE$501,0))&amp;"","")</f>
        <v/>
      </c>
      <c r="P60" s="21" t="str">
        <f aca="false">IFERROR(INDEX(종합!P$3:P$501,MATCH(ROW()-2,종합!$AE$3:$AE$501,0))&amp;"","")</f>
        <v/>
      </c>
      <c r="Q60" s="21" t="str">
        <f aca="false">IFERROR(INDEX(종합!Q$3:Q$501,MATCH(ROW()-2,종합!$AE$3:$AE$501,0))&amp;"","")</f>
        <v/>
      </c>
      <c r="R60" s="21" t="str">
        <f aca="false">IFERROR(INDEX(종합!R$3:R$501,MATCH(ROW()-2,종합!$AE$3:$AE$501,0))&amp;"","")</f>
        <v/>
      </c>
      <c r="S60" s="21" t="str">
        <f aca="false">IFERROR(INDEX(종합!S$3:S$501,MATCH(ROW()-2,종합!$AE$3:$AE$501,0))&amp;"","")</f>
        <v/>
      </c>
      <c r="T60" s="21" t="str">
        <f aca="false">IFERROR(INDEX(종합!T$3:T$501,MATCH(ROW()-2,종합!$AE$3:$AE$501,0))&amp;"","")</f>
        <v/>
      </c>
      <c r="U60" s="21" t="str">
        <f aca="false">IFERROR(INDEX(종합!U$3:U$501,MATCH(ROW()-2,종합!$AE$3:$AE$501,0))&amp;"","")</f>
        <v/>
      </c>
      <c r="V60" s="21" t="str">
        <f aca="false">IFERROR(INDEX(종합!V$3:V$501,MATCH(ROW()-2,종합!$AE$3:$AE$501,0))&amp;"","")</f>
        <v/>
      </c>
      <c r="W60" s="21" t="str">
        <f aca="false">IFERROR(INDEX(종합!W$3:W$501,MATCH(ROW()-2,종합!$AE$3:$AE$501,0))&amp;"","")</f>
        <v/>
      </c>
      <c r="X60" s="21" t="str">
        <f aca="false">IFERROR(INDEX(종합!X$3:X$501,MATCH(ROW()-2,종합!$AE$3:$AE$501,0))&amp;"","")</f>
        <v/>
      </c>
      <c r="Y60" s="21" t="str">
        <f aca="false">IFERROR(INDEX(종합!Y$3:Y$501,MATCH(ROW()-2,종합!$AE$3:$AE$501,0))&amp;"","")</f>
        <v/>
      </c>
      <c r="Z60" s="21" t="str">
        <f aca="false">IFERROR(INDEX(종합!Z$3:Z$501,MATCH(ROW()-2,종합!$AE$3:$AE$501,0))&amp;"","")</f>
        <v/>
      </c>
    </row>
    <row r="61" customFormat="false" ht="16.5" hidden="false" customHeight="true" outlineLevel="0" collapsed="false">
      <c r="A61" s="18" t="str">
        <f aca="false">IF(B61="","",ROW()-2)</f>
        <v/>
      </c>
      <c r="B61" s="18" t="str">
        <f aca="false">IFERROR(INDEX(종합!B$3:B$501,MATCH(ROW()-2,종합!$AE$3:$AE$501,0))&amp;"","")</f>
        <v/>
      </c>
      <c r="C61" s="18" t="str">
        <f aca="false">IFERROR(INDEX(종합!C$3:C$501,MATCH(ROW()-2,종합!$AE$3:$AE$501,0))&amp;"","")</f>
        <v/>
      </c>
      <c r="D61" s="18" t="str">
        <f aca="false">IFERROR(INDEX(종합!D$3:D$501,MATCH(ROW()-2,종합!$AE$3:$AE$501,0))&amp;"","")</f>
        <v/>
      </c>
      <c r="E61" s="18" t="str">
        <f aca="false">IFERROR(INDEX(종합!E$3:E$501,MATCH(ROW()-2,종합!$AE$3:$AE$501,0))&amp;"","")</f>
        <v/>
      </c>
      <c r="F61" s="18" t="str">
        <f aca="false">IFERROR(INDEX(종합!F$3:F$501,MATCH(ROW()-2,종합!$AE$3:$AE$501,0))&amp;"","")</f>
        <v/>
      </c>
      <c r="G61" s="18" t="str">
        <f aca="false">IFERROR(INDEX(종합!G$3:G$501,MATCH(ROW()-2,종합!$AE$3:$AE$501,0))&amp;"","")</f>
        <v/>
      </c>
      <c r="H61" s="21" t="str">
        <f aca="false">IFERROR(INDEX(종합!H$3:H$501,MATCH(ROW()-2,종합!$AE$3:$AE$501,0))&amp;"","")</f>
        <v/>
      </c>
      <c r="I61" s="21" t="str">
        <f aca="false">IFERROR(INDEX(종합!I$3:I$501,MATCH(ROW()-2,종합!$AE$3:$AE$501,0))&amp;"","")</f>
        <v/>
      </c>
      <c r="J61" s="21" t="str">
        <f aca="false">IFERROR(INDEX(종합!J$3:J$501,MATCH(ROW()-2,종합!$AE$3:$AE$501,0))&amp;"","")</f>
        <v/>
      </c>
      <c r="K61" s="21" t="str">
        <f aca="false">IFERROR(INDEX(종합!K$3:K$501,MATCH(ROW()-2,종합!$AE$3:$AE$501,0))&amp;"","")</f>
        <v/>
      </c>
      <c r="L61" s="21" t="str">
        <f aca="false">IFERROR(INDEX(종합!L$3:L$501,MATCH(ROW()-2,종합!$AE$3:$AE$501,0))&amp;"","")</f>
        <v/>
      </c>
      <c r="M61" s="21" t="str">
        <f aca="false">IFERROR(INDEX(종합!M$3:M$501,MATCH(ROW()-2,종합!$AE$3:$AE$501,0))&amp;"","")</f>
        <v/>
      </c>
      <c r="N61" s="25" t="str">
        <f aca="false">IFERROR(INDEX(종합!N$3:N$501,MATCH(ROW()-2,종합!$AE$3:$AE$501,0))&amp;"","")</f>
        <v/>
      </c>
      <c r="O61" s="21" t="str">
        <f aca="false">IFERROR(INDEX(종합!O$3:O$501,MATCH(ROW()-2,종합!$AE$3:$AE$501,0))&amp;"","")</f>
        <v/>
      </c>
      <c r="P61" s="21" t="str">
        <f aca="false">IFERROR(INDEX(종합!P$3:P$501,MATCH(ROW()-2,종합!$AE$3:$AE$501,0))&amp;"","")</f>
        <v/>
      </c>
      <c r="Q61" s="21" t="str">
        <f aca="false">IFERROR(INDEX(종합!Q$3:Q$501,MATCH(ROW()-2,종합!$AE$3:$AE$501,0))&amp;"","")</f>
        <v/>
      </c>
      <c r="R61" s="21" t="str">
        <f aca="false">IFERROR(INDEX(종합!R$3:R$501,MATCH(ROW()-2,종합!$AE$3:$AE$501,0))&amp;"","")</f>
        <v/>
      </c>
      <c r="S61" s="21" t="str">
        <f aca="false">IFERROR(INDEX(종합!S$3:S$501,MATCH(ROW()-2,종합!$AE$3:$AE$501,0))&amp;"","")</f>
        <v/>
      </c>
      <c r="T61" s="21" t="str">
        <f aca="false">IFERROR(INDEX(종합!T$3:T$501,MATCH(ROW()-2,종합!$AE$3:$AE$501,0))&amp;"","")</f>
        <v/>
      </c>
      <c r="U61" s="21" t="str">
        <f aca="false">IFERROR(INDEX(종합!U$3:U$501,MATCH(ROW()-2,종합!$AE$3:$AE$501,0))&amp;"","")</f>
        <v/>
      </c>
      <c r="V61" s="21" t="str">
        <f aca="false">IFERROR(INDEX(종합!V$3:V$501,MATCH(ROW()-2,종합!$AE$3:$AE$501,0))&amp;"","")</f>
        <v/>
      </c>
      <c r="W61" s="21" t="str">
        <f aca="false">IFERROR(INDEX(종합!W$3:W$501,MATCH(ROW()-2,종합!$AE$3:$AE$501,0))&amp;"","")</f>
        <v/>
      </c>
      <c r="X61" s="21" t="str">
        <f aca="false">IFERROR(INDEX(종합!X$3:X$501,MATCH(ROW()-2,종합!$AE$3:$AE$501,0))&amp;"","")</f>
        <v/>
      </c>
      <c r="Y61" s="21" t="str">
        <f aca="false">IFERROR(INDEX(종합!Y$3:Y$501,MATCH(ROW()-2,종합!$AE$3:$AE$501,0))&amp;"","")</f>
        <v/>
      </c>
      <c r="Z61" s="21" t="str">
        <f aca="false">IFERROR(INDEX(종합!Z$3:Z$501,MATCH(ROW()-2,종합!$AE$3:$AE$501,0))&amp;"","")</f>
        <v/>
      </c>
    </row>
    <row r="62" customFormat="false" ht="16.5" hidden="false" customHeight="true" outlineLevel="0" collapsed="false">
      <c r="A62" s="18" t="str">
        <f aca="false">IF(B62="","",ROW()-2)</f>
        <v/>
      </c>
      <c r="B62" s="18" t="str">
        <f aca="false">IFERROR(INDEX(종합!B$3:B$501,MATCH(ROW()-2,종합!$AE$3:$AE$501,0))&amp;"","")</f>
        <v/>
      </c>
      <c r="C62" s="18" t="str">
        <f aca="false">IFERROR(INDEX(종합!C$3:C$501,MATCH(ROW()-2,종합!$AE$3:$AE$501,0))&amp;"","")</f>
        <v/>
      </c>
      <c r="D62" s="18" t="str">
        <f aca="false">IFERROR(INDEX(종합!D$3:D$501,MATCH(ROW()-2,종합!$AE$3:$AE$501,0))&amp;"","")</f>
        <v/>
      </c>
      <c r="E62" s="18" t="str">
        <f aca="false">IFERROR(INDEX(종합!E$3:E$501,MATCH(ROW()-2,종합!$AE$3:$AE$501,0))&amp;"","")</f>
        <v/>
      </c>
      <c r="F62" s="18" t="str">
        <f aca="false">IFERROR(INDEX(종합!F$3:F$501,MATCH(ROW()-2,종합!$AE$3:$AE$501,0))&amp;"","")</f>
        <v/>
      </c>
      <c r="G62" s="18" t="str">
        <f aca="false">IFERROR(INDEX(종합!G$3:G$501,MATCH(ROW()-2,종합!$AE$3:$AE$501,0))&amp;"","")</f>
        <v/>
      </c>
      <c r="H62" s="21" t="str">
        <f aca="false">IFERROR(INDEX(종합!H$3:H$501,MATCH(ROW()-2,종합!$AE$3:$AE$501,0))&amp;"","")</f>
        <v/>
      </c>
      <c r="I62" s="21" t="str">
        <f aca="false">IFERROR(INDEX(종합!I$3:I$501,MATCH(ROW()-2,종합!$AE$3:$AE$501,0))&amp;"","")</f>
        <v/>
      </c>
      <c r="J62" s="21" t="str">
        <f aca="false">IFERROR(INDEX(종합!J$3:J$501,MATCH(ROW()-2,종합!$AE$3:$AE$501,0))&amp;"","")</f>
        <v/>
      </c>
      <c r="K62" s="21" t="str">
        <f aca="false">IFERROR(INDEX(종합!K$3:K$501,MATCH(ROW()-2,종합!$AE$3:$AE$501,0))&amp;"","")</f>
        <v/>
      </c>
      <c r="L62" s="21" t="str">
        <f aca="false">IFERROR(INDEX(종합!L$3:L$501,MATCH(ROW()-2,종합!$AE$3:$AE$501,0))&amp;"","")</f>
        <v/>
      </c>
      <c r="M62" s="21" t="str">
        <f aca="false">IFERROR(INDEX(종합!M$3:M$501,MATCH(ROW()-2,종합!$AE$3:$AE$501,0))&amp;"","")</f>
        <v/>
      </c>
      <c r="N62" s="25" t="str">
        <f aca="false">IFERROR(INDEX(종합!N$3:N$501,MATCH(ROW()-2,종합!$AE$3:$AE$501,0))&amp;"","")</f>
        <v/>
      </c>
      <c r="O62" s="21" t="str">
        <f aca="false">IFERROR(INDEX(종합!O$3:O$501,MATCH(ROW()-2,종합!$AE$3:$AE$501,0))&amp;"","")</f>
        <v/>
      </c>
      <c r="P62" s="21" t="str">
        <f aca="false">IFERROR(INDEX(종합!P$3:P$501,MATCH(ROW()-2,종합!$AE$3:$AE$501,0))&amp;"","")</f>
        <v/>
      </c>
      <c r="Q62" s="21" t="str">
        <f aca="false">IFERROR(INDEX(종합!Q$3:Q$501,MATCH(ROW()-2,종합!$AE$3:$AE$501,0))&amp;"","")</f>
        <v/>
      </c>
      <c r="R62" s="21" t="str">
        <f aca="false">IFERROR(INDEX(종합!R$3:R$501,MATCH(ROW()-2,종합!$AE$3:$AE$501,0))&amp;"","")</f>
        <v/>
      </c>
      <c r="S62" s="21" t="str">
        <f aca="false">IFERROR(INDEX(종합!S$3:S$501,MATCH(ROW()-2,종합!$AE$3:$AE$501,0))&amp;"","")</f>
        <v/>
      </c>
      <c r="T62" s="21" t="str">
        <f aca="false">IFERROR(INDEX(종합!T$3:T$501,MATCH(ROW()-2,종합!$AE$3:$AE$501,0))&amp;"","")</f>
        <v/>
      </c>
      <c r="U62" s="21" t="str">
        <f aca="false">IFERROR(INDEX(종합!U$3:U$501,MATCH(ROW()-2,종합!$AE$3:$AE$501,0))&amp;"","")</f>
        <v/>
      </c>
      <c r="V62" s="21" t="str">
        <f aca="false">IFERROR(INDEX(종합!V$3:V$501,MATCH(ROW()-2,종합!$AE$3:$AE$501,0))&amp;"","")</f>
        <v/>
      </c>
      <c r="W62" s="21" t="str">
        <f aca="false">IFERROR(INDEX(종합!W$3:W$501,MATCH(ROW()-2,종합!$AE$3:$AE$501,0))&amp;"","")</f>
        <v/>
      </c>
      <c r="X62" s="21" t="str">
        <f aca="false">IFERROR(INDEX(종합!X$3:X$501,MATCH(ROW()-2,종합!$AE$3:$AE$501,0))&amp;"","")</f>
        <v/>
      </c>
      <c r="Y62" s="21" t="str">
        <f aca="false">IFERROR(INDEX(종합!Y$3:Y$501,MATCH(ROW()-2,종합!$AE$3:$AE$501,0))&amp;"","")</f>
        <v/>
      </c>
      <c r="Z62" s="21" t="str">
        <f aca="false">IFERROR(INDEX(종합!Z$3:Z$501,MATCH(ROW()-2,종합!$AE$3:$AE$501,0))&amp;"","")</f>
        <v/>
      </c>
    </row>
    <row r="63" customFormat="false" ht="16.5" hidden="false" customHeight="true" outlineLevel="0" collapsed="false">
      <c r="A63" s="18" t="str">
        <f aca="false">IF(B63="","",ROW()-2)</f>
        <v/>
      </c>
      <c r="B63" s="18" t="str">
        <f aca="false">IFERROR(INDEX(종합!B$3:B$501,MATCH(ROW()-2,종합!$AE$3:$AE$501,0))&amp;"","")</f>
        <v/>
      </c>
      <c r="C63" s="18" t="str">
        <f aca="false">IFERROR(INDEX(종합!C$3:C$501,MATCH(ROW()-2,종합!$AE$3:$AE$501,0))&amp;"","")</f>
        <v/>
      </c>
      <c r="D63" s="18" t="str">
        <f aca="false">IFERROR(INDEX(종합!D$3:D$501,MATCH(ROW()-2,종합!$AE$3:$AE$501,0))&amp;"","")</f>
        <v/>
      </c>
      <c r="E63" s="18" t="str">
        <f aca="false">IFERROR(INDEX(종합!E$3:E$501,MATCH(ROW()-2,종합!$AE$3:$AE$501,0))&amp;"","")</f>
        <v/>
      </c>
      <c r="F63" s="18" t="str">
        <f aca="false">IFERROR(INDEX(종합!F$3:F$501,MATCH(ROW()-2,종합!$AE$3:$AE$501,0))&amp;"","")</f>
        <v/>
      </c>
      <c r="G63" s="18" t="str">
        <f aca="false">IFERROR(INDEX(종합!G$3:G$501,MATCH(ROW()-2,종합!$AE$3:$AE$501,0))&amp;"","")</f>
        <v/>
      </c>
      <c r="H63" s="21" t="str">
        <f aca="false">IFERROR(INDEX(종합!H$3:H$501,MATCH(ROW()-2,종합!$AE$3:$AE$501,0))&amp;"","")</f>
        <v/>
      </c>
      <c r="I63" s="21" t="str">
        <f aca="false">IFERROR(INDEX(종합!I$3:I$501,MATCH(ROW()-2,종합!$AE$3:$AE$501,0))&amp;"","")</f>
        <v/>
      </c>
      <c r="J63" s="21" t="str">
        <f aca="false">IFERROR(INDEX(종합!J$3:J$501,MATCH(ROW()-2,종합!$AE$3:$AE$501,0))&amp;"","")</f>
        <v/>
      </c>
      <c r="K63" s="21" t="str">
        <f aca="false">IFERROR(INDEX(종합!K$3:K$501,MATCH(ROW()-2,종합!$AE$3:$AE$501,0))&amp;"","")</f>
        <v/>
      </c>
      <c r="L63" s="21" t="str">
        <f aca="false">IFERROR(INDEX(종합!L$3:L$501,MATCH(ROW()-2,종합!$AE$3:$AE$501,0))&amp;"","")</f>
        <v/>
      </c>
      <c r="M63" s="21" t="str">
        <f aca="false">IFERROR(INDEX(종합!M$3:M$501,MATCH(ROW()-2,종합!$AE$3:$AE$501,0))&amp;"","")</f>
        <v/>
      </c>
      <c r="N63" s="25" t="str">
        <f aca="false">IFERROR(INDEX(종합!N$3:N$501,MATCH(ROW()-2,종합!$AE$3:$AE$501,0))&amp;"","")</f>
        <v/>
      </c>
      <c r="O63" s="21" t="str">
        <f aca="false">IFERROR(INDEX(종합!O$3:O$501,MATCH(ROW()-2,종합!$AE$3:$AE$501,0))&amp;"","")</f>
        <v/>
      </c>
      <c r="P63" s="21" t="str">
        <f aca="false">IFERROR(INDEX(종합!P$3:P$501,MATCH(ROW()-2,종합!$AE$3:$AE$501,0))&amp;"","")</f>
        <v/>
      </c>
      <c r="Q63" s="21" t="str">
        <f aca="false">IFERROR(INDEX(종합!Q$3:Q$501,MATCH(ROW()-2,종합!$AE$3:$AE$501,0))&amp;"","")</f>
        <v/>
      </c>
      <c r="R63" s="21" t="str">
        <f aca="false">IFERROR(INDEX(종합!R$3:R$501,MATCH(ROW()-2,종합!$AE$3:$AE$501,0))&amp;"","")</f>
        <v/>
      </c>
      <c r="S63" s="21" t="str">
        <f aca="false">IFERROR(INDEX(종합!S$3:S$501,MATCH(ROW()-2,종합!$AE$3:$AE$501,0))&amp;"","")</f>
        <v/>
      </c>
      <c r="T63" s="21" t="str">
        <f aca="false">IFERROR(INDEX(종합!T$3:T$501,MATCH(ROW()-2,종합!$AE$3:$AE$501,0))&amp;"","")</f>
        <v/>
      </c>
      <c r="U63" s="21" t="str">
        <f aca="false">IFERROR(INDEX(종합!U$3:U$501,MATCH(ROW()-2,종합!$AE$3:$AE$501,0))&amp;"","")</f>
        <v/>
      </c>
      <c r="V63" s="21" t="str">
        <f aca="false">IFERROR(INDEX(종합!V$3:V$501,MATCH(ROW()-2,종합!$AE$3:$AE$501,0))&amp;"","")</f>
        <v/>
      </c>
      <c r="W63" s="21" t="str">
        <f aca="false">IFERROR(INDEX(종합!W$3:W$501,MATCH(ROW()-2,종합!$AE$3:$AE$501,0))&amp;"","")</f>
        <v/>
      </c>
      <c r="X63" s="21" t="str">
        <f aca="false">IFERROR(INDEX(종합!X$3:X$501,MATCH(ROW()-2,종합!$AE$3:$AE$501,0))&amp;"","")</f>
        <v/>
      </c>
      <c r="Y63" s="21" t="str">
        <f aca="false">IFERROR(INDEX(종합!Y$3:Y$501,MATCH(ROW()-2,종합!$AE$3:$AE$501,0))&amp;"","")</f>
        <v/>
      </c>
      <c r="Z63" s="21" t="str">
        <f aca="false">IFERROR(INDEX(종합!Z$3:Z$501,MATCH(ROW()-2,종합!$AE$3:$AE$501,0))&amp;"","")</f>
        <v/>
      </c>
    </row>
    <row r="64" customFormat="false" ht="16.5" hidden="false" customHeight="true" outlineLevel="0" collapsed="false">
      <c r="A64" s="18" t="str">
        <f aca="false">IF(B64="","",ROW()-2)</f>
        <v/>
      </c>
      <c r="B64" s="18" t="str">
        <f aca="false">IFERROR(INDEX(종합!B$3:B$501,MATCH(ROW()-2,종합!$AE$3:$AE$501,0))&amp;"","")</f>
        <v/>
      </c>
      <c r="C64" s="18" t="str">
        <f aca="false">IFERROR(INDEX(종합!C$3:C$501,MATCH(ROW()-2,종합!$AE$3:$AE$501,0))&amp;"","")</f>
        <v/>
      </c>
      <c r="D64" s="18" t="str">
        <f aca="false">IFERROR(INDEX(종합!D$3:D$501,MATCH(ROW()-2,종합!$AE$3:$AE$501,0))&amp;"","")</f>
        <v/>
      </c>
      <c r="E64" s="18" t="str">
        <f aca="false">IFERROR(INDEX(종합!E$3:E$501,MATCH(ROW()-2,종합!$AE$3:$AE$501,0))&amp;"","")</f>
        <v/>
      </c>
      <c r="F64" s="18" t="str">
        <f aca="false">IFERROR(INDEX(종합!F$3:F$501,MATCH(ROW()-2,종합!$AE$3:$AE$501,0))&amp;"","")</f>
        <v/>
      </c>
      <c r="G64" s="18" t="str">
        <f aca="false">IFERROR(INDEX(종합!G$3:G$501,MATCH(ROW()-2,종합!$AE$3:$AE$501,0))&amp;"","")</f>
        <v/>
      </c>
      <c r="H64" s="21" t="str">
        <f aca="false">IFERROR(INDEX(종합!H$3:H$501,MATCH(ROW()-2,종합!$AE$3:$AE$501,0))&amp;"","")</f>
        <v/>
      </c>
      <c r="I64" s="21" t="str">
        <f aca="false">IFERROR(INDEX(종합!I$3:I$501,MATCH(ROW()-2,종합!$AE$3:$AE$501,0))&amp;"","")</f>
        <v/>
      </c>
      <c r="J64" s="21" t="str">
        <f aca="false">IFERROR(INDEX(종합!J$3:J$501,MATCH(ROW()-2,종합!$AE$3:$AE$501,0))&amp;"","")</f>
        <v/>
      </c>
      <c r="K64" s="21" t="str">
        <f aca="false">IFERROR(INDEX(종합!K$3:K$501,MATCH(ROW()-2,종합!$AE$3:$AE$501,0))&amp;"","")</f>
        <v/>
      </c>
      <c r="L64" s="21" t="str">
        <f aca="false">IFERROR(INDEX(종합!L$3:L$501,MATCH(ROW()-2,종합!$AE$3:$AE$501,0))&amp;"","")</f>
        <v/>
      </c>
      <c r="M64" s="21" t="str">
        <f aca="false">IFERROR(INDEX(종합!M$3:M$501,MATCH(ROW()-2,종합!$AE$3:$AE$501,0))&amp;"","")</f>
        <v/>
      </c>
      <c r="N64" s="25" t="str">
        <f aca="false">IFERROR(INDEX(종합!N$3:N$501,MATCH(ROW()-2,종합!$AE$3:$AE$501,0))&amp;"","")</f>
        <v/>
      </c>
      <c r="O64" s="21" t="str">
        <f aca="false">IFERROR(INDEX(종합!O$3:O$501,MATCH(ROW()-2,종합!$AE$3:$AE$501,0))&amp;"","")</f>
        <v/>
      </c>
      <c r="P64" s="21" t="str">
        <f aca="false">IFERROR(INDEX(종합!P$3:P$501,MATCH(ROW()-2,종합!$AE$3:$AE$501,0))&amp;"","")</f>
        <v/>
      </c>
      <c r="Q64" s="21" t="str">
        <f aca="false">IFERROR(INDEX(종합!Q$3:Q$501,MATCH(ROW()-2,종합!$AE$3:$AE$501,0))&amp;"","")</f>
        <v/>
      </c>
      <c r="R64" s="21" t="str">
        <f aca="false">IFERROR(INDEX(종합!R$3:R$501,MATCH(ROW()-2,종합!$AE$3:$AE$501,0))&amp;"","")</f>
        <v/>
      </c>
      <c r="S64" s="21" t="str">
        <f aca="false">IFERROR(INDEX(종합!S$3:S$501,MATCH(ROW()-2,종합!$AE$3:$AE$501,0))&amp;"","")</f>
        <v/>
      </c>
      <c r="T64" s="21" t="str">
        <f aca="false">IFERROR(INDEX(종합!T$3:T$501,MATCH(ROW()-2,종합!$AE$3:$AE$501,0))&amp;"","")</f>
        <v/>
      </c>
      <c r="U64" s="21" t="str">
        <f aca="false">IFERROR(INDEX(종합!U$3:U$501,MATCH(ROW()-2,종합!$AE$3:$AE$501,0))&amp;"","")</f>
        <v/>
      </c>
      <c r="V64" s="21" t="str">
        <f aca="false">IFERROR(INDEX(종합!V$3:V$501,MATCH(ROW()-2,종합!$AE$3:$AE$501,0))&amp;"","")</f>
        <v/>
      </c>
      <c r="W64" s="21" t="str">
        <f aca="false">IFERROR(INDEX(종합!W$3:W$501,MATCH(ROW()-2,종합!$AE$3:$AE$501,0))&amp;"","")</f>
        <v/>
      </c>
      <c r="X64" s="21" t="str">
        <f aca="false">IFERROR(INDEX(종합!X$3:X$501,MATCH(ROW()-2,종합!$AE$3:$AE$501,0))&amp;"","")</f>
        <v/>
      </c>
      <c r="Y64" s="21" t="str">
        <f aca="false">IFERROR(INDEX(종합!Y$3:Y$501,MATCH(ROW()-2,종합!$AE$3:$AE$501,0))&amp;"","")</f>
        <v/>
      </c>
      <c r="Z64" s="21" t="str">
        <f aca="false">IFERROR(INDEX(종합!Z$3:Z$501,MATCH(ROW()-2,종합!$AE$3:$AE$501,0))&amp;"","")</f>
        <v/>
      </c>
    </row>
    <row r="65" customFormat="false" ht="16.5" hidden="false" customHeight="true" outlineLevel="0" collapsed="false">
      <c r="A65" s="18" t="str">
        <f aca="false">IF(B65="","",ROW()-2)</f>
        <v/>
      </c>
      <c r="B65" s="18" t="str">
        <f aca="false">IFERROR(INDEX(종합!B$3:B$501,MATCH(ROW()-2,종합!$AE$3:$AE$501,0))&amp;"","")</f>
        <v/>
      </c>
      <c r="C65" s="18" t="str">
        <f aca="false">IFERROR(INDEX(종합!C$3:C$501,MATCH(ROW()-2,종합!$AE$3:$AE$501,0))&amp;"","")</f>
        <v/>
      </c>
      <c r="D65" s="18" t="str">
        <f aca="false">IFERROR(INDEX(종합!D$3:D$501,MATCH(ROW()-2,종합!$AE$3:$AE$501,0))&amp;"","")</f>
        <v/>
      </c>
      <c r="E65" s="18" t="str">
        <f aca="false">IFERROR(INDEX(종합!E$3:E$501,MATCH(ROW()-2,종합!$AE$3:$AE$501,0))&amp;"","")</f>
        <v/>
      </c>
      <c r="F65" s="18" t="str">
        <f aca="false">IFERROR(INDEX(종합!F$3:F$501,MATCH(ROW()-2,종합!$AE$3:$AE$501,0))&amp;"","")</f>
        <v/>
      </c>
      <c r="G65" s="18" t="str">
        <f aca="false">IFERROR(INDEX(종합!G$3:G$501,MATCH(ROW()-2,종합!$AE$3:$AE$501,0))&amp;"","")</f>
        <v/>
      </c>
      <c r="H65" s="21" t="str">
        <f aca="false">IFERROR(INDEX(종합!H$3:H$501,MATCH(ROW()-2,종합!$AE$3:$AE$501,0))&amp;"","")</f>
        <v/>
      </c>
      <c r="I65" s="21" t="str">
        <f aca="false">IFERROR(INDEX(종합!I$3:I$501,MATCH(ROW()-2,종합!$AE$3:$AE$501,0))&amp;"","")</f>
        <v/>
      </c>
      <c r="J65" s="21" t="str">
        <f aca="false">IFERROR(INDEX(종합!J$3:J$501,MATCH(ROW()-2,종합!$AE$3:$AE$501,0))&amp;"","")</f>
        <v/>
      </c>
      <c r="K65" s="21" t="str">
        <f aca="false">IFERROR(INDEX(종합!K$3:K$501,MATCH(ROW()-2,종합!$AE$3:$AE$501,0))&amp;"","")</f>
        <v/>
      </c>
      <c r="L65" s="21" t="str">
        <f aca="false">IFERROR(INDEX(종합!L$3:L$501,MATCH(ROW()-2,종합!$AE$3:$AE$501,0))&amp;"","")</f>
        <v/>
      </c>
      <c r="M65" s="21" t="str">
        <f aca="false">IFERROR(INDEX(종합!M$3:M$501,MATCH(ROW()-2,종합!$AE$3:$AE$501,0))&amp;"","")</f>
        <v/>
      </c>
      <c r="N65" s="25" t="str">
        <f aca="false">IFERROR(INDEX(종합!N$3:N$501,MATCH(ROW()-2,종합!$AE$3:$AE$501,0))&amp;"","")</f>
        <v/>
      </c>
      <c r="O65" s="21" t="str">
        <f aca="false">IFERROR(INDEX(종합!O$3:O$501,MATCH(ROW()-2,종합!$AE$3:$AE$501,0))&amp;"","")</f>
        <v/>
      </c>
      <c r="P65" s="21" t="str">
        <f aca="false">IFERROR(INDEX(종합!P$3:P$501,MATCH(ROW()-2,종합!$AE$3:$AE$501,0))&amp;"","")</f>
        <v/>
      </c>
      <c r="Q65" s="21" t="str">
        <f aca="false">IFERROR(INDEX(종합!Q$3:Q$501,MATCH(ROW()-2,종합!$AE$3:$AE$501,0))&amp;"","")</f>
        <v/>
      </c>
      <c r="R65" s="21" t="str">
        <f aca="false">IFERROR(INDEX(종합!R$3:R$501,MATCH(ROW()-2,종합!$AE$3:$AE$501,0))&amp;"","")</f>
        <v/>
      </c>
      <c r="S65" s="21" t="str">
        <f aca="false">IFERROR(INDEX(종합!S$3:S$501,MATCH(ROW()-2,종합!$AE$3:$AE$501,0))&amp;"","")</f>
        <v/>
      </c>
      <c r="T65" s="21" t="str">
        <f aca="false">IFERROR(INDEX(종합!T$3:T$501,MATCH(ROW()-2,종합!$AE$3:$AE$501,0))&amp;"","")</f>
        <v/>
      </c>
      <c r="U65" s="21" t="str">
        <f aca="false">IFERROR(INDEX(종합!U$3:U$501,MATCH(ROW()-2,종합!$AE$3:$AE$501,0))&amp;"","")</f>
        <v/>
      </c>
      <c r="V65" s="21" t="str">
        <f aca="false">IFERROR(INDEX(종합!V$3:V$501,MATCH(ROW()-2,종합!$AE$3:$AE$501,0))&amp;"","")</f>
        <v/>
      </c>
      <c r="W65" s="21" t="str">
        <f aca="false">IFERROR(INDEX(종합!W$3:W$501,MATCH(ROW()-2,종합!$AE$3:$AE$501,0))&amp;"","")</f>
        <v/>
      </c>
      <c r="X65" s="21" t="str">
        <f aca="false">IFERROR(INDEX(종합!X$3:X$501,MATCH(ROW()-2,종합!$AE$3:$AE$501,0))&amp;"","")</f>
        <v/>
      </c>
      <c r="Y65" s="21" t="str">
        <f aca="false">IFERROR(INDEX(종합!Y$3:Y$501,MATCH(ROW()-2,종합!$AE$3:$AE$501,0))&amp;"","")</f>
        <v/>
      </c>
      <c r="Z65" s="21" t="str">
        <f aca="false">IFERROR(INDEX(종합!Z$3:Z$501,MATCH(ROW()-2,종합!$AE$3:$AE$501,0))&amp;"","")</f>
        <v/>
      </c>
    </row>
    <row r="66" customFormat="false" ht="16.5" hidden="false" customHeight="true" outlineLevel="0" collapsed="false">
      <c r="A66" s="18" t="str">
        <f aca="false">IF(B66="","",ROW()-2)</f>
        <v/>
      </c>
      <c r="B66" s="18" t="str">
        <f aca="false">IFERROR(INDEX(종합!B$3:B$501,MATCH(ROW()-2,종합!$AE$3:$AE$501,0))&amp;"","")</f>
        <v/>
      </c>
      <c r="C66" s="18" t="str">
        <f aca="false">IFERROR(INDEX(종합!C$3:C$501,MATCH(ROW()-2,종합!$AE$3:$AE$501,0))&amp;"","")</f>
        <v/>
      </c>
      <c r="D66" s="18" t="str">
        <f aca="false">IFERROR(INDEX(종합!D$3:D$501,MATCH(ROW()-2,종합!$AE$3:$AE$501,0))&amp;"","")</f>
        <v/>
      </c>
      <c r="E66" s="18" t="str">
        <f aca="false">IFERROR(INDEX(종합!E$3:E$501,MATCH(ROW()-2,종합!$AE$3:$AE$501,0))&amp;"","")</f>
        <v/>
      </c>
      <c r="F66" s="18" t="str">
        <f aca="false">IFERROR(INDEX(종합!F$3:F$501,MATCH(ROW()-2,종합!$AE$3:$AE$501,0))&amp;"","")</f>
        <v/>
      </c>
      <c r="G66" s="18" t="str">
        <f aca="false">IFERROR(INDEX(종합!G$3:G$501,MATCH(ROW()-2,종합!$AE$3:$AE$501,0))&amp;"","")</f>
        <v/>
      </c>
      <c r="H66" s="21" t="str">
        <f aca="false">IFERROR(INDEX(종합!H$3:H$501,MATCH(ROW()-2,종합!$AE$3:$AE$501,0))&amp;"","")</f>
        <v/>
      </c>
      <c r="I66" s="21" t="str">
        <f aca="false">IFERROR(INDEX(종합!I$3:I$501,MATCH(ROW()-2,종합!$AE$3:$AE$501,0))&amp;"","")</f>
        <v/>
      </c>
      <c r="J66" s="21" t="str">
        <f aca="false">IFERROR(INDEX(종합!J$3:J$501,MATCH(ROW()-2,종합!$AE$3:$AE$501,0))&amp;"","")</f>
        <v/>
      </c>
      <c r="K66" s="21" t="str">
        <f aca="false">IFERROR(INDEX(종합!K$3:K$501,MATCH(ROW()-2,종합!$AE$3:$AE$501,0))&amp;"","")</f>
        <v/>
      </c>
      <c r="L66" s="21" t="str">
        <f aca="false">IFERROR(INDEX(종합!L$3:L$501,MATCH(ROW()-2,종합!$AE$3:$AE$501,0))&amp;"","")</f>
        <v/>
      </c>
      <c r="M66" s="21" t="str">
        <f aca="false">IFERROR(INDEX(종합!M$3:M$501,MATCH(ROW()-2,종합!$AE$3:$AE$501,0))&amp;"","")</f>
        <v/>
      </c>
      <c r="N66" s="25" t="str">
        <f aca="false">IFERROR(INDEX(종합!N$3:N$501,MATCH(ROW()-2,종합!$AE$3:$AE$501,0))&amp;"","")</f>
        <v/>
      </c>
      <c r="O66" s="21" t="str">
        <f aca="false">IFERROR(INDEX(종합!O$3:O$501,MATCH(ROW()-2,종합!$AE$3:$AE$501,0))&amp;"","")</f>
        <v/>
      </c>
      <c r="P66" s="21" t="str">
        <f aca="false">IFERROR(INDEX(종합!P$3:P$501,MATCH(ROW()-2,종합!$AE$3:$AE$501,0))&amp;"","")</f>
        <v/>
      </c>
      <c r="Q66" s="21" t="str">
        <f aca="false">IFERROR(INDEX(종합!Q$3:Q$501,MATCH(ROW()-2,종합!$AE$3:$AE$501,0))&amp;"","")</f>
        <v/>
      </c>
      <c r="R66" s="21" t="str">
        <f aca="false">IFERROR(INDEX(종합!R$3:R$501,MATCH(ROW()-2,종합!$AE$3:$AE$501,0))&amp;"","")</f>
        <v/>
      </c>
      <c r="S66" s="21" t="str">
        <f aca="false">IFERROR(INDEX(종합!S$3:S$501,MATCH(ROW()-2,종합!$AE$3:$AE$501,0))&amp;"","")</f>
        <v/>
      </c>
      <c r="T66" s="21" t="str">
        <f aca="false">IFERROR(INDEX(종합!T$3:T$501,MATCH(ROW()-2,종합!$AE$3:$AE$501,0))&amp;"","")</f>
        <v/>
      </c>
      <c r="U66" s="21" t="str">
        <f aca="false">IFERROR(INDEX(종합!U$3:U$501,MATCH(ROW()-2,종합!$AE$3:$AE$501,0))&amp;"","")</f>
        <v/>
      </c>
      <c r="V66" s="21" t="str">
        <f aca="false">IFERROR(INDEX(종합!V$3:V$501,MATCH(ROW()-2,종합!$AE$3:$AE$501,0))&amp;"","")</f>
        <v/>
      </c>
      <c r="W66" s="21" t="str">
        <f aca="false">IFERROR(INDEX(종합!W$3:W$501,MATCH(ROW()-2,종합!$AE$3:$AE$501,0))&amp;"","")</f>
        <v/>
      </c>
      <c r="X66" s="21" t="str">
        <f aca="false">IFERROR(INDEX(종합!X$3:X$501,MATCH(ROW()-2,종합!$AE$3:$AE$501,0))&amp;"","")</f>
        <v/>
      </c>
      <c r="Y66" s="21" t="str">
        <f aca="false">IFERROR(INDEX(종합!Y$3:Y$501,MATCH(ROW()-2,종합!$AE$3:$AE$501,0))&amp;"","")</f>
        <v/>
      </c>
      <c r="Z66" s="21" t="str">
        <f aca="false">IFERROR(INDEX(종합!Z$3:Z$501,MATCH(ROW()-2,종합!$AE$3:$AE$501,0))&amp;"","")</f>
        <v/>
      </c>
    </row>
    <row r="67" customFormat="false" ht="16.5" hidden="false" customHeight="true" outlineLevel="0" collapsed="false">
      <c r="A67" s="18" t="str">
        <f aca="false">IF(B67="","",ROW()-2)</f>
        <v/>
      </c>
      <c r="B67" s="18" t="str">
        <f aca="false">IFERROR(INDEX(종합!B$3:B$501,MATCH(ROW()-2,종합!$AE$3:$AE$501,0))&amp;"","")</f>
        <v/>
      </c>
      <c r="C67" s="18" t="str">
        <f aca="false">IFERROR(INDEX(종합!C$3:C$501,MATCH(ROW()-2,종합!$AE$3:$AE$501,0))&amp;"","")</f>
        <v/>
      </c>
      <c r="D67" s="18" t="str">
        <f aca="false">IFERROR(INDEX(종합!D$3:D$501,MATCH(ROW()-2,종합!$AE$3:$AE$501,0))&amp;"","")</f>
        <v/>
      </c>
      <c r="E67" s="18" t="str">
        <f aca="false">IFERROR(INDEX(종합!E$3:E$501,MATCH(ROW()-2,종합!$AE$3:$AE$501,0))&amp;"","")</f>
        <v/>
      </c>
      <c r="F67" s="18" t="str">
        <f aca="false">IFERROR(INDEX(종합!F$3:F$501,MATCH(ROW()-2,종합!$AE$3:$AE$501,0))&amp;"","")</f>
        <v/>
      </c>
      <c r="G67" s="18" t="str">
        <f aca="false">IFERROR(INDEX(종합!G$3:G$501,MATCH(ROW()-2,종합!$AE$3:$AE$501,0))&amp;"","")</f>
        <v/>
      </c>
      <c r="H67" s="21" t="str">
        <f aca="false">IFERROR(INDEX(종합!H$3:H$501,MATCH(ROW()-2,종합!$AE$3:$AE$501,0))&amp;"","")</f>
        <v/>
      </c>
      <c r="I67" s="21" t="str">
        <f aca="false">IFERROR(INDEX(종합!I$3:I$501,MATCH(ROW()-2,종합!$AE$3:$AE$501,0))&amp;"","")</f>
        <v/>
      </c>
      <c r="J67" s="21" t="str">
        <f aca="false">IFERROR(INDEX(종합!J$3:J$501,MATCH(ROW()-2,종합!$AE$3:$AE$501,0))&amp;"","")</f>
        <v/>
      </c>
      <c r="K67" s="21" t="str">
        <f aca="false">IFERROR(INDEX(종합!K$3:K$501,MATCH(ROW()-2,종합!$AE$3:$AE$501,0))&amp;"","")</f>
        <v/>
      </c>
      <c r="L67" s="21" t="str">
        <f aca="false">IFERROR(INDEX(종합!L$3:L$501,MATCH(ROW()-2,종합!$AE$3:$AE$501,0))&amp;"","")</f>
        <v/>
      </c>
      <c r="M67" s="21" t="str">
        <f aca="false">IFERROR(INDEX(종합!M$3:M$501,MATCH(ROW()-2,종합!$AE$3:$AE$501,0))&amp;"","")</f>
        <v/>
      </c>
      <c r="N67" s="25" t="str">
        <f aca="false">IFERROR(INDEX(종합!N$3:N$501,MATCH(ROW()-2,종합!$AE$3:$AE$501,0))&amp;"","")</f>
        <v/>
      </c>
      <c r="O67" s="21" t="str">
        <f aca="false">IFERROR(INDEX(종합!O$3:O$501,MATCH(ROW()-2,종합!$AE$3:$AE$501,0))&amp;"","")</f>
        <v/>
      </c>
      <c r="P67" s="21" t="str">
        <f aca="false">IFERROR(INDEX(종합!P$3:P$501,MATCH(ROW()-2,종합!$AE$3:$AE$501,0))&amp;"","")</f>
        <v/>
      </c>
      <c r="Q67" s="21" t="str">
        <f aca="false">IFERROR(INDEX(종합!Q$3:Q$501,MATCH(ROW()-2,종합!$AE$3:$AE$501,0))&amp;"","")</f>
        <v/>
      </c>
      <c r="R67" s="21" t="str">
        <f aca="false">IFERROR(INDEX(종합!R$3:R$501,MATCH(ROW()-2,종합!$AE$3:$AE$501,0))&amp;"","")</f>
        <v/>
      </c>
      <c r="S67" s="21" t="str">
        <f aca="false">IFERROR(INDEX(종합!S$3:S$501,MATCH(ROW()-2,종합!$AE$3:$AE$501,0))&amp;"","")</f>
        <v/>
      </c>
      <c r="T67" s="21" t="str">
        <f aca="false">IFERROR(INDEX(종합!T$3:T$501,MATCH(ROW()-2,종합!$AE$3:$AE$501,0))&amp;"","")</f>
        <v/>
      </c>
      <c r="U67" s="21" t="str">
        <f aca="false">IFERROR(INDEX(종합!U$3:U$501,MATCH(ROW()-2,종합!$AE$3:$AE$501,0))&amp;"","")</f>
        <v/>
      </c>
      <c r="V67" s="21" t="str">
        <f aca="false">IFERROR(INDEX(종합!V$3:V$501,MATCH(ROW()-2,종합!$AE$3:$AE$501,0))&amp;"","")</f>
        <v/>
      </c>
      <c r="W67" s="21" t="str">
        <f aca="false">IFERROR(INDEX(종합!W$3:W$501,MATCH(ROW()-2,종합!$AE$3:$AE$501,0))&amp;"","")</f>
        <v/>
      </c>
      <c r="X67" s="21" t="str">
        <f aca="false">IFERROR(INDEX(종합!X$3:X$501,MATCH(ROW()-2,종합!$AE$3:$AE$501,0))&amp;"","")</f>
        <v/>
      </c>
      <c r="Y67" s="21" t="str">
        <f aca="false">IFERROR(INDEX(종합!Y$3:Y$501,MATCH(ROW()-2,종합!$AE$3:$AE$501,0))&amp;"","")</f>
        <v/>
      </c>
      <c r="Z67" s="21" t="str">
        <f aca="false">IFERROR(INDEX(종합!Z$3:Z$501,MATCH(ROW()-2,종합!$AE$3:$AE$501,0))&amp;"","")</f>
        <v/>
      </c>
    </row>
    <row r="68" customFormat="false" ht="16.5" hidden="false" customHeight="true" outlineLevel="0" collapsed="false">
      <c r="A68" s="18" t="str">
        <f aca="false">IF(B68="","",ROW()-2)</f>
        <v/>
      </c>
      <c r="B68" s="18" t="str">
        <f aca="false">IFERROR(INDEX(종합!B$3:B$501,MATCH(ROW()-2,종합!$AE$3:$AE$501,0))&amp;"","")</f>
        <v/>
      </c>
      <c r="C68" s="18" t="str">
        <f aca="false">IFERROR(INDEX(종합!C$3:C$501,MATCH(ROW()-2,종합!$AE$3:$AE$501,0))&amp;"","")</f>
        <v/>
      </c>
      <c r="D68" s="18" t="str">
        <f aca="false">IFERROR(INDEX(종합!D$3:D$501,MATCH(ROW()-2,종합!$AE$3:$AE$501,0))&amp;"","")</f>
        <v/>
      </c>
      <c r="E68" s="18" t="str">
        <f aca="false">IFERROR(INDEX(종합!E$3:E$501,MATCH(ROW()-2,종합!$AE$3:$AE$501,0))&amp;"","")</f>
        <v/>
      </c>
      <c r="F68" s="18" t="str">
        <f aca="false">IFERROR(INDEX(종합!F$3:F$501,MATCH(ROW()-2,종합!$AE$3:$AE$501,0))&amp;"","")</f>
        <v/>
      </c>
      <c r="G68" s="18" t="str">
        <f aca="false">IFERROR(INDEX(종합!G$3:G$501,MATCH(ROW()-2,종합!$AE$3:$AE$501,0))&amp;"","")</f>
        <v/>
      </c>
      <c r="H68" s="21" t="str">
        <f aca="false">IFERROR(INDEX(종합!H$3:H$501,MATCH(ROW()-2,종합!$AE$3:$AE$501,0))&amp;"","")</f>
        <v/>
      </c>
      <c r="I68" s="21" t="str">
        <f aca="false">IFERROR(INDEX(종합!I$3:I$501,MATCH(ROW()-2,종합!$AE$3:$AE$501,0))&amp;"","")</f>
        <v/>
      </c>
      <c r="J68" s="21" t="str">
        <f aca="false">IFERROR(INDEX(종합!J$3:J$501,MATCH(ROW()-2,종합!$AE$3:$AE$501,0))&amp;"","")</f>
        <v/>
      </c>
      <c r="K68" s="21" t="str">
        <f aca="false">IFERROR(INDEX(종합!K$3:K$501,MATCH(ROW()-2,종합!$AE$3:$AE$501,0))&amp;"","")</f>
        <v/>
      </c>
      <c r="L68" s="21" t="str">
        <f aca="false">IFERROR(INDEX(종합!L$3:L$501,MATCH(ROW()-2,종합!$AE$3:$AE$501,0))&amp;"","")</f>
        <v/>
      </c>
      <c r="M68" s="21" t="str">
        <f aca="false">IFERROR(INDEX(종합!M$3:M$501,MATCH(ROW()-2,종합!$AE$3:$AE$501,0))&amp;"","")</f>
        <v/>
      </c>
      <c r="N68" s="25" t="str">
        <f aca="false">IFERROR(INDEX(종합!N$3:N$501,MATCH(ROW()-2,종합!$AE$3:$AE$501,0))&amp;"","")</f>
        <v/>
      </c>
      <c r="O68" s="21" t="str">
        <f aca="false">IFERROR(INDEX(종합!O$3:O$501,MATCH(ROW()-2,종합!$AE$3:$AE$501,0))&amp;"","")</f>
        <v/>
      </c>
      <c r="P68" s="21" t="str">
        <f aca="false">IFERROR(INDEX(종합!P$3:P$501,MATCH(ROW()-2,종합!$AE$3:$AE$501,0))&amp;"","")</f>
        <v/>
      </c>
      <c r="Q68" s="21" t="str">
        <f aca="false">IFERROR(INDEX(종합!Q$3:Q$501,MATCH(ROW()-2,종합!$AE$3:$AE$501,0))&amp;"","")</f>
        <v/>
      </c>
      <c r="R68" s="21" t="str">
        <f aca="false">IFERROR(INDEX(종합!R$3:R$501,MATCH(ROW()-2,종합!$AE$3:$AE$501,0))&amp;"","")</f>
        <v/>
      </c>
      <c r="S68" s="21" t="str">
        <f aca="false">IFERROR(INDEX(종합!S$3:S$501,MATCH(ROW()-2,종합!$AE$3:$AE$501,0))&amp;"","")</f>
        <v/>
      </c>
      <c r="T68" s="21" t="str">
        <f aca="false">IFERROR(INDEX(종합!T$3:T$501,MATCH(ROW()-2,종합!$AE$3:$AE$501,0))&amp;"","")</f>
        <v/>
      </c>
      <c r="U68" s="21" t="str">
        <f aca="false">IFERROR(INDEX(종합!U$3:U$501,MATCH(ROW()-2,종합!$AE$3:$AE$501,0))&amp;"","")</f>
        <v/>
      </c>
      <c r="V68" s="21" t="str">
        <f aca="false">IFERROR(INDEX(종합!V$3:V$501,MATCH(ROW()-2,종합!$AE$3:$AE$501,0))&amp;"","")</f>
        <v/>
      </c>
      <c r="W68" s="21" t="str">
        <f aca="false">IFERROR(INDEX(종합!W$3:W$501,MATCH(ROW()-2,종합!$AE$3:$AE$501,0))&amp;"","")</f>
        <v/>
      </c>
      <c r="X68" s="21" t="str">
        <f aca="false">IFERROR(INDEX(종합!X$3:X$501,MATCH(ROW()-2,종합!$AE$3:$AE$501,0))&amp;"","")</f>
        <v/>
      </c>
      <c r="Y68" s="21" t="str">
        <f aca="false">IFERROR(INDEX(종합!Y$3:Y$501,MATCH(ROW()-2,종합!$AE$3:$AE$501,0))&amp;"","")</f>
        <v/>
      </c>
      <c r="Z68" s="21" t="str">
        <f aca="false">IFERROR(INDEX(종합!Z$3:Z$501,MATCH(ROW()-2,종합!$AE$3:$AE$501,0))&amp;"","")</f>
        <v/>
      </c>
    </row>
    <row r="69" customFormat="false" ht="16.5" hidden="false" customHeight="true" outlineLevel="0" collapsed="false">
      <c r="A69" s="18" t="str">
        <f aca="false">IF(B69="","",ROW()-2)</f>
        <v/>
      </c>
      <c r="B69" s="18" t="str">
        <f aca="false">IFERROR(INDEX(종합!B$3:B$501,MATCH(ROW()-2,종합!$AE$3:$AE$501,0))&amp;"","")</f>
        <v/>
      </c>
      <c r="C69" s="18" t="str">
        <f aca="false">IFERROR(INDEX(종합!C$3:C$501,MATCH(ROW()-2,종합!$AE$3:$AE$501,0))&amp;"","")</f>
        <v/>
      </c>
      <c r="D69" s="18" t="str">
        <f aca="false">IFERROR(INDEX(종합!D$3:D$501,MATCH(ROW()-2,종합!$AE$3:$AE$501,0))&amp;"","")</f>
        <v/>
      </c>
      <c r="E69" s="18" t="str">
        <f aca="false">IFERROR(INDEX(종합!E$3:E$501,MATCH(ROW()-2,종합!$AE$3:$AE$501,0))&amp;"","")</f>
        <v/>
      </c>
      <c r="F69" s="18" t="str">
        <f aca="false">IFERROR(INDEX(종합!F$3:F$501,MATCH(ROW()-2,종합!$AE$3:$AE$501,0))&amp;"","")</f>
        <v/>
      </c>
      <c r="G69" s="18" t="str">
        <f aca="false">IFERROR(INDEX(종합!G$3:G$501,MATCH(ROW()-2,종합!$AE$3:$AE$501,0))&amp;"","")</f>
        <v/>
      </c>
      <c r="H69" s="21" t="str">
        <f aca="false">IFERROR(INDEX(종합!H$3:H$501,MATCH(ROW()-2,종합!$AE$3:$AE$501,0))&amp;"","")</f>
        <v/>
      </c>
      <c r="I69" s="21" t="str">
        <f aca="false">IFERROR(INDEX(종합!I$3:I$501,MATCH(ROW()-2,종합!$AE$3:$AE$501,0))&amp;"","")</f>
        <v/>
      </c>
      <c r="J69" s="21" t="str">
        <f aca="false">IFERROR(INDEX(종합!J$3:J$501,MATCH(ROW()-2,종합!$AE$3:$AE$501,0))&amp;"","")</f>
        <v/>
      </c>
      <c r="K69" s="21" t="str">
        <f aca="false">IFERROR(INDEX(종합!K$3:K$501,MATCH(ROW()-2,종합!$AE$3:$AE$501,0))&amp;"","")</f>
        <v/>
      </c>
      <c r="L69" s="21" t="str">
        <f aca="false">IFERROR(INDEX(종합!L$3:L$501,MATCH(ROW()-2,종합!$AE$3:$AE$501,0))&amp;"","")</f>
        <v/>
      </c>
      <c r="M69" s="21" t="str">
        <f aca="false">IFERROR(INDEX(종합!M$3:M$501,MATCH(ROW()-2,종합!$AE$3:$AE$501,0))&amp;"","")</f>
        <v/>
      </c>
      <c r="N69" s="25" t="str">
        <f aca="false">IFERROR(INDEX(종합!N$3:N$501,MATCH(ROW()-2,종합!$AE$3:$AE$501,0))&amp;"","")</f>
        <v/>
      </c>
      <c r="O69" s="21" t="str">
        <f aca="false">IFERROR(INDEX(종합!O$3:O$501,MATCH(ROW()-2,종합!$AE$3:$AE$501,0))&amp;"","")</f>
        <v/>
      </c>
      <c r="P69" s="21" t="str">
        <f aca="false">IFERROR(INDEX(종합!P$3:P$501,MATCH(ROW()-2,종합!$AE$3:$AE$501,0))&amp;"","")</f>
        <v/>
      </c>
      <c r="Q69" s="21" t="str">
        <f aca="false">IFERROR(INDEX(종합!Q$3:Q$501,MATCH(ROW()-2,종합!$AE$3:$AE$501,0))&amp;"","")</f>
        <v/>
      </c>
      <c r="R69" s="21" t="str">
        <f aca="false">IFERROR(INDEX(종합!R$3:R$501,MATCH(ROW()-2,종합!$AE$3:$AE$501,0))&amp;"","")</f>
        <v/>
      </c>
      <c r="S69" s="21" t="str">
        <f aca="false">IFERROR(INDEX(종합!S$3:S$501,MATCH(ROW()-2,종합!$AE$3:$AE$501,0))&amp;"","")</f>
        <v/>
      </c>
      <c r="T69" s="21" t="str">
        <f aca="false">IFERROR(INDEX(종합!T$3:T$501,MATCH(ROW()-2,종합!$AE$3:$AE$501,0))&amp;"","")</f>
        <v/>
      </c>
      <c r="U69" s="21" t="str">
        <f aca="false">IFERROR(INDEX(종합!U$3:U$501,MATCH(ROW()-2,종합!$AE$3:$AE$501,0))&amp;"","")</f>
        <v/>
      </c>
      <c r="V69" s="21" t="str">
        <f aca="false">IFERROR(INDEX(종합!V$3:V$501,MATCH(ROW()-2,종합!$AE$3:$AE$501,0))&amp;"","")</f>
        <v/>
      </c>
      <c r="W69" s="21" t="str">
        <f aca="false">IFERROR(INDEX(종합!W$3:W$501,MATCH(ROW()-2,종합!$AE$3:$AE$501,0))&amp;"","")</f>
        <v/>
      </c>
      <c r="X69" s="21" t="str">
        <f aca="false">IFERROR(INDEX(종합!X$3:X$501,MATCH(ROW()-2,종합!$AE$3:$AE$501,0))&amp;"","")</f>
        <v/>
      </c>
      <c r="Y69" s="21" t="str">
        <f aca="false">IFERROR(INDEX(종합!Y$3:Y$501,MATCH(ROW()-2,종합!$AE$3:$AE$501,0))&amp;"","")</f>
        <v/>
      </c>
      <c r="Z69" s="21" t="str">
        <f aca="false">IFERROR(INDEX(종합!Z$3:Z$501,MATCH(ROW()-2,종합!$AE$3:$AE$501,0))&amp;"","")</f>
        <v/>
      </c>
    </row>
    <row r="70" customFormat="false" ht="16.5" hidden="false" customHeight="true" outlineLevel="0" collapsed="false">
      <c r="A70" s="18" t="str">
        <f aca="false">IF(B70="","",ROW()-2)</f>
        <v/>
      </c>
      <c r="B70" s="18" t="str">
        <f aca="false">IFERROR(INDEX(종합!B$3:B$501,MATCH(ROW()-2,종합!$AE$3:$AE$501,0))&amp;"","")</f>
        <v/>
      </c>
      <c r="C70" s="18" t="str">
        <f aca="false">IFERROR(INDEX(종합!C$3:C$501,MATCH(ROW()-2,종합!$AE$3:$AE$501,0))&amp;"","")</f>
        <v/>
      </c>
      <c r="D70" s="18" t="str">
        <f aca="false">IFERROR(INDEX(종합!D$3:D$501,MATCH(ROW()-2,종합!$AE$3:$AE$501,0))&amp;"","")</f>
        <v/>
      </c>
      <c r="E70" s="18" t="str">
        <f aca="false">IFERROR(INDEX(종합!E$3:E$501,MATCH(ROW()-2,종합!$AE$3:$AE$501,0))&amp;"","")</f>
        <v/>
      </c>
      <c r="F70" s="18" t="str">
        <f aca="false">IFERROR(INDEX(종합!F$3:F$501,MATCH(ROW()-2,종합!$AE$3:$AE$501,0))&amp;"","")</f>
        <v/>
      </c>
      <c r="G70" s="18" t="str">
        <f aca="false">IFERROR(INDEX(종합!G$3:G$501,MATCH(ROW()-2,종합!$AE$3:$AE$501,0))&amp;"","")</f>
        <v/>
      </c>
      <c r="H70" s="21" t="str">
        <f aca="false">IFERROR(INDEX(종합!H$3:H$501,MATCH(ROW()-2,종합!$AE$3:$AE$501,0))&amp;"","")</f>
        <v/>
      </c>
      <c r="I70" s="21" t="str">
        <f aca="false">IFERROR(INDEX(종합!I$3:I$501,MATCH(ROW()-2,종합!$AE$3:$AE$501,0))&amp;"","")</f>
        <v/>
      </c>
      <c r="J70" s="21" t="str">
        <f aca="false">IFERROR(INDEX(종합!J$3:J$501,MATCH(ROW()-2,종합!$AE$3:$AE$501,0))&amp;"","")</f>
        <v/>
      </c>
      <c r="K70" s="21" t="str">
        <f aca="false">IFERROR(INDEX(종합!K$3:K$501,MATCH(ROW()-2,종합!$AE$3:$AE$501,0))&amp;"","")</f>
        <v/>
      </c>
      <c r="L70" s="21" t="str">
        <f aca="false">IFERROR(INDEX(종합!L$3:L$501,MATCH(ROW()-2,종합!$AE$3:$AE$501,0))&amp;"","")</f>
        <v/>
      </c>
      <c r="M70" s="21" t="str">
        <f aca="false">IFERROR(INDEX(종합!M$3:M$501,MATCH(ROW()-2,종합!$AE$3:$AE$501,0))&amp;"","")</f>
        <v/>
      </c>
      <c r="N70" s="25" t="str">
        <f aca="false">IFERROR(INDEX(종합!N$3:N$501,MATCH(ROW()-2,종합!$AE$3:$AE$501,0))&amp;"","")</f>
        <v/>
      </c>
      <c r="O70" s="21" t="str">
        <f aca="false">IFERROR(INDEX(종합!O$3:O$501,MATCH(ROW()-2,종합!$AE$3:$AE$501,0))&amp;"","")</f>
        <v/>
      </c>
      <c r="P70" s="21" t="str">
        <f aca="false">IFERROR(INDEX(종합!P$3:P$501,MATCH(ROW()-2,종합!$AE$3:$AE$501,0))&amp;"","")</f>
        <v/>
      </c>
      <c r="Q70" s="21" t="str">
        <f aca="false">IFERROR(INDEX(종합!Q$3:Q$501,MATCH(ROW()-2,종합!$AE$3:$AE$501,0))&amp;"","")</f>
        <v/>
      </c>
      <c r="R70" s="21" t="str">
        <f aca="false">IFERROR(INDEX(종합!R$3:R$501,MATCH(ROW()-2,종합!$AE$3:$AE$501,0))&amp;"","")</f>
        <v/>
      </c>
      <c r="S70" s="21" t="str">
        <f aca="false">IFERROR(INDEX(종합!S$3:S$501,MATCH(ROW()-2,종합!$AE$3:$AE$501,0))&amp;"","")</f>
        <v/>
      </c>
      <c r="T70" s="21" t="str">
        <f aca="false">IFERROR(INDEX(종합!T$3:T$501,MATCH(ROW()-2,종합!$AE$3:$AE$501,0))&amp;"","")</f>
        <v/>
      </c>
      <c r="U70" s="21" t="str">
        <f aca="false">IFERROR(INDEX(종합!U$3:U$501,MATCH(ROW()-2,종합!$AE$3:$AE$501,0))&amp;"","")</f>
        <v/>
      </c>
      <c r="V70" s="21" t="str">
        <f aca="false">IFERROR(INDEX(종합!V$3:V$501,MATCH(ROW()-2,종합!$AE$3:$AE$501,0))&amp;"","")</f>
        <v/>
      </c>
      <c r="W70" s="21" t="str">
        <f aca="false">IFERROR(INDEX(종합!W$3:W$501,MATCH(ROW()-2,종합!$AE$3:$AE$501,0))&amp;"","")</f>
        <v/>
      </c>
      <c r="X70" s="21" t="str">
        <f aca="false">IFERROR(INDEX(종합!X$3:X$501,MATCH(ROW()-2,종합!$AE$3:$AE$501,0))&amp;"","")</f>
        <v/>
      </c>
      <c r="Y70" s="21" t="str">
        <f aca="false">IFERROR(INDEX(종합!Y$3:Y$501,MATCH(ROW()-2,종합!$AE$3:$AE$501,0))&amp;"","")</f>
        <v/>
      </c>
      <c r="Z70" s="21" t="str">
        <f aca="false">IFERROR(INDEX(종합!Z$3:Z$501,MATCH(ROW()-2,종합!$AE$3:$AE$501,0))&amp;"","")</f>
        <v/>
      </c>
    </row>
    <row r="71" customFormat="false" ht="16.5" hidden="false" customHeight="true" outlineLevel="0" collapsed="false">
      <c r="A71" s="18" t="str">
        <f aca="false">IF(B71="","",ROW()-2)</f>
        <v/>
      </c>
      <c r="B71" s="18" t="str">
        <f aca="false">IFERROR(INDEX(종합!B$3:B$501,MATCH(ROW()-2,종합!$AE$3:$AE$501,0))&amp;"","")</f>
        <v/>
      </c>
      <c r="C71" s="18" t="str">
        <f aca="false">IFERROR(INDEX(종합!C$3:C$501,MATCH(ROW()-2,종합!$AE$3:$AE$501,0))&amp;"","")</f>
        <v/>
      </c>
      <c r="D71" s="18" t="str">
        <f aca="false">IFERROR(INDEX(종합!D$3:D$501,MATCH(ROW()-2,종합!$AE$3:$AE$501,0))&amp;"","")</f>
        <v/>
      </c>
      <c r="E71" s="18" t="str">
        <f aca="false">IFERROR(INDEX(종합!E$3:E$501,MATCH(ROW()-2,종합!$AE$3:$AE$501,0))&amp;"","")</f>
        <v/>
      </c>
      <c r="F71" s="18" t="str">
        <f aca="false">IFERROR(INDEX(종합!F$3:F$501,MATCH(ROW()-2,종합!$AE$3:$AE$501,0))&amp;"","")</f>
        <v/>
      </c>
      <c r="G71" s="18" t="str">
        <f aca="false">IFERROR(INDEX(종합!G$3:G$501,MATCH(ROW()-2,종합!$AE$3:$AE$501,0))&amp;"","")</f>
        <v/>
      </c>
      <c r="H71" s="21" t="str">
        <f aca="false">IFERROR(INDEX(종합!H$3:H$501,MATCH(ROW()-2,종합!$AE$3:$AE$501,0))&amp;"","")</f>
        <v/>
      </c>
      <c r="I71" s="21" t="str">
        <f aca="false">IFERROR(INDEX(종합!I$3:I$501,MATCH(ROW()-2,종합!$AE$3:$AE$501,0))&amp;"","")</f>
        <v/>
      </c>
      <c r="J71" s="21" t="str">
        <f aca="false">IFERROR(INDEX(종합!J$3:J$501,MATCH(ROW()-2,종합!$AE$3:$AE$501,0))&amp;"","")</f>
        <v/>
      </c>
      <c r="K71" s="21" t="str">
        <f aca="false">IFERROR(INDEX(종합!K$3:K$501,MATCH(ROW()-2,종합!$AE$3:$AE$501,0))&amp;"","")</f>
        <v/>
      </c>
      <c r="L71" s="21" t="str">
        <f aca="false">IFERROR(INDEX(종합!L$3:L$501,MATCH(ROW()-2,종합!$AE$3:$AE$501,0))&amp;"","")</f>
        <v/>
      </c>
      <c r="M71" s="21" t="str">
        <f aca="false">IFERROR(INDEX(종합!M$3:M$501,MATCH(ROW()-2,종합!$AE$3:$AE$501,0))&amp;"","")</f>
        <v/>
      </c>
      <c r="N71" s="25" t="str">
        <f aca="false">IFERROR(INDEX(종합!N$3:N$501,MATCH(ROW()-2,종합!$AE$3:$AE$501,0))&amp;"","")</f>
        <v/>
      </c>
      <c r="O71" s="21" t="str">
        <f aca="false">IFERROR(INDEX(종합!O$3:O$501,MATCH(ROW()-2,종합!$AE$3:$AE$501,0))&amp;"","")</f>
        <v/>
      </c>
      <c r="P71" s="21" t="str">
        <f aca="false">IFERROR(INDEX(종합!P$3:P$501,MATCH(ROW()-2,종합!$AE$3:$AE$501,0))&amp;"","")</f>
        <v/>
      </c>
      <c r="Q71" s="21" t="str">
        <f aca="false">IFERROR(INDEX(종합!Q$3:Q$501,MATCH(ROW()-2,종합!$AE$3:$AE$501,0))&amp;"","")</f>
        <v/>
      </c>
      <c r="R71" s="21" t="str">
        <f aca="false">IFERROR(INDEX(종합!R$3:R$501,MATCH(ROW()-2,종합!$AE$3:$AE$501,0))&amp;"","")</f>
        <v/>
      </c>
      <c r="S71" s="21" t="str">
        <f aca="false">IFERROR(INDEX(종합!S$3:S$501,MATCH(ROW()-2,종합!$AE$3:$AE$501,0))&amp;"","")</f>
        <v/>
      </c>
      <c r="T71" s="21" t="str">
        <f aca="false">IFERROR(INDEX(종합!T$3:T$501,MATCH(ROW()-2,종합!$AE$3:$AE$501,0))&amp;"","")</f>
        <v/>
      </c>
      <c r="U71" s="21" t="str">
        <f aca="false">IFERROR(INDEX(종합!U$3:U$501,MATCH(ROW()-2,종합!$AE$3:$AE$501,0))&amp;"","")</f>
        <v/>
      </c>
      <c r="V71" s="21" t="str">
        <f aca="false">IFERROR(INDEX(종합!V$3:V$501,MATCH(ROW()-2,종합!$AE$3:$AE$501,0))&amp;"","")</f>
        <v/>
      </c>
      <c r="W71" s="21" t="str">
        <f aca="false">IFERROR(INDEX(종합!W$3:W$501,MATCH(ROW()-2,종합!$AE$3:$AE$501,0))&amp;"","")</f>
        <v/>
      </c>
      <c r="X71" s="21" t="str">
        <f aca="false">IFERROR(INDEX(종합!X$3:X$501,MATCH(ROW()-2,종합!$AE$3:$AE$501,0))&amp;"","")</f>
        <v/>
      </c>
      <c r="Y71" s="21" t="str">
        <f aca="false">IFERROR(INDEX(종합!Y$3:Y$501,MATCH(ROW()-2,종합!$AE$3:$AE$501,0))&amp;"","")</f>
        <v/>
      </c>
      <c r="Z71" s="21" t="str">
        <f aca="false">IFERROR(INDEX(종합!Z$3:Z$501,MATCH(ROW()-2,종합!$AE$3:$AE$501,0))&amp;"","")</f>
        <v/>
      </c>
    </row>
    <row r="72" customFormat="false" ht="16.5" hidden="false" customHeight="true" outlineLevel="0" collapsed="false">
      <c r="A72" s="18" t="str">
        <f aca="false">IF(B72="","",ROW()-2)</f>
        <v/>
      </c>
      <c r="B72" s="18" t="str">
        <f aca="false">IFERROR(INDEX(종합!B$3:B$501,MATCH(ROW()-2,종합!$AE$3:$AE$501,0))&amp;"","")</f>
        <v/>
      </c>
      <c r="C72" s="18" t="str">
        <f aca="false">IFERROR(INDEX(종합!C$3:C$501,MATCH(ROW()-2,종합!$AE$3:$AE$501,0))&amp;"","")</f>
        <v/>
      </c>
      <c r="D72" s="18" t="str">
        <f aca="false">IFERROR(INDEX(종합!D$3:D$501,MATCH(ROW()-2,종합!$AE$3:$AE$501,0))&amp;"","")</f>
        <v/>
      </c>
      <c r="E72" s="18" t="str">
        <f aca="false">IFERROR(INDEX(종합!E$3:E$501,MATCH(ROW()-2,종합!$AE$3:$AE$501,0))&amp;"","")</f>
        <v/>
      </c>
      <c r="F72" s="18" t="str">
        <f aca="false">IFERROR(INDEX(종합!F$3:F$501,MATCH(ROW()-2,종합!$AE$3:$AE$501,0))&amp;"","")</f>
        <v/>
      </c>
      <c r="G72" s="18" t="str">
        <f aca="false">IFERROR(INDEX(종합!G$3:G$501,MATCH(ROW()-2,종합!$AE$3:$AE$501,0))&amp;"","")</f>
        <v/>
      </c>
      <c r="H72" s="21" t="str">
        <f aca="false">IFERROR(INDEX(종합!H$3:H$501,MATCH(ROW()-2,종합!$AE$3:$AE$501,0))&amp;"","")</f>
        <v/>
      </c>
      <c r="I72" s="21" t="str">
        <f aca="false">IFERROR(INDEX(종합!I$3:I$501,MATCH(ROW()-2,종합!$AE$3:$AE$501,0))&amp;"","")</f>
        <v/>
      </c>
      <c r="J72" s="21" t="str">
        <f aca="false">IFERROR(INDEX(종합!J$3:J$501,MATCH(ROW()-2,종합!$AE$3:$AE$501,0))&amp;"","")</f>
        <v/>
      </c>
      <c r="K72" s="21" t="str">
        <f aca="false">IFERROR(INDEX(종합!K$3:K$501,MATCH(ROW()-2,종합!$AE$3:$AE$501,0))&amp;"","")</f>
        <v/>
      </c>
      <c r="L72" s="21" t="str">
        <f aca="false">IFERROR(INDEX(종합!L$3:L$501,MATCH(ROW()-2,종합!$AE$3:$AE$501,0))&amp;"","")</f>
        <v/>
      </c>
      <c r="M72" s="21" t="str">
        <f aca="false">IFERROR(INDEX(종합!M$3:M$501,MATCH(ROW()-2,종합!$AE$3:$AE$501,0))&amp;"","")</f>
        <v/>
      </c>
      <c r="N72" s="25" t="str">
        <f aca="false">IFERROR(INDEX(종합!N$3:N$501,MATCH(ROW()-2,종합!$AE$3:$AE$501,0))&amp;"","")</f>
        <v/>
      </c>
      <c r="O72" s="21" t="str">
        <f aca="false">IFERROR(INDEX(종합!O$3:O$501,MATCH(ROW()-2,종합!$AE$3:$AE$501,0))&amp;"","")</f>
        <v/>
      </c>
      <c r="P72" s="21" t="str">
        <f aca="false">IFERROR(INDEX(종합!P$3:P$501,MATCH(ROW()-2,종합!$AE$3:$AE$501,0))&amp;"","")</f>
        <v/>
      </c>
      <c r="Q72" s="21" t="str">
        <f aca="false">IFERROR(INDEX(종합!Q$3:Q$501,MATCH(ROW()-2,종합!$AE$3:$AE$501,0))&amp;"","")</f>
        <v/>
      </c>
      <c r="R72" s="21" t="str">
        <f aca="false">IFERROR(INDEX(종합!R$3:R$501,MATCH(ROW()-2,종합!$AE$3:$AE$501,0))&amp;"","")</f>
        <v/>
      </c>
      <c r="S72" s="21" t="str">
        <f aca="false">IFERROR(INDEX(종합!S$3:S$501,MATCH(ROW()-2,종합!$AE$3:$AE$501,0))&amp;"","")</f>
        <v/>
      </c>
      <c r="T72" s="21" t="str">
        <f aca="false">IFERROR(INDEX(종합!T$3:T$501,MATCH(ROW()-2,종합!$AE$3:$AE$501,0))&amp;"","")</f>
        <v/>
      </c>
      <c r="U72" s="21" t="str">
        <f aca="false">IFERROR(INDEX(종합!U$3:U$501,MATCH(ROW()-2,종합!$AE$3:$AE$501,0))&amp;"","")</f>
        <v/>
      </c>
      <c r="V72" s="21" t="str">
        <f aca="false">IFERROR(INDEX(종합!V$3:V$501,MATCH(ROW()-2,종합!$AE$3:$AE$501,0))&amp;"","")</f>
        <v/>
      </c>
      <c r="W72" s="21" t="str">
        <f aca="false">IFERROR(INDEX(종합!W$3:W$501,MATCH(ROW()-2,종합!$AE$3:$AE$501,0))&amp;"","")</f>
        <v/>
      </c>
      <c r="X72" s="21" t="str">
        <f aca="false">IFERROR(INDEX(종합!X$3:X$501,MATCH(ROW()-2,종합!$AE$3:$AE$501,0))&amp;"","")</f>
        <v/>
      </c>
      <c r="Y72" s="21" t="str">
        <f aca="false">IFERROR(INDEX(종합!Y$3:Y$501,MATCH(ROW()-2,종합!$AE$3:$AE$501,0))&amp;"","")</f>
        <v/>
      </c>
      <c r="Z72" s="21" t="str">
        <f aca="false">IFERROR(INDEX(종합!Z$3:Z$501,MATCH(ROW()-2,종합!$AE$3:$AE$501,0))&amp;"","")</f>
        <v/>
      </c>
    </row>
    <row r="73" customFormat="false" ht="16.5" hidden="false" customHeight="true" outlineLevel="0" collapsed="false">
      <c r="A73" s="18" t="str">
        <f aca="false">IF(B73="","",ROW()-2)</f>
        <v/>
      </c>
      <c r="B73" s="18" t="str">
        <f aca="false">IFERROR(INDEX(종합!B$3:B$501,MATCH(ROW()-2,종합!$AE$3:$AE$501,0))&amp;"","")</f>
        <v/>
      </c>
      <c r="C73" s="18" t="str">
        <f aca="false">IFERROR(INDEX(종합!C$3:C$501,MATCH(ROW()-2,종합!$AE$3:$AE$501,0))&amp;"","")</f>
        <v/>
      </c>
      <c r="D73" s="18" t="str">
        <f aca="false">IFERROR(INDEX(종합!D$3:D$501,MATCH(ROW()-2,종합!$AE$3:$AE$501,0))&amp;"","")</f>
        <v/>
      </c>
      <c r="E73" s="18" t="str">
        <f aca="false">IFERROR(INDEX(종합!E$3:E$501,MATCH(ROW()-2,종합!$AE$3:$AE$501,0))&amp;"","")</f>
        <v/>
      </c>
      <c r="F73" s="18" t="str">
        <f aca="false">IFERROR(INDEX(종합!F$3:F$501,MATCH(ROW()-2,종합!$AE$3:$AE$501,0))&amp;"","")</f>
        <v/>
      </c>
      <c r="G73" s="18" t="str">
        <f aca="false">IFERROR(INDEX(종합!G$3:G$501,MATCH(ROW()-2,종합!$AE$3:$AE$501,0))&amp;"","")</f>
        <v/>
      </c>
      <c r="H73" s="21" t="str">
        <f aca="false">IFERROR(INDEX(종합!H$3:H$501,MATCH(ROW()-2,종합!$AE$3:$AE$501,0))&amp;"","")</f>
        <v/>
      </c>
      <c r="I73" s="21" t="str">
        <f aca="false">IFERROR(INDEX(종합!I$3:I$501,MATCH(ROW()-2,종합!$AE$3:$AE$501,0))&amp;"","")</f>
        <v/>
      </c>
      <c r="J73" s="21" t="str">
        <f aca="false">IFERROR(INDEX(종합!J$3:J$501,MATCH(ROW()-2,종합!$AE$3:$AE$501,0))&amp;"","")</f>
        <v/>
      </c>
      <c r="K73" s="21" t="str">
        <f aca="false">IFERROR(INDEX(종합!K$3:K$501,MATCH(ROW()-2,종합!$AE$3:$AE$501,0))&amp;"","")</f>
        <v/>
      </c>
      <c r="L73" s="21" t="str">
        <f aca="false">IFERROR(INDEX(종합!L$3:L$501,MATCH(ROW()-2,종합!$AE$3:$AE$501,0))&amp;"","")</f>
        <v/>
      </c>
      <c r="M73" s="21" t="str">
        <f aca="false">IFERROR(INDEX(종합!M$3:M$501,MATCH(ROW()-2,종합!$AE$3:$AE$501,0))&amp;"","")</f>
        <v/>
      </c>
      <c r="N73" s="25" t="str">
        <f aca="false">IFERROR(INDEX(종합!N$3:N$501,MATCH(ROW()-2,종합!$AE$3:$AE$501,0))&amp;"","")</f>
        <v/>
      </c>
      <c r="O73" s="21" t="str">
        <f aca="false">IFERROR(INDEX(종합!O$3:O$501,MATCH(ROW()-2,종합!$AE$3:$AE$501,0))&amp;"","")</f>
        <v/>
      </c>
      <c r="P73" s="21" t="str">
        <f aca="false">IFERROR(INDEX(종합!P$3:P$501,MATCH(ROW()-2,종합!$AE$3:$AE$501,0))&amp;"","")</f>
        <v/>
      </c>
      <c r="Q73" s="21" t="str">
        <f aca="false">IFERROR(INDEX(종합!Q$3:Q$501,MATCH(ROW()-2,종합!$AE$3:$AE$501,0))&amp;"","")</f>
        <v/>
      </c>
      <c r="R73" s="21" t="str">
        <f aca="false">IFERROR(INDEX(종합!R$3:R$501,MATCH(ROW()-2,종합!$AE$3:$AE$501,0))&amp;"","")</f>
        <v/>
      </c>
      <c r="S73" s="21" t="str">
        <f aca="false">IFERROR(INDEX(종합!S$3:S$501,MATCH(ROW()-2,종합!$AE$3:$AE$501,0))&amp;"","")</f>
        <v/>
      </c>
      <c r="T73" s="21" t="str">
        <f aca="false">IFERROR(INDEX(종합!T$3:T$501,MATCH(ROW()-2,종합!$AE$3:$AE$501,0))&amp;"","")</f>
        <v/>
      </c>
      <c r="U73" s="21" t="str">
        <f aca="false">IFERROR(INDEX(종합!U$3:U$501,MATCH(ROW()-2,종합!$AE$3:$AE$501,0))&amp;"","")</f>
        <v/>
      </c>
      <c r="V73" s="21" t="str">
        <f aca="false">IFERROR(INDEX(종합!V$3:V$501,MATCH(ROW()-2,종합!$AE$3:$AE$501,0))&amp;"","")</f>
        <v/>
      </c>
      <c r="W73" s="21" t="str">
        <f aca="false">IFERROR(INDEX(종합!W$3:W$501,MATCH(ROW()-2,종합!$AE$3:$AE$501,0))&amp;"","")</f>
        <v/>
      </c>
      <c r="X73" s="21" t="str">
        <f aca="false">IFERROR(INDEX(종합!X$3:X$501,MATCH(ROW()-2,종합!$AE$3:$AE$501,0))&amp;"","")</f>
        <v/>
      </c>
      <c r="Y73" s="21" t="str">
        <f aca="false">IFERROR(INDEX(종합!Y$3:Y$501,MATCH(ROW()-2,종합!$AE$3:$AE$501,0))&amp;"","")</f>
        <v/>
      </c>
      <c r="Z73" s="21" t="str">
        <f aca="false">IFERROR(INDEX(종합!Z$3:Z$501,MATCH(ROW()-2,종합!$AE$3:$AE$501,0))&amp;"","")</f>
        <v/>
      </c>
    </row>
    <row r="74" customFormat="false" ht="16.5" hidden="false" customHeight="true" outlineLevel="0" collapsed="false">
      <c r="A74" s="18" t="str">
        <f aca="false">IF(B74="","",ROW()-2)</f>
        <v/>
      </c>
      <c r="B74" s="18" t="str">
        <f aca="false">IFERROR(INDEX(종합!B$3:B$501,MATCH(ROW()-2,종합!$AE$3:$AE$501,0))&amp;"","")</f>
        <v/>
      </c>
      <c r="C74" s="18" t="str">
        <f aca="false">IFERROR(INDEX(종합!C$3:C$501,MATCH(ROW()-2,종합!$AE$3:$AE$501,0))&amp;"","")</f>
        <v/>
      </c>
      <c r="D74" s="18" t="str">
        <f aca="false">IFERROR(INDEX(종합!D$3:D$501,MATCH(ROW()-2,종합!$AE$3:$AE$501,0))&amp;"","")</f>
        <v/>
      </c>
      <c r="E74" s="18" t="str">
        <f aca="false">IFERROR(INDEX(종합!E$3:E$501,MATCH(ROW()-2,종합!$AE$3:$AE$501,0))&amp;"","")</f>
        <v/>
      </c>
      <c r="F74" s="18" t="str">
        <f aca="false">IFERROR(INDEX(종합!F$3:F$501,MATCH(ROW()-2,종합!$AE$3:$AE$501,0))&amp;"","")</f>
        <v/>
      </c>
      <c r="G74" s="18" t="str">
        <f aca="false">IFERROR(INDEX(종합!G$3:G$501,MATCH(ROW()-2,종합!$AE$3:$AE$501,0))&amp;"","")</f>
        <v/>
      </c>
      <c r="H74" s="21" t="str">
        <f aca="false">IFERROR(INDEX(종합!H$3:H$501,MATCH(ROW()-2,종합!$AE$3:$AE$501,0))&amp;"","")</f>
        <v/>
      </c>
      <c r="I74" s="21" t="str">
        <f aca="false">IFERROR(INDEX(종합!I$3:I$501,MATCH(ROW()-2,종합!$AE$3:$AE$501,0))&amp;"","")</f>
        <v/>
      </c>
      <c r="J74" s="21" t="str">
        <f aca="false">IFERROR(INDEX(종합!J$3:J$501,MATCH(ROW()-2,종합!$AE$3:$AE$501,0))&amp;"","")</f>
        <v/>
      </c>
      <c r="K74" s="21" t="str">
        <f aca="false">IFERROR(INDEX(종합!K$3:K$501,MATCH(ROW()-2,종합!$AE$3:$AE$501,0))&amp;"","")</f>
        <v/>
      </c>
      <c r="L74" s="21" t="str">
        <f aca="false">IFERROR(INDEX(종합!L$3:L$501,MATCH(ROW()-2,종합!$AE$3:$AE$501,0))&amp;"","")</f>
        <v/>
      </c>
      <c r="M74" s="21" t="str">
        <f aca="false">IFERROR(INDEX(종합!M$3:M$501,MATCH(ROW()-2,종합!$AE$3:$AE$501,0))&amp;"","")</f>
        <v/>
      </c>
      <c r="N74" s="25" t="str">
        <f aca="false">IFERROR(INDEX(종합!N$3:N$501,MATCH(ROW()-2,종합!$AE$3:$AE$501,0))&amp;"","")</f>
        <v/>
      </c>
      <c r="O74" s="21" t="str">
        <f aca="false">IFERROR(INDEX(종합!O$3:O$501,MATCH(ROW()-2,종합!$AE$3:$AE$501,0))&amp;"","")</f>
        <v/>
      </c>
      <c r="P74" s="21" t="str">
        <f aca="false">IFERROR(INDEX(종합!P$3:P$501,MATCH(ROW()-2,종합!$AE$3:$AE$501,0))&amp;"","")</f>
        <v/>
      </c>
      <c r="Q74" s="21" t="str">
        <f aca="false">IFERROR(INDEX(종합!Q$3:Q$501,MATCH(ROW()-2,종합!$AE$3:$AE$501,0))&amp;"","")</f>
        <v/>
      </c>
      <c r="R74" s="21" t="str">
        <f aca="false">IFERROR(INDEX(종합!R$3:R$501,MATCH(ROW()-2,종합!$AE$3:$AE$501,0))&amp;"","")</f>
        <v/>
      </c>
      <c r="S74" s="21" t="str">
        <f aca="false">IFERROR(INDEX(종합!S$3:S$501,MATCH(ROW()-2,종합!$AE$3:$AE$501,0))&amp;"","")</f>
        <v/>
      </c>
      <c r="T74" s="21" t="str">
        <f aca="false">IFERROR(INDEX(종합!T$3:T$501,MATCH(ROW()-2,종합!$AE$3:$AE$501,0))&amp;"","")</f>
        <v/>
      </c>
      <c r="U74" s="21" t="str">
        <f aca="false">IFERROR(INDEX(종합!U$3:U$501,MATCH(ROW()-2,종합!$AE$3:$AE$501,0))&amp;"","")</f>
        <v/>
      </c>
      <c r="V74" s="21" t="str">
        <f aca="false">IFERROR(INDEX(종합!V$3:V$501,MATCH(ROW()-2,종합!$AE$3:$AE$501,0))&amp;"","")</f>
        <v/>
      </c>
      <c r="W74" s="21" t="str">
        <f aca="false">IFERROR(INDEX(종합!W$3:W$501,MATCH(ROW()-2,종합!$AE$3:$AE$501,0))&amp;"","")</f>
        <v/>
      </c>
      <c r="X74" s="21" t="str">
        <f aca="false">IFERROR(INDEX(종합!X$3:X$501,MATCH(ROW()-2,종합!$AE$3:$AE$501,0))&amp;"","")</f>
        <v/>
      </c>
      <c r="Y74" s="21" t="str">
        <f aca="false">IFERROR(INDEX(종합!Y$3:Y$501,MATCH(ROW()-2,종합!$AE$3:$AE$501,0))&amp;"","")</f>
        <v/>
      </c>
      <c r="Z74" s="21" t="str">
        <f aca="false">IFERROR(INDEX(종합!Z$3:Z$501,MATCH(ROW()-2,종합!$AE$3:$AE$501,0))&amp;"","")</f>
        <v/>
      </c>
    </row>
    <row r="75" customFormat="false" ht="16.5" hidden="false" customHeight="true" outlineLevel="0" collapsed="false">
      <c r="A75" s="18" t="str">
        <f aca="false">IF(B75="","",ROW()-2)</f>
        <v/>
      </c>
      <c r="B75" s="18" t="str">
        <f aca="false">IFERROR(INDEX(종합!B$3:B$501,MATCH(ROW()-2,종합!$AE$3:$AE$501,0))&amp;"","")</f>
        <v/>
      </c>
      <c r="C75" s="18" t="str">
        <f aca="false">IFERROR(INDEX(종합!C$3:C$501,MATCH(ROW()-2,종합!$AE$3:$AE$501,0))&amp;"","")</f>
        <v/>
      </c>
      <c r="D75" s="18" t="str">
        <f aca="false">IFERROR(INDEX(종합!D$3:D$501,MATCH(ROW()-2,종합!$AE$3:$AE$501,0))&amp;"","")</f>
        <v/>
      </c>
      <c r="E75" s="18" t="str">
        <f aca="false">IFERROR(INDEX(종합!E$3:E$501,MATCH(ROW()-2,종합!$AE$3:$AE$501,0))&amp;"","")</f>
        <v/>
      </c>
      <c r="F75" s="18" t="str">
        <f aca="false">IFERROR(INDEX(종합!F$3:F$501,MATCH(ROW()-2,종합!$AE$3:$AE$501,0))&amp;"","")</f>
        <v/>
      </c>
      <c r="G75" s="18" t="str">
        <f aca="false">IFERROR(INDEX(종합!G$3:G$501,MATCH(ROW()-2,종합!$AE$3:$AE$501,0))&amp;"","")</f>
        <v/>
      </c>
      <c r="H75" s="21" t="str">
        <f aca="false">IFERROR(INDEX(종합!H$3:H$501,MATCH(ROW()-2,종합!$AE$3:$AE$501,0))&amp;"","")</f>
        <v/>
      </c>
      <c r="I75" s="21" t="str">
        <f aca="false">IFERROR(INDEX(종합!I$3:I$501,MATCH(ROW()-2,종합!$AE$3:$AE$501,0))&amp;"","")</f>
        <v/>
      </c>
      <c r="J75" s="21" t="str">
        <f aca="false">IFERROR(INDEX(종합!J$3:J$501,MATCH(ROW()-2,종합!$AE$3:$AE$501,0))&amp;"","")</f>
        <v/>
      </c>
      <c r="K75" s="21" t="str">
        <f aca="false">IFERROR(INDEX(종합!K$3:K$501,MATCH(ROW()-2,종합!$AE$3:$AE$501,0))&amp;"","")</f>
        <v/>
      </c>
      <c r="L75" s="21" t="str">
        <f aca="false">IFERROR(INDEX(종합!L$3:L$501,MATCH(ROW()-2,종합!$AE$3:$AE$501,0))&amp;"","")</f>
        <v/>
      </c>
      <c r="M75" s="21" t="str">
        <f aca="false">IFERROR(INDEX(종합!M$3:M$501,MATCH(ROW()-2,종합!$AE$3:$AE$501,0))&amp;"","")</f>
        <v/>
      </c>
      <c r="N75" s="25" t="str">
        <f aca="false">IFERROR(INDEX(종합!N$3:N$501,MATCH(ROW()-2,종합!$AE$3:$AE$501,0))&amp;"","")</f>
        <v/>
      </c>
      <c r="O75" s="21" t="str">
        <f aca="false">IFERROR(INDEX(종합!O$3:O$501,MATCH(ROW()-2,종합!$AE$3:$AE$501,0))&amp;"","")</f>
        <v/>
      </c>
      <c r="P75" s="21" t="str">
        <f aca="false">IFERROR(INDEX(종합!P$3:P$501,MATCH(ROW()-2,종합!$AE$3:$AE$501,0))&amp;"","")</f>
        <v/>
      </c>
      <c r="Q75" s="21" t="str">
        <f aca="false">IFERROR(INDEX(종합!Q$3:Q$501,MATCH(ROW()-2,종합!$AE$3:$AE$501,0))&amp;"","")</f>
        <v/>
      </c>
      <c r="R75" s="21" t="str">
        <f aca="false">IFERROR(INDEX(종합!R$3:R$501,MATCH(ROW()-2,종합!$AE$3:$AE$501,0))&amp;"","")</f>
        <v/>
      </c>
      <c r="S75" s="21" t="str">
        <f aca="false">IFERROR(INDEX(종합!S$3:S$501,MATCH(ROW()-2,종합!$AE$3:$AE$501,0))&amp;"","")</f>
        <v/>
      </c>
      <c r="T75" s="21" t="str">
        <f aca="false">IFERROR(INDEX(종합!T$3:T$501,MATCH(ROW()-2,종합!$AE$3:$AE$501,0))&amp;"","")</f>
        <v/>
      </c>
      <c r="U75" s="21" t="str">
        <f aca="false">IFERROR(INDEX(종합!U$3:U$501,MATCH(ROW()-2,종합!$AE$3:$AE$501,0))&amp;"","")</f>
        <v/>
      </c>
      <c r="V75" s="21" t="str">
        <f aca="false">IFERROR(INDEX(종합!V$3:V$501,MATCH(ROW()-2,종합!$AE$3:$AE$501,0))&amp;"","")</f>
        <v/>
      </c>
      <c r="W75" s="21" t="str">
        <f aca="false">IFERROR(INDEX(종합!W$3:W$501,MATCH(ROW()-2,종합!$AE$3:$AE$501,0))&amp;"","")</f>
        <v/>
      </c>
      <c r="X75" s="21" t="str">
        <f aca="false">IFERROR(INDEX(종합!X$3:X$501,MATCH(ROW()-2,종합!$AE$3:$AE$501,0))&amp;"","")</f>
        <v/>
      </c>
      <c r="Y75" s="21" t="str">
        <f aca="false">IFERROR(INDEX(종합!Y$3:Y$501,MATCH(ROW()-2,종합!$AE$3:$AE$501,0))&amp;"","")</f>
        <v/>
      </c>
      <c r="Z75" s="21" t="str">
        <f aca="false">IFERROR(INDEX(종합!Z$3:Z$501,MATCH(ROW()-2,종합!$AE$3:$AE$501,0))&amp;"","")</f>
        <v/>
      </c>
    </row>
    <row r="76" customFormat="false" ht="16.5" hidden="false" customHeight="true" outlineLevel="0" collapsed="false">
      <c r="A76" s="18" t="str">
        <f aca="false">IF(B76="","",ROW()-2)</f>
        <v/>
      </c>
      <c r="B76" s="18" t="str">
        <f aca="false">IFERROR(INDEX(종합!B$3:B$501,MATCH(ROW()-2,종합!$AE$3:$AE$501,0))&amp;"","")</f>
        <v/>
      </c>
      <c r="C76" s="18" t="str">
        <f aca="false">IFERROR(INDEX(종합!C$3:C$501,MATCH(ROW()-2,종합!$AE$3:$AE$501,0))&amp;"","")</f>
        <v/>
      </c>
      <c r="D76" s="18" t="str">
        <f aca="false">IFERROR(INDEX(종합!D$3:D$501,MATCH(ROW()-2,종합!$AE$3:$AE$501,0))&amp;"","")</f>
        <v/>
      </c>
      <c r="E76" s="18" t="str">
        <f aca="false">IFERROR(INDEX(종합!E$3:E$501,MATCH(ROW()-2,종합!$AE$3:$AE$501,0))&amp;"","")</f>
        <v/>
      </c>
      <c r="F76" s="18" t="str">
        <f aca="false">IFERROR(INDEX(종합!F$3:F$501,MATCH(ROW()-2,종합!$AE$3:$AE$501,0))&amp;"","")</f>
        <v/>
      </c>
      <c r="G76" s="18" t="str">
        <f aca="false">IFERROR(INDEX(종합!G$3:G$501,MATCH(ROW()-2,종합!$AE$3:$AE$501,0))&amp;"","")</f>
        <v/>
      </c>
      <c r="H76" s="21" t="str">
        <f aca="false">IFERROR(INDEX(종합!H$3:H$501,MATCH(ROW()-2,종합!$AE$3:$AE$501,0))&amp;"","")</f>
        <v/>
      </c>
      <c r="I76" s="21" t="str">
        <f aca="false">IFERROR(INDEX(종합!I$3:I$501,MATCH(ROW()-2,종합!$AE$3:$AE$501,0))&amp;"","")</f>
        <v/>
      </c>
      <c r="J76" s="21" t="str">
        <f aca="false">IFERROR(INDEX(종합!J$3:J$501,MATCH(ROW()-2,종합!$AE$3:$AE$501,0))&amp;"","")</f>
        <v/>
      </c>
      <c r="K76" s="21" t="str">
        <f aca="false">IFERROR(INDEX(종합!K$3:K$501,MATCH(ROW()-2,종합!$AE$3:$AE$501,0))&amp;"","")</f>
        <v/>
      </c>
      <c r="L76" s="21" t="str">
        <f aca="false">IFERROR(INDEX(종합!L$3:L$501,MATCH(ROW()-2,종합!$AE$3:$AE$501,0))&amp;"","")</f>
        <v/>
      </c>
      <c r="M76" s="21" t="str">
        <f aca="false">IFERROR(INDEX(종합!M$3:M$501,MATCH(ROW()-2,종합!$AE$3:$AE$501,0))&amp;"","")</f>
        <v/>
      </c>
      <c r="N76" s="25" t="str">
        <f aca="false">IFERROR(INDEX(종합!N$3:N$501,MATCH(ROW()-2,종합!$AE$3:$AE$501,0))&amp;"","")</f>
        <v/>
      </c>
      <c r="O76" s="21" t="str">
        <f aca="false">IFERROR(INDEX(종합!O$3:O$501,MATCH(ROW()-2,종합!$AE$3:$AE$501,0))&amp;"","")</f>
        <v/>
      </c>
      <c r="P76" s="21" t="str">
        <f aca="false">IFERROR(INDEX(종합!P$3:P$501,MATCH(ROW()-2,종합!$AE$3:$AE$501,0))&amp;"","")</f>
        <v/>
      </c>
      <c r="Q76" s="21" t="str">
        <f aca="false">IFERROR(INDEX(종합!Q$3:Q$501,MATCH(ROW()-2,종합!$AE$3:$AE$501,0))&amp;"","")</f>
        <v/>
      </c>
      <c r="R76" s="21" t="str">
        <f aca="false">IFERROR(INDEX(종합!R$3:R$501,MATCH(ROW()-2,종합!$AE$3:$AE$501,0))&amp;"","")</f>
        <v/>
      </c>
      <c r="S76" s="21" t="str">
        <f aca="false">IFERROR(INDEX(종합!S$3:S$501,MATCH(ROW()-2,종합!$AE$3:$AE$501,0))&amp;"","")</f>
        <v/>
      </c>
      <c r="T76" s="21" t="str">
        <f aca="false">IFERROR(INDEX(종합!T$3:T$501,MATCH(ROW()-2,종합!$AE$3:$AE$501,0))&amp;"","")</f>
        <v/>
      </c>
      <c r="U76" s="21" t="str">
        <f aca="false">IFERROR(INDEX(종합!U$3:U$501,MATCH(ROW()-2,종합!$AE$3:$AE$501,0))&amp;"","")</f>
        <v/>
      </c>
      <c r="V76" s="21" t="str">
        <f aca="false">IFERROR(INDEX(종합!V$3:V$501,MATCH(ROW()-2,종합!$AE$3:$AE$501,0))&amp;"","")</f>
        <v/>
      </c>
      <c r="W76" s="21" t="str">
        <f aca="false">IFERROR(INDEX(종합!W$3:W$501,MATCH(ROW()-2,종합!$AE$3:$AE$501,0))&amp;"","")</f>
        <v/>
      </c>
      <c r="X76" s="21" t="str">
        <f aca="false">IFERROR(INDEX(종합!X$3:X$501,MATCH(ROW()-2,종합!$AE$3:$AE$501,0))&amp;"","")</f>
        <v/>
      </c>
      <c r="Y76" s="21" t="str">
        <f aca="false">IFERROR(INDEX(종합!Y$3:Y$501,MATCH(ROW()-2,종합!$AE$3:$AE$501,0))&amp;"","")</f>
        <v/>
      </c>
      <c r="Z76" s="21" t="str">
        <f aca="false">IFERROR(INDEX(종합!Z$3:Z$501,MATCH(ROW()-2,종합!$AE$3:$AE$501,0))&amp;"","")</f>
        <v/>
      </c>
    </row>
    <row r="77" customFormat="false" ht="16.5" hidden="false" customHeight="true" outlineLevel="0" collapsed="false">
      <c r="A77" s="18" t="str">
        <f aca="false">IF(B77="","",ROW()-2)</f>
        <v/>
      </c>
      <c r="B77" s="18" t="str">
        <f aca="false">IFERROR(INDEX(종합!B$3:B$501,MATCH(ROW()-2,종합!$AE$3:$AE$501,0))&amp;"","")</f>
        <v/>
      </c>
      <c r="C77" s="18" t="str">
        <f aca="false">IFERROR(INDEX(종합!C$3:C$501,MATCH(ROW()-2,종합!$AE$3:$AE$501,0))&amp;"","")</f>
        <v/>
      </c>
      <c r="D77" s="18" t="str">
        <f aca="false">IFERROR(INDEX(종합!D$3:D$501,MATCH(ROW()-2,종합!$AE$3:$AE$501,0))&amp;"","")</f>
        <v/>
      </c>
      <c r="E77" s="18" t="str">
        <f aca="false">IFERROR(INDEX(종합!E$3:E$501,MATCH(ROW()-2,종합!$AE$3:$AE$501,0))&amp;"","")</f>
        <v/>
      </c>
      <c r="F77" s="18" t="str">
        <f aca="false">IFERROR(INDEX(종합!F$3:F$501,MATCH(ROW()-2,종합!$AE$3:$AE$501,0))&amp;"","")</f>
        <v/>
      </c>
      <c r="G77" s="18" t="str">
        <f aca="false">IFERROR(INDEX(종합!G$3:G$501,MATCH(ROW()-2,종합!$AE$3:$AE$501,0))&amp;"","")</f>
        <v/>
      </c>
      <c r="H77" s="21" t="str">
        <f aca="false">IFERROR(INDEX(종합!H$3:H$501,MATCH(ROW()-2,종합!$AE$3:$AE$501,0))&amp;"","")</f>
        <v/>
      </c>
      <c r="I77" s="21" t="str">
        <f aca="false">IFERROR(INDEX(종합!I$3:I$501,MATCH(ROW()-2,종합!$AE$3:$AE$501,0))&amp;"","")</f>
        <v/>
      </c>
      <c r="J77" s="21" t="str">
        <f aca="false">IFERROR(INDEX(종합!J$3:J$501,MATCH(ROW()-2,종합!$AE$3:$AE$501,0))&amp;"","")</f>
        <v/>
      </c>
      <c r="K77" s="21" t="str">
        <f aca="false">IFERROR(INDEX(종합!K$3:K$501,MATCH(ROW()-2,종합!$AE$3:$AE$501,0))&amp;"","")</f>
        <v/>
      </c>
      <c r="L77" s="21" t="str">
        <f aca="false">IFERROR(INDEX(종합!L$3:L$501,MATCH(ROW()-2,종합!$AE$3:$AE$501,0))&amp;"","")</f>
        <v/>
      </c>
      <c r="M77" s="21" t="str">
        <f aca="false">IFERROR(INDEX(종합!M$3:M$501,MATCH(ROW()-2,종합!$AE$3:$AE$501,0))&amp;"","")</f>
        <v/>
      </c>
      <c r="N77" s="25" t="str">
        <f aca="false">IFERROR(INDEX(종합!N$3:N$501,MATCH(ROW()-2,종합!$AE$3:$AE$501,0))&amp;"","")</f>
        <v/>
      </c>
      <c r="O77" s="21" t="str">
        <f aca="false">IFERROR(INDEX(종합!O$3:O$501,MATCH(ROW()-2,종합!$AE$3:$AE$501,0))&amp;"","")</f>
        <v/>
      </c>
      <c r="P77" s="21" t="str">
        <f aca="false">IFERROR(INDEX(종합!P$3:P$501,MATCH(ROW()-2,종합!$AE$3:$AE$501,0))&amp;"","")</f>
        <v/>
      </c>
      <c r="Q77" s="21" t="str">
        <f aca="false">IFERROR(INDEX(종합!Q$3:Q$501,MATCH(ROW()-2,종합!$AE$3:$AE$501,0))&amp;"","")</f>
        <v/>
      </c>
      <c r="R77" s="21" t="str">
        <f aca="false">IFERROR(INDEX(종합!R$3:R$501,MATCH(ROW()-2,종합!$AE$3:$AE$501,0))&amp;"","")</f>
        <v/>
      </c>
      <c r="S77" s="21" t="str">
        <f aca="false">IFERROR(INDEX(종합!S$3:S$501,MATCH(ROW()-2,종합!$AE$3:$AE$501,0))&amp;"","")</f>
        <v/>
      </c>
      <c r="T77" s="21" t="str">
        <f aca="false">IFERROR(INDEX(종합!T$3:T$501,MATCH(ROW()-2,종합!$AE$3:$AE$501,0))&amp;"","")</f>
        <v/>
      </c>
      <c r="U77" s="21" t="str">
        <f aca="false">IFERROR(INDEX(종합!U$3:U$501,MATCH(ROW()-2,종합!$AE$3:$AE$501,0))&amp;"","")</f>
        <v/>
      </c>
      <c r="V77" s="21" t="str">
        <f aca="false">IFERROR(INDEX(종합!V$3:V$501,MATCH(ROW()-2,종합!$AE$3:$AE$501,0))&amp;"","")</f>
        <v/>
      </c>
      <c r="W77" s="21" t="str">
        <f aca="false">IFERROR(INDEX(종합!W$3:W$501,MATCH(ROW()-2,종합!$AE$3:$AE$501,0))&amp;"","")</f>
        <v/>
      </c>
      <c r="X77" s="21" t="str">
        <f aca="false">IFERROR(INDEX(종합!X$3:X$501,MATCH(ROW()-2,종합!$AE$3:$AE$501,0))&amp;"","")</f>
        <v/>
      </c>
      <c r="Y77" s="21" t="str">
        <f aca="false">IFERROR(INDEX(종합!Y$3:Y$501,MATCH(ROW()-2,종합!$AE$3:$AE$501,0))&amp;"","")</f>
        <v/>
      </c>
      <c r="Z77" s="21" t="str">
        <f aca="false">IFERROR(INDEX(종합!Z$3:Z$501,MATCH(ROW()-2,종합!$AE$3:$AE$501,0))&amp;"","")</f>
        <v/>
      </c>
    </row>
    <row r="78" customFormat="false" ht="16.5" hidden="false" customHeight="true" outlineLevel="0" collapsed="false">
      <c r="A78" s="18" t="str">
        <f aca="false">IF(B78="","",ROW()-2)</f>
        <v/>
      </c>
      <c r="B78" s="18" t="str">
        <f aca="false">IFERROR(INDEX(종합!B$3:B$501,MATCH(ROW()-2,종합!$AE$3:$AE$501,0))&amp;"","")</f>
        <v/>
      </c>
      <c r="C78" s="18" t="str">
        <f aca="false">IFERROR(INDEX(종합!C$3:C$501,MATCH(ROW()-2,종합!$AE$3:$AE$501,0))&amp;"","")</f>
        <v/>
      </c>
      <c r="D78" s="18" t="str">
        <f aca="false">IFERROR(INDEX(종합!D$3:D$501,MATCH(ROW()-2,종합!$AE$3:$AE$501,0))&amp;"","")</f>
        <v/>
      </c>
      <c r="E78" s="18" t="str">
        <f aca="false">IFERROR(INDEX(종합!E$3:E$501,MATCH(ROW()-2,종합!$AE$3:$AE$501,0))&amp;"","")</f>
        <v/>
      </c>
      <c r="F78" s="18" t="str">
        <f aca="false">IFERROR(INDEX(종합!F$3:F$501,MATCH(ROW()-2,종합!$AE$3:$AE$501,0))&amp;"","")</f>
        <v/>
      </c>
      <c r="G78" s="18" t="str">
        <f aca="false">IFERROR(INDEX(종합!G$3:G$501,MATCH(ROW()-2,종합!$AE$3:$AE$501,0))&amp;"","")</f>
        <v/>
      </c>
      <c r="H78" s="21" t="str">
        <f aca="false">IFERROR(INDEX(종합!H$3:H$501,MATCH(ROW()-2,종합!$AE$3:$AE$501,0))&amp;"","")</f>
        <v/>
      </c>
      <c r="I78" s="21" t="str">
        <f aca="false">IFERROR(INDEX(종합!I$3:I$501,MATCH(ROW()-2,종합!$AE$3:$AE$501,0))&amp;"","")</f>
        <v/>
      </c>
      <c r="J78" s="21" t="str">
        <f aca="false">IFERROR(INDEX(종합!J$3:J$501,MATCH(ROW()-2,종합!$AE$3:$AE$501,0))&amp;"","")</f>
        <v/>
      </c>
      <c r="K78" s="21" t="str">
        <f aca="false">IFERROR(INDEX(종합!K$3:K$501,MATCH(ROW()-2,종합!$AE$3:$AE$501,0))&amp;"","")</f>
        <v/>
      </c>
      <c r="L78" s="21" t="str">
        <f aca="false">IFERROR(INDEX(종합!L$3:L$501,MATCH(ROW()-2,종합!$AE$3:$AE$501,0))&amp;"","")</f>
        <v/>
      </c>
      <c r="M78" s="21" t="str">
        <f aca="false">IFERROR(INDEX(종합!M$3:M$501,MATCH(ROW()-2,종합!$AE$3:$AE$501,0))&amp;"","")</f>
        <v/>
      </c>
      <c r="N78" s="25" t="str">
        <f aca="false">IFERROR(INDEX(종합!N$3:N$501,MATCH(ROW()-2,종합!$AE$3:$AE$501,0))&amp;"","")</f>
        <v/>
      </c>
      <c r="O78" s="21" t="str">
        <f aca="false">IFERROR(INDEX(종합!O$3:O$501,MATCH(ROW()-2,종합!$AE$3:$AE$501,0))&amp;"","")</f>
        <v/>
      </c>
      <c r="P78" s="21" t="str">
        <f aca="false">IFERROR(INDEX(종합!P$3:P$501,MATCH(ROW()-2,종합!$AE$3:$AE$501,0))&amp;"","")</f>
        <v/>
      </c>
      <c r="Q78" s="21" t="str">
        <f aca="false">IFERROR(INDEX(종합!Q$3:Q$501,MATCH(ROW()-2,종합!$AE$3:$AE$501,0))&amp;"","")</f>
        <v/>
      </c>
      <c r="R78" s="21" t="str">
        <f aca="false">IFERROR(INDEX(종합!R$3:R$501,MATCH(ROW()-2,종합!$AE$3:$AE$501,0))&amp;"","")</f>
        <v/>
      </c>
      <c r="S78" s="21" t="str">
        <f aca="false">IFERROR(INDEX(종합!S$3:S$501,MATCH(ROW()-2,종합!$AE$3:$AE$501,0))&amp;"","")</f>
        <v/>
      </c>
      <c r="T78" s="21" t="str">
        <f aca="false">IFERROR(INDEX(종합!T$3:T$501,MATCH(ROW()-2,종합!$AE$3:$AE$501,0))&amp;"","")</f>
        <v/>
      </c>
      <c r="U78" s="21" t="str">
        <f aca="false">IFERROR(INDEX(종합!U$3:U$501,MATCH(ROW()-2,종합!$AE$3:$AE$501,0))&amp;"","")</f>
        <v/>
      </c>
      <c r="V78" s="21" t="str">
        <f aca="false">IFERROR(INDEX(종합!V$3:V$501,MATCH(ROW()-2,종합!$AE$3:$AE$501,0))&amp;"","")</f>
        <v/>
      </c>
      <c r="W78" s="21" t="str">
        <f aca="false">IFERROR(INDEX(종합!W$3:W$501,MATCH(ROW()-2,종합!$AE$3:$AE$501,0))&amp;"","")</f>
        <v/>
      </c>
      <c r="X78" s="21" t="str">
        <f aca="false">IFERROR(INDEX(종합!X$3:X$501,MATCH(ROW()-2,종합!$AE$3:$AE$501,0))&amp;"","")</f>
        <v/>
      </c>
      <c r="Y78" s="21" t="str">
        <f aca="false">IFERROR(INDEX(종합!Y$3:Y$501,MATCH(ROW()-2,종합!$AE$3:$AE$501,0))&amp;"","")</f>
        <v/>
      </c>
      <c r="Z78" s="21" t="str">
        <f aca="false">IFERROR(INDEX(종합!Z$3:Z$501,MATCH(ROW()-2,종합!$AE$3:$AE$501,0))&amp;"","")</f>
        <v/>
      </c>
    </row>
    <row r="79" customFormat="false" ht="16.5" hidden="false" customHeight="true" outlineLevel="0" collapsed="false">
      <c r="A79" s="18" t="str">
        <f aca="false">IF(B79="","",ROW()-2)</f>
        <v/>
      </c>
      <c r="B79" s="18" t="str">
        <f aca="false">IFERROR(INDEX(종합!B$3:B$501,MATCH(ROW()-2,종합!$AE$3:$AE$501,0))&amp;"","")</f>
        <v/>
      </c>
      <c r="C79" s="18" t="str">
        <f aca="false">IFERROR(INDEX(종합!C$3:C$501,MATCH(ROW()-2,종합!$AE$3:$AE$501,0))&amp;"","")</f>
        <v/>
      </c>
      <c r="D79" s="18" t="str">
        <f aca="false">IFERROR(INDEX(종합!D$3:D$501,MATCH(ROW()-2,종합!$AE$3:$AE$501,0))&amp;"","")</f>
        <v/>
      </c>
      <c r="E79" s="18" t="str">
        <f aca="false">IFERROR(INDEX(종합!E$3:E$501,MATCH(ROW()-2,종합!$AE$3:$AE$501,0))&amp;"","")</f>
        <v/>
      </c>
      <c r="F79" s="18" t="str">
        <f aca="false">IFERROR(INDEX(종합!F$3:F$501,MATCH(ROW()-2,종합!$AE$3:$AE$501,0))&amp;"","")</f>
        <v/>
      </c>
      <c r="G79" s="18" t="str">
        <f aca="false">IFERROR(INDEX(종합!G$3:G$501,MATCH(ROW()-2,종합!$AE$3:$AE$501,0))&amp;"","")</f>
        <v/>
      </c>
      <c r="H79" s="21" t="str">
        <f aca="false">IFERROR(INDEX(종합!H$3:H$501,MATCH(ROW()-2,종합!$AE$3:$AE$501,0))&amp;"","")</f>
        <v/>
      </c>
      <c r="I79" s="21" t="str">
        <f aca="false">IFERROR(INDEX(종합!I$3:I$501,MATCH(ROW()-2,종합!$AE$3:$AE$501,0))&amp;"","")</f>
        <v/>
      </c>
      <c r="J79" s="21" t="str">
        <f aca="false">IFERROR(INDEX(종합!J$3:J$501,MATCH(ROW()-2,종합!$AE$3:$AE$501,0))&amp;"","")</f>
        <v/>
      </c>
      <c r="K79" s="21" t="str">
        <f aca="false">IFERROR(INDEX(종합!K$3:K$501,MATCH(ROW()-2,종합!$AE$3:$AE$501,0))&amp;"","")</f>
        <v/>
      </c>
      <c r="L79" s="21" t="str">
        <f aca="false">IFERROR(INDEX(종합!L$3:L$501,MATCH(ROW()-2,종합!$AE$3:$AE$501,0))&amp;"","")</f>
        <v/>
      </c>
      <c r="M79" s="21" t="str">
        <f aca="false">IFERROR(INDEX(종합!M$3:M$501,MATCH(ROW()-2,종합!$AE$3:$AE$501,0))&amp;"","")</f>
        <v/>
      </c>
      <c r="N79" s="25" t="str">
        <f aca="false">IFERROR(INDEX(종합!N$3:N$501,MATCH(ROW()-2,종합!$AE$3:$AE$501,0))&amp;"","")</f>
        <v/>
      </c>
      <c r="O79" s="21" t="str">
        <f aca="false">IFERROR(INDEX(종합!O$3:O$501,MATCH(ROW()-2,종합!$AE$3:$AE$501,0))&amp;"","")</f>
        <v/>
      </c>
      <c r="P79" s="21" t="str">
        <f aca="false">IFERROR(INDEX(종합!P$3:P$501,MATCH(ROW()-2,종합!$AE$3:$AE$501,0))&amp;"","")</f>
        <v/>
      </c>
      <c r="Q79" s="21" t="str">
        <f aca="false">IFERROR(INDEX(종합!Q$3:Q$501,MATCH(ROW()-2,종합!$AE$3:$AE$501,0))&amp;"","")</f>
        <v/>
      </c>
      <c r="R79" s="21" t="str">
        <f aca="false">IFERROR(INDEX(종합!R$3:R$501,MATCH(ROW()-2,종합!$AE$3:$AE$501,0))&amp;"","")</f>
        <v/>
      </c>
      <c r="S79" s="21" t="str">
        <f aca="false">IFERROR(INDEX(종합!S$3:S$501,MATCH(ROW()-2,종합!$AE$3:$AE$501,0))&amp;"","")</f>
        <v/>
      </c>
      <c r="T79" s="21" t="str">
        <f aca="false">IFERROR(INDEX(종합!T$3:T$501,MATCH(ROW()-2,종합!$AE$3:$AE$501,0))&amp;"","")</f>
        <v/>
      </c>
      <c r="U79" s="21" t="str">
        <f aca="false">IFERROR(INDEX(종합!U$3:U$501,MATCH(ROW()-2,종합!$AE$3:$AE$501,0))&amp;"","")</f>
        <v/>
      </c>
      <c r="V79" s="21" t="str">
        <f aca="false">IFERROR(INDEX(종합!V$3:V$501,MATCH(ROW()-2,종합!$AE$3:$AE$501,0))&amp;"","")</f>
        <v/>
      </c>
      <c r="W79" s="21" t="str">
        <f aca="false">IFERROR(INDEX(종합!W$3:W$501,MATCH(ROW()-2,종합!$AE$3:$AE$501,0))&amp;"","")</f>
        <v/>
      </c>
      <c r="X79" s="21" t="str">
        <f aca="false">IFERROR(INDEX(종합!X$3:X$501,MATCH(ROW()-2,종합!$AE$3:$AE$501,0))&amp;"","")</f>
        <v/>
      </c>
      <c r="Y79" s="21" t="str">
        <f aca="false">IFERROR(INDEX(종합!Y$3:Y$501,MATCH(ROW()-2,종합!$AE$3:$AE$501,0))&amp;"","")</f>
        <v/>
      </c>
      <c r="Z79" s="21" t="str">
        <f aca="false">IFERROR(INDEX(종합!Z$3:Z$501,MATCH(ROW()-2,종합!$AE$3:$AE$501,0))&amp;"","")</f>
        <v/>
      </c>
    </row>
    <row r="80" customFormat="false" ht="16.5" hidden="false" customHeight="true" outlineLevel="0" collapsed="false">
      <c r="A80" s="18" t="str">
        <f aca="false">IF(B80="","",ROW()-2)</f>
        <v/>
      </c>
      <c r="B80" s="18" t="str">
        <f aca="false">IFERROR(INDEX(종합!B$3:B$501,MATCH(ROW()-2,종합!$AE$3:$AE$501,0))&amp;"","")</f>
        <v/>
      </c>
      <c r="C80" s="18" t="str">
        <f aca="false">IFERROR(INDEX(종합!C$3:C$501,MATCH(ROW()-2,종합!$AE$3:$AE$501,0))&amp;"","")</f>
        <v/>
      </c>
      <c r="D80" s="18" t="str">
        <f aca="false">IFERROR(INDEX(종합!D$3:D$501,MATCH(ROW()-2,종합!$AE$3:$AE$501,0))&amp;"","")</f>
        <v/>
      </c>
      <c r="E80" s="18" t="str">
        <f aca="false">IFERROR(INDEX(종합!E$3:E$501,MATCH(ROW()-2,종합!$AE$3:$AE$501,0))&amp;"","")</f>
        <v/>
      </c>
      <c r="F80" s="18" t="str">
        <f aca="false">IFERROR(INDEX(종합!F$3:F$501,MATCH(ROW()-2,종합!$AE$3:$AE$501,0))&amp;"","")</f>
        <v/>
      </c>
      <c r="G80" s="18" t="str">
        <f aca="false">IFERROR(INDEX(종합!G$3:G$501,MATCH(ROW()-2,종합!$AE$3:$AE$501,0))&amp;"","")</f>
        <v/>
      </c>
      <c r="H80" s="21" t="str">
        <f aca="false">IFERROR(INDEX(종합!H$3:H$501,MATCH(ROW()-2,종합!$AE$3:$AE$501,0))&amp;"","")</f>
        <v/>
      </c>
      <c r="I80" s="21" t="str">
        <f aca="false">IFERROR(INDEX(종합!I$3:I$501,MATCH(ROW()-2,종합!$AE$3:$AE$501,0))&amp;"","")</f>
        <v/>
      </c>
      <c r="J80" s="21" t="str">
        <f aca="false">IFERROR(INDEX(종합!J$3:J$501,MATCH(ROW()-2,종합!$AE$3:$AE$501,0))&amp;"","")</f>
        <v/>
      </c>
      <c r="K80" s="21" t="str">
        <f aca="false">IFERROR(INDEX(종합!K$3:K$501,MATCH(ROW()-2,종합!$AE$3:$AE$501,0))&amp;"","")</f>
        <v/>
      </c>
      <c r="L80" s="21" t="str">
        <f aca="false">IFERROR(INDEX(종합!L$3:L$501,MATCH(ROW()-2,종합!$AE$3:$AE$501,0))&amp;"","")</f>
        <v/>
      </c>
      <c r="M80" s="21" t="str">
        <f aca="false">IFERROR(INDEX(종합!M$3:M$501,MATCH(ROW()-2,종합!$AE$3:$AE$501,0))&amp;"","")</f>
        <v/>
      </c>
      <c r="N80" s="25" t="str">
        <f aca="false">IFERROR(INDEX(종합!N$3:N$501,MATCH(ROW()-2,종합!$AE$3:$AE$501,0))&amp;"","")</f>
        <v/>
      </c>
      <c r="O80" s="21" t="str">
        <f aca="false">IFERROR(INDEX(종합!O$3:O$501,MATCH(ROW()-2,종합!$AE$3:$AE$501,0))&amp;"","")</f>
        <v/>
      </c>
      <c r="P80" s="21" t="str">
        <f aca="false">IFERROR(INDEX(종합!P$3:P$501,MATCH(ROW()-2,종합!$AE$3:$AE$501,0))&amp;"","")</f>
        <v/>
      </c>
      <c r="Q80" s="21" t="str">
        <f aca="false">IFERROR(INDEX(종합!Q$3:Q$501,MATCH(ROW()-2,종합!$AE$3:$AE$501,0))&amp;"","")</f>
        <v/>
      </c>
      <c r="R80" s="21" t="str">
        <f aca="false">IFERROR(INDEX(종합!R$3:R$501,MATCH(ROW()-2,종합!$AE$3:$AE$501,0))&amp;"","")</f>
        <v/>
      </c>
      <c r="S80" s="21" t="str">
        <f aca="false">IFERROR(INDEX(종합!S$3:S$501,MATCH(ROW()-2,종합!$AE$3:$AE$501,0))&amp;"","")</f>
        <v/>
      </c>
      <c r="T80" s="21" t="str">
        <f aca="false">IFERROR(INDEX(종합!T$3:T$501,MATCH(ROW()-2,종합!$AE$3:$AE$501,0))&amp;"","")</f>
        <v/>
      </c>
      <c r="U80" s="21" t="str">
        <f aca="false">IFERROR(INDEX(종합!U$3:U$501,MATCH(ROW()-2,종합!$AE$3:$AE$501,0))&amp;"","")</f>
        <v/>
      </c>
      <c r="V80" s="21" t="str">
        <f aca="false">IFERROR(INDEX(종합!V$3:V$501,MATCH(ROW()-2,종합!$AE$3:$AE$501,0))&amp;"","")</f>
        <v/>
      </c>
      <c r="W80" s="21" t="str">
        <f aca="false">IFERROR(INDEX(종합!W$3:W$501,MATCH(ROW()-2,종합!$AE$3:$AE$501,0))&amp;"","")</f>
        <v/>
      </c>
      <c r="X80" s="21" t="str">
        <f aca="false">IFERROR(INDEX(종합!X$3:X$501,MATCH(ROW()-2,종합!$AE$3:$AE$501,0))&amp;"","")</f>
        <v/>
      </c>
      <c r="Y80" s="21" t="str">
        <f aca="false">IFERROR(INDEX(종합!Y$3:Y$501,MATCH(ROW()-2,종합!$AE$3:$AE$501,0))&amp;"","")</f>
        <v/>
      </c>
      <c r="Z80" s="21" t="str">
        <f aca="false">IFERROR(INDEX(종합!Z$3:Z$501,MATCH(ROW()-2,종합!$AE$3:$AE$501,0))&amp;"","")</f>
        <v/>
      </c>
    </row>
    <row r="81" customFormat="false" ht="16.5" hidden="false" customHeight="true" outlineLevel="0" collapsed="false">
      <c r="A81" s="18" t="str">
        <f aca="false">IF(B81="","",ROW()-2)</f>
        <v/>
      </c>
      <c r="B81" s="18" t="str">
        <f aca="false">IFERROR(INDEX(종합!B$3:B$501,MATCH(ROW()-2,종합!$AE$3:$AE$501,0))&amp;"","")</f>
        <v/>
      </c>
      <c r="C81" s="18" t="str">
        <f aca="false">IFERROR(INDEX(종합!C$3:C$501,MATCH(ROW()-2,종합!$AE$3:$AE$501,0))&amp;"","")</f>
        <v/>
      </c>
      <c r="D81" s="18" t="str">
        <f aca="false">IFERROR(INDEX(종합!D$3:D$501,MATCH(ROW()-2,종합!$AE$3:$AE$501,0))&amp;"","")</f>
        <v/>
      </c>
      <c r="E81" s="18" t="str">
        <f aca="false">IFERROR(INDEX(종합!E$3:E$501,MATCH(ROW()-2,종합!$AE$3:$AE$501,0))&amp;"","")</f>
        <v/>
      </c>
      <c r="F81" s="18" t="str">
        <f aca="false">IFERROR(INDEX(종합!F$3:F$501,MATCH(ROW()-2,종합!$AE$3:$AE$501,0))&amp;"","")</f>
        <v/>
      </c>
      <c r="G81" s="18" t="str">
        <f aca="false">IFERROR(INDEX(종합!G$3:G$501,MATCH(ROW()-2,종합!$AE$3:$AE$501,0))&amp;"","")</f>
        <v/>
      </c>
      <c r="H81" s="21" t="str">
        <f aca="false">IFERROR(INDEX(종합!H$3:H$501,MATCH(ROW()-2,종합!$AE$3:$AE$501,0))&amp;"","")</f>
        <v/>
      </c>
      <c r="I81" s="21" t="str">
        <f aca="false">IFERROR(INDEX(종합!I$3:I$501,MATCH(ROW()-2,종합!$AE$3:$AE$501,0))&amp;"","")</f>
        <v/>
      </c>
      <c r="J81" s="21" t="str">
        <f aca="false">IFERROR(INDEX(종합!J$3:J$501,MATCH(ROW()-2,종합!$AE$3:$AE$501,0))&amp;"","")</f>
        <v/>
      </c>
      <c r="K81" s="21" t="str">
        <f aca="false">IFERROR(INDEX(종합!K$3:K$501,MATCH(ROW()-2,종합!$AE$3:$AE$501,0))&amp;"","")</f>
        <v/>
      </c>
      <c r="L81" s="21" t="str">
        <f aca="false">IFERROR(INDEX(종합!L$3:L$501,MATCH(ROW()-2,종합!$AE$3:$AE$501,0))&amp;"","")</f>
        <v/>
      </c>
      <c r="M81" s="21" t="str">
        <f aca="false">IFERROR(INDEX(종합!M$3:M$501,MATCH(ROW()-2,종합!$AE$3:$AE$501,0))&amp;"","")</f>
        <v/>
      </c>
      <c r="N81" s="25" t="str">
        <f aca="false">IFERROR(INDEX(종합!N$3:N$501,MATCH(ROW()-2,종합!$AE$3:$AE$501,0))&amp;"","")</f>
        <v/>
      </c>
      <c r="O81" s="21" t="str">
        <f aca="false">IFERROR(INDEX(종합!O$3:O$501,MATCH(ROW()-2,종합!$AE$3:$AE$501,0))&amp;"","")</f>
        <v/>
      </c>
      <c r="P81" s="21" t="str">
        <f aca="false">IFERROR(INDEX(종합!P$3:P$501,MATCH(ROW()-2,종합!$AE$3:$AE$501,0))&amp;"","")</f>
        <v/>
      </c>
      <c r="Q81" s="21" t="str">
        <f aca="false">IFERROR(INDEX(종합!Q$3:Q$501,MATCH(ROW()-2,종합!$AE$3:$AE$501,0))&amp;"","")</f>
        <v/>
      </c>
      <c r="R81" s="21" t="str">
        <f aca="false">IFERROR(INDEX(종합!R$3:R$501,MATCH(ROW()-2,종합!$AE$3:$AE$501,0))&amp;"","")</f>
        <v/>
      </c>
      <c r="S81" s="21" t="str">
        <f aca="false">IFERROR(INDEX(종합!S$3:S$501,MATCH(ROW()-2,종합!$AE$3:$AE$501,0))&amp;"","")</f>
        <v/>
      </c>
      <c r="T81" s="21" t="str">
        <f aca="false">IFERROR(INDEX(종합!T$3:T$501,MATCH(ROW()-2,종합!$AE$3:$AE$501,0))&amp;"","")</f>
        <v/>
      </c>
      <c r="U81" s="21" t="str">
        <f aca="false">IFERROR(INDEX(종합!U$3:U$501,MATCH(ROW()-2,종합!$AE$3:$AE$501,0))&amp;"","")</f>
        <v/>
      </c>
      <c r="V81" s="21" t="str">
        <f aca="false">IFERROR(INDEX(종합!V$3:V$501,MATCH(ROW()-2,종합!$AE$3:$AE$501,0))&amp;"","")</f>
        <v/>
      </c>
      <c r="W81" s="21" t="str">
        <f aca="false">IFERROR(INDEX(종합!W$3:W$501,MATCH(ROW()-2,종합!$AE$3:$AE$501,0))&amp;"","")</f>
        <v/>
      </c>
      <c r="X81" s="21" t="str">
        <f aca="false">IFERROR(INDEX(종합!X$3:X$501,MATCH(ROW()-2,종합!$AE$3:$AE$501,0))&amp;"","")</f>
        <v/>
      </c>
      <c r="Y81" s="21" t="str">
        <f aca="false">IFERROR(INDEX(종합!Y$3:Y$501,MATCH(ROW()-2,종합!$AE$3:$AE$501,0))&amp;"","")</f>
        <v/>
      </c>
      <c r="Z81" s="21" t="str">
        <f aca="false">IFERROR(INDEX(종합!Z$3:Z$501,MATCH(ROW()-2,종합!$AE$3:$AE$501,0))&amp;"","")</f>
        <v/>
      </c>
    </row>
    <row r="82" customFormat="false" ht="16.5" hidden="false" customHeight="true" outlineLevel="0" collapsed="false">
      <c r="A82" s="18" t="str">
        <f aca="false">IF(B82="","",ROW()-2)</f>
        <v/>
      </c>
      <c r="B82" s="18" t="str">
        <f aca="false">IFERROR(INDEX(종합!B$3:B$501,MATCH(ROW()-2,종합!$AE$3:$AE$501,0))&amp;"","")</f>
        <v/>
      </c>
      <c r="C82" s="18" t="str">
        <f aca="false">IFERROR(INDEX(종합!C$3:C$501,MATCH(ROW()-2,종합!$AE$3:$AE$501,0))&amp;"","")</f>
        <v/>
      </c>
      <c r="D82" s="18" t="str">
        <f aca="false">IFERROR(INDEX(종합!D$3:D$501,MATCH(ROW()-2,종합!$AE$3:$AE$501,0))&amp;"","")</f>
        <v/>
      </c>
      <c r="E82" s="18" t="str">
        <f aca="false">IFERROR(INDEX(종합!E$3:E$501,MATCH(ROW()-2,종합!$AE$3:$AE$501,0))&amp;"","")</f>
        <v/>
      </c>
      <c r="F82" s="18" t="str">
        <f aca="false">IFERROR(INDEX(종합!F$3:F$501,MATCH(ROW()-2,종합!$AE$3:$AE$501,0))&amp;"","")</f>
        <v/>
      </c>
      <c r="G82" s="18" t="str">
        <f aca="false">IFERROR(INDEX(종합!G$3:G$501,MATCH(ROW()-2,종합!$AE$3:$AE$501,0))&amp;"","")</f>
        <v/>
      </c>
      <c r="H82" s="21" t="str">
        <f aca="false">IFERROR(INDEX(종합!H$3:H$501,MATCH(ROW()-2,종합!$AE$3:$AE$501,0))&amp;"","")</f>
        <v/>
      </c>
      <c r="I82" s="21" t="str">
        <f aca="false">IFERROR(INDEX(종합!I$3:I$501,MATCH(ROW()-2,종합!$AE$3:$AE$501,0))&amp;"","")</f>
        <v/>
      </c>
      <c r="J82" s="21" t="str">
        <f aca="false">IFERROR(INDEX(종합!J$3:J$501,MATCH(ROW()-2,종합!$AE$3:$AE$501,0))&amp;"","")</f>
        <v/>
      </c>
      <c r="K82" s="21" t="str">
        <f aca="false">IFERROR(INDEX(종합!K$3:K$501,MATCH(ROW()-2,종합!$AE$3:$AE$501,0))&amp;"","")</f>
        <v/>
      </c>
      <c r="L82" s="21" t="str">
        <f aca="false">IFERROR(INDEX(종합!L$3:L$501,MATCH(ROW()-2,종합!$AE$3:$AE$501,0))&amp;"","")</f>
        <v/>
      </c>
      <c r="M82" s="21" t="str">
        <f aca="false">IFERROR(INDEX(종합!M$3:M$501,MATCH(ROW()-2,종합!$AE$3:$AE$501,0))&amp;"","")</f>
        <v/>
      </c>
      <c r="N82" s="25" t="str">
        <f aca="false">IFERROR(INDEX(종합!N$3:N$501,MATCH(ROW()-2,종합!$AE$3:$AE$501,0))&amp;"","")</f>
        <v/>
      </c>
      <c r="O82" s="21" t="str">
        <f aca="false">IFERROR(INDEX(종합!O$3:O$501,MATCH(ROW()-2,종합!$AE$3:$AE$501,0))&amp;"","")</f>
        <v/>
      </c>
      <c r="P82" s="21" t="str">
        <f aca="false">IFERROR(INDEX(종합!P$3:P$501,MATCH(ROW()-2,종합!$AE$3:$AE$501,0))&amp;"","")</f>
        <v/>
      </c>
      <c r="Q82" s="21" t="str">
        <f aca="false">IFERROR(INDEX(종합!Q$3:Q$501,MATCH(ROW()-2,종합!$AE$3:$AE$501,0))&amp;"","")</f>
        <v/>
      </c>
      <c r="R82" s="21" t="str">
        <f aca="false">IFERROR(INDEX(종합!R$3:R$501,MATCH(ROW()-2,종합!$AE$3:$AE$501,0))&amp;"","")</f>
        <v/>
      </c>
      <c r="S82" s="21" t="str">
        <f aca="false">IFERROR(INDEX(종합!S$3:S$501,MATCH(ROW()-2,종합!$AE$3:$AE$501,0))&amp;"","")</f>
        <v/>
      </c>
      <c r="T82" s="21" t="str">
        <f aca="false">IFERROR(INDEX(종합!T$3:T$501,MATCH(ROW()-2,종합!$AE$3:$AE$501,0))&amp;"","")</f>
        <v/>
      </c>
      <c r="U82" s="21" t="str">
        <f aca="false">IFERROR(INDEX(종합!U$3:U$501,MATCH(ROW()-2,종합!$AE$3:$AE$501,0))&amp;"","")</f>
        <v/>
      </c>
      <c r="V82" s="21" t="str">
        <f aca="false">IFERROR(INDEX(종합!V$3:V$501,MATCH(ROW()-2,종합!$AE$3:$AE$501,0))&amp;"","")</f>
        <v/>
      </c>
      <c r="W82" s="21" t="str">
        <f aca="false">IFERROR(INDEX(종합!W$3:W$501,MATCH(ROW()-2,종합!$AE$3:$AE$501,0))&amp;"","")</f>
        <v/>
      </c>
      <c r="X82" s="21" t="str">
        <f aca="false">IFERROR(INDEX(종합!X$3:X$501,MATCH(ROW()-2,종합!$AE$3:$AE$501,0))&amp;"","")</f>
        <v/>
      </c>
      <c r="Y82" s="21" t="str">
        <f aca="false">IFERROR(INDEX(종합!Y$3:Y$501,MATCH(ROW()-2,종합!$AE$3:$AE$501,0))&amp;"","")</f>
        <v/>
      </c>
      <c r="Z82" s="21" t="str">
        <f aca="false">IFERROR(INDEX(종합!Z$3:Z$501,MATCH(ROW()-2,종합!$AE$3:$AE$501,0))&amp;"","")</f>
        <v/>
      </c>
    </row>
    <row r="83" customFormat="false" ht="16.5" hidden="false" customHeight="true" outlineLevel="0" collapsed="false">
      <c r="A83" s="18" t="str">
        <f aca="false">IF(B83="","",ROW()-2)</f>
        <v/>
      </c>
      <c r="B83" s="18" t="str">
        <f aca="false">IFERROR(INDEX(종합!B$3:B$501,MATCH(ROW()-2,종합!$AE$3:$AE$501,0))&amp;"","")</f>
        <v/>
      </c>
      <c r="C83" s="18" t="str">
        <f aca="false">IFERROR(INDEX(종합!C$3:C$501,MATCH(ROW()-2,종합!$AE$3:$AE$501,0))&amp;"","")</f>
        <v/>
      </c>
      <c r="D83" s="18" t="str">
        <f aca="false">IFERROR(INDEX(종합!D$3:D$501,MATCH(ROW()-2,종합!$AE$3:$AE$501,0))&amp;"","")</f>
        <v/>
      </c>
      <c r="E83" s="18" t="str">
        <f aca="false">IFERROR(INDEX(종합!E$3:E$501,MATCH(ROW()-2,종합!$AE$3:$AE$501,0))&amp;"","")</f>
        <v/>
      </c>
      <c r="F83" s="18" t="str">
        <f aca="false">IFERROR(INDEX(종합!F$3:F$501,MATCH(ROW()-2,종합!$AE$3:$AE$501,0))&amp;"","")</f>
        <v/>
      </c>
      <c r="G83" s="18" t="str">
        <f aca="false">IFERROR(INDEX(종합!G$3:G$501,MATCH(ROW()-2,종합!$AE$3:$AE$501,0))&amp;"","")</f>
        <v/>
      </c>
      <c r="H83" s="21" t="str">
        <f aca="false">IFERROR(INDEX(종합!H$3:H$501,MATCH(ROW()-2,종합!$AE$3:$AE$501,0))&amp;"","")</f>
        <v/>
      </c>
      <c r="I83" s="21" t="str">
        <f aca="false">IFERROR(INDEX(종합!I$3:I$501,MATCH(ROW()-2,종합!$AE$3:$AE$501,0))&amp;"","")</f>
        <v/>
      </c>
      <c r="J83" s="21" t="str">
        <f aca="false">IFERROR(INDEX(종합!J$3:J$501,MATCH(ROW()-2,종합!$AE$3:$AE$501,0))&amp;"","")</f>
        <v/>
      </c>
      <c r="K83" s="21" t="str">
        <f aca="false">IFERROR(INDEX(종합!K$3:K$501,MATCH(ROW()-2,종합!$AE$3:$AE$501,0))&amp;"","")</f>
        <v/>
      </c>
      <c r="L83" s="21" t="str">
        <f aca="false">IFERROR(INDEX(종합!L$3:L$501,MATCH(ROW()-2,종합!$AE$3:$AE$501,0))&amp;"","")</f>
        <v/>
      </c>
      <c r="M83" s="21" t="str">
        <f aca="false">IFERROR(INDEX(종합!M$3:M$501,MATCH(ROW()-2,종합!$AE$3:$AE$501,0))&amp;"","")</f>
        <v/>
      </c>
      <c r="N83" s="25" t="str">
        <f aca="false">IFERROR(INDEX(종합!N$3:N$501,MATCH(ROW()-2,종합!$AE$3:$AE$501,0))&amp;"","")</f>
        <v/>
      </c>
      <c r="O83" s="21" t="str">
        <f aca="false">IFERROR(INDEX(종합!O$3:O$501,MATCH(ROW()-2,종합!$AE$3:$AE$501,0))&amp;"","")</f>
        <v/>
      </c>
      <c r="P83" s="21" t="str">
        <f aca="false">IFERROR(INDEX(종합!P$3:P$501,MATCH(ROW()-2,종합!$AE$3:$AE$501,0))&amp;"","")</f>
        <v/>
      </c>
      <c r="Q83" s="21" t="str">
        <f aca="false">IFERROR(INDEX(종합!Q$3:Q$501,MATCH(ROW()-2,종합!$AE$3:$AE$501,0))&amp;"","")</f>
        <v/>
      </c>
      <c r="R83" s="21" t="str">
        <f aca="false">IFERROR(INDEX(종합!R$3:R$501,MATCH(ROW()-2,종합!$AE$3:$AE$501,0))&amp;"","")</f>
        <v/>
      </c>
      <c r="S83" s="21" t="str">
        <f aca="false">IFERROR(INDEX(종합!S$3:S$501,MATCH(ROW()-2,종합!$AE$3:$AE$501,0))&amp;"","")</f>
        <v/>
      </c>
      <c r="T83" s="21" t="str">
        <f aca="false">IFERROR(INDEX(종합!T$3:T$501,MATCH(ROW()-2,종합!$AE$3:$AE$501,0))&amp;"","")</f>
        <v/>
      </c>
      <c r="U83" s="21" t="str">
        <f aca="false">IFERROR(INDEX(종합!U$3:U$501,MATCH(ROW()-2,종합!$AE$3:$AE$501,0))&amp;"","")</f>
        <v/>
      </c>
      <c r="V83" s="21" t="str">
        <f aca="false">IFERROR(INDEX(종합!V$3:V$501,MATCH(ROW()-2,종합!$AE$3:$AE$501,0))&amp;"","")</f>
        <v/>
      </c>
      <c r="W83" s="21" t="str">
        <f aca="false">IFERROR(INDEX(종합!W$3:W$501,MATCH(ROW()-2,종합!$AE$3:$AE$501,0))&amp;"","")</f>
        <v/>
      </c>
      <c r="X83" s="21" t="str">
        <f aca="false">IFERROR(INDEX(종합!X$3:X$501,MATCH(ROW()-2,종합!$AE$3:$AE$501,0))&amp;"","")</f>
        <v/>
      </c>
      <c r="Y83" s="21" t="str">
        <f aca="false">IFERROR(INDEX(종합!Y$3:Y$501,MATCH(ROW()-2,종합!$AE$3:$AE$501,0))&amp;"","")</f>
        <v/>
      </c>
      <c r="Z83" s="21" t="str">
        <f aca="false">IFERROR(INDEX(종합!Z$3:Z$501,MATCH(ROW()-2,종합!$AE$3:$AE$501,0))&amp;"","")</f>
        <v/>
      </c>
    </row>
    <row r="84" customFormat="false" ht="16.5" hidden="false" customHeight="true" outlineLevel="0" collapsed="false">
      <c r="A84" s="18" t="str">
        <f aca="false">IF(B84="","",ROW()-2)</f>
        <v/>
      </c>
      <c r="B84" s="18" t="str">
        <f aca="false">IFERROR(INDEX(종합!B$3:B$501,MATCH(ROW()-2,종합!$AE$3:$AE$501,0))&amp;"","")</f>
        <v/>
      </c>
      <c r="C84" s="18" t="str">
        <f aca="false">IFERROR(INDEX(종합!C$3:C$501,MATCH(ROW()-2,종합!$AE$3:$AE$501,0))&amp;"","")</f>
        <v/>
      </c>
      <c r="D84" s="18" t="str">
        <f aca="false">IFERROR(INDEX(종합!D$3:D$501,MATCH(ROW()-2,종합!$AE$3:$AE$501,0))&amp;"","")</f>
        <v/>
      </c>
      <c r="E84" s="18" t="str">
        <f aca="false">IFERROR(INDEX(종합!E$3:E$501,MATCH(ROW()-2,종합!$AE$3:$AE$501,0))&amp;"","")</f>
        <v/>
      </c>
      <c r="F84" s="18" t="str">
        <f aca="false">IFERROR(INDEX(종합!F$3:F$501,MATCH(ROW()-2,종합!$AE$3:$AE$501,0))&amp;"","")</f>
        <v/>
      </c>
      <c r="G84" s="18" t="str">
        <f aca="false">IFERROR(INDEX(종합!G$3:G$501,MATCH(ROW()-2,종합!$AE$3:$AE$501,0))&amp;"","")</f>
        <v/>
      </c>
      <c r="H84" s="21" t="str">
        <f aca="false">IFERROR(INDEX(종합!H$3:H$501,MATCH(ROW()-2,종합!$AE$3:$AE$501,0))&amp;"","")</f>
        <v/>
      </c>
      <c r="I84" s="21" t="str">
        <f aca="false">IFERROR(INDEX(종합!I$3:I$501,MATCH(ROW()-2,종합!$AE$3:$AE$501,0))&amp;"","")</f>
        <v/>
      </c>
      <c r="J84" s="21" t="str">
        <f aca="false">IFERROR(INDEX(종합!J$3:J$501,MATCH(ROW()-2,종합!$AE$3:$AE$501,0))&amp;"","")</f>
        <v/>
      </c>
      <c r="K84" s="21" t="str">
        <f aca="false">IFERROR(INDEX(종합!K$3:K$501,MATCH(ROW()-2,종합!$AE$3:$AE$501,0))&amp;"","")</f>
        <v/>
      </c>
      <c r="L84" s="21" t="str">
        <f aca="false">IFERROR(INDEX(종합!L$3:L$501,MATCH(ROW()-2,종합!$AE$3:$AE$501,0))&amp;"","")</f>
        <v/>
      </c>
      <c r="M84" s="21" t="str">
        <f aca="false">IFERROR(INDEX(종합!M$3:M$501,MATCH(ROW()-2,종합!$AE$3:$AE$501,0))&amp;"","")</f>
        <v/>
      </c>
      <c r="N84" s="25" t="str">
        <f aca="false">IFERROR(INDEX(종합!N$3:N$501,MATCH(ROW()-2,종합!$AE$3:$AE$501,0))&amp;"","")</f>
        <v/>
      </c>
      <c r="O84" s="21" t="str">
        <f aca="false">IFERROR(INDEX(종합!O$3:O$501,MATCH(ROW()-2,종합!$AE$3:$AE$501,0))&amp;"","")</f>
        <v/>
      </c>
      <c r="P84" s="21" t="str">
        <f aca="false">IFERROR(INDEX(종합!P$3:P$501,MATCH(ROW()-2,종합!$AE$3:$AE$501,0))&amp;"","")</f>
        <v/>
      </c>
      <c r="Q84" s="21" t="str">
        <f aca="false">IFERROR(INDEX(종합!Q$3:Q$501,MATCH(ROW()-2,종합!$AE$3:$AE$501,0))&amp;"","")</f>
        <v/>
      </c>
      <c r="R84" s="21" t="str">
        <f aca="false">IFERROR(INDEX(종합!R$3:R$501,MATCH(ROW()-2,종합!$AE$3:$AE$501,0))&amp;"","")</f>
        <v/>
      </c>
      <c r="S84" s="21" t="str">
        <f aca="false">IFERROR(INDEX(종합!S$3:S$501,MATCH(ROW()-2,종합!$AE$3:$AE$501,0))&amp;"","")</f>
        <v/>
      </c>
      <c r="T84" s="21" t="str">
        <f aca="false">IFERROR(INDEX(종합!T$3:T$501,MATCH(ROW()-2,종합!$AE$3:$AE$501,0))&amp;"","")</f>
        <v/>
      </c>
      <c r="U84" s="21" t="str">
        <f aca="false">IFERROR(INDEX(종합!U$3:U$501,MATCH(ROW()-2,종합!$AE$3:$AE$501,0))&amp;"","")</f>
        <v/>
      </c>
      <c r="V84" s="21" t="str">
        <f aca="false">IFERROR(INDEX(종합!V$3:V$501,MATCH(ROW()-2,종합!$AE$3:$AE$501,0))&amp;"","")</f>
        <v/>
      </c>
      <c r="W84" s="21" t="str">
        <f aca="false">IFERROR(INDEX(종합!W$3:W$501,MATCH(ROW()-2,종합!$AE$3:$AE$501,0))&amp;"","")</f>
        <v/>
      </c>
      <c r="X84" s="21" t="str">
        <f aca="false">IFERROR(INDEX(종합!X$3:X$501,MATCH(ROW()-2,종합!$AE$3:$AE$501,0))&amp;"","")</f>
        <v/>
      </c>
      <c r="Y84" s="21" t="str">
        <f aca="false">IFERROR(INDEX(종합!Y$3:Y$501,MATCH(ROW()-2,종합!$AE$3:$AE$501,0))&amp;"","")</f>
        <v/>
      </c>
      <c r="Z84" s="21" t="str">
        <f aca="false">IFERROR(INDEX(종합!Z$3:Z$501,MATCH(ROW()-2,종합!$AE$3:$AE$501,0))&amp;"","")</f>
        <v/>
      </c>
    </row>
    <row r="85" customFormat="false" ht="16.5" hidden="false" customHeight="true" outlineLevel="0" collapsed="false">
      <c r="A85" s="18" t="str">
        <f aca="false">IF(B85="","",ROW()-2)</f>
        <v/>
      </c>
      <c r="B85" s="18" t="str">
        <f aca="false">IFERROR(INDEX(종합!B$3:B$501,MATCH(ROW()-2,종합!$AE$3:$AE$501,0))&amp;"","")</f>
        <v/>
      </c>
      <c r="C85" s="18" t="str">
        <f aca="false">IFERROR(INDEX(종합!C$3:C$501,MATCH(ROW()-2,종합!$AE$3:$AE$501,0))&amp;"","")</f>
        <v/>
      </c>
      <c r="D85" s="18" t="str">
        <f aca="false">IFERROR(INDEX(종합!D$3:D$501,MATCH(ROW()-2,종합!$AE$3:$AE$501,0))&amp;"","")</f>
        <v/>
      </c>
      <c r="E85" s="18" t="str">
        <f aca="false">IFERROR(INDEX(종합!E$3:E$501,MATCH(ROW()-2,종합!$AE$3:$AE$501,0))&amp;"","")</f>
        <v/>
      </c>
      <c r="F85" s="18" t="str">
        <f aca="false">IFERROR(INDEX(종합!F$3:F$501,MATCH(ROW()-2,종합!$AE$3:$AE$501,0))&amp;"","")</f>
        <v/>
      </c>
      <c r="G85" s="18" t="str">
        <f aca="false">IFERROR(INDEX(종합!G$3:G$501,MATCH(ROW()-2,종합!$AE$3:$AE$501,0))&amp;"","")</f>
        <v/>
      </c>
      <c r="H85" s="21" t="str">
        <f aca="false">IFERROR(INDEX(종합!H$3:H$501,MATCH(ROW()-2,종합!$AE$3:$AE$501,0))&amp;"","")</f>
        <v/>
      </c>
      <c r="I85" s="21" t="str">
        <f aca="false">IFERROR(INDEX(종합!I$3:I$501,MATCH(ROW()-2,종합!$AE$3:$AE$501,0))&amp;"","")</f>
        <v/>
      </c>
      <c r="J85" s="21" t="str">
        <f aca="false">IFERROR(INDEX(종합!J$3:J$501,MATCH(ROW()-2,종합!$AE$3:$AE$501,0))&amp;"","")</f>
        <v/>
      </c>
      <c r="K85" s="21" t="str">
        <f aca="false">IFERROR(INDEX(종합!K$3:K$501,MATCH(ROW()-2,종합!$AE$3:$AE$501,0))&amp;"","")</f>
        <v/>
      </c>
      <c r="L85" s="21" t="str">
        <f aca="false">IFERROR(INDEX(종합!L$3:L$501,MATCH(ROW()-2,종합!$AE$3:$AE$501,0))&amp;"","")</f>
        <v/>
      </c>
      <c r="M85" s="21" t="str">
        <f aca="false">IFERROR(INDEX(종합!M$3:M$501,MATCH(ROW()-2,종합!$AE$3:$AE$501,0))&amp;"","")</f>
        <v/>
      </c>
      <c r="N85" s="25" t="str">
        <f aca="false">IFERROR(INDEX(종합!N$3:N$501,MATCH(ROW()-2,종합!$AE$3:$AE$501,0))&amp;"","")</f>
        <v/>
      </c>
      <c r="O85" s="21" t="str">
        <f aca="false">IFERROR(INDEX(종합!O$3:O$501,MATCH(ROW()-2,종합!$AE$3:$AE$501,0))&amp;"","")</f>
        <v/>
      </c>
      <c r="P85" s="21" t="str">
        <f aca="false">IFERROR(INDEX(종합!P$3:P$501,MATCH(ROW()-2,종합!$AE$3:$AE$501,0))&amp;"","")</f>
        <v/>
      </c>
      <c r="Q85" s="21" t="str">
        <f aca="false">IFERROR(INDEX(종합!Q$3:Q$501,MATCH(ROW()-2,종합!$AE$3:$AE$501,0))&amp;"","")</f>
        <v/>
      </c>
      <c r="R85" s="21" t="str">
        <f aca="false">IFERROR(INDEX(종합!R$3:R$501,MATCH(ROW()-2,종합!$AE$3:$AE$501,0))&amp;"","")</f>
        <v/>
      </c>
      <c r="S85" s="21" t="str">
        <f aca="false">IFERROR(INDEX(종합!S$3:S$501,MATCH(ROW()-2,종합!$AE$3:$AE$501,0))&amp;"","")</f>
        <v/>
      </c>
      <c r="T85" s="21" t="str">
        <f aca="false">IFERROR(INDEX(종합!T$3:T$501,MATCH(ROW()-2,종합!$AE$3:$AE$501,0))&amp;"","")</f>
        <v/>
      </c>
      <c r="U85" s="21" t="str">
        <f aca="false">IFERROR(INDEX(종합!U$3:U$501,MATCH(ROW()-2,종합!$AE$3:$AE$501,0))&amp;"","")</f>
        <v/>
      </c>
      <c r="V85" s="21" t="str">
        <f aca="false">IFERROR(INDEX(종합!V$3:V$501,MATCH(ROW()-2,종합!$AE$3:$AE$501,0))&amp;"","")</f>
        <v/>
      </c>
      <c r="W85" s="21" t="str">
        <f aca="false">IFERROR(INDEX(종합!W$3:W$501,MATCH(ROW()-2,종합!$AE$3:$AE$501,0))&amp;"","")</f>
        <v/>
      </c>
      <c r="X85" s="21" t="str">
        <f aca="false">IFERROR(INDEX(종합!X$3:X$501,MATCH(ROW()-2,종합!$AE$3:$AE$501,0))&amp;"","")</f>
        <v/>
      </c>
      <c r="Y85" s="21" t="str">
        <f aca="false">IFERROR(INDEX(종합!Y$3:Y$501,MATCH(ROW()-2,종합!$AE$3:$AE$501,0))&amp;"","")</f>
        <v/>
      </c>
      <c r="Z85" s="21" t="str">
        <f aca="false">IFERROR(INDEX(종합!Z$3:Z$501,MATCH(ROW()-2,종합!$AE$3:$AE$501,0))&amp;"","")</f>
        <v/>
      </c>
    </row>
    <row r="86" customFormat="false" ht="16.5" hidden="false" customHeight="true" outlineLevel="0" collapsed="false">
      <c r="A86" s="18" t="str">
        <f aca="false">IF(B86="","",ROW()-2)</f>
        <v/>
      </c>
      <c r="B86" s="18" t="str">
        <f aca="false">IFERROR(INDEX(종합!B$3:B$501,MATCH(ROW()-2,종합!$AE$3:$AE$501,0))&amp;"","")</f>
        <v/>
      </c>
      <c r="C86" s="18" t="str">
        <f aca="false">IFERROR(INDEX(종합!C$3:C$501,MATCH(ROW()-2,종합!$AE$3:$AE$501,0))&amp;"","")</f>
        <v/>
      </c>
      <c r="D86" s="18" t="str">
        <f aca="false">IFERROR(INDEX(종합!D$3:D$501,MATCH(ROW()-2,종합!$AE$3:$AE$501,0))&amp;"","")</f>
        <v/>
      </c>
      <c r="E86" s="18" t="str">
        <f aca="false">IFERROR(INDEX(종합!E$3:E$501,MATCH(ROW()-2,종합!$AE$3:$AE$501,0))&amp;"","")</f>
        <v/>
      </c>
      <c r="F86" s="18" t="str">
        <f aca="false">IFERROR(INDEX(종합!F$3:F$501,MATCH(ROW()-2,종합!$AE$3:$AE$501,0))&amp;"","")</f>
        <v/>
      </c>
      <c r="G86" s="18" t="str">
        <f aca="false">IFERROR(INDEX(종합!G$3:G$501,MATCH(ROW()-2,종합!$AE$3:$AE$501,0))&amp;"","")</f>
        <v/>
      </c>
      <c r="H86" s="21" t="str">
        <f aca="false">IFERROR(INDEX(종합!H$3:H$501,MATCH(ROW()-2,종합!$AE$3:$AE$501,0))&amp;"","")</f>
        <v/>
      </c>
      <c r="I86" s="21" t="str">
        <f aca="false">IFERROR(INDEX(종합!I$3:I$501,MATCH(ROW()-2,종합!$AE$3:$AE$501,0))&amp;"","")</f>
        <v/>
      </c>
      <c r="J86" s="21" t="str">
        <f aca="false">IFERROR(INDEX(종합!J$3:J$501,MATCH(ROW()-2,종합!$AE$3:$AE$501,0))&amp;"","")</f>
        <v/>
      </c>
      <c r="K86" s="21" t="str">
        <f aca="false">IFERROR(INDEX(종합!K$3:K$501,MATCH(ROW()-2,종합!$AE$3:$AE$501,0))&amp;"","")</f>
        <v/>
      </c>
      <c r="L86" s="21" t="str">
        <f aca="false">IFERROR(INDEX(종합!L$3:L$501,MATCH(ROW()-2,종합!$AE$3:$AE$501,0))&amp;"","")</f>
        <v/>
      </c>
      <c r="M86" s="21" t="str">
        <f aca="false">IFERROR(INDEX(종합!M$3:M$501,MATCH(ROW()-2,종합!$AE$3:$AE$501,0))&amp;"","")</f>
        <v/>
      </c>
      <c r="N86" s="25" t="str">
        <f aca="false">IFERROR(INDEX(종합!N$3:N$501,MATCH(ROW()-2,종합!$AE$3:$AE$501,0))&amp;"","")</f>
        <v/>
      </c>
      <c r="O86" s="21" t="str">
        <f aca="false">IFERROR(INDEX(종합!O$3:O$501,MATCH(ROW()-2,종합!$AE$3:$AE$501,0))&amp;"","")</f>
        <v/>
      </c>
      <c r="P86" s="21" t="str">
        <f aca="false">IFERROR(INDEX(종합!P$3:P$501,MATCH(ROW()-2,종합!$AE$3:$AE$501,0))&amp;"","")</f>
        <v/>
      </c>
      <c r="Q86" s="21" t="str">
        <f aca="false">IFERROR(INDEX(종합!Q$3:Q$501,MATCH(ROW()-2,종합!$AE$3:$AE$501,0))&amp;"","")</f>
        <v/>
      </c>
      <c r="R86" s="21" t="str">
        <f aca="false">IFERROR(INDEX(종합!R$3:R$501,MATCH(ROW()-2,종합!$AE$3:$AE$501,0))&amp;"","")</f>
        <v/>
      </c>
      <c r="S86" s="21" t="str">
        <f aca="false">IFERROR(INDEX(종합!S$3:S$501,MATCH(ROW()-2,종합!$AE$3:$AE$501,0))&amp;"","")</f>
        <v/>
      </c>
      <c r="T86" s="21" t="str">
        <f aca="false">IFERROR(INDEX(종합!T$3:T$501,MATCH(ROW()-2,종합!$AE$3:$AE$501,0))&amp;"","")</f>
        <v/>
      </c>
      <c r="U86" s="21" t="str">
        <f aca="false">IFERROR(INDEX(종합!U$3:U$501,MATCH(ROW()-2,종합!$AE$3:$AE$501,0))&amp;"","")</f>
        <v/>
      </c>
      <c r="V86" s="21" t="str">
        <f aca="false">IFERROR(INDEX(종합!V$3:V$501,MATCH(ROW()-2,종합!$AE$3:$AE$501,0))&amp;"","")</f>
        <v/>
      </c>
      <c r="W86" s="21" t="str">
        <f aca="false">IFERROR(INDEX(종합!W$3:W$501,MATCH(ROW()-2,종합!$AE$3:$AE$501,0))&amp;"","")</f>
        <v/>
      </c>
      <c r="X86" s="21" t="str">
        <f aca="false">IFERROR(INDEX(종합!X$3:X$501,MATCH(ROW()-2,종합!$AE$3:$AE$501,0))&amp;"","")</f>
        <v/>
      </c>
      <c r="Y86" s="21" t="str">
        <f aca="false">IFERROR(INDEX(종합!Y$3:Y$501,MATCH(ROW()-2,종합!$AE$3:$AE$501,0))&amp;"","")</f>
        <v/>
      </c>
      <c r="Z86" s="21" t="str">
        <f aca="false">IFERROR(INDEX(종합!Z$3:Z$501,MATCH(ROW()-2,종합!$AE$3:$AE$501,0))&amp;"","")</f>
        <v/>
      </c>
    </row>
    <row r="87" customFormat="false" ht="16.5" hidden="false" customHeight="true" outlineLevel="0" collapsed="false">
      <c r="A87" s="18" t="str">
        <f aca="false">IF(B87="","",ROW()-2)</f>
        <v/>
      </c>
      <c r="B87" s="18" t="str">
        <f aca="false">IFERROR(INDEX(종합!B$3:B$501,MATCH(ROW()-2,종합!$AE$3:$AE$501,0))&amp;"","")</f>
        <v/>
      </c>
      <c r="C87" s="18" t="str">
        <f aca="false">IFERROR(INDEX(종합!C$3:C$501,MATCH(ROW()-2,종합!$AE$3:$AE$501,0))&amp;"","")</f>
        <v/>
      </c>
      <c r="D87" s="18" t="str">
        <f aca="false">IFERROR(INDEX(종합!D$3:D$501,MATCH(ROW()-2,종합!$AE$3:$AE$501,0))&amp;"","")</f>
        <v/>
      </c>
      <c r="E87" s="18" t="str">
        <f aca="false">IFERROR(INDEX(종합!E$3:E$501,MATCH(ROW()-2,종합!$AE$3:$AE$501,0))&amp;"","")</f>
        <v/>
      </c>
      <c r="F87" s="18" t="str">
        <f aca="false">IFERROR(INDEX(종합!F$3:F$501,MATCH(ROW()-2,종합!$AE$3:$AE$501,0))&amp;"","")</f>
        <v/>
      </c>
      <c r="G87" s="18" t="str">
        <f aca="false">IFERROR(INDEX(종합!G$3:G$501,MATCH(ROW()-2,종합!$AE$3:$AE$501,0))&amp;"","")</f>
        <v/>
      </c>
      <c r="H87" s="21" t="str">
        <f aca="false">IFERROR(INDEX(종합!H$3:H$501,MATCH(ROW()-2,종합!$AE$3:$AE$501,0))&amp;"","")</f>
        <v/>
      </c>
      <c r="I87" s="21" t="str">
        <f aca="false">IFERROR(INDEX(종합!I$3:I$501,MATCH(ROW()-2,종합!$AE$3:$AE$501,0))&amp;"","")</f>
        <v/>
      </c>
      <c r="J87" s="21" t="str">
        <f aca="false">IFERROR(INDEX(종합!J$3:J$501,MATCH(ROW()-2,종합!$AE$3:$AE$501,0))&amp;"","")</f>
        <v/>
      </c>
      <c r="K87" s="21" t="str">
        <f aca="false">IFERROR(INDEX(종합!K$3:K$501,MATCH(ROW()-2,종합!$AE$3:$AE$501,0))&amp;"","")</f>
        <v/>
      </c>
      <c r="L87" s="21" t="str">
        <f aca="false">IFERROR(INDEX(종합!L$3:L$501,MATCH(ROW()-2,종합!$AE$3:$AE$501,0))&amp;"","")</f>
        <v/>
      </c>
      <c r="M87" s="21" t="str">
        <f aca="false">IFERROR(INDEX(종합!M$3:M$501,MATCH(ROW()-2,종합!$AE$3:$AE$501,0))&amp;"","")</f>
        <v/>
      </c>
      <c r="N87" s="25" t="str">
        <f aca="false">IFERROR(INDEX(종합!N$3:N$501,MATCH(ROW()-2,종합!$AE$3:$AE$501,0))&amp;"","")</f>
        <v/>
      </c>
      <c r="O87" s="21" t="str">
        <f aca="false">IFERROR(INDEX(종합!O$3:O$501,MATCH(ROW()-2,종합!$AE$3:$AE$501,0))&amp;"","")</f>
        <v/>
      </c>
      <c r="P87" s="21" t="str">
        <f aca="false">IFERROR(INDEX(종합!P$3:P$501,MATCH(ROW()-2,종합!$AE$3:$AE$501,0))&amp;"","")</f>
        <v/>
      </c>
      <c r="Q87" s="21" t="str">
        <f aca="false">IFERROR(INDEX(종합!Q$3:Q$501,MATCH(ROW()-2,종합!$AE$3:$AE$501,0))&amp;"","")</f>
        <v/>
      </c>
      <c r="R87" s="21" t="str">
        <f aca="false">IFERROR(INDEX(종합!R$3:R$501,MATCH(ROW()-2,종합!$AE$3:$AE$501,0))&amp;"","")</f>
        <v/>
      </c>
      <c r="S87" s="21" t="str">
        <f aca="false">IFERROR(INDEX(종합!S$3:S$501,MATCH(ROW()-2,종합!$AE$3:$AE$501,0))&amp;"","")</f>
        <v/>
      </c>
      <c r="T87" s="21" t="str">
        <f aca="false">IFERROR(INDEX(종합!T$3:T$501,MATCH(ROW()-2,종합!$AE$3:$AE$501,0))&amp;"","")</f>
        <v/>
      </c>
      <c r="U87" s="21" t="str">
        <f aca="false">IFERROR(INDEX(종합!U$3:U$501,MATCH(ROW()-2,종합!$AE$3:$AE$501,0))&amp;"","")</f>
        <v/>
      </c>
      <c r="V87" s="21" t="str">
        <f aca="false">IFERROR(INDEX(종합!V$3:V$501,MATCH(ROW()-2,종합!$AE$3:$AE$501,0))&amp;"","")</f>
        <v/>
      </c>
      <c r="W87" s="21" t="str">
        <f aca="false">IFERROR(INDEX(종합!W$3:W$501,MATCH(ROW()-2,종합!$AE$3:$AE$501,0))&amp;"","")</f>
        <v/>
      </c>
      <c r="X87" s="21" t="str">
        <f aca="false">IFERROR(INDEX(종합!X$3:X$501,MATCH(ROW()-2,종합!$AE$3:$AE$501,0))&amp;"","")</f>
        <v/>
      </c>
      <c r="Y87" s="21" t="str">
        <f aca="false">IFERROR(INDEX(종합!Y$3:Y$501,MATCH(ROW()-2,종합!$AE$3:$AE$501,0))&amp;"","")</f>
        <v/>
      </c>
      <c r="Z87" s="21" t="str">
        <f aca="false">IFERROR(INDEX(종합!Z$3:Z$501,MATCH(ROW()-2,종합!$AE$3:$AE$501,0))&amp;"","")</f>
        <v/>
      </c>
    </row>
    <row r="88" customFormat="false" ht="16.5" hidden="false" customHeight="true" outlineLevel="0" collapsed="false">
      <c r="A88" s="18" t="str">
        <f aca="false">IF(B88="","",ROW()-2)</f>
        <v/>
      </c>
      <c r="B88" s="18" t="str">
        <f aca="false">IFERROR(INDEX(종합!B$3:B$501,MATCH(ROW()-2,종합!$AE$3:$AE$501,0))&amp;"","")</f>
        <v/>
      </c>
      <c r="C88" s="18" t="str">
        <f aca="false">IFERROR(INDEX(종합!C$3:C$501,MATCH(ROW()-2,종합!$AE$3:$AE$501,0))&amp;"","")</f>
        <v/>
      </c>
      <c r="D88" s="18" t="str">
        <f aca="false">IFERROR(INDEX(종합!D$3:D$501,MATCH(ROW()-2,종합!$AE$3:$AE$501,0))&amp;"","")</f>
        <v/>
      </c>
      <c r="E88" s="18" t="str">
        <f aca="false">IFERROR(INDEX(종합!E$3:E$501,MATCH(ROW()-2,종합!$AE$3:$AE$501,0))&amp;"","")</f>
        <v/>
      </c>
      <c r="F88" s="18" t="str">
        <f aca="false">IFERROR(INDEX(종합!F$3:F$501,MATCH(ROW()-2,종합!$AE$3:$AE$501,0))&amp;"","")</f>
        <v/>
      </c>
      <c r="G88" s="18" t="str">
        <f aca="false">IFERROR(INDEX(종합!G$3:G$501,MATCH(ROW()-2,종합!$AE$3:$AE$501,0))&amp;"","")</f>
        <v/>
      </c>
      <c r="H88" s="21" t="str">
        <f aca="false">IFERROR(INDEX(종합!H$3:H$501,MATCH(ROW()-2,종합!$AE$3:$AE$501,0))&amp;"","")</f>
        <v/>
      </c>
      <c r="I88" s="21" t="str">
        <f aca="false">IFERROR(INDEX(종합!I$3:I$501,MATCH(ROW()-2,종합!$AE$3:$AE$501,0))&amp;"","")</f>
        <v/>
      </c>
      <c r="J88" s="21" t="str">
        <f aca="false">IFERROR(INDEX(종합!J$3:J$501,MATCH(ROW()-2,종합!$AE$3:$AE$501,0))&amp;"","")</f>
        <v/>
      </c>
      <c r="K88" s="21" t="str">
        <f aca="false">IFERROR(INDEX(종합!K$3:K$501,MATCH(ROW()-2,종합!$AE$3:$AE$501,0))&amp;"","")</f>
        <v/>
      </c>
      <c r="L88" s="21" t="str">
        <f aca="false">IFERROR(INDEX(종합!L$3:L$501,MATCH(ROW()-2,종합!$AE$3:$AE$501,0))&amp;"","")</f>
        <v/>
      </c>
      <c r="M88" s="21" t="str">
        <f aca="false">IFERROR(INDEX(종합!M$3:M$501,MATCH(ROW()-2,종합!$AE$3:$AE$501,0))&amp;"","")</f>
        <v/>
      </c>
      <c r="N88" s="25" t="str">
        <f aca="false">IFERROR(INDEX(종합!N$3:N$501,MATCH(ROW()-2,종합!$AE$3:$AE$501,0))&amp;"","")</f>
        <v/>
      </c>
      <c r="O88" s="21" t="str">
        <f aca="false">IFERROR(INDEX(종합!O$3:O$501,MATCH(ROW()-2,종합!$AE$3:$AE$501,0))&amp;"","")</f>
        <v/>
      </c>
      <c r="P88" s="21" t="str">
        <f aca="false">IFERROR(INDEX(종합!P$3:P$501,MATCH(ROW()-2,종합!$AE$3:$AE$501,0))&amp;"","")</f>
        <v/>
      </c>
      <c r="Q88" s="21" t="str">
        <f aca="false">IFERROR(INDEX(종합!Q$3:Q$501,MATCH(ROW()-2,종합!$AE$3:$AE$501,0))&amp;"","")</f>
        <v/>
      </c>
      <c r="R88" s="21" t="str">
        <f aca="false">IFERROR(INDEX(종합!R$3:R$501,MATCH(ROW()-2,종합!$AE$3:$AE$501,0))&amp;"","")</f>
        <v/>
      </c>
      <c r="S88" s="21" t="str">
        <f aca="false">IFERROR(INDEX(종합!S$3:S$501,MATCH(ROW()-2,종합!$AE$3:$AE$501,0))&amp;"","")</f>
        <v/>
      </c>
      <c r="T88" s="21" t="str">
        <f aca="false">IFERROR(INDEX(종합!T$3:T$501,MATCH(ROW()-2,종합!$AE$3:$AE$501,0))&amp;"","")</f>
        <v/>
      </c>
      <c r="U88" s="21" t="str">
        <f aca="false">IFERROR(INDEX(종합!U$3:U$501,MATCH(ROW()-2,종합!$AE$3:$AE$501,0))&amp;"","")</f>
        <v/>
      </c>
      <c r="V88" s="21" t="str">
        <f aca="false">IFERROR(INDEX(종합!V$3:V$501,MATCH(ROW()-2,종합!$AE$3:$AE$501,0))&amp;"","")</f>
        <v/>
      </c>
      <c r="W88" s="21" t="str">
        <f aca="false">IFERROR(INDEX(종합!W$3:W$501,MATCH(ROW()-2,종합!$AE$3:$AE$501,0))&amp;"","")</f>
        <v/>
      </c>
      <c r="X88" s="21" t="str">
        <f aca="false">IFERROR(INDEX(종합!X$3:X$501,MATCH(ROW()-2,종합!$AE$3:$AE$501,0))&amp;"","")</f>
        <v/>
      </c>
      <c r="Y88" s="21" t="str">
        <f aca="false">IFERROR(INDEX(종합!Y$3:Y$501,MATCH(ROW()-2,종합!$AE$3:$AE$501,0))&amp;"","")</f>
        <v/>
      </c>
      <c r="Z88" s="21" t="str">
        <f aca="false">IFERROR(INDEX(종합!Z$3:Z$501,MATCH(ROW()-2,종합!$AE$3:$AE$501,0))&amp;"","")</f>
        <v/>
      </c>
    </row>
    <row r="89" customFormat="false" ht="16.5" hidden="false" customHeight="true" outlineLevel="0" collapsed="false">
      <c r="A89" s="18" t="str">
        <f aca="false">IF(B89="","",ROW()-2)</f>
        <v/>
      </c>
      <c r="B89" s="18" t="str">
        <f aca="false">IFERROR(INDEX(종합!B$3:B$501,MATCH(ROW()-2,종합!$AE$3:$AE$501,0))&amp;"","")</f>
        <v/>
      </c>
      <c r="C89" s="18" t="str">
        <f aca="false">IFERROR(INDEX(종합!C$3:C$501,MATCH(ROW()-2,종합!$AE$3:$AE$501,0))&amp;"","")</f>
        <v/>
      </c>
      <c r="D89" s="18" t="str">
        <f aca="false">IFERROR(INDEX(종합!D$3:D$501,MATCH(ROW()-2,종합!$AE$3:$AE$501,0))&amp;"","")</f>
        <v/>
      </c>
      <c r="E89" s="18" t="str">
        <f aca="false">IFERROR(INDEX(종합!E$3:E$501,MATCH(ROW()-2,종합!$AE$3:$AE$501,0))&amp;"","")</f>
        <v/>
      </c>
      <c r="F89" s="18" t="str">
        <f aca="false">IFERROR(INDEX(종합!F$3:F$501,MATCH(ROW()-2,종합!$AE$3:$AE$501,0))&amp;"","")</f>
        <v/>
      </c>
      <c r="G89" s="18" t="str">
        <f aca="false">IFERROR(INDEX(종합!G$3:G$501,MATCH(ROW()-2,종합!$AE$3:$AE$501,0))&amp;"","")</f>
        <v/>
      </c>
      <c r="H89" s="21" t="str">
        <f aca="false">IFERROR(INDEX(종합!H$3:H$501,MATCH(ROW()-2,종합!$AE$3:$AE$501,0))&amp;"","")</f>
        <v/>
      </c>
      <c r="I89" s="21" t="str">
        <f aca="false">IFERROR(INDEX(종합!I$3:I$501,MATCH(ROW()-2,종합!$AE$3:$AE$501,0))&amp;"","")</f>
        <v/>
      </c>
      <c r="J89" s="21" t="str">
        <f aca="false">IFERROR(INDEX(종합!J$3:J$501,MATCH(ROW()-2,종합!$AE$3:$AE$501,0))&amp;"","")</f>
        <v/>
      </c>
      <c r="K89" s="21" t="str">
        <f aca="false">IFERROR(INDEX(종합!K$3:K$501,MATCH(ROW()-2,종합!$AE$3:$AE$501,0))&amp;"","")</f>
        <v/>
      </c>
      <c r="L89" s="21" t="str">
        <f aca="false">IFERROR(INDEX(종합!L$3:L$501,MATCH(ROW()-2,종합!$AE$3:$AE$501,0))&amp;"","")</f>
        <v/>
      </c>
      <c r="M89" s="21" t="str">
        <f aca="false">IFERROR(INDEX(종합!M$3:M$501,MATCH(ROW()-2,종합!$AE$3:$AE$501,0))&amp;"","")</f>
        <v/>
      </c>
      <c r="N89" s="25" t="str">
        <f aca="false">IFERROR(INDEX(종합!N$3:N$501,MATCH(ROW()-2,종합!$AE$3:$AE$501,0))&amp;"","")</f>
        <v/>
      </c>
      <c r="O89" s="21" t="str">
        <f aca="false">IFERROR(INDEX(종합!O$3:O$501,MATCH(ROW()-2,종합!$AE$3:$AE$501,0))&amp;"","")</f>
        <v/>
      </c>
      <c r="P89" s="21" t="str">
        <f aca="false">IFERROR(INDEX(종합!P$3:P$501,MATCH(ROW()-2,종합!$AE$3:$AE$501,0))&amp;"","")</f>
        <v/>
      </c>
      <c r="Q89" s="21" t="str">
        <f aca="false">IFERROR(INDEX(종합!Q$3:Q$501,MATCH(ROW()-2,종합!$AE$3:$AE$501,0))&amp;"","")</f>
        <v/>
      </c>
      <c r="R89" s="21" t="str">
        <f aca="false">IFERROR(INDEX(종합!R$3:R$501,MATCH(ROW()-2,종합!$AE$3:$AE$501,0))&amp;"","")</f>
        <v/>
      </c>
      <c r="S89" s="21" t="str">
        <f aca="false">IFERROR(INDEX(종합!S$3:S$501,MATCH(ROW()-2,종합!$AE$3:$AE$501,0))&amp;"","")</f>
        <v/>
      </c>
      <c r="T89" s="21" t="str">
        <f aca="false">IFERROR(INDEX(종합!T$3:T$501,MATCH(ROW()-2,종합!$AE$3:$AE$501,0))&amp;"","")</f>
        <v/>
      </c>
      <c r="U89" s="21" t="str">
        <f aca="false">IFERROR(INDEX(종합!U$3:U$501,MATCH(ROW()-2,종합!$AE$3:$AE$501,0))&amp;"","")</f>
        <v/>
      </c>
      <c r="V89" s="21" t="str">
        <f aca="false">IFERROR(INDEX(종합!V$3:V$501,MATCH(ROW()-2,종합!$AE$3:$AE$501,0))&amp;"","")</f>
        <v/>
      </c>
      <c r="W89" s="21" t="str">
        <f aca="false">IFERROR(INDEX(종합!W$3:W$501,MATCH(ROW()-2,종합!$AE$3:$AE$501,0))&amp;"","")</f>
        <v/>
      </c>
      <c r="X89" s="21" t="str">
        <f aca="false">IFERROR(INDEX(종합!X$3:X$501,MATCH(ROW()-2,종합!$AE$3:$AE$501,0))&amp;"","")</f>
        <v/>
      </c>
      <c r="Y89" s="21" t="str">
        <f aca="false">IFERROR(INDEX(종합!Y$3:Y$501,MATCH(ROW()-2,종합!$AE$3:$AE$501,0))&amp;"","")</f>
        <v/>
      </c>
      <c r="Z89" s="21" t="str">
        <f aca="false">IFERROR(INDEX(종합!Z$3:Z$501,MATCH(ROW()-2,종합!$AE$3:$AE$501,0))&amp;"","")</f>
        <v/>
      </c>
    </row>
    <row r="90" customFormat="false" ht="16.5" hidden="false" customHeight="true" outlineLevel="0" collapsed="false">
      <c r="A90" s="18" t="str">
        <f aca="false">IF(B90="","",ROW()-2)</f>
        <v/>
      </c>
      <c r="B90" s="18" t="str">
        <f aca="false">IFERROR(INDEX(종합!B$3:B$501,MATCH(ROW()-2,종합!$AE$3:$AE$501,0))&amp;"","")</f>
        <v/>
      </c>
      <c r="C90" s="18" t="str">
        <f aca="false">IFERROR(INDEX(종합!C$3:C$501,MATCH(ROW()-2,종합!$AE$3:$AE$501,0))&amp;"","")</f>
        <v/>
      </c>
      <c r="D90" s="18" t="str">
        <f aca="false">IFERROR(INDEX(종합!D$3:D$501,MATCH(ROW()-2,종합!$AE$3:$AE$501,0))&amp;"","")</f>
        <v/>
      </c>
      <c r="E90" s="18" t="str">
        <f aca="false">IFERROR(INDEX(종합!E$3:E$501,MATCH(ROW()-2,종합!$AE$3:$AE$501,0))&amp;"","")</f>
        <v/>
      </c>
      <c r="F90" s="18" t="str">
        <f aca="false">IFERROR(INDEX(종합!F$3:F$501,MATCH(ROW()-2,종합!$AE$3:$AE$501,0))&amp;"","")</f>
        <v/>
      </c>
      <c r="G90" s="18" t="str">
        <f aca="false">IFERROR(INDEX(종합!G$3:G$501,MATCH(ROW()-2,종합!$AE$3:$AE$501,0))&amp;"","")</f>
        <v/>
      </c>
      <c r="H90" s="21" t="str">
        <f aca="false">IFERROR(INDEX(종합!H$3:H$501,MATCH(ROW()-2,종합!$AE$3:$AE$501,0))&amp;"","")</f>
        <v/>
      </c>
      <c r="I90" s="21" t="str">
        <f aca="false">IFERROR(INDEX(종합!I$3:I$501,MATCH(ROW()-2,종합!$AE$3:$AE$501,0))&amp;"","")</f>
        <v/>
      </c>
      <c r="J90" s="21" t="str">
        <f aca="false">IFERROR(INDEX(종합!J$3:J$501,MATCH(ROW()-2,종합!$AE$3:$AE$501,0))&amp;"","")</f>
        <v/>
      </c>
      <c r="K90" s="21" t="str">
        <f aca="false">IFERROR(INDEX(종합!K$3:K$501,MATCH(ROW()-2,종합!$AE$3:$AE$501,0))&amp;"","")</f>
        <v/>
      </c>
      <c r="L90" s="21" t="str">
        <f aca="false">IFERROR(INDEX(종합!L$3:L$501,MATCH(ROW()-2,종합!$AE$3:$AE$501,0))&amp;"","")</f>
        <v/>
      </c>
      <c r="M90" s="21" t="str">
        <f aca="false">IFERROR(INDEX(종합!M$3:M$501,MATCH(ROW()-2,종합!$AE$3:$AE$501,0))&amp;"","")</f>
        <v/>
      </c>
      <c r="N90" s="25" t="str">
        <f aca="false">IFERROR(INDEX(종합!N$3:N$501,MATCH(ROW()-2,종합!$AE$3:$AE$501,0))&amp;"","")</f>
        <v/>
      </c>
      <c r="O90" s="21" t="str">
        <f aca="false">IFERROR(INDEX(종합!O$3:O$501,MATCH(ROW()-2,종합!$AE$3:$AE$501,0))&amp;"","")</f>
        <v/>
      </c>
      <c r="P90" s="21" t="str">
        <f aca="false">IFERROR(INDEX(종합!P$3:P$501,MATCH(ROW()-2,종합!$AE$3:$AE$501,0))&amp;"","")</f>
        <v/>
      </c>
      <c r="Q90" s="21" t="str">
        <f aca="false">IFERROR(INDEX(종합!Q$3:Q$501,MATCH(ROW()-2,종합!$AE$3:$AE$501,0))&amp;"","")</f>
        <v/>
      </c>
      <c r="R90" s="21" t="str">
        <f aca="false">IFERROR(INDEX(종합!R$3:R$501,MATCH(ROW()-2,종합!$AE$3:$AE$501,0))&amp;"","")</f>
        <v/>
      </c>
      <c r="S90" s="21" t="str">
        <f aca="false">IFERROR(INDEX(종합!S$3:S$501,MATCH(ROW()-2,종합!$AE$3:$AE$501,0))&amp;"","")</f>
        <v/>
      </c>
      <c r="T90" s="21" t="str">
        <f aca="false">IFERROR(INDEX(종합!T$3:T$501,MATCH(ROW()-2,종합!$AE$3:$AE$501,0))&amp;"","")</f>
        <v/>
      </c>
      <c r="U90" s="21" t="str">
        <f aca="false">IFERROR(INDEX(종합!U$3:U$501,MATCH(ROW()-2,종합!$AE$3:$AE$501,0))&amp;"","")</f>
        <v/>
      </c>
      <c r="V90" s="21" t="str">
        <f aca="false">IFERROR(INDEX(종합!V$3:V$501,MATCH(ROW()-2,종합!$AE$3:$AE$501,0))&amp;"","")</f>
        <v/>
      </c>
      <c r="W90" s="21" t="str">
        <f aca="false">IFERROR(INDEX(종합!W$3:W$501,MATCH(ROW()-2,종합!$AE$3:$AE$501,0))&amp;"","")</f>
        <v/>
      </c>
      <c r="X90" s="21" t="str">
        <f aca="false">IFERROR(INDEX(종합!X$3:X$501,MATCH(ROW()-2,종합!$AE$3:$AE$501,0))&amp;"","")</f>
        <v/>
      </c>
      <c r="Y90" s="21" t="str">
        <f aca="false">IFERROR(INDEX(종합!Y$3:Y$501,MATCH(ROW()-2,종합!$AE$3:$AE$501,0))&amp;"","")</f>
        <v/>
      </c>
      <c r="Z90" s="21" t="str">
        <f aca="false">IFERROR(INDEX(종합!Z$3:Z$501,MATCH(ROW()-2,종합!$AE$3:$AE$501,0))&amp;"","")</f>
        <v/>
      </c>
    </row>
    <row r="91" customFormat="false" ht="16.5" hidden="false" customHeight="true" outlineLevel="0" collapsed="false">
      <c r="A91" s="18" t="str">
        <f aca="false">IF(B91="","",ROW()-2)</f>
        <v/>
      </c>
      <c r="B91" s="18" t="str">
        <f aca="false">IFERROR(INDEX(종합!B$3:B$501,MATCH(ROW()-2,종합!$AE$3:$AE$501,0))&amp;"","")</f>
        <v/>
      </c>
      <c r="C91" s="18" t="str">
        <f aca="false">IFERROR(INDEX(종합!C$3:C$501,MATCH(ROW()-2,종합!$AE$3:$AE$501,0))&amp;"","")</f>
        <v/>
      </c>
      <c r="D91" s="18" t="str">
        <f aca="false">IFERROR(INDEX(종합!D$3:D$501,MATCH(ROW()-2,종합!$AE$3:$AE$501,0))&amp;"","")</f>
        <v/>
      </c>
      <c r="E91" s="18" t="str">
        <f aca="false">IFERROR(INDEX(종합!E$3:E$501,MATCH(ROW()-2,종합!$AE$3:$AE$501,0))&amp;"","")</f>
        <v/>
      </c>
      <c r="F91" s="18" t="str">
        <f aca="false">IFERROR(INDEX(종합!F$3:F$501,MATCH(ROW()-2,종합!$AE$3:$AE$501,0))&amp;"","")</f>
        <v/>
      </c>
      <c r="G91" s="18" t="str">
        <f aca="false">IFERROR(INDEX(종합!G$3:G$501,MATCH(ROW()-2,종합!$AE$3:$AE$501,0))&amp;"","")</f>
        <v/>
      </c>
      <c r="H91" s="21" t="str">
        <f aca="false">IFERROR(INDEX(종합!H$3:H$501,MATCH(ROW()-2,종합!$AE$3:$AE$501,0))&amp;"","")</f>
        <v/>
      </c>
      <c r="I91" s="21" t="str">
        <f aca="false">IFERROR(INDEX(종합!I$3:I$501,MATCH(ROW()-2,종합!$AE$3:$AE$501,0))&amp;"","")</f>
        <v/>
      </c>
      <c r="J91" s="21" t="str">
        <f aca="false">IFERROR(INDEX(종합!J$3:J$501,MATCH(ROW()-2,종합!$AE$3:$AE$501,0))&amp;"","")</f>
        <v/>
      </c>
      <c r="K91" s="21" t="str">
        <f aca="false">IFERROR(INDEX(종합!K$3:K$501,MATCH(ROW()-2,종합!$AE$3:$AE$501,0))&amp;"","")</f>
        <v/>
      </c>
      <c r="L91" s="21" t="str">
        <f aca="false">IFERROR(INDEX(종합!L$3:L$501,MATCH(ROW()-2,종합!$AE$3:$AE$501,0))&amp;"","")</f>
        <v/>
      </c>
      <c r="M91" s="21" t="str">
        <f aca="false">IFERROR(INDEX(종합!M$3:M$501,MATCH(ROW()-2,종합!$AE$3:$AE$501,0))&amp;"","")</f>
        <v/>
      </c>
      <c r="N91" s="25" t="str">
        <f aca="false">IFERROR(INDEX(종합!N$3:N$501,MATCH(ROW()-2,종합!$AE$3:$AE$501,0))&amp;"","")</f>
        <v/>
      </c>
      <c r="O91" s="21" t="str">
        <f aca="false">IFERROR(INDEX(종합!O$3:O$501,MATCH(ROW()-2,종합!$AE$3:$AE$501,0))&amp;"","")</f>
        <v/>
      </c>
      <c r="P91" s="21" t="str">
        <f aca="false">IFERROR(INDEX(종합!P$3:P$501,MATCH(ROW()-2,종합!$AE$3:$AE$501,0))&amp;"","")</f>
        <v/>
      </c>
      <c r="Q91" s="21" t="str">
        <f aca="false">IFERROR(INDEX(종합!Q$3:Q$501,MATCH(ROW()-2,종합!$AE$3:$AE$501,0))&amp;"","")</f>
        <v/>
      </c>
      <c r="R91" s="21" t="str">
        <f aca="false">IFERROR(INDEX(종합!R$3:R$501,MATCH(ROW()-2,종합!$AE$3:$AE$501,0))&amp;"","")</f>
        <v/>
      </c>
      <c r="S91" s="21" t="str">
        <f aca="false">IFERROR(INDEX(종합!S$3:S$501,MATCH(ROW()-2,종합!$AE$3:$AE$501,0))&amp;"","")</f>
        <v/>
      </c>
      <c r="T91" s="21" t="str">
        <f aca="false">IFERROR(INDEX(종합!T$3:T$501,MATCH(ROW()-2,종합!$AE$3:$AE$501,0))&amp;"","")</f>
        <v/>
      </c>
      <c r="U91" s="21" t="str">
        <f aca="false">IFERROR(INDEX(종합!U$3:U$501,MATCH(ROW()-2,종합!$AE$3:$AE$501,0))&amp;"","")</f>
        <v/>
      </c>
      <c r="V91" s="21" t="str">
        <f aca="false">IFERROR(INDEX(종합!V$3:V$501,MATCH(ROW()-2,종합!$AE$3:$AE$501,0))&amp;"","")</f>
        <v/>
      </c>
      <c r="W91" s="21" t="str">
        <f aca="false">IFERROR(INDEX(종합!W$3:W$501,MATCH(ROW()-2,종합!$AE$3:$AE$501,0))&amp;"","")</f>
        <v/>
      </c>
      <c r="X91" s="21" t="str">
        <f aca="false">IFERROR(INDEX(종합!X$3:X$501,MATCH(ROW()-2,종합!$AE$3:$AE$501,0))&amp;"","")</f>
        <v/>
      </c>
      <c r="Y91" s="21" t="str">
        <f aca="false">IFERROR(INDEX(종합!Y$3:Y$501,MATCH(ROW()-2,종합!$AE$3:$AE$501,0))&amp;"","")</f>
        <v/>
      </c>
      <c r="Z91" s="21" t="str">
        <f aca="false">IFERROR(INDEX(종합!Z$3:Z$501,MATCH(ROW()-2,종합!$AE$3:$AE$501,0))&amp;"","")</f>
        <v/>
      </c>
    </row>
    <row r="92" customFormat="false" ht="16.5" hidden="false" customHeight="true" outlineLevel="0" collapsed="false">
      <c r="A92" s="18" t="str">
        <f aca="false">IF(B92="","",ROW()-2)</f>
        <v/>
      </c>
      <c r="B92" s="18" t="str">
        <f aca="false">IFERROR(INDEX(종합!B$3:B$501,MATCH(ROW()-2,종합!$AE$3:$AE$501,0))&amp;"","")</f>
        <v/>
      </c>
      <c r="C92" s="18" t="str">
        <f aca="false">IFERROR(INDEX(종합!C$3:C$501,MATCH(ROW()-2,종합!$AE$3:$AE$501,0))&amp;"","")</f>
        <v/>
      </c>
      <c r="D92" s="18" t="str">
        <f aca="false">IFERROR(INDEX(종합!D$3:D$501,MATCH(ROW()-2,종합!$AE$3:$AE$501,0))&amp;"","")</f>
        <v/>
      </c>
      <c r="E92" s="18" t="str">
        <f aca="false">IFERROR(INDEX(종합!E$3:E$501,MATCH(ROW()-2,종합!$AE$3:$AE$501,0))&amp;"","")</f>
        <v/>
      </c>
      <c r="F92" s="18" t="str">
        <f aca="false">IFERROR(INDEX(종합!F$3:F$501,MATCH(ROW()-2,종합!$AE$3:$AE$501,0))&amp;"","")</f>
        <v/>
      </c>
      <c r="G92" s="18" t="str">
        <f aca="false">IFERROR(INDEX(종합!G$3:G$501,MATCH(ROW()-2,종합!$AE$3:$AE$501,0))&amp;"","")</f>
        <v/>
      </c>
      <c r="H92" s="21" t="str">
        <f aca="false">IFERROR(INDEX(종합!H$3:H$501,MATCH(ROW()-2,종합!$AE$3:$AE$501,0))&amp;"","")</f>
        <v/>
      </c>
      <c r="I92" s="21" t="str">
        <f aca="false">IFERROR(INDEX(종합!I$3:I$501,MATCH(ROW()-2,종합!$AE$3:$AE$501,0))&amp;"","")</f>
        <v/>
      </c>
      <c r="J92" s="21" t="str">
        <f aca="false">IFERROR(INDEX(종합!J$3:J$501,MATCH(ROW()-2,종합!$AE$3:$AE$501,0))&amp;"","")</f>
        <v/>
      </c>
      <c r="K92" s="21" t="str">
        <f aca="false">IFERROR(INDEX(종합!K$3:K$501,MATCH(ROW()-2,종합!$AE$3:$AE$501,0))&amp;"","")</f>
        <v/>
      </c>
      <c r="L92" s="21" t="str">
        <f aca="false">IFERROR(INDEX(종합!L$3:L$501,MATCH(ROW()-2,종합!$AE$3:$AE$501,0))&amp;"","")</f>
        <v/>
      </c>
      <c r="M92" s="21" t="str">
        <f aca="false">IFERROR(INDEX(종합!M$3:M$501,MATCH(ROW()-2,종합!$AE$3:$AE$501,0))&amp;"","")</f>
        <v/>
      </c>
      <c r="N92" s="25" t="str">
        <f aca="false">IFERROR(INDEX(종합!N$3:N$501,MATCH(ROW()-2,종합!$AE$3:$AE$501,0))&amp;"","")</f>
        <v/>
      </c>
      <c r="O92" s="21" t="str">
        <f aca="false">IFERROR(INDEX(종합!O$3:O$501,MATCH(ROW()-2,종합!$AE$3:$AE$501,0))&amp;"","")</f>
        <v/>
      </c>
      <c r="P92" s="21" t="str">
        <f aca="false">IFERROR(INDEX(종합!P$3:P$501,MATCH(ROW()-2,종합!$AE$3:$AE$501,0))&amp;"","")</f>
        <v/>
      </c>
      <c r="Q92" s="21" t="str">
        <f aca="false">IFERROR(INDEX(종합!Q$3:Q$501,MATCH(ROW()-2,종합!$AE$3:$AE$501,0))&amp;"","")</f>
        <v/>
      </c>
      <c r="R92" s="21" t="str">
        <f aca="false">IFERROR(INDEX(종합!R$3:R$501,MATCH(ROW()-2,종합!$AE$3:$AE$501,0))&amp;"","")</f>
        <v/>
      </c>
      <c r="S92" s="21" t="str">
        <f aca="false">IFERROR(INDEX(종합!S$3:S$501,MATCH(ROW()-2,종합!$AE$3:$AE$501,0))&amp;"","")</f>
        <v/>
      </c>
      <c r="T92" s="21" t="str">
        <f aca="false">IFERROR(INDEX(종합!T$3:T$501,MATCH(ROW()-2,종합!$AE$3:$AE$501,0))&amp;"","")</f>
        <v/>
      </c>
      <c r="U92" s="21" t="str">
        <f aca="false">IFERROR(INDEX(종합!U$3:U$501,MATCH(ROW()-2,종합!$AE$3:$AE$501,0))&amp;"","")</f>
        <v/>
      </c>
      <c r="V92" s="21" t="str">
        <f aca="false">IFERROR(INDEX(종합!V$3:V$501,MATCH(ROW()-2,종합!$AE$3:$AE$501,0))&amp;"","")</f>
        <v/>
      </c>
      <c r="W92" s="21" t="str">
        <f aca="false">IFERROR(INDEX(종합!W$3:W$501,MATCH(ROW()-2,종합!$AE$3:$AE$501,0))&amp;"","")</f>
        <v/>
      </c>
      <c r="X92" s="21" t="str">
        <f aca="false">IFERROR(INDEX(종합!X$3:X$501,MATCH(ROW()-2,종합!$AE$3:$AE$501,0))&amp;"","")</f>
        <v/>
      </c>
      <c r="Y92" s="21" t="str">
        <f aca="false">IFERROR(INDEX(종합!Y$3:Y$501,MATCH(ROW()-2,종합!$AE$3:$AE$501,0))&amp;"","")</f>
        <v/>
      </c>
      <c r="Z92" s="21" t="str">
        <f aca="false">IFERROR(INDEX(종합!Z$3:Z$501,MATCH(ROW()-2,종합!$AE$3:$AE$501,0))&amp;"","")</f>
        <v/>
      </c>
    </row>
    <row r="93" customFormat="false" ht="16.5" hidden="false" customHeight="true" outlineLevel="0" collapsed="false">
      <c r="A93" s="18" t="str">
        <f aca="false">IF(B93="","",ROW()-2)</f>
        <v/>
      </c>
      <c r="B93" s="18" t="str">
        <f aca="false">IFERROR(INDEX(종합!B$3:B$501,MATCH(ROW()-2,종합!$AE$3:$AE$501,0))&amp;"","")</f>
        <v/>
      </c>
      <c r="C93" s="18" t="str">
        <f aca="false">IFERROR(INDEX(종합!C$3:C$501,MATCH(ROW()-2,종합!$AE$3:$AE$501,0))&amp;"","")</f>
        <v/>
      </c>
      <c r="D93" s="18" t="str">
        <f aca="false">IFERROR(INDEX(종합!D$3:D$501,MATCH(ROW()-2,종합!$AE$3:$AE$501,0))&amp;"","")</f>
        <v/>
      </c>
      <c r="E93" s="18" t="str">
        <f aca="false">IFERROR(INDEX(종합!E$3:E$501,MATCH(ROW()-2,종합!$AE$3:$AE$501,0))&amp;"","")</f>
        <v/>
      </c>
      <c r="F93" s="18" t="str">
        <f aca="false">IFERROR(INDEX(종합!F$3:F$501,MATCH(ROW()-2,종합!$AE$3:$AE$501,0))&amp;"","")</f>
        <v/>
      </c>
      <c r="G93" s="18" t="str">
        <f aca="false">IFERROR(INDEX(종합!G$3:G$501,MATCH(ROW()-2,종합!$AE$3:$AE$501,0))&amp;"","")</f>
        <v/>
      </c>
      <c r="H93" s="21" t="str">
        <f aca="false">IFERROR(INDEX(종합!H$3:H$501,MATCH(ROW()-2,종합!$AE$3:$AE$501,0))&amp;"","")</f>
        <v/>
      </c>
      <c r="I93" s="21" t="str">
        <f aca="false">IFERROR(INDEX(종합!I$3:I$501,MATCH(ROW()-2,종합!$AE$3:$AE$501,0))&amp;"","")</f>
        <v/>
      </c>
      <c r="J93" s="21" t="str">
        <f aca="false">IFERROR(INDEX(종합!J$3:J$501,MATCH(ROW()-2,종합!$AE$3:$AE$501,0))&amp;"","")</f>
        <v/>
      </c>
      <c r="K93" s="21" t="str">
        <f aca="false">IFERROR(INDEX(종합!K$3:K$501,MATCH(ROW()-2,종합!$AE$3:$AE$501,0))&amp;"","")</f>
        <v/>
      </c>
      <c r="L93" s="21" t="str">
        <f aca="false">IFERROR(INDEX(종합!L$3:L$501,MATCH(ROW()-2,종합!$AE$3:$AE$501,0))&amp;"","")</f>
        <v/>
      </c>
      <c r="M93" s="21" t="str">
        <f aca="false">IFERROR(INDEX(종합!M$3:M$501,MATCH(ROW()-2,종합!$AE$3:$AE$501,0))&amp;"","")</f>
        <v/>
      </c>
      <c r="N93" s="25" t="str">
        <f aca="false">IFERROR(INDEX(종합!N$3:N$501,MATCH(ROW()-2,종합!$AE$3:$AE$501,0))&amp;"","")</f>
        <v/>
      </c>
      <c r="O93" s="21" t="str">
        <f aca="false">IFERROR(INDEX(종합!O$3:O$501,MATCH(ROW()-2,종합!$AE$3:$AE$501,0))&amp;"","")</f>
        <v/>
      </c>
      <c r="P93" s="21" t="str">
        <f aca="false">IFERROR(INDEX(종합!P$3:P$501,MATCH(ROW()-2,종합!$AE$3:$AE$501,0))&amp;"","")</f>
        <v/>
      </c>
      <c r="Q93" s="21" t="str">
        <f aca="false">IFERROR(INDEX(종합!Q$3:Q$501,MATCH(ROW()-2,종합!$AE$3:$AE$501,0))&amp;"","")</f>
        <v/>
      </c>
      <c r="R93" s="21" t="str">
        <f aca="false">IFERROR(INDEX(종합!R$3:R$501,MATCH(ROW()-2,종합!$AE$3:$AE$501,0))&amp;"","")</f>
        <v/>
      </c>
      <c r="S93" s="21" t="str">
        <f aca="false">IFERROR(INDEX(종합!S$3:S$501,MATCH(ROW()-2,종합!$AE$3:$AE$501,0))&amp;"","")</f>
        <v/>
      </c>
      <c r="T93" s="21" t="str">
        <f aca="false">IFERROR(INDEX(종합!T$3:T$501,MATCH(ROW()-2,종합!$AE$3:$AE$501,0))&amp;"","")</f>
        <v/>
      </c>
      <c r="U93" s="21" t="str">
        <f aca="false">IFERROR(INDEX(종합!U$3:U$501,MATCH(ROW()-2,종합!$AE$3:$AE$501,0))&amp;"","")</f>
        <v/>
      </c>
      <c r="V93" s="21" t="str">
        <f aca="false">IFERROR(INDEX(종합!V$3:V$501,MATCH(ROW()-2,종합!$AE$3:$AE$501,0))&amp;"","")</f>
        <v/>
      </c>
      <c r="W93" s="21" t="str">
        <f aca="false">IFERROR(INDEX(종합!W$3:W$501,MATCH(ROW()-2,종합!$AE$3:$AE$501,0))&amp;"","")</f>
        <v/>
      </c>
      <c r="X93" s="21" t="str">
        <f aca="false">IFERROR(INDEX(종합!X$3:X$501,MATCH(ROW()-2,종합!$AE$3:$AE$501,0))&amp;"","")</f>
        <v/>
      </c>
      <c r="Y93" s="21" t="str">
        <f aca="false">IFERROR(INDEX(종합!Y$3:Y$501,MATCH(ROW()-2,종합!$AE$3:$AE$501,0))&amp;"","")</f>
        <v/>
      </c>
      <c r="Z93" s="21" t="str">
        <f aca="false">IFERROR(INDEX(종합!Z$3:Z$501,MATCH(ROW()-2,종합!$AE$3:$AE$501,0))&amp;"","")</f>
        <v/>
      </c>
    </row>
    <row r="94" customFormat="false" ht="16.5" hidden="false" customHeight="true" outlineLevel="0" collapsed="false">
      <c r="A94" s="18" t="str">
        <f aca="false">IF(B94="","",ROW()-2)</f>
        <v/>
      </c>
      <c r="B94" s="18" t="str">
        <f aca="false">IFERROR(INDEX(종합!B$3:B$501,MATCH(ROW()-2,종합!$AE$3:$AE$501,0))&amp;"","")</f>
        <v/>
      </c>
      <c r="C94" s="18" t="str">
        <f aca="false">IFERROR(INDEX(종합!C$3:C$501,MATCH(ROW()-2,종합!$AE$3:$AE$501,0))&amp;"","")</f>
        <v/>
      </c>
      <c r="D94" s="18" t="str">
        <f aca="false">IFERROR(INDEX(종합!D$3:D$501,MATCH(ROW()-2,종합!$AE$3:$AE$501,0))&amp;"","")</f>
        <v/>
      </c>
      <c r="E94" s="18" t="str">
        <f aca="false">IFERROR(INDEX(종합!E$3:E$501,MATCH(ROW()-2,종합!$AE$3:$AE$501,0))&amp;"","")</f>
        <v/>
      </c>
      <c r="F94" s="18" t="str">
        <f aca="false">IFERROR(INDEX(종합!F$3:F$501,MATCH(ROW()-2,종합!$AE$3:$AE$501,0))&amp;"","")</f>
        <v/>
      </c>
      <c r="G94" s="18" t="str">
        <f aca="false">IFERROR(INDEX(종합!G$3:G$501,MATCH(ROW()-2,종합!$AE$3:$AE$501,0))&amp;"","")</f>
        <v/>
      </c>
      <c r="H94" s="21" t="str">
        <f aca="false">IFERROR(INDEX(종합!H$3:H$501,MATCH(ROW()-2,종합!$AE$3:$AE$501,0))&amp;"","")</f>
        <v/>
      </c>
      <c r="I94" s="21" t="str">
        <f aca="false">IFERROR(INDEX(종합!I$3:I$501,MATCH(ROW()-2,종합!$AE$3:$AE$501,0))&amp;"","")</f>
        <v/>
      </c>
      <c r="J94" s="21" t="str">
        <f aca="false">IFERROR(INDEX(종합!J$3:J$501,MATCH(ROW()-2,종합!$AE$3:$AE$501,0))&amp;"","")</f>
        <v/>
      </c>
      <c r="K94" s="21" t="str">
        <f aca="false">IFERROR(INDEX(종합!K$3:K$501,MATCH(ROW()-2,종합!$AE$3:$AE$501,0))&amp;"","")</f>
        <v/>
      </c>
      <c r="L94" s="21" t="str">
        <f aca="false">IFERROR(INDEX(종합!L$3:L$501,MATCH(ROW()-2,종합!$AE$3:$AE$501,0))&amp;"","")</f>
        <v/>
      </c>
      <c r="M94" s="21" t="str">
        <f aca="false">IFERROR(INDEX(종합!M$3:M$501,MATCH(ROW()-2,종합!$AE$3:$AE$501,0))&amp;"","")</f>
        <v/>
      </c>
      <c r="N94" s="25" t="str">
        <f aca="false">IFERROR(INDEX(종합!N$3:N$501,MATCH(ROW()-2,종합!$AE$3:$AE$501,0))&amp;"","")</f>
        <v/>
      </c>
      <c r="O94" s="21" t="str">
        <f aca="false">IFERROR(INDEX(종합!O$3:O$501,MATCH(ROW()-2,종합!$AE$3:$AE$501,0))&amp;"","")</f>
        <v/>
      </c>
      <c r="P94" s="21" t="str">
        <f aca="false">IFERROR(INDEX(종합!P$3:P$501,MATCH(ROW()-2,종합!$AE$3:$AE$501,0))&amp;"","")</f>
        <v/>
      </c>
      <c r="Q94" s="21" t="str">
        <f aca="false">IFERROR(INDEX(종합!Q$3:Q$501,MATCH(ROW()-2,종합!$AE$3:$AE$501,0))&amp;"","")</f>
        <v/>
      </c>
      <c r="R94" s="21" t="str">
        <f aca="false">IFERROR(INDEX(종합!R$3:R$501,MATCH(ROW()-2,종합!$AE$3:$AE$501,0))&amp;"","")</f>
        <v/>
      </c>
      <c r="S94" s="21" t="str">
        <f aca="false">IFERROR(INDEX(종합!S$3:S$501,MATCH(ROW()-2,종합!$AE$3:$AE$501,0))&amp;"","")</f>
        <v/>
      </c>
      <c r="T94" s="21" t="str">
        <f aca="false">IFERROR(INDEX(종합!T$3:T$501,MATCH(ROW()-2,종합!$AE$3:$AE$501,0))&amp;"","")</f>
        <v/>
      </c>
      <c r="U94" s="21" t="str">
        <f aca="false">IFERROR(INDEX(종합!U$3:U$501,MATCH(ROW()-2,종합!$AE$3:$AE$501,0))&amp;"","")</f>
        <v/>
      </c>
      <c r="V94" s="21" t="str">
        <f aca="false">IFERROR(INDEX(종합!V$3:V$501,MATCH(ROW()-2,종합!$AE$3:$AE$501,0))&amp;"","")</f>
        <v/>
      </c>
      <c r="W94" s="21" t="str">
        <f aca="false">IFERROR(INDEX(종합!W$3:W$501,MATCH(ROW()-2,종합!$AE$3:$AE$501,0))&amp;"","")</f>
        <v/>
      </c>
      <c r="X94" s="21" t="str">
        <f aca="false">IFERROR(INDEX(종합!X$3:X$501,MATCH(ROW()-2,종합!$AE$3:$AE$501,0))&amp;"","")</f>
        <v/>
      </c>
      <c r="Y94" s="21" t="str">
        <f aca="false">IFERROR(INDEX(종합!Y$3:Y$501,MATCH(ROW()-2,종합!$AE$3:$AE$501,0))&amp;"","")</f>
        <v/>
      </c>
      <c r="Z94" s="21" t="str">
        <f aca="false">IFERROR(INDEX(종합!Z$3:Z$501,MATCH(ROW()-2,종합!$AE$3:$AE$501,0))&amp;"","")</f>
        <v/>
      </c>
    </row>
    <row r="95" customFormat="false" ht="16.5" hidden="false" customHeight="true" outlineLevel="0" collapsed="false">
      <c r="A95" s="18" t="str">
        <f aca="false">IF(B95="","",ROW()-2)</f>
        <v/>
      </c>
      <c r="B95" s="18" t="str">
        <f aca="false">IFERROR(INDEX(종합!B$3:B$501,MATCH(ROW()-2,종합!$AE$3:$AE$501,0))&amp;"","")</f>
        <v/>
      </c>
      <c r="C95" s="18" t="str">
        <f aca="false">IFERROR(INDEX(종합!C$3:C$501,MATCH(ROW()-2,종합!$AE$3:$AE$501,0))&amp;"","")</f>
        <v/>
      </c>
      <c r="D95" s="18" t="str">
        <f aca="false">IFERROR(INDEX(종합!D$3:D$501,MATCH(ROW()-2,종합!$AE$3:$AE$501,0))&amp;"","")</f>
        <v/>
      </c>
      <c r="E95" s="18" t="str">
        <f aca="false">IFERROR(INDEX(종합!E$3:E$501,MATCH(ROW()-2,종합!$AE$3:$AE$501,0))&amp;"","")</f>
        <v/>
      </c>
      <c r="F95" s="18" t="str">
        <f aca="false">IFERROR(INDEX(종합!F$3:F$501,MATCH(ROW()-2,종합!$AE$3:$AE$501,0))&amp;"","")</f>
        <v/>
      </c>
      <c r="G95" s="18" t="str">
        <f aca="false">IFERROR(INDEX(종합!G$3:G$501,MATCH(ROW()-2,종합!$AE$3:$AE$501,0))&amp;"","")</f>
        <v/>
      </c>
      <c r="H95" s="21" t="str">
        <f aca="false">IFERROR(INDEX(종합!H$3:H$501,MATCH(ROW()-2,종합!$AE$3:$AE$501,0))&amp;"","")</f>
        <v/>
      </c>
      <c r="I95" s="21" t="str">
        <f aca="false">IFERROR(INDEX(종합!I$3:I$501,MATCH(ROW()-2,종합!$AE$3:$AE$501,0))&amp;"","")</f>
        <v/>
      </c>
      <c r="J95" s="21" t="str">
        <f aca="false">IFERROR(INDEX(종합!J$3:J$501,MATCH(ROW()-2,종합!$AE$3:$AE$501,0))&amp;"","")</f>
        <v/>
      </c>
      <c r="K95" s="21" t="str">
        <f aca="false">IFERROR(INDEX(종합!K$3:K$501,MATCH(ROW()-2,종합!$AE$3:$AE$501,0))&amp;"","")</f>
        <v/>
      </c>
      <c r="L95" s="21" t="str">
        <f aca="false">IFERROR(INDEX(종합!L$3:L$501,MATCH(ROW()-2,종합!$AE$3:$AE$501,0))&amp;"","")</f>
        <v/>
      </c>
      <c r="M95" s="21" t="str">
        <f aca="false">IFERROR(INDEX(종합!M$3:M$501,MATCH(ROW()-2,종합!$AE$3:$AE$501,0))&amp;"","")</f>
        <v/>
      </c>
      <c r="N95" s="25" t="str">
        <f aca="false">IFERROR(INDEX(종합!N$3:N$501,MATCH(ROW()-2,종합!$AE$3:$AE$501,0))&amp;"","")</f>
        <v/>
      </c>
      <c r="O95" s="21" t="str">
        <f aca="false">IFERROR(INDEX(종합!O$3:O$501,MATCH(ROW()-2,종합!$AE$3:$AE$501,0))&amp;"","")</f>
        <v/>
      </c>
      <c r="P95" s="21" t="str">
        <f aca="false">IFERROR(INDEX(종합!P$3:P$501,MATCH(ROW()-2,종합!$AE$3:$AE$501,0))&amp;"","")</f>
        <v/>
      </c>
      <c r="Q95" s="21" t="str">
        <f aca="false">IFERROR(INDEX(종합!Q$3:Q$501,MATCH(ROW()-2,종합!$AE$3:$AE$501,0))&amp;"","")</f>
        <v/>
      </c>
      <c r="R95" s="21" t="str">
        <f aca="false">IFERROR(INDEX(종합!R$3:R$501,MATCH(ROW()-2,종합!$AE$3:$AE$501,0))&amp;"","")</f>
        <v/>
      </c>
      <c r="S95" s="21" t="str">
        <f aca="false">IFERROR(INDEX(종합!S$3:S$501,MATCH(ROW()-2,종합!$AE$3:$AE$501,0))&amp;"","")</f>
        <v/>
      </c>
      <c r="T95" s="21" t="str">
        <f aca="false">IFERROR(INDEX(종합!T$3:T$501,MATCH(ROW()-2,종합!$AE$3:$AE$501,0))&amp;"","")</f>
        <v/>
      </c>
      <c r="U95" s="21" t="str">
        <f aca="false">IFERROR(INDEX(종합!U$3:U$501,MATCH(ROW()-2,종합!$AE$3:$AE$501,0))&amp;"","")</f>
        <v/>
      </c>
      <c r="V95" s="21" t="str">
        <f aca="false">IFERROR(INDEX(종합!V$3:V$501,MATCH(ROW()-2,종합!$AE$3:$AE$501,0))&amp;"","")</f>
        <v/>
      </c>
      <c r="W95" s="21" t="str">
        <f aca="false">IFERROR(INDEX(종합!W$3:W$501,MATCH(ROW()-2,종합!$AE$3:$AE$501,0))&amp;"","")</f>
        <v/>
      </c>
      <c r="X95" s="21" t="str">
        <f aca="false">IFERROR(INDEX(종합!X$3:X$501,MATCH(ROW()-2,종합!$AE$3:$AE$501,0))&amp;"","")</f>
        <v/>
      </c>
      <c r="Y95" s="21" t="str">
        <f aca="false">IFERROR(INDEX(종합!Y$3:Y$501,MATCH(ROW()-2,종합!$AE$3:$AE$501,0))&amp;"","")</f>
        <v/>
      </c>
      <c r="Z95" s="21" t="str">
        <f aca="false">IFERROR(INDEX(종합!Z$3:Z$501,MATCH(ROW()-2,종합!$AE$3:$AE$501,0))&amp;"","")</f>
        <v/>
      </c>
    </row>
    <row r="96" customFormat="false" ht="16.5" hidden="false" customHeight="true" outlineLevel="0" collapsed="false">
      <c r="A96" s="18" t="str">
        <f aca="false">IF(B96="","",ROW()-2)</f>
        <v/>
      </c>
      <c r="B96" s="18" t="str">
        <f aca="false">IFERROR(INDEX(종합!B$3:B$501,MATCH(ROW()-2,종합!$AE$3:$AE$501,0))&amp;"","")</f>
        <v/>
      </c>
      <c r="C96" s="18" t="str">
        <f aca="false">IFERROR(INDEX(종합!C$3:C$501,MATCH(ROW()-2,종합!$AE$3:$AE$501,0))&amp;"","")</f>
        <v/>
      </c>
      <c r="D96" s="18" t="str">
        <f aca="false">IFERROR(INDEX(종합!D$3:D$501,MATCH(ROW()-2,종합!$AE$3:$AE$501,0))&amp;"","")</f>
        <v/>
      </c>
      <c r="E96" s="18" t="str">
        <f aca="false">IFERROR(INDEX(종합!E$3:E$501,MATCH(ROW()-2,종합!$AE$3:$AE$501,0))&amp;"","")</f>
        <v/>
      </c>
      <c r="F96" s="18" t="str">
        <f aca="false">IFERROR(INDEX(종합!F$3:F$501,MATCH(ROW()-2,종합!$AE$3:$AE$501,0))&amp;"","")</f>
        <v/>
      </c>
      <c r="G96" s="18" t="str">
        <f aca="false">IFERROR(INDEX(종합!G$3:G$501,MATCH(ROW()-2,종합!$AE$3:$AE$501,0))&amp;"","")</f>
        <v/>
      </c>
      <c r="H96" s="21" t="str">
        <f aca="false">IFERROR(INDEX(종합!H$3:H$501,MATCH(ROW()-2,종합!$AE$3:$AE$501,0))&amp;"","")</f>
        <v/>
      </c>
      <c r="I96" s="21" t="str">
        <f aca="false">IFERROR(INDEX(종합!I$3:I$501,MATCH(ROW()-2,종합!$AE$3:$AE$501,0))&amp;"","")</f>
        <v/>
      </c>
      <c r="J96" s="21" t="str">
        <f aca="false">IFERROR(INDEX(종합!J$3:J$501,MATCH(ROW()-2,종합!$AE$3:$AE$501,0))&amp;"","")</f>
        <v/>
      </c>
      <c r="K96" s="21" t="str">
        <f aca="false">IFERROR(INDEX(종합!K$3:K$501,MATCH(ROW()-2,종합!$AE$3:$AE$501,0))&amp;"","")</f>
        <v/>
      </c>
      <c r="L96" s="21" t="str">
        <f aca="false">IFERROR(INDEX(종합!L$3:L$501,MATCH(ROW()-2,종합!$AE$3:$AE$501,0))&amp;"","")</f>
        <v/>
      </c>
      <c r="M96" s="21" t="str">
        <f aca="false">IFERROR(INDEX(종합!M$3:M$501,MATCH(ROW()-2,종합!$AE$3:$AE$501,0))&amp;"","")</f>
        <v/>
      </c>
      <c r="N96" s="25" t="str">
        <f aca="false">IFERROR(INDEX(종합!N$3:N$501,MATCH(ROW()-2,종합!$AE$3:$AE$501,0))&amp;"","")</f>
        <v/>
      </c>
      <c r="O96" s="21" t="str">
        <f aca="false">IFERROR(INDEX(종합!O$3:O$501,MATCH(ROW()-2,종합!$AE$3:$AE$501,0))&amp;"","")</f>
        <v/>
      </c>
      <c r="P96" s="21" t="str">
        <f aca="false">IFERROR(INDEX(종합!P$3:P$501,MATCH(ROW()-2,종합!$AE$3:$AE$501,0))&amp;"","")</f>
        <v/>
      </c>
      <c r="Q96" s="21" t="str">
        <f aca="false">IFERROR(INDEX(종합!Q$3:Q$501,MATCH(ROW()-2,종합!$AE$3:$AE$501,0))&amp;"","")</f>
        <v/>
      </c>
      <c r="R96" s="21" t="str">
        <f aca="false">IFERROR(INDEX(종합!R$3:R$501,MATCH(ROW()-2,종합!$AE$3:$AE$501,0))&amp;"","")</f>
        <v/>
      </c>
      <c r="S96" s="21" t="str">
        <f aca="false">IFERROR(INDEX(종합!S$3:S$501,MATCH(ROW()-2,종합!$AE$3:$AE$501,0))&amp;"","")</f>
        <v/>
      </c>
      <c r="T96" s="21" t="str">
        <f aca="false">IFERROR(INDEX(종합!T$3:T$501,MATCH(ROW()-2,종합!$AE$3:$AE$501,0))&amp;"","")</f>
        <v/>
      </c>
      <c r="U96" s="21" t="str">
        <f aca="false">IFERROR(INDEX(종합!U$3:U$501,MATCH(ROW()-2,종합!$AE$3:$AE$501,0))&amp;"","")</f>
        <v/>
      </c>
      <c r="V96" s="21" t="str">
        <f aca="false">IFERROR(INDEX(종합!V$3:V$501,MATCH(ROW()-2,종합!$AE$3:$AE$501,0))&amp;"","")</f>
        <v/>
      </c>
      <c r="W96" s="21" t="str">
        <f aca="false">IFERROR(INDEX(종합!W$3:W$501,MATCH(ROW()-2,종합!$AE$3:$AE$501,0))&amp;"","")</f>
        <v/>
      </c>
      <c r="X96" s="21" t="str">
        <f aca="false">IFERROR(INDEX(종합!X$3:X$501,MATCH(ROW()-2,종합!$AE$3:$AE$501,0))&amp;"","")</f>
        <v/>
      </c>
      <c r="Y96" s="21" t="str">
        <f aca="false">IFERROR(INDEX(종합!Y$3:Y$501,MATCH(ROW()-2,종합!$AE$3:$AE$501,0))&amp;"","")</f>
        <v/>
      </c>
      <c r="Z96" s="21" t="str">
        <f aca="false">IFERROR(INDEX(종합!Z$3:Z$501,MATCH(ROW()-2,종합!$AE$3:$AE$501,0))&amp;"","")</f>
        <v/>
      </c>
    </row>
    <row r="97" customFormat="false" ht="16.5" hidden="false" customHeight="true" outlineLevel="0" collapsed="false">
      <c r="A97" s="18" t="str">
        <f aca="false">IF(B97="","",ROW()-2)</f>
        <v/>
      </c>
      <c r="B97" s="18" t="str">
        <f aca="false">IFERROR(INDEX(종합!B$3:B$501,MATCH(ROW()-2,종합!$AE$3:$AE$501,0))&amp;"","")</f>
        <v/>
      </c>
      <c r="C97" s="18" t="str">
        <f aca="false">IFERROR(INDEX(종합!C$3:C$501,MATCH(ROW()-2,종합!$AE$3:$AE$501,0))&amp;"","")</f>
        <v/>
      </c>
      <c r="D97" s="18" t="str">
        <f aca="false">IFERROR(INDEX(종합!D$3:D$501,MATCH(ROW()-2,종합!$AE$3:$AE$501,0))&amp;"","")</f>
        <v/>
      </c>
      <c r="E97" s="18" t="str">
        <f aca="false">IFERROR(INDEX(종합!E$3:E$501,MATCH(ROW()-2,종합!$AE$3:$AE$501,0))&amp;"","")</f>
        <v/>
      </c>
      <c r="F97" s="18" t="str">
        <f aca="false">IFERROR(INDEX(종합!F$3:F$501,MATCH(ROW()-2,종합!$AE$3:$AE$501,0))&amp;"","")</f>
        <v/>
      </c>
      <c r="G97" s="18" t="str">
        <f aca="false">IFERROR(INDEX(종합!G$3:G$501,MATCH(ROW()-2,종합!$AE$3:$AE$501,0))&amp;"","")</f>
        <v/>
      </c>
      <c r="H97" s="21" t="str">
        <f aca="false">IFERROR(INDEX(종합!H$3:H$501,MATCH(ROW()-2,종합!$AE$3:$AE$501,0))&amp;"","")</f>
        <v/>
      </c>
      <c r="I97" s="21" t="str">
        <f aca="false">IFERROR(INDEX(종합!I$3:I$501,MATCH(ROW()-2,종합!$AE$3:$AE$501,0))&amp;"","")</f>
        <v/>
      </c>
      <c r="J97" s="21" t="str">
        <f aca="false">IFERROR(INDEX(종합!J$3:J$501,MATCH(ROW()-2,종합!$AE$3:$AE$501,0))&amp;"","")</f>
        <v/>
      </c>
      <c r="K97" s="21" t="str">
        <f aca="false">IFERROR(INDEX(종합!K$3:K$501,MATCH(ROW()-2,종합!$AE$3:$AE$501,0))&amp;"","")</f>
        <v/>
      </c>
      <c r="L97" s="21" t="str">
        <f aca="false">IFERROR(INDEX(종합!L$3:L$501,MATCH(ROW()-2,종합!$AE$3:$AE$501,0))&amp;"","")</f>
        <v/>
      </c>
      <c r="M97" s="21" t="str">
        <f aca="false">IFERROR(INDEX(종합!M$3:M$501,MATCH(ROW()-2,종합!$AE$3:$AE$501,0))&amp;"","")</f>
        <v/>
      </c>
      <c r="N97" s="25" t="str">
        <f aca="false">IFERROR(INDEX(종합!N$3:N$501,MATCH(ROW()-2,종합!$AE$3:$AE$501,0))&amp;"","")</f>
        <v/>
      </c>
      <c r="O97" s="21" t="str">
        <f aca="false">IFERROR(INDEX(종합!O$3:O$501,MATCH(ROW()-2,종합!$AE$3:$AE$501,0))&amp;"","")</f>
        <v/>
      </c>
      <c r="P97" s="21" t="str">
        <f aca="false">IFERROR(INDEX(종합!P$3:P$501,MATCH(ROW()-2,종합!$AE$3:$AE$501,0))&amp;"","")</f>
        <v/>
      </c>
      <c r="Q97" s="21" t="str">
        <f aca="false">IFERROR(INDEX(종합!Q$3:Q$501,MATCH(ROW()-2,종합!$AE$3:$AE$501,0))&amp;"","")</f>
        <v/>
      </c>
      <c r="R97" s="21" t="str">
        <f aca="false">IFERROR(INDEX(종합!R$3:R$501,MATCH(ROW()-2,종합!$AE$3:$AE$501,0))&amp;"","")</f>
        <v/>
      </c>
      <c r="S97" s="21" t="str">
        <f aca="false">IFERROR(INDEX(종합!S$3:S$501,MATCH(ROW()-2,종합!$AE$3:$AE$501,0))&amp;"","")</f>
        <v/>
      </c>
      <c r="T97" s="21" t="str">
        <f aca="false">IFERROR(INDEX(종합!T$3:T$501,MATCH(ROW()-2,종합!$AE$3:$AE$501,0))&amp;"","")</f>
        <v/>
      </c>
      <c r="U97" s="21" t="str">
        <f aca="false">IFERROR(INDEX(종합!U$3:U$501,MATCH(ROW()-2,종합!$AE$3:$AE$501,0))&amp;"","")</f>
        <v/>
      </c>
      <c r="V97" s="21" t="str">
        <f aca="false">IFERROR(INDEX(종합!V$3:V$501,MATCH(ROW()-2,종합!$AE$3:$AE$501,0))&amp;"","")</f>
        <v/>
      </c>
      <c r="W97" s="21" t="str">
        <f aca="false">IFERROR(INDEX(종합!W$3:W$501,MATCH(ROW()-2,종합!$AE$3:$AE$501,0))&amp;"","")</f>
        <v/>
      </c>
      <c r="X97" s="21" t="str">
        <f aca="false">IFERROR(INDEX(종합!X$3:X$501,MATCH(ROW()-2,종합!$AE$3:$AE$501,0))&amp;"","")</f>
        <v/>
      </c>
      <c r="Y97" s="21" t="str">
        <f aca="false">IFERROR(INDEX(종합!Y$3:Y$501,MATCH(ROW()-2,종합!$AE$3:$AE$501,0))&amp;"","")</f>
        <v/>
      </c>
      <c r="Z97" s="21" t="str">
        <f aca="false">IFERROR(INDEX(종합!Z$3:Z$501,MATCH(ROW()-2,종합!$AE$3:$AE$501,0))&amp;"","")</f>
        <v/>
      </c>
    </row>
    <row r="98" customFormat="false" ht="16.5" hidden="false" customHeight="true" outlineLevel="0" collapsed="false">
      <c r="A98" s="18" t="str">
        <f aca="false">IF(B98="","",ROW()-2)</f>
        <v/>
      </c>
      <c r="B98" s="18" t="str">
        <f aca="false">IFERROR(INDEX(종합!B$3:B$501,MATCH(ROW()-2,종합!$AE$3:$AE$501,0))&amp;"","")</f>
        <v/>
      </c>
      <c r="C98" s="18" t="str">
        <f aca="false">IFERROR(INDEX(종합!C$3:C$501,MATCH(ROW()-2,종합!$AE$3:$AE$501,0))&amp;"","")</f>
        <v/>
      </c>
      <c r="D98" s="18" t="str">
        <f aca="false">IFERROR(INDEX(종합!D$3:D$501,MATCH(ROW()-2,종합!$AE$3:$AE$501,0))&amp;"","")</f>
        <v/>
      </c>
      <c r="E98" s="18" t="str">
        <f aca="false">IFERROR(INDEX(종합!E$3:E$501,MATCH(ROW()-2,종합!$AE$3:$AE$501,0))&amp;"","")</f>
        <v/>
      </c>
      <c r="F98" s="18" t="str">
        <f aca="false">IFERROR(INDEX(종합!F$3:F$501,MATCH(ROW()-2,종합!$AE$3:$AE$501,0))&amp;"","")</f>
        <v/>
      </c>
      <c r="G98" s="18" t="str">
        <f aca="false">IFERROR(INDEX(종합!G$3:G$501,MATCH(ROW()-2,종합!$AE$3:$AE$501,0))&amp;"","")</f>
        <v/>
      </c>
      <c r="H98" s="21" t="str">
        <f aca="false">IFERROR(INDEX(종합!H$3:H$501,MATCH(ROW()-2,종합!$AE$3:$AE$501,0))&amp;"","")</f>
        <v/>
      </c>
      <c r="I98" s="21" t="str">
        <f aca="false">IFERROR(INDEX(종합!I$3:I$501,MATCH(ROW()-2,종합!$AE$3:$AE$501,0))&amp;"","")</f>
        <v/>
      </c>
      <c r="J98" s="21" t="str">
        <f aca="false">IFERROR(INDEX(종합!J$3:J$501,MATCH(ROW()-2,종합!$AE$3:$AE$501,0))&amp;"","")</f>
        <v/>
      </c>
      <c r="K98" s="21" t="str">
        <f aca="false">IFERROR(INDEX(종합!K$3:K$501,MATCH(ROW()-2,종합!$AE$3:$AE$501,0))&amp;"","")</f>
        <v/>
      </c>
      <c r="L98" s="21" t="str">
        <f aca="false">IFERROR(INDEX(종합!L$3:L$501,MATCH(ROW()-2,종합!$AE$3:$AE$501,0))&amp;"","")</f>
        <v/>
      </c>
      <c r="M98" s="21" t="str">
        <f aca="false">IFERROR(INDEX(종합!M$3:M$501,MATCH(ROW()-2,종합!$AE$3:$AE$501,0))&amp;"","")</f>
        <v/>
      </c>
      <c r="N98" s="25" t="str">
        <f aca="false">IFERROR(INDEX(종합!N$3:N$501,MATCH(ROW()-2,종합!$AE$3:$AE$501,0))&amp;"","")</f>
        <v/>
      </c>
      <c r="O98" s="21" t="str">
        <f aca="false">IFERROR(INDEX(종합!O$3:O$501,MATCH(ROW()-2,종합!$AE$3:$AE$501,0))&amp;"","")</f>
        <v/>
      </c>
      <c r="P98" s="21" t="str">
        <f aca="false">IFERROR(INDEX(종합!P$3:P$501,MATCH(ROW()-2,종합!$AE$3:$AE$501,0))&amp;"","")</f>
        <v/>
      </c>
      <c r="Q98" s="21" t="str">
        <f aca="false">IFERROR(INDEX(종합!Q$3:Q$501,MATCH(ROW()-2,종합!$AE$3:$AE$501,0))&amp;"","")</f>
        <v/>
      </c>
      <c r="R98" s="21" t="str">
        <f aca="false">IFERROR(INDEX(종합!R$3:R$501,MATCH(ROW()-2,종합!$AE$3:$AE$501,0))&amp;"","")</f>
        <v/>
      </c>
      <c r="S98" s="21" t="str">
        <f aca="false">IFERROR(INDEX(종합!S$3:S$501,MATCH(ROW()-2,종합!$AE$3:$AE$501,0))&amp;"","")</f>
        <v/>
      </c>
      <c r="T98" s="21" t="str">
        <f aca="false">IFERROR(INDEX(종합!T$3:T$501,MATCH(ROW()-2,종합!$AE$3:$AE$501,0))&amp;"","")</f>
        <v/>
      </c>
      <c r="U98" s="21" t="str">
        <f aca="false">IFERROR(INDEX(종합!U$3:U$501,MATCH(ROW()-2,종합!$AE$3:$AE$501,0))&amp;"","")</f>
        <v/>
      </c>
      <c r="V98" s="21" t="str">
        <f aca="false">IFERROR(INDEX(종합!V$3:V$501,MATCH(ROW()-2,종합!$AE$3:$AE$501,0))&amp;"","")</f>
        <v/>
      </c>
      <c r="W98" s="21" t="str">
        <f aca="false">IFERROR(INDEX(종합!W$3:W$501,MATCH(ROW()-2,종합!$AE$3:$AE$501,0))&amp;"","")</f>
        <v/>
      </c>
      <c r="X98" s="21" t="str">
        <f aca="false">IFERROR(INDEX(종합!X$3:X$501,MATCH(ROW()-2,종합!$AE$3:$AE$501,0))&amp;"","")</f>
        <v/>
      </c>
      <c r="Y98" s="21" t="str">
        <f aca="false">IFERROR(INDEX(종합!Y$3:Y$501,MATCH(ROW()-2,종합!$AE$3:$AE$501,0))&amp;"","")</f>
        <v/>
      </c>
      <c r="Z98" s="21" t="str">
        <f aca="false">IFERROR(INDEX(종합!Z$3:Z$501,MATCH(ROW()-2,종합!$AE$3:$AE$501,0))&amp;"","")</f>
        <v/>
      </c>
    </row>
    <row r="99" customFormat="false" ht="16.5" hidden="false" customHeight="true" outlineLevel="0" collapsed="false">
      <c r="A99" s="18" t="str">
        <f aca="false">IF(B99="","",ROW()-2)</f>
        <v/>
      </c>
      <c r="B99" s="18" t="str">
        <f aca="false">IFERROR(INDEX(종합!B$3:B$501,MATCH(ROW()-2,종합!$AE$3:$AE$501,0))&amp;"","")</f>
        <v/>
      </c>
      <c r="C99" s="18" t="str">
        <f aca="false">IFERROR(INDEX(종합!C$3:C$501,MATCH(ROW()-2,종합!$AE$3:$AE$501,0))&amp;"","")</f>
        <v/>
      </c>
      <c r="D99" s="18" t="str">
        <f aca="false">IFERROR(INDEX(종합!D$3:D$501,MATCH(ROW()-2,종합!$AE$3:$AE$501,0))&amp;"","")</f>
        <v/>
      </c>
      <c r="E99" s="18" t="str">
        <f aca="false">IFERROR(INDEX(종합!E$3:E$501,MATCH(ROW()-2,종합!$AE$3:$AE$501,0))&amp;"","")</f>
        <v/>
      </c>
      <c r="F99" s="18" t="str">
        <f aca="false">IFERROR(INDEX(종합!F$3:F$501,MATCH(ROW()-2,종합!$AE$3:$AE$501,0))&amp;"","")</f>
        <v/>
      </c>
      <c r="G99" s="18" t="str">
        <f aca="false">IFERROR(INDEX(종합!G$3:G$501,MATCH(ROW()-2,종합!$AE$3:$AE$501,0))&amp;"","")</f>
        <v/>
      </c>
      <c r="H99" s="21" t="str">
        <f aca="false">IFERROR(INDEX(종합!H$3:H$501,MATCH(ROW()-2,종합!$AE$3:$AE$501,0))&amp;"","")</f>
        <v/>
      </c>
      <c r="I99" s="21" t="str">
        <f aca="false">IFERROR(INDEX(종합!I$3:I$501,MATCH(ROW()-2,종합!$AE$3:$AE$501,0))&amp;"","")</f>
        <v/>
      </c>
      <c r="J99" s="21" t="str">
        <f aca="false">IFERROR(INDEX(종합!J$3:J$501,MATCH(ROW()-2,종합!$AE$3:$AE$501,0))&amp;"","")</f>
        <v/>
      </c>
      <c r="K99" s="21" t="str">
        <f aca="false">IFERROR(INDEX(종합!K$3:K$501,MATCH(ROW()-2,종합!$AE$3:$AE$501,0))&amp;"","")</f>
        <v/>
      </c>
      <c r="L99" s="21" t="str">
        <f aca="false">IFERROR(INDEX(종합!L$3:L$501,MATCH(ROW()-2,종합!$AE$3:$AE$501,0))&amp;"","")</f>
        <v/>
      </c>
      <c r="M99" s="21" t="str">
        <f aca="false">IFERROR(INDEX(종합!M$3:M$501,MATCH(ROW()-2,종합!$AE$3:$AE$501,0))&amp;"","")</f>
        <v/>
      </c>
      <c r="N99" s="25" t="str">
        <f aca="false">IFERROR(INDEX(종합!N$3:N$501,MATCH(ROW()-2,종합!$AE$3:$AE$501,0))&amp;"","")</f>
        <v/>
      </c>
      <c r="O99" s="21" t="str">
        <f aca="false">IFERROR(INDEX(종합!O$3:O$501,MATCH(ROW()-2,종합!$AE$3:$AE$501,0))&amp;"","")</f>
        <v/>
      </c>
      <c r="P99" s="21" t="str">
        <f aca="false">IFERROR(INDEX(종합!P$3:P$501,MATCH(ROW()-2,종합!$AE$3:$AE$501,0))&amp;"","")</f>
        <v/>
      </c>
      <c r="Q99" s="21" t="str">
        <f aca="false">IFERROR(INDEX(종합!Q$3:Q$501,MATCH(ROW()-2,종합!$AE$3:$AE$501,0))&amp;"","")</f>
        <v/>
      </c>
      <c r="R99" s="21" t="str">
        <f aca="false">IFERROR(INDEX(종합!R$3:R$501,MATCH(ROW()-2,종합!$AE$3:$AE$501,0))&amp;"","")</f>
        <v/>
      </c>
      <c r="S99" s="21" t="str">
        <f aca="false">IFERROR(INDEX(종합!S$3:S$501,MATCH(ROW()-2,종합!$AE$3:$AE$501,0))&amp;"","")</f>
        <v/>
      </c>
      <c r="T99" s="21" t="str">
        <f aca="false">IFERROR(INDEX(종합!T$3:T$501,MATCH(ROW()-2,종합!$AE$3:$AE$501,0))&amp;"","")</f>
        <v/>
      </c>
      <c r="U99" s="21" t="str">
        <f aca="false">IFERROR(INDEX(종합!U$3:U$501,MATCH(ROW()-2,종합!$AE$3:$AE$501,0))&amp;"","")</f>
        <v/>
      </c>
      <c r="V99" s="21" t="str">
        <f aca="false">IFERROR(INDEX(종합!V$3:V$501,MATCH(ROW()-2,종합!$AE$3:$AE$501,0))&amp;"","")</f>
        <v/>
      </c>
      <c r="W99" s="21" t="str">
        <f aca="false">IFERROR(INDEX(종합!W$3:W$501,MATCH(ROW()-2,종합!$AE$3:$AE$501,0))&amp;"","")</f>
        <v/>
      </c>
      <c r="X99" s="21" t="str">
        <f aca="false">IFERROR(INDEX(종합!X$3:X$501,MATCH(ROW()-2,종합!$AE$3:$AE$501,0))&amp;"","")</f>
        <v/>
      </c>
      <c r="Y99" s="21" t="str">
        <f aca="false">IFERROR(INDEX(종합!Y$3:Y$501,MATCH(ROW()-2,종합!$AE$3:$AE$501,0))&amp;"","")</f>
        <v/>
      </c>
      <c r="Z99" s="21" t="str">
        <f aca="false">IFERROR(INDEX(종합!Z$3:Z$501,MATCH(ROW()-2,종합!$AE$3:$AE$501,0))&amp;"","")</f>
        <v/>
      </c>
    </row>
    <row r="100" customFormat="false" ht="16.5" hidden="false" customHeight="true" outlineLevel="0" collapsed="false">
      <c r="A100" s="18" t="str">
        <f aca="false">IF(B100="","",ROW()-2)</f>
        <v/>
      </c>
      <c r="B100" s="18" t="str">
        <f aca="false">IFERROR(INDEX(종합!B$3:B$501,MATCH(ROW()-2,종합!$AE$3:$AE$501,0))&amp;"","")</f>
        <v/>
      </c>
      <c r="C100" s="18" t="str">
        <f aca="false">IFERROR(INDEX(종합!C$3:C$501,MATCH(ROW()-2,종합!$AE$3:$AE$501,0))&amp;"","")</f>
        <v/>
      </c>
      <c r="D100" s="18" t="str">
        <f aca="false">IFERROR(INDEX(종합!D$3:D$501,MATCH(ROW()-2,종합!$AE$3:$AE$501,0))&amp;"","")</f>
        <v/>
      </c>
      <c r="E100" s="18" t="str">
        <f aca="false">IFERROR(INDEX(종합!E$3:E$501,MATCH(ROW()-2,종합!$AE$3:$AE$501,0))&amp;"","")</f>
        <v/>
      </c>
      <c r="F100" s="18" t="str">
        <f aca="false">IFERROR(INDEX(종합!F$3:F$501,MATCH(ROW()-2,종합!$AE$3:$AE$501,0))&amp;"","")</f>
        <v/>
      </c>
      <c r="G100" s="18" t="str">
        <f aca="false">IFERROR(INDEX(종합!G$3:G$501,MATCH(ROW()-2,종합!$AE$3:$AE$501,0))&amp;"","")</f>
        <v/>
      </c>
      <c r="H100" s="21" t="str">
        <f aca="false">IFERROR(INDEX(종합!H$3:H$501,MATCH(ROW()-2,종합!$AE$3:$AE$501,0))&amp;"","")</f>
        <v/>
      </c>
      <c r="I100" s="21" t="str">
        <f aca="false">IFERROR(INDEX(종합!I$3:I$501,MATCH(ROW()-2,종합!$AE$3:$AE$501,0))&amp;"","")</f>
        <v/>
      </c>
      <c r="J100" s="21" t="str">
        <f aca="false">IFERROR(INDEX(종합!J$3:J$501,MATCH(ROW()-2,종합!$AE$3:$AE$501,0))&amp;"","")</f>
        <v/>
      </c>
      <c r="K100" s="21" t="str">
        <f aca="false">IFERROR(INDEX(종합!K$3:K$501,MATCH(ROW()-2,종합!$AE$3:$AE$501,0))&amp;"","")</f>
        <v/>
      </c>
      <c r="L100" s="21" t="str">
        <f aca="false">IFERROR(INDEX(종합!L$3:L$501,MATCH(ROW()-2,종합!$AE$3:$AE$501,0))&amp;"","")</f>
        <v/>
      </c>
      <c r="M100" s="21" t="str">
        <f aca="false">IFERROR(INDEX(종합!M$3:M$501,MATCH(ROW()-2,종합!$AE$3:$AE$501,0))&amp;"","")</f>
        <v/>
      </c>
      <c r="N100" s="25" t="str">
        <f aca="false">IFERROR(INDEX(종합!N$3:N$501,MATCH(ROW()-2,종합!$AE$3:$AE$501,0))&amp;"","")</f>
        <v/>
      </c>
      <c r="O100" s="21" t="str">
        <f aca="false">IFERROR(INDEX(종합!O$3:O$501,MATCH(ROW()-2,종합!$AE$3:$AE$501,0))&amp;"","")</f>
        <v/>
      </c>
      <c r="P100" s="21" t="str">
        <f aca="false">IFERROR(INDEX(종합!P$3:P$501,MATCH(ROW()-2,종합!$AE$3:$AE$501,0))&amp;"","")</f>
        <v/>
      </c>
      <c r="Q100" s="21" t="str">
        <f aca="false">IFERROR(INDEX(종합!Q$3:Q$501,MATCH(ROW()-2,종합!$AE$3:$AE$501,0))&amp;"","")</f>
        <v/>
      </c>
      <c r="R100" s="21" t="str">
        <f aca="false">IFERROR(INDEX(종합!R$3:R$501,MATCH(ROW()-2,종합!$AE$3:$AE$501,0))&amp;"","")</f>
        <v/>
      </c>
      <c r="S100" s="21" t="str">
        <f aca="false">IFERROR(INDEX(종합!S$3:S$501,MATCH(ROW()-2,종합!$AE$3:$AE$501,0))&amp;"","")</f>
        <v/>
      </c>
      <c r="T100" s="21" t="str">
        <f aca="false">IFERROR(INDEX(종합!T$3:T$501,MATCH(ROW()-2,종합!$AE$3:$AE$501,0))&amp;"","")</f>
        <v/>
      </c>
      <c r="U100" s="21" t="str">
        <f aca="false">IFERROR(INDEX(종합!U$3:U$501,MATCH(ROW()-2,종합!$AE$3:$AE$501,0))&amp;"","")</f>
        <v/>
      </c>
      <c r="V100" s="21" t="str">
        <f aca="false">IFERROR(INDEX(종합!V$3:V$501,MATCH(ROW()-2,종합!$AE$3:$AE$501,0))&amp;"","")</f>
        <v/>
      </c>
      <c r="W100" s="21" t="str">
        <f aca="false">IFERROR(INDEX(종합!W$3:W$501,MATCH(ROW()-2,종합!$AE$3:$AE$501,0))&amp;"","")</f>
        <v/>
      </c>
      <c r="X100" s="21" t="str">
        <f aca="false">IFERROR(INDEX(종합!X$3:X$501,MATCH(ROW()-2,종합!$AE$3:$AE$501,0))&amp;"","")</f>
        <v/>
      </c>
      <c r="Y100" s="21" t="str">
        <f aca="false">IFERROR(INDEX(종합!Y$3:Y$501,MATCH(ROW()-2,종합!$AE$3:$AE$501,0))&amp;"","")</f>
        <v/>
      </c>
      <c r="Z100" s="21" t="str">
        <f aca="false">IFERROR(INDEX(종합!Z$3:Z$501,MATCH(ROW()-2,종합!$AE$3:$AE$501,0))&amp;"","")</f>
        <v/>
      </c>
    </row>
    <row r="101" customFormat="false" ht="16.5" hidden="false" customHeight="true" outlineLevel="0" collapsed="false">
      <c r="A101" s="18" t="str">
        <f aca="false">IF(B101="","",ROW()-2)</f>
        <v/>
      </c>
      <c r="B101" s="18" t="str">
        <f aca="false">IFERROR(INDEX(종합!B$3:B$501,MATCH(ROW()-2,종합!$AE$3:$AE$501,0))&amp;"","")</f>
        <v/>
      </c>
      <c r="C101" s="18" t="str">
        <f aca="false">IFERROR(INDEX(종합!C$3:C$501,MATCH(ROW()-2,종합!$AE$3:$AE$501,0))&amp;"","")</f>
        <v/>
      </c>
      <c r="D101" s="18" t="str">
        <f aca="false">IFERROR(INDEX(종합!D$3:D$501,MATCH(ROW()-2,종합!$AE$3:$AE$501,0))&amp;"","")</f>
        <v/>
      </c>
      <c r="E101" s="18" t="str">
        <f aca="false">IFERROR(INDEX(종합!E$3:E$501,MATCH(ROW()-2,종합!$AE$3:$AE$501,0))&amp;"","")</f>
        <v/>
      </c>
      <c r="F101" s="18" t="str">
        <f aca="false">IFERROR(INDEX(종합!F$3:F$501,MATCH(ROW()-2,종합!$AE$3:$AE$501,0))&amp;"","")</f>
        <v/>
      </c>
      <c r="G101" s="18" t="str">
        <f aca="false">IFERROR(INDEX(종합!G$3:G$501,MATCH(ROW()-2,종합!$AE$3:$AE$501,0))&amp;"","")</f>
        <v/>
      </c>
      <c r="H101" s="21" t="str">
        <f aca="false">IFERROR(INDEX(종합!H$3:H$501,MATCH(ROW()-2,종합!$AE$3:$AE$501,0))&amp;"","")</f>
        <v/>
      </c>
      <c r="I101" s="21" t="str">
        <f aca="false">IFERROR(INDEX(종합!I$3:I$501,MATCH(ROW()-2,종합!$AE$3:$AE$501,0))&amp;"","")</f>
        <v/>
      </c>
      <c r="J101" s="21" t="str">
        <f aca="false">IFERROR(INDEX(종합!J$3:J$501,MATCH(ROW()-2,종합!$AE$3:$AE$501,0))&amp;"","")</f>
        <v/>
      </c>
      <c r="K101" s="21" t="str">
        <f aca="false">IFERROR(INDEX(종합!K$3:K$501,MATCH(ROW()-2,종합!$AE$3:$AE$501,0))&amp;"","")</f>
        <v/>
      </c>
      <c r="L101" s="21" t="str">
        <f aca="false">IFERROR(INDEX(종합!L$3:L$501,MATCH(ROW()-2,종합!$AE$3:$AE$501,0))&amp;"","")</f>
        <v/>
      </c>
      <c r="M101" s="21" t="str">
        <f aca="false">IFERROR(INDEX(종합!M$3:M$501,MATCH(ROW()-2,종합!$AE$3:$AE$501,0))&amp;"","")</f>
        <v/>
      </c>
      <c r="N101" s="25" t="str">
        <f aca="false">IFERROR(INDEX(종합!N$3:N$501,MATCH(ROW()-2,종합!$AE$3:$AE$501,0))&amp;"","")</f>
        <v/>
      </c>
      <c r="O101" s="21" t="str">
        <f aca="false">IFERROR(INDEX(종합!O$3:O$501,MATCH(ROW()-2,종합!$AE$3:$AE$501,0))&amp;"","")</f>
        <v/>
      </c>
      <c r="P101" s="21" t="str">
        <f aca="false">IFERROR(INDEX(종합!P$3:P$501,MATCH(ROW()-2,종합!$AE$3:$AE$501,0))&amp;"","")</f>
        <v/>
      </c>
      <c r="Q101" s="21" t="str">
        <f aca="false">IFERROR(INDEX(종합!Q$3:Q$501,MATCH(ROW()-2,종합!$AE$3:$AE$501,0))&amp;"","")</f>
        <v/>
      </c>
      <c r="R101" s="21" t="str">
        <f aca="false">IFERROR(INDEX(종합!R$3:R$501,MATCH(ROW()-2,종합!$AE$3:$AE$501,0))&amp;"","")</f>
        <v/>
      </c>
      <c r="S101" s="21" t="str">
        <f aca="false">IFERROR(INDEX(종합!S$3:S$501,MATCH(ROW()-2,종합!$AE$3:$AE$501,0))&amp;"","")</f>
        <v/>
      </c>
      <c r="T101" s="21" t="str">
        <f aca="false">IFERROR(INDEX(종합!T$3:T$501,MATCH(ROW()-2,종합!$AE$3:$AE$501,0))&amp;"","")</f>
        <v/>
      </c>
      <c r="U101" s="21" t="str">
        <f aca="false">IFERROR(INDEX(종합!U$3:U$501,MATCH(ROW()-2,종합!$AE$3:$AE$501,0))&amp;"","")</f>
        <v/>
      </c>
      <c r="V101" s="21" t="str">
        <f aca="false">IFERROR(INDEX(종합!V$3:V$501,MATCH(ROW()-2,종합!$AE$3:$AE$501,0))&amp;"","")</f>
        <v/>
      </c>
      <c r="W101" s="21" t="str">
        <f aca="false">IFERROR(INDEX(종합!W$3:W$501,MATCH(ROW()-2,종합!$AE$3:$AE$501,0))&amp;"","")</f>
        <v/>
      </c>
      <c r="X101" s="21" t="str">
        <f aca="false">IFERROR(INDEX(종합!X$3:X$501,MATCH(ROW()-2,종합!$AE$3:$AE$501,0))&amp;"","")</f>
        <v/>
      </c>
      <c r="Y101" s="21" t="str">
        <f aca="false">IFERROR(INDEX(종합!Y$3:Y$501,MATCH(ROW()-2,종합!$AE$3:$AE$501,0))&amp;"","")</f>
        <v/>
      </c>
      <c r="Z101" s="21" t="str">
        <f aca="false">IFERROR(INDEX(종합!Z$3:Z$501,MATCH(ROW()-2,종합!$AE$3:$AE$501,0))&amp;"","")</f>
        <v/>
      </c>
    </row>
    <row r="102" customFormat="false" ht="16.5" hidden="false" customHeight="true" outlineLevel="0" collapsed="false">
      <c r="A102" s="18" t="str">
        <f aca="false">IF(B102="","",ROW()-2)</f>
        <v/>
      </c>
      <c r="B102" s="18" t="str">
        <f aca="false">IFERROR(INDEX(종합!B$3:B$501,MATCH(ROW()-2,종합!$AE$3:$AE$501,0))&amp;"","")</f>
        <v/>
      </c>
      <c r="C102" s="18" t="str">
        <f aca="false">IFERROR(INDEX(종합!C$3:C$501,MATCH(ROW()-2,종합!$AE$3:$AE$501,0))&amp;"","")</f>
        <v/>
      </c>
      <c r="D102" s="18" t="str">
        <f aca="false">IFERROR(INDEX(종합!D$3:D$501,MATCH(ROW()-2,종합!$AE$3:$AE$501,0))&amp;"","")</f>
        <v/>
      </c>
      <c r="E102" s="18" t="str">
        <f aca="false">IFERROR(INDEX(종합!E$3:E$501,MATCH(ROW()-2,종합!$AE$3:$AE$501,0))&amp;"","")</f>
        <v/>
      </c>
      <c r="F102" s="18" t="str">
        <f aca="false">IFERROR(INDEX(종합!F$3:F$501,MATCH(ROW()-2,종합!$AE$3:$AE$501,0))&amp;"","")</f>
        <v/>
      </c>
      <c r="G102" s="18" t="str">
        <f aca="false">IFERROR(INDEX(종합!G$3:G$501,MATCH(ROW()-2,종합!$AE$3:$AE$501,0))&amp;"","")</f>
        <v/>
      </c>
      <c r="H102" s="21" t="str">
        <f aca="false">IFERROR(INDEX(종합!H$3:H$501,MATCH(ROW()-2,종합!$AE$3:$AE$501,0))&amp;"","")</f>
        <v/>
      </c>
      <c r="I102" s="21" t="str">
        <f aca="false">IFERROR(INDEX(종합!I$3:I$501,MATCH(ROW()-2,종합!$AE$3:$AE$501,0))&amp;"","")</f>
        <v/>
      </c>
      <c r="J102" s="21" t="str">
        <f aca="false">IFERROR(INDEX(종합!J$3:J$501,MATCH(ROW()-2,종합!$AE$3:$AE$501,0))&amp;"","")</f>
        <v/>
      </c>
      <c r="K102" s="21" t="str">
        <f aca="false">IFERROR(INDEX(종합!K$3:K$501,MATCH(ROW()-2,종합!$AE$3:$AE$501,0))&amp;"","")</f>
        <v/>
      </c>
      <c r="L102" s="21" t="str">
        <f aca="false">IFERROR(INDEX(종합!L$3:L$501,MATCH(ROW()-2,종합!$AE$3:$AE$501,0))&amp;"","")</f>
        <v/>
      </c>
      <c r="M102" s="21" t="str">
        <f aca="false">IFERROR(INDEX(종합!M$3:M$501,MATCH(ROW()-2,종합!$AE$3:$AE$501,0))&amp;"","")</f>
        <v/>
      </c>
      <c r="N102" s="25" t="str">
        <f aca="false">IFERROR(INDEX(종합!N$3:N$501,MATCH(ROW()-2,종합!$AE$3:$AE$501,0))&amp;"","")</f>
        <v/>
      </c>
      <c r="O102" s="21" t="str">
        <f aca="false">IFERROR(INDEX(종합!O$3:O$501,MATCH(ROW()-2,종합!$AE$3:$AE$501,0))&amp;"","")</f>
        <v/>
      </c>
      <c r="P102" s="21" t="str">
        <f aca="false">IFERROR(INDEX(종합!P$3:P$501,MATCH(ROW()-2,종합!$AE$3:$AE$501,0))&amp;"","")</f>
        <v/>
      </c>
      <c r="Q102" s="21" t="str">
        <f aca="false">IFERROR(INDEX(종합!Q$3:Q$501,MATCH(ROW()-2,종합!$AE$3:$AE$501,0))&amp;"","")</f>
        <v/>
      </c>
      <c r="R102" s="21" t="str">
        <f aca="false">IFERROR(INDEX(종합!R$3:R$501,MATCH(ROW()-2,종합!$AE$3:$AE$501,0))&amp;"","")</f>
        <v/>
      </c>
      <c r="S102" s="21" t="str">
        <f aca="false">IFERROR(INDEX(종합!S$3:S$501,MATCH(ROW()-2,종합!$AE$3:$AE$501,0))&amp;"","")</f>
        <v/>
      </c>
      <c r="T102" s="21" t="str">
        <f aca="false">IFERROR(INDEX(종합!T$3:T$501,MATCH(ROW()-2,종합!$AE$3:$AE$501,0))&amp;"","")</f>
        <v/>
      </c>
      <c r="U102" s="21" t="str">
        <f aca="false">IFERROR(INDEX(종합!U$3:U$501,MATCH(ROW()-2,종합!$AE$3:$AE$501,0))&amp;"","")</f>
        <v/>
      </c>
      <c r="V102" s="21" t="str">
        <f aca="false">IFERROR(INDEX(종합!V$3:V$501,MATCH(ROW()-2,종합!$AE$3:$AE$501,0))&amp;"","")</f>
        <v/>
      </c>
      <c r="W102" s="21" t="str">
        <f aca="false">IFERROR(INDEX(종합!W$3:W$501,MATCH(ROW()-2,종합!$AE$3:$AE$501,0))&amp;"","")</f>
        <v/>
      </c>
      <c r="X102" s="21" t="str">
        <f aca="false">IFERROR(INDEX(종합!X$3:X$501,MATCH(ROW()-2,종합!$AE$3:$AE$501,0))&amp;"","")</f>
        <v/>
      </c>
      <c r="Y102" s="21" t="str">
        <f aca="false">IFERROR(INDEX(종합!Y$3:Y$501,MATCH(ROW()-2,종합!$AE$3:$AE$501,0))&amp;"","")</f>
        <v/>
      </c>
      <c r="Z102" s="21" t="str">
        <f aca="false">IFERROR(INDEX(종합!Z$3:Z$501,MATCH(ROW()-2,종합!$AE$3:$AE$501,0))&amp;"","")</f>
        <v/>
      </c>
    </row>
    <row r="103" customFormat="false" ht="16.5" hidden="false" customHeight="true" outlineLevel="0" collapsed="false">
      <c r="A103" s="18" t="str">
        <f aca="false">IF(B103="","",ROW()-2)</f>
        <v/>
      </c>
      <c r="B103" s="18" t="str">
        <f aca="false">IFERROR(INDEX(종합!B$3:B$501,MATCH(ROW()-2,종합!$AE$3:$AE$501,0))&amp;"","")</f>
        <v/>
      </c>
      <c r="C103" s="18" t="str">
        <f aca="false">IFERROR(INDEX(종합!C$3:C$501,MATCH(ROW()-2,종합!$AE$3:$AE$501,0))&amp;"","")</f>
        <v/>
      </c>
      <c r="D103" s="18" t="str">
        <f aca="false">IFERROR(INDEX(종합!D$3:D$501,MATCH(ROW()-2,종합!$AE$3:$AE$501,0))&amp;"","")</f>
        <v/>
      </c>
      <c r="E103" s="18" t="str">
        <f aca="false">IFERROR(INDEX(종합!E$3:E$501,MATCH(ROW()-2,종합!$AE$3:$AE$501,0))&amp;"","")</f>
        <v/>
      </c>
      <c r="F103" s="18" t="str">
        <f aca="false">IFERROR(INDEX(종합!F$3:F$501,MATCH(ROW()-2,종합!$AE$3:$AE$501,0))&amp;"","")</f>
        <v/>
      </c>
      <c r="G103" s="18" t="str">
        <f aca="false">IFERROR(INDEX(종합!G$3:G$501,MATCH(ROW()-2,종합!$AE$3:$AE$501,0))&amp;"","")</f>
        <v/>
      </c>
      <c r="H103" s="21" t="str">
        <f aca="false">IFERROR(INDEX(종합!H$3:H$501,MATCH(ROW()-2,종합!$AE$3:$AE$501,0))&amp;"","")</f>
        <v/>
      </c>
      <c r="I103" s="21" t="str">
        <f aca="false">IFERROR(INDEX(종합!I$3:I$501,MATCH(ROW()-2,종합!$AE$3:$AE$501,0))&amp;"","")</f>
        <v/>
      </c>
      <c r="J103" s="21" t="str">
        <f aca="false">IFERROR(INDEX(종합!J$3:J$501,MATCH(ROW()-2,종합!$AE$3:$AE$501,0))&amp;"","")</f>
        <v/>
      </c>
      <c r="K103" s="21" t="str">
        <f aca="false">IFERROR(INDEX(종합!K$3:K$501,MATCH(ROW()-2,종합!$AE$3:$AE$501,0))&amp;"","")</f>
        <v/>
      </c>
      <c r="L103" s="21" t="str">
        <f aca="false">IFERROR(INDEX(종합!L$3:L$501,MATCH(ROW()-2,종합!$AE$3:$AE$501,0))&amp;"","")</f>
        <v/>
      </c>
      <c r="M103" s="21" t="str">
        <f aca="false">IFERROR(INDEX(종합!M$3:M$501,MATCH(ROW()-2,종합!$AE$3:$AE$501,0))&amp;"","")</f>
        <v/>
      </c>
      <c r="N103" s="25" t="str">
        <f aca="false">IFERROR(INDEX(종합!N$3:N$501,MATCH(ROW()-2,종합!$AE$3:$AE$501,0))&amp;"","")</f>
        <v/>
      </c>
      <c r="O103" s="21" t="str">
        <f aca="false">IFERROR(INDEX(종합!O$3:O$501,MATCH(ROW()-2,종합!$AE$3:$AE$501,0))&amp;"","")</f>
        <v/>
      </c>
      <c r="P103" s="21" t="str">
        <f aca="false">IFERROR(INDEX(종합!P$3:P$501,MATCH(ROW()-2,종합!$AE$3:$AE$501,0))&amp;"","")</f>
        <v/>
      </c>
      <c r="Q103" s="21" t="str">
        <f aca="false">IFERROR(INDEX(종합!Q$3:Q$501,MATCH(ROW()-2,종합!$AE$3:$AE$501,0))&amp;"","")</f>
        <v/>
      </c>
      <c r="R103" s="21" t="str">
        <f aca="false">IFERROR(INDEX(종합!R$3:R$501,MATCH(ROW()-2,종합!$AE$3:$AE$501,0))&amp;"","")</f>
        <v/>
      </c>
      <c r="S103" s="21" t="str">
        <f aca="false">IFERROR(INDEX(종합!S$3:S$501,MATCH(ROW()-2,종합!$AE$3:$AE$501,0))&amp;"","")</f>
        <v/>
      </c>
      <c r="T103" s="21" t="str">
        <f aca="false">IFERROR(INDEX(종합!T$3:T$501,MATCH(ROW()-2,종합!$AE$3:$AE$501,0))&amp;"","")</f>
        <v/>
      </c>
      <c r="U103" s="21" t="str">
        <f aca="false">IFERROR(INDEX(종합!U$3:U$501,MATCH(ROW()-2,종합!$AE$3:$AE$501,0))&amp;"","")</f>
        <v/>
      </c>
      <c r="V103" s="21" t="str">
        <f aca="false">IFERROR(INDEX(종합!V$3:V$501,MATCH(ROW()-2,종합!$AE$3:$AE$501,0))&amp;"","")</f>
        <v/>
      </c>
      <c r="W103" s="21" t="str">
        <f aca="false">IFERROR(INDEX(종합!W$3:W$501,MATCH(ROW()-2,종합!$AE$3:$AE$501,0))&amp;"","")</f>
        <v/>
      </c>
      <c r="X103" s="21" t="str">
        <f aca="false">IFERROR(INDEX(종합!X$3:X$501,MATCH(ROW()-2,종합!$AE$3:$AE$501,0))&amp;"","")</f>
        <v/>
      </c>
      <c r="Y103" s="21" t="str">
        <f aca="false">IFERROR(INDEX(종합!Y$3:Y$501,MATCH(ROW()-2,종합!$AE$3:$AE$501,0))&amp;"","")</f>
        <v/>
      </c>
      <c r="Z103" s="21" t="str">
        <f aca="false">IFERROR(INDEX(종합!Z$3:Z$501,MATCH(ROW()-2,종합!$AE$3:$AE$501,0))&amp;"","")</f>
        <v/>
      </c>
    </row>
    <row r="104" customFormat="false" ht="16.5" hidden="false" customHeight="true" outlineLevel="0" collapsed="false">
      <c r="A104" s="18" t="str">
        <f aca="false">IF(B104="","",ROW()-2)</f>
        <v/>
      </c>
      <c r="B104" s="18" t="str">
        <f aca="false">IFERROR(INDEX(종합!B$3:B$501,MATCH(ROW()-2,종합!$AE$3:$AE$501,0))&amp;"","")</f>
        <v/>
      </c>
      <c r="C104" s="18" t="str">
        <f aca="false">IFERROR(INDEX(종합!C$3:C$501,MATCH(ROW()-2,종합!$AE$3:$AE$501,0))&amp;"","")</f>
        <v/>
      </c>
      <c r="D104" s="18" t="str">
        <f aca="false">IFERROR(INDEX(종합!D$3:D$501,MATCH(ROW()-2,종합!$AE$3:$AE$501,0))&amp;"","")</f>
        <v/>
      </c>
      <c r="E104" s="18" t="str">
        <f aca="false">IFERROR(INDEX(종합!E$3:E$501,MATCH(ROW()-2,종합!$AE$3:$AE$501,0))&amp;"","")</f>
        <v/>
      </c>
      <c r="F104" s="18" t="str">
        <f aca="false">IFERROR(INDEX(종합!F$3:F$501,MATCH(ROW()-2,종합!$AE$3:$AE$501,0))&amp;"","")</f>
        <v/>
      </c>
      <c r="G104" s="18" t="str">
        <f aca="false">IFERROR(INDEX(종합!G$3:G$501,MATCH(ROW()-2,종합!$AE$3:$AE$501,0))&amp;"","")</f>
        <v/>
      </c>
      <c r="H104" s="21" t="str">
        <f aca="false">IFERROR(INDEX(종합!H$3:H$501,MATCH(ROW()-2,종합!$AE$3:$AE$501,0))&amp;"","")</f>
        <v/>
      </c>
      <c r="I104" s="21" t="str">
        <f aca="false">IFERROR(INDEX(종합!I$3:I$501,MATCH(ROW()-2,종합!$AE$3:$AE$501,0))&amp;"","")</f>
        <v/>
      </c>
      <c r="J104" s="21" t="str">
        <f aca="false">IFERROR(INDEX(종합!J$3:J$501,MATCH(ROW()-2,종합!$AE$3:$AE$501,0))&amp;"","")</f>
        <v/>
      </c>
      <c r="K104" s="21" t="str">
        <f aca="false">IFERROR(INDEX(종합!K$3:K$501,MATCH(ROW()-2,종합!$AE$3:$AE$501,0))&amp;"","")</f>
        <v/>
      </c>
      <c r="L104" s="21" t="str">
        <f aca="false">IFERROR(INDEX(종합!L$3:L$501,MATCH(ROW()-2,종합!$AE$3:$AE$501,0))&amp;"","")</f>
        <v/>
      </c>
      <c r="M104" s="21" t="str">
        <f aca="false">IFERROR(INDEX(종합!M$3:M$501,MATCH(ROW()-2,종합!$AE$3:$AE$501,0))&amp;"","")</f>
        <v/>
      </c>
      <c r="N104" s="25" t="str">
        <f aca="false">IFERROR(INDEX(종합!N$3:N$501,MATCH(ROW()-2,종합!$AE$3:$AE$501,0))&amp;"","")</f>
        <v/>
      </c>
      <c r="O104" s="21" t="str">
        <f aca="false">IFERROR(INDEX(종합!O$3:O$501,MATCH(ROW()-2,종합!$AE$3:$AE$501,0))&amp;"","")</f>
        <v/>
      </c>
      <c r="P104" s="21" t="str">
        <f aca="false">IFERROR(INDEX(종합!P$3:P$501,MATCH(ROW()-2,종합!$AE$3:$AE$501,0))&amp;"","")</f>
        <v/>
      </c>
      <c r="Q104" s="21" t="str">
        <f aca="false">IFERROR(INDEX(종합!Q$3:Q$501,MATCH(ROW()-2,종합!$AE$3:$AE$501,0))&amp;"","")</f>
        <v/>
      </c>
      <c r="R104" s="21" t="str">
        <f aca="false">IFERROR(INDEX(종합!R$3:R$501,MATCH(ROW()-2,종합!$AE$3:$AE$501,0))&amp;"","")</f>
        <v/>
      </c>
      <c r="S104" s="21" t="str">
        <f aca="false">IFERROR(INDEX(종합!S$3:S$501,MATCH(ROW()-2,종합!$AE$3:$AE$501,0))&amp;"","")</f>
        <v/>
      </c>
      <c r="T104" s="21" t="str">
        <f aca="false">IFERROR(INDEX(종합!T$3:T$501,MATCH(ROW()-2,종합!$AE$3:$AE$501,0))&amp;"","")</f>
        <v/>
      </c>
      <c r="U104" s="21" t="str">
        <f aca="false">IFERROR(INDEX(종합!U$3:U$501,MATCH(ROW()-2,종합!$AE$3:$AE$501,0))&amp;"","")</f>
        <v/>
      </c>
      <c r="V104" s="21" t="str">
        <f aca="false">IFERROR(INDEX(종합!V$3:V$501,MATCH(ROW()-2,종합!$AE$3:$AE$501,0))&amp;"","")</f>
        <v/>
      </c>
      <c r="W104" s="21" t="str">
        <f aca="false">IFERROR(INDEX(종합!W$3:W$501,MATCH(ROW()-2,종합!$AE$3:$AE$501,0))&amp;"","")</f>
        <v/>
      </c>
      <c r="X104" s="21" t="str">
        <f aca="false">IFERROR(INDEX(종합!X$3:X$501,MATCH(ROW()-2,종합!$AE$3:$AE$501,0))&amp;"","")</f>
        <v/>
      </c>
      <c r="Y104" s="21" t="str">
        <f aca="false">IFERROR(INDEX(종합!Y$3:Y$501,MATCH(ROW()-2,종합!$AE$3:$AE$501,0))&amp;"","")</f>
        <v/>
      </c>
      <c r="Z104" s="21" t="str">
        <f aca="false">IFERROR(INDEX(종합!Z$3:Z$501,MATCH(ROW()-2,종합!$AE$3:$AE$501,0))&amp;"","")</f>
        <v/>
      </c>
    </row>
    <row r="105" customFormat="false" ht="16.5" hidden="false" customHeight="true" outlineLevel="0" collapsed="false">
      <c r="A105" s="18" t="str">
        <f aca="false">IF(B105="","",ROW()-2)</f>
        <v/>
      </c>
      <c r="B105" s="18" t="str">
        <f aca="false">IFERROR(INDEX(종합!B$3:B$501,MATCH(ROW()-2,종합!$AE$3:$AE$501,0))&amp;"","")</f>
        <v/>
      </c>
      <c r="C105" s="18" t="str">
        <f aca="false">IFERROR(INDEX(종합!C$3:C$501,MATCH(ROW()-2,종합!$AE$3:$AE$501,0))&amp;"","")</f>
        <v/>
      </c>
      <c r="D105" s="18" t="str">
        <f aca="false">IFERROR(INDEX(종합!D$3:D$501,MATCH(ROW()-2,종합!$AE$3:$AE$501,0))&amp;"","")</f>
        <v/>
      </c>
      <c r="E105" s="18" t="str">
        <f aca="false">IFERROR(INDEX(종합!E$3:E$501,MATCH(ROW()-2,종합!$AE$3:$AE$501,0))&amp;"","")</f>
        <v/>
      </c>
      <c r="F105" s="18" t="str">
        <f aca="false">IFERROR(INDEX(종합!F$3:F$501,MATCH(ROW()-2,종합!$AE$3:$AE$501,0))&amp;"","")</f>
        <v/>
      </c>
      <c r="G105" s="18" t="str">
        <f aca="false">IFERROR(INDEX(종합!G$3:G$501,MATCH(ROW()-2,종합!$AE$3:$AE$501,0))&amp;"","")</f>
        <v/>
      </c>
      <c r="H105" s="21" t="str">
        <f aca="false">IFERROR(INDEX(종합!H$3:H$501,MATCH(ROW()-2,종합!$AE$3:$AE$501,0))&amp;"","")</f>
        <v/>
      </c>
      <c r="I105" s="21" t="str">
        <f aca="false">IFERROR(INDEX(종합!I$3:I$501,MATCH(ROW()-2,종합!$AE$3:$AE$501,0))&amp;"","")</f>
        <v/>
      </c>
      <c r="J105" s="21" t="str">
        <f aca="false">IFERROR(INDEX(종합!J$3:J$501,MATCH(ROW()-2,종합!$AE$3:$AE$501,0))&amp;"","")</f>
        <v/>
      </c>
      <c r="K105" s="21" t="str">
        <f aca="false">IFERROR(INDEX(종합!K$3:K$501,MATCH(ROW()-2,종합!$AE$3:$AE$501,0))&amp;"","")</f>
        <v/>
      </c>
      <c r="L105" s="21" t="str">
        <f aca="false">IFERROR(INDEX(종합!L$3:L$501,MATCH(ROW()-2,종합!$AE$3:$AE$501,0))&amp;"","")</f>
        <v/>
      </c>
      <c r="M105" s="21" t="str">
        <f aca="false">IFERROR(INDEX(종합!M$3:M$501,MATCH(ROW()-2,종합!$AE$3:$AE$501,0))&amp;"","")</f>
        <v/>
      </c>
      <c r="N105" s="25" t="str">
        <f aca="false">IFERROR(INDEX(종합!N$3:N$501,MATCH(ROW()-2,종합!$AE$3:$AE$501,0))&amp;"","")</f>
        <v/>
      </c>
      <c r="O105" s="21" t="str">
        <f aca="false">IFERROR(INDEX(종합!O$3:O$501,MATCH(ROW()-2,종합!$AE$3:$AE$501,0))&amp;"","")</f>
        <v/>
      </c>
      <c r="P105" s="21" t="str">
        <f aca="false">IFERROR(INDEX(종합!P$3:P$501,MATCH(ROW()-2,종합!$AE$3:$AE$501,0))&amp;"","")</f>
        <v/>
      </c>
      <c r="Q105" s="21" t="str">
        <f aca="false">IFERROR(INDEX(종합!Q$3:Q$501,MATCH(ROW()-2,종합!$AE$3:$AE$501,0))&amp;"","")</f>
        <v/>
      </c>
      <c r="R105" s="21" t="str">
        <f aca="false">IFERROR(INDEX(종합!R$3:R$501,MATCH(ROW()-2,종합!$AE$3:$AE$501,0))&amp;"","")</f>
        <v/>
      </c>
      <c r="S105" s="21" t="str">
        <f aca="false">IFERROR(INDEX(종합!S$3:S$501,MATCH(ROW()-2,종합!$AE$3:$AE$501,0))&amp;"","")</f>
        <v/>
      </c>
      <c r="T105" s="21" t="str">
        <f aca="false">IFERROR(INDEX(종합!T$3:T$501,MATCH(ROW()-2,종합!$AE$3:$AE$501,0))&amp;"","")</f>
        <v/>
      </c>
      <c r="U105" s="21" t="str">
        <f aca="false">IFERROR(INDEX(종합!U$3:U$501,MATCH(ROW()-2,종합!$AE$3:$AE$501,0))&amp;"","")</f>
        <v/>
      </c>
      <c r="V105" s="21" t="str">
        <f aca="false">IFERROR(INDEX(종합!V$3:V$501,MATCH(ROW()-2,종합!$AE$3:$AE$501,0))&amp;"","")</f>
        <v/>
      </c>
      <c r="W105" s="21" t="str">
        <f aca="false">IFERROR(INDEX(종합!W$3:W$501,MATCH(ROW()-2,종합!$AE$3:$AE$501,0))&amp;"","")</f>
        <v/>
      </c>
      <c r="X105" s="21" t="str">
        <f aca="false">IFERROR(INDEX(종합!X$3:X$501,MATCH(ROW()-2,종합!$AE$3:$AE$501,0))&amp;"","")</f>
        <v/>
      </c>
      <c r="Y105" s="21" t="str">
        <f aca="false">IFERROR(INDEX(종합!Y$3:Y$501,MATCH(ROW()-2,종합!$AE$3:$AE$501,0))&amp;"","")</f>
        <v/>
      </c>
      <c r="Z105" s="21" t="str">
        <f aca="false">IFERROR(INDEX(종합!Z$3:Z$501,MATCH(ROW()-2,종합!$AE$3:$AE$501,0))&amp;"","")</f>
        <v/>
      </c>
    </row>
    <row r="106" customFormat="false" ht="16.5" hidden="false" customHeight="true" outlineLevel="0" collapsed="false">
      <c r="A106" s="18" t="str">
        <f aca="false">IF(B106="","",ROW()-2)</f>
        <v/>
      </c>
      <c r="B106" s="18" t="str">
        <f aca="false">IFERROR(INDEX(종합!B$3:B$501,MATCH(ROW()-2,종합!$AE$3:$AE$501,0))&amp;"","")</f>
        <v/>
      </c>
      <c r="C106" s="18" t="str">
        <f aca="false">IFERROR(INDEX(종합!C$3:C$501,MATCH(ROW()-2,종합!$AE$3:$AE$501,0))&amp;"","")</f>
        <v/>
      </c>
      <c r="D106" s="18" t="str">
        <f aca="false">IFERROR(INDEX(종합!D$3:D$501,MATCH(ROW()-2,종합!$AE$3:$AE$501,0))&amp;"","")</f>
        <v/>
      </c>
      <c r="E106" s="18" t="str">
        <f aca="false">IFERROR(INDEX(종합!E$3:E$501,MATCH(ROW()-2,종합!$AE$3:$AE$501,0))&amp;"","")</f>
        <v/>
      </c>
      <c r="F106" s="18" t="str">
        <f aca="false">IFERROR(INDEX(종합!F$3:F$501,MATCH(ROW()-2,종합!$AE$3:$AE$501,0))&amp;"","")</f>
        <v/>
      </c>
      <c r="G106" s="18" t="str">
        <f aca="false">IFERROR(INDEX(종합!G$3:G$501,MATCH(ROW()-2,종합!$AE$3:$AE$501,0))&amp;"","")</f>
        <v/>
      </c>
      <c r="H106" s="21" t="str">
        <f aca="false">IFERROR(INDEX(종합!H$3:H$501,MATCH(ROW()-2,종합!$AE$3:$AE$501,0))&amp;"","")</f>
        <v/>
      </c>
      <c r="I106" s="21" t="str">
        <f aca="false">IFERROR(INDEX(종합!I$3:I$501,MATCH(ROW()-2,종합!$AE$3:$AE$501,0))&amp;"","")</f>
        <v/>
      </c>
      <c r="J106" s="21" t="str">
        <f aca="false">IFERROR(INDEX(종합!J$3:J$501,MATCH(ROW()-2,종합!$AE$3:$AE$501,0))&amp;"","")</f>
        <v/>
      </c>
      <c r="K106" s="21" t="str">
        <f aca="false">IFERROR(INDEX(종합!K$3:K$501,MATCH(ROW()-2,종합!$AE$3:$AE$501,0))&amp;"","")</f>
        <v/>
      </c>
      <c r="L106" s="21" t="str">
        <f aca="false">IFERROR(INDEX(종합!L$3:L$501,MATCH(ROW()-2,종합!$AE$3:$AE$501,0))&amp;"","")</f>
        <v/>
      </c>
      <c r="M106" s="21" t="str">
        <f aca="false">IFERROR(INDEX(종합!M$3:M$501,MATCH(ROW()-2,종합!$AE$3:$AE$501,0))&amp;"","")</f>
        <v/>
      </c>
      <c r="N106" s="25" t="str">
        <f aca="false">IFERROR(INDEX(종합!N$3:N$501,MATCH(ROW()-2,종합!$AE$3:$AE$501,0))&amp;"","")</f>
        <v/>
      </c>
      <c r="O106" s="21" t="str">
        <f aca="false">IFERROR(INDEX(종합!O$3:O$501,MATCH(ROW()-2,종합!$AE$3:$AE$501,0))&amp;"","")</f>
        <v/>
      </c>
      <c r="P106" s="21" t="str">
        <f aca="false">IFERROR(INDEX(종합!P$3:P$501,MATCH(ROW()-2,종합!$AE$3:$AE$501,0))&amp;"","")</f>
        <v/>
      </c>
      <c r="Q106" s="21" t="str">
        <f aca="false">IFERROR(INDEX(종합!Q$3:Q$501,MATCH(ROW()-2,종합!$AE$3:$AE$501,0))&amp;"","")</f>
        <v/>
      </c>
      <c r="R106" s="21" t="str">
        <f aca="false">IFERROR(INDEX(종합!R$3:R$501,MATCH(ROW()-2,종합!$AE$3:$AE$501,0))&amp;"","")</f>
        <v/>
      </c>
      <c r="S106" s="21" t="str">
        <f aca="false">IFERROR(INDEX(종합!S$3:S$501,MATCH(ROW()-2,종합!$AE$3:$AE$501,0))&amp;"","")</f>
        <v/>
      </c>
      <c r="T106" s="21" t="str">
        <f aca="false">IFERROR(INDEX(종합!T$3:T$501,MATCH(ROW()-2,종합!$AE$3:$AE$501,0))&amp;"","")</f>
        <v/>
      </c>
      <c r="U106" s="21" t="str">
        <f aca="false">IFERROR(INDEX(종합!U$3:U$501,MATCH(ROW()-2,종합!$AE$3:$AE$501,0))&amp;"","")</f>
        <v/>
      </c>
      <c r="V106" s="21" t="str">
        <f aca="false">IFERROR(INDEX(종합!V$3:V$501,MATCH(ROW()-2,종합!$AE$3:$AE$501,0))&amp;"","")</f>
        <v/>
      </c>
      <c r="W106" s="21" t="str">
        <f aca="false">IFERROR(INDEX(종합!W$3:W$501,MATCH(ROW()-2,종합!$AE$3:$AE$501,0))&amp;"","")</f>
        <v/>
      </c>
      <c r="X106" s="21" t="str">
        <f aca="false">IFERROR(INDEX(종합!X$3:X$501,MATCH(ROW()-2,종합!$AE$3:$AE$501,0))&amp;"","")</f>
        <v/>
      </c>
      <c r="Y106" s="21" t="str">
        <f aca="false">IFERROR(INDEX(종합!Y$3:Y$501,MATCH(ROW()-2,종합!$AE$3:$AE$501,0))&amp;"","")</f>
        <v/>
      </c>
      <c r="Z106" s="21" t="str">
        <f aca="false">IFERROR(INDEX(종합!Z$3:Z$501,MATCH(ROW()-2,종합!$AE$3:$AE$501,0))&amp;"","")</f>
        <v/>
      </c>
    </row>
    <row r="107" customFormat="false" ht="16.5" hidden="false" customHeight="true" outlineLevel="0" collapsed="false">
      <c r="A107" s="18" t="str">
        <f aca="false">IF(B107="","",ROW()-2)</f>
        <v/>
      </c>
      <c r="B107" s="18" t="str">
        <f aca="false">IFERROR(INDEX(종합!B$3:B$501,MATCH(ROW()-2,종합!$AE$3:$AE$501,0))&amp;"","")</f>
        <v/>
      </c>
      <c r="C107" s="18" t="str">
        <f aca="false">IFERROR(INDEX(종합!C$3:C$501,MATCH(ROW()-2,종합!$AE$3:$AE$501,0))&amp;"","")</f>
        <v/>
      </c>
      <c r="D107" s="18" t="str">
        <f aca="false">IFERROR(INDEX(종합!D$3:D$501,MATCH(ROW()-2,종합!$AE$3:$AE$501,0))&amp;"","")</f>
        <v/>
      </c>
      <c r="E107" s="18" t="str">
        <f aca="false">IFERROR(INDEX(종합!E$3:E$501,MATCH(ROW()-2,종합!$AE$3:$AE$501,0))&amp;"","")</f>
        <v/>
      </c>
      <c r="F107" s="18" t="str">
        <f aca="false">IFERROR(INDEX(종합!F$3:F$501,MATCH(ROW()-2,종합!$AE$3:$AE$501,0))&amp;"","")</f>
        <v/>
      </c>
      <c r="G107" s="18" t="str">
        <f aca="false">IFERROR(INDEX(종합!G$3:G$501,MATCH(ROW()-2,종합!$AE$3:$AE$501,0))&amp;"","")</f>
        <v/>
      </c>
      <c r="H107" s="21" t="str">
        <f aca="false">IFERROR(INDEX(종합!H$3:H$501,MATCH(ROW()-2,종합!$AE$3:$AE$501,0))&amp;"","")</f>
        <v/>
      </c>
      <c r="I107" s="21" t="str">
        <f aca="false">IFERROR(INDEX(종합!I$3:I$501,MATCH(ROW()-2,종합!$AE$3:$AE$501,0))&amp;"","")</f>
        <v/>
      </c>
      <c r="J107" s="21" t="str">
        <f aca="false">IFERROR(INDEX(종합!J$3:J$501,MATCH(ROW()-2,종합!$AE$3:$AE$501,0))&amp;"","")</f>
        <v/>
      </c>
      <c r="K107" s="21" t="str">
        <f aca="false">IFERROR(INDEX(종합!K$3:K$501,MATCH(ROW()-2,종합!$AE$3:$AE$501,0))&amp;"","")</f>
        <v/>
      </c>
      <c r="L107" s="21" t="str">
        <f aca="false">IFERROR(INDEX(종합!L$3:L$501,MATCH(ROW()-2,종합!$AE$3:$AE$501,0))&amp;"","")</f>
        <v/>
      </c>
      <c r="M107" s="21" t="str">
        <f aca="false">IFERROR(INDEX(종합!M$3:M$501,MATCH(ROW()-2,종합!$AE$3:$AE$501,0))&amp;"","")</f>
        <v/>
      </c>
      <c r="N107" s="25" t="str">
        <f aca="false">IFERROR(INDEX(종합!N$3:N$501,MATCH(ROW()-2,종합!$AE$3:$AE$501,0))&amp;"","")</f>
        <v/>
      </c>
      <c r="O107" s="21" t="str">
        <f aca="false">IFERROR(INDEX(종합!O$3:O$501,MATCH(ROW()-2,종합!$AE$3:$AE$501,0))&amp;"","")</f>
        <v/>
      </c>
      <c r="P107" s="21" t="str">
        <f aca="false">IFERROR(INDEX(종합!P$3:P$501,MATCH(ROW()-2,종합!$AE$3:$AE$501,0))&amp;"","")</f>
        <v/>
      </c>
      <c r="Q107" s="21" t="str">
        <f aca="false">IFERROR(INDEX(종합!Q$3:Q$501,MATCH(ROW()-2,종합!$AE$3:$AE$501,0))&amp;"","")</f>
        <v/>
      </c>
      <c r="R107" s="21" t="str">
        <f aca="false">IFERROR(INDEX(종합!R$3:R$501,MATCH(ROW()-2,종합!$AE$3:$AE$501,0))&amp;"","")</f>
        <v/>
      </c>
      <c r="S107" s="21" t="str">
        <f aca="false">IFERROR(INDEX(종합!S$3:S$501,MATCH(ROW()-2,종합!$AE$3:$AE$501,0))&amp;"","")</f>
        <v/>
      </c>
      <c r="T107" s="21" t="str">
        <f aca="false">IFERROR(INDEX(종합!T$3:T$501,MATCH(ROW()-2,종합!$AE$3:$AE$501,0))&amp;"","")</f>
        <v/>
      </c>
      <c r="U107" s="21" t="str">
        <f aca="false">IFERROR(INDEX(종합!U$3:U$501,MATCH(ROW()-2,종합!$AE$3:$AE$501,0))&amp;"","")</f>
        <v/>
      </c>
      <c r="V107" s="21" t="str">
        <f aca="false">IFERROR(INDEX(종합!V$3:V$501,MATCH(ROW()-2,종합!$AE$3:$AE$501,0))&amp;"","")</f>
        <v/>
      </c>
      <c r="W107" s="21" t="str">
        <f aca="false">IFERROR(INDEX(종합!W$3:W$501,MATCH(ROW()-2,종합!$AE$3:$AE$501,0))&amp;"","")</f>
        <v/>
      </c>
      <c r="X107" s="21" t="str">
        <f aca="false">IFERROR(INDEX(종합!X$3:X$501,MATCH(ROW()-2,종합!$AE$3:$AE$501,0))&amp;"","")</f>
        <v/>
      </c>
      <c r="Y107" s="21" t="str">
        <f aca="false">IFERROR(INDEX(종합!Y$3:Y$501,MATCH(ROW()-2,종합!$AE$3:$AE$501,0))&amp;"","")</f>
        <v/>
      </c>
      <c r="Z107" s="21" t="str">
        <f aca="false">IFERROR(INDEX(종합!Z$3:Z$501,MATCH(ROW()-2,종합!$AE$3:$AE$501,0))&amp;"","")</f>
        <v/>
      </c>
    </row>
    <row r="108" customFormat="false" ht="16.5" hidden="false" customHeight="true" outlineLevel="0" collapsed="false">
      <c r="A108" s="18" t="str">
        <f aca="false">IF(B108="","",ROW()-2)</f>
        <v/>
      </c>
      <c r="B108" s="18" t="str">
        <f aca="false">IFERROR(INDEX(종합!B$3:B$501,MATCH(ROW()-2,종합!$AE$3:$AE$501,0))&amp;"","")</f>
        <v/>
      </c>
      <c r="C108" s="18" t="str">
        <f aca="false">IFERROR(INDEX(종합!C$3:C$501,MATCH(ROW()-2,종합!$AE$3:$AE$501,0))&amp;"","")</f>
        <v/>
      </c>
      <c r="D108" s="18" t="str">
        <f aca="false">IFERROR(INDEX(종합!D$3:D$501,MATCH(ROW()-2,종합!$AE$3:$AE$501,0))&amp;"","")</f>
        <v/>
      </c>
      <c r="E108" s="18" t="str">
        <f aca="false">IFERROR(INDEX(종합!E$3:E$501,MATCH(ROW()-2,종합!$AE$3:$AE$501,0))&amp;"","")</f>
        <v/>
      </c>
      <c r="F108" s="18" t="str">
        <f aca="false">IFERROR(INDEX(종합!F$3:F$501,MATCH(ROW()-2,종합!$AE$3:$AE$501,0))&amp;"","")</f>
        <v/>
      </c>
      <c r="G108" s="18" t="str">
        <f aca="false">IFERROR(INDEX(종합!G$3:G$501,MATCH(ROW()-2,종합!$AE$3:$AE$501,0))&amp;"","")</f>
        <v/>
      </c>
      <c r="H108" s="21" t="str">
        <f aca="false">IFERROR(INDEX(종합!H$3:H$501,MATCH(ROW()-2,종합!$AE$3:$AE$501,0))&amp;"","")</f>
        <v/>
      </c>
      <c r="I108" s="21" t="str">
        <f aca="false">IFERROR(INDEX(종합!I$3:I$501,MATCH(ROW()-2,종합!$AE$3:$AE$501,0))&amp;"","")</f>
        <v/>
      </c>
      <c r="J108" s="21" t="str">
        <f aca="false">IFERROR(INDEX(종합!J$3:J$501,MATCH(ROW()-2,종합!$AE$3:$AE$501,0))&amp;"","")</f>
        <v/>
      </c>
      <c r="K108" s="21" t="str">
        <f aca="false">IFERROR(INDEX(종합!K$3:K$501,MATCH(ROW()-2,종합!$AE$3:$AE$501,0))&amp;"","")</f>
        <v/>
      </c>
      <c r="L108" s="21" t="str">
        <f aca="false">IFERROR(INDEX(종합!L$3:L$501,MATCH(ROW()-2,종합!$AE$3:$AE$501,0))&amp;"","")</f>
        <v/>
      </c>
      <c r="M108" s="21" t="str">
        <f aca="false">IFERROR(INDEX(종합!M$3:M$501,MATCH(ROW()-2,종합!$AE$3:$AE$501,0))&amp;"","")</f>
        <v/>
      </c>
      <c r="N108" s="25" t="str">
        <f aca="false">IFERROR(INDEX(종합!N$3:N$501,MATCH(ROW()-2,종합!$AE$3:$AE$501,0))&amp;"","")</f>
        <v/>
      </c>
      <c r="O108" s="21" t="str">
        <f aca="false">IFERROR(INDEX(종합!O$3:O$501,MATCH(ROW()-2,종합!$AE$3:$AE$501,0))&amp;"","")</f>
        <v/>
      </c>
      <c r="P108" s="21" t="str">
        <f aca="false">IFERROR(INDEX(종합!P$3:P$501,MATCH(ROW()-2,종합!$AE$3:$AE$501,0))&amp;"","")</f>
        <v/>
      </c>
      <c r="Q108" s="21" t="str">
        <f aca="false">IFERROR(INDEX(종합!Q$3:Q$501,MATCH(ROW()-2,종합!$AE$3:$AE$501,0))&amp;"","")</f>
        <v/>
      </c>
      <c r="R108" s="21" t="str">
        <f aca="false">IFERROR(INDEX(종합!R$3:R$501,MATCH(ROW()-2,종합!$AE$3:$AE$501,0))&amp;"","")</f>
        <v/>
      </c>
      <c r="S108" s="21" t="str">
        <f aca="false">IFERROR(INDEX(종합!S$3:S$501,MATCH(ROW()-2,종합!$AE$3:$AE$501,0))&amp;"","")</f>
        <v/>
      </c>
      <c r="T108" s="21" t="str">
        <f aca="false">IFERROR(INDEX(종합!T$3:T$501,MATCH(ROW()-2,종합!$AE$3:$AE$501,0))&amp;"","")</f>
        <v/>
      </c>
      <c r="U108" s="21" t="str">
        <f aca="false">IFERROR(INDEX(종합!U$3:U$501,MATCH(ROW()-2,종합!$AE$3:$AE$501,0))&amp;"","")</f>
        <v/>
      </c>
      <c r="V108" s="21" t="str">
        <f aca="false">IFERROR(INDEX(종합!V$3:V$501,MATCH(ROW()-2,종합!$AE$3:$AE$501,0))&amp;"","")</f>
        <v/>
      </c>
      <c r="W108" s="21" t="str">
        <f aca="false">IFERROR(INDEX(종합!W$3:W$501,MATCH(ROW()-2,종합!$AE$3:$AE$501,0))&amp;"","")</f>
        <v/>
      </c>
      <c r="X108" s="21" t="str">
        <f aca="false">IFERROR(INDEX(종합!X$3:X$501,MATCH(ROW()-2,종합!$AE$3:$AE$501,0))&amp;"","")</f>
        <v/>
      </c>
      <c r="Y108" s="21" t="str">
        <f aca="false">IFERROR(INDEX(종합!Y$3:Y$501,MATCH(ROW()-2,종합!$AE$3:$AE$501,0))&amp;"","")</f>
        <v/>
      </c>
      <c r="Z108" s="21" t="str">
        <f aca="false">IFERROR(INDEX(종합!Z$3:Z$501,MATCH(ROW()-2,종합!$AE$3:$AE$501,0))&amp;"","")</f>
        <v/>
      </c>
    </row>
    <row r="109" customFormat="false" ht="16.5" hidden="false" customHeight="true" outlineLevel="0" collapsed="false">
      <c r="A109" s="18" t="str">
        <f aca="false">IF(B109="","",ROW()-2)</f>
        <v/>
      </c>
      <c r="B109" s="18" t="str">
        <f aca="false">IFERROR(INDEX(종합!B$3:B$501,MATCH(ROW()-2,종합!$AE$3:$AE$501,0))&amp;"","")</f>
        <v/>
      </c>
      <c r="C109" s="18" t="str">
        <f aca="false">IFERROR(INDEX(종합!C$3:C$501,MATCH(ROW()-2,종합!$AE$3:$AE$501,0))&amp;"","")</f>
        <v/>
      </c>
      <c r="D109" s="18" t="str">
        <f aca="false">IFERROR(INDEX(종합!D$3:D$501,MATCH(ROW()-2,종합!$AE$3:$AE$501,0))&amp;"","")</f>
        <v/>
      </c>
      <c r="E109" s="18" t="str">
        <f aca="false">IFERROR(INDEX(종합!E$3:E$501,MATCH(ROW()-2,종합!$AE$3:$AE$501,0))&amp;"","")</f>
        <v/>
      </c>
      <c r="F109" s="18" t="str">
        <f aca="false">IFERROR(INDEX(종합!F$3:F$501,MATCH(ROW()-2,종합!$AE$3:$AE$501,0))&amp;"","")</f>
        <v/>
      </c>
      <c r="G109" s="18" t="str">
        <f aca="false">IFERROR(INDEX(종합!G$3:G$501,MATCH(ROW()-2,종합!$AE$3:$AE$501,0))&amp;"","")</f>
        <v/>
      </c>
      <c r="H109" s="21" t="str">
        <f aca="false">IFERROR(INDEX(종합!H$3:H$501,MATCH(ROW()-2,종합!$AE$3:$AE$501,0))&amp;"","")</f>
        <v/>
      </c>
      <c r="I109" s="21" t="str">
        <f aca="false">IFERROR(INDEX(종합!I$3:I$501,MATCH(ROW()-2,종합!$AE$3:$AE$501,0))&amp;"","")</f>
        <v/>
      </c>
      <c r="J109" s="21" t="str">
        <f aca="false">IFERROR(INDEX(종합!J$3:J$501,MATCH(ROW()-2,종합!$AE$3:$AE$501,0))&amp;"","")</f>
        <v/>
      </c>
      <c r="K109" s="21" t="str">
        <f aca="false">IFERROR(INDEX(종합!K$3:K$501,MATCH(ROW()-2,종합!$AE$3:$AE$501,0))&amp;"","")</f>
        <v/>
      </c>
      <c r="L109" s="21" t="str">
        <f aca="false">IFERROR(INDEX(종합!L$3:L$501,MATCH(ROW()-2,종합!$AE$3:$AE$501,0))&amp;"","")</f>
        <v/>
      </c>
      <c r="M109" s="21" t="str">
        <f aca="false">IFERROR(INDEX(종합!M$3:M$501,MATCH(ROW()-2,종합!$AE$3:$AE$501,0))&amp;"","")</f>
        <v/>
      </c>
      <c r="N109" s="25" t="str">
        <f aca="false">IFERROR(INDEX(종합!N$3:N$501,MATCH(ROW()-2,종합!$AE$3:$AE$501,0))&amp;"","")</f>
        <v/>
      </c>
      <c r="O109" s="21" t="str">
        <f aca="false">IFERROR(INDEX(종합!O$3:O$501,MATCH(ROW()-2,종합!$AE$3:$AE$501,0))&amp;"","")</f>
        <v/>
      </c>
      <c r="P109" s="21" t="str">
        <f aca="false">IFERROR(INDEX(종합!P$3:P$501,MATCH(ROW()-2,종합!$AE$3:$AE$501,0))&amp;"","")</f>
        <v/>
      </c>
      <c r="Q109" s="21" t="str">
        <f aca="false">IFERROR(INDEX(종합!Q$3:Q$501,MATCH(ROW()-2,종합!$AE$3:$AE$501,0))&amp;"","")</f>
        <v/>
      </c>
      <c r="R109" s="21" t="str">
        <f aca="false">IFERROR(INDEX(종합!R$3:R$501,MATCH(ROW()-2,종합!$AE$3:$AE$501,0))&amp;"","")</f>
        <v/>
      </c>
      <c r="S109" s="21" t="str">
        <f aca="false">IFERROR(INDEX(종합!S$3:S$501,MATCH(ROW()-2,종합!$AE$3:$AE$501,0))&amp;"","")</f>
        <v/>
      </c>
      <c r="T109" s="21" t="str">
        <f aca="false">IFERROR(INDEX(종합!T$3:T$501,MATCH(ROW()-2,종합!$AE$3:$AE$501,0))&amp;"","")</f>
        <v/>
      </c>
      <c r="U109" s="21" t="str">
        <f aca="false">IFERROR(INDEX(종합!U$3:U$501,MATCH(ROW()-2,종합!$AE$3:$AE$501,0))&amp;"","")</f>
        <v/>
      </c>
      <c r="V109" s="21" t="str">
        <f aca="false">IFERROR(INDEX(종합!V$3:V$501,MATCH(ROW()-2,종합!$AE$3:$AE$501,0))&amp;"","")</f>
        <v/>
      </c>
      <c r="W109" s="21" t="str">
        <f aca="false">IFERROR(INDEX(종합!W$3:W$501,MATCH(ROW()-2,종합!$AE$3:$AE$501,0))&amp;"","")</f>
        <v/>
      </c>
      <c r="X109" s="21" t="str">
        <f aca="false">IFERROR(INDEX(종합!X$3:X$501,MATCH(ROW()-2,종합!$AE$3:$AE$501,0))&amp;"","")</f>
        <v/>
      </c>
      <c r="Y109" s="21" t="str">
        <f aca="false">IFERROR(INDEX(종합!Y$3:Y$501,MATCH(ROW()-2,종합!$AE$3:$AE$501,0))&amp;"","")</f>
        <v/>
      </c>
      <c r="Z109" s="21" t="str">
        <f aca="false">IFERROR(INDEX(종합!Z$3:Z$501,MATCH(ROW()-2,종합!$AE$3:$AE$501,0))&amp;"","")</f>
        <v/>
      </c>
    </row>
    <row r="110" customFormat="false" ht="16.5" hidden="false" customHeight="true" outlineLevel="0" collapsed="false">
      <c r="A110" s="18" t="str">
        <f aca="false">IF(B110="","",ROW()-2)</f>
        <v/>
      </c>
      <c r="B110" s="18" t="str">
        <f aca="false">IFERROR(INDEX(종합!B$3:B$501,MATCH(ROW()-2,종합!$AE$3:$AE$501,0))&amp;"","")</f>
        <v/>
      </c>
      <c r="C110" s="18" t="str">
        <f aca="false">IFERROR(INDEX(종합!C$3:C$501,MATCH(ROW()-2,종합!$AE$3:$AE$501,0))&amp;"","")</f>
        <v/>
      </c>
      <c r="D110" s="18" t="str">
        <f aca="false">IFERROR(INDEX(종합!D$3:D$501,MATCH(ROW()-2,종합!$AE$3:$AE$501,0))&amp;"","")</f>
        <v/>
      </c>
      <c r="E110" s="18" t="str">
        <f aca="false">IFERROR(INDEX(종합!E$3:E$501,MATCH(ROW()-2,종합!$AE$3:$AE$501,0))&amp;"","")</f>
        <v/>
      </c>
      <c r="F110" s="18" t="str">
        <f aca="false">IFERROR(INDEX(종합!F$3:F$501,MATCH(ROW()-2,종합!$AE$3:$AE$501,0))&amp;"","")</f>
        <v/>
      </c>
      <c r="G110" s="18" t="str">
        <f aca="false">IFERROR(INDEX(종합!G$3:G$501,MATCH(ROW()-2,종합!$AE$3:$AE$501,0))&amp;"","")</f>
        <v/>
      </c>
      <c r="H110" s="21" t="str">
        <f aca="false">IFERROR(INDEX(종합!H$3:H$501,MATCH(ROW()-2,종합!$AE$3:$AE$501,0))&amp;"","")</f>
        <v/>
      </c>
      <c r="I110" s="21" t="str">
        <f aca="false">IFERROR(INDEX(종합!I$3:I$501,MATCH(ROW()-2,종합!$AE$3:$AE$501,0))&amp;"","")</f>
        <v/>
      </c>
      <c r="J110" s="21" t="str">
        <f aca="false">IFERROR(INDEX(종합!J$3:J$501,MATCH(ROW()-2,종합!$AE$3:$AE$501,0))&amp;"","")</f>
        <v/>
      </c>
      <c r="K110" s="21" t="str">
        <f aca="false">IFERROR(INDEX(종합!K$3:K$501,MATCH(ROW()-2,종합!$AE$3:$AE$501,0))&amp;"","")</f>
        <v/>
      </c>
      <c r="L110" s="21" t="str">
        <f aca="false">IFERROR(INDEX(종합!L$3:L$501,MATCH(ROW()-2,종합!$AE$3:$AE$501,0))&amp;"","")</f>
        <v/>
      </c>
      <c r="M110" s="21" t="str">
        <f aca="false">IFERROR(INDEX(종합!M$3:M$501,MATCH(ROW()-2,종합!$AE$3:$AE$501,0))&amp;"","")</f>
        <v/>
      </c>
      <c r="N110" s="25" t="str">
        <f aca="false">IFERROR(INDEX(종합!N$3:N$501,MATCH(ROW()-2,종합!$AE$3:$AE$501,0))&amp;"","")</f>
        <v/>
      </c>
      <c r="O110" s="21" t="str">
        <f aca="false">IFERROR(INDEX(종합!O$3:O$501,MATCH(ROW()-2,종합!$AE$3:$AE$501,0))&amp;"","")</f>
        <v/>
      </c>
      <c r="P110" s="21" t="str">
        <f aca="false">IFERROR(INDEX(종합!P$3:P$501,MATCH(ROW()-2,종합!$AE$3:$AE$501,0))&amp;"","")</f>
        <v/>
      </c>
      <c r="Q110" s="21" t="str">
        <f aca="false">IFERROR(INDEX(종합!Q$3:Q$501,MATCH(ROW()-2,종합!$AE$3:$AE$501,0))&amp;"","")</f>
        <v/>
      </c>
      <c r="R110" s="21" t="str">
        <f aca="false">IFERROR(INDEX(종합!R$3:R$501,MATCH(ROW()-2,종합!$AE$3:$AE$501,0))&amp;"","")</f>
        <v/>
      </c>
      <c r="S110" s="21" t="str">
        <f aca="false">IFERROR(INDEX(종합!S$3:S$501,MATCH(ROW()-2,종합!$AE$3:$AE$501,0))&amp;"","")</f>
        <v/>
      </c>
      <c r="T110" s="21" t="str">
        <f aca="false">IFERROR(INDEX(종합!T$3:T$501,MATCH(ROW()-2,종합!$AE$3:$AE$501,0))&amp;"","")</f>
        <v/>
      </c>
      <c r="U110" s="21" t="str">
        <f aca="false">IFERROR(INDEX(종합!U$3:U$501,MATCH(ROW()-2,종합!$AE$3:$AE$501,0))&amp;"","")</f>
        <v/>
      </c>
      <c r="V110" s="21" t="str">
        <f aca="false">IFERROR(INDEX(종합!V$3:V$501,MATCH(ROW()-2,종합!$AE$3:$AE$501,0))&amp;"","")</f>
        <v/>
      </c>
      <c r="W110" s="21" t="str">
        <f aca="false">IFERROR(INDEX(종합!W$3:W$501,MATCH(ROW()-2,종합!$AE$3:$AE$501,0))&amp;"","")</f>
        <v/>
      </c>
      <c r="X110" s="21" t="str">
        <f aca="false">IFERROR(INDEX(종합!X$3:X$501,MATCH(ROW()-2,종합!$AE$3:$AE$501,0))&amp;"","")</f>
        <v/>
      </c>
      <c r="Y110" s="21" t="str">
        <f aca="false">IFERROR(INDEX(종합!Y$3:Y$501,MATCH(ROW()-2,종합!$AE$3:$AE$501,0))&amp;"","")</f>
        <v/>
      </c>
      <c r="Z110" s="21" t="str">
        <f aca="false">IFERROR(INDEX(종합!Z$3:Z$501,MATCH(ROW()-2,종합!$AE$3:$AE$501,0))&amp;"","")</f>
        <v/>
      </c>
    </row>
    <row r="111" customFormat="false" ht="16.5" hidden="false" customHeight="true" outlineLevel="0" collapsed="false">
      <c r="A111" s="18" t="str">
        <f aca="false">IF(B111="","",ROW()-2)</f>
        <v/>
      </c>
      <c r="B111" s="18" t="str">
        <f aca="false">IFERROR(INDEX(종합!B$3:B$501,MATCH(ROW()-2,종합!$AE$3:$AE$501,0))&amp;"","")</f>
        <v/>
      </c>
      <c r="C111" s="18" t="str">
        <f aca="false">IFERROR(INDEX(종합!C$3:C$501,MATCH(ROW()-2,종합!$AE$3:$AE$501,0))&amp;"","")</f>
        <v/>
      </c>
      <c r="D111" s="18" t="str">
        <f aca="false">IFERROR(INDEX(종합!D$3:D$501,MATCH(ROW()-2,종합!$AE$3:$AE$501,0))&amp;"","")</f>
        <v/>
      </c>
      <c r="E111" s="18" t="str">
        <f aca="false">IFERROR(INDEX(종합!E$3:E$501,MATCH(ROW()-2,종합!$AE$3:$AE$501,0))&amp;"","")</f>
        <v/>
      </c>
      <c r="F111" s="18" t="str">
        <f aca="false">IFERROR(INDEX(종합!F$3:F$501,MATCH(ROW()-2,종합!$AE$3:$AE$501,0))&amp;"","")</f>
        <v/>
      </c>
      <c r="G111" s="18" t="str">
        <f aca="false">IFERROR(INDEX(종합!G$3:G$501,MATCH(ROW()-2,종합!$AE$3:$AE$501,0))&amp;"","")</f>
        <v/>
      </c>
      <c r="H111" s="21" t="str">
        <f aca="false">IFERROR(INDEX(종합!H$3:H$501,MATCH(ROW()-2,종합!$AE$3:$AE$501,0))&amp;"","")</f>
        <v/>
      </c>
      <c r="I111" s="21" t="str">
        <f aca="false">IFERROR(INDEX(종합!I$3:I$501,MATCH(ROW()-2,종합!$AE$3:$AE$501,0))&amp;"","")</f>
        <v/>
      </c>
      <c r="J111" s="21" t="str">
        <f aca="false">IFERROR(INDEX(종합!J$3:J$501,MATCH(ROW()-2,종합!$AE$3:$AE$501,0))&amp;"","")</f>
        <v/>
      </c>
      <c r="K111" s="21" t="str">
        <f aca="false">IFERROR(INDEX(종합!K$3:K$501,MATCH(ROW()-2,종합!$AE$3:$AE$501,0))&amp;"","")</f>
        <v/>
      </c>
      <c r="L111" s="21" t="str">
        <f aca="false">IFERROR(INDEX(종합!L$3:L$501,MATCH(ROW()-2,종합!$AE$3:$AE$501,0))&amp;"","")</f>
        <v/>
      </c>
      <c r="M111" s="21" t="str">
        <f aca="false">IFERROR(INDEX(종합!M$3:M$501,MATCH(ROW()-2,종합!$AE$3:$AE$501,0))&amp;"","")</f>
        <v/>
      </c>
      <c r="N111" s="25" t="str">
        <f aca="false">IFERROR(INDEX(종합!N$3:N$501,MATCH(ROW()-2,종합!$AE$3:$AE$501,0))&amp;"","")</f>
        <v/>
      </c>
      <c r="O111" s="21" t="str">
        <f aca="false">IFERROR(INDEX(종합!O$3:O$501,MATCH(ROW()-2,종합!$AE$3:$AE$501,0))&amp;"","")</f>
        <v/>
      </c>
      <c r="P111" s="21" t="str">
        <f aca="false">IFERROR(INDEX(종합!P$3:P$501,MATCH(ROW()-2,종합!$AE$3:$AE$501,0))&amp;"","")</f>
        <v/>
      </c>
      <c r="Q111" s="21" t="str">
        <f aca="false">IFERROR(INDEX(종합!Q$3:Q$501,MATCH(ROW()-2,종합!$AE$3:$AE$501,0))&amp;"","")</f>
        <v/>
      </c>
      <c r="R111" s="21" t="str">
        <f aca="false">IFERROR(INDEX(종합!R$3:R$501,MATCH(ROW()-2,종합!$AE$3:$AE$501,0))&amp;"","")</f>
        <v/>
      </c>
      <c r="S111" s="21" t="str">
        <f aca="false">IFERROR(INDEX(종합!S$3:S$501,MATCH(ROW()-2,종합!$AE$3:$AE$501,0))&amp;"","")</f>
        <v/>
      </c>
      <c r="T111" s="21" t="str">
        <f aca="false">IFERROR(INDEX(종합!T$3:T$501,MATCH(ROW()-2,종합!$AE$3:$AE$501,0))&amp;"","")</f>
        <v/>
      </c>
      <c r="U111" s="21" t="str">
        <f aca="false">IFERROR(INDEX(종합!U$3:U$501,MATCH(ROW()-2,종합!$AE$3:$AE$501,0))&amp;"","")</f>
        <v/>
      </c>
      <c r="V111" s="21" t="str">
        <f aca="false">IFERROR(INDEX(종합!V$3:V$501,MATCH(ROW()-2,종합!$AE$3:$AE$501,0))&amp;"","")</f>
        <v/>
      </c>
      <c r="W111" s="21" t="str">
        <f aca="false">IFERROR(INDEX(종합!W$3:W$501,MATCH(ROW()-2,종합!$AE$3:$AE$501,0))&amp;"","")</f>
        <v/>
      </c>
      <c r="X111" s="21" t="str">
        <f aca="false">IFERROR(INDEX(종합!X$3:X$501,MATCH(ROW()-2,종합!$AE$3:$AE$501,0))&amp;"","")</f>
        <v/>
      </c>
      <c r="Y111" s="21" t="str">
        <f aca="false">IFERROR(INDEX(종합!Y$3:Y$501,MATCH(ROW()-2,종합!$AE$3:$AE$501,0))&amp;"","")</f>
        <v/>
      </c>
      <c r="Z111" s="21" t="str">
        <f aca="false">IFERROR(INDEX(종합!Z$3:Z$501,MATCH(ROW()-2,종합!$AE$3:$AE$501,0))&amp;"","")</f>
        <v/>
      </c>
    </row>
    <row r="112" customFormat="false" ht="16.5" hidden="false" customHeight="true" outlineLevel="0" collapsed="false">
      <c r="A112" s="18" t="str">
        <f aca="false">IF(B112="","",ROW()-2)</f>
        <v/>
      </c>
      <c r="B112" s="18" t="str">
        <f aca="false">IFERROR(INDEX(종합!B$3:B$501,MATCH(ROW()-2,종합!$AE$3:$AE$501,0))&amp;"","")</f>
        <v/>
      </c>
      <c r="C112" s="18" t="str">
        <f aca="false">IFERROR(INDEX(종합!C$3:C$501,MATCH(ROW()-2,종합!$AE$3:$AE$501,0))&amp;"","")</f>
        <v/>
      </c>
      <c r="D112" s="18" t="str">
        <f aca="false">IFERROR(INDEX(종합!D$3:D$501,MATCH(ROW()-2,종합!$AE$3:$AE$501,0))&amp;"","")</f>
        <v/>
      </c>
      <c r="E112" s="18" t="str">
        <f aca="false">IFERROR(INDEX(종합!E$3:E$501,MATCH(ROW()-2,종합!$AE$3:$AE$501,0))&amp;"","")</f>
        <v/>
      </c>
      <c r="F112" s="18" t="str">
        <f aca="false">IFERROR(INDEX(종합!F$3:F$501,MATCH(ROW()-2,종합!$AE$3:$AE$501,0))&amp;"","")</f>
        <v/>
      </c>
      <c r="G112" s="18" t="str">
        <f aca="false">IFERROR(INDEX(종합!G$3:G$501,MATCH(ROW()-2,종합!$AE$3:$AE$501,0))&amp;"","")</f>
        <v/>
      </c>
      <c r="H112" s="21" t="str">
        <f aca="false">IFERROR(INDEX(종합!H$3:H$501,MATCH(ROW()-2,종합!$AE$3:$AE$501,0))&amp;"","")</f>
        <v/>
      </c>
      <c r="I112" s="21" t="str">
        <f aca="false">IFERROR(INDEX(종합!I$3:I$501,MATCH(ROW()-2,종합!$AE$3:$AE$501,0))&amp;"","")</f>
        <v/>
      </c>
      <c r="J112" s="21" t="str">
        <f aca="false">IFERROR(INDEX(종합!J$3:J$501,MATCH(ROW()-2,종합!$AE$3:$AE$501,0))&amp;"","")</f>
        <v/>
      </c>
      <c r="K112" s="21" t="str">
        <f aca="false">IFERROR(INDEX(종합!K$3:K$501,MATCH(ROW()-2,종합!$AE$3:$AE$501,0))&amp;"","")</f>
        <v/>
      </c>
      <c r="L112" s="21" t="str">
        <f aca="false">IFERROR(INDEX(종합!L$3:L$501,MATCH(ROW()-2,종합!$AE$3:$AE$501,0))&amp;"","")</f>
        <v/>
      </c>
      <c r="M112" s="21" t="str">
        <f aca="false">IFERROR(INDEX(종합!M$3:M$501,MATCH(ROW()-2,종합!$AE$3:$AE$501,0))&amp;"","")</f>
        <v/>
      </c>
      <c r="N112" s="25" t="str">
        <f aca="false">IFERROR(INDEX(종합!N$3:N$501,MATCH(ROW()-2,종합!$AE$3:$AE$501,0))&amp;"","")</f>
        <v/>
      </c>
      <c r="O112" s="21" t="str">
        <f aca="false">IFERROR(INDEX(종합!O$3:O$501,MATCH(ROW()-2,종합!$AE$3:$AE$501,0))&amp;"","")</f>
        <v/>
      </c>
      <c r="P112" s="21" t="str">
        <f aca="false">IFERROR(INDEX(종합!P$3:P$501,MATCH(ROW()-2,종합!$AE$3:$AE$501,0))&amp;"","")</f>
        <v/>
      </c>
      <c r="Q112" s="21" t="str">
        <f aca="false">IFERROR(INDEX(종합!Q$3:Q$501,MATCH(ROW()-2,종합!$AE$3:$AE$501,0))&amp;"","")</f>
        <v/>
      </c>
      <c r="R112" s="21" t="str">
        <f aca="false">IFERROR(INDEX(종합!R$3:R$501,MATCH(ROW()-2,종합!$AE$3:$AE$501,0))&amp;"","")</f>
        <v/>
      </c>
      <c r="S112" s="21" t="str">
        <f aca="false">IFERROR(INDEX(종합!S$3:S$501,MATCH(ROW()-2,종합!$AE$3:$AE$501,0))&amp;"","")</f>
        <v/>
      </c>
      <c r="T112" s="21" t="str">
        <f aca="false">IFERROR(INDEX(종합!T$3:T$501,MATCH(ROW()-2,종합!$AE$3:$AE$501,0))&amp;"","")</f>
        <v/>
      </c>
      <c r="U112" s="21" t="str">
        <f aca="false">IFERROR(INDEX(종합!U$3:U$501,MATCH(ROW()-2,종합!$AE$3:$AE$501,0))&amp;"","")</f>
        <v/>
      </c>
      <c r="V112" s="21" t="str">
        <f aca="false">IFERROR(INDEX(종합!V$3:V$501,MATCH(ROW()-2,종합!$AE$3:$AE$501,0))&amp;"","")</f>
        <v/>
      </c>
      <c r="W112" s="21" t="str">
        <f aca="false">IFERROR(INDEX(종합!W$3:W$501,MATCH(ROW()-2,종합!$AE$3:$AE$501,0))&amp;"","")</f>
        <v/>
      </c>
      <c r="X112" s="21" t="str">
        <f aca="false">IFERROR(INDEX(종합!X$3:X$501,MATCH(ROW()-2,종합!$AE$3:$AE$501,0))&amp;"","")</f>
        <v/>
      </c>
      <c r="Y112" s="21" t="str">
        <f aca="false">IFERROR(INDEX(종합!Y$3:Y$501,MATCH(ROW()-2,종합!$AE$3:$AE$501,0))&amp;"","")</f>
        <v/>
      </c>
      <c r="Z112" s="21" t="str">
        <f aca="false">IFERROR(INDEX(종합!Z$3:Z$501,MATCH(ROW()-2,종합!$AE$3:$AE$501,0))&amp;"","")</f>
        <v/>
      </c>
    </row>
    <row r="113" customFormat="false" ht="16.5" hidden="false" customHeight="true" outlineLevel="0" collapsed="false">
      <c r="A113" s="18" t="str">
        <f aca="false">IF(B113="","",ROW()-2)</f>
        <v/>
      </c>
      <c r="B113" s="18" t="str">
        <f aca="false">IFERROR(INDEX(종합!B$3:B$501,MATCH(ROW()-2,종합!$AE$3:$AE$501,0))&amp;"","")</f>
        <v/>
      </c>
      <c r="C113" s="18" t="str">
        <f aca="false">IFERROR(INDEX(종합!C$3:C$501,MATCH(ROW()-2,종합!$AE$3:$AE$501,0))&amp;"","")</f>
        <v/>
      </c>
      <c r="D113" s="18" t="str">
        <f aca="false">IFERROR(INDEX(종합!D$3:D$501,MATCH(ROW()-2,종합!$AE$3:$AE$501,0))&amp;"","")</f>
        <v/>
      </c>
      <c r="E113" s="18" t="str">
        <f aca="false">IFERROR(INDEX(종합!E$3:E$501,MATCH(ROW()-2,종합!$AE$3:$AE$501,0))&amp;"","")</f>
        <v/>
      </c>
      <c r="F113" s="18" t="str">
        <f aca="false">IFERROR(INDEX(종합!F$3:F$501,MATCH(ROW()-2,종합!$AE$3:$AE$501,0))&amp;"","")</f>
        <v/>
      </c>
      <c r="G113" s="18" t="str">
        <f aca="false">IFERROR(INDEX(종합!G$3:G$501,MATCH(ROW()-2,종합!$AE$3:$AE$501,0))&amp;"","")</f>
        <v/>
      </c>
      <c r="H113" s="21" t="str">
        <f aca="false">IFERROR(INDEX(종합!H$3:H$501,MATCH(ROW()-2,종합!$AE$3:$AE$501,0))&amp;"","")</f>
        <v/>
      </c>
      <c r="I113" s="21" t="str">
        <f aca="false">IFERROR(INDEX(종합!I$3:I$501,MATCH(ROW()-2,종합!$AE$3:$AE$501,0))&amp;"","")</f>
        <v/>
      </c>
      <c r="J113" s="21" t="str">
        <f aca="false">IFERROR(INDEX(종합!J$3:J$501,MATCH(ROW()-2,종합!$AE$3:$AE$501,0))&amp;"","")</f>
        <v/>
      </c>
      <c r="K113" s="21" t="str">
        <f aca="false">IFERROR(INDEX(종합!K$3:K$501,MATCH(ROW()-2,종합!$AE$3:$AE$501,0))&amp;"","")</f>
        <v/>
      </c>
      <c r="L113" s="21" t="str">
        <f aca="false">IFERROR(INDEX(종합!L$3:L$501,MATCH(ROW()-2,종합!$AE$3:$AE$501,0))&amp;"","")</f>
        <v/>
      </c>
      <c r="M113" s="21" t="str">
        <f aca="false">IFERROR(INDEX(종합!M$3:M$501,MATCH(ROW()-2,종합!$AE$3:$AE$501,0))&amp;"","")</f>
        <v/>
      </c>
      <c r="N113" s="25" t="str">
        <f aca="false">IFERROR(INDEX(종합!N$3:N$501,MATCH(ROW()-2,종합!$AE$3:$AE$501,0))&amp;"","")</f>
        <v/>
      </c>
      <c r="O113" s="21" t="str">
        <f aca="false">IFERROR(INDEX(종합!O$3:O$501,MATCH(ROW()-2,종합!$AE$3:$AE$501,0))&amp;"","")</f>
        <v/>
      </c>
      <c r="P113" s="21" t="str">
        <f aca="false">IFERROR(INDEX(종합!P$3:P$501,MATCH(ROW()-2,종합!$AE$3:$AE$501,0))&amp;"","")</f>
        <v/>
      </c>
      <c r="Q113" s="21" t="str">
        <f aca="false">IFERROR(INDEX(종합!Q$3:Q$501,MATCH(ROW()-2,종합!$AE$3:$AE$501,0))&amp;"","")</f>
        <v/>
      </c>
      <c r="R113" s="21" t="str">
        <f aca="false">IFERROR(INDEX(종합!R$3:R$501,MATCH(ROW()-2,종합!$AE$3:$AE$501,0))&amp;"","")</f>
        <v/>
      </c>
      <c r="S113" s="21" t="str">
        <f aca="false">IFERROR(INDEX(종합!S$3:S$501,MATCH(ROW()-2,종합!$AE$3:$AE$501,0))&amp;"","")</f>
        <v/>
      </c>
      <c r="T113" s="21" t="str">
        <f aca="false">IFERROR(INDEX(종합!T$3:T$501,MATCH(ROW()-2,종합!$AE$3:$AE$501,0))&amp;"","")</f>
        <v/>
      </c>
      <c r="U113" s="21" t="str">
        <f aca="false">IFERROR(INDEX(종합!U$3:U$501,MATCH(ROW()-2,종합!$AE$3:$AE$501,0))&amp;"","")</f>
        <v/>
      </c>
      <c r="V113" s="21" t="str">
        <f aca="false">IFERROR(INDEX(종합!V$3:V$501,MATCH(ROW()-2,종합!$AE$3:$AE$501,0))&amp;"","")</f>
        <v/>
      </c>
      <c r="W113" s="21" t="str">
        <f aca="false">IFERROR(INDEX(종합!W$3:W$501,MATCH(ROW()-2,종합!$AE$3:$AE$501,0))&amp;"","")</f>
        <v/>
      </c>
      <c r="X113" s="21" t="str">
        <f aca="false">IFERROR(INDEX(종합!X$3:X$501,MATCH(ROW()-2,종합!$AE$3:$AE$501,0))&amp;"","")</f>
        <v/>
      </c>
      <c r="Y113" s="21" t="str">
        <f aca="false">IFERROR(INDEX(종합!Y$3:Y$501,MATCH(ROW()-2,종합!$AE$3:$AE$501,0))&amp;"","")</f>
        <v/>
      </c>
      <c r="Z113" s="21" t="str">
        <f aca="false">IFERROR(INDEX(종합!Z$3:Z$501,MATCH(ROW()-2,종합!$AE$3:$AE$501,0))&amp;"","")</f>
        <v/>
      </c>
    </row>
    <row r="114" customFormat="false" ht="16.5" hidden="false" customHeight="true" outlineLevel="0" collapsed="false">
      <c r="A114" s="18" t="str">
        <f aca="false">IF(B114="","",ROW()-2)</f>
        <v/>
      </c>
      <c r="B114" s="18" t="str">
        <f aca="false">IFERROR(INDEX(종합!B$3:B$501,MATCH(ROW()-2,종합!$AE$3:$AE$501,0))&amp;"","")</f>
        <v/>
      </c>
      <c r="C114" s="18" t="str">
        <f aca="false">IFERROR(INDEX(종합!C$3:C$501,MATCH(ROW()-2,종합!$AE$3:$AE$501,0))&amp;"","")</f>
        <v/>
      </c>
      <c r="D114" s="18" t="str">
        <f aca="false">IFERROR(INDEX(종합!D$3:D$501,MATCH(ROW()-2,종합!$AE$3:$AE$501,0))&amp;"","")</f>
        <v/>
      </c>
      <c r="E114" s="18" t="str">
        <f aca="false">IFERROR(INDEX(종합!E$3:E$501,MATCH(ROW()-2,종합!$AE$3:$AE$501,0))&amp;"","")</f>
        <v/>
      </c>
      <c r="F114" s="18" t="str">
        <f aca="false">IFERROR(INDEX(종합!F$3:F$501,MATCH(ROW()-2,종합!$AE$3:$AE$501,0))&amp;"","")</f>
        <v/>
      </c>
      <c r="G114" s="18" t="str">
        <f aca="false">IFERROR(INDEX(종합!G$3:G$501,MATCH(ROW()-2,종합!$AE$3:$AE$501,0))&amp;"","")</f>
        <v/>
      </c>
      <c r="H114" s="21" t="str">
        <f aca="false">IFERROR(INDEX(종합!H$3:H$501,MATCH(ROW()-2,종합!$AE$3:$AE$501,0))&amp;"","")</f>
        <v/>
      </c>
      <c r="I114" s="21" t="str">
        <f aca="false">IFERROR(INDEX(종합!I$3:I$501,MATCH(ROW()-2,종합!$AE$3:$AE$501,0))&amp;"","")</f>
        <v/>
      </c>
      <c r="J114" s="21" t="str">
        <f aca="false">IFERROR(INDEX(종합!J$3:J$501,MATCH(ROW()-2,종합!$AE$3:$AE$501,0))&amp;"","")</f>
        <v/>
      </c>
      <c r="K114" s="21" t="str">
        <f aca="false">IFERROR(INDEX(종합!K$3:K$501,MATCH(ROW()-2,종합!$AE$3:$AE$501,0))&amp;"","")</f>
        <v/>
      </c>
      <c r="L114" s="21" t="str">
        <f aca="false">IFERROR(INDEX(종합!L$3:L$501,MATCH(ROW()-2,종합!$AE$3:$AE$501,0))&amp;"","")</f>
        <v/>
      </c>
      <c r="M114" s="21" t="str">
        <f aca="false">IFERROR(INDEX(종합!M$3:M$501,MATCH(ROW()-2,종합!$AE$3:$AE$501,0))&amp;"","")</f>
        <v/>
      </c>
      <c r="N114" s="25" t="str">
        <f aca="false">IFERROR(INDEX(종합!N$3:N$501,MATCH(ROW()-2,종합!$AE$3:$AE$501,0))&amp;"","")</f>
        <v/>
      </c>
      <c r="O114" s="21" t="str">
        <f aca="false">IFERROR(INDEX(종합!O$3:O$501,MATCH(ROW()-2,종합!$AE$3:$AE$501,0))&amp;"","")</f>
        <v/>
      </c>
      <c r="P114" s="21" t="str">
        <f aca="false">IFERROR(INDEX(종합!P$3:P$501,MATCH(ROW()-2,종합!$AE$3:$AE$501,0))&amp;"","")</f>
        <v/>
      </c>
      <c r="Q114" s="21" t="str">
        <f aca="false">IFERROR(INDEX(종합!Q$3:Q$501,MATCH(ROW()-2,종합!$AE$3:$AE$501,0))&amp;"","")</f>
        <v/>
      </c>
      <c r="R114" s="21" t="str">
        <f aca="false">IFERROR(INDEX(종합!R$3:R$501,MATCH(ROW()-2,종합!$AE$3:$AE$501,0))&amp;"","")</f>
        <v/>
      </c>
      <c r="S114" s="21" t="str">
        <f aca="false">IFERROR(INDEX(종합!S$3:S$501,MATCH(ROW()-2,종합!$AE$3:$AE$501,0))&amp;"","")</f>
        <v/>
      </c>
      <c r="T114" s="21" t="str">
        <f aca="false">IFERROR(INDEX(종합!T$3:T$501,MATCH(ROW()-2,종합!$AE$3:$AE$501,0))&amp;"","")</f>
        <v/>
      </c>
      <c r="U114" s="21" t="str">
        <f aca="false">IFERROR(INDEX(종합!U$3:U$501,MATCH(ROW()-2,종합!$AE$3:$AE$501,0))&amp;"","")</f>
        <v/>
      </c>
      <c r="V114" s="21" t="str">
        <f aca="false">IFERROR(INDEX(종합!V$3:V$501,MATCH(ROW()-2,종합!$AE$3:$AE$501,0))&amp;"","")</f>
        <v/>
      </c>
      <c r="W114" s="21" t="str">
        <f aca="false">IFERROR(INDEX(종합!W$3:W$501,MATCH(ROW()-2,종합!$AE$3:$AE$501,0))&amp;"","")</f>
        <v/>
      </c>
      <c r="X114" s="21" t="str">
        <f aca="false">IFERROR(INDEX(종합!X$3:X$501,MATCH(ROW()-2,종합!$AE$3:$AE$501,0))&amp;"","")</f>
        <v/>
      </c>
      <c r="Y114" s="21" t="str">
        <f aca="false">IFERROR(INDEX(종합!Y$3:Y$501,MATCH(ROW()-2,종합!$AE$3:$AE$501,0))&amp;"","")</f>
        <v/>
      </c>
      <c r="Z114" s="21" t="str">
        <f aca="false">IFERROR(INDEX(종합!Z$3:Z$501,MATCH(ROW()-2,종합!$AE$3:$AE$501,0))&amp;"","")</f>
        <v/>
      </c>
    </row>
    <row r="115" customFormat="false" ht="16.5" hidden="false" customHeight="true" outlineLevel="0" collapsed="false">
      <c r="A115" s="18" t="str">
        <f aca="false">IF(B115="","",ROW()-2)</f>
        <v/>
      </c>
      <c r="B115" s="18" t="str">
        <f aca="false">IFERROR(INDEX(종합!B$3:B$501,MATCH(ROW()-2,종합!$AE$3:$AE$501,0))&amp;"","")</f>
        <v/>
      </c>
      <c r="C115" s="18" t="str">
        <f aca="false">IFERROR(INDEX(종합!C$3:C$501,MATCH(ROW()-2,종합!$AE$3:$AE$501,0))&amp;"","")</f>
        <v/>
      </c>
      <c r="D115" s="18" t="str">
        <f aca="false">IFERROR(INDEX(종합!D$3:D$501,MATCH(ROW()-2,종합!$AE$3:$AE$501,0))&amp;"","")</f>
        <v/>
      </c>
      <c r="E115" s="18" t="str">
        <f aca="false">IFERROR(INDEX(종합!E$3:E$501,MATCH(ROW()-2,종합!$AE$3:$AE$501,0))&amp;"","")</f>
        <v/>
      </c>
      <c r="F115" s="18" t="str">
        <f aca="false">IFERROR(INDEX(종합!F$3:F$501,MATCH(ROW()-2,종합!$AE$3:$AE$501,0))&amp;"","")</f>
        <v/>
      </c>
      <c r="G115" s="18" t="str">
        <f aca="false">IFERROR(INDEX(종합!G$3:G$501,MATCH(ROW()-2,종합!$AE$3:$AE$501,0))&amp;"","")</f>
        <v/>
      </c>
      <c r="H115" s="21" t="str">
        <f aca="false">IFERROR(INDEX(종합!H$3:H$501,MATCH(ROW()-2,종합!$AE$3:$AE$501,0))&amp;"","")</f>
        <v/>
      </c>
      <c r="I115" s="21" t="str">
        <f aca="false">IFERROR(INDEX(종합!I$3:I$501,MATCH(ROW()-2,종합!$AE$3:$AE$501,0))&amp;"","")</f>
        <v/>
      </c>
      <c r="J115" s="21" t="str">
        <f aca="false">IFERROR(INDEX(종합!J$3:J$501,MATCH(ROW()-2,종합!$AE$3:$AE$501,0))&amp;"","")</f>
        <v/>
      </c>
      <c r="K115" s="21" t="str">
        <f aca="false">IFERROR(INDEX(종합!K$3:K$501,MATCH(ROW()-2,종합!$AE$3:$AE$501,0))&amp;"","")</f>
        <v/>
      </c>
      <c r="L115" s="21" t="str">
        <f aca="false">IFERROR(INDEX(종합!L$3:L$501,MATCH(ROW()-2,종합!$AE$3:$AE$501,0))&amp;"","")</f>
        <v/>
      </c>
      <c r="M115" s="21" t="str">
        <f aca="false">IFERROR(INDEX(종합!M$3:M$501,MATCH(ROW()-2,종합!$AE$3:$AE$501,0))&amp;"","")</f>
        <v/>
      </c>
      <c r="N115" s="25" t="str">
        <f aca="false">IFERROR(INDEX(종합!N$3:N$501,MATCH(ROW()-2,종합!$AE$3:$AE$501,0))&amp;"","")</f>
        <v/>
      </c>
      <c r="O115" s="21" t="str">
        <f aca="false">IFERROR(INDEX(종합!O$3:O$501,MATCH(ROW()-2,종합!$AE$3:$AE$501,0))&amp;"","")</f>
        <v/>
      </c>
      <c r="P115" s="21" t="str">
        <f aca="false">IFERROR(INDEX(종합!P$3:P$501,MATCH(ROW()-2,종합!$AE$3:$AE$501,0))&amp;"","")</f>
        <v/>
      </c>
      <c r="Q115" s="21" t="str">
        <f aca="false">IFERROR(INDEX(종합!Q$3:Q$501,MATCH(ROW()-2,종합!$AE$3:$AE$501,0))&amp;"","")</f>
        <v/>
      </c>
      <c r="R115" s="21" t="str">
        <f aca="false">IFERROR(INDEX(종합!R$3:R$501,MATCH(ROW()-2,종합!$AE$3:$AE$501,0))&amp;"","")</f>
        <v/>
      </c>
      <c r="S115" s="21" t="str">
        <f aca="false">IFERROR(INDEX(종합!S$3:S$501,MATCH(ROW()-2,종합!$AE$3:$AE$501,0))&amp;"","")</f>
        <v/>
      </c>
      <c r="T115" s="21" t="str">
        <f aca="false">IFERROR(INDEX(종합!T$3:T$501,MATCH(ROW()-2,종합!$AE$3:$AE$501,0))&amp;"","")</f>
        <v/>
      </c>
      <c r="U115" s="21" t="str">
        <f aca="false">IFERROR(INDEX(종합!U$3:U$501,MATCH(ROW()-2,종합!$AE$3:$AE$501,0))&amp;"","")</f>
        <v/>
      </c>
      <c r="V115" s="21" t="str">
        <f aca="false">IFERROR(INDEX(종합!V$3:V$501,MATCH(ROW()-2,종합!$AE$3:$AE$501,0))&amp;"","")</f>
        <v/>
      </c>
      <c r="W115" s="21" t="str">
        <f aca="false">IFERROR(INDEX(종합!W$3:W$501,MATCH(ROW()-2,종합!$AE$3:$AE$501,0))&amp;"","")</f>
        <v/>
      </c>
      <c r="X115" s="21" t="str">
        <f aca="false">IFERROR(INDEX(종합!X$3:X$501,MATCH(ROW()-2,종합!$AE$3:$AE$501,0))&amp;"","")</f>
        <v/>
      </c>
      <c r="Y115" s="21" t="str">
        <f aca="false">IFERROR(INDEX(종합!Y$3:Y$501,MATCH(ROW()-2,종합!$AE$3:$AE$501,0))&amp;"","")</f>
        <v/>
      </c>
      <c r="Z115" s="21" t="str">
        <f aca="false">IFERROR(INDEX(종합!Z$3:Z$501,MATCH(ROW()-2,종합!$AE$3:$AE$501,0))&amp;"","")</f>
        <v/>
      </c>
    </row>
    <row r="116" customFormat="false" ht="16.5" hidden="false" customHeight="true" outlineLevel="0" collapsed="false">
      <c r="A116" s="18" t="str">
        <f aca="false">IF(B116="","",ROW()-2)</f>
        <v/>
      </c>
      <c r="B116" s="18" t="str">
        <f aca="false">IFERROR(INDEX(종합!B$3:B$501,MATCH(ROW()-2,종합!$AE$3:$AE$501,0))&amp;"","")</f>
        <v/>
      </c>
      <c r="C116" s="18" t="str">
        <f aca="false">IFERROR(INDEX(종합!C$3:C$501,MATCH(ROW()-2,종합!$AE$3:$AE$501,0))&amp;"","")</f>
        <v/>
      </c>
      <c r="D116" s="18" t="str">
        <f aca="false">IFERROR(INDEX(종합!D$3:D$501,MATCH(ROW()-2,종합!$AE$3:$AE$501,0))&amp;"","")</f>
        <v/>
      </c>
      <c r="E116" s="18" t="str">
        <f aca="false">IFERROR(INDEX(종합!E$3:E$501,MATCH(ROW()-2,종합!$AE$3:$AE$501,0))&amp;"","")</f>
        <v/>
      </c>
      <c r="F116" s="18" t="str">
        <f aca="false">IFERROR(INDEX(종합!F$3:F$501,MATCH(ROW()-2,종합!$AE$3:$AE$501,0))&amp;"","")</f>
        <v/>
      </c>
      <c r="G116" s="18" t="str">
        <f aca="false">IFERROR(INDEX(종합!G$3:G$501,MATCH(ROW()-2,종합!$AE$3:$AE$501,0))&amp;"","")</f>
        <v/>
      </c>
      <c r="H116" s="21" t="str">
        <f aca="false">IFERROR(INDEX(종합!H$3:H$501,MATCH(ROW()-2,종합!$AE$3:$AE$501,0))&amp;"","")</f>
        <v/>
      </c>
      <c r="I116" s="21" t="str">
        <f aca="false">IFERROR(INDEX(종합!I$3:I$501,MATCH(ROW()-2,종합!$AE$3:$AE$501,0))&amp;"","")</f>
        <v/>
      </c>
      <c r="J116" s="21" t="str">
        <f aca="false">IFERROR(INDEX(종합!J$3:J$501,MATCH(ROW()-2,종합!$AE$3:$AE$501,0))&amp;"","")</f>
        <v/>
      </c>
      <c r="K116" s="21" t="str">
        <f aca="false">IFERROR(INDEX(종합!K$3:K$501,MATCH(ROW()-2,종합!$AE$3:$AE$501,0))&amp;"","")</f>
        <v/>
      </c>
      <c r="L116" s="21" t="str">
        <f aca="false">IFERROR(INDEX(종합!L$3:L$501,MATCH(ROW()-2,종합!$AE$3:$AE$501,0))&amp;"","")</f>
        <v/>
      </c>
      <c r="M116" s="21" t="str">
        <f aca="false">IFERROR(INDEX(종합!M$3:M$501,MATCH(ROW()-2,종합!$AE$3:$AE$501,0))&amp;"","")</f>
        <v/>
      </c>
      <c r="N116" s="25" t="str">
        <f aca="false">IFERROR(INDEX(종합!N$3:N$501,MATCH(ROW()-2,종합!$AE$3:$AE$501,0))&amp;"","")</f>
        <v/>
      </c>
      <c r="O116" s="21" t="str">
        <f aca="false">IFERROR(INDEX(종합!O$3:O$501,MATCH(ROW()-2,종합!$AE$3:$AE$501,0))&amp;"","")</f>
        <v/>
      </c>
      <c r="P116" s="21" t="str">
        <f aca="false">IFERROR(INDEX(종합!P$3:P$501,MATCH(ROW()-2,종합!$AE$3:$AE$501,0))&amp;"","")</f>
        <v/>
      </c>
      <c r="Q116" s="21" t="str">
        <f aca="false">IFERROR(INDEX(종합!Q$3:Q$501,MATCH(ROW()-2,종합!$AE$3:$AE$501,0))&amp;"","")</f>
        <v/>
      </c>
      <c r="R116" s="21" t="str">
        <f aca="false">IFERROR(INDEX(종합!R$3:R$501,MATCH(ROW()-2,종합!$AE$3:$AE$501,0))&amp;"","")</f>
        <v/>
      </c>
      <c r="S116" s="21" t="str">
        <f aca="false">IFERROR(INDEX(종합!S$3:S$501,MATCH(ROW()-2,종합!$AE$3:$AE$501,0))&amp;"","")</f>
        <v/>
      </c>
      <c r="T116" s="21" t="str">
        <f aca="false">IFERROR(INDEX(종합!T$3:T$501,MATCH(ROW()-2,종합!$AE$3:$AE$501,0))&amp;"","")</f>
        <v/>
      </c>
      <c r="U116" s="21" t="str">
        <f aca="false">IFERROR(INDEX(종합!U$3:U$501,MATCH(ROW()-2,종합!$AE$3:$AE$501,0))&amp;"","")</f>
        <v/>
      </c>
      <c r="V116" s="21" t="str">
        <f aca="false">IFERROR(INDEX(종합!V$3:V$501,MATCH(ROW()-2,종합!$AE$3:$AE$501,0))&amp;"","")</f>
        <v/>
      </c>
      <c r="W116" s="21" t="str">
        <f aca="false">IFERROR(INDEX(종합!W$3:W$501,MATCH(ROW()-2,종합!$AE$3:$AE$501,0))&amp;"","")</f>
        <v/>
      </c>
      <c r="X116" s="21" t="str">
        <f aca="false">IFERROR(INDEX(종합!X$3:X$501,MATCH(ROW()-2,종합!$AE$3:$AE$501,0))&amp;"","")</f>
        <v/>
      </c>
      <c r="Y116" s="21" t="str">
        <f aca="false">IFERROR(INDEX(종합!Y$3:Y$501,MATCH(ROW()-2,종합!$AE$3:$AE$501,0))&amp;"","")</f>
        <v/>
      </c>
      <c r="Z116" s="21" t="str">
        <f aca="false">IFERROR(INDEX(종합!Z$3:Z$501,MATCH(ROW()-2,종합!$AE$3:$AE$501,0))&amp;"","")</f>
        <v/>
      </c>
    </row>
    <row r="117" customFormat="false" ht="16.5" hidden="false" customHeight="true" outlineLevel="0" collapsed="false">
      <c r="A117" s="18" t="str">
        <f aca="false">IF(B117="","",ROW()-2)</f>
        <v/>
      </c>
      <c r="B117" s="18" t="str">
        <f aca="false">IFERROR(INDEX(종합!B$3:B$501,MATCH(ROW()-2,종합!$AE$3:$AE$501,0))&amp;"","")</f>
        <v/>
      </c>
      <c r="C117" s="18" t="str">
        <f aca="false">IFERROR(INDEX(종합!C$3:C$501,MATCH(ROW()-2,종합!$AE$3:$AE$501,0))&amp;"","")</f>
        <v/>
      </c>
      <c r="D117" s="18" t="str">
        <f aca="false">IFERROR(INDEX(종합!D$3:D$501,MATCH(ROW()-2,종합!$AE$3:$AE$501,0))&amp;"","")</f>
        <v/>
      </c>
      <c r="E117" s="18" t="str">
        <f aca="false">IFERROR(INDEX(종합!E$3:E$501,MATCH(ROW()-2,종합!$AE$3:$AE$501,0))&amp;"","")</f>
        <v/>
      </c>
      <c r="F117" s="18" t="str">
        <f aca="false">IFERROR(INDEX(종합!F$3:F$501,MATCH(ROW()-2,종합!$AE$3:$AE$501,0))&amp;"","")</f>
        <v/>
      </c>
      <c r="G117" s="18" t="str">
        <f aca="false">IFERROR(INDEX(종합!G$3:G$501,MATCH(ROW()-2,종합!$AE$3:$AE$501,0))&amp;"","")</f>
        <v/>
      </c>
      <c r="H117" s="21" t="str">
        <f aca="false">IFERROR(INDEX(종합!H$3:H$501,MATCH(ROW()-2,종합!$AE$3:$AE$501,0))&amp;"","")</f>
        <v/>
      </c>
      <c r="I117" s="21" t="str">
        <f aca="false">IFERROR(INDEX(종합!I$3:I$501,MATCH(ROW()-2,종합!$AE$3:$AE$501,0))&amp;"","")</f>
        <v/>
      </c>
      <c r="J117" s="21" t="str">
        <f aca="false">IFERROR(INDEX(종합!J$3:J$501,MATCH(ROW()-2,종합!$AE$3:$AE$501,0))&amp;"","")</f>
        <v/>
      </c>
      <c r="K117" s="21" t="str">
        <f aca="false">IFERROR(INDEX(종합!K$3:K$501,MATCH(ROW()-2,종합!$AE$3:$AE$501,0))&amp;"","")</f>
        <v/>
      </c>
      <c r="L117" s="21" t="str">
        <f aca="false">IFERROR(INDEX(종합!L$3:L$501,MATCH(ROW()-2,종합!$AE$3:$AE$501,0))&amp;"","")</f>
        <v/>
      </c>
      <c r="M117" s="21" t="str">
        <f aca="false">IFERROR(INDEX(종합!M$3:M$501,MATCH(ROW()-2,종합!$AE$3:$AE$501,0))&amp;"","")</f>
        <v/>
      </c>
      <c r="N117" s="25" t="str">
        <f aca="false">IFERROR(INDEX(종합!N$3:N$501,MATCH(ROW()-2,종합!$AE$3:$AE$501,0))&amp;"","")</f>
        <v/>
      </c>
      <c r="O117" s="21" t="str">
        <f aca="false">IFERROR(INDEX(종합!O$3:O$501,MATCH(ROW()-2,종합!$AE$3:$AE$501,0))&amp;"","")</f>
        <v/>
      </c>
      <c r="P117" s="21" t="str">
        <f aca="false">IFERROR(INDEX(종합!P$3:P$501,MATCH(ROW()-2,종합!$AE$3:$AE$501,0))&amp;"","")</f>
        <v/>
      </c>
      <c r="Q117" s="21" t="str">
        <f aca="false">IFERROR(INDEX(종합!Q$3:Q$501,MATCH(ROW()-2,종합!$AE$3:$AE$501,0))&amp;"","")</f>
        <v/>
      </c>
      <c r="R117" s="21" t="str">
        <f aca="false">IFERROR(INDEX(종합!R$3:R$501,MATCH(ROW()-2,종합!$AE$3:$AE$501,0))&amp;"","")</f>
        <v/>
      </c>
      <c r="S117" s="21" t="str">
        <f aca="false">IFERROR(INDEX(종합!S$3:S$501,MATCH(ROW()-2,종합!$AE$3:$AE$501,0))&amp;"","")</f>
        <v/>
      </c>
      <c r="T117" s="21" t="str">
        <f aca="false">IFERROR(INDEX(종합!T$3:T$501,MATCH(ROW()-2,종합!$AE$3:$AE$501,0))&amp;"","")</f>
        <v/>
      </c>
      <c r="U117" s="21" t="str">
        <f aca="false">IFERROR(INDEX(종합!U$3:U$501,MATCH(ROW()-2,종합!$AE$3:$AE$501,0))&amp;"","")</f>
        <v/>
      </c>
      <c r="V117" s="21" t="str">
        <f aca="false">IFERROR(INDEX(종합!V$3:V$501,MATCH(ROW()-2,종합!$AE$3:$AE$501,0))&amp;"","")</f>
        <v/>
      </c>
      <c r="W117" s="21" t="str">
        <f aca="false">IFERROR(INDEX(종합!W$3:W$501,MATCH(ROW()-2,종합!$AE$3:$AE$501,0))&amp;"","")</f>
        <v/>
      </c>
      <c r="X117" s="21" t="str">
        <f aca="false">IFERROR(INDEX(종합!X$3:X$501,MATCH(ROW()-2,종합!$AE$3:$AE$501,0))&amp;"","")</f>
        <v/>
      </c>
      <c r="Y117" s="21" t="str">
        <f aca="false">IFERROR(INDEX(종합!Y$3:Y$501,MATCH(ROW()-2,종합!$AE$3:$AE$501,0))&amp;"","")</f>
        <v/>
      </c>
      <c r="Z117" s="21" t="str">
        <f aca="false">IFERROR(INDEX(종합!Z$3:Z$501,MATCH(ROW()-2,종합!$AE$3:$AE$501,0))&amp;"","")</f>
        <v/>
      </c>
    </row>
    <row r="118" customFormat="false" ht="16.5" hidden="false" customHeight="true" outlineLevel="0" collapsed="false">
      <c r="A118" s="18" t="str">
        <f aca="false">IF(B118="","",ROW()-2)</f>
        <v/>
      </c>
      <c r="B118" s="18" t="str">
        <f aca="false">IFERROR(INDEX(종합!B$3:B$501,MATCH(ROW()-2,종합!$AE$3:$AE$501,0))&amp;"","")</f>
        <v/>
      </c>
      <c r="C118" s="18" t="str">
        <f aca="false">IFERROR(INDEX(종합!C$3:C$501,MATCH(ROW()-2,종합!$AE$3:$AE$501,0))&amp;"","")</f>
        <v/>
      </c>
      <c r="D118" s="18" t="str">
        <f aca="false">IFERROR(INDEX(종합!D$3:D$501,MATCH(ROW()-2,종합!$AE$3:$AE$501,0))&amp;"","")</f>
        <v/>
      </c>
      <c r="E118" s="18" t="str">
        <f aca="false">IFERROR(INDEX(종합!E$3:E$501,MATCH(ROW()-2,종합!$AE$3:$AE$501,0))&amp;"","")</f>
        <v/>
      </c>
      <c r="F118" s="18" t="str">
        <f aca="false">IFERROR(INDEX(종합!F$3:F$501,MATCH(ROW()-2,종합!$AE$3:$AE$501,0))&amp;"","")</f>
        <v/>
      </c>
      <c r="G118" s="18" t="str">
        <f aca="false">IFERROR(INDEX(종합!G$3:G$501,MATCH(ROW()-2,종합!$AE$3:$AE$501,0))&amp;"","")</f>
        <v/>
      </c>
      <c r="H118" s="21" t="str">
        <f aca="false">IFERROR(INDEX(종합!H$3:H$501,MATCH(ROW()-2,종합!$AE$3:$AE$501,0))&amp;"","")</f>
        <v/>
      </c>
      <c r="I118" s="21" t="str">
        <f aca="false">IFERROR(INDEX(종합!I$3:I$501,MATCH(ROW()-2,종합!$AE$3:$AE$501,0))&amp;"","")</f>
        <v/>
      </c>
      <c r="J118" s="21" t="str">
        <f aca="false">IFERROR(INDEX(종합!J$3:J$501,MATCH(ROW()-2,종합!$AE$3:$AE$501,0))&amp;"","")</f>
        <v/>
      </c>
      <c r="K118" s="21" t="str">
        <f aca="false">IFERROR(INDEX(종합!K$3:K$501,MATCH(ROW()-2,종합!$AE$3:$AE$501,0))&amp;"","")</f>
        <v/>
      </c>
      <c r="L118" s="21" t="str">
        <f aca="false">IFERROR(INDEX(종합!L$3:L$501,MATCH(ROW()-2,종합!$AE$3:$AE$501,0))&amp;"","")</f>
        <v/>
      </c>
      <c r="M118" s="21" t="str">
        <f aca="false">IFERROR(INDEX(종합!M$3:M$501,MATCH(ROW()-2,종합!$AE$3:$AE$501,0))&amp;"","")</f>
        <v/>
      </c>
      <c r="N118" s="25" t="str">
        <f aca="false">IFERROR(INDEX(종합!N$3:N$501,MATCH(ROW()-2,종합!$AE$3:$AE$501,0))&amp;"","")</f>
        <v/>
      </c>
      <c r="O118" s="21" t="str">
        <f aca="false">IFERROR(INDEX(종합!O$3:O$501,MATCH(ROW()-2,종합!$AE$3:$AE$501,0))&amp;"","")</f>
        <v/>
      </c>
      <c r="P118" s="21" t="str">
        <f aca="false">IFERROR(INDEX(종합!P$3:P$501,MATCH(ROW()-2,종합!$AE$3:$AE$501,0))&amp;"","")</f>
        <v/>
      </c>
      <c r="Q118" s="21" t="str">
        <f aca="false">IFERROR(INDEX(종합!Q$3:Q$501,MATCH(ROW()-2,종합!$AE$3:$AE$501,0))&amp;"","")</f>
        <v/>
      </c>
      <c r="R118" s="21" t="str">
        <f aca="false">IFERROR(INDEX(종합!R$3:R$501,MATCH(ROW()-2,종합!$AE$3:$AE$501,0))&amp;"","")</f>
        <v/>
      </c>
      <c r="S118" s="21" t="str">
        <f aca="false">IFERROR(INDEX(종합!S$3:S$501,MATCH(ROW()-2,종합!$AE$3:$AE$501,0))&amp;"","")</f>
        <v/>
      </c>
      <c r="T118" s="21" t="str">
        <f aca="false">IFERROR(INDEX(종합!T$3:T$501,MATCH(ROW()-2,종합!$AE$3:$AE$501,0))&amp;"","")</f>
        <v/>
      </c>
      <c r="U118" s="21" t="str">
        <f aca="false">IFERROR(INDEX(종합!U$3:U$501,MATCH(ROW()-2,종합!$AE$3:$AE$501,0))&amp;"","")</f>
        <v/>
      </c>
      <c r="V118" s="21" t="str">
        <f aca="false">IFERROR(INDEX(종합!V$3:V$501,MATCH(ROW()-2,종합!$AE$3:$AE$501,0))&amp;"","")</f>
        <v/>
      </c>
      <c r="W118" s="21" t="str">
        <f aca="false">IFERROR(INDEX(종합!W$3:W$501,MATCH(ROW()-2,종합!$AE$3:$AE$501,0))&amp;"","")</f>
        <v/>
      </c>
      <c r="X118" s="21" t="str">
        <f aca="false">IFERROR(INDEX(종합!X$3:X$501,MATCH(ROW()-2,종합!$AE$3:$AE$501,0))&amp;"","")</f>
        <v/>
      </c>
      <c r="Y118" s="21" t="str">
        <f aca="false">IFERROR(INDEX(종합!Y$3:Y$501,MATCH(ROW()-2,종합!$AE$3:$AE$501,0))&amp;"","")</f>
        <v/>
      </c>
      <c r="Z118" s="21" t="str">
        <f aca="false">IFERROR(INDEX(종합!Z$3:Z$501,MATCH(ROW()-2,종합!$AE$3:$AE$501,0))&amp;"","")</f>
        <v/>
      </c>
    </row>
    <row r="119" customFormat="false" ht="16.5" hidden="false" customHeight="true" outlineLevel="0" collapsed="false">
      <c r="A119" s="18" t="str">
        <f aca="false">IF(B119="","",ROW()-2)</f>
        <v/>
      </c>
      <c r="B119" s="18" t="str">
        <f aca="false">IFERROR(INDEX(종합!B$3:B$501,MATCH(ROW()-2,종합!$AE$3:$AE$501,0))&amp;"","")</f>
        <v/>
      </c>
      <c r="C119" s="18" t="str">
        <f aca="false">IFERROR(INDEX(종합!C$3:C$501,MATCH(ROW()-2,종합!$AE$3:$AE$501,0))&amp;"","")</f>
        <v/>
      </c>
      <c r="D119" s="18" t="str">
        <f aca="false">IFERROR(INDEX(종합!D$3:D$501,MATCH(ROW()-2,종합!$AE$3:$AE$501,0))&amp;"","")</f>
        <v/>
      </c>
      <c r="E119" s="18" t="str">
        <f aca="false">IFERROR(INDEX(종합!E$3:E$501,MATCH(ROW()-2,종합!$AE$3:$AE$501,0))&amp;"","")</f>
        <v/>
      </c>
      <c r="F119" s="18" t="str">
        <f aca="false">IFERROR(INDEX(종합!F$3:F$501,MATCH(ROW()-2,종합!$AE$3:$AE$501,0))&amp;"","")</f>
        <v/>
      </c>
      <c r="G119" s="18" t="str">
        <f aca="false">IFERROR(INDEX(종합!G$3:G$501,MATCH(ROW()-2,종합!$AE$3:$AE$501,0))&amp;"","")</f>
        <v/>
      </c>
      <c r="H119" s="21" t="str">
        <f aca="false">IFERROR(INDEX(종합!H$3:H$501,MATCH(ROW()-2,종합!$AE$3:$AE$501,0))&amp;"","")</f>
        <v/>
      </c>
      <c r="I119" s="21" t="str">
        <f aca="false">IFERROR(INDEX(종합!I$3:I$501,MATCH(ROW()-2,종합!$AE$3:$AE$501,0))&amp;"","")</f>
        <v/>
      </c>
      <c r="J119" s="21" t="str">
        <f aca="false">IFERROR(INDEX(종합!J$3:J$501,MATCH(ROW()-2,종합!$AE$3:$AE$501,0))&amp;"","")</f>
        <v/>
      </c>
      <c r="K119" s="21" t="str">
        <f aca="false">IFERROR(INDEX(종합!K$3:K$501,MATCH(ROW()-2,종합!$AE$3:$AE$501,0))&amp;"","")</f>
        <v/>
      </c>
      <c r="L119" s="21" t="str">
        <f aca="false">IFERROR(INDEX(종합!L$3:L$501,MATCH(ROW()-2,종합!$AE$3:$AE$501,0))&amp;"","")</f>
        <v/>
      </c>
      <c r="M119" s="21" t="str">
        <f aca="false">IFERROR(INDEX(종합!M$3:M$501,MATCH(ROW()-2,종합!$AE$3:$AE$501,0))&amp;"","")</f>
        <v/>
      </c>
      <c r="N119" s="25" t="str">
        <f aca="false">IFERROR(INDEX(종합!N$3:N$501,MATCH(ROW()-2,종합!$AE$3:$AE$501,0))&amp;"","")</f>
        <v/>
      </c>
      <c r="O119" s="21" t="str">
        <f aca="false">IFERROR(INDEX(종합!O$3:O$501,MATCH(ROW()-2,종합!$AE$3:$AE$501,0))&amp;"","")</f>
        <v/>
      </c>
      <c r="P119" s="21" t="str">
        <f aca="false">IFERROR(INDEX(종합!P$3:P$501,MATCH(ROW()-2,종합!$AE$3:$AE$501,0))&amp;"","")</f>
        <v/>
      </c>
      <c r="Q119" s="21" t="str">
        <f aca="false">IFERROR(INDEX(종합!Q$3:Q$501,MATCH(ROW()-2,종합!$AE$3:$AE$501,0))&amp;"","")</f>
        <v/>
      </c>
      <c r="R119" s="21" t="str">
        <f aca="false">IFERROR(INDEX(종합!R$3:R$501,MATCH(ROW()-2,종합!$AE$3:$AE$501,0))&amp;"","")</f>
        <v/>
      </c>
      <c r="S119" s="21" t="str">
        <f aca="false">IFERROR(INDEX(종합!S$3:S$501,MATCH(ROW()-2,종합!$AE$3:$AE$501,0))&amp;"","")</f>
        <v/>
      </c>
      <c r="T119" s="21" t="str">
        <f aca="false">IFERROR(INDEX(종합!T$3:T$501,MATCH(ROW()-2,종합!$AE$3:$AE$501,0))&amp;"","")</f>
        <v/>
      </c>
      <c r="U119" s="21" t="str">
        <f aca="false">IFERROR(INDEX(종합!U$3:U$501,MATCH(ROW()-2,종합!$AE$3:$AE$501,0))&amp;"","")</f>
        <v/>
      </c>
      <c r="V119" s="21" t="str">
        <f aca="false">IFERROR(INDEX(종합!V$3:V$501,MATCH(ROW()-2,종합!$AE$3:$AE$501,0))&amp;"","")</f>
        <v/>
      </c>
      <c r="W119" s="21" t="str">
        <f aca="false">IFERROR(INDEX(종합!W$3:W$501,MATCH(ROW()-2,종합!$AE$3:$AE$501,0))&amp;"","")</f>
        <v/>
      </c>
      <c r="X119" s="21" t="str">
        <f aca="false">IFERROR(INDEX(종합!X$3:X$501,MATCH(ROW()-2,종합!$AE$3:$AE$501,0))&amp;"","")</f>
        <v/>
      </c>
      <c r="Y119" s="21" t="str">
        <f aca="false">IFERROR(INDEX(종합!Y$3:Y$501,MATCH(ROW()-2,종합!$AE$3:$AE$501,0))&amp;"","")</f>
        <v/>
      </c>
      <c r="Z119" s="21" t="str">
        <f aca="false">IFERROR(INDEX(종합!Z$3:Z$501,MATCH(ROW()-2,종합!$AE$3:$AE$501,0))&amp;"","")</f>
        <v/>
      </c>
    </row>
    <row r="120" customFormat="false" ht="16.5" hidden="false" customHeight="true" outlineLevel="0" collapsed="false">
      <c r="A120" s="18" t="str">
        <f aca="false">IF(B120="","",ROW()-2)</f>
        <v/>
      </c>
      <c r="B120" s="18" t="str">
        <f aca="false">IFERROR(INDEX(종합!B$3:B$501,MATCH(ROW()-2,종합!$AE$3:$AE$501,0))&amp;"","")</f>
        <v/>
      </c>
      <c r="C120" s="18" t="str">
        <f aca="false">IFERROR(INDEX(종합!C$3:C$501,MATCH(ROW()-2,종합!$AE$3:$AE$501,0))&amp;"","")</f>
        <v/>
      </c>
      <c r="D120" s="18" t="str">
        <f aca="false">IFERROR(INDEX(종합!D$3:D$501,MATCH(ROW()-2,종합!$AE$3:$AE$501,0))&amp;"","")</f>
        <v/>
      </c>
      <c r="E120" s="18" t="str">
        <f aca="false">IFERROR(INDEX(종합!E$3:E$501,MATCH(ROW()-2,종합!$AE$3:$AE$501,0))&amp;"","")</f>
        <v/>
      </c>
      <c r="F120" s="18" t="str">
        <f aca="false">IFERROR(INDEX(종합!F$3:F$501,MATCH(ROW()-2,종합!$AE$3:$AE$501,0))&amp;"","")</f>
        <v/>
      </c>
      <c r="G120" s="18" t="str">
        <f aca="false">IFERROR(INDEX(종합!G$3:G$501,MATCH(ROW()-2,종합!$AE$3:$AE$501,0))&amp;"","")</f>
        <v/>
      </c>
      <c r="H120" s="21" t="str">
        <f aca="false">IFERROR(INDEX(종합!H$3:H$501,MATCH(ROW()-2,종합!$AE$3:$AE$501,0))&amp;"","")</f>
        <v/>
      </c>
      <c r="I120" s="21" t="str">
        <f aca="false">IFERROR(INDEX(종합!I$3:I$501,MATCH(ROW()-2,종합!$AE$3:$AE$501,0))&amp;"","")</f>
        <v/>
      </c>
      <c r="J120" s="21" t="str">
        <f aca="false">IFERROR(INDEX(종합!J$3:J$501,MATCH(ROW()-2,종합!$AE$3:$AE$501,0))&amp;"","")</f>
        <v/>
      </c>
      <c r="K120" s="21" t="str">
        <f aca="false">IFERROR(INDEX(종합!K$3:K$501,MATCH(ROW()-2,종합!$AE$3:$AE$501,0))&amp;"","")</f>
        <v/>
      </c>
      <c r="L120" s="21" t="str">
        <f aca="false">IFERROR(INDEX(종합!L$3:L$501,MATCH(ROW()-2,종합!$AE$3:$AE$501,0))&amp;"","")</f>
        <v/>
      </c>
      <c r="M120" s="21" t="str">
        <f aca="false">IFERROR(INDEX(종합!M$3:M$501,MATCH(ROW()-2,종합!$AE$3:$AE$501,0))&amp;"","")</f>
        <v/>
      </c>
      <c r="N120" s="25" t="str">
        <f aca="false">IFERROR(INDEX(종합!N$3:N$501,MATCH(ROW()-2,종합!$AE$3:$AE$501,0))&amp;"","")</f>
        <v/>
      </c>
      <c r="O120" s="21" t="str">
        <f aca="false">IFERROR(INDEX(종합!O$3:O$501,MATCH(ROW()-2,종합!$AE$3:$AE$501,0))&amp;"","")</f>
        <v/>
      </c>
      <c r="P120" s="21" t="str">
        <f aca="false">IFERROR(INDEX(종합!P$3:P$501,MATCH(ROW()-2,종합!$AE$3:$AE$501,0))&amp;"","")</f>
        <v/>
      </c>
      <c r="Q120" s="21" t="str">
        <f aca="false">IFERROR(INDEX(종합!Q$3:Q$501,MATCH(ROW()-2,종합!$AE$3:$AE$501,0))&amp;"","")</f>
        <v/>
      </c>
      <c r="R120" s="21" t="str">
        <f aca="false">IFERROR(INDEX(종합!R$3:R$501,MATCH(ROW()-2,종합!$AE$3:$AE$501,0))&amp;"","")</f>
        <v/>
      </c>
      <c r="S120" s="21" t="str">
        <f aca="false">IFERROR(INDEX(종합!S$3:S$501,MATCH(ROW()-2,종합!$AE$3:$AE$501,0))&amp;"","")</f>
        <v/>
      </c>
      <c r="T120" s="21" t="str">
        <f aca="false">IFERROR(INDEX(종합!T$3:T$501,MATCH(ROW()-2,종합!$AE$3:$AE$501,0))&amp;"","")</f>
        <v/>
      </c>
      <c r="U120" s="21" t="str">
        <f aca="false">IFERROR(INDEX(종합!U$3:U$501,MATCH(ROW()-2,종합!$AE$3:$AE$501,0))&amp;"","")</f>
        <v/>
      </c>
      <c r="V120" s="21" t="str">
        <f aca="false">IFERROR(INDEX(종합!V$3:V$501,MATCH(ROW()-2,종합!$AE$3:$AE$501,0))&amp;"","")</f>
        <v/>
      </c>
      <c r="W120" s="21" t="str">
        <f aca="false">IFERROR(INDEX(종합!W$3:W$501,MATCH(ROW()-2,종합!$AE$3:$AE$501,0))&amp;"","")</f>
        <v/>
      </c>
      <c r="X120" s="21" t="str">
        <f aca="false">IFERROR(INDEX(종합!X$3:X$501,MATCH(ROW()-2,종합!$AE$3:$AE$501,0))&amp;"","")</f>
        <v/>
      </c>
      <c r="Y120" s="21" t="str">
        <f aca="false">IFERROR(INDEX(종합!Y$3:Y$501,MATCH(ROW()-2,종합!$AE$3:$AE$501,0))&amp;"","")</f>
        <v/>
      </c>
      <c r="Z120" s="21" t="str">
        <f aca="false">IFERROR(INDEX(종합!Z$3:Z$501,MATCH(ROW()-2,종합!$AE$3:$AE$501,0))&amp;"","")</f>
        <v/>
      </c>
    </row>
    <row r="121" customFormat="false" ht="16.5" hidden="false" customHeight="true" outlineLevel="0" collapsed="false">
      <c r="A121" s="18" t="str">
        <f aca="false">IF(B121="","",ROW()-2)</f>
        <v/>
      </c>
      <c r="B121" s="18" t="str">
        <f aca="false">IFERROR(INDEX(종합!B$3:B$501,MATCH(ROW()-2,종합!$AE$3:$AE$501,0))&amp;"","")</f>
        <v/>
      </c>
      <c r="C121" s="18" t="str">
        <f aca="false">IFERROR(INDEX(종합!C$3:C$501,MATCH(ROW()-2,종합!$AE$3:$AE$501,0))&amp;"","")</f>
        <v/>
      </c>
      <c r="D121" s="18" t="str">
        <f aca="false">IFERROR(INDEX(종합!D$3:D$501,MATCH(ROW()-2,종합!$AE$3:$AE$501,0))&amp;"","")</f>
        <v/>
      </c>
      <c r="E121" s="18" t="str">
        <f aca="false">IFERROR(INDEX(종합!E$3:E$501,MATCH(ROW()-2,종합!$AE$3:$AE$501,0))&amp;"","")</f>
        <v/>
      </c>
      <c r="F121" s="18" t="str">
        <f aca="false">IFERROR(INDEX(종합!F$3:F$501,MATCH(ROW()-2,종합!$AE$3:$AE$501,0))&amp;"","")</f>
        <v/>
      </c>
      <c r="G121" s="18" t="str">
        <f aca="false">IFERROR(INDEX(종합!G$3:G$501,MATCH(ROW()-2,종합!$AE$3:$AE$501,0))&amp;"","")</f>
        <v/>
      </c>
      <c r="H121" s="21" t="str">
        <f aca="false">IFERROR(INDEX(종합!H$3:H$501,MATCH(ROW()-2,종합!$AE$3:$AE$501,0))&amp;"","")</f>
        <v/>
      </c>
      <c r="I121" s="21" t="str">
        <f aca="false">IFERROR(INDEX(종합!I$3:I$501,MATCH(ROW()-2,종합!$AE$3:$AE$501,0))&amp;"","")</f>
        <v/>
      </c>
      <c r="J121" s="21" t="str">
        <f aca="false">IFERROR(INDEX(종합!J$3:J$501,MATCH(ROW()-2,종합!$AE$3:$AE$501,0))&amp;"","")</f>
        <v/>
      </c>
      <c r="K121" s="21" t="str">
        <f aca="false">IFERROR(INDEX(종합!K$3:K$501,MATCH(ROW()-2,종합!$AE$3:$AE$501,0))&amp;"","")</f>
        <v/>
      </c>
      <c r="L121" s="21" t="str">
        <f aca="false">IFERROR(INDEX(종합!L$3:L$501,MATCH(ROW()-2,종합!$AE$3:$AE$501,0))&amp;"","")</f>
        <v/>
      </c>
      <c r="M121" s="21" t="str">
        <f aca="false">IFERROR(INDEX(종합!M$3:M$501,MATCH(ROW()-2,종합!$AE$3:$AE$501,0))&amp;"","")</f>
        <v/>
      </c>
      <c r="N121" s="25" t="str">
        <f aca="false">IFERROR(INDEX(종합!N$3:N$501,MATCH(ROW()-2,종합!$AE$3:$AE$501,0))&amp;"","")</f>
        <v/>
      </c>
      <c r="O121" s="21" t="str">
        <f aca="false">IFERROR(INDEX(종합!O$3:O$501,MATCH(ROW()-2,종합!$AE$3:$AE$501,0))&amp;"","")</f>
        <v/>
      </c>
      <c r="P121" s="21" t="str">
        <f aca="false">IFERROR(INDEX(종합!P$3:P$501,MATCH(ROW()-2,종합!$AE$3:$AE$501,0))&amp;"","")</f>
        <v/>
      </c>
      <c r="Q121" s="21" t="str">
        <f aca="false">IFERROR(INDEX(종합!Q$3:Q$501,MATCH(ROW()-2,종합!$AE$3:$AE$501,0))&amp;"","")</f>
        <v/>
      </c>
      <c r="R121" s="21" t="str">
        <f aca="false">IFERROR(INDEX(종합!R$3:R$501,MATCH(ROW()-2,종합!$AE$3:$AE$501,0))&amp;"","")</f>
        <v/>
      </c>
      <c r="S121" s="21" t="str">
        <f aca="false">IFERROR(INDEX(종합!S$3:S$501,MATCH(ROW()-2,종합!$AE$3:$AE$501,0))&amp;"","")</f>
        <v/>
      </c>
      <c r="T121" s="21" t="str">
        <f aca="false">IFERROR(INDEX(종합!T$3:T$501,MATCH(ROW()-2,종합!$AE$3:$AE$501,0))&amp;"","")</f>
        <v/>
      </c>
      <c r="U121" s="21" t="str">
        <f aca="false">IFERROR(INDEX(종합!U$3:U$501,MATCH(ROW()-2,종합!$AE$3:$AE$501,0))&amp;"","")</f>
        <v/>
      </c>
      <c r="V121" s="21" t="str">
        <f aca="false">IFERROR(INDEX(종합!V$3:V$501,MATCH(ROW()-2,종합!$AE$3:$AE$501,0))&amp;"","")</f>
        <v/>
      </c>
      <c r="W121" s="21" t="str">
        <f aca="false">IFERROR(INDEX(종합!W$3:W$501,MATCH(ROW()-2,종합!$AE$3:$AE$501,0))&amp;"","")</f>
        <v/>
      </c>
      <c r="X121" s="21" t="str">
        <f aca="false">IFERROR(INDEX(종합!X$3:X$501,MATCH(ROW()-2,종합!$AE$3:$AE$501,0))&amp;"","")</f>
        <v/>
      </c>
      <c r="Y121" s="21" t="str">
        <f aca="false">IFERROR(INDEX(종합!Y$3:Y$501,MATCH(ROW()-2,종합!$AE$3:$AE$501,0))&amp;"","")</f>
        <v/>
      </c>
      <c r="Z121" s="21" t="str">
        <f aca="false">IFERROR(INDEX(종합!Z$3:Z$501,MATCH(ROW()-2,종합!$AE$3:$AE$501,0))&amp;"","")</f>
        <v/>
      </c>
    </row>
    <row r="122" customFormat="false" ht="16.5" hidden="false" customHeight="true" outlineLevel="0" collapsed="false">
      <c r="A122" s="18" t="str">
        <f aca="false">IF(B122="","",ROW()-2)</f>
        <v/>
      </c>
      <c r="B122" s="18" t="str">
        <f aca="false">IFERROR(INDEX(종합!B$3:B$501,MATCH(ROW()-2,종합!$AE$3:$AE$501,0))&amp;"","")</f>
        <v/>
      </c>
      <c r="C122" s="18" t="str">
        <f aca="false">IFERROR(INDEX(종합!C$3:C$501,MATCH(ROW()-2,종합!$AE$3:$AE$501,0))&amp;"","")</f>
        <v/>
      </c>
      <c r="D122" s="18" t="str">
        <f aca="false">IFERROR(INDEX(종합!D$3:D$501,MATCH(ROW()-2,종합!$AE$3:$AE$501,0))&amp;"","")</f>
        <v/>
      </c>
      <c r="E122" s="18" t="str">
        <f aca="false">IFERROR(INDEX(종합!E$3:E$501,MATCH(ROW()-2,종합!$AE$3:$AE$501,0))&amp;"","")</f>
        <v/>
      </c>
      <c r="F122" s="18" t="str">
        <f aca="false">IFERROR(INDEX(종합!F$3:F$501,MATCH(ROW()-2,종합!$AE$3:$AE$501,0))&amp;"","")</f>
        <v/>
      </c>
      <c r="G122" s="18" t="str">
        <f aca="false">IFERROR(INDEX(종합!G$3:G$501,MATCH(ROW()-2,종합!$AE$3:$AE$501,0))&amp;"","")</f>
        <v/>
      </c>
      <c r="H122" s="21" t="str">
        <f aca="false">IFERROR(INDEX(종합!H$3:H$501,MATCH(ROW()-2,종합!$AE$3:$AE$501,0))&amp;"","")</f>
        <v/>
      </c>
      <c r="I122" s="21" t="str">
        <f aca="false">IFERROR(INDEX(종합!I$3:I$501,MATCH(ROW()-2,종합!$AE$3:$AE$501,0))&amp;"","")</f>
        <v/>
      </c>
      <c r="J122" s="21" t="str">
        <f aca="false">IFERROR(INDEX(종합!J$3:J$501,MATCH(ROW()-2,종합!$AE$3:$AE$501,0))&amp;"","")</f>
        <v/>
      </c>
      <c r="K122" s="21" t="str">
        <f aca="false">IFERROR(INDEX(종합!K$3:K$501,MATCH(ROW()-2,종합!$AE$3:$AE$501,0))&amp;"","")</f>
        <v/>
      </c>
      <c r="L122" s="21" t="str">
        <f aca="false">IFERROR(INDEX(종합!L$3:L$501,MATCH(ROW()-2,종합!$AE$3:$AE$501,0))&amp;"","")</f>
        <v/>
      </c>
      <c r="M122" s="21" t="str">
        <f aca="false">IFERROR(INDEX(종합!M$3:M$501,MATCH(ROW()-2,종합!$AE$3:$AE$501,0))&amp;"","")</f>
        <v/>
      </c>
      <c r="N122" s="25" t="str">
        <f aca="false">IFERROR(INDEX(종합!N$3:N$501,MATCH(ROW()-2,종합!$AE$3:$AE$501,0))&amp;"","")</f>
        <v/>
      </c>
      <c r="O122" s="21" t="str">
        <f aca="false">IFERROR(INDEX(종합!O$3:O$501,MATCH(ROW()-2,종합!$AE$3:$AE$501,0))&amp;"","")</f>
        <v/>
      </c>
      <c r="P122" s="21" t="str">
        <f aca="false">IFERROR(INDEX(종합!P$3:P$501,MATCH(ROW()-2,종합!$AE$3:$AE$501,0))&amp;"","")</f>
        <v/>
      </c>
      <c r="Q122" s="21" t="str">
        <f aca="false">IFERROR(INDEX(종합!Q$3:Q$501,MATCH(ROW()-2,종합!$AE$3:$AE$501,0))&amp;"","")</f>
        <v/>
      </c>
      <c r="R122" s="21" t="str">
        <f aca="false">IFERROR(INDEX(종합!R$3:R$501,MATCH(ROW()-2,종합!$AE$3:$AE$501,0))&amp;"","")</f>
        <v/>
      </c>
      <c r="S122" s="21" t="str">
        <f aca="false">IFERROR(INDEX(종합!S$3:S$501,MATCH(ROW()-2,종합!$AE$3:$AE$501,0))&amp;"","")</f>
        <v/>
      </c>
      <c r="T122" s="21" t="str">
        <f aca="false">IFERROR(INDEX(종합!T$3:T$501,MATCH(ROW()-2,종합!$AE$3:$AE$501,0))&amp;"","")</f>
        <v/>
      </c>
      <c r="U122" s="21" t="str">
        <f aca="false">IFERROR(INDEX(종합!U$3:U$501,MATCH(ROW()-2,종합!$AE$3:$AE$501,0))&amp;"","")</f>
        <v/>
      </c>
      <c r="V122" s="21" t="str">
        <f aca="false">IFERROR(INDEX(종합!V$3:V$501,MATCH(ROW()-2,종합!$AE$3:$AE$501,0))&amp;"","")</f>
        <v/>
      </c>
      <c r="W122" s="21" t="str">
        <f aca="false">IFERROR(INDEX(종합!W$3:W$501,MATCH(ROW()-2,종합!$AE$3:$AE$501,0))&amp;"","")</f>
        <v/>
      </c>
      <c r="X122" s="21" t="str">
        <f aca="false">IFERROR(INDEX(종합!X$3:X$501,MATCH(ROW()-2,종합!$AE$3:$AE$501,0))&amp;"","")</f>
        <v/>
      </c>
      <c r="Y122" s="21" t="str">
        <f aca="false">IFERROR(INDEX(종합!Y$3:Y$501,MATCH(ROW()-2,종합!$AE$3:$AE$501,0))&amp;"","")</f>
        <v/>
      </c>
      <c r="Z122" s="21" t="str">
        <f aca="false">IFERROR(INDEX(종합!Z$3:Z$501,MATCH(ROW()-2,종합!$AE$3:$AE$501,0))&amp;"","")</f>
        <v/>
      </c>
    </row>
    <row r="123" customFormat="false" ht="16.5" hidden="false" customHeight="true" outlineLevel="0" collapsed="false">
      <c r="A123" s="18" t="str">
        <f aca="false">IF(B123="","",ROW()-2)</f>
        <v/>
      </c>
      <c r="B123" s="18" t="str">
        <f aca="false">IFERROR(INDEX(종합!B$3:B$501,MATCH(ROW()-2,종합!$AE$3:$AE$501,0))&amp;"","")</f>
        <v/>
      </c>
      <c r="C123" s="18" t="str">
        <f aca="false">IFERROR(INDEX(종합!C$3:C$501,MATCH(ROW()-2,종합!$AE$3:$AE$501,0))&amp;"","")</f>
        <v/>
      </c>
      <c r="D123" s="18" t="str">
        <f aca="false">IFERROR(INDEX(종합!D$3:D$501,MATCH(ROW()-2,종합!$AE$3:$AE$501,0))&amp;"","")</f>
        <v/>
      </c>
      <c r="E123" s="18" t="str">
        <f aca="false">IFERROR(INDEX(종합!E$3:E$501,MATCH(ROW()-2,종합!$AE$3:$AE$501,0))&amp;"","")</f>
        <v/>
      </c>
      <c r="F123" s="18" t="str">
        <f aca="false">IFERROR(INDEX(종합!F$3:F$501,MATCH(ROW()-2,종합!$AE$3:$AE$501,0))&amp;"","")</f>
        <v/>
      </c>
      <c r="G123" s="18" t="str">
        <f aca="false">IFERROR(INDEX(종합!G$3:G$501,MATCH(ROW()-2,종합!$AE$3:$AE$501,0))&amp;"","")</f>
        <v/>
      </c>
      <c r="H123" s="21" t="str">
        <f aca="false">IFERROR(INDEX(종합!H$3:H$501,MATCH(ROW()-2,종합!$AE$3:$AE$501,0))&amp;"","")</f>
        <v/>
      </c>
      <c r="I123" s="21" t="str">
        <f aca="false">IFERROR(INDEX(종합!I$3:I$501,MATCH(ROW()-2,종합!$AE$3:$AE$501,0))&amp;"","")</f>
        <v/>
      </c>
      <c r="J123" s="21" t="str">
        <f aca="false">IFERROR(INDEX(종합!J$3:J$501,MATCH(ROW()-2,종합!$AE$3:$AE$501,0))&amp;"","")</f>
        <v/>
      </c>
      <c r="K123" s="21" t="str">
        <f aca="false">IFERROR(INDEX(종합!K$3:K$501,MATCH(ROW()-2,종합!$AE$3:$AE$501,0))&amp;"","")</f>
        <v/>
      </c>
      <c r="L123" s="21" t="str">
        <f aca="false">IFERROR(INDEX(종합!L$3:L$501,MATCH(ROW()-2,종합!$AE$3:$AE$501,0))&amp;"","")</f>
        <v/>
      </c>
      <c r="M123" s="21" t="str">
        <f aca="false">IFERROR(INDEX(종합!M$3:M$501,MATCH(ROW()-2,종합!$AE$3:$AE$501,0))&amp;"","")</f>
        <v/>
      </c>
      <c r="N123" s="25" t="str">
        <f aca="false">IFERROR(INDEX(종합!N$3:N$501,MATCH(ROW()-2,종합!$AE$3:$AE$501,0))&amp;"","")</f>
        <v/>
      </c>
      <c r="O123" s="21" t="str">
        <f aca="false">IFERROR(INDEX(종합!O$3:O$501,MATCH(ROW()-2,종합!$AE$3:$AE$501,0))&amp;"","")</f>
        <v/>
      </c>
      <c r="P123" s="21" t="str">
        <f aca="false">IFERROR(INDEX(종합!P$3:P$501,MATCH(ROW()-2,종합!$AE$3:$AE$501,0))&amp;"","")</f>
        <v/>
      </c>
      <c r="Q123" s="21" t="str">
        <f aca="false">IFERROR(INDEX(종합!Q$3:Q$501,MATCH(ROW()-2,종합!$AE$3:$AE$501,0))&amp;"","")</f>
        <v/>
      </c>
      <c r="R123" s="21" t="str">
        <f aca="false">IFERROR(INDEX(종합!R$3:R$501,MATCH(ROW()-2,종합!$AE$3:$AE$501,0))&amp;"","")</f>
        <v/>
      </c>
      <c r="S123" s="21" t="str">
        <f aca="false">IFERROR(INDEX(종합!S$3:S$501,MATCH(ROW()-2,종합!$AE$3:$AE$501,0))&amp;"","")</f>
        <v/>
      </c>
      <c r="T123" s="21" t="str">
        <f aca="false">IFERROR(INDEX(종합!T$3:T$501,MATCH(ROW()-2,종합!$AE$3:$AE$501,0))&amp;"","")</f>
        <v/>
      </c>
      <c r="U123" s="21" t="str">
        <f aca="false">IFERROR(INDEX(종합!U$3:U$501,MATCH(ROW()-2,종합!$AE$3:$AE$501,0))&amp;"","")</f>
        <v/>
      </c>
      <c r="V123" s="21" t="str">
        <f aca="false">IFERROR(INDEX(종합!V$3:V$501,MATCH(ROW()-2,종합!$AE$3:$AE$501,0))&amp;"","")</f>
        <v/>
      </c>
      <c r="W123" s="21" t="str">
        <f aca="false">IFERROR(INDEX(종합!W$3:W$501,MATCH(ROW()-2,종합!$AE$3:$AE$501,0))&amp;"","")</f>
        <v/>
      </c>
      <c r="X123" s="21" t="str">
        <f aca="false">IFERROR(INDEX(종합!X$3:X$501,MATCH(ROW()-2,종합!$AE$3:$AE$501,0))&amp;"","")</f>
        <v/>
      </c>
      <c r="Y123" s="21" t="str">
        <f aca="false">IFERROR(INDEX(종합!Y$3:Y$501,MATCH(ROW()-2,종합!$AE$3:$AE$501,0))&amp;"","")</f>
        <v/>
      </c>
      <c r="Z123" s="21" t="str">
        <f aca="false">IFERROR(INDEX(종합!Z$3:Z$501,MATCH(ROW()-2,종합!$AE$3:$AE$501,0))&amp;"","")</f>
        <v/>
      </c>
    </row>
    <row r="124" customFormat="false" ht="16.5" hidden="false" customHeight="true" outlineLevel="0" collapsed="false">
      <c r="A124" s="18" t="str">
        <f aca="false">IF(B124="","",ROW()-2)</f>
        <v/>
      </c>
      <c r="B124" s="18" t="str">
        <f aca="false">IFERROR(INDEX(종합!B$3:B$501,MATCH(ROW()-2,종합!$AE$3:$AE$501,0))&amp;"","")</f>
        <v/>
      </c>
      <c r="C124" s="18" t="str">
        <f aca="false">IFERROR(INDEX(종합!C$3:C$501,MATCH(ROW()-2,종합!$AE$3:$AE$501,0))&amp;"","")</f>
        <v/>
      </c>
      <c r="D124" s="18" t="str">
        <f aca="false">IFERROR(INDEX(종합!D$3:D$501,MATCH(ROW()-2,종합!$AE$3:$AE$501,0))&amp;"","")</f>
        <v/>
      </c>
      <c r="E124" s="18" t="str">
        <f aca="false">IFERROR(INDEX(종합!E$3:E$501,MATCH(ROW()-2,종합!$AE$3:$AE$501,0))&amp;"","")</f>
        <v/>
      </c>
      <c r="F124" s="18" t="str">
        <f aca="false">IFERROR(INDEX(종합!F$3:F$501,MATCH(ROW()-2,종합!$AE$3:$AE$501,0))&amp;"","")</f>
        <v/>
      </c>
      <c r="G124" s="18" t="str">
        <f aca="false">IFERROR(INDEX(종합!G$3:G$501,MATCH(ROW()-2,종합!$AE$3:$AE$501,0))&amp;"","")</f>
        <v/>
      </c>
      <c r="H124" s="21" t="str">
        <f aca="false">IFERROR(INDEX(종합!H$3:H$501,MATCH(ROW()-2,종합!$AE$3:$AE$501,0))&amp;"","")</f>
        <v/>
      </c>
      <c r="I124" s="21" t="str">
        <f aca="false">IFERROR(INDEX(종합!I$3:I$501,MATCH(ROW()-2,종합!$AE$3:$AE$501,0))&amp;"","")</f>
        <v/>
      </c>
      <c r="J124" s="21" t="str">
        <f aca="false">IFERROR(INDEX(종합!J$3:J$501,MATCH(ROW()-2,종합!$AE$3:$AE$501,0))&amp;"","")</f>
        <v/>
      </c>
      <c r="K124" s="21" t="str">
        <f aca="false">IFERROR(INDEX(종합!K$3:K$501,MATCH(ROW()-2,종합!$AE$3:$AE$501,0))&amp;"","")</f>
        <v/>
      </c>
      <c r="L124" s="21" t="str">
        <f aca="false">IFERROR(INDEX(종합!L$3:L$501,MATCH(ROW()-2,종합!$AE$3:$AE$501,0))&amp;"","")</f>
        <v/>
      </c>
      <c r="M124" s="21" t="str">
        <f aca="false">IFERROR(INDEX(종합!M$3:M$501,MATCH(ROW()-2,종합!$AE$3:$AE$501,0))&amp;"","")</f>
        <v/>
      </c>
      <c r="N124" s="25" t="str">
        <f aca="false">IFERROR(INDEX(종합!N$3:N$501,MATCH(ROW()-2,종합!$AE$3:$AE$501,0))&amp;"","")</f>
        <v/>
      </c>
      <c r="O124" s="21" t="str">
        <f aca="false">IFERROR(INDEX(종합!O$3:O$501,MATCH(ROW()-2,종합!$AE$3:$AE$501,0))&amp;"","")</f>
        <v/>
      </c>
      <c r="P124" s="21" t="str">
        <f aca="false">IFERROR(INDEX(종합!P$3:P$501,MATCH(ROW()-2,종합!$AE$3:$AE$501,0))&amp;"","")</f>
        <v/>
      </c>
      <c r="Q124" s="21" t="str">
        <f aca="false">IFERROR(INDEX(종합!Q$3:Q$501,MATCH(ROW()-2,종합!$AE$3:$AE$501,0))&amp;"","")</f>
        <v/>
      </c>
      <c r="R124" s="21" t="str">
        <f aca="false">IFERROR(INDEX(종합!R$3:R$501,MATCH(ROW()-2,종합!$AE$3:$AE$501,0))&amp;"","")</f>
        <v/>
      </c>
      <c r="S124" s="21" t="str">
        <f aca="false">IFERROR(INDEX(종합!S$3:S$501,MATCH(ROW()-2,종합!$AE$3:$AE$501,0))&amp;"","")</f>
        <v/>
      </c>
      <c r="T124" s="21" t="str">
        <f aca="false">IFERROR(INDEX(종합!T$3:T$501,MATCH(ROW()-2,종합!$AE$3:$AE$501,0))&amp;"","")</f>
        <v/>
      </c>
      <c r="U124" s="21" t="str">
        <f aca="false">IFERROR(INDEX(종합!U$3:U$501,MATCH(ROW()-2,종합!$AE$3:$AE$501,0))&amp;"","")</f>
        <v/>
      </c>
      <c r="V124" s="21" t="str">
        <f aca="false">IFERROR(INDEX(종합!V$3:V$501,MATCH(ROW()-2,종합!$AE$3:$AE$501,0))&amp;"","")</f>
        <v/>
      </c>
      <c r="W124" s="21" t="str">
        <f aca="false">IFERROR(INDEX(종합!W$3:W$501,MATCH(ROW()-2,종합!$AE$3:$AE$501,0))&amp;"","")</f>
        <v/>
      </c>
      <c r="X124" s="21" t="str">
        <f aca="false">IFERROR(INDEX(종합!X$3:X$501,MATCH(ROW()-2,종합!$AE$3:$AE$501,0))&amp;"","")</f>
        <v/>
      </c>
      <c r="Y124" s="21" t="str">
        <f aca="false">IFERROR(INDEX(종합!Y$3:Y$501,MATCH(ROW()-2,종합!$AE$3:$AE$501,0))&amp;"","")</f>
        <v/>
      </c>
      <c r="Z124" s="21" t="str">
        <f aca="false">IFERROR(INDEX(종합!Z$3:Z$501,MATCH(ROW()-2,종합!$AE$3:$AE$501,0))&amp;"","")</f>
        <v/>
      </c>
    </row>
    <row r="125" customFormat="false" ht="16.5" hidden="false" customHeight="true" outlineLevel="0" collapsed="false">
      <c r="A125" s="18" t="str">
        <f aca="false">IF(B125="","",ROW()-2)</f>
        <v/>
      </c>
      <c r="B125" s="18" t="str">
        <f aca="false">IFERROR(INDEX(종합!B$3:B$501,MATCH(ROW()-2,종합!$AE$3:$AE$501,0))&amp;"","")</f>
        <v/>
      </c>
      <c r="C125" s="18" t="str">
        <f aca="false">IFERROR(INDEX(종합!C$3:C$501,MATCH(ROW()-2,종합!$AE$3:$AE$501,0))&amp;"","")</f>
        <v/>
      </c>
      <c r="D125" s="18" t="str">
        <f aca="false">IFERROR(INDEX(종합!D$3:D$501,MATCH(ROW()-2,종합!$AE$3:$AE$501,0))&amp;"","")</f>
        <v/>
      </c>
      <c r="E125" s="18" t="str">
        <f aca="false">IFERROR(INDEX(종합!E$3:E$501,MATCH(ROW()-2,종합!$AE$3:$AE$501,0))&amp;"","")</f>
        <v/>
      </c>
      <c r="F125" s="18" t="str">
        <f aca="false">IFERROR(INDEX(종합!F$3:F$501,MATCH(ROW()-2,종합!$AE$3:$AE$501,0))&amp;"","")</f>
        <v/>
      </c>
      <c r="G125" s="18" t="str">
        <f aca="false">IFERROR(INDEX(종합!G$3:G$501,MATCH(ROW()-2,종합!$AE$3:$AE$501,0))&amp;"","")</f>
        <v/>
      </c>
      <c r="H125" s="21" t="str">
        <f aca="false">IFERROR(INDEX(종합!H$3:H$501,MATCH(ROW()-2,종합!$AE$3:$AE$501,0))&amp;"","")</f>
        <v/>
      </c>
      <c r="I125" s="21" t="str">
        <f aca="false">IFERROR(INDEX(종합!I$3:I$501,MATCH(ROW()-2,종합!$AE$3:$AE$501,0))&amp;"","")</f>
        <v/>
      </c>
      <c r="J125" s="21" t="str">
        <f aca="false">IFERROR(INDEX(종합!J$3:J$501,MATCH(ROW()-2,종합!$AE$3:$AE$501,0))&amp;"","")</f>
        <v/>
      </c>
      <c r="K125" s="21" t="str">
        <f aca="false">IFERROR(INDEX(종합!K$3:K$501,MATCH(ROW()-2,종합!$AE$3:$AE$501,0))&amp;"","")</f>
        <v/>
      </c>
      <c r="L125" s="21" t="str">
        <f aca="false">IFERROR(INDEX(종합!L$3:L$501,MATCH(ROW()-2,종합!$AE$3:$AE$501,0))&amp;"","")</f>
        <v/>
      </c>
      <c r="M125" s="21" t="str">
        <f aca="false">IFERROR(INDEX(종합!M$3:M$501,MATCH(ROW()-2,종합!$AE$3:$AE$501,0))&amp;"","")</f>
        <v/>
      </c>
      <c r="N125" s="25" t="str">
        <f aca="false">IFERROR(INDEX(종합!N$3:N$501,MATCH(ROW()-2,종합!$AE$3:$AE$501,0))&amp;"","")</f>
        <v/>
      </c>
      <c r="O125" s="21" t="str">
        <f aca="false">IFERROR(INDEX(종합!O$3:O$501,MATCH(ROW()-2,종합!$AE$3:$AE$501,0))&amp;"","")</f>
        <v/>
      </c>
      <c r="P125" s="21" t="str">
        <f aca="false">IFERROR(INDEX(종합!P$3:P$501,MATCH(ROW()-2,종합!$AE$3:$AE$501,0))&amp;"","")</f>
        <v/>
      </c>
      <c r="Q125" s="21" t="str">
        <f aca="false">IFERROR(INDEX(종합!Q$3:Q$501,MATCH(ROW()-2,종합!$AE$3:$AE$501,0))&amp;"","")</f>
        <v/>
      </c>
      <c r="R125" s="21" t="str">
        <f aca="false">IFERROR(INDEX(종합!R$3:R$501,MATCH(ROW()-2,종합!$AE$3:$AE$501,0))&amp;"","")</f>
        <v/>
      </c>
      <c r="S125" s="21" t="str">
        <f aca="false">IFERROR(INDEX(종합!S$3:S$501,MATCH(ROW()-2,종합!$AE$3:$AE$501,0))&amp;"","")</f>
        <v/>
      </c>
      <c r="T125" s="21" t="str">
        <f aca="false">IFERROR(INDEX(종합!T$3:T$501,MATCH(ROW()-2,종합!$AE$3:$AE$501,0))&amp;"","")</f>
        <v/>
      </c>
      <c r="U125" s="21" t="str">
        <f aca="false">IFERROR(INDEX(종합!U$3:U$501,MATCH(ROW()-2,종합!$AE$3:$AE$501,0))&amp;"","")</f>
        <v/>
      </c>
      <c r="V125" s="21" t="str">
        <f aca="false">IFERROR(INDEX(종합!V$3:V$501,MATCH(ROW()-2,종합!$AE$3:$AE$501,0))&amp;"","")</f>
        <v/>
      </c>
      <c r="W125" s="21" t="str">
        <f aca="false">IFERROR(INDEX(종합!W$3:W$501,MATCH(ROW()-2,종합!$AE$3:$AE$501,0))&amp;"","")</f>
        <v/>
      </c>
      <c r="X125" s="21" t="str">
        <f aca="false">IFERROR(INDEX(종합!X$3:X$501,MATCH(ROW()-2,종합!$AE$3:$AE$501,0))&amp;"","")</f>
        <v/>
      </c>
      <c r="Y125" s="21" t="str">
        <f aca="false">IFERROR(INDEX(종합!Y$3:Y$501,MATCH(ROW()-2,종합!$AE$3:$AE$501,0))&amp;"","")</f>
        <v/>
      </c>
      <c r="Z125" s="21" t="str">
        <f aca="false">IFERROR(INDEX(종합!Z$3:Z$501,MATCH(ROW()-2,종합!$AE$3:$AE$501,0))&amp;"","")</f>
        <v/>
      </c>
    </row>
    <row r="126" customFormat="false" ht="16.5" hidden="false" customHeight="true" outlineLevel="0" collapsed="false">
      <c r="A126" s="18" t="str">
        <f aca="false">IF(B126="","",ROW()-2)</f>
        <v/>
      </c>
      <c r="B126" s="18" t="str">
        <f aca="false">IFERROR(INDEX(종합!B$3:B$501,MATCH(ROW()-2,종합!$AE$3:$AE$501,0))&amp;"","")</f>
        <v/>
      </c>
      <c r="C126" s="18" t="str">
        <f aca="false">IFERROR(INDEX(종합!C$3:C$501,MATCH(ROW()-2,종합!$AE$3:$AE$501,0))&amp;"","")</f>
        <v/>
      </c>
      <c r="D126" s="18" t="str">
        <f aca="false">IFERROR(INDEX(종합!D$3:D$501,MATCH(ROW()-2,종합!$AE$3:$AE$501,0))&amp;"","")</f>
        <v/>
      </c>
      <c r="E126" s="18" t="str">
        <f aca="false">IFERROR(INDEX(종합!E$3:E$501,MATCH(ROW()-2,종합!$AE$3:$AE$501,0))&amp;"","")</f>
        <v/>
      </c>
      <c r="F126" s="18" t="str">
        <f aca="false">IFERROR(INDEX(종합!F$3:F$501,MATCH(ROW()-2,종합!$AE$3:$AE$501,0))&amp;"","")</f>
        <v/>
      </c>
      <c r="G126" s="18" t="str">
        <f aca="false">IFERROR(INDEX(종합!G$3:G$501,MATCH(ROW()-2,종합!$AE$3:$AE$501,0))&amp;"","")</f>
        <v/>
      </c>
      <c r="H126" s="21" t="str">
        <f aca="false">IFERROR(INDEX(종합!H$3:H$501,MATCH(ROW()-2,종합!$AE$3:$AE$501,0))&amp;"","")</f>
        <v/>
      </c>
      <c r="I126" s="21" t="str">
        <f aca="false">IFERROR(INDEX(종합!I$3:I$501,MATCH(ROW()-2,종합!$AE$3:$AE$501,0))&amp;"","")</f>
        <v/>
      </c>
      <c r="J126" s="21" t="str">
        <f aca="false">IFERROR(INDEX(종합!J$3:J$501,MATCH(ROW()-2,종합!$AE$3:$AE$501,0))&amp;"","")</f>
        <v/>
      </c>
      <c r="K126" s="21" t="str">
        <f aca="false">IFERROR(INDEX(종합!K$3:K$501,MATCH(ROW()-2,종합!$AE$3:$AE$501,0))&amp;"","")</f>
        <v/>
      </c>
      <c r="L126" s="21" t="str">
        <f aca="false">IFERROR(INDEX(종합!L$3:L$501,MATCH(ROW()-2,종합!$AE$3:$AE$501,0))&amp;"","")</f>
        <v/>
      </c>
      <c r="M126" s="21" t="str">
        <f aca="false">IFERROR(INDEX(종합!M$3:M$501,MATCH(ROW()-2,종합!$AE$3:$AE$501,0))&amp;"","")</f>
        <v/>
      </c>
      <c r="N126" s="25" t="str">
        <f aca="false">IFERROR(INDEX(종합!N$3:N$501,MATCH(ROW()-2,종합!$AE$3:$AE$501,0))&amp;"","")</f>
        <v/>
      </c>
      <c r="O126" s="21" t="str">
        <f aca="false">IFERROR(INDEX(종합!O$3:O$501,MATCH(ROW()-2,종합!$AE$3:$AE$501,0))&amp;"","")</f>
        <v/>
      </c>
      <c r="P126" s="21" t="str">
        <f aca="false">IFERROR(INDEX(종합!P$3:P$501,MATCH(ROW()-2,종합!$AE$3:$AE$501,0))&amp;"","")</f>
        <v/>
      </c>
      <c r="Q126" s="21" t="str">
        <f aca="false">IFERROR(INDEX(종합!Q$3:Q$501,MATCH(ROW()-2,종합!$AE$3:$AE$501,0))&amp;"","")</f>
        <v/>
      </c>
      <c r="R126" s="21" t="str">
        <f aca="false">IFERROR(INDEX(종합!R$3:R$501,MATCH(ROW()-2,종합!$AE$3:$AE$501,0))&amp;"","")</f>
        <v/>
      </c>
      <c r="S126" s="21" t="str">
        <f aca="false">IFERROR(INDEX(종합!S$3:S$501,MATCH(ROW()-2,종합!$AE$3:$AE$501,0))&amp;"","")</f>
        <v/>
      </c>
      <c r="T126" s="21" t="str">
        <f aca="false">IFERROR(INDEX(종합!T$3:T$501,MATCH(ROW()-2,종합!$AE$3:$AE$501,0))&amp;"","")</f>
        <v/>
      </c>
      <c r="U126" s="21" t="str">
        <f aca="false">IFERROR(INDEX(종합!U$3:U$501,MATCH(ROW()-2,종합!$AE$3:$AE$501,0))&amp;"","")</f>
        <v/>
      </c>
      <c r="V126" s="21" t="str">
        <f aca="false">IFERROR(INDEX(종합!V$3:V$501,MATCH(ROW()-2,종합!$AE$3:$AE$501,0))&amp;"","")</f>
        <v/>
      </c>
      <c r="W126" s="21" t="str">
        <f aca="false">IFERROR(INDEX(종합!W$3:W$501,MATCH(ROW()-2,종합!$AE$3:$AE$501,0))&amp;"","")</f>
        <v/>
      </c>
      <c r="X126" s="21" t="str">
        <f aca="false">IFERROR(INDEX(종합!X$3:X$501,MATCH(ROW()-2,종합!$AE$3:$AE$501,0))&amp;"","")</f>
        <v/>
      </c>
      <c r="Y126" s="21" t="str">
        <f aca="false">IFERROR(INDEX(종합!Y$3:Y$501,MATCH(ROW()-2,종합!$AE$3:$AE$501,0))&amp;"","")</f>
        <v/>
      </c>
      <c r="Z126" s="21" t="str">
        <f aca="false">IFERROR(INDEX(종합!Z$3:Z$501,MATCH(ROW()-2,종합!$AE$3:$AE$501,0))&amp;"","")</f>
        <v/>
      </c>
    </row>
    <row r="127" customFormat="false" ht="16.5" hidden="false" customHeight="true" outlineLevel="0" collapsed="false">
      <c r="A127" s="18" t="str">
        <f aca="false">IF(B127="","",ROW()-2)</f>
        <v/>
      </c>
      <c r="B127" s="18" t="str">
        <f aca="false">IFERROR(INDEX(종합!B$3:B$501,MATCH(ROW()-2,종합!$AE$3:$AE$501,0))&amp;"","")</f>
        <v/>
      </c>
      <c r="C127" s="18" t="str">
        <f aca="false">IFERROR(INDEX(종합!C$3:C$501,MATCH(ROW()-2,종합!$AE$3:$AE$501,0))&amp;"","")</f>
        <v/>
      </c>
      <c r="D127" s="18" t="str">
        <f aca="false">IFERROR(INDEX(종합!D$3:D$501,MATCH(ROW()-2,종합!$AE$3:$AE$501,0))&amp;"","")</f>
        <v/>
      </c>
      <c r="E127" s="18" t="str">
        <f aca="false">IFERROR(INDEX(종합!E$3:E$501,MATCH(ROW()-2,종합!$AE$3:$AE$501,0))&amp;"","")</f>
        <v/>
      </c>
      <c r="F127" s="18" t="str">
        <f aca="false">IFERROR(INDEX(종합!F$3:F$501,MATCH(ROW()-2,종합!$AE$3:$AE$501,0))&amp;"","")</f>
        <v/>
      </c>
      <c r="G127" s="18" t="str">
        <f aca="false">IFERROR(INDEX(종합!G$3:G$501,MATCH(ROW()-2,종합!$AE$3:$AE$501,0))&amp;"","")</f>
        <v/>
      </c>
      <c r="H127" s="21" t="str">
        <f aca="false">IFERROR(INDEX(종합!H$3:H$501,MATCH(ROW()-2,종합!$AE$3:$AE$501,0))&amp;"","")</f>
        <v/>
      </c>
      <c r="I127" s="21" t="str">
        <f aca="false">IFERROR(INDEX(종합!I$3:I$501,MATCH(ROW()-2,종합!$AE$3:$AE$501,0))&amp;"","")</f>
        <v/>
      </c>
      <c r="J127" s="21" t="str">
        <f aca="false">IFERROR(INDEX(종합!J$3:J$501,MATCH(ROW()-2,종합!$AE$3:$AE$501,0))&amp;"","")</f>
        <v/>
      </c>
      <c r="K127" s="21" t="str">
        <f aca="false">IFERROR(INDEX(종합!K$3:K$501,MATCH(ROW()-2,종합!$AE$3:$AE$501,0))&amp;"","")</f>
        <v/>
      </c>
      <c r="L127" s="21" t="str">
        <f aca="false">IFERROR(INDEX(종합!L$3:L$501,MATCH(ROW()-2,종합!$AE$3:$AE$501,0))&amp;"","")</f>
        <v/>
      </c>
      <c r="M127" s="21" t="str">
        <f aca="false">IFERROR(INDEX(종합!M$3:M$501,MATCH(ROW()-2,종합!$AE$3:$AE$501,0))&amp;"","")</f>
        <v/>
      </c>
      <c r="N127" s="25" t="str">
        <f aca="false">IFERROR(INDEX(종합!N$3:N$501,MATCH(ROW()-2,종합!$AE$3:$AE$501,0))&amp;"","")</f>
        <v/>
      </c>
      <c r="O127" s="21" t="str">
        <f aca="false">IFERROR(INDEX(종합!O$3:O$501,MATCH(ROW()-2,종합!$AE$3:$AE$501,0))&amp;"","")</f>
        <v/>
      </c>
      <c r="P127" s="21" t="str">
        <f aca="false">IFERROR(INDEX(종합!P$3:P$501,MATCH(ROW()-2,종합!$AE$3:$AE$501,0))&amp;"","")</f>
        <v/>
      </c>
      <c r="Q127" s="21" t="str">
        <f aca="false">IFERROR(INDEX(종합!Q$3:Q$501,MATCH(ROW()-2,종합!$AE$3:$AE$501,0))&amp;"","")</f>
        <v/>
      </c>
      <c r="R127" s="21" t="str">
        <f aca="false">IFERROR(INDEX(종합!R$3:R$501,MATCH(ROW()-2,종합!$AE$3:$AE$501,0))&amp;"","")</f>
        <v/>
      </c>
      <c r="S127" s="21" t="str">
        <f aca="false">IFERROR(INDEX(종합!S$3:S$501,MATCH(ROW()-2,종합!$AE$3:$AE$501,0))&amp;"","")</f>
        <v/>
      </c>
      <c r="T127" s="21" t="str">
        <f aca="false">IFERROR(INDEX(종합!T$3:T$501,MATCH(ROW()-2,종합!$AE$3:$AE$501,0))&amp;"","")</f>
        <v/>
      </c>
      <c r="U127" s="21" t="str">
        <f aca="false">IFERROR(INDEX(종합!U$3:U$501,MATCH(ROW()-2,종합!$AE$3:$AE$501,0))&amp;"","")</f>
        <v/>
      </c>
      <c r="V127" s="21" t="str">
        <f aca="false">IFERROR(INDEX(종합!V$3:V$501,MATCH(ROW()-2,종합!$AE$3:$AE$501,0))&amp;"","")</f>
        <v/>
      </c>
      <c r="W127" s="21" t="str">
        <f aca="false">IFERROR(INDEX(종합!W$3:W$501,MATCH(ROW()-2,종합!$AE$3:$AE$501,0))&amp;"","")</f>
        <v/>
      </c>
      <c r="X127" s="21" t="str">
        <f aca="false">IFERROR(INDEX(종합!X$3:X$501,MATCH(ROW()-2,종합!$AE$3:$AE$501,0))&amp;"","")</f>
        <v/>
      </c>
      <c r="Y127" s="21" t="str">
        <f aca="false">IFERROR(INDEX(종합!Y$3:Y$501,MATCH(ROW()-2,종합!$AE$3:$AE$501,0))&amp;"","")</f>
        <v/>
      </c>
      <c r="Z127" s="21" t="str">
        <f aca="false">IFERROR(INDEX(종합!Z$3:Z$501,MATCH(ROW()-2,종합!$AE$3:$AE$501,0))&amp;"","")</f>
        <v/>
      </c>
    </row>
    <row r="128" customFormat="false" ht="16.5" hidden="false" customHeight="true" outlineLevel="0" collapsed="false">
      <c r="A128" s="18" t="str">
        <f aca="false">IF(B128="","",ROW()-2)</f>
        <v/>
      </c>
      <c r="B128" s="18" t="str">
        <f aca="false">IFERROR(INDEX(종합!B$3:B$501,MATCH(ROW()-2,종합!$AE$3:$AE$501,0))&amp;"","")</f>
        <v/>
      </c>
      <c r="C128" s="18" t="str">
        <f aca="false">IFERROR(INDEX(종합!C$3:C$501,MATCH(ROW()-2,종합!$AE$3:$AE$501,0))&amp;"","")</f>
        <v/>
      </c>
      <c r="D128" s="18" t="str">
        <f aca="false">IFERROR(INDEX(종합!D$3:D$501,MATCH(ROW()-2,종합!$AE$3:$AE$501,0))&amp;"","")</f>
        <v/>
      </c>
      <c r="E128" s="18" t="str">
        <f aca="false">IFERROR(INDEX(종합!E$3:E$501,MATCH(ROW()-2,종합!$AE$3:$AE$501,0))&amp;"","")</f>
        <v/>
      </c>
      <c r="F128" s="18" t="str">
        <f aca="false">IFERROR(INDEX(종합!F$3:F$501,MATCH(ROW()-2,종합!$AE$3:$AE$501,0))&amp;"","")</f>
        <v/>
      </c>
      <c r="G128" s="18" t="str">
        <f aca="false">IFERROR(INDEX(종합!G$3:G$501,MATCH(ROW()-2,종합!$AE$3:$AE$501,0))&amp;"","")</f>
        <v/>
      </c>
      <c r="H128" s="21" t="str">
        <f aca="false">IFERROR(INDEX(종합!H$3:H$501,MATCH(ROW()-2,종합!$AE$3:$AE$501,0))&amp;"","")</f>
        <v/>
      </c>
      <c r="I128" s="21" t="str">
        <f aca="false">IFERROR(INDEX(종합!I$3:I$501,MATCH(ROW()-2,종합!$AE$3:$AE$501,0))&amp;"","")</f>
        <v/>
      </c>
      <c r="J128" s="21" t="str">
        <f aca="false">IFERROR(INDEX(종합!J$3:J$501,MATCH(ROW()-2,종합!$AE$3:$AE$501,0))&amp;"","")</f>
        <v/>
      </c>
      <c r="K128" s="21" t="str">
        <f aca="false">IFERROR(INDEX(종합!K$3:K$501,MATCH(ROW()-2,종합!$AE$3:$AE$501,0))&amp;"","")</f>
        <v/>
      </c>
      <c r="L128" s="21" t="str">
        <f aca="false">IFERROR(INDEX(종합!L$3:L$501,MATCH(ROW()-2,종합!$AE$3:$AE$501,0))&amp;"","")</f>
        <v/>
      </c>
      <c r="M128" s="21" t="str">
        <f aca="false">IFERROR(INDEX(종합!M$3:M$501,MATCH(ROW()-2,종합!$AE$3:$AE$501,0))&amp;"","")</f>
        <v/>
      </c>
      <c r="N128" s="25" t="str">
        <f aca="false">IFERROR(INDEX(종합!N$3:N$501,MATCH(ROW()-2,종합!$AE$3:$AE$501,0))&amp;"","")</f>
        <v/>
      </c>
      <c r="O128" s="21" t="str">
        <f aca="false">IFERROR(INDEX(종합!O$3:O$501,MATCH(ROW()-2,종합!$AE$3:$AE$501,0))&amp;"","")</f>
        <v/>
      </c>
      <c r="P128" s="21" t="str">
        <f aca="false">IFERROR(INDEX(종합!P$3:P$501,MATCH(ROW()-2,종합!$AE$3:$AE$501,0))&amp;"","")</f>
        <v/>
      </c>
      <c r="Q128" s="21" t="str">
        <f aca="false">IFERROR(INDEX(종합!Q$3:Q$501,MATCH(ROW()-2,종합!$AE$3:$AE$501,0))&amp;"","")</f>
        <v/>
      </c>
      <c r="R128" s="21" t="str">
        <f aca="false">IFERROR(INDEX(종합!R$3:R$501,MATCH(ROW()-2,종합!$AE$3:$AE$501,0))&amp;"","")</f>
        <v/>
      </c>
      <c r="S128" s="21" t="str">
        <f aca="false">IFERROR(INDEX(종합!S$3:S$501,MATCH(ROW()-2,종합!$AE$3:$AE$501,0))&amp;"","")</f>
        <v/>
      </c>
      <c r="T128" s="21" t="str">
        <f aca="false">IFERROR(INDEX(종합!T$3:T$501,MATCH(ROW()-2,종합!$AE$3:$AE$501,0))&amp;"","")</f>
        <v/>
      </c>
      <c r="U128" s="21" t="str">
        <f aca="false">IFERROR(INDEX(종합!U$3:U$501,MATCH(ROW()-2,종합!$AE$3:$AE$501,0))&amp;"","")</f>
        <v/>
      </c>
      <c r="V128" s="21" t="str">
        <f aca="false">IFERROR(INDEX(종합!V$3:V$501,MATCH(ROW()-2,종합!$AE$3:$AE$501,0))&amp;"","")</f>
        <v/>
      </c>
      <c r="W128" s="21" t="str">
        <f aca="false">IFERROR(INDEX(종합!W$3:W$501,MATCH(ROW()-2,종합!$AE$3:$AE$501,0))&amp;"","")</f>
        <v/>
      </c>
      <c r="X128" s="21" t="str">
        <f aca="false">IFERROR(INDEX(종합!X$3:X$501,MATCH(ROW()-2,종합!$AE$3:$AE$501,0))&amp;"","")</f>
        <v/>
      </c>
      <c r="Y128" s="21" t="str">
        <f aca="false">IFERROR(INDEX(종합!Y$3:Y$501,MATCH(ROW()-2,종합!$AE$3:$AE$501,0))&amp;"","")</f>
        <v/>
      </c>
      <c r="Z128" s="21" t="str">
        <f aca="false">IFERROR(INDEX(종합!Z$3:Z$501,MATCH(ROW()-2,종합!$AE$3:$AE$501,0))&amp;"","")</f>
        <v/>
      </c>
    </row>
    <row r="129" customFormat="false" ht="16.5" hidden="false" customHeight="true" outlineLevel="0" collapsed="false">
      <c r="A129" s="18" t="str">
        <f aca="false">IF(B129="","",ROW()-2)</f>
        <v/>
      </c>
      <c r="B129" s="18" t="str">
        <f aca="false">IFERROR(INDEX(종합!B$3:B$501,MATCH(ROW()-2,종합!$AE$3:$AE$501,0))&amp;"","")</f>
        <v/>
      </c>
      <c r="C129" s="18" t="str">
        <f aca="false">IFERROR(INDEX(종합!C$3:C$501,MATCH(ROW()-2,종합!$AE$3:$AE$501,0))&amp;"","")</f>
        <v/>
      </c>
      <c r="D129" s="18" t="str">
        <f aca="false">IFERROR(INDEX(종합!D$3:D$501,MATCH(ROW()-2,종합!$AE$3:$AE$501,0))&amp;"","")</f>
        <v/>
      </c>
      <c r="E129" s="18" t="str">
        <f aca="false">IFERROR(INDEX(종합!E$3:E$501,MATCH(ROW()-2,종합!$AE$3:$AE$501,0))&amp;"","")</f>
        <v/>
      </c>
      <c r="F129" s="18" t="str">
        <f aca="false">IFERROR(INDEX(종합!F$3:F$501,MATCH(ROW()-2,종합!$AE$3:$AE$501,0))&amp;"","")</f>
        <v/>
      </c>
      <c r="G129" s="18" t="str">
        <f aca="false">IFERROR(INDEX(종합!G$3:G$501,MATCH(ROW()-2,종합!$AE$3:$AE$501,0))&amp;"","")</f>
        <v/>
      </c>
      <c r="H129" s="21" t="str">
        <f aca="false">IFERROR(INDEX(종합!H$3:H$501,MATCH(ROW()-2,종합!$AE$3:$AE$501,0))&amp;"","")</f>
        <v/>
      </c>
      <c r="I129" s="21" t="str">
        <f aca="false">IFERROR(INDEX(종합!I$3:I$501,MATCH(ROW()-2,종합!$AE$3:$AE$501,0))&amp;"","")</f>
        <v/>
      </c>
      <c r="J129" s="21" t="str">
        <f aca="false">IFERROR(INDEX(종합!J$3:J$501,MATCH(ROW()-2,종합!$AE$3:$AE$501,0))&amp;"","")</f>
        <v/>
      </c>
      <c r="K129" s="21" t="str">
        <f aca="false">IFERROR(INDEX(종합!K$3:K$501,MATCH(ROW()-2,종합!$AE$3:$AE$501,0))&amp;"","")</f>
        <v/>
      </c>
      <c r="L129" s="21" t="str">
        <f aca="false">IFERROR(INDEX(종합!L$3:L$501,MATCH(ROW()-2,종합!$AE$3:$AE$501,0))&amp;"","")</f>
        <v/>
      </c>
      <c r="M129" s="21" t="str">
        <f aca="false">IFERROR(INDEX(종합!M$3:M$501,MATCH(ROW()-2,종합!$AE$3:$AE$501,0))&amp;"","")</f>
        <v/>
      </c>
      <c r="N129" s="25" t="str">
        <f aca="false">IFERROR(INDEX(종합!N$3:N$501,MATCH(ROW()-2,종합!$AE$3:$AE$501,0))&amp;"","")</f>
        <v/>
      </c>
      <c r="O129" s="21" t="str">
        <f aca="false">IFERROR(INDEX(종합!O$3:O$501,MATCH(ROW()-2,종합!$AE$3:$AE$501,0))&amp;"","")</f>
        <v/>
      </c>
      <c r="P129" s="21" t="str">
        <f aca="false">IFERROR(INDEX(종합!P$3:P$501,MATCH(ROW()-2,종합!$AE$3:$AE$501,0))&amp;"","")</f>
        <v/>
      </c>
      <c r="Q129" s="21" t="str">
        <f aca="false">IFERROR(INDEX(종합!Q$3:Q$501,MATCH(ROW()-2,종합!$AE$3:$AE$501,0))&amp;"","")</f>
        <v/>
      </c>
      <c r="R129" s="21" t="str">
        <f aca="false">IFERROR(INDEX(종합!R$3:R$501,MATCH(ROW()-2,종합!$AE$3:$AE$501,0))&amp;"","")</f>
        <v/>
      </c>
      <c r="S129" s="21" t="str">
        <f aca="false">IFERROR(INDEX(종합!S$3:S$501,MATCH(ROW()-2,종합!$AE$3:$AE$501,0))&amp;"","")</f>
        <v/>
      </c>
      <c r="T129" s="21" t="str">
        <f aca="false">IFERROR(INDEX(종합!T$3:T$501,MATCH(ROW()-2,종합!$AE$3:$AE$501,0))&amp;"","")</f>
        <v/>
      </c>
      <c r="U129" s="21" t="str">
        <f aca="false">IFERROR(INDEX(종합!U$3:U$501,MATCH(ROW()-2,종합!$AE$3:$AE$501,0))&amp;"","")</f>
        <v/>
      </c>
      <c r="V129" s="21" t="str">
        <f aca="false">IFERROR(INDEX(종합!V$3:V$501,MATCH(ROW()-2,종합!$AE$3:$AE$501,0))&amp;"","")</f>
        <v/>
      </c>
      <c r="W129" s="21" t="str">
        <f aca="false">IFERROR(INDEX(종합!W$3:W$501,MATCH(ROW()-2,종합!$AE$3:$AE$501,0))&amp;"","")</f>
        <v/>
      </c>
      <c r="X129" s="21" t="str">
        <f aca="false">IFERROR(INDEX(종합!X$3:X$501,MATCH(ROW()-2,종합!$AE$3:$AE$501,0))&amp;"","")</f>
        <v/>
      </c>
      <c r="Y129" s="21" t="str">
        <f aca="false">IFERROR(INDEX(종합!Y$3:Y$501,MATCH(ROW()-2,종합!$AE$3:$AE$501,0))&amp;"","")</f>
        <v/>
      </c>
      <c r="Z129" s="21" t="str">
        <f aca="false">IFERROR(INDEX(종합!Z$3:Z$501,MATCH(ROW()-2,종합!$AE$3:$AE$501,0))&amp;"","")</f>
        <v/>
      </c>
    </row>
    <row r="130" customFormat="false" ht="16.5" hidden="false" customHeight="true" outlineLevel="0" collapsed="false">
      <c r="A130" s="18" t="str">
        <f aca="false">IF(B130="","",ROW()-2)</f>
        <v/>
      </c>
      <c r="B130" s="18" t="str">
        <f aca="false">IFERROR(INDEX(종합!B$3:B$501,MATCH(ROW()-2,종합!$AE$3:$AE$501,0))&amp;"","")</f>
        <v/>
      </c>
      <c r="C130" s="18" t="str">
        <f aca="false">IFERROR(INDEX(종합!C$3:C$501,MATCH(ROW()-2,종합!$AE$3:$AE$501,0))&amp;"","")</f>
        <v/>
      </c>
      <c r="D130" s="18" t="str">
        <f aca="false">IFERROR(INDEX(종합!D$3:D$501,MATCH(ROW()-2,종합!$AE$3:$AE$501,0))&amp;"","")</f>
        <v/>
      </c>
      <c r="E130" s="18" t="str">
        <f aca="false">IFERROR(INDEX(종합!E$3:E$501,MATCH(ROW()-2,종합!$AE$3:$AE$501,0))&amp;"","")</f>
        <v/>
      </c>
      <c r="F130" s="18" t="str">
        <f aca="false">IFERROR(INDEX(종합!F$3:F$501,MATCH(ROW()-2,종합!$AE$3:$AE$501,0))&amp;"","")</f>
        <v/>
      </c>
      <c r="G130" s="18" t="str">
        <f aca="false">IFERROR(INDEX(종합!G$3:G$501,MATCH(ROW()-2,종합!$AE$3:$AE$501,0))&amp;"","")</f>
        <v/>
      </c>
      <c r="H130" s="21" t="str">
        <f aca="false">IFERROR(INDEX(종합!H$3:H$501,MATCH(ROW()-2,종합!$AE$3:$AE$501,0))&amp;"","")</f>
        <v/>
      </c>
      <c r="I130" s="21" t="str">
        <f aca="false">IFERROR(INDEX(종합!I$3:I$501,MATCH(ROW()-2,종합!$AE$3:$AE$501,0))&amp;"","")</f>
        <v/>
      </c>
      <c r="J130" s="21" t="str">
        <f aca="false">IFERROR(INDEX(종합!J$3:J$501,MATCH(ROW()-2,종합!$AE$3:$AE$501,0))&amp;"","")</f>
        <v/>
      </c>
      <c r="K130" s="21" t="str">
        <f aca="false">IFERROR(INDEX(종합!K$3:K$501,MATCH(ROW()-2,종합!$AE$3:$AE$501,0))&amp;"","")</f>
        <v/>
      </c>
      <c r="L130" s="21" t="str">
        <f aca="false">IFERROR(INDEX(종합!L$3:L$501,MATCH(ROW()-2,종합!$AE$3:$AE$501,0))&amp;"","")</f>
        <v/>
      </c>
      <c r="M130" s="21" t="str">
        <f aca="false">IFERROR(INDEX(종합!M$3:M$501,MATCH(ROW()-2,종합!$AE$3:$AE$501,0))&amp;"","")</f>
        <v/>
      </c>
      <c r="N130" s="25" t="str">
        <f aca="false">IFERROR(INDEX(종합!N$3:N$501,MATCH(ROW()-2,종합!$AE$3:$AE$501,0))&amp;"","")</f>
        <v/>
      </c>
      <c r="O130" s="21" t="str">
        <f aca="false">IFERROR(INDEX(종합!O$3:O$501,MATCH(ROW()-2,종합!$AE$3:$AE$501,0))&amp;"","")</f>
        <v/>
      </c>
      <c r="P130" s="21" t="str">
        <f aca="false">IFERROR(INDEX(종합!P$3:P$501,MATCH(ROW()-2,종합!$AE$3:$AE$501,0))&amp;"","")</f>
        <v/>
      </c>
      <c r="Q130" s="21" t="str">
        <f aca="false">IFERROR(INDEX(종합!Q$3:Q$501,MATCH(ROW()-2,종합!$AE$3:$AE$501,0))&amp;"","")</f>
        <v/>
      </c>
      <c r="R130" s="21" t="str">
        <f aca="false">IFERROR(INDEX(종합!R$3:R$501,MATCH(ROW()-2,종합!$AE$3:$AE$501,0))&amp;"","")</f>
        <v/>
      </c>
      <c r="S130" s="21" t="str">
        <f aca="false">IFERROR(INDEX(종합!S$3:S$501,MATCH(ROW()-2,종합!$AE$3:$AE$501,0))&amp;"","")</f>
        <v/>
      </c>
      <c r="T130" s="21" t="str">
        <f aca="false">IFERROR(INDEX(종합!T$3:T$501,MATCH(ROW()-2,종합!$AE$3:$AE$501,0))&amp;"","")</f>
        <v/>
      </c>
      <c r="U130" s="21" t="str">
        <f aca="false">IFERROR(INDEX(종합!U$3:U$501,MATCH(ROW()-2,종합!$AE$3:$AE$501,0))&amp;"","")</f>
        <v/>
      </c>
      <c r="V130" s="21" t="str">
        <f aca="false">IFERROR(INDEX(종합!V$3:V$501,MATCH(ROW()-2,종합!$AE$3:$AE$501,0))&amp;"","")</f>
        <v/>
      </c>
      <c r="W130" s="21" t="str">
        <f aca="false">IFERROR(INDEX(종합!W$3:W$501,MATCH(ROW()-2,종합!$AE$3:$AE$501,0))&amp;"","")</f>
        <v/>
      </c>
      <c r="X130" s="21" t="str">
        <f aca="false">IFERROR(INDEX(종합!X$3:X$501,MATCH(ROW()-2,종합!$AE$3:$AE$501,0))&amp;"","")</f>
        <v/>
      </c>
      <c r="Y130" s="21" t="str">
        <f aca="false">IFERROR(INDEX(종합!Y$3:Y$501,MATCH(ROW()-2,종합!$AE$3:$AE$501,0))&amp;"","")</f>
        <v/>
      </c>
      <c r="Z130" s="21" t="str">
        <f aca="false">IFERROR(INDEX(종합!Z$3:Z$501,MATCH(ROW()-2,종합!$AE$3:$AE$501,0))&amp;"","")</f>
        <v/>
      </c>
    </row>
    <row r="131" customFormat="false" ht="16.5" hidden="false" customHeight="true" outlineLevel="0" collapsed="false">
      <c r="A131" s="18" t="str">
        <f aca="false">IF(B131="","",ROW()-2)</f>
        <v/>
      </c>
      <c r="B131" s="18" t="str">
        <f aca="false">IFERROR(INDEX(종합!B$3:B$501,MATCH(ROW()-2,종합!$AE$3:$AE$501,0))&amp;"","")</f>
        <v/>
      </c>
      <c r="C131" s="18" t="str">
        <f aca="false">IFERROR(INDEX(종합!C$3:C$501,MATCH(ROW()-2,종합!$AE$3:$AE$501,0))&amp;"","")</f>
        <v/>
      </c>
      <c r="D131" s="18" t="str">
        <f aca="false">IFERROR(INDEX(종합!D$3:D$501,MATCH(ROW()-2,종합!$AE$3:$AE$501,0))&amp;"","")</f>
        <v/>
      </c>
      <c r="E131" s="18" t="str">
        <f aca="false">IFERROR(INDEX(종합!E$3:E$501,MATCH(ROW()-2,종합!$AE$3:$AE$501,0))&amp;"","")</f>
        <v/>
      </c>
      <c r="F131" s="18" t="str">
        <f aca="false">IFERROR(INDEX(종합!F$3:F$501,MATCH(ROW()-2,종합!$AE$3:$AE$501,0))&amp;"","")</f>
        <v/>
      </c>
      <c r="G131" s="18" t="str">
        <f aca="false">IFERROR(INDEX(종합!G$3:G$501,MATCH(ROW()-2,종합!$AE$3:$AE$501,0))&amp;"","")</f>
        <v/>
      </c>
      <c r="H131" s="21" t="str">
        <f aca="false">IFERROR(INDEX(종합!H$3:H$501,MATCH(ROW()-2,종합!$AE$3:$AE$501,0))&amp;"","")</f>
        <v/>
      </c>
      <c r="I131" s="21" t="str">
        <f aca="false">IFERROR(INDEX(종합!I$3:I$501,MATCH(ROW()-2,종합!$AE$3:$AE$501,0))&amp;"","")</f>
        <v/>
      </c>
      <c r="J131" s="21" t="str">
        <f aca="false">IFERROR(INDEX(종합!J$3:J$501,MATCH(ROW()-2,종합!$AE$3:$AE$501,0))&amp;"","")</f>
        <v/>
      </c>
      <c r="K131" s="21" t="str">
        <f aca="false">IFERROR(INDEX(종합!K$3:K$501,MATCH(ROW()-2,종합!$AE$3:$AE$501,0))&amp;"","")</f>
        <v/>
      </c>
      <c r="L131" s="21" t="str">
        <f aca="false">IFERROR(INDEX(종합!L$3:L$501,MATCH(ROW()-2,종합!$AE$3:$AE$501,0))&amp;"","")</f>
        <v/>
      </c>
      <c r="M131" s="21" t="str">
        <f aca="false">IFERROR(INDEX(종합!M$3:M$501,MATCH(ROW()-2,종합!$AE$3:$AE$501,0))&amp;"","")</f>
        <v/>
      </c>
      <c r="N131" s="25" t="str">
        <f aca="false">IFERROR(INDEX(종합!N$3:N$501,MATCH(ROW()-2,종합!$AE$3:$AE$501,0))&amp;"","")</f>
        <v/>
      </c>
      <c r="O131" s="21" t="str">
        <f aca="false">IFERROR(INDEX(종합!O$3:O$501,MATCH(ROW()-2,종합!$AE$3:$AE$501,0))&amp;"","")</f>
        <v/>
      </c>
      <c r="P131" s="21" t="str">
        <f aca="false">IFERROR(INDEX(종합!P$3:P$501,MATCH(ROW()-2,종합!$AE$3:$AE$501,0))&amp;"","")</f>
        <v/>
      </c>
      <c r="Q131" s="21" t="str">
        <f aca="false">IFERROR(INDEX(종합!Q$3:Q$501,MATCH(ROW()-2,종합!$AE$3:$AE$501,0))&amp;"","")</f>
        <v/>
      </c>
      <c r="R131" s="21" t="str">
        <f aca="false">IFERROR(INDEX(종합!R$3:R$501,MATCH(ROW()-2,종합!$AE$3:$AE$501,0))&amp;"","")</f>
        <v/>
      </c>
      <c r="S131" s="21" t="str">
        <f aca="false">IFERROR(INDEX(종합!S$3:S$501,MATCH(ROW()-2,종합!$AE$3:$AE$501,0))&amp;"","")</f>
        <v/>
      </c>
      <c r="T131" s="21" t="str">
        <f aca="false">IFERROR(INDEX(종합!T$3:T$501,MATCH(ROW()-2,종합!$AE$3:$AE$501,0))&amp;"","")</f>
        <v/>
      </c>
      <c r="U131" s="21" t="str">
        <f aca="false">IFERROR(INDEX(종합!U$3:U$501,MATCH(ROW()-2,종합!$AE$3:$AE$501,0))&amp;"","")</f>
        <v/>
      </c>
      <c r="V131" s="21" t="str">
        <f aca="false">IFERROR(INDEX(종합!V$3:V$501,MATCH(ROW()-2,종합!$AE$3:$AE$501,0))&amp;"","")</f>
        <v/>
      </c>
      <c r="W131" s="21" t="str">
        <f aca="false">IFERROR(INDEX(종합!W$3:W$501,MATCH(ROW()-2,종합!$AE$3:$AE$501,0))&amp;"","")</f>
        <v/>
      </c>
      <c r="X131" s="21" t="str">
        <f aca="false">IFERROR(INDEX(종합!X$3:X$501,MATCH(ROW()-2,종합!$AE$3:$AE$501,0))&amp;"","")</f>
        <v/>
      </c>
      <c r="Y131" s="21" t="str">
        <f aca="false">IFERROR(INDEX(종합!Y$3:Y$501,MATCH(ROW()-2,종합!$AE$3:$AE$501,0))&amp;"","")</f>
        <v/>
      </c>
      <c r="Z131" s="21" t="str">
        <f aca="false">IFERROR(INDEX(종합!Z$3:Z$501,MATCH(ROW()-2,종합!$AE$3:$AE$501,0))&amp;"","")</f>
        <v/>
      </c>
    </row>
    <row r="132" customFormat="false" ht="16.5" hidden="false" customHeight="true" outlineLevel="0" collapsed="false">
      <c r="A132" s="18" t="str">
        <f aca="false">IF(B132="","",ROW()-2)</f>
        <v/>
      </c>
      <c r="B132" s="18" t="str">
        <f aca="false">IFERROR(INDEX(종합!B$3:B$501,MATCH(ROW()-2,종합!$AE$3:$AE$501,0))&amp;"","")</f>
        <v/>
      </c>
      <c r="C132" s="18" t="str">
        <f aca="false">IFERROR(INDEX(종합!C$3:C$501,MATCH(ROW()-2,종합!$AE$3:$AE$501,0))&amp;"","")</f>
        <v/>
      </c>
      <c r="D132" s="18" t="str">
        <f aca="false">IFERROR(INDEX(종합!D$3:D$501,MATCH(ROW()-2,종합!$AE$3:$AE$501,0))&amp;"","")</f>
        <v/>
      </c>
      <c r="E132" s="18" t="str">
        <f aca="false">IFERROR(INDEX(종합!E$3:E$501,MATCH(ROW()-2,종합!$AE$3:$AE$501,0))&amp;"","")</f>
        <v/>
      </c>
      <c r="F132" s="18" t="str">
        <f aca="false">IFERROR(INDEX(종합!F$3:F$501,MATCH(ROW()-2,종합!$AE$3:$AE$501,0))&amp;"","")</f>
        <v/>
      </c>
      <c r="G132" s="18" t="str">
        <f aca="false">IFERROR(INDEX(종합!G$3:G$501,MATCH(ROW()-2,종합!$AE$3:$AE$501,0))&amp;"","")</f>
        <v/>
      </c>
      <c r="H132" s="21" t="str">
        <f aca="false">IFERROR(INDEX(종합!H$3:H$501,MATCH(ROW()-2,종합!$AE$3:$AE$501,0))&amp;"","")</f>
        <v/>
      </c>
      <c r="I132" s="21" t="str">
        <f aca="false">IFERROR(INDEX(종합!I$3:I$501,MATCH(ROW()-2,종합!$AE$3:$AE$501,0))&amp;"","")</f>
        <v/>
      </c>
      <c r="J132" s="21" t="str">
        <f aca="false">IFERROR(INDEX(종합!J$3:J$501,MATCH(ROW()-2,종합!$AE$3:$AE$501,0))&amp;"","")</f>
        <v/>
      </c>
      <c r="K132" s="21" t="str">
        <f aca="false">IFERROR(INDEX(종합!K$3:K$501,MATCH(ROW()-2,종합!$AE$3:$AE$501,0))&amp;"","")</f>
        <v/>
      </c>
      <c r="L132" s="21" t="str">
        <f aca="false">IFERROR(INDEX(종합!L$3:L$501,MATCH(ROW()-2,종합!$AE$3:$AE$501,0))&amp;"","")</f>
        <v/>
      </c>
      <c r="M132" s="21" t="str">
        <f aca="false">IFERROR(INDEX(종합!M$3:M$501,MATCH(ROW()-2,종합!$AE$3:$AE$501,0))&amp;"","")</f>
        <v/>
      </c>
      <c r="N132" s="25" t="str">
        <f aca="false">IFERROR(INDEX(종합!N$3:N$501,MATCH(ROW()-2,종합!$AE$3:$AE$501,0))&amp;"","")</f>
        <v/>
      </c>
      <c r="O132" s="21" t="str">
        <f aca="false">IFERROR(INDEX(종합!O$3:O$501,MATCH(ROW()-2,종합!$AE$3:$AE$501,0))&amp;"","")</f>
        <v/>
      </c>
      <c r="P132" s="21" t="str">
        <f aca="false">IFERROR(INDEX(종합!P$3:P$501,MATCH(ROW()-2,종합!$AE$3:$AE$501,0))&amp;"","")</f>
        <v/>
      </c>
      <c r="Q132" s="21" t="str">
        <f aca="false">IFERROR(INDEX(종합!Q$3:Q$501,MATCH(ROW()-2,종합!$AE$3:$AE$501,0))&amp;"","")</f>
        <v/>
      </c>
      <c r="R132" s="21" t="str">
        <f aca="false">IFERROR(INDEX(종합!R$3:R$501,MATCH(ROW()-2,종합!$AE$3:$AE$501,0))&amp;"","")</f>
        <v/>
      </c>
      <c r="S132" s="21" t="str">
        <f aca="false">IFERROR(INDEX(종합!S$3:S$501,MATCH(ROW()-2,종합!$AE$3:$AE$501,0))&amp;"","")</f>
        <v/>
      </c>
      <c r="T132" s="21" t="str">
        <f aca="false">IFERROR(INDEX(종합!T$3:T$501,MATCH(ROW()-2,종합!$AE$3:$AE$501,0))&amp;"","")</f>
        <v/>
      </c>
      <c r="U132" s="21" t="str">
        <f aca="false">IFERROR(INDEX(종합!U$3:U$501,MATCH(ROW()-2,종합!$AE$3:$AE$501,0))&amp;"","")</f>
        <v/>
      </c>
      <c r="V132" s="21" t="str">
        <f aca="false">IFERROR(INDEX(종합!V$3:V$501,MATCH(ROW()-2,종합!$AE$3:$AE$501,0))&amp;"","")</f>
        <v/>
      </c>
      <c r="W132" s="21" t="str">
        <f aca="false">IFERROR(INDEX(종합!W$3:W$501,MATCH(ROW()-2,종합!$AE$3:$AE$501,0))&amp;"","")</f>
        <v/>
      </c>
      <c r="X132" s="21" t="str">
        <f aca="false">IFERROR(INDEX(종합!X$3:X$501,MATCH(ROW()-2,종합!$AE$3:$AE$501,0))&amp;"","")</f>
        <v/>
      </c>
      <c r="Y132" s="21" t="str">
        <f aca="false">IFERROR(INDEX(종합!Y$3:Y$501,MATCH(ROW()-2,종합!$AE$3:$AE$501,0))&amp;"","")</f>
        <v/>
      </c>
      <c r="Z132" s="21" t="str">
        <f aca="false">IFERROR(INDEX(종합!Z$3:Z$501,MATCH(ROW()-2,종합!$AE$3:$AE$501,0))&amp;"","")</f>
        <v/>
      </c>
    </row>
    <row r="133" customFormat="false" ht="16.5" hidden="false" customHeight="true" outlineLevel="0" collapsed="false">
      <c r="A133" s="18" t="str">
        <f aca="false">IF(B133="","",ROW()-2)</f>
        <v/>
      </c>
      <c r="B133" s="18" t="str">
        <f aca="false">IFERROR(INDEX(종합!B$3:B$501,MATCH(ROW()-2,종합!$AE$3:$AE$501,0))&amp;"","")</f>
        <v/>
      </c>
      <c r="C133" s="18" t="str">
        <f aca="false">IFERROR(INDEX(종합!C$3:C$501,MATCH(ROW()-2,종합!$AE$3:$AE$501,0))&amp;"","")</f>
        <v/>
      </c>
      <c r="D133" s="18" t="str">
        <f aca="false">IFERROR(INDEX(종합!D$3:D$501,MATCH(ROW()-2,종합!$AE$3:$AE$501,0))&amp;"","")</f>
        <v/>
      </c>
      <c r="E133" s="18" t="str">
        <f aca="false">IFERROR(INDEX(종합!E$3:E$501,MATCH(ROW()-2,종합!$AE$3:$AE$501,0))&amp;"","")</f>
        <v/>
      </c>
      <c r="F133" s="18" t="str">
        <f aca="false">IFERROR(INDEX(종합!F$3:F$501,MATCH(ROW()-2,종합!$AE$3:$AE$501,0))&amp;"","")</f>
        <v/>
      </c>
      <c r="G133" s="18" t="str">
        <f aca="false">IFERROR(INDEX(종합!G$3:G$501,MATCH(ROW()-2,종합!$AE$3:$AE$501,0))&amp;"","")</f>
        <v/>
      </c>
      <c r="H133" s="21" t="str">
        <f aca="false">IFERROR(INDEX(종합!H$3:H$501,MATCH(ROW()-2,종합!$AE$3:$AE$501,0))&amp;"","")</f>
        <v/>
      </c>
      <c r="I133" s="21" t="str">
        <f aca="false">IFERROR(INDEX(종합!I$3:I$501,MATCH(ROW()-2,종합!$AE$3:$AE$501,0))&amp;"","")</f>
        <v/>
      </c>
      <c r="J133" s="21" t="str">
        <f aca="false">IFERROR(INDEX(종합!J$3:J$501,MATCH(ROW()-2,종합!$AE$3:$AE$501,0))&amp;"","")</f>
        <v/>
      </c>
      <c r="K133" s="21" t="str">
        <f aca="false">IFERROR(INDEX(종합!K$3:K$501,MATCH(ROW()-2,종합!$AE$3:$AE$501,0))&amp;"","")</f>
        <v/>
      </c>
      <c r="L133" s="21" t="str">
        <f aca="false">IFERROR(INDEX(종합!L$3:L$501,MATCH(ROW()-2,종합!$AE$3:$AE$501,0))&amp;"","")</f>
        <v/>
      </c>
      <c r="M133" s="21" t="str">
        <f aca="false">IFERROR(INDEX(종합!M$3:M$501,MATCH(ROW()-2,종합!$AE$3:$AE$501,0))&amp;"","")</f>
        <v/>
      </c>
      <c r="N133" s="25" t="str">
        <f aca="false">IFERROR(INDEX(종합!N$3:N$501,MATCH(ROW()-2,종합!$AE$3:$AE$501,0))&amp;"","")</f>
        <v/>
      </c>
      <c r="O133" s="21" t="str">
        <f aca="false">IFERROR(INDEX(종합!O$3:O$501,MATCH(ROW()-2,종합!$AE$3:$AE$501,0))&amp;"","")</f>
        <v/>
      </c>
      <c r="P133" s="21" t="str">
        <f aca="false">IFERROR(INDEX(종합!P$3:P$501,MATCH(ROW()-2,종합!$AE$3:$AE$501,0))&amp;"","")</f>
        <v/>
      </c>
      <c r="Q133" s="21" t="str">
        <f aca="false">IFERROR(INDEX(종합!Q$3:Q$501,MATCH(ROW()-2,종합!$AE$3:$AE$501,0))&amp;"","")</f>
        <v/>
      </c>
      <c r="R133" s="21" t="str">
        <f aca="false">IFERROR(INDEX(종합!R$3:R$501,MATCH(ROW()-2,종합!$AE$3:$AE$501,0))&amp;"","")</f>
        <v/>
      </c>
      <c r="S133" s="21" t="str">
        <f aca="false">IFERROR(INDEX(종합!S$3:S$501,MATCH(ROW()-2,종합!$AE$3:$AE$501,0))&amp;"","")</f>
        <v/>
      </c>
      <c r="T133" s="21" t="str">
        <f aca="false">IFERROR(INDEX(종합!T$3:T$501,MATCH(ROW()-2,종합!$AE$3:$AE$501,0))&amp;"","")</f>
        <v/>
      </c>
      <c r="U133" s="21" t="str">
        <f aca="false">IFERROR(INDEX(종합!U$3:U$501,MATCH(ROW()-2,종합!$AE$3:$AE$501,0))&amp;"","")</f>
        <v/>
      </c>
      <c r="V133" s="21" t="str">
        <f aca="false">IFERROR(INDEX(종합!V$3:V$501,MATCH(ROW()-2,종합!$AE$3:$AE$501,0))&amp;"","")</f>
        <v/>
      </c>
      <c r="W133" s="21" t="str">
        <f aca="false">IFERROR(INDEX(종합!W$3:W$501,MATCH(ROW()-2,종합!$AE$3:$AE$501,0))&amp;"","")</f>
        <v/>
      </c>
      <c r="X133" s="21" t="str">
        <f aca="false">IFERROR(INDEX(종합!X$3:X$501,MATCH(ROW()-2,종합!$AE$3:$AE$501,0))&amp;"","")</f>
        <v/>
      </c>
      <c r="Y133" s="21" t="str">
        <f aca="false">IFERROR(INDEX(종합!Y$3:Y$501,MATCH(ROW()-2,종합!$AE$3:$AE$501,0))&amp;"","")</f>
        <v/>
      </c>
      <c r="Z133" s="21" t="str">
        <f aca="false">IFERROR(INDEX(종합!Z$3:Z$501,MATCH(ROW()-2,종합!$AE$3:$AE$501,0))&amp;"","")</f>
        <v/>
      </c>
    </row>
    <row r="134" customFormat="false" ht="16.5" hidden="false" customHeight="true" outlineLevel="0" collapsed="false">
      <c r="A134" s="18" t="str">
        <f aca="false">IF(B134="","",ROW()-2)</f>
        <v/>
      </c>
      <c r="B134" s="18" t="str">
        <f aca="false">IFERROR(INDEX(종합!B$3:B$501,MATCH(ROW()-2,종합!$AE$3:$AE$501,0))&amp;"","")</f>
        <v/>
      </c>
      <c r="C134" s="18" t="str">
        <f aca="false">IFERROR(INDEX(종합!C$3:C$501,MATCH(ROW()-2,종합!$AE$3:$AE$501,0))&amp;"","")</f>
        <v/>
      </c>
      <c r="D134" s="18" t="str">
        <f aca="false">IFERROR(INDEX(종합!D$3:D$501,MATCH(ROW()-2,종합!$AE$3:$AE$501,0))&amp;"","")</f>
        <v/>
      </c>
      <c r="E134" s="18" t="str">
        <f aca="false">IFERROR(INDEX(종합!E$3:E$501,MATCH(ROW()-2,종합!$AE$3:$AE$501,0))&amp;"","")</f>
        <v/>
      </c>
      <c r="F134" s="18" t="str">
        <f aca="false">IFERROR(INDEX(종합!F$3:F$501,MATCH(ROW()-2,종합!$AE$3:$AE$501,0))&amp;"","")</f>
        <v/>
      </c>
      <c r="G134" s="18" t="str">
        <f aca="false">IFERROR(INDEX(종합!G$3:G$501,MATCH(ROW()-2,종합!$AE$3:$AE$501,0))&amp;"","")</f>
        <v/>
      </c>
      <c r="H134" s="21" t="str">
        <f aca="false">IFERROR(INDEX(종합!H$3:H$501,MATCH(ROW()-2,종합!$AE$3:$AE$501,0))&amp;"","")</f>
        <v/>
      </c>
      <c r="I134" s="21" t="str">
        <f aca="false">IFERROR(INDEX(종합!I$3:I$501,MATCH(ROW()-2,종합!$AE$3:$AE$501,0))&amp;"","")</f>
        <v/>
      </c>
      <c r="J134" s="21" t="str">
        <f aca="false">IFERROR(INDEX(종합!J$3:J$501,MATCH(ROW()-2,종합!$AE$3:$AE$501,0))&amp;"","")</f>
        <v/>
      </c>
      <c r="K134" s="21" t="str">
        <f aca="false">IFERROR(INDEX(종합!K$3:K$501,MATCH(ROW()-2,종합!$AE$3:$AE$501,0))&amp;"","")</f>
        <v/>
      </c>
      <c r="L134" s="21" t="str">
        <f aca="false">IFERROR(INDEX(종합!L$3:L$501,MATCH(ROW()-2,종합!$AE$3:$AE$501,0))&amp;"","")</f>
        <v/>
      </c>
      <c r="M134" s="21" t="str">
        <f aca="false">IFERROR(INDEX(종합!M$3:M$501,MATCH(ROW()-2,종합!$AE$3:$AE$501,0))&amp;"","")</f>
        <v/>
      </c>
      <c r="N134" s="25" t="str">
        <f aca="false">IFERROR(INDEX(종합!N$3:N$501,MATCH(ROW()-2,종합!$AE$3:$AE$501,0))&amp;"","")</f>
        <v/>
      </c>
      <c r="O134" s="21" t="str">
        <f aca="false">IFERROR(INDEX(종합!O$3:O$501,MATCH(ROW()-2,종합!$AE$3:$AE$501,0))&amp;"","")</f>
        <v/>
      </c>
      <c r="P134" s="21" t="str">
        <f aca="false">IFERROR(INDEX(종합!P$3:P$501,MATCH(ROW()-2,종합!$AE$3:$AE$501,0))&amp;"","")</f>
        <v/>
      </c>
      <c r="Q134" s="21" t="str">
        <f aca="false">IFERROR(INDEX(종합!Q$3:Q$501,MATCH(ROW()-2,종합!$AE$3:$AE$501,0))&amp;"","")</f>
        <v/>
      </c>
      <c r="R134" s="21" t="str">
        <f aca="false">IFERROR(INDEX(종합!R$3:R$501,MATCH(ROW()-2,종합!$AE$3:$AE$501,0))&amp;"","")</f>
        <v/>
      </c>
      <c r="S134" s="21" t="str">
        <f aca="false">IFERROR(INDEX(종합!S$3:S$501,MATCH(ROW()-2,종합!$AE$3:$AE$501,0))&amp;"","")</f>
        <v/>
      </c>
      <c r="T134" s="21" t="str">
        <f aca="false">IFERROR(INDEX(종합!T$3:T$501,MATCH(ROW()-2,종합!$AE$3:$AE$501,0))&amp;"","")</f>
        <v/>
      </c>
      <c r="U134" s="21" t="str">
        <f aca="false">IFERROR(INDEX(종합!U$3:U$501,MATCH(ROW()-2,종합!$AE$3:$AE$501,0))&amp;"","")</f>
        <v/>
      </c>
      <c r="V134" s="21" t="str">
        <f aca="false">IFERROR(INDEX(종합!V$3:V$501,MATCH(ROW()-2,종합!$AE$3:$AE$501,0))&amp;"","")</f>
        <v/>
      </c>
      <c r="W134" s="21" t="str">
        <f aca="false">IFERROR(INDEX(종합!W$3:W$501,MATCH(ROW()-2,종합!$AE$3:$AE$501,0))&amp;"","")</f>
        <v/>
      </c>
      <c r="X134" s="21" t="str">
        <f aca="false">IFERROR(INDEX(종합!X$3:X$501,MATCH(ROW()-2,종합!$AE$3:$AE$501,0))&amp;"","")</f>
        <v/>
      </c>
      <c r="Y134" s="21" t="str">
        <f aca="false">IFERROR(INDEX(종합!Y$3:Y$501,MATCH(ROW()-2,종합!$AE$3:$AE$501,0))&amp;"","")</f>
        <v/>
      </c>
      <c r="Z134" s="21" t="str">
        <f aca="false">IFERROR(INDEX(종합!Z$3:Z$501,MATCH(ROW()-2,종합!$AE$3:$AE$501,0))&amp;"","")</f>
        <v/>
      </c>
    </row>
    <row r="135" customFormat="false" ht="16.5" hidden="false" customHeight="true" outlineLevel="0" collapsed="false">
      <c r="A135" s="18" t="str">
        <f aca="false">IF(B135="","",ROW()-2)</f>
        <v/>
      </c>
      <c r="B135" s="18" t="str">
        <f aca="false">IFERROR(INDEX(종합!B$3:B$501,MATCH(ROW()-2,종합!$AE$3:$AE$501,0))&amp;"","")</f>
        <v/>
      </c>
      <c r="C135" s="18" t="str">
        <f aca="false">IFERROR(INDEX(종합!C$3:C$501,MATCH(ROW()-2,종합!$AE$3:$AE$501,0))&amp;"","")</f>
        <v/>
      </c>
      <c r="D135" s="18" t="str">
        <f aca="false">IFERROR(INDEX(종합!D$3:D$501,MATCH(ROW()-2,종합!$AE$3:$AE$501,0))&amp;"","")</f>
        <v/>
      </c>
      <c r="E135" s="18" t="str">
        <f aca="false">IFERROR(INDEX(종합!E$3:E$501,MATCH(ROW()-2,종합!$AE$3:$AE$501,0))&amp;"","")</f>
        <v/>
      </c>
      <c r="F135" s="18" t="str">
        <f aca="false">IFERROR(INDEX(종합!F$3:F$501,MATCH(ROW()-2,종합!$AE$3:$AE$501,0))&amp;"","")</f>
        <v/>
      </c>
      <c r="G135" s="18" t="str">
        <f aca="false">IFERROR(INDEX(종합!G$3:G$501,MATCH(ROW()-2,종합!$AE$3:$AE$501,0))&amp;"","")</f>
        <v/>
      </c>
      <c r="H135" s="21" t="str">
        <f aca="false">IFERROR(INDEX(종합!H$3:H$501,MATCH(ROW()-2,종합!$AE$3:$AE$501,0))&amp;"","")</f>
        <v/>
      </c>
      <c r="I135" s="21" t="str">
        <f aca="false">IFERROR(INDEX(종합!I$3:I$501,MATCH(ROW()-2,종합!$AE$3:$AE$501,0))&amp;"","")</f>
        <v/>
      </c>
      <c r="J135" s="21" t="str">
        <f aca="false">IFERROR(INDEX(종합!J$3:J$501,MATCH(ROW()-2,종합!$AE$3:$AE$501,0))&amp;"","")</f>
        <v/>
      </c>
      <c r="K135" s="21" t="str">
        <f aca="false">IFERROR(INDEX(종합!K$3:K$501,MATCH(ROW()-2,종합!$AE$3:$AE$501,0))&amp;"","")</f>
        <v/>
      </c>
      <c r="L135" s="21" t="str">
        <f aca="false">IFERROR(INDEX(종합!L$3:L$501,MATCH(ROW()-2,종합!$AE$3:$AE$501,0))&amp;"","")</f>
        <v/>
      </c>
      <c r="M135" s="21" t="str">
        <f aca="false">IFERROR(INDEX(종합!M$3:M$501,MATCH(ROW()-2,종합!$AE$3:$AE$501,0))&amp;"","")</f>
        <v/>
      </c>
      <c r="N135" s="25" t="str">
        <f aca="false">IFERROR(INDEX(종합!N$3:N$501,MATCH(ROW()-2,종합!$AE$3:$AE$501,0))&amp;"","")</f>
        <v/>
      </c>
      <c r="O135" s="21" t="str">
        <f aca="false">IFERROR(INDEX(종합!O$3:O$501,MATCH(ROW()-2,종합!$AE$3:$AE$501,0))&amp;"","")</f>
        <v/>
      </c>
      <c r="P135" s="21" t="str">
        <f aca="false">IFERROR(INDEX(종합!P$3:P$501,MATCH(ROW()-2,종합!$AE$3:$AE$501,0))&amp;"","")</f>
        <v/>
      </c>
      <c r="Q135" s="21" t="str">
        <f aca="false">IFERROR(INDEX(종합!Q$3:Q$501,MATCH(ROW()-2,종합!$AE$3:$AE$501,0))&amp;"","")</f>
        <v/>
      </c>
      <c r="R135" s="21" t="str">
        <f aca="false">IFERROR(INDEX(종합!R$3:R$501,MATCH(ROW()-2,종합!$AE$3:$AE$501,0))&amp;"","")</f>
        <v/>
      </c>
      <c r="S135" s="21" t="str">
        <f aca="false">IFERROR(INDEX(종합!S$3:S$501,MATCH(ROW()-2,종합!$AE$3:$AE$501,0))&amp;"","")</f>
        <v/>
      </c>
      <c r="T135" s="21" t="str">
        <f aca="false">IFERROR(INDEX(종합!T$3:T$501,MATCH(ROW()-2,종합!$AE$3:$AE$501,0))&amp;"","")</f>
        <v/>
      </c>
      <c r="U135" s="21" t="str">
        <f aca="false">IFERROR(INDEX(종합!U$3:U$501,MATCH(ROW()-2,종합!$AE$3:$AE$501,0))&amp;"","")</f>
        <v/>
      </c>
      <c r="V135" s="21" t="str">
        <f aca="false">IFERROR(INDEX(종합!V$3:V$501,MATCH(ROW()-2,종합!$AE$3:$AE$501,0))&amp;"","")</f>
        <v/>
      </c>
      <c r="W135" s="21" t="str">
        <f aca="false">IFERROR(INDEX(종합!W$3:W$501,MATCH(ROW()-2,종합!$AE$3:$AE$501,0))&amp;"","")</f>
        <v/>
      </c>
      <c r="X135" s="21" t="str">
        <f aca="false">IFERROR(INDEX(종합!X$3:X$501,MATCH(ROW()-2,종합!$AE$3:$AE$501,0))&amp;"","")</f>
        <v/>
      </c>
      <c r="Y135" s="21" t="str">
        <f aca="false">IFERROR(INDEX(종합!Y$3:Y$501,MATCH(ROW()-2,종합!$AE$3:$AE$501,0))&amp;"","")</f>
        <v/>
      </c>
      <c r="Z135" s="21" t="str">
        <f aca="false">IFERROR(INDEX(종합!Z$3:Z$501,MATCH(ROW()-2,종합!$AE$3:$AE$501,0))&amp;"","")</f>
        <v/>
      </c>
    </row>
    <row r="136" customFormat="false" ht="16.5" hidden="false" customHeight="true" outlineLevel="0" collapsed="false">
      <c r="A136" s="18" t="str">
        <f aca="false">IF(B136="","",ROW()-2)</f>
        <v/>
      </c>
      <c r="B136" s="18" t="str">
        <f aca="false">IFERROR(INDEX(종합!B$3:B$501,MATCH(ROW()-2,종합!$AE$3:$AE$501,0))&amp;"","")</f>
        <v/>
      </c>
      <c r="C136" s="18" t="str">
        <f aca="false">IFERROR(INDEX(종합!C$3:C$501,MATCH(ROW()-2,종합!$AE$3:$AE$501,0))&amp;"","")</f>
        <v/>
      </c>
      <c r="D136" s="18" t="str">
        <f aca="false">IFERROR(INDEX(종합!D$3:D$501,MATCH(ROW()-2,종합!$AE$3:$AE$501,0))&amp;"","")</f>
        <v/>
      </c>
      <c r="E136" s="18" t="str">
        <f aca="false">IFERROR(INDEX(종합!E$3:E$501,MATCH(ROW()-2,종합!$AE$3:$AE$501,0))&amp;"","")</f>
        <v/>
      </c>
      <c r="F136" s="18" t="str">
        <f aca="false">IFERROR(INDEX(종합!F$3:F$501,MATCH(ROW()-2,종합!$AE$3:$AE$501,0))&amp;"","")</f>
        <v/>
      </c>
      <c r="G136" s="18" t="str">
        <f aca="false">IFERROR(INDEX(종합!G$3:G$501,MATCH(ROW()-2,종합!$AE$3:$AE$501,0))&amp;"","")</f>
        <v/>
      </c>
      <c r="H136" s="21" t="str">
        <f aca="false">IFERROR(INDEX(종합!H$3:H$501,MATCH(ROW()-2,종합!$AE$3:$AE$501,0))&amp;"","")</f>
        <v/>
      </c>
      <c r="I136" s="21" t="str">
        <f aca="false">IFERROR(INDEX(종합!I$3:I$501,MATCH(ROW()-2,종합!$AE$3:$AE$501,0))&amp;"","")</f>
        <v/>
      </c>
      <c r="J136" s="21" t="str">
        <f aca="false">IFERROR(INDEX(종합!J$3:J$501,MATCH(ROW()-2,종합!$AE$3:$AE$501,0))&amp;"","")</f>
        <v/>
      </c>
      <c r="K136" s="21" t="str">
        <f aca="false">IFERROR(INDEX(종합!K$3:K$501,MATCH(ROW()-2,종합!$AE$3:$AE$501,0))&amp;"","")</f>
        <v/>
      </c>
      <c r="L136" s="21" t="str">
        <f aca="false">IFERROR(INDEX(종합!L$3:L$501,MATCH(ROW()-2,종합!$AE$3:$AE$501,0))&amp;"","")</f>
        <v/>
      </c>
      <c r="M136" s="21" t="str">
        <f aca="false">IFERROR(INDEX(종합!M$3:M$501,MATCH(ROW()-2,종합!$AE$3:$AE$501,0))&amp;"","")</f>
        <v/>
      </c>
      <c r="N136" s="25" t="str">
        <f aca="false">IFERROR(INDEX(종합!N$3:N$501,MATCH(ROW()-2,종합!$AE$3:$AE$501,0))&amp;"","")</f>
        <v/>
      </c>
      <c r="O136" s="21" t="str">
        <f aca="false">IFERROR(INDEX(종합!O$3:O$501,MATCH(ROW()-2,종합!$AE$3:$AE$501,0))&amp;"","")</f>
        <v/>
      </c>
      <c r="P136" s="21" t="str">
        <f aca="false">IFERROR(INDEX(종합!P$3:P$501,MATCH(ROW()-2,종합!$AE$3:$AE$501,0))&amp;"","")</f>
        <v/>
      </c>
      <c r="Q136" s="21" t="str">
        <f aca="false">IFERROR(INDEX(종합!Q$3:Q$501,MATCH(ROW()-2,종합!$AE$3:$AE$501,0))&amp;"","")</f>
        <v/>
      </c>
      <c r="R136" s="21" t="str">
        <f aca="false">IFERROR(INDEX(종합!R$3:R$501,MATCH(ROW()-2,종합!$AE$3:$AE$501,0))&amp;"","")</f>
        <v/>
      </c>
      <c r="S136" s="21" t="str">
        <f aca="false">IFERROR(INDEX(종합!S$3:S$501,MATCH(ROW()-2,종합!$AE$3:$AE$501,0))&amp;"","")</f>
        <v/>
      </c>
      <c r="T136" s="21" t="str">
        <f aca="false">IFERROR(INDEX(종합!T$3:T$501,MATCH(ROW()-2,종합!$AE$3:$AE$501,0))&amp;"","")</f>
        <v/>
      </c>
      <c r="U136" s="21" t="str">
        <f aca="false">IFERROR(INDEX(종합!U$3:U$501,MATCH(ROW()-2,종합!$AE$3:$AE$501,0))&amp;"","")</f>
        <v/>
      </c>
      <c r="V136" s="21" t="str">
        <f aca="false">IFERROR(INDEX(종합!V$3:V$501,MATCH(ROW()-2,종합!$AE$3:$AE$501,0))&amp;"","")</f>
        <v/>
      </c>
      <c r="W136" s="21" t="str">
        <f aca="false">IFERROR(INDEX(종합!W$3:W$501,MATCH(ROW()-2,종합!$AE$3:$AE$501,0))&amp;"","")</f>
        <v/>
      </c>
      <c r="X136" s="21" t="str">
        <f aca="false">IFERROR(INDEX(종합!X$3:X$501,MATCH(ROW()-2,종합!$AE$3:$AE$501,0))&amp;"","")</f>
        <v/>
      </c>
      <c r="Y136" s="21" t="str">
        <f aca="false">IFERROR(INDEX(종합!Y$3:Y$501,MATCH(ROW()-2,종합!$AE$3:$AE$501,0))&amp;"","")</f>
        <v/>
      </c>
      <c r="Z136" s="21" t="str">
        <f aca="false">IFERROR(INDEX(종합!Z$3:Z$501,MATCH(ROW()-2,종합!$AE$3:$AE$501,0))&amp;"","")</f>
        <v/>
      </c>
    </row>
    <row r="137" customFormat="false" ht="16.5" hidden="false" customHeight="true" outlineLevel="0" collapsed="false">
      <c r="A137" s="18" t="str">
        <f aca="false">IF(B137="","",ROW()-2)</f>
        <v/>
      </c>
      <c r="B137" s="18" t="str">
        <f aca="false">IFERROR(INDEX(종합!B$3:B$501,MATCH(ROW()-2,종합!$AE$3:$AE$501,0))&amp;"","")</f>
        <v/>
      </c>
      <c r="C137" s="18" t="str">
        <f aca="false">IFERROR(INDEX(종합!C$3:C$501,MATCH(ROW()-2,종합!$AE$3:$AE$501,0))&amp;"","")</f>
        <v/>
      </c>
      <c r="D137" s="18" t="str">
        <f aca="false">IFERROR(INDEX(종합!D$3:D$501,MATCH(ROW()-2,종합!$AE$3:$AE$501,0))&amp;"","")</f>
        <v/>
      </c>
      <c r="E137" s="18" t="str">
        <f aca="false">IFERROR(INDEX(종합!E$3:E$501,MATCH(ROW()-2,종합!$AE$3:$AE$501,0))&amp;"","")</f>
        <v/>
      </c>
      <c r="F137" s="18" t="str">
        <f aca="false">IFERROR(INDEX(종합!F$3:F$501,MATCH(ROW()-2,종합!$AE$3:$AE$501,0))&amp;"","")</f>
        <v/>
      </c>
      <c r="G137" s="18" t="str">
        <f aca="false">IFERROR(INDEX(종합!G$3:G$501,MATCH(ROW()-2,종합!$AE$3:$AE$501,0))&amp;"","")</f>
        <v/>
      </c>
      <c r="H137" s="21" t="str">
        <f aca="false">IFERROR(INDEX(종합!H$3:H$501,MATCH(ROW()-2,종합!$AE$3:$AE$501,0))&amp;"","")</f>
        <v/>
      </c>
      <c r="I137" s="21" t="str">
        <f aca="false">IFERROR(INDEX(종합!I$3:I$501,MATCH(ROW()-2,종합!$AE$3:$AE$501,0))&amp;"","")</f>
        <v/>
      </c>
      <c r="J137" s="21" t="str">
        <f aca="false">IFERROR(INDEX(종합!J$3:J$501,MATCH(ROW()-2,종합!$AE$3:$AE$501,0))&amp;"","")</f>
        <v/>
      </c>
      <c r="K137" s="21" t="str">
        <f aca="false">IFERROR(INDEX(종합!K$3:K$501,MATCH(ROW()-2,종합!$AE$3:$AE$501,0))&amp;"","")</f>
        <v/>
      </c>
      <c r="L137" s="21" t="str">
        <f aca="false">IFERROR(INDEX(종합!L$3:L$501,MATCH(ROW()-2,종합!$AE$3:$AE$501,0))&amp;"","")</f>
        <v/>
      </c>
      <c r="M137" s="21" t="str">
        <f aca="false">IFERROR(INDEX(종합!M$3:M$501,MATCH(ROW()-2,종합!$AE$3:$AE$501,0))&amp;"","")</f>
        <v/>
      </c>
      <c r="N137" s="25" t="str">
        <f aca="false">IFERROR(INDEX(종합!N$3:N$501,MATCH(ROW()-2,종합!$AE$3:$AE$501,0))&amp;"","")</f>
        <v/>
      </c>
      <c r="O137" s="21" t="str">
        <f aca="false">IFERROR(INDEX(종합!O$3:O$501,MATCH(ROW()-2,종합!$AE$3:$AE$501,0))&amp;"","")</f>
        <v/>
      </c>
      <c r="P137" s="21" t="str">
        <f aca="false">IFERROR(INDEX(종합!P$3:P$501,MATCH(ROW()-2,종합!$AE$3:$AE$501,0))&amp;"","")</f>
        <v/>
      </c>
      <c r="Q137" s="21" t="str">
        <f aca="false">IFERROR(INDEX(종합!Q$3:Q$501,MATCH(ROW()-2,종합!$AE$3:$AE$501,0))&amp;"","")</f>
        <v/>
      </c>
      <c r="R137" s="21" t="str">
        <f aca="false">IFERROR(INDEX(종합!R$3:R$501,MATCH(ROW()-2,종합!$AE$3:$AE$501,0))&amp;"","")</f>
        <v/>
      </c>
      <c r="S137" s="21" t="str">
        <f aca="false">IFERROR(INDEX(종합!S$3:S$501,MATCH(ROW()-2,종합!$AE$3:$AE$501,0))&amp;"","")</f>
        <v/>
      </c>
      <c r="T137" s="21" t="str">
        <f aca="false">IFERROR(INDEX(종합!T$3:T$501,MATCH(ROW()-2,종합!$AE$3:$AE$501,0))&amp;"","")</f>
        <v/>
      </c>
      <c r="U137" s="21" t="str">
        <f aca="false">IFERROR(INDEX(종합!U$3:U$501,MATCH(ROW()-2,종합!$AE$3:$AE$501,0))&amp;"","")</f>
        <v/>
      </c>
      <c r="V137" s="21" t="str">
        <f aca="false">IFERROR(INDEX(종합!V$3:V$501,MATCH(ROW()-2,종합!$AE$3:$AE$501,0))&amp;"","")</f>
        <v/>
      </c>
      <c r="W137" s="21" t="str">
        <f aca="false">IFERROR(INDEX(종합!W$3:W$501,MATCH(ROW()-2,종합!$AE$3:$AE$501,0))&amp;"","")</f>
        <v/>
      </c>
      <c r="X137" s="21" t="str">
        <f aca="false">IFERROR(INDEX(종합!X$3:X$501,MATCH(ROW()-2,종합!$AE$3:$AE$501,0))&amp;"","")</f>
        <v/>
      </c>
      <c r="Y137" s="21" t="str">
        <f aca="false">IFERROR(INDEX(종합!Y$3:Y$501,MATCH(ROW()-2,종합!$AE$3:$AE$501,0))&amp;"","")</f>
        <v/>
      </c>
      <c r="Z137" s="21" t="str">
        <f aca="false">IFERROR(INDEX(종합!Z$3:Z$501,MATCH(ROW()-2,종합!$AE$3:$AE$501,0))&amp;"","")</f>
        <v/>
      </c>
    </row>
    <row r="138" customFormat="false" ht="16.5" hidden="false" customHeight="true" outlineLevel="0" collapsed="false">
      <c r="A138" s="18" t="str">
        <f aca="false">IF(B138="","",ROW()-2)</f>
        <v/>
      </c>
      <c r="B138" s="18" t="str">
        <f aca="false">IFERROR(INDEX(종합!B$3:B$501,MATCH(ROW()-2,종합!$AE$3:$AE$501,0))&amp;"","")</f>
        <v/>
      </c>
      <c r="C138" s="18" t="str">
        <f aca="false">IFERROR(INDEX(종합!C$3:C$501,MATCH(ROW()-2,종합!$AE$3:$AE$501,0))&amp;"","")</f>
        <v/>
      </c>
      <c r="D138" s="18" t="str">
        <f aca="false">IFERROR(INDEX(종합!D$3:D$501,MATCH(ROW()-2,종합!$AE$3:$AE$501,0))&amp;"","")</f>
        <v/>
      </c>
      <c r="E138" s="18" t="str">
        <f aca="false">IFERROR(INDEX(종합!E$3:E$501,MATCH(ROW()-2,종합!$AE$3:$AE$501,0))&amp;"","")</f>
        <v/>
      </c>
      <c r="F138" s="18" t="str">
        <f aca="false">IFERROR(INDEX(종합!F$3:F$501,MATCH(ROW()-2,종합!$AE$3:$AE$501,0))&amp;"","")</f>
        <v/>
      </c>
      <c r="G138" s="18" t="str">
        <f aca="false">IFERROR(INDEX(종합!G$3:G$501,MATCH(ROW()-2,종합!$AE$3:$AE$501,0))&amp;"","")</f>
        <v/>
      </c>
      <c r="H138" s="21" t="str">
        <f aca="false">IFERROR(INDEX(종합!H$3:H$501,MATCH(ROW()-2,종합!$AE$3:$AE$501,0))&amp;"","")</f>
        <v/>
      </c>
      <c r="I138" s="21" t="str">
        <f aca="false">IFERROR(INDEX(종합!I$3:I$501,MATCH(ROW()-2,종합!$AE$3:$AE$501,0))&amp;"","")</f>
        <v/>
      </c>
      <c r="J138" s="21" t="str">
        <f aca="false">IFERROR(INDEX(종합!J$3:J$501,MATCH(ROW()-2,종합!$AE$3:$AE$501,0))&amp;"","")</f>
        <v/>
      </c>
      <c r="K138" s="21" t="str">
        <f aca="false">IFERROR(INDEX(종합!K$3:K$501,MATCH(ROW()-2,종합!$AE$3:$AE$501,0))&amp;"","")</f>
        <v/>
      </c>
      <c r="L138" s="21" t="str">
        <f aca="false">IFERROR(INDEX(종합!L$3:L$501,MATCH(ROW()-2,종합!$AE$3:$AE$501,0))&amp;"","")</f>
        <v/>
      </c>
      <c r="M138" s="21" t="str">
        <f aca="false">IFERROR(INDEX(종합!M$3:M$501,MATCH(ROW()-2,종합!$AE$3:$AE$501,0))&amp;"","")</f>
        <v/>
      </c>
      <c r="N138" s="25" t="str">
        <f aca="false">IFERROR(INDEX(종합!N$3:N$501,MATCH(ROW()-2,종합!$AE$3:$AE$501,0))&amp;"","")</f>
        <v/>
      </c>
      <c r="O138" s="21" t="str">
        <f aca="false">IFERROR(INDEX(종합!O$3:O$501,MATCH(ROW()-2,종합!$AE$3:$AE$501,0))&amp;"","")</f>
        <v/>
      </c>
      <c r="P138" s="21" t="str">
        <f aca="false">IFERROR(INDEX(종합!P$3:P$501,MATCH(ROW()-2,종합!$AE$3:$AE$501,0))&amp;"","")</f>
        <v/>
      </c>
      <c r="Q138" s="21" t="str">
        <f aca="false">IFERROR(INDEX(종합!Q$3:Q$501,MATCH(ROW()-2,종합!$AE$3:$AE$501,0))&amp;"","")</f>
        <v/>
      </c>
      <c r="R138" s="21" t="str">
        <f aca="false">IFERROR(INDEX(종합!R$3:R$501,MATCH(ROW()-2,종합!$AE$3:$AE$501,0))&amp;"","")</f>
        <v/>
      </c>
      <c r="S138" s="21" t="str">
        <f aca="false">IFERROR(INDEX(종합!S$3:S$501,MATCH(ROW()-2,종합!$AE$3:$AE$501,0))&amp;"","")</f>
        <v/>
      </c>
      <c r="T138" s="21" t="str">
        <f aca="false">IFERROR(INDEX(종합!T$3:T$501,MATCH(ROW()-2,종합!$AE$3:$AE$501,0))&amp;"","")</f>
        <v/>
      </c>
      <c r="U138" s="21" t="str">
        <f aca="false">IFERROR(INDEX(종합!U$3:U$501,MATCH(ROW()-2,종합!$AE$3:$AE$501,0))&amp;"","")</f>
        <v/>
      </c>
      <c r="V138" s="21" t="str">
        <f aca="false">IFERROR(INDEX(종합!V$3:V$501,MATCH(ROW()-2,종합!$AE$3:$AE$501,0))&amp;"","")</f>
        <v/>
      </c>
      <c r="W138" s="21" t="str">
        <f aca="false">IFERROR(INDEX(종합!W$3:W$501,MATCH(ROW()-2,종합!$AE$3:$AE$501,0))&amp;"","")</f>
        <v/>
      </c>
      <c r="X138" s="21" t="str">
        <f aca="false">IFERROR(INDEX(종합!X$3:X$501,MATCH(ROW()-2,종합!$AE$3:$AE$501,0))&amp;"","")</f>
        <v/>
      </c>
      <c r="Y138" s="21" t="str">
        <f aca="false">IFERROR(INDEX(종합!Y$3:Y$501,MATCH(ROW()-2,종합!$AE$3:$AE$501,0))&amp;"","")</f>
        <v/>
      </c>
      <c r="Z138" s="21" t="str">
        <f aca="false">IFERROR(INDEX(종합!Z$3:Z$501,MATCH(ROW()-2,종합!$AE$3:$AE$501,0))&amp;"","")</f>
        <v/>
      </c>
    </row>
    <row r="139" customFormat="false" ht="16.5" hidden="false" customHeight="true" outlineLevel="0" collapsed="false">
      <c r="A139" s="18" t="str">
        <f aca="false">IF(B139="","",ROW()-2)</f>
        <v/>
      </c>
      <c r="B139" s="18" t="str">
        <f aca="false">IFERROR(INDEX(종합!B$3:B$501,MATCH(ROW()-2,종합!$AE$3:$AE$501,0))&amp;"","")</f>
        <v/>
      </c>
      <c r="C139" s="18" t="str">
        <f aca="false">IFERROR(INDEX(종합!C$3:C$501,MATCH(ROW()-2,종합!$AE$3:$AE$501,0))&amp;"","")</f>
        <v/>
      </c>
      <c r="D139" s="18" t="str">
        <f aca="false">IFERROR(INDEX(종합!D$3:D$501,MATCH(ROW()-2,종합!$AE$3:$AE$501,0))&amp;"","")</f>
        <v/>
      </c>
      <c r="E139" s="18" t="str">
        <f aca="false">IFERROR(INDEX(종합!E$3:E$501,MATCH(ROW()-2,종합!$AE$3:$AE$501,0))&amp;"","")</f>
        <v/>
      </c>
      <c r="F139" s="18" t="str">
        <f aca="false">IFERROR(INDEX(종합!F$3:F$501,MATCH(ROW()-2,종합!$AE$3:$AE$501,0))&amp;"","")</f>
        <v/>
      </c>
      <c r="G139" s="18" t="str">
        <f aca="false">IFERROR(INDEX(종합!G$3:G$501,MATCH(ROW()-2,종합!$AE$3:$AE$501,0))&amp;"","")</f>
        <v/>
      </c>
      <c r="H139" s="21" t="str">
        <f aca="false">IFERROR(INDEX(종합!H$3:H$501,MATCH(ROW()-2,종합!$AE$3:$AE$501,0))&amp;"","")</f>
        <v/>
      </c>
      <c r="I139" s="21" t="str">
        <f aca="false">IFERROR(INDEX(종합!I$3:I$501,MATCH(ROW()-2,종합!$AE$3:$AE$501,0))&amp;"","")</f>
        <v/>
      </c>
      <c r="J139" s="21" t="str">
        <f aca="false">IFERROR(INDEX(종합!J$3:J$501,MATCH(ROW()-2,종합!$AE$3:$AE$501,0))&amp;"","")</f>
        <v/>
      </c>
      <c r="K139" s="21" t="str">
        <f aca="false">IFERROR(INDEX(종합!K$3:K$501,MATCH(ROW()-2,종합!$AE$3:$AE$501,0))&amp;"","")</f>
        <v/>
      </c>
      <c r="L139" s="21" t="str">
        <f aca="false">IFERROR(INDEX(종합!L$3:L$501,MATCH(ROW()-2,종합!$AE$3:$AE$501,0))&amp;"","")</f>
        <v/>
      </c>
      <c r="M139" s="21" t="str">
        <f aca="false">IFERROR(INDEX(종합!M$3:M$501,MATCH(ROW()-2,종합!$AE$3:$AE$501,0))&amp;"","")</f>
        <v/>
      </c>
      <c r="N139" s="25" t="str">
        <f aca="false">IFERROR(INDEX(종합!N$3:N$501,MATCH(ROW()-2,종합!$AE$3:$AE$501,0))&amp;"","")</f>
        <v/>
      </c>
      <c r="O139" s="21" t="str">
        <f aca="false">IFERROR(INDEX(종합!O$3:O$501,MATCH(ROW()-2,종합!$AE$3:$AE$501,0))&amp;"","")</f>
        <v/>
      </c>
      <c r="P139" s="21" t="str">
        <f aca="false">IFERROR(INDEX(종합!P$3:P$501,MATCH(ROW()-2,종합!$AE$3:$AE$501,0))&amp;"","")</f>
        <v/>
      </c>
      <c r="Q139" s="21" t="str">
        <f aca="false">IFERROR(INDEX(종합!Q$3:Q$501,MATCH(ROW()-2,종합!$AE$3:$AE$501,0))&amp;"","")</f>
        <v/>
      </c>
      <c r="R139" s="21" t="str">
        <f aca="false">IFERROR(INDEX(종합!R$3:R$501,MATCH(ROW()-2,종합!$AE$3:$AE$501,0))&amp;"","")</f>
        <v/>
      </c>
      <c r="S139" s="21" t="str">
        <f aca="false">IFERROR(INDEX(종합!S$3:S$501,MATCH(ROW()-2,종합!$AE$3:$AE$501,0))&amp;"","")</f>
        <v/>
      </c>
      <c r="T139" s="21" t="str">
        <f aca="false">IFERROR(INDEX(종합!T$3:T$501,MATCH(ROW()-2,종합!$AE$3:$AE$501,0))&amp;"","")</f>
        <v/>
      </c>
      <c r="U139" s="21" t="str">
        <f aca="false">IFERROR(INDEX(종합!U$3:U$501,MATCH(ROW()-2,종합!$AE$3:$AE$501,0))&amp;"","")</f>
        <v/>
      </c>
      <c r="V139" s="21" t="str">
        <f aca="false">IFERROR(INDEX(종합!V$3:V$501,MATCH(ROW()-2,종합!$AE$3:$AE$501,0))&amp;"","")</f>
        <v/>
      </c>
      <c r="W139" s="21" t="str">
        <f aca="false">IFERROR(INDEX(종합!W$3:W$501,MATCH(ROW()-2,종합!$AE$3:$AE$501,0))&amp;"","")</f>
        <v/>
      </c>
      <c r="X139" s="21" t="str">
        <f aca="false">IFERROR(INDEX(종합!X$3:X$501,MATCH(ROW()-2,종합!$AE$3:$AE$501,0))&amp;"","")</f>
        <v/>
      </c>
      <c r="Y139" s="21" t="str">
        <f aca="false">IFERROR(INDEX(종합!Y$3:Y$501,MATCH(ROW()-2,종합!$AE$3:$AE$501,0))&amp;"","")</f>
        <v/>
      </c>
      <c r="Z139" s="21" t="str">
        <f aca="false">IFERROR(INDEX(종합!Z$3:Z$501,MATCH(ROW()-2,종합!$AE$3:$AE$501,0))&amp;"","")</f>
        <v/>
      </c>
    </row>
    <row r="140" customFormat="false" ht="16.5" hidden="false" customHeight="true" outlineLevel="0" collapsed="false">
      <c r="A140" s="18" t="str">
        <f aca="false">IF(B140="","",ROW()-2)</f>
        <v/>
      </c>
      <c r="B140" s="18" t="str">
        <f aca="false">IFERROR(INDEX(종합!B$3:B$501,MATCH(ROW()-2,종합!$AE$3:$AE$501,0))&amp;"","")</f>
        <v/>
      </c>
      <c r="C140" s="18" t="str">
        <f aca="false">IFERROR(INDEX(종합!C$3:C$501,MATCH(ROW()-2,종합!$AE$3:$AE$501,0))&amp;"","")</f>
        <v/>
      </c>
      <c r="D140" s="18" t="str">
        <f aca="false">IFERROR(INDEX(종합!D$3:D$501,MATCH(ROW()-2,종합!$AE$3:$AE$501,0))&amp;"","")</f>
        <v/>
      </c>
      <c r="E140" s="18" t="str">
        <f aca="false">IFERROR(INDEX(종합!E$3:E$501,MATCH(ROW()-2,종합!$AE$3:$AE$501,0))&amp;"","")</f>
        <v/>
      </c>
      <c r="F140" s="18" t="str">
        <f aca="false">IFERROR(INDEX(종합!F$3:F$501,MATCH(ROW()-2,종합!$AE$3:$AE$501,0))&amp;"","")</f>
        <v/>
      </c>
      <c r="G140" s="18" t="str">
        <f aca="false">IFERROR(INDEX(종합!G$3:G$501,MATCH(ROW()-2,종합!$AE$3:$AE$501,0))&amp;"","")</f>
        <v/>
      </c>
      <c r="H140" s="21" t="str">
        <f aca="false">IFERROR(INDEX(종합!H$3:H$501,MATCH(ROW()-2,종합!$AE$3:$AE$501,0))&amp;"","")</f>
        <v/>
      </c>
      <c r="I140" s="21" t="str">
        <f aca="false">IFERROR(INDEX(종합!I$3:I$501,MATCH(ROW()-2,종합!$AE$3:$AE$501,0))&amp;"","")</f>
        <v/>
      </c>
      <c r="J140" s="21" t="str">
        <f aca="false">IFERROR(INDEX(종합!J$3:J$501,MATCH(ROW()-2,종합!$AE$3:$AE$501,0))&amp;"","")</f>
        <v/>
      </c>
      <c r="K140" s="21" t="str">
        <f aca="false">IFERROR(INDEX(종합!K$3:K$501,MATCH(ROW()-2,종합!$AE$3:$AE$501,0))&amp;"","")</f>
        <v/>
      </c>
      <c r="L140" s="21" t="str">
        <f aca="false">IFERROR(INDEX(종합!L$3:L$501,MATCH(ROW()-2,종합!$AE$3:$AE$501,0))&amp;"","")</f>
        <v/>
      </c>
      <c r="M140" s="21" t="str">
        <f aca="false">IFERROR(INDEX(종합!M$3:M$501,MATCH(ROW()-2,종합!$AE$3:$AE$501,0))&amp;"","")</f>
        <v/>
      </c>
      <c r="N140" s="25" t="str">
        <f aca="false">IFERROR(INDEX(종합!N$3:N$501,MATCH(ROW()-2,종합!$AE$3:$AE$501,0))&amp;"","")</f>
        <v/>
      </c>
      <c r="O140" s="21" t="str">
        <f aca="false">IFERROR(INDEX(종합!O$3:O$501,MATCH(ROW()-2,종합!$AE$3:$AE$501,0))&amp;"","")</f>
        <v/>
      </c>
      <c r="P140" s="21" t="str">
        <f aca="false">IFERROR(INDEX(종합!P$3:P$501,MATCH(ROW()-2,종합!$AE$3:$AE$501,0))&amp;"","")</f>
        <v/>
      </c>
      <c r="Q140" s="21" t="str">
        <f aca="false">IFERROR(INDEX(종합!Q$3:Q$501,MATCH(ROW()-2,종합!$AE$3:$AE$501,0))&amp;"","")</f>
        <v/>
      </c>
      <c r="R140" s="21" t="str">
        <f aca="false">IFERROR(INDEX(종합!R$3:R$501,MATCH(ROW()-2,종합!$AE$3:$AE$501,0))&amp;"","")</f>
        <v/>
      </c>
      <c r="S140" s="21" t="str">
        <f aca="false">IFERROR(INDEX(종합!S$3:S$501,MATCH(ROW()-2,종합!$AE$3:$AE$501,0))&amp;"","")</f>
        <v/>
      </c>
      <c r="T140" s="21" t="str">
        <f aca="false">IFERROR(INDEX(종합!T$3:T$501,MATCH(ROW()-2,종합!$AE$3:$AE$501,0))&amp;"","")</f>
        <v/>
      </c>
      <c r="U140" s="21" t="str">
        <f aca="false">IFERROR(INDEX(종합!U$3:U$501,MATCH(ROW()-2,종합!$AE$3:$AE$501,0))&amp;"","")</f>
        <v/>
      </c>
      <c r="V140" s="21" t="str">
        <f aca="false">IFERROR(INDEX(종합!V$3:V$501,MATCH(ROW()-2,종합!$AE$3:$AE$501,0))&amp;"","")</f>
        <v/>
      </c>
      <c r="W140" s="21" t="str">
        <f aca="false">IFERROR(INDEX(종합!W$3:W$501,MATCH(ROW()-2,종합!$AE$3:$AE$501,0))&amp;"","")</f>
        <v/>
      </c>
      <c r="X140" s="21" t="str">
        <f aca="false">IFERROR(INDEX(종합!X$3:X$501,MATCH(ROW()-2,종합!$AE$3:$AE$501,0))&amp;"","")</f>
        <v/>
      </c>
      <c r="Y140" s="21" t="str">
        <f aca="false">IFERROR(INDEX(종합!Y$3:Y$501,MATCH(ROW()-2,종합!$AE$3:$AE$501,0))&amp;"","")</f>
        <v/>
      </c>
      <c r="Z140" s="21" t="str">
        <f aca="false">IFERROR(INDEX(종합!Z$3:Z$501,MATCH(ROW()-2,종합!$AE$3:$AE$501,0))&amp;"","")</f>
        <v/>
      </c>
    </row>
    <row r="141" customFormat="false" ht="16.5" hidden="false" customHeight="true" outlineLevel="0" collapsed="false">
      <c r="A141" s="18" t="str">
        <f aca="false">IF(B141="","",ROW()-2)</f>
        <v/>
      </c>
      <c r="B141" s="18" t="str">
        <f aca="false">IFERROR(INDEX(종합!B$3:B$501,MATCH(ROW()-2,종합!$AE$3:$AE$501,0))&amp;"","")</f>
        <v/>
      </c>
      <c r="C141" s="18" t="str">
        <f aca="false">IFERROR(INDEX(종합!C$3:C$501,MATCH(ROW()-2,종합!$AE$3:$AE$501,0))&amp;"","")</f>
        <v/>
      </c>
      <c r="D141" s="18" t="str">
        <f aca="false">IFERROR(INDEX(종합!D$3:D$501,MATCH(ROW()-2,종합!$AE$3:$AE$501,0))&amp;"","")</f>
        <v/>
      </c>
      <c r="E141" s="18" t="str">
        <f aca="false">IFERROR(INDEX(종합!E$3:E$501,MATCH(ROW()-2,종합!$AE$3:$AE$501,0))&amp;"","")</f>
        <v/>
      </c>
      <c r="F141" s="18" t="str">
        <f aca="false">IFERROR(INDEX(종합!F$3:F$501,MATCH(ROW()-2,종합!$AE$3:$AE$501,0))&amp;"","")</f>
        <v/>
      </c>
      <c r="G141" s="18" t="str">
        <f aca="false">IFERROR(INDEX(종합!G$3:G$501,MATCH(ROW()-2,종합!$AE$3:$AE$501,0))&amp;"","")</f>
        <v/>
      </c>
      <c r="H141" s="21" t="str">
        <f aca="false">IFERROR(INDEX(종합!H$3:H$501,MATCH(ROW()-2,종합!$AE$3:$AE$501,0))&amp;"","")</f>
        <v/>
      </c>
      <c r="I141" s="21" t="str">
        <f aca="false">IFERROR(INDEX(종합!I$3:I$501,MATCH(ROW()-2,종합!$AE$3:$AE$501,0))&amp;"","")</f>
        <v/>
      </c>
      <c r="J141" s="21" t="str">
        <f aca="false">IFERROR(INDEX(종합!J$3:J$501,MATCH(ROW()-2,종합!$AE$3:$AE$501,0))&amp;"","")</f>
        <v/>
      </c>
      <c r="K141" s="21" t="str">
        <f aca="false">IFERROR(INDEX(종합!K$3:K$501,MATCH(ROW()-2,종합!$AE$3:$AE$501,0))&amp;"","")</f>
        <v/>
      </c>
      <c r="L141" s="21" t="str">
        <f aca="false">IFERROR(INDEX(종합!L$3:L$501,MATCH(ROW()-2,종합!$AE$3:$AE$501,0))&amp;"","")</f>
        <v/>
      </c>
      <c r="M141" s="21" t="str">
        <f aca="false">IFERROR(INDEX(종합!M$3:M$501,MATCH(ROW()-2,종합!$AE$3:$AE$501,0))&amp;"","")</f>
        <v/>
      </c>
      <c r="N141" s="25" t="str">
        <f aca="false">IFERROR(INDEX(종합!N$3:N$501,MATCH(ROW()-2,종합!$AE$3:$AE$501,0))&amp;"","")</f>
        <v/>
      </c>
      <c r="O141" s="21" t="str">
        <f aca="false">IFERROR(INDEX(종합!O$3:O$501,MATCH(ROW()-2,종합!$AE$3:$AE$501,0))&amp;"","")</f>
        <v/>
      </c>
      <c r="P141" s="21" t="str">
        <f aca="false">IFERROR(INDEX(종합!P$3:P$501,MATCH(ROW()-2,종합!$AE$3:$AE$501,0))&amp;"","")</f>
        <v/>
      </c>
      <c r="Q141" s="21" t="str">
        <f aca="false">IFERROR(INDEX(종합!Q$3:Q$501,MATCH(ROW()-2,종합!$AE$3:$AE$501,0))&amp;"","")</f>
        <v/>
      </c>
      <c r="R141" s="21" t="str">
        <f aca="false">IFERROR(INDEX(종합!R$3:R$501,MATCH(ROW()-2,종합!$AE$3:$AE$501,0))&amp;"","")</f>
        <v/>
      </c>
      <c r="S141" s="21" t="str">
        <f aca="false">IFERROR(INDEX(종합!S$3:S$501,MATCH(ROW()-2,종합!$AE$3:$AE$501,0))&amp;"","")</f>
        <v/>
      </c>
      <c r="T141" s="21" t="str">
        <f aca="false">IFERROR(INDEX(종합!T$3:T$501,MATCH(ROW()-2,종합!$AE$3:$AE$501,0))&amp;"","")</f>
        <v/>
      </c>
      <c r="U141" s="21" t="str">
        <f aca="false">IFERROR(INDEX(종합!U$3:U$501,MATCH(ROW()-2,종합!$AE$3:$AE$501,0))&amp;"","")</f>
        <v/>
      </c>
      <c r="V141" s="21" t="str">
        <f aca="false">IFERROR(INDEX(종합!V$3:V$501,MATCH(ROW()-2,종합!$AE$3:$AE$501,0))&amp;"","")</f>
        <v/>
      </c>
      <c r="W141" s="21" t="str">
        <f aca="false">IFERROR(INDEX(종합!W$3:W$501,MATCH(ROW()-2,종합!$AE$3:$AE$501,0))&amp;"","")</f>
        <v/>
      </c>
      <c r="X141" s="21" t="str">
        <f aca="false">IFERROR(INDEX(종합!X$3:X$501,MATCH(ROW()-2,종합!$AE$3:$AE$501,0))&amp;"","")</f>
        <v/>
      </c>
      <c r="Y141" s="21" t="str">
        <f aca="false">IFERROR(INDEX(종합!Y$3:Y$501,MATCH(ROW()-2,종합!$AE$3:$AE$501,0))&amp;"","")</f>
        <v/>
      </c>
      <c r="Z141" s="21" t="str">
        <f aca="false">IFERROR(INDEX(종합!Z$3:Z$501,MATCH(ROW()-2,종합!$AE$3:$AE$501,0))&amp;"","")</f>
        <v/>
      </c>
    </row>
    <row r="142" customFormat="false" ht="16.5" hidden="false" customHeight="true" outlineLevel="0" collapsed="false">
      <c r="A142" s="18" t="str">
        <f aca="false">IF(B142="","",ROW()-2)</f>
        <v/>
      </c>
      <c r="B142" s="18" t="str">
        <f aca="false">IFERROR(INDEX(종합!B$3:B$501,MATCH(ROW()-2,종합!$AE$3:$AE$501,0))&amp;"","")</f>
        <v/>
      </c>
      <c r="C142" s="18" t="str">
        <f aca="false">IFERROR(INDEX(종합!C$3:C$501,MATCH(ROW()-2,종합!$AE$3:$AE$501,0))&amp;"","")</f>
        <v/>
      </c>
      <c r="D142" s="18" t="str">
        <f aca="false">IFERROR(INDEX(종합!D$3:D$501,MATCH(ROW()-2,종합!$AE$3:$AE$501,0))&amp;"","")</f>
        <v/>
      </c>
      <c r="E142" s="18" t="str">
        <f aca="false">IFERROR(INDEX(종합!E$3:E$501,MATCH(ROW()-2,종합!$AE$3:$AE$501,0))&amp;"","")</f>
        <v/>
      </c>
      <c r="F142" s="18" t="str">
        <f aca="false">IFERROR(INDEX(종합!F$3:F$501,MATCH(ROW()-2,종합!$AE$3:$AE$501,0))&amp;"","")</f>
        <v/>
      </c>
      <c r="G142" s="18" t="str">
        <f aca="false">IFERROR(INDEX(종합!G$3:G$501,MATCH(ROW()-2,종합!$AE$3:$AE$501,0))&amp;"","")</f>
        <v/>
      </c>
      <c r="H142" s="21" t="str">
        <f aca="false">IFERROR(INDEX(종합!H$3:H$501,MATCH(ROW()-2,종합!$AE$3:$AE$501,0))&amp;"","")</f>
        <v/>
      </c>
      <c r="I142" s="21" t="str">
        <f aca="false">IFERROR(INDEX(종합!I$3:I$501,MATCH(ROW()-2,종합!$AE$3:$AE$501,0))&amp;"","")</f>
        <v/>
      </c>
      <c r="J142" s="21" t="str">
        <f aca="false">IFERROR(INDEX(종합!J$3:J$501,MATCH(ROW()-2,종합!$AE$3:$AE$501,0))&amp;"","")</f>
        <v/>
      </c>
      <c r="K142" s="21" t="str">
        <f aca="false">IFERROR(INDEX(종합!K$3:K$501,MATCH(ROW()-2,종합!$AE$3:$AE$501,0))&amp;"","")</f>
        <v/>
      </c>
      <c r="L142" s="21" t="str">
        <f aca="false">IFERROR(INDEX(종합!L$3:L$501,MATCH(ROW()-2,종합!$AE$3:$AE$501,0))&amp;"","")</f>
        <v/>
      </c>
      <c r="M142" s="21" t="str">
        <f aca="false">IFERROR(INDEX(종합!M$3:M$501,MATCH(ROW()-2,종합!$AE$3:$AE$501,0))&amp;"","")</f>
        <v/>
      </c>
      <c r="N142" s="25" t="str">
        <f aca="false">IFERROR(INDEX(종합!N$3:N$501,MATCH(ROW()-2,종합!$AE$3:$AE$501,0))&amp;"","")</f>
        <v/>
      </c>
      <c r="O142" s="21" t="str">
        <f aca="false">IFERROR(INDEX(종합!O$3:O$501,MATCH(ROW()-2,종합!$AE$3:$AE$501,0))&amp;"","")</f>
        <v/>
      </c>
      <c r="P142" s="21" t="str">
        <f aca="false">IFERROR(INDEX(종합!P$3:P$501,MATCH(ROW()-2,종합!$AE$3:$AE$501,0))&amp;"","")</f>
        <v/>
      </c>
      <c r="Q142" s="21" t="str">
        <f aca="false">IFERROR(INDEX(종합!Q$3:Q$501,MATCH(ROW()-2,종합!$AE$3:$AE$501,0))&amp;"","")</f>
        <v/>
      </c>
      <c r="R142" s="21" t="str">
        <f aca="false">IFERROR(INDEX(종합!R$3:R$501,MATCH(ROW()-2,종합!$AE$3:$AE$501,0))&amp;"","")</f>
        <v/>
      </c>
      <c r="S142" s="21" t="str">
        <f aca="false">IFERROR(INDEX(종합!S$3:S$501,MATCH(ROW()-2,종합!$AE$3:$AE$501,0))&amp;"","")</f>
        <v/>
      </c>
      <c r="T142" s="21" t="str">
        <f aca="false">IFERROR(INDEX(종합!T$3:T$501,MATCH(ROW()-2,종합!$AE$3:$AE$501,0))&amp;"","")</f>
        <v/>
      </c>
      <c r="U142" s="21" t="str">
        <f aca="false">IFERROR(INDEX(종합!U$3:U$501,MATCH(ROW()-2,종합!$AE$3:$AE$501,0))&amp;"","")</f>
        <v/>
      </c>
      <c r="V142" s="21" t="str">
        <f aca="false">IFERROR(INDEX(종합!V$3:V$501,MATCH(ROW()-2,종합!$AE$3:$AE$501,0))&amp;"","")</f>
        <v/>
      </c>
      <c r="W142" s="21" t="str">
        <f aca="false">IFERROR(INDEX(종합!W$3:W$501,MATCH(ROW()-2,종합!$AE$3:$AE$501,0))&amp;"","")</f>
        <v/>
      </c>
      <c r="X142" s="21" t="str">
        <f aca="false">IFERROR(INDEX(종합!X$3:X$501,MATCH(ROW()-2,종합!$AE$3:$AE$501,0))&amp;"","")</f>
        <v/>
      </c>
      <c r="Y142" s="21" t="str">
        <f aca="false">IFERROR(INDEX(종합!Y$3:Y$501,MATCH(ROW()-2,종합!$AE$3:$AE$501,0))&amp;"","")</f>
        <v/>
      </c>
      <c r="Z142" s="21" t="str">
        <f aca="false">IFERROR(INDEX(종합!Z$3:Z$501,MATCH(ROW()-2,종합!$AE$3:$AE$501,0))&amp;"","")</f>
        <v/>
      </c>
    </row>
    <row r="143" customFormat="false" ht="16.5" hidden="false" customHeight="true" outlineLevel="0" collapsed="false">
      <c r="A143" s="18" t="str">
        <f aca="false">IF(B143="","",ROW()-2)</f>
        <v/>
      </c>
      <c r="B143" s="18" t="str">
        <f aca="false">IFERROR(INDEX(종합!B$3:B$501,MATCH(ROW()-2,종합!$AE$3:$AE$501,0))&amp;"","")</f>
        <v/>
      </c>
      <c r="C143" s="18" t="str">
        <f aca="false">IFERROR(INDEX(종합!C$3:C$501,MATCH(ROW()-2,종합!$AE$3:$AE$501,0))&amp;"","")</f>
        <v/>
      </c>
      <c r="D143" s="18" t="str">
        <f aca="false">IFERROR(INDEX(종합!D$3:D$501,MATCH(ROW()-2,종합!$AE$3:$AE$501,0))&amp;"","")</f>
        <v/>
      </c>
      <c r="E143" s="18" t="str">
        <f aca="false">IFERROR(INDEX(종합!E$3:E$501,MATCH(ROW()-2,종합!$AE$3:$AE$501,0))&amp;"","")</f>
        <v/>
      </c>
      <c r="F143" s="18" t="str">
        <f aca="false">IFERROR(INDEX(종합!F$3:F$501,MATCH(ROW()-2,종합!$AE$3:$AE$501,0))&amp;"","")</f>
        <v/>
      </c>
      <c r="G143" s="18" t="str">
        <f aca="false">IFERROR(INDEX(종합!G$3:G$501,MATCH(ROW()-2,종합!$AE$3:$AE$501,0))&amp;"","")</f>
        <v/>
      </c>
      <c r="H143" s="21" t="str">
        <f aca="false">IFERROR(INDEX(종합!H$3:H$501,MATCH(ROW()-2,종합!$AE$3:$AE$501,0))&amp;"","")</f>
        <v/>
      </c>
      <c r="I143" s="21" t="str">
        <f aca="false">IFERROR(INDEX(종합!I$3:I$501,MATCH(ROW()-2,종합!$AE$3:$AE$501,0))&amp;"","")</f>
        <v/>
      </c>
      <c r="J143" s="21" t="str">
        <f aca="false">IFERROR(INDEX(종합!J$3:J$501,MATCH(ROW()-2,종합!$AE$3:$AE$501,0))&amp;"","")</f>
        <v/>
      </c>
      <c r="K143" s="21" t="str">
        <f aca="false">IFERROR(INDEX(종합!K$3:K$501,MATCH(ROW()-2,종합!$AE$3:$AE$501,0))&amp;"","")</f>
        <v/>
      </c>
      <c r="L143" s="21" t="str">
        <f aca="false">IFERROR(INDEX(종합!L$3:L$501,MATCH(ROW()-2,종합!$AE$3:$AE$501,0))&amp;"","")</f>
        <v/>
      </c>
      <c r="M143" s="21" t="str">
        <f aca="false">IFERROR(INDEX(종합!M$3:M$501,MATCH(ROW()-2,종합!$AE$3:$AE$501,0))&amp;"","")</f>
        <v/>
      </c>
      <c r="N143" s="25" t="str">
        <f aca="false">IFERROR(INDEX(종합!N$3:N$501,MATCH(ROW()-2,종합!$AE$3:$AE$501,0))&amp;"","")</f>
        <v/>
      </c>
      <c r="O143" s="21" t="str">
        <f aca="false">IFERROR(INDEX(종합!O$3:O$501,MATCH(ROW()-2,종합!$AE$3:$AE$501,0))&amp;"","")</f>
        <v/>
      </c>
      <c r="P143" s="21" t="str">
        <f aca="false">IFERROR(INDEX(종합!P$3:P$501,MATCH(ROW()-2,종합!$AE$3:$AE$501,0))&amp;"","")</f>
        <v/>
      </c>
      <c r="Q143" s="21" t="str">
        <f aca="false">IFERROR(INDEX(종합!Q$3:Q$501,MATCH(ROW()-2,종합!$AE$3:$AE$501,0))&amp;"","")</f>
        <v/>
      </c>
      <c r="R143" s="21" t="str">
        <f aca="false">IFERROR(INDEX(종합!R$3:R$501,MATCH(ROW()-2,종합!$AE$3:$AE$501,0))&amp;"","")</f>
        <v/>
      </c>
      <c r="S143" s="21" t="str">
        <f aca="false">IFERROR(INDEX(종합!S$3:S$501,MATCH(ROW()-2,종합!$AE$3:$AE$501,0))&amp;"","")</f>
        <v/>
      </c>
      <c r="T143" s="21" t="str">
        <f aca="false">IFERROR(INDEX(종합!T$3:T$501,MATCH(ROW()-2,종합!$AE$3:$AE$501,0))&amp;"","")</f>
        <v/>
      </c>
      <c r="U143" s="21" t="str">
        <f aca="false">IFERROR(INDEX(종합!U$3:U$501,MATCH(ROW()-2,종합!$AE$3:$AE$501,0))&amp;"","")</f>
        <v/>
      </c>
      <c r="V143" s="21" t="str">
        <f aca="false">IFERROR(INDEX(종합!V$3:V$501,MATCH(ROW()-2,종합!$AE$3:$AE$501,0))&amp;"","")</f>
        <v/>
      </c>
      <c r="W143" s="21" t="str">
        <f aca="false">IFERROR(INDEX(종합!W$3:W$501,MATCH(ROW()-2,종합!$AE$3:$AE$501,0))&amp;"","")</f>
        <v/>
      </c>
      <c r="X143" s="21" t="str">
        <f aca="false">IFERROR(INDEX(종합!X$3:X$501,MATCH(ROW()-2,종합!$AE$3:$AE$501,0))&amp;"","")</f>
        <v/>
      </c>
      <c r="Y143" s="21" t="str">
        <f aca="false">IFERROR(INDEX(종합!Y$3:Y$501,MATCH(ROW()-2,종합!$AE$3:$AE$501,0))&amp;"","")</f>
        <v/>
      </c>
      <c r="Z143" s="21" t="str">
        <f aca="false">IFERROR(INDEX(종합!Z$3:Z$501,MATCH(ROW()-2,종합!$AE$3:$AE$501,0))&amp;"","")</f>
        <v/>
      </c>
    </row>
    <row r="144" customFormat="false" ht="16.5" hidden="false" customHeight="true" outlineLevel="0" collapsed="false">
      <c r="A144" s="18" t="str">
        <f aca="false">IF(B144="","",ROW()-2)</f>
        <v/>
      </c>
      <c r="B144" s="18" t="str">
        <f aca="false">IFERROR(INDEX(종합!B$3:B$501,MATCH(ROW()-2,종합!$AE$3:$AE$501,0))&amp;"","")</f>
        <v/>
      </c>
      <c r="C144" s="18" t="str">
        <f aca="false">IFERROR(INDEX(종합!C$3:C$501,MATCH(ROW()-2,종합!$AE$3:$AE$501,0))&amp;"","")</f>
        <v/>
      </c>
      <c r="D144" s="18" t="str">
        <f aca="false">IFERROR(INDEX(종합!D$3:D$501,MATCH(ROW()-2,종합!$AE$3:$AE$501,0))&amp;"","")</f>
        <v/>
      </c>
      <c r="E144" s="18" t="str">
        <f aca="false">IFERROR(INDEX(종합!E$3:E$501,MATCH(ROW()-2,종합!$AE$3:$AE$501,0))&amp;"","")</f>
        <v/>
      </c>
      <c r="F144" s="18" t="str">
        <f aca="false">IFERROR(INDEX(종합!F$3:F$501,MATCH(ROW()-2,종합!$AE$3:$AE$501,0))&amp;"","")</f>
        <v/>
      </c>
      <c r="G144" s="18" t="str">
        <f aca="false">IFERROR(INDEX(종합!G$3:G$501,MATCH(ROW()-2,종합!$AE$3:$AE$501,0))&amp;"","")</f>
        <v/>
      </c>
      <c r="H144" s="21" t="str">
        <f aca="false">IFERROR(INDEX(종합!H$3:H$501,MATCH(ROW()-2,종합!$AE$3:$AE$501,0))&amp;"","")</f>
        <v/>
      </c>
      <c r="I144" s="21" t="str">
        <f aca="false">IFERROR(INDEX(종합!I$3:I$501,MATCH(ROW()-2,종합!$AE$3:$AE$501,0))&amp;"","")</f>
        <v/>
      </c>
      <c r="J144" s="21" t="str">
        <f aca="false">IFERROR(INDEX(종합!J$3:J$501,MATCH(ROW()-2,종합!$AE$3:$AE$501,0))&amp;"","")</f>
        <v/>
      </c>
      <c r="K144" s="21" t="str">
        <f aca="false">IFERROR(INDEX(종합!K$3:K$501,MATCH(ROW()-2,종합!$AE$3:$AE$501,0))&amp;"","")</f>
        <v/>
      </c>
      <c r="L144" s="21" t="str">
        <f aca="false">IFERROR(INDEX(종합!L$3:L$501,MATCH(ROW()-2,종합!$AE$3:$AE$501,0))&amp;"","")</f>
        <v/>
      </c>
      <c r="M144" s="21" t="str">
        <f aca="false">IFERROR(INDEX(종합!M$3:M$501,MATCH(ROW()-2,종합!$AE$3:$AE$501,0))&amp;"","")</f>
        <v/>
      </c>
      <c r="N144" s="25" t="str">
        <f aca="false">IFERROR(INDEX(종합!N$3:N$501,MATCH(ROW()-2,종합!$AE$3:$AE$501,0))&amp;"","")</f>
        <v/>
      </c>
      <c r="O144" s="21" t="str">
        <f aca="false">IFERROR(INDEX(종합!O$3:O$501,MATCH(ROW()-2,종합!$AE$3:$AE$501,0))&amp;"","")</f>
        <v/>
      </c>
      <c r="P144" s="21" t="str">
        <f aca="false">IFERROR(INDEX(종합!P$3:P$501,MATCH(ROW()-2,종합!$AE$3:$AE$501,0))&amp;"","")</f>
        <v/>
      </c>
      <c r="Q144" s="21" t="str">
        <f aca="false">IFERROR(INDEX(종합!Q$3:Q$501,MATCH(ROW()-2,종합!$AE$3:$AE$501,0))&amp;"","")</f>
        <v/>
      </c>
      <c r="R144" s="21" t="str">
        <f aca="false">IFERROR(INDEX(종합!R$3:R$501,MATCH(ROW()-2,종합!$AE$3:$AE$501,0))&amp;"","")</f>
        <v/>
      </c>
      <c r="S144" s="21" t="str">
        <f aca="false">IFERROR(INDEX(종합!S$3:S$501,MATCH(ROW()-2,종합!$AE$3:$AE$501,0))&amp;"","")</f>
        <v/>
      </c>
      <c r="T144" s="21" t="str">
        <f aca="false">IFERROR(INDEX(종합!T$3:T$501,MATCH(ROW()-2,종합!$AE$3:$AE$501,0))&amp;"","")</f>
        <v/>
      </c>
      <c r="U144" s="21" t="str">
        <f aca="false">IFERROR(INDEX(종합!U$3:U$501,MATCH(ROW()-2,종합!$AE$3:$AE$501,0))&amp;"","")</f>
        <v/>
      </c>
      <c r="V144" s="21" t="str">
        <f aca="false">IFERROR(INDEX(종합!V$3:V$501,MATCH(ROW()-2,종합!$AE$3:$AE$501,0))&amp;"","")</f>
        <v/>
      </c>
      <c r="W144" s="21" t="str">
        <f aca="false">IFERROR(INDEX(종합!W$3:W$501,MATCH(ROW()-2,종합!$AE$3:$AE$501,0))&amp;"","")</f>
        <v/>
      </c>
      <c r="X144" s="21" t="str">
        <f aca="false">IFERROR(INDEX(종합!X$3:X$501,MATCH(ROW()-2,종합!$AE$3:$AE$501,0))&amp;"","")</f>
        <v/>
      </c>
      <c r="Y144" s="21" t="str">
        <f aca="false">IFERROR(INDEX(종합!Y$3:Y$501,MATCH(ROW()-2,종합!$AE$3:$AE$501,0))&amp;"","")</f>
        <v/>
      </c>
      <c r="Z144" s="21" t="str">
        <f aca="false">IFERROR(INDEX(종합!Z$3:Z$501,MATCH(ROW()-2,종합!$AE$3:$AE$501,0))&amp;"","")</f>
        <v/>
      </c>
    </row>
    <row r="145" customFormat="false" ht="16.5" hidden="false" customHeight="true" outlineLevel="0" collapsed="false">
      <c r="A145" s="18" t="str">
        <f aca="false">IF(B145="","",ROW()-2)</f>
        <v/>
      </c>
      <c r="B145" s="18" t="str">
        <f aca="false">IFERROR(INDEX(종합!B$3:B$501,MATCH(ROW()-2,종합!$AE$3:$AE$501,0))&amp;"","")</f>
        <v/>
      </c>
      <c r="C145" s="18" t="str">
        <f aca="false">IFERROR(INDEX(종합!C$3:C$501,MATCH(ROW()-2,종합!$AE$3:$AE$501,0))&amp;"","")</f>
        <v/>
      </c>
      <c r="D145" s="18" t="str">
        <f aca="false">IFERROR(INDEX(종합!D$3:D$501,MATCH(ROW()-2,종합!$AE$3:$AE$501,0))&amp;"","")</f>
        <v/>
      </c>
      <c r="E145" s="18" t="str">
        <f aca="false">IFERROR(INDEX(종합!E$3:E$501,MATCH(ROW()-2,종합!$AE$3:$AE$501,0))&amp;"","")</f>
        <v/>
      </c>
      <c r="F145" s="18" t="str">
        <f aca="false">IFERROR(INDEX(종합!F$3:F$501,MATCH(ROW()-2,종합!$AE$3:$AE$501,0))&amp;"","")</f>
        <v/>
      </c>
      <c r="G145" s="18" t="str">
        <f aca="false">IFERROR(INDEX(종합!G$3:G$501,MATCH(ROW()-2,종합!$AE$3:$AE$501,0))&amp;"","")</f>
        <v/>
      </c>
      <c r="H145" s="21" t="str">
        <f aca="false">IFERROR(INDEX(종합!H$3:H$501,MATCH(ROW()-2,종합!$AE$3:$AE$501,0))&amp;"","")</f>
        <v/>
      </c>
      <c r="I145" s="21" t="str">
        <f aca="false">IFERROR(INDEX(종합!I$3:I$501,MATCH(ROW()-2,종합!$AE$3:$AE$501,0))&amp;"","")</f>
        <v/>
      </c>
      <c r="J145" s="21" t="str">
        <f aca="false">IFERROR(INDEX(종합!J$3:J$501,MATCH(ROW()-2,종합!$AE$3:$AE$501,0))&amp;"","")</f>
        <v/>
      </c>
      <c r="K145" s="21" t="str">
        <f aca="false">IFERROR(INDEX(종합!K$3:K$501,MATCH(ROW()-2,종합!$AE$3:$AE$501,0))&amp;"","")</f>
        <v/>
      </c>
      <c r="L145" s="21" t="str">
        <f aca="false">IFERROR(INDEX(종합!L$3:L$501,MATCH(ROW()-2,종합!$AE$3:$AE$501,0))&amp;"","")</f>
        <v/>
      </c>
      <c r="M145" s="21" t="str">
        <f aca="false">IFERROR(INDEX(종합!M$3:M$501,MATCH(ROW()-2,종합!$AE$3:$AE$501,0))&amp;"","")</f>
        <v/>
      </c>
      <c r="N145" s="25" t="str">
        <f aca="false">IFERROR(INDEX(종합!N$3:N$501,MATCH(ROW()-2,종합!$AE$3:$AE$501,0))&amp;"","")</f>
        <v/>
      </c>
      <c r="O145" s="21" t="str">
        <f aca="false">IFERROR(INDEX(종합!O$3:O$501,MATCH(ROW()-2,종합!$AE$3:$AE$501,0))&amp;"","")</f>
        <v/>
      </c>
      <c r="P145" s="21" t="str">
        <f aca="false">IFERROR(INDEX(종합!P$3:P$501,MATCH(ROW()-2,종합!$AE$3:$AE$501,0))&amp;"","")</f>
        <v/>
      </c>
      <c r="Q145" s="21" t="str">
        <f aca="false">IFERROR(INDEX(종합!Q$3:Q$501,MATCH(ROW()-2,종합!$AE$3:$AE$501,0))&amp;"","")</f>
        <v/>
      </c>
      <c r="R145" s="21" t="str">
        <f aca="false">IFERROR(INDEX(종합!R$3:R$501,MATCH(ROW()-2,종합!$AE$3:$AE$501,0))&amp;"","")</f>
        <v/>
      </c>
      <c r="S145" s="21" t="str">
        <f aca="false">IFERROR(INDEX(종합!S$3:S$501,MATCH(ROW()-2,종합!$AE$3:$AE$501,0))&amp;"","")</f>
        <v/>
      </c>
      <c r="T145" s="21" t="str">
        <f aca="false">IFERROR(INDEX(종합!T$3:T$501,MATCH(ROW()-2,종합!$AE$3:$AE$501,0))&amp;"","")</f>
        <v/>
      </c>
      <c r="U145" s="21" t="str">
        <f aca="false">IFERROR(INDEX(종합!U$3:U$501,MATCH(ROW()-2,종합!$AE$3:$AE$501,0))&amp;"","")</f>
        <v/>
      </c>
      <c r="V145" s="21" t="str">
        <f aca="false">IFERROR(INDEX(종합!V$3:V$501,MATCH(ROW()-2,종합!$AE$3:$AE$501,0))&amp;"","")</f>
        <v/>
      </c>
      <c r="W145" s="21" t="str">
        <f aca="false">IFERROR(INDEX(종합!W$3:W$501,MATCH(ROW()-2,종합!$AE$3:$AE$501,0))&amp;"","")</f>
        <v/>
      </c>
      <c r="X145" s="21" t="str">
        <f aca="false">IFERROR(INDEX(종합!X$3:X$501,MATCH(ROW()-2,종합!$AE$3:$AE$501,0))&amp;"","")</f>
        <v/>
      </c>
      <c r="Y145" s="21" t="str">
        <f aca="false">IFERROR(INDEX(종합!Y$3:Y$501,MATCH(ROW()-2,종합!$AE$3:$AE$501,0))&amp;"","")</f>
        <v/>
      </c>
      <c r="Z145" s="21" t="str">
        <f aca="false">IFERROR(INDEX(종합!Z$3:Z$501,MATCH(ROW()-2,종합!$AE$3:$AE$501,0))&amp;"","")</f>
        <v/>
      </c>
    </row>
    <row r="146" customFormat="false" ht="16.5" hidden="false" customHeight="true" outlineLevel="0" collapsed="false">
      <c r="A146" s="18" t="str">
        <f aca="false">IF(B146="","",ROW()-2)</f>
        <v/>
      </c>
      <c r="B146" s="18" t="str">
        <f aca="false">IFERROR(INDEX(종합!B$3:B$501,MATCH(ROW()-2,종합!$AE$3:$AE$501,0))&amp;"","")</f>
        <v/>
      </c>
      <c r="C146" s="18" t="str">
        <f aca="false">IFERROR(INDEX(종합!C$3:C$501,MATCH(ROW()-2,종합!$AE$3:$AE$501,0))&amp;"","")</f>
        <v/>
      </c>
      <c r="D146" s="18" t="str">
        <f aca="false">IFERROR(INDEX(종합!D$3:D$501,MATCH(ROW()-2,종합!$AE$3:$AE$501,0))&amp;"","")</f>
        <v/>
      </c>
      <c r="E146" s="18" t="str">
        <f aca="false">IFERROR(INDEX(종합!E$3:E$501,MATCH(ROW()-2,종합!$AE$3:$AE$501,0))&amp;"","")</f>
        <v/>
      </c>
      <c r="F146" s="18" t="str">
        <f aca="false">IFERROR(INDEX(종합!F$3:F$501,MATCH(ROW()-2,종합!$AE$3:$AE$501,0))&amp;"","")</f>
        <v/>
      </c>
      <c r="G146" s="18" t="str">
        <f aca="false">IFERROR(INDEX(종합!G$3:G$501,MATCH(ROW()-2,종합!$AE$3:$AE$501,0))&amp;"","")</f>
        <v/>
      </c>
      <c r="H146" s="21" t="str">
        <f aca="false">IFERROR(INDEX(종합!H$3:H$501,MATCH(ROW()-2,종합!$AE$3:$AE$501,0))&amp;"","")</f>
        <v/>
      </c>
      <c r="I146" s="21" t="str">
        <f aca="false">IFERROR(INDEX(종합!I$3:I$501,MATCH(ROW()-2,종합!$AE$3:$AE$501,0))&amp;"","")</f>
        <v/>
      </c>
      <c r="J146" s="21" t="str">
        <f aca="false">IFERROR(INDEX(종합!J$3:J$501,MATCH(ROW()-2,종합!$AE$3:$AE$501,0))&amp;"","")</f>
        <v/>
      </c>
      <c r="K146" s="21" t="str">
        <f aca="false">IFERROR(INDEX(종합!K$3:K$501,MATCH(ROW()-2,종합!$AE$3:$AE$501,0))&amp;"","")</f>
        <v/>
      </c>
      <c r="L146" s="21" t="str">
        <f aca="false">IFERROR(INDEX(종합!L$3:L$501,MATCH(ROW()-2,종합!$AE$3:$AE$501,0))&amp;"","")</f>
        <v/>
      </c>
      <c r="M146" s="21" t="str">
        <f aca="false">IFERROR(INDEX(종합!M$3:M$501,MATCH(ROW()-2,종합!$AE$3:$AE$501,0))&amp;"","")</f>
        <v/>
      </c>
      <c r="N146" s="25" t="str">
        <f aca="false">IFERROR(INDEX(종합!N$3:N$501,MATCH(ROW()-2,종합!$AE$3:$AE$501,0))&amp;"","")</f>
        <v/>
      </c>
      <c r="O146" s="21" t="str">
        <f aca="false">IFERROR(INDEX(종합!O$3:O$501,MATCH(ROW()-2,종합!$AE$3:$AE$501,0))&amp;"","")</f>
        <v/>
      </c>
      <c r="P146" s="21" t="str">
        <f aca="false">IFERROR(INDEX(종합!P$3:P$501,MATCH(ROW()-2,종합!$AE$3:$AE$501,0))&amp;"","")</f>
        <v/>
      </c>
      <c r="Q146" s="21" t="str">
        <f aca="false">IFERROR(INDEX(종합!Q$3:Q$501,MATCH(ROW()-2,종합!$AE$3:$AE$501,0))&amp;"","")</f>
        <v/>
      </c>
      <c r="R146" s="21" t="str">
        <f aca="false">IFERROR(INDEX(종합!R$3:R$501,MATCH(ROW()-2,종합!$AE$3:$AE$501,0))&amp;"","")</f>
        <v/>
      </c>
      <c r="S146" s="21" t="str">
        <f aca="false">IFERROR(INDEX(종합!S$3:S$501,MATCH(ROW()-2,종합!$AE$3:$AE$501,0))&amp;"","")</f>
        <v/>
      </c>
      <c r="T146" s="21" t="str">
        <f aca="false">IFERROR(INDEX(종합!T$3:T$501,MATCH(ROW()-2,종합!$AE$3:$AE$501,0))&amp;"","")</f>
        <v/>
      </c>
      <c r="U146" s="21" t="str">
        <f aca="false">IFERROR(INDEX(종합!U$3:U$501,MATCH(ROW()-2,종합!$AE$3:$AE$501,0))&amp;"","")</f>
        <v/>
      </c>
      <c r="V146" s="21" t="str">
        <f aca="false">IFERROR(INDEX(종합!V$3:V$501,MATCH(ROW()-2,종합!$AE$3:$AE$501,0))&amp;"","")</f>
        <v/>
      </c>
      <c r="W146" s="21" t="str">
        <f aca="false">IFERROR(INDEX(종합!W$3:W$501,MATCH(ROW()-2,종합!$AE$3:$AE$501,0))&amp;"","")</f>
        <v/>
      </c>
      <c r="X146" s="21" t="str">
        <f aca="false">IFERROR(INDEX(종합!X$3:X$501,MATCH(ROW()-2,종합!$AE$3:$AE$501,0))&amp;"","")</f>
        <v/>
      </c>
      <c r="Y146" s="21" t="str">
        <f aca="false">IFERROR(INDEX(종합!Y$3:Y$501,MATCH(ROW()-2,종합!$AE$3:$AE$501,0))&amp;"","")</f>
        <v/>
      </c>
      <c r="Z146" s="21" t="str">
        <f aca="false">IFERROR(INDEX(종합!Z$3:Z$501,MATCH(ROW()-2,종합!$AE$3:$AE$501,0))&amp;"","")</f>
        <v/>
      </c>
    </row>
    <row r="147" customFormat="false" ht="16.5" hidden="false" customHeight="true" outlineLevel="0" collapsed="false">
      <c r="A147" s="18" t="str">
        <f aca="false">IF(B147="","",ROW()-2)</f>
        <v/>
      </c>
      <c r="B147" s="18" t="str">
        <f aca="false">IFERROR(INDEX(종합!B$3:B$501,MATCH(ROW()-2,종합!$AE$3:$AE$501,0))&amp;"","")</f>
        <v/>
      </c>
      <c r="C147" s="18" t="str">
        <f aca="false">IFERROR(INDEX(종합!C$3:C$501,MATCH(ROW()-2,종합!$AE$3:$AE$501,0))&amp;"","")</f>
        <v/>
      </c>
      <c r="D147" s="18" t="str">
        <f aca="false">IFERROR(INDEX(종합!D$3:D$501,MATCH(ROW()-2,종합!$AE$3:$AE$501,0))&amp;"","")</f>
        <v/>
      </c>
      <c r="E147" s="18" t="str">
        <f aca="false">IFERROR(INDEX(종합!E$3:E$501,MATCH(ROW()-2,종합!$AE$3:$AE$501,0))&amp;"","")</f>
        <v/>
      </c>
      <c r="F147" s="18" t="str">
        <f aca="false">IFERROR(INDEX(종합!F$3:F$501,MATCH(ROW()-2,종합!$AE$3:$AE$501,0))&amp;"","")</f>
        <v/>
      </c>
      <c r="G147" s="18" t="str">
        <f aca="false">IFERROR(INDEX(종합!G$3:G$501,MATCH(ROW()-2,종합!$AE$3:$AE$501,0))&amp;"","")</f>
        <v/>
      </c>
      <c r="H147" s="21" t="str">
        <f aca="false">IFERROR(INDEX(종합!H$3:H$501,MATCH(ROW()-2,종합!$AE$3:$AE$501,0))&amp;"","")</f>
        <v/>
      </c>
      <c r="I147" s="21" t="str">
        <f aca="false">IFERROR(INDEX(종합!I$3:I$501,MATCH(ROW()-2,종합!$AE$3:$AE$501,0))&amp;"","")</f>
        <v/>
      </c>
      <c r="J147" s="21" t="str">
        <f aca="false">IFERROR(INDEX(종합!J$3:J$501,MATCH(ROW()-2,종합!$AE$3:$AE$501,0))&amp;"","")</f>
        <v/>
      </c>
      <c r="K147" s="21" t="str">
        <f aca="false">IFERROR(INDEX(종합!K$3:K$501,MATCH(ROW()-2,종합!$AE$3:$AE$501,0))&amp;"","")</f>
        <v/>
      </c>
      <c r="L147" s="21" t="str">
        <f aca="false">IFERROR(INDEX(종합!L$3:L$501,MATCH(ROW()-2,종합!$AE$3:$AE$501,0))&amp;"","")</f>
        <v/>
      </c>
      <c r="M147" s="21" t="str">
        <f aca="false">IFERROR(INDEX(종합!M$3:M$501,MATCH(ROW()-2,종합!$AE$3:$AE$501,0))&amp;"","")</f>
        <v/>
      </c>
      <c r="N147" s="25" t="str">
        <f aca="false">IFERROR(INDEX(종합!N$3:N$501,MATCH(ROW()-2,종합!$AE$3:$AE$501,0))&amp;"","")</f>
        <v/>
      </c>
      <c r="O147" s="21" t="str">
        <f aca="false">IFERROR(INDEX(종합!O$3:O$501,MATCH(ROW()-2,종합!$AE$3:$AE$501,0))&amp;"","")</f>
        <v/>
      </c>
      <c r="P147" s="21" t="str">
        <f aca="false">IFERROR(INDEX(종합!P$3:P$501,MATCH(ROW()-2,종합!$AE$3:$AE$501,0))&amp;"","")</f>
        <v/>
      </c>
      <c r="Q147" s="21" t="str">
        <f aca="false">IFERROR(INDEX(종합!Q$3:Q$501,MATCH(ROW()-2,종합!$AE$3:$AE$501,0))&amp;"","")</f>
        <v/>
      </c>
      <c r="R147" s="21" t="str">
        <f aca="false">IFERROR(INDEX(종합!R$3:R$501,MATCH(ROW()-2,종합!$AE$3:$AE$501,0))&amp;"","")</f>
        <v/>
      </c>
      <c r="S147" s="21" t="str">
        <f aca="false">IFERROR(INDEX(종합!S$3:S$501,MATCH(ROW()-2,종합!$AE$3:$AE$501,0))&amp;"","")</f>
        <v/>
      </c>
      <c r="T147" s="21" t="str">
        <f aca="false">IFERROR(INDEX(종합!T$3:T$501,MATCH(ROW()-2,종합!$AE$3:$AE$501,0))&amp;"","")</f>
        <v/>
      </c>
      <c r="U147" s="21" t="str">
        <f aca="false">IFERROR(INDEX(종합!U$3:U$501,MATCH(ROW()-2,종합!$AE$3:$AE$501,0))&amp;"","")</f>
        <v/>
      </c>
      <c r="V147" s="21" t="str">
        <f aca="false">IFERROR(INDEX(종합!V$3:V$501,MATCH(ROW()-2,종합!$AE$3:$AE$501,0))&amp;"","")</f>
        <v/>
      </c>
      <c r="W147" s="21" t="str">
        <f aca="false">IFERROR(INDEX(종합!W$3:W$501,MATCH(ROW()-2,종합!$AE$3:$AE$501,0))&amp;"","")</f>
        <v/>
      </c>
      <c r="X147" s="21" t="str">
        <f aca="false">IFERROR(INDEX(종합!X$3:X$501,MATCH(ROW()-2,종합!$AE$3:$AE$501,0))&amp;"","")</f>
        <v/>
      </c>
      <c r="Y147" s="21" t="str">
        <f aca="false">IFERROR(INDEX(종합!Y$3:Y$501,MATCH(ROW()-2,종합!$AE$3:$AE$501,0))&amp;"","")</f>
        <v/>
      </c>
      <c r="Z147" s="21" t="str">
        <f aca="false">IFERROR(INDEX(종합!Z$3:Z$501,MATCH(ROW()-2,종합!$AE$3:$AE$501,0))&amp;"","")</f>
        <v/>
      </c>
    </row>
    <row r="148" customFormat="false" ht="16.5" hidden="false" customHeight="true" outlineLevel="0" collapsed="false">
      <c r="A148" s="18" t="str">
        <f aca="false">IF(B148="","",ROW()-2)</f>
        <v/>
      </c>
      <c r="B148" s="18" t="str">
        <f aca="false">IFERROR(INDEX(종합!B$3:B$501,MATCH(ROW()-2,종합!$AE$3:$AE$501,0))&amp;"","")</f>
        <v/>
      </c>
      <c r="C148" s="18" t="str">
        <f aca="false">IFERROR(INDEX(종합!C$3:C$501,MATCH(ROW()-2,종합!$AE$3:$AE$501,0))&amp;"","")</f>
        <v/>
      </c>
      <c r="D148" s="18" t="str">
        <f aca="false">IFERROR(INDEX(종합!D$3:D$501,MATCH(ROW()-2,종합!$AE$3:$AE$501,0))&amp;"","")</f>
        <v/>
      </c>
      <c r="E148" s="18" t="str">
        <f aca="false">IFERROR(INDEX(종합!E$3:E$501,MATCH(ROW()-2,종합!$AE$3:$AE$501,0))&amp;"","")</f>
        <v/>
      </c>
      <c r="F148" s="18" t="str">
        <f aca="false">IFERROR(INDEX(종합!F$3:F$501,MATCH(ROW()-2,종합!$AE$3:$AE$501,0))&amp;"","")</f>
        <v/>
      </c>
      <c r="G148" s="18" t="str">
        <f aca="false">IFERROR(INDEX(종합!G$3:G$501,MATCH(ROW()-2,종합!$AE$3:$AE$501,0))&amp;"","")</f>
        <v/>
      </c>
      <c r="H148" s="21" t="str">
        <f aca="false">IFERROR(INDEX(종합!H$3:H$501,MATCH(ROW()-2,종합!$AE$3:$AE$501,0))&amp;"","")</f>
        <v/>
      </c>
      <c r="I148" s="21" t="str">
        <f aca="false">IFERROR(INDEX(종합!I$3:I$501,MATCH(ROW()-2,종합!$AE$3:$AE$501,0))&amp;"","")</f>
        <v/>
      </c>
      <c r="J148" s="21" t="str">
        <f aca="false">IFERROR(INDEX(종합!J$3:J$501,MATCH(ROW()-2,종합!$AE$3:$AE$501,0))&amp;"","")</f>
        <v/>
      </c>
      <c r="K148" s="21" t="str">
        <f aca="false">IFERROR(INDEX(종합!K$3:K$501,MATCH(ROW()-2,종합!$AE$3:$AE$501,0))&amp;"","")</f>
        <v/>
      </c>
      <c r="L148" s="21" t="str">
        <f aca="false">IFERROR(INDEX(종합!L$3:L$501,MATCH(ROW()-2,종합!$AE$3:$AE$501,0))&amp;"","")</f>
        <v/>
      </c>
      <c r="M148" s="21" t="str">
        <f aca="false">IFERROR(INDEX(종합!M$3:M$501,MATCH(ROW()-2,종합!$AE$3:$AE$501,0))&amp;"","")</f>
        <v/>
      </c>
      <c r="N148" s="25" t="str">
        <f aca="false">IFERROR(INDEX(종합!N$3:N$501,MATCH(ROW()-2,종합!$AE$3:$AE$501,0))&amp;"","")</f>
        <v/>
      </c>
      <c r="O148" s="21" t="str">
        <f aca="false">IFERROR(INDEX(종합!O$3:O$501,MATCH(ROW()-2,종합!$AE$3:$AE$501,0))&amp;"","")</f>
        <v/>
      </c>
      <c r="P148" s="21" t="str">
        <f aca="false">IFERROR(INDEX(종합!P$3:P$501,MATCH(ROW()-2,종합!$AE$3:$AE$501,0))&amp;"","")</f>
        <v/>
      </c>
      <c r="Q148" s="21" t="str">
        <f aca="false">IFERROR(INDEX(종합!Q$3:Q$501,MATCH(ROW()-2,종합!$AE$3:$AE$501,0))&amp;"","")</f>
        <v/>
      </c>
      <c r="R148" s="21" t="str">
        <f aca="false">IFERROR(INDEX(종합!R$3:R$501,MATCH(ROW()-2,종합!$AE$3:$AE$501,0))&amp;"","")</f>
        <v/>
      </c>
      <c r="S148" s="21" t="str">
        <f aca="false">IFERROR(INDEX(종합!S$3:S$501,MATCH(ROW()-2,종합!$AE$3:$AE$501,0))&amp;"","")</f>
        <v/>
      </c>
      <c r="T148" s="21" t="str">
        <f aca="false">IFERROR(INDEX(종합!T$3:T$501,MATCH(ROW()-2,종합!$AE$3:$AE$501,0))&amp;"","")</f>
        <v/>
      </c>
      <c r="U148" s="21" t="str">
        <f aca="false">IFERROR(INDEX(종합!U$3:U$501,MATCH(ROW()-2,종합!$AE$3:$AE$501,0))&amp;"","")</f>
        <v/>
      </c>
      <c r="V148" s="21" t="str">
        <f aca="false">IFERROR(INDEX(종합!V$3:V$501,MATCH(ROW()-2,종합!$AE$3:$AE$501,0))&amp;"","")</f>
        <v/>
      </c>
      <c r="W148" s="21" t="str">
        <f aca="false">IFERROR(INDEX(종합!W$3:W$501,MATCH(ROW()-2,종합!$AE$3:$AE$501,0))&amp;"","")</f>
        <v/>
      </c>
      <c r="X148" s="21" t="str">
        <f aca="false">IFERROR(INDEX(종합!X$3:X$501,MATCH(ROW()-2,종합!$AE$3:$AE$501,0))&amp;"","")</f>
        <v/>
      </c>
      <c r="Y148" s="21" t="str">
        <f aca="false">IFERROR(INDEX(종합!Y$3:Y$501,MATCH(ROW()-2,종합!$AE$3:$AE$501,0))&amp;"","")</f>
        <v/>
      </c>
      <c r="Z148" s="21" t="str">
        <f aca="false">IFERROR(INDEX(종합!Z$3:Z$501,MATCH(ROW()-2,종합!$AE$3:$AE$501,0))&amp;"","")</f>
        <v/>
      </c>
    </row>
    <row r="149" customFormat="false" ht="16.5" hidden="false" customHeight="true" outlineLevel="0" collapsed="false">
      <c r="A149" s="18" t="str">
        <f aca="false">IF(B149="","",ROW()-2)</f>
        <v/>
      </c>
      <c r="B149" s="18" t="str">
        <f aca="false">IFERROR(INDEX(종합!B$3:B$501,MATCH(ROW()-2,종합!$AE$3:$AE$501,0))&amp;"","")</f>
        <v/>
      </c>
      <c r="C149" s="18" t="str">
        <f aca="false">IFERROR(INDEX(종합!C$3:C$501,MATCH(ROW()-2,종합!$AE$3:$AE$501,0))&amp;"","")</f>
        <v/>
      </c>
      <c r="D149" s="18" t="str">
        <f aca="false">IFERROR(INDEX(종합!D$3:D$501,MATCH(ROW()-2,종합!$AE$3:$AE$501,0))&amp;"","")</f>
        <v/>
      </c>
      <c r="E149" s="18" t="str">
        <f aca="false">IFERROR(INDEX(종합!E$3:E$501,MATCH(ROW()-2,종합!$AE$3:$AE$501,0))&amp;"","")</f>
        <v/>
      </c>
      <c r="F149" s="18" t="str">
        <f aca="false">IFERROR(INDEX(종합!F$3:F$501,MATCH(ROW()-2,종합!$AE$3:$AE$501,0))&amp;"","")</f>
        <v/>
      </c>
      <c r="G149" s="18" t="str">
        <f aca="false">IFERROR(INDEX(종합!G$3:G$501,MATCH(ROW()-2,종합!$AE$3:$AE$501,0))&amp;"","")</f>
        <v/>
      </c>
      <c r="H149" s="21" t="str">
        <f aca="false">IFERROR(INDEX(종합!H$3:H$501,MATCH(ROW()-2,종합!$AE$3:$AE$501,0))&amp;"","")</f>
        <v/>
      </c>
      <c r="I149" s="21" t="str">
        <f aca="false">IFERROR(INDEX(종합!I$3:I$501,MATCH(ROW()-2,종합!$AE$3:$AE$501,0))&amp;"","")</f>
        <v/>
      </c>
      <c r="J149" s="21" t="str">
        <f aca="false">IFERROR(INDEX(종합!J$3:J$501,MATCH(ROW()-2,종합!$AE$3:$AE$501,0))&amp;"","")</f>
        <v/>
      </c>
      <c r="K149" s="21" t="str">
        <f aca="false">IFERROR(INDEX(종합!K$3:K$501,MATCH(ROW()-2,종합!$AE$3:$AE$501,0))&amp;"","")</f>
        <v/>
      </c>
      <c r="L149" s="21" t="str">
        <f aca="false">IFERROR(INDEX(종합!L$3:L$501,MATCH(ROW()-2,종합!$AE$3:$AE$501,0))&amp;"","")</f>
        <v/>
      </c>
      <c r="M149" s="21" t="str">
        <f aca="false">IFERROR(INDEX(종합!M$3:M$501,MATCH(ROW()-2,종합!$AE$3:$AE$501,0))&amp;"","")</f>
        <v/>
      </c>
      <c r="N149" s="25" t="str">
        <f aca="false">IFERROR(INDEX(종합!N$3:N$501,MATCH(ROW()-2,종합!$AE$3:$AE$501,0))&amp;"","")</f>
        <v/>
      </c>
      <c r="O149" s="21" t="str">
        <f aca="false">IFERROR(INDEX(종합!O$3:O$501,MATCH(ROW()-2,종합!$AE$3:$AE$501,0))&amp;"","")</f>
        <v/>
      </c>
      <c r="P149" s="21" t="str">
        <f aca="false">IFERROR(INDEX(종합!P$3:P$501,MATCH(ROW()-2,종합!$AE$3:$AE$501,0))&amp;"","")</f>
        <v/>
      </c>
      <c r="Q149" s="21" t="str">
        <f aca="false">IFERROR(INDEX(종합!Q$3:Q$501,MATCH(ROW()-2,종합!$AE$3:$AE$501,0))&amp;"","")</f>
        <v/>
      </c>
      <c r="R149" s="21" t="str">
        <f aca="false">IFERROR(INDEX(종합!R$3:R$501,MATCH(ROW()-2,종합!$AE$3:$AE$501,0))&amp;"","")</f>
        <v/>
      </c>
      <c r="S149" s="21" t="str">
        <f aca="false">IFERROR(INDEX(종합!S$3:S$501,MATCH(ROW()-2,종합!$AE$3:$AE$501,0))&amp;"","")</f>
        <v/>
      </c>
      <c r="T149" s="21" t="str">
        <f aca="false">IFERROR(INDEX(종합!T$3:T$501,MATCH(ROW()-2,종합!$AE$3:$AE$501,0))&amp;"","")</f>
        <v/>
      </c>
      <c r="U149" s="21" t="str">
        <f aca="false">IFERROR(INDEX(종합!U$3:U$501,MATCH(ROW()-2,종합!$AE$3:$AE$501,0))&amp;"","")</f>
        <v/>
      </c>
      <c r="V149" s="21" t="str">
        <f aca="false">IFERROR(INDEX(종합!V$3:V$501,MATCH(ROW()-2,종합!$AE$3:$AE$501,0))&amp;"","")</f>
        <v/>
      </c>
      <c r="W149" s="21" t="str">
        <f aca="false">IFERROR(INDEX(종합!W$3:W$501,MATCH(ROW()-2,종합!$AE$3:$AE$501,0))&amp;"","")</f>
        <v/>
      </c>
      <c r="X149" s="21" t="str">
        <f aca="false">IFERROR(INDEX(종합!X$3:X$501,MATCH(ROW()-2,종합!$AE$3:$AE$501,0))&amp;"","")</f>
        <v/>
      </c>
      <c r="Y149" s="21" t="str">
        <f aca="false">IFERROR(INDEX(종합!Y$3:Y$501,MATCH(ROW()-2,종합!$AE$3:$AE$501,0))&amp;"","")</f>
        <v/>
      </c>
      <c r="Z149" s="21" t="str">
        <f aca="false">IFERROR(INDEX(종합!Z$3:Z$501,MATCH(ROW()-2,종합!$AE$3:$AE$501,0))&amp;"","")</f>
        <v/>
      </c>
    </row>
    <row r="150" customFormat="false" ht="16.5" hidden="false" customHeight="true" outlineLevel="0" collapsed="false">
      <c r="A150" s="18" t="str">
        <f aca="false">IF(B150="","",ROW()-2)</f>
        <v/>
      </c>
      <c r="B150" s="18" t="str">
        <f aca="false">IFERROR(INDEX(종합!B$3:B$501,MATCH(ROW()-2,종합!$AE$3:$AE$501,0))&amp;"","")</f>
        <v/>
      </c>
      <c r="C150" s="18" t="str">
        <f aca="false">IFERROR(INDEX(종합!C$3:C$501,MATCH(ROW()-2,종합!$AE$3:$AE$501,0))&amp;"","")</f>
        <v/>
      </c>
      <c r="D150" s="18" t="str">
        <f aca="false">IFERROR(INDEX(종합!D$3:D$501,MATCH(ROW()-2,종합!$AE$3:$AE$501,0))&amp;"","")</f>
        <v/>
      </c>
      <c r="E150" s="18" t="str">
        <f aca="false">IFERROR(INDEX(종합!E$3:E$501,MATCH(ROW()-2,종합!$AE$3:$AE$501,0))&amp;"","")</f>
        <v/>
      </c>
      <c r="F150" s="18" t="str">
        <f aca="false">IFERROR(INDEX(종합!F$3:F$501,MATCH(ROW()-2,종합!$AE$3:$AE$501,0))&amp;"","")</f>
        <v/>
      </c>
      <c r="G150" s="18" t="str">
        <f aca="false">IFERROR(INDEX(종합!G$3:G$501,MATCH(ROW()-2,종합!$AE$3:$AE$501,0))&amp;"","")</f>
        <v/>
      </c>
      <c r="H150" s="21" t="str">
        <f aca="false">IFERROR(INDEX(종합!H$3:H$501,MATCH(ROW()-2,종합!$AE$3:$AE$501,0))&amp;"","")</f>
        <v/>
      </c>
      <c r="I150" s="21" t="str">
        <f aca="false">IFERROR(INDEX(종합!I$3:I$501,MATCH(ROW()-2,종합!$AE$3:$AE$501,0))&amp;"","")</f>
        <v/>
      </c>
      <c r="J150" s="21" t="str">
        <f aca="false">IFERROR(INDEX(종합!J$3:J$501,MATCH(ROW()-2,종합!$AE$3:$AE$501,0))&amp;"","")</f>
        <v/>
      </c>
      <c r="K150" s="21" t="str">
        <f aca="false">IFERROR(INDEX(종합!K$3:K$501,MATCH(ROW()-2,종합!$AE$3:$AE$501,0))&amp;"","")</f>
        <v/>
      </c>
      <c r="L150" s="21" t="str">
        <f aca="false">IFERROR(INDEX(종합!L$3:L$501,MATCH(ROW()-2,종합!$AE$3:$AE$501,0))&amp;"","")</f>
        <v/>
      </c>
      <c r="M150" s="21" t="str">
        <f aca="false">IFERROR(INDEX(종합!M$3:M$501,MATCH(ROW()-2,종합!$AE$3:$AE$501,0))&amp;"","")</f>
        <v/>
      </c>
      <c r="N150" s="25" t="str">
        <f aca="false">IFERROR(INDEX(종합!N$3:N$501,MATCH(ROW()-2,종합!$AE$3:$AE$501,0))&amp;"","")</f>
        <v/>
      </c>
      <c r="O150" s="21" t="str">
        <f aca="false">IFERROR(INDEX(종합!O$3:O$501,MATCH(ROW()-2,종합!$AE$3:$AE$501,0))&amp;"","")</f>
        <v/>
      </c>
      <c r="P150" s="21" t="str">
        <f aca="false">IFERROR(INDEX(종합!P$3:P$501,MATCH(ROW()-2,종합!$AE$3:$AE$501,0))&amp;"","")</f>
        <v/>
      </c>
      <c r="Q150" s="21" t="str">
        <f aca="false">IFERROR(INDEX(종합!Q$3:Q$501,MATCH(ROW()-2,종합!$AE$3:$AE$501,0))&amp;"","")</f>
        <v/>
      </c>
      <c r="R150" s="21" t="str">
        <f aca="false">IFERROR(INDEX(종합!R$3:R$501,MATCH(ROW()-2,종합!$AE$3:$AE$501,0))&amp;"","")</f>
        <v/>
      </c>
      <c r="S150" s="21" t="str">
        <f aca="false">IFERROR(INDEX(종합!S$3:S$501,MATCH(ROW()-2,종합!$AE$3:$AE$501,0))&amp;"","")</f>
        <v/>
      </c>
      <c r="T150" s="21" t="str">
        <f aca="false">IFERROR(INDEX(종합!T$3:T$501,MATCH(ROW()-2,종합!$AE$3:$AE$501,0))&amp;"","")</f>
        <v/>
      </c>
      <c r="U150" s="21" t="str">
        <f aca="false">IFERROR(INDEX(종합!U$3:U$501,MATCH(ROW()-2,종합!$AE$3:$AE$501,0))&amp;"","")</f>
        <v/>
      </c>
      <c r="V150" s="21" t="str">
        <f aca="false">IFERROR(INDEX(종합!V$3:V$501,MATCH(ROW()-2,종합!$AE$3:$AE$501,0))&amp;"","")</f>
        <v/>
      </c>
      <c r="W150" s="21" t="str">
        <f aca="false">IFERROR(INDEX(종합!W$3:W$501,MATCH(ROW()-2,종합!$AE$3:$AE$501,0))&amp;"","")</f>
        <v/>
      </c>
      <c r="X150" s="21" t="str">
        <f aca="false">IFERROR(INDEX(종합!X$3:X$501,MATCH(ROW()-2,종합!$AE$3:$AE$501,0))&amp;"","")</f>
        <v/>
      </c>
      <c r="Y150" s="21" t="str">
        <f aca="false">IFERROR(INDEX(종합!Y$3:Y$501,MATCH(ROW()-2,종합!$AE$3:$AE$501,0))&amp;"","")</f>
        <v/>
      </c>
      <c r="Z150" s="21" t="str">
        <f aca="false">IFERROR(INDEX(종합!Z$3:Z$501,MATCH(ROW()-2,종합!$AE$3:$AE$501,0))&amp;"","")</f>
        <v/>
      </c>
    </row>
    <row r="151" customFormat="false" ht="16.5" hidden="false" customHeight="true" outlineLevel="0" collapsed="false">
      <c r="A151" s="18" t="str">
        <f aca="false">IF(B151="","",ROW()-2)</f>
        <v/>
      </c>
      <c r="B151" s="18" t="str">
        <f aca="false">IFERROR(INDEX(종합!B$3:B$501,MATCH(ROW()-2,종합!$AE$3:$AE$501,0))&amp;"","")</f>
        <v/>
      </c>
      <c r="C151" s="18" t="str">
        <f aca="false">IFERROR(INDEX(종합!C$3:C$501,MATCH(ROW()-2,종합!$AE$3:$AE$501,0))&amp;"","")</f>
        <v/>
      </c>
      <c r="D151" s="18" t="str">
        <f aca="false">IFERROR(INDEX(종합!D$3:D$501,MATCH(ROW()-2,종합!$AE$3:$AE$501,0))&amp;"","")</f>
        <v/>
      </c>
      <c r="E151" s="18" t="str">
        <f aca="false">IFERROR(INDEX(종합!E$3:E$501,MATCH(ROW()-2,종합!$AE$3:$AE$501,0))&amp;"","")</f>
        <v/>
      </c>
      <c r="F151" s="18" t="str">
        <f aca="false">IFERROR(INDEX(종합!F$3:F$501,MATCH(ROW()-2,종합!$AE$3:$AE$501,0))&amp;"","")</f>
        <v/>
      </c>
      <c r="G151" s="18" t="str">
        <f aca="false">IFERROR(INDEX(종합!G$3:G$501,MATCH(ROW()-2,종합!$AE$3:$AE$501,0))&amp;"","")</f>
        <v/>
      </c>
      <c r="H151" s="21" t="str">
        <f aca="false">IFERROR(INDEX(종합!H$3:H$501,MATCH(ROW()-2,종합!$AE$3:$AE$501,0))&amp;"","")</f>
        <v/>
      </c>
      <c r="I151" s="21" t="str">
        <f aca="false">IFERROR(INDEX(종합!I$3:I$501,MATCH(ROW()-2,종합!$AE$3:$AE$501,0))&amp;"","")</f>
        <v/>
      </c>
      <c r="J151" s="21" t="str">
        <f aca="false">IFERROR(INDEX(종합!J$3:J$501,MATCH(ROW()-2,종합!$AE$3:$AE$501,0))&amp;"","")</f>
        <v/>
      </c>
      <c r="K151" s="21" t="str">
        <f aca="false">IFERROR(INDEX(종합!K$3:K$501,MATCH(ROW()-2,종합!$AE$3:$AE$501,0))&amp;"","")</f>
        <v/>
      </c>
      <c r="L151" s="21" t="str">
        <f aca="false">IFERROR(INDEX(종합!L$3:L$501,MATCH(ROW()-2,종합!$AE$3:$AE$501,0))&amp;"","")</f>
        <v/>
      </c>
      <c r="M151" s="21" t="str">
        <f aca="false">IFERROR(INDEX(종합!M$3:M$501,MATCH(ROW()-2,종합!$AE$3:$AE$501,0))&amp;"","")</f>
        <v/>
      </c>
      <c r="N151" s="25" t="str">
        <f aca="false">IFERROR(INDEX(종합!N$3:N$501,MATCH(ROW()-2,종합!$AE$3:$AE$501,0))&amp;"","")</f>
        <v/>
      </c>
      <c r="O151" s="21" t="str">
        <f aca="false">IFERROR(INDEX(종합!O$3:O$501,MATCH(ROW()-2,종합!$AE$3:$AE$501,0))&amp;"","")</f>
        <v/>
      </c>
      <c r="P151" s="21" t="str">
        <f aca="false">IFERROR(INDEX(종합!P$3:P$501,MATCH(ROW()-2,종합!$AE$3:$AE$501,0))&amp;"","")</f>
        <v/>
      </c>
      <c r="Q151" s="21" t="str">
        <f aca="false">IFERROR(INDEX(종합!Q$3:Q$501,MATCH(ROW()-2,종합!$AE$3:$AE$501,0))&amp;"","")</f>
        <v/>
      </c>
      <c r="R151" s="21" t="str">
        <f aca="false">IFERROR(INDEX(종합!R$3:R$501,MATCH(ROW()-2,종합!$AE$3:$AE$501,0))&amp;"","")</f>
        <v/>
      </c>
      <c r="S151" s="21" t="str">
        <f aca="false">IFERROR(INDEX(종합!S$3:S$501,MATCH(ROW()-2,종합!$AE$3:$AE$501,0))&amp;"","")</f>
        <v/>
      </c>
      <c r="T151" s="21" t="str">
        <f aca="false">IFERROR(INDEX(종합!T$3:T$501,MATCH(ROW()-2,종합!$AE$3:$AE$501,0))&amp;"","")</f>
        <v/>
      </c>
      <c r="U151" s="21" t="str">
        <f aca="false">IFERROR(INDEX(종합!U$3:U$501,MATCH(ROW()-2,종합!$AE$3:$AE$501,0))&amp;"","")</f>
        <v/>
      </c>
      <c r="V151" s="21" t="str">
        <f aca="false">IFERROR(INDEX(종합!V$3:V$501,MATCH(ROW()-2,종합!$AE$3:$AE$501,0))&amp;"","")</f>
        <v/>
      </c>
      <c r="W151" s="21" t="str">
        <f aca="false">IFERROR(INDEX(종합!W$3:W$501,MATCH(ROW()-2,종합!$AE$3:$AE$501,0))&amp;"","")</f>
        <v/>
      </c>
      <c r="X151" s="21" t="str">
        <f aca="false">IFERROR(INDEX(종합!X$3:X$501,MATCH(ROW()-2,종합!$AE$3:$AE$501,0))&amp;"","")</f>
        <v/>
      </c>
      <c r="Y151" s="21" t="str">
        <f aca="false">IFERROR(INDEX(종합!Y$3:Y$501,MATCH(ROW()-2,종합!$AE$3:$AE$501,0))&amp;"","")</f>
        <v/>
      </c>
      <c r="Z151" s="21" t="str">
        <f aca="false">IFERROR(INDEX(종합!Z$3:Z$501,MATCH(ROW()-2,종합!$AE$3:$AE$501,0))&amp;"","")</f>
        <v/>
      </c>
    </row>
    <row r="152" customFormat="false" ht="16.5" hidden="false" customHeight="true" outlineLevel="0" collapsed="false">
      <c r="A152" s="18" t="str">
        <f aca="false">IF(B152="","",ROW()-2)</f>
        <v/>
      </c>
      <c r="B152" s="18" t="str">
        <f aca="false">IFERROR(INDEX(종합!B$3:B$501,MATCH(ROW()-2,종합!$AE$3:$AE$501,0))&amp;"","")</f>
        <v/>
      </c>
      <c r="C152" s="18" t="str">
        <f aca="false">IFERROR(INDEX(종합!C$3:C$501,MATCH(ROW()-2,종합!$AE$3:$AE$501,0))&amp;"","")</f>
        <v/>
      </c>
      <c r="D152" s="18" t="str">
        <f aca="false">IFERROR(INDEX(종합!D$3:D$501,MATCH(ROW()-2,종합!$AE$3:$AE$501,0))&amp;"","")</f>
        <v/>
      </c>
      <c r="E152" s="18" t="str">
        <f aca="false">IFERROR(INDEX(종합!E$3:E$501,MATCH(ROW()-2,종합!$AE$3:$AE$501,0))&amp;"","")</f>
        <v/>
      </c>
      <c r="F152" s="18" t="str">
        <f aca="false">IFERROR(INDEX(종합!F$3:F$501,MATCH(ROW()-2,종합!$AE$3:$AE$501,0))&amp;"","")</f>
        <v/>
      </c>
      <c r="G152" s="18" t="str">
        <f aca="false">IFERROR(INDEX(종합!G$3:G$501,MATCH(ROW()-2,종합!$AE$3:$AE$501,0))&amp;"","")</f>
        <v/>
      </c>
      <c r="H152" s="21" t="str">
        <f aca="false">IFERROR(INDEX(종합!H$3:H$501,MATCH(ROW()-2,종합!$AE$3:$AE$501,0))&amp;"","")</f>
        <v/>
      </c>
      <c r="I152" s="21" t="str">
        <f aca="false">IFERROR(INDEX(종합!I$3:I$501,MATCH(ROW()-2,종합!$AE$3:$AE$501,0))&amp;"","")</f>
        <v/>
      </c>
      <c r="J152" s="21" t="str">
        <f aca="false">IFERROR(INDEX(종합!J$3:J$501,MATCH(ROW()-2,종합!$AE$3:$AE$501,0))&amp;"","")</f>
        <v/>
      </c>
      <c r="K152" s="21" t="str">
        <f aca="false">IFERROR(INDEX(종합!K$3:K$501,MATCH(ROW()-2,종합!$AE$3:$AE$501,0))&amp;"","")</f>
        <v/>
      </c>
      <c r="L152" s="21" t="str">
        <f aca="false">IFERROR(INDEX(종합!L$3:L$501,MATCH(ROW()-2,종합!$AE$3:$AE$501,0))&amp;"","")</f>
        <v/>
      </c>
      <c r="M152" s="21" t="str">
        <f aca="false">IFERROR(INDEX(종합!M$3:M$501,MATCH(ROW()-2,종합!$AE$3:$AE$501,0))&amp;"","")</f>
        <v/>
      </c>
      <c r="N152" s="25" t="str">
        <f aca="false">IFERROR(INDEX(종합!N$3:N$501,MATCH(ROW()-2,종합!$AE$3:$AE$501,0))&amp;"","")</f>
        <v/>
      </c>
      <c r="O152" s="21" t="str">
        <f aca="false">IFERROR(INDEX(종합!O$3:O$501,MATCH(ROW()-2,종합!$AE$3:$AE$501,0))&amp;"","")</f>
        <v/>
      </c>
      <c r="P152" s="21" t="str">
        <f aca="false">IFERROR(INDEX(종합!P$3:P$501,MATCH(ROW()-2,종합!$AE$3:$AE$501,0))&amp;"","")</f>
        <v/>
      </c>
      <c r="Q152" s="21" t="str">
        <f aca="false">IFERROR(INDEX(종합!Q$3:Q$501,MATCH(ROW()-2,종합!$AE$3:$AE$501,0))&amp;"","")</f>
        <v/>
      </c>
      <c r="R152" s="21" t="str">
        <f aca="false">IFERROR(INDEX(종합!R$3:R$501,MATCH(ROW()-2,종합!$AE$3:$AE$501,0))&amp;"","")</f>
        <v/>
      </c>
      <c r="S152" s="21" t="str">
        <f aca="false">IFERROR(INDEX(종합!S$3:S$501,MATCH(ROW()-2,종합!$AE$3:$AE$501,0))&amp;"","")</f>
        <v/>
      </c>
      <c r="T152" s="21" t="str">
        <f aca="false">IFERROR(INDEX(종합!T$3:T$501,MATCH(ROW()-2,종합!$AE$3:$AE$501,0))&amp;"","")</f>
        <v/>
      </c>
      <c r="U152" s="21" t="str">
        <f aca="false">IFERROR(INDEX(종합!U$3:U$501,MATCH(ROW()-2,종합!$AE$3:$AE$501,0))&amp;"","")</f>
        <v/>
      </c>
      <c r="V152" s="21" t="str">
        <f aca="false">IFERROR(INDEX(종합!V$3:V$501,MATCH(ROW()-2,종합!$AE$3:$AE$501,0))&amp;"","")</f>
        <v/>
      </c>
      <c r="W152" s="21" t="str">
        <f aca="false">IFERROR(INDEX(종합!W$3:W$501,MATCH(ROW()-2,종합!$AE$3:$AE$501,0))&amp;"","")</f>
        <v/>
      </c>
      <c r="X152" s="21" t="str">
        <f aca="false">IFERROR(INDEX(종합!X$3:X$501,MATCH(ROW()-2,종합!$AE$3:$AE$501,0))&amp;"","")</f>
        <v/>
      </c>
      <c r="Y152" s="21" t="str">
        <f aca="false">IFERROR(INDEX(종합!Y$3:Y$501,MATCH(ROW()-2,종합!$AE$3:$AE$501,0))&amp;"","")</f>
        <v/>
      </c>
      <c r="Z152" s="21" t="str">
        <f aca="false">IFERROR(INDEX(종합!Z$3:Z$501,MATCH(ROW()-2,종합!$AE$3:$AE$501,0))&amp;"","")</f>
        <v/>
      </c>
    </row>
    <row r="153" customFormat="false" ht="16.5" hidden="false" customHeight="true" outlineLevel="0" collapsed="false">
      <c r="A153" s="18" t="str">
        <f aca="false">IF(B153="","",ROW()-2)</f>
        <v/>
      </c>
      <c r="B153" s="18" t="str">
        <f aca="false">IFERROR(INDEX(종합!B$3:B$501,MATCH(ROW()-2,종합!$AE$3:$AE$501,0))&amp;"","")</f>
        <v/>
      </c>
      <c r="C153" s="18" t="str">
        <f aca="false">IFERROR(INDEX(종합!C$3:C$501,MATCH(ROW()-2,종합!$AE$3:$AE$501,0))&amp;"","")</f>
        <v/>
      </c>
      <c r="D153" s="18" t="str">
        <f aca="false">IFERROR(INDEX(종합!D$3:D$501,MATCH(ROW()-2,종합!$AE$3:$AE$501,0))&amp;"","")</f>
        <v/>
      </c>
      <c r="E153" s="18" t="str">
        <f aca="false">IFERROR(INDEX(종합!E$3:E$501,MATCH(ROW()-2,종합!$AE$3:$AE$501,0))&amp;"","")</f>
        <v/>
      </c>
      <c r="F153" s="18" t="str">
        <f aca="false">IFERROR(INDEX(종합!F$3:F$501,MATCH(ROW()-2,종합!$AE$3:$AE$501,0))&amp;"","")</f>
        <v/>
      </c>
      <c r="G153" s="18" t="str">
        <f aca="false">IFERROR(INDEX(종합!G$3:G$501,MATCH(ROW()-2,종합!$AE$3:$AE$501,0))&amp;"","")</f>
        <v/>
      </c>
      <c r="H153" s="21" t="str">
        <f aca="false">IFERROR(INDEX(종합!H$3:H$501,MATCH(ROW()-2,종합!$AE$3:$AE$501,0))&amp;"","")</f>
        <v/>
      </c>
      <c r="I153" s="21" t="str">
        <f aca="false">IFERROR(INDEX(종합!I$3:I$501,MATCH(ROW()-2,종합!$AE$3:$AE$501,0))&amp;"","")</f>
        <v/>
      </c>
      <c r="J153" s="21" t="str">
        <f aca="false">IFERROR(INDEX(종합!J$3:J$501,MATCH(ROW()-2,종합!$AE$3:$AE$501,0))&amp;"","")</f>
        <v/>
      </c>
      <c r="K153" s="21" t="str">
        <f aca="false">IFERROR(INDEX(종합!K$3:K$501,MATCH(ROW()-2,종합!$AE$3:$AE$501,0))&amp;"","")</f>
        <v/>
      </c>
      <c r="L153" s="21" t="str">
        <f aca="false">IFERROR(INDEX(종합!L$3:L$501,MATCH(ROW()-2,종합!$AE$3:$AE$501,0))&amp;"","")</f>
        <v/>
      </c>
      <c r="M153" s="21" t="str">
        <f aca="false">IFERROR(INDEX(종합!M$3:M$501,MATCH(ROW()-2,종합!$AE$3:$AE$501,0))&amp;"","")</f>
        <v/>
      </c>
      <c r="N153" s="25" t="str">
        <f aca="false">IFERROR(INDEX(종합!N$3:N$501,MATCH(ROW()-2,종합!$AE$3:$AE$501,0))&amp;"","")</f>
        <v/>
      </c>
      <c r="O153" s="21" t="str">
        <f aca="false">IFERROR(INDEX(종합!O$3:O$501,MATCH(ROW()-2,종합!$AE$3:$AE$501,0))&amp;"","")</f>
        <v/>
      </c>
      <c r="P153" s="21" t="str">
        <f aca="false">IFERROR(INDEX(종합!P$3:P$501,MATCH(ROW()-2,종합!$AE$3:$AE$501,0))&amp;"","")</f>
        <v/>
      </c>
      <c r="Q153" s="21" t="str">
        <f aca="false">IFERROR(INDEX(종합!Q$3:Q$501,MATCH(ROW()-2,종합!$AE$3:$AE$501,0))&amp;"","")</f>
        <v/>
      </c>
      <c r="R153" s="21" t="str">
        <f aca="false">IFERROR(INDEX(종합!R$3:R$501,MATCH(ROW()-2,종합!$AE$3:$AE$501,0))&amp;"","")</f>
        <v/>
      </c>
      <c r="S153" s="21" t="str">
        <f aca="false">IFERROR(INDEX(종합!S$3:S$501,MATCH(ROW()-2,종합!$AE$3:$AE$501,0))&amp;"","")</f>
        <v/>
      </c>
      <c r="T153" s="21" t="str">
        <f aca="false">IFERROR(INDEX(종합!T$3:T$501,MATCH(ROW()-2,종합!$AE$3:$AE$501,0))&amp;"","")</f>
        <v/>
      </c>
      <c r="U153" s="21" t="str">
        <f aca="false">IFERROR(INDEX(종합!U$3:U$501,MATCH(ROW()-2,종합!$AE$3:$AE$501,0))&amp;"","")</f>
        <v/>
      </c>
      <c r="V153" s="21" t="str">
        <f aca="false">IFERROR(INDEX(종합!V$3:V$501,MATCH(ROW()-2,종합!$AE$3:$AE$501,0))&amp;"","")</f>
        <v/>
      </c>
      <c r="W153" s="21" t="str">
        <f aca="false">IFERROR(INDEX(종합!W$3:W$501,MATCH(ROW()-2,종합!$AE$3:$AE$501,0))&amp;"","")</f>
        <v/>
      </c>
      <c r="X153" s="21" t="str">
        <f aca="false">IFERROR(INDEX(종합!X$3:X$501,MATCH(ROW()-2,종합!$AE$3:$AE$501,0))&amp;"","")</f>
        <v/>
      </c>
      <c r="Y153" s="21" t="str">
        <f aca="false">IFERROR(INDEX(종합!Y$3:Y$501,MATCH(ROW()-2,종합!$AE$3:$AE$501,0))&amp;"","")</f>
        <v/>
      </c>
      <c r="Z153" s="21" t="str">
        <f aca="false">IFERROR(INDEX(종합!Z$3:Z$501,MATCH(ROW()-2,종합!$AE$3:$AE$501,0))&amp;"","")</f>
        <v/>
      </c>
    </row>
    <row r="154" customFormat="false" ht="16.5" hidden="false" customHeight="true" outlineLevel="0" collapsed="false">
      <c r="A154" s="18" t="str">
        <f aca="false">IF(B154="","",ROW()-2)</f>
        <v/>
      </c>
      <c r="B154" s="18" t="str">
        <f aca="false">IFERROR(INDEX(종합!B$3:B$501,MATCH(ROW()-2,종합!$AE$3:$AE$501,0))&amp;"","")</f>
        <v/>
      </c>
      <c r="C154" s="18" t="str">
        <f aca="false">IFERROR(INDEX(종합!C$3:C$501,MATCH(ROW()-2,종합!$AE$3:$AE$501,0))&amp;"","")</f>
        <v/>
      </c>
      <c r="D154" s="18" t="str">
        <f aca="false">IFERROR(INDEX(종합!D$3:D$501,MATCH(ROW()-2,종합!$AE$3:$AE$501,0))&amp;"","")</f>
        <v/>
      </c>
      <c r="E154" s="18" t="str">
        <f aca="false">IFERROR(INDEX(종합!E$3:E$501,MATCH(ROW()-2,종합!$AE$3:$AE$501,0))&amp;"","")</f>
        <v/>
      </c>
      <c r="F154" s="18" t="str">
        <f aca="false">IFERROR(INDEX(종합!F$3:F$501,MATCH(ROW()-2,종합!$AE$3:$AE$501,0))&amp;"","")</f>
        <v/>
      </c>
      <c r="G154" s="18" t="str">
        <f aca="false">IFERROR(INDEX(종합!G$3:G$501,MATCH(ROW()-2,종합!$AE$3:$AE$501,0))&amp;"","")</f>
        <v/>
      </c>
      <c r="H154" s="21" t="str">
        <f aca="false">IFERROR(INDEX(종합!H$3:H$501,MATCH(ROW()-2,종합!$AE$3:$AE$501,0))&amp;"","")</f>
        <v/>
      </c>
      <c r="I154" s="21" t="str">
        <f aca="false">IFERROR(INDEX(종합!I$3:I$501,MATCH(ROW()-2,종합!$AE$3:$AE$501,0))&amp;"","")</f>
        <v/>
      </c>
      <c r="J154" s="21" t="str">
        <f aca="false">IFERROR(INDEX(종합!J$3:J$501,MATCH(ROW()-2,종합!$AE$3:$AE$501,0))&amp;"","")</f>
        <v/>
      </c>
      <c r="K154" s="21" t="str">
        <f aca="false">IFERROR(INDEX(종합!K$3:K$501,MATCH(ROW()-2,종합!$AE$3:$AE$501,0))&amp;"","")</f>
        <v/>
      </c>
      <c r="L154" s="21" t="str">
        <f aca="false">IFERROR(INDEX(종합!L$3:L$501,MATCH(ROW()-2,종합!$AE$3:$AE$501,0))&amp;"","")</f>
        <v/>
      </c>
      <c r="M154" s="21" t="str">
        <f aca="false">IFERROR(INDEX(종합!M$3:M$501,MATCH(ROW()-2,종합!$AE$3:$AE$501,0))&amp;"","")</f>
        <v/>
      </c>
      <c r="N154" s="25" t="str">
        <f aca="false">IFERROR(INDEX(종합!N$3:N$501,MATCH(ROW()-2,종합!$AE$3:$AE$501,0))&amp;"","")</f>
        <v/>
      </c>
      <c r="O154" s="21" t="str">
        <f aca="false">IFERROR(INDEX(종합!O$3:O$501,MATCH(ROW()-2,종합!$AE$3:$AE$501,0))&amp;"","")</f>
        <v/>
      </c>
      <c r="P154" s="21" t="str">
        <f aca="false">IFERROR(INDEX(종합!P$3:P$501,MATCH(ROW()-2,종합!$AE$3:$AE$501,0))&amp;"","")</f>
        <v/>
      </c>
      <c r="Q154" s="21" t="str">
        <f aca="false">IFERROR(INDEX(종합!Q$3:Q$501,MATCH(ROW()-2,종합!$AE$3:$AE$501,0))&amp;"","")</f>
        <v/>
      </c>
      <c r="R154" s="21" t="str">
        <f aca="false">IFERROR(INDEX(종합!R$3:R$501,MATCH(ROW()-2,종합!$AE$3:$AE$501,0))&amp;"","")</f>
        <v/>
      </c>
      <c r="S154" s="21" t="str">
        <f aca="false">IFERROR(INDEX(종합!S$3:S$501,MATCH(ROW()-2,종합!$AE$3:$AE$501,0))&amp;"","")</f>
        <v/>
      </c>
      <c r="T154" s="21" t="str">
        <f aca="false">IFERROR(INDEX(종합!T$3:T$501,MATCH(ROW()-2,종합!$AE$3:$AE$501,0))&amp;"","")</f>
        <v/>
      </c>
      <c r="U154" s="21" t="str">
        <f aca="false">IFERROR(INDEX(종합!U$3:U$501,MATCH(ROW()-2,종합!$AE$3:$AE$501,0))&amp;"","")</f>
        <v/>
      </c>
      <c r="V154" s="21" t="str">
        <f aca="false">IFERROR(INDEX(종합!V$3:V$501,MATCH(ROW()-2,종합!$AE$3:$AE$501,0))&amp;"","")</f>
        <v/>
      </c>
      <c r="W154" s="21" t="str">
        <f aca="false">IFERROR(INDEX(종합!W$3:W$501,MATCH(ROW()-2,종합!$AE$3:$AE$501,0))&amp;"","")</f>
        <v/>
      </c>
      <c r="X154" s="21" t="str">
        <f aca="false">IFERROR(INDEX(종합!X$3:X$501,MATCH(ROW()-2,종합!$AE$3:$AE$501,0))&amp;"","")</f>
        <v/>
      </c>
      <c r="Y154" s="21" t="str">
        <f aca="false">IFERROR(INDEX(종합!Y$3:Y$501,MATCH(ROW()-2,종합!$AE$3:$AE$501,0))&amp;"","")</f>
        <v/>
      </c>
      <c r="Z154" s="21" t="str">
        <f aca="false">IFERROR(INDEX(종합!Z$3:Z$501,MATCH(ROW()-2,종합!$AE$3:$AE$501,0))&amp;"","")</f>
        <v/>
      </c>
    </row>
    <row r="155" customFormat="false" ht="16.5" hidden="false" customHeight="true" outlineLevel="0" collapsed="false">
      <c r="A155" s="18" t="str">
        <f aca="false">IF(B155="","",ROW()-2)</f>
        <v/>
      </c>
      <c r="B155" s="18" t="str">
        <f aca="false">IFERROR(INDEX(종합!B$3:B$501,MATCH(ROW()-2,종합!$AE$3:$AE$501,0))&amp;"","")</f>
        <v/>
      </c>
      <c r="C155" s="18" t="str">
        <f aca="false">IFERROR(INDEX(종합!C$3:C$501,MATCH(ROW()-2,종합!$AE$3:$AE$501,0))&amp;"","")</f>
        <v/>
      </c>
      <c r="D155" s="18" t="str">
        <f aca="false">IFERROR(INDEX(종합!D$3:D$501,MATCH(ROW()-2,종합!$AE$3:$AE$501,0))&amp;"","")</f>
        <v/>
      </c>
      <c r="E155" s="18" t="str">
        <f aca="false">IFERROR(INDEX(종합!E$3:E$501,MATCH(ROW()-2,종합!$AE$3:$AE$501,0))&amp;"","")</f>
        <v/>
      </c>
      <c r="F155" s="18" t="str">
        <f aca="false">IFERROR(INDEX(종합!F$3:F$501,MATCH(ROW()-2,종합!$AE$3:$AE$501,0))&amp;"","")</f>
        <v/>
      </c>
      <c r="G155" s="18" t="str">
        <f aca="false">IFERROR(INDEX(종합!G$3:G$501,MATCH(ROW()-2,종합!$AE$3:$AE$501,0))&amp;"","")</f>
        <v/>
      </c>
      <c r="H155" s="21" t="str">
        <f aca="false">IFERROR(INDEX(종합!H$3:H$501,MATCH(ROW()-2,종합!$AE$3:$AE$501,0))&amp;"","")</f>
        <v/>
      </c>
      <c r="I155" s="21" t="str">
        <f aca="false">IFERROR(INDEX(종합!I$3:I$501,MATCH(ROW()-2,종합!$AE$3:$AE$501,0))&amp;"","")</f>
        <v/>
      </c>
      <c r="J155" s="21" t="str">
        <f aca="false">IFERROR(INDEX(종합!J$3:J$501,MATCH(ROW()-2,종합!$AE$3:$AE$501,0))&amp;"","")</f>
        <v/>
      </c>
      <c r="K155" s="21" t="str">
        <f aca="false">IFERROR(INDEX(종합!K$3:K$501,MATCH(ROW()-2,종합!$AE$3:$AE$501,0))&amp;"","")</f>
        <v/>
      </c>
      <c r="L155" s="21" t="str">
        <f aca="false">IFERROR(INDEX(종합!L$3:L$501,MATCH(ROW()-2,종합!$AE$3:$AE$501,0))&amp;"","")</f>
        <v/>
      </c>
      <c r="M155" s="21" t="str">
        <f aca="false">IFERROR(INDEX(종합!M$3:M$501,MATCH(ROW()-2,종합!$AE$3:$AE$501,0))&amp;"","")</f>
        <v/>
      </c>
      <c r="N155" s="25" t="str">
        <f aca="false">IFERROR(INDEX(종합!N$3:N$501,MATCH(ROW()-2,종합!$AE$3:$AE$501,0))&amp;"","")</f>
        <v/>
      </c>
      <c r="O155" s="21" t="str">
        <f aca="false">IFERROR(INDEX(종합!O$3:O$501,MATCH(ROW()-2,종합!$AE$3:$AE$501,0))&amp;"","")</f>
        <v/>
      </c>
      <c r="P155" s="21" t="str">
        <f aca="false">IFERROR(INDEX(종합!P$3:P$501,MATCH(ROW()-2,종합!$AE$3:$AE$501,0))&amp;"","")</f>
        <v/>
      </c>
      <c r="Q155" s="21" t="str">
        <f aca="false">IFERROR(INDEX(종합!Q$3:Q$501,MATCH(ROW()-2,종합!$AE$3:$AE$501,0))&amp;"","")</f>
        <v/>
      </c>
      <c r="R155" s="21" t="str">
        <f aca="false">IFERROR(INDEX(종합!R$3:R$501,MATCH(ROW()-2,종합!$AE$3:$AE$501,0))&amp;"","")</f>
        <v/>
      </c>
      <c r="S155" s="21" t="str">
        <f aca="false">IFERROR(INDEX(종합!S$3:S$501,MATCH(ROW()-2,종합!$AE$3:$AE$501,0))&amp;"","")</f>
        <v/>
      </c>
      <c r="T155" s="21" t="str">
        <f aca="false">IFERROR(INDEX(종합!T$3:T$501,MATCH(ROW()-2,종합!$AE$3:$AE$501,0))&amp;"","")</f>
        <v/>
      </c>
      <c r="U155" s="21" t="str">
        <f aca="false">IFERROR(INDEX(종합!U$3:U$501,MATCH(ROW()-2,종합!$AE$3:$AE$501,0))&amp;"","")</f>
        <v/>
      </c>
      <c r="V155" s="21" t="str">
        <f aca="false">IFERROR(INDEX(종합!V$3:V$501,MATCH(ROW()-2,종합!$AE$3:$AE$501,0))&amp;"","")</f>
        <v/>
      </c>
      <c r="W155" s="21" t="str">
        <f aca="false">IFERROR(INDEX(종합!W$3:W$501,MATCH(ROW()-2,종합!$AE$3:$AE$501,0))&amp;"","")</f>
        <v/>
      </c>
      <c r="X155" s="21" t="str">
        <f aca="false">IFERROR(INDEX(종합!X$3:X$501,MATCH(ROW()-2,종합!$AE$3:$AE$501,0))&amp;"","")</f>
        <v/>
      </c>
      <c r="Y155" s="21" t="str">
        <f aca="false">IFERROR(INDEX(종합!Y$3:Y$501,MATCH(ROW()-2,종합!$AE$3:$AE$501,0))&amp;"","")</f>
        <v/>
      </c>
      <c r="Z155" s="21" t="str">
        <f aca="false">IFERROR(INDEX(종합!Z$3:Z$501,MATCH(ROW()-2,종합!$AE$3:$AE$501,0))&amp;"","")</f>
        <v/>
      </c>
    </row>
    <row r="156" customFormat="false" ht="16.5" hidden="false" customHeight="true" outlineLevel="0" collapsed="false">
      <c r="A156" s="18" t="str">
        <f aca="false">IF(B156="","",ROW()-2)</f>
        <v/>
      </c>
      <c r="B156" s="18" t="str">
        <f aca="false">IFERROR(INDEX(종합!B$3:B$501,MATCH(ROW()-2,종합!$AE$3:$AE$501,0))&amp;"","")</f>
        <v/>
      </c>
      <c r="C156" s="18" t="str">
        <f aca="false">IFERROR(INDEX(종합!C$3:C$501,MATCH(ROW()-2,종합!$AE$3:$AE$501,0))&amp;"","")</f>
        <v/>
      </c>
      <c r="D156" s="18" t="str">
        <f aca="false">IFERROR(INDEX(종합!D$3:D$501,MATCH(ROW()-2,종합!$AE$3:$AE$501,0))&amp;"","")</f>
        <v/>
      </c>
      <c r="E156" s="18" t="str">
        <f aca="false">IFERROR(INDEX(종합!E$3:E$501,MATCH(ROW()-2,종합!$AE$3:$AE$501,0))&amp;"","")</f>
        <v/>
      </c>
      <c r="F156" s="18" t="str">
        <f aca="false">IFERROR(INDEX(종합!F$3:F$501,MATCH(ROW()-2,종합!$AE$3:$AE$501,0))&amp;"","")</f>
        <v/>
      </c>
      <c r="G156" s="18" t="str">
        <f aca="false">IFERROR(INDEX(종합!G$3:G$501,MATCH(ROW()-2,종합!$AE$3:$AE$501,0))&amp;"","")</f>
        <v/>
      </c>
      <c r="H156" s="21" t="str">
        <f aca="false">IFERROR(INDEX(종합!H$3:H$501,MATCH(ROW()-2,종합!$AE$3:$AE$501,0))&amp;"","")</f>
        <v/>
      </c>
      <c r="I156" s="21" t="str">
        <f aca="false">IFERROR(INDEX(종합!I$3:I$501,MATCH(ROW()-2,종합!$AE$3:$AE$501,0))&amp;"","")</f>
        <v/>
      </c>
      <c r="J156" s="21" t="str">
        <f aca="false">IFERROR(INDEX(종합!J$3:J$501,MATCH(ROW()-2,종합!$AE$3:$AE$501,0))&amp;"","")</f>
        <v/>
      </c>
      <c r="K156" s="21" t="str">
        <f aca="false">IFERROR(INDEX(종합!K$3:K$501,MATCH(ROW()-2,종합!$AE$3:$AE$501,0))&amp;"","")</f>
        <v/>
      </c>
      <c r="L156" s="21" t="str">
        <f aca="false">IFERROR(INDEX(종합!L$3:L$501,MATCH(ROW()-2,종합!$AE$3:$AE$501,0))&amp;"","")</f>
        <v/>
      </c>
      <c r="M156" s="21" t="str">
        <f aca="false">IFERROR(INDEX(종합!M$3:M$501,MATCH(ROW()-2,종합!$AE$3:$AE$501,0))&amp;"","")</f>
        <v/>
      </c>
      <c r="N156" s="25" t="str">
        <f aca="false">IFERROR(INDEX(종합!N$3:N$501,MATCH(ROW()-2,종합!$AE$3:$AE$501,0))&amp;"","")</f>
        <v/>
      </c>
      <c r="O156" s="21" t="str">
        <f aca="false">IFERROR(INDEX(종합!O$3:O$501,MATCH(ROW()-2,종합!$AE$3:$AE$501,0))&amp;"","")</f>
        <v/>
      </c>
      <c r="P156" s="21" t="str">
        <f aca="false">IFERROR(INDEX(종합!P$3:P$501,MATCH(ROW()-2,종합!$AE$3:$AE$501,0))&amp;"","")</f>
        <v/>
      </c>
      <c r="Q156" s="21" t="str">
        <f aca="false">IFERROR(INDEX(종합!Q$3:Q$501,MATCH(ROW()-2,종합!$AE$3:$AE$501,0))&amp;"","")</f>
        <v/>
      </c>
      <c r="R156" s="21" t="str">
        <f aca="false">IFERROR(INDEX(종합!R$3:R$501,MATCH(ROW()-2,종합!$AE$3:$AE$501,0))&amp;"","")</f>
        <v/>
      </c>
      <c r="S156" s="21" t="str">
        <f aca="false">IFERROR(INDEX(종합!S$3:S$501,MATCH(ROW()-2,종합!$AE$3:$AE$501,0))&amp;"","")</f>
        <v/>
      </c>
      <c r="T156" s="21" t="str">
        <f aca="false">IFERROR(INDEX(종합!T$3:T$501,MATCH(ROW()-2,종합!$AE$3:$AE$501,0))&amp;"","")</f>
        <v/>
      </c>
      <c r="U156" s="21" t="str">
        <f aca="false">IFERROR(INDEX(종합!U$3:U$501,MATCH(ROW()-2,종합!$AE$3:$AE$501,0))&amp;"","")</f>
        <v/>
      </c>
      <c r="V156" s="21" t="str">
        <f aca="false">IFERROR(INDEX(종합!V$3:V$501,MATCH(ROW()-2,종합!$AE$3:$AE$501,0))&amp;"","")</f>
        <v/>
      </c>
      <c r="W156" s="21" t="str">
        <f aca="false">IFERROR(INDEX(종합!W$3:W$501,MATCH(ROW()-2,종합!$AE$3:$AE$501,0))&amp;"","")</f>
        <v/>
      </c>
      <c r="X156" s="21" t="str">
        <f aca="false">IFERROR(INDEX(종합!X$3:X$501,MATCH(ROW()-2,종합!$AE$3:$AE$501,0))&amp;"","")</f>
        <v/>
      </c>
      <c r="Y156" s="21" t="str">
        <f aca="false">IFERROR(INDEX(종합!Y$3:Y$501,MATCH(ROW()-2,종합!$AE$3:$AE$501,0))&amp;"","")</f>
        <v/>
      </c>
      <c r="Z156" s="21" t="str">
        <f aca="false">IFERROR(INDEX(종합!Z$3:Z$501,MATCH(ROW()-2,종합!$AE$3:$AE$501,0))&amp;"","")</f>
        <v/>
      </c>
    </row>
    <row r="157" customFormat="false" ht="16.5" hidden="false" customHeight="true" outlineLevel="0" collapsed="false">
      <c r="A157" s="18" t="str">
        <f aca="false">IF(B157="","",ROW()-2)</f>
        <v/>
      </c>
      <c r="B157" s="18" t="str">
        <f aca="false">IFERROR(INDEX(종합!B$3:B$501,MATCH(ROW()-2,종합!$AE$3:$AE$501,0))&amp;"","")</f>
        <v/>
      </c>
      <c r="C157" s="18" t="str">
        <f aca="false">IFERROR(INDEX(종합!C$3:C$501,MATCH(ROW()-2,종합!$AE$3:$AE$501,0))&amp;"","")</f>
        <v/>
      </c>
      <c r="D157" s="18" t="str">
        <f aca="false">IFERROR(INDEX(종합!D$3:D$501,MATCH(ROW()-2,종합!$AE$3:$AE$501,0))&amp;"","")</f>
        <v/>
      </c>
      <c r="E157" s="18" t="str">
        <f aca="false">IFERROR(INDEX(종합!E$3:E$501,MATCH(ROW()-2,종합!$AE$3:$AE$501,0))&amp;"","")</f>
        <v/>
      </c>
      <c r="F157" s="18" t="str">
        <f aca="false">IFERROR(INDEX(종합!F$3:F$501,MATCH(ROW()-2,종합!$AE$3:$AE$501,0))&amp;"","")</f>
        <v/>
      </c>
      <c r="G157" s="18" t="str">
        <f aca="false">IFERROR(INDEX(종합!G$3:G$501,MATCH(ROW()-2,종합!$AE$3:$AE$501,0))&amp;"","")</f>
        <v/>
      </c>
      <c r="H157" s="21" t="str">
        <f aca="false">IFERROR(INDEX(종합!H$3:H$501,MATCH(ROW()-2,종합!$AE$3:$AE$501,0))&amp;"","")</f>
        <v/>
      </c>
      <c r="I157" s="21" t="str">
        <f aca="false">IFERROR(INDEX(종합!I$3:I$501,MATCH(ROW()-2,종합!$AE$3:$AE$501,0))&amp;"","")</f>
        <v/>
      </c>
      <c r="J157" s="21" t="str">
        <f aca="false">IFERROR(INDEX(종합!J$3:J$501,MATCH(ROW()-2,종합!$AE$3:$AE$501,0))&amp;"","")</f>
        <v/>
      </c>
      <c r="K157" s="21" t="str">
        <f aca="false">IFERROR(INDEX(종합!K$3:K$501,MATCH(ROW()-2,종합!$AE$3:$AE$501,0))&amp;"","")</f>
        <v/>
      </c>
      <c r="L157" s="21" t="str">
        <f aca="false">IFERROR(INDEX(종합!L$3:L$501,MATCH(ROW()-2,종합!$AE$3:$AE$501,0))&amp;"","")</f>
        <v/>
      </c>
      <c r="M157" s="21" t="str">
        <f aca="false">IFERROR(INDEX(종합!M$3:M$501,MATCH(ROW()-2,종합!$AE$3:$AE$501,0))&amp;"","")</f>
        <v/>
      </c>
      <c r="N157" s="25" t="str">
        <f aca="false">IFERROR(INDEX(종합!N$3:N$501,MATCH(ROW()-2,종합!$AE$3:$AE$501,0))&amp;"","")</f>
        <v/>
      </c>
      <c r="O157" s="21" t="str">
        <f aca="false">IFERROR(INDEX(종합!O$3:O$501,MATCH(ROW()-2,종합!$AE$3:$AE$501,0))&amp;"","")</f>
        <v/>
      </c>
      <c r="P157" s="21" t="str">
        <f aca="false">IFERROR(INDEX(종합!P$3:P$501,MATCH(ROW()-2,종합!$AE$3:$AE$501,0))&amp;"","")</f>
        <v/>
      </c>
      <c r="Q157" s="21" t="str">
        <f aca="false">IFERROR(INDEX(종합!Q$3:Q$501,MATCH(ROW()-2,종합!$AE$3:$AE$501,0))&amp;"","")</f>
        <v/>
      </c>
      <c r="R157" s="21" t="str">
        <f aca="false">IFERROR(INDEX(종합!R$3:R$501,MATCH(ROW()-2,종합!$AE$3:$AE$501,0))&amp;"","")</f>
        <v/>
      </c>
      <c r="S157" s="21" t="str">
        <f aca="false">IFERROR(INDEX(종합!S$3:S$501,MATCH(ROW()-2,종합!$AE$3:$AE$501,0))&amp;"","")</f>
        <v/>
      </c>
      <c r="T157" s="21" t="str">
        <f aca="false">IFERROR(INDEX(종합!T$3:T$501,MATCH(ROW()-2,종합!$AE$3:$AE$501,0))&amp;"","")</f>
        <v/>
      </c>
      <c r="U157" s="21" t="str">
        <f aca="false">IFERROR(INDEX(종합!U$3:U$501,MATCH(ROW()-2,종합!$AE$3:$AE$501,0))&amp;"","")</f>
        <v/>
      </c>
      <c r="V157" s="21" t="str">
        <f aca="false">IFERROR(INDEX(종합!V$3:V$501,MATCH(ROW()-2,종합!$AE$3:$AE$501,0))&amp;"","")</f>
        <v/>
      </c>
      <c r="W157" s="21" t="str">
        <f aca="false">IFERROR(INDEX(종합!W$3:W$501,MATCH(ROW()-2,종합!$AE$3:$AE$501,0))&amp;"","")</f>
        <v/>
      </c>
      <c r="X157" s="21" t="str">
        <f aca="false">IFERROR(INDEX(종합!X$3:X$501,MATCH(ROW()-2,종합!$AE$3:$AE$501,0))&amp;"","")</f>
        <v/>
      </c>
      <c r="Y157" s="21" t="str">
        <f aca="false">IFERROR(INDEX(종합!Y$3:Y$501,MATCH(ROW()-2,종합!$AE$3:$AE$501,0))&amp;"","")</f>
        <v/>
      </c>
      <c r="Z157" s="21" t="str">
        <f aca="false">IFERROR(INDEX(종합!Z$3:Z$501,MATCH(ROW()-2,종합!$AE$3:$AE$501,0))&amp;"","")</f>
        <v/>
      </c>
    </row>
    <row r="158" customFormat="false" ht="16.5" hidden="false" customHeight="true" outlineLevel="0" collapsed="false">
      <c r="A158" s="18" t="str">
        <f aca="false">IF(B158="","",ROW()-2)</f>
        <v/>
      </c>
      <c r="B158" s="18" t="str">
        <f aca="false">IFERROR(INDEX(종합!B$3:B$501,MATCH(ROW()-2,종합!$AE$3:$AE$501,0))&amp;"","")</f>
        <v/>
      </c>
      <c r="C158" s="18" t="str">
        <f aca="false">IFERROR(INDEX(종합!C$3:C$501,MATCH(ROW()-2,종합!$AE$3:$AE$501,0))&amp;"","")</f>
        <v/>
      </c>
      <c r="D158" s="18" t="str">
        <f aca="false">IFERROR(INDEX(종합!D$3:D$501,MATCH(ROW()-2,종합!$AE$3:$AE$501,0))&amp;"","")</f>
        <v/>
      </c>
      <c r="E158" s="18" t="str">
        <f aca="false">IFERROR(INDEX(종합!E$3:E$501,MATCH(ROW()-2,종합!$AE$3:$AE$501,0))&amp;"","")</f>
        <v/>
      </c>
      <c r="F158" s="18" t="str">
        <f aca="false">IFERROR(INDEX(종합!F$3:F$501,MATCH(ROW()-2,종합!$AE$3:$AE$501,0))&amp;"","")</f>
        <v/>
      </c>
      <c r="G158" s="18" t="str">
        <f aca="false">IFERROR(INDEX(종합!G$3:G$501,MATCH(ROW()-2,종합!$AE$3:$AE$501,0))&amp;"","")</f>
        <v/>
      </c>
      <c r="H158" s="21" t="str">
        <f aca="false">IFERROR(INDEX(종합!H$3:H$501,MATCH(ROW()-2,종합!$AE$3:$AE$501,0))&amp;"","")</f>
        <v/>
      </c>
      <c r="I158" s="21" t="str">
        <f aca="false">IFERROR(INDEX(종합!I$3:I$501,MATCH(ROW()-2,종합!$AE$3:$AE$501,0))&amp;"","")</f>
        <v/>
      </c>
      <c r="J158" s="21" t="str">
        <f aca="false">IFERROR(INDEX(종합!J$3:J$501,MATCH(ROW()-2,종합!$AE$3:$AE$501,0))&amp;"","")</f>
        <v/>
      </c>
      <c r="K158" s="21" t="str">
        <f aca="false">IFERROR(INDEX(종합!K$3:K$501,MATCH(ROW()-2,종합!$AE$3:$AE$501,0))&amp;"","")</f>
        <v/>
      </c>
      <c r="L158" s="21" t="str">
        <f aca="false">IFERROR(INDEX(종합!L$3:L$501,MATCH(ROW()-2,종합!$AE$3:$AE$501,0))&amp;"","")</f>
        <v/>
      </c>
      <c r="M158" s="21" t="str">
        <f aca="false">IFERROR(INDEX(종합!M$3:M$501,MATCH(ROW()-2,종합!$AE$3:$AE$501,0))&amp;"","")</f>
        <v/>
      </c>
      <c r="N158" s="25" t="str">
        <f aca="false">IFERROR(INDEX(종합!N$3:N$501,MATCH(ROW()-2,종합!$AE$3:$AE$501,0))&amp;"","")</f>
        <v/>
      </c>
      <c r="O158" s="21" t="str">
        <f aca="false">IFERROR(INDEX(종합!O$3:O$501,MATCH(ROW()-2,종합!$AE$3:$AE$501,0))&amp;"","")</f>
        <v/>
      </c>
      <c r="P158" s="21" t="str">
        <f aca="false">IFERROR(INDEX(종합!P$3:P$501,MATCH(ROW()-2,종합!$AE$3:$AE$501,0))&amp;"","")</f>
        <v/>
      </c>
      <c r="Q158" s="21" t="str">
        <f aca="false">IFERROR(INDEX(종합!Q$3:Q$501,MATCH(ROW()-2,종합!$AE$3:$AE$501,0))&amp;"","")</f>
        <v/>
      </c>
      <c r="R158" s="21" t="str">
        <f aca="false">IFERROR(INDEX(종합!R$3:R$501,MATCH(ROW()-2,종합!$AE$3:$AE$501,0))&amp;"","")</f>
        <v/>
      </c>
      <c r="S158" s="21" t="str">
        <f aca="false">IFERROR(INDEX(종합!S$3:S$501,MATCH(ROW()-2,종합!$AE$3:$AE$501,0))&amp;"","")</f>
        <v/>
      </c>
      <c r="T158" s="21" t="str">
        <f aca="false">IFERROR(INDEX(종합!T$3:T$501,MATCH(ROW()-2,종합!$AE$3:$AE$501,0))&amp;"","")</f>
        <v/>
      </c>
      <c r="U158" s="21" t="str">
        <f aca="false">IFERROR(INDEX(종합!U$3:U$501,MATCH(ROW()-2,종합!$AE$3:$AE$501,0))&amp;"","")</f>
        <v/>
      </c>
      <c r="V158" s="21" t="str">
        <f aca="false">IFERROR(INDEX(종합!V$3:V$501,MATCH(ROW()-2,종합!$AE$3:$AE$501,0))&amp;"","")</f>
        <v/>
      </c>
      <c r="W158" s="21" t="str">
        <f aca="false">IFERROR(INDEX(종합!W$3:W$501,MATCH(ROW()-2,종합!$AE$3:$AE$501,0))&amp;"","")</f>
        <v/>
      </c>
      <c r="X158" s="21" t="str">
        <f aca="false">IFERROR(INDEX(종합!X$3:X$501,MATCH(ROW()-2,종합!$AE$3:$AE$501,0))&amp;"","")</f>
        <v/>
      </c>
      <c r="Y158" s="21" t="str">
        <f aca="false">IFERROR(INDEX(종합!Y$3:Y$501,MATCH(ROW()-2,종합!$AE$3:$AE$501,0))&amp;"","")</f>
        <v/>
      </c>
      <c r="Z158" s="21" t="str">
        <f aca="false">IFERROR(INDEX(종합!Z$3:Z$501,MATCH(ROW()-2,종합!$AE$3:$AE$501,0))&amp;"","")</f>
        <v/>
      </c>
    </row>
    <row r="159" customFormat="false" ht="16.5" hidden="false" customHeight="true" outlineLevel="0" collapsed="false">
      <c r="A159" s="18" t="str">
        <f aca="false">IF(B159="","",ROW()-2)</f>
        <v/>
      </c>
      <c r="B159" s="18" t="str">
        <f aca="false">IFERROR(INDEX(종합!B$3:B$501,MATCH(ROW()-2,종합!$AE$3:$AE$501,0))&amp;"","")</f>
        <v/>
      </c>
      <c r="C159" s="18" t="str">
        <f aca="false">IFERROR(INDEX(종합!C$3:C$501,MATCH(ROW()-2,종합!$AE$3:$AE$501,0))&amp;"","")</f>
        <v/>
      </c>
      <c r="D159" s="18" t="str">
        <f aca="false">IFERROR(INDEX(종합!D$3:D$501,MATCH(ROW()-2,종합!$AE$3:$AE$501,0))&amp;"","")</f>
        <v/>
      </c>
      <c r="E159" s="18" t="str">
        <f aca="false">IFERROR(INDEX(종합!E$3:E$501,MATCH(ROW()-2,종합!$AE$3:$AE$501,0))&amp;"","")</f>
        <v/>
      </c>
      <c r="F159" s="18" t="str">
        <f aca="false">IFERROR(INDEX(종합!F$3:F$501,MATCH(ROW()-2,종합!$AE$3:$AE$501,0))&amp;"","")</f>
        <v/>
      </c>
      <c r="G159" s="18" t="str">
        <f aca="false">IFERROR(INDEX(종합!G$3:G$501,MATCH(ROW()-2,종합!$AE$3:$AE$501,0))&amp;"","")</f>
        <v/>
      </c>
      <c r="H159" s="21" t="str">
        <f aca="false">IFERROR(INDEX(종합!H$3:H$501,MATCH(ROW()-2,종합!$AE$3:$AE$501,0))&amp;"","")</f>
        <v/>
      </c>
      <c r="I159" s="21" t="str">
        <f aca="false">IFERROR(INDEX(종합!I$3:I$501,MATCH(ROW()-2,종합!$AE$3:$AE$501,0))&amp;"","")</f>
        <v/>
      </c>
      <c r="J159" s="21" t="str">
        <f aca="false">IFERROR(INDEX(종합!J$3:J$501,MATCH(ROW()-2,종합!$AE$3:$AE$501,0))&amp;"","")</f>
        <v/>
      </c>
      <c r="K159" s="21" t="str">
        <f aca="false">IFERROR(INDEX(종합!K$3:K$501,MATCH(ROW()-2,종합!$AE$3:$AE$501,0))&amp;"","")</f>
        <v/>
      </c>
      <c r="L159" s="21" t="str">
        <f aca="false">IFERROR(INDEX(종합!L$3:L$501,MATCH(ROW()-2,종합!$AE$3:$AE$501,0))&amp;"","")</f>
        <v/>
      </c>
      <c r="M159" s="21" t="str">
        <f aca="false">IFERROR(INDEX(종합!M$3:M$501,MATCH(ROW()-2,종합!$AE$3:$AE$501,0))&amp;"","")</f>
        <v/>
      </c>
      <c r="N159" s="25" t="str">
        <f aca="false">IFERROR(INDEX(종합!N$3:N$501,MATCH(ROW()-2,종합!$AE$3:$AE$501,0))&amp;"","")</f>
        <v/>
      </c>
      <c r="O159" s="21" t="str">
        <f aca="false">IFERROR(INDEX(종합!O$3:O$501,MATCH(ROW()-2,종합!$AE$3:$AE$501,0))&amp;"","")</f>
        <v/>
      </c>
      <c r="P159" s="21" t="str">
        <f aca="false">IFERROR(INDEX(종합!P$3:P$501,MATCH(ROW()-2,종합!$AE$3:$AE$501,0))&amp;"","")</f>
        <v/>
      </c>
      <c r="Q159" s="21" t="str">
        <f aca="false">IFERROR(INDEX(종합!Q$3:Q$501,MATCH(ROW()-2,종합!$AE$3:$AE$501,0))&amp;"","")</f>
        <v/>
      </c>
      <c r="R159" s="21" t="str">
        <f aca="false">IFERROR(INDEX(종합!R$3:R$501,MATCH(ROW()-2,종합!$AE$3:$AE$501,0))&amp;"","")</f>
        <v/>
      </c>
      <c r="S159" s="21" t="str">
        <f aca="false">IFERROR(INDEX(종합!S$3:S$501,MATCH(ROW()-2,종합!$AE$3:$AE$501,0))&amp;"","")</f>
        <v/>
      </c>
      <c r="T159" s="21" t="str">
        <f aca="false">IFERROR(INDEX(종합!T$3:T$501,MATCH(ROW()-2,종합!$AE$3:$AE$501,0))&amp;"","")</f>
        <v/>
      </c>
      <c r="U159" s="21" t="str">
        <f aca="false">IFERROR(INDEX(종합!U$3:U$501,MATCH(ROW()-2,종합!$AE$3:$AE$501,0))&amp;"","")</f>
        <v/>
      </c>
      <c r="V159" s="21" t="str">
        <f aca="false">IFERROR(INDEX(종합!V$3:V$501,MATCH(ROW()-2,종합!$AE$3:$AE$501,0))&amp;"","")</f>
        <v/>
      </c>
      <c r="W159" s="21" t="str">
        <f aca="false">IFERROR(INDEX(종합!W$3:W$501,MATCH(ROW()-2,종합!$AE$3:$AE$501,0))&amp;"","")</f>
        <v/>
      </c>
      <c r="X159" s="21" t="str">
        <f aca="false">IFERROR(INDEX(종합!X$3:X$501,MATCH(ROW()-2,종합!$AE$3:$AE$501,0))&amp;"","")</f>
        <v/>
      </c>
      <c r="Y159" s="21" t="str">
        <f aca="false">IFERROR(INDEX(종합!Y$3:Y$501,MATCH(ROW()-2,종합!$AE$3:$AE$501,0))&amp;"","")</f>
        <v/>
      </c>
      <c r="Z159" s="21" t="str">
        <f aca="false">IFERROR(INDEX(종합!Z$3:Z$501,MATCH(ROW()-2,종합!$AE$3:$AE$501,0))&amp;"","")</f>
        <v/>
      </c>
    </row>
    <row r="160" customFormat="false" ht="16.5" hidden="false" customHeight="true" outlineLevel="0" collapsed="false">
      <c r="A160" s="18" t="str">
        <f aca="false">IF(B160="","",ROW()-2)</f>
        <v/>
      </c>
      <c r="B160" s="18" t="str">
        <f aca="false">IFERROR(INDEX(종합!B$3:B$501,MATCH(ROW()-2,종합!$AE$3:$AE$501,0))&amp;"","")</f>
        <v/>
      </c>
      <c r="C160" s="18" t="str">
        <f aca="false">IFERROR(INDEX(종합!C$3:C$501,MATCH(ROW()-2,종합!$AE$3:$AE$501,0))&amp;"","")</f>
        <v/>
      </c>
      <c r="D160" s="18" t="str">
        <f aca="false">IFERROR(INDEX(종합!D$3:D$501,MATCH(ROW()-2,종합!$AE$3:$AE$501,0))&amp;"","")</f>
        <v/>
      </c>
      <c r="E160" s="18" t="str">
        <f aca="false">IFERROR(INDEX(종합!E$3:E$501,MATCH(ROW()-2,종합!$AE$3:$AE$501,0))&amp;"","")</f>
        <v/>
      </c>
      <c r="F160" s="18" t="str">
        <f aca="false">IFERROR(INDEX(종합!F$3:F$501,MATCH(ROW()-2,종합!$AE$3:$AE$501,0))&amp;"","")</f>
        <v/>
      </c>
      <c r="G160" s="18" t="str">
        <f aca="false">IFERROR(INDEX(종합!G$3:G$501,MATCH(ROW()-2,종합!$AE$3:$AE$501,0))&amp;"","")</f>
        <v/>
      </c>
      <c r="H160" s="21" t="str">
        <f aca="false">IFERROR(INDEX(종합!H$3:H$501,MATCH(ROW()-2,종합!$AE$3:$AE$501,0))&amp;"","")</f>
        <v/>
      </c>
      <c r="I160" s="21" t="str">
        <f aca="false">IFERROR(INDEX(종합!I$3:I$501,MATCH(ROW()-2,종합!$AE$3:$AE$501,0))&amp;"","")</f>
        <v/>
      </c>
      <c r="J160" s="21" t="str">
        <f aca="false">IFERROR(INDEX(종합!J$3:J$501,MATCH(ROW()-2,종합!$AE$3:$AE$501,0))&amp;"","")</f>
        <v/>
      </c>
      <c r="K160" s="21" t="str">
        <f aca="false">IFERROR(INDEX(종합!K$3:K$501,MATCH(ROW()-2,종합!$AE$3:$AE$501,0))&amp;"","")</f>
        <v/>
      </c>
      <c r="L160" s="21" t="str">
        <f aca="false">IFERROR(INDEX(종합!L$3:L$501,MATCH(ROW()-2,종합!$AE$3:$AE$501,0))&amp;"","")</f>
        <v/>
      </c>
      <c r="M160" s="21" t="str">
        <f aca="false">IFERROR(INDEX(종합!M$3:M$501,MATCH(ROW()-2,종합!$AE$3:$AE$501,0))&amp;"","")</f>
        <v/>
      </c>
      <c r="N160" s="25" t="str">
        <f aca="false">IFERROR(INDEX(종합!N$3:N$501,MATCH(ROW()-2,종합!$AE$3:$AE$501,0))&amp;"","")</f>
        <v/>
      </c>
      <c r="O160" s="21" t="str">
        <f aca="false">IFERROR(INDEX(종합!O$3:O$501,MATCH(ROW()-2,종합!$AE$3:$AE$501,0))&amp;"","")</f>
        <v/>
      </c>
      <c r="P160" s="21" t="str">
        <f aca="false">IFERROR(INDEX(종합!P$3:P$501,MATCH(ROW()-2,종합!$AE$3:$AE$501,0))&amp;"","")</f>
        <v/>
      </c>
      <c r="Q160" s="21" t="str">
        <f aca="false">IFERROR(INDEX(종합!Q$3:Q$501,MATCH(ROW()-2,종합!$AE$3:$AE$501,0))&amp;"","")</f>
        <v/>
      </c>
      <c r="R160" s="21" t="str">
        <f aca="false">IFERROR(INDEX(종합!R$3:R$501,MATCH(ROW()-2,종합!$AE$3:$AE$501,0))&amp;"","")</f>
        <v/>
      </c>
      <c r="S160" s="21" t="str">
        <f aca="false">IFERROR(INDEX(종합!S$3:S$501,MATCH(ROW()-2,종합!$AE$3:$AE$501,0))&amp;"","")</f>
        <v/>
      </c>
      <c r="T160" s="21" t="str">
        <f aca="false">IFERROR(INDEX(종합!T$3:T$501,MATCH(ROW()-2,종합!$AE$3:$AE$501,0))&amp;"","")</f>
        <v/>
      </c>
      <c r="U160" s="21" t="str">
        <f aca="false">IFERROR(INDEX(종합!U$3:U$501,MATCH(ROW()-2,종합!$AE$3:$AE$501,0))&amp;"","")</f>
        <v/>
      </c>
      <c r="V160" s="21" t="str">
        <f aca="false">IFERROR(INDEX(종합!V$3:V$501,MATCH(ROW()-2,종합!$AE$3:$AE$501,0))&amp;"","")</f>
        <v/>
      </c>
      <c r="W160" s="21" t="str">
        <f aca="false">IFERROR(INDEX(종합!W$3:W$501,MATCH(ROW()-2,종합!$AE$3:$AE$501,0))&amp;"","")</f>
        <v/>
      </c>
      <c r="X160" s="21" t="str">
        <f aca="false">IFERROR(INDEX(종합!X$3:X$501,MATCH(ROW()-2,종합!$AE$3:$AE$501,0))&amp;"","")</f>
        <v/>
      </c>
      <c r="Y160" s="21" t="str">
        <f aca="false">IFERROR(INDEX(종합!Y$3:Y$501,MATCH(ROW()-2,종합!$AE$3:$AE$501,0))&amp;"","")</f>
        <v/>
      </c>
      <c r="Z160" s="21" t="str">
        <f aca="false">IFERROR(INDEX(종합!Z$3:Z$501,MATCH(ROW()-2,종합!$AE$3:$AE$501,0))&amp;"","")</f>
        <v/>
      </c>
    </row>
    <row r="161" customFormat="false" ht="16.5" hidden="false" customHeight="true" outlineLevel="0" collapsed="false">
      <c r="A161" s="18" t="str">
        <f aca="false">IF(B161="","",ROW()-2)</f>
        <v/>
      </c>
      <c r="B161" s="18" t="str">
        <f aca="false">IFERROR(INDEX(종합!B$3:B$501,MATCH(ROW()-2,종합!$AE$3:$AE$501,0))&amp;"","")</f>
        <v/>
      </c>
      <c r="C161" s="18" t="str">
        <f aca="false">IFERROR(INDEX(종합!C$3:C$501,MATCH(ROW()-2,종합!$AE$3:$AE$501,0))&amp;"","")</f>
        <v/>
      </c>
      <c r="D161" s="18" t="str">
        <f aca="false">IFERROR(INDEX(종합!D$3:D$501,MATCH(ROW()-2,종합!$AE$3:$AE$501,0))&amp;"","")</f>
        <v/>
      </c>
      <c r="E161" s="18" t="str">
        <f aca="false">IFERROR(INDEX(종합!E$3:E$501,MATCH(ROW()-2,종합!$AE$3:$AE$501,0))&amp;"","")</f>
        <v/>
      </c>
      <c r="F161" s="18" t="str">
        <f aca="false">IFERROR(INDEX(종합!F$3:F$501,MATCH(ROW()-2,종합!$AE$3:$AE$501,0))&amp;"","")</f>
        <v/>
      </c>
      <c r="G161" s="18" t="str">
        <f aca="false">IFERROR(INDEX(종합!G$3:G$501,MATCH(ROW()-2,종합!$AE$3:$AE$501,0))&amp;"","")</f>
        <v/>
      </c>
      <c r="H161" s="21" t="str">
        <f aca="false">IFERROR(INDEX(종합!H$3:H$501,MATCH(ROW()-2,종합!$AE$3:$AE$501,0))&amp;"","")</f>
        <v/>
      </c>
      <c r="I161" s="21" t="str">
        <f aca="false">IFERROR(INDEX(종합!I$3:I$501,MATCH(ROW()-2,종합!$AE$3:$AE$501,0))&amp;"","")</f>
        <v/>
      </c>
      <c r="J161" s="21" t="str">
        <f aca="false">IFERROR(INDEX(종합!J$3:J$501,MATCH(ROW()-2,종합!$AE$3:$AE$501,0))&amp;"","")</f>
        <v/>
      </c>
      <c r="K161" s="21" t="str">
        <f aca="false">IFERROR(INDEX(종합!K$3:K$501,MATCH(ROW()-2,종합!$AE$3:$AE$501,0))&amp;"","")</f>
        <v/>
      </c>
      <c r="L161" s="21" t="str">
        <f aca="false">IFERROR(INDEX(종합!L$3:L$501,MATCH(ROW()-2,종합!$AE$3:$AE$501,0))&amp;"","")</f>
        <v/>
      </c>
      <c r="M161" s="21" t="str">
        <f aca="false">IFERROR(INDEX(종합!M$3:M$501,MATCH(ROW()-2,종합!$AE$3:$AE$501,0))&amp;"","")</f>
        <v/>
      </c>
      <c r="N161" s="25" t="str">
        <f aca="false">IFERROR(INDEX(종합!N$3:N$501,MATCH(ROW()-2,종합!$AE$3:$AE$501,0))&amp;"","")</f>
        <v/>
      </c>
      <c r="O161" s="21" t="str">
        <f aca="false">IFERROR(INDEX(종합!O$3:O$501,MATCH(ROW()-2,종합!$AE$3:$AE$501,0))&amp;"","")</f>
        <v/>
      </c>
      <c r="P161" s="21" t="str">
        <f aca="false">IFERROR(INDEX(종합!P$3:P$501,MATCH(ROW()-2,종합!$AE$3:$AE$501,0))&amp;"","")</f>
        <v/>
      </c>
      <c r="Q161" s="21" t="str">
        <f aca="false">IFERROR(INDEX(종합!Q$3:Q$501,MATCH(ROW()-2,종합!$AE$3:$AE$501,0))&amp;"","")</f>
        <v/>
      </c>
      <c r="R161" s="21" t="str">
        <f aca="false">IFERROR(INDEX(종합!R$3:R$501,MATCH(ROW()-2,종합!$AE$3:$AE$501,0))&amp;"","")</f>
        <v/>
      </c>
      <c r="S161" s="21" t="str">
        <f aca="false">IFERROR(INDEX(종합!S$3:S$501,MATCH(ROW()-2,종합!$AE$3:$AE$501,0))&amp;"","")</f>
        <v/>
      </c>
      <c r="T161" s="21" t="str">
        <f aca="false">IFERROR(INDEX(종합!T$3:T$501,MATCH(ROW()-2,종합!$AE$3:$AE$501,0))&amp;"","")</f>
        <v/>
      </c>
      <c r="U161" s="21" t="str">
        <f aca="false">IFERROR(INDEX(종합!U$3:U$501,MATCH(ROW()-2,종합!$AE$3:$AE$501,0))&amp;"","")</f>
        <v/>
      </c>
      <c r="V161" s="21" t="str">
        <f aca="false">IFERROR(INDEX(종합!V$3:V$501,MATCH(ROW()-2,종합!$AE$3:$AE$501,0))&amp;"","")</f>
        <v/>
      </c>
      <c r="W161" s="21" t="str">
        <f aca="false">IFERROR(INDEX(종합!W$3:W$501,MATCH(ROW()-2,종합!$AE$3:$AE$501,0))&amp;"","")</f>
        <v/>
      </c>
      <c r="X161" s="21" t="str">
        <f aca="false">IFERROR(INDEX(종합!X$3:X$501,MATCH(ROW()-2,종합!$AE$3:$AE$501,0))&amp;"","")</f>
        <v/>
      </c>
      <c r="Y161" s="21" t="str">
        <f aca="false">IFERROR(INDEX(종합!Y$3:Y$501,MATCH(ROW()-2,종합!$AE$3:$AE$501,0))&amp;"","")</f>
        <v/>
      </c>
      <c r="Z161" s="21" t="str">
        <f aca="false">IFERROR(INDEX(종합!Z$3:Z$501,MATCH(ROW()-2,종합!$AE$3:$AE$501,0))&amp;"","")</f>
        <v/>
      </c>
    </row>
    <row r="162" customFormat="false" ht="16.5" hidden="false" customHeight="true" outlineLevel="0" collapsed="false">
      <c r="A162" s="18" t="str">
        <f aca="false">IF(B162="","",ROW()-2)</f>
        <v/>
      </c>
      <c r="B162" s="18" t="str">
        <f aca="false">IFERROR(INDEX(종합!B$3:B$501,MATCH(ROW()-2,종합!$AE$3:$AE$501,0))&amp;"","")</f>
        <v/>
      </c>
      <c r="C162" s="18" t="str">
        <f aca="false">IFERROR(INDEX(종합!C$3:C$501,MATCH(ROW()-2,종합!$AE$3:$AE$501,0))&amp;"","")</f>
        <v/>
      </c>
      <c r="D162" s="18" t="str">
        <f aca="false">IFERROR(INDEX(종합!D$3:D$501,MATCH(ROW()-2,종합!$AE$3:$AE$501,0))&amp;"","")</f>
        <v/>
      </c>
      <c r="E162" s="18" t="str">
        <f aca="false">IFERROR(INDEX(종합!E$3:E$501,MATCH(ROW()-2,종합!$AE$3:$AE$501,0))&amp;"","")</f>
        <v/>
      </c>
      <c r="F162" s="18" t="str">
        <f aca="false">IFERROR(INDEX(종합!F$3:F$501,MATCH(ROW()-2,종합!$AE$3:$AE$501,0))&amp;"","")</f>
        <v/>
      </c>
      <c r="G162" s="18" t="str">
        <f aca="false">IFERROR(INDEX(종합!G$3:G$501,MATCH(ROW()-2,종합!$AE$3:$AE$501,0))&amp;"","")</f>
        <v/>
      </c>
      <c r="H162" s="21" t="str">
        <f aca="false">IFERROR(INDEX(종합!H$3:H$501,MATCH(ROW()-2,종합!$AE$3:$AE$501,0))&amp;"","")</f>
        <v/>
      </c>
      <c r="I162" s="21" t="str">
        <f aca="false">IFERROR(INDEX(종합!I$3:I$501,MATCH(ROW()-2,종합!$AE$3:$AE$501,0))&amp;"","")</f>
        <v/>
      </c>
      <c r="J162" s="21" t="str">
        <f aca="false">IFERROR(INDEX(종합!J$3:J$501,MATCH(ROW()-2,종합!$AE$3:$AE$501,0))&amp;"","")</f>
        <v/>
      </c>
      <c r="K162" s="21" t="str">
        <f aca="false">IFERROR(INDEX(종합!K$3:K$501,MATCH(ROW()-2,종합!$AE$3:$AE$501,0))&amp;"","")</f>
        <v/>
      </c>
      <c r="L162" s="21" t="str">
        <f aca="false">IFERROR(INDEX(종합!L$3:L$501,MATCH(ROW()-2,종합!$AE$3:$AE$501,0))&amp;"","")</f>
        <v/>
      </c>
      <c r="M162" s="21" t="str">
        <f aca="false">IFERROR(INDEX(종합!M$3:M$501,MATCH(ROW()-2,종합!$AE$3:$AE$501,0))&amp;"","")</f>
        <v/>
      </c>
      <c r="N162" s="25" t="str">
        <f aca="false">IFERROR(INDEX(종합!N$3:N$501,MATCH(ROW()-2,종합!$AE$3:$AE$501,0))&amp;"","")</f>
        <v/>
      </c>
      <c r="O162" s="21" t="str">
        <f aca="false">IFERROR(INDEX(종합!O$3:O$501,MATCH(ROW()-2,종합!$AE$3:$AE$501,0))&amp;"","")</f>
        <v/>
      </c>
      <c r="P162" s="21" t="str">
        <f aca="false">IFERROR(INDEX(종합!P$3:P$501,MATCH(ROW()-2,종합!$AE$3:$AE$501,0))&amp;"","")</f>
        <v/>
      </c>
      <c r="Q162" s="21" t="str">
        <f aca="false">IFERROR(INDEX(종합!Q$3:Q$501,MATCH(ROW()-2,종합!$AE$3:$AE$501,0))&amp;"","")</f>
        <v/>
      </c>
      <c r="R162" s="21" t="str">
        <f aca="false">IFERROR(INDEX(종합!R$3:R$501,MATCH(ROW()-2,종합!$AE$3:$AE$501,0))&amp;"","")</f>
        <v/>
      </c>
      <c r="S162" s="21" t="str">
        <f aca="false">IFERROR(INDEX(종합!S$3:S$501,MATCH(ROW()-2,종합!$AE$3:$AE$501,0))&amp;"","")</f>
        <v/>
      </c>
      <c r="T162" s="21" t="str">
        <f aca="false">IFERROR(INDEX(종합!T$3:T$501,MATCH(ROW()-2,종합!$AE$3:$AE$501,0))&amp;"","")</f>
        <v/>
      </c>
      <c r="U162" s="21" t="str">
        <f aca="false">IFERROR(INDEX(종합!U$3:U$501,MATCH(ROW()-2,종합!$AE$3:$AE$501,0))&amp;"","")</f>
        <v/>
      </c>
      <c r="V162" s="21" t="str">
        <f aca="false">IFERROR(INDEX(종합!V$3:V$501,MATCH(ROW()-2,종합!$AE$3:$AE$501,0))&amp;"","")</f>
        <v/>
      </c>
      <c r="W162" s="21" t="str">
        <f aca="false">IFERROR(INDEX(종합!W$3:W$501,MATCH(ROW()-2,종합!$AE$3:$AE$501,0))&amp;"","")</f>
        <v/>
      </c>
      <c r="X162" s="21" t="str">
        <f aca="false">IFERROR(INDEX(종합!X$3:X$501,MATCH(ROW()-2,종합!$AE$3:$AE$501,0))&amp;"","")</f>
        <v/>
      </c>
      <c r="Y162" s="21" t="str">
        <f aca="false">IFERROR(INDEX(종합!Y$3:Y$501,MATCH(ROW()-2,종합!$AE$3:$AE$501,0))&amp;"","")</f>
        <v/>
      </c>
      <c r="Z162" s="21" t="str">
        <f aca="false">IFERROR(INDEX(종합!Z$3:Z$501,MATCH(ROW()-2,종합!$AE$3:$AE$501,0))&amp;"","")</f>
        <v/>
      </c>
    </row>
    <row r="163" customFormat="false" ht="16.5" hidden="false" customHeight="true" outlineLevel="0" collapsed="false">
      <c r="A163" s="18" t="str">
        <f aca="false">IF(B163="","",ROW()-2)</f>
        <v/>
      </c>
      <c r="B163" s="18" t="str">
        <f aca="false">IFERROR(INDEX(종합!B$3:B$501,MATCH(ROW()-2,종합!$AE$3:$AE$501,0))&amp;"","")</f>
        <v/>
      </c>
      <c r="C163" s="18" t="str">
        <f aca="false">IFERROR(INDEX(종합!C$3:C$501,MATCH(ROW()-2,종합!$AE$3:$AE$501,0))&amp;"","")</f>
        <v/>
      </c>
      <c r="D163" s="18" t="str">
        <f aca="false">IFERROR(INDEX(종합!D$3:D$501,MATCH(ROW()-2,종합!$AE$3:$AE$501,0))&amp;"","")</f>
        <v/>
      </c>
      <c r="E163" s="18" t="str">
        <f aca="false">IFERROR(INDEX(종합!E$3:E$501,MATCH(ROW()-2,종합!$AE$3:$AE$501,0))&amp;"","")</f>
        <v/>
      </c>
      <c r="F163" s="18" t="str">
        <f aca="false">IFERROR(INDEX(종합!F$3:F$501,MATCH(ROW()-2,종합!$AE$3:$AE$501,0))&amp;"","")</f>
        <v/>
      </c>
      <c r="G163" s="18" t="str">
        <f aca="false">IFERROR(INDEX(종합!G$3:G$501,MATCH(ROW()-2,종합!$AE$3:$AE$501,0))&amp;"","")</f>
        <v/>
      </c>
      <c r="H163" s="21" t="str">
        <f aca="false">IFERROR(INDEX(종합!H$3:H$501,MATCH(ROW()-2,종합!$AE$3:$AE$501,0))&amp;"","")</f>
        <v/>
      </c>
      <c r="I163" s="21" t="str">
        <f aca="false">IFERROR(INDEX(종합!I$3:I$501,MATCH(ROW()-2,종합!$AE$3:$AE$501,0))&amp;"","")</f>
        <v/>
      </c>
      <c r="J163" s="21" t="str">
        <f aca="false">IFERROR(INDEX(종합!J$3:J$501,MATCH(ROW()-2,종합!$AE$3:$AE$501,0))&amp;"","")</f>
        <v/>
      </c>
      <c r="K163" s="21" t="str">
        <f aca="false">IFERROR(INDEX(종합!K$3:K$501,MATCH(ROW()-2,종합!$AE$3:$AE$501,0))&amp;"","")</f>
        <v/>
      </c>
      <c r="L163" s="21" t="str">
        <f aca="false">IFERROR(INDEX(종합!L$3:L$501,MATCH(ROW()-2,종합!$AE$3:$AE$501,0))&amp;"","")</f>
        <v/>
      </c>
      <c r="M163" s="21" t="str">
        <f aca="false">IFERROR(INDEX(종합!M$3:M$501,MATCH(ROW()-2,종합!$AE$3:$AE$501,0))&amp;"","")</f>
        <v/>
      </c>
      <c r="N163" s="25" t="str">
        <f aca="false">IFERROR(INDEX(종합!N$3:N$501,MATCH(ROW()-2,종합!$AE$3:$AE$501,0))&amp;"","")</f>
        <v/>
      </c>
      <c r="O163" s="21" t="str">
        <f aca="false">IFERROR(INDEX(종합!O$3:O$501,MATCH(ROW()-2,종합!$AE$3:$AE$501,0))&amp;"","")</f>
        <v/>
      </c>
      <c r="P163" s="21" t="str">
        <f aca="false">IFERROR(INDEX(종합!P$3:P$501,MATCH(ROW()-2,종합!$AE$3:$AE$501,0))&amp;"","")</f>
        <v/>
      </c>
      <c r="Q163" s="21" t="str">
        <f aca="false">IFERROR(INDEX(종합!Q$3:Q$501,MATCH(ROW()-2,종합!$AE$3:$AE$501,0))&amp;"","")</f>
        <v/>
      </c>
      <c r="R163" s="21" t="str">
        <f aca="false">IFERROR(INDEX(종합!R$3:R$501,MATCH(ROW()-2,종합!$AE$3:$AE$501,0))&amp;"","")</f>
        <v/>
      </c>
      <c r="S163" s="21" t="str">
        <f aca="false">IFERROR(INDEX(종합!S$3:S$501,MATCH(ROW()-2,종합!$AE$3:$AE$501,0))&amp;"","")</f>
        <v/>
      </c>
      <c r="T163" s="21" t="str">
        <f aca="false">IFERROR(INDEX(종합!T$3:T$501,MATCH(ROW()-2,종합!$AE$3:$AE$501,0))&amp;"","")</f>
        <v/>
      </c>
      <c r="U163" s="21" t="str">
        <f aca="false">IFERROR(INDEX(종합!U$3:U$501,MATCH(ROW()-2,종합!$AE$3:$AE$501,0))&amp;"","")</f>
        <v/>
      </c>
      <c r="V163" s="21" t="str">
        <f aca="false">IFERROR(INDEX(종합!V$3:V$501,MATCH(ROW()-2,종합!$AE$3:$AE$501,0))&amp;"","")</f>
        <v/>
      </c>
      <c r="W163" s="21" t="str">
        <f aca="false">IFERROR(INDEX(종합!W$3:W$501,MATCH(ROW()-2,종합!$AE$3:$AE$501,0))&amp;"","")</f>
        <v/>
      </c>
      <c r="X163" s="21" t="str">
        <f aca="false">IFERROR(INDEX(종합!X$3:X$501,MATCH(ROW()-2,종합!$AE$3:$AE$501,0))&amp;"","")</f>
        <v/>
      </c>
      <c r="Y163" s="21" t="str">
        <f aca="false">IFERROR(INDEX(종합!Y$3:Y$501,MATCH(ROW()-2,종합!$AE$3:$AE$501,0))&amp;"","")</f>
        <v/>
      </c>
      <c r="Z163" s="21" t="str">
        <f aca="false">IFERROR(INDEX(종합!Z$3:Z$501,MATCH(ROW()-2,종합!$AE$3:$AE$501,0))&amp;"","")</f>
        <v/>
      </c>
    </row>
    <row r="164" customFormat="false" ht="16.5" hidden="false" customHeight="true" outlineLevel="0" collapsed="false">
      <c r="A164" s="18" t="str">
        <f aca="false">IF(B164="","",ROW()-2)</f>
        <v/>
      </c>
      <c r="B164" s="18" t="str">
        <f aca="false">IFERROR(INDEX(종합!B$3:B$501,MATCH(ROW()-2,종합!$AE$3:$AE$501,0))&amp;"","")</f>
        <v/>
      </c>
      <c r="C164" s="18" t="str">
        <f aca="false">IFERROR(INDEX(종합!C$3:C$501,MATCH(ROW()-2,종합!$AE$3:$AE$501,0))&amp;"","")</f>
        <v/>
      </c>
      <c r="D164" s="18" t="str">
        <f aca="false">IFERROR(INDEX(종합!D$3:D$501,MATCH(ROW()-2,종합!$AE$3:$AE$501,0))&amp;"","")</f>
        <v/>
      </c>
      <c r="E164" s="18" t="str">
        <f aca="false">IFERROR(INDEX(종합!E$3:E$501,MATCH(ROW()-2,종합!$AE$3:$AE$501,0))&amp;"","")</f>
        <v/>
      </c>
      <c r="F164" s="18" t="str">
        <f aca="false">IFERROR(INDEX(종합!F$3:F$501,MATCH(ROW()-2,종합!$AE$3:$AE$501,0))&amp;"","")</f>
        <v/>
      </c>
      <c r="G164" s="18" t="str">
        <f aca="false">IFERROR(INDEX(종합!G$3:G$501,MATCH(ROW()-2,종합!$AE$3:$AE$501,0))&amp;"","")</f>
        <v/>
      </c>
      <c r="H164" s="21" t="str">
        <f aca="false">IFERROR(INDEX(종합!H$3:H$501,MATCH(ROW()-2,종합!$AE$3:$AE$501,0))&amp;"","")</f>
        <v/>
      </c>
      <c r="I164" s="21" t="str">
        <f aca="false">IFERROR(INDEX(종합!I$3:I$501,MATCH(ROW()-2,종합!$AE$3:$AE$501,0))&amp;"","")</f>
        <v/>
      </c>
      <c r="J164" s="21" t="str">
        <f aca="false">IFERROR(INDEX(종합!J$3:J$501,MATCH(ROW()-2,종합!$AE$3:$AE$501,0))&amp;"","")</f>
        <v/>
      </c>
      <c r="K164" s="21" t="str">
        <f aca="false">IFERROR(INDEX(종합!K$3:K$501,MATCH(ROW()-2,종합!$AE$3:$AE$501,0))&amp;"","")</f>
        <v/>
      </c>
      <c r="L164" s="21" t="str">
        <f aca="false">IFERROR(INDEX(종합!L$3:L$501,MATCH(ROW()-2,종합!$AE$3:$AE$501,0))&amp;"","")</f>
        <v/>
      </c>
      <c r="M164" s="21" t="str">
        <f aca="false">IFERROR(INDEX(종합!M$3:M$501,MATCH(ROW()-2,종합!$AE$3:$AE$501,0))&amp;"","")</f>
        <v/>
      </c>
      <c r="N164" s="25" t="str">
        <f aca="false">IFERROR(INDEX(종합!N$3:N$501,MATCH(ROW()-2,종합!$AE$3:$AE$501,0))&amp;"","")</f>
        <v/>
      </c>
      <c r="O164" s="21" t="str">
        <f aca="false">IFERROR(INDEX(종합!O$3:O$501,MATCH(ROW()-2,종합!$AE$3:$AE$501,0))&amp;"","")</f>
        <v/>
      </c>
      <c r="P164" s="21" t="str">
        <f aca="false">IFERROR(INDEX(종합!P$3:P$501,MATCH(ROW()-2,종합!$AE$3:$AE$501,0))&amp;"","")</f>
        <v/>
      </c>
      <c r="Q164" s="21" t="str">
        <f aca="false">IFERROR(INDEX(종합!Q$3:Q$501,MATCH(ROW()-2,종합!$AE$3:$AE$501,0))&amp;"","")</f>
        <v/>
      </c>
      <c r="R164" s="21" t="str">
        <f aca="false">IFERROR(INDEX(종합!R$3:R$501,MATCH(ROW()-2,종합!$AE$3:$AE$501,0))&amp;"","")</f>
        <v/>
      </c>
      <c r="S164" s="21" t="str">
        <f aca="false">IFERROR(INDEX(종합!S$3:S$501,MATCH(ROW()-2,종합!$AE$3:$AE$501,0))&amp;"","")</f>
        <v/>
      </c>
      <c r="T164" s="21" t="str">
        <f aca="false">IFERROR(INDEX(종합!T$3:T$501,MATCH(ROW()-2,종합!$AE$3:$AE$501,0))&amp;"","")</f>
        <v/>
      </c>
      <c r="U164" s="21" t="str">
        <f aca="false">IFERROR(INDEX(종합!U$3:U$501,MATCH(ROW()-2,종합!$AE$3:$AE$501,0))&amp;"","")</f>
        <v/>
      </c>
      <c r="V164" s="21" t="str">
        <f aca="false">IFERROR(INDEX(종합!V$3:V$501,MATCH(ROW()-2,종합!$AE$3:$AE$501,0))&amp;"","")</f>
        <v/>
      </c>
      <c r="W164" s="21" t="str">
        <f aca="false">IFERROR(INDEX(종합!W$3:W$501,MATCH(ROW()-2,종합!$AE$3:$AE$501,0))&amp;"","")</f>
        <v/>
      </c>
      <c r="X164" s="21" t="str">
        <f aca="false">IFERROR(INDEX(종합!X$3:X$501,MATCH(ROW()-2,종합!$AE$3:$AE$501,0))&amp;"","")</f>
        <v/>
      </c>
      <c r="Y164" s="21" t="str">
        <f aca="false">IFERROR(INDEX(종합!Y$3:Y$501,MATCH(ROW()-2,종합!$AE$3:$AE$501,0))&amp;"","")</f>
        <v/>
      </c>
      <c r="Z164" s="21" t="str">
        <f aca="false">IFERROR(INDEX(종합!Z$3:Z$501,MATCH(ROW()-2,종합!$AE$3:$AE$501,0))&amp;"","")</f>
        <v/>
      </c>
    </row>
    <row r="165" customFormat="false" ht="16.5" hidden="false" customHeight="true" outlineLevel="0" collapsed="false">
      <c r="A165" s="18" t="str">
        <f aca="false">IF(B165="","",ROW()-2)</f>
        <v/>
      </c>
      <c r="B165" s="18" t="str">
        <f aca="false">IFERROR(INDEX(종합!B$3:B$501,MATCH(ROW()-2,종합!$AE$3:$AE$501,0))&amp;"","")</f>
        <v/>
      </c>
      <c r="C165" s="18" t="str">
        <f aca="false">IFERROR(INDEX(종합!C$3:C$501,MATCH(ROW()-2,종합!$AE$3:$AE$501,0))&amp;"","")</f>
        <v/>
      </c>
      <c r="D165" s="18" t="str">
        <f aca="false">IFERROR(INDEX(종합!D$3:D$501,MATCH(ROW()-2,종합!$AE$3:$AE$501,0))&amp;"","")</f>
        <v/>
      </c>
      <c r="E165" s="18" t="str">
        <f aca="false">IFERROR(INDEX(종합!E$3:E$501,MATCH(ROW()-2,종합!$AE$3:$AE$501,0))&amp;"","")</f>
        <v/>
      </c>
      <c r="F165" s="18" t="str">
        <f aca="false">IFERROR(INDEX(종합!F$3:F$501,MATCH(ROW()-2,종합!$AE$3:$AE$501,0))&amp;"","")</f>
        <v/>
      </c>
      <c r="G165" s="18" t="str">
        <f aca="false">IFERROR(INDEX(종합!G$3:G$501,MATCH(ROW()-2,종합!$AE$3:$AE$501,0))&amp;"","")</f>
        <v/>
      </c>
      <c r="H165" s="21" t="str">
        <f aca="false">IFERROR(INDEX(종합!H$3:H$501,MATCH(ROW()-2,종합!$AE$3:$AE$501,0))&amp;"","")</f>
        <v/>
      </c>
      <c r="I165" s="21" t="str">
        <f aca="false">IFERROR(INDEX(종합!I$3:I$501,MATCH(ROW()-2,종합!$AE$3:$AE$501,0))&amp;"","")</f>
        <v/>
      </c>
      <c r="J165" s="21" t="str">
        <f aca="false">IFERROR(INDEX(종합!J$3:J$501,MATCH(ROW()-2,종합!$AE$3:$AE$501,0))&amp;"","")</f>
        <v/>
      </c>
      <c r="K165" s="21" t="str">
        <f aca="false">IFERROR(INDEX(종합!K$3:K$501,MATCH(ROW()-2,종합!$AE$3:$AE$501,0))&amp;"","")</f>
        <v/>
      </c>
      <c r="L165" s="21" t="str">
        <f aca="false">IFERROR(INDEX(종합!L$3:L$501,MATCH(ROW()-2,종합!$AE$3:$AE$501,0))&amp;"","")</f>
        <v/>
      </c>
      <c r="M165" s="21" t="str">
        <f aca="false">IFERROR(INDEX(종합!M$3:M$501,MATCH(ROW()-2,종합!$AE$3:$AE$501,0))&amp;"","")</f>
        <v/>
      </c>
      <c r="N165" s="25" t="str">
        <f aca="false">IFERROR(INDEX(종합!N$3:N$501,MATCH(ROW()-2,종합!$AE$3:$AE$501,0))&amp;"","")</f>
        <v/>
      </c>
      <c r="O165" s="21" t="str">
        <f aca="false">IFERROR(INDEX(종합!O$3:O$501,MATCH(ROW()-2,종합!$AE$3:$AE$501,0))&amp;"","")</f>
        <v/>
      </c>
      <c r="P165" s="21" t="str">
        <f aca="false">IFERROR(INDEX(종합!P$3:P$501,MATCH(ROW()-2,종합!$AE$3:$AE$501,0))&amp;"","")</f>
        <v/>
      </c>
      <c r="Q165" s="21" t="str">
        <f aca="false">IFERROR(INDEX(종합!Q$3:Q$501,MATCH(ROW()-2,종합!$AE$3:$AE$501,0))&amp;"","")</f>
        <v/>
      </c>
      <c r="R165" s="21" t="str">
        <f aca="false">IFERROR(INDEX(종합!R$3:R$501,MATCH(ROW()-2,종합!$AE$3:$AE$501,0))&amp;"","")</f>
        <v/>
      </c>
      <c r="S165" s="21" t="str">
        <f aca="false">IFERROR(INDEX(종합!S$3:S$501,MATCH(ROW()-2,종합!$AE$3:$AE$501,0))&amp;"","")</f>
        <v/>
      </c>
      <c r="T165" s="21" t="str">
        <f aca="false">IFERROR(INDEX(종합!T$3:T$501,MATCH(ROW()-2,종합!$AE$3:$AE$501,0))&amp;"","")</f>
        <v/>
      </c>
      <c r="U165" s="21" t="str">
        <f aca="false">IFERROR(INDEX(종합!U$3:U$501,MATCH(ROW()-2,종합!$AE$3:$AE$501,0))&amp;"","")</f>
        <v/>
      </c>
      <c r="V165" s="21" t="str">
        <f aca="false">IFERROR(INDEX(종합!V$3:V$501,MATCH(ROW()-2,종합!$AE$3:$AE$501,0))&amp;"","")</f>
        <v/>
      </c>
      <c r="W165" s="21" t="str">
        <f aca="false">IFERROR(INDEX(종합!W$3:W$501,MATCH(ROW()-2,종합!$AE$3:$AE$501,0))&amp;"","")</f>
        <v/>
      </c>
      <c r="X165" s="21" t="str">
        <f aca="false">IFERROR(INDEX(종합!X$3:X$501,MATCH(ROW()-2,종합!$AE$3:$AE$501,0))&amp;"","")</f>
        <v/>
      </c>
      <c r="Y165" s="21" t="str">
        <f aca="false">IFERROR(INDEX(종합!Y$3:Y$501,MATCH(ROW()-2,종합!$AE$3:$AE$501,0))&amp;"","")</f>
        <v/>
      </c>
      <c r="Z165" s="21" t="str">
        <f aca="false">IFERROR(INDEX(종합!Z$3:Z$501,MATCH(ROW()-2,종합!$AE$3:$AE$501,0))&amp;"","")</f>
        <v/>
      </c>
    </row>
    <row r="166" customFormat="false" ht="16.5" hidden="false" customHeight="true" outlineLevel="0" collapsed="false">
      <c r="A166" s="18" t="str">
        <f aca="false">IF(B166="","",ROW()-2)</f>
        <v/>
      </c>
      <c r="B166" s="18" t="str">
        <f aca="false">IFERROR(INDEX(종합!B$3:B$501,MATCH(ROW()-2,종합!$AE$3:$AE$501,0))&amp;"","")</f>
        <v/>
      </c>
      <c r="C166" s="18" t="str">
        <f aca="false">IFERROR(INDEX(종합!C$3:C$501,MATCH(ROW()-2,종합!$AE$3:$AE$501,0))&amp;"","")</f>
        <v/>
      </c>
      <c r="D166" s="18" t="str">
        <f aca="false">IFERROR(INDEX(종합!D$3:D$501,MATCH(ROW()-2,종합!$AE$3:$AE$501,0))&amp;"","")</f>
        <v/>
      </c>
      <c r="E166" s="18" t="str">
        <f aca="false">IFERROR(INDEX(종합!E$3:E$501,MATCH(ROW()-2,종합!$AE$3:$AE$501,0))&amp;"","")</f>
        <v/>
      </c>
      <c r="F166" s="18" t="str">
        <f aca="false">IFERROR(INDEX(종합!F$3:F$501,MATCH(ROW()-2,종합!$AE$3:$AE$501,0))&amp;"","")</f>
        <v/>
      </c>
      <c r="G166" s="18" t="str">
        <f aca="false">IFERROR(INDEX(종합!G$3:G$501,MATCH(ROW()-2,종합!$AE$3:$AE$501,0))&amp;"","")</f>
        <v/>
      </c>
      <c r="H166" s="21" t="str">
        <f aca="false">IFERROR(INDEX(종합!H$3:H$501,MATCH(ROW()-2,종합!$AE$3:$AE$501,0))&amp;"","")</f>
        <v/>
      </c>
      <c r="I166" s="21" t="str">
        <f aca="false">IFERROR(INDEX(종합!I$3:I$501,MATCH(ROW()-2,종합!$AE$3:$AE$501,0))&amp;"","")</f>
        <v/>
      </c>
      <c r="J166" s="21" t="str">
        <f aca="false">IFERROR(INDEX(종합!J$3:J$501,MATCH(ROW()-2,종합!$AE$3:$AE$501,0))&amp;"","")</f>
        <v/>
      </c>
      <c r="K166" s="21" t="str">
        <f aca="false">IFERROR(INDEX(종합!K$3:K$501,MATCH(ROW()-2,종합!$AE$3:$AE$501,0))&amp;"","")</f>
        <v/>
      </c>
      <c r="L166" s="21" t="str">
        <f aca="false">IFERROR(INDEX(종합!L$3:L$501,MATCH(ROW()-2,종합!$AE$3:$AE$501,0))&amp;"","")</f>
        <v/>
      </c>
      <c r="M166" s="21" t="str">
        <f aca="false">IFERROR(INDEX(종합!M$3:M$501,MATCH(ROW()-2,종합!$AE$3:$AE$501,0))&amp;"","")</f>
        <v/>
      </c>
      <c r="N166" s="25" t="str">
        <f aca="false">IFERROR(INDEX(종합!N$3:N$501,MATCH(ROW()-2,종합!$AE$3:$AE$501,0))&amp;"","")</f>
        <v/>
      </c>
      <c r="O166" s="21" t="str">
        <f aca="false">IFERROR(INDEX(종합!O$3:O$501,MATCH(ROW()-2,종합!$AE$3:$AE$501,0))&amp;"","")</f>
        <v/>
      </c>
      <c r="P166" s="21" t="str">
        <f aca="false">IFERROR(INDEX(종합!P$3:P$501,MATCH(ROW()-2,종합!$AE$3:$AE$501,0))&amp;"","")</f>
        <v/>
      </c>
      <c r="Q166" s="21" t="str">
        <f aca="false">IFERROR(INDEX(종합!Q$3:Q$501,MATCH(ROW()-2,종합!$AE$3:$AE$501,0))&amp;"","")</f>
        <v/>
      </c>
      <c r="R166" s="21" t="str">
        <f aca="false">IFERROR(INDEX(종합!R$3:R$501,MATCH(ROW()-2,종합!$AE$3:$AE$501,0))&amp;"","")</f>
        <v/>
      </c>
      <c r="S166" s="21" t="str">
        <f aca="false">IFERROR(INDEX(종합!S$3:S$501,MATCH(ROW()-2,종합!$AE$3:$AE$501,0))&amp;"","")</f>
        <v/>
      </c>
      <c r="T166" s="21" t="str">
        <f aca="false">IFERROR(INDEX(종합!T$3:T$501,MATCH(ROW()-2,종합!$AE$3:$AE$501,0))&amp;"","")</f>
        <v/>
      </c>
      <c r="U166" s="21" t="str">
        <f aca="false">IFERROR(INDEX(종합!U$3:U$501,MATCH(ROW()-2,종합!$AE$3:$AE$501,0))&amp;"","")</f>
        <v/>
      </c>
      <c r="V166" s="21" t="str">
        <f aca="false">IFERROR(INDEX(종합!V$3:V$501,MATCH(ROW()-2,종합!$AE$3:$AE$501,0))&amp;"","")</f>
        <v/>
      </c>
      <c r="W166" s="21" t="str">
        <f aca="false">IFERROR(INDEX(종합!W$3:W$501,MATCH(ROW()-2,종합!$AE$3:$AE$501,0))&amp;"","")</f>
        <v/>
      </c>
      <c r="X166" s="21" t="str">
        <f aca="false">IFERROR(INDEX(종합!X$3:X$501,MATCH(ROW()-2,종합!$AE$3:$AE$501,0))&amp;"","")</f>
        <v/>
      </c>
      <c r="Y166" s="21" t="str">
        <f aca="false">IFERROR(INDEX(종합!Y$3:Y$501,MATCH(ROW()-2,종합!$AE$3:$AE$501,0))&amp;"","")</f>
        <v/>
      </c>
      <c r="Z166" s="21" t="str">
        <f aca="false">IFERROR(INDEX(종합!Z$3:Z$501,MATCH(ROW()-2,종합!$AE$3:$AE$501,0))&amp;"","")</f>
        <v/>
      </c>
    </row>
    <row r="167" customFormat="false" ht="16.5" hidden="false" customHeight="true" outlineLevel="0" collapsed="false">
      <c r="A167" s="18" t="str">
        <f aca="false">IF(B167="","",ROW()-2)</f>
        <v/>
      </c>
      <c r="B167" s="18" t="str">
        <f aca="false">IFERROR(INDEX(종합!B$3:B$501,MATCH(ROW()-2,종합!$AE$3:$AE$501,0))&amp;"","")</f>
        <v/>
      </c>
      <c r="C167" s="18" t="str">
        <f aca="false">IFERROR(INDEX(종합!C$3:C$501,MATCH(ROW()-2,종합!$AE$3:$AE$501,0))&amp;"","")</f>
        <v/>
      </c>
      <c r="D167" s="18" t="str">
        <f aca="false">IFERROR(INDEX(종합!D$3:D$501,MATCH(ROW()-2,종합!$AE$3:$AE$501,0))&amp;"","")</f>
        <v/>
      </c>
      <c r="E167" s="18" t="str">
        <f aca="false">IFERROR(INDEX(종합!E$3:E$501,MATCH(ROW()-2,종합!$AE$3:$AE$501,0))&amp;"","")</f>
        <v/>
      </c>
      <c r="F167" s="18" t="str">
        <f aca="false">IFERROR(INDEX(종합!F$3:F$501,MATCH(ROW()-2,종합!$AE$3:$AE$501,0))&amp;"","")</f>
        <v/>
      </c>
      <c r="G167" s="18" t="str">
        <f aca="false">IFERROR(INDEX(종합!G$3:G$501,MATCH(ROW()-2,종합!$AE$3:$AE$501,0))&amp;"","")</f>
        <v/>
      </c>
      <c r="H167" s="21" t="str">
        <f aca="false">IFERROR(INDEX(종합!H$3:H$501,MATCH(ROW()-2,종합!$AE$3:$AE$501,0))&amp;"","")</f>
        <v/>
      </c>
      <c r="I167" s="21" t="str">
        <f aca="false">IFERROR(INDEX(종합!I$3:I$501,MATCH(ROW()-2,종합!$AE$3:$AE$501,0))&amp;"","")</f>
        <v/>
      </c>
      <c r="J167" s="21" t="str">
        <f aca="false">IFERROR(INDEX(종합!J$3:J$501,MATCH(ROW()-2,종합!$AE$3:$AE$501,0))&amp;"","")</f>
        <v/>
      </c>
      <c r="K167" s="21" t="str">
        <f aca="false">IFERROR(INDEX(종합!K$3:K$501,MATCH(ROW()-2,종합!$AE$3:$AE$501,0))&amp;"","")</f>
        <v/>
      </c>
      <c r="L167" s="21" t="str">
        <f aca="false">IFERROR(INDEX(종합!L$3:L$501,MATCH(ROW()-2,종합!$AE$3:$AE$501,0))&amp;"","")</f>
        <v/>
      </c>
      <c r="M167" s="21" t="str">
        <f aca="false">IFERROR(INDEX(종합!M$3:M$501,MATCH(ROW()-2,종합!$AE$3:$AE$501,0))&amp;"","")</f>
        <v/>
      </c>
      <c r="N167" s="25" t="str">
        <f aca="false">IFERROR(INDEX(종합!N$3:N$501,MATCH(ROW()-2,종합!$AE$3:$AE$501,0))&amp;"","")</f>
        <v/>
      </c>
      <c r="O167" s="21" t="str">
        <f aca="false">IFERROR(INDEX(종합!O$3:O$501,MATCH(ROW()-2,종합!$AE$3:$AE$501,0))&amp;"","")</f>
        <v/>
      </c>
      <c r="P167" s="21" t="str">
        <f aca="false">IFERROR(INDEX(종합!P$3:P$501,MATCH(ROW()-2,종합!$AE$3:$AE$501,0))&amp;"","")</f>
        <v/>
      </c>
      <c r="Q167" s="21" t="str">
        <f aca="false">IFERROR(INDEX(종합!Q$3:Q$501,MATCH(ROW()-2,종합!$AE$3:$AE$501,0))&amp;"","")</f>
        <v/>
      </c>
      <c r="R167" s="21" t="str">
        <f aca="false">IFERROR(INDEX(종합!R$3:R$501,MATCH(ROW()-2,종합!$AE$3:$AE$501,0))&amp;"","")</f>
        <v/>
      </c>
      <c r="S167" s="21" t="str">
        <f aca="false">IFERROR(INDEX(종합!S$3:S$501,MATCH(ROW()-2,종합!$AE$3:$AE$501,0))&amp;"","")</f>
        <v/>
      </c>
      <c r="T167" s="21" t="str">
        <f aca="false">IFERROR(INDEX(종합!T$3:T$501,MATCH(ROW()-2,종합!$AE$3:$AE$501,0))&amp;"","")</f>
        <v/>
      </c>
      <c r="U167" s="21" t="str">
        <f aca="false">IFERROR(INDEX(종합!U$3:U$501,MATCH(ROW()-2,종합!$AE$3:$AE$501,0))&amp;"","")</f>
        <v/>
      </c>
      <c r="V167" s="21" t="str">
        <f aca="false">IFERROR(INDEX(종합!V$3:V$501,MATCH(ROW()-2,종합!$AE$3:$AE$501,0))&amp;"","")</f>
        <v/>
      </c>
      <c r="W167" s="21" t="str">
        <f aca="false">IFERROR(INDEX(종합!W$3:W$501,MATCH(ROW()-2,종합!$AE$3:$AE$501,0))&amp;"","")</f>
        <v/>
      </c>
      <c r="X167" s="21" t="str">
        <f aca="false">IFERROR(INDEX(종합!X$3:X$501,MATCH(ROW()-2,종합!$AE$3:$AE$501,0))&amp;"","")</f>
        <v/>
      </c>
      <c r="Y167" s="21" t="str">
        <f aca="false">IFERROR(INDEX(종합!Y$3:Y$501,MATCH(ROW()-2,종합!$AE$3:$AE$501,0))&amp;"","")</f>
        <v/>
      </c>
      <c r="Z167" s="21" t="str">
        <f aca="false">IFERROR(INDEX(종합!Z$3:Z$501,MATCH(ROW()-2,종합!$AE$3:$AE$501,0))&amp;"","")</f>
        <v/>
      </c>
    </row>
    <row r="168" customFormat="false" ht="16.5" hidden="false" customHeight="true" outlineLevel="0" collapsed="false">
      <c r="A168" s="18" t="str">
        <f aca="false">IF(B168="","",ROW()-2)</f>
        <v/>
      </c>
      <c r="B168" s="18" t="str">
        <f aca="false">IFERROR(INDEX(종합!B$3:B$501,MATCH(ROW()-2,종합!$AE$3:$AE$501,0))&amp;"","")</f>
        <v/>
      </c>
      <c r="C168" s="18" t="str">
        <f aca="false">IFERROR(INDEX(종합!C$3:C$501,MATCH(ROW()-2,종합!$AE$3:$AE$501,0))&amp;"","")</f>
        <v/>
      </c>
      <c r="D168" s="18" t="str">
        <f aca="false">IFERROR(INDEX(종합!D$3:D$501,MATCH(ROW()-2,종합!$AE$3:$AE$501,0))&amp;"","")</f>
        <v/>
      </c>
      <c r="E168" s="18" t="str">
        <f aca="false">IFERROR(INDEX(종합!E$3:E$501,MATCH(ROW()-2,종합!$AE$3:$AE$501,0))&amp;"","")</f>
        <v/>
      </c>
      <c r="F168" s="18" t="str">
        <f aca="false">IFERROR(INDEX(종합!F$3:F$501,MATCH(ROW()-2,종합!$AE$3:$AE$501,0))&amp;"","")</f>
        <v/>
      </c>
      <c r="G168" s="18" t="str">
        <f aca="false">IFERROR(INDEX(종합!G$3:G$501,MATCH(ROW()-2,종합!$AE$3:$AE$501,0))&amp;"","")</f>
        <v/>
      </c>
      <c r="H168" s="21" t="str">
        <f aca="false">IFERROR(INDEX(종합!H$3:H$501,MATCH(ROW()-2,종합!$AE$3:$AE$501,0))&amp;"","")</f>
        <v/>
      </c>
      <c r="I168" s="21" t="str">
        <f aca="false">IFERROR(INDEX(종합!I$3:I$501,MATCH(ROW()-2,종합!$AE$3:$AE$501,0))&amp;"","")</f>
        <v/>
      </c>
      <c r="J168" s="21" t="str">
        <f aca="false">IFERROR(INDEX(종합!J$3:J$501,MATCH(ROW()-2,종합!$AE$3:$AE$501,0))&amp;"","")</f>
        <v/>
      </c>
      <c r="K168" s="21" t="str">
        <f aca="false">IFERROR(INDEX(종합!K$3:K$501,MATCH(ROW()-2,종합!$AE$3:$AE$501,0))&amp;"","")</f>
        <v/>
      </c>
      <c r="L168" s="21" t="str">
        <f aca="false">IFERROR(INDEX(종합!L$3:L$501,MATCH(ROW()-2,종합!$AE$3:$AE$501,0))&amp;"","")</f>
        <v/>
      </c>
      <c r="M168" s="21" t="str">
        <f aca="false">IFERROR(INDEX(종합!M$3:M$501,MATCH(ROW()-2,종합!$AE$3:$AE$501,0))&amp;"","")</f>
        <v/>
      </c>
      <c r="N168" s="25" t="str">
        <f aca="false">IFERROR(INDEX(종합!N$3:N$501,MATCH(ROW()-2,종합!$AE$3:$AE$501,0))&amp;"","")</f>
        <v/>
      </c>
      <c r="O168" s="21" t="str">
        <f aca="false">IFERROR(INDEX(종합!O$3:O$501,MATCH(ROW()-2,종합!$AE$3:$AE$501,0))&amp;"","")</f>
        <v/>
      </c>
      <c r="P168" s="21" t="str">
        <f aca="false">IFERROR(INDEX(종합!P$3:P$501,MATCH(ROW()-2,종합!$AE$3:$AE$501,0))&amp;"","")</f>
        <v/>
      </c>
      <c r="Q168" s="21" t="str">
        <f aca="false">IFERROR(INDEX(종합!Q$3:Q$501,MATCH(ROW()-2,종합!$AE$3:$AE$501,0))&amp;"","")</f>
        <v/>
      </c>
      <c r="R168" s="21" t="str">
        <f aca="false">IFERROR(INDEX(종합!R$3:R$501,MATCH(ROW()-2,종합!$AE$3:$AE$501,0))&amp;"","")</f>
        <v/>
      </c>
      <c r="S168" s="21" t="str">
        <f aca="false">IFERROR(INDEX(종합!S$3:S$501,MATCH(ROW()-2,종합!$AE$3:$AE$501,0))&amp;"","")</f>
        <v/>
      </c>
      <c r="T168" s="21" t="str">
        <f aca="false">IFERROR(INDEX(종합!T$3:T$501,MATCH(ROW()-2,종합!$AE$3:$AE$501,0))&amp;"","")</f>
        <v/>
      </c>
      <c r="U168" s="21" t="str">
        <f aca="false">IFERROR(INDEX(종합!U$3:U$501,MATCH(ROW()-2,종합!$AE$3:$AE$501,0))&amp;"","")</f>
        <v/>
      </c>
      <c r="V168" s="21" t="str">
        <f aca="false">IFERROR(INDEX(종합!V$3:V$501,MATCH(ROW()-2,종합!$AE$3:$AE$501,0))&amp;"","")</f>
        <v/>
      </c>
      <c r="W168" s="21" t="str">
        <f aca="false">IFERROR(INDEX(종합!W$3:W$501,MATCH(ROW()-2,종합!$AE$3:$AE$501,0))&amp;"","")</f>
        <v/>
      </c>
      <c r="X168" s="21" t="str">
        <f aca="false">IFERROR(INDEX(종합!X$3:X$501,MATCH(ROW()-2,종합!$AE$3:$AE$501,0))&amp;"","")</f>
        <v/>
      </c>
      <c r="Y168" s="21" t="str">
        <f aca="false">IFERROR(INDEX(종합!Y$3:Y$501,MATCH(ROW()-2,종합!$AE$3:$AE$501,0))&amp;"","")</f>
        <v/>
      </c>
      <c r="Z168" s="21" t="str">
        <f aca="false">IFERROR(INDEX(종합!Z$3:Z$501,MATCH(ROW()-2,종합!$AE$3:$AE$501,0))&amp;"","")</f>
        <v/>
      </c>
    </row>
    <row r="169" customFormat="false" ht="16.5" hidden="false" customHeight="true" outlineLevel="0" collapsed="false">
      <c r="A169" s="18" t="str">
        <f aca="false">IF(B169="","",ROW()-2)</f>
        <v/>
      </c>
      <c r="B169" s="18" t="str">
        <f aca="false">IFERROR(INDEX(종합!B$3:B$501,MATCH(ROW()-2,종합!$AE$3:$AE$501,0))&amp;"","")</f>
        <v/>
      </c>
      <c r="C169" s="18" t="str">
        <f aca="false">IFERROR(INDEX(종합!C$3:C$501,MATCH(ROW()-2,종합!$AE$3:$AE$501,0))&amp;"","")</f>
        <v/>
      </c>
      <c r="D169" s="18" t="str">
        <f aca="false">IFERROR(INDEX(종합!D$3:D$501,MATCH(ROW()-2,종합!$AE$3:$AE$501,0))&amp;"","")</f>
        <v/>
      </c>
      <c r="E169" s="18" t="str">
        <f aca="false">IFERROR(INDEX(종합!E$3:E$501,MATCH(ROW()-2,종합!$AE$3:$AE$501,0))&amp;"","")</f>
        <v/>
      </c>
      <c r="F169" s="18" t="str">
        <f aca="false">IFERROR(INDEX(종합!F$3:F$501,MATCH(ROW()-2,종합!$AE$3:$AE$501,0))&amp;"","")</f>
        <v/>
      </c>
      <c r="G169" s="18" t="str">
        <f aca="false">IFERROR(INDEX(종합!G$3:G$501,MATCH(ROW()-2,종합!$AE$3:$AE$501,0))&amp;"","")</f>
        <v/>
      </c>
      <c r="H169" s="21" t="str">
        <f aca="false">IFERROR(INDEX(종합!H$3:H$501,MATCH(ROW()-2,종합!$AE$3:$AE$501,0))&amp;"","")</f>
        <v/>
      </c>
      <c r="I169" s="21" t="str">
        <f aca="false">IFERROR(INDEX(종합!I$3:I$501,MATCH(ROW()-2,종합!$AE$3:$AE$501,0))&amp;"","")</f>
        <v/>
      </c>
      <c r="J169" s="21" t="str">
        <f aca="false">IFERROR(INDEX(종합!J$3:J$501,MATCH(ROW()-2,종합!$AE$3:$AE$501,0))&amp;"","")</f>
        <v/>
      </c>
      <c r="K169" s="21" t="str">
        <f aca="false">IFERROR(INDEX(종합!K$3:K$501,MATCH(ROW()-2,종합!$AE$3:$AE$501,0))&amp;"","")</f>
        <v/>
      </c>
      <c r="L169" s="21" t="str">
        <f aca="false">IFERROR(INDEX(종합!L$3:L$501,MATCH(ROW()-2,종합!$AE$3:$AE$501,0))&amp;"","")</f>
        <v/>
      </c>
      <c r="M169" s="21" t="str">
        <f aca="false">IFERROR(INDEX(종합!M$3:M$501,MATCH(ROW()-2,종합!$AE$3:$AE$501,0))&amp;"","")</f>
        <v/>
      </c>
      <c r="N169" s="25" t="str">
        <f aca="false">IFERROR(INDEX(종합!N$3:N$501,MATCH(ROW()-2,종합!$AE$3:$AE$501,0))&amp;"","")</f>
        <v/>
      </c>
      <c r="O169" s="21" t="str">
        <f aca="false">IFERROR(INDEX(종합!O$3:O$501,MATCH(ROW()-2,종합!$AE$3:$AE$501,0))&amp;"","")</f>
        <v/>
      </c>
      <c r="P169" s="21" t="str">
        <f aca="false">IFERROR(INDEX(종합!P$3:P$501,MATCH(ROW()-2,종합!$AE$3:$AE$501,0))&amp;"","")</f>
        <v/>
      </c>
      <c r="Q169" s="21" t="str">
        <f aca="false">IFERROR(INDEX(종합!Q$3:Q$501,MATCH(ROW()-2,종합!$AE$3:$AE$501,0))&amp;"","")</f>
        <v/>
      </c>
      <c r="R169" s="21" t="str">
        <f aca="false">IFERROR(INDEX(종합!R$3:R$501,MATCH(ROW()-2,종합!$AE$3:$AE$501,0))&amp;"","")</f>
        <v/>
      </c>
      <c r="S169" s="21" t="str">
        <f aca="false">IFERROR(INDEX(종합!S$3:S$501,MATCH(ROW()-2,종합!$AE$3:$AE$501,0))&amp;"","")</f>
        <v/>
      </c>
      <c r="T169" s="21" t="str">
        <f aca="false">IFERROR(INDEX(종합!T$3:T$501,MATCH(ROW()-2,종합!$AE$3:$AE$501,0))&amp;"","")</f>
        <v/>
      </c>
      <c r="U169" s="21" t="str">
        <f aca="false">IFERROR(INDEX(종합!U$3:U$501,MATCH(ROW()-2,종합!$AE$3:$AE$501,0))&amp;"","")</f>
        <v/>
      </c>
      <c r="V169" s="21" t="str">
        <f aca="false">IFERROR(INDEX(종합!V$3:V$501,MATCH(ROW()-2,종합!$AE$3:$AE$501,0))&amp;"","")</f>
        <v/>
      </c>
      <c r="W169" s="21" t="str">
        <f aca="false">IFERROR(INDEX(종합!W$3:W$501,MATCH(ROW()-2,종합!$AE$3:$AE$501,0))&amp;"","")</f>
        <v/>
      </c>
      <c r="X169" s="21" t="str">
        <f aca="false">IFERROR(INDEX(종합!X$3:X$501,MATCH(ROW()-2,종합!$AE$3:$AE$501,0))&amp;"","")</f>
        <v/>
      </c>
      <c r="Y169" s="21" t="str">
        <f aca="false">IFERROR(INDEX(종합!Y$3:Y$501,MATCH(ROW()-2,종합!$AE$3:$AE$501,0))&amp;"","")</f>
        <v/>
      </c>
      <c r="Z169" s="21" t="str">
        <f aca="false">IFERROR(INDEX(종합!Z$3:Z$501,MATCH(ROW()-2,종합!$AE$3:$AE$501,0))&amp;"","")</f>
        <v/>
      </c>
    </row>
    <row r="170" customFormat="false" ht="16.5" hidden="false" customHeight="true" outlineLevel="0" collapsed="false">
      <c r="A170" s="18" t="str">
        <f aca="false">IF(B170="","",ROW()-2)</f>
        <v/>
      </c>
      <c r="B170" s="18" t="str">
        <f aca="false">IFERROR(INDEX(종합!B$3:B$501,MATCH(ROW()-2,종합!$AE$3:$AE$501,0))&amp;"","")</f>
        <v/>
      </c>
      <c r="C170" s="18" t="str">
        <f aca="false">IFERROR(INDEX(종합!C$3:C$501,MATCH(ROW()-2,종합!$AE$3:$AE$501,0))&amp;"","")</f>
        <v/>
      </c>
      <c r="D170" s="18" t="str">
        <f aca="false">IFERROR(INDEX(종합!D$3:D$501,MATCH(ROW()-2,종합!$AE$3:$AE$501,0))&amp;"","")</f>
        <v/>
      </c>
      <c r="E170" s="18" t="str">
        <f aca="false">IFERROR(INDEX(종합!E$3:E$501,MATCH(ROW()-2,종합!$AE$3:$AE$501,0))&amp;"","")</f>
        <v/>
      </c>
      <c r="F170" s="18" t="str">
        <f aca="false">IFERROR(INDEX(종합!F$3:F$501,MATCH(ROW()-2,종합!$AE$3:$AE$501,0))&amp;"","")</f>
        <v/>
      </c>
      <c r="G170" s="18" t="str">
        <f aca="false">IFERROR(INDEX(종합!G$3:G$501,MATCH(ROW()-2,종합!$AE$3:$AE$501,0))&amp;"","")</f>
        <v/>
      </c>
      <c r="H170" s="21" t="str">
        <f aca="false">IFERROR(INDEX(종합!H$3:H$501,MATCH(ROW()-2,종합!$AE$3:$AE$501,0))&amp;"","")</f>
        <v/>
      </c>
      <c r="I170" s="21" t="str">
        <f aca="false">IFERROR(INDEX(종합!I$3:I$501,MATCH(ROW()-2,종합!$AE$3:$AE$501,0))&amp;"","")</f>
        <v/>
      </c>
      <c r="J170" s="21" t="str">
        <f aca="false">IFERROR(INDEX(종합!J$3:J$501,MATCH(ROW()-2,종합!$AE$3:$AE$501,0))&amp;"","")</f>
        <v/>
      </c>
      <c r="K170" s="21" t="str">
        <f aca="false">IFERROR(INDEX(종합!K$3:K$501,MATCH(ROW()-2,종합!$AE$3:$AE$501,0))&amp;"","")</f>
        <v/>
      </c>
      <c r="L170" s="21" t="str">
        <f aca="false">IFERROR(INDEX(종합!L$3:L$501,MATCH(ROW()-2,종합!$AE$3:$AE$501,0))&amp;"","")</f>
        <v/>
      </c>
      <c r="M170" s="21" t="str">
        <f aca="false">IFERROR(INDEX(종합!M$3:M$501,MATCH(ROW()-2,종합!$AE$3:$AE$501,0))&amp;"","")</f>
        <v/>
      </c>
      <c r="N170" s="25" t="str">
        <f aca="false">IFERROR(INDEX(종합!N$3:N$501,MATCH(ROW()-2,종합!$AE$3:$AE$501,0))&amp;"","")</f>
        <v/>
      </c>
      <c r="O170" s="21" t="str">
        <f aca="false">IFERROR(INDEX(종합!O$3:O$501,MATCH(ROW()-2,종합!$AE$3:$AE$501,0))&amp;"","")</f>
        <v/>
      </c>
      <c r="P170" s="21" t="str">
        <f aca="false">IFERROR(INDEX(종합!P$3:P$501,MATCH(ROW()-2,종합!$AE$3:$AE$501,0))&amp;"","")</f>
        <v/>
      </c>
      <c r="Q170" s="21" t="str">
        <f aca="false">IFERROR(INDEX(종합!Q$3:Q$501,MATCH(ROW()-2,종합!$AE$3:$AE$501,0))&amp;"","")</f>
        <v/>
      </c>
      <c r="R170" s="21" t="str">
        <f aca="false">IFERROR(INDEX(종합!R$3:R$501,MATCH(ROW()-2,종합!$AE$3:$AE$501,0))&amp;"","")</f>
        <v/>
      </c>
      <c r="S170" s="21" t="str">
        <f aca="false">IFERROR(INDEX(종합!S$3:S$501,MATCH(ROW()-2,종합!$AE$3:$AE$501,0))&amp;"","")</f>
        <v/>
      </c>
      <c r="T170" s="21" t="str">
        <f aca="false">IFERROR(INDEX(종합!T$3:T$501,MATCH(ROW()-2,종합!$AE$3:$AE$501,0))&amp;"","")</f>
        <v/>
      </c>
      <c r="U170" s="21" t="str">
        <f aca="false">IFERROR(INDEX(종합!U$3:U$501,MATCH(ROW()-2,종합!$AE$3:$AE$501,0))&amp;"","")</f>
        <v/>
      </c>
      <c r="V170" s="21" t="str">
        <f aca="false">IFERROR(INDEX(종합!V$3:V$501,MATCH(ROW()-2,종합!$AE$3:$AE$501,0))&amp;"","")</f>
        <v/>
      </c>
      <c r="W170" s="21" t="str">
        <f aca="false">IFERROR(INDEX(종합!W$3:W$501,MATCH(ROW()-2,종합!$AE$3:$AE$501,0))&amp;"","")</f>
        <v/>
      </c>
      <c r="X170" s="21" t="str">
        <f aca="false">IFERROR(INDEX(종합!X$3:X$501,MATCH(ROW()-2,종합!$AE$3:$AE$501,0))&amp;"","")</f>
        <v/>
      </c>
      <c r="Y170" s="21" t="str">
        <f aca="false">IFERROR(INDEX(종합!Y$3:Y$501,MATCH(ROW()-2,종합!$AE$3:$AE$501,0))&amp;"","")</f>
        <v/>
      </c>
      <c r="Z170" s="21" t="str">
        <f aca="false">IFERROR(INDEX(종합!Z$3:Z$501,MATCH(ROW()-2,종합!$AE$3:$AE$501,0))&amp;"","")</f>
        <v/>
      </c>
    </row>
    <row r="171" customFormat="false" ht="16.5" hidden="false" customHeight="true" outlineLevel="0" collapsed="false">
      <c r="A171" s="18" t="str">
        <f aca="false">IF(B171="","",ROW()-2)</f>
        <v/>
      </c>
      <c r="B171" s="18" t="str">
        <f aca="false">IFERROR(INDEX(종합!B$3:B$501,MATCH(ROW()-2,종합!$AE$3:$AE$501,0))&amp;"","")</f>
        <v/>
      </c>
      <c r="C171" s="18" t="str">
        <f aca="false">IFERROR(INDEX(종합!C$3:C$501,MATCH(ROW()-2,종합!$AE$3:$AE$501,0))&amp;"","")</f>
        <v/>
      </c>
      <c r="D171" s="18" t="str">
        <f aca="false">IFERROR(INDEX(종합!D$3:D$501,MATCH(ROW()-2,종합!$AE$3:$AE$501,0))&amp;"","")</f>
        <v/>
      </c>
      <c r="E171" s="18" t="str">
        <f aca="false">IFERROR(INDEX(종합!E$3:E$501,MATCH(ROW()-2,종합!$AE$3:$AE$501,0))&amp;"","")</f>
        <v/>
      </c>
      <c r="F171" s="18" t="str">
        <f aca="false">IFERROR(INDEX(종합!F$3:F$501,MATCH(ROW()-2,종합!$AE$3:$AE$501,0))&amp;"","")</f>
        <v/>
      </c>
      <c r="G171" s="18" t="str">
        <f aca="false">IFERROR(INDEX(종합!G$3:G$501,MATCH(ROW()-2,종합!$AE$3:$AE$501,0))&amp;"","")</f>
        <v/>
      </c>
      <c r="H171" s="21" t="str">
        <f aca="false">IFERROR(INDEX(종합!H$3:H$501,MATCH(ROW()-2,종합!$AE$3:$AE$501,0))&amp;"","")</f>
        <v/>
      </c>
      <c r="I171" s="21" t="str">
        <f aca="false">IFERROR(INDEX(종합!I$3:I$501,MATCH(ROW()-2,종합!$AE$3:$AE$501,0))&amp;"","")</f>
        <v/>
      </c>
      <c r="J171" s="21" t="str">
        <f aca="false">IFERROR(INDEX(종합!J$3:J$501,MATCH(ROW()-2,종합!$AE$3:$AE$501,0))&amp;"","")</f>
        <v/>
      </c>
      <c r="K171" s="21" t="str">
        <f aca="false">IFERROR(INDEX(종합!K$3:K$501,MATCH(ROW()-2,종합!$AE$3:$AE$501,0))&amp;"","")</f>
        <v/>
      </c>
      <c r="L171" s="21" t="str">
        <f aca="false">IFERROR(INDEX(종합!L$3:L$501,MATCH(ROW()-2,종합!$AE$3:$AE$501,0))&amp;"","")</f>
        <v/>
      </c>
      <c r="M171" s="21" t="str">
        <f aca="false">IFERROR(INDEX(종합!M$3:M$501,MATCH(ROW()-2,종합!$AE$3:$AE$501,0))&amp;"","")</f>
        <v/>
      </c>
      <c r="N171" s="25" t="str">
        <f aca="false">IFERROR(INDEX(종합!N$3:N$501,MATCH(ROW()-2,종합!$AE$3:$AE$501,0))&amp;"","")</f>
        <v/>
      </c>
      <c r="O171" s="21" t="str">
        <f aca="false">IFERROR(INDEX(종합!O$3:O$501,MATCH(ROW()-2,종합!$AE$3:$AE$501,0))&amp;"","")</f>
        <v/>
      </c>
      <c r="P171" s="21" t="str">
        <f aca="false">IFERROR(INDEX(종합!P$3:P$501,MATCH(ROW()-2,종합!$AE$3:$AE$501,0))&amp;"","")</f>
        <v/>
      </c>
      <c r="Q171" s="21" t="str">
        <f aca="false">IFERROR(INDEX(종합!Q$3:Q$501,MATCH(ROW()-2,종합!$AE$3:$AE$501,0))&amp;"","")</f>
        <v/>
      </c>
      <c r="R171" s="21" t="str">
        <f aca="false">IFERROR(INDEX(종합!R$3:R$501,MATCH(ROW()-2,종합!$AE$3:$AE$501,0))&amp;"","")</f>
        <v/>
      </c>
      <c r="S171" s="21" t="str">
        <f aca="false">IFERROR(INDEX(종합!S$3:S$501,MATCH(ROW()-2,종합!$AE$3:$AE$501,0))&amp;"","")</f>
        <v/>
      </c>
      <c r="T171" s="21" t="str">
        <f aca="false">IFERROR(INDEX(종합!T$3:T$501,MATCH(ROW()-2,종합!$AE$3:$AE$501,0))&amp;"","")</f>
        <v/>
      </c>
      <c r="U171" s="21" t="str">
        <f aca="false">IFERROR(INDEX(종합!U$3:U$501,MATCH(ROW()-2,종합!$AE$3:$AE$501,0))&amp;"","")</f>
        <v/>
      </c>
      <c r="V171" s="21" t="str">
        <f aca="false">IFERROR(INDEX(종합!V$3:V$501,MATCH(ROW()-2,종합!$AE$3:$AE$501,0))&amp;"","")</f>
        <v/>
      </c>
      <c r="W171" s="21" t="str">
        <f aca="false">IFERROR(INDEX(종합!W$3:W$501,MATCH(ROW()-2,종합!$AE$3:$AE$501,0))&amp;"","")</f>
        <v/>
      </c>
      <c r="X171" s="21" t="str">
        <f aca="false">IFERROR(INDEX(종합!X$3:X$501,MATCH(ROW()-2,종합!$AE$3:$AE$501,0))&amp;"","")</f>
        <v/>
      </c>
      <c r="Y171" s="21" t="str">
        <f aca="false">IFERROR(INDEX(종합!Y$3:Y$501,MATCH(ROW()-2,종합!$AE$3:$AE$501,0))&amp;"","")</f>
        <v/>
      </c>
      <c r="Z171" s="21" t="str">
        <f aca="false">IFERROR(INDEX(종합!Z$3:Z$501,MATCH(ROW()-2,종합!$AE$3:$AE$501,0))&amp;"","")</f>
        <v/>
      </c>
    </row>
    <row r="172" customFormat="false" ht="16.5" hidden="false" customHeight="true" outlineLevel="0" collapsed="false">
      <c r="A172" s="18" t="str">
        <f aca="false">IF(B172="","",ROW()-2)</f>
        <v/>
      </c>
      <c r="B172" s="18" t="str">
        <f aca="false">IFERROR(INDEX(종합!B$3:B$501,MATCH(ROW()-2,종합!$AE$3:$AE$501,0))&amp;"","")</f>
        <v/>
      </c>
      <c r="C172" s="18" t="str">
        <f aca="false">IFERROR(INDEX(종합!C$3:C$501,MATCH(ROW()-2,종합!$AE$3:$AE$501,0))&amp;"","")</f>
        <v/>
      </c>
      <c r="D172" s="18" t="str">
        <f aca="false">IFERROR(INDEX(종합!D$3:D$501,MATCH(ROW()-2,종합!$AE$3:$AE$501,0))&amp;"","")</f>
        <v/>
      </c>
      <c r="E172" s="18" t="str">
        <f aca="false">IFERROR(INDEX(종합!E$3:E$501,MATCH(ROW()-2,종합!$AE$3:$AE$501,0))&amp;"","")</f>
        <v/>
      </c>
      <c r="F172" s="18" t="str">
        <f aca="false">IFERROR(INDEX(종합!F$3:F$501,MATCH(ROW()-2,종합!$AE$3:$AE$501,0))&amp;"","")</f>
        <v/>
      </c>
      <c r="G172" s="18" t="str">
        <f aca="false">IFERROR(INDEX(종합!G$3:G$501,MATCH(ROW()-2,종합!$AE$3:$AE$501,0))&amp;"","")</f>
        <v/>
      </c>
      <c r="H172" s="21" t="str">
        <f aca="false">IFERROR(INDEX(종합!H$3:H$501,MATCH(ROW()-2,종합!$AE$3:$AE$501,0))&amp;"","")</f>
        <v/>
      </c>
      <c r="I172" s="21" t="str">
        <f aca="false">IFERROR(INDEX(종합!I$3:I$501,MATCH(ROW()-2,종합!$AE$3:$AE$501,0))&amp;"","")</f>
        <v/>
      </c>
      <c r="J172" s="21" t="str">
        <f aca="false">IFERROR(INDEX(종합!J$3:J$501,MATCH(ROW()-2,종합!$AE$3:$AE$501,0))&amp;"","")</f>
        <v/>
      </c>
      <c r="K172" s="21" t="str">
        <f aca="false">IFERROR(INDEX(종합!K$3:K$501,MATCH(ROW()-2,종합!$AE$3:$AE$501,0))&amp;"","")</f>
        <v/>
      </c>
      <c r="L172" s="21" t="str">
        <f aca="false">IFERROR(INDEX(종합!L$3:L$501,MATCH(ROW()-2,종합!$AE$3:$AE$501,0))&amp;"","")</f>
        <v/>
      </c>
      <c r="M172" s="21" t="str">
        <f aca="false">IFERROR(INDEX(종합!M$3:M$501,MATCH(ROW()-2,종합!$AE$3:$AE$501,0))&amp;"","")</f>
        <v/>
      </c>
      <c r="N172" s="25" t="str">
        <f aca="false">IFERROR(INDEX(종합!N$3:N$501,MATCH(ROW()-2,종합!$AE$3:$AE$501,0))&amp;"","")</f>
        <v/>
      </c>
      <c r="O172" s="21" t="str">
        <f aca="false">IFERROR(INDEX(종합!O$3:O$501,MATCH(ROW()-2,종합!$AE$3:$AE$501,0))&amp;"","")</f>
        <v/>
      </c>
      <c r="P172" s="21" t="str">
        <f aca="false">IFERROR(INDEX(종합!P$3:P$501,MATCH(ROW()-2,종합!$AE$3:$AE$501,0))&amp;"","")</f>
        <v/>
      </c>
      <c r="Q172" s="21" t="str">
        <f aca="false">IFERROR(INDEX(종합!Q$3:Q$501,MATCH(ROW()-2,종합!$AE$3:$AE$501,0))&amp;"","")</f>
        <v/>
      </c>
      <c r="R172" s="21" t="str">
        <f aca="false">IFERROR(INDEX(종합!R$3:R$501,MATCH(ROW()-2,종합!$AE$3:$AE$501,0))&amp;"","")</f>
        <v/>
      </c>
      <c r="S172" s="21" t="str">
        <f aca="false">IFERROR(INDEX(종합!S$3:S$501,MATCH(ROW()-2,종합!$AE$3:$AE$501,0))&amp;"","")</f>
        <v/>
      </c>
      <c r="T172" s="21" t="str">
        <f aca="false">IFERROR(INDEX(종합!T$3:T$501,MATCH(ROW()-2,종합!$AE$3:$AE$501,0))&amp;"","")</f>
        <v/>
      </c>
      <c r="U172" s="21" t="str">
        <f aca="false">IFERROR(INDEX(종합!U$3:U$501,MATCH(ROW()-2,종합!$AE$3:$AE$501,0))&amp;"","")</f>
        <v/>
      </c>
      <c r="V172" s="21" t="str">
        <f aca="false">IFERROR(INDEX(종합!V$3:V$501,MATCH(ROW()-2,종합!$AE$3:$AE$501,0))&amp;"","")</f>
        <v/>
      </c>
      <c r="W172" s="21" t="str">
        <f aca="false">IFERROR(INDEX(종합!W$3:W$501,MATCH(ROW()-2,종합!$AE$3:$AE$501,0))&amp;"","")</f>
        <v/>
      </c>
      <c r="X172" s="21" t="str">
        <f aca="false">IFERROR(INDEX(종합!X$3:X$501,MATCH(ROW()-2,종합!$AE$3:$AE$501,0))&amp;"","")</f>
        <v/>
      </c>
      <c r="Y172" s="21" t="str">
        <f aca="false">IFERROR(INDEX(종합!Y$3:Y$501,MATCH(ROW()-2,종합!$AE$3:$AE$501,0))&amp;"","")</f>
        <v/>
      </c>
      <c r="Z172" s="21" t="str">
        <f aca="false">IFERROR(INDEX(종합!Z$3:Z$501,MATCH(ROW()-2,종합!$AE$3:$AE$501,0))&amp;"","")</f>
        <v/>
      </c>
    </row>
    <row r="173" customFormat="false" ht="16.5" hidden="false" customHeight="true" outlineLevel="0" collapsed="false">
      <c r="A173" s="18" t="str">
        <f aca="false">IF(B173="","",ROW()-2)</f>
        <v/>
      </c>
      <c r="B173" s="18" t="str">
        <f aca="false">IFERROR(INDEX(종합!B$3:B$501,MATCH(ROW()-2,종합!$AE$3:$AE$501,0))&amp;"","")</f>
        <v/>
      </c>
      <c r="C173" s="18" t="str">
        <f aca="false">IFERROR(INDEX(종합!C$3:C$501,MATCH(ROW()-2,종합!$AE$3:$AE$501,0))&amp;"","")</f>
        <v/>
      </c>
      <c r="D173" s="18" t="str">
        <f aca="false">IFERROR(INDEX(종합!D$3:D$501,MATCH(ROW()-2,종합!$AE$3:$AE$501,0))&amp;"","")</f>
        <v/>
      </c>
      <c r="E173" s="18" t="str">
        <f aca="false">IFERROR(INDEX(종합!E$3:E$501,MATCH(ROW()-2,종합!$AE$3:$AE$501,0))&amp;"","")</f>
        <v/>
      </c>
      <c r="F173" s="18" t="str">
        <f aca="false">IFERROR(INDEX(종합!F$3:F$501,MATCH(ROW()-2,종합!$AE$3:$AE$501,0))&amp;"","")</f>
        <v/>
      </c>
      <c r="G173" s="18" t="str">
        <f aca="false">IFERROR(INDEX(종합!G$3:G$501,MATCH(ROW()-2,종합!$AE$3:$AE$501,0))&amp;"","")</f>
        <v/>
      </c>
      <c r="H173" s="21" t="str">
        <f aca="false">IFERROR(INDEX(종합!H$3:H$501,MATCH(ROW()-2,종합!$AE$3:$AE$501,0))&amp;"","")</f>
        <v/>
      </c>
      <c r="I173" s="21" t="str">
        <f aca="false">IFERROR(INDEX(종합!I$3:I$501,MATCH(ROW()-2,종합!$AE$3:$AE$501,0))&amp;"","")</f>
        <v/>
      </c>
      <c r="J173" s="21" t="str">
        <f aca="false">IFERROR(INDEX(종합!J$3:J$501,MATCH(ROW()-2,종합!$AE$3:$AE$501,0))&amp;"","")</f>
        <v/>
      </c>
      <c r="K173" s="21" t="str">
        <f aca="false">IFERROR(INDEX(종합!K$3:K$501,MATCH(ROW()-2,종합!$AE$3:$AE$501,0))&amp;"","")</f>
        <v/>
      </c>
      <c r="L173" s="21" t="str">
        <f aca="false">IFERROR(INDEX(종합!L$3:L$501,MATCH(ROW()-2,종합!$AE$3:$AE$501,0))&amp;"","")</f>
        <v/>
      </c>
      <c r="M173" s="21" t="str">
        <f aca="false">IFERROR(INDEX(종합!M$3:M$501,MATCH(ROW()-2,종합!$AE$3:$AE$501,0))&amp;"","")</f>
        <v/>
      </c>
      <c r="N173" s="25" t="str">
        <f aca="false">IFERROR(INDEX(종합!N$3:N$501,MATCH(ROW()-2,종합!$AE$3:$AE$501,0))&amp;"","")</f>
        <v/>
      </c>
      <c r="O173" s="21" t="str">
        <f aca="false">IFERROR(INDEX(종합!O$3:O$501,MATCH(ROW()-2,종합!$AE$3:$AE$501,0))&amp;"","")</f>
        <v/>
      </c>
      <c r="P173" s="21" t="str">
        <f aca="false">IFERROR(INDEX(종합!P$3:P$501,MATCH(ROW()-2,종합!$AE$3:$AE$501,0))&amp;"","")</f>
        <v/>
      </c>
      <c r="Q173" s="21" t="str">
        <f aca="false">IFERROR(INDEX(종합!Q$3:Q$501,MATCH(ROW()-2,종합!$AE$3:$AE$501,0))&amp;"","")</f>
        <v/>
      </c>
      <c r="R173" s="21" t="str">
        <f aca="false">IFERROR(INDEX(종합!R$3:R$501,MATCH(ROW()-2,종합!$AE$3:$AE$501,0))&amp;"","")</f>
        <v/>
      </c>
      <c r="S173" s="21" t="str">
        <f aca="false">IFERROR(INDEX(종합!S$3:S$501,MATCH(ROW()-2,종합!$AE$3:$AE$501,0))&amp;"","")</f>
        <v/>
      </c>
      <c r="T173" s="21" t="str">
        <f aca="false">IFERROR(INDEX(종합!T$3:T$501,MATCH(ROW()-2,종합!$AE$3:$AE$501,0))&amp;"","")</f>
        <v/>
      </c>
      <c r="U173" s="21" t="str">
        <f aca="false">IFERROR(INDEX(종합!U$3:U$501,MATCH(ROW()-2,종합!$AE$3:$AE$501,0))&amp;"","")</f>
        <v/>
      </c>
      <c r="V173" s="21" t="str">
        <f aca="false">IFERROR(INDEX(종합!V$3:V$501,MATCH(ROW()-2,종합!$AE$3:$AE$501,0))&amp;"","")</f>
        <v/>
      </c>
      <c r="W173" s="21" t="str">
        <f aca="false">IFERROR(INDEX(종합!W$3:W$501,MATCH(ROW()-2,종합!$AE$3:$AE$501,0))&amp;"","")</f>
        <v/>
      </c>
      <c r="X173" s="21" t="str">
        <f aca="false">IFERROR(INDEX(종합!X$3:X$501,MATCH(ROW()-2,종합!$AE$3:$AE$501,0))&amp;"","")</f>
        <v/>
      </c>
      <c r="Y173" s="21" t="str">
        <f aca="false">IFERROR(INDEX(종합!Y$3:Y$501,MATCH(ROW()-2,종합!$AE$3:$AE$501,0))&amp;"","")</f>
        <v/>
      </c>
      <c r="Z173" s="21" t="str">
        <f aca="false">IFERROR(INDEX(종합!Z$3:Z$501,MATCH(ROW()-2,종합!$AE$3:$AE$501,0))&amp;"","")</f>
        <v/>
      </c>
    </row>
    <row r="174" customFormat="false" ht="16.5" hidden="false" customHeight="true" outlineLevel="0" collapsed="false">
      <c r="A174" s="18" t="str">
        <f aca="false">IF(B174="","",ROW()-2)</f>
        <v/>
      </c>
      <c r="B174" s="18" t="str">
        <f aca="false">IFERROR(INDEX(종합!B$3:B$501,MATCH(ROW()-2,종합!$AE$3:$AE$501,0))&amp;"","")</f>
        <v/>
      </c>
      <c r="C174" s="18" t="str">
        <f aca="false">IFERROR(INDEX(종합!C$3:C$501,MATCH(ROW()-2,종합!$AE$3:$AE$501,0))&amp;"","")</f>
        <v/>
      </c>
      <c r="D174" s="18" t="str">
        <f aca="false">IFERROR(INDEX(종합!D$3:D$501,MATCH(ROW()-2,종합!$AE$3:$AE$501,0))&amp;"","")</f>
        <v/>
      </c>
      <c r="E174" s="18" t="str">
        <f aca="false">IFERROR(INDEX(종합!E$3:E$501,MATCH(ROW()-2,종합!$AE$3:$AE$501,0))&amp;"","")</f>
        <v/>
      </c>
      <c r="F174" s="18" t="str">
        <f aca="false">IFERROR(INDEX(종합!F$3:F$501,MATCH(ROW()-2,종합!$AE$3:$AE$501,0))&amp;"","")</f>
        <v/>
      </c>
      <c r="G174" s="18" t="str">
        <f aca="false">IFERROR(INDEX(종합!G$3:G$501,MATCH(ROW()-2,종합!$AE$3:$AE$501,0))&amp;"","")</f>
        <v/>
      </c>
      <c r="H174" s="21" t="str">
        <f aca="false">IFERROR(INDEX(종합!H$3:H$501,MATCH(ROW()-2,종합!$AE$3:$AE$501,0))&amp;"","")</f>
        <v/>
      </c>
      <c r="I174" s="21" t="str">
        <f aca="false">IFERROR(INDEX(종합!I$3:I$501,MATCH(ROW()-2,종합!$AE$3:$AE$501,0))&amp;"","")</f>
        <v/>
      </c>
      <c r="J174" s="21" t="str">
        <f aca="false">IFERROR(INDEX(종합!J$3:J$501,MATCH(ROW()-2,종합!$AE$3:$AE$501,0))&amp;"","")</f>
        <v/>
      </c>
      <c r="K174" s="21" t="str">
        <f aca="false">IFERROR(INDEX(종합!K$3:K$501,MATCH(ROW()-2,종합!$AE$3:$AE$501,0))&amp;"","")</f>
        <v/>
      </c>
      <c r="L174" s="21" t="str">
        <f aca="false">IFERROR(INDEX(종합!L$3:L$501,MATCH(ROW()-2,종합!$AE$3:$AE$501,0))&amp;"","")</f>
        <v/>
      </c>
      <c r="M174" s="21" t="str">
        <f aca="false">IFERROR(INDEX(종합!M$3:M$501,MATCH(ROW()-2,종합!$AE$3:$AE$501,0))&amp;"","")</f>
        <v/>
      </c>
      <c r="N174" s="25" t="str">
        <f aca="false">IFERROR(INDEX(종합!N$3:N$501,MATCH(ROW()-2,종합!$AE$3:$AE$501,0))&amp;"","")</f>
        <v/>
      </c>
      <c r="O174" s="21" t="str">
        <f aca="false">IFERROR(INDEX(종합!O$3:O$501,MATCH(ROW()-2,종합!$AE$3:$AE$501,0))&amp;"","")</f>
        <v/>
      </c>
      <c r="P174" s="21" t="str">
        <f aca="false">IFERROR(INDEX(종합!P$3:P$501,MATCH(ROW()-2,종합!$AE$3:$AE$501,0))&amp;"","")</f>
        <v/>
      </c>
      <c r="Q174" s="21" t="str">
        <f aca="false">IFERROR(INDEX(종합!Q$3:Q$501,MATCH(ROW()-2,종합!$AE$3:$AE$501,0))&amp;"","")</f>
        <v/>
      </c>
      <c r="R174" s="21" t="str">
        <f aca="false">IFERROR(INDEX(종합!R$3:R$501,MATCH(ROW()-2,종합!$AE$3:$AE$501,0))&amp;"","")</f>
        <v/>
      </c>
      <c r="S174" s="21" t="str">
        <f aca="false">IFERROR(INDEX(종합!S$3:S$501,MATCH(ROW()-2,종합!$AE$3:$AE$501,0))&amp;"","")</f>
        <v/>
      </c>
      <c r="T174" s="21" t="str">
        <f aca="false">IFERROR(INDEX(종합!T$3:T$501,MATCH(ROW()-2,종합!$AE$3:$AE$501,0))&amp;"","")</f>
        <v/>
      </c>
      <c r="U174" s="21" t="str">
        <f aca="false">IFERROR(INDEX(종합!U$3:U$501,MATCH(ROW()-2,종합!$AE$3:$AE$501,0))&amp;"","")</f>
        <v/>
      </c>
      <c r="V174" s="21" t="str">
        <f aca="false">IFERROR(INDEX(종합!V$3:V$501,MATCH(ROW()-2,종합!$AE$3:$AE$501,0))&amp;"","")</f>
        <v/>
      </c>
      <c r="W174" s="21" t="str">
        <f aca="false">IFERROR(INDEX(종합!W$3:W$501,MATCH(ROW()-2,종합!$AE$3:$AE$501,0))&amp;"","")</f>
        <v/>
      </c>
      <c r="X174" s="21" t="str">
        <f aca="false">IFERROR(INDEX(종합!X$3:X$501,MATCH(ROW()-2,종합!$AE$3:$AE$501,0))&amp;"","")</f>
        <v/>
      </c>
      <c r="Y174" s="21" t="str">
        <f aca="false">IFERROR(INDEX(종합!Y$3:Y$501,MATCH(ROW()-2,종합!$AE$3:$AE$501,0))&amp;"","")</f>
        <v/>
      </c>
      <c r="Z174" s="21" t="str">
        <f aca="false">IFERROR(INDEX(종합!Z$3:Z$501,MATCH(ROW()-2,종합!$AE$3:$AE$501,0))&amp;"","")</f>
        <v/>
      </c>
    </row>
    <row r="175" customFormat="false" ht="16.5" hidden="false" customHeight="true" outlineLevel="0" collapsed="false">
      <c r="A175" s="18" t="str">
        <f aca="false">IF(B175="","",ROW()-2)</f>
        <v/>
      </c>
      <c r="B175" s="18" t="str">
        <f aca="false">IFERROR(INDEX(종합!B$3:B$501,MATCH(ROW()-2,종합!$AE$3:$AE$501,0))&amp;"","")</f>
        <v/>
      </c>
      <c r="C175" s="18" t="str">
        <f aca="false">IFERROR(INDEX(종합!C$3:C$501,MATCH(ROW()-2,종합!$AE$3:$AE$501,0))&amp;"","")</f>
        <v/>
      </c>
      <c r="D175" s="18" t="str">
        <f aca="false">IFERROR(INDEX(종합!D$3:D$501,MATCH(ROW()-2,종합!$AE$3:$AE$501,0))&amp;"","")</f>
        <v/>
      </c>
      <c r="E175" s="18" t="str">
        <f aca="false">IFERROR(INDEX(종합!E$3:E$501,MATCH(ROW()-2,종합!$AE$3:$AE$501,0))&amp;"","")</f>
        <v/>
      </c>
      <c r="F175" s="18" t="str">
        <f aca="false">IFERROR(INDEX(종합!F$3:F$501,MATCH(ROW()-2,종합!$AE$3:$AE$501,0))&amp;"","")</f>
        <v/>
      </c>
      <c r="G175" s="18" t="str">
        <f aca="false">IFERROR(INDEX(종합!G$3:G$501,MATCH(ROW()-2,종합!$AE$3:$AE$501,0))&amp;"","")</f>
        <v/>
      </c>
      <c r="H175" s="21" t="str">
        <f aca="false">IFERROR(INDEX(종합!H$3:H$501,MATCH(ROW()-2,종합!$AE$3:$AE$501,0))&amp;"","")</f>
        <v/>
      </c>
      <c r="I175" s="21" t="str">
        <f aca="false">IFERROR(INDEX(종합!I$3:I$501,MATCH(ROW()-2,종합!$AE$3:$AE$501,0))&amp;"","")</f>
        <v/>
      </c>
      <c r="J175" s="21" t="str">
        <f aca="false">IFERROR(INDEX(종합!J$3:J$501,MATCH(ROW()-2,종합!$AE$3:$AE$501,0))&amp;"","")</f>
        <v/>
      </c>
      <c r="K175" s="21" t="str">
        <f aca="false">IFERROR(INDEX(종합!K$3:K$501,MATCH(ROW()-2,종합!$AE$3:$AE$501,0))&amp;"","")</f>
        <v/>
      </c>
      <c r="L175" s="21" t="str">
        <f aca="false">IFERROR(INDEX(종합!L$3:L$501,MATCH(ROW()-2,종합!$AE$3:$AE$501,0))&amp;"","")</f>
        <v/>
      </c>
      <c r="M175" s="21" t="str">
        <f aca="false">IFERROR(INDEX(종합!M$3:M$501,MATCH(ROW()-2,종합!$AE$3:$AE$501,0))&amp;"","")</f>
        <v/>
      </c>
      <c r="N175" s="25" t="str">
        <f aca="false">IFERROR(INDEX(종합!N$3:N$501,MATCH(ROW()-2,종합!$AE$3:$AE$501,0))&amp;"","")</f>
        <v/>
      </c>
      <c r="O175" s="21" t="str">
        <f aca="false">IFERROR(INDEX(종합!O$3:O$501,MATCH(ROW()-2,종합!$AE$3:$AE$501,0))&amp;"","")</f>
        <v/>
      </c>
      <c r="P175" s="21" t="str">
        <f aca="false">IFERROR(INDEX(종합!P$3:P$501,MATCH(ROW()-2,종합!$AE$3:$AE$501,0))&amp;"","")</f>
        <v/>
      </c>
      <c r="Q175" s="21" t="str">
        <f aca="false">IFERROR(INDEX(종합!Q$3:Q$501,MATCH(ROW()-2,종합!$AE$3:$AE$501,0))&amp;"","")</f>
        <v/>
      </c>
      <c r="R175" s="21" t="str">
        <f aca="false">IFERROR(INDEX(종합!R$3:R$501,MATCH(ROW()-2,종합!$AE$3:$AE$501,0))&amp;"","")</f>
        <v/>
      </c>
      <c r="S175" s="21" t="str">
        <f aca="false">IFERROR(INDEX(종합!S$3:S$501,MATCH(ROW()-2,종합!$AE$3:$AE$501,0))&amp;"","")</f>
        <v/>
      </c>
      <c r="T175" s="21" t="str">
        <f aca="false">IFERROR(INDEX(종합!T$3:T$501,MATCH(ROW()-2,종합!$AE$3:$AE$501,0))&amp;"","")</f>
        <v/>
      </c>
      <c r="U175" s="21" t="str">
        <f aca="false">IFERROR(INDEX(종합!U$3:U$501,MATCH(ROW()-2,종합!$AE$3:$AE$501,0))&amp;"","")</f>
        <v/>
      </c>
      <c r="V175" s="21" t="str">
        <f aca="false">IFERROR(INDEX(종합!V$3:V$501,MATCH(ROW()-2,종합!$AE$3:$AE$501,0))&amp;"","")</f>
        <v/>
      </c>
      <c r="W175" s="21" t="str">
        <f aca="false">IFERROR(INDEX(종합!W$3:W$501,MATCH(ROW()-2,종합!$AE$3:$AE$501,0))&amp;"","")</f>
        <v/>
      </c>
      <c r="X175" s="21" t="str">
        <f aca="false">IFERROR(INDEX(종합!X$3:X$501,MATCH(ROW()-2,종합!$AE$3:$AE$501,0))&amp;"","")</f>
        <v/>
      </c>
      <c r="Y175" s="21" t="str">
        <f aca="false">IFERROR(INDEX(종합!Y$3:Y$501,MATCH(ROW()-2,종합!$AE$3:$AE$501,0))&amp;"","")</f>
        <v/>
      </c>
      <c r="Z175" s="21" t="str">
        <f aca="false">IFERROR(INDEX(종합!Z$3:Z$501,MATCH(ROW()-2,종합!$AE$3:$AE$501,0))&amp;"","")</f>
        <v/>
      </c>
    </row>
    <row r="176" customFormat="false" ht="16.5" hidden="false" customHeight="true" outlineLevel="0" collapsed="false">
      <c r="A176" s="18" t="str">
        <f aca="false">IF(B176="","",ROW()-2)</f>
        <v/>
      </c>
      <c r="B176" s="18" t="str">
        <f aca="false">IFERROR(INDEX(종합!B$3:B$501,MATCH(ROW()-2,종합!$AE$3:$AE$501,0))&amp;"","")</f>
        <v/>
      </c>
      <c r="C176" s="18" t="str">
        <f aca="false">IFERROR(INDEX(종합!C$3:C$501,MATCH(ROW()-2,종합!$AE$3:$AE$501,0))&amp;"","")</f>
        <v/>
      </c>
      <c r="D176" s="18" t="str">
        <f aca="false">IFERROR(INDEX(종합!D$3:D$501,MATCH(ROW()-2,종합!$AE$3:$AE$501,0))&amp;"","")</f>
        <v/>
      </c>
      <c r="E176" s="18" t="str">
        <f aca="false">IFERROR(INDEX(종합!E$3:E$501,MATCH(ROW()-2,종합!$AE$3:$AE$501,0))&amp;"","")</f>
        <v/>
      </c>
      <c r="F176" s="18" t="str">
        <f aca="false">IFERROR(INDEX(종합!F$3:F$501,MATCH(ROW()-2,종합!$AE$3:$AE$501,0))&amp;"","")</f>
        <v/>
      </c>
      <c r="G176" s="18" t="str">
        <f aca="false">IFERROR(INDEX(종합!G$3:G$501,MATCH(ROW()-2,종합!$AE$3:$AE$501,0))&amp;"","")</f>
        <v/>
      </c>
      <c r="H176" s="21" t="str">
        <f aca="false">IFERROR(INDEX(종합!H$3:H$501,MATCH(ROW()-2,종합!$AE$3:$AE$501,0))&amp;"","")</f>
        <v/>
      </c>
      <c r="I176" s="21" t="str">
        <f aca="false">IFERROR(INDEX(종합!I$3:I$501,MATCH(ROW()-2,종합!$AE$3:$AE$501,0))&amp;"","")</f>
        <v/>
      </c>
      <c r="J176" s="21" t="str">
        <f aca="false">IFERROR(INDEX(종합!J$3:J$501,MATCH(ROW()-2,종합!$AE$3:$AE$501,0))&amp;"","")</f>
        <v/>
      </c>
      <c r="K176" s="21" t="str">
        <f aca="false">IFERROR(INDEX(종합!K$3:K$501,MATCH(ROW()-2,종합!$AE$3:$AE$501,0))&amp;"","")</f>
        <v/>
      </c>
      <c r="L176" s="21" t="str">
        <f aca="false">IFERROR(INDEX(종합!L$3:L$501,MATCH(ROW()-2,종합!$AE$3:$AE$501,0))&amp;"","")</f>
        <v/>
      </c>
      <c r="M176" s="21" t="str">
        <f aca="false">IFERROR(INDEX(종합!M$3:M$501,MATCH(ROW()-2,종합!$AE$3:$AE$501,0))&amp;"","")</f>
        <v/>
      </c>
      <c r="N176" s="25" t="str">
        <f aca="false">IFERROR(INDEX(종합!N$3:N$501,MATCH(ROW()-2,종합!$AE$3:$AE$501,0))&amp;"","")</f>
        <v/>
      </c>
      <c r="O176" s="21" t="str">
        <f aca="false">IFERROR(INDEX(종합!O$3:O$501,MATCH(ROW()-2,종합!$AE$3:$AE$501,0))&amp;"","")</f>
        <v/>
      </c>
      <c r="P176" s="21" t="str">
        <f aca="false">IFERROR(INDEX(종합!P$3:P$501,MATCH(ROW()-2,종합!$AE$3:$AE$501,0))&amp;"","")</f>
        <v/>
      </c>
      <c r="Q176" s="21" t="str">
        <f aca="false">IFERROR(INDEX(종합!Q$3:Q$501,MATCH(ROW()-2,종합!$AE$3:$AE$501,0))&amp;"","")</f>
        <v/>
      </c>
      <c r="R176" s="21" t="str">
        <f aca="false">IFERROR(INDEX(종합!R$3:R$501,MATCH(ROW()-2,종합!$AE$3:$AE$501,0))&amp;"","")</f>
        <v/>
      </c>
      <c r="S176" s="21" t="str">
        <f aca="false">IFERROR(INDEX(종합!S$3:S$501,MATCH(ROW()-2,종합!$AE$3:$AE$501,0))&amp;"","")</f>
        <v/>
      </c>
      <c r="T176" s="21" t="str">
        <f aca="false">IFERROR(INDEX(종합!T$3:T$501,MATCH(ROW()-2,종합!$AE$3:$AE$501,0))&amp;"","")</f>
        <v/>
      </c>
      <c r="U176" s="21" t="str">
        <f aca="false">IFERROR(INDEX(종합!U$3:U$501,MATCH(ROW()-2,종합!$AE$3:$AE$501,0))&amp;"","")</f>
        <v/>
      </c>
      <c r="V176" s="21" t="str">
        <f aca="false">IFERROR(INDEX(종합!V$3:V$501,MATCH(ROW()-2,종합!$AE$3:$AE$501,0))&amp;"","")</f>
        <v/>
      </c>
      <c r="W176" s="21" t="str">
        <f aca="false">IFERROR(INDEX(종합!W$3:W$501,MATCH(ROW()-2,종합!$AE$3:$AE$501,0))&amp;"","")</f>
        <v/>
      </c>
      <c r="X176" s="21" t="str">
        <f aca="false">IFERROR(INDEX(종합!X$3:X$501,MATCH(ROW()-2,종합!$AE$3:$AE$501,0))&amp;"","")</f>
        <v/>
      </c>
      <c r="Y176" s="21" t="str">
        <f aca="false">IFERROR(INDEX(종합!Y$3:Y$501,MATCH(ROW()-2,종합!$AE$3:$AE$501,0))&amp;"","")</f>
        <v/>
      </c>
      <c r="Z176" s="21" t="str">
        <f aca="false">IFERROR(INDEX(종합!Z$3:Z$501,MATCH(ROW()-2,종합!$AE$3:$AE$501,0))&amp;"","")</f>
        <v/>
      </c>
    </row>
    <row r="177" customFormat="false" ht="16.5" hidden="false" customHeight="true" outlineLevel="0" collapsed="false">
      <c r="A177" s="18" t="str">
        <f aca="false">IF(B177="","",ROW()-2)</f>
        <v/>
      </c>
      <c r="B177" s="18" t="str">
        <f aca="false">IFERROR(INDEX(종합!B$3:B$501,MATCH(ROW()-2,종합!$AE$3:$AE$501,0))&amp;"","")</f>
        <v/>
      </c>
      <c r="C177" s="18" t="str">
        <f aca="false">IFERROR(INDEX(종합!C$3:C$501,MATCH(ROW()-2,종합!$AE$3:$AE$501,0))&amp;"","")</f>
        <v/>
      </c>
      <c r="D177" s="18" t="str">
        <f aca="false">IFERROR(INDEX(종합!D$3:D$501,MATCH(ROW()-2,종합!$AE$3:$AE$501,0))&amp;"","")</f>
        <v/>
      </c>
      <c r="E177" s="18" t="str">
        <f aca="false">IFERROR(INDEX(종합!E$3:E$501,MATCH(ROW()-2,종합!$AE$3:$AE$501,0))&amp;"","")</f>
        <v/>
      </c>
      <c r="F177" s="18" t="str">
        <f aca="false">IFERROR(INDEX(종합!F$3:F$501,MATCH(ROW()-2,종합!$AE$3:$AE$501,0))&amp;"","")</f>
        <v/>
      </c>
      <c r="G177" s="18" t="str">
        <f aca="false">IFERROR(INDEX(종합!G$3:G$501,MATCH(ROW()-2,종합!$AE$3:$AE$501,0))&amp;"","")</f>
        <v/>
      </c>
      <c r="H177" s="21" t="str">
        <f aca="false">IFERROR(INDEX(종합!H$3:H$501,MATCH(ROW()-2,종합!$AE$3:$AE$501,0))&amp;"","")</f>
        <v/>
      </c>
      <c r="I177" s="21" t="str">
        <f aca="false">IFERROR(INDEX(종합!I$3:I$501,MATCH(ROW()-2,종합!$AE$3:$AE$501,0))&amp;"","")</f>
        <v/>
      </c>
      <c r="J177" s="21" t="str">
        <f aca="false">IFERROR(INDEX(종합!J$3:J$501,MATCH(ROW()-2,종합!$AE$3:$AE$501,0))&amp;"","")</f>
        <v/>
      </c>
      <c r="K177" s="21" t="str">
        <f aca="false">IFERROR(INDEX(종합!K$3:K$501,MATCH(ROW()-2,종합!$AE$3:$AE$501,0))&amp;"","")</f>
        <v/>
      </c>
      <c r="L177" s="21" t="str">
        <f aca="false">IFERROR(INDEX(종합!L$3:L$501,MATCH(ROW()-2,종합!$AE$3:$AE$501,0))&amp;"","")</f>
        <v/>
      </c>
      <c r="M177" s="21" t="str">
        <f aca="false">IFERROR(INDEX(종합!M$3:M$501,MATCH(ROW()-2,종합!$AE$3:$AE$501,0))&amp;"","")</f>
        <v/>
      </c>
      <c r="N177" s="25" t="str">
        <f aca="false">IFERROR(INDEX(종합!N$3:N$501,MATCH(ROW()-2,종합!$AE$3:$AE$501,0))&amp;"","")</f>
        <v/>
      </c>
      <c r="O177" s="21" t="str">
        <f aca="false">IFERROR(INDEX(종합!O$3:O$501,MATCH(ROW()-2,종합!$AE$3:$AE$501,0))&amp;"","")</f>
        <v/>
      </c>
      <c r="P177" s="21" t="str">
        <f aca="false">IFERROR(INDEX(종합!P$3:P$501,MATCH(ROW()-2,종합!$AE$3:$AE$501,0))&amp;"","")</f>
        <v/>
      </c>
      <c r="Q177" s="21" t="str">
        <f aca="false">IFERROR(INDEX(종합!Q$3:Q$501,MATCH(ROW()-2,종합!$AE$3:$AE$501,0))&amp;"","")</f>
        <v/>
      </c>
      <c r="R177" s="21" t="str">
        <f aca="false">IFERROR(INDEX(종합!R$3:R$501,MATCH(ROW()-2,종합!$AE$3:$AE$501,0))&amp;"","")</f>
        <v/>
      </c>
      <c r="S177" s="21" t="str">
        <f aca="false">IFERROR(INDEX(종합!S$3:S$501,MATCH(ROW()-2,종합!$AE$3:$AE$501,0))&amp;"","")</f>
        <v/>
      </c>
      <c r="T177" s="21" t="str">
        <f aca="false">IFERROR(INDEX(종합!T$3:T$501,MATCH(ROW()-2,종합!$AE$3:$AE$501,0))&amp;"","")</f>
        <v/>
      </c>
      <c r="U177" s="21" t="str">
        <f aca="false">IFERROR(INDEX(종합!U$3:U$501,MATCH(ROW()-2,종합!$AE$3:$AE$501,0))&amp;"","")</f>
        <v/>
      </c>
      <c r="V177" s="21" t="str">
        <f aca="false">IFERROR(INDEX(종합!V$3:V$501,MATCH(ROW()-2,종합!$AE$3:$AE$501,0))&amp;"","")</f>
        <v/>
      </c>
      <c r="W177" s="21" t="str">
        <f aca="false">IFERROR(INDEX(종합!W$3:W$501,MATCH(ROW()-2,종합!$AE$3:$AE$501,0))&amp;"","")</f>
        <v/>
      </c>
      <c r="X177" s="21" t="str">
        <f aca="false">IFERROR(INDEX(종합!X$3:X$501,MATCH(ROW()-2,종합!$AE$3:$AE$501,0))&amp;"","")</f>
        <v/>
      </c>
      <c r="Y177" s="21" t="str">
        <f aca="false">IFERROR(INDEX(종합!Y$3:Y$501,MATCH(ROW()-2,종합!$AE$3:$AE$501,0))&amp;"","")</f>
        <v/>
      </c>
      <c r="Z177" s="21" t="str">
        <f aca="false">IFERROR(INDEX(종합!Z$3:Z$501,MATCH(ROW()-2,종합!$AE$3:$AE$501,0))&amp;"","")</f>
        <v/>
      </c>
    </row>
    <row r="178" customFormat="false" ht="16.5" hidden="false" customHeight="true" outlineLevel="0" collapsed="false">
      <c r="A178" s="18" t="str">
        <f aca="false">IF(B178="","",ROW()-2)</f>
        <v/>
      </c>
      <c r="B178" s="18" t="str">
        <f aca="false">IFERROR(INDEX(종합!B$3:B$501,MATCH(ROW()-2,종합!$AE$3:$AE$501,0))&amp;"","")</f>
        <v/>
      </c>
      <c r="C178" s="18" t="str">
        <f aca="false">IFERROR(INDEX(종합!C$3:C$501,MATCH(ROW()-2,종합!$AE$3:$AE$501,0))&amp;"","")</f>
        <v/>
      </c>
      <c r="D178" s="18" t="str">
        <f aca="false">IFERROR(INDEX(종합!D$3:D$501,MATCH(ROW()-2,종합!$AE$3:$AE$501,0))&amp;"","")</f>
        <v/>
      </c>
      <c r="E178" s="18" t="str">
        <f aca="false">IFERROR(INDEX(종합!E$3:E$501,MATCH(ROW()-2,종합!$AE$3:$AE$501,0))&amp;"","")</f>
        <v/>
      </c>
      <c r="F178" s="18" t="str">
        <f aca="false">IFERROR(INDEX(종합!F$3:F$501,MATCH(ROW()-2,종합!$AE$3:$AE$501,0))&amp;"","")</f>
        <v/>
      </c>
      <c r="G178" s="18" t="str">
        <f aca="false">IFERROR(INDEX(종합!G$3:G$501,MATCH(ROW()-2,종합!$AE$3:$AE$501,0))&amp;"","")</f>
        <v/>
      </c>
      <c r="H178" s="21" t="str">
        <f aca="false">IFERROR(INDEX(종합!H$3:H$501,MATCH(ROW()-2,종합!$AE$3:$AE$501,0))&amp;"","")</f>
        <v/>
      </c>
      <c r="I178" s="21" t="str">
        <f aca="false">IFERROR(INDEX(종합!I$3:I$501,MATCH(ROW()-2,종합!$AE$3:$AE$501,0))&amp;"","")</f>
        <v/>
      </c>
      <c r="J178" s="21" t="str">
        <f aca="false">IFERROR(INDEX(종합!J$3:J$501,MATCH(ROW()-2,종합!$AE$3:$AE$501,0))&amp;"","")</f>
        <v/>
      </c>
      <c r="K178" s="21" t="str">
        <f aca="false">IFERROR(INDEX(종합!K$3:K$501,MATCH(ROW()-2,종합!$AE$3:$AE$501,0))&amp;"","")</f>
        <v/>
      </c>
      <c r="L178" s="21" t="str">
        <f aca="false">IFERROR(INDEX(종합!L$3:L$501,MATCH(ROW()-2,종합!$AE$3:$AE$501,0))&amp;"","")</f>
        <v/>
      </c>
      <c r="M178" s="21" t="str">
        <f aca="false">IFERROR(INDEX(종합!M$3:M$501,MATCH(ROW()-2,종합!$AE$3:$AE$501,0))&amp;"","")</f>
        <v/>
      </c>
      <c r="N178" s="25" t="str">
        <f aca="false">IFERROR(INDEX(종합!N$3:N$501,MATCH(ROW()-2,종합!$AE$3:$AE$501,0))&amp;"","")</f>
        <v/>
      </c>
      <c r="O178" s="21" t="str">
        <f aca="false">IFERROR(INDEX(종합!O$3:O$501,MATCH(ROW()-2,종합!$AE$3:$AE$501,0))&amp;"","")</f>
        <v/>
      </c>
      <c r="P178" s="21" t="str">
        <f aca="false">IFERROR(INDEX(종합!P$3:P$501,MATCH(ROW()-2,종합!$AE$3:$AE$501,0))&amp;"","")</f>
        <v/>
      </c>
      <c r="Q178" s="21" t="str">
        <f aca="false">IFERROR(INDEX(종합!Q$3:Q$501,MATCH(ROW()-2,종합!$AE$3:$AE$501,0))&amp;"","")</f>
        <v/>
      </c>
      <c r="R178" s="21" t="str">
        <f aca="false">IFERROR(INDEX(종합!R$3:R$501,MATCH(ROW()-2,종합!$AE$3:$AE$501,0))&amp;"","")</f>
        <v/>
      </c>
      <c r="S178" s="21" t="str">
        <f aca="false">IFERROR(INDEX(종합!S$3:S$501,MATCH(ROW()-2,종합!$AE$3:$AE$501,0))&amp;"","")</f>
        <v/>
      </c>
      <c r="T178" s="21" t="str">
        <f aca="false">IFERROR(INDEX(종합!T$3:T$501,MATCH(ROW()-2,종합!$AE$3:$AE$501,0))&amp;"","")</f>
        <v/>
      </c>
      <c r="U178" s="21" t="str">
        <f aca="false">IFERROR(INDEX(종합!U$3:U$501,MATCH(ROW()-2,종합!$AE$3:$AE$501,0))&amp;"","")</f>
        <v/>
      </c>
      <c r="V178" s="21" t="str">
        <f aca="false">IFERROR(INDEX(종합!V$3:V$501,MATCH(ROW()-2,종합!$AE$3:$AE$501,0))&amp;"","")</f>
        <v/>
      </c>
      <c r="W178" s="21" t="str">
        <f aca="false">IFERROR(INDEX(종합!W$3:W$501,MATCH(ROW()-2,종합!$AE$3:$AE$501,0))&amp;"","")</f>
        <v/>
      </c>
      <c r="X178" s="21" t="str">
        <f aca="false">IFERROR(INDEX(종합!X$3:X$501,MATCH(ROW()-2,종합!$AE$3:$AE$501,0))&amp;"","")</f>
        <v/>
      </c>
      <c r="Y178" s="21" t="str">
        <f aca="false">IFERROR(INDEX(종합!Y$3:Y$501,MATCH(ROW()-2,종합!$AE$3:$AE$501,0))&amp;"","")</f>
        <v/>
      </c>
      <c r="Z178" s="21" t="str">
        <f aca="false">IFERROR(INDEX(종합!Z$3:Z$501,MATCH(ROW()-2,종합!$AE$3:$AE$501,0))&amp;"","")</f>
        <v/>
      </c>
    </row>
    <row r="179" customFormat="false" ht="16.5" hidden="false" customHeight="true" outlineLevel="0" collapsed="false">
      <c r="A179" s="18" t="str">
        <f aca="false">IF(B179="","",ROW()-2)</f>
        <v/>
      </c>
      <c r="B179" s="18" t="str">
        <f aca="false">IFERROR(INDEX(종합!B$3:B$501,MATCH(ROW()-2,종합!$AE$3:$AE$501,0))&amp;"","")</f>
        <v/>
      </c>
      <c r="C179" s="18" t="str">
        <f aca="false">IFERROR(INDEX(종합!C$3:C$501,MATCH(ROW()-2,종합!$AE$3:$AE$501,0))&amp;"","")</f>
        <v/>
      </c>
      <c r="D179" s="18" t="str">
        <f aca="false">IFERROR(INDEX(종합!D$3:D$501,MATCH(ROW()-2,종합!$AE$3:$AE$501,0))&amp;"","")</f>
        <v/>
      </c>
      <c r="E179" s="18" t="str">
        <f aca="false">IFERROR(INDEX(종합!E$3:E$501,MATCH(ROW()-2,종합!$AE$3:$AE$501,0))&amp;"","")</f>
        <v/>
      </c>
      <c r="F179" s="18" t="str">
        <f aca="false">IFERROR(INDEX(종합!F$3:F$501,MATCH(ROW()-2,종합!$AE$3:$AE$501,0))&amp;"","")</f>
        <v/>
      </c>
      <c r="G179" s="18" t="str">
        <f aca="false">IFERROR(INDEX(종합!G$3:G$501,MATCH(ROW()-2,종합!$AE$3:$AE$501,0))&amp;"","")</f>
        <v/>
      </c>
      <c r="H179" s="21" t="str">
        <f aca="false">IFERROR(INDEX(종합!H$3:H$501,MATCH(ROW()-2,종합!$AE$3:$AE$501,0))&amp;"","")</f>
        <v/>
      </c>
      <c r="I179" s="21" t="str">
        <f aca="false">IFERROR(INDEX(종합!I$3:I$501,MATCH(ROW()-2,종합!$AE$3:$AE$501,0))&amp;"","")</f>
        <v/>
      </c>
      <c r="J179" s="21" t="str">
        <f aca="false">IFERROR(INDEX(종합!J$3:J$501,MATCH(ROW()-2,종합!$AE$3:$AE$501,0))&amp;"","")</f>
        <v/>
      </c>
      <c r="K179" s="21" t="str">
        <f aca="false">IFERROR(INDEX(종합!K$3:K$501,MATCH(ROW()-2,종합!$AE$3:$AE$501,0))&amp;"","")</f>
        <v/>
      </c>
      <c r="L179" s="21" t="str">
        <f aca="false">IFERROR(INDEX(종합!L$3:L$501,MATCH(ROW()-2,종합!$AE$3:$AE$501,0))&amp;"","")</f>
        <v/>
      </c>
      <c r="M179" s="21" t="str">
        <f aca="false">IFERROR(INDEX(종합!M$3:M$501,MATCH(ROW()-2,종합!$AE$3:$AE$501,0))&amp;"","")</f>
        <v/>
      </c>
      <c r="N179" s="25" t="str">
        <f aca="false">IFERROR(INDEX(종합!N$3:N$501,MATCH(ROW()-2,종합!$AE$3:$AE$501,0))&amp;"","")</f>
        <v/>
      </c>
      <c r="O179" s="21" t="str">
        <f aca="false">IFERROR(INDEX(종합!O$3:O$501,MATCH(ROW()-2,종합!$AE$3:$AE$501,0))&amp;"","")</f>
        <v/>
      </c>
      <c r="P179" s="21" t="str">
        <f aca="false">IFERROR(INDEX(종합!P$3:P$501,MATCH(ROW()-2,종합!$AE$3:$AE$501,0))&amp;"","")</f>
        <v/>
      </c>
      <c r="Q179" s="21" t="str">
        <f aca="false">IFERROR(INDEX(종합!Q$3:Q$501,MATCH(ROW()-2,종합!$AE$3:$AE$501,0))&amp;"","")</f>
        <v/>
      </c>
      <c r="R179" s="21" t="str">
        <f aca="false">IFERROR(INDEX(종합!R$3:R$501,MATCH(ROW()-2,종합!$AE$3:$AE$501,0))&amp;"","")</f>
        <v/>
      </c>
      <c r="S179" s="21" t="str">
        <f aca="false">IFERROR(INDEX(종합!S$3:S$501,MATCH(ROW()-2,종합!$AE$3:$AE$501,0))&amp;"","")</f>
        <v/>
      </c>
      <c r="T179" s="21" t="str">
        <f aca="false">IFERROR(INDEX(종합!T$3:T$501,MATCH(ROW()-2,종합!$AE$3:$AE$501,0))&amp;"","")</f>
        <v/>
      </c>
      <c r="U179" s="21" t="str">
        <f aca="false">IFERROR(INDEX(종합!U$3:U$501,MATCH(ROW()-2,종합!$AE$3:$AE$501,0))&amp;"","")</f>
        <v/>
      </c>
      <c r="V179" s="21" t="str">
        <f aca="false">IFERROR(INDEX(종합!V$3:V$501,MATCH(ROW()-2,종합!$AE$3:$AE$501,0))&amp;"","")</f>
        <v/>
      </c>
      <c r="W179" s="21" t="str">
        <f aca="false">IFERROR(INDEX(종합!W$3:W$501,MATCH(ROW()-2,종합!$AE$3:$AE$501,0))&amp;"","")</f>
        <v/>
      </c>
      <c r="X179" s="21" t="str">
        <f aca="false">IFERROR(INDEX(종합!X$3:X$501,MATCH(ROW()-2,종합!$AE$3:$AE$501,0))&amp;"","")</f>
        <v/>
      </c>
      <c r="Y179" s="21" t="str">
        <f aca="false">IFERROR(INDEX(종합!Y$3:Y$501,MATCH(ROW()-2,종합!$AE$3:$AE$501,0))&amp;"","")</f>
        <v/>
      </c>
      <c r="Z179" s="21" t="str">
        <f aca="false">IFERROR(INDEX(종합!Z$3:Z$501,MATCH(ROW()-2,종합!$AE$3:$AE$501,0))&amp;"","")</f>
        <v/>
      </c>
    </row>
    <row r="180" customFormat="false" ht="16.5" hidden="false" customHeight="true" outlineLevel="0" collapsed="false">
      <c r="A180" s="18" t="str">
        <f aca="false">IF(B180="","",ROW()-2)</f>
        <v/>
      </c>
      <c r="B180" s="18" t="str">
        <f aca="false">IFERROR(INDEX(종합!B$3:B$501,MATCH(ROW()-2,종합!$AE$3:$AE$501,0))&amp;"","")</f>
        <v/>
      </c>
      <c r="C180" s="18" t="str">
        <f aca="false">IFERROR(INDEX(종합!C$3:C$501,MATCH(ROW()-2,종합!$AE$3:$AE$501,0))&amp;"","")</f>
        <v/>
      </c>
      <c r="D180" s="18" t="str">
        <f aca="false">IFERROR(INDEX(종합!D$3:D$501,MATCH(ROW()-2,종합!$AE$3:$AE$501,0))&amp;"","")</f>
        <v/>
      </c>
      <c r="E180" s="18" t="str">
        <f aca="false">IFERROR(INDEX(종합!E$3:E$501,MATCH(ROW()-2,종합!$AE$3:$AE$501,0))&amp;"","")</f>
        <v/>
      </c>
      <c r="F180" s="18" t="str">
        <f aca="false">IFERROR(INDEX(종합!F$3:F$501,MATCH(ROW()-2,종합!$AE$3:$AE$501,0))&amp;"","")</f>
        <v/>
      </c>
      <c r="G180" s="18" t="str">
        <f aca="false">IFERROR(INDEX(종합!G$3:G$501,MATCH(ROW()-2,종합!$AE$3:$AE$501,0))&amp;"","")</f>
        <v/>
      </c>
      <c r="H180" s="21" t="str">
        <f aca="false">IFERROR(INDEX(종합!H$3:H$501,MATCH(ROW()-2,종합!$AE$3:$AE$501,0))&amp;"","")</f>
        <v/>
      </c>
      <c r="I180" s="21" t="str">
        <f aca="false">IFERROR(INDEX(종합!I$3:I$501,MATCH(ROW()-2,종합!$AE$3:$AE$501,0))&amp;"","")</f>
        <v/>
      </c>
      <c r="J180" s="21" t="str">
        <f aca="false">IFERROR(INDEX(종합!J$3:J$501,MATCH(ROW()-2,종합!$AE$3:$AE$501,0))&amp;"","")</f>
        <v/>
      </c>
      <c r="K180" s="21" t="str">
        <f aca="false">IFERROR(INDEX(종합!K$3:K$501,MATCH(ROW()-2,종합!$AE$3:$AE$501,0))&amp;"","")</f>
        <v/>
      </c>
      <c r="L180" s="21" t="str">
        <f aca="false">IFERROR(INDEX(종합!L$3:L$501,MATCH(ROW()-2,종합!$AE$3:$AE$501,0))&amp;"","")</f>
        <v/>
      </c>
      <c r="M180" s="21" t="str">
        <f aca="false">IFERROR(INDEX(종합!M$3:M$501,MATCH(ROW()-2,종합!$AE$3:$AE$501,0))&amp;"","")</f>
        <v/>
      </c>
      <c r="N180" s="25" t="str">
        <f aca="false">IFERROR(INDEX(종합!N$3:N$501,MATCH(ROW()-2,종합!$AE$3:$AE$501,0))&amp;"","")</f>
        <v/>
      </c>
      <c r="O180" s="21" t="str">
        <f aca="false">IFERROR(INDEX(종합!O$3:O$501,MATCH(ROW()-2,종합!$AE$3:$AE$501,0))&amp;"","")</f>
        <v/>
      </c>
      <c r="P180" s="21" t="str">
        <f aca="false">IFERROR(INDEX(종합!P$3:P$501,MATCH(ROW()-2,종합!$AE$3:$AE$501,0))&amp;"","")</f>
        <v/>
      </c>
      <c r="Q180" s="21" t="str">
        <f aca="false">IFERROR(INDEX(종합!Q$3:Q$501,MATCH(ROW()-2,종합!$AE$3:$AE$501,0))&amp;"","")</f>
        <v/>
      </c>
      <c r="R180" s="21" t="str">
        <f aca="false">IFERROR(INDEX(종합!R$3:R$501,MATCH(ROW()-2,종합!$AE$3:$AE$501,0))&amp;"","")</f>
        <v/>
      </c>
      <c r="S180" s="21" t="str">
        <f aca="false">IFERROR(INDEX(종합!S$3:S$501,MATCH(ROW()-2,종합!$AE$3:$AE$501,0))&amp;"","")</f>
        <v/>
      </c>
      <c r="T180" s="21" t="str">
        <f aca="false">IFERROR(INDEX(종합!T$3:T$501,MATCH(ROW()-2,종합!$AE$3:$AE$501,0))&amp;"","")</f>
        <v/>
      </c>
      <c r="U180" s="21" t="str">
        <f aca="false">IFERROR(INDEX(종합!U$3:U$501,MATCH(ROW()-2,종합!$AE$3:$AE$501,0))&amp;"","")</f>
        <v/>
      </c>
      <c r="V180" s="21" t="str">
        <f aca="false">IFERROR(INDEX(종합!V$3:V$501,MATCH(ROW()-2,종합!$AE$3:$AE$501,0))&amp;"","")</f>
        <v/>
      </c>
      <c r="W180" s="21" t="str">
        <f aca="false">IFERROR(INDEX(종합!W$3:W$501,MATCH(ROW()-2,종합!$AE$3:$AE$501,0))&amp;"","")</f>
        <v/>
      </c>
      <c r="X180" s="21" t="str">
        <f aca="false">IFERROR(INDEX(종합!X$3:X$501,MATCH(ROW()-2,종합!$AE$3:$AE$501,0))&amp;"","")</f>
        <v/>
      </c>
      <c r="Y180" s="21" t="str">
        <f aca="false">IFERROR(INDEX(종합!Y$3:Y$501,MATCH(ROW()-2,종합!$AE$3:$AE$501,0))&amp;"","")</f>
        <v/>
      </c>
      <c r="Z180" s="21" t="str">
        <f aca="false">IFERROR(INDEX(종합!Z$3:Z$501,MATCH(ROW()-2,종합!$AE$3:$AE$501,0))&amp;"","")</f>
        <v/>
      </c>
    </row>
    <row r="181" customFormat="false" ht="16.5" hidden="false" customHeight="true" outlineLevel="0" collapsed="false">
      <c r="A181" s="18" t="str">
        <f aca="false">IF(B181="","",ROW()-2)</f>
        <v/>
      </c>
      <c r="B181" s="18" t="str">
        <f aca="false">IFERROR(INDEX(종합!B$3:B$501,MATCH(ROW()-2,종합!$AE$3:$AE$501,0))&amp;"","")</f>
        <v/>
      </c>
      <c r="C181" s="18" t="str">
        <f aca="false">IFERROR(INDEX(종합!C$3:C$501,MATCH(ROW()-2,종합!$AE$3:$AE$501,0))&amp;"","")</f>
        <v/>
      </c>
      <c r="D181" s="18" t="str">
        <f aca="false">IFERROR(INDEX(종합!D$3:D$501,MATCH(ROW()-2,종합!$AE$3:$AE$501,0))&amp;"","")</f>
        <v/>
      </c>
      <c r="E181" s="18" t="str">
        <f aca="false">IFERROR(INDEX(종합!E$3:E$501,MATCH(ROW()-2,종합!$AE$3:$AE$501,0))&amp;"","")</f>
        <v/>
      </c>
      <c r="F181" s="18" t="str">
        <f aca="false">IFERROR(INDEX(종합!F$3:F$501,MATCH(ROW()-2,종합!$AE$3:$AE$501,0))&amp;"","")</f>
        <v/>
      </c>
      <c r="G181" s="18" t="str">
        <f aca="false">IFERROR(INDEX(종합!G$3:G$501,MATCH(ROW()-2,종합!$AE$3:$AE$501,0))&amp;"","")</f>
        <v/>
      </c>
      <c r="H181" s="21" t="str">
        <f aca="false">IFERROR(INDEX(종합!H$3:H$501,MATCH(ROW()-2,종합!$AE$3:$AE$501,0))&amp;"","")</f>
        <v/>
      </c>
      <c r="I181" s="21" t="str">
        <f aca="false">IFERROR(INDEX(종합!I$3:I$501,MATCH(ROW()-2,종합!$AE$3:$AE$501,0))&amp;"","")</f>
        <v/>
      </c>
      <c r="J181" s="21" t="str">
        <f aca="false">IFERROR(INDEX(종합!J$3:J$501,MATCH(ROW()-2,종합!$AE$3:$AE$501,0))&amp;"","")</f>
        <v/>
      </c>
      <c r="K181" s="21" t="str">
        <f aca="false">IFERROR(INDEX(종합!K$3:K$501,MATCH(ROW()-2,종합!$AE$3:$AE$501,0))&amp;"","")</f>
        <v/>
      </c>
      <c r="L181" s="21" t="str">
        <f aca="false">IFERROR(INDEX(종합!L$3:L$501,MATCH(ROW()-2,종합!$AE$3:$AE$501,0))&amp;"","")</f>
        <v/>
      </c>
      <c r="M181" s="21" t="str">
        <f aca="false">IFERROR(INDEX(종합!M$3:M$501,MATCH(ROW()-2,종합!$AE$3:$AE$501,0))&amp;"","")</f>
        <v/>
      </c>
      <c r="N181" s="25" t="str">
        <f aca="false">IFERROR(INDEX(종합!N$3:N$501,MATCH(ROW()-2,종합!$AE$3:$AE$501,0))&amp;"","")</f>
        <v/>
      </c>
      <c r="O181" s="21" t="str">
        <f aca="false">IFERROR(INDEX(종합!O$3:O$501,MATCH(ROW()-2,종합!$AE$3:$AE$501,0))&amp;"","")</f>
        <v/>
      </c>
      <c r="P181" s="21" t="str">
        <f aca="false">IFERROR(INDEX(종합!P$3:P$501,MATCH(ROW()-2,종합!$AE$3:$AE$501,0))&amp;"","")</f>
        <v/>
      </c>
      <c r="Q181" s="21" t="str">
        <f aca="false">IFERROR(INDEX(종합!Q$3:Q$501,MATCH(ROW()-2,종합!$AE$3:$AE$501,0))&amp;"","")</f>
        <v/>
      </c>
      <c r="R181" s="21" t="str">
        <f aca="false">IFERROR(INDEX(종합!R$3:R$501,MATCH(ROW()-2,종합!$AE$3:$AE$501,0))&amp;"","")</f>
        <v/>
      </c>
      <c r="S181" s="21" t="str">
        <f aca="false">IFERROR(INDEX(종합!S$3:S$501,MATCH(ROW()-2,종합!$AE$3:$AE$501,0))&amp;"","")</f>
        <v/>
      </c>
      <c r="T181" s="21" t="str">
        <f aca="false">IFERROR(INDEX(종합!T$3:T$501,MATCH(ROW()-2,종합!$AE$3:$AE$501,0))&amp;"","")</f>
        <v/>
      </c>
      <c r="U181" s="21" t="str">
        <f aca="false">IFERROR(INDEX(종합!U$3:U$501,MATCH(ROW()-2,종합!$AE$3:$AE$501,0))&amp;"","")</f>
        <v/>
      </c>
      <c r="V181" s="21" t="str">
        <f aca="false">IFERROR(INDEX(종합!V$3:V$501,MATCH(ROW()-2,종합!$AE$3:$AE$501,0))&amp;"","")</f>
        <v/>
      </c>
      <c r="W181" s="21" t="str">
        <f aca="false">IFERROR(INDEX(종합!W$3:W$501,MATCH(ROW()-2,종합!$AE$3:$AE$501,0))&amp;"","")</f>
        <v/>
      </c>
      <c r="X181" s="21" t="str">
        <f aca="false">IFERROR(INDEX(종합!X$3:X$501,MATCH(ROW()-2,종합!$AE$3:$AE$501,0))&amp;"","")</f>
        <v/>
      </c>
      <c r="Y181" s="21" t="str">
        <f aca="false">IFERROR(INDEX(종합!Y$3:Y$501,MATCH(ROW()-2,종합!$AE$3:$AE$501,0))&amp;"","")</f>
        <v/>
      </c>
      <c r="Z181" s="21" t="str">
        <f aca="false">IFERROR(INDEX(종합!Z$3:Z$501,MATCH(ROW()-2,종합!$AE$3:$AE$501,0))&amp;"","")</f>
        <v/>
      </c>
    </row>
    <row r="182" customFormat="false" ht="16.5" hidden="false" customHeight="true" outlineLevel="0" collapsed="false">
      <c r="A182" s="18" t="str">
        <f aca="false">IF(B182="","",ROW()-2)</f>
        <v/>
      </c>
      <c r="B182" s="18" t="str">
        <f aca="false">IFERROR(INDEX(종합!B$3:B$501,MATCH(ROW()-2,종합!$AE$3:$AE$501,0))&amp;"","")</f>
        <v/>
      </c>
      <c r="C182" s="18" t="str">
        <f aca="false">IFERROR(INDEX(종합!C$3:C$501,MATCH(ROW()-2,종합!$AE$3:$AE$501,0))&amp;"","")</f>
        <v/>
      </c>
      <c r="D182" s="18" t="str">
        <f aca="false">IFERROR(INDEX(종합!D$3:D$501,MATCH(ROW()-2,종합!$AE$3:$AE$501,0))&amp;"","")</f>
        <v/>
      </c>
      <c r="E182" s="18" t="str">
        <f aca="false">IFERROR(INDEX(종합!E$3:E$501,MATCH(ROW()-2,종합!$AE$3:$AE$501,0))&amp;"","")</f>
        <v/>
      </c>
      <c r="F182" s="18" t="str">
        <f aca="false">IFERROR(INDEX(종합!F$3:F$501,MATCH(ROW()-2,종합!$AE$3:$AE$501,0))&amp;"","")</f>
        <v/>
      </c>
      <c r="G182" s="18" t="str">
        <f aca="false">IFERROR(INDEX(종합!G$3:G$501,MATCH(ROW()-2,종합!$AE$3:$AE$501,0))&amp;"","")</f>
        <v/>
      </c>
      <c r="H182" s="21" t="str">
        <f aca="false">IFERROR(INDEX(종합!H$3:H$501,MATCH(ROW()-2,종합!$AE$3:$AE$501,0))&amp;"","")</f>
        <v/>
      </c>
      <c r="I182" s="21" t="str">
        <f aca="false">IFERROR(INDEX(종합!I$3:I$501,MATCH(ROW()-2,종합!$AE$3:$AE$501,0))&amp;"","")</f>
        <v/>
      </c>
      <c r="J182" s="21" t="str">
        <f aca="false">IFERROR(INDEX(종합!J$3:J$501,MATCH(ROW()-2,종합!$AE$3:$AE$501,0))&amp;"","")</f>
        <v/>
      </c>
      <c r="K182" s="21" t="str">
        <f aca="false">IFERROR(INDEX(종합!K$3:K$501,MATCH(ROW()-2,종합!$AE$3:$AE$501,0))&amp;"","")</f>
        <v/>
      </c>
      <c r="L182" s="21" t="str">
        <f aca="false">IFERROR(INDEX(종합!L$3:L$501,MATCH(ROW()-2,종합!$AE$3:$AE$501,0))&amp;"","")</f>
        <v/>
      </c>
      <c r="M182" s="21" t="str">
        <f aca="false">IFERROR(INDEX(종합!M$3:M$501,MATCH(ROW()-2,종합!$AE$3:$AE$501,0))&amp;"","")</f>
        <v/>
      </c>
      <c r="N182" s="25" t="str">
        <f aca="false">IFERROR(INDEX(종합!N$3:N$501,MATCH(ROW()-2,종합!$AE$3:$AE$501,0))&amp;"","")</f>
        <v/>
      </c>
      <c r="O182" s="21" t="str">
        <f aca="false">IFERROR(INDEX(종합!O$3:O$501,MATCH(ROW()-2,종합!$AE$3:$AE$501,0))&amp;"","")</f>
        <v/>
      </c>
      <c r="P182" s="21" t="str">
        <f aca="false">IFERROR(INDEX(종합!P$3:P$501,MATCH(ROW()-2,종합!$AE$3:$AE$501,0))&amp;"","")</f>
        <v/>
      </c>
      <c r="Q182" s="21" t="str">
        <f aca="false">IFERROR(INDEX(종합!Q$3:Q$501,MATCH(ROW()-2,종합!$AE$3:$AE$501,0))&amp;"","")</f>
        <v/>
      </c>
      <c r="R182" s="21" t="str">
        <f aca="false">IFERROR(INDEX(종합!R$3:R$501,MATCH(ROW()-2,종합!$AE$3:$AE$501,0))&amp;"","")</f>
        <v/>
      </c>
      <c r="S182" s="21" t="str">
        <f aca="false">IFERROR(INDEX(종합!S$3:S$501,MATCH(ROW()-2,종합!$AE$3:$AE$501,0))&amp;"","")</f>
        <v/>
      </c>
      <c r="T182" s="21" t="str">
        <f aca="false">IFERROR(INDEX(종합!T$3:T$501,MATCH(ROW()-2,종합!$AE$3:$AE$501,0))&amp;"","")</f>
        <v/>
      </c>
      <c r="U182" s="21" t="str">
        <f aca="false">IFERROR(INDEX(종합!U$3:U$501,MATCH(ROW()-2,종합!$AE$3:$AE$501,0))&amp;"","")</f>
        <v/>
      </c>
      <c r="V182" s="21" t="str">
        <f aca="false">IFERROR(INDEX(종합!V$3:V$501,MATCH(ROW()-2,종합!$AE$3:$AE$501,0))&amp;"","")</f>
        <v/>
      </c>
      <c r="W182" s="21" t="str">
        <f aca="false">IFERROR(INDEX(종합!W$3:W$501,MATCH(ROW()-2,종합!$AE$3:$AE$501,0))&amp;"","")</f>
        <v/>
      </c>
      <c r="X182" s="21" t="str">
        <f aca="false">IFERROR(INDEX(종합!X$3:X$501,MATCH(ROW()-2,종합!$AE$3:$AE$501,0))&amp;"","")</f>
        <v/>
      </c>
      <c r="Y182" s="21" t="str">
        <f aca="false">IFERROR(INDEX(종합!Y$3:Y$501,MATCH(ROW()-2,종합!$AE$3:$AE$501,0))&amp;"","")</f>
        <v/>
      </c>
      <c r="Z182" s="21" t="str">
        <f aca="false">IFERROR(INDEX(종합!Z$3:Z$501,MATCH(ROW()-2,종합!$AE$3:$AE$501,0))&amp;"","")</f>
        <v/>
      </c>
    </row>
    <row r="183" customFormat="false" ht="16.5" hidden="false" customHeight="true" outlineLevel="0" collapsed="false">
      <c r="A183" s="18" t="str">
        <f aca="false">IF(B183="","",ROW()-2)</f>
        <v/>
      </c>
      <c r="B183" s="18" t="str">
        <f aca="false">IFERROR(INDEX(종합!B$3:B$501,MATCH(ROW()-2,종합!$AE$3:$AE$501,0))&amp;"","")</f>
        <v/>
      </c>
      <c r="C183" s="18" t="str">
        <f aca="false">IFERROR(INDEX(종합!C$3:C$501,MATCH(ROW()-2,종합!$AE$3:$AE$501,0))&amp;"","")</f>
        <v/>
      </c>
      <c r="D183" s="18" t="str">
        <f aca="false">IFERROR(INDEX(종합!D$3:D$501,MATCH(ROW()-2,종합!$AE$3:$AE$501,0))&amp;"","")</f>
        <v/>
      </c>
      <c r="E183" s="18" t="str">
        <f aca="false">IFERROR(INDEX(종합!E$3:E$501,MATCH(ROW()-2,종합!$AE$3:$AE$501,0))&amp;"","")</f>
        <v/>
      </c>
      <c r="F183" s="18" t="str">
        <f aca="false">IFERROR(INDEX(종합!F$3:F$501,MATCH(ROW()-2,종합!$AE$3:$AE$501,0))&amp;"","")</f>
        <v/>
      </c>
      <c r="G183" s="18" t="str">
        <f aca="false">IFERROR(INDEX(종합!G$3:G$501,MATCH(ROW()-2,종합!$AE$3:$AE$501,0))&amp;"","")</f>
        <v/>
      </c>
      <c r="H183" s="21" t="str">
        <f aca="false">IFERROR(INDEX(종합!H$3:H$501,MATCH(ROW()-2,종합!$AE$3:$AE$501,0))&amp;"","")</f>
        <v/>
      </c>
      <c r="I183" s="21" t="str">
        <f aca="false">IFERROR(INDEX(종합!I$3:I$501,MATCH(ROW()-2,종합!$AE$3:$AE$501,0))&amp;"","")</f>
        <v/>
      </c>
      <c r="J183" s="21" t="str">
        <f aca="false">IFERROR(INDEX(종합!J$3:J$501,MATCH(ROW()-2,종합!$AE$3:$AE$501,0))&amp;"","")</f>
        <v/>
      </c>
      <c r="K183" s="21" t="str">
        <f aca="false">IFERROR(INDEX(종합!K$3:K$501,MATCH(ROW()-2,종합!$AE$3:$AE$501,0))&amp;"","")</f>
        <v/>
      </c>
      <c r="L183" s="21" t="str">
        <f aca="false">IFERROR(INDEX(종합!L$3:L$501,MATCH(ROW()-2,종합!$AE$3:$AE$501,0))&amp;"","")</f>
        <v/>
      </c>
      <c r="M183" s="21" t="str">
        <f aca="false">IFERROR(INDEX(종합!M$3:M$501,MATCH(ROW()-2,종합!$AE$3:$AE$501,0))&amp;"","")</f>
        <v/>
      </c>
      <c r="N183" s="25" t="str">
        <f aca="false">IFERROR(INDEX(종합!N$3:N$501,MATCH(ROW()-2,종합!$AE$3:$AE$501,0))&amp;"","")</f>
        <v/>
      </c>
      <c r="O183" s="21" t="str">
        <f aca="false">IFERROR(INDEX(종합!O$3:O$501,MATCH(ROW()-2,종합!$AE$3:$AE$501,0))&amp;"","")</f>
        <v/>
      </c>
      <c r="P183" s="21" t="str">
        <f aca="false">IFERROR(INDEX(종합!P$3:P$501,MATCH(ROW()-2,종합!$AE$3:$AE$501,0))&amp;"","")</f>
        <v/>
      </c>
      <c r="Q183" s="21" t="str">
        <f aca="false">IFERROR(INDEX(종합!Q$3:Q$501,MATCH(ROW()-2,종합!$AE$3:$AE$501,0))&amp;"","")</f>
        <v/>
      </c>
      <c r="R183" s="21" t="str">
        <f aca="false">IFERROR(INDEX(종합!R$3:R$501,MATCH(ROW()-2,종합!$AE$3:$AE$501,0))&amp;"","")</f>
        <v/>
      </c>
      <c r="S183" s="21" t="str">
        <f aca="false">IFERROR(INDEX(종합!S$3:S$501,MATCH(ROW()-2,종합!$AE$3:$AE$501,0))&amp;"","")</f>
        <v/>
      </c>
      <c r="T183" s="21" t="str">
        <f aca="false">IFERROR(INDEX(종합!T$3:T$501,MATCH(ROW()-2,종합!$AE$3:$AE$501,0))&amp;"","")</f>
        <v/>
      </c>
      <c r="U183" s="21" t="str">
        <f aca="false">IFERROR(INDEX(종합!U$3:U$501,MATCH(ROW()-2,종합!$AE$3:$AE$501,0))&amp;"","")</f>
        <v/>
      </c>
      <c r="V183" s="21" t="str">
        <f aca="false">IFERROR(INDEX(종합!V$3:V$501,MATCH(ROW()-2,종합!$AE$3:$AE$501,0))&amp;"","")</f>
        <v/>
      </c>
      <c r="W183" s="21" t="str">
        <f aca="false">IFERROR(INDEX(종합!W$3:W$501,MATCH(ROW()-2,종합!$AE$3:$AE$501,0))&amp;"","")</f>
        <v/>
      </c>
      <c r="X183" s="21" t="str">
        <f aca="false">IFERROR(INDEX(종합!X$3:X$501,MATCH(ROW()-2,종합!$AE$3:$AE$501,0))&amp;"","")</f>
        <v/>
      </c>
      <c r="Y183" s="21" t="str">
        <f aca="false">IFERROR(INDEX(종합!Y$3:Y$501,MATCH(ROW()-2,종합!$AE$3:$AE$501,0))&amp;"","")</f>
        <v/>
      </c>
      <c r="Z183" s="21" t="str">
        <f aca="false">IFERROR(INDEX(종합!Z$3:Z$501,MATCH(ROW()-2,종합!$AE$3:$AE$501,0))&amp;"","")</f>
        <v/>
      </c>
    </row>
    <row r="184" customFormat="false" ht="16.5" hidden="false" customHeight="true" outlineLevel="0" collapsed="false">
      <c r="A184" s="18" t="str">
        <f aca="false">IF(B184="","",ROW()-2)</f>
        <v/>
      </c>
      <c r="B184" s="18" t="str">
        <f aca="false">IFERROR(INDEX(종합!B$3:B$501,MATCH(ROW()-2,종합!$AE$3:$AE$501,0))&amp;"","")</f>
        <v/>
      </c>
      <c r="C184" s="18" t="str">
        <f aca="false">IFERROR(INDEX(종합!C$3:C$501,MATCH(ROW()-2,종합!$AE$3:$AE$501,0))&amp;"","")</f>
        <v/>
      </c>
      <c r="D184" s="18" t="str">
        <f aca="false">IFERROR(INDEX(종합!D$3:D$501,MATCH(ROW()-2,종합!$AE$3:$AE$501,0))&amp;"","")</f>
        <v/>
      </c>
      <c r="E184" s="18" t="str">
        <f aca="false">IFERROR(INDEX(종합!E$3:E$501,MATCH(ROW()-2,종합!$AE$3:$AE$501,0))&amp;"","")</f>
        <v/>
      </c>
      <c r="F184" s="18" t="str">
        <f aca="false">IFERROR(INDEX(종합!F$3:F$501,MATCH(ROW()-2,종합!$AE$3:$AE$501,0))&amp;"","")</f>
        <v/>
      </c>
      <c r="G184" s="18" t="str">
        <f aca="false">IFERROR(INDEX(종합!G$3:G$501,MATCH(ROW()-2,종합!$AE$3:$AE$501,0))&amp;"","")</f>
        <v/>
      </c>
      <c r="H184" s="21" t="str">
        <f aca="false">IFERROR(INDEX(종합!H$3:H$501,MATCH(ROW()-2,종합!$AE$3:$AE$501,0))&amp;"","")</f>
        <v/>
      </c>
      <c r="I184" s="21" t="str">
        <f aca="false">IFERROR(INDEX(종합!I$3:I$501,MATCH(ROW()-2,종합!$AE$3:$AE$501,0))&amp;"","")</f>
        <v/>
      </c>
      <c r="J184" s="21" t="str">
        <f aca="false">IFERROR(INDEX(종합!J$3:J$501,MATCH(ROW()-2,종합!$AE$3:$AE$501,0))&amp;"","")</f>
        <v/>
      </c>
      <c r="K184" s="21" t="str">
        <f aca="false">IFERROR(INDEX(종합!K$3:K$501,MATCH(ROW()-2,종합!$AE$3:$AE$501,0))&amp;"","")</f>
        <v/>
      </c>
      <c r="L184" s="21" t="str">
        <f aca="false">IFERROR(INDEX(종합!L$3:L$501,MATCH(ROW()-2,종합!$AE$3:$AE$501,0))&amp;"","")</f>
        <v/>
      </c>
      <c r="M184" s="21" t="str">
        <f aca="false">IFERROR(INDEX(종합!M$3:M$501,MATCH(ROW()-2,종합!$AE$3:$AE$501,0))&amp;"","")</f>
        <v/>
      </c>
      <c r="N184" s="25" t="str">
        <f aca="false">IFERROR(INDEX(종합!N$3:N$501,MATCH(ROW()-2,종합!$AE$3:$AE$501,0))&amp;"","")</f>
        <v/>
      </c>
      <c r="O184" s="21" t="str">
        <f aca="false">IFERROR(INDEX(종합!O$3:O$501,MATCH(ROW()-2,종합!$AE$3:$AE$501,0))&amp;"","")</f>
        <v/>
      </c>
      <c r="P184" s="21" t="str">
        <f aca="false">IFERROR(INDEX(종합!P$3:P$501,MATCH(ROW()-2,종합!$AE$3:$AE$501,0))&amp;"","")</f>
        <v/>
      </c>
      <c r="Q184" s="21" t="str">
        <f aca="false">IFERROR(INDEX(종합!Q$3:Q$501,MATCH(ROW()-2,종합!$AE$3:$AE$501,0))&amp;"","")</f>
        <v/>
      </c>
      <c r="R184" s="21" t="str">
        <f aca="false">IFERROR(INDEX(종합!R$3:R$501,MATCH(ROW()-2,종합!$AE$3:$AE$501,0))&amp;"","")</f>
        <v/>
      </c>
      <c r="S184" s="21" t="str">
        <f aca="false">IFERROR(INDEX(종합!S$3:S$501,MATCH(ROW()-2,종합!$AE$3:$AE$501,0))&amp;"","")</f>
        <v/>
      </c>
      <c r="T184" s="21" t="str">
        <f aca="false">IFERROR(INDEX(종합!T$3:T$501,MATCH(ROW()-2,종합!$AE$3:$AE$501,0))&amp;"","")</f>
        <v/>
      </c>
      <c r="U184" s="21" t="str">
        <f aca="false">IFERROR(INDEX(종합!U$3:U$501,MATCH(ROW()-2,종합!$AE$3:$AE$501,0))&amp;"","")</f>
        <v/>
      </c>
      <c r="V184" s="21" t="str">
        <f aca="false">IFERROR(INDEX(종합!V$3:V$501,MATCH(ROW()-2,종합!$AE$3:$AE$501,0))&amp;"","")</f>
        <v/>
      </c>
      <c r="W184" s="21" t="str">
        <f aca="false">IFERROR(INDEX(종합!W$3:W$501,MATCH(ROW()-2,종합!$AE$3:$AE$501,0))&amp;"","")</f>
        <v/>
      </c>
      <c r="X184" s="21" t="str">
        <f aca="false">IFERROR(INDEX(종합!X$3:X$501,MATCH(ROW()-2,종합!$AE$3:$AE$501,0))&amp;"","")</f>
        <v/>
      </c>
      <c r="Y184" s="21" t="str">
        <f aca="false">IFERROR(INDEX(종합!Y$3:Y$501,MATCH(ROW()-2,종합!$AE$3:$AE$501,0))&amp;"","")</f>
        <v/>
      </c>
      <c r="Z184" s="21" t="str">
        <f aca="false">IFERROR(INDEX(종합!Z$3:Z$501,MATCH(ROW()-2,종합!$AE$3:$AE$501,0))&amp;"","")</f>
        <v/>
      </c>
    </row>
    <row r="185" customFormat="false" ht="16.5" hidden="false" customHeight="true" outlineLevel="0" collapsed="false">
      <c r="A185" s="18" t="str">
        <f aca="false">IF(B185="","",ROW()-2)</f>
        <v/>
      </c>
      <c r="B185" s="18" t="str">
        <f aca="false">IFERROR(INDEX(종합!B$3:B$501,MATCH(ROW()-2,종합!$AE$3:$AE$501,0))&amp;"","")</f>
        <v/>
      </c>
      <c r="C185" s="18" t="str">
        <f aca="false">IFERROR(INDEX(종합!C$3:C$501,MATCH(ROW()-2,종합!$AE$3:$AE$501,0))&amp;"","")</f>
        <v/>
      </c>
      <c r="D185" s="18" t="str">
        <f aca="false">IFERROR(INDEX(종합!D$3:D$501,MATCH(ROW()-2,종합!$AE$3:$AE$501,0))&amp;"","")</f>
        <v/>
      </c>
      <c r="E185" s="18" t="str">
        <f aca="false">IFERROR(INDEX(종합!E$3:E$501,MATCH(ROW()-2,종합!$AE$3:$AE$501,0))&amp;"","")</f>
        <v/>
      </c>
      <c r="F185" s="18" t="str">
        <f aca="false">IFERROR(INDEX(종합!F$3:F$501,MATCH(ROW()-2,종합!$AE$3:$AE$501,0))&amp;"","")</f>
        <v/>
      </c>
      <c r="G185" s="18" t="str">
        <f aca="false">IFERROR(INDEX(종합!G$3:G$501,MATCH(ROW()-2,종합!$AE$3:$AE$501,0))&amp;"","")</f>
        <v/>
      </c>
      <c r="H185" s="21" t="str">
        <f aca="false">IFERROR(INDEX(종합!H$3:H$501,MATCH(ROW()-2,종합!$AE$3:$AE$501,0))&amp;"","")</f>
        <v/>
      </c>
      <c r="I185" s="21" t="str">
        <f aca="false">IFERROR(INDEX(종합!I$3:I$501,MATCH(ROW()-2,종합!$AE$3:$AE$501,0))&amp;"","")</f>
        <v/>
      </c>
      <c r="J185" s="21" t="str">
        <f aca="false">IFERROR(INDEX(종합!J$3:J$501,MATCH(ROW()-2,종합!$AE$3:$AE$501,0))&amp;"","")</f>
        <v/>
      </c>
      <c r="K185" s="21" t="str">
        <f aca="false">IFERROR(INDEX(종합!K$3:K$501,MATCH(ROW()-2,종합!$AE$3:$AE$501,0))&amp;"","")</f>
        <v/>
      </c>
      <c r="L185" s="21" t="str">
        <f aca="false">IFERROR(INDEX(종합!L$3:L$501,MATCH(ROW()-2,종합!$AE$3:$AE$501,0))&amp;"","")</f>
        <v/>
      </c>
      <c r="M185" s="21" t="str">
        <f aca="false">IFERROR(INDEX(종합!M$3:M$501,MATCH(ROW()-2,종합!$AE$3:$AE$501,0))&amp;"","")</f>
        <v/>
      </c>
      <c r="N185" s="25" t="str">
        <f aca="false">IFERROR(INDEX(종합!N$3:N$501,MATCH(ROW()-2,종합!$AE$3:$AE$501,0))&amp;"","")</f>
        <v/>
      </c>
      <c r="O185" s="21" t="str">
        <f aca="false">IFERROR(INDEX(종합!O$3:O$501,MATCH(ROW()-2,종합!$AE$3:$AE$501,0))&amp;"","")</f>
        <v/>
      </c>
      <c r="P185" s="21" t="str">
        <f aca="false">IFERROR(INDEX(종합!P$3:P$501,MATCH(ROW()-2,종합!$AE$3:$AE$501,0))&amp;"","")</f>
        <v/>
      </c>
      <c r="Q185" s="21" t="str">
        <f aca="false">IFERROR(INDEX(종합!Q$3:Q$501,MATCH(ROW()-2,종합!$AE$3:$AE$501,0))&amp;"","")</f>
        <v/>
      </c>
      <c r="R185" s="21" t="str">
        <f aca="false">IFERROR(INDEX(종합!R$3:R$501,MATCH(ROW()-2,종합!$AE$3:$AE$501,0))&amp;"","")</f>
        <v/>
      </c>
      <c r="S185" s="21" t="str">
        <f aca="false">IFERROR(INDEX(종합!S$3:S$501,MATCH(ROW()-2,종합!$AE$3:$AE$501,0))&amp;"","")</f>
        <v/>
      </c>
      <c r="T185" s="21" t="str">
        <f aca="false">IFERROR(INDEX(종합!T$3:T$501,MATCH(ROW()-2,종합!$AE$3:$AE$501,0))&amp;"","")</f>
        <v/>
      </c>
      <c r="U185" s="21" t="str">
        <f aca="false">IFERROR(INDEX(종합!U$3:U$501,MATCH(ROW()-2,종합!$AE$3:$AE$501,0))&amp;"","")</f>
        <v/>
      </c>
      <c r="V185" s="21" t="str">
        <f aca="false">IFERROR(INDEX(종합!V$3:V$501,MATCH(ROW()-2,종합!$AE$3:$AE$501,0))&amp;"","")</f>
        <v/>
      </c>
      <c r="W185" s="21" t="str">
        <f aca="false">IFERROR(INDEX(종합!W$3:W$501,MATCH(ROW()-2,종합!$AE$3:$AE$501,0))&amp;"","")</f>
        <v/>
      </c>
      <c r="X185" s="21" t="str">
        <f aca="false">IFERROR(INDEX(종합!X$3:X$501,MATCH(ROW()-2,종합!$AE$3:$AE$501,0))&amp;"","")</f>
        <v/>
      </c>
      <c r="Y185" s="21" t="str">
        <f aca="false">IFERROR(INDEX(종합!Y$3:Y$501,MATCH(ROW()-2,종합!$AE$3:$AE$501,0))&amp;"","")</f>
        <v/>
      </c>
      <c r="Z185" s="21" t="str">
        <f aca="false">IFERROR(INDEX(종합!Z$3:Z$501,MATCH(ROW()-2,종합!$AE$3:$AE$501,0))&amp;"","")</f>
        <v/>
      </c>
    </row>
    <row r="186" customFormat="false" ht="16.5" hidden="false" customHeight="true" outlineLevel="0" collapsed="false">
      <c r="A186" s="18" t="str">
        <f aca="false">IF(B186="","",ROW()-2)</f>
        <v/>
      </c>
      <c r="B186" s="18" t="str">
        <f aca="false">IFERROR(INDEX(종합!B$3:B$501,MATCH(ROW()-2,종합!$AE$3:$AE$501,0))&amp;"","")</f>
        <v/>
      </c>
      <c r="C186" s="18" t="str">
        <f aca="false">IFERROR(INDEX(종합!C$3:C$501,MATCH(ROW()-2,종합!$AE$3:$AE$501,0))&amp;"","")</f>
        <v/>
      </c>
      <c r="D186" s="18" t="str">
        <f aca="false">IFERROR(INDEX(종합!D$3:D$501,MATCH(ROW()-2,종합!$AE$3:$AE$501,0))&amp;"","")</f>
        <v/>
      </c>
      <c r="E186" s="18" t="str">
        <f aca="false">IFERROR(INDEX(종합!E$3:E$501,MATCH(ROW()-2,종합!$AE$3:$AE$501,0))&amp;"","")</f>
        <v/>
      </c>
      <c r="F186" s="18" t="str">
        <f aca="false">IFERROR(INDEX(종합!F$3:F$501,MATCH(ROW()-2,종합!$AE$3:$AE$501,0))&amp;"","")</f>
        <v/>
      </c>
      <c r="G186" s="18" t="str">
        <f aca="false">IFERROR(INDEX(종합!G$3:G$501,MATCH(ROW()-2,종합!$AE$3:$AE$501,0))&amp;"","")</f>
        <v/>
      </c>
      <c r="H186" s="21" t="str">
        <f aca="false">IFERROR(INDEX(종합!H$3:H$501,MATCH(ROW()-2,종합!$AE$3:$AE$501,0))&amp;"","")</f>
        <v/>
      </c>
      <c r="I186" s="21" t="str">
        <f aca="false">IFERROR(INDEX(종합!I$3:I$501,MATCH(ROW()-2,종합!$AE$3:$AE$501,0))&amp;"","")</f>
        <v/>
      </c>
      <c r="J186" s="21" t="str">
        <f aca="false">IFERROR(INDEX(종합!J$3:J$501,MATCH(ROW()-2,종합!$AE$3:$AE$501,0))&amp;"","")</f>
        <v/>
      </c>
      <c r="K186" s="21" t="str">
        <f aca="false">IFERROR(INDEX(종합!K$3:K$501,MATCH(ROW()-2,종합!$AE$3:$AE$501,0))&amp;"","")</f>
        <v/>
      </c>
      <c r="L186" s="21" t="str">
        <f aca="false">IFERROR(INDEX(종합!L$3:L$501,MATCH(ROW()-2,종합!$AE$3:$AE$501,0))&amp;"","")</f>
        <v/>
      </c>
      <c r="M186" s="21" t="str">
        <f aca="false">IFERROR(INDEX(종합!M$3:M$501,MATCH(ROW()-2,종합!$AE$3:$AE$501,0))&amp;"","")</f>
        <v/>
      </c>
      <c r="N186" s="25" t="str">
        <f aca="false">IFERROR(INDEX(종합!N$3:N$501,MATCH(ROW()-2,종합!$AE$3:$AE$501,0))&amp;"","")</f>
        <v/>
      </c>
      <c r="O186" s="21" t="str">
        <f aca="false">IFERROR(INDEX(종합!O$3:O$501,MATCH(ROW()-2,종합!$AE$3:$AE$501,0))&amp;"","")</f>
        <v/>
      </c>
      <c r="P186" s="21" t="str">
        <f aca="false">IFERROR(INDEX(종합!P$3:P$501,MATCH(ROW()-2,종합!$AE$3:$AE$501,0))&amp;"","")</f>
        <v/>
      </c>
      <c r="Q186" s="21" t="str">
        <f aca="false">IFERROR(INDEX(종합!Q$3:Q$501,MATCH(ROW()-2,종합!$AE$3:$AE$501,0))&amp;"","")</f>
        <v/>
      </c>
      <c r="R186" s="21" t="str">
        <f aca="false">IFERROR(INDEX(종합!R$3:R$501,MATCH(ROW()-2,종합!$AE$3:$AE$501,0))&amp;"","")</f>
        <v/>
      </c>
      <c r="S186" s="21" t="str">
        <f aca="false">IFERROR(INDEX(종합!S$3:S$501,MATCH(ROW()-2,종합!$AE$3:$AE$501,0))&amp;"","")</f>
        <v/>
      </c>
      <c r="T186" s="21" t="str">
        <f aca="false">IFERROR(INDEX(종합!T$3:T$501,MATCH(ROW()-2,종합!$AE$3:$AE$501,0))&amp;"","")</f>
        <v/>
      </c>
      <c r="U186" s="21" t="str">
        <f aca="false">IFERROR(INDEX(종합!U$3:U$501,MATCH(ROW()-2,종합!$AE$3:$AE$501,0))&amp;"","")</f>
        <v/>
      </c>
      <c r="V186" s="21" t="str">
        <f aca="false">IFERROR(INDEX(종합!V$3:V$501,MATCH(ROW()-2,종합!$AE$3:$AE$501,0))&amp;"","")</f>
        <v/>
      </c>
      <c r="W186" s="21" t="str">
        <f aca="false">IFERROR(INDEX(종합!W$3:W$501,MATCH(ROW()-2,종합!$AE$3:$AE$501,0))&amp;"","")</f>
        <v/>
      </c>
      <c r="X186" s="21" t="str">
        <f aca="false">IFERROR(INDEX(종합!X$3:X$501,MATCH(ROW()-2,종합!$AE$3:$AE$501,0))&amp;"","")</f>
        <v/>
      </c>
      <c r="Y186" s="21" t="str">
        <f aca="false">IFERROR(INDEX(종합!Y$3:Y$501,MATCH(ROW()-2,종합!$AE$3:$AE$501,0))&amp;"","")</f>
        <v/>
      </c>
      <c r="Z186" s="21" t="str">
        <f aca="false">IFERROR(INDEX(종합!Z$3:Z$501,MATCH(ROW()-2,종합!$AE$3:$AE$501,0))&amp;"","")</f>
        <v/>
      </c>
    </row>
    <row r="187" customFormat="false" ht="16.5" hidden="false" customHeight="true" outlineLevel="0" collapsed="false">
      <c r="A187" s="18" t="str">
        <f aca="false">IF(B187="","",ROW()-2)</f>
        <v/>
      </c>
      <c r="B187" s="18" t="str">
        <f aca="false">IFERROR(INDEX(종합!B$3:B$501,MATCH(ROW()-2,종합!$AE$3:$AE$501,0))&amp;"","")</f>
        <v/>
      </c>
      <c r="C187" s="18" t="str">
        <f aca="false">IFERROR(INDEX(종합!C$3:C$501,MATCH(ROW()-2,종합!$AE$3:$AE$501,0))&amp;"","")</f>
        <v/>
      </c>
      <c r="D187" s="18" t="str">
        <f aca="false">IFERROR(INDEX(종합!D$3:D$501,MATCH(ROW()-2,종합!$AE$3:$AE$501,0))&amp;"","")</f>
        <v/>
      </c>
      <c r="E187" s="18" t="str">
        <f aca="false">IFERROR(INDEX(종합!E$3:E$501,MATCH(ROW()-2,종합!$AE$3:$AE$501,0))&amp;"","")</f>
        <v/>
      </c>
      <c r="F187" s="18" t="str">
        <f aca="false">IFERROR(INDEX(종합!F$3:F$501,MATCH(ROW()-2,종합!$AE$3:$AE$501,0))&amp;"","")</f>
        <v/>
      </c>
      <c r="G187" s="18" t="str">
        <f aca="false">IFERROR(INDEX(종합!G$3:G$501,MATCH(ROW()-2,종합!$AE$3:$AE$501,0))&amp;"","")</f>
        <v/>
      </c>
      <c r="H187" s="21" t="str">
        <f aca="false">IFERROR(INDEX(종합!H$3:H$501,MATCH(ROW()-2,종합!$AE$3:$AE$501,0))&amp;"","")</f>
        <v/>
      </c>
      <c r="I187" s="21" t="str">
        <f aca="false">IFERROR(INDEX(종합!I$3:I$501,MATCH(ROW()-2,종합!$AE$3:$AE$501,0))&amp;"","")</f>
        <v/>
      </c>
      <c r="J187" s="21" t="str">
        <f aca="false">IFERROR(INDEX(종합!J$3:J$501,MATCH(ROW()-2,종합!$AE$3:$AE$501,0))&amp;"","")</f>
        <v/>
      </c>
      <c r="K187" s="21" t="str">
        <f aca="false">IFERROR(INDEX(종합!K$3:K$501,MATCH(ROW()-2,종합!$AE$3:$AE$501,0))&amp;"","")</f>
        <v/>
      </c>
      <c r="L187" s="21" t="str">
        <f aca="false">IFERROR(INDEX(종합!L$3:L$501,MATCH(ROW()-2,종합!$AE$3:$AE$501,0))&amp;"","")</f>
        <v/>
      </c>
      <c r="M187" s="21" t="str">
        <f aca="false">IFERROR(INDEX(종합!M$3:M$501,MATCH(ROW()-2,종합!$AE$3:$AE$501,0))&amp;"","")</f>
        <v/>
      </c>
      <c r="N187" s="25" t="str">
        <f aca="false">IFERROR(INDEX(종합!N$3:N$501,MATCH(ROW()-2,종합!$AE$3:$AE$501,0))&amp;"","")</f>
        <v/>
      </c>
      <c r="O187" s="21" t="str">
        <f aca="false">IFERROR(INDEX(종합!O$3:O$501,MATCH(ROW()-2,종합!$AE$3:$AE$501,0))&amp;"","")</f>
        <v/>
      </c>
      <c r="P187" s="21" t="str">
        <f aca="false">IFERROR(INDEX(종합!P$3:P$501,MATCH(ROW()-2,종합!$AE$3:$AE$501,0))&amp;"","")</f>
        <v/>
      </c>
      <c r="Q187" s="21" t="str">
        <f aca="false">IFERROR(INDEX(종합!Q$3:Q$501,MATCH(ROW()-2,종합!$AE$3:$AE$501,0))&amp;"","")</f>
        <v/>
      </c>
      <c r="R187" s="21" t="str">
        <f aca="false">IFERROR(INDEX(종합!R$3:R$501,MATCH(ROW()-2,종합!$AE$3:$AE$501,0))&amp;"","")</f>
        <v/>
      </c>
      <c r="S187" s="21" t="str">
        <f aca="false">IFERROR(INDEX(종합!S$3:S$501,MATCH(ROW()-2,종합!$AE$3:$AE$501,0))&amp;"","")</f>
        <v/>
      </c>
      <c r="T187" s="21" t="str">
        <f aca="false">IFERROR(INDEX(종합!T$3:T$501,MATCH(ROW()-2,종합!$AE$3:$AE$501,0))&amp;"","")</f>
        <v/>
      </c>
      <c r="U187" s="21" t="str">
        <f aca="false">IFERROR(INDEX(종합!U$3:U$501,MATCH(ROW()-2,종합!$AE$3:$AE$501,0))&amp;"","")</f>
        <v/>
      </c>
      <c r="V187" s="21" t="str">
        <f aca="false">IFERROR(INDEX(종합!V$3:V$501,MATCH(ROW()-2,종합!$AE$3:$AE$501,0))&amp;"","")</f>
        <v/>
      </c>
      <c r="W187" s="21" t="str">
        <f aca="false">IFERROR(INDEX(종합!W$3:W$501,MATCH(ROW()-2,종합!$AE$3:$AE$501,0))&amp;"","")</f>
        <v/>
      </c>
      <c r="X187" s="21" t="str">
        <f aca="false">IFERROR(INDEX(종합!X$3:X$501,MATCH(ROW()-2,종합!$AE$3:$AE$501,0))&amp;"","")</f>
        <v/>
      </c>
      <c r="Y187" s="21" t="str">
        <f aca="false">IFERROR(INDEX(종합!Y$3:Y$501,MATCH(ROW()-2,종합!$AE$3:$AE$501,0))&amp;"","")</f>
        <v/>
      </c>
      <c r="Z187" s="21" t="str">
        <f aca="false">IFERROR(INDEX(종합!Z$3:Z$501,MATCH(ROW()-2,종합!$AE$3:$AE$501,0))&amp;"","")</f>
        <v/>
      </c>
    </row>
    <row r="188" customFormat="false" ht="16.5" hidden="false" customHeight="true" outlineLevel="0" collapsed="false">
      <c r="A188" s="18" t="str">
        <f aca="false">IF(B188="","",ROW()-2)</f>
        <v/>
      </c>
      <c r="B188" s="18" t="str">
        <f aca="false">IFERROR(INDEX(종합!B$3:B$501,MATCH(ROW()-2,종합!$AE$3:$AE$501,0))&amp;"","")</f>
        <v/>
      </c>
      <c r="C188" s="18" t="str">
        <f aca="false">IFERROR(INDEX(종합!C$3:C$501,MATCH(ROW()-2,종합!$AE$3:$AE$501,0))&amp;"","")</f>
        <v/>
      </c>
      <c r="D188" s="18" t="str">
        <f aca="false">IFERROR(INDEX(종합!D$3:D$501,MATCH(ROW()-2,종합!$AE$3:$AE$501,0))&amp;"","")</f>
        <v/>
      </c>
      <c r="E188" s="18" t="str">
        <f aca="false">IFERROR(INDEX(종합!E$3:E$501,MATCH(ROW()-2,종합!$AE$3:$AE$501,0))&amp;"","")</f>
        <v/>
      </c>
      <c r="F188" s="18" t="str">
        <f aca="false">IFERROR(INDEX(종합!F$3:F$501,MATCH(ROW()-2,종합!$AE$3:$AE$501,0))&amp;"","")</f>
        <v/>
      </c>
      <c r="G188" s="18" t="str">
        <f aca="false">IFERROR(INDEX(종합!G$3:G$501,MATCH(ROW()-2,종합!$AE$3:$AE$501,0))&amp;"","")</f>
        <v/>
      </c>
      <c r="H188" s="21" t="str">
        <f aca="false">IFERROR(INDEX(종합!H$3:H$501,MATCH(ROW()-2,종합!$AE$3:$AE$501,0))&amp;"","")</f>
        <v/>
      </c>
      <c r="I188" s="21" t="str">
        <f aca="false">IFERROR(INDEX(종합!I$3:I$501,MATCH(ROW()-2,종합!$AE$3:$AE$501,0))&amp;"","")</f>
        <v/>
      </c>
      <c r="J188" s="21" t="str">
        <f aca="false">IFERROR(INDEX(종합!J$3:J$501,MATCH(ROW()-2,종합!$AE$3:$AE$501,0))&amp;"","")</f>
        <v/>
      </c>
      <c r="K188" s="21" t="str">
        <f aca="false">IFERROR(INDEX(종합!K$3:K$501,MATCH(ROW()-2,종합!$AE$3:$AE$501,0))&amp;"","")</f>
        <v/>
      </c>
      <c r="L188" s="21" t="str">
        <f aca="false">IFERROR(INDEX(종합!L$3:L$501,MATCH(ROW()-2,종합!$AE$3:$AE$501,0))&amp;"","")</f>
        <v/>
      </c>
      <c r="M188" s="21" t="str">
        <f aca="false">IFERROR(INDEX(종합!M$3:M$501,MATCH(ROW()-2,종합!$AE$3:$AE$501,0))&amp;"","")</f>
        <v/>
      </c>
      <c r="N188" s="25" t="str">
        <f aca="false">IFERROR(INDEX(종합!N$3:N$501,MATCH(ROW()-2,종합!$AE$3:$AE$501,0))&amp;"","")</f>
        <v/>
      </c>
      <c r="O188" s="21" t="str">
        <f aca="false">IFERROR(INDEX(종합!O$3:O$501,MATCH(ROW()-2,종합!$AE$3:$AE$501,0))&amp;"","")</f>
        <v/>
      </c>
      <c r="P188" s="21" t="str">
        <f aca="false">IFERROR(INDEX(종합!P$3:P$501,MATCH(ROW()-2,종합!$AE$3:$AE$501,0))&amp;"","")</f>
        <v/>
      </c>
      <c r="Q188" s="21" t="str">
        <f aca="false">IFERROR(INDEX(종합!Q$3:Q$501,MATCH(ROW()-2,종합!$AE$3:$AE$501,0))&amp;"","")</f>
        <v/>
      </c>
      <c r="R188" s="21" t="str">
        <f aca="false">IFERROR(INDEX(종합!R$3:R$501,MATCH(ROW()-2,종합!$AE$3:$AE$501,0))&amp;"","")</f>
        <v/>
      </c>
      <c r="S188" s="21" t="str">
        <f aca="false">IFERROR(INDEX(종합!S$3:S$501,MATCH(ROW()-2,종합!$AE$3:$AE$501,0))&amp;"","")</f>
        <v/>
      </c>
      <c r="T188" s="21" t="str">
        <f aca="false">IFERROR(INDEX(종합!T$3:T$501,MATCH(ROW()-2,종합!$AE$3:$AE$501,0))&amp;"","")</f>
        <v/>
      </c>
      <c r="U188" s="21" t="str">
        <f aca="false">IFERROR(INDEX(종합!U$3:U$501,MATCH(ROW()-2,종합!$AE$3:$AE$501,0))&amp;"","")</f>
        <v/>
      </c>
      <c r="V188" s="21" t="str">
        <f aca="false">IFERROR(INDEX(종합!V$3:V$501,MATCH(ROW()-2,종합!$AE$3:$AE$501,0))&amp;"","")</f>
        <v/>
      </c>
      <c r="W188" s="21" t="str">
        <f aca="false">IFERROR(INDEX(종합!W$3:W$501,MATCH(ROW()-2,종합!$AE$3:$AE$501,0))&amp;"","")</f>
        <v/>
      </c>
      <c r="X188" s="21" t="str">
        <f aca="false">IFERROR(INDEX(종합!X$3:X$501,MATCH(ROW()-2,종합!$AE$3:$AE$501,0))&amp;"","")</f>
        <v/>
      </c>
      <c r="Y188" s="21" t="str">
        <f aca="false">IFERROR(INDEX(종합!Y$3:Y$501,MATCH(ROW()-2,종합!$AE$3:$AE$501,0))&amp;"","")</f>
        <v/>
      </c>
      <c r="Z188" s="21" t="str">
        <f aca="false">IFERROR(INDEX(종합!Z$3:Z$501,MATCH(ROW()-2,종합!$AE$3:$AE$501,0))&amp;"","")</f>
        <v/>
      </c>
    </row>
    <row r="189" customFormat="false" ht="16.5" hidden="false" customHeight="true" outlineLevel="0" collapsed="false">
      <c r="A189" s="18" t="str">
        <f aca="false">IF(B189="","",ROW()-2)</f>
        <v/>
      </c>
      <c r="B189" s="18" t="str">
        <f aca="false">IFERROR(INDEX(종합!B$3:B$501,MATCH(ROW()-2,종합!$AE$3:$AE$501,0))&amp;"","")</f>
        <v/>
      </c>
      <c r="C189" s="18" t="str">
        <f aca="false">IFERROR(INDEX(종합!C$3:C$501,MATCH(ROW()-2,종합!$AE$3:$AE$501,0))&amp;"","")</f>
        <v/>
      </c>
      <c r="D189" s="18" t="str">
        <f aca="false">IFERROR(INDEX(종합!D$3:D$501,MATCH(ROW()-2,종합!$AE$3:$AE$501,0))&amp;"","")</f>
        <v/>
      </c>
      <c r="E189" s="18" t="str">
        <f aca="false">IFERROR(INDEX(종합!E$3:E$501,MATCH(ROW()-2,종합!$AE$3:$AE$501,0))&amp;"","")</f>
        <v/>
      </c>
      <c r="F189" s="18" t="str">
        <f aca="false">IFERROR(INDEX(종합!F$3:F$501,MATCH(ROW()-2,종합!$AE$3:$AE$501,0))&amp;"","")</f>
        <v/>
      </c>
      <c r="G189" s="18" t="str">
        <f aca="false">IFERROR(INDEX(종합!G$3:G$501,MATCH(ROW()-2,종합!$AE$3:$AE$501,0))&amp;"","")</f>
        <v/>
      </c>
      <c r="H189" s="21" t="str">
        <f aca="false">IFERROR(INDEX(종합!H$3:H$501,MATCH(ROW()-2,종합!$AE$3:$AE$501,0))&amp;"","")</f>
        <v/>
      </c>
      <c r="I189" s="21" t="str">
        <f aca="false">IFERROR(INDEX(종합!I$3:I$501,MATCH(ROW()-2,종합!$AE$3:$AE$501,0))&amp;"","")</f>
        <v/>
      </c>
      <c r="J189" s="21" t="str">
        <f aca="false">IFERROR(INDEX(종합!J$3:J$501,MATCH(ROW()-2,종합!$AE$3:$AE$501,0))&amp;"","")</f>
        <v/>
      </c>
      <c r="K189" s="21" t="str">
        <f aca="false">IFERROR(INDEX(종합!K$3:K$501,MATCH(ROW()-2,종합!$AE$3:$AE$501,0))&amp;"","")</f>
        <v/>
      </c>
      <c r="L189" s="21" t="str">
        <f aca="false">IFERROR(INDEX(종합!L$3:L$501,MATCH(ROW()-2,종합!$AE$3:$AE$501,0))&amp;"","")</f>
        <v/>
      </c>
      <c r="M189" s="21" t="str">
        <f aca="false">IFERROR(INDEX(종합!M$3:M$501,MATCH(ROW()-2,종합!$AE$3:$AE$501,0))&amp;"","")</f>
        <v/>
      </c>
      <c r="N189" s="25" t="str">
        <f aca="false">IFERROR(INDEX(종합!N$3:N$501,MATCH(ROW()-2,종합!$AE$3:$AE$501,0))&amp;"","")</f>
        <v/>
      </c>
      <c r="O189" s="21" t="str">
        <f aca="false">IFERROR(INDEX(종합!O$3:O$501,MATCH(ROW()-2,종합!$AE$3:$AE$501,0))&amp;"","")</f>
        <v/>
      </c>
      <c r="P189" s="21" t="str">
        <f aca="false">IFERROR(INDEX(종합!P$3:P$501,MATCH(ROW()-2,종합!$AE$3:$AE$501,0))&amp;"","")</f>
        <v/>
      </c>
      <c r="Q189" s="21" t="str">
        <f aca="false">IFERROR(INDEX(종합!Q$3:Q$501,MATCH(ROW()-2,종합!$AE$3:$AE$501,0))&amp;"","")</f>
        <v/>
      </c>
      <c r="R189" s="21" t="str">
        <f aca="false">IFERROR(INDEX(종합!R$3:R$501,MATCH(ROW()-2,종합!$AE$3:$AE$501,0))&amp;"","")</f>
        <v/>
      </c>
      <c r="S189" s="21" t="str">
        <f aca="false">IFERROR(INDEX(종합!S$3:S$501,MATCH(ROW()-2,종합!$AE$3:$AE$501,0))&amp;"","")</f>
        <v/>
      </c>
      <c r="T189" s="21" t="str">
        <f aca="false">IFERROR(INDEX(종합!T$3:T$501,MATCH(ROW()-2,종합!$AE$3:$AE$501,0))&amp;"","")</f>
        <v/>
      </c>
      <c r="U189" s="21" t="str">
        <f aca="false">IFERROR(INDEX(종합!U$3:U$501,MATCH(ROW()-2,종합!$AE$3:$AE$501,0))&amp;"","")</f>
        <v/>
      </c>
      <c r="V189" s="21" t="str">
        <f aca="false">IFERROR(INDEX(종합!V$3:V$501,MATCH(ROW()-2,종합!$AE$3:$AE$501,0))&amp;"","")</f>
        <v/>
      </c>
      <c r="W189" s="21" t="str">
        <f aca="false">IFERROR(INDEX(종합!W$3:W$501,MATCH(ROW()-2,종합!$AE$3:$AE$501,0))&amp;"","")</f>
        <v/>
      </c>
      <c r="X189" s="21" t="str">
        <f aca="false">IFERROR(INDEX(종합!X$3:X$501,MATCH(ROW()-2,종합!$AE$3:$AE$501,0))&amp;"","")</f>
        <v/>
      </c>
      <c r="Y189" s="21" t="str">
        <f aca="false">IFERROR(INDEX(종합!Y$3:Y$501,MATCH(ROW()-2,종합!$AE$3:$AE$501,0))&amp;"","")</f>
        <v/>
      </c>
      <c r="Z189" s="21" t="str">
        <f aca="false">IFERROR(INDEX(종합!Z$3:Z$501,MATCH(ROW()-2,종합!$AE$3:$AE$501,0))&amp;"","")</f>
        <v/>
      </c>
    </row>
    <row r="190" customFormat="false" ht="16.5" hidden="false" customHeight="true" outlineLevel="0" collapsed="false">
      <c r="A190" s="18" t="str">
        <f aca="false">IF(B190="","",ROW()-2)</f>
        <v/>
      </c>
      <c r="B190" s="18" t="str">
        <f aca="false">IFERROR(INDEX(종합!B$3:B$501,MATCH(ROW()-2,종합!$AE$3:$AE$501,0))&amp;"","")</f>
        <v/>
      </c>
      <c r="C190" s="18" t="str">
        <f aca="false">IFERROR(INDEX(종합!C$3:C$501,MATCH(ROW()-2,종합!$AE$3:$AE$501,0))&amp;"","")</f>
        <v/>
      </c>
      <c r="D190" s="18" t="str">
        <f aca="false">IFERROR(INDEX(종합!D$3:D$501,MATCH(ROW()-2,종합!$AE$3:$AE$501,0))&amp;"","")</f>
        <v/>
      </c>
      <c r="E190" s="18" t="str">
        <f aca="false">IFERROR(INDEX(종합!E$3:E$501,MATCH(ROW()-2,종합!$AE$3:$AE$501,0))&amp;"","")</f>
        <v/>
      </c>
      <c r="F190" s="18" t="str">
        <f aca="false">IFERROR(INDEX(종합!F$3:F$501,MATCH(ROW()-2,종합!$AE$3:$AE$501,0))&amp;"","")</f>
        <v/>
      </c>
      <c r="G190" s="18" t="str">
        <f aca="false">IFERROR(INDEX(종합!G$3:G$501,MATCH(ROW()-2,종합!$AE$3:$AE$501,0))&amp;"","")</f>
        <v/>
      </c>
      <c r="H190" s="21" t="str">
        <f aca="false">IFERROR(INDEX(종합!H$3:H$501,MATCH(ROW()-2,종합!$AE$3:$AE$501,0))&amp;"","")</f>
        <v/>
      </c>
      <c r="I190" s="21" t="str">
        <f aca="false">IFERROR(INDEX(종합!I$3:I$501,MATCH(ROW()-2,종합!$AE$3:$AE$501,0))&amp;"","")</f>
        <v/>
      </c>
      <c r="J190" s="21" t="str">
        <f aca="false">IFERROR(INDEX(종합!J$3:J$501,MATCH(ROW()-2,종합!$AE$3:$AE$501,0))&amp;"","")</f>
        <v/>
      </c>
      <c r="K190" s="21" t="str">
        <f aca="false">IFERROR(INDEX(종합!K$3:K$501,MATCH(ROW()-2,종합!$AE$3:$AE$501,0))&amp;"","")</f>
        <v/>
      </c>
      <c r="L190" s="21" t="str">
        <f aca="false">IFERROR(INDEX(종합!L$3:L$501,MATCH(ROW()-2,종합!$AE$3:$AE$501,0))&amp;"","")</f>
        <v/>
      </c>
      <c r="M190" s="21" t="str">
        <f aca="false">IFERROR(INDEX(종합!M$3:M$501,MATCH(ROW()-2,종합!$AE$3:$AE$501,0))&amp;"","")</f>
        <v/>
      </c>
      <c r="N190" s="25" t="str">
        <f aca="false">IFERROR(INDEX(종합!N$3:N$501,MATCH(ROW()-2,종합!$AE$3:$AE$501,0))&amp;"","")</f>
        <v/>
      </c>
      <c r="O190" s="21" t="str">
        <f aca="false">IFERROR(INDEX(종합!O$3:O$501,MATCH(ROW()-2,종합!$AE$3:$AE$501,0))&amp;"","")</f>
        <v/>
      </c>
      <c r="P190" s="21" t="str">
        <f aca="false">IFERROR(INDEX(종합!P$3:P$501,MATCH(ROW()-2,종합!$AE$3:$AE$501,0))&amp;"","")</f>
        <v/>
      </c>
      <c r="Q190" s="21" t="str">
        <f aca="false">IFERROR(INDEX(종합!Q$3:Q$501,MATCH(ROW()-2,종합!$AE$3:$AE$501,0))&amp;"","")</f>
        <v/>
      </c>
      <c r="R190" s="21" t="str">
        <f aca="false">IFERROR(INDEX(종합!R$3:R$501,MATCH(ROW()-2,종합!$AE$3:$AE$501,0))&amp;"","")</f>
        <v/>
      </c>
      <c r="S190" s="21" t="str">
        <f aca="false">IFERROR(INDEX(종합!S$3:S$501,MATCH(ROW()-2,종합!$AE$3:$AE$501,0))&amp;"","")</f>
        <v/>
      </c>
      <c r="T190" s="21" t="str">
        <f aca="false">IFERROR(INDEX(종합!T$3:T$501,MATCH(ROW()-2,종합!$AE$3:$AE$501,0))&amp;"","")</f>
        <v/>
      </c>
      <c r="U190" s="21" t="str">
        <f aca="false">IFERROR(INDEX(종합!U$3:U$501,MATCH(ROW()-2,종합!$AE$3:$AE$501,0))&amp;"","")</f>
        <v/>
      </c>
      <c r="V190" s="21" t="str">
        <f aca="false">IFERROR(INDEX(종합!V$3:V$501,MATCH(ROW()-2,종합!$AE$3:$AE$501,0))&amp;"","")</f>
        <v/>
      </c>
      <c r="W190" s="21" t="str">
        <f aca="false">IFERROR(INDEX(종합!W$3:W$501,MATCH(ROW()-2,종합!$AE$3:$AE$501,0))&amp;"","")</f>
        <v/>
      </c>
      <c r="X190" s="21" t="str">
        <f aca="false">IFERROR(INDEX(종합!X$3:X$501,MATCH(ROW()-2,종합!$AE$3:$AE$501,0))&amp;"","")</f>
        <v/>
      </c>
      <c r="Y190" s="21" t="str">
        <f aca="false">IFERROR(INDEX(종합!Y$3:Y$501,MATCH(ROW()-2,종합!$AE$3:$AE$501,0))&amp;"","")</f>
        <v/>
      </c>
      <c r="Z190" s="21" t="str">
        <f aca="false">IFERROR(INDEX(종합!Z$3:Z$501,MATCH(ROW()-2,종합!$AE$3:$AE$501,0))&amp;"","")</f>
        <v/>
      </c>
    </row>
    <row r="191" customFormat="false" ht="16.5" hidden="false" customHeight="true" outlineLevel="0" collapsed="false">
      <c r="A191" s="18" t="str">
        <f aca="false">IF(B191="","",ROW()-2)</f>
        <v/>
      </c>
      <c r="B191" s="18" t="str">
        <f aca="false">IFERROR(INDEX(종합!B$3:B$501,MATCH(ROW()-2,종합!$AE$3:$AE$501,0))&amp;"","")</f>
        <v/>
      </c>
      <c r="C191" s="18" t="str">
        <f aca="false">IFERROR(INDEX(종합!C$3:C$501,MATCH(ROW()-2,종합!$AE$3:$AE$501,0))&amp;"","")</f>
        <v/>
      </c>
      <c r="D191" s="18" t="str">
        <f aca="false">IFERROR(INDEX(종합!D$3:D$501,MATCH(ROW()-2,종합!$AE$3:$AE$501,0))&amp;"","")</f>
        <v/>
      </c>
      <c r="E191" s="18" t="str">
        <f aca="false">IFERROR(INDEX(종합!E$3:E$501,MATCH(ROW()-2,종합!$AE$3:$AE$501,0))&amp;"","")</f>
        <v/>
      </c>
      <c r="F191" s="18" t="str">
        <f aca="false">IFERROR(INDEX(종합!F$3:F$501,MATCH(ROW()-2,종합!$AE$3:$AE$501,0))&amp;"","")</f>
        <v/>
      </c>
      <c r="G191" s="18" t="str">
        <f aca="false">IFERROR(INDEX(종합!G$3:G$501,MATCH(ROW()-2,종합!$AE$3:$AE$501,0))&amp;"","")</f>
        <v/>
      </c>
      <c r="H191" s="21" t="str">
        <f aca="false">IFERROR(INDEX(종합!H$3:H$501,MATCH(ROW()-2,종합!$AE$3:$AE$501,0))&amp;"","")</f>
        <v/>
      </c>
      <c r="I191" s="21" t="str">
        <f aca="false">IFERROR(INDEX(종합!I$3:I$501,MATCH(ROW()-2,종합!$AE$3:$AE$501,0))&amp;"","")</f>
        <v/>
      </c>
      <c r="J191" s="21" t="str">
        <f aca="false">IFERROR(INDEX(종합!J$3:J$501,MATCH(ROW()-2,종합!$AE$3:$AE$501,0))&amp;"","")</f>
        <v/>
      </c>
      <c r="K191" s="21" t="str">
        <f aca="false">IFERROR(INDEX(종합!K$3:K$501,MATCH(ROW()-2,종합!$AE$3:$AE$501,0))&amp;"","")</f>
        <v/>
      </c>
      <c r="L191" s="21" t="str">
        <f aca="false">IFERROR(INDEX(종합!L$3:L$501,MATCH(ROW()-2,종합!$AE$3:$AE$501,0))&amp;"","")</f>
        <v/>
      </c>
      <c r="M191" s="21" t="str">
        <f aca="false">IFERROR(INDEX(종합!M$3:M$501,MATCH(ROW()-2,종합!$AE$3:$AE$501,0))&amp;"","")</f>
        <v/>
      </c>
      <c r="N191" s="25" t="str">
        <f aca="false">IFERROR(INDEX(종합!N$3:N$501,MATCH(ROW()-2,종합!$AE$3:$AE$501,0))&amp;"","")</f>
        <v/>
      </c>
      <c r="O191" s="21" t="str">
        <f aca="false">IFERROR(INDEX(종합!O$3:O$501,MATCH(ROW()-2,종합!$AE$3:$AE$501,0))&amp;"","")</f>
        <v/>
      </c>
      <c r="P191" s="21" t="str">
        <f aca="false">IFERROR(INDEX(종합!P$3:P$501,MATCH(ROW()-2,종합!$AE$3:$AE$501,0))&amp;"","")</f>
        <v/>
      </c>
      <c r="Q191" s="21" t="str">
        <f aca="false">IFERROR(INDEX(종합!Q$3:Q$501,MATCH(ROW()-2,종합!$AE$3:$AE$501,0))&amp;"","")</f>
        <v/>
      </c>
      <c r="R191" s="21" t="str">
        <f aca="false">IFERROR(INDEX(종합!R$3:R$501,MATCH(ROW()-2,종합!$AE$3:$AE$501,0))&amp;"","")</f>
        <v/>
      </c>
      <c r="S191" s="21" t="str">
        <f aca="false">IFERROR(INDEX(종합!S$3:S$501,MATCH(ROW()-2,종합!$AE$3:$AE$501,0))&amp;"","")</f>
        <v/>
      </c>
      <c r="T191" s="21" t="str">
        <f aca="false">IFERROR(INDEX(종합!T$3:T$501,MATCH(ROW()-2,종합!$AE$3:$AE$501,0))&amp;"","")</f>
        <v/>
      </c>
      <c r="U191" s="21" t="str">
        <f aca="false">IFERROR(INDEX(종합!U$3:U$501,MATCH(ROW()-2,종합!$AE$3:$AE$501,0))&amp;"","")</f>
        <v/>
      </c>
      <c r="V191" s="21" t="str">
        <f aca="false">IFERROR(INDEX(종합!V$3:V$501,MATCH(ROW()-2,종합!$AE$3:$AE$501,0))&amp;"","")</f>
        <v/>
      </c>
      <c r="W191" s="21" t="str">
        <f aca="false">IFERROR(INDEX(종합!W$3:W$501,MATCH(ROW()-2,종합!$AE$3:$AE$501,0))&amp;"","")</f>
        <v/>
      </c>
      <c r="X191" s="21" t="str">
        <f aca="false">IFERROR(INDEX(종합!X$3:X$501,MATCH(ROW()-2,종합!$AE$3:$AE$501,0))&amp;"","")</f>
        <v/>
      </c>
      <c r="Y191" s="21" t="str">
        <f aca="false">IFERROR(INDEX(종합!Y$3:Y$501,MATCH(ROW()-2,종합!$AE$3:$AE$501,0))&amp;"","")</f>
        <v/>
      </c>
      <c r="Z191" s="21" t="str">
        <f aca="false">IFERROR(INDEX(종합!Z$3:Z$501,MATCH(ROW()-2,종합!$AE$3:$AE$501,0))&amp;"","")</f>
        <v/>
      </c>
    </row>
    <row r="192" customFormat="false" ht="16.5" hidden="false" customHeight="true" outlineLevel="0" collapsed="false">
      <c r="A192" s="18" t="str">
        <f aca="false">IF(B192="","",ROW()-2)</f>
        <v/>
      </c>
      <c r="B192" s="18" t="str">
        <f aca="false">IFERROR(INDEX(종합!B$3:B$501,MATCH(ROW()-2,종합!$AE$3:$AE$501,0))&amp;"","")</f>
        <v/>
      </c>
      <c r="C192" s="18" t="str">
        <f aca="false">IFERROR(INDEX(종합!C$3:C$501,MATCH(ROW()-2,종합!$AE$3:$AE$501,0))&amp;"","")</f>
        <v/>
      </c>
      <c r="D192" s="18" t="str">
        <f aca="false">IFERROR(INDEX(종합!D$3:D$501,MATCH(ROW()-2,종합!$AE$3:$AE$501,0))&amp;"","")</f>
        <v/>
      </c>
      <c r="E192" s="18" t="str">
        <f aca="false">IFERROR(INDEX(종합!E$3:E$501,MATCH(ROW()-2,종합!$AE$3:$AE$501,0))&amp;"","")</f>
        <v/>
      </c>
      <c r="F192" s="18" t="str">
        <f aca="false">IFERROR(INDEX(종합!F$3:F$501,MATCH(ROW()-2,종합!$AE$3:$AE$501,0))&amp;"","")</f>
        <v/>
      </c>
      <c r="G192" s="18" t="str">
        <f aca="false">IFERROR(INDEX(종합!G$3:G$501,MATCH(ROW()-2,종합!$AE$3:$AE$501,0))&amp;"","")</f>
        <v/>
      </c>
      <c r="H192" s="21" t="str">
        <f aca="false">IFERROR(INDEX(종합!H$3:H$501,MATCH(ROW()-2,종합!$AE$3:$AE$501,0))&amp;"","")</f>
        <v/>
      </c>
      <c r="I192" s="21" t="str">
        <f aca="false">IFERROR(INDEX(종합!I$3:I$501,MATCH(ROW()-2,종합!$AE$3:$AE$501,0))&amp;"","")</f>
        <v/>
      </c>
      <c r="J192" s="21" t="str">
        <f aca="false">IFERROR(INDEX(종합!J$3:J$501,MATCH(ROW()-2,종합!$AE$3:$AE$501,0))&amp;"","")</f>
        <v/>
      </c>
      <c r="K192" s="21" t="str">
        <f aca="false">IFERROR(INDEX(종합!K$3:K$501,MATCH(ROW()-2,종합!$AE$3:$AE$501,0))&amp;"","")</f>
        <v/>
      </c>
      <c r="L192" s="21" t="str">
        <f aca="false">IFERROR(INDEX(종합!L$3:L$501,MATCH(ROW()-2,종합!$AE$3:$AE$501,0))&amp;"","")</f>
        <v/>
      </c>
      <c r="M192" s="21" t="str">
        <f aca="false">IFERROR(INDEX(종합!M$3:M$501,MATCH(ROW()-2,종합!$AE$3:$AE$501,0))&amp;"","")</f>
        <v/>
      </c>
      <c r="N192" s="25" t="str">
        <f aca="false">IFERROR(INDEX(종합!N$3:N$501,MATCH(ROW()-2,종합!$AE$3:$AE$501,0))&amp;"","")</f>
        <v/>
      </c>
      <c r="O192" s="21" t="str">
        <f aca="false">IFERROR(INDEX(종합!O$3:O$501,MATCH(ROW()-2,종합!$AE$3:$AE$501,0))&amp;"","")</f>
        <v/>
      </c>
      <c r="P192" s="21" t="str">
        <f aca="false">IFERROR(INDEX(종합!P$3:P$501,MATCH(ROW()-2,종합!$AE$3:$AE$501,0))&amp;"","")</f>
        <v/>
      </c>
      <c r="Q192" s="21" t="str">
        <f aca="false">IFERROR(INDEX(종합!Q$3:Q$501,MATCH(ROW()-2,종합!$AE$3:$AE$501,0))&amp;"","")</f>
        <v/>
      </c>
      <c r="R192" s="21" t="str">
        <f aca="false">IFERROR(INDEX(종합!R$3:R$501,MATCH(ROW()-2,종합!$AE$3:$AE$501,0))&amp;"","")</f>
        <v/>
      </c>
      <c r="S192" s="21" t="str">
        <f aca="false">IFERROR(INDEX(종합!S$3:S$501,MATCH(ROW()-2,종합!$AE$3:$AE$501,0))&amp;"","")</f>
        <v/>
      </c>
      <c r="T192" s="21" t="str">
        <f aca="false">IFERROR(INDEX(종합!T$3:T$501,MATCH(ROW()-2,종합!$AE$3:$AE$501,0))&amp;"","")</f>
        <v/>
      </c>
      <c r="U192" s="21" t="str">
        <f aca="false">IFERROR(INDEX(종합!U$3:U$501,MATCH(ROW()-2,종합!$AE$3:$AE$501,0))&amp;"","")</f>
        <v/>
      </c>
      <c r="V192" s="21" t="str">
        <f aca="false">IFERROR(INDEX(종합!V$3:V$501,MATCH(ROW()-2,종합!$AE$3:$AE$501,0))&amp;"","")</f>
        <v/>
      </c>
      <c r="W192" s="21" t="str">
        <f aca="false">IFERROR(INDEX(종합!W$3:W$501,MATCH(ROW()-2,종합!$AE$3:$AE$501,0))&amp;"","")</f>
        <v/>
      </c>
      <c r="X192" s="21" t="str">
        <f aca="false">IFERROR(INDEX(종합!X$3:X$501,MATCH(ROW()-2,종합!$AE$3:$AE$501,0))&amp;"","")</f>
        <v/>
      </c>
      <c r="Y192" s="21" t="str">
        <f aca="false">IFERROR(INDEX(종합!Y$3:Y$501,MATCH(ROW()-2,종합!$AE$3:$AE$501,0))&amp;"","")</f>
        <v/>
      </c>
      <c r="Z192" s="21" t="str">
        <f aca="false">IFERROR(INDEX(종합!Z$3:Z$501,MATCH(ROW()-2,종합!$AE$3:$AE$501,0))&amp;"","")</f>
        <v/>
      </c>
    </row>
    <row r="193" customFormat="false" ht="16.5" hidden="false" customHeight="true" outlineLevel="0" collapsed="false">
      <c r="A193" s="18" t="str">
        <f aca="false">IF(B193="","",ROW()-2)</f>
        <v/>
      </c>
      <c r="B193" s="18" t="str">
        <f aca="false">IFERROR(INDEX(종합!B$3:B$501,MATCH(ROW()-2,종합!$AE$3:$AE$501,0))&amp;"","")</f>
        <v/>
      </c>
      <c r="C193" s="18" t="str">
        <f aca="false">IFERROR(INDEX(종합!C$3:C$501,MATCH(ROW()-2,종합!$AE$3:$AE$501,0))&amp;"","")</f>
        <v/>
      </c>
      <c r="D193" s="18" t="str">
        <f aca="false">IFERROR(INDEX(종합!D$3:D$501,MATCH(ROW()-2,종합!$AE$3:$AE$501,0))&amp;"","")</f>
        <v/>
      </c>
      <c r="E193" s="18" t="str">
        <f aca="false">IFERROR(INDEX(종합!E$3:E$501,MATCH(ROW()-2,종합!$AE$3:$AE$501,0))&amp;"","")</f>
        <v/>
      </c>
      <c r="F193" s="18" t="str">
        <f aca="false">IFERROR(INDEX(종합!F$3:F$501,MATCH(ROW()-2,종합!$AE$3:$AE$501,0))&amp;"","")</f>
        <v/>
      </c>
      <c r="G193" s="18" t="str">
        <f aca="false">IFERROR(INDEX(종합!G$3:G$501,MATCH(ROW()-2,종합!$AE$3:$AE$501,0))&amp;"","")</f>
        <v/>
      </c>
      <c r="H193" s="21" t="str">
        <f aca="false">IFERROR(INDEX(종합!H$3:H$501,MATCH(ROW()-2,종합!$AE$3:$AE$501,0))&amp;"","")</f>
        <v/>
      </c>
      <c r="I193" s="21" t="str">
        <f aca="false">IFERROR(INDEX(종합!I$3:I$501,MATCH(ROW()-2,종합!$AE$3:$AE$501,0))&amp;"","")</f>
        <v/>
      </c>
      <c r="J193" s="21" t="str">
        <f aca="false">IFERROR(INDEX(종합!J$3:J$501,MATCH(ROW()-2,종합!$AE$3:$AE$501,0))&amp;"","")</f>
        <v/>
      </c>
      <c r="K193" s="21" t="str">
        <f aca="false">IFERROR(INDEX(종합!K$3:K$501,MATCH(ROW()-2,종합!$AE$3:$AE$501,0))&amp;"","")</f>
        <v/>
      </c>
      <c r="L193" s="21" t="str">
        <f aca="false">IFERROR(INDEX(종합!L$3:L$501,MATCH(ROW()-2,종합!$AE$3:$AE$501,0))&amp;"","")</f>
        <v/>
      </c>
      <c r="M193" s="21" t="str">
        <f aca="false">IFERROR(INDEX(종합!M$3:M$501,MATCH(ROW()-2,종합!$AE$3:$AE$501,0))&amp;"","")</f>
        <v/>
      </c>
      <c r="N193" s="25" t="str">
        <f aca="false">IFERROR(INDEX(종합!N$3:N$501,MATCH(ROW()-2,종합!$AE$3:$AE$501,0))&amp;"","")</f>
        <v/>
      </c>
      <c r="O193" s="21" t="str">
        <f aca="false">IFERROR(INDEX(종합!O$3:O$501,MATCH(ROW()-2,종합!$AE$3:$AE$501,0))&amp;"","")</f>
        <v/>
      </c>
      <c r="P193" s="21" t="str">
        <f aca="false">IFERROR(INDEX(종합!P$3:P$501,MATCH(ROW()-2,종합!$AE$3:$AE$501,0))&amp;"","")</f>
        <v/>
      </c>
      <c r="Q193" s="21" t="str">
        <f aca="false">IFERROR(INDEX(종합!Q$3:Q$501,MATCH(ROW()-2,종합!$AE$3:$AE$501,0))&amp;"","")</f>
        <v/>
      </c>
      <c r="R193" s="21" t="str">
        <f aca="false">IFERROR(INDEX(종합!R$3:R$501,MATCH(ROW()-2,종합!$AE$3:$AE$501,0))&amp;"","")</f>
        <v/>
      </c>
      <c r="S193" s="21" t="str">
        <f aca="false">IFERROR(INDEX(종합!S$3:S$501,MATCH(ROW()-2,종합!$AE$3:$AE$501,0))&amp;"","")</f>
        <v/>
      </c>
      <c r="T193" s="21" t="str">
        <f aca="false">IFERROR(INDEX(종합!T$3:T$501,MATCH(ROW()-2,종합!$AE$3:$AE$501,0))&amp;"","")</f>
        <v/>
      </c>
      <c r="U193" s="21" t="str">
        <f aca="false">IFERROR(INDEX(종합!U$3:U$501,MATCH(ROW()-2,종합!$AE$3:$AE$501,0))&amp;"","")</f>
        <v/>
      </c>
      <c r="V193" s="21" t="str">
        <f aca="false">IFERROR(INDEX(종합!V$3:V$501,MATCH(ROW()-2,종합!$AE$3:$AE$501,0))&amp;"","")</f>
        <v/>
      </c>
      <c r="W193" s="21" t="str">
        <f aca="false">IFERROR(INDEX(종합!W$3:W$501,MATCH(ROW()-2,종합!$AE$3:$AE$501,0))&amp;"","")</f>
        <v/>
      </c>
      <c r="X193" s="21" t="str">
        <f aca="false">IFERROR(INDEX(종합!X$3:X$501,MATCH(ROW()-2,종합!$AE$3:$AE$501,0))&amp;"","")</f>
        <v/>
      </c>
      <c r="Y193" s="21" t="str">
        <f aca="false">IFERROR(INDEX(종합!Y$3:Y$501,MATCH(ROW()-2,종합!$AE$3:$AE$501,0))&amp;"","")</f>
        <v/>
      </c>
      <c r="Z193" s="21" t="str">
        <f aca="false">IFERROR(INDEX(종합!Z$3:Z$501,MATCH(ROW()-2,종합!$AE$3:$AE$501,0))&amp;"","")</f>
        <v/>
      </c>
    </row>
    <row r="194" customFormat="false" ht="16.5" hidden="false" customHeight="true" outlineLevel="0" collapsed="false">
      <c r="A194" s="18" t="str">
        <f aca="false">IF(B194="","",ROW()-2)</f>
        <v/>
      </c>
      <c r="B194" s="18" t="str">
        <f aca="false">IFERROR(INDEX(종합!B$3:B$501,MATCH(ROW()-2,종합!$AE$3:$AE$501,0))&amp;"","")</f>
        <v/>
      </c>
      <c r="C194" s="18" t="str">
        <f aca="false">IFERROR(INDEX(종합!C$3:C$501,MATCH(ROW()-2,종합!$AE$3:$AE$501,0))&amp;"","")</f>
        <v/>
      </c>
      <c r="D194" s="18" t="str">
        <f aca="false">IFERROR(INDEX(종합!D$3:D$501,MATCH(ROW()-2,종합!$AE$3:$AE$501,0))&amp;"","")</f>
        <v/>
      </c>
      <c r="E194" s="18" t="str">
        <f aca="false">IFERROR(INDEX(종합!E$3:E$501,MATCH(ROW()-2,종합!$AE$3:$AE$501,0))&amp;"","")</f>
        <v/>
      </c>
      <c r="F194" s="18" t="str">
        <f aca="false">IFERROR(INDEX(종합!F$3:F$501,MATCH(ROW()-2,종합!$AE$3:$AE$501,0))&amp;"","")</f>
        <v/>
      </c>
      <c r="G194" s="18" t="str">
        <f aca="false">IFERROR(INDEX(종합!G$3:G$501,MATCH(ROW()-2,종합!$AE$3:$AE$501,0))&amp;"","")</f>
        <v/>
      </c>
      <c r="H194" s="21" t="str">
        <f aca="false">IFERROR(INDEX(종합!H$3:H$501,MATCH(ROW()-2,종합!$AE$3:$AE$501,0))&amp;"","")</f>
        <v/>
      </c>
      <c r="I194" s="21" t="str">
        <f aca="false">IFERROR(INDEX(종합!I$3:I$501,MATCH(ROW()-2,종합!$AE$3:$AE$501,0))&amp;"","")</f>
        <v/>
      </c>
      <c r="J194" s="21" t="str">
        <f aca="false">IFERROR(INDEX(종합!J$3:J$501,MATCH(ROW()-2,종합!$AE$3:$AE$501,0))&amp;"","")</f>
        <v/>
      </c>
      <c r="K194" s="21" t="str">
        <f aca="false">IFERROR(INDEX(종합!K$3:K$501,MATCH(ROW()-2,종합!$AE$3:$AE$501,0))&amp;"","")</f>
        <v/>
      </c>
      <c r="L194" s="21" t="str">
        <f aca="false">IFERROR(INDEX(종합!L$3:L$501,MATCH(ROW()-2,종합!$AE$3:$AE$501,0))&amp;"","")</f>
        <v/>
      </c>
      <c r="M194" s="21" t="str">
        <f aca="false">IFERROR(INDEX(종합!M$3:M$501,MATCH(ROW()-2,종합!$AE$3:$AE$501,0))&amp;"","")</f>
        <v/>
      </c>
      <c r="N194" s="25" t="str">
        <f aca="false">IFERROR(INDEX(종합!N$3:N$501,MATCH(ROW()-2,종합!$AE$3:$AE$501,0))&amp;"","")</f>
        <v/>
      </c>
      <c r="O194" s="21" t="str">
        <f aca="false">IFERROR(INDEX(종합!O$3:O$501,MATCH(ROW()-2,종합!$AE$3:$AE$501,0))&amp;"","")</f>
        <v/>
      </c>
      <c r="P194" s="21" t="str">
        <f aca="false">IFERROR(INDEX(종합!P$3:P$501,MATCH(ROW()-2,종합!$AE$3:$AE$501,0))&amp;"","")</f>
        <v/>
      </c>
      <c r="Q194" s="21" t="str">
        <f aca="false">IFERROR(INDEX(종합!Q$3:Q$501,MATCH(ROW()-2,종합!$AE$3:$AE$501,0))&amp;"","")</f>
        <v/>
      </c>
      <c r="R194" s="21" t="str">
        <f aca="false">IFERROR(INDEX(종합!R$3:R$501,MATCH(ROW()-2,종합!$AE$3:$AE$501,0))&amp;"","")</f>
        <v/>
      </c>
      <c r="S194" s="21" t="str">
        <f aca="false">IFERROR(INDEX(종합!S$3:S$501,MATCH(ROW()-2,종합!$AE$3:$AE$501,0))&amp;"","")</f>
        <v/>
      </c>
      <c r="T194" s="21" t="str">
        <f aca="false">IFERROR(INDEX(종합!T$3:T$501,MATCH(ROW()-2,종합!$AE$3:$AE$501,0))&amp;"","")</f>
        <v/>
      </c>
      <c r="U194" s="21" t="str">
        <f aca="false">IFERROR(INDEX(종합!U$3:U$501,MATCH(ROW()-2,종합!$AE$3:$AE$501,0))&amp;"","")</f>
        <v/>
      </c>
      <c r="V194" s="21" t="str">
        <f aca="false">IFERROR(INDEX(종합!V$3:V$501,MATCH(ROW()-2,종합!$AE$3:$AE$501,0))&amp;"","")</f>
        <v/>
      </c>
      <c r="W194" s="21" t="str">
        <f aca="false">IFERROR(INDEX(종합!W$3:W$501,MATCH(ROW()-2,종합!$AE$3:$AE$501,0))&amp;"","")</f>
        <v/>
      </c>
      <c r="X194" s="21" t="str">
        <f aca="false">IFERROR(INDEX(종합!X$3:X$501,MATCH(ROW()-2,종합!$AE$3:$AE$501,0))&amp;"","")</f>
        <v/>
      </c>
      <c r="Y194" s="21" t="str">
        <f aca="false">IFERROR(INDEX(종합!Y$3:Y$501,MATCH(ROW()-2,종합!$AE$3:$AE$501,0))&amp;"","")</f>
        <v/>
      </c>
      <c r="Z194" s="21" t="str">
        <f aca="false">IFERROR(INDEX(종합!Z$3:Z$501,MATCH(ROW()-2,종합!$AE$3:$AE$501,0))&amp;"","")</f>
        <v/>
      </c>
    </row>
    <row r="195" customFormat="false" ht="16.5" hidden="false" customHeight="true" outlineLevel="0" collapsed="false">
      <c r="A195" s="18" t="str">
        <f aca="false">IF(B195="","",ROW()-2)</f>
        <v/>
      </c>
      <c r="B195" s="18" t="str">
        <f aca="false">IFERROR(INDEX(종합!B$3:B$501,MATCH(ROW()-2,종합!$AE$3:$AE$501,0))&amp;"","")</f>
        <v/>
      </c>
      <c r="C195" s="18" t="str">
        <f aca="false">IFERROR(INDEX(종합!C$3:C$501,MATCH(ROW()-2,종합!$AE$3:$AE$501,0))&amp;"","")</f>
        <v/>
      </c>
      <c r="D195" s="18" t="str">
        <f aca="false">IFERROR(INDEX(종합!D$3:D$501,MATCH(ROW()-2,종합!$AE$3:$AE$501,0))&amp;"","")</f>
        <v/>
      </c>
      <c r="E195" s="18" t="str">
        <f aca="false">IFERROR(INDEX(종합!E$3:E$501,MATCH(ROW()-2,종합!$AE$3:$AE$501,0))&amp;"","")</f>
        <v/>
      </c>
      <c r="F195" s="18" t="str">
        <f aca="false">IFERROR(INDEX(종합!F$3:F$501,MATCH(ROW()-2,종합!$AE$3:$AE$501,0))&amp;"","")</f>
        <v/>
      </c>
      <c r="G195" s="18" t="str">
        <f aca="false">IFERROR(INDEX(종합!G$3:G$501,MATCH(ROW()-2,종합!$AE$3:$AE$501,0))&amp;"","")</f>
        <v/>
      </c>
      <c r="H195" s="21" t="str">
        <f aca="false">IFERROR(INDEX(종합!H$3:H$501,MATCH(ROW()-2,종합!$AE$3:$AE$501,0))&amp;"","")</f>
        <v/>
      </c>
      <c r="I195" s="21" t="str">
        <f aca="false">IFERROR(INDEX(종합!I$3:I$501,MATCH(ROW()-2,종합!$AE$3:$AE$501,0))&amp;"","")</f>
        <v/>
      </c>
      <c r="J195" s="21" t="str">
        <f aca="false">IFERROR(INDEX(종합!J$3:J$501,MATCH(ROW()-2,종합!$AE$3:$AE$501,0))&amp;"","")</f>
        <v/>
      </c>
      <c r="K195" s="21" t="str">
        <f aca="false">IFERROR(INDEX(종합!K$3:K$501,MATCH(ROW()-2,종합!$AE$3:$AE$501,0))&amp;"","")</f>
        <v/>
      </c>
      <c r="L195" s="21" t="str">
        <f aca="false">IFERROR(INDEX(종합!L$3:L$501,MATCH(ROW()-2,종합!$AE$3:$AE$501,0))&amp;"","")</f>
        <v/>
      </c>
      <c r="M195" s="21" t="str">
        <f aca="false">IFERROR(INDEX(종합!M$3:M$501,MATCH(ROW()-2,종합!$AE$3:$AE$501,0))&amp;"","")</f>
        <v/>
      </c>
      <c r="N195" s="25" t="str">
        <f aca="false">IFERROR(INDEX(종합!N$3:N$501,MATCH(ROW()-2,종합!$AE$3:$AE$501,0))&amp;"","")</f>
        <v/>
      </c>
      <c r="O195" s="21" t="str">
        <f aca="false">IFERROR(INDEX(종합!O$3:O$501,MATCH(ROW()-2,종합!$AE$3:$AE$501,0))&amp;"","")</f>
        <v/>
      </c>
      <c r="P195" s="21" t="str">
        <f aca="false">IFERROR(INDEX(종합!P$3:P$501,MATCH(ROW()-2,종합!$AE$3:$AE$501,0))&amp;"","")</f>
        <v/>
      </c>
      <c r="Q195" s="21" t="str">
        <f aca="false">IFERROR(INDEX(종합!Q$3:Q$501,MATCH(ROW()-2,종합!$AE$3:$AE$501,0))&amp;"","")</f>
        <v/>
      </c>
      <c r="R195" s="21" t="str">
        <f aca="false">IFERROR(INDEX(종합!R$3:R$501,MATCH(ROW()-2,종합!$AE$3:$AE$501,0))&amp;"","")</f>
        <v/>
      </c>
      <c r="S195" s="21" t="str">
        <f aca="false">IFERROR(INDEX(종합!S$3:S$501,MATCH(ROW()-2,종합!$AE$3:$AE$501,0))&amp;"","")</f>
        <v/>
      </c>
      <c r="T195" s="21" t="str">
        <f aca="false">IFERROR(INDEX(종합!T$3:T$501,MATCH(ROW()-2,종합!$AE$3:$AE$501,0))&amp;"","")</f>
        <v/>
      </c>
      <c r="U195" s="21" t="str">
        <f aca="false">IFERROR(INDEX(종합!U$3:U$501,MATCH(ROW()-2,종합!$AE$3:$AE$501,0))&amp;"","")</f>
        <v/>
      </c>
      <c r="V195" s="21" t="str">
        <f aca="false">IFERROR(INDEX(종합!V$3:V$501,MATCH(ROW()-2,종합!$AE$3:$AE$501,0))&amp;"","")</f>
        <v/>
      </c>
      <c r="W195" s="21" t="str">
        <f aca="false">IFERROR(INDEX(종합!W$3:W$501,MATCH(ROW()-2,종합!$AE$3:$AE$501,0))&amp;"","")</f>
        <v/>
      </c>
      <c r="X195" s="21" t="str">
        <f aca="false">IFERROR(INDEX(종합!X$3:X$501,MATCH(ROW()-2,종합!$AE$3:$AE$501,0))&amp;"","")</f>
        <v/>
      </c>
      <c r="Y195" s="21" t="str">
        <f aca="false">IFERROR(INDEX(종합!Y$3:Y$501,MATCH(ROW()-2,종합!$AE$3:$AE$501,0))&amp;"","")</f>
        <v/>
      </c>
      <c r="Z195" s="21" t="str">
        <f aca="false">IFERROR(INDEX(종합!Z$3:Z$501,MATCH(ROW()-2,종합!$AE$3:$AE$501,0))&amp;"","")</f>
        <v/>
      </c>
    </row>
    <row r="196" customFormat="false" ht="16.5" hidden="false" customHeight="true" outlineLevel="0" collapsed="false">
      <c r="A196" s="18" t="str">
        <f aca="false">IF(B196="","",ROW()-2)</f>
        <v/>
      </c>
      <c r="B196" s="18" t="str">
        <f aca="false">IFERROR(INDEX(종합!B$3:B$501,MATCH(ROW()-2,종합!$AE$3:$AE$501,0))&amp;"","")</f>
        <v/>
      </c>
      <c r="C196" s="18" t="str">
        <f aca="false">IFERROR(INDEX(종합!C$3:C$501,MATCH(ROW()-2,종합!$AE$3:$AE$501,0))&amp;"","")</f>
        <v/>
      </c>
      <c r="D196" s="18" t="str">
        <f aca="false">IFERROR(INDEX(종합!D$3:D$501,MATCH(ROW()-2,종합!$AE$3:$AE$501,0))&amp;"","")</f>
        <v/>
      </c>
      <c r="E196" s="18" t="str">
        <f aca="false">IFERROR(INDEX(종합!E$3:E$501,MATCH(ROW()-2,종합!$AE$3:$AE$501,0))&amp;"","")</f>
        <v/>
      </c>
      <c r="F196" s="18" t="str">
        <f aca="false">IFERROR(INDEX(종합!F$3:F$501,MATCH(ROW()-2,종합!$AE$3:$AE$501,0))&amp;"","")</f>
        <v/>
      </c>
      <c r="G196" s="18" t="str">
        <f aca="false">IFERROR(INDEX(종합!G$3:G$501,MATCH(ROW()-2,종합!$AE$3:$AE$501,0))&amp;"","")</f>
        <v/>
      </c>
      <c r="H196" s="21" t="str">
        <f aca="false">IFERROR(INDEX(종합!H$3:H$501,MATCH(ROW()-2,종합!$AE$3:$AE$501,0))&amp;"","")</f>
        <v/>
      </c>
      <c r="I196" s="21" t="str">
        <f aca="false">IFERROR(INDEX(종합!I$3:I$501,MATCH(ROW()-2,종합!$AE$3:$AE$501,0))&amp;"","")</f>
        <v/>
      </c>
      <c r="J196" s="21" t="str">
        <f aca="false">IFERROR(INDEX(종합!J$3:J$501,MATCH(ROW()-2,종합!$AE$3:$AE$501,0))&amp;"","")</f>
        <v/>
      </c>
      <c r="K196" s="21" t="str">
        <f aca="false">IFERROR(INDEX(종합!K$3:K$501,MATCH(ROW()-2,종합!$AE$3:$AE$501,0))&amp;"","")</f>
        <v/>
      </c>
      <c r="L196" s="21" t="str">
        <f aca="false">IFERROR(INDEX(종합!L$3:L$501,MATCH(ROW()-2,종합!$AE$3:$AE$501,0))&amp;"","")</f>
        <v/>
      </c>
      <c r="M196" s="21" t="str">
        <f aca="false">IFERROR(INDEX(종합!M$3:M$501,MATCH(ROW()-2,종합!$AE$3:$AE$501,0))&amp;"","")</f>
        <v/>
      </c>
      <c r="N196" s="25" t="str">
        <f aca="false">IFERROR(INDEX(종합!N$3:N$501,MATCH(ROW()-2,종합!$AE$3:$AE$501,0))&amp;"","")</f>
        <v/>
      </c>
      <c r="O196" s="21" t="str">
        <f aca="false">IFERROR(INDEX(종합!O$3:O$501,MATCH(ROW()-2,종합!$AE$3:$AE$501,0))&amp;"","")</f>
        <v/>
      </c>
      <c r="P196" s="21" t="str">
        <f aca="false">IFERROR(INDEX(종합!P$3:P$501,MATCH(ROW()-2,종합!$AE$3:$AE$501,0))&amp;"","")</f>
        <v/>
      </c>
      <c r="Q196" s="21" t="str">
        <f aca="false">IFERROR(INDEX(종합!Q$3:Q$501,MATCH(ROW()-2,종합!$AE$3:$AE$501,0))&amp;"","")</f>
        <v/>
      </c>
      <c r="R196" s="21" t="str">
        <f aca="false">IFERROR(INDEX(종합!R$3:R$501,MATCH(ROW()-2,종합!$AE$3:$AE$501,0))&amp;"","")</f>
        <v/>
      </c>
      <c r="S196" s="21" t="str">
        <f aca="false">IFERROR(INDEX(종합!S$3:S$501,MATCH(ROW()-2,종합!$AE$3:$AE$501,0))&amp;"","")</f>
        <v/>
      </c>
      <c r="T196" s="21" t="str">
        <f aca="false">IFERROR(INDEX(종합!T$3:T$501,MATCH(ROW()-2,종합!$AE$3:$AE$501,0))&amp;"","")</f>
        <v/>
      </c>
      <c r="U196" s="21" t="str">
        <f aca="false">IFERROR(INDEX(종합!U$3:U$501,MATCH(ROW()-2,종합!$AE$3:$AE$501,0))&amp;"","")</f>
        <v/>
      </c>
      <c r="V196" s="21" t="str">
        <f aca="false">IFERROR(INDEX(종합!V$3:V$501,MATCH(ROW()-2,종합!$AE$3:$AE$501,0))&amp;"","")</f>
        <v/>
      </c>
      <c r="W196" s="21" t="str">
        <f aca="false">IFERROR(INDEX(종합!W$3:W$501,MATCH(ROW()-2,종합!$AE$3:$AE$501,0))&amp;"","")</f>
        <v/>
      </c>
      <c r="X196" s="21" t="str">
        <f aca="false">IFERROR(INDEX(종합!X$3:X$501,MATCH(ROW()-2,종합!$AE$3:$AE$501,0))&amp;"","")</f>
        <v/>
      </c>
      <c r="Y196" s="21" t="str">
        <f aca="false">IFERROR(INDEX(종합!Y$3:Y$501,MATCH(ROW()-2,종합!$AE$3:$AE$501,0))&amp;"","")</f>
        <v/>
      </c>
      <c r="Z196" s="21" t="str">
        <f aca="false">IFERROR(INDEX(종합!Z$3:Z$501,MATCH(ROW()-2,종합!$AE$3:$AE$501,0))&amp;"","")</f>
        <v/>
      </c>
    </row>
    <row r="197" customFormat="false" ht="16.5" hidden="false" customHeight="true" outlineLevel="0" collapsed="false">
      <c r="A197" s="18" t="str">
        <f aca="false">IF(B197="","",ROW()-2)</f>
        <v/>
      </c>
      <c r="B197" s="18" t="str">
        <f aca="false">IFERROR(INDEX(종합!B$3:B$501,MATCH(ROW()-2,종합!$AE$3:$AE$501,0))&amp;"","")</f>
        <v/>
      </c>
      <c r="C197" s="18" t="str">
        <f aca="false">IFERROR(INDEX(종합!C$3:C$501,MATCH(ROW()-2,종합!$AE$3:$AE$501,0))&amp;"","")</f>
        <v/>
      </c>
      <c r="D197" s="18" t="str">
        <f aca="false">IFERROR(INDEX(종합!D$3:D$501,MATCH(ROW()-2,종합!$AE$3:$AE$501,0))&amp;"","")</f>
        <v/>
      </c>
      <c r="E197" s="18" t="str">
        <f aca="false">IFERROR(INDEX(종합!E$3:E$501,MATCH(ROW()-2,종합!$AE$3:$AE$501,0))&amp;"","")</f>
        <v/>
      </c>
      <c r="F197" s="18" t="str">
        <f aca="false">IFERROR(INDEX(종합!F$3:F$501,MATCH(ROW()-2,종합!$AE$3:$AE$501,0))&amp;"","")</f>
        <v/>
      </c>
      <c r="G197" s="18" t="str">
        <f aca="false">IFERROR(INDEX(종합!G$3:G$501,MATCH(ROW()-2,종합!$AE$3:$AE$501,0))&amp;"","")</f>
        <v/>
      </c>
      <c r="H197" s="21" t="str">
        <f aca="false">IFERROR(INDEX(종합!H$3:H$501,MATCH(ROW()-2,종합!$AE$3:$AE$501,0))&amp;"","")</f>
        <v/>
      </c>
      <c r="I197" s="21" t="str">
        <f aca="false">IFERROR(INDEX(종합!I$3:I$501,MATCH(ROW()-2,종합!$AE$3:$AE$501,0))&amp;"","")</f>
        <v/>
      </c>
      <c r="J197" s="21" t="str">
        <f aca="false">IFERROR(INDEX(종합!J$3:J$501,MATCH(ROW()-2,종합!$AE$3:$AE$501,0))&amp;"","")</f>
        <v/>
      </c>
      <c r="K197" s="21" t="str">
        <f aca="false">IFERROR(INDEX(종합!K$3:K$501,MATCH(ROW()-2,종합!$AE$3:$AE$501,0))&amp;"","")</f>
        <v/>
      </c>
      <c r="L197" s="21" t="str">
        <f aca="false">IFERROR(INDEX(종합!L$3:L$501,MATCH(ROW()-2,종합!$AE$3:$AE$501,0))&amp;"","")</f>
        <v/>
      </c>
      <c r="M197" s="21" t="str">
        <f aca="false">IFERROR(INDEX(종합!M$3:M$501,MATCH(ROW()-2,종합!$AE$3:$AE$501,0))&amp;"","")</f>
        <v/>
      </c>
      <c r="N197" s="25" t="str">
        <f aca="false">IFERROR(INDEX(종합!N$3:N$501,MATCH(ROW()-2,종합!$AE$3:$AE$501,0))&amp;"","")</f>
        <v/>
      </c>
      <c r="O197" s="21" t="str">
        <f aca="false">IFERROR(INDEX(종합!O$3:O$501,MATCH(ROW()-2,종합!$AE$3:$AE$501,0))&amp;"","")</f>
        <v/>
      </c>
      <c r="P197" s="21" t="str">
        <f aca="false">IFERROR(INDEX(종합!P$3:P$501,MATCH(ROW()-2,종합!$AE$3:$AE$501,0))&amp;"","")</f>
        <v/>
      </c>
      <c r="Q197" s="21" t="str">
        <f aca="false">IFERROR(INDEX(종합!Q$3:Q$501,MATCH(ROW()-2,종합!$AE$3:$AE$501,0))&amp;"","")</f>
        <v/>
      </c>
      <c r="R197" s="21" t="str">
        <f aca="false">IFERROR(INDEX(종합!R$3:R$501,MATCH(ROW()-2,종합!$AE$3:$AE$501,0))&amp;"","")</f>
        <v/>
      </c>
      <c r="S197" s="21" t="str">
        <f aca="false">IFERROR(INDEX(종합!S$3:S$501,MATCH(ROW()-2,종합!$AE$3:$AE$501,0))&amp;"","")</f>
        <v/>
      </c>
      <c r="T197" s="21" t="str">
        <f aca="false">IFERROR(INDEX(종합!T$3:T$501,MATCH(ROW()-2,종합!$AE$3:$AE$501,0))&amp;"","")</f>
        <v/>
      </c>
      <c r="U197" s="21" t="str">
        <f aca="false">IFERROR(INDEX(종합!U$3:U$501,MATCH(ROW()-2,종합!$AE$3:$AE$501,0))&amp;"","")</f>
        <v/>
      </c>
      <c r="V197" s="21" t="str">
        <f aca="false">IFERROR(INDEX(종합!V$3:V$501,MATCH(ROW()-2,종합!$AE$3:$AE$501,0))&amp;"","")</f>
        <v/>
      </c>
      <c r="W197" s="21" t="str">
        <f aca="false">IFERROR(INDEX(종합!W$3:W$501,MATCH(ROW()-2,종합!$AE$3:$AE$501,0))&amp;"","")</f>
        <v/>
      </c>
      <c r="X197" s="21" t="str">
        <f aca="false">IFERROR(INDEX(종합!X$3:X$501,MATCH(ROW()-2,종합!$AE$3:$AE$501,0))&amp;"","")</f>
        <v/>
      </c>
      <c r="Y197" s="21" t="str">
        <f aca="false">IFERROR(INDEX(종합!Y$3:Y$501,MATCH(ROW()-2,종합!$AE$3:$AE$501,0))&amp;"","")</f>
        <v/>
      </c>
      <c r="Z197" s="21" t="str">
        <f aca="false">IFERROR(INDEX(종합!Z$3:Z$501,MATCH(ROW()-2,종합!$AE$3:$AE$501,0))&amp;"","")</f>
        <v/>
      </c>
    </row>
    <row r="198" customFormat="false" ht="16.5" hidden="false" customHeight="true" outlineLevel="0" collapsed="false">
      <c r="A198" s="18" t="str">
        <f aca="false">IF(B198="","",ROW()-2)</f>
        <v/>
      </c>
      <c r="B198" s="18" t="str">
        <f aca="false">IFERROR(INDEX(종합!B$3:B$501,MATCH(ROW()-2,종합!$AE$3:$AE$501,0))&amp;"","")</f>
        <v/>
      </c>
      <c r="C198" s="18" t="str">
        <f aca="false">IFERROR(INDEX(종합!C$3:C$501,MATCH(ROW()-2,종합!$AE$3:$AE$501,0))&amp;"","")</f>
        <v/>
      </c>
      <c r="D198" s="18" t="str">
        <f aca="false">IFERROR(INDEX(종합!D$3:D$501,MATCH(ROW()-2,종합!$AE$3:$AE$501,0))&amp;"","")</f>
        <v/>
      </c>
      <c r="E198" s="18" t="str">
        <f aca="false">IFERROR(INDEX(종합!E$3:E$501,MATCH(ROW()-2,종합!$AE$3:$AE$501,0))&amp;"","")</f>
        <v/>
      </c>
      <c r="F198" s="18" t="str">
        <f aca="false">IFERROR(INDEX(종합!F$3:F$501,MATCH(ROW()-2,종합!$AE$3:$AE$501,0))&amp;"","")</f>
        <v/>
      </c>
      <c r="G198" s="18" t="str">
        <f aca="false">IFERROR(INDEX(종합!G$3:G$501,MATCH(ROW()-2,종합!$AE$3:$AE$501,0))&amp;"","")</f>
        <v/>
      </c>
      <c r="H198" s="21" t="str">
        <f aca="false">IFERROR(INDEX(종합!H$3:H$501,MATCH(ROW()-2,종합!$AE$3:$AE$501,0))&amp;"","")</f>
        <v/>
      </c>
      <c r="I198" s="21" t="str">
        <f aca="false">IFERROR(INDEX(종합!I$3:I$501,MATCH(ROW()-2,종합!$AE$3:$AE$501,0))&amp;"","")</f>
        <v/>
      </c>
      <c r="J198" s="21" t="str">
        <f aca="false">IFERROR(INDEX(종합!J$3:J$501,MATCH(ROW()-2,종합!$AE$3:$AE$501,0))&amp;"","")</f>
        <v/>
      </c>
      <c r="K198" s="21" t="str">
        <f aca="false">IFERROR(INDEX(종합!K$3:K$501,MATCH(ROW()-2,종합!$AE$3:$AE$501,0))&amp;"","")</f>
        <v/>
      </c>
      <c r="L198" s="21" t="str">
        <f aca="false">IFERROR(INDEX(종합!L$3:L$501,MATCH(ROW()-2,종합!$AE$3:$AE$501,0))&amp;"","")</f>
        <v/>
      </c>
      <c r="M198" s="21" t="str">
        <f aca="false">IFERROR(INDEX(종합!M$3:M$501,MATCH(ROW()-2,종합!$AE$3:$AE$501,0))&amp;"","")</f>
        <v/>
      </c>
      <c r="N198" s="25" t="str">
        <f aca="false">IFERROR(INDEX(종합!N$3:N$501,MATCH(ROW()-2,종합!$AE$3:$AE$501,0))&amp;"","")</f>
        <v/>
      </c>
      <c r="O198" s="21" t="str">
        <f aca="false">IFERROR(INDEX(종합!O$3:O$501,MATCH(ROW()-2,종합!$AE$3:$AE$501,0))&amp;"","")</f>
        <v/>
      </c>
      <c r="P198" s="21" t="str">
        <f aca="false">IFERROR(INDEX(종합!P$3:P$501,MATCH(ROW()-2,종합!$AE$3:$AE$501,0))&amp;"","")</f>
        <v/>
      </c>
      <c r="Q198" s="21" t="str">
        <f aca="false">IFERROR(INDEX(종합!Q$3:Q$501,MATCH(ROW()-2,종합!$AE$3:$AE$501,0))&amp;"","")</f>
        <v/>
      </c>
      <c r="R198" s="21" t="str">
        <f aca="false">IFERROR(INDEX(종합!R$3:R$501,MATCH(ROW()-2,종합!$AE$3:$AE$501,0))&amp;"","")</f>
        <v/>
      </c>
      <c r="S198" s="21" t="str">
        <f aca="false">IFERROR(INDEX(종합!S$3:S$501,MATCH(ROW()-2,종합!$AE$3:$AE$501,0))&amp;"","")</f>
        <v/>
      </c>
      <c r="T198" s="21" t="str">
        <f aca="false">IFERROR(INDEX(종합!T$3:T$501,MATCH(ROW()-2,종합!$AE$3:$AE$501,0))&amp;"","")</f>
        <v/>
      </c>
      <c r="U198" s="21" t="str">
        <f aca="false">IFERROR(INDEX(종합!U$3:U$501,MATCH(ROW()-2,종합!$AE$3:$AE$501,0))&amp;"","")</f>
        <v/>
      </c>
      <c r="V198" s="21" t="str">
        <f aca="false">IFERROR(INDEX(종합!V$3:V$501,MATCH(ROW()-2,종합!$AE$3:$AE$501,0))&amp;"","")</f>
        <v/>
      </c>
      <c r="W198" s="21" t="str">
        <f aca="false">IFERROR(INDEX(종합!W$3:W$501,MATCH(ROW()-2,종합!$AE$3:$AE$501,0))&amp;"","")</f>
        <v/>
      </c>
      <c r="X198" s="21" t="str">
        <f aca="false">IFERROR(INDEX(종합!X$3:X$501,MATCH(ROW()-2,종합!$AE$3:$AE$501,0))&amp;"","")</f>
        <v/>
      </c>
      <c r="Y198" s="21" t="str">
        <f aca="false">IFERROR(INDEX(종합!Y$3:Y$501,MATCH(ROW()-2,종합!$AE$3:$AE$501,0))&amp;"","")</f>
        <v/>
      </c>
      <c r="Z198" s="21" t="str">
        <f aca="false">IFERROR(INDEX(종합!Z$3:Z$501,MATCH(ROW()-2,종합!$AE$3:$AE$501,0))&amp;"","")</f>
        <v/>
      </c>
    </row>
    <row r="199" customFormat="false" ht="16.5" hidden="false" customHeight="true" outlineLevel="0" collapsed="false">
      <c r="A199" s="18" t="str">
        <f aca="false">IF(B199="","",ROW()-2)</f>
        <v/>
      </c>
      <c r="B199" s="18" t="str">
        <f aca="false">IFERROR(INDEX(종합!B$3:B$501,MATCH(ROW()-2,종합!$AE$3:$AE$501,0))&amp;"","")</f>
        <v/>
      </c>
      <c r="C199" s="18" t="str">
        <f aca="false">IFERROR(INDEX(종합!C$3:C$501,MATCH(ROW()-2,종합!$AE$3:$AE$501,0))&amp;"","")</f>
        <v/>
      </c>
      <c r="D199" s="18" t="str">
        <f aca="false">IFERROR(INDEX(종합!D$3:D$501,MATCH(ROW()-2,종합!$AE$3:$AE$501,0))&amp;"","")</f>
        <v/>
      </c>
      <c r="E199" s="18" t="str">
        <f aca="false">IFERROR(INDEX(종합!E$3:E$501,MATCH(ROW()-2,종합!$AE$3:$AE$501,0))&amp;"","")</f>
        <v/>
      </c>
      <c r="F199" s="18" t="str">
        <f aca="false">IFERROR(INDEX(종합!F$3:F$501,MATCH(ROW()-2,종합!$AE$3:$AE$501,0))&amp;"","")</f>
        <v/>
      </c>
      <c r="G199" s="18" t="str">
        <f aca="false">IFERROR(INDEX(종합!G$3:G$501,MATCH(ROW()-2,종합!$AE$3:$AE$501,0))&amp;"","")</f>
        <v/>
      </c>
      <c r="H199" s="21" t="str">
        <f aca="false">IFERROR(INDEX(종합!H$3:H$501,MATCH(ROW()-2,종합!$AE$3:$AE$501,0))&amp;"","")</f>
        <v/>
      </c>
      <c r="I199" s="21" t="str">
        <f aca="false">IFERROR(INDEX(종합!I$3:I$501,MATCH(ROW()-2,종합!$AE$3:$AE$501,0))&amp;"","")</f>
        <v/>
      </c>
      <c r="J199" s="21" t="str">
        <f aca="false">IFERROR(INDEX(종합!J$3:J$501,MATCH(ROW()-2,종합!$AE$3:$AE$501,0))&amp;"","")</f>
        <v/>
      </c>
      <c r="K199" s="21" t="str">
        <f aca="false">IFERROR(INDEX(종합!K$3:K$501,MATCH(ROW()-2,종합!$AE$3:$AE$501,0))&amp;"","")</f>
        <v/>
      </c>
      <c r="L199" s="21" t="str">
        <f aca="false">IFERROR(INDEX(종합!L$3:L$501,MATCH(ROW()-2,종합!$AE$3:$AE$501,0))&amp;"","")</f>
        <v/>
      </c>
      <c r="M199" s="21" t="str">
        <f aca="false">IFERROR(INDEX(종합!M$3:M$501,MATCH(ROW()-2,종합!$AE$3:$AE$501,0))&amp;"","")</f>
        <v/>
      </c>
      <c r="N199" s="25" t="str">
        <f aca="false">IFERROR(INDEX(종합!N$3:N$501,MATCH(ROW()-2,종합!$AE$3:$AE$501,0))&amp;"","")</f>
        <v/>
      </c>
      <c r="O199" s="21" t="str">
        <f aca="false">IFERROR(INDEX(종합!O$3:O$501,MATCH(ROW()-2,종합!$AE$3:$AE$501,0))&amp;"","")</f>
        <v/>
      </c>
      <c r="P199" s="21" t="str">
        <f aca="false">IFERROR(INDEX(종합!P$3:P$501,MATCH(ROW()-2,종합!$AE$3:$AE$501,0))&amp;"","")</f>
        <v/>
      </c>
      <c r="Q199" s="21" t="str">
        <f aca="false">IFERROR(INDEX(종합!Q$3:Q$501,MATCH(ROW()-2,종합!$AE$3:$AE$501,0))&amp;"","")</f>
        <v/>
      </c>
      <c r="R199" s="21" t="str">
        <f aca="false">IFERROR(INDEX(종합!R$3:R$501,MATCH(ROW()-2,종합!$AE$3:$AE$501,0))&amp;"","")</f>
        <v/>
      </c>
      <c r="S199" s="21" t="str">
        <f aca="false">IFERROR(INDEX(종합!S$3:S$501,MATCH(ROW()-2,종합!$AE$3:$AE$501,0))&amp;"","")</f>
        <v/>
      </c>
      <c r="T199" s="21" t="str">
        <f aca="false">IFERROR(INDEX(종합!T$3:T$501,MATCH(ROW()-2,종합!$AE$3:$AE$501,0))&amp;"","")</f>
        <v/>
      </c>
      <c r="U199" s="21" t="str">
        <f aca="false">IFERROR(INDEX(종합!U$3:U$501,MATCH(ROW()-2,종합!$AE$3:$AE$501,0))&amp;"","")</f>
        <v/>
      </c>
      <c r="V199" s="21" t="str">
        <f aca="false">IFERROR(INDEX(종합!V$3:V$501,MATCH(ROW()-2,종합!$AE$3:$AE$501,0))&amp;"","")</f>
        <v/>
      </c>
      <c r="W199" s="21" t="str">
        <f aca="false">IFERROR(INDEX(종합!W$3:W$501,MATCH(ROW()-2,종합!$AE$3:$AE$501,0))&amp;"","")</f>
        <v/>
      </c>
      <c r="X199" s="21" t="str">
        <f aca="false">IFERROR(INDEX(종합!X$3:X$501,MATCH(ROW()-2,종합!$AE$3:$AE$501,0))&amp;"","")</f>
        <v/>
      </c>
      <c r="Y199" s="21" t="str">
        <f aca="false">IFERROR(INDEX(종합!Y$3:Y$501,MATCH(ROW()-2,종합!$AE$3:$AE$501,0))&amp;"","")</f>
        <v/>
      </c>
      <c r="Z199" s="21" t="str">
        <f aca="false">IFERROR(INDEX(종합!Z$3:Z$501,MATCH(ROW()-2,종합!$AE$3:$AE$501,0))&amp;"","")</f>
        <v/>
      </c>
    </row>
    <row r="200" customFormat="false" ht="16.5" hidden="false" customHeight="true" outlineLevel="0" collapsed="false">
      <c r="A200" s="18" t="str">
        <f aca="false">IF(B200="","",ROW()-2)</f>
        <v/>
      </c>
      <c r="B200" s="18" t="str">
        <f aca="false">IFERROR(INDEX(종합!B$3:B$501,MATCH(ROW()-2,종합!$AE$3:$AE$501,0))&amp;"","")</f>
        <v/>
      </c>
      <c r="C200" s="18" t="str">
        <f aca="false">IFERROR(INDEX(종합!C$3:C$501,MATCH(ROW()-2,종합!$AE$3:$AE$501,0))&amp;"","")</f>
        <v/>
      </c>
      <c r="D200" s="18" t="str">
        <f aca="false">IFERROR(INDEX(종합!D$3:D$501,MATCH(ROW()-2,종합!$AE$3:$AE$501,0))&amp;"","")</f>
        <v/>
      </c>
      <c r="E200" s="18" t="str">
        <f aca="false">IFERROR(INDEX(종합!E$3:E$501,MATCH(ROW()-2,종합!$AE$3:$AE$501,0))&amp;"","")</f>
        <v/>
      </c>
      <c r="F200" s="18" t="str">
        <f aca="false">IFERROR(INDEX(종합!F$3:F$501,MATCH(ROW()-2,종합!$AE$3:$AE$501,0))&amp;"","")</f>
        <v/>
      </c>
      <c r="G200" s="18" t="str">
        <f aca="false">IFERROR(INDEX(종합!G$3:G$501,MATCH(ROW()-2,종합!$AE$3:$AE$501,0))&amp;"","")</f>
        <v/>
      </c>
      <c r="H200" s="21" t="str">
        <f aca="false">IFERROR(INDEX(종합!H$3:H$501,MATCH(ROW()-2,종합!$AE$3:$AE$501,0))&amp;"","")</f>
        <v/>
      </c>
      <c r="I200" s="21" t="str">
        <f aca="false">IFERROR(INDEX(종합!I$3:I$501,MATCH(ROW()-2,종합!$AE$3:$AE$501,0))&amp;"","")</f>
        <v/>
      </c>
      <c r="J200" s="21" t="str">
        <f aca="false">IFERROR(INDEX(종합!J$3:J$501,MATCH(ROW()-2,종합!$AE$3:$AE$501,0))&amp;"","")</f>
        <v/>
      </c>
      <c r="K200" s="21" t="str">
        <f aca="false">IFERROR(INDEX(종합!K$3:K$501,MATCH(ROW()-2,종합!$AE$3:$AE$501,0))&amp;"","")</f>
        <v/>
      </c>
      <c r="L200" s="21" t="str">
        <f aca="false">IFERROR(INDEX(종합!L$3:L$501,MATCH(ROW()-2,종합!$AE$3:$AE$501,0))&amp;"","")</f>
        <v/>
      </c>
      <c r="M200" s="21" t="str">
        <f aca="false">IFERROR(INDEX(종합!M$3:M$501,MATCH(ROW()-2,종합!$AE$3:$AE$501,0))&amp;"","")</f>
        <v/>
      </c>
      <c r="N200" s="25" t="str">
        <f aca="false">IFERROR(INDEX(종합!N$3:N$501,MATCH(ROW()-2,종합!$AE$3:$AE$501,0))&amp;"","")</f>
        <v/>
      </c>
      <c r="O200" s="21" t="str">
        <f aca="false">IFERROR(INDEX(종합!O$3:O$501,MATCH(ROW()-2,종합!$AE$3:$AE$501,0))&amp;"","")</f>
        <v/>
      </c>
      <c r="P200" s="21" t="str">
        <f aca="false">IFERROR(INDEX(종합!P$3:P$501,MATCH(ROW()-2,종합!$AE$3:$AE$501,0))&amp;"","")</f>
        <v/>
      </c>
      <c r="Q200" s="21" t="str">
        <f aca="false">IFERROR(INDEX(종합!Q$3:Q$501,MATCH(ROW()-2,종합!$AE$3:$AE$501,0))&amp;"","")</f>
        <v/>
      </c>
      <c r="R200" s="21" t="str">
        <f aca="false">IFERROR(INDEX(종합!R$3:R$501,MATCH(ROW()-2,종합!$AE$3:$AE$501,0))&amp;"","")</f>
        <v/>
      </c>
      <c r="S200" s="21" t="str">
        <f aca="false">IFERROR(INDEX(종합!S$3:S$501,MATCH(ROW()-2,종합!$AE$3:$AE$501,0))&amp;"","")</f>
        <v/>
      </c>
      <c r="T200" s="21" t="str">
        <f aca="false">IFERROR(INDEX(종합!T$3:T$501,MATCH(ROW()-2,종합!$AE$3:$AE$501,0))&amp;"","")</f>
        <v/>
      </c>
      <c r="U200" s="21" t="str">
        <f aca="false">IFERROR(INDEX(종합!U$3:U$501,MATCH(ROW()-2,종합!$AE$3:$AE$501,0))&amp;"","")</f>
        <v/>
      </c>
      <c r="V200" s="21" t="str">
        <f aca="false">IFERROR(INDEX(종합!V$3:V$501,MATCH(ROW()-2,종합!$AE$3:$AE$501,0))&amp;"","")</f>
        <v/>
      </c>
      <c r="W200" s="21" t="str">
        <f aca="false">IFERROR(INDEX(종합!W$3:W$501,MATCH(ROW()-2,종합!$AE$3:$AE$501,0))&amp;"","")</f>
        <v/>
      </c>
      <c r="X200" s="21" t="str">
        <f aca="false">IFERROR(INDEX(종합!X$3:X$501,MATCH(ROW()-2,종합!$AE$3:$AE$501,0))&amp;"","")</f>
        <v/>
      </c>
      <c r="Y200" s="21" t="str">
        <f aca="false">IFERROR(INDEX(종합!Y$3:Y$501,MATCH(ROW()-2,종합!$AE$3:$AE$501,0))&amp;"","")</f>
        <v/>
      </c>
      <c r="Z200" s="21" t="str">
        <f aca="false">IFERROR(INDEX(종합!Z$3:Z$501,MATCH(ROW()-2,종합!$AE$3:$AE$501,0))&amp;"","")</f>
        <v/>
      </c>
    </row>
    <row r="201" customFormat="false" ht="16.5" hidden="false" customHeight="true" outlineLevel="0" collapsed="false">
      <c r="A201" s="18" t="str">
        <f aca="false">IF(B201="","",ROW()-2)</f>
        <v/>
      </c>
      <c r="B201" s="18" t="str">
        <f aca="false">IFERROR(INDEX(종합!B$3:B$501,MATCH(ROW()-2,종합!$AE$3:$AE$501,0))&amp;"","")</f>
        <v/>
      </c>
      <c r="C201" s="18" t="str">
        <f aca="false">IFERROR(INDEX(종합!C$3:C$501,MATCH(ROW()-2,종합!$AE$3:$AE$501,0))&amp;"","")</f>
        <v/>
      </c>
      <c r="D201" s="18" t="str">
        <f aca="false">IFERROR(INDEX(종합!D$3:D$501,MATCH(ROW()-2,종합!$AE$3:$AE$501,0))&amp;"","")</f>
        <v/>
      </c>
      <c r="E201" s="18" t="str">
        <f aca="false">IFERROR(INDEX(종합!E$3:E$501,MATCH(ROW()-2,종합!$AE$3:$AE$501,0))&amp;"","")</f>
        <v/>
      </c>
      <c r="F201" s="18" t="str">
        <f aca="false">IFERROR(INDEX(종합!F$3:F$501,MATCH(ROW()-2,종합!$AE$3:$AE$501,0))&amp;"","")</f>
        <v/>
      </c>
      <c r="G201" s="18" t="str">
        <f aca="false">IFERROR(INDEX(종합!G$3:G$501,MATCH(ROW()-2,종합!$AE$3:$AE$501,0))&amp;"","")</f>
        <v/>
      </c>
      <c r="H201" s="21" t="str">
        <f aca="false">IFERROR(INDEX(종합!H$3:H$501,MATCH(ROW()-2,종합!$AE$3:$AE$501,0))&amp;"","")</f>
        <v/>
      </c>
      <c r="I201" s="21" t="str">
        <f aca="false">IFERROR(INDEX(종합!I$3:I$501,MATCH(ROW()-2,종합!$AE$3:$AE$501,0))&amp;"","")</f>
        <v/>
      </c>
      <c r="J201" s="21" t="str">
        <f aca="false">IFERROR(INDEX(종합!J$3:J$501,MATCH(ROW()-2,종합!$AE$3:$AE$501,0))&amp;"","")</f>
        <v/>
      </c>
      <c r="K201" s="21" t="str">
        <f aca="false">IFERROR(INDEX(종합!K$3:K$501,MATCH(ROW()-2,종합!$AE$3:$AE$501,0))&amp;"","")</f>
        <v/>
      </c>
      <c r="L201" s="21" t="str">
        <f aca="false">IFERROR(INDEX(종합!L$3:L$501,MATCH(ROW()-2,종합!$AE$3:$AE$501,0))&amp;"","")</f>
        <v/>
      </c>
      <c r="M201" s="21" t="str">
        <f aca="false">IFERROR(INDEX(종합!M$3:M$501,MATCH(ROW()-2,종합!$AE$3:$AE$501,0))&amp;"","")</f>
        <v/>
      </c>
      <c r="N201" s="25" t="str">
        <f aca="false">IFERROR(INDEX(종합!N$3:N$501,MATCH(ROW()-2,종합!$AE$3:$AE$501,0))&amp;"","")</f>
        <v/>
      </c>
      <c r="O201" s="21" t="str">
        <f aca="false">IFERROR(INDEX(종합!O$3:O$501,MATCH(ROW()-2,종합!$AE$3:$AE$501,0))&amp;"","")</f>
        <v/>
      </c>
      <c r="P201" s="21" t="str">
        <f aca="false">IFERROR(INDEX(종합!P$3:P$501,MATCH(ROW()-2,종합!$AE$3:$AE$501,0))&amp;"","")</f>
        <v/>
      </c>
      <c r="Q201" s="21" t="str">
        <f aca="false">IFERROR(INDEX(종합!Q$3:Q$501,MATCH(ROW()-2,종합!$AE$3:$AE$501,0))&amp;"","")</f>
        <v/>
      </c>
      <c r="R201" s="21" t="str">
        <f aca="false">IFERROR(INDEX(종합!R$3:R$501,MATCH(ROW()-2,종합!$AE$3:$AE$501,0))&amp;"","")</f>
        <v/>
      </c>
      <c r="S201" s="21" t="str">
        <f aca="false">IFERROR(INDEX(종합!S$3:S$501,MATCH(ROW()-2,종합!$AE$3:$AE$501,0))&amp;"","")</f>
        <v/>
      </c>
      <c r="T201" s="21" t="str">
        <f aca="false">IFERROR(INDEX(종합!T$3:T$501,MATCH(ROW()-2,종합!$AE$3:$AE$501,0))&amp;"","")</f>
        <v/>
      </c>
      <c r="U201" s="21" t="str">
        <f aca="false">IFERROR(INDEX(종합!U$3:U$501,MATCH(ROW()-2,종합!$AE$3:$AE$501,0))&amp;"","")</f>
        <v/>
      </c>
      <c r="V201" s="21" t="str">
        <f aca="false">IFERROR(INDEX(종합!V$3:V$501,MATCH(ROW()-2,종합!$AE$3:$AE$501,0))&amp;"","")</f>
        <v/>
      </c>
      <c r="W201" s="21" t="str">
        <f aca="false">IFERROR(INDEX(종합!W$3:W$501,MATCH(ROW()-2,종합!$AE$3:$AE$501,0))&amp;"","")</f>
        <v/>
      </c>
      <c r="X201" s="21" t="str">
        <f aca="false">IFERROR(INDEX(종합!X$3:X$501,MATCH(ROW()-2,종합!$AE$3:$AE$501,0))&amp;"","")</f>
        <v/>
      </c>
      <c r="Y201" s="21" t="str">
        <f aca="false">IFERROR(INDEX(종합!Y$3:Y$501,MATCH(ROW()-2,종합!$AE$3:$AE$501,0))&amp;"","")</f>
        <v/>
      </c>
      <c r="Z201" s="21" t="str">
        <f aca="false">IFERROR(INDEX(종합!Z$3:Z$501,MATCH(ROW()-2,종합!$AE$3:$AE$501,0))&amp;"","")</f>
        <v/>
      </c>
    </row>
    <row r="202" customFormat="false" ht="16.5" hidden="false" customHeight="true" outlineLevel="0" collapsed="false">
      <c r="A202" s="18" t="str">
        <f aca="false">IF(B202="","",ROW()-2)</f>
        <v/>
      </c>
      <c r="B202" s="18" t="str">
        <f aca="false">IFERROR(INDEX(종합!B$3:B$501,MATCH(ROW()-2,종합!$AE$3:$AE$501,0))&amp;"","")</f>
        <v/>
      </c>
      <c r="C202" s="18" t="str">
        <f aca="false">IFERROR(INDEX(종합!C$3:C$501,MATCH(ROW()-2,종합!$AE$3:$AE$501,0))&amp;"","")</f>
        <v/>
      </c>
      <c r="D202" s="18" t="str">
        <f aca="false">IFERROR(INDEX(종합!D$3:D$501,MATCH(ROW()-2,종합!$AE$3:$AE$501,0))&amp;"","")</f>
        <v/>
      </c>
      <c r="E202" s="18" t="str">
        <f aca="false">IFERROR(INDEX(종합!E$3:E$501,MATCH(ROW()-2,종합!$AE$3:$AE$501,0))&amp;"","")</f>
        <v/>
      </c>
      <c r="F202" s="18" t="str">
        <f aca="false">IFERROR(INDEX(종합!F$3:F$501,MATCH(ROW()-2,종합!$AE$3:$AE$501,0))&amp;"","")</f>
        <v/>
      </c>
      <c r="G202" s="18" t="str">
        <f aca="false">IFERROR(INDEX(종합!G$3:G$501,MATCH(ROW()-2,종합!$AE$3:$AE$501,0))&amp;"","")</f>
        <v/>
      </c>
      <c r="H202" s="21" t="str">
        <f aca="false">IFERROR(INDEX(종합!H$3:H$501,MATCH(ROW()-2,종합!$AE$3:$AE$501,0))&amp;"","")</f>
        <v/>
      </c>
      <c r="I202" s="21" t="str">
        <f aca="false">IFERROR(INDEX(종합!I$3:I$501,MATCH(ROW()-2,종합!$AE$3:$AE$501,0))&amp;"","")</f>
        <v/>
      </c>
      <c r="J202" s="21" t="str">
        <f aca="false">IFERROR(INDEX(종합!J$3:J$501,MATCH(ROW()-2,종합!$AE$3:$AE$501,0))&amp;"","")</f>
        <v/>
      </c>
      <c r="K202" s="21" t="str">
        <f aca="false">IFERROR(INDEX(종합!K$3:K$501,MATCH(ROW()-2,종합!$AE$3:$AE$501,0))&amp;"","")</f>
        <v/>
      </c>
      <c r="L202" s="21" t="str">
        <f aca="false">IFERROR(INDEX(종합!L$3:L$501,MATCH(ROW()-2,종합!$AE$3:$AE$501,0))&amp;"","")</f>
        <v/>
      </c>
      <c r="M202" s="21" t="str">
        <f aca="false">IFERROR(INDEX(종합!M$3:M$501,MATCH(ROW()-2,종합!$AE$3:$AE$501,0))&amp;"","")</f>
        <v/>
      </c>
      <c r="N202" s="25" t="str">
        <f aca="false">IFERROR(INDEX(종합!N$3:N$501,MATCH(ROW()-2,종합!$AE$3:$AE$501,0))&amp;"","")</f>
        <v/>
      </c>
      <c r="O202" s="21" t="str">
        <f aca="false">IFERROR(INDEX(종합!O$3:O$501,MATCH(ROW()-2,종합!$AE$3:$AE$501,0))&amp;"","")</f>
        <v/>
      </c>
      <c r="P202" s="21" t="str">
        <f aca="false">IFERROR(INDEX(종합!P$3:P$501,MATCH(ROW()-2,종합!$AE$3:$AE$501,0))&amp;"","")</f>
        <v/>
      </c>
      <c r="Q202" s="21" t="str">
        <f aca="false">IFERROR(INDEX(종합!Q$3:Q$501,MATCH(ROW()-2,종합!$AE$3:$AE$501,0))&amp;"","")</f>
        <v/>
      </c>
      <c r="R202" s="21" t="str">
        <f aca="false">IFERROR(INDEX(종합!R$3:R$501,MATCH(ROW()-2,종합!$AE$3:$AE$501,0))&amp;"","")</f>
        <v/>
      </c>
      <c r="S202" s="21" t="str">
        <f aca="false">IFERROR(INDEX(종합!S$3:S$501,MATCH(ROW()-2,종합!$AE$3:$AE$501,0))&amp;"","")</f>
        <v/>
      </c>
      <c r="T202" s="21" t="str">
        <f aca="false">IFERROR(INDEX(종합!T$3:T$501,MATCH(ROW()-2,종합!$AE$3:$AE$501,0))&amp;"","")</f>
        <v/>
      </c>
      <c r="U202" s="21" t="str">
        <f aca="false">IFERROR(INDEX(종합!U$3:U$501,MATCH(ROW()-2,종합!$AE$3:$AE$501,0))&amp;"","")</f>
        <v/>
      </c>
      <c r="V202" s="21" t="str">
        <f aca="false">IFERROR(INDEX(종합!V$3:V$501,MATCH(ROW()-2,종합!$AE$3:$AE$501,0))&amp;"","")</f>
        <v/>
      </c>
      <c r="W202" s="21" t="str">
        <f aca="false">IFERROR(INDEX(종합!W$3:W$501,MATCH(ROW()-2,종합!$AE$3:$AE$501,0))&amp;"","")</f>
        <v/>
      </c>
      <c r="X202" s="21" t="str">
        <f aca="false">IFERROR(INDEX(종합!X$3:X$501,MATCH(ROW()-2,종합!$AE$3:$AE$501,0))&amp;"","")</f>
        <v/>
      </c>
      <c r="Y202" s="21" t="str">
        <f aca="false">IFERROR(INDEX(종합!Y$3:Y$501,MATCH(ROW()-2,종합!$AE$3:$AE$501,0))&amp;"","")</f>
        <v/>
      </c>
      <c r="Z202" s="21" t="str">
        <f aca="false">IFERROR(INDEX(종합!Z$3:Z$501,MATCH(ROW()-2,종합!$AE$3:$AE$501,0))&amp;"","")</f>
        <v/>
      </c>
    </row>
    <row r="203" customFormat="false" ht="16.5" hidden="false" customHeight="true" outlineLevel="0" collapsed="false">
      <c r="A203" s="18" t="str">
        <f aca="false">IF(B203="","",ROW()-2)</f>
        <v/>
      </c>
      <c r="B203" s="18" t="str">
        <f aca="false">IFERROR(INDEX(종합!B$3:B$501,MATCH(ROW()-2,종합!$AE$3:$AE$501,0))&amp;"","")</f>
        <v/>
      </c>
      <c r="C203" s="18" t="str">
        <f aca="false">IFERROR(INDEX(종합!C$3:C$501,MATCH(ROW()-2,종합!$AE$3:$AE$501,0))&amp;"","")</f>
        <v/>
      </c>
      <c r="D203" s="18" t="str">
        <f aca="false">IFERROR(INDEX(종합!D$3:D$501,MATCH(ROW()-2,종합!$AE$3:$AE$501,0))&amp;"","")</f>
        <v/>
      </c>
      <c r="E203" s="18" t="str">
        <f aca="false">IFERROR(INDEX(종합!E$3:E$501,MATCH(ROW()-2,종합!$AE$3:$AE$501,0))&amp;"","")</f>
        <v/>
      </c>
      <c r="F203" s="18" t="str">
        <f aca="false">IFERROR(INDEX(종합!F$3:F$501,MATCH(ROW()-2,종합!$AE$3:$AE$501,0))&amp;"","")</f>
        <v/>
      </c>
      <c r="G203" s="18" t="str">
        <f aca="false">IFERROR(INDEX(종합!G$3:G$501,MATCH(ROW()-2,종합!$AE$3:$AE$501,0))&amp;"","")</f>
        <v/>
      </c>
      <c r="H203" s="21" t="str">
        <f aca="false">IFERROR(INDEX(종합!H$3:H$501,MATCH(ROW()-2,종합!$AE$3:$AE$501,0))&amp;"","")</f>
        <v/>
      </c>
      <c r="I203" s="21" t="str">
        <f aca="false">IFERROR(INDEX(종합!I$3:I$501,MATCH(ROW()-2,종합!$AE$3:$AE$501,0))&amp;"","")</f>
        <v/>
      </c>
      <c r="J203" s="21" t="str">
        <f aca="false">IFERROR(INDEX(종합!J$3:J$501,MATCH(ROW()-2,종합!$AE$3:$AE$501,0))&amp;"","")</f>
        <v/>
      </c>
      <c r="K203" s="21" t="str">
        <f aca="false">IFERROR(INDEX(종합!K$3:K$501,MATCH(ROW()-2,종합!$AE$3:$AE$501,0))&amp;"","")</f>
        <v/>
      </c>
      <c r="L203" s="21" t="str">
        <f aca="false">IFERROR(INDEX(종합!L$3:L$501,MATCH(ROW()-2,종합!$AE$3:$AE$501,0))&amp;"","")</f>
        <v/>
      </c>
      <c r="M203" s="21" t="str">
        <f aca="false">IFERROR(INDEX(종합!M$3:M$501,MATCH(ROW()-2,종합!$AE$3:$AE$501,0))&amp;"","")</f>
        <v/>
      </c>
      <c r="N203" s="25" t="str">
        <f aca="false">IFERROR(INDEX(종합!N$3:N$501,MATCH(ROW()-2,종합!$AE$3:$AE$501,0))&amp;"","")</f>
        <v/>
      </c>
      <c r="O203" s="21" t="str">
        <f aca="false">IFERROR(INDEX(종합!O$3:O$501,MATCH(ROW()-2,종합!$AE$3:$AE$501,0))&amp;"","")</f>
        <v/>
      </c>
      <c r="P203" s="21" t="str">
        <f aca="false">IFERROR(INDEX(종합!P$3:P$501,MATCH(ROW()-2,종합!$AE$3:$AE$501,0))&amp;"","")</f>
        <v/>
      </c>
      <c r="Q203" s="21" t="str">
        <f aca="false">IFERROR(INDEX(종합!Q$3:Q$501,MATCH(ROW()-2,종합!$AE$3:$AE$501,0))&amp;"","")</f>
        <v/>
      </c>
      <c r="R203" s="21" t="str">
        <f aca="false">IFERROR(INDEX(종합!R$3:R$501,MATCH(ROW()-2,종합!$AE$3:$AE$501,0))&amp;"","")</f>
        <v/>
      </c>
      <c r="S203" s="21" t="str">
        <f aca="false">IFERROR(INDEX(종합!S$3:S$501,MATCH(ROW()-2,종합!$AE$3:$AE$501,0))&amp;"","")</f>
        <v/>
      </c>
      <c r="T203" s="21" t="str">
        <f aca="false">IFERROR(INDEX(종합!T$3:T$501,MATCH(ROW()-2,종합!$AE$3:$AE$501,0))&amp;"","")</f>
        <v/>
      </c>
      <c r="U203" s="21" t="str">
        <f aca="false">IFERROR(INDEX(종합!U$3:U$501,MATCH(ROW()-2,종합!$AE$3:$AE$501,0))&amp;"","")</f>
        <v/>
      </c>
      <c r="V203" s="21" t="str">
        <f aca="false">IFERROR(INDEX(종합!V$3:V$501,MATCH(ROW()-2,종합!$AE$3:$AE$501,0))&amp;"","")</f>
        <v/>
      </c>
      <c r="W203" s="21" t="str">
        <f aca="false">IFERROR(INDEX(종합!W$3:W$501,MATCH(ROW()-2,종합!$AE$3:$AE$501,0))&amp;"","")</f>
        <v/>
      </c>
      <c r="X203" s="21" t="str">
        <f aca="false">IFERROR(INDEX(종합!X$3:X$501,MATCH(ROW()-2,종합!$AE$3:$AE$501,0))&amp;"","")</f>
        <v/>
      </c>
      <c r="Y203" s="21" t="str">
        <f aca="false">IFERROR(INDEX(종합!Y$3:Y$501,MATCH(ROW()-2,종합!$AE$3:$AE$501,0))&amp;"","")</f>
        <v/>
      </c>
      <c r="Z203" s="21" t="str">
        <f aca="false">IFERROR(INDEX(종합!Z$3:Z$501,MATCH(ROW()-2,종합!$AE$3:$AE$501,0))&amp;"","")</f>
        <v/>
      </c>
    </row>
    <row r="204" customFormat="false" ht="16.5" hidden="false" customHeight="true" outlineLevel="0" collapsed="false">
      <c r="A204" s="18" t="str">
        <f aca="false">IF(B204="","",ROW()-2)</f>
        <v/>
      </c>
      <c r="B204" s="18" t="str">
        <f aca="false">IFERROR(INDEX(종합!B$3:B$501,MATCH(ROW()-2,종합!$AE$3:$AE$501,0))&amp;"","")</f>
        <v/>
      </c>
      <c r="C204" s="18" t="str">
        <f aca="false">IFERROR(INDEX(종합!C$3:C$501,MATCH(ROW()-2,종합!$AE$3:$AE$501,0))&amp;"","")</f>
        <v/>
      </c>
      <c r="D204" s="18" t="str">
        <f aca="false">IFERROR(INDEX(종합!D$3:D$501,MATCH(ROW()-2,종합!$AE$3:$AE$501,0))&amp;"","")</f>
        <v/>
      </c>
      <c r="E204" s="18" t="str">
        <f aca="false">IFERROR(INDEX(종합!E$3:E$501,MATCH(ROW()-2,종합!$AE$3:$AE$501,0))&amp;"","")</f>
        <v/>
      </c>
      <c r="F204" s="18" t="str">
        <f aca="false">IFERROR(INDEX(종합!F$3:F$501,MATCH(ROW()-2,종합!$AE$3:$AE$501,0))&amp;"","")</f>
        <v/>
      </c>
      <c r="G204" s="18" t="str">
        <f aca="false">IFERROR(INDEX(종합!G$3:G$501,MATCH(ROW()-2,종합!$AE$3:$AE$501,0))&amp;"","")</f>
        <v/>
      </c>
      <c r="H204" s="21" t="str">
        <f aca="false">IFERROR(INDEX(종합!H$3:H$501,MATCH(ROW()-2,종합!$AE$3:$AE$501,0))&amp;"","")</f>
        <v/>
      </c>
      <c r="I204" s="21" t="str">
        <f aca="false">IFERROR(INDEX(종합!I$3:I$501,MATCH(ROW()-2,종합!$AE$3:$AE$501,0))&amp;"","")</f>
        <v/>
      </c>
      <c r="J204" s="21" t="str">
        <f aca="false">IFERROR(INDEX(종합!J$3:J$501,MATCH(ROW()-2,종합!$AE$3:$AE$501,0))&amp;"","")</f>
        <v/>
      </c>
      <c r="K204" s="21" t="str">
        <f aca="false">IFERROR(INDEX(종합!K$3:K$501,MATCH(ROW()-2,종합!$AE$3:$AE$501,0))&amp;"","")</f>
        <v/>
      </c>
      <c r="L204" s="21" t="str">
        <f aca="false">IFERROR(INDEX(종합!L$3:L$501,MATCH(ROW()-2,종합!$AE$3:$AE$501,0))&amp;"","")</f>
        <v/>
      </c>
      <c r="M204" s="21" t="str">
        <f aca="false">IFERROR(INDEX(종합!M$3:M$501,MATCH(ROW()-2,종합!$AE$3:$AE$501,0))&amp;"","")</f>
        <v/>
      </c>
      <c r="N204" s="25" t="str">
        <f aca="false">IFERROR(INDEX(종합!N$3:N$501,MATCH(ROW()-2,종합!$AE$3:$AE$501,0))&amp;"","")</f>
        <v/>
      </c>
      <c r="O204" s="21" t="str">
        <f aca="false">IFERROR(INDEX(종합!O$3:O$501,MATCH(ROW()-2,종합!$AE$3:$AE$501,0))&amp;"","")</f>
        <v/>
      </c>
      <c r="P204" s="21" t="str">
        <f aca="false">IFERROR(INDEX(종합!P$3:P$501,MATCH(ROW()-2,종합!$AE$3:$AE$501,0))&amp;"","")</f>
        <v/>
      </c>
      <c r="Q204" s="21" t="str">
        <f aca="false">IFERROR(INDEX(종합!Q$3:Q$501,MATCH(ROW()-2,종합!$AE$3:$AE$501,0))&amp;"","")</f>
        <v/>
      </c>
      <c r="R204" s="21" t="str">
        <f aca="false">IFERROR(INDEX(종합!R$3:R$501,MATCH(ROW()-2,종합!$AE$3:$AE$501,0))&amp;"","")</f>
        <v/>
      </c>
      <c r="S204" s="21" t="str">
        <f aca="false">IFERROR(INDEX(종합!S$3:S$501,MATCH(ROW()-2,종합!$AE$3:$AE$501,0))&amp;"","")</f>
        <v/>
      </c>
      <c r="T204" s="21" t="str">
        <f aca="false">IFERROR(INDEX(종합!T$3:T$501,MATCH(ROW()-2,종합!$AE$3:$AE$501,0))&amp;"","")</f>
        <v/>
      </c>
      <c r="U204" s="21" t="str">
        <f aca="false">IFERROR(INDEX(종합!U$3:U$501,MATCH(ROW()-2,종합!$AE$3:$AE$501,0))&amp;"","")</f>
        <v/>
      </c>
      <c r="V204" s="21" t="str">
        <f aca="false">IFERROR(INDEX(종합!V$3:V$501,MATCH(ROW()-2,종합!$AE$3:$AE$501,0))&amp;"","")</f>
        <v/>
      </c>
      <c r="W204" s="21" t="str">
        <f aca="false">IFERROR(INDEX(종합!W$3:W$501,MATCH(ROW()-2,종합!$AE$3:$AE$501,0))&amp;"","")</f>
        <v/>
      </c>
      <c r="X204" s="21" t="str">
        <f aca="false">IFERROR(INDEX(종합!X$3:X$501,MATCH(ROW()-2,종합!$AE$3:$AE$501,0))&amp;"","")</f>
        <v/>
      </c>
      <c r="Y204" s="21" t="str">
        <f aca="false">IFERROR(INDEX(종합!Y$3:Y$501,MATCH(ROW()-2,종합!$AE$3:$AE$501,0))&amp;"","")</f>
        <v/>
      </c>
      <c r="Z204" s="21" t="str">
        <f aca="false">IFERROR(INDEX(종합!Z$3:Z$501,MATCH(ROW()-2,종합!$AE$3:$AE$501,0))&amp;"","")</f>
        <v/>
      </c>
    </row>
    <row r="205" customFormat="false" ht="16.5" hidden="false" customHeight="true" outlineLevel="0" collapsed="false">
      <c r="A205" s="18" t="str">
        <f aca="false">IF(B205="","",ROW()-2)</f>
        <v/>
      </c>
      <c r="B205" s="18" t="str">
        <f aca="false">IFERROR(INDEX(종합!B$3:B$501,MATCH(ROW()-2,종합!$AE$3:$AE$501,0))&amp;"","")</f>
        <v/>
      </c>
      <c r="C205" s="18" t="str">
        <f aca="false">IFERROR(INDEX(종합!C$3:C$501,MATCH(ROW()-2,종합!$AE$3:$AE$501,0))&amp;"","")</f>
        <v/>
      </c>
      <c r="D205" s="18" t="str">
        <f aca="false">IFERROR(INDEX(종합!D$3:D$501,MATCH(ROW()-2,종합!$AE$3:$AE$501,0))&amp;"","")</f>
        <v/>
      </c>
      <c r="E205" s="18" t="str">
        <f aca="false">IFERROR(INDEX(종합!E$3:E$501,MATCH(ROW()-2,종합!$AE$3:$AE$501,0))&amp;"","")</f>
        <v/>
      </c>
      <c r="F205" s="18" t="str">
        <f aca="false">IFERROR(INDEX(종합!F$3:F$501,MATCH(ROW()-2,종합!$AE$3:$AE$501,0))&amp;"","")</f>
        <v/>
      </c>
      <c r="G205" s="18" t="str">
        <f aca="false">IFERROR(INDEX(종합!G$3:G$501,MATCH(ROW()-2,종합!$AE$3:$AE$501,0))&amp;"","")</f>
        <v/>
      </c>
      <c r="H205" s="21" t="str">
        <f aca="false">IFERROR(INDEX(종합!H$3:H$501,MATCH(ROW()-2,종합!$AE$3:$AE$501,0))&amp;"","")</f>
        <v/>
      </c>
      <c r="I205" s="21" t="str">
        <f aca="false">IFERROR(INDEX(종합!I$3:I$501,MATCH(ROW()-2,종합!$AE$3:$AE$501,0))&amp;"","")</f>
        <v/>
      </c>
      <c r="J205" s="21" t="str">
        <f aca="false">IFERROR(INDEX(종합!J$3:J$501,MATCH(ROW()-2,종합!$AE$3:$AE$501,0))&amp;"","")</f>
        <v/>
      </c>
      <c r="K205" s="21" t="str">
        <f aca="false">IFERROR(INDEX(종합!K$3:K$501,MATCH(ROW()-2,종합!$AE$3:$AE$501,0))&amp;"","")</f>
        <v/>
      </c>
      <c r="L205" s="21" t="str">
        <f aca="false">IFERROR(INDEX(종합!L$3:L$501,MATCH(ROW()-2,종합!$AE$3:$AE$501,0))&amp;"","")</f>
        <v/>
      </c>
      <c r="M205" s="21" t="str">
        <f aca="false">IFERROR(INDEX(종합!M$3:M$501,MATCH(ROW()-2,종합!$AE$3:$AE$501,0))&amp;"","")</f>
        <v/>
      </c>
      <c r="N205" s="25" t="str">
        <f aca="false">IFERROR(INDEX(종합!N$3:N$501,MATCH(ROW()-2,종합!$AE$3:$AE$501,0))&amp;"","")</f>
        <v/>
      </c>
      <c r="O205" s="21" t="str">
        <f aca="false">IFERROR(INDEX(종합!O$3:O$501,MATCH(ROW()-2,종합!$AE$3:$AE$501,0))&amp;"","")</f>
        <v/>
      </c>
      <c r="P205" s="21" t="str">
        <f aca="false">IFERROR(INDEX(종합!P$3:P$501,MATCH(ROW()-2,종합!$AE$3:$AE$501,0))&amp;"","")</f>
        <v/>
      </c>
      <c r="Q205" s="21" t="str">
        <f aca="false">IFERROR(INDEX(종합!Q$3:Q$501,MATCH(ROW()-2,종합!$AE$3:$AE$501,0))&amp;"","")</f>
        <v/>
      </c>
      <c r="R205" s="21" t="str">
        <f aca="false">IFERROR(INDEX(종합!R$3:R$501,MATCH(ROW()-2,종합!$AE$3:$AE$501,0))&amp;"","")</f>
        <v/>
      </c>
      <c r="S205" s="21" t="str">
        <f aca="false">IFERROR(INDEX(종합!S$3:S$501,MATCH(ROW()-2,종합!$AE$3:$AE$501,0))&amp;"","")</f>
        <v/>
      </c>
      <c r="T205" s="21" t="str">
        <f aca="false">IFERROR(INDEX(종합!T$3:T$501,MATCH(ROW()-2,종합!$AE$3:$AE$501,0))&amp;"","")</f>
        <v/>
      </c>
      <c r="U205" s="21" t="str">
        <f aca="false">IFERROR(INDEX(종합!U$3:U$501,MATCH(ROW()-2,종합!$AE$3:$AE$501,0))&amp;"","")</f>
        <v/>
      </c>
      <c r="V205" s="21" t="str">
        <f aca="false">IFERROR(INDEX(종합!V$3:V$501,MATCH(ROW()-2,종합!$AE$3:$AE$501,0))&amp;"","")</f>
        <v/>
      </c>
      <c r="W205" s="21" t="str">
        <f aca="false">IFERROR(INDEX(종합!W$3:W$501,MATCH(ROW()-2,종합!$AE$3:$AE$501,0))&amp;"","")</f>
        <v/>
      </c>
      <c r="X205" s="21" t="str">
        <f aca="false">IFERROR(INDEX(종합!X$3:X$501,MATCH(ROW()-2,종합!$AE$3:$AE$501,0))&amp;"","")</f>
        <v/>
      </c>
      <c r="Y205" s="21" t="str">
        <f aca="false">IFERROR(INDEX(종합!Y$3:Y$501,MATCH(ROW()-2,종합!$AE$3:$AE$501,0))&amp;"","")</f>
        <v/>
      </c>
      <c r="Z205" s="21" t="str">
        <f aca="false">IFERROR(INDEX(종합!Z$3:Z$501,MATCH(ROW()-2,종합!$AE$3:$AE$501,0))&amp;"","")</f>
        <v/>
      </c>
    </row>
    <row r="206" customFormat="false" ht="16.5" hidden="false" customHeight="true" outlineLevel="0" collapsed="false">
      <c r="A206" s="18" t="str">
        <f aca="false">IF(B206="","",ROW()-2)</f>
        <v/>
      </c>
      <c r="B206" s="18" t="str">
        <f aca="false">IFERROR(INDEX(종합!B$3:B$501,MATCH(ROW()-2,종합!$AE$3:$AE$501,0))&amp;"","")</f>
        <v/>
      </c>
      <c r="C206" s="18" t="str">
        <f aca="false">IFERROR(INDEX(종합!C$3:C$501,MATCH(ROW()-2,종합!$AE$3:$AE$501,0))&amp;"","")</f>
        <v/>
      </c>
      <c r="D206" s="18" t="str">
        <f aca="false">IFERROR(INDEX(종합!D$3:D$501,MATCH(ROW()-2,종합!$AE$3:$AE$501,0))&amp;"","")</f>
        <v/>
      </c>
      <c r="E206" s="18" t="str">
        <f aca="false">IFERROR(INDEX(종합!E$3:E$501,MATCH(ROW()-2,종합!$AE$3:$AE$501,0))&amp;"","")</f>
        <v/>
      </c>
      <c r="F206" s="18" t="str">
        <f aca="false">IFERROR(INDEX(종합!F$3:F$501,MATCH(ROW()-2,종합!$AE$3:$AE$501,0))&amp;"","")</f>
        <v/>
      </c>
      <c r="G206" s="18" t="str">
        <f aca="false">IFERROR(INDEX(종합!G$3:G$501,MATCH(ROW()-2,종합!$AE$3:$AE$501,0))&amp;"","")</f>
        <v/>
      </c>
      <c r="H206" s="21" t="str">
        <f aca="false">IFERROR(INDEX(종합!H$3:H$501,MATCH(ROW()-2,종합!$AE$3:$AE$501,0))&amp;"","")</f>
        <v/>
      </c>
      <c r="I206" s="21" t="str">
        <f aca="false">IFERROR(INDEX(종합!I$3:I$501,MATCH(ROW()-2,종합!$AE$3:$AE$501,0))&amp;"","")</f>
        <v/>
      </c>
      <c r="J206" s="21" t="str">
        <f aca="false">IFERROR(INDEX(종합!J$3:J$501,MATCH(ROW()-2,종합!$AE$3:$AE$501,0))&amp;"","")</f>
        <v/>
      </c>
      <c r="K206" s="21" t="str">
        <f aca="false">IFERROR(INDEX(종합!K$3:K$501,MATCH(ROW()-2,종합!$AE$3:$AE$501,0))&amp;"","")</f>
        <v/>
      </c>
      <c r="L206" s="21" t="str">
        <f aca="false">IFERROR(INDEX(종합!L$3:L$501,MATCH(ROW()-2,종합!$AE$3:$AE$501,0))&amp;"","")</f>
        <v/>
      </c>
      <c r="M206" s="21" t="str">
        <f aca="false">IFERROR(INDEX(종합!M$3:M$501,MATCH(ROW()-2,종합!$AE$3:$AE$501,0))&amp;"","")</f>
        <v/>
      </c>
      <c r="N206" s="25" t="str">
        <f aca="false">IFERROR(INDEX(종합!N$3:N$501,MATCH(ROW()-2,종합!$AE$3:$AE$501,0))&amp;"","")</f>
        <v/>
      </c>
      <c r="O206" s="21" t="str">
        <f aca="false">IFERROR(INDEX(종합!O$3:O$501,MATCH(ROW()-2,종합!$AE$3:$AE$501,0))&amp;"","")</f>
        <v/>
      </c>
      <c r="P206" s="21" t="str">
        <f aca="false">IFERROR(INDEX(종합!P$3:P$501,MATCH(ROW()-2,종합!$AE$3:$AE$501,0))&amp;"","")</f>
        <v/>
      </c>
      <c r="Q206" s="21" t="str">
        <f aca="false">IFERROR(INDEX(종합!Q$3:Q$501,MATCH(ROW()-2,종합!$AE$3:$AE$501,0))&amp;"","")</f>
        <v/>
      </c>
      <c r="R206" s="21" t="str">
        <f aca="false">IFERROR(INDEX(종합!R$3:R$501,MATCH(ROW()-2,종합!$AE$3:$AE$501,0))&amp;"","")</f>
        <v/>
      </c>
      <c r="S206" s="21" t="str">
        <f aca="false">IFERROR(INDEX(종합!S$3:S$501,MATCH(ROW()-2,종합!$AE$3:$AE$501,0))&amp;"","")</f>
        <v/>
      </c>
      <c r="T206" s="21" t="str">
        <f aca="false">IFERROR(INDEX(종합!T$3:T$501,MATCH(ROW()-2,종합!$AE$3:$AE$501,0))&amp;"","")</f>
        <v/>
      </c>
      <c r="U206" s="21" t="str">
        <f aca="false">IFERROR(INDEX(종합!U$3:U$501,MATCH(ROW()-2,종합!$AE$3:$AE$501,0))&amp;"","")</f>
        <v/>
      </c>
      <c r="V206" s="21" t="str">
        <f aca="false">IFERROR(INDEX(종합!V$3:V$501,MATCH(ROW()-2,종합!$AE$3:$AE$501,0))&amp;"","")</f>
        <v/>
      </c>
      <c r="W206" s="21" t="str">
        <f aca="false">IFERROR(INDEX(종합!W$3:W$501,MATCH(ROW()-2,종합!$AE$3:$AE$501,0))&amp;"","")</f>
        <v/>
      </c>
      <c r="X206" s="21" t="str">
        <f aca="false">IFERROR(INDEX(종합!X$3:X$501,MATCH(ROW()-2,종합!$AE$3:$AE$501,0))&amp;"","")</f>
        <v/>
      </c>
      <c r="Y206" s="21" t="str">
        <f aca="false">IFERROR(INDEX(종합!Y$3:Y$501,MATCH(ROW()-2,종합!$AE$3:$AE$501,0))&amp;"","")</f>
        <v/>
      </c>
      <c r="Z206" s="21" t="str">
        <f aca="false">IFERROR(INDEX(종합!Z$3:Z$501,MATCH(ROW()-2,종합!$AE$3:$AE$501,0))&amp;"","")</f>
        <v/>
      </c>
    </row>
    <row r="207" customFormat="false" ht="16.5" hidden="false" customHeight="true" outlineLevel="0" collapsed="false">
      <c r="A207" s="18" t="str">
        <f aca="false">IF(B207="","",ROW()-2)</f>
        <v/>
      </c>
      <c r="B207" s="18" t="str">
        <f aca="false">IFERROR(INDEX(종합!B$3:B$501,MATCH(ROW()-2,종합!$AE$3:$AE$501,0))&amp;"","")</f>
        <v/>
      </c>
      <c r="C207" s="18" t="str">
        <f aca="false">IFERROR(INDEX(종합!C$3:C$501,MATCH(ROW()-2,종합!$AE$3:$AE$501,0))&amp;"","")</f>
        <v/>
      </c>
      <c r="D207" s="18" t="str">
        <f aca="false">IFERROR(INDEX(종합!D$3:D$501,MATCH(ROW()-2,종합!$AE$3:$AE$501,0))&amp;"","")</f>
        <v/>
      </c>
      <c r="E207" s="18" t="str">
        <f aca="false">IFERROR(INDEX(종합!E$3:E$501,MATCH(ROW()-2,종합!$AE$3:$AE$501,0))&amp;"","")</f>
        <v/>
      </c>
      <c r="F207" s="18" t="str">
        <f aca="false">IFERROR(INDEX(종합!F$3:F$501,MATCH(ROW()-2,종합!$AE$3:$AE$501,0))&amp;"","")</f>
        <v/>
      </c>
      <c r="G207" s="18" t="str">
        <f aca="false">IFERROR(INDEX(종합!G$3:G$501,MATCH(ROW()-2,종합!$AE$3:$AE$501,0))&amp;"","")</f>
        <v/>
      </c>
      <c r="H207" s="21" t="str">
        <f aca="false">IFERROR(INDEX(종합!H$3:H$501,MATCH(ROW()-2,종합!$AE$3:$AE$501,0))&amp;"","")</f>
        <v/>
      </c>
      <c r="I207" s="21" t="str">
        <f aca="false">IFERROR(INDEX(종합!I$3:I$501,MATCH(ROW()-2,종합!$AE$3:$AE$501,0))&amp;"","")</f>
        <v/>
      </c>
      <c r="J207" s="21" t="str">
        <f aca="false">IFERROR(INDEX(종합!J$3:J$501,MATCH(ROW()-2,종합!$AE$3:$AE$501,0))&amp;"","")</f>
        <v/>
      </c>
      <c r="K207" s="21" t="str">
        <f aca="false">IFERROR(INDEX(종합!K$3:K$501,MATCH(ROW()-2,종합!$AE$3:$AE$501,0))&amp;"","")</f>
        <v/>
      </c>
      <c r="L207" s="21" t="str">
        <f aca="false">IFERROR(INDEX(종합!L$3:L$501,MATCH(ROW()-2,종합!$AE$3:$AE$501,0))&amp;"","")</f>
        <v/>
      </c>
      <c r="M207" s="21" t="str">
        <f aca="false">IFERROR(INDEX(종합!M$3:M$501,MATCH(ROW()-2,종합!$AE$3:$AE$501,0))&amp;"","")</f>
        <v/>
      </c>
      <c r="N207" s="25" t="str">
        <f aca="false">IFERROR(INDEX(종합!N$3:N$501,MATCH(ROW()-2,종합!$AE$3:$AE$501,0))&amp;"","")</f>
        <v/>
      </c>
      <c r="O207" s="21" t="str">
        <f aca="false">IFERROR(INDEX(종합!O$3:O$501,MATCH(ROW()-2,종합!$AE$3:$AE$501,0))&amp;"","")</f>
        <v/>
      </c>
      <c r="P207" s="21" t="str">
        <f aca="false">IFERROR(INDEX(종합!P$3:P$501,MATCH(ROW()-2,종합!$AE$3:$AE$501,0))&amp;"","")</f>
        <v/>
      </c>
      <c r="Q207" s="21" t="str">
        <f aca="false">IFERROR(INDEX(종합!Q$3:Q$501,MATCH(ROW()-2,종합!$AE$3:$AE$501,0))&amp;"","")</f>
        <v/>
      </c>
      <c r="R207" s="21" t="str">
        <f aca="false">IFERROR(INDEX(종합!R$3:R$501,MATCH(ROW()-2,종합!$AE$3:$AE$501,0))&amp;"","")</f>
        <v/>
      </c>
      <c r="S207" s="21" t="str">
        <f aca="false">IFERROR(INDEX(종합!S$3:S$501,MATCH(ROW()-2,종합!$AE$3:$AE$501,0))&amp;"","")</f>
        <v/>
      </c>
      <c r="T207" s="21" t="str">
        <f aca="false">IFERROR(INDEX(종합!T$3:T$501,MATCH(ROW()-2,종합!$AE$3:$AE$501,0))&amp;"","")</f>
        <v/>
      </c>
      <c r="U207" s="21" t="str">
        <f aca="false">IFERROR(INDEX(종합!U$3:U$501,MATCH(ROW()-2,종합!$AE$3:$AE$501,0))&amp;"","")</f>
        <v/>
      </c>
      <c r="V207" s="21" t="str">
        <f aca="false">IFERROR(INDEX(종합!V$3:V$501,MATCH(ROW()-2,종합!$AE$3:$AE$501,0))&amp;"","")</f>
        <v/>
      </c>
      <c r="W207" s="21" t="str">
        <f aca="false">IFERROR(INDEX(종합!W$3:W$501,MATCH(ROW()-2,종합!$AE$3:$AE$501,0))&amp;"","")</f>
        <v/>
      </c>
      <c r="X207" s="21" t="str">
        <f aca="false">IFERROR(INDEX(종합!X$3:X$501,MATCH(ROW()-2,종합!$AE$3:$AE$501,0))&amp;"","")</f>
        <v/>
      </c>
      <c r="Y207" s="21" t="str">
        <f aca="false">IFERROR(INDEX(종합!Y$3:Y$501,MATCH(ROW()-2,종합!$AE$3:$AE$501,0))&amp;"","")</f>
        <v/>
      </c>
      <c r="Z207" s="21" t="str">
        <f aca="false">IFERROR(INDEX(종합!Z$3:Z$501,MATCH(ROW()-2,종합!$AE$3:$AE$501,0))&amp;"","")</f>
        <v/>
      </c>
    </row>
    <row r="208" customFormat="false" ht="16.5" hidden="false" customHeight="true" outlineLevel="0" collapsed="false">
      <c r="A208" s="18" t="str">
        <f aca="false">IF(B208="","",ROW()-2)</f>
        <v/>
      </c>
      <c r="B208" s="18" t="str">
        <f aca="false">IFERROR(INDEX(종합!B$3:B$501,MATCH(ROW()-2,종합!$AE$3:$AE$501,0))&amp;"","")</f>
        <v/>
      </c>
      <c r="C208" s="18" t="str">
        <f aca="false">IFERROR(INDEX(종합!C$3:C$501,MATCH(ROW()-2,종합!$AE$3:$AE$501,0))&amp;"","")</f>
        <v/>
      </c>
      <c r="D208" s="18" t="str">
        <f aca="false">IFERROR(INDEX(종합!D$3:D$501,MATCH(ROW()-2,종합!$AE$3:$AE$501,0))&amp;"","")</f>
        <v/>
      </c>
      <c r="E208" s="18" t="str">
        <f aca="false">IFERROR(INDEX(종합!E$3:E$501,MATCH(ROW()-2,종합!$AE$3:$AE$501,0))&amp;"","")</f>
        <v/>
      </c>
      <c r="F208" s="18" t="str">
        <f aca="false">IFERROR(INDEX(종합!F$3:F$501,MATCH(ROW()-2,종합!$AE$3:$AE$501,0))&amp;"","")</f>
        <v/>
      </c>
      <c r="G208" s="18" t="str">
        <f aca="false">IFERROR(INDEX(종합!G$3:G$501,MATCH(ROW()-2,종합!$AE$3:$AE$501,0))&amp;"","")</f>
        <v/>
      </c>
      <c r="H208" s="21" t="str">
        <f aca="false">IFERROR(INDEX(종합!H$3:H$501,MATCH(ROW()-2,종합!$AE$3:$AE$501,0))&amp;"","")</f>
        <v/>
      </c>
      <c r="I208" s="21" t="str">
        <f aca="false">IFERROR(INDEX(종합!I$3:I$501,MATCH(ROW()-2,종합!$AE$3:$AE$501,0))&amp;"","")</f>
        <v/>
      </c>
      <c r="J208" s="21" t="str">
        <f aca="false">IFERROR(INDEX(종합!J$3:J$501,MATCH(ROW()-2,종합!$AE$3:$AE$501,0))&amp;"","")</f>
        <v/>
      </c>
      <c r="K208" s="21" t="str">
        <f aca="false">IFERROR(INDEX(종합!K$3:K$501,MATCH(ROW()-2,종합!$AE$3:$AE$501,0))&amp;"","")</f>
        <v/>
      </c>
      <c r="L208" s="21" t="str">
        <f aca="false">IFERROR(INDEX(종합!L$3:L$501,MATCH(ROW()-2,종합!$AE$3:$AE$501,0))&amp;"","")</f>
        <v/>
      </c>
      <c r="M208" s="21" t="str">
        <f aca="false">IFERROR(INDEX(종합!M$3:M$501,MATCH(ROW()-2,종합!$AE$3:$AE$501,0))&amp;"","")</f>
        <v/>
      </c>
      <c r="N208" s="25" t="str">
        <f aca="false">IFERROR(INDEX(종합!N$3:N$501,MATCH(ROW()-2,종합!$AE$3:$AE$501,0))&amp;"","")</f>
        <v/>
      </c>
      <c r="O208" s="21" t="str">
        <f aca="false">IFERROR(INDEX(종합!O$3:O$501,MATCH(ROW()-2,종합!$AE$3:$AE$501,0))&amp;"","")</f>
        <v/>
      </c>
      <c r="P208" s="21" t="str">
        <f aca="false">IFERROR(INDEX(종합!P$3:P$501,MATCH(ROW()-2,종합!$AE$3:$AE$501,0))&amp;"","")</f>
        <v/>
      </c>
      <c r="Q208" s="21" t="str">
        <f aca="false">IFERROR(INDEX(종합!Q$3:Q$501,MATCH(ROW()-2,종합!$AE$3:$AE$501,0))&amp;"","")</f>
        <v/>
      </c>
      <c r="R208" s="21" t="str">
        <f aca="false">IFERROR(INDEX(종합!R$3:R$501,MATCH(ROW()-2,종합!$AE$3:$AE$501,0))&amp;"","")</f>
        <v/>
      </c>
      <c r="S208" s="21" t="str">
        <f aca="false">IFERROR(INDEX(종합!S$3:S$501,MATCH(ROW()-2,종합!$AE$3:$AE$501,0))&amp;"","")</f>
        <v/>
      </c>
      <c r="T208" s="21" t="str">
        <f aca="false">IFERROR(INDEX(종합!T$3:T$501,MATCH(ROW()-2,종합!$AE$3:$AE$501,0))&amp;"","")</f>
        <v/>
      </c>
      <c r="U208" s="21" t="str">
        <f aca="false">IFERROR(INDEX(종합!U$3:U$501,MATCH(ROW()-2,종합!$AE$3:$AE$501,0))&amp;"","")</f>
        <v/>
      </c>
      <c r="V208" s="21" t="str">
        <f aca="false">IFERROR(INDEX(종합!V$3:V$501,MATCH(ROW()-2,종합!$AE$3:$AE$501,0))&amp;"","")</f>
        <v/>
      </c>
      <c r="W208" s="21" t="str">
        <f aca="false">IFERROR(INDEX(종합!W$3:W$501,MATCH(ROW()-2,종합!$AE$3:$AE$501,0))&amp;"","")</f>
        <v/>
      </c>
      <c r="X208" s="21" t="str">
        <f aca="false">IFERROR(INDEX(종합!X$3:X$501,MATCH(ROW()-2,종합!$AE$3:$AE$501,0))&amp;"","")</f>
        <v/>
      </c>
      <c r="Y208" s="21" t="str">
        <f aca="false">IFERROR(INDEX(종합!Y$3:Y$501,MATCH(ROW()-2,종합!$AE$3:$AE$501,0))&amp;"","")</f>
        <v/>
      </c>
      <c r="Z208" s="21" t="str">
        <f aca="false">IFERROR(INDEX(종합!Z$3:Z$501,MATCH(ROW()-2,종합!$AE$3:$AE$501,0))&amp;"","")</f>
        <v/>
      </c>
    </row>
    <row r="209" customFormat="false" ht="16.5" hidden="false" customHeight="true" outlineLevel="0" collapsed="false">
      <c r="A209" s="18" t="str">
        <f aca="false">IF(B209="","",ROW()-2)</f>
        <v/>
      </c>
      <c r="B209" s="18" t="str">
        <f aca="false">IFERROR(INDEX(종합!B$3:B$501,MATCH(ROW()-2,종합!$AE$3:$AE$501,0))&amp;"","")</f>
        <v/>
      </c>
      <c r="C209" s="18" t="str">
        <f aca="false">IFERROR(INDEX(종합!C$3:C$501,MATCH(ROW()-2,종합!$AE$3:$AE$501,0))&amp;"","")</f>
        <v/>
      </c>
      <c r="D209" s="18" t="str">
        <f aca="false">IFERROR(INDEX(종합!D$3:D$501,MATCH(ROW()-2,종합!$AE$3:$AE$501,0))&amp;"","")</f>
        <v/>
      </c>
      <c r="E209" s="18" t="str">
        <f aca="false">IFERROR(INDEX(종합!E$3:E$501,MATCH(ROW()-2,종합!$AE$3:$AE$501,0))&amp;"","")</f>
        <v/>
      </c>
      <c r="F209" s="18" t="str">
        <f aca="false">IFERROR(INDEX(종합!F$3:F$501,MATCH(ROW()-2,종합!$AE$3:$AE$501,0))&amp;"","")</f>
        <v/>
      </c>
      <c r="G209" s="18" t="str">
        <f aca="false">IFERROR(INDEX(종합!G$3:G$501,MATCH(ROW()-2,종합!$AE$3:$AE$501,0))&amp;"","")</f>
        <v/>
      </c>
      <c r="H209" s="21" t="str">
        <f aca="false">IFERROR(INDEX(종합!H$3:H$501,MATCH(ROW()-2,종합!$AE$3:$AE$501,0))&amp;"","")</f>
        <v/>
      </c>
      <c r="I209" s="21" t="str">
        <f aca="false">IFERROR(INDEX(종합!I$3:I$501,MATCH(ROW()-2,종합!$AE$3:$AE$501,0))&amp;"","")</f>
        <v/>
      </c>
      <c r="J209" s="21" t="str">
        <f aca="false">IFERROR(INDEX(종합!J$3:J$501,MATCH(ROW()-2,종합!$AE$3:$AE$501,0))&amp;"","")</f>
        <v/>
      </c>
      <c r="K209" s="21" t="str">
        <f aca="false">IFERROR(INDEX(종합!K$3:K$501,MATCH(ROW()-2,종합!$AE$3:$AE$501,0))&amp;"","")</f>
        <v/>
      </c>
      <c r="L209" s="21" t="str">
        <f aca="false">IFERROR(INDEX(종합!L$3:L$501,MATCH(ROW()-2,종합!$AE$3:$AE$501,0))&amp;"","")</f>
        <v/>
      </c>
      <c r="M209" s="21" t="str">
        <f aca="false">IFERROR(INDEX(종합!M$3:M$501,MATCH(ROW()-2,종합!$AE$3:$AE$501,0))&amp;"","")</f>
        <v/>
      </c>
      <c r="N209" s="25" t="str">
        <f aca="false">IFERROR(INDEX(종합!N$3:N$501,MATCH(ROW()-2,종합!$AE$3:$AE$501,0))&amp;"","")</f>
        <v/>
      </c>
      <c r="O209" s="21" t="str">
        <f aca="false">IFERROR(INDEX(종합!O$3:O$501,MATCH(ROW()-2,종합!$AE$3:$AE$501,0))&amp;"","")</f>
        <v/>
      </c>
      <c r="P209" s="21" t="str">
        <f aca="false">IFERROR(INDEX(종합!P$3:P$501,MATCH(ROW()-2,종합!$AE$3:$AE$501,0))&amp;"","")</f>
        <v/>
      </c>
      <c r="Q209" s="21" t="str">
        <f aca="false">IFERROR(INDEX(종합!Q$3:Q$501,MATCH(ROW()-2,종합!$AE$3:$AE$501,0))&amp;"","")</f>
        <v/>
      </c>
      <c r="R209" s="21" t="str">
        <f aca="false">IFERROR(INDEX(종합!R$3:R$501,MATCH(ROW()-2,종합!$AE$3:$AE$501,0))&amp;"","")</f>
        <v/>
      </c>
      <c r="S209" s="21" t="str">
        <f aca="false">IFERROR(INDEX(종합!S$3:S$501,MATCH(ROW()-2,종합!$AE$3:$AE$501,0))&amp;"","")</f>
        <v/>
      </c>
      <c r="T209" s="21" t="str">
        <f aca="false">IFERROR(INDEX(종합!T$3:T$501,MATCH(ROW()-2,종합!$AE$3:$AE$501,0))&amp;"","")</f>
        <v/>
      </c>
      <c r="U209" s="21" t="str">
        <f aca="false">IFERROR(INDEX(종합!U$3:U$501,MATCH(ROW()-2,종합!$AE$3:$AE$501,0))&amp;"","")</f>
        <v/>
      </c>
      <c r="V209" s="21" t="str">
        <f aca="false">IFERROR(INDEX(종합!V$3:V$501,MATCH(ROW()-2,종합!$AE$3:$AE$501,0))&amp;"","")</f>
        <v/>
      </c>
      <c r="W209" s="21" t="str">
        <f aca="false">IFERROR(INDEX(종합!W$3:W$501,MATCH(ROW()-2,종합!$AE$3:$AE$501,0))&amp;"","")</f>
        <v/>
      </c>
      <c r="X209" s="21" t="str">
        <f aca="false">IFERROR(INDEX(종합!X$3:X$501,MATCH(ROW()-2,종합!$AE$3:$AE$501,0))&amp;"","")</f>
        <v/>
      </c>
      <c r="Y209" s="21" t="str">
        <f aca="false">IFERROR(INDEX(종합!Y$3:Y$501,MATCH(ROW()-2,종합!$AE$3:$AE$501,0))&amp;"","")</f>
        <v/>
      </c>
      <c r="Z209" s="21" t="str">
        <f aca="false">IFERROR(INDEX(종합!Z$3:Z$501,MATCH(ROW()-2,종합!$AE$3:$AE$501,0))&amp;"","")</f>
        <v/>
      </c>
    </row>
    <row r="210" customFormat="false" ht="16.5" hidden="false" customHeight="true" outlineLevel="0" collapsed="false">
      <c r="A210" s="18" t="str">
        <f aca="false">IF(B210="","",ROW()-2)</f>
        <v/>
      </c>
      <c r="B210" s="18" t="str">
        <f aca="false">IFERROR(INDEX(종합!B$3:B$501,MATCH(ROW()-2,종합!$AE$3:$AE$501,0))&amp;"","")</f>
        <v/>
      </c>
      <c r="C210" s="18" t="str">
        <f aca="false">IFERROR(INDEX(종합!C$3:C$501,MATCH(ROW()-2,종합!$AE$3:$AE$501,0))&amp;"","")</f>
        <v/>
      </c>
      <c r="D210" s="18" t="str">
        <f aca="false">IFERROR(INDEX(종합!D$3:D$501,MATCH(ROW()-2,종합!$AE$3:$AE$501,0))&amp;"","")</f>
        <v/>
      </c>
      <c r="E210" s="18" t="str">
        <f aca="false">IFERROR(INDEX(종합!E$3:E$501,MATCH(ROW()-2,종합!$AE$3:$AE$501,0))&amp;"","")</f>
        <v/>
      </c>
      <c r="F210" s="18" t="str">
        <f aca="false">IFERROR(INDEX(종합!F$3:F$501,MATCH(ROW()-2,종합!$AE$3:$AE$501,0))&amp;"","")</f>
        <v/>
      </c>
      <c r="G210" s="18" t="str">
        <f aca="false">IFERROR(INDEX(종합!G$3:G$501,MATCH(ROW()-2,종합!$AE$3:$AE$501,0))&amp;"","")</f>
        <v/>
      </c>
      <c r="H210" s="21" t="str">
        <f aca="false">IFERROR(INDEX(종합!H$3:H$501,MATCH(ROW()-2,종합!$AE$3:$AE$501,0))&amp;"","")</f>
        <v/>
      </c>
      <c r="I210" s="21" t="str">
        <f aca="false">IFERROR(INDEX(종합!I$3:I$501,MATCH(ROW()-2,종합!$AE$3:$AE$501,0))&amp;"","")</f>
        <v/>
      </c>
      <c r="J210" s="21" t="str">
        <f aca="false">IFERROR(INDEX(종합!J$3:J$501,MATCH(ROW()-2,종합!$AE$3:$AE$501,0))&amp;"","")</f>
        <v/>
      </c>
      <c r="K210" s="21" t="str">
        <f aca="false">IFERROR(INDEX(종합!K$3:K$501,MATCH(ROW()-2,종합!$AE$3:$AE$501,0))&amp;"","")</f>
        <v/>
      </c>
      <c r="L210" s="21" t="str">
        <f aca="false">IFERROR(INDEX(종합!L$3:L$501,MATCH(ROW()-2,종합!$AE$3:$AE$501,0))&amp;"","")</f>
        <v/>
      </c>
      <c r="M210" s="21" t="str">
        <f aca="false">IFERROR(INDEX(종합!M$3:M$501,MATCH(ROW()-2,종합!$AE$3:$AE$501,0))&amp;"","")</f>
        <v/>
      </c>
      <c r="N210" s="25" t="str">
        <f aca="false">IFERROR(INDEX(종합!N$3:N$501,MATCH(ROW()-2,종합!$AE$3:$AE$501,0))&amp;"","")</f>
        <v/>
      </c>
      <c r="O210" s="21" t="str">
        <f aca="false">IFERROR(INDEX(종합!O$3:O$501,MATCH(ROW()-2,종합!$AE$3:$AE$501,0))&amp;"","")</f>
        <v/>
      </c>
      <c r="P210" s="21" t="str">
        <f aca="false">IFERROR(INDEX(종합!P$3:P$501,MATCH(ROW()-2,종합!$AE$3:$AE$501,0))&amp;"","")</f>
        <v/>
      </c>
      <c r="Q210" s="21" t="str">
        <f aca="false">IFERROR(INDEX(종합!Q$3:Q$501,MATCH(ROW()-2,종합!$AE$3:$AE$501,0))&amp;"","")</f>
        <v/>
      </c>
      <c r="R210" s="21" t="str">
        <f aca="false">IFERROR(INDEX(종합!R$3:R$501,MATCH(ROW()-2,종합!$AE$3:$AE$501,0))&amp;"","")</f>
        <v/>
      </c>
      <c r="S210" s="21" t="str">
        <f aca="false">IFERROR(INDEX(종합!S$3:S$501,MATCH(ROW()-2,종합!$AE$3:$AE$501,0))&amp;"","")</f>
        <v/>
      </c>
      <c r="T210" s="21" t="str">
        <f aca="false">IFERROR(INDEX(종합!T$3:T$501,MATCH(ROW()-2,종합!$AE$3:$AE$501,0))&amp;"","")</f>
        <v/>
      </c>
      <c r="U210" s="21" t="str">
        <f aca="false">IFERROR(INDEX(종합!U$3:U$501,MATCH(ROW()-2,종합!$AE$3:$AE$501,0))&amp;"","")</f>
        <v/>
      </c>
      <c r="V210" s="21" t="str">
        <f aca="false">IFERROR(INDEX(종합!V$3:V$501,MATCH(ROW()-2,종합!$AE$3:$AE$501,0))&amp;"","")</f>
        <v/>
      </c>
      <c r="W210" s="21" t="str">
        <f aca="false">IFERROR(INDEX(종합!W$3:W$501,MATCH(ROW()-2,종합!$AE$3:$AE$501,0))&amp;"","")</f>
        <v/>
      </c>
      <c r="X210" s="21" t="str">
        <f aca="false">IFERROR(INDEX(종합!X$3:X$501,MATCH(ROW()-2,종합!$AE$3:$AE$501,0))&amp;"","")</f>
        <v/>
      </c>
      <c r="Y210" s="21" t="str">
        <f aca="false">IFERROR(INDEX(종합!Y$3:Y$501,MATCH(ROW()-2,종합!$AE$3:$AE$501,0))&amp;"","")</f>
        <v/>
      </c>
      <c r="Z210" s="21" t="str">
        <f aca="false">IFERROR(INDEX(종합!Z$3:Z$501,MATCH(ROW()-2,종합!$AE$3:$AE$501,0))&amp;"","")</f>
        <v/>
      </c>
    </row>
    <row r="211" customFormat="false" ht="16.5" hidden="false" customHeight="true" outlineLevel="0" collapsed="false">
      <c r="A211" s="18" t="str">
        <f aca="false">IF(B211="","",ROW()-2)</f>
        <v/>
      </c>
      <c r="B211" s="18" t="str">
        <f aca="false">IFERROR(INDEX(종합!B$3:B$501,MATCH(ROW()-2,종합!$AE$3:$AE$501,0))&amp;"","")</f>
        <v/>
      </c>
      <c r="C211" s="18" t="str">
        <f aca="false">IFERROR(INDEX(종합!C$3:C$501,MATCH(ROW()-2,종합!$AE$3:$AE$501,0))&amp;"","")</f>
        <v/>
      </c>
      <c r="D211" s="18" t="str">
        <f aca="false">IFERROR(INDEX(종합!D$3:D$501,MATCH(ROW()-2,종합!$AE$3:$AE$501,0))&amp;"","")</f>
        <v/>
      </c>
      <c r="E211" s="18" t="str">
        <f aca="false">IFERROR(INDEX(종합!E$3:E$501,MATCH(ROW()-2,종합!$AE$3:$AE$501,0))&amp;"","")</f>
        <v/>
      </c>
      <c r="F211" s="18" t="str">
        <f aca="false">IFERROR(INDEX(종합!F$3:F$501,MATCH(ROW()-2,종합!$AE$3:$AE$501,0))&amp;"","")</f>
        <v/>
      </c>
      <c r="G211" s="18" t="str">
        <f aca="false">IFERROR(INDEX(종합!G$3:G$501,MATCH(ROW()-2,종합!$AE$3:$AE$501,0))&amp;"","")</f>
        <v/>
      </c>
      <c r="H211" s="21" t="str">
        <f aca="false">IFERROR(INDEX(종합!H$3:H$501,MATCH(ROW()-2,종합!$AE$3:$AE$501,0))&amp;"","")</f>
        <v/>
      </c>
      <c r="I211" s="21" t="str">
        <f aca="false">IFERROR(INDEX(종합!I$3:I$501,MATCH(ROW()-2,종합!$AE$3:$AE$501,0))&amp;"","")</f>
        <v/>
      </c>
      <c r="J211" s="21" t="str">
        <f aca="false">IFERROR(INDEX(종합!J$3:J$501,MATCH(ROW()-2,종합!$AE$3:$AE$501,0))&amp;"","")</f>
        <v/>
      </c>
      <c r="K211" s="21" t="str">
        <f aca="false">IFERROR(INDEX(종합!K$3:K$501,MATCH(ROW()-2,종합!$AE$3:$AE$501,0))&amp;"","")</f>
        <v/>
      </c>
      <c r="L211" s="21" t="str">
        <f aca="false">IFERROR(INDEX(종합!L$3:L$501,MATCH(ROW()-2,종합!$AE$3:$AE$501,0))&amp;"","")</f>
        <v/>
      </c>
      <c r="M211" s="21" t="str">
        <f aca="false">IFERROR(INDEX(종합!M$3:M$501,MATCH(ROW()-2,종합!$AE$3:$AE$501,0))&amp;"","")</f>
        <v/>
      </c>
      <c r="N211" s="25" t="str">
        <f aca="false">IFERROR(INDEX(종합!N$3:N$501,MATCH(ROW()-2,종합!$AE$3:$AE$501,0))&amp;"","")</f>
        <v/>
      </c>
      <c r="O211" s="21" t="str">
        <f aca="false">IFERROR(INDEX(종합!O$3:O$501,MATCH(ROW()-2,종합!$AE$3:$AE$501,0))&amp;"","")</f>
        <v/>
      </c>
      <c r="P211" s="21" t="str">
        <f aca="false">IFERROR(INDEX(종합!P$3:P$501,MATCH(ROW()-2,종합!$AE$3:$AE$501,0))&amp;"","")</f>
        <v/>
      </c>
      <c r="Q211" s="21" t="str">
        <f aca="false">IFERROR(INDEX(종합!Q$3:Q$501,MATCH(ROW()-2,종합!$AE$3:$AE$501,0))&amp;"","")</f>
        <v/>
      </c>
      <c r="R211" s="21" t="str">
        <f aca="false">IFERROR(INDEX(종합!R$3:R$501,MATCH(ROW()-2,종합!$AE$3:$AE$501,0))&amp;"","")</f>
        <v/>
      </c>
      <c r="S211" s="21" t="str">
        <f aca="false">IFERROR(INDEX(종합!S$3:S$501,MATCH(ROW()-2,종합!$AE$3:$AE$501,0))&amp;"","")</f>
        <v/>
      </c>
      <c r="T211" s="21" t="str">
        <f aca="false">IFERROR(INDEX(종합!T$3:T$501,MATCH(ROW()-2,종합!$AE$3:$AE$501,0))&amp;"","")</f>
        <v/>
      </c>
      <c r="U211" s="21" t="str">
        <f aca="false">IFERROR(INDEX(종합!U$3:U$501,MATCH(ROW()-2,종합!$AE$3:$AE$501,0))&amp;"","")</f>
        <v/>
      </c>
      <c r="V211" s="21" t="str">
        <f aca="false">IFERROR(INDEX(종합!V$3:V$501,MATCH(ROW()-2,종합!$AE$3:$AE$501,0))&amp;"","")</f>
        <v/>
      </c>
      <c r="W211" s="21" t="str">
        <f aca="false">IFERROR(INDEX(종합!W$3:W$501,MATCH(ROW()-2,종합!$AE$3:$AE$501,0))&amp;"","")</f>
        <v/>
      </c>
      <c r="X211" s="21" t="str">
        <f aca="false">IFERROR(INDEX(종합!X$3:X$501,MATCH(ROW()-2,종합!$AE$3:$AE$501,0))&amp;"","")</f>
        <v/>
      </c>
      <c r="Y211" s="21" t="str">
        <f aca="false">IFERROR(INDEX(종합!Y$3:Y$501,MATCH(ROW()-2,종합!$AE$3:$AE$501,0))&amp;"","")</f>
        <v/>
      </c>
      <c r="Z211" s="21" t="str">
        <f aca="false">IFERROR(INDEX(종합!Z$3:Z$501,MATCH(ROW()-2,종합!$AE$3:$AE$501,0))&amp;"","")</f>
        <v/>
      </c>
    </row>
    <row r="212" customFormat="false" ht="16.5" hidden="false" customHeight="true" outlineLevel="0" collapsed="false">
      <c r="A212" s="18" t="str">
        <f aca="false">IF(B212="","",ROW()-2)</f>
        <v/>
      </c>
      <c r="B212" s="18" t="str">
        <f aca="false">IFERROR(INDEX(종합!B$3:B$501,MATCH(ROW()-2,종합!$AE$3:$AE$501,0))&amp;"","")</f>
        <v/>
      </c>
      <c r="C212" s="18" t="str">
        <f aca="false">IFERROR(INDEX(종합!C$3:C$501,MATCH(ROW()-2,종합!$AE$3:$AE$501,0))&amp;"","")</f>
        <v/>
      </c>
      <c r="D212" s="18" t="str">
        <f aca="false">IFERROR(INDEX(종합!D$3:D$501,MATCH(ROW()-2,종합!$AE$3:$AE$501,0))&amp;"","")</f>
        <v/>
      </c>
      <c r="E212" s="18" t="str">
        <f aca="false">IFERROR(INDEX(종합!E$3:E$501,MATCH(ROW()-2,종합!$AE$3:$AE$501,0))&amp;"","")</f>
        <v/>
      </c>
      <c r="F212" s="18" t="str">
        <f aca="false">IFERROR(INDEX(종합!F$3:F$501,MATCH(ROW()-2,종합!$AE$3:$AE$501,0))&amp;"","")</f>
        <v/>
      </c>
      <c r="G212" s="18" t="str">
        <f aca="false">IFERROR(INDEX(종합!G$3:G$501,MATCH(ROW()-2,종합!$AE$3:$AE$501,0))&amp;"","")</f>
        <v/>
      </c>
      <c r="H212" s="21" t="str">
        <f aca="false">IFERROR(INDEX(종합!H$3:H$501,MATCH(ROW()-2,종합!$AE$3:$AE$501,0))&amp;"","")</f>
        <v/>
      </c>
      <c r="I212" s="21" t="str">
        <f aca="false">IFERROR(INDEX(종합!I$3:I$501,MATCH(ROW()-2,종합!$AE$3:$AE$501,0))&amp;"","")</f>
        <v/>
      </c>
      <c r="J212" s="21" t="str">
        <f aca="false">IFERROR(INDEX(종합!J$3:J$501,MATCH(ROW()-2,종합!$AE$3:$AE$501,0))&amp;"","")</f>
        <v/>
      </c>
      <c r="K212" s="21" t="str">
        <f aca="false">IFERROR(INDEX(종합!K$3:K$501,MATCH(ROW()-2,종합!$AE$3:$AE$501,0))&amp;"","")</f>
        <v/>
      </c>
      <c r="L212" s="21" t="str">
        <f aca="false">IFERROR(INDEX(종합!L$3:L$501,MATCH(ROW()-2,종합!$AE$3:$AE$501,0))&amp;"","")</f>
        <v/>
      </c>
      <c r="M212" s="21" t="str">
        <f aca="false">IFERROR(INDEX(종합!M$3:M$501,MATCH(ROW()-2,종합!$AE$3:$AE$501,0))&amp;"","")</f>
        <v/>
      </c>
      <c r="N212" s="25" t="str">
        <f aca="false">IFERROR(INDEX(종합!N$3:N$501,MATCH(ROW()-2,종합!$AE$3:$AE$501,0))&amp;"","")</f>
        <v/>
      </c>
      <c r="O212" s="21" t="str">
        <f aca="false">IFERROR(INDEX(종합!O$3:O$501,MATCH(ROW()-2,종합!$AE$3:$AE$501,0))&amp;"","")</f>
        <v/>
      </c>
      <c r="P212" s="21" t="str">
        <f aca="false">IFERROR(INDEX(종합!P$3:P$501,MATCH(ROW()-2,종합!$AE$3:$AE$501,0))&amp;"","")</f>
        <v/>
      </c>
      <c r="Q212" s="21" t="str">
        <f aca="false">IFERROR(INDEX(종합!Q$3:Q$501,MATCH(ROW()-2,종합!$AE$3:$AE$501,0))&amp;"","")</f>
        <v/>
      </c>
      <c r="R212" s="21" t="str">
        <f aca="false">IFERROR(INDEX(종합!R$3:R$501,MATCH(ROW()-2,종합!$AE$3:$AE$501,0))&amp;"","")</f>
        <v/>
      </c>
      <c r="S212" s="21" t="str">
        <f aca="false">IFERROR(INDEX(종합!S$3:S$501,MATCH(ROW()-2,종합!$AE$3:$AE$501,0))&amp;"","")</f>
        <v/>
      </c>
      <c r="T212" s="21" t="str">
        <f aca="false">IFERROR(INDEX(종합!T$3:T$501,MATCH(ROW()-2,종합!$AE$3:$AE$501,0))&amp;"","")</f>
        <v/>
      </c>
      <c r="U212" s="21" t="str">
        <f aca="false">IFERROR(INDEX(종합!U$3:U$501,MATCH(ROW()-2,종합!$AE$3:$AE$501,0))&amp;"","")</f>
        <v/>
      </c>
      <c r="V212" s="21" t="str">
        <f aca="false">IFERROR(INDEX(종합!V$3:V$501,MATCH(ROW()-2,종합!$AE$3:$AE$501,0))&amp;"","")</f>
        <v/>
      </c>
      <c r="W212" s="21" t="str">
        <f aca="false">IFERROR(INDEX(종합!W$3:W$501,MATCH(ROW()-2,종합!$AE$3:$AE$501,0))&amp;"","")</f>
        <v/>
      </c>
      <c r="X212" s="21" t="str">
        <f aca="false">IFERROR(INDEX(종합!X$3:X$501,MATCH(ROW()-2,종합!$AE$3:$AE$501,0))&amp;"","")</f>
        <v/>
      </c>
      <c r="Y212" s="21" t="str">
        <f aca="false">IFERROR(INDEX(종합!Y$3:Y$501,MATCH(ROW()-2,종합!$AE$3:$AE$501,0))&amp;"","")</f>
        <v/>
      </c>
      <c r="Z212" s="21" t="str">
        <f aca="false">IFERROR(INDEX(종합!Z$3:Z$501,MATCH(ROW()-2,종합!$AE$3:$AE$501,0))&amp;"","")</f>
        <v/>
      </c>
    </row>
    <row r="213" customFormat="false" ht="16.5" hidden="false" customHeight="true" outlineLevel="0" collapsed="false">
      <c r="A213" s="18" t="str">
        <f aca="false">IF(B213="","",ROW()-2)</f>
        <v/>
      </c>
      <c r="B213" s="18" t="str">
        <f aca="false">IFERROR(INDEX(종합!B$3:B$501,MATCH(ROW()-2,종합!$AE$3:$AE$501,0))&amp;"","")</f>
        <v/>
      </c>
      <c r="C213" s="18" t="str">
        <f aca="false">IFERROR(INDEX(종합!C$3:C$501,MATCH(ROW()-2,종합!$AE$3:$AE$501,0))&amp;"","")</f>
        <v/>
      </c>
      <c r="D213" s="18" t="str">
        <f aca="false">IFERROR(INDEX(종합!D$3:D$501,MATCH(ROW()-2,종합!$AE$3:$AE$501,0))&amp;"","")</f>
        <v/>
      </c>
      <c r="E213" s="18" t="str">
        <f aca="false">IFERROR(INDEX(종합!E$3:E$501,MATCH(ROW()-2,종합!$AE$3:$AE$501,0))&amp;"","")</f>
        <v/>
      </c>
      <c r="F213" s="18" t="str">
        <f aca="false">IFERROR(INDEX(종합!F$3:F$501,MATCH(ROW()-2,종합!$AE$3:$AE$501,0))&amp;"","")</f>
        <v/>
      </c>
      <c r="G213" s="18" t="str">
        <f aca="false">IFERROR(INDEX(종합!G$3:G$501,MATCH(ROW()-2,종합!$AE$3:$AE$501,0))&amp;"","")</f>
        <v/>
      </c>
      <c r="H213" s="21" t="str">
        <f aca="false">IFERROR(INDEX(종합!H$3:H$501,MATCH(ROW()-2,종합!$AE$3:$AE$501,0))&amp;"","")</f>
        <v/>
      </c>
      <c r="I213" s="21" t="str">
        <f aca="false">IFERROR(INDEX(종합!I$3:I$501,MATCH(ROW()-2,종합!$AE$3:$AE$501,0))&amp;"","")</f>
        <v/>
      </c>
      <c r="J213" s="21" t="str">
        <f aca="false">IFERROR(INDEX(종합!J$3:J$501,MATCH(ROW()-2,종합!$AE$3:$AE$501,0))&amp;"","")</f>
        <v/>
      </c>
      <c r="K213" s="21" t="str">
        <f aca="false">IFERROR(INDEX(종합!K$3:K$501,MATCH(ROW()-2,종합!$AE$3:$AE$501,0))&amp;"","")</f>
        <v/>
      </c>
      <c r="L213" s="21" t="str">
        <f aca="false">IFERROR(INDEX(종합!L$3:L$501,MATCH(ROW()-2,종합!$AE$3:$AE$501,0))&amp;"","")</f>
        <v/>
      </c>
      <c r="M213" s="21" t="str">
        <f aca="false">IFERROR(INDEX(종합!M$3:M$501,MATCH(ROW()-2,종합!$AE$3:$AE$501,0))&amp;"","")</f>
        <v/>
      </c>
      <c r="N213" s="25" t="str">
        <f aca="false">IFERROR(INDEX(종합!N$3:N$501,MATCH(ROW()-2,종합!$AE$3:$AE$501,0))&amp;"","")</f>
        <v/>
      </c>
      <c r="O213" s="21" t="str">
        <f aca="false">IFERROR(INDEX(종합!O$3:O$501,MATCH(ROW()-2,종합!$AE$3:$AE$501,0))&amp;"","")</f>
        <v/>
      </c>
      <c r="P213" s="21" t="str">
        <f aca="false">IFERROR(INDEX(종합!P$3:P$501,MATCH(ROW()-2,종합!$AE$3:$AE$501,0))&amp;"","")</f>
        <v/>
      </c>
      <c r="Q213" s="21" t="str">
        <f aca="false">IFERROR(INDEX(종합!Q$3:Q$501,MATCH(ROW()-2,종합!$AE$3:$AE$501,0))&amp;"","")</f>
        <v/>
      </c>
      <c r="R213" s="21" t="str">
        <f aca="false">IFERROR(INDEX(종합!R$3:R$501,MATCH(ROW()-2,종합!$AE$3:$AE$501,0))&amp;"","")</f>
        <v/>
      </c>
      <c r="S213" s="21" t="str">
        <f aca="false">IFERROR(INDEX(종합!S$3:S$501,MATCH(ROW()-2,종합!$AE$3:$AE$501,0))&amp;"","")</f>
        <v/>
      </c>
      <c r="T213" s="21" t="str">
        <f aca="false">IFERROR(INDEX(종합!T$3:T$501,MATCH(ROW()-2,종합!$AE$3:$AE$501,0))&amp;"","")</f>
        <v/>
      </c>
      <c r="U213" s="21" t="str">
        <f aca="false">IFERROR(INDEX(종합!U$3:U$501,MATCH(ROW()-2,종합!$AE$3:$AE$501,0))&amp;"","")</f>
        <v/>
      </c>
      <c r="V213" s="21" t="str">
        <f aca="false">IFERROR(INDEX(종합!V$3:V$501,MATCH(ROW()-2,종합!$AE$3:$AE$501,0))&amp;"","")</f>
        <v/>
      </c>
      <c r="W213" s="21" t="str">
        <f aca="false">IFERROR(INDEX(종합!W$3:W$501,MATCH(ROW()-2,종합!$AE$3:$AE$501,0))&amp;"","")</f>
        <v/>
      </c>
      <c r="X213" s="21" t="str">
        <f aca="false">IFERROR(INDEX(종합!X$3:X$501,MATCH(ROW()-2,종합!$AE$3:$AE$501,0))&amp;"","")</f>
        <v/>
      </c>
      <c r="Y213" s="21" t="str">
        <f aca="false">IFERROR(INDEX(종합!Y$3:Y$501,MATCH(ROW()-2,종합!$AE$3:$AE$501,0))&amp;"","")</f>
        <v/>
      </c>
      <c r="Z213" s="21" t="str">
        <f aca="false">IFERROR(INDEX(종합!Z$3:Z$501,MATCH(ROW()-2,종합!$AE$3:$AE$501,0))&amp;"","")</f>
        <v/>
      </c>
    </row>
    <row r="214" customFormat="false" ht="16.5" hidden="false" customHeight="true" outlineLevel="0" collapsed="false">
      <c r="A214" s="18" t="str">
        <f aca="false">IF(B214="","",ROW()-2)</f>
        <v/>
      </c>
      <c r="B214" s="18" t="str">
        <f aca="false">IFERROR(INDEX(종합!B$3:B$501,MATCH(ROW()-2,종합!$AE$3:$AE$501,0))&amp;"","")</f>
        <v/>
      </c>
      <c r="C214" s="18" t="str">
        <f aca="false">IFERROR(INDEX(종합!C$3:C$501,MATCH(ROW()-2,종합!$AE$3:$AE$501,0))&amp;"","")</f>
        <v/>
      </c>
      <c r="D214" s="18" t="str">
        <f aca="false">IFERROR(INDEX(종합!D$3:D$501,MATCH(ROW()-2,종합!$AE$3:$AE$501,0))&amp;"","")</f>
        <v/>
      </c>
      <c r="E214" s="18" t="str">
        <f aca="false">IFERROR(INDEX(종합!E$3:E$501,MATCH(ROW()-2,종합!$AE$3:$AE$501,0))&amp;"","")</f>
        <v/>
      </c>
      <c r="F214" s="18" t="str">
        <f aca="false">IFERROR(INDEX(종합!F$3:F$501,MATCH(ROW()-2,종합!$AE$3:$AE$501,0))&amp;"","")</f>
        <v/>
      </c>
      <c r="G214" s="18" t="str">
        <f aca="false">IFERROR(INDEX(종합!G$3:G$501,MATCH(ROW()-2,종합!$AE$3:$AE$501,0))&amp;"","")</f>
        <v/>
      </c>
      <c r="H214" s="21" t="str">
        <f aca="false">IFERROR(INDEX(종합!H$3:H$501,MATCH(ROW()-2,종합!$AE$3:$AE$501,0))&amp;"","")</f>
        <v/>
      </c>
      <c r="I214" s="21" t="str">
        <f aca="false">IFERROR(INDEX(종합!I$3:I$501,MATCH(ROW()-2,종합!$AE$3:$AE$501,0))&amp;"","")</f>
        <v/>
      </c>
      <c r="J214" s="21" t="str">
        <f aca="false">IFERROR(INDEX(종합!J$3:J$501,MATCH(ROW()-2,종합!$AE$3:$AE$501,0))&amp;"","")</f>
        <v/>
      </c>
      <c r="K214" s="21" t="str">
        <f aca="false">IFERROR(INDEX(종합!K$3:K$501,MATCH(ROW()-2,종합!$AE$3:$AE$501,0))&amp;"","")</f>
        <v/>
      </c>
      <c r="L214" s="21" t="str">
        <f aca="false">IFERROR(INDEX(종합!L$3:L$501,MATCH(ROW()-2,종합!$AE$3:$AE$501,0))&amp;"","")</f>
        <v/>
      </c>
      <c r="M214" s="21" t="str">
        <f aca="false">IFERROR(INDEX(종합!M$3:M$501,MATCH(ROW()-2,종합!$AE$3:$AE$501,0))&amp;"","")</f>
        <v/>
      </c>
      <c r="N214" s="25" t="str">
        <f aca="false">IFERROR(INDEX(종합!N$3:N$501,MATCH(ROW()-2,종합!$AE$3:$AE$501,0))&amp;"","")</f>
        <v/>
      </c>
      <c r="O214" s="21" t="str">
        <f aca="false">IFERROR(INDEX(종합!O$3:O$501,MATCH(ROW()-2,종합!$AE$3:$AE$501,0))&amp;"","")</f>
        <v/>
      </c>
      <c r="P214" s="21" t="str">
        <f aca="false">IFERROR(INDEX(종합!P$3:P$501,MATCH(ROW()-2,종합!$AE$3:$AE$501,0))&amp;"","")</f>
        <v/>
      </c>
      <c r="Q214" s="21" t="str">
        <f aca="false">IFERROR(INDEX(종합!Q$3:Q$501,MATCH(ROW()-2,종합!$AE$3:$AE$501,0))&amp;"","")</f>
        <v/>
      </c>
      <c r="R214" s="21" t="str">
        <f aca="false">IFERROR(INDEX(종합!R$3:R$501,MATCH(ROW()-2,종합!$AE$3:$AE$501,0))&amp;"","")</f>
        <v/>
      </c>
      <c r="S214" s="21" t="str">
        <f aca="false">IFERROR(INDEX(종합!S$3:S$501,MATCH(ROW()-2,종합!$AE$3:$AE$501,0))&amp;"","")</f>
        <v/>
      </c>
      <c r="T214" s="21" t="str">
        <f aca="false">IFERROR(INDEX(종합!T$3:T$501,MATCH(ROW()-2,종합!$AE$3:$AE$501,0))&amp;"","")</f>
        <v/>
      </c>
      <c r="U214" s="21" t="str">
        <f aca="false">IFERROR(INDEX(종합!U$3:U$501,MATCH(ROW()-2,종합!$AE$3:$AE$501,0))&amp;"","")</f>
        <v/>
      </c>
      <c r="V214" s="21" t="str">
        <f aca="false">IFERROR(INDEX(종합!V$3:V$501,MATCH(ROW()-2,종합!$AE$3:$AE$501,0))&amp;"","")</f>
        <v/>
      </c>
      <c r="W214" s="21" t="str">
        <f aca="false">IFERROR(INDEX(종합!W$3:W$501,MATCH(ROW()-2,종합!$AE$3:$AE$501,0))&amp;"","")</f>
        <v/>
      </c>
      <c r="X214" s="21" t="str">
        <f aca="false">IFERROR(INDEX(종합!X$3:X$501,MATCH(ROW()-2,종합!$AE$3:$AE$501,0))&amp;"","")</f>
        <v/>
      </c>
      <c r="Y214" s="21" t="str">
        <f aca="false">IFERROR(INDEX(종합!Y$3:Y$501,MATCH(ROW()-2,종합!$AE$3:$AE$501,0))&amp;"","")</f>
        <v/>
      </c>
      <c r="Z214" s="21" t="str">
        <f aca="false">IFERROR(INDEX(종합!Z$3:Z$501,MATCH(ROW()-2,종합!$AE$3:$AE$501,0))&amp;"","")</f>
        <v/>
      </c>
    </row>
    <row r="215" customFormat="false" ht="16.5" hidden="false" customHeight="true" outlineLevel="0" collapsed="false">
      <c r="A215" s="18" t="str">
        <f aca="false">IF(B215="","",ROW()-2)</f>
        <v/>
      </c>
      <c r="B215" s="18" t="str">
        <f aca="false">IFERROR(INDEX(종합!B$3:B$501,MATCH(ROW()-2,종합!$AE$3:$AE$501,0))&amp;"","")</f>
        <v/>
      </c>
      <c r="C215" s="18" t="str">
        <f aca="false">IFERROR(INDEX(종합!C$3:C$501,MATCH(ROW()-2,종합!$AE$3:$AE$501,0))&amp;"","")</f>
        <v/>
      </c>
      <c r="D215" s="18" t="str">
        <f aca="false">IFERROR(INDEX(종합!D$3:D$501,MATCH(ROW()-2,종합!$AE$3:$AE$501,0))&amp;"","")</f>
        <v/>
      </c>
      <c r="E215" s="18" t="str">
        <f aca="false">IFERROR(INDEX(종합!E$3:E$501,MATCH(ROW()-2,종합!$AE$3:$AE$501,0))&amp;"","")</f>
        <v/>
      </c>
      <c r="F215" s="18" t="str">
        <f aca="false">IFERROR(INDEX(종합!F$3:F$501,MATCH(ROW()-2,종합!$AE$3:$AE$501,0))&amp;"","")</f>
        <v/>
      </c>
      <c r="G215" s="18" t="str">
        <f aca="false">IFERROR(INDEX(종합!G$3:G$501,MATCH(ROW()-2,종합!$AE$3:$AE$501,0))&amp;"","")</f>
        <v/>
      </c>
      <c r="H215" s="21" t="str">
        <f aca="false">IFERROR(INDEX(종합!H$3:H$501,MATCH(ROW()-2,종합!$AE$3:$AE$501,0))&amp;"","")</f>
        <v/>
      </c>
      <c r="I215" s="21" t="str">
        <f aca="false">IFERROR(INDEX(종합!I$3:I$501,MATCH(ROW()-2,종합!$AE$3:$AE$501,0))&amp;"","")</f>
        <v/>
      </c>
      <c r="J215" s="21" t="str">
        <f aca="false">IFERROR(INDEX(종합!J$3:J$501,MATCH(ROW()-2,종합!$AE$3:$AE$501,0))&amp;"","")</f>
        <v/>
      </c>
      <c r="K215" s="21" t="str">
        <f aca="false">IFERROR(INDEX(종합!K$3:K$501,MATCH(ROW()-2,종합!$AE$3:$AE$501,0))&amp;"","")</f>
        <v/>
      </c>
      <c r="L215" s="21" t="str">
        <f aca="false">IFERROR(INDEX(종합!L$3:L$501,MATCH(ROW()-2,종합!$AE$3:$AE$501,0))&amp;"","")</f>
        <v/>
      </c>
      <c r="M215" s="21" t="str">
        <f aca="false">IFERROR(INDEX(종합!M$3:M$501,MATCH(ROW()-2,종합!$AE$3:$AE$501,0))&amp;"","")</f>
        <v/>
      </c>
      <c r="N215" s="25" t="str">
        <f aca="false">IFERROR(INDEX(종합!N$3:N$501,MATCH(ROW()-2,종합!$AE$3:$AE$501,0))&amp;"","")</f>
        <v/>
      </c>
      <c r="O215" s="21" t="str">
        <f aca="false">IFERROR(INDEX(종합!O$3:O$501,MATCH(ROW()-2,종합!$AE$3:$AE$501,0))&amp;"","")</f>
        <v/>
      </c>
      <c r="P215" s="21" t="str">
        <f aca="false">IFERROR(INDEX(종합!P$3:P$501,MATCH(ROW()-2,종합!$AE$3:$AE$501,0))&amp;"","")</f>
        <v/>
      </c>
      <c r="Q215" s="21" t="str">
        <f aca="false">IFERROR(INDEX(종합!Q$3:Q$501,MATCH(ROW()-2,종합!$AE$3:$AE$501,0))&amp;"","")</f>
        <v/>
      </c>
      <c r="R215" s="21" t="str">
        <f aca="false">IFERROR(INDEX(종합!R$3:R$501,MATCH(ROW()-2,종합!$AE$3:$AE$501,0))&amp;"","")</f>
        <v/>
      </c>
      <c r="S215" s="21" t="str">
        <f aca="false">IFERROR(INDEX(종합!S$3:S$501,MATCH(ROW()-2,종합!$AE$3:$AE$501,0))&amp;"","")</f>
        <v/>
      </c>
      <c r="T215" s="21" t="str">
        <f aca="false">IFERROR(INDEX(종합!T$3:T$501,MATCH(ROW()-2,종합!$AE$3:$AE$501,0))&amp;"","")</f>
        <v/>
      </c>
      <c r="U215" s="21" t="str">
        <f aca="false">IFERROR(INDEX(종합!U$3:U$501,MATCH(ROW()-2,종합!$AE$3:$AE$501,0))&amp;"","")</f>
        <v/>
      </c>
      <c r="V215" s="21" t="str">
        <f aca="false">IFERROR(INDEX(종합!V$3:V$501,MATCH(ROW()-2,종합!$AE$3:$AE$501,0))&amp;"","")</f>
        <v/>
      </c>
      <c r="W215" s="21" t="str">
        <f aca="false">IFERROR(INDEX(종합!W$3:W$501,MATCH(ROW()-2,종합!$AE$3:$AE$501,0))&amp;"","")</f>
        <v/>
      </c>
      <c r="X215" s="21" t="str">
        <f aca="false">IFERROR(INDEX(종합!X$3:X$501,MATCH(ROW()-2,종합!$AE$3:$AE$501,0))&amp;"","")</f>
        <v/>
      </c>
      <c r="Y215" s="21" t="str">
        <f aca="false">IFERROR(INDEX(종합!Y$3:Y$501,MATCH(ROW()-2,종합!$AE$3:$AE$501,0))&amp;"","")</f>
        <v/>
      </c>
      <c r="Z215" s="21" t="str">
        <f aca="false">IFERROR(INDEX(종합!Z$3:Z$501,MATCH(ROW()-2,종합!$AE$3:$AE$501,0))&amp;"","")</f>
        <v/>
      </c>
    </row>
    <row r="216" customFormat="false" ht="16.5" hidden="false" customHeight="true" outlineLevel="0" collapsed="false">
      <c r="A216" s="18" t="str">
        <f aca="false">IF(B216="","",ROW()-2)</f>
        <v/>
      </c>
      <c r="B216" s="18" t="str">
        <f aca="false">IFERROR(INDEX(종합!B$3:B$501,MATCH(ROW()-2,종합!$AE$3:$AE$501,0))&amp;"","")</f>
        <v/>
      </c>
      <c r="C216" s="18" t="str">
        <f aca="false">IFERROR(INDEX(종합!C$3:C$501,MATCH(ROW()-2,종합!$AE$3:$AE$501,0))&amp;"","")</f>
        <v/>
      </c>
      <c r="D216" s="18" t="str">
        <f aca="false">IFERROR(INDEX(종합!D$3:D$501,MATCH(ROW()-2,종합!$AE$3:$AE$501,0))&amp;"","")</f>
        <v/>
      </c>
      <c r="E216" s="18" t="str">
        <f aca="false">IFERROR(INDEX(종합!E$3:E$501,MATCH(ROW()-2,종합!$AE$3:$AE$501,0))&amp;"","")</f>
        <v/>
      </c>
      <c r="F216" s="18" t="str">
        <f aca="false">IFERROR(INDEX(종합!F$3:F$501,MATCH(ROW()-2,종합!$AE$3:$AE$501,0))&amp;"","")</f>
        <v/>
      </c>
      <c r="G216" s="18" t="str">
        <f aca="false">IFERROR(INDEX(종합!G$3:G$501,MATCH(ROW()-2,종합!$AE$3:$AE$501,0))&amp;"","")</f>
        <v/>
      </c>
      <c r="H216" s="21" t="str">
        <f aca="false">IFERROR(INDEX(종합!H$3:H$501,MATCH(ROW()-2,종합!$AE$3:$AE$501,0))&amp;"","")</f>
        <v/>
      </c>
      <c r="I216" s="21" t="str">
        <f aca="false">IFERROR(INDEX(종합!I$3:I$501,MATCH(ROW()-2,종합!$AE$3:$AE$501,0))&amp;"","")</f>
        <v/>
      </c>
      <c r="J216" s="21" t="str">
        <f aca="false">IFERROR(INDEX(종합!J$3:J$501,MATCH(ROW()-2,종합!$AE$3:$AE$501,0))&amp;"","")</f>
        <v/>
      </c>
      <c r="K216" s="21" t="str">
        <f aca="false">IFERROR(INDEX(종합!K$3:K$501,MATCH(ROW()-2,종합!$AE$3:$AE$501,0))&amp;"","")</f>
        <v/>
      </c>
      <c r="L216" s="21" t="str">
        <f aca="false">IFERROR(INDEX(종합!L$3:L$501,MATCH(ROW()-2,종합!$AE$3:$AE$501,0))&amp;"","")</f>
        <v/>
      </c>
      <c r="M216" s="21" t="str">
        <f aca="false">IFERROR(INDEX(종합!M$3:M$501,MATCH(ROW()-2,종합!$AE$3:$AE$501,0))&amp;"","")</f>
        <v/>
      </c>
      <c r="N216" s="25" t="str">
        <f aca="false">IFERROR(INDEX(종합!N$3:N$501,MATCH(ROW()-2,종합!$AE$3:$AE$501,0))&amp;"","")</f>
        <v/>
      </c>
      <c r="O216" s="21" t="str">
        <f aca="false">IFERROR(INDEX(종합!O$3:O$501,MATCH(ROW()-2,종합!$AE$3:$AE$501,0))&amp;"","")</f>
        <v/>
      </c>
      <c r="P216" s="21" t="str">
        <f aca="false">IFERROR(INDEX(종합!P$3:P$501,MATCH(ROW()-2,종합!$AE$3:$AE$501,0))&amp;"","")</f>
        <v/>
      </c>
      <c r="Q216" s="21" t="str">
        <f aca="false">IFERROR(INDEX(종합!Q$3:Q$501,MATCH(ROW()-2,종합!$AE$3:$AE$501,0))&amp;"","")</f>
        <v/>
      </c>
      <c r="R216" s="21" t="str">
        <f aca="false">IFERROR(INDEX(종합!R$3:R$501,MATCH(ROW()-2,종합!$AE$3:$AE$501,0))&amp;"","")</f>
        <v/>
      </c>
      <c r="S216" s="21" t="str">
        <f aca="false">IFERROR(INDEX(종합!S$3:S$501,MATCH(ROW()-2,종합!$AE$3:$AE$501,0))&amp;"","")</f>
        <v/>
      </c>
      <c r="T216" s="21" t="str">
        <f aca="false">IFERROR(INDEX(종합!T$3:T$501,MATCH(ROW()-2,종합!$AE$3:$AE$501,0))&amp;"","")</f>
        <v/>
      </c>
      <c r="U216" s="21" t="str">
        <f aca="false">IFERROR(INDEX(종합!U$3:U$501,MATCH(ROW()-2,종합!$AE$3:$AE$501,0))&amp;"","")</f>
        <v/>
      </c>
      <c r="V216" s="21" t="str">
        <f aca="false">IFERROR(INDEX(종합!V$3:V$501,MATCH(ROW()-2,종합!$AE$3:$AE$501,0))&amp;"","")</f>
        <v/>
      </c>
      <c r="W216" s="21" t="str">
        <f aca="false">IFERROR(INDEX(종합!W$3:W$501,MATCH(ROW()-2,종합!$AE$3:$AE$501,0))&amp;"","")</f>
        <v/>
      </c>
      <c r="X216" s="21" t="str">
        <f aca="false">IFERROR(INDEX(종합!X$3:X$501,MATCH(ROW()-2,종합!$AE$3:$AE$501,0))&amp;"","")</f>
        <v/>
      </c>
      <c r="Y216" s="21" t="str">
        <f aca="false">IFERROR(INDEX(종합!Y$3:Y$501,MATCH(ROW()-2,종합!$AE$3:$AE$501,0))&amp;"","")</f>
        <v/>
      </c>
      <c r="Z216" s="21" t="str">
        <f aca="false">IFERROR(INDEX(종합!Z$3:Z$501,MATCH(ROW()-2,종합!$AE$3:$AE$501,0))&amp;"","")</f>
        <v/>
      </c>
    </row>
    <row r="217" customFormat="false" ht="16.5" hidden="false" customHeight="true" outlineLevel="0" collapsed="false">
      <c r="A217" s="18" t="str">
        <f aca="false">IF(B217="","",ROW()-2)</f>
        <v/>
      </c>
      <c r="B217" s="18" t="str">
        <f aca="false">IFERROR(INDEX(종합!B$3:B$501,MATCH(ROW()-2,종합!$AE$3:$AE$501,0))&amp;"","")</f>
        <v/>
      </c>
      <c r="C217" s="18" t="str">
        <f aca="false">IFERROR(INDEX(종합!C$3:C$501,MATCH(ROW()-2,종합!$AE$3:$AE$501,0))&amp;"","")</f>
        <v/>
      </c>
      <c r="D217" s="18" t="str">
        <f aca="false">IFERROR(INDEX(종합!D$3:D$501,MATCH(ROW()-2,종합!$AE$3:$AE$501,0))&amp;"","")</f>
        <v/>
      </c>
      <c r="E217" s="18" t="str">
        <f aca="false">IFERROR(INDEX(종합!E$3:E$501,MATCH(ROW()-2,종합!$AE$3:$AE$501,0))&amp;"","")</f>
        <v/>
      </c>
      <c r="F217" s="18" t="str">
        <f aca="false">IFERROR(INDEX(종합!F$3:F$501,MATCH(ROW()-2,종합!$AE$3:$AE$501,0))&amp;"","")</f>
        <v/>
      </c>
      <c r="G217" s="18" t="str">
        <f aca="false">IFERROR(INDEX(종합!G$3:G$501,MATCH(ROW()-2,종합!$AE$3:$AE$501,0))&amp;"","")</f>
        <v/>
      </c>
      <c r="H217" s="21" t="str">
        <f aca="false">IFERROR(INDEX(종합!H$3:H$501,MATCH(ROW()-2,종합!$AE$3:$AE$501,0))&amp;"","")</f>
        <v/>
      </c>
      <c r="I217" s="21" t="str">
        <f aca="false">IFERROR(INDEX(종합!I$3:I$501,MATCH(ROW()-2,종합!$AE$3:$AE$501,0))&amp;"","")</f>
        <v/>
      </c>
      <c r="J217" s="21" t="str">
        <f aca="false">IFERROR(INDEX(종합!J$3:J$501,MATCH(ROW()-2,종합!$AE$3:$AE$501,0))&amp;"","")</f>
        <v/>
      </c>
      <c r="K217" s="21" t="str">
        <f aca="false">IFERROR(INDEX(종합!K$3:K$501,MATCH(ROW()-2,종합!$AE$3:$AE$501,0))&amp;"","")</f>
        <v/>
      </c>
      <c r="L217" s="21" t="str">
        <f aca="false">IFERROR(INDEX(종합!L$3:L$501,MATCH(ROW()-2,종합!$AE$3:$AE$501,0))&amp;"","")</f>
        <v/>
      </c>
      <c r="M217" s="21" t="str">
        <f aca="false">IFERROR(INDEX(종합!M$3:M$501,MATCH(ROW()-2,종합!$AE$3:$AE$501,0))&amp;"","")</f>
        <v/>
      </c>
      <c r="N217" s="25" t="str">
        <f aca="false">IFERROR(INDEX(종합!N$3:N$501,MATCH(ROW()-2,종합!$AE$3:$AE$501,0))&amp;"","")</f>
        <v/>
      </c>
      <c r="O217" s="21" t="str">
        <f aca="false">IFERROR(INDEX(종합!O$3:O$501,MATCH(ROW()-2,종합!$AE$3:$AE$501,0))&amp;"","")</f>
        <v/>
      </c>
      <c r="P217" s="21" t="str">
        <f aca="false">IFERROR(INDEX(종합!P$3:P$501,MATCH(ROW()-2,종합!$AE$3:$AE$501,0))&amp;"","")</f>
        <v/>
      </c>
      <c r="Q217" s="21" t="str">
        <f aca="false">IFERROR(INDEX(종합!Q$3:Q$501,MATCH(ROW()-2,종합!$AE$3:$AE$501,0))&amp;"","")</f>
        <v/>
      </c>
      <c r="R217" s="21" t="str">
        <f aca="false">IFERROR(INDEX(종합!R$3:R$501,MATCH(ROW()-2,종합!$AE$3:$AE$501,0))&amp;"","")</f>
        <v/>
      </c>
      <c r="S217" s="21" t="str">
        <f aca="false">IFERROR(INDEX(종합!S$3:S$501,MATCH(ROW()-2,종합!$AE$3:$AE$501,0))&amp;"","")</f>
        <v/>
      </c>
      <c r="T217" s="21" t="str">
        <f aca="false">IFERROR(INDEX(종합!T$3:T$501,MATCH(ROW()-2,종합!$AE$3:$AE$501,0))&amp;"","")</f>
        <v/>
      </c>
      <c r="U217" s="21" t="str">
        <f aca="false">IFERROR(INDEX(종합!U$3:U$501,MATCH(ROW()-2,종합!$AE$3:$AE$501,0))&amp;"","")</f>
        <v/>
      </c>
      <c r="V217" s="21" t="str">
        <f aca="false">IFERROR(INDEX(종합!V$3:V$501,MATCH(ROW()-2,종합!$AE$3:$AE$501,0))&amp;"","")</f>
        <v/>
      </c>
      <c r="W217" s="21" t="str">
        <f aca="false">IFERROR(INDEX(종합!W$3:W$501,MATCH(ROW()-2,종합!$AE$3:$AE$501,0))&amp;"","")</f>
        <v/>
      </c>
      <c r="X217" s="21" t="str">
        <f aca="false">IFERROR(INDEX(종합!X$3:X$501,MATCH(ROW()-2,종합!$AE$3:$AE$501,0))&amp;"","")</f>
        <v/>
      </c>
      <c r="Y217" s="21" t="str">
        <f aca="false">IFERROR(INDEX(종합!Y$3:Y$501,MATCH(ROW()-2,종합!$AE$3:$AE$501,0))&amp;"","")</f>
        <v/>
      </c>
      <c r="Z217" s="21" t="str">
        <f aca="false">IFERROR(INDEX(종합!Z$3:Z$501,MATCH(ROW()-2,종합!$AE$3:$AE$501,0))&amp;"","")</f>
        <v/>
      </c>
    </row>
    <row r="218" customFormat="false" ht="16.5" hidden="false" customHeight="true" outlineLevel="0" collapsed="false">
      <c r="A218" s="18" t="str">
        <f aca="false">IF(B218="","",ROW()-2)</f>
        <v/>
      </c>
      <c r="B218" s="18" t="str">
        <f aca="false">IFERROR(INDEX(종합!B$3:B$501,MATCH(ROW()-2,종합!$AE$3:$AE$501,0))&amp;"","")</f>
        <v/>
      </c>
      <c r="C218" s="18" t="str">
        <f aca="false">IFERROR(INDEX(종합!C$3:C$501,MATCH(ROW()-2,종합!$AE$3:$AE$501,0))&amp;"","")</f>
        <v/>
      </c>
      <c r="D218" s="18" t="str">
        <f aca="false">IFERROR(INDEX(종합!D$3:D$501,MATCH(ROW()-2,종합!$AE$3:$AE$501,0))&amp;"","")</f>
        <v/>
      </c>
      <c r="E218" s="18" t="str">
        <f aca="false">IFERROR(INDEX(종합!E$3:E$501,MATCH(ROW()-2,종합!$AE$3:$AE$501,0))&amp;"","")</f>
        <v/>
      </c>
      <c r="F218" s="18" t="str">
        <f aca="false">IFERROR(INDEX(종합!F$3:F$501,MATCH(ROW()-2,종합!$AE$3:$AE$501,0))&amp;"","")</f>
        <v/>
      </c>
      <c r="G218" s="18" t="str">
        <f aca="false">IFERROR(INDEX(종합!G$3:G$501,MATCH(ROW()-2,종합!$AE$3:$AE$501,0))&amp;"","")</f>
        <v/>
      </c>
      <c r="H218" s="21" t="str">
        <f aca="false">IFERROR(INDEX(종합!H$3:H$501,MATCH(ROW()-2,종합!$AE$3:$AE$501,0))&amp;"","")</f>
        <v/>
      </c>
      <c r="I218" s="21" t="str">
        <f aca="false">IFERROR(INDEX(종합!I$3:I$501,MATCH(ROW()-2,종합!$AE$3:$AE$501,0))&amp;"","")</f>
        <v/>
      </c>
      <c r="J218" s="21" t="str">
        <f aca="false">IFERROR(INDEX(종합!J$3:J$501,MATCH(ROW()-2,종합!$AE$3:$AE$501,0))&amp;"","")</f>
        <v/>
      </c>
      <c r="K218" s="21" t="str">
        <f aca="false">IFERROR(INDEX(종합!K$3:K$501,MATCH(ROW()-2,종합!$AE$3:$AE$501,0))&amp;"","")</f>
        <v/>
      </c>
      <c r="L218" s="21" t="str">
        <f aca="false">IFERROR(INDEX(종합!L$3:L$501,MATCH(ROW()-2,종합!$AE$3:$AE$501,0))&amp;"","")</f>
        <v/>
      </c>
      <c r="M218" s="21" t="str">
        <f aca="false">IFERROR(INDEX(종합!M$3:M$501,MATCH(ROW()-2,종합!$AE$3:$AE$501,0))&amp;"","")</f>
        <v/>
      </c>
      <c r="N218" s="25" t="str">
        <f aca="false">IFERROR(INDEX(종합!N$3:N$501,MATCH(ROW()-2,종합!$AE$3:$AE$501,0))&amp;"","")</f>
        <v/>
      </c>
      <c r="O218" s="21" t="str">
        <f aca="false">IFERROR(INDEX(종합!O$3:O$501,MATCH(ROW()-2,종합!$AE$3:$AE$501,0))&amp;"","")</f>
        <v/>
      </c>
      <c r="P218" s="21" t="str">
        <f aca="false">IFERROR(INDEX(종합!P$3:P$501,MATCH(ROW()-2,종합!$AE$3:$AE$501,0))&amp;"","")</f>
        <v/>
      </c>
      <c r="Q218" s="21" t="str">
        <f aca="false">IFERROR(INDEX(종합!Q$3:Q$501,MATCH(ROW()-2,종합!$AE$3:$AE$501,0))&amp;"","")</f>
        <v/>
      </c>
      <c r="R218" s="21" t="str">
        <f aca="false">IFERROR(INDEX(종합!R$3:R$501,MATCH(ROW()-2,종합!$AE$3:$AE$501,0))&amp;"","")</f>
        <v/>
      </c>
      <c r="S218" s="21" t="str">
        <f aca="false">IFERROR(INDEX(종합!S$3:S$501,MATCH(ROW()-2,종합!$AE$3:$AE$501,0))&amp;"","")</f>
        <v/>
      </c>
      <c r="T218" s="21" t="str">
        <f aca="false">IFERROR(INDEX(종합!T$3:T$501,MATCH(ROW()-2,종합!$AE$3:$AE$501,0))&amp;"","")</f>
        <v/>
      </c>
      <c r="U218" s="21" t="str">
        <f aca="false">IFERROR(INDEX(종합!U$3:U$501,MATCH(ROW()-2,종합!$AE$3:$AE$501,0))&amp;"","")</f>
        <v/>
      </c>
      <c r="V218" s="21" t="str">
        <f aca="false">IFERROR(INDEX(종합!V$3:V$501,MATCH(ROW()-2,종합!$AE$3:$AE$501,0))&amp;"","")</f>
        <v/>
      </c>
      <c r="W218" s="21" t="str">
        <f aca="false">IFERROR(INDEX(종합!W$3:W$501,MATCH(ROW()-2,종합!$AE$3:$AE$501,0))&amp;"","")</f>
        <v/>
      </c>
      <c r="X218" s="21" t="str">
        <f aca="false">IFERROR(INDEX(종합!X$3:X$501,MATCH(ROW()-2,종합!$AE$3:$AE$501,0))&amp;"","")</f>
        <v/>
      </c>
      <c r="Y218" s="21" t="str">
        <f aca="false">IFERROR(INDEX(종합!Y$3:Y$501,MATCH(ROW()-2,종합!$AE$3:$AE$501,0))&amp;"","")</f>
        <v/>
      </c>
      <c r="Z218" s="21" t="str">
        <f aca="false">IFERROR(INDEX(종합!Z$3:Z$501,MATCH(ROW()-2,종합!$AE$3:$AE$501,0))&amp;"","")</f>
        <v/>
      </c>
    </row>
    <row r="219" customFormat="false" ht="16.5" hidden="false" customHeight="true" outlineLevel="0" collapsed="false">
      <c r="A219" s="18" t="str">
        <f aca="false">IF(B219="","",ROW()-2)</f>
        <v/>
      </c>
      <c r="B219" s="18" t="str">
        <f aca="false">IFERROR(INDEX(종합!B$3:B$501,MATCH(ROW()-2,종합!$AE$3:$AE$501,0))&amp;"","")</f>
        <v/>
      </c>
      <c r="C219" s="18" t="str">
        <f aca="false">IFERROR(INDEX(종합!C$3:C$501,MATCH(ROW()-2,종합!$AE$3:$AE$501,0))&amp;"","")</f>
        <v/>
      </c>
      <c r="D219" s="18" t="str">
        <f aca="false">IFERROR(INDEX(종합!D$3:D$501,MATCH(ROW()-2,종합!$AE$3:$AE$501,0))&amp;"","")</f>
        <v/>
      </c>
      <c r="E219" s="18" t="str">
        <f aca="false">IFERROR(INDEX(종합!E$3:E$501,MATCH(ROW()-2,종합!$AE$3:$AE$501,0))&amp;"","")</f>
        <v/>
      </c>
      <c r="F219" s="18" t="str">
        <f aca="false">IFERROR(INDEX(종합!F$3:F$501,MATCH(ROW()-2,종합!$AE$3:$AE$501,0))&amp;"","")</f>
        <v/>
      </c>
      <c r="G219" s="18" t="str">
        <f aca="false">IFERROR(INDEX(종합!G$3:G$501,MATCH(ROW()-2,종합!$AE$3:$AE$501,0))&amp;"","")</f>
        <v/>
      </c>
      <c r="H219" s="21" t="str">
        <f aca="false">IFERROR(INDEX(종합!H$3:H$501,MATCH(ROW()-2,종합!$AE$3:$AE$501,0))&amp;"","")</f>
        <v/>
      </c>
      <c r="I219" s="21" t="str">
        <f aca="false">IFERROR(INDEX(종합!I$3:I$501,MATCH(ROW()-2,종합!$AE$3:$AE$501,0))&amp;"","")</f>
        <v/>
      </c>
      <c r="J219" s="21" t="str">
        <f aca="false">IFERROR(INDEX(종합!J$3:J$501,MATCH(ROW()-2,종합!$AE$3:$AE$501,0))&amp;"","")</f>
        <v/>
      </c>
      <c r="K219" s="21" t="str">
        <f aca="false">IFERROR(INDEX(종합!K$3:K$501,MATCH(ROW()-2,종합!$AE$3:$AE$501,0))&amp;"","")</f>
        <v/>
      </c>
      <c r="L219" s="21" t="str">
        <f aca="false">IFERROR(INDEX(종합!L$3:L$501,MATCH(ROW()-2,종합!$AE$3:$AE$501,0))&amp;"","")</f>
        <v/>
      </c>
      <c r="M219" s="21" t="str">
        <f aca="false">IFERROR(INDEX(종합!M$3:M$501,MATCH(ROW()-2,종합!$AE$3:$AE$501,0))&amp;"","")</f>
        <v/>
      </c>
      <c r="N219" s="25" t="str">
        <f aca="false">IFERROR(INDEX(종합!N$3:N$501,MATCH(ROW()-2,종합!$AE$3:$AE$501,0))&amp;"","")</f>
        <v/>
      </c>
      <c r="O219" s="21" t="str">
        <f aca="false">IFERROR(INDEX(종합!O$3:O$501,MATCH(ROW()-2,종합!$AE$3:$AE$501,0))&amp;"","")</f>
        <v/>
      </c>
      <c r="P219" s="21" t="str">
        <f aca="false">IFERROR(INDEX(종합!P$3:P$501,MATCH(ROW()-2,종합!$AE$3:$AE$501,0))&amp;"","")</f>
        <v/>
      </c>
      <c r="Q219" s="21" t="str">
        <f aca="false">IFERROR(INDEX(종합!Q$3:Q$501,MATCH(ROW()-2,종합!$AE$3:$AE$501,0))&amp;"","")</f>
        <v/>
      </c>
      <c r="R219" s="21" t="str">
        <f aca="false">IFERROR(INDEX(종합!R$3:R$501,MATCH(ROW()-2,종합!$AE$3:$AE$501,0))&amp;"","")</f>
        <v/>
      </c>
      <c r="S219" s="21" t="str">
        <f aca="false">IFERROR(INDEX(종합!S$3:S$501,MATCH(ROW()-2,종합!$AE$3:$AE$501,0))&amp;"","")</f>
        <v/>
      </c>
      <c r="T219" s="21" t="str">
        <f aca="false">IFERROR(INDEX(종합!T$3:T$501,MATCH(ROW()-2,종합!$AE$3:$AE$501,0))&amp;"","")</f>
        <v/>
      </c>
      <c r="U219" s="21" t="str">
        <f aca="false">IFERROR(INDEX(종합!U$3:U$501,MATCH(ROW()-2,종합!$AE$3:$AE$501,0))&amp;"","")</f>
        <v/>
      </c>
      <c r="V219" s="21" t="str">
        <f aca="false">IFERROR(INDEX(종합!V$3:V$501,MATCH(ROW()-2,종합!$AE$3:$AE$501,0))&amp;"","")</f>
        <v/>
      </c>
      <c r="W219" s="21" t="str">
        <f aca="false">IFERROR(INDEX(종합!W$3:W$501,MATCH(ROW()-2,종합!$AE$3:$AE$501,0))&amp;"","")</f>
        <v/>
      </c>
      <c r="X219" s="21" t="str">
        <f aca="false">IFERROR(INDEX(종합!X$3:X$501,MATCH(ROW()-2,종합!$AE$3:$AE$501,0))&amp;"","")</f>
        <v/>
      </c>
      <c r="Y219" s="21" t="str">
        <f aca="false">IFERROR(INDEX(종합!Y$3:Y$501,MATCH(ROW()-2,종합!$AE$3:$AE$501,0))&amp;"","")</f>
        <v/>
      </c>
      <c r="Z219" s="21" t="str">
        <f aca="false">IFERROR(INDEX(종합!Z$3:Z$501,MATCH(ROW()-2,종합!$AE$3:$AE$501,0))&amp;"","")</f>
        <v/>
      </c>
    </row>
    <row r="220" customFormat="false" ht="16.5" hidden="false" customHeight="true" outlineLevel="0" collapsed="false">
      <c r="A220" s="18" t="str">
        <f aca="false">IF(B220="","",ROW()-2)</f>
        <v/>
      </c>
      <c r="B220" s="18" t="str">
        <f aca="false">IFERROR(INDEX(종합!B$3:B$501,MATCH(ROW()-2,종합!$AE$3:$AE$501,0))&amp;"","")</f>
        <v/>
      </c>
      <c r="C220" s="18" t="str">
        <f aca="false">IFERROR(INDEX(종합!C$3:C$501,MATCH(ROW()-2,종합!$AE$3:$AE$501,0))&amp;"","")</f>
        <v/>
      </c>
      <c r="D220" s="18" t="str">
        <f aca="false">IFERROR(INDEX(종합!D$3:D$501,MATCH(ROW()-2,종합!$AE$3:$AE$501,0))&amp;"","")</f>
        <v/>
      </c>
      <c r="E220" s="18" t="str">
        <f aca="false">IFERROR(INDEX(종합!E$3:E$501,MATCH(ROW()-2,종합!$AE$3:$AE$501,0))&amp;"","")</f>
        <v/>
      </c>
      <c r="F220" s="18" t="str">
        <f aca="false">IFERROR(INDEX(종합!F$3:F$501,MATCH(ROW()-2,종합!$AE$3:$AE$501,0))&amp;"","")</f>
        <v/>
      </c>
      <c r="G220" s="18" t="str">
        <f aca="false">IFERROR(INDEX(종합!G$3:G$501,MATCH(ROW()-2,종합!$AE$3:$AE$501,0))&amp;"","")</f>
        <v/>
      </c>
      <c r="H220" s="21" t="str">
        <f aca="false">IFERROR(INDEX(종합!H$3:H$501,MATCH(ROW()-2,종합!$AE$3:$AE$501,0))&amp;"","")</f>
        <v/>
      </c>
      <c r="I220" s="21" t="str">
        <f aca="false">IFERROR(INDEX(종합!I$3:I$501,MATCH(ROW()-2,종합!$AE$3:$AE$501,0))&amp;"","")</f>
        <v/>
      </c>
      <c r="J220" s="21" t="str">
        <f aca="false">IFERROR(INDEX(종합!J$3:J$501,MATCH(ROW()-2,종합!$AE$3:$AE$501,0))&amp;"","")</f>
        <v/>
      </c>
      <c r="K220" s="21" t="str">
        <f aca="false">IFERROR(INDEX(종합!K$3:K$501,MATCH(ROW()-2,종합!$AE$3:$AE$501,0))&amp;"","")</f>
        <v/>
      </c>
      <c r="L220" s="21" t="str">
        <f aca="false">IFERROR(INDEX(종합!L$3:L$501,MATCH(ROW()-2,종합!$AE$3:$AE$501,0))&amp;"","")</f>
        <v/>
      </c>
      <c r="M220" s="21" t="str">
        <f aca="false">IFERROR(INDEX(종합!M$3:M$501,MATCH(ROW()-2,종합!$AE$3:$AE$501,0))&amp;"","")</f>
        <v/>
      </c>
      <c r="N220" s="25" t="str">
        <f aca="false">IFERROR(INDEX(종합!N$3:N$501,MATCH(ROW()-2,종합!$AE$3:$AE$501,0))&amp;"","")</f>
        <v/>
      </c>
      <c r="O220" s="21" t="str">
        <f aca="false">IFERROR(INDEX(종합!O$3:O$501,MATCH(ROW()-2,종합!$AE$3:$AE$501,0))&amp;"","")</f>
        <v/>
      </c>
      <c r="P220" s="21" t="str">
        <f aca="false">IFERROR(INDEX(종합!P$3:P$501,MATCH(ROW()-2,종합!$AE$3:$AE$501,0))&amp;"","")</f>
        <v/>
      </c>
      <c r="Q220" s="21" t="str">
        <f aca="false">IFERROR(INDEX(종합!Q$3:Q$501,MATCH(ROW()-2,종합!$AE$3:$AE$501,0))&amp;"","")</f>
        <v/>
      </c>
      <c r="R220" s="21" t="str">
        <f aca="false">IFERROR(INDEX(종합!R$3:R$501,MATCH(ROW()-2,종합!$AE$3:$AE$501,0))&amp;"","")</f>
        <v/>
      </c>
      <c r="S220" s="21" t="str">
        <f aca="false">IFERROR(INDEX(종합!S$3:S$501,MATCH(ROW()-2,종합!$AE$3:$AE$501,0))&amp;"","")</f>
        <v/>
      </c>
      <c r="T220" s="21" t="str">
        <f aca="false">IFERROR(INDEX(종합!T$3:T$501,MATCH(ROW()-2,종합!$AE$3:$AE$501,0))&amp;"","")</f>
        <v/>
      </c>
      <c r="U220" s="21" t="str">
        <f aca="false">IFERROR(INDEX(종합!U$3:U$501,MATCH(ROW()-2,종합!$AE$3:$AE$501,0))&amp;"","")</f>
        <v/>
      </c>
      <c r="V220" s="21" t="str">
        <f aca="false">IFERROR(INDEX(종합!V$3:V$501,MATCH(ROW()-2,종합!$AE$3:$AE$501,0))&amp;"","")</f>
        <v/>
      </c>
      <c r="W220" s="21" t="str">
        <f aca="false">IFERROR(INDEX(종합!W$3:W$501,MATCH(ROW()-2,종합!$AE$3:$AE$501,0))&amp;"","")</f>
        <v/>
      </c>
      <c r="X220" s="21" t="str">
        <f aca="false">IFERROR(INDEX(종합!X$3:X$501,MATCH(ROW()-2,종합!$AE$3:$AE$501,0))&amp;"","")</f>
        <v/>
      </c>
      <c r="Y220" s="21" t="str">
        <f aca="false">IFERROR(INDEX(종합!Y$3:Y$501,MATCH(ROW()-2,종합!$AE$3:$AE$501,0))&amp;"","")</f>
        <v/>
      </c>
      <c r="Z220" s="21" t="str">
        <f aca="false">IFERROR(INDEX(종합!Z$3:Z$501,MATCH(ROW()-2,종합!$AE$3:$AE$501,0))&amp;"","")</f>
        <v/>
      </c>
    </row>
    <row r="221" customFormat="false" ht="16.5" hidden="false" customHeight="true" outlineLevel="0" collapsed="false">
      <c r="A221" s="18" t="str">
        <f aca="false">IF(B221="","",ROW()-2)</f>
        <v/>
      </c>
      <c r="B221" s="18" t="str">
        <f aca="false">IFERROR(INDEX(종합!B$3:B$501,MATCH(ROW()-2,종합!$AE$3:$AE$501,0))&amp;"","")</f>
        <v/>
      </c>
      <c r="C221" s="18" t="str">
        <f aca="false">IFERROR(INDEX(종합!C$3:C$501,MATCH(ROW()-2,종합!$AE$3:$AE$501,0))&amp;"","")</f>
        <v/>
      </c>
      <c r="D221" s="18" t="str">
        <f aca="false">IFERROR(INDEX(종합!D$3:D$501,MATCH(ROW()-2,종합!$AE$3:$AE$501,0))&amp;"","")</f>
        <v/>
      </c>
      <c r="E221" s="18" t="str">
        <f aca="false">IFERROR(INDEX(종합!E$3:E$501,MATCH(ROW()-2,종합!$AE$3:$AE$501,0))&amp;"","")</f>
        <v/>
      </c>
      <c r="F221" s="18" t="str">
        <f aca="false">IFERROR(INDEX(종합!F$3:F$501,MATCH(ROW()-2,종합!$AE$3:$AE$501,0))&amp;"","")</f>
        <v/>
      </c>
      <c r="G221" s="18" t="str">
        <f aca="false">IFERROR(INDEX(종합!G$3:G$501,MATCH(ROW()-2,종합!$AE$3:$AE$501,0))&amp;"","")</f>
        <v/>
      </c>
      <c r="H221" s="21" t="str">
        <f aca="false">IFERROR(INDEX(종합!H$3:H$501,MATCH(ROW()-2,종합!$AE$3:$AE$501,0))&amp;"","")</f>
        <v/>
      </c>
      <c r="I221" s="21" t="str">
        <f aca="false">IFERROR(INDEX(종합!I$3:I$501,MATCH(ROW()-2,종합!$AE$3:$AE$501,0))&amp;"","")</f>
        <v/>
      </c>
      <c r="J221" s="21" t="str">
        <f aca="false">IFERROR(INDEX(종합!J$3:J$501,MATCH(ROW()-2,종합!$AE$3:$AE$501,0))&amp;"","")</f>
        <v/>
      </c>
      <c r="K221" s="21" t="str">
        <f aca="false">IFERROR(INDEX(종합!K$3:K$501,MATCH(ROW()-2,종합!$AE$3:$AE$501,0))&amp;"","")</f>
        <v/>
      </c>
      <c r="L221" s="21" t="str">
        <f aca="false">IFERROR(INDEX(종합!L$3:L$501,MATCH(ROW()-2,종합!$AE$3:$AE$501,0))&amp;"","")</f>
        <v/>
      </c>
      <c r="M221" s="21" t="str">
        <f aca="false">IFERROR(INDEX(종합!M$3:M$501,MATCH(ROW()-2,종합!$AE$3:$AE$501,0))&amp;"","")</f>
        <v/>
      </c>
      <c r="N221" s="25" t="str">
        <f aca="false">IFERROR(INDEX(종합!N$3:N$501,MATCH(ROW()-2,종합!$AE$3:$AE$501,0))&amp;"","")</f>
        <v/>
      </c>
      <c r="O221" s="21" t="str">
        <f aca="false">IFERROR(INDEX(종합!O$3:O$501,MATCH(ROW()-2,종합!$AE$3:$AE$501,0))&amp;"","")</f>
        <v/>
      </c>
      <c r="P221" s="21" t="str">
        <f aca="false">IFERROR(INDEX(종합!P$3:P$501,MATCH(ROW()-2,종합!$AE$3:$AE$501,0))&amp;"","")</f>
        <v/>
      </c>
      <c r="Q221" s="21" t="str">
        <f aca="false">IFERROR(INDEX(종합!Q$3:Q$501,MATCH(ROW()-2,종합!$AE$3:$AE$501,0))&amp;"","")</f>
        <v/>
      </c>
      <c r="R221" s="21" t="str">
        <f aca="false">IFERROR(INDEX(종합!R$3:R$501,MATCH(ROW()-2,종합!$AE$3:$AE$501,0))&amp;"","")</f>
        <v/>
      </c>
      <c r="S221" s="21" t="str">
        <f aca="false">IFERROR(INDEX(종합!S$3:S$501,MATCH(ROW()-2,종합!$AE$3:$AE$501,0))&amp;"","")</f>
        <v/>
      </c>
      <c r="T221" s="21" t="str">
        <f aca="false">IFERROR(INDEX(종합!T$3:T$501,MATCH(ROW()-2,종합!$AE$3:$AE$501,0))&amp;"","")</f>
        <v/>
      </c>
      <c r="U221" s="21" t="str">
        <f aca="false">IFERROR(INDEX(종합!U$3:U$501,MATCH(ROW()-2,종합!$AE$3:$AE$501,0))&amp;"","")</f>
        <v/>
      </c>
      <c r="V221" s="21" t="str">
        <f aca="false">IFERROR(INDEX(종합!V$3:V$501,MATCH(ROW()-2,종합!$AE$3:$AE$501,0))&amp;"","")</f>
        <v/>
      </c>
      <c r="W221" s="21" t="str">
        <f aca="false">IFERROR(INDEX(종합!W$3:W$501,MATCH(ROW()-2,종합!$AE$3:$AE$501,0))&amp;"","")</f>
        <v/>
      </c>
      <c r="X221" s="21" t="str">
        <f aca="false">IFERROR(INDEX(종합!X$3:X$501,MATCH(ROW()-2,종합!$AE$3:$AE$501,0))&amp;"","")</f>
        <v/>
      </c>
      <c r="Y221" s="21" t="str">
        <f aca="false">IFERROR(INDEX(종합!Y$3:Y$501,MATCH(ROW()-2,종합!$AE$3:$AE$501,0))&amp;"","")</f>
        <v/>
      </c>
      <c r="Z221" s="21" t="str">
        <f aca="false">IFERROR(INDEX(종합!Z$3:Z$501,MATCH(ROW()-2,종합!$AE$3:$AE$501,0))&amp;"","")</f>
        <v/>
      </c>
    </row>
    <row r="222" customFormat="false" ht="16.5" hidden="false" customHeight="true" outlineLevel="0" collapsed="false">
      <c r="A222" s="18" t="str">
        <f aca="false">IF(B222="","",ROW()-2)</f>
        <v/>
      </c>
      <c r="B222" s="18" t="str">
        <f aca="false">IFERROR(INDEX(종합!B$3:B$501,MATCH(ROW()-2,종합!$AE$3:$AE$501,0))&amp;"","")</f>
        <v/>
      </c>
      <c r="C222" s="18" t="str">
        <f aca="false">IFERROR(INDEX(종합!C$3:C$501,MATCH(ROW()-2,종합!$AE$3:$AE$501,0))&amp;"","")</f>
        <v/>
      </c>
      <c r="D222" s="18" t="str">
        <f aca="false">IFERROR(INDEX(종합!D$3:D$501,MATCH(ROW()-2,종합!$AE$3:$AE$501,0))&amp;"","")</f>
        <v/>
      </c>
      <c r="E222" s="18" t="str">
        <f aca="false">IFERROR(INDEX(종합!E$3:E$501,MATCH(ROW()-2,종합!$AE$3:$AE$501,0))&amp;"","")</f>
        <v/>
      </c>
      <c r="F222" s="18" t="str">
        <f aca="false">IFERROR(INDEX(종합!F$3:F$501,MATCH(ROW()-2,종합!$AE$3:$AE$501,0))&amp;"","")</f>
        <v/>
      </c>
      <c r="G222" s="18" t="str">
        <f aca="false">IFERROR(INDEX(종합!G$3:G$501,MATCH(ROW()-2,종합!$AE$3:$AE$501,0))&amp;"","")</f>
        <v/>
      </c>
      <c r="H222" s="21" t="str">
        <f aca="false">IFERROR(INDEX(종합!H$3:H$501,MATCH(ROW()-2,종합!$AE$3:$AE$501,0))&amp;"","")</f>
        <v/>
      </c>
      <c r="I222" s="21" t="str">
        <f aca="false">IFERROR(INDEX(종합!I$3:I$501,MATCH(ROW()-2,종합!$AE$3:$AE$501,0))&amp;"","")</f>
        <v/>
      </c>
      <c r="J222" s="21" t="str">
        <f aca="false">IFERROR(INDEX(종합!J$3:J$501,MATCH(ROW()-2,종합!$AE$3:$AE$501,0))&amp;"","")</f>
        <v/>
      </c>
      <c r="K222" s="21" t="str">
        <f aca="false">IFERROR(INDEX(종합!K$3:K$501,MATCH(ROW()-2,종합!$AE$3:$AE$501,0))&amp;"","")</f>
        <v/>
      </c>
      <c r="L222" s="21" t="str">
        <f aca="false">IFERROR(INDEX(종합!L$3:L$501,MATCH(ROW()-2,종합!$AE$3:$AE$501,0))&amp;"","")</f>
        <v/>
      </c>
      <c r="M222" s="21" t="str">
        <f aca="false">IFERROR(INDEX(종합!M$3:M$501,MATCH(ROW()-2,종합!$AE$3:$AE$501,0))&amp;"","")</f>
        <v/>
      </c>
      <c r="N222" s="25" t="str">
        <f aca="false">IFERROR(INDEX(종합!N$3:N$501,MATCH(ROW()-2,종합!$AE$3:$AE$501,0))&amp;"","")</f>
        <v/>
      </c>
      <c r="O222" s="21" t="str">
        <f aca="false">IFERROR(INDEX(종합!O$3:O$501,MATCH(ROW()-2,종합!$AE$3:$AE$501,0))&amp;"","")</f>
        <v/>
      </c>
      <c r="P222" s="21" t="str">
        <f aca="false">IFERROR(INDEX(종합!P$3:P$501,MATCH(ROW()-2,종합!$AE$3:$AE$501,0))&amp;"","")</f>
        <v/>
      </c>
      <c r="Q222" s="21" t="str">
        <f aca="false">IFERROR(INDEX(종합!Q$3:Q$501,MATCH(ROW()-2,종합!$AE$3:$AE$501,0))&amp;"","")</f>
        <v/>
      </c>
      <c r="R222" s="21" t="str">
        <f aca="false">IFERROR(INDEX(종합!R$3:R$501,MATCH(ROW()-2,종합!$AE$3:$AE$501,0))&amp;"","")</f>
        <v/>
      </c>
      <c r="S222" s="21" t="str">
        <f aca="false">IFERROR(INDEX(종합!S$3:S$501,MATCH(ROW()-2,종합!$AE$3:$AE$501,0))&amp;"","")</f>
        <v/>
      </c>
      <c r="T222" s="21" t="str">
        <f aca="false">IFERROR(INDEX(종합!T$3:T$501,MATCH(ROW()-2,종합!$AE$3:$AE$501,0))&amp;"","")</f>
        <v/>
      </c>
      <c r="U222" s="21" t="str">
        <f aca="false">IFERROR(INDEX(종합!U$3:U$501,MATCH(ROW()-2,종합!$AE$3:$AE$501,0))&amp;"","")</f>
        <v/>
      </c>
      <c r="V222" s="21" t="str">
        <f aca="false">IFERROR(INDEX(종합!V$3:V$501,MATCH(ROW()-2,종합!$AE$3:$AE$501,0))&amp;"","")</f>
        <v/>
      </c>
      <c r="W222" s="21" t="str">
        <f aca="false">IFERROR(INDEX(종합!W$3:W$501,MATCH(ROW()-2,종합!$AE$3:$AE$501,0))&amp;"","")</f>
        <v/>
      </c>
      <c r="X222" s="21" t="str">
        <f aca="false">IFERROR(INDEX(종합!X$3:X$501,MATCH(ROW()-2,종합!$AE$3:$AE$501,0))&amp;"","")</f>
        <v/>
      </c>
      <c r="Y222" s="21" t="str">
        <f aca="false">IFERROR(INDEX(종합!Y$3:Y$501,MATCH(ROW()-2,종합!$AE$3:$AE$501,0))&amp;"","")</f>
        <v/>
      </c>
      <c r="Z222" s="21" t="str">
        <f aca="false">IFERROR(INDEX(종합!Z$3:Z$501,MATCH(ROW()-2,종합!$AE$3:$AE$501,0))&amp;"","")</f>
        <v/>
      </c>
    </row>
    <row r="223" customFormat="false" ht="16.5" hidden="false" customHeight="true" outlineLevel="0" collapsed="false">
      <c r="A223" s="18" t="str">
        <f aca="false">IF(B223="","",ROW()-2)</f>
        <v/>
      </c>
      <c r="B223" s="18" t="str">
        <f aca="false">IFERROR(INDEX(종합!B$3:B$501,MATCH(ROW()-2,종합!$AE$3:$AE$501,0))&amp;"","")</f>
        <v/>
      </c>
      <c r="C223" s="18" t="str">
        <f aca="false">IFERROR(INDEX(종합!C$3:C$501,MATCH(ROW()-2,종합!$AE$3:$AE$501,0))&amp;"","")</f>
        <v/>
      </c>
      <c r="D223" s="18" t="str">
        <f aca="false">IFERROR(INDEX(종합!D$3:D$501,MATCH(ROW()-2,종합!$AE$3:$AE$501,0))&amp;"","")</f>
        <v/>
      </c>
      <c r="E223" s="18" t="str">
        <f aca="false">IFERROR(INDEX(종합!E$3:E$501,MATCH(ROW()-2,종합!$AE$3:$AE$501,0))&amp;"","")</f>
        <v/>
      </c>
      <c r="F223" s="18" t="str">
        <f aca="false">IFERROR(INDEX(종합!F$3:F$501,MATCH(ROW()-2,종합!$AE$3:$AE$501,0))&amp;"","")</f>
        <v/>
      </c>
      <c r="G223" s="18" t="str">
        <f aca="false">IFERROR(INDEX(종합!G$3:G$501,MATCH(ROW()-2,종합!$AE$3:$AE$501,0))&amp;"","")</f>
        <v/>
      </c>
      <c r="H223" s="21" t="str">
        <f aca="false">IFERROR(INDEX(종합!H$3:H$501,MATCH(ROW()-2,종합!$AE$3:$AE$501,0))&amp;"","")</f>
        <v/>
      </c>
      <c r="I223" s="21" t="str">
        <f aca="false">IFERROR(INDEX(종합!I$3:I$501,MATCH(ROW()-2,종합!$AE$3:$AE$501,0))&amp;"","")</f>
        <v/>
      </c>
      <c r="J223" s="21" t="str">
        <f aca="false">IFERROR(INDEX(종합!J$3:J$501,MATCH(ROW()-2,종합!$AE$3:$AE$501,0))&amp;"","")</f>
        <v/>
      </c>
      <c r="K223" s="21" t="str">
        <f aca="false">IFERROR(INDEX(종합!K$3:K$501,MATCH(ROW()-2,종합!$AE$3:$AE$501,0))&amp;"","")</f>
        <v/>
      </c>
      <c r="L223" s="21" t="str">
        <f aca="false">IFERROR(INDEX(종합!L$3:L$501,MATCH(ROW()-2,종합!$AE$3:$AE$501,0))&amp;"","")</f>
        <v/>
      </c>
      <c r="M223" s="21" t="str">
        <f aca="false">IFERROR(INDEX(종합!M$3:M$501,MATCH(ROW()-2,종합!$AE$3:$AE$501,0))&amp;"","")</f>
        <v/>
      </c>
      <c r="N223" s="25" t="str">
        <f aca="false">IFERROR(INDEX(종합!N$3:N$501,MATCH(ROW()-2,종합!$AE$3:$AE$501,0))&amp;"","")</f>
        <v/>
      </c>
      <c r="O223" s="21" t="str">
        <f aca="false">IFERROR(INDEX(종합!O$3:O$501,MATCH(ROW()-2,종합!$AE$3:$AE$501,0))&amp;"","")</f>
        <v/>
      </c>
      <c r="P223" s="21" t="str">
        <f aca="false">IFERROR(INDEX(종합!P$3:P$501,MATCH(ROW()-2,종합!$AE$3:$AE$501,0))&amp;"","")</f>
        <v/>
      </c>
      <c r="Q223" s="21" t="str">
        <f aca="false">IFERROR(INDEX(종합!Q$3:Q$501,MATCH(ROW()-2,종합!$AE$3:$AE$501,0))&amp;"","")</f>
        <v/>
      </c>
      <c r="R223" s="21" t="str">
        <f aca="false">IFERROR(INDEX(종합!R$3:R$501,MATCH(ROW()-2,종합!$AE$3:$AE$501,0))&amp;"","")</f>
        <v/>
      </c>
      <c r="S223" s="21" t="str">
        <f aca="false">IFERROR(INDEX(종합!S$3:S$501,MATCH(ROW()-2,종합!$AE$3:$AE$501,0))&amp;"","")</f>
        <v/>
      </c>
      <c r="T223" s="21" t="str">
        <f aca="false">IFERROR(INDEX(종합!T$3:T$501,MATCH(ROW()-2,종합!$AE$3:$AE$501,0))&amp;"","")</f>
        <v/>
      </c>
      <c r="U223" s="21" t="str">
        <f aca="false">IFERROR(INDEX(종합!U$3:U$501,MATCH(ROW()-2,종합!$AE$3:$AE$501,0))&amp;"","")</f>
        <v/>
      </c>
      <c r="V223" s="21" t="str">
        <f aca="false">IFERROR(INDEX(종합!V$3:V$501,MATCH(ROW()-2,종합!$AE$3:$AE$501,0))&amp;"","")</f>
        <v/>
      </c>
      <c r="W223" s="21" t="str">
        <f aca="false">IFERROR(INDEX(종합!W$3:W$501,MATCH(ROW()-2,종합!$AE$3:$AE$501,0))&amp;"","")</f>
        <v/>
      </c>
      <c r="X223" s="21" t="str">
        <f aca="false">IFERROR(INDEX(종합!X$3:X$501,MATCH(ROW()-2,종합!$AE$3:$AE$501,0))&amp;"","")</f>
        <v/>
      </c>
      <c r="Y223" s="21" t="str">
        <f aca="false">IFERROR(INDEX(종합!Y$3:Y$501,MATCH(ROW()-2,종합!$AE$3:$AE$501,0))&amp;"","")</f>
        <v/>
      </c>
      <c r="Z223" s="21" t="str">
        <f aca="false">IFERROR(INDEX(종합!Z$3:Z$501,MATCH(ROW()-2,종합!$AE$3:$AE$501,0))&amp;"","")</f>
        <v/>
      </c>
    </row>
    <row r="224" customFormat="false" ht="16.5" hidden="false" customHeight="true" outlineLevel="0" collapsed="false">
      <c r="A224" s="18" t="str">
        <f aca="false">IF(B224="","",ROW()-2)</f>
        <v/>
      </c>
      <c r="B224" s="18" t="str">
        <f aca="false">IFERROR(INDEX(종합!B$3:B$501,MATCH(ROW()-2,종합!$AE$3:$AE$501,0))&amp;"","")</f>
        <v/>
      </c>
      <c r="C224" s="18" t="str">
        <f aca="false">IFERROR(INDEX(종합!C$3:C$501,MATCH(ROW()-2,종합!$AE$3:$AE$501,0))&amp;"","")</f>
        <v/>
      </c>
      <c r="D224" s="18" t="str">
        <f aca="false">IFERROR(INDEX(종합!D$3:D$501,MATCH(ROW()-2,종합!$AE$3:$AE$501,0))&amp;"","")</f>
        <v/>
      </c>
      <c r="E224" s="18" t="str">
        <f aca="false">IFERROR(INDEX(종합!E$3:E$501,MATCH(ROW()-2,종합!$AE$3:$AE$501,0))&amp;"","")</f>
        <v/>
      </c>
      <c r="F224" s="18" t="str">
        <f aca="false">IFERROR(INDEX(종합!F$3:F$501,MATCH(ROW()-2,종합!$AE$3:$AE$501,0))&amp;"","")</f>
        <v/>
      </c>
      <c r="G224" s="18" t="str">
        <f aca="false">IFERROR(INDEX(종합!G$3:G$501,MATCH(ROW()-2,종합!$AE$3:$AE$501,0))&amp;"","")</f>
        <v/>
      </c>
      <c r="H224" s="21" t="str">
        <f aca="false">IFERROR(INDEX(종합!H$3:H$501,MATCH(ROW()-2,종합!$AE$3:$AE$501,0))&amp;"","")</f>
        <v/>
      </c>
      <c r="I224" s="21" t="str">
        <f aca="false">IFERROR(INDEX(종합!I$3:I$501,MATCH(ROW()-2,종합!$AE$3:$AE$501,0))&amp;"","")</f>
        <v/>
      </c>
      <c r="J224" s="21" t="str">
        <f aca="false">IFERROR(INDEX(종합!J$3:J$501,MATCH(ROW()-2,종합!$AE$3:$AE$501,0))&amp;"","")</f>
        <v/>
      </c>
      <c r="K224" s="21" t="str">
        <f aca="false">IFERROR(INDEX(종합!K$3:K$501,MATCH(ROW()-2,종합!$AE$3:$AE$501,0))&amp;"","")</f>
        <v/>
      </c>
      <c r="L224" s="21" t="str">
        <f aca="false">IFERROR(INDEX(종합!L$3:L$501,MATCH(ROW()-2,종합!$AE$3:$AE$501,0))&amp;"","")</f>
        <v/>
      </c>
      <c r="M224" s="21" t="str">
        <f aca="false">IFERROR(INDEX(종합!M$3:M$501,MATCH(ROW()-2,종합!$AE$3:$AE$501,0))&amp;"","")</f>
        <v/>
      </c>
      <c r="N224" s="25" t="str">
        <f aca="false">IFERROR(INDEX(종합!N$3:N$501,MATCH(ROW()-2,종합!$AE$3:$AE$501,0))&amp;"","")</f>
        <v/>
      </c>
      <c r="O224" s="21" t="str">
        <f aca="false">IFERROR(INDEX(종합!O$3:O$501,MATCH(ROW()-2,종합!$AE$3:$AE$501,0))&amp;"","")</f>
        <v/>
      </c>
      <c r="P224" s="21" t="str">
        <f aca="false">IFERROR(INDEX(종합!P$3:P$501,MATCH(ROW()-2,종합!$AE$3:$AE$501,0))&amp;"","")</f>
        <v/>
      </c>
      <c r="Q224" s="21" t="str">
        <f aca="false">IFERROR(INDEX(종합!Q$3:Q$501,MATCH(ROW()-2,종합!$AE$3:$AE$501,0))&amp;"","")</f>
        <v/>
      </c>
      <c r="R224" s="21" t="str">
        <f aca="false">IFERROR(INDEX(종합!R$3:R$501,MATCH(ROW()-2,종합!$AE$3:$AE$501,0))&amp;"","")</f>
        <v/>
      </c>
      <c r="S224" s="21" t="str">
        <f aca="false">IFERROR(INDEX(종합!S$3:S$501,MATCH(ROW()-2,종합!$AE$3:$AE$501,0))&amp;"","")</f>
        <v/>
      </c>
      <c r="T224" s="21" t="str">
        <f aca="false">IFERROR(INDEX(종합!T$3:T$501,MATCH(ROW()-2,종합!$AE$3:$AE$501,0))&amp;"","")</f>
        <v/>
      </c>
      <c r="U224" s="21" t="str">
        <f aca="false">IFERROR(INDEX(종합!U$3:U$501,MATCH(ROW()-2,종합!$AE$3:$AE$501,0))&amp;"","")</f>
        <v/>
      </c>
      <c r="V224" s="21" t="str">
        <f aca="false">IFERROR(INDEX(종합!V$3:V$501,MATCH(ROW()-2,종합!$AE$3:$AE$501,0))&amp;"","")</f>
        <v/>
      </c>
      <c r="W224" s="21" t="str">
        <f aca="false">IFERROR(INDEX(종합!W$3:W$501,MATCH(ROW()-2,종합!$AE$3:$AE$501,0))&amp;"","")</f>
        <v/>
      </c>
      <c r="X224" s="21" t="str">
        <f aca="false">IFERROR(INDEX(종합!X$3:X$501,MATCH(ROW()-2,종합!$AE$3:$AE$501,0))&amp;"","")</f>
        <v/>
      </c>
      <c r="Y224" s="21" t="str">
        <f aca="false">IFERROR(INDEX(종합!Y$3:Y$501,MATCH(ROW()-2,종합!$AE$3:$AE$501,0))&amp;"","")</f>
        <v/>
      </c>
      <c r="Z224" s="21" t="str">
        <f aca="false">IFERROR(INDEX(종합!Z$3:Z$501,MATCH(ROW()-2,종합!$AE$3:$AE$501,0))&amp;"","")</f>
        <v/>
      </c>
    </row>
    <row r="225" customFormat="false" ht="16.5" hidden="false" customHeight="true" outlineLevel="0" collapsed="false">
      <c r="A225" s="18" t="str">
        <f aca="false">IF(B225="","",ROW()-2)</f>
        <v/>
      </c>
      <c r="B225" s="18" t="str">
        <f aca="false">IFERROR(INDEX(종합!B$3:B$501,MATCH(ROW()-2,종합!$AE$3:$AE$501,0))&amp;"","")</f>
        <v/>
      </c>
      <c r="C225" s="18" t="str">
        <f aca="false">IFERROR(INDEX(종합!C$3:C$501,MATCH(ROW()-2,종합!$AE$3:$AE$501,0))&amp;"","")</f>
        <v/>
      </c>
      <c r="D225" s="18" t="str">
        <f aca="false">IFERROR(INDEX(종합!D$3:D$501,MATCH(ROW()-2,종합!$AE$3:$AE$501,0))&amp;"","")</f>
        <v/>
      </c>
      <c r="E225" s="18" t="str">
        <f aca="false">IFERROR(INDEX(종합!E$3:E$501,MATCH(ROW()-2,종합!$AE$3:$AE$501,0))&amp;"","")</f>
        <v/>
      </c>
      <c r="F225" s="18" t="str">
        <f aca="false">IFERROR(INDEX(종합!F$3:F$501,MATCH(ROW()-2,종합!$AE$3:$AE$501,0))&amp;"","")</f>
        <v/>
      </c>
      <c r="G225" s="18" t="str">
        <f aca="false">IFERROR(INDEX(종합!G$3:G$501,MATCH(ROW()-2,종합!$AE$3:$AE$501,0))&amp;"","")</f>
        <v/>
      </c>
      <c r="H225" s="21" t="str">
        <f aca="false">IFERROR(INDEX(종합!H$3:H$501,MATCH(ROW()-2,종합!$AE$3:$AE$501,0))&amp;"","")</f>
        <v/>
      </c>
      <c r="I225" s="21" t="str">
        <f aca="false">IFERROR(INDEX(종합!I$3:I$501,MATCH(ROW()-2,종합!$AE$3:$AE$501,0))&amp;"","")</f>
        <v/>
      </c>
      <c r="J225" s="21" t="str">
        <f aca="false">IFERROR(INDEX(종합!J$3:J$501,MATCH(ROW()-2,종합!$AE$3:$AE$501,0))&amp;"","")</f>
        <v/>
      </c>
      <c r="K225" s="21" t="str">
        <f aca="false">IFERROR(INDEX(종합!K$3:K$501,MATCH(ROW()-2,종합!$AE$3:$AE$501,0))&amp;"","")</f>
        <v/>
      </c>
      <c r="L225" s="21" t="str">
        <f aca="false">IFERROR(INDEX(종합!L$3:L$501,MATCH(ROW()-2,종합!$AE$3:$AE$501,0))&amp;"","")</f>
        <v/>
      </c>
      <c r="M225" s="21" t="str">
        <f aca="false">IFERROR(INDEX(종합!M$3:M$501,MATCH(ROW()-2,종합!$AE$3:$AE$501,0))&amp;"","")</f>
        <v/>
      </c>
      <c r="N225" s="25" t="str">
        <f aca="false">IFERROR(INDEX(종합!N$3:N$501,MATCH(ROW()-2,종합!$AE$3:$AE$501,0))&amp;"","")</f>
        <v/>
      </c>
      <c r="O225" s="21" t="str">
        <f aca="false">IFERROR(INDEX(종합!O$3:O$501,MATCH(ROW()-2,종합!$AE$3:$AE$501,0))&amp;"","")</f>
        <v/>
      </c>
      <c r="P225" s="21" t="str">
        <f aca="false">IFERROR(INDEX(종합!P$3:P$501,MATCH(ROW()-2,종합!$AE$3:$AE$501,0))&amp;"","")</f>
        <v/>
      </c>
      <c r="Q225" s="21" t="str">
        <f aca="false">IFERROR(INDEX(종합!Q$3:Q$501,MATCH(ROW()-2,종합!$AE$3:$AE$501,0))&amp;"","")</f>
        <v/>
      </c>
      <c r="R225" s="21" t="str">
        <f aca="false">IFERROR(INDEX(종합!R$3:R$501,MATCH(ROW()-2,종합!$AE$3:$AE$501,0))&amp;"","")</f>
        <v/>
      </c>
      <c r="S225" s="21" t="str">
        <f aca="false">IFERROR(INDEX(종합!S$3:S$501,MATCH(ROW()-2,종합!$AE$3:$AE$501,0))&amp;"","")</f>
        <v/>
      </c>
      <c r="T225" s="21" t="str">
        <f aca="false">IFERROR(INDEX(종합!T$3:T$501,MATCH(ROW()-2,종합!$AE$3:$AE$501,0))&amp;"","")</f>
        <v/>
      </c>
      <c r="U225" s="21" t="str">
        <f aca="false">IFERROR(INDEX(종합!U$3:U$501,MATCH(ROW()-2,종합!$AE$3:$AE$501,0))&amp;"","")</f>
        <v/>
      </c>
      <c r="V225" s="21" t="str">
        <f aca="false">IFERROR(INDEX(종합!V$3:V$501,MATCH(ROW()-2,종합!$AE$3:$AE$501,0))&amp;"","")</f>
        <v/>
      </c>
      <c r="W225" s="21" t="str">
        <f aca="false">IFERROR(INDEX(종합!W$3:W$501,MATCH(ROW()-2,종합!$AE$3:$AE$501,0))&amp;"","")</f>
        <v/>
      </c>
      <c r="X225" s="21" t="str">
        <f aca="false">IFERROR(INDEX(종합!X$3:X$501,MATCH(ROW()-2,종합!$AE$3:$AE$501,0))&amp;"","")</f>
        <v/>
      </c>
      <c r="Y225" s="21" t="str">
        <f aca="false">IFERROR(INDEX(종합!Y$3:Y$501,MATCH(ROW()-2,종합!$AE$3:$AE$501,0))&amp;"","")</f>
        <v/>
      </c>
      <c r="Z225" s="21" t="str">
        <f aca="false">IFERROR(INDEX(종합!Z$3:Z$501,MATCH(ROW()-2,종합!$AE$3:$AE$501,0))&amp;"","")</f>
        <v/>
      </c>
    </row>
    <row r="226" customFormat="false" ht="16.5" hidden="false" customHeight="true" outlineLevel="0" collapsed="false">
      <c r="A226" s="18" t="str">
        <f aca="false">IF(B226="","",ROW()-2)</f>
        <v/>
      </c>
      <c r="B226" s="18" t="str">
        <f aca="false">IFERROR(INDEX(종합!B$3:B$501,MATCH(ROW()-2,종합!$AE$3:$AE$501,0))&amp;"","")</f>
        <v/>
      </c>
      <c r="C226" s="18" t="str">
        <f aca="false">IFERROR(INDEX(종합!C$3:C$501,MATCH(ROW()-2,종합!$AE$3:$AE$501,0))&amp;"","")</f>
        <v/>
      </c>
      <c r="D226" s="18" t="str">
        <f aca="false">IFERROR(INDEX(종합!D$3:D$501,MATCH(ROW()-2,종합!$AE$3:$AE$501,0))&amp;"","")</f>
        <v/>
      </c>
      <c r="E226" s="18" t="str">
        <f aca="false">IFERROR(INDEX(종합!E$3:E$501,MATCH(ROW()-2,종합!$AE$3:$AE$501,0))&amp;"","")</f>
        <v/>
      </c>
      <c r="F226" s="18" t="str">
        <f aca="false">IFERROR(INDEX(종합!F$3:F$501,MATCH(ROW()-2,종합!$AE$3:$AE$501,0))&amp;"","")</f>
        <v/>
      </c>
      <c r="G226" s="18" t="str">
        <f aca="false">IFERROR(INDEX(종합!G$3:G$501,MATCH(ROW()-2,종합!$AE$3:$AE$501,0))&amp;"","")</f>
        <v/>
      </c>
      <c r="H226" s="21" t="str">
        <f aca="false">IFERROR(INDEX(종합!H$3:H$501,MATCH(ROW()-2,종합!$AE$3:$AE$501,0))&amp;"","")</f>
        <v/>
      </c>
      <c r="I226" s="21" t="str">
        <f aca="false">IFERROR(INDEX(종합!I$3:I$501,MATCH(ROW()-2,종합!$AE$3:$AE$501,0))&amp;"","")</f>
        <v/>
      </c>
      <c r="J226" s="21" t="str">
        <f aca="false">IFERROR(INDEX(종합!J$3:J$501,MATCH(ROW()-2,종합!$AE$3:$AE$501,0))&amp;"","")</f>
        <v/>
      </c>
      <c r="K226" s="21" t="str">
        <f aca="false">IFERROR(INDEX(종합!K$3:K$501,MATCH(ROW()-2,종합!$AE$3:$AE$501,0))&amp;"","")</f>
        <v/>
      </c>
      <c r="L226" s="21" t="str">
        <f aca="false">IFERROR(INDEX(종합!L$3:L$501,MATCH(ROW()-2,종합!$AE$3:$AE$501,0))&amp;"","")</f>
        <v/>
      </c>
      <c r="M226" s="21" t="str">
        <f aca="false">IFERROR(INDEX(종합!M$3:M$501,MATCH(ROW()-2,종합!$AE$3:$AE$501,0))&amp;"","")</f>
        <v/>
      </c>
      <c r="N226" s="25" t="str">
        <f aca="false">IFERROR(INDEX(종합!N$3:N$501,MATCH(ROW()-2,종합!$AE$3:$AE$501,0))&amp;"","")</f>
        <v/>
      </c>
      <c r="O226" s="21" t="str">
        <f aca="false">IFERROR(INDEX(종합!O$3:O$501,MATCH(ROW()-2,종합!$AE$3:$AE$501,0))&amp;"","")</f>
        <v/>
      </c>
      <c r="P226" s="21" t="str">
        <f aca="false">IFERROR(INDEX(종합!P$3:P$501,MATCH(ROW()-2,종합!$AE$3:$AE$501,0))&amp;"","")</f>
        <v/>
      </c>
      <c r="Q226" s="21" t="str">
        <f aca="false">IFERROR(INDEX(종합!Q$3:Q$501,MATCH(ROW()-2,종합!$AE$3:$AE$501,0))&amp;"","")</f>
        <v/>
      </c>
      <c r="R226" s="21" t="str">
        <f aca="false">IFERROR(INDEX(종합!R$3:R$501,MATCH(ROW()-2,종합!$AE$3:$AE$501,0))&amp;"","")</f>
        <v/>
      </c>
      <c r="S226" s="21" t="str">
        <f aca="false">IFERROR(INDEX(종합!S$3:S$501,MATCH(ROW()-2,종합!$AE$3:$AE$501,0))&amp;"","")</f>
        <v/>
      </c>
      <c r="T226" s="21" t="str">
        <f aca="false">IFERROR(INDEX(종합!T$3:T$501,MATCH(ROW()-2,종합!$AE$3:$AE$501,0))&amp;"","")</f>
        <v/>
      </c>
      <c r="U226" s="21" t="str">
        <f aca="false">IFERROR(INDEX(종합!U$3:U$501,MATCH(ROW()-2,종합!$AE$3:$AE$501,0))&amp;"","")</f>
        <v/>
      </c>
      <c r="V226" s="21" t="str">
        <f aca="false">IFERROR(INDEX(종합!V$3:V$501,MATCH(ROW()-2,종합!$AE$3:$AE$501,0))&amp;"","")</f>
        <v/>
      </c>
      <c r="W226" s="21" t="str">
        <f aca="false">IFERROR(INDEX(종합!W$3:W$501,MATCH(ROW()-2,종합!$AE$3:$AE$501,0))&amp;"","")</f>
        <v/>
      </c>
      <c r="X226" s="21" t="str">
        <f aca="false">IFERROR(INDEX(종합!X$3:X$501,MATCH(ROW()-2,종합!$AE$3:$AE$501,0))&amp;"","")</f>
        <v/>
      </c>
      <c r="Y226" s="21" t="str">
        <f aca="false">IFERROR(INDEX(종합!Y$3:Y$501,MATCH(ROW()-2,종합!$AE$3:$AE$501,0))&amp;"","")</f>
        <v/>
      </c>
      <c r="Z226" s="21" t="str">
        <f aca="false">IFERROR(INDEX(종합!Z$3:Z$501,MATCH(ROW()-2,종합!$AE$3:$AE$501,0))&amp;"","")</f>
        <v/>
      </c>
    </row>
    <row r="227" customFormat="false" ht="16.5" hidden="false" customHeight="true" outlineLevel="0" collapsed="false">
      <c r="A227" s="18" t="str">
        <f aca="false">IF(B227="","",ROW()-2)</f>
        <v/>
      </c>
      <c r="B227" s="18" t="str">
        <f aca="false">IFERROR(INDEX(종합!B$3:B$501,MATCH(ROW()-2,종합!$AE$3:$AE$501,0))&amp;"","")</f>
        <v/>
      </c>
      <c r="C227" s="18" t="str">
        <f aca="false">IFERROR(INDEX(종합!C$3:C$501,MATCH(ROW()-2,종합!$AE$3:$AE$501,0))&amp;"","")</f>
        <v/>
      </c>
      <c r="D227" s="18" t="str">
        <f aca="false">IFERROR(INDEX(종합!D$3:D$501,MATCH(ROW()-2,종합!$AE$3:$AE$501,0))&amp;"","")</f>
        <v/>
      </c>
      <c r="E227" s="18" t="str">
        <f aca="false">IFERROR(INDEX(종합!E$3:E$501,MATCH(ROW()-2,종합!$AE$3:$AE$501,0))&amp;"","")</f>
        <v/>
      </c>
      <c r="F227" s="18" t="str">
        <f aca="false">IFERROR(INDEX(종합!F$3:F$501,MATCH(ROW()-2,종합!$AE$3:$AE$501,0))&amp;"","")</f>
        <v/>
      </c>
      <c r="G227" s="18" t="str">
        <f aca="false">IFERROR(INDEX(종합!G$3:G$501,MATCH(ROW()-2,종합!$AE$3:$AE$501,0))&amp;"","")</f>
        <v/>
      </c>
      <c r="H227" s="21" t="str">
        <f aca="false">IFERROR(INDEX(종합!H$3:H$501,MATCH(ROW()-2,종합!$AE$3:$AE$501,0))&amp;"","")</f>
        <v/>
      </c>
      <c r="I227" s="21" t="str">
        <f aca="false">IFERROR(INDEX(종합!I$3:I$501,MATCH(ROW()-2,종합!$AE$3:$AE$501,0))&amp;"","")</f>
        <v/>
      </c>
      <c r="J227" s="21" t="str">
        <f aca="false">IFERROR(INDEX(종합!J$3:J$501,MATCH(ROW()-2,종합!$AE$3:$AE$501,0))&amp;"","")</f>
        <v/>
      </c>
      <c r="K227" s="21" t="str">
        <f aca="false">IFERROR(INDEX(종합!K$3:K$501,MATCH(ROW()-2,종합!$AE$3:$AE$501,0))&amp;"","")</f>
        <v/>
      </c>
      <c r="L227" s="21" t="str">
        <f aca="false">IFERROR(INDEX(종합!L$3:L$501,MATCH(ROW()-2,종합!$AE$3:$AE$501,0))&amp;"","")</f>
        <v/>
      </c>
      <c r="M227" s="21" t="str">
        <f aca="false">IFERROR(INDEX(종합!M$3:M$501,MATCH(ROW()-2,종합!$AE$3:$AE$501,0))&amp;"","")</f>
        <v/>
      </c>
      <c r="N227" s="25" t="str">
        <f aca="false">IFERROR(INDEX(종합!N$3:N$501,MATCH(ROW()-2,종합!$AE$3:$AE$501,0))&amp;"","")</f>
        <v/>
      </c>
      <c r="O227" s="21" t="str">
        <f aca="false">IFERROR(INDEX(종합!O$3:O$501,MATCH(ROW()-2,종합!$AE$3:$AE$501,0))&amp;"","")</f>
        <v/>
      </c>
      <c r="P227" s="21" t="str">
        <f aca="false">IFERROR(INDEX(종합!P$3:P$501,MATCH(ROW()-2,종합!$AE$3:$AE$501,0))&amp;"","")</f>
        <v/>
      </c>
      <c r="Q227" s="21" t="str">
        <f aca="false">IFERROR(INDEX(종합!Q$3:Q$501,MATCH(ROW()-2,종합!$AE$3:$AE$501,0))&amp;"","")</f>
        <v/>
      </c>
      <c r="R227" s="21" t="str">
        <f aca="false">IFERROR(INDEX(종합!R$3:R$501,MATCH(ROW()-2,종합!$AE$3:$AE$501,0))&amp;"","")</f>
        <v/>
      </c>
      <c r="S227" s="21" t="str">
        <f aca="false">IFERROR(INDEX(종합!S$3:S$501,MATCH(ROW()-2,종합!$AE$3:$AE$501,0))&amp;"","")</f>
        <v/>
      </c>
      <c r="T227" s="21" t="str">
        <f aca="false">IFERROR(INDEX(종합!T$3:T$501,MATCH(ROW()-2,종합!$AE$3:$AE$501,0))&amp;"","")</f>
        <v/>
      </c>
      <c r="U227" s="21" t="str">
        <f aca="false">IFERROR(INDEX(종합!U$3:U$501,MATCH(ROW()-2,종합!$AE$3:$AE$501,0))&amp;"","")</f>
        <v/>
      </c>
      <c r="V227" s="21" t="str">
        <f aca="false">IFERROR(INDEX(종합!V$3:V$501,MATCH(ROW()-2,종합!$AE$3:$AE$501,0))&amp;"","")</f>
        <v/>
      </c>
      <c r="W227" s="21" t="str">
        <f aca="false">IFERROR(INDEX(종합!W$3:W$501,MATCH(ROW()-2,종합!$AE$3:$AE$501,0))&amp;"","")</f>
        <v/>
      </c>
      <c r="X227" s="21" t="str">
        <f aca="false">IFERROR(INDEX(종합!X$3:X$501,MATCH(ROW()-2,종합!$AE$3:$AE$501,0))&amp;"","")</f>
        <v/>
      </c>
      <c r="Y227" s="21" t="str">
        <f aca="false">IFERROR(INDEX(종합!Y$3:Y$501,MATCH(ROW()-2,종합!$AE$3:$AE$501,0))&amp;"","")</f>
        <v/>
      </c>
      <c r="Z227" s="21" t="str">
        <f aca="false">IFERROR(INDEX(종합!Z$3:Z$501,MATCH(ROW()-2,종합!$AE$3:$AE$501,0))&amp;"","")</f>
        <v/>
      </c>
    </row>
    <row r="228" customFormat="false" ht="16.5" hidden="false" customHeight="true" outlineLevel="0" collapsed="false">
      <c r="A228" s="18" t="str">
        <f aca="false">IF(B228="","",ROW()-2)</f>
        <v/>
      </c>
      <c r="B228" s="18" t="str">
        <f aca="false">IFERROR(INDEX(종합!B$3:B$501,MATCH(ROW()-2,종합!$AE$3:$AE$501,0))&amp;"","")</f>
        <v/>
      </c>
      <c r="C228" s="18" t="str">
        <f aca="false">IFERROR(INDEX(종합!C$3:C$501,MATCH(ROW()-2,종합!$AE$3:$AE$501,0))&amp;"","")</f>
        <v/>
      </c>
      <c r="D228" s="18" t="str">
        <f aca="false">IFERROR(INDEX(종합!D$3:D$501,MATCH(ROW()-2,종합!$AE$3:$AE$501,0))&amp;"","")</f>
        <v/>
      </c>
      <c r="E228" s="18" t="str">
        <f aca="false">IFERROR(INDEX(종합!E$3:E$501,MATCH(ROW()-2,종합!$AE$3:$AE$501,0))&amp;"","")</f>
        <v/>
      </c>
      <c r="F228" s="18" t="str">
        <f aca="false">IFERROR(INDEX(종합!F$3:F$501,MATCH(ROW()-2,종합!$AE$3:$AE$501,0))&amp;"","")</f>
        <v/>
      </c>
      <c r="G228" s="18" t="str">
        <f aca="false">IFERROR(INDEX(종합!G$3:G$501,MATCH(ROW()-2,종합!$AE$3:$AE$501,0))&amp;"","")</f>
        <v/>
      </c>
      <c r="H228" s="21" t="str">
        <f aca="false">IFERROR(INDEX(종합!H$3:H$501,MATCH(ROW()-2,종합!$AE$3:$AE$501,0))&amp;"","")</f>
        <v/>
      </c>
      <c r="I228" s="21" t="str">
        <f aca="false">IFERROR(INDEX(종합!I$3:I$501,MATCH(ROW()-2,종합!$AE$3:$AE$501,0))&amp;"","")</f>
        <v/>
      </c>
      <c r="J228" s="21" t="str">
        <f aca="false">IFERROR(INDEX(종합!J$3:J$501,MATCH(ROW()-2,종합!$AE$3:$AE$501,0))&amp;"","")</f>
        <v/>
      </c>
      <c r="K228" s="21" t="str">
        <f aca="false">IFERROR(INDEX(종합!K$3:K$501,MATCH(ROW()-2,종합!$AE$3:$AE$501,0))&amp;"","")</f>
        <v/>
      </c>
      <c r="L228" s="21" t="str">
        <f aca="false">IFERROR(INDEX(종합!L$3:L$501,MATCH(ROW()-2,종합!$AE$3:$AE$501,0))&amp;"","")</f>
        <v/>
      </c>
      <c r="M228" s="21" t="str">
        <f aca="false">IFERROR(INDEX(종합!M$3:M$501,MATCH(ROW()-2,종합!$AE$3:$AE$501,0))&amp;"","")</f>
        <v/>
      </c>
      <c r="N228" s="25" t="str">
        <f aca="false">IFERROR(INDEX(종합!N$3:N$501,MATCH(ROW()-2,종합!$AE$3:$AE$501,0))&amp;"","")</f>
        <v/>
      </c>
      <c r="O228" s="21" t="str">
        <f aca="false">IFERROR(INDEX(종합!O$3:O$501,MATCH(ROW()-2,종합!$AE$3:$AE$501,0))&amp;"","")</f>
        <v/>
      </c>
      <c r="P228" s="21" t="str">
        <f aca="false">IFERROR(INDEX(종합!P$3:P$501,MATCH(ROW()-2,종합!$AE$3:$AE$501,0))&amp;"","")</f>
        <v/>
      </c>
      <c r="Q228" s="21" t="str">
        <f aca="false">IFERROR(INDEX(종합!Q$3:Q$501,MATCH(ROW()-2,종합!$AE$3:$AE$501,0))&amp;"","")</f>
        <v/>
      </c>
      <c r="R228" s="21" t="str">
        <f aca="false">IFERROR(INDEX(종합!R$3:R$501,MATCH(ROW()-2,종합!$AE$3:$AE$501,0))&amp;"","")</f>
        <v/>
      </c>
      <c r="S228" s="21" t="str">
        <f aca="false">IFERROR(INDEX(종합!S$3:S$501,MATCH(ROW()-2,종합!$AE$3:$AE$501,0))&amp;"","")</f>
        <v/>
      </c>
      <c r="T228" s="21" t="str">
        <f aca="false">IFERROR(INDEX(종합!T$3:T$501,MATCH(ROW()-2,종합!$AE$3:$AE$501,0))&amp;"","")</f>
        <v/>
      </c>
      <c r="U228" s="21" t="str">
        <f aca="false">IFERROR(INDEX(종합!U$3:U$501,MATCH(ROW()-2,종합!$AE$3:$AE$501,0))&amp;"","")</f>
        <v/>
      </c>
      <c r="V228" s="21" t="str">
        <f aca="false">IFERROR(INDEX(종합!V$3:V$501,MATCH(ROW()-2,종합!$AE$3:$AE$501,0))&amp;"","")</f>
        <v/>
      </c>
      <c r="W228" s="21" t="str">
        <f aca="false">IFERROR(INDEX(종합!W$3:W$501,MATCH(ROW()-2,종합!$AE$3:$AE$501,0))&amp;"","")</f>
        <v/>
      </c>
      <c r="X228" s="21" t="str">
        <f aca="false">IFERROR(INDEX(종합!X$3:X$501,MATCH(ROW()-2,종합!$AE$3:$AE$501,0))&amp;"","")</f>
        <v/>
      </c>
      <c r="Y228" s="21" t="str">
        <f aca="false">IFERROR(INDEX(종합!Y$3:Y$501,MATCH(ROW()-2,종합!$AE$3:$AE$501,0))&amp;"","")</f>
        <v/>
      </c>
      <c r="Z228" s="21" t="str">
        <f aca="false">IFERROR(INDEX(종합!Z$3:Z$501,MATCH(ROW()-2,종합!$AE$3:$AE$501,0))&amp;"","")</f>
        <v/>
      </c>
    </row>
    <row r="229" customFormat="false" ht="16.5" hidden="false" customHeight="true" outlineLevel="0" collapsed="false">
      <c r="A229" s="18" t="str">
        <f aca="false">IF(B229="","",ROW()-2)</f>
        <v/>
      </c>
      <c r="B229" s="18" t="str">
        <f aca="false">IFERROR(INDEX(종합!B$3:B$501,MATCH(ROW()-2,종합!$AE$3:$AE$501,0))&amp;"","")</f>
        <v/>
      </c>
      <c r="C229" s="18" t="str">
        <f aca="false">IFERROR(INDEX(종합!C$3:C$501,MATCH(ROW()-2,종합!$AE$3:$AE$501,0))&amp;"","")</f>
        <v/>
      </c>
      <c r="D229" s="18" t="str">
        <f aca="false">IFERROR(INDEX(종합!D$3:D$501,MATCH(ROW()-2,종합!$AE$3:$AE$501,0))&amp;"","")</f>
        <v/>
      </c>
      <c r="E229" s="18" t="str">
        <f aca="false">IFERROR(INDEX(종합!E$3:E$501,MATCH(ROW()-2,종합!$AE$3:$AE$501,0))&amp;"","")</f>
        <v/>
      </c>
      <c r="F229" s="18" t="str">
        <f aca="false">IFERROR(INDEX(종합!F$3:F$501,MATCH(ROW()-2,종합!$AE$3:$AE$501,0))&amp;"","")</f>
        <v/>
      </c>
      <c r="G229" s="18" t="str">
        <f aca="false">IFERROR(INDEX(종합!G$3:G$501,MATCH(ROW()-2,종합!$AE$3:$AE$501,0))&amp;"","")</f>
        <v/>
      </c>
      <c r="H229" s="21" t="str">
        <f aca="false">IFERROR(INDEX(종합!H$3:H$501,MATCH(ROW()-2,종합!$AE$3:$AE$501,0))&amp;"","")</f>
        <v/>
      </c>
      <c r="I229" s="21" t="str">
        <f aca="false">IFERROR(INDEX(종합!I$3:I$501,MATCH(ROW()-2,종합!$AE$3:$AE$501,0))&amp;"","")</f>
        <v/>
      </c>
      <c r="J229" s="21" t="str">
        <f aca="false">IFERROR(INDEX(종합!J$3:J$501,MATCH(ROW()-2,종합!$AE$3:$AE$501,0))&amp;"","")</f>
        <v/>
      </c>
      <c r="K229" s="21" t="str">
        <f aca="false">IFERROR(INDEX(종합!K$3:K$501,MATCH(ROW()-2,종합!$AE$3:$AE$501,0))&amp;"","")</f>
        <v/>
      </c>
      <c r="L229" s="21" t="str">
        <f aca="false">IFERROR(INDEX(종합!L$3:L$501,MATCH(ROW()-2,종합!$AE$3:$AE$501,0))&amp;"","")</f>
        <v/>
      </c>
      <c r="M229" s="21" t="str">
        <f aca="false">IFERROR(INDEX(종합!M$3:M$501,MATCH(ROW()-2,종합!$AE$3:$AE$501,0))&amp;"","")</f>
        <v/>
      </c>
      <c r="N229" s="25" t="str">
        <f aca="false">IFERROR(INDEX(종합!N$3:N$501,MATCH(ROW()-2,종합!$AE$3:$AE$501,0))&amp;"","")</f>
        <v/>
      </c>
      <c r="O229" s="21" t="str">
        <f aca="false">IFERROR(INDEX(종합!O$3:O$501,MATCH(ROW()-2,종합!$AE$3:$AE$501,0))&amp;"","")</f>
        <v/>
      </c>
      <c r="P229" s="21" t="str">
        <f aca="false">IFERROR(INDEX(종합!P$3:P$501,MATCH(ROW()-2,종합!$AE$3:$AE$501,0))&amp;"","")</f>
        <v/>
      </c>
      <c r="Q229" s="21" t="str">
        <f aca="false">IFERROR(INDEX(종합!Q$3:Q$501,MATCH(ROW()-2,종합!$AE$3:$AE$501,0))&amp;"","")</f>
        <v/>
      </c>
      <c r="R229" s="21" t="str">
        <f aca="false">IFERROR(INDEX(종합!R$3:R$501,MATCH(ROW()-2,종합!$AE$3:$AE$501,0))&amp;"","")</f>
        <v/>
      </c>
      <c r="S229" s="21" t="str">
        <f aca="false">IFERROR(INDEX(종합!S$3:S$501,MATCH(ROW()-2,종합!$AE$3:$AE$501,0))&amp;"","")</f>
        <v/>
      </c>
      <c r="T229" s="21" t="str">
        <f aca="false">IFERROR(INDEX(종합!T$3:T$501,MATCH(ROW()-2,종합!$AE$3:$AE$501,0))&amp;"","")</f>
        <v/>
      </c>
      <c r="U229" s="21" t="str">
        <f aca="false">IFERROR(INDEX(종합!U$3:U$501,MATCH(ROW()-2,종합!$AE$3:$AE$501,0))&amp;"","")</f>
        <v/>
      </c>
      <c r="V229" s="21" t="str">
        <f aca="false">IFERROR(INDEX(종합!V$3:V$501,MATCH(ROW()-2,종합!$AE$3:$AE$501,0))&amp;"","")</f>
        <v/>
      </c>
      <c r="W229" s="21" t="str">
        <f aca="false">IFERROR(INDEX(종합!W$3:W$501,MATCH(ROW()-2,종합!$AE$3:$AE$501,0))&amp;"","")</f>
        <v/>
      </c>
      <c r="X229" s="21" t="str">
        <f aca="false">IFERROR(INDEX(종합!X$3:X$501,MATCH(ROW()-2,종합!$AE$3:$AE$501,0))&amp;"","")</f>
        <v/>
      </c>
      <c r="Y229" s="21" t="str">
        <f aca="false">IFERROR(INDEX(종합!Y$3:Y$501,MATCH(ROW()-2,종합!$AE$3:$AE$501,0))&amp;"","")</f>
        <v/>
      </c>
      <c r="Z229" s="21" t="str">
        <f aca="false">IFERROR(INDEX(종합!Z$3:Z$501,MATCH(ROW()-2,종합!$AE$3:$AE$501,0))&amp;"","")</f>
        <v/>
      </c>
    </row>
    <row r="230" customFormat="false" ht="16.5" hidden="false" customHeight="true" outlineLevel="0" collapsed="false">
      <c r="A230" s="18" t="str">
        <f aca="false">IF(B230="","",ROW()-2)</f>
        <v/>
      </c>
      <c r="B230" s="18" t="str">
        <f aca="false">IFERROR(INDEX(종합!B$3:B$501,MATCH(ROW()-2,종합!$AE$3:$AE$501,0))&amp;"","")</f>
        <v/>
      </c>
      <c r="C230" s="18" t="str">
        <f aca="false">IFERROR(INDEX(종합!C$3:C$501,MATCH(ROW()-2,종합!$AE$3:$AE$501,0))&amp;"","")</f>
        <v/>
      </c>
      <c r="D230" s="18" t="str">
        <f aca="false">IFERROR(INDEX(종합!D$3:D$501,MATCH(ROW()-2,종합!$AE$3:$AE$501,0))&amp;"","")</f>
        <v/>
      </c>
      <c r="E230" s="18" t="str">
        <f aca="false">IFERROR(INDEX(종합!E$3:E$501,MATCH(ROW()-2,종합!$AE$3:$AE$501,0))&amp;"","")</f>
        <v/>
      </c>
      <c r="F230" s="18" t="str">
        <f aca="false">IFERROR(INDEX(종합!F$3:F$501,MATCH(ROW()-2,종합!$AE$3:$AE$501,0))&amp;"","")</f>
        <v/>
      </c>
      <c r="G230" s="18" t="str">
        <f aca="false">IFERROR(INDEX(종합!G$3:G$501,MATCH(ROW()-2,종합!$AE$3:$AE$501,0))&amp;"","")</f>
        <v/>
      </c>
      <c r="H230" s="21" t="str">
        <f aca="false">IFERROR(INDEX(종합!H$3:H$501,MATCH(ROW()-2,종합!$AE$3:$AE$501,0))&amp;"","")</f>
        <v/>
      </c>
      <c r="I230" s="21" t="str">
        <f aca="false">IFERROR(INDEX(종합!I$3:I$501,MATCH(ROW()-2,종합!$AE$3:$AE$501,0))&amp;"","")</f>
        <v/>
      </c>
      <c r="J230" s="21" t="str">
        <f aca="false">IFERROR(INDEX(종합!J$3:J$501,MATCH(ROW()-2,종합!$AE$3:$AE$501,0))&amp;"","")</f>
        <v/>
      </c>
      <c r="K230" s="21" t="str">
        <f aca="false">IFERROR(INDEX(종합!K$3:K$501,MATCH(ROW()-2,종합!$AE$3:$AE$501,0))&amp;"","")</f>
        <v/>
      </c>
      <c r="L230" s="21" t="str">
        <f aca="false">IFERROR(INDEX(종합!L$3:L$501,MATCH(ROW()-2,종합!$AE$3:$AE$501,0))&amp;"","")</f>
        <v/>
      </c>
      <c r="M230" s="21" t="str">
        <f aca="false">IFERROR(INDEX(종합!M$3:M$501,MATCH(ROW()-2,종합!$AE$3:$AE$501,0))&amp;"","")</f>
        <v/>
      </c>
      <c r="N230" s="25" t="str">
        <f aca="false">IFERROR(INDEX(종합!N$3:N$501,MATCH(ROW()-2,종합!$AE$3:$AE$501,0))&amp;"","")</f>
        <v/>
      </c>
      <c r="O230" s="21" t="str">
        <f aca="false">IFERROR(INDEX(종합!O$3:O$501,MATCH(ROW()-2,종합!$AE$3:$AE$501,0))&amp;"","")</f>
        <v/>
      </c>
      <c r="P230" s="21" t="str">
        <f aca="false">IFERROR(INDEX(종합!P$3:P$501,MATCH(ROW()-2,종합!$AE$3:$AE$501,0))&amp;"","")</f>
        <v/>
      </c>
      <c r="Q230" s="21" t="str">
        <f aca="false">IFERROR(INDEX(종합!Q$3:Q$501,MATCH(ROW()-2,종합!$AE$3:$AE$501,0))&amp;"","")</f>
        <v/>
      </c>
      <c r="R230" s="21" t="str">
        <f aca="false">IFERROR(INDEX(종합!R$3:R$501,MATCH(ROW()-2,종합!$AE$3:$AE$501,0))&amp;"","")</f>
        <v/>
      </c>
      <c r="S230" s="21" t="str">
        <f aca="false">IFERROR(INDEX(종합!S$3:S$501,MATCH(ROW()-2,종합!$AE$3:$AE$501,0))&amp;"","")</f>
        <v/>
      </c>
      <c r="T230" s="21" t="str">
        <f aca="false">IFERROR(INDEX(종합!T$3:T$501,MATCH(ROW()-2,종합!$AE$3:$AE$501,0))&amp;"","")</f>
        <v/>
      </c>
      <c r="U230" s="21" t="str">
        <f aca="false">IFERROR(INDEX(종합!U$3:U$501,MATCH(ROW()-2,종합!$AE$3:$AE$501,0))&amp;"","")</f>
        <v/>
      </c>
      <c r="V230" s="21" t="str">
        <f aca="false">IFERROR(INDEX(종합!V$3:V$501,MATCH(ROW()-2,종합!$AE$3:$AE$501,0))&amp;"","")</f>
        <v/>
      </c>
      <c r="W230" s="21" t="str">
        <f aca="false">IFERROR(INDEX(종합!W$3:W$501,MATCH(ROW()-2,종합!$AE$3:$AE$501,0))&amp;"","")</f>
        <v/>
      </c>
      <c r="X230" s="21" t="str">
        <f aca="false">IFERROR(INDEX(종합!X$3:X$501,MATCH(ROW()-2,종합!$AE$3:$AE$501,0))&amp;"","")</f>
        <v/>
      </c>
      <c r="Y230" s="21" t="str">
        <f aca="false">IFERROR(INDEX(종합!Y$3:Y$501,MATCH(ROW()-2,종합!$AE$3:$AE$501,0))&amp;"","")</f>
        <v/>
      </c>
      <c r="Z230" s="21" t="str">
        <f aca="false">IFERROR(INDEX(종합!Z$3:Z$501,MATCH(ROW()-2,종합!$AE$3:$AE$501,0))&amp;"","")</f>
        <v/>
      </c>
    </row>
    <row r="231" customFormat="false" ht="16.5" hidden="false" customHeight="true" outlineLevel="0" collapsed="false">
      <c r="A231" s="18" t="str">
        <f aca="false">IF(B231="","",ROW()-2)</f>
        <v/>
      </c>
      <c r="B231" s="18" t="str">
        <f aca="false">IFERROR(INDEX(종합!B$3:B$501,MATCH(ROW()-2,종합!$AE$3:$AE$501,0))&amp;"","")</f>
        <v/>
      </c>
      <c r="C231" s="18" t="str">
        <f aca="false">IFERROR(INDEX(종합!C$3:C$501,MATCH(ROW()-2,종합!$AE$3:$AE$501,0))&amp;"","")</f>
        <v/>
      </c>
      <c r="D231" s="18" t="str">
        <f aca="false">IFERROR(INDEX(종합!D$3:D$501,MATCH(ROW()-2,종합!$AE$3:$AE$501,0))&amp;"","")</f>
        <v/>
      </c>
      <c r="E231" s="18" t="str">
        <f aca="false">IFERROR(INDEX(종합!E$3:E$501,MATCH(ROW()-2,종합!$AE$3:$AE$501,0))&amp;"","")</f>
        <v/>
      </c>
      <c r="F231" s="18" t="str">
        <f aca="false">IFERROR(INDEX(종합!F$3:F$501,MATCH(ROW()-2,종합!$AE$3:$AE$501,0))&amp;"","")</f>
        <v/>
      </c>
      <c r="G231" s="18" t="str">
        <f aca="false">IFERROR(INDEX(종합!G$3:G$501,MATCH(ROW()-2,종합!$AE$3:$AE$501,0))&amp;"","")</f>
        <v/>
      </c>
      <c r="H231" s="21" t="str">
        <f aca="false">IFERROR(INDEX(종합!H$3:H$501,MATCH(ROW()-2,종합!$AE$3:$AE$501,0))&amp;"","")</f>
        <v/>
      </c>
      <c r="I231" s="21" t="str">
        <f aca="false">IFERROR(INDEX(종합!I$3:I$501,MATCH(ROW()-2,종합!$AE$3:$AE$501,0))&amp;"","")</f>
        <v/>
      </c>
      <c r="J231" s="21" t="str">
        <f aca="false">IFERROR(INDEX(종합!J$3:J$501,MATCH(ROW()-2,종합!$AE$3:$AE$501,0))&amp;"","")</f>
        <v/>
      </c>
      <c r="K231" s="21" t="str">
        <f aca="false">IFERROR(INDEX(종합!K$3:K$501,MATCH(ROW()-2,종합!$AE$3:$AE$501,0))&amp;"","")</f>
        <v/>
      </c>
      <c r="L231" s="21" t="str">
        <f aca="false">IFERROR(INDEX(종합!L$3:L$501,MATCH(ROW()-2,종합!$AE$3:$AE$501,0))&amp;"","")</f>
        <v/>
      </c>
      <c r="M231" s="21" t="str">
        <f aca="false">IFERROR(INDEX(종합!M$3:M$501,MATCH(ROW()-2,종합!$AE$3:$AE$501,0))&amp;"","")</f>
        <v/>
      </c>
      <c r="N231" s="25" t="str">
        <f aca="false">IFERROR(INDEX(종합!N$3:N$501,MATCH(ROW()-2,종합!$AE$3:$AE$501,0))&amp;"","")</f>
        <v/>
      </c>
      <c r="O231" s="21" t="str">
        <f aca="false">IFERROR(INDEX(종합!O$3:O$501,MATCH(ROW()-2,종합!$AE$3:$AE$501,0))&amp;"","")</f>
        <v/>
      </c>
      <c r="P231" s="21" t="str">
        <f aca="false">IFERROR(INDEX(종합!P$3:P$501,MATCH(ROW()-2,종합!$AE$3:$AE$501,0))&amp;"","")</f>
        <v/>
      </c>
      <c r="Q231" s="21" t="str">
        <f aca="false">IFERROR(INDEX(종합!Q$3:Q$501,MATCH(ROW()-2,종합!$AE$3:$AE$501,0))&amp;"","")</f>
        <v/>
      </c>
      <c r="R231" s="21" t="str">
        <f aca="false">IFERROR(INDEX(종합!R$3:R$501,MATCH(ROW()-2,종합!$AE$3:$AE$501,0))&amp;"","")</f>
        <v/>
      </c>
      <c r="S231" s="21" t="str">
        <f aca="false">IFERROR(INDEX(종합!S$3:S$501,MATCH(ROW()-2,종합!$AE$3:$AE$501,0))&amp;"","")</f>
        <v/>
      </c>
      <c r="T231" s="21" t="str">
        <f aca="false">IFERROR(INDEX(종합!T$3:T$501,MATCH(ROW()-2,종합!$AE$3:$AE$501,0))&amp;"","")</f>
        <v/>
      </c>
      <c r="U231" s="21" t="str">
        <f aca="false">IFERROR(INDEX(종합!U$3:U$501,MATCH(ROW()-2,종합!$AE$3:$AE$501,0))&amp;"","")</f>
        <v/>
      </c>
      <c r="V231" s="21" t="str">
        <f aca="false">IFERROR(INDEX(종합!V$3:V$501,MATCH(ROW()-2,종합!$AE$3:$AE$501,0))&amp;"","")</f>
        <v/>
      </c>
      <c r="W231" s="21" t="str">
        <f aca="false">IFERROR(INDEX(종합!W$3:W$501,MATCH(ROW()-2,종합!$AE$3:$AE$501,0))&amp;"","")</f>
        <v/>
      </c>
      <c r="X231" s="21" t="str">
        <f aca="false">IFERROR(INDEX(종합!X$3:X$501,MATCH(ROW()-2,종합!$AE$3:$AE$501,0))&amp;"","")</f>
        <v/>
      </c>
      <c r="Y231" s="21" t="str">
        <f aca="false">IFERROR(INDEX(종합!Y$3:Y$501,MATCH(ROW()-2,종합!$AE$3:$AE$501,0))&amp;"","")</f>
        <v/>
      </c>
      <c r="Z231" s="21" t="str">
        <f aca="false">IFERROR(INDEX(종합!Z$3:Z$501,MATCH(ROW()-2,종합!$AE$3:$AE$501,0))&amp;"","")</f>
        <v/>
      </c>
    </row>
    <row r="232" customFormat="false" ht="16.5" hidden="false" customHeight="true" outlineLevel="0" collapsed="false">
      <c r="A232" s="18" t="str">
        <f aca="false">IF(B232="","",ROW()-2)</f>
        <v/>
      </c>
      <c r="B232" s="18" t="str">
        <f aca="false">IFERROR(INDEX(종합!B$3:B$501,MATCH(ROW()-2,종합!$AE$3:$AE$501,0))&amp;"","")</f>
        <v/>
      </c>
      <c r="C232" s="18" t="str">
        <f aca="false">IFERROR(INDEX(종합!C$3:C$501,MATCH(ROW()-2,종합!$AE$3:$AE$501,0))&amp;"","")</f>
        <v/>
      </c>
      <c r="D232" s="18" t="str">
        <f aca="false">IFERROR(INDEX(종합!D$3:D$501,MATCH(ROW()-2,종합!$AE$3:$AE$501,0))&amp;"","")</f>
        <v/>
      </c>
      <c r="E232" s="18" t="str">
        <f aca="false">IFERROR(INDEX(종합!E$3:E$501,MATCH(ROW()-2,종합!$AE$3:$AE$501,0))&amp;"","")</f>
        <v/>
      </c>
      <c r="F232" s="18" t="str">
        <f aca="false">IFERROR(INDEX(종합!F$3:F$501,MATCH(ROW()-2,종합!$AE$3:$AE$501,0))&amp;"","")</f>
        <v/>
      </c>
      <c r="G232" s="18" t="str">
        <f aca="false">IFERROR(INDEX(종합!G$3:G$501,MATCH(ROW()-2,종합!$AE$3:$AE$501,0))&amp;"","")</f>
        <v/>
      </c>
      <c r="H232" s="21" t="str">
        <f aca="false">IFERROR(INDEX(종합!H$3:H$501,MATCH(ROW()-2,종합!$AE$3:$AE$501,0))&amp;"","")</f>
        <v/>
      </c>
      <c r="I232" s="21" t="str">
        <f aca="false">IFERROR(INDEX(종합!I$3:I$501,MATCH(ROW()-2,종합!$AE$3:$AE$501,0))&amp;"","")</f>
        <v/>
      </c>
      <c r="J232" s="21" t="str">
        <f aca="false">IFERROR(INDEX(종합!J$3:J$501,MATCH(ROW()-2,종합!$AE$3:$AE$501,0))&amp;"","")</f>
        <v/>
      </c>
      <c r="K232" s="21" t="str">
        <f aca="false">IFERROR(INDEX(종합!K$3:K$501,MATCH(ROW()-2,종합!$AE$3:$AE$501,0))&amp;"","")</f>
        <v/>
      </c>
      <c r="L232" s="21" t="str">
        <f aca="false">IFERROR(INDEX(종합!L$3:L$501,MATCH(ROW()-2,종합!$AE$3:$AE$501,0))&amp;"","")</f>
        <v/>
      </c>
      <c r="M232" s="21" t="str">
        <f aca="false">IFERROR(INDEX(종합!M$3:M$501,MATCH(ROW()-2,종합!$AE$3:$AE$501,0))&amp;"","")</f>
        <v/>
      </c>
      <c r="N232" s="25" t="str">
        <f aca="false">IFERROR(INDEX(종합!N$3:N$501,MATCH(ROW()-2,종합!$AE$3:$AE$501,0))&amp;"","")</f>
        <v/>
      </c>
      <c r="O232" s="21" t="str">
        <f aca="false">IFERROR(INDEX(종합!O$3:O$501,MATCH(ROW()-2,종합!$AE$3:$AE$501,0))&amp;"","")</f>
        <v/>
      </c>
      <c r="P232" s="21" t="str">
        <f aca="false">IFERROR(INDEX(종합!P$3:P$501,MATCH(ROW()-2,종합!$AE$3:$AE$501,0))&amp;"","")</f>
        <v/>
      </c>
      <c r="Q232" s="21" t="str">
        <f aca="false">IFERROR(INDEX(종합!Q$3:Q$501,MATCH(ROW()-2,종합!$AE$3:$AE$501,0))&amp;"","")</f>
        <v/>
      </c>
      <c r="R232" s="21" t="str">
        <f aca="false">IFERROR(INDEX(종합!R$3:R$501,MATCH(ROW()-2,종합!$AE$3:$AE$501,0))&amp;"","")</f>
        <v/>
      </c>
      <c r="S232" s="21" t="str">
        <f aca="false">IFERROR(INDEX(종합!S$3:S$501,MATCH(ROW()-2,종합!$AE$3:$AE$501,0))&amp;"","")</f>
        <v/>
      </c>
      <c r="T232" s="21" t="str">
        <f aca="false">IFERROR(INDEX(종합!T$3:T$501,MATCH(ROW()-2,종합!$AE$3:$AE$501,0))&amp;"","")</f>
        <v/>
      </c>
      <c r="U232" s="21" t="str">
        <f aca="false">IFERROR(INDEX(종합!U$3:U$501,MATCH(ROW()-2,종합!$AE$3:$AE$501,0))&amp;"","")</f>
        <v/>
      </c>
      <c r="V232" s="21" t="str">
        <f aca="false">IFERROR(INDEX(종합!V$3:V$501,MATCH(ROW()-2,종합!$AE$3:$AE$501,0))&amp;"","")</f>
        <v/>
      </c>
      <c r="W232" s="21" t="str">
        <f aca="false">IFERROR(INDEX(종합!W$3:W$501,MATCH(ROW()-2,종합!$AE$3:$AE$501,0))&amp;"","")</f>
        <v/>
      </c>
      <c r="X232" s="21" t="str">
        <f aca="false">IFERROR(INDEX(종합!X$3:X$501,MATCH(ROW()-2,종합!$AE$3:$AE$501,0))&amp;"","")</f>
        <v/>
      </c>
      <c r="Y232" s="21" t="str">
        <f aca="false">IFERROR(INDEX(종합!Y$3:Y$501,MATCH(ROW()-2,종합!$AE$3:$AE$501,0))&amp;"","")</f>
        <v/>
      </c>
      <c r="Z232" s="21" t="str">
        <f aca="false">IFERROR(INDEX(종합!Z$3:Z$501,MATCH(ROW()-2,종합!$AE$3:$AE$501,0))&amp;"","")</f>
        <v/>
      </c>
    </row>
    <row r="233" customFormat="false" ht="16.5" hidden="false" customHeight="true" outlineLevel="0" collapsed="false">
      <c r="A233" s="18" t="str">
        <f aca="false">IF(B233="","",ROW()-2)</f>
        <v/>
      </c>
      <c r="B233" s="18" t="str">
        <f aca="false">IFERROR(INDEX(종합!B$3:B$501,MATCH(ROW()-2,종합!$AE$3:$AE$501,0))&amp;"","")</f>
        <v/>
      </c>
      <c r="C233" s="18" t="str">
        <f aca="false">IFERROR(INDEX(종합!C$3:C$501,MATCH(ROW()-2,종합!$AE$3:$AE$501,0))&amp;"","")</f>
        <v/>
      </c>
      <c r="D233" s="18" t="str">
        <f aca="false">IFERROR(INDEX(종합!D$3:D$501,MATCH(ROW()-2,종합!$AE$3:$AE$501,0))&amp;"","")</f>
        <v/>
      </c>
      <c r="E233" s="18" t="str">
        <f aca="false">IFERROR(INDEX(종합!E$3:E$501,MATCH(ROW()-2,종합!$AE$3:$AE$501,0))&amp;"","")</f>
        <v/>
      </c>
      <c r="F233" s="18" t="str">
        <f aca="false">IFERROR(INDEX(종합!F$3:F$501,MATCH(ROW()-2,종합!$AE$3:$AE$501,0))&amp;"","")</f>
        <v/>
      </c>
      <c r="G233" s="18" t="str">
        <f aca="false">IFERROR(INDEX(종합!G$3:G$501,MATCH(ROW()-2,종합!$AE$3:$AE$501,0))&amp;"","")</f>
        <v/>
      </c>
      <c r="H233" s="21" t="str">
        <f aca="false">IFERROR(INDEX(종합!H$3:H$501,MATCH(ROW()-2,종합!$AE$3:$AE$501,0))&amp;"","")</f>
        <v/>
      </c>
      <c r="I233" s="21" t="str">
        <f aca="false">IFERROR(INDEX(종합!I$3:I$501,MATCH(ROW()-2,종합!$AE$3:$AE$501,0))&amp;"","")</f>
        <v/>
      </c>
      <c r="J233" s="21" t="str">
        <f aca="false">IFERROR(INDEX(종합!J$3:J$501,MATCH(ROW()-2,종합!$AE$3:$AE$501,0))&amp;"","")</f>
        <v/>
      </c>
      <c r="K233" s="21" t="str">
        <f aca="false">IFERROR(INDEX(종합!K$3:K$501,MATCH(ROW()-2,종합!$AE$3:$AE$501,0))&amp;"","")</f>
        <v/>
      </c>
      <c r="L233" s="21" t="str">
        <f aca="false">IFERROR(INDEX(종합!L$3:L$501,MATCH(ROW()-2,종합!$AE$3:$AE$501,0))&amp;"","")</f>
        <v/>
      </c>
      <c r="M233" s="21" t="str">
        <f aca="false">IFERROR(INDEX(종합!M$3:M$501,MATCH(ROW()-2,종합!$AE$3:$AE$501,0))&amp;"","")</f>
        <v/>
      </c>
      <c r="N233" s="25" t="str">
        <f aca="false">IFERROR(INDEX(종합!N$3:N$501,MATCH(ROW()-2,종합!$AE$3:$AE$501,0))&amp;"","")</f>
        <v/>
      </c>
      <c r="O233" s="21" t="str">
        <f aca="false">IFERROR(INDEX(종합!O$3:O$501,MATCH(ROW()-2,종합!$AE$3:$AE$501,0))&amp;"","")</f>
        <v/>
      </c>
      <c r="P233" s="21" t="str">
        <f aca="false">IFERROR(INDEX(종합!P$3:P$501,MATCH(ROW()-2,종합!$AE$3:$AE$501,0))&amp;"","")</f>
        <v/>
      </c>
      <c r="Q233" s="21" t="str">
        <f aca="false">IFERROR(INDEX(종합!Q$3:Q$501,MATCH(ROW()-2,종합!$AE$3:$AE$501,0))&amp;"","")</f>
        <v/>
      </c>
      <c r="R233" s="21" t="str">
        <f aca="false">IFERROR(INDEX(종합!R$3:R$501,MATCH(ROW()-2,종합!$AE$3:$AE$501,0))&amp;"","")</f>
        <v/>
      </c>
      <c r="S233" s="21" t="str">
        <f aca="false">IFERROR(INDEX(종합!S$3:S$501,MATCH(ROW()-2,종합!$AE$3:$AE$501,0))&amp;"","")</f>
        <v/>
      </c>
      <c r="T233" s="21" t="str">
        <f aca="false">IFERROR(INDEX(종합!T$3:T$501,MATCH(ROW()-2,종합!$AE$3:$AE$501,0))&amp;"","")</f>
        <v/>
      </c>
      <c r="U233" s="21" t="str">
        <f aca="false">IFERROR(INDEX(종합!U$3:U$501,MATCH(ROW()-2,종합!$AE$3:$AE$501,0))&amp;"","")</f>
        <v/>
      </c>
      <c r="V233" s="21" t="str">
        <f aca="false">IFERROR(INDEX(종합!V$3:V$501,MATCH(ROW()-2,종합!$AE$3:$AE$501,0))&amp;"","")</f>
        <v/>
      </c>
      <c r="W233" s="21" t="str">
        <f aca="false">IFERROR(INDEX(종합!W$3:W$501,MATCH(ROW()-2,종합!$AE$3:$AE$501,0))&amp;"","")</f>
        <v/>
      </c>
      <c r="X233" s="21" t="str">
        <f aca="false">IFERROR(INDEX(종합!X$3:X$501,MATCH(ROW()-2,종합!$AE$3:$AE$501,0))&amp;"","")</f>
        <v/>
      </c>
      <c r="Y233" s="21" t="str">
        <f aca="false">IFERROR(INDEX(종합!Y$3:Y$501,MATCH(ROW()-2,종합!$AE$3:$AE$501,0))&amp;"","")</f>
        <v/>
      </c>
      <c r="Z233" s="21" t="str">
        <f aca="false">IFERROR(INDEX(종합!Z$3:Z$501,MATCH(ROW()-2,종합!$AE$3:$AE$501,0))&amp;"","")</f>
        <v/>
      </c>
    </row>
    <row r="234" customFormat="false" ht="16.5" hidden="false" customHeight="true" outlineLevel="0" collapsed="false">
      <c r="A234" s="18" t="str">
        <f aca="false">IF(B234="","",ROW()-2)</f>
        <v/>
      </c>
      <c r="B234" s="18" t="str">
        <f aca="false">IFERROR(INDEX(종합!B$3:B$501,MATCH(ROW()-2,종합!$AE$3:$AE$501,0))&amp;"","")</f>
        <v/>
      </c>
      <c r="C234" s="18" t="str">
        <f aca="false">IFERROR(INDEX(종합!C$3:C$501,MATCH(ROW()-2,종합!$AE$3:$AE$501,0))&amp;"","")</f>
        <v/>
      </c>
      <c r="D234" s="18" t="str">
        <f aca="false">IFERROR(INDEX(종합!D$3:D$501,MATCH(ROW()-2,종합!$AE$3:$AE$501,0))&amp;"","")</f>
        <v/>
      </c>
      <c r="E234" s="18" t="str">
        <f aca="false">IFERROR(INDEX(종합!E$3:E$501,MATCH(ROW()-2,종합!$AE$3:$AE$501,0))&amp;"","")</f>
        <v/>
      </c>
      <c r="F234" s="18" t="str">
        <f aca="false">IFERROR(INDEX(종합!F$3:F$501,MATCH(ROW()-2,종합!$AE$3:$AE$501,0))&amp;"","")</f>
        <v/>
      </c>
      <c r="G234" s="18" t="str">
        <f aca="false">IFERROR(INDEX(종합!G$3:G$501,MATCH(ROW()-2,종합!$AE$3:$AE$501,0))&amp;"","")</f>
        <v/>
      </c>
      <c r="H234" s="21" t="str">
        <f aca="false">IFERROR(INDEX(종합!H$3:H$501,MATCH(ROW()-2,종합!$AE$3:$AE$501,0))&amp;"","")</f>
        <v/>
      </c>
      <c r="I234" s="21" t="str">
        <f aca="false">IFERROR(INDEX(종합!I$3:I$501,MATCH(ROW()-2,종합!$AE$3:$AE$501,0))&amp;"","")</f>
        <v/>
      </c>
      <c r="J234" s="21" t="str">
        <f aca="false">IFERROR(INDEX(종합!J$3:J$501,MATCH(ROW()-2,종합!$AE$3:$AE$501,0))&amp;"","")</f>
        <v/>
      </c>
      <c r="K234" s="21" t="str">
        <f aca="false">IFERROR(INDEX(종합!K$3:K$501,MATCH(ROW()-2,종합!$AE$3:$AE$501,0))&amp;"","")</f>
        <v/>
      </c>
      <c r="L234" s="21" t="str">
        <f aca="false">IFERROR(INDEX(종합!L$3:L$501,MATCH(ROW()-2,종합!$AE$3:$AE$501,0))&amp;"","")</f>
        <v/>
      </c>
      <c r="M234" s="21" t="str">
        <f aca="false">IFERROR(INDEX(종합!M$3:M$501,MATCH(ROW()-2,종합!$AE$3:$AE$501,0))&amp;"","")</f>
        <v/>
      </c>
      <c r="N234" s="25" t="str">
        <f aca="false">IFERROR(INDEX(종합!N$3:N$501,MATCH(ROW()-2,종합!$AE$3:$AE$501,0))&amp;"","")</f>
        <v/>
      </c>
      <c r="O234" s="21" t="str">
        <f aca="false">IFERROR(INDEX(종합!O$3:O$501,MATCH(ROW()-2,종합!$AE$3:$AE$501,0))&amp;"","")</f>
        <v/>
      </c>
      <c r="P234" s="21" t="str">
        <f aca="false">IFERROR(INDEX(종합!P$3:P$501,MATCH(ROW()-2,종합!$AE$3:$AE$501,0))&amp;"","")</f>
        <v/>
      </c>
      <c r="Q234" s="21" t="str">
        <f aca="false">IFERROR(INDEX(종합!Q$3:Q$501,MATCH(ROW()-2,종합!$AE$3:$AE$501,0))&amp;"","")</f>
        <v/>
      </c>
      <c r="R234" s="21" t="str">
        <f aca="false">IFERROR(INDEX(종합!R$3:R$501,MATCH(ROW()-2,종합!$AE$3:$AE$501,0))&amp;"","")</f>
        <v/>
      </c>
      <c r="S234" s="21" t="str">
        <f aca="false">IFERROR(INDEX(종합!S$3:S$501,MATCH(ROW()-2,종합!$AE$3:$AE$501,0))&amp;"","")</f>
        <v/>
      </c>
      <c r="T234" s="21" t="str">
        <f aca="false">IFERROR(INDEX(종합!T$3:T$501,MATCH(ROW()-2,종합!$AE$3:$AE$501,0))&amp;"","")</f>
        <v/>
      </c>
      <c r="U234" s="21" t="str">
        <f aca="false">IFERROR(INDEX(종합!U$3:U$501,MATCH(ROW()-2,종합!$AE$3:$AE$501,0))&amp;"","")</f>
        <v/>
      </c>
      <c r="V234" s="21" t="str">
        <f aca="false">IFERROR(INDEX(종합!V$3:V$501,MATCH(ROW()-2,종합!$AE$3:$AE$501,0))&amp;"","")</f>
        <v/>
      </c>
      <c r="W234" s="21" t="str">
        <f aca="false">IFERROR(INDEX(종합!W$3:W$501,MATCH(ROW()-2,종합!$AE$3:$AE$501,0))&amp;"","")</f>
        <v/>
      </c>
      <c r="X234" s="21" t="str">
        <f aca="false">IFERROR(INDEX(종합!X$3:X$501,MATCH(ROW()-2,종합!$AE$3:$AE$501,0))&amp;"","")</f>
        <v/>
      </c>
      <c r="Y234" s="21" t="str">
        <f aca="false">IFERROR(INDEX(종합!Y$3:Y$501,MATCH(ROW()-2,종합!$AE$3:$AE$501,0))&amp;"","")</f>
        <v/>
      </c>
      <c r="Z234" s="21" t="str">
        <f aca="false">IFERROR(INDEX(종합!Z$3:Z$501,MATCH(ROW()-2,종합!$AE$3:$AE$501,0))&amp;"","")</f>
        <v/>
      </c>
    </row>
    <row r="235" customFormat="false" ht="16.5" hidden="false" customHeight="true" outlineLevel="0" collapsed="false">
      <c r="A235" s="18" t="str">
        <f aca="false">IF(B235="","",ROW()-2)</f>
        <v/>
      </c>
      <c r="B235" s="18" t="str">
        <f aca="false">IFERROR(INDEX(종합!B$3:B$501,MATCH(ROW()-2,종합!$AE$3:$AE$501,0))&amp;"","")</f>
        <v/>
      </c>
      <c r="C235" s="18" t="str">
        <f aca="false">IFERROR(INDEX(종합!C$3:C$501,MATCH(ROW()-2,종합!$AE$3:$AE$501,0))&amp;"","")</f>
        <v/>
      </c>
      <c r="D235" s="18" t="str">
        <f aca="false">IFERROR(INDEX(종합!D$3:D$501,MATCH(ROW()-2,종합!$AE$3:$AE$501,0))&amp;"","")</f>
        <v/>
      </c>
      <c r="E235" s="18" t="str">
        <f aca="false">IFERROR(INDEX(종합!E$3:E$501,MATCH(ROW()-2,종합!$AE$3:$AE$501,0))&amp;"","")</f>
        <v/>
      </c>
      <c r="F235" s="18" t="str">
        <f aca="false">IFERROR(INDEX(종합!F$3:F$501,MATCH(ROW()-2,종합!$AE$3:$AE$501,0))&amp;"","")</f>
        <v/>
      </c>
      <c r="G235" s="18" t="str">
        <f aca="false">IFERROR(INDEX(종합!G$3:G$501,MATCH(ROW()-2,종합!$AE$3:$AE$501,0))&amp;"","")</f>
        <v/>
      </c>
      <c r="H235" s="21" t="str">
        <f aca="false">IFERROR(INDEX(종합!H$3:H$501,MATCH(ROW()-2,종합!$AE$3:$AE$501,0))&amp;"","")</f>
        <v/>
      </c>
      <c r="I235" s="21" t="str">
        <f aca="false">IFERROR(INDEX(종합!I$3:I$501,MATCH(ROW()-2,종합!$AE$3:$AE$501,0))&amp;"","")</f>
        <v/>
      </c>
      <c r="J235" s="21" t="str">
        <f aca="false">IFERROR(INDEX(종합!J$3:J$501,MATCH(ROW()-2,종합!$AE$3:$AE$501,0))&amp;"","")</f>
        <v/>
      </c>
      <c r="K235" s="21" t="str">
        <f aca="false">IFERROR(INDEX(종합!K$3:K$501,MATCH(ROW()-2,종합!$AE$3:$AE$501,0))&amp;"","")</f>
        <v/>
      </c>
      <c r="L235" s="21" t="str">
        <f aca="false">IFERROR(INDEX(종합!L$3:L$501,MATCH(ROW()-2,종합!$AE$3:$AE$501,0))&amp;"","")</f>
        <v/>
      </c>
      <c r="M235" s="21" t="str">
        <f aca="false">IFERROR(INDEX(종합!M$3:M$501,MATCH(ROW()-2,종합!$AE$3:$AE$501,0))&amp;"","")</f>
        <v/>
      </c>
      <c r="N235" s="25" t="str">
        <f aca="false">IFERROR(INDEX(종합!N$3:N$501,MATCH(ROW()-2,종합!$AE$3:$AE$501,0))&amp;"","")</f>
        <v/>
      </c>
      <c r="O235" s="21" t="str">
        <f aca="false">IFERROR(INDEX(종합!O$3:O$501,MATCH(ROW()-2,종합!$AE$3:$AE$501,0))&amp;"","")</f>
        <v/>
      </c>
      <c r="P235" s="21" t="str">
        <f aca="false">IFERROR(INDEX(종합!P$3:P$501,MATCH(ROW()-2,종합!$AE$3:$AE$501,0))&amp;"","")</f>
        <v/>
      </c>
      <c r="Q235" s="21" t="str">
        <f aca="false">IFERROR(INDEX(종합!Q$3:Q$501,MATCH(ROW()-2,종합!$AE$3:$AE$501,0))&amp;"","")</f>
        <v/>
      </c>
      <c r="R235" s="21" t="str">
        <f aca="false">IFERROR(INDEX(종합!R$3:R$501,MATCH(ROW()-2,종합!$AE$3:$AE$501,0))&amp;"","")</f>
        <v/>
      </c>
      <c r="S235" s="21" t="str">
        <f aca="false">IFERROR(INDEX(종합!S$3:S$501,MATCH(ROW()-2,종합!$AE$3:$AE$501,0))&amp;"","")</f>
        <v/>
      </c>
      <c r="T235" s="21" t="str">
        <f aca="false">IFERROR(INDEX(종합!T$3:T$501,MATCH(ROW()-2,종합!$AE$3:$AE$501,0))&amp;"","")</f>
        <v/>
      </c>
      <c r="U235" s="21" t="str">
        <f aca="false">IFERROR(INDEX(종합!U$3:U$501,MATCH(ROW()-2,종합!$AE$3:$AE$501,0))&amp;"","")</f>
        <v/>
      </c>
      <c r="V235" s="21" t="str">
        <f aca="false">IFERROR(INDEX(종합!V$3:V$501,MATCH(ROW()-2,종합!$AE$3:$AE$501,0))&amp;"","")</f>
        <v/>
      </c>
      <c r="W235" s="21" t="str">
        <f aca="false">IFERROR(INDEX(종합!W$3:W$501,MATCH(ROW()-2,종합!$AE$3:$AE$501,0))&amp;"","")</f>
        <v/>
      </c>
      <c r="X235" s="21" t="str">
        <f aca="false">IFERROR(INDEX(종합!X$3:X$501,MATCH(ROW()-2,종합!$AE$3:$AE$501,0))&amp;"","")</f>
        <v/>
      </c>
      <c r="Y235" s="21" t="str">
        <f aca="false">IFERROR(INDEX(종합!Y$3:Y$501,MATCH(ROW()-2,종합!$AE$3:$AE$501,0))&amp;"","")</f>
        <v/>
      </c>
      <c r="Z235" s="21" t="str">
        <f aca="false">IFERROR(INDEX(종합!Z$3:Z$501,MATCH(ROW()-2,종합!$AE$3:$AE$501,0))&amp;"","")</f>
        <v/>
      </c>
    </row>
    <row r="236" customFormat="false" ht="16.5" hidden="false" customHeight="true" outlineLevel="0" collapsed="false">
      <c r="A236" s="18" t="str">
        <f aca="false">IF(B236="","",ROW()-2)</f>
        <v/>
      </c>
      <c r="B236" s="18" t="str">
        <f aca="false">IFERROR(INDEX(종합!B$3:B$501,MATCH(ROW()-2,종합!$AE$3:$AE$501,0))&amp;"","")</f>
        <v/>
      </c>
      <c r="C236" s="18" t="str">
        <f aca="false">IFERROR(INDEX(종합!C$3:C$501,MATCH(ROW()-2,종합!$AE$3:$AE$501,0))&amp;"","")</f>
        <v/>
      </c>
      <c r="D236" s="18" t="str">
        <f aca="false">IFERROR(INDEX(종합!D$3:D$501,MATCH(ROW()-2,종합!$AE$3:$AE$501,0))&amp;"","")</f>
        <v/>
      </c>
      <c r="E236" s="18" t="str">
        <f aca="false">IFERROR(INDEX(종합!E$3:E$501,MATCH(ROW()-2,종합!$AE$3:$AE$501,0))&amp;"","")</f>
        <v/>
      </c>
      <c r="F236" s="18" t="str">
        <f aca="false">IFERROR(INDEX(종합!F$3:F$501,MATCH(ROW()-2,종합!$AE$3:$AE$501,0))&amp;"","")</f>
        <v/>
      </c>
      <c r="G236" s="18" t="str">
        <f aca="false">IFERROR(INDEX(종합!G$3:G$501,MATCH(ROW()-2,종합!$AE$3:$AE$501,0))&amp;"","")</f>
        <v/>
      </c>
      <c r="H236" s="21" t="str">
        <f aca="false">IFERROR(INDEX(종합!H$3:H$501,MATCH(ROW()-2,종합!$AE$3:$AE$501,0))&amp;"","")</f>
        <v/>
      </c>
      <c r="I236" s="21" t="str">
        <f aca="false">IFERROR(INDEX(종합!I$3:I$501,MATCH(ROW()-2,종합!$AE$3:$AE$501,0))&amp;"","")</f>
        <v/>
      </c>
      <c r="J236" s="21" t="str">
        <f aca="false">IFERROR(INDEX(종합!J$3:J$501,MATCH(ROW()-2,종합!$AE$3:$AE$501,0))&amp;"","")</f>
        <v/>
      </c>
      <c r="K236" s="21" t="str">
        <f aca="false">IFERROR(INDEX(종합!K$3:K$501,MATCH(ROW()-2,종합!$AE$3:$AE$501,0))&amp;"","")</f>
        <v/>
      </c>
      <c r="L236" s="21" t="str">
        <f aca="false">IFERROR(INDEX(종합!L$3:L$501,MATCH(ROW()-2,종합!$AE$3:$AE$501,0))&amp;"","")</f>
        <v/>
      </c>
      <c r="M236" s="21" t="str">
        <f aca="false">IFERROR(INDEX(종합!M$3:M$501,MATCH(ROW()-2,종합!$AE$3:$AE$501,0))&amp;"","")</f>
        <v/>
      </c>
      <c r="N236" s="25" t="str">
        <f aca="false">IFERROR(INDEX(종합!N$3:N$501,MATCH(ROW()-2,종합!$AE$3:$AE$501,0))&amp;"","")</f>
        <v/>
      </c>
      <c r="O236" s="21" t="str">
        <f aca="false">IFERROR(INDEX(종합!O$3:O$501,MATCH(ROW()-2,종합!$AE$3:$AE$501,0))&amp;"","")</f>
        <v/>
      </c>
      <c r="P236" s="21" t="str">
        <f aca="false">IFERROR(INDEX(종합!P$3:P$501,MATCH(ROW()-2,종합!$AE$3:$AE$501,0))&amp;"","")</f>
        <v/>
      </c>
      <c r="Q236" s="21" t="str">
        <f aca="false">IFERROR(INDEX(종합!Q$3:Q$501,MATCH(ROW()-2,종합!$AE$3:$AE$501,0))&amp;"","")</f>
        <v/>
      </c>
      <c r="R236" s="21" t="str">
        <f aca="false">IFERROR(INDEX(종합!R$3:R$501,MATCH(ROW()-2,종합!$AE$3:$AE$501,0))&amp;"","")</f>
        <v/>
      </c>
      <c r="S236" s="21" t="str">
        <f aca="false">IFERROR(INDEX(종합!S$3:S$501,MATCH(ROW()-2,종합!$AE$3:$AE$501,0))&amp;"","")</f>
        <v/>
      </c>
      <c r="T236" s="21" t="str">
        <f aca="false">IFERROR(INDEX(종합!T$3:T$501,MATCH(ROW()-2,종합!$AE$3:$AE$501,0))&amp;"","")</f>
        <v/>
      </c>
      <c r="U236" s="21" t="str">
        <f aca="false">IFERROR(INDEX(종합!U$3:U$501,MATCH(ROW()-2,종합!$AE$3:$AE$501,0))&amp;"","")</f>
        <v/>
      </c>
      <c r="V236" s="21" t="str">
        <f aca="false">IFERROR(INDEX(종합!V$3:V$501,MATCH(ROW()-2,종합!$AE$3:$AE$501,0))&amp;"","")</f>
        <v/>
      </c>
      <c r="W236" s="21" t="str">
        <f aca="false">IFERROR(INDEX(종합!W$3:W$501,MATCH(ROW()-2,종합!$AE$3:$AE$501,0))&amp;"","")</f>
        <v/>
      </c>
      <c r="X236" s="21" t="str">
        <f aca="false">IFERROR(INDEX(종합!X$3:X$501,MATCH(ROW()-2,종합!$AE$3:$AE$501,0))&amp;"","")</f>
        <v/>
      </c>
      <c r="Y236" s="21" t="str">
        <f aca="false">IFERROR(INDEX(종합!Y$3:Y$501,MATCH(ROW()-2,종합!$AE$3:$AE$501,0))&amp;"","")</f>
        <v/>
      </c>
      <c r="Z236" s="21" t="str">
        <f aca="false">IFERROR(INDEX(종합!Z$3:Z$501,MATCH(ROW()-2,종합!$AE$3:$AE$501,0))&amp;"","")</f>
        <v/>
      </c>
    </row>
    <row r="237" customFormat="false" ht="16.5" hidden="false" customHeight="true" outlineLevel="0" collapsed="false">
      <c r="A237" s="18" t="str">
        <f aca="false">IF(B237="","",ROW()-2)</f>
        <v/>
      </c>
      <c r="B237" s="18" t="str">
        <f aca="false">IFERROR(INDEX(종합!B$3:B$501,MATCH(ROW()-2,종합!$AE$3:$AE$501,0))&amp;"","")</f>
        <v/>
      </c>
      <c r="C237" s="18" t="str">
        <f aca="false">IFERROR(INDEX(종합!C$3:C$501,MATCH(ROW()-2,종합!$AE$3:$AE$501,0))&amp;"","")</f>
        <v/>
      </c>
      <c r="D237" s="18" t="str">
        <f aca="false">IFERROR(INDEX(종합!D$3:D$501,MATCH(ROW()-2,종합!$AE$3:$AE$501,0))&amp;"","")</f>
        <v/>
      </c>
      <c r="E237" s="18" t="str">
        <f aca="false">IFERROR(INDEX(종합!E$3:E$501,MATCH(ROW()-2,종합!$AE$3:$AE$501,0))&amp;"","")</f>
        <v/>
      </c>
      <c r="F237" s="18" t="str">
        <f aca="false">IFERROR(INDEX(종합!F$3:F$501,MATCH(ROW()-2,종합!$AE$3:$AE$501,0))&amp;"","")</f>
        <v/>
      </c>
      <c r="G237" s="18" t="str">
        <f aca="false">IFERROR(INDEX(종합!G$3:G$501,MATCH(ROW()-2,종합!$AE$3:$AE$501,0))&amp;"","")</f>
        <v/>
      </c>
      <c r="H237" s="21" t="str">
        <f aca="false">IFERROR(INDEX(종합!H$3:H$501,MATCH(ROW()-2,종합!$AE$3:$AE$501,0))&amp;"","")</f>
        <v/>
      </c>
      <c r="I237" s="21" t="str">
        <f aca="false">IFERROR(INDEX(종합!I$3:I$501,MATCH(ROW()-2,종합!$AE$3:$AE$501,0))&amp;"","")</f>
        <v/>
      </c>
      <c r="J237" s="21" t="str">
        <f aca="false">IFERROR(INDEX(종합!J$3:J$501,MATCH(ROW()-2,종합!$AE$3:$AE$501,0))&amp;"","")</f>
        <v/>
      </c>
      <c r="K237" s="21" t="str">
        <f aca="false">IFERROR(INDEX(종합!K$3:K$501,MATCH(ROW()-2,종합!$AE$3:$AE$501,0))&amp;"","")</f>
        <v/>
      </c>
      <c r="L237" s="21" t="str">
        <f aca="false">IFERROR(INDEX(종합!L$3:L$501,MATCH(ROW()-2,종합!$AE$3:$AE$501,0))&amp;"","")</f>
        <v/>
      </c>
      <c r="M237" s="21" t="str">
        <f aca="false">IFERROR(INDEX(종합!M$3:M$501,MATCH(ROW()-2,종합!$AE$3:$AE$501,0))&amp;"","")</f>
        <v/>
      </c>
      <c r="N237" s="25" t="str">
        <f aca="false">IFERROR(INDEX(종합!N$3:N$501,MATCH(ROW()-2,종합!$AE$3:$AE$501,0))&amp;"","")</f>
        <v/>
      </c>
      <c r="O237" s="21" t="str">
        <f aca="false">IFERROR(INDEX(종합!O$3:O$501,MATCH(ROW()-2,종합!$AE$3:$AE$501,0))&amp;"","")</f>
        <v/>
      </c>
      <c r="P237" s="21" t="str">
        <f aca="false">IFERROR(INDEX(종합!P$3:P$501,MATCH(ROW()-2,종합!$AE$3:$AE$501,0))&amp;"","")</f>
        <v/>
      </c>
      <c r="Q237" s="21" t="str">
        <f aca="false">IFERROR(INDEX(종합!Q$3:Q$501,MATCH(ROW()-2,종합!$AE$3:$AE$501,0))&amp;"","")</f>
        <v/>
      </c>
      <c r="R237" s="21" t="str">
        <f aca="false">IFERROR(INDEX(종합!R$3:R$501,MATCH(ROW()-2,종합!$AE$3:$AE$501,0))&amp;"","")</f>
        <v/>
      </c>
      <c r="S237" s="21" t="str">
        <f aca="false">IFERROR(INDEX(종합!S$3:S$501,MATCH(ROW()-2,종합!$AE$3:$AE$501,0))&amp;"","")</f>
        <v/>
      </c>
      <c r="T237" s="21" t="str">
        <f aca="false">IFERROR(INDEX(종합!T$3:T$501,MATCH(ROW()-2,종합!$AE$3:$AE$501,0))&amp;"","")</f>
        <v/>
      </c>
      <c r="U237" s="21" t="str">
        <f aca="false">IFERROR(INDEX(종합!U$3:U$501,MATCH(ROW()-2,종합!$AE$3:$AE$501,0))&amp;"","")</f>
        <v/>
      </c>
      <c r="V237" s="21" t="str">
        <f aca="false">IFERROR(INDEX(종합!V$3:V$501,MATCH(ROW()-2,종합!$AE$3:$AE$501,0))&amp;"","")</f>
        <v/>
      </c>
      <c r="W237" s="21" t="str">
        <f aca="false">IFERROR(INDEX(종합!W$3:W$501,MATCH(ROW()-2,종합!$AE$3:$AE$501,0))&amp;"","")</f>
        <v/>
      </c>
      <c r="X237" s="21" t="str">
        <f aca="false">IFERROR(INDEX(종합!X$3:X$501,MATCH(ROW()-2,종합!$AE$3:$AE$501,0))&amp;"","")</f>
        <v/>
      </c>
      <c r="Y237" s="21" t="str">
        <f aca="false">IFERROR(INDEX(종합!Y$3:Y$501,MATCH(ROW()-2,종합!$AE$3:$AE$501,0))&amp;"","")</f>
        <v/>
      </c>
      <c r="Z237" s="21" t="str">
        <f aca="false">IFERROR(INDEX(종합!Z$3:Z$501,MATCH(ROW()-2,종합!$AE$3:$AE$501,0))&amp;"","")</f>
        <v/>
      </c>
    </row>
    <row r="238" customFormat="false" ht="16.5" hidden="false" customHeight="true" outlineLevel="0" collapsed="false">
      <c r="A238" s="18" t="str">
        <f aca="false">IF(B238="","",ROW()-2)</f>
        <v/>
      </c>
      <c r="B238" s="18" t="str">
        <f aca="false">IFERROR(INDEX(종합!B$3:B$501,MATCH(ROW()-2,종합!$AE$3:$AE$501,0))&amp;"","")</f>
        <v/>
      </c>
      <c r="C238" s="18" t="str">
        <f aca="false">IFERROR(INDEX(종합!C$3:C$501,MATCH(ROW()-2,종합!$AE$3:$AE$501,0))&amp;"","")</f>
        <v/>
      </c>
      <c r="D238" s="18" t="str">
        <f aca="false">IFERROR(INDEX(종합!D$3:D$501,MATCH(ROW()-2,종합!$AE$3:$AE$501,0))&amp;"","")</f>
        <v/>
      </c>
      <c r="E238" s="18" t="str">
        <f aca="false">IFERROR(INDEX(종합!E$3:E$501,MATCH(ROW()-2,종합!$AE$3:$AE$501,0))&amp;"","")</f>
        <v/>
      </c>
      <c r="F238" s="18" t="str">
        <f aca="false">IFERROR(INDEX(종합!F$3:F$501,MATCH(ROW()-2,종합!$AE$3:$AE$501,0))&amp;"","")</f>
        <v/>
      </c>
      <c r="G238" s="18" t="str">
        <f aca="false">IFERROR(INDEX(종합!G$3:G$501,MATCH(ROW()-2,종합!$AE$3:$AE$501,0))&amp;"","")</f>
        <v/>
      </c>
      <c r="H238" s="21" t="str">
        <f aca="false">IFERROR(INDEX(종합!H$3:H$501,MATCH(ROW()-2,종합!$AE$3:$AE$501,0))&amp;"","")</f>
        <v/>
      </c>
      <c r="I238" s="21" t="str">
        <f aca="false">IFERROR(INDEX(종합!I$3:I$501,MATCH(ROW()-2,종합!$AE$3:$AE$501,0))&amp;"","")</f>
        <v/>
      </c>
      <c r="J238" s="21" t="str">
        <f aca="false">IFERROR(INDEX(종합!J$3:J$501,MATCH(ROW()-2,종합!$AE$3:$AE$501,0))&amp;"","")</f>
        <v/>
      </c>
      <c r="K238" s="21" t="str">
        <f aca="false">IFERROR(INDEX(종합!K$3:K$501,MATCH(ROW()-2,종합!$AE$3:$AE$501,0))&amp;"","")</f>
        <v/>
      </c>
      <c r="L238" s="21" t="str">
        <f aca="false">IFERROR(INDEX(종합!L$3:L$501,MATCH(ROW()-2,종합!$AE$3:$AE$501,0))&amp;"","")</f>
        <v/>
      </c>
      <c r="M238" s="21" t="str">
        <f aca="false">IFERROR(INDEX(종합!M$3:M$501,MATCH(ROW()-2,종합!$AE$3:$AE$501,0))&amp;"","")</f>
        <v/>
      </c>
      <c r="N238" s="25" t="str">
        <f aca="false">IFERROR(INDEX(종합!N$3:N$501,MATCH(ROW()-2,종합!$AE$3:$AE$501,0))&amp;"","")</f>
        <v/>
      </c>
      <c r="O238" s="21" t="str">
        <f aca="false">IFERROR(INDEX(종합!O$3:O$501,MATCH(ROW()-2,종합!$AE$3:$AE$501,0))&amp;"","")</f>
        <v/>
      </c>
      <c r="P238" s="21" t="str">
        <f aca="false">IFERROR(INDEX(종합!P$3:P$501,MATCH(ROW()-2,종합!$AE$3:$AE$501,0))&amp;"","")</f>
        <v/>
      </c>
      <c r="Q238" s="21" t="str">
        <f aca="false">IFERROR(INDEX(종합!Q$3:Q$501,MATCH(ROW()-2,종합!$AE$3:$AE$501,0))&amp;"","")</f>
        <v/>
      </c>
      <c r="R238" s="21" t="str">
        <f aca="false">IFERROR(INDEX(종합!R$3:R$501,MATCH(ROW()-2,종합!$AE$3:$AE$501,0))&amp;"","")</f>
        <v/>
      </c>
      <c r="S238" s="21" t="str">
        <f aca="false">IFERROR(INDEX(종합!S$3:S$501,MATCH(ROW()-2,종합!$AE$3:$AE$501,0))&amp;"","")</f>
        <v/>
      </c>
      <c r="T238" s="21" t="str">
        <f aca="false">IFERROR(INDEX(종합!T$3:T$501,MATCH(ROW()-2,종합!$AE$3:$AE$501,0))&amp;"","")</f>
        <v/>
      </c>
      <c r="U238" s="21" t="str">
        <f aca="false">IFERROR(INDEX(종합!U$3:U$501,MATCH(ROW()-2,종합!$AE$3:$AE$501,0))&amp;"","")</f>
        <v/>
      </c>
      <c r="V238" s="21" t="str">
        <f aca="false">IFERROR(INDEX(종합!V$3:V$501,MATCH(ROW()-2,종합!$AE$3:$AE$501,0))&amp;"","")</f>
        <v/>
      </c>
      <c r="W238" s="21" t="str">
        <f aca="false">IFERROR(INDEX(종합!W$3:W$501,MATCH(ROW()-2,종합!$AE$3:$AE$501,0))&amp;"","")</f>
        <v/>
      </c>
      <c r="X238" s="21" t="str">
        <f aca="false">IFERROR(INDEX(종합!X$3:X$501,MATCH(ROW()-2,종합!$AE$3:$AE$501,0))&amp;"","")</f>
        <v/>
      </c>
      <c r="Y238" s="21" t="str">
        <f aca="false">IFERROR(INDEX(종합!Y$3:Y$501,MATCH(ROW()-2,종합!$AE$3:$AE$501,0))&amp;"","")</f>
        <v/>
      </c>
      <c r="Z238" s="21" t="str">
        <f aca="false">IFERROR(INDEX(종합!Z$3:Z$501,MATCH(ROW()-2,종합!$AE$3:$AE$501,0))&amp;"","")</f>
        <v/>
      </c>
    </row>
    <row r="239" customFormat="false" ht="16.5" hidden="false" customHeight="true" outlineLevel="0" collapsed="false">
      <c r="A239" s="18" t="str">
        <f aca="false">IF(B239="","",ROW()-2)</f>
        <v/>
      </c>
      <c r="B239" s="18" t="str">
        <f aca="false">IFERROR(INDEX(종합!B$3:B$501,MATCH(ROW()-2,종합!$AE$3:$AE$501,0))&amp;"","")</f>
        <v/>
      </c>
      <c r="C239" s="18" t="str">
        <f aca="false">IFERROR(INDEX(종합!C$3:C$501,MATCH(ROW()-2,종합!$AE$3:$AE$501,0))&amp;"","")</f>
        <v/>
      </c>
      <c r="D239" s="18" t="str">
        <f aca="false">IFERROR(INDEX(종합!D$3:D$501,MATCH(ROW()-2,종합!$AE$3:$AE$501,0))&amp;"","")</f>
        <v/>
      </c>
      <c r="E239" s="18" t="str">
        <f aca="false">IFERROR(INDEX(종합!E$3:E$501,MATCH(ROW()-2,종합!$AE$3:$AE$501,0))&amp;"","")</f>
        <v/>
      </c>
      <c r="F239" s="18" t="str">
        <f aca="false">IFERROR(INDEX(종합!F$3:F$501,MATCH(ROW()-2,종합!$AE$3:$AE$501,0))&amp;"","")</f>
        <v/>
      </c>
      <c r="G239" s="18" t="str">
        <f aca="false">IFERROR(INDEX(종합!G$3:G$501,MATCH(ROW()-2,종합!$AE$3:$AE$501,0))&amp;"","")</f>
        <v/>
      </c>
      <c r="H239" s="21" t="str">
        <f aca="false">IFERROR(INDEX(종합!H$3:H$501,MATCH(ROW()-2,종합!$AE$3:$AE$501,0))&amp;"","")</f>
        <v/>
      </c>
      <c r="I239" s="21" t="str">
        <f aca="false">IFERROR(INDEX(종합!I$3:I$501,MATCH(ROW()-2,종합!$AE$3:$AE$501,0))&amp;"","")</f>
        <v/>
      </c>
      <c r="J239" s="21" t="str">
        <f aca="false">IFERROR(INDEX(종합!J$3:J$501,MATCH(ROW()-2,종합!$AE$3:$AE$501,0))&amp;"","")</f>
        <v/>
      </c>
      <c r="K239" s="21" t="str">
        <f aca="false">IFERROR(INDEX(종합!K$3:K$501,MATCH(ROW()-2,종합!$AE$3:$AE$501,0))&amp;"","")</f>
        <v/>
      </c>
      <c r="L239" s="21" t="str">
        <f aca="false">IFERROR(INDEX(종합!L$3:L$501,MATCH(ROW()-2,종합!$AE$3:$AE$501,0))&amp;"","")</f>
        <v/>
      </c>
      <c r="M239" s="21" t="str">
        <f aca="false">IFERROR(INDEX(종합!M$3:M$501,MATCH(ROW()-2,종합!$AE$3:$AE$501,0))&amp;"","")</f>
        <v/>
      </c>
      <c r="N239" s="25" t="str">
        <f aca="false">IFERROR(INDEX(종합!N$3:N$501,MATCH(ROW()-2,종합!$AE$3:$AE$501,0))&amp;"","")</f>
        <v/>
      </c>
      <c r="O239" s="21" t="str">
        <f aca="false">IFERROR(INDEX(종합!O$3:O$501,MATCH(ROW()-2,종합!$AE$3:$AE$501,0))&amp;"","")</f>
        <v/>
      </c>
      <c r="P239" s="21" t="str">
        <f aca="false">IFERROR(INDEX(종합!P$3:P$501,MATCH(ROW()-2,종합!$AE$3:$AE$501,0))&amp;"","")</f>
        <v/>
      </c>
      <c r="Q239" s="21" t="str">
        <f aca="false">IFERROR(INDEX(종합!Q$3:Q$501,MATCH(ROW()-2,종합!$AE$3:$AE$501,0))&amp;"","")</f>
        <v/>
      </c>
      <c r="R239" s="21" t="str">
        <f aca="false">IFERROR(INDEX(종합!R$3:R$501,MATCH(ROW()-2,종합!$AE$3:$AE$501,0))&amp;"","")</f>
        <v/>
      </c>
      <c r="S239" s="21" t="str">
        <f aca="false">IFERROR(INDEX(종합!S$3:S$501,MATCH(ROW()-2,종합!$AE$3:$AE$501,0))&amp;"","")</f>
        <v/>
      </c>
      <c r="T239" s="21" t="str">
        <f aca="false">IFERROR(INDEX(종합!T$3:T$501,MATCH(ROW()-2,종합!$AE$3:$AE$501,0))&amp;"","")</f>
        <v/>
      </c>
      <c r="U239" s="21" t="str">
        <f aca="false">IFERROR(INDEX(종합!U$3:U$501,MATCH(ROW()-2,종합!$AE$3:$AE$501,0))&amp;"","")</f>
        <v/>
      </c>
      <c r="V239" s="21" t="str">
        <f aca="false">IFERROR(INDEX(종합!V$3:V$501,MATCH(ROW()-2,종합!$AE$3:$AE$501,0))&amp;"","")</f>
        <v/>
      </c>
      <c r="W239" s="21" t="str">
        <f aca="false">IFERROR(INDEX(종합!W$3:W$501,MATCH(ROW()-2,종합!$AE$3:$AE$501,0))&amp;"","")</f>
        <v/>
      </c>
      <c r="X239" s="21" t="str">
        <f aca="false">IFERROR(INDEX(종합!X$3:X$501,MATCH(ROW()-2,종합!$AE$3:$AE$501,0))&amp;"","")</f>
        <v/>
      </c>
      <c r="Y239" s="21" t="str">
        <f aca="false">IFERROR(INDEX(종합!Y$3:Y$501,MATCH(ROW()-2,종합!$AE$3:$AE$501,0))&amp;"","")</f>
        <v/>
      </c>
      <c r="Z239" s="21" t="str">
        <f aca="false">IFERROR(INDEX(종합!Z$3:Z$501,MATCH(ROW()-2,종합!$AE$3:$AE$501,0))&amp;"","")</f>
        <v/>
      </c>
    </row>
    <row r="240" customFormat="false" ht="16.5" hidden="false" customHeight="true" outlineLevel="0" collapsed="false">
      <c r="A240" s="18" t="str">
        <f aca="false">IF(B240="","",ROW()-2)</f>
        <v/>
      </c>
      <c r="B240" s="18" t="str">
        <f aca="false">IFERROR(INDEX(종합!B$3:B$501,MATCH(ROW()-2,종합!$AE$3:$AE$501,0))&amp;"","")</f>
        <v/>
      </c>
      <c r="C240" s="18" t="str">
        <f aca="false">IFERROR(INDEX(종합!C$3:C$501,MATCH(ROW()-2,종합!$AE$3:$AE$501,0))&amp;"","")</f>
        <v/>
      </c>
      <c r="D240" s="18" t="str">
        <f aca="false">IFERROR(INDEX(종합!D$3:D$501,MATCH(ROW()-2,종합!$AE$3:$AE$501,0))&amp;"","")</f>
        <v/>
      </c>
      <c r="E240" s="18" t="str">
        <f aca="false">IFERROR(INDEX(종합!E$3:E$501,MATCH(ROW()-2,종합!$AE$3:$AE$501,0))&amp;"","")</f>
        <v/>
      </c>
      <c r="F240" s="18" t="str">
        <f aca="false">IFERROR(INDEX(종합!F$3:F$501,MATCH(ROW()-2,종합!$AE$3:$AE$501,0))&amp;"","")</f>
        <v/>
      </c>
      <c r="G240" s="18" t="str">
        <f aca="false">IFERROR(INDEX(종합!G$3:G$501,MATCH(ROW()-2,종합!$AE$3:$AE$501,0))&amp;"","")</f>
        <v/>
      </c>
      <c r="H240" s="21" t="str">
        <f aca="false">IFERROR(INDEX(종합!H$3:H$501,MATCH(ROW()-2,종합!$AE$3:$AE$501,0))&amp;"","")</f>
        <v/>
      </c>
      <c r="I240" s="21" t="str">
        <f aca="false">IFERROR(INDEX(종합!I$3:I$501,MATCH(ROW()-2,종합!$AE$3:$AE$501,0))&amp;"","")</f>
        <v/>
      </c>
      <c r="J240" s="21" t="str">
        <f aca="false">IFERROR(INDEX(종합!J$3:J$501,MATCH(ROW()-2,종합!$AE$3:$AE$501,0))&amp;"","")</f>
        <v/>
      </c>
      <c r="K240" s="21" t="str">
        <f aca="false">IFERROR(INDEX(종합!K$3:K$501,MATCH(ROW()-2,종합!$AE$3:$AE$501,0))&amp;"","")</f>
        <v/>
      </c>
      <c r="L240" s="21" t="str">
        <f aca="false">IFERROR(INDEX(종합!L$3:L$501,MATCH(ROW()-2,종합!$AE$3:$AE$501,0))&amp;"","")</f>
        <v/>
      </c>
      <c r="M240" s="21" t="str">
        <f aca="false">IFERROR(INDEX(종합!M$3:M$501,MATCH(ROW()-2,종합!$AE$3:$AE$501,0))&amp;"","")</f>
        <v/>
      </c>
      <c r="N240" s="25" t="str">
        <f aca="false">IFERROR(INDEX(종합!N$3:N$501,MATCH(ROW()-2,종합!$AE$3:$AE$501,0))&amp;"","")</f>
        <v/>
      </c>
      <c r="O240" s="21" t="str">
        <f aca="false">IFERROR(INDEX(종합!O$3:O$501,MATCH(ROW()-2,종합!$AE$3:$AE$501,0))&amp;"","")</f>
        <v/>
      </c>
      <c r="P240" s="21" t="str">
        <f aca="false">IFERROR(INDEX(종합!P$3:P$501,MATCH(ROW()-2,종합!$AE$3:$AE$501,0))&amp;"","")</f>
        <v/>
      </c>
      <c r="Q240" s="21" t="str">
        <f aca="false">IFERROR(INDEX(종합!Q$3:Q$501,MATCH(ROW()-2,종합!$AE$3:$AE$501,0))&amp;"","")</f>
        <v/>
      </c>
      <c r="R240" s="21" t="str">
        <f aca="false">IFERROR(INDEX(종합!R$3:R$501,MATCH(ROW()-2,종합!$AE$3:$AE$501,0))&amp;"","")</f>
        <v/>
      </c>
      <c r="S240" s="21" t="str">
        <f aca="false">IFERROR(INDEX(종합!S$3:S$501,MATCH(ROW()-2,종합!$AE$3:$AE$501,0))&amp;"","")</f>
        <v/>
      </c>
      <c r="T240" s="21" t="str">
        <f aca="false">IFERROR(INDEX(종합!T$3:T$501,MATCH(ROW()-2,종합!$AE$3:$AE$501,0))&amp;"","")</f>
        <v/>
      </c>
      <c r="U240" s="21" t="str">
        <f aca="false">IFERROR(INDEX(종합!U$3:U$501,MATCH(ROW()-2,종합!$AE$3:$AE$501,0))&amp;"","")</f>
        <v/>
      </c>
      <c r="V240" s="21" t="str">
        <f aca="false">IFERROR(INDEX(종합!V$3:V$501,MATCH(ROW()-2,종합!$AE$3:$AE$501,0))&amp;"","")</f>
        <v/>
      </c>
      <c r="W240" s="21" t="str">
        <f aca="false">IFERROR(INDEX(종합!W$3:W$501,MATCH(ROW()-2,종합!$AE$3:$AE$501,0))&amp;"","")</f>
        <v/>
      </c>
      <c r="X240" s="21" t="str">
        <f aca="false">IFERROR(INDEX(종합!X$3:X$501,MATCH(ROW()-2,종합!$AE$3:$AE$501,0))&amp;"","")</f>
        <v/>
      </c>
      <c r="Y240" s="21" t="str">
        <f aca="false">IFERROR(INDEX(종합!Y$3:Y$501,MATCH(ROW()-2,종합!$AE$3:$AE$501,0))&amp;"","")</f>
        <v/>
      </c>
      <c r="Z240" s="21" t="str">
        <f aca="false">IFERROR(INDEX(종합!Z$3:Z$501,MATCH(ROW()-2,종합!$AE$3:$AE$501,0))&amp;"","")</f>
        <v/>
      </c>
    </row>
    <row r="241" customFormat="false" ht="16.5" hidden="false" customHeight="true" outlineLevel="0" collapsed="false">
      <c r="A241" s="18" t="str">
        <f aca="false">IF(B241="","",ROW()-2)</f>
        <v/>
      </c>
      <c r="B241" s="18" t="str">
        <f aca="false">IFERROR(INDEX(종합!B$3:B$501,MATCH(ROW()-2,종합!$AE$3:$AE$501,0))&amp;"","")</f>
        <v/>
      </c>
      <c r="C241" s="18" t="str">
        <f aca="false">IFERROR(INDEX(종합!C$3:C$501,MATCH(ROW()-2,종합!$AE$3:$AE$501,0))&amp;"","")</f>
        <v/>
      </c>
      <c r="D241" s="18" t="str">
        <f aca="false">IFERROR(INDEX(종합!D$3:D$501,MATCH(ROW()-2,종합!$AE$3:$AE$501,0))&amp;"","")</f>
        <v/>
      </c>
      <c r="E241" s="18" t="str">
        <f aca="false">IFERROR(INDEX(종합!E$3:E$501,MATCH(ROW()-2,종합!$AE$3:$AE$501,0))&amp;"","")</f>
        <v/>
      </c>
      <c r="F241" s="18" t="str">
        <f aca="false">IFERROR(INDEX(종합!F$3:F$501,MATCH(ROW()-2,종합!$AE$3:$AE$501,0))&amp;"","")</f>
        <v/>
      </c>
      <c r="G241" s="18" t="str">
        <f aca="false">IFERROR(INDEX(종합!G$3:G$501,MATCH(ROW()-2,종합!$AE$3:$AE$501,0))&amp;"","")</f>
        <v/>
      </c>
      <c r="H241" s="21" t="str">
        <f aca="false">IFERROR(INDEX(종합!H$3:H$501,MATCH(ROW()-2,종합!$AE$3:$AE$501,0))&amp;"","")</f>
        <v/>
      </c>
      <c r="I241" s="21" t="str">
        <f aca="false">IFERROR(INDEX(종합!I$3:I$501,MATCH(ROW()-2,종합!$AE$3:$AE$501,0))&amp;"","")</f>
        <v/>
      </c>
      <c r="J241" s="21" t="str">
        <f aca="false">IFERROR(INDEX(종합!J$3:J$501,MATCH(ROW()-2,종합!$AE$3:$AE$501,0))&amp;"","")</f>
        <v/>
      </c>
      <c r="K241" s="21" t="str">
        <f aca="false">IFERROR(INDEX(종합!K$3:K$501,MATCH(ROW()-2,종합!$AE$3:$AE$501,0))&amp;"","")</f>
        <v/>
      </c>
      <c r="L241" s="21" t="str">
        <f aca="false">IFERROR(INDEX(종합!L$3:L$501,MATCH(ROW()-2,종합!$AE$3:$AE$501,0))&amp;"","")</f>
        <v/>
      </c>
      <c r="M241" s="21" t="str">
        <f aca="false">IFERROR(INDEX(종합!M$3:M$501,MATCH(ROW()-2,종합!$AE$3:$AE$501,0))&amp;"","")</f>
        <v/>
      </c>
      <c r="N241" s="25" t="str">
        <f aca="false">IFERROR(INDEX(종합!N$3:N$501,MATCH(ROW()-2,종합!$AE$3:$AE$501,0))&amp;"","")</f>
        <v/>
      </c>
      <c r="O241" s="21" t="str">
        <f aca="false">IFERROR(INDEX(종합!O$3:O$501,MATCH(ROW()-2,종합!$AE$3:$AE$501,0))&amp;"","")</f>
        <v/>
      </c>
      <c r="P241" s="21" t="str">
        <f aca="false">IFERROR(INDEX(종합!P$3:P$501,MATCH(ROW()-2,종합!$AE$3:$AE$501,0))&amp;"","")</f>
        <v/>
      </c>
      <c r="Q241" s="21" t="str">
        <f aca="false">IFERROR(INDEX(종합!Q$3:Q$501,MATCH(ROW()-2,종합!$AE$3:$AE$501,0))&amp;"","")</f>
        <v/>
      </c>
      <c r="R241" s="21" t="str">
        <f aca="false">IFERROR(INDEX(종합!R$3:R$501,MATCH(ROW()-2,종합!$AE$3:$AE$501,0))&amp;"","")</f>
        <v/>
      </c>
      <c r="S241" s="21" t="str">
        <f aca="false">IFERROR(INDEX(종합!S$3:S$501,MATCH(ROW()-2,종합!$AE$3:$AE$501,0))&amp;"","")</f>
        <v/>
      </c>
      <c r="T241" s="21" t="str">
        <f aca="false">IFERROR(INDEX(종합!T$3:T$501,MATCH(ROW()-2,종합!$AE$3:$AE$501,0))&amp;"","")</f>
        <v/>
      </c>
      <c r="U241" s="21" t="str">
        <f aca="false">IFERROR(INDEX(종합!U$3:U$501,MATCH(ROW()-2,종합!$AE$3:$AE$501,0))&amp;"","")</f>
        <v/>
      </c>
      <c r="V241" s="21" t="str">
        <f aca="false">IFERROR(INDEX(종합!V$3:V$501,MATCH(ROW()-2,종합!$AE$3:$AE$501,0))&amp;"","")</f>
        <v/>
      </c>
      <c r="W241" s="21" t="str">
        <f aca="false">IFERROR(INDEX(종합!W$3:W$501,MATCH(ROW()-2,종합!$AE$3:$AE$501,0))&amp;"","")</f>
        <v/>
      </c>
      <c r="X241" s="21" t="str">
        <f aca="false">IFERROR(INDEX(종합!X$3:X$501,MATCH(ROW()-2,종합!$AE$3:$AE$501,0))&amp;"","")</f>
        <v/>
      </c>
      <c r="Y241" s="21" t="str">
        <f aca="false">IFERROR(INDEX(종합!Y$3:Y$501,MATCH(ROW()-2,종합!$AE$3:$AE$501,0))&amp;"","")</f>
        <v/>
      </c>
      <c r="Z241" s="21" t="str">
        <f aca="false">IFERROR(INDEX(종합!Z$3:Z$501,MATCH(ROW()-2,종합!$AE$3:$AE$501,0))&amp;"","")</f>
        <v/>
      </c>
    </row>
    <row r="242" customFormat="false" ht="16.5" hidden="false" customHeight="true" outlineLevel="0" collapsed="false">
      <c r="A242" s="18" t="str">
        <f aca="false">IF(B242="","",ROW()-2)</f>
        <v/>
      </c>
      <c r="B242" s="18" t="str">
        <f aca="false">IFERROR(INDEX(종합!B$3:B$501,MATCH(ROW()-2,종합!$AE$3:$AE$501,0))&amp;"","")</f>
        <v/>
      </c>
      <c r="C242" s="18" t="str">
        <f aca="false">IFERROR(INDEX(종합!C$3:C$501,MATCH(ROW()-2,종합!$AE$3:$AE$501,0))&amp;"","")</f>
        <v/>
      </c>
      <c r="D242" s="18" t="str">
        <f aca="false">IFERROR(INDEX(종합!D$3:D$501,MATCH(ROW()-2,종합!$AE$3:$AE$501,0))&amp;"","")</f>
        <v/>
      </c>
      <c r="E242" s="18" t="str">
        <f aca="false">IFERROR(INDEX(종합!E$3:E$501,MATCH(ROW()-2,종합!$AE$3:$AE$501,0))&amp;"","")</f>
        <v/>
      </c>
      <c r="F242" s="18" t="str">
        <f aca="false">IFERROR(INDEX(종합!F$3:F$501,MATCH(ROW()-2,종합!$AE$3:$AE$501,0))&amp;"","")</f>
        <v/>
      </c>
      <c r="G242" s="18" t="str">
        <f aca="false">IFERROR(INDEX(종합!G$3:G$501,MATCH(ROW()-2,종합!$AE$3:$AE$501,0))&amp;"","")</f>
        <v/>
      </c>
      <c r="H242" s="21" t="str">
        <f aca="false">IFERROR(INDEX(종합!H$3:H$501,MATCH(ROW()-2,종합!$AE$3:$AE$501,0))&amp;"","")</f>
        <v/>
      </c>
      <c r="I242" s="21" t="str">
        <f aca="false">IFERROR(INDEX(종합!I$3:I$501,MATCH(ROW()-2,종합!$AE$3:$AE$501,0))&amp;"","")</f>
        <v/>
      </c>
      <c r="J242" s="21" t="str">
        <f aca="false">IFERROR(INDEX(종합!J$3:J$501,MATCH(ROW()-2,종합!$AE$3:$AE$501,0))&amp;"","")</f>
        <v/>
      </c>
      <c r="K242" s="21" t="str">
        <f aca="false">IFERROR(INDEX(종합!K$3:K$501,MATCH(ROW()-2,종합!$AE$3:$AE$501,0))&amp;"","")</f>
        <v/>
      </c>
      <c r="L242" s="21" t="str">
        <f aca="false">IFERROR(INDEX(종합!L$3:L$501,MATCH(ROW()-2,종합!$AE$3:$AE$501,0))&amp;"","")</f>
        <v/>
      </c>
      <c r="M242" s="21" t="str">
        <f aca="false">IFERROR(INDEX(종합!M$3:M$501,MATCH(ROW()-2,종합!$AE$3:$AE$501,0))&amp;"","")</f>
        <v/>
      </c>
      <c r="N242" s="25" t="str">
        <f aca="false">IFERROR(INDEX(종합!N$3:N$501,MATCH(ROW()-2,종합!$AE$3:$AE$501,0))&amp;"","")</f>
        <v/>
      </c>
      <c r="O242" s="21" t="str">
        <f aca="false">IFERROR(INDEX(종합!O$3:O$501,MATCH(ROW()-2,종합!$AE$3:$AE$501,0))&amp;"","")</f>
        <v/>
      </c>
      <c r="P242" s="21" t="str">
        <f aca="false">IFERROR(INDEX(종합!P$3:P$501,MATCH(ROW()-2,종합!$AE$3:$AE$501,0))&amp;"","")</f>
        <v/>
      </c>
      <c r="Q242" s="21" t="str">
        <f aca="false">IFERROR(INDEX(종합!Q$3:Q$501,MATCH(ROW()-2,종합!$AE$3:$AE$501,0))&amp;"","")</f>
        <v/>
      </c>
      <c r="R242" s="21" t="str">
        <f aca="false">IFERROR(INDEX(종합!R$3:R$501,MATCH(ROW()-2,종합!$AE$3:$AE$501,0))&amp;"","")</f>
        <v/>
      </c>
      <c r="S242" s="21" t="str">
        <f aca="false">IFERROR(INDEX(종합!S$3:S$501,MATCH(ROW()-2,종합!$AE$3:$AE$501,0))&amp;"","")</f>
        <v/>
      </c>
      <c r="T242" s="21" t="str">
        <f aca="false">IFERROR(INDEX(종합!T$3:T$501,MATCH(ROW()-2,종합!$AE$3:$AE$501,0))&amp;"","")</f>
        <v/>
      </c>
      <c r="U242" s="21" t="str">
        <f aca="false">IFERROR(INDEX(종합!U$3:U$501,MATCH(ROW()-2,종합!$AE$3:$AE$501,0))&amp;"","")</f>
        <v/>
      </c>
      <c r="V242" s="21" t="str">
        <f aca="false">IFERROR(INDEX(종합!V$3:V$501,MATCH(ROW()-2,종합!$AE$3:$AE$501,0))&amp;"","")</f>
        <v/>
      </c>
      <c r="W242" s="21" t="str">
        <f aca="false">IFERROR(INDEX(종합!W$3:W$501,MATCH(ROW()-2,종합!$AE$3:$AE$501,0))&amp;"","")</f>
        <v/>
      </c>
      <c r="X242" s="21" t="str">
        <f aca="false">IFERROR(INDEX(종합!X$3:X$501,MATCH(ROW()-2,종합!$AE$3:$AE$501,0))&amp;"","")</f>
        <v/>
      </c>
      <c r="Y242" s="21" t="str">
        <f aca="false">IFERROR(INDEX(종합!Y$3:Y$501,MATCH(ROW()-2,종합!$AE$3:$AE$501,0))&amp;"","")</f>
        <v/>
      </c>
      <c r="Z242" s="21" t="str">
        <f aca="false">IFERROR(INDEX(종합!Z$3:Z$501,MATCH(ROW()-2,종합!$AE$3:$AE$501,0))&amp;"","")</f>
        <v/>
      </c>
    </row>
    <row r="243" customFormat="false" ht="16.5" hidden="false" customHeight="true" outlineLevel="0" collapsed="false">
      <c r="A243" s="18" t="str">
        <f aca="false">IF(B243="","",ROW()-2)</f>
        <v/>
      </c>
      <c r="B243" s="18" t="str">
        <f aca="false">IFERROR(INDEX(종합!B$3:B$501,MATCH(ROW()-2,종합!$AE$3:$AE$501,0))&amp;"","")</f>
        <v/>
      </c>
      <c r="C243" s="18" t="str">
        <f aca="false">IFERROR(INDEX(종합!C$3:C$501,MATCH(ROW()-2,종합!$AE$3:$AE$501,0))&amp;"","")</f>
        <v/>
      </c>
      <c r="D243" s="18" t="str">
        <f aca="false">IFERROR(INDEX(종합!D$3:D$501,MATCH(ROW()-2,종합!$AE$3:$AE$501,0))&amp;"","")</f>
        <v/>
      </c>
      <c r="E243" s="18" t="str">
        <f aca="false">IFERROR(INDEX(종합!E$3:E$501,MATCH(ROW()-2,종합!$AE$3:$AE$501,0))&amp;"","")</f>
        <v/>
      </c>
      <c r="F243" s="18" t="str">
        <f aca="false">IFERROR(INDEX(종합!F$3:F$501,MATCH(ROW()-2,종합!$AE$3:$AE$501,0))&amp;"","")</f>
        <v/>
      </c>
      <c r="G243" s="18" t="str">
        <f aca="false">IFERROR(INDEX(종합!G$3:G$501,MATCH(ROW()-2,종합!$AE$3:$AE$501,0))&amp;"","")</f>
        <v/>
      </c>
      <c r="H243" s="21" t="str">
        <f aca="false">IFERROR(INDEX(종합!H$3:H$501,MATCH(ROW()-2,종합!$AE$3:$AE$501,0))&amp;"","")</f>
        <v/>
      </c>
      <c r="I243" s="21" t="str">
        <f aca="false">IFERROR(INDEX(종합!I$3:I$501,MATCH(ROW()-2,종합!$AE$3:$AE$501,0))&amp;"","")</f>
        <v/>
      </c>
      <c r="J243" s="21" t="str">
        <f aca="false">IFERROR(INDEX(종합!J$3:J$501,MATCH(ROW()-2,종합!$AE$3:$AE$501,0))&amp;"","")</f>
        <v/>
      </c>
      <c r="K243" s="21" t="str">
        <f aca="false">IFERROR(INDEX(종합!K$3:K$501,MATCH(ROW()-2,종합!$AE$3:$AE$501,0))&amp;"","")</f>
        <v/>
      </c>
      <c r="L243" s="21" t="str">
        <f aca="false">IFERROR(INDEX(종합!L$3:L$501,MATCH(ROW()-2,종합!$AE$3:$AE$501,0))&amp;"","")</f>
        <v/>
      </c>
      <c r="M243" s="21" t="str">
        <f aca="false">IFERROR(INDEX(종합!M$3:M$501,MATCH(ROW()-2,종합!$AE$3:$AE$501,0))&amp;"","")</f>
        <v/>
      </c>
      <c r="N243" s="25" t="str">
        <f aca="false">IFERROR(INDEX(종합!N$3:N$501,MATCH(ROW()-2,종합!$AE$3:$AE$501,0))&amp;"","")</f>
        <v/>
      </c>
      <c r="O243" s="21" t="str">
        <f aca="false">IFERROR(INDEX(종합!O$3:O$501,MATCH(ROW()-2,종합!$AE$3:$AE$501,0))&amp;"","")</f>
        <v/>
      </c>
      <c r="P243" s="21" t="str">
        <f aca="false">IFERROR(INDEX(종합!P$3:P$501,MATCH(ROW()-2,종합!$AE$3:$AE$501,0))&amp;"","")</f>
        <v/>
      </c>
      <c r="Q243" s="21" t="str">
        <f aca="false">IFERROR(INDEX(종합!Q$3:Q$501,MATCH(ROW()-2,종합!$AE$3:$AE$501,0))&amp;"","")</f>
        <v/>
      </c>
      <c r="R243" s="21" t="str">
        <f aca="false">IFERROR(INDEX(종합!R$3:R$501,MATCH(ROW()-2,종합!$AE$3:$AE$501,0))&amp;"","")</f>
        <v/>
      </c>
      <c r="S243" s="21" t="str">
        <f aca="false">IFERROR(INDEX(종합!S$3:S$501,MATCH(ROW()-2,종합!$AE$3:$AE$501,0))&amp;"","")</f>
        <v/>
      </c>
      <c r="T243" s="21" t="str">
        <f aca="false">IFERROR(INDEX(종합!T$3:T$501,MATCH(ROW()-2,종합!$AE$3:$AE$501,0))&amp;"","")</f>
        <v/>
      </c>
      <c r="U243" s="21" t="str">
        <f aca="false">IFERROR(INDEX(종합!U$3:U$501,MATCH(ROW()-2,종합!$AE$3:$AE$501,0))&amp;"","")</f>
        <v/>
      </c>
      <c r="V243" s="21" t="str">
        <f aca="false">IFERROR(INDEX(종합!V$3:V$501,MATCH(ROW()-2,종합!$AE$3:$AE$501,0))&amp;"","")</f>
        <v/>
      </c>
      <c r="W243" s="21" t="str">
        <f aca="false">IFERROR(INDEX(종합!W$3:W$501,MATCH(ROW()-2,종합!$AE$3:$AE$501,0))&amp;"","")</f>
        <v/>
      </c>
      <c r="X243" s="21" t="str">
        <f aca="false">IFERROR(INDEX(종합!X$3:X$501,MATCH(ROW()-2,종합!$AE$3:$AE$501,0))&amp;"","")</f>
        <v/>
      </c>
      <c r="Y243" s="21" t="str">
        <f aca="false">IFERROR(INDEX(종합!Y$3:Y$501,MATCH(ROW()-2,종합!$AE$3:$AE$501,0))&amp;"","")</f>
        <v/>
      </c>
      <c r="Z243" s="21" t="str">
        <f aca="false">IFERROR(INDEX(종합!Z$3:Z$501,MATCH(ROW()-2,종합!$AE$3:$AE$501,0))&amp;"","")</f>
        <v/>
      </c>
    </row>
    <row r="244" customFormat="false" ht="16.5" hidden="false" customHeight="true" outlineLevel="0" collapsed="false">
      <c r="A244" s="18" t="str">
        <f aca="false">IF(B244="","",ROW()-2)</f>
        <v/>
      </c>
      <c r="B244" s="18" t="str">
        <f aca="false">IFERROR(INDEX(종합!B$3:B$501,MATCH(ROW()-2,종합!$AE$3:$AE$501,0))&amp;"","")</f>
        <v/>
      </c>
      <c r="C244" s="18" t="str">
        <f aca="false">IFERROR(INDEX(종합!C$3:C$501,MATCH(ROW()-2,종합!$AE$3:$AE$501,0))&amp;"","")</f>
        <v/>
      </c>
      <c r="D244" s="18" t="str">
        <f aca="false">IFERROR(INDEX(종합!D$3:D$501,MATCH(ROW()-2,종합!$AE$3:$AE$501,0))&amp;"","")</f>
        <v/>
      </c>
      <c r="E244" s="18" t="str">
        <f aca="false">IFERROR(INDEX(종합!E$3:E$501,MATCH(ROW()-2,종합!$AE$3:$AE$501,0))&amp;"","")</f>
        <v/>
      </c>
      <c r="F244" s="18" t="str">
        <f aca="false">IFERROR(INDEX(종합!F$3:F$501,MATCH(ROW()-2,종합!$AE$3:$AE$501,0))&amp;"","")</f>
        <v/>
      </c>
      <c r="G244" s="18" t="str">
        <f aca="false">IFERROR(INDEX(종합!G$3:G$501,MATCH(ROW()-2,종합!$AE$3:$AE$501,0))&amp;"","")</f>
        <v/>
      </c>
      <c r="H244" s="21" t="str">
        <f aca="false">IFERROR(INDEX(종합!H$3:H$501,MATCH(ROW()-2,종합!$AE$3:$AE$501,0))&amp;"","")</f>
        <v/>
      </c>
      <c r="I244" s="21" t="str">
        <f aca="false">IFERROR(INDEX(종합!I$3:I$501,MATCH(ROW()-2,종합!$AE$3:$AE$501,0))&amp;"","")</f>
        <v/>
      </c>
      <c r="J244" s="21" t="str">
        <f aca="false">IFERROR(INDEX(종합!J$3:J$501,MATCH(ROW()-2,종합!$AE$3:$AE$501,0))&amp;"","")</f>
        <v/>
      </c>
      <c r="K244" s="21" t="str">
        <f aca="false">IFERROR(INDEX(종합!K$3:K$501,MATCH(ROW()-2,종합!$AE$3:$AE$501,0))&amp;"","")</f>
        <v/>
      </c>
      <c r="L244" s="21" t="str">
        <f aca="false">IFERROR(INDEX(종합!L$3:L$501,MATCH(ROW()-2,종합!$AE$3:$AE$501,0))&amp;"","")</f>
        <v/>
      </c>
      <c r="M244" s="21" t="str">
        <f aca="false">IFERROR(INDEX(종합!M$3:M$501,MATCH(ROW()-2,종합!$AE$3:$AE$501,0))&amp;"","")</f>
        <v/>
      </c>
      <c r="N244" s="25" t="str">
        <f aca="false">IFERROR(INDEX(종합!N$3:N$501,MATCH(ROW()-2,종합!$AE$3:$AE$501,0))&amp;"","")</f>
        <v/>
      </c>
      <c r="O244" s="21" t="str">
        <f aca="false">IFERROR(INDEX(종합!O$3:O$501,MATCH(ROW()-2,종합!$AE$3:$AE$501,0))&amp;"","")</f>
        <v/>
      </c>
      <c r="P244" s="21" t="str">
        <f aca="false">IFERROR(INDEX(종합!P$3:P$501,MATCH(ROW()-2,종합!$AE$3:$AE$501,0))&amp;"","")</f>
        <v/>
      </c>
      <c r="Q244" s="21" t="str">
        <f aca="false">IFERROR(INDEX(종합!Q$3:Q$501,MATCH(ROW()-2,종합!$AE$3:$AE$501,0))&amp;"","")</f>
        <v/>
      </c>
      <c r="R244" s="21" t="str">
        <f aca="false">IFERROR(INDEX(종합!R$3:R$501,MATCH(ROW()-2,종합!$AE$3:$AE$501,0))&amp;"","")</f>
        <v/>
      </c>
      <c r="S244" s="21" t="str">
        <f aca="false">IFERROR(INDEX(종합!S$3:S$501,MATCH(ROW()-2,종합!$AE$3:$AE$501,0))&amp;"","")</f>
        <v/>
      </c>
      <c r="T244" s="21" t="str">
        <f aca="false">IFERROR(INDEX(종합!T$3:T$501,MATCH(ROW()-2,종합!$AE$3:$AE$501,0))&amp;"","")</f>
        <v/>
      </c>
      <c r="U244" s="21" t="str">
        <f aca="false">IFERROR(INDEX(종합!U$3:U$501,MATCH(ROW()-2,종합!$AE$3:$AE$501,0))&amp;"","")</f>
        <v/>
      </c>
      <c r="V244" s="21" t="str">
        <f aca="false">IFERROR(INDEX(종합!V$3:V$501,MATCH(ROW()-2,종합!$AE$3:$AE$501,0))&amp;"","")</f>
        <v/>
      </c>
      <c r="W244" s="21" t="str">
        <f aca="false">IFERROR(INDEX(종합!W$3:W$501,MATCH(ROW()-2,종합!$AE$3:$AE$501,0))&amp;"","")</f>
        <v/>
      </c>
      <c r="X244" s="21" t="str">
        <f aca="false">IFERROR(INDEX(종합!X$3:X$501,MATCH(ROW()-2,종합!$AE$3:$AE$501,0))&amp;"","")</f>
        <v/>
      </c>
      <c r="Y244" s="21" t="str">
        <f aca="false">IFERROR(INDEX(종합!Y$3:Y$501,MATCH(ROW()-2,종합!$AE$3:$AE$501,0))&amp;"","")</f>
        <v/>
      </c>
      <c r="Z244" s="21" t="str">
        <f aca="false">IFERROR(INDEX(종합!Z$3:Z$501,MATCH(ROW()-2,종합!$AE$3:$AE$501,0))&amp;"","")</f>
        <v/>
      </c>
    </row>
    <row r="245" customFormat="false" ht="16.5" hidden="false" customHeight="true" outlineLevel="0" collapsed="false">
      <c r="A245" s="18" t="str">
        <f aca="false">IF(B245="","",ROW()-2)</f>
        <v/>
      </c>
      <c r="B245" s="18" t="str">
        <f aca="false">IFERROR(INDEX(종합!B$3:B$501,MATCH(ROW()-2,종합!$AE$3:$AE$501,0))&amp;"","")</f>
        <v/>
      </c>
      <c r="C245" s="18" t="str">
        <f aca="false">IFERROR(INDEX(종합!C$3:C$501,MATCH(ROW()-2,종합!$AE$3:$AE$501,0))&amp;"","")</f>
        <v/>
      </c>
      <c r="D245" s="18" t="str">
        <f aca="false">IFERROR(INDEX(종합!D$3:D$501,MATCH(ROW()-2,종합!$AE$3:$AE$501,0))&amp;"","")</f>
        <v/>
      </c>
      <c r="E245" s="18" t="str">
        <f aca="false">IFERROR(INDEX(종합!E$3:E$501,MATCH(ROW()-2,종합!$AE$3:$AE$501,0))&amp;"","")</f>
        <v/>
      </c>
      <c r="F245" s="18" t="str">
        <f aca="false">IFERROR(INDEX(종합!F$3:F$501,MATCH(ROW()-2,종합!$AE$3:$AE$501,0))&amp;"","")</f>
        <v/>
      </c>
      <c r="G245" s="18" t="str">
        <f aca="false">IFERROR(INDEX(종합!G$3:G$501,MATCH(ROW()-2,종합!$AE$3:$AE$501,0))&amp;"","")</f>
        <v/>
      </c>
      <c r="H245" s="21" t="str">
        <f aca="false">IFERROR(INDEX(종합!H$3:H$501,MATCH(ROW()-2,종합!$AE$3:$AE$501,0))&amp;"","")</f>
        <v/>
      </c>
      <c r="I245" s="21" t="str">
        <f aca="false">IFERROR(INDEX(종합!I$3:I$501,MATCH(ROW()-2,종합!$AE$3:$AE$501,0))&amp;"","")</f>
        <v/>
      </c>
      <c r="J245" s="21" t="str">
        <f aca="false">IFERROR(INDEX(종합!J$3:J$501,MATCH(ROW()-2,종합!$AE$3:$AE$501,0))&amp;"","")</f>
        <v/>
      </c>
      <c r="K245" s="21" t="str">
        <f aca="false">IFERROR(INDEX(종합!K$3:K$501,MATCH(ROW()-2,종합!$AE$3:$AE$501,0))&amp;"","")</f>
        <v/>
      </c>
      <c r="L245" s="21" t="str">
        <f aca="false">IFERROR(INDEX(종합!L$3:L$501,MATCH(ROW()-2,종합!$AE$3:$AE$501,0))&amp;"","")</f>
        <v/>
      </c>
      <c r="M245" s="21" t="str">
        <f aca="false">IFERROR(INDEX(종합!M$3:M$501,MATCH(ROW()-2,종합!$AE$3:$AE$501,0))&amp;"","")</f>
        <v/>
      </c>
      <c r="N245" s="25" t="str">
        <f aca="false">IFERROR(INDEX(종합!N$3:N$501,MATCH(ROW()-2,종합!$AE$3:$AE$501,0))&amp;"","")</f>
        <v/>
      </c>
      <c r="O245" s="21" t="str">
        <f aca="false">IFERROR(INDEX(종합!O$3:O$501,MATCH(ROW()-2,종합!$AE$3:$AE$501,0))&amp;"","")</f>
        <v/>
      </c>
      <c r="P245" s="21" t="str">
        <f aca="false">IFERROR(INDEX(종합!P$3:P$501,MATCH(ROW()-2,종합!$AE$3:$AE$501,0))&amp;"","")</f>
        <v/>
      </c>
      <c r="Q245" s="21" t="str">
        <f aca="false">IFERROR(INDEX(종합!Q$3:Q$501,MATCH(ROW()-2,종합!$AE$3:$AE$501,0))&amp;"","")</f>
        <v/>
      </c>
      <c r="R245" s="21" t="str">
        <f aca="false">IFERROR(INDEX(종합!R$3:R$501,MATCH(ROW()-2,종합!$AE$3:$AE$501,0))&amp;"","")</f>
        <v/>
      </c>
      <c r="S245" s="21" t="str">
        <f aca="false">IFERROR(INDEX(종합!S$3:S$501,MATCH(ROW()-2,종합!$AE$3:$AE$501,0))&amp;"","")</f>
        <v/>
      </c>
      <c r="T245" s="21" t="str">
        <f aca="false">IFERROR(INDEX(종합!T$3:T$501,MATCH(ROW()-2,종합!$AE$3:$AE$501,0))&amp;"","")</f>
        <v/>
      </c>
      <c r="U245" s="21" t="str">
        <f aca="false">IFERROR(INDEX(종합!U$3:U$501,MATCH(ROW()-2,종합!$AE$3:$AE$501,0))&amp;"","")</f>
        <v/>
      </c>
      <c r="V245" s="21" t="str">
        <f aca="false">IFERROR(INDEX(종합!V$3:V$501,MATCH(ROW()-2,종합!$AE$3:$AE$501,0))&amp;"","")</f>
        <v/>
      </c>
      <c r="W245" s="21" t="str">
        <f aca="false">IFERROR(INDEX(종합!W$3:W$501,MATCH(ROW()-2,종합!$AE$3:$AE$501,0))&amp;"","")</f>
        <v/>
      </c>
      <c r="X245" s="21" t="str">
        <f aca="false">IFERROR(INDEX(종합!X$3:X$501,MATCH(ROW()-2,종합!$AE$3:$AE$501,0))&amp;"","")</f>
        <v/>
      </c>
      <c r="Y245" s="21" t="str">
        <f aca="false">IFERROR(INDEX(종합!Y$3:Y$501,MATCH(ROW()-2,종합!$AE$3:$AE$501,0))&amp;"","")</f>
        <v/>
      </c>
      <c r="Z245" s="21" t="str">
        <f aca="false">IFERROR(INDEX(종합!Z$3:Z$501,MATCH(ROW()-2,종합!$AE$3:$AE$501,0))&amp;"","")</f>
        <v/>
      </c>
    </row>
    <row r="246" customFormat="false" ht="16.5" hidden="false" customHeight="true" outlineLevel="0" collapsed="false">
      <c r="A246" s="18" t="str">
        <f aca="false">IF(B246="","",ROW()-2)</f>
        <v/>
      </c>
      <c r="B246" s="18" t="str">
        <f aca="false">IFERROR(INDEX(종합!B$3:B$501,MATCH(ROW()-2,종합!$AE$3:$AE$501,0))&amp;"","")</f>
        <v/>
      </c>
      <c r="C246" s="18" t="str">
        <f aca="false">IFERROR(INDEX(종합!C$3:C$501,MATCH(ROW()-2,종합!$AE$3:$AE$501,0))&amp;"","")</f>
        <v/>
      </c>
      <c r="D246" s="18" t="str">
        <f aca="false">IFERROR(INDEX(종합!D$3:D$501,MATCH(ROW()-2,종합!$AE$3:$AE$501,0))&amp;"","")</f>
        <v/>
      </c>
      <c r="E246" s="18" t="str">
        <f aca="false">IFERROR(INDEX(종합!E$3:E$501,MATCH(ROW()-2,종합!$AE$3:$AE$501,0))&amp;"","")</f>
        <v/>
      </c>
      <c r="F246" s="18" t="str">
        <f aca="false">IFERROR(INDEX(종합!F$3:F$501,MATCH(ROW()-2,종합!$AE$3:$AE$501,0))&amp;"","")</f>
        <v/>
      </c>
      <c r="G246" s="18" t="str">
        <f aca="false">IFERROR(INDEX(종합!G$3:G$501,MATCH(ROW()-2,종합!$AE$3:$AE$501,0))&amp;"","")</f>
        <v/>
      </c>
      <c r="H246" s="21" t="str">
        <f aca="false">IFERROR(INDEX(종합!H$3:H$501,MATCH(ROW()-2,종합!$AE$3:$AE$501,0))&amp;"","")</f>
        <v/>
      </c>
      <c r="I246" s="21" t="str">
        <f aca="false">IFERROR(INDEX(종합!I$3:I$501,MATCH(ROW()-2,종합!$AE$3:$AE$501,0))&amp;"","")</f>
        <v/>
      </c>
      <c r="J246" s="21" t="str">
        <f aca="false">IFERROR(INDEX(종합!J$3:J$501,MATCH(ROW()-2,종합!$AE$3:$AE$501,0))&amp;"","")</f>
        <v/>
      </c>
      <c r="K246" s="21" t="str">
        <f aca="false">IFERROR(INDEX(종합!K$3:K$501,MATCH(ROW()-2,종합!$AE$3:$AE$501,0))&amp;"","")</f>
        <v/>
      </c>
      <c r="L246" s="21" t="str">
        <f aca="false">IFERROR(INDEX(종합!L$3:L$501,MATCH(ROW()-2,종합!$AE$3:$AE$501,0))&amp;"","")</f>
        <v/>
      </c>
      <c r="M246" s="21" t="str">
        <f aca="false">IFERROR(INDEX(종합!M$3:M$501,MATCH(ROW()-2,종합!$AE$3:$AE$501,0))&amp;"","")</f>
        <v/>
      </c>
      <c r="N246" s="25" t="str">
        <f aca="false">IFERROR(INDEX(종합!N$3:N$501,MATCH(ROW()-2,종합!$AE$3:$AE$501,0))&amp;"","")</f>
        <v/>
      </c>
      <c r="O246" s="21" t="str">
        <f aca="false">IFERROR(INDEX(종합!O$3:O$501,MATCH(ROW()-2,종합!$AE$3:$AE$501,0))&amp;"","")</f>
        <v/>
      </c>
      <c r="P246" s="21" t="str">
        <f aca="false">IFERROR(INDEX(종합!P$3:P$501,MATCH(ROW()-2,종합!$AE$3:$AE$501,0))&amp;"","")</f>
        <v/>
      </c>
      <c r="Q246" s="21" t="str">
        <f aca="false">IFERROR(INDEX(종합!Q$3:Q$501,MATCH(ROW()-2,종합!$AE$3:$AE$501,0))&amp;"","")</f>
        <v/>
      </c>
      <c r="R246" s="21" t="str">
        <f aca="false">IFERROR(INDEX(종합!R$3:R$501,MATCH(ROW()-2,종합!$AE$3:$AE$501,0))&amp;"","")</f>
        <v/>
      </c>
      <c r="S246" s="21" t="str">
        <f aca="false">IFERROR(INDEX(종합!S$3:S$501,MATCH(ROW()-2,종합!$AE$3:$AE$501,0))&amp;"","")</f>
        <v/>
      </c>
      <c r="T246" s="21" t="str">
        <f aca="false">IFERROR(INDEX(종합!T$3:T$501,MATCH(ROW()-2,종합!$AE$3:$AE$501,0))&amp;"","")</f>
        <v/>
      </c>
      <c r="U246" s="21" t="str">
        <f aca="false">IFERROR(INDEX(종합!U$3:U$501,MATCH(ROW()-2,종합!$AE$3:$AE$501,0))&amp;"","")</f>
        <v/>
      </c>
      <c r="V246" s="21" t="str">
        <f aca="false">IFERROR(INDEX(종합!V$3:V$501,MATCH(ROW()-2,종합!$AE$3:$AE$501,0))&amp;"","")</f>
        <v/>
      </c>
      <c r="W246" s="21" t="str">
        <f aca="false">IFERROR(INDEX(종합!W$3:W$501,MATCH(ROW()-2,종합!$AE$3:$AE$501,0))&amp;"","")</f>
        <v/>
      </c>
      <c r="X246" s="21" t="str">
        <f aca="false">IFERROR(INDEX(종합!X$3:X$501,MATCH(ROW()-2,종합!$AE$3:$AE$501,0))&amp;"","")</f>
        <v/>
      </c>
      <c r="Y246" s="21" t="str">
        <f aca="false">IFERROR(INDEX(종합!Y$3:Y$501,MATCH(ROW()-2,종합!$AE$3:$AE$501,0))&amp;"","")</f>
        <v/>
      </c>
      <c r="Z246" s="21" t="str">
        <f aca="false">IFERROR(INDEX(종합!Z$3:Z$501,MATCH(ROW()-2,종합!$AE$3:$AE$501,0))&amp;"","")</f>
        <v/>
      </c>
    </row>
    <row r="247" customFormat="false" ht="16.5" hidden="false" customHeight="true" outlineLevel="0" collapsed="false">
      <c r="A247" s="18" t="str">
        <f aca="false">IF(B247="","",ROW()-2)</f>
        <v/>
      </c>
      <c r="B247" s="18" t="str">
        <f aca="false">IFERROR(INDEX(종합!B$3:B$501,MATCH(ROW()-2,종합!$AE$3:$AE$501,0))&amp;"","")</f>
        <v/>
      </c>
      <c r="C247" s="18" t="str">
        <f aca="false">IFERROR(INDEX(종합!C$3:C$501,MATCH(ROW()-2,종합!$AE$3:$AE$501,0))&amp;"","")</f>
        <v/>
      </c>
      <c r="D247" s="18" t="str">
        <f aca="false">IFERROR(INDEX(종합!D$3:D$501,MATCH(ROW()-2,종합!$AE$3:$AE$501,0))&amp;"","")</f>
        <v/>
      </c>
      <c r="E247" s="18" t="str">
        <f aca="false">IFERROR(INDEX(종합!E$3:E$501,MATCH(ROW()-2,종합!$AE$3:$AE$501,0))&amp;"","")</f>
        <v/>
      </c>
      <c r="F247" s="18" t="str">
        <f aca="false">IFERROR(INDEX(종합!F$3:F$501,MATCH(ROW()-2,종합!$AE$3:$AE$501,0))&amp;"","")</f>
        <v/>
      </c>
      <c r="G247" s="18" t="str">
        <f aca="false">IFERROR(INDEX(종합!G$3:G$501,MATCH(ROW()-2,종합!$AE$3:$AE$501,0))&amp;"","")</f>
        <v/>
      </c>
      <c r="H247" s="21" t="str">
        <f aca="false">IFERROR(INDEX(종합!H$3:H$501,MATCH(ROW()-2,종합!$AE$3:$AE$501,0))&amp;"","")</f>
        <v/>
      </c>
      <c r="I247" s="21" t="str">
        <f aca="false">IFERROR(INDEX(종합!I$3:I$501,MATCH(ROW()-2,종합!$AE$3:$AE$501,0))&amp;"","")</f>
        <v/>
      </c>
      <c r="J247" s="21" t="str">
        <f aca="false">IFERROR(INDEX(종합!J$3:J$501,MATCH(ROW()-2,종합!$AE$3:$AE$501,0))&amp;"","")</f>
        <v/>
      </c>
      <c r="K247" s="21" t="str">
        <f aca="false">IFERROR(INDEX(종합!K$3:K$501,MATCH(ROW()-2,종합!$AE$3:$AE$501,0))&amp;"","")</f>
        <v/>
      </c>
      <c r="L247" s="21" t="str">
        <f aca="false">IFERROR(INDEX(종합!L$3:L$501,MATCH(ROW()-2,종합!$AE$3:$AE$501,0))&amp;"","")</f>
        <v/>
      </c>
      <c r="M247" s="21" t="str">
        <f aca="false">IFERROR(INDEX(종합!M$3:M$501,MATCH(ROW()-2,종합!$AE$3:$AE$501,0))&amp;"","")</f>
        <v/>
      </c>
      <c r="N247" s="25" t="str">
        <f aca="false">IFERROR(INDEX(종합!N$3:N$501,MATCH(ROW()-2,종합!$AE$3:$AE$501,0))&amp;"","")</f>
        <v/>
      </c>
      <c r="O247" s="21" t="str">
        <f aca="false">IFERROR(INDEX(종합!O$3:O$501,MATCH(ROW()-2,종합!$AE$3:$AE$501,0))&amp;"","")</f>
        <v/>
      </c>
      <c r="P247" s="21" t="str">
        <f aca="false">IFERROR(INDEX(종합!P$3:P$501,MATCH(ROW()-2,종합!$AE$3:$AE$501,0))&amp;"","")</f>
        <v/>
      </c>
      <c r="Q247" s="21" t="str">
        <f aca="false">IFERROR(INDEX(종합!Q$3:Q$501,MATCH(ROW()-2,종합!$AE$3:$AE$501,0))&amp;"","")</f>
        <v/>
      </c>
      <c r="R247" s="21" t="str">
        <f aca="false">IFERROR(INDEX(종합!R$3:R$501,MATCH(ROW()-2,종합!$AE$3:$AE$501,0))&amp;"","")</f>
        <v/>
      </c>
      <c r="S247" s="21" t="str">
        <f aca="false">IFERROR(INDEX(종합!S$3:S$501,MATCH(ROW()-2,종합!$AE$3:$AE$501,0))&amp;"","")</f>
        <v/>
      </c>
      <c r="T247" s="21" t="str">
        <f aca="false">IFERROR(INDEX(종합!T$3:T$501,MATCH(ROW()-2,종합!$AE$3:$AE$501,0))&amp;"","")</f>
        <v/>
      </c>
      <c r="U247" s="21" t="str">
        <f aca="false">IFERROR(INDEX(종합!U$3:U$501,MATCH(ROW()-2,종합!$AE$3:$AE$501,0))&amp;"","")</f>
        <v/>
      </c>
      <c r="V247" s="21" t="str">
        <f aca="false">IFERROR(INDEX(종합!V$3:V$501,MATCH(ROW()-2,종합!$AE$3:$AE$501,0))&amp;"","")</f>
        <v/>
      </c>
      <c r="W247" s="21" t="str">
        <f aca="false">IFERROR(INDEX(종합!W$3:W$501,MATCH(ROW()-2,종합!$AE$3:$AE$501,0))&amp;"","")</f>
        <v/>
      </c>
      <c r="X247" s="21" t="str">
        <f aca="false">IFERROR(INDEX(종합!X$3:X$501,MATCH(ROW()-2,종합!$AE$3:$AE$501,0))&amp;"","")</f>
        <v/>
      </c>
      <c r="Y247" s="21" t="str">
        <f aca="false">IFERROR(INDEX(종합!Y$3:Y$501,MATCH(ROW()-2,종합!$AE$3:$AE$501,0))&amp;"","")</f>
        <v/>
      </c>
      <c r="Z247" s="21" t="str">
        <f aca="false">IFERROR(INDEX(종합!Z$3:Z$501,MATCH(ROW()-2,종합!$AE$3:$AE$501,0))&amp;"","")</f>
        <v/>
      </c>
    </row>
    <row r="248" customFormat="false" ht="16.5" hidden="false" customHeight="true" outlineLevel="0" collapsed="false">
      <c r="A248" s="18" t="str">
        <f aca="false">IF(B248="","",ROW()-2)</f>
        <v/>
      </c>
      <c r="B248" s="18" t="str">
        <f aca="false">IFERROR(INDEX(종합!B$3:B$501,MATCH(ROW()-2,종합!$AE$3:$AE$501,0))&amp;"","")</f>
        <v/>
      </c>
      <c r="C248" s="18" t="str">
        <f aca="false">IFERROR(INDEX(종합!C$3:C$501,MATCH(ROW()-2,종합!$AE$3:$AE$501,0))&amp;"","")</f>
        <v/>
      </c>
      <c r="D248" s="18" t="str">
        <f aca="false">IFERROR(INDEX(종합!D$3:D$501,MATCH(ROW()-2,종합!$AE$3:$AE$501,0))&amp;"","")</f>
        <v/>
      </c>
      <c r="E248" s="18" t="str">
        <f aca="false">IFERROR(INDEX(종합!E$3:E$501,MATCH(ROW()-2,종합!$AE$3:$AE$501,0))&amp;"","")</f>
        <v/>
      </c>
      <c r="F248" s="18" t="str">
        <f aca="false">IFERROR(INDEX(종합!F$3:F$501,MATCH(ROW()-2,종합!$AE$3:$AE$501,0))&amp;"","")</f>
        <v/>
      </c>
      <c r="G248" s="18" t="str">
        <f aca="false">IFERROR(INDEX(종합!G$3:G$501,MATCH(ROW()-2,종합!$AE$3:$AE$501,0))&amp;"","")</f>
        <v/>
      </c>
      <c r="H248" s="21" t="str">
        <f aca="false">IFERROR(INDEX(종합!H$3:H$501,MATCH(ROW()-2,종합!$AE$3:$AE$501,0))&amp;"","")</f>
        <v/>
      </c>
      <c r="I248" s="21" t="str">
        <f aca="false">IFERROR(INDEX(종합!I$3:I$501,MATCH(ROW()-2,종합!$AE$3:$AE$501,0))&amp;"","")</f>
        <v/>
      </c>
      <c r="J248" s="21" t="str">
        <f aca="false">IFERROR(INDEX(종합!J$3:J$501,MATCH(ROW()-2,종합!$AE$3:$AE$501,0))&amp;"","")</f>
        <v/>
      </c>
      <c r="K248" s="21" t="str">
        <f aca="false">IFERROR(INDEX(종합!K$3:K$501,MATCH(ROW()-2,종합!$AE$3:$AE$501,0))&amp;"","")</f>
        <v/>
      </c>
      <c r="L248" s="21" t="str">
        <f aca="false">IFERROR(INDEX(종합!L$3:L$501,MATCH(ROW()-2,종합!$AE$3:$AE$501,0))&amp;"","")</f>
        <v/>
      </c>
      <c r="M248" s="21" t="str">
        <f aca="false">IFERROR(INDEX(종합!M$3:M$501,MATCH(ROW()-2,종합!$AE$3:$AE$501,0))&amp;"","")</f>
        <v/>
      </c>
      <c r="N248" s="25" t="str">
        <f aca="false">IFERROR(INDEX(종합!N$3:N$501,MATCH(ROW()-2,종합!$AE$3:$AE$501,0))&amp;"","")</f>
        <v/>
      </c>
      <c r="O248" s="21" t="str">
        <f aca="false">IFERROR(INDEX(종합!O$3:O$501,MATCH(ROW()-2,종합!$AE$3:$AE$501,0))&amp;"","")</f>
        <v/>
      </c>
      <c r="P248" s="21" t="str">
        <f aca="false">IFERROR(INDEX(종합!P$3:P$501,MATCH(ROW()-2,종합!$AE$3:$AE$501,0))&amp;"","")</f>
        <v/>
      </c>
      <c r="Q248" s="21" t="str">
        <f aca="false">IFERROR(INDEX(종합!Q$3:Q$501,MATCH(ROW()-2,종합!$AE$3:$AE$501,0))&amp;"","")</f>
        <v/>
      </c>
      <c r="R248" s="21" t="str">
        <f aca="false">IFERROR(INDEX(종합!R$3:R$501,MATCH(ROW()-2,종합!$AE$3:$AE$501,0))&amp;"","")</f>
        <v/>
      </c>
      <c r="S248" s="21" t="str">
        <f aca="false">IFERROR(INDEX(종합!S$3:S$501,MATCH(ROW()-2,종합!$AE$3:$AE$501,0))&amp;"","")</f>
        <v/>
      </c>
      <c r="T248" s="21" t="str">
        <f aca="false">IFERROR(INDEX(종합!T$3:T$501,MATCH(ROW()-2,종합!$AE$3:$AE$501,0))&amp;"","")</f>
        <v/>
      </c>
      <c r="U248" s="21" t="str">
        <f aca="false">IFERROR(INDEX(종합!U$3:U$501,MATCH(ROW()-2,종합!$AE$3:$AE$501,0))&amp;"","")</f>
        <v/>
      </c>
      <c r="V248" s="21" t="str">
        <f aca="false">IFERROR(INDEX(종합!V$3:V$501,MATCH(ROW()-2,종합!$AE$3:$AE$501,0))&amp;"","")</f>
        <v/>
      </c>
      <c r="W248" s="21" t="str">
        <f aca="false">IFERROR(INDEX(종합!W$3:W$501,MATCH(ROW()-2,종합!$AE$3:$AE$501,0))&amp;"","")</f>
        <v/>
      </c>
      <c r="X248" s="21" t="str">
        <f aca="false">IFERROR(INDEX(종합!X$3:X$501,MATCH(ROW()-2,종합!$AE$3:$AE$501,0))&amp;"","")</f>
        <v/>
      </c>
      <c r="Y248" s="21" t="str">
        <f aca="false">IFERROR(INDEX(종합!Y$3:Y$501,MATCH(ROW()-2,종합!$AE$3:$AE$501,0))&amp;"","")</f>
        <v/>
      </c>
      <c r="Z248" s="21" t="str">
        <f aca="false">IFERROR(INDEX(종합!Z$3:Z$501,MATCH(ROW()-2,종합!$AE$3:$AE$501,0))&amp;"","")</f>
        <v/>
      </c>
    </row>
    <row r="249" customFormat="false" ht="16.5" hidden="false" customHeight="true" outlineLevel="0" collapsed="false">
      <c r="A249" s="18" t="str">
        <f aca="false">IF(B249="","",ROW()-2)</f>
        <v/>
      </c>
      <c r="B249" s="18" t="str">
        <f aca="false">IFERROR(INDEX(종합!B$3:B$501,MATCH(ROW()-2,종합!$AE$3:$AE$501,0))&amp;"","")</f>
        <v/>
      </c>
      <c r="C249" s="18" t="str">
        <f aca="false">IFERROR(INDEX(종합!C$3:C$501,MATCH(ROW()-2,종합!$AE$3:$AE$501,0))&amp;"","")</f>
        <v/>
      </c>
      <c r="D249" s="18" t="str">
        <f aca="false">IFERROR(INDEX(종합!D$3:D$501,MATCH(ROW()-2,종합!$AE$3:$AE$501,0))&amp;"","")</f>
        <v/>
      </c>
      <c r="E249" s="18" t="str">
        <f aca="false">IFERROR(INDEX(종합!E$3:E$501,MATCH(ROW()-2,종합!$AE$3:$AE$501,0))&amp;"","")</f>
        <v/>
      </c>
      <c r="F249" s="18" t="str">
        <f aca="false">IFERROR(INDEX(종합!F$3:F$501,MATCH(ROW()-2,종합!$AE$3:$AE$501,0))&amp;"","")</f>
        <v/>
      </c>
      <c r="G249" s="18" t="str">
        <f aca="false">IFERROR(INDEX(종합!G$3:G$501,MATCH(ROW()-2,종합!$AE$3:$AE$501,0))&amp;"","")</f>
        <v/>
      </c>
      <c r="H249" s="21" t="str">
        <f aca="false">IFERROR(INDEX(종합!H$3:H$501,MATCH(ROW()-2,종합!$AE$3:$AE$501,0))&amp;"","")</f>
        <v/>
      </c>
      <c r="I249" s="21" t="str">
        <f aca="false">IFERROR(INDEX(종합!I$3:I$501,MATCH(ROW()-2,종합!$AE$3:$AE$501,0))&amp;"","")</f>
        <v/>
      </c>
      <c r="J249" s="21" t="str">
        <f aca="false">IFERROR(INDEX(종합!J$3:J$501,MATCH(ROW()-2,종합!$AE$3:$AE$501,0))&amp;"","")</f>
        <v/>
      </c>
      <c r="K249" s="21" t="str">
        <f aca="false">IFERROR(INDEX(종합!K$3:K$501,MATCH(ROW()-2,종합!$AE$3:$AE$501,0))&amp;"","")</f>
        <v/>
      </c>
      <c r="L249" s="21" t="str">
        <f aca="false">IFERROR(INDEX(종합!L$3:L$501,MATCH(ROW()-2,종합!$AE$3:$AE$501,0))&amp;"","")</f>
        <v/>
      </c>
      <c r="M249" s="21" t="str">
        <f aca="false">IFERROR(INDEX(종합!M$3:M$501,MATCH(ROW()-2,종합!$AE$3:$AE$501,0))&amp;"","")</f>
        <v/>
      </c>
      <c r="N249" s="25" t="str">
        <f aca="false">IFERROR(INDEX(종합!N$3:N$501,MATCH(ROW()-2,종합!$AE$3:$AE$501,0))&amp;"","")</f>
        <v/>
      </c>
      <c r="O249" s="21" t="str">
        <f aca="false">IFERROR(INDEX(종합!O$3:O$501,MATCH(ROW()-2,종합!$AE$3:$AE$501,0))&amp;"","")</f>
        <v/>
      </c>
      <c r="P249" s="21" t="str">
        <f aca="false">IFERROR(INDEX(종합!P$3:P$501,MATCH(ROW()-2,종합!$AE$3:$AE$501,0))&amp;"","")</f>
        <v/>
      </c>
      <c r="Q249" s="21" t="str">
        <f aca="false">IFERROR(INDEX(종합!Q$3:Q$501,MATCH(ROW()-2,종합!$AE$3:$AE$501,0))&amp;"","")</f>
        <v/>
      </c>
      <c r="R249" s="21" t="str">
        <f aca="false">IFERROR(INDEX(종합!R$3:R$501,MATCH(ROW()-2,종합!$AE$3:$AE$501,0))&amp;"","")</f>
        <v/>
      </c>
      <c r="S249" s="21" t="str">
        <f aca="false">IFERROR(INDEX(종합!S$3:S$501,MATCH(ROW()-2,종합!$AE$3:$AE$501,0))&amp;"","")</f>
        <v/>
      </c>
      <c r="T249" s="21" t="str">
        <f aca="false">IFERROR(INDEX(종합!T$3:T$501,MATCH(ROW()-2,종합!$AE$3:$AE$501,0))&amp;"","")</f>
        <v/>
      </c>
      <c r="U249" s="21" t="str">
        <f aca="false">IFERROR(INDEX(종합!U$3:U$501,MATCH(ROW()-2,종합!$AE$3:$AE$501,0))&amp;"","")</f>
        <v/>
      </c>
      <c r="V249" s="21" t="str">
        <f aca="false">IFERROR(INDEX(종합!V$3:V$501,MATCH(ROW()-2,종합!$AE$3:$AE$501,0))&amp;"","")</f>
        <v/>
      </c>
      <c r="W249" s="21" t="str">
        <f aca="false">IFERROR(INDEX(종합!W$3:W$501,MATCH(ROW()-2,종합!$AE$3:$AE$501,0))&amp;"","")</f>
        <v/>
      </c>
      <c r="X249" s="21" t="str">
        <f aca="false">IFERROR(INDEX(종합!X$3:X$501,MATCH(ROW()-2,종합!$AE$3:$AE$501,0))&amp;"","")</f>
        <v/>
      </c>
      <c r="Y249" s="21" t="str">
        <f aca="false">IFERROR(INDEX(종합!Y$3:Y$501,MATCH(ROW()-2,종합!$AE$3:$AE$501,0))&amp;"","")</f>
        <v/>
      </c>
      <c r="Z249" s="21" t="str">
        <f aca="false">IFERROR(INDEX(종합!Z$3:Z$501,MATCH(ROW()-2,종합!$AE$3:$AE$501,0))&amp;"","")</f>
        <v/>
      </c>
    </row>
    <row r="250" customFormat="false" ht="16.5" hidden="false" customHeight="true" outlineLevel="0" collapsed="false">
      <c r="A250" s="18" t="str">
        <f aca="false">IF(B250="","",ROW()-2)</f>
        <v/>
      </c>
      <c r="B250" s="18" t="str">
        <f aca="false">IFERROR(INDEX(종합!B$3:B$501,MATCH(ROW()-2,종합!$AE$3:$AE$501,0))&amp;"","")</f>
        <v/>
      </c>
      <c r="C250" s="18" t="str">
        <f aca="false">IFERROR(INDEX(종합!C$3:C$501,MATCH(ROW()-2,종합!$AE$3:$AE$501,0))&amp;"","")</f>
        <v/>
      </c>
      <c r="D250" s="18" t="str">
        <f aca="false">IFERROR(INDEX(종합!D$3:D$501,MATCH(ROW()-2,종합!$AE$3:$AE$501,0))&amp;"","")</f>
        <v/>
      </c>
      <c r="E250" s="18" t="str">
        <f aca="false">IFERROR(INDEX(종합!E$3:E$501,MATCH(ROW()-2,종합!$AE$3:$AE$501,0))&amp;"","")</f>
        <v/>
      </c>
      <c r="F250" s="18" t="str">
        <f aca="false">IFERROR(INDEX(종합!F$3:F$501,MATCH(ROW()-2,종합!$AE$3:$AE$501,0))&amp;"","")</f>
        <v/>
      </c>
      <c r="G250" s="18" t="str">
        <f aca="false">IFERROR(INDEX(종합!G$3:G$501,MATCH(ROW()-2,종합!$AE$3:$AE$501,0))&amp;"","")</f>
        <v/>
      </c>
      <c r="H250" s="21" t="str">
        <f aca="false">IFERROR(INDEX(종합!H$3:H$501,MATCH(ROW()-2,종합!$AE$3:$AE$501,0))&amp;"","")</f>
        <v/>
      </c>
      <c r="I250" s="21" t="str">
        <f aca="false">IFERROR(INDEX(종합!I$3:I$501,MATCH(ROW()-2,종합!$AE$3:$AE$501,0))&amp;"","")</f>
        <v/>
      </c>
      <c r="J250" s="21" t="str">
        <f aca="false">IFERROR(INDEX(종합!J$3:J$501,MATCH(ROW()-2,종합!$AE$3:$AE$501,0))&amp;"","")</f>
        <v/>
      </c>
      <c r="K250" s="21" t="str">
        <f aca="false">IFERROR(INDEX(종합!K$3:K$501,MATCH(ROW()-2,종합!$AE$3:$AE$501,0))&amp;"","")</f>
        <v/>
      </c>
      <c r="L250" s="21" t="str">
        <f aca="false">IFERROR(INDEX(종합!L$3:L$501,MATCH(ROW()-2,종합!$AE$3:$AE$501,0))&amp;"","")</f>
        <v/>
      </c>
      <c r="M250" s="21" t="str">
        <f aca="false">IFERROR(INDEX(종합!M$3:M$501,MATCH(ROW()-2,종합!$AE$3:$AE$501,0))&amp;"","")</f>
        <v/>
      </c>
      <c r="N250" s="25" t="str">
        <f aca="false">IFERROR(INDEX(종합!N$3:N$501,MATCH(ROW()-2,종합!$AE$3:$AE$501,0))&amp;"","")</f>
        <v/>
      </c>
      <c r="O250" s="21" t="str">
        <f aca="false">IFERROR(INDEX(종합!O$3:O$501,MATCH(ROW()-2,종합!$AE$3:$AE$501,0))&amp;"","")</f>
        <v/>
      </c>
      <c r="P250" s="21" t="str">
        <f aca="false">IFERROR(INDEX(종합!P$3:P$501,MATCH(ROW()-2,종합!$AE$3:$AE$501,0))&amp;"","")</f>
        <v/>
      </c>
      <c r="Q250" s="21" t="str">
        <f aca="false">IFERROR(INDEX(종합!Q$3:Q$501,MATCH(ROW()-2,종합!$AE$3:$AE$501,0))&amp;"","")</f>
        <v/>
      </c>
      <c r="R250" s="21" t="str">
        <f aca="false">IFERROR(INDEX(종합!R$3:R$501,MATCH(ROW()-2,종합!$AE$3:$AE$501,0))&amp;"","")</f>
        <v/>
      </c>
      <c r="S250" s="21" t="str">
        <f aca="false">IFERROR(INDEX(종합!S$3:S$501,MATCH(ROW()-2,종합!$AE$3:$AE$501,0))&amp;"","")</f>
        <v/>
      </c>
      <c r="T250" s="21" t="str">
        <f aca="false">IFERROR(INDEX(종합!T$3:T$501,MATCH(ROW()-2,종합!$AE$3:$AE$501,0))&amp;"","")</f>
        <v/>
      </c>
      <c r="U250" s="21" t="str">
        <f aca="false">IFERROR(INDEX(종합!U$3:U$501,MATCH(ROW()-2,종합!$AE$3:$AE$501,0))&amp;"","")</f>
        <v/>
      </c>
      <c r="V250" s="21" t="str">
        <f aca="false">IFERROR(INDEX(종합!V$3:V$501,MATCH(ROW()-2,종합!$AE$3:$AE$501,0))&amp;"","")</f>
        <v/>
      </c>
      <c r="W250" s="21" t="str">
        <f aca="false">IFERROR(INDEX(종합!W$3:W$501,MATCH(ROW()-2,종합!$AE$3:$AE$501,0))&amp;"","")</f>
        <v/>
      </c>
      <c r="X250" s="21" t="str">
        <f aca="false">IFERROR(INDEX(종합!X$3:X$501,MATCH(ROW()-2,종합!$AE$3:$AE$501,0))&amp;"","")</f>
        <v/>
      </c>
      <c r="Y250" s="21" t="str">
        <f aca="false">IFERROR(INDEX(종합!Y$3:Y$501,MATCH(ROW()-2,종합!$AE$3:$AE$501,0))&amp;"","")</f>
        <v/>
      </c>
      <c r="Z250" s="21" t="str">
        <f aca="false">IFERROR(INDEX(종합!Z$3:Z$501,MATCH(ROW()-2,종합!$AE$3:$AE$501,0))&amp;"","")</f>
        <v/>
      </c>
    </row>
    <row r="251" customFormat="false" ht="16.5" hidden="false" customHeight="true" outlineLevel="0" collapsed="false">
      <c r="A251" s="18" t="str">
        <f aca="false">IF(B251="","",ROW()-2)</f>
        <v/>
      </c>
      <c r="B251" s="18" t="str">
        <f aca="false">IFERROR(INDEX(종합!B$3:B$501,MATCH(ROW()-2,종합!$AE$3:$AE$501,0))&amp;"","")</f>
        <v/>
      </c>
      <c r="C251" s="18" t="str">
        <f aca="false">IFERROR(INDEX(종합!C$3:C$501,MATCH(ROW()-2,종합!$AE$3:$AE$501,0))&amp;"","")</f>
        <v/>
      </c>
      <c r="D251" s="18" t="str">
        <f aca="false">IFERROR(INDEX(종합!D$3:D$501,MATCH(ROW()-2,종합!$AE$3:$AE$501,0))&amp;"","")</f>
        <v/>
      </c>
      <c r="E251" s="18" t="str">
        <f aca="false">IFERROR(INDEX(종합!E$3:E$501,MATCH(ROW()-2,종합!$AE$3:$AE$501,0))&amp;"","")</f>
        <v/>
      </c>
      <c r="F251" s="18" t="str">
        <f aca="false">IFERROR(INDEX(종합!F$3:F$501,MATCH(ROW()-2,종합!$AE$3:$AE$501,0))&amp;"","")</f>
        <v/>
      </c>
      <c r="G251" s="18" t="str">
        <f aca="false">IFERROR(INDEX(종합!G$3:G$501,MATCH(ROW()-2,종합!$AE$3:$AE$501,0))&amp;"","")</f>
        <v/>
      </c>
      <c r="H251" s="21" t="str">
        <f aca="false">IFERROR(INDEX(종합!H$3:H$501,MATCH(ROW()-2,종합!$AE$3:$AE$501,0))&amp;"","")</f>
        <v/>
      </c>
      <c r="I251" s="21" t="str">
        <f aca="false">IFERROR(INDEX(종합!I$3:I$501,MATCH(ROW()-2,종합!$AE$3:$AE$501,0))&amp;"","")</f>
        <v/>
      </c>
      <c r="J251" s="21" t="str">
        <f aca="false">IFERROR(INDEX(종합!J$3:J$501,MATCH(ROW()-2,종합!$AE$3:$AE$501,0))&amp;"","")</f>
        <v/>
      </c>
      <c r="K251" s="21" t="str">
        <f aca="false">IFERROR(INDEX(종합!K$3:K$501,MATCH(ROW()-2,종합!$AE$3:$AE$501,0))&amp;"","")</f>
        <v/>
      </c>
      <c r="L251" s="21" t="str">
        <f aca="false">IFERROR(INDEX(종합!L$3:L$501,MATCH(ROW()-2,종합!$AE$3:$AE$501,0))&amp;"","")</f>
        <v/>
      </c>
      <c r="M251" s="21" t="str">
        <f aca="false">IFERROR(INDEX(종합!M$3:M$501,MATCH(ROW()-2,종합!$AE$3:$AE$501,0))&amp;"","")</f>
        <v/>
      </c>
      <c r="N251" s="25" t="str">
        <f aca="false">IFERROR(INDEX(종합!N$3:N$501,MATCH(ROW()-2,종합!$AE$3:$AE$501,0))&amp;"","")</f>
        <v/>
      </c>
      <c r="O251" s="21" t="str">
        <f aca="false">IFERROR(INDEX(종합!O$3:O$501,MATCH(ROW()-2,종합!$AE$3:$AE$501,0))&amp;"","")</f>
        <v/>
      </c>
      <c r="P251" s="21" t="str">
        <f aca="false">IFERROR(INDEX(종합!P$3:P$501,MATCH(ROW()-2,종합!$AE$3:$AE$501,0))&amp;"","")</f>
        <v/>
      </c>
      <c r="Q251" s="21" t="str">
        <f aca="false">IFERROR(INDEX(종합!Q$3:Q$501,MATCH(ROW()-2,종합!$AE$3:$AE$501,0))&amp;"","")</f>
        <v/>
      </c>
      <c r="R251" s="21" t="str">
        <f aca="false">IFERROR(INDEX(종합!R$3:R$501,MATCH(ROW()-2,종합!$AE$3:$AE$501,0))&amp;"","")</f>
        <v/>
      </c>
      <c r="S251" s="21" t="str">
        <f aca="false">IFERROR(INDEX(종합!S$3:S$501,MATCH(ROW()-2,종합!$AE$3:$AE$501,0))&amp;"","")</f>
        <v/>
      </c>
      <c r="T251" s="21" t="str">
        <f aca="false">IFERROR(INDEX(종합!T$3:T$501,MATCH(ROW()-2,종합!$AE$3:$AE$501,0))&amp;"","")</f>
        <v/>
      </c>
      <c r="U251" s="21" t="str">
        <f aca="false">IFERROR(INDEX(종합!U$3:U$501,MATCH(ROW()-2,종합!$AE$3:$AE$501,0))&amp;"","")</f>
        <v/>
      </c>
      <c r="V251" s="21" t="str">
        <f aca="false">IFERROR(INDEX(종합!V$3:V$501,MATCH(ROW()-2,종합!$AE$3:$AE$501,0))&amp;"","")</f>
        <v/>
      </c>
      <c r="W251" s="21" t="str">
        <f aca="false">IFERROR(INDEX(종합!W$3:W$501,MATCH(ROW()-2,종합!$AE$3:$AE$501,0))&amp;"","")</f>
        <v/>
      </c>
      <c r="X251" s="21" t="str">
        <f aca="false">IFERROR(INDEX(종합!X$3:X$501,MATCH(ROW()-2,종합!$AE$3:$AE$501,0))&amp;"","")</f>
        <v/>
      </c>
      <c r="Y251" s="21" t="str">
        <f aca="false">IFERROR(INDEX(종합!Y$3:Y$501,MATCH(ROW()-2,종합!$AE$3:$AE$501,0))&amp;"","")</f>
        <v/>
      </c>
      <c r="Z251" s="21" t="str">
        <f aca="false">IFERROR(INDEX(종합!Z$3:Z$501,MATCH(ROW()-2,종합!$AE$3:$AE$501,0))&amp;"","")</f>
        <v/>
      </c>
    </row>
    <row r="252" customFormat="false" ht="16.5" hidden="false" customHeight="true" outlineLevel="0" collapsed="false">
      <c r="A252" s="18" t="str">
        <f aca="false">IF(B252="","",ROW()-2)</f>
        <v/>
      </c>
      <c r="B252" s="18" t="str">
        <f aca="false">IFERROR(INDEX(종합!B$3:B$501,MATCH(ROW()-2,종합!$AE$3:$AE$501,0))&amp;"","")</f>
        <v/>
      </c>
      <c r="C252" s="18" t="str">
        <f aca="false">IFERROR(INDEX(종합!C$3:C$501,MATCH(ROW()-2,종합!$AE$3:$AE$501,0))&amp;"","")</f>
        <v/>
      </c>
      <c r="D252" s="18" t="str">
        <f aca="false">IFERROR(INDEX(종합!D$3:D$501,MATCH(ROW()-2,종합!$AE$3:$AE$501,0))&amp;"","")</f>
        <v/>
      </c>
      <c r="E252" s="18" t="str">
        <f aca="false">IFERROR(INDEX(종합!E$3:E$501,MATCH(ROW()-2,종합!$AE$3:$AE$501,0))&amp;"","")</f>
        <v/>
      </c>
      <c r="F252" s="18" t="str">
        <f aca="false">IFERROR(INDEX(종합!F$3:F$501,MATCH(ROW()-2,종합!$AE$3:$AE$501,0))&amp;"","")</f>
        <v/>
      </c>
      <c r="G252" s="18" t="str">
        <f aca="false">IFERROR(INDEX(종합!G$3:G$501,MATCH(ROW()-2,종합!$AE$3:$AE$501,0))&amp;"","")</f>
        <v/>
      </c>
      <c r="H252" s="21" t="str">
        <f aca="false">IFERROR(INDEX(종합!H$3:H$501,MATCH(ROW()-2,종합!$AE$3:$AE$501,0))&amp;"","")</f>
        <v/>
      </c>
      <c r="I252" s="21" t="str">
        <f aca="false">IFERROR(INDEX(종합!I$3:I$501,MATCH(ROW()-2,종합!$AE$3:$AE$501,0))&amp;"","")</f>
        <v/>
      </c>
      <c r="J252" s="21" t="str">
        <f aca="false">IFERROR(INDEX(종합!J$3:J$501,MATCH(ROW()-2,종합!$AE$3:$AE$501,0))&amp;"","")</f>
        <v/>
      </c>
      <c r="K252" s="21" t="str">
        <f aca="false">IFERROR(INDEX(종합!K$3:K$501,MATCH(ROW()-2,종합!$AE$3:$AE$501,0))&amp;"","")</f>
        <v/>
      </c>
      <c r="L252" s="21" t="str">
        <f aca="false">IFERROR(INDEX(종합!L$3:L$501,MATCH(ROW()-2,종합!$AE$3:$AE$501,0))&amp;"","")</f>
        <v/>
      </c>
      <c r="M252" s="21" t="str">
        <f aca="false">IFERROR(INDEX(종합!M$3:M$501,MATCH(ROW()-2,종합!$AE$3:$AE$501,0))&amp;"","")</f>
        <v/>
      </c>
      <c r="N252" s="25" t="str">
        <f aca="false">IFERROR(INDEX(종합!N$3:N$501,MATCH(ROW()-2,종합!$AE$3:$AE$501,0))&amp;"","")</f>
        <v/>
      </c>
      <c r="O252" s="21" t="str">
        <f aca="false">IFERROR(INDEX(종합!O$3:O$501,MATCH(ROW()-2,종합!$AE$3:$AE$501,0))&amp;"","")</f>
        <v/>
      </c>
      <c r="P252" s="21" t="str">
        <f aca="false">IFERROR(INDEX(종합!P$3:P$501,MATCH(ROW()-2,종합!$AE$3:$AE$501,0))&amp;"","")</f>
        <v/>
      </c>
      <c r="Q252" s="21" t="str">
        <f aca="false">IFERROR(INDEX(종합!Q$3:Q$501,MATCH(ROW()-2,종합!$AE$3:$AE$501,0))&amp;"","")</f>
        <v/>
      </c>
      <c r="R252" s="21" t="str">
        <f aca="false">IFERROR(INDEX(종합!R$3:R$501,MATCH(ROW()-2,종합!$AE$3:$AE$501,0))&amp;"","")</f>
        <v/>
      </c>
      <c r="S252" s="21" t="str">
        <f aca="false">IFERROR(INDEX(종합!S$3:S$501,MATCH(ROW()-2,종합!$AE$3:$AE$501,0))&amp;"","")</f>
        <v/>
      </c>
      <c r="T252" s="21" t="str">
        <f aca="false">IFERROR(INDEX(종합!T$3:T$501,MATCH(ROW()-2,종합!$AE$3:$AE$501,0))&amp;"","")</f>
        <v/>
      </c>
      <c r="U252" s="21" t="str">
        <f aca="false">IFERROR(INDEX(종합!U$3:U$501,MATCH(ROW()-2,종합!$AE$3:$AE$501,0))&amp;"","")</f>
        <v/>
      </c>
      <c r="V252" s="21" t="str">
        <f aca="false">IFERROR(INDEX(종합!V$3:V$501,MATCH(ROW()-2,종합!$AE$3:$AE$501,0))&amp;"","")</f>
        <v/>
      </c>
      <c r="W252" s="21" t="str">
        <f aca="false">IFERROR(INDEX(종합!W$3:W$501,MATCH(ROW()-2,종합!$AE$3:$AE$501,0))&amp;"","")</f>
        <v/>
      </c>
      <c r="X252" s="21" t="str">
        <f aca="false">IFERROR(INDEX(종합!X$3:X$501,MATCH(ROW()-2,종합!$AE$3:$AE$501,0))&amp;"","")</f>
        <v/>
      </c>
      <c r="Y252" s="21" t="str">
        <f aca="false">IFERROR(INDEX(종합!Y$3:Y$501,MATCH(ROW()-2,종합!$AE$3:$AE$501,0))&amp;"","")</f>
        <v/>
      </c>
      <c r="Z252" s="21" t="str">
        <f aca="false">IFERROR(INDEX(종합!Z$3:Z$501,MATCH(ROW()-2,종합!$AE$3:$AE$501,0))&amp;"","")</f>
        <v/>
      </c>
    </row>
    <row r="253" customFormat="false" ht="16.5" hidden="false" customHeight="true" outlineLevel="0" collapsed="false">
      <c r="A253" s="18" t="str">
        <f aca="false">IF(B253="","",ROW()-2)</f>
        <v/>
      </c>
      <c r="B253" s="18" t="str">
        <f aca="false">IFERROR(INDEX(종합!B$3:B$501,MATCH(ROW()-2,종합!$AE$3:$AE$501,0))&amp;"","")</f>
        <v/>
      </c>
      <c r="C253" s="18" t="str">
        <f aca="false">IFERROR(INDEX(종합!C$3:C$501,MATCH(ROW()-2,종합!$AE$3:$AE$501,0))&amp;"","")</f>
        <v/>
      </c>
      <c r="D253" s="18" t="str">
        <f aca="false">IFERROR(INDEX(종합!D$3:D$501,MATCH(ROW()-2,종합!$AE$3:$AE$501,0))&amp;"","")</f>
        <v/>
      </c>
      <c r="E253" s="18" t="str">
        <f aca="false">IFERROR(INDEX(종합!E$3:E$501,MATCH(ROW()-2,종합!$AE$3:$AE$501,0))&amp;"","")</f>
        <v/>
      </c>
      <c r="F253" s="18" t="str">
        <f aca="false">IFERROR(INDEX(종합!F$3:F$501,MATCH(ROW()-2,종합!$AE$3:$AE$501,0))&amp;"","")</f>
        <v/>
      </c>
      <c r="G253" s="18" t="str">
        <f aca="false">IFERROR(INDEX(종합!G$3:G$501,MATCH(ROW()-2,종합!$AE$3:$AE$501,0))&amp;"","")</f>
        <v/>
      </c>
      <c r="H253" s="21" t="str">
        <f aca="false">IFERROR(INDEX(종합!H$3:H$501,MATCH(ROW()-2,종합!$AE$3:$AE$501,0))&amp;"","")</f>
        <v/>
      </c>
      <c r="I253" s="21" t="str">
        <f aca="false">IFERROR(INDEX(종합!I$3:I$501,MATCH(ROW()-2,종합!$AE$3:$AE$501,0))&amp;"","")</f>
        <v/>
      </c>
      <c r="J253" s="21" t="str">
        <f aca="false">IFERROR(INDEX(종합!J$3:J$501,MATCH(ROW()-2,종합!$AE$3:$AE$501,0))&amp;"","")</f>
        <v/>
      </c>
      <c r="K253" s="21" t="str">
        <f aca="false">IFERROR(INDEX(종합!K$3:K$501,MATCH(ROW()-2,종합!$AE$3:$AE$501,0))&amp;"","")</f>
        <v/>
      </c>
      <c r="L253" s="21" t="str">
        <f aca="false">IFERROR(INDEX(종합!L$3:L$501,MATCH(ROW()-2,종합!$AE$3:$AE$501,0))&amp;"","")</f>
        <v/>
      </c>
      <c r="M253" s="21" t="str">
        <f aca="false">IFERROR(INDEX(종합!M$3:M$501,MATCH(ROW()-2,종합!$AE$3:$AE$501,0))&amp;"","")</f>
        <v/>
      </c>
      <c r="N253" s="25" t="str">
        <f aca="false">IFERROR(INDEX(종합!N$3:N$501,MATCH(ROW()-2,종합!$AE$3:$AE$501,0))&amp;"","")</f>
        <v/>
      </c>
      <c r="O253" s="21" t="str">
        <f aca="false">IFERROR(INDEX(종합!O$3:O$501,MATCH(ROW()-2,종합!$AE$3:$AE$501,0))&amp;"","")</f>
        <v/>
      </c>
      <c r="P253" s="21" t="str">
        <f aca="false">IFERROR(INDEX(종합!P$3:P$501,MATCH(ROW()-2,종합!$AE$3:$AE$501,0))&amp;"","")</f>
        <v/>
      </c>
      <c r="Q253" s="21" t="str">
        <f aca="false">IFERROR(INDEX(종합!Q$3:Q$501,MATCH(ROW()-2,종합!$AE$3:$AE$501,0))&amp;"","")</f>
        <v/>
      </c>
      <c r="R253" s="21" t="str">
        <f aca="false">IFERROR(INDEX(종합!R$3:R$501,MATCH(ROW()-2,종합!$AE$3:$AE$501,0))&amp;"","")</f>
        <v/>
      </c>
      <c r="S253" s="21" t="str">
        <f aca="false">IFERROR(INDEX(종합!S$3:S$501,MATCH(ROW()-2,종합!$AE$3:$AE$501,0))&amp;"","")</f>
        <v/>
      </c>
      <c r="T253" s="21" t="str">
        <f aca="false">IFERROR(INDEX(종합!T$3:T$501,MATCH(ROW()-2,종합!$AE$3:$AE$501,0))&amp;"","")</f>
        <v/>
      </c>
      <c r="U253" s="21" t="str">
        <f aca="false">IFERROR(INDEX(종합!U$3:U$501,MATCH(ROW()-2,종합!$AE$3:$AE$501,0))&amp;"","")</f>
        <v/>
      </c>
      <c r="V253" s="21" t="str">
        <f aca="false">IFERROR(INDEX(종합!V$3:V$501,MATCH(ROW()-2,종합!$AE$3:$AE$501,0))&amp;"","")</f>
        <v/>
      </c>
      <c r="W253" s="21" t="str">
        <f aca="false">IFERROR(INDEX(종합!W$3:W$501,MATCH(ROW()-2,종합!$AE$3:$AE$501,0))&amp;"","")</f>
        <v/>
      </c>
      <c r="X253" s="21" t="str">
        <f aca="false">IFERROR(INDEX(종합!X$3:X$501,MATCH(ROW()-2,종합!$AE$3:$AE$501,0))&amp;"","")</f>
        <v/>
      </c>
      <c r="Y253" s="21" t="str">
        <f aca="false">IFERROR(INDEX(종합!Y$3:Y$501,MATCH(ROW()-2,종합!$AE$3:$AE$501,0))&amp;"","")</f>
        <v/>
      </c>
      <c r="Z253" s="21" t="str">
        <f aca="false">IFERROR(INDEX(종합!Z$3:Z$501,MATCH(ROW()-2,종합!$AE$3:$AE$501,0))&amp;"","")</f>
        <v/>
      </c>
    </row>
    <row r="254" customFormat="false" ht="16.5" hidden="false" customHeight="true" outlineLevel="0" collapsed="false">
      <c r="A254" s="18" t="str">
        <f aca="false">IF(B254="","",ROW()-2)</f>
        <v/>
      </c>
      <c r="B254" s="18" t="str">
        <f aca="false">IFERROR(INDEX(종합!B$3:B$501,MATCH(ROW()-2,종합!$AE$3:$AE$501,0))&amp;"","")</f>
        <v/>
      </c>
      <c r="C254" s="18" t="str">
        <f aca="false">IFERROR(INDEX(종합!C$3:C$501,MATCH(ROW()-2,종합!$AE$3:$AE$501,0))&amp;"","")</f>
        <v/>
      </c>
      <c r="D254" s="18" t="str">
        <f aca="false">IFERROR(INDEX(종합!D$3:D$501,MATCH(ROW()-2,종합!$AE$3:$AE$501,0))&amp;"","")</f>
        <v/>
      </c>
      <c r="E254" s="18" t="str">
        <f aca="false">IFERROR(INDEX(종합!E$3:E$501,MATCH(ROW()-2,종합!$AE$3:$AE$501,0))&amp;"","")</f>
        <v/>
      </c>
      <c r="F254" s="18" t="str">
        <f aca="false">IFERROR(INDEX(종합!F$3:F$501,MATCH(ROW()-2,종합!$AE$3:$AE$501,0))&amp;"","")</f>
        <v/>
      </c>
      <c r="G254" s="18" t="str">
        <f aca="false">IFERROR(INDEX(종합!G$3:G$501,MATCH(ROW()-2,종합!$AE$3:$AE$501,0))&amp;"","")</f>
        <v/>
      </c>
      <c r="H254" s="21" t="str">
        <f aca="false">IFERROR(INDEX(종합!H$3:H$501,MATCH(ROW()-2,종합!$AE$3:$AE$501,0))&amp;"","")</f>
        <v/>
      </c>
      <c r="I254" s="21" t="str">
        <f aca="false">IFERROR(INDEX(종합!I$3:I$501,MATCH(ROW()-2,종합!$AE$3:$AE$501,0))&amp;"","")</f>
        <v/>
      </c>
      <c r="J254" s="21" t="str">
        <f aca="false">IFERROR(INDEX(종합!J$3:J$501,MATCH(ROW()-2,종합!$AE$3:$AE$501,0))&amp;"","")</f>
        <v/>
      </c>
      <c r="K254" s="21" t="str">
        <f aca="false">IFERROR(INDEX(종합!K$3:K$501,MATCH(ROW()-2,종합!$AE$3:$AE$501,0))&amp;"","")</f>
        <v/>
      </c>
      <c r="L254" s="21" t="str">
        <f aca="false">IFERROR(INDEX(종합!L$3:L$501,MATCH(ROW()-2,종합!$AE$3:$AE$501,0))&amp;"","")</f>
        <v/>
      </c>
      <c r="M254" s="21" t="str">
        <f aca="false">IFERROR(INDEX(종합!M$3:M$501,MATCH(ROW()-2,종합!$AE$3:$AE$501,0))&amp;"","")</f>
        <v/>
      </c>
      <c r="N254" s="25" t="str">
        <f aca="false">IFERROR(INDEX(종합!N$3:N$501,MATCH(ROW()-2,종합!$AE$3:$AE$501,0))&amp;"","")</f>
        <v/>
      </c>
      <c r="O254" s="21" t="str">
        <f aca="false">IFERROR(INDEX(종합!O$3:O$501,MATCH(ROW()-2,종합!$AE$3:$AE$501,0))&amp;"","")</f>
        <v/>
      </c>
      <c r="P254" s="21" t="str">
        <f aca="false">IFERROR(INDEX(종합!P$3:P$501,MATCH(ROW()-2,종합!$AE$3:$AE$501,0))&amp;"","")</f>
        <v/>
      </c>
      <c r="Q254" s="21" t="str">
        <f aca="false">IFERROR(INDEX(종합!Q$3:Q$501,MATCH(ROW()-2,종합!$AE$3:$AE$501,0))&amp;"","")</f>
        <v/>
      </c>
      <c r="R254" s="21" t="str">
        <f aca="false">IFERROR(INDEX(종합!R$3:R$501,MATCH(ROW()-2,종합!$AE$3:$AE$501,0))&amp;"","")</f>
        <v/>
      </c>
      <c r="S254" s="21" t="str">
        <f aca="false">IFERROR(INDEX(종합!S$3:S$501,MATCH(ROW()-2,종합!$AE$3:$AE$501,0))&amp;"","")</f>
        <v/>
      </c>
      <c r="T254" s="21" t="str">
        <f aca="false">IFERROR(INDEX(종합!T$3:T$501,MATCH(ROW()-2,종합!$AE$3:$AE$501,0))&amp;"","")</f>
        <v/>
      </c>
      <c r="U254" s="21" t="str">
        <f aca="false">IFERROR(INDEX(종합!U$3:U$501,MATCH(ROW()-2,종합!$AE$3:$AE$501,0))&amp;"","")</f>
        <v/>
      </c>
      <c r="V254" s="21" t="str">
        <f aca="false">IFERROR(INDEX(종합!V$3:V$501,MATCH(ROW()-2,종합!$AE$3:$AE$501,0))&amp;"","")</f>
        <v/>
      </c>
      <c r="W254" s="21" t="str">
        <f aca="false">IFERROR(INDEX(종합!W$3:W$501,MATCH(ROW()-2,종합!$AE$3:$AE$501,0))&amp;"","")</f>
        <v/>
      </c>
      <c r="X254" s="21" t="str">
        <f aca="false">IFERROR(INDEX(종합!X$3:X$501,MATCH(ROW()-2,종합!$AE$3:$AE$501,0))&amp;"","")</f>
        <v/>
      </c>
      <c r="Y254" s="21" t="str">
        <f aca="false">IFERROR(INDEX(종합!Y$3:Y$501,MATCH(ROW()-2,종합!$AE$3:$AE$501,0))&amp;"","")</f>
        <v/>
      </c>
      <c r="Z254" s="21" t="str">
        <f aca="false">IFERROR(INDEX(종합!Z$3:Z$501,MATCH(ROW()-2,종합!$AE$3:$AE$501,0))&amp;"","")</f>
        <v/>
      </c>
    </row>
    <row r="255" customFormat="false" ht="16.5" hidden="false" customHeight="true" outlineLevel="0" collapsed="false">
      <c r="A255" s="18" t="str">
        <f aca="false">IF(B255="","",ROW()-2)</f>
        <v/>
      </c>
      <c r="B255" s="18" t="str">
        <f aca="false">IFERROR(INDEX(종합!B$3:B$501,MATCH(ROW()-2,종합!$AE$3:$AE$501,0))&amp;"","")</f>
        <v/>
      </c>
      <c r="C255" s="18" t="str">
        <f aca="false">IFERROR(INDEX(종합!C$3:C$501,MATCH(ROW()-2,종합!$AE$3:$AE$501,0))&amp;"","")</f>
        <v/>
      </c>
      <c r="D255" s="18" t="str">
        <f aca="false">IFERROR(INDEX(종합!D$3:D$501,MATCH(ROW()-2,종합!$AE$3:$AE$501,0))&amp;"","")</f>
        <v/>
      </c>
      <c r="E255" s="18" t="str">
        <f aca="false">IFERROR(INDEX(종합!E$3:E$501,MATCH(ROW()-2,종합!$AE$3:$AE$501,0))&amp;"","")</f>
        <v/>
      </c>
      <c r="F255" s="18" t="str">
        <f aca="false">IFERROR(INDEX(종합!F$3:F$501,MATCH(ROW()-2,종합!$AE$3:$AE$501,0))&amp;"","")</f>
        <v/>
      </c>
      <c r="G255" s="18" t="str">
        <f aca="false">IFERROR(INDEX(종합!G$3:G$501,MATCH(ROW()-2,종합!$AE$3:$AE$501,0))&amp;"","")</f>
        <v/>
      </c>
      <c r="H255" s="21" t="str">
        <f aca="false">IFERROR(INDEX(종합!H$3:H$501,MATCH(ROW()-2,종합!$AE$3:$AE$501,0))&amp;"","")</f>
        <v/>
      </c>
      <c r="I255" s="21" t="str">
        <f aca="false">IFERROR(INDEX(종합!I$3:I$501,MATCH(ROW()-2,종합!$AE$3:$AE$501,0))&amp;"","")</f>
        <v/>
      </c>
      <c r="J255" s="21" t="str">
        <f aca="false">IFERROR(INDEX(종합!J$3:J$501,MATCH(ROW()-2,종합!$AE$3:$AE$501,0))&amp;"","")</f>
        <v/>
      </c>
      <c r="K255" s="21" t="str">
        <f aca="false">IFERROR(INDEX(종합!K$3:K$501,MATCH(ROW()-2,종합!$AE$3:$AE$501,0))&amp;"","")</f>
        <v/>
      </c>
      <c r="L255" s="21" t="str">
        <f aca="false">IFERROR(INDEX(종합!L$3:L$501,MATCH(ROW()-2,종합!$AE$3:$AE$501,0))&amp;"","")</f>
        <v/>
      </c>
      <c r="M255" s="21" t="str">
        <f aca="false">IFERROR(INDEX(종합!M$3:M$501,MATCH(ROW()-2,종합!$AE$3:$AE$501,0))&amp;"","")</f>
        <v/>
      </c>
      <c r="N255" s="25" t="str">
        <f aca="false">IFERROR(INDEX(종합!N$3:N$501,MATCH(ROW()-2,종합!$AE$3:$AE$501,0))&amp;"","")</f>
        <v/>
      </c>
      <c r="O255" s="21" t="str">
        <f aca="false">IFERROR(INDEX(종합!O$3:O$501,MATCH(ROW()-2,종합!$AE$3:$AE$501,0))&amp;"","")</f>
        <v/>
      </c>
      <c r="P255" s="21" t="str">
        <f aca="false">IFERROR(INDEX(종합!P$3:P$501,MATCH(ROW()-2,종합!$AE$3:$AE$501,0))&amp;"","")</f>
        <v/>
      </c>
      <c r="Q255" s="21" t="str">
        <f aca="false">IFERROR(INDEX(종합!Q$3:Q$501,MATCH(ROW()-2,종합!$AE$3:$AE$501,0))&amp;"","")</f>
        <v/>
      </c>
      <c r="R255" s="21" t="str">
        <f aca="false">IFERROR(INDEX(종합!R$3:R$501,MATCH(ROW()-2,종합!$AE$3:$AE$501,0))&amp;"","")</f>
        <v/>
      </c>
      <c r="S255" s="21" t="str">
        <f aca="false">IFERROR(INDEX(종합!S$3:S$501,MATCH(ROW()-2,종합!$AE$3:$AE$501,0))&amp;"","")</f>
        <v/>
      </c>
      <c r="T255" s="21" t="str">
        <f aca="false">IFERROR(INDEX(종합!T$3:T$501,MATCH(ROW()-2,종합!$AE$3:$AE$501,0))&amp;"","")</f>
        <v/>
      </c>
      <c r="U255" s="21" t="str">
        <f aca="false">IFERROR(INDEX(종합!U$3:U$501,MATCH(ROW()-2,종합!$AE$3:$AE$501,0))&amp;"","")</f>
        <v/>
      </c>
      <c r="V255" s="21" t="str">
        <f aca="false">IFERROR(INDEX(종합!V$3:V$501,MATCH(ROW()-2,종합!$AE$3:$AE$501,0))&amp;"","")</f>
        <v/>
      </c>
      <c r="W255" s="21" t="str">
        <f aca="false">IFERROR(INDEX(종합!W$3:W$501,MATCH(ROW()-2,종합!$AE$3:$AE$501,0))&amp;"","")</f>
        <v/>
      </c>
      <c r="X255" s="21" t="str">
        <f aca="false">IFERROR(INDEX(종합!X$3:X$501,MATCH(ROW()-2,종합!$AE$3:$AE$501,0))&amp;"","")</f>
        <v/>
      </c>
      <c r="Y255" s="21" t="str">
        <f aca="false">IFERROR(INDEX(종합!Y$3:Y$501,MATCH(ROW()-2,종합!$AE$3:$AE$501,0))&amp;"","")</f>
        <v/>
      </c>
      <c r="Z255" s="21" t="str">
        <f aca="false">IFERROR(INDEX(종합!Z$3:Z$501,MATCH(ROW()-2,종합!$AE$3:$AE$501,0))&amp;"","")</f>
        <v/>
      </c>
    </row>
    <row r="256" customFormat="false" ht="16.5" hidden="false" customHeight="true" outlineLevel="0" collapsed="false">
      <c r="A256" s="18" t="str">
        <f aca="false">IF(B256="","",ROW()-2)</f>
        <v/>
      </c>
      <c r="B256" s="18" t="str">
        <f aca="false">IFERROR(INDEX(종합!B$3:B$501,MATCH(ROW()-2,종합!$AE$3:$AE$501,0))&amp;"","")</f>
        <v/>
      </c>
      <c r="C256" s="18" t="str">
        <f aca="false">IFERROR(INDEX(종합!C$3:C$501,MATCH(ROW()-2,종합!$AE$3:$AE$501,0))&amp;"","")</f>
        <v/>
      </c>
      <c r="D256" s="18" t="str">
        <f aca="false">IFERROR(INDEX(종합!D$3:D$501,MATCH(ROW()-2,종합!$AE$3:$AE$501,0))&amp;"","")</f>
        <v/>
      </c>
      <c r="E256" s="18" t="str">
        <f aca="false">IFERROR(INDEX(종합!E$3:E$501,MATCH(ROW()-2,종합!$AE$3:$AE$501,0))&amp;"","")</f>
        <v/>
      </c>
      <c r="F256" s="18" t="str">
        <f aca="false">IFERROR(INDEX(종합!F$3:F$501,MATCH(ROW()-2,종합!$AE$3:$AE$501,0))&amp;"","")</f>
        <v/>
      </c>
      <c r="G256" s="18" t="str">
        <f aca="false">IFERROR(INDEX(종합!G$3:G$501,MATCH(ROW()-2,종합!$AE$3:$AE$501,0))&amp;"","")</f>
        <v/>
      </c>
      <c r="H256" s="21" t="str">
        <f aca="false">IFERROR(INDEX(종합!H$3:H$501,MATCH(ROW()-2,종합!$AE$3:$AE$501,0))&amp;"","")</f>
        <v/>
      </c>
      <c r="I256" s="21" t="str">
        <f aca="false">IFERROR(INDEX(종합!I$3:I$501,MATCH(ROW()-2,종합!$AE$3:$AE$501,0))&amp;"","")</f>
        <v/>
      </c>
      <c r="J256" s="21" t="str">
        <f aca="false">IFERROR(INDEX(종합!J$3:J$501,MATCH(ROW()-2,종합!$AE$3:$AE$501,0))&amp;"","")</f>
        <v/>
      </c>
      <c r="K256" s="21" t="str">
        <f aca="false">IFERROR(INDEX(종합!K$3:K$501,MATCH(ROW()-2,종합!$AE$3:$AE$501,0))&amp;"","")</f>
        <v/>
      </c>
      <c r="L256" s="21" t="str">
        <f aca="false">IFERROR(INDEX(종합!L$3:L$501,MATCH(ROW()-2,종합!$AE$3:$AE$501,0))&amp;"","")</f>
        <v/>
      </c>
      <c r="M256" s="21" t="str">
        <f aca="false">IFERROR(INDEX(종합!M$3:M$501,MATCH(ROW()-2,종합!$AE$3:$AE$501,0))&amp;"","")</f>
        <v/>
      </c>
      <c r="N256" s="25" t="str">
        <f aca="false">IFERROR(INDEX(종합!N$3:N$501,MATCH(ROW()-2,종합!$AE$3:$AE$501,0))&amp;"","")</f>
        <v/>
      </c>
      <c r="O256" s="21" t="str">
        <f aca="false">IFERROR(INDEX(종합!O$3:O$501,MATCH(ROW()-2,종합!$AE$3:$AE$501,0))&amp;"","")</f>
        <v/>
      </c>
      <c r="P256" s="21" t="str">
        <f aca="false">IFERROR(INDEX(종합!P$3:P$501,MATCH(ROW()-2,종합!$AE$3:$AE$501,0))&amp;"","")</f>
        <v/>
      </c>
      <c r="Q256" s="21" t="str">
        <f aca="false">IFERROR(INDEX(종합!Q$3:Q$501,MATCH(ROW()-2,종합!$AE$3:$AE$501,0))&amp;"","")</f>
        <v/>
      </c>
      <c r="R256" s="21" t="str">
        <f aca="false">IFERROR(INDEX(종합!R$3:R$501,MATCH(ROW()-2,종합!$AE$3:$AE$501,0))&amp;"","")</f>
        <v/>
      </c>
      <c r="S256" s="21" t="str">
        <f aca="false">IFERROR(INDEX(종합!S$3:S$501,MATCH(ROW()-2,종합!$AE$3:$AE$501,0))&amp;"","")</f>
        <v/>
      </c>
      <c r="T256" s="21" t="str">
        <f aca="false">IFERROR(INDEX(종합!T$3:T$501,MATCH(ROW()-2,종합!$AE$3:$AE$501,0))&amp;"","")</f>
        <v/>
      </c>
      <c r="U256" s="21" t="str">
        <f aca="false">IFERROR(INDEX(종합!U$3:U$501,MATCH(ROW()-2,종합!$AE$3:$AE$501,0))&amp;"","")</f>
        <v/>
      </c>
      <c r="V256" s="21" t="str">
        <f aca="false">IFERROR(INDEX(종합!V$3:V$501,MATCH(ROW()-2,종합!$AE$3:$AE$501,0))&amp;"","")</f>
        <v/>
      </c>
      <c r="W256" s="21" t="str">
        <f aca="false">IFERROR(INDEX(종합!W$3:W$501,MATCH(ROW()-2,종합!$AE$3:$AE$501,0))&amp;"","")</f>
        <v/>
      </c>
      <c r="X256" s="21" t="str">
        <f aca="false">IFERROR(INDEX(종합!X$3:X$501,MATCH(ROW()-2,종합!$AE$3:$AE$501,0))&amp;"","")</f>
        <v/>
      </c>
      <c r="Y256" s="21" t="str">
        <f aca="false">IFERROR(INDEX(종합!Y$3:Y$501,MATCH(ROW()-2,종합!$AE$3:$AE$501,0))&amp;"","")</f>
        <v/>
      </c>
      <c r="Z256" s="21" t="str">
        <f aca="false">IFERROR(INDEX(종합!Z$3:Z$501,MATCH(ROW()-2,종합!$AE$3:$AE$501,0))&amp;"","")</f>
        <v/>
      </c>
    </row>
    <row r="257" customFormat="false" ht="16.5" hidden="false" customHeight="true" outlineLevel="0" collapsed="false">
      <c r="A257" s="18" t="str">
        <f aca="false">IF(B257="","",ROW()-2)</f>
        <v/>
      </c>
      <c r="B257" s="18" t="str">
        <f aca="false">IFERROR(INDEX(종합!B$3:B$501,MATCH(ROW()-2,종합!$AE$3:$AE$501,0))&amp;"","")</f>
        <v/>
      </c>
      <c r="C257" s="18" t="str">
        <f aca="false">IFERROR(INDEX(종합!C$3:C$501,MATCH(ROW()-2,종합!$AE$3:$AE$501,0))&amp;"","")</f>
        <v/>
      </c>
      <c r="D257" s="18" t="str">
        <f aca="false">IFERROR(INDEX(종합!D$3:D$501,MATCH(ROW()-2,종합!$AE$3:$AE$501,0))&amp;"","")</f>
        <v/>
      </c>
      <c r="E257" s="18" t="str">
        <f aca="false">IFERROR(INDEX(종합!E$3:E$501,MATCH(ROW()-2,종합!$AE$3:$AE$501,0))&amp;"","")</f>
        <v/>
      </c>
      <c r="F257" s="18" t="str">
        <f aca="false">IFERROR(INDEX(종합!F$3:F$501,MATCH(ROW()-2,종합!$AE$3:$AE$501,0))&amp;"","")</f>
        <v/>
      </c>
      <c r="G257" s="18" t="str">
        <f aca="false">IFERROR(INDEX(종합!G$3:G$501,MATCH(ROW()-2,종합!$AE$3:$AE$501,0))&amp;"","")</f>
        <v/>
      </c>
      <c r="H257" s="21" t="str">
        <f aca="false">IFERROR(INDEX(종합!H$3:H$501,MATCH(ROW()-2,종합!$AE$3:$AE$501,0))&amp;"","")</f>
        <v/>
      </c>
      <c r="I257" s="21" t="str">
        <f aca="false">IFERROR(INDEX(종합!I$3:I$501,MATCH(ROW()-2,종합!$AE$3:$AE$501,0))&amp;"","")</f>
        <v/>
      </c>
      <c r="J257" s="21" t="str">
        <f aca="false">IFERROR(INDEX(종합!J$3:J$501,MATCH(ROW()-2,종합!$AE$3:$AE$501,0))&amp;"","")</f>
        <v/>
      </c>
      <c r="K257" s="21" t="str">
        <f aca="false">IFERROR(INDEX(종합!K$3:K$501,MATCH(ROW()-2,종합!$AE$3:$AE$501,0))&amp;"","")</f>
        <v/>
      </c>
      <c r="L257" s="21" t="str">
        <f aca="false">IFERROR(INDEX(종합!L$3:L$501,MATCH(ROW()-2,종합!$AE$3:$AE$501,0))&amp;"","")</f>
        <v/>
      </c>
      <c r="M257" s="21" t="str">
        <f aca="false">IFERROR(INDEX(종합!M$3:M$501,MATCH(ROW()-2,종합!$AE$3:$AE$501,0))&amp;"","")</f>
        <v/>
      </c>
      <c r="N257" s="25" t="str">
        <f aca="false">IFERROR(INDEX(종합!N$3:N$501,MATCH(ROW()-2,종합!$AE$3:$AE$501,0))&amp;"","")</f>
        <v/>
      </c>
      <c r="O257" s="21" t="str">
        <f aca="false">IFERROR(INDEX(종합!O$3:O$501,MATCH(ROW()-2,종합!$AE$3:$AE$501,0))&amp;"","")</f>
        <v/>
      </c>
      <c r="P257" s="21" t="str">
        <f aca="false">IFERROR(INDEX(종합!P$3:P$501,MATCH(ROW()-2,종합!$AE$3:$AE$501,0))&amp;"","")</f>
        <v/>
      </c>
      <c r="Q257" s="21" t="str">
        <f aca="false">IFERROR(INDEX(종합!Q$3:Q$501,MATCH(ROW()-2,종합!$AE$3:$AE$501,0))&amp;"","")</f>
        <v/>
      </c>
      <c r="R257" s="21" t="str">
        <f aca="false">IFERROR(INDEX(종합!R$3:R$501,MATCH(ROW()-2,종합!$AE$3:$AE$501,0))&amp;"","")</f>
        <v/>
      </c>
      <c r="S257" s="21" t="str">
        <f aca="false">IFERROR(INDEX(종합!S$3:S$501,MATCH(ROW()-2,종합!$AE$3:$AE$501,0))&amp;"","")</f>
        <v/>
      </c>
      <c r="T257" s="21" t="str">
        <f aca="false">IFERROR(INDEX(종합!T$3:T$501,MATCH(ROW()-2,종합!$AE$3:$AE$501,0))&amp;"","")</f>
        <v/>
      </c>
      <c r="U257" s="21" t="str">
        <f aca="false">IFERROR(INDEX(종합!U$3:U$501,MATCH(ROW()-2,종합!$AE$3:$AE$501,0))&amp;"","")</f>
        <v/>
      </c>
      <c r="V257" s="21" t="str">
        <f aca="false">IFERROR(INDEX(종합!V$3:V$501,MATCH(ROW()-2,종합!$AE$3:$AE$501,0))&amp;"","")</f>
        <v/>
      </c>
      <c r="W257" s="21" t="str">
        <f aca="false">IFERROR(INDEX(종합!W$3:W$501,MATCH(ROW()-2,종합!$AE$3:$AE$501,0))&amp;"","")</f>
        <v/>
      </c>
      <c r="X257" s="21" t="str">
        <f aca="false">IFERROR(INDEX(종합!X$3:X$501,MATCH(ROW()-2,종합!$AE$3:$AE$501,0))&amp;"","")</f>
        <v/>
      </c>
      <c r="Y257" s="21" t="str">
        <f aca="false">IFERROR(INDEX(종합!Y$3:Y$501,MATCH(ROW()-2,종합!$AE$3:$AE$501,0))&amp;"","")</f>
        <v/>
      </c>
      <c r="Z257" s="21" t="str">
        <f aca="false">IFERROR(INDEX(종합!Z$3:Z$501,MATCH(ROW()-2,종합!$AE$3:$AE$501,0))&amp;"","")</f>
        <v/>
      </c>
    </row>
    <row r="258" customFormat="false" ht="16.5" hidden="false" customHeight="true" outlineLevel="0" collapsed="false">
      <c r="A258" s="18" t="str">
        <f aca="false">IF(B258="","",ROW()-2)</f>
        <v/>
      </c>
      <c r="B258" s="18" t="str">
        <f aca="false">IFERROR(INDEX(종합!B$3:B$501,MATCH(ROW()-2,종합!$AE$3:$AE$501,0))&amp;"","")</f>
        <v/>
      </c>
      <c r="C258" s="18" t="str">
        <f aca="false">IFERROR(INDEX(종합!C$3:C$501,MATCH(ROW()-2,종합!$AE$3:$AE$501,0))&amp;"","")</f>
        <v/>
      </c>
      <c r="D258" s="18" t="str">
        <f aca="false">IFERROR(INDEX(종합!D$3:D$501,MATCH(ROW()-2,종합!$AE$3:$AE$501,0))&amp;"","")</f>
        <v/>
      </c>
      <c r="E258" s="18" t="str">
        <f aca="false">IFERROR(INDEX(종합!E$3:E$501,MATCH(ROW()-2,종합!$AE$3:$AE$501,0))&amp;"","")</f>
        <v/>
      </c>
      <c r="F258" s="18" t="str">
        <f aca="false">IFERROR(INDEX(종합!F$3:F$501,MATCH(ROW()-2,종합!$AE$3:$AE$501,0))&amp;"","")</f>
        <v/>
      </c>
      <c r="G258" s="18" t="str">
        <f aca="false">IFERROR(INDEX(종합!G$3:G$501,MATCH(ROW()-2,종합!$AE$3:$AE$501,0))&amp;"","")</f>
        <v/>
      </c>
      <c r="H258" s="21" t="str">
        <f aca="false">IFERROR(INDEX(종합!H$3:H$501,MATCH(ROW()-2,종합!$AE$3:$AE$501,0))&amp;"","")</f>
        <v/>
      </c>
      <c r="I258" s="21" t="str">
        <f aca="false">IFERROR(INDEX(종합!I$3:I$501,MATCH(ROW()-2,종합!$AE$3:$AE$501,0))&amp;"","")</f>
        <v/>
      </c>
      <c r="J258" s="21" t="str">
        <f aca="false">IFERROR(INDEX(종합!J$3:J$501,MATCH(ROW()-2,종합!$AE$3:$AE$501,0))&amp;"","")</f>
        <v/>
      </c>
      <c r="K258" s="21" t="str">
        <f aca="false">IFERROR(INDEX(종합!K$3:K$501,MATCH(ROW()-2,종합!$AE$3:$AE$501,0))&amp;"","")</f>
        <v/>
      </c>
      <c r="L258" s="21" t="str">
        <f aca="false">IFERROR(INDEX(종합!L$3:L$501,MATCH(ROW()-2,종합!$AE$3:$AE$501,0))&amp;"","")</f>
        <v/>
      </c>
      <c r="M258" s="21" t="str">
        <f aca="false">IFERROR(INDEX(종합!M$3:M$501,MATCH(ROW()-2,종합!$AE$3:$AE$501,0))&amp;"","")</f>
        <v/>
      </c>
      <c r="N258" s="25" t="str">
        <f aca="false">IFERROR(INDEX(종합!N$3:N$501,MATCH(ROW()-2,종합!$AE$3:$AE$501,0))&amp;"","")</f>
        <v/>
      </c>
      <c r="O258" s="21" t="str">
        <f aca="false">IFERROR(INDEX(종합!O$3:O$501,MATCH(ROW()-2,종합!$AE$3:$AE$501,0))&amp;"","")</f>
        <v/>
      </c>
      <c r="P258" s="21" t="str">
        <f aca="false">IFERROR(INDEX(종합!P$3:P$501,MATCH(ROW()-2,종합!$AE$3:$AE$501,0))&amp;"","")</f>
        <v/>
      </c>
      <c r="Q258" s="21" t="str">
        <f aca="false">IFERROR(INDEX(종합!Q$3:Q$501,MATCH(ROW()-2,종합!$AE$3:$AE$501,0))&amp;"","")</f>
        <v/>
      </c>
      <c r="R258" s="21" t="str">
        <f aca="false">IFERROR(INDEX(종합!R$3:R$501,MATCH(ROW()-2,종합!$AE$3:$AE$501,0))&amp;"","")</f>
        <v/>
      </c>
      <c r="S258" s="21" t="str">
        <f aca="false">IFERROR(INDEX(종합!S$3:S$501,MATCH(ROW()-2,종합!$AE$3:$AE$501,0))&amp;"","")</f>
        <v/>
      </c>
      <c r="T258" s="21" t="str">
        <f aca="false">IFERROR(INDEX(종합!T$3:T$501,MATCH(ROW()-2,종합!$AE$3:$AE$501,0))&amp;"","")</f>
        <v/>
      </c>
      <c r="U258" s="21" t="str">
        <f aca="false">IFERROR(INDEX(종합!U$3:U$501,MATCH(ROW()-2,종합!$AE$3:$AE$501,0))&amp;"","")</f>
        <v/>
      </c>
      <c r="V258" s="21" t="str">
        <f aca="false">IFERROR(INDEX(종합!V$3:V$501,MATCH(ROW()-2,종합!$AE$3:$AE$501,0))&amp;"","")</f>
        <v/>
      </c>
      <c r="W258" s="21" t="str">
        <f aca="false">IFERROR(INDEX(종합!W$3:W$501,MATCH(ROW()-2,종합!$AE$3:$AE$501,0))&amp;"","")</f>
        <v/>
      </c>
      <c r="X258" s="21" t="str">
        <f aca="false">IFERROR(INDEX(종합!X$3:X$501,MATCH(ROW()-2,종합!$AE$3:$AE$501,0))&amp;"","")</f>
        <v/>
      </c>
      <c r="Y258" s="21" t="str">
        <f aca="false">IFERROR(INDEX(종합!Y$3:Y$501,MATCH(ROW()-2,종합!$AE$3:$AE$501,0))&amp;"","")</f>
        <v/>
      </c>
      <c r="Z258" s="21" t="str">
        <f aca="false">IFERROR(INDEX(종합!Z$3:Z$501,MATCH(ROW()-2,종합!$AE$3:$AE$501,0))&amp;"","")</f>
        <v/>
      </c>
    </row>
    <row r="259" customFormat="false" ht="16.5" hidden="false" customHeight="true" outlineLevel="0" collapsed="false">
      <c r="A259" s="18" t="str">
        <f aca="false">IF(B259="","",ROW()-2)</f>
        <v/>
      </c>
      <c r="B259" s="18" t="str">
        <f aca="false">IFERROR(INDEX(종합!B$3:B$501,MATCH(ROW()-2,종합!$AE$3:$AE$501,0))&amp;"","")</f>
        <v/>
      </c>
      <c r="C259" s="18" t="str">
        <f aca="false">IFERROR(INDEX(종합!C$3:C$501,MATCH(ROW()-2,종합!$AE$3:$AE$501,0))&amp;"","")</f>
        <v/>
      </c>
      <c r="D259" s="18" t="str">
        <f aca="false">IFERROR(INDEX(종합!D$3:D$501,MATCH(ROW()-2,종합!$AE$3:$AE$501,0))&amp;"","")</f>
        <v/>
      </c>
      <c r="E259" s="18" t="str">
        <f aca="false">IFERROR(INDEX(종합!E$3:E$501,MATCH(ROW()-2,종합!$AE$3:$AE$501,0))&amp;"","")</f>
        <v/>
      </c>
      <c r="F259" s="18" t="str">
        <f aca="false">IFERROR(INDEX(종합!F$3:F$501,MATCH(ROW()-2,종합!$AE$3:$AE$501,0))&amp;"","")</f>
        <v/>
      </c>
      <c r="G259" s="18" t="str">
        <f aca="false">IFERROR(INDEX(종합!G$3:G$501,MATCH(ROW()-2,종합!$AE$3:$AE$501,0))&amp;"","")</f>
        <v/>
      </c>
      <c r="H259" s="21" t="str">
        <f aca="false">IFERROR(INDEX(종합!H$3:H$501,MATCH(ROW()-2,종합!$AE$3:$AE$501,0))&amp;"","")</f>
        <v/>
      </c>
      <c r="I259" s="21" t="str">
        <f aca="false">IFERROR(INDEX(종합!I$3:I$501,MATCH(ROW()-2,종합!$AE$3:$AE$501,0))&amp;"","")</f>
        <v/>
      </c>
      <c r="J259" s="21" t="str">
        <f aca="false">IFERROR(INDEX(종합!J$3:J$501,MATCH(ROW()-2,종합!$AE$3:$AE$501,0))&amp;"","")</f>
        <v/>
      </c>
      <c r="K259" s="21" t="str">
        <f aca="false">IFERROR(INDEX(종합!K$3:K$501,MATCH(ROW()-2,종합!$AE$3:$AE$501,0))&amp;"","")</f>
        <v/>
      </c>
      <c r="L259" s="21" t="str">
        <f aca="false">IFERROR(INDEX(종합!L$3:L$501,MATCH(ROW()-2,종합!$AE$3:$AE$501,0))&amp;"","")</f>
        <v/>
      </c>
      <c r="M259" s="21" t="str">
        <f aca="false">IFERROR(INDEX(종합!M$3:M$501,MATCH(ROW()-2,종합!$AE$3:$AE$501,0))&amp;"","")</f>
        <v/>
      </c>
      <c r="N259" s="25" t="str">
        <f aca="false">IFERROR(INDEX(종합!N$3:N$501,MATCH(ROW()-2,종합!$AE$3:$AE$501,0))&amp;"","")</f>
        <v/>
      </c>
      <c r="O259" s="21" t="str">
        <f aca="false">IFERROR(INDEX(종합!O$3:O$501,MATCH(ROW()-2,종합!$AE$3:$AE$501,0))&amp;"","")</f>
        <v/>
      </c>
      <c r="P259" s="21" t="str">
        <f aca="false">IFERROR(INDEX(종합!P$3:P$501,MATCH(ROW()-2,종합!$AE$3:$AE$501,0))&amp;"","")</f>
        <v/>
      </c>
      <c r="Q259" s="21" t="str">
        <f aca="false">IFERROR(INDEX(종합!Q$3:Q$501,MATCH(ROW()-2,종합!$AE$3:$AE$501,0))&amp;"","")</f>
        <v/>
      </c>
      <c r="R259" s="21" t="str">
        <f aca="false">IFERROR(INDEX(종합!R$3:R$501,MATCH(ROW()-2,종합!$AE$3:$AE$501,0))&amp;"","")</f>
        <v/>
      </c>
      <c r="S259" s="21" t="str">
        <f aca="false">IFERROR(INDEX(종합!S$3:S$501,MATCH(ROW()-2,종합!$AE$3:$AE$501,0))&amp;"","")</f>
        <v/>
      </c>
      <c r="T259" s="21" t="str">
        <f aca="false">IFERROR(INDEX(종합!T$3:T$501,MATCH(ROW()-2,종합!$AE$3:$AE$501,0))&amp;"","")</f>
        <v/>
      </c>
      <c r="U259" s="21" t="str">
        <f aca="false">IFERROR(INDEX(종합!U$3:U$501,MATCH(ROW()-2,종합!$AE$3:$AE$501,0))&amp;"","")</f>
        <v/>
      </c>
      <c r="V259" s="21" t="str">
        <f aca="false">IFERROR(INDEX(종합!V$3:V$501,MATCH(ROW()-2,종합!$AE$3:$AE$501,0))&amp;"","")</f>
        <v/>
      </c>
      <c r="W259" s="21" t="str">
        <f aca="false">IFERROR(INDEX(종합!W$3:W$501,MATCH(ROW()-2,종합!$AE$3:$AE$501,0))&amp;"","")</f>
        <v/>
      </c>
      <c r="X259" s="21" t="str">
        <f aca="false">IFERROR(INDEX(종합!X$3:X$501,MATCH(ROW()-2,종합!$AE$3:$AE$501,0))&amp;"","")</f>
        <v/>
      </c>
      <c r="Y259" s="21" t="str">
        <f aca="false">IFERROR(INDEX(종합!Y$3:Y$501,MATCH(ROW()-2,종합!$AE$3:$AE$501,0))&amp;"","")</f>
        <v/>
      </c>
      <c r="Z259" s="21" t="str">
        <f aca="false">IFERROR(INDEX(종합!Z$3:Z$501,MATCH(ROW()-2,종합!$AE$3:$AE$501,0))&amp;"","")</f>
        <v/>
      </c>
    </row>
    <row r="260" customFormat="false" ht="16.5" hidden="false" customHeight="true" outlineLevel="0" collapsed="false">
      <c r="A260" s="18" t="str">
        <f aca="false">IF(B260="","",ROW()-2)</f>
        <v/>
      </c>
      <c r="B260" s="18" t="str">
        <f aca="false">IFERROR(INDEX(종합!B$3:B$501,MATCH(ROW()-2,종합!$AE$3:$AE$501,0))&amp;"","")</f>
        <v/>
      </c>
      <c r="C260" s="18" t="str">
        <f aca="false">IFERROR(INDEX(종합!C$3:C$501,MATCH(ROW()-2,종합!$AE$3:$AE$501,0))&amp;"","")</f>
        <v/>
      </c>
      <c r="D260" s="18" t="str">
        <f aca="false">IFERROR(INDEX(종합!D$3:D$501,MATCH(ROW()-2,종합!$AE$3:$AE$501,0))&amp;"","")</f>
        <v/>
      </c>
      <c r="E260" s="18" t="str">
        <f aca="false">IFERROR(INDEX(종합!E$3:E$501,MATCH(ROW()-2,종합!$AE$3:$AE$501,0))&amp;"","")</f>
        <v/>
      </c>
      <c r="F260" s="18" t="str">
        <f aca="false">IFERROR(INDEX(종합!F$3:F$501,MATCH(ROW()-2,종합!$AE$3:$AE$501,0))&amp;"","")</f>
        <v/>
      </c>
      <c r="G260" s="18" t="str">
        <f aca="false">IFERROR(INDEX(종합!G$3:G$501,MATCH(ROW()-2,종합!$AE$3:$AE$501,0))&amp;"","")</f>
        <v/>
      </c>
      <c r="H260" s="21" t="str">
        <f aca="false">IFERROR(INDEX(종합!H$3:H$501,MATCH(ROW()-2,종합!$AE$3:$AE$501,0))&amp;"","")</f>
        <v/>
      </c>
      <c r="I260" s="21" t="str">
        <f aca="false">IFERROR(INDEX(종합!I$3:I$501,MATCH(ROW()-2,종합!$AE$3:$AE$501,0))&amp;"","")</f>
        <v/>
      </c>
      <c r="J260" s="21" t="str">
        <f aca="false">IFERROR(INDEX(종합!J$3:J$501,MATCH(ROW()-2,종합!$AE$3:$AE$501,0))&amp;"","")</f>
        <v/>
      </c>
      <c r="K260" s="21" t="str">
        <f aca="false">IFERROR(INDEX(종합!K$3:K$501,MATCH(ROW()-2,종합!$AE$3:$AE$501,0))&amp;"","")</f>
        <v/>
      </c>
      <c r="L260" s="21" t="str">
        <f aca="false">IFERROR(INDEX(종합!L$3:L$501,MATCH(ROW()-2,종합!$AE$3:$AE$501,0))&amp;"","")</f>
        <v/>
      </c>
      <c r="M260" s="21" t="str">
        <f aca="false">IFERROR(INDEX(종합!M$3:M$501,MATCH(ROW()-2,종합!$AE$3:$AE$501,0))&amp;"","")</f>
        <v/>
      </c>
      <c r="N260" s="25" t="str">
        <f aca="false">IFERROR(INDEX(종합!N$3:N$501,MATCH(ROW()-2,종합!$AE$3:$AE$501,0))&amp;"","")</f>
        <v/>
      </c>
      <c r="O260" s="21" t="str">
        <f aca="false">IFERROR(INDEX(종합!O$3:O$501,MATCH(ROW()-2,종합!$AE$3:$AE$501,0))&amp;"","")</f>
        <v/>
      </c>
      <c r="P260" s="21" t="str">
        <f aca="false">IFERROR(INDEX(종합!P$3:P$501,MATCH(ROW()-2,종합!$AE$3:$AE$501,0))&amp;"","")</f>
        <v/>
      </c>
      <c r="Q260" s="21" t="str">
        <f aca="false">IFERROR(INDEX(종합!Q$3:Q$501,MATCH(ROW()-2,종합!$AE$3:$AE$501,0))&amp;"","")</f>
        <v/>
      </c>
      <c r="R260" s="21" t="str">
        <f aca="false">IFERROR(INDEX(종합!R$3:R$501,MATCH(ROW()-2,종합!$AE$3:$AE$501,0))&amp;"","")</f>
        <v/>
      </c>
      <c r="S260" s="21" t="str">
        <f aca="false">IFERROR(INDEX(종합!S$3:S$501,MATCH(ROW()-2,종합!$AE$3:$AE$501,0))&amp;"","")</f>
        <v/>
      </c>
      <c r="T260" s="21" t="str">
        <f aca="false">IFERROR(INDEX(종합!T$3:T$501,MATCH(ROW()-2,종합!$AE$3:$AE$501,0))&amp;"","")</f>
        <v/>
      </c>
      <c r="U260" s="21" t="str">
        <f aca="false">IFERROR(INDEX(종합!U$3:U$501,MATCH(ROW()-2,종합!$AE$3:$AE$501,0))&amp;"","")</f>
        <v/>
      </c>
      <c r="V260" s="21" t="str">
        <f aca="false">IFERROR(INDEX(종합!V$3:V$501,MATCH(ROW()-2,종합!$AE$3:$AE$501,0))&amp;"","")</f>
        <v/>
      </c>
      <c r="W260" s="21" t="str">
        <f aca="false">IFERROR(INDEX(종합!W$3:W$501,MATCH(ROW()-2,종합!$AE$3:$AE$501,0))&amp;"","")</f>
        <v/>
      </c>
      <c r="X260" s="21" t="str">
        <f aca="false">IFERROR(INDEX(종합!X$3:X$501,MATCH(ROW()-2,종합!$AE$3:$AE$501,0))&amp;"","")</f>
        <v/>
      </c>
      <c r="Y260" s="21" t="str">
        <f aca="false">IFERROR(INDEX(종합!Y$3:Y$501,MATCH(ROW()-2,종합!$AE$3:$AE$501,0))&amp;"","")</f>
        <v/>
      </c>
      <c r="Z260" s="21" t="str">
        <f aca="false">IFERROR(INDEX(종합!Z$3:Z$501,MATCH(ROW()-2,종합!$AE$3:$AE$501,0))&amp;"","")</f>
        <v/>
      </c>
    </row>
    <row r="261" customFormat="false" ht="16.5" hidden="false" customHeight="true" outlineLevel="0" collapsed="false">
      <c r="A261" s="18" t="str">
        <f aca="false">IF(B261="","",ROW()-2)</f>
        <v/>
      </c>
      <c r="B261" s="18" t="str">
        <f aca="false">IFERROR(INDEX(종합!B$3:B$501,MATCH(ROW()-2,종합!$AE$3:$AE$501,0))&amp;"","")</f>
        <v/>
      </c>
      <c r="C261" s="18" t="str">
        <f aca="false">IFERROR(INDEX(종합!C$3:C$501,MATCH(ROW()-2,종합!$AE$3:$AE$501,0))&amp;"","")</f>
        <v/>
      </c>
      <c r="D261" s="18" t="str">
        <f aca="false">IFERROR(INDEX(종합!D$3:D$501,MATCH(ROW()-2,종합!$AE$3:$AE$501,0))&amp;"","")</f>
        <v/>
      </c>
      <c r="E261" s="18" t="str">
        <f aca="false">IFERROR(INDEX(종합!E$3:E$501,MATCH(ROW()-2,종합!$AE$3:$AE$501,0))&amp;"","")</f>
        <v/>
      </c>
      <c r="F261" s="18" t="str">
        <f aca="false">IFERROR(INDEX(종합!F$3:F$501,MATCH(ROW()-2,종합!$AE$3:$AE$501,0))&amp;"","")</f>
        <v/>
      </c>
      <c r="G261" s="18" t="str">
        <f aca="false">IFERROR(INDEX(종합!G$3:G$501,MATCH(ROW()-2,종합!$AE$3:$AE$501,0))&amp;"","")</f>
        <v/>
      </c>
      <c r="H261" s="21" t="str">
        <f aca="false">IFERROR(INDEX(종합!H$3:H$501,MATCH(ROW()-2,종합!$AE$3:$AE$501,0))&amp;"","")</f>
        <v/>
      </c>
      <c r="I261" s="21" t="str">
        <f aca="false">IFERROR(INDEX(종합!I$3:I$501,MATCH(ROW()-2,종합!$AE$3:$AE$501,0))&amp;"","")</f>
        <v/>
      </c>
      <c r="J261" s="21" t="str">
        <f aca="false">IFERROR(INDEX(종합!J$3:J$501,MATCH(ROW()-2,종합!$AE$3:$AE$501,0))&amp;"","")</f>
        <v/>
      </c>
      <c r="K261" s="21" t="str">
        <f aca="false">IFERROR(INDEX(종합!K$3:K$501,MATCH(ROW()-2,종합!$AE$3:$AE$501,0))&amp;"","")</f>
        <v/>
      </c>
      <c r="L261" s="21" t="str">
        <f aca="false">IFERROR(INDEX(종합!L$3:L$501,MATCH(ROW()-2,종합!$AE$3:$AE$501,0))&amp;"","")</f>
        <v/>
      </c>
      <c r="M261" s="21" t="str">
        <f aca="false">IFERROR(INDEX(종합!M$3:M$501,MATCH(ROW()-2,종합!$AE$3:$AE$501,0))&amp;"","")</f>
        <v/>
      </c>
      <c r="N261" s="25" t="str">
        <f aca="false">IFERROR(INDEX(종합!N$3:N$501,MATCH(ROW()-2,종합!$AE$3:$AE$501,0))&amp;"","")</f>
        <v/>
      </c>
      <c r="O261" s="21" t="str">
        <f aca="false">IFERROR(INDEX(종합!O$3:O$501,MATCH(ROW()-2,종합!$AE$3:$AE$501,0))&amp;"","")</f>
        <v/>
      </c>
      <c r="P261" s="21" t="str">
        <f aca="false">IFERROR(INDEX(종합!P$3:P$501,MATCH(ROW()-2,종합!$AE$3:$AE$501,0))&amp;"","")</f>
        <v/>
      </c>
      <c r="Q261" s="21" t="str">
        <f aca="false">IFERROR(INDEX(종합!Q$3:Q$501,MATCH(ROW()-2,종합!$AE$3:$AE$501,0))&amp;"","")</f>
        <v/>
      </c>
      <c r="R261" s="21" t="str">
        <f aca="false">IFERROR(INDEX(종합!R$3:R$501,MATCH(ROW()-2,종합!$AE$3:$AE$501,0))&amp;"","")</f>
        <v/>
      </c>
      <c r="S261" s="21" t="str">
        <f aca="false">IFERROR(INDEX(종합!S$3:S$501,MATCH(ROW()-2,종합!$AE$3:$AE$501,0))&amp;"","")</f>
        <v/>
      </c>
      <c r="T261" s="21" t="str">
        <f aca="false">IFERROR(INDEX(종합!T$3:T$501,MATCH(ROW()-2,종합!$AE$3:$AE$501,0))&amp;"","")</f>
        <v/>
      </c>
      <c r="U261" s="21" t="str">
        <f aca="false">IFERROR(INDEX(종합!U$3:U$501,MATCH(ROW()-2,종합!$AE$3:$AE$501,0))&amp;"","")</f>
        <v/>
      </c>
      <c r="V261" s="21" t="str">
        <f aca="false">IFERROR(INDEX(종합!V$3:V$501,MATCH(ROW()-2,종합!$AE$3:$AE$501,0))&amp;"","")</f>
        <v/>
      </c>
      <c r="W261" s="21" t="str">
        <f aca="false">IFERROR(INDEX(종합!W$3:W$501,MATCH(ROW()-2,종합!$AE$3:$AE$501,0))&amp;"","")</f>
        <v/>
      </c>
      <c r="X261" s="21" t="str">
        <f aca="false">IFERROR(INDEX(종합!X$3:X$501,MATCH(ROW()-2,종합!$AE$3:$AE$501,0))&amp;"","")</f>
        <v/>
      </c>
      <c r="Y261" s="21" t="str">
        <f aca="false">IFERROR(INDEX(종합!Y$3:Y$501,MATCH(ROW()-2,종합!$AE$3:$AE$501,0))&amp;"","")</f>
        <v/>
      </c>
      <c r="Z261" s="21" t="str">
        <f aca="false">IFERROR(INDEX(종합!Z$3:Z$501,MATCH(ROW()-2,종합!$AE$3:$AE$501,0))&amp;"","")</f>
        <v/>
      </c>
    </row>
    <row r="262" customFormat="false" ht="16.5" hidden="false" customHeight="true" outlineLevel="0" collapsed="false">
      <c r="A262" s="18" t="str">
        <f aca="false">IF(B262="","",ROW()-2)</f>
        <v/>
      </c>
      <c r="B262" s="18" t="str">
        <f aca="false">IFERROR(INDEX(종합!B$3:B$501,MATCH(ROW()-2,종합!$AE$3:$AE$501,0))&amp;"","")</f>
        <v/>
      </c>
      <c r="C262" s="18" t="str">
        <f aca="false">IFERROR(INDEX(종합!C$3:C$501,MATCH(ROW()-2,종합!$AE$3:$AE$501,0))&amp;"","")</f>
        <v/>
      </c>
      <c r="D262" s="18" t="str">
        <f aca="false">IFERROR(INDEX(종합!D$3:D$501,MATCH(ROW()-2,종합!$AE$3:$AE$501,0))&amp;"","")</f>
        <v/>
      </c>
      <c r="E262" s="18" t="str">
        <f aca="false">IFERROR(INDEX(종합!E$3:E$501,MATCH(ROW()-2,종합!$AE$3:$AE$501,0))&amp;"","")</f>
        <v/>
      </c>
      <c r="F262" s="18" t="str">
        <f aca="false">IFERROR(INDEX(종합!F$3:F$501,MATCH(ROW()-2,종합!$AE$3:$AE$501,0))&amp;"","")</f>
        <v/>
      </c>
      <c r="G262" s="18" t="str">
        <f aca="false">IFERROR(INDEX(종합!G$3:G$501,MATCH(ROW()-2,종합!$AE$3:$AE$501,0))&amp;"","")</f>
        <v/>
      </c>
      <c r="H262" s="21" t="str">
        <f aca="false">IFERROR(INDEX(종합!H$3:H$501,MATCH(ROW()-2,종합!$AE$3:$AE$501,0))&amp;"","")</f>
        <v/>
      </c>
      <c r="I262" s="21" t="str">
        <f aca="false">IFERROR(INDEX(종합!I$3:I$501,MATCH(ROW()-2,종합!$AE$3:$AE$501,0))&amp;"","")</f>
        <v/>
      </c>
      <c r="J262" s="21" t="str">
        <f aca="false">IFERROR(INDEX(종합!J$3:J$501,MATCH(ROW()-2,종합!$AE$3:$AE$501,0))&amp;"","")</f>
        <v/>
      </c>
      <c r="K262" s="21" t="str">
        <f aca="false">IFERROR(INDEX(종합!K$3:K$501,MATCH(ROW()-2,종합!$AE$3:$AE$501,0))&amp;"","")</f>
        <v/>
      </c>
      <c r="L262" s="21" t="str">
        <f aca="false">IFERROR(INDEX(종합!L$3:L$501,MATCH(ROW()-2,종합!$AE$3:$AE$501,0))&amp;"","")</f>
        <v/>
      </c>
      <c r="M262" s="21" t="str">
        <f aca="false">IFERROR(INDEX(종합!M$3:M$501,MATCH(ROW()-2,종합!$AE$3:$AE$501,0))&amp;"","")</f>
        <v/>
      </c>
      <c r="N262" s="25" t="str">
        <f aca="false">IFERROR(INDEX(종합!N$3:N$501,MATCH(ROW()-2,종합!$AE$3:$AE$501,0))&amp;"","")</f>
        <v/>
      </c>
      <c r="O262" s="21" t="str">
        <f aca="false">IFERROR(INDEX(종합!O$3:O$501,MATCH(ROW()-2,종합!$AE$3:$AE$501,0))&amp;"","")</f>
        <v/>
      </c>
      <c r="P262" s="21" t="str">
        <f aca="false">IFERROR(INDEX(종합!P$3:P$501,MATCH(ROW()-2,종합!$AE$3:$AE$501,0))&amp;"","")</f>
        <v/>
      </c>
      <c r="Q262" s="21" t="str">
        <f aca="false">IFERROR(INDEX(종합!Q$3:Q$501,MATCH(ROW()-2,종합!$AE$3:$AE$501,0))&amp;"","")</f>
        <v/>
      </c>
      <c r="R262" s="21" t="str">
        <f aca="false">IFERROR(INDEX(종합!R$3:R$501,MATCH(ROW()-2,종합!$AE$3:$AE$501,0))&amp;"","")</f>
        <v/>
      </c>
      <c r="S262" s="21" t="str">
        <f aca="false">IFERROR(INDEX(종합!S$3:S$501,MATCH(ROW()-2,종합!$AE$3:$AE$501,0))&amp;"","")</f>
        <v/>
      </c>
      <c r="T262" s="21" t="str">
        <f aca="false">IFERROR(INDEX(종합!T$3:T$501,MATCH(ROW()-2,종합!$AE$3:$AE$501,0))&amp;"","")</f>
        <v/>
      </c>
      <c r="U262" s="21" t="str">
        <f aca="false">IFERROR(INDEX(종합!U$3:U$501,MATCH(ROW()-2,종합!$AE$3:$AE$501,0))&amp;"","")</f>
        <v/>
      </c>
      <c r="V262" s="21" t="str">
        <f aca="false">IFERROR(INDEX(종합!V$3:V$501,MATCH(ROW()-2,종합!$AE$3:$AE$501,0))&amp;"","")</f>
        <v/>
      </c>
      <c r="W262" s="21" t="str">
        <f aca="false">IFERROR(INDEX(종합!W$3:W$501,MATCH(ROW()-2,종합!$AE$3:$AE$501,0))&amp;"","")</f>
        <v/>
      </c>
      <c r="X262" s="21" t="str">
        <f aca="false">IFERROR(INDEX(종합!X$3:X$501,MATCH(ROW()-2,종합!$AE$3:$AE$501,0))&amp;"","")</f>
        <v/>
      </c>
      <c r="Y262" s="21" t="str">
        <f aca="false">IFERROR(INDEX(종합!Y$3:Y$501,MATCH(ROW()-2,종합!$AE$3:$AE$501,0))&amp;"","")</f>
        <v/>
      </c>
      <c r="Z262" s="21" t="str">
        <f aca="false">IFERROR(INDEX(종합!Z$3:Z$501,MATCH(ROW()-2,종합!$AE$3:$AE$501,0))&amp;"","")</f>
        <v/>
      </c>
    </row>
    <row r="263" customFormat="false" ht="16.5" hidden="false" customHeight="true" outlineLevel="0" collapsed="false">
      <c r="A263" s="18" t="str">
        <f aca="false">IF(B263="","",ROW()-2)</f>
        <v/>
      </c>
      <c r="B263" s="18" t="str">
        <f aca="false">IFERROR(INDEX(종합!B$3:B$501,MATCH(ROW()-2,종합!$AE$3:$AE$501,0))&amp;"","")</f>
        <v/>
      </c>
      <c r="C263" s="18" t="str">
        <f aca="false">IFERROR(INDEX(종합!C$3:C$501,MATCH(ROW()-2,종합!$AE$3:$AE$501,0))&amp;"","")</f>
        <v/>
      </c>
      <c r="D263" s="18" t="str">
        <f aca="false">IFERROR(INDEX(종합!D$3:D$501,MATCH(ROW()-2,종합!$AE$3:$AE$501,0))&amp;"","")</f>
        <v/>
      </c>
      <c r="E263" s="18" t="str">
        <f aca="false">IFERROR(INDEX(종합!E$3:E$501,MATCH(ROW()-2,종합!$AE$3:$AE$501,0))&amp;"","")</f>
        <v/>
      </c>
      <c r="F263" s="18" t="str">
        <f aca="false">IFERROR(INDEX(종합!F$3:F$501,MATCH(ROW()-2,종합!$AE$3:$AE$501,0))&amp;"","")</f>
        <v/>
      </c>
      <c r="G263" s="18" t="str">
        <f aca="false">IFERROR(INDEX(종합!G$3:G$501,MATCH(ROW()-2,종합!$AE$3:$AE$501,0))&amp;"","")</f>
        <v/>
      </c>
      <c r="H263" s="21" t="str">
        <f aca="false">IFERROR(INDEX(종합!H$3:H$501,MATCH(ROW()-2,종합!$AE$3:$AE$501,0))&amp;"","")</f>
        <v/>
      </c>
      <c r="I263" s="21" t="str">
        <f aca="false">IFERROR(INDEX(종합!I$3:I$501,MATCH(ROW()-2,종합!$AE$3:$AE$501,0))&amp;"","")</f>
        <v/>
      </c>
      <c r="J263" s="21" t="str">
        <f aca="false">IFERROR(INDEX(종합!J$3:J$501,MATCH(ROW()-2,종합!$AE$3:$AE$501,0))&amp;"","")</f>
        <v/>
      </c>
      <c r="K263" s="21" t="str">
        <f aca="false">IFERROR(INDEX(종합!K$3:K$501,MATCH(ROW()-2,종합!$AE$3:$AE$501,0))&amp;"","")</f>
        <v/>
      </c>
      <c r="L263" s="21" t="str">
        <f aca="false">IFERROR(INDEX(종합!L$3:L$501,MATCH(ROW()-2,종합!$AE$3:$AE$501,0))&amp;"","")</f>
        <v/>
      </c>
      <c r="M263" s="21" t="str">
        <f aca="false">IFERROR(INDEX(종합!M$3:M$501,MATCH(ROW()-2,종합!$AE$3:$AE$501,0))&amp;"","")</f>
        <v/>
      </c>
      <c r="N263" s="25" t="str">
        <f aca="false">IFERROR(INDEX(종합!N$3:N$501,MATCH(ROW()-2,종합!$AE$3:$AE$501,0))&amp;"","")</f>
        <v/>
      </c>
      <c r="O263" s="21" t="str">
        <f aca="false">IFERROR(INDEX(종합!O$3:O$501,MATCH(ROW()-2,종합!$AE$3:$AE$501,0))&amp;"","")</f>
        <v/>
      </c>
      <c r="P263" s="21" t="str">
        <f aca="false">IFERROR(INDEX(종합!P$3:P$501,MATCH(ROW()-2,종합!$AE$3:$AE$501,0))&amp;"","")</f>
        <v/>
      </c>
      <c r="Q263" s="21" t="str">
        <f aca="false">IFERROR(INDEX(종합!Q$3:Q$501,MATCH(ROW()-2,종합!$AE$3:$AE$501,0))&amp;"","")</f>
        <v/>
      </c>
      <c r="R263" s="21" t="str">
        <f aca="false">IFERROR(INDEX(종합!R$3:R$501,MATCH(ROW()-2,종합!$AE$3:$AE$501,0))&amp;"","")</f>
        <v/>
      </c>
      <c r="S263" s="21" t="str">
        <f aca="false">IFERROR(INDEX(종합!S$3:S$501,MATCH(ROW()-2,종합!$AE$3:$AE$501,0))&amp;"","")</f>
        <v/>
      </c>
      <c r="T263" s="21" t="str">
        <f aca="false">IFERROR(INDEX(종합!T$3:T$501,MATCH(ROW()-2,종합!$AE$3:$AE$501,0))&amp;"","")</f>
        <v/>
      </c>
      <c r="U263" s="21" t="str">
        <f aca="false">IFERROR(INDEX(종합!U$3:U$501,MATCH(ROW()-2,종합!$AE$3:$AE$501,0))&amp;"","")</f>
        <v/>
      </c>
      <c r="V263" s="21" t="str">
        <f aca="false">IFERROR(INDEX(종합!V$3:V$501,MATCH(ROW()-2,종합!$AE$3:$AE$501,0))&amp;"","")</f>
        <v/>
      </c>
      <c r="W263" s="21" t="str">
        <f aca="false">IFERROR(INDEX(종합!W$3:W$501,MATCH(ROW()-2,종합!$AE$3:$AE$501,0))&amp;"","")</f>
        <v/>
      </c>
      <c r="X263" s="21" t="str">
        <f aca="false">IFERROR(INDEX(종합!X$3:X$501,MATCH(ROW()-2,종합!$AE$3:$AE$501,0))&amp;"","")</f>
        <v/>
      </c>
      <c r="Y263" s="21" t="str">
        <f aca="false">IFERROR(INDEX(종합!Y$3:Y$501,MATCH(ROW()-2,종합!$AE$3:$AE$501,0))&amp;"","")</f>
        <v/>
      </c>
      <c r="Z263" s="21" t="str">
        <f aca="false">IFERROR(INDEX(종합!Z$3:Z$501,MATCH(ROW()-2,종합!$AE$3:$AE$501,0))&amp;"","")</f>
        <v/>
      </c>
    </row>
    <row r="264" customFormat="false" ht="16.5" hidden="false" customHeight="true" outlineLevel="0" collapsed="false">
      <c r="A264" s="18" t="str">
        <f aca="false">IF(B264="","",ROW()-2)</f>
        <v/>
      </c>
      <c r="B264" s="18" t="str">
        <f aca="false">IFERROR(INDEX(종합!B$3:B$501,MATCH(ROW()-2,종합!$AE$3:$AE$501,0))&amp;"","")</f>
        <v/>
      </c>
      <c r="C264" s="18" t="str">
        <f aca="false">IFERROR(INDEX(종합!C$3:C$501,MATCH(ROW()-2,종합!$AE$3:$AE$501,0))&amp;"","")</f>
        <v/>
      </c>
      <c r="D264" s="18" t="str">
        <f aca="false">IFERROR(INDEX(종합!D$3:D$501,MATCH(ROW()-2,종합!$AE$3:$AE$501,0))&amp;"","")</f>
        <v/>
      </c>
      <c r="E264" s="18" t="str">
        <f aca="false">IFERROR(INDEX(종합!E$3:E$501,MATCH(ROW()-2,종합!$AE$3:$AE$501,0))&amp;"","")</f>
        <v/>
      </c>
      <c r="F264" s="18" t="str">
        <f aca="false">IFERROR(INDEX(종합!F$3:F$501,MATCH(ROW()-2,종합!$AE$3:$AE$501,0))&amp;"","")</f>
        <v/>
      </c>
      <c r="G264" s="18" t="str">
        <f aca="false">IFERROR(INDEX(종합!G$3:G$501,MATCH(ROW()-2,종합!$AE$3:$AE$501,0))&amp;"","")</f>
        <v/>
      </c>
      <c r="H264" s="21" t="str">
        <f aca="false">IFERROR(INDEX(종합!H$3:H$501,MATCH(ROW()-2,종합!$AE$3:$AE$501,0))&amp;"","")</f>
        <v/>
      </c>
      <c r="I264" s="21" t="str">
        <f aca="false">IFERROR(INDEX(종합!I$3:I$501,MATCH(ROW()-2,종합!$AE$3:$AE$501,0))&amp;"","")</f>
        <v/>
      </c>
      <c r="J264" s="21" t="str">
        <f aca="false">IFERROR(INDEX(종합!J$3:J$501,MATCH(ROW()-2,종합!$AE$3:$AE$501,0))&amp;"","")</f>
        <v/>
      </c>
      <c r="K264" s="21" t="str">
        <f aca="false">IFERROR(INDEX(종합!K$3:K$501,MATCH(ROW()-2,종합!$AE$3:$AE$501,0))&amp;"","")</f>
        <v/>
      </c>
      <c r="L264" s="21" t="str">
        <f aca="false">IFERROR(INDEX(종합!L$3:L$501,MATCH(ROW()-2,종합!$AE$3:$AE$501,0))&amp;"","")</f>
        <v/>
      </c>
      <c r="M264" s="21" t="str">
        <f aca="false">IFERROR(INDEX(종합!M$3:M$501,MATCH(ROW()-2,종합!$AE$3:$AE$501,0))&amp;"","")</f>
        <v/>
      </c>
      <c r="N264" s="25" t="str">
        <f aca="false">IFERROR(INDEX(종합!N$3:N$501,MATCH(ROW()-2,종합!$AE$3:$AE$501,0))&amp;"","")</f>
        <v/>
      </c>
      <c r="O264" s="21" t="str">
        <f aca="false">IFERROR(INDEX(종합!O$3:O$501,MATCH(ROW()-2,종합!$AE$3:$AE$501,0))&amp;"","")</f>
        <v/>
      </c>
      <c r="P264" s="21" t="str">
        <f aca="false">IFERROR(INDEX(종합!P$3:P$501,MATCH(ROW()-2,종합!$AE$3:$AE$501,0))&amp;"","")</f>
        <v/>
      </c>
      <c r="Q264" s="21" t="str">
        <f aca="false">IFERROR(INDEX(종합!Q$3:Q$501,MATCH(ROW()-2,종합!$AE$3:$AE$501,0))&amp;"","")</f>
        <v/>
      </c>
      <c r="R264" s="21" t="str">
        <f aca="false">IFERROR(INDEX(종합!R$3:R$501,MATCH(ROW()-2,종합!$AE$3:$AE$501,0))&amp;"","")</f>
        <v/>
      </c>
      <c r="S264" s="21" t="str">
        <f aca="false">IFERROR(INDEX(종합!S$3:S$501,MATCH(ROW()-2,종합!$AE$3:$AE$501,0))&amp;"","")</f>
        <v/>
      </c>
      <c r="T264" s="21" t="str">
        <f aca="false">IFERROR(INDEX(종합!T$3:T$501,MATCH(ROW()-2,종합!$AE$3:$AE$501,0))&amp;"","")</f>
        <v/>
      </c>
      <c r="U264" s="21" t="str">
        <f aca="false">IFERROR(INDEX(종합!U$3:U$501,MATCH(ROW()-2,종합!$AE$3:$AE$501,0))&amp;"","")</f>
        <v/>
      </c>
      <c r="V264" s="21" t="str">
        <f aca="false">IFERROR(INDEX(종합!V$3:V$501,MATCH(ROW()-2,종합!$AE$3:$AE$501,0))&amp;"","")</f>
        <v/>
      </c>
      <c r="W264" s="21" t="str">
        <f aca="false">IFERROR(INDEX(종합!W$3:W$501,MATCH(ROW()-2,종합!$AE$3:$AE$501,0))&amp;"","")</f>
        <v/>
      </c>
      <c r="X264" s="21" t="str">
        <f aca="false">IFERROR(INDEX(종합!X$3:X$501,MATCH(ROW()-2,종합!$AE$3:$AE$501,0))&amp;"","")</f>
        <v/>
      </c>
      <c r="Y264" s="21" t="str">
        <f aca="false">IFERROR(INDEX(종합!Y$3:Y$501,MATCH(ROW()-2,종합!$AE$3:$AE$501,0))&amp;"","")</f>
        <v/>
      </c>
      <c r="Z264" s="21" t="str">
        <f aca="false">IFERROR(INDEX(종합!Z$3:Z$501,MATCH(ROW()-2,종합!$AE$3:$AE$501,0))&amp;"","")</f>
        <v/>
      </c>
    </row>
    <row r="265" customFormat="false" ht="16.5" hidden="false" customHeight="true" outlineLevel="0" collapsed="false">
      <c r="A265" s="18" t="str">
        <f aca="false">IF(B265="","",ROW()-2)</f>
        <v/>
      </c>
      <c r="B265" s="18" t="str">
        <f aca="false">IFERROR(INDEX(종합!B$3:B$501,MATCH(ROW()-2,종합!$AE$3:$AE$501,0))&amp;"","")</f>
        <v/>
      </c>
      <c r="C265" s="18" t="str">
        <f aca="false">IFERROR(INDEX(종합!C$3:C$501,MATCH(ROW()-2,종합!$AE$3:$AE$501,0))&amp;"","")</f>
        <v/>
      </c>
      <c r="D265" s="18" t="str">
        <f aca="false">IFERROR(INDEX(종합!D$3:D$501,MATCH(ROW()-2,종합!$AE$3:$AE$501,0))&amp;"","")</f>
        <v/>
      </c>
      <c r="E265" s="18" t="str">
        <f aca="false">IFERROR(INDEX(종합!E$3:E$501,MATCH(ROW()-2,종합!$AE$3:$AE$501,0))&amp;"","")</f>
        <v/>
      </c>
      <c r="F265" s="18" t="str">
        <f aca="false">IFERROR(INDEX(종합!F$3:F$501,MATCH(ROW()-2,종합!$AE$3:$AE$501,0))&amp;"","")</f>
        <v/>
      </c>
      <c r="G265" s="18" t="str">
        <f aca="false">IFERROR(INDEX(종합!G$3:G$501,MATCH(ROW()-2,종합!$AE$3:$AE$501,0))&amp;"","")</f>
        <v/>
      </c>
      <c r="H265" s="21" t="str">
        <f aca="false">IFERROR(INDEX(종합!H$3:H$501,MATCH(ROW()-2,종합!$AE$3:$AE$501,0))&amp;"","")</f>
        <v/>
      </c>
      <c r="I265" s="21" t="str">
        <f aca="false">IFERROR(INDEX(종합!I$3:I$501,MATCH(ROW()-2,종합!$AE$3:$AE$501,0))&amp;"","")</f>
        <v/>
      </c>
      <c r="J265" s="21" t="str">
        <f aca="false">IFERROR(INDEX(종합!J$3:J$501,MATCH(ROW()-2,종합!$AE$3:$AE$501,0))&amp;"","")</f>
        <v/>
      </c>
      <c r="K265" s="21" t="str">
        <f aca="false">IFERROR(INDEX(종합!K$3:K$501,MATCH(ROW()-2,종합!$AE$3:$AE$501,0))&amp;"","")</f>
        <v/>
      </c>
      <c r="L265" s="21" t="str">
        <f aca="false">IFERROR(INDEX(종합!L$3:L$501,MATCH(ROW()-2,종합!$AE$3:$AE$501,0))&amp;"","")</f>
        <v/>
      </c>
      <c r="M265" s="21" t="str">
        <f aca="false">IFERROR(INDEX(종합!M$3:M$501,MATCH(ROW()-2,종합!$AE$3:$AE$501,0))&amp;"","")</f>
        <v/>
      </c>
      <c r="N265" s="25" t="str">
        <f aca="false">IFERROR(INDEX(종합!N$3:N$501,MATCH(ROW()-2,종합!$AE$3:$AE$501,0))&amp;"","")</f>
        <v/>
      </c>
      <c r="O265" s="21" t="str">
        <f aca="false">IFERROR(INDEX(종합!O$3:O$501,MATCH(ROW()-2,종합!$AE$3:$AE$501,0))&amp;"","")</f>
        <v/>
      </c>
      <c r="P265" s="21" t="str">
        <f aca="false">IFERROR(INDEX(종합!P$3:P$501,MATCH(ROW()-2,종합!$AE$3:$AE$501,0))&amp;"","")</f>
        <v/>
      </c>
      <c r="Q265" s="21" t="str">
        <f aca="false">IFERROR(INDEX(종합!Q$3:Q$501,MATCH(ROW()-2,종합!$AE$3:$AE$501,0))&amp;"","")</f>
        <v/>
      </c>
      <c r="R265" s="21" t="str">
        <f aca="false">IFERROR(INDEX(종합!R$3:R$501,MATCH(ROW()-2,종합!$AE$3:$AE$501,0))&amp;"","")</f>
        <v/>
      </c>
      <c r="S265" s="21" t="str">
        <f aca="false">IFERROR(INDEX(종합!S$3:S$501,MATCH(ROW()-2,종합!$AE$3:$AE$501,0))&amp;"","")</f>
        <v/>
      </c>
      <c r="T265" s="21" t="str">
        <f aca="false">IFERROR(INDEX(종합!T$3:T$501,MATCH(ROW()-2,종합!$AE$3:$AE$501,0))&amp;"","")</f>
        <v/>
      </c>
      <c r="U265" s="21" t="str">
        <f aca="false">IFERROR(INDEX(종합!U$3:U$501,MATCH(ROW()-2,종합!$AE$3:$AE$501,0))&amp;"","")</f>
        <v/>
      </c>
      <c r="V265" s="21" t="str">
        <f aca="false">IFERROR(INDEX(종합!V$3:V$501,MATCH(ROW()-2,종합!$AE$3:$AE$501,0))&amp;"","")</f>
        <v/>
      </c>
      <c r="W265" s="21" t="str">
        <f aca="false">IFERROR(INDEX(종합!W$3:W$501,MATCH(ROW()-2,종합!$AE$3:$AE$501,0))&amp;"","")</f>
        <v/>
      </c>
      <c r="X265" s="21" t="str">
        <f aca="false">IFERROR(INDEX(종합!X$3:X$501,MATCH(ROW()-2,종합!$AE$3:$AE$501,0))&amp;"","")</f>
        <v/>
      </c>
      <c r="Y265" s="21" t="str">
        <f aca="false">IFERROR(INDEX(종합!Y$3:Y$501,MATCH(ROW()-2,종합!$AE$3:$AE$501,0))&amp;"","")</f>
        <v/>
      </c>
      <c r="Z265" s="21" t="str">
        <f aca="false">IFERROR(INDEX(종합!Z$3:Z$501,MATCH(ROW()-2,종합!$AE$3:$AE$501,0))&amp;"","")</f>
        <v/>
      </c>
    </row>
    <row r="266" customFormat="false" ht="16.5" hidden="false" customHeight="true" outlineLevel="0" collapsed="false">
      <c r="A266" s="18" t="str">
        <f aca="false">IF(B266="","",ROW()-2)</f>
        <v/>
      </c>
      <c r="B266" s="18" t="str">
        <f aca="false">IFERROR(INDEX(종합!B$3:B$501,MATCH(ROW()-2,종합!$AE$3:$AE$501,0))&amp;"","")</f>
        <v/>
      </c>
      <c r="C266" s="18" t="str">
        <f aca="false">IFERROR(INDEX(종합!C$3:C$501,MATCH(ROW()-2,종합!$AE$3:$AE$501,0))&amp;"","")</f>
        <v/>
      </c>
      <c r="D266" s="18" t="str">
        <f aca="false">IFERROR(INDEX(종합!D$3:D$501,MATCH(ROW()-2,종합!$AE$3:$AE$501,0))&amp;"","")</f>
        <v/>
      </c>
      <c r="E266" s="18" t="str">
        <f aca="false">IFERROR(INDEX(종합!E$3:E$501,MATCH(ROW()-2,종합!$AE$3:$AE$501,0))&amp;"","")</f>
        <v/>
      </c>
      <c r="F266" s="18" t="str">
        <f aca="false">IFERROR(INDEX(종합!F$3:F$501,MATCH(ROW()-2,종합!$AE$3:$AE$501,0))&amp;"","")</f>
        <v/>
      </c>
      <c r="G266" s="18" t="str">
        <f aca="false">IFERROR(INDEX(종합!G$3:G$501,MATCH(ROW()-2,종합!$AE$3:$AE$501,0))&amp;"","")</f>
        <v/>
      </c>
      <c r="H266" s="21" t="str">
        <f aca="false">IFERROR(INDEX(종합!H$3:H$501,MATCH(ROW()-2,종합!$AE$3:$AE$501,0))&amp;"","")</f>
        <v/>
      </c>
      <c r="I266" s="21" t="str">
        <f aca="false">IFERROR(INDEX(종합!I$3:I$501,MATCH(ROW()-2,종합!$AE$3:$AE$501,0))&amp;"","")</f>
        <v/>
      </c>
      <c r="J266" s="21" t="str">
        <f aca="false">IFERROR(INDEX(종합!J$3:J$501,MATCH(ROW()-2,종합!$AE$3:$AE$501,0))&amp;"","")</f>
        <v/>
      </c>
      <c r="K266" s="21" t="str">
        <f aca="false">IFERROR(INDEX(종합!K$3:K$501,MATCH(ROW()-2,종합!$AE$3:$AE$501,0))&amp;"","")</f>
        <v/>
      </c>
      <c r="L266" s="21" t="str">
        <f aca="false">IFERROR(INDEX(종합!L$3:L$501,MATCH(ROW()-2,종합!$AE$3:$AE$501,0))&amp;"","")</f>
        <v/>
      </c>
      <c r="M266" s="21" t="str">
        <f aca="false">IFERROR(INDEX(종합!M$3:M$501,MATCH(ROW()-2,종합!$AE$3:$AE$501,0))&amp;"","")</f>
        <v/>
      </c>
      <c r="N266" s="25" t="str">
        <f aca="false">IFERROR(INDEX(종합!N$3:N$501,MATCH(ROW()-2,종합!$AE$3:$AE$501,0))&amp;"","")</f>
        <v/>
      </c>
      <c r="O266" s="21" t="str">
        <f aca="false">IFERROR(INDEX(종합!O$3:O$501,MATCH(ROW()-2,종합!$AE$3:$AE$501,0))&amp;"","")</f>
        <v/>
      </c>
      <c r="P266" s="21" t="str">
        <f aca="false">IFERROR(INDEX(종합!P$3:P$501,MATCH(ROW()-2,종합!$AE$3:$AE$501,0))&amp;"","")</f>
        <v/>
      </c>
      <c r="Q266" s="21" t="str">
        <f aca="false">IFERROR(INDEX(종합!Q$3:Q$501,MATCH(ROW()-2,종합!$AE$3:$AE$501,0))&amp;"","")</f>
        <v/>
      </c>
      <c r="R266" s="21" t="str">
        <f aca="false">IFERROR(INDEX(종합!R$3:R$501,MATCH(ROW()-2,종합!$AE$3:$AE$501,0))&amp;"","")</f>
        <v/>
      </c>
      <c r="S266" s="21" t="str">
        <f aca="false">IFERROR(INDEX(종합!S$3:S$501,MATCH(ROW()-2,종합!$AE$3:$AE$501,0))&amp;"","")</f>
        <v/>
      </c>
      <c r="T266" s="21" t="str">
        <f aca="false">IFERROR(INDEX(종합!T$3:T$501,MATCH(ROW()-2,종합!$AE$3:$AE$501,0))&amp;"","")</f>
        <v/>
      </c>
      <c r="U266" s="21" t="str">
        <f aca="false">IFERROR(INDEX(종합!U$3:U$501,MATCH(ROW()-2,종합!$AE$3:$AE$501,0))&amp;"","")</f>
        <v/>
      </c>
      <c r="V266" s="21" t="str">
        <f aca="false">IFERROR(INDEX(종합!V$3:V$501,MATCH(ROW()-2,종합!$AE$3:$AE$501,0))&amp;"","")</f>
        <v/>
      </c>
      <c r="W266" s="21" t="str">
        <f aca="false">IFERROR(INDEX(종합!W$3:W$501,MATCH(ROW()-2,종합!$AE$3:$AE$501,0))&amp;"","")</f>
        <v/>
      </c>
      <c r="X266" s="21" t="str">
        <f aca="false">IFERROR(INDEX(종합!X$3:X$501,MATCH(ROW()-2,종합!$AE$3:$AE$501,0))&amp;"","")</f>
        <v/>
      </c>
      <c r="Y266" s="21" t="str">
        <f aca="false">IFERROR(INDEX(종합!Y$3:Y$501,MATCH(ROW()-2,종합!$AE$3:$AE$501,0))&amp;"","")</f>
        <v/>
      </c>
      <c r="Z266" s="21" t="str">
        <f aca="false">IFERROR(INDEX(종합!Z$3:Z$501,MATCH(ROW()-2,종합!$AE$3:$AE$501,0))&amp;"","")</f>
        <v/>
      </c>
    </row>
    <row r="267" customFormat="false" ht="16.5" hidden="false" customHeight="true" outlineLevel="0" collapsed="false">
      <c r="A267" s="18" t="str">
        <f aca="false">IF(B267="","",ROW()-2)</f>
        <v/>
      </c>
      <c r="B267" s="18" t="str">
        <f aca="false">IFERROR(INDEX(종합!B$3:B$501,MATCH(ROW()-2,종합!$AE$3:$AE$501,0))&amp;"","")</f>
        <v/>
      </c>
      <c r="C267" s="18" t="str">
        <f aca="false">IFERROR(INDEX(종합!C$3:C$501,MATCH(ROW()-2,종합!$AE$3:$AE$501,0))&amp;"","")</f>
        <v/>
      </c>
      <c r="D267" s="18" t="str">
        <f aca="false">IFERROR(INDEX(종합!D$3:D$501,MATCH(ROW()-2,종합!$AE$3:$AE$501,0))&amp;"","")</f>
        <v/>
      </c>
      <c r="E267" s="18" t="str">
        <f aca="false">IFERROR(INDEX(종합!E$3:E$501,MATCH(ROW()-2,종합!$AE$3:$AE$501,0))&amp;"","")</f>
        <v/>
      </c>
      <c r="F267" s="18" t="str">
        <f aca="false">IFERROR(INDEX(종합!F$3:F$501,MATCH(ROW()-2,종합!$AE$3:$AE$501,0))&amp;"","")</f>
        <v/>
      </c>
      <c r="G267" s="18" t="str">
        <f aca="false">IFERROR(INDEX(종합!G$3:G$501,MATCH(ROW()-2,종합!$AE$3:$AE$501,0))&amp;"","")</f>
        <v/>
      </c>
      <c r="H267" s="21" t="str">
        <f aca="false">IFERROR(INDEX(종합!H$3:H$501,MATCH(ROW()-2,종합!$AE$3:$AE$501,0))&amp;"","")</f>
        <v/>
      </c>
      <c r="I267" s="21" t="str">
        <f aca="false">IFERROR(INDEX(종합!I$3:I$501,MATCH(ROW()-2,종합!$AE$3:$AE$501,0))&amp;"","")</f>
        <v/>
      </c>
      <c r="J267" s="21" t="str">
        <f aca="false">IFERROR(INDEX(종합!J$3:J$501,MATCH(ROW()-2,종합!$AE$3:$AE$501,0))&amp;"","")</f>
        <v/>
      </c>
      <c r="K267" s="21" t="str">
        <f aca="false">IFERROR(INDEX(종합!K$3:K$501,MATCH(ROW()-2,종합!$AE$3:$AE$501,0))&amp;"","")</f>
        <v/>
      </c>
      <c r="L267" s="21" t="str">
        <f aca="false">IFERROR(INDEX(종합!L$3:L$501,MATCH(ROW()-2,종합!$AE$3:$AE$501,0))&amp;"","")</f>
        <v/>
      </c>
      <c r="M267" s="21" t="str">
        <f aca="false">IFERROR(INDEX(종합!M$3:M$501,MATCH(ROW()-2,종합!$AE$3:$AE$501,0))&amp;"","")</f>
        <v/>
      </c>
      <c r="N267" s="25" t="str">
        <f aca="false">IFERROR(INDEX(종합!N$3:N$501,MATCH(ROW()-2,종합!$AE$3:$AE$501,0))&amp;"","")</f>
        <v/>
      </c>
      <c r="O267" s="21" t="str">
        <f aca="false">IFERROR(INDEX(종합!O$3:O$501,MATCH(ROW()-2,종합!$AE$3:$AE$501,0))&amp;"","")</f>
        <v/>
      </c>
      <c r="P267" s="21" t="str">
        <f aca="false">IFERROR(INDEX(종합!P$3:P$501,MATCH(ROW()-2,종합!$AE$3:$AE$501,0))&amp;"","")</f>
        <v/>
      </c>
      <c r="Q267" s="21" t="str">
        <f aca="false">IFERROR(INDEX(종합!Q$3:Q$501,MATCH(ROW()-2,종합!$AE$3:$AE$501,0))&amp;"","")</f>
        <v/>
      </c>
      <c r="R267" s="21" t="str">
        <f aca="false">IFERROR(INDEX(종합!R$3:R$501,MATCH(ROW()-2,종합!$AE$3:$AE$501,0))&amp;"","")</f>
        <v/>
      </c>
      <c r="S267" s="21" t="str">
        <f aca="false">IFERROR(INDEX(종합!S$3:S$501,MATCH(ROW()-2,종합!$AE$3:$AE$501,0))&amp;"","")</f>
        <v/>
      </c>
      <c r="T267" s="21" t="str">
        <f aca="false">IFERROR(INDEX(종합!T$3:T$501,MATCH(ROW()-2,종합!$AE$3:$AE$501,0))&amp;"","")</f>
        <v/>
      </c>
      <c r="U267" s="21" t="str">
        <f aca="false">IFERROR(INDEX(종합!U$3:U$501,MATCH(ROW()-2,종합!$AE$3:$AE$501,0))&amp;"","")</f>
        <v/>
      </c>
      <c r="V267" s="21" t="str">
        <f aca="false">IFERROR(INDEX(종합!V$3:V$501,MATCH(ROW()-2,종합!$AE$3:$AE$501,0))&amp;"","")</f>
        <v/>
      </c>
      <c r="W267" s="21" t="str">
        <f aca="false">IFERROR(INDEX(종합!W$3:W$501,MATCH(ROW()-2,종합!$AE$3:$AE$501,0))&amp;"","")</f>
        <v/>
      </c>
      <c r="X267" s="21" t="str">
        <f aca="false">IFERROR(INDEX(종합!X$3:X$501,MATCH(ROW()-2,종합!$AE$3:$AE$501,0))&amp;"","")</f>
        <v/>
      </c>
      <c r="Y267" s="21" t="str">
        <f aca="false">IFERROR(INDEX(종합!Y$3:Y$501,MATCH(ROW()-2,종합!$AE$3:$AE$501,0))&amp;"","")</f>
        <v/>
      </c>
      <c r="Z267" s="21" t="str">
        <f aca="false">IFERROR(INDEX(종합!Z$3:Z$501,MATCH(ROW()-2,종합!$AE$3:$AE$501,0))&amp;"","")</f>
        <v/>
      </c>
    </row>
    <row r="268" customFormat="false" ht="16.5" hidden="false" customHeight="true" outlineLevel="0" collapsed="false">
      <c r="A268" s="18" t="str">
        <f aca="false">IF(B268="","",ROW()-2)</f>
        <v/>
      </c>
      <c r="B268" s="18" t="str">
        <f aca="false">IFERROR(INDEX(종합!B$3:B$501,MATCH(ROW()-2,종합!$AE$3:$AE$501,0))&amp;"","")</f>
        <v/>
      </c>
      <c r="C268" s="18" t="str">
        <f aca="false">IFERROR(INDEX(종합!C$3:C$501,MATCH(ROW()-2,종합!$AE$3:$AE$501,0))&amp;"","")</f>
        <v/>
      </c>
      <c r="D268" s="18" t="str">
        <f aca="false">IFERROR(INDEX(종합!D$3:D$501,MATCH(ROW()-2,종합!$AE$3:$AE$501,0))&amp;"","")</f>
        <v/>
      </c>
      <c r="E268" s="18" t="str">
        <f aca="false">IFERROR(INDEX(종합!E$3:E$501,MATCH(ROW()-2,종합!$AE$3:$AE$501,0))&amp;"","")</f>
        <v/>
      </c>
      <c r="F268" s="18" t="str">
        <f aca="false">IFERROR(INDEX(종합!F$3:F$501,MATCH(ROW()-2,종합!$AE$3:$AE$501,0))&amp;"","")</f>
        <v/>
      </c>
      <c r="G268" s="18" t="str">
        <f aca="false">IFERROR(INDEX(종합!G$3:G$501,MATCH(ROW()-2,종합!$AE$3:$AE$501,0))&amp;"","")</f>
        <v/>
      </c>
      <c r="H268" s="21" t="str">
        <f aca="false">IFERROR(INDEX(종합!H$3:H$501,MATCH(ROW()-2,종합!$AE$3:$AE$501,0))&amp;"","")</f>
        <v/>
      </c>
      <c r="I268" s="21" t="str">
        <f aca="false">IFERROR(INDEX(종합!I$3:I$501,MATCH(ROW()-2,종합!$AE$3:$AE$501,0))&amp;"","")</f>
        <v/>
      </c>
      <c r="J268" s="21" t="str">
        <f aca="false">IFERROR(INDEX(종합!J$3:J$501,MATCH(ROW()-2,종합!$AE$3:$AE$501,0))&amp;"","")</f>
        <v/>
      </c>
      <c r="K268" s="21" t="str">
        <f aca="false">IFERROR(INDEX(종합!K$3:K$501,MATCH(ROW()-2,종합!$AE$3:$AE$501,0))&amp;"","")</f>
        <v/>
      </c>
      <c r="L268" s="21" t="str">
        <f aca="false">IFERROR(INDEX(종합!L$3:L$501,MATCH(ROW()-2,종합!$AE$3:$AE$501,0))&amp;"","")</f>
        <v/>
      </c>
      <c r="M268" s="21" t="str">
        <f aca="false">IFERROR(INDEX(종합!M$3:M$501,MATCH(ROW()-2,종합!$AE$3:$AE$501,0))&amp;"","")</f>
        <v/>
      </c>
      <c r="N268" s="25" t="str">
        <f aca="false">IFERROR(INDEX(종합!N$3:N$501,MATCH(ROW()-2,종합!$AE$3:$AE$501,0))&amp;"","")</f>
        <v/>
      </c>
      <c r="O268" s="21" t="str">
        <f aca="false">IFERROR(INDEX(종합!O$3:O$501,MATCH(ROW()-2,종합!$AE$3:$AE$501,0))&amp;"","")</f>
        <v/>
      </c>
      <c r="P268" s="21" t="str">
        <f aca="false">IFERROR(INDEX(종합!P$3:P$501,MATCH(ROW()-2,종합!$AE$3:$AE$501,0))&amp;"","")</f>
        <v/>
      </c>
      <c r="Q268" s="21" t="str">
        <f aca="false">IFERROR(INDEX(종합!Q$3:Q$501,MATCH(ROW()-2,종합!$AE$3:$AE$501,0))&amp;"","")</f>
        <v/>
      </c>
      <c r="R268" s="21" t="str">
        <f aca="false">IFERROR(INDEX(종합!R$3:R$501,MATCH(ROW()-2,종합!$AE$3:$AE$501,0))&amp;"","")</f>
        <v/>
      </c>
      <c r="S268" s="21" t="str">
        <f aca="false">IFERROR(INDEX(종합!S$3:S$501,MATCH(ROW()-2,종합!$AE$3:$AE$501,0))&amp;"","")</f>
        <v/>
      </c>
      <c r="T268" s="21" t="str">
        <f aca="false">IFERROR(INDEX(종합!T$3:T$501,MATCH(ROW()-2,종합!$AE$3:$AE$501,0))&amp;"","")</f>
        <v/>
      </c>
      <c r="U268" s="21" t="str">
        <f aca="false">IFERROR(INDEX(종합!U$3:U$501,MATCH(ROW()-2,종합!$AE$3:$AE$501,0))&amp;"","")</f>
        <v/>
      </c>
      <c r="V268" s="21" t="str">
        <f aca="false">IFERROR(INDEX(종합!V$3:V$501,MATCH(ROW()-2,종합!$AE$3:$AE$501,0))&amp;"","")</f>
        <v/>
      </c>
      <c r="W268" s="21" t="str">
        <f aca="false">IFERROR(INDEX(종합!W$3:W$501,MATCH(ROW()-2,종합!$AE$3:$AE$501,0))&amp;"","")</f>
        <v/>
      </c>
      <c r="X268" s="21" t="str">
        <f aca="false">IFERROR(INDEX(종합!X$3:X$501,MATCH(ROW()-2,종합!$AE$3:$AE$501,0))&amp;"","")</f>
        <v/>
      </c>
      <c r="Y268" s="21" t="str">
        <f aca="false">IFERROR(INDEX(종합!Y$3:Y$501,MATCH(ROW()-2,종합!$AE$3:$AE$501,0))&amp;"","")</f>
        <v/>
      </c>
      <c r="Z268" s="21" t="str">
        <f aca="false">IFERROR(INDEX(종합!Z$3:Z$501,MATCH(ROW()-2,종합!$AE$3:$AE$501,0))&amp;"","")</f>
        <v/>
      </c>
    </row>
    <row r="269" customFormat="false" ht="16.5" hidden="false" customHeight="true" outlineLevel="0" collapsed="false">
      <c r="A269" s="18" t="str">
        <f aca="false">IF(B269="","",ROW()-2)</f>
        <v/>
      </c>
      <c r="B269" s="18" t="str">
        <f aca="false">IFERROR(INDEX(종합!B$3:B$501,MATCH(ROW()-2,종합!$AE$3:$AE$501,0))&amp;"","")</f>
        <v/>
      </c>
      <c r="C269" s="18" t="str">
        <f aca="false">IFERROR(INDEX(종합!C$3:C$501,MATCH(ROW()-2,종합!$AE$3:$AE$501,0))&amp;"","")</f>
        <v/>
      </c>
      <c r="D269" s="18" t="str">
        <f aca="false">IFERROR(INDEX(종합!D$3:D$501,MATCH(ROW()-2,종합!$AE$3:$AE$501,0))&amp;"","")</f>
        <v/>
      </c>
      <c r="E269" s="18" t="str">
        <f aca="false">IFERROR(INDEX(종합!E$3:E$501,MATCH(ROW()-2,종합!$AE$3:$AE$501,0))&amp;"","")</f>
        <v/>
      </c>
      <c r="F269" s="18" t="str">
        <f aca="false">IFERROR(INDEX(종합!F$3:F$501,MATCH(ROW()-2,종합!$AE$3:$AE$501,0))&amp;"","")</f>
        <v/>
      </c>
      <c r="G269" s="18" t="str">
        <f aca="false">IFERROR(INDEX(종합!G$3:G$501,MATCH(ROW()-2,종합!$AE$3:$AE$501,0))&amp;"","")</f>
        <v/>
      </c>
      <c r="H269" s="21" t="str">
        <f aca="false">IFERROR(INDEX(종합!H$3:H$501,MATCH(ROW()-2,종합!$AE$3:$AE$501,0))&amp;"","")</f>
        <v/>
      </c>
      <c r="I269" s="21" t="str">
        <f aca="false">IFERROR(INDEX(종합!I$3:I$501,MATCH(ROW()-2,종합!$AE$3:$AE$501,0))&amp;"","")</f>
        <v/>
      </c>
      <c r="J269" s="21" t="str">
        <f aca="false">IFERROR(INDEX(종합!J$3:J$501,MATCH(ROW()-2,종합!$AE$3:$AE$501,0))&amp;"","")</f>
        <v/>
      </c>
      <c r="K269" s="21" t="str">
        <f aca="false">IFERROR(INDEX(종합!K$3:K$501,MATCH(ROW()-2,종합!$AE$3:$AE$501,0))&amp;"","")</f>
        <v/>
      </c>
      <c r="L269" s="21" t="str">
        <f aca="false">IFERROR(INDEX(종합!L$3:L$501,MATCH(ROW()-2,종합!$AE$3:$AE$501,0))&amp;"","")</f>
        <v/>
      </c>
      <c r="M269" s="21" t="str">
        <f aca="false">IFERROR(INDEX(종합!M$3:M$501,MATCH(ROW()-2,종합!$AE$3:$AE$501,0))&amp;"","")</f>
        <v/>
      </c>
      <c r="N269" s="25" t="str">
        <f aca="false">IFERROR(INDEX(종합!N$3:N$501,MATCH(ROW()-2,종합!$AE$3:$AE$501,0))&amp;"","")</f>
        <v/>
      </c>
      <c r="O269" s="21" t="str">
        <f aca="false">IFERROR(INDEX(종합!O$3:O$501,MATCH(ROW()-2,종합!$AE$3:$AE$501,0))&amp;"","")</f>
        <v/>
      </c>
      <c r="P269" s="21" t="str">
        <f aca="false">IFERROR(INDEX(종합!P$3:P$501,MATCH(ROW()-2,종합!$AE$3:$AE$501,0))&amp;"","")</f>
        <v/>
      </c>
      <c r="Q269" s="21" t="str">
        <f aca="false">IFERROR(INDEX(종합!Q$3:Q$501,MATCH(ROW()-2,종합!$AE$3:$AE$501,0))&amp;"","")</f>
        <v/>
      </c>
      <c r="R269" s="21" t="str">
        <f aca="false">IFERROR(INDEX(종합!R$3:R$501,MATCH(ROW()-2,종합!$AE$3:$AE$501,0))&amp;"","")</f>
        <v/>
      </c>
      <c r="S269" s="21" t="str">
        <f aca="false">IFERROR(INDEX(종합!S$3:S$501,MATCH(ROW()-2,종합!$AE$3:$AE$501,0))&amp;"","")</f>
        <v/>
      </c>
      <c r="T269" s="21" t="str">
        <f aca="false">IFERROR(INDEX(종합!T$3:T$501,MATCH(ROW()-2,종합!$AE$3:$AE$501,0))&amp;"","")</f>
        <v/>
      </c>
      <c r="U269" s="21" t="str">
        <f aca="false">IFERROR(INDEX(종합!U$3:U$501,MATCH(ROW()-2,종합!$AE$3:$AE$501,0))&amp;"","")</f>
        <v/>
      </c>
      <c r="V269" s="21" t="str">
        <f aca="false">IFERROR(INDEX(종합!V$3:V$501,MATCH(ROW()-2,종합!$AE$3:$AE$501,0))&amp;"","")</f>
        <v/>
      </c>
      <c r="W269" s="21" t="str">
        <f aca="false">IFERROR(INDEX(종합!W$3:W$501,MATCH(ROW()-2,종합!$AE$3:$AE$501,0))&amp;"","")</f>
        <v/>
      </c>
      <c r="X269" s="21" t="str">
        <f aca="false">IFERROR(INDEX(종합!X$3:X$501,MATCH(ROW()-2,종합!$AE$3:$AE$501,0))&amp;"","")</f>
        <v/>
      </c>
      <c r="Y269" s="21" t="str">
        <f aca="false">IFERROR(INDEX(종합!Y$3:Y$501,MATCH(ROW()-2,종합!$AE$3:$AE$501,0))&amp;"","")</f>
        <v/>
      </c>
      <c r="Z269" s="21" t="str">
        <f aca="false">IFERROR(INDEX(종합!Z$3:Z$501,MATCH(ROW()-2,종합!$AE$3:$AE$501,0))&amp;"","")</f>
        <v/>
      </c>
    </row>
    <row r="270" customFormat="false" ht="16.5" hidden="false" customHeight="true" outlineLevel="0" collapsed="false">
      <c r="A270" s="18" t="str">
        <f aca="false">IF(B270="","",ROW()-2)</f>
        <v/>
      </c>
      <c r="B270" s="18" t="str">
        <f aca="false">IFERROR(INDEX(종합!B$3:B$501,MATCH(ROW()-2,종합!$AE$3:$AE$501,0))&amp;"","")</f>
        <v/>
      </c>
      <c r="C270" s="18" t="str">
        <f aca="false">IFERROR(INDEX(종합!C$3:C$501,MATCH(ROW()-2,종합!$AE$3:$AE$501,0))&amp;"","")</f>
        <v/>
      </c>
      <c r="D270" s="18" t="str">
        <f aca="false">IFERROR(INDEX(종합!D$3:D$501,MATCH(ROW()-2,종합!$AE$3:$AE$501,0))&amp;"","")</f>
        <v/>
      </c>
      <c r="E270" s="18" t="str">
        <f aca="false">IFERROR(INDEX(종합!E$3:E$501,MATCH(ROW()-2,종합!$AE$3:$AE$501,0))&amp;"","")</f>
        <v/>
      </c>
      <c r="F270" s="18" t="str">
        <f aca="false">IFERROR(INDEX(종합!F$3:F$501,MATCH(ROW()-2,종합!$AE$3:$AE$501,0))&amp;"","")</f>
        <v/>
      </c>
      <c r="G270" s="18" t="str">
        <f aca="false">IFERROR(INDEX(종합!G$3:G$501,MATCH(ROW()-2,종합!$AE$3:$AE$501,0))&amp;"","")</f>
        <v/>
      </c>
      <c r="H270" s="21" t="str">
        <f aca="false">IFERROR(INDEX(종합!H$3:H$501,MATCH(ROW()-2,종합!$AE$3:$AE$501,0))&amp;"","")</f>
        <v/>
      </c>
      <c r="I270" s="21" t="str">
        <f aca="false">IFERROR(INDEX(종합!I$3:I$501,MATCH(ROW()-2,종합!$AE$3:$AE$501,0))&amp;"","")</f>
        <v/>
      </c>
      <c r="J270" s="21" t="str">
        <f aca="false">IFERROR(INDEX(종합!J$3:J$501,MATCH(ROW()-2,종합!$AE$3:$AE$501,0))&amp;"","")</f>
        <v/>
      </c>
      <c r="K270" s="21" t="str">
        <f aca="false">IFERROR(INDEX(종합!K$3:K$501,MATCH(ROW()-2,종합!$AE$3:$AE$501,0))&amp;"","")</f>
        <v/>
      </c>
      <c r="L270" s="21" t="str">
        <f aca="false">IFERROR(INDEX(종합!L$3:L$501,MATCH(ROW()-2,종합!$AE$3:$AE$501,0))&amp;"","")</f>
        <v/>
      </c>
      <c r="M270" s="21" t="str">
        <f aca="false">IFERROR(INDEX(종합!M$3:M$501,MATCH(ROW()-2,종합!$AE$3:$AE$501,0))&amp;"","")</f>
        <v/>
      </c>
      <c r="N270" s="25" t="str">
        <f aca="false">IFERROR(INDEX(종합!N$3:N$501,MATCH(ROW()-2,종합!$AE$3:$AE$501,0))&amp;"","")</f>
        <v/>
      </c>
      <c r="O270" s="21" t="str">
        <f aca="false">IFERROR(INDEX(종합!O$3:O$501,MATCH(ROW()-2,종합!$AE$3:$AE$501,0))&amp;"","")</f>
        <v/>
      </c>
      <c r="P270" s="21" t="str">
        <f aca="false">IFERROR(INDEX(종합!P$3:P$501,MATCH(ROW()-2,종합!$AE$3:$AE$501,0))&amp;"","")</f>
        <v/>
      </c>
      <c r="Q270" s="21" t="str">
        <f aca="false">IFERROR(INDEX(종합!Q$3:Q$501,MATCH(ROW()-2,종합!$AE$3:$AE$501,0))&amp;"","")</f>
        <v/>
      </c>
      <c r="R270" s="21" t="str">
        <f aca="false">IFERROR(INDEX(종합!R$3:R$501,MATCH(ROW()-2,종합!$AE$3:$AE$501,0))&amp;"","")</f>
        <v/>
      </c>
      <c r="S270" s="21" t="str">
        <f aca="false">IFERROR(INDEX(종합!S$3:S$501,MATCH(ROW()-2,종합!$AE$3:$AE$501,0))&amp;"","")</f>
        <v/>
      </c>
      <c r="T270" s="21" t="str">
        <f aca="false">IFERROR(INDEX(종합!T$3:T$501,MATCH(ROW()-2,종합!$AE$3:$AE$501,0))&amp;"","")</f>
        <v/>
      </c>
      <c r="U270" s="21" t="str">
        <f aca="false">IFERROR(INDEX(종합!U$3:U$501,MATCH(ROW()-2,종합!$AE$3:$AE$501,0))&amp;"","")</f>
        <v/>
      </c>
      <c r="V270" s="21" t="str">
        <f aca="false">IFERROR(INDEX(종합!V$3:V$501,MATCH(ROW()-2,종합!$AE$3:$AE$501,0))&amp;"","")</f>
        <v/>
      </c>
      <c r="W270" s="21" t="str">
        <f aca="false">IFERROR(INDEX(종합!W$3:W$501,MATCH(ROW()-2,종합!$AE$3:$AE$501,0))&amp;"","")</f>
        <v/>
      </c>
      <c r="X270" s="21" t="str">
        <f aca="false">IFERROR(INDEX(종합!X$3:X$501,MATCH(ROW()-2,종합!$AE$3:$AE$501,0))&amp;"","")</f>
        <v/>
      </c>
      <c r="Y270" s="21" t="str">
        <f aca="false">IFERROR(INDEX(종합!Y$3:Y$501,MATCH(ROW()-2,종합!$AE$3:$AE$501,0))&amp;"","")</f>
        <v/>
      </c>
      <c r="Z270" s="21" t="str">
        <f aca="false">IFERROR(INDEX(종합!Z$3:Z$501,MATCH(ROW()-2,종합!$AE$3:$AE$501,0))&amp;"","")</f>
        <v/>
      </c>
    </row>
    <row r="271" customFormat="false" ht="16.5" hidden="false" customHeight="true" outlineLevel="0" collapsed="false">
      <c r="A271" s="18" t="str">
        <f aca="false">IF(B271="","",ROW()-2)</f>
        <v/>
      </c>
      <c r="B271" s="18" t="str">
        <f aca="false">IFERROR(INDEX(종합!B$3:B$501,MATCH(ROW()-2,종합!$AE$3:$AE$501,0))&amp;"","")</f>
        <v/>
      </c>
      <c r="C271" s="18" t="str">
        <f aca="false">IFERROR(INDEX(종합!C$3:C$501,MATCH(ROW()-2,종합!$AE$3:$AE$501,0))&amp;"","")</f>
        <v/>
      </c>
      <c r="D271" s="18" t="str">
        <f aca="false">IFERROR(INDEX(종합!D$3:D$501,MATCH(ROW()-2,종합!$AE$3:$AE$501,0))&amp;"","")</f>
        <v/>
      </c>
      <c r="E271" s="18" t="str">
        <f aca="false">IFERROR(INDEX(종합!E$3:E$501,MATCH(ROW()-2,종합!$AE$3:$AE$501,0))&amp;"","")</f>
        <v/>
      </c>
      <c r="F271" s="18" t="str">
        <f aca="false">IFERROR(INDEX(종합!F$3:F$501,MATCH(ROW()-2,종합!$AE$3:$AE$501,0))&amp;"","")</f>
        <v/>
      </c>
      <c r="G271" s="18" t="str">
        <f aca="false">IFERROR(INDEX(종합!G$3:G$501,MATCH(ROW()-2,종합!$AE$3:$AE$501,0))&amp;"","")</f>
        <v/>
      </c>
      <c r="H271" s="21" t="str">
        <f aca="false">IFERROR(INDEX(종합!H$3:H$501,MATCH(ROW()-2,종합!$AE$3:$AE$501,0))&amp;"","")</f>
        <v/>
      </c>
      <c r="I271" s="21" t="str">
        <f aca="false">IFERROR(INDEX(종합!I$3:I$501,MATCH(ROW()-2,종합!$AE$3:$AE$501,0))&amp;"","")</f>
        <v/>
      </c>
      <c r="J271" s="21" t="str">
        <f aca="false">IFERROR(INDEX(종합!J$3:J$501,MATCH(ROW()-2,종합!$AE$3:$AE$501,0))&amp;"","")</f>
        <v/>
      </c>
      <c r="K271" s="21" t="str">
        <f aca="false">IFERROR(INDEX(종합!K$3:K$501,MATCH(ROW()-2,종합!$AE$3:$AE$501,0))&amp;"","")</f>
        <v/>
      </c>
      <c r="L271" s="21" t="str">
        <f aca="false">IFERROR(INDEX(종합!L$3:L$501,MATCH(ROW()-2,종합!$AE$3:$AE$501,0))&amp;"","")</f>
        <v/>
      </c>
      <c r="M271" s="21" t="str">
        <f aca="false">IFERROR(INDEX(종합!M$3:M$501,MATCH(ROW()-2,종합!$AE$3:$AE$501,0))&amp;"","")</f>
        <v/>
      </c>
      <c r="N271" s="25" t="str">
        <f aca="false">IFERROR(INDEX(종합!N$3:N$501,MATCH(ROW()-2,종합!$AE$3:$AE$501,0))&amp;"","")</f>
        <v/>
      </c>
      <c r="O271" s="21" t="str">
        <f aca="false">IFERROR(INDEX(종합!O$3:O$501,MATCH(ROW()-2,종합!$AE$3:$AE$501,0))&amp;"","")</f>
        <v/>
      </c>
      <c r="P271" s="21" t="str">
        <f aca="false">IFERROR(INDEX(종합!P$3:P$501,MATCH(ROW()-2,종합!$AE$3:$AE$501,0))&amp;"","")</f>
        <v/>
      </c>
      <c r="Q271" s="21" t="str">
        <f aca="false">IFERROR(INDEX(종합!Q$3:Q$501,MATCH(ROW()-2,종합!$AE$3:$AE$501,0))&amp;"","")</f>
        <v/>
      </c>
      <c r="R271" s="21" t="str">
        <f aca="false">IFERROR(INDEX(종합!R$3:R$501,MATCH(ROW()-2,종합!$AE$3:$AE$501,0))&amp;"","")</f>
        <v/>
      </c>
      <c r="S271" s="21" t="str">
        <f aca="false">IFERROR(INDEX(종합!S$3:S$501,MATCH(ROW()-2,종합!$AE$3:$AE$501,0))&amp;"","")</f>
        <v/>
      </c>
      <c r="T271" s="21" t="str">
        <f aca="false">IFERROR(INDEX(종합!T$3:T$501,MATCH(ROW()-2,종합!$AE$3:$AE$501,0))&amp;"","")</f>
        <v/>
      </c>
      <c r="U271" s="21" t="str">
        <f aca="false">IFERROR(INDEX(종합!U$3:U$501,MATCH(ROW()-2,종합!$AE$3:$AE$501,0))&amp;"","")</f>
        <v/>
      </c>
      <c r="V271" s="21" t="str">
        <f aca="false">IFERROR(INDEX(종합!V$3:V$501,MATCH(ROW()-2,종합!$AE$3:$AE$501,0))&amp;"","")</f>
        <v/>
      </c>
      <c r="W271" s="21" t="str">
        <f aca="false">IFERROR(INDEX(종합!W$3:W$501,MATCH(ROW()-2,종합!$AE$3:$AE$501,0))&amp;"","")</f>
        <v/>
      </c>
      <c r="X271" s="21" t="str">
        <f aca="false">IFERROR(INDEX(종합!X$3:X$501,MATCH(ROW()-2,종합!$AE$3:$AE$501,0))&amp;"","")</f>
        <v/>
      </c>
      <c r="Y271" s="21" t="str">
        <f aca="false">IFERROR(INDEX(종합!Y$3:Y$501,MATCH(ROW()-2,종합!$AE$3:$AE$501,0))&amp;"","")</f>
        <v/>
      </c>
      <c r="Z271" s="21" t="str">
        <f aca="false">IFERROR(INDEX(종합!Z$3:Z$501,MATCH(ROW()-2,종합!$AE$3:$AE$501,0))&amp;"","")</f>
        <v/>
      </c>
    </row>
    <row r="272" customFormat="false" ht="16.5" hidden="false" customHeight="true" outlineLevel="0" collapsed="false">
      <c r="A272" s="18" t="str">
        <f aca="false">IF(B272="","",ROW()-2)</f>
        <v/>
      </c>
      <c r="B272" s="18" t="str">
        <f aca="false">IFERROR(INDEX(종합!B$3:B$501,MATCH(ROW()-2,종합!$AE$3:$AE$501,0))&amp;"","")</f>
        <v/>
      </c>
      <c r="C272" s="18" t="str">
        <f aca="false">IFERROR(INDEX(종합!C$3:C$501,MATCH(ROW()-2,종합!$AE$3:$AE$501,0))&amp;"","")</f>
        <v/>
      </c>
      <c r="D272" s="18" t="str">
        <f aca="false">IFERROR(INDEX(종합!D$3:D$501,MATCH(ROW()-2,종합!$AE$3:$AE$501,0))&amp;"","")</f>
        <v/>
      </c>
      <c r="E272" s="18" t="str">
        <f aca="false">IFERROR(INDEX(종합!E$3:E$501,MATCH(ROW()-2,종합!$AE$3:$AE$501,0))&amp;"","")</f>
        <v/>
      </c>
      <c r="F272" s="18" t="str">
        <f aca="false">IFERROR(INDEX(종합!F$3:F$501,MATCH(ROW()-2,종합!$AE$3:$AE$501,0))&amp;"","")</f>
        <v/>
      </c>
      <c r="G272" s="18" t="str">
        <f aca="false">IFERROR(INDEX(종합!G$3:G$501,MATCH(ROW()-2,종합!$AE$3:$AE$501,0))&amp;"","")</f>
        <v/>
      </c>
      <c r="H272" s="21" t="str">
        <f aca="false">IFERROR(INDEX(종합!H$3:H$501,MATCH(ROW()-2,종합!$AE$3:$AE$501,0))&amp;"","")</f>
        <v/>
      </c>
      <c r="I272" s="21" t="str">
        <f aca="false">IFERROR(INDEX(종합!I$3:I$501,MATCH(ROW()-2,종합!$AE$3:$AE$501,0))&amp;"","")</f>
        <v/>
      </c>
      <c r="J272" s="21" t="str">
        <f aca="false">IFERROR(INDEX(종합!J$3:J$501,MATCH(ROW()-2,종합!$AE$3:$AE$501,0))&amp;"","")</f>
        <v/>
      </c>
      <c r="K272" s="21" t="str">
        <f aca="false">IFERROR(INDEX(종합!K$3:K$501,MATCH(ROW()-2,종합!$AE$3:$AE$501,0))&amp;"","")</f>
        <v/>
      </c>
      <c r="L272" s="21" t="str">
        <f aca="false">IFERROR(INDEX(종합!L$3:L$501,MATCH(ROW()-2,종합!$AE$3:$AE$501,0))&amp;"","")</f>
        <v/>
      </c>
      <c r="M272" s="21" t="str">
        <f aca="false">IFERROR(INDEX(종합!M$3:M$501,MATCH(ROW()-2,종합!$AE$3:$AE$501,0))&amp;"","")</f>
        <v/>
      </c>
      <c r="N272" s="25" t="str">
        <f aca="false">IFERROR(INDEX(종합!N$3:N$501,MATCH(ROW()-2,종합!$AE$3:$AE$501,0))&amp;"","")</f>
        <v/>
      </c>
      <c r="O272" s="21" t="str">
        <f aca="false">IFERROR(INDEX(종합!O$3:O$501,MATCH(ROW()-2,종합!$AE$3:$AE$501,0))&amp;"","")</f>
        <v/>
      </c>
      <c r="P272" s="21" t="str">
        <f aca="false">IFERROR(INDEX(종합!P$3:P$501,MATCH(ROW()-2,종합!$AE$3:$AE$501,0))&amp;"","")</f>
        <v/>
      </c>
      <c r="Q272" s="21" t="str">
        <f aca="false">IFERROR(INDEX(종합!Q$3:Q$501,MATCH(ROW()-2,종합!$AE$3:$AE$501,0))&amp;"","")</f>
        <v/>
      </c>
      <c r="R272" s="21" t="str">
        <f aca="false">IFERROR(INDEX(종합!R$3:R$501,MATCH(ROW()-2,종합!$AE$3:$AE$501,0))&amp;"","")</f>
        <v/>
      </c>
      <c r="S272" s="21" t="str">
        <f aca="false">IFERROR(INDEX(종합!S$3:S$501,MATCH(ROW()-2,종합!$AE$3:$AE$501,0))&amp;"","")</f>
        <v/>
      </c>
      <c r="T272" s="21" t="str">
        <f aca="false">IFERROR(INDEX(종합!T$3:T$501,MATCH(ROW()-2,종합!$AE$3:$AE$501,0))&amp;"","")</f>
        <v/>
      </c>
      <c r="U272" s="21" t="str">
        <f aca="false">IFERROR(INDEX(종합!U$3:U$501,MATCH(ROW()-2,종합!$AE$3:$AE$501,0))&amp;"","")</f>
        <v/>
      </c>
      <c r="V272" s="21" t="str">
        <f aca="false">IFERROR(INDEX(종합!V$3:V$501,MATCH(ROW()-2,종합!$AE$3:$AE$501,0))&amp;"","")</f>
        <v/>
      </c>
      <c r="W272" s="21" t="str">
        <f aca="false">IFERROR(INDEX(종합!W$3:W$501,MATCH(ROW()-2,종합!$AE$3:$AE$501,0))&amp;"","")</f>
        <v/>
      </c>
      <c r="X272" s="21" t="str">
        <f aca="false">IFERROR(INDEX(종합!X$3:X$501,MATCH(ROW()-2,종합!$AE$3:$AE$501,0))&amp;"","")</f>
        <v/>
      </c>
      <c r="Y272" s="21" t="str">
        <f aca="false">IFERROR(INDEX(종합!Y$3:Y$501,MATCH(ROW()-2,종합!$AE$3:$AE$501,0))&amp;"","")</f>
        <v/>
      </c>
      <c r="Z272" s="21" t="str">
        <f aca="false">IFERROR(INDEX(종합!Z$3:Z$501,MATCH(ROW()-2,종합!$AE$3:$AE$501,0))&amp;"","")</f>
        <v/>
      </c>
    </row>
    <row r="273" customFormat="false" ht="16.5" hidden="false" customHeight="true" outlineLevel="0" collapsed="false">
      <c r="A273" s="18" t="str">
        <f aca="false">IF(B273="","",ROW()-2)</f>
        <v/>
      </c>
      <c r="B273" s="18" t="str">
        <f aca="false">IFERROR(INDEX(종합!B$3:B$501,MATCH(ROW()-2,종합!$AE$3:$AE$501,0))&amp;"","")</f>
        <v/>
      </c>
      <c r="C273" s="18" t="str">
        <f aca="false">IFERROR(INDEX(종합!C$3:C$501,MATCH(ROW()-2,종합!$AE$3:$AE$501,0))&amp;"","")</f>
        <v/>
      </c>
      <c r="D273" s="18" t="str">
        <f aca="false">IFERROR(INDEX(종합!D$3:D$501,MATCH(ROW()-2,종합!$AE$3:$AE$501,0))&amp;"","")</f>
        <v/>
      </c>
      <c r="E273" s="18" t="str">
        <f aca="false">IFERROR(INDEX(종합!E$3:E$501,MATCH(ROW()-2,종합!$AE$3:$AE$501,0))&amp;"","")</f>
        <v/>
      </c>
      <c r="F273" s="18" t="str">
        <f aca="false">IFERROR(INDEX(종합!F$3:F$501,MATCH(ROW()-2,종합!$AE$3:$AE$501,0))&amp;"","")</f>
        <v/>
      </c>
      <c r="G273" s="18" t="str">
        <f aca="false">IFERROR(INDEX(종합!G$3:G$501,MATCH(ROW()-2,종합!$AE$3:$AE$501,0))&amp;"","")</f>
        <v/>
      </c>
      <c r="H273" s="21" t="str">
        <f aca="false">IFERROR(INDEX(종합!H$3:H$501,MATCH(ROW()-2,종합!$AE$3:$AE$501,0))&amp;"","")</f>
        <v/>
      </c>
      <c r="I273" s="21" t="str">
        <f aca="false">IFERROR(INDEX(종합!I$3:I$501,MATCH(ROW()-2,종합!$AE$3:$AE$501,0))&amp;"","")</f>
        <v/>
      </c>
      <c r="J273" s="21" t="str">
        <f aca="false">IFERROR(INDEX(종합!J$3:J$501,MATCH(ROW()-2,종합!$AE$3:$AE$501,0))&amp;"","")</f>
        <v/>
      </c>
      <c r="K273" s="21" t="str">
        <f aca="false">IFERROR(INDEX(종합!K$3:K$501,MATCH(ROW()-2,종합!$AE$3:$AE$501,0))&amp;"","")</f>
        <v/>
      </c>
      <c r="L273" s="21" t="str">
        <f aca="false">IFERROR(INDEX(종합!L$3:L$501,MATCH(ROW()-2,종합!$AE$3:$AE$501,0))&amp;"","")</f>
        <v/>
      </c>
      <c r="M273" s="21" t="str">
        <f aca="false">IFERROR(INDEX(종합!M$3:M$501,MATCH(ROW()-2,종합!$AE$3:$AE$501,0))&amp;"","")</f>
        <v/>
      </c>
      <c r="N273" s="25" t="str">
        <f aca="false">IFERROR(INDEX(종합!N$3:N$501,MATCH(ROW()-2,종합!$AE$3:$AE$501,0))&amp;"","")</f>
        <v/>
      </c>
      <c r="O273" s="21" t="str">
        <f aca="false">IFERROR(INDEX(종합!O$3:O$501,MATCH(ROW()-2,종합!$AE$3:$AE$501,0))&amp;"","")</f>
        <v/>
      </c>
      <c r="P273" s="21" t="str">
        <f aca="false">IFERROR(INDEX(종합!P$3:P$501,MATCH(ROW()-2,종합!$AE$3:$AE$501,0))&amp;"","")</f>
        <v/>
      </c>
      <c r="Q273" s="21" t="str">
        <f aca="false">IFERROR(INDEX(종합!Q$3:Q$501,MATCH(ROW()-2,종합!$AE$3:$AE$501,0))&amp;"","")</f>
        <v/>
      </c>
      <c r="R273" s="21" t="str">
        <f aca="false">IFERROR(INDEX(종합!R$3:R$501,MATCH(ROW()-2,종합!$AE$3:$AE$501,0))&amp;"","")</f>
        <v/>
      </c>
      <c r="S273" s="21" t="str">
        <f aca="false">IFERROR(INDEX(종합!S$3:S$501,MATCH(ROW()-2,종합!$AE$3:$AE$501,0))&amp;"","")</f>
        <v/>
      </c>
      <c r="T273" s="21" t="str">
        <f aca="false">IFERROR(INDEX(종합!T$3:T$501,MATCH(ROW()-2,종합!$AE$3:$AE$501,0))&amp;"","")</f>
        <v/>
      </c>
      <c r="U273" s="21" t="str">
        <f aca="false">IFERROR(INDEX(종합!U$3:U$501,MATCH(ROW()-2,종합!$AE$3:$AE$501,0))&amp;"","")</f>
        <v/>
      </c>
      <c r="V273" s="21" t="str">
        <f aca="false">IFERROR(INDEX(종합!V$3:V$501,MATCH(ROW()-2,종합!$AE$3:$AE$501,0))&amp;"","")</f>
        <v/>
      </c>
      <c r="W273" s="21" t="str">
        <f aca="false">IFERROR(INDEX(종합!W$3:W$501,MATCH(ROW()-2,종합!$AE$3:$AE$501,0))&amp;"","")</f>
        <v/>
      </c>
      <c r="X273" s="21" t="str">
        <f aca="false">IFERROR(INDEX(종합!X$3:X$501,MATCH(ROW()-2,종합!$AE$3:$AE$501,0))&amp;"","")</f>
        <v/>
      </c>
      <c r="Y273" s="21" t="str">
        <f aca="false">IFERROR(INDEX(종합!Y$3:Y$501,MATCH(ROW()-2,종합!$AE$3:$AE$501,0))&amp;"","")</f>
        <v/>
      </c>
      <c r="Z273" s="21" t="str">
        <f aca="false">IFERROR(INDEX(종합!Z$3:Z$501,MATCH(ROW()-2,종합!$AE$3:$AE$501,0))&amp;"","")</f>
        <v/>
      </c>
    </row>
    <row r="274" customFormat="false" ht="16.5" hidden="false" customHeight="true" outlineLevel="0" collapsed="false">
      <c r="A274" s="18" t="str">
        <f aca="false">IF(B274="","",ROW()-2)</f>
        <v/>
      </c>
      <c r="B274" s="18" t="str">
        <f aca="false">IFERROR(INDEX(종합!B$3:B$501,MATCH(ROW()-2,종합!$AE$3:$AE$501,0))&amp;"","")</f>
        <v/>
      </c>
      <c r="C274" s="18" t="str">
        <f aca="false">IFERROR(INDEX(종합!C$3:C$501,MATCH(ROW()-2,종합!$AE$3:$AE$501,0))&amp;"","")</f>
        <v/>
      </c>
      <c r="D274" s="18" t="str">
        <f aca="false">IFERROR(INDEX(종합!D$3:D$501,MATCH(ROW()-2,종합!$AE$3:$AE$501,0))&amp;"","")</f>
        <v/>
      </c>
      <c r="E274" s="18" t="str">
        <f aca="false">IFERROR(INDEX(종합!E$3:E$501,MATCH(ROW()-2,종합!$AE$3:$AE$501,0))&amp;"","")</f>
        <v/>
      </c>
      <c r="F274" s="18" t="str">
        <f aca="false">IFERROR(INDEX(종합!F$3:F$501,MATCH(ROW()-2,종합!$AE$3:$AE$501,0))&amp;"","")</f>
        <v/>
      </c>
      <c r="G274" s="18" t="str">
        <f aca="false">IFERROR(INDEX(종합!G$3:G$501,MATCH(ROW()-2,종합!$AE$3:$AE$501,0))&amp;"","")</f>
        <v/>
      </c>
      <c r="H274" s="21" t="str">
        <f aca="false">IFERROR(INDEX(종합!H$3:H$501,MATCH(ROW()-2,종합!$AE$3:$AE$501,0))&amp;"","")</f>
        <v/>
      </c>
      <c r="I274" s="21" t="str">
        <f aca="false">IFERROR(INDEX(종합!I$3:I$501,MATCH(ROW()-2,종합!$AE$3:$AE$501,0))&amp;"","")</f>
        <v/>
      </c>
      <c r="J274" s="21" t="str">
        <f aca="false">IFERROR(INDEX(종합!J$3:J$501,MATCH(ROW()-2,종합!$AE$3:$AE$501,0))&amp;"","")</f>
        <v/>
      </c>
      <c r="K274" s="21" t="str">
        <f aca="false">IFERROR(INDEX(종합!K$3:K$501,MATCH(ROW()-2,종합!$AE$3:$AE$501,0))&amp;"","")</f>
        <v/>
      </c>
      <c r="L274" s="21" t="str">
        <f aca="false">IFERROR(INDEX(종합!L$3:L$501,MATCH(ROW()-2,종합!$AE$3:$AE$501,0))&amp;"","")</f>
        <v/>
      </c>
      <c r="M274" s="21" t="str">
        <f aca="false">IFERROR(INDEX(종합!M$3:M$501,MATCH(ROW()-2,종합!$AE$3:$AE$501,0))&amp;"","")</f>
        <v/>
      </c>
      <c r="N274" s="25" t="str">
        <f aca="false">IFERROR(INDEX(종합!N$3:N$501,MATCH(ROW()-2,종합!$AE$3:$AE$501,0))&amp;"","")</f>
        <v/>
      </c>
      <c r="O274" s="21" t="str">
        <f aca="false">IFERROR(INDEX(종합!O$3:O$501,MATCH(ROW()-2,종합!$AE$3:$AE$501,0))&amp;"","")</f>
        <v/>
      </c>
      <c r="P274" s="21" t="str">
        <f aca="false">IFERROR(INDEX(종합!P$3:P$501,MATCH(ROW()-2,종합!$AE$3:$AE$501,0))&amp;"","")</f>
        <v/>
      </c>
      <c r="Q274" s="21" t="str">
        <f aca="false">IFERROR(INDEX(종합!Q$3:Q$501,MATCH(ROW()-2,종합!$AE$3:$AE$501,0))&amp;"","")</f>
        <v/>
      </c>
      <c r="R274" s="21" t="str">
        <f aca="false">IFERROR(INDEX(종합!R$3:R$501,MATCH(ROW()-2,종합!$AE$3:$AE$501,0))&amp;"","")</f>
        <v/>
      </c>
      <c r="S274" s="21" t="str">
        <f aca="false">IFERROR(INDEX(종합!S$3:S$501,MATCH(ROW()-2,종합!$AE$3:$AE$501,0))&amp;"","")</f>
        <v/>
      </c>
      <c r="T274" s="21" t="str">
        <f aca="false">IFERROR(INDEX(종합!T$3:T$501,MATCH(ROW()-2,종합!$AE$3:$AE$501,0))&amp;"","")</f>
        <v/>
      </c>
      <c r="U274" s="21" t="str">
        <f aca="false">IFERROR(INDEX(종합!U$3:U$501,MATCH(ROW()-2,종합!$AE$3:$AE$501,0))&amp;"","")</f>
        <v/>
      </c>
      <c r="V274" s="21" t="str">
        <f aca="false">IFERROR(INDEX(종합!V$3:V$501,MATCH(ROW()-2,종합!$AE$3:$AE$501,0))&amp;"","")</f>
        <v/>
      </c>
      <c r="W274" s="21" t="str">
        <f aca="false">IFERROR(INDEX(종합!W$3:W$501,MATCH(ROW()-2,종합!$AE$3:$AE$501,0))&amp;"","")</f>
        <v/>
      </c>
      <c r="X274" s="21" t="str">
        <f aca="false">IFERROR(INDEX(종합!X$3:X$501,MATCH(ROW()-2,종합!$AE$3:$AE$501,0))&amp;"","")</f>
        <v/>
      </c>
      <c r="Y274" s="21" t="str">
        <f aca="false">IFERROR(INDEX(종합!Y$3:Y$501,MATCH(ROW()-2,종합!$AE$3:$AE$501,0))&amp;"","")</f>
        <v/>
      </c>
      <c r="Z274" s="21" t="str">
        <f aca="false">IFERROR(INDEX(종합!Z$3:Z$501,MATCH(ROW()-2,종합!$AE$3:$AE$501,0))&amp;"","")</f>
        <v/>
      </c>
    </row>
    <row r="275" customFormat="false" ht="16.5" hidden="false" customHeight="true" outlineLevel="0" collapsed="false">
      <c r="A275" s="18" t="str">
        <f aca="false">IF(B275="","",ROW()-2)</f>
        <v/>
      </c>
      <c r="B275" s="18" t="str">
        <f aca="false">IFERROR(INDEX(종합!B$3:B$501,MATCH(ROW()-2,종합!$AE$3:$AE$501,0))&amp;"","")</f>
        <v/>
      </c>
      <c r="C275" s="18" t="str">
        <f aca="false">IFERROR(INDEX(종합!C$3:C$501,MATCH(ROW()-2,종합!$AE$3:$AE$501,0))&amp;"","")</f>
        <v/>
      </c>
      <c r="D275" s="18" t="str">
        <f aca="false">IFERROR(INDEX(종합!D$3:D$501,MATCH(ROW()-2,종합!$AE$3:$AE$501,0))&amp;"","")</f>
        <v/>
      </c>
      <c r="E275" s="18" t="str">
        <f aca="false">IFERROR(INDEX(종합!E$3:E$501,MATCH(ROW()-2,종합!$AE$3:$AE$501,0))&amp;"","")</f>
        <v/>
      </c>
      <c r="F275" s="18" t="str">
        <f aca="false">IFERROR(INDEX(종합!F$3:F$501,MATCH(ROW()-2,종합!$AE$3:$AE$501,0))&amp;"","")</f>
        <v/>
      </c>
      <c r="G275" s="18" t="str">
        <f aca="false">IFERROR(INDEX(종합!G$3:G$501,MATCH(ROW()-2,종합!$AE$3:$AE$501,0))&amp;"","")</f>
        <v/>
      </c>
      <c r="H275" s="21" t="str">
        <f aca="false">IFERROR(INDEX(종합!H$3:H$501,MATCH(ROW()-2,종합!$AE$3:$AE$501,0))&amp;"","")</f>
        <v/>
      </c>
      <c r="I275" s="21" t="str">
        <f aca="false">IFERROR(INDEX(종합!I$3:I$501,MATCH(ROW()-2,종합!$AE$3:$AE$501,0))&amp;"","")</f>
        <v/>
      </c>
      <c r="J275" s="21" t="str">
        <f aca="false">IFERROR(INDEX(종합!J$3:J$501,MATCH(ROW()-2,종합!$AE$3:$AE$501,0))&amp;"","")</f>
        <v/>
      </c>
      <c r="K275" s="21" t="str">
        <f aca="false">IFERROR(INDEX(종합!K$3:K$501,MATCH(ROW()-2,종합!$AE$3:$AE$501,0))&amp;"","")</f>
        <v/>
      </c>
      <c r="L275" s="21" t="str">
        <f aca="false">IFERROR(INDEX(종합!L$3:L$501,MATCH(ROW()-2,종합!$AE$3:$AE$501,0))&amp;"","")</f>
        <v/>
      </c>
      <c r="M275" s="21" t="str">
        <f aca="false">IFERROR(INDEX(종합!M$3:M$501,MATCH(ROW()-2,종합!$AE$3:$AE$501,0))&amp;"","")</f>
        <v/>
      </c>
      <c r="N275" s="25" t="str">
        <f aca="false">IFERROR(INDEX(종합!N$3:N$501,MATCH(ROW()-2,종합!$AE$3:$AE$501,0))&amp;"","")</f>
        <v/>
      </c>
      <c r="O275" s="21" t="str">
        <f aca="false">IFERROR(INDEX(종합!O$3:O$501,MATCH(ROW()-2,종합!$AE$3:$AE$501,0))&amp;"","")</f>
        <v/>
      </c>
      <c r="P275" s="21" t="str">
        <f aca="false">IFERROR(INDEX(종합!P$3:P$501,MATCH(ROW()-2,종합!$AE$3:$AE$501,0))&amp;"","")</f>
        <v/>
      </c>
      <c r="Q275" s="21" t="str">
        <f aca="false">IFERROR(INDEX(종합!Q$3:Q$501,MATCH(ROW()-2,종합!$AE$3:$AE$501,0))&amp;"","")</f>
        <v/>
      </c>
      <c r="R275" s="21" t="str">
        <f aca="false">IFERROR(INDEX(종합!R$3:R$501,MATCH(ROW()-2,종합!$AE$3:$AE$501,0))&amp;"","")</f>
        <v/>
      </c>
      <c r="S275" s="21" t="str">
        <f aca="false">IFERROR(INDEX(종합!S$3:S$501,MATCH(ROW()-2,종합!$AE$3:$AE$501,0))&amp;"","")</f>
        <v/>
      </c>
      <c r="T275" s="21" t="str">
        <f aca="false">IFERROR(INDEX(종합!T$3:T$501,MATCH(ROW()-2,종합!$AE$3:$AE$501,0))&amp;"","")</f>
        <v/>
      </c>
      <c r="U275" s="21" t="str">
        <f aca="false">IFERROR(INDEX(종합!U$3:U$501,MATCH(ROW()-2,종합!$AE$3:$AE$501,0))&amp;"","")</f>
        <v/>
      </c>
      <c r="V275" s="21" t="str">
        <f aca="false">IFERROR(INDEX(종합!V$3:V$501,MATCH(ROW()-2,종합!$AE$3:$AE$501,0))&amp;"","")</f>
        <v/>
      </c>
      <c r="W275" s="21" t="str">
        <f aca="false">IFERROR(INDEX(종합!W$3:W$501,MATCH(ROW()-2,종합!$AE$3:$AE$501,0))&amp;"","")</f>
        <v/>
      </c>
      <c r="X275" s="21" t="str">
        <f aca="false">IFERROR(INDEX(종합!X$3:X$501,MATCH(ROW()-2,종합!$AE$3:$AE$501,0))&amp;"","")</f>
        <v/>
      </c>
      <c r="Y275" s="21" t="str">
        <f aca="false">IFERROR(INDEX(종합!Y$3:Y$501,MATCH(ROW()-2,종합!$AE$3:$AE$501,0))&amp;"","")</f>
        <v/>
      </c>
      <c r="Z275" s="21" t="str">
        <f aca="false">IFERROR(INDEX(종합!Z$3:Z$501,MATCH(ROW()-2,종합!$AE$3:$AE$501,0))&amp;"","")</f>
        <v/>
      </c>
    </row>
    <row r="276" customFormat="false" ht="16.5" hidden="false" customHeight="true" outlineLevel="0" collapsed="false">
      <c r="A276" s="18" t="str">
        <f aca="false">IF(B276="","",ROW()-2)</f>
        <v/>
      </c>
      <c r="B276" s="18" t="str">
        <f aca="false">IFERROR(INDEX(종합!B$3:B$501,MATCH(ROW()-2,종합!$AE$3:$AE$501,0))&amp;"","")</f>
        <v/>
      </c>
      <c r="C276" s="18" t="str">
        <f aca="false">IFERROR(INDEX(종합!C$3:C$501,MATCH(ROW()-2,종합!$AE$3:$AE$501,0))&amp;"","")</f>
        <v/>
      </c>
      <c r="D276" s="18" t="str">
        <f aca="false">IFERROR(INDEX(종합!D$3:D$501,MATCH(ROW()-2,종합!$AE$3:$AE$501,0))&amp;"","")</f>
        <v/>
      </c>
      <c r="E276" s="18" t="str">
        <f aca="false">IFERROR(INDEX(종합!E$3:E$501,MATCH(ROW()-2,종합!$AE$3:$AE$501,0))&amp;"","")</f>
        <v/>
      </c>
      <c r="F276" s="18" t="str">
        <f aca="false">IFERROR(INDEX(종합!F$3:F$501,MATCH(ROW()-2,종합!$AE$3:$AE$501,0))&amp;"","")</f>
        <v/>
      </c>
      <c r="G276" s="18" t="str">
        <f aca="false">IFERROR(INDEX(종합!G$3:G$501,MATCH(ROW()-2,종합!$AE$3:$AE$501,0))&amp;"","")</f>
        <v/>
      </c>
      <c r="H276" s="21" t="str">
        <f aca="false">IFERROR(INDEX(종합!H$3:H$501,MATCH(ROW()-2,종합!$AE$3:$AE$501,0))&amp;"","")</f>
        <v/>
      </c>
      <c r="I276" s="21" t="str">
        <f aca="false">IFERROR(INDEX(종합!I$3:I$501,MATCH(ROW()-2,종합!$AE$3:$AE$501,0))&amp;"","")</f>
        <v/>
      </c>
      <c r="J276" s="21" t="str">
        <f aca="false">IFERROR(INDEX(종합!J$3:J$501,MATCH(ROW()-2,종합!$AE$3:$AE$501,0))&amp;"","")</f>
        <v/>
      </c>
      <c r="K276" s="21" t="str">
        <f aca="false">IFERROR(INDEX(종합!K$3:K$501,MATCH(ROW()-2,종합!$AE$3:$AE$501,0))&amp;"","")</f>
        <v/>
      </c>
      <c r="L276" s="21" t="str">
        <f aca="false">IFERROR(INDEX(종합!L$3:L$501,MATCH(ROW()-2,종합!$AE$3:$AE$501,0))&amp;"","")</f>
        <v/>
      </c>
      <c r="M276" s="21" t="str">
        <f aca="false">IFERROR(INDEX(종합!M$3:M$501,MATCH(ROW()-2,종합!$AE$3:$AE$501,0))&amp;"","")</f>
        <v/>
      </c>
      <c r="N276" s="25" t="str">
        <f aca="false">IFERROR(INDEX(종합!N$3:N$501,MATCH(ROW()-2,종합!$AE$3:$AE$501,0))&amp;"","")</f>
        <v/>
      </c>
      <c r="O276" s="21" t="str">
        <f aca="false">IFERROR(INDEX(종합!O$3:O$501,MATCH(ROW()-2,종합!$AE$3:$AE$501,0))&amp;"","")</f>
        <v/>
      </c>
      <c r="P276" s="21" t="str">
        <f aca="false">IFERROR(INDEX(종합!P$3:P$501,MATCH(ROW()-2,종합!$AE$3:$AE$501,0))&amp;"","")</f>
        <v/>
      </c>
      <c r="Q276" s="21" t="str">
        <f aca="false">IFERROR(INDEX(종합!Q$3:Q$501,MATCH(ROW()-2,종합!$AE$3:$AE$501,0))&amp;"","")</f>
        <v/>
      </c>
      <c r="R276" s="21" t="str">
        <f aca="false">IFERROR(INDEX(종합!R$3:R$501,MATCH(ROW()-2,종합!$AE$3:$AE$501,0))&amp;"","")</f>
        <v/>
      </c>
      <c r="S276" s="21" t="str">
        <f aca="false">IFERROR(INDEX(종합!S$3:S$501,MATCH(ROW()-2,종합!$AE$3:$AE$501,0))&amp;"","")</f>
        <v/>
      </c>
      <c r="T276" s="21" t="str">
        <f aca="false">IFERROR(INDEX(종합!T$3:T$501,MATCH(ROW()-2,종합!$AE$3:$AE$501,0))&amp;"","")</f>
        <v/>
      </c>
      <c r="U276" s="21" t="str">
        <f aca="false">IFERROR(INDEX(종합!U$3:U$501,MATCH(ROW()-2,종합!$AE$3:$AE$501,0))&amp;"","")</f>
        <v/>
      </c>
      <c r="V276" s="21" t="str">
        <f aca="false">IFERROR(INDEX(종합!V$3:V$501,MATCH(ROW()-2,종합!$AE$3:$AE$501,0))&amp;"","")</f>
        <v/>
      </c>
      <c r="W276" s="21" t="str">
        <f aca="false">IFERROR(INDEX(종합!W$3:W$501,MATCH(ROW()-2,종합!$AE$3:$AE$501,0))&amp;"","")</f>
        <v/>
      </c>
      <c r="X276" s="21" t="str">
        <f aca="false">IFERROR(INDEX(종합!X$3:X$501,MATCH(ROW()-2,종합!$AE$3:$AE$501,0))&amp;"","")</f>
        <v/>
      </c>
      <c r="Y276" s="21" t="str">
        <f aca="false">IFERROR(INDEX(종합!Y$3:Y$501,MATCH(ROW()-2,종합!$AE$3:$AE$501,0))&amp;"","")</f>
        <v/>
      </c>
      <c r="Z276" s="21" t="str">
        <f aca="false">IFERROR(INDEX(종합!Z$3:Z$501,MATCH(ROW()-2,종합!$AE$3:$AE$501,0))&amp;"","")</f>
        <v/>
      </c>
    </row>
    <row r="277" customFormat="false" ht="16.5" hidden="false" customHeight="true" outlineLevel="0" collapsed="false">
      <c r="A277" s="18" t="str">
        <f aca="false">IF(B277="","",ROW()-2)</f>
        <v/>
      </c>
      <c r="B277" s="18" t="str">
        <f aca="false">IFERROR(INDEX(종합!B$3:B$501,MATCH(ROW()-2,종합!$AE$3:$AE$501,0))&amp;"","")</f>
        <v/>
      </c>
      <c r="C277" s="18" t="str">
        <f aca="false">IFERROR(INDEX(종합!C$3:C$501,MATCH(ROW()-2,종합!$AE$3:$AE$501,0))&amp;"","")</f>
        <v/>
      </c>
      <c r="D277" s="18" t="str">
        <f aca="false">IFERROR(INDEX(종합!D$3:D$501,MATCH(ROW()-2,종합!$AE$3:$AE$501,0))&amp;"","")</f>
        <v/>
      </c>
      <c r="E277" s="18" t="str">
        <f aca="false">IFERROR(INDEX(종합!E$3:E$501,MATCH(ROW()-2,종합!$AE$3:$AE$501,0))&amp;"","")</f>
        <v/>
      </c>
      <c r="F277" s="18" t="str">
        <f aca="false">IFERROR(INDEX(종합!F$3:F$501,MATCH(ROW()-2,종합!$AE$3:$AE$501,0))&amp;"","")</f>
        <v/>
      </c>
      <c r="G277" s="18" t="str">
        <f aca="false">IFERROR(INDEX(종합!G$3:G$501,MATCH(ROW()-2,종합!$AE$3:$AE$501,0))&amp;"","")</f>
        <v/>
      </c>
      <c r="H277" s="21" t="str">
        <f aca="false">IFERROR(INDEX(종합!H$3:H$501,MATCH(ROW()-2,종합!$AE$3:$AE$501,0))&amp;"","")</f>
        <v/>
      </c>
      <c r="I277" s="21" t="str">
        <f aca="false">IFERROR(INDEX(종합!I$3:I$501,MATCH(ROW()-2,종합!$AE$3:$AE$501,0))&amp;"","")</f>
        <v/>
      </c>
      <c r="J277" s="21" t="str">
        <f aca="false">IFERROR(INDEX(종합!J$3:J$501,MATCH(ROW()-2,종합!$AE$3:$AE$501,0))&amp;"","")</f>
        <v/>
      </c>
      <c r="K277" s="21" t="str">
        <f aca="false">IFERROR(INDEX(종합!K$3:K$501,MATCH(ROW()-2,종합!$AE$3:$AE$501,0))&amp;"","")</f>
        <v/>
      </c>
      <c r="L277" s="21" t="str">
        <f aca="false">IFERROR(INDEX(종합!L$3:L$501,MATCH(ROW()-2,종합!$AE$3:$AE$501,0))&amp;"","")</f>
        <v/>
      </c>
      <c r="M277" s="21" t="str">
        <f aca="false">IFERROR(INDEX(종합!M$3:M$501,MATCH(ROW()-2,종합!$AE$3:$AE$501,0))&amp;"","")</f>
        <v/>
      </c>
      <c r="N277" s="25" t="str">
        <f aca="false">IFERROR(INDEX(종합!N$3:N$501,MATCH(ROW()-2,종합!$AE$3:$AE$501,0))&amp;"","")</f>
        <v/>
      </c>
      <c r="O277" s="21" t="str">
        <f aca="false">IFERROR(INDEX(종합!O$3:O$501,MATCH(ROW()-2,종합!$AE$3:$AE$501,0))&amp;"","")</f>
        <v/>
      </c>
      <c r="P277" s="21" t="str">
        <f aca="false">IFERROR(INDEX(종합!P$3:P$501,MATCH(ROW()-2,종합!$AE$3:$AE$501,0))&amp;"","")</f>
        <v/>
      </c>
      <c r="Q277" s="21" t="str">
        <f aca="false">IFERROR(INDEX(종합!Q$3:Q$501,MATCH(ROW()-2,종합!$AE$3:$AE$501,0))&amp;"","")</f>
        <v/>
      </c>
      <c r="R277" s="21" t="str">
        <f aca="false">IFERROR(INDEX(종합!R$3:R$501,MATCH(ROW()-2,종합!$AE$3:$AE$501,0))&amp;"","")</f>
        <v/>
      </c>
      <c r="S277" s="21" t="str">
        <f aca="false">IFERROR(INDEX(종합!S$3:S$501,MATCH(ROW()-2,종합!$AE$3:$AE$501,0))&amp;"","")</f>
        <v/>
      </c>
      <c r="T277" s="21" t="str">
        <f aca="false">IFERROR(INDEX(종합!T$3:T$501,MATCH(ROW()-2,종합!$AE$3:$AE$501,0))&amp;"","")</f>
        <v/>
      </c>
      <c r="U277" s="21" t="str">
        <f aca="false">IFERROR(INDEX(종합!U$3:U$501,MATCH(ROW()-2,종합!$AE$3:$AE$501,0))&amp;"","")</f>
        <v/>
      </c>
      <c r="V277" s="21" t="str">
        <f aca="false">IFERROR(INDEX(종합!V$3:V$501,MATCH(ROW()-2,종합!$AE$3:$AE$501,0))&amp;"","")</f>
        <v/>
      </c>
      <c r="W277" s="21" t="str">
        <f aca="false">IFERROR(INDEX(종합!W$3:W$501,MATCH(ROW()-2,종합!$AE$3:$AE$501,0))&amp;"","")</f>
        <v/>
      </c>
      <c r="X277" s="21" t="str">
        <f aca="false">IFERROR(INDEX(종합!X$3:X$501,MATCH(ROW()-2,종합!$AE$3:$AE$501,0))&amp;"","")</f>
        <v/>
      </c>
      <c r="Y277" s="21" t="str">
        <f aca="false">IFERROR(INDEX(종합!Y$3:Y$501,MATCH(ROW()-2,종합!$AE$3:$AE$501,0))&amp;"","")</f>
        <v/>
      </c>
      <c r="Z277" s="21" t="str">
        <f aca="false">IFERROR(INDEX(종합!Z$3:Z$501,MATCH(ROW()-2,종합!$AE$3:$AE$501,0))&amp;"","")</f>
        <v/>
      </c>
    </row>
    <row r="278" customFormat="false" ht="16.5" hidden="false" customHeight="true" outlineLevel="0" collapsed="false">
      <c r="A278" s="18" t="str">
        <f aca="false">IF(B278="","",ROW()-2)</f>
        <v/>
      </c>
      <c r="B278" s="18" t="str">
        <f aca="false">IFERROR(INDEX(종합!B$3:B$501,MATCH(ROW()-2,종합!$AE$3:$AE$501,0))&amp;"","")</f>
        <v/>
      </c>
      <c r="C278" s="18" t="str">
        <f aca="false">IFERROR(INDEX(종합!C$3:C$501,MATCH(ROW()-2,종합!$AE$3:$AE$501,0))&amp;"","")</f>
        <v/>
      </c>
      <c r="D278" s="18" t="str">
        <f aca="false">IFERROR(INDEX(종합!D$3:D$501,MATCH(ROW()-2,종합!$AE$3:$AE$501,0))&amp;"","")</f>
        <v/>
      </c>
      <c r="E278" s="18" t="str">
        <f aca="false">IFERROR(INDEX(종합!E$3:E$501,MATCH(ROW()-2,종합!$AE$3:$AE$501,0))&amp;"","")</f>
        <v/>
      </c>
      <c r="F278" s="18" t="str">
        <f aca="false">IFERROR(INDEX(종합!F$3:F$501,MATCH(ROW()-2,종합!$AE$3:$AE$501,0))&amp;"","")</f>
        <v/>
      </c>
      <c r="G278" s="18" t="str">
        <f aca="false">IFERROR(INDEX(종합!G$3:G$501,MATCH(ROW()-2,종합!$AE$3:$AE$501,0))&amp;"","")</f>
        <v/>
      </c>
      <c r="H278" s="21" t="str">
        <f aca="false">IFERROR(INDEX(종합!H$3:H$501,MATCH(ROW()-2,종합!$AE$3:$AE$501,0))&amp;"","")</f>
        <v/>
      </c>
      <c r="I278" s="21" t="str">
        <f aca="false">IFERROR(INDEX(종합!I$3:I$501,MATCH(ROW()-2,종합!$AE$3:$AE$501,0))&amp;"","")</f>
        <v/>
      </c>
      <c r="J278" s="21" t="str">
        <f aca="false">IFERROR(INDEX(종합!J$3:J$501,MATCH(ROW()-2,종합!$AE$3:$AE$501,0))&amp;"","")</f>
        <v/>
      </c>
      <c r="K278" s="21" t="str">
        <f aca="false">IFERROR(INDEX(종합!K$3:K$501,MATCH(ROW()-2,종합!$AE$3:$AE$501,0))&amp;"","")</f>
        <v/>
      </c>
      <c r="L278" s="21" t="str">
        <f aca="false">IFERROR(INDEX(종합!L$3:L$501,MATCH(ROW()-2,종합!$AE$3:$AE$501,0))&amp;"","")</f>
        <v/>
      </c>
      <c r="M278" s="21" t="str">
        <f aca="false">IFERROR(INDEX(종합!M$3:M$501,MATCH(ROW()-2,종합!$AE$3:$AE$501,0))&amp;"","")</f>
        <v/>
      </c>
      <c r="N278" s="25" t="str">
        <f aca="false">IFERROR(INDEX(종합!N$3:N$501,MATCH(ROW()-2,종합!$AE$3:$AE$501,0))&amp;"","")</f>
        <v/>
      </c>
      <c r="O278" s="21" t="str">
        <f aca="false">IFERROR(INDEX(종합!O$3:O$501,MATCH(ROW()-2,종합!$AE$3:$AE$501,0))&amp;"","")</f>
        <v/>
      </c>
      <c r="P278" s="21" t="str">
        <f aca="false">IFERROR(INDEX(종합!P$3:P$501,MATCH(ROW()-2,종합!$AE$3:$AE$501,0))&amp;"","")</f>
        <v/>
      </c>
      <c r="Q278" s="21" t="str">
        <f aca="false">IFERROR(INDEX(종합!Q$3:Q$501,MATCH(ROW()-2,종합!$AE$3:$AE$501,0))&amp;"","")</f>
        <v/>
      </c>
      <c r="R278" s="21" t="str">
        <f aca="false">IFERROR(INDEX(종합!R$3:R$501,MATCH(ROW()-2,종합!$AE$3:$AE$501,0))&amp;"","")</f>
        <v/>
      </c>
      <c r="S278" s="21" t="str">
        <f aca="false">IFERROR(INDEX(종합!S$3:S$501,MATCH(ROW()-2,종합!$AE$3:$AE$501,0))&amp;"","")</f>
        <v/>
      </c>
      <c r="T278" s="21" t="str">
        <f aca="false">IFERROR(INDEX(종합!T$3:T$501,MATCH(ROW()-2,종합!$AE$3:$AE$501,0))&amp;"","")</f>
        <v/>
      </c>
      <c r="U278" s="21" t="str">
        <f aca="false">IFERROR(INDEX(종합!U$3:U$501,MATCH(ROW()-2,종합!$AE$3:$AE$501,0))&amp;"","")</f>
        <v/>
      </c>
      <c r="V278" s="21" t="str">
        <f aca="false">IFERROR(INDEX(종합!V$3:V$501,MATCH(ROW()-2,종합!$AE$3:$AE$501,0))&amp;"","")</f>
        <v/>
      </c>
      <c r="W278" s="21" t="str">
        <f aca="false">IFERROR(INDEX(종합!W$3:W$501,MATCH(ROW()-2,종합!$AE$3:$AE$501,0))&amp;"","")</f>
        <v/>
      </c>
      <c r="X278" s="21" t="str">
        <f aca="false">IFERROR(INDEX(종합!X$3:X$501,MATCH(ROW()-2,종합!$AE$3:$AE$501,0))&amp;"","")</f>
        <v/>
      </c>
      <c r="Y278" s="21" t="str">
        <f aca="false">IFERROR(INDEX(종합!Y$3:Y$501,MATCH(ROW()-2,종합!$AE$3:$AE$501,0))&amp;"","")</f>
        <v/>
      </c>
      <c r="Z278" s="21" t="str">
        <f aca="false">IFERROR(INDEX(종합!Z$3:Z$501,MATCH(ROW()-2,종합!$AE$3:$AE$501,0))&amp;"","")</f>
        <v/>
      </c>
    </row>
    <row r="279" customFormat="false" ht="16.5" hidden="false" customHeight="true" outlineLevel="0" collapsed="false">
      <c r="A279" s="18" t="str">
        <f aca="false">IF(B279="","",ROW()-2)</f>
        <v/>
      </c>
      <c r="B279" s="18" t="str">
        <f aca="false">IFERROR(INDEX(종합!B$3:B$501,MATCH(ROW()-2,종합!$AE$3:$AE$501,0))&amp;"","")</f>
        <v/>
      </c>
      <c r="C279" s="18" t="str">
        <f aca="false">IFERROR(INDEX(종합!C$3:C$501,MATCH(ROW()-2,종합!$AE$3:$AE$501,0))&amp;"","")</f>
        <v/>
      </c>
      <c r="D279" s="18" t="str">
        <f aca="false">IFERROR(INDEX(종합!D$3:D$501,MATCH(ROW()-2,종합!$AE$3:$AE$501,0))&amp;"","")</f>
        <v/>
      </c>
      <c r="E279" s="18" t="str">
        <f aca="false">IFERROR(INDEX(종합!E$3:E$501,MATCH(ROW()-2,종합!$AE$3:$AE$501,0))&amp;"","")</f>
        <v/>
      </c>
      <c r="F279" s="18" t="str">
        <f aca="false">IFERROR(INDEX(종합!F$3:F$501,MATCH(ROW()-2,종합!$AE$3:$AE$501,0))&amp;"","")</f>
        <v/>
      </c>
      <c r="G279" s="18" t="str">
        <f aca="false">IFERROR(INDEX(종합!G$3:G$501,MATCH(ROW()-2,종합!$AE$3:$AE$501,0))&amp;"","")</f>
        <v/>
      </c>
      <c r="H279" s="21" t="str">
        <f aca="false">IFERROR(INDEX(종합!H$3:H$501,MATCH(ROW()-2,종합!$AE$3:$AE$501,0))&amp;"","")</f>
        <v/>
      </c>
      <c r="I279" s="21" t="str">
        <f aca="false">IFERROR(INDEX(종합!I$3:I$501,MATCH(ROW()-2,종합!$AE$3:$AE$501,0))&amp;"","")</f>
        <v/>
      </c>
      <c r="J279" s="21" t="str">
        <f aca="false">IFERROR(INDEX(종합!J$3:J$501,MATCH(ROW()-2,종합!$AE$3:$AE$501,0))&amp;"","")</f>
        <v/>
      </c>
      <c r="K279" s="21" t="str">
        <f aca="false">IFERROR(INDEX(종합!K$3:K$501,MATCH(ROW()-2,종합!$AE$3:$AE$501,0))&amp;"","")</f>
        <v/>
      </c>
      <c r="L279" s="21" t="str">
        <f aca="false">IFERROR(INDEX(종합!L$3:L$501,MATCH(ROW()-2,종합!$AE$3:$AE$501,0))&amp;"","")</f>
        <v/>
      </c>
      <c r="M279" s="21" t="str">
        <f aca="false">IFERROR(INDEX(종합!M$3:M$501,MATCH(ROW()-2,종합!$AE$3:$AE$501,0))&amp;"","")</f>
        <v/>
      </c>
      <c r="N279" s="25" t="str">
        <f aca="false">IFERROR(INDEX(종합!N$3:N$501,MATCH(ROW()-2,종합!$AE$3:$AE$501,0))&amp;"","")</f>
        <v/>
      </c>
      <c r="O279" s="21" t="str">
        <f aca="false">IFERROR(INDEX(종합!O$3:O$501,MATCH(ROW()-2,종합!$AE$3:$AE$501,0))&amp;"","")</f>
        <v/>
      </c>
      <c r="P279" s="21" t="str">
        <f aca="false">IFERROR(INDEX(종합!P$3:P$501,MATCH(ROW()-2,종합!$AE$3:$AE$501,0))&amp;"","")</f>
        <v/>
      </c>
      <c r="Q279" s="21" t="str">
        <f aca="false">IFERROR(INDEX(종합!Q$3:Q$501,MATCH(ROW()-2,종합!$AE$3:$AE$501,0))&amp;"","")</f>
        <v/>
      </c>
      <c r="R279" s="21" t="str">
        <f aca="false">IFERROR(INDEX(종합!R$3:R$501,MATCH(ROW()-2,종합!$AE$3:$AE$501,0))&amp;"","")</f>
        <v/>
      </c>
      <c r="S279" s="21" t="str">
        <f aca="false">IFERROR(INDEX(종합!S$3:S$501,MATCH(ROW()-2,종합!$AE$3:$AE$501,0))&amp;"","")</f>
        <v/>
      </c>
      <c r="T279" s="21" t="str">
        <f aca="false">IFERROR(INDEX(종합!T$3:T$501,MATCH(ROW()-2,종합!$AE$3:$AE$501,0))&amp;"","")</f>
        <v/>
      </c>
      <c r="U279" s="21" t="str">
        <f aca="false">IFERROR(INDEX(종합!U$3:U$501,MATCH(ROW()-2,종합!$AE$3:$AE$501,0))&amp;"","")</f>
        <v/>
      </c>
      <c r="V279" s="21" t="str">
        <f aca="false">IFERROR(INDEX(종합!V$3:V$501,MATCH(ROW()-2,종합!$AE$3:$AE$501,0))&amp;"","")</f>
        <v/>
      </c>
      <c r="W279" s="21" t="str">
        <f aca="false">IFERROR(INDEX(종합!W$3:W$501,MATCH(ROW()-2,종합!$AE$3:$AE$501,0))&amp;"","")</f>
        <v/>
      </c>
      <c r="X279" s="21" t="str">
        <f aca="false">IFERROR(INDEX(종합!X$3:X$501,MATCH(ROW()-2,종합!$AE$3:$AE$501,0))&amp;"","")</f>
        <v/>
      </c>
      <c r="Y279" s="21" t="str">
        <f aca="false">IFERROR(INDEX(종합!Y$3:Y$501,MATCH(ROW()-2,종합!$AE$3:$AE$501,0))&amp;"","")</f>
        <v/>
      </c>
      <c r="Z279" s="21" t="str">
        <f aca="false">IFERROR(INDEX(종합!Z$3:Z$501,MATCH(ROW()-2,종합!$AE$3:$AE$501,0))&amp;"","")</f>
        <v/>
      </c>
    </row>
    <row r="280" customFormat="false" ht="16.5" hidden="false" customHeight="true" outlineLevel="0" collapsed="false">
      <c r="A280" s="18" t="str">
        <f aca="false">IF(B280="","",ROW()-2)</f>
        <v/>
      </c>
      <c r="B280" s="18" t="str">
        <f aca="false">IFERROR(INDEX(종합!B$3:B$501,MATCH(ROW()-2,종합!$AE$3:$AE$501,0))&amp;"","")</f>
        <v/>
      </c>
      <c r="C280" s="18" t="str">
        <f aca="false">IFERROR(INDEX(종합!C$3:C$501,MATCH(ROW()-2,종합!$AE$3:$AE$501,0))&amp;"","")</f>
        <v/>
      </c>
      <c r="D280" s="18" t="str">
        <f aca="false">IFERROR(INDEX(종합!D$3:D$501,MATCH(ROW()-2,종합!$AE$3:$AE$501,0))&amp;"","")</f>
        <v/>
      </c>
      <c r="E280" s="18" t="str">
        <f aca="false">IFERROR(INDEX(종합!E$3:E$501,MATCH(ROW()-2,종합!$AE$3:$AE$501,0))&amp;"","")</f>
        <v/>
      </c>
      <c r="F280" s="18" t="str">
        <f aca="false">IFERROR(INDEX(종합!F$3:F$501,MATCH(ROW()-2,종합!$AE$3:$AE$501,0))&amp;"","")</f>
        <v/>
      </c>
      <c r="G280" s="18" t="str">
        <f aca="false">IFERROR(INDEX(종합!G$3:G$501,MATCH(ROW()-2,종합!$AE$3:$AE$501,0))&amp;"","")</f>
        <v/>
      </c>
      <c r="H280" s="21" t="str">
        <f aca="false">IFERROR(INDEX(종합!H$3:H$501,MATCH(ROW()-2,종합!$AE$3:$AE$501,0))&amp;"","")</f>
        <v/>
      </c>
      <c r="I280" s="21" t="str">
        <f aca="false">IFERROR(INDEX(종합!I$3:I$501,MATCH(ROW()-2,종합!$AE$3:$AE$501,0))&amp;"","")</f>
        <v/>
      </c>
      <c r="J280" s="21" t="str">
        <f aca="false">IFERROR(INDEX(종합!J$3:J$501,MATCH(ROW()-2,종합!$AE$3:$AE$501,0))&amp;"","")</f>
        <v/>
      </c>
      <c r="K280" s="21" t="str">
        <f aca="false">IFERROR(INDEX(종합!K$3:K$501,MATCH(ROW()-2,종합!$AE$3:$AE$501,0))&amp;"","")</f>
        <v/>
      </c>
      <c r="L280" s="21" t="str">
        <f aca="false">IFERROR(INDEX(종합!L$3:L$501,MATCH(ROW()-2,종합!$AE$3:$AE$501,0))&amp;"","")</f>
        <v/>
      </c>
      <c r="M280" s="21" t="str">
        <f aca="false">IFERROR(INDEX(종합!M$3:M$501,MATCH(ROW()-2,종합!$AE$3:$AE$501,0))&amp;"","")</f>
        <v/>
      </c>
      <c r="N280" s="25" t="str">
        <f aca="false">IFERROR(INDEX(종합!N$3:N$501,MATCH(ROW()-2,종합!$AE$3:$AE$501,0))&amp;"","")</f>
        <v/>
      </c>
      <c r="O280" s="21" t="str">
        <f aca="false">IFERROR(INDEX(종합!O$3:O$501,MATCH(ROW()-2,종합!$AE$3:$AE$501,0))&amp;"","")</f>
        <v/>
      </c>
      <c r="P280" s="21" t="str">
        <f aca="false">IFERROR(INDEX(종합!P$3:P$501,MATCH(ROW()-2,종합!$AE$3:$AE$501,0))&amp;"","")</f>
        <v/>
      </c>
      <c r="Q280" s="21" t="str">
        <f aca="false">IFERROR(INDEX(종합!Q$3:Q$501,MATCH(ROW()-2,종합!$AE$3:$AE$501,0))&amp;"","")</f>
        <v/>
      </c>
      <c r="R280" s="21" t="str">
        <f aca="false">IFERROR(INDEX(종합!R$3:R$501,MATCH(ROW()-2,종합!$AE$3:$AE$501,0))&amp;"","")</f>
        <v/>
      </c>
      <c r="S280" s="21" t="str">
        <f aca="false">IFERROR(INDEX(종합!S$3:S$501,MATCH(ROW()-2,종합!$AE$3:$AE$501,0))&amp;"","")</f>
        <v/>
      </c>
      <c r="T280" s="21" t="str">
        <f aca="false">IFERROR(INDEX(종합!T$3:T$501,MATCH(ROW()-2,종합!$AE$3:$AE$501,0))&amp;"","")</f>
        <v/>
      </c>
      <c r="U280" s="21" t="str">
        <f aca="false">IFERROR(INDEX(종합!U$3:U$501,MATCH(ROW()-2,종합!$AE$3:$AE$501,0))&amp;"","")</f>
        <v/>
      </c>
      <c r="V280" s="21" t="str">
        <f aca="false">IFERROR(INDEX(종합!V$3:V$501,MATCH(ROW()-2,종합!$AE$3:$AE$501,0))&amp;"","")</f>
        <v/>
      </c>
      <c r="W280" s="21" t="str">
        <f aca="false">IFERROR(INDEX(종합!W$3:W$501,MATCH(ROW()-2,종합!$AE$3:$AE$501,0))&amp;"","")</f>
        <v/>
      </c>
      <c r="X280" s="21" t="str">
        <f aca="false">IFERROR(INDEX(종합!X$3:X$501,MATCH(ROW()-2,종합!$AE$3:$AE$501,0))&amp;"","")</f>
        <v/>
      </c>
      <c r="Y280" s="21" t="str">
        <f aca="false">IFERROR(INDEX(종합!Y$3:Y$501,MATCH(ROW()-2,종합!$AE$3:$AE$501,0))&amp;"","")</f>
        <v/>
      </c>
      <c r="Z280" s="21" t="str">
        <f aca="false">IFERROR(INDEX(종합!Z$3:Z$501,MATCH(ROW()-2,종합!$AE$3:$AE$501,0))&amp;"","")</f>
        <v/>
      </c>
    </row>
    <row r="281" customFormat="false" ht="16.5" hidden="false" customHeight="true" outlineLevel="0" collapsed="false">
      <c r="A281" s="18" t="str">
        <f aca="false">IF(B281="","",ROW()-2)</f>
        <v/>
      </c>
      <c r="B281" s="18" t="str">
        <f aca="false">IFERROR(INDEX(종합!B$3:B$501,MATCH(ROW()-2,종합!$AE$3:$AE$501,0))&amp;"","")</f>
        <v/>
      </c>
      <c r="C281" s="18" t="str">
        <f aca="false">IFERROR(INDEX(종합!C$3:C$501,MATCH(ROW()-2,종합!$AE$3:$AE$501,0))&amp;"","")</f>
        <v/>
      </c>
      <c r="D281" s="18" t="str">
        <f aca="false">IFERROR(INDEX(종합!D$3:D$501,MATCH(ROW()-2,종합!$AE$3:$AE$501,0))&amp;"","")</f>
        <v/>
      </c>
      <c r="E281" s="18" t="str">
        <f aca="false">IFERROR(INDEX(종합!E$3:E$501,MATCH(ROW()-2,종합!$AE$3:$AE$501,0))&amp;"","")</f>
        <v/>
      </c>
      <c r="F281" s="18" t="str">
        <f aca="false">IFERROR(INDEX(종합!F$3:F$501,MATCH(ROW()-2,종합!$AE$3:$AE$501,0))&amp;"","")</f>
        <v/>
      </c>
      <c r="G281" s="18" t="str">
        <f aca="false">IFERROR(INDEX(종합!G$3:G$501,MATCH(ROW()-2,종합!$AE$3:$AE$501,0))&amp;"","")</f>
        <v/>
      </c>
      <c r="H281" s="21" t="str">
        <f aca="false">IFERROR(INDEX(종합!H$3:H$501,MATCH(ROW()-2,종합!$AE$3:$AE$501,0))&amp;"","")</f>
        <v/>
      </c>
      <c r="I281" s="21" t="str">
        <f aca="false">IFERROR(INDEX(종합!I$3:I$501,MATCH(ROW()-2,종합!$AE$3:$AE$501,0))&amp;"","")</f>
        <v/>
      </c>
      <c r="J281" s="21" t="str">
        <f aca="false">IFERROR(INDEX(종합!J$3:J$501,MATCH(ROW()-2,종합!$AE$3:$AE$501,0))&amp;"","")</f>
        <v/>
      </c>
      <c r="K281" s="21" t="str">
        <f aca="false">IFERROR(INDEX(종합!K$3:K$501,MATCH(ROW()-2,종합!$AE$3:$AE$501,0))&amp;"","")</f>
        <v/>
      </c>
      <c r="L281" s="21" t="str">
        <f aca="false">IFERROR(INDEX(종합!L$3:L$501,MATCH(ROW()-2,종합!$AE$3:$AE$501,0))&amp;"","")</f>
        <v/>
      </c>
      <c r="M281" s="21" t="str">
        <f aca="false">IFERROR(INDEX(종합!M$3:M$501,MATCH(ROW()-2,종합!$AE$3:$AE$501,0))&amp;"","")</f>
        <v/>
      </c>
      <c r="N281" s="25" t="str">
        <f aca="false">IFERROR(INDEX(종합!N$3:N$501,MATCH(ROW()-2,종합!$AE$3:$AE$501,0))&amp;"","")</f>
        <v/>
      </c>
      <c r="O281" s="21" t="str">
        <f aca="false">IFERROR(INDEX(종합!O$3:O$501,MATCH(ROW()-2,종합!$AE$3:$AE$501,0))&amp;"","")</f>
        <v/>
      </c>
      <c r="P281" s="21" t="str">
        <f aca="false">IFERROR(INDEX(종합!P$3:P$501,MATCH(ROW()-2,종합!$AE$3:$AE$501,0))&amp;"","")</f>
        <v/>
      </c>
      <c r="Q281" s="21" t="str">
        <f aca="false">IFERROR(INDEX(종합!Q$3:Q$501,MATCH(ROW()-2,종합!$AE$3:$AE$501,0))&amp;"","")</f>
        <v/>
      </c>
      <c r="R281" s="21" t="str">
        <f aca="false">IFERROR(INDEX(종합!R$3:R$501,MATCH(ROW()-2,종합!$AE$3:$AE$501,0))&amp;"","")</f>
        <v/>
      </c>
      <c r="S281" s="21" t="str">
        <f aca="false">IFERROR(INDEX(종합!S$3:S$501,MATCH(ROW()-2,종합!$AE$3:$AE$501,0))&amp;"","")</f>
        <v/>
      </c>
      <c r="T281" s="21" t="str">
        <f aca="false">IFERROR(INDEX(종합!T$3:T$501,MATCH(ROW()-2,종합!$AE$3:$AE$501,0))&amp;"","")</f>
        <v/>
      </c>
      <c r="U281" s="21" t="str">
        <f aca="false">IFERROR(INDEX(종합!U$3:U$501,MATCH(ROW()-2,종합!$AE$3:$AE$501,0))&amp;"","")</f>
        <v/>
      </c>
      <c r="V281" s="21" t="str">
        <f aca="false">IFERROR(INDEX(종합!V$3:V$501,MATCH(ROW()-2,종합!$AE$3:$AE$501,0))&amp;"","")</f>
        <v/>
      </c>
      <c r="W281" s="21" t="str">
        <f aca="false">IFERROR(INDEX(종합!W$3:W$501,MATCH(ROW()-2,종합!$AE$3:$AE$501,0))&amp;"","")</f>
        <v/>
      </c>
      <c r="X281" s="21" t="str">
        <f aca="false">IFERROR(INDEX(종합!X$3:X$501,MATCH(ROW()-2,종합!$AE$3:$AE$501,0))&amp;"","")</f>
        <v/>
      </c>
      <c r="Y281" s="21" t="str">
        <f aca="false">IFERROR(INDEX(종합!Y$3:Y$501,MATCH(ROW()-2,종합!$AE$3:$AE$501,0))&amp;"","")</f>
        <v/>
      </c>
      <c r="Z281" s="21" t="str">
        <f aca="false">IFERROR(INDEX(종합!Z$3:Z$501,MATCH(ROW()-2,종합!$AE$3:$AE$501,0))&amp;"","")</f>
        <v/>
      </c>
    </row>
    <row r="282" customFormat="false" ht="16.5" hidden="false" customHeight="true" outlineLevel="0" collapsed="false">
      <c r="A282" s="18" t="str">
        <f aca="false">IF(B282="","",ROW()-2)</f>
        <v/>
      </c>
      <c r="B282" s="18" t="str">
        <f aca="false">IFERROR(INDEX(종합!B$3:B$501,MATCH(ROW()-2,종합!$AE$3:$AE$501,0))&amp;"","")</f>
        <v/>
      </c>
      <c r="C282" s="18" t="str">
        <f aca="false">IFERROR(INDEX(종합!C$3:C$501,MATCH(ROW()-2,종합!$AE$3:$AE$501,0))&amp;"","")</f>
        <v/>
      </c>
      <c r="D282" s="18" t="str">
        <f aca="false">IFERROR(INDEX(종합!D$3:D$501,MATCH(ROW()-2,종합!$AE$3:$AE$501,0))&amp;"","")</f>
        <v/>
      </c>
      <c r="E282" s="18" t="str">
        <f aca="false">IFERROR(INDEX(종합!E$3:E$501,MATCH(ROW()-2,종합!$AE$3:$AE$501,0))&amp;"","")</f>
        <v/>
      </c>
      <c r="F282" s="18" t="str">
        <f aca="false">IFERROR(INDEX(종합!F$3:F$501,MATCH(ROW()-2,종합!$AE$3:$AE$501,0))&amp;"","")</f>
        <v/>
      </c>
      <c r="G282" s="18" t="str">
        <f aca="false">IFERROR(INDEX(종합!G$3:G$501,MATCH(ROW()-2,종합!$AE$3:$AE$501,0))&amp;"","")</f>
        <v/>
      </c>
      <c r="H282" s="21" t="str">
        <f aca="false">IFERROR(INDEX(종합!H$3:H$501,MATCH(ROW()-2,종합!$AE$3:$AE$501,0))&amp;"","")</f>
        <v/>
      </c>
      <c r="I282" s="21" t="str">
        <f aca="false">IFERROR(INDEX(종합!I$3:I$501,MATCH(ROW()-2,종합!$AE$3:$AE$501,0))&amp;"","")</f>
        <v/>
      </c>
      <c r="J282" s="21" t="str">
        <f aca="false">IFERROR(INDEX(종합!J$3:J$501,MATCH(ROW()-2,종합!$AE$3:$AE$501,0))&amp;"","")</f>
        <v/>
      </c>
      <c r="K282" s="21" t="str">
        <f aca="false">IFERROR(INDEX(종합!K$3:K$501,MATCH(ROW()-2,종합!$AE$3:$AE$501,0))&amp;"","")</f>
        <v/>
      </c>
      <c r="L282" s="21" t="str">
        <f aca="false">IFERROR(INDEX(종합!L$3:L$501,MATCH(ROW()-2,종합!$AE$3:$AE$501,0))&amp;"","")</f>
        <v/>
      </c>
      <c r="M282" s="21" t="str">
        <f aca="false">IFERROR(INDEX(종합!M$3:M$501,MATCH(ROW()-2,종합!$AE$3:$AE$501,0))&amp;"","")</f>
        <v/>
      </c>
      <c r="N282" s="25" t="str">
        <f aca="false">IFERROR(INDEX(종합!N$3:N$501,MATCH(ROW()-2,종합!$AE$3:$AE$501,0))&amp;"","")</f>
        <v/>
      </c>
      <c r="O282" s="21" t="str">
        <f aca="false">IFERROR(INDEX(종합!O$3:O$501,MATCH(ROW()-2,종합!$AE$3:$AE$501,0))&amp;"","")</f>
        <v/>
      </c>
      <c r="P282" s="21" t="str">
        <f aca="false">IFERROR(INDEX(종합!P$3:P$501,MATCH(ROW()-2,종합!$AE$3:$AE$501,0))&amp;"","")</f>
        <v/>
      </c>
      <c r="Q282" s="21" t="str">
        <f aca="false">IFERROR(INDEX(종합!Q$3:Q$501,MATCH(ROW()-2,종합!$AE$3:$AE$501,0))&amp;"","")</f>
        <v/>
      </c>
      <c r="R282" s="21" t="str">
        <f aca="false">IFERROR(INDEX(종합!R$3:R$501,MATCH(ROW()-2,종합!$AE$3:$AE$501,0))&amp;"","")</f>
        <v/>
      </c>
      <c r="S282" s="21" t="str">
        <f aca="false">IFERROR(INDEX(종합!S$3:S$501,MATCH(ROW()-2,종합!$AE$3:$AE$501,0))&amp;"","")</f>
        <v/>
      </c>
      <c r="T282" s="21" t="str">
        <f aca="false">IFERROR(INDEX(종합!T$3:T$501,MATCH(ROW()-2,종합!$AE$3:$AE$501,0))&amp;"","")</f>
        <v/>
      </c>
      <c r="U282" s="21" t="str">
        <f aca="false">IFERROR(INDEX(종합!U$3:U$501,MATCH(ROW()-2,종합!$AE$3:$AE$501,0))&amp;"","")</f>
        <v/>
      </c>
      <c r="V282" s="21" t="str">
        <f aca="false">IFERROR(INDEX(종합!V$3:V$501,MATCH(ROW()-2,종합!$AE$3:$AE$501,0))&amp;"","")</f>
        <v/>
      </c>
      <c r="W282" s="21" t="str">
        <f aca="false">IFERROR(INDEX(종합!W$3:W$501,MATCH(ROW()-2,종합!$AE$3:$AE$501,0))&amp;"","")</f>
        <v/>
      </c>
      <c r="X282" s="21" t="str">
        <f aca="false">IFERROR(INDEX(종합!X$3:X$501,MATCH(ROW()-2,종합!$AE$3:$AE$501,0))&amp;"","")</f>
        <v/>
      </c>
      <c r="Y282" s="21" t="str">
        <f aca="false">IFERROR(INDEX(종합!Y$3:Y$501,MATCH(ROW()-2,종합!$AE$3:$AE$501,0))&amp;"","")</f>
        <v/>
      </c>
      <c r="Z282" s="21" t="str">
        <f aca="false">IFERROR(INDEX(종합!Z$3:Z$501,MATCH(ROW()-2,종합!$AE$3:$AE$501,0))&amp;"","")</f>
        <v/>
      </c>
    </row>
    <row r="283" customFormat="false" ht="16.5" hidden="false" customHeight="true" outlineLevel="0" collapsed="false">
      <c r="A283" s="18" t="str">
        <f aca="false">IF(B283="","",ROW()-2)</f>
        <v/>
      </c>
      <c r="B283" s="18" t="str">
        <f aca="false">IFERROR(INDEX(종합!B$3:B$501,MATCH(ROW()-2,종합!$AE$3:$AE$501,0))&amp;"","")</f>
        <v/>
      </c>
      <c r="C283" s="18" t="str">
        <f aca="false">IFERROR(INDEX(종합!C$3:C$501,MATCH(ROW()-2,종합!$AE$3:$AE$501,0))&amp;"","")</f>
        <v/>
      </c>
      <c r="D283" s="18" t="str">
        <f aca="false">IFERROR(INDEX(종합!D$3:D$501,MATCH(ROW()-2,종합!$AE$3:$AE$501,0))&amp;"","")</f>
        <v/>
      </c>
      <c r="E283" s="18" t="str">
        <f aca="false">IFERROR(INDEX(종합!E$3:E$501,MATCH(ROW()-2,종합!$AE$3:$AE$501,0))&amp;"","")</f>
        <v/>
      </c>
      <c r="F283" s="18" t="str">
        <f aca="false">IFERROR(INDEX(종합!F$3:F$501,MATCH(ROW()-2,종합!$AE$3:$AE$501,0))&amp;"","")</f>
        <v/>
      </c>
      <c r="G283" s="18" t="str">
        <f aca="false">IFERROR(INDEX(종합!G$3:G$501,MATCH(ROW()-2,종합!$AE$3:$AE$501,0))&amp;"","")</f>
        <v/>
      </c>
      <c r="H283" s="21" t="str">
        <f aca="false">IFERROR(INDEX(종합!H$3:H$501,MATCH(ROW()-2,종합!$AE$3:$AE$501,0))&amp;"","")</f>
        <v/>
      </c>
      <c r="I283" s="21" t="str">
        <f aca="false">IFERROR(INDEX(종합!I$3:I$501,MATCH(ROW()-2,종합!$AE$3:$AE$501,0))&amp;"","")</f>
        <v/>
      </c>
      <c r="J283" s="21" t="str">
        <f aca="false">IFERROR(INDEX(종합!J$3:J$501,MATCH(ROW()-2,종합!$AE$3:$AE$501,0))&amp;"","")</f>
        <v/>
      </c>
      <c r="K283" s="21" t="str">
        <f aca="false">IFERROR(INDEX(종합!K$3:K$501,MATCH(ROW()-2,종합!$AE$3:$AE$501,0))&amp;"","")</f>
        <v/>
      </c>
      <c r="L283" s="21" t="str">
        <f aca="false">IFERROR(INDEX(종합!L$3:L$501,MATCH(ROW()-2,종합!$AE$3:$AE$501,0))&amp;"","")</f>
        <v/>
      </c>
      <c r="M283" s="21" t="str">
        <f aca="false">IFERROR(INDEX(종합!M$3:M$501,MATCH(ROW()-2,종합!$AE$3:$AE$501,0))&amp;"","")</f>
        <v/>
      </c>
      <c r="N283" s="25" t="str">
        <f aca="false">IFERROR(INDEX(종합!N$3:N$501,MATCH(ROW()-2,종합!$AE$3:$AE$501,0))&amp;"","")</f>
        <v/>
      </c>
      <c r="O283" s="21" t="str">
        <f aca="false">IFERROR(INDEX(종합!O$3:O$501,MATCH(ROW()-2,종합!$AE$3:$AE$501,0))&amp;"","")</f>
        <v/>
      </c>
      <c r="P283" s="21" t="str">
        <f aca="false">IFERROR(INDEX(종합!P$3:P$501,MATCH(ROW()-2,종합!$AE$3:$AE$501,0))&amp;"","")</f>
        <v/>
      </c>
      <c r="Q283" s="21" t="str">
        <f aca="false">IFERROR(INDEX(종합!Q$3:Q$501,MATCH(ROW()-2,종합!$AE$3:$AE$501,0))&amp;"","")</f>
        <v/>
      </c>
      <c r="R283" s="21" t="str">
        <f aca="false">IFERROR(INDEX(종합!R$3:R$501,MATCH(ROW()-2,종합!$AE$3:$AE$501,0))&amp;"","")</f>
        <v/>
      </c>
      <c r="S283" s="21" t="str">
        <f aca="false">IFERROR(INDEX(종합!S$3:S$501,MATCH(ROW()-2,종합!$AE$3:$AE$501,0))&amp;"","")</f>
        <v/>
      </c>
      <c r="T283" s="21" t="str">
        <f aca="false">IFERROR(INDEX(종합!T$3:T$501,MATCH(ROW()-2,종합!$AE$3:$AE$501,0))&amp;"","")</f>
        <v/>
      </c>
      <c r="U283" s="21" t="str">
        <f aca="false">IFERROR(INDEX(종합!U$3:U$501,MATCH(ROW()-2,종합!$AE$3:$AE$501,0))&amp;"","")</f>
        <v/>
      </c>
      <c r="V283" s="21" t="str">
        <f aca="false">IFERROR(INDEX(종합!V$3:V$501,MATCH(ROW()-2,종합!$AE$3:$AE$501,0))&amp;"","")</f>
        <v/>
      </c>
      <c r="W283" s="21" t="str">
        <f aca="false">IFERROR(INDEX(종합!W$3:W$501,MATCH(ROW()-2,종합!$AE$3:$AE$501,0))&amp;"","")</f>
        <v/>
      </c>
      <c r="X283" s="21" t="str">
        <f aca="false">IFERROR(INDEX(종합!X$3:X$501,MATCH(ROW()-2,종합!$AE$3:$AE$501,0))&amp;"","")</f>
        <v/>
      </c>
      <c r="Y283" s="21" t="str">
        <f aca="false">IFERROR(INDEX(종합!Y$3:Y$501,MATCH(ROW()-2,종합!$AE$3:$AE$501,0))&amp;"","")</f>
        <v/>
      </c>
      <c r="Z283" s="21" t="str">
        <f aca="false">IFERROR(INDEX(종합!Z$3:Z$501,MATCH(ROW()-2,종합!$AE$3:$AE$501,0))&amp;"","")</f>
        <v/>
      </c>
    </row>
    <row r="284" customFormat="false" ht="16.5" hidden="false" customHeight="true" outlineLevel="0" collapsed="false">
      <c r="A284" s="18" t="str">
        <f aca="false">IF(B284="","",ROW()-2)</f>
        <v/>
      </c>
      <c r="B284" s="18" t="str">
        <f aca="false">IFERROR(INDEX(종합!B$3:B$501,MATCH(ROW()-2,종합!$AE$3:$AE$501,0))&amp;"","")</f>
        <v/>
      </c>
      <c r="C284" s="18" t="str">
        <f aca="false">IFERROR(INDEX(종합!C$3:C$501,MATCH(ROW()-2,종합!$AE$3:$AE$501,0))&amp;"","")</f>
        <v/>
      </c>
      <c r="D284" s="18" t="str">
        <f aca="false">IFERROR(INDEX(종합!D$3:D$501,MATCH(ROW()-2,종합!$AE$3:$AE$501,0))&amp;"","")</f>
        <v/>
      </c>
      <c r="E284" s="18" t="str">
        <f aca="false">IFERROR(INDEX(종합!E$3:E$501,MATCH(ROW()-2,종합!$AE$3:$AE$501,0))&amp;"","")</f>
        <v/>
      </c>
      <c r="F284" s="18" t="str">
        <f aca="false">IFERROR(INDEX(종합!F$3:F$501,MATCH(ROW()-2,종합!$AE$3:$AE$501,0))&amp;"","")</f>
        <v/>
      </c>
      <c r="G284" s="18" t="str">
        <f aca="false">IFERROR(INDEX(종합!G$3:G$501,MATCH(ROW()-2,종합!$AE$3:$AE$501,0))&amp;"","")</f>
        <v/>
      </c>
      <c r="H284" s="21" t="str">
        <f aca="false">IFERROR(INDEX(종합!H$3:H$501,MATCH(ROW()-2,종합!$AE$3:$AE$501,0))&amp;"","")</f>
        <v/>
      </c>
      <c r="I284" s="21" t="str">
        <f aca="false">IFERROR(INDEX(종합!I$3:I$501,MATCH(ROW()-2,종합!$AE$3:$AE$501,0))&amp;"","")</f>
        <v/>
      </c>
      <c r="J284" s="21" t="str">
        <f aca="false">IFERROR(INDEX(종합!J$3:J$501,MATCH(ROW()-2,종합!$AE$3:$AE$501,0))&amp;"","")</f>
        <v/>
      </c>
      <c r="K284" s="21" t="str">
        <f aca="false">IFERROR(INDEX(종합!K$3:K$501,MATCH(ROW()-2,종합!$AE$3:$AE$501,0))&amp;"","")</f>
        <v/>
      </c>
      <c r="L284" s="21" t="str">
        <f aca="false">IFERROR(INDEX(종합!L$3:L$501,MATCH(ROW()-2,종합!$AE$3:$AE$501,0))&amp;"","")</f>
        <v/>
      </c>
      <c r="M284" s="21" t="str">
        <f aca="false">IFERROR(INDEX(종합!M$3:M$501,MATCH(ROW()-2,종합!$AE$3:$AE$501,0))&amp;"","")</f>
        <v/>
      </c>
      <c r="N284" s="25" t="str">
        <f aca="false">IFERROR(INDEX(종합!N$3:N$501,MATCH(ROW()-2,종합!$AE$3:$AE$501,0))&amp;"","")</f>
        <v/>
      </c>
      <c r="O284" s="21" t="str">
        <f aca="false">IFERROR(INDEX(종합!O$3:O$501,MATCH(ROW()-2,종합!$AE$3:$AE$501,0))&amp;"","")</f>
        <v/>
      </c>
      <c r="P284" s="21" t="str">
        <f aca="false">IFERROR(INDEX(종합!P$3:P$501,MATCH(ROW()-2,종합!$AE$3:$AE$501,0))&amp;"","")</f>
        <v/>
      </c>
      <c r="Q284" s="21" t="str">
        <f aca="false">IFERROR(INDEX(종합!Q$3:Q$501,MATCH(ROW()-2,종합!$AE$3:$AE$501,0))&amp;"","")</f>
        <v/>
      </c>
      <c r="R284" s="21" t="str">
        <f aca="false">IFERROR(INDEX(종합!R$3:R$501,MATCH(ROW()-2,종합!$AE$3:$AE$501,0))&amp;"","")</f>
        <v/>
      </c>
      <c r="S284" s="21" t="str">
        <f aca="false">IFERROR(INDEX(종합!S$3:S$501,MATCH(ROW()-2,종합!$AE$3:$AE$501,0))&amp;"","")</f>
        <v/>
      </c>
      <c r="T284" s="21" t="str">
        <f aca="false">IFERROR(INDEX(종합!T$3:T$501,MATCH(ROW()-2,종합!$AE$3:$AE$501,0))&amp;"","")</f>
        <v/>
      </c>
      <c r="U284" s="21" t="str">
        <f aca="false">IFERROR(INDEX(종합!U$3:U$501,MATCH(ROW()-2,종합!$AE$3:$AE$501,0))&amp;"","")</f>
        <v/>
      </c>
      <c r="V284" s="21" t="str">
        <f aca="false">IFERROR(INDEX(종합!V$3:V$501,MATCH(ROW()-2,종합!$AE$3:$AE$501,0))&amp;"","")</f>
        <v/>
      </c>
      <c r="W284" s="21" t="str">
        <f aca="false">IFERROR(INDEX(종합!W$3:W$501,MATCH(ROW()-2,종합!$AE$3:$AE$501,0))&amp;"","")</f>
        <v/>
      </c>
      <c r="X284" s="21" t="str">
        <f aca="false">IFERROR(INDEX(종합!X$3:X$501,MATCH(ROW()-2,종합!$AE$3:$AE$501,0))&amp;"","")</f>
        <v/>
      </c>
      <c r="Y284" s="21" t="str">
        <f aca="false">IFERROR(INDEX(종합!Y$3:Y$501,MATCH(ROW()-2,종합!$AE$3:$AE$501,0))&amp;"","")</f>
        <v/>
      </c>
      <c r="Z284" s="21" t="str">
        <f aca="false">IFERROR(INDEX(종합!Z$3:Z$501,MATCH(ROW()-2,종합!$AE$3:$AE$501,0))&amp;"","")</f>
        <v/>
      </c>
    </row>
    <row r="285" customFormat="false" ht="16.5" hidden="false" customHeight="true" outlineLevel="0" collapsed="false">
      <c r="A285" s="18" t="str">
        <f aca="false">IF(B285="","",ROW()-2)</f>
        <v/>
      </c>
      <c r="B285" s="18" t="str">
        <f aca="false">IFERROR(INDEX(종합!B$3:B$501,MATCH(ROW()-2,종합!$AE$3:$AE$501,0))&amp;"","")</f>
        <v/>
      </c>
      <c r="C285" s="18" t="str">
        <f aca="false">IFERROR(INDEX(종합!C$3:C$501,MATCH(ROW()-2,종합!$AE$3:$AE$501,0))&amp;"","")</f>
        <v/>
      </c>
      <c r="D285" s="18" t="str">
        <f aca="false">IFERROR(INDEX(종합!D$3:D$501,MATCH(ROW()-2,종합!$AE$3:$AE$501,0))&amp;"","")</f>
        <v/>
      </c>
      <c r="E285" s="18" t="str">
        <f aca="false">IFERROR(INDEX(종합!E$3:E$501,MATCH(ROW()-2,종합!$AE$3:$AE$501,0))&amp;"","")</f>
        <v/>
      </c>
      <c r="F285" s="18" t="str">
        <f aca="false">IFERROR(INDEX(종합!F$3:F$501,MATCH(ROW()-2,종합!$AE$3:$AE$501,0))&amp;"","")</f>
        <v/>
      </c>
      <c r="G285" s="18" t="str">
        <f aca="false">IFERROR(INDEX(종합!G$3:G$501,MATCH(ROW()-2,종합!$AE$3:$AE$501,0))&amp;"","")</f>
        <v/>
      </c>
      <c r="H285" s="21" t="str">
        <f aca="false">IFERROR(INDEX(종합!H$3:H$501,MATCH(ROW()-2,종합!$AE$3:$AE$501,0))&amp;"","")</f>
        <v/>
      </c>
      <c r="I285" s="21" t="str">
        <f aca="false">IFERROR(INDEX(종합!I$3:I$501,MATCH(ROW()-2,종합!$AE$3:$AE$501,0))&amp;"","")</f>
        <v/>
      </c>
      <c r="J285" s="21" t="str">
        <f aca="false">IFERROR(INDEX(종합!J$3:J$501,MATCH(ROW()-2,종합!$AE$3:$AE$501,0))&amp;"","")</f>
        <v/>
      </c>
      <c r="K285" s="21" t="str">
        <f aca="false">IFERROR(INDEX(종합!K$3:K$501,MATCH(ROW()-2,종합!$AE$3:$AE$501,0))&amp;"","")</f>
        <v/>
      </c>
      <c r="L285" s="21" t="str">
        <f aca="false">IFERROR(INDEX(종합!L$3:L$501,MATCH(ROW()-2,종합!$AE$3:$AE$501,0))&amp;"","")</f>
        <v/>
      </c>
      <c r="M285" s="21" t="str">
        <f aca="false">IFERROR(INDEX(종합!M$3:M$501,MATCH(ROW()-2,종합!$AE$3:$AE$501,0))&amp;"","")</f>
        <v/>
      </c>
      <c r="N285" s="25" t="str">
        <f aca="false">IFERROR(INDEX(종합!N$3:N$501,MATCH(ROW()-2,종합!$AE$3:$AE$501,0))&amp;"","")</f>
        <v/>
      </c>
      <c r="O285" s="21" t="str">
        <f aca="false">IFERROR(INDEX(종합!O$3:O$501,MATCH(ROW()-2,종합!$AE$3:$AE$501,0))&amp;"","")</f>
        <v/>
      </c>
      <c r="P285" s="21" t="str">
        <f aca="false">IFERROR(INDEX(종합!P$3:P$501,MATCH(ROW()-2,종합!$AE$3:$AE$501,0))&amp;"","")</f>
        <v/>
      </c>
      <c r="Q285" s="21" t="str">
        <f aca="false">IFERROR(INDEX(종합!Q$3:Q$501,MATCH(ROW()-2,종합!$AE$3:$AE$501,0))&amp;"","")</f>
        <v/>
      </c>
      <c r="R285" s="21" t="str">
        <f aca="false">IFERROR(INDEX(종합!R$3:R$501,MATCH(ROW()-2,종합!$AE$3:$AE$501,0))&amp;"","")</f>
        <v/>
      </c>
      <c r="S285" s="21" t="str">
        <f aca="false">IFERROR(INDEX(종합!S$3:S$501,MATCH(ROW()-2,종합!$AE$3:$AE$501,0))&amp;"","")</f>
        <v/>
      </c>
      <c r="T285" s="21" t="str">
        <f aca="false">IFERROR(INDEX(종합!T$3:T$501,MATCH(ROW()-2,종합!$AE$3:$AE$501,0))&amp;"","")</f>
        <v/>
      </c>
      <c r="U285" s="21" t="str">
        <f aca="false">IFERROR(INDEX(종합!U$3:U$501,MATCH(ROW()-2,종합!$AE$3:$AE$501,0))&amp;"","")</f>
        <v/>
      </c>
      <c r="V285" s="21" t="str">
        <f aca="false">IFERROR(INDEX(종합!V$3:V$501,MATCH(ROW()-2,종합!$AE$3:$AE$501,0))&amp;"","")</f>
        <v/>
      </c>
      <c r="W285" s="21" t="str">
        <f aca="false">IFERROR(INDEX(종합!W$3:W$501,MATCH(ROW()-2,종합!$AE$3:$AE$501,0))&amp;"","")</f>
        <v/>
      </c>
      <c r="X285" s="21" t="str">
        <f aca="false">IFERROR(INDEX(종합!X$3:X$501,MATCH(ROW()-2,종합!$AE$3:$AE$501,0))&amp;"","")</f>
        <v/>
      </c>
      <c r="Y285" s="21" t="str">
        <f aca="false">IFERROR(INDEX(종합!Y$3:Y$501,MATCH(ROW()-2,종합!$AE$3:$AE$501,0))&amp;"","")</f>
        <v/>
      </c>
      <c r="Z285" s="21" t="str">
        <f aca="false">IFERROR(INDEX(종합!Z$3:Z$501,MATCH(ROW()-2,종합!$AE$3:$AE$501,0))&amp;"","")</f>
        <v/>
      </c>
    </row>
    <row r="286" customFormat="false" ht="16.5" hidden="false" customHeight="true" outlineLevel="0" collapsed="false">
      <c r="A286" s="18" t="str">
        <f aca="false">IF(B286="","",ROW()-2)</f>
        <v/>
      </c>
      <c r="B286" s="18" t="str">
        <f aca="false">IFERROR(INDEX(종합!B$3:B$501,MATCH(ROW()-2,종합!$AE$3:$AE$501,0))&amp;"","")</f>
        <v/>
      </c>
      <c r="C286" s="18" t="str">
        <f aca="false">IFERROR(INDEX(종합!C$3:C$501,MATCH(ROW()-2,종합!$AE$3:$AE$501,0))&amp;"","")</f>
        <v/>
      </c>
      <c r="D286" s="18" t="str">
        <f aca="false">IFERROR(INDEX(종합!D$3:D$501,MATCH(ROW()-2,종합!$AE$3:$AE$501,0))&amp;"","")</f>
        <v/>
      </c>
      <c r="E286" s="18" t="str">
        <f aca="false">IFERROR(INDEX(종합!E$3:E$501,MATCH(ROW()-2,종합!$AE$3:$AE$501,0))&amp;"","")</f>
        <v/>
      </c>
      <c r="F286" s="18" t="str">
        <f aca="false">IFERROR(INDEX(종합!F$3:F$501,MATCH(ROW()-2,종합!$AE$3:$AE$501,0))&amp;"","")</f>
        <v/>
      </c>
      <c r="G286" s="18" t="str">
        <f aca="false">IFERROR(INDEX(종합!G$3:G$501,MATCH(ROW()-2,종합!$AE$3:$AE$501,0))&amp;"","")</f>
        <v/>
      </c>
      <c r="H286" s="21" t="str">
        <f aca="false">IFERROR(INDEX(종합!H$3:H$501,MATCH(ROW()-2,종합!$AE$3:$AE$501,0))&amp;"","")</f>
        <v/>
      </c>
      <c r="I286" s="21" t="str">
        <f aca="false">IFERROR(INDEX(종합!I$3:I$501,MATCH(ROW()-2,종합!$AE$3:$AE$501,0))&amp;"","")</f>
        <v/>
      </c>
      <c r="J286" s="21" t="str">
        <f aca="false">IFERROR(INDEX(종합!J$3:J$501,MATCH(ROW()-2,종합!$AE$3:$AE$501,0))&amp;"","")</f>
        <v/>
      </c>
      <c r="K286" s="21" t="str">
        <f aca="false">IFERROR(INDEX(종합!K$3:K$501,MATCH(ROW()-2,종합!$AE$3:$AE$501,0))&amp;"","")</f>
        <v/>
      </c>
      <c r="L286" s="21" t="str">
        <f aca="false">IFERROR(INDEX(종합!L$3:L$501,MATCH(ROW()-2,종합!$AE$3:$AE$501,0))&amp;"","")</f>
        <v/>
      </c>
      <c r="M286" s="21" t="str">
        <f aca="false">IFERROR(INDEX(종합!M$3:M$501,MATCH(ROW()-2,종합!$AE$3:$AE$501,0))&amp;"","")</f>
        <v/>
      </c>
      <c r="N286" s="25" t="str">
        <f aca="false">IFERROR(INDEX(종합!N$3:N$501,MATCH(ROW()-2,종합!$AE$3:$AE$501,0))&amp;"","")</f>
        <v/>
      </c>
      <c r="O286" s="21" t="str">
        <f aca="false">IFERROR(INDEX(종합!O$3:O$501,MATCH(ROW()-2,종합!$AE$3:$AE$501,0))&amp;"","")</f>
        <v/>
      </c>
      <c r="P286" s="21" t="str">
        <f aca="false">IFERROR(INDEX(종합!P$3:P$501,MATCH(ROW()-2,종합!$AE$3:$AE$501,0))&amp;"","")</f>
        <v/>
      </c>
      <c r="Q286" s="21" t="str">
        <f aca="false">IFERROR(INDEX(종합!Q$3:Q$501,MATCH(ROW()-2,종합!$AE$3:$AE$501,0))&amp;"","")</f>
        <v/>
      </c>
      <c r="R286" s="21" t="str">
        <f aca="false">IFERROR(INDEX(종합!R$3:R$501,MATCH(ROW()-2,종합!$AE$3:$AE$501,0))&amp;"","")</f>
        <v/>
      </c>
      <c r="S286" s="21" t="str">
        <f aca="false">IFERROR(INDEX(종합!S$3:S$501,MATCH(ROW()-2,종합!$AE$3:$AE$501,0))&amp;"","")</f>
        <v/>
      </c>
      <c r="T286" s="21" t="str">
        <f aca="false">IFERROR(INDEX(종합!T$3:T$501,MATCH(ROW()-2,종합!$AE$3:$AE$501,0))&amp;"","")</f>
        <v/>
      </c>
      <c r="U286" s="21" t="str">
        <f aca="false">IFERROR(INDEX(종합!U$3:U$501,MATCH(ROW()-2,종합!$AE$3:$AE$501,0))&amp;"","")</f>
        <v/>
      </c>
      <c r="V286" s="21" t="str">
        <f aca="false">IFERROR(INDEX(종합!V$3:V$501,MATCH(ROW()-2,종합!$AE$3:$AE$501,0))&amp;"","")</f>
        <v/>
      </c>
      <c r="W286" s="21" t="str">
        <f aca="false">IFERROR(INDEX(종합!W$3:W$501,MATCH(ROW()-2,종합!$AE$3:$AE$501,0))&amp;"","")</f>
        <v/>
      </c>
      <c r="X286" s="21" t="str">
        <f aca="false">IFERROR(INDEX(종합!X$3:X$501,MATCH(ROW()-2,종합!$AE$3:$AE$501,0))&amp;"","")</f>
        <v/>
      </c>
      <c r="Y286" s="21" t="str">
        <f aca="false">IFERROR(INDEX(종합!Y$3:Y$501,MATCH(ROW()-2,종합!$AE$3:$AE$501,0))&amp;"","")</f>
        <v/>
      </c>
      <c r="Z286" s="21" t="str">
        <f aca="false">IFERROR(INDEX(종합!Z$3:Z$501,MATCH(ROW()-2,종합!$AE$3:$AE$501,0))&amp;"","")</f>
        <v/>
      </c>
    </row>
    <row r="287" customFormat="false" ht="16.5" hidden="false" customHeight="true" outlineLevel="0" collapsed="false">
      <c r="A287" s="18" t="str">
        <f aca="false">IF(B287="","",ROW()-2)</f>
        <v/>
      </c>
      <c r="B287" s="18" t="str">
        <f aca="false">IFERROR(INDEX(종합!B$3:B$501,MATCH(ROW()-2,종합!$AE$3:$AE$501,0))&amp;"","")</f>
        <v/>
      </c>
      <c r="C287" s="18" t="str">
        <f aca="false">IFERROR(INDEX(종합!C$3:C$501,MATCH(ROW()-2,종합!$AE$3:$AE$501,0))&amp;"","")</f>
        <v/>
      </c>
      <c r="D287" s="18" t="str">
        <f aca="false">IFERROR(INDEX(종합!D$3:D$501,MATCH(ROW()-2,종합!$AE$3:$AE$501,0))&amp;"","")</f>
        <v/>
      </c>
      <c r="E287" s="18" t="str">
        <f aca="false">IFERROR(INDEX(종합!E$3:E$501,MATCH(ROW()-2,종합!$AE$3:$AE$501,0))&amp;"","")</f>
        <v/>
      </c>
      <c r="F287" s="18" t="str">
        <f aca="false">IFERROR(INDEX(종합!F$3:F$501,MATCH(ROW()-2,종합!$AE$3:$AE$501,0))&amp;"","")</f>
        <v/>
      </c>
      <c r="G287" s="18" t="str">
        <f aca="false">IFERROR(INDEX(종합!G$3:G$501,MATCH(ROW()-2,종합!$AE$3:$AE$501,0))&amp;"","")</f>
        <v/>
      </c>
      <c r="H287" s="21" t="str">
        <f aca="false">IFERROR(INDEX(종합!H$3:H$501,MATCH(ROW()-2,종합!$AE$3:$AE$501,0))&amp;"","")</f>
        <v/>
      </c>
      <c r="I287" s="21" t="str">
        <f aca="false">IFERROR(INDEX(종합!I$3:I$501,MATCH(ROW()-2,종합!$AE$3:$AE$501,0))&amp;"","")</f>
        <v/>
      </c>
      <c r="J287" s="21" t="str">
        <f aca="false">IFERROR(INDEX(종합!J$3:J$501,MATCH(ROW()-2,종합!$AE$3:$AE$501,0))&amp;"","")</f>
        <v/>
      </c>
      <c r="K287" s="21" t="str">
        <f aca="false">IFERROR(INDEX(종합!K$3:K$501,MATCH(ROW()-2,종합!$AE$3:$AE$501,0))&amp;"","")</f>
        <v/>
      </c>
      <c r="L287" s="21" t="str">
        <f aca="false">IFERROR(INDEX(종합!L$3:L$501,MATCH(ROW()-2,종합!$AE$3:$AE$501,0))&amp;"","")</f>
        <v/>
      </c>
      <c r="M287" s="21" t="str">
        <f aca="false">IFERROR(INDEX(종합!M$3:M$501,MATCH(ROW()-2,종합!$AE$3:$AE$501,0))&amp;"","")</f>
        <v/>
      </c>
      <c r="N287" s="25" t="str">
        <f aca="false">IFERROR(INDEX(종합!N$3:N$501,MATCH(ROW()-2,종합!$AE$3:$AE$501,0))&amp;"","")</f>
        <v/>
      </c>
      <c r="O287" s="21" t="str">
        <f aca="false">IFERROR(INDEX(종합!O$3:O$501,MATCH(ROW()-2,종합!$AE$3:$AE$501,0))&amp;"","")</f>
        <v/>
      </c>
      <c r="P287" s="21" t="str">
        <f aca="false">IFERROR(INDEX(종합!P$3:P$501,MATCH(ROW()-2,종합!$AE$3:$AE$501,0))&amp;"","")</f>
        <v/>
      </c>
      <c r="Q287" s="21" t="str">
        <f aca="false">IFERROR(INDEX(종합!Q$3:Q$501,MATCH(ROW()-2,종합!$AE$3:$AE$501,0))&amp;"","")</f>
        <v/>
      </c>
      <c r="R287" s="21" t="str">
        <f aca="false">IFERROR(INDEX(종합!R$3:R$501,MATCH(ROW()-2,종합!$AE$3:$AE$501,0))&amp;"","")</f>
        <v/>
      </c>
      <c r="S287" s="21" t="str">
        <f aca="false">IFERROR(INDEX(종합!S$3:S$501,MATCH(ROW()-2,종합!$AE$3:$AE$501,0))&amp;"","")</f>
        <v/>
      </c>
      <c r="T287" s="21" t="str">
        <f aca="false">IFERROR(INDEX(종합!T$3:T$501,MATCH(ROW()-2,종합!$AE$3:$AE$501,0))&amp;"","")</f>
        <v/>
      </c>
      <c r="U287" s="21" t="str">
        <f aca="false">IFERROR(INDEX(종합!U$3:U$501,MATCH(ROW()-2,종합!$AE$3:$AE$501,0))&amp;"","")</f>
        <v/>
      </c>
      <c r="V287" s="21" t="str">
        <f aca="false">IFERROR(INDEX(종합!V$3:V$501,MATCH(ROW()-2,종합!$AE$3:$AE$501,0))&amp;"","")</f>
        <v/>
      </c>
      <c r="W287" s="21" t="str">
        <f aca="false">IFERROR(INDEX(종합!W$3:W$501,MATCH(ROW()-2,종합!$AE$3:$AE$501,0))&amp;"","")</f>
        <v/>
      </c>
      <c r="X287" s="21" t="str">
        <f aca="false">IFERROR(INDEX(종합!X$3:X$501,MATCH(ROW()-2,종합!$AE$3:$AE$501,0))&amp;"","")</f>
        <v/>
      </c>
      <c r="Y287" s="21" t="str">
        <f aca="false">IFERROR(INDEX(종합!Y$3:Y$501,MATCH(ROW()-2,종합!$AE$3:$AE$501,0))&amp;"","")</f>
        <v/>
      </c>
      <c r="Z287" s="21" t="str">
        <f aca="false">IFERROR(INDEX(종합!Z$3:Z$501,MATCH(ROW()-2,종합!$AE$3:$AE$501,0))&amp;"","")</f>
        <v/>
      </c>
    </row>
    <row r="288" customFormat="false" ht="16.5" hidden="false" customHeight="true" outlineLevel="0" collapsed="false">
      <c r="A288" s="18" t="str">
        <f aca="false">IF(B288="","",ROW()-2)</f>
        <v/>
      </c>
      <c r="B288" s="18" t="str">
        <f aca="false">IFERROR(INDEX(종합!B$3:B$501,MATCH(ROW()-2,종합!$AE$3:$AE$501,0))&amp;"","")</f>
        <v/>
      </c>
      <c r="C288" s="18" t="str">
        <f aca="false">IFERROR(INDEX(종합!C$3:C$501,MATCH(ROW()-2,종합!$AE$3:$AE$501,0))&amp;"","")</f>
        <v/>
      </c>
      <c r="D288" s="18" t="str">
        <f aca="false">IFERROR(INDEX(종합!D$3:D$501,MATCH(ROW()-2,종합!$AE$3:$AE$501,0))&amp;"","")</f>
        <v/>
      </c>
      <c r="E288" s="18" t="str">
        <f aca="false">IFERROR(INDEX(종합!E$3:E$501,MATCH(ROW()-2,종합!$AE$3:$AE$501,0))&amp;"","")</f>
        <v/>
      </c>
      <c r="F288" s="18" t="str">
        <f aca="false">IFERROR(INDEX(종합!F$3:F$501,MATCH(ROW()-2,종합!$AE$3:$AE$501,0))&amp;"","")</f>
        <v/>
      </c>
      <c r="G288" s="18" t="str">
        <f aca="false">IFERROR(INDEX(종합!G$3:G$501,MATCH(ROW()-2,종합!$AE$3:$AE$501,0))&amp;"","")</f>
        <v/>
      </c>
      <c r="H288" s="21" t="str">
        <f aca="false">IFERROR(INDEX(종합!H$3:H$501,MATCH(ROW()-2,종합!$AE$3:$AE$501,0))&amp;"","")</f>
        <v/>
      </c>
      <c r="I288" s="21" t="str">
        <f aca="false">IFERROR(INDEX(종합!I$3:I$501,MATCH(ROW()-2,종합!$AE$3:$AE$501,0))&amp;"","")</f>
        <v/>
      </c>
      <c r="J288" s="21" t="str">
        <f aca="false">IFERROR(INDEX(종합!J$3:J$501,MATCH(ROW()-2,종합!$AE$3:$AE$501,0))&amp;"","")</f>
        <v/>
      </c>
      <c r="K288" s="21" t="str">
        <f aca="false">IFERROR(INDEX(종합!K$3:K$501,MATCH(ROW()-2,종합!$AE$3:$AE$501,0))&amp;"","")</f>
        <v/>
      </c>
      <c r="L288" s="21" t="str">
        <f aca="false">IFERROR(INDEX(종합!L$3:L$501,MATCH(ROW()-2,종합!$AE$3:$AE$501,0))&amp;"","")</f>
        <v/>
      </c>
      <c r="M288" s="21" t="str">
        <f aca="false">IFERROR(INDEX(종합!M$3:M$501,MATCH(ROW()-2,종합!$AE$3:$AE$501,0))&amp;"","")</f>
        <v/>
      </c>
      <c r="N288" s="25" t="str">
        <f aca="false">IFERROR(INDEX(종합!N$3:N$501,MATCH(ROW()-2,종합!$AE$3:$AE$501,0))&amp;"","")</f>
        <v/>
      </c>
      <c r="O288" s="21" t="str">
        <f aca="false">IFERROR(INDEX(종합!O$3:O$501,MATCH(ROW()-2,종합!$AE$3:$AE$501,0))&amp;"","")</f>
        <v/>
      </c>
      <c r="P288" s="21" t="str">
        <f aca="false">IFERROR(INDEX(종합!P$3:P$501,MATCH(ROW()-2,종합!$AE$3:$AE$501,0))&amp;"","")</f>
        <v/>
      </c>
      <c r="Q288" s="21" t="str">
        <f aca="false">IFERROR(INDEX(종합!Q$3:Q$501,MATCH(ROW()-2,종합!$AE$3:$AE$501,0))&amp;"","")</f>
        <v/>
      </c>
      <c r="R288" s="21" t="str">
        <f aca="false">IFERROR(INDEX(종합!R$3:R$501,MATCH(ROW()-2,종합!$AE$3:$AE$501,0))&amp;"","")</f>
        <v/>
      </c>
      <c r="S288" s="21" t="str">
        <f aca="false">IFERROR(INDEX(종합!S$3:S$501,MATCH(ROW()-2,종합!$AE$3:$AE$501,0))&amp;"","")</f>
        <v/>
      </c>
      <c r="T288" s="21" t="str">
        <f aca="false">IFERROR(INDEX(종합!T$3:T$501,MATCH(ROW()-2,종합!$AE$3:$AE$501,0))&amp;"","")</f>
        <v/>
      </c>
      <c r="U288" s="21" t="str">
        <f aca="false">IFERROR(INDEX(종합!U$3:U$501,MATCH(ROW()-2,종합!$AE$3:$AE$501,0))&amp;"","")</f>
        <v/>
      </c>
      <c r="V288" s="21" t="str">
        <f aca="false">IFERROR(INDEX(종합!V$3:V$501,MATCH(ROW()-2,종합!$AE$3:$AE$501,0))&amp;"","")</f>
        <v/>
      </c>
      <c r="W288" s="21" t="str">
        <f aca="false">IFERROR(INDEX(종합!W$3:W$501,MATCH(ROW()-2,종합!$AE$3:$AE$501,0))&amp;"","")</f>
        <v/>
      </c>
      <c r="X288" s="21" t="str">
        <f aca="false">IFERROR(INDEX(종합!X$3:X$501,MATCH(ROW()-2,종합!$AE$3:$AE$501,0))&amp;"","")</f>
        <v/>
      </c>
      <c r="Y288" s="21" t="str">
        <f aca="false">IFERROR(INDEX(종합!Y$3:Y$501,MATCH(ROW()-2,종합!$AE$3:$AE$501,0))&amp;"","")</f>
        <v/>
      </c>
      <c r="Z288" s="21" t="str">
        <f aca="false">IFERROR(INDEX(종합!Z$3:Z$501,MATCH(ROW()-2,종합!$AE$3:$AE$501,0))&amp;"","")</f>
        <v/>
      </c>
    </row>
    <row r="289" customFormat="false" ht="16.5" hidden="false" customHeight="true" outlineLevel="0" collapsed="false">
      <c r="A289" s="18" t="str">
        <f aca="false">IF(B289="","",ROW()-2)</f>
        <v/>
      </c>
      <c r="B289" s="18" t="str">
        <f aca="false">IFERROR(INDEX(종합!B$3:B$501,MATCH(ROW()-2,종합!$AE$3:$AE$501,0))&amp;"","")</f>
        <v/>
      </c>
      <c r="C289" s="18" t="str">
        <f aca="false">IFERROR(INDEX(종합!C$3:C$501,MATCH(ROW()-2,종합!$AE$3:$AE$501,0))&amp;"","")</f>
        <v/>
      </c>
      <c r="D289" s="18" t="str">
        <f aca="false">IFERROR(INDEX(종합!D$3:D$501,MATCH(ROW()-2,종합!$AE$3:$AE$501,0))&amp;"","")</f>
        <v/>
      </c>
      <c r="E289" s="18" t="str">
        <f aca="false">IFERROR(INDEX(종합!E$3:E$501,MATCH(ROW()-2,종합!$AE$3:$AE$501,0))&amp;"","")</f>
        <v/>
      </c>
      <c r="F289" s="18" t="str">
        <f aca="false">IFERROR(INDEX(종합!F$3:F$501,MATCH(ROW()-2,종합!$AE$3:$AE$501,0))&amp;"","")</f>
        <v/>
      </c>
      <c r="G289" s="18" t="str">
        <f aca="false">IFERROR(INDEX(종합!G$3:G$501,MATCH(ROW()-2,종합!$AE$3:$AE$501,0))&amp;"","")</f>
        <v/>
      </c>
      <c r="H289" s="21" t="str">
        <f aca="false">IFERROR(INDEX(종합!H$3:H$501,MATCH(ROW()-2,종합!$AE$3:$AE$501,0))&amp;"","")</f>
        <v/>
      </c>
      <c r="I289" s="21" t="str">
        <f aca="false">IFERROR(INDEX(종합!I$3:I$501,MATCH(ROW()-2,종합!$AE$3:$AE$501,0))&amp;"","")</f>
        <v/>
      </c>
      <c r="J289" s="21" t="str">
        <f aca="false">IFERROR(INDEX(종합!J$3:J$501,MATCH(ROW()-2,종합!$AE$3:$AE$501,0))&amp;"","")</f>
        <v/>
      </c>
      <c r="K289" s="21" t="str">
        <f aca="false">IFERROR(INDEX(종합!K$3:K$501,MATCH(ROW()-2,종합!$AE$3:$AE$501,0))&amp;"","")</f>
        <v/>
      </c>
      <c r="L289" s="21" t="str">
        <f aca="false">IFERROR(INDEX(종합!L$3:L$501,MATCH(ROW()-2,종합!$AE$3:$AE$501,0))&amp;"","")</f>
        <v/>
      </c>
      <c r="M289" s="21" t="str">
        <f aca="false">IFERROR(INDEX(종합!M$3:M$501,MATCH(ROW()-2,종합!$AE$3:$AE$501,0))&amp;"","")</f>
        <v/>
      </c>
      <c r="N289" s="25" t="str">
        <f aca="false">IFERROR(INDEX(종합!N$3:N$501,MATCH(ROW()-2,종합!$AE$3:$AE$501,0))&amp;"","")</f>
        <v/>
      </c>
      <c r="O289" s="21" t="str">
        <f aca="false">IFERROR(INDEX(종합!O$3:O$501,MATCH(ROW()-2,종합!$AE$3:$AE$501,0))&amp;"","")</f>
        <v/>
      </c>
      <c r="P289" s="21" t="str">
        <f aca="false">IFERROR(INDEX(종합!P$3:P$501,MATCH(ROW()-2,종합!$AE$3:$AE$501,0))&amp;"","")</f>
        <v/>
      </c>
      <c r="Q289" s="21" t="str">
        <f aca="false">IFERROR(INDEX(종합!Q$3:Q$501,MATCH(ROW()-2,종합!$AE$3:$AE$501,0))&amp;"","")</f>
        <v/>
      </c>
      <c r="R289" s="21" t="str">
        <f aca="false">IFERROR(INDEX(종합!R$3:R$501,MATCH(ROW()-2,종합!$AE$3:$AE$501,0))&amp;"","")</f>
        <v/>
      </c>
      <c r="S289" s="21" t="str">
        <f aca="false">IFERROR(INDEX(종합!S$3:S$501,MATCH(ROW()-2,종합!$AE$3:$AE$501,0))&amp;"","")</f>
        <v/>
      </c>
      <c r="T289" s="21" t="str">
        <f aca="false">IFERROR(INDEX(종합!T$3:T$501,MATCH(ROW()-2,종합!$AE$3:$AE$501,0))&amp;"","")</f>
        <v/>
      </c>
      <c r="U289" s="21" t="str">
        <f aca="false">IFERROR(INDEX(종합!U$3:U$501,MATCH(ROW()-2,종합!$AE$3:$AE$501,0))&amp;"","")</f>
        <v/>
      </c>
      <c r="V289" s="21" t="str">
        <f aca="false">IFERROR(INDEX(종합!V$3:V$501,MATCH(ROW()-2,종합!$AE$3:$AE$501,0))&amp;"","")</f>
        <v/>
      </c>
      <c r="W289" s="21" t="str">
        <f aca="false">IFERROR(INDEX(종합!W$3:W$501,MATCH(ROW()-2,종합!$AE$3:$AE$501,0))&amp;"","")</f>
        <v/>
      </c>
      <c r="X289" s="21" t="str">
        <f aca="false">IFERROR(INDEX(종합!X$3:X$501,MATCH(ROW()-2,종합!$AE$3:$AE$501,0))&amp;"","")</f>
        <v/>
      </c>
      <c r="Y289" s="21" t="str">
        <f aca="false">IFERROR(INDEX(종합!Y$3:Y$501,MATCH(ROW()-2,종합!$AE$3:$AE$501,0))&amp;"","")</f>
        <v/>
      </c>
      <c r="Z289" s="21" t="str">
        <f aca="false">IFERROR(INDEX(종합!Z$3:Z$501,MATCH(ROW()-2,종합!$AE$3:$AE$501,0))&amp;"","")</f>
        <v/>
      </c>
    </row>
    <row r="290" customFormat="false" ht="16.5" hidden="false" customHeight="true" outlineLevel="0" collapsed="false">
      <c r="A290" s="18" t="str">
        <f aca="false">IF(B290="","",ROW()-2)</f>
        <v/>
      </c>
      <c r="B290" s="18" t="str">
        <f aca="false">IFERROR(INDEX(종합!B$3:B$501,MATCH(ROW()-2,종합!$AE$3:$AE$501,0))&amp;"","")</f>
        <v/>
      </c>
      <c r="C290" s="18" t="str">
        <f aca="false">IFERROR(INDEX(종합!C$3:C$501,MATCH(ROW()-2,종합!$AE$3:$AE$501,0))&amp;"","")</f>
        <v/>
      </c>
      <c r="D290" s="18" t="str">
        <f aca="false">IFERROR(INDEX(종합!D$3:D$501,MATCH(ROW()-2,종합!$AE$3:$AE$501,0))&amp;"","")</f>
        <v/>
      </c>
      <c r="E290" s="18" t="str">
        <f aca="false">IFERROR(INDEX(종합!E$3:E$501,MATCH(ROW()-2,종합!$AE$3:$AE$501,0))&amp;"","")</f>
        <v/>
      </c>
      <c r="F290" s="18" t="str">
        <f aca="false">IFERROR(INDEX(종합!F$3:F$501,MATCH(ROW()-2,종합!$AE$3:$AE$501,0))&amp;"","")</f>
        <v/>
      </c>
      <c r="G290" s="18" t="str">
        <f aca="false">IFERROR(INDEX(종합!G$3:G$501,MATCH(ROW()-2,종합!$AE$3:$AE$501,0))&amp;"","")</f>
        <v/>
      </c>
      <c r="H290" s="21" t="str">
        <f aca="false">IFERROR(INDEX(종합!H$3:H$501,MATCH(ROW()-2,종합!$AE$3:$AE$501,0))&amp;"","")</f>
        <v/>
      </c>
      <c r="I290" s="21" t="str">
        <f aca="false">IFERROR(INDEX(종합!I$3:I$501,MATCH(ROW()-2,종합!$AE$3:$AE$501,0))&amp;"","")</f>
        <v/>
      </c>
      <c r="J290" s="21" t="str">
        <f aca="false">IFERROR(INDEX(종합!J$3:J$501,MATCH(ROW()-2,종합!$AE$3:$AE$501,0))&amp;"","")</f>
        <v/>
      </c>
      <c r="K290" s="21" t="str">
        <f aca="false">IFERROR(INDEX(종합!K$3:K$501,MATCH(ROW()-2,종합!$AE$3:$AE$501,0))&amp;"","")</f>
        <v/>
      </c>
      <c r="L290" s="21" t="str">
        <f aca="false">IFERROR(INDEX(종합!L$3:L$501,MATCH(ROW()-2,종합!$AE$3:$AE$501,0))&amp;"","")</f>
        <v/>
      </c>
      <c r="M290" s="21" t="str">
        <f aca="false">IFERROR(INDEX(종합!M$3:M$501,MATCH(ROW()-2,종합!$AE$3:$AE$501,0))&amp;"","")</f>
        <v/>
      </c>
      <c r="N290" s="25" t="str">
        <f aca="false">IFERROR(INDEX(종합!N$3:N$501,MATCH(ROW()-2,종합!$AE$3:$AE$501,0))&amp;"","")</f>
        <v/>
      </c>
      <c r="O290" s="21" t="str">
        <f aca="false">IFERROR(INDEX(종합!O$3:O$501,MATCH(ROW()-2,종합!$AE$3:$AE$501,0))&amp;"","")</f>
        <v/>
      </c>
      <c r="P290" s="21" t="str">
        <f aca="false">IFERROR(INDEX(종합!P$3:P$501,MATCH(ROW()-2,종합!$AE$3:$AE$501,0))&amp;"","")</f>
        <v/>
      </c>
      <c r="Q290" s="21" t="str">
        <f aca="false">IFERROR(INDEX(종합!Q$3:Q$501,MATCH(ROW()-2,종합!$AE$3:$AE$501,0))&amp;"","")</f>
        <v/>
      </c>
      <c r="R290" s="21" t="str">
        <f aca="false">IFERROR(INDEX(종합!R$3:R$501,MATCH(ROW()-2,종합!$AE$3:$AE$501,0))&amp;"","")</f>
        <v/>
      </c>
      <c r="S290" s="21" t="str">
        <f aca="false">IFERROR(INDEX(종합!S$3:S$501,MATCH(ROW()-2,종합!$AE$3:$AE$501,0))&amp;"","")</f>
        <v/>
      </c>
      <c r="T290" s="21" t="str">
        <f aca="false">IFERROR(INDEX(종합!T$3:T$501,MATCH(ROW()-2,종합!$AE$3:$AE$501,0))&amp;"","")</f>
        <v/>
      </c>
      <c r="U290" s="21" t="str">
        <f aca="false">IFERROR(INDEX(종합!U$3:U$501,MATCH(ROW()-2,종합!$AE$3:$AE$501,0))&amp;"","")</f>
        <v/>
      </c>
      <c r="V290" s="21" t="str">
        <f aca="false">IFERROR(INDEX(종합!V$3:V$501,MATCH(ROW()-2,종합!$AE$3:$AE$501,0))&amp;"","")</f>
        <v/>
      </c>
      <c r="W290" s="21" t="str">
        <f aca="false">IFERROR(INDEX(종합!W$3:W$501,MATCH(ROW()-2,종합!$AE$3:$AE$501,0))&amp;"","")</f>
        <v/>
      </c>
      <c r="X290" s="21" t="str">
        <f aca="false">IFERROR(INDEX(종합!X$3:X$501,MATCH(ROW()-2,종합!$AE$3:$AE$501,0))&amp;"","")</f>
        <v/>
      </c>
      <c r="Y290" s="21" t="str">
        <f aca="false">IFERROR(INDEX(종합!Y$3:Y$501,MATCH(ROW()-2,종합!$AE$3:$AE$501,0))&amp;"","")</f>
        <v/>
      </c>
      <c r="Z290" s="21" t="str">
        <f aca="false">IFERROR(INDEX(종합!Z$3:Z$501,MATCH(ROW()-2,종합!$AE$3:$AE$501,0))&amp;"","")</f>
        <v/>
      </c>
    </row>
    <row r="291" customFormat="false" ht="16.5" hidden="false" customHeight="true" outlineLevel="0" collapsed="false">
      <c r="A291" s="18" t="str">
        <f aca="false">IF(B291="","",ROW()-2)</f>
        <v/>
      </c>
      <c r="B291" s="18" t="str">
        <f aca="false">IFERROR(INDEX(종합!B$3:B$501,MATCH(ROW()-2,종합!$AE$3:$AE$501,0))&amp;"","")</f>
        <v/>
      </c>
      <c r="C291" s="18" t="str">
        <f aca="false">IFERROR(INDEX(종합!C$3:C$501,MATCH(ROW()-2,종합!$AE$3:$AE$501,0))&amp;"","")</f>
        <v/>
      </c>
      <c r="D291" s="18" t="str">
        <f aca="false">IFERROR(INDEX(종합!D$3:D$501,MATCH(ROW()-2,종합!$AE$3:$AE$501,0))&amp;"","")</f>
        <v/>
      </c>
      <c r="E291" s="18" t="str">
        <f aca="false">IFERROR(INDEX(종합!E$3:E$501,MATCH(ROW()-2,종합!$AE$3:$AE$501,0))&amp;"","")</f>
        <v/>
      </c>
      <c r="F291" s="18" t="str">
        <f aca="false">IFERROR(INDEX(종합!F$3:F$501,MATCH(ROW()-2,종합!$AE$3:$AE$501,0))&amp;"","")</f>
        <v/>
      </c>
      <c r="G291" s="18" t="str">
        <f aca="false">IFERROR(INDEX(종합!G$3:G$501,MATCH(ROW()-2,종합!$AE$3:$AE$501,0))&amp;"","")</f>
        <v/>
      </c>
      <c r="H291" s="21" t="str">
        <f aca="false">IFERROR(INDEX(종합!H$3:H$501,MATCH(ROW()-2,종합!$AE$3:$AE$501,0))&amp;"","")</f>
        <v/>
      </c>
      <c r="I291" s="21" t="str">
        <f aca="false">IFERROR(INDEX(종합!I$3:I$501,MATCH(ROW()-2,종합!$AE$3:$AE$501,0))&amp;"","")</f>
        <v/>
      </c>
      <c r="J291" s="21" t="str">
        <f aca="false">IFERROR(INDEX(종합!J$3:J$501,MATCH(ROW()-2,종합!$AE$3:$AE$501,0))&amp;"","")</f>
        <v/>
      </c>
      <c r="K291" s="21" t="str">
        <f aca="false">IFERROR(INDEX(종합!K$3:K$501,MATCH(ROW()-2,종합!$AE$3:$AE$501,0))&amp;"","")</f>
        <v/>
      </c>
      <c r="L291" s="21" t="str">
        <f aca="false">IFERROR(INDEX(종합!L$3:L$501,MATCH(ROW()-2,종합!$AE$3:$AE$501,0))&amp;"","")</f>
        <v/>
      </c>
      <c r="M291" s="21" t="str">
        <f aca="false">IFERROR(INDEX(종합!M$3:M$501,MATCH(ROW()-2,종합!$AE$3:$AE$501,0))&amp;"","")</f>
        <v/>
      </c>
      <c r="N291" s="25" t="str">
        <f aca="false">IFERROR(INDEX(종합!N$3:N$501,MATCH(ROW()-2,종합!$AE$3:$AE$501,0))&amp;"","")</f>
        <v/>
      </c>
      <c r="O291" s="21" t="str">
        <f aca="false">IFERROR(INDEX(종합!O$3:O$501,MATCH(ROW()-2,종합!$AE$3:$AE$501,0))&amp;"","")</f>
        <v/>
      </c>
      <c r="P291" s="21" t="str">
        <f aca="false">IFERROR(INDEX(종합!P$3:P$501,MATCH(ROW()-2,종합!$AE$3:$AE$501,0))&amp;"","")</f>
        <v/>
      </c>
      <c r="Q291" s="21" t="str">
        <f aca="false">IFERROR(INDEX(종합!Q$3:Q$501,MATCH(ROW()-2,종합!$AE$3:$AE$501,0))&amp;"","")</f>
        <v/>
      </c>
      <c r="R291" s="21" t="str">
        <f aca="false">IFERROR(INDEX(종합!R$3:R$501,MATCH(ROW()-2,종합!$AE$3:$AE$501,0))&amp;"","")</f>
        <v/>
      </c>
      <c r="S291" s="21" t="str">
        <f aca="false">IFERROR(INDEX(종합!S$3:S$501,MATCH(ROW()-2,종합!$AE$3:$AE$501,0))&amp;"","")</f>
        <v/>
      </c>
      <c r="T291" s="21" t="str">
        <f aca="false">IFERROR(INDEX(종합!T$3:T$501,MATCH(ROW()-2,종합!$AE$3:$AE$501,0))&amp;"","")</f>
        <v/>
      </c>
      <c r="U291" s="21" t="str">
        <f aca="false">IFERROR(INDEX(종합!U$3:U$501,MATCH(ROW()-2,종합!$AE$3:$AE$501,0))&amp;"","")</f>
        <v/>
      </c>
      <c r="V291" s="21" t="str">
        <f aca="false">IFERROR(INDEX(종합!V$3:V$501,MATCH(ROW()-2,종합!$AE$3:$AE$501,0))&amp;"","")</f>
        <v/>
      </c>
      <c r="W291" s="21" t="str">
        <f aca="false">IFERROR(INDEX(종합!W$3:W$501,MATCH(ROW()-2,종합!$AE$3:$AE$501,0))&amp;"","")</f>
        <v/>
      </c>
      <c r="X291" s="21" t="str">
        <f aca="false">IFERROR(INDEX(종합!X$3:X$501,MATCH(ROW()-2,종합!$AE$3:$AE$501,0))&amp;"","")</f>
        <v/>
      </c>
      <c r="Y291" s="21" t="str">
        <f aca="false">IFERROR(INDEX(종합!Y$3:Y$501,MATCH(ROW()-2,종합!$AE$3:$AE$501,0))&amp;"","")</f>
        <v/>
      </c>
      <c r="Z291" s="21" t="str">
        <f aca="false">IFERROR(INDEX(종합!Z$3:Z$501,MATCH(ROW()-2,종합!$AE$3:$AE$501,0))&amp;"","")</f>
        <v/>
      </c>
    </row>
    <row r="292" customFormat="false" ht="16.5" hidden="false" customHeight="true" outlineLevel="0" collapsed="false">
      <c r="A292" s="18" t="str">
        <f aca="false">IF(B292="","",ROW()-2)</f>
        <v/>
      </c>
      <c r="B292" s="18" t="str">
        <f aca="false">IFERROR(INDEX(종합!B$3:B$501,MATCH(ROW()-2,종합!$AE$3:$AE$501,0))&amp;"","")</f>
        <v/>
      </c>
      <c r="C292" s="18" t="str">
        <f aca="false">IFERROR(INDEX(종합!C$3:C$501,MATCH(ROW()-2,종합!$AE$3:$AE$501,0))&amp;"","")</f>
        <v/>
      </c>
      <c r="D292" s="18" t="str">
        <f aca="false">IFERROR(INDEX(종합!D$3:D$501,MATCH(ROW()-2,종합!$AE$3:$AE$501,0))&amp;"","")</f>
        <v/>
      </c>
      <c r="E292" s="18" t="str">
        <f aca="false">IFERROR(INDEX(종합!E$3:E$501,MATCH(ROW()-2,종합!$AE$3:$AE$501,0))&amp;"","")</f>
        <v/>
      </c>
      <c r="F292" s="18" t="str">
        <f aca="false">IFERROR(INDEX(종합!F$3:F$501,MATCH(ROW()-2,종합!$AE$3:$AE$501,0))&amp;"","")</f>
        <v/>
      </c>
      <c r="G292" s="18" t="str">
        <f aca="false">IFERROR(INDEX(종합!G$3:G$501,MATCH(ROW()-2,종합!$AE$3:$AE$501,0))&amp;"","")</f>
        <v/>
      </c>
      <c r="H292" s="21" t="str">
        <f aca="false">IFERROR(INDEX(종합!H$3:H$501,MATCH(ROW()-2,종합!$AE$3:$AE$501,0))&amp;"","")</f>
        <v/>
      </c>
      <c r="I292" s="21" t="str">
        <f aca="false">IFERROR(INDEX(종합!I$3:I$501,MATCH(ROW()-2,종합!$AE$3:$AE$501,0))&amp;"","")</f>
        <v/>
      </c>
      <c r="J292" s="21" t="str">
        <f aca="false">IFERROR(INDEX(종합!J$3:J$501,MATCH(ROW()-2,종합!$AE$3:$AE$501,0))&amp;"","")</f>
        <v/>
      </c>
      <c r="K292" s="21" t="str">
        <f aca="false">IFERROR(INDEX(종합!K$3:K$501,MATCH(ROW()-2,종합!$AE$3:$AE$501,0))&amp;"","")</f>
        <v/>
      </c>
      <c r="L292" s="21" t="str">
        <f aca="false">IFERROR(INDEX(종합!L$3:L$501,MATCH(ROW()-2,종합!$AE$3:$AE$501,0))&amp;"","")</f>
        <v/>
      </c>
      <c r="M292" s="21" t="str">
        <f aca="false">IFERROR(INDEX(종합!M$3:M$501,MATCH(ROW()-2,종합!$AE$3:$AE$501,0))&amp;"","")</f>
        <v/>
      </c>
      <c r="N292" s="25" t="str">
        <f aca="false">IFERROR(INDEX(종합!N$3:N$501,MATCH(ROW()-2,종합!$AE$3:$AE$501,0))&amp;"","")</f>
        <v/>
      </c>
      <c r="O292" s="21" t="str">
        <f aca="false">IFERROR(INDEX(종합!O$3:O$501,MATCH(ROW()-2,종합!$AE$3:$AE$501,0))&amp;"","")</f>
        <v/>
      </c>
      <c r="P292" s="21" t="str">
        <f aca="false">IFERROR(INDEX(종합!P$3:P$501,MATCH(ROW()-2,종합!$AE$3:$AE$501,0))&amp;"","")</f>
        <v/>
      </c>
      <c r="Q292" s="21" t="str">
        <f aca="false">IFERROR(INDEX(종합!Q$3:Q$501,MATCH(ROW()-2,종합!$AE$3:$AE$501,0))&amp;"","")</f>
        <v/>
      </c>
      <c r="R292" s="21" t="str">
        <f aca="false">IFERROR(INDEX(종합!R$3:R$501,MATCH(ROW()-2,종합!$AE$3:$AE$501,0))&amp;"","")</f>
        <v/>
      </c>
      <c r="S292" s="21" t="str">
        <f aca="false">IFERROR(INDEX(종합!S$3:S$501,MATCH(ROW()-2,종합!$AE$3:$AE$501,0))&amp;"","")</f>
        <v/>
      </c>
      <c r="T292" s="21" t="str">
        <f aca="false">IFERROR(INDEX(종합!T$3:T$501,MATCH(ROW()-2,종합!$AE$3:$AE$501,0))&amp;"","")</f>
        <v/>
      </c>
      <c r="U292" s="21" t="str">
        <f aca="false">IFERROR(INDEX(종합!U$3:U$501,MATCH(ROW()-2,종합!$AE$3:$AE$501,0))&amp;"","")</f>
        <v/>
      </c>
      <c r="V292" s="21" t="str">
        <f aca="false">IFERROR(INDEX(종합!V$3:V$501,MATCH(ROW()-2,종합!$AE$3:$AE$501,0))&amp;"","")</f>
        <v/>
      </c>
      <c r="W292" s="21" t="str">
        <f aca="false">IFERROR(INDEX(종합!W$3:W$501,MATCH(ROW()-2,종합!$AE$3:$AE$501,0))&amp;"","")</f>
        <v/>
      </c>
      <c r="X292" s="21" t="str">
        <f aca="false">IFERROR(INDEX(종합!X$3:X$501,MATCH(ROW()-2,종합!$AE$3:$AE$501,0))&amp;"","")</f>
        <v/>
      </c>
      <c r="Y292" s="21" t="str">
        <f aca="false">IFERROR(INDEX(종합!Y$3:Y$501,MATCH(ROW()-2,종합!$AE$3:$AE$501,0))&amp;"","")</f>
        <v/>
      </c>
      <c r="Z292" s="21" t="str">
        <f aca="false">IFERROR(INDEX(종합!Z$3:Z$501,MATCH(ROW()-2,종합!$AE$3:$AE$501,0))&amp;"","")</f>
        <v/>
      </c>
    </row>
    <row r="293" customFormat="false" ht="16.5" hidden="false" customHeight="true" outlineLevel="0" collapsed="false">
      <c r="A293" s="18" t="str">
        <f aca="false">IF(B293="","",ROW()-2)</f>
        <v/>
      </c>
      <c r="B293" s="18" t="str">
        <f aca="false">IFERROR(INDEX(종합!B$3:B$501,MATCH(ROW()-2,종합!$AE$3:$AE$501,0))&amp;"","")</f>
        <v/>
      </c>
      <c r="C293" s="18" t="str">
        <f aca="false">IFERROR(INDEX(종합!C$3:C$501,MATCH(ROW()-2,종합!$AE$3:$AE$501,0))&amp;"","")</f>
        <v/>
      </c>
      <c r="D293" s="18" t="str">
        <f aca="false">IFERROR(INDEX(종합!D$3:D$501,MATCH(ROW()-2,종합!$AE$3:$AE$501,0))&amp;"","")</f>
        <v/>
      </c>
      <c r="E293" s="18" t="str">
        <f aca="false">IFERROR(INDEX(종합!E$3:E$501,MATCH(ROW()-2,종합!$AE$3:$AE$501,0))&amp;"","")</f>
        <v/>
      </c>
      <c r="F293" s="18" t="str">
        <f aca="false">IFERROR(INDEX(종합!F$3:F$501,MATCH(ROW()-2,종합!$AE$3:$AE$501,0))&amp;"","")</f>
        <v/>
      </c>
      <c r="G293" s="18" t="str">
        <f aca="false">IFERROR(INDEX(종합!G$3:G$501,MATCH(ROW()-2,종합!$AE$3:$AE$501,0))&amp;"","")</f>
        <v/>
      </c>
      <c r="H293" s="21" t="str">
        <f aca="false">IFERROR(INDEX(종합!H$3:H$501,MATCH(ROW()-2,종합!$AE$3:$AE$501,0))&amp;"","")</f>
        <v/>
      </c>
      <c r="I293" s="21" t="str">
        <f aca="false">IFERROR(INDEX(종합!I$3:I$501,MATCH(ROW()-2,종합!$AE$3:$AE$501,0))&amp;"","")</f>
        <v/>
      </c>
      <c r="J293" s="21" t="str">
        <f aca="false">IFERROR(INDEX(종합!J$3:J$501,MATCH(ROW()-2,종합!$AE$3:$AE$501,0))&amp;"","")</f>
        <v/>
      </c>
      <c r="K293" s="21" t="str">
        <f aca="false">IFERROR(INDEX(종합!K$3:K$501,MATCH(ROW()-2,종합!$AE$3:$AE$501,0))&amp;"","")</f>
        <v/>
      </c>
      <c r="L293" s="21" t="str">
        <f aca="false">IFERROR(INDEX(종합!L$3:L$501,MATCH(ROW()-2,종합!$AE$3:$AE$501,0))&amp;"","")</f>
        <v/>
      </c>
      <c r="M293" s="21" t="str">
        <f aca="false">IFERROR(INDEX(종합!M$3:M$501,MATCH(ROW()-2,종합!$AE$3:$AE$501,0))&amp;"","")</f>
        <v/>
      </c>
      <c r="N293" s="25" t="str">
        <f aca="false">IFERROR(INDEX(종합!N$3:N$501,MATCH(ROW()-2,종합!$AE$3:$AE$501,0))&amp;"","")</f>
        <v/>
      </c>
      <c r="O293" s="21" t="str">
        <f aca="false">IFERROR(INDEX(종합!O$3:O$501,MATCH(ROW()-2,종합!$AE$3:$AE$501,0))&amp;"","")</f>
        <v/>
      </c>
      <c r="P293" s="21" t="str">
        <f aca="false">IFERROR(INDEX(종합!P$3:P$501,MATCH(ROW()-2,종합!$AE$3:$AE$501,0))&amp;"","")</f>
        <v/>
      </c>
      <c r="Q293" s="21" t="str">
        <f aca="false">IFERROR(INDEX(종합!Q$3:Q$501,MATCH(ROW()-2,종합!$AE$3:$AE$501,0))&amp;"","")</f>
        <v/>
      </c>
      <c r="R293" s="21" t="str">
        <f aca="false">IFERROR(INDEX(종합!R$3:R$501,MATCH(ROW()-2,종합!$AE$3:$AE$501,0))&amp;"","")</f>
        <v/>
      </c>
      <c r="S293" s="21" t="str">
        <f aca="false">IFERROR(INDEX(종합!S$3:S$501,MATCH(ROW()-2,종합!$AE$3:$AE$501,0))&amp;"","")</f>
        <v/>
      </c>
      <c r="T293" s="21" t="str">
        <f aca="false">IFERROR(INDEX(종합!T$3:T$501,MATCH(ROW()-2,종합!$AE$3:$AE$501,0))&amp;"","")</f>
        <v/>
      </c>
      <c r="U293" s="21" t="str">
        <f aca="false">IFERROR(INDEX(종합!U$3:U$501,MATCH(ROW()-2,종합!$AE$3:$AE$501,0))&amp;"","")</f>
        <v/>
      </c>
      <c r="V293" s="21" t="str">
        <f aca="false">IFERROR(INDEX(종합!V$3:V$501,MATCH(ROW()-2,종합!$AE$3:$AE$501,0))&amp;"","")</f>
        <v/>
      </c>
      <c r="W293" s="21" t="str">
        <f aca="false">IFERROR(INDEX(종합!W$3:W$501,MATCH(ROW()-2,종합!$AE$3:$AE$501,0))&amp;"","")</f>
        <v/>
      </c>
      <c r="X293" s="21" t="str">
        <f aca="false">IFERROR(INDEX(종합!X$3:X$501,MATCH(ROW()-2,종합!$AE$3:$AE$501,0))&amp;"","")</f>
        <v/>
      </c>
      <c r="Y293" s="21" t="str">
        <f aca="false">IFERROR(INDEX(종합!Y$3:Y$501,MATCH(ROW()-2,종합!$AE$3:$AE$501,0))&amp;"","")</f>
        <v/>
      </c>
      <c r="Z293" s="21" t="str">
        <f aca="false">IFERROR(INDEX(종합!Z$3:Z$501,MATCH(ROW()-2,종합!$AE$3:$AE$501,0))&amp;"","")</f>
        <v/>
      </c>
    </row>
    <row r="294" customFormat="false" ht="16.5" hidden="false" customHeight="true" outlineLevel="0" collapsed="false">
      <c r="A294" s="18" t="str">
        <f aca="false">IF(B294="","",ROW()-2)</f>
        <v/>
      </c>
      <c r="B294" s="18" t="str">
        <f aca="false">IFERROR(INDEX(종합!B$3:B$501,MATCH(ROW()-2,종합!$AE$3:$AE$501,0))&amp;"","")</f>
        <v/>
      </c>
      <c r="C294" s="18" t="str">
        <f aca="false">IFERROR(INDEX(종합!C$3:C$501,MATCH(ROW()-2,종합!$AE$3:$AE$501,0))&amp;"","")</f>
        <v/>
      </c>
      <c r="D294" s="18" t="str">
        <f aca="false">IFERROR(INDEX(종합!D$3:D$501,MATCH(ROW()-2,종합!$AE$3:$AE$501,0))&amp;"","")</f>
        <v/>
      </c>
      <c r="E294" s="18" t="str">
        <f aca="false">IFERROR(INDEX(종합!E$3:E$501,MATCH(ROW()-2,종합!$AE$3:$AE$501,0))&amp;"","")</f>
        <v/>
      </c>
      <c r="F294" s="18" t="str">
        <f aca="false">IFERROR(INDEX(종합!F$3:F$501,MATCH(ROW()-2,종합!$AE$3:$AE$501,0))&amp;"","")</f>
        <v/>
      </c>
      <c r="G294" s="18" t="str">
        <f aca="false">IFERROR(INDEX(종합!G$3:G$501,MATCH(ROW()-2,종합!$AE$3:$AE$501,0))&amp;"","")</f>
        <v/>
      </c>
      <c r="H294" s="21" t="str">
        <f aca="false">IFERROR(INDEX(종합!H$3:H$501,MATCH(ROW()-2,종합!$AE$3:$AE$501,0))&amp;"","")</f>
        <v/>
      </c>
      <c r="I294" s="21" t="str">
        <f aca="false">IFERROR(INDEX(종합!I$3:I$501,MATCH(ROW()-2,종합!$AE$3:$AE$501,0))&amp;"","")</f>
        <v/>
      </c>
      <c r="J294" s="21" t="str">
        <f aca="false">IFERROR(INDEX(종합!J$3:J$501,MATCH(ROW()-2,종합!$AE$3:$AE$501,0))&amp;"","")</f>
        <v/>
      </c>
      <c r="K294" s="21" t="str">
        <f aca="false">IFERROR(INDEX(종합!K$3:K$501,MATCH(ROW()-2,종합!$AE$3:$AE$501,0))&amp;"","")</f>
        <v/>
      </c>
      <c r="L294" s="21" t="str">
        <f aca="false">IFERROR(INDEX(종합!L$3:L$501,MATCH(ROW()-2,종합!$AE$3:$AE$501,0))&amp;"","")</f>
        <v/>
      </c>
      <c r="M294" s="21" t="str">
        <f aca="false">IFERROR(INDEX(종합!M$3:M$501,MATCH(ROW()-2,종합!$AE$3:$AE$501,0))&amp;"","")</f>
        <v/>
      </c>
      <c r="N294" s="25" t="str">
        <f aca="false">IFERROR(INDEX(종합!N$3:N$501,MATCH(ROW()-2,종합!$AE$3:$AE$501,0))&amp;"","")</f>
        <v/>
      </c>
      <c r="O294" s="21" t="str">
        <f aca="false">IFERROR(INDEX(종합!O$3:O$501,MATCH(ROW()-2,종합!$AE$3:$AE$501,0))&amp;"","")</f>
        <v/>
      </c>
      <c r="P294" s="21" t="str">
        <f aca="false">IFERROR(INDEX(종합!P$3:P$501,MATCH(ROW()-2,종합!$AE$3:$AE$501,0))&amp;"","")</f>
        <v/>
      </c>
      <c r="Q294" s="21" t="str">
        <f aca="false">IFERROR(INDEX(종합!Q$3:Q$501,MATCH(ROW()-2,종합!$AE$3:$AE$501,0))&amp;"","")</f>
        <v/>
      </c>
      <c r="R294" s="21" t="str">
        <f aca="false">IFERROR(INDEX(종합!R$3:R$501,MATCH(ROW()-2,종합!$AE$3:$AE$501,0))&amp;"","")</f>
        <v/>
      </c>
      <c r="S294" s="21" t="str">
        <f aca="false">IFERROR(INDEX(종합!S$3:S$501,MATCH(ROW()-2,종합!$AE$3:$AE$501,0))&amp;"","")</f>
        <v/>
      </c>
      <c r="T294" s="21" t="str">
        <f aca="false">IFERROR(INDEX(종합!T$3:T$501,MATCH(ROW()-2,종합!$AE$3:$AE$501,0))&amp;"","")</f>
        <v/>
      </c>
      <c r="U294" s="21" t="str">
        <f aca="false">IFERROR(INDEX(종합!U$3:U$501,MATCH(ROW()-2,종합!$AE$3:$AE$501,0))&amp;"","")</f>
        <v/>
      </c>
      <c r="V294" s="21" t="str">
        <f aca="false">IFERROR(INDEX(종합!V$3:V$501,MATCH(ROW()-2,종합!$AE$3:$AE$501,0))&amp;"","")</f>
        <v/>
      </c>
      <c r="W294" s="21" t="str">
        <f aca="false">IFERROR(INDEX(종합!W$3:W$501,MATCH(ROW()-2,종합!$AE$3:$AE$501,0))&amp;"","")</f>
        <v/>
      </c>
      <c r="X294" s="21" t="str">
        <f aca="false">IFERROR(INDEX(종합!X$3:X$501,MATCH(ROW()-2,종합!$AE$3:$AE$501,0))&amp;"","")</f>
        <v/>
      </c>
      <c r="Y294" s="21" t="str">
        <f aca="false">IFERROR(INDEX(종합!Y$3:Y$501,MATCH(ROW()-2,종합!$AE$3:$AE$501,0))&amp;"","")</f>
        <v/>
      </c>
      <c r="Z294" s="21" t="str">
        <f aca="false">IFERROR(INDEX(종합!Z$3:Z$501,MATCH(ROW()-2,종합!$AE$3:$AE$501,0))&amp;"","")</f>
        <v/>
      </c>
    </row>
    <row r="295" customFormat="false" ht="16.5" hidden="false" customHeight="true" outlineLevel="0" collapsed="false">
      <c r="A295" s="18" t="str">
        <f aca="false">IF(B295="","",ROW()-2)</f>
        <v/>
      </c>
      <c r="B295" s="18" t="str">
        <f aca="false">IFERROR(INDEX(종합!B$3:B$501,MATCH(ROW()-2,종합!$AE$3:$AE$501,0))&amp;"","")</f>
        <v/>
      </c>
      <c r="C295" s="18" t="str">
        <f aca="false">IFERROR(INDEX(종합!C$3:C$501,MATCH(ROW()-2,종합!$AE$3:$AE$501,0))&amp;"","")</f>
        <v/>
      </c>
      <c r="D295" s="18" t="str">
        <f aca="false">IFERROR(INDEX(종합!D$3:D$501,MATCH(ROW()-2,종합!$AE$3:$AE$501,0))&amp;"","")</f>
        <v/>
      </c>
      <c r="E295" s="18" t="str">
        <f aca="false">IFERROR(INDEX(종합!E$3:E$501,MATCH(ROW()-2,종합!$AE$3:$AE$501,0))&amp;"","")</f>
        <v/>
      </c>
      <c r="F295" s="18" t="str">
        <f aca="false">IFERROR(INDEX(종합!F$3:F$501,MATCH(ROW()-2,종합!$AE$3:$AE$501,0))&amp;"","")</f>
        <v/>
      </c>
      <c r="G295" s="18" t="str">
        <f aca="false">IFERROR(INDEX(종합!G$3:G$501,MATCH(ROW()-2,종합!$AE$3:$AE$501,0))&amp;"","")</f>
        <v/>
      </c>
      <c r="H295" s="21" t="str">
        <f aca="false">IFERROR(INDEX(종합!H$3:H$501,MATCH(ROW()-2,종합!$AE$3:$AE$501,0))&amp;"","")</f>
        <v/>
      </c>
      <c r="I295" s="21" t="str">
        <f aca="false">IFERROR(INDEX(종합!I$3:I$501,MATCH(ROW()-2,종합!$AE$3:$AE$501,0))&amp;"","")</f>
        <v/>
      </c>
      <c r="J295" s="21" t="str">
        <f aca="false">IFERROR(INDEX(종합!J$3:J$501,MATCH(ROW()-2,종합!$AE$3:$AE$501,0))&amp;"","")</f>
        <v/>
      </c>
      <c r="K295" s="21" t="str">
        <f aca="false">IFERROR(INDEX(종합!K$3:K$501,MATCH(ROW()-2,종합!$AE$3:$AE$501,0))&amp;"","")</f>
        <v/>
      </c>
      <c r="L295" s="21" t="str">
        <f aca="false">IFERROR(INDEX(종합!L$3:L$501,MATCH(ROW()-2,종합!$AE$3:$AE$501,0))&amp;"","")</f>
        <v/>
      </c>
      <c r="M295" s="21" t="str">
        <f aca="false">IFERROR(INDEX(종합!M$3:M$501,MATCH(ROW()-2,종합!$AE$3:$AE$501,0))&amp;"","")</f>
        <v/>
      </c>
      <c r="N295" s="25" t="str">
        <f aca="false">IFERROR(INDEX(종합!N$3:N$501,MATCH(ROW()-2,종합!$AE$3:$AE$501,0))&amp;"","")</f>
        <v/>
      </c>
      <c r="O295" s="21" t="str">
        <f aca="false">IFERROR(INDEX(종합!O$3:O$501,MATCH(ROW()-2,종합!$AE$3:$AE$501,0))&amp;"","")</f>
        <v/>
      </c>
      <c r="P295" s="21" t="str">
        <f aca="false">IFERROR(INDEX(종합!P$3:P$501,MATCH(ROW()-2,종합!$AE$3:$AE$501,0))&amp;"","")</f>
        <v/>
      </c>
      <c r="Q295" s="21" t="str">
        <f aca="false">IFERROR(INDEX(종합!Q$3:Q$501,MATCH(ROW()-2,종합!$AE$3:$AE$501,0))&amp;"","")</f>
        <v/>
      </c>
      <c r="R295" s="21" t="str">
        <f aca="false">IFERROR(INDEX(종합!R$3:R$501,MATCH(ROW()-2,종합!$AE$3:$AE$501,0))&amp;"","")</f>
        <v/>
      </c>
      <c r="S295" s="21" t="str">
        <f aca="false">IFERROR(INDEX(종합!S$3:S$501,MATCH(ROW()-2,종합!$AE$3:$AE$501,0))&amp;"","")</f>
        <v/>
      </c>
      <c r="T295" s="21" t="str">
        <f aca="false">IFERROR(INDEX(종합!T$3:T$501,MATCH(ROW()-2,종합!$AE$3:$AE$501,0))&amp;"","")</f>
        <v/>
      </c>
      <c r="U295" s="21" t="str">
        <f aca="false">IFERROR(INDEX(종합!U$3:U$501,MATCH(ROW()-2,종합!$AE$3:$AE$501,0))&amp;"","")</f>
        <v/>
      </c>
      <c r="V295" s="21" t="str">
        <f aca="false">IFERROR(INDEX(종합!V$3:V$501,MATCH(ROW()-2,종합!$AE$3:$AE$501,0))&amp;"","")</f>
        <v/>
      </c>
      <c r="W295" s="21" t="str">
        <f aca="false">IFERROR(INDEX(종합!W$3:W$501,MATCH(ROW()-2,종합!$AE$3:$AE$501,0))&amp;"","")</f>
        <v/>
      </c>
      <c r="X295" s="21" t="str">
        <f aca="false">IFERROR(INDEX(종합!X$3:X$501,MATCH(ROW()-2,종합!$AE$3:$AE$501,0))&amp;"","")</f>
        <v/>
      </c>
      <c r="Y295" s="21" t="str">
        <f aca="false">IFERROR(INDEX(종합!Y$3:Y$501,MATCH(ROW()-2,종합!$AE$3:$AE$501,0))&amp;"","")</f>
        <v/>
      </c>
      <c r="Z295" s="21" t="str">
        <f aca="false">IFERROR(INDEX(종합!Z$3:Z$501,MATCH(ROW()-2,종합!$AE$3:$AE$501,0))&amp;"","")</f>
        <v/>
      </c>
    </row>
    <row r="296" customFormat="false" ht="16.5" hidden="false" customHeight="true" outlineLevel="0" collapsed="false">
      <c r="A296" s="18" t="str">
        <f aca="false">IF(B296="","",ROW()-2)</f>
        <v/>
      </c>
      <c r="B296" s="18" t="str">
        <f aca="false">IFERROR(INDEX(종합!B$3:B$501,MATCH(ROW()-2,종합!$AE$3:$AE$501,0))&amp;"","")</f>
        <v/>
      </c>
      <c r="C296" s="18" t="str">
        <f aca="false">IFERROR(INDEX(종합!C$3:C$501,MATCH(ROW()-2,종합!$AE$3:$AE$501,0))&amp;"","")</f>
        <v/>
      </c>
      <c r="D296" s="18" t="str">
        <f aca="false">IFERROR(INDEX(종합!D$3:D$501,MATCH(ROW()-2,종합!$AE$3:$AE$501,0))&amp;"","")</f>
        <v/>
      </c>
      <c r="E296" s="18" t="str">
        <f aca="false">IFERROR(INDEX(종합!E$3:E$501,MATCH(ROW()-2,종합!$AE$3:$AE$501,0))&amp;"","")</f>
        <v/>
      </c>
      <c r="F296" s="18" t="str">
        <f aca="false">IFERROR(INDEX(종합!F$3:F$501,MATCH(ROW()-2,종합!$AE$3:$AE$501,0))&amp;"","")</f>
        <v/>
      </c>
      <c r="G296" s="18" t="str">
        <f aca="false">IFERROR(INDEX(종합!G$3:G$501,MATCH(ROW()-2,종합!$AE$3:$AE$501,0))&amp;"","")</f>
        <v/>
      </c>
      <c r="H296" s="21" t="str">
        <f aca="false">IFERROR(INDEX(종합!H$3:H$501,MATCH(ROW()-2,종합!$AE$3:$AE$501,0))&amp;"","")</f>
        <v/>
      </c>
      <c r="I296" s="21" t="str">
        <f aca="false">IFERROR(INDEX(종합!I$3:I$501,MATCH(ROW()-2,종합!$AE$3:$AE$501,0))&amp;"","")</f>
        <v/>
      </c>
      <c r="J296" s="21" t="str">
        <f aca="false">IFERROR(INDEX(종합!J$3:J$501,MATCH(ROW()-2,종합!$AE$3:$AE$501,0))&amp;"","")</f>
        <v/>
      </c>
      <c r="K296" s="21" t="str">
        <f aca="false">IFERROR(INDEX(종합!K$3:K$501,MATCH(ROW()-2,종합!$AE$3:$AE$501,0))&amp;"","")</f>
        <v/>
      </c>
      <c r="L296" s="21" t="str">
        <f aca="false">IFERROR(INDEX(종합!L$3:L$501,MATCH(ROW()-2,종합!$AE$3:$AE$501,0))&amp;"","")</f>
        <v/>
      </c>
      <c r="M296" s="21" t="str">
        <f aca="false">IFERROR(INDEX(종합!M$3:M$501,MATCH(ROW()-2,종합!$AE$3:$AE$501,0))&amp;"","")</f>
        <v/>
      </c>
      <c r="N296" s="25" t="str">
        <f aca="false">IFERROR(INDEX(종합!N$3:N$501,MATCH(ROW()-2,종합!$AE$3:$AE$501,0))&amp;"","")</f>
        <v/>
      </c>
      <c r="O296" s="21" t="str">
        <f aca="false">IFERROR(INDEX(종합!O$3:O$501,MATCH(ROW()-2,종합!$AE$3:$AE$501,0))&amp;"","")</f>
        <v/>
      </c>
      <c r="P296" s="21" t="str">
        <f aca="false">IFERROR(INDEX(종합!P$3:P$501,MATCH(ROW()-2,종합!$AE$3:$AE$501,0))&amp;"","")</f>
        <v/>
      </c>
      <c r="Q296" s="21" t="str">
        <f aca="false">IFERROR(INDEX(종합!Q$3:Q$501,MATCH(ROW()-2,종합!$AE$3:$AE$501,0))&amp;"","")</f>
        <v/>
      </c>
      <c r="R296" s="21" t="str">
        <f aca="false">IFERROR(INDEX(종합!R$3:R$501,MATCH(ROW()-2,종합!$AE$3:$AE$501,0))&amp;"","")</f>
        <v/>
      </c>
      <c r="S296" s="21" t="str">
        <f aca="false">IFERROR(INDEX(종합!S$3:S$501,MATCH(ROW()-2,종합!$AE$3:$AE$501,0))&amp;"","")</f>
        <v/>
      </c>
      <c r="T296" s="21" t="str">
        <f aca="false">IFERROR(INDEX(종합!T$3:T$501,MATCH(ROW()-2,종합!$AE$3:$AE$501,0))&amp;"","")</f>
        <v/>
      </c>
      <c r="U296" s="21" t="str">
        <f aca="false">IFERROR(INDEX(종합!U$3:U$501,MATCH(ROW()-2,종합!$AE$3:$AE$501,0))&amp;"","")</f>
        <v/>
      </c>
      <c r="V296" s="21" t="str">
        <f aca="false">IFERROR(INDEX(종합!V$3:V$501,MATCH(ROW()-2,종합!$AE$3:$AE$501,0))&amp;"","")</f>
        <v/>
      </c>
      <c r="W296" s="21" t="str">
        <f aca="false">IFERROR(INDEX(종합!W$3:W$501,MATCH(ROW()-2,종합!$AE$3:$AE$501,0))&amp;"","")</f>
        <v/>
      </c>
      <c r="X296" s="21" t="str">
        <f aca="false">IFERROR(INDEX(종합!X$3:X$501,MATCH(ROW()-2,종합!$AE$3:$AE$501,0))&amp;"","")</f>
        <v/>
      </c>
      <c r="Y296" s="21" t="str">
        <f aca="false">IFERROR(INDEX(종합!Y$3:Y$501,MATCH(ROW()-2,종합!$AE$3:$AE$501,0))&amp;"","")</f>
        <v/>
      </c>
      <c r="Z296" s="21" t="str">
        <f aca="false">IFERROR(INDEX(종합!Z$3:Z$501,MATCH(ROW()-2,종합!$AE$3:$AE$501,0))&amp;"","")</f>
        <v/>
      </c>
    </row>
    <row r="297" customFormat="false" ht="16.5" hidden="false" customHeight="true" outlineLevel="0" collapsed="false">
      <c r="A297" s="18" t="str">
        <f aca="false">IF(B297="","",ROW()-2)</f>
        <v/>
      </c>
      <c r="B297" s="18" t="str">
        <f aca="false">IFERROR(INDEX(종합!B$3:B$501,MATCH(ROW()-2,종합!$AE$3:$AE$501,0))&amp;"","")</f>
        <v/>
      </c>
      <c r="C297" s="18" t="str">
        <f aca="false">IFERROR(INDEX(종합!C$3:C$501,MATCH(ROW()-2,종합!$AE$3:$AE$501,0))&amp;"","")</f>
        <v/>
      </c>
      <c r="D297" s="18" t="str">
        <f aca="false">IFERROR(INDEX(종합!D$3:D$501,MATCH(ROW()-2,종합!$AE$3:$AE$501,0))&amp;"","")</f>
        <v/>
      </c>
      <c r="E297" s="18" t="str">
        <f aca="false">IFERROR(INDEX(종합!E$3:E$501,MATCH(ROW()-2,종합!$AE$3:$AE$501,0))&amp;"","")</f>
        <v/>
      </c>
      <c r="F297" s="18" t="str">
        <f aca="false">IFERROR(INDEX(종합!F$3:F$501,MATCH(ROW()-2,종합!$AE$3:$AE$501,0))&amp;"","")</f>
        <v/>
      </c>
      <c r="G297" s="18" t="str">
        <f aca="false">IFERROR(INDEX(종합!G$3:G$501,MATCH(ROW()-2,종합!$AE$3:$AE$501,0))&amp;"","")</f>
        <v/>
      </c>
      <c r="H297" s="21" t="str">
        <f aca="false">IFERROR(INDEX(종합!H$3:H$501,MATCH(ROW()-2,종합!$AE$3:$AE$501,0))&amp;"","")</f>
        <v/>
      </c>
      <c r="I297" s="21" t="str">
        <f aca="false">IFERROR(INDEX(종합!I$3:I$501,MATCH(ROW()-2,종합!$AE$3:$AE$501,0))&amp;"","")</f>
        <v/>
      </c>
      <c r="J297" s="21" t="str">
        <f aca="false">IFERROR(INDEX(종합!J$3:J$501,MATCH(ROW()-2,종합!$AE$3:$AE$501,0))&amp;"","")</f>
        <v/>
      </c>
      <c r="K297" s="21" t="str">
        <f aca="false">IFERROR(INDEX(종합!K$3:K$501,MATCH(ROW()-2,종합!$AE$3:$AE$501,0))&amp;"","")</f>
        <v/>
      </c>
      <c r="L297" s="21" t="str">
        <f aca="false">IFERROR(INDEX(종합!L$3:L$501,MATCH(ROW()-2,종합!$AE$3:$AE$501,0))&amp;"","")</f>
        <v/>
      </c>
      <c r="M297" s="21" t="str">
        <f aca="false">IFERROR(INDEX(종합!M$3:M$501,MATCH(ROW()-2,종합!$AE$3:$AE$501,0))&amp;"","")</f>
        <v/>
      </c>
      <c r="N297" s="25" t="str">
        <f aca="false">IFERROR(INDEX(종합!N$3:N$501,MATCH(ROW()-2,종합!$AE$3:$AE$501,0))&amp;"","")</f>
        <v/>
      </c>
      <c r="O297" s="21" t="str">
        <f aca="false">IFERROR(INDEX(종합!O$3:O$501,MATCH(ROW()-2,종합!$AE$3:$AE$501,0))&amp;"","")</f>
        <v/>
      </c>
      <c r="P297" s="21" t="str">
        <f aca="false">IFERROR(INDEX(종합!P$3:P$501,MATCH(ROW()-2,종합!$AE$3:$AE$501,0))&amp;"","")</f>
        <v/>
      </c>
      <c r="Q297" s="21" t="str">
        <f aca="false">IFERROR(INDEX(종합!Q$3:Q$501,MATCH(ROW()-2,종합!$AE$3:$AE$501,0))&amp;"","")</f>
        <v/>
      </c>
      <c r="R297" s="21" t="str">
        <f aca="false">IFERROR(INDEX(종합!R$3:R$501,MATCH(ROW()-2,종합!$AE$3:$AE$501,0))&amp;"","")</f>
        <v/>
      </c>
      <c r="S297" s="21" t="str">
        <f aca="false">IFERROR(INDEX(종합!S$3:S$501,MATCH(ROW()-2,종합!$AE$3:$AE$501,0))&amp;"","")</f>
        <v/>
      </c>
      <c r="T297" s="21" t="str">
        <f aca="false">IFERROR(INDEX(종합!T$3:T$501,MATCH(ROW()-2,종합!$AE$3:$AE$501,0))&amp;"","")</f>
        <v/>
      </c>
      <c r="U297" s="21" t="str">
        <f aca="false">IFERROR(INDEX(종합!U$3:U$501,MATCH(ROW()-2,종합!$AE$3:$AE$501,0))&amp;"","")</f>
        <v/>
      </c>
      <c r="V297" s="21" t="str">
        <f aca="false">IFERROR(INDEX(종합!V$3:V$501,MATCH(ROW()-2,종합!$AE$3:$AE$501,0))&amp;"","")</f>
        <v/>
      </c>
      <c r="W297" s="21" t="str">
        <f aca="false">IFERROR(INDEX(종합!W$3:W$501,MATCH(ROW()-2,종합!$AE$3:$AE$501,0))&amp;"","")</f>
        <v/>
      </c>
      <c r="X297" s="21" t="str">
        <f aca="false">IFERROR(INDEX(종합!X$3:X$501,MATCH(ROW()-2,종합!$AE$3:$AE$501,0))&amp;"","")</f>
        <v/>
      </c>
      <c r="Y297" s="21" t="str">
        <f aca="false">IFERROR(INDEX(종합!Y$3:Y$501,MATCH(ROW()-2,종합!$AE$3:$AE$501,0))&amp;"","")</f>
        <v/>
      </c>
      <c r="Z297" s="21" t="str">
        <f aca="false">IFERROR(INDEX(종합!Z$3:Z$501,MATCH(ROW()-2,종합!$AE$3:$AE$501,0))&amp;"","")</f>
        <v/>
      </c>
    </row>
    <row r="298" customFormat="false" ht="16.5" hidden="false" customHeight="true" outlineLevel="0" collapsed="false">
      <c r="A298" s="18" t="str">
        <f aca="false">IF(B298="","",ROW()-2)</f>
        <v/>
      </c>
      <c r="B298" s="18" t="str">
        <f aca="false">IFERROR(INDEX(종합!B$3:B$501,MATCH(ROW()-2,종합!$AE$3:$AE$501,0))&amp;"","")</f>
        <v/>
      </c>
      <c r="C298" s="18" t="str">
        <f aca="false">IFERROR(INDEX(종합!C$3:C$501,MATCH(ROW()-2,종합!$AE$3:$AE$501,0))&amp;"","")</f>
        <v/>
      </c>
      <c r="D298" s="18" t="str">
        <f aca="false">IFERROR(INDEX(종합!D$3:D$501,MATCH(ROW()-2,종합!$AE$3:$AE$501,0))&amp;"","")</f>
        <v/>
      </c>
      <c r="E298" s="18" t="str">
        <f aca="false">IFERROR(INDEX(종합!E$3:E$501,MATCH(ROW()-2,종합!$AE$3:$AE$501,0))&amp;"","")</f>
        <v/>
      </c>
      <c r="F298" s="18" t="str">
        <f aca="false">IFERROR(INDEX(종합!F$3:F$501,MATCH(ROW()-2,종합!$AE$3:$AE$501,0))&amp;"","")</f>
        <v/>
      </c>
      <c r="G298" s="18" t="str">
        <f aca="false">IFERROR(INDEX(종합!G$3:G$501,MATCH(ROW()-2,종합!$AE$3:$AE$501,0))&amp;"","")</f>
        <v/>
      </c>
      <c r="H298" s="21" t="str">
        <f aca="false">IFERROR(INDEX(종합!H$3:H$501,MATCH(ROW()-2,종합!$AE$3:$AE$501,0))&amp;"","")</f>
        <v/>
      </c>
      <c r="I298" s="21" t="str">
        <f aca="false">IFERROR(INDEX(종합!I$3:I$501,MATCH(ROW()-2,종합!$AE$3:$AE$501,0))&amp;"","")</f>
        <v/>
      </c>
      <c r="J298" s="21" t="str">
        <f aca="false">IFERROR(INDEX(종합!J$3:J$501,MATCH(ROW()-2,종합!$AE$3:$AE$501,0))&amp;"","")</f>
        <v/>
      </c>
      <c r="K298" s="21" t="str">
        <f aca="false">IFERROR(INDEX(종합!K$3:K$501,MATCH(ROW()-2,종합!$AE$3:$AE$501,0))&amp;"","")</f>
        <v/>
      </c>
      <c r="L298" s="21" t="str">
        <f aca="false">IFERROR(INDEX(종합!L$3:L$501,MATCH(ROW()-2,종합!$AE$3:$AE$501,0))&amp;"","")</f>
        <v/>
      </c>
      <c r="M298" s="21" t="str">
        <f aca="false">IFERROR(INDEX(종합!M$3:M$501,MATCH(ROW()-2,종합!$AE$3:$AE$501,0))&amp;"","")</f>
        <v/>
      </c>
      <c r="N298" s="25" t="str">
        <f aca="false">IFERROR(INDEX(종합!N$3:N$501,MATCH(ROW()-2,종합!$AE$3:$AE$501,0))&amp;"","")</f>
        <v/>
      </c>
      <c r="O298" s="21" t="str">
        <f aca="false">IFERROR(INDEX(종합!O$3:O$501,MATCH(ROW()-2,종합!$AE$3:$AE$501,0))&amp;"","")</f>
        <v/>
      </c>
      <c r="P298" s="21" t="str">
        <f aca="false">IFERROR(INDEX(종합!P$3:P$501,MATCH(ROW()-2,종합!$AE$3:$AE$501,0))&amp;"","")</f>
        <v/>
      </c>
      <c r="Q298" s="21" t="str">
        <f aca="false">IFERROR(INDEX(종합!Q$3:Q$501,MATCH(ROW()-2,종합!$AE$3:$AE$501,0))&amp;"","")</f>
        <v/>
      </c>
      <c r="R298" s="21" t="str">
        <f aca="false">IFERROR(INDEX(종합!R$3:R$501,MATCH(ROW()-2,종합!$AE$3:$AE$501,0))&amp;"","")</f>
        <v/>
      </c>
      <c r="S298" s="21" t="str">
        <f aca="false">IFERROR(INDEX(종합!S$3:S$501,MATCH(ROW()-2,종합!$AE$3:$AE$501,0))&amp;"","")</f>
        <v/>
      </c>
      <c r="T298" s="21" t="str">
        <f aca="false">IFERROR(INDEX(종합!T$3:T$501,MATCH(ROW()-2,종합!$AE$3:$AE$501,0))&amp;"","")</f>
        <v/>
      </c>
      <c r="U298" s="21" t="str">
        <f aca="false">IFERROR(INDEX(종합!U$3:U$501,MATCH(ROW()-2,종합!$AE$3:$AE$501,0))&amp;"","")</f>
        <v/>
      </c>
      <c r="V298" s="21" t="str">
        <f aca="false">IFERROR(INDEX(종합!V$3:V$501,MATCH(ROW()-2,종합!$AE$3:$AE$501,0))&amp;"","")</f>
        <v/>
      </c>
      <c r="W298" s="21" t="str">
        <f aca="false">IFERROR(INDEX(종합!W$3:W$501,MATCH(ROW()-2,종합!$AE$3:$AE$501,0))&amp;"","")</f>
        <v/>
      </c>
      <c r="X298" s="21" t="str">
        <f aca="false">IFERROR(INDEX(종합!X$3:X$501,MATCH(ROW()-2,종합!$AE$3:$AE$501,0))&amp;"","")</f>
        <v/>
      </c>
      <c r="Y298" s="21" t="str">
        <f aca="false">IFERROR(INDEX(종합!Y$3:Y$501,MATCH(ROW()-2,종합!$AE$3:$AE$501,0))&amp;"","")</f>
        <v/>
      </c>
      <c r="Z298" s="21" t="str">
        <f aca="false">IFERROR(INDEX(종합!Z$3:Z$501,MATCH(ROW()-2,종합!$AE$3:$AE$501,0))&amp;"","")</f>
        <v/>
      </c>
    </row>
    <row r="299" customFormat="false" ht="16.5" hidden="false" customHeight="true" outlineLevel="0" collapsed="false">
      <c r="A299" s="18" t="str">
        <f aca="false">IF(B299="","",ROW()-2)</f>
        <v/>
      </c>
      <c r="B299" s="18" t="str">
        <f aca="false">IFERROR(INDEX(종합!B$3:B$501,MATCH(ROW()-2,종합!$AE$3:$AE$501,0))&amp;"","")</f>
        <v/>
      </c>
      <c r="C299" s="18" t="str">
        <f aca="false">IFERROR(INDEX(종합!C$3:C$501,MATCH(ROW()-2,종합!$AE$3:$AE$501,0))&amp;"","")</f>
        <v/>
      </c>
      <c r="D299" s="18" t="str">
        <f aca="false">IFERROR(INDEX(종합!D$3:D$501,MATCH(ROW()-2,종합!$AE$3:$AE$501,0))&amp;"","")</f>
        <v/>
      </c>
      <c r="E299" s="18" t="str">
        <f aca="false">IFERROR(INDEX(종합!E$3:E$501,MATCH(ROW()-2,종합!$AE$3:$AE$501,0))&amp;"","")</f>
        <v/>
      </c>
      <c r="F299" s="18" t="str">
        <f aca="false">IFERROR(INDEX(종합!F$3:F$501,MATCH(ROW()-2,종합!$AE$3:$AE$501,0))&amp;"","")</f>
        <v/>
      </c>
      <c r="G299" s="18" t="str">
        <f aca="false">IFERROR(INDEX(종합!G$3:G$501,MATCH(ROW()-2,종합!$AE$3:$AE$501,0))&amp;"","")</f>
        <v/>
      </c>
      <c r="H299" s="21" t="str">
        <f aca="false">IFERROR(INDEX(종합!H$3:H$501,MATCH(ROW()-2,종합!$AE$3:$AE$501,0))&amp;"","")</f>
        <v/>
      </c>
      <c r="I299" s="21" t="str">
        <f aca="false">IFERROR(INDEX(종합!I$3:I$501,MATCH(ROW()-2,종합!$AE$3:$AE$501,0))&amp;"","")</f>
        <v/>
      </c>
      <c r="J299" s="21" t="str">
        <f aca="false">IFERROR(INDEX(종합!J$3:J$501,MATCH(ROW()-2,종합!$AE$3:$AE$501,0))&amp;"","")</f>
        <v/>
      </c>
      <c r="K299" s="21" t="str">
        <f aca="false">IFERROR(INDEX(종합!K$3:K$501,MATCH(ROW()-2,종합!$AE$3:$AE$501,0))&amp;"","")</f>
        <v/>
      </c>
      <c r="L299" s="21" t="str">
        <f aca="false">IFERROR(INDEX(종합!L$3:L$501,MATCH(ROW()-2,종합!$AE$3:$AE$501,0))&amp;"","")</f>
        <v/>
      </c>
      <c r="M299" s="21" t="str">
        <f aca="false">IFERROR(INDEX(종합!M$3:M$501,MATCH(ROW()-2,종합!$AE$3:$AE$501,0))&amp;"","")</f>
        <v/>
      </c>
      <c r="N299" s="25" t="str">
        <f aca="false">IFERROR(INDEX(종합!N$3:N$501,MATCH(ROW()-2,종합!$AE$3:$AE$501,0))&amp;"","")</f>
        <v/>
      </c>
      <c r="O299" s="21" t="str">
        <f aca="false">IFERROR(INDEX(종합!O$3:O$501,MATCH(ROW()-2,종합!$AE$3:$AE$501,0))&amp;"","")</f>
        <v/>
      </c>
      <c r="P299" s="21" t="str">
        <f aca="false">IFERROR(INDEX(종합!P$3:P$501,MATCH(ROW()-2,종합!$AE$3:$AE$501,0))&amp;"","")</f>
        <v/>
      </c>
      <c r="Q299" s="21" t="str">
        <f aca="false">IFERROR(INDEX(종합!Q$3:Q$501,MATCH(ROW()-2,종합!$AE$3:$AE$501,0))&amp;"","")</f>
        <v/>
      </c>
      <c r="R299" s="21" t="str">
        <f aca="false">IFERROR(INDEX(종합!R$3:R$501,MATCH(ROW()-2,종합!$AE$3:$AE$501,0))&amp;"","")</f>
        <v/>
      </c>
      <c r="S299" s="21" t="str">
        <f aca="false">IFERROR(INDEX(종합!S$3:S$501,MATCH(ROW()-2,종합!$AE$3:$AE$501,0))&amp;"","")</f>
        <v/>
      </c>
      <c r="T299" s="21" t="str">
        <f aca="false">IFERROR(INDEX(종합!T$3:T$501,MATCH(ROW()-2,종합!$AE$3:$AE$501,0))&amp;"","")</f>
        <v/>
      </c>
      <c r="U299" s="21" t="str">
        <f aca="false">IFERROR(INDEX(종합!U$3:U$501,MATCH(ROW()-2,종합!$AE$3:$AE$501,0))&amp;"","")</f>
        <v/>
      </c>
      <c r="V299" s="21" t="str">
        <f aca="false">IFERROR(INDEX(종합!V$3:V$501,MATCH(ROW()-2,종합!$AE$3:$AE$501,0))&amp;"","")</f>
        <v/>
      </c>
      <c r="W299" s="21" t="str">
        <f aca="false">IFERROR(INDEX(종합!W$3:W$501,MATCH(ROW()-2,종합!$AE$3:$AE$501,0))&amp;"","")</f>
        <v/>
      </c>
      <c r="X299" s="21" t="str">
        <f aca="false">IFERROR(INDEX(종합!X$3:X$501,MATCH(ROW()-2,종합!$AE$3:$AE$501,0))&amp;"","")</f>
        <v/>
      </c>
      <c r="Y299" s="21" t="str">
        <f aca="false">IFERROR(INDEX(종합!Y$3:Y$501,MATCH(ROW()-2,종합!$AE$3:$AE$501,0))&amp;"","")</f>
        <v/>
      </c>
      <c r="Z299" s="21" t="str">
        <f aca="false">IFERROR(INDEX(종합!Z$3:Z$501,MATCH(ROW()-2,종합!$AE$3:$AE$501,0))&amp;"","")</f>
        <v/>
      </c>
    </row>
    <row r="300" customFormat="false" ht="16.5" hidden="false" customHeight="true" outlineLevel="0" collapsed="false">
      <c r="A300" s="18" t="str">
        <f aca="false">IF(B300="","",ROW()-2)</f>
        <v/>
      </c>
      <c r="B300" s="18" t="str">
        <f aca="false">IFERROR(INDEX(종합!B$3:B$501,MATCH(ROW()-2,종합!$AE$3:$AE$501,0))&amp;"","")</f>
        <v/>
      </c>
      <c r="C300" s="18" t="str">
        <f aca="false">IFERROR(INDEX(종합!C$3:C$501,MATCH(ROW()-2,종합!$AE$3:$AE$501,0))&amp;"","")</f>
        <v/>
      </c>
      <c r="D300" s="18" t="str">
        <f aca="false">IFERROR(INDEX(종합!D$3:D$501,MATCH(ROW()-2,종합!$AE$3:$AE$501,0))&amp;"","")</f>
        <v/>
      </c>
      <c r="E300" s="18" t="str">
        <f aca="false">IFERROR(INDEX(종합!E$3:E$501,MATCH(ROW()-2,종합!$AE$3:$AE$501,0))&amp;"","")</f>
        <v/>
      </c>
      <c r="F300" s="18" t="str">
        <f aca="false">IFERROR(INDEX(종합!F$3:F$501,MATCH(ROW()-2,종합!$AE$3:$AE$501,0))&amp;"","")</f>
        <v/>
      </c>
      <c r="G300" s="18" t="str">
        <f aca="false">IFERROR(INDEX(종합!G$3:G$501,MATCH(ROW()-2,종합!$AE$3:$AE$501,0))&amp;"","")</f>
        <v/>
      </c>
      <c r="H300" s="21" t="str">
        <f aca="false">IFERROR(INDEX(종합!H$3:H$501,MATCH(ROW()-2,종합!$AE$3:$AE$501,0))&amp;"","")</f>
        <v/>
      </c>
      <c r="I300" s="21" t="str">
        <f aca="false">IFERROR(INDEX(종합!I$3:I$501,MATCH(ROW()-2,종합!$AE$3:$AE$501,0))&amp;"","")</f>
        <v/>
      </c>
      <c r="J300" s="21" t="str">
        <f aca="false">IFERROR(INDEX(종합!J$3:J$501,MATCH(ROW()-2,종합!$AE$3:$AE$501,0))&amp;"","")</f>
        <v/>
      </c>
      <c r="K300" s="21" t="str">
        <f aca="false">IFERROR(INDEX(종합!K$3:K$501,MATCH(ROW()-2,종합!$AE$3:$AE$501,0))&amp;"","")</f>
        <v/>
      </c>
      <c r="L300" s="21" t="str">
        <f aca="false">IFERROR(INDEX(종합!L$3:L$501,MATCH(ROW()-2,종합!$AE$3:$AE$501,0))&amp;"","")</f>
        <v/>
      </c>
      <c r="M300" s="21" t="str">
        <f aca="false">IFERROR(INDEX(종합!M$3:M$501,MATCH(ROW()-2,종합!$AE$3:$AE$501,0))&amp;"","")</f>
        <v/>
      </c>
      <c r="N300" s="25" t="str">
        <f aca="false">IFERROR(INDEX(종합!N$3:N$501,MATCH(ROW()-2,종합!$AE$3:$AE$501,0))&amp;"","")</f>
        <v/>
      </c>
      <c r="O300" s="21" t="str">
        <f aca="false">IFERROR(INDEX(종합!O$3:O$501,MATCH(ROW()-2,종합!$AE$3:$AE$501,0))&amp;"","")</f>
        <v/>
      </c>
      <c r="P300" s="21" t="str">
        <f aca="false">IFERROR(INDEX(종합!P$3:P$501,MATCH(ROW()-2,종합!$AE$3:$AE$501,0))&amp;"","")</f>
        <v/>
      </c>
      <c r="Q300" s="21" t="str">
        <f aca="false">IFERROR(INDEX(종합!Q$3:Q$501,MATCH(ROW()-2,종합!$AE$3:$AE$501,0))&amp;"","")</f>
        <v/>
      </c>
      <c r="R300" s="21" t="str">
        <f aca="false">IFERROR(INDEX(종합!R$3:R$501,MATCH(ROW()-2,종합!$AE$3:$AE$501,0))&amp;"","")</f>
        <v/>
      </c>
      <c r="S300" s="21" t="str">
        <f aca="false">IFERROR(INDEX(종합!S$3:S$501,MATCH(ROW()-2,종합!$AE$3:$AE$501,0))&amp;"","")</f>
        <v/>
      </c>
      <c r="T300" s="21" t="str">
        <f aca="false">IFERROR(INDEX(종합!T$3:T$501,MATCH(ROW()-2,종합!$AE$3:$AE$501,0))&amp;"","")</f>
        <v/>
      </c>
      <c r="U300" s="21" t="str">
        <f aca="false">IFERROR(INDEX(종합!U$3:U$501,MATCH(ROW()-2,종합!$AE$3:$AE$501,0))&amp;"","")</f>
        <v/>
      </c>
      <c r="V300" s="21" t="str">
        <f aca="false">IFERROR(INDEX(종합!V$3:V$501,MATCH(ROW()-2,종합!$AE$3:$AE$501,0))&amp;"","")</f>
        <v/>
      </c>
      <c r="W300" s="21" t="str">
        <f aca="false">IFERROR(INDEX(종합!W$3:W$501,MATCH(ROW()-2,종합!$AE$3:$AE$501,0))&amp;"","")</f>
        <v/>
      </c>
      <c r="X300" s="21" t="str">
        <f aca="false">IFERROR(INDEX(종합!X$3:X$501,MATCH(ROW()-2,종합!$AE$3:$AE$501,0))&amp;"","")</f>
        <v/>
      </c>
      <c r="Y300" s="21" t="str">
        <f aca="false">IFERROR(INDEX(종합!Y$3:Y$501,MATCH(ROW()-2,종합!$AE$3:$AE$501,0))&amp;"","")</f>
        <v/>
      </c>
      <c r="Z300" s="21" t="str">
        <f aca="false">IFERROR(INDEX(종합!Z$3:Z$501,MATCH(ROW()-2,종합!$AE$3:$AE$501,0))&amp;"","")</f>
        <v/>
      </c>
    </row>
    <row r="301" customFormat="false" ht="16.5" hidden="false" customHeight="true" outlineLevel="0" collapsed="false">
      <c r="A301" s="18" t="str">
        <f aca="false">IF(B301="","",ROW()-2)</f>
        <v/>
      </c>
      <c r="B301" s="18" t="str">
        <f aca="false">IFERROR(INDEX(종합!B$3:B$501,MATCH(ROW()-2,종합!$AE$3:$AE$501,0))&amp;"","")</f>
        <v/>
      </c>
      <c r="C301" s="18" t="str">
        <f aca="false">IFERROR(INDEX(종합!C$3:C$501,MATCH(ROW()-2,종합!$AE$3:$AE$501,0))&amp;"","")</f>
        <v/>
      </c>
      <c r="D301" s="18" t="str">
        <f aca="false">IFERROR(INDEX(종합!D$3:D$501,MATCH(ROW()-2,종합!$AE$3:$AE$501,0))&amp;"","")</f>
        <v/>
      </c>
      <c r="E301" s="18" t="str">
        <f aca="false">IFERROR(INDEX(종합!E$3:E$501,MATCH(ROW()-2,종합!$AE$3:$AE$501,0))&amp;"","")</f>
        <v/>
      </c>
      <c r="F301" s="18" t="str">
        <f aca="false">IFERROR(INDEX(종합!F$3:F$501,MATCH(ROW()-2,종합!$AE$3:$AE$501,0))&amp;"","")</f>
        <v/>
      </c>
      <c r="G301" s="18" t="str">
        <f aca="false">IFERROR(INDEX(종합!G$3:G$501,MATCH(ROW()-2,종합!$AE$3:$AE$501,0))&amp;"","")</f>
        <v/>
      </c>
      <c r="H301" s="21" t="str">
        <f aca="false">IFERROR(INDEX(종합!H$3:H$501,MATCH(ROW()-2,종합!$AE$3:$AE$501,0))&amp;"","")</f>
        <v/>
      </c>
      <c r="I301" s="21" t="str">
        <f aca="false">IFERROR(INDEX(종합!I$3:I$501,MATCH(ROW()-2,종합!$AE$3:$AE$501,0))&amp;"","")</f>
        <v/>
      </c>
      <c r="J301" s="21" t="str">
        <f aca="false">IFERROR(INDEX(종합!J$3:J$501,MATCH(ROW()-2,종합!$AE$3:$AE$501,0))&amp;"","")</f>
        <v/>
      </c>
      <c r="K301" s="21" t="str">
        <f aca="false">IFERROR(INDEX(종합!K$3:K$501,MATCH(ROW()-2,종합!$AE$3:$AE$501,0))&amp;"","")</f>
        <v/>
      </c>
      <c r="L301" s="21" t="str">
        <f aca="false">IFERROR(INDEX(종합!L$3:L$501,MATCH(ROW()-2,종합!$AE$3:$AE$501,0))&amp;"","")</f>
        <v/>
      </c>
      <c r="M301" s="21" t="str">
        <f aca="false">IFERROR(INDEX(종합!M$3:M$501,MATCH(ROW()-2,종합!$AE$3:$AE$501,0))&amp;"","")</f>
        <v/>
      </c>
      <c r="N301" s="25" t="str">
        <f aca="false">IFERROR(INDEX(종합!N$3:N$501,MATCH(ROW()-2,종합!$AE$3:$AE$501,0))&amp;"","")</f>
        <v/>
      </c>
      <c r="O301" s="21" t="str">
        <f aca="false">IFERROR(INDEX(종합!O$3:O$501,MATCH(ROW()-2,종합!$AE$3:$AE$501,0))&amp;"","")</f>
        <v/>
      </c>
      <c r="P301" s="21" t="str">
        <f aca="false">IFERROR(INDEX(종합!P$3:P$501,MATCH(ROW()-2,종합!$AE$3:$AE$501,0))&amp;"","")</f>
        <v/>
      </c>
      <c r="Q301" s="21" t="str">
        <f aca="false">IFERROR(INDEX(종합!Q$3:Q$501,MATCH(ROW()-2,종합!$AE$3:$AE$501,0))&amp;"","")</f>
        <v/>
      </c>
      <c r="R301" s="21" t="str">
        <f aca="false">IFERROR(INDEX(종합!R$3:R$501,MATCH(ROW()-2,종합!$AE$3:$AE$501,0))&amp;"","")</f>
        <v/>
      </c>
      <c r="S301" s="21" t="str">
        <f aca="false">IFERROR(INDEX(종합!S$3:S$501,MATCH(ROW()-2,종합!$AE$3:$AE$501,0))&amp;"","")</f>
        <v/>
      </c>
      <c r="T301" s="21" t="str">
        <f aca="false">IFERROR(INDEX(종합!T$3:T$501,MATCH(ROW()-2,종합!$AE$3:$AE$501,0))&amp;"","")</f>
        <v/>
      </c>
      <c r="U301" s="21" t="str">
        <f aca="false">IFERROR(INDEX(종합!U$3:U$501,MATCH(ROW()-2,종합!$AE$3:$AE$501,0))&amp;"","")</f>
        <v/>
      </c>
      <c r="V301" s="21" t="str">
        <f aca="false">IFERROR(INDEX(종합!V$3:V$501,MATCH(ROW()-2,종합!$AE$3:$AE$501,0))&amp;"","")</f>
        <v/>
      </c>
      <c r="W301" s="21" t="str">
        <f aca="false">IFERROR(INDEX(종합!W$3:W$501,MATCH(ROW()-2,종합!$AE$3:$AE$501,0))&amp;"","")</f>
        <v/>
      </c>
      <c r="X301" s="21" t="str">
        <f aca="false">IFERROR(INDEX(종합!X$3:X$501,MATCH(ROW()-2,종합!$AE$3:$AE$501,0))&amp;"","")</f>
        <v/>
      </c>
      <c r="Y301" s="21" t="str">
        <f aca="false">IFERROR(INDEX(종합!Y$3:Y$501,MATCH(ROW()-2,종합!$AE$3:$AE$501,0))&amp;"","")</f>
        <v/>
      </c>
      <c r="Z301" s="21" t="str">
        <f aca="false">IFERROR(INDEX(종합!Z$3:Z$501,MATCH(ROW()-2,종합!$AE$3:$AE$501,0))&amp;"","")</f>
        <v/>
      </c>
    </row>
    <row r="302" customFormat="false" ht="16.5" hidden="false" customHeight="true" outlineLevel="0" collapsed="false">
      <c r="A302" s="18" t="str">
        <f aca="false">IF(B302="","",ROW()-2)</f>
        <v/>
      </c>
      <c r="B302" s="18" t="str">
        <f aca="false">IFERROR(INDEX(종합!B$3:B$501,MATCH(ROW()-2,종합!$AE$3:$AE$501,0))&amp;"","")</f>
        <v/>
      </c>
      <c r="C302" s="18" t="str">
        <f aca="false">IFERROR(INDEX(종합!C$3:C$501,MATCH(ROW()-2,종합!$AE$3:$AE$501,0))&amp;"","")</f>
        <v/>
      </c>
      <c r="D302" s="18" t="str">
        <f aca="false">IFERROR(INDEX(종합!D$3:D$501,MATCH(ROW()-2,종합!$AE$3:$AE$501,0))&amp;"","")</f>
        <v/>
      </c>
      <c r="E302" s="18" t="str">
        <f aca="false">IFERROR(INDEX(종합!E$3:E$501,MATCH(ROW()-2,종합!$AE$3:$AE$501,0))&amp;"","")</f>
        <v/>
      </c>
      <c r="F302" s="18" t="str">
        <f aca="false">IFERROR(INDEX(종합!F$3:F$501,MATCH(ROW()-2,종합!$AE$3:$AE$501,0))&amp;"","")</f>
        <v/>
      </c>
      <c r="G302" s="18" t="str">
        <f aca="false">IFERROR(INDEX(종합!G$3:G$501,MATCH(ROW()-2,종합!$AE$3:$AE$501,0))&amp;"","")</f>
        <v/>
      </c>
      <c r="H302" s="21" t="str">
        <f aca="false">IFERROR(INDEX(종합!H$3:H$501,MATCH(ROW()-2,종합!$AE$3:$AE$501,0))&amp;"","")</f>
        <v/>
      </c>
      <c r="I302" s="21" t="str">
        <f aca="false">IFERROR(INDEX(종합!I$3:I$501,MATCH(ROW()-2,종합!$AE$3:$AE$501,0))&amp;"","")</f>
        <v/>
      </c>
      <c r="J302" s="21" t="str">
        <f aca="false">IFERROR(INDEX(종합!J$3:J$501,MATCH(ROW()-2,종합!$AE$3:$AE$501,0))&amp;"","")</f>
        <v/>
      </c>
      <c r="K302" s="21" t="str">
        <f aca="false">IFERROR(INDEX(종합!K$3:K$501,MATCH(ROW()-2,종합!$AE$3:$AE$501,0))&amp;"","")</f>
        <v/>
      </c>
      <c r="L302" s="21" t="str">
        <f aca="false">IFERROR(INDEX(종합!L$3:L$501,MATCH(ROW()-2,종합!$AE$3:$AE$501,0))&amp;"","")</f>
        <v/>
      </c>
      <c r="M302" s="21" t="str">
        <f aca="false">IFERROR(INDEX(종합!M$3:M$501,MATCH(ROW()-2,종합!$AE$3:$AE$501,0))&amp;"","")</f>
        <v/>
      </c>
      <c r="N302" s="25" t="str">
        <f aca="false">IFERROR(INDEX(종합!N$3:N$501,MATCH(ROW()-2,종합!$AE$3:$AE$501,0))&amp;"","")</f>
        <v/>
      </c>
      <c r="O302" s="21" t="str">
        <f aca="false">IFERROR(INDEX(종합!O$3:O$501,MATCH(ROW()-2,종합!$AE$3:$AE$501,0))&amp;"","")</f>
        <v/>
      </c>
      <c r="P302" s="21" t="str">
        <f aca="false">IFERROR(INDEX(종합!P$3:P$501,MATCH(ROW()-2,종합!$AE$3:$AE$501,0))&amp;"","")</f>
        <v/>
      </c>
      <c r="Q302" s="21" t="str">
        <f aca="false">IFERROR(INDEX(종합!Q$3:Q$501,MATCH(ROW()-2,종합!$AE$3:$AE$501,0))&amp;"","")</f>
        <v/>
      </c>
      <c r="R302" s="21" t="str">
        <f aca="false">IFERROR(INDEX(종합!R$3:R$501,MATCH(ROW()-2,종합!$AE$3:$AE$501,0))&amp;"","")</f>
        <v/>
      </c>
      <c r="S302" s="21" t="str">
        <f aca="false">IFERROR(INDEX(종합!S$3:S$501,MATCH(ROW()-2,종합!$AE$3:$AE$501,0))&amp;"","")</f>
        <v/>
      </c>
      <c r="T302" s="21" t="str">
        <f aca="false">IFERROR(INDEX(종합!T$3:T$501,MATCH(ROW()-2,종합!$AE$3:$AE$501,0))&amp;"","")</f>
        <v/>
      </c>
      <c r="U302" s="21" t="str">
        <f aca="false">IFERROR(INDEX(종합!U$3:U$501,MATCH(ROW()-2,종합!$AE$3:$AE$501,0))&amp;"","")</f>
        <v/>
      </c>
      <c r="V302" s="21" t="str">
        <f aca="false">IFERROR(INDEX(종합!V$3:V$501,MATCH(ROW()-2,종합!$AE$3:$AE$501,0))&amp;"","")</f>
        <v/>
      </c>
      <c r="W302" s="21" t="str">
        <f aca="false">IFERROR(INDEX(종합!W$3:W$501,MATCH(ROW()-2,종합!$AE$3:$AE$501,0))&amp;"","")</f>
        <v/>
      </c>
      <c r="X302" s="21" t="str">
        <f aca="false">IFERROR(INDEX(종합!X$3:X$501,MATCH(ROW()-2,종합!$AE$3:$AE$501,0))&amp;"","")</f>
        <v/>
      </c>
      <c r="Y302" s="21" t="str">
        <f aca="false">IFERROR(INDEX(종합!Y$3:Y$501,MATCH(ROW()-2,종합!$AE$3:$AE$501,0))&amp;"","")</f>
        <v/>
      </c>
      <c r="Z302" s="21" t="str">
        <f aca="false">IFERROR(INDEX(종합!Z$3:Z$501,MATCH(ROW()-2,종합!$AE$3:$AE$501,0))&amp;"","")</f>
        <v/>
      </c>
    </row>
    <row r="303" customFormat="false" ht="16.5" hidden="false" customHeight="true" outlineLevel="0" collapsed="false">
      <c r="A303" s="18" t="str">
        <f aca="false">IF(B303="","",ROW()-2)</f>
        <v/>
      </c>
      <c r="B303" s="18" t="str">
        <f aca="false">IFERROR(INDEX(종합!B$3:B$501,MATCH(ROW()-2,종합!$AE$3:$AE$501,0))&amp;"","")</f>
        <v/>
      </c>
      <c r="C303" s="18" t="str">
        <f aca="false">IFERROR(INDEX(종합!C$3:C$501,MATCH(ROW()-2,종합!$AE$3:$AE$501,0))&amp;"","")</f>
        <v/>
      </c>
      <c r="D303" s="18" t="str">
        <f aca="false">IFERROR(INDEX(종합!D$3:D$501,MATCH(ROW()-2,종합!$AE$3:$AE$501,0))&amp;"","")</f>
        <v/>
      </c>
      <c r="E303" s="18" t="str">
        <f aca="false">IFERROR(INDEX(종합!E$3:E$501,MATCH(ROW()-2,종합!$AE$3:$AE$501,0))&amp;"","")</f>
        <v/>
      </c>
      <c r="F303" s="18" t="str">
        <f aca="false">IFERROR(INDEX(종합!F$3:F$501,MATCH(ROW()-2,종합!$AE$3:$AE$501,0))&amp;"","")</f>
        <v/>
      </c>
      <c r="G303" s="18" t="str">
        <f aca="false">IFERROR(INDEX(종합!G$3:G$501,MATCH(ROW()-2,종합!$AE$3:$AE$501,0))&amp;"","")</f>
        <v/>
      </c>
      <c r="H303" s="21" t="str">
        <f aca="false">IFERROR(INDEX(종합!H$3:H$501,MATCH(ROW()-2,종합!$AE$3:$AE$501,0))&amp;"","")</f>
        <v/>
      </c>
      <c r="I303" s="21" t="str">
        <f aca="false">IFERROR(INDEX(종합!I$3:I$501,MATCH(ROW()-2,종합!$AE$3:$AE$501,0))&amp;"","")</f>
        <v/>
      </c>
      <c r="J303" s="21" t="str">
        <f aca="false">IFERROR(INDEX(종합!J$3:J$501,MATCH(ROW()-2,종합!$AE$3:$AE$501,0))&amp;"","")</f>
        <v/>
      </c>
      <c r="K303" s="21" t="str">
        <f aca="false">IFERROR(INDEX(종합!K$3:K$501,MATCH(ROW()-2,종합!$AE$3:$AE$501,0))&amp;"","")</f>
        <v/>
      </c>
      <c r="L303" s="21" t="str">
        <f aca="false">IFERROR(INDEX(종합!L$3:L$501,MATCH(ROW()-2,종합!$AE$3:$AE$501,0))&amp;"","")</f>
        <v/>
      </c>
      <c r="M303" s="21" t="str">
        <f aca="false">IFERROR(INDEX(종합!M$3:M$501,MATCH(ROW()-2,종합!$AE$3:$AE$501,0))&amp;"","")</f>
        <v/>
      </c>
      <c r="N303" s="25" t="str">
        <f aca="false">IFERROR(INDEX(종합!N$3:N$501,MATCH(ROW()-2,종합!$AE$3:$AE$501,0))&amp;"","")</f>
        <v/>
      </c>
      <c r="O303" s="21" t="str">
        <f aca="false">IFERROR(INDEX(종합!O$3:O$501,MATCH(ROW()-2,종합!$AE$3:$AE$501,0))&amp;"","")</f>
        <v/>
      </c>
      <c r="P303" s="21" t="str">
        <f aca="false">IFERROR(INDEX(종합!P$3:P$501,MATCH(ROW()-2,종합!$AE$3:$AE$501,0))&amp;"","")</f>
        <v/>
      </c>
      <c r="Q303" s="21" t="str">
        <f aca="false">IFERROR(INDEX(종합!Q$3:Q$501,MATCH(ROW()-2,종합!$AE$3:$AE$501,0))&amp;"","")</f>
        <v/>
      </c>
      <c r="R303" s="21" t="str">
        <f aca="false">IFERROR(INDEX(종합!R$3:R$501,MATCH(ROW()-2,종합!$AE$3:$AE$501,0))&amp;"","")</f>
        <v/>
      </c>
      <c r="S303" s="21" t="str">
        <f aca="false">IFERROR(INDEX(종합!S$3:S$501,MATCH(ROW()-2,종합!$AE$3:$AE$501,0))&amp;"","")</f>
        <v/>
      </c>
      <c r="T303" s="21" t="str">
        <f aca="false">IFERROR(INDEX(종합!T$3:T$501,MATCH(ROW()-2,종합!$AE$3:$AE$501,0))&amp;"","")</f>
        <v/>
      </c>
      <c r="U303" s="21" t="str">
        <f aca="false">IFERROR(INDEX(종합!U$3:U$501,MATCH(ROW()-2,종합!$AE$3:$AE$501,0))&amp;"","")</f>
        <v/>
      </c>
      <c r="V303" s="21" t="str">
        <f aca="false">IFERROR(INDEX(종합!V$3:V$501,MATCH(ROW()-2,종합!$AE$3:$AE$501,0))&amp;"","")</f>
        <v/>
      </c>
      <c r="W303" s="21" t="str">
        <f aca="false">IFERROR(INDEX(종합!W$3:W$501,MATCH(ROW()-2,종합!$AE$3:$AE$501,0))&amp;"","")</f>
        <v/>
      </c>
      <c r="X303" s="21" t="str">
        <f aca="false">IFERROR(INDEX(종합!X$3:X$501,MATCH(ROW()-2,종합!$AE$3:$AE$501,0))&amp;"","")</f>
        <v/>
      </c>
      <c r="Y303" s="21" t="str">
        <f aca="false">IFERROR(INDEX(종합!Y$3:Y$501,MATCH(ROW()-2,종합!$AE$3:$AE$501,0))&amp;"","")</f>
        <v/>
      </c>
      <c r="Z303" s="21" t="str">
        <f aca="false">IFERROR(INDEX(종합!Z$3:Z$501,MATCH(ROW()-2,종합!$AE$3:$AE$501,0))&amp;"","")</f>
        <v/>
      </c>
    </row>
    <row r="304" customFormat="false" ht="16.5" hidden="false" customHeight="true" outlineLevel="0" collapsed="false">
      <c r="A304" s="18" t="str">
        <f aca="false">IF(B304="","",ROW()-2)</f>
        <v/>
      </c>
      <c r="B304" s="18" t="str">
        <f aca="false">IFERROR(INDEX(종합!B$3:B$501,MATCH(ROW()-2,종합!$AE$3:$AE$501,0))&amp;"","")</f>
        <v/>
      </c>
      <c r="C304" s="18" t="str">
        <f aca="false">IFERROR(INDEX(종합!C$3:C$501,MATCH(ROW()-2,종합!$AE$3:$AE$501,0))&amp;"","")</f>
        <v/>
      </c>
      <c r="D304" s="18" t="str">
        <f aca="false">IFERROR(INDEX(종합!D$3:D$501,MATCH(ROW()-2,종합!$AE$3:$AE$501,0))&amp;"","")</f>
        <v/>
      </c>
      <c r="E304" s="18" t="str">
        <f aca="false">IFERROR(INDEX(종합!E$3:E$501,MATCH(ROW()-2,종합!$AE$3:$AE$501,0))&amp;"","")</f>
        <v/>
      </c>
      <c r="F304" s="18" t="str">
        <f aca="false">IFERROR(INDEX(종합!F$3:F$501,MATCH(ROW()-2,종합!$AE$3:$AE$501,0))&amp;"","")</f>
        <v/>
      </c>
      <c r="G304" s="18" t="str">
        <f aca="false">IFERROR(INDEX(종합!G$3:G$501,MATCH(ROW()-2,종합!$AE$3:$AE$501,0))&amp;"","")</f>
        <v/>
      </c>
      <c r="H304" s="21" t="str">
        <f aca="false">IFERROR(INDEX(종합!H$3:H$501,MATCH(ROW()-2,종합!$AE$3:$AE$501,0))&amp;"","")</f>
        <v/>
      </c>
      <c r="I304" s="21" t="str">
        <f aca="false">IFERROR(INDEX(종합!I$3:I$501,MATCH(ROW()-2,종합!$AE$3:$AE$501,0))&amp;"","")</f>
        <v/>
      </c>
      <c r="J304" s="21" t="str">
        <f aca="false">IFERROR(INDEX(종합!J$3:J$501,MATCH(ROW()-2,종합!$AE$3:$AE$501,0))&amp;"","")</f>
        <v/>
      </c>
      <c r="K304" s="21" t="str">
        <f aca="false">IFERROR(INDEX(종합!K$3:K$501,MATCH(ROW()-2,종합!$AE$3:$AE$501,0))&amp;"","")</f>
        <v/>
      </c>
      <c r="L304" s="21" t="str">
        <f aca="false">IFERROR(INDEX(종합!L$3:L$501,MATCH(ROW()-2,종합!$AE$3:$AE$501,0))&amp;"","")</f>
        <v/>
      </c>
      <c r="M304" s="21" t="str">
        <f aca="false">IFERROR(INDEX(종합!M$3:M$501,MATCH(ROW()-2,종합!$AE$3:$AE$501,0))&amp;"","")</f>
        <v/>
      </c>
      <c r="N304" s="25" t="str">
        <f aca="false">IFERROR(INDEX(종합!N$3:N$501,MATCH(ROW()-2,종합!$AE$3:$AE$501,0))&amp;"","")</f>
        <v/>
      </c>
      <c r="O304" s="21" t="str">
        <f aca="false">IFERROR(INDEX(종합!O$3:O$501,MATCH(ROW()-2,종합!$AE$3:$AE$501,0))&amp;"","")</f>
        <v/>
      </c>
      <c r="P304" s="21" t="str">
        <f aca="false">IFERROR(INDEX(종합!P$3:P$501,MATCH(ROW()-2,종합!$AE$3:$AE$501,0))&amp;"","")</f>
        <v/>
      </c>
      <c r="Q304" s="21" t="str">
        <f aca="false">IFERROR(INDEX(종합!Q$3:Q$501,MATCH(ROW()-2,종합!$AE$3:$AE$501,0))&amp;"","")</f>
        <v/>
      </c>
      <c r="R304" s="21" t="str">
        <f aca="false">IFERROR(INDEX(종합!R$3:R$501,MATCH(ROW()-2,종합!$AE$3:$AE$501,0))&amp;"","")</f>
        <v/>
      </c>
      <c r="S304" s="21" t="str">
        <f aca="false">IFERROR(INDEX(종합!S$3:S$501,MATCH(ROW()-2,종합!$AE$3:$AE$501,0))&amp;"","")</f>
        <v/>
      </c>
      <c r="T304" s="21" t="str">
        <f aca="false">IFERROR(INDEX(종합!T$3:T$501,MATCH(ROW()-2,종합!$AE$3:$AE$501,0))&amp;"","")</f>
        <v/>
      </c>
      <c r="U304" s="21" t="str">
        <f aca="false">IFERROR(INDEX(종합!U$3:U$501,MATCH(ROW()-2,종합!$AE$3:$AE$501,0))&amp;"","")</f>
        <v/>
      </c>
      <c r="V304" s="21" t="str">
        <f aca="false">IFERROR(INDEX(종합!V$3:V$501,MATCH(ROW()-2,종합!$AE$3:$AE$501,0))&amp;"","")</f>
        <v/>
      </c>
      <c r="W304" s="21" t="str">
        <f aca="false">IFERROR(INDEX(종합!W$3:W$501,MATCH(ROW()-2,종합!$AE$3:$AE$501,0))&amp;"","")</f>
        <v/>
      </c>
      <c r="X304" s="21" t="str">
        <f aca="false">IFERROR(INDEX(종합!X$3:X$501,MATCH(ROW()-2,종합!$AE$3:$AE$501,0))&amp;"","")</f>
        <v/>
      </c>
      <c r="Y304" s="21" t="str">
        <f aca="false">IFERROR(INDEX(종합!Y$3:Y$501,MATCH(ROW()-2,종합!$AE$3:$AE$501,0))&amp;"","")</f>
        <v/>
      </c>
      <c r="Z304" s="21" t="str">
        <f aca="false">IFERROR(INDEX(종합!Z$3:Z$501,MATCH(ROW()-2,종합!$AE$3:$AE$501,0))&amp;"","")</f>
        <v/>
      </c>
    </row>
    <row r="305" customFormat="false" ht="16.5" hidden="false" customHeight="true" outlineLevel="0" collapsed="false">
      <c r="A305" s="18" t="str">
        <f aca="false">IF(B305="","",ROW()-2)</f>
        <v/>
      </c>
      <c r="B305" s="18" t="str">
        <f aca="false">IFERROR(INDEX(종합!B$3:B$501,MATCH(ROW()-2,종합!$AE$3:$AE$501,0))&amp;"","")</f>
        <v/>
      </c>
      <c r="C305" s="18" t="str">
        <f aca="false">IFERROR(INDEX(종합!C$3:C$501,MATCH(ROW()-2,종합!$AE$3:$AE$501,0))&amp;"","")</f>
        <v/>
      </c>
      <c r="D305" s="18" t="str">
        <f aca="false">IFERROR(INDEX(종합!D$3:D$501,MATCH(ROW()-2,종합!$AE$3:$AE$501,0))&amp;"","")</f>
        <v/>
      </c>
      <c r="E305" s="18" t="str">
        <f aca="false">IFERROR(INDEX(종합!E$3:E$501,MATCH(ROW()-2,종합!$AE$3:$AE$501,0))&amp;"","")</f>
        <v/>
      </c>
      <c r="F305" s="18" t="str">
        <f aca="false">IFERROR(INDEX(종합!F$3:F$501,MATCH(ROW()-2,종합!$AE$3:$AE$501,0))&amp;"","")</f>
        <v/>
      </c>
      <c r="G305" s="18" t="str">
        <f aca="false">IFERROR(INDEX(종합!G$3:G$501,MATCH(ROW()-2,종합!$AE$3:$AE$501,0))&amp;"","")</f>
        <v/>
      </c>
      <c r="H305" s="21" t="str">
        <f aca="false">IFERROR(INDEX(종합!H$3:H$501,MATCH(ROW()-2,종합!$AE$3:$AE$501,0))&amp;"","")</f>
        <v/>
      </c>
      <c r="I305" s="21" t="str">
        <f aca="false">IFERROR(INDEX(종합!I$3:I$501,MATCH(ROW()-2,종합!$AE$3:$AE$501,0))&amp;"","")</f>
        <v/>
      </c>
      <c r="J305" s="21" t="str">
        <f aca="false">IFERROR(INDEX(종합!J$3:J$501,MATCH(ROW()-2,종합!$AE$3:$AE$501,0))&amp;"","")</f>
        <v/>
      </c>
      <c r="K305" s="21" t="str">
        <f aca="false">IFERROR(INDEX(종합!K$3:K$501,MATCH(ROW()-2,종합!$AE$3:$AE$501,0))&amp;"","")</f>
        <v/>
      </c>
      <c r="L305" s="21" t="str">
        <f aca="false">IFERROR(INDEX(종합!L$3:L$501,MATCH(ROW()-2,종합!$AE$3:$AE$501,0))&amp;"","")</f>
        <v/>
      </c>
      <c r="M305" s="21" t="str">
        <f aca="false">IFERROR(INDEX(종합!M$3:M$501,MATCH(ROW()-2,종합!$AE$3:$AE$501,0))&amp;"","")</f>
        <v/>
      </c>
      <c r="N305" s="25" t="str">
        <f aca="false">IFERROR(INDEX(종합!N$3:N$501,MATCH(ROW()-2,종합!$AE$3:$AE$501,0))&amp;"","")</f>
        <v/>
      </c>
      <c r="O305" s="21" t="str">
        <f aca="false">IFERROR(INDEX(종합!O$3:O$501,MATCH(ROW()-2,종합!$AE$3:$AE$501,0))&amp;"","")</f>
        <v/>
      </c>
      <c r="P305" s="21" t="str">
        <f aca="false">IFERROR(INDEX(종합!P$3:P$501,MATCH(ROW()-2,종합!$AE$3:$AE$501,0))&amp;"","")</f>
        <v/>
      </c>
      <c r="Q305" s="21" t="str">
        <f aca="false">IFERROR(INDEX(종합!Q$3:Q$501,MATCH(ROW()-2,종합!$AE$3:$AE$501,0))&amp;"","")</f>
        <v/>
      </c>
      <c r="R305" s="21" t="str">
        <f aca="false">IFERROR(INDEX(종합!R$3:R$501,MATCH(ROW()-2,종합!$AE$3:$AE$501,0))&amp;"","")</f>
        <v/>
      </c>
      <c r="S305" s="21" t="str">
        <f aca="false">IFERROR(INDEX(종합!S$3:S$501,MATCH(ROW()-2,종합!$AE$3:$AE$501,0))&amp;"","")</f>
        <v/>
      </c>
      <c r="T305" s="21" t="str">
        <f aca="false">IFERROR(INDEX(종합!T$3:T$501,MATCH(ROW()-2,종합!$AE$3:$AE$501,0))&amp;"","")</f>
        <v/>
      </c>
      <c r="U305" s="21" t="str">
        <f aca="false">IFERROR(INDEX(종합!U$3:U$501,MATCH(ROW()-2,종합!$AE$3:$AE$501,0))&amp;"","")</f>
        <v/>
      </c>
      <c r="V305" s="21" t="str">
        <f aca="false">IFERROR(INDEX(종합!V$3:V$501,MATCH(ROW()-2,종합!$AE$3:$AE$501,0))&amp;"","")</f>
        <v/>
      </c>
      <c r="W305" s="21" t="str">
        <f aca="false">IFERROR(INDEX(종합!W$3:W$501,MATCH(ROW()-2,종합!$AE$3:$AE$501,0))&amp;"","")</f>
        <v/>
      </c>
      <c r="X305" s="21" t="str">
        <f aca="false">IFERROR(INDEX(종합!X$3:X$501,MATCH(ROW()-2,종합!$AE$3:$AE$501,0))&amp;"","")</f>
        <v/>
      </c>
      <c r="Y305" s="21" t="str">
        <f aca="false">IFERROR(INDEX(종합!Y$3:Y$501,MATCH(ROW()-2,종합!$AE$3:$AE$501,0))&amp;"","")</f>
        <v/>
      </c>
      <c r="Z305" s="21" t="str">
        <f aca="false">IFERROR(INDEX(종합!Z$3:Z$501,MATCH(ROW()-2,종합!$AE$3:$AE$501,0))&amp;"","")</f>
        <v/>
      </c>
    </row>
    <row r="306" customFormat="false" ht="16.5" hidden="false" customHeight="true" outlineLevel="0" collapsed="false">
      <c r="A306" s="18" t="str">
        <f aca="false">IF(B306="","",ROW()-2)</f>
        <v/>
      </c>
      <c r="B306" s="18" t="str">
        <f aca="false">IFERROR(INDEX(종합!B$3:B$501,MATCH(ROW()-2,종합!$AE$3:$AE$501,0))&amp;"","")</f>
        <v/>
      </c>
      <c r="C306" s="18" t="str">
        <f aca="false">IFERROR(INDEX(종합!C$3:C$501,MATCH(ROW()-2,종합!$AE$3:$AE$501,0))&amp;"","")</f>
        <v/>
      </c>
      <c r="D306" s="18" t="str">
        <f aca="false">IFERROR(INDEX(종합!D$3:D$501,MATCH(ROW()-2,종합!$AE$3:$AE$501,0))&amp;"","")</f>
        <v/>
      </c>
      <c r="E306" s="18" t="str">
        <f aca="false">IFERROR(INDEX(종합!E$3:E$501,MATCH(ROW()-2,종합!$AE$3:$AE$501,0))&amp;"","")</f>
        <v/>
      </c>
      <c r="F306" s="18" t="str">
        <f aca="false">IFERROR(INDEX(종합!F$3:F$501,MATCH(ROW()-2,종합!$AE$3:$AE$501,0))&amp;"","")</f>
        <v/>
      </c>
      <c r="G306" s="18" t="str">
        <f aca="false">IFERROR(INDEX(종합!G$3:G$501,MATCH(ROW()-2,종합!$AE$3:$AE$501,0))&amp;"","")</f>
        <v/>
      </c>
      <c r="H306" s="21" t="str">
        <f aca="false">IFERROR(INDEX(종합!H$3:H$501,MATCH(ROW()-2,종합!$AE$3:$AE$501,0))&amp;"","")</f>
        <v/>
      </c>
      <c r="I306" s="21" t="str">
        <f aca="false">IFERROR(INDEX(종합!I$3:I$501,MATCH(ROW()-2,종합!$AE$3:$AE$501,0))&amp;"","")</f>
        <v/>
      </c>
      <c r="J306" s="21" t="str">
        <f aca="false">IFERROR(INDEX(종합!J$3:J$501,MATCH(ROW()-2,종합!$AE$3:$AE$501,0))&amp;"","")</f>
        <v/>
      </c>
      <c r="K306" s="21" t="str">
        <f aca="false">IFERROR(INDEX(종합!K$3:K$501,MATCH(ROW()-2,종합!$AE$3:$AE$501,0))&amp;"","")</f>
        <v/>
      </c>
      <c r="L306" s="21" t="str">
        <f aca="false">IFERROR(INDEX(종합!L$3:L$501,MATCH(ROW()-2,종합!$AE$3:$AE$501,0))&amp;"","")</f>
        <v/>
      </c>
      <c r="M306" s="21" t="str">
        <f aca="false">IFERROR(INDEX(종합!M$3:M$501,MATCH(ROW()-2,종합!$AE$3:$AE$501,0))&amp;"","")</f>
        <v/>
      </c>
      <c r="N306" s="25" t="str">
        <f aca="false">IFERROR(INDEX(종합!N$3:N$501,MATCH(ROW()-2,종합!$AE$3:$AE$501,0))&amp;"","")</f>
        <v/>
      </c>
      <c r="O306" s="21" t="str">
        <f aca="false">IFERROR(INDEX(종합!O$3:O$501,MATCH(ROW()-2,종합!$AE$3:$AE$501,0))&amp;"","")</f>
        <v/>
      </c>
      <c r="P306" s="21" t="str">
        <f aca="false">IFERROR(INDEX(종합!P$3:P$501,MATCH(ROW()-2,종합!$AE$3:$AE$501,0))&amp;"","")</f>
        <v/>
      </c>
      <c r="Q306" s="21" t="str">
        <f aca="false">IFERROR(INDEX(종합!Q$3:Q$501,MATCH(ROW()-2,종합!$AE$3:$AE$501,0))&amp;"","")</f>
        <v/>
      </c>
      <c r="R306" s="21" t="str">
        <f aca="false">IFERROR(INDEX(종합!R$3:R$501,MATCH(ROW()-2,종합!$AE$3:$AE$501,0))&amp;"","")</f>
        <v/>
      </c>
      <c r="S306" s="21" t="str">
        <f aca="false">IFERROR(INDEX(종합!S$3:S$501,MATCH(ROW()-2,종합!$AE$3:$AE$501,0))&amp;"","")</f>
        <v/>
      </c>
      <c r="T306" s="21" t="str">
        <f aca="false">IFERROR(INDEX(종합!T$3:T$501,MATCH(ROW()-2,종합!$AE$3:$AE$501,0))&amp;"","")</f>
        <v/>
      </c>
      <c r="U306" s="21" t="str">
        <f aca="false">IFERROR(INDEX(종합!U$3:U$501,MATCH(ROW()-2,종합!$AE$3:$AE$501,0))&amp;"","")</f>
        <v/>
      </c>
      <c r="V306" s="21" t="str">
        <f aca="false">IFERROR(INDEX(종합!V$3:V$501,MATCH(ROW()-2,종합!$AE$3:$AE$501,0))&amp;"","")</f>
        <v/>
      </c>
      <c r="W306" s="21" t="str">
        <f aca="false">IFERROR(INDEX(종합!W$3:W$501,MATCH(ROW()-2,종합!$AE$3:$AE$501,0))&amp;"","")</f>
        <v/>
      </c>
      <c r="X306" s="21" t="str">
        <f aca="false">IFERROR(INDEX(종합!X$3:X$501,MATCH(ROW()-2,종합!$AE$3:$AE$501,0))&amp;"","")</f>
        <v/>
      </c>
      <c r="Y306" s="21" t="str">
        <f aca="false">IFERROR(INDEX(종합!Y$3:Y$501,MATCH(ROW()-2,종합!$AE$3:$AE$501,0))&amp;"","")</f>
        <v/>
      </c>
      <c r="Z306" s="21" t="str">
        <f aca="false">IFERROR(INDEX(종합!Z$3:Z$501,MATCH(ROW()-2,종합!$AE$3:$AE$501,0))&amp;"","")</f>
        <v/>
      </c>
    </row>
    <row r="307" customFormat="false" ht="16.5" hidden="false" customHeight="true" outlineLevel="0" collapsed="false">
      <c r="A307" s="18" t="str">
        <f aca="false">IF(B307="","",ROW()-2)</f>
        <v/>
      </c>
      <c r="B307" s="18" t="str">
        <f aca="false">IFERROR(INDEX(종합!B$3:B$501,MATCH(ROW()-2,종합!$AE$3:$AE$501,0))&amp;"","")</f>
        <v/>
      </c>
      <c r="C307" s="18" t="str">
        <f aca="false">IFERROR(INDEX(종합!C$3:C$501,MATCH(ROW()-2,종합!$AE$3:$AE$501,0))&amp;"","")</f>
        <v/>
      </c>
      <c r="D307" s="18" t="str">
        <f aca="false">IFERROR(INDEX(종합!D$3:D$501,MATCH(ROW()-2,종합!$AE$3:$AE$501,0))&amp;"","")</f>
        <v/>
      </c>
      <c r="E307" s="18" t="str">
        <f aca="false">IFERROR(INDEX(종합!E$3:E$501,MATCH(ROW()-2,종합!$AE$3:$AE$501,0))&amp;"","")</f>
        <v/>
      </c>
      <c r="F307" s="18" t="str">
        <f aca="false">IFERROR(INDEX(종합!F$3:F$501,MATCH(ROW()-2,종합!$AE$3:$AE$501,0))&amp;"","")</f>
        <v/>
      </c>
      <c r="G307" s="18" t="str">
        <f aca="false">IFERROR(INDEX(종합!G$3:G$501,MATCH(ROW()-2,종합!$AE$3:$AE$501,0))&amp;"","")</f>
        <v/>
      </c>
      <c r="H307" s="21" t="str">
        <f aca="false">IFERROR(INDEX(종합!H$3:H$501,MATCH(ROW()-2,종합!$AE$3:$AE$501,0))&amp;"","")</f>
        <v/>
      </c>
      <c r="I307" s="21" t="str">
        <f aca="false">IFERROR(INDEX(종합!I$3:I$501,MATCH(ROW()-2,종합!$AE$3:$AE$501,0))&amp;"","")</f>
        <v/>
      </c>
      <c r="J307" s="21" t="str">
        <f aca="false">IFERROR(INDEX(종합!J$3:J$501,MATCH(ROW()-2,종합!$AE$3:$AE$501,0))&amp;"","")</f>
        <v/>
      </c>
      <c r="K307" s="21" t="str">
        <f aca="false">IFERROR(INDEX(종합!K$3:K$501,MATCH(ROW()-2,종합!$AE$3:$AE$501,0))&amp;"","")</f>
        <v/>
      </c>
      <c r="L307" s="21" t="str">
        <f aca="false">IFERROR(INDEX(종합!L$3:L$501,MATCH(ROW()-2,종합!$AE$3:$AE$501,0))&amp;"","")</f>
        <v/>
      </c>
      <c r="M307" s="21" t="str">
        <f aca="false">IFERROR(INDEX(종합!M$3:M$501,MATCH(ROW()-2,종합!$AE$3:$AE$501,0))&amp;"","")</f>
        <v/>
      </c>
      <c r="N307" s="25" t="str">
        <f aca="false">IFERROR(INDEX(종합!N$3:N$501,MATCH(ROW()-2,종합!$AE$3:$AE$501,0))&amp;"","")</f>
        <v/>
      </c>
      <c r="O307" s="21" t="str">
        <f aca="false">IFERROR(INDEX(종합!O$3:O$501,MATCH(ROW()-2,종합!$AE$3:$AE$501,0))&amp;"","")</f>
        <v/>
      </c>
      <c r="P307" s="21" t="str">
        <f aca="false">IFERROR(INDEX(종합!P$3:P$501,MATCH(ROW()-2,종합!$AE$3:$AE$501,0))&amp;"","")</f>
        <v/>
      </c>
      <c r="Q307" s="21" t="str">
        <f aca="false">IFERROR(INDEX(종합!Q$3:Q$501,MATCH(ROW()-2,종합!$AE$3:$AE$501,0))&amp;"","")</f>
        <v/>
      </c>
      <c r="R307" s="21" t="str">
        <f aca="false">IFERROR(INDEX(종합!R$3:R$501,MATCH(ROW()-2,종합!$AE$3:$AE$501,0))&amp;"","")</f>
        <v/>
      </c>
      <c r="S307" s="21" t="str">
        <f aca="false">IFERROR(INDEX(종합!S$3:S$501,MATCH(ROW()-2,종합!$AE$3:$AE$501,0))&amp;"","")</f>
        <v/>
      </c>
      <c r="T307" s="21" t="str">
        <f aca="false">IFERROR(INDEX(종합!T$3:T$501,MATCH(ROW()-2,종합!$AE$3:$AE$501,0))&amp;"","")</f>
        <v/>
      </c>
      <c r="U307" s="21" t="str">
        <f aca="false">IFERROR(INDEX(종합!U$3:U$501,MATCH(ROW()-2,종합!$AE$3:$AE$501,0))&amp;"","")</f>
        <v/>
      </c>
      <c r="V307" s="21" t="str">
        <f aca="false">IFERROR(INDEX(종합!V$3:V$501,MATCH(ROW()-2,종합!$AE$3:$AE$501,0))&amp;"","")</f>
        <v/>
      </c>
      <c r="W307" s="21" t="str">
        <f aca="false">IFERROR(INDEX(종합!W$3:W$501,MATCH(ROW()-2,종합!$AE$3:$AE$501,0))&amp;"","")</f>
        <v/>
      </c>
      <c r="X307" s="21" t="str">
        <f aca="false">IFERROR(INDEX(종합!X$3:X$501,MATCH(ROW()-2,종합!$AE$3:$AE$501,0))&amp;"","")</f>
        <v/>
      </c>
      <c r="Y307" s="21" t="str">
        <f aca="false">IFERROR(INDEX(종합!Y$3:Y$501,MATCH(ROW()-2,종합!$AE$3:$AE$501,0))&amp;"","")</f>
        <v/>
      </c>
      <c r="Z307" s="21" t="str">
        <f aca="false">IFERROR(INDEX(종합!Z$3:Z$501,MATCH(ROW()-2,종합!$AE$3:$AE$501,0))&amp;"","")</f>
        <v/>
      </c>
    </row>
    <row r="308" customFormat="false" ht="16.5" hidden="false" customHeight="true" outlineLevel="0" collapsed="false">
      <c r="A308" s="18" t="str">
        <f aca="false">IF(B308="","",ROW()-2)</f>
        <v/>
      </c>
      <c r="B308" s="18" t="str">
        <f aca="false">IFERROR(INDEX(종합!B$3:B$501,MATCH(ROW()-2,종합!$AE$3:$AE$501,0))&amp;"","")</f>
        <v/>
      </c>
      <c r="C308" s="18" t="str">
        <f aca="false">IFERROR(INDEX(종합!C$3:C$501,MATCH(ROW()-2,종합!$AE$3:$AE$501,0))&amp;"","")</f>
        <v/>
      </c>
      <c r="D308" s="18" t="str">
        <f aca="false">IFERROR(INDEX(종합!D$3:D$501,MATCH(ROW()-2,종합!$AE$3:$AE$501,0))&amp;"","")</f>
        <v/>
      </c>
      <c r="E308" s="18" t="str">
        <f aca="false">IFERROR(INDEX(종합!E$3:E$501,MATCH(ROW()-2,종합!$AE$3:$AE$501,0))&amp;"","")</f>
        <v/>
      </c>
      <c r="F308" s="18" t="str">
        <f aca="false">IFERROR(INDEX(종합!F$3:F$501,MATCH(ROW()-2,종합!$AE$3:$AE$501,0))&amp;"","")</f>
        <v/>
      </c>
      <c r="G308" s="18" t="str">
        <f aca="false">IFERROR(INDEX(종합!G$3:G$501,MATCH(ROW()-2,종합!$AE$3:$AE$501,0))&amp;"","")</f>
        <v/>
      </c>
      <c r="H308" s="21" t="str">
        <f aca="false">IFERROR(INDEX(종합!H$3:H$501,MATCH(ROW()-2,종합!$AE$3:$AE$501,0))&amp;"","")</f>
        <v/>
      </c>
      <c r="I308" s="21" t="str">
        <f aca="false">IFERROR(INDEX(종합!I$3:I$501,MATCH(ROW()-2,종합!$AE$3:$AE$501,0))&amp;"","")</f>
        <v/>
      </c>
      <c r="J308" s="21" t="str">
        <f aca="false">IFERROR(INDEX(종합!J$3:J$501,MATCH(ROW()-2,종합!$AE$3:$AE$501,0))&amp;"","")</f>
        <v/>
      </c>
      <c r="K308" s="21" t="str">
        <f aca="false">IFERROR(INDEX(종합!K$3:K$501,MATCH(ROW()-2,종합!$AE$3:$AE$501,0))&amp;"","")</f>
        <v/>
      </c>
      <c r="L308" s="21" t="str">
        <f aca="false">IFERROR(INDEX(종합!L$3:L$501,MATCH(ROW()-2,종합!$AE$3:$AE$501,0))&amp;"","")</f>
        <v/>
      </c>
      <c r="M308" s="21" t="str">
        <f aca="false">IFERROR(INDEX(종합!M$3:M$501,MATCH(ROW()-2,종합!$AE$3:$AE$501,0))&amp;"","")</f>
        <v/>
      </c>
      <c r="N308" s="25" t="str">
        <f aca="false">IFERROR(INDEX(종합!N$3:N$501,MATCH(ROW()-2,종합!$AE$3:$AE$501,0))&amp;"","")</f>
        <v/>
      </c>
      <c r="O308" s="21" t="str">
        <f aca="false">IFERROR(INDEX(종합!O$3:O$501,MATCH(ROW()-2,종합!$AE$3:$AE$501,0))&amp;"","")</f>
        <v/>
      </c>
      <c r="P308" s="21" t="str">
        <f aca="false">IFERROR(INDEX(종합!P$3:P$501,MATCH(ROW()-2,종합!$AE$3:$AE$501,0))&amp;"","")</f>
        <v/>
      </c>
      <c r="Q308" s="21" t="str">
        <f aca="false">IFERROR(INDEX(종합!Q$3:Q$501,MATCH(ROW()-2,종합!$AE$3:$AE$501,0))&amp;"","")</f>
        <v/>
      </c>
      <c r="R308" s="21" t="str">
        <f aca="false">IFERROR(INDEX(종합!R$3:R$501,MATCH(ROW()-2,종합!$AE$3:$AE$501,0))&amp;"","")</f>
        <v/>
      </c>
      <c r="S308" s="21" t="str">
        <f aca="false">IFERROR(INDEX(종합!S$3:S$501,MATCH(ROW()-2,종합!$AE$3:$AE$501,0))&amp;"","")</f>
        <v/>
      </c>
      <c r="T308" s="21" t="str">
        <f aca="false">IFERROR(INDEX(종합!T$3:T$501,MATCH(ROW()-2,종합!$AE$3:$AE$501,0))&amp;"","")</f>
        <v/>
      </c>
      <c r="U308" s="21" t="str">
        <f aca="false">IFERROR(INDEX(종합!U$3:U$501,MATCH(ROW()-2,종합!$AE$3:$AE$501,0))&amp;"","")</f>
        <v/>
      </c>
      <c r="V308" s="21" t="str">
        <f aca="false">IFERROR(INDEX(종합!V$3:V$501,MATCH(ROW()-2,종합!$AE$3:$AE$501,0))&amp;"","")</f>
        <v/>
      </c>
      <c r="W308" s="21" t="str">
        <f aca="false">IFERROR(INDEX(종합!W$3:W$501,MATCH(ROW()-2,종합!$AE$3:$AE$501,0))&amp;"","")</f>
        <v/>
      </c>
      <c r="X308" s="21" t="str">
        <f aca="false">IFERROR(INDEX(종합!X$3:X$501,MATCH(ROW()-2,종합!$AE$3:$AE$501,0))&amp;"","")</f>
        <v/>
      </c>
      <c r="Y308" s="21" t="str">
        <f aca="false">IFERROR(INDEX(종합!Y$3:Y$501,MATCH(ROW()-2,종합!$AE$3:$AE$501,0))&amp;"","")</f>
        <v/>
      </c>
      <c r="Z308" s="21" t="str">
        <f aca="false">IFERROR(INDEX(종합!Z$3:Z$501,MATCH(ROW()-2,종합!$AE$3:$AE$501,0))&amp;"","")</f>
        <v/>
      </c>
    </row>
    <row r="309" customFormat="false" ht="16.5" hidden="false" customHeight="true" outlineLevel="0" collapsed="false">
      <c r="A309" s="18" t="str">
        <f aca="false">IF(B309="","",ROW()-2)</f>
        <v/>
      </c>
      <c r="B309" s="18" t="str">
        <f aca="false">IFERROR(INDEX(종합!B$3:B$501,MATCH(ROW()-2,종합!$AE$3:$AE$501,0))&amp;"","")</f>
        <v/>
      </c>
      <c r="C309" s="18" t="str">
        <f aca="false">IFERROR(INDEX(종합!C$3:C$501,MATCH(ROW()-2,종합!$AE$3:$AE$501,0))&amp;"","")</f>
        <v/>
      </c>
      <c r="D309" s="18" t="str">
        <f aca="false">IFERROR(INDEX(종합!D$3:D$501,MATCH(ROW()-2,종합!$AE$3:$AE$501,0))&amp;"","")</f>
        <v/>
      </c>
      <c r="E309" s="18" t="str">
        <f aca="false">IFERROR(INDEX(종합!E$3:E$501,MATCH(ROW()-2,종합!$AE$3:$AE$501,0))&amp;"","")</f>
        <v/>
      </c>
      <c r="F309" s="18" t="str">
        <f aca="false">IFERROR(INDEX(종합!F$3:F$501,MATCH(ROW()-2,종합!$AE$3:$AE$501,0))&amp;"","")</f>
        <v/>
      </c>
      <c r="G309" s="18" t="str">
        <f aca="false">IFERROR(INDEX(종합!G$3:G$501,MATCH(ROW()-2,종합!$AE$3:$AE$501,0))&amp;"","")</f>
        <v/>
      </c>
      <c r="H309" s="21" t="str">
        <f aca="false">IFERROR(INDEX(종합!H$3:H$501,MATCH(ROW()-2,종합!$AE$3:$AE$501,0))&amp;"","")</f>
        <v/>
      </c>
      <c r="I309" s="21" t="str">
        <f aca="false">IFERROR(INDEX(종합!I$3:I$501,MATCH(ROW()-2,종합!$AE$3:$AE$501,0))&amp;"","")</f>
        <v/>
      </c>
      <c r="J309" s="21" t="str">
        <f aca="false">IFERROR(INDEX(종합!J$3:J$501,MATCH(ROW()-2,종합!$AE$3:$AE$501,0))&amp;"","")</f>
        <v/>
      </c>
      <c r="K309" s="21" t="str">
        <f aca="false">IFERROR(INDEX(종합!K$3:K$501,MATCH(ROW()-2,종합!$AE$3:$AE$501,0))&amp;"","")</f>
        <v/>
      </c>
      <c r="L309" s="21" t="str">
        <f aca="false">IFERROR(INDEX(종합!L$3:L$501,MATCH(ROW()-2,종합!$AE$3:$AE$501,0))&amp;"","")</f>
        <v/>
      </c>
      <c r="M309" s="21" t="str">
        <f aca="false">IFERROR(INDEX(종합!M$3:M$501,MATCH(ROW()-2,종합!$AE$3:$AE$501,0))&amp;"","")</f>
        <v/>
      </c>
      <c r="N309" s="25" t="str">
        <f aca="false">IFERROR(INDEX(종합!N$3:N$501,MATCH(ROW()-2,종합!$AE$3:$AE$501,0))&amp;"","")</f>
        <v/>
      </c>
      <c r="O309" s="21" t="str">
        <f aca="false">IFERROR(INDEX(종합!O$3:O$501,MATCH(ROW()-2,종합!$AE$3:$AE$501,0))&amp;"","")</f>
        <v/>
      </c>
      <c r="P309" s="21" t="str">
        <f aca="false">IFERROR(INDEX(종합!P$3:P$501,MATCH(ROW()-2,종합!$AE$3:$AE$501,0))&amp;"","")</f>
        <v/>
      </c>
      <c r="Q309" s="21" t="str">
        <f aca="false">IFERROR(INDEX(종합!Q$3:Q$501,MATCH(ROW()-2,종합!$AE$3:$AE$501,0))&amp;"","")</f>
        <v/>
      </c>
      <c r="R309" s="21" t="str">
        <f aca="false">IFERROR(INDEX(종합!R$3:R$501,MATCH(ROW()-2,종합!$AE$3:$AE$501,0))&amp;"","")</f>
        <v/>
      </c>
      <c r="S309" s="21" t="str">
        <f aca="false">IFERROR(INDEX(종합!S$3:S$501,MATCH(ROW()-2,종합!$AE$3:$AE$501,0))&amp;"","")</f>
        <v/>
      </c>
      <c r="T309" s="21" t="str">
        <f aca="false">IFERROR(INDEX(종합!T$3:T$501,MATCH(ROW()-2,종합!$AE$3:$AE$501,0))&amp;"","")</f>
        <v/>
      </c>
      <c r="U309" s="21" t="str">
        <f aca="false">IFERROR(INDEX(종합!U$3:U$501,MATCH(ROW()-2,종합!$AE$3:$AE$501,0))&amp;"","")</f>
        <v/>
      </c>
      <c r="V309" s="21" t="str">
        <f aca="false">IFERROR(INDEX(종합!V$3:V$501,MATCH(ROW()-2,종합!$AE$3:$AE$501,0))&amp;"","")</f>
        <v/>
      </c>
      <c r="W309" s="21" t="str">
        <f aca="false">IFERROR(INDEX(종합!W$3:W$501,MATCH(ROW()-2,종합!$AE$3:$AE$501,0))&amp;"","")</f>
        <v/>
      </c>
      <c r="X309" s="21" t="str">
        <f aca="false">IFERROR(INDEX(종합!X$3:X$501,MATCH(ROW()-2,종합!$AE$3:$AE$501,0))&amp;"","")</f>
        <v/>
      </c>
      <c r="Y309" s="21" t="str">
        <f aca="false">IFERROR(INDEX(종합!Y$3:Y$501,MATCH(ROW()-2,종합!$AE$3:$AE$501,0))&amp;"","")</f>
        <v/>
      </c>
      <c r="Z309" s="21" t="str">
        <f aca="false">IFERROR(INDEX(종합!Z$3:Z$501,MATCH(ROW()-2,종합!$AE$3:$AE$501,0))&amp;"","")</f>
        <v/>
      </c>
    </row>
    <row r="310" customFormat="false" ht="16.5" hidden="false" customHeight="true" outlineLevel="0" collapsed="false">
      <c r="A310" s="18" t="str">
        <f aca="false">IF(B310="","",ROW()-2)</f>
        <v/>
      </c>
      <c r="B310" s="18" t="str">
        <f aca="false">IFERROR(INDEX(종합!B$3:B$501,MATCH(ROW()-2,종합!$AE$3:$AE$501,0))&amp;"","")</f>
        <v/>
      </c>
      <c r="C310" s="18" t="str">
        <f aca="false">IFERROR(INDEX(종합!C$3:C$501,MATCH(ROW()-2,종합!$AE$3:$AE$501,0))&amp;"","")</f>
        <v/>
      </c>
      <c r="D310" s="18" t="str">
        <f aca="false">IFERROR(INDEX(종합!D$3:D$501,MATCH(ROW()-2,종합!$AE$3:$AE$501,0))&amp;"","")</f>
        <v/>
      </c>
      <c r="E310" s="18" t="str">
        <f aca="false">IFERROR(INDEX(종합!E$3:E$501,MATCH(ROW()-2,종합!$AE$3:$AE$501,0))&amp;"","")</f>
        <v/>
      </c>
      <c r="F310" s="18" t="str">
        <f aca="false">IFERROR(INDEX(종합!F$3:F$501,MATCH(ROW()-2,종합!$AE$3:$AE$501,0))&amp;"","")</f>
        <v/>
      </c>
      <c r="G310" s="18" t="str">
        <f aca="false">IFERROR(INDEX(종합!G$3:G$501,MATCH(ROW()-2,종합!$AE$3:$AE$501,0))&amp;"","")</f>
        <v/>
      </c>
      <c r="H310" s="21" t="str">
        <f aca="false">IFERROR(INDEX(종합!H$3:H$501,MATCH(ROW()-2,종합!$AE$3:$AE$501,0))&amp;"","")</f>
        <v/>
      </c>
      <c r="I310" s="21" t="str">
        <f aca="false">IFERROR(INDEX(종합!I$3:I$501,MATCH(ROW()-2,종합!$AE$3:$AE$501,0))&amp;"","")</f>
        <v/>
      </c>
      <c r="J310" s="21" t="str">
        <f aca="false">IFERROR(INDEX(종합!J$3:J$501,MATCH(ROW()-2,종합!$AE$3:$AE$501,0))&amp;"","")</f>
        <v/>
      </c>
      <c r="K310" s="21" t="str">
        <f aca="false">IFERROR(INDEX(종합!K$3:K$501,MATCH(ROW()-2,종합!$AE$3:$AE$501,0))&amp;"","")</f>
        <v/>
      </c>
      <c r="L310" s="21" t="str">
        <f aca="false">IFERROR(INDEX(종합!L$3:L$501,MATCH(ROW()-2,종합!$AE$3:$AE$501,0))&amp;"","")</f>
        <v/>
      </c>
      <c r="M310" s="21" t="str">
        <f aca="false">IFERROR(INDEX(종합!M$3:M$501,MATCH(ROW()-2,종합!$AE$3:$AE$501,0))&amp;"","")</f>
        <v/>
      </c>
      <c r="N310" s="25" t="str">
        <f aca="false">IFERROR(INDEX(종합!N$3:N$501,MATCH(ROW()-2,종합!$AE$3:$AE$501,0))&amp;"","")</f>
        <v/>
      </c>
      <c r="O310" s="21" t="str">
        <f aca="false">IFERROR(INDEX(종합!O$3:O$501,MATCH(ROW()-2,종합!$AE$3:$AE$501,0))&amp;"","")</f>
        <v/>
      </c>
      <c r="P310" s="21" t="str">
        <f aca="false">IFERROR(INDEX(종합!P$3:P$501,MATCH(ROW()-2,종합!$AE$3:$AE$501,0))&amp;"","")</f>
        <v/>
      </c>
      <c r="Q310" s="21" t="str">
        <f aca="false">IFERROR(INDEX(종합!Q$3:Q$501,MATCH(ROW()-2,종합!$AE$3:$AE$501,0))&amp;"","")</f>
        <v/>
      </c>
      <c r="R310" s="21" t="str">
        <f aca="false">IFERROR(INDEX(종합!R$3:R$501,MATCH(ROW()-2,종합!$AE$3:$AE$501,0))&amp;"","")</f>
        <v/>
      </c>
      <c r="S310" s="21" t="str">
        <f aca="false">IFERROR(INDEX(종합!S$3:S$501,MATCH(ROW()-2,종합!$AE$3:$AE$501,0))&amp;"","")</f>
        <v/>
      </c>
      <c r="T310" s="21" t="str">
        <f aca="false">IFERROR(INDEX(종합!T$3:T$501,MATCH(ROW()-2,종합!$AE$3:$AE$501,0))&amp;"","")</f>
        <v/>
      </c>
      <c r="U310" s="21" t="str">
        <f aca="false">IFERROR(INDEX(종합!U$3:U$501,MATCH(ROW()-2,종합!$AE$3:$AE$501,0))&amp;"","")</f>
        <v/>
      </c>
      <c r="V310" s="21" t="str">
        <f aca="false">IFERROR(INDEX(종합!V$3:V$501,MATCH(ROW()-2,종합!$AE$3:$AE$501,0))&amp;"","")</f>
        <v/>
      </c>
      <c r="W310" s="21" t="str">
        <f aca="false">IFERROR(INDEX(종합!W$3:W$501,MATCH(ROW()-2,종합!$AE$3:$AE$501,0))&amp;"","")</f>
        <v/>
      </c>
      <c r="X310" s="21" t="str">
        <f aca="false">IFERROR(INDEX(종합!X$3:X$501,MATCH(ROW()-2,종합!$AE$3:$AE$501,0))&amp;"","")</f>
        <v/>
      </c>
      <c r="Y310" s="21" t="str">
        <f aca="false">IFERROR(INDEX(종합!Y$3:Y$501,MATCH(ROW()-2,종합!$AE$3:$AE$501,0))&amp;"","")</f>
        <v/>
      </c>
      <c r="Z310" s="21" t="str">
        <f aca="false">IFERROR(INDEX(종합!Z$3:Z$501,MATCH(ROW()-2,종합!$AE$3:$AE$501,0))&amp;"","")</f>
        <v/>
      </c>
    </row>
    <row r="311" customFormat="false" ht="16.5" hidden="false" customHeight="true" outlineLevel="0" collapsed="false">
      <c r="A311" s="18" t="str">
        <f aca="false">IF(B311="","",ROW()-2)</f>
        <v/>
      </c>
      <c r="B311" s="18" t="str">
        <f aca="false">IFERROR(INDEX(종합!B$3:B$501,MATCH(ROW()-2,종합!$AE$3:$AE$501,0))&amp;"","")</f>
        <v/>
      </c>
      <c r="C311" s="18" t="str">
        <f aca="false">IFERROR(INDEX(종합!C$3:C$501,MATCH(ROW()-2,종합!$AE$3:$AE$501,0))&amp;"","")</f>
        <v/>
      </c>
      <c r="D311" s="18" t="str">
        <f aca="false">IFERROR(INDEX(종합!D$3:D$501,MATCH(ROW()-2,종합!$AE$3:$AE$501,0))&amp;"","")</f>
        <v/>
      </c>
      <c r="E311" s="18" t="str">
        <f aca="false">IFERROR(INDEX(종합!E$3:E$501,MATCH(ROW()-2,종합!$AE$3:$AE$501,0))&amp;"","")</f>
        <v/>
      </c>
      <c r="F311" s="18" t="str">
        <f aca="false">IFERROR(INDEX(종합!F$3:F$501,MATCH(ROW()-2,종합!$AE$3:$AE$501,0))&amp;"","")</f>
        <v/>
      </c>
      <c r="G311" s="18" t="str">
        <f aca="false">IFERROR(INDEX(종합!G$3:G$501,MATCH(ROW()-2,종합!$AE$3:$AE$501,0))&amp;"","")</f>
        <v/>
      </c>
      <c r="H311" s="21" t="str">
        <f aca="false">IFERROR(INDEX(종합!H$3:H$501,MATCH(ROW()-2,종합!$AE$3:$AE$501,0))&amp;"","")</f>
        <v/>
      </c>
      <c r="I311" s="21" t="str">
        <f aca="false">IFERROR(INDEX(종합!I$3:I$501,MATCH(ROW()-2,종합!$AE$3:$AE$501,0))&amp;"","")</f>
        <v/>
      </c>
      <c r="J311" s="21" t="str">
        <f aca="false">IFERROR(INDEX(종합!J$3:J$501,MATCH(ROW()-2,종합!$AE$3:$AE$501,0))&amp;"","")</f>
        <v/>
      </c>
      <c r="K311" s="21" t="str">
        <f aca="false">IFERROR(INDEX(종합!K$3:K$501,MATCH(ROW()-2,종합!$AE$3:$AE$501,0))&amp;"","")</f>
        <v/>
      </c>
      <c r="L311" s="21" t="str">
        <f aca="false">IFERROR(INDEX(종합!L$3:L$501,MATCH(ROW()-2,종합!$AE$3:$AE$501,0))&amp;"","")</f>
        <v/>
      </c>
      <c r="M311" s="21" t="str">
        <f aca="false">IFERROR(INDEX(종합!M$3:M$501,MATCH(ROW()-2,종합!$AE$3:$AE$501,0))&amp;"","")</f>
        <v/>
      </c>
      <c r="N311" s="25" t="str">
        <f aca="false">IFERROR(INDEX(종합!N$3:N$501,MATCH(ROW()-2,종합!$AE$3:$AE$501,0))&amp;"","")</f>
        <v/>
      </c>
      <c r="O311" s="21" t="str">
        <f aca="false">IFERROR(INDEX(종합!O$3:O$501,MATCH(ROW()-2,종합!$AE$3:$AE$501,0))&amp;"","")</f>
        <v/>
      </c>
      <c r="P311" s="21" t="str">
        <f aca="false">IFERROR(INDEX(종합!P$3:P$501,MATCH(ROW()-2,종합!$AE$3:$AE$501,0))&amp;"","")</f>
        <v/>
      </c>
      <c r="Q311" s="21" t="str">
        <f aca="false">IFERROR(INDEX(종합!Q$3:Q$501,MATCH(ROW()-2,종합!$AE$3:$AE$501,0))&amp;"","")</f>
        <v/>
      </c>
      <c r="R311" s="21" t="str">
        <f aca="false">IFERROR(INDEX(종합!R$3:R$501,MATCH(ROW()-2,종합!$AE$3:$AE$501,0))&amp;"","")</f>
        <v/>
      </c>
      <c r="S311" s="21" t="str">
        <f aca="false">IFERROR(INDEX(종합!S$3:S$501,MATCH(ROW()-2,종합!$AE$3:$AE$501,0))&amp;"","")</f>
        <v/>
      </c>
      <c r="T311" s="21" t="str">
        <f aca="false">IFERROR(INDEX(종합!T$3:T$501,MATCH(ROW()-2,종합!$AE$3:$AE$501,0))&amp;"","")</f>
        <v/>
      </c>
      <c r="U311" s="21" t="str">
        <f aca="false">IFERROR(INDEX(종합!U$3:U$501,MATCH(ROW()-2,종합!$AE$3:$AE$501,0))&amp;"","")</f>
        <v/>
      </c>
      <c r="V311" s="21" t="str">
        <f aca="false">IFERROR(INDEX(종합!V$3:V$501,MATCH(ROW()-2,종합!$AE$3:$AE$501,0))&amp;"","")</f>
        <v/>
      </c>
      <c r="W311" s="21" t="str">
        <f aca="false">IFERROR(INDEX(종합!W$3:W$501,MATCH(ROW()-2,종합!$AE$3:$AE$501,0))&amp;"","")</f>
        <v/>
      </c>
      <c r="X311" s="21" t="str">
        <f aca="false">IFERROR(INDEX(종합!X$3:X$501,MATCH(ROW()-2,종합!$AE$3:$AE$501,0))&amp;"","")</f>
        <v/>
      </c>
      <c r="Y311" s="21" t="str">
        <f aca="false">IFERROR(INDEX(종합!Y$3:Y$501,MATCH(ROW()-2,종합!$AE$3:$AE$501,0))&amp;"","")</f>
        <v/>
      </c>
      <c r="Z311" s="21" t="str">
        <f aca="false">IFERROR(INDEX(종합!Z$3:Z$501,MATCH(ROW()-2,종합!$AE$3:$AE$501,0))&amp;"","")</f>
        <v/>
      </c>
    </row>
    <row r="312" customFormat="false" ht="16.5" hidden="false" customHeight="true" outlineLevel="0" collapsed="false">
      <c r="A312" s="18" t="str">
        <f aca="false">IF(B312="","",ROW()-2)</f>
        <v/>
      </c>
      <c r="B312" s="18" t="str">
        <f aca="false">IFERROR(INDEX(종합!B$3:B$501,MATCH(ROW()-2,종합!$AE$3:$AE$501,0))&amp;"","")</f>
        <v/>
      </c>
      <c r="C312" s="18" t="str">
        <f aca="false">IFERROR(INDEX(종합!C$3:C$501,MATCH(ROW()-2,종합!$AE$3:$AE$501,0))&amp;"","")</f>
        <v/>
      </c>
      <c r="D312" s="18" t="str">
        <f aca="false">IFERROR(INDEX(종합!D$3:D$501,MATCH(ROW()-2,종합!$AE$3:$AE$501,0))&amp;"","")</f>
        <v/>
      </c>
      <c r="E312" s="18" t="str">
        <f aca="false">IFERROR(INDEX(종합!E$3:E$501,MATCH(ROW()-2,종합!$AE$3:$AE$501,0))&amp;"","")</f>
        <v/>
      </c>
      <c r="F312" s="18" t="str">
        <f aca="false">IFERROR(INDEX(종합!F$3:F$501,MATCH(ROW()-2,종합!$AE$3:$AE$501,0))&amp;"","")</f>
        <v/>
      </c>
      <c r="G312" s="18" t="str">
        <f aca="false">IFERROR(INDEX(종합!G$3:G$501,MATCH(ROW()-2,종합!$AE$3:$AE$501,0))&amp;"","")</f>
        <v/>
      </c>
      <c r="H312" s="21" t="str">
        <f aca="false">IFERROR(INDEX(종합!H$3:H$501,MATCH(ROW()-2,종합!$AE$3:$AE$501,0))&amp;"","")</f>
        <v/>
      </c>
      <c r="I312" s="21" t="str">
        <f aca="false">IFERROR(INDEX(종합!I$3:I$501,MATCH(ROW()-2,종합!$AE$3:$AE$501,0))&amp;"","")</f>
        <v/>
      </c>
      <c r="J312" s="21" t="str">
        <f aca="false">IFERROR(INDEX(종합!J$3:J$501,MATCH(ROW()-2,종합!$AE$3:$AE$501,0))&amp;"","")</f>
        <v/>
      </c>
      <c r="K312" s="21" t="str">
        <f aca="false">IFERROR(INDEX(종합!K$3:K$501,MATCH(ROW()-2,종합!$AE$3:$AE$501,0))&amp;"","")</f>
        <v/>
      </c>
      <c r="L312" s="21" t="str">
        <f aca="false">IFERROR(INDEX(종합!L$3:L$501,MATCH(ROW()-2,종합!$AE$3:$AE$501,0))&amp;"","")</f>
        <v/>
      </c>
      <c r="M312" s="21" t="str">
        <f aca="false">IFERROR(INDEX(종합!M$3:M$501,MATCH(ROW()-2,종합!$AE$3:$AE$501,0))&amp;"","")</f>
        <v/>
      </c>
      <c r="N312" s="25" t="str">
        <f aca="false">IFERROR(INDEX(종합!N$3:N$501,MATCH(ROW()-2,종합!$AE$3:$AE$501,0))&amp;"","")</f>
        <v/>
      </c>
      <c r="O312" s="21" t="str">
        <f aca="false">IFERROR(INDEX(종합!O$3:O$501,MATCH(ROW()-2,종합!$AE$3:$AE$501,0))&amp;"","")</f>
        <v/>
      </c>
      <c r="P312" s="21" t="str">
        <f aca="false">IFERROR(INDEX(종합!P$3:P$501,MATCH(ROW()-2,종합!$AE$3:$AE$501,0))&amp;"","")</f>
        <v/>
      </c>
      <c r="Q312" s="21" t="str">
        <f aca="false">IFERROR(INDEX(종합!Q$3:Q$501,MATCH(ROW()-2,종합!$AE$3:$AE$501,0))&amp;"","")</f>
        <v/>
      </c>
      <c r="R312" s="21" t="str">
        <f aca="false">IFERROR(INDEX(종합!R$3:R$501,MATCH(ROW()-2,종합!$AE$3:$AE$501,0))&amp;"","")</f>
        <v/>
      </c>
      <c r="S312" s="21" t="str">
        <f aca="false">IFERROR(INDEX(종합!S$3:S$501,MATCH(ROW()-2,종합!$AE$3:$AE$501,0))&amp;"","")</f>
        <v/>
      </c>
      <c r="T312" s="21" t="str">
        <f aca="false">IFERROR(INDEX(종합!T$3:T$501,MATCH(ROW()-2,종합!$AE$3:$AE$501,0))&amp;"","")</f>
        <v/>
      </c>
      <c r="U312" s="21" t="str">
        <f aca="false">IFERROR(INDEX(종합!U$3:U$501,MATCH(ROW()-2,종합!$AE$3:$AE$501,0))&amp;"","")</f>
        <v/>
      </c>
      <c r="V312" s="21" t="str">
        <f aca="false">IFERROR(INDEX(종합!V$3:V$501,MATCH(ROW()-2,종합!$AE$3:$AE$501,0))&amp;"","")</f>
        <v/>
      </c>
      <c r="W312" s="21" t="str">
        <f aca="false">IFERROR(INDEX(종합!W$3:W$501,MATCH(ROW()-2,종합!$AE$3:$AE$501,0))&amp;"","")</f>
        <v/>
      </c>
      <c r="X312" s="21" t="str">
        <f aca="false">IFERROR(INDEX(종합!X$3:X$501,MATCH(ROW()-2,종합!$AE$3:$AE$501,0))&amp;"","")</f>
        <v/>
      </c>
      <c r="Y312" s="21" t="str">
        <f aca="false">IFERROR(INDEX(종합!Y$3:Y$501,MATCH(ROW()-2,종합!$AE$3:$AE$501,0))&amp;"","")</f>
        <v/>
      </c>
      <c r="Z312" s="21" t="str">
        <f aca="false">IFERROR(INDEX(종합!Z$3:Z$501,MATCH(ROW()-2,종합!$AE$3:$AE$501,0))&amp;"","")</f>
        <v/>
      </c>
    </row>
    <row r="313" customFormat="false" ht="16.5" hidden="false" customHeight="true" outlineLevel="0" collapsed="false">
      <c r="A313" s="18" t="str">
        <f aca="false">IF(B313="","",ROW()-2)</f>
        <v/>
      </c>
      <c r="B313" s="18" t="str">
        <f aca="false">IFERROR(INDEX(종합!B$3:B$501,MATCH(ROW()-2,종합!$AE$3:$AE$501,0))&amp;"","")</f>
        <v/>
      </c>
      <c r="C313" s="18" t="str">
        <f aca="false">IFERROR(INDEX(종합!C$3:C$501,MATCH(ROW()-2,종합!$AE$3:$AE$501,0))&amp;"","")</f>
        <v/>
      </c>
      <c r="D313" s="18" t="str">
        <f aca="false">IFERROR(INDEX(종합!D$3:D$501,MATCH(ROW()-2,종합!$AE$3:$AE$501,0))&amp;"","")</f>
        <v/>
      </c>
      <c r="E313" s="18" t="str">
        <f aca="false">IFERROR(INDEX(종합!E$3:E$501,MATCH(ROW()-2,종합!$AE$3:$AE$501,0))&amp;"","")</f>
        <v/>
      </c>
      <c r="F313" s="18" t="str">
        <f aca="false">IFERROR(INDEX(종합!F$3:F$501,MATCH(ROW()-2,종합!$AE$3:$AE$501,0))&amp;"","")</f>
        <v/>
      </c>
      <c r="G313" s="18" t="str">
        <f aca="false">IFERROR(INDEX(종합!G$3:G$501,MATCH(ROW()-2,종합!$AE$3:$AE$501,0))&amp;"","")</f>
        <v/>
      </c>
      <c r="H313" s="21" t="str">
        <f aca="false">IFERROR(INDEX(종합!H$3:H$501,MATCH(ROW()-2,종합!$AE$3:$AE$501,0))&amp;"","")</f>
        <v/>
      </c>
      <c r="I313" s="21" t="str">
        <f aca="false">IFERROR(INDEX(종합!I$3:I$501,MATCH(ROW()-2,종합!$AE$3:$AE$501,0))&amp;"","")</f>
        <v/>
      </c>
      <c r="J313" s="21" t="str">
        <f aca="false">IFERROR(INDEX(종합!J$3:J$501,MATCH(ROW()-2,종합!$AE$3:$AE$501,0))&amp;"","")</f>
        <v/>
      </c>
      <c r="K313" s="21" t="str">
        <f aca="false">IFERROR(INDEX(종합!K$3:K$501,MATCH(ROW()-2,종합!$AE$3:$AE$501,0))&amp;"","")</f>
        <v/>
      </c>
      <c r="L313" s="21" t="str">
        <f aca="false">IFERROR(INDEX(종합!L$3:L$501,MATCH(ROW()-2,종합!$AE$3:$AE$501,0))&amp;"","")</f>
        <v/>
      </c>
      <c r="M313" s="21" t="str">
        <f aca="false">IFERROR(INDEX(종합!M$3:M$501,MATCH(ROW()-2,종합!$AE$3:$AE$501,0))&amp;"","")</f>
        <v/>
      </c>
      <c r="N313" s="25" t="str">
        <f aca="false">IFERROR(INDEX(종합!N$3:N$501,MATCH(ROW()-2,종합!$AE$3:$AE$501,0))&amp;"","")</f>
        <v/>
      </c>
      <c r="O313" s="21" t="str">
        <f aca="false">IFERROR(INDEX(종합!O$3:O$501,MATCH(ROW()-2,종합!$AE$3:$AE$501,0))&amp;"","")</f>
        <v/>
      </c>
      <c r="P313" s="21" t="str">
        <f aca="false">IFERROR(INDEX(종합!P$3:P$501,MATCH(ROW()-2,종합!$AE$3:$AE$501,0))&amp;"","")</f>
        <v/>
      </c>
      <c r="Q313" s="21" t="str">
        <f aca="false">IFERROR(INDEX(종합!Q$3:Q$501,MATCH(ROW()-2,종합!$AE$3:$AE$501,0))&amp;"","")</f>
        <v/>
      </c>
      <c r="R313" s="21" t="str">
        <f aca="false">IFERROR(INDEX(종합!R$3:R$501,MATCH(ROW()-2,종합!$AE$3:$AE$501,0))&amp;"","")</f>
        <v/>
      </c>
      <c r="S313" s="21" t="str">
        <f aca="false">IFERROR(INDEX(종합!S$3:S$501,MATCH(ROW()-2,종합!$AE$3:$AE$501,0))&amp;"","")</f>
        <v/>
      </c>
      <c r="T313" s="21" t="str">
        <f aca="false">IFERROR(INDEX(종합!T$3:T$501,MATCH(ROW()-2,종합!$AE$3:$AE$501,0))&amp;"","")</f>
        <v/>
      </c>
      <c r="U313" s="21" t="str">
        <f aca="false">IFERROR(INDEX(종합!U$3:U$501,MATCH(ROW()-2,종합!$AE$3:$AE$501,0))&amp;"","")</f>
        <v/>
      </c>
      <c r="V313" s="21" t="str">
        <f aca="false">IFERROR(INDEX(종합!V$3:V$501,MATCH(ROW()-2,종합!$AE$3:$AE$501,0))&amp;"","")</f>
        <v/>
      </c>
      <c r="W313" s="21" t="str">
        <f aca="false">IFERROR(INDEX(종합!W$3:W$501,MATCH(ROW()-2,종합!$AE$3:$AE$501,0))&amp;"","")</f>
        <v/>
      </c>
      <c r="X313" s="21" t="str">
        <f aca="false">IFERROR(INDEX(종합!X$3:X$501,MATCH(ROW()-2,종합!$AE$3:$AE$501,0))&amp;"","")</f>
        <v/>
      </c>
      <c r="Y313" s="21" t="str">
        <f aca="false">IFERROR(INDEX(종합!Y$3:Y$501,MATCH(ROW()-2,종합!$AE$3:$AE$501,0))&amp;"","")</f>
        <v/>
      </c>
      <c r="Z313" s="21" t="str">
        <f aca="false">IFERROR(INDEX(종합!Z$3:Z$501,MATCH(ROW()-2,종합!$AE$3:$AE$501,0))&amp;"","")</f>
        <v/>
      </c>
    </row>
    <row r="314" customFormat="false" ht="16.5" hidden="false" customHeight="true" outlineLevel="0" collapsed="false">
      <c r="A314" s="18" t="str">
        <f aca="false">IF(B314="","",ROW()-2)</f>
        <v/>
      </c>
      <c r="B314" s="18" t="str">
        <f aca="false">IFERROR(INDEX(종합!B$3:B$501,MATCH(ROW()-2,종합!$AE$3:$AE$501,0))&amp;"","")</f>
        <v/>
      </c>
      <c r="C314" s="18" t="str">
        <f aca="false">IFERROR(INDEX(종합!C$3:C$501,MATCH(ROW()-2,종합!$AE$3:$AE$501,0))&amp;"","")</f>
        <v/>
      </c>
      <c r="D314" s="18" t="str">
        <f aca="false">IFERROR(INDEX(종합!D$3:D$501,MATCH(ROW()-2,종합!$AE$3:$AE$501,0))&amp;"","")</f>
        <v/>
      </c>
      <c r="E314" s="18" t="str">
        <f aca="false">IFERROR(INDEX(종합!E$3:E$501,MATCH(ROW()-2,종합!$AE$3:$AE$501,0))&amp;"","")</f>
        <v/>
      </c>
      <c r="F314" s="18" t="str">
        <f aca="false">IFERROR(INDEX(종합!F$3:F$501,MATCH(ROW()-2,종합!$AE$3:$AE$501,0))&amp;"","")</f>
        <v/>
      </c>
      <c r="G314" s="18" t="str">
        <f aca="false">IFERROR(INDEX(종합!G$3:G$501,MATCH(ROW()-2,종합!$AE$3:$AE$501,0))&amp;"","")</f>
        <v/>
      </c>
      <c r="H314" s="21" t="str">
        <f aca="false">IFERROR(INDEX(종합!H$3:H$501,MATCH(ROW()-2,종합!$AE$3:$AE$501,0))&amp;"","")</f>
        <v/>
      </c>
      <c r="I314" s="21" t="str">
        <f aca="false">IFERROR(INDEX(종합!I$3:I$501,MATCH(ROW()-2,종합!$AE$3:$AE$501,0))&amp;"","")</f>
        <v/>
      </c>
      <c r="J314" s="21" t="str">
        <f aca="false">IFERROR(INDEX(종합!J$3:J$501,MATCH(ROW()-2,종합!$AE$3:$AE$501,0))&amp;"","")</f>
        <v/>
      </c>
      <c r="K314" s="21" t="str">
        <f aca="false">IFERROR(INDEX(종합!K$3:K$501,MATCH(ROW()-2,종합!$AE$3:$AE$501,0))&amp;"","")</f>
        <v/>
      </c>
      <c r="L314" s="21" t="str">
        <f aca="false">IFERROR(INDEX(종합!L$3:L$501,MATCH(ROW()-2,종합!$AE$3:$AE$501,0))&amp;"","")</f>
        <v/>
      </c>
      <c r="M314" s="21" t="str">
        <f aca="false">IFERROR(INDEX(종합!M$3:M$501,MATCH(ROW()-2,종합!$AE$3:$AE$501,0))&amp;"","")</f>
        <v/>
      </c>
      <c r="N314" s="25" t="str">
        <f aca="false">IFERROR(INDEX(종합!N$3:N$501,MATCH(ROW()-2,종합!$AE$3:$AE$501,0))&amp;"","")</f>
        <v/>
      </c>
      <c r="O314" s="21" t="str">
        <f aca="false">IFERROR(INDEX(종합!O$3:O$501,MATCH(ROW()-2,종합!$AE$3:$AE$501,0))&amp;"","")</f>
        <v/>
      </c>
      <c r="P314" s="21" t="str">
        <f aca="false">IFERROR(INDEX(종합!P$3:P$501,MATCH(ROW()-2,종합!$AE$3:$AE$501,0))&amp;"","")</f>
        <v/>
      </c>
      <c r="Q314" s="21" t="str">
        <f aca="false">IFERROR(INDEX(종합!Q$3:Q$501,MATCH(ROW()-2,종합!$AE$3:$AE$501,0))&amp;"","")</f>
        <v/>
      </c>
      <c r="R314" s="21" t="str">
        <f aca="false">IFERROR(INDEX(종합!R$3:R$501,MATCH(ROW()-2,종합!$AE$3:$AE$501,0))&amp;"","")</f>
        <v/>
      </c>
      <c r="S314" s="21" t="str">
        <f aca="false">IFERROR(INDEX(종합!S$3:S$501,MATCH(ROW()-2,종합!$AE$3:$AE$501,0))&amp;"","")</f>
        <v/>
      </c>
      <c r="T314" s="21" t="str">
        <f aca="false">IFERROR(INDEX(종합!T$3:T$501,MATCH(ROW()-2,종합!$AE$3:$AE$501,0))&amp;"","")</f>
        <v/>
      </c>
      <c r="U314" s="21" t="str">
        <f aca="false">IFERROR(INDEX(종합!U$3:U$501,MATCH(ROW()-2,종합!$AE$3:$AE$501,0))&amp;"","")</f>
        <v/>
      </c>
      <c r="V314" s="21" t="str">
        <f aca="false">IFERROR(INDEX(종합!V$3:V$501,MATCH(ROW()-2,종합!$AE$3:$AE$501,0))&amp;"","")</f>
        <v/>
      </c>
      <c r="W314" s="21" t="str">
        <f aca="false">IFERROR(INDEX(종합!W$3:W$501,MATCH(ROW()-2,종합!$AE$3:$AE$501,0))&amp;"","")</f>
        <v/>
      </c>
      <c r="X314" s="21" t="str">
        <f aca="false">IFERROR(INDEX(종합!X$3:X$501,MATCH(ROW()-2,종합!$AE$3:$AE$501,0))&amp;"","")</f>
        <v/>
      </c>
      <c r="Y314" s="21" t="str">
        <f aca="false">IFERROR(INDEX(종합!Y$3:Y$501,MATCH(ROW()-2,종합!$AE$3:$AE$501,0))&amp;"","")</f>
        <v/>
      </c>
      <c r="Z314" s="21" t="str">
        <f aca="false">IFERROR(INDEX(종합!Z$3:Z$501,MATCH(ROW()-2,종합!$AE$3:$AE$501,0))&amp;"","")</f>
        <v/>
      </c>
    </row>
    <row r="315" customFormat="false" ht="16.5" hidden="false" customHeight="true" outlineLevel="0" collapsed="false">
      <c r="A315" s="18" t="str">
        <f aca="false">IF(B315="","",ROW()-2)</f>
        <v/>
      </c>
      <c r="B315" s="18" t="str">
        <f aca="false">IFERROR(INDEX(종합!B$3:B$501,MATCH(ROW()-2,종합!$AE$3:$AE$501,0))&amp;"","")</f>
        <v/>
      </c>
      <c r="C315" s="18" t="str">
        <f aca="false">IFERROR(INDEX(종합!C$3:C$501,MATCH(ROW()-2,종합!$AE$3:$AE$501,0))&amp;"","")</f>
        <v/>
      </c>
      <c r="D315" s="18" t="str">
        <f aca="false">IFERROR(INDEX(종합!D$3:D$501,MATCH(ROW()-2,종합!$AE$3:$AE$501,0))&amp;"","")</f>
        <v/>
      </c>
      <c r="E315" s="18" t="str">
        <f aca="false">IFERROR(INDEX(종합!E$3:E$501,MATCH(ROW()-2,종합!$AE$3:$AE$501,0))&amp;"","")</f>
        <v/>
      </c>
      <c r="F315" s="18" t="str">
        <f aca="false">IFERROR(INDEX(종합!F$3:F$501,MATCH(ROW()-2,종합!$AE$3:$AE$501,0))&amp;"","")</f>
        <v/>
      </c>
      <c r="G315" s="18" t="str">
        <f aca="false">IFERROR(INDEX(종합!G$3:G$501,MATCH(ROW()-2,종합!$AE$3:$AE$501,0))&amp;"","")</f>
        <v/>
      </c>
      <c r="H315" s="21" t="str">
        <f aca="false">IFERROR(INDEX(종합!H$3:H$501,MATCH(ROW()-2,종합!$AE$3:$AE$501,0))&amp;"","")</f>
        <v/>
      </c>
      <c r="I315" s="21" t="str">
        <f aca="false">IFERROR(INDEX(종합!I$3:I$501,MATCH(ROW()-2,종합!$AE$3:$AE$501,0))&amp;"","")</f>
        <v/>
      </c>
      <c r="J315" s="21" t="str">
        <f aca="false">IFERROR(INDEX(종합!J$3:J$501,MATCH(ROW()-2,종합!$AE$3:$AE$501,0))&amp;"","")</f>
        <v/>
      </c>
      <c r="K315" s="21" t="str">
        <f aca="false">IFERROR(INDEX(종합!K$3:K$501,MATCH(ROW()-2,종합!$AE$3:$AE$501,0))&amp;"","")</f>
        <v/>
      </c>
      <c r="L315" s="21" t="str">
        <f aca="false">IFERROR(INDEX(종합!L$3:L$501,MATCH(ROW()-2,종합!$AE$3:$AE$501,0))&amp;"","")</f>
        <v/>
      </c>
      <c r="M315" s="21" t="str">
        <f aca="false">IFERROR(INDEX(종합!M$3:M$501,MATCH(ROW()-2,종합!$AE$3:$AE$501,0))&amp;"","")</f>
        <v/>
      </c>
      <c r="N315" s="25" t="str">
        <f aca="false">IFERROR(INDEX(종합!N$3:N$501,MATCH(ROW()-2,종합!$AE$3:$AE$501,0))&amp;"","")</f>
        <v/>
      </c>
      <c r="O315" s="21" t="str">
        <f aca="false">IFERROR(INDEX(종합!O$3:O$501,MATCH(ROW()-2,종합!$AE$3:$AE$501,0))&amp;"","")</f>
        <v/>
      </c>
      <c r="P315" s="21" t="str">
        <f aca="false">IFERROR(INDEX(종합!P$3:P$501,MATCH(ROW()-2,종합!$AE$3:$AE$501,0))&amp;"","")</f>
        <v/>
      </c>
      <c r="Q315" s="21" t="str">
        <f aca="false">IFERROR(INDEX(종합!Q$3:Q$501,MATCH(ROW()-2,종합!$AE$3:$AE$501,0))&amp;"","")</f>
        <v/>
      </c>
      <c r="R315" s="21" t="str">
        <f aca="false">IFERROR(INDEX(종합!R$3:R$501,MATCH(ROW()-2,종합!$AE$3:$AE$501,0))&amp;"","")</f>
        <v/>
      </c>
      <c r="S315" s="21" t="str">
        <f aca="false">IFERROR(INDEX(종합!S$3:S$501,MATCH(ROW()-2,종합!$AE$3:$AE$501,0))&amp;"","")</f>
        <v/>
      </c>
      <c r="T315" s="21" t="str">
        <f aca="false">IFERROR(INDEX(종합!T$3:T$501,MATCH(ROW()-2,종합!$AE$3:$AE$501,0))&amp;"","")</f>
        <v/>
      </c>
      <c r="U315" s="21" t="str">
        <f aca="false">IFERROR(INDEX(종합!U$3:U$501,MATCH(ROW()-2,종합!$AE$3:$AE$501,0))&amp;"","")</f>
        <v/>
      </c>
      <c r="V315" s="21" t="str">
        <f aca="false">IFERROR(INDEX(종합!V$3:V$501,MATCH(ROW()-2,종합!$AE$3:$AE$501,0))&amp;"","")</f>
        <v/>
      </c>
      <c r="W315" s="21" t="str">
        <f aca="false">IFERROR(INDEX(종합!W$3:W$501,MATCH(ROW()-2,종합!$AE$3:$AE$501,0))&amp;"","")</f>
        <v/>
      </c>
      <c r="X315" s="21" t="str">
        <f aca="false">IFERROR(INDEX(종합!X$3:X$501,MATCH(ROW()-2,종합!$AE$3:$AE$501,0))&amp;"","")</f>
        <v/>
      </c>
      <c r="Y315" s="21" t="str">
        <f aca="false">IFERROR(INDEX(종합!Y$3:Y$501,MATCH(ROW()-2,종합!$AE$3:$AE$501,0))&amp;"","")</f>
        <v/>
      </c>
      <c r="Z315" s="21" t="str">
        <f aca="false">IFERROR(INDEX(종합!Z$3:Z$501,MATCH(ROW()-2,종합!$AE$3:$AE$501,0))&amp;"","")</f>
        <v/>
      </c>
    </row>
    <row r="316" customFormat="false" ht="16.5" hidden="false" customHeight="true" outlineLevel="0" collapsed="false">
      <c r="A316" s="18" t="str">
        <f aca="false">IF(B316="","",ROW()-2)</f>
        <v/>
      </c>
      <c r="B316" s="18" t="str">
        <f aca="false">IFERROR(INDEX(종합!B$3:B$501,MATCH(ROW()-2,종합!$AE$3:$AE$501,0))&amp;"","")</f>
        <v/>
      </c>
      <c r="C316" s="18" t="str">
        <f aca="false">IFERROR(INDEX(종합!C$3:C$501,MATCH(ROW()-2,종합!$AE$3:$AE$501,0))&amp;"","")</f>
        <v/>
      </c>
      <c r="D316" s="18" t="str">
        <f aca="false">IFERROR(INDEX(종합!D$3:D$501,MATCH(ROW()-2,종합!$AE$3:$AE$501,0))&amp;"","")</f>
        <v/>
      </c>
      <c r="E316" s="18" t="str">
        <f aca="false">IFERROR(INDEX(종합!E$3:E$501,MATCH(ROW()-2,종합!$AE$3:$AE$501,0))&amp;"","")</f>
        <v/>
      </c>
      <c r="F316" s="18" t="str">
        <f aca="false">IFERROR(INDEX(종합!F$3:F$501,MATCH(ROW()-2,종합!$AE$3:$AE$501,0))&amp;"","")</f>
        <v/>
      </c>
      <c r="G316" s="18" t="str">
        <f aca="false">IFERROR(INDEX(종합!G$3:G$501,MATCH(ROW()-2,종합!$AE$3:$AE$501,0))&amp;"","")</f>
        <v/>
      </c>
      <c r="H316" s="21" t="str">
        <f aca="false">IFERROR(INDEX(종합!H$3:H$501,MATCH(ROW()-2,종합!$AE$3:$AE$501,0))&amp;"","")</f>
        <v/>
      </c>
      <c r="I316" s="21" t="str">
        <f aca="false">IFERROR(INDEX(종합!I$3:I$501,MATCH(ROW()-2,종합!$AE$3:$AE$501,0))&amp;"","")</f>
        <v/>
      </c>
      <c r="J316" s="21" t="str">
        <f aca="false">IFERROR(INDEX(종합!J$3:J$501,MATCH(ROW()-2,종합!$AE$3:$AE$501,0))&amp;"","")</f>
        <v/>
      </c>
      <c r="K316" s="21" t="str">
        <f aca="false">IFERROR(INDEX(종합!K$3:K$501,MATCH(ROW()-2,종합!$AE$3:$AE$501,0))&amp;"","")</f>
        <v/>
      </c>
      <c r="L316" s="21" t="str">
        <f aca="false">IFERROR(INDEX(종합!L$3:L$501,MATCH(ROW()-2,종합!$AE$3:$AE$501,0))&amp;"","")</f>
        <v/>
      </c>
      <c r="M316" s="21" t="str">
        <f aca="false">IFERROR(INDEX(종합!M$3:M$501,MATCH(ROW()-2,종합!$AE$3:$AE$501,0))&amp;"","")</f>
        <v/>
      </c>
      <c r="N316" s="25" t="str">
        <f aca="false">IFERROR(INDEX(종합!N$3:N$501,MATCH(ROW()-2,종합!$AE$3:$AE$501,0))&amp;"","")</f>
        <v/>
      </c>
      <c r="O316" s="21" t="str">
        <f aca="false">IFERROR(INDEX(종합!O$3:O$501,MATCH(ROW()-2,종합!$AE$3:$AE$501,0))&amp;"","")</f>
        <v/>
      </c>
      <c r="P316" s="21" t="str">
        <f aca="false">IFERROR(INDEX(종합!P$3:P$501,MATCH(ROW()-2,종합!$AE$3:$AE$501,0))&amp;"","")</f>
        <v/>
      </c>
      <c r="Q316" s="21" t="str">
        <f aca="false">IFERROR(INDEX(종합!Q$3:Q$501,MATCH(ROW()-2,종합!$AE$3:$AE$501,0))&amp;"","")</f>
        <v/>
      </c>
      <c r="R316" s="21" t="str">
        <f aca="false">IFERROR(INDEX(종합!R$3:R$501,MATCH(ROW()-2,종합!$AE$3:$AE$501,0))&amp;"","")</f>
        <v/>
      </c>
      <c r="S316" s="21" t="str">
        <f aca="false">IFERROR(INDEX(종합!S$3:S$501,MATCH(ROW()-2,종합!$AE$3:$AE$501,0))&amp;"","")</f>
        <v/>
      </c>
      <c r="T316" s="21" t="str">
        <f aca="false">IFERROR(INDEX(종합!T$3:T$501,MATCH(ROW()-2,종합!$AE$3:$AE$501,0))&amp;"","")</f>
        <v/>
      </c>
      <c r="U316" s="21" t="str">
        <f aca="false">IFERROR(INDEX(종합!U$3:U$501,MATCH(ROW()-2,종합!$AE$3:$AE$501,0))&amp;"","")</f>
        <v/>
      </c>
      <c r="V316" s="21" t="str">
        <f aca="false">IFERROR(INDEX(종합!V$3:V$501,MATCH(ROW()-2,종합!$AE$3:$AE$501,0))&amp;"","")</f>
        <v/>
      </c>
      <c r="W316" s="21" t="str">
        <f aca="false">IFERROR(INDEX(종합!W$3:W$501,MATCH(ROW()-2,종합!$AE$3:$AE$501,0))&amp;"","")</f>
        <v/>
      </c>
      <c r="X316" s="21" t="str">
        <f aca="false">IFERROR(INDEX(종합!X$3:X$501,MATCH(ROW()-2,종합!$AE$3:$AE$501,0))&amp;"","")</f>
        <v/>
      </c>
      <c r="Y316" s="21" t="str">
        <f aca="false">IFERROR(INDEX(종합!Y$3:Y$501,MATCH(ROW()-2,종합!$AE$3:$AE$501,0))&amp;"","")</f>
        <v/>
      </c>
      <c r="Z316" s="21" t="str">
        <f aca="false">IFERROR(INDEX(종합!Z$3:Z$501,MATCH(ROW()-2,종합!$AE$3:$AE$501,0))&amp;"","")</f>
        <v/>
      </c>
    </row>
    <row r="317" customFormat="false" ht="16.5" hidden="false" customHeight="true" outlineLevel="0" collapsed="false">
      <c r="A317" s="18" t="str">
        <f aca="false">IF(B317="","",ROW()-2)</f>
        <v/>
      </c>
      <c r="B317" s="18" t="str">
        <f aca="false">IFERROR(INDEX(종합!B$3:B$501,MATCH(ROW()-2,종합!$AE$3:$AE$501,0))&amp;"","")</f>
        <v/>
      </c>
      <c r="C317" s="18" t="str">
        <f aca="false">IFERROR(INDEX(종합!C$3:C$501,MATCH(ROW()-2,종합!$AE$3:$AE$501,0))&amp;"","")</f>
        <v/>
      </c>
      <c r="D317" s="18" t="str">
        <f aca="false">IFERROR(INDEX(종합!D$3:D$501,MATCH(ROW()-2,종합!$AE$3:$AE$501,0))&amp;"","")</f>
        <v/>
      </c>
      <c r="E317" s="18" t="str">
        <f aca="false">IFERROR(INDEX(종합!E$3:E$501,MATCH(ROW()-2,종합!$AE$3:$AE$501,0))&amp;"","")</f>
        <v/>
      </c>
      <c r="F317" s="18" t="str">
        <f aca="false">IFERROR(INDEX(종합!F$3:F$501,MATCH(ROW()-2,종합!$AE$3:$AE$501,0))&amp;"","")</f>
        <v/>
      </c>
      <c r="G317" s="18" t="str">
        <f aca="false">IFERROR(INDEX(종합!G$3:G$501,MATCH(ROW()-2,종합!$AE$3:$AE$501,0))&amp;"","")</f>
        <v/>
      </c>
      <c r="H317" s="21" t="str">
        <f aca="false">IFERROR(INDEX(종합!H$3:H$501,MATCH(ROW()-2,종합!$AE$3:$AE$501,0))&amp;"","")</f>
        <v/>
      </c>
      <c r="I317" s="21" t="str">
        <f aca="false">IFERROR(INDEX(종합!I$3:I$501,MATCH(ROW()-2,종합!$AE$3:$AE$501,0))&amp;"","")</f>
        <v/>
      </c>
      <c r="J317" s="21" t="str">
        <f aca="false">IFERROR(INDEX(종합!J$3:J$501,MATCH(ROW()-2,종합!$AE$3:$AE$501,0))&amp;"","")</f>
        <v/>
      </c>
      <c r="K317" s="21" t="str">
        <f aca="false">IFERROR(INDEX(종합!K$3:K$501,MATCH(ROW()-2,종합!$AE$3:$AE$501,0))&amp;"","")</f>
        <v/>
      </c>
      <c r="L317" s="21" t="str">
        <f aca="false">IFERROR(INDEX(종합!L$3:L$501,MATCH(ROW()-2,종합!$AE$3:$AE$501,0))&amp;"","")</f>
        <v/>
      </c>
      <c r="M317" s="21" t="str">
        <f aca="false">IFERROR(INDEX(종합!M$3:M$501,MATCH(ROW()-2,종합!$AE$3:$AE$501,0))&amp;"","")</f>
        <v/>
      </c>
      <c r="N317" s="25" t="str">
        <f aca="false">IFERROR(INDEX(종합!N$3:N$501,MATCH(ROW()-2,종합!$AE$3:$AE$501,0))&amp;"","")</f>
        <v/>
      </c>
      <c r="O317" s="21" t="str">
        <f aca="false">IFERROR(INDEX(종합!O$3:O$501,MATCH(ROW()-2,종합!$AE$3:$AE$501,0))&amp;"","")</f>
        <v/>
      </c>
      <c r="P317" s="21" t="str">
        <f aca="false">IFERROR(INDEX(종합!P$3:P$501,MATCH(ROW()-2,종합!$AE$3:$AE$501,0))&amp;"","")</f>
        <v/>
      </c>
      <c r="Q317" s="21" t="str">
        <f aca="false">IFERROR(INDEX(종합!Q$3:Q$501,MATCH(ROW()-2,종합!$AE$3:$AE$501,0))&amp;"","")</f>
        <v/>
      </c>
      <c r="R317" s="21" t="str">
        <f aca="false">IFERROR(INDEX(종합!R$3:R$501,MATCH(ROW()-2,종합!$AE$3:$AE$501,0))&amp;"","")</f>
        <v/>
      </c>
      <c r="S317" s="21" t="str">
        <f aca="false">IFERROR(INDEX(종합!S$3:S$501,MATCH(ROW()-2,종합!$AE$3:$AE$501,0))&amp;"","")</f>
        <v/>
      </c>
      <c r="T317" s="21" t="str">
        <f aca="false">IFERROR(INDEX(종합!T$3:T$501,MATCH(ROW()-2,종합!$AE$3:$AE$501,0))&amp;"","")</f>
        <v/>
      </c>
      <c r="U317" s="21" t="str">
        <f aca="false">IFERROR(INDEX(종합!U$3:U$501,MATCH(ROW()-2,종합!$AE$3:$AE$501,0))&amp;"","")</f>
        <v/>
      </c>
      <c r="V317" s="21" t="str">
        <f aca="false">IFERROR(INDEX(종합!V$3:V$501,MATCH(ROW()-2,종합!$AE$3:$AE$501,0))&amp;"","")</f>
        <v/>
      </c>
      <c r="W317" s="21" t="str">
        <f aca="false">IFERROR(INDEX(종합!W$3:W$501,MATCH(ROW()-2,종합!$AE$3:$AE$501,0))&amp;"","")</f>
        <v/>
      </c>
      <c r="X317" s="21" t="str">
        <f aca="false">IFERROR(INDEX(종합!X$3:X$501,MATCH(ROW()-2,종합!$AE$3:$AE$501,0))&amp;"","")</f>
        <v/>
      </c>
      <c r="Y317" s="21" t="str">
        <f aca="false">IFERROR(INDEX(종합!Y$3:Y$501,MATCH(ROW()-2,종합!$AE$3:$AE$501,0))&amp;"","")</f>
        <v/>
      </c>
      <c r="Z317" s="21" t="str">
        <f aca="false">IFERROR(INDEX(종합!Z$3:Z$501,MATCH(ROW()-2,종합!$AE$3:$AE$501,0))&amp;"","")</f>
        <v/>
      </c>
    </row>
    <row r="318" customFormat="false" ht="16.5" hidden="false" customHeight="true" outlineLevel="0" collapsed="false">
      <c r="A318" s="18" t="str">
        <f aca="false">IF(B318="","",ROW()-2)</f>
        <v/>
      </c>
      <c r="B318" s="18" t="str">
        <f aca="false">IFERROR(INDEX(종합!B$3:B$501,MATCH(ROW()-2,종합!$AE$3:$AE$501,0))&amp;"","")</f>
        <v/>
      </c>
      <c r="C318" s="18" t="str">
        <f aca="false">IFERROR(INDEX(종합!C$3:C$501,MATCH(ROW()-2,종합!$AE$3:$AE$501,0))&amp;"","")</f>
        <v/>
      </c>
      <c r="D318" s="18" t="str">
        <f aca="false">IFERROR(INDEX(종합!D$3:D$501,MATCH(ROW()-2,종합!$AE$3:$AE$501,0))&amp;"","")</f>
        <v/>
      </c>
      <c r="E318" s="18" t="str">
        <f aca="false">IFERROR(INDEX(종합!E$3:E$501,MATCH(ROW()-2,종합!$AE$3:$AE$501,0))&amp;"","")</f>
        <v/>
      </c>
      <c r="F318" s="18" t="str">
        <f aca="false">IFERROR(INDEX(종합!F$3:F$501,MATCH(ROW()-2,종합!$AE$3:$AE$501,0))&amp;"","")</f>
        <v/>
      </c>
      <c r="G318" s="18" t="str">
        <f aca="false">IFERROR(INDEX(종합!G$3:G$501,MATCH(ROW()-2,종합!$AE$3:$AE$501,0))&amp;"","")</f>
        <v/>
      </c>
      <c r="H318" s="21" t="str">
        <f aca="false">IFERROR(INDEX(종합!H$3:H$501,MATCH(ROW()-2,종합!$AE$3:$AE$501,0))&amp;"","")</f>
        <v/>
      </c>
      <c r="I318" s="21" t="str">
        <f aca="false">IFERROR(INDEX(종합!I$3:I$501,MATCH(ROW()-2,종합!$AE$3:$AE$501,0))&amp;"","")</f>
        <v/>
      </c>
      <c r="J318" s="21" t="str">
        <f aca="false">IFERROR(INDEX(종합!J$3:J$501,MATCH(ROW()-2,종합!$AE$3:$AE$501,0))&amp;"","")</f>
        <v/>
      </c>
      <c r="K318" s="21" t="str">
        <f aca="false">IFERROR(INDEX(종합!K$3:K$501,MATCH(ROW()-2,종합!$AE$3:$AE$501,0))&amp;"","")</f>
        <v/>
      </c>
      <c r="L318" s="21" t="str">
        <f aca="false">IFERROR(INDEX(종합!L$3:L$501,MATCH(ROW()-2,종합!$AE$3:$AE$501,0))&amp;"","")</f>
        <v/>
      </c>
      <c r="M318" s="21" t="str">
        <f aca="false">IFERROR(INDEX(종합!M$3:M$501,MATCH(ROW()-2,종합!$AE$3:$AE$501,0))&amp;"","")</f>
        <v/>
      </c>
      <c r="N318" s="25" t="str">
        <f aca="false">IFERROR(INDEX(종합!N$3:N$501,MATCH(ROW()-2,종합!$AE$3:$AE$501,0))&amp;"","")</f>
        <v/>
      </c>
      <c r="O318" s="21" t="str">
        <f aca="false">IFERROR(INDEX(종합!O$3:O$501,MATCH(ROW()-2,종합!$AE$3:$AE$501,0))&amp;"","")</f>
        <v/>
      </c>
      <c r="P318" s="21" t="str">
        <f aca="false">IFERROR(INDEX(종합!P$3:P$501,MATCH(ROW()-2,종합!$AE$3:$AE$501,0))&amp;"","")</f>
        <v/>
      </c>
      <c r="Q318" s="21" t="str">
        <f aca="false">IFERROR(INDEX(종합!Q$3:Q$501,MATCH(ROW()-2,종합!$AE$3:$AE$501,0))&amp;"","")</f>
        <v/>
      </c>
      <c r="R318" s="21" t="str">
        <f aca="false">IFERROR(INDEX(종합!R$3:R$501,MATCH(ROW()-2,종합!$AE$3:$AE$501,0))&amp;"","")</f>
        <v/>
      </c>
      <c r="S318" s="21" t="str">
        <f aca="false">IFERROR(INDEX(종합!S$3:S$501,MATCH(ROW()-2,종합!$AE$3:$AE$501,0))&amp;"","")</f>
        <v/>
      </c>
      <c r="T318" s="21" t="str">
        <f aca="false">IFERROR(INDEX(종합!T$3:T$501,MATCH(ROW()-2,종합!$AE$3:$AE$501,0))&amp;"","")</f>
        <v/>
      </c>
      <c r="U318" s="21" t="str">
        <f aca="false">IFERROR(INDEX(종합!U$3:U$501,MATCH(ROW()-2,종합!$AE$3:$AE$501,0))&amp;"","")</f>
        <v/>
      </c>
      <c r="V318" s="21" t="str">
        <f aca="false">IFERROR(INDEX(종합!V$3:V$501,MATCH(ROW()-2,종합!$AE$3:$AE$501,0))&amp;"","")</f>
        <v/>
      </c>
      <c r="W318" s="21" t="str">
        <f aca="false">IFERROR(INDEX(종합!W$3:W$501,MATCH(ROW()-2,종합!$AE$3:$AE$501,0))&amp;"","")</f>
        <v/>
      </c>
      <c r="X318" s="21" t="str">
        <f aca="false">IFERROR(INDEX(종합!X$3:X$501,MATCH(ROW()-2,종합!$AE$3:$AE$501,0))&amp;"","")</f>
        <v/>
      </c>
      <c r="Y318" s="21" t="str">
        <f aca="false">IFERROR(INDEX(종합!Y$3:Y$501,MATCH(ROW()-2,종합!$AE$3:$AE$501,0))&amp;"","")</f>
        <v/>
      </c>
      <c r="Z318" s="21" t="str">
        <f aca="false">IFERROR(INDEX(종합!Z$3:Z$501,MATCH(ROW()-2,종합!$AE$3:$AE$501,0))&amp;"","")</f>
        <v/>
      </c>
    </row>
    <row r="319" customFormat="false" ht="16.5" hidden="false" customHeight="true" outlineLevel="0" collapsed="false">
      <c r="A319" s="18" t="str">
        <f aca="false">IF(B319="","",ROW()-2)</f>
        <v/>
      </c>
      <c r="B319" s="18" t="str">
        <f aca="false">IFERROR(INDEX(종합!B$3:B$501,MATCH(ROW()-2,종합!$AE$3:$AE$501,0))&amp;"","")</f>
        <v/>
      </c>
      <c r="C319" s="18" t="str">
        <f aca="false">IFERROR(INDEX(종합!C$3:C$501,MATCH(ROW()-2,종합!$AE$3:$AE$501,0))&amp;"","")</f>
        <v/>
      </c>
      <c r="D319" s="18" t="str">
        <f aca="false">IFERROR(INDEX(종합!D$3:D$501,MATCH(ROW()-2,종합!$AE$3:$AE$501,0))&amp;"","")</f>
        <v/>
      </c>
      <c r="E319" s="18" t="str">
        <f aca="false">IFERROR(INDEX(종합!E$3:E$501,MATCH(ROW()-2,종합!$AE$3:$AE$501,0))&amp;"","")</f>
        <v/>
      </c>
      <c r="F319" s="18" t="str">
        <f aca="false">IFERROR(INDEX(종합!F$3:F$501,MATCH(ROW()-2,종합!$AE$3:$AE$501,0))&amp;"","")</f>
        <v/>
      </c>
      <c r="G319" s="18" t="str">
        <f aca="false">IFERROR(INDEX(종합!G$3:G$501,MATCH(ROW()-2,종합!$AE$3:$AE$501,0))&amp;"","")</f>
        <v/>
      </c>
      <c r="H319" s="21" t="str">
        <f aca="false">IFERROR(INDEX(종합!H$3:H$501,MATCH(ROW()-2,종합!$AE$3:$AE$501,0))&amp;"","")</f>
        <v/>
      </c>
      <c r="I319" s="21" t="str">
        <f aca="false">IFERROR(INDEX(종합!I$3:I$501,MATCH(ROW()-2,종합!$AE$3:$AE$501,0))&amp;"","")</f>
        <v/>
      </c>
      <c r="J319" s="21" t="str">
        <f aca="false">IFERROR(INDEX(종합!J$3:J$501,MATCH(ROW()-2,종합!$AE$3:$AE$501,0))&amp;"","")</f>
        <v/>
      </c>
      <c r="K319" s="21" t="str">
        <f aca="false">IFERROR(INDEX(종합!K$3:K$501,MATCH(ROW()-2,종합!$AE$3:$AE$501,0))&amp;"","")</f>
        <v/>
      </c>
      <c r="L319" s="21" t="str">
        <f aca="false">IFERROR(INDEX(종합!L$3:L$501,MATCH(ROW()-2,종합!$AE$3:$AE$501,0))&amp;"","")</f>
        <v/>
      </c>
      <c r="M319" s="21" t="str">
        <f aca="false">IFERROR(INDEX(종합!M$3:M$501,MATCH(ROW()-2,종합!$AE$3:$AE$501,0))&amp;"","")</f>
        <v/>
      </c>
      <c r="N319" s="25" t="str">
        <f aca="false">IFERROR(INDEX(종합!N$3:N$501,MATCH(ROW()-2,종합!$AE$3:$AE$501,0))&amp;"","")</f>
        <v/>
      </c>
      <c r="O319" s="21" t="str">
        <f aca="false">IFERROR(INDEX(종합!O$3:O$501,MATCH(ROW()-2,종합!$AE$3:$AE$501,0))&amp;"","")</f>
        <v/>
      </c>
      <c r="P319" s="21" t="str">
        <f aca="false">IFERROR(INDEX(종합!P$3:P$501,MATCH(ROW()-2,종합!$AE$3:$AE$501,0))&amp;"","")</f>
        <v/>
      </c>
      <c r="Q319" s="21" t="str">
        <f aca="false">IFERROR(INDEX(종합!Q$3:Q$501,MATCH(ROW()-2,종합!$AE$3:$AE$501,0))&amp;"","")</f>
        <v/>
      </c>
      <c r="R319" s="21" t="str">
        <f aca="false">IFERROR(INDEX(종합!R$3:R$501,MATCH(ROW()-2,종합!$AE$3:$AE$501,0))&amp;"","")</f>
        <v/>
      </c>
      <c r="S319" s="21" t="str">
        <f aca="false">IFERROR(INDEX(종합!S$3:S$501,MATCH(ROW()-2,종합!$AE$3:$AE$501,0))&amp;"","")</f>
        <v/>
      </c>
      <c r="T319" s="21" t="str">
        <f aca="false">IFERROR(INDEX(종합!T$3:T$501,MATCH(ROW()-2,종합!$AE$3:$AE$501,0))&amp;"","")</f>
        <v/>
      </c>
      <c r="U319" s="21" t="str">
        <f aca="false">IFERROR(INDEX(종합!U$3:U$501,MATCH(ROW()-2,종합!$AE$3:$AE$501,0))&amp;"","")</f>
        <v/>
      </c>
      <c r="V319" s="21" t="str">
        <f aca="false">IFERROR(INDEX(종합!V$3:V$501,MATCH(ROW()-2,종합!$AE$3:$AE$501,0))&amp;"","")</f>
        <v/>
      </c>
      <c r="W319" s="21" t="str">
        <f aca="false">IFERROR(INDEX(종합!W$3:W$501,MATCH(ROW()-2,종합!$AE$3:$AE$501,0))&amp;"","")</f>
        <v/>
      </c>
      <c r="X319" s="21" t="str">
        <f aca="false">IFERROR(INDEX(종합!X$3:X$501,MATCH(ROW()-2,종합!$AE$3:$AE$501,0))&amp;"","")</f>
        <v/>
      </c>
      <c r="Y319" s="21" t="str">
        <f aca="false">IFERROR(INDEX(종합!Y$3:Y$501,MATCH(ROW()-2,종합!$AE$3:$AE$501,0))&amp;"","")</f>
        <v/>
      </c>
      <c r="Z319" s="21" t="str">
        <f aca="false">IFERROR(INDEX(종합!Z$3:Z$501,MATCH(ROW()-2,종합!$AE$3:$AE$501,0))&amp;"","")</f>
        <v/>
      </c>
    </row>
    <row r="320" customFormat="false" ht="16.5" hidden="false" customHeight="true" outlineLevel="0" collapsed="false">
      <c r="A320" s="18" t="str">
        <f aca="false">IF(B320="","",ROW()-2)</f>
        <v/>
      </c>
      <c r="B320" s="18" t="str">
        <f aca="false">IFERROR(INDEX(종합!B$3:B$501,MATCH(ROW()-2,종합!$AE$3:$AE$501,0))&amp;"","")</f>
        <v/>
      </c>
      <c r="C320" s="18" t="str">
        <f aca="false">IFERROR(INDEX(종합!C$3:C$501,MATCH(ROW()-2,종합!$AE$3:$AE$501,0))&amp;"","")</f>
        <v/>
      </c>
      <c r="D320" s="18" t="str">
        <f aca="false">IFERROR(INDEX(종합!D$3:D$501,MATCH(ROW()-2,종합!$AE$3:$AE$501,0))&amp;"","")</f>
        <v/>
      </c>
      <c r="E320" s="18" t="str">
        <f aca="false">IFERROR(INDEX(종합!E$3:E$501,MATCH(ROW()-2,종합!$AE$3:$AE$501,0))&amp;"","")</f>
        <v/>
      </c>
      <c r="F320" s="18" t="str">
        <f aca="false">IFERROR(INDEX(종합!F$3:F$501,MATCH(ROW()-2,종합!$AE$3:$AE$501,0))&amp;"","")</f>
        <v/>
      </c>
      <c r="G320" s="18" t="str">
        <f aca="false">IFERROR(INDEX(종합!G$3:G$501,MATCH(ROW()-2,종합!$AE$3:$AE$501,0))&amp;"","")</f>
        <v/>
      </c>
      <c r="H320" s="21" t="str">
        <f aca="false">IFERROR(INDEX(종합!H$3:H$501,MATCH(ROW()-2,종합!$AE$3:$AE$501,0))&amp;"","")</f>
        <v/>
      </c>
      <c r="I320" s="21" t="str">
        <f aca="false">IFERROR(INDEX(종합!I$3:I$501,MATCH(ROW()-2,종합!$AE$3:$AE$501,0))&amp;"","")</f>
        <v/>
      </c>
      <c r="J320" s="21" t="str">
        <f aca="false">IFERROR(INDEX(종합!J$3:J$501,MATCH(ROW()-2,종합!$AE$3:$AE$501,0))&amp;"","")</f>
        <v/>
      </c>
      <c r="K320" s="21" t="str">
        <f aca="false">IFERROR(INDEX(종합!K$3:K$501,MATCH(ROW()-2,종합!$AE$3:$AE$501,0))&amp;"","")</f>
        <v/>
      </c>
      <c r="L320" s="21" t="str">
        <f aca="false">IFERROR(INDEX(종합!L$3:L$501,MATCH(ROW()-2,종합!$AE$3:$AE$501,0))&amp;"","")</f>
        <v/>
      </c>
      <c r="M320" s="21" t="str">
        <f aca="false">IFERROR(INDEX(종합!M$3:M$501,MATCH(ROW()-2,종합!$AE$3:$AE$501,0))&amp;"","")</f>
        <v/>
      </c>
      <c r="N320" s="25" t="str">
        <f aca="false">IFERROR(INDEX(종합!N$3:N$501,MATCH(ROW()-2,종합!$AE$3:$AE$501,0))&amp;"","")</f>
        <v/>
      </c>
      <c r="O320" s="21" t="str">
        <f aca="false">IFERROR(INDEX(종합!O$3:O$501,MATCH(ROW()-2,종합!$AE$3:$AE$501,0))&amp;"","")</f>
        <v/>
      </c>
      <c r="P320" s="21" t="str">
        <f aca="false">IFERROR(INDEX(종합!P$3:P$501,MATCH(ROW()-2,종합!$AE$3:$AE$501,0))&amp;"","")</f>
        <v/>
      </c>
      <c r="Q320" s="21" t="str">
        <f aca="false">IFERROR(INDEX(종합!Q$3:Q$501,MATCH(ROW()-2,종합!$AE$3:$AE$501,0))&amp;"","")</f>
        <v/>
      </c>
      <c r="R320" s="21" t="str">
        <f aca="false">IFERROR(INDEX(종합!R$3:R$501,MATCH(ROW()-2,종합!$AE$3:$AE$501,0))&amp;"","")</f>
        <v/>
      </c>
      <c r="S320" s="21" t="str">
        <f aca="false">IFERROR(INDEX(종합!S$3:S$501,MATCH(ROW()-2,종합!$AE$3:$AE$501,0))&amp;"","")</f>
        <v/>
      </c>
      <c r="T320" s="21" t="str">
        <f aca="false">IFERROR(INDEX(종합!T$3:T$501,MATCH(ROW()-2,종합!$AE$3:$AE$501,0))&amp;"","")</f>
        <v/>
      </c>
      <c r="U320" s="21" t="str">
        <f aca="false">IFERROR(INDEX(종합!U$3:U$501,MATCH(ROW()-2,종합!$AE$3:$AE$501,0))&amp;"","")</f>
        <v/>
      </c>
      <c r="V320" s="21" t="str">
        <f aca="false">IFERROR(INDEX(종합!V$3:V$501,MATCH(ROW()-2,종합!$AE$3:$AE$501,0))&amp;"","")</f>
        <v/>
      </c>
      <c r="W320" s="21" t="str">
        <f aca="false">IFERROR(INDEX(종합!W$3:W$501,MATCH(ROW()-2,종합!$AE$3:$AE$501,0))&amp;"","")</f>
        <v/>
      </c>
      <c r="X320" s="21" t="str">
        <f aca="false">IFERROR(INDEX(종합!X$3:X$501,MATCH(ROW()-2,종합!$AE$3:$AE$501,0))&amp;"","")</f>
        <v/>
      </c>
      <c r="Y320" s="21" t="str">
        <f aca="false">IFERROR(INDEX(종합!Y$3:Y$501,MATCH(ROW()-2,종합!$AE$3:$AE$501,0))&amp;"","")</f>
        <v/>
      </c>
      <c r="Z320" s="21" t="str">
        <f aca="false">IFERROR(INDEX(종합!Z$3:Z$501,MATCH(ROW()-2,종합!$AE$3:$AE$501,0))&amp;"","")</f>
        <v/>
      </c>
    </row>
    <row r="321" customFormat="false" ht="16.5" hidden="false" customHeight="true" outlineLevel="0" collapsed="false">
      <c r="A321" s="18" t="str">
        <f aca="false">IF(B321="","",ROW()-2)</f>
        <v/>
      </c>
      <c r="B321" s="18" t="str">
        <f aca="false">IFERROR(INDEX(종합!B$3:B$501,MATCH(ROW()-2,종합!$AE$3:$AE$501,0))&amp;"","")</f>
        <v/>
      </c>
      <c r="C321" s="18" t="str">
        <f aca="false">IFERROR(INDEX(종합!C$3:C$501,MATCH(ROW()-2,종합!$AE$3:$AE$501,0))&amp;"","")</f>
        <v/>
      </c>
      <c r="D321" s="18" t="str">
        <f aca="false">IFERROR(INDEX(종합!D$3:D$501,MATCH(ROW()-2,종합!$AE$3:$AE$501,0))&amp;"","")</f>
        <v/>
      </c>
      <c r="E321" s="18" t="str">
        <f aca="false">IFERROR(INDEX(종합!E$3:E$501,MATCH(ROW()-2,종합!$AE$3:$AE$501,0))&amp;"","")</f>
        <v/>
      </c>
      <c r="F321" s="18" t="str">
        <f aca="false">IFERROR(INDEX(종합!F$3:F$501,MATCH(ROW()-2,종합!$AE$3:$AE$501,0))&amp;"","")</f>
        <v/>
      </c>
      <c r="G321" s="18" t="str">
        <f aca="false">IFERROR(INDEX(종합!G$3:G$501,MATCH(ROW()-2,종합!$AE$3:$AE$501,0))&amp;"","")</f>
        <v/>
      </c>
      <c r="H321" s="21" t="str">
        <f aca="false">IFERROR(INDEX(종합!H$3:H$501,MATCH(ROW()-2,종합!$AE$3:$AE$501,0))&amp;"","")</f>
        <v/>
      </c>
      <c r="I321" s="21" t="str">
        <f aca="false">IFERROR(INDEX(종합!I$3:I$501,MATCH(ROW()-2,종합!$AE$3:$AE$501,0))&amp;"","")</f>
        <v/>
      </c>
      <c r="J321" s="21" t="str">
        <f aca="false">IFERROR(INDEX(종합!J$3:J$501,MATCH(ROW()-2,종합!$AE$3:$AE$501,0))&amp;"","")</f>
        <v/>
      </c>
      <c r="K321" s="21" t="str">
        <f aca="false">IFERROR(INDEX(종합!K$3:K$501,MATCH(ROW()-2,종합!$AE$3:$AE$501,0))&amp;"","")</f>
        <v/>
      </c>
      <c r="L321" s="21" t="str">
        <f aca="false">IFERROR(INDEX(종합!L$3:L$501,MATCH(ROW()-2,종합!$AE$3:$AE$501,0))&amp;"","")</f>
        <v/>
      </c>
      <c r="M321" s="21" t="str">
        <f aca="false">IFERROR(INDEX(종합!M$3:M$501,MATCH(ROW()-2,종합!$AE$3:$AE$501,0))&amp;"","")</f>
        <v/>
      </c>
      <c r="N321" s="25" t="str">
        <f aca="false">IFERROR(INDEX(종합!N$3:N$501,MATCH(ROW()-2,종합!$AE$3:$AE$501,0))&amp;"","")</f>
        <v/>
      </c>
      <c r="O321" s="21" t="str">
        <f aca="false">IFERROR(INDEX(종합!O$3:O$501,MATCH(ROW()-2,종합!$AE$3:$AE$501,0))&amp;"","")</f>
        <v/>
      </c>
      <c r="P321" s="21" t="str">
        <f aca="false">IFERROR(INDEX(종합!P$3:P$501,MATCH(ROW()-2,종합!$AE$3:$AE$501,0))&amp;"","")</f>
        <v/>
      </c>
      <c r="Q321" s="21" t="str">
        <f aca="false">IFERROR(INDEX(종합!Q$3:Q$501,MATCH(ROW()-2,종합!$AE$3:$AE$501,0))&amp;"","")</f>
        <v/>
      </c>
      <c r="R321" s="21" t="str">
        <f aca="false">IFERROR(INDEX(종합!R$3:R$501,MATCH(ROW()-2,종합!$AE$3:$AE$501,0))&amp;"","")</f>
        <v/>
      </c>
      <c r="S321" s="21" t="str">
        <f aca="false">IFERROR(INDEX(종합!S$3:S$501,MATCH(ROW()-2,종합!$AE$3:$AE$501,0))&amp;"","")</f>
        <v/>
      </c>
      <c r="T321" s="21" t="str">
        <f aca="false">IFERROR(INDEX(종합!T$3:T$501,MATCH(ROW()-2,종합!$AE$3:$AE$501,0))&amp;"","")</f>
        <v/>
      </c>
      <c r="U321" s="21" t="str">
        <f aca="false">IFERROR(INDEX(종합!U$3:U$501,MATCH(ROW()-2,종합!$AE$3:$AE$501,0))&amp;"","")</f>
        <v/>
      </c>
      <c r="V321" s="21" t="str">
        <f aca="false">IFERROR(INDEX(종합!V$3:V$501,MATCH(ROW()-2,종합!$AE$3:$AE$501,0))&amp;"","")</f>
        <v/>
      </c>
      <c r="W321" s="21" t="str">
        <f aca="false">IFERROR(INDEX(종합!W$3:W$501,MATCH(ROW()-2,종합!$AE$3:$AE$501,0))&amp;"","")</f>
        <v/>
      </c>
      <c r="X321" s="21" t="str">
        <f aca="false">IFERROR(INDEX(종합!X$3:X$501,MATCH(ROW()-2,종합!$AE$3:$AE$501,0))&amp;"","")</f>
        <v/>
      </c>
      <c r="Y321" s="21" t="str">
        <f aca="false">IFERROR(INDEX(종합!Y$3:Y$501,MATCH(ROW()-2,종합!$AE$3:$AE$501,0))&amp;"","")</f>
        <v/>
      </c>
      <c r="Z321" s="21" t="str">
        <f aca="false">IFERROR(INDEX(종합!Z$3:Z$501,MATCH(ROW()-2,종합!$AE$3:$AE$501,0))&amp;"","")</f>
        <v/>
      </c>
    </row>
    <row r="322" customFormat="false" ht="16.5" hidden="false" customHeight="true" outlineLevel="0" collapsed="false">
      <c r="A322" s="18" t="str">
        <f aca="false">IF(B322="","",ROW()-2)</f>
        <v/>
      </c>
      <c r="B322" s="18" t="str">
        <f aca="false">IFERROR(INDEX(종합!B$3:B$501,MATCH(ROW()-2,종합!$AE$3:$AE$501,0))&amp;"","")</f>
        <v/>
      </c>
      <c r="C322" s="18" t="str">
        <f aca="false">IFERROR(INDEX(종합!C$3:C$501,MATCH(ROW()-2,종합!$AE$3:$AE$501,0))&amp;"","")</f>
        <v/>
      </c>
      <c r="D322" s="18" t="str">
        <f aca="false">IFERROR(INDEX(종합!D$3:D$501,MATCH(ROW()-2,종합!$AE$3:$AE$501,0))&amp;"","")</f>
        <v/>
      </c>
      <c r="E322" s="18" t="str">
        <f aca="false">IFERROR(INDEX(종합!E$3:E$501,MATCH(ROW()-2,종합!$AE$3:$AE$501,0))&amp;"","")</f>
        <v/>
      </c>
      <c r="F322" s="18" t="str">
        <f aca="false">IFERROR(INDEX(종합!F$3:F$501,MATCH(ROW()-2,종합!$AE$3:$AE$501,0))&amp;"","")</f>
        <v/>
      </c>
      <c r="G322" s="18" t="str">
        <f aca="false">IFERROR(INDEX(종합!G$3:G$501,MATCH(ROW()-2,종합!$AE$3:$AE$501,0))&amp;"","")</f>
        <v/>
      </c>
      <c r="H322" s="21" t="str">
        <f aca="false">IFERROR(INDEX(종합!H$3:H$501,MATCH(ROW()-2,종합!$AE$3:$AE$501,0))&amp;"","")</f>
        <v/>
      </c>
      <c r="I322" s="21" t="str">
        <f aca="false">IFERROR(INDEX(종합!I$3:I$501,MATCH(ROW()-2,종합!$AE$3:$AE$501,0))&amp;"","")</f>
        <v/>
      </c>
      <c r="J322" s="21" t="str">
        <f aca="false">IFERROR(INDEX(종합!J$3:J$501,MATCH(ROW()-2,종합!$AE$3:$AE$501,0))&amp;"","")</f>
        <v/>
      </c>
      <c r="K322" s="21" t="str">
        <f aca="false">IFERROR(INDEX(종합!K$3:K$501,MATCH(ROW()-2,종합!$AE$3:$AE$501,0))&amp;"","")</f>
        <v/>
      </c>
      <c r="L322" s="21" t="str">
        <f aca="false">IFERROR(INDEX(종합!L$3:L$501,MATCH(ROW()-2,종합!$AE$3:$AE$501,0))&amp;"","")</f>
        <v/>
      </c>
      <c r="M322" s="21" t="str">
        <f aca="false">IFERROR(INDEX(종합!M$3:M$501,MATCH(ROW()-2,종합!$AE$3:$AE$501,0))&amp;"","")</f>
        <v/>
      </c>
      <c r="N322" s="25" t="str">
        <f aca="false">IFERROR(INDEX(종합!N$3:N$501,MATCH(ROW()-2,종합!$AE$3:$AE$501,0))&amp;"","")</f>
        <v/>
      </c>
      <c r="O322" s="21" t="str">
        <f aca="false">IFERROR(INDEX(종합!O$3:O$501,MATCH(ROW()-2,종합!$AE$3:$AE$501,0))&amp;"","")</f>
        <v/>
      </c>
      <c r="P322" s="21" t="str">
        <f aca="false">IFERROR(INDEX(종합!P$3:P$501,MATCH(ROW()-2,종합!$AE$3:$AE$501,0))&amp;"","")</f>
        <v/>
      </c>
      <c r="Q322" s="21" t="str">
        <f aca="false">IFERROR(INDEX(종합!Q$3:Q$501,MATCH(ROW()-2,종합!$AE$3:$AE$501,0))&amp;"","")</f>
        <v/>
      </c>
      <c r="R322" s="21" t="str">
        <f aca="false">IFERROR(INDEX(종합!R$3:R$501,MATCH(ROW()-2,종합!$AE$3:$AE$501,0))&amp;"","")</f>
        <v/>
      </c>
      <c r="S322" s="21" t="str">
        <f aca="false">IFERROR(INDEX(종합!S$3:S$501,MATCH(ROW()-2,종합!$AE$3:$AE$501,0))&amp;"","")</f>
        <v/>
      </c>
      <c r="T322" s="21" t="str">
        <f aca="false">IFERROR(INDEX(종합!T$3:T$501,MATCH(ROW()-2,종합!$AE$3:$AE$501,0))&amp;"","")</f>
        <v/>
      </c>
      <c r="U322" s="21" t="str">
        <f aca="false">IFERROR(INDEX(종합!U$3:U$501,MATCH(ROW()-2,종합!$AE$3:$AE$501,0))&amp;"","")</f>
        <v/>
      </c>
      <c r="V322" s="21" t="str">
        <f aca="false">IFERROR(INDEX(종합!V$3:V$501,MATCH(ROW()-2,종합!$AE$3:$AE$501,0))&amp;"","")</f>
        <v/>
      </c>
      <c r="W322" s="21" t="str">
        <f aca="false">IFERROR(INDEX(종합!W$3:W$501,MATCH(ROW()-2,종합!$AE$3:$AE$501,0))&amp;"","")</f>
        <v/>
      </c>
      <c r="X322" s="21" t="str">
        <f aca="false">IFERROR(INDEX(종합!X$3:X$501,MATCH(ROW()-2,종합!$AE$3:$AE$501,0))&amp;"","")</f>
        <v/>
      </c>
      <c r="Y322" s="21" t="str">
        <f aca="false">IFERROR(INDEX(종합!Y$3:Y$501,MATCH(ROW()-2,종합!$AE$3:$AE$501,0))&amp;"","")</f>
        <v/>
      </c>
      <c r="Z322" s="21" t="str">
        <f aca="false">IFERROR(INDEX(종합!Z$3:Z$501,MATCH(ROW()-2,종합!$AE$3:$AE$501,0))&amp;"","")</f>
        <v/>
      </c>
    </row>
    <row r="323" customFormat="false" ht="16.5" hidden="false" customHeight="true" outlineLevel="0" collapsed="false">
      <c r="A323" s="18" t="str">
        <f aca="false">IF(B323="","",ROW()-2)</f>
        <v/>
      </c>
      <c r="B323" s="18" t="str">
        <f aca="false">IFERROR(INDEX(종합!B$3:B$501,MATCH(ROW()-2,종합!$AE$3:$AE$501,0))&amp;"","")</f>
        <v/>
      </c>
      <c r="C323" s="18" t="str">
        <f aca="false">IFERROR(INDEX(종합!C$3:C$501,MATCH(ROW()-2,종합!$AE$3:$AE$501,0))&amp;"","")</f>
        <v/>
      </c>
      <c r="D323" s="18" t="str">
        <f aca="false">IFERROR(INDEX(종합!D$3:D$501,MATCH(ROW()-2,종합!$AE$3:$AE$501,0))&amp;"","")</f>
        <v/>
      </c>
      <c r="E323" s="18" t="str">
        <f aca="false">IFERROR(INDEX(종합!E$3:E$501,MATCH(ROW()-2,종합!$AE$3:$AE$501,0))&amp;"","")</f>
        <v/>
      </c>
      <c r="F323" s="18" t="str">
        <f aca="false">IFERROR(INDEX(종합!F$3:F$501,MATCH(ROW()-2,종합!$AE$3:$AE$501,0))&amp;"","")</f>
        <v/>
      </c>
      <c r="G323" s="18" t="str">
        <f aca="false">IFERROR(INDEX(종합!G$3:G$501,MATCH(ROW()-2,종합!$AE$3:$AE$501,0))&amp;"","")</f>
        <v/>
      </c>
      <c r="H323" s="21" t="str">
        <f aca="false">IFERROR(INDEX(종합!H$3:H$501,MATCH(ROW()-2,종합!$AE$3:$AE$501,0))&amp;"","")</f>
        <v/>
      </c>
      <c r="I323" s="21" t="str">
        <f aca="false">IFERROR(INDEX(종합!I$3:I$501,MATCH(ROW()-2,종합!$AE$3:$AE$501,0))&amp;"","")</f>
        <v/>
      </c>
      <c r="J323" s="21" t="str">
        <f aca="false">IFERROR(INDEX(종합!J$3:J$501,MATCH(ROW()-2,종합!$AE$3:$AE$501,0))&amp;"","")</f>
        <v/>
      </c>
      <c r="K323" s="21" t="str">
        <f aca="false">IFERROR(INDEX(종합!K$3:K$501,MATCH(ROW()-2,종합!$AE$3:$AE$501,0))&amp;"","")</f>
        <v/>
      </c>
      <c r="L323" s="21" t="str">
        <f aca="false">IFERROR(INDEX(종합!L$3:L$501,MATCH(ROW()-2,종합!$AE$3:$AE$501,0))&amp;"","")</f>
        <v/>
      </c>
      <c r="M323" s="21" t="str">
        <f aca="false">IFERROR(INDEX(종합!M$3:M$501,MATCH(ROW()-2,종합!$AE$3:$AE$501,0))&amp;"","")</f>
        <v/>
      </c>
      <c r="N323" s="25" t="str">
        <f aca="false">IFERROR(INDEX(종합!N$3:N$501,MATCH(ROW()-2,종합!$AE$3:$AE$501,0))&amp;"","")</f>
        <v/>
      </c>
      <c r="O323" s="21" t="str">
        <f aca="false">IFERROR(INDEX(종합!O$3:O$501,MATCH(ROW()-2,종합!$AE$3:$AE$501,0))&amp;"","")</f>
        <v/>
      </c>
      <c r="P323" s="21" t="str">
        <f aca="false">IFERROR(INDEX(종합!P$3:P$501,MATCH(ROW()-2,종합!$AE$3:$AE$501,0))&amp;"","")</f>
        <v/>
      </c>
      <c r="Q323" s="21" t="str">
        <f aca="false">IFERROR(INDEX(종합!Q$3:Q$501,MATCH(ROW()-2,종합!$AE$3:$AE$501,0))&amp;"","")</f>
        <v/>
      </c>
      <c r="R323" s="21" t="str">
        <f aca="false">IFERROR(INDEX(종합!R$3:R$501,MATCH(ROW()-2,종합!$AE$3:$AE$501,0))&amp;"","")</f>
        <v/>
      </c>
      <c r="S323" s="21" t="str">
        <f aca="false">IFERROR(INDEX(종합!S$3:S$501,MATCH(ROW()-2,종합!$AE$3:$AE$501,0))&amp;"","")</f>
        <v/>
      </c>
      <c r="T323" s="21" t="str">
        <f aca="false">IFERROR(INDEX(종합!T$3:T$501,MATCH(ROW()-2,종합!$AE$3:$AE$501,0))&amp;"","")</f>
        <v/>
      </c>
      <c r="U323" s="21" t="str">
        <f aca="false">IFERROR(INDEX(종합!U$3:U$501,MATCH(ROW()-2,종합!$AE$3:$AE$501,0))&amp;"","")</f>
        <v/>
      </c>
      <c r="V323" s="21" t="str">
        <f aca="false">IFERROR(INDEX(종합!V$3:V$501,MATCH(ROW()-2,종합!$AE$3:$AE$501,0))&amp;"","")</f>
        <v/>
      </c>
      <c r="W323" s="21" t="str">
        <f aca="false">IFERROR(INDEX(종합!W$3:W$501,MATCH(ROW()-2,종합!$AE$3:$AE$501,0))&amp;"","")</f>
        <v/>
      </c>
      <c r="X323" s="21" t="str">
        <f aca="false">IFERROR(INDEX(종합!X$3:X$501,MATCH(ROW()-2,종합!$AE$3:$AE$501,0))&amp;"","")</f>
        <v/>
      </c>
      <c r="Y323" s="21" t="str">
        <f aca="false">IFERROR(INDEX(종합!Y$3:Y$501,MATCH(ROW()-2,종합!$AE$3:$AE$501,0))&amp;"","")</f>
        <v/>
      </c>
      <c r="Z323" s="21" t="str">
        <f aca="false">IFERROR(INDEX(종합!Z$3:Z$501,MATCH(ROW()-2,종합!$AE$3:$AE$501,0))&amp;"","")</f>
        <v/>
      </c>
    </row>
    <row r="324" customFormat="false" ht="16.5" hidden="false" customHeight="true" outlineLevel="0" collapsed="false">
      <c r="A324" s="18" t="str">
        <f aca="false">IF(B324="","",ROW()-2)</f>
        <v/>
      </c>
      <c r="B324" s="18" t="str">
        <f aca="false">IFERROR(INDEX(종합!B$3:B$501,MATCH(ROW()-2,종합!$AE$3:$AE$501,0))&amp;"","")</f>
        <v/>
      </c>
      <c r="C324" s="18" t="str">
        <f aca="false">IFERROR(INDEX(종합!C$3:C$501,MATCH(ROW()-2,종합!$AE$3:$AE$501,0))&amp;"","")</f>
        <v/>
      </c>
      <c r="D324" s="18" t="str">
        <f aca="false">IFERROR(INDEX(종합!D$3:D$501,MATCH(ROW()-2,종합!$AE$3:$AE$501,0))&amp;"","")</f>
        <v/>
      </c>
      <c r="E324" s="18" t="str">
        <f aca="false">IFERROR(INDEX(종합!E$3:E$501,MATCH(ROW()-2,종합!$AE$3:$AE$501,0))&amp;"","")</f>
        <v/>
      </c>
      <c r="F324" s="18" t="str">
        <f aca="false">IFERROR(INDEX(종합!F$3:F$501,MATCH(ROW()-2,종합!$AE$3:$AE$501,0))&amp;"","")</f>
        <v/>
      </c>
      <c r="G324" s="18" t="str">
        <f aca="false">IFERROR(INDEX(종합!G$3:G$501,MATCH(ROW()-2,종합!$AE$3:$AE$501,0))&amp;"","")</f>
        <v/>
      </c>
      <c r="H324" s="21" t="str">
        <f aca="false">IFERROR(INDEX(종합!H$3:H$501,MATCH(ROW()-2,종합!$AE$3:$AE$501,0))&amp;"","")</f>
        <v/>
      </c>
      <c r="I324" s="21" t="str">
        <f aca="false">IFERROR(INDEX(종합!I$3:I$501,MATCH(ROW()-2,종합!$AE$3:$AE$501,0))&amp;"","")</f>
        <v/>
      </c>
      <c r="J324" s="21" t="str">
        <f aca="false">IFERROR(INDEX(종합!J$3:J$501,MATCH(ROW()-2,종합!$AE$3:$AE$501,0))&amp;"","")</f>
        <v/>
      </c>
      <c r="K324" s="21" t="str">
        <f aca="false">IFERROR(INDEX(종합!K$3:K$501,MATCH(ROW()-2,종합!$AE$3:$AE$501,0))&amp;"","")</f>
        <v/>
      </c>
      <c r="L324" s="21" t="str">
        <f aca="false">IFERROR(INDEX(종합!L$3:L$501,MATCH(ROW()-2,종합!$AE$3:$AE$501,0))&amp;"","")</f>
        <v/>
      </c>
      <c r="M324" s="21" t="str">
        <f aca="false">IFERROR(INDEX(종합!M$3:M$501,MATCH(ROW()-2,종합!$AE$3:$AE$501,0))&amp;"","")</f>
        <v/>
      </c>
      <c r="N324" s="25" t="str">
        <f aca="false">IFERROR(INDEX(종합!N$3:N$501,MATCH(ROW()-2,종합!$AE$3:$AE$501,0))&amp;"","")</f>
        <v/>
      </c>
      <c r="O324" s="21" t="str">
        <f aca="false">IFERROR(INDEX(종합!O$3:O$501,MATCH(ROW()-2,종합!$AE$3:$AE$501,0))&amp;"","")</f>
        <v/>
      </c>
      <c r="P324" s="21" t="str">
        <f aca="false">IFERROR(INDEX(종합!P$3:P$501,MATCH(ROW()-2,종합!$AE$3:$AE$501,0))&amp;"","")</f>
        <v/>
      </c>
      <c r="Q324" s="21" t="str">
        <f aca="false">IFERROR(INDEX(종합!Q$3:Q$501,MATCH(ROW()-2,종합!$AE$3:$AE$501,0))&amp;"","")</f>
        <v/>
      </c>
      <c r="R324" s="21" t="str">
        <f aca="false">IFERROR(INDEX(종합!R$3:R$501,MATCH(ROW()-2,종합!$AE$3:$AE$501,0))&amp;"","")</f>
        <v/>
      </c>
      <c r="S324" s="21" t="str">
        <f aca="false">IFERROR(INDEX(종합!S$3:S$501,MATCH(ROW()-2,종합!$AE$3:$AE$501,0))&amp;"","")</f>
        <v/>
      </c>
      <c r="T324" s="21" t="str">
        <f aca="false">IFERROR(INDEX(종합!T$3:T$501,MATCH(ROW()-2,종합!$AE$3:$AE$501,0))&amp;"","")</f>
        <v/>
      </c>
      <c r="U324" s="21" t="str">
        <f aca="false">IFERROR(INDEX(종합!U$3:U$501,MATCH(ROW()-2,종합!$AE$3:$AE$501,0))&amp;"","")</f>
        <v/>
      </c>
      <c r="V324" s="21" t="str">
        <f aca="false">IFERROR(INDEX(종합!V$3:V$501,MATCH(ROW()-2,종합!$AE$3:$AE$501,0))&amp;"","")</f>
        <v/>
      </c>
      <c r="W324" s="21" t="str">
        <f aca="false">IFERROR(INDEX(종합!W$3:W$501,MATCH(ROW()-2,종합!$AE$3:$AE$501,0))&amp;"","")</f>
        <v/>
      </c>
      <c r="X324" s="21" t="str">
        <f aca="false">IFERROR(INDEX(종합!X$3:X$501,MATCH(ROW()-2,종합!$AE$3:$AE$501,0))&amp;"","")</f>
        <v/>
      </c>
      <c r="Y324" s="21" t="str">
        <f aca="false">IFERROR(INDEX(종합!Y$3:Y$501,MATCH(ROW()-2,종합!$AE$3:$AE$501,0))&amp;"","")</f>
        <v/>
      </c>
      <c r="Z324" s="21" t="str">
        <f aca="false">IFERROR(INDEX(종합!Z$3:Z$501,MATCH(ROW()-2,종합!$AE$3:$AE$501,0))&amp;"","")</f>
        <v/>
      </c>
    </row>
    <row r="325" customFormat="false" ht="16.5" hidden="false" customHeight="true" outlineLevel="0" collapsed="false">
      <c r="A325" s="18" t="str">
        <f aca="false">IF(B325="","",ROW()-2)</f>
        <v/>
      </c>
      <c r="B325" s="18" t="str">
        <f aca="false">IFERROR(INDEX(종합!B$3:B$501,MATCH(ROW()-2,종합!$AE$3:$AE$501,0))&amp;"","")</f>
        <v/>
      </c>
      <c r="C325" s="18" t="str">
        <f aca="false">IFERROR(INDEX(종합!C$3:C$501,MATCH(ROW()-2,종합!$AE$3:$AE$501,0))&amp;"","")</f>
        <v/>
      </c>
      <c r="D325" s="18" t="str">
        <f aca="false">IFERROR(INDEX(종합!D$3:D$501,MATCH(ROW()-2,종합!$AE$3:$AE$501,0))&amp;"","")</f>
        <v/>
      </c>
      <c r="E325" s="18" t="str">
        <f aca="false">IFERROR(INDEX(종합!E$3:E$501,MATCH(ROW()-2,종합!$AE$3:$AE$501,0))&amp;"","")</f>
        <v/>
      </c>
      <c r="F325" s="18" t="str">
        <f aca="false">IFERROR(INDEX(종합!F$3:F$501,MATCH(ROW()-2,종합!$AE$3:$AE$501,0))&amp;"","")</f>
        <v/>
      </c>
      <c r="G325" s="18" t="str">
        <f aca="false">IFERROR(INDEX(종합!G$3:G$501,MATCH(ROW()-2,종합!$AE$3:$AE$501,0))&amp;"","")</f>
        <v/>
      </c>
      <c r="H325" s="21" t="str">
        <f aca="false">IFERROR(INDEX(종합!H$3:H$501,MATCH(ROW()-2,종합!$AE$3:$AE$501,0))&amp;"","")</f>
        <v/>
      </c>
      <c r="I325" s="21" t="str">
        <f aca="false">IFERROR(INDEX(종합!I$3:I$501,MATCH(ROW()-2,종합!$AE$3:$AE$501,0))&amp;"","")</f>
        <v/>
      </c>
      <c r="J325" s="21" t="str">
        <f aca="false">IFERROR(INDEX(종합!J$3:J$501,MATCH(ROW()-2,종합!$AE$3:$AE$501,0))&amp;"","")</f>
        <v/>
      </c>
      <c r="K325" s="21" t="str">
        <f aca="false">IFERROR(INDEX(종합!K$3:K$501,MATCH(ROW()-2,종합!$AE$3:$AE$501,0))&amp;"","")</f>
        <v/>
      </c>
      <c r="L325" s="21" t="str">
        <f aca="false">IFERROR(INDEX(종합!L$3:L$501,MATCH(ROW()-2,종합!$AE$3:$AE$501,0))&amp;"","")</f>
        <v/>
      </c>
      <c r="M325" s="21" t="str">
        <f aca="false">IFERROR(INDEX(종합!M$3:M$501,MATCH(ROW()-2,종합!$AE$3:$AE$501,0))&amp;"","")</f>
        <v/>
      </c>
      <c r="N325" s="25" t="str">
        <f aca="false">IFERROR(INDEX(종합!N$3:N$501,MATCH(ROW()-2,종합!$AE$3:$AE$501,0))&amp;"","")</f>
        <v/>
      </c>
      <c r="O325" s="21" t="str">
        <f aca="false">IFERROR(INDEX(종합!O$3:O$501,MATCH(ROW()-2,종합!$AE$3:$AE$501,0))&amp;"","")</f>
        <v/>
      </c>
      <c r="P325" s="21" t="str">
        <f aca="false">IFERROR(INDEX(종합!P$3:P$501,MATCH(ROW()-2,종합!$AE$3:$AE$501,0))&amp;"","")</f>
        <v/>
      </c>
      <c r="Q325" s="21" t="str">
        <f aca="false">IFERROR(INDEX(종합!Q$3:Q$501,MATCH(ROW()-2,종합!$AE$3:$AE$501,0))&amp;"","")</f>
        <v/>
      </c>
      <c r="R325" s="21" t="str">
        <f aca="false">IFERROR(INDEX(종합!R$3:R$501,MATCH(ROW()-2,종합!$AE$3:$AE$501,0))&amp;"","")</f>
        <v/>
      </c>
      <c r="S325" s="21" t="str">
        <f aca="false">IFERROR(INDEX(종합!S$3:S$501,MATCH(ROW()-2,종합!$AE$3:$AE$501,0))&amp;"","")</f>
        <v/>
      </c>
      <c r="T325" s="21" t="str">
        <f aca="false">IFERROR(INDEX(종합!T$3:T$501,MATCH(ROW()-2,종합!$AE$3:$AE$501,0))&amp;"","")</f>
        <v/>
      </c>
      <c r="U325" s="21" t="str">
        <f aca="false">IFERROR(INDEX(종합!U$3:U$501,MATCH(ROW()-2,종합!$AE$3:$AE$501,0))&amp;"","")</f>
        <v/>
      </c>
      <c r="V325" s="21" t="str">
        <f aca="false">IFERROR(INDEX(종합!V$3:V$501,MATCH(ROW()-2,종합!$AE$3:$AE$501,0))&amp;"","")</f>
        <v/>
      </c>
      <c r="W325" s="21" t="str">
        <f aca="false">IFERROR(INDEX(종합!W$3:W$501,MATCH(ROW()-2,종합!$AE$3:$AE$501,0))&amp;"","")</f>
        <v/>
      </c>
      <c r="X325" s="21" t="str">
        <f aca="false">IFERROR(INDEX(종합!X$3:X$501,MATCH(ROW()-2,종합!$AE$3:$AE$501,0))&amp;"","")</f>
        <v/>
      </c>
      <c r="Y325" s="21" t="str">
        <f aca="false">IFERROR(INDEX(종합!Y$3:Y$501,MATCH(ROW()-2,종합!$AE$3:$AE$501,0))&amp;"","")</f>
        <v/>
      </c>
      <c r="Z325" s="21" t="str">
        <f aca="false">IFERROR(INDEX(종합!Z$3:Z$501,MATCH(ROW()-2,종합!$AE$3:$AE$501,0))&amp;"","")</f>
        <v/>
      </c>
    </row>
    <row r="326" customFormat="false" ht="16.5" hidden="false" customHeight="true" outlineLevel="0" collapsed="false">
      <c r="A326" s="18" t="str">
        <f aca="false">IF(B326="","",ROW()-2)</f>
        <v/>
      </c>
      <c r="B326" s="18" t="str">
        <f aca="false">IFERROR(INDEX(종합!B$3:B$501,MATCH(ROW()-2,종합!$AE$3:$AE$501,0))&amp;"","")</f>
        <v/>
      </c>
      <c r="C326" s="18" t="str">
        <f aca="false">IFERROR(INDEX(종합!C$3:C$501,MATCH(ROW()-2,종합!$AE$3:$AE$501,0))&amp;"","")</f>
        <v/>
      </c>
      <c r="D326" s="18" t="str">
        <f aca="false">IFERROR(INDEX(종합!D$3:D$501,MATCH(ROW()-2,종합!$AE$3:$AE$501,0))&amp;"","")</f>
        <v/>
      </c>
      <c r="E326" s="18" t="str">
        <f aca="false">IFERROR(INDEX(종합!E$3:E$501,MATCH(ROW()-2,종합!$AE$3:$AE$501,0))&amp;"","")</f>
        <v/>
      </c>
      <c r="F326" s="18" t="str">
        <f aca="false">IFERROR(INDEX(종합!F$3:F$501,MATCH(ROW()-2,종합!$AE$3:$AE$501,0))&amp;"","")</f>
        <v/>
      </c>
      <c r="G326" s="18" t="str">
        <f aca="false">IFERROR(INDEX(종합!G$3:G$501,MATCH(ROW()-2,종합!$AE$3:$AE$501,0))&amp;"","")</f>
        <v/>
      </c>
      <c r="H326" s="21" t="str">
        <f aca="false">IFERROR(INDEX(종합!H$3:H$501,MATCH(ROW()-2,종합!$AE$3:$AE$501,0))&amp;"","")</f>
        <v/>
      </c>
      <c r="I326" s="21" t="str">
        <f aca="false">IFERROR(INDEX(종합!I$3:I$501,MATCH(ROW()-2,종합!$AE$3:$AE$501,0))&amp;"","")</f>
        <v/>
      </c>
      <c r="J326" s="21" t="str">
        <f aca="false">IFERROR(INDEX(종합!J$3:J$501,MATCH(ROW()-2,종합!$AE$3:$AE$501,0))&amp;"","")</f>
        <v/>
      </c>
      <c r="K326" s="21" t="str">
        <f aca="false">IFERROR(INDEX(종합!K$3:K$501,MATCH(ROW()-2,종합!$AE$3:$AE$501,0))&amp;"","")</f>
        <v/>
      </c>
      <c r="L326" s="21" t="str">
        <f aca="false">IFERROR(INDEX(종합!L$3:L$501,MATCH(ROW()-2,종합!$AE$3:$AE$501,0))&amp;"","")</f>
        <v/>
      </c>
      <c r="M326" s="21" t="str">
        <f aca="false">IFERROR(INDEX(종합!M$3:M$501,MATCH(ROW()-2,종합!$AE$3:$AE$501,0))&amp;"","")</f>
        <v/>
      </c>
      <c r="N326" s="25" t="str">
        <f aca="false">IFERROR(INDEX(종합!N$3:N$501,MATCH(ROW()-2,종합!$AE$3:$AE$501,0))&amp;"","")</f>
        <v/>
      </c>
      <c r="O326" s="21" t="str">
        <f aca="false">IFERROR(INDEX(종합!O$3:O$501,MATCH(ROW()-2,종합!$AE$3:$AE$501,0))&amp;"","")</f>
        <v/>
      </c>
      <c r="P326" s="21" t="str">
        <f aca="false">IFERROR(INDEX(종합!P$3:P$501,MATCH(ROW()-2,종합!$AE$3:$AE$501,0))&amp;"","")</f>
        <v/>
      </c>
      <c r="Q326" s="21" t="str">
        <f aca="false">IFERROR(INDEX(종합!Q$3:Q$501,MATCH(ROW()-2,종합!$AE$3:$AE$501,0))&amp;"","")</f>
        <v/>
      </c>
      <c r="R326" s="21" t="str">
        <f aca="false">IFERROR(INDEX(종합!R$3:R$501,MATCH(ROW()-2,종합!$AE$3:$AE$501,0))&amp;"","")</f>
        <v/>
      </c>
      <c r="S326" s="21" t="str">
        <f aca="false">IFERROR(INDEX(종합!S$3:S$501,MATCH(ROW()-2,종합!$AE$3:$AE$501,0))&amp;"","")</f>
        <v/>
      </c>
      <c r="T326" s="21" t="str">
        <f aca="false">IFERROR(INDEX(종합!T$3:T$501,MATCH(ROW()-2,종합!$AE$3:$AE$501,0))&amp;"","")</f>
        <v/>
      </c>
      <c r="U326" s="21" t="str">
        <f aca="false">IFERROR(INDEX(종합!U$3:U$501,MATCH(ROW()-2,종합!$AE$3:$AE$501,0))&amp;"","")</f>
        <v/>
      </c>
      <c r="V326" s="21" t="str">
        <f aca="false">IFERROR(INDEX(종합!V$3:V$501,MATCH(ROW()-2,종합!$AE$3:$AE$501,0))&amp;"","")</f>
        <v/>
      </c>
      <c r="W326" s="21" t="str">
        <f aca="false">IFERROR(INDEX(종합!W$3:W$501,MATCH(ROW()-2,종합!$AE$3:$AE$501,0))&amp;"","")</f>
        <v/>
      </c>
      <c r="X326" s="21" t="str">
        <f aca="false">IFERROR(INDEX(종합!X$3:X$501,MATCH(ROW()-2,종합!$AE$3:$AE$501,0))&amp;"","")</f>
        <v/>
      </c>
      <c r="Y326" s="21" t="str">
        <f aca="false">IFERROR(INDEX(종합!Y$3:Y$501,MATCH(ROW()-2,종합!$AE$3:$AE$501,0))&amp;"","")</f>
        <v/>
      </c>
      <c r="Z326" s="21" t="str">
        <f aca="false">IFERROR(INDEX(종합!Z$3:Z$501,MATCH(ROW()-2,종합!$AE$3:$AE$501,0))&amp;"","")</f>
        <v/>
      </c>
    </row>
    <row r="327" customFormat="false" ht="16.5" hidden="false" customHeight="true" outlineLevel="0" collapsed="false">
      <c r="A327" s="18" t="str">
        <f aca="false">IF(B327="","",ROW()-2)</f>
        <v/>
      </c>
      <c r="B327" s="18" t="str">
        <f aca="false">IFERROR(INDEX(종합!B$3:B$501,MATCH(ROW()-2,종합!$AE$3:$AE$501,0))&amp;"","")</f>
        <v/>
      </c>
      <c r="C327" s="18" t="str">
        <f aca="false">IFERROR(INDEX(종합!C$3:C$501,MATCH(ROW()-2,종합!$AE$3:$AE$501,0))&amp;"","")</f>
        <v/>
      </c>
      <c r="D327" s="18" t="str">
        <f aca="false">IFERROR(INDEX(종합!D$3:D$501,MATCH(ROW()-2,종합!$AE$3:$AE$501,0))&amp;"","")</f>
        <v/>
      </c>
      <c r="E327" s="18" t="str">
        <f aca="false">IFERROR(INDEX(종합!E$3:E$501,MATCH(ROW()-2,종합!$AE$3:$AE$501,0))&amp;"","")</f>
        <v/>
      </c>
      <c r="F327" s="18" t="str">
        <f aca="false">IFERROR(INDEX(종합!F$3:F$501,MATCH(ROW()-2,종합!$AE$3:$AE$501,0))&amp;"","")</f>
        <v/>
      </c>
      <c r="G327" s="18" t="str">
        <f aca="false">IFERROR(INDEX(종합!G$3:G$501,MATCH(ROW()-2,종합!$AE$3:$AE$501,0))&amp;"","")</f>
        <v/>
      </c>
      <c r="H327" s="21" t="str">
        <f aca="false">IFERROR(INDEX(종합!H$3:H$501,MATCH(ROW()-2,종합!$AE$3:$AE$501,0))&amp;"","")</f>
        <v/>
      </c>
      <c r="I327" s="21" t="str">
        <f aca="false">IFERROR(INDEX(종합!I$3:I$501,MATCH(ROW()-2,종합!$AE$3:$AE$501,0))&amp;"","")</f>
        <v/>
      </c>
      <c r="J327" s="21" t="str">
        <f aca="false">IFERROR(INDEX(종합!J$3:J$501,MATCH(ROW()-2,종합!$AE$3:$AE$501,0))&amp;"","")</f>
        <v/>
      </c>
      <c r="K327" s="21" t="str">
        <f aca="false">IFERROR(INDEX(종합!K$3:K$501,MATCH(ROW()-2,종합!$AE$3:$AE$501,0))&amp;"","")</f>
        <v/>
      </c>
      <c r="L327" s="21" t="str">
        <f aca="false">IFERROR(INDEX(종합!L$3:L$501,MATCH(ROW()-2,종합!$AE$3:$AE$501,0))&amp;"","")</f>
        <v/>
      </c>
      <c r="M327" s="21" t="str">
        <f aca="false">IFERROR(INDEX(종합!M$3:M$501,MATCH(ROW()-2,종합!$AE$3:$AE$501,0))&amp;"","")</f>
        <v/>
      </c>
      <c r="N327" s="25" t="str">
        <f aca="false">IFERROR(INDEX(종합!N$3:N$501,MATCH(ROW()-2,종합!$AE$3:$AE$501,0))&amp;"","")</f>
        <v/>
      </c>
      <c r="O327" s="21" t="str">
        <f aca="false">IFERROR(INDEX(종합!O$3:O$501,MATCH(ROW()-2,종합!$AE$3:$AE$501,0))&amp;"","")</f>
        <v/>
      </c>
      <c r="P327" s="21" t="str">
        <f aca="false">IFERROR(INDEX(종합!P$3:P$501,MATCH(ROW()-2,종합!$AE$3:$AE$501,0))&amp;"","")</f>
        <v/>
      </c>
      <c r="Q327" s="21" t="str">
        <f aca="false">IFERROR(INDEX(종합!Q$3:Q$501,MATCH(ROW()-2,종합!$AE$3:$AE$501,0))&amp;"","")</f>
        <v/>
      </c>
      <c r="R327" s="21" t="str">
        <f aca="false">IFERROR(INDEX(종합!R$3:R$501,MATCH(ROW()-2,종합!$AE$3:$AE$501,0))&amp;"","")</f>
        <v/>
      </c>
      <c r="S327" s="21" t="str">
        <f aca="false">IFERROR(INDEX(종합!S$3:S$501,MATCH(ROW()-2,종합!$AE$3:$AE$501,0))&amp;"","")</f>
        <v/>
      </c>
      <c r="T327" s="21" t="str">
        <f aca="false">IFERROR(INDEX(종합!T$3:T$501,MATCH(ROW()-2,종합!$AE$3:$AE$501,0))&amp;"","")</f>
        <v/>
      </c>
      <c r="U327" s="21" t="str">
        <f aca="false">IFERROR(INDEX(종합!U$3:U$501,MATCH(ROW()-2,종합!$AE$3:$AE$501,0))&amp;"","")</f>
        <v/>
      </c>
      <c r="V327" s="21" t="str">
        <f aca="false">IFERROR(INDEX(종합!V$3:V$501,MATCH(ROW()-2,종합!$AE$3:$AE$501,0))&amp;"","")</f>
        <v/>
      </c>
      <c r="W327" s="21" t="str">
        <f aca="false">IFERROR(INDEX(종합!W$3:W$501,MATCH(ROW()-2,종합!$AE$3:$AE$501,0))&amp;"","")</f>
        <v/>
      </c>
      <c r="X327" s="21" t="str">
        <f aca="false">IFERROR(INDEX(종합!X$3:X$501,MATCH(ROW()-2,종합!$AE$3:$AE$501,0))&amp;"","")</f>
        <v/>
      </c>
      <c r="Y327" s="21" t="str">
        <f aca="false">IFERROR(INDEX(종합!Y$3:Y$501,MATCH(ROW()-2,종합!$AE$3:$AE$501,0))&amp;"","")</f>
        <v/>
      </c>
      <c r="Z327" s="21" t="str">
        <f aca="false">IFERROR(INDEX(종합!Z$3:Z$501,MATCH(ROW()-2,종합!$AE$3:$AE$501,0))&amp;"","")</f>
        <v/>
      </c>
    </row>
    <row r="328" customFormat="false" ht="16.5" hidden="false" customHeight="true" outlineLevel="0" collapsed="false">
      <c r="A328" s="18" t="str">
        <f aca="false">IF(B328="","",ROW()-2)</f>
        <v/>
      </c>
      <c r="B328" s="18" t="str">
        <f aca="false">IFERROR(INDEX(종합!B$3:B$501,MATCH(ROW()-2,종합!$AE$3:$AE$501,0))&amp;"","")</f>
        <v/>
      </c>
      <c r="C328" s="18" t="str">
        <f aca="false">IFERROR(INDEX(종합!C$3:C$501,MATCH(ROW()-2,종합!$AE$3:$AE$501,0))&amp;"","")</f>
        <v/>
      </c>
      <c r="D328" s="18" t="str">
        <f aca="false">IFERROR(INDEX(종합!D$3:D$501,MATCH(ROW()-2,종합!$AE$3:$AE$501,0))&amp;"","")</f>
        <v/>
      </c>
      <c r="E328" s="18" t="str">
        <f aca="false">IFERROR(INDEX(종합!E$3:E$501,MATCH(ROW()-2,종합!$AE$3:$AE$501,0))&amp;"","")</f>
        <v/>
      </c>
      <c r="F328" s="18" t="str">
        <f aca="false">IFERROR(INDEX(종합!F$3:F$501,MATCH(ROW()-2,종합!$AE$3:$AE$501,0))&amp;"","")</f>
        <v/>
      </c>
      <c r="G328" s="18" t="str">
        <f aca="false">IFERROR(INDEX(종합!G$3:G$501,MATCH(ROW()-2,종합!$AE$3:$AE$501,0))&amp;"","")</f>
        <v/>
      </c>
      <c r="H328" s="21" t="str">
        <f aca="false">IFERROR(INDEX(종합!H$3:H$501,MATCH(ROW()-2,종합!$AE$3:$AE$501,0))&amp;"","")</f>
        <v/>
      </c>
      <c r="I328" s="21" t="str">
        <f aca="false">IFERROR(INDEX(종합!I$3:I$501,MATCH(ROW()-2,종합!$AE$3:$AE$501,0))&amp;"","")</f>
        <v/>
      </c>
      <c r="J328" s="21" t="str">
        <f aca="false">IFERROR(INDEX(종합!J$3:J$501,MATCH(ROW()-2,종합!$AE$3:$AE$501,0))&amp;"","")</f>
        <v/>
      </c>
      <c r="K328" s="21" t="str">
        <f aca="false">IFERROR(INDEX(종합!K$3:K$501,MATCH(ROW()-2,종합!$AE$3:$AE$501,0))&amp;"","")</f>
        <v/>
      </c>
      <c r="L328" s="21" t="str">
        <f aca="false">IFERROR(INDEX(종합!L$3:L$501,MATCH(ROW()-2,종합!$AE$3:$AE$501,0))&amp;"","")</f>
        <v/>
      </c>
      <c r="M328" s="21" t="str">
        <f aca="false">IFERROR(INDEX(종합!M$3:M$501,MATCH(ROW()-2,종합!$AE$3:$AE$501,0))&amp;"","")</f>
        <v/>
      </c>
      <c r="N328" s="25" t="str">
        <f aca="false">IFERROR(INDEX(종합!N$3:N$501,MATCH(ROW()-2,종합!$AE$3:$AE$501,0))&amp;"","")</f>
        <v/>
      </c>
      <c r="O328" s="21" t="str">
        <f aca="false">IFERROR(INDEX(종합!O$3:O$501,MATCH(ROW()-2,종합!$AE$3:$AE$501,0))&amp;"","")</f>
        <v/>
      </c>
      <c r="P328" s="21" t="str">
        <f aca="false">IFERROR(INDEX(종합!P$3:P$501,MATCH(ROW()-2,종합!$AE$3:$AE$501,0))&amp;"","")</f>
        <v/>
      </c>
      <c r="Q328" s="21" t="str">
        <f aca="false">IFERROR(INDEX(종합!Q$3:Q$501,MATCH(ROW()-2,종합!$AE$3:$AE$501,0))&amp;"","")</f>
        <v/>
      </c>
      <c r="R328" s="21" t="str">
        <f aca="false">IFERROR(INDEX(종합!R$3:R$501,MATCH(ROW()-2,종합!$AE$3:$AE$501,0))&amp;"","")</f>
        <v/>
      </c>
      <c r="S328" s="21" t="str">
        <f aca="false">IFERROR(INDEX(종합!S$3:S$501,MATCH(ROW()-2,종합!$AE$3:$AE$501,0))&amp;"","")</f>
        <v/>
      </c>
      <c r="T328" s="21" t="str">
        <f aca="false">IFERROR(INDEX(종합!T$3:T$501,MATCH(ROW()-2,종합!$AE$3:$AE$501,0))&amp;"","")</f>
        <v/>
      </c>
      <c r="U328" s="21" t="str">
        <f aca="false">IFERROR(INDEX(종합!U$3:U$501,MATCH(ROW()-2,종합!$AE$3:$AE$501,0))&amp;"","")</f>
        <v/>
      </c>
      <c r="V328" s="21" t="str">
        <f aca="false">IFERROR(INDEX(종합!V$3:V$501,MATCH(ROW()-2,종합!$AE$3:$AE$501,0))&amp;"","")</f>
        <v/>
      </c>
      <c r="W328" s="21" t="str">
        <f aca="false">IFERROR(INDEX(종합!W$3:W$501,MATCH(ROW()-2,종합!$AE$3:$AE$501,0))&amp;"","")</f>
        <v/>
      </c>
      <c r="X328" s="21" t="str">
        <f aca="false">IFERROR(INDEX(종합!X$3:X$501,MATCH(ROW()-2,종합!$AE$3:$AE$501,0))&amp;"","")</f>
        <v/>
      </c>
      <c r="Y328" s="21" t="str">
        <f aca="false">IFERROR(INDEX(종합!Y$3:Y$501,MATCH(ROW()-2,종합!$AE$3:$AE$501,0))&amp;"","")</f>
        <v/>
      </c>
      <c r="Z328" s="21" t="str">
        <f aca="false">IFERROR(INDEX(종합!Z$3:Z$501,MATCH(ROW()-2,종합!$AE$3:$AE$501,0))&amp;"","")</f>
        <v/>
      </c>
    </row>
    <row r="329" customFormat="false" ht="16.5" hidden="false" customHeight="true" outlineLevel="0" collapsed="false">
      <c r="A329" s="18" t="str">
        <f aca="false">IF(B329="","",ROW()-2)</f>
        <v/>
      </c>
      <c r="B329" s="18" t="str">
        <f aca="false">IFERROR(INDEX(종합!B$3:B$501,MATCH(ROW()-2,종합!$AE$3:$AE$501,0))&amp;"","")</f>
        <v/>
      </c>
      <c r="C329" s="18" t="str">
        <f aca="false">IFERROR(INDEX(종합!C$3:C$501,MATCH(ROW()-2,종합!$AE$3:$AE$501,0))&amp;"","")</f>
        <v/>
      </c>
      <c r="D329" s="18" t="str">
        <f aca="false">IFERROR(INDEX(종합!D$3:D$501,MATCH(ROW()-2,종합!$AE$3:$AE$501,0))&amp;"","")</f>
        <v/>
      </c>
      <c r="E329" s="18" t="str">
        <f aca="false">IFERROR(INDEX(종합!E$3:E$501,MATCH(ROW()-2,종합!$AE$3:$AE$501,0))&amp;"","")</f>
        <v/>
      </c>
      <c r="F329" s="18" t="str">
        <f aca="false">IFERROR(INDEX(종합!F$3:F$501,MATCH(ROW()-2,종합!$AE$3:$AE$501,0))&amp;"","")</f>
        <v/>
      </c>
      <c r="G329" s="18" t="str">
        <f aca="false">IFERROR(INDEX(종합!G$3:G$501,MATCH(ROW()-2,종합!$AE$3:$AE$501,0))&amp;"","")</f>
        <v/>
      </c>
      <c r="H329" s="21" t="str">
        <f aca="false">IFERROR(INDEX(종합!H$3:H$501,MATCH(ROW()-2,종합!$AE$3:$AE$501,0))&amp;"","")</f>
        <v/>
      </c>
      <c r="I329" s="21" t="str">
        <f aca="false">IFERROR(INDEX(종합!I$3:I$501,MATCH(ROW()-2,종합!$AE$3:$AE$501,0))&amp;"","")</f>
        <v/>
      </c>
      <c r="J329" s="21" t="str">
        <f aca="false">IFERROR(INDEX(종합!J$3:J$501,MATCH(ROW()-2,종합!$AE$3:$AE$501,0))&amp;"","")</f>
        <v/>
      </c>
      <c r="K329" s="21" t="str">
        <f aca="false">IFERROR(INDEX(종합!K$3:K$501,MATCH(ROW()-2,종합!$AE$3:$AE$501,0))&amp;"","")</f>
        <v/>
      </c>
      <c r="L329" s="21" t="str">
        <f aca="false">IFERROR(INDEX(종합!L$3:L$501,MATCH(ROW()-2,종합!$AE$3:$AE$501,0))&amp;"","")</f>
        <v/>
      </c>
      <c r="M329" s="21" t="str">
        <f aca="false">IFERROR(INDEX(종합!M$3:M$501,MATCH(ROW()-2,종합!$AE$3:$AE$501,0))&amp;"","")</f>
        <v/>
      </c>
      <c r="N329" s="25" t="str">
        <f aca="false">IFERROR(INDEX(종합!N$3:N$501,MATCH(ROW()-2,종합!$AE$3:$AE$501,0))&amp;"","")</f>
        <v/>
      </c>
      <c r="O329" s="21" t="str">
        <f aca="false">IFERROR(INDEX(종합!O$3:O$501,MATCH(ROW()-2,종합!$AE$3:$AE$501,0))&amp;"","")</f>
        <v/>
      </c>
      <c r="P329" s="21" t="str">
        <f aca="false">IFERROR(INDEX(종합!P$3:P$501,MATCH(ROW()-2,종합!$AE$3:$AE$501,0))&amp;"","")</f>
        <v/>
      </c>
      <c r="Q329" s="21" t="str">
        <f aca="false">IFERROR(INDEX(종합!Q$3:Q$501,MATCH(ROW()-2,종합!$AE$3:$AE$501,0))&amp;"","")</f>
        <v/>
      </c>
      <c r="R329" s="21" t="str">
        <f aca="false">IFERROR(INDEX(종합!R$3:R$501,MATCH(ROW()-2,종합!$AE$3:$AE$501,0))&amp;"","")</f>
        <v/>
      </c>
      <c r="S329" s="21" t="str">
        <f aca="false">IFERROR(INDEX(종합!S$3:S$501,MATCH(ROW()-2,종합!$AE$3:$AE$501,0))&amp;"","")</f>
        <v/>
      </c>
      <c r="T329" s="21" t="str">
        <f aca="false">IFERROR(INDEX(종합!T$3:T$501,MATCH(ROW()-2,종합!$AE$3:$AE$501,0))&amp;"","")</f>
        <v/>
      </c>
      <c r="U329" s="21" t="str">
        <f aca="false">IFERROR(INDEX(종합!U$3:U$501,MATCH(ROW()-2,종합!$AE$3:$AE$501,0))&amp;"","")</f>
        <v/>
      </c>
      <c r="V329" s="21" t="str">
        <f aca="false">IFERROR(INDEX(종합!V$3:V$501,MATCH(ROW()-2,종합!$AE$3:$AE$501,0))&amp;"","")</f>
        <v/>
      </c>
      <c r="W329" s="21" t="str">
        <f aca="false">IFERROR(INDEX(종합!W$3:W$501,MATCH(ROW()-2,종합!$AE$3:$AE$501,0))&amp;"","")</f>
        <v/>
      </c>
      <c r="X329" s="21" t="str">
        <f aca="false">IFERROR(INDEX(종합!X$3:X$501,MATCH(ROW()-2,종합!$AE$3:$AE$501,0))&amp;"","")</f>
        <v/>
      </c>
      <c r="Y329" s="21" t="str">
        <f aca="false">IFERROR(INDEX(종합!Y$3:Y$501,MATCH(ROW()-2,종합!$AE$3:$AE$501,0))&amp;"","")</f>
        <v/>
      </c>
      <c r="Z329" s="21" t="str">
        <f aca="false">IFERROR(INDEX(종합!Z$3:Z$501,MATCH(ROW()-2,종합!$AE$3:$AE$501,0))&amp;"","")</f>
        <v/>
      </c>
    </row>
    <row r="330" customFormat="false" ht="16.5" hidden="false" customHeight="true" outlineLevel="0" collapsed="false">
      <c r="A330" s="18" t="str">
        <f aca="false">IF(B330="","",ROW()-2)</f>
        <v/>
      </c>
      <c r="B330" s="18" t="str">
        <f aca="false">IFERROR(INDEX(종합!B$3:B$501,MATCH(ROW()-2,종합!$AE$3:$AE$501,0))&amp;"","")</f>
        <v/>
      </c>
      <c r="C330" s="18" t="str">
        <f aca="false">IFERROR(INDEX(종합!C$3:C$501,MATCH(ROW()-2,종합!$AE$3:$AE$501,0))&amp;"","")</f>
        <v/>
      </c>
      <c r="D330" s="18" t="str">
        <f aca="false">IFERROR(INDEX(종합!D$3:D$501,MATCH(ROW()-2,종합!$AE$3:$AE$501,0))&amp;"","")</f>
        <v/>
      </c>
      <c r="E330" s="18" t="str">
        <f aca="false">IFERROR(INDEX(종합!E$3:E$501,MATCH(ROW()-2,종합!$AE$3:$AE$501,0))&amp;"","")</f>
        <v/>
      </c>
      <c r="F330" s="18" t="str">
        <f aca="false">IFERROR(INDEX(종합!F$3:F$501,MATCH(ROW()-2,종합!$AE$3:$AE$501,0))&amp;"","")</f>
        <v/>
      </c>
      <c r="G330" s="18" t="str">
        <f aca="false">IFERROR(INDEX(종합!G$3:G$501,MATCH(ROW()-2,종합!$AE$3:$AE$501,0))&amp;"","")</f>
        <v/>
      </c>
      <c r="H330" s="21" t="str">
        <f aca="false">IFERROR(INDEX(종합!H$3:H$501,MATCH(ROW()-2,종합!$AE$3:$AE$501,0))&amp;"","")</f>
        <v/>
      </c>
      <c r="I330" s="21" t="str">
        <f aca="false">IFERROR(INDEX(종합!I$3:I$501,MATCH(ROW()-2,종합!$AE$3:$AE$501,0))&amp;"","")</f>
        <v/>
      </c>
      <c r="J330" s="21" t="str">
        <f aca="false">IFERROR(INDEX(종합!J$3:J$501,MATCH(ROW()-2,종합!$AE$3:$AE$501,0))&amp;"","")</f>
        <v/>
      </c>
      <c r="K330" s="21" t="str">
        <f aca="false">IFERROR(INDEX(종합!K$3:K$501,MATCH(ROW()-2,종합!$AE$3:$AE$501,0))&amp;"","")</f>
        <v/>
      </c>
      <c r="L330" s="21" t="str">
        <f aca="false">IFERROR(INDEX(종합!L$3:L$501,MATCH(ROW()-2,종합!$AE$3:$AE$501,0))&amp;"","")</f>
        <v/>
      </c>
      <c r="M330" s="21" t="str">
        <f aca="false">IFERROR(INDEX(종합!M$3:M$501,MATCH(ROW()-2,종합!$AE$3:$AE$501,0))&amp;"","")</f>
        <v/>
      </c>
      <c r="N330" s="25" t="str">
        <f aca="false">IFERROR(INDEX(종합!N$3:N$501,MATCH(ROW()-2,종합!$AE$3:$AE$501,0))&amp;"","")</f>
        <v/>
      </c>
      <c r="O330" s="21" t="str">
        <f aca="false">IFERROR(INDEX(종합!O$3:O$501,MATCH(ROW()-2,종합!$AE$3:$AE$501,0))&amp;"","")</f>
        <v/>
      </c>
      <c r="P330" s="21" t="str">
        <f aca="false">IFERROR(INDEX(종합!P$3:P$501,MATCH(ROW()-2,종합!$AE$3:$AE$501,0))&amp;"","")</f>
        <v/>
      </c>
      <c r="Q330" s="21" t="str">
        <f aca="false">IFERROR(INDEX(종합!Q$3:Q$501,MATCH(ROW()-2,종합!$AE$3:$AE$501,0))&amp;"","")</f>
        <v/>
      </c>
      <c r="R330" s="21" t="str">
        <f aca="false">IFERROR(INDEX(종합!R$3:R$501,MATCH(ROW()-2,종합!$AE$3:$AE$501,0))&amp;"","")</f>
        <v/>
      </c>
      <c r="S330" s="21" t="str">
        <f aca="false">IFERROR(INDEX(종합!S$3:S$501,MATCH(ROW()-2,종합!$AE$3:$AE$501,0))&amp;"","")</f>
        <v/>
      </c>
      <c r="T330" s="21" t="str">
        <f aca="false">IFERROR(INDEX(종합!T$3:T$501,MATCH(ROW()-2,종합!$AE$3:$AE$501,0))&amp;"","")</f>
        <v/>
      </c>
      <c r="U330" s="21" t="str">
        <f aca="false">IFERROR(INDEX(종합!U$3:U$501,MATCH(ROW()-2,종합!$AE$3:$AE$501,0))&amp;"","")</f>
        <v/>
      </c>
      <c r="V330" s="21" t="str">
        <f aca="false">IFERROR(INDEX(종합!V$3:V$501,MATCH(ROW()-2,종합!$AE$3:$AE$501,0))&amp;"","")</f>
        <v/>
      </c>
      <c r="W330" s="21" t="str">
        <f aca="false">IFERROR(INDEX(종합!W$3:W$501,MATCH(ROW()-2,종합!$AE$3:$AE$501,0))&amp;"","")</f>
        <v/>
      </c>
      <c r="X330" s="21" t="str">
        <f aca="false">IFERROR(INDEX(종합!X$3:X$501,MATCH(ROW()-2,종합!$AE$3:$AE$501,0))&amp;"","")</f>
        <v/>
      </c>
      <c r="Y330" s="21" t="str">
        <f aca="false">IFERROR(INDEX(종합!Y$3:Y$501,MATCH(ROW()-2,종합!$AE$3:$AE$501,0))&amp;"","")</f>
        <v/>
      </c>
      <c r="Z330" s="21" t="str">
        <f aca="false">IFERROR(INDEX(종합!Z$3:Z$501,MATCH(ROW()-2,종합!$AE$3:$AE$501,0))&amp;"","")</f>
        <v/>
      </c>
    </row>
    <row r="331" customFormat="false" ht="16.5" hidden="false" customHeight="true" outlineLevel="0" collapsed="false">
      <c r="A331" s="18" t="str">
        <f aca="false">IF(B331="","",ROW()-2)</f>
        <v/>
      </c>
      <c r="B331" s="18" t="str">
        <f aca="false">IFERROR(INDEX(종합!B$3:B$501,MATCH(ROW()-2,종합!$AE$3:$AE$501,0))&amp;"","")</f>
        <v/>
      </c>
      <c r="C331" s="18" t="str">
        <f aca="false">IFERROR(INDEX(종합!C$3:C$501,MATCH(ROW()-2,종합!$AE$3:$AE$501,0))&amp;"","")</f>
        <v/>
      </c>
      <c r="D331" s="18" t="str">
        <f aca="false">IFERROR(INDEX(종합!D$3:D$501,MATCH(ROW()-2,종합!$AE$3:$AE$501,0))&amp;"","")</f>
        <v/>
      </c>
      <c r="E331" s="18" t="str">
        <f aca="false">IFERROR(INDEX(종합!E$3:E$501,MATCH(ROW()-2,종합!$AE$3:$AE$501,0))&amp;"","")</f>
        <v/>
      </c>
      <c r="F331" s="18" t="str">
        <f aca="false">IFERROR(INDEX(종합!F$3:F$501,MATCH(ROW()-2,종합!$AE$3:$AE$501,0))&amp;"","")</f>
        <v/>
      </c>
      <c r="G331" s="18" t="str">
        <f aca="false">IFERROR(INDEX(종합!G$3:G$501,MATCH(ROW()-2,종합!$AE$3:$AE$501,0))&amp;"","")</f>
        <v/>
      </c>
      <c r="H331" s="21" t="str">
        <f aca="false">IFERROR(INDEX(종합!H$3:H$501,MATCH(ROW()-2,종합!$AE$3:$AE$501,0))&amp;"","")</f>
        <v/>
      </c>
      <c r="I331" s="21" t="str">
        <f aca="false">IFERROR(INDEX(종합!I$3:I$501,MATCH(ROW()-2,종합!$AE$3:$AE$501,0))&amp;"","")</f>
        <v/>
      </c>
      <c r="J331" s="21" t="str">
        <f aca="false">IFERROR(INDEX(종합!J$3:J$501,MATCH(ROW()-2,종합!$AE$3:$AE$501,0))&amp;"","")</f>
        <v/>
      </c>
      <c r="K331" s="21" t="str">
        <f aca="false">IFERROR(INDEX(종합!K$3:K$501,MATCH(ROW()-2,종합!$AE$3:$AE$501,0))&amp;"","")</f>
        <v/>
      </c>
      <c r="L331" s="21" t="str">
        <f aca="false">IFERROR(INDEX(종합!L$3:L$501,MATCH(ROW()-2,종합!$AE$3:$AE$501,0))&amp;"","")</f>
        <v/>
      </c>
      <c r="M331" s="21" t="str">
        <f aca="false">IFERROR(INDEX(종합!M$3:M$501,MATCH(ROW()-2,종합!$AE$3:$AE$501,0))&amp;"","")</f>
        <v/>
      </c>
      <c r="N331" s="25" t="str">
        <f aca="false">IFERROR(INDEX(종합!N$3:N$501,MATCH(ROW()-2,종합!$AE$3:$AE$501,0))&amp;"","")</f>
        <v/>
      </c>
      <c r="O331" s="21" t="str">
        <f aca="false">IFERROR(INDEX(종합!O$3:O$501,MATCH(ROW()-2,종합!$AE$3:$AE$501,0))&amp;"","")</f>
        <v/>
      </c>
      <c r="P331" s="21" t="str">
        <f aca="false">IFERROR(INDEX(종합!P$3:P$501,MATCH(ROW()-2,종합!$AE$3:$AE$501,0))&amp;"","")</f>
        <v/>
      </c>
      <c r="Q331" s="21" t="str">
        <f aca="false">IFERROR(INDEX(종합!Q$3:Q$501,MATCH(ROW()-2,종합!$AE$3:$AE$501,0))&amp;"","")</f>
        <v/>
      </c>
      <c r="R331" s="21" t="str">
        <f aca="false">IFERROR(INDEX(종합!R$3:R$501,MATCH(ROW()-2,종합!$AE$3:$AE$501,0))&amp;"","")</f>
        <v/>
      </c>
      <c r="S331" s="21" t="str">
        <f aca="false">IFERROR(INDEX(종합!S$3:S$501,MATCH(ROW()-2,종합!$AE$3:$AE$501,0))&amp;"","")</f>
        <v/>
      </c>
      <c r="T331" s="21" t="str">
        <f aca="false">IFERROR(INDEX(종합!T$3:T$501,MATCH(ROW()-2,종합!$AE$3:$AE$501,0))&amp;"","")</f>
        <v/>
      </c>
      <c r="U331" s="21" t="str">
        <f aca="false">IFERROR(INDEX(종합!U$3:U$501,MATCH(ROW()-2,종합!$AE$3:$AE$501,0))&amp;"","")</f>
        <v/>
      </c>
      <c r="V331" s="21" t="str">
        <f aca="false">IFERROR(INDEX(종합!V$3:V$501,MATCH(ROW()-2,종합!$AE$3:$AE$501,0))&amp;"","")</f>
        <v/>
      </c>
      <c r="W331" s="21" t="str">
        <f aca="false">IFERROR(INDEX(종합!W$3:W$501,MATCH(ROW()-2,종합!$AE$3:$AE$501,0))&amp;"","")</f>
        <v/>
      </c>
      <c r="X331" s="21" t="str">
        <f aca="false">IFERROR(INDEX(종합!X$3:X$501,MATCH(ROW()-2,종합!$AE$3:$AE$501,0))&amp;"","")</f>
        <v/>
      </c>
      <c r="Y331" s="21" t="str">
        <f aca="false">IFERROR(INDEX(종합!Y$3:Y$501,MATCH(ROW()-2,종합!$AE$3:$AE$501,0))&amp;"","")</f>
        <v/>
      </c>
      <c r="Z331" s="21" t="str">
        <f aca="false">IFERROR(INDEX(종합!Z$3:Z$501,MATCH(ROW()-2,종합!$AE$3:$AE$501,0))&amp;"","")</f>
        <v/>
      </c>
    </row>
    <row r="332" customFormat="false" ht="16.5" hidden="false" customHeight="true" outlineLevel="0" collapsed="false">
      <c r="A332" s="18" t="str">
        <f aca="false">IF(B332="","",ROW()-2)</f>
        <v/>
      </c>
      <c r="B332" s="18" t="str">
        <f aca="false">IFERROR(INDEX(종합!B$3:B$501,MATCH(ROW()-2,종합!$AE$3:$AE$501,0))&amp;"","")</f>
        <v/>
      </c>
      <c r="C332" s="18" t="str">
        <f aca="false">IFERROR(INDEX(종합!C$3:C$501,MATCH(ROW()-2,종합!$AE$3:$AE$501,0))&amp;"","")</f>
        <v/>
      </c>
      <c r="D332" s="18" t="str">
        <f aca="false">IFERROR(INDEX(종합!D$3:D$501,MATCH(ROW()-2,종합!$AE$3:$AE$501,0))&amp;"","")</f>
        <v/>
      </c>
      <c r="E332" s="18" t="str">
        <f aca="false">IFERROR(INDEX(종합!E$3:E$501,MATCH(ROW()-2,종합!$AE$3:$AE$501,0))&amp;"","")</f>
        <v/>
      </c>
      <c r="F332" s="18" t="str">
        <f aca="false">IFERROR(INDEX(종합!F$3:F$501,MATCH(ROW()-2,종합!$AE$3:$AE$501,0))&amp;"","")</f>
        <v/>
      </c>
      <c r="G332" s="18" t="str">
        <f aca="false">IFERROR(INDEX(종합!G$3:G$501,MATCH(ROW()-2,종합!$AE$3:$AE$501,0))&amp;"","")</f>
        <v/>
      </c>
      <c r="H332" s="21" t="str">
        <f aca="false">IFERROR(INDEX(종합!H$3:H$501,MATCH(ROW()-2,종합!$AE$3:$AE$501,0))&amp;"","")</f>
        <v/>
      </c>
      <c r="I332" s="21" t="str">
        <f aca="false">IFERROR(INDEX(종합!I$3:I$501,MATCH(ROW()-2,종합!$AE$3:$AE$501,0))&amp;"","")</f>
        <v/>
      </c>
      <c r="J332" s="21" t="str">
        <f aca="false">IFERROR(INDEX(종합!J$3:J$501,MATCH(ROW()-2,종합!$AE$3:$AE$501,0))&amp;"","")</f>
        <v/>
      </c>
      <c r="K332" s="21" t="str">
        <f aca="false">IFERROR(INDEX(종합!K$3:K$501,MATCH(ROW()-2,종합!$AE$3:$AE$501,0))&amp;"","")</f>
        <v/>
      </c>
      <c r="L332" s="21" t="str">
        <f aca="false">IFERROR(INDEX(종합!L$3:L$501,MATCH(ROW()-2,종합!$AE$3:$AE$501,0))&amp;"","")</f>
        <v/>
      </c>
      <c r="M332" s="21" t="str">
        <f aca="false">IFERROR(INDEX(종합!M$3:M$501,MATCH(ROW()-2,종합!$AE$3:$AE$501,0))&amp;"","")</f>
        <v/>
      </c>
      <c r="N332" s="25" t="str">
        <f aca="false">IFERROR(INDEX(종합!N$3:N$501,MATCH(ROW()-2,종합!$AE$3:$AE$501,0))&amp;"","")</f>
        <v/>
      </c>
      <c r="O332" s="21" t="str">
        <f aca="false">IFERROR(INDEX(종합!O$3:O$501,MATCH(ROW()-2,종합!$AE$3:$AE$501,0))&amp;"","")</f>
        <v/>
      </c>
      <c r="P332" s="21" t="str">
        <f aca="false">IFERROR(INDEX(종합!P$3:P$501,MATCH(ROW()-2,종합!$AE$3:$AE$501,0))&amp;"","")</f>
        <v/>
      </c>
      <c r="Q332" s="21" t="str">
        <f aca="false">IFERROR(INDEX(종합!Q$3:Q$501,MATCH(ROW()-2,종합!$AE$3:$AE$501,0))&amp;"","")</f>
        <v/>
      </c>
      <c r="R332" s="21" t="str">
        <f aca="false">IFERROR(INDEX(종합!R$3:R$501,MATCH(ROW()-2,종합!$AE$3:$AE$501,0))&amp;"","")</f>
        <v/>
      </c>
      <c r="S332" s="21" t="str">
        <f aca="false">IFERROR(INDEX(종합!S$3:S$501,MATCH(ROW()-2,종합!$AE$3:$AE$501,0))&amp;"","")</f>
        <v/>
      </c>
      <c r="T332" s="21" t="str">
        <f aca="false">IFERROR(INDEX(종합!T$3:T$501,MATCH(ROW()-2,종합!$AE$3:$AE$501,0))&amp;"","")</f>
        <v/>
      </c>
      <c r="U332" s="21" t="str">
        <f aca="false">IFERROR(INDEX(종합!U$3:U$501,MATCH(ROW()-2,종합!$AE$3:$AE$501,0))&amp;"","")</f>
        <v/>
      </c>
      <c r="V332" s="21" t="str">
        <f aca="false">IFERROR(INDEX(종합!V$3:V$501,MATCH(ROW()-2,종합!$AE$3:$AE$501,0))&amp;"","")</f>
        <v/>
      </c>
      <c r="W332" s="21" t="str">
        <f aca="false">IFERROR(INDEX(종합!W$3:W$501,MATCH(ROW()-2,종합!$AE$3:$AE$501,0))&amp;"","")</f>
        <v/>
      </c>
      <c r="X332" s="21" t="str">
        <f aca="false">IFERROR(INDEX(종합!X$3:X$501,MATCH(ROW()-2,종합!$AE$3:$AE$501,0))&amp;"","")</f>
        <v/>
      </c>
      <c r="Y332" s="21" t="str">
        <f aca="false">IFERROR(INDEX(종합!Y$3:Y$501,MATCH(ROW()-2,종합!$AE$3:$AE$501,0))&amp;"","")</f>
        <v/>
      </c>
      <c r="Z332" s="21" t="str">
        <f aca="false">IFERROR(INDEX(종합!Z$3:Z$501,MATCH(ROW()-2,종합!$AE$3:$AE$501,0))&amp;"","")</f>
        <v/>
      </c>
    </row>
    <row r="333" customFormat="false" ht="16.5" hidden="false" customHeight="true" outlineLevel="0" collapsed="false">
      <c r="A333" s="18" t="str">
        <f aca="false">IF(B333="","",ROW()-2)</f>
        <v/>
      </c>
      <c r="B333" s="18" t="str">
        <f aca="false">IFERROR(INDEX(종합!B$3:B$501,MATCH(ROW()-2,종합!$AE$3:$AE$501,0))&amp;"","")</f>
        <v/>
      </c>
      <c r="C333" s="18" t="str">
        <f aca="false">IFERROR(INDEX(종합!C$3:C$501,MATCH(ROW()-2,종합!$AE$3:$AE$501,0))&amp;"","")</f>
        <v/>
      </c>
      <c r="D333" s="18" t="str">
        <f aca="false">IFERROR(INDEX(종합!D$3:D$501,MATCH(ROW()-2,종합!$AE$3:$AE$501,0))&amp;"","")</f>
        <v/>
      </c>
      <c r="E333" s="18" t="str">
        <f aca="false">IFERROR(INDEX(종합!E$3:E$501,MATCH(ROW()-2,종합!$AE$3:$AE$501,0))&amp;"","")</f>
        <v/>
      </c>
      <c r="F333" s="18" t="str">
        <f aca="false">IFERROR(INDEX(종합!F$3:F$501,MATCH(ROW()-2,종합!$AE$3:$AE$501,0))&amp;"","")</f>
        <v/>
      </c>
      <c r="G333" s="18" t="str">
        <f aca="false">IFERROR(INDEX(종합!G$3:G$501,MATCH(ROW()-2,종합!$AE$3:$AE$501,0))&amp;"","")</f>
        <v/>
      </c>
      <c r="H333" s="21" t="str">
        <f aca="false">IFERROR(INDEX(종합!H$3:H$501,MATCH(ROW()-2,종합!$AE$3:$AE$501,0))&amp;"","")</f>
        <v/>
      </c>
      <c r="I333" s="21" t="str">
        <f aca="false">IFERROR(INDEX(종합!I$3:I$501,MATCH(ROW()-2,종합!$AE$3:$AE$501,0))&amp;"","")</f>
        <v/>
      </c>
      <c r="J333" s="21" t="str">
        <f aca="false">IFERROR(INDEX(종합!J$3:J$501,MATCH(ROW()-2,종합!$AE$3:$AE$501,0))&amp;"","")</f>
        <v/>
      </c>
      <c r="K333" s="21" t="str">
        <f aca="false">IFERROR(INDEX(종합!K$3:K$501,MATCH(ROW()-2,종합!$AE$3:$AE$501,0))&amp;"","")</f>
        <v/>
      </c>
      <c r="L333" s="21" t="str">
        <f aca="false">IFERROR(INDEX(종합!L$3:L$501,MATCH(ROW()-2,종합!$AE$3:$AE$501,0))&amp;"","")</f>
        <v/>
      </c>
      <c r="M333" s="21" t="str">
        <f aca="false">IFERROR(INDEX(종합!M$3:M$501,MATCH(ROW()-2,종합!$AE$3:$AE$501,0))&amp;"","")</f>
        <v/>
      </c>
      <c r="N333" s="25" t="str">
        <f aca="false">IFERROR(INDEX(종합!N$3:N$501,MATCH(ROW()-2,종합!$AE$3:$AE$501,0))&amp;"","")</f>
        <v/>
      </c>
      <c r="O333" s="21" t="str">
        <f aca="false">IFERROR(INDEX(종합!O$3:O$501,MATCH(ROW()-2,종합!$AE$3:$AE$501,0))&amp;"","")</f>
        <v/>
      </c>
      <c r="P333" s="21" t="str">
        <f aca="false">IFERROR(INDEX(종합!P$3:P$501,MATCH(ROW()-2,종합!$AE$3:$AE$501,0))&amp;"","")</f>
        <v/>
      </c>
      <c r="Q333" s="21" t="str">
        <f aca="false">IFERROR(INDEX(종합!Q$3:Q$501,MATCH(ROW()-2,종합!$AE$3:$AE$501,0))&amp;"","")</f>
        <v/>
      </c>
      <c r="R333" s="21" t="str">
        <f aca="false">IFERROR(INDEX(종합!R$3:R$501,MATCH(ROW()-2,종합!$AE$3:$AE$501,0))&amp;"","")</f>
        <v/>
      </c>
      <c r="S333" s="21" t="str">
        <f aca="false">IFERROR(INDEX(종합!S$3:S$501,MATCH(ROW()-2,종합!$AE$3:$AE$501,0))&amp;"","")</f>
        <v/>
      </c>
      <c r="T333" s="21" t="str">
        <f aca="false">IFERROR(INDEX(종합!T$3:T$501,MATCH(ROW()-2,종합!$AE$3:$AE$501,0))&amp;"","")</f>
        <v/>
      </c>
      <c r="U333" s="21" t="str">
        <f aca="false">IFERROR(INDEX(종합!U$3:U$501,MATCH(ROW()-2,종합!$AE$3:$AE$501,0))&amp;"","")</f>
        <v/>
      </c>
      <c r="V333" s="21" t="str">
        <f aca="false">IFERROR(INDEX(종합!V$3:V$501,MATCH(ROW()-2,종합!$AE$3:$AE$501,0))&amp;"","")</f>
        <v/>
      </c>
      <c r="W333" s="21" t="str">
        <f aca="false">IFERROR(INDEX(종합!W$3:W$501,MATCH(ROW()-2,종합!$AE$3:$AE$501,0))&amp;"","")</f>
        <v/>
      </c>
      <c r="X333" s="21" t="str">
        <f aca="false">IFERROR(INDEX(종합!X$3:X$501,MATCH(ROW()-2,종합!$AE$3:$AE$501,0))&amp;"","")</f>
        <v/>
      </c>
      <c r="Y333" s="21" t="str">
        <f aca="false">IFERROR(INDEX(종합!Y$3:Y$501,MATCH(ROW()-2,종합!$AE$3:$AE$501,0))&amp;"","")</f>
        <v/>
      </c>
      <c r="Z333" s="21" t="str">
        <f aca="false">IFERROR(INDEX(종합!Z$3:Z$501,MATCH(ROW()-2,종합!$AE$3:$AE$501,0))&amp;"","")</f>
        <v/>
      </c>
    </row>
    <row r="334" customFormat="false" ht="16.5" hidden="false" customHeight="true" outlineLevel="0" collapsed="false">
      <c r="A334" s="18" t="str">
        <f aca="false">IF(B334="","",ROW()-2)</f>
        <v/>
      </c>
      <c r="B334" s="18" t="str">
        <f aca="false">IFERROR(INDEX(종합!B$3:B$501,MATCH(ROW()-2,종합!$AE$3:$AE$501,0))&amp;"","")</f>
        <v/>
      </c>
      <c r="C334" s="18" t="str">
        <f aca="false">IFERROR(INDEX(종합!C$3:C$501,MATCH(ROW()-2,종합!$AE$3:$AE$501,0))&amp;"","")</f>
        <v/>
      </c>
      <c r="D334" s="18" t="str">
        <f aca="false">IFERROR(INDEX(종합!D$3:D$501,MATCH(ROW()-2,종합!$AE$3:$AE$501,0))&amp;"","")</f>
        <v/>
      </c>
      <c r="E334" s="18" t="str">
        <f aca="false">IFERROR(INDEX(종합!E$3:E$501,MATCH(ROW()-2,종합!$AE$3:$AE$501,0))&amp;"","")</f>
        <v/>
      </c>
      <c r="F334" s="18" t="str">
        <f aca="false">IFERROR(INDEX(종합!F$3:F$501,MATCH(ROW()-2,종합!$AE$3:$AE$501,0))&amp;"","")</f>
        <v/>
      </c>
      <c r="G334" s="18" t="str">
        <f aca="false">IFERROR(INDEX(종합!G$3:G$501,MATCH(ROW()-2,종합!$AE$3:$AE$501,0))&amp;"","")</f>
        <v/>
      </c>
      <c r="H334" s="21" t="str">
        <f aca="false">IFERROR(INDEX(종합!H$3:H$501,MATCH(ROW()-2,종합!$AE$3:$AE$501,0))&amp;"","")</f>
        <v/>
      </c>
      <c r="I334" s="21" t="str">
        <f aca="false">IFERROR(INDEX(종합!I$3:I$501,MATCH(ROW()-2,종합!$AE$3:$AE$501,0))&amp;"","")</f>
        <v/>
      </c>
      <c r="J334" s="21" t="str">
        <f aca="false">IFERROR(INDEX(종합!J$3:J$501,MATCH(ROW()-2,종합!$AE$3:$AE$501,0))&amp;"","")</f>
        <v/>
      </c>
      <c r="K334" s="21" t="str">
        <f aca="false">IFERROR(INDEX(종합!K$3:K$501,MATCH(ROW()-2,종합!$AE$3:$AE$501,0))&amp;"","")</f>
        <v/>
      </c>
      <c r="L334" s="21" t="str">
        <f aca="false">IFERROR(INDEX(종합!L$3:L$501,MATCH(ROW()-2,종합!$AE$3:$AE$501,0))&amp;"","")</f>
        <v/>
      </c>
      <c r="M334" s="21" t="str">
        <f aca="false">IFERROR(INDEX(종합!M$3:M$501,MATCH(ROW()-2,종합!$AE$3:$AE$501,0))&amp;"","")</f>
        <v/>
      </c>
      <c r="N334" s="25" t="str">
        <f aca="false">IFERROR(INDEX(종합!N$3:N$501,MATCH(ROW()-2,종합!$AE$3:$AE$501,0))&amp;"","")</f>
        <v/>
      </c>
      <c r="O334" s="21" t="str">
        <f aca="false">IFERROR(INDEX(종합!O$3:O$501,MATCH(ROW()-2,종합!$AE$3:$AE$501,0))&amp;"","")</f>
        <v/>
      </c>
      <c r="P334" s="21" t="str">
        <f aca="false">IFERROR(INDEX(종합!P$3:P$501,MATCH(ROW()-2,종합!$AE$3:$AE$501,0))&amp;"","")</f>
        <v/>
      </c>
      <c r="Q334" s="21" t="str">
        <f aca="false">IFERROR(INDEX(종합!Q$3:Q$501,MATCH(ROW()-2,종합!$AE$3:$AE$501,0))&amp;"","")</f>
        <v/>
      </c>
      <c r="R334" s="21" t="str">
        <f aca="false">IFERROR(INDEX(종합!R$3:R$501,MATCH(ROW()-2,종합!$AE$3:$AE$501,0))&amp;"","")</f>
        <v/>
      </c>
      <c r="S334" s="21" t="str">
        <f aca="false">IFERROR(INDEX(종합!S$3:S$501,MATCH(ROW()-2,종합!$AE$3:$AE$501,0))&amp;"","")</f>
        <v/>
      </c>
      <c r="T334" s="21" t="str">
        <f aca="false">IFERROR(INDEX(종합!T$3:T$501,MATCH(ROW()-2,종합!$AE$3:$AE$501,0))&amp;"","")</f>
        <v/>
      </c>
      <c r="U334" s="21" t="str">
        <f aca="false">IFERROR(INDEX(종합!U$3:U$501,MATCH(ROW()-2,종합!$AE$3:$AE$501,0))&amp;"","")</f>
        <v/>
      </c>
      <c r="V334" s="21" t="str">
        <f aca="false">IFERROR(INDEX(종합!V$3:V$501,MATCH(ROW()-2,종합!$AE$3:$AE$501,0))&amp;"","")</f>
        <v/>
      </c>
      <c r="W334" s="21" t="str">
        <f aca="false">IFERROR(INDEX(종합!W$3:W$501,MATCH(ROW()-2,종합!$AE$3:$AE$501,0))&amp;"","")</f>
        <v/>
      </c>
      <c r="X334" s="21" t="str">
        <f aca="false">IFERROR(INDEX(종합!X$3:X$501,MATCH(ROW()-2,종합!$AE$3:$AE$501,0))&amp;"","")</f>
        <v/>
      </c>
      <c r="Y334" s="21" t="str">
        <f aca="false">IFERROR(INDEX(종합!Y$3:Y$501,MATCH(ROW()-2,종합!$AE$3:$AE$501,0))&amp;"","")</f>
        <v/>
      </c>
      <c r="Z334" s="21" t="str">
        <f aca="false">IFERROR(INDEX(종합!Z$3:Z$501,MATCH(ROW()-2,종합!$AE$3:$AE$501,0))&amp;"","")</f>
        <v/>
      </c>
    </row>
    <row r="335" customFormat="false" ht="16.5" hidden="false" customHeight="true" outlineLevel="0" collapsed="false">
      <c r="A335" s="18" t="str">
        <f aca="false">IF(B335="","",ROW()-2)</f>
        <v/>
      </c>
      <c r="B335" s="18" t="str">
        <f aca="false">IFERROR(INDEX(종합!B$3:B$501,MATCH(ROW()-2,종합!$AE$3:$AE$501,0))&amp;"","")</f>
        <v/>
      </c>
      <c r="C335" s="18" t="str">
        <f aca="false">IFERROR(INDEX(종합!C$3:C$501,MATCH(ROW()-2,종합!$AE$3:$AE$501,0))&amp;"","")</f>
        <v/>
      </c>
      <c r="D335" s="18" t="str">
        <f aca="false">IFERROR(INDEX(종합!D$3:D$501,MATCH(ROW()-2,종합!$AE$3:$AE$501,0))&amp;"","")</f>
        <v/>
      </c>
      <c r="E335" s="18" t="str">
        <f aca="false">IFERROR(INDEX(종합!E$3:E$501,MATCH(ROW()-2,종합!$AE$3:$AE$501,0))&amp;"","")</f>
        <v/>
      </c>
      <c r="F335" s="18" t="str">
        <f aca="false">IFERROR(INDEX(종합!F$3:F$501,MATCH(ROW()-2,종합!$AE$3:$AE$501,0))&amp;"","")</f>
        <v/>
      </c>
      <c r="G335" s="18" t="str">
        <f aca="false">IFERROR(INDEX(종합!G$3:G$501,MATCH(ROW()-2,종합!$AE$3:$AE$501,0))&amp;"","")</f>
        <v/>
      </c>
      <c r="H335" s="21" t="str">
        <f aca="false">IFERROR(INDEX(종합!H$3:H$501,MATCH(ROW()-2,종합!$AE$3:$AE$501,0))&amp;"","")</f>
        <v/>
      </c>
      <c r="I335" s="21" t="str">
        <f aca="false">IFERROR(INDEX(종합!I$3:I$501,MATCH(ROW()-2,종합!$AE$3:$AE$501,0))&amp;"","")</f>
        <v/>
      </c>
      <c r="J335" s="21" t="str">
        <f aca="false">IFERROR(INDEX(종합!J$3:J$501,MATCH(ROW()-2,종합!$AE$3:$AE$501,0))&amp;"","")</f>
        <v/>
      </c>
      <c r="K335" s="21" t="str">
        <f aca="false">IFERROR(INDEX(종합!K$3:K$501,MATCH(ROW()-2,종합!$AE$3:$AE$501,0))&amp;"","")</f>
        <v/>
      </c>
      <c r="L335" s="21" t="str">
        <f aca="false">IFERROR(INDEX(종합!L$3:L$501,MATCH(ROW()-2,종합!$AE$3:$AE$501,0))&amp;"","")</f>
        <v/>
      </c>
      <c r="M335" s="21" t="str">
        <f aca="false">IFERROR(INDEX(종합!M$3:M$501,MATCH(ROW()-2,종합!$AE$3:$AE$501,0))&amp;"","")</f>
        <v/>
      </c>
      <c r="N335" s="25" t="str">
        <f aca="false">IFERROR(INDEX(종합!N$3:N$501,MATCH(ROW()-2,종합!$AE$3:$AE$501,0))&amp;"","")</f>
        <v/>
      </c>
      <c r="O335" s="21" t="str">
        <f aca="false">IFERROR(INDEX(종합!O$3:O$501,MATCH(ROW()-2,종합!$AE$3:$AE$501,0))&amp;"","")</f>
        <v/>
      </c>
      <c r="P335" s="21" t="str">
        <f aca="false">IFERROR(INDEX(종합!P$3:P$501,MATCH(ROW()-2,종합!$AE$3:$AE$501,0))&amp;"","")</f>
        <v/>
      </c>
      <c r="Q335" s="21" t="str">
        <f aca="false">IFERROR(INDEX(종합!Q$3:Q$501,MATCH(ROW()-2,종합!$AE$3:$AE$501,0))&amp;"","")</f>
        <v/>
      </c>
      <c r="R335" s="21" t="str">
        <f aca="false">IFERROR(INDEX(종합!R$3:R$501,MATCH(ROW()-2,종합!$AE$3:$AE$501,0))&amp;"","")</f>
        <v/>
      </c>
      <c r="S335" s="21" t="str">
        <f aca="false">IFERROR(INDEX(종합!S$3:S$501,MATCH(ROW()-2,종합!$AE$3:$AE$501,0))&amp;"","")</f>
        <v/>
      </c>
      <c r="T335" s="21" t="str">
        <f aca="false">IFERROR(INDEX(종합!T$3:T$501,MATCH(ROW()-2,종합!$AE$3:$AE$501,0))&amp;"","")</f>
        <v/>
      </c>
      <c r="U335" s="21" t="str">
        <f aca="false">IFERROR(INDEX(종합!U$3:U$501,MATCH(ROW()-2,종합!$AE$3:$AE$501,0))&amp;"","")</f>
        <v/>
      </c>
      <c r="V335" s="21" t="str">
        <f aca="false">IFERROR(INDEX(종합!V$3:V$501,MATCH(ROW()-2,종합!$AE$3:$AE$501,0))&amp;"","")</f>
        <v/>
      </c>
      <c r="W335" s="21" t="str">
        <f aca="false">IFERROR(INDEX(종합!W$3:W$501,MATCH(ROW()-2,종합!$AE$3:$AE$501,0))&amp;"","")</f>
        <v/>
      </c>
      <c r="X335" s="21" t="str">
        <f aca="false">IFERROR(INDEX(종합!X$3:X$501,MATCH(ROW()-2,종합!$AE$3:$AE$501,0))&amp;"","")</f>
        <v/>
      </c>
      <c r="Y335" s="21" t="str">
        <f aca="false">IFERROR(INDEX(종합!Y$3:Y$501,MATCH(ROW()-2,종합!$AE$3:$AE$501,0))&amp;"","")</f>
        <v/>
      </c>
      <c r="Z335" s="21" t="str">
        <f aca="false">IFERROR(INDEX(종합!Z$3:Z$501,MATCH(ROW()-2,종합!$AE$3:$AE$501,0))&amp;"","")</f>
        <v/>
      </c>
    </row>
    <row r="336" customFormat="false" ht="16.5" hidden="false" customHeight="true" outlineLevel="0" collapsed="false">
      <c r="A336" s="18" t="str">
        <f aca="false">IF(B336="","",ROW()-2)</f>
        <v/>
      </c>
      <c r="B336" s="18" t="str">
        <f aca="false">IFERROR(INDEX(종합!B$3:B$501,MATCH(ROW()-2,종합!$AE$3:$AE$501,0))&amp;"","")</f>
        <v/>
      </c>
      <c r="C336" s="18" t="str">
        <f aca="false">IFERROR(INDEX(종합!C$3:C$501,MATCH(ROW()-2,종합!$AE$3:$AE$501,0))&amp;"","")</f>
        <v/>
      </c>
      <c r="D336" s="18" t="str">
        <f aca="false">IFERROR(INDEX(종합!D$3:D$501,MATCH(ROW()-2,종합!$AE$3:$AE$501,0))&amp;"","")</f>
        <v/>
      </c>
      <c r="E336" s="18" t="str">
        <f aca="false">IFERROR(INDEX(종합!E$3:E$501,MATCH(ROW()-2,종합!$AE$3:$AE$501,0))&amp;"","")</f>
        <v/>
      </c>
      <c r="F336" s="18" t="str">
        <f aca="false">IFERROR(INDEX(종합!F$3:F$501,MATCH(ROW()-2,종합!$AE$3:$AE$501,0))&amp;"","")</f>
        <v/>
      </c>
      <c r="G336" s="18" t="str">
        <f aca="false">IFERROR(INDEX(종합!G$3:G$501,MATCH(ROW()-2,종합!$AE$3:$AE$501,0))&amp;"","")</f>
        <v/>
      </c>
      <c r="H336" s="21" t="str">
        <f aca="false">IFERROR(INDEX(종합!H$3:H$501,MATCH(ROW()-2,종합!$AE$3:$AE$501,0))&amp;"","")</f>
        <v/>
      </c>
      <c r="I336" s="21" t="str">
        <f aca="false">IFERROR(INDEX(종합!I$3:I$501,MATCH(ROW()-2,종합!$AE$3:$AE$501,0))&amp;"","")</f>
        <v/>
      </c>
      <c r="J336" s="21" t="str">
        <f aca="false">IFERROR(INDEX(종합!J$3:J$501,MATCH(ROW()-2,종합!$AE$3:$AE$501,0))&amp;"","")</f>
        <v/>
      </c>
      <c r="K336" s="21" t="str">
        <f aca="false">IFERROR(INDEX(종합!K$3:K$501,MATCH(ROW()-2,종합!$AE$3:$AE$501,0))&amp;"","")</f>
        <v/>
      </c>
      <c r="L336" s="21" t="str">
        <f aca="false">IFERROR(INDEX(종합!L$3:L$501,MATCH(ROW()-2,종합!$AE$3:$AE$501,0))&amp;"","")</f>
        <v/>
      </c>
      <c r="M336" s="21" t="str">
        <f aca="false">IFERROR(INDEX(종합!M$3:M$501,MATCH(ROW()-2,종합!$AE$3:$AE$501,0))&amp;"","")</f>
        <v/>
      </c>
      <c r="N336" s="25" t="str">
        <f aca="false">IFERROR(INDEX(종합!N$3:N$501,MATCH(ROW()-2,종합!$AE$3:$AE$501,0))&amp;"","")</f>
        <v/>
      </c>
      <c r="O336" s="21" t="str">
        <f aca="false">IFERROR(INDEX(종합!O$3:O$501,MATCH(ROW()-2,종합!$AE$3:$AE$501,0))&amp;"","")</f>
        <v/>
      </c>
      <c r="P336" s="21" t="str">
        <f aca="false">IFERROR(INDEX(종합!P$3:P$501,MATCH(ROW()-2,종합!$AE$3:$AE$501,0))&amp;"","")</f>
        <v/>
      </c>
      <c r="Q336" s="21" t="str">
        <f aca="false">IFERROR(INDEX(종합!Q$3:Q$501,MATCH(ROW()-2,종합!$AE$3:$AE$501,0))&amp;"","")</f>
        <v/>
      </c>
      <c r="R336" s="21" t="str">
        <f aca="false">IFERROR(INDEX(종합!R$3:R$501,MATCH(ROW()-2,종합!$AE$3:$AE$501,0))&amp;"","")</f>
        <v/>
      </c>
      <c r="S336" s="21" t="str">
        <f aca="false">IFERROR(INDEX(종합!S$3:S$501,MATCH(ROW()-2,종합!$AE$3:$AE$501,0))&amp;"","")</f>
        <v/>
      </c>
      <c r="T336" s="21" t="str">
        <f aca="false">IFERROR(INDEX(종합!T$3:T$501,MATCH(ROW()-2,종합!$AE$3:$AE$501,0))&amp;"","")</f>
        <v/>
      </c>
      <c r="U336" s="21" t="str">
        <f aca="false">IFERROR(INDEX(종합!U$3:U$501,MATCH(ROW()-2,종합!$AE$3:$AE$501,0))&amp;"","")</f>
        <v/>
      </c>
      <c r="V336" s="21" t="str">
        <f aca="false">IFERROR(INDEX(종합!V$3:V$501,MATCH(ROW()-2,종합!$AE$3:$AE$501,0))&amp;"","")</f>
        <v/>
      </c>
      <c r="W336" s="21" t="str">
        <f aca="false">IFERROR(INDEX(종합!W$3:W$501,MATCH(ROW()-2,종합!$AE$3:$AE$501,0))&amp;"","")</f>
        <v/>
      </c>
      <c r="X336" s="21" t="str">
        <f aca="false">IFERROR(INDEX(종합!X$3:X$501,MATCH(ROW()-2,종합!$AE$3:$AE$501,0))&amp;"","")</f>
        <v/>
      </c>
      <c r="Y336" s="21" t="str">
        <f aca="false">IFERROR(INDEX(종합!Y$3:Y$501,MATCH(ROW()-2,종합!$AE$3:$AE$501,0))&amp;"","")</f>
        <v/>
      </c>
      <c r="Z336" s="21" t="str">
        <f aca="false">IFERROR(INDEX(종합!Z$3:Z$501,MATCH(ROW()-2,종합!$AE$3:$AE$501,0))&amp;"","")</f>
        <v/>
      </c>
    </row>
    <row r="337" customFormat="false" ht="16.5" hidden="false" customHeight="true" outlineLevel="0" collapsed="false">
      <c r="A337" s="18" t="str">
        <f aca="false">IF(B337="","",ROW()-2)</f>
        <v/>
      </c>
      <c r="B337" s="18" t="str">
        <f aca="false">IFERROR(INDEX(종합!B$3:B$501,MATCH(ROW()-2,종합!$AE$3:$AE$501,0))&amp;"","")</f>
        <v/>
      </c>
      <c r="C337" s="18" t="str">
        <f aca="false">IFERROR(INDEX(종합!C$3:C$501,MATCH(ROW()-2,종합!$AE$3:$AE$501,0))&amp;"","")</f>
        <v/>
      </c>
      <c r="D337" s="18" t="str">
        <f aca="false">IFERROR(INDEX(종합!D$3:D$501,MATCH(ROW()-2,종합!$AE$3:$AE$501,0))&amp;"","")</f>
        <v/>
      </c>
      <c r="E337" s="18" t="str">
        <f aca="false">IFERROR(INDEX(종합!E$3:E$501,MATCH(ROW()-2,종합!$AE$3:$AE$501,0))&amp;"","")</f>
        <v/>
      </c>
      <c r="F337" s="18" t="str">
        <f aca="false">IFERROR(INDEX(종합!F$3:F$501,MATCH(ROW()-2,종합!$AE$3:$AE$501,0))&amp;"","")</f>
        <v/>
      </c>
      <c r="G337" s="18" t="str">
        <f aca="false">IFERROR(INDEX(종합!G$3:G$501,MATCH(ROW()-2,종합!$AE$3:$AE$501,0))&amp;"","")</f>
        <v/>
      </c>
      <c r="H337" s="21" t="str">
        <f aca="false">IFERROR(INDEX(종합!H$3:H$501,MATCH(ROW()-2,종합!$AE$3:$AE$501,0))&amp;"","")</f>
        <v/>
      </c>
      <c r="I337" s="21" t="str">
        <f aca="false">IFERROR(INDEX(종합!I$3:I$501,MATCH(ROW()-2,종합!$AE$3:$AE$501,0))&amp;"","")</f>
        <v/>
      </c>
      <c r="J337" s="21" t="str">
        <f aca="false">IFERROR(INDEX(종합!J$3:J$501,MATCH(ROW()-2,종합!$AE$3:$AE$501,0))&amp;"","")</f>
        <v/>
      </c>
      <c r="K337" s="21" t="str">
        <f aca="false">IFERROR(INDEX(종합!K$3:K$501,MATCH(ROW()-2,종합!$AE$3:$AE$501,0))&amp;"","")</f>
        <v/>
      </c>
      <c r="L337" s="21" t="str">
        <f aca="false">IFERROR(INDEX(종합!L$3:L$501,MATCH(ROW()-2,종합!$AE$3:$AE$501,0))&amp;"","")</f>
        <v/>
      </c>
      <c r="M337" s="21" t="str">
        <f aca="false">IFERROR(INDEX(종합!M$3:M$501,MATCH(ROW()-2,종합!$AE$3:$AE$501,0))&amp;"","")</f>
        <v/>
      </c>
      <c r="N337" s="25" t="str">
        <f aca="false">IFERROR(INDEX(종합!N$3:N$501,MATCH(ROW()-2,종합!$AE$3:$AE$501,0))&amp;"","")</f>
        <v/>
      </c>
      <c r="O337" s="21" t="str">
        <f aca="false">IFERROR(INDEX(종합!O$3:O$501,MATCH(ROW()-2,종합!$AE$3:$AE$501,0))&amp;"","")</f>
        <v/>
      </c>
      <c r="P337" s="21" t="str">
        <f aca="false">IFERROR(INDEX(종합!P$3:P$501,MATCH(ROW()-2,종합!$AE$3:$AE$501,0))&amp;"","")</f>
        <v/>
      </c>
      <c r="Q337" s="21" t="str">
        <f aca="false">IFERROR(INDEX(종합!Q$3:Q$501,MATCH(ROW()-2,종합!$AE$3:$AE$501,0))&amp;"","")</f>
        <v/>
      </c>
      <c r="R337" s="21" t="str">
        <f aca="false">IFERROR(INDEX(종합!R$3:R$501,MATCH(ROW()-2,종합!$AE$3:$AE$501,0))&amp;"","")</f>
        <v/>
      </c>
      <c r="S337" s="21" t="str">
        <f aca="false">IFERROR(INDEX(종합!S$3:S$501,MATCH(ROW()-2,종합!$AE$3:$AE$501,0))&amp;"","")</f>
        <v/>
      </c>
      <c r="T337" s="21" t="str">
        <f aca="false">IFERROR(INDEX(종합!T$3:T$501,MATCH(ROW()-2,종합!$AE$3:$AE$501,0))&amp;"","")</f>
        <v/>
      </c>
      <c r="U337" s="21" t="str">
        <f aca="false">IFERROR(INDEX(종합!U$3:U$501,MATCH(ROW()-2,종합!$AE$3:$AE$501,0))&amp;"","")</f>
        <v/>
      </c>
      <c r="V337" s="21" t="str">
        <f aca="false">IFERROR(INDEX(종합!V$3:V$501,MATCH(ROW()-2,종합!$AE$3:$AE$501,0))&amp;"","")</f>
        <v/>
      </c>
      <c r="W337" s="21" t="str">
        <f aca="false">IFERROR(INDEX(종합!W$3:W$501,MATCH(ROW()-2,종합!$AE$3:$AE$501,0))&amp;"","")</f>
        <v/>
      </c>
      <c r="X337" s="21" t="str">
        <f aca="false">IFERROR(INDEX(종합!X$3:X$501,MATCH(ROW()-2,종합!$AE$3:$AE$501,0))&amp;"","")</f>
        <v/>
      </c>
      <c r="Y337" s="21" t="str">
        <f aca="false">IFERROR(INDEX(종합!Y$3:Y$501,MATCH(ROW()-2,종합!$AE$3:$AE$501,0))&amp;"","")</f>
        <v/>
      </c>
      <c r="Z337" s="21" t="str">
        <f aca="false">IFERROR(INDEX(종합!Z$3:Z$501,MATCH(ROW()-2,종합!$AE$3:$AE$501,0))&amp;"","")</f>
        <v/>
      </c>
    </row>
    <row r="338" customFormat="false" ht="16.5" hidden="false" customHeight="true" outlineLevel="0" collapsed="false">
      <c r="A338" s="18" t="str">
        <f aca="false">IF(B338="","",ROW()-2)</f>
        <v/>
      </c>
      <c r="B338" s="18" t="str">
        <f aca="false">IFERROR(INDEX(종합!B$3:B$501,MATCH(ROW()-2,종합!$AE$3:$AE$501,0))&amp;"","")</f>
        <v/>
      </c>
      <c r="C338" s="18" t="str">
        <f aca="false">IFERROR(INDEX(종합!C$3:C$501,MATCH(ROW()-2,종합!$AE$3:$AE$501,0))&amp;"","")</f>
        <v/>
      </c>
      <c r="D338" s="18" t="str">
        <f aca="false">IFERROR(INDEX(종합!D$3:D$501,MATCH(ROW()-2,종합!$AE$3:$AE$501,0))&amp;"","")</f>
        <v/>
      </c>
      <c r="E338" s="18" t="str">
        <f aca="false">IFERROR(INDEX(종합!E$3:E$501,MATCH(ROW()-2,종합!$AE$3:$AE$501,0))&amp;"","")</f>
        <v/>
      </c>
      <c r="F338" s="18" t="str">
        <f aca="false">IFERROR(INDEX(종합!F$3:F$501,MATCH(ROW()-2,종합!$AE$3:$AE$501,0))&amp;"","")</f>
        <v/>
      </c>
      <c r="G338" s="18" t="str">
        <f aca="false">IFERROR(INDEX(종합!G$3:G$501,MATCH(ROW()-2,종합!$AE$3:$AE$501,0))&amp;"","")</f>
        <v/>
      </c>
      <c r="H338" s="21" t="str">
        <f aca="false">IFERROR(INDEX(종합!H$3:H$501,MATCH(ROW()-2,종합!$AE$3:$AE$501,0))&amp;"","")</f>
        <v/>
      </c>
      <c r="I338" s="21" t="str">
        <f aca="false">IFERROR(INDEX(종합!I$3:I$501,MATCH(ROW()-2,종합!$AE$3:$AE$501,0))&amp;"","")</f>
        <v/>
      </c>
      <c r="J338" s="21" t="str">
        <f aca="false">IFERROR(INDEX(종합!J$3:J$501,MATCH(ROW()-2,종합!$AE$3:$AE$501,0))&amp;"","")</f>
        <v/>
      </c>
      <c r="K338" s="21" t="str">
        <f aca="false">IFERROR(INDEX(종합!K$3:K$501,MATCH(ROW()-2,종합!$AE$3:$AE$501,0))&amp;"","")</f>
        <v/>
      </c>
      <c r="L338" s="21" t="str">
        <f aca="false">IFERROR(INDEX(종합!L$3:L$501,MATCH(ROW()-2,종합!$AE$3:$AE$501,0))&amp;"","")</f>
        <v/>
      </c>
      <c r="M338" s="21" t="str">
        <f aca="false">IFERROR(INDEX(종합!M$3:M$501,MATCH(ROW()-2,종합!$AE$3:$AE$501,0))&amp;"","")</f>
        <v/>
      </c>
      <c r="N338" s="25" t="str">
        <f aca="false">IFERROR(INDEX(종합!N$3:N$501,MATCH(ROW()-2,종합!$AE$3:$AE$501,0))&amp;"","")</f>
        <v/>
      </c>
      <c r="O338" s="21" t="str">
        <f aca="false">IFERROR(INDEX(종합!O$3:O$501,MATCH(ROW()-2,종합!$AE$3:$AE$501,0))&amp;"","")</f>
        <v/>
      </c>
      <c r="P338" s="21" t="str">
        <f aca="false">IFERROR(INDEX(종합!P$3:P$501,MATCH(ROW()-2,종합!$AE$3:$AE$501,0))&amp;"","")</f>
        <v/>
      </c>
      <c r="Q338" s="21" t="str">
        <f aca="false">IFERROR(INDEX(종합!Q$3:Q$501,MATCH(ROW()-2,종합!$AE$3:$AE$501,0))&amp;"","")</f>
        <v/>
      </c>
      <c r="R338" s="21" t="str">
        <f aca="false">IFERROR(INDEX(종합!R$3:R$501,MATCH(ROW()-2,종합!$AE$3:$AE$501,0))&amp;"","")</f>
        <v/>
      </c>
      <c r="S338" s="21" t="str">
        <f aca="false">IFERROR(INDEX(종합!S$3:S$501,MATCH(ROW()-2,종합!$AE$3:$AE$501,0))&amp;"","")</f>
        <v/>
      </c>
      <c r="T338" s="21" t="str">
        <f aca="false">IFERROR(INDEX(종합!T$3:T$501,MATCH(ROW()-2,종합!$AE$3:$AE$501,0))&amp;"","")</f>
        <v/>
      </c>
      <c r="U338" s="21" t="str">
        <f aca="false">IFERROR(INDEX(종합!U$3:U$501,MATCH(ROW()-2,종합!$AE$3:$AE$501,0))&amp;"","")</f>
        <v/>
      </c>
      <c r="V338" s="21" t="str">
        <f aca="false">IFERROR(INDEX(종합!V$3:V$501,MATCH(ROW()-2,종합!$AE$3:$AE$501,0))&amp;"","")</f>
        <v/>
      </c>
      <c r="W338" s="21" t="str">
        <f aca="false">IFERROR(INDEX(종합!W$3:W$501,MATCH(ROW()-2,종합!$AE$3:$AE$501,0))&amp;"","")</f>
        <v/>
      </c>
      <c r="X338" s="21" t="str">
        <f aca="false">IFERROR(INDEX(종합!X$3:X$501,MATCH(ROW()-2,종합!$AE$3:$AE$501,0))&amp;"","")</f>
        <v/>
      </c>
      <c r="Y338" s="21" t="str">
        <f aca="false">IFERROR(INDEX(종합!Y$3:Y$501,MATCH(ROW()-2,종합!$AE$3:$AE$501,0))&amp;"","")</f>
        <v/>
      </c>
      <c r="Z338" s="21" t="str">
        <f aca="false">IFERROR(INDEX(종합!Z$3:Z$501,MATCH(ROW()-2,종합!$AE$3:$AE$501,0))&amp;"","")</f>
        <v/>
      </c>
    </row>
    <row r="339" customFormat="false" ht="16.5" hidden="false" customHeight="true" outlineLevel="0" collapsed="false">
      <c r="A339" s="18" t="str">
        <f aca="false">IF(B339="","",ROW()-2)</f>
        <v/>
      </c>
      <c r="B339" s="18" t="str">
        <f aca="false">IFERROR(INDEX(종합!B$3:B$501,MATCH(ROW()-2,종합!$AE$3:$AE$501,0))&amp;"","")</f>
        <v/>
      </c>
      <c r="C339" s="18" t="str">
        <f aca="false">IFERROR(INDEX(종합!C$3:C$501,MATCH(ROW()-2,종합!$AE$3:$AE$501,0))&amp;"","")</f>
        <v/>
      </c>
      <c r="D339" s="18" t="str">
        <f aca="false">IFERROR(INDEX(종합!D$3:D$501,MATCH(ROW()-2,종합!$AE$3:$AE$501,0))&amp;"","")</f>
        <v/>
      </c>
      <c r="E339" s="18" t="str">
        <f aca="false">IFERROR(INDEX(종합!E$3:E$501,MATCH(ROW()-2,종합!$AE$3:$AE$501,0))&amp;"","")</f>
        <v/>
      </c>
      <c r="F339" s="18" t="str">
        <f aca="false">IFERROR(INDEX(종합!F$3:F$501,MATCH(ROW()-2,종합!$AE$3:$AE$501,0))&amp;"","")</f>
        <v/>
      </c>
      <c r="G339" s="18" t="str">
        <f aca="false">IFERROR(INDEX(종합!G$3:G$501,MATCH(ROW()-2,종합!$AE$3:$AE$501,0))&amp;"","")</f>
        <v/>
      </c>
      <c r="H339" s="21" t="str">
        <f aca="false">IFERROR(INDEX(종합!H$3:H$501,MATCH(ROW()-2,종합!$AE$3:$AE$501,0))&amp;"","")</f>
        <v/>
      </c>
      <c r="I339" s="21" t="str">
        <f aca="false">IFERROR(INDEX(종합!I$3:I$501,MATCH(ROW()-2,종합!$AE$3:$AE$501,0))&amp;"","")</f>
        <v/>
      </c>
      <c r="J339" s="21" t="str">
        <f aca="false">IFERROR(INDEX(종합!J$3:J$501,MATCH(ROW()-2,종합!$AE$3:$AE$501,0))&amp;"","")</f>
        <v/>
      </c>
      <c r="K339" s="21" t="str">
        <f aca="false">IFERROR(INDEX(종합!K$3:K$501,MATCH(ROW()-2,종합!$AE$3:$AE$501,0))&amp;"","")</f>
        <v/>
      </c>
      <c r="L339" s="21" t="str">
        <f aca="false">IFERROR(INDEX(종합!L$3:L$501,MATCH(ROW()-2,종합!$AE$3:$AE$501,0))&amp;"","")</f>
        <v/>
      </c>
      <c r="M339" s="21" t="str">
        <f aca="false">IFERROR(INDEX(종합!M$3:M$501,MATCH(ROW()-2,종합!$AE$3:$AE$501,0))&amp;"","")</f>
        <v/>
      </c>
      <c r="N339" s="25" t="str">
        <f aca="false">IFERROR(INDEX(종합!N$3:N$501,MATCH(ROW()-2,종합!$AE$3:$AE$501,0))&amp;"","")</f>
        <v/>
      </c>
      <c r="O339" s="21" t="str">
        <f aca="false">IFERROR(INDEX(종합!O$3:O$501,MATCH(ROW()-2,종합!$AE$3:$AE$501,0))&amp;"","")</f>
        <v/>
      </c>
      <c r="P339" s="21" t="str">
        <f aca="false">IFERROR(INDEX(종합!P$3:P$501,MATCH(ROW()-2,종합!$AE$3:$AE$501,0))&amp;"","")</f>
        <v/>
      </c>
      <c r="Q339" s="21" t="str">
        <f aca="false">IFERROR(INDEX(종합!Q$3:Q$501,MATCH(ROW()-2,종합!$AE$3:$AE$501,0))&amp;"","")</f>
        <v/>
      </c>
      <c r="R339" s="21" t="str">
        <f aca="false">IFERROR(INDEX(종합!R$3:R$501,MATCH(ROW()-2,종합!$AE$3:$AE$501,0))&amp;"","")</f>
        <v/>
      </c>
      <c r="S339" s="21" t="str">
        <f aca="false">IFERROR(INDEX(종합!S$3:S$501,MATCH(ROW()-2,종합!$AE$3:$AE$501,0))&amp;"","")</f>
        <v/>
      </c>
      <c r="T339" s="21" t="str">
        <f aca="false">IFERROR(INDEX(종합!T$3:T$501,MATCH(ROW()-2,종합!$AE$3:$AE$501,0))&amp;"","")</f>
        <v/>
      </c>
      <c r="U339" s="21" t="str">
        <f aca="false">IFERROR(INDEX(종합!U$3:U$501,MATCH(ROW()-2,종합!$AE$3:$AE$501,0))&amp;"","")</f>
        <v/>
      </c>
      <c r="V339" s="21" t="str">
        <f aca="false">IFERROR(INDEX(종합!V$3:V$501,MATCH(ROW()-2,종합!$AE$3:$AE$501,0))&amp;"","")</f>
        <v/>
      </c>
      <c r="W339" s="21" t="str">
        <f aca="false">IFERROR(INDEX(종합!W$3:W$501,MATCH(ROW()-2,종합!$AE$3:$AE$501,0))&amp;"","")</f>
        <v/>
      </c>
      <c r="X339" s="21" t="str">
        <f aca="false">IFERROR(INDEX(종합!X$3:X$501,MATCH(ROW()-2,종합!$AE$3:$AE$501,0))&amp;"","")</f>
        <v/>
      </c>
      <c r="Y339" s="21" t="str">
        <f aca="false">IFERROR(INDEX(종합!Y$3:Y$501,MATCH(ROW()-2,종합!$AE$3:$AE$501,0))&amp;"","")</f>
        <v/>
      </c>
      <c r="Z339" s="21" t="str">
        <f aca="false">IFERROR(INDEX(종합!Z$3:Z$501,MATCH(ROW()-2,종합!$AE$3:$AE$501,0))&amp;"","")</f>
        <v/>
      </c>
    </row>
    <row r="340" customFormat="false" ht="16.5" hidden="false" customHeight="true" outlineLevel="0" collapsed="false">
      <c r="A340" s="18" t="str">
        <f aca="false">IF(B340="","",ROW()-2)</f>
        <v/>
      </c>
      <c r="B340" s="18" t="str">
        <f aca="false">IFERROR(INDEX(종합!B$3:B$501,MATCH(ROW()-2,종합!$AE$3:$AE$501,0))&amp;"","")</f>
        <v/>
      </c>
      <c r="C340" s="18" t="str">
        <f aca="false">IFERROR(INDEX(종합!C$3:C$501,MATCH(ROW()-2,종합!$AE$3:$AE$501,0))&amp;"","")</f>
        <v/>
      </c>
      <c r="D340" s="18" t="str">
        <f aca="false">IFERROR(INDEX(종합!D$3:D$501,MATCH(ROW()-2,종합!$AE$3:$AE$501,0))&amp;"","")</f>
        <v/>
      </c>
      <c r="E340" s="18" t="str">
        <f aca="false">IFERROR(INDEX(종합!E$3:E$501,MATCH(ROW()-2,종합!$AE$3:$AE$501,0))&amp;"","")</f>
        <v/>
      </c>
      <c r="F340" s="18" t="str">
        <f aca="false">IFERROR(INDEX(종합!F$3:F$501,MATCH(ROW()-2,종합!$AE$3:$AE$501,0))&amp;"","")</f>
        <v/>
      </c>
      <c r="G340" s="18" t="str">
        <f aca="false">IFERROR(INDEX(종합!G$3:G$501,MATCH(ROW()-2,종합!$AE$3:$AE$501,0))&amp;"","")</f>
        <v/>
      </c>
      <c r="H340" s="21" t="str">
        <f aca="false">IFERROR(INDEX(종합!H$3:H$501,MATCH(ROW()-2,종합!$AE$3:$AE$501,0))&amp;"","")</f>
        <v/>
      </c>
      <c r="I340" s="21" t="str">
        <f aca="false">IFERROR(INDEX(종합!I$3:I$501,MATCH(ROW()-2,종합!$AE$3:$AE$501,0))&amp;"","")</f>
        <v/>
      </c>
      <c r="J340" s="21" t="str">
        <f aca="false">IFERROR(INDEX(종합!J$3:J$501,MATCH(ROW()-2,종합!$AE$3:$AE$501,0))&amp;"","")</f>
        <v/>
      </c>
      <c r="K340" s="21" t="str">
        <f aca="false">IFERROR(INDEX(종합!K$3:K$501,MATCH(ROW()-2,종합!$AE$3:$AE$501,0))&amp;"","")</f>
        <v/>
      </c>
      <c r="L340" s="21" t="str">
        <f aca="false">IFERROR(INDEX(종합!L$3:L$501,MATCH(ROW()-2,종합!$AE$3:$AE$501,0))&amp;"","")</f>
        <v/>
      </c>
      <c r="M340" s="21" t="str">
        <f aca="false">IFERROR(INDEX(종합!M$3:M$501,MATCH(ROW()-2,종합!$AE$3:$AE$501,0))&amp;"","")</f>
        <v/>
      </c>
      <c r="N340" s="25" t="str">
        <f aca="false">IFERROR(INDEX(종합!N$3:N$501,MATCH(ROW()-2,종합!$AE$3:$AE$501,0))&amp;"","")</f>
        <v/>
      </c>
      <c r="O340" s="21" t="str">
        <f aca="false">IFERROR(INDEX(종합!O$3:O$501,MATCH(ROW()-2,종합!$AE$3:$AE$501,0))&amp;"","")</f>
        <v/>
      </c>
      <c r="P340" s="21" t="str">
        <f aca="false">IFERROR(INDEX(종합!P$3:P$501,MATCH(ROW()-2,종합!$AE$3:$AE$501,0))&amp;"","")</f>
        <v/>
      </c>
      <c r="Q340" s="21" t="str">
        <f aca="false">IFERROR(INDEX(종합!Q$3:Q$501,MATCH(ROW()-2,종합!$AE$3:$AE$501,0))&amp;"","")</f>
        <v/>
      </c>
      <c r="R340" s="21" t="str">
        <f aca="false">IFERROR(INDEX(종합!R$3:R$501,MATCH(ROW()-2,종합!$AE$3:$AE$501,0))&amp;"","")</f>
        <v/>
      </c>
      <c r="S340" s="21" t="str">
        <f aca="false">IFERROR(INDEX(종합!S$3:S$501,MATCH(ROW()-2,종합!$AE$3:$AE$501,0))&amp;"","")</f>
        <v/>
      </c>
      <c r="T340" s="21" t="str">
        <f aca="false">IFERROR(INDEX(종합!T$3:T$501,MATCH(ROW()-2,종합!$AE$3:$AE$501,0))&amp;"","")</f>
        <v/>
      </c>
      <c r="U340" s="21" t="str">
        <f aca="false">IFERROR(INDEX(종합!U$3:U$501,MATCH(ROW()-2,종합!$AE$3:$AE$501,0))&amp;"","")</f>
        <v/>
      </c>
      <c r="V340" s="21" t="str">
        <f aca="false">IFERROR(INDEX(종합!V$3:V$501,MATCH(ROW()-2,종합!$AE$3:$AE$501,0))&amp;"","")</f>
        <v/>
      </c>
      <c r="W340" s="21" t="str">
        <f aca="false">IFERROR(INDEX(종합!W$3:W$501,MATCH(ROW()-2,종합!$AE$3:$AE$501,0))&amp;"","")</f>
        <v/>
      </c>
      <c r="X340" s="21" t="str">
        <f aca="false">IFERROR(INDEX(종합!X$3:X$501,MATCH(ROW()-2,종합!$AE$3:$AE$501,0))&amp;"","")</f>
        <v/>
      </c>
      <c r="Y340" s="21" t="str">
        <f aca="false">IFERROR(INDEX(종합!Y$3:Y$501,MATCH(ROW()-2,종합!$AE$3:$AE$501,0))&amp;"","")</f>
        <v/>
      </c>
      <c r="Z340" s="21" t="str">
        <f aca="false">IFERROR(INDEX(종합!Z$3:Z$501,MATCH(ROW()-2,종합!$AE$3:$AE$501,0))&amp;"","")</f>
        <v/>
      </c>
    </row>
    <row r="341" customFormat="false" ht="16.5" hidden="false" customHeight="true" outlineLevel="0" collapsed="false">
      <c r="A341" s="18" t="str">
        <f aca="false">IF(B341="","",ROW()-2)</f>
        <v/>
      </c>
      <c r="B341" s="18" t="str">
        <f aca="false">IFERROR(INDEX(종합!B$3:B$501,MATCH(ROW()-2,종합!$AE$3:$AE$501,0))&amp;"","")</f>
        <v/>
      </c>
      <c r="C341" s="18" t="str">
        <f aca="false">IFERROR(INDEX(종합!C$3:C$501,MATCH(ROW()-2,종합!$AE$3:$AE$501,0))&amp;"","")</f>
        <v/>
      </c>
      <c r="D341" s="18" t="str">
        <f aca="false">IFERROR(INDEX(종합!D$3:D$501,MATCH(ROW()-2,종합!$AE$3:$AE$501,0))&amp;"","")</f>
        <v/>
      </c>
      <c r="E341" s="18" t="str">
        <f aca="false">IFERROR(INDEX(종합!E$3:E$501,MATCH(ROW()-2,종합!$AE$3:$AE$501,0))&amp;"","")</f>
        <v/>
      </c>
      <c r="F341" s="18" t="str">
        <f aca="false">IFERROR(INDEX(종합!F$3:F$501,MATCH(ROW()-2,종합!$AE$3:$AE$501,0))&amp;"","")</f>
        <v/>
      </c>
      <c r="G341" s="18" t="str">
        <f aca="false">IFERROR(INDEX(종합!G$3:G$501,MATCH(ROW()-2,종합!$AE$3:$AE$501,0))&amp;"","")</f>
        <v/>
      </c>
      <c r="H341" s="21" t="str">
        <f aca="false">IFERROR(INDEX(종합!H$3:H$501,MATCH(ROW()-2,종합!$AE$3:$AE$501,0))&amp;"","")</f>
        <v/>
      </c>
      <c r="I341" s="21" t="str">
        <f aca="false">IFERROR(INDEX(종합!I$3:I$501,MATCH(ROW()-2,종합!$AE$3:$AE$501,0))&amp;"","")</f>
        <v/>
      </c>
      <c r="J341" s="21" t="str">
        <f aca="false">IFERROR(INDEX(종합!J$3:J$501,MATCH(ROW()-2,종합!$AE$3:$AE$501,0))&amp;"","")</f>
        <v/>
      </c>
      <c r="K341" s="21" t="str">
        <f aca="false">IFERROR(INDEX(종합!K$3:K$501,MATCH(ROW()-2,종합!$AE$3:$AE$501,0))&amp;"","")</f>
        <v/>
      </c>
      <c r="L341" s="21" t="str">
        <f aca="false">IFERROR(INDEX(종합!L$3:L$501,MATCH(ROW()-2,종합!$AE$3:$AE$501,0))&amp;"","")</f>
        <v/>
      </c>
      <c r="M341" s="21" t="str">
        <f aca="false">IFERROR(INDEX(종합!M$3:M$501,MATCH(ROW()-2,종합!$AE$3:$AE$501,0))&amp;"","")</f>
        <v/>
      </c>
      <c r="N341" s="25" t="str">
        <f aca="false">IFERROR(INDEX(종합!N$3:N$501,MATCH(ROW()-2,종합!$AE$3:$AE$501,0))&amp;"","")</f>
        <v/>
      </c>
      <c r="O341" s="21" t="str">
        <f aca="false">IFERROR(INDEX(종합!O$3:O$501,MATCH(ROW()-2,종합!$AE$3:$AE$501,0))&amp;"","")</f>
        <v/>
      </c>
      <c r="P341" s="21" t="str">
        <f aca="false">IFERROR(INDEX(종합!P$3:P$501,MATCH(ROW()-2,종합!$AE$3:$AE$501,0))&amp;"","")</f>
        <v/>
      </c>
      <c r="Q341" s="21" t="str">
        <f aca="false">IFERROR(INDEX(종합!Q$3:Q$501,MATCH(ROW()-2,종합!$AE$3:$AE$501,0))&amp;"","")</f>
        <v/>
      </c>
      <c r="R341" s="21" t="str">
        <f aca="false">IFERROR(INDEX(종합!R$3:R$501,MATCH(ROW()-2,종합!$AE$3:$AE$501,0))&amp;"","")</f>
        <v/>
      </c>
      <c r="S341" s="21" t="str">
        <f aca="false">IFERROR(INDEX(종합!S$3:S$501,MATCH(ROW()-2,종합!$AE$3:$AE$501,0))&amp;"","")</f>
        <v/>
      </c>
      <c r="T341" s="21" t="str">
        <f aca="false">IFERROR(INDEX(종합!T$3:T$501,MATCH(ROW()-2,종합!$AE$3:$AE$501,0))&amp;"","")</f>
        <v/>
      </c>
      <c r="U341" s="21" t="str">
        <f aca="false">IFERROR(INDEX(종합!U$3:U$501,MATCH(ROW()-2,종합!$AE$3:$AE$501,0))&amp;"","")</f>
        <v/>
      </c>
      <c r="V341" s="21" t="str">
        <f aca="false">IFERROR(INDEX(종합!V$3:V$501,MATCH(ROW()-2,종합!$AE$3:$AE$501,0))&amp;"","")</f>
        <v/>
      </c>
      <c r="W341" s="21" t="str">
        <f aca="false">IFERROR(INDEX(종합!W$3:W$501,MATCH(ROW()-2,종합!$AE$3:$AE$501,0))&amp;"","")</f>
        <v/>
      </c>
      <c r="X341" s="21" t="str">
        <f aca="false">IFERROR(INDEX(종합!X$3:X$501,MATCH(ROW()-2,종합!$AE$3:$AE$501,0))&amp;"","")</f>
        <v/>
      </c>
      <c r="Y341" s="21" t="str">
        <f aca="false">IFERROR(INDEX(종합!Y$3:Y$501,MATCH(ROW()-2,종합!$AE$3:$AE$501,0))&amp;"","")</f>
        <v/>
      </c>
      <c r="Z341" s="21" t="str">
        <f aca="false">IFERROR(INDEX(종합!Z$3:Z$501,MATCH(ROW()-2,종합!$AE$3:$AE$501,0))&amp;"","")</f>
        <v/>
      </c>
    </row>
    <row r="342" customFormat="false" ht="16.5" hidden="false" customHeight="true" outlineLevel="0" collapsed="false">
      <c r="A342" s="18" t="str">
        <f aca="false">IF(B342="","",ROW()-2)</f>
        <v/>
      </c>
      <c r="B342" s="18" t="str">
        <f aca="false">IFERROR(INDEX(종합!B$3:B$501,MATCH(ROW()-2,종합!$AE$3:$AE$501,0))&amp;"","")</f>
        <v/>
      </c>
      <c r="C342" s="18" t="str">
        <f aca="false">IFERROR(INDEX(종합!C$3:C$501,MATCH(ROW()-2,종합!$AE$3:$AE$501,0))&amp;"","")</f>
        <v/>
      </c>
      <c r="D342" s="18" t="str">
        <f aca="false">IFERROR(INDEX(종합!D$3:D$501,MATCH(ROW()-2,종합!$AE$3:$AE$501,0))&amp;"","")</f>
        <v/>
      </c>
      <c r="E342" s="18" t="str">
        <f aca="false">IFERROR(INDEX(종합!E$3:E$501,MATCH(ROW()-2,종합!$AE$3:$AE$501,0))&amp;"","")</f>
        <v/>
      </c>
      <c r="F342" s="18" t="str">
        <f aca="false">IFERROR(INDEX(종합!F$3:F$501,MATCH(ROW()-2,종합!$AE$3:$AE$501,0))&amp;"","")</f>
        <v/>
      </c>
      <c r="G342" s="18" t="str">
        <f aca="false">IFERROR(INDEX(종합!G$3:G$501,MATCH(ROW()-2,종합!$AE$3:$AE$501,0))&amp;"","")</f>
        <v/>
      </c>
      <c r="H342" s="21" t="str">
        <f aca="false">IFERROR(INDEX(종합!H$3:H$501,MATCH(ROW()-2,종합!$AE$3:$AE$501,0))&amp;"","")</f>
        <v/>
      </c>
      <c r="I342" s="21" t="str">
        <f aca="false">IFERROR(INDEX(종합!I$3:I$501,MATCH(ROW()-2,종합!$AE$3:$AE$501,0))&amp;"","")</f>
        <v/>
      </c>
      <c r="J342" s="21" t="str">
        <f aca="false">IFERROR(INDEX(종합!J$3:J$501,MATCH(ROW()-2,종합!$AE$3:$AE$501,0))&amp;"","")</f>
        <v/>
      </c>
      <c r="K342" s="21" t="str">
        <f aca="false">IFERROR(INDEX(종합!K$3:K$501,MATCH(ROW()-2,종합!$AE$3:$AE$501,0))&amp;"","")</f>
        <v/>
      </c>
      <c r="L342" s="21" t="str">
        <f aca="false">IFERROR(INDEX(종합!L$3:L$501,MATCH(ROW()-2,종합!$AE$3:$AE$501,0))&amp;"","")</f>
        <v/>
      </c>
      <c r="M342" s="21" t="str">
        <f aca="false">IFERROR(INDEX(종합!M$3:M$501,MATCH(ROW()-2,종합!$AE$3:$AE$501,0))&amp;"","")</f>
        <v/>
      </c>
      <c r="N342" s="25" t="str">
        <f aca="false">IFERROR(INDEX(종합!N$3:N$501,MATCH(ROW()-2,종합!$AE$3:$AE$501,0))&amp;"","")</f>
        <v/>
      </c>
      <c r="O342" s="21" t="str">
        <f aca="false">IFERROR(INDEX(종합!O$3:O$501,MATCH(ROW()-2,종합!$AE$3:$AE$501,0))&amp;"","")</f>
        <v/>
      </c>
      <c r="P342" s="21" t="str">
        <f aca="false">IFERROR(INDEX(종합!P$3:P$501,MATCH(ROW()-2,종합!$AE$3:$AE$501,0))&amp;"","")</f>
        <v/>
      </c>
      <c r="Q342" s="21" t="str">
        <f aca="false">IFERROR(INDEX(종합!Q$3:Q$501,MATCH(ROW()-2,종합!$AE$3:$AE$501,0))&amp;"","")</f>
        <v/>
      </c>
      <c r="R342" s="21" t="str">
        <f aca="false">IFERROR(INDEX(종합!R$3:R$501,MATCH(ROW()-2,종합!$AE$3:$AE$501,0))&amp;"","")</f>
        <v/>
      </c>
      <c r="S342" s="21" t="str">
        <f aca="false">IFERROR(INDEX(종합!S$3:S$501,MATCH(ROW()-2,종합!$AE$3:$AE$501,0))&amp;"","")</f>
        <v/>
      </c>
      <c r="T342" s="21" t="str">
        <f aca="false">IFERROR(INDEX(종합!T$3:T$501,MATCH(ROW()-2,종합!$AE$3:$AE$501,0))&amp;"","")</f>
        <v/>
      </c>
      <c r="U342" s="21" t="str">
        <f aca="false">IFERROR(INDEX(종합!U$3:U$501,MATCH(ROW()-2,종합!$AE$3:$AE$501,0))&amp;"","")</f>
        <v/>
      </c>
      <c r="V342" s="21" t="str">
        <f aca="false">IFERROR(INDEX(종합!V$3:V$501,MATCH(ROW()-2,종합!$AE$3:$AE$501,0))&amp;"","")</f>
        <v/>
      </c>
      <c r="W342" s="21" t="str">
        <f aca="false">IFERROR(INDEX(종합!W$3:W$501,MATCH(ROW()-2,종합!$AE$3:$AE$501,0))&amp;"","")</f>
        <v/>
      </c>
      <c r="X342" s="21" t="str">
        <f aca="false">IFERROR(INDEX(종합!X$3:X$501,MATCH(ROW()-2,종합!$AE$3:$AE$501,0))&amp;"","")</f>
        <v/>
      </c>
      <c r="Y342" s="21" t="str">
        <f aca="false">IFERROR(INDEX(종합!Y$3:Y$501,MATCH(ROW()-2,종합!$AE$3:$AE$501,0))&amp;"","")</f>
        <v/>
      </c>
      <c r="Z342" s="21" t="str">
        <f aca="false">IFERROR(INDEX(종합!Z$3:Z$501,MATCH(ROW()-2,종합!$AE$3:$AE$501,0))&amp;"","")</f>
        <v/>
      </c>
    </row>
    <row r="343" customFormat="false" ht="16.5" hidden="false" customHeight="true" outlineLevel="0" collapsed="false">
      <c r="A343" s="18" t="str">
        <f aca="false">IF(B343="","",ROW()-2)</f>
        <v/>
      </c>
      <c r="B343" s="18" t="str">
        <f aca="false">IFERROR(INDEX(종합!B$3:B$501,MATCH(ROW()-2,종합!$AE$3:$AE$501,0))&amp;"","")</f>
        <v/>
      </c>
      <c r="C343" s="18" t="str">
        <f aca="false">IFERROR(INDEX(종합!C$3:C$501,MATCH(ROW()-2,종합!$AE$3:$AE$501,0))&amp;"","")</f>
        <v/>
      </c>
      <c r="D343" s="18" t="str">
        <f aca="false">IFERROR(INDEX(종합!D$3:D$501,MATCH(ROW()-2,종합!$AE$3:$AE$501,0))&amp;"","")</f>
        <v/>
      </c>
      <c r="E343" s="18" t="str">
        <f aca="false">IFERROR(INDEX(종합!E$3:E$501,MATCH(ROW()-2,종합!$AE$3:$AE$501,0))&amp;"","")</f>
        <v/>
      </c>
      <c r="F343" s="18" t="str">
        <f aca="false">IFERROR(INDEX(종합!F$3:F$501,MATCH(ROW()-2,종합!$AE$3:$AE$501,0))&amp;"","")</f>
        <v/>
      </c>
      <c r="G343" s="18" t="str">
        <f aca="false">IFERROR(INDEX(종합!G$3:G$501,MATCH(ROW()-2,종합!$AE$3:$AE$501,0))&amp;"","")</f>
        <v/>
      </c>
      <c r="H343" s="21" t="str">
        <f aca="false">IFERROR(INDEX(종합!H$3:H$501,MATCH(ROW()-2,종합!$AE$3:$AE$501,0))&amp;"","")</f>
        <v/>
      </c>
      <c r="I343" s="21" t="str">
        <f aca="false">IFERROR(INDEX(종합!I$3:I$501,MATCH(ROW()-2,종합!$AE$3:$AE$501,0))&amp;"","")</f>
        <v/>
      </c>
      <c r="J343" s="21" t="str">
        <f aca="false">IFERROR(INDEX(종합!J$3:J$501,MATCH(ROW()-2,종합!$AE$3:$AE$501,0))&amp;"","")</f>
        <v/>
      </c>
      <c r="K343" s="21" t="str">
        <f aca="false">IFERROR(INDEX(종합!K$3:K$501,MATCH(ROW()-2,종합!$AE$3:$AE$501,0))&amp;"","")</f>
        <v/>
      </c>
      <c r="L343" s="21" t="str">
        <f aca="false">IFERROR(INDEX(종합!L$3:L$501,MATCH(ROW()-2,종합!$AE$3:$AE$501,0))&amp;"","")</f>
        <v/>
      </c>
      <c r="M343" s="21" t="str">
        <f aca="false">IFERROR(INDEX(종합!M$3:M$501,MATCH(ROW()-2,종합!$AE$3:$AE$501,0))&amp;"","")</f>
        <v/>
      </c>
      <c r="N343" s="25" t="str">
        <f aca="false">IFERROR(INDEX(종합!N$3:N$501,MATCH(ROW()-2,종합!$AE$3:$AE$501,0))&amp;"","")</f>
        <v/>
      </c>
      <c r="O343" s="21" t="str">
        <f aca="false">IFERROR(INDEX(종합!O$3:O$501,MATCH(ROW()-2,종합!$AE$3:$AE$501,0))&amp;"","")</f>
        <v/>
      </c>
      <c r="P343" s="21" t="str">
        <f aca="false">IFERROR(INDEX(종합!P$3:P$501,MATCH(ROW()-2,종합!$AE$3:$AE$501,0))&amp;"","")</f>
        <v/>
      </c>
      <c r="Q343" s="21" t="str">
        <f aca="false">IFERROR(INDEX(종합!Q$3:Q$501,MATCH(ROW()-2,종합!$AE$3:$AE$501,0))&amp;"","")</f>
        <v/>
      </c>
      <c r="R343" s="21" t="str">
        <f aca="false">IFERROR(INDEX(종합!R$3:R$501,MATCH(ROW()-2,종합!$AE$3:$AE$501,0))&amp;"","")</f>
        <v/>
      </c>
      <c r="S343" s="21" t="str">
        <f aca="false">IFERROR(INDEX(종합!S$3:S$501,MATCH(ROW()-2,종합!$AE$3:$AE$501,0))&amp;"","")</f>
        <v/>
      </c>
      <c r="T343" s="21" t="str">
        <f aca="false">IFERROR(INDEX(종합!T$3:T$501,MATCH(ROW()-2,종합!$AE$3:$AE$501,0))&amp;"","")</f>
        <v/>
      </c>
      <c r="U343" s="21" t="str">
        <f aca="false">IFERROR(INDEX(종합!U$3:U$501,MATCH(ROW()-2,종합!$AE$3:$AE$501,0))&amp;"","")</f>
        <v/>
      </c>
      <c r="V343" s="21" t="str">
        <f aca="false">IFERROR(INDEX(종합!V$3:V$501,MATCH(ROW()-2,종합!$AE$3:$AE$501,0))&amp;"","")</f>
        <v/>
      </c>
      <c r="W343" s="21" t="str">
        <f aca="false">IFERROR(INDEX(종합!W$3:W$501,MATCH(ROW()-2,종합!$AE$3:$AE$501,0))&amp;"","")</f>
        <v/>
      </c>
      <c r="X343" s="21" t="str">
        <f aca="false">IFERROR(INDEX(종합!X$3:X$501,MATCH(ROW()-2,종합!$AE$3:$AE$501,0))&amp;"","")</f>
        <v/>
      </c>
      <c r="Y343" s="21" t="str">
        <f aca="false">IFERROR(INDEX(종합!Y$3:Y$501,MATCH(ROW()-2,종합!$AE$3:$AE$501,0))&amp;"","")</f>
        <v/>
      </c>
      <c r="Z343" s="21" t="str">
        <f aca="false">IFERROR(INDEX(종합!Z$3:Z$501,MATCH(ROW()-2,종합!$AE$3:$AE$501,0))&amp;"","")</f>
        <v/>
      </c>
    </row>
    <row r="344" customFormat="false" ht="16.5" hidden="false" customHeight="true" outlineLevel="0" collapsed="false">
      <c r="A344" s="18" t="str">
        <f aca="false">IF(B344="","",ROW()-2)</f>
        <v/>
      </c>
      <c r="B344" s="18" t="str">
        <f aca="false">IFERROR(INDEX(종합!B$3:B$501,MATCH(ROW()-2,종합!$AE$3:$AE$501,0))&amp;"","")</f>
        <v/>
      </c>
      <c r="C344" s="18" t="str">
        <f aca="false">IFERROR(INDEX(종합!C$3:C$501,MATCH(ROW()-2,종합!$AE$3:$AE$501,0))&amp;"","")</f>
        <v/>
      </c>
      <c r="D344" s="18" t="str">
        <f aca="false">IFERROR(INDEX(종합!D$3:D$501,MATCH(ROW()-2,종합!$AE$3:$AE$501,0))&amp;"","")</f>
        <v/>
      </c>
      <c r="E344" s="18" t="str">
        <f aca="false">IFERROR(INDEX(종합!E$3:E$501,MATCH(ROW()-2,종합!$AE$3:$AE$501,0))&amp;"","")</f>
        <v/>
      </c>
      <c r="F344" s="18" t="str">
        <f aca="false">IFERROR(INDEX(종합!F$3:F$501,MATCH(ROW()-2,종합!$AE$3:$AE$501,0))&amp;"","")</f>
        <v/>
      </c>
      <c r="G344" s="18" t="str">
        <f aca="false">IFERROR(INDEX(종합!G$3:G$501,MATCH(ROW()-2,종합!$AE$3:$AE$501,0))&amp;"","")</f>
        <v/>
      </c>
      <c r="H344" s="21" t="str">
        <f aca="false">IFERROR(INDEX(종합!H$3:H$501,MATCH(ROW()-2,종합!$AE$3:$AE$501,0))&amp;"","")</f>
        <v/>
      </c>
      <c r="I344" s="21" t="str">
        <f aca="false">IFERROR(INDEX(종합!I$3:I$501,MATCH(ROW()-2,종합!$AE$3:$AE$501,0))&amp;"","")</f>
        <v/>
      </c>
      <c r="J344" s="21" t="str">
        <f aca="false">IFERROR(INDEX(종합!J$3:J$501,MATCH(ROW()-2,종합!$AE$3:$AE$501,0))&amp;"","")</f>
        <v/>
      </c>
      <c r="K344" s="21" t="str">
        <f aca="false">IFERROR(INDEX(종합!K$3:K$501,MATCH(ROW()-2,종합!$AE$3:$AE$501,0))&amp;"","")</f>
        <v/>
      </c>
      <c r="L344" s="21" t="str">
        <f aca="false">IFERROR(INDEX(종합!L$3:L$501,MATCH(ROW()-2,종합!$AE$3:$AE$501,0))&amp;"","")</f>
        <v/>
      </c>
      <c r="M344" s="21" t="str">
        <f aca="false">IFERROR(INDEX(종합!M$3:M$501,MATCH(ROW()-2,종합!$AE$3:$AE$501,0))&amp;"","")</f>
        <v/>
      </c>
      <c r="N344" s="25" t="str">
        <f aca="false">IFERROR(INDEX(종합!N$3:N$501,MATCH(ROW()-2,종합!$AE$3:$AE$501,0))&amp;"","")</f>
        <v/>
      </c>
      <c r="O344" s="21" t="str">
        <f aca="false">IFERROR(INDEX(종합!O$3:O$501,MATCH(ROW()-2,종합!$AE$3:$AE$501,0))&amp;"","")</f>
        <v/>
      </c>
      <c r="P344" s="21" t="str">
        <f aca="false">IFERROR(INDEX(종합!P$3:P$501,MATCH(ROW()-2,종합!$AE$3:$AE$501,0))&amp;"","")</f>
        <v/>
      </c>
      <c r="Q344" s="21" t="str">
        <f aca="false">IFERROR(INDEX(종합!Q$3:Q$501,MATCH(ROW()-2,종합!$AE$3:$AE$501,0))&amp;"","")</f>
        <v/>
      </c>
      <c r="R344" s="21" t="str">
        <f aca="false">IFERROR(INDEX(종합!R$3:R$501,MATCH(ROW()-2,종합!$AE$3:$AE$501,0))&amp;"","")</f>
        <v/>
      </c>
      <c r="S344" s="21" t="str">
        <f aca="false">IFERROR(INDEX(종합!S$3:S$501,MATCH(ROW()-2,종합!$AE$3:$AE$501,0))&amp;"","")</f>
        <v/>
      </c>
      <c r="T344" s="21" t="str">
        <f aca="false">IFERROR(INDEX(종합!T$3:T$501,MATCH(ROW()-2,종합!$AE$3:$AE$501,0))&amp;"","")</f>
        <v/>
      </c>
      <c r="U344" s="21" t="str">
        <f aca="false">IFERROR(INDEX(종합!U$3:U$501,MATCH(ROW()-2,종합!$AE$3:$AE$501,0))&amp;"","")</f>
        <v/>
      </c>
      <c r="V344" s="21" t="str">
        <f aca="false">IFERROR(INDEX(종합!V$3:V$501,MATCH(ROW()-2,종합!$AE$3:$AE$501,0))&amp;"","")</f>
        <v/>
      </c>
      <c r="W344" s="21" t="str">
        <f aca="false">IFERROR(INDEX(종합!W$3:W$501,MATCH(ROW()-2,종합!$AE$3:$AE$501,0))&amp;"","")</f>
        <v/>
      </c>
      <c r="X344" s="21" t="str">
        <f aca="false">IFERROR(INDEX(종합!X$3:X$501,MATCH(ROW()-2,종합!$AE$3:$AE$501,0))&amp;"","")</f>
        <v/>
      </c>
      <c r="Y344" s="21" t="str">
        <f aca="false">IFERROR(INDEX(종합!Y$3:Y$501,MATCH(ROW()-2,종합!$AE$3:$AE$501,0))&amp;"","")</f>
        <v/>
      </c>
      <c r="Z344" s="21" t="str">
        <f aca="false">IFERROR(INDEX(종합!Z$3:Z$501,MATCH(ROW()-2,종합!$AE$3:$AE$501,0))&amp;"","")</f>
        <v/>
      </c>
    </row>
    <row r="345" customFormat="false" ht="16.5" hidden="false" customHeight="true" outlineLevel="0" collapsed="false">
      <c r="A345" s="18" t="str">
        <f aca="false">IF(B345="","",ROW()-2)</f>
        <v/>
      </c>
      <c r="B345" s="18" t="str">
        <f aca="false">IFERROR(INDEX(종합!B$3:B$501,MATCH(ROW()-2,종합!$AE$3:$AE$501,0))&amp;"","")</f>
        <v/>
      </c>
      <c r="C345" s="18" t="str">
        <f aca="false">IFERROR(INDEX(종합!C$3:C$501,MATCH(ROW()-2,종합!$AE$3:$AE$501,0))&amp;"","")</f>
        <v/>
      </c>
      <c r="D345" s="18" t="str">
        <f aca="false">IFERROR(INDEX(종합!D$3:D$501,MATCH(ROW()-2,종합!$AE$3:$AE$501,0))&amp;"","")</f>
        <v/>
      </c>
      <c r="E345" s="18" t="str">
        <f aca="false">IFERROR(INDEX(종합!E$3:E$501,MATCH(ROW()-2,종합!$AE$3:$AE$501,0))&amp;"","")</f>
        <v/>
      </c>
      <c r="F345" s="18" t="str">
        <f aca="false">IFERROR(INDEX(종합!F$3:F$501,MATCH(ROW()-2,종합!$AE$3:$AE$501,0))&amp;"","")</f>
        <v/>
      </c>
      <c r="G345" s="18" t="str">
        <f aca="false">IFERROR(INDEX(종합!G$3:G$501,MATCH(ROW()-2,종합!$AE$3:$AE$501,0))&amp;"","")</f>
        <v/>
      </c>
      <c r="H345" s="21" t="str">
        <f aca="false">IFERROR(INDEX(종합!H$3:H$501,MATCH(ROW()-2,종합!$AE$3:$AE$501,0))&amp;"","")</f>
        <v/>
      </c>
      <c r="I345" s="21" t="str">
        <f aca="false">IFERROR(INDEX(종합!I$3:I$501,MATCH(ROW()-2,종합!$AE$3:$AE$501,0))&amp;"","")</f>
        <v/>
      </c>
      <c r="J345" s="21" t="str">
        <f aca="false">IFERROR(INDEX(종합!J$3:J$501,MATCH(ROW()-2,종합!$AE$3:$AE$501,0))&amp;"","")</f>
        <v/>
      </c>
      <c r="K345" s="21" t="str">
        <f aca="false">IFERROR(INDEX(종합!K$3:K$501,MATCH(ROW()-2,종합!$AE$3:$AE$501,0))&amp;"","")</f>
        <v/>
      </c>
      <c r="L345" s="21" t="str">
        <f aca="false">IFERROR(INDEX(종합!L$3:L$501,MATCH(ROW()-2,종합!$AE$3:$AE$501,0))&amp;"","")</f>
        <v/>
      </c>
      <c r="M345" s="21" t="str">
        <f aca="false">IFERROR(INDEX(종합!M$3:M$501,MATCH(ROW()-2,종합!$AE$3:$AE$501,0))&amp;"","")</f>
        <v/>
      </c>
      <c r="N345" s="25" t="str">
        <f aca="false">IFERROR(INDEX(종합!N$3:N$501,MATCH(ROW()-2,종합!$AE$3:$AE$501,0))&amp;"","")</f>
        <v/>
      </c>
      <c r="O345" s="21" t="str">
        <f aca="false">IFERROR(INDEX(종합!O$3:O$501,MATCH(ROW()-2,종합!$AE$3:$AE$501,0))&amp;"","")</f>
        <v/>
      </c>
      <c r="P345" s="21" t="str">
        <f aca="false">IFERROR(INDEX(종합!P$3:P$501,MATCH(ROW()-2,종합!$AE$3:$AE$501,0))&amp;"","")</f>
        <v/>
      </c>
      <c r="Q345" s="21" t="str">
        <f aca="false">IFERROR(INDEX(종합!Q$3:Q$501,MATCH(ROW()-2,종합!$AE$3:$AE$501,0))&amp;"","")</f>
        <v/>
      </c>
      <c r="R345" s="21" t="str">
        <f aca="false">IFERROR(INDEX(종합!R$3:R$501,MATCH(ROW()-2,종합!$AE$3:$AE$501,0))&amp;"","")</f>
        <v/>
      </c>
      <c r="S345" s="21" t="str">
        <f aca="false">IFERROR(INDEX(종합!S$3:S$501,MATCH(ROW()-2,종합!$AE$3:$AE$501,0))&amp;"","")</f>
        <v/>
      </c>
      <c r="T345" s="21" t="str">
        <f aca="false">IFERROR(INDEX(종합!T$3:T$501,MATCH(ROW()-2,종합!$AE$3:$AE$501,0))&amp;"","")</f>
        <v/>
      </c>
      <c r="U345" s="21" t="str">
        <f aca="false">IFERROR(INDEX(종합!U$3:U$501,MATCH(ROW()-2,종합!$AE$3:$AE$501,0))&amp;"","")</f>
        <v/>
      </c>
      <c r="V345" s="21" t="str">
        <f aca="false">IFERROR(INDEX(종합!V$3:V$501,MATCH(ROW()-2,종합!$AE$3:$AE$501,0))&amp;"","")</f>
        <v/>
      </c>
      <c r="W345" s="21" t="str">
        <f aca="false">IFERROR(INDEX(종합!W$3:W$501,MATCH(ROW()-2,종합!$AE$3:$AE$501,0))&amp;"","")</f>
        <v/>
      </c>
      <c r="X345" s="21" t="str">
        <f aca="false">IFERROR(INDEX(종합!X$3:X$501,MATCH(ROW()-2,종합!$AE$3:$AE$501,0))&amp;"","")</f>
        <v/>
      </c>
      <c r="Y345" s="21" t="str">
        <f aca="false">IFERROR(INDEX(종합!Y$3:Y$501,MATCH(ROW()-2,종합!$AE$3:$AE$501,0))&amp;"","")</f>
        <v/>
      </c>
      <c r="Z345" s="21" t="str">
        <f aca="false">IFERROR(INDEX(종합!Z$3:Z$501,MATCH(ROW()-2,종합!$AE$3:$AE$501,0))&amp;"","")</f>
        <v/>
      </c>
    </row>
    <row r="346" customFormat="false" ht="16.5" hidden="false" customHeight="true" outlineLevel="0" collapsed="false">
      <c r="A346" s="18" t="str">
        <f aca="false">IF(B346="","",ROW()-2)</f>
        <v/>
      </c>
      <c r="B346" s="18" t="str">
        <f aca="false">IFERROR(INDEX(종합!B$3:B$501,MATCH(ROW()-2,종합!$AE$3:$AE$501,0))&amp;"","")</f>
        <v/>
      </c>
      <c r="C346" s="18" t="str">
        <f aca="false">IFERROR(INDEX(종합!C$3:C$501,MATCH(ROW()-2,종합!$AE$3:$AE$501,0))&amp;"","")</f>
        <v/>
      </c>
      <c r="D346" s="18" t="str">
        <f aca="false">IFERROR(INDEX(종합!D$3:D$501,MATCH(ROW()-2,종합!$AE$3:$AE$501,0))&amp;"","")</f>
        <v/>
      </c>
      <c r="E346" s="18" t="str">
        <f aca="false">IFERROR(INDEX(종합!E$3:E$501,MATCH(ROW()-2,종합!$AE$3:$AE$501,0))&amp;"","")</f>
        <v/>
      </c>
      <c r="F346" s="18" t="str">
        <f aca="false">IFERROR(INDEX(종합!F$3:F$501,MATCH(ROW()-2,종합!$AE$3:$AE$501,0))&amp;"","")</f>
        <v/>
      </c>
      <c r="G346" s="18" t="str">
        <f aca="false">IFERROR(INDEX(종합!G$3:G$501,MATCH(ROW()-2,종합!$AE$3:$AE$501,0))&amp;"","")</f>
        <v/>
      </c>
      <c r="H346" s="21" t="str">
        <f aca="false">IFERROR(INDEX(종합!H$3:H$501,MATCH(ROW()-2,종합!$AE$3:$AE$501,0))&amp;"","")</f>
        <v/>
      </c>
      <c r="I346" s="21" t="str">
        <f aca="false">IFERROR(INDEX(종합!I$3:I$501,MATCH(ROW()-2,종합!$AE$3:$AE$501,0))&amp;"","")</f>
        <v/>
      </c>
      <c r="J346" s="21" t="str">
        <f aca="false">IFERROR(INDEX(종합!J$3:J$501,MATCH(ROW()-2,종합!$AE$3:$AE$501,0))&amp;"","")</f>
        <v/>
      </c>
      <c r="K346" s="21" t="str">
        <f aca="false">IFERROR(INDEX(종합!K$3:K$501,MATCH(ROW()-2,종합!$AE$3:$AE$501,0))&amp;"","")</f>
        <v/>
      </c>
      <c r="L346" s="21" t="str">
        <f aca="false">IFERROR(INDEX(종합!L$3:L$501,MATCH(ROW()-2,종합!$AE$3:$AE$501,0))&amp;"","")</f>
        <v/>
      </c>
      <c r="M346" s="21" t="str">
        <f aca="false">IFERROR(INDEX(종합!M$3:M$501,MATCH(ROW()-2,종합!$AE$3:$AE$501,0))&amp;"","")</f>
        <v/>
      </c>
      <c r="N346" s="25" t="str">
        <f aca="false">IFERROR(INDEX(종합!N$3:N$501,MATCH(ROW()-2,종합!$AE$3:$AE$501,0))&amp;"","")</f>
        <v/>
      </c>
      <c r="O346" s="21" t="str">
        <f aca="false">IFERROR(INDEX(종합!O$3:O$501,MATCH(ROW()-2,종합!$AE$3:$AE$501,0))&amp;"","")</f>
        <v/>
      </c>
      <c r="P346" s="21" t="str">
        <f aca="false">IFERROR(INDEX(종합!P$3:P$501,MATCH(ROW()-2,종합!$AE$3:$AE$501,0))&amp;"","")</f>
        <v/>
      </c>
      <c r="Q346" s="21" t="str">
        <f aca="false">IFERROR(INDEX(종합!Q$3:Q$501,MATCH(ROW()-2,종합!$AE$3:$AE$501,0))&amp;"","")</f>
        <v/>
      </c>
      <c r="R346" s="21" t="str">
        <f aca="false">IFERROR(INDEX(종합!R$3:R$501,MATCH(ROW()-2,종합!$AE$3:$AE$501,0))&amp;"","")</f>
        <v/>
      </c>
      <c r="S346" s="21" t="str">
        <f aca="false">IFERROR(INDEX(종합!S$3:S$501,MATCH(ROW()-2,종합!$AE$3:$AE$501,0))&amp;"","")</f>
        <v/>
      </c>
      <c r="T346" s="21" t="str">
        <f aca="false">IFERROR(INDEX(종합!T$3:T$501,MATCH(ROW()-2,종합!$AE$3:$AE$501,0))&amp;"","")</f>
        <v/>
      </c>
      <c r="U346" s="21" t="str">
        <f aca="false">IFERROR(INDEX(종합!U$3:U$501,MATCH(ROW()-2,종합!$AE$3:$AE$501,0))&amp;"","")</f>
        <v/>
      </c>
      <c r="V346" s="21" t="str">
        <f aca="false">IFERROR(INDEX(종합!V$3:V$501,MATCH(ROW()-2,종합!$AE$3:$AE$501,0))&amp;"","")</f>
        <v/>
      </c>
      <c r="W346" s="21" t="str">
        <f aca="false">IFERROR(INDEX(종합!W$3:W$501,MATCH(ROW()-2,종합!$AE$3:$AE$501,0))&amp;"","")</f>
        <v/>
      </c>
      <c r="X346" s="21" t="str">
        <f aca="false">IFERROR(INDEX(종합!X$3:X$501,MATCH(ROW()-2,종합!$AE$3:$AE$501,0))&amp;"","")</f>
        <v/>
      </c>
      <c r="Y346" s="21" t="str">
        <f aca="false">IFERROR(INDEX(종합!Y$3:Y$501,MATCH(ROW()-2,종합!$AE$3:$AE$501,0))&amp;"","")</f>
        <v/>
      </c>
      <c r="Z346" s="21" t="str">
        <f aca="false">IFERROR(INDEX(종합!Z$3:Z$501,MATCH(ROW()-2,종합!$AE$3:$AE$501,0))&amp;"","")</f>
        <v/>
      </c>
    </row>
    <row r="347" customFormat="false" ht="16.5" hidden="false" customHeight="true" outlineLevel="0" collapsed="false">
      <c r="A347" s="18" t="str">
        <f aca="false">IF(B347="","",ROW()-2)</f>
        <v/>
      </c>
      <c r="B347" s="18" t="str">
        <f aca="false">IFERROR(INDEX(종합!B$3:B$501,MATCH(ROW()-2,종합!$AE$3:$AE$501,0))&amp;"","")</f>
        <v/>
      </c>
      <c r="C347" s="18" t="str">
        <f aca="false">IFERROR(INDEX(종합!C$3:C$501,MATCH(ROW()-2,종합!$AE$3:$AE$501,0))&amp;"","")</f>
        <v/>
      </c>
      <c r="D347" s="18" t="str">
        <f aca="false">IFERROR(INDEX(종합!D$3:D$501,MATCH(ROW()-2,종합!$AE$3:$AE$501,0))&amp;"","")</f>
        <v/>
      </c>
      <c r="E347" s="18" t="str">
        <f aca="false">IFERROR(INDEX(종합!E$3:E$501,MATCH(ROW()-2,종합!$AE$3:$AE$501,0))&amp;"","")</f>
        <v/>
      </c>
      <c r="F347" s="18" t="str">
        <f aca="false">IFERROR(INDEX(종합!F$3:F$501,MATCH(ROW()-2,종합!$AE$3:$AE$501,0))&amp;"","")</f>
        <v/>
      </c>
      <c r="G347" s="18" t="str">
        <f aca="false">IFERROR(INDEX(종합!G$3:G$501,MATCH(ROW()-2,종합!$AE$3:$AE$501,0))&amp;"","")</f>
        <v/>
      </c>
      <c r="H347" s="21" t="str">
        <f aca="false">IFERROR(INDEX(종합!H$3:H$501,MATCH(ROW()-2,종합!$AE$3:$AE$501,0))&amp;"","")</f>
        <v/>
      </c>
      <c r="I347" s="21" t="str">
        <f aca="false">IFERROR(INDEX(종합!I$3:I$501,MATCH(ROW()-2,종합!$AE$3:$AE$501,0))&amp;"","")</f>
        <v/>
      </c>
      <c r="J347" s="21" t="str">
        <f aca="false">IFERROR(INDEX(종합!J$3:J$501,MATCH(ROW()-2,종합!$AE$3:$AE$501,0))&amp;"","")</f>
        <v/>
      </c>
      <c r="K347" s="21" t="str">
        <f aca="false">IFERROR(INDEX(종합!K$3:K$501,MATCH(ROW()-2,종합!$AE$3:$AE$501,0))&amp;"","")</f>
        <v/>
      </c>
      <c r="L347" s="21" t="str">
        <f aca="false">IFERROR(INDEX(종합!L$3:L$501,MATCH(ROW()-2,종합!$AE$3:$AE$501,0))&amp;"","")</f>
        <v/>
      </c>
      <c r="M347" s="21" t="str">
        <f aca="false">IFERROR(INDEX(종합!M$3:M$501,MATCH(ROW()-2,종합!$AE$3:$AE$501,0))&amp;"","")</f>
        <v/>
      </c>
      <c r="N347" s="25" t="str">
        <f aca="false">IFERROR(INDEX(종합!N$3:N$501,MATCH(ROW()-2,종합!$AE$3:$AE$501,0))&amp;"","")</f>
        <v/>
      </c>
      <c r="O347" s="21" t="str">
        <f aca="false">IFERROR(INDEX(종합!O$3:O$501,MATCH(ROW()-2,종합!$AE$3:$AE$501,0))&amp;"","")</f>
        <v/>
      </c>
      <c r="P347" s="21" t="str">
        <f aca="false">IFERROR(INDEX(종합!P$3:P$501,MATCH(ROW()-2,종합!$AE$3:$AE$501,0))&amp;"","")</f>
        <v/>
      </c>
      <c r="Q347" s="21" t="str">
        <f aca="false">IFERROR(INDEX(종합!Q$3:Q$501,MATCH(ROW()-2,종합!$AE$3:$AE$501,0))&amp;"","")</f>
        <v/>
      </c>
      <c r="R347" s="21" t="str">
        <f aca="false">IFERROR(INDEX(종합!R$3:R$501,MATCH(ROW()-2,종합!$AE$3:$AE$501,0))&amp;"","")</f>
        <v/>
      </c>
      <c r="S347" s="21" t="str">
        <f aca="false">IFERROR(INDEX(종합!S$3:S$501,MATCH(ROW()-2,종합!$AE$3:$AE$501,0))&amp;"","")</f>
        <v/>
      </c>
      <c r="T347" s="21" t="str">
        <f aca="false">IFERROR(INDEX(종합!T$3:T$501,MATCH(ROW()-2,종합!$AE$3:$AE$501,0))&amp;"","")</f>
        <v/>
      </c>
      <c r="U347" s="21" t="str">
        <f aca="false">IFERROR(INDEX(종합!U$3:U$501,MATCH(ROW()-2,종합!$AE$3:$AE$501,0))&amp;"","")</f>
        <v/>
      </c>
      <c r="V347" s="21" t="str">
        <f aca="false">IFERROR(INDEX(종합!V$3:V$501,MATCH(ROW()-2,종합!$AE$3:$AE$501,0))&amp;"","")</f>
        <v/>
      </c>
      <c r="W347" s="21" t="str">
        <f aca="false">IFERROR(INDEX(종합!W$3:W$501,MATCH(ROW()-2,종합!$AE$3:$AE$501,0))&amp;"","")</f>
        <v/>
      </c>
      <c r="X347" s="21" t="str">
        <f aca="false">IFERROR(INDEX(종합!X$3:X$501,MATCH(ROW()-2,종합!$AE$3:$AE$501,0))&amp;"","")</f>
        <v/>
      </c>
      <c r="Y347" s="21" t="str">
        <f aca="false">IFERROR(INDEX(종합!Y$3:Y$501,MATCH(ROW()-2,종합!$AE$3:$AE$501,0))&amp;"","")</f>
        <v/>
      </c>
      <c r="Z347" s="21" t="str">
        <f aca="false">IFERROR(INDEX(종합!Z$3:Z$501,MATCH(ROW()-2,종합!$AE$3:$AE$501,0))&amp;"","")</f>
        <v/>
      </c>
    </row>
    <row r="348" customFormat="false" ht="16.5" hidden="false" customHeight="true" outlineLevel="0" collapsed="false">
      <c r="A348" s="18" t="str">
        <f aca="false">IF(B348="","",ROW()-2)</f>
        <v/>
      </c>
      <c r="B348" s="18" t="str">
        <f aca="false">IFERROR(INDEX(종합!B$3:B$501,MATCH(ROW()-2,종합!$AE$3:$AE$501,0))&amp;"","")</f>
        <v/>
      </c>
      <c r="C348" s="18" t="str">
        <f aca="false">IFERROR(INDEX(종합!C$3:C$501,MATCH(ROW()-2,종합!$AE$3:$AE$501,0))&amp;"","")</f>
        <v/>
      </c>
      <c r="D348" s="18" t="str">
        <f aca="false">IFERROR(INDEX(종합!D$3:D$501,MATCH(ROW()-2,종합!$AE$3:$AE$501,0))&amp;"","")</f>
        <v/>
      </c>
      <c r="E348" s="18" t="str">
        <f aca="false">IFERROR(INDEX(종합!E$3:E$501,MATCH(ROW()-2,종합!$AE$3:$AE$501,0))&amp;"","")</f>
        <v/>
      </c>
      <c r="F348" s="18" t="str">
        <f aca="false">IFERROR(INDEX(종합!F$3:F$501,MATCH(ROW()-2,종합!$AE$3:$AE$501,0))&amp;"","")</f>
        <v/>
      </c>
      <c r="G348" s="18" t="str">
        <f aca="false">IFERROR(INDEX(종합!G$3:G$501,MATCH(ROW()-2,종합!$AE$3:$AE$501,0))&amp;"","")</f>
        <v/>
      </c>
      <c r="H348" s="21" t="str">
        <f aca="false">IFERROR(INDEX(종합!H$3:H$501,MATCH(ROW()-2,종합!$AE$3:$AE$501,0))&amp;"","")</f>
        <v/>
      </c>
      <c r="I348" s="21" t="str">
        <f aca="false">IFERROR(INDEX(종합!I$3:I$501,MATCH(ROW()-2,종합!$AE$3:$AE$501,0))&amp;"","")</f>
        <v/>
      </c>
      <c r="J348" s="21" t="str">
        <f aca="false">IFERROR(INDEX(종합!J$3:J$501,MATCH(ROW()-2,종합!$AE$3:$AE$501,0))&amp;"","")</f>
        <v/>
      </c>
      <c r="K348" s="21" t="str">
        <f aca="false">IFERROR(INDEX(종합!K$3:K$501,MATCH(ROW()-2,종합!$AE$3:$AE$501,0))&amp;"","")</f>
        <v/>
      </c>
      <c r="L348" s="21" t="str">
        <f aca="false">IFERROR(INDEX(종합!L$3:L$501,MATCH(ROW()-2,종합!$AE$3:$AE$501,0))&amp;"","")</f>
        <v/>
      </c>
      <c r="M348" s="21" t="str">
        <f aca="false">IFERROR(INDEX(종합!M$3:M$501,MATCH(ROW()-2,종합!$AE$3:$AE$501,0))&amp;"","")</f>
        <v/>
      </c>
      <c r="N348" s="25" t="str">
        <f aca="false">IFERROR(INDEX(종합!N$3:N$501,MATCH(ROW()-2,종합!$AE$3:$AE$501,0))&amp;"","")</f>
        <v/>
      </c>
      <c r="O348" s="21" t="str">
        <f aca="false">IFERROR(INDEX(종합!O$3:O$501,MATCH(ROW()-2,종합!$AE$3:$AE$501,0))&amp;"","")</f>
        <v/>
      </c>
      <c r="P348" s="21" t="str">
        <f aca="false">IFERROR(INDEX(종합!P$3:P$501,MATCH(ROW()-2,종합!$AE$3:$AE$501,0))&amp;"","")</f>
        <v/>
      </c>
      <c r="Q348" s="21" t="str">
        <f aca="false">IFERROR(INDEX(종합!Q$3:Q$501,MATCH(ROW()-2,종합!$AE$3:$AE$501,0))&amp;"","")</f>
        <v/>
      </c>
      <c r="R348" s="21" t="str">
        <f aca="false">IFERROR(INDEX(종합!R$3:R$501,MATCH(ROW()-2,종합!$AE$3:$AE$501,0))&amp;"","")</f>
        <v/>
      </c>
      <c r="S348" s="21" t="str">
        <f aca="false">IFERROR(INDEX(종합!S$3:S$501,MATCH(ROW()-2,종합!$AE$3:$AE$501,0))&amp;"","")</f>
        <v/>
      </c>
      <c r="T348" s="21" t="str">
        <f aca="false">IFERROR(INDEX(종합!T$3:T$501,MATCH(ROW()-2,종합!$AE$3:$AE$501,0))&amp;"","")</f>
        <v/>
      </c>
      <c r="U348" s="21" t="str">
        <f aca="false">IFERROR(INDEX(종합!U$3:U$501,MATCH(ROW()-2,종합!$AE$3:$AE$501,0))&amp;"","")</f>
        <v/>
      </c>
      <c r="V348" s="21" t="str">
        <f aca="false">IFERROR(INDEX(종합!V$3:V$501,MATCH(ROW()-2,종합!$AE$3:$AE$501,0))&amp;"","")</f>
        <v/>
      </c>
      <c r="W348" s="21" t="str">
        <f aca="false">IFERROR(INDEX(종합!W$3:W$501,MATCH(ROW()-2,종합!$AE$3:$AE$501,0))&amp;"","")</f>
        <v/>
      </c>
      <c r="X348" s="21" t="str">
        <f aca="false">IFERROR(INDEX(종합!X$3:X$501,MATCH(ROW()-2,종합!$AE$3:$AE$501,0))&amp;"","")</f>
        <v/>
      </c>
      <c r="Y348" s="21" t="str">
        <f aca="false">IFERROR(INDEX(종합!Y$3:Y$501,MATCH(ROW()-2,종합!$AE$3:$AE$501,0))&amp;"","")</f>
        <v/>
      </c>
      <c r="Z348" s="21" t="str">
        <f aca="false">IFERROR(INDEX(종합!Z$3:Z$501,MATCH(ROW()-2,종합!$AE$3:$AE$501,0))&amp;"","")</f>
        <v/>
      </c>
    </row>
    <row r="349" customFormat="false" ht="16.5" hidden="false" customHeight="true" outlineLevel="0" collapsed="false">
      <c r="A349" s="18" t="str">
        <f aca="false">IF(B349="","",ROW()-2)</f>
        <v/>
      </c>
      <c r="B349" s="18" t="str">
        <f aca="false">IFERROR(INDEX(종합!B$3:B$501,MATCH(ROW()-2,종합!$AE$3:$AE$501,0))&amp;"","")</f>
        <v/>
      </c>
      <c r="C349" s="18" t="str">
        <f aca="false">IFERROR(INDEX(종합!C$3:C$501,MATCH(ROW()-2,종합!$AE$3:$AE$501,0))&amp;"","")</f>
        <v/>
      </c>
      <c r="D349" s="18" t="str">
        <f aca="false">IFERROR(INDEX(종합!D$3:D$501,MATCH(ROW()-2,종합!$AE$3:$AE$501,0))&amp;"","")</f>
        <v/>
      </c>
      <c r="E349" s="18" t="str">
        <f aca="false">IFERROR(INDEX(종합!E$3:E$501,MATCH(ROW()-2,종합!$AE$3:$AE$501,0))&amp;"","")</f>
        <v/>
      </c>
      <c r="F349" s="18" t="str">
        <f aca="false">IFERROR(INDEX(종합!F$3:F$501,MATCH(ROW()-2,종합!$AE$3:$AE$501,0))&amp;"","")</f>
        <v/>
      </c>
      <c r="G349" s="18" t="str">
        <f aca="false">IFERROR(INDEX(종합!G$3:G$501,MATCH(ROW()-2,종합!$AE$3:$AE$501,0))&amp;"","")</f>
        <v/>
      </c>
      <c r="H349" s="21" t="str">
        <f aca="false">IFERROR(INDEX(종합!H$3:H$501,MATCH(ROW()-2,종합!$AE$3:$AE$501,0))&amp;"","")</f>
        <v/>
      </c>
      <c r="I349" s="21" t="str">
        <f aca="false">IFERROR(INDEX(종합!I$3:I$501,MATCH(ROW()-2,종합!$AE$3:$AE$501,0))&amp;"","")</f>
        <v/>
      </c>
      <c r="J349" s="21" t="str">
        <f aca="false">IFERROR(INDEX(종합!J$3:J$501,MATCH(ROW()-2,종합!$AE$3:$AE$501,0))&amp;"","")</f>
        <v/>
      </c>
      <c r="K349" s="21" t="str">
        <f aca="false">IFERROR(INDEX(종합!K$3:K$501,MATCH(ROW()-2,종합!$AE$3:$AE$501,0))&amp;"","")</f>
        <v/>
      </c>
      <c r="L349" s="21" t="str">
        <f aca="false">IFERROR(INDEX(종합!L$3:L$501,MATCH(ROW()-2,종합!$AE$3:$AE$501,0))&amp;"","")</f>
        <v/>
      </c>
      <c r="M349" s="21" t="str">
        <f aca="false">IFERROR(INDEX(종합!M$3:M$501,MATCH(ROW()-2,종합!$AE$3:$AE$501,0))&amp;"","")</f>
        <v/>
      </c>
      <c r="N349" s="25" t="str">
        <f aca="false">IFERROR(INDEX(종합!N$3:N$501,MATCH(ROW()-2,종합!$AE$3:$AE$501,0))&amp;"","")</f>
        <v/>
      </c>
      <c r="O349" s="21" t="str">
        <f aca="false">IFERROR(INDEX(종합!O$3:O$501,MATCH(ROW()-2,종합!$AE$3:$AE$501,0))&amp;"","")</f>
        <v/>
      </c>
      <c r="P349" s="21" t="str">
        <f aca="false">IFERROR(INDEX(종합!P$3:P$501,MATCH(ROW()-2,종합!$AE$3:$AE$501,0))&amp;"","")</f>
        <v/>
      </c>
      <c r="Q349" s="21" t="str">
        <f aca="false">IFERROR(INDEX(종합!Q$3:Q$501,MATCH(ROW()-2,종합!$AE$3:$AE$501,0))&amp;"","")</f>
        <v/>
      </c>
      <c r="R349" s="21" t="str">
        <f aca="false">IFERROR(INDEX(종합!R$3:R$501,MATCH(ROW()-2,종합!$AE$3:$AE$501,0))&amp;"","")</f>
        <v/>
      </c>
      <c r="S349" s="21" t="str">
        <f aca="false">IFERROR(INDEX(종합!S$3:S$501,MATCH(ROW()-2,종합!$AE$3:$AE$501,0))&amp;"","")</f>
        <v/>
      </c>
      <c r="T349" s="21" t="str">
        <f aca="false">IFERROR(INDEX(종합!T$3:T$501,MATCH(ROW()-2,종합!$AE$3:$AE$501,0))&amp;"","")</f>
        <v/>
      </c>
      <c r="U349" s="21" t="str">
        <f aca="false">IFERROR(INDEX(종합!U$3:U$501,MATCH(ROW()-2,종합!$AE$3:$AE$501,0))&amp;"","")</f>
        <v/>
      </c>
      <c r="V349" s="21" t="str">
        <f aca="false">IFERROR(INDEX(종합!V$3:V$501,MATCH(ROW()-2,종합!$AE$3:$AE$501,0))&amp;"","")</f>
        <v/>
      </c>
      <c r="W349" s="21" t="str">
        <f aca="false">IFERROR(INDEX(종합!W$3:W$501,MATCH(ROW()-2,종합!$AE$3:$AE$501,0))&amp;"","")</f>
        <v/>
      </c>
      <c r="X349" s="21" t="str">
        <f aca="false">IFERROR(INDEX(종합!X$3:X$501,MATCH(ROW()-2,종합!$AE$3:$AE$501,0))&amp;"","")</f>
        <v/>
      </c>
      <c r="Y349" s="21" t="str">
        <f aca="false">IFERROR(INDEX(종합!Y$3:Y$501,MATCH(ROW()-2,종합!$AE$3:$AE$501,0))&amp;"","")</f>
        <v/>
      </c>
      <c r="Z349" s="21" t="str">
        <f aca="false">IFERROR(INDEX(종합!Z$3:Z$501,MATCH(ROW()-2,종합!$AE$3:$AE$501,0))&amp;"","")</f>
        <v/>
      </c>
    </row>
    <row r="350" customFormat="false" ht="16.5" hidden="false" customHeight="true" outlineLevel="0" collapsed="false">
      <c r="A350" s="18" t="str">
        <f aca="false">IF(B350="","",ROW()-2)</f>
        <v/>
      </c>
      <c r="B350" s="18" t="str">
        <f aca="false">IFERROR(INDEX(종합!B$3:B$501,MATCH(ROW()-2,종합!$AE$3:$AE$501,0))&amp;"","")</f>
        <v/>
      </c>
      <c r="C350" s="18" t="str">
        <f aca="false">IFERROR(INDEX(종합!C$3:C$501,MATCH(ROW()-2,종합!$AE$3:$AE$501,0))&amp;"","")</f>
        <v/>
      </c>
      <c r="D350" s="18" t="str">
        <f aca="false">IFERROR(INDEX(종합!D$3:D$501,MATCH(ROW()-2,종합!$AE$3:$AE$501,0))&amp;"","")</f>
        <v/>
      </c>
      <c r="E350" s="18" t="str">
        <f aca="false">IFERROR(INDEX(종합!E$3:E$501,MATCH(ROW()-2,종합!$AE$3:$AE$501,0))&amp;"","")</f>
        <v/>
      </c>
      <c r="F350" s="18" t="str">
        <f aca="false">IFERROR(INDEX(종합!F$3:F$501,MATCH(ROW()-2,종합!$AE$3:$AE$501,0))&amp;"","")</f>
        <v/>
      </c>
      <c r="G350" s="18" t="str">
        <f aca="false">IFERROR(INDEX(종합!G$3:G$501,MATCH(ROW()-2,종합!$AE$3:$AE$501,0))&amp;"","")</f>
        <v/>
      </c>
      <c r="H350" s="21" t="str">
        <f aca="false">IFERROR(INDEX(종합!H$3:H$501,MATCH(ROW()-2,종합!$AE$3:$AE$501,0))&amp;"","")</f>
        <v/>
      </c>
      <c r="I350" s="21" t="str">
        <f aca="false">IFERROR(INDEX(종합!I$3:I$501,MATCH(ROW()-2,종합!$AE$3:$AE$501,0))&amp;"","")</f>
        <v/>
      </c>
      <c r="J350" s="21" t="str">
        <f aca="false">IFERROR(INDEX(종합!J$3:J$501,MATCH(ROW()-2,종합!$AE$3:$AE$501,0))&amp;"","")</f>
        <v/>
      </c>
      <c r="K350" s="21" t="str">
        <f aca="false">IFERROR(INDEX(종합!K$3:K$501,MATCH(ROW()-2,종합!$AE$3:$AE$501,0))&amp;"","")</f>
        <v/>
      </c>
      <c r="L350" s="21" t="str">
        <f aca="false">IFERROR(INDEX(종합!L$3:L$501,MATCH(ROW()-2,종합!$AE$3:$AE$501,0))&amp;"","")</f>
        <v/>
      </c>
      <c r="M350" s="21" t="str">
        <f aca="false">IFERROR(INDEX(종합!M$3:M$501,MATCH(ROW()-2,종합!$AE$3:$AE$501,0))&amp;"","")</f>
        <v/>
      </c>
      <c r="N350" s="25" t="str">
        <f aca="false">IFERROR(INDEX(종합!N$3:N$501,MATCH(ROW()-2,종합!$AE$3:$AE$501,0))&amp;"","")</f>
        <v/>
      </c>
      <c r="O350" s="21" t="str">
        <f aca="false">IFERROR(INDEX(종합!O$3:O$501,MATCH(ROW()-2,종합!$AE$3:$AE$501,0))&amp;"","")</f>
        <v/>
      </c>
      <c r="P350" s="21" t="str">
        <f aca="false">IFERROR(INDEX(종합!P$3:P$501,MATCH(ROW()-2,종합!$AE$3:$AE$501,0))&amp;"","")</f>
        <v/>
      </c>
      <c r="Q350" s="21" t="str">
        <f aca="false">IFERROR(INDEX(종합!Q$3:Q$501,MATCH(ROW()-2,종합!$AE$3:$AE$501,0))&amp;"","")</f>
        <v/>
      </c>
      <c r="R350" s="21" t="str">
        <f aca="false">IFERROR(INDEX(종합!R$3:R$501,MATCH(ROW()-2,종합!$AE$3:$AE$501,0))&amp;"","")</f>
        <v/>
      </c>
      <c r="S350" s="21" t="str">
        <f aca="false">IFERROR(INDEX(종합!S$3:S$501,MATCH(ROW()-2,종합!$AE$3:$AE$501,0))&amp;"","")</f>
        <v/>
      </c>
      <c r="T350" s="21" t="str">
        <f aca="false">IFERROR(INDEX(종합!T$3:T$501,MATCH(ROW()-2,종합!$AE$3:$AE$501,0))&amp;"","")</f>
        <v/>
      </c>
      <c r="U350" s="21" t="str">
        <f aca="false">IFERROR(INDEX(종합!U$3:U$501,MATCH(ROW()-2,종합!$AE$3:$AE$501,0))&amp;"","")</f>
        <v/>
      </c>
      <c r="V350" s="21" t="str">
        <f aca="false">IFERROR(INDEX(종합!V$3:V$501,MATCH(ROW()-2,종합!$AE$3:$AE$501,0))&amp;"","")</f>
        <v/>
      </c>
      <c r="W350" s="21" t="str">
        <f aca="false">IFERROR(INDEX(종합!W$3:W$501,MATCH(ROW()-2,종합!$AE$3:$AE$501,0))&amp;"","")</f>
        <v/>
      </c>
      <c r="X350" s="21" t="str">
        <f aca="false">IFERROR(INDEX(종합!X$3:X$501,MATCH(ROW()-2,종합!$AE$3:$AE$501,0))&amp;"","")</f>
        <v/>
      </c>
      <c r="Y350" s="21" t="str">
        <f aca="false">IFERROR(INDEX(종합!Y$3:Y$501,MATCH(ROW()-2,종합!$AE$3:$AE$501,0))&amp;"","")</f>
        <v/>
      </c>
      <c r="Z350" s="21" t="str">
        <f aca="false">IFERROR(INDEX(종합!Z$3:Z$501,MATCH(ROW()-2,종합!$AE$3:$AE$501,0))&amp;"","")</f>
        <v/>
      </c>
    </row>
    <row r="351" customFormat="false" ht="16.5" hidden="false" customHeight="true" outlineLevel="0" collapsed="false">
      <c r="A351" s="18" t="str">
        <f aca="false">IF(B351="","",ROW()-2)</f>
        <v/>
      </c>
      <c r="B351" s="18" t="str">
        <f aca="false">IFERROR(INDEX(종합!B$3:B$501,MATCH(ROW()-2,종합!$AE$3:$AE$501,0))&amp;"","")</f>
        <v/>
      </c>
      <c r="C351" s="18" t="str">
        <f aca="false">IFERROR(INDEX(종합!C$3:C$501,MATCH(ROW()-2,종합!$AE$3:$AE$501,0))&amp;"","")</f>
        <v/>
      </c>
      <c r="D351" s="18" t="str">
        <f aca="false">IFERROR(INDEX(종합!D$3:D$501,MATCH(ROW()-2,종합!$AE$3:$AE$501,0))&amp;"","")</f>
        <v/>
      </c>
      <c r="E351" s="18" t="str">
        <f aca="false">IFERROR(INDEX(종합!E$3:E$501,MATCH(ROW()-2,종합!$AE$3:$AE$501,0))&amp;"","")</f>
        <v/>
      </c>
      <c r="F351" s="18" t="str">
        <f aca="false">IFERROR(INDEX(종합!F$3:F$501,MATCH(ROW()-2,종합!$AE$3:$AE$501,0))&amp;"","")</f>
        <v/>
      </c>
      <c r="G351" s="18" t="str">
        <f aca="false">IFERROR(INDEX(종합!G$3:G$501,MATCH(ROW()-2,종합!$AE$3:$AE$501,0))&amp;"","")</f>
        <v/>
      </c>
      <c r="H351" s="21" t="str">
        <f aca="false">IFERROR(INDEX(종합!H$3:H$501,MATCH(ROW()-2,종합!$AE$3:$AE$501,0))&amp;"","")</f>
        <v/>
      </c>
      <c r="I351" s="21" t="str">
        <f aca="false">IFERROR(INDEX(종합!I$3:I$501,MATCH(ROW()-2,종합!$AE$3:$AE$501,0))&amp;"","")</f>
        <v/>
      </c>
      <c r="J351" s="21" t="str">
        <f aca="false">IFERROR(INDEX(종합!J$3:J$501,MATCH(ROW()-2,종합!$AE$3:$AE$501,0))&amp;"","")</f>
        <v/>
      </c>
      <c r="K351" s="21" t="str">
        <f aca="false">IFERROR(INDEX(종합!K$3:K$501,MATCH(ROW()-2,종합!$AE$3:$AE$501,0))&amp;"","")</f>
        <v/>
      </c>
      <c r="L351" s="21" t="str">
        <f aca="false">IFERROR(INDEX(종합!L$3:L$501,MATCH(ROW()-2,종합!$AE$3:$AE$501,0))&amp;"","")</f>
        <v/>
      </c>
      <c r="M351" s="21" t="str">
        <f aca="false">IFERROR(INDEX(종합!M$3:M$501,MATCH(ROW()-2,종합!$AE$3:$AE$501,0))&amp;"","")</f>
        <v/>
      </c>
      <c r="N351" s="25" t="str">
        <f aca="false">IFERROR(INDEX(종합!N$3:N$501,MATCH(ROW()-2,종합!$AE$3:$AE$501,0))&amp;"","")</f>
        <v/>
      </c>
      <c r="O351" s="21" t="str">
        <f aca="false">IFERROR(INDEX(종합!O$3:O$501,MATCH(ROW()-2,종합!$AE$3:$AE$501,0))&amp;"","")</f>
        <v/>
      </c>
      <c r="P351" s="21" t="str">
        <f aca="false">IFERROR(INDEX(종합!P$3:P$501,MATCH(ROW()-2,종합!$AE$3:$AE$501,0))&amp;"","")</f>
        <v/>
      </c>
      <c r="Q351" s="21" t="str">
        <f aca="false">IFERROR(INDEX(종합!Q$3:Q$501,MATCH(ROW()-2,종합!$AE$3:$AE$501,0))&amp;"","")</f>
        <v/>
      </c>
      <c r="R351" s="21" t="str">
        <f aca="false">IFERROR(INDEX(종합!R$3:R$501,MATCH(ROW()-2,종합!$AE$3:$AE$501,0))&amp;"","")</f>
        <v/>
      </c>
      <c r="S351" s="21" t="str">
        <f aca="false">IFERROR(INDEX(종합!S$3:S$501,MATCH(ROW()-2,종합!$AE$3:$AE$501,0))&amp;"","")</f>
        <v/>
      </c>
      <c r="T351" s="21" t="str">
        <f aca="false">IFERROR(INDEX(종합!T$3:T$501,MATCH(ROW()-2,종합!$AE$3:$AE$501,0))&amp;"","")</f>
        <v/>
      </c>
      <c r="U351" s="21" t="str">
        <f aca="false">IFERROR(INDEX(종합!U$3:U$501,MATCH(ROW()-2,종합!$AE$3:$AE$501,0))&amp;"","")</f>
        <v/>
      </c>
      <c r="V351" s="21" t="str">
        <f aca="false">IFERROR(INDEX(종합!V$3:V$501,MATCH(ROW()-2,종합!$AE$3:$AE$501,0))&amp;"","")</f>
        <v/>
      </c>
      <c r="W351" s="21" t="str">
        <f aca="false">IFERROR(INDEX(종합!W$3:W$501,MATCH(ROW()-2,종합!$AE$3:$AE$501,0))&amp;"","")</f>
        <v/>
      </c>
      <c r="X351" s="21" t="str">
        <f aca="false">IFERROR(INDEX(종합!X$3:X$501,MATCH(ROW()-2,종합!$AE$3:$AE$501,0))&amp;"","")</f>
        <v/>
      </c>
      <c r="Y351" s="21" t="str">
        <f aca="false">IFERROR(INDEX(종합!Y$3:Y$501,MATCH(ROW()-2,종합!$AE$3:$AE$501,0))&amp;"","")</f>
        <v/>
      </c>
      <c r="Z351" s="21" t="str">
        <f aca="false">IFERROR(INDEX(종합!Z$3:Z$501,MATCH(ROW()-2,종합!$AE$3:$AE$501,0))&amp;"","")</f>
        <v/>
      </c>
    </row>
    <row r="352" customFormat="false" ht="16.5" hidden="false" customHeight="true" outlineLevel="0" collapsed="false">
      <c r="A352" s="18" t="str">
        <f aca="false">IF(B352="","",ROW()-2)</f>
        <v/>
      </c>
      <c r="B352" s="18" t="str">
        <f aca="false">IFERROR(INDEX(종합!B$3:B$501,MATCH(ROW()-2,종합!$AE$3:$AE$501,0))&amp;"","")</f>
        <v/>
      </c>
      <c r="C352" s="18" t="str">
        <f aca="false">IFERROR(INDEX(종합!C$3:C$501,MATCH(ROW()-2,종합!$AE$3:$AE$501,0))&amp;"","")</f>
        <v/>
      </c>
      <c r="D352" s="18" t="str">
        <f aca="false">IFERROR(INDEX(종합!D$3:D$501,MATCH(ROW()-2,종합!$AE$3:$AE$501,0))&amp;"","")</f>
        <v/>
      </c>
      <c r="E352" s="18" t="str">
        <f aca="false">IFERROR(INDEX(종합!E$3:E$501,MATCH(ROW()-2,종합!$AE$3:$AE$501,0))&amp;"","")</f>
        <v/>
      </c>
      <c r="F352" s="18" t="str">
        <f aca="false">IFERROR(INDEX(종합!F$3:F$501,MATCH(ROW()-2,종합!$AE$3:$AE$501,0))&amp;"","")</f>
        <v/>
      </c>
      <c r="G352" s="18" t="str">
        <f aca="false">IFERROR(INDEX(종합!G$3:G$501,MATCH(ROW()-2,종합!$AE$3:$AE$501,0))&amp;"","")</f>
        <v/>
      </c>
      <c r="H352" s="21" t="str">
        <f aca="false">IFERROR(INDEX(종합!H$3:H$501,MATCH(ROW()-2,종합!$AE$3:$AE$501,0))&amp;"","")</f>
        <v/>
      </c>
      <c r="I352" s="21" t="str">
        <f aca="false">IFERROR(INDEX(종합!I$3:I$501,MATCH(ROW()-2,종합!$AE$3:$AE$501,0))&amp;"","")</f>
        <v/>
      </c>
      <c r="J352" s="21" t="str">
        <f aca="false">IFERROR(INDEX(종합!J$3:J$501,MATCH(ROW()-2,종합!$AE$3:$AE$501,0))&amp;"","")</f>
        <v/>
      </c>
      <c r="K352" s="21" t="str">
        <f aca="false">IFERROR(INDEX(종합!K$3:K$501,MATCH(ROW()-2,종합!$AE$3:$AE$501,0))&amp;"","")</f>
        <v/>
      </c>
      <c r="L352" s="21" t="str">
        <f aca="false">IFERROR(INDEX(종합!L$3:L$501,MATCH(ROW()-2,종합!$AE$3:$AE$501,0))&amp;"","")</f>
        <v/>
      </c>
      <c r="M352" s="21" t="str">
        <f aca="false">IFERROR(INDEX(종합!M$3:M$501,MATCH(ROW()-2,종합!$AE$3:$AE$501,0))&amp;"","")</f>
        <v/>
      </c>
      <c r="N352" s="25" t="str">
        <f aca="false">IFERROR(INDEX(종합!N$3:N$501,MATCH(ROW()-2,종합!$AE$3:$AE$501,0))&amp;"","")</f>
        <v/>
      </c>
      <c r="O352" s="21" t="str">
        <f aca="false">IFERROR(INDEX(종합!O$3:O$501,MATCH(ROW()-2,종합!$AE$3:$AE$501,0))&amp;"","")</f>
        <v/>
      </c>
      <c r="P352" s="21" t="str">
        <f aca="false">IFERROR(INDEX(종합!P$3:P$501,MATCH(ROW()-2,종합!$AE$3:$AE$501,0))&amp;"","")</f>
        <v/>
      </c>
      <c r="Q352" s="21" t="str">
        <f aca="false">IFERROR(INDEX(종합!Q$3:Q$501,MATCH(ROW()-2,종합!$AE$3:$AE$501,0))&amp;"","")</f>
        <v/>
      </c>
      <c r="R352" s="21" t="str">
        <f aca="false">IFERROR(INDEX(종합!R$3:R$501,MATCH(ROW()-2,종합!$AE$3:$AE$501,0))&amp;"","")</f>
        <v/>
      </c>
      <c r="S352" s="21" t="str">
        <f aca="false">IFERROR(INDEX(종합!S$3:S$501,MATCH(ROW()-2,종합!$AE$3:$AE$501,0))&amp;"","")</f>
        <v/>
      </c>
      <c r="T352" s="21" t="str">
        <f aca="false">IFERROR(INDEX(종합!T$3:T$501,MATCH(ROW()-2,종합!$AE$3:$AE$501,0))&amp;"","")</f>
        <v/>
      </c>
      <c r="U352" s="21" t="str">
        <f aca="false">IFERROR(INDEX(종합!U$3:U$501,MATCH(ROW()-2,종합!$AE$3:$AE$501,0))&amp;"","")</f>
        <v/>
      </c>
      <c r="V352" s="21" t="str">
        <f aca="false">IFERROR(INDEX(종합!V$3:V$501,MATCH(ROW()-2,종합!$AE$3:$AE$501,0))&amp;"","")</f>
        <v/>
      </c>
      <c r="W352" s="21" t="str">
        <f aca="false">IFERROR(INDEX(종합!W$3:W$501,MATCH(ROW()-2,종합!$AE$3:$AE$501,0))&amp;"","")</f>
        <v/>
      </c>
      <c r="X352" s="21" t="str">
        <f aca="false">IFERROR(INDEX(종합!X$3:X$501,MATCH(ROW()-2,종합!$AE$3:$AE$501,0))&amp;"","")</f>
        <v/>
      </c>
      <c r="Y352" s="21" t="str">
        <f aca="false">IFERROR(INDEX(종합!Y$3:Y$501,MATCH(ROW()-2,종합!$AE$3:$AE$501,0))&amp;"","")</f>
        <v/>
      </c>
      <c r="Z352" s="21" t="str">
        <f aca="false">IFERROR(INDEX(종합!Z$3:Z$501,MATCH(ROW()-2,종합!$AE$3:$AE$501,0))&amp;"","")</f>
        <v/>
      </c>
    </row>
    <row r="353" customFormat="false" ht="16.5" hidden="false" customHeight="true" outlineLevel="0" collapsed="false">
      <c r="A353" s="18" t="str">
        <f aca="false">IF(B353="","",ROW()-2)</f>
        <v/>
      </c>
      <c r="B353" s="18" t="str">
        <f aca="false">IFERROR(INDEX(종합!B$3:B$501,MATCH(ROW()-2,종합!$AE$3:$AE$501,0))&amp;"","")</f>
        <v/>
      </c>
      <c r="C353" s="18" t="str">
        <f aca="false">IFERROR(INDEX(종합!C$3:C$501,MATCH(ROW()-2,종합!$AE$3:$AE$501,0))&amp;"","")</f>
        <v/>
      </c>
      <c r="D353" s="18" t="str">
        <f aca="false">IFERROR(INDEX(종합!D$3:D$501,MATCH(ROW()-2,종합!$AE$3:$AE$501,0))&amp;"","")</f>
        <v/>
      </c>
      <c r="E353" s="18" t="str">
        <f aca="false">IFERROR(INDEX(종합!E$3:E$501,MATCH(ROW()-2,종합!$AE$3:$AE$501,0))&amp;"","")</f>
        <v/>
      </c>
      <c r="F353" s="18" t="str">
        <f aca="false">IFERROR(INDEX(종합!F$3:F$501,MATCH(ROW()-2,종합!$AE$3:$AE$501,0))&amp;"","")</f>
        <v/>
      </c>
      <c r="G353" s="18" t="str">
        <f aca="false">IFERROR(INDEX(종합!G$3:G$501,MATCH(ROW()-2,종합!$AE$3:$AE$501,0))&amp;"","")</f>
        <v/>
      </c>
      <c r="H353" s="21" t="str">
        <f aca="false">IFERROR(INDEX(종합!H$3:H$501,MATCH(ROW()-2,종합!$AE$3:$AE$501,0))&amp;"","")</f>
        <v/>
      </c>
      <c r="I353" s="21" t="str">
        <f aca="false">IFERROR(INDEX(종합!I$3:I$501,MATCH(ROW()-2,종합!$AE$3:$AE$501,0))&amp;"","")</f>
        <v/>
      </c>
      <c r="J353" s="21" t="str">
        <f aca="false">IFERROR(INDEX(종합!J$3:J$501,MATCH(ROW()-2,종합!$AE$3:$AE$501,0))&amp;"","")</f>
        <v/>
      </c>
      <c r="K353" s="21" t="str">
        <f aca="false">IFERROR(INDEX(종합!K$3:K$501,MATCH(ROW()-2,종합!$AE$3:$AE$501,0))&amp;"","")</f>
        <v/>
      </c>
      <c r="L353" s="21" t="str">
        <f aca="false">IFERROR(INDEX(종합!L$3:L$501,MATCH(ROW()-2,종합!$AE$3:$AE$501,0))&amp;"","")</f>
        <v/>
      </c>
      <c r="M353" s="21" t="str">
        <f aca="false">IFERROR(INDEX(종합!M$3:M$501,MATCH(ROW()-2,종합!$AE$3:$AE$501,0))&amp;"","")</f>
        <v/>
      </c>
      <c r="N353" s="25" t="str">
        <f aca="false">IFERROR(INDEX(종합!N$3:N$501,MATCH(ROW()-2,종합!$AE$3:$AE$501,0))&amp;"","")</f>
        <v/>
      </c>
      <c r="O353" s="21" t="str">
        <f aca="false">IFERROR(INDEX(종합!O$3:O$501,MATCH(ROW()-2,종합!$AE$3:$AE$501,0))&amp;"","")</f>
        <v/>
      </c>
      <c r="P353" s="21" t="str">
        <f aca="false">IFERROR(INDEX(종합!P$3:P$501,MATCH(ROW()-2,종합!$AE$3:$AE$501,0))&amp;"","")</f>
        <v/>
      </c>
      <c r="Q353" s="21" t="str">
        <f aca="false">IFERROR(INDEX(종합!Q$3:Q$501,MATCH(ROW()-2,종합!$AE$3:$AE$501,0))&amp;"","")</f>
        <v/>
      </c>
      <c r="R353" s="21" t="str">
        <f aca="false">IFERROR(INDEX(종합!R$3:R$501,MATCH(ROW()-2,종합!$AE$3:$AE$501,0))&amp;"","")</f>
        <v/>
      </c>
      <c r="S353" s="21" t="str">
        <f aca="false">IFERROR(INDEX(종합!S$3:S$501,MATCH(ROW()-2,종합!$AE$3:$AE$501,0))&amp;"","")</f>
        <v/>
      </c>
      <c r="T353" s="21" t="str">
        <f aca="false">IFERROR(INDEX(종합!T$3:T$501,MATCH(ROW()-2,종합!$AE$3:$AE$501,0))&amp;"","")</f>
        <v/>
      </c>
      <c r="U353" s="21" t="str">
        <f aca="false">IFERROR(INDEX(종합!U$3:U$501,MATCH(ROW()-2,종합!$AE$3:$AE$501,0))&amp;"","")</f>
        <v/>
      </c>
      <c r="V353" s="21" t="str">
        <f aca="false">IFERROR(INDEX(종합!V$3:V$501,MATCH(ROW()-2,종합!$AE$3:$AE$501,0))&amp;"","")</f>
        <v/>
      </c>
      <c r="W353" s="21" t="str">
        <f aca="false">IFERROR(INDEX(종합!W$3:W$501,MATCH(ROW()-2,종합!$AE$3:$AE$501,0))&amp;"","")</f>
        <v/>
      </c>
      <c r="X353" s="21" t="str">
        <f aca="false">IFERROR(INDEX(종합!X$3:X$501,MATCH(ROW()-2,종합!$AE$3:$AE$501,0))&amp;"","")</f>
        <v/>
      </c>
      <c r="Y353" s="21" t="str">
        <f aca="false">IFERROR(INDEX(종합!Y$3:Y$501,MATCH(ROW()-2,종합!$AE$3:$AE$501,0))&amp;"","")</f>
        <v/>
      </c>
      <c r="Z353" s="21" t="str">
        <f aca="false">IFERROR(INDEX(종합!Z$3:Z$501,MATCH(ROW()-2,종합!$AE$3:$AE$501,0))&amp;"","")</f>
        <v/>
      </c>
    </row>
    <row r="354" customFormat="false" ht="16.5" hidden="false" customHeight="true" outlineLevel="0" collapsed="false">
      <c r="A354" s="18" t="str">
        <f aca="false">IF(B354="","",ROW()-2)</f>
        <v/>
      </c>
      <c r="B354" s="18" t="str">
        <f aca="false">IFERROR(INDEX(종합!B$3:B$501,MATCH(ROW()-2,종합!$AE$3:$AE$501,0))&amp;"","")</f>
        <v/>
      </c>
      <c r="C354" s="18" t="str">
        <f aca="false">IFERROR(INDEX(종합!C$3:C$501,MATCH(ROW()-2,종합!$AE$3:$AE$501,0))&amp;"","")</f>
        <v/>
      </c>
      <c r="D354" s="18" t="str">
        <f aca="false">IFERROR(INDEX(종합!D$3:D$501,MATCH(ROW()-2,종합!$AE$3:$AE$501,0))&amp;"","")</f>
        <v/>
      </c>
      <c r="E354" s="18" t="str">
        <f aca="false">IFERROR(INDEX(종합!E$3:E$501,MATCH(ROW()-2,종합!$AE$3:$AE$501,0))&amp;"","")</f>
        <v/>
      </c>
      <c r="F354" s="18" t="str">
        <f aca="false">IFERROR(INDEX(종합!F$3:F$501,MATCH(ROW()-2,종합!$AE$3:$AE$501,0))&amp;"","")</f>
        <v/>
      </c>
      <c r="G354" s="18" t="str">
        <f aca="false">IFERROR(INDEX(종합!G$3:G$501,MATCH(ROW()-2,종합!$AE$3:$AE$501,0))&amp;"","")</f>
        <v/>
      </c>
      <c r="H354" s="21" t="str">
        <f aca="false">IFERROR(INDEX(종합!H$3:H$501,MATCH(ROW()-2,종합!$AE$3:$AE$501,0))&amp;"","")</f>
        <v/>
      </c>
      <c r="I354" s="21" t="str">
        <f aca="false">IFERROR(INDEX(종합!I$3:I$501,MATCH(ROW()-2,종합!$AE$3:$AE$501,0))&amp;"","")</f>
        <v/>
      </c>
      <c r="J354" s="21" t="str">
        <f aca="false">IFERROR(INDEX(종합!J$3:J$501,MATCH(ROW()-2,종합!$AE$3:$AE$501,0))&amp;"","")</f>
        <v/>
      </c>
      <c r="K354" s="21" t="str">
        <f aca="false">IFERROR(INDEX(종합!K$3:K$501,MATCH(ROW()-2,종합!$AE$3:$AE$501,0))&amp;"","")</f>
        <v/>
      </c>
      <c r="L354" s="21" t="str">
        <f aca="false">IFERROR(INDEX(종합!L$3:L$501,MATCH(ROW()-2,종합!$AE$3:$AE$501,0))&amp;"","")</f>
        <v/>
      </c>
      <c r="M354" s="21" t="str">
        <f aca="false">IFERROR(INDEX(종합!M$3:M$501,MATCH(ROW()-2,종합!$AE$3:$AE$501,0))&amp;"","")</f>
        <v/>
      </c>
      <c r="N354" s="25" t="str">
        <f aca="false">IFERROR(INDEX(종합!N$3:N$501,MATCH(ROW()-2,종합!$AE$3:$AE$501,0))&amp;"","")</f>
        <v/>
      </c>
      <c r="O354" s="21" t="str">
        <f aca="false">IFERROR(INDEX(종합!O$3:O$501,MATCH(ROW()-2,종합!$AE$3:$AE$501,0))&amp;"","")</f>
        <v/>
      </c>
      <c r="P354" s="21" t="str">
        <f aca="false">IFERROR(INDEX(종합!P$3:P$501,MATCH(ROW()-2,종합!$AE$3:$AE$501,0))&amp;"","")</f>
        <v/>
      </c>
      <c r="Q354" s="21" t="str">
        <f aca="false">IFERROR(INDEX(종합!Q$3:Q$501,MATCH(ROW()-2,종합!$AE$3:$AE$501,0))&amp;"","")</f>
        <v/>
      </c>
      <c r="R354" s="21" t="str">
        <f aca="false">IFERROR(INDEX(종합!R$3:R$501,MATCH(ROW()-2,종합!$AE$3:$AE$501,0))&amp;"","")</f>
        <v/>
      </c>
      <c r="S354" s="21" t="str">
        <f aca="false">IFERROR(INDEX(종합!S$3:S$501,MATCH(ROW()-2,종합!$AE$3:$AE$501,0))&amp;"","")</f>
        <v/>
      </c>
      <c r="T354" s="21" t="str">
        <f aca="false">IFERROR(INDEX(종합!T$3:T$501,MATCH(ROW()-2,종합!$AE$3:$AE$501,0))&amp;"","")</f>
        <v/>
      </c>
      <c r="U354" s="21" t="str">
        <f aca="false">IFERROR(INDEX(종합!U$3:U$501,MATCH(ROW()-2,종합!$AE$3:$AE$501,0))&amp;"","")</f>
        <v/>
      </c>
      <c r="V354" s="21" t="str">
        <f aca="false">IFERROR(INDEX(종합!V$3:V$501,MATCH(ROW()-2,종합!$AE$3:$AE$501,0))&amp;"","")</f>
        <v/>
      </c>
      <c r="W354" s="21" t="str">
        <f aca="false">IFERROR(INDEX(종합!W$3:W$501,MATCH(ROW()-2,종합!$AE$3:$AE$501,0))&amp;"","")</f>
        <v/>
      </c>
      <c r="X354" s="21" t="str">
        <f aca="false">IFERROR(INDEX(종합!X$3:X$501,MATCH(ROW()-2,종합!$AE$3:$AE$501,0))&amp;"","")</f>
        <v/>
      </c>
      <c r="Y354" s="21" t="str">
        <f aca="false">IFERROR(INDEX(종합!Y$3:Y$501,MATCH(ROW()-2,종합!$AE$3:$AE$501,0))&amp;"","")</f>
        <v/>
      </c>
      <c r="Z354" s="21" t="str">
        <f aca="false">IFERROR(INDEX(종합!Z$3:Z$501,MATCH(ROW()-2,종합!$AE$3:$AE$501,0))&amp;"","")</f>
        <v/>
      </c>
    </row>
    <row r="355" customFormat="false" ht="16.5" hidden="false" customHeight="true" outlineLevel="0" collapsed="false">
      <c r="A355" s="18" t="str">
        <f aca="false">IF(B355="","",ROW()-2)</f>
        <v/>
      </c>
      <c r="B355" s="18" t="str">
        <f aca="false">IFERROR(INDEX(종합!B$3:B$501,MATCH(ROW()-2,종합!$AE$3:$AE$501,0))&amp;"","")</f>
        <v/>
      </c>
      <c r="C355" s="18" t="str">
        <f aca="false">IFERROR(INDEX(종합!C$3:C$501,MATCH(ROW()-2,종합!$AE$3:$AE$501,0))&amp;"","")</f>
        <v/>
      </c>
      <c r="D355" s="18" t="str">
        <f aca="false">IFERROR(INDEX(종합!D$3:D$501,MATCH(ROW()-2,종합!$AE$3:$AE$501,0))&amp;"","")</f>
        <v/>
      </c>
      <c r="E355" s="18" t="str">
        <f aca="false">IFERROR(INDEX(종합!E$3:E$501,MATCH(ROW()-2,종합!$AE$3:$AE$501,0))&amp;"","")</f>
        <v/>
      </c>
      <c r="F355" s="18" t="str">
        <f aca="false">IFERROR(INDEX(종합!F$3:F$501,MATCH(ROW()-2,종합!$AE$3:$AE$501,0))&amp;"","")</f>
        <v/>
      </c>
      <c r="G355" s="18" t="str">
        <f aca="false">IFERROR(INDEX(종합!G$3:G$501,MATCH(ROW()-2,종합!$AE$3:$AE$501,0))&amp;"","")</f>
        <v/>
      </c>
      <c r="H355" s="21" t="str">
        <f aca="false">IFERROR(INDEX(종합!H$3:H$501,MATCH(ROW()-2,종합!$AE$3:$AE$501,0))&amp;"","")</f>
        <v/>
      </c>
      <c r="I355" s="21" t="str">
        <f aca="false">IFERROR(INDEX(종합!I$3:I$501,MATCH(ROW()-2,종합!$AE$3:$AE$501,0))&amp;"","")</f>
        <v/>
      </c>
      <c r="J355" s="21" t="str">
        <f aca="false">IFERROR(INDEX(종합!J$3:J$501,MATCH(ROW()-2,종합!$AE$3:$AE$501,0))&amp;"","")</f>
        <v/>
      </c>
      <c r="K355" s="21" t="str">
        <f aca="false">IFERROR(INDEX(종합!K$3:K$501,MATCH(ROW()-2,종합!$AE$3:$AE$501,0))&amp;"","")</f>
        <v/>
      </c>
      <c r="L355" s="21" t="str">
        <f aca="false">IFERROR(INDEX(종합!L$3:L$501,MATCH(ROW()-2,종합!$AE$3:$AE$501,0))&amp;"","")</f>
        <v/>
      </c>
      <c r="M355" s="21" t="str">
        <f aca="false">IFERROR(INDEX(종합!M$3:M$501,MATCH(ROW()-2,종합!$AE$3:$AE$501,0))&amp;"","")</f>
        <v/>
      </c>
      <c r="N355" s="25" t="str">
        <f aca="false">IFERROR(INDEX(종합!N$3:N$501,MATCH(ROW()-2,종합!$AE$3:$AE$501,0))&amp;"","")</f>
        <v/>
      </c>
      <c r="O355" s="21" t="str">
        <f aca="false">IFERROR(INDEX(종합!O$3:O$501,MATCH(ROW()-2,종합!$AE$3:$AE$501,0))&amp;"","")</f>
        <v/>
      </c>
      <c r="P355" s="21" t="str">
        <f aca="false">IFERROR(INDEX(종합!P$3:P$501,MATCH(ROW()-2,종합!$AE$3:$AE$501,0))&amp;"","")</f>
        <v/>
      </c>
      <c r="Q355" s="21" t="str">
        <f aca="false">IFERROR(INDEX(종합!Q$3:Q$501,MATCH(ROW()-2,종합!$AE$3:$AE$501,0))&amp;"","")</f>
        <v/>
      </c>
      <c r="R355" s="21" t="str">
        <f aca="false">IFERROR(INDEX(종합!R$3:R$501,MATCH(ROW()-2,종합!$AE$3:$AE$501,0))&amp;"","")</f>
        <v/>
      </c>
      <c r="S355" s="21" t="str">
        <f aca="false">IFERROR(INDEX(종합!S$3:S$501,MATCH(ROW()-2,종합!$AE$3:$AE$501,0))&amp;"","")</f>
        <v/>
      </c>
      <c r="T355" s="21" t="str">
        <f aca="false">IFERROR(INDEX(종합!T$3:T$501,MATCH(ROW()-2,종합!$AE$3:$AE$501,0))&amp;"","")</f>
        <v/>
      </c>
      <c r="U355" s="21" t="str">
        <f aca="false">IFERROR(INDEX(종합!U$3:U$501,MATCH(ROW()-2,종합!$AE$3:$AE$501,0))&amp;"","")</f>
        <v/>
      </c>
      <c r="V355" s="21" t="str">
        <f aca="false">IFERROR(INDEX(종합!V$3:V$501,MATCH(ROW()-2,종합!$AE$3:$AE$501,0))&amp;"","")</f>
        <v/>
      </c>
      <c r="W355" s="21" t="str">
        <f aca="false">IFERROR(INDEX(종합!W$3:W$501,MATCH(ROW()-2,종합!$AE$3:$AE$501,0))&amp;"","")</f>
        <v/>
      </c>
      <c r="X355" s="21" t="str">
        <f aca="false">IFERROR(INDEX(종합!X$3:X$501,MATCH(ROW()-2,종합!$AE$3:$AE$501,0))&amp;"","")</f>
        <v/>
      </c>
      <c r="Y355" s="21" t="str">
        <f aca="false">IFERROR(INDEX(종합!Y$3:Y$501,MATCH(ROW()-2,종합!$AE$3:$AE$501,0))&amp;"","")</f>
        <v/>
      </c>
      <c r="Z355" s="21" t="str">
        <f aca="false">IFERROR(INDEX(종합!Z$3:Z$501,MATCH(ROW()-2,종합!$AE$3:$AE$501,0))&amp;"","")</f>
        <v/>
      </c>
    </row>
    <row r="356" customFormat="false" ht="16.5" hidden="false" customHeight="true" outlineLevel="0" collapsed="false">
      <c r="A356" s="18" t="str">
        <f aca="false">IF(B356="","",ROW()-2)</f>
        <v/>
      </c>
      <c r="B356" s="18" t="str">
        <f aca="false">IFERROR(INDEX(종합!B$3:B$501,MATCH(ROW()-2,종합!$AE$3:$AE$501,0))&amp;"","")</f>
        <v/>
      </c>
      <c r="C356" s="18" t="str">
        <f aca="false">IFERROR(INDEX(종합!C$3:C$501,MATCH(ROW()-2,종합!$AE$3:$AE$501,0))&amp;"","")</f>
        <v/>
      </c>
      <c r="D356" s="18" t="str">
        <f aca="false">IFERROR(INDEX(종합!D$3:D$501,MATCH(ROW()-2,종합!$AE$3:$AE$501,0))&amp;"","")</f>
        <v/>
      </c>
      <c r="E356" s="18" t="str">
        <f aca="false">IFERROR(INDEX(종합!E$3:E$501,MATCH(ROW()-2,종합!$AE$3:$AE$501,0))&amp;"","")</f>
        <v/>
      </c>
      <c r="F356" s="18" t="str">
        <f aca="false">IFERROR(INDEX(종합!F$3:F$501,MATCH(ROW()-2,종합!$AE$3:$AE$501,0))&amp;"","")</f>
        <v/>
      </c>
      <c r="G356" s="18" t="str">
        <f aca="false">IFERROR(INDEX(종합!G$3:G$501,MATCH(ROW()-2,종합!$AE$3:$AE$501,0))&amp;"","")</f>
        <v/>
      </c>
      <c r="H356" s="21" t="str">
        <f aca="false">IFERROR(INDEX(종합!H$3:H$501,MATCH(ROW()-2,종합!$AE$3:$AE$501,0))&amp;"","")</f>
        <v/>
      </c>
      <c r="I356" s="21" t="str">
        <f aca="false">IFERROR(INDEX(종합!I$3:I$501,MATCH(ROW()-2,종합!$AE$3:$AE$501,0))&amp;"","")</f>
        <v/>
      </c>
      <c r="J356" s="21" t="str">
        <f aca="false">IFERROR(INDEX(종합!J$3:J$501,MATCH(ROW()-2,종합!$AE$3:$AE$501,0))&amp;"","")</f>
        <v/>
      </c>
      <c r="K356" s="21" t="str">
        <f aca="false">IFERROR(INDEX(종합!K$3:K$501,MATCH(ROW()-2,종합!$AE$3:$AE$501,0))&amp;"","")</f>
        <v/>
      </c>
      <c r="L356" s="21" t="str">
        <f aca="false">IFERROR(INDEX(종합!L$3:L$501,MATCH(ROW()-2,종합!$AE$3:$AE$501,0))&amp;"","")</f>
        <v/>
      </c>
      <c r="M356" s="21" t="str">
        <f aca="false">IFERROR(INDEX(종합!M$3:M$501,MATCH(ROW()-2,종합!$AE$3:$AE$501,0))&amp;"","")</f>
        <v/>
      </c>
      <c r="N356" s="25" t="str">
        <f aca="false">IFERROR(INDEX(종합!N$3:N$501,MATCH(ROW()-2,종합!$AE$3:$AE$501,0))&amp;"","")</f>
        <v/>
      </c>
      <c r="O356" s="21" t="str">
        <f aca="false">IFERROR(INDEX(종합!O$3:O$501,MATCH(ROW()-2,종합!$AE$3:$AE$501,0))&amp;"","")</f>
        <v/>
      </c>
      <c r="P356" s="21" t="str">
        <f aca="false">IFERROR(INDEX(종합!P$3:P$501,MATCH(ROW()-2,종합!$AE$3:$AE$501,0))&amp;"","")</f>
        <v/>
      </c>
      <c r="Q356" s="21" t="str">
        <f aca="false">IFERROR(INDEX(종합!Q$3:Q$501,MATCH(ROW()-2,종합!$AE$3:$AE$501,0))&amp;"","")</f>
        <v/>
      </c>
      <c r="R356" s="21" t="str">
        <f aca="false">IFERROR(INDEX(종합!R$3:R$501,MATCH(ROW()-2,종합!$AE$3:$AE$501,0))&amp;"","")</f>
        <v/>
      </c>
      <c r="S356" s="21" t="str">
        <f aca="false">IFERROR(INDEX(종합!S$3:S$501,MATCH(ROW()-2,종합!$AE$3:$AE$501,0))&amp;"","")</f>
        <v/>
      </c>
      <c r="T356" s="21" t="str">
        <f aca="false">IFERROR(INDEX(종합!T$3:T$501,MATCH(ROW()-2,종합!$AE$3:$AE$501,0))&amp;"","")</f>
        <v/>
      </c>
      <c r="U356" s="21" t="str">
        <f aca="false">IFERROR(INDEX(종합!U$3:U$501,MATCH(ROW()-2,종합!$AE$3:$AE$501,0))&amp;"","")</f>
        <v/>
      </c>
      <c r="V356" s="21" t="str">
        <f aca="false">IFERROR(INDEX(종합!V$3:V$501,MATCH(ROW()-2,종합!$AE$3:$AE$501,0))&amp;"","")</f>
        <v/>
      </c>
      <c r="W356" s="21" t="str">
        <f aca="false">IFERROR(INDEX(종합!W$3:W$501,MATCH(ROW()-2,종합!$AE$3:$AE$501,0))&amp;"","")</f>
        <v/>
      </c>
      <c r="X356" s="21" t="str">
        <f aca="false">IFERROR(INDEX(종합!X$3:X$501,MATCH(ROW()-2,종합!$AE$3:$AE$501,0))&amp;"","")</f>
        <v/>
      </c>
      <c r="Y356" s="21" t="str">
        <f aca="false">IFERROR(INDEX(종합!Y$3:Y$501,MATCH(ROW()-2,종합!$AE$3:$AE$501,0))&amp;"","")</f>
        <v/>
      </c>
      <c r="Z356" s="21" t="str">
        <f aca="false">IFERROR(INDEX(종합!Z$3:Z$501,MATCH(ROW()-2,종합!$AE$3:$AE$501,0))&amp;"","")</f>
        <v/>
      </c>
    </row>
    <row r="357" customFormat="false" ht="16.5" hidden="false" customHeight="true" outlineLevel="0" collapsed="false">
      <c r="A357" s="18" t="str">
        <f aca="false">IF(B357="","",ROW()-2)</f>
        <v/>
      </c>
      <c r="B357" s="18" t="str">
        <f aca="false">IFERROR(INDEX(종합!B$3:B$501,MATCH(ROW()-2,종합!$AE$3:$AE$501,0))&amp;"","")</f>
        <v/>
      </c>
      <c r="C357" s="18" t="str">
        <f aca="false">IFERROR(INDEX(종합!C$3:C$501,MATCH(ROW()-2,종합!$AE$3:$AE$501,0))&amp;"","")</f>
        <v/>
      </c>
      <c r="D357" s="18" t="str">
        <f aca="false">IFERROR(INDEX(종합!D$3:D$501,MATCH(ROW()-2,종합!$AE$3:$AE$501,0))&amp;"","")</f>
        <v/>
      </c>
      <c r="E357" s="18" t="str">
        <f aca="false">IFERROR(INDEX(종합!E$3:E$501,MATCH(ROW()-2,종합!$AE$3:$AE$501,0))&amp;"","")</f>
        <v/>
      </c>
      <c r="F357" s="18" t="str">
        <f aca="false">IFERROR(INDEX(종합!F$3:F$501,MATCH(ROW()-2,종합!$AE$3:$AE$501,0))&amp;"","")</f>
        <v/>
      </c>
      <c r="G357" s="18" t="str">
        <f aca="false">IFERROR(INDEX(종합!G$3:G$501,MATCH(ROW()-2,종합!$AE$3:$AE$501,0))&amp;"","")</f>
        <v/>
      </c>
      <c r="H357" s="21" t="str">
        <f aca="false">IFERROR(INDEX(종합!H$3:H$501,MATCH(ROW()-2,종합!$AE$3:$AE$501,0))&amp;"","")</f>
        <v/>
      </c>
      <c r="I357" s="21" t="str">
        <f aca="false">IFERROR(INDEX(종합!I$3:I$501,MATCH(ROW()-2,종합!$AE$3:$AE$501,0))&amp;"","")</f>
        <v/>
      </c>
      <c r="J357" s="21" t="str">
        <f aca="false">IFERROR(INDEX(종합!J$3:J$501,MATCH(ROW()-2,종합!$AE$3:$AE$501,0))&amp;"","")</f>
        <v/>
      </c>
      <c r="K357" s="21" t="str">
        <f aca="false">IFERROR(INDEX(종합!K$3:K$501,MATCH(ROW()-2,종합!$AE$3:$AE$501,0))&amp;"","")</f>
        <v/>
      </c>
      <c r="L357" s="21" t="str">
        <f aca="false">IFERROR(INDEX(종합!L$3:L$501,MATCH(ROW()-2,종합!$AE$3:$AE$501,0))&amp;"","")</f>
        <v/>
      </c>
      <c r="M357" s="21" t="str">
        <f aca="false">IFERROR(INDEX(종합!M$3:M$501,MATCH(ROW()-2,종합!$AE$3:$AE$501,0))&amp;"","")</f>
        <v/>
      </c>
      <c r="N357" s="25" t="str">
        <f aca="false">IFERROR(INDEX(종합!N$3:N$501,MATCH(ROW()-2,종합!$AE$3:$AE$501,0))&amp;"","")</f>
        <v/>
      </c>
      <c r="O357" s="21" t="str">
        <f aca="false">IFERROR(INDEX(종합!O$3:O$501,MATCH(ROW()-2,종합!$AE$3:$AE$501,0))&amp;"","")</f>
        <v/>
      </c>
      <c r="P357" s="21" t="str">
        <f aca="false">IFERROR(INDEX(종합!P$3:P$501,MATCH(ROW()-2,종합!$AE$3:$AE$501,0))&amp;"","")</f>
        <v/>
      </c>
      <c r="Q357" s="21" t="str">
        <f aca="false">IFERROR(INDEX(종합!Q$3:Q$501,MATCH(ROW()-2,종합!$AE$3:$AE$501,0))&amp;"","")</f>
        <v/>
      </c>
      <c r="R357" s="21" t="str">
        <f aca="false">IFERROR(INDEX(종합!R$3:R$501,MATCH(ROW()-2,종합!$AE$3:$AE$501,0))&amp;"","")</f>
        <v/>
      </c>
      <c r="S357" s="21" t="str">
        <f aca="false">IFERROR(INDEX(종합!S$3:S$501,MATCH(ROW()-2,종합!$AE$3:$AE$501,0))&amp;"","")</f>
        <v/>
      </c>
      <c r="T357" s="21" t="str">
        <f aca="false">IFERROR(INDEX(종합!T$3:T$501,MATCH(ROW()-2,종합!$AE$3:$AE$501,0))&amp;"","")</f>
        <v/>
      </c>
      <c r="U357" s="21" t="str">
        <f aca="false">IFERROR(INDEX(종합!U$3:U$501,MATCH(ROW()-2,종합!$AE$3:$AE$501,0))&amp;"","")</f>
        <v/>
      </c>
      <c r="V357" s="21" t="str">
        <f aca="false">IFERROR(INDEX(종합!V$3:V$501,MATCH(ROW()-2,종합!$AE$3:$AE$501,0))&amp;"","")</f>
        <v/>
      </c>
      <c r="W357" s="21" t="str">
        <f aca="false">IFERROR(INDEX(종합!W$3:W$501,MATCH(ROW()-2,종합!$AE$3:$AE$501,0))&amp;"","")</f>
        <v/>
      </c>
      <c r="X357" s="21" t="str">
        <f aca="false">IFERROR(INDEX(종합!X$3:X$501,MATCH(ROW()-2,종합!$AE$3:$AE$501,0))&amp;"","")</f>
        <v/>
      </c>
      <c r="Y357" s="21" t="str">
        <f aca="false">IFERROR(INDEX(종합!Y$3:Y$501,MATCH(ROW()-2,종합!$AE$3:$AE$501,0))&amp;"","")</f>
        <v/>
      </c>
      <c r="Z357" s="21" t="str">
        <f aca="false">IFERROR(INDEX(종합!Z$3:Z$501,MATCH(ROW()-2,종합!$AE$3:$AE$501,0))&amp;"","")</f>
        <v/>
      </c>
    </row>
    <row r="358" customFormat="false" ht="16.5" hidden="false" customHeight="true" outlineLevel="0" collapsed="false">
      <c r="A358" s="18" t="str">
        <f aca="false">IF(B358="","",ROW()-2)</f>
        <v/>
      </c>
      <c r="B358" s="18" t="str">
        <f aca="false">IFERROR(INDEX(종합!B$3:B$501,MATCH(ROW()-2,종합!$AE$3:$AE$501,0))&amp;"","")</f>
        <v/>
      </c>
      <c r="C358" s="18" t="str">
        <f aca="false">IFERROR(INDEX(종합!C$3:C$501,MATCH(ROW()-2,종합!$AE$3:$AE$501,0))&amp;"","")</f>
        <v/>
      </c>
      <c r="D358" s="18" t="str">
        <f aca="false">IFERROR(INDEX(종합!D$3:D$501,MATCH(ROW()-2,종합!$AE$3:$AE$501,0))&amp;"","")</f>
        <v/>
      </c>
      <c r="E358" s="18" t="str">
        <f aca="false">IFERROR(INDEX(종합!E$3:E$501,MATCH(ROW()-2,종합!$AE$3:$AE$501,0))&amp;"","")</f>
        <v/>
      </c>
      <c r="F358" s="18" t="str">
        <f aca="false">IFERROR(INDEX(종합!F$3:F$501,MATCH(ROW()-2,종합!$AE$3:$AE$501,0))&amp;"","")</f>
        <v/>
      </c>
      <c r="G358" s="18" t="str">
        <f aca="false">IFERROR(INDEX(종합!G$3:G$501,MATCH(ROW()-2,종합!$AE$3:$AE$501,0))&amp;"","")</f>
        <v/>
      </c>
      <c r="H358" s="21" t="str">
        <f aca="false">IFERROR(INDEX(종합!H$3:H$501,MATCH(ROW()-2,종합!$AE$3:$AE$501,0))&amp;"","")</f>
        <v/>
      </c>
      <c r="I358" s="21" t="str">
        <f aca="false">IFERROR(INDEX(종합!I$3:I$501,MATCH(ROW()-2,종합!$AE$3:$AE$501,0))&amp;"","")</f>
        <v/>
      </c>
      <c r="J358" s="21" t="str">
        <f aca="false">IFERROR(INDEX(종합!J$3:J$501,MATCH(ROW()-2,종합!$AE$3:$AE$501,0))&amp;"","")</f>
        <v/>
      </c>
      <c r="K358" s="21" t="str">
        <f aca="false">IFERROR(INDEX(종합!K$3:K$501,MATCH(ROW()-2,종합!$AE$3:$AE$501,0))&amp;"","")</f>
        <v/>
      </c>
      <c r="L358" s="21" t="str">
        <f aca="false">IFERROR(INDEX(종합!L$3:L$501,MATCH(ROW()-2,종합!$AE$3:$AE$501,0))&amp;"","")</f>
        <v/>
      </c>
      <c r="M358" s="21" t="str">
        <f aca="false">IFERROR(INDEX(종합!M$3:M$501,MATCH(ROW()-2,종합!$AE$3:$AE$501,0))&amp;"","")</f>
        <v/>
      </c>
      <c r="N358" s="25" t="str">
        <f aca="false">IFERROR(INDEX(종합!N$3:N$501,MATCH(ROW()-2,종합!$AE$3:$AE$501,0))&amp;"","")</f>
        <v/>
      </c>
      <c r="O358" s="21" t="str">
        <f aca="false">IFERROR(INDEX(종합!O$3:O$501,MATCH(ROW()-2,종합!$AE$3:$AE$501,0))&amp;"","")</f>
        <v/>
      </c>
      <c r="P358" s="21" t="str">
        <f aca="false">IFERROR(INDEX(종합!P$3:P$501,MATCH(ROW()-2,종합!$AE$3:$AE$501,0))&amp;"","")</f>
        <v/>
      </c>
      <c r="Q358" s="21" t="str">
        <f aca="false">IFERROR(INDEX(종합!Q$3:Q$501,MATCH(ROW()-2,종합!$AE$3:$AE$501,0))&amp;"","")</f>
        <v/>
      </c>
      <c r="R358" s="21" t="str">
        <f aca="false">IFERROR(INDEX(종합!R$3:R$501,MATCH(ROW()-2,종합!$AE$3:$AE$501,0))&amp;"","")</f>
        <v/>
      </c>
      <c r="S358" s="21" t="str">
        <f aca="false">IFERROR(INDEX(종합!S$3:S$501,MATCH(ROW()-2,종합!$AE$3:$AE$501,0))&amp;"","")</f>
        <v/>
      </c>
      <c r="T358" s="21" t="str">
        <f aca="false">IFERROR(INDEX(종합!T$3:T$501,MATCH(ROW()-2,종합!$AE$3:$AE$501,0))&amp;"","")</f>
        <v/>
      </c>
      <c r="U358" s="21" t="str">
        <f aca="false">IFERROR(INDEX(종합!U$3:U$501,MATCH(ROW()-2,종합!$AE$3:$AE$501,0))&amp;"","")</f>
        <v/>
      </c>
      <c r="V358" s="21" t="str">
        <f aca="false">IFERROR(INDEX(종합!V$3:V$501,MATCH(ROW()-2,종합!$AE$3:$AE$501,0))&amp;"","")</f>
        <v/>
      </c>
      <c r="W358" s="21" t="str">
        <f aca="false">IFERROR(INDEX(종합!W$3:W$501,MATCH(ROW()-2,종합!$AE$3:$AE$501,0))&amp;"","")</f>
        <v/>
      </c>
      <c r="X358" s="21" t="str">
        <f aca="false">IFERROR(INDEX(종합!X$3:X$501,MATCH(ROW()-2,종합!$AE$3:$AE$501,0))&amp;"","")</f>
        <v/>
      </c>
      <c r="Y358" s="21" t="str">
        <f aca="false">IFERROR(INDEX(종합!Y$3:Y$501,MATCH(ROW()-2,종합!$AE$3:$AE$501,0))&amp;"","")</f>
        <v/>
      </c>
      <c r="Z358" s="21" t="str">
        <f aca="false">IFERROR(INDEX(종합!Z$3:Z$501,MATCH(ROW()-2,종합!$AE$3:$AE$501,0))&amp;"","")</f>
        <v/>
      </c>
    </row>
    <row r="359" customFormat="false" ht="16.5" hidden="false" customHeight="true" outlineLevel="0" collapsed="false">
      <c r="A359" s="18" t="str">
        <f aca="false">IF(B359="","",ROW()-2)</f>
        <v/>
      </c>
      <c r="B359" s="18" t="str">
        <f aca="false">IFERROR(INDEX(종합!B$3:B$501,MATCH(ROW()-2,종합!$AE$3:$AE$501,0))&amp;"","")</f>
        <v/>
      </c>
      <c r="C359" s="18" t="str">
        <f aca="false">IFERROR(INDEX(종합!C$3:C$501,MATCH(ROW()-2,종합!$AE$3:$AE$501,0))&amp;"","")</f>
        <v/>
      </c>
      <c r="D359" s="18" t="str">
        <f aca="false">IFERROR(INDEX(종합!D$3:D$501,MATCH(ROW()-2,종합!$AE$3:$AE$501,0))&amp;"","")</f>
        <v/>
      </c>
      <c r="E359" s="18" t="str">
        <f aca="false">IFERROR(INDEX(종합!E$3:E$501,MATCH(ROW()-2,종합!$AE$3:$AE$501,0))&amp;"","")</f>
        <v/>
      </c>
      <c r="F359" s="18" t="str">
        <f aca="false">IFERROR(INDEX(종합!F$3:F$501,MATCH(ROW()-2,종합!$AE$3:$AE$501,0))&amp;"","")</f>
        <v/>
      </c>
      <c r="G359" s="18" t="str">
        <f aca="false">IFERROR(INDEX(종합!G$3:G$501,MATCH(ROW()-2,종합!$AE$3:$AE$501,0))&amp;"","")</f>
        <v/>
      </c>
      <c r="H359" s="21" t="str">
        <f aca="false">IFERROR(INDEX(종합!H$3:H$501,MATCH(ROW()-2,종합!$AE$3:$AE$501,0))&amp;"","")</f>
        <v/>
      </c>
      <c r="I359" s="21" t="str">
        <f aca="false">IFERROR(INDEX(종합!I$3:I$501,MATCH(ROW()-2,종합!$AE$3:$AE$501,0))&amp;"","")</f>
        <v/>
      </c>
      <c r="J359" s="21" t="str">
        <f aca="false">IFERROR(INDEX(종합!J$3:J$501,MATCH(ROW()-2,종합!$AE$3:$AE$501,0))&amp;"","")</f>
        <v/>
      </c>
      <c r="K359" s="21" t="str">
        <f aca="false">IFERROR(INDEX(종합!K$3:K$501,MATCH(ROW()-2,종합!$AE$3:$AE$501,0))&amp;"","")</f>
        <v/>
      </c>
      <c r="L359" s="21" t="str">
        <f aca="false">IFERROR(INDEX(종합!L$3:L$501,MATCH(ROW()-2,종합!$AE$3:$AE$501,0))&amp;"","")</f>
        <v/>
      </c>
      <c r="M359" s="21" t="str">
        <f aca="false">IFERROR(INDEX(종합!M$3:M$501,MATCH(ROW()-2,종합!$AE$3:$AE$501,0))&amp;"","")</f>
        <v/>
      </c>
      <c r="N359" s="25" t="str">
        <f aca="false">IFERROR(INDEX(종합!N$3:N$501,MATCH(ROW()-2,종합!$AE$3:$AE$501,0))&amp;"","")</f>
        <v/>
      </c>
      <c r="O359" s="21" t="str">
        <f aca="false">IFERROR(INDEX(종합!O$3:O$501,MATCH(ROW()-2,종합!$AE$3:$AE$501,0))&amp;"","")</f>
        <v/>
      </c>
      <c r="P359" s="21" t="str">
        <f aca="false">IFERROR(INDEX(종합!P$3:P$501,MATCH(ROW()-2,종합!$AE$3:$AE$501,0))&amp;"","")</f>
        <v/>
      </c>
      <c r="Q359" s="21" t="str">
        <f aca="false">IFERROR(INDEX(종합!Q$3:Q$501,MATCH(ROW()-2,종합!$AE$3:$AE$501,0))&amp;"","")</f>
        <v/>
      </c>
      <c r="R359" s="21" t="str">
        <f aca="false">IFERROR(INDEX(종합!R$3:R$501,MATCH(ROW()-2,종합!$AE$3:$AE$501,0))&amp;"","")</f>
        <v/>
      </c>
      <c r="S359" s="21" t="str">
        <f aca="false">IFERROR(INDEX(종합!S$3:S$501,MATCH(ROW()-2,종합!$AE$3:$AE$501,0))&amp;"","")</f>
        <v/>
      </c>
      <c r="T359" s="21" t="str">
        <f aca="false">IFERROR(INDEX(종합!T$3:T$501,MATCH(ROW()-2,종합!$AE$3:$AE$501,0))&amp;"","")</f>
        <v/>
      </c>
      <c r="U359" s="21" t="str">
        <f aca="false">IFERROR(INDEX(종합!U$3:U$501,MATCH(ROW()-2,종합!$AE$3:$AE$501,0))&amp;"","")</f>
        <v/>
      </c>
      <c r="V359" s="21" t="str">
        <f aca="false">IFERROR(INDEX(종합!V$3:V$501,MATCH(ROW()-2,종합!$AE$3:$AE$501,0))&amp;"","")</f>
        <v/>
      </c>
      <c r="W359" s="21" t="str">
        <f aca="false">IFERROR(INDEX(종합!W$3:W$501,MATCH(ROW()-2,종합!$AE$3:$AE$501,0))&amp;"","")</f>
        <v/>
      </c>
      <c r="X359" s="21" t="str">
        <f aca="false">IFERROR(INDEX(종합!X$3:X$501,MATCH(ROW()-2,종합!$AE$3:$AE$501,0))&amp;"","")</f>
        <v/>
      </c>
      <c r="Y359" s="21" t="str">
        <f aca="false">IFERROR(INDEX(종합!Y$3:Y$501,MATCH(ROW()-2,종합!$AE$3:$AE$501,0))&amp;"","")</f>
        <v/>
      </c>
      <c r="Z359" s="21" t="str">
        <f aca="false">IFERROR(INDEX(종합!Z$3:Z$501,MATCH(ROW()-2,종합!$AE$3:$AE$501,0))&amp;"","")</f>
        <v/>
      </c>
    </row>
    <row r="360" customFormat="false" ht="16.5" hidden="false" customHeight="true" outlineLevel="0" collapsed="false">
      <c r="A360" s="18" t="str">
        <f aca="false">IF(B360="","",ROW()-2)</f>
        <v/>
      </c>
      <c r="B360" s="18" t="str">
        <f aca="false">IFERROR(INDEX(종합!B$3:B$501,MATCH(ROW()-2,종합!$AE$3:$AE$501,0))&amp;"","")</f>
        <v/>
      </c>
      <c r="C360" s="18" t="str">
        <f aca="false">IFERROR(INDEX(종합!C$3:C$501,MATCH(ROW()-2,종합!$AE$3:$AE$501,0))&amp;"","")</f>
        <v/>
      </c>
      <c r="D360" s="18" t="str">
        <f aca="false">IFERROR(INDEX(종합!D$3:D$501,MATCH(ROW()-2,종합!$AE$3:$AE$501,0))&amp;"","")</f>
        <v/>
      </c>
      <c r="E360" s="18" t="str">
        <f aca="false">IFERROR(INDEX(종합!E$3:E$501,MATCH(ROW()-2,종합!$AE$3:$AE$501,0))&amp;"","")</f>
        <v/>
      </c>
      <c r="F360" s="18" t="str">
        <f aca="false">IFERROR(INDEX(종합!F$3:F$501,MATCH(ROW()-2,종합!$AE$3:$AE$501,0))&amp;"","")</f>
        <v/>
      </c>
      <c r="G360" s="18" t="str">
        <f aca="false">IFERROR(INDEX(종합!G$3:G$501,MATCH(ROW()-2,종합!$AE$3:$AE$501,0))&amp;"","")</f>
        <v/>
      </c>
      <c r="H360" s="21" t="str">
        <f aca="false">IFERROR(INDEX(종합!H$3:H$501,MATCH(ROW()-2,종합!$AE$3:$AE$501,0))&amp;"","")</f>
        <v/>
      </c>
      <c r="I360" s="21" t="str">
        <f aca="false">IFERROR(INDEX(종합!I$3:I$501,MATCH(ROW()-2,종합!$AE$3:$AE$501,0))&amp;"","")</f>
        <v/>
      </c>
      <c r="J360" s="21" t="str">
        <f aca="false">IFERROR(INDEX(종합!J$3:J$501,MATCH(ROW()-2,종합!$AE$3:$AE$501,0))&amp;"","")</f>
        <v/>
      </c>
      <c r="K360" s="21" t="str">
        <f aca="false">IFERROR(INDEX(종합!K$3:K$501,MATCH(ROW()-2,종합!$AE$3:$AE$501,0))&amp;"","")</f>
        <v/>
      </c>
      <c r="L360" s="21" t="str">
        <f aca="false">IFERROR(INDEX(종합!L$3:L$501,MATCH(ROW()-2,종합!$AE$3:$AE$501,0))&amp;"","")</f>
        <v/>
      </c>
      <c r="M360" s="21" t="str">
        <f aca="false">IFERROR(INDEX(종합!M$3:M$501,MATCH(ROW()-2,종합!$AE$3:$AE$501,0))&amp;"","")</f>
        <v/>
      </c>
      <c r="N360" s="25" t="str">
        <f aca="false">IFERROR(INDEX(종합!N$3:N$501,MATCH(ROW()-2,종합!$AE$3:$AE$501,0))&amp;"","")</f>
        <v/>
      </c>
      <c r="O360" s="21" t="str">
        <f aca="false">IFERROR(INDEX(종합!O$3:O$501,MATCH(ROW()-2,종합!$AE$3:$AE$501,0))&amp;"","")</f>
        <v/>
      </c>
      <c r="P360" s="21" t="str">
        <f aca="false">IFERROR(INDEX(종합!P$3:P$501,MATCH(ROW()-2,종합!$AE$3:$AE$501,0))&amp;"","")</f>
        <v/>
      </c>
      <c r="Q360" s="21" t="str">
        <f aca="false">IFERROR(INDEX(종합!Q$3:Q$501,MATCH(ROW()-2,종합!$AE$3:$AE$501,0))&amp;"","")</f>
        <v/>
      </c>
      <c r="R360" s="21" t="str">
        <f aca="false">IFERROR(INDEX(종합!R$3:R$501,MATCH(ROW()-2,종합!$AE$3:$AE$501,0))&amp;"","")</f>
        <v/>
      </c>
      <c r="S360" s="21" t="str">
        <f aca="false">IFERROR(INDEX(종합!S$3:S$501,MATCH(ROW()-2,종합!$AE$3:$AE$501,0))&amp;"","")</f>
        <v/>
      </c>
      <c r="T360" s="21" t="str">
        <f aca="false">IFERROR(INDEX(종합!T$3:T$501,MATCH(ROW()-2,종합!$AE$3:$AE$501,0))&amp;"","")</f>
        <v/>
      </c>
      <c r="U360" s="21" t="str">
        <f aca="false">IFERROR(INDEX(종합!U$3:U$501,MATCH(ROW()-2,종합!$AE$3:$AE$501,0))&amp;"","")</f>
        <v/>
      </c>
      <c r="V360" s="21" t="str">
        <f aca="false">IFERROR(INDEX(종합!V$3:V$501,MATCH(ROW()-2,종합!$AE$3:$AE$501,0))&amp;"","")</f>
        <v/>
      </c>
      <c r="W360" s="21" t="str">
        <f aca="false">IFERROR(INDEX(종합!W$3:W$501,MATCH(ROW()-2,종합!$AE$3:$AE$501,0))&amp;"","")</f>
        <v/>
      </c>
      <c r="X360" s="21" t="str">
        <f aca="false">IFERROR(INDEX(종합!X$3:X$501,MATCH(ROW()-2,종합!$AE$3:$AE$501,0))&amp;"","")</f>
        <v/>
      </c>
      <c r="Y360" s="21" t="str">
        <f aca="false">IFERROR(INDEX(종합!Y$3:Y$501,MATCH(ROW()-2,종합!$AE$3:$AE$501,0))&amp;"","")</f>
        <v/>
      </c>
      <c r="Z360" s="21" t="str">
        <f aca="false">IFERROR(INDEX(종합!Z$3:Z$501,MATCH(ROW()-2,종합!$AE$3:$AE$501,0))&amp;"","")</f>
        <v/>
      </c>
    </row>
    <row r="361" customFormat="false" ht="16.5" hidden="false" customHeight="true" outlineLevel="0" collapsed="false">
      <c r="A361" s="18" t="str">
        <f aca="false">IF(B361="","",ROW()-2)</f>
        <v/>
      </c>
      <c r="B361" s="18" t="str">
        <f aca="false">IFERROR(INDEX(종합!B$3:B$501,MATCH(ROW()-2,종합!$AE$3:$AE$501,0))&amp;"","")</f>
        <v/>
      </c>
      <c r="C361" s="18" t="str">
        <f aca="false">IFERROR(INDEX(종합!C$3:C$501,MATCH(ROW()-2,종합!$AE$3:$AE$501,0))&amp;"","")</f>
        <v/>
      </c>
      <c r="D361" s="18" t="str">
        <f aca="false">IFERROR(INDEX(종합!D$3:D$501,MATCH(ROW()-2,종합!$AE$3:$AE$501,0))&amp;"","")</f>
        <v/>
      </c>
      <c r="E361" s="18" t="str">
        <f aca="false">IFERROR(INDEX(종합!E$3:E$501,MATCH(ROW()-2,종합!$AE$3:$AE$501,0))&amp;"","")</f>
        <v/>
      </c>
      <c r="F361" s="18" t="str">
        <f aca="false">IFERROR(INDEX(종합!F$3:F$501,MATCH(ROW()-2,종합!$AE$3:$AE$501,0))&amp;"","")</f>
        <v/>
      </c>
      <c r="G361" s="18" t="str">
        <f aca="false">IFERROR(INDEX(종합!G$3:G$501,MATCH(ROW()-2,종합!$AE$3:$AE$501,0))&amp;"","")</f>
        <v/>
      </c>
      <c r="H361" s="21" t="str">
        <f aca="false">IFERROR(INDEX(종합!H$3:H$501,MATCH(ROW()-2,종합!$AE$3:$AE$501,0))&amp;"","")</f>
        <v/>
      </c>
      <c r="I361" s="21" t="str">
        <f aca="false">IFERROR(INDEX(종합!I$3:I$501,MATCH(ROW()-2,종합!$AE$3:$AE$501,0))&amp;"","")</f>
        <v/>
      </c>
      <c r="J361" s="21" t="str">
        <f aca="false">IFERROR(INDEX(종합!J$3:J$501,MATCH(ROW()-2,종합!$AE$3:$AE$501,0))&amp;"","")</f>
        <v/>
      </c>
      <c r="K361" s="21" t="str">
        <f aca="false">IFERROR(INDEX(종합!K$3:K$501,MATCH(ROW()-2,종합!$AE$3:$AE$501,0))&amp;"","")</f>
        <v/>
      </c>
      <c r="L361" s="21" t="str">
        <f aca="false">IFERROR(INDEX(종합!L$3:L$501,MATCH(ROW()-2,종합!$AE$3:$AE$501,0))&amp;"","")</f>
        <v/>
      </c>
      <c r="M361" s="21" t="str">
        <f aca="false">IFERROR(INDEX(종합!M$3:M$501,MATCH(ROW()-2,종합!$AE$3:$AE$501,0))&amp;"","")</f>
        <v/>
      </c>
      <c r="N361" s="25" t="str">
        <f aca="false">IFERROR(INDEX(종합!N$3:N$501,MATCH(ROW()-2,종합!$AE$3:$AE$501,0))&amp;"","")</f>
        <v/>
      </c>
      <c r="O361" s="21" t="str">
        <f aca="false">IFERROR(INDEX(종합!O$3:O$501,MATCH(ROW()-2,종합!$AE$3:$AE$501,0))&amp;"","")</f>
        <v/>
      </c>
      <c r="P361" s="21" t="str">
        <f aca="false">IFERROR(INDEX(종합!P$3:P$501,MATCH(ROW()-2,종합!$AE$3:$AE$501,0))&amp;"","")</f>
        <v/>
      </c>
      <c r="Q361" s="21" t="str">
        <f aca="false">IFERROR(INDEX(종합!Q$3:Q$501,MATCH(ROW()-2,종합!$AE$3:$AE$501,0))&amp;"","")</f>
        <v/>
      </c>
      <c r="R361" s="21" t="str">
        <f aca="false">IFERROR(INDEX(종합!R$3:R$501,MATCH(ROW()-2,종합!$AE$3:$AE$501,0))&amp;"","")</f>
        <v/>
      </c>
      <c r="S361" s="21" t="str">
        <f aca="false">IFERROR(INDEX(종합!S$3:S$501,MATCH(ROW()-2,종합!$AE$3:$AE$501,0))&amp;"","")</f>
        <v/>
      </c>
      <c r="T361" s="21" t="str">
        <f aca="false">IFERROR(INDEX(종합!T$3:T$501,MATCH(ROW()-2,종합!$AE$3:$AE$501,0))&amp;"","")</f>
        <v/>
      </c>
      <c r="U361" s="21" t="str">
        <f aca="false">IFERROR(INDEX(종합!U$3:U$501,MATCH(ROW()-2,종합!$AE$3:$AE$501,0))&amp;"","")</f>
        <v/>
      </c>
      <c r="V361" s="21" t="str">
        <f aca="false">IFERROR(INDEX(종합!V$3:V$501,MATCH(ROW()-2,종합!$AE$3:$AE$501,0))&amp;"","")</f>
        <v/>
      </c>
      <c r="W361" s="21" t="str">
        <f aca="false">IFERROR(INDEX(종합!W$3:W$501,MATCH(ROW()-2,종합!$AE$3:$AE$501,0))&amp;"","")</f>
        <v/>
      </c>
      <c r="X361" s="21" t="str">
        <f aca="false">IFERROR(INDEX(종합!X$3:X$501,MATCH(ROW()-2,종합!$AE$3:$AE$501,0))&amp;"","")</f>
        <v/>
      </c>
      <c r="Y361" s="21" t="str">
        <f aca="false">IFERROR(INDEX(종합!Y$3:Y$501,MATCH(ROW()-2,종합!$AE$3:$AE$501,0))&amp;"","")</f>
        <v/>
      </c>
      <c r="Z361" s="21" t="str">
        <f aca="false">IFERROR(INDEX(종합!Z$3:Z$501,MATCH(ROW()-2,종합!$AE$3:$AE$501,0))&amp;"","")</f>
        <v/>
      </c>
    </row>
    <row r="362" customFormat="false" ht="16.5" hidden="false" customHeight="true" outlineLevel="0" collapsed="false">
      <c r="A362" s="18" t="str">
        <f aca="false">IF(B362="","",ROW()-2)</f>
        <v/>
      </c>
      <c r="B362" s="18" t="str">
        <f aca="false">IFERROR(INDEX(종합!B$3:B$501,MATCH(ROW()-2,종합!$AE$3:$AE$501,0))&amp;"","")</f>
        <v/>
      </c>
      <c r="C362" s="18" t="str">
        <f aca="false">IFERROR(INDEX(종합!C$3:C$501,MATCH(ROW()-2,종합!$AE$3:$AE$501,0))&amp;"","")</f>
        <v/>
      </c>
      <c r="D362" s="18" t="str">
        <f aca="false">IFERROR(INDEX(종합!D$3:D$501,MATCH(ROW()-2,종합!$AE$3:$AE$501,0))&amp;"","")</f>
        <v/>
      </c>
      <c r="E362" s="18" t="str">
        <f aca="false">IFERROR(INDEX(종합!E$3:E$501,MATCH(ROW()-2,종합!$AE$3:$AE$501,0))&amp;"","")</f>
        <v/>
      </c>
      <c r="F362" s="18" t="str">
        <f aca="false">IFERROR(INDEX(종합!F$3:F$501,MATCH(ROW()-2,종합!$AE$3:$AE$501,0))&amp;"","")</f>
        <v/>
      </c>
      <c r="G362" s="18" t="str">
        <f aca="false">IFERROR(INDEX(종합!G$3:G$501,MATCH(ROW()-2,종합!$AE$3:$AE$501,0))&amp;"","")</f>
        <v/>
      </c>
      <c r="H362" s="21" t="str">
        <f aca="false">IFERROR(INDEX(종합!H$3:H$501,MATCH(ROW()-2,종합!$AE$3:$AE$501,0))&amp;"","")</f>
        <v/>
      </c>
      <c r="I362" s="21" t="str">
        <f aca="false">IFERROR(INDEX(종합!I$3:I$501,MATCH(ROW()-2,종합!$AE$3:$AE$501,0))&amp;"","")</f>
        <v/>
      </c>
      <c r="J362" s="21" t="str">
        <f aca="false">IFERROR(INDEX(종합!J$3:J$501,MATCH(ROW()-2,종합!$AE$3:$AE$501,0))&amp;"","")</f>
        <v/>
      </c>
      <c r="K362" s="21" t="str">
        <f aca="false">IFERROR(INDEX(종합!K$3:K$501,MATCH(ROW()-2,종합!$AE$3:$AE$501,0))&amp;"","")</f>
        <v/>
      </c>
      <c r="L362" s="21" t="str">
        <f aca="false">IFERROR(INDEX(종합!L$3:L$501,MATCH(ROW()-2,종합!$AE$3:$AE$501,0))&amp;"","")</f>
        <v/>
      </c>
      <c r="M362" s="21" t="str">
        <f aca="false">IFERROR(INDEX(종합!M$3:M$501,MATCH(ROW()-2,종합!$AE$3:$AE$501,0))&amp;"","")</f>
        <v/>
      </c>
      <c r="N362" s="25" t="str">
        <f aca="false">IFERROR(INDEX(종합!N$3:N$501,MATCH(ROW()-2,종합!$AE$3:$AE$501,0))&amp;"","")</f>
        <v/>
      </c>
      <c r="O362" s="21" t="str">
        <f aca="false">IFERROR(INDEX(종합!O$3:O$501,MATCH(ROW()-2,종합!$AE$3:$AE$501,0))&amp;"","")</f>
        <v/>
      </c>
      <c r="P362" s="21" t="str">
        <f aca="false">IFERROR(INDEX(종합!P$3:P$501,MATCH(ROW()-2,종합!$AE$3:$AE$501,0))&amp;"","")</f>
        <v/>
      </c>
      <c r="Q362" s="21" t="str">
        <f aca="false">IFERROR(INDEX(종합!Q$3:Q$501,MATCH(ROW()-2,종합!$AE$3:$AE$501,0))&amp;"","")</f>
        <v/>
      </c>
      <c r="R362" s="21" t="str">
        <f aca="false">IFERROR(INDEX(종합!R$3:R$501,MATCH(ROW()-2,종합!$AE$3:$AE$501,0))&amp;"","")</f>
        <v/>
      </c>
      <c r="S362" s="21" t="str">
        <f aca="false">IFERROR(INDEX(종합!S$3:S$501,MATCH(ROW()-2,종합!$AE$3:$AE$501,0))&amp;"","")</f>
        <v/>
      </c>
      <c r="T362" s="21" t="str">
        <f aca="false">IFERROR(INDEX(종합!T$3:T$501,MATCH(ROW()-2,종합!$AE$3:$AE$501,0))&amp;"","")</f>
        <v/>
      </c>
      <c r="U362" s="21" t="str">
        <f aca="false">IFERROR(INDEX(종합!U$3:U$501,MATCH(ROW()-2,종합!$AE$3:$AE$501,0))&amp;"","")</f>
        <v/>
      </c>
      <c r="V362" s="21" t="str">
        <f aca="false">IFERROR(INDEX(종합!V$3:V$501,MATCH(ROW()-2,종합!$AE$3:$AE$501,0))&amp;"","")</f>
        <v/>
      </c>
      <c r="W362" s="21" t="str">
        <f aca="false">IFERROR(INDEX(종합!W$3:W$501,MATCH(ROW()-2,종합!$AE$3:$AE$501,0))&amp;"","")</f>
        <v/>
      </c>
      <c r="X362" s="21" t="str">
        <f aca="false">IFERROR(INDEX(종합!X$3:X$501,MATCH(ROW()-2,종합!$AE$3:$AE$501,0))&amp;"","")</f>
        <v/>
      </c>
      <c r="Y362" s="21" t="str">
        <f aca="false">IFERROR(INDEX(종합!Y$3:Y$501,MATCH(ROW()-2,종합!$AE$3:$AE$501,0))&amp;"","")</f>
        <v/>
      </c>
      <c r="Z362" s="21" t="str">
        <f aca="false">IFERROR(INDEX(종합!Z$3:Z$501,MATCH(ROW()-2,종합!$AE$3:$AE$501,0))&amp;"","")</f>
        <v/>
      </c>
    </row>
    <row r="363" customFormat="false" ht="16.5" hidden="false" customHeight="true" outlineLevel="0" collapsed="false">
      <c r="A363" s="18" t="str">
        <f aca="false">IF(B363="","",ROW()-2)</f>
        <v/>
      </c>
      <c r="B363" s="18" t="str">
        <f aca="false">IFERROR(INDEX(종합!B$3:B$501,MATCH(ROW()-2,종합!$AE$3:$AE$501,0))&amp;"","")</f>
        <v/>
      </c>
      <c r="C363" s="18" t="str">
        <f aca="false">IFERROR(INDEX(종합!C$3:C$501,MATCH(ROW()-2,종합!$AE$3:$AE$501,0))&amp;"","")</f>
        <v/>
      </c>
      <c r="D363" s="18" t="str">
        <f aca="false">IFERROR(INDEX(종합!D$3:D$501,MATCH(ROW()-2,종합!$AE$3:$AE$501,0))&amp;"","")</f>
        <v/>
      </c>
      <c r="E363" s="18" t="str">
        <f aca="false">IFERROR(INDEX(종합!E$3:E$501,MATCH(ROW()-2,종합!$AE$3:$AE$501,0))&amp;"","")</f>
        <v/>
      </c>
      <c r="F363" s="18" t="str">
        <f aca="false">IFERROR(INDEX(종합!F$3:F$501,MATCH(ROW()-2,종합!$AE$3:$AE$501,0))&amp;"","")</f>
        <v/>
      </c>
      <c r="G363" s="18" t="str">
        <f aca="false">IFERROR(INDEX(종합!G$3:G$501,MATCH(ROW()-2,종합!$AE$3:$AE$501,0))&amp;"","")</f>
        <v/>
      </c>
      <c r="H363" s="21" t="str">
        <f aca="false">IFERROR(INDEX(종합!H$3:H$501,MATCH(ROW()-2,종합!$AE$3:$AE$501,0))&amp;"","")</f>
        <v/>
      </c>
      <c r="I363" s="21" t="str">
        <f aca="false">IFERROR(INDEX(종합!I$3:I$501,MATCH(ROW()-2,종합!$AE$3:$AE$501,0))&amp;"","")</f>
        <v/>
      </c>
      <c r="J363" s="21" t="str">
        <f aca="false">IFERROR(INDEX(종합!J$3:J$501,MATCH(ROW()-2,종합!$AE$3:$AE$501,0))&amp;"","")</f>
        <v/>
      </c>
      <c r="K363" s="21" t="str">
        <f aca="false">IFERROR(INDEX(종합!K$3:K$501,MATCH(ROW()-2,종합!$AE$3:$AE$501,0))&amp;"","")</f>
        <v/>
      </c>
      <c r="L363" s="21" t="str">
        <f aca="false">IFERROR(INDEX(종합!L$3:L$501,MATCH(ROW()-2,종합!$AE$3:$AE$501,0))&amp;"","")</f>
        <v/>
      </c>
      <c r="M363" s="21" t="str">
        <f aca="false">IFERROR(INDEX(종합!M$3:M$501,MATCH(ROW()-2,종합!$AE$3:$AE$501,0))&amp;"","")</f>
        <v/>
      </c>
      <c r="N363" s="25" t="str">
        <f aca="false">IFERROR(INDEX(종합!N$3:N$501,MATCH(ROW()-2,종합!$AE$3:$AE$501,0))&amp;"","")</f>
        <v/>
      </c>
      <c r="O363" s="21" t="str">
        <f aca="false">IFERROR(INDEX(종합!O$3:O$501,MATCH(ROW()-2,종합!$AE$3:$AE$501,0))&amp;"","")</f>
        <v/>
      </c>
      <c r="P363" s="21" t="str">
        <f aca="false">IFERROR(INDEX(종합!P$3:P$501,MATCH(ROW()-2,종합!$AE$3:$AE$501,0))&amp;"","")</f>
        <v/>
      </c>
      <c r="Q363" s="21" t="str">
        <f aca="false">IFERROR(INDEX(종합!Q$3:Q$501,MATCH(ROW()-2,종합!$AE$3:$AE$501,0))&amp;"","")</f>
        <v/>
      </c>
      <c r="R363" s="21" t="str">
        <f aca="false">IFERROR(INDEX(종합!R$3:R$501,MATCH(ROW()-2,종합!$AE$3:$AE$501,0))&amp;"","")</f>
        <v/>
      </c>
      <c r="S363" s="21" t="str">
        <f aca="false">IFERROR(INDEX(종합!S$3:S$501,MATCH(ROW()-2,종합!$AE$3:$AE$501,0))&amp;"","")</f>
        <v/>
      </c>
      <c r="T363" s="21" t="str">
        <f aca="false">IFERROR(INDEX(종합!T$3:T$501,MATCH(ROW()-2,종합!$AE$3:$AE$501,0))&amp;"","")</f>
        <v/>
      </c>
      <c r="U363" s="21" t="str">
        <f aca="false">IFERROR(INDEX(종합!U$3:U$501,MATCH(ROW()-2,종합!$AE$3:$AE$501,0))&amp;"","")</f>
        <v/>
      </c>
      <c r="V363" s="21" t="str">
        <f aca="false">IFERROR(INDEX(종합!V$3:V$501,MATCH(ROW()-2,종합!$AE$3:$AE$501,0))&amp;"","")</f>
        <v/>
      </c>
      <c r="W363" s="21" t="str">
        <f aca="false">IFERROR(INDEX(종합!W$3:W$501,MATCH(ROW()-2,종합!$AE$3:$AE$501,0))&amp;"","")</f>
        <v/>
      </c>
      <c r="X363" s="21" t="str">
        <f aca="false">IFERROR(INDEX(종합!X$3:X$501,MATCH(ROW()-2,종합!$AE$3:$AE$501,0))&amp;"","")</f>
        <v/>
      </c>
      <c r="Y363" s="21" t="str">
        <f aca="false">IFERROR(INDEX(종합!Y$3:Y$501,MATCH(ROW()-2,종합!$AE$3:$AE$501,0))&amp;"","")</f>
        <v/>
      </c>
      <c r="Z363" s="21" t="str">
        <f aca="false">IFERROR(INDEX(종합!Z$3:Z$501,MATCH(ROW()-2,종합!$AE$3:$AE$501,0))&amp;"","")</f>
        <v/>
      </c>
    </row>
    <row r="364" customFormat="false" ht="16.5" hidden="false" customHeight="true" outlineLevel="0" collapsed="false">
      <c r="A364" s="18" t="str">
        <f aca="false">IF(B364="","",ROW()-2)</f>
        <v/>
      </c>
      <c r="B364" s="18" t="str">
        <f aca="false">IFERROR(INDEX(종합!B$3:B$501,MATCH(ROW()-2,종합!$AE$3:$AE$501,0))&amp;"","")</f>
        <v/>
      </c>
      <c r="C364" s="18" t="str">
        <f aca="false">IFERROR(INDEX(종합!C$3:C$501,MATCH(ROW()-2,종합!$AE$3:$AE$501,0))&amp;"","")</f>
        <v/>
      </c>
      <c r="D364" s="18" t="str">
        <f aca="false">IFERROR(INDEX(종합!D$3:D$501,MATCH(ROW()-2,종합!$AE$3:$AE$501,0))&amp;"","")</f>
        <v/>
      </c>
      <c r="E364" s="18" t="str">
        <f aca="false">IFERROR(INDEX(종합!E$3:E$501,MATCH(ROW()-2,종합!$AE$3:$AE$501,0))&amp;"","")</f>
        <v/>
      </c>
      <c r="F364" s="18" t="str">
        <f aca="false">IFERROR(INDEX(종합!F$3:F$501,MATCH(ROW()-2,종합!$AE$3:$AE$501,0))&amp;"","")</f>
        <v/>
      </c>
      <c r="G364" s="18" t="str">
        <f aca="false">IFERROR(INDEX(종합!G$3:G$501,MATCH(ROW()-2,종합!$AE$3:$AE$501,0))&amp;"","")</f>
        <v/>
      </c>
      <c r="H364" s="21" t="str">
        <f aca="false">IFERROR(INDEX(종합!H$3:H$501,MATCH(ROW()-2,종합!$AE$3:$AE$501,0))&amp;"","")</f>
        <v/>
      </c>
      <c r="I364" s="21" t="str">
        <f aca="false">IFERROR(INDEX(종합!I$3:I$501,MATCH(ROW()-2,종합!$AE$3:$AE$501,0))&amp;"","")</f>
        <v/>
      </c>
      <c r="J364" s="21" t="str">
        <f aca="false">IFERROR(INDEX(종합!J$3:J$501,MATCH(ROW()-2,종합!$AE$3:$AE$501,0))&amp;"","")</f>
        <v/>
      </c>
      <c r="K364" s="21" t="str">
        <f aca="false">IFERROR(INDEX(종합!K$3:K$501,MATCH(ROW()-2,종합!$AE$3:$AE$501,0))&amp;"","")</f>
        <v/>
      </c>
      <c r="L364" s="21" t="str">
        <f aca="false">IFERROR(INDEX(종합!L$3:L$501,MATCH(ROW()-2,종합!$AE$3:$AE$501,0))&amp;"","")</f>
        <v/>
      </c>
      <c r="M364" s="21" t="str">
        <f aca="false">IFERROR(INDEX(종합!M$3:M$501,MATCH(ROW()-2,종합!$AE$3:$AE$501,0))&amp;"","")</f>
        <v/>
      </c>
      <c r="N364" s="25" t="str">
        <f aca="false">IFERROR(INDEX(종합!N$3:N$501,MATCH(ROW()-2,종합!$AE$3:$AE$501,0))&amp;"","")</f>
        <v/>
      </c>
      <c r="O364" s="21" t="str">
        <f aca="false">IFERROR(INDEX(종합!O$3:O$501,MATCH(ROW()-2,종합!$AE$3:$AE$501,0))&amp;"","")</f>
        <v/>
      </c>
      <c r="P364" s="21" t="str">
        <f aca="false">IFERROR(INDEX(종합!P$3:P$501,MATCH(ROW()-2,종합!$AE$3:$AE$501,0))&amp;"","")</f>
        <v/>
      </c>
      <c r="Q364" s="21" t="str">
        <f aca="false">IFERROR(INDEX(종합!Q$3:Q$501,MATCH(ROW()-2,종합!$AE$3:$AE$501,0))&amp;"","")</f>
        <v/>
      </c>
      <c r="R364" s="21" t="str">
        <f aca="false">IFERROR(INDEX(종합!R$3:R$501,MATCH(ROW()-2,종합!$AE$3:$AE$501,0))&amp;"","")</f>
        <v/>
      </c>
      <c r="S364" s="21" t="str">
        <f aca="false">IFERROR(INDEX(종합!S$3:S$501,MATCH(ROW()-2,종합!$AE$3:$AE$501,0))&amp;"","")</f>
        <v/>
      </c>
      <c r="T364" s="21" t="str">
        <f aca="false">IFERROR(INDEX(종합!T$3:T$501,MATCH(ROW()-2,종합!$AE$3:$AE$501,0))&amp;"","")</f>
        <v/>
      </c>
      <c r="U364" s="21" t="str">
        <f aca="false">IFERROR(INDEX(종합!U$3:U$501,MATCH(ROW()-2,종합!$AE$3:$AE$501,0))&amp;"","")</f>
        <v/>
      </c>
      <c r="V364" s="21" t="str">
        <f aca="false">IFERROR(INDEX(종합!V$3:V$501,MATCH(ROW()-2,종합!$AE$3:$AE$501,0))&amp;"","")</f>
        <v/>
      </c>
      <c r="W364" s="21" t="str">
        <f aca="false">IFERROR(INDEX(종합!W$3:W$501,MATCH(ROW()-2,종합!$AE$3:$AE$501,0))&amp;"","")</f>
        <v/>
      </c>
      <c r="X364" s="21" t="str">
        <f aca="false">IFERROR(INDEX(종합!X$3:X$501,MATCH(ROW()-2,종합!$AE$3:$AE$501,0))&amp;"","")</f>
        <v/>
      </c>
      <c r="Y364" s="21" t="str">
        <f aca="false">IFERROR(INDEX(종합!Y$3:Y$501,MATCH(ROW()-2,종합!$AE$3:$AE$501,0))&amp;"","")</f>
        <v/>
      </c>
      <c r="Z364" s="21" t="str">
        <f aca="false">IFERROR(INDEX(종합!Z$3:Z$501,MATCH(ROW()-2,종합!$AE$3:$AE$501,0))&amp;"","")</f>
        <v/>
      </c>
    </row>
    <row r="365" customFormat="false" ht="16.5" hidden="false" customHeight="true" outlineLevel="0" collapsed="false">
      <c r="A365" s="18" t="str">
        <f aca="false">IF(B365="","",ROW()-2)</f>
        <v/>
      </c>
      <c r="B365" s="18" t="str">
        <f aca="false">IFERROR(INDEX(종합!B$3:B$501,MATCH(ROW()-2,종합!$AE$3:$AE$501,0))&amp;"","")</f>
        <v/>
      </c>
      <c r="C365" s="18" t="str">
        <f aca="false">IFERROR(INDEX(종합!C$3:C$501,MATCH(ROW()-2,종합!$AE$3:$AE$501,0))&amp;"","")</f>
        <v/>
      </c>
      <c r="D365" s="18" t="str">
        <f aca="false">IFERROR(INDEX(종합!D$3:D$501,MATCH(ROW()-2,종합!$AE$3:$AE$501,0))&amp;"","")</f>
        <v/>
      </c>
      <c r="E365" s="18" t="str">
        <f aca="false">IFERROR(INDEX(종합!E$3:E$501,MATCH(ROW()-2,종합!$AE$3:$AE$501,0))&amp;"","")</f>
        <v/>
      </c>
      <c r="F365" s="18" t="str">
        <f aca="false">IFERROR(INDEX(종합!F$3:F$501,MATCH(ROW()-2,종합!$AE$3:$AE$501,0))&amp;"","")</f>
        <v/>
      </c>
      <c r="G365" s="18" t="str">
        <f aca="false">IFERROR(INDEX(종합!G$3:G$501,MATCH(ROW()-2,종합!$AE$3:$AE$501,0))&amp;"","")</f>
        <v/>
      </c>
      <c r="H365" s="21" t="str">
        <f aca="false">IFERROR(INDEX(종합!H$3:H$501,MATCH(ROW()-2,종합!$AE$3:$AE$501,0))&amp;"","")</f>
        <v/>
      </c>
      <c r="I365" s="21" t="str">
        <f aca="false">IFERROR(INDEX(종합!I$3:I$501,MATCH(ROW()-2,종합!$AE$3:$AE$501,0))&amp;"","")</f>
        <v/>
      </c>
      <c r="J365" s="21" t="str">
        <f aca="false">IFERROR(INDEX(종합!J$3:J$501,MATCH(ROW()-2,종합!$AE$3:$AE$501,0))&amp;"","")</f>
        <v/>
      </c>
      <c r="K365" s="21" t="str">
        <f aca="false">IFERROR(INDEX(종합!K$3:K$501,MATCH(ROW()-2,종합!$AE$3:$AE$501,0))&amp;"","")</f>
        <v/>
      </c>
      <c r="L365" s="21" t="str">
        <f aca="false">IFERROR(INDEX(종합!L$3:L$501,MATCH(ROW()-2,종합!$AE$3:$AE$501,0))&amp;"","")</f>
        <v/>
      </c>
      <c r="M365" s="21" t="str">
        <f aca="false">IFERROR(INDEX(종합!M$3:M$501,MATCH(ROW()-2,종합!$AE$3:$AE$501,0))&amp;"","")</f>
        <v/>
      </c>
      <c r="N365" s="25" t="str">
        <f aca="false">IFERROR(INDEX(종합!N$3:N$501,MATCH(ROW()-2,종합!$AE$3:$AE$501,0))&amp;"","")</f>
        <v/>
      </c>
      <c r="O365" s="21" t="str">
        <f aca="false">IFERROR(INDEX(종합!O$3:O$501,MATCH(ROW()-2,종합!$AE$3:$AE$501,0))&amp;"","")</f>
        <v/>
      </c>
      <c r="P365" s="21" t="str">
        <f aca="false">IFERROR(INDEX(종합!P$3:P$501,MATCH(ROW()-2,종합!$AE$3:$AE$501,0))&amp;"","")</f>
        <v/>
      </c>
      <c r="Q365" s="21" t="str">
        <f aca="false">IFERROR(INDEX(종합!Q$3:Q$501,MATCH(ROW()-2,종합!$AE$3:$AE$501,0))&amp;"","")</f>
        <v/>
      </c>
      <c r="R365" s="21" t="str">
        <f aca="false">IFERROR(INDEX(종합!R$3:R$501,MATCH(ROW()-2,종합!$AE$3:$AE$501,0))&amp;"","")</f>
        <v/>
      </c>
      <c r="S365" s="21" t="str">
        <f aca="false">IFERROR(INDEX(종합!S$3:S$501,MATCH(ROW()-2,종합!$AE$3:$AE$501,0))&amp;"","")</f>
        <v/>
      </c>
      <c r="T365" s="21" t="str">
        <f aca="false">IFERROR(INDEX(종합!T$3:T$501,MATCH(ROW()-2,종합!$AE$3:$AE$501,0))&amp;"","")</f>
        <v/>
      </c>
      <c r="U365" s="21" t="str">
        <f aca="false">IFERROR(INDEX(종합!U$3:U$501,MATCH(ROW()-2,종합!$AE$3:$AE$501,0))&amp;"","")</f>
        <v/>
      </c>
      <c r="V365" s="21" t="str">
        <f aca="false">IFERROR(INDEX(종합!V$3:V$501,MATCH(ROW()-2,종합!$AE$3:$AE$501,0))&amp;"","")</f>
        <v/>
      </c>
      <c r="W365" s="21" t="str">
        <f aca="false">IFERROR(INDEX(종합!W$3:W$501,MATCH(ROW()-2,종합!$AE$3:$AE$501,0))&amp;"","")</f>
        <v/>
      </c>
      <c r="X365" s="21" t="str">
        <f aca="false">IFERROR(INDEX(종합!X$3:X$501,MATCH(ROW()-2,종합!$AE$3:$AE$501,0))&amp;"","")</f>
        <v/>
      </c>
      <c r="Y365" s="21" t="str">
        <f aca="false">IFERROR(INDEX(종합!Y$3:Y$501,MATCH(ROW()-2,종합!$AE$3:$AE$501,0))&amp;"","")</f>
        <v/>
      </c>
      <c r="Z365" s="21" t="str">
        <f aca="false">IFERROR(INDEX(종합!Z$3:Z$501,MATCH(ROW()-2,종합!$AE$3:$AE$501,0))&amp;"","")</f>
        <v/>
      </c>
    </row>
    <row r="366" customFormat="false" ht="16.5" hidden="false" customHeight="true" outlineLevel="0" collapsed="false">
      <c r="A366" s="18" t="str">
        <f aca="false">IF(B366="","",ROW()-2)</f>
        <v/>
      </c>
      <c r="B366" s="18" t="str">
        <f aca="false">IFERROR(INDEX(종합!B$3:B$501,MATCH(ROW()-2,종합!$AE$3:$AE$501,0))&amp;"","")</f>
        <v/>
      </c>
      <c r="C366" s="18" t="str">
        <f aca="false">IFERROR(INDEX(종합!C$3:C$501,MATCH(ROW()-2,종합!$AE$3:$AE$501,0))&amp;"","")</f>
        <v/>
      </c>
      <c r="D366" s="18" t="str">
        <f aca="false">IFERROR(INDEX(종합!D$3:D$501,MATCH(ROW()-2,종합!$AE$3:$AE$501,0))&amp;"","")</f>
        <v/>
      </c>
      <c r="E366" s="18" t="str">
        <f aca="false">IFERROR(INDEX(종합!E$3:E$501,MATCH(ROW()-2,종합!$AE$3:$AE$501,0))&amp;"","")</f>
        <v/>
      </c>
      <c r="F366" s="18" t="str">
        <f aca="false">IFERROR(INDEX(종합!F$3:F$501,MATCH(ROW()-2,종합!$AE$3:$AE$501,0))&amp;"","")</f>
        <v/>
      </c>
      <c r="G366" s="18" t="str">
        <f aca="false">IFERROR(INDEX(종합!G$3:G$501,MATCH(ROW()-2,종합!$AE$3:$AE$501,0))&amp;"","")</f>
        <v/>
      </c>
      <c r="H366" s="21" t="str">
        <f aca="false">IFERROR(INDEX(종합!H$3:H$501,MATCH(ROW()-2,종합!$AE$3:$AE$501,0))&amp;"","")</f>
        <v/>
      </c>
      <c r="I366" s="21" t="str">
        <f aca="false">IFERROR(INDEX(종합!I$3:I$501,MATCH(ROW()-2,종합!$AE$3:$AE$501,0))&amp;"","")</f>
        <v/>
      </c>
      <c r="J366" s="21" t="str">
        <f aca="false">IFERROR(INDEX(종합!J$3:J$501,MATCH(ROW()-2,종합!$AE$3:$AE$501,0))&amp;"","")</f>
        <v/>
      </c>
      <c r="K366" s="21" t="str">
        <f aca="false">IFERROR(INDEX(종합!K$3:K$501,MATCH(ROW()-2,종합!$AE$3:$AE$501,0))&amp;"","")</f>
        <v/>
      </c>
      <c r="L366" s="21" t="str">
        <f aca="false">IFERROR(INDEX(종합!L$3:L$501,MATCH(ROW()-2,종합!$AE$3:$AE$501,0))&amp;"","")</f>
        <v/>
      </c>
      <c r="M366" s="21" t="str">
        <f aca="false">IFERROR(INDEX(종합!M$3:M$501,MATCH(ROW()-2,종합!$AE$3:$AE$501,0))&amp;"","")</f>
        <v/>
      </c>
      <c r="N366" s="25" t="str">
        <f aca="false">IFERROR(INDEX(종합!N$3:N$501,MATCH(ROW()-2,종합!$AE$3:$AE$501,0))&amp;"","")</f>
        <v/>
      </c>
      <c r="O366" s="21" t="str">
        <f aca="false">IFERROR(INDEX(종합!O$3:O$501,MATCH(ROW()-2,종합!$AE$3:$AE$501,0))&amp;"","")</f>
        <v/>
      </c>
      <c r="P366" s="21" t="str">
        <f aca="false">IFERROR(INDEX(종합!P$3:P$501,MATCH(ROW()-2,종합!$AE$3:$AE$501,0))&amp;"","")</f>
        <v/>
      </c>
      <c r="Q366" s="21" t="str">
        <f aca="false">IFERROR(INDEX(종합!Q$3:Q$501,MATCH(ROW()-2,종합!$AE$3:$AE$501,0))&amp;"","")</f>
        <v/>
      </c>
      <c r="R366" s="21" t="str">
        <f aca="false">IFERROR(INDEX(종합!R$3:R$501,MATCH(ROW()-2,종합!$AE$3:$AE$501,0))&amp;"","")</f>
        <v/>
      </c>
      <c r="S366" s="21" t="str">
        <f aca="false">IFERROR(INDEX(종합!S$3:S$501,MATCH(ROW()-2,종합!$AE$3:$AE$501,0))&amp;"","")</f>
        <v/>
      </c>
      <c r="T366" s="21" t="str">
        <f aca="false">IFERROR(INDEX(종합!T$3:T$501,MATCH(ROW()-2,종합!$AE$3:$AE$501,0))&amp;"","")</f>
        <v/>
      </c>
      <c r="U366" s="21" t="str">
        <f aca="false">IFERROR(INDEX(종합!U$3:U$501,MATCH(ROW()-2,종합!$AE$3:$AE$501,0))&amp;"","")</f>
        <v/>
      </c>
      <c r="V366" s="21" t="str">
        <f aca="false">IFERROR(INDEX(종합!V$3:V$501,MATCH(ROW()-2,종합!$AE$3:$AE$501,0))&amp;"","")</f>
        <v/>
      </c>
      <c r="W366" s="21" t="str">
        <f aca="false">IFERROR(INDEX(종합!W$3:W$501,MATCH(ROW()-2,종합!$AE$3:$AE$501,0))&amp;"","")</f>
        <v/>
      </c>
      <c r="X366" s="21" t="str">
        <f aca="false">IFERROR(INDEX(종합!X$3:X$501,MATCH(ROW()-2,종합!$AE$3:$AE$501,0))&amp;"","")</f>
        <v/>
      </c>
      <c r="Y366" s="21" t="str">
        <f aca="false">IFERROR(INDEX(종합!Y$3:Y$501,MATCH(ROW()-2,종합!$AE$3:$AE$501,0))&amp;"","")</f>
        <v/>
      </c>
      <c r="Z366" s="21" t="str">
        <f aca="false">IFERROR(INDEX(종합!Z$3:Z$501,MATCH(ROW()-2,종합!$AE$3:$AE$501,0))&amp;"","")</f>
        <v/>
      </c>
    </row>
    <row r="367" customFormat="false" ht="16.5" hidden="false" customHeight="true" outlineLevel="0" collapsed="false">
      <c r="A367" s="18" t="str">
        <f aca="false">IF(B367="","",ROW()-2)</f>
        <v/>
      </c>
      <c r="B367" s="18" t="str">
        <f aca="false">IFERROR(INDEX(종합!B$3:B$501,MATCH(ROW()-2,종합!$AE$3:$AE$501,0))&amp;"","")</f>
        <v/>
      </c>
      <c r="C367" s="18" t="str">
        <f aca="false">IFERROR(INDEX(종합!C$3:C$501,MATCH(ROW()-2,종합!$AE$3:$AE$501,0))&amp;"","")</f>
        <v/>
      </c>
      <c r="D367" s="18" t="str">
        <f aca="false">IFERROR(INDEX(종합!D$3:D$501,MATCH(ROW()-2,종합!$AE$3:$AE$501,0))&amp;"","")</f>
        <v/>
      </c>
      <c r="E367" s="18" t="str">
        <f aca="false">IFERROR(INDEX(종합!E$3:E$501,MATCH(ROW()-2,종합!$AE$3:$AE$501,0))&amp;"","")</f>
        <v/>
      </c>
      <c r="F367" s="18" t="str">
        <f aca="false">IFERROR(INDEX(종합!F$3:F$501,MATCH(ROW()-2,종합!$AE$3:$AE$501,0))&amp;"","")</f>
        <v/>
      </c>
      <c r="G367" s="18" t="str">
        <f aca="false">IFERROR(INDEX(종합!G$3:G$501,MATCH(ROW()-2,종합!$AE$3:$AE$501,0))&amp;"","")</f>
        <v/>
      </c>
      <c r="H367" s="21" t="str">
        <f aca="false">IFERROR(INDEX(종합!H$3:H$501,MATCH(ROW()-2,종합!$AE$3:$AE$501,0))&amp;"","")</f>
        <v/>
      </c>
      <c r="I367" s="21" t="str">
        <f aca="false">IFERROR(INDEX(종합!I$3:I$501,MATCH(ROW()-2,종합!$AE$3:$AE$501,0))&amp;"","")</f>
        <v/>
      </c>
      <c r="J367" s="21" t="str">
        <f aca="false">IFERROR(INDEX(종합!J$3:J$501,MATCH(ROW()-2,종합!$AE$3:$AE$501,0))&amp;"","")</f>
        <v/>
      </c>
      <c r="K367" s="21" t="str">
        <f aca="false">IFERROR(INDEX(종합!K$3:K$501,MATCH(ROW()-2,종합!$AE$3:$AE$501,0))&amp;"","")</f>
        <v/>
      </c>
      <c r="L367" s="21" t="str">
        <f aca="false">IFERROR(INDEX(종합!L$3:L$501,MATCH(ROW()-2,종합!$AE$3:$AE$501,0))&amp;"","")</f>
        <v/>
      </c>
      <c r="M367" s="21" t="str">
        <f aca="false">IFERROR(INDEX(종합!M$3:M$501,MATCH(ROW()-2,종합!$AE$3:$AE$501,0))&amp;"","")</f>
        <v/>
      </c>
      <c r="N367" s="25" t="str">
        <f aca="false">IFERROR(INDEX(종합!N$3:N$501,MATCH(ROW()-2,종합!$AE$3:$AE$501,0))&amp;"","")</f>
        <v/>
      </c>
      <c r="O367" s="21" t="str">
        <f aca="false">IFERROR(INDEX(종합!O$3:O$501,MATCH(ROW()-2,종합!$AE$3:$AE$501,0))&amp;"","")</f>
        <v/>
      </c>
      <c r="P367" s="21" t="str">
        <f aca="false">IFERROR(INDEX(종합!P$3:P$501,MATCH(ROW()-2,종합!$AE$3:$AE$501,0))&amp;"","")</f>
        <v/>
      </c>
      <c r="Q367" s="21" t="str">
        <f aca="false">IFERROR(INDEX(종합!Q$3:Q$501,MATCH(ROW()-2,종합!$AE$3:$AE$501,0))&amp;"","")</f>
        <v/>
      </c>
      <c r="R367" s="21" t="str">
        <f aca="false">IFERROR(INDEX(종합!R$3:R$501,MATCH(ROW()-2,종합!$AE$3:$AE$501,0))&amp;"","")</f>
        <v/>
      </c>
      <c r="S367" s="21" t="str">
        <f aca="false">IFERROR(INDEX(종합!S$3:S$501,MATCH(ROW()-2,종합!$AE$3:$AE$501,0))&amp;"","")</f>
        <v/>
      </c>
      <c r="T367" s="21" t="str">
        <f aca="false">IFERROR(INDEX(종합!T$3:T$501,MATCH(ROW()-2,종합!$AE$3:$AE$501,0))&amp;"","")</f>
        <v/>
      </c>
      <c r="U367" s="21" t="str">
        <f aca="false">IFERROR(INDEX(종합!U$3:U$501,MATCH(ROW()-2,종합!$AE$3:$AE$501,0))&amp;"","")</f>
        <v/>
      </c>
      <c r="V367" s="21" t="str">
        <f aca="false">IFERROR(INDEX(종합!V$3:V$501,MATCH(ROW()-2,종합!$AE$3:$AE$501,0))&amp;"","")</f>
        <v/>
      </c>
      <c r="W367" s="21" t="str">
        <f aca="false">IFERROR(INDEX(종합!W$3:W$501,MATCH(ROW()-2,종합!$AE$3:$AE$501,0))&amp;"","")</f>
        <v/>
      </c>
      <c r="X367" s="21" t="str">
        <f aca="false">IFERROR(INDEX(종합!X$3:X$501,MATCH(ROW()-2,종합!$AE$3:$AE$501,0))&amp;"","")</f>
        <v/>
      </c>
      <c r="Y367" s="21" t="str">
        <f aca="false">IFERROR(INDEX(종합!Y$3:Y$501,MATCH(ROW()-2,종합!$AE$3:$AE$501,0))&amp;"","")</f>
        <v/>
      </c>
      <c r="Z367" s="21" t="str">
        <f aca="false">IFERROR(INDEX(종합!Z$3:Z$501,MATCH(ROW()-2,종합!$AE$3:$AE$501,0))&amp;"","")</f>
        <v/>
      </c>
    </row>
    <row r="368" customFormat="false" ht="16.5" hidden="false" customHeight="true" outlineLevel="0" collapsed="false">
      <c r="A368" s="18" t="str">
        <f aca="false">IF(B368="","",ROW()-2)</f>
        <v/>
      </c>
      <c r="B368" s="18" t="str">
        <f aca="false">IFERROR(INDEX(종합!B$3:B$501,MATCH(ROW()-2,종합!$AE$3:$AE$501,0))&amp;"","")</f>
        <v/>
      </c>
      <c r="C368" s="18" t="str">
        <f aca="false">IFERROR(INDEX(종합!C$3:C$501,MATCH(ROW()-2,종합!$AE$3:$AE$501,0))&amp;"","")</f>
        <v/>
      </c>
      <c r="D368" s="18" t="str">
        <f aca="false">IFERROR(INDEX(종합!D$3:D$501,MATCH(ROW()-2,종합!$AE$3:$AE$501,0))&amp;"","")</f>
        <v/>
      </c>
      <c r="E368" s="18" t="str">
        <f aca="false">IFERROR(INDEX(종합!E$3:E$501,MATCH(ROW()-2,종합!$AE$3:$AE$501,0))&amp;"","")</f>
        <v/>
      </c>
      <c r="F368" s="18" t="str">
        <f aca="false">IFERROR(INDEX(종합!F$3:F$501,MATCH(ROW()-2,종합!$AE$3:$AE$501,0))&amp;"","")</f>
        <v/>
      </c>
      <c r="G368" s="18" t="str">
        <f aca="false">IFERROR(INDEX(종합!G$3:G$501,MATCH(ROW()-2,종합!$AE$3:$AE$501,0))&amp;"","")</f>
        <v/>
      </c>
      <c r="H368" s="21" t="str">
        <f aca="false">IFERROR(INDEX(종합!H$3:H$501,MATCH(ROW()-2,종합!$AE$3:$AE$501,0))&amp;"","")</f>
        <v/>
      </c>
      <c r="I368" s="21" t="str">
        <f aca="false">IFERROR(INDEX(종합!I$3:I$501,MATCH(ROW()-2,종합!$AE$3:$AE$501,0))&amp;"","")</f>
        <v/>
      </c>
      <c r="J368" s="21" t="str">
        <f aca="false">IFERROR(INDEX(종합!J$3:J$501,MATCH(ROW()-2,종합!$AE$3:$AE$501,0))&amp;"","")</f>
        <v/>
      </c>
      <c r="K368" s="21" t="str">
        <f aca="false">IFERROR(INDEX(종합!K$3:K$501,MATCH(ROW()-2,종합!$AE$3:$AE$501,0))&amp;"","")</f>
        <v/>
      </c>
      <c r="L368" s="21" t="str">
        <f aca="false">IFERROR(INDEX(종합!L$3:L$501,MATCH(ROW()-2,종합!$AE$3:$AE$501,0))&amp;"","")</f>
        <v/>
      </c>
      <c r="M368" s="21" t="str">
        <f aca="false">IFERROR(INDEX(종합!M$3:M$501,MATCH(ROW()-2,종합!$AE$3:$AE$501,0))&amp;"","")</f>
        <v/>
      </c>
      <c r="N368" s="25" t="str">
        <f aca="false">IFERROR(INDEX(종합!N$3:N$501,MATCH(ROW()-2,종합!$AE$3:$AE$501,0))&amp;"","")</f>
        <v/>
      </c>
      <c r="O368" s="21" t="str">
        <f aca="false">IFERROR(INDEX(종합!O$3:O$501,MATCH(ROW()-2,종합!$AE$3:$AE$501,0))&amp;"","")</f>
        <v/>
      </c>
      <c r="P368" s="21" t="str">
        <f aca="false">IFERROR(INDEX(종합!P$3:P$501,MATCH(ROW()-2,종합!$AE$3:$AE$501,0))&amp;"","")</f>
        <v/>
      </c>
      <c r="Q368" s="21" t="str">
        <f aca="false">IFERROR(INDEX(종합!Q$3:Q$501,MATCH(ROW()-2,종합!$AE$3:$AE$501,0))&amp;"","")</f>
        <v/>
      </c>
      <c r="R368" s="21" t="str">
        <f aca="false">IFERROR(INDEX(종합!R$3:R$501,MATCH(ROW()-2,종합!$AE$3:$AE$501,0))&amp;"","")</f>
        <v/>
      </c>
      <c r="S368" s="21" t="str">
        <f aca="false">IFERROR(INDEX(종합!S$3:S$501,MATCH(ROW()-2,종합!$AE$3:$AE$501,0))&amp;"","")</f>
        <v/>
      </c>
      <c r="T368" s="21" t="str">
        <f aca="false">IFERROR(INDEX(종합!T$3:T$501,MATCH(ROW()-2,종합!$AE$3:$AE$501,0))&amp;"","")</f>
        <v/>
      </c>
      <c r="U368" s="21" t="str">
        <f aca="false">IFERROR(INDEX(종합!U$3:U$501,MATCH(ROW()-2,종합!$AE$3:$AE$501,0))&amp;"","")</f>
        <v/>
      </c>
      <c r="V368" s="21" t="str">
        <f aca="false">IFERROR(INDEX(종합!V$3:V$501,MATCH(ROW()-2,종합!$AE$3:$AE$501,0))&amp;"","")</f>
        <v/>
      </c>
      <c r="W368" s="21" t="str">
        <f aca="false">IFERROR(INDEX(종합!W$3:W$501,MATCH(ROW()-2,종합!$AE$3:$AE$501,0))&amp;"","")</f>
        <v/>
      </c>
      <c r="X368" s="21" t="str">
        <f aca="false">IFERROR(INDEX(종합!X$3:X$501,MATCH(ROW()-2,종합!$AE$3:$AE$501,0))&amp;"","")</f>
        <v/>
      </c>
      <c r="Y368" s="21" t="str">
        <f aca="false">IFERROR(INDEX(종합!Y$3:Y$501,MATCH(ROW()-2,종합!$AE$3:$AE$501,0))&amp;"","")</f>
        <v/>
      </c>
      <c r="Z368" s="21" t="str">
        <f aca="false">IFERROR(INDEX(종합!Z$3:Z$501,MATCH(ROW()-2,종합!$AE$3:$AE$501,0))&amp;"","")</f>
        <v/>
      </c>
    </row>
    <row r="369" customFormat="false" ht="16.5" hidden="false" customHeight="true" outlineLevel="0" collapsed="false">
      <c r="A369" s="18" t="str">
        <f aca="false">IF(B369="","",ROW()-2)</f>
        <v/>
      </c>
      <c r="B369" s="18" t="str">
        <f aca="false">IFERROR(INDEX(종합!B$3:B$501,MATCH(ROW()-2,종합!$AE$3:$AE$501,0))&amp;"","")</f>
        <v/>
      </c>
      <c r="C369" s="18" t="str">
        <f aca="false">IFERROR(INDEX(종합!C$3:C$501,MATCH(ROW()-2,종합!$AE$3:$AE$501,0))&amp;"","")</f>
        <v/>
      </c>
      <c r="D369" s="18" t="str">
        <f aca="false">IFERROR(INDEX(종합!D$3:D$501,MATCH(ROW()-2,종합!$AE$3:$AE$501,0))&amp;"","")</f>
        <v/>
      </c>
      <c r="E369" s="18" t="str">
        <f aca="false">IFERROR(INDEX(종합!E$3:E$501,MATCH(ROW()-2,종합!$AE$3:$AE$501,0))&amp;"","")</f>
        <v/>
      </c>
      <c r="F369" s="18" t="str">
        <f aca="false">IFERROR(INDEX(종합!F$3:F$501,MATCH(ROW()-2,종합!$AE$3:$AE$501,0))&amp;"","")</f>
        <v/>
      </c>
      <c r="G369" s="18" t="str">
        <f aca="false">IFERROR(INDEX(종합!G$3:G$501,MATCH(ROW()-2,종합!$AE$3:$AE$501,0))&amp;"","")</f>
        <v/>
      </c>
      <c r="H369" s="21" t="str">
        <f aca="false">IFERROR(INDEX(종합!H$3:H$501,MATCH(ROW()-2,종합!$AE$3:$AE$501,0))&amp;"","")</f>
        <v/>
      </c>
      <c r="I369" s="21" t="str">
        <f aca="false">IFERROR(INDEX(종합!I$3:I$501,MATCH(ROW()-2,종합!$AE$3:$AE$501,0))&amp;"","")</f>
        <v/>
      </c>
      <c r="J369" s="21" t="str">
        <f aca="false">IFERROR(INDEX(종합!J$3:J$501,MATCH(ROW()-2,종합!$AE$3:$AE$501,0))&amp;"","")</f>
        <v/>
      </c>
      <c r="K369" s="21" t="str">
        <f aca="false">IFERROR(INDEX(종합!K$3:K$501,MATCH(ROW()-2,종합!$AE$3:$AE$501,0))&amp;"","")</f>
        <v/>
      </c>
      <c r="L369" s="21" t="str">
        <f aca="false">IFERROR(INDEX(종합!L$3:L$501,MATCH(ROW()-2,종합!$AE$3:$AE$501,0))&amp;"","")</f>
        <v/>
      </c>
      <c r="M369" s="21" t="str">
        <f aca="false">IFERROR(INDEX(종합!M$3:M$501,MATCH(ROW()-2,종합!$AE$3:$AE$501,0))&amp;"","")</f>
        <v/>
      </c>
      <c r="N369" s="25" t="str">
        <f aca="false">IFERROR(INDEX(종합!N$3:N$501,MATCH(ROW()-2,종합!$AE$3:$AE$501,0))&amp;"","")</f>
        <v/>
      </c>
      <c r="O369" s="21" t="str">
        <f aca="false">IFERROR(INDEX(종합!O$3:O$501,MATCH(ROW()-2,종합!$AE$3:$AE$501,0))&amp;"","")</f>
        <v/>
      </c>
      <c r="P369" s="21" t="str">
        <f aca="false">IFERROR(INDEX(종합!P$3:P$501,MATCH(ROW()-2,종합!$AE$3:$AE$501,0))&amp;"","")</f>
        <v/>
      </c>
      <c r="Q369" s="21" t="str">
        <f aca="false">IFERROR(INDEX(종합!Q$3:Q$501,MATCH(ROW()-2,종합!$AE$3:$AE$501,0))&amp;"","")</f>
        <v/>
      </c>
      <c r="R369" s="21" t="str">
        <f aca="false">IFERROR(INDEX(종합!R$3:R$501,MATCH(ROW()-2,종합!$AE$3:$AE$501,0))&amp;"","")</f>
        <v/>
      </c>
      <c r="S369" s="21" t="str">
        <f aca="false">IFERROR(INDEX(종합!S$3:S$501,MATCH(ROW()-2,종합!$AE$3:$AE$501,0))&amp;"","")</f>
        <v/>
      </c>
      <c r="T369" s="21" t="str">
        <f aca="false">IFERROR(INDEX(종합!T$3:T$501,MATCH(ROW()-2,종합!$AE$3:$AE$501,0))&amp;"","")</f>
        <v/>
      </c>
      <c r="U369" s="21" t="str">
        <f aca="false">IFERROR(INDEX(종합!U$3:U$501,MATCH(ROW()-2,종합!$AE$3:$AE$501,0))&amp;"","")</f>
        <v/>
      </c>
      <c r="V369" s="21" t="str">
        <f aca="false">IFERROR(INDEX(종합!V$3:V$501,MATCH(ROW()-2,종합!$AE$3:$AE$501,0))&amp;"","")</f>
        <v/>
      </c>
      <c r="W369" s="21" t="str">
        <f aca="false">IFERROR(INDEX(종합!W$3:W$501,MATCH(ROW()-2,종합!$AE$3:$AE$501,0))&amp;"","")</f>
        <v/>
      </c>
      <c r="X369" s="21" t="str">
        <f aca="false">IFERROR(INDEX(종합!X$3:X$501,MATCH(ROW()-2,종합!$AE$3:$AE$501,0))&amp;"","")</f>
        <v/>
      </c>
      <c r="Y369" s="21" t="str">
        <f aca="false">IFERROR(INDEX(종합!Y$3:Y$501,MATCH(ROW()-2,종합!$AE$3:$AE$501,0))&amp;"","")</f>
        <v/>
      </c>
      <c r="Z369" s="21" t="str">
        <f aca="false">IFERROR(INDEX(종합!Z$3:Z$501,MATCH(ROW()-2,종합!$AE$3:$AE$501,0))&amp;"","")</f>
        <v/>
      </c>
    </row>
    <row r="370" customFormat="false" ht="16.5" hidden="false" customHeight="true" outlineLevel="0" collapsed="false">
      <c r="A370" s="18" t="str">
        <f aca="false">IF(B370="","",ROW()-2)</f>
        <v/>
      </c>
      <c r="B370" s="18" t="str">
        <f aca="false">IFERROR(INDEX(종합!B$3:B$501,MATCH(ROW()-2,종합!$AE$3:$AE$501,0))&amp;"","")</f>
        <v/>
      </c>
      <c r="C370" s="18" t="str">
        <f aca="false">IFERROR(INDEX(종합!C$3:C$501,MATCH(ROW()-2,종합!$AE$3:$AE$501,0))&amp;"","")</f>
        <v/>
      </c>
      <c r="D370" s="18" t="str">
        <f aca="false">IFERROR(INDEX(종합!D$3:D$501,MATCH(ROW()-2,종합!$AE$3:$AE$501,0))&amp;"","")</f>
        <v/>
      </c>
      <c r="E370" s="18" t="str">
        <f aca="false">IFERROR(INDEX(종합!E$3:E$501,MATCH(ROW()-2,종합!$AE$3:$AE$501,0))&amp;"","")</f>
        <v/>
      </c>
      <c r="F370" s="18" t="str">
        <f aca="false">IFERROR(INDEX(종합!F$3:F$501,MATCH(ROW()-2,종합!$AE$3:$AE$501,0))&amp;"","")</f>
        <v/>
      </c>
      <c r="G370" s="18" t="str">
        <f aca="false">IFERROR(INDEX(종합!G$3:G$501,MATCH(ROW()-2,종합!$AE$3:$AE$501,0))&amp;"","")</f>
        <v/>
      </c>
      <c r="H370" s="21" t="str">
        <f aca="false">IFERROR(INDEX(종합!H$3:H$501,MATCH(ROW()-2,종합!$AE$3:$AE$501,0))&amp;"","")</f>
        <v/>
      </c>
      <c r="I370" s="21" t="str">
        <f aca="false">IFERROR(INDEX(종합!I$3:I$501,MATCH(ROW()-2,종합!$AE$3:$AE$501,0))&amp;"","")</f>
        <v/>
      </c>
      <c r="J370" s="21" t="str">
        <f aca="false">IFERROR(INDEX(종합!J$3:J$501,MATCH(ROW()-2,종합!$AE$3:$AE$501,0))&amp;"","")</f>
        <v/>
      </c>
      <c r="K370" s="21" t="str">
        <f aca="false">IFERROR(INDEX(종합!K$3:K$501,MATCH(ROW()-2,종합!$AE$3:$AE$501,0))&amp;"","")</f>
        <v/>
      </c>
      <c r="L370" s="21" t="str">
        <f aca="false">IFERROR(INDEX(종합!L$3:L$501,MATCH(ROW()-2,종합!$AE$3:$AE$501,0))&amp;"","")</f>
        <v/>
      </c>
      <c r="M370" s="21" t="str">
        <f aca="false">IFERROR(INDEX(종합!M$3:M$501,MATCH(ROW()-2,종합!$AE$3:$AE$501,0))&amp;"","")</f>
        <v/>
      </c>
      <c r="N370" s="25" t="str">
        <f aca="false">IFERROR(INDEX(종합!N$3:N$501,MATCH(ROW()-2,종합!$AE$3:$AE$501,0))&amp;"","")</f>
        <v/>
      </c>
      <c r="O370" s="21" t="str">
        <f aca="false">IFERROR(INDEX(종합!O$3:O$501,MATCH(ROW()-2,종합!$AE$3:$AE$501,0))&amp;"","")</f>
        <v/>
      </c>
      <c r="P370" s="21" t="str">
        <f aca="false">IFERROR(INDEX(종합!P$3:P$501,MATCH(ROW()-2,종합!$AE$3:$AE$501,0))&amp;"","")</f>
        <v/>
      </c>
      <c r="Q370" s="21" t="str">
        <f aca="false">IFERROR(INDEX(종합!Q$3:Q$501,MATCH(ROW()-2,종합!$AE$3:$AE$501,0))&amp;"","")</f>
        <v/>
      </c>
      <c r="R370" s="21" t="str">
        <f aca="false">IFERROR(INDEX(종합!R$3:R$501,MATCH(ROW()-2,종합!$AE$3:$AE$501,0))&amp;"","")</f>
        <v/>
      </c>
      <c r="S370" s="21" t="str">
        <f aca="false">IFERROR(INDEX(종합!S$3:S$501,MATCH(ROW()-2,종합!$AE$3:$AE$501,0))&amp;"","")</f>
        <v/>
      </c>
      <c r="T370" s="21" t="str">
        <f aca="false">IFERROR(INDEX(종합!T$3:T$501,MATCH(ROW()-2,종합!$AE$3:$AE$501,0))&amp;"","")</f>
        <v/>
      </c>
      <c r="U370" s="21" t="str">
        <f aca="false">IFERROR(INDEX(종합!U$3:U$501,MATCH(ROW()-2,종합!$AE$3:$AE$501,0))&amp;"","")</f>
        <v/>
      </c>
      <c r="V370" s="21" t="str">
        <f aca="false">IFERROR(INDEX(종합!V$3:V$501,MATCH(ROW()-2,종합!$AE$3:$AE$501,0))&amp;"","")</f>
        <v/>
      </c>
      <c r="W370" s="21" t="str">
        <f aca="false">IFERROR(INDEX(종합!W$3:W$501,MATCH(ROW()-2,종합!$AE$3:$AE$501,0))&amp;"","")</f>
        <v/>
      </c>
      <c r="X370" s="21" t="str">
        <f aca="false">IFERROR(INDEX(종합!X$3:X$501,MATCH(ROW()-2,종합!$AE$3:$AE$501,0))&amp;"","")</f>
        <v/>
      </c>
      <c r="Y370" s="21" t="str">
        <f aca="false">IFERROR(INDEX(종합!Y$3:Y$501,MATCH(ROW()-2,종합!$AE$3:$AE$501,0))&amp;"","")</f>
        <v/>
      </c>
      <c r="Z370" s="21" t="str">
        <f aca="false">IFERROR(INDEX(종합!Z$3:Z$501,MATCH(ROW()-2,종합!$AE$3:$AE$501,0))&amp;"","")</f>
        <v/>
      </c>
    </row>
    <row r="371" customFormat="false" ht="16.5" hidden="false" customHeight="true" outlineLevel="0" collapsed="false">
      <c r="A371" s="18" t="str">
        <f aca="false">IF(B371="","",ROW()-2)</f>
        <v/>
      </c>
      <c r="B371" s="18" t="str">
        <f aca="false">IFERROR(INDEX(종합!B$3:B$501,MATCH(ROW()-2,종합!$AE$3:$AE$501,0))&amp;"","")</f>
        <v/>
      </c>
      <c r="C371" s="18" t="str">
        <f aca="false">IFERROR(INDEX(종합!C$3:C$501,MATCH(ROW()-2,종합!$AE$3:$AE$501,0))&amp;"","")</f>
        <v/>
      </c>
      <c r="D371" s="18" t="str">
        <f aca="false">IFERROR(INDEX(종합!D$3:D$501,MATCH(ROW()-2,종합!$AE$3:$AE$501,0))&amp;"","")</f>
        <v/>
      </c>
      <c r="E371" s="18" t="str">
        <f aca="false">IFERROR(INDEX(종합!E$3:E$501,MATCH(ROW()-2,종합!$AE$3:$AE$501,0))&amp;"","")</f>
        <v/>
      </c>
      <c r="F371" s="18" t="str">
        <f aca="false">IFERROR(INDEX(종합!F$3:F$501,MATCH(ROW()-2,종합!$AE$3:$AE$501,0))&amp;"","")</f>
        <v/>
      </c>
      <c r="G371" s="18" t="str">
        <f aca="false">IFERROR(INDEX(종합!G$3:G$501,MATCH(ROW()-2,종합!$AE$3:$AE$501,0))&amp;"","")</f>
        <v/>
      </c>
      <c r="H371" s="21" t="str">
        <f aca="false">IFERROR(INDEX(종합!H$3:H$501,MATCH(ROW()-2,종합!$AE$3:$AE$501,0))&amp;"","")</f>
        <v/>
      </c>
      <c r="I371" s="21" t="str">
        <f aca="false">IFERROR(INDEX(종합!I$3:I$501,MATCH(ROW()-2,종합!$AE$3:$AE$501,0))&amp;"","")</f>
        <v/>
      </c>
      <c r="J371" s="21" t="str">
        <f aca="false">IFERROR(INDEX(종합!J$3:J$501,MATCH(ROW()-2,종합!$AE$3:$AE$501,0))&amp;"","")</f>
        <v/>
      </c>
      <c r="K371" s="21" t="str">
        <f aca="false">IFERROR(INDEX(종합!K$3:K$501,MATCH(ROW()-2,종합!$AE$3:$AE$501,0))&amp;"","")</f>
        <v/>
      </c>
      <c r="L371" s="21" t="str">
        <f aca="false">IFERROR(INDEX(종합!L$3:L$501,MATCH(ROW()-2,종합!$AE$3:$AE$501,0))&amp;"","")</f>
        <v/>
      </c>
      <c r="M371" s="21" t="str">
        <f aca="false">IFERROR(INDEX(종합!M$3:M$501,MATCH(ROW()-2,종합!$AE$3:$AE$501,0))&amp;"","")</f>
        <v/>
      </c>
      <c r="N371" s="25" t="str">
        <f aca="false">IFERROR(INDEX(종합!N$3:N$501,MATCH(ROW()-2,종합!$AE$3:$AE$501,0))&amp;"","")</f>
        <v/>
      </c>
      <c r="O371" s="21" t="str">
        <f aca="false">IFERROR(INDEX(종합!O$3:O$501,MATCH(ROW()-2,종합!$AE$3:$AE$501,0))&amp;"","")</f>
        <v/>
      </c>
      <c r="P371" s="21" t="str">
        <f aca="false">IFERROR(INDEX(종합!P$3:P$501,MATCH(ROW()-2,종합!$AE$3:$AE$501,0))&amp;"","")</f>
        <v/>
      </c>
      <c r="Q371" s="21" t="str">
        <f aca="false">IFERROR(INDEX(종합!Q$3:Q$501,MATCH(ROW()-2,종합!$AE$3:$AE$501,0))&amp;"","")</f>
        <v/>
      </c>
      <c r="R371" s="21" t="str">
        <f aca="false">IFERROR(INDEX(종합!R$3:R$501,MATCH(ROW()-2,종합!$AE$3:$AE$501,0))&amp;"","")</f>
        <v/>
      </c>
      <c r="S371" s="21" t="str">
        <f aca="false">IFERROR(INDEX(종합!S$3:S$501,MATCH(ROW()-2,종합!$AE$3:$AE$501,0))&amp;"","")</f>
        <v/>
      </c>
      <c r="T371" s="21" t="str">
        <f aca="false">IFERROR(INDEX(종합!T$3:T$501,MATCH(ROW()-2,종합!$AE$3:$AE$501,0))&amp;"","")</f>
        <v/>
      </c>
      <c r="U371" s="21" t="str">
        <f aca="false">IFERROR(INDEX(종합!U$3:U$501,MATCH(ROW()-2,종합!$AE$3:$AE$501,0))&amp;"","")</f>
        <v/>
      </c>
      <c r="V371" s="21" t="str">
        <f aca="false">IFERROR(INDEX(종합!V$3:V$501,MATCH(ROW()-2,종합!$AE$3:$AE$501,0))&amp;"","")</f>
        <v/>
      </c>
      <c r="W371" s="21" t="str">
        <f aca="false">IFERROR(INDEX(종합!W$3:W$501,MATCH(ROW()-2,종합!$AE$3:$AE$501,0))&amp;"","")</f>
        <v/>
      </c>
      <c r="X371" s="21" t="str">
        <f aca="false">IFERROR(INDEX(종합!X$3:X$501,MATCH(ROW()-2,종합!$AE$3:$AE$501,0))&amp;"","")</f>
        <v/>
      </c>
      <c r="Y371" s="21" t="str">
        <f aca="false">IFERROR(INDEX(종합!Y$3:Y$501,MATCH(ROW()-2,종합!$AE$3:$AE$501,0))&amp;"","")</f>
        <v/>
      </c>
      <c r="Z371" s="21" t="str">
        <f aca="false">IFERROR(INDEX(종합!Z$3:Z$501,MATCH(ROW()-2,종합!$AE$3:$AE$501,0))&amp;"","")</f>
        <v/>
      </c>
    </row>
    <row r="372" customFormat="false" ht="16.5" hidden="false" customHeight="true" outlineLevel="0" collapsed="false">
      <c r="A372" s="18" t="str">
        <f aca="false">IF(B372="","",ROW()-2)</f>
        <v/>
      </c>
      <c r="B372" s="18" t="str">
        <f aca="false">IFERROR(INDEX(종합!B$3:B$501,MATCH(ROW()-2,종합!$AE$3:$AE$501,0))&amp;"","")</f>
        <v/>
      </c>
      <c r="C372" s="18" t="str">
        <f aca="false">IFERROR(INDEX(종합!C$3:C$501,MATCH(ROW()-2,종합!$AE$3:$AE$501,0))&amp;"","")</f>
        <v/>
      </c>
      <c r="D372" s="18" t="str">
        <f aca="false">IFERROR(INDEX(종합!D$3:D$501,MATCH(ROW()-2,종합!$AE$3:$AE$501,0))&amp;"","")</f>
        <v/>
      </c>
      <c r="E372" s="18" t="str">
        <f aca="false">IFERROR(INDEX(종합!E$3:E$501,MATCH(ROW()-2,종합!$AE$3:$AE$501,0))&amp;"","")</f>
        <v/>
      </c>
      <c r="F372" s="18" t="str">
        <f aca="false">IFERROR(INDEX(종합!F$3:F$501,MATCH(ROW()-2,종합!$AE$3:$AE$501,0))&amp;"","")</f>
        <v/>
      </c>
      <c r="G372" s="18" t="str">
        <f aca="false">IFERROR(INDEX(종합!G$3:G$501,MATCH(ROW()-2,종합!$AE$3:$AE$501,0))&amp;"","")</f>
        <v/>
      </c>
      <c r="H372" s="21" t="str">
        <f aca="false">IFERROR(INDEX(종합!H$3:H$501,MATCH(ROW()-2,종합!$AE$3:$AE$501,0))&amp;"","")</f>
        <v/>
      </c>
      <c r="I372" s="21" t="str">
        <f aca="false">IFERROR(INDEX(종합!I$3:I$501,MATCH(ROW()-2,종합!$AE$3:$AE$501,0))&amp;"","")</f>
        <v/>
      </c>
      <c r="J372" s="21" t="str">
        <f aca="false">IFERROR(INDEX(종합!J$3:J$501,MATCH(ROW()-2,종합!$AE$3:$AE$501,0))&amp;"","")</f>
        <v/>
      </c>
      <c r="K372" s="21" t="str">
        <f aca="false">IFERROR(INDEX(종합!K$3:K$501,MATCH(ROW()-2,종합!$AE$3:$AE$501,0))&amp;"","")</f>
        <v/>
      </c>
      <c r="L372" s="21" t="str">
        <f aca="false">IFERROR(INDEX(종합!L$3:L$501,MATCH(ROW()-2,종합!$AE$3:$AE$501,0))&amp;"","")</f>
        <v/>
      </c>
      <c r="M372" s="21" t="str">
        <f aca="false">IFERROR(INDEX(종합!M$3:M$501,MATCH(ROW()-2,종합!$AE$3:$AE$501,0))&amp;"","")</f>
        <v/>
      </c>
      <c r="N372" s="25" t="str">
        <f aca="false">IFERROR(INDEX(종합!N$3:N$501,MATCH(ROW()-2,종합!$AE$3:$AE$501,0))&amp;"","")</f>
        <v/>
      </c>
      <c r="O372" s="21" t="str">
        <f aca="false">IFERROR(INDEX(종합!O$3:O$501,MATCH(ROW()-2,종합!$AE$3:$AE$501,0))&amp;"","")</f>
        <v/>
      </c>
      <c r="P372" s="21" t="str">
        <f aca="false">IFERROR(INDEX(종합!P$3:P$501,MATCH(ROW()-2,종합!$AE$3:$AE$501,0))&amp;"","")</f>
        <v/>
      </c>
      <c r="Q372" s="21" t="str">
        <f aca="false">IFERROR(INDEX(종합!Q$3:Q$501,MATCH(ROW()-2,종합!$AE$3:$AE$501,0))&amp;"","")</f>
        <v/>
      </c>
      <c r="R372" s="21" t="str">
        <f aca="false">IFERROR(INDEX(종합!R$3:R$501,MATCH(ROW()-2,종합!$AE$3:$AE$501,0))&amp;"","")</f>
        <v/>
      </c>
      <c r="S372" s="21" t="str">
        <f aca="false">IFERROR(INDEX(종합!S$3:S$501,MATCH(ROW()-2,종합!$AE$3:$AE$501,0))&amp;"","")</f>
        <v/>
      </c>
      <c r="T372" s="21" t="str">
        <f aca="false">IFERROR(INDEX(종합!T$3:T$501,MATCH(ROW()-2,종합!$AE$3:$AE$501,0))&amp;"","")</f>
        <v/>
      </c>
      <c r="U372" s="21" t="str">
        <f aca="false">IFERROR(INDEX(종합!U$3:U$501,MATCH(ROW()-2,종합!$AE$3:$AE$501,0))&amp;"","")</f>
        <v/>
      </c>
      <c r="V372" s="21" t="str">
        <f aca="false">IFERROR(INDEX(종합!V$3:V$501,MATCH(ROW()-2,종합!$AE$3:$AE$501,0))&amp;"","")</f>
        <v/>
      </c>
      <c r="W372" s="21" t="str">
        <f aca="false">IFERROR(INDEX(종합!W$3:W$501,MATCH(ROW()-2,종합!$AE$3:$AE$501,0))&amp;"","")</f>
        <v/>
      </c>
      <c r="X372" s="21" t="str">
        <f aca="false">IFERROR(INDEX(종합!X$3:X$501,MATCH(ROW()-2,종합!$AE$3:$AE$501,0))&amp;"","")</f>
        <v/>
      </c>
      <c r="Y372" s="21" t="str">
        <f aca="false">IFERROR(INDEX(종합!Y$3:Y$501,MATCH(ROW()-2,종합!$AE$3:$AE$501,0))&amp;"","")</f>
        <v/>
      </c>
      <c r="Z372" s="21" t="str">
        <f aca="false">IFERROR(INDEX(종합!Z$3:Z$501,MATCH(ROW()-2,종합!$AE$3:$AE$501,0))&amp;"","")</f>
        <v/>
      </c>
    </row>
    <row r="373" customFormat="false" ht="16.5" hidden="false" customHeight="true" outlineLevel="0" collapsed="false">
      <c r="A373" s="18" t="str">
        <f aca="false">IF(B373="","",ROW()-2)</f>
        <v/>
      </c>
      <c r="B373" s="18" t="str">
        <f aca="false">IFERROR(INDEX(종합!B$3:B$501,MATCH(ROW()-2,종합!$AE$3:$AE$501,0))&amp;"","")</f>
        <v/>
      </c>
      <c r="C373" s="18" t="str">
        <f aca="false">IFERROR(INDEX(종합!C$3:C$501,MATCH(ROW()-2,종합!$AE$3:$AE$501,0))&amp;"","")</f>
        <v/>
      </c>
      <c r="D373" s="18" t="str">
        <f aca="false">IFERROR(INDEX(종합!D$3:D$501,MATCH(ROW()-2,종합!$AE$3:$AE$501,0))&amp;"","")</f>
        <v/>
      </c>
      <c r="E373" s="18" t="str">
        <f aca="false">IFERROR(INDEX(종합!E$3:E$501,MATCH(ROW()-2,종합!$AE$3:$AE$501,0))&amp;"","")</f>
        <v/>
      </c>
      <c r="F373" s="18" t="str">
        <f aca="false">IFERROR(INDEX(종합!F$3:F$501,MATCH(ROW()-2,종합!$AE$3:$AE$501,0))&amp;"","")</f>
        <v/>
      </c>
      <c r="G373" s="18" t="str">
        <f aca="false">IFERROR(INDEX(종합!G$3:G$501,MATCH(ROW()-2,종합!$AE$3:$AE$501,0))&amp;"","")</f>
        <v/>
      </c>
      <c r="H373" s="21" t="str">
        <f aca="false">IFERROR(INDEX(종합!H$3:H$501,MATCH(ROW()-2,종합!$AE$3:$AE$501,0))&amp;"","")</f>
        <v/>
      </c>
      <c r="I373" s="21" t="str">
        <f aca="false">IFERROR(INDEX(종합!I$3:I$501,MATCH(ROW()-2,종합!$AE$3:$AE$501,0))&amp;"","")</f>
        <v/>
      </c>
      <c r="J373" s="21" t="str">
        <f aca="false">IFERROR(INDEX(종합!J$3:J$501,MATCH(ROW()-2,종합!$AE$3:$AE$501,0))&amp;"","")</f>
        <v/>
      </c>
      <c r="K373" s="21" t="str">
        <f aca="false">IFERROR(INDEX(종합!K$3:K$501,MATCH(ROW()-2,종합!$AE$3:$AE$501,0))&amp;"","")</f>
        <v/>
      </c>
      <c r="L373" s="21" t="str">
        <f aca="false">IFERROR(INDEX(종합!L$3:L$501,MATCH(ROW()-2,종합!$AE$3:$AE$501,0))&amp;"","")</f>
        <v/>
      </c>
      <c r="M373" s="21" t="str">
        <f aca="false">IFERROR(INDEX(종합!M$3:M$501,MATCH(ROW()-2,종합!$AE$3:$AE$501,0))&amp;"","")</f>
        <v/>
      </c>
      <c r="N373" s="25" t="str">
        <f aca="false">IFERROR(INDEX(종합!N$3:N$501,MATCH(ROW()-2,종합!$AE$3:$AE$501,0))&amp;"","")</f>
        <v/>
      </c>
      <c r="O373" s="21" t="str">
        <f aca="false">IFERROR(INDEX(종합!O$3:O$501,MATCH(ROW()-2,종합!$AE$3:$AE$501,0))&amp;"","")</f>
        <v/>
      </c>
      <c r="P373" s="21" t="str">
        <f aca="false">IFERROR(INDEX(종합!P$3:P$501,MATCH(ROW()-2,종합!$AE$3:$AE$501,0))&amp;"","")</f>
        <v/>
      </c>
      <c r="Q373" s="21" t="str">
        <f aca="false">IFERROR(INDEX(종합!Q$3:Q$501,MATCH(ROW()-2,종합!$AE$3:$AE$501,0))&amp;"","")</f>
        <v/>
      </c>
      <c r="R373" s="21" t="str">
        <f aca="false">IFERROR(INDEX(종합!R$3:R$501,MATCH(ROW()-2,종합!$AE$3:$AE$501,0))&amp;"","")</f>
        <v/>
      </c>
      <c r="S373" s="21" t="str">
        <f aca="false">IFERROR(INDEX(종합!S$3:S$501,MATCH(ROW()-2,종합!$AE$3:$AE$501,0))&amp;"","")</f>
        <v/>
      </c>
      <c r="T373" s="21" t="str">
        <f aca="false">IFERROR(INDEX(종합!T$3:T$501,MATCH(ROW()-2,종합!$AE$3:$AE$501,0))&amp;"","")</f>
        <v/>
      </c>
      <c r="U373" s="21" t="str">
        <f aca="false">IFERROR(INDEX(종합!U$3:U$501,MATCH(ROW()-2,종합!$AE$3:$AE$501,0))&amp;"","")</f>
        <v/>
      </c>
      <c r="V373" s="21" t="str">
        <f aca="false">IFERROR(INDEX(종합!V$3:V$501,MATCH(ROW()-2,종합!$AE$3:$AE$501,0))&amp;"","")</f>
        <v/>
      </c>
      <c r="W373" s="21" t="str">
        <f aca="false">IFERROR(INDEX(종합!W$3:W$501,MATCH(ROW()-2,종합!$AE$3:$AE$501,0))&amp;"","")</f>
        <v/>
      </c>
      <c r="X373" s="21" t="str">
        <f aca="false">IFERROR(INDEX(종합!X$3:X$501,MATCH(ROW()-2,종합!$AE$3:$AE$501,0))&amp;"","")</f>
        <v/>
      </c>
      <c r="Y373" s="21" t="str">
        <f aca="false">IFERROR(INDEX(종합!Y$3:Y$501,MATCH(ROW()-2,종합!$AE$3:$AE$501,0))&amp;"","")</f>
        <v/>
      </c>
      <c r="Z373" s="21" t="str">
        <f aca="false">IFERROR(INDEX(종합!Z$3:Z$501,MATCH(ROW()-2,종합!$AE$3:$AE$501,0))&amp;"","")</f>
        <v/>
      </c>
    </row>
    <row r="374" customFormat="false" ht="16.5" hidden="false" customHeight="true" outlineLevel="0" collapsed="false">
      <c r="A374" s="18" t="str">
        <f aca="false">IF(B374="","",ROW()-2)</f>
        <v/>
      </c>
      <c r="B374" s="18" t="str">
        <f aca="false">IFERROR(INDEX(종합!B$3:B$501,MATCH(ROW()-2,종합!$AE$3:$AE$501,0))&amp;"","")</f>
        <v/>
      </c>
      <c r="C374" s="18" t="str">
        <f aca="false">IFERROR(INDEX(종합!C$3:C$501,MATCH(ROW()-2,종합!$AE$3:$AE$501,0))&amp;"","")</f>
        <v/>
      </c>
      <c r="D374" s="18" t="str">
        <f aca="false">IFERROR(INDEX(종합!D$3:D$501,MATCH(ROW()-2,종합!$AE$3:$AE$501,0))&amp;"","")</f>
        <v/>
      </c>
      <c r="E374" s="18" t="str">
        <f aca="false">IFERROR(INDEX(종합!E$3:E$501,MATCH(ROW()-2,종합!$AE$3:$AE$501,0))&amp;"","")</f>
        <v/>
      </c>
      <c r="F374" s="18" t="str">
        <f aca="false">IFERROR(INDEX(종합!F$3:F$501,MATCH(ROW()-2,종합!$AE$3:$AE$501,0))&amp;"","")</f>
        <v/>
      </c>
      <c r="G374" s="18" t="str">
        <f aca="false">IFERROR(INDEX(종합!G$3:G$501,MATCH(ROW()-2,종합!$AE$3:$AE$501,0))&amp;"","")</f>
        <v/>
      </c>
      <c r="H374" s="21" t="str">
        <f aca="false">IFERROR(INDEX(종합!H$3:H$501,MATCH(ROW()-2,종합!$AE$3:$AE$501,0))&amp;"","")</f>
        <v/>
      </c>
      <c r="I374" s="21" t="str">
        <f aca="false">IFERROR(INDEX(종합!I$3:I$501,MATCH(ROW()-2,종합!$AE$3:$AE$501,0))&amp;"","")</f>
        <v/>
      </c>
      <c r="J374" s="21" t="str">
        <f aca="false">IFERROR(INDEX(종합!J$3:J$501,MATCH(ROW()-2,종합!$AE$3:$AE$501,0))&amp;"","")</f>
        <v/>
      </c>
      <c r="K374" s="21" t="str">
        <f aca="false">IFERROR(INDEX(종합!K$3:K$501,MATCH(ROW()-2,종합!$AE$3:$AE$501,0))&amp;"","")</f>
        <v/>
      </c>
      <c r="L374" s="21" t="str">
        <f aca="false">IFERROR(INDEX(종합!L$3:L$501,MATCH(ROW()-2,종합!$AE$3:$AE$501,0))&amp;"","")</f>
        <v/>
      </c>
      <c r="M374" s="21" t="str">
        <f aca="false">IFERROR(INDEX(종합!M$3:M$501,MATCH(ROW()-2,종합!$AE$3:$AE$501,0))&amp;"","")</f>
        <v/>
      </c>
      <c r="N374" s="25" t="str">
        <f aca="false">IFERROR(INDEX(종합!N$3:N$501,MATCH(ROW()-2,종합!$AE$3:$AE$501,0))&amp;"","")</f>
        <v/>
      </c>
      <c r="O374" s="21" t="str">
        <f aca="false">IFERROR(INDEX(종합!O$3:O$501,MATCH(ROW()-2,종합!$AE$3:$AE$501,0))&amp;"","")</f>
        <v/>
      </c>
      <c r="P374" s="21" t="str">
        <f aca="false">IFERROR(INDEX(종합!P$3:P$501,MATCH(ROW()-2,종합!$AE$3:$AE$501,0))&amp;"","")</f>
        <v/>
      </c>
      <c r="Q374" s="21" t="str">
        <f aca="false">IFERROR(INDEX(종합!Q$3:Q$501,MATCH(ROW()-2,종합!$AE$3:$AE$501,0))&amp;"","")</f>
        <v/>
      </c>
      <c r="R374" s="21" t="str">
        <f aca="false">IFERROR(INDEX(종합!R$3:R$501,MATCH(ROW()-2,종합!$AE$3:$AE$501,0))&amp;"","")</f>
        <v/>
      </c>
      <c r="S374" s="21" t="str">
        <f aca="false">IFERROR(INDEX(종합!S$3:S$501,MATCH(ROW()-2,종합!$AE$3:$AE$501,0))&amp;"","")</f>
        <v/>
      </c>
      <c r="T374" s="21" t="str">
        <f aca="false">IFERROR(INDEX(종합!T$3:T$501,MATCH(ROW()-2,종합!$AE$3:$AE$501,0))&amp;"","")</f>
        <v/>
      </c>
      <c r="U374" s="21" t="str">
        <f aca="false">IFERROR(INDEX(종합!U$3:U$501,MATCH(ROW()-2,종합!$AE$3:$AE$501,0))&amp;"","")</f>
        <v/>
      </c>
      <c r="V374" s="21" t="str">
        <f aca="false">IFERROR(INDEX(종합!V$3:V$501,MATCH(ROW()-2,종합!$AE$3:$AE$501,0))&amp;"","")</f>
        <v/>
      </c>
      <c r="W374" s="21" t="str">
        <f aca="false">IFERROR(INDEX(종합!W$3:W$501,MATCH(ROW()-2,종합!$AE$3:$AE$501,0))&amp;"","")</f>
        <v/>
      </c>
      <c r="X374" s="21" t="str">
        <f aca="false">IFERROR(INDEX(종합!X$3:X$501,MATCH(ROW()-2,종합!$AE$3:$AE$501,0))&amp;"","")</f>
        <v/>
      </c>
      <c r="Y374" s="21" t="str">
        <f aca="false">IFERROR(INDEX(종합!Y$3:Y$501,MATCH(ROW()-2,종합!$AE$3:$AE$501,0))&amp;"","")</f>
        <v/>
      </c>
      <c r="Z374" s="21" t="str">
        <f aca="false">IFERROR(INDEX(종합!Z$3:Z$501,MATCH(ROW()-2,종합!$AE$3:$AE$501,0))&amp;"","")</f>
        <v/>
      </c>
    </row>
    <row r="375" customFormat="false" ht="16.5" hidden="false" customHeight="true" outlineLevel="0" collapsed="false">
      <c r="A375" s="18" t="str">
        <f aca="false">IF(B375="","",ROW()-2)</f>
        <v/>
      </c>
      <c r="B375" s="18" t="str">
        <f aca="false">IFERROR(INDEX(종합!B$3:B$501,MATCH(ROW()-2,종합!$AE$3:$AE$501,0))&amp;"","")</f>
        <v/>
      </c>
      <c r="C375" s="18" t="str">
        <f aca="false">IFERROR(INDEX(종합!C$3:C$501,MATCH(ROW()-2,종합!$AE$3:$AE$501,0))&amp;"","")</f>
        <v/>
      </c>
      <c r="D375" s="18" t="str">
        <f aca="false">IFERROR(INDEX(종합!D$3:D$501,MATCH(ROW()-2,종합!$AE$3:$AE$501,0))&amp;"","")</f>
        <v/>
      </c>
      <c r="E375" s="18" t="str">
        <f aca="false">IFERROR(INDEX(종합!E$3:E$501,MATCH(ROW()-2,종합!$AE$3:$AE$501,0))&amp;"","")</f>
        <v/>
      </c>
      <c r="F375" s="18" t="str">
        <f aca="false">IFERROR(INDEX(종합!F$3:F$501,MATCH(ROW()-2,종합!$AE$3:$AE$501,0))&amp;"","")</f>
        <v/>
      </c>
      <c r="G375" s="18" t="str">
        <f aca="false">IFERROR(INDEX(종합!G$3:G$501,MATCH(ROW()-2,종합!$AE$3:$AE$501,0))&amp;"","")</f>
        <v/>
      </c>
      <c r="H375" s="21" t="str">
        <f aca="false">IFERROR(INDEX(종합!H$3:H$501,MATCH(ROW()-2,종합!$AE$3:$AE$501,0))&amp;"","")</f>
        <v/>
      </c>
      <c r="I375" s="21" t="str">
        <f aca="false">IFERROR(INDEX(종합!I$3:I$501,MATCH(ROW()-2,종합!$AE$3:$AE$501,0))&amp;"","")</f>
        <v/>
      </c>
      <c r="J375" s="21" t="str">
        <f aca="false">IFERROR(INDEX(종합!J$3:J$501,MATCH(ROW()-2,종합!$AE$3:$AE$501,0))&amp;"","")</f>
        <v/>
      </c>
      <c r="K375" s="21" t="str">
        <f aca="false">IFERROR(INDEX(종합!K$3:K$501,MATCH(ROW()-2,종합!$AE$3:$AE$501,0))&amp;"","")</f>
        <v/>
      </c>
      <c r="L375" s="21" t="str">
        <f aca="false">IFERROR(INDEX(종합!L$3:L$501,MATCH(ROW()-2,종합!$AE$3:$AE$501,0))&amp;"","")</f>
        <v/>
      </c>
      <c r="M375" s="21" t="str">
        <f aca="false">IFERROR(INDEX(종합!M$3:M$501,MATCH(ROW()-2,종합!$AE$3:$AE$501,0))&amp;"","")</f>
        <v/>
      </c>
      <c r="N375" s="25" t="str">
        <f aca="false">IFERROR(INDEX(종합!N$3:N$501,MATCH(ROW()-2,종합!$AE$3:$AE$501,0))&amp;"","")</f>
        <v/>
      </c>
      <c r="O375" s="21" t="str">
        <f aca="false">IFERROR(INDEX(종합!O$3:O$501,MATCH(ROW()-2,종합!$AE$3:$AE$501,0))&amp;"","")</f>
        <v/>
      </c>
      <c r="P375" s="21" t="str">
        <f aca="false">IFERROR(INDEX(종합!P$3:P$501,MATCH(ROW()-2,종합!$AE$3:$AE$501,0))&amp;"","")</f>
        <v/>
      </c>
      <c r="Q375" s="21" t="str">
        <f aca="false">IFERROR(INDEX(종합!Q$3:Q$501,MATCH(ROW()-2,종합!$AE$3:$AE$501,0))&amp;"","")</f>
        <v/>
      </c>
      <c r="R375" s="21" t="str">
        <f aca="false">IFERROR(INDEX(종합!R$3:R$501,MATCH(ROW()-2,종합!$AE$3:$AE$501,0))&amp;"","")</f>
        <v/>
      </c>
      <c r="S375" s="21" t="str">
        <f aca="false">IFERROR(INDEX(종합!S$3:S$501,MATCH(ROW()-2,종합!$AE$3:$AE$501,0))&amp;"","")</f>
        <v/>
      </c>
      <c r="T375" s="21" t="str">
        <f aca="false">IFERROR(INDEX(종합!T$3:T$501,MATCH(ROW()-2,종합!$AE$3:$AE$501,0))&amp;"","")</f>
        <v/>
      </c>
      <c r="U375" s="21" t="str">
        <f aca="false">IFERROR(INDEX(종합!U$3:U$501,MATCH(ROW()-2,종합!$AE$3:$AE$501,0))&amp;"","")</f>
        <v/>
      </c>
      <c r="V375" s="21" t="str">
        <f aca="false">IFERROR(INDEX(종합!V$3:V$501,MATCH(ROW()-2,종합!$AE$3:$AE$501,0))&amp;"","")</f>
        <v/>
      </c>
      <c r="W375" s="21" t="str">
        <f aca="false">IFERROR(INDEX(종합!W$3:W$501,MATCH(ROW()-2,종합!$AE$3:$AE$501,0))&amp;"","")</f>
        <v/>
      </c>
      <c r="X375" s="21" t="str">
        <f aca="false">IFERROR(INDEX(종합!X$3:X$501,MATCH(ROW()-2,종합!$AE$3:$AE$501,0))&amp;"","")</f>
        <v/>
      </c>
      <c r="Y375" s="21" t="str">
        <f aca="false">IFERROR(INDEX(종합!Y$3:Y$501,MATCH(ROW()-2,종합!$AE$3:$AE$501,0))&amp;"","")</f>
        <v/>
      </c>
      <c r="Z375" s="21" t="str">
        <f aca="false">IFERROR(INDEX(종합!Z$3:Z$501,MATCH(ROW()-2,종합!$AE$3:$AE$501,0))&amp;"","")</f>
        <v/>
      </c>
    </row>
    <row r="376" customFormat="false" ht="16.5" hidden="false" customHeight="true" outlineLevel="0" collapsed="false">
      <c r="A376" s="18" t="str">
        <f aca="false">IF(B376="","",ROW()-2)</f>
        <v/>
      </c>
      <c r="B376" s="18" t="str">
        <f aca="false">IFERROR(INDEX(종합!B$3:B$501,MATCH(ROW()-2,종합!$AE$3:$AE$501,0))&amp;"","")</f>
        <v/>
      </c>
      <c r="C376" s="18" t="str">
        <f aca="false">IFERROR(INDEX(종합!C$3:C$501,MATCH(ROW()-2,종합!$AE$3:$AE$501,0))&amp;"","")</f>
        <v/>
      </c>
      <c r="D376" s="18" t="str">
        <f aca="false">IFERROR(INDEX(종합!D$3:D$501,MATCH(ROW()-2,종합!$AE$3:$AE$501,0))&amp;"","")</f>
        <v/>
      </c>
      <c r="E376" s="18" t="str">
        <f aca="false">IFERROR(INDEX(종합!E$3:E$501,MATCH(ROW()-2,종합!$AE$3:$AE$501,0))&amp;"","")</f>
        <v/>
      </c>
      <c r="F376" s="18" t="str">
        <f aca="false">IFERROR(INDEX(종합!F$3:F$501,MATCH(ROW()-2,종합!$AE$3:$AE$501,0))&amp;"","")</f>
        <v/>
      </c>
      <c r="G376" s="18" t="str">
        <f aca="false">IFERROR(INDEX(종합!G$3:G$501,MATCH(ROW()-2,종합!$AE$3:$AE$501,0))&amp;"","")</f>
        <v/>
      </c>
      <c r="H376" s="21" t="str">
        <f aca="false">IFERROR(INDEX(종합!H$3:H$501,MATCH(ROW()-2,종합!$AE$3:$AE$501,0))&amp;"","")</f>
        <v/>
      </c>
      <c r="I376" s="21" t="str">
        <f aca="false">IFERROR(INDEX(종합!I$3:I$501,MATCH(ROW()-2,종합!$AE$3:$AE$501,0))&amp;"","")</f>
        <v/>
      </c>
      <c r="J376" s="21" t="str">
        <f aca="false">IFERROR(INDEX(종합!J$3:J$501,MATCH(ROW()-2,종합!$AE$3:$AE$501,0))&amp;"","")</f>
        <v/>
      </c>
      <c r="K376" s="21" t="str">
        <f aca="false">IFERROR(INDEX(종합!K$3:K$501,MATCH(ROW()-2,종합!$AE$3:$AE$501,0))&amp;"","")</f>
        <v/>
      </c>
      <c r="L376" s="21" t="str">
        <f aca="false">IFERROR(INDEX(종합!L$3:L$501,MATCH(ROW()-2,종합!$AE$3:$AE$501,0))&amp;"","")</f>
        <v/>
      </c>
      <c r="M376" s="21" t="str">
        <f aca="false">IFERROR(INDEX(종합!M$3:M$501,MATCH(ROW()-2,종합!$AE$3:$AE$501,0))&amp;"","")</f>
        <v/>
      </c>
      <c r="N376" s="25" t="str">
        <f aca="false">IFERROR(INDEX(종합!N$3:N$501,MATCH(ROW()-2,종합!$AE$3:$AE$501,0))&amp;"","")</f>
        <v/>
      </c>
      <c r="O376" s="21" t="str">
        <f aca="false">IFERROR(INDEX(종합!O$3:O$501,MATCH(ROW()-2,종합!$AE$3:$AE$501,0))&amp;"","")</f>
        <v/>
      </c>
      <c r="P376" s="21" t="str">
        <f aca="false">IFERROR(INDEX(종합!P$3:P$501,MATCH(ROW()-2,종합!$AE$3:$AE$501,0))&amp;"","")</f>
        <v/>
      </c>
      <c r="Q376" s="21" t="str">
        <f aca="false">IFERROR(INDEX(종합!Q$3:Q$501,MATCH(ROW()-2,종합!$AE$3:$AE$501,0))&amp;"","")</f>
        <v/>
      </c>
      <c r="R376" s="21" t="str">
        <f aca="false">IFERROR(INDEX(종합!R$3:R$501,MATCH(ROW()-2,종합!$AE$3:$AE$501,0))&amp;"","")</f>
        <v/>
      </c>
      <c r="S376" s="21" t="str">
        <f aca="false">IFERROR(INDEX(종합!S$3:S$501,MATCH(ROW()-2,종합!$AE$3:$AE$501,0))&amp;"","")</f>
        <v/>
      </c>
      <c r="T376" s="21" t="str">
        <f aca="false">IFERROR(INDEX(종합!T$3:T$501,MATCH(ROW()-2,종합!$AE$3:$AE$501,0))&amp;"","")</f>
        <v/>
      </c>
      <c r="U376" s="21" t="str">
        <f aca="false">IFERROR(INDEX(종합!U$3:U$501,MATCH(ROW()-2,종합!$AE$3:$AE$501,0))&amp;"","")</f>
        <v/>
      </c>
      <c r="V376" s="21" t="str">
        <f aca="false">IFERROR(INDEX(종합!V$3:V$501,MATCH(ROW()-2,종합!$AE$3:$AE$501,0))&amp;"","")</f>
        <v/>
      </c>
      <c r="W376" s="21" t="str">
        <f aca="false">IFERROR(INDEX(종합!W$3:W$501,MATCH(ROW()-2,종합!$AE$3:$AE$501,0))&amp;"","")</f>
        <v/>
      </c>
      <c r="X376" s="21" t="str">
        <f aca="false">IFERROR(INDEX(종합!X$3:X$501,MATCH(ROW()-2,종합!$AE$3:$AE$501,0))&amp;"","")</f>
        <v/>
      </c>
      <c r="Y376" s="21" t="str">
        <f aca="false">IFERROR(INDEX(종합!Y$3:Y$501,MATCH(ROW()-2,종합!$AE$3:$AE$501,0))&amp;"","")</f>
        <v/>
      </c>
      <c r="Z376" s="21" t="str">
        <f aca="false">IFERROR(INDEX(종합!Z$3:Z$501,MATCH(ROW()-2,종합!$AE$3:$AE$501,0))&amp;"","")</f>
        <v/>
      </c>
    </row>
    <row r="377" customFormat="false" ht="16.5" hidden="false" customHeight="true" outlineLevel="0" collapsed="false">
      <c r="A377" s="18" t="str">
        <f aca="false">IF(B377="","",ROW()-2)</f>
        <v/>
      </c>
      <c r="B377" s="18" t="str">
        <f aca="false">IFERROR(INDEX(종합!B$3:B$501,MATCH(ROW()-2,종합!$AE$3:$AE$501,0))&amp;"","")</f>
        <v/>
      </c>
      <c r="C377" s="18" t="str">
        <f aca="false">IFERROR(INDEX(종합!C$3:C$501,MATCH(ROW()-2,종합!$AE$3:$AE$501,0))&amp;"","")</f>
        <v/>
      </c>
      <c r="D377" s="18" t="str">
        <f aca="false">IFERROR(INDEX(종합!D$3:D$501,MATCH(ROW()-2,종합!$AE$3:$AE$501,0))&amp;"","")</f>
        <v/>
      </c>
      <c r="E377" s="18" t="str">
        <f aca="false">IFERROR(INDEX(종합!E$3:E$501,MATCH(ROW()-2,종합!$AE$3:$AE$501,0))&amp;"","")</f>
        <v/>
      </c>
      <c r="F377" s="18" t="str">
        <f aca="false">IFERROR(INDEX(종합!F$3:F$501,MATCH(ROW()-2,종합!$AE$3:$AE$501,0))&amp;"","")</f>
        <v/>
      </c>
      <c r="G377" s="18" t="str">
        <f aca="false">IFERROR(INDEX(종합!G$3:G$501,MATCH(ROW()-2,종합!$AE$3:$AE$501,0))&amp;"","")</f>
        <v/>
      </c>
      <c r="H377" s="21" t="str">
        <f aca="false">IFERROR(INDEX(종합!H$3:H$501,MATCH(ROW()-2,종합!$AE$3:$AE$501,0))&amp;"","")</f>
        <v/>
      </c>
      <c r="I377" s="21" t="str">
        <f aca="false">IFERROR(INDEX(종합!I$3:I$501,MATCH(ROW()-2,종합!$AE$3:$AE$501,0))&amp;"","")</f>
        <v/>
      </c>
      <c r="J377" s="21" t="str">
        <f aca="false">IFERROR(INDEX(종합!J$3:J$501,MATCH(ROW()-2,종합!$AE$3:$AE$501,0))&amp;"","")</f>
        <v/>
      </c>
      <c r="K377" s="21" t="str">
        <f aca="false">IFERROR(INDEX(종합!K$3:K$501,MATCH(ROW()-2,종합!$AE$3:$AE$501,0))&amp;"","")</f>
        <v/>
      </c>
      <c r="L377" s="21" t="str">
        <f aca="false">IFERROR(INDEX(종합!L$3:L$501,MATCH(ROW()-2,종합!$AE$3:$AE$501,0))&amp;"","")</f>
        <v/>
      </c>
      <c r="M377" s="21" t="str">
        <f aca="false">IFERROR(INDEX(종합!M$3:M$501,MATCH(ROW()-2,종합!$AE$3:$AE$501,0))&amp;"","")</f>
        <v/>
      </c>
      <c r="N377" s="25" t="str">
        <f aca="false">IFERROR(INDEX(종합!N$3:N$501,MATCH(ROW()-2,종합!$AE$3:$AE$501,0))&amp;"","")</f>
        <v/>
      </c>
      <c r="O377" s="21" t="str">
        <f aca="false">IFERROR(INDEX(종합!O$3:O$501,MATCH(ROW()-2,종합!$AE$3:$AE$501,0))&amp;"","")</f>
        <v/>
      </c>
      <c r="P377" s="21" t="str">
        <f aca="false">IFERROR(INDEX(종합!P$3:P$501,MATCH(ROW()-2,종합!$AE$3:$AE$501,0))&amp;"","")</f>
        <v/>
      </c>
      <c r="Q377" s="21" t="str">
        <f aca="false">IFERROR(INDEX(종합!Q$3:Q$501,MATCH(ROW()-2,종합!$AE$3:$AE$501,0))&amp;"","")</f>
        <v/>
      </c>
      <c r="R377" s="21" t="str">
        <f aca="false">IFERROR(INDEX(종합!R$3:R$501,MATCH(ROW()-2,종합!$AE$3:$AE$501,0))&amp;"","")</f>
        <v/>
      </c>
      <c r="S377" s="21" t="str">
        <f aca="false">IFERROR(INDEX(종합!S$3:S$501,MATCH(ROW()-2,종합!$AE$3:$AE$501,0))&amp;"","")</f>
        <v/>
      </c>
      <c r="T377" s="21" t="str">
        <f aca="false">IFERROR(INDEX(종합!T$3:T$501,MATCH(ROW()-2,종합!$AE$3:$AE$501,0))&amp;"","")</f>
        <v/>
      </c>
      <c r="U377" s="21" t="str">
        <f aca="false">IFERROR(INDEX(종합!U$3:U$501,MATCH(ROW()-2,종합!$AE$3:$AE$501,0))&amp;"","")</f>
        <v/>
      </c>
      <c r="V377" s="21" t="str">
        <f aca="false">IFERROR(INDEX(종합!V$3:V$501,MATCH(ROW()-2,종합!$AE$3:$AE$501,0))&amp;"","")</f>
        <v/>
      </c>
      <c r="W377" s="21" t="str">
        <f aca="false">IFERROR(INDEX(종합!W$3:W$501,MATCH(ROW()-2,종합!$AE$3:$AE$501,0))&amp;"","")</f>
        <v/>
      </c>
      <c r="X377" s="21" t="str">
        <f aca="false">IFERROR(INDEX(종합!X$3:X$501,MATCH(ROW()-2,종합!$AE$3:$AE$501,0))&amp;"","")</f>
        <v/>
      </c>
      <c r="Y377" s="21" t="str">
        <f aca="false">IFERROR(INDEX(종합!Y$3:Y$501,MATCH(ROW()-2,종합!$AE$3:$AE$501,0))&amp;"","")</f>
        <v/>
      </c>
      <c r="Z377" s="21" t="str">
        <f aca="false">IFERROR(INDEX(종합!Z$3:Z$501,MATCH(ROW()-2,종합!$AE$3:$AE$501,0))&amp;"","")</f>
        <v/>
      </c>
    </row>
    <row r="378" customFormat="false" ht="16.5" hidden="false" customHeight="true" outlineLevel="0" collapsed="false">
      <c r="A378" s="18" t="str">
        <f aca="false">IF(B378="","",ROW()-2)</f>
        <v/>
      </c>
      <c r="B378" s="18" t="str">
        <f aca="false">IFERROR(INDEX(종합!B$3:B$501,MATCH(ROW()-2,종합!$AE$3:$AE$501,0))&amp;"","")</f>
        <v/>
      </c>
      <c r="C378" s="18" t="str">
        <f aca="false">IFERROR(INDEX(종합!C$3:C$501,MATCH(ROW()-2,종합!$AE$3:$AE$501,0))&amp;"","")</f>
        <v/>
      </c>
      <c r="D378" s="18" t="str">
        <f aca="false">IFERROR(INDEX(종합!D$3:D$501,MATCH(ROW()-2,종합!$AE$3:$AE$501,0))&amp;"","")</f>
        <v/>
      </c>
      <c r="E378" s="18" t="str">
        <f aca="false">IFERROR(INDEX(종합!E$3:E$501,MATCH(ROW()-2,종합!$AE$3:$AE$501,0))&amp;"","")</f>
        <v/>
      </c>
      <c r="F378" s="18" t="str">
        <f aca="false">IFERROR(INDEX(종합!F$3:F$501,MATCH(ROW()-2,종합!$AE$3:$AE$501,0))&amp;"","")</f>
        <v/>
      </c>
      <c r="G378" s="18" t="str">
        <f aca="false">IFERROR(INDEX(종합!G$3:G$501,MATCH(ROW()-2,종합!$AE$3:$AE$501,0))&amp;"","")</f>
        <v/>
      </c>
      <c r="H378" s="21" t="str">
        <f aca="false">IFERROR(INDEX(종합!H$3:H$501,MATCH(ROW()-2,종합!$AE$3:$AE$501,0))&amp;"","")</f>
        <v/>
      </c>
      <c r="I378" s="21" t="str">
        <f aca="false">IFERROR(INDEX(종합!I$3:I$501,MATCH(ROW()-2,종합!$AE$3:$AE$501,0))&amp;"","")</f>
        <v/>
      </c>
      <c r="J378" s="21" t="str">
        <f aca="false">IFERROR(INDEX(종합!J$3:J$501,MATCH(ROW()-2,종합!$AE$3:$AE$501,0))&amp;"","")</f>
        <v/>
      </c>
      <c r="K378" s="21" t="str">
        <f aca="false">IFERROR(INDEX(종합!K$3:K$501,MATCH(ROW()-2,종합!$AE$3:$AE$501,0))&amp;"","")</f>
        <v/>
      </c>
      <c r="L378" s="21" t="str">
        <f aca="false">IFERROR(INDEX(종합!L$3:L$501,MATCH(ROW()-2,종합!$AE$3:$AE$501,0))&amp;"","")</f>
        <v/>
      </c>
      <c r="M378" s="21" t="str">
        <f aca="false">IFERROR(INDEX(종합!M$3:M$501,MATCH(ROW()-2,종합!$AE$3:$AE$501,0))&amp;"","")</f>
        <v/>
      </c>
      <c r="N378" s="25" t="str">
        <f aca="false">IFERROR(INDEX(종합!N$3:N$501,MATCH(ROW()-2,종합!$AE$3:$AE$501,0))&amp;"","")</f>
        <v/>
      </c>
      <c r="O378" s="21" t="str">
        <f aca="false">IFERROR(INDEX(종합!O$3:O$501,MATCH(ROW()-2,종합!$AE$3:$AE$501,0))&amp;"","")</f>
        <v/>
      </c>
      <c r="P378" s="21" t="str">
        <f aca="false">IFERROR(INDEX(종합!P$3:P$501,MATCH(ROW()-2,종합!$AE$3:$AE$501,0))&amp;"","")</f>
        <v/>
      </c>
      <c r="Q378" s="21" t="str">
        <f aca="false">IFERROR(INDEX(종합!Q$3:Q$501,MATCH(ROW()-2,종합!$AE$3:$AE$501,0))&amp;"","")</f>
        <v/>
      </c>
      <c r="R378" s="21" t="str">
        <f aca="false">IFERROR(INDEX(종합!R$3:R$501,MATCH(ROW()-2,종합!$AE$3:$AE$501,0))&amp;"","")</f>
        <v/>
      </c>
      <c r="S378" s="21" t="str">
        <f aca="false">IFERROR(INDEX(종합!S$3:S$501,MATCH(ROW()-2,종합!$AE$3:$AE$501,0))&amp;"","")</f>
        <v/>
      </c>
      <c r="T378" s="21" t="str">
        <f aca="false">IFERROR(INDEX(종합!T$3:T$501,MATCH(ROW()-2,종합!$AE$3:$AE$501,0))&amp;"","")</f>
        <v/>
      </c>
      <c r="U378" s="21" t="str">
        <f aca="false">IFERROR(INDEX(종합!U$3:U$501,MATCH(ROW()-2,종합!$AE$3:$AE$501,0))&amp;"","")</f>
        <v/>
      </c>
      <c r="V378" s="21" t="str">
        <f aca="false">IFERROR(INDEX(종합!V$3:V$501,MATCH(ROW()-2,종합!$AE$3:$AE$501,0))&amp;"","")</f>
        <v/>
      </c>
      <c r="W378" s="21" t="str">
        <f aca="false">IFERROR(INDEX(종합!W$3:W$501,MATCH(ROW()-2,종합!$AE$3:$AE$501,0))&amp;"","")</f>
        <v/>
      </c>
      <c r="X378" s="21" t="str">
        <f aca="false">IFERROR(INDEX(종합!X$3:X$501,MATCH(ROW()-2,종합!$AE$3:$AE$501,0))&amp;"","")</f>
        <v/>
      </c>
      <c r="Y378" s="21" t="str">
        <f aca="false">IFERROR(INDEX(종합!Y$3:Y$501,MATCH(ROW()-2,종합!$AE$3:$AE$501,0))&amp;"","")</f>
        <v/>
      </c>
      <c r="Z378" s="21" t="str">
        <f aca="false">IFERROR(INDEX(종합!Z$3:Z$501,MATCH(ROW()-2,종합!$AE$3:$AE$501,0))&amp;"","")</f>
        <v/>
      </c>
    </row>
    <row r="379" customFormat="false" ht="16.5" hidden="false" customHeight="true" outlineLevel="0" collapsed="false">
      <c r="A379" s="18" t="str">
        <f aca="false">IF(B379="","",ROW()-2)</f>
        <v/>
      </c>
      <c r="B379" s="18" t="str">
        <f aca="false">IFERROR(INDEX(종합!B$3:B$501,MATCH(ROW()-2,종합!$AE$3:$AE$501,0))&amp;"","")</f>
        <v/>
      </c>
      <c r="C379" s="18" t="str">
        <f aca="false">IFERROR(INDEX(종합!C$3:C$501,MATCH(ROW()-2,종합!$AE$3:$AE$501,0))&amp;"","")</f>
        <v/>
      </c>
      <c r="D379" s="18" t="str">
        <f aca="false">IFERROR(INDEX(종합!D$3:D$501,MATCH(ROW()-2,종합!$AE$3:$AE$501,0))&amp;"","")</f>
        <v/>
      </c>
      <c r="E379" s="18" t="str">
        <f aca="false">IFERROR(INDEX(종합!E$3:E$501,MATCH(ROW()-2,종합!$AE$3:$AE$501,0))&amp;"","")</f>
        <v/>
      </c>
      <c r="F379" s="18" t="str">
        <f aca="false">IFERROR(INDEX(종합!F$3:F$501,MATCH(ROW()-2,종합!$AE$3:$AE$501,0))&amp;"","")</f>
        <v/>
      </c>
      <c r="G379" s="18" t="str">
        <f aca="false">IFERROR(INDEX(종합!G$3:G$501,MATCH(ROW()-2,종합!$AE$3:$AE$501,0))&amp;"","")</f>
        <v/>
      </c>
      <c r="H379" s="21" t="str">
        <f aca="false">IFERROR(INDEX(종합!H$3:H$501,MATCH(ROW()-2,종합!$AE$3:$AE$501,0))&amp;"","")</f>
        <v/>
      </c>
      <c r="I379" s="21" t="str">
        <f aca="false">IFERROR(INDEX(종합!I$3:I$501,MATCH(ROW()-2,종합!$AE$3:$AE$501,0))&amp;"","")</f>
        <v/>
      </c>
      <c r="J379" s="21" t="str">
        <f aca="false">IFERROR(INDEX(종합!J$3:J$501,MATCH(ROW()-2,종합!$AE$3:$AE$501,0))&amp;"","")</f>
        <v/>
      </c>
      <c r="K379" s="21" t="str">
        <f aca="false">IFERROR(INDEX(종합!K$3:K$501,MATCH(ROW()-2,종합!$AE$3:$AE$501,0))&amp;"","")</f>
        <v/>
      </c>
      <c r="L379" s="21" t="str">
        <f aca="false">IFERROR(INDEX(종합!L$3:L$501,MATCH(ROW()-2,종합!$AE$3:$AE$501,0))&amp;"","")</f>
        <v/>
      </c>
      <c r="M379" s="21" t="str">
        <f aca="false">IFERROR(INDEX(종합!M$3:M$501,MATCH(ROW()-2,종합!$AE$3:$AE$501,0))&amp;"","")</f>
        <v/>
      </c>
      <c r="N379" s="25" t="str">
        <f aca="false">IFERROR(INDEX(종합!N$3:N$501,MATCH(ROW()-2,종합!$AE$3:$AE$501,0))&amp;"","")</f>
        <v/>
      </c>
      <c r="O379" s="21" t="str">
        <f aca="false">IFERROR(INDEX(종합!O$3:O$501,MATCH(ROW()-2,종합!$AE$3:$AE$501,0))&amp;"","")</f>
        <v/>
      </c>
      <c r="P379" s="21" t="str">
        <f aca="false">IFERROR(INDEX(종합!P$3:P$501,MATCH(ROW()-2,종합!$AE$3:$AE$501,0))&amp;"","")</f>
        <v/>
      </c>
      <c r="Q379" s="21" t="str">
        <f aca="false">IFERROR(INDEX(종합!Q$3:Q$501,MATCH(ROW()-2,종합!$AE$3:$AE$501,0))&amp;"","")</f>
        <v/>
      </c>
      <c r="R379" s="21" t="str">
        <f aca="false">IFERROR(INDEX(종합!R$3:R$501,MATCH(ROW()-2,종합!$AE$3:$AE$501,0))&amp;"","")</f>
        <v/>
      </c>
      <c r="S379" s="21" t="str">
        <f aca="false">IFERROR(INDEX(종합!S$3:S$501,MATCH(ROW()-2,종합!$AE$3:$AE$501,0))&amp;"","")</f>
        <v/>
      </c>
      <c r="T379" s="21" t="str">
        <f aca="false">IFERROR(INDEX(종합!T$3:T$501,MATCH(ROW()-2,종합!$AE$3:$AE$501,0))&amp;"","")</f>
        <v/>
      </c>
      <c r="U379" s="21" t="str">
        <f aca="false">IFERROR(INDEX(종합!U$3:U$501,MATCH(ROW()-2,종합!$AE$3:$AE$501,0))&amp;"","")</f>
        <v/>
      </c>
      <c r="V379" s="21" t="str">
        <f aca="false">IFERROR(INDEX(종합!V$3:V$501,MATCH(ROW()-2,종합!$AE$3:$AE$501,0))&amp;"","")</f>
        <v/>
      </c>
      <c r="W379" s="21" t="str">
        <f aca="false">IFERROR(INDEX(종합!W$3:W$501,MATCH(ROW()-2,종합!$AE$3:$AE$501,0))&amp;"","")</f>
        <v/>
      </c>
      <c r="X379" s="21" t="str">
        <f aca="false">IFERROR(INDEX(종합!X$3:X$501,MATCH(ROW()-2,종합!$AE$3:$AE$501,0))&amp;"","")</f>
        <v/>
      </c>
      <c r="Y379" s="21" t="str">
        <f aca="false">IFERROR(INDEX(종합!Y$3:Y$501,MATCH(ROW()-2,종합!$AE$3:$AE$501,0))&amp;"","")</f>
        <v/>
      </c>
      <c r="Z379" s="21" t="str">
        <f aca="false">IFERROR(INDEX(종합!Z$3:Z$501,MATCH(ROW()-2,종합!$AE$3:$AE$501,0))&amp;"","")</f>
        <v/>
      </c>
    </row>
    <row r="380" customFormat="false" ht="16.5" hidden="false" customHeight="true" outlineLevel="0" collapsed="false">
      <c r="A380" s="18" t="str">
        <f aca="false">IF(B380="","",ROW()-2)</f>
        <v/>
      </c>
      <c r="B380" s="18" t="str">
        <f aca="false">IFERROR(INDEX(종합!B$3:B$501,MATCH(ROW()-2,종합!$AE$3:$AE$501,0))&amp;"","")</f>
        <v/>
      </c>
      <c r="C380" s="18" t="str">
        <f aca="false">IFERROR(INDEX(종합!C$3:C$501,MATCH(ROW()-2,종합!$AE$3:$AE$501,0))&amp;"","")</f>
        <v/>
      </c>
      <c r="D380" s="18" t="str">
        <f aca="false">IFERROR(INDEX(종합!D$3:D$501,MATCH(ROW()-2,종합!$AE$3:$AE$501,0))&amp;"","")</f>
        <v/>
      </c>
      <c r="E380" s="18" t="str">
        <f aca="false">IFERROR(INDEX(종합!E$3:E$501,MATCH(ROW()-2,종합!$AE$3:$AE$501,0))&amp;"","")</f>
        <v/>
      </c>
      <c r="F380" s="18" t="str">
        <f aca="false">IFERROR(INDEX(종합!F$3:F$501,MATCH(ROW()-2,종합!$AE$3:$AE$501,0))&amp;"","")</f>
        <v/>
      </c>
      <c r="G380" s="18" t="str">
        <f aca="false">IFERROR(INDEX(종합!G$3:G$501,MATCH(ROW()-2,종합!$AE$3:$AE$501,0))&amp;"","")</f>
        <v/>
      </c>
      <c r="H380" s="21" t="str">
        <f aca="false">IFERROR(INDEX(종합!H$3:H$501,MATCH(ROW()-2,종합!$AE$3:$AE$501,0))&amp;"","")</f>
        <v/>
      </c>
      <c r="I380" s="21" t="str">
        <f aca="false">IFERROR(INDEX(종합!I$3:I$501,MATCH(ROW()-2,종합!$AE$3:$AE$501,0))&amp;"","")</f>
        <v/>
      </c>
      <c r="J380" s="21" t="str">
        <f aca="false">IFERROR(INDEX(종합!J$3:J$501,MATCH(ROW()-2,종합!$AE$3:$AE$501,0))&amp;"","")</f>
        <v/>
      </c>
      <c r="K380" s="21" t="str">
        <f aca="false">IFERROR(INDEX(종합!K$3:K$501,MATCH(ROW()-2,종합!$AE$3:$AE$501,0))&amp;"","")</f>
        <v/>
      </c>
      <c r="L380" s="21" t="str">
        <f aca="false">IFERROR(INDEX(종합!L$3:L$501,MATCH(ROW()-2,종합!$AE$3:$AE$501,0))&amp;"","")</f>
        <v/>
      </c>
      <c r="M380" s="21" t="str">
        <f aca="false">IFERROR(INDEX(종합!M$3:M$501,MATCH(ROW()-2,종합!$AE$3:$AE$501,0))&amp;"","")</f>
        <v/>
      </c>
      <c r="N380" s="25" t="str">
        <f aca="false">IFERROR(INDEX(종합!N$3:N$501,MATCH(ROW()-2,종합!$AE$3:$AE$501,0))&amp;"","")</f>
        <v/>
      </c>
      <c r="O380" s="21" t="str">
        <f aca="false">IFERROR(INDEX(종합!O$3:O$501,MATCH(ROW()-2,종합!$AE$3:$AE$501,0))&amp;"","")</f>
        <v/>
      </c>
      <c r="P380" s="21" t="str">
        <f aca="false">IFERROR(INDEX(종합!P$3:P$501,MATCH(ROW()-2,종합!$AE$3:$AE$501,0))&amp;"","")</f>
        <v/>
      </c>
      <c r="Q380" s="21" t="str">
        <f aca="false">IFERROR(INDEX(종합!Q$3:Q$501,MATCH(ROW()-2,종합!$AE$3:$AE$501,0))&amp;"","")</f>
        <v/>
      </c>
      <c r="R380" s="21" t="str">
        <f aca="false">IFERROR(INDEX(종합!R$3:R$501,MATCH(ROW()-2,종합!$AE$3:$AE$501,0))&amp;"","")</f>
        <v/>
      </c>
      <c r="S380" s="21" t="str">
        <f aca="false">IFERROR(INDEX(종합!S$3:S$501,MATCH(ROW()-2,종합!$AE$3:$AE$501,0))&amp;"","")</f>
        <v/>
      </c>
      <c r="T380" s="21" t="str">
        <f aca="false">IFERROR(INDEX(종합!T$3:T$501,MATCH(ROW()-2,종합!$AE$3:$AE$501,0))&amp;"","")</f>
        <v/>
      </c>
      <c r="U380" s="21" t="str">
        <f aca="false">IFERROR(INDEX(종합!U$3:U$501,MATCH(ROW()-2,종합!$AE$3:$AE$501,0))&amp;"","")</f>
        <v/>
      </c>
      <c r="V380" s="21" t="str">
        <f aca="false">IFERROR(INDEX(종합!V$3:V$501,MATCH(ROW()-2,종합!$AE$3:$AE$501,0))&amp;"","")</f>
        <v/>
      </c>
      <c r="W380" s="21" t="str">
        <f aca="false">IFERROR(INDEX(종합!W$3:W$501,MATCH(ROW()-2,종합!$AE$3:$AE$501,0))&amp;"","")</f>
        <v/>
      </c>
      <c r="X380" s="21" t="str">
        <f aca="false">IFERROR(INDEX(종합!X$3:X$501,MATCH(ROW()-2,종합!$AE$3:$AE$501,0))&amp;"","")</f>
        <v/>
      </c>
      <c r="Y380" s="21" t="str">
        <f aca="false">IFERROR(INDEX(종합!Y$3:Y$501,MATCH(ROW()-2,종합!$AE$3:$AE$501,0))&amp;"","")</f>
        <v/>
      </c>
      <c r="Z380" s="21" t="str">
        <f aca="false">IFERROR(INDEX(종합!Z$3:Z$501,MATCH(ROW()-2,종합!$AE$3:$AE$501,0))&amp;"","")</f>
        <v/>
      </c>
    </row>
    <row r="381" customFormat="false" ht="16.5" hidden="false" customHeight="true" outlineLevel="0" collapsed="false">
      <c r="A381" s="18" t="str">
        <f aca="false">IF(B381="","",ROW()-2)</f>
        <v/>
      </c>
      <c r="B381" s="18" t="str">
        <f aca="false">IFERROR(INDEX(종합!B$3:B$501,MATCH(ROW()-2,종합!$AE$3:$AE$501,0))&amp;"","")</f>
        <v/>
      </c>
      <c r="C381" s="18" t="str">
        <f aca="false">IFERROR(INDEX(종합!C$3:C$501,MATCH(ROW()-2,종합!$AE$3:$AE$501,0))&amp;"","")</f>
        <v/>
      </c>
      <c r="D381" s="18" t="str">
        <f aca="false">IFERROR(INDEX(종합!D$3:D$501,MATCH(ROW()-2,종합!$AE$3:$AE$501,0))&amp;"","")</f>
        <v/>
      </c>
      <c r="E381" s="18" t="str">
        <f aca="false">IFERROR(INDEX(종합!E$3:E$501,MATCH(ROW()-2,종합!$AE$3:$AE$501,0))&amp;"","")</f>
        <v/>
      </c>
      <c r="F381" s="18" t="str">
        <f aca="false">IFERROR(INDEX(종합!F$3:F$501,MATCH(ROW()-2,종합!$AE$3:$AE$501,0))&amp;"","")</f>
        <v/>
      </c>
      <c r="G381" s="18" t="str">
        <f aca="false">IFERROR(INDEX(종합!G$3:G$501,MATCH(ROW()-2,종합!$AE$3:$AE$501,0))&amp;"","")</f>
        <v/>
      </c>
      <c r="H381" s="21" t="str">
        <f aca="false">IFERROR(INDEX(종합!H$3:H$501,MATCH(ROW()-2,종합!$AE$3:$AE$501,0))&amp;"","")</f>
        <v/>
      </c>
      <c r="I381" s="21" t="str">
        <f aca="false">IFERROR(INDEX(종합!I$3:I$501,MATCH(ROW()-2,종합!$AE$3:$AE$501,0))&amp;"","")</f>
        <v/>
      </c>
      <c r="J381" s="21" t="str">
        <f aca="false">IFERROR(INDEX(종합!J$3:J$501,MATCH(ROW()-2,종합!$AE$3:$AE$501,0))&amp;"","")</f>
        <v/>
      </c>
      <c r="K381" s="21" t="str">
        <f aca="false">IFERROR(INDEX(종합!K$3:K$501,MATCH(ROW()-2,종합!$AE$3:$AE$501,0))&amp;"","")</f>
        <v/>
      </c>
      <c r="L381" s="21" t="str">
        <f aca="false">IFERROR(INDEX(종합!L$3:L$501,MATCH(ROW()-2,종합!$AE$3:$AE$501,0))&amp;"","")</f>
        <v/>
      </c>
      <c r="M381" s="21" t="str">
        <f aca="false">IFERROR(INDEX(종합!M$3:M$501,MATCH(ROW()-2,종합!$AE$3:$AE$501,0))&amp;"","")</f>
        <v/>
      </c>
      <c r="N381" s="25" t="str">
        <f aca="false">IFERROR(INDEX(종합!N$3:N$501,MATCH(ROW()-2,종합!$AE$3:$AE$501,0))&amp;"","")</f>
        <v/>
      </c>
      <c r="O381" s="21" t="str">
        <f aca="false">IFERROR(INDEX(종합!O$3:O$501,MATCH(ROW()-2,종합!$AE$3:$AE$501,0))&amp;"","")</f>
        <v/>
      </c>
      <c r="P381" s="21" t="str">
        <f aca="false">IFERROR(INDEX(종합!P$3:P$501,MATCH(ROW()-2,종합!$AE$3:$AE$501,0))&amp;"","")</f>
        <v/>
      </c>
      <c r="Q381" s="21" t="str">
        <f aca="false">IFERROR(INDEX(종합!Q$3:Q$501,MATCH(ROW()-2,종합!$AE$3:$AE$501,0))&amp;"","")</f>
        <v/>
      </c>
      <c r="R381" s="21" t="str">
        <f aca="false">IFERROR(INDEX(종합!R$3:R$501,MATCH(ROW()-2,종합!$AE$3:$AE$501,0))&amp;"","")</f>
        <v/>
      </c>
      <c r="S381" s="21" t="str">
        <f aca="false">IFERROR(INDEX(종합!S$3:S$501,MATCH(ROW()-2,종합!$AE$3:$AE$501,0))&amp;"","")</f>
        <v/>
      </c>
      <c r="T381" s="21" t="str">
        <f aca="false">IFERROR(INDEX(종합!T$3:T$501,MATCH(ROW()-2,종합!$AE$3:$AE$501,0))&amp;"","")</f>
        <v/>
      </c>
      <c r="U381" s="21" t="str">
        <f aca="false">IFERROR(INDEX(종합!U$3:U$501,MATCH(ROW()-2,종합!$AE$3:$AE$501,0))&amp;"","")</f>
        <v/>
      </c>
      <c r="V381" s="21" t="str">
        <f aca="false">IFERROR(INDEX(종합!V$3:V$501,MATCH(ROW()-2,종합!$AE$3:$AE$501,0))&amp;"","")</f>
        <v/>
      </c>
      <c r="W381" s="21" t="str">
        <f aca="false">IFERROR(INDEX(종합!W$3:W$501,MATCH(ROW()-2,종합!$AE$3:$AE$501,0))&amp;"","")</f>
        <v/>
      </c>
      <c r="X381" s="21" t="str">
        <f aca="false">IFERROR(INDEX(종합!X$3:X$501,MATCH(ROW()-2,종합!$AE$3:$AE$501,0))&amp;"","")</f>
        <v/>
      </c>
      <c r="Y381" s="21" t="str">
        <f aca="false">IFERROR(INDEX(종합!Y$3:Y$501,MATCH(ROW()-2,종합!$AE$3:$AE$501,0))&amp;"","")</f>
        <v/>
      </c>
      <c r="Z381" s="21" t="str">
        <f aca="false">IFERROR(INDEX(종합!Z$3:Z$501,MATCH(ROW()-2,종합!$AE$3:$AE$501,0))&amp;"","")</f>
        <v/>
      </c>
    </row>
    <row r="382" customFormat="false" ht="16.5" hidden="false" customHeight="true" outlineLevel="0" collapsed="false">
      <c r="A382" s="18" t="str">
        <f aca="false">IF(B382="","",ROW()-2)</f>
        <v/>
      </c>
      <c r="B382" s="18" t="str">
        <f aca="false">IFERROR(INDEX(종합!B$3:B$501,MATCH(ROW()-2,종합!$AE$3:$AE$501,0))&amp;"","")</f>
        <v/>
      </c>
      <c r="C382" s="18" t="str">
        <f aca="false">IFERROR(INDEX(종합!C$3:C$501,MATCH(ROW()-2,종합!$AE$3:$AE$501,0))&amp;"","")</f>
        <v/>
      </c>
      <c r="D382" s="18" t="str">
        <f aca="false">IFERROR(INDEX(종합!D$3:D$501,MATCH(ROW()-2,종합!$AE$3:$AE$501,0))&amp;"","")</f>
        <v/>
      </c>
      <c r="E382" s="18" t="str">
        <f aca="false">IFERROR(INDEX(종합!E$3:E$501,MATCH(ROW()-2,종합!$AE$3:$AE$501,0))&amp;"","")</f>
        <v/>
      </c>
      <c r="F382" s="18" t="str">
        <f aca="false">IFERROR(INDEX(종합!F$3:F$501,MATCH(ROW()-2,종합!$AE$3:$AE$501,0))&amp;"","")</f>
        <v/>
      </c>
      <c r="G382" s="18" t="str">
        <f aca="false">IFERROR(INDEX(종합!G$3:G$501,MATCH(ROW()-2,종합!$AE$3:$AE$501,0))&amp;"","")</f>
        <v/>
      </c>
      <c r="H382" s="21" t="str">
        <f aca="false">IFERROR(INDEX(종합!H$3:H$501,MATCH(ROW()-2,종합!$AE$3:$AE$501,0))&amp;"","")</f>
        <v/>
      </c>
      <c r="I382" s="21" t="str">
        <f aca="false">IFERROR(INDEX(종합!I$3:I$501,MATCH(ROW()-2,종합!$AE$3:$AE$501,0))&amp;"","")</f>
        <v/>
      </c>
      <c r="J382" s="21" t="str">
        <f aca="false">IFERROR(INDEX(종합!J$3:J$501,MATCH(ROW()-2,종합!$AE$3:$AE$501,0))&amp;"","")</f>
        <v/>
      </c>
      <c r="K382" s="21" t="str">
        <f aca="false">IFERROR(INDEX(종합!K$3:K$501,MATCH(ROW()-2,종합!$AE$3:$AE$501,0))&amp;"","")</f>
        <v/>
      </c>
      <c r="L382" s="21" t="str">
        <f aca="false">IFERROR(INDEX(종합!L$3:L$501,MATCH(ROW()-2,종합!$AE$3:$AE$501,0))&amp;"","")</f>
        <v/>
      </c>
      <c r="M382" s="21" t="str">
        <f aca="false">IFERROR(INDEX(종합!M$3:M$501,MATCH(ROW()-2,종합!$AE$3:$AE$501,0))&amp;"","")</f>
        <v/>
      </c>
      <c r="N382" s="25" t="str">
        <f aca="false">IFERROR(INDEX(종합!N$3:N$501,MATCH(ROW()-2,종합!$AE$3:$AE$501,0))&amp;"","")</f>
        <v/>
      </c>
      <c r="O382" s="21" t="str">
        <f aca="false">IFERROR(INDEX(종합!O$3:O$501,MATCH(ROW()-2,종합!$AE$3:$AE$501,0))&amp;"","")</f>
        <v/>
      </c>
      <c r="P382" s="21" t="str">
        <f aca="false">IFERROR(INDEX(종합!P$3:P$501,MATCH(ROW()-2,종합!$AE$3:$AE$501,0))&amp;"","")</f>
        <v/>
      </c>
      <c r="Q382" s="21" t="str">
        <f aca="false">IFERROR(INDEX(종합!Q$3:Q$501,MATCH(ROW()-2,종합!$AE$3:$AE$501,0))&amp;"","")</f>
        <v/>
      </c>
      <c r="R382" s="21" t="str">
        <f aca="false">IFERROR(INDEX(종합!R$3:R$501,MATCH(ROW()-2,종합!$AE$3:$AE$501,0))&amp;"","")</f>
        <v/>
      </c>
      <c r="S382" s="21" t="str">
        <f aca="false">IFERROR(INDEX(종합!S$3:S$501,MATCH(ROW()-2,종합!$AE$3:$AE$501,0))&amp;"","")</f>
        <v/>
      </c>
      <c r="T382" s="21" t="str">
        <f aca="false">IFERROR(INDEX(종합!T$3:T$501,MATCH(ROW()-2,종합!$AE$3:$AE$501,0))&amp;"","")</f>
        <v/>
      </c>
      <c r="U382" s="21" t="str">
        <f aca="false">IFERROR(INDEX(종합!U$3:U$501,MATCH(ROW()-2,종합!$AE$3:$AE$501,0))&amp;"","")</f>
        <v/>
      </c>
      <c r="V382" s="21" t="str">
        <f aca="false">IFERROR(INDEX(종합!V$3:V$501,MATCH(ROW()-2,종합!$AE$3:$AE$501,0))&amp;"","")</f>
        <v/>
      </c>
      <c r="W382" s="21" t="str">
        <f aca="false">IFERROR(INDEX(종합!W$3:W$501,MATCH(ROW()-2,종합!$AE$3:$AE$501,0))&amp;"","")</f>
        <v/>
      </c>
      <c r="X382" s="21" t="str">
        <f aca="false">IFERROR(INDEX(종합!X$3:X$501,MATCH(ROW()-2,종합!$AE$3:$AE$501,0))&amp;"","")</f>
        <v/>
      </c>
      <c r="Y382" s="21" t="str">
        <f aca="false">IFERROR(INDEX(종합!Y$3:Y$501,MATCH(ROW()-2,종합!$AE$3:$AE$501,0))&amp;"","")</f>
        <v/>
      </c>
      <c r="Z382" s="21" t="str">
        <f aca="false">IFERROR(INDEX(종합!Z$3:Z$501,MATCH(ROW()-2,종합!$AE$3:$AE$501,0))&amp;"","")</f>
        <v/>
      </c>
    </row>
    <row r="383" customFormat="false" ht="16.5" hidden="false" customHeight="true" outlineLevel="0" collapsed="false">
      <c r="A383" s="18" t="str">
        <f aca="false">IF(B383="","",ROW()-2)</f>
        <v/>
      </c>
      <c r="B383" s="18" t="str">
        <f aca="false">IFERROR(INDEX(종합!B$3:B$501,MATCH(ROW()-2,종합!$AE$3:$AE$501,0))&amp;"","")</f>
        <v/>
      </c>
      <c r="C383" s="18" t="str">
        <f aca="false">IFERROR(INDEX(종합!C$3:C$501,MATCH(ROW()-2,종합!$AE$3:$AE$501,0))&amp;"","")</f>
        <v/>
      </c>
      <c r="D383" s="18" t="str">
        <f aca="false">IFERROR(INDEX(종합!D$3:D$501,MATCH(ROW()-2,종합!$AE$3:$AE$501,0))&amp;"","")</f>
        <v/>
      </c>
      <c r="E383" s="18" t="str">
        <f aca="false">IFERROR(INDEX(종합!E$3:E$501,MATCH(ROW()-2,종합!$AE$3:$AE$501,0))&amp;"","")</f>
        <v/>
      </c>
      <c r="F383" s="18" t="str">
        <f aca="false">IFERROR(INDEX(종합!F$3:F$501,MATCH(ROW()-2,종합!$AE$3:$AE$501,0))&amp;"","")</f>
        <v/>
      </c>
      <c r="G383" s="18" t="str">
        <f aca="false">IFERROR(INDEX(종합!G$3:G$501,MATCH(ROW()-2,종합!$AE$3:$AE$501,0))&amp;"","")</f>
        <v/>
      </c>
      <c r="H383" s="21" t="str">
        <f aca="false">IFERROR(INDEX(종합!H$3:H$501,MATCH(ROW()-2,종합!$AE$3:$AE$501,0))&amp;"","")</f>
        <v/>
      </c>
      <c r="I383" s="21" t="str">
        <f aca="false">IFERROR(INDEX(종합!I$3:I$501,MATCH(ROW()-2,종합!$AE$3:$AE$501,0))&amp;"","")</f>
        <v/>
      </c>
      <c r="J383" s="21" t="str">
        <f aca="false">IFERROR(INDEX(종합!J$3:J$501,MATCH(ROW()-2,종합!$AE$3:$AE$501,0))&amp;"","")</f>
        <v/>
      </c>
      <c r="K383" s="21" t="str">
        <f aca="false">IFERROR(INDEX(종합!K$3:K$501,MATCH(ROW()-2,종합!$AE$3:$AE$501,0))&amp;"","")</f>
        <v/>
      </c>
      <c r="L383" s="21" t="str">
        <f aca="false">IFERROR(INDEX(종합!L$3:L$501,MATCH(ROW()-2,종합!$AE$3:$AE$501,0))&amp;"","")</f>
        <v/>
      </c>
      <c r="M383" s="21" t="str">
        <f aca="false">IFERROR(INDEX(종합!M$3:M$501,MATCH(ROW()-2,종합!$AE$3:$AE$501,0))&amp;"","")</f>
        <v/>
      </c>
      <c r="N383" s="25" t="str">
        <f aca="false">IFERROR(INDEX(종합!N$3:N$501,MATCH(ROW()-2,종합!$AE$3:$AE$501,0))&amp;"","")</f>
        <v/>
      </c>
      <c r="O383" s="21" t="str">
        <f aca="false">IFERROR(INDEX(종합!O$3:O$501,MATCH(ROW()-2,종합!$AE$3:$AE$501,0))&amp;"","")</f>
        <v/>
      </c>
      <c r="P383" s="21" t="str">
        <f aca="false">IFERROR(INDEX(종합!P$3:P$501,MATCH(ROW()-2,종합!$AE$3:$AE$501,0))&amp;"","")</f>
        <v/>
      </c>
      <c r="Q383" s="21" t="str">
        <f aca="false">IFERROR(INDEX(종합!Q$3:Q$501,MATCH(ROW()-2,종합!$AE$3:$AE$501,0))&amp;"","")</f>
        <v/>
      </c>
      <c r="R383" s="21" t="str">
        <f aca="false">IFERROR(INDEX(종합!R$3:R$501,MATCH(ROW()-2,종합!$AE$3:$AE$501,0))&amp;"","")</f>
        <v/>
      </c>
      <c r="S383" s="21" t="str">
        <f aca="false">IFERROR(INDEX(종합!S$3:S$501,MATCH(ROW()-2,종합!$AE$3:$AE$501,0))&amp;"","")</f>
        <v/>
      </c>
      <c r="T383" s="21" t="str">
        <f aca="false">IFERROR(INDEX(종합!T$3:T$501,MATCH(ROW()-2,종합!$AE$3:$AE$501,0))&amp;"","")</f>
        <v/>
      </c>
      <c r="U383" s="21" t="str">
        <f aca="false">IFERROR(INDEX(종합!U$3:U$501,MATCH(ROW()-2,종합!$AE$3:$AE$501,0))&amp;"","")</f>
        <v/>
      </c>
      <c r="V383" s="21" t="str">
        <f aca="false">IFERROR(INDEX(종합!V$3:V$501,MATCH(ROW()-2,종합!$AE$3:$AE$501,0))&amp;"","")</f>
        <v/>
      </c>
      <c r="W383" s="21" t="str">
        <f aca="false">IFERROR(INDEX(종합!W$3:W$501,MATCH(ROW()-2,종합!$AE$3:$AE$501,0))&amp;"","")</f>
        <v/>
      </c>
      <c r="X383" s="21" t="str">
        <f aca="false">IFERROR(INDEX(종합!X$3:X$501,MATCH(ROW()-2,종합!$AE$3:$AE$501,0))&amp;"","")</f>
        <v/>
      </c>
      <c r="Y383" s="21" t="str">
        <f aca="false">IFERROR(INDEX(종합!Y$3:Y$501,MATCH(ROW()-2,종합!$AE$3:$AE$501,0))&amp;"","")</f>
        <v/>
      </c>
      <c r="Z383" s="21" t="str">
        <f aca="false">IFERROR(INDEX(종합!Z$3:Z$501,MATCH(ROW()-2,종합!$AE$3:$AE$501,0))&amp;"","")</f>
        <v/>
      </c>
    </row>
    <row r="384" customFormat="false" ht="16.5" hidden="false" customHeight="true" outlineLevel="0" collapsed="false">
      <c r="A384" s="18" t="str">
        <f aca="false">IF(B384="","",ROW()-2)</f>
        <v/>
      </c>
      <c r="B384" s="18" t="str">
        <f aca="false">IFERROR(INDEX(종합!B$3:B$501,MATCH(ROW()-2,종합!$AE$3:$AE$501,0))&amp;"","")</f>
        <v/>
      </c>
      <c r="C384" s="18" t="str">
        <f aca="false">IFERROR(INDEX(종합!C$3:C$501,MATCH(ROW()-2,종합!$AE$3:$AE$501,0))&amp;"","")</f>
        <v/>
      </c>
      <c r="D384" s="18" t="str">
        <f aca="false">IFERROR(INDEX(종합!D$3:D$501,MATCH(ROW()-2,종합!$AE$3:$AE$501,0))&amp;"","")</f>
        <v/>
      </c>
      <c r="E384" s="18" t="str">
        <f aca="false">IFERROR(INDEX(종합!E$3:E$501,MATCH(ROW()-2,종합!$AE$3:$AE$501,0))&amp;"","")</f>
        <v/>
      </c>
      <c r="F384" s="18" t="str">
        <f aca="false">IFERROR(INDEX(종합!F$3:F$501,MATCH(ROW()-2,종합!$AE$3:$AE$501,0))&amp;"","")</f>
        <v/>
      </c>
      <c r="G384" s="18" t="str">
        <f aca="false">IFERROR(INDEX(종합!G$3:G$501,MATCH(ROW()-2,종합!$AE$3:$AE$501,0))&amp;"","")</f>
        <v/>
      </c>
      <c r="H384" s="21" t="str">
        <f aca="false">IFERROR(INDEX(종합!H$3:H$501,MATCH(ROW()-2,종합!$AE$3:$AE$501,0))&amp;"","")</f>
        <v/>
      </c>
      <c r="I384" s="21" t="str">
        <f aca="false">IFERROR(INDEX(종합!I$3:I$501,MATCH(ROW()-2,종합!$AE$3:$AE$501,0))&amp;"","")</f>
        <v/>
      </c>
      <c r="J384" s="21" t="str">
        <f aca="false">IFERROR(INDEX(종합!J$3:J$501,MATCH(ROW()-2,종합!$AE$3:$AE$501,0))&amp;"","")</f>
        <v/>
      </c>
      <c r="K384" s="21" t="str">
        <f aca="false">IFERROR(INDEX(종합!K$3:K$501,MATCH(ROW()-2,종합!$AE$3:$AE$501,0))&amp;"","")</f>
        <v/>
      </c>
      <c r="L384" s="21" t="str">
        <f aca="false">IFERROR(INDEX(종합!L$3:L$501,MATCH(ROW()-2,종합!$AE$3:$AE$501,0))&amp;"","")</f>
        <v/>
      </c>
      <c r="M384" s="21" t="str">
        <f aca="false">IFERROR(INDEX(종합!M$3:M$501,MATCH(ROW()-2,종합!$AE$3:$AE$501,0))&amp;"","")</f>
        <v/>
      </c>
      <c r="N384" s="25" t="str">
        <f aca="false">IFERROR(INDEX(종합!N$3:N$501,MATCH(ROW()-2,종합!$AE$3:$AE$501,0))&amp;"","")</f>
        <v/>
      </c>
      <c r="O384" s="21" t="str">
        <f aca="false">IFERROR(INDEX(종합!O$3:O$501,MATCH(ROW()-2,종합!$AE$3:$AE$501,0))&amp;"","")</f>
        <v/>
      </c>
      <c r="P384" s="21" t="str">
        <f aca="false">IFERROR(INDEX(종합!P$3:P$501,MATCH(ROW()-2,종합!$AE$3:$AE$501,0))&amp;"","")</f>
        <v/>
      </c>
      <c r="Q384" s="21" t="str">
        <f aca="false">IFERROR(INDEX(종합!Q$3:Q$501,MATCH(ROW()-2,종합!$AE$3:$AE$501,0))&amp;"","")</f>
        <v/>
      </c>
      <c r="R384" s="21" t="str">
        <f aca="false">IFERROR(INDEX(종합!R$3:R$501,MATCH(ROW()-2,종합!$AE$3:$AE$501,0))&amp;"","")</f>
        <v/>
      </c>
      <c r="S384" s="21" t="str">
        <f aca="false">IFERROR(INDEX(종합!S$3:S$501,MATCH(ROW()-2,종합!$AE$3:$AE$501,0))&amp;"","")</f>
        <v/>
      </c>
      <c r="T384" s="21" t="str">
        <f aca="false">IFERROR(INDEX(종합!T$3:T$501,MATCH(ROW()-2,종합!$AE$3:$AE$501,0))&amp;"","")</f>
        <v/>
      </c>
      <c r="U384" s="21" t="str">
        <f aca="false">IFERROR(INDEX(종합!U$3:U$501,MATCH(ROW()-2,종합!$AE$3:$AE$501,0))&amp;"","")</f>
        <v/>
      </c>
      <c r="V384" s="21" t="str">
        <f aca="false">IFERROR(INDEX(종합!V$3:V$501,MATCH(ROW()-2,종합!$AE$3:$AE$501,0))&amp;"","")</f>
        <v/>
      </c>
      <c r="W384" s="21" t="str">
        <f aca="false">IFERROR(INDEX(종합!W$3:W$501,MATCH(ROW()-2,종합!$AE$3:$AE$501,0))&amp;"","")</f>
        <v/>
      </c>
      <c r="X384" s="21" t="str">
        <f aca="false">IFERROR(INDEX(종합!X$3:X$501,MATCH(ROW()-2,종합!$AE$3:$AE$501,0))&amp;"","")</f>
        <v/>
      </c>
      <c r="Y384" s="21" t="str">
        <f aca="false">IFERROR(INDEX(종합!Y$3:Y$501,MATCH(ROW()-2,종합!$AE$3:$AE$501,0))&amp;"","")</f>
        <v/>
      </c>
      <c r="Z384" s="21" t="str">
        <f aca="false">IFERROR(INDEX(종합!Z$3:Z$501,MATCH(ROW()-2,종합!$AE$3:$AE$501,0))&amp;"","")</f>
        <v/>
      </c>
    </row>
    <row r="385" customFormat="false" ht="16.5" hidden="false" customHeight="true" outlineLevel="0" collapsed="false">
      <c r="A385" s="18" t="str">
        <f aca="false">IF(B385="","",ROW()-2)</f>
        <v/>
      </c>
      <c r="B385" s="18" t="str">
        <f aca="false">IFERROR(INDEX(종합!B$3:B$501,MATCH(ROW()-2,종합!$AE$3:$AE$501,0))&amp;"","")</f>
        <v/>
      </c>
      <c r="C385" s="18" t="str">
        <f aca="false">IFERROR(INDEX(종합!C$3:C$501,MATCH(ROW()-2,종합!$AE$3:$AE$501,0))&amp;"","")</f>
        <v/>
      </c>
      <c r="D385" s="18" t="str">
        <f aca="false">IFERROR(INDEX(종합!D$3:D$501,MATCH(ROW()-2,종합!$AE$3:$AE$501,0))&amp;"","")</f>
        <v/>
      </c>
      <c r="E385" s="18" t="str">
        <f aca="false">IFERROR(INDEX(종합!E$3:E$501,MATCH(ROW()-2,종합!$AE$3:$AE$501,0))&amp;"","")</f>
        <v/>
      </c>
      <c r="F385" s="18" t="str">
        <f aca="false">IFERROR(INDEX(종합!F$3:F$501,MATCH(ROW()-2,종합!$AE$3:$AE$501,0))&amp;"","")</f>
        <v/>
      </c>
      <c r="G385" s="18" t="str">
        <f aca="false">IFERROR(INDEX(종합!G$3:G$501,MATCH(ROW()-2,종합!$AE$3:$AE$501,0))&amp;"","")</f>
        <v/>
      </c>
      <c r="H385" s="21" t="str">
        <f aca="false">IFERROR(INDEX(종합!H$3:H$501,MATCH(ROW()-2,종합!$AE$3:$AE$501,0))&amp;"","")</f>
        <v/>
      </c>
      <c r="I385" s="21" t="str">
        <f aca="false">IFERROR(INDEX(종합!I$3:I$501,MATCH(ROW()-2,종합!$AE$3:$AE$501,0))&amp;"","")</f>
        <v/>
      </c>
      <c r="J385" s="21" t="str">
        <f aca="false">IFERROR(INDEX(종합!J$3:J$501,MATCH(ROW()-2,종합!$AE$3:$AE$501,0))&amp;"","")</f>
        <v/>
      </c>
      <c r="K385" s="21" t="str">
        <f aca="false">IFERROR(INDEX(종합!K$3:K$501,MATCH(ROW()-2,종합!$AE$3:$AE$501,0))&amp;"","")</f>
        <v/>
      </c>
      <c r="L385" s="21" t="str">
        <f aca="false">IFERROR(INDEX(종합!L$3:L$501,MATCH(ROW()-2,종합!$AE$3:$AE$501,0))&amp;"","")</f>
        <v/>
      </c>
      <c r="M385" s="21" t="str">
        <f aca="false">IFERROR(INDEX(종합!M$3:M$501,MATCH(ROW()-2,종합!$AE$3:$AE$501,0))&amp;"","")</f>
        <v/>
      </c>
      <c r="N385" s="25" t="str">
        <f aca="false">IFERROR(INDEX(종합!N$3:N$501,MATCH(ROW()-2,종합!$AE$3:$AE$501,0))&amp;"","")</f>
        <v/>
      </c>
      <c r="O385" s="21" t="str">
        <f aca="false">IFERROR(INDEX(종합!O$3:O$501,MATCH(ROW()-2,종합!$AE$3:$AE$501,0))&amp;"","")</f>
        <v/>
      </c>
      <c r="P385" s="21" t="str">
        <f aca="false">IFERROR(INDEX(종합!P$3:P$501,MATCH(ROW()-2,종합!$AE$3:$AE$501,0))&amp;"","")</f>
        <v/>
      </c>
      <c r="Q385" s="21" t="str">
        <f aca="false">IFERROR(INDEX(종합!Q$3:Q$501,MATCH(ROW()-2,종합!$AE$3:$AE$501,0))&amp;"","")</f>
        <v/>
      </c>
      <c r="R385" s="21" t="str">
        <f aca="false">IFERROR(INDEX(종합!R$3:R$501,MATCH(ROW()-2,종합!$AE$3:$AE$501,0))&amp;"","")</f>
        <v/>
      </c>
      <c r="S385" s="21" t="str">
        <f aca="false">IFERROR(INDEX(종합!S$3:S$501,MATCH(ROW()-2,종합!$AE$3:$AE$501,0))&amp;"","")</f>
        <v/>
      </c>
      <c r="T385" s="21" t="str">
        <f aca="false">IFERROR(INDEX(종합!T$3:T$501,MATCH(ROW()-2,종합!$AE$3:$AE$501,0))&amp;"","")</f>
        <v/>
      </c>
      <c r="U385" s="21" t="str">
        <f aca="false">IFERROR(INDEX(종합!U$3:U$501,MATCH(ROW()-2,종합!$AE$3:$AE$501,0))&amp;"","")</f>
        <v/>
      </c>
      <c r="V385" s="21" t="str">
        <f aca="false">IFERROR(INDEX(종합!V$3:V$501,MATCH(ROW()-2,종합!$AE$3:$AE$501,0))&amp;"","")</f>
        <v/>
      </c>
      <c r="W385" s="21" t="str">
        <f aca="false">IFERROR(INDEX(종합!W$3:W$501,MATCH(ROW()-2,종합!$AE$3:$AE$501,0))&amp;"","")</f>
        <v/>
      </c>
      <c r="X385" s="21" t="str">
        <f aca="false">IFERROR(INDEX(종합!X$3:X$501,MATCH(ROW()-2,종합!$AE$3:$AE$501,0))&amp;"","")</f>
        <v/>
      </c>
      <c r="Y385" s="21" t="str">
        <f aca="false">IFERROR(INDEX(종합!Y$3:Y$501,MATCH(ROW()-2,종합!$AE$3:$AE$501,0))&amp;"","")</f>
        <v/>
      </c>
      <c r="Z385" s="21" t="str">
        <f aca="false">IFERROR(INDEX(종합!Z$3:Z$501,MATCH(ROW()-2,종합!$AE$3:$AE$501,0))&amp;"","")</f>
        <v/>
      </c>
    </row>
    <row r="386" customFormat="false" ht="16.5" hidden="false" customHeight="true" outlineLevel="0" collapsed="false">
      <c r="A386" s="18" t="str">
        <f aca="false">IF(B386="","",ROW()-2)</f>
        <v/>
      </c>
      <c r="B386" s="18" t="str">
        <f aca="false">IFERROR(INDEX(종합!B$3:B$501,MATCH(ROW()-2,종합!$AE$3:$AE$501,0))&amp;"","")</f>
        <v/>
      </c>
      <c r="C386" s="18" t="str">
        <f aca="false">IFERROR(INDEX(종합!C$3:C$501,MATCH(ROW()-2,종합!$AE$3:$AE$501,0))&amp;"","")</f>
        <v/>
      </c>
      <c r="D386" s="18" t="str">
        <f aca="false">IFERROR(INDEX(종합!D$3:D$501,MATCH(ROW()-2,종합!$AE$3:$AE$501,0))&amp;"","")</f>
        <v/>
      </c>
      <c r="E386" s="18" t="str">
        <f aca="false">IFERROR(INDEX(종합!E$3:E$501,MATCH(ROW()-2,종합!$AE$3:$AE$501,0))&amp;"","")</f>
        <v/>
      </c>
      <c r="F386" s="18" t="str">
        <f aca="false">IFERROR(INDEX(종합!F$3:F$501,MATCH(ROW()-2,종합!$AE$3:$AE$501,0))&amp;"","")</f>
        <v/>
      </c>
      <c r="G386" s="18" t="str">
        <f aca="false">IFERROR(INDEX(종합!G$3:G$501,MATCH(ROW()-2,종합!$AE$3:$AE$501,0))&amp;"","")</f>
        <v/>
      </c>
      <c r="H386" s="21" t="str">
        <f aca="false">IFERROR(INDEX(종합!H$3:H$501,MATCH(ROW()-2,종합!$AE$3:$AE$501,0))&amp;"","")</f>
        <v/>
      </c>
      <c r="I386" s="21" t="str">
        <f aca="false">IFERROR(INDEX(종합!I$3:I$501,MATCH(ROW()-2,종합!$AE$3:$AE$501,0))&amp;"","")</f>
        <v/>
      </c>
      <c r="J386" s="21" t="str">
        <f aca="false">IFERROR(INDEX(종합!J$3:J$501,MATCH(ROW()-2,종합!$AE$3:$AE$501,0))&amp;"","")</f>
        <v/>
      </c>
      <c r="K386" s="21" t="str">
        <f aca="false">IFERROR(INDEX(종합!K$3:K$501,MATCH(ROW()-2,종합!$AE$3:$AE$501,0))&amp;"","")</f>
        <v/>
      </c>
      <c r="L386" s="21" t="str">
        <f aca="false">IFERROR(INDEX(종합!L$3:L$501,MATCH(ROW()-2,종합!$AE$3:$AE$501,0))&amp;"","")</f>
        <v/>
      </c>
      <c r="M386" s="21" t="str">
        <f aca="false">IFERROR(INDEX(종합!M$3:M$501,MATCH(ROW()-2,종합!$AE$3:$AE$501,0))&amp;"","")</f>
        <v/>
      </c>
      <c r="N386" s="25" t="str">
        <f aca="false">IFERROR(INDEX(종합!N$3:N$501,MATCH(ROW()-2,종합!$AE$3:$AE$501,0))&amp;"","")</f>
        <v/>
      </c>
      <c r="O386" s="21" t="str">
        <f aca="false">IFERROR(INDEX(종합!O$3:O$501,MATCH(ROW()-2,종합!$AE$3:$AE$501,0))&amp;"","")</f>
        <v/>
      </c>
      <c r="P386" s="21" t="str">
        <f aca="false">IFERROR(INDEX(종합!P$3:P$501,MATCH(ROW()-2,종합!$AE$3:$AE$501,0))&amp;"","")</f>
        <v/>
      </c>
      <c r="Q386" s="21" t="str">
        <f aca="false">IFERROR(INDEX(종합!Q$3:Q$501,MATCH(ROW()-2,종합!$AE$3:$AE$501,0))&amp;"","")</f>
        <v/>
      </c>
      <c r="R386" s="21" t="str">
        <f aca="false">IFERROR(INDEX(종합!R$3:R$501,MATCH(ROW()-2,종합!$AE$3:$AE$501,0))&amp;"","")</f>
        <v/>
      </c>
      <c r="S386" s="21" t="str">
        <f aca="false">IFERROR(INDEX(종합!S$3:S$501,MATCH(ROW()-2,종합!$AE$3:$AE$501,0))&amp;"","")</f>
        <v/>
      </c>
      <c r="T386" s="21" t="str">
        <f aca="false">IFERROR(INDEX(종합!T$3:T$501,MATCH(ROW()-2,종합!$AE$3:$AE$501,0))&amp;"","")</f>
        <v/>
      </c>
      <c r="U386" s="21" t="str">
        <f aca="false">IFERROR(INDEX(종합!U$3:U$501,MATCH(ROW()-2,종합!$AE$3:$AE$501,0))&amp;"","")</f>
        <v/>
      </c>
      <c r="V386" s="21" t="str">
        <f aca="false">IFERROR(INDEX(종합!V$3:V$501,MATCH(ROW()-2,종합!$AE$3:$AE$501,0))&amp;"","")</f>
        <v/>
      </c>
      <c r="W386" s="21" t="str">
        <f aca="false">IFERROR(INDEX(종합!W$3:W$501,MATCH(ROW()-2,종합!$AE$3:$AE$501,0))&amp;"","")</f>
        <v/>
      </c>
      <c r="X386" s="21" t="str">
        <f aca="false">IFERROR(INDEX(종합!X$3:X$501,MATCH(ROW()-2,종합!$AE$3:$AE$501,0))&amp;"","")</f>
        <v/>
      </c>
      <c r="Y386" s="21" t="str">
        <f aca="false">IFERROR(INDEX(종합!Y$3:Y$501,MATCH(ROW()-2,종합!$AE$3:$AE$501,0))&amp;"","")</f>
        <v/>
      </c>
      <c r="Z386" s="21" t="str">
        <f aca="false">IFERROR(INDEX(종합!Z$3:Z$501,MATCH(ROW()-2,종합!$AE$3:$AE$501,0))&amp;"","")</f>
        <v/>
      </c>
    </row>
    <row r="387" customFormat="false" ht="16.5" hidden="false" customHeight="true" outlineLevel="0" collapsed="false">
      <c r="A387" s="18" t="str">
        <f aca="false">IF(B387="","",ROW()-2)</f>
        <v/>
      </c>
      <c r="B387" s="18" t="str">
        <f aca="false">IFERROR(INDEX(종합!B$3:B$501,MATCH(ROW()-2,종합!$AE$3:$AE$501,0))&amp;"","")</f>
        <v/>
      </c>
      <c r="C387" s="18" t="str">
        <f aca="false">IFERROR(INDEX(종합!C$3:C$501,MATCH(ROW()-2,종합!$AE$3:$AE$501,0))&amp;"","")</f>
        <v/>
      </c>
      <c r="D387" s="18" t="str">
        <f aca="false">IFERROR(INDEX(종합!D$3:D$501,MATCH(ROW()-2,종합!$AE$3:$AE$501,0))&amp;"","")</f>
        <v/>
      </c>
      <c r="E387" s="18" t="str">
        <f aca="false">IFERROR(INDEX(종합!E$3:E$501,MATCH(ROW()-2,종합!$AE$3:$AE$501,0))&amp;"","")</f>
        <v/>
      </c>
      <c r="F387" s="18" t="str">
        <f aca="false">IFERROR(INDEX(종합!F$3:F$501,MATCH(ROW()-2,종합!$AE$3:$AE$501,0))&amp;"","")</f>
        <v/>
      </c>
      <c r="G387" s="18" t="str">
        <f aca="false">IFERROR(INDEX(종합!G$3:G$501,MATCH(ROW()-2,종합!$AE$3:$AE$501,0))&amp;"","")</f>
        <v/>
      </c>
      <c r="H387" s="21" t="str">
        <f aca="false">IFERROR(INDEX(종합!H$3:H$501,MATCH(ROW()-2,종합!$AE$3:$AE$501,0))&amp;"","")</f>
        <v/>
      </c>
      <c r="I387" s="21" t="str">
        <f aca="false">IFERROR(INDEX(종합!I$3:I$501,MATCH(ROW()-2,종합!$AE$3:$AE$501,0))&amp;"","")</f>
        <v/>
      </c>
      <c r="J387" s="21" t="str">
        <f aca="false">IFERROR(INDEX(종합!J$3:J$501,MATCH(ROW()-2,종합!$AE$3:$AE$501,0))&amp;"","")</f>
        <v/>
      </c>
      <c r="K387" s="21" t="str">
        <f aca="false">IFERROR(INDEX(종합!K$3:K$501,MATCH(ROW()-2,종합!$AE$3:$AE$501,0))&amp;"","")</f>
        <v/>
      </c>
      <c r="L387" s="21" t="str">
        <f aca="false">IFERROR(INDEX(종합!L$3:L$501,MATCH(ROW()-2,종합!$AE$3:$AE$501,0))&amp;"","")</f>
        <v/>
      </c>
      <c r="M387" s="21" t="str">
        <f aca="false">IFERROR(INDEX(종합!M$3:M$501,MATCH(ROW()-2,종합!$AE$3:$AE$501,0))&amp;"","")</f>
        <v/>
      </c>
      <c r="N387" s="25" t="str">
        <f aca="false">IFERROR(INDEX(종합!N$3:N$501,MATCH(ROW()-2,종합!$AE$3:$AE$501,0))&amp;"","")</f>
        <v/>
      </c>
      <c r="O387" s="21" t="str">
        <f aca="false">IFERROR(INDEX(종합!O$3:O$501,MATCH(ROW()-2,종합!$AE$3:$AE$501,0))&amp;"","")</f>
        <v/>
      </c>
      <c r="P387" s="21" t="str">
        <f aca="false">IFERROR(INDEX(종합!P$3:P$501,MATCH(ROW()-2,종합!$AE$3:$AE$501,0))&amp;"","")</f>
        <v/>
      </c>
      <c r="Q387" s="21" t="str">
        <f aca="false">IFERROR(INDEX(종합!Q$3:Q$501,MATCH(ROW()-2,종합!$AE$3:$AE$501,0))&amp;"","")</f>
        <v/>
      </c>
      <c r="R387" s="21" t="str">
        <f aca="false">IFERROR(INDEX(종합!R$3:R$501,MATCH(ROW()-2,종합!$AE$3:$AE$501,0))&amp;"","")</f>
        <v/>
      </c>
      <c r="S387" s="21" t="str">
        <f aca="false">IFERROR(INDEX(종합!S$3:S$501,MATCH(ROW()-2,종합!$AE$3:$AE$501,0))&amp;"","")</f>
        <v/>
      </c>
      <c r="T387" s="21" t="str">
        <f aca="false">IFERROR(INDEX(종합!T$3:T$501,MATCH(ROW()-2,종합!$AE$3:$AE$501,0))&amp;"","")</f>
        <v/>
      </c>
      <c r="U387" s="21" t="str">
        <f aca="false">IFERROR(INDEX(종합!U$3:U$501,MATCH(ROW()-2,종합!$AE$3:$AE$501,0))&amp;"","")</f>
        <v/>
      </c>
      <c r="V387" s="21" t="str">
        <f aca="false">IFERROR(INDEX(종합!V$3:V$501,MATCH(ROW()-2,종합!$AE$3:$AE$501,0))&amp;"","")</f>
        <v/>
      </c>
      <c r="W387" s="21" t="str">
        <f aca="false">IFERROR(INDEX(종합!W$3:W$501,MATCH(ROW()-2,종합!$AE$3:$AE$501,0))&amp;"","")</f>
        <v/>
      </c>
      <c r="X387" s="21" t="str">
        <f aca="false">IFERROR(INDEX(종합!X$3:X$501,MATCH(ROW()-2,종합!$AE$3:$AE$501,0))&amp;"","")</f>
        <v/>
      </c>
      <c r="Y387" s="21" t="str">
        <f aca="false">IFERROR(INDEX(종합!Y$3:Y$501,MATCH(ROW()-2,종합!$AE$3:$AE$501,0))&amp;"","")</f>
        <v/>
      </c>
      <c r="Z387" s="21" t="str">
        <f aca="false">IFERROR(INDEX(종합!Z$3:Z$501,MATCH(ROW()-2,종합!$AE$3:$AE$501,0))&amp;"","")</f>
        <v/>
      </c>
    </row>
    <row r="388" customFormat="false" ht="16.5" hidden="false" customHeight="true" outlineLevel="0" collapsed="false">
      <c r="A388" s="18" t="str">
        <f aca="false">IF(B388="","",ROW()-2)</f>
        <v/>
      </c>
      <c r="B388" s="18" t="str">
        <f aca="false">IFERROR(INDEX(종합!B$3:B$501,MATCH(ROW()-2,종합!$AE$3:$AE$501,0))&amp;"","")</f>
        <v/>
      </c>
      <c r="C388" s="18" t="str">
        <f aca="false">IFERROR(INDEX(종합!C$3:C$501,MATCH(ROW()-2,종합!$AE$3:$AE$501,0))&amp;"","")</f>
        <v/>
      </c>
      <c r="D388" s="18" t="str">
        <f aca="false">IFERROR(INDEX(종합!D$3:D$501,MATCH(ROW()-2,종합!$AE$3:$AE$501,0))&amp;"","")</f>
        <v/>
      </c>
      <c r="E388" s="18" t="str">
        <f aca="false">IFERROR(INDEX(종합!E$3:E$501,MATCH(ROW()-2,종합!$AE$3:$AE$501,0))&amp;"","")</f>
        <v/>
      </c>
      <c r="F388" s="18" t="str">
        <f aca="false">IFERROR(INDEX(종합!F$3:F$501,MATCH(ROW()-2,종합!$AE$3:$AE$501,0))&amp;"","")</f>
        <v/>
      </c>
      <c r="G388" s="18" t="str">
        <f aca="false">IFERROR(INDEX(종합!G$3:G$501,MATCH(ROW()-2,종합!$AE$3:$AE$501,0))&amp;"","")</f>
        <v/>
      </c>
      <c r="H388" s="21" t="str">
        <f aca="false">IFERROR(INDEX(종합!H$3:H$501,MATCH(ROW()-2,종합!$AE$3:$AE$501,0))&amp;"","")</f>
        <v/>
      </c>
      <c r="I388" s="21" t="str">
        <f aca="false">IFERROR(INDEX(종합!I$3:I$501,MATCH(ROW()-2,종합!$AE$3:$AE$501,0))&amp;"","")</f>
        <v/>
      </c>
      <c r="J388" s="21" t="str">
        <f aca="false">IFERROR(INDEX(종합!J$3:J$501,MATCH(ROW()-2,종합!$AE$3:$AE$501,0))&amp;"","")</f>
        <v/>
      </c>
      <c r="K388" s="21" t="str">
        <f aca="false">IFERROR(INDEX(종합!K$3:K$501,MATCH(ROW()-2,종합!$AE$3:$AE$501,0))&amp;"","")</f>
        <v/>
      </c>
      <c r="L388" s="21" t="str">
        <f aca="false">IFERROR(INDEX(종합!L$3:L$501,MATCH(ROW()-2,종합!$AE$3:$AE$501,0))&amp;"","")</f>
        <v/>
      </c>
      <c r="M388" s="21" t="str">
        <f aca="false">IFERROR(INDEX(종합!M$3:M$501,MATCH(ROW()-2,종합!$AE$3:$AE$501,0))&amp;"","")</f>
        <v/>
      </c>
      <c r="N388" s="25" t="str">
        <f aca="false">IFERROR(INDEX(종합!N$3:N$501,MATCH(ROW()-2,종합!$AE$3:$AE$501,0))&amp;"","")</f>
        <v/>
      </c>
      <c r="O388" s="21" t="str">
        <f aca="false">IFERROR(INDEX(종합!O$3:O$501,MATCH(ROW()-2,종합!$AE$3:$AE$501,0))&amp;"","")</f>
        <v/>
      </c>
      <c r="P388" s="21" t="str">
        <f aca="false">IFERROR(INDEX(종합!P$3:P$501,MATCH(ROW()-2,종합!$AE$3:$AE$501,0))&amp;"","")</f>
        <v/>
      </c>
      <c r="Q388" s="21" t="str">
        <f aca="false">IFERROR(INDEX(종합!Q$3:Q$501,MATCH(ROW()-2,종합!$AE$3:$AE$501,0))&amp;"","")</f>
        <v/>
      </c>
      <c r="R388" s="21" t="str">
        <f aca="false">IFERROR(INDEX(종합!R$3:R$501,MATCH(ROW()-2,종합!$AE$3:$AE$501,0))&amp;"","")</f>
        <v/>
      </c>
      <c r="S388" s="21" t="str">
        <f aca="false">IFERROR(INDEX(종합!S$3:S$501,MATCH(ROW()-2,종합!$AE$3:$AE$501,0))&amp;"","")</f>
        <v/>
      </c>
      <c r="T388" s="21" t="str">
        <f aca="false">IFERROR(INDEX(종합!T$3:T$501,MATCH(ROW()-2,종합!$AE$3:$AE$501,0))&amp;"","")</f>
        <v/>
      </c>
      <c r="U388" s="21" t="str">
        <f aca="false">IFERROR(INDEX(종합!U$3:U$501,MATCH(ROW()-2,종합!$AE$3:$AE$501,0))&amp;"","")</f>
        <v/>
      </c>
      <c r="V388" s="21" t="str">
        <f aca="false">IFERROR(INDEX(종합!V$3:V$501,MATCH(ROW()-2,종합!$AE$3:$AE$501,0))&amp;"","")</f>
        <v/>
      </c>
      <c r="W388" s="21" t="str">
        <f aca="false">IFERROR(INDEX(종합!W$3:W$501,MATCH(ROW()-2,종합!$AE$3:$AE$501,0))&amp;"","")</f>
        <v/>
      </c>
      <c r="X388" s="21" t="str">
        <f aca="false">IFERROR(INDEX(종합!X$3:X$501,MATCH(ROW()-2,종합!$AE$3:$AE$501,0))&amp;"","")</f>
        <v/>
      </c>
      <c r="Y388" s="21" t="str">
        <f aca="false">IFERROR(INDEX(종합!Y$3:Y$501,MATCH(ROW()-2,종합!$AE$3:$AE$501,0))&amp;"","")</f>
        <v/>
      </c>
      <c r="Z388" s="21" t="str">
        <f aca="false">IFERROR(INDEX(종합!Z$3:Z$501,MATCH(ROW()-2,종합!$AE$3:$AE$501,0))&amp;"","")</f>
        <v/>
      </c>
    </row>
    <row r="389" customFormat="false" ht="16.5" hidden="false" customHeight="true" outlineLevel="0" collapsed="false">
      <c r="A389" s="18" t="str">
        <f aca="false">IF(B389="","",ROW()-2)</f>
        <v/>
      </c>
      <c r="B389" s="18" t="str">
        <f aca="false">IFERROR(INDEX(종합!B$3:B$501,MATCH(ROW()-2,종합!$AE$3:$AE$501,0))&amp;"","")</f>
        <v/>
      </c>
      <c r="C389" s="18" t="str">
        <f aca="false">IFERROR(INDEX(종합!C$3:C$501,MATCH(ROW()-2,종합!$AE$3:$AE$501,0))&amp;"","")</f>
        <v/>
      </c>
      <c r="D389" s="18" t="str">
        <f aca="false">IFERROR(INDEX(종합!D$3:D$501,MATCH(ROW()-2,종합!$AE$3:$AE$501,0))&amp;"","")</f>
        <v/>
      </c>
      <c r="E389" s="18" t="str">
        <f aca="false">IFERROR(INDEX(종합!E$3:E$501,MATCH(ROW()-2,종합!$AE$3:$AE$501,0))&amp;"","")</f>
        <v/>
      </c>
      <c r="F389" s="18" t="str">
        <f aca="false">IFERROR(INDEX(종합!F$3:F$501,MATCH(ROW()-2,종합!$AE$3:$AE$501,0))&amp;"","")</f>
        <v/>
      </c>
      <c r="G389" s="18" t="str">
        <f aca="false">IFERROR(INDEX(종합!G$3:G$501,MATCH(ROW()-2,종합!$AE$3:$AE$501,0))&amp;"","")</f>
        <v/>
      </c>
      <c r="H389" s="21" t="str">
        <f aca="false">IFERROR(INDEX(종합!H$3:H$501,MATCH(ROW()-2,종합!$AE$3:$AE$501,0))&amp;"","")</f>
        <v/>
      </c>
      <c r="I389" s="21" t="str">
        <f aca="false">IFERROR(INDEX(종합!I$3:I$501,MATCH(ROW()-2,종합!$AE$3:$AE$501,0))&amp;"","")</f>
        <v/>
      </c>
      <c r="J389" s="21" t="str">
        <f aca="false">IFERROR(INDEX(종합!J$3:J$501,MATCH(ROW()-2,종합!$AE$3:$AE$501,0))&amp;"","")</f>
        <v/>
      </c>
      <c r="K389" s="21" t="str">
        <f aca="false">IFERROR(INDEX(종합!K$3:K$501,MATCH(ROW()-2,종합!$AE$3:$AE$501,0))&amp;"","")</f>
        <v/>
      </c>
      <c r="L389" s="21" t="str">
        <f aca="false">IFERROR(INDEX(종합!L$3:L$501,MATCH(ROW()-2,종합!$AE$3:$AE$501,0))&amp;"","")</f>
        <v/>
      </c>
      <c r="M389" s="21" t="str">
        <f aca="false">IFERROR(INDEX(종합!M$3:M$501,MATCH(ROW()-2,종합!$AE$3:$AE$501,0))&amp;"","")</f>
        <v/>
      </c>
      <c r="N389" s="25" t="str">
        <f aca="false">IFERROR(INDEX(종합!N$3:N$501,MATCH(ROW()-2,종합!$AE$3:$AE$501,0))&amp;"","")</f>
        <v/>
      </c>
      <c r="O389" s="21" t="str">
        <f aca="false">IFERROR(INDEX(종합!O$3:O$501,MATCH(ROW()-2,종합!$AE$3:$AE$501,0))&amp;"","")</f>
        <v/>
      </c>
      <c r="P389" s="21" t="str">
        <f aca="false">IFERROR(INDEX(종합!P$3:P$501,MATCH(ROW()-2,종합!$AE$3:$AE$501,0))&amp;"","")</f>
        <v/>
      </c>
      <c r="Q389" s="21" t="str">
        <f aca="false">IFERROR(INDEX(종합!Q$3:Q$501,MATCH(ROW()-2,종합!$AE$3:$AE$501,0))&amp;"","")</f>
        <v/>
      </c>
      <c r="R389" s="21" t="str">
        <f aca="false">IFERROR(INDEX(종합!R$3:R$501,MATCH(ROW()-2,종합!$AE$3:$AE$501,0))&amp;"","")</f>
        <v/>
      </c>
      <c r="S389" s="21" t="str">
        <f aca="false">IFERROR(INDEX(종합!S$3:S$501,MATCH(ROW()-2,종합!$AE$3:$AE$501,0))&amp;"","")</f>
        <v/>
      </c>
      <c r="T389" s="21" t="str">
        <f aca="false">IFERROR(INDEX(종합!T$3:T$501,MATCH(ROW()-2,종합!$AE$3:$AE$501,0))&amp;"","")</f>
        <v/>
      </c>
      <c r="U389" s="21" t="str">
        <f aca="false">IFERROR(INDEX(종합!U$3:U$501,MATCH(ROW()-2,종합!$AE$3:$AE$501,0))&amp;"","")</f>
        <v/>
      </c>
      <c r="V389" s="21" t="str">
        <f aca="false">IFERROR(INDEX(종합!V$3:V$501,MATCH(ROW()-2,종합!$AE$3:$AE$501,0))&amp;"","")</f>
        <v/>
      </c>
      <c r="W389" s="21" t="str">
        <f aca="false">IFERROR(INDEX(종합!W$3:W$501,MATCH(ROW()-2,종합!$AE$3:$AE$501,0))&amp;"","")</f>
        <v/>
      </c>
      <c r="X389" s="21" t="str">
        <f aca="false">IFERROR(INDEX(종합!X$3:X$501,MATCH(ROW()-2,종합!$AE$3:$AE$501,0))&amp;"","")</f>
        <v/>
      </c>
      <c r="Y389" s="21" t="str">
        <f aca="false">IFERROR(INDEX(종합!Y$3:Y$501,MATCH(ROW()-2,종합!$AE$3:$AE$501,0))&amp;"","")</f>
        <v/>
      </c>
      <c r="Z389" s="21" t="str">
        <f aca="false">IFERROR(INDEX(종합!Z$3:Z$501,MATCH(ROW()-2,종합!$AE$3:$AE$501,0))&amp;"","")</f>
        <v/>
      </c>
    </row>
    <row r="390" customFormat="false" ht="16.5" hidden="false" customHeight="true" outlineLevel="0" collapsed="false">
      <c r="A390" s="18" t="str">
        <f aca="false">IF(B390="","",ROW()-2)</f>
        <v/>
      </c>
      <c r="B390" s="18" t="str">
        <f aca="false">IFERROR(INDEX(종합!B$3:B$501,MATCH(ROW()-2,종합!$AE$3:$AE$501,0))&amp;"","")</f>
        <v/>
      </c>
      <c r="C390" s="18" t="str">
        <f aca="false">IFERROR(INDEX(종합!C$3:C$501,MATCH(ROW()-2,종합!$AE$3:$AE$501,0))&amp;"","")</f>
        <v/>
      </c>
      <c r="D390" s="18" t="str">
        <f aca="false">IFERROR(INDEX(종합!D$3:D$501,MATCH(ROW()-2,종합!$AE$3:$AE$501,0))&amp;"","")</f>
        <v/>
      </c>
      <c r="E390" s="18" t="str">
        <f aca="false">IFERROR(INDEX(종합!E$3:E$501,MATCH(ROW()-2,종합!$AE$3:$AE$501,0))&amp;"","")</f>
        <v/>
      </c>
      <c r="F390" s="18" t="str">
        <f aca="false">IFERROR(INDEX(종합!F$3:F$501,MATCH(ROW()-2,종합!$AE$3:$AE$501,0))&amp;"","")</f>
        <v/>
      </c>
      <c r="G390" s="18" t="str">
        <f aca="false">IFERROR(INDEX(종합!G$3:G$501,MATCH(ROW()-2,종합!$AE$3:$AE$501,0))&amp;"","")</f>
        <v/>
      </c>
      <c r="H390" s="21" t="str">
        <f aca="false">IFERROR(INDEX(종합!H$3:H$501,MATCH(ROW()-2,종합!$AE$3:$AE$501,0))&amp;"","")</f>
        <v/>
      </c>
      <c r="I390" s="21" t="str">
        <f aca="false">IFERROR(INDEX(종합!I$3:I$501,MATCH(ROW()-2,종합!$AE$3:$AE$501,0))&amp;"","")</f>
        <v/>
      </c>
      <c r="J390" s="21" t="str">
        <f aca="false">IFERROR(INDEX(종합!J$3:J$501,MATCH(ROW()-2,종합!$AE$3:$AE$501,0))&amp;"","")</f>
        <v/>
      </c>
      <c r="K390" s="21" t="str">
        <f aca="false">IFERROR(INDEX(종합!K$3:K$501,MATCH(ROW()-2,종합!$AE$3:$AE$501,0))&amp;"","")</f>
        <v/>
      </c>
      <c r="L390" s="21" t="str">
        <f aca="false">IFERROR(INDEX(종합!L$3:L$501,MATCH(ROW()-2,종합!$AE$3:$AE$501,0))&amp;"","")</f>
        <v/>
      </c>
      <c r="M390" s="21" t="str">
        <f aca="false">IFERROR(INDEX(종합!M$3:M$501,MATCH(ROW()-2,종합!$AE$3:$AE$501,0))&amp;"","")</f>
        <v/>
      </c>
      <c r="N390" s="25" t="str">
        <f aca="false">IFERROR(INDEX(종합!N$3:N$501,MATCH(ROW()-2,종합!$AE$3:$AE$501,0))&amp;"","")</f>
        <v/>
      </c>
      <c r="O390" s="21" t="str">
        <f aca="false">IFERROR(INDEX(종합!O$3:O$501,MATCH(ROW()-2,종합!$AE$3:$AE$501,0))&amp;"","")</f>
        <v/>
      </c>
      <c r="P390" s="21" t="str">
        <f aca="false">IFERROR(INDEX(종합!P$3:P$501,MATCH(ROW()-2,종합!$AE$3:$AE$501,0))&amp;"","")</f>
        <v/>
      </c>
      <c r="Q390" s="21" t="str">
        <f aca="false">IFERROR(INDEX(종합!Q$3:Q$501,MATCH(ROW()-2,종합!$AE$3:$AE$501,0))&amp;"","")</f>
        <v/>
      </c>
      <c r="R390" s="21" t="str">
        <f aca="false">IFERROR(INDEX(종합!R$3:R$501,MATCH(ROW()-2,종합!$AE$3:$AE$501,0))&amp;"","")</f>
        <v/>
      </c>
      <c r="S390" s="21" t="str">
        <f aca="false">IFERROR(INDEX(종합!S$3:S$501,MATCH(ROW()-2,종합!$AE$3:$AE$501,0))&amp;"","")</f>
        <v/>
      </c>
      <c r="T390" s="21" t="str">
        <f aca="false">IFERROR(INDEX(종합!T$3:T$501,MATCH(ROW()-2,종합!$AE$3:$AE$501,0))&amp;"","")</f>
        <v/>
      </c>
      <c r="U390" s="21" t="str">
        <f aca="false">IFERROR(INDEX(종합!U$3:U$501,MATCH(ROW()-2,종합!$AE$3:$AE$501,0))&amp;"","")</f>
        <v/>
      </c>
      <c r="V390" s="21" t="str">
        <f aca="false">IFERROR(INDEX(종합!V$3:V$501,MATCH(ROW()-2,종합!$AE$3:$AE$501,0))&amp;"","")</f>
        <v/>
      </c>
      <c r="W390" s="21" t="str">
        <f aca="false">IFERROR(INDEX(종합!W$3:W$501,MATCH(ROW()-2,종합!$AE$3:$AE$501,0))&amp;"","")</f>
        <v/>
      </c>
      <c r="X390" s="21" t="str">
        <f aca="false">IFERROR(INDEX(종합!X$3:X$501,MATCH(ROW()-2,종합!$AE$3:$AE$501,0))&amp;"","")</f>
        <v/>
      </c>
      <c r="Y390" s="21" t="str">
        <f aca="false">IFERROR(INDEX(종합!Y$3:Y$501,MATCH(ROW()-2,종합!$AE$3:$AE$501,0))&amp;"","")</f>
        <v/>
      </c>
      <c r="Z390" s="21" t="str">
        <f aca="false">IFERROR(INDEX(종합!Z$3:Z$501,MATCH(ROW()-2,종합!$AE$3:$AE$501,0))&amp;"","")</f>
        <v/>
      </c>
    </row>
    <row r="391" customFormat="false" ht="16.5" hidden="false" customHeight="true" outlineLevel="0" collapsed="false">
      <c r="A391" s="18" t="str">
        <f aca="false">IF(B391="","",ROW()-2)</f>
        <v/>
      </c>
      <c r="B391" s="18" t="str">
        <f aca="false">IFERROR(INDEX(종합!B$3:B$501,MATCH(ROW()-2,종합!$AE$3:$AE$501,0))&amp;"","")</f>
        <v/>
      </c>
      <c r="C391" s="18" t="str">
        <f aca="false">IFERROR(INDEX(종합!C$3:C$501,MATCH(ROW()-2,종합!$AE$3:$AE$501,0))&amp;"","")</f>
        <v/>
      </c>
      <c r="D391" s="18" t="str">
        <f aca="false">IFERROR(INDEX(종합!D$3:D$501,MATCH(ROW()-2,종합!$AE$3:$AE$501,0))&amp;"","")</f>
        <v/>
      </c>
      <c r="E391" s="18" t="str">
        <f aca="false">IFERROR(INDEX(종합!E$3:E$501,MATCH(ROW()-2,종합!$AE$3:$AE$501,0))&amp;"","")</f>
        <v/>
      </c>
      <c r="F391" s="18" t="str">
        <f aca="false">IFERROR(INDEX(종합!F$3:F$501,MATCH(ROW()-2,종합!$AE$3:$AE$501,0))&amp;"","")</f>
        <v/>
      </c>
      <c r="G391" s="18" t="str">
        <f aca="false">IFERROR(INDEX(종합!G$3:G$501,MATCH(ROW()-2,종합!$AE$3:$AE$501,0))&amp;"","")</f>
        <v/>
      </c>
      <c r="H391" s="21" t="str">
        <f aca="false">IFERROR(INDEX(종합!H$3:H$501,MATCH(ROW()-2,종합!$AE$3:$AE$501,0))&amp;"","")</f>
        <v/>
      </c>
      <c r="I391" s="21" t="str">
        <f aca="false">IFERROR(INDEX(종합!I$3:I$501,MATCH(ROW()-2,종합!$AE$3:$AE$501,0))&amp;"","")</f>
        <v/>
      </c>
      <c r="J391" s="21" t="str">
        <f aca="false">IFERROR(INDEX(종합!J$3:J$501,MATCH(ROW()-2,종합!$AE$3:$AE$501,0))&amp;"","")</f>
        <v/>
      </c>
      <c r="K391" s="21" t="str">
        <f aca="false">IFERROR(INDEX(종합!K$3:K$501,MATCH(ROW()-2,종합!$AE$3:$AE$501,0))&amp;"","")</f>
        <v/>
      </c>
      <c r="L391" s="21" t="str">
        <f aca="false">IFERROR(INDEX(종합!L$3:L$501,MATCH(ROW()-2,종합!$AE$3:$AE$501,0))&amp;"","")</f>
        <v/>
      </c>
      <c r="M391" s="21" t="str">
        <f aca="false">IFERROR(INDEX(종합!M$3:M$501,MATCH(ROW()-2,종합!$AE$3:$AE$501,0))&amp;"","")</f>
        <v/>
      </c>
      <c r="N391" s="25" t="str">
        <f aca="false">IFERROR(INDEX(종합!N$3:N$501,MATCH(ROW()-2,종합!$AE$3:$AE$501,0))&amp;"","")</f>
        <v/>
      </c>
      <c r="O391" s="21" t="str">
        <f aca="false">IFERROR(INDEX(종합!O$3:O$501,MATCH(ROW()-2,종합!$AE$3:$AE$501,0))&amp;"","")</f>
        <v/>
      </c>
      <c r="P391" s="21" t="str">
        <f aca="false">IFERROR(INDEX(종합!P$3:P$501,MATCH(ROW()-2,종합!$AE$3:$AE$501,0))&amp;"","")</f>
        <v/>
      </c>
      <c r="Q391" s="21" t="str">
        <f aca="false">IFERROR(INDEX(종합!Q$3:Q$501,MATCH(ROW()-2,종합!$AE$3:$AE$501,0))&amp;"","")</f>
        <v/>
      </c>
      <c r="R391" s="21" t="str">
        <f aca="false">IFERROR(INDEX(종합!R$3:R$501,MATCH(ROW()-2,종합!$AE$3:$AE$501,0))&amp;"","")</f>
        <v/>
      </c>
      <c r="S391" s="21" t="str">
        <f aca="false">IFERROR(INDEX(종합!S$3:S$501,MATCH(ROW()-2,종합!$AE$3:$AE$501,0))&amp;"","")</f>
        <v/>
      </c>
      <c r="T391" s="21" t="str">
        <f aca="false">IFERROR(INDEX(종합!T$3:T$501,MATCH(ROW()-2,종합!$AE$3:$AE$501,0))&amp;"","")</f>
        <v/>
      </c>
      <c r="U391" s="21" t="str">
        <f aca="false">IFERROR(INDEX(종합!U$3:U$501,MATCH(ROW()-2,종합!$AE$3:$AE$501,0))&amp;"","")</f>
        <v/>
      </c>
      <c r="V391" s="21" t="str">
        <f aca="false">IFERROR(INDEX(종합!V$3:V$501,MATCH(ROW()-2,종합!$AE$3:$AE$501,0))&amp;"","")</f>
        <v/>
      </c>
      <c r="W391" s="21" t="str">
        <f aca="false">IFERROR(INDEX(종합!W$3:W$501,MATCH(ROW()-2,종합!$AE$3:$AE$501,0))&amp;"","")</f>
        <v/>
      </c>
      <c r="X391" s="21" t="str">
        <f aca="false">IFERROR(INDEX(종합!X$3:X$501,MATCH(ROW()-2,종합!$AE$3:$AE$501,0))&amp;"","")</f>
        <v/>
      </c>
      <c r="Y391" s="21" t="str">
        <f aca="false">IFERROR(INDEX(종합!Y$3:Y$501,MATCH(ROW()-2,종합!$AE$3:$AE$501,0))&amp;"","")</f>
        <v/>
      </c>
      <c r="Z391" s="21" t="str">
        <f aca="false">IFERROR(INDEX(종합!Z$3:Z$501,MATCH(ROW()-2,종합!$AE$3:$AE$501,0))&amp;"","")</f>
        <v/>
      </c>
    </row>
    <row r="392" customFormat="false" ht="16.5" hidden="false" customHeight="true" outlineLevel="0" collapsed="false">
      <c r="A392" s="18" t="str">
        <f aca="false">IF(B392="","",ROW()-2)</f>
        <v/>
      </c>
      <c r="B392" s="18" t="str">
        <f aca="false">IFERROR(INDEX(종합!B$3:B$501,MATCH(ROW()-2,종합!$AE$3:$AE$501,0))&amp;"","")</f>
        <v/>
      </c>
      <c r="C392" s="18" t="str">
        <f aca="false">IFERROR(INDEX(종합!C$3:C$501,MATCH(ROW()-2,종합!$AE$3:$AE$501,0))&amp;"","")</f>
        <v/>
      </c>
      <c r="D392" s="18" t="str">
        <f aca="false">IFERROR(INDEX(종합!D$3:D$501,MATCH(ROW()-2,종합!$AE$3:$AE$501,0))&amp;"","")</f>
        <v/>
      </c>
      <c r="E392" s="18" t="str">
        <f aca="false">IFERROR(INDEX(종합!E$3:E$501,MATCH(ROW()-2,종합!$AE$3:$AE$501,0))&amp;"","")</f>
        <v/>
      </c>
      <c r="F392" s="18" t="str">
        <f aca="false">IFERROR(INDEX(종합!F$3:F$501,MATCH(ROW()-2,종합!$AE$3:$AE$501,0))&amp;"","")</f>
        <v/>
      </c>
      <c r="G392" s="18" t="str">
        <f aca="false">IFERROR(INDEX(종합!G$3:G$501,MATCH(ROW()-2,종합!$AE$3:$AE$501,0))&amp;"","")</f>
        <v/>
      </c>
      <c r="H392" s="21" t="str">
        <f aca="false">IFERROR(INDEX(종합!H$3:H$501,MATCH(ROW()-2,종합!$AE$3:$AE$501,0))&amp;"","")</f>
        <v/>
      </c>
      <c r="I392" s="21" t="str">
        <f aca="false">IFERROR(INDEX(종합!I$3:I$501,MATCH(ROW()-2,종합!$AE$3:$AE$501,0))&amp;"","")</f>
        <v/>
      </c>
      <c r="J392" s="21" t="str">
        <f aca="false">IFERROR(INDEX(종합!J$3:J$501,MATCH(ROW()-2,종합!$AE$3:$AE$501,0))&amp;"","")</f>
        <v/>
      </c>
      <c r="K392" s="21" t="str">
        <f aca="false">IFERROR(INDEX(종합!K$3:K$501,MATCH(ROW()-2,종합!$AE$3:$AE$501,0))&amp;"","")</f>
        <v/>
      </c>
      <c r="L392" s="21" t="str">
        <f aca="false">IFERROR(INDEX(종합!L$3:L$501,MATCH(ROW()-2,종합!$AE$3:$AE$501,0))&amp;"","")</f>
        <v/>
      </c>
      <c r="M392" s="21" t="str">
        <f aca="false">IFERROR(INDEX(종합!M$3:M$501,MATCH(ROW()-2,종합!$AE$3:$AE$501,0))&amp;"","")</f>
        <v/>
      </c>
      <c r="N392" s="25" t="str">
        <f aca="false">IFERROR(INDEX(종합!N$3:N$501,MATCH(ROW()-2,종합!$AE$3:$AE$501,0))&amp;"","")</f>
        <v/>
      </c>
      <c r="O392" s="21" t="str">
        <f aca="false">IFERROR(INDEX(종합!O$3:O$501,MATCH(ROW()-2,종합!$AE$3:$AE$501,0))&amp;"","")</f>
        <v/>
      </c>
      <c r="P392" s="21" t="str">
        <f aca="false">IFERROR(INDEX(종합!P$3:P$501,MATCH(ROW()-2,종합!$AE$3:$AE$501,0))&amp;"","")</f>
        <v/>
      </c>
      <c r="Q392" s="21" t="str">
        <f aca="false">IFERROR(INDEX(종합!Q$3:Q$501,MATCH(ROW()-2,종합!$AE$3:$AE$501,0))&amp;"","")</f>
        <v/>
      </c>
      <c r="R392" s="21" t="str">
        <f aca="false">IFERROR(INDEX(종합!R$3:R$501,MATCH(ROW()-2,종합!$AE$3:$AE$501,0))&amp;"","")</f>
        <v/>
      </c>
      <c r="S392" s="21" t="str">
        <f aca="false">IFERROR(INDEX(종합!S$3:S$501,MATCH(ROW()-2,종합!$AE$3:$AE$501,0))&amp;"","")</f>
        <v/>
      </c>
      <c r="T392" s="21" t="str">
        <f aca="false">IFERROR(INDEX(종합!T$3:T$501,MATCH(ROW()-2,종합!$AE$3:$AE$501,0))&amp;"","")</f>
        <v/>
      </c>
      <c r="U392" s="21" t="str">
        <f aca="false">IFERROR(INDEX(종합!U$3:U$501,MATCH(ROW()-2,종합!$AE$3:$AE$501,0))&amp;"","")</f>
        <v/>
      </c>
      <c r="V392" s="21" t="str">
        <f aca="false">IFERROR(INDEX(종합!V$3:V$501,MATCH(ROW()-2,종합!$AE$3:$AE$501,0))&amp;"","")</f>
        <v/>
      </c>
      <c r="W392" s="21" t="str">
        <f aca="false">IFERROR(INDEX(종합!W$3:W$501,MATCH(ROW()-2,종합!$AE$3:$AE$501,0))&amp;"","")</f>
        <v/>
      </c>
      <c r="X392" s="21" t="str">
        <f aca="false">IFERROR(INDEX(종합!X$3:X$501,MATCH(ROW()-2,종합!$AE$3:$AE$501,0))&amp;"","")</f>
        <v/>
      </c>
      <c r="Y392" s="21" t="str">
        <f aca="false">IFERROR(INDEX(종합!Y$3:Y$501,MATCH(ROW()-2,종합!$AE$3:$AE$501,0))&amp;"","")</f>
        <v/>
      </c>
      <c r="Z392" s="21" t="str">
        <f aca="false">IFERROR(INDEX(종합!Z$3:Z$501,MATCH(ROW()-2,종합!$AE$3:$AE$501,0))&amp;"","")</f>
        <v/>
      </c>
    </row>
    <row r="393" customFormat="false" ht="16.5" hidden="false" customHeight="true" outlineLevel="0" collapsed="false">
      <c r="A393" s="18" t="str">
        <f aca="false">IF(B393="","",ROW()-2)</f>
        <v/>
      </c>
      <c r="B393" s="18" t="str">
        <f aca="false">IFERROR(INDEX(종합!B$3:B$501,MATCH(ROW()-2,종합!$AE$3:$AE$501,0))&amp;"","")</f>
        <v/>
      </c>
      <c r="C393" s="18" t="str">
        <f aca="false">IFERROR(INDEX(종합!C$3:C$501,MATCH(ROW()-2,종합!$AE$3:$AE$501,0))&amp;"","")</f>
        <v/>
      </c>
      <c r="D393" s="18" t="str">
        <f aca="false">IFERROR(INDEX(종합!D$3:D$501,MATCH(ROW()-2,종합!$AE$3:$AE$501,0))&amp;"","")</f>
        <v/>
      </c>
      <c r="E393" s="18" t="str">
        <f aca="false">IFERROR(INDEX(종합!E$3:E$501,MATCH(ROW()-2,종합!$AE$3:$AE$501,0))&amp;"","")</f>
        <v/>
      </c>
      <c r="F393" s="18" t="str">
        <f aca="false">IFERROR(INDEX(종합!F$3:F$501,MATCH(ROW()-2,종합!$AE$3:$AE$501,0))&amp;"","")</f>
        <v/>
      </c>
      <c r="G393" s="18" t="str">
        <f aca="false">IFERROR(INDEX(종합!G$3:G$501,MATCH(ROW()-2,종합!$AE$3:$AE$501,0))&amp;"","")</f>
        <v/>
      </c>
      <c r="H393" s="21" t="str">
        <f aca="false">IFERROR(INDEX(종합!H$3:H$501,MATCH(ROW()-2,종합!$AE$3:$AE$501,0))&amp;"","")</f>
        <v/>
      </c>
      <c r="I393" s="21" t="str">
        <f aca="false">IFERROR(INDEX(종합!I$3:I$501,MATCH(ROW()-2,종합!$AE$3:$AE$501,0))&amp;"","")</f>
        <v/>
      </c>
      <c r="J393" s="21" t="str">
        <f aca="false">IFERROR(INDEX(종합!J$3:J$501,MATCH(ROW()-2,종합!$AE$3:$AE$501,0))&amp;"","")</f>
        <v/>
      </c>
      <c r="K393" s="21" t="str">
        <f aca="false">IFERROR(INDEX(종합!K$3:K$501,MATCH(ROW()-2,종합!$AE$3:$AE$501,0))&amp;"","")</f>
        <v/>
      </c>
      <c r="L393" s="21" t="str">
        <f aca="false">IFERROR(INDEX(종합!L$3:L$501,MATCH(ROW()-2,종합!$AE$3:$AE$501,0))&amp;"","")</f>
        <v/>
      </c>
      <c r="M393" s="21" t="str">
        <f aca="false">IFERROR(INDEX(종합!M$3:M$501,MATCH(ROW()-2,종합!$AE$3:$AE$501,0))&amp;"","")</f>
        <v/>
      </c>
      <c r="N393" s="25" t="str">
        <f aca="false">IFERROR(INDEX(종합!N$3:N$501,MATCH(ROW()-2,종합!$AE$3:$AE$501,0))&amp;"","")</f>
        <v/>
      </c>
      <c r="O393" s="21" t="str">
        <f aca="false">IFERROR(INDEX(종합!O$3:O$501,MATCH(ROW()-2,종합!$AE$3:$AE$501,0))&amp;"","")</f>
        <v/>
      </c>
      <c r="P393" s="21" t="str">
        <f aca="false">IFERROR(INDEX(종합!P$3:P$501,MATCH(ROW()-2,종합!$AE$3:$AE$501,0))&amp;"","")</f>
        <v/>
      </c>
      <c r="Q393" s="21" t="str">
        <f aca="false">IFERROR(INDEX(종합!Q$3:Q$501,MATCH(ROW()-2,종합!$AE$3:$AE$501,0))&amp;"","")</f>
        <v/>
      </c>
      <c r="R393" s="21" t="str">
        <f aca="false">IFERROR(INDEX(종합!R$3:R$501,MATCH(ROW()-2,종합!$AE$3:$AE$501,0))&amp;"","")</f>
        <v/>
      </c>
      <c r="S393" s="21" t="str">
        <f aca="false">IFERROR(INDEX(종합!S$3:S$501,MATCH(ROW()-2,종합!$AE$3:$AE$501,0))&amp;"","")</f>
        <v/>
      </c>
      <c r="T393" s="21" t="str">
        <f aca="false">IFERROR(INDEX(종합!T$3:T$501,MATCH(ROW()-2,종합!$AE$3:$AE$501,0))&amp;"","")</f>
        <v/>
      </c>
      <c r="U393" s="21" t="str">
        <f aca="false">IFERROR(INDEX(종합!U$3:U$501,MATCH(ROW()-2,종합!$AE$3:$AE$501,0))&amp;"","")</f>
        <v/>
      </c>
      <c r="V393" s="21" t="str">
        <f aca="false">IFERROR(INDEX(종합!V$3:V$501,MATCH(ROW()-2,종합!$AE$3:$AE$501,0))&amp;"","")</f>
        <v/>
      </c>
      <c r="W393" s="21" t="str">
        <f aca="false">IFERROR(INDEX(종합!W$3:W$501,MATCH(ROW()-2,종합!$AE$3:$AE$501,0))&amp;"","")</f>
        <v/>
      </c>
      <c r="X393" s="21" t="str">
        <f aca="false">IFERROR(INDEX(종합!X$3:X$501,MATCH(ROW()-2,종합!$AE$3:$AE$501,0))&amp;"","")</f>
        <v/>
      </c>
      <c r="Y393" s="21" t="str">
        <f aca="false">IFERROR(INDEX(종합!Y$3:Y$501,MATCH(ROW()-2,종합!$AE$3:$AE$501,0))&amp;"","")</f>
        <v/>
      </c>
      <c r="Z393" s="21" t="str">
        <f aca="false">IFERROR(INDEX(종합!Z$3:Z$501,MATCH(ROW()-2,종합!$AE$3:$AE$501,0))&amp;"","")</f>
        <v/>
      </c>
    </row>
    <row r="394" customFormat="false" ht="16.5" hidden="false" customHeight="true" outlineLevel="0" collapsed="false">
      <c r="A394" s="18" t="str">
        <f aca="false">IF(B394="","",ROW()-2)</f>
        <v/>
      </c>
      <c r="B394" s="18" t="str">
        <f aca="false">IFERROR(INDEX(종합!B$3:B$501,MATCH(ROW()-2,종합!$AE$3:$AE$501,0))&amp;"","")</f>
        <v/>
      </c>
      <c r="C394" s="18" t="str">
        <f aca="false">IFERROR(INDEX(종합!C$3:C$501,MATCH(ROW()-2,종합!$AE$3:$AE$501,0))&amp;"","")</f>
        <v/>
      </c>
      <c r="D394" s="18" t="str">
        <f aca="false">IFERROR(INDEX(종합!D$3:D$501,MATCH(ROW()-2,종합!$AE$3:$AE$501,0))&amp;"","")</f>
        <v/>
      </c>
      <c r="E394" s="18" t="str">
        <f aca="false">IFERROR(INDEX(종합!E$3:E$501,MATCH(ROW()-2,종합!$AE$3:$AE$501,0))&amp;"","")</f>
        <v/>
      </c>
      <c r="F394" s="18" t="str">
        <f aca="false">IFERROR(INDEX(종합!F$3:F$501,MATCH(ROW()-2,종합!$AE$3:$AE$501,0))&amp;"","")</f>
        <v/>
      </c>
      <c r="G394" s="18" t="str">
        <f aca="false">IFERROR(INDEX(종합!G$3:G$501,MATCH(ROW()-2,종합!$AE$3:$AE$501,0))&amp;"","")</f>
        <v/>
      </c>
      <c r="H394" s="21" t="str">
        <f aca="false">IFERROR(INDEX(종합!H$3:H$501,MATCH(ROW()-2,종합!$AE$3:$AE$501,0))&amp;"","")</f>
        <v/>
      </c>
      <c r="I394" s="21" t="str">
        <f aca="false">IFERROR(INDEX(종합!I$3:I$501,MATCH(ROW()-2,종합!$AE$3:$AE$501,0))&amp;"","")</f>
        <v/>
      </c>
      <c r="J394" s="21" t="str">
        <f aca="false">IFERROR(INDEX(종합!J$3:J$501,MATCH(ROW()-2,종합!$AE$3:$AE$501,0))&amp;"","")</f>
        <v/>
      </c>
      <c r="K394" s="21" t="str">
        <f aca="false">IFERROR(INDEX(종합!K$3:K$501,MATCH(ROW()-2,종합!$AE$3:$AE$501,0))&amp;"","")</f>
        <v/>
      </c>
      <c r="L394" s="21" t="str">
        <f aca="false">IFERROR(INDEX(종합!L$3:L$501,MATCH(ROW()-2,종합!$AE$3:$AE$501,0))&amp;"","")</f>
        <v/>
      </c>
      <c r="M394" s="21" t="str">
        <f aca="false">IFERROR(INDEX(종합!M$3:M$501,MATCH(ROW()-2,종합!$AE$3:$AE$501,0))&amp;"","")</f>
        <v/>
      </c>
      <c r="N394" s="25" t="str">
        <f aca="false">IFERROR(INDEX(종합!N$3:N$501,MATCH(ROW()-2,종합!$AE$3:$AE$501,0))&amp;"","")</f>
        <v/>
      </c>
      <c r="O394" s="21" t="str">
        <f aca="false">IFERROR(INDEX(종합!O$3:O$501,MATCH(ROW()-2,종합!$AE$3:$AE$501,0))&amp;"","")</f>
        <v/>
      </c>
      <c r="P394" s="21" t="str">
        <f aca="false">IFERROR(INDEX(종합!P$3:P$501,MATCH(ROW()-2,종합!$AE$3:$AE$501,0))&amp;"","")</f>
        <v/>
      </c>
      <c r="Q394" s="21" t="str">
        <f aca="false">IFERROR(INDEX(종합!Q$3:Q$501,MATCH(ROW()-2,종합!$AE$3:$AE$501,0))&amp;"","")</f>
        <v/>
      </c>
      <c r="R394" s="21" t="str">
        <f aca="false">IFERROR(INDEX(종합!R$3:R$501,MATCH(ROW()-2,종합!$AE$3:$AE$501,0))&amp;"","")</f>
        <v/>
      </c>
      <c r="S394" s="21" t="str">
        <f aca="false">IFERROR(INDEX(종합!S$3:S$501,MATCH(ROW()-2,종합!$AE$3:$AE$501,0))&amp;"","")</f>
        <v/>
      </c>
      <c r="T394" s="21" t="str">
        <f aca="false">IFERROR(INDEX(종합!T$3:T$501,MATCH(ROW()-2,종합!$AE$3:$AE$501,0))&amp;"","")</f>
        <v/>
      </c>
      <c r="U394" s="21" t="str">
        <f aca="false">IFERROR(INDEX(종합!U$3:U$501,MATCH(ROW()-2,종합!$AE$3:$AE$501,0))&amp;"","")</f>
        <v/>
      </c>
      <c r="V394" s="21" t="str">
        <f aca="false">IFERROR(INDEX(종합!V$3:V$501,MATCH(ROW()-2,종합!$AE$3:$AE$501,0))&amp;"","")</f>
        <v/>
      </c>
      <c r="W394" s="21" t="str">
        <f aca="false">IFERROR(INDEX(종합!W$3:W$501,MATCH(ROW()-2,종합!$AE$3:$AE$501,0))&amp;"","")</f>
        <v/>
      </c>
      <c r="X394" s="21" t="str">
        <f aca="false">IFERROR(INDEX(종합!X$3:X$501,MATCH(ROW()-2,종합!$AE$3:$AE$501,0))&amp;"","")</f>
        <v/>
      </c>
      <c r="Y394" s="21" t="str">
        <f aca="false">IFERROR(INDEX(종합!Y$3:Y$501,MATCH(ROW()-2,종합!$AE$3:$AE$501,0))&amp;"","")</f>
        <v/>
      </c>
      <c r="Z394" s="21" t="str">
        <f aca="false">IFERROR(INDEX(종합!Z$3:Z$501,MATCH(ROW()-2,종합!$AE$3:$AE$501,0))&amp;"","")</f>
        <v/>
      </c>
    </row>
    <row r="395" customFormat="false" ht="16.5" hidden="false" customHeight="true" outlineLevel="0" collapsed="false">
      <c r="A395" s="18" t="str">
        <f aca="false">IF(B395="","",ROW()-2)</f>
        <v/>
      </c>
      <c r="B395" s="18" t="str">
        <f aca="false">IFERROR(INDEX(종합!B$3:B$501,MATCH(ROW()-2,종합!$AE$3:$AE$501,0))&amp;"","")</f>
        <v/>
      </c>
      <c r="C395" s="18" t="str">
        <f aca="false">IFERROR(INDEX(종합!C$3:C$501,MATCH(ROW()-2,종합!$AE$3:$AE$501,0))&amp;"","")</f>
        <v/>
      </c>
      <c r="D395" s="18" t="str">
        <f aca="false">IFERROR(INDEX(종합!D$3:D$501,MATCH(ROW()-2,종합!$AE$3:$AE$501,0))&amp;"","")</f>
        <v/>
      </c>
      <c r="E395" s="18" t="str">
        <f aca="false">IFERROR(INDEX(종합!E$3:E$501,MATCH(ROW()-2,종합!$AE$3:$AE$501,0))&amp;"","")</f>
        <v/>
      </c>
      <c r="F395" s="18" t="str">
        <f aca="false">IFERROR(INDEX(종합!F$3:F$501,MATCH(ROW()-2,종합!$AE$3:$AE$501,0))&amp;"","")</f>
        <v/>
      </c>
      <c r="G395" s="18" t="str">
        <f aca="false">IFERROR(INDEX(종합!G$3:G$501,MATCH(ROW()-2,종합!$AE$3:$AE$501,0))&amp;"","")</f>
        <v/>
      </c>
      <c r="H395" s="21" t="str">
        <f aca="false">IFERROR(INDEX(종합!H$3:H$501,MATCH(ROW()-2,종합!$AE$3:$AE$501,0))&amp;"","")</f>
        <v/>
      </c>
      <c r="I395" s="21" t="str">
        <f aca="false">IFERROR(INDEX(종합!I$3:I$501,MATCH(ROW()-2,종합!$AE$3:$AE$501,0))&amp;"","")</f>
        <v/>
      </c>
      <c r="J395" s="21" t="str">
        <f aca="false">IFERROR(INDEX(종합!J$3:J$501,MATCH(ROW()-2,종합!$AE$3:$AE$501,0))&amp;"","")</f>
        <v/>
      </c>
      <c r="K395" s="21" t="str">
        <f aca="false">IFERROR(INDEX(종합!K$3:K$501,MATCH(ROW()-2,종합!$AE$3:$AE$501,0))&amp;"","")</f>
        <v/>
      </c>
      <c r="L395" s="21" t="str">
        <f aca="false">IFERROR(INDEX(종합!L$3:L$501,MATCH(ROW()-2,종합!$AE$3:$AE$501,0))&amp;"","")</f>
        <v/>
      </c>
      <c r="M395" s="21" t="str">
        <f aca="false">IFERROR(INDEX(종합!M$3:M$501,MATCH(ROW()-2,종합!$AE$3:$AE$501,0))&amp;"","")</f>
        <v/>
      </c>
      <c r="N395" s="25" t="str">
        <f aca="false">IFERROR(INDEX(종합!N$3:N$501,MATCH(ROW()-2,종합!$AE$3:$AE$501,0))&amp;"","")</f>
        <v/>
      </c>
      <c r="O395" s="21" t="str">
        <f aca="false">IFERROR(INDEX(종합!O$3:O$501,MATCH(ROW()-2,종합!$AE$3:$AE$501,0))&amp;"","")</f>
        <v/>
      </c>
      <c r="P395" s="21" t="str">
        <f aca="false">IFERROR(INDEX(종합!P$3:P$501,MATCH(ROW()-2,종합!$AE$3:$AE$501,0))&amp;"","")</f>
        <v/>
      </c>
      <c r="Q395" s="21" t="str">
        <f aca="false">IFERROR(INDEX(종합!Q$3:Q$501,MATCH(ROW()-2,종합!$AE$3:$AE$501,0))&amp;"","")</f>
        <v/>
      </c>
      <c r="R395" s="21" t="str">
        <f aca="false">IFERROR(INDEX(종합!R$3:R$501,MATCH(ROW()-2,종합!$AE$3:$AE$501,0))&amp;"","")</f>
        <v/>
      </c>
      <c r="S395" s="21" t="str">
        <f aca="false">IFERROR(INDEX(종합!S$3:S$501,MATCH(ROW()-2,종합!$AE$3:$AE$501,0))&amp;"","")</f>
        <v/>
      </c>
      <c r="T395" s="21" t="str">
        <f aca="false">IFERROR(INDEX(종합!T$3:T$501,MATCH(ROW()-2,종합!$AE$3:$AE$501,0))&amp;"","")</f>
        <v/>
      </c>
      <c r="U395" s="21" t="str">
        <f aca="false">IFERROR(INDEX(종합!U$3:U$501,MATCH(ROW()-2,종합!$AE$3:$AE$501,0))&amp;"","")</f>
        <v/>
      </c>
      <c r="V395" s="21" t="str">
        <f aca="false">IFERROR(INDEX(종합!V$3:V$501,MATCH(ROW()-2,종합!$AE$3:$AE$501,0))&amp;"","")</f>
        <v/>
      </c>
      <c r="W395" s="21" t="str">
        <f aca="false">IFERROR(INDEX(종합!W$3:W$501,MATCH(ROW()-2,종합!$AE$3:$AE$501,0))&amp;"","")</f>
        <v/>
      </c>
      <c r="X395" s="21" t="str">
        <f aca="false">IFERROR(INDEX(종합!X$3:X$501,MATCH(ROW()-2,종합!$AE$3:$AE$501,0))&amp;"","")</f>
        <v/>
      </c>
      <c r="Y395" s="21" t="str">
        <f aca="false">IFERROR(INDEX(종합!Y$3:Y$501,MATCH(ROW()-2,종합!$AE$3:$AE$501,0))&amp;"","")</f>
        <v/>
      </c>
      <c r="Z395" s="21" t="str">
        <f aca="false">IFERROR(INDEX(종합!Z$3:Z$501,MATCH(ROW()-2,종합!$AE$3:$AE$501,0))&amp;"","")</f>
        <v/>
      </c>
    </row>
    <row r="396" customFormat="false" ht="16.5" hidden="false" customHeight="true" outlineLevel="0" collapsed="false">
      <c r="A396" s="18" t="str">
        <f aca="false">IF(B396="","",ROW()-2)</f>
        <v/>
      </c>
      <c r="B396" s="18" t="str">
        <f aca="false">IFERROR(INDEX(종합!B$3:B$501,MATCH(ROW()-2,종합!$AE$3:$AE$501,0))&amp;"","")</f>
        <v/>
      </c>
      <c r="C396" s="18" t="str">
        <f aca="false">IFERROR(INDEX(종합!C$3:C$501,MATCH(ROW()-2,종합!$AE$3:$AE$501,0))&amp;"","")</f>
        <v/>
      </c>
      <c r="D396" s="18" t="str">
        <f aca="false">IFERROR(INDEX(종합!D$3:D$501,MATCH(ROW()-2,종합!$AE$3:$AE$501,0))&amp;"","")</f>
        <v/>
      </c>
      <c r="E396" s="18" t="str">
        <f aca="false">IFERROR(INDEX(종합!E$3:E$501,MATCH(ROW()-2,종합!$AE$3:$AE$501,0))&amp;"","")</f>
        <v/>
      </c>
      <c r="F396" s="18" t="str">
        <f aca="false">IFERROR(INDEX(종합!F$3:F$501,MATCH(ROW()-2,종합!$AE$3:$AE$501,0))&amp;"","")</f>
        <v/>
      </c>
      <c r="G396" s="18" t="str">
        <f aca="false">IFERROR(INDEX(종합!G$3:G$501,MATCH(ROW()-2,종합!$AE$3:$AE$501,0))&amp;"","")</f>
        <v/>
      </c>
      <c r="H396" s="21" t="str">
        <f aca="false">IFERROR(INDEX(종합!H$3:H$501,MATCH(ROW()-2,종합!$AE$3:$AE$501,0))&amp;"","")</f>
        <v/>
      </c>
      <c r="I396" s="21" t="str">
        <f aca="false">IFERROR(INDEX(종합!I$3:I$501,MATCH(ROW()-2,종합!$AE$3:$AE$501,0))&amp;"","")</f>
        <v/>
      </c>
      <c r="J396" s="21" t="str">
        <f aca="false">IFERROR(INDEX(종합!J$3:J$501,MATCH(ROW()-2,종합!$AE$3:$AE$501,0))&amp;"","")</f>
        <v/>
      </c>
      <c r="K396" s="21" t="str">
        <f aca="false">IFERROR(INDEX(종합!K$3:K$501,MATCH(ROW()-2,종합!$AE$3:$AE$501,0))&amp;"","")</f>
        <v/>
      </c>
      <c r="L396" s="21" t="str">
        <f aca="false">IFERROR(INDEX(종합!L$3:L$501,MATCH(ROW()-2,종합!$AE$3:$AE$501,0))&amp;"","")</f>
        <v/>
      </c>
      <c r="M396" s="21" t="str">
        <f aca="false">IFERROR(INDEX(종합!M$3:M$501,MATCH(ROW()-2,종합!$AE$3:$AE$501,0))&amp;"","")</f>
        <v/>
      </c>
      <c r="N396" s="25" t="str">
        <f aca="false">IFERROR(INDEX(종합!N$3:N$501,MATCH(ROW()-2,종합!$AE$3:$AE$501,0))&amp;"","")</f>
        <v/>
      </c>
      <c r="O396" s="21" t="str">
        <f aca="false">IFERROR(INDEX(종합!O$3:O$501,MATCH(ROW()-2,종합!$AE$3:$AE$501,0))&amp;"","")</f>
        <v/>
      </c>
      <c r="P396" s="21" t="str">
        <f aca="false">IFERROR(INDEX(종합!P$3:P$501,MATCH(ROW()-2,종합!$AE$3:$AE$501,0))&amp;"","")</f>
        <v/>
      </c>
      <c r="Q396" s="21" t="str">
        <f aca="false">IFERROR(INDEX(종합!Q$3:Q$501,MATCH(ROW()-2,종합!$AE$3:$AE$501,0))&amp;"","")</f>
        <v/>
      </c>
      <c r="R396" s="21" t="str">
        <f aca="false">IFERROR(INDEX(종합!R$3:R$501,MATCH(ROW()-2,종합!$AE$3:$AE$501,0))&amp;"","")</f>
        <v/>
      </c>
      <c r="S396" s="21" t="str">
        <f aca="false">IFERROR(INDEX(종합!S$3:S$501,MATCH(ROW()-2,종합!$AE$3:$AE$501,0))&amp;"","")</f>
        <v/>
      </c>
      <c r="T396" s="21" t="str">
        <f aca="false">IFERROR(INDEX(종합!T$3:T$501,MATCH(ROW()-2,종합!$AE$3:$AE$501,0))&amp;"","")</f>
        <v/>
      </c>
      <c r="U396" s="21" t="str">
        <f aca="false">IFERROR(INDEX(종합!U$3:U$501,MATCH(ROW()-2,종합!$AE$3:$AE$501,0))&amp;"","")</f>
        <v/>
      </c>
      <c r="V396" s="21" t="str">
        <f aca="false">IFERROR(INDEX(종합!V$3:V$501,MATCH(ROW()-2,종합!$AE$3:$AE$501,0))&amp;"","")</f>
        <v/>
      </c>
      <c r="W396" s="21" t="str">
        <f aca="false">IFERROR(INDEX(종합!W$3:W$501,MATCH(ROW()-2,종합!$AE$3:$AE$501,0))&amp;"","")</f>
        <v/>
      </c>
      <c r="X396" s="21" t="str">
        <f aca="false">IFERROR(INDEX(종합!X$3:X$501,MATCH(ROW()-2,종합!$AE$3:$AE$501,0))&amp;"","")</f>
        <v/>
      </c>
      <c r="Y396" s="21" t="str">
        <f aca="false">IFERROR(INDEX(종합!Y$3:Y$501,MATCH(ROW()-2,종합!$AE$3:$AE$501,0))&amp;"","")</f>
        <v/>
      </c>
      <c r="Z396" s="21" t="str">
        <f aca="false">IFERROR(INDEX(종합!Z$3:Z$501,MATCH(ROW()-2,종합!$AE$3:$AE$501,0))&amp;"","")</f>
        <v/>
      </c>
    </row>
    <row r="397" customFormat="false" ht="16.5" hidden="false" customHeight="true" outlineLevel="0" collapsed="false">
      <c r="A397" s="18" t="str">
        <f aca="false">IF(B397="","",ROW()-2)</f>
        <v/>
      </c>
      <c r="B397" s="18" t="str">
        <f aca="false">IFERROR(INDEX(종합!B$3:B$501,MATCH(ROW()-2,종합!$AE$3:$AE$501,0))&amp;"","")</f>
        <v/>
      </c>
      <c r="C397" s="18" t="str">
        <f aca="false">IFERROR(INDEX(종합!C$3:C$501,MATCH(ROW()-2,종합!$AE$3:$AE$501,0))&amp;"","")</f>
        <v/>
      </c>
      <c r="D397" s="18" t="str">
        <f aca="false">IFERROR(INDEX(종합!D$3:D$501,MATCH(ROW()-2,종합!$AE$3:$AE$501,0))&amp;"","")</f>
        <v/>
      </c>
      <c r="E397" s="18" t="str">
        <f aca="false">IFERROR(INDEX(종합!E$3:E$501,MATCH(ROW()-2,종합!$AE$3:$AE$501,0))&amp;"","")</f>
        <v/>
      </c>
      <c r="F397" s="18" t="str">
        <f aca="false">IFERROR(INDEX(종합!F$3:F$501,MATCH(ROW()-2,종합!$AE$3:$AE$501,0))&amp;"","")</f>
        <v/>
      </c>
      <c r="G397" s="18" t="str">
        <f aca="false">IFERROR(INDEX(종합!G$3:G$501,MATCH(ROW()-2,종합!$AE$3:$AE$501,0))&amp;"","")</f>
        <v/>
      </c>
      <c r="H397" s="21" t="str">
        <f aca="false">IFERROR(INDEX(종합!H$3:H$501,MATCH(ROW()-2,종합!$AE$3:$AE$501,0))&amp;"","")</f>
        <v/>
      </c>
      <c r="I397" s="21" t="str">
        <f aca="false">IFERROR(INDEX(종합!I$3:I$501,MATCH(ROW()-2,종합!$AE$3:$AE$501,0))&amp;"","")</f>
        <v/>
      </c>
      <c r="J397" s="21" t="str">
        <f aca="false">IFERROR(INDEX(종합!J$3:J$501,MATCH(ROW()-2,종합!$AE$3:$AE$501,0))&amp;"","")</f>
        <v/>
      </c>
      <c r="K397" s="21" t="str">
        <f aca="false">IFERROR(INDEX(종합!K$3:K$501,MATCH(ROW()-2,종합!$AE$3:$AE$501,0))&amp;"","")</f>
        <v/>
      </c>
      <c r="L397" s="21" t="str">
        <f aca="false">IFERROR(INDEX(종합!L$3:L$501,MATCH(ROW()-2,종합!$AE$3:$AE$501,0))&amp;"","")</f>
        <v/>
      </c>
      <c r="M397" s="21" t="str">
        <f aca="false">IFERROR(INDEX(종합!M$3:M$501,MATCH(ROW()-2,종합!$AE$3:$AE$501,0))&amp;"","")</f>
        <v/>
      </c>
      <c r="N397" s="25" t="str">
        <f aca="false">IFERROR(INDEX(종합!N$3:N$501,MATCH(ROW()-2,종합!$AE$3:$AE$501,0))&amp;"","")</f>
        <v/>
      </c>
      <c r="O397" s="21" t="str">
        <f aca="false">IFERROR(INDEX(종합!O$3:O$501,MATCH(ROW()-2,종합!$AE$3:$AE$501,0))&amp;"","")</f>
        <v/>
      </c>
      <c r="P397" s="21" t="str">
        <f aca="false">IFERROR(INDEX(종합!P$3:P$501,MATCH(ROW()-2,종합!$AE$3:$AE$501,0))&amp;"","")</f>
        <v/>
      </c>
      <c r="Q397" s="21" t="str">
        <f aca="false">IFERROR(INDEX(종합!Q$3:Q$501,MATCH(ROW()-2,종합!$AE$3:$AE$501,0))&amp;"","")</f>
        <v/>
      </c>
      <c r="R397" s="21" t="str">
        <f aca="false">IFERROR(INDEX(종합!R$3:R$501,MATCH(ROW()-2,종합!$AE$3:$AE$501,0))&amp;"","")</f>
        <v/>
      </c>
      <c r="S397" s="21" t="str">
        <f aca="false">IFERROR(INDEX(종합!S$3:S$501,MATCH(ROW()-2,종합!$AE$3:$AE$501,0))&amp;"","")</f>
        <v/>
      </c>
      <c r="T397" s="21" t="str">
        <f aca="false">IFERROR(INDEX(종합!T$3:T$501,MATCH(ROW()-2,종합!$AE$3:$AE$501,0))&amp;"","")</f>
        <v/>
      </c>
      <c r="U397" s="21" t="str">
        <f aca="false">IFERROR(INDEX(종합!U$3:U$501,MATCH(ROW()-2,종합!$AE$3:$AE$501,0))&amp;"","")</f>
        <v/>
      </c>
      <c r="V397" s="21" t="str">
        <f aca="false">IFERROR(INDEX(종합!V$3:V$501,MATCH(ROW()-2,종합!$AE$3:$AE$501,0))&amp;"","")</f>
        <v/>
      </c>
      <c r="W397" s="21" t="str">
        <f aca="false">IFERROR(INDEX(종합!W$3:W$501,MATCH(ROW()-2,종합!$AE$3:$AE$501,0))&amp;"","")</f>
        <v/>
      </c>
      <c r="X397" s="21" t="str">
        <f aca="false">IFERROR(INDEX(종합!X$3:X$501,MATCH(ROW()-2,종합!$AE$3:$AE$501,0))&amp;"","")</f>
        <v/>
      </c>
      <c r="Y397" s="21" t="str">
        <f aca="false">IFERROR(INDEX(종합!Y$3:Y$501,MATCH(ROW()-2,종합!$AE$3:$AE$501,0))&amp;"","")</f>
        <v/>
      </c>
      <c r="Z397" s="21" t="str">
        <f aca="false">IFERROR(INDEX(종합!Z$3:Z$501,MATCH(ROW()-2,종합!$AE$3:$AE$501,0))&amp;"","")</f>
        <v/>
      </c>
    </row>
    <row r="398" customFormat="false" ht="16.5" hidden="false" customHeight="true" outlineLevel="0" collapsed="false">
      <c r="A398" s="18" t="str">
        <f aca="false">IF(B398="","",ROW()-2)</f>
        <v/>
      </c>
      <c r="B398" s="18" t="str">
        <f aca="false">IFERROR(INDEX(종합!B$3:B$501,MATCH(ROW()-2,종합!$AE$3:$AE$501,0))&amp;"","")</f>
        <v/>
      </c>
      <c r="C398" s="18" t="str">
        <f aca="false">IFERROR(INDEX(종합!C$3:C$501,MATCH(ROW()-2,종합!$AE$3:$AE$501,0))&amp;"","")</f>
        <v/>
      </c>
      <c r="D398" s="18" t="str">
        <f aca="false">IFERROR(INDEX(종합!D$3:D$501,MATCH(ROW()-2,종합!$AE$3:$AE$501,0))&amp;"","")</f>
        <v/>
      </c>
      <c r="E398" s="18" t="str">
        <f aca="false">IFERROR(INDEX(종합!E$3:E$501,MATCH(ROW()-2,종합!$AE$3:$AE$501,0))&amp;"","")</f>
        <v/>
      </c>
      <c r="F398" s="18" t="str">
        <f aca="false">IFERROR(INDEX(종합!F$3:F$501,MATCH(ROW()-2,종합!$AE$3:$AE$501,0))&amp;"","")</f>
        <v/>
      </c>
      <c r="G398" s="18" t="str">
        <f aca="false">IFERROR(INDEX(종합!G$3:G$501,MATCH(ROW()-2,종합!$AE$3:$AE$501,0))&amp;"","")</f>
        <v/>
      </c>
      <c r="H398" s="21" t="str">
        <f aca="false">IFERROR(INDEX(종합!H$3:H$501,MATCH(ROW()-2,종합!$AE$3:$AE$501,0))&amp;"","")</f>
        <v/>
      </c>
      <c r="I398" s="21" t="str">
        <f aca="false">IFERROR(INDEX(종합!I$3:I$501,MATCH(ROW()-2,종합!$AE$3:$AE$501,0))&amp;"","")</f>
        <v/>
      </c>
      <c r="J398" s="21" t="str">
        <f aca="false">IFERROR(INDEX(종합!J$3:J$501,MATCH(ROW()-2,종합!$AE$3:$AE$501,0))&amp;"","")</f>
        <v/>
      </c>
      <c r="K398" s="21" t="str">
        <f aca="false">IFERROR(INDEX(종합!K$3:K$501,MATCH(ROW()-2,종합!$AE$3:$AE$501,0))&amp;"","")</f>
        <v/>
      </c>
      <c r="L398" s="21" t="str">
        <f aca="false">IFERROR(INDEX(종합!L$3:L$501,MATCH(ROW()-2,종합!$AE$3:$AE$501,0))&amp;"","")</f>
        <v/>
      </c>
      <c r="M398" s="21" t="str">
        <f aca="false">IFERROR(INDEX(종합!M$3:M$501,MATCH(ROW()-2,종합!$AE$3:$AE$501,0))&amp;"","")</f>
        <v/>
      </c>
      <c r="N398" s="25" t="str">
        <f aca="false">IFERROR(INDEX(종합!N$3:N$501,MATCH(ROW()-2,종합!$AE$3:$AE$501,0))&amp;"","")</f>
        <v/>
      </c>
      <c r="O398" s="21" t="str">
        <f aca="false">IFERROR(INDEX(종합!O$3:O$501,MATCH(ROW()-2,종합!$AE$3:$AE$501,0))&amp;"","")</f>
        <v/>
      </c>
      <c r="P398" s="21" t="str">
        <f aca="false">IFERROR(INDEX(종합!P$3:P$501,MATCH(ROW()-2,종합!$AE$3:$AE$501,0))&amp;"","")</f>
        <v/>
      </c>
      <c r="Q398" s="21" t="str">
        <f aca="false">IFERROR(INDEX(종합!Q$3:Q$501,MATCH(ROW()-2,종합!$AE$3:$AE$501,0))&amp;"","")</f>
        <v/>
      </c>
      <c r="R398" s="21" t="str">
        <f aca="false">IFERROR(INDEX(종합!R$3:R$501,MATCH(ROW()-2,종합!$AE$3:$AE$501,0))&amp;"","")</f>
        <v/>
      </c>
      <c r="S398" s="21" t="str">
        <f aca="false">IFERROR(INDEX(종합!S$3:S$501,MATCH(ROW()-2,종합!$AE$3:$AE$501,0))&amp;"","")</f>
        <v/>
      </c>
      <c r="T398" s="21" t="str">
        <f aca="false">IFERROR(INDEX(종합!T$3:T$501,MATCH(ROW()-2,종합!$AE$3:$AE$501,0))&amp;"","")</f>
        <v/>
      </c>
      <c r="U398" s="21" t="str">
        <f aca="false">IFERROR(INDEX(종합!U$3:U$501,MATCH(ROW()-2,종합!$AE$3:$AE$501,0))&amp;"","")</f>
        <v/>
      </c>
      <c r="V398" s="21" t="str">
        <f aca="false">IFERROR(INDEX(종합!V$3:V$501,MATCH(ROW()-2,종합!$AE$3:$AE$501,0))&amp;"","")</f>
        <v/>
      </c>
      <c r="W398" s="21" t="str">
        <f aca="false">IFERROR(INDEX(종합!W$3:W$501,MATCH(ROW()-2,종합!$AE$3:$AE$501,0))&amp;"","")</f>
        <v/>
      </c>
      <c r="X398" s="21" t="str">
        <f aca="false">IFERROR(INDEX(종합!X$3:X$501,MATCH(ROW()-2,종합!$AE$3:$AE$501,0))&amp;"","")</f>
        <v/>
      </c>
      <c r="Y398" s="21" t="str">
        <f aca="false">IFERROR(INDEX(종합!Y$3:Y$501,MATCH(ROW()-2,종합!$AE$3:$AE$501,0))&amp;"","")</f>
        <v/>
      </c>
      <c r="Z398" s="21" t="str">
        <f aca="false">IFERROR(INDEX(종합!Z$3:Z$501,MATCH(ROW()-2,종합!$AE$3:$AE$501,0))&amp;"","")</f>
        <v/>
      </c>
    </row>
    <row r="399" customFormat="false" ht="16.5" hidden="false" customHeight="true" outlineLevel="0" collapsed="false">
      <c r="A399" s="18" t="str">
        <f aca="false">IF(B399="","",ROW()-2)</f>
        <v/>
      </c>
      <c r="B399" s="18" t="str">
        <f aca="false">IFERROR(INDEX(종합!B$3:B$501,MATCH(ROW()-2,종합!$AE$3:$AE$501,0))&amp;"","")</f>
        <v/>
      </c>
      <c r="C399" s="18" t="str">
        <f aca="false">IFERROR(INDEX(종합!C$3:C$501,MATCH(ROW()-2,종합!$AE$3:$AE$501,0))&amp;"","")</f>
        <v/>
      </c>
      <c r="D399" s="18" t="str">
        <f aca="false">IFERROR(INDEX(종합!D$3:D$501,MATCH(ROW()-2,종합!$AE$3:$AE$501,0))&amp;"","")</f>
        <v/>
      </c>
      <c r="E399" s="18" t="str">
        <f aca="false">IFERROR(INDEX(종합!E$3:E$501,MATCH(ROW()-2,종합!$AE$3:$AE$501,0))&amp;"","")</f>
        <v/>
      </c>
      <c r="F399" s="18" t="str">
        <f aca="false">IFERROR(INDEX(종합!F$3:F$501,MATCH(ROW()-2,종합!$AE$3:$AE$501,0))&amp;"","")</f>
        <v/>
      </c>
      <c r="G399" s="18" t="str">
        <f aca="false">IFERROR(INDEX(종합!G$3:G$501,MATCH(ROW()-2,종합!$AE$3:$AE$501,0))&amp;"","")</f>
        <v/>
      </c>
      <c r="H399" s="21" t="str">
        <f aca="false">IFERROR(INDEX(종합!H$3:H$501,MATCH(ROW()-2,종합!$AE$3:$AE$501,0))&amp;"","")</f>
        <v/>
      </c>
      <c r="I399" s="21" t="str">
        <f aca="false">IFERROR(INDEX(종합!I$3:I$501,MATCH(ROW()-2,종합!$AE$3:$AE$501,0))&amp;"","")</f>
        <v/>
      </c>
      <c r="J399" s="21" t="str">
        <f aca="false">IFERROR(INDEX(종합!J$3:J$501,MATCH(ROW()-2,종합!$AE$3:$AE$501,0))&amp;"","")</f>
        <v/>
      </c>
      <c r="K399" s="21" t="str">
        <f aca="false">IFERROR(INDEX(종합!K$3:K$501,MATCH(ROW()-2,종합!$AE$3:$AE$501,0))&amp;"","")</f>
        <v/>
      </c>
      <c r="L399" s="21" t="str">
        <f aca="false">IFERROR(INDEX(종합!L$3:L$501,MATCH(ROW()-2,종합!$AE$3:$AE$501,0))&amp;"","")</f>
        <v/>
      </c>
      <c r="M399" s="21" t="str">
        <f aca="false">IFERROR(INDEX(종합!M$3:M$501,MATCH(ROW()-2,종합!$AE$3:$AE$501,0))&amp;"","")</f>
        <v/>
      </c>
      <c r="N399" s="25" t="str">
        <f aca="false">IFERROR(INDEX(종합!N$3:N$501,MATCH(ROW()-2,종합!$AE$3:$AE$501,0))&amp;"","")</f>
        <v/>
      </c>
      <c r="O399" s="21" t="str">
        <f aca="false">IFERROR(INDEX(종합!O$3:O$501,MATCH(ROW()-2,종합!$AE$3:$AE$501,0))&amp;"","")</f>
        <v/>
      </c>
      <c r="P399" s="21" t="str">
        <f aca="false">IFERROR(INDEX(종합!P$3:P$501,MATCH(ROW()-2,종합!$AE$3:$AE$501,0))&amp;"","")</f>
        <v/>
      </c>
      <c r="Q399" s="21" t="str">
        <f aca="false">IFERROR(INDEX(종합!Q$3:Q$501,MATCH(ROW()-2,종합!$AE$3:$AE$501,0))&amp;"","")</f>
        <v/>
      </c>
      <c r="R399" s="21" t="str">
        <f aca="false">IFERROR(INDEX(종합!R$3:R$501,MATCH(ROW()-2,종합!$AE$3:$AE$501,0))&amp;"","")</f>
        <v/>
      </c>
      <c r="S399" s="21" t="str">
        <f aca="false">IFERROR(INDEX(종합!S$3:S$501,MATCH(ROW()-2,종합!$AE$3:$AE$501,0))&amp;"","")</f>
        <v/>
      </c>
      <c r="T399" s="21" t="str">
        <f aca="false">IFERROR(INDEX(종합!T$3:T$501,MATCH(ROW()-2,종합!$AE$3:$AE$501,0))&amp;"","")</f>
        <v/>
      </c>
      <c r="U399" s="21" t="str">
        <f aca="false">IFERROR(INDEX(종합!U$3:U$501,MATCH(ROW()-2,종합!$AE$3:$AE$501,0))&amp;"","")</f>
        <v/>
      </c>
      <c r="V399" s="21" t="str">
        <f aca="false">IFERROR(INDEX(종합!V$3:V$501,MATCH(ROW()-2,종합!$AE$3:$AE$501,0))&amp;"","")</f>
        <v/>
      </c>
      <c r="W399" s="21" t="str">
        <f aca="false">IFERROR(INDEX(종합!W$3:W$501,MATCH(ROW()-2,종합!$AE$3:$AE$501,0))&amp;"","")</f>
        <v/>
      </c>
      <c r="X399" s="21" t="str">
        <f aca="false">IFERROR(INDEX(종합!X$3:X$501,MATCH(ROW()-2,종합!$AE$3:$AE$501,0))&amp;"","")</f>
        <v/>
      </c>
      <c r="Y399" s="21" t="str">
        <f aca="false">IFERROR(INDEX(종합!Y$3:Y$501,MATCH(ROW()-2,종합!$AE$3:$AE$501,0))&amp;"","")</f>
        <v/>
      </c>
      <c r="Z399" s="21" t="str">
        <f aca="false">IFERROR(INDEX(종합!Z$3:Z$501,MATCH(ROW()-2,종합!$AE$3:$AE$501,0))&amp;"","")</f>
        <v/>
      </c>
    </row>
    <row r="400" customFormat="false" ht="16.5" hidden="false" customHeight="true" outlineLevel="0" collapsed="false">
      <c r="A400" s="18" t="str">
        <f aca="false">IF(B400="","",ROW()-2)</f>
        <v/>
      </c>
      <c r="B400" s="18" t="str">
        <f aca="false">IFERROR(INDEX(종합!B$3:B$501,MATCH(ROW()-2,종합!$AE$3:$AE$501,0))&amp;"","")</f>
        <v/>
      </c>
      <c r="C400" s="18" t="str">
        <f aca="false">IFERROR(INDEX(종합!C$3:C$501,MATCH(ROW()-2,종합!$AE$3:$AE$501,0))&amp;"","")</f>
        <v/>
      </c>
      <c r="D400" s="18" t="str">
        <f aca="false">IFERROR(INDEX(종합!D$3:D$501,MATCH(ROW()-2,종합!$AE$3:$AE$501,0))&amp;"","")</f>
        <v/>
      </c>
      <c r="E400" s="18" t="str">
        <f aca="false">IFERROR(INDEX(종합!E$3:E$501,MATCH(ROW()-2,종합!$AE$3:$AE$501,0))&amp;"","")</f>
        <v/>
      </c>
      <c r="F400" s="18" t="str">
        <f aca="false">IFERROR(INDEX(종합!F$3:F$501,MATCH(ROW()-2,종합!$AE$3:$AE$501,0))&amp;"","")</f>
        <v/>
      </c>
      <c r="G400" s="18" t="str">
        <f aca="false">IFERROR(INDEX(종합!G$3:G$501,MATCH(ROW()-2,종합!$AE$3:$AE$501,0))&amp;"","")</f>
        <v/>
      </c>
      <c r="H400" s="21" t="str">
        <f aca="false">IFERROR(INDEX(종합!H$3:H$501,MATCH(ROW()-2,종합!$AE$3:$AE$501,0))&amp;"","")</f>
        <v/>
      </c>
      <c r="I400" s="21" t="str">
        <f aca="false">IFERROR(INDEX(종합!I$3:I$501,MATCH(ROW()-2,종합!$AE$3:$AE$501,0))&amp;"","")</f>
        <v/>
      </c>
      <c r="J400" s="21" t="str">
        <f aca="false">IFERROR(INDEX(종합!J$3:J$501,MATCH(ROW()-2,종합!$AE$3:$AE$501,0))&amp;"","")</f>
        <v/>
      </c>
      <c r="K400" s="21" t="str">
        <f aca="false">IFERROR(INDEX(종합!K$3:K$501,MATCH(ROW()-2,종합!$AE$3:$AE$501,0))&amp;"","")</f>
        <v/>
      </c>
      <c r="L400" s="21" t="str">
        <f aca="false">IFERROR(INDEX(종합!L$3:L$501,MATCH(ROW()-2,종합!$AE$3:$AE$501,0))&amp;"","")</f>
        <v/>
      </c>
      <c r="M400" s="21" t="str">
        <f aca="false">IFERROR(INDEX(종합!M$3:M$501,MATCH(ROW()-2,종합!$AE$3:$AE$501,0))&amp;"","")</f>
        <v/>
      </c>
      <c r="N400" s="25" t="str">
        <f aca="false">IFERROR(INDEX(종합!N$3:N$501,MATCH(ROW()-2,종합!$AE$3:$AE$501,0))&amp;"","")</f>
        <v/>
      </c>
      <c r="O400" s="21" t="str">
        <f aca="false">IFERROR(INDEX(종합!O$3:O$501,MATCH(ROW()-2,종합!$AE$3:$AE$501,0))&amp;"","")</f>
        <v/>
      </c>
      <c r="P400" s="21" t="str">
        <f aca="false">IFERROR(INDEX(종합!P$3:P$501,MATCH(ROW()-2,종합!$AE$3:$AE$501,0))&amp;"","")</f>
        <v/>
      </c>
      <c r="Q400" s="21" t="str">
        <f aca="false">IFERROR(INDEX(종합!Q$3:Q$501,MATCH(ROW()-2,종합!$AE$3:$AE$501,0))&amp;"","")</f>
        <v/>
      </c>
      <c r="R400" s="21" t="str">
        <f aca="false">IFERROR(INDEX(종합!R$3:R$501,MATCH(ROW()-2,종합!$AE$3:$AE$501,0))&amp;"","")</f>
        <v/>
      </c>
      <c r="S400" s="21" t="str">
        <f aca="false">IFERROR(INDEX(종합!S$3:S$501,MATCH(ROW()-2,종합!$AE$3:$AE$501,0))&amp;"","")</f>
        <v/>
      </c>
      <c r="T400" s="21" t="str">
        <f aca="false">IFERROR(INDEX(종합!T$3:T$501,MATCH(ROW()-2,종합!$AE$3:$AE$501,0))&amp;"","")</f>
        <v/>
      </c>
      <c r="U400" s="21" t="str">
        <f aca="false">IFERROR(INDEX(종합!U$3:U$501,MATCH(ROW()-2,종합!$AE$3:$AE$501,0))&amp;"","")</f>
        <v/>
      </c>
      <c r="V400" s="21" t="str">
        <f aca="false">IFERROR(INDEX(종합!V$3:V$501,MATCH(ROW()-2,종합!$AE$3:$AE$501,0))&amp;"","")</f>
        <v/>
      </c>
      <c r="W400" s="21" t="str">
        <f aca="false">IFERROR(INDEX(종합!W$3:W$501,MATCH(ROW()-2,종합!$AE$3:$AE$501,0))&amp;"","")</f>
        <v/>
      </c>
      <c r="X400" s="21" t="str">
        <f aca="false">IFERROR(INDEX(종합!X$3:X$501,MATCH(ROW()-2,종합!$AE$3:$AE$501,0))&amp;"","")</f>
        <v/>
      </c>
      <c r="Y400" s="21" t="str">
        <f aca="false">IFERROR(INDEX(종합!Y$3:Y$501,MATCH(ROW()-2,종합!$AE$3:$AE$501,0))&amp;"","")</f>
        <v/>
      </c>
      <c r="Z400" s="21" t="str">
        <f aca="false">IFERROR(INDEX(종합!Z$3:Z$501,MATCH(ROW()-2,종합!$AE$3:$AE$501,0))&amp;"","")</f>
        <v/>
      </c>
    </row>
    <row r="401" customFormat="false" ht="16.5" hidden="false" customHeight="true" outlineLevel="0" collapsed="false">
      <c r="A401" s="18" t="str">
        <f aca="false">IF(B401="","",ROW()-2)</f>
        <v/>
      </c>
      <c r="B401" s="18" t="str">
        <f aca="false">IFERROR(INDEX(종합!B$3:B$501,MATCH(ROW()-2,종합!$AE$3:$AE$501,0))&amp;"","")</f>
        <v/>
      </c>
      <c r="C401" s="18" t="str">
        <f aca="false">IFERROR(INDEX(종합!C$3:C$501,MATCH(ROW()-2,종합!$AE$3:$AE$501,0))&amp;"","")</f>
        <v/>
      </c>
      <c r="D401" s="18" t="str">
        <f aca="false">IFERROR(INDEX(종합!D$3:D$501,MATCH(ROW()-2,종합!$AE$3:$AE$501,0))&amp;"","")</f>
        <v/>
      </c>
      <c r="E401" s="18" t="str">
        <f aca="false">IFERROR(INDEX(종합!E$3:E$501,MATCH(ROW()-2,종합!$AE$3:$AE$501,0))&amp;"","")</f>
        <v/>
      </c>
      <c r="F401" s="18" t="str">
        <f aca="false">IFERROR(INDEX(종합!F$3:F$501,MATCH(ROW()-2,종합!$AE$3:$AE$501,0))&amp;"","")</f>
        <v/>
      </c>
      <c r="G401" s="18" t="str">
        <f aca="false">IFERROR(INDEX(종합!G$3:G$501,MATCH(ROW()-2,종합!$AE$3:$AE$501,0))&amp;"","")</f>
        <v/>
      </c>
      <c r="H401" s="21" t="str">
        <f aca="false">IFERROR(INDEX(종합!H$3:H$501,MATCH(ROW()-2,종합!$AE$3:$AE$501,0))&amp;"","")</f>
        <v/>
      </c>
      <c r="I401" s="21" t="str">
        <f aca="false">IFERROR(INDEX(종합!I$3:I$501,MATCH(ROW()-2,종합!$AE$3:$AE$501,0))&amp;"","")</f>
        <v/>
      </c>
      <c r="J401" s="21" t="str">
        <f aca="false">IFERROR(INDEX(종합!J$3:J$501,MATCH(ROW()-2,종합!$AE$3:$AE$501,0))&amp;"","")</f>
        <v/>
      </c>
      <c r="K401" s="21" t="str">
        <f aca="false">IFERROR(INDEX(종합!K$3:K$501,MATCH(ROW()-2,종합!$AE$3:$AE$501,0))&amp;"","")</f>
        <v/>
      </c>
      <c r="L401" s="21" t="str">
        <f aca="false">IFERROR(INDEX(종합!L$3:L$501,MATCH(ROW()-2,종합!$AE$3:$AE$501,0))&amp;"","")</f>
        <v/>
      </c>
      <c r="M401" s="21" t="str">
        <f aca="false">IFERROR(INDEX(종합!M$3:M$501,MATCH(ROW()-2,종합!$AE$3:$AE$501,0))&amp;"","")</f>
        <v/>
      </c>
      <c r="N401" s="25" t="str">
        <f aca="false">IFERROR(INDEX(종합!N$3:N$501,MATCH(ROW()-2,종합!$AE$3:$AE$501,0))&amp;"","")</f>
        <v/>
      </c>
      <c r="O401" s="21" t="str">
        <f aca="false">IFERROR(INDEX(종합!O$3:O$501,MATCH(ROW()-2,종합!$AE$3:$AE$501,0))&amp;"","")</f>
        <v/>
      </c>
      <c r="P401" s="21" t="str">
        <f aca="false">IFERROR(INDEX(종합!P$3:P$501,MATCH(ROW()-2,종합!$AE$3:$AE$501,0))&amp;"","")</f>
        <v/>
      </c>
      <c r="Q401" s="21" t="str">
        <f aca="false">IFERROR(INDEX(종합!Q$3:Q$501,MATCH(ROW()-2,종합!$AE$3:$AE$501,0))&amp;"","")</f>
        <v/>
      </c>
      <c r="R401" s="21" t="str">
        <f aca="false">IFERROR(INDEX(종합!R$3:R$501,MATCH(ROW()-2,종합!$AE$3:$AE$501,0))&amp;"","")</f>
        <v/>
      </c>
      <c r="S401" s="21" t="str">
        <f aca="false">IFERROR(INDEX(종합!S$3:S$501,MATCH(ROW()-2,종합!$AE$3:$AE$501,0))&amp;"","")</f>
        <v/>
      </c>
      <c r="T401" s="21" t="str">
        <f aca="false">IFERROR(INDEX(종합!T$3:T$501,MATCH(ROW()-2,종합!$AE$3:$AE$501,0))&amp;"","")</f>
        <v/>
      </c>
      <c r="U401" s="21" t="str">
        <f aca="false">IFERROR(INDEX(종합!U$3:U$501,MATCH(ROW()-2,종합!$AE$3:$AE$501,0))&amp;"","")</f>
        <v/>
      </c>
      <c r="V401" s="21" t="str">
        <f aca="false">IFERROR(INDEX(종합!V$3:V$501,MATCH(ROW()-2,종합!$AE$3:$AE$501,0))&amp;"","")</f>
        <v/>
      </c>
      <c r="W401" s="21" t="str">
        <f aca="false">IFERROR(INDEX(종합!W$3:W$501,MATCH(ROW()-2,종합!$AE$3:$AE$501,0))&amp;"","")</f>
        <v/>
      </c>
      <c r="X401" s="21" t="str">
        <f aca="false">IFERROR(INDEX(종합!X$3:X$501,MATCH(ROW()-2,종합!$AE$3:$AE$501,0))&amp;"","")</f>
        <v/>
      </c>
      <c r="Y401" s="21" t="str">
        <f aca="false">IFERROR(INDEX(종합!Y$3:Y$501,MATCH(ROW()-2,종합!$AE$3:$AE$501,0))&amp;"","")</f>
        <v/>
      </c>
      <c r="Z401" s="21" t="str">
        <f aca="false">IFERROR(INDEX(종합!Z$3:Z$501,MATCH(ROW()-2,종합!$AE$3:$AE$501,0))&amp;"","")</f>
        <v/>
      </c>
    </row>
    <row r="402" customFormat="false" ht="16.5" hidden="false" customHeight="true" outlineLevel="0" collapsed="false">
      <c r="A402" s="18" t="str">
        <f aca="false">IF(B402="","",ROW()-2)</f>
        <v/>
      </c>
      <c r="B402" s="18" t="str">
        <f aca="false">IFERROR(INDEX(종합!B$3:B$501,MATCH(ROW()-2,종합!$AE$3:$AE$501,0))&amp;"","")</f>
        <v/>
      </c>
      <c r="C402" s="18" t="str">
        <f aca="false">IFERROR(INDEX(종합!C$3:C$501,MATCH(ROW()-2,종합!$AE$3:$AE$501,0))&amp;"","")</f>
        <v/>
      </c>
      <c r="D402" s="18" t="str">
        <f aca="false">IFERROR(INDEX(종합!D$3:D$501,MATCH(ROW()-2,종합!$AE$3:$AE$501,0))&amp;"","")</f>
        <v/>
      </c>
      <c r="E402" s="18" t="str">
        <f aca="false">IFERROR(INDEX(종합!E$3:E$501,MATCH(ROW()-2,종합!$AE$3:$AE$501,0))&amp;"","")</f>
        <v/>
      </c>
      <c r="F402" s="18" t="str">
        <f aca="false">IFERROR(INDEX(종합!F$3:F$501,MATCH(ROW()-2,종합!$AE$3:$AE$501,0))&amp;"","")</f>
        <v/>
      </c>
      <c r="G402" s="18" t="str">
        <f aca="false">IFERROR(INDEX(종합!G$3:G$501,MATCH(ROW()-2,종합!$AE$3:$AE$501,0))&amp;"","")</f>
        <v/>
      </c>
      <c r="H402" s="21" t="str">
        <f aca="false">IFERROR(INDEX(종합!H$3:H$501,MATCH(ROW()-2,종합!$AE$3:$AE$501,0))&amp;"","")</f>
        <v/>
      </c>
      <c r="I402" s="21" t="str">
        <f aca="false">IFERROR(INDEX(종합!I$3:I$501,MATCH(ROW()-2,종합!$AE$3:$AE$501,0))&amp;"","")</f>
        <v/>
      </c>
      <c r="J402" s="21" t="str">
        <f aca="false">IFERROR(INDEX(종합!J$3:J$501,MATCH(ROW()-2,종합!$AE$3:$AE$501,0))&amp;"","")</f>
        <v/>
      </c>
      <c r="K402" s="21" t="str">
        <f aca="false">IFERROR(INDEX(종합!K$3:K$501,MATCH(ROW()-2,종합!$AE$3:$AE$501,0))&amp;"","")</f>
        <v/>
      </c>
      <c r="L402" s="21" t="str">
        <f aca="false">IFERROR(INDEX(종합!L$3:L$501,MATCH(ROW()-2,종합!$AE$3:$AE$501,0))&amp;"","")</f>
        <v/>
      </c>
      <c r="M402" s="21" t="str">
        <f aca="false">IFERROR(INDEX(종합!M$3:M$501,MATCH(ROW()-2,종합!$AE$3:$AE$501,0))&amp;"","")</f>
        <v/>
      </c>
      <c r="N402" s="25" t="str">
        <f aca="false">IFERROR(INDEX(종합!N$3:N$501,MATCH(ROW()-2,종합!$AE$3:$AE$501,0))&amp;"","")</f>
        <v/>
      </c>
      <c r="O402" s="21" t="str">
        <f aca="false">IFERROR(INDEX(종합!O$3:O$501,MATCH(ROW()-2,종합!$AE$3:$AE$501,0))&amp;"","")</f>
        <v/>
      </c>
      <c r="P402" s="21" t="str">
        <f aca="false">IFERROR(INDEX(종합!P$3:P$501,MATCH(ROW()-2,종합!$AE$3:$AE$501,0))&amp;"","")</f>
        <v/>
      </c>
      <c r="Q402" s="21" t="str">
        <f aca="false">IFERROR(INDEX(종합!Q$3:Q$501,MATCH(ROW()-2,종합!$AE$3:$AE$501,0))&amp;"","")</f>
        <v/>
      </c>
      <c r="R402" s="21" t="str">
        <f aca="false">IFERROR(INDEX(종합!R$3:R$501,MATCH(ROW()-2,종합!$AE$3:$AE$501,0))&amp;"","")</f>
        <v/>
      </c>
      <c r="S402" s="21" t="str">
        <f aca="false">IFERROR(INDEX(종합!S$3:S$501,MATCH(ROW()-2,종합!$AE$3:$AE$501,0))&amp;"","")</f>
        <v/>
      </c>
      <c r="T402" s="21" t="str">
        <f aca="false">IFERROR(INDEX(종합!T$3:T$501,MATCH(ROW()-2,종합!$AE$3:$AE$501,0))&amp;"","")</f>
        <v/>
      </c>
      <c r="U402" s="21" t="str">
        <f aca="false">IFERROR(INDEX(종합!U$3:U$501,MATCH(ROW()-2,종합!$AE$3:$AE$501,0))&amp;"","")</f>
        <v/>
      </c>
      <c r="V402" s="21" t="str">
        <f aca="false">IFERROR(INDEX(종합!V$3:V$501,MATCH(ROW()-2,종합!$AE$3:$AE$501,0))&amp;"","")</f>
        <v/>
      </c>
      <c r="W402" s="21" t="str">
        <f aca="false">IFERROR(INDEX(종합!W$3:W$501,MATCH(ROW()-2,종합!$AE$3:$AE$501,0))&amp;"","")</f>
        <v/>
      </c>
      <c r="X402" s="21" t="str">
        <f aca="false">IFERROR(INDEX(종합!X$3:X$501,MATCH(ROW()-2,종합!$AE$3:$AE$501,0))&amp;"","")</f>
        <v/>
      </c>
      <c r="Y402" s="21" t="str">
        <f aca="false">IFERROR(INDEX(종합!Y$3:Y$501,MATCH(ROW()-2,종합!$AE$3:$AE$501,0))&amp;"","")</f>
        <v/>
      </c>
      <c r="Z402" s="21" t="str">
        <f aca="false">IFERROR(INDEX(종합!Z$3:Z$501,MATCH(ROW()-2,종합!$AE$3:$AE$501,0))&amp;"","")</f>
        <v/>
      </c>
    </row>
    <row r="403" customFormat="false" ht="16.5" hidden="false" customHeight="true" outlineLevel="0" collapsed="false">
      <c r="A403" s="18" t="str">
        <f aca="false">IF(B403="","",ROW()-2)</f>
        <v/>
      </c>
      <c r="B403" s="18" t="str">
        <f aca="false">IFERROR(INDEX(종합!B$3:B$501,MATCH(ROW()-2,종합!$AE$3:$AE$501,0))&amp;"","")</f>
        <v/>
      </c>
      <c r="C403" s="18" t="str">
        <f aca="false">IFERROR(INDEX(종합!C$3:C$501,MATCH(ROW()-2,종합!$AE$3:$AE$501,0))&amp;"","")</f>
        <v/>
      </c>
      <c r="D403" s="18" t="str">
        <f aca="false">IFERROR(INDEX(종합!D$3:D$501,MATCH(ROW()-2,종합!$AE$3:$AE$501,0))&amp;"","")</f>
        <v/>
      </c>
      <c r="E403" s="18" t="str">
        <f aca="false">IFERROR(INDEX(종합!E$3:E$501,MATCH(ROW()-2,종합!$AE$3:$AE$501,0))&amp;"","")</f>
        <v/>
      </c>
      <c r="F403" s="18" t="str">
        <f aca="false">IFERROR(INDEX(종합!F$3:F$501,MATCH(ROW()-2,종합!$AE$3:$AE$501,0))&amp;"","")</f>
        <v/>
      </c>
      <c r="G403" s="18" t="str">
        <f aca="false">IFERROR(INDEX(종합!G$3:G$501,MATCH(ROW()-2,종합!$AE$3:$AE$501,0))&amp;"","")</f>
        <v/>
      </c>
      <c r="H403" s="21" t="str">
        <f aca="false">IFERROR(INDEX(종합!H$3:H$501,MATCH(ROW()-2,종합!$AE$3:$AE$501,0))&amp;"","")</f>
        <v/>
      </c>
      <c r="I403" s="21" t="str">
        <f aca="false">IFERROR(INDEX(종합!I$3:I$501,MATCH(ROW()-2,종합!$AE$3:$AE$501,0))&amp;"","")</f>
        <v/>
      </c>
      <c r="J403" s="21" t="str">
        <f aca="false">IFERROR(INDEX(종합!J$3:J$501,MATCH(ROW()-2,종합!$AE$3:$AE$501,0))&amp;"","")</f>
        <v/>
      </c>
      <c r="K403" s="21" t="str">
        <f aca="false">IFERROR(INDEX(종합!K$3:K$501,MATCH(ROW()-2,종합!$AE$3:$AE$501,0))&amp;"","")</f>
        <v/>
      </c>
      <c r="L403" s="21" t="str">
        <f aca="false">IFERROR(INDEX(종합!L$3:L$501,MATCH(ROW()-2,종합!$AE$3:$AE$501,0))&amp;"","")</f>
        <v/>
      </c>
      <c r="M403" s="21" t="str">
        <f aca="false">IFERROR(INDEX(종합!M$3:M$501,MATCH(ROW()-2,종합!$AE$3:$AE$501,0))&amp;"","")</f>
        <v/>
      </c>
      <c r="N403" s="25" t="str">
        <f aca="false">IFERROR(INDEX(종합!N$3:N$501,MATCH(ROW()-2,종합!$AE$3:$AE$501,0))&amp;"","")</f>
        <v/>
      </c>
      <c r="O403" s="21" t="str">
        <f aca="false">IFERROR(INDEX(종합!O$3:O$501,MATCH(ROW()-2,종합!$AE$3:$AE$501,0))&amp;"","")</f>
        <v/>
      </c>
      <c r="P403" s="21" t="str">
        <f aca="false">IFERROR(INDEX(종합!P$3:P$501,MATCH(ROW()-2,종합!$AE$3:$AE$501,0))&amp;"","")</f>
        <v/>
      </c>
      <c r="Q403" s="21" t="str">
        <f aca="false">IFERROR(INDEX(종합!Q$3:Q$501,MATCH(ROW()-2,종합!$AE$3:$AE$501,0))&amp;"","")</f>
        <v/>
      </c>
      <c r="R403" s="21" t="str">
        <f aca="false">IFERROR(INDEX(종합!R$3:R$501,MATCH(ROW()-2,종합!$AE$3:$AE$501,0))&amp;"","")</f>
        <v/>
      </c>
      <c r="S403" s="21" t="str">
        <f aca="false">IFERROR(INDEX(종합!S$3:S$501,MATCH(ROW()-2,종합!$AE$3:$AE$501,0))&amp;"","")</f>
        <v/>
      </c>
      <c r="T403" s="21" t="str">
        <f aca="false">IFERROR(INDEX(종합!T$3:T$501,MATCH(ROW()-2,종합!$AE$3:$AE$501,0))&amp;"","")</f>
        <v/>
      </c>
      <c r="U403" s="21" t="str">
        <f aca="false">IFERROR(INDEX(종합!U$3:U$501,MATCH(ROW()-2,종합!$AE$3:$AE$501,0))&amp;"","")</f>
        <v/>
      </c>
      <c r="V403" s="21" t="str">
        <f aca="false">IFERROR(INDEX(종합!V$3:V$501,MATCH(ROW()-2,종합!$AE$3:$AE$501,0))&amp;"","")</f>
        <v/>
      </c>
      <c r="W403" s="21" t="str">
        <f aca="false">IFERROR(INDEX(종합!W$3:W$501,MATCH(ROW()-2,종합!$AE$3:$AE$501,0))&amp;"","")</f>
        <v/>
      </c>
      <c r="X403" s="21" t="str">
        <f aca="false">IFERROR(INDEX(종합!X$3:X$501,MATCH(ROW()-2,종합!$AE$3:$AE$501,0))&amp;"","")</f>
        <v/>
      </c>
      <c r="Y403" s="21" t="str">
        <f aca="false">IFERROR(INDEX(종합!Y$3:Y$501,MATCH(ROW()-2,종합!$AE$3:$AE$501,0))&amp;"","")</f>
        <v/>
      </c>
      <c r="Z403" s="21" t="str">
        <f aca="false">IFERROR(INDEX(종합!Z$3:Z$501,MATCH(ROW()-2,종합!$AE$3:$AE$501,0))&amp;"","")</f>
        <v/>
      </c>
    </row>
    <row r="404" customFormat="false" ht="16.5" hidden="false" customHeight="true" outlineLevel="0" collapsed="false">
      <c r="A404" s="18" t="str">
        <f aca="false">IF(B404="","",ROW()-2)</f>
        <v/>
      </c>
      <c r="B404" s="18" t="str">
        <f aca="false">IFERROR(INDEX(종합!B$3:B$501,MATCH(ROW()-2,종합!$AE$3:$AE$501,0))&amp;"","")</f>
        <v/>
      </c>
      <c r="C404" s="18" t="str">
        <f aca="false">IFERROR(INDEX(종합!C$3:C$501,MATCH(ROW()-2,종합!$AE$3:$AE$501,0))&amp;"","")</f>
        <v/>
      </c>
      <c r="D404" s="18" t="str">
        <f aca="false">IFERROR(INDEX(종합!D$3:D$501,MATCH(ROW()-2,종합!$AE$3:$AE$501,0))&amp;"","")</f>
        <v/>
      </c>
      <c r="E404" s="18" t="str">
        <f aca="false">IFERROR(INDEX(종합!E$3:E$501,MATCH(ROW()-2,종합!$AE$3:$AE$501,0))&amp;"","")</f>
        <v/>
      </c>
      <c r="F404" s="18" t="str">
        <f aca="false">IFERROR(INDEX(종합!F$3:F$501,MATCH(ROW()-2,종합!$AE$3:$AE$501,0))&amp;"","")</f>
        <v/>
      </c>
      <c r="G404" s="18" t="str">
        <f aca="false">IFERROR(INDEX(종합!G$3:G$501,MATCH(ROW()-2,종합!$AE$3:$AE$501,0))&amp;"","")</f>
        <v/>
      </c>
      <c r="H404" s="21" t="str">
        <f aca="false">IFERROR(INDEX(종합!H$3:H$501,MATCH(ROW()-2,종합!$AE$3:$AE$501,0))&amp;"","")</f>
        <v/>
      </c>
      <c r="I404" s="21" t="str">
        <f aca="false">IFERROR(INDEX(종합!I$3:I$501,MATCH(ROW()-2,종합!$AE$3:$AE$501,0))&amp;"","")</f>
        <v/>
      </c>
      <c r="J404" s="21" t="str">
        <f aca="false">IFERROR(INDEX(종합!J$3:J$501,MATCH(ROW()-2,종합!$AE$3:$AE$501,0))&amp;"","")</f>
        <v/>
      </c>
      <c r="K404" s="21" t="str">
        <f aca="false">IFERROR(INDEX(종합!K$3:K$501,MATCH(ROW()-2,종합!$AE$3:$AE$501,0))&amp;"","")</f>
        <v/>
      </c>
      <c r="L404" s="21" t="str">
        <f aca="false">IFERROR(INDEX(종합!L$3:L$501,MATCH(ROW()-2,종합!$AE$3:$AE$501,0))&amp;"","")</f>
        <v/>
      </c>
      <c r="M404" s="21" t="str">
        <f aca="false">IFERROR(INDEX(종합!M$3:M$501,MATCH(ROW()-2,종합!$AE$3:$AE$501,0))&amp;"","")</f>
        <v/>
      </c>
      <c r="N404" s="25" t="str">
        <f aca="false">IFERROR(INDEX(종합!N$3:N$501,MATCH(ROW()-2,종합!$AE$3:$AE$501,0))&amp;"","")</f>
        <v/>
      </c>
      <c r="O404" s="21" t="str">
        <f aca="false">IFERROR(INDEX(종합!O$3:O$501,MATCH(ROW()-2,종합!$AE$3:$AE$501,0))&amp;"","")</f>
        <v/>
      </c>
      <c r="P404" s="21" t="str">
        <f aca="false">IFERROR(INDEX(종합!P$3:P$501,MATCH(ROW()-2,종합!$AE$3:$AE$501,0))&amp;"","")</f>
        <v/>
      </c>
      <c r="Q404" s="21" t="str">
        <f aca="false">IFERROR(INDEX(종합!Q$3:Q$501,MATCH(ROW()-2,종합!$AE$3:$AE$501,0))&amp;"","")</f>
        <v/>
      </c>
      <c r="R404" s="21" t="str">
        <f aca="false">IFERROR(INDEX(종합!R$3:R$501,MATCH(ROW()-2,종합!$AE$3:$AE$501,0))&amp;"","")</f>
        <v/>
      </c>
      <c r="S404" s="21" t="str">
        <f aca="false">IFERROR(INDEX(종합!S$3:S$501,MATCH(ROW()-2,종합!$AE$3:$AE$501,0))&amp;"","")</f>
        <v/>
      </c>
      <c r="T404" s="21" t="str">
        <f aca="false">IFERROR(INDEX(종합!T$3:T$501,MATCH(ROW()-2,종합!$AE$3:$AE$501,0))&amp;"","")</f>
        <v/>
      </c>
      <c r="U404" s="21" t="str">
        <f aca="false">IFERROR(INDEX(종합!U$3:U$501,MATCH(ROW()-2,종합!$AE$3:$AE$501,0))&amp;"","")</f>
        <v/>
      </c>
      <c r="V404" s="21" t="str">
        <f aca="false">IFERROR(INDEX(종합!V$3:V$501,MATCH(ROW()-2,종합!$AE$3:$AE$501,0))&amp;"","")</f>
        <v/>
      </c>
      <c r="W404" s="21" t="str">
        <f aca="false">IFERROR(INDEX(종합!W$3:W$501,MATCH(ROW()-2,종합!$AE$3:$AE$501,0))&amp;"","")</f>
        <v/>
      </c>
      <c r="X404" s="21" t="str">
        <f aca="false">IFERROR(INDEX(종합!X$3:X$501,MATCH(ROW()-2,종합!$AE$3:$AE$501,0))&amp;"","")</f>
        <v/>
      </c>
      <c r="Y404" s="21" t="str">
        <f aca="false">IFERROR(INDEX(종합!Y$3:Y$501,MATCH(ROW()-2,종합!$AE$3:$AE$501,0))&amp;"","")</f>
        <v/>
      </c>
      <c r="Z404" s="21" t="str">
        <f aca="false">IFERROR(INDEX(종합!Z$3:Z$501,MATCH(ROW()-2,종합!$AE$3:$AE$501,0))&amp;"","")</f>
        <v/>
      </c>
    </row>
    <row r="405" customFormat="false" ht="16.5" hidden="false" customHeight="true" outlineLevel="0" collapsed="false">
      <c r="A405" s="18" t="str">
        <f aca="false">IF(B405="","",ROW()-2)</f>
        <v/>
      </c>
      <c r="B405" s="18" t="str">
        <f aca="false">IFERROR(INDEX(종합!B$3:B$501,MATCH(ROW()-2,종합!$AE$3:$AE$501,0))&amp;"","")</f>
        <v/>
      </c>
      <c r="C405" s="18" t="str">
        <f aca="false">IFERROR(INDEX(종합!C$3:C$501,MATCH(ROW()-2,종합!$AE$3:$AE$501,0))&amp;"","")</f>
        <v/>
      </c>
      <c r="D405" s="18" t="str">
        <f aca="false">IFERROR(INDEX(종합!D$3:D$501,MATCH(ROW()-2,종합!$AE$3:$AE$501,0))&amp;"","")</f>
        <v/>
      </c>
      <c r="E405" s="18" t="str">
        <f aca="false">IFERROR(INDEX(종합!E$3:E$501,MATCH(ROW()-2,종합!$AE$3:$AE$501,0))&amp;"","")</f>
        <v/>
      </c>
      <c r="F405" s="18" t="str">
        <f aca="false">IFERROR(INDEX(종합!F$3:F$501,MATCH(ROW()-2,종합!$AE$3:$AE$501,0))&amp;"","")</f>
        <v/>
      </c>
      <c r="G405" s="18" t="str">
        <f aca="false">IFERROR(INDEX(종합!G$3:G$501,MATCH(ROW()-2,종합!$AE$3:$AE$501,0))&amp;"","")</f>
        <v/>
      </c>
      <c r="H405" s="21" t="str">
        <f aca="false">IFERROR(INDEX(종합!H$3:H$501,MATCH(ROW()-2,종합!$AE$3:$AE$501,0))&amp;"","")</f>
        <v/>
      </c>
      <c r="I405" s="21" t="str">
        <f aca="false">IFERROR(INDEX(종합!I$3:I$501,MATCH(ROW()-2,종합!$AE$3:$AE$501,0))&amp;"","")</f>
        <v/>
      </c>
      <c r="J405" s="21" t="str">
        <f aca="false">IFERROR(INDEX(종합!J$3:J$501,MATCH(ROW()-2,종합!$AE$3:$AE$501,0))&amp;"","")</f>
        <v/>
      </c>
      <c r="K405" s="21" t="str">
        <f aca="false">IFERROR(INDEX(종합!K$3:K$501,MATCH(ROW()-2,종합!$AE$3:$AE$501,0))&amp;"","")</f>
        <v/>
      </c>
      <c r="L405" s="21" t="str">
        <f aca="false">IFERROR(INDEX(종합!L$3:L$501,MATCH(ROW()-2,종합!$AE$3:$AE$501,0))&amp;"","")</f>
        <v/>
      </c>
      <c r="M405" s="21" t="str">
        <f aca="false">IFERROR(INDEX(종합!M$3:M$501,MATCH(ROW()-2,종합!$AE$3:$AE$501,0))&amp;"","")</f>
        <v/>
      </c>
      <c r="N405" s="25" t="str">
        <f aca="false">IFERROR(INDEX(종합!N$3:N$501,MATCH(ROW()-2,종합!$AE$3:$AE$501,0))&amp;"","")</f>
        <v/>
      </c>
      <c r="O405" s="21" t="str">
        <f aca="false">IFERROR(INDEX(종합!O$3:O$501,MATCH(ROW()-2,종합!$AE$3:$AE$501,0))&amp;"","")</f>
        <v/>
      </c>
      <c r="P405" s="21" t="str">
        <f aca="false">IFERROR(INDEX(종합!P$3:P$501,MATCH(ROW()-2,종합!$AE$3:$AE$501,0))&amp;"","")</f>
        <v/>
      </c>
      <c r="Q405" s="21" t="str">
        <f aca="false">IFERROR(INDEX(종합!Q$3:Q$501,MATCH(ROW()-2,종합!$AE$3:$AE$501,0))&amp;"","")</f>
        <v/>
      </c>
      <c r="R405" s="21" t="str">
        <f aca="false">IFERROR(INDEX(종합!R$3:R$501,MATCH(ROW()-2,종합!$AE$3:$AE$501,0))&amp;"","")</f>
        <v/>
      </c>
      <c r="S405" s="21" t="str">
        <f aca="false">IFERROR(INDEX(종합!S$3:S$501,MATCH(ROW()-2,종합!$AE$3:$AE$501,0))&amp;"","")</f>
        <v/>
      </c>
      <c r="T405" s="21" t="str">
        <f aca="false">IFERROR(INDEX(종합!T$3:T$501,MATCH(ROW()-2,종합!$AE$3:$AE$501,0))&amp;"","")</f>
        <v/>
      </c>
      <c r="U405" s="21" t="str">
        <f aca="false">IFERROR(INDEX(종합!U$3:U$501,MATCH(ROW()-2,종합!$AE$3:$AE$501,0))&amp;"","")</f>
        <v/>
      </c>
      <c r="V405" s="21" t="str">
        <f aca="false">IFERROR(INDEX(종합!V$3:V$501,MATCH(ROW()-2,종합!$AE$3:$AE$501,0))&amp;"","")</f>
        <v/>
      </c>
      <c r="W405" s="21" t="str">
        <f aca="false">IFERROR(INDEX(종합!W$3:W$501,MATCH(ROW()-2,종합!$AE$3:$AE$501,0))&amp;"","")</f>
        <v/>
      </c>
      <c r="X405" s="21" t="str">
        <f aca="false">IFERROR(INDEX(종합!X$3:X$501,MATCH(ROW()-2,종합!$AE$3:$AE$501,0))&amp;"","")</f>
        <v/>
      </c>
      <c r="Y405" s="21" t="str">
        <f aca="false">IFERROR(INDEX(종합!Y$3:Y$501,MATCH(ROW()-2,종합!$AE$3:$AE$501,0))&amp;"","")</f>
        <v/>
      </c>
      <c r="Z405" s="21" t="str">
        <f aca="false">IFERROR(INDEX(종합!Z$3:Z$501,MATCH(ROW()-2,종합!$AE$3:$AE$501,0))&amp;"","")</f>
        <v/>
      </c>
    </row>
    <row r="406" customFormat="false" ht="16.5" hidden="false" customHeight="true" outlineLevel="0" collapsed="false">
      <c r="A406" s="18" t="str">
        <f aca="false">IF(B406="","",ROW()-2)</f>
        <v/>
      </c>
      <c r="B406" s="18" t="str">
        <f aca="false">IFERROR(INDEX(종합!B$3:B$501,MATCH(ROW()-2,종합!$AE$3:$AE$501,0))&amp;"","")</f>
        <v/>
      </c>
      <c r="C406" s="18" t="str">
        <f aca="false">IFERROR(INDEX(종합!C$3:C$501,MATCH(ROW()-2,종합!$AE$3:$AE$501,0))&amp;"","")</f>
        <v/>
      </c>
      <c r="D406" s="18" t="str">
        <f aca="false">IFERROR(INDEX(종합!D$3:D$501,MATCH(ROW()-2,종합!$AE$3:$AE$501,0))&amp;"","")</f>
        <v/>
      </c>
      <c r="E406" s="18" t="str">
        <f aca="false">IFERROR(INDEX(종합!E$3:E$501,MATCH(ROW()-2,종합!$AE$3:$AE$501,0))&amp;"","")</f>
        <v/>
      </c>
      <c r="F406" s="18" t="str">
        <f aca="false">IFERROR(INDEX(종합!F$3:F$501,MATCH(ROW()-2,종합!$AE$3:$AE$501,0))&amp;"","")</f>
        <v/>
      </c>
      <c r="G406" s="18" t="str">
        <f aca="false">IFERROR(INDEX(종합!G$3:G$501,MATCH(ROW()-2,종합!$AE$3:$AE$501,0))&amp;"","")</f>
        <v/>
      </c>
      <c r="H406" s="21" t="str">
        <f aca="false">IFERROR(INDEX(종합!H$3:H$501,MATCH(ROW()-2,종합!$AE$3:$AE$501,0))&amp;"","")</f>
        <v/>
      </c>
      <c r="I406" s="21" t="str">
        <f aca="false">IFERROR(INDEX(종합!I$3:I$501,MATCH(ROW()-2,종합!$AE$3:$AE$501,0))&amp;"","")</f>
        <v/>
      </c>
      <c r="J406" s="21" t="str">
        <f aca="false">IFERROR(INDEX(종합!J$3:J$501,MATCH(ROW()-2,종합!$AE$3:$AE$501,0))&amp;"","")</f>
        <v/>
      </c>
      <c r="K406" s="21" t="str">
        <f aca="false">IFERROR(INDEX(종합!K$3:K$501,MATCH(ROW()-2,종합!$AE$3:$AE$501,0))&amp;"","")</f>
        <v/>
      </c>
      <c r="L406" s="21" t="str">
        <f aca="false">IFERROR(INDEX(종합!L$3:L$501,MATCH(ROW()-2,종합!$AE$3:$AE$501,0))&amp;"","")</f>
        <v/>
      </c>
      <c r="M406" s="21" t="str">
        <f aca="false">IFERROR(INDEX(종합!M$3:M$501,MATCH(ROW()-2,종합!$AE$3:$AE$501,0))&amp;"","")</f>
        <v/>
      </c>
      <c r="N406" s="25" t="str">
        <f aca="false">IFERROR(INDEX(종합!N$3:N$501,MATCH(ROW()-2,종합!$AE$3:$AE$501,0))&amp;"","")</f>
        <v/>
      </c>
      <c r="O406" s="21" t="str">
        <f aca="false">IFERROR(INDEX(종합!O$3:O$501,MATCH(ROW()-2,종합!$AE$3:$AE$501,0))&amp;"","")</f>
        <v/>
      </c>
      <c r="P406" s="21" t="str">
        <f aca="false">IFERROR(INDEX(종합!P$3:P$501,MATCH(ROW()-2,종합!$AE$3:$AE$501,0))&amp;"","")</f>
        <v/>
      </c>
      <c r="Q406" s="21" t="str">
        <f aca="false">IFERROR(INDEX(종합!Q$3:Q$501,MATCH(ROW()-2,종합!$AE$3:$AE$501,0))&amp;"","")</f>
        <v/>
      </c>
      <c r="R406" s="21" t="str">
        <f aca="false">IFERROR(INDEX(종합!R$3:R$501,MATCH(ROW()-2,종합!$AE$3:$AE$501,0))&amp;"","")</f>
        <v/>
      </c>
      <c r="S406" s="21" t="str">
        <f aca="false">IFERROR(INDEX(종합!S$3:S$501,MATCH(ROW()-2,종합!$AE$3:$AE$501,0))&amp;"","")</f>
        <v/>
      </c>
      <c r="T406" s="21" t="str">
        <f aca="false">IFERROR(INDEX(종합!T$3:T$501,MATCH(ROW()-2,종합!$AE$3:$AE$501,0))&amp;"","")</f>
        <v/>
      </c>
      <c r="U406" s="21" t="str">
        <f aca="false">IFERROR(INDEX(종합!U$3:U$501,MATCH(ROW()-2,종합!$AE$3:$AE$501,0))&amp;"","")</f>
        <v/>
      </c>
      <c r="V406" s="21" t="str">
        <f aca="false">IFERROR(INDEX(종합!V$3:V$501,MATCH(ROW()-2,종합!$AE$3:$AE$501,0))&amp;"","")</f>
        <v/>
      </c>
      <c r="W406" s="21" t="str">
        <f aca="false">IFERROR(INDEX(종합!W$3:W$501,MATCH(ROW()-2,종합!$AE$3:$AE$501,0))&amp;"","")</f>
        <v/>
      </c>
      <c r="X406" s="21" t="str">
        <f aca="false">IFERROR(INDEX(종합!X$3:X$501,MATCH(ROW()-2,종합!$AE$3:$AE$501,0))&amp;"","")</f>
        <v/>
      </c>
      <c r="Y406" s="21" t="str">
        <f aca="false">IFERROR(INDEX(종합!Y$3:Y$501,MATCH(ROW()-2,종합!$AE$3:$AE$501,0))&amp;"","")</f>
        <v/>
      </c>
      <c r="Z406" s="21" t="str">
        <f aca="false">IFERROR(INDEX(종합!Z$3:Z$501,MATCH(ROW()-2,종합!$AE$3:$AE$501,0))&amp;"","")</f>
        <v/>
      </c>
    </row>
    <row r="407" customFormat="false" ht="16.5" hidden="false" customHeight="true" outlineLevel="0" collapsed="false">
      <c r="A407" s="18" t="str">
        <f aca="false">IF(B407="","",ROW()-2)</f>
        <v/>
      </c>
      <c r="B407" s="18" t="str">
        <f aca="false">IFERROR(INDEX(종합!B$3:B$501,MATCH(ROW()-2,종합!$AE$3:$AE$501,0))&amp;"","")</f>
        <v/>
      </c>
      <c r="C407" s="18" t="str">
        <f aca="false">IFERROR(INDEX(종합!C$3:C$501,MATCH(ROW()-2,종합!$AE$3:$AE$501,0))&amp;"","")</f>
        <v/>
      </c>
      <c r="D407" s="18" t="str">
        <f aca="false">IFERROR(INDEX(종합!D$3:D$501,MATCH(ROW()-2,종합!$AE$3:$AE$501,0))&amp;"","")</f>
        <v/>
      </c>
      <c r="E407" s="18" t="str">
        <f aca="false">IFERROR(INDEX(종합!E$3:E$501,MATCH(ROW()-2,종합!$AE$3:$AE$501,0))&amp;"","")</f>
        <v/>
      </c>
      <c r="F407" s="18" t="str">
        <f aca="false">IFERROR(INDEX(종합!F$3:F$501,MATCH(ROW()-2,종합!$AE$3:$AE$501,0))&amp;"","")</f>
        <v/>
      </c>
      <c r="G407" s="18" t="str">
        <f aca="false">IFERROR(INDEX(종합!G$3:G$501,MATCH(ROW()-2,종합!$AE$3:$AE$501,0))&amp;"","")</f>
        <v/>
      </c>
      <c r="H407" s="21" t="str">
        <f aca="false">IFERROR(INDEX(종합!H$3:H$501,MATCH(ROW()-2,종합!$AE$3:$AE$501,0))&amp;"","")</f>
        <v/>
      </c>
      <c r="I407" s="21" t="str">
        <f aca="false">IFERROR(INDEX(종합!I$3:I$501,MATCH(ROW()-2,종합!$AE$3:$AE$501,0))&amp;"","")</f>
        <v/>
      </c>
      <c r="J407" s="21" t="str">
        <f aca="false">IFERROR(INDEX(종합!J$3:J$501,MATCH(ROW()-2,종합!$AE$3:$AE$501,0))&amp;"","")</f>
        <v/>
      </c>
      <c r="K407" s="21" t="str">
        <f aca="false">IFERROR(INDEX(종합!K$3:K$501,MATCH(ROW()-2,종합!$AE$3:$AE$501,0))&amp;"","")</f>
        <v/>
      </c>
      <c r="L407" s="21" t="str">
        <f aca="false">IFERROR(INDEX(종합!L$3:L$501,MATCH(ROW()-2,종합!$AE$3:$AE$501,0))&amp;"","")</f>
        <v/>
      </c>
      <c r="M407" s="21" t="str">
        <f aca="false">IFERROR(INDEX(종합!M$3:M$501,MATCH(ROW()-2,종합!$AE$3:$AE$501,0))&amp;"","")</f>
        <v/>
      </c>
      <c r="N407" s="25" t="str">
        <f aca="false">IFERROR(INDEX(종합!N$3:N$501,MATCH(ROW()-2,종합!$AE$3:$AE$501,0))&amp;"","")</f>
        <v/>
      </c>
      <c r="O407" s="21" t="str">
        <f aca="false">IFERROR(INDEX(종합!O$3:O$501,MATCH(ROW()-2,종합!$AE$3:$AE$501,0))&amp;"","")</f>
        <v/>
      </c>
      <c r="P407" s="21" t="str">
        <f aca="false">IFERROR(INDEX(종합!P$3:P$501,MATCH(ROW()-2,종합!$AE$3:$AE$501,0))&amp;"","")</f>
        <v/>
      </c>
      <c r="Q407" s="21" t="str">
        <f aca="false">IFERROR(INDEX(종합!Q$3:Q$501,MATCH(ROW()-2,종합!$AE$3:$AE$501,0))&amp;"","")</f>
        <v/>
      </c>
      <c r="R407" s="21" t="str">
        <f aca="false">IFERROR(INDEX(종합!R$3:R$501,MATCH(ROW()-2,종합!$AE$3:$AE$501,0))&amp;"","")</f>
        <v/>
      </c>
      <c r="S407" s="21" t="str">
        <f aca="false">IFERROR(INDEX(종합!S$3:S$501,MATCH(ROW()-2,종합!$AE$3:$AE$501,0))&amp;"","")</f>
        <v/>
      </c>
      <c r="T407" s="21" t="str">
        <f aca="false">IFERROR(INDEX(종합!T$3:T$501,MATCH(ROW()-2,종합!$AE$3:$AE$501,0))&amp;"","")</f>
        <v/>
      </c>
      <c r="U407" s="21" t="str">
        <f aca="false">IFERROR(INDEX(종합!U$3:U$501,MATCH(ROW()-2,종합!$AE$3:$AE$501,0))&amp;"","")</f>
        <v/>
      </c>
      <c r="V407" s="21" t="str">
        <f aca="false">IFERROR(INDEX(종합!V$3:V$501,MATCH(ROW()-2,종합!$AE$3:$AE$501,0))&amp;"","")</f>
        <v/>
      </c>
      <c r="W407" s="21" t="str">
        <f aca="false">IFERROR(INDEX(종합!W$3:W$501,MATCH(ROW()-2,종합!$AE$3:$AE$501,0))&amp;"","")</f>
        <v/>
      </c>
      <c r="X407" s="21" t="str">
        <f aca="false">IFERROR(INDEX(종합!X$3:X$501,MATCH(ROW()-2,종합!$AE$3:$AE$501,0))&amp;"","")</f>
        <v/>
      </c>
      <c r="Y407" s="21" t="str">
        <f aca="false">IFERROR(INDEX(종합!Y$3:Y$501,MATCH(ROW()-2,종합!$AE$3:$AE$501,0))&amp;"","")</f>
        <v/>
      </c>
      <c r="Z407" s="21" t="str">
        <f aca="false">IFERROR(INDEX(종합!Z$3:Z$501,MATCH(ROW()-2,종합!$AE$3:$AE$501,0))&amp;"","")</f>
        <v/>
      </c>
    </row>
    <row r="408" customFormat="false" ht="16.5" hidden="false" customHeight="true" outlineLevel="0" collapsed="false">
      <c r="A408" s="18" t="str">
        <f aca="false">IF(B408="","",ROW()-2)</f>
        <v/>
      </c>
      <c r="B408" s="18" t="str">
        <f aca="false">IFERROR(INDEX(종합!B$3:B$501,MATCH(ROW()-2,종합!$AE$3:$AE$501,0))&amp;"","")</f>
        <v/>
      </c>
      <c r="C408" s="18" t="str">
        <f aca="false">IFERROR(INDEX(종합!C$3:C$501,MATCH(ROW()-2,종합!$AE$3:$AE$501,0))&amp;"","")</f>
        <v/>
      </c>
      <c r="D408" s="18" t="str">
        <f aca="false">IFERROR(INDEX(종합!D$3:D$501,MATCH(ROW()-2,종합!$AE$3:$AE$501,0))&amp;"","")</f>
        <v/>
      </c>
      <c r="E408" s="18" t="str">
        <f aca="false">IFERROR(INDEX(종합!E$3:E$501,MATCH(ROW()-2,종합!$AE$3:$AE$501,0))&amp;"","")</f>
        <v/>
      </c>
      <c r="F408" s="18" t="str">
        <f aca="false">IFERROR(INDEX(종합!F$3:F$501,MATCH(ROW()-2,종합!$AE$3:$AE$501,0))&amp;"","")</f>
        <v/>
      </c>
      <c r="G408" s="18" t="str">
        <f aca="false">IFERROR(INDEX(종합!G$3:G$501,MATCH(ROW()-2,종합!$AE$3:$AE$501,0))&amp;"","")</f>
        <v/>
      </c>
      <c r="H408" s="21" t="str">
        <f aca="false">IFERROR(INDEX(종합!H$3:H$501,MATCH(ROW()-2,종합!$AE$3:$AE$501,0))&amp;"","")</f>
        <v/>
      </c>
      <c r="I408" s="21" t="str">
        <f aca="false">IFERROR(INDEX(종합!I$3:I$501,MATCH(ROW()-2,종합!$AE$3:$AE$501,0))&amp;"","")</f>
        <v/>
      </c>
      <c r="J408" s="21" t="str">
        <f aca="false">IFERROR(INDEX(종합!J$3:J$501,MATCH(ROW()-2,종합!$AE$3:$AE$501,0))&amp;"","")</f>
        <v/>
      </c>
      <c r="K408" s="21" t="str">
        <f aca="false">IFERROR(INDEX(종합!K$3:K$501,MATCH(ROW()-2,종합!$AE$3:$AE$501,0))&amp;"","")</f>
        <v/>
      </c>
      <c r="L408" s="21" t="str">
        <f aca="false">IFERROR(INDEX(종합!L$3:L$501,MATCH(ROW()-2,종합!$AE$3:$AE$501,0))&amp;"","")</f>
        <v/>
      </c>
      <c r="M408" s="21" t="str">
        <f aca="false">IFERROR(INDEX(종합!M$3:M$501,MATCH(ROW()-2,종합!$AE$3:$AE$501,0))&amp;"","")</f>
        <v/>
      </c>
      <c r="N408" s="25" t="str">
        <f aca="false">IFERROR(INDEX(종합!N$3:N$501,MATCH(ROW()-2,종합!$AE$3:$AE$501,0))&amp;"","")</f>
        <v/>
      </c>
      <c r="O408" s="21" t="str">
        <f aca="false">IFERROR(INDEX(종합!O$3:O$501,MATCH(ROW()-2,종합!$AE$3:$AE$501,0))&amp;"","")</f>
        <v/>
      </c>
      <c r="P408" s="21" t="str">
        <f aca="false">IFERROR(INDEX(종합!P$3:P$501,MATCH(ROW()-2,종합!$AE$3:$AE$501,0))&amp;"","")</f>
        <v/>
      </c>
      <c r="Q408" s="21" t="str">
        <f aca="false">IFERROR(INDEX(종합!Q$3:Q$501,MATCH(ROW()-2,종합!$AE$3:$AE$501,0))&amp;"","")</f>
        <v/>
      </c>
      <c r="R408" s="21" t="str">
        <f aca="false">IFERROR(INDEX(종합!R$3:R$501,MATCH(ROW()-2,종합!$AE$3:$AE$501,0))&amp;"","")</f>
        <v/>
      </c>
      <c r="S408" s="21" t="str">
        <f aca="false">IFERROR(INDEX(종합!S$3:S$501,MATCH(ROW()-2,종합!$AE$3:$AE$501,0))&amp;"","")</f>
        <v/>
      </c>
      <c r="T408" s="21" t="str">
        <f aca="false">IFERROR(INDEX(종합!T$3:T$501,MATCH(ROW()-2,종합!$AE$3:$AE$501,0))&amp;"","")</f>
        <v/>
      </c>
      <c r="U408" s="21" t="str">
        <f aca="false">IFERROR(INDEX(종합!U$3:U$501,MATCH(ROW()-2,종합!$AE$3:$AE$501,0))&amp;"","")</f>
        <v/>
      </c>
      <c r="V408" s="21" t="str">
        <f aca="false">IFERROR(INDEX(종합!V$3:V$501,MATCH(ROW()-2,종합!$AE$3:$AE$501,0))&amp;"","")</f>
        <v/>
      </c>
      <c r="W408" s="21" t="str">
        <f aca="false">IFERROR(INDEX(종합!W$3:W$501,MATCH(ROW()-2,종합!$AE$3:$AE$501,0))&amp;"","")</f>
        <v/>
      </c>
      <c r="X408" s="21" t="str">
        <f aca="false">IFERROR(INDEX(종합!X$3:X$501,MATCH(ROW()-2,종합!$AE$3:$AE$501,0))&amp;"","")</f>
        <v/>
      </c>
      <c r="Y408" s="21" t="str">
        <f aca="false">IFERROR(INDEX(종합!Y$3:Y$501,MATCH(ROW()-2,종합!$AE$3:$AE$501,0))&amp;"","")</f>
        <v/>
      </c>
      <c r="Z408" s="21" t="str">
        <f aca="false">IFERROR(INDEX(종합!Z$3:Z$501,MATCH(ROW()-2,종합!$AE$3:$AE$501,0))&amp;"","")</f>
        <v/>
      </c>
    </row>
    <row r="409" customFormat="false" ht="16.5" hidden="false" customHeight="true" outlineLevel="0" collapsed="false">
      <c r="A409" s="18" t="str">
        <f aca="false">IF(B409="","",ROW()-2)</f>
        <v/>
      </c>
      <c r="B409" s="18" t="str">
        <f aca="false">IFERROR(INDEX(종합!B$3:B$501,MATCH(ROW()-2,종합!$AE$3:$AE$501,0))&amp;"","")</f>
        <v/>
      </c>
      <c r="C409" s="18" t="str">
        <f aca="false">IFERROR(INDEX(종합!C$3:C$501,MATCH(ROW()-2,종합!$AE$3:$AE$501,0))&amp;"","")</f>
        <v/>
      </c>
      <c r="D409" s="18" t="str">
        <f aca="false">IFERROR(INDEX(종합!D$3:D$501,MATCH(ROW()-2,종합!$AE$3:$AE$501,0))&amp;"","")</f>
        <v/>
      </c>
      <c r="E409" s="18" t="str">
        <f aca="false">IFERROR(INDEX(종합!E$3:E$501,MATCH(ROW()-2,종합!$AE$3:$AE$501,0))&amp;"","")</f>
        <v/>
      </c>
      <c r="F409" s="18" t="str">
        <f aca="false">IFERROR(INDEX(종합!F$3:F$501,MATCH(ROW()-2,종합!$AE$3:$AE$501,0))&amp;"","")</f>
        <v/>
      </c>
      <c r="G409" s="18" t="str">
        <f aca="false">IFERROR(INDEX(종합!G$3:G$501,MATCH(ROW()-2,종합!$AE$3:$AE$501,0))&amp;"","")</f>
        <v/>
      </c>
      <c r="H409" s="21" t="str">
        <f aca="false">IFERROR(INDEX(종합!H$3:H$501,MATCH(ROW()-2,종합!$AE$3:$AE$501,0))&amp;"","")</f>
        <v/>
      </c>
      <c r="I409" s="21" t="str">
        <f aca="false">IFERROR(INDEX(종합!I$3:I$501,MATCH(ROW()-2,종합!$AE$3:$AE$501,0))&amp;"","")</f>
        <v/>
      </c>
      <c r="J409" s="21" t="str">
        <f aca="false">IFERROR(INDEX(종합!J$3:J$501,MATCH(ROW()-2,종합!$AE$3:$AE$501,0))&amp;"","")</f>
        <v/>
      </c>
      <c r="K409" s="21" t="str">
        <f aca="false">IFERROR(INDEX(종합!K$3:K$501,MATCH(ROW()-2,종합!$AE$3:$AE$501,0))&amp;"","")</f>
        <v/>
      </c>
      <c r="L409" s="21" t="str">
        <f aca="false">IFERROR(INDEX(종합!L$3:L$501,MATCH(ROW()-2,종합!$AE$3:$AE$501,0))&amp;"","")</f>
        <v/>
      </c>
      <c r="M409" s="21" t="str">
        <f aca="false">IFERROR(INDEX(종합!M$3:M$501,MATCH(ROW()-2,종합!$AE$3:$AE$501,0))&amp;"","")</f>
        <v/>
      </c>
      <c r="N409" s="25" t="str">
        <f aca="false">IFERROR(INDEX(종합!N$3:N$501,MATCH(ROW()-2,종합!$AE$3:$AE$501,0))&amp;"","")</f>
        <v/>
      </c>
      <c r="O409" s="21" t="str">
        <f aca="false">IFERROR(INDEX(종합!O$3:O$501,MATCH(ROW()-2,종합!$AE$3:$AE$501,0))&amp;"","")</f>
        <v/>
      </c>
      <c r="P409" s="21" t="str">
        <f aca="false">IFERROR(INDEX(종합!P$3:P$501,MATCH(ROW()-2,종합!$AE$3:$AE$501,0))&amp;"","")</f>
        <v/>
      </c>
      <c r="Q409" s="21" t="str">
        <f aca="false">IFERROR(INDEX(종합!Q$3:Q$501,MATCH(ROW()-2,종합!$AE$3:$AE$501,0))&amp;"","")</f>
        <v/>
      </c>
      <c r="R409" s="21" t="str">
        <f aca="false">IFERROR(INDEX(종합!R$3:R$501,MATCH(ROW()-2,종합!$AE$3:$AE$501,0))&amp;"","")</f>
        <v/>
      </c>
      <c r="S409" s="21" t="str">
        <f aca="false">IFERROR(INDEX(종합!S$3:S$501,MATCH(ROW()-2,종합!$AE$3:$AE$501,0))&amp;"","")</f>
        <v/>
      </c>
      <c r="T409" s="21" t="str">
        <f aca="false">IFERROR(INDEX(종합!T$3:T$501,MATCH(ROW()-2,종합!$AE$3:$AE$501,0))&amp;"","")</f>
        <v/>
      </c>
      <c r="U409" s="21" t="str">
        <f aca="false">IFERROR(INDEX(종합!U$3:U$501,MATCH(ROW()-2,종합!$AE$3:$AE$501,0))&amp;"","")</f>
        <v/>
      </c>
      <c r="V409" s="21" t="str">
        <f aca="false">IFERROR(INDEX(종합!V$3:V$501,MATCH(ROW()-2,종합!$AE$3:$AE$501,0))&amp;"","")</f>
        <v/>
      </c>
      <c r="W409" s="21" t="str">
        <f aca="false">IFERROR(INDEX(종합!W$3:W$501,MATCH(ROW()-2,종합!$AE$3:$AE$501,0))&amp;"","")</f>
        <v/>
      </c>
      <c r="X409" s="21" t="str">
        <f aca="false">IFERROR(INDEX(종합!X$3:X$501,MATCH(ROW()-2,종합!$AE$3:$AE$501,0))&amp;"","")</f>
        <v/>
      </c>
      <c r="Y409" s="21" t="str">
        <f aca="false">IFERROR(INDEX(종합!Y$3:Y$501,MATCH(ROW()-2,종합!$AE$3:$AE$501,0))&amp;"","")</f>
        <v/>
      </c>
      <c r="Z409" s="21" t="str">
        <f aca="false">IFERROR(INDEX(종합!Z$3:Z$501,MATCH(ROW()-2,종합!$AE$3:$AE$501,0))&amp;"","")</f>
        <v/>
      </c>
    </row>
    <row r="410" customFormat="false" ht="16.5" hidden="false" customHeight="true" outlineLevel="0" collapsed="false">
      <c r="A410" s="18" t="str">
        <f aca="false">IF(B410="","",ROW()-2)</f>
        <v/>
      </c>
      <c r="B410" s="18" t="str">
        <f aca="false">IFERROR(INDEX(종합!B$3:B$501,MATCH(ROW()-2,종합!$AE$3:$AE$501,0))&amp;"","")</f>
        <v/>
      </c>
      <c r="C410" s="18" t="str">
        <f aca="false">IFERROR(INDEX(종합!C$3:C$501,MATCH(ROW()-2,종합!$AE$3:$AE$501,0))&amp;"","")</f>
        <v/>
      </c>
      <c r="D410" s="18" t="str">
        <f aca="false">IFERROR(INDEX(종합!D$3:D$501,MATCH(ROW()-2,종합!$AE$3:$AE$501,0))&amp;"","")</f>
        <v/>
      </c>
      <c r="E410" s="18" t="str">
        <f aca="false">IFERROR(INDEX(종합!E$3:E$501,MATCH(ROW()-2,종합!$AE$3:$AE$501,0))&amp;"","")</f>
        <v/>
      </c>
      <c r="F410" s="18" t="str">
        <f aca="false">IFERROR(INDEX(종합!F$3:F$501,MATCH(ROW()-2,종합!$AE$3:$AE$501,0))&amp;"","")</f>
        <v/>
      </c>
      <c r="G410" s="18" t="str">
        <f aca="false">IFERROR(INDEX(종합!G$3:G$501,MATCH(ROW()-2,종합!$AE$3:$AE$501,0))&amp;"","")</f>
        <v/>
      </c>
      <c r="H410" s="21" t="str">
        <f aca="false">IFERROR(INDEX(종합!H$3:H$501,MATCH(ROW()-2,종합!$AE$3:$AE$501,0))&amp;"","")</f>
        <v/>
      </c>
      <c r="I410" s="21" t="str">
        <f aca="false">IFERROR(INDEX(종합!I$3:I$501,MATCH(ROW()-2,종합!$AE$3:$AE$501,0))&amp;"","")</f>
        <v/>
      </c>
      <c r="J410" s="21" t="str">
        <f aca="false">IFERROR(INDEX(종합!J$3:J$501,MATCH(ROW()-2,종합!$AE$3:$AE$501,0))&amp;"","")</f>
        <v/>
      </c>
      <c r="K410" s="21" t="str">
        <f aca="false">IFERROR(INDEX(종합!K$3:K$501,MATCH(ROW()-2,종합!$AE$3:$AE$501,0))&amp;"","")</f>
        <v/>
      </c>
      <c r="L410" s="21" t="str">
        <f aca="false">IFERROR(INDEX(종합!L$3:L$501,MATCH(ROW()-2,종합!$AE$3:$AE$501,0))&amp;"","")</f>
        <v/>
      </c>
      <c r="M410" s="21" t="str">
        <f aca="false">IFERROR(INDEX(종합!M$3:M$501,MATCH(ROW()-2,종합!$AE$3:$AE$501,0))&amp;"","")</f>
        <v/>
      </c>
      <c r="N410" s="25" t="str">
        <f aca="false">IFERROR(INDEX(종합!N$3:N$501,MATCH(ROW()-2,종합!$AE$3:$AE$501,0))&amp;"","")</f>
        <v/>
      </c>
      <c r="O410" s="21" t="str">
        <f aca="false">IFERROR(INDEX(종합!O$3:O$501,MATCH(ROW()-2,종합!$AE$3:$AE$501,0))&amp;"","")</f>
        <v/>
      </c>
      <c r="P410" s="21" t="str">
        <f aca="false">IFERROR(INDEX(종합!P$3:P$501,MATCH(ROW()-2,종합!$AE$3:$AE$501,0))&amp;"","")</f>
        <v/>
      </c>
      <c r="Q410" s="21" t="str">
        <f aca="false">IFERROR(INDEX(종합!Q$3:Q$501,MATCH(ROW()-2,종합!$AE$3:$AE$501,0))&amp;"","")</f>
        <v/>
      </c>
      <c r="R410" s="21" t="str">
        <f aca="false">IFERROR(INDEX(종합!R$3:R$501,MATCH(ROW()-2,종합!$AE$3:$AE$501,0))&amp;"","")</f>
        <v/>
      </c>
      <c r="S410" s="21" t="str">
        <f aca="false">IFERROR(INDEX(종합!S$3:S$501,MATCH(ROW()-2,종합!$AE$3:$AE$501,0))&amp;"","")</f>
        <v/>
      </c>
      <c r="T410" s="21" t="str">
        <f aca="false">IFERROR(INDEX(종합!T$3:T$501,MATCH(ROW()-2,종합!$AE$3:$AE$501,0))&amp;"","")</f>
        <v/>
      </c>
      <c r="U410" s="21" t="str">
        <f aca="false">IFERROR(INDEX(종합!U$3:U$501,MATCH(ROW()-2,종합!$AE$3:$AE$501,0))&amp;"","")</f>
        <v/>
      </c>
      <c r="V410" s="21" t="str">
        <f aca="false">IFERROR(INDEX(종합!V$3:V$501,MATCH(ROW()-2,종합!$AE$3:$AE$501,0))&amp;"","")</f>
        <v/>
      </c>
      <c r="W410" s="21" t="str">
        <f aca="false">IFERROR(INDEX(종합!W$3:W$501,MATCH(ROW()-2,종합!$AE$3:$AE$501,0))&amp;"","")</f>
        <v/>
      </c>
      <c r="X410" s="21" t="str">
        <f aca="false">IFERROR(INDEX(종합!X$3:X$501,MATCH(ROW()-2,종합!$AE$3:$AE$501,0))&amp;"","")</f>
        <v/>
      </c>
      <c r="Y410" s="21" t="str">
        <f aca="false">IFERROR(INDEX(종합!Y$3:Y$501,MATCH(ROW()-2,종합!$AE$3:$AE$501,0))&amp;"","")</f>
        <v/>
      </c>
      <c r="Z410" s="21" t="str">
        <f aca="false">IFERROR(INDEX(종합!Z$3:Z$501,MATCH(ROW()-2,종합!$AE$3:$AE$501,0))&amp;"","")</f>
        <v/>
      </c>
    </row>
    <row r="411" customFormat="false" ht="16.5" hidden="false" customHeight="true" outlineLevel="0" collapsed="false">
      <c r="A411" s="18" t="str">
        <f aca="false">IF(B411="","",ROW()-2)</f>
        <v/>
      </c>
      <c r="B411" s="18" t="str">
        <f aca="false">IFERROR(INDEX(종합!B$3:B$501,MATCH(ROW()-2,종합!$AE$3:$AE$501,0))&amp;"","")</f>
        <v/>
      </c>
      <c r="C411" s="18" t="str">
        <f aca="false">IFERROR(INDEX(종합!C$3:C$501,MATCH(ROW()-2,종합!$AE$3:$AE$501,0))&amp;"","")</f>
        <v/>
      </c>
      <c r="D411" s="18" t="str">
        <f aca="false">IFERROR(INDEX(종합!D$3:D$501,MATCH(ROW()-2,종합!$AE$3:$AE$501,0))&amp;"","")</f>
        <v/>
      </c>
      <c r="E411" s="18" t="str">
        <f aca="false">IFERROR(INDEX(종합!E$3:E$501,MATCH(ROW()-2,종합!$AE$3:$AE$501,0))&amp;"","")</f>
        <v/>
      </c>
      <c r="F411" s="18" t="str">
        <f aca="false">IFERROR(INDEX(종합!F$3:F$501,MATCH(ROW()-2,종합!$AE$3:$AE$501,0))&amp;"","")</f>
        <v/>
      </c>
      <c r="G411" s="18" t="str">
        <f aca="false">IFERROR(INDEX(종합!G$3:G$501,MATCH(ROW()-2,종합!$AE$3:$AE$501,0))&amp;"","")</f>
        <v/>
      </c>
      <c r="H411" s="21" t="str">
        <f aca="false">IFERROR(INDEX(종합!H$3:H$501,MATCH(ROW()-2,종합!$AE$3:$AE$501,0))&amp;"","")</f>
        <v/>
      </c>
      <c r="I411" s="21" t="str">
        <f aca="false">IFERROR(INDEX(종합!I$3:I$501,MATCH(ROW()-2,종합!$AE$3:$AE$501,0))&amp;"","")</f>
        <v/>
      </c>
      <c r="J411" s="21" t="str">
        <f aca="false">IFERROR(INDEX(종합!J$3:J$501,MATCH(ROW()-2,종합!$AE$3:$AE$501,0))&amp;"","")</f>
        <v/>
      </c>
      <c r="K411" s="21" t="str">
        <f aca="false">IFERROR(INDEX(종합!K$3:K$501,MATCH(ROW()-2,종합!$AE$3:$AE$501,0))&amp;"","")</f>
        <v/>
      </c>
      <c r="L411" s="21" t="str">
        <f aca="false">IFERROR(INDEX(종합!L$3:L$501,MATCH(ROW()-2,종합!$AE$3:$AE$501,0))&amp;"","")</f>
        <v/>
      </c>
      <c r="M411" s="21" t="str">
        <f aca="false">IFERROR(INDEX(종합!M$3:M$501,MATCH(ROW()-2,종합!$AE$3:$AE$501,0))&amp;"","")</f>
        <v/>
      </c>
      <c r="N411" s="25" t="str">
        <f aca="false">IFERROR(INDEX(종합!N$3:N$501,MATCH(ROW()-2,종합!$AE$3:$AE$501,0))&amp;"","")</f>
        <v/>
      </c>
      <c r="O411" s="21" t="str">
        <f aca="false">IFERROR(INDEX(종합!O$3:O$501,MATCH(ROW()-2,종합!$AE$3:$AE$501,0))&amp;"","")</f>
        <v/>
      </c>
      <c r="P411" s="21" t="str">
        <f aca="false">IFERROR(INDEX(종합!P$3:P$501,MATCH(ROW()-2,종합!$AE$3:$AE$501,0))&amp;"","")</f>
        <v/>
      </c>
      <c r="Q411" s="21" t="str">
        <f aca="false">IFERROR(INDEX(종합!Q$3:Q$501,MATCH(ROW()-2,종합!$AE$3:$AE$501,0))&amp;"","")</f>
        <v/>
      </c>
      <c r="R411" s="21" t="str">
        <f aca="false">IFERROR(INDEX(종합!R$3:R$501,MATCH(ROW()-2,종합!$AE$3:$AE$501,0))&amp;"","")</f>
        <v/>
      </c>
      <c r="S411" s="21" t="str">
        <f aca="false">IFERROR(INDEX(종합!S$3:S$501,MATCH(ROW()-2,종합!$AE$3:$AE$501,0))&amp;"","")</f>
        <v/>
      </c>
      <c r="T411" s="21" t="str">
        <f aca="false">IFERROR(INDEX(종합!T$3:T$501,MATCH(ROW()-2,종합!$AE$3:$AE$501,0))&amp;"","")</f>
        <v/>
      </c>
      <c r="U411" s="21" t="str">
        <f aca="false">IFERROR(INDEX(종합!U$3:U$501,MATCH(ROW()-2,종합!$AE$3:$AE$501,0))&amp;"","")</f>
        <v/>
      </c>
      <c r="V411" s="21" t="str">
        <f aca="false">IFERROR(INDEX(종합!V$3:V$501,MATCH(ROW()-2,종합!$AE$3:$AE$501,0))&amp;"","")</f>
        <v/>
      </c>
      <c r="W411" s="21" t="str">
        <f aca="false">IFERROR(INDEX(종합!W$3:W$501,MATCH(ROW()-2,종합!$AE$3:$AE$501,0))&amp;"","")</f>
        <v/>
      </c>
      <c r="X411" s="21" t="str">
        <f aca="false">IFERROR(INDEX(종합!X$3:X$501,MATCH(ROW()-2,종합!$AE$3:$AE$501,0))&amp;"","")</f>
        <v/>
      </c>
      <c r="Y411" s="21" t="str">
        <f aca="false">IFERROR(INDEX(종합!Y$3:Y$501,MATCH(ROW()-2,종합!$AE$3:$AE$501,0))&amp;"","")</f>
        <v/>
      </c>
      <c r="Z411" s="21" t="str">
        <f aca="false">IFERROR(INDEX(종합!Z$3:Z$501,MATCH(ROW()-2,종합!$AE$3:$AE$501,0))&amp;"","")</f>
        <v/>
      </c>
    </row>
    <row r="412" customFormat="false" ht="16.5" hidden="false" customHeight="true" outlineLevel="0" collapsed="false">
      <c r="A412" s="18" t="str">
        <f aca="false">IF(B412="","",ROW()-2)</f>
        <v/>
      </c>
      <c r="B412" s="18" t="str">
        <f aca="false">IFERROR(INDEX(종합!B$3:B$501,MATCH(ROW()-2,종합!$AE$3:$AE$501,0))&amp;"","")</f>
        <v/>
      </c>
      <c r="C412" s="18" t="str">
        <f aca="false">IFERROR(INDEX(종합!C$3:C$501,MATCH(ROW()-2,종합!$AE$3:$AE$501,0))&amp;"","")</f>
        <v/>
      </c>
      <c r="D412" s="18" t="str">
        <f aca="false">IFERROR(INDEX(종합!D$3:D$501,MATCH(ROW()-2,종합!$AE$3:$AE$501,0))&amp;"","")</f>
        <v/>
      </c>
      <c r="E412" s="18" t="str">
        <f aca="false">IFERROR(INDEX(종합!E$3:E$501,MATCH(ROW()-2,종합!$AE$3:$AE$501,0))&amp;"","")</f>
        <v/>
      </c>
      <c r="F412" s="18" t="str">
        <f aca="false">IFERROR(INDEX(종합!F$3:F$501,MATCH(ROW()-2,종합!$AE$3:$AE$501,0))&amp;"","")</f>
        <v/>
      </c>
      <c r="G412" s="18" t="str">
        <f aca="false">IFERROR(INDEX(종합!G$3:G$501,MATCH(ROW()-2,종합!$AE$3:$AE$501,0))&amp;"","")</f>
        <v/>
      </c>
      <c r="H412" s="21" t="str">
        <f aca="false">IFERROR(INDEX(종합!H$3:H$501,MATCH(ROW()-2,종합!$AE$3:$AE$501,0))&amp;"","")</f>
        <v/>
      </c>
      <c r="I412" s="21" t="str">
        <f aca="false">IFERROR(INDEX(종합!I$3:I$501,MATCH(ROW()-2,종합!$AE$3:$AE$501,0))&amp;"","")</f>
        <v/>
      </c>
      <c r="J412" s="21" t="str">
        <f aca="false">IFERROR(INDEX(종합!J$3:J$501,MATCH(ROW()-2,종합!$AE$3:$AE$501,0))&amp;"","")</f>
        <v/>
      </c>
      <c r="K412" s="21" t="str">
        <f aca="false">IFERROR(INDEX(종합!K$3:K$501,MATCH(ROW()-2,종합!$AE$3:$AE$501,0))&amp;"","")</f>
        <v/>
      </c>
      <c r="L412" s="21" t="str">
        <f aca="false">IFERROR(INDEX(종합!L$3:L$501,MATCH(ROW()-2,종합!$AE$3:$AE$501,0))&amp;"","")</f>
        <v/>
      </c>
      <c r="M412" s="21" t="str">
        <f aca="false">IFERROR(INDEX(종합!M$3:M$501,MATCH(ROW()-2,종합!$AE$3:$AE$501,0))&amp;"","")</f>
        <v/>
      </c>
      <c r="N412" s="25" t="str">
        <f aca="false">IFERROR(INDEX(종합!N$3:N$501,MATCH(ROW()-2,종합!$AE$3:$AE$501,0))&amp;"","")</f>
        <v/>
      </c>
      <c r="O412" s="21" t="str">
        <f aca="false">IFERROR(INDEX(종합!O$3:O$501,MATCH(ROW()-2,종합!$AE$3:$AE$501,0))&amp;"","")</f>
        <v/>
      </c>
      <c r="P412" s="21" t="str">
        <f aca="false">IFERROR(INDEX(종합!P$3:P$501,MATCH(ROW()-2,종합!$AE$3:$AE$501,0))&amp;"","")</f>
        <v/>
      </c>
      <c r="Q412" s="21" t="str">
        <f aca="false">IFERROR(INDEX(종합!Q$3:Q$501,MATCH(ROW()-2,종합!$AE$3:$AE$501,0))&amp;"","")</f>
        <v/>
      </c>
      <c r="R412" s="21" t="str">
        <f aca="false">IFERROR(INDEX(종합!R$3:R$501,MATCH(ROW()-2,종합!$AE$3:$AE$501,0))&amp;"","")</f>
        <v/>
      </c>
      <c r="S412" s="21" t="str">
        <f aca="false">IFERROR(INDEX(종합!S$3:S$501,MATCH(ROW()-2,종합!$AE$3:$AE$501,0))&amp;"","")</f>
        <v/>
      </c>
      <c r="T412" s="21" t="str">
        <f aca="false">IFERROR(INDEX(종합!T$3:T$501,MATCH(ROW()-2,종합!$AE$3:$AE$501,0))&amp;"","")</f>
        <v/>
      </c>
      <c r="U412" s="21" t="str">
        <f aca="false">IFERROR(INDEX(종합!U$3:U$501,MATCH(ROW()-2,종합!$AE$3:$AE$501,0))&amp;"","")</f>
        <v/>
      </c>
      <c r="V412" s="21" t="str">
        <f aca="false">IFERROR(INDEX(종합!V$3:V$501,MATCH(ROW()-2,종합!$AE$3:$AE$501,0))&amp;"","")</f>
        <v/>
      </c>
      <c r="W412" s="21" t="str">
        <f aca="false">IFERROR(INDEX(종합!W$3:W$501,MATCH(ROW()-2,종합!$AE$3:$AE$501,0))&amp;"","")</f>
        <v/>
      </c>
      <c r="X412" s="21" t="str">
        <f aca="false">IFERROR(INDEX(종합!X$3:X$501,MATCH(ROW()-2,종합!$AE$3:$AE$501,0))&amp;"","")</f>
        <v/>
      </c>
      <c r="Y412" s="21" t="str">
        <f aca="false">IFERROR(INDEX(종합!Y$3:Y$501,MATCH(ROW()-2,종합!$AE$3:$AE$501,0))&amp;"","")</f>
        <v/>
      </c>
      <c r="Z412" s="21" t="str">
        <f aca="false">IFERROR(INDEX(종합!Z$3:Z$501,MATCH(ROW()-2,종합!$AE$3:$AE$501,0))&amp;"","")</f>
        <v/>
      </c>
    </row>
    <row r="413" customFormat="false" ht="16.5" hidden="false" customHeight="true" outlineLevel="0" collapsed="false">
      <c r="A413" s="18" t="str">
        <f aca="false">IF(B413="","",ROW()-2)</f>
        <v/>
      </c>
      <c r="B413" s="18" t="str">
        <f aca="false">IFERROR(INDEX(종합!B$3:B$501,MATCH(ROW()-2,종합!$AE$3:$AE$501,0))&amp;"","")</f>
        <v/>
      </c>
      <c r="C413" s="18" t="str">
        <f aca="false">IFERROR(INDEX(종합!C$3:C$501,MATCH(ROW()-2,종합!$AE$3:$AE$501,0))&amp;"","")</f>
        <v/>
      </c>
      <c r="D413" s="18" t="str">
        <f aca="false">IFERROR(INDEX(종합!D$3:D$501,MATCH(ROW()-2,종합!$AE$3:$AE$501,0))&amp;"","")</f>
        <v/>
      </c>
      <c r="E413" s="18" t="str">
        <f aca="false">IFERROR(INDEX(종합!E$3:E$501,MATCH(ROW()-2,종합!$AE$3:$AE$501,0))&amp;"","")</f>
        <v/>
      </c>
      <c r="F413" s="18" t="str">
        <f aca="false">IFERROR(INDEX(종합!F$3:F$501,MATCH(ROW()-2,종합!$AE$3:$AE$501,0))&amp;"","")</f>
        <v/>
      </c>
      <c r="G413" s="18" t="str">
        <f aca="false">IFERROR(INDEX(종합!G$3:G$501,MATCH(ROW()-2,종합!$AE$3:$AE$501,0))&amp;"","")</f>
        <v/>
      </c>
      <c r="H413" s="21" t="str">
        <f aca="false">IFERROR(INDEX(종합!H$3:H$501,MATCH(ROW()-2,종합!$AE$3:$AE$501,0))&amp;"","")</f>
        <v/>
      </c>
      <c r="I413" s="21" t="str">
        <f aca="false">IFERROR(INDEX(종합!I$3:I$501,MATCH(ROW()-2,종합!$AE$3:$AE$501,0))&amp;"","")</f>
        <v/>
      </c>
      <c r="J413" s="21" t="str">
        <f aca="false">IFERROR(INDEX(종합!J$3:J$501,MATCH(ROW()-2,종합!$AE$3:$AE$501,0))&amp;"","")</f>
        <v/>
      </c>
      <c r="K413" s="21" t="str">
        <f aca="false">IFERROR(INDEX(종합!K$3:K$501,MATCH(ROW()-2,종합!$AE$3:$AE$501,0))&amp;"","")</f>
        <v/>
      </c>
      <c r="L413" s="21" t="str">
        <f aca="false">IFERROR(INDEX(종합!L$3:L$501,MATCH(ROW()-2,종합!$AE$3:$AE$501,0))&amp;"","")</f>
        <v/>
      </c>
      <c r="M413" s="21" t="str">
        <f aca="false">IFERROR(INDEX(종합!M$3:M$501,MATCH(ROW()-2,종합!$AE$3:$AE$501,0))&amp;"","")</f>
        <v/>
      </c>
      <c r="N413" s="25" t="str">
        <f aca="false">IFERROR(INDEX(종합!N$3:N$501,MATCH(ROW()-2,종합!$AE$3:$AE$501,0))&amp;"","")</f>
        <v/>
      </c>
      <c r="O413" s="21" t="str">
        <f aca="false">IFERROR(INDEX(종합!O$3:O$501,MATCH(ROW()-2,종합!$AE$3:$AE$501,0))&amp;"","")</f>
        <v/>
      </c>
      <c r="P413" s="21" t="str">
        <f aca="false">IFERROR(INDEX(종합!P$3:P$501,MATCH(ROW()-2,종합!$AE$3:$AE$501,0))&amp;"","")</f>
        <v/>
      </c>
      <c r="Q413" s="21" t="str">
        <f aca="false">IFERROR(INDEX(종합!Q$3:Q$501,MATCH(ROW()-2,종합!$AE$3:$AE$501,0))&amp;"","")</f>
        <v/>
      </c>
      <c r="R413" s="21" t="str">
        <f aca="false">IFERROR(INDEX(종합!R$3:R$501,MATCH(ROW()-2,종합!$AE$3:$AE$501,0))&amp;"","")</f>
        <v/>
      </c>
      <c r="S413" s="21" t="str">
        <f aca="false">IFERROR(INDEX(종합!S$3:S$501,MATCH(ROW()-2,종합!$AE$3:$AE$501,0))&amp;"","")</f>
        <v/>
      </c>
      <c r="T413" s="21" t="str">
        <f aca="false">IFERROR(INDEX(종합!T$3:T$501,MATCH(ROW()-2,종합!$AE$3:$AE$501,0))&amp;"","")</f>
        <v/>
      </c>
      <c r="U413" s="21" t="str">
        <f aca="false">IFERROR(INDEX(종합!U$3:U$501,MATCH(ROW()-2,종합!$AE$3:$AE$501,0))&amp;"","")</f>
        <v/>
      </c>
      <c r="V413" s="21" t="str">
        <f aca="false">IFERROR(INDEX(종합!V$3:V$501,MATCH(ROW()-2,종합!$AE$3:$AE$501,0))&amp;"","")</f>
        <v/>
      </c>
      <c r="W413" s="21" t="str">
        <f aca="false">IFERROR(INDEX(종합!W$3:W$501,MATCH(ROW()-2,종합!$AE$3:$AE$501,0))&amp;"","")</f>
        <v/>
      </c>
      <c r="X413" s="21" t="str">
        <f aca="false">IFERROR(INDEX(종합!X$3:X$501,MATCH(ROW()-2,종합!$AE$3:$AE$501,0))&amp;"","")</f>
        <v/>
      </c>
      <c r="Y413" s="21" t="str">
        <f aca="false">IFERROR(INDEX(종합!Y$3:Y$501,MATCH(ROW()-2,종합!$AE$3:$AE$501,0))&amp;"","")</f>
        <v/>
      </c>
      <c r="Z413" s="21" t="str">
        <f aca="false">IFERROR(INDEX(종합!Z$3:Z$501,MATCH(ROW()-2,종합!$AE$3:$AE$501,0))&amp;"","")</f>
        <v/>
      </c>
    </row>
    <row r="414" customFormat="false" ht="16.5" hidden="false" customHeight="true" outlineLevel="0" collapsed="false">
      <c r="A414" s="18" t="str">
        <f aca="false">IF(B414="","",ROW()-2)</f>
        <v/>
      </c>
      <c r="B414" s="18" t="str">
        <f aca="false">IFERROR(INDEX(종합!B$3:B$501,MATCH(ROW()-2,종합!$AE$3:$AE$501,0))&amp;"","")</f>
        <v/>
      </c>
      <c r="C414" s="18" t="str">
        <f aca="false">IFERROR(INDEX(종합!C$3:C$501,MATCH(ROW()-2,종합!$AE$3:$AE$501,0))&amp;"","")</f>
        <v/>
      </c>
      <c r="D414" s="18" t="str">
        <f aca="false">IFERROR(INDEX(종합!D$3:D$501,MATCH(ROW()-2,종합!$AE$3:$AE$501,0))&amp;"","")</f>
        <v/>
      </c>
      <c r="E414" s="18" t="str">
        <f aca="false">IFERROR(INDEX(종합!E$3:E$501,MATCH(ROW()-2,종합!$AE$3:$AE$501,0))&amp;"","")</f>
        <v/>
      </c>
      <c r="F414" s="18" t="str">
        <f aca="false">IFERROR(INDEX(종합!F$3:F$501,MATCH(ROW()-2,종합!$AE$3:$AE$501,0))&amp;"","")</f>
        <v/>
      </c>
      <c r="G414" s="18" t="str">
        <f aca="false">IFERROR(INDEX(종합!G$3:G$501,MATCH(ROW()-2,종합!$AE$3:$AE$501,0))&amp;"","")</f>
        <v/>
      </c>
      <c r="H414" s="21" t="str">
        <f aca="false">IFERROR(INDEX(종합!H$3:H$501,MATCH(ROW()-2,종합!$AE$3:$AE$501,0))&amp;"","")</f>
        <v/>
      </c>
      <c r="I414" s="21" t="str">
        <f aca="false">IFERROR(INDEX(종합!I$3:I$501,MATCH(ROW()-2,종합!$AE$3:$AE$501,0))&amp;"","")</f>
        <v/>
      </c>
      <c r="J414" s="21" t="str">
        <f aca="false">IFERROR(INDEX(종합!J$3:J$501,MATCH(ROW()-2,종합!$AE$3:$AE$501,0))&amp;"","")</f>
        <v/>
      </c>
      <c r="K414" s="21" t="str">
        <f aca="false">IFERROR(INDEX(종합!K$3:K$501,MATCH(ROW()-2,종합!$AE$3:$AE$501,0))&amp;"","")</f>
        <v/>
      </c>
      <c r="L414" s="21" t="str">
        <f aca="false">IFERROR(INDEX(종합!L$3:L$501,MATCH(ROW()-2,종합!$AE$3:$AE$501,0))&amp;"","")</f>
        <v/>
      </c>
      <c r="M414" s="21" t="str">
        <f aca="false">IFERROR(INDEX(종합!M$3:M$501,MATCH(ROW()-2,종합!$AE$3:$AE$501,0))&amp;"","")</f>
        <v/>
      </c>
      <c r="N414" s="25" t="str">
        <f aca="false">IFERROR(INDEX(종합!N$3:N$501,MATCH(ROW()-2,종합!$AE$3:$AE$501,0))&amp;"","")</f>
        <v/>
      </c>
      <c r="O414" s="21" t="str">
        <f aca="false">IFERROR(INDEX(종합!O$3:O$501,MATCH(ROW()-2,종합!$AE$3:$AE$501,0))&amp;"","")</f>
        <v/>
      </c>
      <c r="P414" s="21" t="str">
        <f aca="false">IFERROR(INDEX(종합!P$3:P$501,MATCH(ROW()-2,종합!$AE$3:$AE$501,0))&amp;"","")</f>
        <v/>
      </c>
      <c r="Q414" s="21" t="str">
        <f aca="false">IFERROR(INDEX(종합!Q$3:Q$501,MATCH(ROW()-2,종합!$AE$3:$AE$501,0))&amp;"","")</f>
        <v/>
      </c>
      <c r="R414" s="21" t="str">
        <f aca="false">IFERROR(INDEX(종합!R$3:R$501,MATCH(ROW()-2,종합!$AE$3:$AE$501,0))&amp;"","")</f>
        <v/>
      </c>
      <c r="S414" s="21" t="str">
        <f aca="false">IFERROR(INDEX(종합!S$3:S$501,MATCH(ROW()-2,종합!$AE$3:$AE$501,0))&amp;"","")</f>
        <v/>
      </c>
      <c r="T414" s="21" t="str">
        <f aca="false">IFERROR(INDEX(종합!T$3:T$501,MATCH(ROW()-2,종합!$AE$3:$AE$501,0))&amp;"","")</f>
        <v/>
      </c>
      <c r="U414" s="21" t="str">
        <f aca="false">IFERROR(INDEX(종합!U$3:U$501,MATCH(ROW()-2,종합!$AE$3:$AE$501,0))&amp;"","")</f>
        <v/>
      </c>
      <c r="V414" s="21" t="str">
        <f aca="false">IFERROR(INDEX(종합!V$3:V$501,MATCH(ROW()-2,종합!$AE$3:$AE$501,0))&amp;"","")</f>
        <v/>
      </c>
      <c r="W414" s="21" t="str">
        <f aca="false">IFERROR(INDEX(종합!W$3:W$501,MATCH(ROW()-2,종합!$AE$3:$AE$501,0))&amp;"","")</f>
        <v/>
      </c>
      <c r="X414" s="21" t="str">
        <f aca="false">IFERROR(INDEX(종합!X$3:X$501,MATCH(ROW()-2,종합!$AE$3:$AE$501,0))&amp;"","")</f>
        <v/>
      </c>
      <c r="Y414" s="21" t="str">
        <f aca="false">IFERROR(INDEX(종합!Y$3:Y$501,MATCH(ROW()-2,종합!$AE$3:$AE$501,0))&amp;"","")</f>
        <v/>
      </c>
      <c r="Z414" s="21" t="str">
        <f aca="false">IFERROR(INDEX(종합!Z$3:Z$501,MATCH(ROW()-2,종합!$AE$3:$AE$501,0))&amp;"","")</f>
        <v/>
      </c>
    </row>
    <row r="415" customFormat="false" ht="16.5" hidden="false" customHeight="true" outlineLevel="0" collapsed="false">
      <c r="A415" s="18" t="str">
        <f aca="false">IF(B415="","",ROW()-2)</f>
        <v/>
      </c>
      <c r="B415" s="18" t="str">
        <f aca="false">IFERROR(INDEX(종합!B$3:B$501,MATCH(ROW()-2,종합!$AE$3:$AE$501,0))&amp;"","")</f>
        <v/>
      </c>
      <c r="C415" s="18" t="str">
        <f aca="false">IFERROR(INDEX(종합!C$3:C$501,MATCH(ROW()-2,종합!$AE$3:$AE$501,0))&amp;"","")</f>
        <v/>
      </c>
      <c r="D415" s="18" t="str">
        <f aca="false">IFERROR(INDEX(종합!D$3:D$501,MATCH(ROW()-2,종합!$AE$3:$AE$501,0))&amp;"","")</f>
        <v/>
      </c>
      <c r="E415" s="18" t="str">
        <f aca="false">IFERROR(INDEX(종합!E$3:E$501,MATCH(ROW()-2,종합!$AE$3:$AE$501,0))&amp;"","")</f>
        <v/>
      </c>
      <c r="F415" s="18" t="str">
        <f aca="false">IFERROR(INDEX(종합!F$3:F$501,MATCH(ROW()-2,종합!$AE$3:$AE$501,0))&amp;"","")</f>
        <v/>
      </c>
      <c r="G415" s="18" t="str">
        <f aca="false">IFERROR(INDEX(종합!G$3:G$501,MATCH(ROW()-2,종합!$AE$3:$AE$501,0))&amp;"","")</f>
        <v/>
      </c>
      <c r="H415" s="21" t="str">
        <f aca="false">IFERROR(INDEX(종합!H$3:H$501,MATCH(ROW()-2,종합!$AE$3:$AE$501,0))&amp;"","")</f>
        <v/>
      </c>
      <c r="I415" s="21" t="str">
        <f aca="false">IFERROR(INDEX(종합!I$3:I$501,MATCH(ROW()-2,종합!$AE$3:$AE$501,0))&amp;"","")</f>
        <v/>
      </c>
      <c r="J415" s="21" t="str">
        <f aca="false">IFERROR(INDEX(종합!J$3:J$501,MATCH(ROW()-2,종합!$AE$3:$AE$501,0))&amp;"","")</f>
        <v/>
      </c>
      <c r="K415" s="21" t="str">
        <f aca="false">IFERROR(INDEX(종합!K$3:K$501,MATCH(ROW()-2,종합!$AE$3:$AE$501,0))&amp;"","")</f>
        <v/>
      </c>
      <c r="L415" s="21" t="str">
        <f aca="false">IFERROR(INDEX(종합!L$3:L$501,MATCH(ROW()-2,종합!$AE$3:$AE$501,0))&amp;"","")</f>
        <v/>
      </c>
      <c r="M415" s="21" t="str">
        <f aca="false">IFERROR(INDEX(종합!M$3:M$501,MATCH(ROW()-2,종합!$AE$3:$AE$501,0))&amp;"","")</f>
        <v/>
      </c>
      <c r="N415" s="25" t="str">
        <f aca="false">IFERROR(INDEX(종합!N$3:N$501,MATCH(ROW()-2,종합!$AE$3:$AE$501,0))&amp;"","")</f>
        <v/>
      </c>
      <c r="O415" s="21" t="str">
        <f aca="false">IFERROR(INDEX(종합!O$3:O$501,MATCH(ROW()-2,종합!$AE$3:$AE$501,0))&amp;"","")</f>
        <v/>
      </c>
      <c r="P415" s="21" t="str">
        <f aca="false">IFERROR(INDEX(종합!P$3:P$501,MATCH(ROW()-2,종합!$AE$3:$AE$501,0))&amp;"","")</f>
        <v/>
      </c>
      <c r="Q415" s="21" t="str">
        <f aca="false">IFERROR(INDEX(종합!Q$3:Q$501,MATCH(ROW()-2,종합!$AE$3:$AE$501,0))&amp;"","")</f>
        <v/>
      </c>
      <c r="R415" s="21" t="str">
        <f aca="false">IFERROR(INDEX(종합!R$3:R$501,MATCH(ROW()-2,종합!$AE$3:$AE$501,0))&amp;"","")</f>
        <v/>
      </c>
      <c r="S415" s="21" t="str">
        <f aca="false">IFERROR(INDEX(종합!S$3:S$501,MATCH(ROW()-2,종합!$AE$3:$AE$501,0))&amp;"","")</f>
        <v/>
      </c>
      <c r="T415" s="21" t="str">
        <f aca="false">IFERROR(INDEX(종합!T$3:T$501,MATCH(ROW()-2,종합!$AE$3:$AE$501,0))&amp;"","")</f>
        <v/>
      </c>
      <c r="U415" s="21" t="str">
        <f aca="false">IFERROR(INDEX(종합!U$3:U$501,MATCH(ROW()-2,종합!$AE$3:$AE$501,0))&amp;"","")</f>
        <v/>
      </c>
      <c r="V415" s="21" t="str">
        <f aca="false">IFERROR(INDEX(종합!V$3:V$501,MATCH(ROW()-2,종합!$AE$3:$AE$501,0))&amp;"","")</f>
        <v/>
      </c>
      <c r="W415" s="21" t="str">
        <f aca="false">IFERROR(INDEX(종합!W$3:W$501,MATCH(ROW()-2,종합!$AE$3:$AE$501,0))&amp;"","")</f>
        <v/>
      </c>
      <c r="X415" s="21" t="str">
        <f aca="false">IFERROR(INDEX(종합!X$3:X$501,MATCH(ROW()-2,종합!$AE$3:$AE$501,0))&amp;"","")</f>
        <v/>
      </c>
      <c r="Y415" s="21" t="str">
        <f aca="false">IFERROR(INDEX(종합!Y$3:Y$501,MATCH(ROW()-2,종합!$AE$3:$AE$501,0))&amp;"","")</f>
        <v/>
      </c>
      <c r="Z415" s="21" t="str">
        <f aca="false">IFERROR(INDEX(종합!Z$3:Z$501,MATCH(ROW()-2,종합!$AE$3:$AE$501,0))&amp;"","")</f>
        <v/>
      </c>
    </row>
    <row r="416" customFormat="false" ht="16.5" hidden="false" customHeight="true" outlineLevel="0" collapsed="false">
      <c r="A416" s="18" t="str">
        <f aca="false">IF(B416="","",ROW()-2)</f>
        <v/>
      </c>
      <c r="B416" s="18" t="str">
        <f aca="false">IFERROR(INDEX(종합!B$3:B$501,MATCH(ROW()-2,종합!$AE$3:$AE$501,0))&amp;"","")</f>
        <v/>
      </c>
      <c r="C416" s="18" t="str">
        <f aca="false">IFERROR(INDEX(종합!C$3:C$501,MATCH(ROW()-2,종합!$AE$3:$AE$501,0))&amp;"","")</f>
        <v/>
      </c>
      <c r="D416" s="18" t="str">
        <f aca="false">IFERROR(INDEX(종합!D$3:D$501,MATCH(ROW()-2,종합!$AE$3:$AE$501,0))&amp;"","")</f>
        <v/>
      </c>
      <c r="E416" s="18" t="str">
        <f aca="false">IFERROR(INDEX(종합!E$3:E$501,MATCH(ROW()-2,종합!$AE$3:$AE$501,0))&amp;"","")</f>
        <v/>
      </c>
      <c r="F416" s="18" t="str">
        <f aca="false">IFERROR(INDEX(종합!F$3:F$501,MATCH(ROW()-2,종합!$AE$3:$AE$501,0))&amp;"","")</f>
        <v/>
      </c>
      <c r="G416" s="18" t="str">
        <f aca="false">IFERROR(INDEX(종합!G$3:G$501,MATCH(ROW()-2,종합!$AE$3:$AE$501,0))&amp;"","")</f>
        <v/>
      </c>
      <c r="H416" s="21" t="str">
        <f aca="false">IFERROR(INDEX(종합!H$3:H$501,MATCH(ROW()-2,종합!$AE$3:$AE$501,0))&amp;"","")</f>
        <v/>
      </c>
      <c r="I416" s="21" t="str">
        <f aca="false">IFERROR(INDEX(종합!I$3:I$501,MATCH(ROW()-2,종합!$AE$3:$AE$501,0))&amp;"","")</f>
        <v/>
      </c>
      <c r="J416" s="21" t="str">
        <f aca="false">IFERROR(INDEX(종합!J$3:J$501,MATCH(ROW()-2,종합!$AE$3:$AE$501,0))&amp;"","")</f>
        <v/>
      </c>
      <c r="K416" s="21" t="str">
        <f aca="false">IFERROR(INDEX(종합!K$3:K$501,MATCH(ROW()-2,종합!$AE$3:$AE$501,0))&amp;"","")</f>
        <v/>
      </c>
      <c r="L416" s="21" t="str">
        <f aca="false">IFERROR(INDEX(종합!L$3:L$501,MATCH(ROW()-2,종합!$AE$3:$AE$501,0))&amp;"","")</f>
        <v/>
      </c>
      <c r="M416" s="21" t="str">
        <f aca="false">IFERROR(INDEX(종합!M$3:M$501,MATCH(ROW()-2,종합!$AE$3:$AE$501,0))&amp;"","")</f>
        <v/>
      </c>
      <c r="N416" s="25" t="str">
        <f aca="false">IFERROR(INDEX(종합!N$3:N$501,MATCH(ROW()-2,종합!$AE$3:$AE$501,0))&amp;"","")</f>
        <v/>
      </c>
      <c r="O416" s="21" t="str">
        <f aca="false">IFERROR(INDEX(종합!O$3:O$501,MATCH(ROW()-2,종합!$AE$3:$AE$501,0))&amp;"","")</f>
        <v/>
      </c>
      <c r="P416" s="21" t="str">
        <f aca="false">IFERROR(INDEX(종합!P$3:P$501,MATCH(ROW()-2,종합!$AE$3:$AE$501,0))&amp;"","")</f>
        <v/>
      </c>
      <c r="Q416" s="21" t="str">
        <f aca="false">IFERROR(INDEX(종합!Q$3:Q$501,MATCH(ROW()-2,종합!$AE$3:$AE$501,0))&amp;"","")</f>
        <v/>
      </c>
      <c r="R416" s="21" t="str">
        <f aca="false">IFERROR(INDEX(종합!R$3:R$501,MATCH(ROW()-2,종합!$AE$3:$AE$501,0))&amp;"","")</f>
        <v/>
      </c>
      <c r="S416" s="21" t="str">
        <f aca="false">IFERROR(INDEX(종합!S$3:S$501,MATCH(ROW()-2,종합!$AE$3:$AE$501,0))&amp;"","")</f>
        <v/>
      </c>
      <c r="T416" s="21" t="str">
        <f aca="false">IFERROR(INDEX(종합!T$3:T$501,MATCH(ROW()-2,종합!$AE$3:$AE$501,0))&amp;"","")</f>
        <v/>
      </c>
      <c r="U416" s="21" t="str">
        <f aca="false">IFERROR(INDEX(종합!U$3:U$501,MATCH(ROW()-2,종합!$AE$3:$AE$501,0))&amp;"","")</f>
        <v/>
      </c>
      <c r="V416" s="21" t="str">
        <f aca="false">IFERROR(INDEX(종합!V$3:V$501,MATCH(ROW()-2,종합!$AE$3:$AE$501,0))&amp;"","")</f>
        <v/>
      </c>
      <c r="W416" s="21" t="str">
        <f aca="false">IFERROR(INDEX(종합!W$3:W$501,MATCH(ROW()-2,종합!$AE$3:$AE$501,0))&amp;"","")</f>
        <v/>
      </c>
      <c r="X416" s="21" t="str">
        <f aca="false">IFERROR(INDEX(종합!X$3:X$501,MATCH(ROW()-2,종합!$AE$3:$AE$501,0))&amp;"","")</f>
        <v/>
      </c>
      <c r="Y416" s="21" t="str">
        <f aca="false">IFERROR(INDEX(종합!Y$3:Y$501,MATCH(ROW()-2,종합!$AE$3:$AE$501,0))&amp;"","")</f>
        <v/>
      </c>
      <c r="Z416" s="21" t="str">
        <f aca="false">IFERROR(INDEX(종합!Z$3:Z$501,MATCH(ROW()-2,종합!$AE$3:$AE$501,0))&amp;"","")</f>
        <v/>
      </c>
    </row>
    <row r="417" customFormat="false" ht="16.5" hidden="false" customHeight="true" outlineLevel="0" collapsed="false">
      <c r="A417" s="18" t="str">
        <f aca="false">IF(B417="","",ROW()-2)</f>
        <v/>
      </c>
      <c r="B417" s="18" t="str">
        <f aca="false">IFERROR(INDEX(종합!B$3:B$501,MATCH(ROW()-2,종합!$AE$3:$AE$501,0))&amp;"","")</f>
        <v/>
      </c>
      <c r="C417" s="18" t="str">
        <f aca="false">IFERROR(INDEX(종합!C$3:C$501,MATCH(ROW()-2,종합!$AE$3:$AE$501,0))&amp;"","")</f>
        <v/>
      </c>
      <c r="D417" s="18" t="str">
        <f aca="false">IFERROR(INDEX(종합!D$3:D$501,MATCH(ROW()-2,종합!$AE$3:$AE$501,0))&amp;"","")</f>
        <v/>
      </c>
      <c r="E417" s="18" t="str">
        <f aca="false">IFERROR(INDEX(종합!E$3:E$501,MATCH(ROW()-2,종합!$AE$3:$AE$501,0))&amp;"","")</f>
        <v/>
      </c>
      <c r="F417" s="18" t="str">
        <f aca="false">IFERROR(INDEX(종합!F$3:F$501,MATCH(ROW()-2,종합!$AE$3:$AE$501,0))&amp;"","")</f>
        <v/>
      </c>
      <c r="G417" s="18" t="str">
        <f aca="false">IFERROR(INDEX(종합!G$3:G$501,MATCH(ROW()-2,종합!$AE$3:$AE$501,0))&amp;"","")</f>
        <v/>
      </c>
      <c r="H417" s="21" t="str">
        <f aca="false">IFERROR(INDEX(종합!H$3:H$501,MATCH(ROW()-2,종합!$AE$3:$AE$501,0))&amp;"","")</f>
        <v/>
      </c>
      <c r="I417" s="21" t="str">
        <f aca="false">IFERROR(INDEX(종합!I$3:I$501,MATCH(ROW()-2,종합!$AE$3:$AE$501,0))&amp;"","")</f>
        <v/>
      </c>
      <c r="J417" s="21" t="str">
        <f aca="false">IFERROR(INDEX(종합!J$3:J$501,MATCH(ROW()-2,종합!$AE$3:$AE$501,0))&amp;"","")</f>
        <v/>
      </c>
      <c r="K417" s="21" t="str">
        <f aca="false">IFERROR(INDEX(종합!K$3:K$501,MATCH(ROW()-2,종합!$AE$3:$AE$501,0))&amp;"","")</f>
        <v/>
      </c>
      <c r="L417" s="21" t="str">
        <f aca="false">IFERROR(INDEX(종합!L$3:L$501,MATCH(ROW()-2,종합!$AE$3:$AE$501,0))&amp;"","")</f>
        <v/>
      </c>
      <c r="M417" s="21" t="str">
        <f aca="false">IFERROR(INDEX(종합!M$3:M$501,MATCH(ROW()-2,종합!$AE$3:$AE$501,0))&amp;"","")</f>
        <v/>
      </c>
      <c r="N417" s="25" t="str">
        <f aca="false">IFERROR(INDEX(종합!N$3:N$501,MATCH(ROW()-2,종합!$AE$3:$AE$501,0))&amp;"","")</f>
        <v/>
      </c>
      <c r="O417" s="21" t="str">
        <f aca="false">IFERROR(INDEX(종합!O$3:O$501,MATCH(ROW()-2,종합!$AE$3:$AE$501,0))&amp;"","")</f>
        <v/>
      </c>
      <c r="P417" s="21" t="str">
        <f aca="false">IFERROR(INDEX(종합!P$3:P$501,MATCH(ROW()-2,종합!$AE$3:$AE$501,0))&amp;"","")</f>
        <v/>
      </c>
      <c r="Q417" s="21" t="str">
        <f aca="false">IFERROR(INDEX(종합!Q$3:Q$501,MATCH(ROW()-2,종합!$AE$3:$AE$501,0))&amp;"","")</f>
        <v/>
      </c>
      <c r="R417" s="21" t="str">
        <f aca="false">IFERROR(INDEX(종합!R$3:R$501,MATCH(ROW()-2,종합!$AE$3:$AE$501,0))&amp;"","")</f>
        <v/>
      </c>
      <c r="S417" s="21" t="str">
        <f aca="false">IFERROR(INDEX(종합!S$3:S$501,MATCH(ROW()-2,종합!$AE$3:$AE$501,0))&amp;"","")</f>
        <v/>
      </c>
      <c r="T417" s="21" t="str">
        <f aca="false">IFERROR(INDEX(종합!T$3:T$501,MATCH(ROW()-2,종합!$AE$3:$AE$501,0))&amp;"","")</f>
        <v/>
      </c>
      <c r="U417" s="21" t="str">
        <f aca="false">IFERROR(INDEX(종합!U$3:U$501,MATCH(ROW()-2,종합!$AE$3:$AE$501,0))&amp;"","")</f>
        <v/>
      </c>
      <c r="V417" s="21" t="str">
        <f aca="false">IFERROR(INDEX(종합!V$3:V$501,MATCH(ROW()-2,종합!$AE$3:$AE$501,0))&amp;"","")</f>
        <v/>
      </c>
      <c r="W417" s="21" t="str">
        <f aca="false">IFERROR(INDEX(종합!W$3:W$501,MATCH(ROW()-2,종합!$AE$3:$AE$501,0))&amp;"","")</f>
        <v/>
      </c>
      <c r="X417" s="21" t="str">
        <f aca="false">IFERROR(INDEX(종합!X$3:X$501,MATCH(ROW()-2,종합!$AE$3:$AE$501,0))&amp;"","")</f>
        <v/>
      </c>
      <c r="Y417" s="21" t="str">
        <f aca="false">IFERROR(INDEX(종합!Y$3:Y$501,MATCH(ROW()-2,종합!$AE$3:$AE$501,0))&amp;"","")</f>
        <v/>
      </c>
      <c r="Z417" s="21" t="str">
        <f aca="false">IFERROR(INDEX(종합!Z$3:Z$501,MATCH(ROW()-2,종합!$AE$3:$AE$501,0))&amp;"","")</f>
        <v/>
      </c>
    </row>
    <row r="418" customFormat="false" ht="16.5" hidden="false" customHeight="true" outlineLevel="0" collapsed="false">
      <c r="A418" s="18" t="str">
        <f aca="false">IF(B418="","",ROW()-2)</f>
        <v/>
      </c>
      <c r="B418" s="18" t="str">
        <f aca="false">IFERROR(INDEX(종합!B$3:B$501,MATCH(ROW()-2,종합!$AE$3:$AE$501,0))&amp;"","")</f>
        <v/>
      </c>
      <c r="C418" s="18" t="str">
        <f aca="false">IFERROR(INDEX(종합!C$3:C$501,MATCH(ROW()-2,종합!$AE$3:$AE$501,0))&amp;"","")</f>
        <v/>
      </c>
      <c r="D418" s="18" t="str">
        <f aca="false">IFERROR(INDEX(종합!D$3:D$501,MATCH(ROW()-2,종합!$AE$3:$AE$501,0))&amp;"","")</f>
        <v/>
      </c>
      <c r="E418" s="18" t="str">
        <f aca="false">IFERROR(INDEX(종합!E$3:E$501,MATCH(ROW()-2,종합!$AE$3:$AE$501,0))&amp;"","")</f>
        <v/>
      </c>
      <c r="F418" s="18" t="str">
        <f aca="false">IFERROR(INDEX(종합!F$3:F$501,MATCH(ROW()-2,종합!$AE$3:$AE$501,0))&amp;"","")</f>
        <v/>
      </c>
      <c r="G418" s="18" t="str">
        <f aca="false">IFERROR(INDEX(종합!G$3:G$501,MATCH(ROW()-2,종합!$AE$3:$AE$501,0))&amp;"","")</f>
        <v/>
      </c>
      <c r="H418" s="21" t="str">
        <f aca="false">IFERROR(INDEX(종합!H$3:H$501,MATCH(ROW()-2,종합!$AE$3:$AE$501,0))&amp;"","")</f>
        <v/>
      </c>
      <c r="I418" s="21" t="str">
        <f aca="false">IFERROR(INDEX(종합!I$3:I$501,MATCH(ROW()-2,종합!$AE$3:$AE$501,0))&amp;"","")</f>
        <v/>
      </c>
      <c r="J418" s="21" t="str">
        <f aca="false">IFERROR(INDEX(종합!J$3:J$501,MATCH(ROW()-2,종합!$AE$3:$AE$501,0))&amp;"","")</f>
        <v/>
      </c>
      <c r="K418" s="21" t="str">
        <f aca="false">IFERROR(INDEX(종합!K$3:K$501,MATCH(ROW()-2,종합!$AE$3:$AE$501,0))&amp;"","")</f>
        <v/>
      </c>
      <c r="L418" s="21" t="str">
        <f aca="false">IFERROR(INDEX(종합!L$3:L$501,MATCH(ROW()-2,종합!$AE$3:$AE$501,0))&amp;"","")</f>
        <v/>
      </c>
      <c r="M418" s="21" t="str">
        <f aca="false">IFERROR(INDEX(종합!M$3:M$501,MATCH(ROW()-2,종합!$AE$3:$AE$501,0))&amp;"","")</f>
        <v/>
      </c>
      <c r="N418" s="25" t="str">
        <f aca="false">IFERROR(INDEX(종합!N$3:N$501,MATCH(ROW()-2,종합!$AE$3:$AE$501,0))&amp;"","")</f>
        <v/>
      </c>
      <c r="O418" s="21" t="str">
        <f aca="false">IFERROR(INDEX(종합!O$3:O$501,MATCH(ROW()-2,종합!$AE$3:$AE$501,0))&amp;"","")</f>
        <v/>
      </c>
      <c r="P418" s="21" t="str">
        <f aca="false">IFERROR(INDEX(종합!P$3:P$501,MATCH(ROW()-2,종합!$AE$3:$AE$501,0))&amp;"","")</f>
        <v/>
      </c>
      <c r="Q418" s="21" t="str">
        <f aca="false">IFERROR(INDEX(종합!Q$3:Q$501,MATCH(ROW()-2,종합!$AE$3:$AE$501,0))&amp;"","")</f>
        <v/>
      </c>
      <c r="R418" s="21" t="str">
        <f aca="false">IFERROR(INDEX(종합!R$3:R$501,MATCH(ROW()-2,종합!$AE$3:$AE$501,0))&amp;"","")</f>
        <v/>
      </c>
      <c r="S418" s="21" t="str">
        <f aca="false">IFERROR(INDEX(종합!S$3:S$501,MATCH(ROW()-2,종합!$AE$3:$AE$501,0))&amp;"","")</f>
        <v/>
      </c>
      <c r="T418" s="21" t="str">
        <f aca="false">IFERROR(INDEX(종합!T$3:T$501,MATCH(ROW()-2,종합!$AE$3:$AE$501,0))&amp;"","")</f>
        <v/>
      </c>
      <c r="U418" s="21" t="str">
        <f aca="false">IFERROR(INDEX(종합!U$3:U$501,MATCH(ROW()-2,종합!$AE$3:$AE$501,0))&amp;"","")</f>
        <v/>
      </c>
      <c r="V418" s="21" t="str">
        <f aca="false">IFERROR(INDEX(종합!V$3:V$501,MATCH(ROW()-2,종합!$AE$3:$AE$501,0))&amp;"","")</f>
        <v/>
      </c>
      <c r="W418" s="21" t="str">
        <f aca="false">IFERROR(INDEX(종합!W$3:W$501,MATCH(ROW()-2,종합!$AE$3:$AE$501,0))&amp;"","")</f>
        <v/>
      </c>
      <c r="X418" s="21" t="str">
        <f aca="false">IFERROR(INDEX(종합!X$3:X$501,MATCH(ROW()-2,종합!$AE$3:$AE$501,0))&amp;"","")</f>
        <v/>
      </c>
      <c r="Y418" s="21" t="str">
        <f aca="false">IFERROR(INDEX(종합!Y$3:Y$501,MATCH(ROW()-2,종합!$AE$3:$AE$501,0))&amp;"","")</f>
        <v/>
      </c>
      <c r="Z418" s="21" t="str">
        <f aca="false">IFERROR(INDEX(종합!Z$3:Z$501,MATCH(ROW()-2,종합!$AE$3:$AE$501,0))&amp;"","")</f>
        <v/>
      </c>
    </row>
    <row r="419" customFormat="false" ht="16.5" hidden="false" customHeight="true" outlineLevel="0" collapsed="false">
      <c r="A419" s="18" t="str">
        <f aca="false">IF(B419="","",ROW()-2)</f>
        <v/>
      </c>
      <c r="B419" s="18" t="str">
        <f aca="false">IFERROR(INDEX(종합!B$3:B$501,MATCH(ROW()-2,종합!$AE$3:$AE$501,0))&amp;"","")</f>
        <v/>
      </c>
      <c r="C419" s="18" t="str">
        <f aca="false">IFERROR(INDEX(종합!C$3:C$501,MATCH(ROW()-2,종합!$AE$3:$AE$501,0))&amp;"","")</f>
        <v/>
      </c>
      <c r="D419" s="18" t="str">
        <f aca="false">IFERROR(INDEX(종합!D$3:D$501,MATCH(ROW()-2,종합!$AE$3:$AE$501,0))&amp;"","")</f>
        <v/>
      </c>
      <c r="E419" s="18" t="str">
        <f aca="false">IFERROR(INDEX(종합!E$3:E$501,MATCH(ROW()-2,종합!$AE$3:$AE$501,0))&amp;"","")</f>
        <v/>
      </c>
      <c r="F419" s="18" t="str">
        <f aca="false">IFERROR(INDEX(종합!F$3:F$501,MATCH(ROW()-2,종합!$AE$3:$AE$501,0))&amp;"","")</f>
        <v/>
      </c>
      <c r="G419" s="18" t="str">
        <f aca="false">IFERROR(INDEX(종합!G$3:G$501,MATCH(ROW()-2,종합!$AE$3:$AE$501,0))&amp;"","")</f>
        <v/>
      </c>
      <c r="H419" s="21" t="str">
        <f aca="false">IFERROR(INDEX(종합!H$3:H$501,MATCH(ROW()-2,종합!$AE$3:$AE$501,0))&amp;"","")</f>
        <v/>
      </c>
      <c r="I419" s="21" t="str">
        <f aca="false">IFERROR(INDEX(종합!I$3:I$501,MATCH(ROW()-2,종합!$AE$3:$AE$501,0))&amp;"","")</f>
        <v/>
      </c>
      <c r="J419" s="21" t="str">
        <f aca="false">IFERROR(INDEX(종합!J$3:J$501,MATCH(ROW()-2,종합!$AE$3:$AE$501,0))&amp;"","")</f>
        <v/>
      </c>
      <c r="K419" s="21" t="str">
        <f aca="false">IFERROR(INDEX(종합!K$3:K$501,MATCH(ROW()-2,종합!$AE$3:$AE$501,0))&amp;"","")</f>
        <v/>
      </c>
      <c r="L419" s="21" t="str">
        <f aca="false">IFERROR(INDEX(종합!L$3:L$501,MATCH(ROW()-2,종합!$AE$3:$AE$501,0))&amp;"","")</f>
        <v/>
      </c>
      <c r="M419" s="21" t="str">
        <f aca="false">IFERROR(INDEX(종합!M$3:M$501,MATCH(ROW()-2,종합!$AE$3:$AE$501,0))&amp;"","")</f>
        <v/>
      </c>
      <c r="N419" s="25" t="str">
        <f aca="false">IFERROR(INDEX(종합!N$3:N$501,MATCH(ROW()-2,종합!$AE$3:$AE$501,0))&amp;"","")</f>
        <v/>
      </c>
      <c r="O419" s="21" t="str">
        <f aca="false">IFERROR(INDEX(종합!O$3:O$501,MATCH(ROW()-2,종합!$AE$3:$AE$501,0))&amp;"","")</f>
        <v/>
      </c>
      <c r="P419" s="21" t="str">
        <f aca="false">IFERROR(INDEX(종합!P$3:P$501,MATCH(ROW()-2,종합!$AE$3:$AE$501,0))&amp;"","")</f>
        <v/>
      </c>
      <c r="Q419" s="21" t="str">
        <f aca="false">IFERROR(INDEX(종합!Q$3:Q$501,MATCH(ROW()-2,종합!$AE$3:$AE$501,0))&amp;"","")</f>
        <v/>
      </c>
      <c r="R419" s="21" t="str">
        <f aca="false">IFERROR(INDEX(종합!R$3:R$501,MATCH(ROW()-2,종합!$AE$3:$AE$501,0))&amp;"","")</f>
        <v/>
      </c>
      <c r="S419" s="21" t="str">
        <f aca="false">IFERROR(INDEX(종합!S$3:S$501,MATCH(ROW()-2,종합!$AE$3:$AE$501,0))&amp;"","")</f>
        <v/>
      </c>
      <c r="T419" s="21" t="str">
        <f aca="false">IFERROR(INDEX(종합!T$3:T$501,MATCH(ROW()-2,종합!$AE$3:$AE$501,0))&amp;"","")</f>
        <v/>
      </c>
      <c r="U419" s="21" t="str">
        <f aca="false">IFERROR(INDEX(종합!U$3:U$501,MATCH(ROW()-2,종합!$AE$3:$AE$501,0))&amp;"","")</f>
        <v/>
      </c>
      <c r="V419" s="21" t="str">
        <f aca="false">IFERROR(INDEX(종합!V$3:V$501,MATCH(ROW()-2,종합!$AE$3:$AE$501,0))&amp;"","")</f>
        <v/>
      </c>
      <c r="W419" s="21" t="str">
        <f aca="false">IFERROR(INDEX(종합!W$3:W$501,MATCH(ROW()-2,종합!$AE$3:$AE$501,0))&amp;"","")</f>
        <v/>
      </c>
      <c r="X419" s="21" t="str">
        <f aca="false">IFERROR(INDEX(종합!X$3:X$501,MATCH(ROW()-2,종합!$AE$3:$AE$501,0))&amp;"","")</f>
        <v/>
      </c>
      <c r="Y419" s="21" t="str">
        <f aca="false">IFERROR(INDEX(종합!Y$3:Y$501,MATCH(ROW()-2,종합!$AE$3:$AE$501,0))&amp;"","")</f>
        <v/>
      </c>
      <c r="Z419" s="21" t="str">
        <f aca="false">IFERROR(INDEX(종합!Z$3:Z$501,MATCH(ROW()-2,종합!$AE$3:$AE$501,0))&amp;"","")</f>
        <v/>
      </c>
    </row>
    <row r="420" customFormat="false" ht="16.5" hidden="false" customHeight="true" outlineLevel="0" collapsed="false">
      <c r="A420" s="18" t="str">
        <f aca="false">IF(B420="","",ROW()-2)</f>
        <v/>
      </c>
      <c r="B420" s="18" t="str">
        <f aca="false">IFERROR(INDEX(종합!B$3:B$501,MATCH(ROW()-2,종합!$AE$3:$AE$501,0))&amp;"","")</f>
        <v/>
      </c>
      <c r="C420" s="18" t="str">
        <f aca="false">IFERROR(INDEX(종합!C$3:C$501,MATCH(ROW()-2,종합!$AE$3:$AE$501,0))&amp;"","")</f>
        <v/>
      </c>
      <c r="D420" s="18" t="str">
        <f aca="false">IFERROR(INDEX(종합!D$3:D$501,MATCH(ROW()-2,종합!$AE$3:$AE$501,0))&amp;"","")</f>
        <v/>
      </c>
      <c r="E420" s="18" t="str">
        <f aca="false">IFERROR(INDEX(종합!E$3:E$501,MATCH(ROW()-2,종합!$AE$3:$AE$501,0))&amp;"","")</f>
        <v/>
      </c>
      <c r="F420" s="18" t="str">
        <f aca="false">IFERROR(INDEX(종합!F$3:F$501,MATCH(ROW()-2,종합!$AE$3:$AE$501,0))&amp;"","")</f>
        <v/>
      </c>
      <c r="G420" s="18" t="str">
        <f aca="false">IFERROR(INDEX(종합!G$3:G$501,MATCH(ROW()-2,종합!$AE$3:$AE$501,0))&amp;"","")</f>
        <v/>
      </c>
      <c r="H420" s="21" t="str">
        <f aca="false">IFERROR(INDEX(종합!H$3:H$501,MATCH(ROW()-2,종합!$AE$3:$AE$501,0))&amp;"","")</f>
        <v/>
      </c>
      <c r="I420" s="21" t="str">
        <f aca="false">IFERROR(INDEX(종합!I$3:I$501,MATCH(ROW()-2,종합!$AE$3:$AE$501,0))&amp;"","")</f>
        <v/>
      </c>
      <c r="J420" s="21" t="str">
        <f aca="false">IFERROR(INDEX(종합!J$3:J$501,MATCH(ROW()-2,종합!$AE$3:$AE$501,0))&amp;"","")</f>
        <v/>
      </c>
      <c r="K420" s="21" t="str">
        <f aca="false">IFERROR(INDEX(종합!K$3:K$501,MATCH(ROW()-2,종합!$AE$3:$AE$501,0))&amp;"","")</f>
        <v/>
      </c>
      <c r="L420" s="21" t="str">
        <f aca="false">IFERROR(INDEX(종합!L$3:L$501,MATCH(ROW()-2,종합!$AE$3:$AE$501,0))&amp;"","")</f>
        <v/>
      </c>
      <c r="M420" s="21" t="str">
        <f aca="false">IFERROR(INDEX(종합!M$3:M$501,MATCH(ROW()-2,종합!$AE$3:$AE$501,0))&amp;"","")</f>
        <v/>
      </c>
      <c r="N420" s="25" t="str">
        <f aca="false">IFERROR(INDEX(종합!N$3:N$501,MATCH(ROW()-2,종합!$AE$3:$AE$501,0))&amp;"","")</f>
        <v/>
      </c>
      <c r="O420" s="21" t="str">
        <f aca="false">IFERROR(INDEX(종합!O$3:O$501,MATCH(ROW()-2,종합!$AE$3:$AE$501,0))&amp;"","")</f>
        <v/>
      </c>
      <c r="P420" s="21" t="str">
        <f aca="false">IFERROR(INDEX(종합!P$3:P$501,MATCH(ROW()-2,종합!$AE$3:$AE$501,0))&amp;"","")</f>
        <v/>
      </c>
      <c r="Q420" s="21" t="str">
        <f aca="false">IFERROR(INDEX(종합!Q$3:Q$501,MATCH(ROW()-2,종합!$AE$3:$AE$501,0))&amp;"","")</f>
        <v/>
      </c>
      <c r="R420" s="21" t="str">
        <f aca="false">IFERROR(INDEX(종합!R$3:R$501,MATCH(ROW()-2,종합!$AE$3:$AE$501,0))&amp;"","")</f>
        <v/>
      </c>
      <c r="S420" s="21" t="str">
        <f aca="false">IFERROR(INDEX(종합!S$3:S$501,MATCH(ROW()-2,종합!$AE$3:$AE$501,0))&amp;"","")</f>
        <v/>
      </c>
      <c r="T420" s="21" t="str">
        <f aca="false">IFERROR(INDEX(종합!T$3:T$501,MATCH(ROW()-2,종합!$AE$3:$AE$501,0))&amp;"","")</f>
        <v/>
      </c>
      <c r="U420" s="21" t="str">
        <f aca="false">IFERROR(INDEX(종합!U$3:U$501,MATCH(ROW()-2,종합!$AE$3:$AE$501,0))&amp;"","")</f>
        <v/>
      </c>
      <c r="V420" s="21" t="str">
        <f aca="false">IFERROR(INDEX(종합!V$3:V$501,MATCH(ROW()-2,종합!$AE$3:$AE$501,0))&amp;"","")</f>
        <v/>
      </c>
      <c r="W420" s="21" t="str">
        <f aca="false">IFERROR(INDEX(종합!W$3:W$501,MATCH(ROW()-2,종합!$AE$3:$AE$501,0))&amp;"","")</f>
        <v/>
      </c>
      <c r="X420" s="21" t="str">
        <f aca="false">IFERROR(INDEX(종합!X$3:X$501,MATCH(ROW()-2,종합!$AE$3:$AE$501,0))&amp;"","")</f>
        <v/>
      </c>
      <c r="Y420" s="21" t="str">
        <f aca="false">IFERROR(INDEX(종합!Y$3:Y$501,MATCH(ROW()-2,종합!$AE$3:$AE$501,0))&amp;"","")</f>
        <v/>
      </c>
      <c r="Z420" s="21" t="str">
        <f aca="false">IFERROR(INDEX(종합!Z$3:Z$501,MATCH(ROW()-2,종합!$AE$3:$AE$501,0))&amp;"","")</f>
        <v/>
      </c>
    </row>
    <row r="421" customFormat="false" ht="16.5" hidden="false" customHeight="true" outlineLevel="0" collapsed="false">
      <c r="A421" s="18" t="str">
        <f aca="false">IF(B421="","",ROW()-2)</f>
        <v/>
      </c>
      <c r="B421" s="18" t="str">
        <f aca="false">IFERROR(INDEX(종합!B$3:B$501,MATCH(ROW()-2,종합!$AE$3:$AE$501,0))&amp;"","")</f>
        <v/>
      </c>
      <c r="C421" s="18" t="str">
        <f aca="false">IFERROR(INDEX(종합!C$3:C$501,MATCH(ROW()-2,종합!$AE$3:$AE$501,0))&amp;"","")</f>
        <v/>
      </c>
      <c r="D421" s="18" t="str">
        <f aca="false">IFERROR(INDEX(종합!D$3:D$501,MATCH(ROW()-2,종합!$AE$3:$AE$501,0))&amp;"","")</f>
        <v/>
      </c>
      <c r="E421" s="18" t="str">
        <f aca="false">IFERROR(INDEX(종합!E$3:E$501,MATCH(ROW()-2,종합!$AE$3:$AE$501,0))&amp;"","")</f>
        <v/>
      </c>
      <c r="F421" s="18" t="str">
        <f aca="false">IFERROR(INDEX(종합!F$3:F$501,MATCH(ROW()-2,종합!$AE$3:$AE$501,0))&amp;"","")</f>
        <v/>
      </c>
      <c r="G421" s="18" t="str">
        <f aca="false">IFERROR(INDEX(종합!G$3:G$501,MATCH(ROW()-2,종합!$AE$3:$AE$501,0))&amp;"","")</f>
        <v/>
      </c>
      <c r="H421" s="21" t="str">
        <f aca="false">IFERROR(INDEX(종합!H$3:H$501,MATCH(ROW()-2,종합!$AE$3:$AE$501,0))&amp;"","")</f>
        <v/>
      </c>
      <c r="I421" s="21" t="str">
        <f aca="false">IFERROR(INDEX(종합!I$3:I$501,MATCH(ROW()-2,종합!$AE$3:$AE$501,0))&amp;"","")</f>
        <v/>
      </c>
      <c r="J421" s="21" t="str">
        <f aca="false">IFERROR(INDEX(종합!J$3:J$501,MATCH(ROW()-2,종합!$AE$3:$AE$501,0))&amp;"","")</f>
        <v/>
      </c>
      <c r="K421" s="21" t="str">
        <f aca="false">IFERROR(INDEX(종합!K$3:K$501,MATCH(ROW()-2,종합!$AE$3:$AE$501,0))&amp;"","")</f>
        <v/>
      </c>
      <c r="L421" s="21" t="str">
        <f aca="false">IFERROR(INDEX(종합!L$3:L$501,MATCH(ROW()-2,종합!$AE$3:$AE$501,0))&amp;"","")</f>
        <v/>
      </c>
      <c r="M421" s="21" t="str">
        <f aca="false">IFERROR(INDEX(종합!M$3:M$501,MATCH(ROW()-2,종합!$AE$3:$AE$501,0))&amp;"","")</f>
        <v/>
      </c>
      <c r="N421" s="25" t="str">
        <f aca="false">IFERROR(INDEX(종합!N$3:N$501,MATCH(ROW()-2,종합!$AE$3:$AE$501,0))&amp;"","")</f>
        <v/>
      </c>
      <c r="O421" s="21" t="str">
        <f aca="false">IFERROR(INDEX(종합!O$3:O$501,MATCH(ROW()-2,종합!$AE$3:$AE$501,0))&amp;"","")</f>
        <v/>
      </c>
      <c r="P421" s="21" t="str">
        <f aca="false">IFERROR(INDEX(종합!P$3:P$501,MATCH(ROW()-2,종합!$AE$3:$AE$501,0))&amp;"","")</f>
        <v/>
      </c>
      <c r="Q421" s="21" t="str">
        <f aca="false">IFERROR(INDEX(종합!Q$3:Q$501,MATCH(ROW()-2,종합!$AE$3:$AE$501,0))&amp;"","")</f>
        <v/>
      </c>
      <c r="R421" s="21" t="str">
        <f aca="false">IFERROR(INDEX(종합!R$3:R$501,MATCH(ROW()-2,종합!$AE$3:$AE$501,0))&amp;"","")</f>
        <v/>
      </c>
      <c r="S421" s="21" t="str">
        <f aca="false">IFERROR(INDEX(종합!S$3:S$501,MATCH(ROW()-2,종합!$AE$3:$AE$501,0))&amp;"","")</f>
        <v/>
      </c>
      <c r="T421" s="21" t="str">
        <f aca="false">IFERROR(INDEX(종합!T$3:T$501,MATCH(ROW()-2,종합!$AE$3:$AE$501,0))&amp;"","")</f>
        <v/>
      </c>
      <c r="U421" s="21" t="str">
        <f aca="false">IFERROR(INDEX(종합!U$3:U$501,MATCH(ROW()-2,종합!$AE$3:$AE$501,0))&amp;"","")</f>
        <v/>
      </c>
      <c r="V421" s="21" t="str">
        <f aca="false">IFERROR(INDEX(종합!V$3:V$501,MATCH(ROW()-2,종합!$AE$3:$AE$501,0))&amp;"","")</f>
        <v/>
      </c>
      <c r="W421" s="21" t="str">
        <f aca="false">IFERROR(INDEX(종합!W$3:W$501,MATCH(ROW()-2,종합!$AE$3:$AE$501,0))&amp;"","")</f>
        <v/>
      </c>
      <c r="X421" s="21" t="str">
        <f aca="false">IFERROR(INDEX(종합!X$3:X$501,MATCH(ROW()-2,종합!$AE$3:$AE$501,0))&amp;"","")</f>
        <v/>
      </c>
      <c r="Y421" s="21" t="str">
        <f aca="false">IFERROR(INDEX(종합!Y$3:Y$501,MATCH(ROW()-2,종합!$AE$3:$AE$501,0))&amp;"","")</f>
        <v/>
      </c>
      <c r="Z421" s="21" t="str">
        <f aca="false">IFERROR(INDEX(종합!Z$3:Z$501,MATCH(ROW()-2,종합!$AE$3:$AE$501,0))&amp;"","")</f>
        <v/>
      </c>
    </row>
    <row r="422" customFormat="false" ht="16.5" hidden="false" customHeight="true" outlineLevel="0" collapsed="false">
      <c r="A422" s="18" t="str">
        <f aca="false">IF(B422="","",ROW()-2)</f>
        <v/>
      </c>
      <c r="B422" s="18" t="str">
        <f aca="false">IFERROR(INDEX(종합!B$3:B$501,MATCH(ROW()-2,종합!$AE$3:$AE$501,0))&amp;"","")</f>
        <v/>
      </c>
      <c r="C422" s="18" t="str">
        <f aca="false">IFERROR(INDEX(종합!C$3:C$501,MATCH(ROW()-2,종합!$AE$3:$AE$501,0))&amp;"","")</f>
        <v/>
      </c>
      <c r="D422" s="18" t="str">
        <f aca="false">IFERROR(INDEX(종합!D$3:D$501,MATCH(ROW()-2,종합!$AE$3:$AE$501,0))&amp;"","")</f>
        <v/>
      </c>
      <c r="E422" s="18" t="str">
        <f aca="false">IFERROR(INDEX(종합!E$3:E$501,MATCH(ROW()-2,종합!$AE$3:$AE$501,0))&amp;"","")</f>
        <v/>
      </c>
      <c r="F422" s="18" t="str">
        <f aca="false">IFERROR(INDEX(종합!F$3:F$501,MATCH(ROW()-2,종합!$AE$3:$AE$501,0))&amp;"","")</f>
        <v/>
      </c>
      <c r="G422" s="18" t="str">
        <f aca="false">IFERROR(INDEX(종합!G$3:G$501,MATCH(ROW()-2,종합!$AE$3:$AE$501,0))&amp;"","")</f>
        <v/>
      </c>
      <c r="H422" s="21" t="str">
        <f aca="false">IFERROR(INDEX(종합!H$3:H$501,MATCH(ROW()-2,종합!$AE$3:$AE$501,0))&amp;"","")</f>
        <v/>
      </c>
      <c r="I422" s="21" t="str">
        <f aca="false">IFERROR(INDEX(종합!I$3:I$501,MATCH(ROW()-2,종합!$AE$3:$AE$501,0))&amp;"","")</f>
        <v/>
      </c>
      <c r="J422" s="21" t="str">
        <f aca="false">IFERROR(INDEX(종합!J$3:J$501,MATCH(ROW()-2,종합!$AE$3:$AE$501,0))&amp;"","")</f>
        <v/>
      </c>
      <c r="K422" s="21" t="str">
        <f aca="false">IFERROR(INDEX(종합!K$3:K$501,MATCH(ROW()-2,종합!$AE$3:$AE$501,0))&amp;"","")</f>
        <v/>
      </c>
      <c r="L422" s="21" t="str">
        <f aca="false">IFERROR(INDEX(종합!L$3:L$501,MATCH(ROW()-2,종합!$AE$3:$AE$501,0))&amp;"","")</f>
        <v/>
      </c>
      <c r="M422" s="21" t="str">
        <f aca="false">IFERROR(INDEX(종합!M$3:M$501,MATCH(ROW()-2,종합!$AE$3:$AE$501,0))&amp;"","")</f>
        <v/>
      </c>
      <c r="N422" s="25" t="str">
        <f aca="false">IFERROR(INDEX(종합!N$3:N$501,MATCH(ROW()-2,종합!$AE$3:$AE$501,0))&amp;"","")</f>
        <v/>
      </c>
      <c r="O422" s="21" t="str">
        <f aca="false">IFERROR(INDEX(종합!O$3:O$501,MATCH(ROW()-2,종합!$AE$3:$AE$501,0))&amp;"","")</f>
        <v/>
      </c>
      <c r="P422" s="21" t="str">
        <f aca="false">IFERROR(INDEX(종합!P$3:P$501,MATCH(ROW()-2,종합!$AE$3:$AE$501,0))&amp;"","")</f>
        <v/>
      </c>
      <c r="Q422" s="21" t="str">
        <f aca="false">IFERROR(INDEX(종합!Q$3:Q$501,MATCH(ROW()-2,종합!$AE$3:$AE$501,0))&amp;"","")</f>
        <v/>
      </c>
      <c r="R422" s="21" t="str">
        <f aca="false">IFERROR(INDEX(종합!R$3:R$501,MATCH(ROW()-2,종합!$AE$3:$AE$501,0))&amp;"","")</f>
        <v/>
      </c>
      <c r="S422" s="21" t="str">
        <f aca="false">IFERROR(INDEX(종합!S$3:S$501,MATCH(ROW()-2,종합!$AE$3:$AE$501,0))&amp;"","")</f>
        <v/>
      </c>
      <c r="T422" s="21" t="str">
        <f aca="false">IFERROR(INDEX(종합!T$3:T$501,MATCH(ROW()-2,종합!$AE$3:$AE$501,0))&amp;"","")</f>
        <v/>
      </c>
      <c r="U422" s="21" t="str">
        <f aca="false">IFERROR(INDEX(종합!U$3:U$501,MATCH(ROW()-2,종합!$AE$3:$AE$501,0))&amp;"","")</f>
        <v/>
      </c>
      <c r="V422" s="21" t="str">
        <f aca="false">IFERROR(INDEX(종합!V$3:V$501,MATCH(ROW()-2,종합!$AE$3:$AE$501,0))&amp;"","")</f>
        <v/>
      </c>
      <c r="W422" s="21" t="str">
        <f aca="false">IFERROR(INDEX(종합!W$3:W$501,MATCH(ROW()-2,종합!$AE$3:$AE$501,0))&amp;"","")</f>
        <v/>
      </c>
      <c r="X422" s="21" t="str">
        <f aca="false">IFERROR(INDEX(종합!X$3:X$501,MATCH(ROW()-2,종합!$AE$3:$AE$501,0))&amp;"","")</f>
        <v/>
      </c>
      <c r="Y422" s="21" t="str">
        <f aca="false">IFERROR(INDEX(종합!Y$3:Y$501,MATCH(ROW()-2,종합!$AE$3:$AE$501,0))&amp;"","")</f>
        <v/>
      </c>
      <c r="Z422" s="21" t="str">
        <f aca="false">IFERROR(INDEX(종합!Z$3:Z$501,MATCH(ROW()-2,종합!$AE$3:$AE$501,0))&amp;"","")</f>
        <v/>
      </c>
    </row>
    <row r="423" customFormat="false" ht="16.5" hidden="false" customHeight="true" outlineLevel="0" collapsed="false">
      <c r="A423" s="18" t="str">
        <f aca="false">IF(B423="","",ROW()-2)</f>
        <v/>
      </c>
      <c r="B423" s="18" t="str">
        <f aca="false">IFERROR(INDEX(종합!B$3:B$501,MATCH(ROW()-2,종합!$AE$3:$AE$501,0))&amp;"","")</f>
        <v/>
      </c>
      <c r="C423" s="18" t="str">
        <f aca="false">IFERROR(INDEX(종합!C$3:C$501,MATCH(ROW()-2,종합!$AE$3:$AE$501,0))&amp;"","")</f>
        <v/>
      </c>
      <c r="D423" s="18" t="str">
        <f aca="false">IFERROR(INDEX(종합!D$3:D$501,MATCH(ROW()-2,종합!$AE$3:$AE$501,0))&amp;"","")</f>
        <v/>
      </c>
      <c r="E423" s="18" t="str">
        <f aca="false">IFERROR(INDEX(종합!E$3:E$501,MATCH(ROW()-2,종합!$AE$3:$AE$501,0))&amp;"","")</f>
        <v/>
      </c>
      <c r="F423" s="18" t="str">
        <f aca="false">IFERROR(INDEX(종합!F$3:F$501,MATCH(ROW()-2,종합!$AE$3:$AE$501,0))&amp;"","")</f>
        <v/>
      </c>
      <c r="G423" s="18" t="str">
        <f aca="false">IFERROR(INDEX(종합!G$3:G$501,MATCH(ROW()-2,종합!$AE$3:$AE$501,0))&amp;"","")</f>
        <v/>
      </c>
      <c r="H423" s="21" t="str">
        <f aca="false">IFERROR(INDEX(종합!H$3:H$501,MATCH(ROW()-2,종합!$AE$3:$AE$501,0))&amp;"","")</f>
        <v/>
      </c>
      <c r="I423" s="21" t="str">
        <f aca="false">IFERROR(INDEX(종합!I$3:I$501,MATCH(ROW()-2,종합!$AE$3:$AE$501,0))&amp;"","")</f>
        <v/>
      </c>
      <c r="J423" s="21" t="str">
        <f aca="false">IFERROR(INDEX(종합!J$3:J$501,MATCH(ROW()-2,종합!$AE$3:$AE$501,0))&amp;"","")</f>
        <v/>
      </c>
      <c r="K423" s="21" t="str">
        <f aca="false">IFERROR(INDEX(종합!K$3:K$501,MATCH(ROW()-2,종합!$AE$3:$AE$501,0))&amp;"","")</f>
        <v/>
      </c>
      <c r="L423" s="21" t="str">
        <f aca="false">IFERROR(INDEX(종합!L$3:L$501,MATCH(ROW()-2,종합!$AE$3:$AE$501,0))&amp;"","")</f>
        <v/>
      </c>
      <c r="M423" s="21" t="str">
        <f aca="false">IFERROR(INDEX(종합!M$3:M$501,MATCH(ROW()-2,종합!$AE$3:$AE$501,0))&amp;"","")</f>
        <v/>
      </c>
      <c r="N423" s="25" t="str">
        <f aca="false">IFERROR(INDEX(종합!N$3:N$501,MATCH(ROW()-2,종합!$AE$3:$AE$501,0))&amp;"","")</f>
        <v/>
      </c>
      <c r="O423" s="21" t="str">
        <f aca="false">IFERROR(INDEX(종합!O$3:O$501,MATCH(ROW()-2,종합!$AE$3:$AE$501,0))&amp;"","")</f>
        <v/>
      </c>
      <c r="P423" s="21" t="str">
        <f aca="false">IFERROR(INDEX(종합!P$3:P$501,MATCH(ROW()-2,종합!$AE$3:$AE$501,0))&amp;"","")</f>
        <v/>
      </c>
      <c r="Q423" s="21" t="str">
        <f aca="false">IFERROR(INDEX(종합!Q$3:Q$501,MATCH(ROW()-2,종합!$AE$3:$AE$501,0))&amp;"","")</f>
        <v/>
      </c>
      <c r="R423" s="21" t="str">
        <f aca="false">IFERROR(INDEX(종합!R$3:R$501,MATCH(ROW()-2,종합!$AE$3:$AE$501,0))&amp;"","")</f>
        <v/>
      </c>
      <c r="S423" s="21" t="str">
        <f aca="false">IFERROR(INDEX(종합!S$3:S$501,MATCH(ROW()-2,종합!$AE$3:$AE$501,0))&amp;"","")</f>
        <v/>
      </c>
      <c r="T423" s="21" t="str">
        <f aca="false">IFERROR(INDEX(종합!T$3:T$501,MATCH(ROW()-2,종합!$AE$3:$AE$501,0))&amp;"","")</f>
        <v/>
      </c>
      <c r="U423" s="21" t="str">
        <f aca="false">IFERROR(INDEX(종합!U$3:U$501,MATCH(ROW()-2,종합!$AE$3:$AE$501,0))&amp;"","")</f>
        <v/>
      </c>
      <c r="V423" s="21" t="str">
        <f aca="false">IFERROR(INDEX(종합!V$3:V$501,MATCH(ROW()-2,종합!$AE$3:$AE$501,0))&amp;"","")</f>
        <v/>
      </c>
      <c r="W423" s="21" t="str">
        <f aca="false">IFERROR(INDEX(종합!W$3:W$501,MATCH(ROW()-2,종합!$AE$3:$AE$501,0))&amp;"","")</f>
        <v/>
      </c>
      <c r="X423" s="21" t="str">
        <f aca="false">IFERROR(INDEX(종합!X$3:X$501,MATCH(ROW()-2,종합!$AE$3:$AE$501,0))&amp;"","")</f>
        <v/>
      </c>
      <c r="Y423" s="21" t="str">
        <f aca="false">IFERROR(INDEX(종합!Y$3:Y$501,MATCH(ROW()-2,종합!$AE$3:$AE$501,0))&amp;"","")</f>
        <v/>
      </c>
      <c r="Z423" s="21" t="str">
        <f aca="false">IFERROR(INDEX(종합!Z$3:Z$501,MATCH(ROW()-2,종합!$AE$3:$AE$501,0))&amp;"","")</f>
        <v/>
      </c>
    </row>
    <row r="424" customFormat="false" ht="16.5" hidden="false" customHeight="true" outlineLevel="0" collapsed="false">
      <c r="A424" s="18" t="str">
        <f aca="false">IF(B424="","",ROW()-2)</f>
        <v/>
      </c>
      <c r="B424" s="18" t="str">
        <f aca="false">IFERROR(INDEX(종합!B$3:B$501,MATCH(ROW()-2,종합!$AE$3:$AE$501,0))&amp;"","")</f>
        <v/>
      </c>
      <c r="C424" s="18" t="str">
        <f aca="false">IFERROR(INDEX(종합!C$3:C$501,MATCH(ROW()-2,종합!$AE$3:$AE$501,0))&amp;"","")</f>
        <v/>
      </c>
      <c r="D424" s="18" t="str">
        <f aca="false">IFERROR(INDEX(종합!D$3:D$501,MATCH(ROW()-2,종합!$AE$3:$AE$501,0))&amp;"","")</f>
        <v/>
      </c>
      <c r="E424" s="18" t="str">
        <f aca="false">IFERROR(INDEX(종합!E$3:E$501,MATCH(ROW()-2,종합!$AE$3:$AE$501,0))&amp;"","")</f>
        <v/>
      </c>
      <c r="F424" s="18" t="str">
        <f aca="false">IFERROR(INDEX(종합!F$3:F$501,MATCH(ROW()-2,종합!$AE$3:$AE$501,0))&amp;"","")</f>
        <v/>
      </c>
      <c r="G424" s="18" t="str">
        <f aca="false">IFERROR(INDEX(종합!G$3:G$501,MATCH(ROW()-2,종합!$AE$3:$AE$501,0))&amp;"","")</f>
        <v/>
      </c>
      <c r="H424" s="21" t="str">
        <f aca="false">IFERROR(INDEX(종합!H$3:H$501,MATCH(ROW()-2,종합!$AE$3:$AE$501,0))&amp;"","")</f>
        <v/>
      </c>
      <c r="I424" s="21" t="str">
        <f aca="false">IFERROR(INDEX(종합!I$3:I$501,MATCH(ROW()-2,종합!$AE$3:$AE$501,0))&amp;"","")</f>
        <v/>
      </c>
      <c r="J424" s="21" t="str">
        <f aca="false">IFERROR(INDEX(종합!J$3:J$501,MATCH(ROW()-2,종합!$AE$3:$AE$501,0))&amp;"","")</f>
        <v/>
      </c>
      <c r="K424" s="21" t="str">
        <f aca="false">IFERROR(INDEX(종합!K$3:K$501,MATCH(ROW()-2,종합!$AE$3:$AE$501,0))&amp;"","")</f>
        <v/>
      </c>
      <c r="L424" s="21" t="str">
        <f aca="false">IFERROR(INDEX(종합!L$3:L$501,MATCH(ROW()-2,종합!$AE$3:$AE$501,0))&amp;"","")</f>
        <v/>
      </c>
      <c r="M424" s="21" t="str">
        <f aca="false">IFERROR(INDEX(종합!M$3:M$501,MATCH(ROW()-2,종합!$AE$3:$AE$501,0))&amp;"","")</f>
        <v/>
      </c>
      <c r="N424" s="25" t="str">
        <f aca="false">IFERROR(INDEX(종합!N$3:N$501,MATCH(ROW()-2,종합!$AE$3:$AE$501,0))&amp;"","")</f>
        <v/>
      </c>
      <c r="O424" s="21" t="str">
        <f aca="false">IFERROR(INDEX(종합!O$3:O$501,MATCH(ROW()-2,종합!$AE$3:$AE$501,0))&amp;"","")</f>
        <v/>
      </c>
      <c r="P424" s="21" t="str">
        <f aca="false">IFERROR(INDEX(종합!P$3:P$501,MATCH(ROW()-2,종합!$AE$3:$AE$501,0))&amp;"","")</f>
        <v/>
      </c>
      <c r="Q424" s="21" t="str">
        <f aca="false">IFERROR(INDEX(종합!Q$3:Q$501,MATCH(ROW()-2,종합!$AE$3:$AE$501,0))&amp;"","")</f>
        <v/>
      </c>
      <c r="R424" s="21" t="str">
        <f aca="false">IFERROR(INDEX(종합!R$3:R$501,MATCH(ROW()-2,종합!$AE$3:$AE$501,0))&amp;"","")</f>
        <v/>
      </c>
      <c r="S424" s="21" t="str">
        <f aca="false">IFERROR(INDEX(종합!S$3:S$501,MATCH(ROW()-2,종합!$AE$3:$AE$501,0))&amp;"","")</f>
        <v/>
      </c>
      <c r="T424" s="21" t="str">
        <f aca="false">IFERROR(INDEX(종합!T$3:T$501,MATCH(ROW()-2,종합!$AE$3:$AE$501,0))&amp;"","")</f>
        <v/>
      </c>
      <c r="U424" s="21" t="str">
        <f aca="false">IFERROR(INDEX(종합!U$3:U$501,MATCH(ROW()-2,종합!$AE$3:$AE$501,0))&amp;"","")</f>
        <v/>
      </c>
      <c r="V424" s="21" t="str">
        <f aca="false">IFERROR(INDEX(종합!V$3:V$501,MATCH(ROW()-2,종합!$AE$3:$AE$501,0))&amp;"","")</f>
        <v/>
      </c>
      <c r="W424" s="21" t="str">
        <f aca="false">IFERROR(INDEX(종합!W$3:W$501,MATCH(ROW()-2,종합!$AE$3:$AE$501,0))&amp;"","")</f>
        <v/>
      </c>
      <c r="X424" s="21" t="str">
        <f aca="false">IFERROR(INDEX(종합!X$3:X$501,MATCH(ROW()-2,종합!$AE$3:$AE$501,0))&amp;"","")</f>
        <v/>
      </c>
      <c r="Y424" s="21" t="str">
        <f aca="false">IFERROR(INDEX(종합!Y$3:Y$501,MATCH(ROW()-2,종합!$AE$3:$AE$501,0))&amp;"","")</f>
        <v/>
      </c>
      <c r="Z424" s="21" t="str">
        <f aca="false">IFERROR(INDEX(종합!Z$3:Z$501,MATCH(ROW()-2,종합!$AE$3:$AE$501,0))&amp;"","")</f>
        <v/>
      </c>
    </row>
    <row r="425" customFormat="false" ht="16.5" hidden="false" customHeight="true" outlineLevel="0" collapsed="false">
      <c r="A425" s="18" t="str">
        <f aca="false">IF(B425="","",ROW()-2)</f>
        <v/>
      </c>
      <c r="B425" s="18" t="str">
        <f aca="false">IFERROR(INDEX(종합!B$3:B$501,MATCH(ROW()-2,종합!$AE$3:$AE$501,0))&amp;"","")</f>
        <v/>
      </c>
      <c r="C425" s="18" t="str">
        <f aca="false">IFERROR(INDEX(종합!C$3:C$501,MATCH(ROW()-2,종합!$AE$3:$AE$501,0))&amp;"","")</f>
        <v/>
      </c>
      <c r="D425" s="18" t="str">
        <f aca="false">IFERROR(INDEX(종합!D$3:D$501,MATCH(ROW()-2,종합!$AE$3:$AE$501,0))&amp;"","")</f>
        <v/>
      </c>
      <c r="E425" s="18" t="str">
        <f aca="false">IFERROR(INDEX(종합!E$3:E$501,MATCH(ROW()-2,종합!$AE$3:$AE$501,0))&amp;"","")</f>
        <v/>
      </c>
      <c r="F425" s="18" t="str">
        <f aca="false">IFERROR(INDEX(종합!F$3:F$501,MATCH(ROW()-2,종합!$AE$3:$AE$501,0))&amp;"","")</f>
        <v/>
      </c>
      <c r="G425" s="18" t="str">
        <f aca="false">IFERROR(INDEX(종합!G$3:G$501,MATCH(ROW()-2,종합!$AE$3:$AE$501,0))&amp;"","")</f>
        <v/>
      </c>
      <c r="H425" s="21" t="str">
        <f aca="false">IFERROR(INDEX(종합!H$3:H$501,MATCH(ROW()-2,종합!$AE$3:$AE$501,0))&amp;"","")</f>
        <v/>
      </c>
      <c r="I425" s="21" t="str">
        <f aca="false">IFERROR(INDEX(종합!I$3:I$501,MATCH(ROW()-2,종합!$AE$3:$AE$501,0))&amp;"","")</f>
        <v/>
      </c>
      <c r="J425" s="21" t="str">
        <f aca="false">IFERROR(INDEX(종합!J$3:J$501,MATCH(ROW()-2,종합!$AE$3:$AE$501,0))&amp;"","")</f>
        <v/>
      </c>
      <c r="K425" s="21" t="str">
        <f aca="false">IFERROR(INDEX(종합!K$3:K$501,MATCH(ROW()-2,종합!$AE$3:$AE$501,0))&amp;"","")</f>
        <v/>
      </c>
      <c r="L425" s="21" t="str">
        <f aca="false">IFERROR(INDEX(종합!L$3:L$501,MATCH(ROW()-2,종합!$AE$3:$AE$501,0))&amp;"","")</f>
        <v/>
      </c>
      <c r="M425" s="21" t="str">
        <f aca="false">IFERROR(INDEX(종합!M$3:M$501,MATCH(ROW()-2,종합!$AE$3:$AE$501,0))&amp;"","")</f>
        <v/>
      </c>
      <c r="N425" s="25" t="str">
        <f aca="false">IFERROR(INDEX(종합!N$3:N$501,MATCH(ROW()-2,종합!$AE$3:$AE$501,0))&amp;"","")</f>
        <v/>
      </c>
      <c r="O425" s="21" t="str">
        <f aca="false">IFERROR(INDEX(종합!O$3:O$501,MATCH(ROW()-2,종합!$AE$3:$AE$501,0))&amp;"","")</f>
        <v/>
      </c>
      <c r="P425" s="21" t="str">
        <f aca="false">IFERROR(INDEX(종합!P$3:P$501,MATCH(ROW()-2,종합!$AE$3:$AE$501,0))&amp;"","")</f>
        <v/>
      </c>
      <c r="Q425" s="21" t="str">
        <f aca="false">IFERROR(INDEX(종합!Q$3:Q$501,MATCH(ROW()-2,종합!$AE$3:$AE$501,0))&amp;"","")</f>
        <v/>
      </c>
      <c r="R425" s="21" t="str">
        <f aca="false">IFERROR(INDEX(종합!R$3:R$501,MATCH(ROW()-2,종합!$AE$3:$AE$501,0))&amp;"","")</f>
        <v/>
      </c>
      <c r="S425" s="21" t="str">
        <f aca="false">IFERROR(INDEX(종합!S$3:S$501,MATCH(ROW()-2,종합!$AE$3:$AE$501,0))&amp;"","")</f>
        <v/>
      </c>
      <c r="T425" s="21" t="str">
        <f aca="false">IFERROR(INDEX(종합!T$3:T$501,MATCH(ROW()-2,종합!$AE$3:$AE$501,0))&amp;"","")</f>
        <v/>
      </c>
      <c r="U425" s="21" t="str">
        <f aca="false">IFERROR(INDEX(종합!U$3:U$501,MATCH(ROW()-2,종합!$AE$3:$AE$501,0))&amp;"","")</f>
        <v/>
      </c>
      <c r="V425" s="21" t="str">
        <f aca="false">IFERROR(INDEX(종합!V$3:V$501,MATCH(ROW()-2,종합!$AE$3:$AE$501,0))&amp;"","")</f>
        <v/>
      </c>
      <c r="W425" s="21" t="str">
        <f aca="false">IFERROR(INDEX(종합!W$3:W$501,MATCH(ROW()-2,종합!$AE$3:$AE$501,0))&amp;"","")</f>
        <v/>
      </c>
      <c r="X425" s="21" t="str">
        <f aca="false">IFERROR(INDEX(종합!X$3:X$501,MATCH(ROW()-2,종합!$AE$3:$AE$501,0))&amp;"","")</f>
        <v/>
      </c>
      <c r="Y425" s="21" t="str">
        <f aca="false">IFERROR(INDEX(종합!Y$3:Y$501,MATCH(ROW()-2,종합!$AE$3:$AE$501,0))&amp;"","")</f>
        <v/>
      </c>
      <c r="Z425" s="21" t="str">
        <f aca="false">IFERROR(INDEX(종합!Z$3:Z$501,MATCH(ROW()-2,종합!$AE$3:$AE$501,0))&amp;"","")</f>
        <v/>
      </c>
    </row>
    <row r="426" customFormat="false" ht="16.5" hidden="false" customHeight="true" outlineLevel="0" collapsed="false">
      <c r="A426" s="18" t="str">
        <f aca="false">IF(B426="","",ROW()-2)</f>
        <v/>
      </c>
      <c r="B426" s="18" t="str">
        <f aca="false">IFERROR(INDEX(종합!B$3:B$501,MATCH(ROW()-2,종합!$AE$3:$AE$501,0))&amp;"","")</f>
        <v/>
      </c>
      <c r="C426" s="18" t="str">
        <f aca="false">IFERROR(INDEX(종합!C$3:C$501,MATCH(ROW()-2,종합!$AE$3:$AE$501,0))&amp;"","")</f>
        <v/>
      </c>
      <c r="D426" s="18" t="str">
        <f aca="false">IFERROR(INDEX(종합!D$3:D$501,MATCH(ROW()-2,종합!$AE$3:$AE$501,0))&amp;"","")</f>
        <v/>
      </c>
      <c r="E426" s="18" t="str">
        <f aca="false">IFERROR(INDEX(종합!E$3:E$501,MATCH(ROW()-2,종합!$AE$3:$AE$501,0))&amp;"","")</f>
        <v/>
      </c>
      <c r="F426" s="18" t="str">
        <f aca="false">IFERROR(INDEX(종합!F$3:F$501,MATCH(ROW()-2,종합!$AE$3:$AE$501,0))&amp;"","")</f>
        <v/>
      </c>
      <c r="G426" s="18" t="str">
        <f aca="false">IFERROR(INDEX(종합!G$3:G$501,MATCH(ROW()-2,종합!$AE$3:$AE$501,0))&amp;"","")</f>
        <v/>
      </c>
      <c r="H426" s="21" t="str">
        <f aca="false">IFERROR(INDEX(종합!H$3:H$501,MATCH(ROW()-2,종합!$AE$3:$AE$501,0))&amp;"","")</f>
        <v/>
      </c>
      <c r="I426" s="21" t="str">
        <f aca="false">IFERROR(INDEX(종합!I$3:I$501,MATCH(ROW()-2,종합!$AE$3:$AE$501,0))&amp;"","")</f>
        <v/>
      </c>
      <c r="J426" s="21" t="str">
        <f aca="false">IFERROR(INDEX(종합!J$3:J$501,MATCH(ROW()-2,종합!$AE$3:$AE$501,0))&amp;"","")</f>
        <v/>
      </c>
      <c r="K426" s="21" t="str">
        <f aca="false">IFERROR(INDEX(종합!K$3:K$501,MATCH(ROW()-2,종합!$AE$3:$AE$501,0))&amp;"","")</f>
        <v/>
      </c>
      <c r="L426" s="21" t="str">
        <f aca="false">IFERROR(INDEX(종합!L$3:L$501,MATCH(ROW()-2,종합!$AE$3:$AE$501,0))&amp;"","")</f>
        <v/>
      </c>
      <c r="M426" s="21" t="str">
        <f aca="false">IFERROR(INDEX(종합!M$3:M$501,MATCH(ROW()-2,종합!$AE$3:$AE$501,0))&amp;"","")</f>
        <v/>
      </c>
      <c r="N426" s="25" t="str">
        <f aca="false">IFERROR(INDEX(종합!N$3:N$501,MATCH(ROW()-2,종합!$AE$3:$AE$501,0))&amp;"","")</f>
        <v/>
      </c>
      <c r="O426" s="21" t="str">
        <f aca="false">IFERROR(INDEX(종합!O$3:O$501,MATCH(ROW()-2,종합!$AE$3:$AE$501,0))&amp;"","")</f>
        <v/>
      </c>
      <c r="P426" s="21" t="str">
        <f aca="false">IFERROR(INDEX(종합!P$3:P$501,MATCH(ROW()-2,종합!$AE$3:$AE$501,0))&amp;"","")</f>
        <v/>
      </c>
      <c r="Q426" s="21" t="str">
        <f aca="false">IFERROR(INDEX(종합!Q$3:Q$501,MATCH(ROW()-2,종합!$AE$3:$AE$501,0))&amp;"","")</f>
        <v/>
      </c>
      <c r="R426" s="21" t="str">
        <f aca="false">IFERROR(INDEX(종합!R$3:R$501,MATCH(ROW()-2,종합!$AE$3:$AE$501,0))&amp;"","")</f>
        <v/>
      </c>
      <c r="S426" s="21" t="str">
        <f aca="false">IFERROR(INDEX(종합!S$3:S$501,MATCH(ROW()-2,종합!$AE$3:$AE$501,0))&amp;"","")</f>
        <v/>
      </c>
      <c r="T426" s="21" t="str">
        <f aca="false">IFERROR(INDEX(종합!T$3:T$501,MATCH(ROW()-2,종합!$AE$3:$AE$501,0))&amp;"","")</f>
        <v/>
      </c>
      <c r="U426" s="21" t="str">
        <f aca="false">IFERROR(INDEX(종합!U$3:U$501,MATCH(ROW()-2,종합!$AE$3:$AE$501,0))&amp;"","")</f>
        <v/>
      </c>
      <c r="V426" s="21" t="str">
        <f aca="false">IFERROR(INDEX(종합!V$3:V$501,MATCH(ROW()-2,종합!$AE$3:$AE$501,0))&amp;"","")</f>
        <v/>
      </c>
      <c r="W426" s="21" t="str">
        <f aca="false">IFERROR(INDEX(종합!W$3:W$501,MATCH(ROW()-2,종합!$AE$3:$AE$501,0))&amp;"","")</f>
        <v/>
      </c>
      <c r="X426" s="21" t="str">
        <f aca="false">IFERROR(INDEX(종합!X$3:X$501,MATCH(ROW()-2,종합!$AE$3:$AE$501,0))&amp;"","")</f>
        <v/>
      </c>
      <c r="Y426" s="21" t="str">
        <f aca="false">IFERROR(INDEX(종합!Y$3:Y$501,MATCH(ROW()-2,종합!$AE$3:$AE$501,0))&amp;"","")</f>
        <v/>
      </c>
      <c r="Z426" s="21" t="str">
        <f aca="false">IFERROR(INDEX(종합!Z$3:Z$501,MATCH(ROW()-2,종합!$AE$3:$AE$501,0))&amp;"","")</f>
        <v/>
      </c>
    </row>
    <row r="427" customFormat="false" ht="16.5" hidden="false" customHeight="true" outlineLevel="0" collapsed="false">
      <c r="A427" s="18" t="str">
        <f aca="false">IF(B427="","",ROW()-2)</f>
        <v/>
      </c>
      <c r="B427" s="18" t="str">
        <f aca="false">IFERROR(INDEX(종합!B$3:B$501,MATCH(ROW()-2,종합!$AE$3:$AE$501,0))&amp;"","")</f>
        <v/>
      </c>
      <c r="C427" s="18" t="str">
        <f aca="false">IFERROR(INDEX(종합!C$3:C$501,MATCH(ROW()-2,종합!$AE$3:$AE$501,0))&amp;"","")</f>
        <v/>
      </c>
      <c r="D427" s="18" t="str">
        <f aca="false">IFERROR(INDEX(종합!D$3:D$501,MATCH(ROW()-2,종합!$AE$3:$AE$501,0))&amp;"","")</f>
        <v/>
      </c>
      <c r="E427" s="18" t="str">
        <f aca="false">IFERROR(INDEX(종합!E$3:E$501,MATCH(ROW()-2,종합!$AE$3:$AE$501,0))&amp;"","")</f>
        <v/>
      </c>
      <c r="F427" s="18" t="str">
        <f aca="false">IFERROR(INDEX(종합!F$3:F$501,MATCH(ROW()-2,종합!$AE$3:$AE$501,0))&amp;"","")</f>
        <v/>
      </c>
      <c r="G427" s="18" t="str">
        <f aca="false">IFERROR(INDEX(종합!G$3:G$501,MATCH(ROW()-2,종합!$AE$3:$AE$501,0))&amp;"","")</f>
        <v/>
      </c>
      <c r="H427" s="21" t="str">
        <f aca="false">IFERROR(INDEX(종합!H$3:H$501,MATCH(ROW()-2,종합!$AE$3:$AE$501,0))&amp;"","")</f>
        <v/>
      </c>
      <c r="I427" s="21" t="str">
        <f aca="false">IFERROR(INDEX(종합!I$3:I$501,MATCH(ROW()-2,종합!$AE$3:$AE$501,0))&amp;"","")</f>
        <v/>
      </c>
      <c r="J427" s="21" t="str">
        <f aca="false">IFERROR(INDEX(종합!J$3:J$501,MATCH(ROW()-2,종합!$AE$3:$AE$501,0))&amp;"","")</f>
        <v/>
      </c>
      <c r="K427" s="21" t="str">
        <f aca="false">IFERROR(INDEX(종합!K$3:K$501,MATCH(ROW()-2,종합!$AE$3:$AE$501,0))&amp;"","")</f>
        <v/>
      </c>
      <c r="L427" s="21" t="str">
        <f aca="false">IFERROR(INDEX(종합!L$3:L$501,MATCH(ROW()-2,종합!$AE$3:$AE$501,0))&amp;"","")</f>
        <v/>
      </c>
      <c r="M427" s="21" t="str">
        <f aca="false">IFERROR(INDEX(종합!M$3:M$501,MATCH(ROW()-2,종합!$AE$3:$AE$501,0))&amp;"","")</f>
        <v/>
      </c>
      <c r="N427" s="25" t="str">
        <f aca="false">IFERROR(INDEX(종합!N$3:N$501,MATCH(ROW()-2,종합!$AE$3:$AE$501,0))&amp;"","")</f>
        <v/>
      </c>
      <c r="O427" s="21" t="str">
        <f aca="false">IFERROR(INDEX(종합!O$3:O$501,MATCH(ROW()-2,종합!$AE$3:$AE$501,0))&amp;"","")</f>
        <v/>
      </c>
      <c r="P427" s="21" t="str">
        <f aca="false">IFERROR(INDEX(종합!P$3:P$501,MATCH(ROW()-2,종합!$AE$3:$AE$501,0))&amp;"","")</f>
        <v/>
      </c>
      <c r="Q427" s="21" t="str">
        <f aca="false">IFERROR(INDEX(종합!Q$3:Q$501,MATCH(ROW()-2,종합!$AE$3:$AE$501,0))&amp;"","")</f>
        <v/>
      </c>
      <c r="R427" s="21" t="str">
        <f aca="false">IFERROR(INDEX(종합!R$3:R$501,MATCH(ROW()-2,종합!$AE$3:$AE$501,0))&amp;"","")</f>
        <v/>
      </c>
      <c r="S427" s="21" t="str">
        <f aca="false">IFERROR(INDEX(종합!S$3:S$501,MATCH(ROW()-2,종합!$AE$3:$AE$501,0))&amp;"","")</f>
        <v/>
      </c>
      <c r="T427" s="21" t="str">
        <f aca="false">IFERROR(INDEX(종합!T$3:T$501,MATCH(ROW()-2,종합!$AE$3:$AE$501,0))&amp;"","")</f>
        <v/>
      </c>
      <c r="U427" s="21" t="str">
        <f aca="false">IFERROR(INDEX(종합!U$3:U$501,MATCH(ROW()-2,종합!$AE$3:$AE$501,0))&amp;"","")</f>
        <v/>
      </c>
      <c r="V427" s="21" t="str">
        <f aca="false">IFERROR(INDEX(종합!V$3:V$501,MATCH(ROW()-2,종합!$AE$3:$AE$501,0))&amp;"","")</f>
        <v/>
      </c>
      <c r="W427" s="21" t="str">
        <f aca="false">IFERROR(INDEX(종합!W$3:W$501,MATCH(ROW()-2,종합!$AE$3:$AE$501,0))&amp;"","")</f>
        <v/>
      </c>
      <c r="X427" s="21" t="str">
        <f aca="false">IFERROR(INDEX(종합!X$3:X$501,MATCH(ROW()-2,종합!$AE$3:$AE$501,0))&amp;"","")</f>
        <v/>
      </c>
      <c r="Y427" s="21" t="str">
        <f aca="false">IFERROR(INDEX(종합!Y$3:Y$501,MATCH(ROW()-2,종합!$AE$3:$AE$501,0))&amp;"","")</f>
        <v/>
      </c>
      <c r="Z427" s="21" t="str">
        <f aca="false">IFERROR(INDEX(종합!Z$3:Z$501,MATCH(ROW()-2,종합!$AE$3:$AE$501,0))&amp;"","")</f>
        <v/>
      </c>
    </row>
    <row r="428" customFormat="false" ht="16.5" hidden="false" customHeight="true" outlineLevel="0" collapsed="false">
      <c r="A428" s="18" t="str">
        <f aca="false">IF(B428="","",ROW()-2)</f>
        <v/>
      </c>
      <c r="B428" s="18" t="str">
        <f aca="false">IFERROR(INDEX(종합!B$3:B$501,MATCH(ROW()-2,종합!$AE$3:$AE$501,0))&amp;"","")</f>
        <v/>
      </c>
      <c r="C428" s="18" t="str">
        <f aca="false">IFERROR(INDEX(종합!C$3:C$501,MATCH(ROW()-2,종합!$AE$3:$AE$501,0))&amp;"","")</f>
        <v/>
      </c>
      <c r="D428" s="18" t="str">
        <f aca="false">IFERROR(INDEX(종합!D$3:D$501,MATCH(ROW()-2,종합!$AE$3:$AE$501,0))&amp;"","")</f>
        <v/>
      </c>
      <c r="E428" s="18" t="str">
        <f aca="false">IFERROR(INDEX(종합!E$3:E$501,MATCH(ROW()-2,종합!$AE$3:$AE$501,0))&amp;"","")</f>
        <v/>
      </c>
      <c r="F428" s="18" t="str">
        <f aca="false">IFERROR(INDEX(종합!F$3:F$501,MATCH(ROW()-2,종합!$AE$3:$AE$501,0))&amp;"","")</f>
        <v/>
      </c>
      <c r="G428" s="18" t="str">
        <f aca="false">IFERROR(INDEX(종합!G$3:G$501,MATCH(ROW()-2,종합!$AE$3:$AE$501,0))&amp;"","")</f>
        <v/>
      </c>
      <c r="H428" s="21" t="str">
        <f aca="false">IFERROR(INDEX(종합!H$3:H$501,MATCH(ROW()-2,종합!$AE$3:$AE$501,0))&amp;"","")</f>
        <v/>
      </c>
      <c r="I428" s="21" t="str">
        <f aca="false">IFERROR(INDEX(종합!I$3:I$501,MATCH(ROW()-2,종합!$AE$3:$AE$501,0))&amp;"","")</f>
        <v/>
      </c>
      <c r="J428" s="21" t="str">
        <f aca="false">IFERROR(INDEX(종합!J$3:J$501,MATCH(ROW()-2,종합!$AE$3:$AE$501,0))&amp;"","")</f>
        <v/>
      </c>
      <c r="K428" s="21" t="str">
        <f aca="false">IFERROR(INDEX(종합!K$3:K$501,MATCH(ROW()-2,종합!$AE$3:$AE$501,0))&amp;"","")</f>
        <v/>
      </c>
      <c r="L428" s="21" t="str">
        <f aca="false">IFERROR(INDEX(종합!L$3:L$501,MATCH(ROW()-2,종합!$AE$3:$AE$501,0))&amp;"","")</f>
        <v/>
      </c>
      <c r="M428" s="21" t="str">
        <f aca="false">IFERROR(INDEX(종합!M$3:M$501,MATCH(ROW()-2,종합!$AE$3:$AE$501,0))&amp;"","")</f>
        <v/>
      </c>
      <c r="N428" s="25" t="str">
        <f aca="false">IFERROR(INDEX(종합!N$3:N$501,MATCH(ROW()-2,종합!$AE$3:$AE$501,0))&amp;"","")</f>
        <v/>
      </c>
      <c r="O428" s="21" t="str">
        <f aca="false">IFERROR(INDEX(종합!O$3:O$501,MATCH(ROW()-2,종합!$AE$3:$AE$501,0))&amp;"","")</f>
        <v/>
      </c>
      <c r="P428" s="21" t="str">
        <f aca="false">IFERROR(INDEX(종합!P$3:P$501,MATCH(ROW()-2,종합!$AE$3:$AE$501,0))&amp;"","")</f>
        <v/>
      </c>
      <c r="Q428" s="21" t="str">
        <f aca="false">IFERROR(INDEX(종합!Q$3:Q$501,MATCH(ROW()-2,종합!$AE$3:$AE$501,0))&amp;"","")</f>
        <v/>
      </c>
      <c r="R428" s="21" t="str">
        <f aca="false">IFERROR(INDEX(종합!R$3:R$501,MATCH(ROW()-2,종합!$AE$3:$AE$501,0))&amp;"","")</f>
        <v/>
      </c>
      <c r="S428" s="21" t="str">
        <f aca="false">IFERROR(INDEX(종합!S$3:S$501,MATCH(ROW()-2,종합!$AE$3:$AE$501,0))&amp;"","")</f>
        <v/>
      </c>
      <c r="T428" s="21" t="str">
        <f aca="false">IFERROR(INDEX(종합!T$3:T$501,MATCH(ROW()-2,종합!$AE$3:$AE$501,0))&amp;"","")</f>
        <v/>
      </c>
      <c r="U428" s="21" t="str">
        <f aca="false">IFERROR(INDEX(종합!U$3:U$501,MATCH(ROW()-2,종합!$AE$3:$AE$501,0))&amp;"","")</f>
        <v/>
      </c>
      <c r="V428" s="21" t="str">
        <f aca="false">IFERROR(INDEX(종합!V$3:V$501,MATCH(ROW()-2,종합!$AE$3:$AE$501,0))&amp;"","")</f>
        <v/>
      </c>
      <c r="W428" s="21" t="str">
        <f aca="false">IFERROR(INDEX(종합!W$3:W$501,MATCH(ROW()-2,종합!$AE$3:$AE$501,0))&amp;"","")</f>
        <v/>
      </c>
      <c r="X428" s="21" t="str">
        <f aca="false">IFERROR(INDEX(종합!X$3:X$501,MATCH(ROW()-2,종합!$AE$3:$AE$501,0))&amp;"","")</f>
        <v/>
      </c>
      <c r="Y428" s="21" t="str">
        <f aca="false">IFERROR(INDEX(종합!Y$3:Y$501,MATCH(ROW()-2,종합!$AE$3:$AE$501,0))&amp;"","")</f>
        <v/>
      </c>
      <c r="Z428" s="21" t="str">
        <f aca="false">IFERROR(INDEX(종합!Z$3:Z$501,MATCH(ROW()-2,종합!$AE$3:$AE$501,0))&amp;"","")</f>
        <v/>
      </c>
    </row>
    <row r="429" customFormat="false" ht="16.5" hidden="false" customHeight="true" outlineLevel="0" collapsed="false">
      <c r="A429" s="18" t="str">
        <f aca="false">IF(B429="","",ROW()-2)</f>
        <v/>
      </c>
      <c r="B429" s="18" t="str">
        <f aca="false">IFERROR(INDEX(종합!B$3:B$501,MATCH(ROW()-2,종합!$AE$3:$AE$501,0))&amp;"","")</f>
        <v/>
      </c>
      <c r="C429" s="18" t="str">
        <f aca="false">IFERROR(INDEX(종합!C$3:C$501,MATCH(ROW()-2,종합!$AE$3:$AE$501,0))&amp;"","")</f>
        <v/>
      </c>
      <c r="D429" s="18" t="str">
        <f aca="false">IFERROR(INDEX(종합!D$3:D$501,MATCH(ROW()-2,종합!$AE$3:$AE$501,0))&amp;"","")</f>
        <v/>
      </c>
      <c r="E429" s="18" t="str">
        <f aca="false">IFERROR(INDEX(종합!E$3:E$501,MATCH(ROW()-2,종합!$AE$3:$AE$501,0))&amp;"","")</f>
        <v/>
      </c>
      <c r="F429" s="18" t="str">
        <f aca="false">IFERROR(INDEX(종합!F$3:F$501,MATCH(ROW()-2,종합!$AE$3:$AE$501,0))&amp;"","")</f>
        <v/>
      </c>
      <c r="G429" s="18" t="str">
        <f aca="false">IFERROR(INDEX(종합!G$3:G$501,MATCH(ROW()-2,종합!$AE$3:$AE$501,0))&amp;"","")</f>
        <v/>
      </c>
      <c r="H429" s="21" t="str">
        <f aca="false">IFERROR(INDEX(종합!H$3:H$501,MATCH(ROW()-2,종합!$AE$3:$AE$501,0))&amp;"","")</f>
        <v/>
      </c>
      <c r="I429" s="21" t="str">
        <f aca="false">IFERROR(INDEX(종합!I$3:I$501,MATCH(ROW()-2,종합!$AE$3:$AE$501,0))&amp;"","")</f>
        <v/>
      </c>
      <c r="J429" s="21" t="str">
        <f aca="false">IFERROR(INDEX(종합!J$3:J$501,MATCH(ROW()-2,종합!$AE$3:$AE$501,0))&amp;"","")</f>
        <v/>
      </c>
      <c r="K429" s="21" t="str">
        <f aca="false">IFERROR(INDEX(종합!K$3:K$501,MATCH(ROW()-2,종합!$AE$3:$AE$501,0))&amp;"","")</f>
        <v/>
      </c>
      <c r="L429" s="21" t="str">
        <f aca="false">IFERROR(INDEX(종합!L$3:L$501,MATCH(ROW()-2,종합!$AE$3:$AE$501,0))&amp;"","")</f>
        <v/>
      </c>
      <c r="M429" s="21" t="str">
        <f aca="false">IFERROR(INDEX(종합!M$3:M$501,MATCH(ROW()-2,종합!$AE$3:$AE$501,0))&amp;"","")</f>
        <v/>
      </c>
      <c r="N429" s="25" t="str">
        <f aca="false">IFERROR(INDEX(종합!N$3:N$501,MATCH(ROW()-2,종합!$AE$3:$AE$501,0))&amp;"","")</f>
        <v/>
      </c>
      <c r="O429" s="21" t="str">
        <f aca="false">IFERROR(INDEX(종합!O$3:O$501,MATCH(ROW()-2,종합!$AE$3:$AE$501,0))&amp;"","")</f>
        <v/>
      </c>
      <c r="P429" s="21" t="str">
        <f aca="false">IFERROR(INDEX(종합!P$3:P$501,MATCH(ROW()-2,종합!$AE$3:$AE$501,0))&amp;"","")</f>
        <v/>
      </c>
      <c r="Q429" s="21" t="str">
        <f aca="false">IFERROR(INDEX(종합!Q$3:Q$501,MATCH(ROW()-2,종합!$AE$3:$AE$501,0))&amp;"","")</f>
        <v/>
      </c>
      <c r="R429" s="21" t="str">
        <f aca="false">IFERROR(INDEX(종합!R$3:R$501,MATCH(ROW()-2,종합!$AE$3:$AE$501,0))&amp;"","")</f>
        <v/>
      </c>
      <c r="S429" s="21" t="str">
        <f aca="false">IFERROR(INDEX(종합!S$3:S$501,MATCH(ROW()-2,종합!$AE$3:$AE$501,0))&amp;"","")</f>
        <v/>
      </c>
      <c r="T429" s="21" t="str">
        <f aca="false">IFERROR(INDEX(종합!T$3:T$501,MATCH(ROW()-2,종합!$AE$3:$AE$501,0))&amp;"","")</f>
        <v/>
      </c>
      <c r="U429" s="21" t="str">
        <f aca="false">IFERROR(INDEX(종합!U$3:U$501,MATCH(ROW()-2,종합!$AE$3:$AE$501,0))&amp;"","")</f>
        <v/>
      </c>
      <c r="V429" s="21" t="str">
        <f aca="false">IFERROR(INDEX(종합!V$3:V$501,MATCH(ROW()-2,종합!$AE$3:$AE$501,0))&amp;"","")</f>
        <v/>
      </c>
      <c r="W429" s="21" t="str">
        <f aca="false">IFERROR(INDEX(종합!W$3:W$501,MATCH(ROW()-2,종합!$AE$3:$AE$501,0))&amp;"","")</f>
        <v/>
      </c>
      <c r="X429" s="21" t="str">
        <f aca="false">IFERROR(INDEX(종합!X$3:X$501,MATCH(ROW()-2,종합!$AE$3:$AE$501,0))&amp;"","")</f>
        <v/>
      </c>
      <c r="Y429" s="21" t="str">
        <f aca="false">IFERROR(INDEX(종합!Y$3:Y$501,MATCH(ROW()-2,종합!$AE$3:$AE$501,0))&amp;"","")</f>
        <v/>
      </c>
      <c r="Z429" s="21" t="str">
        <f aca="false">IFERROR(INDEX(종합!Z$3:Z$501,MATCH(ROW()-2,종합!$AE$3:$AE$501,0))&amp;"","")</f>
        <v/>
      </c>
    </row>
    <row r="430" customFormat="false" ht="16.5" hidden="false" customHeight="true" outlineLevel="0" collapsed="false">
      <c r="A430" s="18" t="str">
        <f aca="false">IF(B430="","",ROW()-2)</f>
        <v/>
      </c>
      <c r="B430" s="18" t="str">
        <f aca="false">IFERROR(INDEX(종합!B$3:B$501,MATCH(ROW()-2,종합!$AE$3:$AE$501,0))&amp;"","")</f>
        <v/>
      </c>
      <c r="C430" s="18" t="str">
        <f aca="false">IFERROR(INDEX(종합!C$3:C$501,MATCH(ROW()-2,종합!$AE$3:$AE$501,0))&amp;"","")</f>
        <v/>
      </c>
      <c r="D430" s="18" t="str">
        <f aca="false">IFERROR(INDEX(종합!D$3:D$501,MATCH(ROW()-2,종합!$AE$3:$AE$501,0))&amp;"","")</f>
        <v/>
      </c>
      <c r="E430" s="18" t="str">
        <f aca="false">IFERROR(INDEX(종합!E$3:E$501,MATCH(ROW()-2,종합!$AE$3:$AE$501,0))&amp;"","")</f>
        <v/>
      </c>
      <c r="F430" s="18" t="str">
        <f aca="false">IFERROR(INDEX(종합!F$3:F$501,MATCH(ROW()-2,종합!$AE$3:$AE$501,0))&amp;"","")</f>
        <v/>
      </c>
      <c r="G430" s="18" t="str">
        <f aca="false">IFERROR(INDEX(종합!G$3:G$501,MATCH(ROW()-2,종합!$AE$3:$AE$501,0))&amp;"","")</f>
        <v/>
      </c>
      <c r="H430" s="21" t="str">
        <f aca="false">IFERROR(INDEX(종합!H$3:H$501,MATCH(ROW()-2,종합!$AE$3:$AE$501,0))&amp;"","")</f>
        <v/>
      </c>
      <c r="I430" s="21" t="str">
        <f aca="false">IFERROR(INDEX(종합!I$3:I$501,MATCH(ROW()-2,종합!$AE$3:$AE$501,0))&amp;"","")</f>
        <v/>
      </c>
      <c r="J430" s="21" t="str">
        <f aca="false">IFERROR(INDEX(종합!J$3:J$501,MATCH(ROW()-2,종합!$AE$3:$AE$501,0))&amp;"","")</f>
        <v/>
      </c>
      <c r="K430" s="21" t="str">
        <f aca="false">IFERROR(INDEX(종합!K$3:K$501,MATCH(ROW()-2,종합!$AE$3:$AE$501,0))&amp;"","")</f>
        <v/>
      </c>
      <c r="L430" s="21" t="str">
        <f aca="false">IFERROR(INDEX(종합!L$3:L$501,MATCH(ROW()-2,종합!$AE$3:$AE$501,0))&amp;"","")</f>
        <v/>
      </c>
      <c r="M430" s="21" t="str">
        <f aca="false">IFERROR(INDEX(종합!M$3:M$501,MATCH(ROW()-2,종합!$AE$3:$AE$501,0))&amp;"","")</f>
        <v/>
      </c>
      <c r="N430" s="25" t="str">
        <f aca="false">IFERROR(INDEX(종합!N$3:N$501,MATCH(ROW()-2,종합!$AE$3:$AE$501,0))&amp;"","")</f>
        <v/>
      </c>
      <c r="O430" s="21" t="str">
        <f aca="false">IFERROR(INDEX(종합!O$3:O$501,MATCH(ROW()-2,종합!$AE$3:$AE$501,0))&amp;"","")</f>
        <v/>
      </c>
      <c r="P430" s="21" t="str">
        <f aca="false">IFERROR(INDEX(종합!P$3:P$501,MATCH(ROW()-2,종합!$AE$3:$AE$501,0))&amp;"","")</f>
        <v/>
      </c>
      <c r="Q430" s="21" t="str">
        <f aca="false">IFERROR(INDEX(종합!Q$3:Q$501,MATCH(ROW()-2,종합!$AE$3:$AE$501,0))&amp;"","")</f>
        <v/>
      </c>
      <c r="R430" s="21" t="str">
        <f aca="false">IFERROR(INDEX(종합!R$3:R$501,MATCH(ROW()-2,종합!$AE$3:$AE$501,0))&amp;"","")</f>
        <v/>
      </c>
      <c r="S430" s="21" t="str">
        <f aca="false">IFERROR(INDEX(종합!S$3:S$501,MATCH(ROW()-2,종합!$AE$3:$AE$501,0))&amp;"","")</f>
        <v/>
      </c>
      <c r="T430" s="21" t="str">
        <f aca="false">IFERROR(INDEX(종합!T$3:T$501,MATCH(ROW()-2,종합!$AE$3:$AE$501,0))&amp;"","")</f>
        <v/>
      </c>
      <c r="U430" s="21" t="str">
        <f aca="false">IFERROR(INDEX(종합!U$3:U$501,MATCH(ROW()-2,종합!$AE$3:$AE$501,0))&amp;"","")</f>
        <v/>
      </c>
      <c r="V430" s="21" t="str">
        <f aca="false">IFERROR(INDEX(종합!V$3:V$501,MATCH(ROW()-2,종합!$AE$3:$AE$501,0))&amp;"","")</f>
        <v/>
      </c>
      <c r="W430" s="21" t="str">
        <f aca="false">IFERROR(INDEX(종합!W$3:W$501,MATCH(ROW()-2,종합!$AE$3:$AE$501,0))&amp;"","")</f>
        <v/>
      </c>
      <c r="X430" s="21" t="str">
        <f aca="false">IFERROR(INDEX(종합!X$3:X$501,MATCH(ROW()-2,종합!$AE$3:$AE$501,0))&amp;"","")</f>
        <v/>
      </c>
      <c r="Y430" s="21" t="str">
        <f aca="false">IFERROR(INDEX(종합!Y$3:Y$501,MATCH(ROW()-2,종합!$AE$3:$AE$501,0))&amp;"","")</f>
        <v/>
      </c>
      <c r="Z430" s="21" t="str">
        <f aca="false">IFERROR(INDEX(종합!Z$3:Z$501,MATCH(ROW()-2,종합!$AE$3:$AE$501,0))&amp;"","")</f>
        <v/>
      </c>
    </row>
    <row r="431" customFormat="false" ht="16.5" hidden="false" customHeight="true" outlineLevel="0" collapsed="false">
      <c r="A431" s="18" t="str">
        <f aca="false">IF(B431="","",ROW()-2)</f>
        <v/>
      </c>
      <c r="B431" s="18" t="str">
        <f aca="false">IFERROR(INDEX(종합!B$3:B$501,MATCH(ROW()-2,종합!$AE$3:$AE$501,0))&amp;"","")</f>
        <v/>
      </c>
      <c r="C431" s="18" t="str">
        <f aca="false">IFERROR(INDEX(종합!C$3:C$501,MATCH(ROW()-2,종합!$AE$3:$AE$501,0))&amp;"","")</f>
        <v/>
      </c>
      <c r="D431" s="18" t="str">
        <f aca="false">IFERROR(INDEX(종합!D$3:D$501,MATCH(ROW()-2,종합!$AE$3:$AE$501,0))&amp;"","")</f>
        <v/>
      </c>
      <c r="E431" s="18" t="str">
        <f aca="false">IFERROR(INDEX(종합!E$3:E$501,MATCH(ROW()-2,종합!$AE$3:$AE$501,0))&amp;"","")</f>
        <v/>
      </c>
      <c r="F431" s="18" t="str">
        <f aca="false">IFERROR(INDEX(종합!F$3:F$501,MATCH(ROW()-2,종합!$AE$3:$AE$501,0))&amp;"","")</f>
        <v/>
      </c>
      <c r="G431" s="18" t="str">
        <f aca="false">IFERROR(INDEX(종합!G$3:G$501,MATCH(ROW()-2,종합!$AE$3:$AE$501,0))&amp;"","")</f>
        <v/>
      </c>
      <c r="H431" s="21" t="str">
        <f aca="false">IFERROR(INDEX(종합!H$3:H$501,MATCH(ROW()-2,종합!$AE$3:$AE$501,0))&amp;"","")</f>
        <v/>
      </c>
      <c r="I431" s="21" t="str">
        <f aca="false">IFERROR(INDEX(종합!I$3:I$501,MATCH(ROW()-2,종합!$AE$3:$AE$501,0))&amp;"","")</f>
        <v/>
      </c>
      <c r="J431" s="21" t="str">
        <f aca="false">IFERROR(INDEX(종합!J$3:J$501,MATCH(ROW()-2,종합!$AE$3:$AE$501,0))&amp;"","")</f>
        <v/>
      </c>
      <c r="K431" s="21" t="str">
        <f aca="false">IFERROR(INDEX(종합!K$3:K$501,MATCH(ROW()-2,종합!$AE$3:$AE$501,0))&amp;"","")</f>
        <v/>
      </c>
      <c r="L431" s="21" t="str">
        <f aca="false">IFERROR(INDEX(종합!L$3:L$501,MATCH(ROW()-2,종합!$AE$3:$AE$501,0))&amp;"","")</f>
        <v/>
      </c>
      <c r="M431" s="21" t="str">
        <f aca="false">IFERROR(INDEX(종합!M$3:M$501,MATCH(ROW()-2,종합!$AE$3:$AE$501,0))&amp;"","")</f>
        <v/>
      </c>
      <c r="N431" s="25" t="str">
        <f aca="false">IFERROR(INDEX(종합!N$3:N$501,MATCH(ROW()-2,종합!$AE$3:$AE$501,0))&amp;"","")</f>
        <v/>
      </c>
      <c r="O431" s="21" t="str">
        <f aca="false">IFERROR(INDEX(종합!O$3:O$501,MATCH(ROW()-2,종합!$AE$3:$AE$501,0))&amp;"","")</f>
        <v/>
      </c>
      <c r="P431" s="21" t="str">
        <f aca="false">IFERROR(INDEX(종합!P$3:P$501,MATCH(ROW()-2,종합!$AE$3:$AE$501,0))&amp;"","")</f>
        <v/>
      </c>
      <c r="Q431" s="21" t="str">
        <f aca="false">IFERROR(INDEX(종합!Q$3:Q$501,MATCH(ROW()-2,종합!$AE$3:$AE$501,0))&amp;"","")</f>
        <v/>
      </c>
      <c r="R431" s="21" t="str">
        <f aca="false">IFERROR(INDEX(종합!R$3:R$501,MATCH(ROW()-2,종합!$AE$3:$AE$501,0))&amp;"","")</f>
        <v/>
      </c>
      <c r="S431" s="21" t="str">
        <f aca="false">IFERROR(INDEX(종합!S$3:S$501,MATCH(ROW()-2,종합!$AE$3:$AE$501,0))&amp;"","")</f>
        <v/>
      </c>
      <c r="T431" s="21" t="str">
        <f aca="false">IFERROR(INDEX(종합!T$3:T$501,MATCH(ROW()-2,종합!$AE$3:$AE$501,0))&amp;"","")</f>
        <v/>
      </c>
      <c r="U431" s="21" t="str">
        <f aca="false">IFERROR(INDEX(종합!U$3:U$501,MATCH(ROW()-2,종합!$AE$3:$AE$501,0))&amp;"","")</f>
        <v/>
      </c>
      <c r="V431" s="21" t="str">
        <f aca="false">IFERROR(INDEX(종합!V$3:V$501,MATCH(ROW()-2,종합!$AE$3:$AE$501,0))&amp;"","")</f>
        <v/>
      </c>
      <c r="W431" s="21" t="str">
        <f aca="false">IFERROR(INDEX(종합!W$3:W$501,MATCH(ROW()-2,종합!$AE$3:$AE$501,0))&amp;"","")</f>
        <v/>
      </c>
      <c r="X431" s="21" t="str">
        <f aca="false">IFERROR(INDEX(종합!X$3:X$501,MATCH(ROW()-2,종합!$AE$3:$AE$501,0))&amp;"","")</f>
        <v/>
      </c>
      <c r="Y431" s="21" t="str">
        <f aca="false">IFERROR(INDEX(종합!Y$3:Y$501,MATCH(ROW()-2,종합!$AE$3:$AE$501,0))&amp;"","")</f>
        <v/>
      </c>
      <c r="Z431" s="21" t="str">
        <f aca="false">IFERROR(INDEX(종합!Z$3:Z$501,MATCH(ROW()-2,종합!$AE$3:$AE$501,0))&amp;"","")</f>
        <v/>
      </c>
    </row>
    <row r="432" customFormat="false" ht="16.5" hidden="false" customHeight="true" outlineLevel="0" collapsed="false">
      <c r="A432" s="18" t="str">
        <f aca="false">IF(B432="","",ROW()-2)</f>
        <v/>
      </c>
      <c r="B432" s="18" t="str">
        <f aca="false">IFERROR(INDEX(종합!B$3:B$501,MATCH(ROW()-2,종합!$AE$3:$AE$501,0))&amp;"","")</f>
        <v/>
      </c>
      <c r="C432" s="18" t="str">
        <f aca="false">IFERROR(INDEX(종합!C$3:C$501,MATCH(ROW()-2,종합!$AE$3:$AE$501,0))&amp;"","")</f>
        <v/>
      </c>
      <c r="D432" s="18" t="str">
        <f aca="false">IFERROR(INDEX(종합!D$3:D$501,MATCH(ROW()-2,종합!$AE$3:$AE$501,0))&amp;"","")</f>
        <v/>
      </c>
      <c r="E432" s="18" t="str">
        <f aca="false">IFERROR(INDEX(종합!E$3:E$501,MATCH(ROW()-2,종합!$AE$3:$AE$501,0))&amp;"","")</f>
        <v/>
      </c>
      <c r="F432" s="18" t="str">
        <f aca="false">IFERROR(INDEX(종합!F$3:F$501,MATCH(ROW()-2,종합!$AE$3:$AE$501,0))&amp;"","")</f>
        <v/>
      </c>
      <c r="G432" s="18" t="str">
        <f aca="false">IFERROR(INDEX(종합!G$3:G$501,MATCH(ROW()-2,종합!$AE$3:$AE$501,0))&amp;"","")</f>
        <v/>
      </c>
      <c r="H432" s="21" t="str">
        <f aca="false">IFERROR(INDEX(종합!H$3:H$501,MATCH(ROW()-2,종합!$AE$3:$AE$501,0))&amp;"","")</f>
        <v/>
      </c>
      <c r="I432" s="21" t="str">
        <f aca="false">IFERROR(INDEX(종합!I$3:I$501,MATCH(ROW()-2,종합!$AE$3:$AE$501,0))&amp;"","")</f>
        <v/>
      </c>
      <c r="J432" s="21" t="str">
        <f aca="false">IFERROR(INDEX(종합!J$3:J$501,MATCH(ROW()-2,종합!$AE$3:$AE$501,0))&amp;"","")</f>
        <v/>
      </c>
      <c r="K432" s="21" t="str">
        <f aca="false">IFERROR(INDEX(종합!K$3:K$501,MATCH(ROW()-2,종합!$AE$3:$AE$501,0))&amp;"","")</f>
        <v/>
      </c>
      <c r="L432" s="21" t="str">
        <f aca="false">IFERROR(INDEX(종합!L$3:L$501,MATCH(ROW()-2,종합!$AE$3:$AE$501,0))&amp;"","")</f>
        <v/>
      </c>
      <c r="M432" s="21" t="str">
        <f aca="false">IFERROR(INDEX(종합!M$3:M$501,MATCH(ROW()-2,종합!$AE$3:$AE$501,0))&amp;"","")</f>
        <v/>
      </c>
      <c r="N432" s="25" t="str">
        <f aca="false">IFERROR(INDEX(종합!N$3:N$501,MATCH(ROW()-2,종합!$AE$3:$AE$501,0))&amp;"","")</f>
        <v/>
      </c>
      <c r="O432" s="21" t="str">
        <f aca="false">IFERROR(INDEX(종합!O$3:O$501,MATCH(ROW()-2,종합!$AE$3:$AE$501,0))&amp;"","")</f>
        <v/>
      </c>
      <c r="P432" s="21" t="str">
        <f aca="false">IFERROR(INDEX(종합!P$3:P$501,MATCH(ROW()-2,종합!$AE$3:$AE$501,0))&amp;"","")</f>
        <v/>
      </c>
      <c r="Q432" s="21" t="str">
        <f aca="false">IFERROR(INDEX(종합!Q$3:Q$501,MATCH(ROW()-2,종합!$AE$3:$AE$501,0))&amp;"","")</f>
        <v/>
      </c>
      <c r="R432" s="21" t="str">
        <f aca="false">IFERROR(INDEX(종합!R$3:R$501,MATCH(ROW()-2,종합!$AE$3:$AE$501,0))&amp;"","")</f>
        <v/>
      </c>
      <c r="S432" s="21" t="str">
        <f aca="false">IFERROR(INDEX(종합!S$3:S$501,MATCH(ROW()-2,종합!$AE$3:$AE$501,0))&amp;"","")</f>
        <v/>
      </c>
      <c r="T432" s="21" t="str">
        <f aca="false">IFERROR(INDEX(종합!T$3:T$501,MATCH(ROW()-2,종합!$AE$3:$AE$501,0))&amp;"","")</f>
        <v/>
      </c>
      <c r="U432" s="21" t="str">
        <f aca="false">IFERROR(INDEX(종합!U$3:U$501,MATCH(ROW()-2,종합!$AE$3:$AE$501,0))&amp;"","")</f>
        <v/>
      </c>
      <c r="V432" s="21" t="str">
        <f aca="false">IFERROR(INDEX(종합!V$3:V$501,MATCH(ROW()-2,종합!$AE$3:$AE$501,0))&amp;"","")</f>
        <v/>
      </c>
      <c r="W432" s="21" t="str">
        <f aca="false">IFERROR(INDEX(종합!W$3:W$501,MATCH(ROW()-2,종합!$AE$3:$AE$501,0))&amp;"","")</f>
        <v/>
      </c>
      <c r="X432" s="21" t="str">
        <f aca="false">IFERROR(INDEX(종합!X$3:X$501,MATCH(ROW()-2,종합!$AE$3:$AE$501,0))&amp;"","")</f>
        <v/>
      </c>
      <c r="Y432" s="21" t="str">
        <f aca="false">IFERROR(INDEX(종합!Y$3:Y$501,MATCH(ROW()-2,종합!$AE$3:$AE$501,0))&amp;"","")</f>
        <v/>
      </c>
      <c r="Z432" s="21" t="str">
        <f aca="false">IFERROR(INDEX(종합!Z$3:Z$501,MATCH(ROW()-2,종합!$AE$3:$AE$501,0))&amp;"","")</f>
        <v/>
      </c>
    </row>
    <row r="433" customFormat="false" ht="16.5" hidden="false" customHeight="true" outlineLevel="0" collapsed="false">
      <c r="A433" s="18" t="str">
        <f aca="false">IF(B433="","",ROW()-2)</f>
        <v/>
      </c>
      <c r="B433" s="18" t="str">
        <f aca="false">IFERROR(INDEX(종합!B$3:B$501,MATCH(ROW()-2,종합!$AE$3:$AE$501,0))&amp;"","")</f>
        <v/>
      </c>
      <c r="C433" s="18" t="str">
        <f aca="false">IFERROR(INDEX(종합!C$3:C$501,MATCH(ROW()-2,종합!$AE$3:$AE$501,0))&amp;"","")</f>
        <v/>
      </c>
      <c r="D433" s="18" t="str">
        <f aca="false">IFERROR(INDEX(종합!D$3:D$501,MATCH(ROW()-2,종합!$AE$3:$AE$501,0))&amp;"","")</f>
        <v/>
      </c>
      <c r="E433" s="18" t="str">
        <f aca="false">IFERROR(INDEX(종합!E$3:E$501,MATCH(ROW()-2,종합!$AE$3:$AE$501,0))&amp;"","")</f>
        <v/>
      </c>
      <c r="F433" s="18" t="str">
        <f aca="false">IFERROR(INDEX(종합!F$3:F$501,MATCH(ROW()-2,종합!$AE$3:$AE$501,0))&amp;"","")</f>
        <v/>
      </c>
      <c r="G433" s="18" t="str">
        <f aca="false">IFERROR(INDEX(종합!G$3:G$501,MATCH(ROW()-2,종합!$AE$3:$AE$501,0))&amp;"","")</f>
        <v/>
      </c>
      <c r="H433" s="21" t="str">
        <f aca="false">IFERROR(INDEX(종합!H$3:H$501,MATCH(ROW()-2,종합!$AE$3:$AE$501,0))&amp;"","")</f>
        <v/>
      </c>
      <c r="I433" s="21" t="str">
        <f aca="false">IFERROR(INDEX(종합!I$3:I$501,MATCH(ROW()-2,종합!$AE$3:$AE$501,0))&amp;"","")</f>
        <v/>
      </c>
      <c r="J433" s="21" t="str">
        <f aca="false">IFERROR(INDEX(종합!J$3:J$501,MATCH(ROW()-2,종합!$AE$3:$AE$501,0))&amp;"","")</f>
        <v/>
      </c>
      <c r="K433" s="21" t="str">
        <f aca="false">IFERROR(INDEX(종합!K$3:K$501,MATCH(ROW()-2,종합!$AE$3:$AE$501,0))&amp;"","")</f>
        <v/>
      </c>
      <c r="L433" s="21" t="str">
        <f aca="false">IFERROR(INDEX(종합!L$3:L$501,MATCH(ROW()-2,종합!$AE$3:$AE$501,0))&amp;"","")</f>
        <v/>
      </c>
      <c r="M433" s="21" t="str">
        <f aca="false">IFERROR(INDEX(종합!M$3:M$501,MATCH(ROW()-2,종합!$AE$3:$AE$501,0))&amp;"","")</f>
        <v/>
      </c>
      <c r="N433" s="25" t="str">
        <f aca="false">IFERROR(INDEX(종합!N$3:N$501,MATCH(ROW()-2,종합!$AE$3:$AE$501,0))&amp;"","")</f>
        <v/>
      </c>
      <c r="O433" s="21" t="str">
        <f aca="false">IFERROR(INDEX(종합!O$3:O$501,MATCH(ROW()-2,종합!$AE$3:$AE$501,0))&amp;"","")</f>
        <v/>
      </c>
      <c r="P433" s="21" t="str">
        <f aca="false">IFERROR(INDEX(종합!P$3:P$501,MATCH(ROW()-2,종합!$AE$3:$AE$501,0))&amp;"","")</f>
        <v/>
      </c>
      <c r="Q433" s="21" t="str">
        <f aca="false">IFERROR(INDEX(종합!Q$3:Q$501,MATCH(ROW()-2,종합!$AE$3:$AE$501,0))&amp;"","")</f>
        <v/>
      </c>
      <c r="R433" s="21" t="str">
        <f aca="false">IFERROR(INDEX(종합!R$3:R$501,MATCH(ROW()-2,종합!$AE$3:$AE$501,0))&amp;"","")</f>
        <v/>
      </c>
      <c r="S433" s="21" t="str">
        <f aca="false">IFERROR(INDEX(종합!S$3:S$501,MATCH(ROW()-2,종합!$AE$3:$AE$501,0))&amp;"","")</f>
        <v/>
      </c>
      <c r="T433" s="21" t="str">
        <f aca="false">IFERROR(INDEX(종합!T$3:T$501,MATCH(ROW()-2,종합!$AE$3:$AE$501,0))&amp;"","")</f>
        <v/>
      </c>
      <c r="U433" s="21" t="str">
        <f aca="false">IFERROR(INDEX(종합!U$3:U$501,MATCH(ROW()-2,종합!$AE$3:$AE$501,0))&amp;"","")</f>
        <v/>
      </c>
      <c r="V433" s="21" t="str">
        <f aca="false">IFERROR(INDEX(종합!V$3:V$501,MATCH(ROW()-2,종합!$AE$3:$AE$501,0))&amp;"","")</f>
        <v/>
      </c>
      <c r="W433" s="21" t="str">
        <f aca="false">IFERROR(INDEX(종합!W$3:W$501,MATCH(ROW()-2,종합!$AE$3:$AE$501,0))&amp;"","")</f>
        <v/>
      </c>
      <c r="X433" s="21" t="str">
        <f aca="false">IFERROR(INDEX(종합!X$3:X$501,MATCH(ROW()-2,종합!$AE$3:$AE$501,0))&amp;"","")</f>
        <v/>
      </c>
      <c r="Y433" s="21" t="str">
        <f aca="false">IFERROR(INDEX(종합!Y$3:Y$501,MATCH(ROW()-2,종합!$AE$3:$AE$501,0))&amp;"","")</f>
        <v/>
      </c>
      <c r="Z433" s="21" t="str">
        <f aca="false">IFERROR(INDEX(종합!Z$3:Z$501,MATCH(ROW()-2,종합!$AE$3:$AE$501,0))&amp;"","")</f>
        <v/>
      </c>
    </row>
    <row r="434" customFormat="false" ht="16.5" hidden="false" customHeight="true" outlineLevel="0" collapsed="false">
      <c r="A434" s="18" t="str">
        <f aca="false">IF(B434="","",ROW()-2)</f>
        <v/>
      </c>
      <c r="B434" s="18" t="str">
        <f aca="false">IFERROR(INDEX(종합!B$3:B$501,MATCH(ROW()-2,종합!$AE$3:$AE$501,0))&amp;"","")</f>
        <v/>
      </c>
      <c r="C434" s="18" t="str">
        <f aca="false">IFERROR(INDEX(종합!C$3:C$501,MATCH(ROW()-2,종합!$AE$3:$AE$501,0))&amp;"","")</f>
        <v/>
      </c>
      <c r="D434" s="18" t="str">
        <f aca="false">IFERROR(INDEX(종합!D$3:D$501,MATCH(ROW()-2,종합!$AE$3:$AE$501,0))&amp;"","")</f>
        <v/>
      </c>
      <c r="E434" s="18" t="str">
        <f aca="false">IFERROR(INDEX(종합!E$3:E$501,MATCH(ROW()-2,종합!$AE$3:$AE$501,0))&amp;"","")</f>
        <v/>
      </c>
      <c r="F434" s="18" t="str">
        <f aca="false">IFERROR(INDEX(종합!F$3:F$501,MATCH(ROW()-2,종합!$AE$3:$AE$501,0))&amp;"","")</f>
        <v/>
      </c>
      <c r="G434" s="18" t="str">
        <f aca="false">IFERROR(INDEX(종합!G$3:G$501,MATCH(ROW()-2,종합!$AE$3:$AE$501,0))&amp;"","")</f>
        <v/>
      </c>
      <c r="H434" s="21" t="str">
        <f aca="false">IFERROR(INDEX(종합!H$3:H$501,MATCH(ROW()-2,종합!$AE$3:$AE$501,0))&amp;"","")</f>
        <v/>
      </c>
      <c r="I434" s="21" t="str">
        <f aca="false">IFERROR(INDEX(종합!I$3:I$501,MATCH(ROW()-2,종합!$AE$3:$AE$501,0))&amp;"","")</f>
        <v/>
      </c>
      <c r="J434" s="21" t="str">
        <f aca="false">IFERROR(INDEX(종합!J$3:J$501,MATCH(ROW()-2,종합!$AE$3:$AE$501,0))&amp;"","")</f>
        <v/>
      </c>
      <c r="K434" s="21" t="str">
        <f aca="false">IFERROR(INDEX(종합!K$3:K$501,MATCH(ROW()-2,종합!$AE$3:$AE$501,0))&amp;"","")</f>
        <v/>
      </c>
      <c r="L434" s="21" t="str">
        <f aca="false">IFERROR(INDEX(종합!L$3:L$501,MATCH(ROW()-2,종합!$AE$3:$AE$501,0))&amp;"","")</f>
        <v/>
      </c>
      <c r="M434" s="21" t="str">
        <f aca="false">IFERROR(INDEX(종합!M$3:M$501,MATCH(ROW()-2,종합!$AE$3:$AE$501,0))&amp;"","")</f>
        <v/>
      </c>
      <c r="N434" s="25" t="str">
        <f aca="false">IFERROR(INDEX(종합!N$3:N$501,MATCH(ROW()-2,종합!$AE$3:$AE$501,0))&amp;"","")</f>
        <v/>
      </c>
      <c r="O434" s="21" t="str">
        <f aca="false">IFERROR(INDEX(종합!O$3:O$501,MATCH(ROW()-2,종합!$AE$3:$AE$501,0))&amp;"","")</f>
        <v/>
      </c>
      <c r="P434" s="21" t="str">
        <f aca="false">IFERROR(INDEX(종합!P$3:P$501,MATCH(ROW()-2,종합!$AE$3:$AE$501,0))&amp;"","")</f>
        <v/>
      </c>
      <c r="Q434" s="21" t="str">
        <f aca="false">IFERROR(INDEX(종합!Q$3:Q$501,MATCH(ROW()-2,종합!$AE$3:$AE$501,0))&amp;"","")</f>
        <v/>
      </c>
      <c r="R434" s="21" t="str">
        <f aca="false">IFERROR(INDEX(종합!R$3:R$501,MATCH(ROW()-2,종합!$AE$3:$AE$501,0))&amp;"","")</f>
        <v/>
      </c>
      <c r="S434" s="21" t="str">
        <f aca="false">IFERROR(INDEX(종합!S$3:S$501,MATCH(ROW()-2,종합!$AE$3:$AE$501,0))&amp;"","")</f>
        <v/>
      </c>
      <c r="T434" s="21" t="str">
        <f aca="false">IFERROR(INDEX(종합!T$3:T$501,MATCH(ROW()-2,종합!$AE$3:$AE$501,0))&amp;"","")</f>
        <v/>
      </c>
      <c r="U434" s="21" t="str">
        <f aca="false">IFERROR(INDEX(종합!U$3:U$501,MATCH(ROW()-2,종합!$AE$3:$AE$501,0))&amp;"","")</f>
        <v/>
      </c>
      <c r="V434" s="21" t="str">
        <f aca="false">IFERROR(INDEX(종합!V$3:V$501,MATCH(ROW()-2,종합!$AE$3:$AE$501,0))&amp;"","")</f>
        <v/>
      </c>
      <c r="W434" s="21" t="str">
        <f aca="false">IFERROR(INDEX(종합!W$3:W$501,MATCH(ROW()-2,종합!$AE$3:$AE$501,0))&amp;"","")</f>
        <v/>
      </c>
      <c r="X434" s="21" t="str">
        <f aca="false">IFERROR(INDEX(종합!X$3:X$501,MATCH(ROW()-2,종합!$AE$3:$AE$501,0))&amp;"","")</f>
        <v/>
      </c>
      <c r="Y434" s="21" t="str">
        <f aca="false">IFERROR(INDEX(종합!Y$3:Y$501,MATCH(ROW()-2,종합!$AE$3:$AE$501,0))&amp;"","")</f>
        <v/>
      </c>
      <c r="Z434" s="21" t="str">
        <f aca="false">IFERROR(INDEX(종합!Z$3:Z$501,MATCH(ROW()-2,종합!$AE$3:$AE$501,0))&amp;"","")</f>
        <v/>
      </c>
    </row>
    <row r="435" customFormat="false" ht="16.5" hidden="false" customHeight="true" outlineLevel="0" collapsed="false">
      <c r="A435" s="18" t="str">
        <f aca="false">IF(B435="","",ROW()-2)</f>
        <v/>
      </c>
      <c r="B435" s="18" t="str">
        <f aca="false">IFERROR(INDEX(종합!B$3:B$501,MATCH(ROW()-2,종합!$AE$3:$AE$501,0))&amp;"","")</f>
        <v/>
      </c>
      <c r="C435" s="18" t="str">
        <f aca="false">IFERROR(INDEX(종합!C$3:C$501,MATCH(ROW()-2,종합!$AE$3:$AE$501,0))&amp;"","")</f>
        <v/>
      </c>
      <c r="D435" s="18" t="str">
        <f aca="false">IFERROR(INDEX(종합!D$3:D$501,MATCH(ROW()-2,종합!$AE$3:$AE$501,0))&amp;"","")</f>
        <v/>
      </c>
      <c r="E435" s="18" t="str">
        <f aca="false">IFERROR(INDEX(종합!E$3:E$501,MATCH(ROW()-2,종합!$AE$3:$AE$501,0))&amp;"","")</f>
        <v/>
      </c>
      <c r="F435" s="18" t="str">
        <f aca="false">IFERROR(INDEX(종합!F$3:F$501,MATCH(ROW()-2,종합!$AE$3:$AE$501,0))&amp;"","")</f>
        <v/>
      </c>
      <c r="G435" s="18" t="str">
        <f aca="false">IFERROR(INDEX(종합!G$3:G$501,MATCH(ROW()-2,종합!$AE$3:$AE$501,0))&amp;"","")</f>
        <v/>
      </c>
      <c r="H435" s="21" t="str">
        <f aca="false">IFERROR(INDEX(종합!H$3:H$501,MATCH(ROW()-2,종합!$AE$3:$AE$501,0))&amp;"","")</f>
        <v/>
      </c>
      <c r="I435" s="21" t="str">
        <f aca="false">IFERROR(INDEX(종합!I$3:I$501,MATCH(ROW()-2,종합!$AE$3:$AE$501,0))&amp;"","")</f>
        <v/>
      </c>
      <c r="J435" s="21" t="str">
        <f aca="false">IFERROR(INDEX(종합!J$3:J$501,MATCH(ROW()-2,종합!$AE$3:$AE$501,0))&amp;"","")</f>
        <v/>
      </c>
      <c r="K435" s="21" t="str">
        <f aca="false">IFERROR(INDEX(종합!K$3:K$501,MATCH(ROW()-2,종합!$AE$3:$AE$501,0))&amp;"","")</f>
        <v/>
      </c>
      <c r="L435" s="21" t="str">
        <f aca="false">IFERROR(INDEX(종합!L$3:L$501,MATCH(ROW()-2,종합!$AE$3:$AE$501,0))&amp;"","")</f>
        <v/>
      </c>
      <c r="M435" s="21" t="str">
        <f aca="false">IFERROR(INDEX(종합!M$3:M$501,MATCH(ROW()-2,종합!$AE$3:$AE$501,0))&amp;"","")</f>
        <v/>
      </c>
      <c r="N435" s="25" t="str">
        <f aca="false">IFERROR(INDEX(종합!N$3:N$501,MATCH(ROW()-2,종합!$AE$3:$AE$501,0))&amp;"","")</f>
        <v/>
      </c>
      <c r="O435" s="21" t="str">
        <f aca="false">IFERROR(INDEX(종합!O$3:O$501,MATCH(ROW()-2,종합!$AE$3:$AE$501,0))&amp;"","")</f>
        <v/>
      </c>
      <c r="P435" s="21" t="str">
        <f aca="false">IFERROR(INDEX(종합!P$3:P$501,MATCH(ROW()-2,종합!$AE$3:$AE$501,0))&amp;"","")</f>
        <v/>
      </c>
      <c r="Q435" s="21" t="str">
        <f aca="false">IFERROR(INDEX(종합!Q$3:Q$501,MATCH(ROW()-2,종합!$AE$3:$AE$501,0))&amp;"","")</f>
        <v/>
      </c>
      <c r="R435" s="21" t="str">
        <f aca="false">IFERROR(INDEX(종합!R$3:R$501,MATCH(ROW()-2,종합!$AE$3:$AE$501,0))&amp;"","")</f>
        <v/>
      </c>
      <c r="S435" s="21" t="str">
        <f aca="false">IFERROR(INDEX(종합!S$3:S$501,MATCH(ROW()-2,종합!$AE$3:$AE$501,0))&amp;"","")</f>
        <v/>
      </c>
      <c r="T435" s="21" t="str">
        <f aca="false">IFERROR(INDEX(종합!T$3:T$501,MATCH(ROW()-2,종합!$AE$3:$AE$501,0))&amp;"","")</f>
        <v/>
      </c>
      <c r="U435" s="21" t="str">
        <f aca="false">IFERROR(INDEX(종합!U$3:U$501,MATCH(ROW()-2,종합!$AE$3:$AE$501,0))&amp;"","")</f>
        <v/>
      </c>
      <c r="V435" s="21" t="str">
        <f aca="false">IFERROR(INDEX(종합!V$3:V$501,MATCH(ROW()-2,종합!$AE$3:$AE$501,0))&amp;"","")</f>
        <v/>
      </c>
      <c r="W435" s="21" t="str">
        <f aca="false">IFERROR(INDEX(종합!W$3:W$501,MATCH(ROW()-2,종합!$AE$3:$AE$501,0))&amp;"","")</f>
        <v/>
      </c>
      <c r="X435" s="21" t="str">
        <f aca="false">IFERROR(INDEX(종합!X$3:X$501,MATCH(ROW()-2,종합!$AE$3:$AE$501,0))&amp;"","")</f>
        <v/>
      </c>
      <c r="Y435" s="21" t="str">
        <f aca="false">IFERROR(INDEX(종합!Y$3:Y$501,MATCH(ROW()-2,종합!$AE$3:$AE$501,0))&amp;"","")</f>
        <v/>
      </c>
      <c r="Z435" s="21" t="str">
        <f aca="false">IFERROR(INDEX(종합!Z$3:Z$501,MATCH(ROW()-2,종합!$AE$3:$AE$501,0))&amp;"","")</f>
        <v/>
      </c>
    </row>
    <row r="436" customFormat="false" ht="16.5" hidden="false" customHeight="true" outlineLevel="0" collapsed="false">
      <c r="A436" s="18" t="str">
        <f aca="false">IF(B436="","",ROW()-2)</f>
        <v/>
      </c>
      <c r="B436" s="18" t="str">
        <f aca="false">IFERROR(INDEX(종합!B$3:B$501,MATCH(ROW()-2,종합!$AE$3:$AE$501,0))&amp;"","")</f>
        <v/>
      </c>
      <c r="C436" s="18" t="str">
        <f aca="false">IFERROR(INDEX(종합!C$3:C$501,MATCH(ROW()-2,종합!$AE$3:$AE$501,0))&amp;"","")</f>
        <v/>
      </c>
      <c r="D436" s="18" t="str">
        <f aca="false">IFERROR(INDEX(종합!D$3:D$501,MATCH(ROW()-2,종합!$AE$3:$AE$501,0))&amp;"","")</f>
        <v/>
      </c>
      <c r="E436" s="18" t="str">
        <f aca="false">IFERROR(INDEX(종합!E$3:E$501,MATCH(ROW()-2,종합!$AE$3:$AE$501,0))&amp;"","")</f>
        <v/>
      </c>
      <c r="F436" s="18" t="str">
        <f aca="false">IFERROR(INDEX(종합!F$3:F$501,MATCH(ROW()-2,종합!$AE$3:$AE$501,0))&amp;"","")</f>
        <v/>
      </c>
      <c r="G436" s="18" t="str">
        <f aca="false">IFERROR(INDEX(종합!G$3:G$501,MATCH(ROW()-2,종합!$AE$3:$AE$501,0))&amp;"","")</f>
        <v/>
      </c>
      <c r="H436" s="21" t="str">
        <f aca="false">IFERROR(INDEX(종합!H$3:H$501,MATCH(ROW()-2,종합!$AE$3:$AE$501,0))&amp;"","")</f>
        <v/>
      </c>
      <c r="I436" s="21" t="str">
        <f aca="false">IFERROR(INDEX(종합!I$3:I$501,MATCH(ROW()-2,종합!$AE$3:$AE$501,0))&amp;"","")</f>
        <v/>
      </c>
      <c r="J436" s="21" t="str">
        <f aca="false">IFERROR(INDEX(종합!J$3:J$501,MATCH(ROW()-2,종합!$AE$3:$AE$501,0))&amp;"","")</f>
        <v/>
      </c>
      <c r="K436" s="21" t="str">
        <f aca="false">IFERROR(INDEX(종합!K$3:K$501,MATCH(ROW()-2,종합!$AE$3:$AE$501,0))&amp;"","")</f>
        <v/>
      </c>
      <c r="L436" s="21" t="str">
        <f aca="false">IFERROR(INDEX(종합!L$3:L$501,MATCH(ROW()-2,종합!$AE$3:$AE$501,0))&amp;"","")</f>
        <v/>
      </c>
      <c r="M436" s="21" t="str">
        <f aca="false">IFERROR(INDEX(종합!M$3:M$501,MATCH(ROW()-2,종합!$AE$3:$AE$501,0))&amp;"","")</f>
        <v/>
      </c>
      <c r="N436" s="25" t="str">
        <f aca="false">IFERROR(INDEX(종합!N$3:N$501,MATCH(ROW()-2,종합!$AE$3:$AE$501,0))&amp;"","")</f>
        <v/>
      </c>
      <c r="O436" s="21" t="str">
        <f aca="false">IFERROR(INDEX(종합!O$3:O$501,MATCH(ROW()-2,종합!$AE$3:$AE$501,0))&amp;"","")</f>
        <v/>
      </c>
      <c r="P436" s="21" t="str">
        <f aca="false">IFERROR(INDEX(종합!P$3:P$501,MATCH(ROW()-2,종합!$AE$3:$AE$501,0))&amp;"","")</f>
        <v/>
      </c>
      <c r="Q436" s="21" t="str">
        <f aca="false">IFERROR(INDEX(종합!Q$3:Q$501,MATCH(ROW()-2,종합!$AE$3:$AE$501,0))&amp;"","")</f>
        <v/>
      </c>
      <c r="R436" s="21" t="str">
        <f aca="false">IFERROR(INDEX(종합!R$3:R$501,MATCH(ROW()-2,종합!$AE$3:$AE$501,0))&amp;"","")</f>
        <v/>
      </c>
      <c r="S436" s="21" t="str">
        <f aca="false">IFERROR(INDEX(종합!S$3:S$501,MATCH(ROW()-2,종합!$AE$3:$AE$501,0))&amp;"","")</f>
        <v/>
      </c>
      <c r="T436" s="21" t="str">
        <f aca="false">IFERROR(INDEX(종합!T$3:T$501,MATCH(ROW()-2,종합!$AE$3:$AE$501,0))&amp;"","")</f>
        <v/>
      </c>
      <c r="U436" s="21" t="str">
        <f aca="false">IFERROR(INDEX(종합!U$3:U$501,MATCH(ROW()-2,종합!$AE$3:$AE$501,0))&amp;"","")</f>
        <v/>
      </c>
      <c r="V436" s="21" t="str">
        <f aca="false">IFERROR(INDEX(종합!V$3:V$501,MATCH(ROW()-2,종합!$AE$3:$AE$501,0))&amp;"","")</f>
        <v/>
      </c>
      <c r="W436" s="21" t="str">
        <f aca="false">IFERROR(INDEX(종합!W$3:W$501,MATCH(ROW()-2,종합!$AE$3:$AE$501,0))&amp;"","")</f>
        <v/>
      </c>
      <c r="X436" s="21" t="str">
        <f aca="false">IFERROR(INDEX(종합!X$3:X$501,MATCH(ROW()-2,종합!$AE$3:$AE$501,0))&amp;"","")</f>
        <v/>
      </c>
      <c r="Y436" s="21" t="str">
        <f aca="false">IFERROR(INDEX(종합!Y$3:Y$501,MATCH(ROW()-2,종합!$AE$3:$AE$501,0))&amp;"","")</f>
        <v/>
      </c>
      <c r="Z436" s="21" t="str">
        <f aca="false">IFERROR(INDEX(종합!Z$3:Z$501,MATCH(ROW()-2,종합!$AE$3:$AE$501,0))&amp;"","")</f>
        <v/>
      </c>
    </row>
    <row r="437" customFormat="false" ht="16.5" hidden="false" customHeight="true" outlineLevel="0" collapsed="false">
      <c r="A437" s="18" t="str">
        <f aca="false">IF(B437="","",ROW()-2)</f>
        <v/>
      </c>
      <c r="B437" s="18" t="str">
        <f aca="false">IFERROR(INDEX(종합!B$3:B$501,MATCH(ROW()-2,종합!$AE$3:$AE$501,0))&amp;"","")</f>
        <v/>
      </c>
      <c r="C437" s="18" t="str">
        <f aca="false">IFERROR(INDEX(종합!C$3:C$501,MATCH(ROW()-2,종합!$AE$3:$AE$501,0))&amp;"","")</f>
        <v/>
      </c>
      <c r="D437" s="18" t="str">
        <f aca="false">IFERROR(INDEX(종합!D$3:D$501,MATCH(ROW()-2,종합!$AE$3:$AE$501,0))&amp;"","")</f>
        <v/>
      </c>
      <c r="E437" s="18" t="str">
        <f aca="false">IFERROR(INDEX(종합!E$3:E$501,MATCH(ROW()-2,종합!$AE$3:$AE$501,0))&amp;"","")</f>
        <v/>
      </c>
      <c r="F437" s="18" t="str">
        <f aca="false">IFERROR(INDEX(종합!F$3:F$501,MATCH(ROW()-2,종합!$AE$3:$AE$501,0))&amp;"","")</f>
        <v/>
      </c>
      <c r="G437" s="18" t="str">
        <f aca="false">IFERROR(INDEX(종합!G$3:G$501,MATCH(ROW()-2,종합!$AE$3:$AE$501,0))&amp;"","")</f>
        <v/>
      </c>
      <c r="H437" s="21" t="str">
        <f aca="false">IFERROR(INDEX(종합!H$3:H$501,MATCH(ROW()-2,종합!$AE$3:$AE$501,0))&amp;"","")</f>
        <v/>
      </c>
      <c r="I437" s="21" t="str">
        <f aca="false">IFERROR(INDEX(종합!I$3:I$501,MATCH(ROW()-2,종합!$AE$3:$AE$501,0))&amp;"","")</f>
        <v/>
      </c>
      <c r="J437" s="21" t="str">
        <f aca="false">IFERROR(INDEX(종합!J$3:J$501,MATCH(ROW()-2,종합!$AE$3:$AE$501,0))&amp;"","")</f>
        <v/>
      </c>
      <c r="K437" s="21" t="str">
        <f aca="false">IFERROR(INDEX(종합!K$3:K$501,MATCH(ROW()-2,종합!$AE$3:$AE$501,0))&amp;"","")</f>
        <v/>
      </c>
      <c r="L437" s="21" t="str">
        <f aca="false">IFERROR(INDEX(종합!L$3:L$501,MATCH(ROW()-2,종합!$AE$3:$AE$501,0))&amp;"","")</f>
        <v/>
      </c>
      <c r="M437" s="21" t="str">
        <f aca="false">IFERROR(INDEX(종합!M$3:M$501,MATCH(ROW()-2,종합!$AE$3:$AE$501,0))&amp;"","")</f>
        <v/>
      </c>
      <c r="N437" s="25" t="str">
        <f aca="false">IFERROR(INDEX(종합!N$3:N$501,MATCH(ROW()-2,종합!$AE$3:$AE$501,0))&amp;"","")</f>
        <v/>
      </c>
      <c r="O437" s="21" t="str">
        <f aca="false">IFERROR(INDEX(종합!O$3:O$501,MATCH(ROW()-2,종합!$AE$3:$AE$501,0))&amp;"","")</f>
        <v/>
      </c>
      <c r="P437" s="21" t="str">
        <f aca="false">IFERROR(INDEX(종합!P$3:P$501,MATCH(ROW()-2,종합!$AE$3:$AE$501,0))&amp;"","")</f>
        <v/>
      </c>
      <c r="Q437" s="21" t="str">
        <f aca="false">IFERROR(INDEX(종합!Q$3:Q$501,MATCH(ROW()-2,종합!$AE$3:$AE$501,0))&amp;"","")</f>
        <v/>
      </c>
      <c r="R437" s="21" t="str">
        <f aca="false">IFERROR(INDEX(종합!R$3:R$501,MATCH(ROW()-2,종합!$AE$3:$AE$501,0))&amp;"","")</f>
        <v/>
      </c>
      <c r="S437" s="21" t="str">
        <f aca="false">IFERROR(INDEX(종합!S$3:S$501,MATCH(ROW()-2,종합!$AE$3:$AE$501,0))&amp;"","")</f>
        <v/>
      </c>
      <c r="T437" s="21" t="str">
        <f aca="false">IFERROR(INDEX(종합!T$3:T$501,MATCH(ROW()-2,종합!$AE$3:$AE$501,0))&amp;"","")</f>
        <v/>
      </c>
      <c r="U437" s="21" t="str">
        <f aca="false">IFERROR(INDEX(종합!U$3:U$501,MATCH(ROW()-2,종합!$AE$3:$AE$501,0))&amp;"","")</f>
        <v/>
      </c>
      <c r="V437" s="21" t="str">
        <f aca="false">IFERROR(INDEX(종합!V$3:V$501,MATCH(ROW()-2,종합!$AE$3:$AE$501,0))&amp;"","")</f>
        <v/>
      </c>
      <c r="W437" s="21" t="str">
        <f aca="false">IFERROR(INDEX(종합!W$3:W$501,MATCH(ROW()-2,종합!$AE$3:$AE$501,0))&amp;"","")</f>
        <v/>
      </c>
      <c r="X437" s="21" t="str">
        <f aca="false">IFERROR(INDEX(종합!X$3:X$501,MATCH(ROW()-2,종합!$AE$3:$AE$501,0))&amp;"","")</f>
        <v/>
      </c>
      <c r="Y437" s="21" t="str">
        <f aca="false">IFERROR(INDEX(종합!Y$3:Y$501,MATCH(ROW()-2,종합!$AE$3:$AE$501,0))&amp;"","")</f>
        <v/>
      </c>
      <c r="Z437" s="21" t="str">
        <f aca="false">IFERROR(INDEX(종합!Z$3:Z$501,MATCH(ROW()-2,종합!$AE$3:$AE$501,0))&amp;"","")</f>
        <v/>
      </c>
    </row>
    <row r="438" customFormat="false" ht="16.5" hidden="false" customHeight="true" outlineLevel="0" collapsed="false">
      <c r="A438" s="18" t="str">
        <f aca="false">IF(B438="","",ROW()-2)</f>
        <v/>
      </c>
      <c r="B438" s="18" t="str">
        <f aca="false">IFERROR(INDEX(종합!B$3:B$501,MATCH(ROW()-2,종합!$AE$3:$AE$501,0))&amp;"","")</f>
        <v/>
      </c>
      <c r="C438" s="18" t="str">
        <f aca="false">IFERROR(INDEX(종합!C$3:C$501,MATCH(ROW()-2,종합!$AE$3:$AE$501,0))&amp;"","")</f>
        <v/>
      </c>
      <c r="D438" s="18" t="str">
        <f aca="false">IFERROR(INDEX(종합!D$3:D$501,MATCH(ROW()-2,종합!$AE$3:$AE$501,0))&amp;"","")</f>
        <v/>
      </c>
      <c r="E438" s="18" t="str">
        <f aca="false">IFERROR(INDEX(종합!E$3:E$501,MATCH(ROW()-2,종합!$AE$3:$AE$501,0))&amp;"","")</f>
        <v/>
      </c>
      <c r="F438" s="18" t="str">
        <f aca="false">IFERROR(INDEX(종합!F$3:F$501,MATCH(ROW()-2,종합!$AE$3:$AE$501,0))&amp;"","")</f>
        <v/>
      </c>
      <c r="G438" s="18" t="str">
        <f aca="false">IFERROR(INDEX(종합!G$3:G$501,MATCH(ROW()-2,종합!$AE$3:$AE$501,0))&amp;"","")</f>
        <v/>
      </c>
      <c r="H438" s="21" t="str">
        <f aca="false">IFERROR(INDEX(종합!H$3:H$501,MATCH(ROW()-2,종합!$AE$3:$AE$501,0))&amp;"","")</f>
        <v/>
      </c>
      <c r="I438" s="21" t="str">
        <f aca="false">IFERROR(INDEX(종합!I$3:I$501,MATCH(ROW()-2,종합!$AE$3:$AE$501,0))&amp;"","")</f>
        <v/>
      </c>
      <c r="J438" s="21" t="str">
        <f aca="false">IFERROR(INDEX(종합!J$3:J$501,MATCH(ROW()-2,종합!$AE$3:$AE$501,0))&amp;"","")</f>
        <v/>
      </c>
      <c r="K438" s="21" t="str">
        <f aca="false">IFERROR(INDEX(종합!K$3:K$501,MATCH(ROW()-2,종합!$AE$3:$AE$501,0))&amp;"","")</f>
        <v/>
      </c>
      <c r="L438" s="21" t="str">
        <f aca="false">IFERROR(INDEX(종합!L$3:L$501,MATCH(ROW()-2,종합!$AE$3:$AE$501,0))&amp;"","")</f>
        <v/>
      </c>
      <c r="M438" s="21" t="str">
        <f aca="false">IFERROR(INDEX(종합!M$3:M$501,MATCH(ROW()-2,종합!$AE$3:$AE$501,0))&amp;"","")</f>
        <v/>
      </c>
      <c r="N438" s="25" t="str">
        <f aca="false">IFERROR(INDEX(종합!N$3:N$501,MATCH(ROW()-2,종합!$AE$3:$AE$501,0))&amp;"","")</f>
        <v/>
      </c>
      <c r="O438" s="21" t="str">
        <f aca="false">IFERROR(INDEX(종합!O$3:O$501,MATCH(ROW()-2,종합!$AE$3:$AE$501,0))&amp;"","")</f>
        <v/>
      </c>
      <c r="P438" s="21" t="str">
        <f aca="false">IFERROR(INDEX(종합!P$3:P$501,MATCH(ROW()-2,종합!$AE$3:$AE$501,0))&amp;"","")</f>
        <v/>
      </c>
      <c r="Q438" s="21" t="str">
        <f aca="false">IFERROR(INDEX(종합!Q$3:Q$501,MATCH(ROW()-2,종합!$AE$3:$AE$501,0))&amp;"","")</f>
        <v/>
      </c>
      <c r="R438" s="21" t="str">
        <f aca="false">IFERROR(INDEX(종합!R$3:R$501,MATCH(ROW()-2,종합!$AE$3:$AE$501,0))&amp;"","")</f>
        <v/>
      </c>
      <c r="S438" s="21" t="str">
        <f aca="false">IFERROR(INDEX(종합!S$3:S$501,MATCH(ROW()-2,종합!$AE$3:$AE$501,0))&amp;"","")</f>
        <v/>
      </c>
      <c r="T438" s="21" t="str">
        <f aca="false">IFERROR(INDEX(종합!T$3:T$501,MATCH(ROW()-2,종합!$AE$3:$AE$501,0))&amp;"","")</f>
        <v/>
      </c>
      <c r="U438" s="21" t="str">
        <f aca="false">IFERROR(INDEX(종합!U$3:U$501,MATCH(ROW()-2,종합!$AE$3:$AE$501,0))&amp;"","")</f>
        <v/>
      </c>
      <c r="V438" s="21" t="str">
        <f aca="false">IFERROR(INDEX(종합!V$3:V$501,MATCH(ROW()-2,종합!$AE$3:$AE$501,0))&amp;"","")</f>
        <v/>
      </c>
      <c r="W438" s="21" t="str">
        <f aca="false">IFERROR(INDEX(종합!W$3:W$501,MATCH(ROW()-2,종합!$AE$3:$AE$501,0))&amp;"","")</f>
        <v/>
      </c>
      <c r="X438" s="21" t="str">
        <f aca="false">IFERROR(INDEX(종합!X$3:X$501,MATCH(ROW()-2,종합!$AE$3:$AE$501,0))&amp;"","")</f>
        <v/>
      </c>
      <c r="Y438" s="21" t="str">
        <f aca="false">IFERROR(INDEX(종합!Y$3:Y$501,MATCH(ROW()-2,종합!$AE$3:$AE$501,0))&amp;"","")</f>
        <v/>
      </c>
      <c r="Z438" s="21" t="str">
        <f aca="false">IFERROR(INDEX(종합!Z$3:Z$501,MATCH(ROW()-2,종합!$AE$3:$AE$501,0))&amp;"","")</f>
        <v/>
      </c>
    </row>
    <row r="439" customFormat="false" ht="16.5" hidden="false" customHeight="true" outlineLevel="0" collapsed="false">
      <c r="A439" s="18" t="str">
        <f aca="false">IF(B439="","",ROW()-2)</f>
        <v/>
      </c>
      <c r="B439" s="18" t="str">
        <f aca="false">IFERROR(INDEX(종합!B$3:B$501,MATCH(ROW()-2,종합!$AE$3:$AE$501,0))&amp;"","")</f>
        <v/>
      </c>
      <c r="C439" s="18" t="str">
        <f aca="false">IFERROR(INDEX(종합!C$3:C$501,MATCH(ROW()-2,종합!$AE$3:$AE$501,0))&amp;"","")</f>
        <v/>
      </c>
      <c r="D439" s="18" t="str">
        <f aca="false">IFERROR(INDEX(종합!D$3:D$501,MATCH(ROW()-2,종합!$AE$3:$AE$501,0))&amp;"","")</f>
        <v/>
      </c>
      <c r="E439" s="18" t="str">
        <f aca="false">IFERROR(INDEX(종합!E$3:E$501,MATCH(ROW()-2,종합!$AE$3:$AE$501,0))&amp;"","")</f>
        <v/>
      </c>
      <c r="F439" s="18" t="str">
        <f aca="false">IFERROR(INDEX(종합!F$3:F$501,MATCH(ROW()-2,종합!$AE$3:$AE$501,0))&amp;"","")</f>
        <v/>
      </c>
      <c r="G439" s="18" t="str">
        <f aca="false">IFERROR(INDEX(종합!G$3:G$501,MATCH(ROW()-2,종합!$AE$3:$AE$501,0))&amp;"","")</f>
        <v/>
      </c>
      <c r="H439" s="21" t="str">
        <f aca="false">IFERROR(INDEX(종합!H$3:H$501,MATCH(ROW()-2,종합!$AE$3:$AE$501,0))&amp;"","")</f>
        <v/>
      </c>
      <c r="I439" s="21" t="str">
        <f aca="false">IFERROR(INDEX(종합!I$3:I$501,MATCH(ROW()-2,종합!$AE$3:$AE$501,0))&amp;"","")</f>
        <v/>
      </c>
      <c r="J439" s="21" t="str">
        <f aca="false">IFERROR(INDEX(종합!J$3:J$501,MATCH(ROW()-2,종합!$AE$3:$AE$501,0))&amp;"","")</f>
        <v/>
      </c>
      <c r="K439" s="21" t="str">
        <f aca="false">IFERROR(INDEX(종합!K$3:K$501,MATCH(ROW()-2,종합!$AE$3:$AE$501,0))&amp;"","")</f>
        <v/>
      </c>
      <c r="L439" s="21" t="str">
        <f aca="false">IFERROR(INDEX(종합!L$3:L$501,MATCH(ROW()-2,종합!$AE$3:$AE$501,0))&amp;"","")</f>
        <v/>
      </c>
      <c r="M439" s="21" t="str">
        <f aca="false">IFERROR(INDEX(종합!M$3:M$501,MATCH(ROW()-2,종합!$AE$3:$AE$501,0))&amp;"","")</f>
        <v/>
      </c>
      <c r="N439" s="25" t="str">
        <f aca="false">IFERROR(INDEX(종합!N$3:N$501,MATCH(ROW()-2,종합!$AE$3:$AE$501,0))&amp;"","")</f>
        <v/>
      </c>
      <c r="O439" s="21" t="str">
        <f aca="false">IFERROR(INDEX(종합!O$3:O$501,MATCH(ROW()-2,종합!$AE$3:$AE$501,0))&amp;"","")</f>
        <v/>
      </c>
      <c r="P439" s="21" t="str">
        <f aca="false">IFERROR(INDEX(종합!P$3:P$501,MATCH(ROW()-2,종합!$AE$3:$AE$501,0))&amp;"","")</f>
        <v/>
      </c>
      <c r="Q439" s="21" t="str">
        <f aca="false">IFERROR(INDEX(종합!Q$3:Q$501,MATCH(ROW()-2,종합!$AE$3:$AE$501,0))&amp;"","")</f>
        <v/>
      </c>
      <c r="R439" s="21" t="str">
        <f aca="false">IFERROR(INDEX(종합!R$3:R$501,MATCH(ROW()-2,종합!$AE$3:$AE$501,0))&amp;"","")</f>
        <v/>
      </c>
      <c r="S439" s="21" t="str">
        <f aca="false">IFERROR(INDEX(종합!S$3:S$501,MATCH(ROW()-2,종합!$AE$3:$AE$501,0))&amp;"","")</f>
        <v/>
      </c>
      <c r="T439" s="21" t="str">
        <f aca="false">IFERROR(INDEX(종합!T$3:T$501,MATCH(ROW()-2,종합!$AE$3:$AE$501,0))&amp;"","")</f>
        <v/>
      </c>
      <c r="U439" s="21" t="str">
        <f aca="false">IFERROR(INDEX(종합!U$3:U$501,MATCH(ROW()-2,종합!$AE$3:$AE$501,0))&amp;"","")</f>
        <v/>
      </c>
      <c r="V439" s="21" t="str">
        <f aca="false">IFERROR(INDEX(종합!V$3:V$501,MATCH(ROW()-2,종합!$AE$3:$AE$501,0))&amp;"","")</f>
        <v/>
      </c>
      <c r="W439" s="21" t="str">
        <f aca="false">IFERROR(INDEX(종합!W$3:W$501,MATCH(ROW()-2,종합!$AE$3:$AE$501,0))&amp;"","")</f>
        <v/>
      </c>
      <c r="X439" s="21" t="str">
        <f aca="false">IFERROR(INDEX(종합!X$3:X$501,MATCH(ROW()-2,종합!$AE$3:$AE$501,0))&amp;"","")</f>
        <v/>
      </c>
      <c r="Y439" s="21" t="str">
        <f aca="false">IFERROR(INDEX(종합!Y$3:Y$501,MATCH(ROW()-2,종합!$AE$3:$AE$501,0))&amp;"","")</f>
        <v/>
      </c>
      <c r="Z439" s="21" t="str">
        <f aca="false">IFERROR(INDEX(종합!Z$3:Z$501,MATCH(ROW()-2,종합!$AE$3:$AE$501,0))&amp;"","")</f>
        <v/>
      </c>
    </row>
    <row r="440" customFormat="false" ht="16.5" hidden="false" customHeight="true" outlineLevel="0" collapsed="false">
      <c r="A440" s="18" t="str">
        <f aca="false">IF(B440="","",ROW()-2)</f>
        <v/>
      </c>
      <c r="B440" s="18" t="str">
        <f aca="false">IFERROR(INDEX(종합!B$3:B$501,MATCH(ROW()-2,종합!$AE$3:$AE$501,0))&amp;"","")</f>
        <v/>
      </c>
      <c r="C440" s="18" t="str">
        <f aca="false">IFERROR(INDEX(종합!C$3:C$501,MATCH(ROW()-2,종합!$AE$3:$AE$501,0))&amp;"","")</f>
        <v/>
      </c>
      <c r="D440" s="18" t="str">
        <f aca="false">IFERROR(INDEX(종합!D$3:D$501,MATCH(ROW()-2,종합!$AE$3:$AE$501,0))&amp;"","")</f>
        <v/>
      </c>
      <c r="E440" s="18" t="str">
        <f aca="false">IFERROR(INDEX(종합!E$3:E$501,MATCH(ROW()-2,종합!$AE$3:$AE$501,0))&amp;"","")</f>
        <v/>
      </c>
      <c r="F440" s="18" t="str">
        <f aca="false">IFERROR(INDEX(종합!F$3:F$501,MATCH(ROW()-2,종합!$AE$3:$AE$501,0))&amp;"","")</f>
        <v/>
      </c>
      <c r="G440" s="18" t="str">
        <f aca="false">IFERROR(INDEX(종합!G$3:G$501,MATCH(ROW()-2,종합!$AE$3:$AE$501,0))&amp;"","")</f>
        <v/>
      </c>
      <c r="H440" s="21" t="str">
        <f aca="false">IFERROR(INDEX(종합!H$3:H$501,MATCH(ROW()-2,종합!$AE$3:$AE$501,0))&amp;"","")</f>
        <v/>
      </c>
      <c r="I440" s="21" t="str">
        <f aca="false">IFERROR(INDEX(종합!I$3:I$501,MATCH(ROW()-2,종합!$AE$3:$AE$501,0))&amp;"","")</f>
        <v/>
      </c>
      <c r="J440" s="21" t="str">
        <f aca="false">IFERROR(INDEX(종합!J$3:J$501,MATCH(ROW()-2,종합!$AE$3:$AE$501,0))&amp;"","")</f>
        <v/>
      </c>
      <c r="K440" s="21" t="str">
        <f aca="false">IFERROR(INDEX(종합!K$3:K$501,MATCH(ROW()-2,종합!$AE$3:$AE$501,0))&amp;"","")</f>
        <v/>
      </c>
      <c r="L440" s="21" t="str">
        <f aca="false">IFERROR(INDEX(종합!L$3:L$501,MATCH(ROW()-2,종합!$AE$3:$AE$501,0))&amp;"","")</f>
        <v/>
      </c>
      <c r="M440" s="21" t="str">
        <f aca="false">IFERROR(INDEX(종합!M$3:M$501,MATCH(ROW()-2,종합!$AE$3:$AE$501,0))&amp;"","")</f>
        <v/>
      </c>
      <c r="N440" s="25" t="str">
        <f aca="false">IFERROR(INDEX(종합!N$3:N$501,MATCH(ROW()-2,종합!$AE$3:$AE$501,0))&amp;"","")</f>
        <v/>
      </c>
      <c r="O440" s="21" t="str">
        <f aca="false">IFERROR(INDEX(종합!O$3:O$501,MATCH(ROW()-2,종합!$AE$3:$AE$501,0))&amp;"","")</f>
        <v/>
      </c>
      <c r="P440" s="21" t="str">
        <f aca="false">IFERROR(INDEX(종합!P$3:P$501,MATCH(ROW()-2,종합!$AE$3:$AE$501,0))&amp;"","")</f>
        <v/>
      </c>
      <c r="Q440" s="21" t="str">
        <f aca="false">IFERROR(INDEX(종합!Q$3:Q$501,MATCH(ROW()-2,종합!$AE$3:$AE$501,0))&amp;"","")</f>
        <v/>
      </c>
      <c r="R440" s="21" t="str">
        <f aca="false">IFERROR(INDEX(종합!R$3:R$501,MATCH(ROW()-2,종합!$AE$3:$AE$501,0))&amp;"","")</f>
        <v/>
      </c>
      <c r="S440" s="21" t="str">
        <f aca="false">IFERROR(INDEX(종합!S$3:S$501,MATCH(ROW()-2,종합!$AE$3:$AE$501,0))&amp;"","")</f>
        <v/>
      </c>
      <c r="T440" s="21" t="str">
        <f aca="false">IFERROR(INDEX(종합!T$3:T$501,MATCH(ROW()-2,종합!$AE$3:$AE$501,0))&amp;"","")</f>
        <v/>
      </c>
      <c r="U440" s="21" t="str">
        <f aca="false">IFERROR(INDEX(종합!U$3:U$501,MATCH(ROW()-2,종합!$AE$3:$AE$501,0))&amp;"","")</f>
        <v/>
      </c>
      <c r="V440" s="21" t="str">
        <f aca="false">IFERROR(INDEX(종합!V$3:V$501,MATCH(ROW()-2,종합!$AE$3:$AE$501,0))&amp;"","")</f>
        <v/>
      </c>
      <c r="W440" s="21" t="str">
        <f aca="false">IFERROR(INDEX(종합!W$3:W$501,MATCH(ROW()-2,종합!$AE$3:$AE$501,0))&amp;"","")</f>
        <v/>
      </c>
      <c r="X440" s="21" t="str">
        <f aca="false">IFERROR(INDEX(종합!X$3:X$501,MATCH(ROW()-2,종합!$AE$3:$AE$501,0))&amp;"","")</f>
        <v/>
      </c>
      <c r="Y440" s="21" t="str">
        <f aca="false">IFERROR(INDEX(종합!Y$3:Y$501,MATCH(ROW()-2,종합!$AE$3:$AE$501,0))&amp;"","")</f>
        <v/>
      </c>
      <c r="Z440" s="21" t="str">
        <f aca="false">IFERROR(INDEX(종합!Z$3:Z$501,MATCH(ROW()-2,종합!$AE$3:$AE$501,0))&amp;"","")</f>
        <v/>
      </c>
    </row>
    <row r="441" customFormat="false" ht="16.5" hidden="false" customHeight="true" outlineLevel="0" collapsed="false">
      <c r="A441" s="18" t="str">
        <f aca="false">IF(B441="","",ROW()-2)</f>
        <v/>
      </c>
      <c r="B441" s="18" t="str">
        <f aca="false">IFERROR(INDEX(종합!B$3:B$501,MATCH(ROW()-2,종합!$AE$3:$AE$501,0))&amp;"","")</f>
        <v/>
      </c>
      <c r="C441" s="18" t="str">
        <f aca="false">IFERROR(INDEX(종합!C$3:C$501,MATCH(ROW()-2,종합!$AE$3:$AE$501,0))&amp;"","")</f>
        <v/>
      </c>
      <c r="D441" s="18" t="str">
        <f aca="false">IFERROR(INDEX(종합!D$3:D$501,MATCH(ROW()-2,종합!$AE$3:$AE$501,0))&amp;"","")</f>
        <v/>
      </c>
      <c r="E441" s="18" t="str">
        <f aca="false">IFERROR(INDEX(종합!E$3:E$501,MATCH(ROW()-2,종합!$AE$3:$AE$501,0))&amp;"","")</f>
        <v/>
      </c>
      <c r="F441" s="18" t="str">
        <f aca="false">IFERROR(INDEX(종합!F$3:F$501,MATCH(ROW()-2,종합!$AE$3:$AE$501,0))&amp;"","")</f>
        <v/>
      </c>
      <c r="G441" s="18" t="str">
        <f aca="false">IFERROR(INDEX(종합!G$3:G$501,MATCH(ROW()-2,종합!$AE$3:$AE$501,0))&amp;"","")</f>
        <v/>
      </c>
      <c r="H441" s="21" t="str">
        <f aca="false">IFERROR(INDEX(종합!H$3:H$501,MATCH(ROW()-2,종합!$AE$3:$AE$501,0))&amp;"","")</f>
        <v/>
      </c>
      <c r="I441" s="21" t="str">
        <f aca="false">IFERROR(INDEX(종합!I$3:I$501,MATCH(ROW()-2,종합!$AE$3:$AE$501,0))&amp;"","")</f>
        <v/>
      </c>
      <c r="J441" s="21" t="str">
        <f aca="false">IFERROR(INDEX(종합!J$3:J$501,MATCH(ROW()-2,종합!$AE$3:$AE$501,0))&amp;"","")</f>
        <v/>
      </c>
      <c r="K441" s="21" t="str">
        <f aca="false">IFERROR(INDEX(종합!K$3:K$501,MATCH(ROW()-2,종합!$AE$3:$AE$501,0))&amp;"","")</f>
        <v/>
      </c>
      <c r="L441" s="21" t="str">
        <f aca="false">IFERROR(INDEX(종합!L$3:L$501,MATCH(ROW()-2,종합!$AE$3:$AE$501,0))&amp;"","")</f>
        <v/>
      </c>
      <c r="M441" s="21" t="str">
        <f aca="false">IFERROR(INDEX(종합!M$3:M$501,MATCH(ROW()-2,종합!$AE$3:$AE$501,0))&amp;"","")</f>
        <v/>
      </c>
      <c r="N441" s="25" t="str">
        <f aca="false">IFERROR(INDEX(종합!N$3:N$501,MATCH(ROW()-2,종합!$AE$3:$AE$501,0))&amp;"","")</f>
        <v/>
      </c>
      <c r="O441" s="21" t="str">
        <f aca="false">IFERROR(INDEX(종합!O$3:O$501,MATCH(ROW()-2,종합!$AE$3:$AE$501,0))&amp;"","")</f>
        <v/>
      </c>
      <c r="P441" s="21" t="str">
        <f aca="false">IFERROR(INDEX(종합!P$3:P$501,MATCH(ROW()-2,종합!$AE$3:$AE$501,0))&amp;"","")</f>
        <v/>
      </c>
      <c r="Q441" s="21" t="str">
        <f aca="false">IFERROR(INDEX(종합!Q$3:Q$501,MATCH(ROW()-2,종합!$AE$3:$AE$501,0))&amp;"","")</f>
        <v/>
      </c>
      <c r="R441" s="21" t="str">
        <f aca="false">IFERROR(INDEX(종합!R$3:R$501,MATCH(ROW()-2,종합!$AE$3:$AE$501,0))&amp;"","")</f>
        <v/>
      </c>
      <c r="S441" s="21" t="str">
        <f aca="false">IFERROR(INDEX(종합!S$3:S$501,MATCH(ROW()-2,종합!$AE$3:$AE$501,0))&amp;"","")</f>
        <v/>
      </c>
      <c r="T441" s="21" t="str">
        <f aca="false">IFERROR(INDEX(종합!T$3:T$501,MATCH(ROW()-2,종합!$AE$3:$AE$501,0))&amp;"","")</f>
        <v/>
      </c>
      <c r="U441" s="21" t="str">
        <f aca="false">IFERROR(INDEX(종합!U$3:U$501,MATCH(ROW()-2,종합!$AE$3:$AE$501,0))&amp;"","")</f>
        <v/>
      </c>
      <c r="V441" s="21" t="str">
        <f aca="false">IFERROR(INDEX(종합!V$3:V$501,MATCH(ROW()-2,종합!$AE$3:$AE$501,0))&amp;"","")</f>
        <v/>
      </c>
      <c r="W441" s="21" t="str">
        <f aca="false">IFERROR(INDEX(종합!W$3:W$501,MATCH(ROW()-2,종합!$AE$3:$AE$501,0))&amp;"","")</f>
        <v/>
      </c>
      <c r="X441" s="21" t="str">
        <f aca="false">IFERROR(INDEX(종합!X$3:X$501,MATCH(ROW()-2,종합!$AE$3:$AE$501,0))&amp;"","")</f>
        <v/>
      </c>
      <c r="Y441" s="21" t="str">
        <f aca="false">IFERROR(INDEX(종합!Y$3:Y$501,MATCH(ROW()-2,종합!$AE$3:$AE$501,0))&amp;"","")</f>
        <v/>
      </c>
      <c r="Z441" s="21" t="str">
        <f aca="false">IFERROR(INDEX(종합!Z$3:Z$501,MATCH(ROW()-2,종합!$AE$3:$AE$501,0))&amp;"","")</f>
        <v/>
      </c>
    </row>
    <row r="442" customFormat="false" ht="16.5" hidden="false" customHeight="true" outlineLevel="0" collapsed="false">
      <c r="A442" s="18" t="str">
        <f aca="false">IF(B442="","",ROW()-2)</f>
        <v/>
      </c>
      <c r="B442" s="18" t="str">
        <f aca="false">IFERROR(INDEX(종합!B$3:B$501,MATCH(ROW()-2,종합!$AE$3:$AE$501,0))&amp;"","")</f>
        <v/>
      </c>
      <c r="C442" s="18" t="str">
        <f aca="false">IFERROR(INDEX(종합!C$3:C$501,MATCH(ROW()-2,종합!$AE$3:$AE$501,0))&amp;"","")</f>
        <v/>
      </c>
      <c r="D442" s="18" t="str">
        <f aca="false">IFERROR(INDEX(종합!D$3:D$501,MATCH(ROW()-2,종합!$AE$3:$AE$501,0))&amp;"","")</f>
        <v/>
      </c>
      <c r="E442" s="18" t="str">
        <f aca="false">IFERROR(INDEX(종합!E$3:E$501,MATCH(ROW()-2,종합!$AE$3:$AE$501,0))&amp;"","")</f>
        <v/>
      </c>
      <c r="F442" s="18" t="str">
        <f aca="false">IFERROR(INDEX(종합!F$3:F$501,MATCH(ROW()-2,종합!$AE$3:$AE$501,0))&amp;"","")</f>
        <v/>
      </c>
      <c r="G442" s="18" t="str">
        <f aca="false">IFERROR(INDEX(종합!G$3:G$501,MATCH(ROW()-2,종합!$AE$3:$AE$501,0))&amp;"","")</f>
        <v/>
      </c>
      <c r="H442" s="21" t="str">
        <f aca="false">IFERROR(INDEX(종합!H$3:H$501,MATCH(ROW()-2,종합!$AE$3:$AE$501,0))&amp;"","")</f>
        <v/>
      </c>
      <c r="I442" s="21" t="str">
        <f aca="false">IFERROR(INDEX(종합!I$3:I$501,MATCH(ROW()-2,종합!$AE$3:$AE$501,0))&amp;"","")</f>
        <v/>
      </c>
      <c r="J442" s="21" t="str">
        <f aca="false">IFERROR(INDEX(종합!J$3:J$501,MATCH(ROW()-2,종합!$AE$3:$AE$501,0))&amp;"","")</f>
        <v/>
      </c>
      <c r="K442" s="21" t="str">
        <f aca="false">IFERROR(INDEX(종합!K$3:K$501,MATCH(ROW()-2,종합!$AE$3:$AE$501,0))&amp;"","")</f>
        <v/>
      </c>
      <c r="L442" s="21" t="str">
        <f aca="false">IFERROR(INDEX(종합!L$3:L$501,MATCH(ROW()-2,종합!$AE$3:$AE$501,0))&amp;"","")</f>
        <v/>
      </c>
      <c r="M442" s="21" t="str">
        <f aca="false">IFERROR(INDEX(종합!M$3:M$501,MATCH(ROW()-2,종합!$AE$3:$AE$501,0))&amp;"","")</f>
        <v/>
      </c>
      <c r="N442" s="25" t="str">
        <f aca="false">IFERROR(INDEX(종합!N$3:N$501,MATCH(ROW()-2,종합!$AE$3:$AE$501,0))&amp;"","")</f>
        <v/>
      </c>
      <c r="O442" s="21" t="str">
        <f aca="false">IFERROR(INDEX(종합!O$3:O$501,MATCH(ROW()-2,종합!$AE$3:$AE$501,0))&amp;"","")</f>
        <v/>
      </c>
      <c r="P442" s="21" t="str">
        <f aca="false">IFERROR(INDEX(종합!P$3:P$501,MATCH(ROW()-2,종합!$AE$3:$AE$501,0))&amp;"","")</f>
        <v/>
      </c>
      <c r="Q442" s="21" t="str">
        <f aca="false">IFERROR(INDEX(종합!Q$3:Q$501,MATCH(ROW()-2,종합!$AE$3:$AE$501,0))&amp;"","")</f>
        <v/>
      </c>
      <c r="R442" s="21" t="str">
        <f aca="false">IFERROR(INDEX(종합!R$3:R$501,MATCH(ROW()-2,종합!$AE$3:$AE$501,0))&amp;"","")</f>
        <v/>
      </c>
      <c r="S442" s="21" t="str">
        <f aca="false">IFERROR(INDEX(종합!S$3:S$501,MATCH(ROW()-2,종합!$AE$3:$AE$501,0))&amp;"","")</f>
        <v/>
      </c>
      <c r="T442" s="21" t="str">
        <f aca="false">IFERROR(INDEX(종합!T$3:T$501,MATCH(ROW()-2,종합!$AE$3:$AE$501,0))&amp;"","")</f>
        <v/>
      </c>
      <c r="U442" s="21" t="str">
        <f aca="false">IFERROR(INDEX(종합!U$3:U$501,MATCH(ROW()-2,종합!$AE$3:$AE$501,0))&amp;"","")</f>
        <v/>
      </c>
      <c r="V442" s="21" t="str">
        <f aca="false">IFERROR(INDEX(종합!V$3:V$501,MATCH(ROW()-2,종합!$AE$3:$AE$501,0))&amp;"","")</f>
        <v/>
      </c>
      <c r="W442" s="21" t="str">
        <f aca="false">IFERROR(INDEX(종합!W$3:W$501,MATCH(ROW()-2,종합!$AE$3:$AE$501,0))&amp;"","")</f>
        <v/>
      </c>
      <c r="X442" s="21" t="str">
        <f aca="false">IFERROR(INDEX(종합!X$3:X$501,MATCH(ROW()-2,종합!$AE$3:$AE$501,0))&amp;"","")</f>
        <v/>
      </c>
      <c r="Y442" s="21" t="str">
        <f aca="false">IFERROR(INDEX(종합!Y$3:Y$501,MATCH(ROW()-2,종합!$AE$3:$AE$501,0))&amp;"","")</f>
        <v/>
      </c>
      <c r="Z442" s="21" t="str">
        <f aca="false">IFERROR(INDEX(종합!Z$3:Z$501,MATCH(ROW()-2,종합!$AE$3:$AE$501,0))&amp;"","")</f>
        <v/>
      </c>
    </row>
    <row r="443" customFormat="false" ht="16.5" hidden="false" customHeight="true" outlineLevel="0" collapsed="false">
      <c r="A443" s="18" t="str">
        <f aca="false">IF(B443="","",ROW()-2)</f>
        <v/>
      </c>
      <c r="B443" s="18" t="str">
        <f aca="false">IFERROR(INDEX(종합!B$3:B$501,MATCH(ROW()-2,종합!$AE$3:$AE$501,0))&amp;"","")</f>
        <v/>
      </c>
      <c r="C443" s="18" t="str">
        <f aca="false">IFERROR(INDEX(종합!C$3:C$501,MATCH(ROW()-2,종합!$AE$3:$AE$501,0))&amp;"","")</f>
        <v/>
      </c>
      <c r="D443" s="18" t="str">
        <f aca="false">IFERROR(INDEX(종합!D$3:D$501,MATCH(ROW()-2,종합!$AE$3:$AE$501,0))&amp;"","")</f>
        <v/>
      </c>
      <c r="E443" s="18" t="str">
        <f aca="false">IFERROR(INDEX(종합!E$3:E$501,MATCH(ROW()-2,종합!$AE$3:$AE$501,0))&amp;"","")</f>
        <v/>
      </c>
      <c r="F443" s="18" t="str">
        <f aca="false">IFERROR(INDEX(종합!F$3:F$501,MATCH(ROW()-2,종합!$AE$3:$AE$501,0))&amp;"","")</f>
        <v/>
      </c>
      <c r="G443" s="18" t="str">
        <f aca="false">IFERROR(INDEX(종합!G$3:G$501,MATCH(ROW()-2,종합!$AE$3:$AE$501,0))&amp;"","")</f>
        <v/>
      </c>
      <c r="H443" s="21" t="str">
        <f aca="false">IFERROR(INDEX(종합!H$3:H$501,MATCH(ROW()-2,종합!$AE$3:$AE$501,0))&amp;"","")</f>
        <v/>
      </c>
      <c r="I443" s="21" t="str">
        <f aca="false">IFERROR(INDEX(종합!I$3:I$501,MATCH(ROW()-2,종합!$AE$3:$AE$501,0))&amp;"","")</f>
        <v/>
      </c>
      <c r="J443" s="21" t="str">
        <f aca="false">IFERROR(INDEX(종합!J$3:J$501,MATCH(ROW()-2,종합!$AE$3:$AE$501,0))&amp;"","")</f>
        <v/>
      </c>
      <c r="K443" s="21" t="str">
        <f aca="false">IFERROR(INDEX(종합!K$3:K$501,MATCH(ROW()-2,종합!$AE$3:$AE$501,0))&amp;"","")</f>
        <v/>
      </c>
      <c r="L443" s="21" t="str">
        <f aca="false">IFERROR(INDEX(종합!L$3:L$501,MATCH(ROW()-2,종합!$AE$3:$AE$501,0))&amp;"","")</f>
        <v/>
      </c>
      <c r="M443" s="21" t="str">
        <f aca="false">IFERROR(INDEX(종합!M$3:M$501,MATCH(ROW()-2,종합!$AE$3:$AE$501,0))&amp;"","")</f>
        <v/>
      </c>
      <c r="N443" s="25" t="str">
        <f aca="false">IFERROR(INDEX(종합!N$3:N$501,MATCH(ROW()-2,종합!$AE$3:$AE$501,0))&amp;"","")</f>
        <v/>
      </c>
      <c r="O443" s="21" t="str">
        <f aca="false">IFERROR(INDEX(종합!O$3:O$501,MATCH(ROW()-2,종합!$AE$3:$AE$501,0))&amp;"","")</f>
        <v/>
      </c>
      <c r="P443" s="21" t="str">
        <f aca="false">IFERROR(INDEX(종합!P$3:P$501,MATCH(ROW()-2,종합!$AE$3:$AE$501,0))&amp;"","")</f>
        <v/>
      </c>
      <c r="Q443" s="21" t="str">
        <f aca="false">IFERROR(INDEX(종합!Q$3:Q$501,MATCH(ROW()-2,종합!$AE$3:$AE$501,0))&amp;"","")</f>
        <v/>
      </c>
      <c r="R443" s="21" t="str">
        <f aca="false">IFERROR(INDEX(종합!R$3:R$501,MATCH(ROW()-2,종합!$AE$3:$AE$501,0))&amp;"","")</f>
        <v/>
      </c>
      <c r="S443" s="21" t="str">
        <f aca="false">IFERROR(INDEX(종합!S$3:S$501,MATCH(ROW()-2,종합!$AE$3:$AE$501,0))&amp;"","")</f>
        <v/>
      </c>
      <c r="T443" s="21" t="str">
        <f aca="false">IFERROR(INDEX(종합!T$3:T$501,MATCH(ROW()-2,종합!$AE$3:$AE$501,0))&amp;"","")</f>
        <v/>
      </c>
      <c r="U443" s="21" t="str">
        <f aca="false">IFERROR(INDEX(종합!U$3:U$501,MATCH(ROW()-2,종합!$AE$3:$AE$501,0))&amp;"","")</f>
        <v/>
      </c>
      <c r="V443" s="21" t="str">
        <f aca="false">IFERROR(INDEX(종합!V$3:V$501,MATCH(ROW()-2,종합!$AE$3:$AE$501,0))&amp;"","")</f>
        <v/>
      </c>
      <c r="W443" s="21" t="str">
        <f aca="false">IFERROR(INDEX(종합!W$3:W$501,MATCH(ROW()-2,종합!$AE$3:$AE$501,0))&amp;"","")</f>
        <v/>
      </c>
      <c r="X443" s="21" t="str">
        <f aca="false">IFERROR(INDEX(종합!X$3:X$501,MATCH(ROW()-2,종합!$AE$3:$AE$501,0))&amp;"","")</f>
        <v/>
      </c>
      <c r="Y443" s="21" t="str">
        <f aca="false">IFERROR(INDEX(종합!Y$3:Y$501,MATCH(ROW()-2,종합!$AE$3:$AE$501,0))&amp;"","")</f>
        <v/>
      </c>
      <c r="Z443" s="21" t="str">
        <f aca="false">IFERROR(INDEX(종합!Z$3:Z$501,MATCH(ROW()-2,종합!$AE$3:$AE$501,0))&amp;"","")</f>
        <v/>
      </c>
    </row>
    <row r="444" customFormat="false" ht="16.5" hidden="false" customHeight="true" outlineLevel="0" collapsed="false">
      <c r="A444" s="18" t="str">
        <f aca="false">IF(B444="","",ROW()-2)</f>
        <v/>
      </c>
      <c r="B444" s="18" t="str">
        <f aca="false">IFERROR(INDEX(종합!B$3:B$501,MATCH(ROW()-2,종합!$AE$3:$AE$501,0))&amp;"","")</f>
        <v/>
      </c>
      <c r="C444" s="18" t="str">
        <f aca="false">IFERROR(INDEX(종합!C$3:C$501,MATCH(ROW()-2,종합!$AE$3:$AE$501,0))&amp;"","")</f>
        <v/>
      </c>
      <c r="D444" s="18" t="str">
        <f aca="false">IFERROR(INDEX(종합!D$3:D$501,MATCH(ROW()-2,종합!$AE$3:$AE$501,0))&amp;"","")</f>
        <v/>
      </c>
      <c r="E444" s="18" t="str">
        <f aca="false">IFERROR(INDEX(종합!E$3:E$501,MATCH(ROW()-2,종합!$AE$3:$AE$501,0))&amp;"","")</f>
        <v/>
      </c>
      <c r="F444" s="18" t="str">
        <f aca="false">IFERROR(INDEX(종합!F$3:F$501,MATCH(ROW()-2,종합!$AE$3:$AE$501,0))&amp;"","")</f>
        <v/>
      </c>
      <c r="G444" s="18" t="str">
        <f aca="false">IFERROR(INDEX(종합!G$3:G$501,MATCH(ROW()-2,종합!$AE$3:$AE$501,0))&amp;"","")</f>
        <v/>
      </c>
      <c r="H444" s="21" t="str">
        <f aca="false">IFERROR(INDEX(종합!H$3:H$501,MATCH(ROW()-2,종합!$AE$3:$AE$501,0))&amp;"","")</f>
        <v/>
      </c>
      <c r="I444" s="21" t="str">
        <f aca="false">IFERROR(INDEX(종합!I$3:I$501,MATCH(ROW()-2,종합!$AE$3:$AE$501,0))&amp;"","")</f>
        <v/>
      </c>
      <c r="J444" s="21" t="str">
        <f aca="false">IFERROR(INDEX(종합!J$3:J$501,MATCH(ROW()-2,종합!$AE$3:$AE$501,0))&amp;"","")</f>
        <v/>
      </c>
      <c r="K444" s="21" t="str">
        <f aca="false">IFERROR(INDEX(종합!K$3:K$501,MATCH(ROW()-2,종합!$AE$3:$AE$501,0))&amp;"","")</f>
        <v/>
      </c>
      <c r="L444" s="21" t="str">
        <f aca="false">IFERROR(INDEX(종합!L$3:L$501,MATCH(ROW()-2,종합!$AE$3:$AE$501,0))&amp;"","")</f>
        <v/>
      </c>
      <c r="M444" s="21" t="str">
        <f aca="false">IFERROR(INDEX(종합!M$3:M$501,MATCH(ROW()-2,종합!$AE$3:$AE$501,0))&amp;"","")</f>
        <v/>
      </c>
      <c r="N444" s="25" t="str">
        <f aca="false">IFERROR(INDEX(종합!N$3:N$501,MATCH(ROW()-2,종합!$AE$3:$AE$501,0))&amp;"","")</f>
        <v/>
      </c>
      <c r="O444" s="21" t="str">
        <f aca="false">IFERROR(INDEX(종합!O$3:O$501,MATCH(ROW()-2,종합!$AE$3:$AE$501,0))&amp;"","")</f>
        <v/>
      </c>
      <c r="P444" s="21" t="str">
        <f aca="false">IFERROR(INDEX(종합!P$3:P$501,MATCH(ROW()-2,종합!$AE$3:$AE$501,0))&amp;"","")</f>
        <v/>
      </c>
      <c r="Q444" s="21" t="str">
        <f aca="false">IFERROR(INDEX(종합!Q$3:Q$501,MATCH(ROW()-2,종합!$AE$3:$AE$501,0))&amp;"","")</f>
        <v/>
      </c>
      <c r="R444" s="21" t="str">
        <f aca="false">IFERROR(INDEX(종합!R$3:R$501,MATCH(ROW()-2,종합!$AE$3:$AE$501,0))&amp;"","")</f>
        <v/>
      </c>
      <c r="S444" s="21" t="str">
        <f aca="false">IFERROR(INDEX(종합!S$3:S$501,MATCH(ROW()-2,종합!$AE$3:$AE$501,0))&amp;"","")</f>
        <v/>
      </c>
      <c r="T444" s="21" t="str">
        <f aca="false">IFERROR(INDEX(종합!T$3:T$501,MATCH(ROW()-2,종합!$AE$3:$AE$501,0))&amp;"","")</f>
        <v/>
      </c>
      <c r="U444" s="21" t="str">
        <f aca="false">IFERROR(INDEX(종합!U$3:U$501,MATCH(ROW()-2,종합!$AE$3:$AE$501,0))&amp;"","")</f>
        <v/>
      </c>
      <c r="V444" s="21" t="str">
        <f aca="false">IFERROR(INDEX(종합!V$3:V$501,MATCH(ROW()-2,종합!$AE$3:$AE$501,0))&amp;"","")</f>
        <v/>
      </c>
      <c r="W444" s="21" t="str">
        <f aca="false">IFERROR(INDEX(종합!W$3:W$501,MATCH(ROW()-2,종합!$AE$3:$AE$501,0))&amp;"","")</f>
        <v/>
      </c>
      <c r="X444" s="21" t="str">
        <f aca="false">IFERROR(INDEX(종합!X$3:X$501,MATCH(ROW()-2,종합!$AE$3:$AE$501,0))&amp;"","")</f>
        <v/>
      </c>
      <c r="Y444" s="21" t="str">
        <f aca="false">IFERROR(INDEX(종합!Y$3:Y$501,MATCH(ROW()-2,종합!$AE$3:$AE$501,0))&amp;"","")</f>
        <v/>
      </c>
      <c r="Z444" s="21" t="str">
        <f aca="false">IFERROR(INDEX(종합!Z$3:Z$501,MATCH(ROW()-2,종합!$AE$3:$AE$501,0))&amp;"","")</f>
        <v/>
      </c>
    </row>
    <row r="445" customFormat="false" ht="16.5" hidden="false" customHeight="true" outlineLevel="0" collapsed="false">
      <c r="A445" s="18" t="str">
        <f aca="false">IF(B445="","",ROW()-2)</f>
        <v/>
      </c>
      <c r="B445" s="18" t="str">
        <f aca="false">IFERROR(INDEX(종합!B$3:B$501,MATCH(ROW()-2,종합!$AE$3:$AE$501,0))&amp;"","")</f>
        <v/>
      </c>
      <c r="C445" s="18" t="str">
        <f aca="false">IFERROR(INDEX(종합!C$3:C$501,MATCH(ROW()-2,종합!$AE$3:$AE$501,0))&amp;"","")</f>
        <v/>
      </c>
      <c r="D445" s="18" t="str">
        <f aca="false">IFERROR(INDEX(종합!D$3:D$501,MATCH(ROW()-2,종합!$AE$3:$AE$501,0))&amp;"","")</f>
        <v/>
      </c>
      <c r="E445" s="18" t="str">
        <f aca="false">IFERROR(INDEX(종합!E$3:E$501,MATCH(ROW()-2,종합!$AE$3:$AE$501,0))&amp;"","")</f>
        <v/>
      </c>
      <c r="F445" s="18" t="str">
        <f aca="false">IFERROR(INDEX(종합!F$3:F$501,MATCH(ROW()-2,종합!$AE$3:$AE$501,0))&amp;"","")</f>
        <v/>
      </c>
      <c r="G445" s="18" t="str">
        <f aca="false">IFERROR(INDEX(종합!G$3:G$501,MATCH(ROW()-2,종합!$AE$3:$AE$501,0))&amp;"","")</f>
        <v/>
      </c>
      <c r="H445" s="21" t="str">
        <f aca="false">IFERROR(INDEX(종합!H$3:H$501,MATCH(ROW()-2,종합!$AE$3:$AE$501,0))&amp;"","")</f>
        <v/>
      </c>
      <c r="I445" s="21" t="str">
        <f aca="false">IFERROR(INDEX(종합!I$3:I$501,MATCH(ROW()-2,종합!$AE$3:$AE$501,0))&amp;"","")</f>
        <v/>
      </c>
      <c r="J445" s="21" t="str">
        <f aca="false">IFERROR(INDEX(종합!J$3:J$501,MATCH(ROW()-2,종합!$AE$3:$AE$501,0))&amp;"","")</f>
        <v/>
      </c>
      <c r="K445" s="21" t="str">
        <f aca="false">IFERROR(INDEX(종합!K$3:K$501,MATCH(ROW()-2,종합!$AE$3:$AE$501,0))&amp;"","")</f>
        <v/>
      </c>
      <c r="L445" s="21" t="str">
        <f aca="false">IFERROR(INDEX(종합!L$3:L$501,MATCH(ROW()-2,종합!$AE$3:$AE$501,0))&amp;"","")</f>
        <v/>
      </c>
      <c r="M445" s="21" t="str">
        <f aca="false">IFERROR(INDEX(종합!M$3:M$501,MATCH(ROW()-2,종합!$AE$3:$AE$501,0))&amp;"","")</f>
        <v/>
      </c>
      <c r="N445" s="25" t="str">
        <f aca="false">IFERROR(INDEX(종합!N$3:N$501,MATCH(ROW()-2,종합!$AE$3:$AE$501,0))&amp;"","")</f>
        <v/>
      </c>
      <c r="O445" s="21" t="str">
        <f aca="false">IFERROR(INDEX(종합!O$3:O$501,MATCH(ROW()-2,종합!$AE$3:$AE$501,0))&amp;"","")</f>
        <v/>
      </c>
      <c r="P445" s="21" t="str">
        <f aca="false">IFERROR(INDEX(종합!P$3:P$501,MATCH(ROW()-2,종합!$AE$3:$AE$501,0))&amp;"","")</f>
        <v/>
      </c>
      <c r="Q445" s="21" t="str">
        <f aca="false">IFERROR(INDEX(종합!Q$3:Q$501,MATCH(ROW()-2,종합!$AE$3:$AE$501,0))&amp;"","")</f>
        <v/>
      </c>
      <c r="R445" s="21" t="str">
        <f aca="false">IFERROR(INDEX(종합!R$3:R$501,MATCH(ROW()-2,종합!$AE$3:$AE$501,0))&amp;"","")</f>
        <v/>
      </c>
      <c r="S445" s="21" t="str">
        <f aca="false">IFERROR(INDEX(종합!S$3:S$501,MATCH(ROW()-2,종합!$AE$3:$AE$501,0))&amp;"","")</f>
        <v/>
      </c>
      <c r="T445" s="21" t="str">
        <f aca="false">IFERROR(INDEX(종합!T$3:T$501,MATCH(ROW()-2,종합!$AE$3:$AE$501,0))&amp;"","")</f>
        <v/>
      </c>
      <c r="U445" s="21" t="str">
        <f aca="false">IFERROR(INDEX(종합!U$3:U$501,MATCH(ROW()-2,종합!$AE$3:$AE$501,0))&amp;"","")</f>
        <v/>
      </c>
      <c r="V445" s="21" t="str">
        <f aca="false">IFERROR(INDEX(종합!V$3:V$501,MATCH(ROW()-2,종합!$AE$3:$AE$501,0))&amp;"","")</f>
        <v/>
      </c>
      <c r="W445" s="21" t="str">
        <f aca="false">IFERROR(INDEX(종합!W$3:W$501,MATCH(ROW()-2,종합!$AE$3:$AE$501,0))&amp;"","")</f>
        <v/>
      </c>
      <c r="X445" s="21" t="str">
        <f aca="false">IFERROR(INDEX(종합!X$3:X$501,MATCH(ROW()-2,종합!$AE$3:$AE$501,0))&amp;"","")</f>
        <v/>
      </c>
      <c r="Y445" s="21" t="str">
        <f aca="false">IFERROR(INDEX(종합!Y$3:Y$501,MATCH(ROW()-2,종합!$AE$3:$AE$501,0))&amp;"","")</f>
        <v/>
      </c>
      <c r="Z445" s="21" t="str">
        <f aca="false">IFERROR(INDEX(종합!Z$3:Z$501,MATCH(ROW()-2,종합!$AE$3:$AE$501,0))&amp;"","")</f>
        <v/>
      </c>
    </row>
    <row r="446" customFormat="false" ht="16.5" hidden="false" customHeight="true" outlineLevel="0" collapsed="false">
      <c r="A446" s="18" t="str">
        <f aca="false">IF(B446="","",ROW()-2)</f>
        <v/>
      </c>
      <c r="B446" s="18" t="str">
        <f aca="false">IFERROR(INDEX(종합!B$3:B$501,MATCH(ROW()-2,종합!$AE$3:$AE$501,0))&amp;"","")</f>
        <v/>
      </c>
      <c r="C446" s="18" t="str">
        <f aca="false">IFERROR(INDEX(종합!C$3:C$501,MATCH(ROW()-2,종합!$AE$3:$AE$501,0))&amp;"","")</f>
        <v/>
      </c>
      <c r="D446" s="18" t="str">
        <f aca="false">IFERROR(INDEX(종합!D$3:D$501,MATCH(ROW()-2,종합!$AE$3:$AE$501,0))&amp;"","")</f>
        <v/>
      </c>
      <c r="E446" s="18" t="str">
        <f aca="false">IFERROR(INDEX(종합!E$3:E$501,MATCH(ROW()-2,종합!$AE$3:$AE$501,0))&amp;"","")</f>
        <v/>
      </c>
      <c r="F446" s="18" t="str">
        <f aca="false">IFERROR(INDEX(종합!F$3:F$501,MATCH(ROW()-2,종합!$AE$3:$AE$501,0))&amp;"","")</f>
        <v/>
      </c>
      <c r="G446" s="18" t="str">
        <f aca="false">IFERROR(INDEX(종합!G$3:G$501,MATCH(ROW()-2,종합!$AE$3:$AE$501,0))&amp;"","")</f>
        <v/>
      </c>
      <c r="H446" s="21" t="str">
        <f aca="false">IFERROR(INDEX(종합!H$3:H$501,MATCH(ROW()-2,종합!$AE$3:$AE$501,0))&amp;"","")</f>
        <v/>
      </c>
      <c r="I446" s="21" t="str">
        <f aca="false">IFERROR(INDEX(종합!I$3:I$501,MATCH(ROW()-2,종합!$AE$3:$AE$501,0))&amp;"","")</f>
        <v/>
      </c>
      <c r="J446" s="21" t="str">
        <f aca="false">IFERROR(INDEX(종합!J$3:J$501,MATCH(ROW()-2,종합!$AE$3:$AE$501,0))&amp;"","")</f>
        <v/>
      </c>
      <c r="K446" s="21" t="str">
        <f aca="false">IFERROR(INDEX(종합!K$3:K$501,MATCH(ROW()-2,종합!$AE$3:$AE$501,0))&amp;"","")</f>
        <v/>
      </c>
      <c r="L446" s="21" t="str">
        <f aca="false">IFERROR(INDEX(종합!L$3:L$501,MATCH(ROW()-2,종합!$AE$3:$AE$501,0))&amp;"","")</f>
        <v/>
      </c>
      <c r="M446" s="21" t="str">
        <f aca="false">IFERROR(INDEX(종합!M$3:M$501,MATCH(ROW()-2,종합!$AE$3:$AE$501,0))&amp;"","")</f>
        <v/>
      </c>
      <c r="N446" s="25" t="str">
        <f aca="false">IFERROR(INDEX(종합!N$3:N$501,MATCH(ROW()-2,종합!$AE$3:$AE$501,0))&amp;"","")</f>
        <v/>
      </c>
      <c r="O446" s="21" t="str">
        <f aca="false">IFERROR(INDEX(종합!O$3:O$501,MATCH(ROW()-2,종합!$AE$3:$AE$501,0))&amp;"","")</f>
        <v/>
      </c>
      <c r="P446" s="21" t="str">
        <f aca="false">IFERROR(INDEX(종합!P$3:P$501,MATCH(ROW()-2,종합!$AE$3:$AE$501,0))&amp;"","")</f>
        <v/>
      </c>
      <c r="Q446" s="21" t="str">
        <f aca="false">IFERROR(INDEX(종합!Q$3:Q$501,MATCH(ROW()-2,종합!$AE$3:$AE$501,0))&amp;"","")</f>
        <v/>
      </c>
      <c r="R446" s="21" t="str">
        <f aca="false">IFERROR(INDEX(종합!R$3:R$501,MATCH(ROW()-2,종합!$AE$3:$AE$501,0))&amp;"","")</f>
        <v/>
      </c>
      <c r="S446" s="21" t="str">
        <f aca="false">IFERROR(INDEX(종합!S$3:S$501,MATCH(ROW()-2,종합!$AE$3:$AE$501,0))&amp;"","")</f>
        <v/>
      </c>
      <c r="T446" s="21" t="str">
        <f aca="false">IFERROR(INDEX(종합!T$3:T$501,MATCH(ROW()-2,종합!$AE$3:$AE$501,0))&amp;"","")</f>
        <v/>
      </c>
      <c r="U446" s="21" t="str">
        <f aca="false">IFERROR(INDEX(종합!U$3:U$501,MATCH(ROW()-2,종합!$AE$3:$AE$501,0))&amp;"","")</f>
        <v/>
      </c>
      <c r="V446" s="21" t="str">
        <f aca="false">IFERROR(INDEX(종합!V$3:V$501,MATCH(ROW()-2,종합!$AE$3:$AE$501,0))&amp;"","")</f>
        <v/>
      </c>
      <c r="W446" s="21" t="str">
        <f aca="false">IFERROR(INDEX(종합!W$3:W$501,MATCH(ROW()-2,종합!$AE$3:$AE$501,0))&amp;"","")</f>
        <v/>
      </c>
      <c r="X446" s="21" t="str">
        <f aca="false">IFERROR(INDEX(종합!X$3:X$501,MATCH(ROW()-2,종합!$AE$3:$AE$501,0))&amp;"","")</f>
        <v/>
      </c>
      <c r="Y446" s="21" t="str">
        <f aca="false">IFERROR(INDEX(종합!Y$3:Y$501,MATCH(ROW()-2,종합!$AE$3:$AE$501,0))&amp;"","")</f>
        <v/>
      </c>
      <c r="Z446" s="21" t="str">
        <f aca="false">IFERROR(INDEX(종합!Z$3:Z$501,MATCH(ROW()-2,종합!$AE$3:$AE$501,0))&amp;"","")</f>
        <v/>
      </c>
    </row>
    <row r="447" customFormat="false" ht="16.5" hidden="false" customHeight="true" outlineLevel="0" collapsed="false">
      <c r="A447" s="18" t="str">
        <f aca="false">IF(B447="","",ROW()-2)</f>
        <v/>
      </c>
      <c r="B447" s="18" t="str">
        <f aca="false">IFERROR(INDEX(종합!B$3:B$501,MATCH(ROW()-2,종합!$AE$3:$AE$501,0))&amp;"","")</f>
        <v/>
      </c>
      <c r="C447" s="18" t="str">
        <f aca="false">IFERROR(INDEX(종합!C$3:C$501,MATCH(ROW()-2,종합!$AE$3:$AE$501,0))&amp;"","")</f>
        <v/>
      </c>
      <c r="D447" s="18" t="str">
        <f aca="false">IFERROR(INDEX(종합!D$3:D$501,MATCH(ROW()-2,종합!$AE$3:$AE$501,0))&amp;"","")</f>
        <v/>
      </c>
      <c r="E447" s="18" t="str">
        <f aca="false">IFERROR(INDEX(종합!E$3:E$501,MATCH(ROW()-2,종합!$AE$3:$AE$501,0))&amp;"","")</f>
        <v/>
      </c>
      <c r="F447" s="18" t="str">
        <f aca="false">IFERROR(INDEX(종합!F$3:F$501,MATCH(ROW()-2,종합!$AE$3:$AE$501,0))&amp;"","")</f>
        <v/>
      </c>
      <c r="G447" s="18" t="str">
        <f aca="false">IFERROR(INDEX(종합!G$3:G$501,MATCH(ROW()-2,종합!$AE$3:$AE$501,0))&amp;"","")</f>
        <v/>
      </c>
      <c r="H447" s="21" t="str">
        <f aca="false">IFERROR(INDEX(종합!H$3:H$501,MATCH(ROW()-2,종합!$AE$3:$AE$501,0))&amp;"","")</f>
        <v/>
      </c>
      <c r="I447" s="21" t="str">
        <f aca="false">IFERROR(INDEX(종합!I$3:I$501,MATCH(ROW()-2,종합!$AE$3:$AE$501,0))&amp;"","")</f>
        <v/>
      </c>
      <c r="J447" s="21" t="str">
        <f aca="false">IFERROR(INDEX(종합!J$3:J$501,MATCH(ROW()-2,종합!$AE$3:$AE$501,0))&amp;"","")</f>
        <v/>
      </c>
      <c r="K447" s="21" t="str">
        <f aca="false">IFERROR(INDEX(종합!K$3:K$501,MATCH(ROW()-2,종합!$AE$3:$AE$501,0))&amp;"","")</f>
        <v/>
      </c>
      <c r="L447" s="21" t="str">
        <f aca="false">IFERROR(INDEX(종합!L$3:L$501,MATCH(ROW()-2,종합!$AE$3:$AE$501,0))&amp;"","")</f>
        <v/>
      </c>
      <c r="M447" s="21" t="str">
        <f aca="false">IFERROR(INDEX(종합!M$3:M$501,MATCH(ROW()-2,종합!$AE$3:$AE$501,0))&amp;"","")</f>
        <v/>
      </c>
      <c r="N447" s="25" t="str">
        <f aca="false">IFERROR(INDEX(종합!N$3:N$501,MATCH(ROW()-2,종합!$AE$3:$AE$501,0))&amp;"","")</f>
        <v/>
      </c>
      <c r="O447" s="21" t="str">
        <f aca="false">IFERROR(INDEX(종합!O$3:O$501,MATCH(ROW()-2,종합!$AE$3:$AE$501,0))&amp;"","")</f>
        <v/>
      </c>
      <c r="P447" s="21" t="str">
        <f aca="false">IFERROR(INDEX(종합!P$3:P$501,MATCH(ROW()-2,종합!$AE$3:$AE$501,0))&amp;"","")</f>
        <v/>
      </c>
      <c r="Q447" s="21" t="str">
        <f aca="false">IFERROR(INDEX(종합!Q$3:Q$501,MATCH(ROW()-2,종합!$AE$3:$AE$501,0))&amp;"","")</f>
        <v/>
      </c>
      <c r="R447" s="21" t="str">
        <f aca="false">IFERROR(INDEX(종합!R$3:R$501,MATCH(ROW()-2,종합!$AE$3:$AE$501,0))&amp;"","")</f>
        <v/>
      </c>
      <c r="S447" s="21" t="str">
        <f aca="false">IFERROR(INDEX(종합!S$3:S$501,MATCH(ROW()-2,종합!$AE$3:$AE$501,0))&amp;"","")</f>
        <v/>
      </c>
      <c r="T447" s="21" t="str">
        <f aca="false">IFERROR(INDEX(종합!T$3:T$501,MATCH(ROW()-2,종합!$AE$3:$AE$501,0))&amp;"","")</f>
        <v/>
      </c>
      <c r="U447" s="21" t="str">
        <f aca="false">IFERROR(INDEX(종합!U$3:U$501,MATCH(ROW()-2,종합!$AE$3:$AE$501,0))&amp;"","")</f>
        <v/>
      </c>
      <c r="V447" s="21" t="str">
        <f aca="false">IFERROR(INDEX(종합!V$3:V$501,MATCH(ROW()-2,종합!$AE$3:$AE$501,0))&amp;"","")</f>
        <v/>
      </c>
      <c r="W447" s="21" t="str">
        <f aca="false">IFERROR(INDEX(종합!W$3:W$501,MATCH(ROW()-2,종합!$AE$3:$AE$501,0))&amp;"","")</f>
        <v/>
      </c>
      <c r="X447" s="21" t="str">
        <f aca="false">IFERROR(INDEX(종합!X$3:X$501,MATCH(ROW()-2,종합!$AE$3:$AE$501,0))&amp;"","")</f>
        <v/>
      </c>
      <c r="Y447" s="21" t="str">
        <f aca="false">IFERROR(INDEX(종합!Y$3:Y$501,MATCH(ROW()-2,종합!$AE$3:$AE$501,0))&amp;"","")</f>
        <v/>
      </c>
      <c r="Z447" s="21" t="str">
        <f aca="false">IFERROR(INDEX(종합!Z$3:Z$501,MATCH(ROW()-2,종합!$AE$3:$AE$501,0))&amp;"","")</f>
        <v/>
      </c>
    </row>
    <row r="448" customFormat="false" ht="16.5" hidden="false" customHeight="true" outlineLevel="0" collapsed="false">
      <c r="A448" s="18" t="str">
        <f aca="false">IF(B448="","",ROW()-2)</f>
        <v/>
      </c>
      <c r="B448" s="18" t="str">
        <f aca="false">IFERROR(INDEX(종합!B$3:B$501,MATCH(ROW()-2,종합!$AE$3:$AE$501,0))&amp;"","")</f>
        <v/>
      </c>
      <c r="C448" s="18" t="str">
        <f aca="false">IFERROR(INDEX(종합!C$3:C$501,MATCH(ROW()-2,종합!$AE$3:$AE$501,0))&amp;"","")</f>
        <v/>
      </c>
      <c r="D448" s="18" t="str">
        <f aca="false">IFERROR(INDEX(종합!D$3:D$501,MATCH(ROW()-2,종합!$AE$3:$AE$501,0))&amp;"","")</f>
        <v/>
      </c>
      <c r="E448" s="18" t="str">
        <f aca="false">IFERROR(INDEX(종합!E$3:E$501,MATCH(ROW()-2,종합!$AE$3:$AE$501,0))&amp;"","")</f>
        <v/>
      </c>
      <c r="F448" s="18" t="str">
        <f aca="false">IFERROR(INDEX(종합!F$3:F$501,MATCH(ROW()-2,종합!$AE$3:$AE$501,0))&amp;"","")</f>
        <v/>
      </c>
      <c r="G448" s="18" t="str">
        <f aca="false">IFERROR(INDEX(종합!G$3:G$501,MATCH(ROW()-2,종합!$AE$3:$AE$501,0))&amp;"","")</f>
        <v/>
      </c>
      <c r="H448" s="21" t="str">
        <f aca="false">IFERROR(INDEX(종합!H$3:H$501,MATCH(ROW()-2,종합!$AE$3:$AE$501,0))&amp;"","")</f>
        <v/>
      </c>
      <c r="I448" s="21" t="str">
        <f aca="false">IFERROR(INDEX(종합!I$3:I$501,MATCH(ROW()-2,종합!$AE$3:$AE$501,0))&amp;"","")</f>
        <v/>
      </c>
      <c r="J448" s="21" t="str">
        <f aca="false">IFERROR(INDEX(종합!J$3:J$501,MATCH(ROW()-2,종합!$AE$3:$AE$501,0))&amp;"","")</f>
        <v/>
      </c>
      <c r="K448" s="21" t="str">
        <f aca="false">IFERROR(INDEX(종합!K$3:K$501,MATCH(ROW()-2,종합!$AE$3:$AE$501,0))&amp;"","")</f>
        <v/>
      </c>
      <c r="L448" s="21" t="str">
        <f aca="false">IFERROR(INDEX(종합!L$3:L$501,MATCH(ROW()-2,종합!$AE$3:$AE$501,0))&amp;"","")</f>
        <v/>
      </c>
      <c r="M448" s="21" t="str">
        <f aca="false">IFERROR(INDEX(종합!M$3:M$501,MATCH(ROW()-2,종합!$AE$3:$AE$501,0))&amp;"","")</f>
        <v/>
      </c>
      <c r="N448" s="25" t="str">
        <f aca="false">IFERROR(INDEX(종합!N$3:N$501,MATCH(ROW()-2,종합!$AE$3:$AE$501,0))&amp;"","")</f>
        <v/>
      </c>
      <c r="O448" s="21" t="str">
        <f aca="false">IFERROR(INDEX(종합!O$3:O$501,MATCH(ROW()-2,종합!$AE$3:$AE$501,0))&amp;"","")</f>
        <v/>
      </c>
      <c r="P448" s="21" t="str">
        <f aca="false">IFERROR(INDEX(종합!P$3:P$501,MATCH(ROW()-2,종합!$AE$3:$AE$501,0))&amp;"","")</f>
        <v/>
      </c>
      <c r="Q448" s="21" t="str">
        <f aca="false">IFERROR(INDEX(종합!Q$3:Q$501,MATCH(ROW()-2,종합!$AE$3:$AE$501,0))&amp;"","")</f>
        <v/>
      </c>
      <c r="R448" s="21" t="str">
        <f aca="false">IFERROR(INDEX(종합!R$3:R$501,MATCH(ROW()-2,종합!$AE$3:$AE$501,0))&amp;"","")</f>
        <v/>
      </c>
      <c r="S448" s="21" t="str">
        <f aca="false">IFERROR(INDEX(종합!S$3:S$501,MATCH(ROW()-2,종합!$AE$3:$AE$501,0))&amp;"","")</f>
        <v/>
      </c>
      <c r="T448" s="21" t="str">
        <f aca="false">IFERROR(INDEX(종합!T$3:T$501,MATCH(ROW()-2,종합!$AE$3:$AE$501,0))&amp;"","")</f>
        <v/>
      </c>
      <c r="U448" s="21" t="str">
        <f aca="false">IFERROR(INDEX(종합!U$3:U$501,MATCH(ROW()-2,종합!$AE$3:$AE$501,0))&amp;"","")</f>
        <v/>
      </c>
      <c r="V448" s="21" t="str">
        <f aca="false">IFERROR(INDEX(종합!V$3:V$501,MATCH(ROW()-2,종합!$AE$3:$AE$501,0))&amp;"","")</f>
        <v/>
      </c>
      <c r="W448" s="21" t="str">
        <f aca="false">IFERROR(INDEX(종합!W$3:W$501,MATCH(ROW()-2,종합!$AE$3:$AE$501,0))&amp;"","")</f>
        <v/>
      </c>
      <c r="X448" s="21" t="str">
        <f aca="false">IFERROR(INDEX(종합!X$3:X$501,MATCH(ROW()-2,종합!$AE$3:$AE$501,0))&amp;"","")</f>
        <v/>
      </c>
      <c r="Y448" s="21" t="str">
        <f aca="false">IFERROR(INDEX(종합!Y$3:Y$501,MATCH(ROW()-2,종합!$AE$3:$AE$501,0))&amp;"","")</f>
        <v/>
      </c>
      <c r="Z448" s="21" t="str">
        <f aca="false">IFERROR(INDEX(종합!Z$3:Z$501,MATCH(ROW()-2,종합!$AE$3:$AE$501,0))&amp;"","")</f>
        <v/>
      </c>
    </row>
    <row r="449" customFormat="false" ht="16.5" hidden="false" customHeight="true" outlineLevel="0" collapsed="false">
      <c r="A449" s="18" t="str">
        <f aca="false">IF(B449="","",ROW()-2)</f>
        <v/>
      </c>
      <c r="B449" s="18" t="str">
        <f aca="false">IFERROR(INDEX(종합!B$3:B$501,MATCH(ROW()-2,종합!$AE$3:$AE$501,0))&amp;"","")</f>
        <v/>
      </c>
      <c r="C449" s="18" t="str">
        <f aca="false">IFERROR(INDEX(종합!C$3:C$501,MATCH(ROW()-2,종합!$AE$3:$AE$501,0))&amp;"","")</f>
        <v/>
      </c>
      <c r="D449" s="18" t="str">
        <f aca="false">IFERROR(INDEX(종합!D$3:D$501,MATCH(ROW()-2,종합!$AE$3:$AE$501,0))&amp;"","")</f>
        <v/>
      </c>
      <c r="E449" s="18" t="str">
        <f aca="false">IFERROR(INDEX(종합!E$3:E$501,MATCH(ROW()-2,종합!$AE$3:$AE$501,0))&amp;"","")</f>
        <v/>
      </c>
      <c r="F449" s="18" t="str">
        <f aca="false">IFERROR(INDEX(종합!F$3:F$501,MATCH(ROW()-2,종합!$AE$3:$AE$501,0))&amp;"","")</f>
        <v/>
      </c>
      <c r="G449" s="18" t="str">
        <f aca="false">IFERROR(INDEX(종합!G$3:G$501,MATCH(ROW()-2,종합!$AE$3:$AE$501,0))&amp;"","")</f>
        <v/>
      </c>
      <c r="H449" s="21" t="str">
        <f aca="false">IFERROR(INDEX(종합!H$3:H$501,MATCH(ROW()-2,종합!$AE$3:$AE$501,0))&amp;"","")</f>
        <v/>
      </c>
      <c r="I449" s="21" t="str">
        <f aca="false">IFERROR(INDEX(종합!I$3:I$501,MATCH(ROW()-2,종합!$AE$3:$AE$501,0))&amp;"","")</f>
        <v/>
      </c>
      <c r="J449" s="21" t="str">
        <f aca="false">IFERROR(INDEX(종합!J$3:J$501,MATCH(ROW()-2,종합!$AE$3:$AE$501,0))&amp;"","")</f>
        <v/>
      </c>
      <c r="K449" s="21" t="str">
        <f aca="false">IFERROR(INDEX(종합!K$3:K$501,MATCH(ROW()-2,종합!$AE$3:$AE$501,0))&amp;"","")</f>
        <v/>
      </c>
      <c r="L449" s="21" t="str">
        <f aca="false">IFERROR(INDEX(종합!L$3:L$501,MATCH(ROW()-2,종합!$AE$3:$AE$501,0))&amp;"","")</f>
        <v/>
      </c>
      <c r="M449" s="21" t="str">
        <f aca="false">IFERROR(INDEX(종합!M$3:M$501,MATCH(ROW()-2,종합!$AE$3:$AE$501,0))&amp;"","")</f>
        <v/>
      </c>
      <c r="N449" s="25" t="str">
        <f aca="false">IFERROR(INDEX(종합!N$3:N$501,MATCH(ROW()-2,종합!$AE$3:$AE$501,0))&amp;"","")</f>
        <v/>
      </c>
      <c r="O449" s="21" t="str">
        <f aca="false">IFERROR(INDEX(종합!O$3:O$501,MATCH(ROW()-2,종합!$AE$3:$AE$501,0))&amp;"","")</f>
        <v/>
      </c>
      <c r="P449" s="21" t="str">
        <f aca="false">IFERROR(INDEX(종합!P$3:P$501,MATCH(ROW()-2,종합!$AE$3:$AE$501,0))&amp;"","")</f>
        <v/>
      </c>
      <c r="Q449" s="21" t="str">
        <f aca="false">IFERROR(INDEX(종합!Q$3:Q$501,MATCH(ROW()-2,종합!$AE$3:$AE$501,0))&amp;"","")</f>
        <v/>
      </c>
      <c r="R449" s="21" t="str">
        <f aca="false">IFERROR(INDEX(종합!R$3:R$501,MATCH(ROW()-2,종합!$AE$3:$AE$501,0))&amp;"","")</f>
        <v/>
      </c>
      <c r="S449" s="21" t="str">
        <f aca="false">IFERROR(INDEX(종합!S$3:S$501,MATCH(ROW()-2,종합!$AE$3:$AE$501,0))&amp;"","")</f>
        <v/>
      </c>
      <c r="T449" s="21" t="str">
        <f aca="false">IFERROR(INDEX(종합!T$3:T$501,MATCH(ROW()-2,종합!$AE$3:$AE$501,0))&amp;"","")</f>
        <v/>
      </c>
      <c r="U449" s="21" t="str">
        <f aca="false">IFERROR(INDEX(종합!U$3:U$501,MATCH(ROW()-2,종합!$AE$3:$AE$501,0))&amp;"","")</f>
        <v/>
      </c>
      <c r="V449" s="21" t="str">
        <f aca="false">IFERROR(INDEX(종합!V$3:V$501,MATCH(ROW()-2,종합!$AE$3:$AE$501,0))&amp;"","")</f>
        <v/>
      </c>
      <c r="W449" s="21" t="str">
        <f aca="false">IFERROR(INDEX(종합!W$3:W$501,MATCH(ROW()-2,종합!$AE$3:$AE$501,0))&amp;"","")</f>
        <v/>
      </c>
      <c r="X449" s="21" t="str">
        <f aca="false">IFERROR(INDEX(종합!X$3:X$501,MATCH(ROW()-2,종합!$AE$3:$AE$501,0))&amp;"","")</f>
        <v/>
      </c>
      <c r="Y449" s="21" t="str">
        <f aca="false">IFERROR(INDEX(종합!Y$3:Y$501,MATCH(ROW()-2,종합!$AE$3:$AE$501,0))&amp;"","")</f>
        <v/>
      </c>
      <c r="Z449" s="21" t="str">
        <f aca="false">IFERROR(INDEX(종합!Z$3:Z$501,MATCH(ROW()-2,종합!$AE$3:$AE$501,0))&amp;"","")</f>
        <v/>
      </c>
    </row>
    <row r="450" customFormat="false" ht="16.5" hidden="false" customHeight="true" outlineLevel="0" collapsed="false">
      <c r="A450" s="18" t="str">
        <f aca="false">IF(B450="","",ROW()-2)</f>
        <v/>
      </c>
      <c r="B450" s="18" t="str">
        <f aca="false">IFERROR(INDEX(종합!B$3:B$501,MATCH(ROW()-2,종합!$AE$3:$AE$501,0))&amp;"","")</f>
        <v/>
      </c>
      <c r="C450" s="18" t="str">
        <f aca="false">IFERROR(INDEX(종합!C$3:C$501,MATCH(ROW()-2,종합!$AE$3:$AE$501,0))&amp;"","")</f>
        <v/>
      </c>
      <c r="D450" s="18" t="str">
        <f aca="false">IFERROR(INDEX(종합!D$3:D$501,MATCH(ROW()-2,종합!$AE$3:$AE$501,0))&amp;"","")</f>
        <v/>
      </c>
      <c r="E450" s="18" t="str">
        <f aca="false">IFERROR(INDEX(종합!E$3:E$501,MATCH(ROW()-2,종합!$AE$3:$AE$501,0))&amp;"","")</f>
        <v/>
      </c>
      <c r="F450" s="18" t="str">
        <f aca="false">IFERROR(INDEX(종합!F$3:F$501,MATCH(ROW()-2,종합!$AE$3:$AE$501,0))&amp;"","")</f>
        <v/>
      </c>
      <c r="G450" s="18" t="str">
        <f aca="false">IFERROR(INDEX(종합!G$3:G$501,MATCH(ROW()-2,종합!$AE$3:$AE$501,0))&amp;"","")</f>
        <v/>
      </c>
      <c r="H450" s="21" t="str">
        <f aca="false">IFERROR(INDEX(종합!H$3:H$501,MATCH(ROW()-2,종합!$AE$3:$AE$501,0))&amp;"","")</f>
        <v/>
      </c>
      <c r="I450" s="21" t="str">
        <f aca="false">IFERROR(INDEX(종합!I$3:I$501,MATCH(ROW()-2,종합!$AE$3:$AE$501,0))&amp;"","")</f>
        <v/>
      </c>
      <c r="J450" s="21" t="str">
        <f aca="false">IFERROR(INDEX(종합!J$3:J$501,MATCH(ROW()-2,종합!$AE$3:$AE$501,0))&amp;"","")</f>
        <v/>
      </c>
      <c r="K450" s="21" t="str">
        <f aca="false">IFERROR(INDEX(종합!K$3:K$501,MATCH(ROW()-2,종합!$AE$3:$AE$501,0))&amp;"","")</f>
        <v/>
      </c>
      <c r="L450" s="21" t="str">
        <f aca="false">IFERROR(INDEX(종합!L$3:L$501,MATCH(ROW()-2,종합!$AE$3:$AE$501,0))&amp;"","")</f>
        <v/>
      </c>
      <c r="M450" s="21" t="str">
        <f aca="false">IFERROR(INDEX(종합!M$3:M$501,MATCH(ROW()-2,종합!$AE$3:$AE$501,0))&amp;"","")</f>
        <v/>
      </c>
      <c r="N450" s="25" t="str">
        <f aca="false">IFERROR(INDEX(종합!N$3:N$501,MATCH(ROW()-2,종합!$AE$3:$AE$501,0))&amp;"","")</f>
        <v/>
      </c>
      <c r="O450" s="21" t="str">
        <f aca="false">IFERROR(INDEX(종합!O$3:O$501,MATCH(ROW()-2,종합!$AE$3:$AE$501,0))&amp;"","")</f>
        <v/>
      </c>
      <c r="P450" s="21" t="str">
        <f aca="false">IFERROR(INDEX(종합!P$3:P$501,MATCH(ROW()-2,종합!$AE$3:$AE$501,0))&amp;"","")</f>
        <v/>
      </c>
      <c r="Q450" s="21" t="str">
        <f aca="false">IFERROR(INDEX(종합!Q$3:Q$501,MATCH(ROW()-2,종합!$AE$3:$AE$501,0))&amp;"","")</f>
        <v/>
      </c>
      <c r="R450" s="21" t="str">
        <f aca="false">IFERROR(INDEX(종합!R$3:R$501,MATCH(ROW()-2,종합!$AE$3:$AE$501,0))&amp;"","")</f>
        <v/>
      </c>
      <c r="S450" s="21" t="str">
        <f aca="false">IFERROR(INDEX(종합!S$3:S$501,MATCH(ROW()-2,종합!$AE$3:$AE$501,0))&amp;"","")</f>
        <v/>
      </c>
      <c r="T450" s="21" t="str">
        <f aca="false">IFERROR(INDEX(종합!T$3:T$501,MATCH(ROW()-2,종합!$AE$3:$AE$501,0))&amp;"","")</f>
        <v/>
      </c>
      <c r="U450" s="21" t="str">
        <f aca="false">IFERROR(INDEX(종합!U$3:U$501,MATCH(ROW()-2,종합!$AE$3:$AE$501,0))&amp;"","")</f>
        <v/>
      </c>
      <c r="V450" s="21" t="str">
        <f aca="false">IFERROR(INDEX(종합!V$3:V$501,MATCH(ROW()-2,종합!$AE$3:$AE$501,0))&amp;"","")</f>
        <v/>
      </c>
      <c r="W450" s="21" t="str">
        <f aca="false">IFERROR(INDEX(종합!W$3:W$501,MATCH(ROW()-2,종합!$AE$3:$AE$501,0))&amp;"","")</f>
        <v/>
      </c>
      <c r="X450" s="21" t="str">
        <f aca="false">IFERROR(INDEX(종합!X$3:X$501,MATCH(ROW()-2,종합!$AE$3:$AE$501,0))&amp;"","")</f>
        <v/>
      </c>
      <c r="Y450" s="21" t="str">
        <f aca="false">IFERROR(INDEX(종합!Y$3:Y$501,MATCH(ROW()-2,종합!$AE$3:$AE$501,0))&amp;"","")</f>
        <v/>
      </c>
      <c r="Z450" s="21" t="str">
        <f aca="false">IFERROR(INDEX(종합!Z$3:Z$501,MATCH(ROW()-2,종합!$AE$3:$AE$501,0))&amp;"","")</f>
        <v/>
      </c>
    </row>
    <row r="451" customFormat="false" ht="16.5" hidden="false" customHeight="true" outlineLevel="0" collapsed="false">
      <c r="A451" s="18" t="str">
        <f aca="false">IF(B451="","",ROW()-2)</f>
        <v/>
      </c>
      <c r="B451" s="18" t="str">
        <f aca="false">IFERROR(INDEX(종합!B$3:B$501,MATCH(ROW()-2,종합!$AE$3:$AE$501,0))&amp;"","")</f>
        <v/>
      </c>
      <c r="C451" s="18" t="str">
        <f aca="false">IFERROR(INDEX(종합!C$3:C$501,MATCH(ROW()-2,종합!$AE$3:$AE$501,0))&amp;"","")</f>
        <v/>
      </c>
      <c r="D451" s="18" t="str">
        <f aca="false">IFERROR(INDEX(종합!D$3:D$501,MATCH(ROW()-2,종합!$AE$3:$AE$501,0))&amp;"","")</f>
        <v/>
      </c>
      <c r="E451" s="18" t="str">
        <f aca="false">IFERROR(INDEX(종합!E$3:E$501,MATCH(ROW()-2,종합!$AE$3:$AE$501,0))&amp;"","")</f>
        <v/>
      </c>
      <c r="F451" s="18" t="str">
        <f aca="false">IFERROR(INDEX(종합!F$3:F$501,MATCH(ROW()-2,종합!$AE$3:$AE$501,0))&amp;"","")</f>
        <v/>
      </c>
      <c r="G451" s="18" t="str">
        <f aca="false">IFERROR(INDEX(종합!G$3:G$501,MATCH(ROW()-2,종합!$AE$3:$AE$501,0))&amp;"","")</f>
        <v/>
      </c>
      <c r="H451" s="21" t="str">
        <f aca="false">IFERROR(INDEX(종합!H$3:H$501,MATCH(ROW()-2,종합!$AE$3:$AE$501,0))&amp;"","")</f>
        <v/>
      </c>
      <c r="I451" s="21" t="str">
        <f aca="false">IFERROR(INDEX(종합!I$3:I$501,MATCH(ROW()-2,종합!$AE$3:$AE$501,0))&amp;"","")</f>
        <v/>
      </c>
      <c r="J451" s="21" t="str">
        <f aca="false">IFERROR(INDEX(종합!J$3:J$501,MATCH(ROW()-2,종합!$AE$3:$AE$501,0))&amp;"","")</f>
        <v/>
      </c>
      <c r="K451" s="21" t="str">
        <f aca="false">IFERROR(INDEX(종합!K$3:K$501,MATCH(ROW()-2,종합!$AE$3:$AE$501,0))&amp;"","")</f>
        <v/>
      </c>
      <c r="L451" s="21" t="str">
        <f aca="false">IFERROR(INDEX(종합!L$3:L$501,MATCH(ROW()-2,종합!$AE$3:$AE$501,0))&amp;"","")</f>
        <v/>
      </c>
      <c r="M451" s="21" t="str">
        <f aca="false">IFERROR(INDEX(종합!M$3:M$501,MATCH(ROW()-2,종합!$AE$3:$AE$501,0))&amp;"","")</f>
        <v/>
      </c>
      <c r="N451" s="25" t="str">
        <f aca="false">IFERROR(INDEX(종합!N$3:N$501,MATCH(ROW()-2,종합!$AE$3:$AE$501,0))&amp;"","")</f>
        <v/>
      </c>
      <c r="O451" s="21" t="str">
        <f aca="false">IFERROR(INDEX(종합!O$3:O$501,MATCH(ROW()-2,종합!$AE$3:$AE$501,0))&amp;"","")</f>
        <v/>
      </c>
      <c r="P451" s="21" t="str">
        <f aca="false">IFERROR(INDEX(종합!P$3:P$501,MATCH(ROW()-2,종합!$AE$3:$AE$501,0))&amp;"","")</f>
        <v/>
      </c>
      <c r="Q451" s="21" t="str">
        <f aca="false">IFERROR(INDEX(종합!Q$3:Q$501,MATCH(ROW()-2,종합!$AE$3:$AE$501,0))&amp;"","")</f>
        <v/>
      </c>
      <c r="R451" s="21" t="str">
        <f aca="false">IFERROR(INDEX(종합!R$3:R$501,MATCH(ROW()-2,종합!$AE$3:$AE$501,0))&amp;"","")</f>
        <v/>
      </c>
      <c r="S451" s="21" t="str">
        <f aca="false">IFERROR(INDEX(종합!S$3:S$501,MATCH(ROW()-2,종합!$AE$3:$AE$501,0))&amp;"","")</f>
        <v/>
      </c>
      <c r="T451" s="21" t="str">
        <f aca="false">IFERROR(INDEX(종합!T$3:T$501,MATCH(ROW()-2,종합!$AE$3:$AE$501,0))&amp;"","")</f>
        <v/>
      </c>
      <c r="U451" s="21" t="str">
        <f aca="false">IFERROR(INDEX(종합!U$3:U$501,MATCH(ROW()-2,종합!$AE$3:$AE$501,0))&amp;"","")</f>
        <v/>
      </c>
      <c r="V451" s="21" t="str">
        <f aca="false">IFERROR(INDEX(종합!V$3:V$501,MATCH(ROW()-2,종합!$AE$3:$AE$501,0))&amp;"","")</f>
        <v/>
      </c>
      <c r="W451" s="21" t="str">
        <f aca="false">IFERROR(INDEX(종합!W$3:W$501,MATCH(ROW()-2,종합!$AE$3:$AE$501,0))&amp;"","")</f>
        <v/>
      </c>
      <c r="X451" s="21" t="str">
        <f aca="false">IFERROR(INDEX(종합!X$3:X$501,MATCH(ROW()-2,종합!$AE$3:$AE$501,0))&amp;"","")</f>
        <v/>
      </c>
      <c r="Y451" s="21" t="str">
        <f aca="false">IFERROR(INDEX(종합!Y$3:Y$501,MATCH(ROW()-2,종합!$AE$3:$AE$501,0))&amp;"","")</f>
        <v/>
      </c>
      <c r="Z451" s="21" t="str">
        <f aca="false">IFERROR(INDEX(종합!Z$3:Z$501,MATCH(ROW()-2,종합!$AE$3:$AE$501,0))&amp;"","")</f>
        <v/>
      </c>
    </row>
    <row r="452" customFormat="false" ht="16.5" hidden="false" customHeight="true" outlineLevel="0" collapsed="false">
      <c r="A452" s="18" t="str">
        <f aca="false">IF(B452="","",ROW()-2)</f>
        <v/>
      </c>
      <c r="B452" s="18" t="str">
        <f aca="false">IFERROR(INDEX(종합!B$3:B$501,MATCH(ROW()-2,종합!$AE$3:$AE$501,0))&amp;"","")</f>
        <v/>
      </c>
      <c r="C452" s="18" t="str">
        <f aca="false">IFERROR(INDEX(종합!C$3:C$501,MATCH(ROW()-2,종합!$AE$3:$AE$501,0))&amp;"","")</f>
        <v/>
      </c>
      <c r="D452" s="18" t="str">
        <f aca="false">IFERROR(INDEX(종합!D$3:D$501,MATCH(ROW()-2,종합!$AE$3:$AE$501,0))&amp;"","")</f>
        <v/>
      </c>
      <c r="E452" s="18" t="str">
        <f aca="false">IFERROR(INDEX(종합!E$3:E$501,MATCH(ROW()-2,종합!$AE$3:$AE$501,0))&amp;"","")</f>
        <v/>
      </c>
      <c r="F452" s="18" t="str">
        <f aca="false">IFERROR(INDEX(종합!F$3:F$501,MATCH(ROW()-2,종합!$AE$3:$AE$501,0))&amp;"","")</f>
        <v/>
      </c>
      <c r="G452" s="18" t="str">
        <f aca="false">IFERROR(INDEX(종합!G$3:G$501,MATCH(ROW()-2,종합!$AE$3:$AE$501,0))&amp;"","")</f>
        <v/>
      </c>
      <c r="H452" s="21" t="str">
        <f aca="false">IFERROR(INDEX(종합!H$3:H$501,MATCH(ROW()-2,종합!$AE$3:$AE$501,0))&amp;"","")</f>
        <v/>
      </c>
      <c r="I452" s="21" t="str">
        <f aca="false">IFERROR(INDEX(종합!I$3:I$501,MATCH(ROW()-2,종합!$AE$3:$AE$501,0))&amp;"","")</f>
        <v/>
      </c>
      <c r="J452" s="21" t="str">
        <f aca="false">IFERROR(INDEX(종합!J$3:J$501,MATCH(ROW()-2,종합!$AE$3:$AE$501,0))&amp;"","")</f>
        <v/>
      </c>
      <c r="K452" s="21" t="str">
        <f aca="false">IFERROR(INDEX(종합!K$3:K$501,MATCH(ROW()-2,종합!$AE$3:$AE$501,0))&amp;"","")</f>
        <v/>
      </c>
      <c r="L452" s="21" t="str">
        <f aca="false">IFERROR(INDEX(종합!L$3:L$501,MATCH(ROW()-2,종합!$AE$3:$AE$501,0))&amp;"","")</f>
        <v/>
      </c>
      <c r="M452" s="21" t="str">
        <f aca="false">IFERROR(INDEX(종합!M$3:M$501,MATCH(ROW()-2,종합!$AE$3:$AE$501,0))&amp;"","")</f>
        <v/>
      </c>
      <c r="N452" s="25" t="str">
        <f aca="false">IFERROR(INDEX(종합!N$3:N$501,MATCH(ROW()-2,종합!$AE$3:$AE$501,0))&amp;"","")</f>
        <v/>
      </c>
      <c r="O452" s="21" t="str">
        <f aca="false">IFERROR(INDEX(종합!O$3:O$501,MATCH(ROW()-2,종합!$AE$3:$AE$501,0))&amp;"","")</f>
        <v/>
      </c>
      <c r="P452" s="21" t="str">
        <f aca="false">IFERROR(INDEX(종합!P$3:P$501,MATCH(ROW()-2,종합!$AE$3:$AE$501,0))&amp;"","")</f>
        <v/>
      </c>
      <c r="Q452" s="21" t="str">
        <f aca="false">IFERROR(INDEX(종합!Q$3:Q$501,MATCH(ROW()-2,종합!$AE$3:$AE$501,0))&amp;"","")</f>
        <v/>
      </c>
      <c r="R452" s="21" t="str">
        <f aca="false">IFERROR(INDEX(종합!R$3:R$501,MATCH(ROW()-2,종합!$AE$3:$AE$501,0))&amp;"","")</f>
        <v/>
      </c>
      <c r="S452" s="21" t="str">
        <f aca="false">IFERROR(INDEX(종합!S$3:S$501,MATCH(ROW()-2,종합!$AE$3:$AE$501,0))&amp;"","")</f>
        <v/>
      </c>
      <c r="T452" s="21" t="str">
        <f aca="false">IFERROR(INDEX(종합!T$3:T$501,MATCH(ROW()-2,종합!$AE$3:$AE$501,0))&amp;"","")</f>
        <v/>
      </c>
      <c r="U452" s="21" t="str">
        <f aca="false">IFERROR(INDEX(종합!U$3:U$501,MATCH(ROW()-2,종합!$AE$3:$AE$501,0))&amp;"","")</f>
        <v/>
      </c>
      <c r="V452" s="21" t="str">
        <f aca="false">IFERROR(INDEX(종합!V$3:V$501,MATCH(ROW()-2,종합!$AE$3:$AE$501,0))&amp;"","")</f>
        <v/>
      </c>
      <c r="W452" s="21" t="str">
        <f aca="false">IFERROR(INDEX(종합!W$3:W$501,MATCH(ROW()-2,종합!$AE$3:$AE$501,0))&amp;"","")</f>
        <v/>
      </c>
      <c r="X452" s="21" t="str">
        <f aca="false">IFERROR(INDEX(종합!X$3:X$501,MATCH(ROW()-2,종합!$AE$3:$AE$501,0))&amp;"","")</f>
        <v/>
      </c>
      <c r="Y452" s="21" t="str">
        <f aca="false">IFERROR(INDEX(종합!Y$3:Y$501,MATCH(ROW()-2,종합!$AE$3:$AE$501,0))&amp;"","")</f>
        <v/>
      </c>
      <c r="Z452" s="21" t="str">
        <f aca="false">IFERROR(INDEX(종합!Z$3:Z$501,MATCH(ROW()-2,종합!$AE$3:$AE$501,0))&amp;"","")</f>
        <v/>
      </c>
    </row>
  </sheetData>
  <mergeCells count="3">
    <mergeCell ref="A1:N1"/>
    <mergeCell ref="O1:T1"/>
    <mergeCell ref="U1:Z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9"/>
  <sheetViews>
    <sheetView showFormulas="false" showGridLines="true" showRowColHeaders="true" showZeros="true" rightToLeft="false" tabSelected="false" showOutlineSymbols="true" defaultGridColor="true" view="normal" topLeftCell="A67" colorId="64" zoomScale="100" zoomScaleNormal="100" zoomScalePageLayoutView="100" workbookViewId="0">
      <selection pane="topLeft" activeCell="A78" activeCellId="0" sqref="A78"/>
    </sheetView>
  </sheetViews>
  <sheetFormatPr defaultColWidth="8.83203125" defaultRowHeight="16.5" zeroHeight="false" outlineLevelRow="0" outlineLevelCol="0"/>
  <cols>
    <col collapsed="false" customWidth="true" hidden="false" outlineLevel="0" max="1" min="1" style="1" width="8"/>
    <col collapsed="false" customWidth="true" hidden="false" outlineLevel="0" max="2" min="2" style="1" width="27.5"/>
    <col collapsed="false" customWidth="true" hidden="false" outlineLevel="0" max="3" min="3" style="1" width="12"/>
    <col collapsed="false" customWidth="true" hidden="false" outlineLevel="0" max="4" min="4" style="1" width="26"/>
    <col collapsed="false" customWidth="true" hidden="false" outlineLevel="0" max="5" min="5" style="1" width="90"/>
  </cols>
  <sheetData>
    <row r="1" customFormat="false" ht="16.5" hidden="false" customHeight="true" outlineLevel="0" collapsed="false">
      <c r="A1" s="33" t="s">
        <v>4253</v>
      </c>
      <c r="B1" s="33" t="s">
        <v>4254</v>
      </c>
      <c r="C1" s="33" t="s">
        <v>3</v>
      </c>
      <c r="D1" s="33" t="s">
        <v>4255</v>
      </c>
      <c r="E1" s="34" t="s">
        <v>4256</v>
      </c>
    </row>
    <row r="2" customFormat="false" ht="16.5" hidden="false" customHeight="true" outlineLevel="0" collapsed="false">
      <c r="A2" s="35" t="s">
        <v>4257</v>
      </c>
      <c r="B2" s="35" t="s">
        <v>4258</v>
      </c>
      <c r="C2" s="36" t="s">
        <v>9</v>
      </c>
      <c r="D2" s="36" t="s">
        <v>4259</v>
      </c>
      <c r="E2" s="37" t="s">
        <v>4260</v>
      </c>
    </row>
    <row r="3" customFormat="false" ht="16.5" hidden="false" customHeight="true" outlineLevel="0" collapsed="false">
      <c r="A3" s="36"/>
      <c r="B3" s="35" t="s">
        <v>4261</v>
      </c>
      <c r="C3" s="36" t="s">
        <v>7</v>
      </c>
      <c r="D3" s="35" t="s">
        <v>4262</v>
      </c>
      <c r="E3" s="37" t="s">
        <v>4263</v>
      </c>
    </row>
    <row r="4" customFormat="false" ht="16.5" hidden="false" customHeight="true" outlineLevel="0" collapsed="false">
      <c r="A4" s="36"/>
      <c r="B4" s="35" t="s">
        <v>4261</v>
      </c>
      <c r="C4" s="36" t="s">
        <v>7</v>
      </c>
      <c r="D4" s="36" t="s">
        <v>4264</v>
      </c>
      <c r="E4" s="37" t="s">
        <v>4265</v>
      </c>
    </row>
    <row r="5" customFormat="false" ht="16.5" hidden="false" customHeight="true" outlineLevel="0" collapsed="false">
      <c r="A5" s="36"/>
      <c r="B5" s="35" t="s">
        <v>4261</v>
      </c>
      <c r="C5" s="36" t="s">
        <v>7</v>
      </c>
      <c r="D5" s="36" t="s">
        <v>4266</v>
      </c>
      <c r="E5" s="37" t="s">
        <v>4267</v>
      </c>
    </row>
    <row r="6" customFormat="false" ht="16.5" hidden="false" customHeight="true" outlineLevel="0" collapsed="false">
      <c r="A6" s="36"/>
      <c r="B6" s="35" t="s">
        <v>4261</v>
      </c>
      <c r="C6" s="36" t="s">
        <v>7</v>
      </c>
      <c r="D6" s="36" t="s">
        <v>4268</v>
      </c>
      <c r="E6" s="37" t="s">
        <v>4269</v>
      </c>
    </row>
    <row r="7" customFormat="false" ht="16.5" hidden="false" customHeight="true" outlineLevel="0" collapsed="false">
      <c r="A7" s="36"/>
      <c r="B7" s="35" t="s">
        <v>4261</v>
      </c>
      <c r="C7" s="36" t="s">
        <v>7</v>
      </c>
      <c r="D7" s="36" t="s">
        <v>4270</v>
      </c>
      <c r="E7" s="37" t="s">
        <v>4271</v>
      </c>
    </row>
    <row r="8" customFormat="false" ht="16.5" hidden="false" customHeight="true" outlineLevel="0" collapsed="false">
      <c r="A8" s="36"/>
      <c r="B8" s="35" t="s">
        <v>4261</v>
      </c>
      <c r="C8" s="36" t="s">
        <v>7</v>
      </c>
      <c r="D8" s="36" t="s">
        <v>4272</v>
      </c>
      <c r="E8" s="37" t="s">
        <v>4273</v>
      </c>
    </row>
    <row r="9" customFormat="false" ht="16.5" hidden="false" customHeight="true" outlineLevel="0" collapsed="false">
      <c r="A9" s="36"/>
      <c r="B9" s="35" t="s">
        <v>4261</v>
      </c>
      <c r="C9" s="36" t="s">
        <v>7</v>
      </c>
      <c r="D9" s="36" t="s">
        <v>4274</v>
      </c>
      <c r="E9" s="37" t="s">
        <v>4275</v>
      </c>
    </row>
    <row r="10" customFormat="false" ht="16.5" hidden="false" customHeight="true" outlineLevel="0" collapsed="false">
      <c r="A10" s="36"/>
      <c r="B10" s="35" t="s">
        <v>4261</v>
      </c>
      <c r="C10" s="36" t="s">
        <v>7</v>
      </c>
      <c r="D10" s="36" t="s">
        <v>4276</v>
      </c>
      <c r="E10" s="37" t="s">
        <v>4277</v>
      </c>
    </row>
    <row r="11" customFormat="false" ht="16.5" hidden="false" customHeight="true" outlineLevel="0" collapsed="false">
      <c r="A11" s="36"/>
      <c r="B11" s="35" t="s">
        <v>4261</v>
      </c>
      <c r="C11" s="36" t="s">
        <v>7</v>
      </c>
      <c r="D11" s="36" t="s">
        <v>4278</v>
      </c>
      <c r="E11" s="37" t="s">
        <v>4279</v>
      </c>
    </row>
    <row r="12" customFormat="false" ht="16.5" hidden="false" customHeight="true" outlineLevel="0" collapsed="false">
      <c r="A12" s="36"/>
      <c r="B12" s="35" t="s">
        <v>4261</v>
      </c>
      <c r="C12" s="36" t="s">
        <v>7</v>
      </c>
      <c r="D12" s="36" t="s">
        <v>913</v>
      </c>
      <c r="E12" s="37" t="s">
        <v>4280</v>
      </c>
    </row>
    <row r="13" customFormat="false" ht="16.5" hidden="false" customHeight="true" outlineLevel="0" collapsed="false">
      <c r="A13" s="35" t="s">
        <v>4281</v>
      </c>
      <c r="B13" s="35" t="s">
        <v>4261</v>
      </c>
      <c r="C13" s="36" t="s">
        <v>7</v>
      </c>
      <c r="D13" s="36" t="s">
        <v>1632</v>
      </c>
      <c r="E13" s="37" t="s">
        <v>4282</v>
      </c>
    </row>
    <row r="14" customFormat="false" ht="16.5" hidden="false" customHeight="true" outlineLevel="0" collapsed="false">
      <c r="A14" s="36"/>
      <c r="B14" s="35" t="s">
        <v>4261</v>
      </c>
      <c r="C14" s="36" t="s">
        <v>7</v>
      </c>
      <c r="D14" s="36" t="s">
        <v>4283</v>
      </c>
      <c r="E14" s="37" t="s">
        <v>4284</v>
      </c>
    </row>
    <row r="15" customFormat="false" ht="16.5" hidden="false" customHeight="true" outlineLevel="0" collapsed="false">
      <c r="A15" s="36"/>
      <c r="B15" s="35" t="s">
        <v>4261</v>
      </c>
      <c r="C15" s="36" t="s">
        <v>7</v>
      </c>
      <c r="D15" s="36" t="s">
        <v>4285</v>
      </c>
      <c r="E15" s="37" t="s">
        <v>4286</v>
      </c>
    </row>
    <row r="16" customFormat="false" ht="16.5" hidden="false" customHeight="true" outlineLevel="0" collapsed="false">
      <c r="A16" s="36"/>
      <c r="B16" s="35" t="s">
        <v>4261</v>
      </c>
      <c r="C16" s="36" t="s">
        <v>7</v>
      </c>
      <c r="D16" s="36" t="s">
        <v>4287</v>
      </c>
      <c r="E16" s="37" t="s">
        <v>4288</v>
      </c>
    </row>
    <row r="17" customFormat="false" ht="16.5" hidden="false" customHeight="true" outlineLevel="0" collapsed="false">
      <c r="A17" s="36"/>
      <c r="B17" s="35" t="s">
        <v>4261</v>
      </c>
      <c r="C17" s="36" t="s">
        <v>7</v>
      </c>
      <c r="D17" s="36" t="s">
        <v>4289</v>
      </c>
      <c r="E17" s="37" t="s">
        <v>4290</v>
      </c>
    </row>
    <row r="18" customFormat="false" ht="16.5" hidden="false" customHeight="true" outlineLevel="0" collapsed="false">
      <c r="A18" s="36"/>
      <c r="B18" s="35" t="s">
        <v>4261</v>
      </c>
      <c r="C18" s="36" t="s">
        <v>7</v>
      </c>
      <c r="D18" s="36" t="s">
        <v>4291</v>
      </c>
      <c r="E18" s="37" t="s">
        <v>4292</v>
      </c>
    </row>
    <row r="19" customFormat="false" ht="16.5" hidden="false" customHeight="true" outlineLevel="0" collapsed="false">
      <c r="A19" s="36"/>
      <c r="B19" s="35" t="s">
        <v>4261</v>
      </c>
      <c r="C19" s="36" t="s">
        <v>7</v>
      </c>
      <c r="D19" s="36" t="s">
        <v>4293</v>
      </c>
      <c r="E19" s="37" t="s">
        <v>4294</v>
      </c>
    </row>
    <row r="20" customFormat="false" ht="16.5" hidden="false" customHeight="true" outlineLevel="0" collapsed="false">
      <c r="A20" s="36"/>
      <c r="B20" s="35" t="s">
        <v>4261</v>
      </c>
      <c r="C20" s="36" t="s">
        <v>7</v>
      </c>
      <c r="D20" s="36" t="s">
        <v>4295</v>
      </c>
      <c r="E20" s="37" t="s">
        <v>4296</v>
      </c>
    </row>
    <row r="21" customFormat="false" ht="16.5" hidden="false" customHeight="true" outlineLevel="0" collapsed="false">
      <c r="A21" s="36"/>
      <c r="B21" s="35" t="s">
        <v>4261</v>
      </c>
      <c r="C21" s="36" t="s">
        <v>7</v>
      </c>
      <c r="D21" s="36" t="s">
        <v>4297</v>
      </c>
      <c r="E21" s="37" t="s">
        <v>4298</v>
      </c>
    </row>
    <row r="22" customFormat="false" ht="16.5" hidden="false" customHeight="true" outlineLevel="0" collapsed="false">
      <c r="A22" s="36"/>
      <c r="B22" s="35" t="s">
        <v>4261</v>
      </c>
      <c r="C22" s="36" t="s">
        <v>6</v>
      </c>
      <c r="D22" s="35" t="s">
        <v>4299</v>
      </c>
      <c r="E22" s="37" t="s">
        <v>4300</v>
      </c>
    </row>
    <row r="23" customFormat="false" ht="16.5" hidden="false" customHeight="true" outlineLevel="0" collapsed="false">
      <c r="A23" s="36"/>
      <c r="B23" s="35" t="s">
        <v>4261</v>
      </c>
      <c r="C23" s="36" t="s">
        <v>6</v>
      </c>
      <c r="D23" s="36" t="s">
        <v>4301</v>
      </c>
      <c r="E23" s="37" t="s">
        <v>4302</v>
      </c>
    </row>
    <row r="24" customFormat="false" ht="16.5" hidden="false" customHeight="true" outlineLevel="0" collapsed="false">
      <c r="A24" s="36"/>
      <c r="B24" s="35" t="s">
        <v>4261</v>
      </c>
      <c r="C24" s="36" t="s">
        <v>6</v>
      </c>
      <c r="D24" s="36" t="s">
        <v>4303</v>
      </c>
      <c r="E24" s="37" t="s">
        <v>4304</v>
      </c>
    </row>
    <row r="25" customFormat="false" ht="16.5" hidden="false" customHeight="true" outlineLevel="0" collapsed="false">
      <c r="A25" s="36"/>
      <c r="B25" s="35" t="s">
        <v>4261</v>
      </c>
      <c r="C25" s="36" t="s">
        <v>6</v>
      </c>
      <c r="D25" s="36" t="s">
        <v>4305</v>
      </c>
      <c r="E25" s="37" t="s">
        <v>4306</v>
      </c>
    </row>
    <row r="26" customFormat="false" ht="16.5" hidden="false" customHeight="true" outlineLevel="0" collapsed="false">
      <c r="A26" s="36"/>
      <c r="B26" s="35" t="s">
        <v>4261</v>
      </c>
      <c r="C26" s="36" t="s">
        <v>6</v>
      </c>
      <c r="D26" s="36" t="s">
        <v>4307</v>
      </c>
      <c r="E26" s="37" t="s">
        <v>4308</v>
      </c>
    </row>
    <row r="27" customFormat="false" ht="16.5" hidden="false" customHeight="true" outlineLevel="0" collapsed="false">
      <c r="A27" s="36"/>
      <c r="B27" s="35" t="s">
        <v>4261</v>
      </c>
      <c r="C27" s="36" t="s">
        <v>6</v>
      </c>
      <c r="D27" s="36" t="s">
        <v>4309</v>
      </c>
      <c r="E27" s="37" t="s">
        <v>4310</v>
      </c>
    </row>
    <row r="28" customFormat="false" ht="16.5" hidden="false" customHeight="true" outlineLevel="0" collapsed="false">
      <c r="A28" s="36"/>
      <c r="B28" s="35" t="s">
        <v>4261</v>
      </c>
      <c r="C28" s="36" t="s">
        <v>6</v>
      </c>
      <c r="D28" s="36" t="s">
        <v>4311</v>
      </c>
      <c r="E28" s="37" t="s">
        <v>4312</v>
      </c>
    </row>
    <row r="29" customFormat="false" ht="16.5" hidden="false" customHeight="true" outlineLevel="0" collapsed="false">
      <c r="A29" s="36"/>
      <c r="B29" s="35" t="s">
        <v>4261</v>
      </c>
      <c r="C29" s="36" t="s">
        <v>6</v>
      </c>
      <c r="D29" s="36" t="s">
        <v>4313</v>
      </c>
      <c r="E29" s="37" t="s">
        <v>4314</v>
      </c>
    </row>
    <row r="30" customFormat="false" ht="16.5" hidden="false" customHeight="true" outlineLevel="0" collapsed="false">
      <c r="A30" s="36"/>
      <c r="B30" s="35" t="s">
        <v>4261</v>
      </c>
      <c r="C30" s="36" t="s">
        <v>6</v>
      </c>
      <c r="D30" s="36" t="s">
        <v>4315</v>
      </c>
      <c r="E30" s="37" t="s">
        <v>4316</v>
      </c>
    </row>
    <row r="31" customFormat="false" ht="16.5" hidden="false" customHeight="true" outlineLevel="0" collapsed="false">
      <c r="A31" s="36"/>
      <c r="B31" s="35" t="s">
        <v>4261</v>
      </c>
      <c r="C31" s="36" t="s">
        <v>6</v>
      </c>
      <c r="D31" s="36" t="s">
        <v>4317</v>
      </c>
      <c r="E31" s="37" t="s">
        <v>4318</v>
      </c>
    </row>
    <row r="32" customFormat="false" ht="16.5" hidden="false" customHeight="true" outlineLevel="0" collapsed="false">
      <c r="A32" s="36"/>
      <c r="B32" s="35" t="s">
        <v>4261</v>
      </c>
      <c r="C32" s="36" t="s">
        <v>6</v>
      </c>
      <c r="D32" s="36" t="s">
        <v>4259</v>
      </c>
      <c r="E32" s="37" t="s">
        <v>4319</v>
      </c>
    </row>
    <row r="33" customFormat="false" ht="16.5" hidden="false" customHeight="true" outlineLevel="0" collapsed="false">
      <c r="A33" s="36"/>
      <c r="B33" s="35" t="s">
        <v>4261</v>
      </c>
      <c r="C33" s="36" t="s">
        <v>6</v>
      </c>
      <c r="D33" s="36" t="s">
        <v>4320</v>
      </c>
      <c r="E33" s="37" t="s">
        <v>4321</v>
      </c>
    </row>
    <row r="34" customFormat="false" ht="16.5" hidden="false" customHeight="true" outlineLevel="0" collapsed="false">
      <c r="A34" s="36"/>
      <c r="B34" s="35" t="s">
        <v>4261</v>
      </c>
      <c r="C34" s="36" t="s">
        <v>6</v>
      </c>
      <c r="D34" s="36" t="s">
        <v>4322</v>
      </c>
      <c r="E34" s="37" t="s">
        <v>4323</v>
      </c>
    </row>
    <row r="35" customFormat="false" ht="16.5" hidden="false" customHeight="true" outlineLevel="0" collapsed="false">
      <c r="A35" s="36"/>
      <c r="B35" s="35" t="s">
        <v>4261</v>
      </c>
      <c r="C35" s="36" t="s">
        <v>6</v>
      </c>
      <c r="D35" s="36" t="s">
        <v>4324</v>
      </c>
      <c r="E35" s="37" t="s">
        <v>4325</v>
      </c>
    </row>
    <row r="36" customFormat="false" ht="16.5" hidden="false" customHeight="true" outlineLevel="0" collapsed="false">
      <c r="A36" s="36"/>
      <c r="B36" s="35" t="s">
        <v>4261</v>
      </c>
      <c r="C36" s="36" t="s">
        <v>8</v>
      </c>
      <c r="D36" s="36" t="s">
        <v>4326</v>
      </c>
      <c r="E36" s="37" t="s">
        <v>4327</v>
      </c>
    </row>
    <row r="37" customFormat="false" ht="16.5" hidden="false" customHeight="true" outlineLevel="0" collapsed="false">
      <c r="A37" s="36"/>
      <c r="B37" s="35" t="s">
        <v>4261</v>
      </c>
      <c r="C37" s="36" t="s">
        <v>8</v>
      </c>
      <c r="D37" s="36" t="s">
        <v>4328</v>
      </c>
      <c r="E37" s="37" t="s">
        <v>4329</v>
      </c>
    </row>
    <row r="38" customFormat="false" ht="16.5" hidden="false" customHeight="true" outlineLevel="0" collapsed="false">
      <c r="A38" s="36"/>
      <c r="B38" s="35" t="s">
        <v>4261</v>
      </c>
      <c r="C38" s="36" t="s">
        <v>8</v>
      </c>
      <c r="D38" s="36" t="s">
        <v>4330</v>
      </c>
      <c r="E38" s="37" t="s">
        <v>4331</v>
      </c>
    </row>
    <row r="39" customFormat="false" ht="16.5" hidden="false" customHeight="true" outlineLevel="0" collapsed="false">
      <c r="A39" s="36"/>
      <c r="B39" s="35" t="s">
        <v>4261</v>
      </c>
      <c r="C39" s="36" t="s">
        <v>8</v>
      </c>
      <c r="D39" s="36" t="s">
        <v>4332</v>
      </c>
      <c r="E39" s="37" t="s">
        <v>4333</v>
      </c>
    </row>
    <row r="40" customFormat="false" ht="16.5" hidden="false" customHeight="true" outlineLevel="0" collapsed="false">
      <c r="A40" s="36"/>
      <c r="B40" s="35" t="s">
        <v>4261</v>
      </c>
      <c r="C40" s="36" t="s">
        <v>8</v>
      </c>
      <c r="D40" s="36" t="s">
        <v>4334</v>
      </c>
      <c r="E40" s="37" t="s">
        <v>4335</v>
      </c>
    </row>
    <row r="41" customFormat="false" ht="16.5" hidden="false" customHeight="true" outlineLevel="0" collapsed="false">
      <c r="A41" s="36"/>
      <c r="B41" s="35" t="s">
        <v>4261</v>
      </c>
      <c r="C41" s="36" t="s">
        <v>8</v>
      </c>
      <c r="D41" s="36" t="s">
        <v>4336</v>
      </c>
      <c r="E41" s="37" t="s">
        <v>4337</v>
      </c>
    </row>
    <row r="42" customFormat="false" ht="16.5" hidden="false" customHeight="true" outlineLevel="0" collapsed="false">
      <c r="A42" s="36"/>
      <c r="B42" s="35" t="s">
        <v>4261</v>
      </c>
      <c r="C42" s="36" t="s">
        <v>8</v>
      </c>
      <c r="D42" s="36" t="s">
        <v>4338</v>
      </c>
      <c r="E42" s="37" t="s">
        <v>4339</v>
      </c>
    </row>
    <row r="43" customFormat="false" ht="16.5" hidden="false" customHeight="true" outlineLevel="0" collapsed="false">
      <c r="A43" s="36"/>
      <c r="B43" s="35" t="s">
        <v>4261</v>
      </c>
      <c r="C43" s="36" t="s">
        <v>8</v>
      </c>
      <c r="D43" s="36" t="s">
        <v>4340</v>
      </c>
      <c r="E43" s="37" t="s">
        <v>4341</v>
      </c>
    </row>
    <row r="44" customFormat="false" ht="16.5" hidden="false" customHeight="true" outlineLevel="0" collapsed="false">
      <c r="A44" s="36"/>
      <c r="B44" s="35" t="s">
        <v>4261</v>
      </c>
      <c r="C44" s="36" t="s">
        <v>8</v>
      </c>
      <c r="D44" s="36" t="s">
        <v>4342</v>
      </c>
      <c r="E44" s="37" t="s">
        <v>4343</v>
      </c>
    </row>
    <row r="45" customFormat="false" ht="16.5" hidden="false" customHeight="true" outlineLevel="0" collapsed="false">
      <c r="A45" s="36"/>
      <c r="B45" s="35" t="s">
        <v>4261</v>
      </c>
      <c r="C45" s="36" t="s">
        <v>8</v>
      </c>
      <c r="D45" s="36" t="s">
        <v>4344</v>
      </c>
      <c r="E45" s="37" t="s">
        <v>4345</v>
      </c>
    </row>
    <row r="46" customFormat="false" ht="16.5" hidden="false" customHeight="true" outlineLevel="0" collapsed="false">
      <c r="A46" s="36"/>
      <c r="B46" s="35" t="s">
        <v>4261</v>
      </c>
      <c r="C46" s="36" t="s">
        <v>8</v>
      </c>
      <c r="D46" s="36" t="s">
        <v>4346</v>
      </c>
      <c r="E46" s="37" t="s">
        <v>4347</v>
      </c>
    </row>
    <row r="47" customFormat="false" ht="16.5" hidden="false" customHeight="true" outlineLevel="0" collapsed="false">
      <c r="A47" s="36"/>
      <c r="B47" s="35" t="s">
        <v>4261</v>
      </c>
      <c r="C47" s="36" t="s">
        <v>8</v>
      </c>
      <c r="D47" s="36" t="s">
        <v>4348</v>
      </c>
      <c r="E47" s="37" t="s">
        <v>4349</v>
      </c>
    </row>
    <row r="48" customFormat="false" ht="16.5" hidden="false" customHeight="true" outlineLevel="0" collapsed="false">
      <c r="A48" s="36"/>
      <c r="B48" s="35" t="s">
        <v>4261</v>
      </c>
      <c r="C48" s="36" t="s">
        <v>8</v>
      </c>
      <c r="D48" s="36" t="s">
        <v>4350</v>
      </c>
      <c r="E48" s="37" t="s">
        <v>4351</v>
      </c>
    </row>
    <row r="49" customFormat="false" ht="16.5" hidden="false" customHeight="true" outlineLevel="0" collapsed="false">
      <c r="A49" s="36"/>
      <c r="B49" s="35" t="s">
        <v>4261</v>
      </c>
      <c r="C49" s="36" t="s">
        <v>9</v>
      </c>
      <c r="D49" s="36" t="s">
        <v>4352</v>
      </c>
      <c r="E49" s="37" t="s">
        <v>4353</v>
      </c>
    </row>
    <row r="50" customFormat="false" ht="16.5" hidden="false" customHeight="true" outlineLevel="0" collapsed="false">
      <c r="A50" s="36"/>
      <c r="B50" s="35" t="s">
        <v>4261</v>
      </c>
      <c r="C50" s="36" t="s">
        <v>9</v>
      </c>
      <c r="D50" s="36" t="s">
        <v>4354</v>
      </c>
      <c r="E50" s="37" t="s">
        <v>4355</v>
      </c>
    </row>
    <row r="51" customFormat="false" ht="16.5" hidden="false" customHeight="true" outlineLevel="0" collapsed="false">
      <c r="A51" s="36"/>
      <c r="B51" s="35" t="s">
        <v>4261</v>
      </c>
      <c r="C51" s="36" t="s">
        <v>9</v>
      </c>
      <c r="D51" s="36" t="s">
        <v>4356</v>
      </c>
      <c r="E51" s="37" t="s">
        <v>4357</v>
      </c>
    </row>
    <row r="52" customFormat="false" ht="16.5" hidden="false" customHeight="true" outlineLevel="0" collapsed="false">
      <c r="A52" s="36"/>
      <c r="B52" s="35" t="s">
        <v>4261</v>
      </c>
      <c r="C52" s="36" t="s">
        <v>9</v>
      </c>
      <c r="D52" s="35" t="s">
        <v>4358</v>
      </c>
      <c r="E52" s="37" t="s">
        <v>4359</v>
      </c>
    </row>
    <row r="53" customFormat="false" ht="16.5" hidden="false" customHeight="true" outlineLevel="0" collapsed="false">
      <c r="A53" s="36"/>
      <c r="B53" s="35" t="s">
        <v>4261</v>
      </c>
      <c r="C53" s="36" t="s">
        <v>9</v>
      </c>
      <c r="D53" s="35" t="s">
        <v>4360</v>
      </c>
      <c r="E53" s="37" t="s">
        <v>4361</v>
      </c>
    </row>
    <row r="54" customFormat="false" ht="16.5" hidden="false" customHeight="true" outlineLevel="0" collapsed="false">
      <c r="A54" s="36"/>
      <c r="B54" s="35" t="s">
        <v>4362</v>
      </c>
      <c r="C54" s="36" t="s">
        <v>7</v>
      </c>
      <c r="D54" s="36" t="s">
        <v>4363</v>
      </c>
      <c r="E54" s="37" t="s">
        <v>4364</v>
      </c>
    </row>
    <row r="55" customFormat="false" ht="16.5" hidden="false" customHeight="true" outlineLevel="0" collapsed="false">
      <c r="A55" s="36"/>
      <c r="B55" s="35" t="s">
        <v>4362</v>
      </c>
      <c r="C55" s="36" t="s">
        <v>7</v>
      </c>
      <c r="D55" s="36" t="s">
        <v>4365</v>
      </c>
      <c r="E55" s="37" t="s">
        <v>4366</v>
      </c>
    </row>
    <row r="56" customFormat="false" ht="16.5" hidden="false" customHeight="true" outlineLevel="0" collapsed="false">
      <c r="A56" s="36"/>
      <c r="B56" s="35" t="s">
        <v>4362</v>
      </c>
      <c r="C56" s="36" t="s">
        <v>7</v>
      </c>
      <c r="D56" s="36" t="s">
        <v>4367</v>
      </c>
      <c r="E56" s="37" t="s">
        <v>4368</v>
      </c>
    </row>
    <row r="57" customFormat="false" ht="16.5" hidden="false" customHeight="true" outlineLevel="0" collapsed="false">
      <c r="A57" s="36"/>
      <c r="B57" s="35" t="s">
        <v>4362</v>
      </c>
      <c r="C57" s="36" t="s">
        <v>7</v>
      </c>
      <c r="D57" s="36" t="s">
        <v>4369</v>
      </c>
      <c r="E57" s="37" t="s">
        <v>4370</v>
      </c>
    </row>
    <row r="58" customFormat="false" ht="16.5" hidden="false" customHeight="true" outlineLevel="0" collapsed="false">
      <c r="A58" s="36"/>
      <c r="B58" s="35" t="s">
        <v>4362</v>
      </c>
      <c r="C58" s="36" t="s">
        <v>6</v>
      </c>
      <c r="D58" s="36" t="s">
        <v>4371</v>
      </c>
      <c r="E58" s="37" t="s">
        <v>4372</v>
      </c>
    </row>
    <row r="59" customFormat="false" ht="16.5" hidden="false" customHeight="true" outlineLevel="0" collapsed="false">
      <c r="A59" s="36"/>
      <c r="B59" s="35" t="s">
        <v>4362</v>
      </c>
      <c r="C59" s="36" t="s">
        <v>8</v>
      </c>
      <c r="D59" s="36" t="s">
        <v>3750</v>
      </c>
      <c r="E59" s="37" t="s">
        <v>4373</v>
      </c>
    </row>
    <row r="60" customFormat="false" ht="16.5" hidden="false" customHeight="true" outlineLevel="0" collapsed="false">
      <c r="A60" s="36"/>
      <c r="B60" s="35" t="s">
        <v>4362</v>
      </c>
      <c r="C60" s="36" t="s">
        <v>9</v>
      </c>
      <c r="D60" s="36" t="s">
        <v>4219</v>
      </c>
      <c r="E60" s="37" t="s">
        <v>4374</v>
      </c>
    </row>
    <row r="61" customFormat="false" ht="16.5" hidden="false" customHeight="true" outlineLevel="0" collapsed="false">
      <c r="A61" s="35" t="s">
        <v>4375</v>
      </c>
      <c r="B61" s="35" t="s">
        <v>4376</v>
      </c>
      <c r="C61" s="36" t="s">
        <v>7</v>
      </c>
      <c r="D61" s="36" t="s">
        <v>1642</v>
      </c>
      <c r="E61" s="37" t="s">
        <v>4282</v>
      </c>
    </row>
    <row r="62" customFormat="false" ht="16.5" hidden="false" customHeight="true" outlineLevel="0" collapsed="false">
      <c r="A62" s="36"/>
      <c r="B62" s="35" t="s">
        <v>4376</v>
      </c>
      <c r="C62" s="36" t="s">
        <v>7</v>
      </c>
      <c r="D62" s="36" t="s">
        <v>1658</v>
      </c>
      <c r="E62" s="37" t="s">
        <v>4282</v>
      </c>
    </row>
    <row r="63" customFormat="false" ht="16.5" hidden="false" customHeight="true" outlineLevel="0" collapsed="false">
      <c r="A63" s="36"/>
      <c r="B63" s="35" t="s">
        <v>4376</v>
      </c>
      <c r="C63" s="36" t="s">
        <v>7</v>
      </c>
      <c r="D63" s="36" t="s">
        <v>4377</v>
      </c>
      <c r="E63" s="37" t="s">
        <v>4282</v>
      </c>
    </row>
    <row r="64" customFormat="false" ht="16.5" hidden="false" customHeight="true" outlineLevel="0" collapsed="false">
      <c r="A64" s="36"/>
      <c r="B64" s="35" t="s">
        <v>4376</v>
      </c>
      <c r="C64" s="36" t="s">
        <v>7</v>
      </c>
      <c r="D64" s="36" t="s">
        <v>1030</v>
      </c>
      <c r="E64" s="37" t="s">
        <v>4378</v>
      </c>
    </row>
    <row r="65" customFormat="false" ht="16.5" hidden="false" customHeight="true" outlineLevel="0" collapsed="false">
      <c r="A65" s="35" t="s">
        <v>4379</v>
      </c>
      <c r="B65" s="35" t="s">
        <v>4380</v>
      </c>
      <c r="C65" s="36" t="s">
        <v>4381</v>
      </c>
      <c r="D65" s="36" t="s">
        <v>4382</v>
      </c>
      <c r="E65" s="38" t="s">
        <v>4383</v>
      </c>
    </row>
    <row r="66" customFormat="false" ht="16.5" hidden="false" customHeight="true" outlineLevel="0" collapsed="false">
      <c r="A66" s="36"/>
      <c r="B66" s="35" t="s">
        <v>4380</v>
      </c>
      <c r="C66" s="36" t="s">
        <v>7</v>
      </c>
      <c r="D66" s="36" t="s">
        <v>4384</v>
      </c>
      <c r="E66" s="37" t="s">
        <v>4385</v>
      </c>
    </row>
    <row r="67" customFormat="false" ht="16.5" hidden="false" customHeight="true" outlineLevel="0" collapsed="false">
      <c r="A67" s="35" t="s">
        <v>4386</v>
      </c>
      <c r="B67" s="35" t="s">
        <v>4387</v>
      </c>
      <c r="C67" s="36" t="s">
        <v>6</v>
      </c>
      <c r="D67" s="36" t="s">
        <v>4388</v>
      </c>
      <c r="E67" s="37" t="s">
        <v>4282</v>
      </c>
    </row>
    <row r="68" customFormat="false" ht="16.5" hidden="false" customHeight="true" outlineLevel="0" collapsed="false">
      <c r="A68" s="36"/>
      <c r="B68" s="35" t="s">
        <v>4387</v>
      </c>
      <c r="C68" s="36" t="s">
        <v>6</v>
      </c>
      <c r="D68" s="36" t="s">
        <v>3275</v>
      </c>
      <c r="E68" s="37" t="s">
        <v>4282</v>
      </c>
    </row>
    <row r="69" customFormat="false" ht="16.5" hidden="false" customHeight="true" outlineLevel="0" collapsed="false">
      <c r="A69" s="35" t="s">
        <v>4389</v>
      </c>
      <c r="B69" s="35" t="s">
        <v>4390</v>
      </c>
      <c r="C69" s="36" t="s">
        <v>6</v>
      </c>
      <c r="D69" s="35" t="s">
        <v>4391</v>
      </c>
      <c r="E69" s="37" t="s">
        <v>4282</v>
      </c>
    </row>
    <row r="70" customFormat="false" ht="16.5" hidden="false" customHeight="true" outlineLevel="0" collapsed="false">
      <c r="A70" s="36"/>
      <c r="B70" s="35" t="s">
        <v>4390</v>
      </c>
      <c r="C70" s="36" t="s">
        <v>9</v>
      </c>
      <c r="D70" s="36" t="s">
        <v>4235</v>
      </c>
      <c r="E70" s="37" t="s">
        <v>4282</v>
      </c>
    </row>
    <row r="71" customFormat="false" ht="31.5" hidden="false" customHeight="true" outlineLevel="0" collapsed="false">
      <c r="A71" s="35" t="s">
        <v>4392</v>
      </c>
      <c r="B71" s="35" t="s">
        <v>4393</v>
      </c>
      <c r="C71" s="36" t="s">
        <v>4394</v>
      </c>
      <c r="D71" s="35" t="s">
        <v>62</v>
      </c>
      <c r="E71" s="37" t="s">
        <v>4395</v>
      </c>
    </row>
    <row r="72" customFormat="false" ht="48" hidden="false" customHeight="true" outlineLevel="0" collapsed="false">
      <c r="A72" s="35" t="s">
        <v>4396</v>
      </c>
      <c r="B72" s="35" t="s">
        <v>4393</v>
      </c>
      <c r="C72" s="36" t="s">
        <v>4394</v>
      </c>
      <c r="D72" s="35" t="s">
        <v>62</v>
      </c>
      <c r="E72" s="38" t="s">
        <v>4397</v>
      </c>
    </row>
    <row r="73" customFormat="false" ht="31.5" hidden="false" customHeight="true" outlineLevel="0" collapsed="false">
      <c r="A73" s="35" t="s">
        <v>4398</v>
      </c>
      <c r="B73" s="35" t="s">
        <v>4393</v>
      </c>
      <c r="C73" s="36" t="s">
        <v>4399</v>
      </c>
      <c r="D73" s="36" t="s">
        <v>3843</v>
      </c>
      <c r="E73" s="37" t="s">
        <v>4400</v>
      </c>
    </row>
    <row r="74" customFormat="false" ht="31.5" hidden="false" customHeight="true" outlineLevel="0" collapsed="false">
      <c r="A74" s="35" t="s">
        <v>4401</v>
      </c>
      <c r="B74" s="35" t="s">
        <v>4393</v>
      </c>
      <c r="C74" s="36" t="s">
        <v>4394</v>
      </c>
      <c r="D74" s="35" t="s">
        <v>62</v>
      </c>
      <c r="E74" s="37" t="s">
        <v>4402</v>
      </c>
    </row>
    <row r="75" customFormat="false" ht="48" hidden="false" customHeight="true" outlineLevel="0" collapsed="false">
      <c r="A75" s="35" t="s">
        <v>4403</v>
      </c>
      <c r="B75" s="35" t="s">
        <v>4404</v>
      </c>
      <c r="C75" s="36" t="s">
        <v>4394</v>
      </c>
      <c r="D75" s="35" t="s">
        <v>62</v>
      </c>
      <c r="E75" s="37" t="s">
        <v>4405</v>
      </c>
    </row>
    <row r="76" customFormat="false" ht="31.5" hidden="false" customHeight="true" outlineLevel="0" collapsed="false">
      <c r="A76" s="35" t="s">
        <v>4406</v>
      </c>
      <c r="B76" s="35" t="s">
        <v>4404</v>
      </c>
      <c r="C76" s="36" t="s">
        <v>4394</v>
      </c>
      <c r="D76" s="35" t="s">
        <v>62</v>
      </c>
      <c r="E76" s="37" t="s">
        <v>4407</v>
      </c>
    </row>
    <row r="77" customFormat="false" ht="63.75" hidden="false" customHeight="true" outlineLevel="0" collapsed="false">
      <c r="A77" s="35" t="s">
        <v>4408</v>
      </c>
      <c r="B77" s="35" t="s">
        <v>4404</v>
      </c>
      <c r="C77" s="36" t="s">
        <v>4394</v>
      </c>
      <c r="D77" s="35" t="s">
        <v>62</v>
      </c>
      <c r="E77" s="37" t="s">
        <v>4409</v>
      </c>
    </row>
    <row r="78" customFormat="false" ht="31.5" hidden="false" customHeight="true" outlineLevel="0" collapsed="false">
      <c r="A78" s="35" t="s">
        <v>4410</v>
      </c>
      <c r="B78" s="35" t="s">
        <v>4411</v>
      </c>
      <c r="C78" s="36" t="s">
        <v>4394</v>
      </c>
      <c r="D78" s="35" t="s">
        <v>62</v>
      </c>
      <c r="E78" s="37" t="s">
        <v>4412</v>
      </c>
    </row>
    <row r="79" customFormat="false" ht="39" hidden="false" customHeight="true" outlineLevel="0" collapsed="false">
      <c r="A79" s="35" t="s">
        <v>4413</v>
      </c>
      <c r="B79" s="35" t="s">
        <v>4411</v>
      </c>
      <c r="C79" s="36" t="s">
        <v>8</v>
      </c>
      <c r="D79" s="35" t="s">
        <v>62</v>
      </c>
      <c r="E79" s="37" t="s">
        <v>4414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2026-08-21T07:44:04Z</dcterms:created>
  <dc:creator>openpyxl</dc:creator>
  <dc:description/>
  <dc:language>en-US</dc:language>
  <cp:lastModifiedBy>박준원</cp:lastModifiedBy>
  <dcterms:modified xsi:type="dcterms:W3CDTF">2026-08-24T07:44:03Z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